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8bf9abccb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0870f4d25fab443c"/>
    <x:sheet xmlns:r="http://schemas.openxmlformats.org/officeDocument/2006/relationships" name="Customers" sheetId="2" r:id="R5c6526ab74c3422e"/>
    <x:sheet xmlns:r="http://schemas.openxmlformats.org/officeDocument/2006/relationships" name="Products" sheetId="3" r:id="R5de145a5ae0b4dc0"/>
    <x:sheet xmlns:r="http://schemas.openxmlformats.org/officeDocument/2006/relationships" name="Practice_Tasks" sheetId="4" r:id="R9d839eafbcdf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"/>
    <x:numFmt numFmtId="202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1814ac98049c3" /><Relationship Type="http://schemas.openxmlformats.org/officeDocument/2006/relationships/theme" Target="/xl/theme/theme1.xml" Id="R60cf48fd323e4378" /><Relationship Type="http://schemas.openxmlformats.org/officeDocument/2006/relationships/sharedStrings" Target="/xl/sharedStrings.xml" Id="R967450ec34e24da6" /><Relationship Type="http://schemas.openxmlformats.org/officeDocument/2006/relationships/worksheet" Target="/xl/worksheets/sheet1.xml" Id="R0870f4d25fab443c" /><Relationship Type="http://schemas.openxmlformats.org/officeDocument/2006/relationships/worksheet" Target="/xl/worksheets/sheet2.xml" Id="R5c6526ab74c3422e" /><Relationship Type="http://schemas.openxmlformats.org/officeDocument/2006/relationships/worksheet" Target="/xl/worksheets/sheet3.xml" Id="R5de145a5ae0b4dc0" /><Relationship Type="http://schemas.openxmlformats.org/officeDocument/2006/relationships/worksheet" Target="/xl/worksheets/sheet4.xml" Id="R9d839eafbcdf42cc" /></Relationships>
</file>

<file path=xl/tables/table1.xml><?xml version="1.0" encoding="utf-8"?>
<x:table xmlns:x="http://schemas.openxmlformats.org/spreadsheetml/2006/main" id="1" name="OrdersTable" displayName="OrdersTable" ref="A1:Y5001" headerRowCount="1" totalsRowCount="0" totalsRowShown="0">
  <x:tableColumns count="25">
    <x:tableColumn id="1" name="Order_ID"/>
    <x:tableColumn id="2" name="Order_Date"/>
    <x:tableColumn id="3" name="Customer_ID"/>
    <x:tableColumn id="4" name="Customer_Name"/>
    <x:tableColumn id="5" name="Customer_Type"/>
    <x:tableColumn id="6" name="City"/>
    <x:tableColumn id="7" name="Salesperson"/>
    <x:tableColumn id="8" name="Product_ID"/>
    <x:tableColumn id="9" name="Product"/>
    <x:tableColumn id="10" name="Category"/>
    <x:tableColumn id="11" name="Brand"/>
    <x:tableColumn id="12" name="Unit_Price"/>
    <x:tableColumn id="13" name="Quantity"/>
    <x:tableColumn id="14" name="Discount_pct"/>
    <x:tableColumn id="15" name="Gross_Sales"/>
    <x:tableColumn id="16" name="Net_Sales"/>
    <x:tableColumn id="17" name="Cost_Price"/>
    <x:tableColumn id="18" name="COGS"/>
    <x:tableColumn id="19" name="Gross_Profit"/>
    <x:tableColumn id="20" name="Payment_Mode"/>
    <x:tableColumn id="21" name="Payment_Status"/>
    <x:tableColumn id="22" name="Delivery_Status"/>
    <x:tableColumn id="23" name="Return_Qty"/>
    <x:tableColumn id="24" name="Return_Reason"/>
    <x:tableColumn id="25" name="Lead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Table" displayName="CustomersTable" ref="A1:G251" headerRowCount="1" totalsRowCount="0" totalsRowShown="0">
  <x:tableColumns count="7">
    <x:tableColumn id="1" name="Customer_ID"/>
    <x:tableColumn id="2" name="Customer_Name"/>
    <x:tableColumn id="3" name="Customer_Type"/>
    <x:tableColumn id="4" name="City"/>
    <x:tableColumn id="5" name="Segment"/>
    <x:tableColumn id="6" name="Credit_Days"/>
    <x:tableColumn id="7" name="Account_Own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Table" displayName="ProductsTable" ref="A1:F51" headerRowCount="1" totalsRowCount="0" totalsRowShown="0">
  <x:tableColumns count="6">
    <x:tableColumn id="1" name="Product_ID"/>
    <x:tableColumn id="2" name="Product"/>
    <x:tableColumn id="3" name="Category"/>
    <x:tableColumn id="4" name="Brand"/>
    <x:tableColumn id="5" name="Unit_Price"/>
    <x:tableColumn id="6" name="Cost_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607958cc4447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6ed9a667504b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de80716dc2415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28" hidden="0" customWidth="1"/>
    <x:col min="5" max="5" width="16" hidden="0" customWidth="1"/>
    <x:col min="6" max="6" width="14" hidden="0" customWidth="1"/>
    <x:col min="7" max="7" width="14" hidden="0" customWidth="1"/>
    <x:col min="8" max="8" width="12" hidden="0" customWidth="1"/>
    <x:col min="9" max="9" width="24" hidden="0" customWidth="1"/>
    <x:col min="10" max="10" width="16" hidden="0" customWidth="1"/>
    <x:col min="11" max="11" width="15" hidden="0" customWidth="1"/>
    <x:col min="12" max="12" width="13" hidden="0" customWidth="1"/>
    <x:col min="13" max="13" width="10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6" hidden="0" customWidth="1"/>
    <x:col min="21" max="21" width="15" hidden="0" customWidth="1"/>
    <x:col min="22" max="22" width="16" hidden="0" customWidth="1"/>
    <x:col min="23" max="23" width="11" hidden="0" customWidth="1"/>
    <x:col min="24" max="24" width="18" hidden="0" customWidth="1"/>
    <x:col min="25" max="25" width="18" hidden="0" customWidth="1"/>
  </x:cols>
  <x:sheetData>
    <x:row r="1">
      <x:c r="A1" s="5" t="str">
        <x:v>Order_ID</x:v>
      </x:c>
      <x:c r="B1" s="5" t="str">
        <x:v>Order_Date</x:v>
      </x:c>
      <x:c r="C1" s="5" t="str">
        <x:v>Customer_ID</x:v>
      </x:c>
      <x:c r="D1" s="5" t="str">
        <x:v>Customer_Name</x:v>
      </x:c>
      <x:c r="E1" s="5" t="str">
        <x:v>Customer_Type</x:v>
      </x:c>
      <x:c r="F1" s="5" t="str">
        <x:v>City</x:v>
      </x:c>
      <x:c r="G1" s="5" t="str">
        <x:v>Salesperson</x:v>
      </x:c>
      <x:c r="H1" s="5" t="str">
        <x:v>Product_ID</x:v>
      </x:c>
      <x:c r="I1" s="5" t="str">
        <x:v>Product</x:v>
      </x:c>
      <x:c r="J1" s="5" t="str">
        <x:v>Category</x:v>
      </x:c>
      <x:c r="K1" s="5" t="str">
        <x:v>Brand</x:v>
      </x:c>
      <x:c r="L1" s="5" t="str">
        <x:v>Unit_Price</x:v>
      </x:c>
      <x:c r="M1" s="5" t="str">
        <x:v>Quantity</x:v>
      </x:c>
      <x:c r="N1" s="5" t="str">
        <x:v>Discount_pct</x:v>
      </x:c>
      <x:c r="O1" s="5" t="str">
        <x:v>Gross_Sales</x:v>
      </x:c>
      <x:c r="P1" s="5" t="str">
        <x:v>Net_Sales</x:v>
      </x:c>
      <x:c r="Q1" s="5" t="str">
        <x:v>Cost_Price</x:v>
      </x:c>
      <x:c r="R1" s="5" t="str">
        <x:v>COGS</x:v>
      </x:c>
      <x:c r="S1" s="5" t="str">
        <x:v>Gross_Profit</x:v>
      </x:c>
      <x:c r="T1" s="5" t="str">
        <x:v>Payment_Mode</x:v>
      </x:c>
      <x:c r="U1" s="5" t="str">
        <x:v>Payment_Status</x:v>
      </x:c>
      <x:c r="V1" s="5" t="str">
        <x:v>Delivery_Status</x:v>
      </x:c>
      <x:c r="W1" s="5" t="str">
        <x:v>Return_Qty</x:v>
      </x:c>
      <x:c r="X1" s="5" t="str">
        <x:v>Return_Reason</x:v>
      </x:c>
      <x:c r="Y1" s="5" t="str">
        <x:v>Lead_Source</x:v>
      </x:c>
    </x:row>
    <x:row r="2">
      <x:c r="A2" t="str">
        <x:v>O000001</x:v>
      </x:c>
      <x:c r="B2" s="20" t="n">
        <x:v>45948</x:v>
      </x:c>
      <x:c r="C2" t="str">
        <x:v>C0089</x:v>
      </x:c>
      <x:c r="D2" t="str">
        <x:v>Green Canteen 89</x:v>
      </x:c>
      <x:c r="E2" t="str">
        <x:v>Supermarket</x:v>
      </x:c>
      <x:c r="F2" t="str">
        <x:v>Mangaluru</x:v>
      </x:c>
      <x:c r="G2" t="str">
        <x:v>Megha</x:v>
      </x:c>
      <x:c r="H2" t="str">
        <x:v>P034</x:v>
      </x:c>
      <x:c r="I2" t="str">
        <x:v>Chilli Powder 1kg</x:v>
      </x:c>
      <x:c r="J2" t="str">
        <x:v>Spices</x:v>
      </x:c>
      <x:c r="K2" t="str">
        <x:v>MDH</x:v>
      </x:c>
      <x:c r="L2" s="22" t="n">
        <x:v>340</x:v>
      </x:c>
      <x:c r="M2" t="n">
        <x:v>6</x:v>
      </x:c>
      <x:c r="N2" s="24" t="n">
        <x:v>0.02</x:v>
      </x:c>
      <x:c r="O2" s="22" t="n">
        <x:f>L2*M2</x:f>
        <x:v>2040</x:v>
      </x:c>
      <x:c r="P2" s="22" t="n">
        <x:f>O2*(1-N2)</x:f>
        <x:v>1999.2</x:v>
      </x:c>
      <x:c r="Q2" s="22" t="n">
        <x:v>295</x:v>
      </x:c>
      <x:c r="R2" s="22" t="n">
        <x:f>Q2*M2</x:f>
        <x:v>1770</x:v>
      </x:c>
      <x:c r="S2" s="22" t="n">
        <x:f>P2-R2</x:f>
        <x:v>229.20000000000005</x:v>
      </x:c>
      <x:c r="T2" t="str">
        <x:v>Cash</x:v>
      </x:c>
      <x:c r="U2" t="str">
        <x:v>Paid</x:v>
      </x:c>
      <x:c r="V2" t="str">
        <x:v>Delivered</x:v>
      </x:c>
      <x:c r="W2" t="n">
        <x:v>0</x:v>
      </x:c>
      <x:c r="X2" t="str"/>
      <x:c r="Y2" t="str">
        <x:v>Outbound Call</x:v>
      </x:c>
    </x:row>
    <x:row r="3">
      <x:c r="A3" t="str">
        <x:v>O000002</x:v>
      </x:c>
      <x:c r="B3" s="20" t="n">
        <x:v>46252</x:v>
      </x:c>
      <x:c r="C3" t="str">
        <x:v>C0044</x:v>
      </x:c>
      <x:c r="D3" t="str">
        <x:v>Annapurna Mart 44</x:v>
      </x:c>
      <x:c r="E3" t="str">
        <x:v>Kirana</x:v>
      </x:c>
      <x:c r="F3" t="str">
        <x:v>Davanagere</x:v>
      </x:c>
      <x:c r="G3" t="str">
        <x:v>Priya</x:v>
      </x:c>
      <x:c r="H3" t="str">
        <x:v>P038</x:v>
      </x:c>
      <x:c r="I3" t="str">
        <x:v>French Fries 2.5kg</x:v>
      </x:c>
      <x:c r="J3" t="str">
        <x:v>Frozen</x:v>
      </x:c>
      <x:c r="K3" t="str">
        <x:v>McCain</x:v>
      </x:c>
      <x:c r="L3" s="22" t="n">
        <x:v>360</x:v>
      </x:c>
      <x:c r="M3" t="n">
        <x:v>10</x:v>
      </x:c>
      <x:c r="N3" s="24" t="n">
        <x:v>0</x:v>
      </x:c>
      <x:c r="O3" s="22" t="n">
        <x:f>L3*M3</x:f>
        <x:v>3600</x:v>
      </x:c>
      <x:c r="P3" s="22" t="n">
        <x:f>O3*(1-N3)</x:f>
        <x:v>3600</x:v>
      </x:c>
      <x:c r="Q3" s="22" t="n">
        <x:v>315</x:v>
      </x:c>
      <x:c r="R3" s="22" t="n">
        <x:f>Q3*M3</x:f>
        <x:v>3150</x:v>
      </x:c>
      <x:c r="S3" s="22" t="n">
        <x:f>P3-R3</x:f>
        <x:v>450</x:v>
      </x:c>
      <x:c r="T3" t="str">
        <x:v>Cash</x:v>
      </x:c>
      <x:c r="U3" t="str">
        <x:v>Pending</x:v>
      </x:c>
      <x:c r="V3" t="str">
        <x:v>Delayed</x:v>
      </x:c>
      <x:c r="W3" t="n">
        <x:v>0</x:v>
      </x:c>
      <x:c r="X3" t="str"/>
      <x:c r="Y3" t="str">
        <x:v>Outbound Call</x:v>
      </x:c>
    </x:row>
    <x:row r="4">
      <x:c r="A4" t="str">
        <x:v>O000003</x:v>
      </x:c>
      <x:c r="B4" s="20" t="n">
        <x:v>45704</x:v>
      </x:c>
      <x:c r="C4" t="str">
        <x:v>C0008</x:v>
      </x:c>
      <x:c r="D4" t="str">
        <x:v>Namma Kitchen 8</x:v>
      </x:c>
      <x:c r="E4" t="str">
        <x:v>Kirana</x:v>
      </x:c>
      <x:c r="F4" t="str">
        <x:v>Bengaluru</x:v>
      </x:c>
      <x:c r="G4" t="str">
        <x:v>Vikram</x:v>
      </x:c>
      <x:c r="H4" t="str">
        <x:v>P006</x:v>
      </x:c>
      <x:c r="I4" t="str">
        <x:v>Moong Dal 5kg</x:v>
      </x:c>
      <x:c r="J4" t="str">
        <x:v>Pulses</x:v>
      </x:c>
      <x:c r="K4" t="str">
        <x:v>Local Select</x:v>
      </x:c>
      <x:c r="L4" s="22" t="n">
        <x:v>610</x:v>
      </x:c>
      <x:c r="M4" t="n">
        <x:v>37</x:v>
      </x:c>
      <x:c r="N4" s="24" t="n">
        <x:v>0.02</x:v>
      </x:c>
      <x:c r="O4" s="22" t="n">
        <x:f>L4*M4</x:f>
        <x:v>22570</x:v>
      </x:c>
      <x:c r="P4" s="22" t="n">
        <x:f>O4*(1-N4)</x:f>
        <x:v>22118.6</x:v>
      </x:c>
      <x:c r="Q4" s="22" t="n">
        <x:v>540</x:v>
      </x:c>
      <x:c r="R4" s="22" t="n">
        <x:f>Q4*M4</x:f>
        <x:v>19980</x:v>
      </x:c>
      <x:c r="S4" s="22" t="n">
        <x:f>P4-R4</x:f>
        <x:v>2138.5999999999985</x:v>
      </x:c>
      <x:c r="T4" t="str">
        <x:v>Bank Transfer</x:v>
      </x:c>
      <x:c r="U4" t="str">
        <x:v>Pending</x:v>
      </x:c>
      <x:c r="V4" t="str">
        <x:v>Delivered</x:v>
      </x:c>
      <x:c r="W4" t="n">
        <x:v>0</x:v>
      </x:c>
      <x:c r="X4" t="str"/>
      <x:c r="Y4" t="str">
        <x:v>Outbound Call</x:v>
      </x:c>
    </x:row>
    <x:row r="5">
      <x:c r="A5" t="str">
        <x:v>O000004</x:v>
      </x:c>
      <x:c r="B5" s="20" t="n">
        <x:v>45954</x:v>
      </x:c>
      <x:c r="C5" t="str">
        <x:v>C0161</x:v>
      </x:c>
      <x:c r="D5" t="str">
        <x:v>Hotel Kitchen 161</x:v>
      </x:c>
      <x:c r="E5" t="str">
        <x:v>Supermarket</x:v>
      </x:c>
      <x:c r="F5" t="str">
        <x:v>Mysuru</x:v>
      </x:c>
      <x:c r="G5" t="str">
        <x:v>Sneha</x:v>
      </x:c>
      <x:c r="H5" t="str">
        <x:v>P035</x:v>
      </x:c>
      <x:c r="I5" t="str">
        <x:v>Coriander Powder 1kg</x:v>
      </x:c>
      <x:c r="J5" t="str">
        <x:v>Spices</x:v>
      </x:c>
      <x:c r="K5" t="str">
        <x:v>Everest</x:v>
      </x:c>
      <x:c r="L5" s="22" t="n">
        <x:v>280</x:v>
      </x:c>
      <x:c r="M5" t="n">
        <x:v>20</x:v>
      </x:c>
      <x:c r="N5" s="24" t="n">
        <x:v>0.03</x:v>
      </x:c>
      <x:c r="O5" s="22" t="n">
        <x:f>L5*M5</x:f>
        <x:v>5600</x:v>
      </x:c>
      <x:c r="P5" s="22" t="n">
        <x:f>O5*(1-N5)</x:f>
        <x:v>5432</x:v>
      </x:c>
      <x:c r="Q5" s="22" t="n">
        <x:v>245</x:v>
      </x:c>
      <x:c r="R5" s="22" t="n">
        <x:f>Q5*M5</x:f>
        <x:v>4900</x:v>
      </x:c>
      <x:c r="S5" s="22" t="n">
        <x:f>P5-R5</x:f>
        <x:v>532</x:v>
      </x:c>
      <x:c r="T5" t="str">
        <x:v>Credit</x:v>
      </x:c>
      <x:c r="U5" t="str">
        <x:v>Paid</x:v>
      </x:c>
      <x:c r="V5" t="str">
        <x:v>Delivered</x:v>
      </x:c>
      <x:c r="W5" t="n">
        <x:v>0</x:v>
      </x:c>
      <x:c r="X5" t="str"/>
      <x:c r="Y5" t="str">
        <x:v>Referral</x:v>
      </x:c>
    </x:row>
    <x:row r="6">
      <x:c r="A6" t="str">
        <x:v>O000005</x:v>
      </x:c>
      <x:c r="B6" s="20" t="n">
        <x:v>45866</x:v>
      </x:c>
      <x:c r="C6" t="str">
        <x:v>C0124</x:v>
      </x:c>
      <x:c r="D6" t="str">
        <x:v>Green Hotel 124</x:v>
      </x:c>
      <x:c r="E6" t="str">
        <x:v>Cafe</x:v>
      </x:c>
      <x:c r="F6" t="str">
        <x:v>Bengaluru</x:v>
      </x:c>
      <x:c r="G6" t="str">
        <x:v>Imran</x:v>
      </x:c>
      <x:c r="H6" t="str">
        <x:v>P030</x:v>
      </x:c>
      <x:c r="I6" t="str">
        <x:v>Mayonnaise 1kg</x:v>
      </x:c>
      <x:c r="J6" t="str">
        <x:v>Condiments</x:v>
      </x:c>
      <x:c r="K6" t="str">
        <x:v>Veeba</x:v>
      </x:c>
      <x:c r="L6" s="22" t="n">
        <x:v>210</x:v>
      </x:c>
      <x:c r="M6" t="n">
        <x:v>22</x:v>
      </x:c>
      <x:c r="N6" s="24" t="n">
        <x:v>0.05</x:v>
      </x:c>
      <x:c r="O6" s="22" t="n">
        <x:f>L6*M6</x:f>
        <x:v>4620</x:v>
      </x:c>
      <x:c r="P6" s="22" t="n">
        <x:f>O6*(1-N6)</x:f>
        <x:v>4389</x:v>
      </x:c>
      <x:c r="Q6" s="22" t="n">
        <x:v>185</x:v>
      </x:c>
      <x:c r="R6" s="22" t="n">
        <x:f>Q6*M6</x:f>
        <x:v>4070</x:v>
      </x:c>
      <x:c r="S6" s="22" t="n">
        <x:f>P6-R6</x:f>
        <x:v>319</x:v>
      </x:c>
      <x:c r="T6" t="str">
        <x:v>Cash</x:v>
      </x:c>
      <x:c r="U6" t="str">
        <x:v>Pending</x:v>
      </x:c>
      <x:c r="V6" t="str">
        <x:v>Delivered</x:v>
      </x:c>
      <x:c r="W6" t="n">
        <x:v>0</x:v>
      </x:c>
      <x:c r="X6" t="str"/>
      <x:c r="Y6" t="str">
        <x:v>Field Visit</x:v>
      </x:c>
    </x:row>
    <x:row r="7">
      <x:c r="A7" t="str">
        <x:v>O000006</x:v>
      </x:c>
      <x:c r="B7" s="20" t="n">
        <x:v>46037</x:v>
      </x:c>
      <x:c r="C7" t="str">
        <x:v>C0034</x:v>
      </x:c>
      <x:c r="D7" t="str">
        <x:v>City Restaurant 34</x:v>
      </x:c>
      <x:c r="E7" t="str">
        <x:v>Restaurant</x:v>
      </x:c>
      <x:c r="F7" t="str">
        <x:v>Mangaluru</x:v>
      </x:c>
      <x:c r="G7" t="str">
        <x:v>Sneha</x:v>
      </x:c>
      <x:c r="H7" t="str">
        <x:v>P049</x:v>
      </x:c>
      <x:c r="I7" t="str">
        <x:v>Apple 10kg</x:v>
      </x:c>
      <x:c r="J7" t="str">
        <x:v>Fresh Produce</x:v>
      </x:c>
      <x:c r="K7" t="str">
        <x:v>Local Market</x:v>
      </x:c>
      <x:c r="L7" s="22" t="n">
        <x:v>1450</x:v>
      </x:c>
      <x:c r="M7" t="n">
        <x:v>9</x:v>
      </x:c>
      <x:c r="N7" s="24" t="n">
        <x:v>0</x:v>
      </x:c>
      <x:c r="O7" s="22" t="n">
        <x:f>L7*M7</x:f>
        <x:v>13050</x:v>
      </x:c>
      <x:c r="P7" s="22" t="n">
        <x:f>O7*(1-N7)</x:f>
        <x:v>13050</x:v>
      </x:c>
      <x:c r="Q7" s="22" t="n">
        <x:v>1280</x:v>
      </x:c>
      <x:c r="R7" s="22" t="n">
        <x:f>Q7*M7</x:f>
        <x:v>11520</x:v>
      </x:c>
      <x:c r="S7" s="22" t="n">
        <x:f>P7-R7</x:f>
        <x:v>1530</x:v>
      </x:c>
      <x:c r="T7" t="str">
        <x:v>Bank Transfer</x:v>
      </x:c>
      <x:c r="U7" t="str">
        <x:v>Paid</x:v>
      </x:c>
      <x:c r="V7" t="str">
        <x:v>Delivered</x:v>
      </x:c>
      <x:c r="W7" t="n">
        <x:v>0</x:v>
      </x:c>
      <x:c r="X7" t="str"/>
      <x:c r="Y7" t="str">
        <x:v>Referral</x:v>
      </x:c>
    </x:row>
    <x:row r="8">
      <x:c r="A8" t="str">
        <x:v>O000007</x:v>
      </x:c>
      <x:c r="B8" s="20" t="n">
        <x:v>46086</x:v>
      </x:c>
      <x:c r="C8" t="str">
        <x:v>C0075</x:v>
      </x:c>
      <x:c r="D8" t="str">
        <x:v>Spice Foods 75</x:v>
      </x:c>
      <x:c r="E8" t="str">
        <x:v>Kirana</x:v>
      </x:c>
      <x:c r="F8" t="str">
        <x:v>Hubballi</x:v>
      </x:c>
      <x:c r="G8" t="str">
        <x:v>Vikram</x:v>
      </x:c>
      <x:c r="H8" t="str">
        <x:v>P025</x:v>
      </x:c>
      <x:c r="I8" t="str">
        <x:v>Potato Chips 100g</x:v>
      </x:c>
      <x:c r="J8" t="str">
        <x:v>Snacks</x:v>
      </x:c>
      <x:c r="K8" t="str">
        <x:v>Lay's</x:v>
      </x:c>
      <x:c r="L8" s="22" t="n">
        <x:v>35</x:v>
      </x:c>
      <x:c r="M8" t="n">
        <x:v>16</x:v>
      </x:c>
      <x:c r="N8" s="24" t="n">
        <x:v>0.1</x:v>
      </x:c>
      <x:c r="O8" s="22" t="n">
        <x:f>L8*M8</x:f>
        <x:v>560</x:v>
      </x:c>
      <x:c r="P8" s="22" t="n">
        <x:f>O8*(1-N8)</x:f>
        <x:v>504</x:v>
      </x:c>
      <x:c r="Q8" s="22" t="n">
        <x:v>27</x:v>
      </x:c>
      <x:c r="R8" s="22" t="n">
        <x:f>Q8*M8</x:f>
        <x:v>432</x:v>
      </x:c>
      <x:c r="S8" s="22" t="n">
        <x:f>P8-R8</x:f>
        <x:v>72</x:v>
      </x:c>
      <x:c r="T8" t="str">
        <x:v>Bank Transfer</x:v>
      </x:c>
      <x:c r="U8" t="str">
        <x:v>Pending</x:v>
      </x:c>
      <x:c r="V8" t="str">
        <x:v>Delayed</x:v>
      </x:c>
      <x:c r="W8" t="n">
        <x:v>0</x:v>
      </x:c>
      <x:c r="X8" t="str"/>
      <x:c r="Y8" t="str">
        <x:v>Field Visit</x:v>
      </x:c>
    </x:row>
    <x:row r="9">
      <x:c r="A9" t="str">
        <x:v>O000008</x:v>
      </x:c>
      <x:c r="B9" s="20" t="n">
        <x:v>46185</x:v>
      </x:c>
      <x:c r="C9" t="str">
        <x:v>C0041</x:v>
      </x:c>
      <x:c r="D9" t="str">
        <x:v>Grand Mart 41</x:v>
      </x:c>
      <x:c r="E9" t="str">
        <x:v>Cafe</x:v>
      </x:c>
      <x:c r="F9" t="str">
        <x:v>Bengaluru</x:v>
      </x:c>
      <x:c r="G9" t="str">
        <x:v>Kavya</x:v>
      </x:c>
      <x:c r="H9" t="str">
        <x:v>P032</x:v>
      </x:c>
      <x:c r="I9" t="str">
        <x:v>Soy Sauce 700g</x:v>
      </x:c>
      <x:c r="J9" t="str">
        <x:v>Condiments</x:v>
      </x:c>
      <x:c r="K9" t="str">
        <x:v>Ching's</x:v>
      </x:c>
      <x:c r="L9" s="22" t="n">
        <x:v>118</x:v>
      </x:c>
      <x:c r="M9" t="n">
        <x:v>30</x:v>
      </x:c>
      <x:c r="N9" s="24" t="n">
        <x:v>0.03</x:v>
      </x:c>
      <x:c r="O9" s="22" t="n">
        <x:f>L9*M9</x:f>
        <x:v>3540</x:v>
      </x:c>
      <x:c r="P9" s="22" t="n">
        <x:f>O9*(1-N9)</x:f>
        <x:v>3433.7999999999997</x:v>
      </x:c>
      <x:c r="Q9" s="22" t="n">
        <x:v>101</x:v>
      </x:c>
      <x:c r="R9" s="22" t="n">
        <x:f>Q9*M9</x:f>
        <x:v>3030</x:v>
      </x:c>
      <x:c r="S9" s="22" t="n">
        <x:f>P9-R9</x:f>
        <x:v>403.7999999999997</x:v>
      </x:c>
      <x:c r="T9" t="str">
        <x:v>Cash</x:v>
      </x:c>
      <x:c r="U9" t="str">
        <x:v>Paid</x:v>
      </x:c>
      <x:c r="V9" t="str">
        <x:v>Delivered</x:v>
      </x:c>
      <x:c r="W9" t="n">
        <x:v>0</x:v>
      </x:c>
      <x:c r="X9" t="str"/>
      <x:c r="Y9" t="str">
        <x:v>Existing Customer</x:v>
      </x:c>
    </x:row>
    <x:row r="10">
      <x:c r="A10" t="str">
        <x:v>O000009</x:v>
      </x:c>
      <x:c r="B10" s="20" t="n">
        <x:v>46255</x:v>
      </x:c>
      <x:c r="C10" t="str">
        <x:v>C0062</x:v>
      </x:c>
      <x:c r="D10" t="str">
        <x:v>Foodie Hotel 62</x:v>
      </x:c>
      <x:c r="E10" t="str">
        <x:v>Cafe</x:v>
      </x:c>
      <x:c r="F10" t="str">
        <x:v>Mysuru</x:v>
      </x:c>
      <x:c r="G10" t="str">
        <x:v>Vikram</x:v>
      </x:c>
      <x:c r="H10" t="str">
        <x:v>P014</x:v>
      </x:c>
      <x:c r="I10" t="str">
        <x:v>Rava 5kg</x:v>
      </x:c>
      <x:c r="J10" t="str">
        <x:v>Flour</x:v>
      </x:c>
      <x:c r="K10" t="str">
        <x:v>Local Select</x:v>
      </x:c>
      <x:c r="L10" s="22" t="n">
        <x:v>245</x:v>
      </x:c>
      <x:c r="M10" t="n">
        <x:v>23</x:v>
      </x:c>
      <x:c r="N10" s="24" t="n">
        <x:v>0</x:v>
      </x:c>
      <x:c r="O10" s="22" t="n">
        <x:f>L10*M10</x:f>
        <x:v>5635</x:v>
      </x:c>
      <x:c r="P10" s="22" t="n">
        <x:f>O10*(1-N10)</x:f>
        <x:v>5635</x:v>
      </x:c>
      <x:c r="Q10" s="22" t="n">
        <x:v>215</x:v>
      </x:c>
      <x:c r="R10" s="22" t="n">
        <x:f>Q10*M10</x:f>
        <x:v>4945</x:v>
      </x:c>
      <x:c r="S10" s="22" t="n">
        <x:f>P10-R10</x:f>
        <x:v>690</x:v>
      </x:c>
      <x:c r="T10" t="str">
        <x:v>Cash</x:v>
      </x:c>
      <x:c r="U10" t="str">
        <x:v>Paid</x:v>
      </x:c>
      <x:c r="V10" t="str">
        <x:v>Cancelled</x:v>
      </x:c>
      <x:c r="W10" t="n">
        <x:v>23</x:v>
      </x:c>
      <x:c r="X10" t="str">
        <x:v>Cancelled Order</x:v>
      </x:c>
      <x:c r="Y10" t="str">
        <x:v>WhatsApp</x:v>
      </x:c>
    </x:row>
    <x:row r="11">
      <x:c r="A11" t="str">
        <x:v>O000010</x:v>
      </x:c>
      <x:c r="B11" s="20" t="n">
        <x:v>46099</x:v>
      </x:c>
      <x:c r="C11" t="str">
        <x:v>C0003</x:v>
      </x:c>
      <x:c r="D11" t="str">
        <x:v>Grand Foods 3</x:v>
      </x:c>
      <x:c r="E11" t="str">
        <x:v>Restaurant</x:v>
      </x:c>
      <x:c r="F11" t="str">
        <x:v>Bengaluru</x:v>
      </x:c>
      <x:c r="G11" t="str">
        <x:v>Vikram</x:v>
      </x:c>
      <x:c r="H11" t="str">
        <x:v>P007</x:v>
      </x:c>
      <x:c r="I11" t="str">
        <x:v>Sunflower Oil 15L</x:v>
      </x:c>
      <x:c r="J11" t="str">
        <x:v>Edible Oil</x:v>
      </x:c>
      <x:c r="K11" t="str">
        <x:v>Fortune</x:v>
      </x:c>
      <x:c r="L11" s="22" t="n">
        <x:v>1980</x:v>
      </x:c>
      <x:c r="M11" t="n">
        <x:v>5</x:v>
      </x:c>
      <x:c r="N11" s="24" t="n">
        <x:v>0.05</x:v>
      </x:c>
      <x:c r="O11" s="22" t="n">
        <x:f>L11*M11</x:f>
        <x:v>9900</x:v>
      </x:c>
      <x:c r="P11" s="22" t="n">
        <x:f>O11*(1-N11)</x:f>
        <x:v>9405</x:v>
      </x:c>
      <x:c r="Q11" s="22" t="n">
        <x:v>1810</x:v>
      </x:c>
      <x:c r="R11" s="22" t="n">
        <x:f>Q11*M11</x:f>
        <x:v>9050</x:v>
      </x:c>
      <x:c r="S11" s="22" t="n">
        <x:f>P11-R11</x:f>
        <x:v>355</x:v>
      </x:c>
      <x:c r="T11" t="str">
        <x:v>Credit</x:v>
      </x:c>
      <x:c r="U11" t="str">
        <x:v>Paid</x:v>
      </x:c>
      <x:c r="V11" t="str">
        <x:v>Delivered</x:v>
      </x:c>
      <x:c r="W11" t="n">
        <x:v>2</x:v>
      </x:c>
      <x:c r="X11" t="str">
        <x:v>Quality Issue</x:v>
      </x:c>
      <x:c r="Y11" t="str">
        <x:v>Existing Customer</x:v>
      </x:c>
    </x:row>
    <x:row r="12">
      <x:c r="A12" t="str">
        <x:v>O000011</x:v>
      </x:c>
      <x:c r="B12" s="20" t="n">
        <x:v>46119</x:v>
      </x:c>
      <x:c r="C12" t="str">
        <x:v>C0099</x:v>
      </x:c>
      <x:c r="D12" t="str">
        <x:v>Green Cafe 99</x:v>
      </x:c>
      <x:c r="E12" t="str">
        <x:v>Restaurant</x:v>
      </x:c>
      <x:c r="F12" t="str">
        <x:v>Hubballi</x:v>
      </x:c>
      <x:c r="G12" t="str">
        <x:v>Ramesh</x:v>
      </x:c>
      <x:c r="H12" t="str">
        <x:v>P033</x:v>
      </x:c>
      <x:c r="I12" t="str">
        <x:v>Turmeric Powder 1kg</x:v>
      </x:c>
      <x:c r="J12" t="str">
        <x:v>Spices</x:v>
      </x:c>
      <x:c r="K12" t="str">
        <x:v>Everest</x:v>
      </x:c>
      <x:c r="L12" s="22" t="n">
        <x:v>310</x:v>
      </x:c>
      <x:c r="M12" t="n">
        <x:v>36</x:v>
      </x:c>
      <x:c r="N12" s="24" t="n">
        <x:v>0.02</x:v>
      </x:c>
      <x:c r="O12" s="22" t="n">
        <x:f>L12*M12</x:f>
        <x:v>11160</x:v>
      </x:c>
      <x:c r="P12" s="22" t="n">
        <x:f>O12*(1-N12)</x:f>
        <x:v>10936.8</x:v>
      </x:c>
      <x:c r="Q12" s="22" t="n">
        <x:v>270</x:v>
      </x:c>
      <x:c r="R12" s="22" t="n">
        <x:f>Q12*M12</x:f>
        <x:v>9720</x:v>
      </x:c>
      <x:c r="S12" s="22" t="n">
        <x:f>P12-R12</x:f>
        <x:v>1216.7999999999993</x:v>
      </x:c>
      <x:c r="T12" t="str">
        <x:v>UPI</x:v>
      </x:c>
      <x:c r="U12" t="str">
        <x:v>Paid</x:v>
      </x:c>
      <x:c r="V12" t="str">
        <x:v>Delivered</x:v>
      </x:c>
      <x:c r="W12" t="n">
        <x:v>0</x:v>
      </x:c>
      <x:c r="X12" t="str"/>
      <x:c r="Y12" t="str">
        <x:v>Field Visit</x:v>
      </x:c>
    </x:row>
    <x:row r="13">
      <x:c r="A13" t="str">
        <x:v>O000012</x:v>
      </x:c>
      <x:c r="B13" s="20" t="n">
        <x:v>45805</x:v>
      </x:c>
      <x:c r="C13" t="str">
        <x:v>C0094</x:v>
      </x:c>
      <x:c r="D13" t="str">
        <x:v>Mysore Mart 94</x:v>
      </x:c>
      <x:c r="E13" t="str">
        <x:v>Restaurant</x:v>
      </x:c>
      <x:c r="F13" t="str">
        <x:v>Hubballi</x:v>
      </x:c>
      <x:c r="G13" t="str">
        <x:v>Sneha</x:v>
      </x:c>
      <x:c r="H13" t="str">
        <x:v>P049</x:v>
      </x:c>
      <x:c r="I13" t="str">
        <x:v>Apple 10kg</x:v>
      </x:c>
      <x:c r="J13" t="str">
        <x:v>Fresh Produce</x:v>
      </x:c>
      <x:c r="K13" t="str">
        <x:v>Local Market</x:v>
      </x:c>
      <x:c r="L13" s="22" t="n">
        <x:v>1450</x:v>
      </x:c>
      <x:c r="M13" t="n">
        <x:v>10</x:v>
      </x:c>
      <x:c r="N13" s="24" t="n">
        <x:v>0.03</x:v>
      </x:c>
      <x:c r="O13" s="22" t="n">
        <x:f>L13*M13</x:f>
        <x:v>14500</x:v>
      </x:c>
      <x:c r="P13" s="22" t="n">
        <x:f>O13*(1-N13)</x:f>
        <x:v>14065</x:v>
      </x:c>
      <x:c r="Q13" s="22" t="n">
        <x:v>1280</x:v>
      </x:c>
      <x:c r="R13" s="22" t="n">
        <x:f>Q13*M13</x:f>
        <x:v>12800</x:v>
      </x:c>
      <x:c r="S13" s="22" t="n">
        <x:f>P13-R13</x:f>
        <x:v>1265</x:v>
      </x:c>
      <x:c r="T13" t="str">
        <x:v>UPI</x:v>
      </x:c>
      <x:c r="U13" t="str">
        <x:v>Paid</x:v>
      </x:c>
      <x:c r="V13" t="str">
        <x:v>Delivered</x:v>
      </x:c>
      <x:c r="W13" t="n">
        <x:v>0</x:v>
      </x:c>
      <x:c r="X13" t="str"/>
      <x:c r="Y13" t="str">
        <x:v>WhatsApp</x:v>
      </x:c>
    </x:row>
    <x:row r="14">
      <x:c r="A14" t="str">
        <x:v>O000013</x:v>
      </x:c>
      <x:c r="B14" s="20" t="n">
        <x:v>46185</x:v>
      </x:c>
      <x:c r="C14" t="str">
        <x:v>C0039</x:v>
      </x:c>
      <x:c r="D14" t="str">
        <x:v>Sagar Cafe 39</x:v>
      </x:c>
      <x:c r="E14" t="str">
        <x:v>Restaurant</x:v>
      </x:c>
      <x:c r="F14" t="str">
        <x:v>Hubballi</x:v>
      </x:c>
      <x:c r="G14" t="str">
        <x:v>Imran</x:v>
      </x:c>
      <x:c r="H14" t="str">
        <x:v>P039</x:v>
      </x:c>
      <x:c r="I14" t="str">
        <x:v>Ice Cream 4L</x:v>
      </x:c>
      <x:c r="J14" t="str">
        <x:v>Frozen</x:v>
      </x:c>
      <x:c r="K14" t="str">
        <x:v>Amul</x:v>
      </x:c>
      <x:c r="L14" s="22" t="n">
        <x:v>480</x:v>
      </x:c>
      <x:c r="M14" t="n">
        <x:v>9</x:v>
      </x:c>
      <x:c r="N14" s="24" t="n">
        <x:v>0.02</x:v>
      </x:c>
      <x:c r="O14" s="22" t="n">
        <x:f>L14*M14</x:f>
        <x:v>4320</x:v>
      </x:c>
      <x:c r="P14" s="22" t="n">
        <x:f>O14*(1-N14)</x:f>
        <x:v>4233.6</x:v>
      </x:c>
      <x:c r="Q14" s="22" t="n">
        <x:v>420</x:v>
      </x:c>
      <x:c r="R14" s="22" t="n">
        <x:f>Q14*M14</x:f>
        <x:v>3780</x:v>
      </x:c>
      <x:c r="S14" s="22" t="n">
        <x:f>P14-R14</x:f>
        <x:v>453.60000000000036</x:v>
      </x:c>
      <x:c r="T14" t="str">
        <x:v>Cash</x:v>
      </x:c>
      <x:c r="U14" t="str">
        <x:v>Paid</x:v>
      </x:c>
      <x:c r="V14" t="str">
        <x:v>Delayed</x:v>
      </x:c>
      <x:c r="W14" t="n">
        <x:v>0</x:v>
      </x:c>
      <x:c r="X14" t="str"/>
      <x:c r="Y14" t="str">
        <x:v>Field Visit</x:v>
      </x:c>
    </x:row>
    <x:row r="15">
      <x:c r="A15" t="str">
        <x:v>O000014</x:v>
      </x:c>
      <x:c r="B15" s="20" t="n">
        <x:v>46203</x:v>
      </x:c>
      <x:c r="C15" t="str">
        <x:v>C0130</x:v>
      </x:c>
      <x:c r="D15" t="str">
        <x:v>Foodie Cafe 130</x:v>
      </x:c>
      <x:c r="E15" t="str">
        <x:v>Restaurant</x:v>
      </x:c>
      <x:c r="F15" t="str">
        <x:v>Davanagere</x:v>
      </x:c>
      <x:c r="G15" t="str">
        <x:v>Megha</x:v>
      </x:c>
      <x:c r="H15" t="str">
        <x:v>P033</x:v>
      </x:c>
      <x:c r="I15" t="str">
        <x:v>Turmeric Powder 1kg</x:v>
      </x:c>
      <x:c r="J15" t="str">
        <x:v>Spices</x:v>
      </x:c>
      <x:c r="K15" t="str">
        <x:v>Everest</x:v>
      </x:c>
      <x:c r="L15" s="22" t="n">
        <x:v>310</x:v>
      </x:c>
      <x:c r="M15" t="n">
        <x:v>32</x:v>
      </x:c>
      <x:c r="N15" s="24" t="n">
        <x:v>0.05</x:v>
      </x:c>
      <x:c r="O15" s="22" t="n">
        <x:f>L15*M15</x:f>
        <x:v>9920</x:v>
      </x:c>
      <x:c r="P15" s="22" t="n">
        <x:f>O15*(1-N15)</x:f>
        <x:v>9424</x:v>
      </x:c>
      <x:c r="Q15" s="22" t="n">
        <x:v>270</x:v>
      </x:c>
      <x:c r="R15" s="22" t="n">
        <x:f>Q15*M15</x:f>
        <x:v>8640</x:v>
      </x:c>
      <x:c r="S15" s="22" t="n">
        <x:f>P15-R15</x:f>
        <x:v>784</x:v>
      </x:c>
      <x:c r="T15" t="str">
        <x:v>Cash</x:v>
      </x:c>
      <x:c r="U15" t="str">
        <x:v>Paid</x:v>
      </x:c>
      <x:c r="V15" t="str">
        <x:v>Delivered</x:v>
      </x:c>
      <x:c r="W15" t="n">
        <x:v>0</x:v>
      </x:c>
      <x:c r="X15" t="str"/>
      <x:c r="Y15" t="str">
        <x:v>Outbound Call</x:v>
      </x:c>
    </x:row>
    <x:row r="16">
      <x:c r="A16" t="str">
        <x:v>O000015</x:v>
      </x:c>
      <x:c r="B16" s="20" t="n">
        <x:v>45685</x:v>
      </x:c>
      <x:c r="C16" t="str">
        <x:v>C0150</x:v>
      </x:c>
      <x:c r="D16" t="str">
        <x:v>Sagar Kitchen 150</x:v>
      </x:c>
      <x:c r="E16" t="str">
        <x:v>Kirana</x:v>
      </x:c>
      <x:c r="F16" t="str">
        <x:v>Hubballi</x:v>
      </x:c>
      <x:c r="G16" t="str">
        <x:v>Ramesh</x:v>
      </x:c>
      <x:c r="H16" t="str">
        <x:v>P020</x:v>
      </x:c>
      <x:c r="I16" t="str">
        <x:v>Coffee 500g</x:v>
      </x:c>
      <x:c r="J16" t="str">
        <x:v>Beverage</x:v>
      </x:c>
      <x:c r="K16" t="str">
        <x:v>Bru</x:v>
      </x:c>
      <x:c r="L16" s="22" t="n">
        <x:v>390</x:v>
      </x:c>
      <x:c r="M16" t="n">
        <x:v>39</x:v>
      </x:c>
      <x:c r="N16" s="24" t="n">
        <x:v>0.03</x:v>
      </x:c>
      <x:c r="O16" s="22" t="n">
        <x:f>L16*M16</x:f>
        <x:v>15210</x:v>
      </x:c>
      <x:c r="P16" s="22" t="n">
        <x:f>O16*(1-N16)</x:f>
        <x:v>14753.699999999999</x:v>
      </x:c>
      <x:c r="Q16" s="22" t="n">
        <x:v>350</x:v>
      </x:c>
      <x:c r="R16" s="22" t="n">
        <x:f>Q16*M16</x:f>
        <x:v>13650</x:v>
      </x:c>
      <x:c r="S16" s="22" t="n">
        <x:f>P16-R16</x:f>
        <x:v>1103.699999999999</x:v>
      </x:c>
      <x:c r="T16" t="str">
        <x:v>Bank Transfer</x:v>
      </x:c>
      <x:c r="U16" t="str">
        <x:v>Pending</x:v>
      </x:c>
      <x:c r="V16" t="str">
        <x:v>Delayed</x:v>
      </x:c>
      <x:c r="W16" t="n">
        <x:v>0</x:v>
      </x:c>
      <x:c r="X16" t="str"/>
      <x:c r="Y16" t="str">
        <x:v>WhatsApp</x:v>
      </x:c>
    </x:row>
    <x:row r="17">
      <x:c r="A17" t="str">
        <x:v>O000016</x:v>
      </x:c>
      <x:c r="B17" s="20" t="n">
        <x:v>46047</x:v>
      </x:c>
      <x:c r="C17" t="str">
        <x:v>C0162</x:v>
      </x:c>
      <x:c r="D17" t="str">
        <x:v>Udupi Foods 162</x:v>
      </x:c>
      <x:c r="E17" t="str">
        <x:v>Restaurant</x:v>
      </x:c>
      <x:c r="F17" t="str">
        <x:v>Mysuru</x:v>
      </x:c>
      <x:c r="G17" t="str">
        <x:v>Ramesh</x:v>
      </x:c>
      <x:c r="H17" t="str">
        <x:v>P047</x:v>
      </x:c>
      <x:c r="I17" t="str">
        <x:v>Tomato 25kg</x:v>
      </x:c>
      <x:c r="J17" t="str">
        <x:v>Fresh Produce</x:v>
      </x:c>
      <x:c r="K17" t="str">
        <x:v>Local Market</x:v>
      </x:c>
      <x:c r="L17" s="22" t="n">
        <x:v>950</x:v>
      </x:c>
      <x:c r="M17" t="n">
        <x:v>10</x:v>
      </x:c>
      <x:c r="N17" s="24" t="n">
        <x:v>0.05</x:v>
      </x:c>
      <x:c r="O17" s="22" t="n">
        <x:f>L17*M17</x:f>
        <x:v>9500</x:v>
      </x:c>
      <x:c r="P17" s="22" t="n">
        <x:f>O17*(1-N17)</x:f>
        <x:v>9025</x:v>
      </x:c>
      <x:c r="Q17" s="22" t="n">
        <x:v>810</x:v>
      </x:c>
      <x:c r="R17" s="22" t="n">
        <x:f>Q17*M17</x:f>
        <x:v>8100</x:v>
      </x:c>
      <x:c r="S17" s="22" t="n">
        <x:f>P17-R17</x:f>
        <x:v>925</x:v>
      </x:c>
      <x:c r="T17" t="str">
        <x:v>Bank Transfer</x:v>
      </x:c>
      <x:c r="U17" t="str">
        <x:v>Paid</x:v>
      </x:c>
      <x:c r="V17" t="str">
        <x:v>Cancelled</x:v>
      </x:c>
      <x:c r="W17" t="n">
        <x:v>10</x:v>
      </x:c>
      <x:c r="X17" t="str">
        <x:v>Cancelled Order</x:v>
      </x:c>
      <x:c r="Y17" t="str">
        <x:v>Outbound Call</x:v>
      </x:c>
    </x:row>
    <x:row r="18">
      <x:c r="A18" t="str">
        <x:v>O000017</x:v>
      </x:c>
      <x:c r="B18" s="20" t="n">
        <x:v>46086</x:v>
      </x:c>
      <x:c r="C18" t="str">
        <x:v>C0113</x:v>
      </x:c>
      <x:c r="D18" t="str">
        <x:v>Namma Mart 113</x:v>
      </x:c>
      <x:c r="E18" t="str">
        <x:v>Restaurant</x:v>
      </x:c>
      <x:c r="F18" t="str">
        <x:v>Bengaluru</x:v>
      </x:c>
      <x:c r="G18" t="str">
        <x:v>Imran</x:v>
      </x:c>
      <x:c r="H18" t="str">
        <x:v>P021</x:v>
      </x:c>
      <x:c r="I18" t="str">
        <x:v>Instant Coffee 200g</x:v>
      </x:c>
      <x:c r="J18" t="str">
        <x:v>Beverage</x:v>
      </x:c>
      <x:c r="K18" t="str">
        <x:v>Nescafe</x:v>
      </x:c>
      <x:c r="L18" s="22" t="n">
        <x:v>460</x:v>
      </x:c>
      <x:c r="M18" t="n">
        <x:v>10</x:v>
      </x:c>
      <x:c r="N18" s="24" t="n">
        <x:v>0.03</x:v>
      </x:c>
      <x:c r="O18" s="22" t="n">
        <x:f>L18*M18</x:f>
        <x:v>4600</x:v>
      </x:c>
      <x:c r="P18" s="22" t="n">
        <x:f>O18*(1-N18)</x:f>
        <x:v>4462</x:v>
      </x:c>
      <x:c r="Q18" s="22" t="n">
        <x:v>410</x:v>
      </x:c>
      <x:c r="R18" s="22" t="n">
        <x:f>Q18*M18</x:f>
        <x:v>4100</x:v>
      </x:c>
      <x:c r="S18" s="22" t="n">
        <x:f>P18-R18</x:f>
        <x:v>362</x:v>
      </x:c>
      <x:c r="T18" t="str">
        <x:v>Bank Transfer</x:v>
      </x:c>
      <x:c r="U18" t="str">
        <x:v>Paid</x:v>
      </x:c>
      <x:c r="V18" t="str">
        <x:v>Delayed</x:v>
      </x:c>
      <x:c r="W18" t="n">
        <x:v>0</x:v>
      </x:c>
      <x:c r="X18" t="str"/>
      <x:c r="Y18" t="str">
        <x:v>WhatsApp</x:v>
      </x:c>
    </x:row>
    <x:row r="19">
      <x:c r="A19" t="str">
        <x:v>O000018</x:v>
      </x:c>
      <x:c r="B19" s="20" t="n">
        <x:v>45721</x:v>
      </x:c>
      <x:c r="C19" t="str">
        <x:v>C0189</x:v>
      </x:c>
      <x:c r="D19" t="str">
        <x:v>Classic Canteen 189</x:v>
      </x:c>
      <x:c r="E19" t="str">
        <x:v>Kirana</x:v>
      </x:c>
      <x:c r="F19" t="str">
        <x:v>Hubballi</x:v>
      </x:c>
      <x:c r="G19" t="str">
        <x:v>Vikram</x:v>
      </x:c>
      <x:c r="H19" t="str">
        <x:v>P047</x:v>
      </x:c>
      <x:c r="I19" t="str">
        <x:v>Tomato 25kg</x:v>
      </x:c>
      <x:c r="J19" t="str">
        <x:v>Fresh Produce</x:v>
      </x:c>
      <x:c r="K19" t="str">
        <x:v>Local Market</x:v>
      </x:c>
      <x:c r="L19" s="22" t="n">
        <x:v>950</x:v>
      </x:c>
      <x:c r="M19" t="n">
        <x:v>9</x:v>
      </x:c>
      <x:c r="N19" s="24" t="n">
        <x:v>0.03</x:v>
      </x:c>
      <x:c r="O19" s="22" t="n">
        <x:f>L19*M19</x:f>
        <x:v>8550</x:v>
      </x:c>
      <x:c r="P19" s="22" t="n">
        <x:f>O19*(1-N19)</x:f>
        <x:v>8293.5</x:v>
      </x:c>
      <x:c r="Q19" s="22" t="n">
        <x:v>810</x:v>
      </x:c>
      <x:c r="R19" s="22" t="n">
        <x:f>Q19*M19</x:f>
        <x:v>7290</x:v>
      </x:c>
      <x:c r="S19" s="22" t="n">
        <x:f>P19-R19</x:f>
        <x:v>1003.5</x:v>
      </x:c>
      <x:c r="T19" t="str">
        <x:v>Cash</x:v>
      </x:c>
      <x:c r="U19" t="str">
        <x:v>Overdue</x:v>
      </x:c>
      <x:c r="V19" t="str">
        <x:v>Delivered</x:v>
      </x:c>
      <x:c r="W19" t="n">
        <x:v>0</x:v>
      </x:c>
      <x:c r="X19" t="str"/>
      <x:c r="Y19" t="str">
        <x:v>Field Visit</x:v>
      </x:c>
    </x:row>
    <x:row r="20">
      <x:c r="A20" t="str">
        <x:v>O000019</x:v>
      </x:c>
      <x:c r="B20" s="20" t="n">
        <x:v>46008</x:v>
      </x:c>
      <x:c r="C20" t="str">
        <x:v>C0118</x:v>
      </x:c>
      <x:c r="D20" t="str">
        <x:v>Sagar Kitchen 118</x:v>
      </x:c>
      <x:c r="E20" t="str">
        <x:v>Restaurant</x:v>
      </x:c>
      <x:c r="F20" t="str">
        <x:v>Hubballi</x:v>
      </x:c>
      <x:c r="G20" t="str">
        <x:v>Megha</x:v>
      </x:c>
      <x:c r="H20" t="str">
        <x:v>P035</x:v>
      </x:c>
      <x:c r="I20" t="str">
        <x:v>Coriander Powder 1kg</x:v>
      </x:c>
      <x:c r="J20" t="str">
        <x:v>Spices</x:v>
      </x:c>
      <x:c r="K20" t="str">
        <x:v>Everest</x:v>
      </x:c>
      <x:c r="L20" s="22" t="n">
        <x:v>280</x:v>
      </x:c>
      <x:c r="M20" t="n">
        <x:v>35</x:v>
      </x:c>
      <x:c r="N20" s="24" t="n">
        <x:v>0.02</x:v>
      </x:c>
      <x:c r="O20" s="22" t="n">
        <x:f>L20*M20</x:f>
        <x:v>9800</x:v>
      </x:c>
      <x:c r="P20" s="22" t="n">
        <x:f>O20*(1-N20)</x:f>
        <x:v>9604</x:v>
      </x:c>
      <x:c r="Q20" s="22" t="n">
        <x:v>245</x:v>
      </x:c>
      <x:c r="R20" s="22" t="n">
        <x:f>Q20*M20</x:f>
        <x:v>8575</x:v>
      </x:c>
      <x:c r="S20" s="22" t="n">
        <x:f>P20-R20</x:f>
        <x:v>1029</x:v>
      </x:c>
      <x:c r="T20" t="str">
        <x:v>Cash</x:v>
      </x:c>
      <x:c r="U20" t="str">
        <x:v>Paid</x:v>
      </x:c>
      <x:c r="V20" t="str">
        <x:v>Delivered</x:v>
      </x:c>
      <x:c r="W20" t="n">
        <x:v>0</x:v>
      </x:c>
      <x:c r="X20" t="str"/>
      <x:c r="Y20" t="str">
        <x:v>Field Visit</x:v>
      </x:c>
    </x:row>
    <x:row r="21">
      <x:c r="A21" t="str">
        <x:v>O000020</x:v>
      </x:c>
      <x:c r="B21" s="20" t="n">
        <x:v>45953</x:v>
      </x:c>
      <x:c r="C21" t="str">
        <x:v>C0058</x:v>
      </x:c>
      <x:c r="D21" t="str">
        <x:v>Spice Kitchen 58</x:v>
      </x:c>
      <x:c r="E21" t="str">
        <x:v>Supermarket</x:v>
      </x:c>
      <x:c r="F21" t="str">
        <x:v>Davanagere</x:v>
      </x:c>
      <x:c r="G21" t="str">
        <x:v>Sneha</x:v>
      </x:c>
      <x:c r="H21" t="str">
        <x:v>P020</x:v>
      </x:c>
      <x:c r="I21" t="str">
        <x:v>Coffee 500g</x:v>
      </x:c>
      <x:c r="J21" t="str">
        <x:v>Beverage</x:v>
      </x:c>
      <x:c r="K21" t="str">
        <x:v>Bru</x:v>
      </x:c>
      <x:c r="L21" s="22" t="n">
        <x:v>390</x:v>
      </x:c>
      <x:c r="M21" t="n">
        <x:v>14</x:v>
      </x:c>
      <x:c r="N21" s="24" t="n">
        <x:v>0.05</x:v>
      </x:c>
      <x:c r="O21" s="22" t="n">
        <x:f>L21*M21</x:f>
        <x:v>5460</x:v>
      </x:c>
      <x:c r="P21" s="22" t="n">
        <x:f>O21*(1-N21)</x:f>
        <x:v>5187</x:v>
      </x:c>
      <x:c r="Q21" s="22" t="n">
        <x:v>350</x:v>
      </x:c>
      <x:c r="R21" s="22" t="n">
        <x:f>Q21*M21</x:f>
        <x:v>4900</x:v>
      </x:c>
      <x:c r="S21" s="22" t="n">
        <x:f>P21-R21</x:f>
        <x:v>287</x:v>
      </x:c>
      <x:c r="T21" t="str">
        <x:v>Credit</x:v>
      </x:c>
      <x:c r="U21" t="str">
        <x:v>Paid</x:v>
      </x:c>
      <x:c r="V21" t="str">
        <x:v>Delivered</x:v>
      </x:c>
      <x:c r="W21" t="n">
        <x:v>0</x:v>
      </x:c>
      <x:c r="X21" t="str"/>
      <x:c r="Y21" t="str">
        <x:v>Field Visit</x:v>
      </x:c>
    </x:row>
    <x:row r="22">
      <x:c r="A22" t="str">
        <x:v>O000021</x:v>
      </x:c>
      <x:c r="B22" s="20" t="n">
        <x:v>46214</x:v>
      </x:c>
      <x:c r="C22" t="str">
        <x:v>C0147</x:v>
      </x:c>
      <x:c r="D22" t="str">
        <x:v>New Stores 147</x:v>
      </x:c>
      <x:c r="E22" t="str">
        <x:v>Supermarket</x:v>
      </x:c>
      <x:c r="F22" t="str">
        <x:v>Hubballi</x:v>
      </x:c>
      <x:c r="G22" t="str">
        <x:v>Imran</x:v>
      </x:c>
      <x:c r="H22" t="str">
        <x:v>P044</x:v>
      </x:c>
      <x:c r="I22" t="str">
        <x:v>Chicken Curry Cut 1kg</x:v>
      </x:c>
      <x:c r="J22" t="str">
        <x:v>Protein</x:v>
      </x:c>
      <x:c r="K22" t="str">
        <x:v>FreshToHome</x:v>
      </x:c>
      <x:c r="L22" s="22" t="n">
        <x:v>230</x:v>
      </x:c>
      <x:c r="M22" t="n">
        <x:v>25</x:v>
      </x:c>
      <x:c r="N22" s="24" t="n">
        <x:v>0.08</x:v>
      </x:c>
      <x:c r="O22" s="22" t="n">
        <x:f>L22*M22</x:f>
        <x:v>5750</x:v>
      </x:c>
      <x:c r="P22" s="22" t="n">
        <x:f>O22*(1-N22)</x:f>
        <x:v>5290</x:v>
      </x:c>
      <x:c r="Q22" s="22" t="n">
        <x:v>205</x:v>
      </x:c>
      <x:c r="R22" s="22" t="n">
        <x:f>Q22*M22</x:f>
        <x:v>5125</x:v>
      </x:c>
      <x:c r="S22" s="22" t="n">
        <x:f>P22-R22</x:f>
        <x:v>165</x:v>
      </x:c>
      <x:c r="T22" t="str">
        <x:v>Credit</x:v>
      </x:c>
      <x:c r="U22" t="str">
        <x:v>Pending</x:v>
      </x:c>
      <x:c r="V22" t="str">
        <x:v>Delivered</x:v>
      </x:c>
      <x:c r="W22" t="n">
        <x:v>0</x:v>
      </x:c>
      <x:c r="X22" t="str"/>
      <x:c r="Y22" t="str">
        <x:v>Field Visit</x:v>
      </x:c>
    </x:row>
    <x:row r="23">
      <x:c r="A23" t="str">
        <x:v>O000022</x:v>
      </x:c>
      <x:c r="B23" s="20" t="n">
        <x:v>46110</x:v>
      </x:c>
      <x:c r="C23" t="str">
        <x:v>C0021</x:v>
      </x:c>
      <x:c r="D23" t="str">
        <x:v>Namma Cafe 21</x:v>
      </x:c>
      <x:c r="E23" t="str">
        <x:v>Canteen</x:v>
      </x:c>
      <x:c r="F23" t="str">
        <x:v>Bengaluru</x:v>
      </x:c>
      <x:c r="G23" t="str">
        <x:v>Kavya</x:v>
      </x:c>
      <x:c r="H23" t="str">
        <x:v>P023</x:v>
      </x:c>
      <x:c r="I23" t="str">
        <x:v>Cola 750ml</x:v>
      </x:c>
      <x:c r="J23" t="str">
        <x:v>Beverage</x:v>
      </x:c>
      <x:c r="K23" t="str">
        <x:v>Coca-Cola</x:v>
      </x:c>
      <x:c r="L23" s="22" t="n">
        <x:v>38</x:v>
      </x:c>
      <x:c r="M23" t="n">
        <x:v>17</x:v>
      </x:c>
      <x:c r="N23" s="24" t="n">
        <x:v>0.05</x:v>
      </x:c>
      <x:c r="O23" s="22" t="n">
        <x:f>L23*M23</x:f>
        <x:v>646</x:v>
      </x:c>
      <x:c r="P23" s="22" t="n">
        <x:f>O23*(1-N23)</x:f>
        <x:v>613.6999999999999</x:v>
      </x:c>
      <x:c r="Q23" s="22" t="n">
        <x:v>31</x:v>
      </x:c>
      <x:c r="R23" s="22" t="n">
        <x:f>Q23*M23</x:f>
        <x:v>527</x:v>
      </x:c>
      <x:c r="S23" s="22" t="n">
        <x:f>P23-R23</x:f>
        <x:v>86.69999999999993</x:v>
      </x:c>
      <x:c r="T23" t="str">
        <x:v>Bank Transfer</x:v>
      </x:c>
      <x:c r="U23" t="str">
        <x:v>Paid</x:v>
      </x:c>
      <x:c r="V23" t="str">
        <x:v>Delayed</x:v>
      </x:c>
      <x:c r="W23" t="n">
        <x:v>0</x:v>
      </x:c>
      <x:c r="X23" t="str"/>
      <x:c r="Y23" t="str">
        <x:v>Field Visit</x:v>
      </x:c>
    </x:row>
    <x:row r="24">
      <x:c r="A24" t="str">
        <x:v>O000023</x:v>
      </x:c>
      <x:c r="B24" s="20" t="n">
        <x:v>45798</x:v>
      </x:c>
      <x:c r="C24" t="str">
        <x:v>C0179</x:v>
      </x:c>
      <x:c r="D24" t="str">
        <x:v>Shree Hotel 179</x:v>
      </x:c>
      <x:c r="E24" t="str">
        <x:v>Restaurant</x:v>
      </x:c>
      <x:c r="F24" t="str">
        <x:v>Hubballi</x:v>
      </x:c>
      <x:c r="G24" t="str">
        <x:v>Kavya</x:v>
      </x:c>
      <x:c r="H24" t="str">
        <x:v>P018</x:v>
      </x:c>
      <x:c r="I24" t="str">
        <x:v>Paneer 1kg</x:v>
      </x:c>
      <x:c r="J24" t="str">
        <x:v>Dairy</x:v>
      </x:c>
      <x:c r="K24" t="str">
        <x:v>Milky Mist</x:v>
      </x:c>
      <x:c r="L24" s="22" t="n">
        <x:v>410</x:v>
      </x:c>
      <x:c r="M24" t="n">
        <x:v>7</x:v>
      </x:c>
      <x:c r="N24" s="24" t="n">
        <x:v>0.05</x:v>
      </x:c>
      <x:c r="O24" s="22" t="n">
        <x:f>L24*M24</x:f>
        <x:v>2870</x:v>
      </x:c>
      <x:c r="P24" s="22" t="n">
        <x:f>O24*(1-N24)</x:f>
        <x:v>2726.5</x:v>
      </x:c>
      <x:c r="Q24" s="22" t="n">
        <x:v>370</x:v>
      </x:c>
      <x:c r="R24" s="22" t="n">
        <x:f>Q24*M24</x:f>
        <x:v>2590</x:v>
      </x:c>
      <x:c r="S24" s="22" t="n">
        <x:f>P24-R24</x:f>
        <x:v>136.5</x:v>
      </x:c>
      <x:c r="T24" t="str">
        <x:v>Bank Transfer</x:v>
      </x:c>
      <x:c r="U24" t="str">
        <x:v>Paid</x:v>
      </x:c>
      <x:c r="V24" t="str">
        <x:v>Cancelled</x:v>
      </x:c>
      <x:c r="W24" t="n">
        <x:v>7</x:v>
      </x:c>
      <x:c r="X24" t="str">
        <x:v>Cancelled Order</x:v>
      </x:c>
      <x:c r="Y24" t="str">
        <x:v>Existing Customer</x:v>
      </x:c>
    </x:row>
    <x:row r="25">
      <x:c r="A25" t="str">
        <x:v>O000024</x:v>
      </x:c>
      <x:c r="B25" s="20" t="n">
        <x:v>45760</x:v>
      </x:c>
      <x:c r="C25" t="str">
        <x:v>C0060</x:v>
      </x:c>
      <x:c r="D25" t="str">
        <x:v>Sagar Stores 60</x:v>
      </x:c>
      <x:c r="E25" t="str">
        <x:v>Cafe</x:v>
      </x:c>
      <x:c r="F25" t="str">
        <x:v>Hubballi</x:v>
      </x:c>
      <x:c r="G25" t="str">
        <x:v>Imran</x:v>
      </x:c>
      <x:c r="H25" t="str">
        <x:v>P004</x:v>
      </x:c>
      <x:c r="I25" t="str">
        <x:v>Toor Dal 5kg</x:v>
      </x:c>
      <x:c r="J25" t="str">
        <x:v>Pulses</x:v>
      </x:c>
      <x:c r="K25" t="str">
        <x:v>Tata Sampann</x:v>
      </x:c>
      <x:c r="L25" s="22" t="n">
        <x:v>780</x:v>
      </x:c>
      <x:c r="M25" t="n">
        <x:v>27</x:v>
      </x:c>
      <x:c r="N25" s="24" t="n">
        <x:v>0.02</x:v>
      </x:c>
      <x:c r="O25" s="22" t="n">
        <x:f>L25*M25</x:f>
        <x:v>21060</x:v>
      </x:c>
      <x:c r="P25" s="22" t="n">
        <x:f>O25*(1-N25)</x:f>
        <x:v>20638.8</x:v>
      </x:c>
      <x:c r="Q25" s="22" t="n">
        <x:v>695</x:v>
      </x:c>
      <x:c r="R25" s="22" t="n">
        <x:f>Q25*M25</x:f>
        <x:v>18765</x:v>
      </x:c>
      <x:c r="S25" s="22" t="n">
        <x:f>P25-R25</x:f>
        <x:v>1873.7999999999993</x:v>
      </x:c>
      <x:c r="T25" t="str">
        <x:v>Credit</x:v>
      </x:c>
      <x:c r="U25" t="str">
        <x:v>Paid</x:v>
      </x:c>
      <x:c r="V25" t="str">
        <x:v>Delivered</x:v>
      </x:c>
      <x:c r="W25" t="n">
        <x:v>2</x:v>
      </x:c>
      <x:c r="X25" t="str">
        <x:v>Late Delivery</x:v>
      </x:c>
      <x:c r="Y25" t="str">
        <x:v>WhatsApp</x:v>
      </x:c>
    </x:row>
    <x:row r="26">
      <x:c r="A26" t="str">
        <x:v>O000025</x:v>
      </x:c>
      <x:c r="B26" s="20" t="n">
        <x:v>45952</x:v>
      </x:c>
      <x:c r="C26" t="str">
        <x:v>C0052</x:v>
      </x:c>
      <x:c r="D26" t="str">
        <x:v>Sagar Canteen 52</x:v>
      </x:c>
      <x:c r="E26" t="str">
        <x:v>Kirana</x:v>
      </x:c>
      <x:c r="F26" t="str">
        <x:v>Mysuru</x:v>
      </x:c>
      <x:c r="G26" t="str">
        <x:v>Kavya</x:v>
      </x:c>
      <x:c r="H26" t="str">
        <x:v>P049</x:v>
      </x:c>
      <x:c r="I26" t="str">
        <x:v>Apple 10kg</x:v>
      </x:c>
      <x:c r="J26" t="str">
        <x:v>Fresh Produce</x:v>
      </x:c>
      <x:c r="K26" t="str">
        <x:v>Local Market</x:v>
      </x:c>
      <x:c r="L26" s="22" t="n">
        <x:v>1450</x:v>
      </x:c>
      <x:c r="M26" t="n">
        <x:v>5</x:v>
      </x:c>
      <x:c r="N26" s="24" t="n">
        <x:v>0.05</x:v>
      </x:c>
      <x:c r="O26" s="22" t="n">
        <x:f>L26*M26</x:f>
        <x:v>7250</x:v>
      </x:c>
      <x:c r="P26" s="22" t="n">
        <x:f>O26*(1-N26)</x:f>
        <x:v>6887.5</x:v>
      </x:c>
      <x:c r="Q26" s="22" t="n">
        <x:v>1280</x:v>
      </x:c>
      <x:c r="R26" s="22" t="n">
        <x:f>Q26*M26</x:f>
        <x:v>6400</x:v>
      </x:c>
      <x:c r="S26" s="22" t="n">
        <x:f>P26-R26</x:f>
        <x:v>487.5</x:v>
      </x:c>
      <x:c r="T26" t="str">
        <x:v>UPI</x:v>
      </x:c>
      <x:c r="U26" t="str">
        <x:v>Paid</x:v>
      </x:c>
      <x:c r="V26" t="str">
        <x:v>Delivered</x:v>
      </x:c>
      <x:c r="W26" t="n">
        <x:v>0</x:v>
      </x:c>
      <x:c r="X26" t="str"/>
      <x:c r="Y26" t="str">
        <x:v>Outbound Call</x:v>
      </x:c>
    </x:row>
    <x:row r="27">
      <x:c r="A27" t="str">
        <x:v>O000026</x:v>
      </x:c>
      <x:c r="B27" s="20" t="n">
        <x:v>45838</x:v>
      </x:c>
      <x:c r="C27" t="str">
        <x:v>C0045</x:v>
      </x:c>
      <x:c r="D27" t="str">
        <x:v>Annapurna Restaurant 45</x:v>
      </x:c>
      <x:c r="E27" t="str">
        <x:v>Kirana</x:v>
      </x:c>
      <x:c r="F27" t="str">
        <x:v>Mysuru</x:v>
      </x:c>
      <x:c r="G27" t="str">
        <x:v>Arjun</x:v>
      </x:c>
      <x:c r="H27" t="str">
        <x:v>P027</x:v>
      </x:c>
      <x:c r="I27" t="str">
        <x:v>Biscuits 120g</x:v>
      </x:c>
      <x:c r="J27" t="str">
        <x:v>Snacks</x:v>
      </x:c>
      <x:c r="K27" t="str">
        <x:v>Parle-G</x:v>
      </x:c>
      <x:c r="L27" s="22" t="n">
        <x:v>12</x:v>
      </x:c>
      <x:c r="M27" t="n">
        <x:v>3</x:v>
      </x:c>
      <x:c r="N27" s="24" t="n">
        <x:v>0.1</x:v>
      </x:c>
      <x:c r="O27" s="22" t="n">
        <x:f>L27*M27</x:f>
        <x:v>36</x:v>
      </x:c>
      <x:c r="P27" s="22" t="n">
        <x:f>O27*(1-N27)</x:f>
        <x:v>32.4</x:v>
      </x:c>
      <x:c r="Q27" s="22" t="n">
        <x:v>9</x:v>
      </x:c>
      <x:c r="R27" s="22" t="n">
        <x:f>Q27*M27</x:f>
        <x:v>27</x:v>
      </x:c>
      <x:c r="S27" s="22" t="n">
        <x:f>P27-R27</x:f>
        <x:v>5.399999999999999</x:v>
      </x:c>
      <x:c r="T27" t="str">
        <x:v>Credit</x:v>
      </x:c>
      <x:c r="U27" t="str">
        <x:v>Pending</x:v>
      </x:c>
      <x:c r="V27" t="str">
        <x:v>Delivered</x:v>
      </x:c>
      <x:c r="W27" t="n">
        <x:v>0</x:v>
      </x:c>
      <x:c r="X27" t="str"/>
      <x:c r="Y27" t="str">
        <x:v>Field Visit</x:v>
      </x:c>
    </x:row>
    <x:row r="28">
      <x:c r="A28" t="str">
        <x:v>O000027</x:v>
      </x:c>
      <x:c r="B28" s="20" t="n">
        <x:v>46239</x:v>
      </x:c>
      <x:c r="C28" t="str">
        <x:v>C0003</x:v>
      </x:c>
      <x:c r="D28" t="str">
        <x:v>Grand Foods 3</x:v>
      </x:c>
      <x:c r="E28" t="str">
        <x:v>Restaurant</x:v>
      </x:c>
      <x:c r="F28" t="str">
        <x:v>Bengaluru</x:v>
      </x:c>
      <x:c r="G28" t="str">
        <x:v>Vikram</x:v>
      </x:c>
      <x:c r="H28" t="str">
        <x:v>P020</x:v>
      </x:c>
      <x:c r="I28" t="str">
        <x:v>Coffee 500g</x:v>
      </x:c>
      <x:c r="J28" t="str">
        <x:v>Beverage</x:v>
      </x:c>
      <x:c r="K28" t="str">
        <x:v>Bru</x:v>
      </x:c>
      <x:c r="L28" s="22" t="n">
        <x:v>390</x:v>
      </x:c>
      <x:c r="M28" t="n">
        <x:v>39</x:v>
      </x:c>
      <x:c r="N28" s="24" t="n">
        <x:v>0</x:v>
      </x:c>
      <x:c r="O28" s="22" t="n">
        <x:f>L28*M28</x:f>
        <x:v>15210</x:v>
      </x:c>
      <x:c r="P28" s="22" t="n">
        <x:f>O28*(1-N28)</x:f>
        <x:v>15210</x:v>
      </x:c>
      <x:c r="Q28" s="22" t="n">
        <x:v>350</x:v>
      </x:c>
      <x:c r="R28" s="22" t="n">
        <x:f>Q28*M28</x:f>
        <x:v>13650</x:v>
      </x:c>
      <x:c r="S28" s="22" t="n">
        <x:f>P28-R28</x:f>
        <x:v>1560</x:v>
      </x:c>
      <x:c r="T28" t="str">
        <x:v>Cash</x:v>
      </x:c>
      <x:c r="U28" t="str">
        <x:v>Paid</x:v>
      </x:c>
      <x:c r="V28" t="str">
        <x:v>Cancelled</x:v>
      </x:c>
      <x:c r="W28" t="n">
        <x:v>39</x:v>
      </x:c>
      <x:c r="X28" t="str">
        <x:v>Cancelled Order</x:v>
      </x:c>
      <x:c r="Y28" t="str">
        <x:v>Existing Customer</x:v>
      </x:c>
    </x:row>
    <x:row r="29">
      <x:c r="A29" t="str">
        <x:v>O000028</x:v>
      </x:c>
      <x:c r="B29" s="20" t="n">
        <x:v>46174</x:v>
      </x:c>
      <x:c r="C29" t="str">
        <x:v>C0228</x:v>
      </x:c>
      <x:c r="D29" t="str">
        <x:v>Metro Foods 228</x:v>
      </x:c>
      <x:c r="E29" t="str">
        <x:v>Supermarket</x:v>
      </x:c>
      <x:c r="F29" t="str">
        <x:v>Davanagere</x:v>
      </x:c>
      <x:c r="G29" t="str">
        <x:v>Sneha</x:v>
      </x:c>
      <x:c r="H29" t="str">
        <x:v>P009</x:v>
      </x:c>
      <x:c r="I29" t="str">
        <x:v>Groundnut Oil 5L</x:v>
      </x:c>
      <x:c r="J29" t="str">
        <x:v>Edible Oil</x:v>
      </x:c>
      <x:c r="K29" t="str">
        <x:v>Dhara</x:v>
      </x:c>
      <x:c r="L29" s="22" t="n">
        <x:v>890</x:v>
      </x:c>
      <x:c r="M29" t="n">
        <x:v>30</x:v>
      </x:c>
      <x:c r="N29" s="24" t="n">
        <x:v>0.02</x:v>
      </x:c>
      <x:c r="O29" s="22" t="n">
        <x:f>L29*M29</x:f>
        <x:v>26700</x:v>
      </x:c>
      <x:c r="P29" s="22" t="n">
        <x:f>O29*(1-N29)</x:f>
        <x:v>26166</x:v>
      </x:c>
      <x:c r="Q29" s="22" t="n">
        <x:v>810</x:v>
      </x:c>
      <x:c r="R29" s="22" t="n">
        <x:f>Q29*M29</x:f>
        <x:v>24300</x:v>
      </x:c>
      <x:c r="S29" s="22" t="n">
        <x:f>P29-R29</x:f>
        <x:v>1866</x:v>
      </x:c>
      <x:c r="T29" t="str">
        <x:v>UPI</x:v>
      </x:c>
      <x:c r="U29" t="str">
        <x:v>Paid</x:v>
      </x:c>
      <x:c r="V29" t="str">
        <x:v>Cancelled</x:v>
      </x:c>
      <x:c r="W29" t="n">
        <x:v>30</x:v>
      </x:c>
      <x:c r="X29" t="str">
        <x:v>Cancelled Order</x:v>
      </x:c>
      <x:c r="Y29" t="str">
        <x:v>WhatsApp</x:v>
      </x:c>
    </x:row>
    <x:row r="30">
      <x:c r="A30" t="str">
        <x:v>O000029</x:v>
      </x:c>
      <x:c r="B30" s="20" t="n">
        <x:v>45672</x:v>
      </x:c>
      <x:c r="C30" t="str">
        <x:v>C0184</x:v>
      </x:c>
      <x:c r="D30" t="str">
        <x:v>Namma Restaurant 184</x:v>
      </x:c>
      <x:c r="E30" t="str">
        <x:v>Cafe</x:v>
      </x:c>
      <x:c r="F30" t="str">
        <x:v>Hubballi</x:v>
      </x:c>
      <x:c r="G30" t="str">
        <x:v>Arjun</x:v>
      </x:c>
      <x:c r="H30" t="str">
        <x:v>P012</x:v>
      </x:c>
      <x:c r="I30" t="str">
        <x:v>Maida 10kg</x:v>
      </x:c>
      <x:c r="J30" t="str">
        <x:v>Flour</x:v>
      </x:c>
      <x:c r="K30" t="str">
        <x:v>Aashirvaad</x:v>
      </x:c>
      <x:c r="L30" s="22" t="n">
        <x:v>520</x:v>
      </x:c>
      <x:c r="M30" t="n">
        <x:v>22</x:v>
      </x:c>
      <x:c r="N30" s="24" t="n">
        <x:v>0.05</x:v>
      </x:c>
      <x:c r="O30" s="22" t="n">
        <x:f>L30*M30</x:f>
        <x:v>11440</x:v>
      </x:c>
      <x:c r="P30" s="22" t="n">
        <x:f>O30*(1-N30)</x:f>
        <x:v>10868</x:v>
      </x:c>
      <x:c r="Q30" s="22" t="n">
        <x:v>460</x:v>
      </x:c>
      <x:c r="R30" s="22" t="n">
        <x:f>Q30*M30</x:f>
        <x:v>10120</x:v>
      </x:c>
      <x:c r="S30" s="22" t="n">
        <x:f>P30-R30</x:f>
        <x:v>748</x:v>
      </x:c>
      <x:c r="T30" t="str">
        <x:v>Bank Transfer</x:v>
      </x:c>
      <x:c r="U30" t="str">
        <x:v>Paid</x:v>
      </x:c>
      <x:c r="V30" t="str">
        <x:v>Cancelled</x:v>
      </x:c>
      <x:c r="W30" t="n">
        <x:v>22</x:v>
      </x:c>
      <x:c r="X30" t="str">
        <x:v>Cancelled Order</x:v>
      </x:c>
      <x:c r="Y30" t="str">
        <x:v>WhatsApp</x:v>
      </x:c>
    </x:row>
    <x:row r="31">
      <x:c r="A31" t="str">
        <x:v>O000030</x:v>
      </x:c>
      <x:c r="B31" s="20" t="n">
        <x:v>45746</x:v>
      </x:c>
      <x:c r="C31" t="str">
        <x:v>C0132</x:v>
      </x:c>
      <x:c r="D31" t="str">
        <x:v>Classic Stores 132</x:v>
      </x:c>
      <x:c r="E31" t="str">
        <x:v>Cafe</x:v>
      </x:c>
      <x:c r="F31" t="str">
        <x:v>Mysuru</x:v>
      </x:c>
      <x:c r="G31" t="str">
        <x:v>Megha</x:v>
      </x:c>
      <x:c r="H31" t="str">
        <x:v>P021</x:v>
      </x:c>
      <x:c r="I31" t="str">
        <x:v>Instant Coffee 200g</x:v>
      </x:c>
      <x:c r="J31" t="str">
        <x:v>Beverage</x:v>
      </x:c>
      <x:c r="K31" t="str">
        <x:v>Nescafe</x:v>
      </x:c>
      <x:c r="L31" s="22" t="n">
        <x:v>460</x:v>
      </x:c>
      <x:c r="M31" t="n">
        <x:v>26</x:v>
      </x:c>
      <x:c r="N31" s="24" t="n">
        <x:v>0.05</x:v>
      </x:c>
      <x:c r="O31" s="22" t="n">
        <x:f>L31*M31</x:f>
        <x:v>11960</x:v>
      </x:c>
      <x:c r="P31" s="22" t="n">
        <x:f>O31*(1-N31)</x:f>
        <x:v>11362</x:v>
      </x:c>
      <x:c r="Q31" s="22" t="n">
        <x:v>410</x:v>
      </x:c>
      <x:c r="R31" s="22" t="n">
        <x:f>Q31*M31</x:f>
        <x:v>10660</x:v>
      </x:c>
      <x:c r="S31" s="22" t="n">
        <x:f>P31-R31</x:f>
        <x:v>702</x:v>
      </x:c>
      <x:c r="T31" t="str">
        <x:v>Bank Transfer</x:v>
      </x:c>
      <x:c r="U31" t="str">
        <x:v>Overdue</x:v>
      </x:c>
      <x:c r="V31" t="str">
        <x:v>Delivered</x:v>
      </x:c>
      <x:c r="W31" t="n">
        <x:v>0</x:v>
      </x:c>
      <x:c r="X31" t="str"/>
      <x:c r="Y31" t="str"/>
    </x:row>
    <x:row r="32">
      <x:c r="A32" t="str">
        <x:v>O000031</x:v>
      </x:c>
      <x:c r="B32" s="20" t="n">
        <x:v>46115</x:v>
      </x:c>
      <x:c r="C32" t="str">
        <x:v>C0099</x:v>
      </x:c>
      <x:c r="D32" t="str">
        <x:v>Green Cafe 99</x:v>
      </x:c>
      <x:c r="E32" t="str">
        <x:v>Restaurant</x:v>
      </x:c>
      <x:c r="F32" t="str">
        <x:v>Hubballi</x:v>
      </x:c>
      <x:c r="G32" t="str">
        <x:v>Ramesh</x:v>
      </x:c>
      <x:c r="H32" t="str">
        <x:v>P016</x:v>
      </x:c>
      <x:c r="I32" t="str">
        <x:v>Curd 1kg</x:v>
      </x:c>
      <x:c r="J32" t="str">
        <x:v>Dairy</x:v>
      </x:c>
      <x:c r="K32" t="str">
        <x:v>Nandini</x:v>
      </x:c>
      <x:c r="L32" s="22" t="n">
        <x:v>72</x:v>
      </x:c>
      <x:c r="M32" t="n">
        <x:v>18</x:v>
      </x:c>
      <x:c r="N32" s="24" t="n">
        <x:v>0.1</x:v>
      </x:c>
      <x:c r="O32" s="22" t="n">
        <x:f>L32*M32</x:f>
        <x:v>1296</x:v>
      </x:c>
      <x:c r="P32" s="22" t="n">
        <x:f>O32*(1-N32)</x:f>
        <x:v>1166.4</x:v>
      </x:c>
      <x:c r="Q32" s="22" t="n">
        <x:v>64</x:v>
      </x:c>
      <x:c r="R32" s="22" t="n">
        <x:f>Q32*M32</x:f>
        <x:v>1152</x:v>
      </x:c>
      <x:c r="S32" s="22" t="n">
        <x:f>P32-R32</x:f>
        <x:v>14.400000000000091</x:v>
      </x:c>
      <x:c r="T32" t="str">
        <x:v>Cash</x:v>
      </x:c>
      <x:c r="U32" t="str">
        <x:v>Paid</x:v>
      </x:c>
      <x:c r="V32" t="str">
        <x:v>Delayed</x:v>
      </x:c>
      <x:c r="W32" t="n">
        <x:v>0</x:v>
      </x:c>
      <x:c r="X32" t="str"/>
      <x:c r="Y32" t="str">
        <x:v>Outbound Call</x:v>
      </x:c>
    </x:row>
    <x:row r="33">
      <x:c r="A33" t="str">
        <x:v>O000032</x:v>
      </x:c>
      <x:c r="B33" s="20" t="n">
        <x:v>45899</x:v>
      </x:c>
      <x:c r="C33" t="str">
        <x:v>C0093</x:v>
      </x:c>
      <x:c r="D33" t="str">
        <x:v>Sagar Hotel 93</x:v>
      </x:c>
      <x:c r="E33" t="str">
        <x:v>Hotel</x:v>
      </x:c>
      <x:c r="F33" t="str">
        <x:v>Hubballi</x:v>
      </x:c>
      <x:c r="G33" t="str">
        <x:v>Imran</x:v>
      </x:c>
      <x:c r="H33" t="str">
        <x:v>P045</x:v>
      </x:c>
      <x:c r="I33" t="str">
        <x:v>Onion 25kg</x:v>
      </x:c>
      <x:c r="J33" t="str">
        <x:v>Fresh Produce</x:v>
      </x:c>
      <x:c r="K33" t="str">
        <x:v>Local Market</x:v>
      </x:c>
      <x:c r="L33" s="22" t="n">
        <x:v>875</x:v>
      </x:c>
      <x:c r="M33" t="n">
        <x:v>4</x:v>
      </x:c>
      <x:c r="N33" s="24" t="n">
        <x:v>0.05</x:v>
      </x:c>
      <x:c r="O33" s="22" t="n">
        <x:f>L33*M33</x:f>
        <x:v>3500</x:v>
      </x:c>
      <x:c r="P33" s="22" t="n">
        <x:f>O33*(1-N33)</x:f>
        <x:v>3325</x:v>
      </x:c>
      <x:c r="Q33" s="22" t="n">
        <x:v>760</x:v>
      </x:c>
      <x:c r="R33" s="22" t="n">
        <x:f>Q33*M33</x:f>
        <x:v>3040</x:v>
      </x:c>
      <x:c r="S33" s="22" t="n">
        <x:f>P33-R33</x:f>
        <x:v>285</x:v>
      </x:c>
      <x:c r="T33" t="str">
        <x:v>Credit</x:v>
      </x:c>
      <x:c r="U33" t="str">
        <x:v>Paid</x:v>
      </x:c>
      <x:c r="V33" t="str">
        <x:v>Delivered</x:v>
      </x:c>
      <x:c r="W33" t="n">
        <x:v>0</x:v>
      </x:c>
      <x:c r="X33" t="str"/>
      <x:c r="Y33" t="str">
        <x:v>Field Visit</x:v>
      </x:c>
    </x:row>
    <x:row r="34">
      <x:c r="A34" t="str">
        <x:v>O000033</x:v>
      </x:c>
      <x:c r="B34" s="20" t="n">
        <x:v>46034</x:v>
      </x:c>
      <x:c r="C34" t="str">
        <x:v>C0164</x:v>
      </x:c>
      <x:c r="D34" t="str">
        <x:v>Sri Hotel 164</x:v>
      </x:c>
      <x:c r="E34" t="str">
        <x:v>Kirana</x:v>
      </x:c>
      <x:c r="F34" t="str">
        <x:v>Mysuru</x:v>
      </x:c>
      <x:c r="G34" t="str">
        <x:v>Vikram</x:v>
      </x:c>
      <x:c r="H34" t="str">
        <x:v>P019</x:v>
      </x:c>
      <x:c r="I34" t="str">
        <x:v>Tea 1kg</x:v>
      </x:c>
      <x:c r="J34" t="str">
        <x:v>Beverage</x:v>
      </x:c>
      <x:c r="K34" t="str">
        <x:v>Red Label</x:v>
      </x:c>
      <x:c r="L34" s="22" t="n">
        <x:v>540</x:v>
      </x:c>
      <x:c r="M34" t="n">
        <x:v>40</x:v>
      </x:c>
      <x:c r="N34" s="24" t="n">
        <x:v>0</x:v>
      </x:c>
      <x:c r="O34" s="22" t="n">
        <x:f>L34*M34</x:f>
        <x:v>21600</x:v>
      </x:c>
      <x:c r="P34" s="22" t="n">
        <x:f>O34*(1-N34)</x:f>
        <x:v>21600</x:v>
      </x:c>
      <x:c r="Q34" s="22" t="n">
        <x:v>485</x:v>
      </x:c>
      <x:c r="R34" s="22" t="n">
        <x:f>Q34*M34</x:f>
        <x:v>19400</x:v>
      </x:c>
      <x:c r="S34" s="22" t="n">
        <x:f>P34-R34</x:f>
        <x:v>2200</x:v>
      </x:c>
      <x:c r="T34" t="str">
        <x:v>Bank Transfer</x:v>
      </x:c>
      <x:c r="U34" t="str">
        <x:v>Paid</x:v>
      </x:c>
      <x:c r="V34" t="str">
        <x:v>Delivered</x:v>
      </x:c>
      <x:c r="W34" t="n">
        <x:v>0</x:v>
      </x:c>
      <x:c r="X34" t="str"/>
      <x:c r="Y34" t="str">
        <x:v>Existing Customer</x:v>
      </x:c>
    </x:row>
    <x:row r="35">
      <x:c r="A35" t="str">
        <x:v>O000034</x:v>
      </x:c>
      <x:c r="B35" s="20" t="n">
        <x:v>46140</x:v>
      </x:c>
      <x:c r="C35" t="str">
        <x:v>C0180</x:v>
      </x:c>
      <x:c r="D35" t="str">
        <x:v>Sri Kitchen 180</x:v>
      </x:c>
      <x:c r="E35" t="str">
        <x:v>Kirana</x:v>
      </x:c>
      <x:c r="F35" t="str">
        <x:v>Mysuru</x:v>
      </x:c>
      <x:c r="G35" t="str">
        <x:v>Vikram</x:v>
      </x:c>
      <x:c r="H35" t="str">
        <x:v>P036</x:v>
      </x:c>
      <x:c r="I35" t="str">
        <x:v>Garam Masala 500g</x:v>
      </x:c>
      <x:c r="J35" t="str">
        <x:v>Spices</x:v>
      </x:c>
      <x:c r="K35" t="str">
        <x:v>MDH</x:v>
      </x:c>
      <x:c r="L35" s="22" t="n">
        <x:v>265</x:v>
      </x:c>
      <x:c r="M35" t="n">
        <x:v>35</x:v>
      </x:c>
      <x:c r="N35" s="24" t="n">
        <x:v>0.05</x:v>
      </x:c>
      <x:c r="O35" s="22" t="n">
        <x:f>L35*M35</x:f>
        <x:v>9275</x:v>
      </x:c>
      <x:c r="P35" s="22" t="n">
        <x:f>O35*(1-N35)</x:f>
        <x:v>8811.25</x:v>
      </x:c>
      <x:c r="Q35" s="22" t="n">
        <x:v>230</x:v>
      </x:c>
      <x:c r="R35" s="22" t="n">
        <x:f>Q35*M35</x:f>
        <x:v>8050</x:v>
      </x:c>
      <x:c r="S35" s="22" t="n">
        <x:f>P35-R35</x:f>
        <x:v>761.25</x:v>
      </x:c>
      <x:c r="T35" t="str">
        <x:v>Bank Transfer</x:v>
      </x:c>
      <x:c r="U35" t="str">
        <x:v>Pending</x:v>
      </x:c>
      <x:c r="V35" t="str">
        <x:v>Cancelled</x:v>
      </x:c>
      <x:c r="W35" t="n">
        <x:v>35</x:v>
      </x:c>
      <x:c r="X35" t="str">
        <x:v>Cancelled Order</x:v>
      </x:c>
      <x:c r="Y35" t="str">
        <x:v>Existing Customer</x:v>
      </x:c>
    </x:row>
    <x:row r="36">
      <x:c r="A36" t="str">
        <x:v>O000035</x:v>
      </x:c>
      <x:c r="B36" s="20" t="n">
        <x:v>46115</x:v>
      </x:c>
      <x:c r="C36" t="str">
        <x:v>C0021</x:v>
      </x:c>
      <x:c r="D36" t="str">
        <x:v>Namma Cafe 21</x:v>
      </x:c>
      <x:c r="E36" t="str">
        <x:v>Canteen</x:v>
      </x:c>
      <x:c r="F36" t="str">
        <x:v>Bengaluru</x:v>
      </x:c>
      <x:c r="G36" t="str">
        <x:v>Kavya</x:v>
      </x:c>
      <x:c r="H36" t="str">
        <x:v>P034</x:v>
      </x:c>
      <x:c r="I36" t="str">
        <x:v>Chilli Powder 1kg</x:v>
      </x:c>
      <x:c r="J36" t="str">
        <x:v>Spices</x:v>
      </x:c>
      <x:c r="K36" t="str">
        <x:v>MDH</x:v>
      </x:c>
      <x:c r="L36" s="22" t="n">
        <x:v>340</x:v>
      </x:c>
      <x:c r="M36" t="n">
        <x:v>34</x:v>
      </x:c>
      <x:c r="N36" s="24" t="n">
        <x:v>0.05</x:v>
      </x:c>
      <x:c r="O36" s="22" t="n">
        <x:f>L36*M36</x:f>
        <x:v>11560</x:v>
      </x:c>
      <x:c r="P36" s="22" t="n">
        <x:f>O36*(1-N36)</x:f>
        <x:v>10982</x:v>
      </x:c>
      <x:c r="Q36" s="22" t="n">
        <x:v>295</x:v>
      </x:c>
      <x:c r="R36" s="22" t="n">
        <x:f>Q36*M36</x:f>
        <x:v>10030</x:v>
      </x:c>
      <x:c r="S36" s="22" t="n">
        <x:f>P36-R36</x:f>
        <x:v>952</x:v>
      </x:c>
      <x:c r="T36" t="str">
        <x:v>UPI</x:v>
      </x:c>
      <x:c r="U36" t="str">
        <x:v>Pending</x:v>
      </x:c>
      <x:c r="V36" t="str">
        <x:v>Delivered</x:v>
      </x:c>
      <x:c r="W36" t="n">
        <x:v>2</x:v>
      </x:c>
      <x:c r="X36" t="str">
        <x:v>Wrong Item</x:v>
      </x:c>
      <x:c r="Y36" t="str">
        <x:v>Referral</x:v>
      </x:c>
    </x:row>
    <x:row r="37">
      <x:c r="A37" t="str">
        <x:v>O000036</x:v>
      </x:c>
      <x:c r="B37" s="20" t="n">
        <x:v>45777</x:v>
      </x:c>
      <x:c r="C37" t="str">
        <x:v>C0134</x:v>
      </x:c>
      <x:c r="D37" t="str">
        <x:v>Annapurna Stores 134</x:v>
      </x:c>
      <x:c r="E37" t="str">
        <x:v>Cafe</x:v>
      </x:c>
      <x:c r="F37" t="str">
        <x:v>Bengaluru</x:v>
      </x:c>
      <x:c r="G37" t="str">
        <x:v>Kavya</x:v>
      </x:c>
      <x:c r="H37" t="str">
        <x:v>P029</x:v>
      </x:c>
      <x:c r="I37" t="str">
        <x:v>Tomato Ketchup 1kg</x:v>
      </x:c>
      <x:c r="J37" t="str">
        <x:v>Condiments</x:v>
      </x:c>
      <x:c r="K37" t="str">
        <x:v>Kissan</x:v>
      </x:c>
      <x:c r="L37" s="22" t="n">
        <x:v>145</x:v>
      </x:c>
      <x:c r="M37" t="n">
        <x:v>14</x:v>
      </x:c>
      <x:c r="N37" s="24" t="n">
        <x:v>0.05</x:v>
      </x:c>
      <x:c r="O37" s="22" t="n">
        <x:f>L37*M37</x:f>
        <x:v>2030</x:v>
      </x:c>
      <x:c r="P37" s="22" t="n">
        <x:f>O37*(1-N37)</x:f>
        <x:v>1928.5</x:v>
      </x:c>
      <x:c r="Q37" s="22" t="n">
        <x:v>126</x:v>
      </x:c>
      <x:c r="R37" s="22" t="n">
        <x:f>Q37*M37</x:f>
        <x:v>1764</x:v>
      </x:c>
      <x:c r="S37" s="22" t="n">
        <x:f>P37-R37</x:f>
        <x:v>164.5</x:v>
      </x:c>
      <x:c r="T37" t="str">
        <x:v>Credit</x:v>
      </x:c>
      <x:c r="U37" t="str">
        <x:v>Paid</x:v>
      </x:c>
      <x:c r="V37" t="str">
        <x:v>Delayed</x:v>
      </x:c>
      <x:c r="W37" t="n">
        <x:v>0</x:v>
      </x:c>
      <x:c r="X37" t="str"/>
      <x:c r="Y37" t="str">
        <x:v>WhatsApp</x:v>
      </x:c>
    </x:row>
    <x:row r="38">
      <x:c r="A38" t="str">
        <x:v>O000037</x:v>
      </x:c>
      <x:c r="B38" s="20" t="n">
        <x:v>46183</x:v>
      </x:c>
      <x:c r="C38" t="str">
        <x:v>C0117</x:v>
      </x:c>
      <x:c r="D38" t="str">
        <x:v>Classic Canteen 117</x:v>
      </x:c>
      <x:c r="E38" t="str">
        <x:v>Restaurant</x:v>
      </x:c>
      <x:c r="F38" t="str">
        <x:v>Hubballi</x:v>
      </x:c>
      <x:c r="G38" t="str">
        <x:v>Megha</x:v>
      </x:c>
      <x:c r="H38" t="str">
        <x:v>P009</x:v>
      </x:c>
      <x:c r="I38" t="str">
        <x:v>Groundnut Oil 5L</x:v>
      </x:c>
      <x:c r="J38" t="str">
        <x:v>Edible Oil</x:v>
      </x:c>
      <x:c r="K38" t="str">
        <x:v>Dhara</x:v>
      </x:c>
      <x:c r="L38" s="22" t="n">
        <x:v>890</x:v>
      </x:c>
      <x:c r="M38" t="n">
        <x:v>27</x:v>
      </x:c>
      <x:c r="N38" s="24" t="n">
        <x:v>0.03</x:v>
      </x:c>
      <x:c r="O38" s="22" t="n">
        <x:f>L38*M38</x:f>
        <x:v>24030</x:v>
      </x:c>
      <x:c r="P38" s="22" t="n">
        <x:f>O38*(1-N38)</x:f>
        <x:v>23309.1</x:v>
      </x:c>
      <x:c r="Q38" s="22" t="n">
        <x:v>810</x:v>
      </x:c>
      <x:c r="R38" s="22" t="n">
        <x:f>Q38*M38</x:f>
        <x:v>21870</x:v>
      </x:c>
      <x:c r="S38" s="22" t="n">
        <x:f>P38-R38</x:f>
        <x:v>1439.0999999999985</x:v>
      </x:c>
      <x:c r="T38" t="str">
        <x:v>UPI</x:v>
      </x:c>
      <x:c r="U38" t="str">
        <x:v>Paid</x:v>
      </x:c>
      <x:c r="V38" t="str">
        <x:v>Cancelled</x:v>
      </x:c>
      <x:c r="W38" t="n">
        <x:v>27</x:v>
      </x:c>
      <x:c r="X38" t="str">
        <x:v>Cancelled Order</x:v>
      </x:c>
      <x:c r="Y38" t="str">
        <x:v>Field Visit</x:v>
      </x:c>
    </x:row>
    <x:row r="39">
      <x:c r="A39" t="str">
        <x:v>O000038</x:v>
      </x:c>
      <x:c r="B39" s="20" t="n">
        <x:v>45661</x:v>
      </x:c>
      <x:c r="C39" t="str">
        <x:v>C0102</x:v>
      </x:c>
      <x:c r="D39" t="str">
        <x:v>Annapurna Foods 102</x:v>
      </x:c>
      <x:c r="E39" t="str">
        <x:v>Cafe</x:v>
      </x:c>
      <x:c r="F39" t="str">
        <x:v>Davanagere</x:v>
      </x:c>
      <x:c r="G39" t="str">
        <x:v>Ramesh</x:v>
      </x:c>
      <x:c r="H39" t="str">
        <x:v>P017</x:v>
      </x:c>
      <x:c r="I39" t="str">
        <x:v>Butter 500g</x:v>
      </x:c>
      <x:c r="J39" t="str">
        <x:v>Dairy</x:v>
      </x:c>
      <x:c r="K39" t="str">
        <x:v>Amul</x:v>
      </x:c>
      <x:c r="L39" s="22" t="n">
        <x:v>285</x:v>
      </x:c>
      <x:c r="M39" t="n">
        <x:v>14</x:v>
      </x:c>
      <x:c r="N39" s="24" t="n">
        <x:v>0.03</x:v>
      </x:c>
      <x:c r="O39" s="22" t="n">
        <x:f>L39*M39</x:f>
        <x:v>3990</x:v>
      </x:c>
      <x:c r="P39" s="22" t="n">
        <x:f>O39*(1-N39)</x:f>
        <x:v>3870.2999999999997</x:v>
      </x:c>
      <x:c r="Q39" s="22" t="n">
        <x:v>258</x:v>
      </x:c>
      <x:c r="R39" s="22" t="n">
        <x:f>Q39*M39</x:f>
        <x:v>3612</x:v>
      </x:c>
      <x:c r="S39" s="22" t="n">
        <x:f>P39-R39</x:f>
        <x:v>258.2999999999997</x:v>
      </x:c>
      <x:c r="T39" t="str">
        <x:v>UPI</x:v>
      </x:c>
      <x:c r="U39" t="str">
        <x:v>Paid</x:v>
      </x:c>
      <x:c r="V39" t="str">
        <x:v>Cancelled</x:v>
      </x:c>
      <x:c r="W39" t="n">
        <x:v>14</x:v>
      </x:c>
      <x:c r="X39" t="str">
        <x:v>Cancelled Order</x:v>
      </x:c>
      <x:c r="Y39" t="str">
        <x:v>Outbound Call</x:v>
      </x:c>
    </x:row>
    <x:row r="40">
      <x:c r="A40" t="str">
        <x:v>O000039</x:v>
      </x:c>
      <x:c r="B40" s="20" t="n">
        <x:v>46141</x:v>
      </x:c>
      <x:c r="C40" t="str">
        <x:v>C0016</x:v>
      </x:c>
      <x:c r="D40" t="str">
        <x:v>Royal Canteen 16</x:v>
      </x:c>
      <x:c r="E40" t="str">
        <x:v>Cafe</x:v>
      </x:c>
      <x:c r="F40" t="str">
        <x:v>Davanagere</x:v>
      </x:c>
      <x:c r="G40" t="str">
        <x:v>Megha</x:v>
      </x:c>
      <x:c r="H40" t="str">
        <x:v>P005</x:v>
      </x:c>
      <x:c r="I40" t="str">
        <x:v>Chana Dal 5kg</x:v>
      </x:c>
      <x:c r="J40" t="str">
        <x:v>Pulses</x:v>
      </x:c>
      <x:c r="K40" t="str">
        <x:v>Local Select</x:v>
      </x:c>
      <x:c r="L40" s="22" t="n">
        <x:v>520</x:v>
      </x:c>
      <x:c r="M40" t="n">
        <x:v>3</x:v>
      </x:c>
      <x:c r="N40" s="24" t="n">
        <x:v>0.02</x:v>
      </x:c>
      <x:c r="O40" s="22" t="n">
        <x:f>L40*M40</x:f>
        <x:v>1560</x:v>
      </x:c>
      <x:c r="P40" s="22" t="n">
        <x:f>O40*(1-N40)</x:f>
        <x:v>1528.8</x:v>
      </x:c>
      <x:c r="Q40" s="22" t="n">
        <x:v>455</x:v>
      </x:c>
      <x:c r="R40" s="22" t="n">
        <x:f>Q40*M40</x:f>
        <x:v>1365</x:v>
      </x:c>
      <x:c r="S40" s="22" t="n">
        <x:f>P40-R40</x:f>
        <x:v>163.79999999999995</x:v>
      </x:c>
      <x:c r="T40" t="str">
        <x:v>Bank Transfer</x:v>
      </x:c>
      <x:c r="U40" t="str">
        <x:v>Pending</x:v>
      </x:c>
      <x:c r="V40" t="str">
        <x:v>Cancelled</x:v>
      </x:c>
      <x:c r="W40" t="n">
        <x:v>3</x:v>
      </x:c>
      <x:c r="X40" t="str">
        <x:v>Cancelled Order</x:v>
      </x:c>
      <x:c r="Y40" t="str">
        <x:v>WhatsApp</x:v>
      </x:c>
    </x:row>
    <x:row r="41">
      <x:c r="A41" t="str">
        <x:v>O000040</x:v>
      </x:c>
      <x:c r="B41" s="20" t="n">
        <x:v>46117</x:v>
      </x:c>
      <x:c r="C41" t="str">
        <x:v>C0229</x:v>
      </x:c>
      <x:c r="D41" t="str">
        <x:v>Namma Canteen 229</x:v>
      </x:c>
      <x:c r="E41" t="str">
        <x:v>Restaurant</x:v>
      </x:c>
      <x:c r="F41" t="str">
        <x:v>Bengaluru</x:v>
      </x:c>
      <x:c r="G41" t="str">
        <x:v>Arjun</x:v>
      </x:c>
      <x:c r="H41" t="str">
        <x:v>P025</x:v>
      </x:c>
      <x:c r="I41" t="str">
        <x:v>Potato Chips 100g</x:v>
      </x:c>
      <x:c r="J41" t="str">
        <x:v>Snacks</x:v>
      </x:c>
      <x:c r="K41" t="str">
        <x:v>Lay's</x:v>
      </x:c>
      <x:c r="L41" s="22" t="n">
        <x:v>35</x:v>
      </x:c>
      <x:c r="M41" t="n">
        <x:v>25</x:v>
      </x:c>
      <x:c r="N41" s="24" t="n">
        <x:v>0.02</x:v>
      </x:c>
      <x:c r="O41" s="22" t="n">
        <x:f>L41*M41</x:f>
        <x:v>875</x:v>
      </x:c>
      <x:c r="P41" s="22" t="n">
        <x:f>O41*(1-N41)</x:f>
        <x:v>857.5</x:v>
      </x:c>
      <x:c r="Q41" s="22" t="n">
        <x:v>27</x:v>
      </x:c>
      <x:c r="R41" s="22" t="n">
        <x:f>Q41*M41</x:f>
        <x:v>675</x:v>
      </x:c>
      <x:c r="S41" s="22" t="n">
        <x:f>P41-R41</x:f>
        <x:v>182.5</x:v>
      </x:c>
      <x:c r="T41" t="str">
        <x:v>Bank Transfer</x:v>
      </x:c>
      <x:c r="U41" t="str">
        <x:v>Paid</x:v>
      </x:c>
      <x:c r="V41" t="str">
        <x:v>Delivered</x:v>
      </x:c>
      <x:c r="W41" t="n">
        <x:v>0</x:v>
      </x:c>
      <x:c r="X41" t="str"/>
      <x:c r="Y41" t="str">
        <x:v>Existing Customer</x:v>
      </x:c>
    </x:row>
    <x:row r="42">
      <x:c r="A42" t="str">
        <x:v>O000041</x:v>
      </x:c>
      <x:c r="B42" s="20" t="n">
        <x:v>45886</x:v>
      </x:c>
      <x:c r="C42" t="str">
        <x:v>C0033</x:v>
      </x:c>
      <x:c r="D42" t="str">
        <x:v>Shree Canteen 33</x:v>
      </x:c>
      <x:c r="E42" t="str">
        <x:v>Canteen</x:v>
      </x:c>
      <x:c r="F42" t="str">
        <x:v>Mangaluru</x:v>
      </x:c>
      <x:c r="G42" t="str">
        <x:v>Imran</x:v>
      </x:c>
      <x:c r="H42" t="str">
        <x:v>P047</x:v>
      </x:c>
      <x:c r="I42" t="str">
        <x:v>Tomato 25kg</x:v>
      </x:c>
      <x:c r="J42" t="str">
        <x:v>Fresh Produce</x:v>
      </x:c>
      <x:c r="K42" t="str">
        <x:v>Local Market</x:v>
      </x:c>
      <x:c r="L42" s="22" t="n">
        <x:v>950</x:v>
      </x:c>
      <x:c r="M42" t="n">
        <x:v>1</x:v>
      </x:c>
      <x:c r="N42" s="24" t="n">
        <x:v>0.05</x:v>
      </x:c>
      <x:c r="O42" s="22" t="n">
        <x:f>L42*M42</x:f>
        <x:v>950</x:v>
      </x:c>
      <x:c r="P42" s="22" t="n">
        <x:f>O42*(1-N42)</x:f>
        <x:v>902.5</x:v>
      </x:c>
      <x:c r="Q42" s="22" t="n">
        <x:v>810</x:v>
      </x:c>
      <x:c r="R42" s="22" t="n">
        <x:f>Q42*M42</x:f>
        <x:v>810</x:v>
      </x:c>
      <x:c r="S42" s="22" t="n">
        <x:f>P42-R42</x:f>
        <x:v>92.5</x:v>
      </x:c>
      <x:c r="T42" t="str">
        <x:v>Cash</x:v>
      </x:c>
      <x:c r="U42" t="str">
        <x:v>Paid</x:v>
      </x:c>
      <x:c r="V42" t="str">
        <x:v>Cancelled</x:v>
      </x:c>
      <x:c r="W42" t="n">
        <x:v>1</x:v>
      </x:c>
      <x:c r="X42" t="str">
        <x:v>Cancelled Order</x:v>
      </x:c>
      <x:c r="Y42" t="str">
        <x:v>Existing Customer</x:v>
      </x:c>
    </x:row>
    <x:row r="43">
      <x:c r="A43" t="str">
        <x:v>O000042</x:v>
      </x:c>
      <x:c r="B43" s="20" t="n">
        <x:v>45911</x:v>
      </x:c>
      <x:c r="C43" t="str">
        <x:v>C0098</x:v>
      </x:c>
      <x:c r="D43" t="str">
        <x:v>City Stores 98</x:v>
      </x:c>
      <x:c r="E43" t="str">
        <x:v>Canteen</x:v>
      </x:c>
      <x:c r="F43" t="str">
        <x:v>Mangaluru</x:v>
      </x:c>
      <x:c r="G43" t="str">
        <x:v>Imran</x:v>
      </x:c>
      <x:c r="H43" t="str">
        <x:v>P015</x:v>
      </x:c>
      <x:c r="I43" t="str">
        <x:v>Milk 1L</x:v>
      </x:c>
      <x:c r="J43" t="str">
        <x:v>Dairy</x:v>
      </x:c>
      <x:c r="K43" t="str">
        <x:v>Nandini</x:v>
      </x:c>
      <x:c r="L43" s="22" t="n">
        <x:v>48</x:v>
      </x:c>
      <x:c r="M43" t="n">
        <x:v>30</x:v>
      </x:c>
      <x:c r="N43" s="24" t="n">
        <x:v>0.02</x:v>
      </x:c>
      <x:c r="O43" s="22" t="n">
        <x:f>L43*M43</x:f>
        <x:v>1440</x:v>
      </x:c>
      <x:c r="P43" s="22" t="n">
        <x:f>O43*(1-N43)</x:f>
        <x:v>1411.2</x:v>
      </x:c>
      <x:c r="Q43" s="22" t="n">
        <x:v>43</x:v>
      </x:c>
      <x:c r="R43" s="22" t="n">
        <x:f>Q43*M43</x:f>
        <x:v>1290</x:v>
      </x:c>
      <x:c r="S43" s="22" t="n">
        <x:f>P43-R43</x:f>
        <x:v>121.20000000000005</x:v>
      </x:c>
      <x:c r="T43" t="str">
        <x:v>Cash</x:v>
      </x:c>
      <x:c r="U43" t="str">
        <x:v>Paid</x:v>
      </x:c>
      <x:c r="V43" t="str">
        <x:v>Cancelled</x:v>
      </x:c>
      <x:c r="W43" t="n">
        <x:v>30</x:v>
      </x:c>
      <x:c r="X43" t="str">
        <x:v>Cancelled Order</x:v>
      </x:c>
      <x:c r="Y43" t="str">
        <x:v>Outbound Call</x:v>
      </x:c>
    </x:row>
    <x:row r="44">
      <x:c r="A44" t="str">
        <x:v>O000043</x:v>
      </x:c>
      <x:c r="B44" s="20" t="n">
        <x:v>45674</x:v>
      </x:c>
      <x:c r="C44" t="str">
        <x:v>C0170</x:v>
      </x:c>
      <x:c r="D44" t="str">
        <x:v>Green Cafe 170</x:v>
      </x:c>
      <x:c r="E44" t="str">
        <x:v>Supermarket</x:v>
      </x:c>
      <x:c r="F44" t="str">
        <x:v>Bengaluru</x:v>
      </x:c>
      <x:c r="G44" t="str">
        <x:v>Sneha</x:v>
      </x:c>
      <x:c r="H44" t="str">
        <x:v>P027</x:v>
      </x:c>
      <x:c r="I44" t="str">
        <x:v>Biscuits 120g</x:v>
      </x:c>
      <x:c r="J44" t="str">
        <x:v>Snacks</x:v>
      </x:c>
      <x:c r="K44" t="str">
        <x:v>Parle-G</x:v>
      </x:c>
      <x:c r="L44" s="22" t="n">
        <x:v>12</x:v>
      </x:c>
      <x:c r="M44" t="n">
        <x:v>16</x:v>
      </x:c>
      <x:c r="N44" s="24" t="n">
        <x:v>0</x:v>
      </x:c>
      <x:c r="O44" s="22" t="n">
        <x:f>L44*M44</x:f>
        <x:v>192</x:v>
      </x:c>
      <x:c r="P44" s="22" t="n">
        <x:f>O44*(1-N44)</x:f>
        <x:v>192</x:v>
      </x:c>
      <x:c r="Q44" s="22" t="n">
        <x:v>9</x:v>
      </x:c>
      <x:c r="R44" s="22" t="n">
        <x:f>Q44*M44</x:f>
        <x:v>144</x:v>
      </x:c>
      <x:c r="S44" s="22" t="n">
        <x:f>P44-R44</x:f>
        <x:v>48</x:v>
      </x:c>
      <x:c r="T44" t="str">
        <x:v>UPI</x:v>
      </x:c>
      <x:c r="U44" t="str">
        <x:v>Paid</x:v>
      </x:c>
      <x:c r="V44" t="str">
        <x:v>Delivered</x:v>
      </x:c>
      <x:c r="W44" t="n">
        <x:v>0</x:v>
      </x:c>
      <x:c r="X44" t="str"/>
      <x:c r="Y44" t="str">
        <x:v>Outbound Call</x:v>
      </x:c>
    </x:row>
    <x:row r="45">
      <x:c r="A45" t="str">
        <x:v>O000044</x:v>
      </x:c>
      <x:c r="B45" s="20" t="n">
        <x:v>46107</x:v>
      </x:c>
      <x:c r="C45" t="str">
        <x:v>C0012</x:v>
      </x:c>
      <x:c r="D45" t="str">
        <x:v>Sagar Canteen 12</x:v>
      </x:c>
      <x:c r="E45" t="str">
        <x:v>Supermarket</x:v>
      </x:c>
      <x:c r="F45" t="str">
        <x:v>Mysuru</x:v>
      </x:c>
      <x:c r="G45" t="str">
        <x:v>Priya</x:v>
      </x:c>
      <x:c r="H45" t="str">
        <x:v>P026</x:v>
      </x:c>
      <x:c r="I45" t="str">
        <x:v>Banana Chips 80g</x:v>
      </x:c>
      <x:c r="J45" t="str">
        <x:v>Snacks</x:v>
      </x:c>
      <x:c r="K45" t="str">
        <x:v>SSS</x:v>
      </x:c>
      <x:c r="L45" s="22" t="n">
        <x:v>54</x:v>
      </x:c>
      <x:c r="M45" t="n">
        <x:v>15</x:v>
      </x:c>
      <x:c r="N45" s="24" t="n">
        <x:v>0.03</x:v>
      </x:c>
      <x:c r="O45" s="22" t="n">
        <x:f>L45*M45</x:f>
        <x:v>810</x:v>
      </x:c>
      <x:c r="P45" s="22" t="n">
        <x:f>O45*(1-N45)</x:f>
        <x:v>785.6999999999999</x:v>
      </x:c>
      <x:c r="Q45" s="22" t="n">
        <x:v>39</x:v>
      </x:c>
      <x:c r="R45" s="22" t="n">
        <x:f>Q45*M45</x:f>
        <x:v>585</x:v>
      </x:c>
      <x:c r="S45" s="22" t="n">
        <x:f>P45-R45</x:f>
        <x:v>200.69999999999993</x:v>
      </x:c>
      <x:c r="T45" t="str">
        <x:v>UPI</x:v>
      </x:c>
      <x:c r="U45" t="str">
        <x:v>Paid</x:v>
      </x:c>
      <x:c r="V45" t="str">
        <x:v>Delivered</x:v>
      </x:c>
      <x:c r="W45" t="n">
        <x:v>0</x:v>
      </x:c>
      <x:c r="X45" t="str"/>
      <x:c r="Y45" t="str">
        <x:v>Existing Customer</x:v>
      </x:c>
    </x:row>
    <x:row r="46">
      <x:c r="A46" t="str">
        <x:v>O000045</x:v>
      </x:c>
      <x:c r="B46" s="20" t="n">
        <x:v>45986</x:v>
      </x:c>
      <x:c r="C46" t="str">
        <x:v>C0154</x:v>
      </x:c>
      <x:c r="D46" t="str">
        <x:v>Royal Restaurant 154</x:v>
      </x:c>
      <x:c r="E46" t="str">
        <x:v>Restaurant</x:v>
      </x:c>
      <x:c r="F46" t="str">
        <x:v>Tumakuru</x:v>
      </x:c>
      <x:c r="G46" t="str">
        <x:v>Kavya</x:v>
      </x:c>
      <x:c r="H46" t="str">
        <x:v>P050</x:v>
      </x:c>
      <x:c r="I46" t="str">
        <x:v>Lemon 5kg</x:v>
      </x:c>
      <x:c r="J46" t="str">
        <x:v>Fresh Produce</x:v>
      </x:c>
      <x:c r="K46" t="str">
        <x:v>Local Market</x:v>
      </x:c>
      <x:c r="L46" s="22" t="n">
        <x:v>360</x:v>
      </x:c>
      <x:c r="M46" t="n">
        <x:v>16</x:v>
      </x:c>
      <x:c r="N46" s="24" t="n">
        <x:v>0.02</x:v>
      </x:c>
      <x:c r="O46" s="22" t="n">
        <x:f>L46*M46</x:f>
        <x:v>5760</x:v>
      </x:c>
      <x:c r="P46" s="22" t="n">
        <x:f>O46*(1-N46)</x:f>
        <x:v>5644.8</x:v>
      </x:c>
      <x:c r="Q46" s="22" t="n">
        <x:v>300</x:v>
      </x:c>
      <x:c r="R46" s="22" t="n">
        <x:f>Q46*M46</x:f>
        <x:v>4800</x:v>
      </x:c>
      <x:c r="S46" s="22" t="n">
        <x:f>P46-R46</x:f>
        <x:v>844.8000000000002</x:v>
      </x:c>
      <x:c r="T46" t="str">
        <x:v>Bank Transfer</x:v>
      </x:c>
      <x:c r="U46" t="str">
        <x:v>Overdue</x:v>
      </x:c>
      <x:c r="V46" t="str">
        <x:v>Delayed</x:v>
      </x:c>
      <x:c r="W46" t="n">
        <x:v>0</x:v>
      </x:c>
      <x:c r="X46" t="str"/>
      <x:c r="Y46" t="str">
        <x:v>Referral</x:v>
      </x:c>
    </x:row>
    <x:row r="47">
      <x:c r="A47" t="str">
        <x:v>O000046</x:v>
      </x:c>
      <x:c r="B47" s="20" t="n">
        <x:v>46228</x:v>
      </x:c>
      <x:c r="C47" t="str">
        <x:v>C0071</x:v>
      </x:c>
      <x:c r="D47" t="str">
        <x:v>Shree Restaurant 71</x:v>
      </x:c>
      <x:c r="E47" t="str">
        <x:v>Cafe</x:v>
      </x:c>
      <x:c r="F47" t="str">
        <x:v>Tumakuru</x:v>
      </x:c>
      <x:c r="G47" t="str">
        <x:v>Sneha</x:v>
      </x:c>
      <x:c r="H47" t="str">
        <x:v>P004</x:v>
      </x:c>
      <x:c r="I47" t="str">
        <x:v>Toor Dal 5kg</x:v>
      </x:c>
      <x:c r="J47" t="str">
        <x:v>Pulses</x:v>
      </x:c>
      <x:c r="K47" t="str">
        <x:v>Tata Sampann</x:v>
      </x:c>
      <x:c r="L47" s="22" t="n">
        <x:v>780</x:v>
      </x:c>
      <x:c r="M47" t="n">
        <x:v>38</x:v>
      </x:c>
      <x:c r="N47" s="24" t="n">
        <x:v>0.08</x:v>
      </x:c>
      <x:c r="O47" s="22" t="n">
        <x:f>L47*M47</x:f>
        <x:v>29640</x:v>
      </x:c>
      <x:c r="P47" s="22" t="n">
        <x:f>O47*(1-N47)</x:f>
        <x:v>27268.800000000003</x:v>
      </x:c>
      <x:c r="Q47" s="22" t="n">
        <x:v>695</x:v>
      </x:c>
      <x:c r="R47" s="22" t="n">
        <x:f>Q47*M47</x:f>
        <x:v>26410</x:v>
      </x:c>
      <x:c r="S47" s="22" t="n">
        <x:f>P47-R47</x:f>
        <x:v>858.8000000000029</x:v>
      </x:c>
      <x:c r="T47" t="str">
        <x:v>Bank Transfer</x:v>
      </x:c>
      <x:c r="U47" t="str">
        <x:v>Paid</x:v>
      </x:c>
      <x:c r="V47" t="str">
        <x:v>Delivered</x:v>
      </x:c>
      <x:c r="W47" t="n">
        <x:v>0</x:v>
      </x:c>
      <x:c r="X47" t="str"/>
      <x:c r="Y47" t="str">
        <x:v>Outbound Call</x:v>
      </x:c>
    </x:row>
    <x:row r="48">
      <x:c r="A48" t="str">
        <x:v>O000047</x:v>
      </x:c>
      <x:c r="B48" s="20" t="n">
        <x:v>46048</x:v>
      </x:c>
      <x:c r="C48" t="str">
        <x:v>C0242</x:v>
      </x:c>
      <x:c r="D48" t="str">
        <x:v>Fresh Cafe 242</x:v>
      </x:c>
      <x:c r="E48" t="str">
        <x:v>Canteen</x:v>
      </x:c>
      <x:c r="F48" t="str">
        <x:v>Davanagere</x:v>
      </x:c>
      <x:c r="G48" t="str">
        <x:v>Kavya</x:v>
      </x:c>
      <x:c r="H48" t="str">
        <x:v>P042</x:v>
      </x:c>
      <x:c r="I48" t="str">
        <x:v>Eggs 30pc Tray</x:v>
      </x:c>
      <x:c r="J48" t="str">
        <x:v>Protein</x:v>
      </x:c>
      <x:c r="K48" t="str">
        <x:v>Farm Fresh</x:v>
      </x:c>
      <x:c r="L48" s="22" t="n">
        <x:v>195</x:v>
      </x:c>
      <x:c r="M48" t="n">
        <x:v>34</x:v>
      </x:c>
      <x:c r="N48" s="24" t="n">
        <x:v>0.02</x:v>
      </x:c>
      <x:c r="O48" s="22" t="n">
        <x:f>L48*M48</x:f>
        <x:v>6630</x:v>
      </x:c>
      <x:c r="P48" s="22" t="n">
        <x:f>O48*(1-N48)</x:f>
        <x:v>6497.4</x:v>
      </x:c>
      <x:c r="Q48" s="22" t="n">
        <x:v>170</x:v>
      </x:c>
      <x:c r="R48" s="22" t="n">
        <x:f>Q48*M48</x:f>
        <x:v>5780</x:v>
      </x:c>
      <x:c r="S48" s="22" t="n">
        <x:f>P48-R48</x:f>
        <x:v>717.3999999999996</x:v>
      </x:c>
      <x:c r="T48" t="str">
        <x:v>Credit</x:v>
      </x:c>
      <x:c r="U48" t="str">
        <x:v>Paid</x:v>
      </x:c>
      <x:c r="V48" t="str">
        <x:v>Delivered</x:v>
      </x:c>
      <x:c r="W48" t="n">
        <x:v>0</x:v>
      </x:c>
      <x:c r="X48" t="str"/>
      <x:c r="Y48" t="str">
        <x:v>Existing Customer</x:v>
      </x:c>
    </x:row>
    <x:row r="49">
      <x:c r="A49" t="str">
        <x:v>O000048</x:v>
      </x:c>
      <x:c r="B49" s="20" t="n">
        <x:v>45965</x:v>
      </x:c>
      <x:c r="C49" t="str">
        <x:v>C0218</x:v>
      </x:c>
      <x:c r="D49" t="str">
        <x:v>Green Stores 218</x:v>
      </x:c>
      <x:c r="E49" t="str">
        <x:v>Hotel</x:v>
      </x:c>
      <x:c r="F49" t="str">
        <x:v>Mysuru</x:v>
      </x:c>
      <x:c r="G49" t="str">
        <x:v>Imran</x:v>
      </x:c>
      <x:c r="H49" t="str">
        <x:v>P015</x:v>
      </x:c>
      <x:c r="I49" t="str">
        <x:v>Milk 1L</x:v>
      </x:c>
      <x:c r="J49" t="str">
        <x:v>Dairy</x:v>
      </x:c>
      <x:c r="K49" t="str">
        <x:v>Nandini</x:v>
      </x:c>
      <x:c r="L49" s="22" t="n">
        <x:v>48</x:v>
      </x:c>
      <x:c r="M49" t="n">
        <x:v>10</x:v>
      </x:c>
      <x:c r="N49" s="24" t="n">
        <x:v>0.05</x:v>
      </x:c>
      <x:c r="O49" s="22" t="n">
        <x:f>L49*M49</x:f>
        <x:v>480</x:v>
      </x:c>
      <x:c r="P49" s="22" t="n">
        <x:f>O49*(1-N49)</x:f>
        <x:v>456</x:v>
      </x:c>
      <x:c r="Q49" s="22" t="n">
        <x:v>43</x:v>
      </x:c>
      <x:c r="R49" s="22" t="n">
        <x:f>Q49*M49</x:f>
        <x:v>430</x:v>
      </x:c>
      <x:c r="S49" s="22" t="n">
        <x:f>P49-R49</x:f>
        <x:v>26</x:v>
      </x:c>
      <x:c r="T49" t="str">
        <x:v>UPI</x:v>
      </x:c>
      <x:c r="U49" t="str">
        <x:v>Paid</x:v>
      </x:c>
      <x:c r="V49" t="str">
        <x:v>Delivered</x:v>
      </x:c>
      <x:c r="W49" t="n">
        <x:v>0</x:v>
      </x:c>
      <x:c r="X49" t="str"/>
      <x:c r="Y49" t="str">
        <x:v>Referral</x:v>
      </x:c>
    </x:row>
    <x:row r="50">
      <x:c r="A50" t="str">
        <x:v>O000049</x:v>
      </x:c>
      <x:c r="B50" s="20" t="n">
        <x:v>45996</x:v>
      </x:c>
      <x:c r="C50" t="str">
        <x:v>C0066</x:v>
      </x:c>
      <x:c r="D50" t="str">
        <x:v>Hotel Hotel 66</x:v>
      </x:c>
      <x:c r="E50" t="str">
        <x:v>Restaurant</x:v>
      </x:c>
      <x:c r="F50" t="str">
        <x:v>Davanagere</x:v>
      </x:c>
      <x:c r="G50" t="str">
        <x:v>Megha</x:v>
      </x:c>
      <x:c r="H50" t="str">
        <x:v>P014</x:v>
      </x:c>
      <x:c r="I50" t="str">
        <x:v>Rava 5kg</x:v>
      </x:c>
      <x:c r="J50" t="str">
        <x:v>Flour</x:v>
      </x:c>
      <x:c r="K50" t="str">
        <x:v>Local Select</x:v>
      </x:c>
      <x:c r="L50" s="22" t="n">
        <x:v>245</x:v>
      </x:c>
      <x:c r="M50" t="n">
        <x:v>6</x:v>
      </x:c>
      <x:c r="N50" s="24" t="n">
        <x:v>0.08</x:v>
      </x:c>
      <x:c r="O50" s="22" t="n">
        <x:f>L50*M50</x:f>
        <x:v>1470</x:v>
      </x:c>
      <x:c r="P50" s="22" t="n">
        <x:f>O50*(1-N50)</x:f>
        <x:v>1352.4</x:v>
      </x:c>
      <x:c r="Q50" s="22" t="n">
        <x:v>215</x:v>
      </x:c>
      <x:c r="R50" s="22" t="n">
        <x:f>Q50*M50</x:f>
        <x:v>1290</x:v>
      </x:c>
      <x:c r="S50" s="22" t="n">
        <x:f>P50-R50</x:f>
        <x:v>62.40000000000009</x:v>
      </x:c>
      <x:c r="T50" t="str">
        <x:v>Cash</x:v>
      </x:c>
      <x:c r="U50" t="str">
        <x:v>Paid</x:v>
      </x:c>
      <x:c r="V50" t="str">
        <x:v>Cancelled</x:v>
      </x:c>
      <x:c r="W50" t="n">
        <x:v>6</x:v>
      </x:c>
      <x:c r="X50" t="str">
        <x:v>Cancelled Order</x:v>
      </x:c>
      <x:c r="Y50" t="str">
        <x:v>Referral</x:v>
      </x:c>
    </x:row>
    <x:row r="51">
      <x:c r="A51" t="str">
        <x:v>O000050</x:v>
      </x:c>
      <x:c r="B51" s="20" t="n">
        <x:v>46277</x:v>
      </x:c>
      <x:c r="C51" t="str">
        <x:v>C0097</x:v>
      </x:c>
      <x:c r="D51" t="str">
        <x:v>Classic Stores 97</x:v>
      </x:c>
      <x:c r="E51" t="str">
        <x:v>Restaurant</x:v>
      </x:c>
      <x:c r="F51" t="str">
        <x:v>Davanagere</x:v>
      </x:c>
      <x:c r="G51" t="str">
        <x:v>Priya</x:v>
      </x:c>
      <x:c r="H51" t="str">
        <x:v>P044</x:v>
      </x:c>
      <x:c r="I51" t="str">
        <x:v>Chicken Curry Cut 1kg</x:v>
      </x:c>
      <x:c r="J51" t="str">
        <x:v>Protein</x:v>
      </x:c>
      <x:c r="K51" t="str">
        <x:v>FreshToHome</x:v>
      </x:c>
      <x:c r="L51" s="22" t="n">
        <x:v>230</x:v>
      </x:c>
      <x:c r="M51" t="n">
        <x:v>39</x:v>
      </x:c>
      <x:c r="N51" s="24" t="n">
        <x:v>0</x:v>
      </x:c>
      <x:c r="O51" s="22" t="n">
        <x:f>L51*M51</x:f>
        <x:v>8970</x:v>
      </x:c>
      <x:c r="P51" s="22" t="n">
        <x:f>O51*(1-N51)</x:f>
        <x:v>8970</x:v>
      </x:c>
      <x:c r="Q51" s="22" t="n">
        <x:v>205</x:v>
      </x:c>
      <x:c r="R51" s="22" t="n">
        <x:f>Q51*M51</x:f>
        <x:v>7995</x:v>
      </x:c>
      <x:c r="S51" s="22" t="n">
        <x:f>P51-R51</x:f>
        <x:v>975</x:v>
      </x:c>
      <x:c r="T51" t="str">
        <x:v>UPI</x:v>
      </x:c>
      <x:c r="U51" t="str">
        <x:v>Paid</x:v>
      </x:c>
      <x:c r="V51" t="str">
        <x:v>Delayed</x:v>
      </x:c>
      <x:c r="W51" t="n">
        <x:v>0</x:v>
      </x:c>
      <x:c r="X51" t="str"/>
      <x:c r="Y51" t="str">
        <x:v>Existing Customer</x:v>
      </x:c>
    </x:row>
    <x:row r="52">
      <x:c r="A52" t="str">
        <x:v>O000051</x:v>
      </x:c>
      <x:c r="B52" s="20" t="n">
        <x:v>45968</x:v>
      </x:c>
      <x:c r="C52" t="str">
        <x:v>C0054</x:v>
      </x:c>
      <x:c r="D52" t="str">
        <x:v>Cafe Cafe 54</x:v>
      </x:c>
      <x:c r="E52" t="str">
        <x:v>Restaurant</x:v>
      </x:c>
      <x:c r="F52" t="str">
        <x:v>Hubballi</x:v>
      </x:c>
      <x:c r="G52" t="str">
        <x:v>Vikram</x:v>
      </x:c>
      <x:c r="H52" t="str">
        <x:v>P022</x:v>
      </x:c>
      <x:c r="I52" t="str">
        <x:v>Mineral Water 1L</x:v>
      </x:c>
      <x:c r="J52" t="str">
        <x:v>Beverage</x:v>
      </x:c>
      <x:c r="K52" t="str">
        <x:v>Bisleri</x:v>
      </x:c>
      <x:c r="L52" s="22" t="n">
        <x:v>19</x:v>
      </x:c>
      <x:c r="M52" t="n">
        <x:v>1</x:v>
      </x:c>
      <x:c r="N52" s="24" t="n">
        <x:v>0</x:v>
      </x:c>
      <x:c r="O52" s="22" t="n">
        <x:f>L52*M52</x:f>
        <x:v>19</x:v>
      </x:c>
      <x:c r="P52" s="22" t="n">
        <x:f>O52*(1-N52)</x:f>
        <x:v>19</x:v>
      </x:c>
      <x:c r="Q52" s="22" t="n">
        <x:v>15</x:v>
      </x:c>
      <x:c r="R52" s="22" t="n">
        <x:f>Q52*M52</x:f>
        <x:v>15</x:v>
      </x:c>
      <x:c r="S52" s="22" t="n">
        <x:f>P52-R52</x:f>
        <x:v>4</x:v>
      </x:c>
      <x:c r="T52" t="str">
        <x:v>Bank Transfer</x:v>
      </x:c>
      <x:c r="U52" t="str">
        <x:v>Overdue</x:v>
      </x:c>
      <x:c r="V52" t="str">
        <x:v>Delivered</x:v>
      </x:c>
      <x:c r="W52" t="n">
        <x:v>0</x:v>
      </x:c>
      <x:c r="X52" t="str"/>
      <x:c r="Y52" t="str">
        <x:v>WhatsApp</x:v>
      </x:c>
    </x:row>
    <x:row r="53">
      <x:c r="A53" t="str">
        <x:v>O000052</x:v>
      </x:c>
      <x:c r="B53" s="20" t="n">
        <x:v>45867</x:v>
      </x:c>
      <x:c r="C53" t="str">
        <x:v>C0179</x:v>
      </x:c>
      <x:c r="D53" t="str">
        <x:v>Shree Hotel 179</x:v>
      </x:c>
      <x:c r="E53" t="str">
        <x:v>Restaurant</x:v>
      </x:c>
      <x:c r="F53" t="str">
        <x:v>Hubballi</x:v>
      </x:c>
      <x:c r="G53" t="str">
        <x:v>Kavya</x:v>
      </x:c>
      <x:c r="H53" t="str">
        <x:v>P039</x:v>
      </x:c>
      <x:c r="I53" t="str">
        <x:v>Ice Cream 4L</x:v>
      </x:c>
      <x:c r="J53" t="str">
        <x:v>Frozen</x:v>
      </x:c>
      <x:c r="K53" t="str">
        <x:v>Amul</x:v>
      </x:c>
      <x:c r="L53" s="22" t="n">
        <x:v>480</x:v>
      </x:c>
      <x:c r="M53" t="n">
        <x:v>26</x:v>
      </x:c>
      <x:c r="N53" s="24" t="n">
        <x:v>0.08</x:v>
      </x:c>
      <x:c r="O53" s="22" t="n">
        <x:f>L53*M53</x:f>
        <x:v>12480</x:v>
      </x:c>
      <x:c r="P53" s="22" t="n">
        <x:f>O53*(1-N53)</x:f>
        <x:v>11481.6</x:v>
      </x:c>
      <x:c r="Q53" s="22" t="n">
        <x:v>420</x:v>
      </x:c>
      <x:c r="R53" s="22" t="n">
        <x:f>Q53*M53</x:f>
        <x:v>10920</x:v>
      </x:c>
      <x:c r="S53" s="22" t="n">
        <x:f>P53-R53</x:f>
        <x:v>561.6000000000004</x:v>
      </x:c>
      <x:c r="T53" t="str">
        <x:v>Cash</x:v>
      </x:c>
      <x:c r="U53" t="str">
        <x:v>Pending</x:v>
      </x:c>
      <x:c r="V53" t="str">
        <x:v>Delivered</x:v>
      </x:c>
      <x:c r="W53" t="n">
        <x:v>0</x:v>
      </x:c>
      <x:c r="X53" t="str"/>
      <x:c r="Y53" t="str">
        <x:v>Field Visit</x:v>
      </x:c>
    </x:row>
    <x:row r="54">
      <x:c r="A54" t="str">
        <x:v>O000053</x:v>
      </x:c>
      <x:c r="B54" s="20" t="n">
        <x:v>46167</x:v>
      </x:c>
      <x:c r="C54" t="str">
        <x:v>C0093</x:v>
      </x:c>
      <x:c r="D54" t="str">
        <x:v>Sagar Hotel 93</x:v>
      </x:c>
      <x:c r="E54" t="str">
        <x:v>Hotel</x:v>
      </x:c>
      <x:c r="F54" t="str">
        <x:v>Hubballi</x:v>
      </x:c>
      <x:c r="G54" t="str">
        <x:v>Imran</x:v>
      </x:c>
      <x:c r="H54" t="str">
        <x:v>P033</x:v>
      </x:c>
      <x:c r="I54" t="str">
        <x:v>Turmeric Powder 1kg</x:v>
      </x:c>
      <x:c r="J54" t="str">
        <x:v>Spices</x:v>
      </x:c>
      <x:c r="K54" t="str">
        <x:v>Everest</x:v>
      </x:c>
      <x:c r="L54" s="22" t="n">
        <x:v>310</x:v>
      </x:c>
      <x:c r="M54" t="n">
        <x:v>30</x:v>
      </x:c>
      <x:c r="N54" s="24" t="n">
        <x:v>0</x:v>
      </x:c>
      <x:c r="O54" s="22" t="n">
        <x:f>L54*M54</x:f>
        <x:v>9300</x:v>
      </x:c>
      <x:c r="P54" s="22" t="n">
        <x:f>O54*(1-N54)</x:f>
        <x:v>9300</x:v>
      </x:c>
      <x:c r="Q54" s="22" t="n">
        <x:v>270</x:v>
      </x:c>
      <x:c r="R54" s="22" t="n">
        <x:f>Q54*M54</x:f>
        <x:v>8100</x:v>
      </x:c>
      <x:c r="S54" s="22" t="n">
        <x:f>P54-R54</x:f>
        <x:v>1200</x:v>
      </x:c>
      <x:c r="T54" t="str">
        <x:v>Credit</x:v>
      </x:c>
      <x:c r="U54" t="str">
        <x:v>Pending</x:v>
      </x:c>
      <x:c r="V54" t="str">
        <x:v>Delivered</x:v>
      </x:c>
      <x:c r="W54" t="n">
        <x:v>0</x:v>
      </x:c>
      <x:c r="X54" t="str"/>
      <x:c r="Y54" t="str">
        <x:v>Field Visit</x:v>
      </x:c>
    </x:row>
    <x:row r="55">
      <x:c r="A55" t="str">
        <x:v>O000054</x:v>
      </x:c>
      <x:c r="B55" s="20" t="n">
        <x:v>45884</x:v>
      </x:c>
      <x:c r="C55" t="str">
        <x:v>C0012</x:v>
      </x:c>
      <x:c r="D55" t="str">
        <x:v>Sagar Canteen 12</x:v>
      </x:c>
      <x:c r="E55" t="str">
        <x:v>Supermarket</x:v>
      </x:c>
      <x:c r="F55" t="str">
        <x:v>Mysuru</x:v>
      </x:c>
      <x:c r="G55" t="str">
        <x:v>Priya</x:v>
      </x:c>
      <x:c r="H55" t="str">
        <x:v>P037</x:v>
      </x:c>
      <x:c r="I55" t="str">
        <x:v>Frozen Peas 1kg</x:v>
      </x:c>
      <x:c r="J55" t="str">
        <x:v>Frozen</x:v>
      </x:c>
      <x:c r="K55" t="str">
        <x:v>Safal</x:v>
      </x:c>
      <x:c r="L55" s="22" t="n">
        <x:v>155</x:v>
      </x:c>
      <x:c r="M55" t="n">
        <x:v>10</x:v>
      </x:c>
      <x:c r="N55" s="24" t="n">
        <x:v>0</x:v>
      </x:c>
      <x:c r="O55" s="22" t="n">
        <x:f>L55*M55</x:f>
        <x:v>1550</x:v>
      </x:c>
      <x:c r="P55" s="22" t="n">
        <x:f>O55*(1-N55)</x:f>
        <x:v>1550</x:v>
      </x:c>
      <x:c r="Q55" s="22" t="n">
        <x:v>138</x:v>
      </x:c>
      <x:c r="R55" s="22" t="n">
        <x:f>Q55*M55</x:f>
        <x:v>1380</x:v>
      </x:c>
      <x:c r="S55" s="22" t="n">
        <x:f>P55-R55</x:f>
        <x:v>170</x:v>
      </x:c>
      <x:c r="T55" t="str">
        <x:v>Credit</x:v>
      </x:c>
      <x:c r="U55" t="str">
        <x:v>Paid</x:v>
      </x:c>
      <x:c r="V55" t="str">
        <x:v>Delivered</x:v>
      </x:c>
      <x:c r="W55" t="n">
        <x:v>0</x:v>
      </x:c>
      <x:c r="X55" t="str"/>
      <x:c r="Y55" t="str">
        <x:v>WhatsApp</x:v>
      </x:c>
    </x:row>
    <x:row r="56">
      <x:c r="A56" t="str">
        <x:v>O000055</x:v>
      </x:c>
      <x:c r="B56" s="20" t="n">
        <x:v>46221</x:v>
      </x:c>
      <x:c r="C56" t="str">
        <x:v>C0063</x:v>
      </x:c>
      <x:c r="D56" t="str">
        <x:v>Namma Mart 63</x:v>
      </x:c>
      <x:c r="E56" t="str">
        <x:v>Supermarket</x:v>
      </x:c>
      <x:c r="F56" t="str">
        <x:v>Tumakuru</x:v>
      </x:c>
      <x:c r="G56" t="str">
        <x:v>Priya</x:v>
      </x:c>
      <x:c r="H56" t="str">
        <x:v>P032</x:v>
      </x:c>
      <x:c r="I56" t="str">
        <x:v>Soy Sauce 700g</x:v>
      </x:c>
      <x:c r="J56" t="str">
        <x:v>Condiments</x:v>
      </x:c>
      <x:c r="K56" t="str">
        <x:v>Ching's</x:v>
      </x:c>
      <x:c r="L56" s="22" t="n">
        <x:v>118</x:v>
      </x:c>
      <x:c r="M56" t="n">
        <x:v>22</x:v>
      </x:c>
      <x:c r="N56" s="24" t="n">
        <x:v>0.02</x:v>
      </x:c>
      <x:c r="O56" s="22" t="n">
        <x:f>L56*M56</x:f>
        <x:v>2596</x:v>
      </x:c>
      <x:c r="P56" s="22" t="n">
        <x:f>O56*(1-N56)</x:f>
        <x:v>2544.08</x:v>
      </x:c>
      <x:c r="Q56" s="22" t="n">
        <x:v>101</x:v>
      </x:c>
      <x:c r="R56" s="22" t="n">
        <x:f>Q56*M56</x:f>
        <x:v>2222</x:v>
      </x:c>
      <x:c r="S56" s="22" t="n">
        <x:f>P56-R56</x:f>
        <x:v>322.0799999999999</x:v>
      </x:c>
      <x:c r="T56" t="str">
        <x:v>Credit</x:v>
      </x:c>
      <x:c r="U56" t="str">
        <x:v>Overdue</x:v>
      </x:c>
      <x:c r="V56" t="str">
        <x:v>Cancelled</x:v>
      </x:c>
      <x:c r="W56" t="n">
        <x:v>22</x:v>
      </x:c>
      <x:c r="X56" t="str">
        <x:v>Cancelled Order</x:v>
      </x:c>
      <x:c r="Y56" t="str">
        <x:v>WhatsApp</x:v>
      </x:c>
    </x:row>
    <x:row r="57">
      <x:c r="A57" t="str">
        <x:v>O000056</x:v>
      </x:c>
      <x:c r="B57" s="20" t="n">
        <x:v>45831</x:v>
      </x:c>
      <x:c r="C57" t="str">
        <x:v>C0188</x:v>
      </x:c>
      <x:c r="D57" t="str">
        <x:v>New Canteen 188</x:v>
      </x:c>
      <x:c r="E57" t="str">
        <x:v>Restaurant</x:v>
      </x:c>
      <x:c r="F57" t="str">
        <x:v>Bengaluru</x:v>
      </x:c>
      <x:c r="G57" t="str">
        <x:v>Kavya</x:v>
      </x:c>
      <x:c r="H57" t="str">
        <x:v>P023</x:v>
      </x:c>
      <x:c r="I57" t="str">
        <x:v>Cola 750ml</x:v>
      </x:c>
      <x:c r="J57" t="str">
        <x:v>Beverage</x:v>
      </x:c>
      <x:c r="K57" t="str">
        <x:v>Coca-Cola</x:v>
      </x:c>
      <x:c r="L57" s="22" t="n">
        <x:v>38</x:v>
      </x:c>
      <x:c r="M57" t="n">
        <x:v>9</x:v>
      </x:c>
      <x:c r="N57" s="24" t="n">
        <x:v>0.05</x:v>
      </x:c>
      <x:c r="O57" s="22" t="n">
        <x:f>L57*M57</x:f>
        <x:v>342</x:v>
      </x:c>
      <x:c r="P57" s="22" t="n">
        <x:f>O57*(1-N57)</x:f>
        <x:v>324.9</x:v>
      </x:c>
      <x:c r="Q57" s="22" t="n">
        <x:v>31</x:v>
      </x:c>
      <x:c r="R57" s="22" t="n">
        <x:f>Q57*M57</x:f>
        <x:v>279</x:v>
      </x:c>
      <x:c r="S57" s="22" t="n">
        <x:f>P57-R57</x:f>
        <x:v>45.89999999999998</x:v>
      </x:c>
      <x:c r="T57" t="str">
        <x:v>Credit</x:v>
      </x:c>
      <x:c r="U57" t="str">
        <x:v>Paid</x:v>
      </x:c>
      <x:c r="V57" t="str">
        <x:v>Delayed</x:v>
      </x:c>
      <x:c r="W57" t="n">
        <x:v>0</x:v>
      </x:c>
      <x:c r="X57" t="str"/>
      <x:c r="Y57" t="str">
        <x:v>Outbound Call</x:v>
      </x:c>
    </x:row>
    <x:row r="58">
      <x:c r="A58" t="str">
        <x:v>O000057</x:v>
      </x:c>
      <x:c r="B58" s="20" t="n">
        <x:v>45707</x:v>
      </x:c>
      <x:c r="C58" t="str">
        <x:v>C0215</x:v>
      </x:c>
      <x:c r="D58" t="str">
        <x:v>Annapurna Restaurant 215</x:v>
      </x:c>
      <x:c r="E58" t="str">
        <x:v>Supermarket</x:v>
      </x:c>
      <x:c r="F58" t="str">
        <x:v>Bengaluru</x:v>
      </x:c>
      <x:c r="G58" t="str">
        <x:v>Vikram</x:v>
      </x:c>
      <x:c r="H58" t="str">
        <x:v>P005</x:v>
      </x:c>
      <x:c r="I58" t="str">
        <x:v>Chana Dal 5kg</x:v>
      </x:c>
      <x:c r="J58" t="str">
        <x:v>Pulses</x:v>
      </x:c>
      <x:c r="K58" t="str">
        <x:v>Local Select</x:v>
      </x:c>
      <x:c r="L58" s="22" t="n">
        <x:v>520</x:v>
      </x:c>
      <x:c r="M58" t="n">
        <x:v>1</x:v>
      </x:c>
      <x:c r="N58" s="24" t="n">
        <x:v>0.03</x:v>
      </x:c>
      <x:c r="O58" s="22" t="n">
        <x:f>L58*M58</x:f>
        <x:v>520</x:v>
      </x:c>
      <x:c r="P58" s="22" t="n">
        <x:f>O58*(1-N58)</x:f>
        <x:v>504.4</x:v>
      </x:c>
      <x:c r="Q58" s="22" t="n">
        <x:v>455</x:v>
      </x:c>
      <x:c r="R58" s="22" t="n">
        <x:f>Q58*M58</x:f>
        <x:v>455</x:v>
      </x:c>
      <x:c r="S58" s="22" t="n">
        <x:f>P58-R58</x:f>
        <x:v>49.39999999999998</x:v>
      </x:c>
      <x:c r="T58" t="str">
        <x:v>Bank Transfer</x:v>
      </x:c>
      <x:c r="U58" t="str">
        <x:v>Paid</x:v>
      </x:c>
      <x:c r="V58" t="str">
        <x:v>Delivered</x:v>
      </x:c>
      <x:c r="W58" t="n">
        <x:v>1</x:v>
      </x:c>
      <x:c r="X58" t="str">
        <x:v>Quality Issue</x:v>
      </x:c>
      <x:c r="Y58" t="str">
        <x:v>Outbound Call</x:v>
      </x:c>
    </x:row>
    <x:row r="59">
      <x:c r="A59" t="str">
        <x:v>O000058</x:v>
      </x:c>
      <x:c r="B59" s="20" t="n">
        <x:v>46152</x:v>
      </x:c>
      <x:c r="C59" t="str">
        <x:v>C0171</x:v>
      </x:c>
      <x:c r="D59" t="str">
        <x:v>Metro Canteen 171</x:v>
      </x:c>
      <x:c r="E59" t="str">
        <x:v>Restaurant</x:v>
      </x:c>
      <x:c r="F59" t="str">
        <x:v>Mangaluru</x:v>
      </x:c>
      <x:c r="G59" t="str">
        <x:v>Priya</x:v>
      </x:c>
      <x:c r="H59" t="str">
        <x:v>P040</x:v>
      </x:c>
      <x:c r="I59" t="str">
        <x:v>Bread Loaf 400g</x:v>
      </x:c>
      <x:c r="J59" t="str">
        <x:v>Bakery</x:v>
      </x:c>
      <x:c r="K59" t="str">
        <x:v>Britannia</x:v>
      </x:c>
      <x:c r="L59" s="22" t="n">
        <x:v>45</x:v>
      </x:c>
      <x:c r="M59" t="n">
        <x:v>32</x:v>
      </x:c>
      <x:c r="N59" s="24" t="n">
        <x:v>0</x:v>
      </x:c>
      <x:c r="O59" s="22" t="n">
        <x:f>L59*M59</x:f>
        <x:v>1440</x:v>
      </x:c>
      <x:c r="P59" s="22" t="n">
        <x:f>O59*(1-N59)</x:f>
        <x:v>1440</x:v>
      </x:c>
      <x:c r="Q59" s="22" t="n">
        <x:v>35</x:v>
      </x:c>
      <x:c r="R59" s="22" t="n">
        <x:f>Q59*M59</x:f>
        <x:v>1120</x:v>
      </x:c>
      <x:c r="S59" s="22" t="n">
        <x:f>P59-R59</x:f>
        <x:v>320</x:v>
      </x:c>
      <x:c r="T59" t="str">
        <x:v>Credit</x:v>
      </x:c>
      <x:c r="U59" t="str">
        <x:v>Paid</x:v>
      </x:c>
      <x:c r="V59" t="str">
        <x:v>Delayed</x:v>
      </x:c>
      <x:c r="W59" t="n">
        <x:v>0</x:v>
      </x:c>
      <x:c r="X59" t="str"/>
      <x:c r="Y59" t="str">
        <x:v>Field Visit</x:v>
      </x:c>
    </x:row>
    <x:row r="60">
      <x:c r="A60" t="str">
        <x:v>O000059</x:v>
      </x:c>
      <x:c r="B60" s="20" t="n">
        <x:v>46172</x:v>
      </x:c>
      <x:c r="C60" t="str">
        <x:v>C0074</x:v>
      </x:c>
      <x:c r="D60" t="str">
        <x:v>Foodie Hotel 74</x:v>
      </x:c>
      <x:c r="E60" t="str">
        <x:v>Restaurant</x:v>
      </x:c>
      <x:c r="F60" t="str">
        <x:v>Mysuru</x:v>
      </x:c>
      <x:c r="G60" t="str">
        <x:v>Vikram</x:v>
      </x:c>
      <x:c r="H60" t="str">
        <x:v>P002</x:v>
      </x:c>
      <x:c r="I60" t="str">
        <x:v>Sona Masoori Rice 25kg</x:v>
      </x:c>
      <x:c r="J60" t="str">
        <x:v>Staples</x:v>
      </x:c>
      <x:c r="K60" t="str">
        <x:v>Fortune</x:v>
      </x:c>
      <x:c r="L60" s="22" t="n">
        <x:v>1320</x:v>
      </x:c>
      <x:c r="M60" t="n">
        <x:v>3</x:v>
      </x:c>
      <x:c r="N60" s="24" t="n">
        <x:v>0</x:v>
      </x:c>
      <x:c r="O60" s="22" t="n">
        <x:f>L60*M60</x:f>
        <x:v>3960</x:v>
      </x:c>
      <x:c r="P60" s="22" t="n">
        <x:f>O60*(1-N60)</x:f>
        <x:v>3960</x:v>
      </x:c>
      <x:c r="Q60" s="22" t="n">
        <x:v>1160</x:v>
      </x:c>
      <x:c r="R60" s="22" t="n">
        <x:f>Q60*M60</x:f>
        <x:v>3480</x:v>
      </x:c>
      <x:c r="S60" s="22" t="n">
        <x:f>P60-R60</x:f>
        <x:v>480</x:v>
      </x:c>
      <x:c r="T60" t="str">
        <x:v>UPI</x:v>
      </x:c>
      <x:c r="U60" t="str">
        <x:v>Paid</x:v>
      </x:c>
      <x:c r="V60" t="str">
        <x:v>Delivered</x:v>
      </x:c>
      <x:c r="W60" t="n">
        <x:v>0</x:v>
      </x:c>
      <x:c r="X60" t="str"/>
      <x:c r="Y60" t="str">
        <x:v>Existing Customer</x:v>
      </x:c>
    </x:row>
    <x:row r="61">
      <x:c r="A61" t="str">
        <x:v>O000060</x:v>
      </x:c>
      <x:c r="B61" s="20" t="n">
        <x:v>46064</x:v>
      </x:c>
      <x:c r="C61" t="str">
        <x:v>C0091</x:v>
      </x:c>
      <x:c r="D61" t="str">
        <x:v>Classic Mart 91</x:v>
      </x:c>
      <x:c r="E61" t="str">
        <x:v>Cafe</x:v>
      </x:c>
      <x:c r="F61" t="str">
        <x:v>Mangaluru</x:v>
      </x:c>
      <x:c r="G61" t="str">
        <x:v>Kavya</x:v>
      </x:c>
      <x:c r="H61" t="str">
        <x:v>P018</x:v>
      </x:c>
      <x:c r="I61" t="str">
        <x:v>Paneer 1kg</x:v>
      </x:c>
      <x:c r="J61" t="str">
        <x:v>Dairy</x:v>
      </x:c>
      <x:c r="K61" t="str">
        <x:v>Milky Mist</x:v>
      </x:c>
      <x:c r="L61" s="22" t="n">
        <x:v>410</x:v>
      </x:c>
      <x:c r="M61" t="n">
        <x:v>6</x:v>
      </x:c>
      <x:c r="N61" s="24" t="n">
        <x:v>0.02</x:v>
      </x:c>
      <x:c r="O61" s="22" t="n">
        <x:f>L61*M61</x:f>
        <x:v>2460</x:v>
      </x:c>
      <x:c r="P61" s="22" t="n">
        <x:f>O61*(1-N61)</x:f>
        <x:v>2410.8</x:v>
      </x:c>
      <x:c r="Q61" s="22" t="n">
        <x:v>370</x:v>
      </x:c>
      <x:c r="R61" s="22" t="n">
        <x:f>Q61*M61</x:f>
        <x:v>2220</x:v>
      </x:c>
      <x:c r="S61" s="22" t="n">
        <x:f>P61-R61</x:f>
        <x:v>190.80000000000018</x:v>
      </x:c>
      <x:c r="T61" t="str">
        <x:v>Credit</x:v>
      </x:c>
      <x:c r="U61" t="str">
        <x:v>Paid</x:v>
      </x:c>
      <x:c r="V61" t="str">
        <x:v>Delivered</x:v>
      </x:c>
      <x:c r="W61" t="n">
        <x:v>0</x:v>
      </x:c>
      <x:c r="X61" t="str"/>
      <x:c r="Y61" t="str">
        <x:v>Referral</x:v>
      </x:c>
    </x:row>
    <x:row r="62">
      <x:c r="A62" t="str">
        <x:v>O000061</x:v>
      </x:c>
      <x:c r="B62" s="20" t="n">
        <x:v>45690</x:v>
      </x:c>
      <x:c r="C62" t="str">
        <x:v>C0212</x:v>
      </x:c>
      <x:c r="D62" t="str">
        <x:v>Classic Restaurant 212</x:v>
      </x:c>
      <x:c r="E62" t="str">
        <x:v>Restaurant</x:v>
      </x:c>
      <x:c r="F62" t="str">
        <x:v>Mysuru</x:v>
      </x:c>
      <x:c r="G62" t="str">
        <x:v>Vikram</x:v>
      </x:c>
      <x:c r="H62" t="str">
        <x:v>P006</x:v>
      </x:c>
      <x:c r="I62" t="str">
        <x:v>Moong Dal 5kg</x:v>
      </x:c>
      <x:c r="J62" t="str">
        <x:v>Pulses</x:v>
      </x:c>
      <x:c r="K62" t="str">
        <x:v>Local Select</x:v>
      </x:c>
      <x:c r="L62" s="22" t="n">
        <x:v>610</x:v>
      </x:c>
      <x:c r="M62" t="n">
        <x:v>6</x:v>
      </x:c>
      <x:c r="N62" s="24" t="n">
        <x:v>0.03</x:v>
      </x:c>
      <x:c r="O62" s="22" t="n">
        <x:f>L62*M62</x:f>
        <x:v>3660</x:v>
      </x:c>
      <x:c r="P62" s="22" t="n">
        <x:f>O62*(1-N62)</x:f>
        <x:v>3550.2</x:v>
      </x:c>
      <x:c r="Q62" s="22" t="n">
        <x:v>540</x:v>
      </x:c>
      <x:c r="R62" s="22" t="n">
        <x:f>Q62*M62</x:f>
        <x:v>3240</x:v>
      </x:c>
      <x:c r="S62" s="22" t="n">
        <x:f>P62-R62</x:f>
        <x:v>310.1999999999998</x:v>
      </x:c>
      <x:c r="T62" t="str">
        <x:v>Credit</x:v>
      </x:c>
      <x:c r="U62" t="str">
        <x:v>Paid</x:v>
      </x:c>
      <x:c r="V62" t="str">
        <x:v>Delivered</x:v>
      </x:c>
      <x:c r="W62" t="n">
        <x:v>0</x:v>
      </x:c>
      <x:c r="X62" t="str"/>
      <x:c r="Y62" t="str">
        <x:v>Referral</x:v>
      </x:c>
    </x:row>
    <x:row r="63">
      <x:c r="A63" t="str">
        <x:v>O000062</x:v>
      </x:c>
      <x:c r="B63" s="20" t="n">
        <x:v>45997</x:v>
      </x:c>
      <x:c r="C63" t="str">
        <x:v>C0217</x:v>
      </x:c>
      <x:c r="D63" t="str">
        <x:v>Darshini Cafe 217</x:v>
      </x:c>
      <x:c r="E63" t="str">
        <x:v>Restaurant</x:v>
      </x:c>
      <x:c r="F63" t="str">
        <x:v>Bengaluru</x:v>
      </x:c>
      <x:c r="G63" t="str">
        <x:v>Priya</x:v>
      </x:c>
      <x:c r="H63" t="str">
        <x:v>P028</x:v>
      </x:c>
      <x:c r="I63" t="str">
        <x:v>Cookies 200g</x:v>
      </x:c>
      <x:c r="J63" t="str">
        <x:v>Snacks</x:v>
      </x:c>
      <x:c r="K63" t="str">
        <x:v>Britannia</x:v>
      </x:c>
      <x:c r="L63" s="22" t="n">
        <x:v>55</x:v>
      </x:c>
      <x:c r="M63" t="n">
        <x:v>37</x:v>
      </x:c>
      <x:c r="N63" s="24" t="n">
        <x:v>0.1</x:v>
      </x:c>
      <x:c r="O63" s="22" t="n">
        <x:f>L63*M63</x:f>
        <x:v>2035</x:v>
      </x:c>
      <x:c r="P63" s="22" t="n">
        <x:f>O63*(1-N63)</x:f>
        <x:v>1831.5</x:v>
      </x:c>
      <x:c r="Q63" s="22" t="n">
        <x:v>42</x:v>
      </x:c>
      <x:c r="R63" s="22" t="n">
        <x:f>Q63*M63</x:f>
        <x:v>1554</x:v>
      </x:c>
      <x:c r="S63" s="22" t="n">
        <x:f>P63-R63</x:f>
        <x:v>277.5</x:v>
      </x:c>
      <x:c r="T63" t="str">
        <x:v>UPI</x:v>
      </x:c>
      <x:c r="U63" t="str">
        <x:v>Pending</x:v>
      </x:c>
      <x:c r="V63" t="str">
        <x:v>Delivered</x:v>
      </x:c>
      <x:c r="W63" t="n">
        <x:v>0</x:v>
      </x:c>
      <x:c r="X63" t="str"/>
      <x:c r="Y63" t="str">
        <x:v>Existing Customer</x:v>
      </x:c>
    </x:row>
    <x:row r="64">
      <x:c r="A64" t="str">
        <x:v>O000063</x:v>
      </x:c>
      <x:c r="B64" s="20" t="n">
        <x:v>45945</x:v>
      </x:c>
      <x:c r="C64" t="str">
        <x:v>C0012</x:v>
      </x:c>
      <x:c r="D64" t="str">
        <x:v>Sagar Canteen 12</x:v>
      </x:c>
      <x:c r="E64" t="str">
        <x:v>Supermarket</x:v>
      </x:c>
      <x:c r="F64" t="str">
        <x:v>Mysuru</x:v>
      </x:c>
      <x:c r="G64" t="str">
        <x:v>Priya</x:v>
      </x:c>
      <x:c r="H64" t="str">
        <x:v>P005</x:v>
      </x:c>
      <x:c r="I64" t="str">
        <x:v>Chana Dal 5kg</x:v>
      </x:c>
      <x:c r="J64" t="str">
        <x:v>Pulses</x:v>
      </x:c>
      <x:c r="K64" t="str">
        <x:v>Local Select</x:v>
      </x:c>
      <x:c r="L64" s="22" t="n">
        <x:v>520</x:v>
      </x:c>
      <x:c r="M64" t="n">
        <x:v>35</x:v>
      </x:c>
      <x:c r="N64" s="24" t="n">
        <x:v>0.03</x:v>
      </x:c>
      <x:c r="O64" s="22" t="n">
        <x:f>L64*M64</x:f>
        <x:v>18200</x:v>
      </x:c>
      <x:c r="P64" s="22" t="n">
        <x:f>O64*(1-N64)</x:f>
        <x:v>17654</x:v>
      </x:c>
      <x:c r="Q64" s="22" t="n">
        <x:v>455</x:v>
      </x:c>
      <x:c r="R64" s="22" t="n">
        <x:f>Q64*M64</x:f>
        <x:v>15925</x:v>
      </x:c>
      <x:c r="S64" s="22" t="n">
        <x:f>P64-R64</x:f>
        <x:v>1729</x:v>
      </x:c>
      <x:c r="T64" t="str">
        <x:v>UPI</x:v>
      </x:c>
      <x:c r="U64" t="str">
        <x:v>Paid</x:v>
      </x:c>
      <x:c r="V64" t="str">
        <x:v>Delivered</x:v>
      </x:c>
      <x:c r="W64" t="n">
        <x:v>2</x:v>
      </x:c>
      <x:c r="X64" t="str">
        <x:v>Wrong Item</x:v>
      </x:c>
      <x:c r="Y64" t="str">
        <x:v>WhatsApp</x:v>
      </x:c>
    </x:row>
    <x:row r="65">
      <x:c r="A65" t="str">
        <x:v>O000064</x:v>
      </x:c>
      <x:c r="B65" s="20" t="n">
        <x:v>46235</x:v>
      </x:c>
      <x:c r="C65" t="str">
        <x:v>C0077</x:v>
      </x:c>
      <x:c r="D65" t="str">
        <x:v>Spice Cafe 77</x:v>
      </x:c>
      <x:c r="E65" t="str">
        <x:v>Kirana</x:v>
      </x:c>
      <x:c r="F65" t="str">
        <x:v>Hubballi</x:v>
      </x:c>
      <x:c r="G65" t="str">
        <x:v>Vikram</x:v>
      </x:c>
      <x:c r="H65" t="str">
        <x:v>P011</x:v>
      </x:c>
      <x:c r="I65" t="str">
        <x:v>Salt 1kg</x:v>
      </x:c>
      <x:c r="J65" t="str">
        <x:v>Staples</x:v>
      </x:c>
      <x:c r="K65" t="str">
        <x:v>Tata</x:v>
      </x:c>
      <x:c r="L65" s="22" t="n">
        <x:v>28</x:v>
      </x:c>
      <x:c r="M65" t="n">
        <x:v>16</x:v>
      </x:c>
      <x:c r="N65" s="24" t="n">
        <x:v>0.03</x:v>
      </x:c>
      <x:c r="O65" s="22" t="n">
        <x:f>L65*M65</x:f>
        <x:v>448</x:v>
      </x:c>
      <x:c r="P65" s="22" t="n">
        <x:f>O65*(1-N65)</x:f>
        <x:v>434.56</x:v>
      </x:c>
      <x:c r="Q65" s="22" t="n">
        <x:v>23</x:v>
      </x:c>
      <x:c r="R65" s="22" t="n">
        <x:f>Q65*M65</x:f>
        <x:v>368</x:v>
      </x:c>
      <x:c r="S65" s="22" t="n">
        <x:f>P65-R65</x:f>
        <x:v>66.56</x:v>
      </x:c>
      <x:c r="T65" t="str">
        <x:v>Credit</x:v>
      </x:c>
      <x:c r="U65" t="str">
        <x:v>Paid</x:v>
      </x:c>
      <x:c r="V65" t="str">
        <x:v>Delayed</x:v>
      </x:c>
      <x:c r="W65" t="n">
        <x:v>0</x:v>
      </x:c>
      <x:c r="X65" t="str"/>
      <x:c r="Y65" t="str">
        <x:v>Field Visit</x:v>
      </x:c>
    </x:row>
    <x:row r="66">
      <x:c r="A66" t="str">
        <x:v>O000065</x:v>
      </x:c>
      <x:c r="B66" s="20" t="n">
        <x:v>45738</x:v>
      </x:c>
      <x:c r="C66" t="str">
        <x:v>C0190</x:v>
      </x:c>
      <x:c r="D66" t="str">
        <x:v>Shree Restaurant 190</x:v>
      </x:c>
      <x:c r="E66" t="str">
        <x:v>Canteen</x:v>
      </x:c>
      <x:c r="F66" t="str">
        <x:v>Bengaluru</x:v>
      </x:c>
      <x:c r="G66" t="str">
        <x:v>Kavya</x:v>
      </x:c>
      <x:c r="H66" t="str">
        <x:v>P009</x:v>
      </x:c>
      <x:c r="I66" t="str">
        <x:v>Groundnut Oil 5L</x:v>
      </x:c>
      <x:c r="J66" t="str">
        <x:v>Edible Oil</x:v>
      </x:c>
      <x:c r="K66" t="str">
        <x:v>Dhara</x:v>
      </x:c>
      <x:c r="L66" s="22" t="n">
        <x:v>890</x:v>
      </x:c>
      <x:c r="M66" t="n">
        <x:v>33</x:v>
      </x:c>
      <x:c r="N66" s="24" t="n">
        <x:v>0.05</x:v>
      </x:c>
      <x:c r="O66" s="22" t="n">
        <x:f>L66*M66</x:f>
        <x:v>29370</x:v>
      </x:c>
      <x:c r="P66" s="22" t="n">
        <x:f>O66*(1-N66)</x:f>
        <x:v>27901.5</x:v>
      </x:c>
      <x:c r="Q66" s="22" t="n">
        <x:v>810</x:v>
      </x:c>
      <x:c r="R66" s="22" t="n">
        <x:f>Q66*M66</x:f>
        <x:v>26730</x:v>
      </x:c>
      <x:c r="S66" s="22" t="n">
        <x:f>P66-R66</x:f>
        <x:v>1171.5</x:v>
      </x:c>
      <x:c r="T66" t="str">
        <x:v>Cash</x:v>
      </x:c>
      <x:c r="U66" t="str">
        <x:v>Paid</x:v>
      </x:c>
      <x:c r="V66" t="str">
        <x:v>Delivered</x:v>
      </x:c>
      <x:c r="W66" t="n">
        <x:v>0</x:v>
      </x:c>
      <x:c r="X66" t="str"/>
      <x:c r="Y66" t="str">
        <x:v>Outbound Call</x:v>
      </x:c>
    </x:row>
    <x:row r="67">
      <x:c r="A67" t="str">
        <x:v>O000066</x:v>
      </x:c>
      <x:c r="B67" s="20" t="n">
        <x:v>46267</x:v>
      </x:c>
      <x:c r="C67" t="str">
        <x:v>C0197</x:v>
      </x:c>
      <x:c r="D67" t="str">
        <x:v>New Foods 197</x:v>
      </x:c>
      <x:c r="E67" t="str">
        <x:v>Cafe</x:v>
      </x:c>
      <x:c r="F67" t="str">
        <x:v>Hubballi</x:v>
      </x:c>
      <x:c r="G67" t="str">
        <x:v>Kavya</x:v>
      </x:c>
      <x:c r="H67" t="str">
        <x:v>P040</x:v>
      </x:c>
      <x:c r="I67" t="str">
        <x:v>Bread Loaf 400g</x:v>
      </x:c>
      <x:c r="J67" t="str">
        <x:v>Bakery</x:v>
      </x:c>
      <x:c r="K67" t="str">
        <x:v>Britannia</x:v>
      </x:c>
      <x:c r="L67" s="22" t="n">
        <x:v>45</x:v>
      </x:c>
      <x:c r="M67" t="n">
        <x:v>26</x:v>
      </x:c>
      <x:c r="N67" s="24" t="n">
        <x:v>0.1</x:v>
      </x:c>
      <x:c r="O67" s="22" t="n">
        <x:f>L67*M67</x:f>
        <x:v>1170</x:v>
      </x:c>
      <x:c r="P67" s="22" t="n">
        <x:f>O67*(1-N67)</x:f>
        <x:v>1053</x:v>
      </x:c>
      <x:c r="Q67" s="22" t="n">
        <x:v>35</x:v>
      </x:c>
      <x:c r="R67" s="22" t="n">
        <x:f>Q67*M67</x:f>
        <x:v>910</x:v>
      </x:c>
      <x:c r="S67" s="22" t="n">
        <x:f>P67-R67</x:f>
        <x:v>143</x:v>
      </x:c>
      <x:c r="T67" t="str">
        <x:v>Cash</x:v>
      </x:c>
      <x:c r="U67" t="str">
        <x:v>Paid</x:v>
      </x:c>
      <x:c r="V67" t="str">
        <x:v>Delivered</x:v>
      </x:c>
      <x:c r="W67" t="n">
        <x:v>0</x:v>
      </x:c>
      <x:c r="X67" t="str"/>
      <x:c r="Y67" t="str">
        <x:v>WhatsApp</x:v>
      </x:c>
    </x:row>
    <x:row r="68">
      <x:c r="A68" t="str">
        <x:v>O000067</x:v>
      </x:c>
      <x:c r="B68" s="20" t="n">
        <x:v>46042</x:v>
      </x:c>
      <x:c r="C68" t="str">
        <x:v>C0092</x:v>
      </x:c>
      <x:c r="D68" t="str">
        <x:v>Cafe Restaurant 92</x:v>
      </x:c>
      <x:c r="E68" t="str">
        <x:v>Canteen</x:v>
      </x:c>
      <x:c r="F68" t="str">
        <x:v>Hubballi</x:v>
      </x:c>
      <x:c r="G68" t="str">
        <x:v>Vikram</x:v>
      </x:c>
      <x:c r="H68" t="str">
        <x:v>P036</x:v>
      </x:c>
      <x:c r="I68" t="str">
        <x:v>Garam Masala 500g</x:v>
      </x:c>
      <x:c r="J68" t="str">
        <x:v>Spices</x:v>
      </x:c>
      <x:c r="K68" t="str">
        <x:v>MDH</x:v>
      </x:c>
      <x:c r="L68" s="22" t="n">
        <x:v>265</x:v>
      </x:c>
      <x:c r="M68" t="n">
        <x:v>28</x:v>
      </x:c>
      <x:c r="N68" s="24" t="n">
        <x:v>0</x:v>
      </x:c>
      <x:c r="O68" s="22" t="n">
        <x:f>L68*M68</x:f>
        <x:v>7420</x:v>
      </x:c>
      <x:c r="P68" s="22" t="n">
        <x:f>O68*(1-N68)</x:f>
        <x:v>7420</x:v>
      </x:c>
      <x:c r="Q68" s="22" t="n">
        <x:v>230</x:v>
      </x:c>
      <x:c r="R68" s="22" t="n">
        <x:f>Q68*M68</x:f>
        <x:v>6440</x:v>
      </x:c>
      <x:c r="S68" s="22" t="n">
        <x:f>P68-R68</x:f>
        <x:v>980</x:v>
      </x:c>
      <x:c r="T68" t="str">
        <x:v>Credit</x:v>
      </x:c>
      <x:c r="U68" t="str">
        <x:v>Paid</x:v>
      </x:c>
      <x:c r="V68" t="str">
        <x:v>Delayed</x:v>
      </x:c>
      <x:c r="W68" t="n">
        <x:v>0</x:v>
      </x:c>
      <x:c r="X68" t="str"/>
      <x:c r="Y68" t="str">
        <x:v>Field Visit</x:v>
      </x:c>
    </x:row>
    <x:row r="69">
      <x:c r="A69" t="str">
        <x:v>O000068</x:v>
      </x:c>
      <x:c r="B69" s="20" t="n">
        <x:v>45742</x:v>
      </x:c>
      <x:c r="C69" t="str">
        <x:v>C0183</x:v>
      </x:c>
      <x:c r="D69" t="str">
        <x:v>Spice Mart 183</x:v>
      </x:c>
      <x:c r="E69" t="str">
        <x:v>Kirana</x:v>
      </x:c>
      <x:c r="F69" t="str">
        <x:v>Mangaluru</x:v>
      </x:c>
      <x:c r="G69" t="str">
        <x:v>Kavya</x:v>
      </x:c>
      <x:c r="H69" t="str">
        <x:v>P005</x:v>
      </x:c>
      <x:c r="I69" t="str">
        <x:v>Chana Dal 5kg</x:v>
      </x:c>
      <x:c r="J69" t="str">
        <x:v>Pulses</x:v>
      </x:c>
      <x:c r="K69" t="str">
        <x:v>Local Select</x:v>
      </x:c>
      <x:c r="L69" s="22" t="n">
        <x:v>520</x:v>
      </x:c>
      <x:c r="M69" t="n">
        <x:v>18</x:v>
      </x:c>
      <x:c r="N69" s="24" t="n">
        <x:v>0</x:v>
      </x:c>
      <x:c r="O69" s="22" t="n">
        <x:f>L69*M69</x:f>
        <x:v>9360</x:v>
      </x:c>
      <x:c r="P69" s="22" t="n">
        <x:f>O69*(1-N69)</x:f>
        <x:v>9360</x:v>
      </x:c>
      <x:c r="Q69" s="22" t="n">
        <x:v>455</x:v>
      </x:c>
      <x:c r="R69" s="22" t="n">
        <x:f>Q69*M69</x:f>
        <x:v>8190</x:v>
      </x:c>
      <x:c r="S69" s="22" t="n">
        <x:f>P69-R69</x:f>
        <x:v>1170</x:v>
      </x:c>
      <x:c r="T69" t="str">
        <x:v>Bank Transfer</x:v>
      </x:c>
      <x:c r="U69" t="str">
        <x:v>Pending</x:v>
      </x:c>
      <x:c r="V69" t="str">
        <x:v>Delivered</x:v>
      </x:c>
      <x:c r="W69" t="n">
        <x:v>0</x:v>
      </x:c>
      <x:c r="X69" t="str"/>
      <x:c r="Y69" t="str"/>
    </x:row>
    <x:row r="70">
      <x:c r="A70" t="str">
        <x:v>O000069</x:v>
      </x:c>
      <x:c r="B70" s="20" t="n">
        <x:v>46026</x:v>
      </x:c>
      <x:c r="C70" t="str">
        <x:v>C0079</x:v>
      </x:c>
      <x:c r="D70" t="str">
        <x:v>Foodie Foods 79</x:v>
      </x:c>
      <x:c r="E70" t="str">
        <x:v>Cafe</x:v>
      </x:c>
      <x:c r="F70" t="str">
        <x:v>Tumakuru</x:v>
      </x:c>
      <x:c r="G70" t="str">
        <x:v>Ramesh</x:v>
      </x:c>
      <x:c r="H70" t="str">
        <x:v>P029</x:v>
      </x:c>
      <x:c r="I70" t="str">
        <x:v>Tomato Ketchup 1kg</x:v>
      </x:c>
      <x:c r="J70" t="str">
        <x:v>Condiments</x:v>
      </x:c>
      <x:c r="K70" t="str">
        <x:v>Kissan</x:v>
      </x:c>
      <x:c r="L70" s="22" t="n">
        <x:v>145</x:v>
      </x:c>
      <x:c r="M70" t="n">
        <x:v>18</x:v>
      </x:c>
      <x:c r="N70" s="24" t="n">
        <x:v>0</x:v>
      </x:c>
      <x:c r="O70" s="22" t="n">
        <x:f>L70*M70</x:f>
        <x:v>2610</x:v>
      </x:c>
      <x:c r="P70" s="22" t="n">
        <x:f>O70*(1-N70)</x:f>
        <x:v>2610</x:v>
      </x:c>
      <x:c r="Q70" s="22" t="n">
        <x:v>126</x:v>
      </x:c>
      <x:c r="R70" s="22" t="n">
        <x:f>Q70*M70</x:f>
        <x:v>2268</x:v>
      </x:c>
      <x:c r="S70" s="22" t="n">
        <x:f>P70-R70</x:f>
        <x:v>342</x:v>
      </x:c>
      <x:c r="T70" t="str">
        <x:v>UPI</x:v>
      </x:c>
      <x:c r="U70" t="str">
        <x:v>Paid</x:v>
      </x:c>
      <x:c r="V70" t="str">
        <x:v>Delivered</x:v>
      </x:c>
      <x:c r="W70" t="n">
        <x:v>0</x:v>
      </x:c>
      <x:c r="X70" t="str"/>
      <x:c r="Y70" t="str">
        <x:v>Existing Customer</x:v>
      </x:c>
    </x:row>
    <x:row r="71">
      <x:c r="A71" t="str">
        <x:v>O000070</x:v>
      </x:c>
      <x:c r="B71" s="20" t="n">
        <x:v>46020</x:v>
      </x:c>
      <x:c r="C71" t="str">
        <x:v>C0007</x:v>
      </x:c>
      <x:c r="D71" t="str">
        <x:v>Mysore Stores 7</x:v>
      </x:c>
      <x:c r="E71" t="str">
        <x:v>Kirana</x:v>
      </x:c>
      <x:c r="F71" t="str">
        <x:v>Bengaluru</x:v>
      </x:c>
      <x:c r="G71" t="str">
        <x:v>Kavya</x:v>
      </x:c>
      <x:c r="H71" t="str">
        <x:v>P006</x:v>
      </x:c>
      <x:c r="I71" t="str">
        <x:v>Moong Dal 5kg</x:v>
      </x:c>
      <x:c r="J71" t="str">
        <x:v>Pulses</x:v>
      </x:c>
      <x:c r="K71" t="str">
        <x:v>Local Select</x:v>
      </x:c>
      <x:c r="L71" s="22" t="n">
        <x:v>610</x:v>
      </x:c>
      <x:c r="M71" t="n">
        <x:v>36</x:v>
      </x:c>
      <x:c r="N71" s="24" t="n">
        <x:v>0</x:v>
      </x:c>
      <x:c r="O71" s="22" t="n">
        <x:f>L71*M71</x:f>
        <x:v>21960</x:v>
      </x:c>
      <x:c r="P71" s="22" t="n">
        <x:f>O71*(1-N71)</x:f>
        <x:v>21960</x:v>
      </x:c>
      <x:c r="Q71" s="22" t="n">
        <x:v>540</x:v>
      </x:c>
      <x:c r="R71" s="22" t="n">
        <x:f>Q71*M71</x:f>
        <x:v>19440</x:v>
      </x:c>
      <x:c r="S71" s="22" t="n">
        <x:f>P71-R71</x:f>
        <x:v>2520</x:v>
      </x:c>
      <x:c r="T71" t="str">
        <x:v>Cash</x:v>
      </x:c>
      <x:c r="U71" t="str">
        <x:v>Pending</x:v>
      </x:c>
      <x:c r="V71" t="str">
        <x:v>Delivered</x:v>
      </x:c>
      <x:c r="W71" t="n">
        <x:v>0</x:v>
      </x:c>
      <x:c r="X71" t="str"/>
      <x:c r="Y71" t="str">
        <x:v>WhatsApp</x:v>
      </x:c>
    </x:row>
    <x:row r="72">
      <x:c r="A72" t="str">
        <x:v>O000071</x:v>
      </x:c>
      <x:c r="B72" s="20" t="n">
        <x:v>45906</x:v>
      </x:c>
      <x:c r="C72" t="str">
        <x:v>C0186</x:v>
      </x:c>
      <x:c r="D72" t="str">
        <x:v>Namma Stores 186</x:v>
      </x:c>
      <x:c r="E72" t="str">
        <x:v>Supermarket</x:v>
      </x:c>
      <x:c r="F72" t="str">
        <x:v>Mysuru</x:v>
      </x:c>
      <x:c r="G72" t="str">
        <x:v>Vikram</x:v>
      </x:c>
      <x:c r="H72" t="str">
        <x:v>P036</x:v>
      </x:c>
      <x:c r="I72" t="str">
        <x:v>Garam Masala 500g</x:v>
      </x:c>
      <x:c r="J72" t="str">
        <x:v>Spices</x:v>
      </x:c>
      <x:c r="K72" t="str">
        <x:v>MDH</x:v>
      </x:c>
      <x:c r="L72" s="22" t="n">
        <x:v>265</x:v>
      </x:c>
      <x:c r="M72" t="n">
        <x:v>37</x:v>
      </x:c>
      <x:c r="N72" s="24" t="n">
        <x:v>0.03</x:v>
      </x:c>
      <x:c r="O72" s="22" t="n">
        <x:f>L72*M72</x:f>
        <x:v>9805</x:v>
      </x:c>
      <x:c r="P72" s="22" t="n">
        <x:f>O72*(1-N72)</x:f>
        <x:v>9510.85</x:v>
      </x:c>
      <x:c r="Q72" s="22" t="n">
        <x:v>230</x:v>
      </x:c>
      <x:c r="R72" s="22" t="n">
        <x:f>Q72*M72</x:f>
        <x:v>8510</x:v>
      </x:c>
      <x:c r="S72" s="22" t="n">
        <x:f>P72-R72</x:f>
        <x:v>1000.8500000000004</x:v>
      </x:c>
      <x:c r="T72" t="str">
        <x:v>Credit</x:v>
      </x:c>
      <x:c r="U72" t="str">
        <x:v>Paid</x:v>
      </x:c>
      <x:c r="V72" t="str">
        <x:v>Delivered</x:v>
      </x:c>
      <x:c r="W72" t="n">
        <x:v>0</x:v>
      </x:c>
      <x:c r="X72" t="str"/>
      <x:c r="Y72" t="str">
        <x:v>WhatsApp</x:v>
      </x:c>
    </x:row>
    <x:row r="73">
      <x:c r="A73" t="str">
        <x:v>O000072</x:v>
      </x:c>
      <x:c r="B73" s="20" t="n">
        <x:v>45940</x:v>
      </x:c>
      <x:c r="C73" t="str">
        <x:v>C0043</x:v>
      </x:c>
      <x:c r="D73" t="str">
        <x:v>Namma Kitchen 43</x:v>
      </x:c>
      <x:c r="E73" t="str">
        <x:v>Supermarket</x:v>
      </x:c>
      <x:c r="F73" t="str">
        <x:v>Davanagere</x:v>
      </x:c>
      <x:c r="G73" t="str">
        <x:v>Kavya</x:v>
      </x:c>
      <x:c r="H73" t="str">
        <x:v>P028</x:v>
      </x:c>
      <x:c r="I73" t="str">
        <x:v>Cookies 200g</x:v>
      </x:c>
      <x:c r="J73" t="str">
        <x:v>Snacks</x:v>
      </x:c>
      <x:c r="K73" t="str">
        <x:v>Britannia</x:v>
      </x:c>
      <x:c r="L73" s="22" t="n">
        <x:v>55</x:v>
      </x:c>
      <x:c r="M73" t="n">
        <x:v>27</x:v>
      </x:c>
      <x:c r="N73" s="24" t="n">
        <x:v>0.02</x:v>
      </x:c>
      <x:c r="O73" s="22" t="n">
        <x:f>L73*M73</x:f>
        <x:v>1485</x:v>
      </x:c>
      <x:c r="P73" s="22" t="n">
        <x:f>O73*(1-N73)</x:f>
        <x:v>1455.3</x:v>
      </x:c>
      <x:c r="Q73" s="22" t="n">
        <x:v>42</x:v>
      </x:c>
      <x:c r="R73" s="22" t="n">
        <x:f>Q73*M73</x:f>
        <x:v>1134</x:v>
      </x:c>
      <x:c r="S73" s="22" t="n">
        <x:f>P73-R73</x:f>
        <x:v>321.29999999999995</x:v>
      </x:c>
      <x:c r="T73" t="str">
        <x:v>UPI</x:v>
      </x:c>
      <x:c r="U73" t="str">
        <x:v>Paid</x:v>
      </x:c>
      <x:c r="V73" t="str">
        <x:v>Delivered</x:v>
      </x:c>
      <x:c r="W73" t="n">
        <x:v>0</x:v>
      </x:c>
      <x:c r="X73" t="str"/>
      <x:c r="Y73" t="str">
        <x:v>WhatsApp</x:v>
      </x:c>
    </x:row>
    <x:row r="74">
      <x:c r="A74" t="str">
        <x:v>O000073</x:v>
      </x:c>
      <x:c r="B74" s="20" t="n">
        <x:v>45767</x:v>
      </x:c>
      <x:c r="C74" t="str">
        <x:v>C0051</x:v>
      </x:c>
      <x:c r="D74" t="str">
        <x:v>Cafe Hotel 51</x:v>
      </x:c>
      <x:c r="E74" t="str">
        <x:v>Kirana</x:v>
      </x:c>
      <x:c r="F74" t="str">
        <x:v>Tumakuru</x:v>
      </x:c>
      <x:c r="G74" t="str">
        <x:v>Arjun</x:v>
      </x:c>
      <x:c r="H74" t="str">
        <x:v>P030</x:v>
      </x:c>
      <x:c r="I74" t="str">
        <x:v>Mayonnaise 1kg</x:v>
      </x:c>
      <x:c r="J74" t="str">
        <x:v>Condiments</x:v>
      </x:c>
      <x:c r="K74" t="str">
        <x:v>Veeba</x:v>
      </x:c>
      <x:c r="L74" s="22" t="n">
        <x:v>210</x:v>
      </x:c>
      <x:c r="M74" t="n">
        <x:v>9</x:v>
      </x:c>
      <x:c r="N74" s="24" t="n">
        <x:v>0.02</x:v>
      </x:c>
      <x:c r="O74" s="22" t="n">
        <x:f>L74*M74</x:f>
        <x:v>1890</x:v>
      </x:c>
      <x:c r="P74" s="22" t="n">
        <x:f>O74*(1-N74)</x:f>
        <x:v>1852.2</x:v>
      </x:c>
      <x:c r="Q74" s="22" t="n">
        <x:v>185</x:v>
      </x:c>
      <x:c r="R74" s="22" t="n">
        <x:f>Q74*M74</x:f>
        <x:v>1665</x:v>
      </x:c>
      <x:c r="S74" s="22" t="n">
        <x:f>P74-R74</x:f>
        <x:v>187.20000000000005</x:v>
      </x:c>
      <x:c r="T74" t="str">
        <x:v>Credit</x:v>
      </x:c>
      <x:c r="U74" t="str">
        <x:v>Paid</x:v>
      </x:c>
      <x:c r="V74" t="str">
        <x:v>Delayed</x:v>
      </x:c>
      <x:c r="W74" t="n">
        <x:v>0</x:v>
      </x:c>
      <x:c r="X74" t="str"/>
      <x:c r="Y74" t="str">
        <x:v>WhatsApp</x:v>
      </x:c>
    </x:row>
    <x:row r="75">
      <x:c r="A75" t="str">
        <x:v>O000074</x:v>
      </x:c>
      <x:c r="B75" s="20" t="n">
        <x:v>46000</x:v>
      </x:c>
      <x:c r="C75" t="str">
        <x:v>C0085</x:v>
      </x:c>
      <x:c r="D75" t="str">
        <x:v>Green Hotel 85</x:v>
      </x:c>
      <x:c r="E75" t="str">
        <x:v>Kirana</x:v>
      </x:c>
      <x:c r="F75" t="str">
        <x:v>Mysuru</x:v>
      </x:c>
      <x:c r="G75" t="str">
        <x:v>Arjun</x:v>
      </x:c>
      <x:c r="H75" t="str">
        <x:v>P029</x:v>
      </x:c>
      <x:c r="I75" t="str">
        <x:v>Tomato Ketchup 1kg</x:v>
      </x:c>
      <x:c r="J75" t="str">
        <x:v>Condiments</x:v>
      </x:c>
      <x:c r="K75" t="str">
        <x:v>Kissan</x:v>
      </x:c>
      <x:c r="L75" s="22" t="n">
        <x:v>145</x:v>
      </x:c>
      <x:c r="M75" t="n">
        <x:v>28</x:v>
      </x:c>
      <x:c r="N75" s="24" t="n">
        <x:v>0.05</x:v>
      </x:c>
      <x:c r="O75" s="22" t="n">
        <x:f>L75*M75</x:f>
        <x:v>4060</x:v>
      </x:c>
      <x:c r="P75" s="22" t="n">
        <x:f>O75*(1-N75)</x:f>
        <x:v>3857</x:v>
      </x:c>
      <x:c r="Q75" s="22" t="n">
        <x:v>126</x:v>
      </x:c>
      <x:c r="R75" s="22" t="n">
        <x:f>Q75*M75</x:f>
        <x:v>3528</x:v>
      </x:c>
      <x:c r="S75" s="22" t="n">
        <x:f>P75-R75</x:f>
        <x:v>329</x:v>
      </x:c>
      <x:c r="T75" t="str">
        <x:v>Bank Transfer</x:v>
      </x:c>
      <x:c r="U75" t="str">
        <x:v>Paid</x:v>
      </x:c>
      <x:c r="V75" t="str">
        <x:v>Delayed</x:v>
      </x:c>
      <x:c r="W75" t="n">
        <x:v>0</x:v>
      </x:c>
      <x:c r="X75" t="str"/>
      <x:c r="Y75" t="str">
        <x:v>Referral</x:v>
      </x:c>
    </x:row>
    <x:row r="76">
      <x:c r="A76" t="str">
        <x:v>O000075</x:v>
      </x:c>
      <x:c r="B76" s="20" t="n">
        <x:v>45984</x:v>
      </x:c>
      <x:c r="C76" t="str">
        <x:v>C0046</x:v>
      </x:c>
      <x:c r="D76" t="str">
        <x:v>Annapurna Foods 46</x:v>
      </x:c>
      <x:c r="E76" t="str">
        <x:v>Kirana</x:v>
      </x:c>
      <x:c r="F76" t="str">
        <x:v>Bengaluru</x:v>
      </x:c>
      <x:c r="G76" t="str">
        <x:v>Ramesh</x:v>
      </x:c>
      <x:c r="H76" t="str">
        <x:v>P026</x:v>
      </x:c>
      <x:c r="I76" t="str">
        <x:v>Banana Chips 80g</x:v>
      </x:c>
      <x:c r="J76" t="str">
        <x:v>Snacks</x:v>
      </x:c>
      <x:c r="K76" t="str">
        <x:v>SSS</x:v>
      </x:c>
      <x:c r="L76" s="22" t="n">
        <x:v>54</x:v>
      </x:c>
      <x:c r="M76" t="n">
        <x:v>19</x:v>
      </x:c>
      <x:c r="N76" s="24" t="n">
        <x:v>0.05</x:v>
      </x:c>
      <x:c r="O76" s="22" t="n">
        <x:f>L76*M76</x:f>
        <x:v>1026</x:v>
      </x:c>
      <x:c r="P76" s="22" t="n">
        <x:f>O76*(1-N76)</x:f>
        <x:v>974.6999999999999</x:v>
      </x:c>
      <x:c r="Q76" s="22" t="n">
        <x:v>39</x:v>
      </x:c>
      <x:c r="R76" s="22" t="n">
        <x:f>Q76*M76</x:f>
        <x:v>741</x:v>
      </x:c>
      <x:c r="S76" s="22" t="n">
        <x:f>P76-R76</x:f>
        <x:v>233.69999999999993</x:v>
      </x:c>
      <x:c r="T76" t="str">
        <x:v>Credit</x:v>
      </x:c>
      <x:c r="U76" t="str">
        <x:v>Overdue</x:v>
      </x:c>
      <x:c r="V76" t="str">
        <x:v>Delivered</x:v>
      </x:c>
      <x:c r="W76" t="n">
        <x:v>0</x:v>
      </x:c>
      <x:c r="X76" t="str"/>
      <x:c r="Y76" t="str">
        <x:v>Field Visit</x:v>
      </x:c>
    </x:row>
    <x:row r="77">
      <x:c r="A77" t="str">
        <x:v>O000076</x:v>
      </x:c>
      <x:c r="B77" s="20" t="n">
        <x:v>45774</x:v>
      </x:c>
      <x:c r="C77" t="str">
        <x:v>C0101</x:v>
      </x:c>
      <x:c r="D77" t="str">
        <x:v>Namma Cafe 101</x:v>
      </x:c>
      <x:c r="E77" t="str">
        <x:v>Supermarket</x:v>
      </x:c>
      <x:c r="F77" t="str">
        <x:v>Bengaluru</x:v>
      </x:c>
      <x:c r="G77" t="str">
        <x:v>Arjun</x:v>
      </x:c>
      <x:c r="H77" t="str">
        <x:v>P024</x:v>
      </x:c>
      <x:c r="I77" t="str">
        <x:v>Orange Drink 1L</x:v>
      </x:c>
      <x:c r="J77" t="str">
        <x:v>Beverage</x:v>
      </x:c>
      <x:c r="K77" t="str">
        <x:v>Minute Maid</x:v>
      </x:c>
      <x:c r="L77" s="22" t="n">
        <x:v>105</x:v>
      </x:c>
      <x:c r="M77" t="n">
        <x:v>37</x:v>
      </x:c>
      <x:c r="N77" s="24" t="n">
        <x:v>0</x:v>
      </x:c>
      <x:c r="O77" s="22" t="n">
        <x:f>L77*M77</x:f>
        <x:v>3885</x:v>
      </x:c>
      <x:c r="P77" s="22" t="n">
        <x:f>O77*(1-N77)</x:f>
        <x:v>3885</x:v>
      </x:c>
      <x:c r="Q77" s="22" t="n">
        <x:v>88</x:v>
      </x:c>
      <x:c r="R77" s="22" t="n">
        <x:f>Q77*M77</x:f>
        <x:v>3256</x:v>
      </x:c>
      <x:c r="S77" s="22" t="n">
        <x:f>P77-R77</x:f>
        <x:v>629</x:v>
      </x:c>
      <x:c r="T77" t="str">
        <x:v>Bank Transfer</x:v>
      </x:c>
      <x:c r="U77" t="str">
        <x:v>Paid</x:v>
      </x:c>
      <x:c r="V77" t="str">
        <x:v>Delayed</x:v>
      </x:c>
      <x:c r="W77" t="n">
        <x:v>0</x:v>
      </x:c>
      <x:c r="X77" t="str"/>
      <x:c r="Y77" t="str">
        <x:v>Outbound Call</x:v>
      </x:c>
    </x:row>
    <x:row r="78">
      <x:c r="A78" t="str">
        <x:v>O000077</x:v>
      </x:c>
      <x:c r="B78" s="20" t="n">
        <x:v>45872</x:v>
      </x:c>
      <x:c r="C78" t="str">
        <x:v>C0119</x:v>
      </x:c>
      <x:c r="D78" t="str">
        <x:v>Foodie Foods 119</x:v>
      </x:c>
      <x:c r="E78" t="str">
        <x:v>Kirana</x:v>
      </x:c>
      <x:c r="F78" t="str">
        <x:v>Hubballi</x:v>
      </x:c>
      <x:c r="G78" t="str">
        <x:v>Imran</x:v>
      </x:c>
      <x:c r="H78" t="str">
        <x:v>P046</x:v>
      </x:c>
      <x:c r="I78" t="str">
        <x:v>Potato 25kg</x:v>
      </x:c>
      <x:c r="J78" t="str">
        <x:v>Fresh Produce</x:v>
      </x:c>
      <x:c r="K78" t="str">
        <x:v>Local Market</x:v>
      </x:c>
      <x:c r="L78" s="22" t="n">
        <x:v>700</x:v>
      </x:c>
      <x:c r="M78" t="n">
        <x:v>29</x:v>
      </x:c>
      <x:c r="N78" s="24" t="n">
        <x:v>0.05</x:v>
      </x:c>
      <x:c r="O78" s="22" t="n">
        <x:f>L78*M78</x:f>
        <x:v>20300</x:v>
      </x:c>
      <x:c r="P78" s="22" t="n">
        <x:f>O78*(1-N78)</x:f>
        <x:v>19285</x:v>
      </x:c>
      <x:c r="Q78" s="22" t="n">
        <x:v>610</x:v>
      </x:c>
      <x:c r="R78" s="22" t="n">
        <x:f>Q78*M78</x:f>
        <x:v>17690</x:v>
      </x:c>
      <x:c r="S78" s="22" t="n">
        <x:f>P78-R78</x:f>
        <x:v>1595</x:v>
      </x:c>
      <x:c r="T78" t="str">
        <x:v>UPI</x:v>
      </x:c>
      <x:c r="U78" t="str">
        <x:v>Pending</x:v>
      </x:c>
      <x:c r="V78" t="str">
        <x:v>Delivered</x:v>
      </x:c>
      <x:c r="W78" t="n">
        <x:v>0</x:v>
      </x:c>
      <x:c r="X78" t="str"/>
      <x:c r="Y78" t="str">
        <x:v>Referral</x:v>
      </x:c>
    </x:row>
    <x:row r="79">
      <x:c r="A79" t="str">
        <x:v>O000078</x:v>
      </x:c>
      <x:c r="B79" s="20" t="n">
        <x:v>45815</x:v>
      </x:c>
      <x:c r="C79" t="str">
        <x:v>C0062</x:v>
      </x:c>
      <x:c r="D79" t="str">
        <x:v>Foodie Hotel 62</x:v>
      </x:c>
      <x:c r="E79" t="str">
        <x:v>Cafe</x:v>
      </x:c>
      <x:c r="F79" t="str">
        <x:v>Mysuru</x:v>
      </x:c>
      <x:c r="G79" t="str">
        <x:v>Vikram</x:v>
      </x:c>
      <x:c r="H79" t="str">
        <x:v>P017</x:v>
      </x:c>
      <x:c r="I79" t="str">
        <x:v>Butter 500g</x:v>
      </x:c>
      <x:c r="J79" t="str">
        <x:v>Dairy</x:v>
      </x:c>
      <x:c r="K79" t="str">
        <x:v>Amul</x:v>
      </x:c>
      <x:c r="L79" s="22" t="n">
        <x:v>285</x:v>
      </x:c>
      <x:c r="M79" t="n">
        <x:v>28</x:v>
      </x:c>
      <x:c r="N79" s="24" t="n">
        <x:v>0.05</x:v>
      </x:c>
      <x:c r="O79" s="22" t="n">
        <x:f>L79*M79</x:f>
        <x:v>7980</x:v>
      </x:c>
      <x:c r="P79" s="22" t="n">
        <x:f>O79*(1-N79)</x:f>
        <x:v>7581</x:v>
      </x:c>
      <x:c r="Q79" s="22" t="n">
        <x:v>258</x:v>
      </x:c>
      <x:c r="R79" s="22" t="n">
        <x:f>Q79*M79</x:f>
        <x:v>7224</x:v>
      </x:c>
      <x:c r="S79" s="22" t="n">
        <x:f>P79-R79</x:f>
        <x:v>357</x:v>
      </x:c>
      <x:c r="T79" t="str">
        <x:v>UPI</x:v>
      </x:c>
      <x:c r="U79" t="str">
        <x:v>Paid</x:v>
      </x:c>
      <x:c r="V79" t="str">
        <x:v>Delayed</x:v>
      </x:c>
      <x:c r="W79" t="n">
        <x:v>0</x:v>
      </x:c>
      <x:c r="X79" t="str"/>
      <x:c r="Y79" t="str">
        <x:v>WhatsApp</x:v>
      </x:c>
    </x:row>
    <x:row r="80">
      <x:c r="A80" t="str">
        <x:v>O000079</x:v>
      </x:c>
      <x:c r="B80" s="20" t="n">
        <x:v>46086</x:v>
      </x:c>
      <x:c r="C80" t="str">
        <x:v>C0137</x:v>
      </x:c>
      <x:c r="D80" t="str">
        <x:v>Green Restaurant 137</x:v>
      </x:c>
      <x:c r="E80" t="str">
        <x:v>Canteen</x:v>
      </x:c>
      <x:c r="F80" t="str">
        <x:v>Mangaluru</x:v>
      </x:c>
      <x:c r="G80" t="str">
        <x:v>Arjun</x:v>
      </x:c>
      <x:c r="H80" t="str">
        <x:v>P033</x:v>
      </x:c>
      <x:c r="I80" t="str">
        <x:v>Turmeric Powder 1kg</x:v>
      </x:c>
      <x:c r="J80" t="str">
        <x:v>Spices</x:v>
      </x:c>
      <x:c r="K80" t="str">
        <x:v>Everest</x:v>
      </x:c>
      <x:c r="L80" s="22" t="n">
        <x:v>310</x:v>
      </x:c>
      <x:c r="M80" t="n">
        <x:v>35</x:v>
      </x:c>
      <x:c r="N80" s="24" t="n">
        <x:v>0</x:v>
      </x:c>
      <x:c r="O80" s="22" t="n">
        <x:f>L80*M80</x:f>
        <x:v>10850</x:v>
      </x:c>
      <x:c r="P80" s="22" t="n">
        <x:f>O80*(1-N80)</x:f>
        <x:v>10850</x:v>
      </x:c>
      <x:c r="Q80" s="22" t="n">
        <x:v>270</x:v>
      </x:c>
      <x:c r="R80" s="22" t="n">
        <x:f>Q80*M80</x:f>
        <x:v>9450</x:v>
      </x:c>
      <x:c r="S80" s="22" t="n">
        <x:f>P80-R80</x:f>
        <x:v>1400</x:v>
      </x:c>
      <x:c r="T80" t="str">
        <x:v>Cash</x:v>
      </x:c>
      <x:c r="U80" t="str">
        <x:v>Paid</x:v>
      </x:c>
      <x:c r="V80" t="str">
        <x:v>Delayed</x:v>
      </x:c>
      <x:c r="W80" t="n">
        <x:v>0</x:v>
      </x:c>
      <x:c r="X80" t="str"/>
      <x:c r="Y80" t="str">
        <x:v>Existing Customer</x:v>
      </x:c>
    </x:row>
    <x:row r="81">
      <x:c r="A81" t="str">
        <x:v>O000080</x:v>
      </x:c>
      <x:c r="B81" s="20" t="n">
        <x:v>45912</x:v>
      </x:c>
      <x:c r="C81" t="str">
        <x:v>C0022</x:v>
      </x:c>
      <x:c r="D81" t="str">
        <x:v>Royal Hotel 22</x:v>
      </x:c>
      <x:c r="E81" t="str">
        <x:v>Kirana</x:v>
      </x:c>
      <x:c r="F81" t="str">
        <x:v>Bengaluru</x:v>
      </x:c>
      <x:c r="G81" t="str">
        <x:v>Ramesh</x:v>
      </x:c>
      <x:c r="H81" t="str">
        <x:v>P007</x:v>
      </x:c>
      <x:c r="I81" t="str">
        <x:v>Sunflower Oil 15L</x:v>
      </x:c>
      <x:c r="J81" t="str">
        <x:v>Edible Oil</x:v>
      </x:c>
      <x:c r="K81" t="str">
        <x:v>Fortune</x:v>
      </x:c>
      <x:c r="L81" s="22" t="n">
        <x:v>1980</x:v>
      </x:c>
      <x:c r="M81" t="n">
        <x:v>3</x:v>
      </x:c>
      <x:c r="N81" s="24" t="n">
        <x:v>0.05</x:v>
      </x:c>
      <x:c r="O81" s="22" t="n">
        <x:f>L81*M81</x:f>
        <x:v>5940</x:v>
      </x:c>
      <x:c r="P81" s="22" t="n">
        <x:f>O81*(1-N81)</x:f>
        <x:v>5643</x:v>
      </x:c>
      <x:c r="Q81" s="22" t="n">
        <x:v>1810</x:v>
      </x:c>
      <x:c r="R81" s="22" t="n">
        <x:f>Q81*M81</x:f>
        <x:v>5430</x:v>
      </x:c>
      <x:c r="S81" s="22" t="n">
        <x:f>P81-R81</x:f>
        <x:v>213</x:v>
      </x:c>
      <x:c r="T81" t="str">
        <x:v>UPI</x:v>
      </x:c>
      <x:c r="U81" t="str">
        <x:v>Paid</x:v>
      </x:c>
      <x:c r="V81" t="str">
        <x:v>Cancelled</x:v>
      </x:c>
      <x:c r="W81" t="n">
        <x:v>3</x:v>
      </x:c>
      <x:c r="X81" t="str">
        <x:v>Cancelled Order</x:v>
      </x:c>
      <x:c r="Y81" t="str">
        <x:v>WhatsApp</x:v>
      </x:c>
    </x:row>
    <x:row r="82">
      <x:c r="A82" t="str">
        <x:v>O000081</x:v>
      </x:c>
      <x:c r="B82" s="20" t="n">
        <x:v>45766</x:v>
      </x:c>
      <x:c r="C82" t="str">
        <x:v>C0085</x:v>
      </x:c>
      <x:c r="D82" t="str">
        <x:v>Green Hotel 85</x:v>
      </x:c>
      <x:c r="E82" t="str">
        <x:v>Kirana</x:v>
      </x:c>
      <x:c r="F82" t="str">
        <x:v>Mysuru</x:v>
      </x:c>
      <x:c r="G82" t="str">
        <x:v>Arjun</x:v>
      </x:c>
      <x:c r="H82" t="str">
        <x:v>P028</x:v>
      </x:c>
      <x:c r="I82" t="str">
        <x:v>Cookies 200g</x:v>
      </x:c>
      <x:c r="J82" t="str">
        <x:v>Snacks</x:v>
      </x:c>
      <x:c r="K82" t="str">
        <x:v>Britannia</x:v>
      </x:c>
      <x:c r="L82" s="22" t="n">
        <x:v>55</x:v>
      </x:c>
      <x:c r="M82" t="n">
        <x:v>1</x:v>
      </x:c>
      <x:c r="N82" s="24" t="n">
        <x:v>0</x:v>
      </x:c>
      <x:c r="O82" s="22" t="n">
        <x:f>L82*M82</x:f>
        <x:v>55</x:v>
      </x:c>
      <x:c r="P82" s="22" t="n">
        <x:f>O82*(1-N82)</x:f>
        <x:v>55</x:v>
      </x:c>
      <x:c r="Q82" s="22" t="n">
        <x:v>42</x:v>
      </x:c>
      <x:c r="R82" s="22" t="n">
        <x:f>Q82*M82</x:f>
        <x:v>42</x:v>
      </x:c>
      <x:c r="S82" s="22" t="n">
        <x:f>P82-R82</x:f>
        <x:v>13</x:v>
      </x:c>
      <x:c r="T82" t="str">
        <x:v>Bank Transfer</x:v>
      </x:c>
      <x:c r="U82" t="str">
        <x:v>Paid</x:v>
      </x:c>
      <x:c r="V82" t="str">
        <x:v>Delayed</x:v>
      </x:c>
      <x:c r="W82" t="n">
        <x:v>0</x:v>
      </x:c>
      <x:c r="X82" t="str"/>
      <x:c r="Y82" t="str">
        <x:v>Existing Customer</x:v>
      </x:c>
    </x:row>
    <x:row r="83">
      <x:c r="A83" t="str">
        <x:v>O000082</x:v>
      </x:c>
      <x:c r="B83" s="20" t="n">
        <x:v>46114</x:v>
      </x:c>
      <x:c r="C83" t="str">
        <x:v>C0148</x:v>
      </x:c>
      <x:c r="D83" t="str">
        <x:v>Shree Cafe 148</x:v>
      </x:c>
      <x:c r="E83" t="str">
        <x:v>Kirana</x:v>
      </x:c>
      <x:c r="F83" t="str">
        <x:v>Hubballi</x:v>
      </x:c>
      <x:c r="G83" t="str">
        <x:v>Priya</x:v>
      </x:c>
      <x:c r="H83" t="str">
        <x:v>P015</x:v>
      </x:c>
      <x:c r="I83" t="str">
        <x:v>Milk 1L</x:v>
      </x:c>
      <x:c r="J83" t="str">
        <x:v>Dairy</x:v>
      </x:c>
      <x:c r="K83" t="str">
        <x:v>Nandini</x:v>
      </x:c>
      <x:c r="L83" s="22" t="n">
        <x:v>48</x:v>
      </x:c>
      <x:c r="M83" t="n">
        <x:v>24</x:v>
      </x:c>
      <x:c r="N83" s="24" t="n">
        <x:v>0.02</x:v>
      </x:c>
      <x:c r="O83" s="22" t="n">
        <x:f>L83*M83</x:f>
        <x:v>1152</x:v>
      </x:c>
      <x:c r="P83" s="22" t="n">
        <x:f>O83*(1-N83)</x:f>
        <x:v>1128.96</x:v>
      </x:c>
      <x:c r="Q83" s="22" t="n">
        <x:v>43</x:v>
      </x:c>
      <x:c r="R83" s="22" t="n">
        <x:f>Q83*M83</x:f>
        <x:v>1032</x:v>
      </x:c>
      <x:c r="S83" s="22" t="n">
        <x:f>P83-R83</x:f>
        <x:v>96.96000000000004</x:v>
      </x:c>
      <x:c r="T83" t="str">
        <x:v>Bank Transfer</x:v>
      </x:c>
      <x:c r="U83" t="str">
        <x:v>Paid</x:v>
      </x:c>
      <x:c r="V83" t="str">
        <x:v>Delivered</x:v>
      </x:c>
      <x:c r="W83" t="n">
        <x:v>0</x:v>
      </x:c>
      <x:c r="X83" t="str"/>
      <x:c r="Y83" t="str">
        <x:v>Field Visit</x:v>
      </x:c>
    </x:row>
    <x:row r="84">
      <x:c r="A84" t="str">
        <x:v>O000083</x:v>
      </x:c>
      <x:c r="B84" s="20" t="n">
        <x:v>45776</x:v>
      </x:c>
      <x:c r="C84" t="str">
        <x:v>C0247</x:v>
      </x:c>
      <x:c r="D84" t="str">
        <x:v>Fresh Canteen 247</x:v>
      </x:c>
      <x:c r="E84" t="str">
        <x:v>Restaurant</x:v>
      </x:c>
      <x:c r="F84" t="str">
        <x:v>Hubballi</x:v>
      </x:c>
      <x:c r="G84" t="str">
        <x:v>Kavya</x:v>
      </x:c>
      <x:c r="H84" t="str">
        <x:v>P006</x:v>
      </x:c>
      <x:c r="I84" t="str">
        <x:v>Moong Dal 5kg</x:v>
      </x:c>
      <x:c r="J84" t="str">
        <x:v>Pulses</x:v>
      </x:c>
      <x:c r="K84" t="str">
        <x:v>Local Select</x:v>
      </x:c>
      <x:c r="L84" s="22" t="n">
        <x:v>610</x:v>
      </x:c>
      <x:c r="M84" t="n">
        <x:v>10</x:v>
      </x:c>
      <x:c r="N84" s="24" t="n">
        <x:v>0.02</x:v>
      </x:c>
      <x:c r="O84" s="22" t="n">
        <x:f>L84*M84</x:f>
        <x:v>6100</x:v>
      </x:c>
      <x:c r="P84" s="22" t="n">
        <x:f>O84*(1-N84)</x:f>
        <x:v>5978</x:v>
      </x:c>
      <x:c r="Q84" s="22" t="n">
        <x:v>540</x:v>
      </x:c>
      <x:c r="R84" s="22" t="n">
        <x:f>Q84*M84</x:f>
        <x:v>5400</x:v>
      </x:c>
      <x:c r="S84" s="22" t="n">
        <x:f>P84-R84</x:f>
        <x:v>578</x:v>
      </x:c>
      <x:c r="T84" t="str">
        <x:v>Cash</x:v>
      </x:c>
      <x:c r="U84" t="str">
        <x:v>Paid</x:v>
      </x:c>
      <x:c r="V84" t="str">
        <x:v>Delivered</x:v>
      </x:c>
      <x:c r="W84" t="n">
        <x:v>0</x:v>
      </x:c>
      <x:c r="X84" t="str"/>
      <x:c r="Y84" t="str">
        <x:v>Field Visit</x:v>
      </x:c>
    </x:row>
    <x:row r="85">
      <x:c r="A85" t="str">
        <x:v>O000084</x:v>
      </x:c>
      <x:c r="B85" s="20" t="n">
        <x:v>46121</x:v>
      </x:c>
      <x:c r="C85" t="str">
        <x:v>C0113</x:v>
      </x:c>
      <x:c r="D85" t="str">
        <x:v>Namma Mart 113</x:v>
      </x:c>
      <x:c r="E85" t="str">
        <x:v>Restaurant</x:v>
      </x:c>
      <x:c r="F85" t="str">
        <x:v>Bengaluru</x:v>
      </x:c>
      <x:c r="G85" t="str">
        <x:v>Imran</x:v>
      </x:c>
      <x:c r="H85" t="str">
        <x:v>P047</x:v>
      </x:c>
      <x:c r="I85" t="str">
        <x:v>Tomato 25kg</x:v>
      </x:c>
      <x:c r="J85" t="str">
        <x:v>Fresh Produce</x:v>
      </x:c>
      <x:c r="K85" t="str">
        <x:v>Local Market</x:v>
      </x:c>
      <x:c r="L85" s="22" t="n">
        <x:v>950</x:v>
      </x:c>
      <x:c r="M85" t="n">
        <x:v>21</x:v>
      </x:c>
      <x:c r="N85" s="24" t="n">
        <x:v>0</x:v>
      </x:c>
      <x:c r="O85" s="22" t="n">
        <x:f>L85*M85</x:f>
        <x:v>19950</x:v>
      </x:c>
      <x:c r="P85" s="22" t="n">
        <x:f>O85*(1-N85)</x:f>
        <x:v>19950</x:v>
      </x:c>
      <x:c r="Q85" s="22" t="n">
        <x:v>810</x:v>
      </x:c>
      <x:c r="R85" s="22" t="n">
        <x:f>Q85*M85</x:f>
        <x:v>17010</x:v>
      </x:c>
      <x:c r="S85" s="22" t="n">
        <x:f>P85-R85</x:f>
        <x:v>2940</x:v>
      </x:c>
      <x:c r="T85" t="str">
        <x:v>UPI</x:v>
      </x:c>
      <x:c r="U85" t="str">
        <x:v>Pending</x:v>
      </x:c>
      <x:c r="V85" t="str">
        <x:v>Delivered</x:v>
      </x:c>
      <x:c r="W85" t="n">
        <x:v>3</x:v>
      </x:c>
      <x:c r="X85" t="str">
        <x:v>Damaged</x:v>
      </x:c>
      <x:c r="Y85" t="str">
        <x:v>Referral</x:v>
      </x:c>
    </x:row>
    <x:row r="86">
      <x:c r="A86" t="str">
        <x:v>O000085</x:v>
      </x:c>
      <x:c r="B86" s="20" t="n">
        <x:v>46186</x:v>
      </x:c>
      <x:c r="C86" t="str">
        <x:v>C0190</x:v>
      </x:c>
      <x:c r="D86" t="str">
        <x:v>Shree Restaurant 190</x:v>
      </x:c>
      <x:c r="E86" t="str">
        <x:v>Canteen</x:v>
      </x:c>
      <x:c r="F86" t="str">
        <x:v>Bengaluru</x:v>
      </x:c>
      <x:c r="G86" t="str">
        <x:v>Kavya</x:v>
      </x:c>
      <x:c r="H86" t="str">
        <x:v>P016</x:v>
      </x:c>
      <x:c r="I86" t="str">
        <x:v>Curd 1kg</x:v>
      </x:c>
      <x:c r="J86" t="str">
        <x:v>Dairy</x:v>
      </x:c>
      <x:c r="K86" t="str">
        <x:v>Nandini</x:v>
      </x:c>
      <x:c r="L86" s="22" t="n">
        <x:v>72</x:v>
      </x:c>
      <x:c r="M86" t="n">
        <x:v>12</x:v>
      </x:c>
      <x:c r="N86" s="24" t="n">
        <x:v>0.03</x:v>
      </x:c>
      <x:c r="O86" s="22" t="n">
        <x:f>L86*M86</x:f>
        <x:v>864</x:v>
      </x:c>
      <x:c r="P86" s="22" t="n">
        <x:f>O86*(1-N86)</x:f>
        <x:v>838.0799999999999</x:v>
      </x:c>
      <x:c r="Q86" s="22" t="n">
        <x:v>64</x:v>
      </x:c>
      <x:c r="R86" s="22" t="n">
        <x:f>Q86*M86</x:f>
        <x:v>768</x:v>
      </x:c>
      <x:c r="S86" s="22" t="n">
        <x:f>P86-R86</x:f>
        <x:v>70.07999999999993</x:v>
      </x:c>
      <x:c r="T86" t="str">
        <x:v>Cash</x:v>
      </x:c>
      <x:c r="U86" t="str">
        <x:v>Paid</x:v>
      </x:c>
      <x:c r="V86" t="str">
        <x:v>Delivered</x:v>
      </x:c>
      <x:c r="W86" t="n">
        <x:v>0</x:v>
      </x:c>
      <x:c r="X86" t="str"/>
      <x:c r="Y86" t="str">
        <x:v>WhatsApp</x:v>
      </x:c>
    </x:row>
    <x:row r="87">
      <x:c r="A87" t="str">
        <x:v>O000086</x:v>
      </x:c>
      <x:c r="B87" s="20" t="n">
        <x:v>46100</x:v>
      </x:c>
      <x:c r="C87" t="str">
        <x:v>C0048</x:v>
      </x:c>
      <x:c r="D87" t="str">
        <x:v>Udupi Foods 48</x:v>
      </x:c>
      <x:c r="E87" t="str">
        <x:v>Hotel</x:v>
      </x:c>
      <x:c r="F87" t="str">
        <x:v>Bengaluru</x:v>
      </x:c>
      <x:c r="G87" t="str">
        <x:v>Ramesh</x:v>
      </x:c>
      <x:c r="H87" t="str">
        <x:v>P041</x:v>
      </x:c>
      <x:c r="I87" t="str">
        <x:v>Burger Bun 6pc</x:v>
      </x:c>
      <x:c r="J87" t="str">
        <x:v>Bakery</x:v>
      </x:c>
      <x:c r="K87" t="str">
        <x:v>Modern</x:v>
      </x:c>
      <x:c r="L87" s="22" t="n">
        <x:v>42</x:v>
      </x:c>
      <x:c r="M87" t="n">
        <x:v>26</x:v>
      </x:c>
      <x:c r="N87" s="24" t="n">
        <x:v>0</x:v>
      </x:c>
      <x:c r="O87" s="22" t="n">
        <x:f>L87*M87</x:f>
        <x:v>1092</x:v>
      </x:c>
      <x:c r="P87" s="22" t="n">
        <x:f>O87*(1-N87)</x:f>
        <x:v>1092</x:v>
      </x:c>
      <x:c r="Q87" s="22" t="n">
        <x:v>32</x:v>
      </x:c>
      <x:c r="R87" s="22" t="n">
        <x:f>Q87*M87</x:f>
        <x:v>832</x:v>
      </x:c>
      <x:c r="S87" s="22" t="n">
        <x:f>P87-R87</x:f>
        <x:v>260</x:v>
      </x:c>
      <x:c r="T87" t="str">
        <x:v>Bank Transfer</x:v>
      </x:c>
      <x:c r="U87" t="str">
        <x:v>Paid</x:v>
      </x:c>
      <x:c r="V87" t="str">
        <x:v>Delivered</x:v>
      </x:c>
      <x:c r="W87" t="n">
        <x:v>0</x:v>
      </x:c>
      <x:c r="X87" t="str"/>
      <x:c r="Y87" t="str">
        <x:v>Referral</x:v>
      </x:c>
    </x:row>
    <x:row r="88">
      <x:c r="A88" t="str">
        <x:v>O000087</x:v>
      </x:c>
      <x:c r="B88" s="20" t="n">
        <x:v>45722</x:v>
      </x:c>
      <x:c r="C88" t="str">
        <x:v>C0193</x:v>
      </x:c>
      <x:c r="D88" t="str">
        <x:v>Udupi Cafe 193</x:v>
      </x:c>
      <x:c r="E88" t="str">
        <x:v>Restaurant</x:v>
      </x:c>
      <x:c r="F88" t="str">
        <x:v>Hubballi</x:v>
      </x:c>
      <x:c r="G88" t="str">
        <x:v>Sneha</x:v>
      </x:c>
      <x:c r="H88" t="str">
        <x:v>P046</x:v>
      </x:c>
      <x:c r="I88" t="str">
        <x:v>Potato 25kg</x:v>
      </x:c>
      <x:c r="J88" t="str">
        <x:v>Fresh Produce</x:v>
      </x:c>
      <x:c r="K88" t="str">
        <x:v>Local Market</x:v>
      </x:c>
      <x:c r="L88" s="22" t="n">
        <x:v>700</x:v>
      </x:c>
      <x:c r="M88" t="n">
        <x:v>37</x:v>
      </x:c>
      <x:c r="N88" s="24" t="n">
        <x:v>0</x:v>
      </x:c>
      <x:c r="O88" s="22" t="n">
        <x:f>L88*M88</x:f>
        <x:v>25900</x:v>
      </x:c>
      <x:c r="P88" s="22" t="n">
        <x:f>O88*(1-N88)</x:f>
        <x:v>25900</x:v>
      </x:c>
      <x:c r="Q88" s="22" t="n">
        <x:v>610</x:v>
      </x:c>
      <x:c r="R88" s="22" t="n">
        <x:f>Q88*M88</x:f>
        <x:v>22570</x:v>
      </x:c>
      <x:c r="S88" s="22" t="n">
        <x:f>P88-R88</x:f>
        <x:v>3330</x:v>
      </x:c>
      <x:c r="T88" t="str">
        <x:v>Bank Transfer</x:v>
      </x:c>
      <x:c r="U88" t="str">
        <x:v>Paid</x:v>
      </x:c>
      <x:c r="V88" t="str">
        <x:v>Delivered</x:v>
      </x:c>
      <x:c r="W88" t="n">
        <x:v>0</x:v>
      </x:c>
      <x:c r="X88" t="str"/>
      <x:c r="Y88" t="str">
        <x:v>Field Visit</x:v>
      </x:c>
    </x:row>
    <x:row r="89">
      <x:c r="A89" t="str">
        <x:v>O000088</x:v>
      </x:c>
      <x:c r="B89" s="20" t="n">
        <x:v>45978</x:v>
      </x:c>
      <x:c r="C89" t="str">
        <x:v>C0126</x:v>
      </x:c>
      <x:c r="D89" t="str">
        <x:v>Mysore Hotel 126</x:v>
      </x:c>
      <x:c r="E89" t="str">
        <x:v>Restaurant</x:v>
      </x:c>
      <x:c r="F89" t="str">
        <x:v>Mangaluru</x:v>
      </x:c>
      <x:c r="G89" t="str">
        <x:v>Vikram</x:v>
      </x:c>
      <x:c r="H89" t="str">
        <x:v>P034</x:v>
      </x:c>
      <x:c r="I89" t="str">
        <x:v>Chilli Powder 1kg</x:v>
      </x:c>
      <x:c r="J89" t="str">
        <x:v>Spices</x:v>
      </x:c>
      <x:c r="K89" t="str">
        <x:v>MDH</x:v>
      </x:c>
      <x:c r="L89" s="22" t="n">
        <x:v>340</x:v>
      </x:c>
      <x:c r="M89" t="n">
        <x:v>39</x:v>
      </x:c>
      <x:c r="N89" s="24" t="n">
        <x:v>0.02</x:v>
      </x:c>
      <x:c r="O89" s="22" t="n">
        <x:f>L89*M89</x:f>
        <x:v>13260</x:v>
      </x:c>
      <x:c r="P89" s="22" t="n">
        <x:f>O89*(1-N89)</x:f>
        <x:v>12994.8</x:v>
      </x:c>
      <x:c r="Q89" s="22" t="n">
        <x:v>295</x:v>
      </x:c>
      <x:c r="R89" s="22" t="n">
        <x:f>Q89*M89</x:f>
        <x:v>11505</x:v>
      </x:c>
      <x:c r="S89" s="22" t="n">
        <x:f>P89-R89</x:f>
        <x:v>1489.7999999999993</x:v>
      </x:c>
      <x:c r="T89" t="str">
        <x:v>Credit</x:v>
      </x:c>
      <x:c r="U89" t="str">
        <x:v>Paid</x:v>
      </x:c>
      <x:c r="V89" t="str">
        <x:v>Delivered</x:v>
      </x:c>
      <x:c r="W89" t="n">
        <x:v>0</x:v>
      </x:c>
      <x:c r="X89" t="str"/>
      <x:c r="Y89" t="str">
        <x:v>WhatsApp</x:v>
      </x:c>
    </x:row>
    <x:row r="90">
      <x:c r="A90" t="str">
        <x:v>O000089</x:v>
      </x:c>
      <x:c r="B90" s="20" t="n">
        <x:v>45962</x:v>
      </x:c>
      <x:c r="C90" t="str">
        <x:v>C0209</x:v>
      </x:c>
      <x:c r="D90" t="str">
        <x:v>Shree Hotel 209</x:v>
      </x:c>
      <x:c r="E90" t="str">
        <x:v>Restaurant</x:v>
      </x:c>
      <x:c r="F90" t="str">
        <x:v>Tumakuru</x:v>
      </x:c>
      <x:c r="G90" t="str">
        <x:v>Ramesh</x:v>
      </x:c>
      <x:c r="H90" t="str">
        <x:v>P044</x:v>
      </x:c>
      <x:c r="I90" t="str">
        <x:v>Chicken Curry Cut 1kg</x:v>
      </x:c>
      <x:c r="J90" t="str">
        <x:v>Protein</x:v>
      </x:c>
      <x:c r="K90" t="str">
        <x:v>FreshToHome</x:v>
      </x:c>
      <x:c r="L90" s="22" t="n">
        <x:v>230</x:v>
      </x:c>
      <x:c r="M90" t="n">
        <x:v>40</x:v>
      </x:c>
      <x:c r="N90" s="24" t="n">
        <x:v>0.03</x:v>
      </x:c>
      <x:c r="O90" s="22" t="n">
        <x:f>L90*M90</x:f>
        <x:v>9200</x:v>
      </x:c>
      <x:c r="P90" s="22" t="n">
        <x:f>O90*(1-N90)</x:f>
        <x:v>8924</x:v>
      </x:c>
      <x:c r="Q90" s="22" t="n">
        <x:v>205</x:v>
      </x:c>
      <x:c r="R90" s="22" t="n">
        <x:f>Q90*M90</x:f>
        <x:v>8200</x:v>
      </x:c>
      <x:c r="S90" s="22" t="n">
        <x:f>P90-R90</x:f>
        <x:v>724</x:v>
      </x:c>
      <x:c r="T90" t="str">
        <x:v>Bank Transfer</x:v>
      </x:c>
      <x:c r="U90" t="str">
        <x:v>Paid</x:v>
      </x:c>
      <x:c r="V90" t="str">
        <x:v>Delivered</x:v>
      </x:c>
      <x:c r="W90" t="n">
        <x:v>0</x:v>
      </x:c>
      <x:c r="X90" t="str"/>
      <x:c r="Y90" t="str">
        <x:v>Referral</x:v>
      </x:c>
    </x:row>
    <x:row r="91">
      <x:c r="A91" t="str">
        <x:v>O000090</x:v>
      </x:c>
      <x:c r="B91" s="20" t="n">
        <x:v>46055</x:v>
      </x:c>
      <x:c r="C91" t="str">
        <x:v>C0037</x:v>
      </x:c>
      <x:c r="D91" t="str">
        <x:v>Royal Cafe 37</x:v>
      </x:c>
      <x:c r="E91" t="str">
        <x:v>Hotel</x:v>
      </x:c>
      <x:c r="F91" t="str">
        <x:v>Mysuru</x:v>
      </x:c>
      <x:c r="G91" t="str">
        <x:v>Sneha</x:v>
      </x:c>
      <x:c r="H91" t="str">
        <x:v>P033</x:v>
      </x:c>
      <x:c r="I91" t="str">
        <x:v>Turmeric Powder 1kg</x:v>
      </x:c>
      <x:c r="J91" t="str">
        <x:v>Spices</x:v>
      </x:c>
      <x:c r="K91" t="str">
        <x:v>Everest</x:v>
      </x:c>
      <x:c r="L91" s="22" t="n">
        <x:v>310</x:v>
      </x:c>
      <x:c r="M91" t="n">
        <x:v>27</x:v>
      </x:c>
      <x:c r="N91" s="24" t="n">
        <x:v>0.03</x:v>
      </x:c>
      <x:c r="O91" s="22" t="n">
        <x:f>L91*M91</x:f>
        <x:v>8370</x:v>
      </x:c>
      <x:c r="P91" s="22" t="n">
        <x:f>O91*(1-N91)</x:f>
        <x:v>8118.9</x:v>
      </x:c>
      <x:c r="Q91" s="22" t="n">
        <x:v>270</x:v>
      </x:c>
      <x:c r="R91" s="22" t="n">
        <x:f>Q91*M91</x:f>
        <x:v>7290</x:v>
      </x:c>
      <x:c r="S91" s="22" t="n">
        <x:f>P91-R91</x:f>
        <x:v>828.8999999999996</x:v>
      </x:c>
      <x:c r="T91" t="str">
        <x:v>Credit</x:v>
      </x:c>
      <x:c r="U91" t="str">
        <x:v>Paid</x:v>
      </x:c>
      <x:c r="V91" t="str">
        <x:v>Delivered</x:v>
      </x:c>
      <x:c r="W91" t="n">
        <x:v>0</x:v>
      </x:c>
      <x:c r="X91" t="str"/>
      <x:c r="Y91" t="str">
        <x:v>Referral</x:v>
      </x:c>
    </x:row>
    <x:row r="92">
      <x:c r="A92" t="str">
        <x:v>O000091</x:v>
      </x:c>
      <x:c r="B92" s="20" t="n">
        <x:v>45801</x:v>
      </x:c>
      <x:c r="C92" t="str">
        <x:v>C0126</x:v>
      </x:c>
      <x:c r="D92" t="str">
        <x:v>Mysore Hotel 126</x:v>
      </x:c>
      <x:c r="E92" t="str">
        <x:v>Restaurant</x:v>
      </x:c>
      <x:c r="F92" t="str">
        <x:v>Mangaluru</x:v>
      </x:c>
      <x:c r="G92" t="str">
        <x:v>Vikram</x:v>
      </x:c>
      <x:c r="H92" t="str">
        <x:v>P019</x:v>
      </x:c>
      <x:c r="I92" t="str">
        <x:v>Tea 1kg</x:v>
      </x:c>
      <x:c r="J92" t="str">
        <x:v>Beverage</x:v>
      </x:c>
      <x:c r="K92" t="str">
        <x:v>Red Label</x:v>
      </x:c>
      <x:c r="L92" s="22" t="n">
        <x:v>540</x:v>
      </x:c>
      <x:c r="M92" t="n">
        <x:v>12</x:v>
      </x:c>
      <x:c r="N92" s="24" t="n">
        <x:v>0.02</x:v>
      </x:c>
      <x:c r="O92" s="22" t="n">
        <x:f>L92*M92</x:f>
        <x:v>6480</x:v>
      </x:c>
      <x:c r="P92" s="22" t="n">
        <x:f>O92*(1-N92)</x:f>
        <x:v>6350.4</x:v>
      </x:c>
      <x:c r="Q92" s="22" t="n">
        <x:v>485</x:v>
      </x:c>
      <x:c r="R92" s="22" t="n">
        <x:f>Q92*M92</x:f>
        <x:v>5820</x:v>
      </x:c>
      <x:c r="S92" s="22" t="n">
        <x:f>P92-R92</x:f>
        <x:v>530.3999999999996</x:v>
      </x:c>
      <x:c r="T92" t="str">
        <x:v>Credit</x:v>
      </x:c>
      <x:c r="U92" t="str">
        <x:v>Paid</x:v>
      </x:c>
      <x:c r="V92" t="str">
        <x:v>Delivered</x:v>
      </x:c>
      <x:c r="W92" t="n">
        <x:v>0</x:v>
      </x:c>
      <x:c r="X92" t="str"/>
      <x:c r="Y92" t="str">
        <x:v>WhatsApp</x:v>
      </x:c>
    </x:row>
    <x:row r="93">
      <x:c r="A93" t="str">
        <x:v>O000092</x:v>
      </x:c>
      <x:c r="B93" s="20" t="n">
        <x:v>46233</x:v>
      </x:c>
      <x:c r="C93" t="str">
        <x:v>C0209</x:v>
      </x:c>
      <x:c r="D93" t="str">
        <x:v>Shree Hotel 209</x:v>
      </x:c>
      <x:c r="E93" t="str">
        <x:v>Restaurant</x:v>
      </x:c>
      <x:c r="F93" t="str">
        <x:v>Tumakuru</x:v>
      </x:c>
      <x:c r="G93" t="str">
        <x:v>Ramesh</x:v>
      </x:c>
      <x:c r="H93" t="str">
        <x:v>P025</x:v>
      </x:c>
      <x:c r="I93" t="str">
        <x:v>Potato Chips 100g</x:v>
      </x:c>
      <x:c r="J93" t="str">
        <x:v>Snacks</x:v>
      </x:c>
      <x:c r="K93" t="str">
        <x:v>Lay's</x:v>
      </x:c>
      <x:c r="L93" s="22" t="n">
        <x:v>35</x:v>
      </x:c>
      <x:c r="M93" t="n">
        <x:v>33</x:v>
      </x:c>
      <x:c r="N93" s="24" t="n">
        <x:v>0.05</x:v>
      </x:c>
      <x:c r="O93" s="22" t="n">
        <x:f>L93*M93</x:f>
        <x:v>1155</x:v>
      </x:c>
      <x:c r="P93" s="22" t="n">
        <x:f>O93*(1-N93)</x:f>
        <x:v>1097.25</x:v>
      </x:c>
      <x:c r="Q93" s="22" t="n">
        <x:v>27</x:v>
      </x:c>
      <x:c r="R93" s="22" t="n">
        <x:f>Q93*M93</x:f>
        <x:v>891</x:v>
      </x:c>
      <x:c r="S93" s="22" t="n">
        <x:f>P93-R93</x:f>
        <x:v>206.25</x:v>
      </x:c>
      <x:c r="T93" t="str">
        <x:v>Credit</x:v>
      </x:c>
      <x:c r="U93" t="str">
        <x:v>Paid</x:v>
      </x:c>
      <x:c r="V93" t="str">
        <x:v>Delivered</x:v>
      </x:c>
      <x:c r="W93" t="n">
        <x:v>0</x:v>
      </x:c>
      <x:c r="X93" t="str"/>
      <x:c r="Y93" t="str">
        <x:v>WhatsApp</x:v>
      </x:c>
    </x:row>
    <x:row r="94">
      <x:c r="A94" t="str">
        <x:v>O000093</x:v>
      </x:c>
      <x:c r="B94" s="20" t="n">
        <x:v>45689</x:v>
      </x:c>
      <x:c r="C94" t="str">
        <x:v>C0022</x:v>
      </x:c>
      <x:c r="D94" t="str">
        <x:v>Royal Hotel 22</x:v>
      </x:c>
      <x:c r="E94" t="str">
        <x:v>Kirana</x:v>
      </x:c>
      <x:c r="F94" t="str">
        <x:v>Bengaluru</x:v>
      </x:c>
      <x:c r="G94" t="str">
        <x:v>Ramesh</x:v>
      </x:c>
      <x:c r="H94" t="str">
        <x:v>P037</x:v>
      </x:c>
      <x:c r="I94" t="str">
        <x:v>Frozen Peas 1kg</x:v>
      </x:c>
      <x:c r="J94" t="str">
        <x:v>Frozen</x:v>
      </x:c>
      <x:c r="K94" t="str">
        <x:v>Safal</x:v>
      </x:c>
      <x:c r="L94" s="22" t="n">
        <x:v>155</x:v>
      </x:c>
      <x:c r="M94" t="n">
        <x:v>15</x:v>
      </x:c>
      <x:c r="N94" s="24" t="n">
        <x:v>0.02</x:v>
      </x:c>
      <x:c r="O94" s="22" t="n">
        <x:f>L94*M94</x:f>
        <x:v>2325</x:v>
      </x:c>
      <x:c r="P94" s="22" t="n">
        <x:f>O94*(1-N94)</x:f>
        <x:v>2278.5</x:v>
      </x:c>
      <x:c r="Q94" s="22" t="n">
        <x:v>138</x:v>
      </x:c>
      <x:c r="R94" s="22" t="n">
        <x:f>Q94*M94</x:f>
        <x:v>2070</x:v>
      </x:c>
      <x:c r="S94" s="22" t="n">
        <x:f>P94-R94</x:f>
        <x:v>208.5</x:v>
      </x:c>
      <x:c r="T94" t="str">
        <x:v>Cash</x:v>
      </x:c>
      <x:c r="U94" t="str">
        <x:v>Paid</x:v>
      </x:c>
      <x:c r="V94" t="str">
        <x:v>Delivered</x:v>
      </x:c>
      <x:c r="W94" t="n">
        <x:v>0</x:v>
      </x:c>
      <x:c r="X94" t="str"/>
      <x:c r="Y94" t="str">
        <x:v>WhatsApp</x:v>
      </x:c>
    </x:row>
    <x:row r="95">
      <x:c r="A95" t="str">
        <x:v>O000094</x:v>
      </x:c>
      <x:c r="B95" s="20" t="n">
        <x:v>46165</x:v>
      </x:c>
      <x:c r="C95" t="str">
        <x:v>C0198</x:v>
      </x:c>
      <x:c r="D95" t="str">
        <x:v>Royal Canteen 198</x:v>
      </x:c>
      <x:c r="E95" t="str">
        <x:v>Supermarket</x:v>
      </x:c>
      <x:c r="F95" t="str">
        <x:v>Davanagere</x:v>
      </x:c>
      <x:c r="G95" t="str">
        <x:v>Arjun</x:v>
      </x:c>
      <x:c r="H95" t="str">
        <x:v>P050</x:v>
      </x:c>
      <x:c r="I95" t="str">
        <x:v>Lemon 5kg</x:v>
      </x:c>
      <x:c r="J95" t="str">
        <x:v>Fresh Produce</x:v>
      </x:c>
      <x:c r="K95" t="str">
        <x:v>Local Market</x:v>
      </x:c>
      <x:c r="L95" s="22" t="n">
        <x:v>360</x:v>
      </x:c>
      <x:c r="M95" t="n">
        <x:v>36</x:v>
      </x:c>
      <x:c r="N95" s="24" t="n">
        <x:v>0.03</x:v>
      </x:c>
      <x:c r="O95" s="22" t="n">
        <x:f>L95*M95</x:f>
        <x:v>12960</x:v>
      </x:c>
      <x:c r="P95" s="22" t="n">
        <x:f>O95*(1-N95)</x:f>
        <x:v>12571.199999999999</x:v>
      </x:c>
      <x:c r="Q95" s="22" t="n">
        <x:v>300</x:v>
      </x:c>
      <x:c r="R95" s="22" t="n">
        <x:f>Q95*M95</x:f>
        <x:v>10800</x:v>
      </x:c>
      <x:c r="S95" s="22" t="n">
        <x:f>P95-R95</x:f>
        <x:v>1771.199999999999</x:v>
      </x:c>
      <x:c r="T95" t="str">
        <x:v>UPI</x:v>
      </x:c>
      <x:c r="U95" t="str">
        <x:v>Paid</x:v>
      </x:c>
      <x:c r="V95" t="str">
        <x:v>Delayed</x:v>
      </x:c>
      <x:c r="W95" t="n">
        <x:v>0</x:v>
      </x:c>
      <x:c r="X95" t="str"/>
      <x:c r="Y95" t="str">
        <x:v>Field Visit</x:v>
      </x:c>
    </x:row>
    <x:row r="96">
      <x:c r="A96" t="str">
        <x:v>O000095</x:v>
      </x:c>
      <x:c r="B96" s="20" t="n">
        <x:v>46109</x:v>
      </x:c>
      <x:c r="C96" t="str">
        <x:v>C0194</x:v>
      </x:c>
      <x:c r="D96" t="str">
        <x:v>Royal Hotel 194</x:v>
      </x:c>
      <x:c r="E96" t="str">
        <x:v>Kirana</x:v>
      </x:c>
      <x:c r="F96" t="str">
        <x:v>Mysuru</x:v>
      </x:c>
      <x:c r="G96" t="str">
        <x:v>Megha</x:v>
      </x:c>
      <x:c r="H96" t="str">
        <x:v>P003</x:v>
      </x:c>
      <x:c r="I96" t="str">
        <x:v>Basmati Rice 5kg</x:v>
      </x:c>
      <x:c r="J96" t="str">
        <x:v>Staples</x:v>
      </x:c>
      <x:c r="K96" t="str">
        <x:v>India Gate</x:v>
      </x:c>
      <x:c r="L96" s="22" t="n">
        <x:v>690</x:v>
      </x:c>
      <x:c r="M96" t="n">
        <x:v>35</x:v>
      </x:c>
      <x:c r="N96" s="24" t="n">
        <x:v>0</x:v>
      </x:c>
      <x:c r="O96" s="22" t="n">
        <x:f>L96*M96</x:f>
        <x:v>24150</x:v>
      </x:c>
      <x:c r="P96" s="22" t="n">
        <x:f>O96*(1-N96)</x:f>
        <x:v>24150</x:v>
      </x:c>
      <x:c r="Q96" s="22" t="n">
        <x:v>610</x:v>
      </x:c>
      <x:c r="R96" s="22" t="n">
        <x:f>Q96*M96</x:f>
        <x:v>21350</x:v>
      </x:c>
      <x:c r="S96" s="22" t="n">
        <x:f>P96-R96</x:f>
        <x:v>2800</x:v>
      </x:c>
      <x:c r="T96" t="str">
        <x:v>Credit</x:v>
      </x:c>
      <x:c r="U96" t="str">
        <x:v>Paid</x:v>
      </x:c>
      <x:c r="V96" t="str">
        <x:v>Cancelled</x:v>
      </x:c>
      <x:c r="W96" t="n">
        <x:v>35</x:v>
      </x:c>
      <x:c r="X96" t="str">
        <x:v>Cancelled Order</x:v>
      </x:c>
      <x:c r="Y96" t="str">
        <x:v>Referral</x:v>
      </x:c>
    </x:row>
    <x:row r="97">
      <x:c r="A97" t="str">
        <x:v>O000096</x:v>
      </x:c>
      <x:c r="B97" s="20" t="n">
        <x:v>45927</x:v>
      </x:c>
      <x:c r="C97" t="str">
        <x:v>C0009</x:v>
      </x:c>
      <x:c r="D97" t="str">
        <x:v>Darshini Hotel 9</x:v>
      </x:c>
      <x:c r="E97" t="str">
        <x:v>Cafe</x:v>
      </x:c>
      <x:c r="F97" t="str">
        <x:v>Hubballi</x:v>
      </x:c>
      <x:c r="G97" t="str">
        <x:v>Imran</x:v>
      </x:c>
      <x:c r="H97" t="str">
        <x:v>P029</x:v>
      </x:c>
      <x:c r="I97" t="str">
        <x:v>Tomato Ketchup 1kg</x:v>
      </x:c>
      <x:c r="J97" t="str">
        <x:v>Condiments</x:v>
      </x:c>
      <x:c r="K97" t="str">
        <x:v>Kissan</x:v>
      </x:c>
      <x:c r="L97" s="22" t="n">
        <x:v>145</x:v>
      </x:c>
      <x:c r="M97" t="n">
        <x:v>23</x:v>
      </x:c>
      <x:c r="N97" s="24" t="n">
        <x:v>0.08</x:v>
      </x:c>
      <x:c r="O97" s="22" t="n">
        <x:f>L97*M97</x:f>
        <x:v>3335</x:v>
      </x:c>
      <x:c r="P97" s="22" t="n">
        <x:f>O97*(1-N97)</x:f>
        <x:v>3068.2000000000003</x:v>
      </x:c>
      <x:c r="Q97" s="22" t="n">
        <x:v>126</x:v>
      </x:c>
      <x:c r="R97" s="22" t="n">
        <x:f>Q97*M97</x:f>
        <x:v>2898</x:v>
      </x:c>
      <x:c r="S97" s="22" t="n">
        <x:f>P97-R97</x:f>
        <x:v>170.20000000000027</x:v>
      </x:c>
      <x:c r="T97" t="str">
        <x:v>UPI</x:v>
      </x:c>
      <x:c r="U97" t="str">
        <x:v>Paid</x:v>
      </x:c>
      <x:c r="V97" t="str">
        <x:v>Delivered</x:v>
      </x:c>
      <x:c r="W97" t="n">
        <x:v>0</x:v>
      </x:c>
      <x:c r="X97" t="str"/>
      <x:c r="Y97" t="str">
        <x:v>Referral</x:v>
      </x:c>
    </x:row>
    <x:row r="98">
      <x:c r="A98" t="str">
        <x:v>O000097</x:v>
      </x:c>
      <x:c r="B98" s="20" t="n">
        <x:v>46017</x:v>
      </x:c>
      <x:c r="C98" t="str">
        <x:v>C0189</x:v>
      </x:c>
      <x:c r="D98" t="str">
        <x:v>Classic Canteen 189</x:v>
      </x:c>
      <x:c r="E98" t="str">
        <x:v>Kirana</x:v>
      </x:c>
      <x:c r="F98" t="str">
        <x:v>Hubballi</x:v>
      </x:c>
      <x:c r="G98" t="str">
        <x:v>Vikram</x:v>
      </x:c>
      <x:c r="H98" t="str">
        <x:v>P038</x:v>
      </x:c>
      <x:c r="I98" t="str">
        <x:v>French Fries 2.5kg</x:v>
      </x:c>
      <x:c r="J98" t="str">
        <x:v>Frozen</x:v>
      </x:c>
      <x:c r="K98" t="str">
        <x:v>McCain</x:v>
      </x:c>
      <x:c r="L98" s="22" t="n">
        <x:v>360</x:v>
      </x:c>
      <x:c r="M98" t="n">
        <x:v>40</x:v>
      </x:c>
      <x:c r="N98" s="24" t="n">
        <x:v>0.05</x:v>
      </x:c>
      <x:c r="O98" s="22" t="n">
        <x:f>L98*M98</x:f>
        <x:v>14400</x:v>
      </x:c>
      <x:c r="P98" s="22" t="n">
        <x:f>O98*(1-N98)</x:f>
        <x:v>13680</x:v>
      </x:c>
      <x:c r="Q98" s="22" t="n">
        <x:v>315</x:v>
      </x:c>
      <x:c r="R98" s="22" t="n">
        <x:f>Q98*M98</x:f>
        <x:v>12600</x:v>
      </x:c>
      <x:c r="S98" s="22" t="n">
        <x:f>P98-R98</x:f>
        <x:v>1080</x:v>
      </x:c>
      <x:c r="T98" t="str">
        <x:v>Bank Transfer</x:v>
      </x:c>
      <x:c r="U98" t="str">
        <x:v>Paid</x:v>
      </x:c>
      <x:c r="V98" t="str">
        <x:v>Delivered</x:v>
      </x:c>
      <x:c r="W98" t="n">
        <x:v>0</x:v>
      </x:c>
      <x:c r="X98" t="str"/>
      <x:c r="Y98" t="str">
        <x:v>Outbound Call</x:v>
      </x:c>
    </x:row>
    <x:row r="99">
      <x:c r="A99" t="str">
        <x:v>O000098</x:v>
      </x:c>
      <x:c r="B99" s="20" t="n">
        <x:v>46269</x:v>
      </x:c>
      <x:c r="C99" t="str">
        <x:v>C0137</x:v>
      </x:c>
      <x:c r="D99" t="str">
        <x:v>Green Restaurant 137</x:v>
      </x:c>
      <x:c r="E99" t="str">
        <x:v>Canteen</x:v>
      </x:c>
      <x:c r="F99" t="str">
        <x:v>Mangaluru</x:v>
      </x:c>
      <x:c r="G99" t="str">
        <x:v>Arjun</x:v>
      </x:c>
      <x:c r="H99" t="str">
        <x:v>P018</x:v>
      </x:c>
      <x:c r="I99" t="str">
        <x:v>Paneer 1kg</x:v>
      </x:c>
      <x:c r="J99" t="str">
        <x:v>Dairy</x:v>
      </x:c>
      <x:c r="K99" t="str">
        <x:v>Milky Mist</x:v>
      </x:c>
      <x:c r="L99" s="22" t="n">
        <x:v>410</x:v>
      </x:c>
      <x:c r="M99" t="n">
        <x:v>35</x:v>
      </x:c>
      <x:c r="N99" s="24" t="n">
        <x:v>0</x:v>
      </x:c>
      <x:c r="O99" s="22" t="n">
        <x:f>L99*M99</x:f>
        <x:v>14350</x:v>
      </x:c>
      <x:c r="P99" s="22" t="n">
        <x:f>O99*(1-N99)</x:f>
        <x:v>14350</x:v>
      </x:c>
      <x:c r="Q99" s="22" t="n">
        <x:v>370</x:v>
      </x:c>
      <x:c r="R99" s="22" t="n">
        <x:f>Q99*M99</x:f>
        <x:v>12950</x:v>
      </x:c>
      <x:c r="S99" s="22" t="n">
        <x:f>P99-R99</x:f>
        <x:v>1400</x:v>
      </x:c>
      <x:c r="T99" t="str">
        <x:v>Cash</x:v>
      </x:c>
      <x:c r="U99" t="str">
        <x:v>Paid</x:v>
      </x:c>
      <x:c r="V99" t="str">
        <x:v>Delivered</x:v>
      </x:c>
      <x:c r="W99" t="n">
        <x:v>0</x:v>
      </x:c>
      <x:c r="X99" t="str"/>
      <x:c r="Y99" t="str">
        <x:v>Existing Customer</x:v>
      </x:c>
    </x:row>
    <x:row r="100">
      <x:c r="A100" t="str">
        <x:v>O000099</x:v>
      </x:c>
      <x:c r="B100" s="20" t="n">
        <x:v>45796</x:v>
      </x:c>
      <x:c r="C100" t="str">
        <x:v>C0174</x:v>
      </x:c>
      <x:c r="D100" t="str">
        <x:v>Classic Stores 174</x:v>
      </x:c>
      <x:c r="E100" t="str">
        <x:v>Kirana</x:v>
      </x:c>
      <x:c r="F100" t="str">
        <x:v>Mysuru</x:v>
      </x:c>
      <x:c r="G100" t="str">
        <x:v>Vikram</x:v>
      </x:c>
      <x:c r="H100" t="str">
        <x:v>P007</x:v>
      </x:c>
      <x:c r="I100" t="str">
        <x:v>Sunflower Oil 15L</x:v>
      </x:c>
      <x:c r="J100" t="str">
        <x:v>Edible Oil</x:v>
      </x:c>
      <x:c r="K100" t="str">
        <x:v>Fortune</x:v>
      </x:c>
      <x:c r="L100" s="22" t="n">
        <x:v>1980</x:v>
      </x:c>
      <x:c r="M100" t="n">
        <x:v>1</x:v>
      </x:c>
      <x:c r="N100" s="24" t="n">
        <x:v>0.1</x:v>
      </x:c>
      <x:c r="O100" s="22" t="n">
        <x:f>L100*M100</x:f>
        <x:v>1980</x:v>
      </x:c>
      <x:c r="P100" s="22" t="n">
        <x:f>O100*(1-N100)</x:f>
        <x:v>1782</x:v>
      </x:c>
      <x:c r="Q100" s="22" t="n">
        <x:v>1810</x:v>
      </x:c>
      <x:c r="R100" s="22" t="n">
        <x:f>Q100*M100</x:f>
        <x:v>1810</x:v>
      </x:c>
      <x:c r="S100" s="22" t="n">
        <x:f>P100-R100</x:f>
        <x:v>-28</x:v>
      </x:c>
      <x:c r="T100" t="str">
        <x:v>Bank Transfer</x:v>
      </x:c>
      <x:c r="U100" t="str">
        <x:v>Paid</x:v>
      </x:c>
      <x:c r="V100" t="str">
        <x:v>Delivered</x:v>
      </x:c>
      <x:c r="W100" t="n">
        <x:v>0</x:v>
      </x:c>
      <x:c r="X100" t="str"/>
      <x:c r="Y100" t="str">
        <x:v>Field Visit</x:v>
      </x:c>
    </x:row>
    <x:row r="101">
      <x:c r="A101" t="str">
        <x:v>O000100</x:v>
      </x:c>
      <x:c r="B101" s="20" t="n">
        <x:v>46060</x:v>
      </x:c>
      <x:c r="C101" t="str">
        <x:v>C0195</x:v>
      </x:c>
      <x:c r="D101" t="str">
        <x:v>Classic Stores 195</x:v>
      </x:c>
      <x:c r="E101" t="str">
        <x:v>Canteen</x:v>
      </x:c>
      <x:c r="F101" t="str">
        <x:v>Davanagere</x:v>
      </x:c>
      <x:c r="G101" t="str">
        <x:v>Kavya</x:v>
      </x:c>
      <x:c r="H101" t="str">
        <x:v>P044</x:v>
      </x:c>
      <x:c r="I101" t="str">
        <x:v>Chicken Curry Cut 1kg</x:v>
      </x:c>
      <x:c r="J101" t="str">
        <x:v>Protein</x:v>
      </x:c>
      <x:c r="K101" t="str">
        <x:v>FreshToHome</x:v>
      </x:c>
      <x:c r="L101" s="22" t="n">
        <x:v>230</x:v>
      </x:c>
      <x:c r="M101" t="n">
        <x:v>32</x:v>
      </x:c>
      <x:c r="N101" s="24" t="n">
        <x:v>0</x:v>
      </x:c>
      <x:c r="O101" s="22" t="n">
        <x:f>L101*M101</x:f>
        <x:v>7360</x:v>
      </x:c>
      <x:c r="P101" s="22" t="n">
        <x:f>O101*(1-N101)</x:f>
        <x:v>7360</x:v>
      </x:c>
      <x:c r="Q101" s="22" t="n">
        <x:v>205</x:v>
      </x:c>
      <x:c r="R101" s="22" t="n">
        <x:f>Q101*M101</x:f>
        <x:v>6560</x:v>
      </x:c>
      <x:c r="S101" s="22" t="n">
        <x:f>P101-R101</x:f>
        <x:v>800</x:v>
      </x:c>
      <x:c r="T101" t="str">
        <x:v>Cash</x:v>
      </x:c>
      <x:c r="U101" t="str">
        <x:v>Paid</x:v>
      </x:c>
      <x:c r="V101" t="str">
        <x:v>Delivered</x:v>
      </x:c>
      <x:c r="W101" t="n">
        <x:v>0</x:v>
      </x:c>
      <x:c r="X101" t="str"/>
      <x:c r="Y101" t="str">
        <x:v>Outbound Call</x:v>
      </x:c>
    </x:row>
    <x:row r="102">
      <x:c r="A102" t="str">
        <x:v>O000101</x:v>
      </x:c>
      <x:c r="B102" s="20" t="n">
        <x:v>46035</x:v>
      </x:c>
      <x:c r="C102" t="str">
        <x:v>C0192</x:v>
      </x:c>
      <x:c r="D102" t="str">
        <x:v>Shree Kitchen 192</x:v>
      </x:c>
      <x:c r="E102" t="str">
        <x:v>Restaurant</x:v>
      </x:c>
      <x:c r="F102" t="str">
        <x:v>Mysuru</x:v>
      </x:c>
      <x:c r="G102" t="str">
        <x:v>Sneha</x:v>
      </x:c>
      <x:c r="H102" t="str">
        <x:v>P018</x:v>
      </x:c>
      <x:c r="I102" t="str">
        <x:v>Paneer 1kg</x:v>
      </x:c>
      <x:c r="J102" t="str">
        <x:v>Dairy</x:v>
      </x:c>
      <x:c r="K102" t="str">
        <x:v>Milky Mist</x:v>
      </x:c>
      <x:c r="L102" s="22" t="n">
        <x:v>410</x:v>
      </x:c>
      <x:c r="M102" t="n">
        <x:v>30</x:v>
      </x:c>
      <x:c r="N102" s="24" t="n">
        <x:v>0.1</x:v>
      </x:c>
      <x:c r="O102" s="22" t="n">
        <x:f>L102*M102</x:f>
        <x:v>12300</x:v>
      </x:c>
      <x:c r="P102" s="22" t="n">
        <x:f>O102*(1-N102)</x:f>
        <x:v>11070</x:v>
      </x:c>
      <x:c r="Q102" s="22" t="n">
        <x:v>370</x:v>
      </x:c>
      <x:c r="R102" s="22" t="n">
        <x:f>Q102*M102</x:f>
        <x:v>11100</x:v>
      </x:c>
      <x:c r="S102" s="22" t="n">
        <x:f>P102-R102</x:f>
        <x:v>-30</x:v>
      </x:c>
      <x:c r="T102" t="str">
        <x:v>Cash</x:v>
      </x:c>
      <x:c r="U102" t="str">
        <x:v>Paid</x:v>
      </x:c>
      <x:c r="V102" t="str">
        <x:v>Cancelled</x:v>
      </x:c>
      <x:c r="W102" t="n">
        <x:v>30</x:v>
      </x:c>
      <x:c r="X102" t="str">
        <x:v>Cancelled Order</x:v>
      </x:c>
      <x:c r="Y102" t="str">
        <x:v>Outbound Call</x:v>
      </x:c>
    </x:row>
    <x:row r="103">
      <x:c r="A103" t="str">
        <x:v>O000102</x:v>
      </x:c>
      <x:c r="B103" s="20" t="n">
        <x:v>46024</x:v>
      </x:c>
      <x:c r="C103" t="str">
        <x:v>C0118</x:v>
      </x:c>
      <x:c r="D103" t="str">
        <x:v>Sagar Kitchen 118</x:v>
      </x:c>
      <x:c r="E103" t="str">
        <x:v>Restaurant</x:v>
      </x:c>
      <x:c r="F103" t="str">
        <x:v>Hubballi</x:v>
      </x:c>
      <x:c r="G103" t="str">
        <x:v>Megha</x:v>
      </x:c>
      <x:c r="H103" t="str">
        <x:v>P041</x:v>
      </x:c>
      <x:c r="I103" t="str">
        <x:v>Burger Bun 6pc</x:v>
      </x:c>
      <x:c r="J103" t="str">
        <x:v>Bakery</x:v>
      </x:c>
      <x:c r="K103" t="str">
        <x:v>Modern</x:v>
      </x:c>
      <x:c r="L103" s="22" t="n">
        <x:v>42</x:v>
      </x:c>
      <x:c r="M103" t="n">
        <x:v>5</x:v>
      </x:c>
      <x:c r="N103" s="24" t="n">
        <x:v>0.05</x:v>
      </x:c>
      <x:c r="O103" s="22" t="n">
        <x:f>L103*M103</x:f>
        <x:v>210</x:v>
      </x:c>
      <x:c r="P103" s="22" t="n">
        <x:f>O103*(1-N103)</x:f>
        <x:v>199.5</x:v>
      </x:c>
      <x:c r="Q103" s="22" t="n">
        <x:v>32</x:v>
      </x:c>
      <x:c r="R103" s="22" t="n">
        <x:f>Q103*M103</x:f>
        <x:v>160</x:v>
      </x:c>
      <x:c r="S103" s="22" t="n">
        <x:f>P103-R103</x:f>
        <x:v>39.5</x:v>
      </x:c>
      <x:c r="T103" t="str">
        <x:v>Credit</x:v>
      </x:c>
      <x:c r="U103" t="str">
        <x:v>Paid</x:v>
      </x:c>
      <x:c r="V103" t="str">
        <x:v>Delivered</x:v>
      </x:c>
      <x:c r="W103" t="n">
        <x:v>0</x:v>
      </x:c>
      <x:c r="X103" t="str"/>
      <x:c r="Y103" t="str">
        <x:v>WhatsApp</x:v>
      </x:c>
    </x:row>
    <x:row r="104">
      <x:c r="A104" t="str">
        <x:v>O000103</x:v>
      </x:c>
      <x:c r="B104" s="20" t="n">
        <x:v>46003</x:v>
      </x:c>
      <x:c r="C104" t="str">
        <x:v>C0213</x:v>
      </x:c>
      <x:c r="D104" t="str">
        <x:v>Shree Cafe 213</x:v>
      </x:c>
      <x:c r="E104" t="str">
        <x:v>Cafe</x:v>
      </x:c>
      <x:c r="F104" t="str">
        <x:v>Tumakuru</x:v>
      </x:c>
      <x:c r="G104" t="str">
        <x:v>Imran</x:v>
      </x:c>
      <x:c r="H104" t="str">
        <x:v>P019</x:v>
      </x:c>
      <x:c r="I104" t="str">
        <x:v>Tea 1kg</x:v>
      </x:c>
      <x:c r="J104" t="str">
        <x:v>Beverage</x:v>
      </x:c>
      <x:c r="K104" t="str">
        <x:v>Red Label</x:v>
      </x:c>
      <x:c r="L104" s="22" t="n">
        <x:v>540</x:v>
      </x:c>
      <x:c r="M104" t="n">
        <x:v>36</x:v>
      </x:c>
      <x:c r="N104" s="24" t="n">
        <x:v>0.03</x:v>
      </x:c>
      <x:c r="O104" s="22" t="n">
        <x:f>L104*M104</x:f>
        <x:v>19440</x:v>
      </x:c>
      <x:c r="P104" s="22" t="n">
        <x:f>O104*(1-N104)</x:f>
        <x:v>18856.8</x:v>
      </x:c>
      <x:c r="Q104" s="22" t="n">
        <x:v>485</x:v>
      </x:c>
      <x:c r="R104" s="22" t="n">
        <x:f>Q104*M104</x:f>
        <x:v>17460</x:v>
      </x:c>
      <x:c r="S104" s="22" t="n">
        <x:f>P104-R104</x:f>
        <x:v>1396.7999999999993</x:v>
      </x:c>
      <x:c r="T104" t="str">
        <x:v>Credit</x:v>
      </x:c>
      <x:c r="U104" t="str">
        <x:v>Pending</x:v>
      </x:c>
      <x:c r="V104" t="str">
        <x:v>Cancelled</x:v>
      </x:c>
      <x:c r="W104" t="n">
        <x:v>36</x:v>
      </x:c>
      <x:c r="X104" t="str">
        <x:v>Cancelled Order</x:v>
      </x:c>
      <x:c r="Y104" t="str">
        <x:v>Outbound Call</x:v>
      </x:c>
    </x:row>
    <x:row r="105">
      <x:c r="A105" t="str">
        <x:v>O000104</x:v>
      </x:c>
      <x:c r="B105" s="20" t="n">
        <x:v>45674</x:v>
      </x:c>
      <x:c r="C105" t="str">
        <x:v>C0161</x:v>
      </x:c>
      <x:c r="D105" t="str">
        <x:v>Hotel Kitchen 161</x:v>
      </x:c>
      <x:c r="E105" t="str">
        <x:v>Supermarket</x:v>
      </x:c>
      <x:c r="F105" t="str">
        <x:v>Mysuru</x:v>
      </x:c>
      <x:c r="G105" t="str">
        <x:v>Sneha</x:v>
      </x:c>
      <x:c r="H105" t="str">
        <x:v>P030</x:v>
      </x:c>
      <x:c r="I105" t="str">
        <x:v>Mayonnaise 1kg</x:v>
      </x:c>
      <x:c r="J105" t="str">
        <x:v>Condiments</x:v>
      </x:c>
      <x:c r="K105" t="str">
        <x:v>Veeba</x:v>
      </x:c>
      <x:c r="L105" s="22" t="n">
        <x:v>210</x:v>
      </x:c>
      <x:c r="M105" t="n">
        <x:v>8</x:v>
      </x:c>
      <x:c r="N105" s="24" t="n">
        <x:v>0.08</x:v>
      </x:c>
      <x:c r="O105" s="22" t="n">
        <x:f>L105*M105</x:f>
        <x:v>1680</x:v>
      </x:c>
      <x:c r="P105" s="22" t="n">
        <x:f>O105*(1-N105)</x:f>
        <x:v>1545.6000000000001</x:v>
      </x:c>
      <x:c r="Q105" s="22" t="n">
        <x:v>185</x:v>
      </x:c>
      <x:c r="R105" s="22" t="n">
        <x:f>Q105*M105</x:f>
        <x:v>1480</x:v>
      </x:c>
      <x:c r="S105" s="22" t="n">
        <x:f>P105-R105</x:f>
        <x:v>65.60000000000014</x:v>
      </x:c>
      <x:c r="T105" t="str">
        <x:v>Bank Transfer</x:v>
      </x:c>
      <x:c r="U105" t="str">
        <x:v>Paid</x:v>
      </x:c>
      <x:c r="V105" t="str">
        <x:v>Delivered</x:v>
      </x:c>
      <x:c r="W105" t="n">
        <x:v>0</x:v>
      </x:c>
      <x:c r="X105" t="str"/>
      <x:c r="Y105" t="str">
        <x:v>WhatsApp</x:v>
      </x:c>
    </x:row>
    <x:row r="106">
      <x:c r="A106" t="str">
        <x:v>O000105</x:v>
      </x:c>
      <x:c r="B106" s="20" t="n">
        <x:v>45967</x:v>
      </x:c>
      <x:c r="C106" t="str">
        <x:v>C0177</x:v>
      </x:c>
      <x:c r="D106" t="str">
        <x:v>Classic Cafe 177</x:v>
      </x:c>
      <x:c r="E106" t="str">
        <x:v>Supermarket</x:v>
      </x:c>
      <x:c r="F106" t="str">
        <x:v>Bengaluru</x:v>
      </x:c>
      <x:c r="G106" t="str">
        <x:v>Arjun</x:v>
      </x:c>
      <x:c r="H106" t="str">
        <x:v>P009</x:v>
      </x:c>
      <x:c r="I106" t="str">
        <x:v>Groundnut Oil 5L</x:v>
      </x:c>
      <x:c r="J106" t="str">
        <x:v>Edible Oil</x:v>
      </x:c>
      <x:c r="K106" t="str">
        <x:v>Dhara</x:v>
      </x:c>
      <x:c r="L106" s="22" t="n">
        <x:v>890</x:v>
      </x:c>
      <x:c r="M106" t="n">
        <x:v>11</x:v>
      </x:c>
      <x:c r="N106" s="24" t="n">
        <x:v>0.08</x:v>
      </x:c>
      <x:c r="O106" s="22" t="n">
        <x:f>L106*M106</x:f>
        <x:v>9790</x:v>
      </x:c>
      <x:c r="P106" s="22" t="n">
        <x:f>O106*(1-N106)</x:f>
        <x:v>9006.800000000001</x:v>
      </x:c>
      <x:c r="Q106" s="22" t="n">
        <x:v>810</x:v>
      </x:c>
      <x:c r="R106" s="22" t="n">
        <x:f>Q106*M106</x:f>
        <x:v>8910</x:v>
      </x:c>
      <x:c r="S106" s="22" t="n">
        <x:f>P106-R106</x:f>
        <x:v>96.80000000000109</x:v>
      </x:c>
      <x:c r="T106" t="str">
        <x:v>Cash</x:v>
      </x:c>
      <x:c r="U106" t="str">
        <x:v>Paid</x:v>
      </x:c>
      <x:c r="V106" t="str">
        <x:v>Delivered</x:v>
      </x:c>
      <x:c r="W106" t="n">
        <x:v>0</x:v>
      </x:c>
      <x:c r="X106" t="str"/>
      <x:c r="Y106" t="str">
        <x:v>Field Visit</x:v>
      </x:c>
    </x:row>
    <x:row r="107">
      <x:c r="A107" t="str">
        <x:v>O000106</x:v>
      </x:c>
      <x:c r="B107" s="20" t="n">
        <x:v>45711</x:v>
      </x:c>
      <x:c r="C107" t="str">
        <x:v>C0167</x:v>
      </x:c>
      <x:c r="D107" t="str">
        <x:v>Foodie Canteen 167</x:v>
      </x:c>
      <x:c r="E107" t="str">
        <x:v>Canteen</x:v>
      </x:c>
      <x:c r="F107" t="str">
        <x:v>Bengaluru</x:v>
      </x:c>
      <x:c r="G107" t="str">
        <x:v>Megha</x:v>
      </x:c>
      <x:c r="H107" t="str">
        <x:v>P011</x:v>
      </x:c>
      <x:c r="I107" t="str">
        <x:v>Salt 1kg</x:v>
      </x:c>
      <x:c r="J107" t="str">
        <x:v>Staples</x:v>
      </x:c>
      <x:c r="K107" t="str">
        <x:v>Tata</x:v>
      </x:c>
      <x:c r="L107" s="22" t="n">
        <x:v>28</x:v>
      </x:c>
      <x:c r="M107" t="n">
        <x:v>26</x:v>
      </x:c>
      <x:c r="N107" s="24" t="n">
        <x:v>0.05</x:v>
      </x:c>
      <x:c r="O107" s="22" t="n">
        <x:f>L107*M107</x:f>
        <x:v>728</x:v>
      </x:c>
      <x:c r="P107" s="22" t="n">
        <x:f>O107*(1-N107)</x:f>
        <x:v>691.6</x:v>
      </x:c>
      <x:c r="Q107" s="22" t="n">
        <x:v>23</x:v>
      </x:c>
      <x:c r="R107" s="22" t="n">
        <x:f>Q107*M107</x:f>
        <x:v>598</x:v>
      </x:c>
      <x:c r="S107" s="22" t="n">
        <x:f>P107-R107</x:f>
        <x:v>93.60000000000002</x:v>
      </x:c>
      <x:c r="T107" t="str">
        <x:v>Bank Transfer</x:v>
      </x:c>
      <x:c r="U107" t="str">
        <x:v>Paid</x:v>
      </x:c>
      <x:c r="V107" t="str">
        <x:v>Delivered</x:v>
      </x:c>
      <x:c r="W107" t="n">
        <x:v>0</x:v>
      </x:c>
      <x:c r="X107" t="str"/>
      <x:c r="Y107" t="str">
        <x:v>Outbound Call</x:v>
      </x:c>
    </x:row>
    <x:row r="108">
      <x:c r="A108" t="str">
        <x:v>O000107</x:v>
      </x:c>
      <x:c r="B108" s="20" t="n">
        <x:v>46265</x:v>
      </x:c>
      <x:c r="C108" t="str">
        <x:v>C0020</x:v>
      </x:c>
      <x:c r="D108" t="str">
        <x:v>Shree Foods 20</x:v>
      </x:c>
      <x:c r="E108" t="str">
        <x:v>Restaurant</x:v>
      </x:c>
      <x:c r="F108" t="str">
        <x:v>Mysuru</x:v>
      </x:c>
      <x:c r="G108" t="str">
        <x:v>Arjun</x:v>
      </x:c>
      <x:c r="H108" t="str">
        <x:v>P009</x:v>
      </x:c>
      <x:c r="I108" t="str">
        <x:v>Groundnut Oil 5L</x:v>
      </x:c>
      <x:c r="J108" t="str">
        <x:v>Edible Oil</x:v>
      </x:c>
      <x:c r="K108" t="str">
        <x:v>Dhara</x:v>
      </x:c>
      <x:c r="L108" s="22" t="n">
        <x:v>890</x:v>
      </x:c>
      <x:c r="M108" t="n">
        <x:v>15</x:v>
      </x:c>
      <x:c r="N108" s="24" t="n">
        <x:v>0.03</x:v>
      </x:c>
      <x:c r="O108" s="22" t="n">
        <x:f>L108*M108</x:f>
        <x:v>13350</x:v>
      </x:c>
      <x:c r="P108" s="22" t="n">
        <x:f>O108*(1-N108)</x:f>
        <x:v>12949.5</x:v>
      </x:c>
      <x:c r="Q108" s="22" t="n">
        <x:v>810</x:v>
      </x:c>
      <x:c r="R108" s="22" t="n">
        <x:f>Q108*M108</x:f>
        <x:v>12150</x:v>
      </x:c>
      <x:c r="S108" s="22" t="n">
        <x:f>P108-R108</x:f>
        <x:v>799.5</x:v>
      </x:c>
      <x:c r="T108" t="str">
        <x:v>Credit</x:v>
      </x:c>
      <x:c r="U108" t="str">
        <x:v>Paid</x:v>
      </x:c>
      <x:c r="V108" t="str">
        <x:v>Cancelled</x:v>
      </x:c>
      <x:c r="W108" t="n">
        <x:v>15</x:v>
      </x:c>
      <x:c r="X108" t="str">
        <x:v>Cancelled Order</x:v>
      </x:c>
      <x:c r="Y108" t="str">
        <x:v>Field Visit</x:v>
      </x:c>
    </x:row>
    <x:row r="109">
      <x:c r="A109" t="str">
        <x:v>O000108</x:v>
      </x:c>
      <x:c r="B109" s="20" t="n">
        <x:v>45793</x:v>
      </x:c>
      <x:c r="C109" t="str">
        <x:v>C0221</x:v>
      </x:c>
      <x:c r="D109" t="str">
        <x:v>Cafe Canteen 221</x:v>
      </x:c>
      <x:c r="E109" t="str">
        <x:v>Hotel</x:v>
      </x:c>
      <x:c r="F109" t="str">
        <x:v>Hubballi</x:v>
      </x:c>
      <x:c r="G109" t="str">
        <x:v>Kavya</x:v>
      </x:c>
      <x:c r="H109" t="str">
        <x:v>P028</x:v>
      </x:c>
      <x:c r="I109" t="str">
        <x:v>Cookies 200g</x:v>
      </x:c>
      <x:c r="J109" t="str">
        <x:v>Snacks</x:v>
      </x:c>
      <x:c r="K109" t="str">
        <x:v>Britannia</x:v>
      </x:c>
      <x:c r="L109" s="22" t="n">
        <x:v>55</x:v>
      </x:c>
      <x:c r="M109" t="n">
        <x:v>31</x:v>
      </x:c>
      <x:c r="N109" s="24" t="n">
        <x:v>0</x:v>
      </x:c>
      <x:c r="O109" s="22" t="n">
        <x:f>L109*M109</x:f>
        <x:v>1705</x:v>
      </x:c>
      <x:c r="P109" s="22" t="n">
        <x:f>O109*(1-N109)</x:f>
        <x:v>1705</x:v>
      </x:c>
      <x:c r="Q109" s="22" t="n">
        <x:v>42</x:v>
      </x:c>
      <x:c r="R109" s="22" t="n">
        <x:f>Q109*M109</x:f>
        <x:v>1302</x:v>
      </x:c>
      <x:c r="S109" s="22" t="n">
        <x:f>P109-R109</x:f>
        <x:v>403</x:v>
      </x:c>
      <x:c r="T109" t="str">
        <x:v>Credit</x:v>
      </x:c>
      <x:c r="U109" t="str">
        <x:v>Paid</x:v>
      </x:c>
      <x:c r="V109" t="str">
        <x:v>Delivered</x:v>
      </x:c>
      <x:c r="W109" t="n">
        <x:v>0</x:v>
      </x:c>
      <x:c r="X109" t="str"/>
      <x:c r="Y109" t="str">
        <x:v>Field Visit</x:v>
      </x:c>
    </x:row>
    <x:row r="110">
      <x:c r="A110" t="str">
        <x:v>O000109</x:v>
      </x:c>
      <x:c r="B110" s="20" t="n">
        <x:v>45794</x:v>
      </x:c>
      <x:c r="C110" t="str">
        <x:v>C0036</x:v>
      </x:c>
      <x:c r="D110" t="str">
        <x:v>Grand Hotel 36</x:v>
      </x:c>
      <x:c r="E110" t="str">
        <x:v>Canteen</x:v>
      </x:c>
      <x:c r="F110" t="str">
        <x:v>Tumakuru</x:v>
      </x:c>
      <x:c r="G110" t="str">
        <x:v>Kavya</x:v>
      </x:c>
      <x:c r="H110" t="str">
        <x:v>P025</x:v>
      </x:c>
      <x:c r="I110" t="str">
        <x:v>Potato Chips 100g</x:v>
      </x:c>
      <x:c r="J110" t="str">
        <x:v>Snacks</x:v>
      </x:c>
      <x:c r="K110" t="str">
        <x:v>Lay's</x:v>
      </x:c>
      <x:c r="L110" s="22" t="n">
        <x:v>35</x:v>
      </x:c>
      <x:c r="M110" t="n">
        <x:v>10</x:v>
      </x:c>
      <x:c r="N110" s="24" t="n">
        <x:v>0</x:v>
      </x:c>
      <x:c r="O110" s="22" t="n">
        <x:f>L110*M110</x:f>
        <x:v>350</x:v>
      </x:c>
      <x:c r="P110" s="22" t="n">
        <x:f>O110*(1-N110)</x:f>
        <x:v>350</x:v>
      </x:c>
      <x:c r="Q110" s="22" t="n">
        <x:v>27</x:v>
      </x:c>
      <x:c r="R110" s="22" t="n">
        <x:f>Q110*M110</x:f>
        <x:v>270</x:v>
      </x:c>
      <x:c r="S110" s="22" t="n">
        <x:f>P110-R110</x:f>
        <x:v>80</x:v>
      </x:c>
      <x:c r="T110" t="str">
        <x:v>UPI</x:v>
      </x:c>
      <x:c r="U110" t="str">
        <x:v>Paid</x:v>
      </x:c>
      <x:c r="V110" t="str">
        <x:v>Delivered</x:v>
      </x:c>
      <x:c r="W110" t="n">
        <x:v>0</x:v>
      </x:c>
      <x:c r="X110" t="str"/>
      <x:c r="Y110" t="str">
        <x:v>Referral</x:v>
      </x:c>
    </x:row>
    <x:row r="111">
      <x:c r="A111" t="str">
        <x:v>O000110</x:v>
      </x:c>
      <x:c r="B111" s="20" t="n">
        <x:v>46111</x:v>
      </x:c>
      <x:c r="C111" t="str">
        <x:v>C0039</x:v>
      </x:c>
      <x:c r="D111" t="str">
        <x:v>Sagar Cafe 39</x:v>
      </x:c>
      <x:c r="E111" t="str">
        <x:v>Restaurant</x:v>
      </x:c>
      <x:c r="F111" t="str">
        <x:v>Hubballi</x:v>
      </x:c>
      <x:c r="G111" t="str">
        <x:v>Imran</x:v>
      </x:c>
      <x:c r="H111" t="str">
        <x:v>P027</x:v>
      </x:c>
      <x:c r="I111" t="str">
        <x:v>Biscuits 120g</x:v>
      </x:c>
      <x:c r="J111" t="str">
        <x:v>Snacks</x:v>
      </x:c>
      <x:c r="K111" t="str">
        <x:v>Parle-G</x:v>
      </x:c>
      <x:c r="L111" s="22" t="n">
        <x:v>12</x:v>
      </x:c>
      <x:c r="M111" t="n">
        <x:v>14</x:v>
      </x:c>
      <x:c r="N111" s="24" t="n">
        <x:v>0</x:v>
      </x:c>
      <x:c r="O111" s="22" t="n">
        <x:f>L111*M111</x:f>
        <x:v>168</x:v>
      </x:c>
      <x:c r="P111" s="22" t="n">
        <x:f>O111*(1-N111)</x:f>
        <x:v>168</x:v>
      </x:c>
      <x:c r="Q111" s="22" t="n">
        <x:v>9</x:v>
      </x:c>
      <x:c r="R111" s="22" t="n">
        <x:f>Q111*M111</x:f>
        <x:v>126</x:v>
      </x:c>
      <x:c r="S111" s="22" t="n">
        <x:f>P111-R111</x:f>
        <x:v>42</x:v>
      </x:c>
      <x:c r="T111" t="str">
        <x:v>UPI</x:v>
      </x:c>
      <x:c r="U111" t="str">
        <x:v>Paid</x:v>
      </x:c>
      <x:c r="V111" t="str">
        <x:v>Delivered</x:v>
      </x:c>
      <x:c r="W111" t="n">
        <x:v>0</x:v>
      </x:c>
      <x:c r="X111" t="str"/>
      <x:c r="Y111" t="str">
        <x:v>WhatsApp</x:v>
      </x:c>
    </x:row>
    <x:row r="112">
      <x:c r="A112" t="str">
        <x:v>O000111</x:v>
      </x:c>
      <x:c r="B112" s="20" t="n">
        <x:v>45801</x:v>
      </x:c>
      <x:c r="C112" t="str">
        <x:v>C0110</x:v>
      </x:c>
      <x:c r="D112" t="str">
        <x:v>Metro Restaurant 110</x:v>
      </x:c>
      <x:c r="E112" t="str">
        <x:v>Hotel</x:v>
      </x:c>
      <x:c r="F112" t="str">
        <x:v>Mysuru</x:v>
      </x:c>
      <x:c r="G112" t="str">
        <x:v>Imran</x:v>
      </x:c>
      <x:c r="H112" t="str">
        <x:v>P021</x:v>
      </x:c>
      <x:c r="I112" t="str">
        <x:v>Instant Coffee 200g</x:v>
      </x:c>
      <x:c r="J112" t="str">
        <x:v>Beverage</x:v>
      </x:c>
      <x:c r="K112" t="str">
        <x:v>Nescafe</x:v>
      </x:c>
      <x:c r="L112" s="22" t="n">
        <x:v>460</x:v>
      </x:c>
      <x:c r="M112" t="n">
        <x:v>16</x:v>
      </x:c>
      <x:c r="N112" s="24" t="n">
        <x:v>0.02</x:v>
      </x:c>
      <x:c r="O112" s="22" t="n">
        <x:f>L112*M112</x:f>
        <x:v>7360</x:v>
      </x:c>
      <x:c r="P112" s="22" t="n">
        <x:f>O112*(1-N112)</x:f>
        <x:v>7212.8</x:v>
      </x:c>
      <x:c r="Q112" s="22" t="n">
        <x:v>410</x:v>
      </x:c>
      <x:c r="R112" s="22" t="n">
        <x:f>Q112*M112</x:f>
        <x:v>6560</x:v>
      </x:c>
      <x:c r="S112" s="22" t="n">
        <x:f>P112-R112</x:f>
        <x:v>652.8000000000002</x:v>
      </x:c>
      <x:c r="T112" t="str">
        <x:v>UPI</x:v>
      </x:c>
      <x:c r="U112" t="str">
        <x:v>Paid</x:v>
      </x:c>
      <x:c r="V112" t="str">
        <x:v>Delayed</x:v>
      </x:c>
      <x:c r="W112" t="n">
        <x:v>0</x:v>
      </x:c>
      <x:c r="X112" t="str"/>
      <x:c r="Y112" t="str">
        <x:v>Existing Customer</x:v>
      </x:c>
    </x:row>
    <x:row r="113">
      <x:c r="A113" t="str">
        <x:v>O000112</x:v>
      </x:c>
      <x:c r="B113" s="20" t="n">
        <x:v>45685</x:v>
      </x:c>
      <x:c r="C113" t="str">
        <x:v>C0073</x:v>
      </x:c>
      <x:c r="D113" t="str">
        <x:v>Annapurna Stores 73</x:v>
      </x:c>
      <x:c r="E113" t="str">
        <x:v>Restaurant</x:v>
      </x:c>
      <x:c r="F113" t="str">
        <x:v>Davanagere</x:v>
      </x:c>
      <x:c r="G113" t="str">
        <x:v>Kavya</x:v>
      </x:c>
      <x:c r="H113" t="str">
        <x:v>P050</x:v>
      </x:c>
      <x:c r="I113" t="str">
        <x:v>Lemon 5kg</x:v>
      </x:c>
      <x:c r="J113" t="str">
        <x:v>Fresh Produce</x:v>
      </x:c>
      <x:c r="K113" t="str">
        <x:v>Local Market</x:v>
      </x:c>
      <x:c r="L113" s="22" t="n">
        <x:v>360</x:v>
      </x:c>
      <x:c r="M113" t="n">
        <x:v>20</x:v>
      </x:c>
      <x:c r="N113" s="24" t="n">
        <x:v>0</x:v>
      </x:c>
      <x:c r="O113" s="22" t="n">
        <x:f>L113*M113</x:f>
        <x:v>7200</x:v>
      </x:c>
      <x:c r="P113" s="22" t="n">
        <x:f>O113*(1-N113)</x:f>
        <x:v>7200</x:v>
      </x:c>
      <x:c r="Q113" s="22" t="n">
        <x:v>300</x:v>
      </x:c>
      <x:c r="R113" s="22" t="n">
        <x:f>Q113*M113</x:f>
        <x:v>6000</x:v>
      </x:c>
      <x:c r="S113" s="22" t="n">
        <x:f>P113-R113</x:f>
        <x:v>1200</x:v>
      </x:c>
      <x:c r="T113" t="str">
        <x:v>Bank Transfer</x:v>
      </x:c>
      <x:c r="U113" t="str">
        <x:v>Pending</x:v>
      </x:c>
      <x:c r="V113" t="str">
        <x:v>Delivered</x:v>
      </x:c>
      <x:c r="W113" t="n">
        <x:v>0</x:v>
      </x:c>
      <x:c r="X113" t="str"/>
      <x:c r="Y113" t="str">
        <x:v>Referral</x:v>
      </x:c>
    </x:row>
    <x:row r="114">
      <x:c r="A114" t="str">
        <x:v>O000113</x:v>
      </x:c>
      <x:c r="B114" s="20" t="n">
        <x:v>46169</x:v>
      </x:c>
      <x:c r="C114" t="str">
        <x:v>C0029</x:v>
      </x:c>
      <x:c r="D114" t="str">
        <x:v>Metro Foods 29</x:v>
      </x:c>
      <x:c r="E114" t="str">
        <x:v>Cafe</x:v>
      </x:c>
      <x:c r="F114" t="str">
        <x:v>Hubballi</x:v>
      </x:c>
      <x:c r="G114" t="str">
        <x:v>Priya</x:v>
      </x:c>
      <x:c r="H114" t="str">
        <x:v>P016</x:v>
      </x:c>
      <x:c r="I114" t="str">
        <x:v>Curd 1kg</x:v>
      </x:c>
      <x:c r="J114" t="str">
        <x:v>Dairy</x:v>
      </x:c>
      <x:c r="K114" t="str">
        <x:v>Nandini</x:v>
      </x:c>
      <x:c r="L114" s="22" t="n">
        <x:v>72</x:v>
      </x:c>
      <x:c r="M114" t="n">
        <x:v>39</x:v>
      </x:c>
      <x:c r="N114" s="24" t="n">
        <x:v>0</x:v>
      </x:c>
      <x:c r="O114" s="22" t="n">
        <x:f>L114*M114</x:f>
        <x:v>2808</x:v>
      </x:c>
      <x:c r="P114" s="22" t="n">
        <x:f>O114*(1-N114)</x:f>
        <x:v>2808</x:v>
      </x:c>
      <x:c r="Q114" s="22" t="n">
        <x:v>64</x:v>
      </x:c>
      <x:c r="R114" s="22" t="n">
        <x:f>Q114*M114</x:f>
        <x:v>2496</x:v>
      </x:c>
      <x:c r="S114" s="22" t="n">
        <x:f>P114-R114</x:f>
        <x:v>312</x:v>
      </x:c>
      <x:c r="T114" t="str">
        <x:v>UPI</x:v>
      </x:c>
      <x:c r="U114" t="str">
        <x:v>Overdue</x:v>
      </x:c>
      <x:c r="V114" t="str">
        <x:v>Delivered</x:v>
      </x:c>
      <x:c r="W114" t="n">
        <x:v>0</x:v>
      </x:c>
      <x:c r="X114" t="str"/>
      <x:c r="Y114" t="str">
        <x:v>Existing Customer</x:v>
      </x:c>
    </x:row>
    <x:row r="115">
      <x:c r="A115" t="str">
        <x:v>O000114</x:v>
      </x:c>
      <x:c r="B115" s="20" t="n">
        <x:v>45834</x:v>
      </x:c>
      <x:c r="C115" t="str">
        <x:v>C0140</x:v>
      </x:c>
      <x:c r="D115" t="str">
        <x:v>Fresh Hotel 140</x:v>
      </x:c>
      <x:c r="E115" t="str">
        <x:v>Kirana</x:v>
      </x:c>
      <x:c r="F115" t="str">
        <x:v>Tumakuru</x:v>
      </x:c>
      <x:c r="G115" t="str">
        <x:v>Imran</x:v>
      </x:c>
      <x:c r="H115" t="str">
        <x:v>P044</x:v>
      </x:c>
      <x:c r="I115" t="str">
        <x:v>Chicken Curry Cut 1kg</x:v>
      </x:c>
      <x:c r="J115" t="str">
        <x:v>Protein</x:v>
      </x:c>
      <x:c r="K115" t="str">
        <x:v>FreshToHome</x:v>
      </x:c>
      <x:c r="L115" s="22" t="n">
        <x:v>230</x:v>
      </x:c>
      <x:c r="M115" t="n">
        <x:v>31</x:v>
      </x:c>
      <x:c r="N115" s="24" t="n">
        <x:v>0.1</x:v>
      </x:c>
      <x:c r="O115" s="22" t="n">
        <x:f>L115*M115</x:f>
        <x:v>7130</x:v>
      </x:c>
      <x:c r="P115" s="22" t="n">
        <x:f>O115*(1-N115)</x:f>
        <x:v>6417</x:v>
      </x:c>
      <x:c r="Q115" s="22" t="n">
        <x:v>205</x:v>
      </x:c>
      <x:c r="R115" s="22" t="n">
        <x:f>Q115*M115</x:f>
        <x:v>6355</x:v>
      </x:c>
      <x:c r="S115" s="22" t="n">
        <x:f>P115-R115</x:f>
        <x:v>62</x:v>
      </x:c>
      <x:c r="T115" t="str">
        <x:v>UPI</x:v>
      </x:c>
      <x:c r="U115" t="str">
        <x:v>Paid</x:v>
      </x:c>
      <x:c r="V115" t="str">
        <x:v>Delivered</x:v>
      </x:c>
      <x:c r="W115" t="n">
        <x:v>2</x:v>
      </x:c>
      <x:c r="X115" t="str">
        <x:v>Damaged</x:v>
      </x:c>
      <x:c r="Y115" t="str">
        <x:v>Outbound Call</x:v>
      </x:c>
    </x:row>
    <x:row r="116">
      <x:c r="A116" t="str">
        <x:v>O000115</x:v>
      </x:c>
      <x:c r="B116" s="20" t="n">
        <x:v>45951</x:v>
      </x:c>
      <x:c r="C116" t="str">
        <x:v>C0102</x:v>
      </x:c>
      <x:c r="D116" t="str">
        <x:v>Annapurna Foods 102</x:v>
      </x:c>
      <x:c r="E116" t="str">
        <x:v>Cafe</x:v>
      </x:c>
      <x:c r="F116" t="str">
        <x:v>Davanagere</x:v>
      </x:c>
      <x:c r="G116" t="str">
        <x:v>Ramesh</x:v>
      </x:c>
      <x:c r="H116" t="str">
        <x:v>P033</x:v>
      </x:c>
      <x:c r="I116" t="str">
        <x:v>Turmeric Powder 1kg</x:v>
      </x:c>
      <x:c r="J116" t="str">
        <x:v>Spices</x:v>
      </x:c>
      <x:c r="K116" t="str">
        <x:v>Everest</x:v>
      </x:c>
      <x:c r="L116" s="22" t="n">
        <x:v>310</x:v>
      </x:c>
      <x:c r="M116" t="n">
        <x:v>33</x:v>
      </x:c>
      <x:c r="N116" s="24" t="n">
        <x:v>0.05</x:v>
      </x:c>
      <x:c r="O116" s="22" t="n">
        <x:f>L116*M116</x:f>
        <x:v>10230</x:v>
      </x:c>
      <x:c r="P116" s="22" t="n">
        <x:f>O116*(1-N116)</x:f>
        <x:v>9718.5</x:v>
      </x:c>
      <x:c r="Q116" s="22" t="n">
        <x:v>270</x:v>
      </x:c>
      <x:c r="R116" s="22" t="n">
        <x:f>Q116*M116</x:f>
        <x:v>8910</x:v>
      </x:c>
      <x:c r="S116" s="22" t="n">
        <x:f>P116-R116</x:f>
        <x:v>808.5</x:v>
      </x:c>
      <x:c r="T116" t="str">
        <x:v>Credit</x:v>
      </x:c>
      <x:c r="U116" t="str">
        <x:v>Paid</x:v>
      </x:c>
      <x:c r="V116" t="str">
        <x:v>Delivered</x:v>
      </x:c>
      <x:c r="W116" t="n">
        <x:v>0</x:v>
      </x:c>
      <x:c r="X116" t="str"/>
      <x:c r="Y116" t="str">
        <x:v>Existing Customer</x:v>
      </x:c>
    </x:row>
    <x:row r="117">
      <x:c r="A117" t="str">
        <x:v>O000116</x:v>
      </x:c>
      <x:c r="B117" s="20" t="n">
        <x:v>45975</x:v>
      </x:c>
      <x:c r="C117" t="str">
        <x:v>C0072</x:v>
      </x:c>
      <x:c r="D117" t="str">
        <x:v>Grand Restaurant 72</x:v>
      </x:c>
      <x:c r="E117" t="str">
        <x:v>Restaurant</x:v>
      </x:c>
      <x:c r="F117" t="str">
        <x:v>Davanagere</x:v>
      </x:c>
      <x:c r="G117" t="str">
        <x:v>Kavya</x:v>
      </x:c>
      <x:c r="H117" t="str">
        <x:v>P006</x:v>
      </x:c>
      <x:c r="I117" t="str">
        <x:v>Moong Dal 5kg</x:v>
      </x:c>
      <x:c r="J117" t="str">
        <x:v>Pulses</x:v>
      </x:c>
      <x:c r="K117" t="str">
        <x:v>Local Select</x:v>
      </x:c>
      <x:c r="L117" s="22" t="n">
        <x:v>610</x:v>
      </x:c>
      <x:c r="M117" t="n">
        <x:v>6</x:v>
      </x:c>
      <x:c r="N117" s="24" t="n">
        <x:v>0.03</x:v>
      </x:c>
      <x:c r="O117" s="22" t="n">
        <x:f>L117*M117</x:f>
        <x:v>3660</x:v>
      </x:c>
      <x:c r="P117" s="22" t="n">
        <x:f>O117*(1-N117)</x:f>
        <x:v>3550.2</x:v>
      </x:c>
      <x:c r="Q117" s="22" t="n">
        <x:v>540</x:v>
      </x:c>
      <x:c r="R117" s="22" t="n">
        <x:f>Q117*M117</x:f>
        <x:v>3240</x:v>
      </x:c>
      <x:c r="S117" s="22" t="n">
        <x:f>P117-R117</x:f>
        <x:v>310.1999999999998</x:v>
      </x:c>
      <x:c r="T117" t="str">
        <x:v>Bank Transfer</x:v>
      </x:c>
      <x:c r="U117" t="str">
        <x:v>Overdue</x:v>
      </x:c>
      <x:c r="V117" t="str">
        <x:v>Delivered</x:v>
      </x:c>
      <x:c r="W117" t="n">
        <x:v>0</x:v>
      </x:c>
      <x:c r="X117" t="str"/>
      <x:c r="Y117" t="str">
        <x:v>WhatsApp</x:v>
      </x:c>
    </x:row>
    <x:row r="118">
      <x:c r="A118" t="str">
        <x:v>O000117</x:v>
      </x:c>
      <x:c r="B118" s="20" t="n">
        <x:v>45725</x:v>
      </x:c>
      <x:c r="C118" t="str">
        <x:v>C0196</x:v>
      </x:c>
      <x:c r="D118" t="str">
        <x:v>Namma Mart 196</x:v>
      </x:c>
      <x:c r="E118" t="str">
        <x:v>Cafe</x:v>
      </x:c>
      <x:c r="F118" t="str">
        <x:v>Mangaluru</x:v>
      </x:c>
      <x:c r="G118" t="str">
        <x:v>Kavya</x:v>
      </x:c>
      <x:c r="H118" t="str">
        <x:v>P042</x:v>
      </x:c>
      <x:c r="I118" t="str">
        <x:v>Eggs 30pc Tray</x:v>
      </x:c>
      <x:c r="J118" t="str">
        <x:v>Protein</x:v>
      </x:c>
      <x:c r="K118" t="str">
        <x:v>Farm Fresh</x:v>
      </x:c>
      <x:c r="L118" s="22" t="n">
        <x:v>195</x:v>
      </x:c>
      <x:c r="M118" t="n">
        <x:v>20</x:v>
      </x:c>
      <x:c r="N118" s="24" t="n">
        <x:v>0.05</x:v>
      </x:c>
      <x:c r="O118" s="22" t="n">
        <x:f>L118*M118</x:f>
        <x:v>3900</x:v>
      </x:c>
      <x:c r="P118" s="22" t="n">
        <x:f>O118*(1-N118)</x:f>
        <x:v>3705</x:v>
      </x:c>
      <x:c r="Q118" s="22" t="n">
        <x:v>170</x:v>
      </x:c>
      <x:c r="R118" s="22" t="n">
        <x:f>Q118*M118</x:f>
        <x:v>3400</x:v>
      </x:c>
      <x:c r="S118" s="22" t="n">
        <x:f>P118-R118</x:f>
        <x:v>305</x:v>
      </x:c>
      <x:c r="T118" t="str">
        <x:v>Bank Transfer</x:v>
      </x:c>
      <x:c r="U118" t="str">
        <x:v>Paid</x:v>
      </x:c>
      <x:c r="V118" t="str">
        <x:v>Delivered</x:v>
      </x:c>
      <x:c r="W118" t="n">
        <x:v>0</x:v>
      </x:c>
      <x:c r="X118" t="str"/>
      <x:c r="Y118" t="str">
        <x:v>Outbound Call</x:v>
      </x:c>
    </x:row>
    <x:row r="119">
      <x:c r="A119" t="str">
        <x:v>O000118</x:v>
      </x:c>
      <x:c r="B119" s="20" t="n">
        <x:v>45974</x:v>
      </x:c>
      <x:c r="C119" t="str">
        <x:v>C0156</x:v>
      </x:c>
      <x:c r="D119" t="str">
        <x:v>Metro Stores 156</x:v>
      </x:c>
      <x:c r="E119" t="str">
        <x:v>Hotel</x:v>
      </x:c>
      <x:c r="F119" t="str">
        <x:v>Tumakuru</x:v>
      </x:c>
      <x:c r="G119" t="str">
        <x:v>Ramesh</x:v>
      </x:c>
      <x:c r="H119" t="str">
        <x:v>P004</x:v>
      </x:c>
      <x:c r="I119" t="str">
        <x:v>Toor Dal 5kg</x:v>
      </x:c>
      <x:c r="J119" t="str">
        <x:v>Pulses</x:v>
      </x:c>
      <x:c r="K119" t="str">
        <x:v>Tata Sampann</x:v>
      </x:c>
      <x:c r="L119" s="22" t="n">
        <x:v>780</x:v>
      </x:c>
      <x:c r="M119" t="n">
        <x:v>12</x:v>
      </x:c>
      <x:c r="N119" s="24" t="n">
        <x:v>0</x:v>
      </x:c>
      <x:c r="O119" s="22" t="n">
        <x:f>L119*M119</x:f>
        <x:v>9360</x:v>
      </x:c>
      <x:c r="P119" s="22" t="n">
        <x:f>O119*(1-N119)</x:f>
        <x:v>9360</x:v>
      </x:c>
      <x:c r="Q119" s="22" t="n">
        <x:v>695</x:v>
      </x:c>
      <x:c r="R119" s="22" t="n">
        <x:f>Q119*M119</x:f>
        <x:v>8340</x:v>
      </x:c>
      <x:c r="S119" s="22" t="n">
        <x:f>P119-R119</x:f>
        <x:v>1020</x:v>
      </x:c>
      <x:c r="T119" t="str">
        <x:v>Bank Transfer</x:v>
      </x:c>
      <x:c r="U119" t="str">
        <x:v>Paid</x:v>
      </x:c>
      <x:c r="V119" t="str">
        <x:v>Delivered</x:v>
      </x:c>
      <x:c r="W119" t="n">
        <x:v>0</x:v>
      </x:c>
      <x:c r="X119" t="str"/>
      <x:c r="Y119" t="str">
        <x:v>Field Visit</x:v>
      </x:c>
    </x:row>
    <x:row r="120">
      <x:c r="A120" t="str">
        <x:v>O000119</x:v>
      </x:c>
      <x:c r="B120" s="20" t="n">
        <x:v>45923</x:v>
      </x:c>
      <x:c r="C120" t="str">
        <x:v>C0201</x:v>
      </x:c>
      <x:c r="D120" t="str">
        <x:v>Metro Hotel 201</x:v>
      </x:c>
      <x:c r="E120" t="str">
        <x:v>Kirana</x:v>
      </x:c>
      <x:c r="F120" t="str">
        <x:v>Mysuru</x:v>
      </x:c>
      <x:c r="G120" t="str">
        <x:v>Imran</x:v>
      </x:c>
      <x:c r="H120" t="str">
        <x:v>P047</x:v>
      </x:c>
      <x:c r="I120" t="str">
        <x:v>Tomato 25kg</x:v>
      </x:c>
      <x:c r="J120" t="str">
        <x:v>Fresh Produce</x:v>
      </x:c>
      <x:c r="K120" t="str">
        <x:v>Local Market</x:v>
      </x:c>
      <x:c r="L120" s="22" t="n">
        <x:v>950</x:v>
      </x:c>
      <x:c r="M120" t="n">
        <x:v>11</x:v>
      </x:c>
      <x:c r="N120" s="24" t="n">
        <x:v>0.02</x:v>
      </x:c>
      <x:c r="O120" s="22" t="n">
        <x:f>L120*M120</x:f>
        <x:v>10450</x:v>
      </x:c>
      <x:c r="P120" s="22" t="n">
        <x:f>O120*(1-N120)</x:f>
        <x:v>10241</x:v>
      </x:c>
      <x:c r="Q120" s="22" t="n">
        <x:v>810</x:v>
      </x:c>
      <x:c r="R120" s="22" t="n">
        <x:f>Q120*M120</x:f>
        <x:v>8910</x:v>
      </x:c>
      <x:c r="S120" s="22" t="n">
        <x:f>P120-R120</x:f>
        <x:v>1331</x:v>
      </x:c>
      <x:c r="T120" t="str">
        <x:v>Cash</x:v>
      </x:c>
      <x:c r="U120" t="str">
        <x:v>Pending</x:v>
      </x:c>
      <x:c r="V120" t="str">
        <x:v>Delivered</x:v>
      </x:c>
      <x:c r="W120" t="n">
        <x:v>0</x:v>
      </x:c>
      <x:c r="X120" t="str"/>
      <x:c r="Y120" t="str">
        <x:v>Outbound Call</x:v>
      </x:c>
    </x:row>
    <x:row r="121">
      <x:c r="A121" t="str">
        <x:v>O000120</x:v>
      </x:c>
      <x:c r="B121" s="20" t="n">
        <x:v>46194</x:v>
      </x:c>
      <x:c r="C121" t="str">
        <x:v>C0110</x:v>
      </x:c>
      <x:c r="D121" t="str">
        <x:v>Metro Restaurant 110</x:v>
      </x:c>
      <x:c r="E121" t="str">
        <x:v>Hotel</x:v>
      </x:c>
      <x:c r="F121" t="str">
        <x:v>Mysuru</x:v>
      </x:c>
      <x:c r="G121" t="str">
        <x:v>Imran</x:v>
      </x:c>
      <x:c r="H121" t="str">
        <x:v>P018</x:v>
      </x:c>
      <x:c r="I121" t="str">
        <x:v>Paneer 1kg</x:v>
      </x:c>
      <x:c r="J121" t="str">
        <x:v>Dairy</x:v>
      </x:c>
      <x:c r="K121" t="str">
        <x:v>Milky Mist</x:v>
      </x:c>
      <x:c r="L121" s="22" t="n">
        <x:v>410</x:v>
      </x:c>
      <x:c r="M121" t="n">
        <x:v>5</x:v>
      </x:c>
      <x:c r="N121" s="24" t="n">
        <x:v>0.02</x:v>
      </x:c>
      <x:c r="O121" s="22" t="n">
        <x:f>L121*M121</x:f>
        <x:v>2050</x:v>
      </x:c>
      <x:c r="P121" s="22" t="n">
        <x:f>O121*(1-N121)</x:f>
        <x:v>2009</x:v>
      </x:c>
      <x:c r="Q121" s="22" t="n">
        <x:v>370</x:v>
      </x:c>
      <x:c r="R121" s="22" t="n">
        <x:f>Q121*M121</x:f>
        <x:v>1850</x:v>
      </x:c>
      <x:c r="S121" s="22" t="n">
        <x:f>P121-R121</x:f>
        <x:v>159</x:v>
      </x:c>
      <x:c r="T121" t="str">
        <x:v>UPI</x:v>
      </x:c>
      <x:c r="U121" t="str">
        <x:v>Paid</x:v>
      </x:c>
      <x:c r="V121" t="str">
        <x:v>Delayed</x:v>
      </x:c>
      <x:c r="W121" t="n">
        <x:v>0</x:v>
      </x:c>
      <x:c r="X121" t="str"/>
      <x:c r="Y121" t="str">
        <x:v>Field Visit</x:v>
      </x:c>
    </x:row>
    <x:row r="122">
      <x:c r="A122" t="str">
        <x:v>O000121</x:v>
      </x:c>
      <x:c r="B122" s="20" t="n">
        <x:v>45828</x:v>
      </x:c>
      <x:c r="C122" t="str">
        <x:v>C0220</x:v>
      </x:c>
      <x:c r="D122" t="str">
        <x:v>Udupi Canteen 220</x:v>
      </x:c>
      <x:c r="E122" t="str">
        <x:v>Restaurant</x:v>
      </x:c>
      <x:c r="F122" t="str">
        <x:v>Bengaluru</x:v>
      </x:c>
      <x:c r="G122" t="str">
        <x:v>Sneha</x:v>
      </x:c>
      <x:c r="H122" t="str">
        <x:v>P037</x:v>
      </x:c>
      <x:c r="I122" t="str">
        <x:v>Frozen Peas 1kg</x:v>
      </x:c>
      <x:c r="J122" t="str">
        <x:v>Frozen</x:v>
      </x:c>
      <x:c r="K122" t="str">
        <x:v>Safal</x:v>
      </x:c>
      <x:c r="L122" s="22" t="n">
        <x:v>155</x:v>
      </x:c>
      <x:c r="M122" t="n">
        <x:v>24</x:v>
      </x:c>
      <x:c r="N122" s="24" t="n">
        <x:v>0</x:v>
      </x:c>
      <x:c r="O122" s="22" t="n">
        <x:f>L122*M122</x:f>
        <x:v>3720</x:v>
      </x:c>
      <x:c r="P122" s="22" t="n">
        <x:f>O122*(1-N122)</x:f>
        <x:v>3720</x:v>
      </x:c>
      <x:c r="Q122" s="22" t="n">
        <x:v>138</x:v>
      </x:c>
      <x:c r="R122" s="22" t="n">
        <x:f>Q122*M122</x:f>
        <x:v>3312</x:v>
      </x:c>
      <x:c r="S122" s="22" t="n">
        <x:f>P122-R122</x:f>
        <x:v>408</x:v>
      </x:c>
      <x:c r="T122" t="str">
        <x:v>UPI</x:v>
      </x:c>
      <x:c r="U122" t="str">
        <x:v>Pending</x:v>
      </x:c>
      <x:c r="V122" t="str">
        <x:v>Cancelled</x:v>
      </x:c>
      <x:c r="W122" t="n">
        <x:v>24</x:v>
      </x:c>
      <x:c r="X122" t="str">
        <x:v>Cancelled Order</x:v>
      </x:c>
      <x:c r="Y122" t="str">
        <x:v>Outbound Call</x:v>
      </x:c>
    </x:row>
    <x:row r="123">
      <x:c r="A123" t="str">
        <x:v>O000122</x:v>
      </x:c>
      <x:c r="B123" s="20" t="n">
        <x:v>45703</x:v>
      </x:c>
      <x:c r="C123" t="str">
        <x:v>C0131</x:v>
      </x:c>
      <x:c r="D123" t="str">
        <x:v>Foodie Canteen 131</x:v>
      </x:c>
      <x:c r="E123" t="str">
        <x:v>Canteen</x:v>
      </x:c>
      <x:c r="F123" t="str">
        <x:v>Davanagere</x:v>
      </x:c>
      <x:c r="G123" t="str">
        <x:v>Arjun</x:v>
      </x:c>
      <x:c r="H123" t="str">
        <x:v>P001</x:v>
      </x:c>
      <x:c r="I123" t="str">
        <x:v>Steam Rice 25kg</x:v>
      </x:c>
      <x:c r="J123" t="str">
        <x:v>Staples</x:v>
      </x:c>
      <x:c r="K123" t="str">
        <x:v>Aishwarya</x:v>
      </x:c>
      <x:c r="L123" s="22" t="n">
        <x:v>1180</x:v>
      </x:c>
      <x:c r="M123" t="n">
        <x:v>4</x:v>
      </x:c>
      <x:c r="N123" s="24" t="n">
        <x:v>0</x:v>
      </x:c>
      <x:c r="O123" s="22" t="n">
        <x:f>L123*M123</x:f>
        <x:v>4720</x:v>
      </x:c>
      <x:c r="P123" s="22" t="n">
        <x:f>O123*(1-N123)</x:f>
        <x:v>4720</x:v>
      </x:c>
      <x:c r="Q123" s="22" t="n">
        <x:v>1040</x:v>
      </x:c>
      <x:c r="R123" s="22" t="n">
        <x:f>Q123*M123</x:f>
        <x:v>4160</x:v>
      </x:c>
      <x:c r="S123" s="22" t="n">
        <x:f>P123-R123</x:f>
        <x:v>560</x:v>
      </x:c>
      <x:c r="T123" t="str">
        <x:v>Cash</x:v>
      </x:c>
      <x:c r="U123" t="str">
        <x:v>Paid</x:v>
      </x:c>
      <x:c r="V123" t="str">
        <x:v>Delivered</x:v>
      </x:c>
      <x:c r="W123" t="n">
        <x:v>0</x:v>
      </x:c>
      <x:c r="X123" t="str"/>
      <x:c r="Y123" t="str">
        <x:v>Outbound Call</x:v>
      </x:c>
    </x:row>
    <x:row r="124">
      <x:c r="A124" t="str">
        <x:v>O000123</x:v>
      </x:c>
      <x:c r="B124" s="20" t="n">
        <x:v>46087</x:v>
      </x:c>
      <x:c r="C124" t="str">
        <x:v>C0234</x:v>
      </x:c>
      <x:c r="D124" t="str">
        <x:v>Metro Canteen 234</x:v>
      </x:c>
      <x:c r="E124" t="str">
        <x:v>Restaurant</x:v>
      </x:c>
      <x:c r="F124" t="str">
        <x:v>Davanagere</x:v>
      </x:c>
      <x:c r="G124" t="str">
        <x:v>Priya</x:v>
      </x:c>
      <x:c r="H124" t="str">
        <x:v>P046</x:v>
      </x:c>
      <x:c r="I124" t="str">
        <x:v>Potato 25kg</x:v>
      </x:c>
      <x:c r="J124" t="str">
        <x:v>Fresh Produce</x:v>
      </x:c>
      <x:c r="K124" t="str">
        <x:v>Local Market</x:v>
      </x:c>
      <x:c r="L124" s="22" t="n">
        <x:v>700</x:v>
      </x:c>
      <x:c r="M124" t="n">
        <x:v>15</x:v>
      </x:c>
      <x:c r="N124" s="24" t="n">
        <x:v>0.02</x:v>
      </x:c>
      <x:c r="O124" s="22" t="n">
        <x:f>L124*M124</x:f>
        <x:v>10500</x:v>
      </x:c>
      <x:c r="P124" s="22" t="n">
        <x:f>O124*(1-N124)</x:f>
        <x:v>10290</x:v>
      </x:c>
      <x:c r="Q124" s="22" t="n">
        <x:v>610</x:v>
      </x:c>
      <x:c r="R124" s="22" t="n">
        <x:f>Q124*M124</x:f>
        <x:v>9150</x:v>
      </x:c>
      <x:c r="S124" s="22" t="n">
        <x:f>P124-R124</x:f>
        <x:v>1140</x:v>
      </x:c>
      <x:c r="T124" t="str">
        <x:v>Credit</x:v>
      </x:c>
      <x:c r="U124" t="str">
        <x:v>Pending</x:v>
      </x:c>
      <x:c r="V124" t="str">
        <x:v>Delivered</x:v>
      </x:c>
      <x:c r="W124" t="n">
        <x:v>0</x:v>
      </x:c>
      <x:c r="X124" t="str"/>
      <x:c r="Y124" t="str">
        <x:v>Outbound Call</x:v>
      </x:c>
    </x:row>
    <x:row r="125">
      <x:c r="A125" t="str">
        <x:v>O000124</x:v>
      </x:c>
      <x:c r="B125" s="20" t="n">
        <x:v>45711</x:v>
      </x:c>
      <x:c r="C125" t="str">
        <x:v>C0031</x:v>
      </x:c>
      <x:c r="D125" t="str">
        <x:v>Royal Restaurant 31</x:v>
      </x:c>
      <x:c r="E125" t="str">
        <x:v>Restaurant</x:v>
      </x:c>
      <x:c r="F125" t="str">
        <x:v>Mangaluru</x:v>
      </x:c>
      <x:c r="G125" t="str">
        <x:v>Arjun</x:v>
      </x:c>
      <x:c r="H125" t="str">
        <x:v>P033</x:v>
      </x:c>
      <x:c r="I125" t="str">
        <x:v>Turmeric Powder 1kg</x:v>
      </x:c>
      <x:c r="J125" t="str">
        <x:v>Spices</x:v>
      </x:c>
      <x:c r="K125" t="str">
        <x:v>Everest</x:v>
      </x:c>
      <x:c r="L125" s="22" t="n">
        <x:v>310</x:v>
      </x:c>
      <x:c r="M125" t="n">
        <x:v>12</x:v>
      </x:c>
      <x:c r="N125" s="24" t="n">
        <x:v>0</x:v>
      </x:c>
      <x:c r="O125" s="22" t="n">
        <x:f>L125*M125</x:f>
        <x:v>3720</x:v>
      </x:c>
      <x:c r="P125" s="22" t="n">
        <x:f>O125*(1-N125)</x:f>
        <x:v>3720</x:v>
      </x:c>
      <x:c r="Q125" s="22" t="n">
        <x:v>270</x:v>
      </x:c>
      <x:c r="R125" s="22" t="n">
        <x:f>Q125*M125</x:f>
        <x:v>3240</x:v>
      </x:c>
      <x:c r="S125" s="22" t="n">
        <x:f>P125-R125</x:f>
        <x:v>480</x:v>
      </x:c>
      <x:c r="T125" t="str">
        <x:v>UPI</x:v>
      </x:c>
      <x:c r="U125" t="str">
        <x:v>Overdue</x:v>
      </x:c>
      <x:c r="V125" t="str">
        <x:v>Delivered</x:v>
      </x:c>
      <x:c r="W125" t="n">
        <x:v>0</x:v>
      </x:c>
      <x:c r="X125" t="str"/>
      <x:c r="Y125" t="str">
        <x:v>Field Visit</x:v>
      </x:c>
    </x:row>
    <x:row r="126">
      <x:c r="A126" t="str">
        <x:v>O000125</x:v>
      </x:c>
      <x:c r="B126" s="20" t="n">
        <x:v>45746</x:v>
      </x:c>
      <x:c r="C126" t="str">
        <x:v>C0080</x:v>
      </x:c>
      <x:c r="D126" t="str">
        <x:v>Annapurna Canteen 80</x:v>
      </x:c>
      <x:c r="E126" t="str">
        <x:v>Restaurant</x:v>
      </x:c>
      <x:c r="F126" t="str">
        <x:v>Mangaluru</x:v>
      </x:c>
      <x:c r="G126" t="str">
        <x:v>Priya</x:v>
      </x:c>
      <x:c r="H126" t="str">
        <x:v>P021</x:v>
      </x:c>
      <x:c r="I126" t="str">
        <x:v>Instant Coffee 200g</x:v>
      </x:c>
      <x:c r="J126" t="str">
        <x:v>Beverage</x:v>
      </x:c>
      <x:c r="K126" t="str">
        <x:v>Nescafe</x:v>
      </x:c>
      <x:c r="L126" s="22" t="n">
        <x:v>460</x:v>
      </x:c>
      <x:c r="M126" t="n">
        <x:v>36</x:v>
      </x:c>
      <x:c r="N126" s="24" t="n">
        <x:v>0.03</x:v>
      </x:c>
      <x:c r="O126" s="22" t="n">
        <x:f>L126*M126</x:f>
        <x:v>16560</x:v>
      </x:c>
      <x:c r="P126" s="22" t="n">
        <x:f>O126*(1-N126)</x:f>
        <x:v>16063.199999999999</x:v>
      </x:c>
      <x:c r="Q126" s="22" t="n">
        <x:v>410</x:v>
      </x:c>
      <x:c r="R126" s="22" t="n">
        <x:f>Q126*M126</x:f>
        <x:v>14760</x:v>
      </x:c>
      <x:c r="S126" s="22" t="n">
        <x:f>P126-R126</x:f>
        <x:v>1303.199999999999</x:v>
      </x:c>
      <x:c r="T126" t="str">
        <x:v>Cash</x:v>
      </x:c>
      <x:c r="U126" t="str">
        <x:v>Paid</x:v>
      </x:c>
      <x:c r="V126" t="str">
        <x:v>Delayed</x:v>
      </x:c>
      <x:c r="W126" t="n">
        <x:v>0</x:v>
      </x:c>
      <x:c r="X126" t="str"/>
      <x:c r="Y126" t="str">
        <x:v>Field Visit</x:v>
      </x:c>
    </x:row>
    <x:row r="127">
      <x:c r="A127" t="str">
        <x:v>O000126</x:v>
      </x:c>
      <x:c r="B127" s="20" t="n">
        <x:v>46035</x:v>
      </x:c>
      <x:c r="C127" t="str">
        <x:v>C0063</x:v>
      </x:c>
      <x:c r="D127" t="str">
        <x:v>Namma Mart 63</x:v>
      </x:c>
      <x:c r="E127" t="str">
        <x:v>Supermarket</x:v>
      </x:c>
      <x:c r="F127" t="str">
        <x:v>Tumakuru</x:v>
      </x:c>
      <x:c r="G127" t="str">
        <x:v>Priya</x:v>
      </x:c>
      <x:c r="H127" t="str">
        <x:v>P030</x:v>
      </x:c>
      <x:c r="I127" t="str">
        <x:v>Mayonnaise 1kg</x:v>
      </x:c>
      <x:c r="J127" t="str">
        <x:v>Condiments</x:v>
      </x:c>
      <x:c r="K127" t="str">
        <x:v>Veeba</x:v>
      </x:c>
      <x:c r="L127" s="22" t="n">
        <x:v>210</x:v>
      </x:c>
      <x:c r="M127" t="n">
        <x:v>38</x:v>
      </x:c>
      <x:c r="N127" s="24" t="n">
        <x:v>0.1</x:v>
      </x:c>
      <x:c r="O127" s="22" t="n">
        <x:f>L127*M127</x:f>
        <x:v>7980</x:v>
      </x:c>
      <x:c r="P127" s="22" t="n">
        <x:f>O127*(1-N127)</x:f>
        <x:v>7182</x:v>
      </x:c>
      <x:c r="Q127" s="22" t="n">
        <x:v>185</x:v>
      </x:c>
      <x:c r="R127" s="22" t="n">
        <x:f>Q127*M127</x:f>
        <x:v>7030</x:v>
      </x:c>
      <x:c r="S127" s="22" t="n">
        <x:f>P127-R127</x:f>
        <x:v>152</x:v>
      </x:c>
      <x:c r="T127" t="str">
        <x:v>Bank Transfer</x:v>
      </x:c>
      <x:c r="U127" t="str">
        <x:v>Pending</x:v>
      </x:c>
      <x:c r="V127" t="str">
        <x:v>Delayed</x:v>
      </x:c>
      <x:c r="W127" t="n">
        <x:v>0</x:v>
      </x:c>
      <x:c r="X127" t="str"/>
      <x:c r="Y127" t="str">
        <x:v>Referral</x:v>
      </x:c>
    </x:row>
    <x:row r="128">
      <x:c r="A128" t="str">
        <x:v>O000127</x:v>
      </x:c>
      <x:c r="B128" s="20" t="n">
        <x:v>45682</x:v>
      </x:c>
      <x:c r="C128" t="str">
        <x:v>C0239</x:v>
      </x:c>
      <x:c r="D128" t="str">
        <x:v>Royal Hotel 239</x:v>
      </x:c>
      <x:c r="E128" t="str">
        <x:v>Restaurant</x:v>
      </x:c>
      <x:c r="F128" t="str">
        <x:v>Hubballi</x:v>
      </x:c>
      <x:c r="G128" t="str">
        <x:v>Priya</x:v>
      </x:c>
      <x:c r="H128" t="str">
        <x:v>P027</x:v>
      </x:c>
      <x:c r="I128" t="str">
        <x:v>Biscuits 120g</x:v>
      </x:c>
      <x:c r="J128" t="str">
        <x:v>Snacks</x:v>
      </x:c>
      <x:c r="K128" t="str">
        <x:v>Parle-G</x:v>
      </x:c>
      <x:c r="L128" s="22" t="n">
        <x:v>12</x:v>
      </x:c>
      <x:c r="M128" t="n">
        <x:v>15</x:v>
      </x:c>
      <x:c r="N128" s="24" t="n">
        <x:v>0.03</x:v>
      </x:c>
      <x:c r="O128" s="22" t="n">
        <x:f>L128*M128</x:f>
        <x:v>180</x:v>
      </x:c>
      <x:c r="P128" s="22" t="n">
        <x:f>O128*(1-N128)</x:f>
        <x:v>174.6</x:v>
      </x:c>
      <x:c r="Q128" s="22" t="n">
        <x:v>9</x:v>
      </x:c>
      <x:c r="R128" s="22" t="n">
        <x:f>Q128*M128</x:f>
        <x:v>135</x:v>
      </x:c>
      <x:c r="S128" s="22" t="n">
        <x:f>P128-R128</x:f>
        <x:v>39.599999999999994</x:v>
      </x:c>
      <x:c r="T128" t="str">
        <x:v>UPI</x:v>
      </x:c>
      <x:c r="U128" t="str">
        <x:v>Overdue</x:v>
      </x:c>
      <x:c r="V128" t="str">
        <x:v>Delivered</x:v>
      </x:c>
      <x:c r="W128" t="n">
        <x:v>0</x:v>
      </x:c>
      <x:c r="X128" t="str"/>
      <x:c r="Y128" t="str">
        <x:v>WhatsApp</x:v>
      </x:c>
    </x:row>
    <x:row r="129">
      <x:c r="A129" t="str">
        <x:v>O000128</x:v>
      </x:c>
      <x:c r="B129" s="20" t="n">
        <x:v>45764</x:v>
      </x:c>
      <x:c r="C129" t="str">
        <x:v>C0187</x:v>
      </x:c>
      <x:c r="D129" t="str">
        <x:v>City Cafe 187</x:v>
      </x:c>
      <x:c r="E129" t="str">
        <x:v>Hotel</x:v>
      </x:c>
      <x:c r="F129" t="str">
        <x:v>Mysuru</x:v>
      </x:c>
      <x:c r="G129" t="str">
        <x:v>Priya</x:v>
      </x:c>
      <x:c r="H129" t="str">
        <x:v>P020</x:v>
      </x:c>
      <x:c r="I129" t="str">
        <x:v>Coffee 500g</x:v>
      </x:c>
      <x:c r="J129" t="str">
        <x:v>Beverage</x:v>
      </x:c>
      <x:c r="K129" t="str">
        <x:v>Bru</x:v>
      </x:c>
      <x:c r="L129" s="22" t="n">
        <x:v>390</x:v>
      </x:c>
      <x:c r="M129" t="n">
        <x:v>14</x:v>
      </x:c>
      <x:c r="N129" s="24" t="n">
        <x:v>0.03</x:v>
      </x:c>
      <x:c r="O129" s="22" t="n">
        <x:f>L129*M129</x:f>
        <x:v>5460</x:v>
      </x:c>
      <x:c r="P129" s="22" t="n">
        <x:f>O129*(1-N129)</x:f>
        <x:v>5296.2</x:v>
      </x:c>
      <x:c r="Q129" s="22" t="n">
        <x:v>350</x:v>
      </x:c>
      <x:c r="R129" s="22" t="n">
        <x:f>Q129*M129</x:f>
        <x:v>4900</x:v>
      </x:c>
      <x:c r="S129" s="22" t="n">
        <x:f>P129-R129</x:f>
        <x:v>396.1999999999998</x:v>
      </x:c>
      <x:c r="T129" t="str">
        <x:v>Bank Transfer</x:v>
      </x:c>
      <x:c r="U129" t="str">
        <x:v>Paid</x:v>
      </x:c>
      <x:c r="V129" t="str">
        <x:v>Delivered</x:v>
      </x:c>
      <x:c r="W129" t="n">
        <x:v>0</x:v>
      </x:c>
      <x:c r="X129" t="str"/>
      <x:c r="Y129" t="str">
        <x:v>Referral</x:v>
      </x:c>
    </x:row>
    <x:row r="130">
      <x:c r="A130" t="str">
        <x:v>O000129</x:v>
      </x:c>
      <x:c r="B130" s="20" t="n">
        <x:v>45895</x:v>
      </x:c>
      <x:c r="C130" t="str">
        <x:v>C0024</x:v>
      </x:c>
      <x:c r="D130" t="str">
        <x:v>Darshini Restaurant 24</x:v>
      </x:c>
      <x:c r="E130" t="str">
        <x:v>Restaurant</x:v>
      </x:c>
      <x:c r="F130" t="str">
        <x:v>Davanagere</x:v>
      </x:c>
      <x:c r="G130" t="str">
        <x:v>Sneha</x:v>
      </x:c>
      <x:c r="H130" t="str">
        <x:v>P003</x:v>
      </x:c>
      <x:c r="I130" t="str">
        <x:v>Basmati Rice 5kg</x:v>
      </x:c>
      <x:c r="J130" t="str">
        <x:v>Staples</x:v>
      </x:c>
      <x:c r="K130" t="str">
        <x:v>India Gate</x:v>
      </x:c>
      <x:c r="L130" s="22" t="n">
        <x:v>690</x:v>
      </x:c>
      <x:c r="M130" t="n">
        <x:v>34</x:v>
      </x:c>
      <x:c r="N130" s="24" t="n">
        <x:v>0.03</x:v>
      </x:c>
      <x:c r="O130" s="22" t="n">
        <x:f>L130*M130</x:f>
        <x:v>23460</x:v>
      </x:c>
      <x:c r="P130" s="22" t="n">
        <x:f>O130*(1-N130)</x:f>
        <x:v>22756.2</x:v>
      </x:c>
      <x:c r="Q130" s="22" t="n">
        <x:v>610</x:v>
      </x:c>
      <x:c r="R130" s="22" t="n">
        <x:f>Q130*M130</x:f>
        <x:v>20740</x:v>
      </x:c>
      <x:c r="S130" s="22" t="n">
        <x:f>P130-R130</x:f>
        <x:v>2016.2000000000007</x:v>
      </x:c>
      <x:c r="T130" t="str">
        <x:v>Cash</x:v>
      </x:c>
      <x:c r="U130" t="str">
        <x:v>Paid</x:v>
      </x:c>
      <x:c r="V130" t="str">
        <x:v>Cancelled</x:v>
      </x:c>
      <x:c r="W130" t="n">
        <x:v>34</x:v>
      </x:c>
      <x:c r="X130" t="str">
        <x:v>Cancelled Order</x:v>
      </x:c>
      <x:c r="Y130" t="str">
        <x:v>Outbound Call</x:v>
      </x:c>
    </x:row>
    <x:row r="131">
      <x:c r="A131" t="str">
        <x:v>O000130</x:v>
      </x:c>
      <x:c r="B131" s="20" t="n">
        <x:v>46061</x:v>
      </x:c>
      <x:c r="C131" t="str">
        <x:v>C0130</x:v>
      </x:c>
      <x:c r="D131" t="str">
        <x:v>Foodie Cafe 130</x:v>
      </x:c>
      <x:c r="E131" t="str">
        <x:v>Restaurant</x:v>
      </x:c>
      <x:c r="F131" t="str">
        <x:v>Davanagere</x:v>
      </x:c>
      <x:c r="G131" t="str">
        <x:v>Megha</x:v>
      </x:c>
      <x:c r="H131" t="str">
        <x:v>P009</x:v>
      </x:c>
      <x:c r="I131" t="str">
        <x:v>Groundnut Oil 5L</x:v>
      </x:c>
      <x:c r="J131" t="str">
        <x:v>Edible Oil</x:v>
      </x:c>
      <x:c r="K131" t="str">
        <x:v>Dhara</x:v>
      </x:c>
      <x:c r="L131" s="22" t="n">
        <x:v>890</x:v>
      </x:c>
      <x:c r="M131" t="n">
        <x:v>5</x:v>
      </x:c>
      <x:c r="N131" s="24" t="n">
        <x:v>0.03</x:v>
      </x:c>
      <x:c r="O131" s="22" t="n">
        <x:f>L131*M131</x:f>
        <x:v>4450</x:v>
      </x:c>
      <x:c r="P131" s="22" t="n">
        <x:f>O131*(1-N131)</x:f>
        <x:v>4316.5</x:v>
      </x:c>
      <x:c r="Q131" s="22" t="n">
        <x:v>810</x:v>
      </x:c>
      <x:c r="R131" s="22" t="n">
        <x:f>Q131*M131</x:f>
        <x:v>4050</x:v>
      </x:c>
      <x:c r="S131" s="22" t="n">
        <x:f>P131-R131</x:f>
        <x:v>266.5</x:v>
      </x:c>
      <x:c r="T131" t="str">
        <x:v>UPI</x:v>
      </x:c>
      <x:c r="U131" t="str">
        <x:v>Paid</x:v>
      </x:c>
      <x:c r="V131" t="str">
        <x:v>Delivered</x:v>
      </x:c>
      <x:c r="W131" t="n">
        <x:v>0</x:v>
      </x:c>
      <x:c r="X131" t="str"/>
      <x:c r="Y131" t="str">
        <x:v>Field Visit</x:v>
      </x:c>
    </x:row>
    <x:row r="132">
      <x:c r="A132" t="str">
        <x:v>O000131</x:v>
      </x:c>
      <x:c r="B132" s="20" t="n">
        <x:v>45992</x:v>
      </x:c>
      <x:c r="C132" t="str">
        <x:v>C0238</x:v>
      </x:c>
      <x:c r="D132" t="str">
        <x:v>Foodie Foods 238</x:v>
      </x:c>
      <x:c r="E132" t="str">
        <x:v>Restaurant</x:v>
      </x:c>
      <x:c r="F132" t="str">
        <x:v>Davanagere</x:v>
      </x:c>
      <x:c r="G132" t="str">
        <x:v>Megha</x:v>
      </x:c>
      <x:c r="H132" t="str">
        <x:v>P026</x:v>
      </x:c>
      <x:c r="I132" t="str">
        <x:v>Banana Chips 80g</x:v>
      </x:c>
      <x:c r="J132" t="str">
        <x:v>Snacks</x:v>
      </x:c>
      <x:c r="K132" t="str">
        <x:v>SSS</x:v>
      </x:c>
      <x:c r="L132" s="22" t="n">
        <x:v>54</x:v>
      </x:c>
      <x:c r="M132" t="n">
        <x:v>21</x:v>
      </x:c>
      <x:c r="N132" s="24" t="n">
        <x:v>0.03</x:v>
      </x:c>
      <x:c r="O132" s="22" t="n">
        <x:f>L132*M132</x:f>
        <x:v>1134</x:v>
      </x:c>
      <x:c r="P132" s="22" t="n">
        <x:f>O132*(1-N132)</x:f>
        <x:v>1099.98</x:v>
      </x:c>
      <x:c r="Q132" s="22" t="n">
        <x:v>39</x:v>
      </x:c>
      <x:c r="R132" s="22" t="n">
        <x:f>Q132*M132</x:f>
        <x:v>819</x:v>
      </x:c>
      <x:c r="S132" s="22" t="n">
        <x:f>P132-R132</x:f>
        <x:v>280.98</x:v>
      </x:c>
      <x:c r="T132" t="str">
        <x:v>Bank Transfer</x:v>
      </x:c>
      <x:c r="U132" t="str">
        <x:v>Paid</x:v>
      </x:c>
      <x:c r="V132" t="str">
        <x:v>Delivered</x:v>
      </x:c>
      <x:c r="W132" t="n">
        <x:v>0</x:v>
      </x:c>
      <x:c r="X132" t="str"/>
      <x:c r="Y132" t="str">
        <x:v>Existing Customer</x:v>
      </x:c>
    </x:row>
    <x:row r="133">
      <x:c r="A133" t="str">
        <x:v>O000132</x:v>
      </x:c>
      <x:c r="B133" s="20" t="n">
        <x:v>46118</x:v>
      </x:c>
      <x:c r="C133" t="str">
        <x:v>C0028</x:v>
      </x:c>
      <x:c r="D133" t="str">
        <x:v>Spice Cafe 28</x:v>
      </x:c>
      <x:c r="E133" t="str">
        <x:v>Supermarket</x:v>
      </x:c>
      <x:c r="F133" t="str">
        <x:v>Mysuru</x:v>
      </x:c>
      <x:c r="G133" t="str">
        <x:v>Vikram</x:v>
      </x:c>
      <x:c r="H133" t="str">
        <x:v>P011</x:v>
      </x:c>
      <x:c r="I133" t="str">
        <x:v>Salt 1kg</x:v>
      </x:c>
      <x:c r="J133" t="str">
        <x:v>Staples</x:v>
      </x:c>
      <x:c r="K133" t="str">
        <x:v>Tata</x:v>
      </x:c>
      <x:c r="L133" s="22" t="n">
        <x:v>28</x:v>
      </x:c>
      <x:c r="M133" t="n">
        <x:v>30</x:v>
      </x:c>
      <x:c r="N133" s="24" t="n">
        <x:v>0.02</x:v>
      </x:c>
      <x:c r="O133" s="22" t="n">
        <x:f>L133*M133</x:f>
        <x:v>840</x:v>
      </x:c>
      <x:c r="P133" s="22" t="n">
        <x:f>O133*(1-N133)</x:f>
        <x:v>823.1999999999999</x:v>
      </x:c>
      <x:c r="Q133" s="22" t="n">
        <x:v>23</x:v>
      </x:c>
      <x:c r="R133" s="22" t="n">
        <x:f>Q133*M133</x:f>
        <x:v>690</x:v>
      </x:c>
      <x:c r="S133" s="22" t="n">
        <x:f>P133-R133</x:f>
        <x:v>133.19999999999993</x:v>
      </x:c>
      <x:c r="T133" t="str">
        <x:v>UPI</x:v>
      </x:c>
      <x:c r="U133" t="str">
        <x:v>Paid</x:v>
      </x:c>
      <x:c r="V133" t="str">
        <x:v>Delivered</x:v>
      </x:c>
      <x:c r="W133" t="n">
        <x:v>0</x:v>
      </x:c>
      <x:c r="X133" t="str"/>
      <x:c r="Y133" t="str">
        <x:v>WhatsApp</x:v>
      </x:c>
    </x:row>
    <x:row r="134">
      <x:c r="A134" t="str">
        <x:v>O000133</x:v>
      </x:c>
      <x:c r="B134" s="20" t="n">
        <x:v>45819</x:v>
      </x:c>
      <x:c r="C134" t="str">
        <x:v>C0031</x:v>
      </x:c>
      <x:c r="D134" t="str">
        <x:v>Royal Restaurant 31</x:v>
      </x:c>
      <x:c r="E134" t="str">
        <x:v>Restaurant</x:v>
      </x:c>
      <x:c r="F134" t="str">
        <x:v>Mangaluru</x:v>
      </x:c>
      <x:c r="G134" t="str">
        <x:v>Arjun</x:v>
      </x:c>
      <x:c r="H134" t="str">
        <x:v>P006</x:v>
      </x:c>
      <x:c r="I134" t="str">
        <x:v>Moong Dal 5kg</x:v>
      </x:c>
      <x:c r="J134" t="str">
        <x:v>Pulses</x:v>
      </x:c>
      <x:c r="K134" t="str">
        <x:v>Local Select</x:v>
      </x:c>
      <x:c r="L134" s="22" t="n">
        <x:v>610</x:v>
      </x:c>
      <x:c r="M134" t="n">
        <x:v>20</x:v>
      </x:c>
      <x:c r="N134" s="24" t="n">
        <x:v>0.05</x:v>
      </x:c>
      <x:c r="O134" s="22" t="n">
        <x:f>L134*M134</x:f>
        <x:v>12200</x:v>
      </x:c>
      <x:c r="P134" s="22" t="n">
        <x:f>O134*(1-N134)</x:f>
        <x:v>11590</x:v>
      </x:c>
      <x:c r="Q134" s="22" t="n">
        <x:v>540</x:v>
      </x:c>
      <x:c r="R134" s="22" t="n">
        <x:f>Q134*M134</x:f>
        <x:v>10800</x:v>
      </x:c>
      <x:c r="S134" s="22" t="n">
        <x:f>P134-R134</x:f>
        <x:v>790</x:v>
      </x:c>
      <x:c r="T134" t="str">
        <x:v>UPI</x:v>
      </x:c>
      <x:c r="U134" t="str">
        <x:v>Paid</x:v>
      </x:c>
      <x:c r="V134" t="str">
        <x:v>Delivered</x:v>
      </x:c>
      <x:c r="W134" t="n">
        <x:v>0</x:v>
      </x:c>
      <x:c r="X134" t="str"/>
      <x:c r="Y134" t="str">
        <x:v>Referral</x:v>
      </x:c>
    </x:row>
    <x:row r="135">
      <x:c r="A135" t="str">
        <x:v>O000134</x:v>
      </x:c>
      <x:c r="B135" s="20" t="n">
        <x:v>45708</x:v>
      </x:c>
      <x:c r="C135" t="str">
        <x:v>C0102</x:v>
      </x:c>
      <x:c r="D135" t="str">
        <x:v>Annapurna Foods 102</x:v>
      </x:c>
      <x:c r="E135" t="str">
        <x:v>Cafe</x:v>
      </x:c>
      <x:c r="F135" t="str">
        <x:v>Davanagere</x:v>
      </x:c>
      <x:c r="G135" t="str">
        <x:v>Ramesh</x:v>
      </x:c>
      <x:c r="H135" t="str">
        <x:v>P033</x:v>
      </x:c>
      <x:c r="I135" t="str">
        <x:v>Turmeric Powder 1kg</x:v>
      </x:c>
      <x:c r="J135" t="str">
        <x:v>Spices</x:v>
      </x:c>
      <x:c r="K135" t="str">
        <x:v>Everest</x:v>
      </x:c>
      <x:c r="L135" s="22" t="n">
        <x:v>310</x:v>
      </x:c>
      <x:c r="M135" t="n">
        <x:v>20</x:v>
      </x:c>
      <x:c r="N135" s="24" t="n">
        <x:v>0.02</x:v>
      </x:c>
      <x:c r="O135" s="22" t="n">
        <x:f>L135*M135</x:f>
        <x:v>6200</x:v>
      </x:c>
      <x:c r="P135" s="22" t="n">
        <x:f>O135*(1-N135)</x:f>
        <x:v>6076</x:v>
      </x:c>
      <x:c r="Q135" s="22" t="n">
        <x:v>270</x:v>
      </x:c>
      <x:c r="R135" s="22" t="n">
        <x:f>Q135*M135</x:f>
        <x:v>5400</x:v>
      </x:c>
      <x:c r="S135" s="22" t="n">
        <x:f>P135-R135</x:f>
        <x:v>676</x:v>
      </x:c>
      <x:c r="T135" t="str">
        <x:v>Bank Transfer</x:v>
      </x:c>
      <x:c r="U135" t="str">
        <x:v>Paid</x:v>
      </x:c>
      <x:c r="V135" t="str">
        <x:v>Delivered</x:v>
      </x:c>
      <x:c r="W135" t="n">
        <x:v>0</x:v>
      </x:c>
      <x:c r="X135" t="str"/>
      <x:c r="Y135" t="str">
        <x:v>Existing Customer</x:v>
      </x:c>
    </x:row>
    <x:row r="136">
      <x:c r="A136" t="str">
        <x:v>O000135</x:v>
      </x:c>
      <x:c r="B136" s="20" t="n">
        <x:v>46131</x:v>
      </x:c>
      <x:c r="C136" t="str">
        <x:v>C0064</x:v>
      </x:c>
      <x:c r="D136" t="str">
        <x:v>Hotel Restaurant 64</x:v>
      </x:c>
      <x:c r="E136" t="str">
        <x:v>Cafe</x:v>
      </x:c>
      <x:c r="F136" t="str">
        <x:v>Mangaluru</x:v>
      </x:c>
      <x:c r="G136" t="str">
        <x:v>Imran</x:v>
      </x:c>
      <x:c r="H136" t="str">
        <x:v>P007</x:v>
      </x:c>
      <x:c r="I136" t="str">
        <x:v>Sunflower Oil 15L</x:v>
      </x:c>
      <x:c r="J136" t="str">
        <x:v>Edible Oil</x:v>
      </x:c>
      <x:c r="K136" t="str">
        <x:v>Fortune</x:v>
      </x:c>
      <x:c r="L136" s="22" t="n">
        <x:v>1980</x:v>
      </x:c>
      <x:c r="M136" t="n">
        <x:v>3</x:v>
      </x:c>
      <x:c r="N136" s="24" t="n">
        <x:v>0</x:v>
      </x:c>
      <x:c r="O136" s="22" t="n">
        <x:f>L136*M136</x:f>
        <x:v>5940</x:v>
      </x:c>
      <x:c r="P136" s="22" t="n">
        <x:f>O136*(1-N136)</x:f>
        <x:v>5940</x:v>
      </x:c>
      <x:c r="Q136" s="22" t="n">
        <x:v>1810</x:v>
      </x:c>
      <x:c r="R136" s="22" t="n">
        <x:f>Q136*M136</x:f>
        <x:v>5430</x:v>
      </x:c>
      <x:c r="S136" s="22" t="n">
        <x:f>P136-R136</x:f>
        <x:v>510</x:v>
      </x:c>
      <x:c r="T136" t="str">
        <x:v>UPI</x:v>
      </x:c>
      <x:c r="U136" t="str">
        <x:v>Pending</x:v>
      </x:c>
      <x:c r="V136" t="str">
        <x:v>Delivered</x:v>
      </x:c>
      <x:c r="W136" t="n">
        <x:v>0</x:v>
      </x:c>
      <x:c r="X136" t="str"/>
      <x:c r="Y136" t="str">
        <x:v>WhatsApp</x:v>
      </x:c>
    </x:row>
    <x:row r="137">
      <x:c r="A137" t="str">
        <x:v>O000136</x:v>
      </x:c>
      <x:c r="B137" s="20" t="n">
        <x:v>45744</x:v>
      </x:c>
      <x:c r="C137" t="str">
        <x:v>C0162</x:v>
      </x:c>
      <x:c r="D137" t="str">
        <x:v>Udupi Foods 162</x:v>
      </x:c>
      <x:c r="E137" t="str">
        <x:v>Restaurant</x:v>
      </x:c>
      <x:c r="F137" t="str">
        <x:v>Mysuru</x:v>
      </x:c>
      <x:c r="G137" t="str">
        <x:v>Ramesh</x:v>
      </x:c>
      <x:c r="H137" t="str">
        <x:v>P042</x:v>
      </x:c>
      <x:c r="I137" t="str">
        <x:v>Eggs 30pc Tray</x:v>
      </x:c>
      <x:c r="J137" t="str">
        <x:v>Protein</x:v>
      </x:c>
      <x:c r="K137" t="str">
        <x:v>Farm Fresh</x:v>
      </x:c>
      <x:c r="L137" s="22" t="n">
        <x:v>195</x:v>
      </x:c>
      <x:c r="M137" t="n">
        <x:v>38</x:v>
      </x:c>
      <x:c r="N137" s="24" t="n">
        <x:v>0.03</x:v>
      </x:c>
      <x:c r="O137" s="22" t="n">
        <x:f>L137*M137</x:f>
        <x:v>7410</x:v>
      </x:c>
      <x:c r="P137" s="22" t="n">
        <x:f>O137*(1-N137)</x:f>
        <x:v>7187.7</x:v>
      </x:c>
      <x:c r="Q137" s="22" t="n">
        <x:v>170</x:v>
      </x:c>
      <x:c r="R137" s="22" t="n">
        <x:f>Q137*M137</x:f>
        <x:v>6460</x:v>
      </x:c>
      <x:c r="S137" s="22" t="n">
        <x:f>P137-R137</x:f>
        <x:v>727.6999999999998</x:v>
      </x:c>
      <x:c r="T137" t="str">
        <x:v>UPI</x:v>
      </x:c>
      <x:c r="U137" t="str">
        <x:v>Paid</x:v>
      </x:c>
      <x:c r="V137" t="str">
        <x:v>Delivered</x:v>
      </x:c>
      <x:c r="W137" t="n">
        <x:v>0</x:v>
      </x:c>
      <x:c r="X137" t="str"/>
      <x:c r="Y137" t="str">
        <x:v>WhatsApp</x:v>
      </x:c>
    </x:row>
    <x:row r="138">
      <x:c r="A138" t="str">
        <x:v>O000137</x:v>
      </x:c>
      <x:c r="B138" s="20" t="n">
        <x:v>45783</x:v>
      </x:c>
      <x:c r="C138" t="str">
        <x:v>C0024</x:v>
      </x:c>
      <x:c r="D138" t="str">
        <x:v>Darshini Restaurant 24</x:v>
      </x:c>
      <x:c r="E138" t="str">
        <x:v>Restaurant</x:v>
      </x:c>
      <x:c r="F138" t="str">
        <x:v>Davanagere</x:v>
      </x:c>
      <x:c r="G138" t="str">
        <x:v>Sneha</x:v>
      </x:c>
      <x:c r="H138" t="str">
        <x:v>P022</x:v>
      </x:c>
      <x:c r="I138" t="str">
        <x:v>Mineral Water 1L</x:v>
      </x:c>
      <x:c r="J138" t="str">
        <x:v>Beverage</x:v>
      </x:c>
      <x:c r="K138" t="str">
        <x:v>Bisleri</x:v>
      </x:c>
      <x:c r="L138" s="22" t="n">
        <x:v>19</x:v>
      </x:c>
      <x:c r="M138" t="n">
        <x:v>3</x:v>
      </x:c>
      <x:c r="N138" s="24" t="n">
        <x:v>0.08</x:v>
      </x:c>
      <x:c r="O138" s="22" t="n">
        <x:f>L138*M138</x:f>
        <x:v>57</x:v>
      </x:c>
      <x:c r="P138" s="22" t="n">
        <x:f>O138*(1-N138)</x:f>
        <x:v>52.440000000000005</x:v>
      </x:c>
      <x:c r="Q138" s="22" t="n">
        <x:v>15</x:v>
      </x:c>
      <x:c r="R138" s="22" t="n">
        <x:f>Q138*M138</x:f>
        <x:v>45</x:v>
      </x:c>
      <x:c r="S138" s="22" t="n">
        <x:f>P138-R138</x:f>
        <x:v>7.440000000000005</x:v>
      </x:c>
      <x:c r="T138" t="str">
        <x:v>UPI</x:v>
      </x:c>
      <x:c r="U138" t="str">
        <x:v>Paid</x:v>
      </x:c>
      <x:c r="V138" t="str">
        <x:v>Delayed</x:v>
      </x:c>
      <x:c r="W138" t="n">
        <x:v>0</x:v>
      </x:c>
      <x:c r="X138" t="str"/>
      <x:c r="Y138" t="str">
        <x:v>WhatsApp</x:v>
      </x:c>
    </x:row>
    <x:row r="139">
      <x:c r="A139" t="str">
        <x:v>O000138</x:v>
      </x:c>
      <x:c r="B139" s="20" t="n">
        <x:v>45688</x:v>
      </x:c>
      <x:c r="C139" t="str">
        <x:v>C0102</x:v>
      </x:c>
      <x:c r="D139" t="str">
        <x:v>Annapurna Foods 102</x:v>
      </x:c>
      <x:c r="E139" t="str">
        <x:v>Cafe</x:v>
      </x:c>
      <x:c r="F139" t="str">
        <x:v>Davanagere</x:v>
      </x:c>
      <x:c r="G139" t="str">
        <x:v>Ramesh</x:v>
      </x:c>
      <x:c r="H139" t="str">
        <x:v>P032</x:v>
      </x:c>
      <x:c r="I139" t="str">
        <x:v>Soy Sauce 700g</x:v>
      </x:c>
      <x:c r="J139" t="str">
        <x:v>Condiments</x:v>
      </x:c>
      <x:c r="K139" t="str">
        <x:v>Ching's</x:v>
      </x:c>
      <x:c r="L139" s="22" t="n">
        <x:v>118</x:v>
      </x:c>
      <x:c r="M139" t="n">
        <x:v>25</x:v>
      </x:c>
      <x:c r="N139" s="24" t="n">
        <x:v>0.05</x:v>
      </x:c>
      <x:c r="O139" s="22" t="n">
        <x:f>L139*M139</x:f>
        <x:v>2950</x:v>
      </x:c>
      <x:c r="P139" s="22" t="n">
        <x:f>O139*(1-N139)</x:f>
        <x:v>2802.5</x:v>
      </x:c>
      <x:c r="Q139" s="22" t="n">
        <x:v>101</x:v>
      </x:c>
      <x:c r="R139" s="22" t="n">
        <x:f>Q139*M139</x:f>
        <x:v>2525</x:v>
      </x:c>
      <x:c r="S139" s="22" t="n">
        <x:f>P139-R139</x:f>
        <x:v>277.5</x:v>
      </x:c>
      <x:c r="T139" t="str">
        <x:v>Bank Transfer</x:v>
      </x:c>
      <x:c r="U139" t="str">
        <x:v>Paid</x:v>
      </x:c>
      <x:c r="V139" t="str">
        <x:v>Delivered</x:v>
      </x:c>
      <x:c r="W139" t="n">
        <x:v>0</x:v>
      </x:c>
      <x:c r="X139" t="str"/>
      <x:c r="Y139" t="str">
        <x:v>WhatsApp</x:v>
      </x:c>
    </x:row>
    <x:row r="140">
      <x:c r="A140" t="str">
        <x:v>O000139</x:v>
      </x:c>
      <x:c r="B140" s="20" t="n">
        <x:v>45909</x:v>
      </x:c>
      <x:c r="C140" t="str">
        <x:v>C0009</x:v>
      </x:c>
      <x:c r="D140" t="str">
        <x:v>Darshini Hotel 9</x:v>
      </x:c>
      <x:c r="E140" t="str">
        <x:v>Cafe</x:v>
      </x:c>
      <x:c r="F140" t="str">
        <x:v>Hubballi</x:v>
      </x:c>
      <x:c r="G140" t="str">
        <x:v>Imran</x:v>
      </x:c>
      <x:c r="H140" t="str">
        <x:v>P040</x:v>
      </x:c>
      <x:c r="I140" t="str">
        <x:v>Bread Loaf 400g</x:v>
      </x:c>
      <x:c r="J140" t="str">
        <x:v>Bakery</x:v>
      </x:c>
      <x:c r="K140" t="str">
        <x:v>Britannia</x:v>
      </x:c>
      <x:c r="L140" s="22" t="n">
        <x:v>45</x:v>
      </x:c>
      <x:c r="M140" t="n">
        <x:v>19</x:v>
      </x:c>
      <x:c r="N140" s="24" t="n">
        <x:v>0.03</x:v>
      </x:c>
      <x:c r="O140" s="22" t="n">
        <x:f>L140*M140</x:f>
        <x:v>855</x:v>
      </x:c>
      <x:c r="P140" s="22" t="n">
        <x:f>O140*(1-N140)</x:f>
        <x:v>829.35</x:v>
      </x:c>
      <x:c r="Q140" s="22" t="n">
        <x:v>35</x:v>
      </x:c>
      <x:c r="R140" s="22" t="n">
        <x:f>Q140*M140</x:f>
        <x:v>665</x:v>
      </x:c>
      <x:c r="S140" s="22" t="n">
        <x:f>P140-R140</x:f>
        <x:v>164.35000000000002</x:v>
      </x:c>
      <x:c r="T140" t="str">
        <x:v>Credit</x:v>
      </x:c>
      <x:c r="U140" t="str">
        <x:v>Paid</x:v>
      </x:c>
      <x:c r="V140" t="str">
        <x:v>Delivered</x:v>
      </x:c>
      <x:c r="W140" t="n">
        <x:v>0</x:v>
      </x:c>
      <x:c r="X140" t="str"/>
      <x:c r="Y140" t="str">
        <x:v>WhatsApp</x:v>
      </x:c>
    </x:row>
    <x:row r="141">
      <x:c r="A141" t="str">
        <x:v>O000140</x:v>
      </x:c>
      <x:c r="B141" s="20" t="n">
        <x:v>45913</x:v>
      </x:c>
      <x:c r="C141" t="str">
        <x:v>C0227</x:v>
      </x:c>
      <x:c r="D141" t="str">
        <x:v>Metro Restaurant 227</x:v>
      </x:c>
      <x:c r="E141" t="str">
        <x:v>Restaurant</x:v>
      </x:c>
      <x:c r="F141" t="str">
        <x:v>Davanagere</x:v>
      </x:c>
      <x:c r="G141" t="str">
        <x:v>Kavya</x:v>
      </x:c>
      <x:c r="H141" t="str">
        <x:v>P034</x:v>
      </x:c>
      <x:c r="I141" t="str">
        <x:v>Chilli Powder 1kg</x:v>
      </x:c>
      <x:c r="J141" t="str">
        <x:v>Spices</x:v>
      </x:c>
      <x:c r="K141" t="str">
        <x:v>MDH</x:v>
      </x:c>
      <x:c r="L141" s="22" t="n">
        <x:v>340</x:v>
      </x:c>
      <x:c r="M141" t="n">
        <x:v>35</x:v>
      </x:c>
      <x:c r="N141" s="24" t="n">
        <x:v>0.05</x:v>
      </x:c>
      <x:c r="O141" s="22" t="n">
        <x:f>L141*M141</x:f>
        <x:v>11900</x:v>
      </x:c>
      <x:c r="P141" s="22" t="n">
        <x:f>O141*(1-N141)</x:f>
        <x:v>11305</x:v>
      </x:c>
      <x:c r="Q141" s="22" t="n">
        <x:v>295</x:v>
      </x:c>
      <x:c r="R141" s="22" t="n">
        <x:f>Q141*M141</x:f>
        <x:v>10325</x:v>
      </x:c>
      <x:c r="S141" s="22" t="n">
        <x:f>P141-R141</x:f>
        <x:v>980</x:v>
      </x:c>
      <x:c r="T141" t="str">
        <x:v>Credit</x:v>
      </x:c>
      <x:c r="U141" t="str">
        <x:v>Pending</x:v>
      </x:c>
      <x:c r="V141" t="str">
        <x:v>Delivered</x:v>
      </x:c>
      <x:c r="W141" t="n">
        <x:v>0</x:v>
      </x:c>
      <x:c r="X141" t="str"/>
      <x:c r="Y141" t="str">
        <x:v>WhatsApp</x:v>
      </x:c>
    </x:row>
    <x:row r="142">
      <x:c r="A142" t="str">
        <x:v>O000141</x:v>
      </x:c>
      <x:c r="B142" s="20" t="n">
        <x:v>45987</x:v>
      </x:c>
      <x:c r="C142" t="str">
        <x:v>C0145</x:v>
      </x:c>
      <x:c r="D142" t="str">
        <x:v>Namma Cafe 145</x:v>
      </x:c>
      <x:c r="E142" t="str">
        <x:v>Kirana</x:v>
      </x:c>
      <x:c r="F142" t="str">
        <x:v>Tumakuru</x:v>
      </x:c>
      <x:c r="G142" t="str">
        <x:v>Sneha</x:v>
      </x:c>
      <x:c r="H142" t="str">
        <x:v>P033</x:v>
      </x:c>
      <x:c r="I142" t="str">
        <x:v>Turmeric Powder 1kg</x:v>
      </x:c>
      <x:c r="J142" t="str">
        <x:v>Spices</x:v>
      </x:c>
      <x:c r="K142" t="str">
        <x:v>Everest</x:v>
      </x:c>
      <x:c r="L142" s="22" t="n">
        <x:v>310</x:v>
      </x:c>
      <x:c r="M142" t="n">
        <x:v>25</x:v>
      </x:c>
      <x:c r="N142" s="24" t="n">
        <x:v>0.02</x:v>
      </x:c>
      <x:c r="O142" s="22" t="n">
        <x:f>L142*M142</x:f>
        <x:v>7750</x:v>
      </x:c>
      <x:c r="P142" s="22" t="n">
        <x:f>O142*(1-N142)</x:f>
        <x:v>7595</x:v>
      </x:c>
      <x:c r="Q142" s="22" t="n">
        <x:v>270</x:v>
      </x:c>
      <x:c r="R142" s="22" t="n">
        <x:f>Q142*M142</x:f>
        <x:v>6750</x:v>
      </x:c>
      <x:c r="S142" s="22" t="n">
        <x:f>P142-R142</x:f>
        <x:v>845</x:v>
      </x:c>
      <x:c r="T142" t="str">
        <x:v>UPI</x:v>
      </x:c>
      <x:c r="U142" t="str">
        <x:v>Paid</x:v>
      </x:c>
      <x:c r="V142" t="str">
        <x:v>Delivered</x:v>
      </x:c>
      <x:c r="W142" t="n">
        <x:v>3</x:v>
      </x:c>
      <x:c r="X142" t="str">
        <x:v>Damaged</x:v>
      </x:c>
      <x:c r="Y142" t="str">
        <x:v>WhatsApp</x:v>
      </x:c>
    </x:row>
    <x:row r="143">
      <x:c r="A143" t="str">
        <x:v>O000142</x:v>
      </x:c>
      <x:c r="B143" s="20" t="n">
        <x:v>45896</x:v>
      </x:c>
      <x:c r="C143" t="str">
        <x:v>C0197</x:v>
      </x:c>
      <x:c r="D143" t="str">
        <x:v>New Foods 197</x:v>
      </x:c>
      <x:c r="E143" t="str">
        <x:v>Cafe</x:v>
      </x:c>
      <x:c r="F143" t="str">
        <x:v>Hubballi</x:v>
      </x:c>
      <x:c r="G143" t="str">
        <x:v>Kavya</x:v>
      </x:c>
      <x:c r="H143" t="str">
        <x:v>P038</x:v>
      </x:c>
      <x:c r="I143" t="str">
        <x:v>French Fries 2.5kg</x:v>
      </x:c>
      <x:c r="J143" t="str">
        <x:v>Frozen</x:v>
      </x:c>
      <x:c r="K143" t="str">
        <x:v>McCain</x:v>
      </x:c>
      <x:c r="L143" s="22" t="n">
        <x:v>360</x:v>
      </x:c>
      <x:c r="M143" t="n">
        <x:v>11</x:v>
      </x:c>
      <x:c r="N143" s="24" t="n">
        <x:v>0</x:v>
      </x:c>
      <x:c r="O143" s="22" t="n">
        <x:f>L143*M143</x:f>
        <x:v>3960</x:v>
      </x:c>
      <x:c r="P143" s="22" t="n">
        <x:f>O143*(1-N143)</x:f>
        <x:v>3960</x:v>
      </x:c>
      <x:c r="Q143" s="22" t="n">
        <x:v>315</x:v>
      </x:c>
      <x:c r="R143" s="22" t="n">
        <x:f>Q143*M143</x:f>
        <x:v>3465</x:v>
      </x:c>
      <x:c r="S143" s="22" t="n">
        <x:f>P143-R143</x:f>
        <x:v>495</x:v>
      </x:c>
      <x:c r="T143" t="str">
        <x:v>Bank Transfer</x:v>
      </x:c>
      <x:c r="U143" t="str">
        <x:v>Paid</x:v>
      </x:c>
      <x:c r="V143" t="str">
        <x:v>Cancelled</x:v>
      </x:c>
      <x:c r="W143" t="n">
        <x:v>11</x:v>
      </x:c>
      <x:c r="X143" t="str">
        <x:v>Cancelled Order</x:v>
      </x:c>
      <x:c r="Y143" t="str">
        <x:v>Outbound Call</x:v>
      </x:c>
    </x:row>
    <x:row r="144">
      <x:c r="A144" t="str">
        <x:v>O000143</x:v>
      </x:c>
      <x:c r="B144" s="20" t="n">
        <x:v>46247</x:v>
      </x:c>
      <x:c r="C144" t="str">
        <x:v>C0243</x:v>
      </x:c>
      <x:c r="D144" t="str">
        <x:v>Metro Kitchen 243</x:v>
      </x:c>
      <x:c r="E144" t="str">
        <x:v>Restaurant</x:v>
      </x:c>
      <x:c r="F144" t="str">
        <x:v>Mangaluru</x:v>
      </x:c>
      <x:c r="G144" t="str">
        <x:v>Kavya</x:v>
      </x:c>
      <x:c r="H144" t="str">
        <x:v>P015</x:v>
      </x:c>
      <x:c r="I144" t="str">
        <x:v>Milk 1L</x:v>
      </x:c>
      <x:c r="J144" t="str">
        <x:v>Dairy</x:v>
      </x:c>
      <x:c r="K144" t="str">
        <x:v>Nandini</x:v>
      </x:c>
      <x:c r="L144" s="22" t="n">
        <x:v>48</x:v>
      </x:c>
      <x:c r="M144" t="n">
        <x:v>25</x:v>
      </x:c>
      <x:c r="N144" s="24" t="n">
        <x:v>0.02</x:v>
      </x:c>
      <x:c r="O144" s="22" t="n">
        <x:f>L144*M144</x:f>
        <x:v>1200</x:v>
      </x:c>
      <x:c r="P144" s="22" t="n">
        <x:f>O144*(1-N144)</x:f>
        <x:v>1176</x:v>
      </x:c>
      <x:c r="Q144" s="22" t="n">
        <x:v>43</x:v>
      </x:c>
      <x:c r="R144" s="22" t="n">
        <x:f>Q144*M144</x:f>
        <x:v>1075</x:v>
      </x:c>
      <x:c r="S144" s="22" t="n">
        <x:f>P144-R144</x:f>
        <x:v>101</x:v>
      </x:c>
      <x:c r="T144" t="str">
        <x:v>Bank Transfer</x:v>
      </x:c>
      <x:c r="U144" t="str">
        <x:v>Paid</x:v>
      </x:c>
      <x:c r="V144" t="str">
        <x:v>Delayed</x:v>
      </x:c>
      <x:c r="W144" t="n">
        <x:v>0</x:v>
      </x:c>
      <x:c r="X144" t="str"/>
      <x:c r="Y144" t="str">
        <x:v>Field Visit</x:v>
      </x:c>
    </x:row>
    <x:row r="145">
      <x:c r="A145" t="str">
        <x:v>O000144</x:v>
      </x:c>
      <x:c r="B145" s="20" t="n">
        <x:v>46263</x:v>
      </x:c>
      <x:c r="C145" t="str">
        <x:v>C0179</x:v>
      </x:c>
      <x:c r="D145" t="str">
        <x:v>Shree Hotel 179</x:v>
      </x:c>
      <x:c r="E145" t="str">
        <x:v>Restaurant</x:v>
      </x:c>
      <x:c r="F145" t="str">
        <x:v>Hubballi</x:v>
      </x:c>
      <x:c r="G145" t="str">
        <x:v>Kavya</x:v>
      </x:c>
      <x:c r="H145" t="str">
        <x:v>P023</x:v>
      </x:c>
      <x:c r="I145" t="str">
        <x:v>Cola 750ml</x:v>
      </x:c>
      <x:c r="J145" t="str">
        <x:v>Beverage</x:v>
      </x:c>
      <x:c r="K145" t="str">
        <x:v>Coca-Cola</x:v>
      </x:c>
      <x:c r="L145" s="22" t="n">
        <x:v>38</x:v>
      </x:c>
      <x:c r="M145" t="n">
        <x:v>2</x:v>
      </x:c>
      <x:c r="N145" s="24" t="n">
        <x:v>0.05</x:v>
      </x:c>
      <x:c r="O145" s="22" t="n">
        <x:f>L145*M145</x:f>
        <x:v>76</x:v>
      </x:c>
      <x:c r="P145" s="22" t="n">
        <x:f>O145*(1-N145)</x:f>
        <x:v>72.2</x:v>
      </x:c>
      <x:c r="Q145" s="22" t="n">
        <x:v>31</x:v>
      </x:c>
      <x:c r="R145" s="22" t="n">
        <x:f>Q145*M145</x:f>
        <x:v>62</x:v>
      </x:c>
      <x:c r="S145" s="22" t="n">
        <x:f>P145-R145</x:f>
        <x:v>10.200000000000003</x:v>
      </x:c>
      <x:c r="T145" t="str">
        <x:v>Cash</x:v>
      </x:c>
      <x:c r="U145" t="str">
        <x:v>Overdue</x:v>
      </x:c>
      <x:c r="V145" t="str">
        <x:v>Delayed</x:v>
      </x:c>
      <x:c r="W145" t="n">
        <x:v>0</x:v>
      </x:c>
      <x:c r="X145" t="str"/>
      <x:c r="Y145" t="str">
        <x:v>Referral</x:v>
      </x:c>
    </x:row>
    <x:row r="146">
      <x:c r="A146" t="str">
        <x:v>O000145</x:v>
      </x:c>
      <x:c r="B146" s="20" t="n">
        <x:v>46213</x:v>
      </x:c>
      <x:c r="C146" t="str">
        <x:v>C0049</x:v>
      </x:c>
      <x:c r="D146" t="str">
        <x:v>Namma Stores 49</x:v>
      </x:c>
      <x:c r="E146" t="str">
        <x:v>Hotel</x:v>
      </x:c>
      <x:c r="F146" t="str">
        <x:v>Mangaluru</x:v>
      </x:c>
      <x:c r="G146" t="str">
        <x:v>Sneha</x:v>
      </x:c>
      <x:c r="H146" t="str">
        <x:v>P032</x:v>
      </x:c>
      <x:c r="I146" t="str">
        <x:v>Soy Sauce 700g</x:v>
      </x:c>
      <x:c r="J146" t="str">
        <x:v>Condiments</x:v>
      </x:c>
      <x:c r="K146" t="str">
        <x:v>Ching's</x:v>
      </x:c>
      <x:c r="L146" s="22" t="n">
        <x:v>118</x:v>
      </x:c>
      <x:c r="M146" t="n">
        <x:v>20</x:v>
      </x:c>
      <x:c r="N146" s="24" t="n">
        <x:v>0</x:v>
      </x:c>
      <x:c r="O146" s="22" t="n">
        <x:f>L146*M146</x:f>
        <x:v>2360</x:v>
      </x:c>
      <x:c r="P146" s="22" t="n">
        <x:f>O146*(1-N146)</x:f>
        <x:v>2360</x:v>
      </x:c>
      <x:c r="Q146" s="22" t="n">
        <x:v>101</x:v>
      </x:c>
      <x:c r="R146" s="22" t="n">
        <x:f>Q146*M146</x:f>
        <x:v>2020</x:v>
      </x:c>
      <x:c r="S146" s="22" t="n">
        <x:f>P146-R146</x:f>
        <x:v>340</x:v>
      </x:c>
      <x:c r="T146" t="str">
        <x:v>UPI</x:v>
      </x:c>
      <x:c r="U146" t="str">
        <x:v>Paid</x:v>
      </x:c>
      <x:c r="V146" t="str">
        <x:v>Delivered</x:v>
      </x:c>
      <x:c r="W146" t="n">
        <x:v>0</x:v>
      </x:c>
      <x:c r="X146" t="str"/>
      <x:c r="Y146" t="str">
        <x:v>Outbound Call</x:v>
      </x:c>
    </x:row>
    <x:row r="147">
      <x:c r="A147" t="str">
        <x:v>O000146</x:v>
      </x:c>
      <x:c r="B147" s="20" t="n">
        <x:v>45864</x:v>
      </x:c>
      <x:c r="C147" t="str">
        <x:v>C0001</x:v>
      </x:c>
      <x:c r="D147" t="str">
        <x:v>Annapurna Cafe 1</x:v>
      </x:c>
      <x:c r="E147" t="str">
        <x:v>Hotel</x:v>
      </x:c>
      <x:c r="F147" t="str">
        <x:v>Davanagere</x:v>
      </x:c>
      <x:c r="G147" t="str">
        <x:v>Kavya</x:v>
      </x:c>
      <x:c r="H147" t="str">
        <x:v>P022</x:v>
      </x:c>
      <x:c r="I147" t="str">
        <x:v>Mineral Water 1L</x:v>
      </x:c>
      <x:c r="J147" t="str">
        <x:v>Beverage</x:v>
      </x:c>
      <x:c r="K147" t="str">
        <x:v>Bisleri</x:v>
      </x:c>
      <x:c r="L147" s="22" t="n">
        <x:v>19</x:v>
      </x:c>
      <x:c r="M147" t="n">
        <x:v>9</x:v>
      </x:c>
      <x:c r="N147" s="24" t="n">
        <x:v>0.02</x:v>
      </x:c>
      <x:c r="O147" s="22" t="n">
        <x:f>L147*M147</x:f>
        <x:v>171</x:v>
      </x:c>
      <x:c r="P147" s="22" t="n">
        <x:f>O147*(1-N147)</x:f>
        <x:v>167.57999999999998</x:v>
      </x:c>
      <x:c r="Q147" s="22" t="n">
        <x:v>15</x:v>
      </x:c>
      <x:c r="R147" s="22" t="n">
        <x:f>Q147*M147</x:f>
        <x:v>135</x:v>
      </x:c>
      <x:c r="S147" s="22" t="n">
        <x:f>P147-R147</x:f>
        <x:v>32.579999999999984</x:v>
      </x:c>
      <x:c r="T147" t="str">
        <x:v>Bank Transfer</x:v>
      </x:c>
      <x:c r="U147" t="str">
        <x:v>Pending</x:v>
      </x:c>
      <x:c r="V147" t="str">
        <x:v>Delivered</x:v>
      </x:c>
      <x:c r="W147" t="n">
        <x:v>2</x:v>
      </x:c>
      <x:c r="X147" t="str">
        <x:v>Wrong Item</x:v>
      </x:c>
      <x:c r="Y147" t="str">
        <x:v>Outbound Call</x:v>
      </x:c>
    </x:row>
    <x:row r="148">
      <x:c r="A148" t="str">
        <x:v>O000147</x:v>
      </x:c>
      <x:c r="B148" s="20" t="n">
        <x:v>45732</x:v>
      </x:c>
      <x:c r="C148" t="str">
        <x:v>C0221</x:v>
      </x:c>
      <x:c r="D148" t="str">
        <x:v>Cafe Canteen 221</x:v>
      </x:c>
      <x:c r="E148" t="str">
        <x:v>Hotel</x:v>
      </x:c>
      <x:c r="F148" t="str">
        <x:v>Hubballi</x:v>
      </x:c>
      <x:c r="G148" t="str">
        <x:v>Kavya</x:v>
      </x:c>
      <x:c r="H148" t="str">
        <x:v>P024</x:v>
      </x:c>
      <x:c r="I148" t="str">
        <x:v>Orange Drink 1L</x:v>
      </x:c>
      <x:c r="J148" t="str">
        <x:v>Beverage</x:v>
      </x:c>
      <x:c r="K148" t="str">
        <x:v>Minute Maid</x:v>
      </x:c>
      <x:c r="L148" s="22" t="n">
        <x:v>105</x:v>
      </x:c>
      <x:c r="M148" t="n">
        <x:v>24</x:v>
      </x:c>
      <x:c r="N148" s="24" t="n">
        <x:v>0.05</x:v>
      </x:c>
      <x:c r="O148" s="22" t="n">
        <x:f>L148*M148</x:f>
        <x:v>2520</x:v>
      </x:c>
      <x:c r="P148" s="22" t="n">
        <x:f>O148*(1-N148)</x:f>
        <x:v>2394</x:v>
      </x:c>
      <x:c r="Q148" s="22" t="n">
        <x:v>88</x:v>
      </x:c>
      <x:c r="R148" s="22" t="n">
        <x:f>Q148*M148</x:f>
        <x:v>2112</x:v>
      </x:c>
      <x:c r="S148" s="22" t="n">
        <x:f>P148-R148</x:f>
        <x:v>282</x:v>
      </x:c>
      <x:c r="T148" t="str">
        <x:v>Credit</x:v>
      </x:c>
      <x:c r="U148" t="str">
        <x:v>Paid</x:v>
      </x:c>
      <x:c r="V148" t="str">
        <x:v>Delivered</x:v>
      </x:c>
      <x:c r="W148" t="n">
        <x:v>0</x:v>
      </x:c>
      <x:c r="X148" t="str"/>
      <x:c r="Y148" t="str">
        <x:v>Referral</x:v>
      </x:c>
    </x:row>
    <x:row r="149">
      <x:c r="A149" t="str">
        <x:v>O000148</x:v>
      </x:c>
      <x:c r="B149" s="20" t="n">
        <x:v>46156</x:v>
      </x:c>
      <x:c r="C149" t="str">
        <x:v>C0188</x:v>
      </x:c>
      <x:c r="D149" t="str">
        <x:v>New Canteen 188</x:v>
      </x:c>
      <x:c r="E149" t="str">
        <x:v>Restaurant</x:v>
      </x:c>
      <x:c r="F149" t="str">
        <x:v>Bengaluru</x:v>
      </x:c>
      <x:c r="G149" t="str">
        <x:v>Kavya</x:v>
      </x:c>
      <x:c r="H149" t="str">
        <x:v>P028</x:v>
      </x:c>
      <x:c r="I149" t="str">
        <x:v>Cookies 200g</x:v>
      </x:c>
      <x:c r="J149" t="str">
        <x:v>Snacks</x:v>
      </x:c>
      <x:c r="K149" t="str">
        <x:v>Britannia</x:v>
      </x:c>
      <x:c r="L149" s="22" t="n">
        <x:v>55</x:v>
      </x:c>
      <x:c r="M149" t="n">
        <x:v>21</x:v>
      </x:c>
      <x:c r="N149" s="24" t="n">
        <x:v>0</x:v>
      </x:c>
      <x:c r="O149" s="22" t="n">
        <x:f>L149*M149</x:f>
        <x:v>1155</x:v>
      </x:c>
      <x:c r="P149" s="22" t="n">
        <x:f>O149*(1-N149)</x:f>
        <x:v>1155</x:v>
      </x:c>
      <x:c r="Q149" s="22" t="n">
        <x:v>42</x:v>
      </x:c>
      <x:c r="R149" s="22" t="n">
        <x:f>Q149*M149</x:f>
        <x:v>882</x:v>
      </x:c>
      <x:c r="S149" s="22" t="n">
        <x:f>P149-R149</x:f>
        <x:v>273</x:v>
      </x:c>
      <x:c r="T149" t="str">
        <x:v>Cash</x:v>
      </x:c>
      <x:c r="U149" t="str">
        <x:v>Paid</x:v>
      </x:c>
      <x:c r="V149" t="str">
        <x:v>Delayed</x:v>
      </x:c>
      <x:c r="W149" t="n">
        <x:v>0</x:v>
      </x:c>
      <x:c r="X149" t="str"/>
      <x:c r="Y149" t="str">
        <x:v>Referral</x:v>
      </x:c>
    </x:row>
    <x:row r="150">
      <x:c r="A150" t="str">
        <x:v>O000149</x:v>
      </x:c>
      <x:c r="B150" s="20" t="n">
        <x:v>45959</x:v>
      </x:c>
      <x:c r="C150" t="str">
        <x:v>C0188</x:v>
      </x:c>
      <x:c r="D150" t="str">
        <x:v>New Canteen 188</x:v>
      </x:c>
      <x:c r="E150" t="str">
        <x:v>Restaurant</x:v>
      </x:c>
      <x:c r="F150" t="str">
        <x:v>Bengaluru</x:v>
      </x:c>
      <x:c r="G150" t="str">
        <x:v>Kavya</x:v>
      </x:c>
      <x:c r="H150" t="str">
        <x:v>P045</x:v>
      </x:c>
      <x:c r="I150" t="str">
        <x:v>Onion 25kg</x:v>
      </x:c>
      <x:c r="J150" t="str">
        <x:v>Fresh Produce</x:v>
      </x:c>
      <x:c r="K150" t="str">
        <x:v>Local Market</x:v>
      </x:c>
      <x:c r="L150" s="22" t="n">
        <x:v>875</x:v>
      </x:c>
      <x:c r="M150" t="n">
        <x:v>9</x:v>
      </x:c>
      <x:c r="N150" s="24" t="n">
        <x:v>0</x:v>
      </x:c>
      <x:c r="O150" s="22" t="n">
        <x:f>L150*M150</x:f>
        <x:v>7875</x:v>
      </x:c>
      <x:c r="P150" s="22" t="n">
        <x:f>O150*(1-N150)</x:f>
        <x:v>7875</x:v>
      </x:c>
      <x:c r="Q150" s="22" t="n">
        <x:v>760</x:v>
      </x:c>
      <x:c r="R150" s="22" t="n">
        <x:f>Q150*M150</x:f>
        <x:v>6840</x:v>
      </x:c>
      <x:c r="S150" s="22" t="n">
        <x:f>P150-R150</x:f>
        <x:v>1035</x:v>
      </x:c>
      <x:c r="T150" t="str">
        <x:v>UPI</x:v>
      </x:c>
      <x:c r="U150" t="str">
        <x:v>Overdue</x:v>
      </x:c>
      <x:c r="V150" t="str">
        <x:v>Delayed</x:v>
      </x:c>
      <x:c r="W150" t="n">
        <x:v>0</x:v>
      </x:c>
      <x:c r="X150" t="str"/>
      <x:c r="Y150" t="str">
        <x:v>WhatsApp</x:v>
      </x:c>
    </x:row>
    <x:row r="151">
      <x:c r="A151" t="str">
        <x:v>O000150</x:v>
      </x:c>
      <x:c r="B151" s="20" t="n">
        <x:v>45691</x:v>
      </x:c>
      <x:c r="C151" t="str">
        <x:v>C0198</x:v>
      </x:c>
      <x:c r="D151" t="str">
        <x:v>Royal Canteen 198</x:v>
      </x:c>
      <x:c r="E151" t="str">
        <x:v>Supermarket</x:v>
      </x:c>
      <x:c r="F151" t="str">
        <x:v>Davanagere</x:v>
      </x:c>
      <x:c r="G151" t="str">
        <x:v>Arjun</x:v>
      </x:c>
      <x:c r="H151" t="str">
        <x:v>P037</x:v>
      </x:c>
      <x:c r="I151" t="str">
        <x:v>Frozen Peas 1kg</x:v>
      </x:c>
      <x:c r="J151" t="str">
        <x:v>Frozen</x:v>
      </x:c>
      <x:c r="K151" t="str">
        <x:v>Safal</x:v>
      </x:c>
      <x:c r="L151" s="22" t="n">
        <x:v>155</x:v>
      </x:c>
      <x:c r="M151" t="n">
        <x:v>12</x:v>
      </x:c>
      <x:c r="N151" s="24" t="n">
        <x:v>0.05</x:v>
      </x:c>
      <x:c r="O151" s="22" t="n">
        <x:f>L151*M151</x:f>
        <x:v>1860</x:v>
      </x:c>
      <x:c r="P151" s="22" t="n">
        <x:f>O151*(1-N151)</x:f>
        <x:v>1767</x:v>
      </x:c>
      <x:c r="Q151" s="22" t="n">
        <x:v>138</x:v>
      </x:c>
      <x:c r="R151" s="22" t="n">
        <x:f>Q151*M151</x:f>
        <x:v>1656</x:v>
      </x:c>
      <x:c r="S151" s="22" t="n">
        <x:f>P151-R151</x:f>
        <x:v>111</x:v>
      </x:c>
      <x:c r="T151" t="str">
        <x:v>Bank Transfer</x:v>
      </x:c>
      <x:c r="U151" t="str">
        <x:v>Paid</x:v>
      </x:c>
      <x:c r="V151" t="str">
        <x:v>Delivered</x:v>
      </x:c>
      <x:c r="W151" t="n">
        <x:v>0</x:v>
      </x:c>
      <x:c r="X151" t="str"/>
      <x:c r="Y151" t="str">
        <x:v>Referral</x:v>
      </x:c>
    </x:row>
    <x:row r="152">
      <x:c r="A152" t="str">
        <x:v>O000151</x:v>
      </x:c>
      <x:c r="B152" s="20" t="n">
        <x:v>46013</x:v>
      </x:c>
      <x:c r="C152" t="str">
        <x:v>C0020</x:v>
      </x:c>
      <x:c r="D152" t="str">
        <x:v>Shree Foods 20</x:v>
      </x:c>
      <x:c r="E152" t="str">
        <x:v>Restaurant</x:v>
      </x:c>
      <x:c r="F152" t="str">
        <x:v>Mysuru</x:v>
      </x:c>
      <x:c r="G152" t="str">
        <x:v>Arjun</x:v>
      </x:c>
      <x:c r="H152" t="str">
        <x:v>P016</x:v>
      </x:c>
      <x:c r="I152" t="str">
        <x:v>Curd 1kg</x:v>
      </x:c>
      <x:c r="J152" t="str">
        <x:v>Dairy</x:v>
      </x:c>
      <x:c r="K152" t="str">
        <x:v>Nandini</x:v>
      </x:c>
      <x:c r="L152" s="22" t="n">
        <x:v>72</x:v>
      </x:c>
      <x:c r="M152" t="n">
        <x:v>21</x:v>
      </x:c>
      <x:c r="N152" s="24" t="n">
        <x:v>0</x:v>
      </x:c>
      <x:c r="O152" s="22" t="n">
        <x:f>L152*M152</x:f>
        <x:v>1512</x:v>
      </x:c>
      <x:c r="P152" s="22" t="n">
        <x:f>O152*(1-N152)</x:f>
        <x:v>1512</x:v>
      </x:c>
      <x:c r="Q152" s="22" t="n">
        <x:v>64</x:v>
      </x:c>
      <x:c r="R152" s="22" t="n">
        <x:f>Q152*M152</x:f>
        <x:v>1344</x:v>
      </x:c>
      <x:c r="S152" s="22" t="n">
        <x:f>P152-R152</x:f>
        <x:v>168</x:v>
      </x:c>
      <x:c r="T152" t="str">
        <x:v>UPI</x:v>
      </x:c>
      <x:c r="U152" t="str">
        <x:v>Pending</x:v>
      </x:c>
      <x:c r="V152" t="str">
        <x:v>Cancelled</x:v>
      </x:c>
      <x:c r="W152" t="n">
        <x:v>21</x:v>
      </x:c>
      <x:c r="X152" t="str">
        <x:v>Cancelled Order</x:v>
      </x:c>
      <x:c r="Y152" t="str">
        <x:v>Field Visit</x:v>
      </x:c>
    </x:row>
    <x:row r="153">
      <x:c r="A153" t="str">
        <x:v>O000152</x:v>
      </x:c>
      <x:c r="B153" s="20" t="n">
        <x:v>45913</x:v>
      </x:c>
      <x:c r="C153" t="str">
        <x:v>C0068</x:v>
      </x:c>
      <x:c r="D153" t="str">
        <x:v>Fresh Canteen 68</x:v>
      </x:c>
      <x:c r="E153" t="str">
        <x:v>Kirana</x:v>
      </x:c>
      <x:c r="F153" t="str">
        <x:v>Davanagere</x:v>
      </x:c>
      <x:c r="G153" t="str">
        <x:v>Arjun</x:v>
      </x:c>
      <x:c r="H153" t="str">
        <x:v>P014</x:v>
      </x:c>
      <x:c r="I153" t="str">
        <x:v>Rava 5kg</x:v>
      </x:c>
      <x:c r="J153" t="str">
        <x:v>Flour</x:v>
      </x:c>
      <x:c r="K153" t="str">
        <x:v>Local Select</x:v>
      </x:c>
      <x:c r="L153" s="22" t="n">
        <x:v>245</x:v>
      </x:c>
      <x:c r="M153" t="n">
        <x:v>5</x:v>
      </x:c>
      <x:c r="N153" s="24" t="n">
        <x:v>0.02</x:v>
      </x:c>
      <x:c r="O153" s="22" t="n">
        <x:f>L153*M153</x:f>
        <x:v>1225</x:v>
      </x:c>
      <x:c r="P153" s="22" t="n">
        <x:f>O153*(1-N153)</x:f>
        <x:v>1200.5</x:v>
      </x:c>
      <x:c r="Q153" s="22" t="n">
        <x:v>215</x:v>
      </x:c>
      <x:c r="R153" s="22" t="n">
        <x:f>Q153*M153</x:f>
        <x:v>1075</x:v>
      </x:c>
      <x:c r="S153" s="22" t="n">
        <x:f>P153-R153</x:f>
        <x:v>125.5</x:v>
      </x:c>
      <x:c r="T153" t="str">
        <x:v>UPI</x:v>
      </x:c>
      <x:c r="U153" t="str">
        <x:v>Pending</x:v>
      </x:c>
      <x:c r="V153" t="str">
        <x:v>Delivered</x:v>
      </x:c>
      <x:c r="W153" t="n">
        <x:v>0</x:v>
      </x:c>
      <x:c r="X153" t="str"/>
      <x:c r="Y153" t="str">
        <x:v>WhatsApp</x:v>
      </x:c>
    </x:row>
    <x:row r="154">
      <x:c r="A154" t="str">
        <x:v>O000153</x:v>
      </x:c>
      <x:c r="B154" s="20" t="n">
        <x:v>46162</x:v>
      </x:c>
      <x:c r="C154" t="str">
        <x:v>C0227</x:v>
      </x:c>
      <x:c r="D154" t="str">
        <x:v>Metro Restaurant 227</x:v>
      </x:c>
      <x:c r="E154" t="str">
        <x:v>Restaurant</x:v>
      </x:c>
      <x:c r="F154" t="str">
        <x:v>Davanagere</x:v>
      </x:c>
      <x:c r="G154" t="str">
        <x:v>Kavya</x:v>
      </x:c>
      <x:c r="H154" t="str">
        <x:v>P027</x:v>
      </x:c>
      <x:c r="I154" t="str">
        <x:v>Biscuits 120g</x:v>
      </x:c>
      <x:c r="J154" t="str">
        <x:v>Snacks</x:v>
      </x:c>
      <x:c r="K154" t="str">
        <x:v>Parle-G</x:v>
      </x:c>
      <x:c r="L154" s="22" t="n">
        <x:v>12</x:v>
      </x:c>
      <x:c r="M154" t="n">
        <x:v>25</x:v>
      </x:c>
      <x:c r="N154" s="24" t="n">
        <x:v>0.02</x:v>
      </x:c>
      <x:c r="O154" s="22" t="n">
        <x:f>L154*M154</x:f>
        <x:v>300</x:v>
      </x:c>
      <x:c r="P154" s="22" t="n">
        <x:f>O154*(1-N154)</x:f>
        <x:v>294</x:v>
      </x:c>
      <x:c r="Q154" s="22" t="n">
        <x:v>9</x:v>
      </x:c>
      <x:c r="R154" s="22" t="n">
        <x:f>Q154*M154</x:f>
        <x:v>225</x:v>
      </x:c>
      <x:c r="S154" s="22" t="n">
        <x:f>P154-R154</x:f>
        <x:v>69</x:v>
      </x:c>
      <x:c r="T154" t="str">
        <x:v>Credit</x:v>
      </x:c>
      <x:c r="U154" t="str">
        <x:v>Paid</x:v>
      </x:c>
      <x:c r="V154" t="str">
        <x:v>Delivered</x:v>
      </x:c>
      <x:c r="W154" t="n">
        <x:v>0</x:v>
      </x:c>
      <x:c r="X154" t="str"/>
      <x:c r="Y154" t="str">
        <x:v>Existing Customer</x:v>
      </x:c>
    </x:row>
    <x:row r="155">
      <x:c r="A155" t="str">
        <x:v>O000154</x:v>
      </x:c>
      <x:c r="B155" s="20" t="n">
        <x:v>45824</x:v>
      </x:c>
      <x:c r="C155" t="str">
        <x:v>C0176</x:v>
      </x:c>
      <x:c r="D155" t="str">
        <x:v>Cafe Kitchen 176</x:v>
      </x:c>
      <x:c r="E155" t="str">
        <x:v>Kirana</x:v>
      </x:c>
      <x:c r="F155" t="str">
        <x:v>Mysuru</x:v>
      </x:c>
      <x:c r="G155" t="str">
        <x:v>Priya</x:v>
      </x:c>
      <x:c r="H155" t="str">
        <x:v>P015</x:v>
      </x:c>
      <x:c r="I155" t="str">
        <x:v>Milk 1L</x:v>
      </x:c>
      <x:c r="J155" t="str">
        <x:v>Dairy</x:v>
      </x:c>
      <x:c r="K155" t="str">
        <x:v>Nandini</x:v>
      </x:c>
      <x:c r="L155" s="22" t="n">
        <x:v>48</x:v>
      </x:c>
      <x:c r="M155" t="n">
        <x:v>29</x:v>
      </x:c>
      <x:c r="N155" s="24" t="n">
        <x:v>0</x:v>
      </x:c>
      <x:c r="O155" s="22" t="n">
        <x:f>L155*M155</x:f>
        <x:v>1392</x:v>
      </x:c>
      <x:c r="P155" s="22" t="n">
        <x:f>O155*(1-N155)</x:f>
        <x:v>1392</x:v>
      </x:c>
      <x:c r="Q155" s="22" t="n">
        <x:v>43</x:v>
      </x:c>
      <x:c r="R155" s="22" t="n">
        <x:f>Q155*M155</x:f>
        <x:v>1247</x:v>
      </x:c>
      <x:c r="S155" s="22" t="n">
        <x:f>P155-R155</x:f>
        <x:v>145</x:v>
      </x:c>
      <x:c r="T155" t="str">
        <x:v>UPI</x:v>
      </x:c>
      <x:c r="U155" t="str">
        <x:v>Paid</x:v>
      </x:c>
      <x:c r="V155" t="str">
        <x:v>Delivered</x:v>
      </x:c>
      <x:c r="W155" t="n">
        <x:v>0</x:v>
      </x:c>
      <x:c r="X155" t="str"/>
      <x:c r="Y155" t="str">
        <x:v>Outbound Call</x:v>
      </x:c>
    </x:row>
    <x:row r="156">
      <x:c r="A156" t="str">
        <x:v>O000155</x:v>
      </x:c>
      <x:c r="B156" s="20" t="n">
        <x:v>45822</x:v>
      </x:c>
      <x:c r="C156" t="str">
        <x:v>C0044</x:v>
      </x:c>
      <x:c r="D156" t="str">
        <x:v>Annapurna Mart 44</x:v>
      </x:c>
      <x:c r="E156" t="str">
        <x:v>Kirana</x:v>
      </x:c>
      <x:c r="F156" t="str">
        <x:v>Davanagere</x:v>
      </x:c>
      <x:c r="G156" t="str">
        <x:v>Priya</x:v>
      </x:c>
      <x:c r="H156" t="str">
        <x:v>P025</x:v>
      </x:c>
      <x:c r="I156" t="str">
        <x:v>Potato Chips 100g</x:v>
      </x:c>
      <x:c r="J156" t="str">
        <x:v>Snacks</x:v>
      </x:c>
      <x:c r="K156" t="str">
        <x:v>Lay's</x:v>
      </x:c>
      <x:c r="L156" s="22" t="n">
        <x:v>35</x:v>
      </x:c>
      <x:c r="M156" t="n">
        <x:v>5</x:v>
      </x:c>
      <x:c r="N156" s="24" t="n">
        <x:v>0.03</x:v>
      </x:c>
      <x:c r="O156" s="22" t="n">
        <x:f>L156*M156</x:f>
        <x:v>175</x:v>
      </x:c>
      <x:c r="P156" s="22" t="n">
        <x:f>O156*(1-N156)</x:f>
        <x:v>169.75</x:v>
      </x:c>
      <x:c r="Q156" s="22" t="n">
        <x:v>27</x:v>
      </x:c>
      <x:c r="R156" s="22" t="n">
        <x:f>Q156*M156</x:f>
        <x:v>135</x:v>
      </x:c>
      <x:c r="S156" s="22" t="n">
        <x:f>P156-R156</x:f>
        <x:v>34.75</x:v>
      </x:c>
      <x:c r="T156" t="str">
        <x:v>UPI</x:v>
      </x:c>
      <x:c r="U156" t="str">
        <x:v>Paid</x:v>
      </x:c>
      <x:c r="V156" t="str">
        <x:v>Delayed</x:v>
      </x:c>
      <x:c r="W156" t="n">
        <x:v>0</x:v>
      </x:c>
      <x:c r="X156" t="str"/>
      <x:c r="Y156" t="str">
        <x:v>WhatsApp</x:v>
      </x:c>
    </x:row>
    <x:row r="157">
      <x:c r="A157" t="str">
        <x:v>O000156</x:v>
      </x:c>
      <x:c r="B157" s="20" t="n">
        <x:v>45826</x:v>
      </x:c>
      <x:c r="C157" t="str">
        <x:v>C0111</x:v>
      </x:c>
      <x:c r="D157" t="str">
        <x:v>Metro Kitchen 111</x:v>
      </x:c>
      <x:c r="E157" t="str">
        <x:v>Restaurant</x:v>
      </x:c>
      <x:c r="F157" t="str">
        <x:v>Davanagere</x:v>
      </x:c>
      <x:c r="G157" t="str">
        <x:v>Sneha</x:v>
      </x:c>
      <x:c r="H157" t="str">
        <x:v>P042</x:v>
      </x:c>
      <x:c r="I157" t="str">
        <x:v>Eggs 30pc Tray</x:v>
      </x:c>
      <x:c r="J157" t="str">
        <x:v>Protein</x:v>
      </x:c>
      <x:c r="K157" t="str">
        <x:v>Farm Fresh</x:v>
      </x:c>
      <x:c r="L157" s="22" t="n">
        <x:v>195</x:v>
      </x:c>
      <x:c r="M157" t="n">
        <x:v>39</x:v>
      </x:c>
      <x:c r="N157" s="24" t="n">
        <x:v>0.08</x:v>
      </x:c>
      <x:c r="O157" s="22" t="n">
        <x:f>L157*M157</x:f>
        <x:v>7605</x:v>
      </x:c>
      <x:c r="P157" s="22" t="n">
        <x:f>O157*(1-N157)</x:f>
        <x:v>6996.6</x:v>
      </x:c>
      <x:c r="Q157" s="22" t="n">
        <x:v>170</x:v>
      </x:c>
      <x:c r="R157" s="22" t="n">
        <x:f>Q157*M157</x:f>
        <x:v>6630</x:v>
      </x:c>
      <x:c r="S157" s="22" t="n">
        <x:f>P157-R157</x:f>
        <x:v>366.60000000000036</x:v>
      </x:c>
      <x:c r="T157" t="str">
        <x:v>Bank Transfer</x:v>
      </x:c>
      <x:c r="U157" t="str">
        <x:v>Paid</x:v>
      </x:c>
      <x:c r="V157" t="str">
        <x:v>Delivered</x:v>
      </x:c>
      <x:c r="W157" t="n">
        <x:v>0</x:v>
      </x:c>
      <x:c r="X157" t="str"/>
      <x:c r="Y157" t="str">
        <x:v>Referral</x:v>
      </x:c>
    </x:row>
    <x:row r="158">
      <x:c r="A158" t="str">
        <x:v>O000157</x:v>
      </x:c>
      <x:c r="B158" s="20" t="n">
        <x:v>46211</x:v>
      </x:c>
      <x:c r="C158" t="str">
        <x:v>C0142</x:v>
      </x:c>
      <x:c r="D158" t="str">
        <x:v>Darshini Mart 142</x:v>
      </x:c>
      <x:c r="E158" t="str">
        <x:v>Cafe</x:v>
      </x:c>
      <x:c r="F158" t="str">
        <x:v>Bengaluru</x:v>
      </x:c>
      <x:c r="G158" t="str">
        <x:v>Megha</x:v>
      </x:c>
      <x:c r="H158" t="str">
        <x:v>P047</x:v>
      </x:c>
      <x:c r="I158" t="str">
        <x:v>Tomato 25kg</x:v>
      </x:c>
      <x:c r="J158" t="str">
        <x:v>Fresh Produce</x:v>
      </x:c>
      <x:c r="K158" t="str">
        <x:v>Local Market</x:v>
      </x:c>
      <x:c r="L158" s="22" t="n">
        <x:v>950</x:v>
      </x:c>
      <x:c r="M158" t="n">
        <x:v>17</x:v>
      </x:c>
      <x:c r="N158" s="24" t="n">
        <x:v>0.05</x:v>
      </x:c>
      <x:c r="O158" s="22" t="n">
        <x:f>L158*M158</x:f>
        <x:v>16150</x:v>
      </x:c>
      <x:c r="P158" s="22" t="n">
        <x:f>O158*(1-N158)</x:f>
        <x:v>15342.5</x:v>
      </x:c>
      <x:c r="Q158" s="22" t="n">
        <x:v>810</x:v>
      </x:c>
      <x:c r="R158" s="22" t="n">
        <x:f>Q158*M158</x:f>
        <x:v>13770</x:v>
      </x:c>
      <x:c r="S158" s="22" t="n">
        <x:f>P158-R158</x:f>
        <x:v>1572.5</x:v>
      </x:c>
      <x:c r="T158" t="str">
        <x:v>Cash</x:v>
      </x:c>
      <x:c r="U158" t="str">
        <x:v>Paid</x:v>
      </x:c>
      <x:c r="V158" t="str">
        <x:v>Delivered</x:v>
      </x:c>
      <x:c r="W158" t="n">
        <x:v>0</x:v>
      </x:c>
      <x:c r="X158" t="str"/>
      <x:c r="Y158" t="str">
        <x:v>Existing Customer</x:v>
      </x:c>
    </x:row>
    <x:row r="159">
      <x:c r="A159" t="str">
        <x:v>O000158</x:v>
      </x:c>
      <x:c r="B159" s="20" t="n">
        <x:v>46027</x:v>
      </x:c>
      <x:c r="C159" t="str">
        <x:v>C0040</x:v>
      </x:c>
      <x:c r="D159" t="str">
        <x:v>Royal Foods 40</x:v>
      </x:c>
      <x:c r="E159" t="str">
        <x:v>Restaurant</x:v>
      </x:c>
      <x:c r="F159" t="str">
        <x:v>Mangaluru</x:v>
      </x:c>
      <x:c r="G159" t="str">
        <x:v>Kavya</x:v>
      </x:c>
      <x:c r="H159" t="str">
        <x:v>P004</x:v>
      </x:c>
      <x:c r="I159" t="str">
        <x:v>Toor Dal 5kg</x:v>
      </x:c>
      <x:c r="J159" t="str">
        <x:v>Pulses</x:v>
      </x:c>
      <x:c r="K159" t="str">
        <x:v>Tata Sampann</x:v>
      </x:c>
      <x:c r="L159" s="22" t="n">
        <x:v>780</x:v>
      </x:c>
      <x:c r="M159" t="n">
        <x:v>1</x:v>
      </x:c>
      <x:c r="N159" s="24" t="n">
        <x:v>0.03</x:v>
      </x:c>
      <x:c r="O159" s="22" t="n">
        <x:f>L159*M159</x:f>
        <x:v>780</x:v>
      </x:c>
      <x:c r="P159" s="22" t="n">
        <x:f>O159*(1-N159)</x:f>
        <x:v>756.6</x:v>
      </x:c>
      <x:c r="Q159" s="22" t="n">
        <x:v>695</x:v>
      </x:c>
      <x:c r="R159" s="22" t="n">
        <x:f>Q159*M159</x:f>
        <x:v>695</x:v>
      </x:c>
      <x:c r="S159" s="22" t="n">
        <x:f>P159-R159</x:f>
        <x:v>61.60000000000002</x:v>
      </x:c>
      <x:c r="T159" t="str">
        <x:v>Cash</x:v>
      </x:c>
      <x:c r="U159" t="str">
        <x:v>Pending</x:v>
      </x:c>
      <x:c r="V159" t="str">
        <x:v>Cancelled</x:v>
      </x:c>
      <x:c r="W159" t="n">
        <x:v>1</x:v>
      </x:c>
      <x:c r="X159" t="str">
        <x:v>Cancelled Order</x:v>
      </x:c>
      <x:c r="Y159" t="str">
        <x:v>Existing Customer</x:v>
      </x:c>
    </x:row>
    <x:row r="160">
      <x:c r="A160" t="str">
        <x:v>O000159</x:v>
      </x:c>
      <x:c r="B160" s="20" t="n">
        <x:v>45869</x:v>
      </x:c>
      <x:c r="C160" t="str">
        <x:v>C0025</x:v>
      </x:c>
      <x:c r="D160" t="str">
        <x:v>Sri Cafe 25</x:v>
      </x:c>
      <x:c r="E160" t="str">
        <x:v>Hotel</x:v>
      </x:c>
      <x:c r="F160" t="str">
        <x:v>Mysuru</x:v>
      </x:c>
      <x:c r="G160" t="str">
        <x:v>Kavya</x:v>
      </x:c>
      <x:c r="H160" t="str">
        <x:v>P002</x:v>
      </x:c>
      <x:c r="I160" t="str">
        <x:v>Sona Masoori Rice 25kg</x:v>
      </x:c>
      <x:c r="J160" t="str">
        <x:v>Staples</x:v>
      </x:c>
      <x:c r="K160" t="str">
        <x:v>Fortune</x:v>
      </x:c>
      <x:c r="L160" s="22" t="n">
        <x:v>1320</x:v>
      </x:c>
      <x:c r="M160" t="n">
        <x:v>11</x:v>
      </x:c>
      <x:c r="N160" s="24" t="n">
        <x:v>0.02</x:v>
      </x:c>
      <x:c r="O160" s="22" t="n">
        <x:f>L160*M160</x:f>
        <x:v>14520</x:v>
      </x:c>
      <x:c r="P160" s="22" t="n">
        <x:f>O160*(1-N160)</x:f>
        <x:v>14229.6</x:v>
      </x:c>
      <x:c r="Q160" s="22" t="n">
        <x:v>1160</x:v>
      </x:c>
      <x:c r="R160" s="22" t="n">
        <x:f>Q160*M160</x:f>
        <x:v>12760</x:v>
      </x:c>
      <x:c r="S160" s="22" t="n">
        <x:f>P160-R160</x:f>
        <x:v>1469.6000000000004</x:v>
      </x:c>
      <x:c r="T160" t="str">
        <x:v>UPI</x:v>
      </x:c>
      <x:c r="U160" t="str">
        <x:v>Paid</x:v>
      </x:c>
      <x:c r="V160" t="str">
        <x:v>Delivered</x:v>
      </x:c>
      <x:c r="W160" t="n">
        <x:v>0</x:v>
      </x:c>
      <x:c r="X160" t="str"/>
      <x:c r="Y160" t="str">
        <x:v>WhatsApp</x:v>
      </x:c>
    </x:row>
    <x:row r="161">
      <x:c r="A161" t="str">
        <x:v>O000160</x:v>
      </x:c>
      <x:c r="B161" s="20" t="n">
        <x:v>45929</x:v>
      </x:c>
      <x:c r="C161" t="str">
        <x:v>C0230</x:v>
      </x:c>
      <x:c r="D161" t="str">
        <x:v>Darshini Foods 230</x:v>
      </x:c>
      <x:c r="E161" t="str">
        <x:v>Restaurant</x:v>
      </x:c>
      <x:c r="F161" t="str">
        <x:v>Davanagere</x:v>
      </x:c>
      <x:c r="G161" t="str">
        <x:v>Priya</x:v>
      </x:c>
      <x:c r="H161" t="str">
        <x:v>P043</x:v>
      </x:c>
      <x:c r="I161" t="str">
        <x:v>Chicken Breast 1kg</x:v>
      </x:c>
      <x:c r="J161" t="str">
        <x:v>Protein</x:v>
      </x:c>
      <x:c r="K161" t="str">
        <x:v>FreshToHome</x:v>
      </x:c>
      <x:c r="L161" s="22" t="n">
        <x:v>260</x:v>
      </x:c>
      <x:c r="M161" t="n">
        <x:v>6</x:v>
      </x:c>
      <x:c r="N161" s="24" t="n">
        <x:v>0.05</x:v>
      </x:c>
      <x:c r="O161" s="22" t="n">
        <x:f>L161*M161</x:f>
        <x:v>1560</x:v>
      </x:c>
      <x:c r="P161" s="22" t="n">
        <x:f>O161*(1-N161)</x:f>
        <x:v>1482</x:v>
      </x:c>
      <x:c r="Q161" s="22" t="n">
        <x:v>235</x:v>
      </x:c>
      <x:c r="R161" s="22" t="n">
        <x:f>Q161*M161</x:f>
        <x:v>1410</x:v>
      </x:c>
      <x:c r="S161" s="22" t="n">
        <x:f>P161-R161</x:f>
        <x:v>72</x:v>
      </x:c>
      <x:c r="T161" t="str">
        <x:v>Credit</x:v>
      </x:c>
      <x:c r="U161" t="str">
        <x:v>Paid</x:v>
      </x:c>
      <x:c r="V161" t="str">
        <x:v>Delivered</x:v>
      </x:c>
      <x:c r="W161" t="n">
        <x:v>0</x:v>
      </x:c>
      <x:c r="X161" t="str"/>
      <x:c r="Y161" t="str">
        <x:v>WhatsApp</x:v>
      </x:c>
    </x:row>
    <x:row r="162">
      <x:c r="A162" t="str">
        <x:v>O000161</x:v>
      </x:c>
      <x:c r="B162" s="20" t="n">
        <x:v>45927</x:v>
      </x:c>
      <x:c r="C162" t="str">
        <x:v>C0113</x:v>
      </x:c>
      <x:c r="D162" t="str">
        <x:v>Namma Mart 113</x:v>
      </x:c>
      <x:c r="E162" t="str">
        <x:v>Restaurant</x:v>
      </x:c>
      <x:c r="F162" t="str">
        <x:v>Bengaluru</x:v>
      </x:c>
      <x:c r="G162" t="str">
        <x:v>Imran</x:v>
      </x:c>
      <x:c r="H162" t="str">
        <x:v>P030</x:v>
      </x:c>
      <x:c r="I162" t="str">
        <x:v>Mayonnaise 1kg</x:v>
      </x:c>
      <x:c r="J162" t="str">
        <x:v>Condiments</x:v>
      </x:c>
      <x:c r="K162" t="str">
        <x:v>Veeba</x:v>
      </x:c>
      <x:c r="L162" s="22" t="n">
        <x:v>210</x:v>
      </x:c>
      <x:c r="M162" t="n">
        <x:v>15</x:v>
      </x:c>
      <x:c r="N162" s="24" t="n">
        <x:v>0.05</x:v>
      </x:c>
      <x:c r="O162" s="22" t="n">
        <x:f>L162*M162</x:f>
        <x:v>3150</x:v>
      </x:c>
      <x:c r="P162" s="22" t="n">
        <x:f>O162*(1-N162)</x:f>
        <x:v>2992.5</x:v>
      </x:c>
      <x:c r="Q162" s="22" t="n">
        <x:v>185</x:v>
      </x:c>
      <x:c r="R162" s="22" t="n">
        <x:f>Q162*M162</x:f>
        <x:v>2775</x:v>
      </x:c>
      <x:c r="S162" s="22" t="n">
        <x:f>P162-R162</x:f>
        <x:v>217.5</x:v>
      </x:c>
      <x:c r="T162" t="str">
        <x:v>UPI</x:v>
      </x:c>
      <x:c r="U162" t="str">
        <x:v>Paid</x:v>
      </x:c>
      <x:c r="V162" t="str">
        <x:v>Cancelled</x:v>
      </x:c>
      <x:c r="W162" t="n">
        <x:v>15</x:v>
      </x:c>
      <x:c r="X162" t="str">
        <x:v>Cancelled Order</x:v>
      </x:c>
      <x:c r="Y162" t="str">
        <x:v>Outbound Call</x:v>
      </x:c>
    </x:row>
    <x:row r="163">
      <x:c r="A163" t="str">
        <x:v>O000162</x:v>
      </x:c>
      <x:c r="B163" s="20" t="n">
        <x:v>46081</x:v>
      </x:c>
      <x:c r="C163" t="str">
        <x:v>C0089</x:v>
      </x:c>
      <x:c r="D163" t="str">
        <x:v>Green Canteen 89</x:v>
      </x:c>
      <x:c r="E163" t="str">
        <x:v>Supermarket</x:v>
      </x:c>
      <x:c r="F163" t="str">
        <x:v>Mangaluru</x:v>
      </x:c>
      <x:c r="G163" t="str">
        <x:v>Megha</x:v>
      </x:c>
      <x:c r="H163" t="str">
        <x:v>P035</x:v>
      </x:c>
      <x:c r="I163" t="str">
        <x:v>Coriander Powder 1kg</x:v>
      </x:c>
      <x:c r="J163" t="str">
        <x:v>Spices</x:v>
      </x:c>
      <x:c r="K163" t="str">
        <x:v>Everest</x:v>
      </x:c>
      <x:c r="L163" s="22" t="n">
        <x:v>280</x:v>
      </x:c>
      <x:c r="M163" t="n">
        <x:v>38</x:v>
      </x:c>
      <x:c r="N163" s="24" t="n">
        <x:v>0</x:v>
      </x:c>
      <x:c r="O163" s="22" t="n">
        <x:f>L163*M163</x:f>
        <x:v>10640</x:v>
      </x:c>
      <x:c r="P163" s="22" t="n">
        <x:f>O163*(1-N163)</x:f>
        <x:v>10640</x:v>
      </x:c>
      <x:c r="Q163" s="22" t="n">
        <x:v>245</x:v>
      </x:c>
      <x:c r="R163" s="22" t="n">
        <x:f>Q163*M163</x:f>
        <x:v>9310</x:v>
      </x:c>
      <x:c r="S163" s="22" t="n">
        <x:f>P163-R163</x:f>
        <x:v>1330</x:v>
      </x:c>
      <x:c r="T163" t="str">
        <x:v>UPI</x:v>
      </x:c>
      <x:c r="U163" t="str">
        <x:v>Pending</x:v>
      </x:c>
      <x:c r="V163" t="str">
        <x:v>Delayed</x:v>
      </x:c>
      <x:c r="W163" t="n">
        <x:v>0</x:v>
      </x:c>
      <x:c r="X163" t="str"/>
      <x:c r="Y163" t="str">
        <x:v>WhatsApp</x:v>
      </x:c>
    </x:row>
    <x:row r="164">
      <x:c r="A164" t="str">
        <x:v>O000163</x:v>
      </x:c>
      <x:c r="B164" s="20" t="n">
        <x:v>46244</x:v>
      </x:c>
      <x:c r="C164" t="str">
        <x:v>C0176</x:v>
      </x:c>
      <x:c r="D164" t="str">
        <x:v>Cafe Kitchen 176</x:v>
      </x:c>
      <x:c r="E164" t="str">
        <x:v>Kirana</x:v>
      </x:c>
      <x:c r="F164" t="str">
        <x:v>Mysuru</x:v>
      </x:c>
      <x:c r="G164" t="str">
        <x:v>Priya</x:v>
      </x:c>
      <x:c r="H164" t="str">
        <x:v>P031</x:v>
      </x:c>
      <x:c r="I164" t="str">
        <x:v>Chilli Sauce 700g</x:v>
      </x:c>
      <x:c r="J164" t="str">
        <x:v>Condiments</x:v>
      </x:c>
      <x:c r="K164" t="str">
        <x:v>Ching's</x:v>
      </x:c>
      <x:c r="L164" s="22" t="n">
        <x:v>130</x:v>
      </x:c>
      <x:c r="M164" t="n">
        <x:v>16</x:v>
      </x:c>
      <x:c r="N164" s="24" t="n">
        <x:v>0.03</x:v>
      </x:c>
      <x:c r="O164" s="22" t="n">
        <x:f>L164*M164</x:f>
        <x:v>2080</x:v>
      </x:c>
      <x:c r="P164" s="22" t="n">
        <x:f>O164*(1-N164)</x:f>
        <x:v>2017.6</x:v>
      </x:c>
      <x:c r="Q164" s="22" t="n">
        <x:v>112</x:v>
      </x:c>
      <x:c r="R164" s="22" t="n">
        <x:f>Q164*M164</x:f>
        <x:v>1792</x:v>
      </x:c>
      <x:c r="S164" s="22" t="n">
        <x:f>P164-R164</x:f>
        <x:v>225.5999999999999</x:v>
      </x:c>
      <x:c r="T164" t="str">
        <x:v>UPI</x:v>
      </x:c>
      <x:c r="U164" t="str">
        <x:v>Paid</x:v>
      </x:c>
      <x:c r="V164" t="str">
        <x:v>Cancelled</x:v>
      </x:c>
      <x:c r="W164" t="n">
        <x:v>16</x:v>
      </x:c>
      <x:c r="X164" t="str">
        <x:v>Cancelled Order</x:v>
      </x:c>
      <x:c r="Y164" t="str">
        <x:v>Outbound Call</x:v>
      </x:c>
    </x:row>
    <x:row r="165">
      <x:c r="A165" t="str">
        <x:v>O000164</x:v>
      </x:c>
      <x:c r="B165" s="20" t="n">
        <x:v>46243</x:v>
      </x:c>
      <x:c r="C165" t="str">
        <x:v>C0231</x:v>
      </x:c>
      <x:c r="D165" t="str">
        <x:v>Metro Canteen 231</x:v>
      </x:c>
      <x:c r="E165" t="str">
        <x:v>Canteen</x:v>
      </x:c>
      <x:c r="F165" t="str">
        <x:v>Mangaluru</x:v>
      </x:c>
      <x:c r="G165" t="str">
        <x:v>Megha</x:v>
      </x:c>
      <x:c r="H165" t="str">
        <x:v>P034</x:v>
      </x:c>
      <x:c r="I165" t="str">
        <x:v>Chilli Powder 1kg</x:v>
      </x:c>
      <x:c r="J165" t="str">
        <x:v>Spices</x:v>
      </x:c>
      <x:c r="K165" t="str">
        <x:v>MDH</x:v>
      </x:c>
      <x:c r="L165" s="22" t="n">
        <x:v>340</x:v>
      </x:c>
      <x:c r="M165" t="n">
        <x:v>40</x:v>
      </x:c>
      <x:c r="N165" s="24" t="n">
        <x:v>0</x:v>
      </x:c>
      <x:c r="O165" s="22" t="n">
        <x:f>L165*M165</x:f>
        <x:v>13600</x:v>
      </x:c>
      <x:c r="P165" s="22" t="n">
        <x:f>O165*(1-N165)</x:f>
        <x:v>13600</x:v>
      </x:c>
      <x:c r="Q165" s="22" t="n">
        <x:v>295</x:v>
      </x:c>
      <x:c r="R165" s="22" t="n">
        <x:f>Q165*M165</x:f>
        <x:v>11800</x:v>
      </x:c>
      <x:c r="S165" s="22" t="n">
        <x:f>P165-R165</x:f>
        <x:v>1800</x:v>
      </x:c>
      <x:c r="T165" t="str">
        <x:v>Credit</x:v>
      </x:c>
      <x:c r="U165" t="str">
        <x:v>Paid</x:v>
      </x:c>
      <x:c r="V165" t="str">
        <x:v>Delivered</x:v>
      </x:c>
      <x:c r="W165" t="n">
        <x:v>0</x:v>
      </x:c>
      <x:c r="X165" t="str"/>
      <x:c r="Y165" t="str">
        <x:v>Referral</x:v>
      </x:c>
    </x:row>
    <x:row r="166">
      <x:c r="A166" t="str">
        <x:v>O000165</x:v>
      </x:c>
      <x:c r="B166" s="20" t="n">
        <x:v>46103</x:v>
      </x:c>
      <x:c r="C166" t="str">
        <x:v>C0109</x:v>
      </x:c>
      <x:c r="D166" t="str">
        <x:v>Annapurna Kitchen 109</x:v>
      </x:c>
      <x:c r="E166" t="str">
        <x:v>Kirana</x:v>
      </x:c>
      <x:c r="F166" t="str">
        <x:v>Mysuru</x:v>
      </x:c>
      <x:c r="G166" t="str">
        <x:v>Kavya</x:v>
      </x:c>
      <x:c r="H166" t="str">
        <x:v>P006</x:v>
      </x:c>
      <x:c r="I166" t="str">
        <x:v>Moong Dal 5kg</x:v>
      </x:c>
      <x:c r="J166" t="str">
        <x:v>Pulses</x:v>
      </x:c>
      <x:c r="K166" t="str">
        <x:v>Local Select</x:v>
      </x:c>
      <x:c r="L166" s="22" t="n">
        <x:v>610</x:v>
      </x:c>
      <x:c r="M166" t="n">
        <x:v>13</x:v>
      </x:c>
      <x:c r="N166" s="24" t="n">
        <x:v>0.1</x:v>
      </x:c>
      <x:c r="O166" s="22" t="n">
        <x:f>L166*M166</x:f>
        <x:v>7930</x:v>
      </x:c>
      <x:c r="P166" s="22" t="n">
        <x:f>O166*(1-N166)</x:f>
        <x:v>7137</x:v>
      </x:c>
      <x:c r="Q166" s="22" t="n">
        <x:v>540</x:v>
      </x:c>
      <x:c r="R166" s="22" t="n">
        <x:f>Q166*M166</x:f>
        <x:v>7020</x:v>
      </x:c>
      <x:c r="S166" s="22" t="n">
        <x:f>P166-R166</x:f>
        <x:v>117</x:v>
      </x:c>
      <x:c r="T166" t="str">
        <x:v>Bank Transfer</x:v>
      </x:c>
      <x:c r="U166" t="str">
        <x:v>Pending</x:v>
      </x:c>
      <x:c r="V166" t="str">
        <x:v>Delivered</x:v>
      </x:c>
      <x:c r="W166" t="n">
        <x:v>0</x:v>
      </x:c>
      <x:c r="X166" t="str"/>
      <x:c r="Y166" t="str">
        <x:v>Outbound Call</x:v>
      </x:c>
    </x:row>
    <x:row r="167">
      <x:c r="A167" t="str">
        <x:v>O000166</x:v>
      </x:c>
      <x:c r="B167" s="20" t="n">
        <x:v>46223</x:v>
      </x:c>
      <x:c r="C167" t="str">
        <x:v>C0143</x:v>
      </x:c>
      <x:c r="D167" t="str">
        <x:v>Foodie Restaurant 143</x:v>
      </x:c>
      <x:c r="E167" t="str">
        <x:v>Restaurant</x:v>
      </x:c>
      <x:c r="F167" t="str">
        <x:v>Hubballi</x:v>
      </x:c>
      <x:c r="G167" t="str">
        <x:v>Priya</x:v>
      </x:c>
      <x:c r="H167" t="str">
        <x:v>P026</x:v>
      </x:c>
      <x:c r="I167" t="str">
        <x:v>Banana Chips 80g</x:v>
      </x:c>
      <x:c r="J167" t="str">
        <x:v>Snacks</x:v>
      </x:c>
      <x:c r="K167" t="str">
        <x:v>SSS</x:v>
      </x:c>
      <x:c r="L167" s="22" t="n">
        <x:v>54</x:v>
      </x:c>
      <x:c r="M167" t="n">
        <x:v>21</x:v>
      </x:c>
      <x:c r="N167" s="24" t="n">
        <x:v>0.08</x:v>
      </x:c>
      <x:c r="O167" s="22" t="n">
        <x:f>L167*M167</x:f>
        <x:v>1134</x:v>
      </x:c>
      <x:c r="P167" s="22" t="n">
        <x:f>O167*(1-N167)</x:f>
        <x:v>1043.28</x:v>
      </x:c>
      <x:c r="Q167" s="22" t="n">
        <x:v>39</x:v>
      </x:c>
      <x:c r="R167" s="22" t="n">
        <x:f>Q167*M167</x:f>
        <x:v>819</x:v>
      </x:c>
      <x:c r="S167" s="22" t="n">
        <x:f>P167-R167</x:f>
        <x:v>224.27999999999997</x:v>
      </x:c>
      <x:c r="T167" t="str">
        <x:v>Credit</x:v>
      </x:c>
      <x:c r="U167" t="str">
        <x:v>Pending</x:v>
      </x:c>
      <x:c r="V167" t="str">
        <x:v>Delivered</x:v>
      </x:c>
      <x:c r="W167" t="n">
        <x:v>0</x:v>
      </x:c>
      <x:c r="X167" t="str"/>
      <x:c r="Y167" t="str">
        <x:v>Existing Customer</x:v>
      </x:c>
    </x:row>
    <x:row r="168">
      <x:c r="A168" t="str">
        <x:v>O000167</x:v>
      </x:c>
      <x:c r="B168" s="20" t="n">
        <x:v>45773</x:v>
      </x:c>
      <x:c r="C168" t="str">
        <x:v>C0201</x:v>
      </x:c>
      <x:c r="D168" t="str">
        <x:v>Metro Hotel 201</x:v>
      </x:c>
      <x:c r="E168" t="str">
        <x:v>Kirana</x:v>
      </x:c>
      <x:c r="F168" t="str">
        <x:v>Mysuru</x:v>
      </x:c>
      <x:c r="G168" t="str">
        <x:v>Imran</x:v>
      </x:c>
      <x:c r="H168" t="str">
        <x:v>P027</x:v>
      </x:c>
      <x:c r="I168" t="str">
        <x:v>Biscuits 120g</x:v>
      </x:c>
      <x:c r="J168" t="str">
        <x:v>Snacks</x:v>
      </x:c>
      <x:c r="K168" t="str">
        <x:v>Parle-G</x:v>
      </x:c>
      <x:c r="L168" s="22" t="n">
        <x:v>12</x:v>
      </x:c>
      <x:c r="M168" t="n">
        <x:v>27</x:v>
      </x:c>
      <x:c r="N168" s="24" t="n">
        <x:v>0</x:v>
      </x:c>
      <x:c r="O168" s="22" t="n">
        <x:f>L168*M168</x:f>
        <x:v>324</x:v>
      </x:c>
      <x:c r="P168" s="22" t="n">
        <x:f>O168*(1-N168)</x:f>
        <x:v>324</x:v>
      </x:c>
      <x:c r="Q168" s="22" t="n">
        <x:v>9</x:v>
      </x:c>
      <x:c r="R168" s="22" t="n">
        <x:f>Q168*M168</x:f>
        <x:v>243</x:v>
      </x:c>
      <x:c r="S168" s="22" t="n">
        <x:f>P168-R168</x:f>
        <x:v>81</x:v>
      </x:c>
      <x:c r="T168" t="str">
        <x:v>UPI</x:v>
      </x:c>
      <x:c r="U168" t="str">
        <x:v>Overdue</x:v>
      </x:c>
      <x:c r="V168" t="str">
        <x:v>Delayed</x:v>
      </x:c>
      <x:c r="W168" t="n">
        <x:v>0</x:v>
      </x:c>
      <x:c r="X168" t="str"/>
      <x:c r="Y168" t="str">
        <x:v>Outbound Call</x:v>
      </x:c>
    </x:row>
    <x:row r="169">
      <x:c r="A169" t="str">
        <x:v>O000168</x:v>
      </x:c>
      <x:c r="B169" s="20" t="n">
        <x:v>46010</x:v>
      </x:c>
      <x:c r="C169" t="str">
        <x:v>C0223</x:v>
      </x:c>
      <x:c r="D169" t="str">
        <x:v>Classic Canteen 223</x:v>
      </x:c>
      <x:c r="E169" t="str">
        <x:v>Restaurant</x:v>
      </x:c>
      <x:c r="F169" t="str">
        <x:v>Tumakuru</x:v>
      </x:c>
      <x:c r="G169" t="str">
        <x:v>Kavya</x:v>
      </x:c>
      <x:c r="H169" t="str">
        <x:v>P035</x:v>
      </x:c>
      <x:c r="I169" t="str">
        <x:v>Coriander Powder 1kg</x:v>
      </x:c>
      <x:c r="J169" t="str">
        <x:v>Spices</x:v>
      </x:c>
      <x:c r="K169" t="str">
        <x:v>Everest</x:v>
      </x:c>
      <x:c r="L169" s="22" t="n">
        <x:v>280</x:v>
      </x:c>
      <x:c r="M169" t="n">
        <x:v>27</x:v>
      </x:c>
      <x:c r="N169" s="24" t="n">
        <x:v>0.02</x:v>
      </x:c>
      <x:c r="O169" s="22" t="n">
        <x:f>L169*M169</x:f>
        <x:v>7560</x:v>
      </x:c>
      <x:c r="P169" s="22" t="n">
        <x:f>O169*(1-N169)</x:f>
        <x:v>7408.8</x:v>
      </x:c>
      <x:c r="Q169" s="22" t="n">
        <x:v>245</x:v>
      </x:c>
      <x:c r="R169" s="22" t="n">
        <x:f>Q169*M169</x:f>
        <x:v>6615</x:v>
      </x:c>
      <x:c r="S169" s="22" t="n">
        <x:f>P169-R169</x:f>
        <x:v>793.8000000000002</x:v>
      </x:c>
      <x:c r="T169" t="str">
        <x:v>Credit</x:v>
      </x:c>
      <x:c r="U169" t="str">
        <x:v>Paid</x:v>
      </x:c>
      <x:c r="V169" t="str">
        <x:v>Delivered</x:v>
      </x:c>
      <x:c r="W169" t="n">
        <x:v>3</x:v>
      </x:c>
      <x:c r="X169" t="str">
        <x:v>Late Delivery</x:v>
      </x:c>
      <x:c r="Y169" t="str">
        <x:v>Referral</x:v>
      </x:c>
    </x:row>
    <x:row r="170">
      <x:c r="A170" t="str">
        <x:v>O000169</x:v>
      </x:c>
      <x:c r="B170" s="20" t="n">
        <x:v>46069</x:v>
      </x:c>
      <x:c r="C170" t="str">
        <x:v>C0175</x:v>
      </x:c>
      <x:c r="D170" t="str">
        <x:v>Namma Mart 175</x:v>
      </x:c>
      <x:c r="E170" t="str">
        <x:v>Hotel</x:v>
      </x:c>
      <x:c r="F170" t="str">
        <x:v>Davanagere</x:v>
      </x:c>
      <x:c r="G170" t="str">
        <x:v>Sneha</x:v>
      </x:c>
      <x:c r="H170" t="str">
        <x:v>P045</x:v>
      </x:c>
      <x:c r="I170" t="str">
        <x:v>Onion 25kg</x:v>
      </x:c>
      <x:c r="J170" t="str">
        <x:v>Fresh Produce</x:v>
      </x:c>
      <x:c r="K170" t="str">
        <x:v>Local Market</x:v>
      </x:c>
      <x:c r="L170" s="22" t="n">
        <x:v>875</x:v>
      </x:c>
      <x:c r="M170" t="n">
        <x:v>3</x:v>
      </x:c>
      <x:c r="N170" s="24" t="n">
        <x:v>0.02</x:v>
      </x:c>
      <x:c r="O170" s="22" t="n">
        <x:f>L170*M170</x:f>
        <x:v>2625</x:v>
      </x:c>
      <x:c r="P170" s="22" t="n">
        <x:f>O170*(1-N170)</x:f>
        <x:v>2572.5</x:v>
      </x:c>
      <x:c r="Q170" s="22" t="n">
        <x:v>760</x:v>
      </x:c>
      <x:c r="R170" s="22" t="n">
        <x:f>Q170*M170</x:f>
        <x:v>2280</x:v>
      </x:c>
      <x:c r="S170" s="22" t="n">
        <x:f>P170-R170</x:f>
        <x:v>292.5</x:v>
      </x:c>
      <x:c r="T170" t="str">
        <x:v>Cash</x:v>
      </x:c>
      <x:c r="U170" t="str">
        <x:v>Paid</x:v>
      </x:c>
      <x:c r="V170" t="str">
        <x:v>Delivered</x:v>
      </x:c>
      <x:c r="W170" t="n">
        <x:v>0</x:v>
      </x:c>
      <x:c r="X170" t="str"/>
      <x:c r="Y170" t="str">
        <x:v>Field Visit</x:v>
      </x:c>
    </x:row>
    <x:row r="171">
      <x:c r="A171" t="str">
        <x:v>O000170</x:v>
      </x:c>
      <x:c r="B171" s="20" t="n">
        <x:v>45968</x:v>
      </x:c>
      <x:c r="C171" t="str">
        <x:v>C0006</x:v>
      </x:c>
      <x:c r="D171" t="str">
        <x:v>New Restaurant 6</x:v>
      </x:c>
      <x:c r="E171" t="str">
        <x:v>Kirana</x:v>
      </x:c>
      <x:c r="F171" t="str">
        <x:v>Hubballi</x:v>
      </x:c>
      <x:c r="G171" t="str">
        <x:v>Vikram</x:v>
      </x:c>
      <x:c r="H171" t="str">
        <x:v>P022</x:v>
      </x:c>
      <x:c r="I171" t="str">
        <x:v>Mineral Water 1L</x:v>
      </x:c>
      <x:c r="J171" t="str">
        <x:v>Beverage</x:v>
      </x:c>
      <x:c r="K171" t="str">
        <x:v>Bisleri</x:v>
      </x:c>
      <x:c r="L171" s="22" t="n">
        <x:v>19</x:v>
      </x:c>
      <x:c r="M171" t="n">
        <x:v>20</x:v>
      </x:c>
      <x:c r="N171" s="24" t="n">
        <x:v>0.02</x:v>
      </x:c>
      <x:c r="O171" s="22" t="n">
        <x:f>L171*M171</x:f>
        <x:v>380</x:v>
      </x:c>
      <x:c r="P171" s="22" t="n">
        <x:f>O171*(1-N171)</x:f>
        <x:v>372.4</x:v>
      </x:c>
      <x:c r="Q171" s="22" t="n">
        <x:v>15</x:v>
      </x:c>
      <x:c r="R171" s="22" t="n">
        <x:f>Q171*M171</x:f>
        <x:v>300</x:v>
      </x:c>
      <x:c r="S171" s="22" t="n">
        <x:f>P171-R171</x:f>
        <x:v>72.39999999999998</x:v>
      </x:c>
      <x:c r="T171" t="str">
        <x:v>Credit</x:v>
      </x:c>
      <x:c r="U171" t="str">
        <x:v>Pending</x:v>
      </x:c>
      <x:c r="V171" t="str">
        <x:v>Cancelled</x:v>
      </x:c>
      <x:c r="W171" t="n">
        <x:v>20</x:v>
      </x:c>
      <x:c r="X171" t="str">
        <x:v>Cancelled Order</x:v>
      </x:c>
      <x:c r="Y171" t="str">
        <x:v>Outbound Call</x:v>
      </x:c>
    </x:row>
    <x:row r="172">
      <x:c r="A172" t="str">
        <x:v>O000171</x:v>
      </x:c>
      <x:c r="B172" s="20" t="n">
        <x:v>45965</x:v>
      </x:c>
      <x:c r="C172" t="str">
        <x:v>C0059</x:v>
      </x:c>
      <x:c r="D172" t="str">
        <x:v>Spice Foods 59</x:v>
      </x:c>
      <x:c r="E172" t="str">
        <x:v>Hotel</x:v>
      </x:c>
      <x:c r="F172" t="str">
        <x:v>Hubballi</x:v>
      </x:c>
      <x:c r="G172" t="str">
        <x:v>Sneha</x:v>
      </x:c>
      <x:c r="H172" t="str">
        <x:v>P009</x:v>
      </x:c>
      <x:c r="I172" t="str">
        <x:v>Groundnut Oil 5L</x:v>
      </x:c>
      <x:c r="J172" t="str">
        <x:v>Edible Oil</x:v>
      </x:c>
      <x:c r="K172" t="str">
        <x:v>Dhara</x:v>
      </x:c>
      <x:c r="L172" s="22" t="n">
        <x:v>890</x:v>
      </x:c>
      <x:c r="M172" t="n">
        <x:v>29</x:v>
      </x:c>
      <x:c r="N172" s="24" t="n">
        <x:v>0.05</x:v>
      </x:c>
      <x:c r="O172" s="22" t="n">
        <x:f>L172*M172</x:f>
        <x:v>25810</x:v>
      </x:c>
      <x:c r="P172" s="22" t="n">
        <x:f>O172*(1-N172)</x:f>
        <x:v>24519.5</x:v>
      </x:c>
      <x:c r="Q172" s="22" t="n">
        <x:v>810</x:v>
      </x:c>
      <x:c r="R172" s="22" t="n">
        <x:f>Q172*M172</x:f>
        <x:v>23490</x:v>
      </x:c>
      <x:c r="S172" s="22" t="n">
        <x:f>P172-R172</x:f>
        <x:v>1029.5</x:v>
      </x:c>
      <x:c r="T172" t="str">
        <x:v>Cash</x:v>
      </x:c>
      <x:c r="U172" t="str">
        <x:v>Paid</x:v>
      </x:c>
      <x:c r="V172" t="str">
        <x:v>Delivered</x:v>
      </x:c>
      <x:c r="W172" t="n">
        <x:v>0</x:v>
      </x:c>
      <x:c r="X172" t="str"/>
      <x:c r="Y172" t="str">
        <x:v>Outbound Call</x:v>
      </x:c>
    </x:row>
    <x:row r="173">
      <x:c r="A173" t="str">
        <x:v>O000172</x:v>
      </x:c>
      <x:c r="B173" s="20" t="n">
        <x:v>46154</x:v>
      </x:c>
      <x:c r="C173" t="str">
        <x:v>C0055</x:v>
      </x:c>
      <x:c r="D173" t="str">
        <x:v>Royal Mart 55</x:v>
      </x:c>
      <x:c r="E173" t="str">
        <x:v>Restaurant</x:v>
      </x:c>
      <x:c r="F173" t="str">
        <x:v>Hubballi</x:v>
      </x:c>
      <x:c r="G173" t="str">
        <x:v>Vikram</x:v>
      </x:c>
      <x:c r="H173" t="str">
        <x:v>P027</x:v>
      </x:c>
      <x:c r="I173" t="str">
        <x:v>Biscuits 120g</x:v>
      </x:c>
      <x:c r="J173" t="str">
        <x:v>Snacks</x:v>
      </x:c>
      <x:c r="K173" t="str">
        <x:v>Parle-G</x:v>
      </x:c>
      <x:c r="L173" s="22" t="n">
        <x:v>12</x:v>
      </x:c>
      <x:c r="M173" t="n">
        <x:v>34</x:v>
      </x:c>
      <x:c r="N173" s="24" t="n">
        <x:v>0.08</x:v>
      </x:c>
      <x:c r="O173" s="22" t="n">
        <x:f>L173*M173</x:f>
        <x:v>408</x:v>
      </x:c>
      <x:c r="P173" s="22" t="n">
        <x:f>O173*(1-N173)</x:f>
        <x:v>375.36</x:v>
      </x:c>
      <x:c r="Q173" s="22" t="n">
        <x:v>9</x:v>
      </x:c>
      <x:c r="R173" s="22" t="n">
        <x:f>Q173*M173</x:f>
        <x:v>306</x:v>
      </x:c>
      <x:c r="S173" s="22" t="n">
        <x:f>P173-R173</x:f>
        <x:v>69.36000000000001</x:v>
      </x:c>
      <x:c r="T173" t="str">
        <x:v>UPI</x:v>
      </x:c>
      <x:c r="U173" t="str">
        <x:v>Paid</x:v>
      </x:c>
      <x:c r="V173" t="str">
        <x:v>Delivered</x:v>
      </x:c>
      <x:c r="W173" t="n">
        <x:v>4</x:v>
      </x:c>
      <x:c r="X173" t="str">
        <x:v>Wrong Item</x:v>
      </x:c>
      <x:c r="Y173" t="str">
        <x:v>Existing Customer</x:v>
      </x:c>
    </x:row>
    <x:row r="174">
      <x:c r="A174" t="str">
        <x:v>O000173</x:v>
      </x:c>
      <x:c r="B174" s="20" t="n">
        <x:v>45855</x:v>
      </x:c>
      <x:c r="C174" t="str">
        <x:v>C0008</x:v>
      </x:c>
      <x:c r="D174" t="str">
        <x:v>Namma Kitchen 8</x:v>
      </x:c>
      <x:c r="E174" t="str">
        <x:v>Kirana</x:v>
      </x:c>
      <x:c r="F174" t="str">
        <x:v>Bengaluru</x:v>
      </x:c>
      <x:c r="G174" t="str">
        <x:v>Vikram</x:v>
      </x:c>
      <x:c r="H174" t="str">
        <x:v>P012</x:v>
      </x:c>
      <x:c r="I174" t="str">
        <x:v>Maida 10kg</x:v>
      </x:c>
      <x:c r="J174" t="str">
        <x:v>Flour</x:v>
      </x:c>
      <x:c r="K174" t="str">
        <x:v>Aashirvaad</x:v>
      </x:c>
      <x:c r="L174" s="22" t="n">
        <x:v>520</x:v>
      </x:c>
      <x:c r="M174" t="n">
        <x:v>13</x:v>
      </x:c>
      <x:c r="N174" s="24" t="n">
        <x:v>0.05</x:v>
      </x:c>
      <x:c r="O174" s="22" t="n">
        <x:f>L174*M174</x:f>
        <x:v>6760</x:v>
      </x:c>
      <x:c r="P174" s="22" t="n">
        <x:f>O174*(1-N174)</x:f>
        <x:v>6422</x:v>
      </x:c>
      <x:c r="Q174" s="22" t="n">
        <x:v>460</x:v>
      </x:c>
      <x:c r="R174" s="22" t="n">
        <x:f>Q174*M174</x:f>
        <x:v>5980</x:v>
      </x:c>
      <x:c r="S174" s="22" t="n">
        <x:f>P174-R174</x:f>
        <x:v>442</x:v>
      </x:c>
      <x:c r="T174" t="str">
        <x:v>Bank Transfer</x:v>
      </x:c>
      <x:c r="U174" t="str">
        <x:v>Paid</x:v>
      </x:c>
      <x:c r="V174" t="str">
        <x:v>Delivered</x:v>
      </x:c>
      <x:c r="W174" t="n">
        <x:v>0</x:v>
      </x:c>
      <x:c r="X174" t="str"/>
      <x:c r="Y174" t="str">
        <x:v>Referral</x:v>
      </x:c>
    </x:row>
    <x:row r="175">
      <x:c r="A175" t="str">
        <x:v>O000174</x:v>
      </x:c>
      <x:c r="B175" s="20" t="n">
        <x:v>46175</x:v>
      </x:c>
      <x:c r="C175" t="str">
        <x:v>C0211</x:v>
      </x:c>
      <x:c r="D175" t="str">
        <x:v>Cafe Cafe 211</x:v>
      </x:c>
      <x:c r="E175" t="str">
        <x:v>Supermarket</x:v>
      </x:c>
      <x:c r="F175" t="str">
        <x:v>Davanagere</x:v>
      </x:c>
      <x:c r="G175" t="str">
        <x:v>Megha</x:v>
      </x:c>
      <x:c r="H175" t="str">
        <x:v>P030</x:v>
      </x:c>
      <x:c r="I175" t="str">
        <x:v>Mayonnaise 1kg</x:v>
      </x:c>
      <x:c r="J175" t="str">
        <x:v>Condiments</x:v>
      </x:c>
      <x:c r="K175" t="str">
        <x:v>Veeba</x:v>
      </x:c>
      <x:c r="L175" s="22" t="n">
        <x:v>210</x:v>
      </x:c>
      <x:c r="M175" t="n">
        <x:v>26</x:v>
      </x:c>
      <x:c r="N175" s="24" t="n">
        <x:v>0.05</x:v>
      </x:c>
      <x:c r="O175" s="22" t="n">
        <x:f>L175*M175</x:f>
        <x:v>5460</x:v>
      </x:c>
      <x:c r="P175" s="22" t="n">
        <x:f>O175*(1-N175)</x:f>
        <x:v>5187</x:v>
      </x:c>
      <x:c r="Q175" s="22" t="n">
        <x:v>185</x:v>
      </x:c>
      <x:c r="R175" s="22" t="n">
        <x:f>Q175*M175</x:f>
        <x:v>4810</x:v>
      </x:c>
      <x:c r="S175" s="22" t="n">
        <x:f>P175-R175</x:f>
        <x:v>377</x:v>
      </x:c>
      <x:c r="T175" t="str">
        <x:v>UPI</x:v>
      </x:c>
      <x:c r="U175" t="str">
        <x:v>Paid</x:v>
      </x:c>
      <x:c r="V175" t="str">
        <x:v>Delivered</x:v>
      </x:c>
      <x:c r="W175" t="n">
        <x:v>0</x:v>
      </x:c>
      <x:c r="X175" t="str"/>
      <x:c r="Y175" t="str">
        <x:v>Existing Customer</x:v>
      </x:c>
    </x:row>
    <x:row r="176">
      <x:c r="A176" t="str">
        <x:v>O000175</x:v>
      </x:c>
      <x:c r="B176" s="20" t="n">
        <x:v>46258</x:v>
      </x:c>
      <x:c r="C176" t="str">
        <x:v>C0246</x:v>
      </x:c>
      <x:c r="D176" t="str">
        <x:v>City Hotel 246</x:v>
      </x:c>
      <x:c r="E176" t="str">
        <x:v>Supermarket</x:v>
      </x:c>
      <x:c r="F176" t="str">
        <x:v>Mangaluru</x:v>
      </x:c>
      <x:c r="G176" t="str">
        <x:v>Kavya</x:v>
      </x:c>
      <x:c r="H176" t="str">
        <x:v>P031</x:v>
      </x:c>
      <x:c r="I176" t="str">
        <x:v>Chilli Sauce 700g</x:v>
      </x:c>
      <x:c r="J176" t="str">
        <x:v>Condiments</x:v>
      </x:c>
      <x:c r="K176" t="str">
        <x:v>Ching's</x:v>
      </x:c>
      <x:c r="L176" s="22" t="n">
        <x:v>130</x:v>
      </x:c>
      <x:c r="M176" t="n">
        <x:v>36</x:v>
      </x:c>
      <x:c r="N176" s="24" t="n">
        <x:v>0.02</x:v>
      </x:c>
      <x:c r="O176" s="22" t="n">
        <x:f>L176*M176</x:f>
        <x:v>4680</x:v>
      </x:c>
      <x:c r="P176" s="22" t="n">
        <x:f>O176*(1-N176)</x:f>
        <x:v>4586.4</x:v>
      </x:c>
      <x:c r="Q176" s="22" t="n">
        <x:v>112</x:v>
      </x:c>
      <x:c r="R176" s="22" t="n">
        <x:f>Q176*M176</x:f>
        <x:v>4032</x:v>
      </x:c>
      <x:c r="S176" s="22" t="n">
        <x:f>P176-R176</x:f>
        <x:v>554.3999999999996</x:v>
      </x:c>
      <x:c r="T176" t="str">
        <x:v>Bank Transfer</x:v>
      </x:c>
      <x:c r="U176" t="str">
        <x:v>Pending</x:v>
      </x:c>
      <x:c r="V176" t="str">
        <x:v>Delivered</x:v>
      </x:c>
      <x:c r="W176" t="n">
        <x:v>0</x:v>
      </x:c>
      <x:c r="X176" t="str"/>
      <x:c r="Y176" t="str">
        <x:v>Outbound Call</x:v>
      </x:c>
    </x:row>
    <x:row r="177">
      <x:c r="A177" t="str">
        <x:v>O000176</x:v>
      </x:c>
      <x:c r="B177" s="20" t="n">
        <x:v>45824</x:v>
      </x:c>
      <x:c r="C177" t="str">
        <x:v>C0099</x:v>
      </x:c>
      <x:c r="D177" t="str">
        <x:v>Green Cafe 99</x:v>
      </x:c>
      <x:c r="E177" t="str">
        <x:v>Restaurant</x:v>
      </x:c>
      <x:c r="F177" t="str">
        <x:v>Hubballi</x:v>
      </x:c>
      <x:c r="G177" t="str">
        <x:v>Ramesh</x:v>
      </x:c>
      <x:c r="H177" t="str">
        <x:v>P004</x:v>
      </x:c>
      <x:c r="I177" t="str">
        <x:v>Toor Dal 5kg</x:v>
      </x:c>
      <x:c r="J177" t="str">
        <x:v>Pulses</x:v>
      </x:c>
      <x:c r="K177" t="str">
        <x:v>Tata Sampann</x:v>
      </x:c>
      <x:c r="L177" s="22" t="n">
        <x:v>780</x:v>
      </x:c>
      <x:c r="M177" t="n">
        <x:v>37</x:v>
      </x:c>
      <x:c r="N177" s="24" t="n">
        <x:v>0.05</x:v>
      </x:c>
      <x:c r="O177" s="22" t="n">
        <x:f>L177*M177</x:f>
        <x:v>28860</x:v>
      </x:c>
      <x:c r="P177" s="22" t="n">
        <x:f>O177*(1-N177)</x:f>
        <x:v>27417</x:v>
      </x:c>
      <x:c r="Q177" s="22" t="n">
        <x:v>695</x:v>
      </x:c>
      <x:c r="R177" s="22" t="n">
        <x:f>Q177*M177</x:f>
        <x:v>25715</x:v>
      </x:c>
      <x:c r="S177" s="22" t="n">
        <x:f>P177-R177</x:f>
        <x:v>1702</x:v>
      </x:c>
      <x:c r="T177" t="str">
        <x:v>Bank Transfer</x:v>
      </x:c>
      <x:c r="U177" t="str">
        <x:v>Pending</x:v>
      </x:c>
      <x:c r="V177" t="str">
        <x:v>Cancelled</x:v>
      </x:c>
      <x:c r="W177" t="n">
        <x:v>37</x:v>
      </x:c>
      <x:c r="X177" t="str">
        <x:v>Cancelled Order</x:v>
      </x:c>
      <x:c r="Y177" t="str">
        <x:v>Referral</x:v>
      </x:c>
    </x:row>
    <x:row r="178">
      <x:c r="A178" t="str">
        <x:v>O000177</x:v>
      </x:c>
      <x:c r="B178" s="20" t="n">
        <x:v>46077</x:v>
      </x:c>
      <x:c r="C178" t="str">
        <x:v>C0069</x:v>
      </x:c>
      <x:c r="D178" t="str">
        <x:v>Cafe Hotel 69</x:v>
      </x:c>
      <x:c r="E178" t="str">
        <x:v>Supermarket</x:v>
      </x:c>
      <x:c r="F178" t="str">
        <x:v>Bengaluru</x:v>
      </x:c>
      <x:c r="G178" t="str">
        <x:v>Sneha</x:v>
      </x:c>
      <x:c r="H178" t="str">
        <x:v>P042</x:v>
      </x:c>
      <x:c r="I178" t="str">
        <x:v>Eggs 30pc Tray</x:v>
      </x:c>
      <x:c r="J178" t="str">
        <x:v>Protein</x:v>
      </x:c>
      <x:c r="K178" t="str">
        <x:v>Farm Fresh</x:v>
      </x:c>
      <x:c r="L178" s="22" t="n">
        <x:v>195</x:v>
      </x:c>
      <x:c r="M178" t="n">
        <x:v>33</x:v>
      </x:c>
      <x:c r="N178" s="24" t="n">
        <x:v>0</x:v>
      </x:c>
      <x:c r="O178" s="22" t="n">
        <x:f>L178*M178</x:f>
        <x:v>6435</x:v>
      </x:c>
      <x:c r="P178" s="22" t="n">
        <x:f>O178*(1-N178)</x:f>
        <x:v>6435</x:v>
      </x:c>
      <x:c r="Q178" s="22" t="n">
        <x:v>170</x:v>
      </x:c>
      <x:c r="R178" s="22" t="n">
        <x:f>Q178*M178</x:f>
        <x:v>5610</x:v>
      </x:c>
      <x:c r="S178" s="22" t="n">
        <x:f>P178-R178</x:f>
        <x:v>825</x:v>
      </x:c>
      <x:c r="T178" t="str">
        <x:v>UPI</x:v>
      </x:c>
      <x:c r="U178" t="str">
        <x:v>Paid</x:v>
      </x:c>
      <x:c r="V178" t="str">
        <x:v>Delivered</x:v>
      </x:c>
      <x:c r="W178" t="n">
        <x:v>0</x:v>
      </x:c>
      <x:c r="X178" t="str"/>
      <x:c r="Y178" t="str">
        <x:v>Existing Customer</x:v>
      </x:c>
    </x:row>
    <x:row r="179">
      <x:c r="A179" t="str">
        <x:v>O000178</x:v>
      </x:c>
      <x:c r="B179" s="20" t="n">
        <x:v>46280</x:v>
      </x:c>
      <x:c r="C179" t="str">
        <x:v>C0058</x:v>
      </x:c>
      <x:c r="D179" t="str">
        <x:v>Spice Kitchen 58</x:v>
      </x:c>
      <x:c r="E179" t="str">
        <x:v>Supermarket</x:v>
      </x:c>
      <x:c r="F179" t="str">
        <x:v>Davanagere</x:v>
      </x:c>
      <x:c r="G179" t="str">
        <x:v>Sneha</x:v>
      </x:c>
      <x:c r="H179" t="str">
        <x:v>P017</x:v>
      </x:c>
      <x:c r="I179" t="str">
        <x:v>Butter 500g</x:v>
      </x:c>
      <x:c r="J179" t="str">
        <x:v>Dairy</x:v>
      </x:c>
      <x:c r="K179" t="str">
        <x:v>Amul</x:v>
      </x:c>
      <x:c r="L179" s="22" t="n">
        <x:v>285</x:v>
      </x:c>
      <x:c r="M179" t="n">
        <x:v>20</x:v>
      </x:c>
      <x:c r="N179" s="24" t="n">
        <x:v>0.05</x:v>
      </x:c>
      <x:c r="O179" s="22" t="n">
        <x:f>L179*M179</x:f>
        <x:v>5700</x:v>
      </x:c>
      <x:c r="P179" s="22" t="n">
        <x:f>O179*(1-N179)</x:f>
        <x:v>5415</x:v>
      </x:c>
      <x:c r="Q179" s="22" t="n">
        <x:v>258</x:v>
      </x:c>
      <x:c r="R179" s="22" t="n">
        <x:f>Q179*M179</x:f>
        <x:v>5160</x:v>
      </x:c>
      <x:c r="S179" s="22" t="n">
        <x:f>P179-R179</x:f>
        <x:v>255</x:v>
      </x:c>
      <x:c r="T179" t="str">
        <x:v>Cash</x:v>
      </x:c>
      <x:c r="U179" t="str">
        <x:v>Paid</x:v>
      </x:c>
      <x:c r="V179" t="str">
        <x:v>Delivered</x:v>
      </x:c>
      <x:c r="W179" t="n">
        <x:v>0</x:v>
      </x:c>
      <x:c r="X179" t="str"/>
      <x:c r="Y179" t="str">
        <x:v>WhatsApp</x:v>
      </x:c>
    </x:row>
    <x:row r="180">
      <x:c r="A180" t="str">
        <x:v>O000179</x:v>
      </x:c>
      <x:c r="B180" s="20" t="n">
        <x:v>46191</x:v>
      </x:c>
      <x:c r="C180" t="str">
        <x:v>C0120</x:v>
      </x:c>
      <x:c r="D180" t="str">
        <x:v>Foodie Foods 120</x:v>
      </x:c>
      <x:c r="E180" t="str">
        <x:v>Hotel</x:v>
      </x:c>
      <x:c r="F180" t="str">
        <x:v>Hubballi</x:v>
      </x:c>
      <x:c r="G180" t="str">
        <x:v>Arjun</x:v>
      </x:c>
      <x:c r="H180" t="str">
        <x:v>P020</x:v>
      </x:c>
      <x:c r="I180" t="str">
        <x:v>Coffee 500g</x:v>
      </x:c>
      <x:c r="J180" t="str">
        <x:v>Beverage</x:v>
      </x:c>
      <x:c r="K180" t="str">
        <x:v>Bru</x:v>
      </x:c>
      <x:c r="L180" s="22" t="n">
        <x:v>390</x:v>
      </x:c>
      <x:c r="M180" t="n">
        <x:v>40</x:v>
      </x:c>
      <x:c r="N180" s="24" t="n">
        <x:v>0.02</x:v>
      </x:c>
      <x:c r="O180" s="22" t="n">
        <x:f>L180*M180</x:f>
        <x:v>15600</x:v>
      </x:c>
      <x:c r="P180" s="22" t="n">
        <x:f>O180*(1-N180)</x:f>
        <x:v>15288</x:v>
      </x:c>
      <x:c r="Q180" s="22" t="n">
        <x:v>350</x:v>
      </x:c>
      <x:c r="R180" s="22" t="n">
        <x:f>Q180*M180</x:f>
        <x:v>14000</x:v>
      </x:c>
      <x:c r="S180" s="22" t="n">
        <x:f>P180-R180</x:f>
        <x:v>1288</x:v>
      </x:c>
      <x:c r="T180" t="str">
        <x:v>UPI</x:v>
      </x:c>
      <x:c r="U180" t="str">
        <x:v>Paid</x:v>
      </x:c>
      <x:c r="V180" t="str">
        <x:v>Cancelled</x:v>
      </x:c>
      <x:c r="W180" t="n">
        <x:v>40</x:v>
      </x:c>
      <x:c r="X180" t="str">
        <x:v>Cancelled Order</x:v>
      </x:c>
      <x:c r="Y180" t="str">
        <x:v>Field Visit</x:v>
      </x:c>
    </x:row>
    <x:row r="181">
      <x:c r="A181" t="str">
        <x:v>O000180</x:v>
      </x:c>
      <x:c r="B181" s="20" t="n">
        <x:v>45947</x:v>
      </x:c>
      <x:c r="C181" t="str">
        <x:v>C0153</x:v>
      </x:c>
      <x:c r="D181" t="str">
        <x:v>Fresh Foods 153</x:v>
      </x:c>
      <x:c r="E181" t="str">
        <x:v>Kirana</x:v>
      </x:c>
      <x:c r="F181" t="str">
        <x:v>Bengaluru</x:v>
      </x:c>
      <x:c r="G181" t="str">
        <x:v>Priya</x:v>
      </x:c>
      <x:c r="H181" t="str">
        <x:v>P039</x:v>
      </x:c>
      <x:c r="I181" t="str">
        <x:v>Ice Cream 4L</x:v>
      </x:c>
      <x:c r="J181" t="str">
        <x:v>Frozen</x:v>
      </x:c>
      <x:c r="K181" t="str">
        <x:v>Amul</x:v>
      </x:c>
      <x:c r="L181" s="22" t="n">
        <x:v>480</x:v>
      </x:c>
      <x:c r="M181" t="n">
        <x:v>20</x:v>
      </x:c>
      <x:c r="N181" s="24" t="n">
        <x:v>0.05</x:v>
      </x:c>
      <x:c r="O181" s="22" t="n">
        <x:f>L181*M181</x:f>
        <x:v>9600</x:v>
      </x:c>
      <x:c r="P181" s="22" t="n">
        <x:f>O181*(1-N181)</x:f>
        <x:v>9120</x:v>
      </x:c>
      <x:c r="Q181" s="22" t="n">
        <x:v>420</x:v>
      </x:c>
      <x:c r="R181" s="22" t="n">
        <x:f>Q181*M181</x:f>
        <x:v>8400</x:v>
      </x:c>
      <x:c r="S181" s="22" t="n">
        <x:f>P181-R181</x:f>
        <x:v>720</x:v>
      </x:c>
      <x:c r="T181" t="str">
        <x:v>Credit</x:v>
      </x:c>
      <x:c r="U181" t="str">
        <x:v>Paid</x:v>
      </x:c>
      <x:c r="V181" t="str">
        <x:v>Delivered</x:v>
      </x:c>
      <x:c r="W181" t="n">
        <x:v>0</x:v>
      </x:c>
      <x:c r="X181" t="str"/>
      <x:c r="Y181" t="str">
        <x:v>Field Visit</x:v>
      </x:c>
    </x:row>
    <x:row r="182">
      <x:c r="A182" t="str">
        <x:v>O000181</x:v>
      </x:c>
      <x:c r="B182" s="20" t="n">
        <x:v>45963</x:v>
      </x:c>
      <x:c r="C182" t="str">
        <x:v>C0183</x:v>
      </x:c>
      <x:c r="D182" t="str">
        <x:v>Spice Mart 183</x:v>
      </x:c>
      <x:c r="E182" t="str">
        <x:v>Kirana</x:v>
      </x:c>
      <x:c r="F182" t="str">
        <x:v>Mangaluru</x:v>
      </x:c>
      <x:c r="G182" t="str">
        <x:v>Kavya</x:v>
      </x:c>
      <x:c r="H182" t="str">
        <x:v>P042</x:v>
      </x:c>
      <x:c r="I182" t="str">
        <x:v>Eggs 30pc Tray</x:v>
      </x:c>
      <x:c r="J182" t="str">
        <x:v>Protein</x:v>
      </x:c>
      <x:c r="K182" t="str">
        <x:v>Farm Fresh</x:v>
      </x:c>
      <x:c r="L182" s="22" t="n">
        <x:v>195</x:v>
      </x:c>
      <x:c r="M182" t="n">
        <x:v>13</x:v>
      </x:c>
      <x:c r="N182" s="24" t="n">
        <x:v>0</x:v>
      </x:c>
      <x:c r="O182" s="22" t="n">
        <x:f>L182*M182</x:f>
        <x:v>2535</x:v>
      </x:c>
      <x:c r="P182" s="22" t="n">
        <x:f>O182*(1-N182)</x:f>
        <x:v>2535</x:v>
      </x:c>
      <x:c r="Q182" s="22" t="n">
        <x:v>170</x:v>
      </x:c>
      <x:c r="R182" s="22" t="n">
        <x:f>Q182*M182</x:f>
        <x:v>2210</x:v>
      </x:c>
      <x:c r="S182" s="22" t="n">
        <x:f>P182-R182</x:f>
        <x:v>325</x:v>
      </x:c>
      <x:c r="T182" t="str">
        <x:v>Bank Transfer</x:v>
      </x:c>
      <x:c r="U182" t="str">
        <x:v>Pending</x:v>
      </x:c>
      <x:c r="V182" t="str">
        <x:v>Delayed</x:v>
      </x:c>
      <x:c r="W182" t="n">
        <x:v>0</x:v>
      </x:c>
      <x:c r="X182" t="str"/>
      <x:c r="Y182" t="str">
        <x:v>WhatsApp</x:v>
      </x:c>
    </x:row>
    <x:row r="183">
      <x:c r="A183" t="str">
        <x:v>O000182</x:v>
      </x:c>
      <x:c r="B183" s="20" t="n">
        <x:v>45684</x:v>
      </x:c>
      <x:c r="C183" t="str">
        <x:v>C0175</x:v>
      </x:c>
      <x:c r="D183" t="str">
        <x:v>Namma Mart 175</x:v>
      </x:c>
      <x:c r="E183" t="str">
        <x:v>Hotel</x:v>
      </x:c>
      <x:c r="F183" t="str">
        <x:v>Davanagere</x:v>
      </x:c>
      <x:c r="G183" t="str">
        <x:v>Sneha</x:v>
      </x:c>
      <x:c r="H183" t="str">
        <x:v>P009</x:v>
      </x:c>
      <x:c r="I183" t="str">
        <x:v>Groundnut Oil 5L</x:v>
      </x:c>
      <x:c r="J183" t="str">
        <x:v>Edible Oil</x:v>
      </x:c>
      <x:c r="K183" t="str">
        <x:v>Dhara</x:v>
      </x:c>
      <x:c r="L183" s="22" t="n">
        <x:v>890</x:v>
      </x:c>
      <x:c r="M183" t="n">
        <x:v>32</x:v>
      </x:c>
      <x:c r="N183" s="24" t="n">
        <x:v>0.1</x:v>
      </x:c>
      <x:c r="O183" s="22" t="n">
        <x:f>L183*M183</x:f>
        <x:v>28480</x:v>
      </x:c>
      <x:c r="P183" s="22" t="n">
        <x:f>O183*(1-N183)</x:f>
        <x:v>25632</x:v>
      </x:c>
      <x:c r="Q183" s="22" t="n">
        <x:v>810</x:v>
      </x:c>
      <x:c r="R183" s="22" t="n">
        <x:f>Q183*M183</x:f>
        <x:v>25920</x:v>
      </x:c>
      <x:c r="S183" s="22" t="n">
        <x:f>P183-R183</x:f>
        <x:v>-288</x:v>
      </x:c>
      <x:c r="T183" t="str">
        <x:v>Cash</x:v>
      </x:c>
      <x:c r="U183" t="str">
        <x:v>Pending</x:v>
      </x:c>
      <x:c r="V183" t="str">
        <x:v>Delivered</x:v>
      </x:c>
      <x:c r="W183" t="n">
        <x:v>0</x:v>
      </x:c>
      <x:c r="X183" t="str"/>
      <x:c r="Y183" t="str">
        <x:v>Outbound Call</x:v>
      </x:c>
    </x:row>
    <x:row r="184">
      <x:c r="A184" t="str">
        <x:v>O000183</x:v>
      </x:c>
      <x:c r="B184" s="20" t="n">
        <x:v>46009</x:v>
      </x:c>
      <x:c r="C184" t="str">
        <x:v>C0147</x:v>
      </x:c>
      <x:c r="D184" t="str">
        <x:v>New Stores 147</x:v>
      </x:c>
      <x:c r="E184" t="str">
        <x:v>Supermarket</x:v>
      </x:c>
      <x:c r="F184" t="str">
        <x:v>Hubballi</x:v>
      </x:c>
      <x:c r="G184" t="str">
        <x:v>Imran</x:v>
      </x:c>
      <x:c r="H184" t="str">
        <x:v>P013</x:v>
      </x:c>
      <x:c r="I184" t="str">
        <x:v>Atta 10kg</x:v>
      </x:c>
      <x:c r="J184" t="str">
        <x:v>Flour</x:v>
      </x:c>
      <x:c r="K184" t="str">
        <x:v>Aashirvaad</x:v>
      </x:c>
      <x:c r="L184" s="22" t="n">
        <x:v>560</x:v>
      </x:c>
      <x:c r="M184" t="n">
        <x:v>15</x:v>
      </x:c>
      <x:c r="N184" s="24" t="n">
        <x:v>0.05</x:v>
      </x:c>
      <x:c r="O184" s="22" t="n">
        <x:f>L184*M184</x:f>
        <x:v>8400</x:v>
      </x:c>
      <x:c r="P184" s="22" t="n">
        <x:f>O184*(1-N184)</x:f>
        <x:v>7980</x:v>
      </x:c>
      <x:c r="Q184" s="22" t="n">
        <x:v>495</x:v>
      </x:c>
      <x:c r="R184" s="22" t="n">
        <x:f>Q184*M184</x:f>
        <x:v>7425</x:v>
      </x:c>
      <x:c r="S184" s="22" t="n">
        <x:f>P184-R184</x:f>
        <x:v>555</x:v>
      </x:c>
      <x:c r="T184" t="str">
        <x:v>Credit</x:v>
      </x:c>
      <x:c r="U184" t="str">
        <x:v>Pending</x:v>
      </x:c>
      <x:c r="V184" t="str">
        <x:v>Cancelled</x:v>
      </x:c>
      <x:c r="W184" t="n">
        <x:v>15</x:v>
      </x:c>
      <x:c r="X184" t="str">
        <x:v>Cancelled Order</x:v>
      </x:c>
      <x:c r="Y184" t="str">
        <x:v>Field Visit</x:v>
      </x:c>
    </x:row>
    <x:row r="185">
      <x:c r="A185" t="str">
        <x:v>O000184</x:v>
      </x:c>
      <x:c r="B185" s="20" t="n">
        <x:v>46229</x:v>
      </x:c>
      <x:c r="C185" t="str">
        <x:v>C0217</x:v>
      </x:c>
      <x:c r="D185" t="str">
        <x:v>Darshini Cafe 217</x:v>
      </x:c>
      <x:c r="E185" t="str">
        <x:v>Restaurant</x:v>
      </x:c>
      <x:c r="F185" t="str">
        <x:v>Bengaluru</x:v>
      </x:c>
      <x:c r="G185" t="str">
        <x:v>Priya</x:v>
      </x:c>
      <x:c r="H185" t="str">
        <x:v>P011</x:v>
      </x:c>
      <x:c r="I185" t="str">
        <x:v>Salt 1kg</x:v>
      </x:c>
      <x:c r="J185" t="str">
        <x:v>Staples</x:v>
      </x:c>
      <x:c r="K185" t="str">
        <x:v>Tata</x:v>
      </x:c>
      <x:c r="L185" s="22" t="n">
        <x:v>28</x:v>
      </x:c>
      <x:c r="M185" t="n">
        <x:v>12</x:v>
      </x:c>
      <x:c r="N185" s="24" t="n">
        <x:v>0.02</x:v>
      </x:c>
      <x:c r="O185" s="22" t="n">
        <x:f>L185*M185</x:f>
        <x:v>336</x:v>
      </x:c>
      <x:c r="P185" s="22" t="n">
        <x:f>O185*(1-N185)</x:f>
        <x:v>329.28</x:v>
      </x:c>
      <x:c r="Q185" s="22" t="n">
        <x:v>23</x:v>
      </x:c>
      <x:c r="R185" s="22" t="n">
        <x:f>Q185*M185</x:f>
        <x:v>276</x:v>
      </x:c>
      <x:c r="S185" s="22" t="n">
        <x:f>P185-R185</x:f>
        <x:v>53.27999999999997</x:v>
      </x:c>
      <x:c r="T185" t="str">
        <x:v>Credit</x:v>
      </x:c>
      <x:c r="U185" t="str">
        <x:v>Paid</x:v>
      </x:c>
      <x:c r="V185" t="str">
        <x:v>Delivered</x:v>
      </x:c>
      <x:c r="W185" t="n">
        <x:v>0</x:v>
      </x:c>
      <x:c r="X185" t="str"/>
      <x:c r="Y185" t="str">
        <x:v>Existing Customer</x:v>
      </x:c>
    </x:row>
    <x:row r="186">
      <x:c r="A186" t="str">
        <x:v>O000185</x:v>
      </x:c>
      <x:c r="B186" s="20" t="n">
        <x:v>46001</x:v>
      </x:c>
      <x:c r="C186" t="str">
        <x:v>C0047</x:v>
      </x:c>
      <x:c r="D186" t="str">
        <x:v>Shree Restaurant 47</x:v>
      </x:c>
      <x:c r="E186" t="str">
        <x:v>Canteen</x:v>
      </x:c>
      <x:c r="F186" t="str">
        <x:v>Davanagere</x:v>
      </x:c>
      <x:c r="G186" t="str">
        <x:v>Arjun</x:v>
      </x:c>
      <x:c r="H186" t="str">
        <x:v>P044</x:v>
      </x:c>
      <x:c r="I186" t="str">
        <x:v>Chicken Curry Cut 1kg</x:v>
      </x:c>
      <x:c r="J186" t="str">
        <x:v>Protein</x:v>
      </x:c>
      <x:c r="K186" t="str">
        <x:v>FreshToHome</x:v>
      </x:c>
      <x:c r="L186" s="22" t="n">
        <x:v>230</x:v>
      </x:c>
      <x:c r="M186" t="n">
        <x:v>6</x:v>
      </x:c>
      <x:c r="N186" s="24" t="n">
        <x:v>0</x:v>
      </x:c>
      <x:c r="O186" s="22" t="n">
        <x:f>L186*M186</x:f>
        <x:v>1380</x:v>
      </x:c>
      <x:c r="P186" s="22" t="n">
        <x:f>O186*(1-N186)</x:f>
        <x:v>1380</x:v>
      </x:c>
      <x:c r="Q186" s="22" t="n">
        <x:v>205</x:v>
      </x:c>
      <x:c r="R186" s="22" t="n">
        <x:f>Q186*M186</x:f>
        <x:v>1230</x:v>
      </x:c>
      <x:c r="S186" s="22" t="n">
        <x:f>P186-R186</x:f>
        <x:v>150</x:v>
      </x:c>
      <x:c r="T186" t="str">
        <x:v>Bank Transfer</x:v>
      </x:c>
      <x:c r="U186" t="str">
        <x:v>Pending</x:v>
      </x:c>
      <x:c r="V186" t="str">
        <x:v>Delivered</x:v>
      </x:c>
      <x:c r="W186" t="n">
        <x:v>0</x:v>
      </x:c>
      <x:c r="X186" t="str"/>
      <x:c r="Y186" t="str">
        <x:v>Field Visit</x:v>
      </x:c>
    </x:row>
    <x:row r="187">
      <x:c r="A187" t="str">
        <x:v>O000186</x:v>
      </x:c>
      <x:c r="B187" s="20" t="n">
        <x:v>46132</x:v>
      </x:c>
      <x:c r="C187" t="str">
        <x:v>C0150</x:v>
      </x:c>
      <x:c r="D187" t="str">
        <x:v>Sagar Kitchen 150</x:v>
      </x:c>
      <x:c r="E187" t="str">
        <x:v>Kirana</x:v>
      </x:c>
      <x:c r="F187" t="str">
        <x:v>Hubballi</x:v>
      </x:c>
      <x:c r="G187" t="str">
        <x:v>Ramesh</x:v>
      </x:c>
      <x:c r="H187" t="str">
        <x:v>P019</x:v>
      </x:c>
      <x:c r="I187" t="str">
        <x:v>Tea 1kg</x:v>
      </x:c>
      <x:c r="J187" t="str">
        <x:v>Beverage</x:v>
      </x:c>
      <x:c r="K187" t="str">
        <x:v>Red Label</x:v>
      </x:c>
      <x:c r="L187" s="22" t="n">
        <x:v>540</x:v>
      </x:c>
      <x:c r="M187" t="n">
        <x:v>8</x:v>
      </x:c>
      <x:c r="N187" s="24" t="n">
        <x:v>0.03</x:v>
      </x:c>
      <x:c r="O187" s="22" t="n">
        <x:f>L187*M187</x:f>
        <x:v>4320</x:v>
      </x:c>
      <x:c r="P187" s="22" t="n">
        <x:f>O187*(1-N187)</x:f>
        <x:v>4190.4</x:v>
      </x:c>
      <x:c r="Q187" s="22" t="n">
        <x:v>485</x:v>
      </x:c>
      <x:c r="R187" s="22" t="n">
        <x:f>Q187*M187</x:f>
        <x:v>3880</x:v>
      </x:c>
      <x:c r="S187" s="22" t="n">
        <x:f>P187-R187</x:f>
        <x:v>310.39999999999964</x:v>
      </x:c>
      <x:c r="T187" t="str">
        <x:v>UPI</x:v>
      </x:c>
      <x:c r="U187" t="str">
        <x:v>Paid</x:v>
      </x:c>
      <x:c r="V187" t="str">
        <x:v>Delivered</x:v>
      </x:c>
      <x:c r="W187" t="n">
        <x:v>0</x:v>
      </x:c>
      <x:c r="X187" t="str"/>
      <x:c r="Y187" t="str">
        <x:v>WhatsApp</x:v>
      </x:c>
    </x:row>
    <x:row r="188">
      <x:c r="A188" t="str">
        <x:v>O000187</x:v>
      </x:c>
      <x:c r="B188" s="20" t="n">
        <x:v>45812</x:v>
      </x:c>
      <x:c r="C188" t="str">
        <x:v>C0106</x:v>
      </x:c>
      <x:c r="D188" t="str">
        <x:v>Classic Mart 106</x:v>
      </x:c>
      <x:c r="E188" t="str">
        <x:v>Restaurant</x:v>
      </x:c>
      <x:c r="F188" t="str">
        <x:v>Mysuru</x:v>
      </x:c>
      <x:c r="G188" t="str">
        <x:v>Kavya</x:v>
      </x:c>
      <x:c r="H188" t="str">
        <x:v>P004</x:v>
      </x:c>
      <x:c r="I188" t="str">
        <x:v>Toor Dal 5kg</x:v>
      </x:c>
      <x:c r="J188" t="str">
        <x:v>Pulses</x:v>
      </x:c>
      <x:c r="K188" t="str">
        <x:v>Tata Sampann</x:v>
      </x:c>
      <x:c r="L188" s="22" t="n">
        <x:v>780</x:v>
      </x:c>
      <x:c r="M188" t="n">
        <x:v>9</x:v>
      </x:c>
      <x:c r="N188" s="24" t="n">
        <x:v>0.1</x:v>
      </x:c>
      <x:c r="O188" s="22" t="n">
        <x:f>L188*M188</x:f>
        <x:v>7020</x:v>
      </x:c>
      <x:c r="P188" s="22" t="n">
        <x:f>O188*(1-N188)</x:f>
        <x:v>6318</x:v>
      </x:c>
      <x:c r="Q188" s="22" t="n">
        <x:v>695</x:v>
      </x:c>
      <x:c r="R188" s="22" t="n">
        <x:f>Q188*M188</x:f>
        <x:v>6255</x:v>
      </x:c>
      <x:c r="S188" s="22" t="n">
        <x:f>P188-R188</x:f>
        <x:v>63</x:v>
      </x:c>
      <x:c r="T188" t="str">
        <x:v>Cash</x:v>
      </x:c>
      <x:c r="U188" t="str">
        <x:v>Paid</x:v>
      </x:c>
      <x:c r="V188" t="str">
        <x:v>Delayed</x:v>
      </x:c>
      <x:c r="W188" t="n">
        <x:v>0</x:v>
      </x:c>
      <x:c r="X188" t="str"/>
      <x:c r="Y188" t="str">
        <x:v>WhatsApp</x:v>
      </x:c>
    </x:row>
    <x:row r="189">
      <x:c r="A189" t="str">
        <x:v>O000188</x:v>
      </x:c>
      <x:c r="B189" s="20" t="n">
        <x:v>45842</x:v>
      </x:c>
      <x:c r="C189" t="str">
        <x:v>C0221</x:v>
      </x:c>
      <x:c r="D189" t="str">
        <x:v>Cafe Canteen 221</x:v>
      </x:c>
      <x:c r="E189" t="str">
        <x:v>Hotel</x:v>
      </x:c>
      <x:c r="F189" t="str">
        <x:v>Hubballi</x:v>
      </x:c>
      <x:c r="G189" t="str">
        <x:v>Kavya</x:v>
      </x:c>
      <x:c r="H189" t="str">
        <x:v>P046</x:v>
      </x:c>
      <x:c r="I189" t="str">
        <x:v>Potato 25kg</x:v>
      </x:c>
      <x:c r="J189" t="str">
        <x:v>Fresh Produce</x:v>
      </x:c>
      <x:c r="K189" t="str">
        <x:v>Local Market</x:v>
      </x:c>
      <x:c r="L189" s="22" t="n">
        <x:v>700</x:v>
      </x:c>
      <x:c r="M189" t="n">
        <x:v>6</x:v>
      </x:c>
      <x:c r="N189" s="24" t="n">
        <x:v>0.03</x:v>
      </x:c>
      <x:c r="O189" s="22" t="n">
        <x:f>L189*M189</x:f>
        <x:v>4200</x:v>
      </x:c>
      <x:c r="P189" s="22" t="n">
        <x:f>O189*(1-N189)</x:f>
        <x:v>4074</x:v>
      </x:c>
      <x:c r="Q189" s="22" t="n">
        <x:v>610</x:v>
      </x:c>
      <x:c r="R189" s="22" t="n">
        <x:f>Q189*M189</x:f>
        <x:v>3660</x:v>
      </x:c>
      <x:c r="S189" s="22" t="n">
        <x:f>P189-R189</x:f>
        <x:v>414</x:v>
      </x:c>
      <x:c r="T189" t="str">
        <x:v>Bank Transfer</x:v>
      </x:c>
      <x:c r="U189" t="str">
        <x:v>Paid</x:v>
      </x:c>
      <x:c r="V189" t="str">
        <x:v>Delivered</x:v>
      </x:c>
      <x:c r="W189" t="n">
        <x:v>3</x:v>
      </x:c>
      <x:c r="X189" t="str">
        <x:v>Wrong Item</x:v>
      </x:c>
      <x:c r="Y189" t="str">
        <x:v>Referral</x:v>
      </x:c>
    </x:row>
    <x:row r="190">
      <x:c r="A190" t="str">
        <x:v>O000189</x:v>
      </x:c>
      <x:c r="B190" s="20" t="n">
        <x:v>45748</x:v>
      </x:c>
      <x:c r="C190" t="str">
        <x:v>C0041</x:v>
      </x:c>
      <x:c r="D190" t="str">
        <x:v>Grand Mart 41</x:v>
      </x:c>
      <x:c r="E190" t="str">
        <x:v>Cafe</x:v>
      </x:c>
      <x:c r="F190" t="str">
        <x:v>Bengaluru</x:v>
      </x:c>
      <x:c r="G190" t="str">
        <x:v>Kavya</x:v>
      </x:c>
      <x:c r="H190" t="str">
        <x:v>P032</x:v>
      </x:c>
      <x:c r="I190" t="str">
        <x:v>Soy Sauce 700g</x:v>
      </x:c>
      <x:c r="J190" t="str">
        <x:v>Condiments</x:v>
      </x:c>
      <x:c r="K190" t="str">
        <x:v>Ching's</x:v>
      </x:c>
      <x:c r="L190" s="22" t="n">
        <x:v>118</x:v>
      </x:c>
      <x:c r="M190" t="n">
        <x:v>9</x:v>
      </x:c>
      <x:c r="N190" s="24" t="n">
        <x:v>0.05</x:v>
      </x:c>
      <x:c r="O190" s="22" t="n">
        <x:f>L190*M190</x:f>
        <x:v>1062</x:v>
      </x:c>
      <x:c r="P190" s="22" t="n">
        <x:f>O190*(1-N190)</x:f>
        <x:v>1008.9</x:v>
      </x:c>
      <x:c r="Q190" s="22" t="n">
        <x:v>101</x:v>
      </x:c>
      <x:c r="R190" s="22" t="n">
        <x:f>Q190*M190</x:f>
        <x:v>909</x:v>
      </x:c>
      <x:c r="S190" s="22" t="n">
        <x:f>P190-R190</x:f>
        <x:v>99.89999999999998</x:v>
      </x:c>
      <x:c r="T190" t="str">
        <x:v>Credit</x:v>
      </x:c>
      <x:c r="U190" t="str">
        <x:v>Paid</x:v>
      </x:c>
      <x:c r="V190" t="str">
        <x:v>Delivered</x:v>
      </x:c>
      <x:c r="W190" t="n">
        <x:v>0</x:v>
      </x:c>
      <x:c r="X190" t="str"/>
      <x:c r="Y190" t="str">
        <x:v>Outbound Call</x:v>
      </x:c>
    </x:row>
    <x:row r="191">
      <x:c r="A191" t="str">
        <x:v>O000190</x:v>
      </x:c>
      <x:c r="B191" s="20" t="n">
        <x:v>45672</x:v>
      </x:c>
      <x:c r="C191" t="str">
        <x:v>C0188</x:v>
      </x:c>
      <x:c r="D191" t="str">
        <x:v>New Canteen 188</x:v>
      </x:c>
      <x:c r="E191" t="str">
        <x:v>Restaurant</x:v>
      </x:c>
      <x:c r="F191" t="str">
        <x:v>Bengaluru</x:v>
      </x:c>
      <x:c r="G191" t="str">
        <x:v>Kavya</x:v>
      </x:c>
      <x:c r="H191" t="str">
        <x:v>P024</x:v>
      </x:c>
      <x:c r="I191" t="str">
        <x:v>Orange Drink 1L</x:v>
      </x:c>
      <x:c r="J191" t="str">
        <x:v>Beverage</x:v>
      </x:c>
      <x:c r="K191" t="str">
        <x:v>Minute Maid</x:v>
      </x:c>
      <x:c r="L191" s="22" t="n">
        <x:v>105</x:v>
      </x:c>
      <x:c r="M191" t="n">
        <x:v>21</x:v>
      </x:c>
      <x:c r="N191" s="24" t="n">
        <x:v>0.05</x:v>
      </x:c>
      <x:c r="O191" s="22" t="n">
        <x:f>L191*M191</x:f>
        <x:v>2205</x:v>
      </x:c>
      <x:c r="P191" s="22" t="n">
        <x:f>O191*(1-N191)</x:f>
        <x:v>2094.75</x:v>
      </x:c>
      <x:c r="Q191" s="22" t="n">
        <x:v>88</x:v>
      </x:c>
      <x:c r="R191" s="22" t="n">
        <x:f>Q191*M191</x:f>
        <x:v>1848</x:v>
      </x:c>
      <x:c r="S191" s="22" t="n">
        <x:f>P191-R191</x:f>
        <x:v>246.75</x:v>
      </x:c>
      <x:c r="T191" t="str">
        <x:v>Bank Transfer</x:v>
      </x:c>
      <x:c r="U191" t="str">
        <x:v>Paid</x:v>
      </x:c>
      <x:c r="V191" t="str">
        <x:v>Delivered</x:v>
      </x:c>
      <x:c r="W191" t="n">
        <x:v>0</x:v>
      </x:c>
      <x:c r="X191" t="str"/>
      <x:c r="Y191" t="str">
        <x:v>Referral</x:v>
      </x:c>
    </x:row>
    <x:row r="192">
      <x:c r="A192" t="str">
        <x:v>O000191</x:v>
      </x:c>
      <x:c r="B192" s="20" t="n">
        <x:v>45977</x:v>
      </x:c>
      <x:c r="C192" t="str">
        <x:v>C0225</x:v>
      </x:c>
      <x:c r="D192" t="str">
        <x:v>Darshini Mart 225</x:v>
      </x:c>
      <x:c r="E192" t="str">
        <x:v>Restaurant</x:v>
      </x:c>
      <x:c r="F192" t="str">
        <x:v>Davanagere</x:v>
      </x:c>
      <x:c r="G192" t="str">
        <x:v>Kavya</x:v>
      </x:c>
      <x:c r="H192" t="str">
        <x:v>P023</x:v>
      </x:c>
      <x:c r="I192" t="str">
        <x:v>Cola 750ml</x:v>
      </x:c>
      <x:c r="J192" t="str">
        <x:v>Beverage</x:v>
      </x:c>
      <x:c r="K192" t="str">
        <x:v>Coca-Cola</x:v>
      </x:c>
      <x:c r="L192" s="22" t="n">
        <x:v>38</x:v>
      </x:c>
      <x:c r="M192" t="n">
        <x:v>9</x:v>
      </x:c>
      <x:c r="N192" s="24" t="n">
        <x:v>0</x:v>
      </x:c>
      <x:c r="O192" s="22" t="n">
        <x:f>L192*M192</x:f>
        <x:v>342</x:v>
      </x:c>
      <x:c r="P192" s="22" t="n">
        <x:f>O192*(1-N192)</x:f>
        <x:v>342</x:v>
      </x:c>
      <x:c r="Q192" s="22" t="n">
        <x:v>31</x:v>
      </x:c>
      <x:c r="R192" s="22" t="n">
        <x:f>Q192*M192</x:f>
        <x:v>279</x:v>
      </x:c>
      <x:c r="S192" s="22" t="n">
        <x:f>P192-R192</x:f>
        <x:v>63</x:v>
      </x:c>
      <x:c r="T192" t="str">
        <x:v>Cash</x:v>
      </x:c>
      <x:c r="U192" t="str">
        <x:v>Paid</x:v>
      </x:c>
      <x:c r="V192" t="str">
        <x:v>Delivered</x:v>
      </x:c>
      <x:c r="W192" t="n">
        <x:v>0</x:v>
      </x:c>
      <x:c r="X192" t="str"/>
      <x:c r="Y192" t="str">
        <x:v>Field Visit</x:v>
      </x:c>
    </x:row>
    <x:row r="193">
      <x:c r="A193" t="str">
        <x:v>O000192</x:v>
      </x:c>
      <x:c r="B193" s="20" t="n">
        <x:v>46194</x:v>
      </x:c>
      <x:c r="C193" t="str">
        <x:v>C0134</x:v>
      </x:c>
      <x:c r="D193" t="str">
        <x:v>Annapurna Stores 134</x:v>
      </x:c>
      <x:c r="E193" t="str">
        <x:v>Cafe</x:v>
      </x:c>
      <x:c r="F193" t="str">
        <x:v>Bengaluru</x:v>
      </x:c>
      <x:c r="G193" t="str">
        <x:v>Kavya</x:v>
      </x:c>
      <x:c r="H193" t="str">
        <x:v>P039</x:v>
      </x:c>
      <x:c r="I193" t="str">
        <x:v>Ice Cream 4L</x:v>
      </x:c>
      <x:c r="J193" t="str">
        <x:v>Frozen</x:v>
      </x:c>
      <x:c r="K193" t="str">
        <x:v>Amul</x:v>
      </x:c>
      <x:c r="L193" s="22" t="n">
        <x:v>480</x:v>
      </x:c>
      <x:c r="M193" t="n">
        <x:v>22</x:v>
      </x:c>
      <x:c r="N193" s="24" t="n">
        <x:v>0.03</x:v>
      </x:c>
      <x:c r="O193" s="22" t="n">
        <x:f>L193*M193</x:f>
        <x:v>10560</x:v>
      </x:c>
      <x:c r="P193" s="22" t="n">
        <x:f>O193*(1-N193)</x:f>
        <x:v>10243.199999999999</x:v>
      </x:c>
      <x:c r="Q193" s="22" t="n">
        <x:v>420</x:v>
      </x:c>
      <x:c r="R193" s="22" t="n">
        <x:f>Q193*M193</x:f>
        <x:v>9240</x:v>
      </x:c>
      <x:c r="S193" s="22" t="n">
        <x:f>P193-R193</x:f>
        <x:v>1003.1999999999989</x:v>
      </x:c>
      <x:c r="T193" t="str">
        <x:v>Bank Transfer</x:v>
      </x:c>
      <x:c r="U193" t="str">
        <x:v>Paid</x:v>
      </x:c>
      <x:c r="V193" t="str">
        <x:v>Delivered</x:v>
      </x:c>
      <x:c r="W193" t="n">
        <x:v>0</x:v>
      </x:c>
      <x:c r="X193" t="str"/>
      <x:c r="Y193" t="str">
        <x:v>Referral</x:v>
      </x:c>
    </x:row>
    <x:row r="194">
      <x:c r="A194" t="str">
        <x:v>O000193</x:v>
      </x:c>
      <x:c r="B194" s="20" t="n">
        <x:v>45677</x:v>
      </x:c>
      <x:c r="C194" t="str">
        <x:v>C0233</x:v>
      </x:c>
      <x:c r="D194" t="str">
        <x:v>Shree Mart 233</x:v>
      </x:c>
      <x:c r="E194" t="str">
        <x:v>Kirana</x:v>
      </x:c>
      <x:c r="F194" t="str">
        <x:v>Mangaluru</x:v>
      </x:c>
      <x:c r="G194" t="str">
        <x:v>Priya</x:v>
      </x:c>
      <x:c r="H194" t="str">
        <x:v>P026</x:v>
      </x:c>
      <x:c r="I194" t="str">
        <x:v>Banana Chips 80g</x:v>
      </x:c>
      <x:c r="J194" t="str">
        <x:v>Snacks</x:v>
      </x:c>
      <x:c r="K194" t="str">
        <x:v>SSS</x:v>
      </x:c>
      <x:c r="L194" s="22" t="n">
        <x:v>54</x:v>
      </x:c>
      <x:c r="M194" t="n">
        <x:v>15</x:v>
      </x:c>
      <x:c r="N194" s="24" t="n">
        <x:v>0</x:v>
      </x:c>
      <x:c r="O194" s="22" t="n">
        <x:f>L194*M194</x:f>
        <x:v>810</x:v>
      </x:c>
      <x:c r="P194" s="22" t="n">
        <x:f>O194*(1-N194)</x:f>
        <x:v>810</x:v>
      </x:c>
      <x:c r="Q194" s="22" t="n">
        <x:v>39</x:v>
      </x:c>
      <x:c r="R194" s="22" t="n">
        <x:f>Q194*M194</x:f>
        <x:v>585</x:v>
      </x:c>
      <x:c r="S194" s="22" t="n">
        <x:f>P194-R194</x:f>
        <x:v>225</x:v>
      </x:c>
      <x:c r="T194" t="str">
        <x:v>Bank Transfer</x:v>
      </x:c>
      <x:c r="U194" t="str">
        <x:v>Paid</x:v>
      </x:c>
      <x:c r="V194" t="str">
        <x:v>Delivered</x:v>
      </x:c>
      <x:c r="W194" t="n">
        <x:v>0</x:v>
      </x:c>
      <x:c r="X194" t="str"/>
      <x:c r="Y194" t="str">
        <x:v>Referral</x:v>
      </x:c>
    </x:row>
    <x:row r="195">
      <x:c r="A195" t="str">
        <x:v>O000194</x:v>
      </x:c>
      <x:c r="B195" s="20" t="n">
        <x:v>45696</x:v>
      </x:c>
      <x:c r="C195" t="str">
        <x:v>C0183</x:v>
      </x:c>
      <x:c r="D195" t="str">
        <x:v>Spice Mart 183</x:v>
      </x:c>
      <x:c r="E195" t="str">
        <x:v>Kirana</x:v>
      </x:c>
      <x:c r="F195" t="str">
        <x:v>Mangaluru</x:v>
      </x:c>
      <x:c r="G195" t="str">
        <x:v>Kavya</x:v>
      </x:c>
      <x:c r="H195" t="str">
        <x:v>P042</x:v>
      </x:c>
      <x:c r="I195" t="str">
        <x:v>Eggs 30pc Tray</x:v>
      </x:c>
      <x:c r="J195" t="str">
        <x:v>Protein</x:v>
      </x:c>
      <x:c r="K195" t="str">
        <x:v>Farm Fresh</x:v>
      </x:c>
      <x:c r="L195" s="22" t="n">
        <x:v>195</x:v>
      </x:c>
      <x:c r="M195" t="n">
        <x:v>25</x:v>
      </x:c>
      <x:c r="N195" s="24" t="n">
        <x:v>0.08</x:v>
      </x:c>
      <x:c r="O195" s="22" t="n">
        <x:f>L195*M195</x:f>
        <x:v>4875</x:v>
      </x:c>
      <x:c r="P195" s="22" t="n">
        <x:f>O195*(1-N195)</x:f>
        <x:v>4485</x:v>
      </x:c>
      <x:c r="Q195" s="22" t="n">
        <x:v>170</x:v>
      </x:c>
      <x:c r="R195" s="22" t="n">
        <x:f>Q195*M195</x:f>
        <x:v>4250</x:v>
      </x:c>
      <x:c r="S195" s="22" t="n">
        <x:f>P195-R195</x:f>
        <x:v>235</x:v>
      </x:c>
      <x:c r="T195" t="str">
        <x:v>Cash</x:v>
      </x:c>
      <x:c r="U195" t="str">
        <x:v>Pending</x:v>
      </x:c>
      <x:c r="V195" t="str">
        <x:v>Delayed</x:v>
      </x:c>
      <x:c r="W195" t="n">
        <x:v>0</x:v>
      </x:c>
      <x:c r="X195" t="str"/>
      <x:c r="Y195" t="str">
        <x:v>Outbound Call</x:v>
      </x:c>
    </x:row>
    <x:row r="196">
      <x:c r="A196" t="str">
        <x:v>O000195</x:v>
      </x:c>
      <x:c r="B196" s="20" t="n">
        <x:v>45768</x:v>
      </x:c>
      <x:c r="C196" t="str">
        <x:v>C0013</x:v>
      </x:c>
      <x:c r="D196" t="str">
        <x:v>Foodie Restaurant 13</x:v>
      </x:c>
      <x:c r="E196" t="str">
        <x:v>Kirana</x:v>
      </x:c>
      <x:c r="F196" t="str">
        <x:v>Mysuru</x:v>
      </x:c>
      <x:c r="G196" t="str">
        <x:v>Sneha</x:v>
      </x:c>
      <x:c r="H196" t="str">
        <x:v>P043</x:v>
      </x:c>
      <x:c r="I196" t="str">
        <x:v>Chicken Breast 1kg</x:v>
      </x:c>
      <x:c r="J196" t="str">
        <x:v>Protein</x:v>
      </x:c>
      <x:c r="K196" t="str">
        <x:v>FreshToHome</x:v>
      </x:c>
      <x:c r="L196" s="22" t="n">
        <x:v>260</x:v>
      </x:c>
      <x:c r="M196" t="n">
        <x:v>2</x:v>
      </x:c>
      <x:c r="N196" s="24" t="n">
        <x:v>0</x:v>
      </x:c>
      <x:c r="O196" s="22" t="n">
        <x:f>L196*M196</x:f>
        <x:v>520</x:v>
      </x:c>
      <x:c r="P196" s="22" t="n">
        <x:f>O196*(1-N196)</x:f>
        <x:v>520</x:v>
      </x:c>
      <x:c r="Q196" s="22" t="n">
        <x:v>235</x:v>
      </x:c>
      <x:c r="R196" s="22" t="n">
        <x:f>Q196*M196</x:f>
        <x:v>470</x:v>
      </x:c>
      <x:c r="S196" s="22" t="n">
        <x:f>P196-R196</x:f>
        <x:v>50</x:v>
      </x:c>
      <x:c r="T196" t="str">
        <x:v>UPI</x:v>
      </x:c>
      <x:c r="U196" t="str">
        <x:v>Paid</x:v>
      </x:c>
      <x:c r="V196" t="str">
        <x:v>Delivered</x:v>
      </x:c>
      <x:c r="W196" t="n">
        <x:v>0</x:v>
      </x:c>
      <x:c r="X196" t="str"/>
      <x:c r="Y196" t="str">
        <x:v>Field Visit</x:v>
      </x:c>
    </x:row>
    <x:row r="197">
      <x:c r="A197" t="str">
        <x:v>O000196</x:v>
      </x:c>
      <x:c r="B197" s="20" t="n">
        <x:v>45667</x:v>
      </x:c>
      <x:c r="C197" t="str">
        <x:v>C0040</x:v>
      </x:c>
      <x:c r="D197" t="str">
        <x:v>Royal Foods 40</x:v>
      </x:c>
      <x:c r="E197" t="str">
        <x:v>Restaurant</x:v>
      </x:c>
      <x:c r="F197" t="str">
        <x:v>Mangaluru</x:v>
      </x:c>
      <x:c r="G197" t="str">
        <x:v>Kavya</x:v>
      </x:c>
      <x:c r="H197" t="str">
        <x:v>P014</x:v>
      </x:c>
      <x:c r="I197" t="str">
        <x:v>Rava 5kg</x:v>
      </x:c>
      <x:c r="J197" t="str">
        <x:v>Flour</x:v>
      </x:c>
      <x:c r="K197" t="str">
        <x:v>Local Select</x:v>
      </x:c>
      <x:c r="L197" s="22" t="n">
        <x:v>245</x:v>
      </x:c>
      <x:c r="M197" t="n">
        <x:v>20</x:v>
      </x:c>
      <x:c r="N197" s="24" t="n">
        <x:v>0.03</x:v>
      </x:c>
      <x:c r="O197" s="22" t="n">
        <x:f>L197*M197</x:f>
        <x:v>4900</x:v>
      </x:c>
      <x:c r="P197" s="22" t="n">
        <x:f>O197*(1-N197)</x:f>
        <x:v>4753</x:v>
      </x:c>
      <x:c r="Q197" s="22" t="n">
        <x:v>215</x:v>
      </x:c>
      <x:c r="R197" s="22" t="n">
        <x:f>Q197*M197</x:f>
        <x:v>4300</x:v>
      </x:c>
      <x:c r="S197" s="22" t="n">
        <x:f>P197-R197</x:f>
        <x:v>453</x:v>
      </x:c>
      <x:c r="T197" t="str">
        <x:v>UPI</x:v>
      </x:c>
      <x:c r="U197" t="str">
        <x:v>Paid</x:v>
      </x:c>
      <x:c r="V197" t="str">
        <x:v>Delivered</x:v>
      </x:c>
      <x:c r="W197" t="n">
        <x:v>0</x:v>
      </x:c>
      <x:c r="X197" t="str"/>
      <x:c r="Y197" t="str">
        <x:v>Referral</x:v>
      </x:c>
    </x:row>
    <x:row r="198">
      <x:c r="A198" t="str">
        <x:v>O000197</x:v>
      </x:c>
      <x:c r="B198" s="20" t="n">
        <x:v>46181</x:v>
      </x:c>
      <x:c r="C198" t="str">
        <x:v>C0231</x:v>
      </x:c>
      <x:c r="D198" t="str">
        <x:v>Metro Canteen 231</x:v>
      </x:c>
      <x:c r="E198" t="str">
        <x:v>Canteen</x:v>
      </x:c>
      <x:c r="F198" t="str">
        <x:v>Mangaluru</x:v>
      </x:c>
      <x:c r="G198" t="str">
        <x:v>Megha</x:v>
      </x:c>
      <x:c r="H198" t="str">
        <x:v>P007</x:v>
      </x:c>
      <x:c r="I198" t="str">
        <x:v>Sunflower Oil 15L</x:v>
      </x:c>
      <x:c r="J198" t="str">
        <x:v>Edible Oil</x:v>
      </x:c>
      <x:c r="K198" t="str">
        <x:v>Fortune</x:v>
      </x:c>
      <x:c r="L198" s="22" t="n">
        <x:v>1980</x:v>
      </x:c>
      <x:c r="M198" t="n">
        <x:v>2</x:v>
      </x:c>
      <x:c r="N198" s="24" t="n">
        <x:v>0.02</x:v>
      </x:c>
      <x:c r="O198" s="22" t="n">
        <x:f>L198*M198</x:f>
        <x:v>3960</x:v>
      </x:c>
      <x:c r="P198" s="22" t="n">
        <x:f>O198*(1-N198)</x:f>
        <x:v>3880.7999999999997</x:v>
      </x:c>
      <x:c r="Q198" s="22" t="n">
        <x:v>1810</x:v>
      </x:c>
      <x:c r="R198" s="22" t="n">
        <x:f>Q198*M198</x:f>
        <x:v>3620</x:v>
      </x:c>
      <x:c r="S198" s="22" t="n">
        <x:f>P198-R198</x:f>
        <x:v>260.7999999999997</x:v>
      </x:c>
      <x:c r="T198" t="str">
        <x:v>UPI</x:v>
      </x:c>
      <x:c r="U198" t="str">
        <x:v>Paid</x:v>
      </x:c>
      <x:c r="V198" t="str">
        <x:v>Delayed</x:v>
      </x:c>
      <x:c r="W198" t="n">
        <x:v>0</x:v>
      </x:c>
      <x:c r="X198" t="str"/>
      <x:c r="Y198" t="str">
        <x:v>Referral</x:v>
      </x:c>
    </x:row>
    <x:row r="199">
      <x:c r="A199" t="str">
        <x:v>O000198</x:v>
      </x:c>
      <x:c r="B199" s="20" t="n">
        <x:v>45864</x:v>
      </x:c>
      <x:c r="C199" t="str">
        <x:v>C0213</x:v>
      </x:c>
      <x:c r="D199" t="str">
        <x:v>Shree Cafe 213</x:v>
      </x:c>
      <x:c r="E199" t="str">
        <x:v>Cafe</x:v>
      </x:c>
      <x:c r="F199" t="str">
        <x:v>Tumakuru</x:v>
      </x:c>
      <x:c r="G199" t="str">
        <x:v>Imran</x:v>
      </x:c>
      <x:c r="H199" t="str">
        <x:v>P034</x:v>
      </x:c>
      <x:c r="I199" t="str">
        <x:v>Chilli Powder 1kg</x:v>
      </x:c>
      <x:c r="J199" t="str">
        <x:v>Spices</x:v>
      </x:c>
      <x:c r="K199" t="str">
        <x:v>MDH</x:v>
      </x:c>
      <x:c r="L199" s="22" t="n">
        <x:v>340</x:v>
      </x:c>
      <x:c r="M199" t="n">
        <x:v>23</x:v>
      </x:c>
      <x:c r="N199" s="24" t="n">
        <x:v>0.05</x:v>
      </x:c>
      <x:c r="O199" s="22" t="n">
        <x:f>L199*M199</x:f>
        <x:v>7820</x:v>
      </x:c>
      <x:c r="P199" s="22" t="n">
        <x:f>O199*(1-N199)</x:f>
        <x:v>7429</x:v>
      </x:c>
      <x:c r="Q199" s="22" t="n">
        <x:v>295</x:v>
      </x:c>
      <x:c r="R199" s="22" t="n">
        <x:f>Q199*M199</x:f>
        <x:v>6785</x:v>
      </x:c>
      <x:c r="S199" s="22" t="n">
        <x:f>P199-R199</x:f>
        <x:v>644</x:v>
      </x:c>
      <x:c r="T199" t="str">
        <x:v>Cash</x:v>
      </x:c>
      <x:c r="U199" t="str">
        <x:v>Paid</x:v>
      </x:c>
      <x:c r="V199" t="str">
        <x:v>Delayed</x:v>
      </x:c>
      <x:c r="W199" t="n">
        <x:v>0</x:v>
      </x:c>
      <x:c r="X199" t="str"/>
      <x:c r="Y199" t="str">
        <x:v>WhatsApp</x:v>
      </x:c>
    </x:row>
    <x:row r="200">
      <x:c r="A200" t="str">
        <x:v>O000199</x:v>
      </x:c>
      <x:c r="B200" s="20" t="n">
        <x:v>45996</x:v>
      </x:c>
      <x:c r="C200" t="str">
        <x:v>C0177</x:v>
      </x:c>
      <x:c r="D200" t="str">
        <x:v>Classic Cafe 177</x:v>
      </x:c>
      <x:c r="E200" t="str">
        <x:v>Supermarket</x:v>
      </x:c>
      <x:c r="F200" t="str">
        <x:v>Bengaluru</x:v>
      </x:c>
      <x:c r="G200" t="str">
        <x:v>Arjun</x:v>
      </x:c>
      <x:c r="H200" t="str">
        <x:v>P031</x:v>
      </x:c>
      <x:c r="I200" t="str">
        <x:v>Chilli Sauce 700g</x:v>
      </x:c>
      <x:c r="J200" t="str">
        <x:v>Condiments</x:v>
      </x:c>
      <x:c r="K200" t="str">
        <x:v>Ching's</x:v>
      </x:c>
      <x:c r="L200" s="22" t="n">
        <x:v>130</x:v>
      </x:c>
      <x:c r="M200" t="n">
        <x:v>16</x:v>
      </x:c>
      <x:c r="N200" s="24" t="n">
        <x:v>0</x:v>
      </x:c>
      <x:c r="O200" s="22" t="n">
        <x:f>L200*M200</x:f>
        <x:v>2080</x:v>
      </x:c>
      <x:c r="P200" s="22" t="n">
        <x:f>O200*(1-N200)</x:f>
        <x:v>2080</x:v>
      </x:c>
      <x:c r="Q200" s="22" t="n">
        <x:v>112</x:v>
      </x:c>
      <x:c r="R200" s="22" t="n">
        <x:f>Q200*M200</x:f>
        <x:v>1792</x:v>
      </x:c>
      <x:c r="S200" s="22" t="n">
        <x:f>P200-R200</x:f>
        <x:v>288</x:v>
      </x:c>
      <x:c r="T200" t="str">
        <x:v>UPI</x:v>
      </x:c>
      <x:c r="U200" t="str">
        <x:v>Pending</x:v>
      </x:c>
      <x:c r="V200" t="str">
        <x:v>Delayed</x:v>
      </x:c>
      <x:c r="W200" t="n">
        <x:v>0</x:v>
      </x:c>
      <x:c r="X200" t="str"/>
      <x:c r="Y200" t="str">
        <x:v>WhatsApp</x:v>
      </x:c>
    </x:row>
    <x:row r="201">
      <x:c r="A201" t="str">
        <x:v>O000200</x:v>
      </x:c>
      <x:c r="B201" s="20" t="n">
        <x:v>46181</x:v>
      </x:c>
      <x:c r="C201" t="str">
        <x:v>C0024</x:v>
      </x:c>
      <x:c r="D201" t="str">
        <x:v>Darshini Restaurant 24</x:v>
      </x:c>
      <x:c r="E201" t="str">
        <x:v>Restaurant</x:v>
      </x:c>
      <x:c r="F201" t="str">
        <x:v>Davanagere</x:v>
      </x:c>
      <x:c r="G201" t="str">
        <x:v>Sneha</x:v>
      </x:c>
      <x:c r="H201" t="str">
        <x:v>P050</x:v>
      </x:c>
      <x:c r="I201" t="str">
        <x:v>Lemon 5kg</x:v>
      </x:c>
      <x:c r="J201" t="str">
        <x:v>Fresh Produce</x:v>
      </x:c>
      <x:c r="K201" t="str">
        <x:v>Local Market</x:v>
      </x:c>
      <x:c r="L201" s="22" t="n">
        <x:v>360</x:v>
      </x:c>
      <x:c r="M201" t="n">
        <x:v>5</x:v>
      </x:c>
      <x:c r="N201" s="24" t="n">
        <x:v>0.05</x:v>
      </x:c>
      <x:c r="O201" s="22" t="n">
        <x:f>L201*M201</x:f>
        <x:v>1800</x:v>
      </x:c>
      <x:c r="P201" s="22" t="n">
        <x:f>O201*(1-N201)</x:f>
        <x:v>1710</x:v>
      </x:c>
      <x:c r="Q201" s="22" t="n">
        <x:v>300</x:v>
      </x:c>
      <x:c r="R201" s="22" t="n">
        <x:f>Q201*M201</x:f>
        <x:v>1500</x:v>
      </x:c>
      <x:c r="S201" s="22" t="n">
        <x:f>P201-R201</x:f>
        <x:v>210</x:v>
      </x:c>
      <x:c r="T201" t="str">
        <x:v>UPI</x:v>
      </x:c>
      <x:c r="U201" t="str">
        <x:v>Pending</x:v>
      </x:c>
      <x:c r="V201" t="str">
        <x:v>Cancelled</x:v>
      </x:c>
      <x:c r="W201" t="n">
        <x:v>5</x:v>
      </x:c>
      <x:c r="X201" t="str">
        <x:v>Cancelled Order</x:v>
      </x:c>
      <x:c r="Y201" t="str">
        <x:v>Referral</x:v>
      </x:c>
    </x:row>
    <x:row r="202">
      <x:c r="A202" t="str">
        <x:v>O000201</x:v>
      </x:c>
      <x:c r="B202" s="20" t="n">
        <x:v>46133</x:v>
      </x:c>
      <x:c r="C202" t="str">
        <x:v>C0076</x:v>
      </x:c>
      <x:c r="D202" t="str">
        <x:v>Sri Canteen 76</x:v>
      </x:c>
      <x:c r="E202" t="str">
        <x:v>Canteen</x:v>
      </x:c>
      <x:c r="F202" t="str">
        <x:v>Tumakuru</x:v>
      </x:c>
      <x:c r="G202" t="str">
        <x:v>Priya</x:v>
      </x:c>
      <x:c r="H202" t="str">
        <x:v>P017</x:v>
      </x:c>
      <x:c r="I202" t="str">
        <x:v>Butter 500g</x:v>
      </x:c>
      <x:c r="J202" t="str">
        <x:v>Dairy</x:v>
      </x:c>
      <x:c r="K202" t="str">
        <x:v>Amul</x:v>
      </x:c>
      <x:c r="L202" s="22" t="n">
        <x:v>285</x:v>
      </x:c>
      <x:c r="M202" t="n">
        <x:v>4</x:v>
      </x:c>
      <x:c r="N202" s="24" t="n">
        <x:v>0</x:v>
      </x:c>
      <x:c r="O202" s="22" t="n">
        <x:f>L202*M202</x:f>
        <x:v>1140</x:v>
      </x:c>
      <x:c r="P202" s="22" t="n">
        <x:f>O202*(1-N202)</x:f>
        <x:v>1140</x:v>
      </x:c>
      <x:c r="Q202" s="22" t="n">
        <x:v>258</x:v>
      </x:c>
      <x:c r="R202" s="22" t="n">
        <x:f>Q202*M202</x:f>
        <x:v>1032</x:v>
      </x:c>
      <x:c r="S202" s="22" t="n">
        <x:f>P202-R202</x:f>
        <x:v>108</x:v>
      </x:c>
      <x:c r="T202" t="str">
        <x:v>Bank Transfer</x:v>
      </x:c>
      <x:c r="U202" t="str">
        <x:v>Pending</x:v>
      </x:c>
      <x:c r="V202" t="str">
        <x:v>Delivered</x:v>
      </x:c>
      <x:c r="W202" t="n">
        <x:v>0</x:v>
      </x:c>
      <x:c r="X202" t="str"/>
      <x:c r="Y202" t="str">
        <x:v>Field Visit</x:v>
      </x:c>
    </x:row>
    <x:row r="203">
      <x:c r="A203" t="str">
        <x:v>O000202</x:v>
      </x:c>
      <x:c r="B203" s="20" t="n">
        <x:v>45704</x:v>
      </x:c>
      <x:c r="C203" t="str">
        <x:v>C0030</x:v>
      </x:c>
      <x:c r="D203" t="str">
        <x:v>Hotel Restaurant 30</x:v>
      </x:c>
      <x:c r="E203" t="str">
        <x:v>Restaurant</x:v>
      </x:c>
      <x:c r="F203" t="str">
        <x:v>Bengaluru</x:v>
      </x:c>
      <x:c r="G203" t="str">
        <x:v>Imran</x:v>
      </x:c>
      <x:c r="H203" t="str">
        <x:v>P007</x:v>
      </x:c>
      <x:c r="I203" t="str">
        <x:v>Sunflower Oil 15L</x:v>
      </x:c>
      <x:c r="J203" t="str">
        <x:v>Edible Oil</x:v>
      </x:c>
      <x:c r="K203" t="str">
        <x:v>Fortune</x:v>
      </x:c>
      <x:c r="L203" s="22" t="n">
        <x:v>1980</x:v>
      </x:c>
      <x:c r="M203" t="n">
        <x:v>3</x:v>
      </x:c>
      <x:c r="N203" s="24" t="n">
        <x:v>0.05</x:v>
      </x:c>
      <x:c r="O203" s="22" t="n">
        <x:f>L203*M203</x:f>
        <x:v>5940</x:v>
      </x:c>
      <x:c r="P203" s="22" t="n">
        <x:f>O203*(1-N203)</x:f>
        <x:v>5643</x:v>
      </x:c>
      <x:c r="Q203" s="22" t="n">
        <x:v>1810</x:v>
      </x:c>
      <x:c r="R203" s="22" t="n">
        <x:f>Q203*M203</x:f>
        <x:v>5430</x:v>
      </x:c>
      <x:c r="S203" s="22" t="n">
        <x:f>P203-R203</x:f>
        <x:v>213</x:v>
      </x:c>
      <x:c r="T203" t="str">
        <x:v>Bank Transfer</x:v>
      </x:c>
      <x:c r="U203" t="str">
        <x:v>Paid</x:v>
      </x:c>
      <x:c r="V203" t="str">
        <x:v>Delivered</x:v>
      </x:c>
      <x:c r="W203" t="n">
        <x:v>0</x:v>
      </x:c>
      <x:c r="X203" t="str"/>
      <x:c r="Y203" t="str">
        <x:v>Field Visit</x:v>
      </x:c>
    </x:row>
    <x:row r="204">
      <x:c r="A204" t="str">
        <x:v>O000203</x:v>
      </x:c>
      <x:c r="B204" s="20" t="n">
        <x:v>46008</x:v>
      </x:c>
      <x:c r="C204" t="str">
        <x:v>C0024</x:v>
      </x:c>
      <x:c r="D204" t="str">
        <x:v>Darshini Restaurant 24</x:v>
      </x:c>
      <x:c r="E204" t="str">
        <x:v>Restaurant</x:v>
      </x:c>
      <x:c r="F204" t="str">
        <x:v>Davanagere</x:v>
      </x:c>
      <x:c r="G204" t="str">
        <x:v>Sneha</x:v>
      </x:c>
      <x:c r="H204" t="str">
        <x:v>P024</x:v>
      </x:c>
      <x:c r="I204" t="str">
        <x:v>Orange Drink 1L</x:v>
      </x:c>
      <x:c r="J204" t="str">
        <x:v>Beverage</x:v>
      </x:c>
      <x:c r="K204" t="str">
        <x:v>Minute Maid</x:v>
      </x:c>
      <x:c r="L204" s="22" t="n">
        <x:v>105</x:v>
      </x:c>
      <x:c r="M204" t="n">
        <x:v>12</x:v>
      </x:c>
      <x:c r="N204" s="24" t="n">
        <x:v>0</x:v>
      </x:c>
      <x:c r="O204" s="22" t="n">
        <x:f>L204*M204</x:f>
        <x:v>1260</x:v>
      </x:c>
      <x:c r="P204" s="22" t="n">
        <x:f>O204*(1-N204)</x:f>
        <x:v>1260</x:v>
      </x:c>
      <x:c r="Q204" s="22" t="n">
        <x:v>88</x:v>
      </x:c>
      <x:c r="R204" s="22" t="n">
        <x:f>Q204*M204</x:f>
        <x:v>1056</x:v>
      </x:c>
      <x:c r="S204" s="22" t="n">
        <x:f>P204-R204</x:f>
        <x:v>204</x:v>
      </x:c>
      <x:c r="T204" t="str">
        <x:v>Credit</x:v>
      </x:c>
      <x:c r="U204" t="str">
        <x:v>Overdue</x:v>
      </x:c>
      <x:c r="V204" t="str">
        <x:v>Delivered</x:v>
      </x:c>
      <x:c r="W204" t="n">
        <x:v>0</x:v>
      </x:c>
      <x:c r="X204" t="str"/>
      <x:c r="Y204" t="str">
        <x:v>WhatsApp</x:v>
      </x:c>
    </x:row>
    <x:row r="205">
      <x:c r="A205" t="str">
        <x:v>O000204</x:v>
      </x:c>
      <x:c r="B205" s="20" t="n">
        <x:v>45773</x:v>
      </x:c>
      <x:c r="C205" t="str">
        <x:v>C0167</x:v>
      </x:c>
      <x:c r="D205" t="str">
        <x:v>Foodie Canteen 167</x:v>
      </x:c>
      <x:c r="E205" t="str">
        <x:v>Canteen</x:v>
      </x:c>
      <x:c r="F205" t="str">
        <x:v>Bengaluru</x:v>
      </x:c>
      <x:c r="G205" t="str">
        <x:v>Megha</x:v>
      </x:c>
      <x:c r="H205" t="str">
        <x:v>P011</x:v>
      </x:c>
      <x:c r="I205" t="str">
        <x:v>Salt 1kg</x:v>
      </x:c>
      <x:c r="J205" t="str">
        <x:v>Staples</x:v>
      </x:c>
      <x:c r="K205" t="str">
        <x:v>Tata</x:v>
      </x:c>
      <x:c r="L205" s="22" t="n">
        <x:v>28</x:v>
      </x:c>
      <x:c r="M205" t="n">
        <x:v>9</x:v>
      </x:c>
      <x:c r="N205" s="24" t="n">
        <x:v>0.05</x:v>
      </x:c>
      <x:c r="O205" s="22" t="n">
        <x:f>L205*M205</x:f>
        <x:v>252</x:v>
      </x:c>
      <x:c r="P205" s="22" t="n">
        <x:f>O205*(1-N205)</x:f>
        <x:v>239.39999999999998</x:v>
      </x:c>
      <x:c r="Q205" s="22" t="n">
        <x:v>23</x:v>
      </x:c>
      <x:c r="R205" s="22" t="n">
        <x:f>Q205*M205</x:f>
        <x:v>207</x:v>
      </x:c>
      <x:c r="S205" s="22" t="n">
        <x:f>P205-R205</x:f>
        <x:v>32.39999999999998</x:v>
      </x:c>
      <x:c r="T205" t="str">
        <x:v>UPI</x:v>
      </x:c>
      <x:c r="U205" t="str">
        <x:v>Overdue</x:v>
      </x:c>
      <x:c r="V205" t="str">
        <x:v>Delivered</x:v>
      </x:c>
      <x:c r="W205" t="n">
        <x:v>0</x:v>
      </x:c>
      <x:c r="X205" t="str"/>
      <x:c r="Y205" t="str">
        <x:v>Existing Customer</x:v>
      </x:c>
    </x:row>
    <x:row r="206">
      <x:c r="A206" t="str">
        <x:v>O000205</x:v>
      </x:c>
      <x:c r="B206" s="20" t="n">
        <x:v>46106</x:v>
      </x:c>
      <x:c r="C206" t="str">
        <x:v>C0146</x:v>
      </x:c>
      <x:c r="D206" t="str">
        <x:v>Annapurna Hotel 146</x:v>
      </x:c>
      <x:c r="E206" t="str">
        <x:v>Restaurant</x:v>
      </x:c>
      <x:c r="F206" t="str">
        <x:v>Davanagere</x:v>
      </x:c>
      <x:c r="G206" t="str">
        <x:v>Arjun</x:v>
      </x:c>
      <x:c r="H206" t="str">
        <x:v>P044</x:v>
      </x:c>
      <x:c r="I206" t="str">
        <x:v>Chicken Curry Cut 1kg</x:v>
      </x:c>
      <x:c r="J206" t="str">
        <x:v>Protein</x:v>
      </x:c>
      <x:c r="K206" t="str">
        <x:v>FreshToHome</x:v>
      </x:c>
      <x:c r="L206" s="22" t="n">
        <x:v>230</x:v>
      </x:c>
      <x:c r="M206" t="n">
        <x:v>12</x:v>
      </x:c>
      <x:c r="N206" s="24" t="n">
        <x:v>0.05</x:v>
      </x:c>
      <x:c r="O206" s="22" t="n">
        <x:f>L206*M206</x:f>
        <x:v>2760</x:v>
      </x:c>
      <x:c r="P206" s="22" t="n">
        <x:f>O206*(1-N206)</x:f>
        <x:v>2622</x:v>
      </x:c>
      <x:c r="Q206" s="22" t="n">
        <x:v>205</x:v>
      </x:c>
      <x:c r="R206" s="22" t="n">
        <x:f>Q206*M206</x:f>
        <x:v>2460</x:v>
      </x:c>
      <x:c r="S206" s="22" t="n">
        <x:f>P206-R206</x:f>
        <x:v>162</x:v>
      </x:c>
      <x:c r="T206" t="str">
        <x:v>Cash</x:v>
      </x:c>
      <x:c r="U206" t="str">
        <x:v>Paid</x:v>
      </x:c>
      <x:c r="V206" t="str">
        <x:v>Cancelled</x:v>
      </x:c>
      <x:c r="W206" t="n">
        <x:v>12</x:v>
      </x:c>
      <x:c r="X206" t="str">
        <x:v>Cancelled Order</x:v>
      </x:c>
      <x:c r="Y206" t="str">
        <x:v>Referral</x:v>
      </x:c>
    </x:row>
    <x:row r="207">
      <x:c r="A207" t="str">
        <x:v>O000206</x:v>
      </x:c>
      <x:c r="B207" s="20" t="n">
        <x:v>46079</x:v>
      </x:c>
      <x:c r="C207" t="str">
        <x:v>C0125</x:v>
      </x:c>
      <x:c r="D207" t="str">
        <x:v>Spice Restaurant 125</x:v>
      </x:c>
      <x:c r="E207" t="str">
        <x:v>Kirana</x:v>
      </x:c>
      <x:c r="F207" t="str">
        <x:v>Tumakuru</x:v>
      </x:c>
      <x:c r="G207" t="str">
        <x:v>Ramesh</x:v>
      </x:c>
      <x:c r="H207" t="str">
        <x:v>P008</x:v>
      </x:c>
      <x:c r="I207" t="str">
        <x:v>Palm Oil 15L</x:v>
      </x:c>
      <x:c r="J207" t="str">
        <x:v>Edible Oil</x:v>
      </x:c>
      <x:c r="K207" t="str">
        <x:v>Ruchi Gold</x:v>
      </x:c>
      <x:c r="L207" s="22" t="n">
        <x:v>1760</x:v>
      </x:c>
      <x:c r="M207" t="n">
        <x:v>1</x:v>
      </x:c>
      <x:c r="N207" s="24" t="n">
        <x:v>0</x:v>
      </x:c>
      <x:c r="O207" s="22" t="n">
        <x:f>L207*M207</x:f>
        <x:v>1760</x:v>
      </x:c>
      <x:c r="P207" s="22" t="n">
        <x:f>O207*(1-N207)</x:f>
        <x:v>1760</x:v>
      </x:c>
      <x:c r="Q207" s="22" t="n">
        <x:v>1610</x:v>
      </x:c>
      <x:c r="R207" s="22" t="n">
        <x:f>Q207*M207</x:f>
        <x:v>1610</x:v>
      </x:c>
      <x:c r="S207" s="22" t="n">
        <x:f>P207-R207</x:f>
        <x:v>150</x:v>
      </x:c>
      <x:c r="T207" t="str">
        <x:v>Cash</x:v>
      </x:c>
      <x:c r="U207" t="str">
        <x:v>Paid</x:v>
      </x:c>
      <x:c r="V207" t="str">
        <x:v>Cancelled</x:v>
      </x:c>
      <x:c r="W207" t="n">
        <x:v>1</x:v>
      </x:c>
      <x:c r="X207" t="str">
        <x:v>Cancelled Order</x:v>
      </x:c>
      <x:c r="Y207" t="str">
        <x:v>Existing Customer</x:v>
      </x:c>
    </x:row>
    <x:row r="208">
      <x:c r="A208" t="str">
        <x:v>O000207</x:v>
      </x:c>
      <x:c r="B208" s="20" t="n">
        <x:v>46236</x:v>
      </x:c>
      <x:c r="C208" t="str">
        <x:v>C0148</x:v>
      </x:c>
      <x:c r="D208" t="str">
        <x:v>Shree Cafe 148</x:v>
      </x:c>
      <x:c r="E208" t="str">
        <x:v>Kirana</x:v>
      </x:c>
      <x:c r="F208" t="str">
        <x:v>Hubballi</x:v>
      </x:c>
      <x:c r="G208" t="str">
        <x:v>Priya</x:v>
      </x:c>
      <x:c r="H208" t="str">
        <x:v>P047</x:v>
      </x:c>
      <x:c r="I208" t="str">
        <x:v>Tomato 25kg</x:v>
      </x:c>
      <x:c r="J208" t="str">
        <x:v>Fresh Produce</x:v>
      </x:c>
      <x:c r="K208" t="str">
        <x:v>Local Market</x:v>
      </x:c>
      <x:c r="L208" s="22" t="n">
        <x:v>950</x:v>
      </x:c>
      <x:c r="M208" t="n">
        <x:v>15</x:v>
      </x:c>
      <x:c r="N208" s="24" t="n">
        <x:v>0.1</x:v>
      </x:c>
      <x:c r="O208" s="22" t="n">
        <x:f>L208*M208</x:f>
        <x:v>14250</x:v>
      </x:c>
      <x:c r="P208" s="22" t="n">
        <x:f>O208*(1-N208)</x:f>
        <x:v>12825</x:v>
      </x:c>
      <x:c r="Q208" s="22" t="n">
        <x:v>810</x:v>
      </x:c>
      <x:c r="R208" s="22" t="n">
        <x:f>Q208*M208</x:f>
        <x:v>12150</x:v>
      </x:c>
      <x:c r="S208" s="22" t="n">
        <x:f>P208-R208</x:f>
        <x:v>675</x:v>
      </x:c>
      <x:c r="T208" t="str">
        <x:v>Cash</x:v>
      </x:c>
      <x:c r="U208" t="str">
        <x:v>Paid</x:v>
      </x:c>
      <x:c r="V208" t="str">
        <x:v>Cancelled</x:v>
      </x:c>
      <x:c r="W208" t="n">
        <x:v>15</x:v>
      </x:c>
      <x:c r="X208" t="str">
        <x:v>Cancelled Order</x:v>
      </x:c>
      <x:c r="Y208" t="str">
        <x:v>Existing Customer</x:v>
      </x:c>
    </x:row>
    <x:row r="209">
      <x:c r="A209" t="str">
        <x:v>O000208</x:v>
      </x:c>
      <x:c r="B209" s="20" t="n">
        <x:v>45912</x:v>
      </x:c>
      <x:c r="C209" t="str">
        <x:v>C0170</x:v>
      </x:c>
      <x:c r="D209" t="str">
        <x:v>Green Cafe 170</x:v>
      </x:c>
      <x:c r="E209" t="str">
        <x:v>Supermarket</x:v>
      </x:c>
      <x:c r="F209" t="str">
        <x:v>Bengaluru</x:v>
      </x:c>
      <x:c r="G209" t="str">
        <x:v>Sneha</x:v>
      </x:c>
      <x:c r="H209" t="str">
        <x:v>P047</x:v>
      </x:c>
      <x:c r="I209" t="str">
        <x:v>Tomato 25kg</x:v>
      </x:c>
      <x:c r="J209" t="str">
        <x:v>Fresh Produce</x:v>
      </x:c>
      <x:c r="K209" t="str">
        <x:v>Local Market</x:v>
      </x:c>
      <x:c r="L209" s="22" t="n">
        <x:v>950</x:v>
      </x:c>
      <x:c r="M209" t="n">
        <x:v>31</x:v>
      </x:c>
      <x:c r="N209" s="24" t="n">
        <x:v>0.02</x:v>
      </x:c>
      <x:c r="O209" s="22" t="n">
        <x:f>L209*M209</x:f>
        <x:v>29450</x:v>
      </x:c>
      <x:c r="P209" s="22" t="n">
        <x:f>O209*(1-N209)</x:f>
        <x:v>28861</x:v>
      </x:c>
      <x:c r="Q209" s="22" t="n">
        <x:v>810</x:v>
      </x:c>
      <x:c r="R209" s="22" t="n">
        <x:f>Q209*M209</x:f>
        <x:v>25110</x:v>
      </x:c>
      <x:c r="S209" s="22" t="n">
        <x:f>P209-R209</x:f>
        <x:v>3751</x:v>
      </x:c>
      <x:c r="T209" t="str">
        <x:v>Credit</x:v>
      </x:c>
      <x:c r="U209" t="str">
        <x:v>Paid</x:v>
      </x:c>
      <x:c r="V209" t="str">
        <x:v>Delayed</x:v>
      </x:c>
      <x:c r="W209" t="n">
        <x:v>0</x:v>
      </x:c>
      <x:c r="X209" t="str"/>
      <x:c r="Y209" t="str">
        <x:v>Existing Customer</x:v>
      </x:c>
    </x:row>
    <x:row r="210">
      <x:c r="A210" t="str">
        <x:v>O000209</x:v>
      </x:c>
      <x:c r="B210" s="20" t="n">
        <x:v>46175</x:v>
      </x:c>
      <x:c r="C210" t="str">
        <x:v>C0165</x:v>
      </x:c>
      <x:c r="D210" t="str">
        <x:v>Royal Restaurant 165</x:v>
      </x:c>
      <x:c r="E210" t="str">
        <x:v>Hotel</x:v>
      </x:c>
      <x:c r="F210" t="str">
        <x:v>Tumakuru</x:v>
      </x:c>
      <x:c r="G210" t="str">
        <x:v>Kavya</x:v>
      </x:c>
      <x:c r="H210" t="str">
        <x:v>P011</x:v>
      </x:c>
      <x:c r="I210" t="str">
        <x:v>Salt 1kg</x:v>
      </x:c>
      <x:c r="J210" t="str">
        <x:v>Staples</x:v>
      </x:c>
      <x:c r="K210" t="str">
        <x:v>Tata</x:v>
      </x:c>
      <x:c r="L210" s="22" t="n">
        <x:v>28</x:v>
      </x:c>
      <x:c r="M210" t="n">
        <x:v>31</x:v>
      </x:c>
      <x:c r="N210" s="24" t="n">
        <x:v>0.08</x:v>
      </x:c>
      <x:c r="O210" s="22" t="n">
        <x:f>L210*M210</x:f>
        <x:v>868</x:v>
      </x:c>
      <x:c r="P210" s="22" t="n">
        <x:f>O210*(1-N210)</x:f>
        <x:v>798.5600000000001</x:v>
      </x:c>
      <x:c r="Q210" s="22" t="n">
        <x:v>23</x:v>
      </x:c>
      <x:c r="R210" s="22" t="n">
        <x:f>Q210*M210</x:f>
        <x:v>713</x:v>
      </x:c>
      <x:c r="S210" s="22" t="n">
        <x:f>P210-R210</x:f>
        <x:v>85.56000000000006</x:v>
      </x:c>
      <x:c r="T210" t="str">
        <x:v>Bank Transfer</x:v>
      </x:c>
      <x:c r="U210" t="str">
        <x:v>Paid</x:v>
      </x:c>
      <x:c r="V210" t="str">
        <x:v>Delivered</x:v>
      </x:c>
      <x:c r="W210" t="n">
        <x:v>0</x:v>
      </x:c>
      <x:c r="X210" t="str"/>
      <x:c r="Y210" t="str">
        <x:v>Field Visit</x:v>
      </x:c>
    </x:row>
    <x:row r="211">
      <x:c r="A211" t="str">
        <x:v>O000210</x:v>
      </x:c>
      <x:c r="B211" s="20" t="n">
        <x:v>45886</x:v>
      </x:c>
      <x:c r="C211" t="str">
        <x:v>C0013</x:v>
      </x:c>
      <x:c r="D211" t="str">
        <x:v>Foodie Restaurant 13</x:v>
      </x:c>
      <x:c r="E211" t="str">
        <x:v>Kirana</x:v>
      </x:c>
      <x:c r="F211" t="str">
        <x:v>Mysuru</x:v>
      </x:c>
      <x:c r="G211" t="str">
        <x:v>Sneha</x:v>
      </x:c>
      <x:c r="H211" t="str">
        <x:v>P033</x:v>
      </x:c>
      <x:c r="I211" t="str">
        <x:v>Turmeric Powder 1kg</x:v>
      </x:c>
      <x:c r="J211" t="str">
        <x:v>Spices</x:v>
      </x:c>
      <x:c r="K211" t="str">
        <x:v>Everest</x:v>
      </x:c>
      <x:c r="L211" s="22" t="n">
        <x:v>310</x:v>
      </x:c>
      <x:c r="M211" t="n">
        <x:v>36</x:v>
      </x:c>
      <x:c r="N211" s="24" t="n">
        <x:v>0.05</x:v>
      </x:c>
      <x:c r="O211" s="22" t="n">
        <x:f>L211*M211</x:f>
        <x:v>11160</x:v>
      </x:c>
      <x:c r="P211" s="22" t="n">
        <x:f>O211*(1-N211)</x:f>
        <x:v>10602</x:v>
      </x:c>
      <x:c r="Q211" s="22" t="n">
        <x:v>270</x:v>
      </x:c>
      <x:c r="R211" s="22" t="n">
        <x:f>Q211*M211</x:f>
        <x:v>9720</x:v>
      </x:c>
      <x:c r="S211" s="22" t="n">
        <x:f>P211-R211</x:f>
        <x:v>882</x:v>
      </x:c>
      <x:c r="T211" t="str">
        <x:v>Credit</x:v>
      </x:c>
      <x:c r="U211" t="str">
        <x:v>Pending</x:v>
      </x:c>
      <x:c r="V211" t="str">
        <x:v>Delivered</x:v>
      </x:c>
      <x:c r="W211" t="n">
        <x:v>0</x:v>
      </x:c>
      <x:c r="X211" t="str"/>
      <x:c r="Y211" t="str">
        <x:v>Existing Customer</x:v>
      </x:c>
    </x:row>
    <x:row r="212">
      <x:c r="A212" t="str">
        <x:v>O000211</x:v>
      </x:c>
      <x:c r="B212" s="20" t="n">
        <x:v>46115</x:v>
      </x:c>
      <x:c r="C212" t="str">
        <x:v>C0220</x:v>
      </x:c>
      <x:c r="D212" t="str">
        <x:v>Udupi Canteen 220</x:v>
      </x:c>
      <x:c r="E212" t="str">
        <x:v>Restaurant</x:v>
      </x:c>
      <x:c r="F212" t="str">
        <x:v>Bengaluru</x:v>
      </x:c>
      <x:c r="G212" t="str">
        <x:v>Sneha</x:v>
      </x:c>
      <x:c r="H212" t="str">
        <x:v>P032</x:v>
      </x:c>
      <x:c r="I212" t="str">
        <x:v>Soy Sauce 700g</x:v>
      </x:c>
      <x:c r="J212" t="str">
        <x:v>Condiments</x:v>
      </x:c>
      <x:c r="K212" t="str">
        <x:v>Ching's</x:v>
      </x:c>
      <x:c r="L212" s="22" t="n">
        <x:v>118</x:v>
      </x:c>
      <x:c r="M212" t="n">
        <x:v>21</x:v>
      </x:c>
      <x:c r="N212" s="24" t="n">
        <x:v>0</x:v>
      </x:c>
      <x:c r="O212" s="22" t="n">
        <x:f>L212*M212</x:f>
        <x:v>2478</x:v>
      </x:c>
      <x:c r="P212" s="22" t="n">
        <x:f>O212*(1-N212)</x:f>
        <x:v>2478</x:v>
      </x:c>
      <x:c r="Q212" s="22" t="n">
        <x:v>101</x:v>
      </x:c>
      <x:c r="R212" s="22" t="n">
        <x:f>Q212*M212</x:f>
        <x:v>2121</x:v>
      </x:c>
      <x:c r="S212" s="22" t="n">
        <x:f>P212-R212</x:f>
        <x:v>357</x:v>
      </x:c>
      <x:c r="T212" t="str">
        <x:v>Credit</x:v>
      </x:c>
      <x:c r="U212" t="str">
        <x:v>Pending</x:v>
      </x:c>
      <x:c r="V212" t="str">
        <x:v>Delivered</x:v>
      </x:c>
      <x:c r="W212" t="n">
        <x:v>0</x:v>
      </x:c>
      <x:c r="X212" t="str"/>
      <x:c r="Y212" t="str">
        <x:v>WhatsApp</x:v>
      </x:c>
    </x:row>
    <x:row r="213">
      <x:c r="A213" t="str">
        <x:v>O000212</x:v>
      </x:c>
      <x:c r="B213" s="20" t="n">
        <x:v>45751</x:v>
      </x:c>
      <x:c r="C213" t="str">
        <x:v>C0141</x:v>
      </x:c>
      <x:c r="D213" t="str">
        <x:v>Sri Restaurant 141</x:v>
      </x:c>
      <x:c r="E213" t="str">
        <x:v>Restaurant</x:v>
      </x:c>
      <x:c r="F213" t="str">
        <x:v>Mangaluru</x:v>
      </x:c>
      <x:c r="G213" t="str">
        <x:v>Ramesh</x:v>
      </x:c>
      <x:c r="H213" t="str">
        <x:v>P001</x:v>
      </x:c>
      <x:c r="I213" t="str">
        <x:v>Steam Rice 25kg</x:v>
      </x:c>
      <x:c r="J213" t="str">
        <x:v>Staples</x:v>
      </x:c>
      <x:c r="K213" t="str">
        <x:v>Aishwarya</x:v>
      </x:c>
      <x:c r="L213" s="22" t="n">
        <x:v>1180</x:v>
      </x:c>
      <x:c r="M213" t="n">
        <x:v>10</x:v>
      </x:c>
      <x:c r="N213" s="24" t="n">
        <x:v>0.05</x:v>
      </x:c>
      <x:c r="O213" s="22" t="n">
        <x:f>L213*M213</x:f>
        <x:v>11800</x:v>
      </x:c>
      <x:c r="P213" s="22" t="n">
        <x:f>O213*(1-N213)</x:f>
        <x:v>11210</x:v>
      </x:c>
      <x:c r="Q213" s="22" t="n">
        <x:v>1040</x:v>
      </x:c>
      <x:c r="R213" s="22" t="n">
        <x:f>Q213*M213</x:f>
        <x:v>10400</x:v>
      </x:c>
      <x:c r="S213" s="22" t="n">
        <x:f>P213-R213</x:f>
        <x:v>810</x:v>
      </x:c>
      <x:c r="T213" t="str">
        <x:v>Bank Transfer</x:v>
      </x:c>
      <x:c r="U213" t="str">
        <x:v>Paid</x:v>
      </x:c>
      <x:c r="V213" t="str">
        <x:v>Delivered</x:v>
      </x:c>
      <x:c r="W213" t="n">
        <x:v>0</x:v>
      </x:c>
      <x:c r="X213" t="str"/>
      <x:c r="Y213" t="str">
        <x:v>Field Visit</x:v>
      </x:c>
    </x:row>
    <x:row r="214">
      <x:c r="A214" t="str">
        <x:v>O000213</x:v>
      </x:c>
      <x:c r="B214" s="20" t="n">
        <x:v>46123</x:v>
      </x:c>
      <x:c r="C214" t="str">
        <x:v>C0210</x:v>
      </x:c>
      <x:c r="D214" t="str">
        <x:v>Spice Stores 210</x:v>
      </x:c>
      <x:c r="E214" t="str">
        <x:v>Cafe</x:v>
      </x:c>
      <x:c r="F214" t="str">
        <x:v>Davanagere</x:v>
      </x:c>
      <x:c r="G214" t="str">
        <x:v>Imran</x:v>
      </x:c>
      <x:c r="H214" t="str">
        <x:v>P015</x:v>
      </x:c>
      <x:c r="I214" t="str">
        <x:v>Milk 1L</x:v>
      </x:c>
      <x:c r="J214" t="str">
        <x:v>Dairy</x:v>
      </x:c>
      <x:c r="K214" t="str">
        <x:v>Nandini</x:v>
      </x:c>
      <x:c r="L214" s="22" t="n">
        <x:v>48</x:v>
      </x:c>
      <x:c r="M214" t="n">
        <x:v>22</x:v>
      </x:c>
      <x:c r="N214" s="24" t="n">
        <x:v>0.03</x:v>
      </x:c>
      <x:c r="O214" s="22" t="n">
        <x:f>L214*M214</x:f>
        <x:v>1056</x:v>
      </x:c>
      <x:c r="P214" s="22" t="n">
        <x:f>O214*(1-N214)</x:f>
        <x:v>1024.32</x:v>
      </x:c>
      <x:c r="Q214" s="22" t="n">
        <x:v>43</x:v>
      </x:c>
      <x:c r="R214" s="22" t="n">
        <x:f>Q214*M214</x:f>
        <x:v>946</x:v>
      </x:c>
      <x:c r="S214" s="22" t="n">
        <x:f>P214-R214</x:f>
        <x:v>78.31999999999994</x:v>
      </x:c>
      <x:c r="T214" t="str">
        <x:v>Credit</x:v>
      </x:c>
      <x:c r="U214" t="str">
        <x:v>Paid</x:v>
      </x:c>
      <x:c r="V214" t="str">
        <x:v>Delivered</x:v>
      </x:c>
      <x:c r="W214" t="n">
        <x:v>0</x:v>
      </x:c>
      <x:c r="X214" t="str"/>
      <x:c r="Y214" t="str">
        <x:v>Outbound Call</x:v>
      </x:c>
    </x:row>
    <x:row r="215">
      <x:c r="A215" t="str">
        <x:v>O000214</x:v>
      </x:c>
      <x:c r="B215" s="20" t="n">
        <x:v>45660</x:v>
      </x:c>
      <x:c r="C215" t="str">
        <x:v>C0169</x:v>
      </x:c>
      <x:c r="D215" t="str">
        <x:v>Grand Mart 169</x:v>
      </x:c>
      <x:c r="E215" t="str">
        <x:v>Canteen</x:v>
      </x:c>
      <x:c r="F215" t="str">
        <x:v>Mangaluru</x:v>
      </x:c>
      <x:c r="G215" t="str">
        <x:v>Vikram</x:v>
      </x:c>
      <x:c r="H215" t="str">
        <x:v>P015</x:v>
      </x:c>
      <x:c r="I215" t="str">
        <x:v>Milk 1L</x:v>
      </x:c>
      <x:c r="J215" t="str">
        <x:v>Dairy</x:v>
      </x:c>
      <x:c r="K215" t="str">
        <x:v>Nandini</x:v>
      </x:c>
      <x:c r="L215" s="22" t="n">
        <x:v>48</x:v>
      </x:c>
      <x:c r="M215" t="n">
        <x:v>22</x:v>
      </x:c>
      <x:c r="N215" s="24" t="n">
        <x:v>0.02</x:v>
      </x:c>
      <x:c r="O215" s="22" t="n">
        <x:f>L215*M215</x:f>
        <x:v>1056</x:v>
      </x:c>
      <x:c r="P215" s="22" t="n">
        <x:f>O215*(1-N215)</x:f>
        <x:v>1034.8799999999999</x:v>
      </x:c>
      <x:c r="Q215" s="22" t="n">
        <x:v>43</x:v>
      </x:c>
      <x:c r="R215" s="22" t="n">
        <x:f>Q215*M215</x:f>
        <x:v>946</x:v>
      </x:c>
      <x:c r="S215" s="22" t="n">
        <x:f>P215-R215</x:f>
        <x:v>88.87999999999988</x:v>
      </x:c>
      <x:c r="T215" t="str">
        <x:v>Cash</x:v>
      </x:c>
      <x:c r="U215" t="str">
        <x:v>Paid</x:v>
      </x:c>
      <x:c r="V215" t="str">
        <x:v>Delivered</x:v>
      </x:c>
      <x:c r="W215" t="n">
        <x:v>0</x:v>
      </x:c>
      <x:c r="X215" t="str"/>
      <x:c r="Y215" t="str">
        <x:v>Outbound Call</x:v>
      </x:c>
    </x:row>
    <x:row r="216">
      <x:c r="A216" t="str">
        <x:v>O000215</x:v>
      </x:c>
      <x:c r="B216" s="20" t="n">
        <x:v>46077</x:v>
      </x:c>
      <x:c r="C216" t="str">
        <x:v>C0127</x:v>
      </x:c>
      <x:c r="D216" t="str">
        <x:v>Grand Mart 127</x:v>
      </x:c>
      <x:c r="E216" t="str">
        <x:v>Canteen</x:v>
      </x:c>
      <x:c r="F216" t="str">
        <x:v>Hubballi</x:v>
      </x:c>
      <x:c r="G216" t="str">
        <x:v>Imran</x:v>
      </x:c>
      <x:c r="H216" t="str">
        <x:v>P009</x:v>
      </x:c>
      <x:c r="I216" t="str">
        <x:v>Groundnut Oil 5L</x:v>
      </x:c>
      <x:c r="J216" t="str">
        <x:v>Edible Oil</x:v>
      </x:c>
      <x:c r="K216" t="str">
        <x:v>Dhara</x:v>
      </x:c>
      <x:c r="L216" s="22" t="n">
        <x:v>890</x:v>
      </x:c>
      <x:c r="M216" t="n">
        <x:v>7</x:v>
      </x:c>
      <x:c r="N216" s="24" t="n">
        <x:v>0.02</x:v>
      </x:c>
      <x:c r="O216" s="22" t="n">
        <x:f>L216*M216</x:f>
        <x:v>6230</x:v>
      </x:c>
      <x:c r="P216" s="22" t="n">
        <x:f>O216*(1-N216)</x:f>
        <x:v>6105.4</x:v>
      </x:c>
      <x:c r="Q216" s="22" t="n">
        <x:v>810</x:v>
      </x:c>
      <x:c r="R216" s="22" t="n">
        <x:f>Q216*M216</x:f>
        <x:v>5670</x:v>
      </x:c>
      <x:c r="S216" s="22" t="n">
        <x:f>P216-R216</x:f>
        <x:v>435.39999999999964</x:v>
      </x:c>
      <x:c r="T216" t="str">
        <x:v>Bank Transfer</x:v>
      </x:c>
      <x:c r="U216" t="str">
        <x:v>Paid</x:v>
      </x:c>
      <x:c r="V216" t="str">
        <x:v>Delivered</x:v>
      </x:c>
      <x:c r="W216" t="n">
        <x:v>0</x:v>
      </x:c>
      <x:c r="X216" t="str"/>
      <x:c r="Y216" t="str">
        <x:v>Referral</x:v>
      </x:c>
    </x:row>
    <x:row r="217">
      <x:c r="A217" t="str">
        <x:v>O000216</x:v>
      </x:c>
      <x:c r="B217" s="20" t="n">
        <x:v>46082</x:v>
      </x:c>
      <x:c r="C217" t="str">
        <x:v>C0028</x:v>
      </x:c>
      <x:c r="D217" t="str">
        <x:v>Spice Cafe 28</x:v>
      </x:c>
      <x:c r="E217" t="str">
        <x:v>Supermarket</x:v>
      </x:c>
      <x:c r="F217" t="str">
        <x:v>Mysuru</x:v>
      </x:c>
      <x:c r="G217" t="str">
        <x:v>Vikram</x:v>
      </x:c>
      <x:c r="H217" t="str">
        <x:v>P049</x:v>
      </x:c>
      <x:c r="I217" t="str">
        <x:v>Apple 10kg</x:v>
      </x:c>
      <x:c r="J217" t="str">
        <x:v>Fresh Produce</x:v>
      </x:c>
      <x:c r="K217" t="str">
        <x:v>Local Market</x:v>
      </x:c>
      <x:c r="L217" s="22" t="n">
        <x:v>1450</x:v>
      </x:c>
      <x:c r="M217" t="n">
        <x:v>11</x:v>
      </x:c>
      <x:c r="N217" s="24" t="n">
        <x:v>0.05</x:v>
      </x:c>
      <x:c r="O217" s="22" t="n">
        <x:f>L217*M217</x:f>
        <x:v>15950</x:v>
      </x:c>
      <x:c r="P217" s="22" t="n">
        <x:f>O217*(1-N217)</x:f>
        <x:v>15152.5</x:v>
      </x:c>
      <x:c r="Q217" s="22" t="n">
        <x:v>1280</x:v>
      </x:c>
      <x:c r="R217" s="22" t="n">
        <x:f>Q217*M217</x:f>
        <x:v>14080</x:v>
      </x:c>
      <x:c r="S217" s="22" t="n">
        <x:f>P217-R217</x:f>
        <x:v>1072.5</x:v>
      </x:c>
      <x:c r="T217" t="str">
        <x:v>UPI</x:v>
      </x:c>
      <x:c r="U217" t="str">
        <x:v>Pending</x:v>
      </x:c>
      <x:c r="V217" t="str">
        <x:v>Delivered</x:v>
      </x:c>
      <x:c r="W217" t="n">
        <x:v>0</x:v>
      </x:c>
      <x:c r="X217" t="str"/>
      <x:c r="Y217" t="str">
        <x:v>Existing Customer</x:v>
      </x:c>
    </x:row>
    <x:row r="218">
      <x:c r="A218" t="str">
        <x:v>O000217</x:v>
      </x:c>
      <x:c r="B218" s="20" t="n">
        <x:v>45662</x:v>
      </x:c>
      <x:c r="C218" t="str">
        <x:v>C0035</x:v>
      </x:c>
      <x:c r="D218" t="str">
        <x:v>City Foods 35</x:v>
      </x:c>
      <x:c r="E218" t="str">
        <x:v>Kirana</x:v>
      </x:c>
      <x:c r="F218" t="str">
        <x:v>Bengaluru</x:v>
      </x:c>
      <x:c r="G218" t="str">
        <x:v>Megha</x:v>
      </x:c>
      <x:c r="H218" t="str">
        <x:v>P032</x:v>
      </x:c>
      <x:c r="I218" t="str">
        <x:v>Soy Sauce 700g</x:v>
      </x:c>
      <x:c r="J218" t="str">
        <x:v>Condiments</x:v>
      </x:c>
      <x:c r="K218" t="str">
        <x:v>Ching's</x:v>
      </x:c>
      <x:c r="L218" s="22" t="n">
        <x:v>118</x:v>
      </x:c>
      <x:c r="M218" t="n">
        <x:v>34</x:v>
      </x:c>
      <x:c r="N218" s="24" t="n">
        <x:v>0.05</x:v>
      </x:c>
      <x:c r="O218" s="22" t="n">
        <x:f>L218*M218</x:f>
        <x:v>4012</x:v>
      </x:c>
      <x:c r="P218" s="22" t="n">
        <x:f>O218*(1-N218)</x:f>
        <x:v>3811.3999999999996</x:v>
      </x:c>
      <x:c r="Q218" s="22" t="n">
        <x:v>101</x:v>
      </x:c>
      <x:c r="R218" s="22" t="n">
        <x:f>Q218*M218</x:f>
        <x:v>3434</x:v>
      </x:c>
      <x:c r="S218" s="22" t="n">
        <x:f>P218-R218</x:f>
        <x:v>377.39999999999964</x:v>
      </x:c>
      <x:c r="T218" t="str">
        <x:v>Credit</x:v>
      </x:c>
      <x:c r="U218" t="str">
        <x:v>Pending</x:v>
      </x:c>
      <x:c r="V218" t="str">
        <x:v>Delivered</x:v>
      </x:c>
      <x:c r="W218" t="n">
        <x:v>0</x:v>
      </x:c>
      <x:c r="X218" t="str"/>
      <x:c r="Y218" t="str">
        <x:v>Referral</x:v>
      </x:c>
    </x:row>
    <x:row r="219">
      <x:c r="A219" t="str">
        <x:v>O000218</x:v>
      </x:c>
      <x:c r="B219" s="20" t="n">
        <x:v>45789</x:v>
      </x:c>
      <x:c r="C219" t="str">
        <x:v>C0045</x:v>
      </x:c>
      <x:c r="D219" t="str">
        <x:v>Annapurna Restaurant 45</x:v>
      </x:c>
      <x:c r="E219" t="str">
        <x:v>Kirana</x:v>
      </x:c>
      <x:c r="F219" t="str">
        <x:v>Mysuru</x:v>
      </x:c>
      <x:c r="G219" t="str">
        <x:v>Arjun</x:v>
      </x:c>
      <x:c r="H219" t="str">
        <x:v>P047</x:v>
      </x:c>
      <x:c r="I219" t="str">
        <x:v>Tomato 25kg</x:v>
      </x:c>
      <x:c r="J219" t="str">
        <x:v>Fresh Produce</x:v>
      </x:c>
      <x:c r="K219" t="str">
        <x:v>Local Market</x:v>
      </x:c>
      <x:c r="L219" s="22" t="n">
        <x:v>950</x:v>
      </x:c>
      <x:c r="M219" t="n">
        <x:v>7</x:v>
      </x:c>
      <x:c r="N219" s="24" t="n">
        <x:v>0.02</x:v>
      </x:c>
      <x:c r="O219" s="22" t="n">
        <x:f>L219*M219</x:f>
        <x:v>6650</x:v>
      </x:c>
      <x:c r="P219" s="22" t="n">
        <x:f>O219*(1-N219)</x:f>
        <x:v>6517</x:v>
      </x:c>
      <x:c r="Q219" s="22" t="n">
        <x:v>810</x:v>
      </x:c>
      <x:c r="R219" s="22" t="n">
        <x:f>Q219*M219</x:f>
        <x:v>5670</x:v>
      </x:c>
      <x:c r="S219" s="22" t="n">
        <x:f>P219-R219</x:f>
        <x:v>847</x:v>
      </x:c>
      <x:c r="T219" t="str">
        <x:v>Cash</x:v>
      </x:c>
      <x:c r="U219" t="str">
        <x:v>Paid</x:v>
      </x:c>
      <x:c r="V219" t="str">
        <x:v>Delivered</x:v>
      </x:c>
      <x:c r="W219" t="n">
        <x:v>0</x:v>
      </x:c>
      <x:c r="X219" t="str"/>
      <x:c r="Y219" t="str">
        <x:v>Existing Customer</x:v>
      </x:c>
    </x:row>
    <x:row r="220">
      <x:c r="A220" t="str">
        <x:v>O000219</x:v>
      </x:c>
      <x:c r="B220" s="20" t="n">
        <x:v>45938</x:v>
      </x:c>
      <x:c r="C220" t="str">
        <x:v>C0196</x:v>
      </x:c>
      <x:c r="D220" t="str">
        <x:v>Namma Mart 196</x:v>
      </x:c>
      <x:c r="E220" t="str">
        <x:v>Cafe</x:v>
      </x:c>
      <x:c r="F220" t="str">
        <x:v>Mangaluru</x:v>
      </x:c>
      <x:c r="G220" t="str">
        <x:v>Kavya</x:v>
      </x:c>
      <x:c r="H220" t="str">
        <x:v>P016</x:v>
      </x:c>
      <x:c r="I220" t="str">
        <x:v>Curd 1kg</x:v>
      </x:c>
      <x:c r="J220" t="str">
        <x:v>Dairy</x:v>
      </x:c>
      <x:c r="K220" t="str">
        <x:v>Nandini</x:v>
      </x:c>
      <x:c r="L220" s="22" t="n">
        <x:v>72</x:v>
      </x:c>
      <x:c r="M220" t="n">
        <x:v>26</x:v>
      </x:c>
      <x:c r="N220" s="24" t="n">
        <x:v>0.1</x:v>
      </x:c>
      <x:c r="O220" s="22" t="n">
        <x:f>L220*M220</x:f>
        <x:v>1872</x:v>
      </x:c>
      <x:c r="P220" s="22" t="n">
        <x:f>O220*(1-N220)</x:f>
        <x:v>1684.8</x:v>
      </x:c>
      <x:c r="Q220" s="22" t="n">
        <x:v>64</x:v>
      </x:c>
      <x:c r="R220" s="22" t="n">
        <x:f>Q220*M220</x:f>
        <x:v>1664</x:v>
      </x:c>
      <x:c r="S220" s="22" t="n">
        <x:f>P220-R220</x:f>
        <x:v>20.799999999999955</x:v>
      </x:c>
      <x:c r="T220" t="str">
        <x:v>Cash</x:v>
      </x:c>
      <x:c r="U220" t="str">
        <x:v>Paid</x:v>
      </x:c>
      <x:c r="V220" t="str">
        <x:v>Delivered</x:v>
      </x:c>
      <x:c r="W220" t="n">
        <x:v>0</x:v>
      </x:c>
      <x:c r="X220" t="str"/>
      <x:c r="Y220" t="str">
        <x:v>Existing Customer</x:v>
      </x:c>
    </x:row>
    <x:row r="221">
      <x:c r="A221" t="str">
        <x:v>O000220</x:v>
      </x:c>
      <x:c r="B221" s="20" t="n">
        <x:v>45964</x:v>
      </x:c>
      <x:c r="C221" t="str">
        <x:v>C0192</x:v>
      </x:c>
      <x:c r="D221" t="str">
        <x:v>Shree Kitchen 192</x:v>
      </x:c>
      <x:c r="E221" t="str">
        <x:v>Restaurant</x:v>
      </x:c>
      <x:c r="F221" t="str">
        <x:v>Mysuru</x:v>
      </x:c>
      <x:c r="G221" t="str">
        <x:v>Sneha</x:v>
      </x:c>
      <x:c r="H221" t="str">
        <x:v>P033</x:v>
      </x:c>
      <x:c r="I221" t="str">
        <x:v>Turmeric Powder 1kg</x:v>
      </x:c>
      <x:c r="J221" t="str">
        <x:v>Spices</x:v>
      </x:c>
      <x:c r="K221" t="str">
        <x:v>Everest</x:v>
      </x:c>
      <x:c r="L221" s="22" t="n">
        <x:v>310</x:v>
      </x:c>
      <x:c r="M221" t="n">
        <x:v>36</x:v>
      </x:c>
      <x:c r="N221" s="24" t="n">
        <x:v>0.08</x:v>
      </x:c>
      <x:c r="O221" s="22" t="n">
        <x:f>L221*M221</x:f>
        <x:v>11160</x:v>
      </x:c>
      <x:c r="P221" s="22" t="n">
        <x:f>O221*(1-N221)</x:f>
        <x:v>10267.2</x:v>
      </x:c>
      <x:c r="Q221" s="22" t="n">
        <x:v>270</x:v>
      </x:c>
      <x:c r="R221" s="22" t="n">
        <x:f>Q221*M221</x:f>
        <x:v>9720</x:v>
      </x:c>
      <x:c r="S221" s="22" t="n">
        <x:f>P221-R221</x:f>
        <x:v>547.2000000000007</x:v>
      </x:c>
      <x:c r="T221" t="str">
        <x:v>Bank Transfer</x:v>
      </x:c>
      <x:c r="U221" t="str">
        <x:v>Paid</x:v>
      </x:c>
      <x:c r="V221" t="str">
        <x:v>Delayed</x:v>
      </x:c>
      <x:c r="W221" t="n">
        <x:v>0</x:v>
      </x:c>
      <x:c r="X221" t="str"/>
      <x:c r="Y221" t="str">
        <x:v>Field Visit</x:v>
      </x:c>
    </x:row>
    <x:row r="222">
      <x:c r="A222" t="str">
        <x:v>O000221</x:v>
      </x:c>
      <x:c r="B222" s="20" t="n">
        <x:v>45793</x:v>
      </x:c>
      <x:c r="C222" t="str">
        <x:v>C0236</x:v>
      </x:c>
      <x:c r="D222" t="str">
        <x:v>Foodie Stores 236</x:v>
      </x:c>
      <x:c r="E222" t="str">
        <x:v>Kirana</x:v>
      </x:c>
      <x:c r="F222" t="str">
        <x:v>Bengaluru</x:v>
      </x:c>
      <x:c r="G222" t="str">
        <x:v>Ramesh</x:v>
      </x:c>
      <x:c r="H222" t="str">
        <x:v>P044</x:v>
      </x:c>
      <x:c r="I222" t="str">
        <x:v>Chicken Curry Cut 1kg</x:v>
      </x:c>
      <x:c r="J222" t="str">
        <x:v>Protein</x:v>
      </x:c>
      <x:c r="K222" t="str">
        <x:v>FreshToHome</x:v>
      </x:c>
      <x:c r="L222" s="22" t="n">
        <x:v>230</x:v>
      </x:c>
      <x:c r="M222" t="n">
        <x:v>12</x:v>
      </x:c>
      <x:c r="N222" s="24" t="n">
        <x:v>0.03</x:v>
      </x:c>
      <x:c r="O222" s="22" t="n">
        <x:f>L222*M222</x:f>
        <x:v>2760</x:v>
      </x:c>
      <x:c r="P222" s="22" t="n">
        <x:f>O222*(1-N222)</x:f>
        <x:v>2677.2</x:v>
      </x:c>
      <x:c r="Q222" s="22" t="n">
        <x:v>205</x:v>
      </x:c>
      <x:c r="R222" s="22" t="n">
        <x:f>Q222*M222</x:f>
        <x:v>2460</x:v>
      </x:c>
      <x:c r="S222" s="22" t="n">
        <x:f>P222-R222</x:f>
        <x:v>217.19999999999982</x:v>
      </x:c>
      <x:c r="T222" t="str">
        <x:v>Cash</x:v>
      </x:c>
      <x:c r="U222" t="str">
        <x:v>Paid</x:v>
      </x:c>
      <x:c r="V222" t="str">
        <x:v>Delivered</x:v>
      </x:c>
      <x:c r="W222" t="n">
        <x:v>0</x:v>
      </x:c>
      <x:c r="X222" t="str"/>
      <x:c r="Y222" t="str">
        <x:v>Existing Customer</x:v>
      </x:c>
    </x:row>
    <x:row r="223">
      <x:c r="A223" t="str">
        <x:v>O000222</x:v>
      </x:c>
      <x:c r="B223" s="20" t="n">
        <x:v>46085</x:v>
      </x:c>
      <x:c r="C223" t="str">
        <x:v>C0171</x:v>
      </x:c>
      <x:c r="D223" t="str">
        <x:v>Metro Canteen 171</x:v>
      </x:c>
      <x:c r="E223" t="str">
        <x:v>Restaurant</x:v>
      </x:c>
      <x:c r="F223" t="str">
        <x:v>Mangaluru</x:v>
      </x:c>
      <x:c r="G223" t="str">
        <x:v>Priya</x:v>
      </x:c>
      <x:c r="H223" t="str">
        <x:v>P046</x:v>
      </x:c>
      <x:c r="I223" t="str">
        <x:v>Potato 25kg</x:v>
      </x:c>
      <x:c r="J223" t="str">
        <x:v>Fresh Produce</x:v>
      </x:c>
      <x:c r="K223" t="str">
        <x:v>Local Market</x:v>
      </x:c>
      <x:c r="L223" s="22" t="n">
        <x:v>700</x:v>
      </x:c>
      <x:c r="M223" t="n">
        <x:v>35</x:v>
      </x:c>
      <x:c r="N223" s="24" t="n">
        <x:v>0.02</x:v>
      </x:c>
      <x:c r="O223" s="22" t="n">
        <x:f>L223*M223</x:f>
        <x:v>24500</x:v>
      </x:c>
      <x:c r="P223" s="22" t="n">
        <x:f>O223*(1-N223)</x:f>
        <x:v>24010</x:v>
      </x:c>
      <x:c r="Q223" s="22" t="n">
        <x:v>610</x:v>
      </x:c>
      <x:c r="R223" s="22" t="n">
        <x:f>Q223*M223</x:f>
        <x:v>21350</x:v>
      </x:c>
      <x:c r="S223" s="22" t="n">
        <x:f>P223-R223</x:f>
        <x:v>2660</x:v>
      </x:c>
      <x:c r="T223" t="str">
        <x:v>Credit</x:v>
      </x:c>
      <x:c r="U223" t="str">
        <x:v>Pending</x:v>
      </x:c>
      <x:c r="V223" t="str">
        <x:v>Delayed</x:v>
      </x:c>
      <x:c r="W223" t="n">
        <x:v>0</x:v>
      </x:c>
      <x:c r="X223" t="str"/>
      <x:c r="Y223" t="str">
        <x:v>Outbound Call</x:v>
      </x:c>
    </x:row>
    <x:row r="224">
      <x:c r="A224" t="str">
        <x:v>O000223</x:v>
      </x:c>
      <x:c r="B224" s="20" t="n">
        <x:v>45715</x:v>
      </x:c>
      <x:c r="C224" t="str">
        <x:v>C0038</x:v>
      </x:c>
      <x:c r="D224" t="str">
        <x:v>Mysore Kitchen 38</x:v>
      </x:c>
      <x:c r="E224" t="str">
        <x:v>Kirana</x:v>
      </x:c>
      <x:c r="F224" t="str">
        <x:v>Tumakuru</x:v>
      </x:c>
      <x:c r="G224" t="str">
        <x:v>Priya</x:v>
      </x:c>
      <x:c r="H224" t="str">
        <x:v>P004</x:v>
      </x:c>
      <x:c r="I224" t="str">
        <x:v>Toor Dal 5kg</x:v>
      </x:c>
      <x:c r="J224" t="str">
        <x:v>Pulses</x:v>
      </x:c>
      <x:c r="K224" t="str">
        <x:v>Tata Sampann</x:v>
      </x:c>
      <x:c r="L224" s="22" t="n">
        <x:v>780</x:v>
      </x:c>
      <x:c r="M224" t="n">
        <x:v>13</x:v>
      </x:c>
      <x:c r="N224" s="24" t="n">
        <x:v>0.02</x:v>
      </x:c>
      <x:c r="O224" s="22" t="n">
        <x:f>L224*M224</x:f>
        <x:v>10140</x:v>
      </x:c>
      <x:c r="P224" s="22" t="n">
        <x:f>O224*(1-N224)</x:f>
        <x:v>9937.2</x:v>
      </x:c>
      <x:c r="Q224" s="22" t="n">
        <x:v>695</x:v>
      </x:c>
      <x:c r="R224" s="22" t="n">
        <x:f>Q224*M224</x:f>
        <x:v>9035</x:v>
      </x:c>
      <x:c r="S224" s="22" t="n">
        <x:f>P224-R224</x:f>
        <x:v>902.2000000000007</x:v>
      </x:c>
      <x:c r="T224" t="str">
        <x:v>Bank Transfer</x:v>
      </x:c>
      <x:c r="U224" t="str">
        <x:v>Overdue</x:v>
      </x:c>
      <x:c r="V224" t="str">
        <x:v>Cancelled</x:v>
      </x:c>
      <x:c r="W224" t="n">
        <x:v>13</x:v>
      </x:c>
      <x:c r="X224" t="str">
        <x:v>Cancelled Order</x:v>
      </x:c>
      <x:c r="Y224" t="str">
        <x:v>Field Visit</x:v>
      </x:c>
    </x:row>
    <x:row r="225">
      <x:c r="A225" t="str">
        <x:v>O000224</x:v>
      </x:c>
      <x:c r="B225" s="20" t="n">
        <x:v>45960</x:v>
      </x:c>
      <x:c r="C225" t="str">
        <x:v>C0016</x:v>
      </x:c>
      <x:c r="D225" t="str">
        <x:v>Royal Canteen 16</x:v>
      </x:c>
      <x:c r="E225" t="str">
        <x:v>Cafe</x:v>
      </x:c>
      <x:c r="F225" t="str">
        <x:v>Davanagere</x:v>
      </x:c>
      <x:c r="G225" t="str">
        <x:v>Megha</x:v>
      </x:c>
      <x:c r="H225" t="str">
        <x:v>P045</x:v>
      </x:c>
      <x:c r="I225" t="str">
        <x:v>Onion 25kg</x:v>
      </x:c>
      <x:c r="J225" t="str">
        <x:v>Fresh Produce</x:v>
      </x:c>
      <x:c r="K225" t="str">
        <x:v>Local Market</x:v>
      </x:c>
      <x:c r="L225" s="22" t="n">
        <x:v>875</x:v>
      </x:c>
      <x:c r="M225" t="n">
        <x:v>14</x:v>
      </x:c>
      <x:c r="N225" s="24" t="n">
        <x:v>0.05</x:v>
      </x:c>
      <x:c r="O225" s="22" t="n">
        <x:f>L225*M225</x:f>
        <x:v>12250</x:v>
      </x:c>
      <x:c r="P225" s="22" t="n">
        <x:f>O225*(1-N225)</x:f>
        <x:v>11637.5</x:v>
      </x:c>
      <x:c r="Q225" s="22" t="n">
        <x:v>760</x:v>
      </x:c>
      <x:c r="R225" s="22" t="n">
        <x:f>Q225*M225</x:f>
        <x:v>10640</x:v>
      </x:c>
      <x:c r="S225" s="22" t="n">
        <x:f>P225-R225</x:f>
        <x:v>997.5</x:v>
      </x:c>
      <x:c r="T225" t="str">
        <x:v>UPI</x:v>
      </x:c>
      <x:c r="U225" t="str">
        <x:v>Paid</x:v>
      </x:c>
      <x:c r="V225" t="str">
        <x:v>Delivered</x:v>
      </x:c>
      <x:c r="W225" t="n">
        <x:v>0</x:v>
      </x:c>
      <x:c r="X225" t="str"/>
      <x:c r="Y225" t="str">
        <x:v>Existing Customer</x:v>
      </x:c>
    </x:row>
    <x:row r="226">
      <x:c r="A226" t="str">
        <x:v>O000225</x:v>
      </x:c>
      <x:c r="B226" s="20" t="n">
        <x:v>46232</x:v>
      </x:c>
      <x:c r="C226" t="str">
        <x:v>C0191</x:v>
      </x:c>
      <x:c r="D226" t="str">
        <x:v>Foodie Kitchen 191</x:v>
      </x:c>
      <x:c r="E226" t="str">
        <x:v>Cafe</x:v>
      </x:c>
      <x:c r="F226" t="str">
        <x:v>Mysuru</x:v>
      </x:c>
      <x:c r="G226" t="str">
        <x:v>Priya</x:v>
      </x:c>
      <x:c r="H226" t="str">
        <x:v>P042</x:v>
      </x:c>
      <x:c r="I226" t="str">
        <x:v>Eggs 30pc Tray</x:v>
      </x:c>
      <x:c r="J226" t="str">
        <x:v>Protein</x:v>
      </x:c>
      <x:c r="K226" t="str">
        <x:v>Farm Fresh</x:v>
      </x:c>
      <x:c r="L226" s="22" t="n">
        <x:v>195</x:v>
      </x:c>
      <x:c r="M226" t="n">
        <x:v>25</x:v>
      </x:c>
      <x:c r="N226" s="24" t="n">
        <x:v>0</x:v>
      </x:c>
      <x:c r="O226" s="22" t="n">
        <x:f>L226*M226</x:f>
        <x:v>4875</x:v>
      </x:c>
      <x:c r="P226" s="22" t="n">
        <x:f>O226*(1-N226)</x:f>
        <x:v>4875</x:v>
      </x:c>
      <x:c r="Q226" s="22" t="n">
        <x:v>170</x:v>
      </x:c>
      <x:c r="R226" s="22" t="n">
        <x:f>Q226*M226</x:f>
        <x:v>4250</x:v>
      </x:c>
      <x:c r="S226" s="22" t="n">
        <x:f>P226-R226</x:f>
        <x:v>625</x:v>
      </x:c>
      <x:c r="T226" t="str">
        <x:v>Cash</x:v>
      </x:c>
      <x:c r="U226" t="str">
        <x:v>Paid</x:v>
      </x:c>
      <x:c r="V226" t="str">
        <x:v>Delivered</x:v>
      </x:c>
      <x:c r="W226" t="n">
        <x:v>0</x:v>
      </x:c>
      <x:c r="X226" t="str"/>
      <x:c r="Y226" t="str">
        <x:v>WhatsApp</x:v>
      </x:c>
    </x:row>
    <x:row r="227">
      <x:c r="A227" t="str">
        <x:v>O000226</x:v>
      </x:c>
      <x:c r="B227" s="20" t="n">
        <x:v>45978</x:v>
      </x:c>
      <x:c r="C227" t="str">
        <x:v>C0202</x:v>
      </x:c>
      <x:c r="D227" t="str">
        <x:v>Sagar Foods 202</x:v>
      </x:c>
      <x:c r="E227" t="str">
        <x:v>Restaurant</x:v>
      </x:c>
      <x:c r="F227" t="str">
        <x:v>Mangaluru</x:v>
      </x:c>
      <x:c r="G227" t="str">
        <x:v>Kavya</x:v>
      </x:c>
      <x:c r="H227" t="str">
        <x:v>P044</x:v>
      </x:c>
      <x:c r="I227" t="str">
        <x:v>Chicken Curry Cut 1kg</x:v>
      </x:c>
      <x:c r="J227" t="str">
        <x:v>Protein</x:v>
      </x:c>
      <x:c r="K227" t="str">
        <x:v>FreshToHome</x:v>
      </x:c>
      <x:c r="L227" s="22" t="n">
        <x:v>230</x:v>
      </x:c>
      <x:c r="M227" t="n">
        <x:v>36</x:v>
      </x:c>
      <x:c r="N227" s="24" t="n">
        <x:v>0</x:v>
      </x:c>
      <x:c r="O227" s="22" t="n">
        <x:f>L227*M227</x:f>
        <x:v>8280</x:v>
      </x:c>
      <x:c r="P227" s="22" t="n">
        <x:f>O227*(1-N227)</x:f>
        <x:v>8280</x:v>
      </x:c>
      <x:c r="Q227" s="22" t="n">
        <x:v>205</x:v>
      </x:c>
      <x:c r="R227" s="22" t="n">
        <x:f>Q227*M227</x:f>
        <x:v>7380</x:v>
      </x:c>
      <x:c r="S227" s="22" t="n">
        <x:f>P227-R227</x:f>
        <x:v>900</x:v>
      </x:c>
      <x:c r="T227" t="str">
        <x:v>Cash</x:v>
      </x:c>
      <x:c r="U227" t="str">
        <x:v>Paid</x:v>
      </x:c>
      <x:c r="V227" t="str">
        <x:v>Delivered</x:v>
      </x:c>
      <x:c r="W227" t="n">
        <x:v>0</x:v>
      </x:c>
      <x:c r="X227" t="str"/>
      <x:c r="Y227" t="str">
        <x:v>Field Visit</x:v>
      </x:c>
    </x:row>
    <x:row r="228">
      <x:c r="A228" t="str">
        <x:v>O000227</x:v>
      </x:c>
      <x:c r="B228" s="20" t="n">
        <x:v>46275</x:v>
      </x:c>
      <x:c r="C228" t="str">
        <x:v>C0140</x:v>
      </x:c>
      <x:c r="D228" t="str">
        <x:v>Fresh Hotel 140</x:v>
      </x:c>
      <x:c r="E228" t="str">
        <x:v>Kirana</x:v>
      </x:c>
      <x:c r="F228" t="str">
        <x:v>Tumakuru</x:v>
      </x:c>
      <x:c r="G228" t="str">
        <x:v>Imran</x:v>
      </x:c>
      <x:c r="H228" t="str">
        <x:v>P048</x:v>
      </x:c>
      <x:c r="I228" t="str">
        <x:v>Banana 10kg</x:v>
      </x:c>
      <x:c r="J228" t="str">
        <x:v>Fresh Produce</x:v>
      </x:c>
      <x:c r="K228" t="str">
        <x:v>Local Market</x:v>
      </x:c>
      <x:c r="L228" s="22" t="n">
        <x:v>420</x:v>
      </x:c>
      <x:c r="M228" t="n">
        <x:v>13</x:v>
      </x:c>
      <x:c r="N228" s="24" t="n">
        <x:v>0.05</x:v>
      </x:c>
      <x:c r="O228" s="22" t="n">
        <x:f>L228*M228</x:f>
        <x:v>5460</x:v>
      </x:c>
      <x:c r="P228" s="22" t="n">
        <x:f>O228*(1-N228)</x:f>
        <x:v>5187</x:v>
      </x:c>
      <x:c r="Q228" s="22" t="n">
        <x:v>350</x:v>
      </x:c>
      <x:c r="R228" s="22" t="n">
        <x:f>Q228*M228</x:f>
        <x:v>4550</x:v>
      </x:c>
      <x:c r="S228" s="22" t="n">
        <x:f>P228-R228</x:f>
        <x:v>637</x:v>
      </x:c>
      <x:c r="T228" t="str">
        <x:v>Bank Transfer</x:v>
      </x:c>
      <x:c r="U228" t="str">
        <x:v>Paid</x:v>
      </x:c>
      <x:c r="V228" t="str">
        <x:v>Delivered</x:v>
      </x:c>
      <x:c r="W228" t="n">
        <x:v>0</x:v>
      </x:c>
      <x:c r="X228" t="str"/>
      <x:c r="Y228" t="str">
        <x:v>Outbound Call</x:v>
      </x:c>
    </x:row>
    <x:row r="229">
      <x:c r="A229" t="str">
        <x:v>O000228</x:v>
      </x:c>
      <x:c r="B229" s="20" t="n">
        <x:v>46184</x:v>
      </x:c>
      <x:c r="C229" t="str">
        <x:v>C0045</x:v>
      </x:c>
      <x:c r="D229" t="str">
        <x:v>Annapurna Restaurant 45</x:v>
      </x:c>
      <x:c r="E229" t="str">
        <x:v>Kirana</x:v>
      </x:c>
      <x:c r="F229" t="str">
        <x:v>Mysuru</x:v>
      </x:c>
      <x:c r="G229" t="str">
        <x:v>Arjun</x:v>
      </x:c>
      <x:c r="H229" t="str">
        <x:v>P048</x:v>
      </x:c>
      <x:c r="I229" t="str">
        <x:v>Banana 10kg</x:v>
      </x:c>
      <x:c r="J229" t="str">
        <x:v>Fresh Produce</x:v>
      </x:c>
      <x:c r="K229" t="str">
        <x:v>Local Market</x:v>
      </x:c>
      <x:c r="L229" s="22" t="n">
        <x:v>420</x:v>
      </x:c>
      <x:c r="M229" t="n">
        <x:v>8</x:v>
      </x:c>
      <x:c r="N229" s="24" t="n">
        <x:v>0.02</x:v>
      </x:c>
      <x:c r="O229" s="22" t="n">
        <x:f>L229*M229</x:f>
        <x:v>3360</x:v>
      </x:c>
      <x:c r="P229" s="22" t="n">
        <x:f>O229*(1-N229)</x:f>
        <x:v>3292.7999999999997</x:v>
      </x:c>
      <x:c r="Q229" s="22" t="n">
        <x:v>350</x:v>
      </x:c>
      <x:c r="R229" s="22" t="n">
        <x:f>Q229*M229</x:f>
        <x:v>2800</x:v>
      </x:c>
      <x:c r="S229" s="22" t="n">
        <x:f>P229-R229</x:f>
        <x:v>492.7999999999997</x:v>
      </x:c>
      <x:c r="T229" t="str">
        <x:v>Credit</x:v>
      </x:c>
      <x:c r="U229" t="str">
        <x:v>Paid</x:v>
      </x:c>
      <x:c r="V229" t="str">
        <x:v>Delivered</x:v>
      </x:c>
      <x:c r="W229" t="n">
        <x:v>0</x:v>
      </x:c>
      <x:c r="X229" t="str"/>
      <x:c r="Y229" t="str">
        <x:v>Existing Customer</x:v>
      </x:c>
    </x:row>
    <x:row r="230">
      <x:c r="A230" t="str">
        <x:v>O000229</x:v>
      </x:c>
      <x:c r="B230" s="20" t="n">
        <x:v>46135</x:v>
      </x:c>
      <x:c r="C230" t="str">
        <x:v>C0002</x:v>
      </x:c>
      <x:c r="D230" t="str">
        <x:v>City Kitchen 2</x:v>
      </x:c>
      <x:c r="E230" t="str">
        <x:v>Kirana</x:v>
      </x:c>
      <x:c r="F230" t="str">
        <x:v>Davanagere</x:v>
      </x:c>
      <x:c r="G230" t="str">
        <x:v>Arjun</x:v>
      </x:c>
      <x:c r="H230" t="str">
        <x:v>P022</x:v>
      </x:c>
      <x:c r="I230" t="str">
        <x:v>Mineral Water 1L</x:v>
      </x:c>
      <x:c r="J230" t="str">
        <x:v>Beverage</x:v>
      </x:c>
      <x:c r="K230" t="str">
        <x:v>Bisleri</x:v>
      </x:c>
      <x:c r="L230" s="22" t="n">
        <x:v>19</x:v>
      </x:c>
      <x:c r="M230" t="n">
        <x:v>10</x:v>
      </x:c>
      <x:c r="N230" s="24" t="n">
        <x:v>0</x:v>
      </x:c>
      <x:c r="O230" s="22" t="n">
        <x:f>L230*M230</x:f>
        <x:v>190</x:v>
      </x:c>
      <x:c r="P230" s="22" t="n">
        <x:f>O230*(1-N230)</x:f>
        <x:v>190</x:v>
      </x:c>
      <x:c r="Q230" s="22" t="n">
        <x:v>15</x:v>
      </x:c>
      <x:c r="R230" s="22" t="n">
        <x:f>Q230*M230</x:f>
        <x:v>150</x:v>
      </x:c>
      <x:c r="S230" s="22" t="n">
        <x:f>P230-R230</x:f>
        <x:v>40</x:v>
      </x:c>
      <x:c r="T230" t="str">
        <x:v>Cash</x:v>
      </x:c>
      <x:c r="U230" t="str">
        <x:v>Paid</x:v>
      </x:c>
      <x:c r="V230" t="str">
        <x:v>Cancelled</x:v>
      </x:c>
      <x:c r="W230" t="n">
        <x:v>10</x:v>
      </x:c>
      <x:c r="X230" t="str">
        <x:v>Cancelled Order</x:v>
      </x:c>
      <x:c r="Y230" t="str">
        <x:v>Existing Customer</x:v>
      </x:c>
    </x:row>
    <x:row r="231">
      <x:c r="A231" t="str">
        <x:v>O000230</x:v>
      </x:c>
      <x:c r="B231" s="20" t="n">
        <x:v>46244</x:v>
      </x:c>
      <x:c r="C231" t="str">
        <x:v>C0078</x:v>
      </x:c>
      <x:c r="D231" t="str">
        <x:v>Sagar Canteen 78</x:v>
      </x:c>
      <x:c r="E231" t="str">
        <x:v>Hotel</x:v>
      </x:c>
      <x:c r="F231" t="str">
        <x:v>Mangaluru</x:v>
      </x:c>
      <x:c r="G231" t="str">
        <x:v>Ramesh</x:v>
      </x:c>
      <x:c r="H231" t="str">
        <x:v>P032</x:v>
      </x:c>
      <x:c r="I231" t="str">
        <x:v>Soy Sauce 700g</x:v>
      </x:c>
      <x:c r="J231" t="str">
        <x:v>Condiments</x:v>
      </x:c>
      <x:c r="K231" t="str">
        <x:v>Ching's</x:v>
      </x:c>
      <x:c r="L231" s="22" t="n">
        <x:v>118</x:v>
      </x:c>
      <x:c r="M231" t="n">
        <x:v>36</x:v>
      </x:c>
      <x:c r="N231" s="24" t="n">
        <x:v>0.02</x:v>
      </x:c>
      <x:c r="O231" s="22" t="n">
        <x:f>L231*M231</x:f>
        <x:v>4248</x:v>
      </x:c>
      <x:c r="P231" s="22" t="n">
        <x:f>O231*(1-N231)</x:f>
        <x:v>4163.04</x:v>
      </x:c>
      <x:c r="Q231" s="22" t="n">
        <x:v>101</x:v>
      </x:c>
      <x:c r="R231" s="22" t="n">
        <x:f>Q231*M231</x:f>
        <x:v>3636</x:v>
      </x:c>
      <x:c r="S231" s="22" t="n">
        <x:f>P231-R231</x:f>
        <x:v>527.04</x:v>
      </x:c>
      <x:c r="T231" t="str">
        <x:v>Cash</x:v>
      </x:c>
      <x:c r="U231" t="str">
        <x:v>Paid</x:v>
      </x:c>
      <x:c r="V231" t="str">
        <x:v>Delivered</x:v>
      </x:c>
      <x:c r="W231" t="n">
        <x:v>0</x:v>
      </x:c>
      <x:c r="X231" t="str"/>
      <x:c r="Y231" t="str">
        <x:v>Existing Customer</x:v>
      </x:c>
    </x:row>
    <x:row r="232">
      <x:c r="A232" t="str">
        <x:v>O000231</x:v>
      </x:c>
      <x:c r="B232" s="20" t="n">
        <x:v>46071</x:v>
      </x:c>
      <x:c r="C232" t="str">
        <x:v>C0140</x:v>
      </x:c>
      <x:c r="D232" t="str">
        <x:v>Fresh Hotel 140</x:v>
      </x:c>
      <x:c r="E232" t="str">
        <x:v>Kirana</x:v>
      </x:c>
      <x:c r="F232" t="str">
        <x:v>Tumakuru</x:v>
      </x:c>
      <x:c r="G232" t="str">
        <x:v>Imran</x:v>
      </x:c>
      <x:c r="H232" t="str">
        <x:v>P035</x:v>
      </x:c>
      <x:c r="I232" t="str">
        <x:v>Coriander Powder 1kg</x:v>
      </x:c>
      <x:c r="J232" t="str">
        <x:v>Spices</x:v>
      </x:c>
      <x:c r="K232" t="str">
        <x:v>Everest</x:v>
      </x:c>
      <x:c r="L232" s="22" t="n">
        <x:v>280</x:v>
      </x:c>
      <x:c r="M232" t="n">
        <x:v>6</x:v>
      </x:c>
      <x:c r="N232" s="24" t="n">
        <x:v>0.02</x:v>
      </x:c>
      <x:c r="O232" s="22" t="n">
        <x:f>L232*M232</x:f>
        <x:v>1680</x:v>
      </x:c>
      <x:c r="P232" s="22" t="n">
        <x:f>O232*(1-N232)</x:f>
        <x:v>1646.3999999999999</x:v>
      </x:c>
      <x:c r="Q232" s="22" t="n">
        <x:v>245</x:v>
      </x:c>
      <x:c r="R232" s="22" t="n">
        <x:f>Q232*M232</x:f>
        <x:v>1470</x:v>
      </x:c>
      <x:c r="S232" s="22" t="n">
        <x:f>P232-R232</x:f>
        <x:v>176.39999999999986</x:v>
      </x:c>
      <x:c r="T232" t="str">
        <x:v>Bank Transfer</x:v>
      </x:c>
      <x:c r="U232" t="str">
        <x:v>Paid</x:v>
      </x:c>
      <x:c r="V232" t="str">
        <x:v>Delivered</x:v>
      </x:c>
      <x:c r="W232" t="n">
        <x:v>0</x:v>
      </x:c>
      <x:c r="X232" t="str"/>
      <x:c r="Y232" t="str">
        <x:v>Referral</x:v>
      </x:c>
    </x:row>
    <x:row r="233">
      <x:c r="A233" t="str">
        <x:v>O000232</x:v>
      </x:c>
      <x:c r="B233" s="20" t="n">
        <x:v>46144</x:v>
      </x:c>
      <x:c r="C233" t="str">
        <x:v>C0159</x:v>
      </x:c>
      <x:c r="D233" t="str">
        <x:v>Darshini Foods 159</x:v>
      </x:c>
      <x:c r="E233" t="str">
        <x:v>Canteen</x:v>
      </x:c>
      <x:c r="F233" t="str">
        <x:v>Tumakuru</x:v>
      </x:c>
      <x:c r="G233" t="str">
        <x:v>Kavya</x:v>
      </x:c>
      <x:c r="H233" t="str">
        <x:v>P034</x:v>
      </x:c>
      <x:c r="I233" t="str">
        <x:v>Chilli Powder 1kg</x:v>
      </x:c>
      <x:c r="J233" t="str">
        <x:v>Spices</x:v>
      </x:c>
      <x:c r="K233" t="str">
        <x:v>MDH</x:v>
      </x:c>
      <x:c r="L233" s="22" t="n">
        <x:v>340</x:v>
      </x:c>
      <x:c r="M233" t="n">
        <x:v>36</x:v>
      </x:c>
      <x:c r="N233" s="24" t="n">
        <x:v>0.05</x:v>
      </x:c>
      <x:c r="O233" s="22" t="n">
        <x:f>L233*M233</x:f>
        <x:v>12240</x:v>
      </x:c>
      <x:c r="P233" s="22" t="n">
        <x:f>O233*(1-N233)</x:f>
        <x:v>11628</x:v>
      </x:c>
      <x:c r="Q233" s="22" t="n">
        <x:v>295</x:v>
      </x:c>
      <x:c r="R233" s="22" t="n">
        <x:f>Q233*M233</x:f>
        <x:v>10620</x:v>
      </x:c>
      <x:c r="S233" s="22" t="n">
        <x:f>P233-R233</x:f>
        <x:v>1008</x:v>
      </x:c>
      <x:c r="T233" t="str">
        <x:v>UPI</x:v>
      </x:c>
      <x:c r="U233" t="str">
        <x:v>Paid</x:v>
      </x:c>
      <x:c r="V233" t="str">
        <x:v>Delivered</x:v>
      </x:c>
      <x:c r="W233" t="n">
        <x:v>0</x:v>
      </x:c>
      <x:c r="X233" t="str"/>
      <x:c r="Y233" t="str">
        <x:v>Existing Customer</x:v>
      </x:c>
    </x:row>
    <x:row r="234">
      <x:c r="A234" t="str">
        <x:v>O000233</x:v>
      </x:c>
      <x:c r="B234" s="20" t="n">
        <x:v>45986</x:v>
      </x:c>
      <x:c r="C234" t="str">
        <x:v>C0063</x:v>
      </x:c>
      <x:c r="D234" t="str">
        <x:v>Namma Mart 63</x:v>
      </x:c>
      <x:c r="E234" t="str">
        <x:v>Supermarket</x:v>
      </x:c>
      <x:c r="F234" t="str">
        <x:v>Tumakuru</x:v>
      </x:c>
      <x:c r="G234" t="str">
        <x:v>Priya</x:v>
      </x:c>
      <x:c r="H234" t="str">
        <x:v>P003</x:v>
      </x:c>
      <x:c r="I234" t="str">
        <x:v>Basmati Rice 5kg</x:v>
      </x:c>
      <x:c r="J234" t="str">
        <x:v>Staples</x:v>
      </x:c>
      <x:c r="K234" t="str">
        <x:v>India Gate</x:v>
      </x:c>
      <x:c r="L234" s="22" t="n">
        <x:v>690</x:v>
      </x:c>
      <x:c r="M234" t="n">
        <x:v>25</x:v>
      </x:c>
      <x:c r="N234" s="24" t="n">
        <x:v>0.08</x:v>
      </x:c>
      <x:c r="O234" s="22" t="n">
        <x:f>L234*M234</x:f>
        <x:v>17250</x:v>
      </x:c>
      <x:c r="P234" s="22" t="n">
        <x:f>O234*(1-N234)</x:f>
        <x:v>15870</x:v>
      </x:c>
      <x:c r="Q234" s="22" t="n">
        <x:v>610</x:v>
      </x:c>
      <x:c r="R234" s="22" t="n">
        <x:f>Q234*M234</x:f>
        <x:v>15250</x:v>
      </x:c>
      <x:c r="S234" s="22" t="n">
        <x:f>P234-R234</x:f>
        <x:v>620</x:v>
      </x:c>
      <x:c r="T234" t="str">
        <x:v>UPI</x:v>
      </x:c>
      <x:c r="U234" t="str">
        <x:v>Paid</x:v>
      </x:c>
      <x:c r="V234" t="str">
        <x:v>Delayed</x:v>
      </x:c>
      <x:c r="W234" t="n">
        <x:v>0</x:v>
      </x:c>
      <x:c r="X234" t="str"/>
      <x:c r="Y234" t="str">
        <x:v>Field Visit</x:v>
      </x:c>
    </x:row>
    <x:row r="235">
      <x:c r="A235" t="str">
        <x:v>O000234</x:v>
      </x:c>
      <x:c r="B235" s="20" t="n">
        <x:v>46041</x:v>
      </x:c>
      <x:c r="C235" t="str">
        <x:v>C0133</x:v>
      </x:c>
      <x:c r="D235" t="str">
        <x:v>Metro Foods 133</x:v>
      </x:c>
      <x:c r="E235" t="str">
        <x:v>Cafe</x:v>
      </x:c>
      <x:c r="F235" t="str">
        <x:v>Bengaluru</x:v>
      </x:c>
      <x:c r="G235" t="str">
        <x:v>Ramesh</x:v>
      </x:c>
      <x:c r="H235" t="str">
        <x:v>P050</x:v>
      </x:c>
      <x:c r="I235" t="str">
        <x:v>Lemon 5kg</x:v>
      </x:c>
      <x:c r="J235" t="str">
        <x:v>Fresh Produce</x:v>
      </x:c>
      <x:c r="K235" t="str">
        <x:v>Local Market</x:v>
      </x:c>
      <x:c r="L235" s="22" t="n">
        <x:v>360</x:v>
      </x:c>
      <x:c r="M235" t="n">
        <x:v>33</x:v>
      </x:c>
      <x:c r="N235" s="24" t="n">
        <x:v>0.05</x:v>
      </x:c>
      <x:c r="O235" s="22" t="n">
        <x:f>L235*M235</x:f>
        <x:v>11880</x:v>
      </x:c>
      <x:c r="P235" s="22" t="n">
        <x:f>O235*(1-N235)</x:f>
        <x:v>11286</x:v>
      </x:c>
      <x:c r="Q235" s="22" t="n">
        <x:v>300</x:v>
      </x:c>
      <x:c r="R235" s="22" t="n">
        <x:f>Q235*M235</x:f>
        <x:v>9900</x:v>
      </x:c>
      <x:c r="S235" s="22" t="n">
        <x:f>P235-R235</x:f>
        <x:v>1386</x:v>
      </x:c>
      <x:c r="T235" t="str">
        <x:v>Credit</x:v>
      </x:c>
      <x:c r="U235" t="str">
        <x:v>Paid</x:v>
      </x:c>
      <x:c r="V235" t="str">
        <x:v>Delivered</x:v>
      </x:c>
      <x:c r="W235" t="n">
        <x:v>0</x:v>
      </x:c>
      <x:c r="X235" t="str"/>
      <x:c r="Y235" t="str">
        <x:v>Referral</x:v>
      </x:c>
    </x:row>
    <x:row r="236">
      <x:c r="A236" t="str">
        <x:v>O000235</x:v>
      </x:c>
      <x:c r="B236" s="20" t="n">
        <x:v>45829</x:v>
      </x:c>
      <x:c r="C236" t="str">
        <x:v>C0022</x:v>
      </x:c>
      <x:c r="D236" t="str">
        <x:v>Royal Hotel 22</x:v>
      </x:c>
      <x:c r="E236" t="str">
        <x:v>Kirana</x:v>
      </x:c>
      <x:c r="F236" t="str">
        <x:v>Bengaluru</x:v>
      </x:c>
      <x:c r="G236" t="str">
        <x:v>Ramesh</x:v>
      </x:c>
      <x:c r="H236" t="str">
        <x:v>P007</x:v>
      </x:c>
      <x:c r="I236" t="str">
        <x:v>Sunflower Oil 15L</x:v>
      </x:c>
      <x:c r="J236" t="str">
        <x:v>Edible Oil</x:v>
      </x:c>
      <x:c r="K236" t="str">
        <x:v>Fortune</x:v>
      </x:c>
      <x:c r="L236" s="22" t="n">
        <x:v>1980</x:v>
      </x:c>
      <x:c r="M236" t="n">
        <x:v>9</x:v>
      </x:c>
      <x:c r="N236" s="24" t="n">
        <x:v>0</x:v>
      </x:c>
      <x:c r="O236" s="22" t="n">
        <x:f>L236*M236</x:f>
        <x:v>17820</x:v>
      </x:c>
      <x:c r="P236" s="22" t="n">
        <x:f>O236*(1-N236)</x:f>
        <x:v>17820</x:v>
      </x:c>
      <x:c r="Q236" s="22" t="n">
        <x:v>1810</x:v>
      </x:c>
      <x:c r="R236" s="22" t="n">
        <x:f>Q236*M236</x:f>
        <x:v>16290</x:v>
      </x:c>
      <x:c r="S236" s="22" t="n">
        <x:f>P236-R236</x:f>
        <x:v>1530</x:v>
      </x:c>
      <x:c r="T236" t="str">
        <x:v>UPI</x:v>
      </x:c>
      <x:c r="U236" t="str">
        <x:v>Paid</x:v>
      </x:c>
      <x:c r="V236" t="str">
        <x:v>Cancelled</x:v>
      </x:c>
      <x:c r="W236" t="n">
        <x:v>9</x:v>
      </x:c>
      <x:c r="X236" t="str">
        <x:v>Cancelled Order</x:v>
      </x:c>
      <x:c r="Y236" t="str">
        <x:v>Referral</x:v>
      </x:c>
    </x:row>
    <x:row r="237">
      <x:c r="A237" t="str">
        <x:v>O000236</x:v>
      </x:c>
      <x:c r="B237" s="20" t="n">
        <x:v>45868</x:v>
      </x:c>
      <x:c r="C237" t="str">
        <x:v>C0109</x:v>
      </x:c>
      <x:c r="D237" t="str">
        <x:v>Annapurna Kitchen 109</x:v>
      </x:c>
      <x:c r="E237" t="str">
        <x:v>Kirana</x:v>
      </x:c>
      <x:c r="F237" t="str">
        <x:v>Mysuru</x:v>
      </x:c>
      <x:c r="G237" t="str">
        <x:v>Kavya</x:v>
      </x:c>
      <x:c r="H237" t="str">
        <x:v>P007</x:v>
      </x:c>
      <x:c r="I237" t="str">
        <x:v>Sunflower Oil 15L</x:v>
      </x:c>
      <x:c r="J237" t="str">
        <x:v>Edible Oil</x:v>
      </x:c>
      <x:c r="K237" t="str">
        <x:v>Fortune</x:v>
      </x:c>
      <x:c r="L237" s="22" t="n">
        <x:v>1980</x:v>
      </x:c>
      <x:c r="M237" t="n">
        <x:v>12</x:v>
      </x:c>
      <x:c r="N237" s="24" t="n">
        <x:v>0.08</x:v>
      </x:c>
      <x:c r="O237" s="22" t="n">
        <x:f>L237*M237</x:f>
        <x:v>23760</x:v>
      </x:c>
      <x:c r="P237" s="22" t="n">
        <x:f>O237*(1-N237)</x:f>
        <x:v>21859.2</x:v>
      </x:c>
      <x:c r="Q237" s="22" t="n">
        <x:v>1810</x:v>
      </x:c>
      <x:c r="R237" s="22" t="n">
        <x:f>Q237*M237</x:f>
        <x:v>21720</x:v>
      </x:c>
      <x:c r="S237" s="22" t="n">
        <x:f>P237-R237</x:f>
        <x:v>139.20000000000073</x:v>
      </x:c>
      <x:c r="T237" t="str">
        <x:v>Credit</x:v>
      </x:c>
      <x:c r="U237" t="str">
        <x:v>Paid</x:v>
      </x:c>
      <x:c r="V237" t="str">
        <x:v>Delivered</x:v>
      </x:c>
      <x:c r="W237" t="n">
        <x:v>0</x:v>
      </x:c>
      <x:c r="X237" t="str"/>
      <x:c r="Y237" t="str">
        <x:v>Referral</x:v>
      </x:c>
    </x:row>
    <x:row r="238">
      <x:c r="A238" t="str">
        <x:v>O000237</x:v>
      </x:c>
      <x:c r="B238" s="20" t="n">
        <x:v>45696</x:v>
      </x:c>
      <x:c r="C238" t="str">
        <x:v>C0184</x:v>
      </x:c>
      <x:c r="D238" t="str">
        <x:v>Namma Restaurant 184</x:v>
      </x:c>
      <x:c r="E238" t="str">
        <x:v>Cafe</x:v>
      </x:c>
      <x:c r="F238" t="str">
        <x:v>Hubballi</x:v>
      </x:c>
      <x:c r="G238" t="str">
        <x:v>Arjun</x:v>
      </x:c>
      <x:c r="H238" t="str">
        <x:v>P022</x:v>
      </x:c>
      <x:c r="I238" t="str">
        <x:v>Mineral Water 1L</x:v>
      </x:c>
      <x:c r="J238" t="str">
        <x:v>Beverage</x:v>
      </x:c>
      <x:c r="K238" t="str">
        <x:v>Bisleri</x:v>
      </x:c>
      <x:c r="L238" s="22" t="n">
        <x:v>19</x:v>
      </x:c>
      <x:c r="M238" t="n">
        <x:v>6</x:v>
      </x:c>
      <x:c r="N238" s="24" t="n">
        <x:v>0</x:v>
      </x:c>
      <x:c r="O238" s="22" t="n">
        <x:f>L238*M238</x:f>
        <x:v>114</x:v>
      </x:c>
      <x:c r="P238" s="22" t="n">
        <x:f>O238*(1-N238)</x:f>
        <x:v>114</x:v>
      </x:c>
      <x:c r="Q238" s="22" t="n">
        <x:v>15</x:v>
      </x:c>
      <x:c r="R238" s="22" t="n">
        <x:f>Q238*M238</x:f>
        <x:v>90</x:v>
      </x:c>
      <x:c r="S238" s="22" t="n">
        <x:f>P238-R238</x:f>
        <x:v>24</x:v>
      </x:c>
      <x:c r="T238" t="str">
        <x:v>Bank Transfer</x:v>
      </x:c>
      <x:c r="U238" t="str">
        <x:v>Pending</x:v>
      </x:c>
      <x:c r="V238" t="str">
        <x:v>Delayed</x:v>
      </x:c>
      <x:c r="W238" t="n">
        <x:v>0</x:v>
      </x:c>
      <x:c r="X238" t="str"/>
      <x:c r="Y238" t="str">
        <x:v>Outbound Call</x:v>
      </x:c>
    </x:row>
    <x:row r="239">
      <x:c r="A239" t="str">
        <x:v>O000238</x:v>
      </x:c>
      <x:c r="B239" s="20" t="n">
        <x:v>46075</x:v>
      </x:c>
      <x:c r="C239" t="str">
        <x:v>C0059</x:v>
      </x:c>
      <x:c r="D239" t="str">
        <x:v>Spice Foods 59</x:v>
      </x:c>
      <x:c r="E239" t="str">
        <x:v>Hotel</x:v>
      </x:c>
      <x:c r="F239" t="str">
        <x:v>Hubballi</x:v>
      </x:c>
      <x:c r="G239" t="str">
        <x:v>Sneha</x:v>
      </x:c>
      <x:c r="H239" t="str">
        <x:v>P017</x:v>
      </x:c>
      <x:c r="I239" t="str">
        <x:v>Butter 500g</x:v>
      </x:c>
      <x:c r="J239" t="str">
        <x:v>Dairy</x:v>
      </x:c>
      <x:c r="K239" t="str">
        <x:v>Amul</x:v>
      </x:c>
      <x:c r="L239" s="22" t="n">
        <x:v>285</x:v>
      </x:c>
      <x:c r="M239" t="n">
        <x:v>25</x:v>
      </x:c>
      <x:c r="N239" s="24" t="n">
        <x:v>0.03</x:v>
      </x:c>
      <x:c r="O239" s="22" t="n">
        <x:f>L239*M239</x:f>
        <x:v>7125</x:v>
      </x:c>
      <x:c r="P239" s="22" t="n">
        <x:f>O239*(1-N239)</x:f>
        <x:v>6911.25</x:v>
      </x:c>
      <x:c r="Q239" s="22" t="n">
        <x:v>258</x:v>
      </x:c>
      <x:c r="R239" s="22" t="n">
        <x:f>Q239*M239</x:f>
        <x:v>6450</x:v>
      </x:c>
      <x:c r="S239" s="22" t="n">
        <x:f>P239-R239</x:f>
        <x:v>461.25</x:v>
      </x:c>
      <x:c r="T239" t="str">
        <x:v>Credit</x:v>
      </x:c>
      <x:c r="U239" t="str">
        <x:v>Paid</x:v>
      </x:c>
      <x:c r="V239" t="str">
        <x:v>Delivered</x:v>
      </x:c>
      <x:c r="W239" t="n">
        <x:v>0</x:v>
      </x:c>
      <x:c r="X239" t="str"/>
      <x:c r="Y239" t="str">
        <x:v>Outbound Call</x:v>
      </x:c>
    </x:row>
    <x:row r="240">
      <x:c r="A240" t="str">
        <x:v>O000239</x:v>
      </x:c>
      <x:c r="B240" s="20" t="n">
        <x:v>45722</x:v>
      </x:c>
      <x:c r="C240" t="str">
        <x:v>C0165</x:v>
      </x:c>
      <x:c r="D240" t="str">
        <x:v>Royal Restaurant 165</x:v>
      </x:c>
      <x:c r="E240" t="str">
        <x:v>Hotel</x:v>
      </x:c>
      <x:c r="F240" t="str">
        <x:v>Tumakuru</x:v>
      </x:c>
      <x:c r="G240" t="str">
        <x:v>Kavya</x:v>
      </x:c>
      <x:c r="H240" t="str">
        <x:v>P047</x:v>
      </x:c>
      <x:c r="I240" t="str">
        <x:v>Tomato 25kg</x:v>
      </x:c>
      <x:c r="J240" t="str">
        <x:v>Fresh Produce</x:v>
      </x:c>
      <x:c r="K240" t="str">
        <x:v>Local Market</x:v>
      </x:c>
      <x:c r="L240" s="22" t="n">
        <x:v>950</x:v>
      </x:c>
      <x:c r="M240" t="n">
        <x:v>38</x:v>
      </x:c>
      <x:c r="N240" s="24" t="n">
        <x:v>0</x:v>
      </x:c>
      <x:c r="O240" s="22" t="n">
        <x:f>L240*M240</x:f>
        <x:v>36100</x:v>
      </x:c>
      <x:c r="P240" s="22" t="n">
        <x:f>O240*(1-N240)</x:f>
        <x:v>36100</x:v>
      </x:c>
      <x:c r="Q240" s="22" t="n">
        <x:v>810</x:v>
      </x:c>
      <x:c r="R240" s="22" t="n">
        <x:f>Q240*M240</x:f>
        <x:v>30780</x:v>
      </x:c>
      <x:c r="S240" s="22" t="n">
        <x:f>P240-R240</x:f>
        <x:v>5320</x:v>
      </x:c>
      <x:c r="T240" t="str">
        <x:v>UPI</x:v>
      </x:c>
      <x:c r="U240" t="str">
        <x:v>Paid</x:v>
      </x:c>
      <x:c r="V240" t="str">
        <x:v>Delayed</x:v>
      </x:c>
      <x:c r="W240" t="n">
        <x:v>0</x:v>
      </x:c>
      <x:c r="X240" t="str"/>
      <x:c r="Y240" t="str">
        <x:v>Outbound Call</x:v>
      </x:c>
    </x:row>
    <x:row r="241">
      <x:c r="A241" t="str">
        <x:v>O000240</x:v>
      </x:c>
      <x:c r="B241" s="20" t="n">
        <x:v>46279</x:v>
      </x:c>
      <x:c r="C241" t="str">
        <x:v>C0176</x:v>
      </x:c>
      <x:c r="D241" t="str">
        <x:v>Cafe Kitchen 176</x:v>
      </x:c>
      <x:c r="E241" t="str">
        <x:v>Kirana</x:v>
      </x:c>
      <x:c r="F241" t="str">
        <x:v>Mysuru</x:v>
      </x:c>
      <x:c r="G241" t="str">
        <x:v>Priya</x:v>
      </x:c>
      <x:c r="H241" t="str">
        <x:v>P020</x:v>
      </x:c>
      <x:c r="I241" t="str">
        <x:v>Coffee 500g</x:v>
      </x:c>
      <x:c r="J241" t="str">
        <x:v>Beverage</x:v>
      </x:c>
      <x:c r="K241" t="str">
        <x:v>Bru</x:v>
      </x:c>
      <x:c r="L241" s="22" t="n">
        <x:v>390</x:v>
      </x:c>
      <x:c r="M241" t="n">
        <x:v>6</x:v>
      </x:c>
      <x:c r="N241" s="24" t="n">
        <x:v>0.02</x:v>
      </x:c>
      <x:c r="O241" s="22" t="n">
        <x:f>L241*M241</x:f>
        <x:v>2340</x:v>
      </x:c>
      <x:c r="P241" s="22" t="n">
        <x:f>O241*(1-N241)</x:f>
        <x:v>2293.2</x:v>
      </x:c>
      <x:c r="Q241" s="22" t="n">
        <x:v>350</x:v>
      </x:c>
      <x:c r="R241" s="22" t="n">
        <x:f>Q241*M241</x:f>
        <x:v>2100</x:v>
      </x:c>
      <x:c r="S241" s="22" t="n">
        <x:f>P241-R241</x:f>
        <x:v>193.19999999999982</x:v>
      </x:c>
      <x:c r="T241" t="str">
        <x:v>Credit</x:v>
      </x:c>
      <x:c r="U241" t="str">
        <x:v>Paid</x:v>
      </x:c>
      <x:c r="V241" t="str">
        <x:v>Cancelled</x:v>
      </x:c>
      <x:c r="W241" t="n">
        <x:v>6</x:v>
      </x:c>
      <x:c r="X241" t="str">
        <x:v>Cancelled Order</x:v>
      </x:c>
      <x:c r="Y241" t="str">
        <x:v>Outbound Call</x:v>
      </x:c>
    </x:row>
    <x:row r="242">
      <x:c r="A242" t="str">
        <x:v>O000241</x:v>
      </x:c>
      <x:c r="B242" s="20" t="n">
        <x:v>45797</x:v>
      </x:c>
      <x:c r="C242" t="str">
        <x:v>C0137</x:v>
      </x:c>
      <x:c r="D242" t="str">
        <x:v>Green Restaurant 137</x:v>
      </x:c>
      <x:c r="E242" t="str">
        <x:v>Canteen</x:v>
      </x:c>
      <x:c r="F242" t="str">
        <x:v>Mangaluru</x:v>
      </x:c>
      <x:c r="G242" t="str">
        <x:v>Arjun</x:v>
      </x:c>
      <x:c r="H242" t="str">
        <x:v>P015</x:v>
      </x:c>
      <x:c r="I242" t="str">
        <x:v>Milk 1L</x:v>
      </x:c>
      <x:c r="J242" t="str">
        <x:v>Dairy</x:v>
      </x:c>
      <x:c r="K242" t="str">
        <x:v>Nandini</x:v>
      </x:c>
      <x:c r="L242" s="22" t="n">
        <x:v>48</x:v>
      </x:c>
      <x:c r="M242" t="n">
        <x:v>26</x:v>
      </x:c>
      <x:c r="N242" s="24" t="n">
        <x:v>0.05</x:v>
      </x:c>
      <x:c r="O242" s="22" t="n">
        <x:f>L242*M242</x:f>
        <x:v>1248</x:v>
      </x:c>
      <x:c r="P242" s="22" t="n">
        <x:f>O242*(1-N242)</x:f>
        <x:v>1185.6</x:v>
      </x:c>
      <x:c r="Q242" s="22" t="n">
        <x:v>43</x:v>
      </x:c>
      <x:c r="R242" s="22" t="n">
        <x:f>Q242*M242</x:f>
        <x:v>1118</x:v>
      </x:c>
      <x:c r="S242" s="22" t="n">
        <x:f>P242-R242</x:f>
        <x:v>67.59999999999991</x:v>
      </x:c>
      <x:c r="T242" t="str">
        <x:v>Cash</x:v>
      </x:c>
      <x:c r="U242" t="str">
        <x:v>Overdue</x:v>
      </x:c>
      <x:c r="V242" t="str">
        <x:v>Delivered</x:v>
      </x:c>
      <x:c r="W242" t="n">
        <x:v>0</x:v>
      </x:c>
      <x:c r="X242" t="str"/>
      <x:c r="Y242" t="str">
        <x:v>Field Visit</x:v>
      </x:c>
    </x:row>
    <x:row r="243">
      <x:c r="A243" t="str">
        <x:v>O000242</x:v>
      </x:c>
      <x:c r="B243" s="20" t="n">
        <x:v>46226</x:v>
      </x:c>
      <x:c r="C243" t="str">
        <x:v>C0003</x:v>
      </x:c>
      <x:c r="D243" t="str">
        <x:v>Grand Foods 3</x:v>
      </x:c>
      <x:c r="E243" t="str">
        <x:v>Restaurant</x:v>
      </x:c>
      <x:c r="F243" t="str">
        <x:v>Bengaluru</x:v>
      </x:c>
      <x:c r="G243" t="str">
        <x:v>Vikram</x:v>
      </x:c>
      <x:c r="H243" t="str">
        <x:v>P036</x:v>
      </x:c>
      <x:c r="I243" t="str">
        <x:v>Garam Masala 500g</x:v>
      </x:c>
      <x:c r="J243" t="str">
        <x:v>Spices</x:v>
      </x:c>
      <x:c r="K243" t="str">
        <x:v>MDH</x:v>
      </x:c>
      <x:c r="L243" s="22" t="n">
        <x:v>265</x:v>
      </x:c>
      <x:c r="M243" t="n">
        <x:v>10</x:v>
      </x:c>
      <x:c r="N243" s="24" t="n">
        <x:v>0</x:v>
      </x:c>
      <x:c r="O243" s="22" t="n">
        <x:f>L243*M243</x:f>
        <x:v>2650</x:v>
      </x:c>
      <x:c r="P243" s="22" t="n">
        <x:f>O243*(1-N243)</x:f>
        <x:v>2650</x:v>
      </x:c>
      <x:c r="Q243" s="22" t="n">
        <x:v>230</x:v>
      </x:c>
      <x:c r="R243" s="22" t="n">
        <x:f>Q243*M243</x:f>
        <x:v>2300</x:v>
      </x:c>
      <x:c r="S243" s="22" t="n">
        <x:f>P243-R243</x:f>
        <x:v>350</x:v>
      </x:c>
      <x:c r="T243" t="str">
        <x:v>UPI</x:v>
      </x:c>
      <x:c r="U243" t="str">
        <x:v>Paid</x:v>
      </x:c>
      <x:c r="V243" t="str">
        <x:v>Delivered</x:v>
      </x:c>
      <x:c r="W243" t="n">
        <x:v>0</x:v>
      </x:c>
      <x:c r="X243" t="str"/>
      <x:c r="Y243" t="str">
        <x:v>Outbound Call</x:v>
      </x:c>
    </x:row>
    <x:row r="244">
      <x:c r="A244" t="str">
        <x:v>O000243</x:v>
      </x:c>
      <x:c r="B244" s="20" t="n">
        <x:v>46010</x:v>
      </x:c>
      <x:c r="C244" t="str">
        <x:v>C0192</x:v>
      </x:c>
      <x:c r="D244" t="str">
        <x:v>Shree Kitchen 192</x:v>
      </x:c>
      <x:c r="E244" t="str">
        <x:v>Restaurant</x:v>
      </x:c>
      <x:c r="F244" t="str">
        <x:v>Mysuru</x:v>
      </x:c>
      <x:c r="G244" t="str">
        <x:v>Sneha</x:v>
      </x:c>
      <x:c r="H244" t="str">
        <x:v>P048</x:v>
      </x:c>
      <x:c r="I244" t="str">
        <x:v>Banana 10kg</x:v>
      </x:c>
      <x:c r="J244" t="str">
        <x:v>Fresh Produce</x:v>
      </x:c>
      <x:c r="K244" t="str">
        <x:v>Local Market</x:v>
      </x:c>
      <x:c r="L244" s="22" t="n">
        <x:v>420</x:v>
      </x:c>
      <x:c r="M244" t="n">
        <x:v>14</x:v>
      </x:c>
      <x:c r="N244" s="24" t="n">
        <x:v>0.03</x:v>
      </x:c>
      <x:c r="O244" s="22" t="n">
        <x:f>L244*M244</x:f>
        <x:v>5880</x:v>
      </x:c>
      <x:c r="P244" s="22" t="n">
        <x:f>O244*(1-N244)</x:f>
        <x:v>5703.599999999999</x:v>
      </x:c>
      <x:c r="Q244" s="22" t="n">
        <x:v>350</x:v>
      </x:c>
      <x:c r="R244" s="22" t="n">
        <x:f>Q244*M244</x:f>
        <x:v>4900</x:v>
      </x:c>
      <x:c r="S244" s="22" t="n">
        <x:f>P244-R244</x:f>
        <x:v>803.5999999999995</x:v>
      </x:c>
      <x:c r="T244" t="str">
        <x:v>Bank Transfer</x:v>
      </x:c>
      <x:c r="U244" t="str">
        <x:v>Paid</x:v>
      </x:c>
      <x:c r="V244" t="str">
        <x:v>Delivered</x:v>
      </x:c>
      <x:c r="W244" t="n">
        <x:v>0</x:v>
      </x:c>
      <x:c r="X244" t="str"/>
      <x:c r="Y244" t="str">
        <x:v>Field Visit</x:v>
      </x:c>
    </x:row>
    <x:row r="245">
      <x:c r="A245" t="str">
        <x:v>O000244</x:v>
      </x:c>
      <x:c r="B245" s="20" t="n">
        <x:v>46238</x:v>
      </x:c>
      <x:c r="C245" t="str">
        <x:v>C0047</x:v>
      </x:c>
      <x:c r="D245" t="str">
        <x:v>Shree Restaurant 47</x:v>
      </x:c>
      <x:c r="E245" t="str">
        <x:v>Canteen</x:v>
      </x:c>
      <x:c r="F245" t="str">
        <x:v>Davanagere</x:v>
      </x:c>
      <x:c r="G245" t="str">
        <x:v>Arjun</x:v>
      </x:c>
      <x:c r="H245" t="str">
        <x:v>P043</x:v>
      </x:c>
      <x:c r="I245" t="str">
        <x:v>Chicken Breast 1kg</x:v>
      </x:c>
      <x:c r="J245" t="str">
        <x:v>Protein</x:v>
      </x:c>
      <x:c r="K245" t="str">
        <x:v>FreshToHome</x:v>
      </x:c>
      <x:c r="L245" s="22" t="n">
        <x:v>260</x:v>
      </x:c>
      <x:c r="M245" t="n">
        <x:v>4</x:v>
      </x:c>
      <x:c r="N245" s="24" t="n">
        <x:v>0.08</x:v>
      </x:c>
      <x:c r="O245" s="22" t="n">
        <x:f>L245*M245</x:f>
        <x:v>1040</x:v>
      </x:c>
      <x:c r="P245" s="22" t="n">
        <x:f>O245*(1-N245)</x:f>
        <x:v>956.8000000000001</x:v>
      </x:c>
      <x:c r="Q245" s="22" t="n">
        <x:v>235</x:v>
      </x:c>
      <x:c r="R245" s="22" t="n">
        <x:f>Q245*M245</x:f>
        <x:v>940</x:v>
      </x:c>
      <x:c r="S245" s="22" t="n">
        <x:f>P245-R245</x:f>
        <x:v>16.800000000000068</x:v>
      </x:c>
      <x:c r="T245" t="str">
        <x:v>Credit</x:v>
      </x:c>
      <x:c r="U245" t="str">
        <x:v>Paid</x:v>
      </x:c>
      <x:c r="V245" t="str">
        <x:v>Delivered</x:v>
      </x:c>
      <x:c r="W245" t="n">
        <x:v>0</x:v>
      </x:c>
      <x:c r="X245" t="str"/>
      <x:c r="Y245" t="str">
        <x:v>Outbound Call</x:v>
      </x:c>
    </x:row>
    <x:row r="246">
      <x:c r="A246" t="str">
        <x:v>O000245</x:v>
      </x:c>
      <x:c r="B246" s="20" t="n">
        <x:v>46252</x:v>
      </x:c>
      <x:c r="C246" t="str">
        <x:v>C0051</x:v>
      </x:c>
      <x:c r="D246" t="str">
        <x:v>Cafe Hotel 51</x:v>
      </x:c>
      <x:c r="E246" t="str">
        <x:v>Kirana</x:v>
      </x:c>
      <x:c r="F246" t="str">
        <x:v>Tumakuru</x:v>
      </x:c>
      <x:c r="G246" t="str">
        <x:v>Arjun</x:v>
      </x:c>
      <x:c r="H246" t="str">
        <x:v>P047</x:v>
      </x:c>
      <x:c r="I246" t="str">
        <x:v>Tomato 25kg</x:v>
      </x:c>
      <x:c r="J246" t="str">
        <x:v>Fresh Produce</x:v>
      </x:c>
      <x:c r="K246" t="str">
        <x:v>Local Market</x:v>
      </x:c>
      <x:c r="L246" s="22" t="n">
        <x:v>950</x:v>
      </x:c>
      <x:c r="M246" t="n">
        <x:v>32</x:v>
      </x:c>
      <x:c r="N246" s="24" t="n">
        <x:v>0.1</x:v>
      </x:c>
      <x:c r="O246" s="22" t="n">
        <x:f>L246*M246</x:f>
        <x:v>30400</x:v>
      </x:c>
      <x:c r="P246" s="22" t="n">
        <x:f>O246*(1-N246)</x:f>
        <x:v>27360</x:v>
      </x:c>
      <x:c r="Q246" s="22" t="n">
        <x:v>810</x:v>
      </x:c>
      <x:c r="R246" s="22" t="n">
        <x:f>Q246*M246</x:f>
        <x:v>25920</x:v>
      </x:c>
      <x:c r="S246" s="22" t="n">
        <x:f>P246-R246</x:f>
        <x:v>1440</x:v>
      </x:c>
      <x:c r="T246" t="str">
        <x:v>Cash</x:v>
      </x:c>
      <x:c r="U246" t="str">
        <x:v>Paid</x:v>
      </x:c>
      <x:c r="V246" t="str">
        <x:v>Cancelled</x:v>
      </x:c>
      <x:c r="W246" t="n">
        <x:v>32</x:v>
      </x:c>
      <x:c r="X246" t="str">
        <x:v>Cancelled Order</x:v>
      </x:c>
      <x:c r="Y246" t="str">
        <x:v>Referral</x:v>
      </x:c>
    </x:row>
    <x:row r="247">
      <x:c r="A247" t="str">
        <x:v>O000246</x:v>
      </x:c>
      <x:c r="B247" s="20" t="n">
        <x:v>45856</x:v>
      </x:c>
      <x:c r="C247" t="str">
        <x:v>C0159</x:v>
      </x:c>
      <x:c r="D247" t="str">
        <x:v>Darshini Foods 159</x:v>
      </x:c>
      <x:c r="E247" t="str">
        <x:v>Canteen</x:v>
      </x:c>
      <x:c r="F247" t="str">
        <x:v>Tumakuru</x:v>
      </x:c>
      <x:c r="G247" t="str">
        <x:v>Kavya</x:v>
      </x:c>
      <x:c r="H247" t="str">
        <x:v>P005</x:v>
      </x:c>
      <x:c r="I247" t="str">
        <x:v>Chana Dal 5kg</x:v>
      </x:c>
      <x:c r="J247" t="str">
        <x:v>Pulses</x:v>
      </x:c>
      <x:c r="K247" t="str">
        <x:v>Local Select</x:v>
      </x:c>
      <x:c r="L247" s="22" t="n">
        <x:v>520</x:v>
      </x:c>
      <x:c r="M247" t="n">
        <x:v>21</x:v>
      </x:c>
      <x:c r="N247" s="24" t="n">
        <x:v>0.03</x:v>
      </x:c>
      <x:c r="O247" s="22" t="n">
        <x:f>L247*M247</x:f>
        <x:v>10920</x:v>
      </x:c>
      <x:c r="P247" s="22" t="n">
        <x:f>O247*(1-N247)</x:f>
        <x:v>10592.4</x:v>
      </x:c>
      <x:c r="Q247" s="22" t="n">
        <x:v>455</x:v>
      </x:c>
      <x:c r="R247" s="22" t="n">
        <x:f>Q247*M247</x:f>
        <x:v>9555</x:v>
      </x:c>
      <x:c r="S247" s="22" t="n">
        <x:f>P247-R247</x:f>
        <x:v>1037.3999999999996</x:v>
      </x:c>
      <x:c r="T247" t="str">
        <x:v>Cash</x:v>
      </x:c>
      <x:c r="U247" t="str">
        <x:v>Paid</x:v>
      </x:c>
      <x:c r="V247" t="str">
        <x:v>Delivered</x:v>
      </x:c>
      <x:c r="W247" t="n">
        <x:v>0</x:v>
      </x:c>
      <x:c r="X247" t="str"/>
      <x:c r="Y247" t="str">
        <x:v>Referral</x:v>
      </x:c>
    </x:row>
    <x:row r="248">
      <x:c r="A248" t="str">
        <x:v>O000247</x:v>
      </x:c>
      <x:c r="B248" s="20" t="n">
        <x:v>46096</x:v>
      </x:c>
      <x:c r="C248" t="str">
        <x:v>C0094</x:v>
      </x:c>
      <x:c r="D248" t="str">
        <x:v>Mysore Mart 94</x:v>
      </x:c>
      <x:c r="E248" t="str">
        <x:v>Restaurant</x:v>
      </x:c>
      <x:c r="F248" t="str">
        <x:v>Hubballi</x:v>
      </x:c>
      <x:c r="G248" t="str">
        <x:v>Sneha</x:v>
      </x:c>
      <x:c r="H248" t="str">
        <x:v>P021</x:v>
      </x:c>
      <x:c r="I248" t="str">
        <x:v>Instant Coffee 200g</x:v>
      </x:c>
      <x:c r="J248" t="str">
        <x:v>Beverage</x:v>
      </x:c>
      <x:c r="K248" t="str">
        <x:v>Nescafe</x:v>
      </x:c>
      <x:c r="L248" s="22" t="n">
        <x:v>460</x:v>
      </x:c>
      <x:c r="M248" t="n">
        <x:v>11</x:v>
      </x:c>
      <x:c r="N248" s="24" t="n">
        <x:v>0</x:v>
      </x:c>
      <x:c r="O248" s="22" t="n">
        <x:f>L248*M248</x:f>
        <x:v>5060</x:v>
      </x:c>
      <x:c r="P248" s="22" t="n">
        <x:f>O248*(1-N248)</x:f>
        <x:v>5060</x:v>
      </x:c>
      <x:c r="Q248" s="22" t="n">
        <x:v>410</x:v>
      </x:c>
      <x:c r="R248" s="22" t="n">
        <x:f>Q248*M248</x:f>
        <x:v>4510</x:v>
      </x:c>
      <x:c r="S248" s="22" t="n">
        <x:f>P248-R248</x:f>
        <x:v>550</x:v>
      </x:c>
      <x:c r="T248" t="str">
        <x:v>Bank Transfer</x:v>
      </x:c>
      <x:c r="U248" t="str">
        <x:v>Pending</x:v>
      </x:c>
      <x:c r="V248" t="str">
        <x:v>Cancelled</x:v>
      </x:c>
      <x:c r="W248" t="n">
        <x:v>11</x:v>
      </x:c>
      <x:c r="X248" t="str">
        <x:v>Cancelled Order</x:v>
      </x:c>
      <x:c r="Y248" t="str">
        <x:v>WhatsApp</x:v>
      </x:c>
    </x:row>
    <x:row r="249">
      <x:c r="A249" t="str">
        <x:v>O000248</x:v>
      </x:c>
      <x:c r="B249" s="20" t="n">
        <x:v>45997</x:v>
      </x:c>
      <x:c r="C249" t="str">
        <x:v>C0093</x:v>
      </x:c>
      <x:c r="D249" t="str">
        <x:v>Sagar Hotel 93</x:v>
      </x:c>
      <x:c r="E249" t="str">
        <x:v>Hotel</x:v>
      </x:c>
      <x:c r="F249" t="str">
        <x:v>Hubballi</x:v>
      </x:c>
      <x:c r="G249" t="str">
        <x:v>Imran</x:v>
      </x:c>
      <x:c r="H249" t="str">
        <x:v>P009</x:v>
      </x:c>
      <x:c r="I249" t="str">
        <x:v>Groundnut Oil 5L</x:v>
      </x:c>
      <x:c r="J249" t="str">
        <x:v>Edible Oil</x:v>
      </x:c>
      <x:c r="K249" t="str">
        <x:v>Dhara</x:v>
      </x:c>
      <x:c r="L249" s="22" t="n">
        <x:v>890</x:v>
      </x:c>
      <x:c r="M249" t="n">
        <x:v>31</x:v>
      </x:c>
      <x:c r="N249" s="24" t="n">
        <x:v>0.03</x:v>
      </x:c>
      <x:c r="O249" s="22" t="n">
        <x:f>L249*M249</x:f>
        <x:v>27590</x:v>
      </x:c>
      <x:c r="P249" s="22" t="n">
        <x:f>O249*(1-N249)</x:f>
        <x:v>26762.3</x:v>
      </x:c>
      <x:c r="Q249" s="22" t="n">
        <x:v>810</x:v>
      </x:c>
      <x:c r="R249" s="22" t="n">
        <x:f>Q249*M249</x:f>
        <x:v>25110</x:v>
      </x:c>
      <x:c r="S249" s="22" t="n">
        <x:f>P249-R249</x:f>
        <x:v>1652.2999999999993</x:v>
      </x:c>
      <x:c r="T249" t="str">
        <x:v>Cash</x:v>
      </x:c>
      <x:c r="U249" t="str">
        <x:v>Pending</x:v>
      </x:c>
      <x:c r="V249" t="str">
        <x:v>Delivered</x:v>
      </x:c>
      <x:c r="W249" t="n">
        <x:v>0</x:v>
      </x:c>
      <x:c r="X249" t="str"/>
      <x:c r="Y249" t="str">
        <x:v>Referral</x:v>
      </x:c>
    </x:row>
    <x:row r="250">
      <x:c r="A250" t="str">
        <x:v>O000249</x:v>
      </x:c>
      <x:c r="B250" s="20" t="n">
        <x:v>45801</x:v>
      </x:c>
      <x:c r="C250" t="str">
        <x:v>C0021</x:v>
      </x:c>
      <x:c r="D250" t="str">
        <x:v>Namma Cafe 21</x:v>
      </x:c>
      <x:c r="E250" t="str">
        <x:v>Canteen</x:v>
      </x:c>
      <x:c r="F250" t="str">
        <x:v>Bengaluru</x:v>
      </x:c>
      <x:c r="G250" t="str">
        <x:v>Kavya</x:v>
      </x:c>
      <x:c r="H250" t="str">
        <x:v>P018</x:v>
      </x:c>
      <x:c r="I250" t="str">
        <x:v>Paneer 1kg</x:v>
      </x:c>
      <x:c r="J250" t="str">
        <x:v>Dairy</x:v>
      </x:c>
      <x:c r="K250" t="str">
        <x:v>Milky Mist</x:v>
      </x:c>
      <x:c r="L250" s="22" t="n">
        <x:v>410</x:v>
      </x:c>
      <x:c r="M250" t="n">
        <x:v>35</x:v>
      </x:c>
      <x:c r="N250" s="24" t="n">
        <x:v>0</x:v>
      </x:c>
      <x:c r="O250" s="22" t="n">
        <x:f>L250*M250</x:f>
        <x:v>14350</x:v>
      </x:c>
      <x:c r="P250" s="22" t="n">
        <x:f>O250*(1-N250)</x:f>
        <x:v>14350</x:v>
      </x:c>
      <x:c r="Q250" s="22" t="n">
        <x:v>370</x:v>
      </x:c>
      <x:c r="R250" s="22" t="n">
        <x:f>Q250*M250</x:f>
        <x:v>12950</x:v>
      </x:c>
      <x:c r="S250" s="22" t="n">
        <x:f>P250-R250</x:f>
        <x:v>1400</x:v>
      </x:c>
      <x:c r="T250" t="str">
        <x:v>UPI</x:v>
      </x:c>
      <x:c r="U250" t="str">
        <x:v>Pending</x:v>
      </x:c>
      <x:c r="V250" t="str">
        <x:v>Delivered</x:v>
      </x:c>
      <x:c r="W250" t="n">
        <x:v>0</x:v>
      </x:c>
      <x:c r="X250" t="str"/>
      <x:c r="Y250" t="str">
        <x:v>Outbound Call</x:v>
      </x:c>
    </x:row>
    <x:row r="251">
      <x:c r="A251" t="str">
        <x:v>O000250</x:v>
      </x:c>
      <x:c r="B251" s="20" t="n">
        <x:v>46262</x:v>
      </x:c>
      <x:c r="C251" t="str">
        <x:v>C0149</x:v>
      </x:c>
      <x:c r="D251" t="str">
        <x:v>Annapurna Hotel 149</x:v>
      </x:c>
      <x:c r="E251" t="str">
        <x:v>Cafe</x:v>
      </x:c>
      <x:c r="F251" t="str">
        <x:v>Tumakuru</x:v>
      </x:c>
      <x:c r="G251" t="str">
        <x:v>Megha</x:v>
      </x:c>
      <x:c r="H251" t="str">
        <x:v>P026</x:v>
      </x:c>
      <x:c r="I251" t="str">
        <x:v>Banana Chips 80g</x:v>
      </x:c>
      <x:c r="J251" t="str">
        <x:v>Snacks</x:v>
      </x:c>
      <x:c r="K251" t="str">
        <x:v>SSS</x:v>
      </x:c>
      <x:c r="L251" s="22" t="n">
        <x:v>54</x:v>
      </x:c>
      <x:c r="M251" t="n">
        <x:v>14</x:v>
      </x:c>
      <x:c r="N251" s="24" t="n">
        <x:v>0.08</x:v>
      </x:c>
      <x:c r="O251" s="22" t="n">
        <x:f>L251*M251</x:f>
        <x:v>756</x:v>
      </x:c>
      <x:c r="P251" s="22" t="n">
        <x:f>O251*(1-N251)</x:f>
        <x:v>695.52</x:v>
      </x:c>
      <x:c r="Q251" s="22" t="n">
        <x:v>39</x:v>
      </x:c>
      <x:c r="R251" s="22" t="n">
        <x:f>Q251*M251</x:f>
        <x:v>546</x:v>
      </x:c>
      <x:c r="S251" s="22" t="n">
        <x:f>P251-R251</x:f>
        <x:v>149.51999999999998</x:v>
      </x:c>
      <x:c r="T251" t="str">
        <x:v>Cash</x:v>
      </x:c>
      <x:c r="U251" t="str">
        <x:v>Paid</x:v>
      </x:c>
      <x:c r="V251" t="str">
        <x:v>Delayed</x:v>
      </x:c>
      <x:c r="W251" t="n">
        <x:v>0</x:v>
      </x:c>
      <x:c r="X251" t="str"/>
      <x:c r="Y251" t="str">
        <x:v>WhatsApp</x:v>
      </x:c>
    </x:row>
    <x:row r="252">
      <x:c r="A252" t="str">
        <x:v>O000251</x:v>
      </x:c>
      <x:c r="B252" s="20" t="n">
        <x:v>46059</x:v>
      </x:c>
      <x:c r="C252" t="str">
        <x:v>C0039</x:v>
      </x:c>
      <x:c r="D252" t="str">
        <x:v>Sagar Cafe 39</x:v>
      </x:c>
      <x:c r="E252" t="str">
        <x:v>Restaurant</x:v>
      </x:c>
      <x:c r="F252" t="str">
        <x:v>Hubballi</x:v>
      </x:c>
      <x:c r="G252" t="str">
        <x:v>Imran</x:v>
      </x:c>
      <x:c r="H252" t="str">
        <x:v>P024</x:v>
      </x:c>
      <x:c r="I252" t="str">
        <x:v>Orange Drink 1L</x:v>
      </x:c>
      <x:c r="J252" t="str">
        <x:v>Beverage</x:v>
      </x:c>
      <x:c r="K252" t="str">
        <x:v>Minute Maid</x:v>
      </x:c>
      <x:c r="L252" s="22" t="n">
        <x:v>105</x:v>
      </x:c>
      <x:c r="M252" t="n">
        <x:v>15</x:v>
      </x:c>
      <x:c r="N252" s="24" t="n">
        <x:v>0.08</x:v>
      </x:c>
      <x:c r="O252" s="22" t="n">
        <x:f>L252*M252</x:f>
        <x:v>1575</x:v>
      </x:c>
      <x:c r="P252" s="22" t="n">
        <x:f>O252*(1-N252)</x:f>
        <x:v>1449</x:v>
      </x:c>
      <x:c r="Q252" s="22" t="n">
        <x:v>88</x:v>
      </x:c>
      <x:c r="R252" s="22" t="n">
        <x:f>Q252*M252</x:f>
        <x:v>1320</x:v>
      </x:c>
      <x:c r="S252" s="22" t="n">
        <x:f>P252-R252</x:f>
        <x:v>129</x:v>
      </x:c>
      <x:c r="T252" t="str">
        <x:v>Cash</x:v>
      </x:c>
      <x:c r="U252" t="str">
        <x:v>Paid</x:v>
      </x:c>
      <x:c r="V252" t="str">
        <x:v>Delayed</x:v>
      </x:c>
      <x:c r="W252" t="n">
        <x:v>0</x:v>
      </x:c>
      <x:c r="X252" t="str"/>
      <x:c r="Y252" t="str">
        <x:v>Existing Customer</x:v>
      </x:c>
    </x:row>
    <x:row r="253">
      <x:c r="A253" t="str">
        <x:v>O000252</x:v>
      </x:c>
      <x:c r="B253" s="20" t="n">
        <x:v>45668</x:v>
      </x:c>
      <x:c r="C253" t="str">
        <x:v>C0094</x:v>
      </x:c>
      <x:c r="D253" t="str">
        <x:v>Mysore Mart 94</x:v>
      </x:c>
      <x:c r="E253" t="str">
        <x:v>Restaurant</x:v>
      </x:c>
      <x:c r="F253" t="str">
        <x:v>Hubballi</x:v>
      </x:c>
      <x:c r="G253" t="str">
        <x:v>Sneha</x:v>
      </x:c>
      <x:c r="H253" t="str">
        <x:v>P033</x:v>
      </x:c>
      <x:c r="I253" t="str">
        <x:v>Turmeric Powder 1kg</x:v>
      </x:c>
      <x:c r="J253" t="str">
        <x:v>Spices</x:v>
      </x:c>
      <x:c r="K253" t="str">
        <x:v>Everest</x:v>
      </x:c>
      <x:c r="L253" s="22" t="n">
        <x:v>310</x:v>
      </x:c>
      <x:c r="M253" t="n">
        <x:v>16</x:v>
      </x:c>
      <x:c r="N253" s="24" t="n">
        <x:v>0.05</x:v>
      </x:c>
      <x:c r="O253" s="22" t="n">
        <x:f>L253*M253</x:f>
        <x:v>4960</x:v>
      </x:c>
      <x:c r="P253" s="22" t="n">
        <x:f>O253*(1-N253)</x:f>
        <x:v>4712</x:v>
      </x:c>
      <x:c r="Q253" s="22" t="n">
        <x:v>270</x:v>
      </x:c>
      <x:c r="R253" s="22" t="n">
        <x:f>Q253*M253</x:f>
        <x:v>4320</x:v>
      </x:c>
      <x:c r="S253" s="22" t="n">
        <x:f>P253-R253</x:f>
        <x:v>392</x:v>
      </x:c>
      <x:c r="T253" t="str">
        <x:v>Bank Transfer</x:v>
      </x:c>
      <x:c r="U253" t="str">
        <x:v>Pending</x:v>
      </x:c>
      <x:c r="V253" t="str">
        <x:v>Delivered</x:v>
      </x:c>
      <x:c r="W253" t="n">
        <x:v>0</x:v>
      </x:c>
      <x:c r="X253" t="str"/>
      <x:c r="Y253" t="str">
        <x:v>Referral</x:v>
      </x:c>
    </x:row>
    <x:row r="254">
      <x:c r="A254" t="str">
        <x:v>O000253</x:v>
      </x:c>
      <x:c r="B254" s="20" t="n">
        <x:v>45807</x:v>
      </x:c>
      <x:c r="C254" t="str">
        <x:v>C0145</x:v>
      </x:c>
      <x:c r="D254" t="str">
        <x:v>Namma Cafe 145</x:v>
      </x:c>
      <x:c r="E254" t="str">
        <x:v>Kirana</x:v>
      </x:c>
      <x:c r="F254" t="str">
        <x:v>Tumakuru</x:v>
      </x:c>
      <x:c r="G254" t="str">
        <x:v>Sneha</x:v>
      </x:c>
      <x:c r="H254" t="str">
        <x:v>P043</x:v>
      </x:c>
      <x:c r="I254" t="str">
        <x:v>Chicken Breast 1kg</x:v>
      </x:c>
      <x:c r="J254" t="str">
        <x:v>Protein</x:v>
      </x:c>
      <x:c r="K254" t="str">
        <x:v>FreshToHome</x:v>
      </x:c>
      <x:c r="L254" s="22" t="n">
        <x:v>260</x:v>
      </x:c>
      <x:c r="M254" t="n">
        <x:v>31</x:v>
      </x:c>
      <x:c r="N254" s="24" t="n">
        <x:v>0.08</x:v>
      </x:c>
      <x:c r="O254" s="22" t="n">
        <x:f>L254*M254</x:f>
        <x:v>8060</x:v>
      </x:c>
      <x:c r="P254" s="22" t="n">
        <x:f>O254*(1-N254)</x:f>
        <x:v>7415.200000000001</x:v>
      </x:c>
      <x:c r="Q254" s="22" t="n">
        <x:v>235</x:v>
      </x:c>
      <x:c r="R254" s="22" t="n">
        <x:f>Q254*M254</x:f>
        <x:v>7285</x:v>
      </x:c>
      <x:c r="S254" s="22" t="n">
        <x:f>P254-R254</x:f>
        <x:v>130.20000000000073</x:v>
      </x:c>
      <x:c r="T254" t="str">
        <x:v>UPI</x:v>
      </x:c>
      <x:c r="U254" t="str">
        <x:v>Paid</x:v>
      </x:c>
      <x:c r="V254" t="str">
        <x:v>Delivered</x:v>
      </x:c>
      <x:c r="W254" t="n">
        <x:v>0</x:v>
      </x:c>
      <x:c r="X254" t="str"/>
      <x:c r="Y254" t="str">
        <x:v>Field Visit</x:v>
      </x:c>
    </x:row>
    <x:row r="255">
      <x:c r="A255" t="str">
        <x:v>O000254</x:v>
      </x:c>
      <x:c r="B255" s="20" t="n">
        <x:v>45869</x:v>
      </x:c>
      <x:c r="C255" t="str">
        <x:v>C0011</x:v>
      </x:c>
      <x:c r="D255" t="str">
        <x:v>City Cafe 11</x:v>
      </x:c>
      <x:c r="E255" t="str">
        <x:v>Restaurant</x:v>
      </x:c>
      <x:c r="F255" t="str">
        <x:v>Mangaluru</x:v>
      </x:c>
      <x:c r="G255" t="str">
        <x:v>Arjun</x:v>
      </x:c>
      <x:c r="H255" t="str">
        <x:v>P043</x:v>
      </x:c>
      <x:c r="I255" t="str">
        <x:v>Chicken Breast 1kg</x:v>
      </x:c>
      <x:c r="J255" t="str">
        <x:v>Protein</x:v>
      </x:c>
      <x:c r="K255" t="str">
        <x:v>FreshToHome</x:v>
      </x:c>
      <x:c r="L255" s="22" t="n">
        <x:v>260</x:v>
      </x:c>
      <x:c r="M255" t="n">
        <x:v>34</x:v>
      </x:c>
      <x:c r="N255" s="24" t="n">
        <x:v>0.08</x:v>
      </x:c>
      <x:c r="O255" s="22" t="n">
        <x:f>L255*M255</x:f>
        <x:v>8840</x:v>
      </x:c>
      <x:c r="P255" s="22" t="n">
        <x:f>O255*(1-N255)</x:f>
        <x:v>8132.8</x:v>
      </x:c>
      <x:c r="Q255" s="22" t="n">
        <x:v>235</x:v>
      </x:c>
      <x:c r="R255" s="22" t="n">
        <x:f>Q255*M255</x:f>
        <x:v>7990</x:v>
      </x:c>
      <x:c r="S255" s="22" t="n">
        <x:f>P255-R255</x:f>
        <x:v>142.80000000000018</x:v>
      </x:c>
      <x:c r="T255" t="str">
        <x:v>Cash</x:v>
      </x:c>
      <x:c r="U255" t="str">
        <x:v>Paid</x:v>
      </x:c>
      <x:c r="V255" t="str">
        <x:v>Delivered</x:v>
      </x:c>
      <x:c r="W255" t="n">
        <x:v>0</x:v>
      </x:c>
      <x:c r="X255" t="str"/>
      <x:c r="Y255" t="str">
        <x:v>Outbound Call</x:v>
      </x:c>
    </x:row>
    <x:row r="256">
      <x:c r="A256" t="str">
        <x:v>O000255</x:v>
      </x:c>
      <x:c r="B256" s="20" t="n">
        <x:v>46191</x:v>
      </x:c>
      <x:c r="C256" t="str">
        <x:v>C0083</x:v>
      </x:c>
      <x:c r="D256" t="str">
        <x:v>Sri Cafe 83</x:v>
      </x:c>
      <x:c r="E256" t="str">
        <x:v>Hotel</x:v>
      </x:c>
      <x:c r="F256" t="str">
        <x:v>Davanagere</x:v>
      </x:c>
      <x:c r="G256" t="str">
        <x:v>Ramesh</x:v>
      </x:c>
      <x:c r="H256" t="str">
        <x:v>P007</x:v>
      </x:c>
      <x:c r="I256" t="str">
        <x:v>Sunflower Oil 15L</x:v>
      </x:c>
      <x:c r="J256" t="str">
        <x:v>Edible Oil</x:v>
      </x:c>
      <x:c r="K256" t="str">
        <x:v>Fortune</x:v>
      </x:c>
      <x:c r="L256" s="22" t="n">
        <x:v>1980</x:v>
      </x:c>
      <x:c r="M256" t="n">
        <x:v>12</x:v>
      </x:c>
      <x:c r="N256" s="24" t="n">
        <x:v>0.02</x:v>
      </x:c>
      <x:c r="O256" s="22" t="n">
        <x:f>L256*M256</x:f>
        <x:v>23760</x:v>
      </x:c>
      <x:c r="P256" s="22" t="n">
        <x:f>O256*(1-N256)</x:f>
        <x:v>23284.8</x:v>
      </x:c>
      <x:c r="Q256" s="22" t="n">
        <x:v>1810</x:v>
      </x:c>
      <x:c r="R256" s="22" t="n">
        <x:f>Q256*M256</x:f>
        <x:v>21720</x:v>
      </x:c>
      <x:c r="S256" s="22" t="n">
        <x:f>P256-R256</x:f>
        <x:v>1564.7999999999993</x:v>
      </x:c>
      <x:c r="T256" t="str">
        <x:v>Bank Transfer</x:v>
      </x:c>
      <x:c r="U256" t="str">
        <x:v>Paid</x:v>
      </x:c>
      <x:c r="V256" t="str">
        <x:v>Delivered</x:v>
      </x:c>
      <x:c r="W256" t="n">
        <x:v>0</x:v>
      </x:c>
      <x:c r="X256" t="str"/>
      <x:c r="Y256" t="str">
        <x:v>Outbound Call</x:v>
      </x:c>
    </x:row>
    <x:row r="257">
      <x:c r="A257" t="str">
        <x:v>O000256</x:v>
      </x:c>
      <x:c r="B257" s="20" t="n">
        <x:v>46186</x:v>
      </x:c>
      <x:c r="C257" t="str">
        <x:v>C0097</x:v>
      </x:c>
      <x:c r="D257" t="str">
        <x:v>Classic Stores 97</x:v>
      </x:c>
      <x:c r="E257" t="str">
        <x:v>Restaurant</x:v>
      </x:c>
      <x:c r="F257" t="str">
        <x:v>Davanagere</x:v>
      </x:c>
      <x:c r="G257" t="str">
        <x:v>Priya</x:v>
      </x:c>
      <x:c r="H257" t="str">
        <x:v>P015</x:v>
      </x:c>
      <x:c r="I257" t="str">
        <x:v>Milk 1L</x:v>
      </x:c>
      <x:c r="J257" t="str">
        <x:v>Dairy</x:v>
      </x:c>
      <x:c r="K257" t="str">
        <x:v>Nandini</x:v>
      </x:c>
      <x:c r="L257" s="22" t="n">
        <x:v>48</x:v>
      </x:c>
      <x:c r="M257" t="n">
        <x:v>26</x:v>
      </x:c>
      <x:c r="N257" s="24" t="n">
        <x:v>0.02</x:v>
      </x:c>
      <x:c r="O257" s="22" t="n">
        <x:f>L257*M257</x:f>
        <x:v>1248</x:v>
      </x:c>
      <x:c r="P257" s="22" t="n">
        <x:f>O257*(1-N257)</x:f>
        <x:v>1223.04</x:v>
      </x:c>
      <x:c r="Q257" s="22" t="n">
        <x:v>43</x:v>
      </x:c>
      <x:c r="R257" s="22" t="n">
        <x:f>Q257*M257</x:f>
        <x:v>1118</x:v>
      </x:c>
      <x:c r="S257" s="22" t="n">
        <x:f>P257-R257</x:f>
        <x:v>105.03999999999996</x:v>
      </x:c>
      <x:c r="T257" t="str">
        <x:v>Cash</x:v>
      </x:c>
      <x:c r="U257" t="str">
        <x:v>Paid</x:v>
      </x:c>
      <x:c r="V257" t="str">
        <x:v>Delivered</x:v>
      </x:c>
      <x:c r="W257" t="n">
        <x:v>0</x:v>
      </x:c>
      <x:c r="X257" t="str"/>
      <x:c r="Y257" t="str">
        <x:v>Outbound Call</x:v>
      </x:c>
    </x:row>
    <x:row r="258">
      <x:c r="A258" t="str">
        <x:v>O000257</x:v>
      </x:c>
      <x:c r="B258" s="20" t="n">
        <x:v>45827</x:v>
      </x:c>
      <x:c r="C258" t="str">
        <x:v>C0036</x:v>
      </x:c>
      <x:c r="D258" t="str">
        <x:v>Grand Hotel 36</x:v>
      </x:c>
      <x:c r="E258" t="str">
        <x:v>Canteen</x:v>
      </x:c>
      <x:c r="F258" t="str">
        <x:v>Tumakuru</x:v>
      </x:c>
      <x:c r="G258" t="str">
        <x:v>Kavya</x:v>
      </x:c>
      <x:c r="H258" t="str">
        <x:v>P029</x:v>
      </x:c>
      <x:c r="I258" t="str">
        <x:v>Tomato Ketchup 1kg</x:v>
      </x:c>
      <x:c r="J258" t="str">
        <x:v>Condiments</x:v>
      </x:c>
      <x:c r="K258" t="str">
        <x:v>Kissan</x:v>
      </x:c>
      <x:c r="L258" s="22" t="n">
        <x:v>145</x:v>
      </x:c>
      <x:c r="M258" t="n">
        <x:v>15</x:v>
      </x:c>
      <x:c r="N258" s="24" t="n">
        <x:v>0</x:v>
      </x:c>
      <x:c r="O258" s="22" t="n">
        <x:f>L258*M258</x:f>
        <x:v>2175</x:v>
      </x:c>
      <x:c r="P258" s="22" t="n">
        <x:f>O258*(1-N258)</x:f>
        <x:v>2175</x:v>
      </x:c>
      <x:c r="Q258" s="22" t="n">
        <x:v>126</x:v>
      </x:c>
      <x:c r="R258" s="22" t="n">
        <x:f>Q258*M258</x:f>
        <x:v>1890</x:v>
      </x:c>
      <x:c r="S258" s="22" t="n">
        <x:f>P258-R258</x:f>
        <x:v>285</x:v>
      </x:c>
      <x:c r="T258" t="str">
        <x:v>Cash</x:v>
      </x:c>
      <x:c r="U258" t="str">
        <x:v>Paid</x:v>
      </x:c>
      <x:c r="V258" t="str">
        <x:v>Delivered</x:v>
      </x:c>
      <x:c r="W258" t="n">
        <x:v>0</x:v>
      </x:c>
      <x:c r="X258" t="str"/>
      <x:c r="Y258" t="str">
        <x:v>Existing Customer</x:v>
      </x:c>
    </x:row>
    <x:row r="259">
      <x:c r="A259" t="str">
        <x:v>O000258</x:v>
      </x:c>
      <x:c r="B259" s="20" t="n">
        <x:v>45893</x:v>
      </x:c>
      <x:c r="C259" t="str">
        <x:v>C0031</x:v>
      </x:c>
      <x:c r="D259" t="str">
        <x:v>Royal Restaurant 31</x:v>
      </x:c>
      <x:c r="E259" t="str">
        <x:v>Restaurant</x:v>
      </x:c>
      <x:c r="F259" t="str">
        <x:v>Mangaluru</x:v>
      </x:c>
      <x:c r="G259" t="str">
        <x:v>Arjun</x:v>
      </x:c>
      <x:c r="H259" t="str">
        <x:v>P043</x:v>
      </x:c>
      <x:c r="I259" t="str">
        <x:v>Chicken Breast 1kg</x:v>
      </x:c>
      <x:c r="J259" t="str">
        <x:v>Protein</x:v>
      </x:c>
      <x:c r="K259" t="str">
        <x:v>FreshToHome</x:v>
      </x:c>
      <x:c r="L259" s="22" t="n">
        <x:v>260</x:v>
      </x:c>
      <x:c r="M259" t="n">
        <x:v>27</x:v>
      </x:c>
      <x:c r="N259" s="24" t="n">
        <x:v>0.05</x:v>
      </x:c>
      <x:c r="O259" s="22" t="n">
        <x:f>L259*M259</x:f>
        <x:v>7020</x:v>
      </x:c>
      <x:c r="P259" s="22" t="n">
        <x:f>O259*(1-N259)</x:f>
        <x:v>6669</x:v>
      </x:c>
      <x:c r="Q259" s="22" t="n">
        <x:v>235</x:v>
      </x:c>
      <x:c r="R259" s="22" t="n">
        <x:f>Q259*M259</x:f>
        <x:v>6345</x:v>
      </x:c>
      <x:c r="S259" s="22" t="n">
        <x:f>P259-R259</x:f>
        <x:v>324</x:v>
      </x:c>
      <x:c r="T259" t="str">
        <x:v>UPI</x:v>
      </x:c>
      <x:c r="U259" t="str">
        <x:v>Paid</x:v>
      </x:c>
      <x:c r="V259" t="str">
        <x:v>Delivered</x:v>
      </x:c>
      <x:c r="W259" t="n">
        <x:v>0</x:v>
      </x:c>
      <x:c r="X259" t="str"/>
      <x:c r="Y259" t="str">
        <x:v>Existing Customer</x:v>
      </x:c>
    </x:row>
    <x:row r="260">
      <x:c r="A260" t="str">
        <x:v>O000259</x:v>
      </x:c>
      <x:c r="B260" s="20" t="n">
        <x:v>45680</x:v>
      </x:c>
      <x:c r="C260" t="str">
        <x:v>C0214</x:v>
      </x:c>
      <x:c r="D260" t="str">
        <x:v>Darshini Kitchen 214</x:v>
      </x:c>
      <x:c r="E260" t="str">
        <x:v>Kirana</x:v>
      </x:c>
      <x:c r="F260" t="str">
        <x:v>Bengaluru</x:v>
      </x:c>
      <x:c r="G260" t="str">
        <x:v>Imran</x:v>
      </x:c>
      <x:c r="H260" t="str">
        <x:v>P027</x:v>
      </x:c>
      <x:c r="I260" t="str">
        <x:v>Biscuits 120g</x:v>
      </x:c>
      <x:c r="J260" t="str">
        <x:v>Snacks</x:v>
      </x:c>
      <x:c r="K260" t="str">
        <x:v>Parle-G</x:v>
      </x:c>
      <x:c r="L260" s="22" t="n">
        <x:v>12</x:v>
      </x:c>
      <x:c r="M260" t="n">
        <x:v>16</x:v>
      </x:c>
      <x:c r="N260" s="24" t="n">
        <x:v>0</x:v>
      </x:c>
      <x:c r="O260" s="22" t="n">
        <x:f>L260*M260</x:f>
        <x:v>192</x:v>
      </x:c>
      <x:c r="P260" s="22" t="n">
        <x:f>O260*(1-N260)</x:f>
        <x:v>192</x:v>
      </x:c>
      <x:c r="Q260" s="22" t="n">
        <x:v>9</x:v>
      </x:c>
      <x:c r="R260" s="22" t="n">
        <x:f>Q260*M260</x:f>
        <x:v>144</x:v>
      </x:c>
      <x:c r="S260" s="22" t="n">
        <x:f>P260-R260</x:f>
        <x:v>48</x:v>
      </x:c>
      <x:c r="T260" t="str">
        <x:v>Bank Transfer</x:v>
      </x:c>
      <x:c r="U260" t="str">
        <x:v>Paid</x:v>
      </x:c>
      <x:c r="V260" t="str">
        <x:v>Delayed</x:v>
      </x:c>
      <x:c r="W260" t="n">
        <x:v>0</x:v>
      </x:c>
      <x:c r="X260" t="str"/>
      <x:c r="Y260" t="str">
        <x:v>Outbound Call</x:v>
      </x:c>
    </x:row>
    <x:row r="261">
      <x:c r="A261" t="str">
        <x:v>O000260</x:v>
      </x:c>
      <x:c r="B261" s="20" t="n">
        <x:v>45828</x:v>
      </x:c>
      <x:c r="C261" t="str">
        <x:v>C0038</x:v>
      </x:c>
      <x:c r="D261" t="str">
        <x:v>Mysore Kitchen 38</x:v>
      </x:c>
      <x:c r="E261" t="str">
        <x:v>Kirana</x:v>
      </x:c>
      <x:c r="F261" t="str">
        <x:v>Tumakuru</x:v>
      </x:c>
      <x:c r="G261" t="str">
        <x:v>Priya</x:v>
      </x:c>
      <x:c r="H261" t="str">
        <x:v>P004</x:v>
      </x:c>
      <x:c r="I261" t="str">
        <x:v>Toor Dal 5kg</x:v>
      </x:c>
      <x:c r="J261" t="str">
        <x:v>Pulses</x:v>
      </x:c>
      <x:c r="K261" t="str">
        <x:v>Tata Sampann</x:v>
      </x:c>
      <x:c r="L261" s="22" t="n">
        <x:v>780</x:v>
      </x:c>
      <x:c r="M261" t="n">
        <x:v>17</x:v>
      </x:c>
      <x:c r="N261" s="24" t="n">
        <x:v>0.08</x:v>
      </x:c>
      <x:c r="O261" s="22" t="n">
        <x:f>L261*M261</x:f>
        <x:v>13260</x:v>
      </x:c>
      <x:c r="P261" s="22" t="n">
        <x:f>O261*(1-N261)</x:f>
        <x:v>12199.2</x:v>
      </x:c>
      <x:c r="Q261" s="22" t="n">
        <x:v>695</x:v>
      </x:c>
      <x:c r="R261" s="22" t="n">
        <x:f>Q261*M261</x:f>
        <x:v>11815</x:v>
      </x:c>
      <x:c r="S261" s="22" t="n">
        <x:f>P261-R261</x:f>
        <x:v>384.2000000000007</x:v>
      </x:c>
      <x:c r="T261" t="str">
        <x:v>Credit</x:v>
      </x:c>
      <x:c r="U261" t="str">
        <x:v>Paid</x:v>
      </x:c>
      <x:c r="V261" t="str">
        <x:v>Delayed</x:v>
      </x:c>
      <x:c r="W261" t="n">
        <x:v>0</x:v>
      </x:c>
      <x:c r="X261" t="str"/>
      <x:c r="Y261" t="str">
        <x:v>Outbound Call</x:v>
      </x:c>
    </x:row>
    <x:row r="262">
      <x:c r="A262" t="str">
        <x:v>O000261</x:v>
      </x:c>
      <x:c r="B262" s="20" t="n">
        <x:v>45948</x:v>
      </x:c>
      <x:c r="C262" t="str">
        <x:v>C0187</x:v>
      </x:c>
      <x:c r="D262" t="str">
        <x:v>City Cafe 187</x:v>
      </x:c>
      <x:c r="E262" t="str">
        <x:v>Hotel</x:v>
      </x:c>
      <x:c r="F262" t="str">
        <x:v>Mysuru</x:v>
      </x:c>
      <x:c r="G262" t="str">
        <x:v>Priya</x:v>
      </x:c>
      <x:c r="H262" t="str">
        <x:v>P043</x:v>
      </x:c>
      <x:c r="I262" t="str">
        <x:v>Chicken Breast 1kg</x:v>
      </x:c>
      <x:c r="J262" t="str">
        <x:v>Protein</x:v>
      </x:c>
      <x:c r="K262" t="str">
        <x:v>FreshToHome</x:v>
      </x:c>
      <x:c r="L262" s="22" t="n">
        <x:v>260</x:v>
      </x:c>
      <x:c r="M262" t="n">
        <x:v>6</x:v>
      </x:c>
      <x:c r="N262" s="24" t="n">
        <x:v>0</x:v>
      </x:c>
      <x:c r="O262" s="22" t="n">
        <x:f>L262*M262</x:f>
        <x:v>1560</x:v>
      </x:c>
      <x:c r="P262" s="22" t="n">
        <x:f>O262*(1-N262)</x:f>
        <x:v>1560</x:v>
      </x:c>
      <x:c r="Q262" s="22" t="n">
        <x:v>235</x:v>
      </x:c>
      <x:c r="R262" s="22" t="n">
        <x:f>Q262*M262</x:f>
        <x:v>1410</x:v>
      </x:c>
      <x:c r="S262" s="22" t="n">
        <x:f>P262-R262</x:f>
        <x:v>150</x:v>
      </x:c>
      <x:c r="T262" t="str">
        <x:v>Credit</x:v>
      </x:c>
      <x:c r="U262" t="str">
        <x:v>Pending</x:v>
      </x:c>
      <x:c r="V262" t="str">
        <x:v>Delivered</x:v>
      </x:c>
      <x:c r="W262" t="n">
        <x:v>0</x:v>
      </x:c>
      <x:c r="X262" t="str"/>
      <x:c r="Y262" t="str">
        <x:v>WhatsApp</x:v>
      </x:c>
    </x:row>
    <x:row r="263">
      <x:c r="A263" t="str">
        <x:v>O000262</x:v>
      </x:c>
      <x:c r="B263" s="20" t="n">
        <x:v>45844</x:v>
      </x:c>
      <x:c r="C263" t="str">
        <x:v>C0204</x:v>
      </x:c>
      <x:c r="D263" t="str">
        <x:v>Udupi Stores 204</x:v>
      </x:c>
      <x:c r="E263" t="str">
        <x:v>Kirana</x:v>
      </x:c>
      <x:c r="F263" t="str">
        <x:v>Bengaluru</x:v>
      </x:c>
      <x:c r="G263" t="str">
        <x:v>Vikram</x:v>
      </x:c>
      <x:c r="H263" t="str">
        <x:v>P038</x:v>
      </x:c>
      <x:c r="I263" t="str">
        <x:v>French Fries 2.5kg</x:v>
      </x:c>
      <x:c r="J263" t="str">
        <x:v>Frozen</x:v>
      </x:c>
      <x:c r="K263" t="str">
        <x:v>McCain</x:v>
      </x:c>
      <x:c r="L263" s="22" t="n">
        <x:v>360</x:v>
      </x:c>
      <x:c r="M263" t="n">
        <x:v>40</x:v>
      </x:c>
      <x:c r="N263" s="24" t="n">
        <x:v>0.05</x:v>
      </x:c>
      <x:c r="O263" s="22" t="n">
        <x:f>L263*M263</x:f>
        <x:v>14400</x:v>
      </x:c>
      <x:c r="P263" s="22" t="n">
        <x:f>O263*(1-N263)</x:f>
        <x:v>13680</x:v>
      </x:c>
      <x:c r="Q263" s="22" t="n">
        <x:v>315</x:v>
      </x:c>
      <x:c r="R263" s="22" t="n">
        <x:f>Q263*M263</x:f>
        <x:v>12600</x:v>
      </x:c>
      <x:c r="S263" s="22" t="n">
        <x:f>P263-R263</x:f>
        <x:v>1080</x:v>
      </x:c>
      <x:c r="T263" t="str">
        <x:v>Cash</x:v>
      </x:c>
      <x:c r="U263" t="str">
        <x:v>Paid</x:v>
      </x:c>
      <x:c r="V263" t="str">
        <x:v>Cancelled</x:v>
      </x:c>
      <x:c r="W263" t="n">
        <x:v>40</x:v>
      </x:c>
      <x:c r="X263" t="str">
        <x:v>Cancelled Order</x:v>
      </x:c>
      <x:c r="Y263" t="str">
        <x:v>Field Visit</x:v>
      </x:c>
    </x:row>
    <x:row r="264">
      <x:c r="A264" t="str">
        <x:v>O000263</x:v>
      </x:c>
      <x:c r="B264" s="20" t="n">
        <x:v>45728</x:v>
      </x:c>
      <x:c r="C264" t="str">
        <x:v>C0153</x:v>
      </x:c>
      <x:c r="D264" t="str">
        <x:v>Fresh Foods 153</x:v>
      </x:c>
      <x:c r="E264" t="str">
        <x:v>Kirana</x:v>
      </x:c>
      <x:c r="F264" t="str">
        <x:v>Bengaluru</x:v>
      </x:c>
      <x:c r="G264" t="str">
        <x:v>Priya</x:v>
      </x:c>
      <x:c r="H264" t="str">
        <x:v>P038</x:v>
      </x:c>
      <x:c r="I264" t="str">
        <x:v>French Fries 2.5kg</x:v>
      </x:c>
      <x:c r="J264" t="str">
        <x:v>Frozen</x:v>
      </x:c>
      <x:c r="K264" t="str">
        <x:v>McCain</x:v>
      </x:c>
      <x:c r="L264" s="22" t="n">
        <x:v>360</x:v>
      </x:c>
      <x:c r="M264" t="n">
        <x:v>15</x:v>
      </x:c>
      <x:c r="N264" s="24" t="n">
        <x:v>0.02</x:v>
      </x:c>
      <x:c r="O264" s="22" t="n">
        <x:f>L264*M264</x:f>
        <x:v>5400</x:v>
      </x:c>
      <x:c r="P264" s="22" t="n">
        <x:f>O264*(1-N264)</x:f>
        <x:v>5292</x:v>
      </x:c>
      <x:c r="Q264" s="22" t="n">
        <x:v>315</x:v>
      </x:c>
      <x:c r="R264" s="22" t="n">
        <x:f>Q264*M264</x:f>
        <x:v>4725</x:v>
      </x:c>
      <x:c r="S264" s="22" t="n">
        <x:f>P264-R264</x:f>
        <x:v>567</x:v>
      </x:c>
      <x:c r="T264" t="str">
        <x:v>Bank Transfer</x:v>
      </x:c>
      <x:c r="U264" t="str">
        <x:v>Paid</x:v>
      </x:c>
      <x:c r="V264" t="str">
        <x:v>Delivered</x:v>
      </x:c>
      <x:c r="W264" t="n">
        <x:v>0</x:v>
      </x:c>
      <x:c r="X264" t="str"/>
      <x:c r="Y264" t="str">
        <x:v>Existing Customer</x:v>
      </x:c>
    </x:row>
    <x:row r="265">
      <x:c r="A265" t="str">
        <x:v>O000264</x:v>
      </x:c>
      <x:c r="B265" s="20" t="n">
        <x:v>46278</x:v>
      </x:c>
      <x:c r="C265" t="str">
        <x:v>C0212</x:v>
      </x:c>
      <x:c r="D265" t="str">
        <x:v>Classic Restaurant 212</x:v>
      </x:c>
      <x:c r="E265" t="str">
        <x:v>Restaurant</x:v>
      </x:c>
      <x:c r="F265" t="str">
        <x:v>Mysuru</x:v>
      </x:c>
      <x:c r="G265" t="str">
        <x:v>Vikram</x:v>
      </x:c>
      <x:c r="H265" t="str">
        <x:v>P010</x:v>
      </x:c>
      <x:c r="I265" t="str">
        <x:v>Sugar 25kg</x:v>
      </x:c>
      <x:c r="J265" t="str">
        <x:v>Staples</x:v>
      </x:c>
      <x:c r="K265" t="str">
        <x:v>Madhur</x:v>
      </x:c>
      <x:c r="L265" s="22" t="n">
        <x:v>1190</x:v>
      </x:c>
      <x:c r="M265" t="n">
        <x:v>3</x:v>
      </x:c>
      <x:c r="N265" s="24" t="n">
        <x:v>0.03</x:v>
      </x:c>
      <x:c r="O265" s="22" t="n">
        <x:f>L265*M265</x:f>
        <x:v>3570</x:v>
      </x:c>
      <x:c r="P265" s="22" t="n">
        <x:f>O265*(1-N265)</x:f>
        <x:v>3462.9</x:v>
      </x:c>
      <x:c r="Q265" s="22" t="n">
        <x:v>1080</x:v>
      </x:c>
      <x:c r="R265" s="22" t="n">
        <x:f>Q265*M265</x:f>
        <x:v>3240</x:v>
      </x:c>
      <x:c r="S265" s="22" t="n">
        <x:f>P265-R265</x:f>
        <x:v>222.9000000000001</x:v>
      </x:c>
      <x:c r="T265" t="str">
        <x:v>UPI</x:v>
      </x:c>
      <x:c r="U265" t="str">
        <x:v>Pending</x:v>
      </x:c>
      <x:c r="V265" t="str">
        <x:v>Delayed</x:v>
      </x:c>
      <x:c r="W265" t="n">
        <x:v>0</x:v>
      </x:c>
      <x:c r="X265" t="str"/>
      <x:c r="Y265" t="str">
        <x:v>Existing Customer</x:v>
      </x:c>
    </x:row>
    <x:row r="266">
      <x:c r="A266" t="str">
        <x:v>O000265</x:v>
      </x:c>
      <x:c r="B266" s="20" t="n">
        <x:v>45791</x:v>
      </x:c>
      <x:c r="C266" t="str">
        <x:v>C0024</x:v>
      </x:c>
      <x:c r="D266" t="str">
        <x:v>Darshini Restaurant 24</x:v>
      </x:c>
      <x:c r="E266" t="str">
        <x:v>Restaurant</x:v>
      </x:c>
      <x:c r="F266" t="str">
        <x:v>Davanagere</x:v>
      </x:c>
      <x:c r="G266" t="str">
        <x:v>Sneha</x:v>
      </x:c>
      <x:c r="H266" t="str">
        <x:v>P031</x:v>
      </x:c>
      <x:c r="I266" t="str">
        <x:v>Chilli Sauce 700g</x:v>
      </x:c>
      <x:c r="J266" t="str">
        <x:v>Condiments</x:v>
      </x:c>
      <x:c r="K266" t="str">
        <x:v>Ching's</x:v>
      </x:c>
      <x:c r="L266" s="22" t="n">
        <x:v>130</x:v>
      </x:c>
      <x:c r="M266" t="n">
        <x:v>39</x:v>
      </x:c>
      <x:c r="N266" s="24" t="n">
        <x:v>0.03</x:v>
      </x:c>
      <x:c r="O266" s="22" t="n">
        <x:f>L266*M266</x:f>
        <x:v>5070</x:v>
      </x:c>
      <x:c r="P266" s="22" t="n">
        <x:f>O266*(1-N266)</x:f>
        <x:v>4917.9</x:v>
      </x:c>
      <x:c r="Q266" s="22" t="n">
        <x:v>112</x:v>
      </x:c>
      <x:c r="R266" s="22" t="n">
        <x:f>Q266*M266</x:f>
        <x:v>4368</x:v>
      </x:c>
      <x:c r="S266" s="22" t="n">
        <x:f>P266-R266</x:f>
        <x:v>549.8999999999996</x:v>
      </x:c>
      <x:c r="T266" t="str">
        <x:v>UPI</x:v>
      </x:c>
      <x:c r="U266" t="str">
        <x:v>Pending</x:v>
      </x:c>
      <x:c r="V266" t="str">
        <x:v>Cancelled</x:v>
      </x:c>
      <x:c r="W266" t="n">
        <x:v>39</x:v>
      </x:c>
      <x:c r="X266" t="str">
        <x:v>Cancelled Order</x:v>
      </x:c>
      <x:c r="Y266" t="str">
        <x:v>WhatsApp</x:v>
      </x:c>
    </x:row>
    <x:row r="267">
      <x:c r="A267" t="str">
        <x:v>O000266</x:v>
      </x:c>
      <x:c r="B267" s="20" t="n">
        <x:v>46200</x:v>
      </x:c>
      <x:c r="C267" t="str">
        <x:v>C0095</x:v>
      </x:c>
      <x:c r="D267" t="str">
        <x:v>Spice Restaurant 95</x:v>
      </x:c>
      <x:c r="E267" t="str">
        <x:v>Restaurant</x:v>
      </x:c>
      <x:c r="F267" t="str">
        <x:v>Bengaluru</x:v>
      </x:c>
      <x:c r="G267" t="str">
        <x:v>Megha</x:v>
      </x:c>
      <x:c r="H267" t="str">
        <x:v>P003</x:v>
      </x:c>
      <x:c r="I267" t="str">
        <x:v>Basmati Rice 5kg</x:v>
      </x:c>
      <x:c r="J267" t="str">
        <x:v>Staples</x:v>
      </x:c>
      <x:c r="K267" t="str">
        <x:v>India Gate</x:v>
      </x:c>
      <x:c r="L267" s="22" t="n">
        <x:v>690</x:v>
      </x:c>
      <x:c r="M267" t="n">
        <x:v>28</x:v>
      </x:c>
      <x:c r="N267" s="24" t="n">
        <x:v>0</x:v>
      </x:c>
      <x:c r="O267" s="22" t="n">
        <x:f>L267*M267</x:f>
        <x:v>19320</x:v>
      </x:c>
      <x:c r="P267" s="22" t="n">
        <x:f>O267*(1-N267)</x:f>
        <x:v>19320</x:v>
      </x:c>
      <x:c r="Q267" s="22" t="n">
        <x:v>610</x:v>
      </x:c>
      <x:c r="R267" s="22" t="n">
        <x:f>Q267*M267</x:f>
        <x:v>17080</x:v>
      </x:c>
      <x:c r="S267" s="22" t="n">
        <x:f>P267-R267</x:f>
        <x:v>2240</x:v>
      </x:c>
      <x:c r="T267" t="str">
        <x:v>Credit</x:v>
      </x:c>
      <x:c r="U267" t="str">
        <x:v>Pending</x:v>
      </x:c>
      <x:c r="V267" t="str">
        <x:v>Delivered</x:v>
      </x:c>
      <x:c r="W267" t="n">
        <x:v>0</x:v>
      </x:c>
      <x:c r="X267" t="str"/>
      <x:c r="Y267" t="str">
        <x:v>Existing Customer</x:v>
      </x:c>
    </x:row>
    <x:row r="268">
      <x:c r="A268" t="str">
        <x:v>O000267</x:v>
      </x:c>
      <x:c r="B268" s="20" t="n">
        <x:v>46146</x:v>
      </x:c>
      <x:c r="C268" t="str">
        <x:v>C0035</x:v>
      </x:c>
      <x:c r="D268" t="str">
        <x:v>City Foods 35</x:v>
      </x:c>
      <x:c r="E268" t="str">
        <x:v>Kirana</x:v>
      </x:c>
      <x:c r="F268" t="str">
        <x:v>Bengaluru</x:v>
      </x:c>
      <x:c r="G268" t="str">
        <x:v>Megha</x:v>
      </x:c>
      <x:c r="H268" t="str">
        <x:v>P017</x:v>
      </x:c>
      <x:c r="I268" t="str">
        <x:v>Butter 500g</x:v>
      </x:c>
      <x:c r="J268" t="str">
        <x:v>Dairy</x:v>
      </x:c>
      <x:c r="K268" t="str">
        <x:v>Amul</x:v>
      </x:c>
      <x:c r="L268" s="22" t="n">
        <x:v>285</x:v>
      </x:c>
      <x:c r="M268" t="n">
        <x:v>15</x:v>
      </x:c>
      <x:c r="N268" s="24" t="n">
        <x:v>0.08</x:v>
      </x:c>
      <x:c r="O268" s="22" t="n">
        <x:f>L268*M268</x:f>
        <x:v>4275</x:v>
      </x:c>
      <x:c r="P268" s="22" t="n">
        <x:f>O268*(1-N268)</x:f>
        <x:v>3933</x:v>
      </x:c>
      <x:c r="Q268" s="22" t="n">
        <x:v>258</x:v>
      </x:c>
      <x:c r="R268" s="22" t="n">
        <x:f>Q268*M268</x:f>
        <x:v>3870</x:v>
      </x:c>
      <x:c r="S268" s="22" t="n">
        <x:f>P268-R268</x:f>
        <x:v>63</x:v>
      </x:c>
      <x:c r="T268" t="str">
        <x:v>UPI</x:v>
      </x:c>
      <x:c r="U268" t="str">
        <x:v>Paid</x:v>
      </x:c>
      <x:c r="V268" t="str">
        <x:v>Delayed</x:v>
      </x:c>
      <x:c r="W268" t="n">
        <x:v>0</x:v>
      </x:c>
      <x:c r="X268" t="str"/>
      <x:c r="Y268" t="str">
        <x:v>WhatsApp</x:v>
      </x:c>
    </x:row>
    <x:row r="269">
      <x:c r="A269" t="str">
        <x:v>O000268</x:v>
      </x:c>
      <x:c r="B269" s="20" t="n">
        <x:v>45665</x:v>
      </x:c>
      <x:c r="C269" t="str">
        <x:v>C0002</x:v>
      </x:c>
      <x:c r="D269" t="str">
        <x:v>City Kitchen 2</x:v>
      </x:c>
      <x:c r="E269" t="str">
        <x:v>Kirana</x:v>
      </x:c>
      <x:c r="F269" t="str">
        <x:v>Davanagere</x:v>
      </x:c>
      <x:c r="G269" t="str">
        <x:v>Arjun</x:v>
      </x:c>
      <x:c r="H269" t="str">
        <x:v>P046</x:v>
      </x:c>
      <x:c r="I269" t="str">
        <x:v>Potato 25kg</x:v>
      </x:c>
      <x:c r="J269" t="str">
        <x:v>Fresh Produce</x:v>
      </x:c>
      <x:c r="K269" t="str">
        <x:v>Local Market</x:v>
      </x:c>
      <x:c r="L269" s="22" t="n">
        <x:v>700</x:v>
      </x:c>
      <x:c r="M269" t="n">
        <x:v>37</x:v>
      </x:c>
      <x:c r="N269" s="24" t="n">
        <x:v>0.03</x:v>
      </x:c>
      <x:c r="O269" s="22" t="n">
        <x:f>L269*M269</x:f>
        <x:v>25900</x:v>
      </x:c>
      <x:c r="P269" s="22" t="n">
        <x:f>O269*(1-N269)</x:f>
        <x:v>25123</x:v>
      </x:c>
      <x:c r="Q269" s="22" t="n">
        <x:v>610</x:v>
      </x:c>
      <x:c r="R269" s="22" t="n">
        <x:f>Q269*M269</x:f>
        <x:v>22570</x:v>
      </x:c>
      <x:c r="S269" s="22" t="n">
        <x:f>P269-R269</x:f>
        <x:v>2553</x:v>
      </x:c>
      <x:c r="T269" t="str">
        <x:v>UPI</x:v>
      </x:c>
      <x:c r="U269" t="str">
        <x:v>Paid</x:v>
      </x:c>
      <x:c r="V269" t="str">
        <x:v>Delivered</x:v>
      </x:c>
      <x:c r="W269" t="n">
        <x:v>0</x:v>
      </x:c>
      <x:c r="X269" t="str"/>
      <x:c r="Y269" t="str">
        <x:v>Field Visit</x:v>
      </x:c>
    </x:row>
    <x:row r="270">
      <x:c r="A270" t="str">
        <x:v>O000269</x:v>
      </x:c>
      <x:c r="B270" s="20" t="n">
        <x:v>46094</x:v>
      </x:c>
      <x:c r="C270" t="str">
        <x:v>C0028</x:v>
      </x:c>
      <x:c r="D270" t="str">
        <x:v>Spice Cafe 28</x:v>
      </x:c>
      <x:c r="E270" t="str">
        <x:v>Supermarket</x:v>
      </x:c>
      <x:c r="F270" t="str">
        <x:v>Mysuru</x:v>
      </x:c>
      <x:c r="G270" t="str">
        <x:v>Vikram</x:v>
      </x:c>
      <x:c r="H270" t="str">
        <x:v>P010</x:v>
      </x:c>
      <x:c r="I270" t="str">
        <x:v>Sugar 25kg</x:v>
      </x:c>
      <x:c r="J270" t="str">
        <x:v>Staples</x:v>
      </x:c>
      <x:c r="K270" t="str">
        <x:v>Madhur</x:v>
      </x:c>
      <x:c r="L270" s="22" t="n">
        <x:v>1190</x:v>
      </x:c>
      <x:c r="M270" t="n">
        <x:v>5</x:v>
      </x:c>
      <x:c r="N270" s="24" t="n">
        <x:v>0.02</x:v>
      </x:c>
      <x:c r="O270" s="22" t="n">
        <x:f>L270*M270</x:f>
        <x:v>5950</x:v>
      </x:c>
      <x:c r="P270" s="22" t="n">
        <x:f>O270*(1-N270)</x:f>
        <x:v>5831</x:v>
      </x:c>
      <x:c r="Q270" s="22" t="n">
        <x:v>1080</x:v>
      </x:c>
      <x:c r="R270" s="22" t="n">
        <x:f>Q270*M270</x:f>
        <x:v>5400</x:v>
      </x:c>
      <x:c r="S270" s="22" t="n">
        <x:f>P270-R270</x:f>
        <x:v>431</x:v>
      </x:c>
      <x:c r="T270" t="str">
        <x:v>Credit</x:v>
      </x:c>
      <x:c r="U270" t="str">
        <x:v>Paid</x:v>
      </x:c>
      <x:c r="V270" t="str">
        <x:v>Delayed</x:v>
      </x:c>
      <x:c r="W270" t="n">
        <x:v>0</x:v>
      </x:c>
      <x:c r="X270" t="str"/>
      <x:c r="Y270" t="str">
        <x:v>Field Visit</x:v>
      </x:c>
    </x:row>
    <x:row r="271">
      <x:c r="A271" t="str">
        <x:v>O000270</x:v>
      </x:c>
      <x:c r="B271" s="20" t="n">
        <x:v>45866</x:v>
      </x:c>
      <x:c r="C271" t="str">
        <x:v>C0102</x:v>
      </x:c>
      <x:c r="D271" t="str">
        <x:v>Annapurna Foods 102</x:v>
      </x:c>
      <x:c r="E271" t="str">
        <x:v>Cafe</x:v>
      </x:c>
      <x:c r="F271" t="str">
        <x:v>Davanagere</x:v>
      </x:c>
      <x:c r="G271" t="str">
        <x:v>Ramesh</x:v>
      </x:c>
      <x:c r="H271" t="str">
        <x:v>P049</x:v>
      </x:c>
      <x:c r="I271" t="str">
        <x:v>Apple 10kg</x:v>
      </x:c>
      <x:c r="J271" t="str">
        <x:v>Fresh Produce</x:v>
      </x:c>
      <x:c r="K271" t="str">
        <x:v>Local Market</x:v>
      </x:c>
      <x:c r="L271" s="22" t="n">
        <x:v>1450</x:v>
      </x:c>
      <x:c r="M271" t="n">
        <x:v>9</x:v>
      </x:c>
      <x:c r="N271" s="24" t="n">
        <x:v>0.05</x:v>
      </x:c>
      <x:c r="O271" s="22" t="n">
        <x:f>L271*M271</x:f>
        <x:v>13050</x:v>
      </x:c>
      <x:c r="P271" s="22" t="n">
        <x:f>O271*(1-N271)</x:f>
        <x:v>12397.5</x:v>
      </x:c>
      <x:c r="Q271" s="22" t="n">
        <x:v>1280</x:v>
      </x:c>
      <x:c r="R271" s="22" t="n">
        <x:f>Q271*M271</x:f>
        <x:v>11520</x:v>
      </x:c>
      <x:c r="S271" s="22" t="n">
        <x:f>P271-R271</x:f>
        <x:v>877.5</x:v>
      </x:c>
      <x:c r="T271" t="str">
        <x:v>Credit</x:v>
      </x:c>
      <x:c r="U271" t="str">
        <x:v>Paid</x:v>
      </x:c>
      <x:c r="V271" t="str">
        <x:v>Delayed</x:v>
      </x:c>
      <x:c r="W271" t="n">
        <x:v>0</x:v>
      </x:c>
      <x:c r="X271" t="str"/>
      <x:c r="Y271" t="str">
        <x:v>Existing Customer</x:v>
      </x:c>
    </x:row>
    <x:row r="272">
      <x:c r="A272" t="str">
        <x:v>O000271</x:v>
      </x:c>
      <x:c r="B272" s="20" t="n">
        <x:v>46010</x:v>
      </x:c>
      <x:c r="C272" t="str">
        <x:v>C0079</x:v>
      </x:c>
      <x:c r="D272" t="str">
        <x:v>Foodie Foods 79</x:v>
      </x:c>
      <x:c r="E272" t="str">
        <x:v>Cafe</x:v>
      </x:c>
      <x:c r="F272" t="str">
        <x:v>Tumakuru</x:v>
      </x:c>
      <x:c r="G272" t="str">
        <x:v>Ramesh</x:v>
      </x:c>
      <x:c r="H272" t="str">
        <x:v>P037</x:v>
      </x:c>
      <x:c r="I272" t="str">
        <x:v>Frozen Peas 1kg</x:v>
      </x:c>
      <x:c r="J272" t="str">
        <x:v>Frozen</x:v>
      </x:c>
      <x:c r="K272" t="str">
        <x:v>Safal</x:v>
      </x:c>
      <x:c r="L272" s="22" t="n">
        <x:v>155</x:v>
      </x:c>
      <x:c r="M272" t="n">
        <x:v>26</x:v>
      </x:c>
      <x:c r="N272" s="24" t="n">
        <x:v>0.05</x:v>
      </x:c>
      <x:c r="O272" s="22" t="n">
        <x:f>L272*M272</x:f>
        <x:v>4030</x:v>
      </x:c>
      <x:c r="P272" s="22" t="n">
        <x:f>O272*(1-N272)</x:f>
        <x:v>3828.5</x:v>
      </x:c>
      <x:c r="Q272" s="22" t="n">
        <x:v>138</x:v>
      </x:c>
      <x:c r="R272" s="22" t="n">
        <x:f>Q272*M272</x:f>
        <x:v>3588</x:v>
      </x:c>
      <x:c r="S272" s="22" t="n">
        <x:f>P272-R272</x:f>
        <x:v>240.5</x:v>
      </x:c>
      <x:c r="T272" t="str">
        <x:v>UPI</x:v>
      </x:c>
      <x:c r="U272" t="str">
        <x:v>Pending</x:v>
      </x:c>
      <x:c r="V272" t="str">
        <x:v>Delivered</x:v>
      </x:c>
      <x:c r="W272" t="n">
        <x:v>0</x:v>
      </x:c>
      <x:c r="X272" t="str"/>
      <x:c r="Y272" t="str">
        <x:v>Referral</x:v>
      </x:c>
    </x:row>
    <x:row r="273">
      <x:c r="A273" t="str">
        <x:v>O000272</x:v>
      </x:c>
      <x:c r="B273" s="20" t="n">
        <x:v>46004</x:v>
      </x:c>
      <x:c r="C273" t="str">
        <x:v>C0131</x:v>
      </x:c>
      <x:c r="D273" t="str">
        <x:v>Foodie Canteen 131</x:v>
      </x:c>
      <x:c r="E273" t="str">
        <x:v>Canteen</x:v>
      </x:c>
      <x:c r="F273" t="str">
        <x:v>Davanagere</x:v>
      </x:c>
      <x:c r="G273" t="str">
        <x:v>Arjun</x:v>
      </x:c>
      <x:c r="H273" t="str">
        <x:v>P026</x:v>
      </x:c>
      <x:c r="I273" t="str">
        <x:v>Banana Chips 80g</x:v>
      </x:c>
      <x:c r="J273" t="str">
        <x:v>Snacks</x:v>
      </x:c>
      <x:c r="K273" t="str">
        <x:v>SSS</x:v>
      </x:c>
      <x:c r="L273" s="22" t="n">
        <x:v>54</x:v>
      </x:c>
      <x:c r="M273" t="n">
        <x:v>36</x:v>
      </x:c>
      <x:c r="N273" s="24" t="n">
        <x:v>0.05</x:v>
      </x:c>
      <x:c r="O273" s="22" t="n">
        <x:f>L273*M273</x:f>
        <x:v>1944</x:v>
      </x:c>
      <x:c r="P273" s="22" t="n">
        <x:f>O273*(1-N273)</x:f>
        <x:v>1846.8</x:v>
      </x:c>
      <x:c r="Q273" s="22" t="n">
        <x:v>39</x:v>
      </x:c>
      <x:c r="R273" s="22" t="n">
        <x:f>Q273*M273</x:f>
        <x:v>1404</x:v>
      </x:c>
      <x:c r="S273" s="22" t="n">
        <x:f>P273-R273</x:f>
        <x:v>442.79999999999995</x:v>
      </x:c>
      <x:c r="T273" t="str">
        <x:v>UPI</x:v>
      </x:c>
      <x:c r="U273" t="str">
        <x:v>Paid</x:v>
      </x:c>
      <x:c r="V273" t="str">
        <x:v>Cancelled</x:v>
      </x:c>
      <x:c r="W273" t="n">
        <x:v>36</x:v>
      </x:c>
      <x:c r="X273" t="str">
        <x:v>Cancelled Order</x:v>
      </x:c>
      <x:c r="Y273" t="str">
        <x:v>Outbound Call</x:v>
      </x:c>
    </x:row>
    <x:row r="274">
      <x:c r="A274" t="str">
        <x:v>O000273</x:v>
      </x:c>
      <x:c r="B274" s="20" t="n">
        <x:v>46140</x:v>
      </x:c>
      <x:c r="C274" t="str">
        <x:v>C0211</x:v>
      </x:c>
      <x:c r="D274" t="str">
        <x:v>Cafe Cafe 211</x:v>
      </x:c>
      <x:c r="E274" t="str">
        <x:v>Supermarket</x:v>
      </x:c>
      <x:c r="F274" t="str">
        <x:v>Davanagere</x:v>
      </x:c>
      <x:c r="G274" t="str">
        <x:v>Megha</x:v>
      </x:c>
      <x:c r="H274" t="str">
        <x:v>P010</x:v>
      </x:c>
      <x:c r="I274" t="str">
        <x:v>Sugar 25kg</x:v>
      </x:c>
      <x:c r="J274" t="str">
        <x:v>Staples</x:v>
      </x:c>
      <x:c r="K274" t="str">
        <x:v>Madhur</x:v>
      </x:c>
      <x:c r="L274" s="22" t="n">
        <x:v>1190</x:v>
      </x:c>
      <x:c r="M274" t="n">
        <x:v>7</x:v>
      </x:c>
      <x:c r="N274" s="24" t="n">
        <x:v>0</x:v>
      </x:c>
      <x:c r="O274" s="22" t="n">
        <x:f>L274*M274</x:f>
        <x:v>8330</x:v>
      </x:c>
      <x:c r="P274" s="22" t="n">
        <x:f>O274*(1-N274)</x:f>
        <x:v>8330</x:v>
      </x:c>
      <x:c r="Q274" s="22" t="n">
        <x:v>1080</x:v>
      </x:c>
      <x:c r="R274" s="22" t="n">
        <x:f>Q274*M274</x:f>
        <x:v>7560</x:v>
      </x:c>
      <x:c r="S274" s="22" t="n">
        <x:f>P274-R274</x:f>
        <x:v>770</x:v>
      </x:c>
      <x:c r="T274" t="str">
        <x:v>Cash</x:v>
      </x:c>
      <x:c r="U274" t="str">
        <x:v>Paid</x:v>
      </x:c>
      <x:c r="V274" t="str">
        <x:v>Delivered</x:v>
      </x:c>
      <x:c r="W274" t="n">
        <x:v>0</x:v>
      </x:c>
      <x:c r="X274" t="str"/>
      <x:c r="Y274" t="str">
        <x:v>WhatsApp</x:v>
      </x:c>
    </x:row>
    <x:row r="275">
      <x:c r="A275" t="str">
        <x:v>O000274</x:v>
      </x:c>
      <x:c r="B275" s="20" t="n">
        <x:v>46191</x:v>
      </x:c>
      <x:c r="C275" t="str">
        <x:v>C0103</x:v>
      </x:c>
      <x:c r="D275" t="str">
        <x:v>Fresh Kitchen 103</x:v>
      </x:c>
      <x:c r="E275" t="str">
        <x:v>Supermarket</x:v>
      </x:c>
      <x:c r="F275" t="str">
        <x:v>Davanagere</x:v>
      </x:c>
      <x:c r="G275" t="str">
        <x:v>Megha</x:v>
      </x:c>
      <x:c r="H275" t="str">
        <x:v>P040</x:v>
      </x:c>
      <x:c r="I275" t="str">
        <x:v>Bread Loaf 400g</x:v>
      </x:c>
      <x:c r="J275" t="str">
        <x:v>Bakery</x:v>
      </x:c>
      <x:c r="K275" t="str">
        <x:v>Britannia</x:v>
      </x:c>
      <x:c r="L275" s="22" t="n">
        <x:v>45</x:v>
      </x:c>
      <x:c r="M275" t="n">
        <x:v>19</x:v>
      </x:c>
      <x:c r="N275" s="24" t="n">
        <x:v>0.05</x:v>
      </x:c>
      <x:c r="O275" s="22" t="n">
        <x:f>L275*M275</x:f>
        <x:v>855</x:v>
      </x:c>
      <x:c r="P275" s="22" t="n">
        <x:f>O275*(1-N275)</x:f>
        <x:v>812.25</x:v>
      </x:c>
      <x:c r="Q275" s="22" t="n">
        <x:v>35</x:v>
      </x:c>
      <x:c r="R275" s="22" t="n">
        <x:f>Q275*M275</x:f>
        <x:v>665</x:v>
      </x:c>
      <x:c r="S275" s="22" t="n">
        <x:f>P275-R275</x:f>
        <x:v>147.25</x:v>
      </x:c>
      <x:c r="T275" t="str">
        <x:v>UPI</x:v>
      </x:c>
      <x:c r="U275" t="str">
        <x:v>Overdue</x:v>
      </x:c>
      <x:c r="V275" t="str">
        <x:v>Delivered</x:v>
      </x:c>
      <x:c r="W275" t="n">
        <x:v>0</x:v>
      </x:c>
      <x:c r="X275" t="str"/>
      <x:c r="Y275" t="str"/>
    </x:row>
    <x:row r="276">
      <x:c r="A276" t="str">
        <x:v>O000275</x:v>
      </x:c>
      <x:c r="B276" s="20" t="n">
        <x:v>46188</x:v>
      </x:c>
      <x:c r="C276" t="str">
        <x:v>C0218</x:v>
      </x:c>
      <x:c r="D276" t="str">
        <x:v>Green Stores 218</x:v>
      </x:c>
      <x:c r="E276" t="str">
        <x:v>Hotel</x:v>
      </x:c>
      <x:c r="F276" t="str">
        <x:v>Mysuru</x:v>
      </x:c>
      <x:c r="G276" t="str">
        <x:v>Imran</x:v>
      </x:c>
      <x:c r="H276" t="str">
        <x:v>P043</x:v>
      </x:c>
      <x:c r="I276" t="str">
        <x:v>Chicken Breast 1kg</x:v>
      </x:c>
      <x:c r="J276" t="str">
        <x:v>Protein</x:v>
      </x:c>
      <x:c r="K276" t="str">
        <x:v>FreshToHome</x:v>
      </x:c>
      <x:c r="L276" s="22" t="n">
        <x:v>260</x:v>
      </x:c>
      <x:c r="M276" t="n">
        <x:v>19</x:v>
      </x:c>
      <x:c r="N276" s="24" t="n">
        <x:v>0</x:v>
      </x:c>
      <x:c r="O276" s="22" t="n">
        <x:f>L276*M276</x:f>
        <x:v>4940</x:v>
      </x:c>
      <x:c r="P276" s="22" t="n">
        <x:f>O276*(1-N276)</x:f>
        <x:v>4940</x:v>
      </x:c>
      <x:c r="Q276" s="22" t="n">
        <x:v>235</x:v>
      </x:c>
      <x:c r="R276" s="22" t="n">
        <x:f>Q276*M276</x:f>
        <x:v>4465</x:v>
      </x:c>
      <x:c r="S276" s="22" t="n">
        <x:f>P276-R276</x:f>
        <x:v>475</x:v>
      </x:c>
      <x:c r="T276" t="str">
        <x:v>Bank Transfer</x:v>
      </x:c>
      <x:c r="U276" t="str">
        <x:v>Paid</x:v>
      </x:c>
      <x:c r="V276" t="str">
        <x:v>Cancelled</x:v>
      </x:c>
      <x:c r="W276" t="n">
        <x:v>19</x:v>
      </x:c>
      <x:c r="X276" t="str">
        <x:v>Cancelled Order</x:v>
      </x:c>
      <x:c r="Y276" t="str">
        <x:v>Outbound Call</x:v>
      </x:c>
    </x:row>
    <x:row r="277">
      <x:c r="A277" t="str">
        <x:v>O000276</x:v>
      </x:c>
      <x:c r="B277" s="20" t="n">
        <x:v>45819</x:v>
      </x:c>
      <x:c r="C277" t="str">
        <x:v>C0168</x:v>
      </x:c>
      <x:c r="D277" t="str">
        <x:v>Sagar Hotel 168</x:v>
      </x:c>
      <x:c r="E277" t="str">
        <x:v>Canteen</x:v>
      </x:c>
      <x:c r="F277" t="str">
        <x:v>Bengaluru</x:v>
      </x:c>
      <x:c r="G277" t="str">
        <x:v>Priya</x:v>
      </x:c>
      <x:c r="H277" t="str">
        <x:v>P001</x:v>
      </x:c>
      <x:c r="I277" t="str">
        <x:v>Steam Rice 25kg</x:v>
      </x:c>
      <x:c r="J277" t="str">
        <x:v>Staples</x:v>
      </x:c>
      <x:c r="K277" t="str">
        <x:v>Aishwarya</x:v>
      </x:c>
      <x:c r="L277" s="22" t="n">
        <x:v>1180</x:v>
      </x:c>
      <x:c r="M277" t="n">
        <x:v>5</x:v>
      </x:c>
      <x:c r="N277" s="24" t="n">
        <x:v>0.05</x:v>
      </x:c>
      <x:c r="O277" s="22" t="n">
        <x:f>L277*M277</x:f>
        <x:v>5900</x:v>
      </x:c>
      <x:c r="P277" s="22" t="n">
        <x:f>O277*(1-N277)</x:f>
        <x:v>5605</x:v>
      </x:c>
      <x:c r="Q277" s="22" t="n">
        <x:v>1040</x:v>
      </x:c>
      <x:c r="R277" s="22" t="n">
        <x:f>Q277*M277</x:f>
        <x:v>5200</x:v>
      </x:c>
      <x:c r="S277" s="22" t="n">
        <x:f>P277-R277</x:f>
        <x:v>405</x:v>
      </x:c>
      <x:c r="T277" t="str">
        <x:v>Cash</x:v>
      </x:c>
      <x:c r="U277" t="str">
        <x:v>Paid</x:v>
      </x:c>
      <x:c r="V277" t="str">
        <x:v>Delivered</x:v>
      </x:c>
      <x:c r="W277" t="n">
        <x:v>0</x:v>
      </x:c>
      <x:c r="X277" t="str"/>
      <x:c r="Y277" t="str">
        <x:v>Existing Customer</x:v>
      </x:c>
    </x:row>
    <x:row r="278">
      <x:c r="A278" t="str">
        <x:v>O000277</x:v>
      </x:c>
      <x:c r="B278" s="20" t="n">
        <x:v>45750</x:v>
      </x:c>
      <x:c r="C278" t="str">
        <x:v>C0181</x:v>
      </x:c>
      <x:c r="D278" t="str">
        <x:v>Darshini Mart 181</x:v>
      </x:c>
      <x:c r="E278" t="str">
        <x:v>Restaurant</x:v>
      </x:c>
      <x:c r="F278" t="str">
        <x:v>Mangaluru</x:v>
      </x:c>
      <x:c r="G278" t="str">
        <x:v>Kavya</x:v>
      </x:c>
      <x:c r="H278" t="str">
        <x:v>P005</x:v>
      </x:c>
      <x:c r="I278" t="str">
        <x:v>Chana Dal 5kg</x:v>
      </x:c>
      <x:c r="J278" t="str">
        <x:v>Pulses</x:v>
      </x:c>
      <x:c r="K278" t="str">
        <x:v>Local Select</x:v>
      </x:c>
      <x:c r="L278" s="22" t="n">
        <x:v>520</x:v>
      </x:c>
      <x:c r="M278" t="n">
        <x:v>36</x:v>
      </x:c>
      <x:c r="N278" s="24" t="n">
        <x:v>0.02</x:v>
      </x:c>
      <x:c r="O278" s="22" t="n">
        <x:f>L278*M278</x:f>
        <x:v>18720</x:v>
      </x:c>
      <x:c r="P278" s="22" t="n">
        <x:f>O278*(1-N278)</x:f>
        <x:v>18345.6</x:v>
      </x:c>
      <x:c r="Q278" s="22" t="n">
        <x:v>455</x:v>
      </x:c>
      <x:c r="R278" s="22" t="n">
        <x:f>Q278*M278</x:f>
        <x:v>16380</x:v>
      </x:c>
      <x:c r="S278" s="22" t="n">
        <x:f>P278-R278</x:f>
        <x:v>1965.5999999999985</x:v>
      </x:c>
      <x:c r="T278" t="str">
        <x:v>Cash</x:v>
      </x:c>
      <x:c r="U278" t="str">
        <x:v>Paid</x:v>
      </x:c>
      <x:c r="V278" t="str">
        <x:v>Delivered</x:v>
      </x:c>
      <x:c r="W278" t="n">
        <x:v>0</x:v>
      </x:c>
      <x:c r="X278" t="str"/>
      <x:c r="Y278" t="str">
        <x:v>Referral</x:v>
      </x:c>
    </x:row>
    <x:row r="279">
      <x:c r="A279" t="str">
        <x:v>O000278</x:v>
      </x:c>
      <x:c r="B279" s="20" t="n">
        <x:v>45662</x:v>
      </x:c>
      <x:c r="C279" t="str">
        <x:v>C0104</x:v>
      </x:c>
      <x:c r="D279" t="str">
        <x:v>Shree Foods 104</x:v>
      </x:c>
      <x:c r="E279" t="str">
        <x:v>Cafe</x:v>
      </x:c>
      <x:c r="F279" t="str">
        <x:v>Mangaluru</x:v>
      </x:c>
      <x:c r="G279" t="str">
        <x:v>Megha</x:v>
      </x:c>
      <x:c r="H279" t="str">
        <x:v>P037</x:v>
      </x:c>
      <x:c r="I279" t="str">
        <x:v>Frozen Peas 1kg</x:v>
      </x:c>
      <x:c r="J279" t="str">
        <x:v>Frozen</x:v>
      </x:c>
      <x:c r="K279" t="str">
        <x:v>Safal</x:v>
      </x:c>
      <x:c r="L279" s="22" t="n">
        <x:v>155</x:v>
      </x:c>
      <x:c r="M279" t="n">
        <x:v>17</x:v>
      </x:c>
      <x:c r="N279" s="24" t="n">
        <x:v>0</x:v>
      </x:c>
      <x:c r="O279" s="22" t="n">
        <x:f>L279*M279</x:f>
        <x:v>2635</x:v>
      </x:c>
      <x:c r="P279" s="22" t="n">
        <x:f>O279*(1-N279)</x:f>
        <x:v>2635</x:v>
      </x:c>
      <x:c r="Q279" s="22" t="n">
        <x:v>138</x:v>
      </x:c>
      <x:c r="R279" s="22" t="n">
        <x:f>Q279*M279</x:f>
        <x:v>2346</x:v>
      </x:c>
      <x:c r="S279" s="22" t="n">
        <x:f>P279-R279</x:f>
        <x:v>289</x:v>
      </x:c>
      <x:c r="T279" t="str">
        <x:v>UPI</x:v>
      </x:c>
      <x:c r="U279" t="str">
        <x:v>Paid</x:v>
      </x:c>
      <x:c r="V279" t="str">
        <x:v>Delayed</x:v>
      </x:c>
      <x:c r="W279" t="n">
        <x:v>0</x:v>
      </x:c>
      <x:c r="X279" t="str"/>
      <x:c r="Y279" t="str">
        <x:v>Field Visit</x:v>
      </x:c>
    </x:row>
    <x:row r="280">
      <x:c r="A280" t="str">
        <x:v>O000279</x:v>
      </x:c>
      <x:c r="B280" s="20" t="n">
        <x:v>45921</x:v>
      </x:c>
      <x:c r="C280" t="str">
        <x:v>C0030</x:v>
      </x:c>
      <x:c r="D280" t="str">
        <x:v>Hotel Restaurant 30</x:v>
      </x:c>
      <x:c r="E280" t="str">
        <x:v>Restaurant</x:v>
      </x:c>
      <x:c r="F280" t="str">
        <x:v>Bengaluru</x:v>
      </x:c>
      <x:c r="G280" t="str">
        <x:v>Imran</x:v>
      </x:c>
      <x:c r="H280" t="str">
        <x:v>P033</x:v>
      </x:c>
      <x:c r="I280" t="str">
        <x:v>Turmeric Powder 1kg</x:v>
      </x:c>
      <x:c r="J280" t="str">
        <x:v>Spices</x:v>
      </x:c>
      <x:c r="K280" t="str">
        <x:v>Everest</x:v>
      </x:c>
      <x:c r="L280" s="22" t="n">
        <x:v>310</x:v>
      </x:c>
      <x:c r="M280" t="n">
        <x:v>35</x:v>
      </x:c>
      <x:c r="N280" s="24" t="n">
        <x:v>0.05</x:v>
      </x:c>
      <x:c r="O280" s="22" t="n">
        <x:f>L280*M280</x:f>
        <x:v>10850</x:v>
      </x:c>
      <x:c r="P280" s="22" t="n">
        <x:f>O280*(1-N280)</x:f>
        <x:v>10307.5</x:v>
      </x:c>
      <x:c r="Q280" s="22" t="n">
        <x:v>270</x:v>
      </x:c>
      <x:c r="R280" s="22" t="n">
        <x:f>Q280*M280</x:f>
        <x:v>9450</x:v>
      </x:c>
      <x:c r="S280" s="22" t="n">
        <x:f>P280-R280</x:f>
        <x:v>857.5</x:v>
      </x:c>
      <x:c r="T280" t="str">
        <x:v>Cash</x:v>
      </x:c>
      <x:c r="U280" t="str">
        <x:v>Paid</x:v>
      </x:c>
      <x:c r="V280" t="str">
        <x:v>Delivered</x:v>
      </x:c>
      <x:c r="W280" t="n">
        <x:v>0</x:v>
      </x:c>
      <x:c r="X280" t="str"/>
      <x:c r="Y280" t="str">
        <x:v>Referral</x:v>
      </x:c>
    </x:row>
    <x:row r="281">
      <x:c r="A281" t="str">
        <x:v>O000280</x:v>
      </x:c>
      <x:c r="B281" s="20" t="n">
        <x:v>46127</x:v>
      </x:c>
      <x:c r="C281" t="str">
        <x:v>C0247</x:v>
      </x:c>
      <x:c r="D281" t="str">
        <x:v>Fresh Canteen 247</x:v>
      </x:c>
      <x:c r="E281" t="str">
        <x:v>Restaurant</x:v>
      </x:c>
      <x:c r="F281" t="str">
        <x:v>Hubballi</x:v>
      </x:c>
      <x:c r="G281" t="str">
        <x:v>Kavya</x:v>
      </x:c>
      <x:c r="H281" t="str">
        <x:v>P050</x:v>
      </x:c>
      <x:c r="I281" t="str">
        <x:v>Lemon 5kg</x:v>
      </x:c>
      <x:c r="J281" t="str">
        <x:v>Fresh Produce</x:v>
      </x:c>
      <x:c r="K281" t="str">
        <x:v>Local Market</x:v>
      </x:c>
      <x:c r="L281" s="22" t="n">
        <x:v>360</x:v>
      </x:c>
      <x:c r="M281" t="n">
        <x:v>30</x:v>
      </x:c>
      <x:c r="N281" s="24" t="n">
        <x:v>0.08</x:v>
      </x:c>
      <x:c r="O281" s="22" t="n">
        <x:f>L281*M281</x:f>
        <x:v>10800</x:v>
      </x:c>
      <x:c r="P281" s="22" t="n">
        <x:f>O281*(1-N281)</x:f>
        <x:v>9936</x:v>
      </x:c>
      <x:c r="Q281" s="22" t="n">
        <x:v>300</x:v>
      </x:c>
      <x:c r="R281" s="22" t="n">
        <x:f>Q281*M281</x:f>
        <x:v>9000</x:v>
      </x:c>
      <x:c r="S281" s="22" t="n">
        <x:f>P281-R281</x:f>
        <x:v>936</x:v>
      </x:c>
      <x:c r="T281" t="str">
        <x:v>UPI</x:v>
      </x:c>
      <x:c r="U281" t="str">
        <x:v>Paid</x:v>
      </x:c>
      <x:c r="V281" t="str">
        <x:v>Delivered</x:v>
      </x:c>
      <x:c r="W281" t="n">
        <x:v>2</x:v>
      </x:c>
      <x:c r="X281" t="str">
        <x:v>Wrong Item</x:v>
      </x:c>
      <x:c r="Y281" t="str">
        <x:v>Field Visit</x:v>
      </x:c>
    </x:row>
    <x:row r="282">
      <x:c r="A282" t="str">
        <x:v>O000281</x:v>
      </x:c>
      <x:c r="B282" s="20" t="n">
        <x:v>46206</x:v>
      </x:c>
      <x:c r="C282" t="str">
        <x:v>C0091</x:v>
      </x:c>
      <x:c r="D282" t="str">
        <x:v>Classic Mart 91</x:v>
      </x:c>
      <x:c r="E282" t="str">
        <x:v>Cafe</x:v>
      </x:c>
      <x:c r="F282" t="str">
        <x:v>Mangaluru</x:v>
      </x:c>
      <x:c r="G282" t="str">
        <x:v>Kavya</x:v>
      </x:c>
      <x:c r="H282" t="str">
        <x:v>P034</x:v>
      </x:c>
      <x:c r="I282" t="str">
        <x:v>Chilli Powder 1kg</x:v>
      </x:c>
      <x:c r="J282" t="str">
        <x:v>Spices</x:v>
      </x:c>
      <x:c r="K282" t="str">
        <x:v>MDH</x:v>
      </x:c>
      <x:c r="L282" s="22" t="n">
        <x:v>340</x:v>
      </x:c>
      <x:c r="M282" t="n">
        <x:v>1</x:v>
      </x:c>
      <x:c r="N282" s="24" t="n">
        <x:v>0.05</x:v>
      </x:c>
      <x:c r="O282" s="22" t="n">
        <x:f>L282*M282</x:f>
        <x:v>340</x:v>
      </x:c>
      <x:c r="P282" s="22" t="n">
        <x:f>O282*(1-N282)</x:f>
        <x:v>323</x:v>
      </x:c>
      <x:c r="Q282" s="22" t="n">
        <x:v>295</x:v>
      </x:c>
      <x:c r="R282" s="22" t="n">
        <x:f>Q282*M282</x:f>
        <x:v>295</x:v>
      </x:c>
      <x:c r="S282" s="22" t="n">
        <x:f>P282-R282</x:f>
        <x:v>28</x:v>
      </x:c>
      <x:c r="T282" t="str">
        <x:v>Cash</x:v>
      </x:c>
      <x:c r="U282" t="str">
        <x:v>Paid</x:v>
      </x:c>
      <x:c r="V282" t="str">
        <x:v>Delivered</x:v>
      </x:c>
      <x:c r="W282" t="n">
        <x:v>0</x:v>
      </x:c>
      <x:c r="X282" t="str"/>
      <x:c r="Y282" t="str">
        <x:v>Field Visit</x:v>
      </x:c>
    </x:row>
    <x:row r="283">
      <x:c r="A283" t="str">
        <x:v>O000282</x:v>
      </x:c>
      <x:c r="B283" s="20" t="n">
        <x:v>46145</x:v>
      </x:c>
      <x:c r="C283" t="str">
        <x:v>C0239</x:v>
      </x:c>
      <x:c r="D283" t="str">
        <x:v>Royal Hotel 239</x:v>
      </x:c>
      <x:c r="E283" t="str">
        <x:v>Restaurant</x:v>
      </x:c>
      <x:c r="F283" t="str">
        <x:v>Hubballi</x:v>
      </x:c>
      <x:c r="G283" t="str">
        <x:v>Priya</x:v>
      </x:c>
      <x:c r="H283" t="str">
        <x:v>P012</x:v>
      </x:c>
      <x:c r="I283" t="str">
        <x:v>Maida 10kg</x:v>
      </x:c>
      <x:c r="J283" t="str">
        <x:v>Flour</x:v>
      </x:c>
      <x:c r="K283" t="str">
        <x:v>Aashirvaad</x:v>
      </x:c>
      <x:c r="L283" s="22" t="n">
        <x:v>520</x:v>
      </x:c>
      <x:c r="M283" t="n">
        <x:v>21</x:v>
      </x:c>
      <x:c r="N283" s="24" t="n">
        <x:v>0.02</x:v>
      </x:c>
      <x:c r="O283" s="22" t="n">
        <x:f>L283*M283</x:f>
        <x:v>10920</x:v>
      </x:c>
      <x:c r="P283" s="22" t="n">
        <x:f>O283*(1-N283)</x:f>
        <x:v>10701.6</x:v>
      </x:c>
      <x:c r="Q283" s="22" t="n">
        <x:v>460</x:v>
      </x:c>
      <x:c r="R283" s="22" t="n">
        <x:f>Q283*M283</x:f>
        <x:v>9660</x:v>
      </x:c>
      <x:c r="S283" s="22" t="n">
        <x:f>P283-R283</x:f>
        <x:v>1041.6000000000004</x:v>
      </x:c>
      <x:c r="T283" t="str">
        <x:v>Cash</x:v>
      </x:c>
      <x:c r="U283" t="str">
        <x:v>Paid</x:v>
      </x:c>
      <x:c r="V283" t="str">
        <x:v>Cancelled</x:v>
      </x:c>
      <x:c r="W283" t="n">
        <x:v>21</x:v>
      </x:c>
      <x:c r="X283" t="str">
        <x:v>Cancelled Order</x:v>
      </x:c>
      <x:c r="Y283" t="str">
        <x:v>Referral</x:v>
      </x:c>
    </x:row>
    <x:row r="284">
      <x:c r="A284" t="str">
        <x:v>O000283</x:v>
      </x:c>
      <x:c r="B284" s="20" t="n">
        <x:v>45905</x:v>
      </x:c>
      <x:c r="C284" t="str">
        <x:v>C0052</x:v>
      </x:c>
      <x:c r="D284" t="str">
        <x:v>Sagar Canteen 52</x:v>
      </x:c>
      <x:c r="E284" t="str">
        <x:v>Kirana</x:v>
      </x:c>
      <x:c r="F284" t="str">
        <x:v>Mysuru</x:v>
      </x:c>
      <x:c r="G284" t="str">
        <x:v>Kavya</x:v>
      </x:c>
      <x:c r="H284" t="str">
        <x:v>P016</x:v>
      </x:c>
      <x:c r="I284" t="str">
        <x:v>Curd 1kg</x:v>
      </x:c>
      <x:c r="J284" t="str">
        <x:v>Dairy</x:v>
      </x:c>
      <x:c r="K284" t="str">
        <x:v>Nandini</x:v>
      </x:c>
      <x:c r="L284" s="22" t="n">
        <x:v>72</x:v>
      </x:c>
      <x:c r="M284" t="n">
        <x:v>17</x:v>
      </x:c>
      <x:c r="N284" s="24" t="n">
        <x:v>0</x:v>
      </x:c>
      <x:c r="O284" s="22" t="n">
        <x:f>L284*M284</x:f>
        <x:v>1224</x:v>
      </x:c>
      <x:c r="P284" s="22" t="n">
        <x:f>O284*(1-N284)</x:f>
        <x:v>1224</x:v>
      </x:c>
      <x:c r="Q284" s="22" t="n">
        <x:v>64</x:v>
      </x:c>
      <x:c r="R284" s="22" t="n">
        <x:f>Q284*M284</x:f>
        <x:v>1088</x:v>
      </x:c>
      <x:c r="S284" s="22" t="n">
        <x:f>P284-R284</x:f>
        <x:v>136</x:v>
      </x:c>
      <x:c r="T284" t="str">
        <x:v>Bank Transfer</x:v>
      </x:c>
      <x:c r="U284" t="str">
        <x:v>Pending</x:v>
      </x:c>
      <x:c r="V284" t="str">
        <x:v>Delayed</x:v>
      </x:c>
      <x:c r="W284" t="n">
        <x:v>0</x:v>
      </x:c>
      <x:c r="X284" t="str"/>
      <x:c r="Y284" t="str">
        <x:v>Field Visit</x:v>
      </x:c>
    </x:row>
    <x:row r="285">
      <x:c r="A285" t="str">
        <x:v>O000284</x:v>
      </x:c>
      <x:c r="B285" s="20" t="n">
        <x:v>45738</x:v>
      </x:c>
      <x:c r="C285" t="str">
        <x:v>C0028</x:v>
      </x:c>
      <x:c r="D285" t="str">
        <x:v>Spice Cafe 28</x:v>
      </x:c>
      <x:c r="E285" t="str">
        <x:v>Supermarket</x:v>
      </x:c>
      <x:c r="F285" t="str">
        <x:v>Mysuru</x:v>
      </x:c>
      <x:c r="G285" t="str">
        <x:v>Vikram</x:v>
      </x:c>
      <x:c r="H285" t="str">
        <x:v>P008</x:v>
      </x:c>
      <x:c r="I285" t="str">
        <x:v>Palm Oil 15L</x:v>
      </x:c>
      <x:c r="J285" t="str">
        <x:v>Edible Oil</x:v>
      </x:c>
      <x:c r="K285" t="str">
        <x:v>Ruchi Gold</x:v>
      </x:c>
      <x:c r="L285" s="22" t="n">
        <x:v>1760</x:v>
      </x:c>
      <x:c r="M285" t="n">
        <x:v>10</x:v>
      </x:c>
      <x:c r="N285" s="24" t="n">
        <x:v>0</x:v>
      </x:c>
      <x:c r="O285" s="22" t="n">
        <x:f>L285*M285</x:f>
        <x:v>17600</x:v>
      </x:c>
      <x:c r="P285" s="22" t="n">
        <x:f>O285*(1-N285)</x:f>
        <x:v>17600</x:v>
      </x:c>
      <x:c r="Q285" s="22" t="n">
        <x:v>1610</x:v>
      </x:c>
      <x:c r="R285" s="22" t="n">
        <x:f>Q285*M285</x:f>
        <x:v>16100</x:v>
      </x:c>
      <x:c r="S285" s="22" t="n">
        <x:f>P285-R285</x:f>
        <x:v>1500</x:v>
      </x:c>
      <x:c r="T285" t="str">
        <x:v>UPI</x:v>
      </x:c>
      <x:c r="U285" t="str">
        <x:v>Pending</x:v>
      </x:c>
      <x:c r="V285" t="str">
        <x:v>Delivered</x:v>
      </x:c>
      <x:c r="W285" t="n">
        <x:v>0</x:v>
      </x:c>
      <x:c r="X285" t="str"/>
      <x:c r="Y285" t="str">
        <x:v>WhatsApp</x:v>
      </x:c>
    </x:row>
    <x:row r="286">
      <x:c r="A286" t="str">
        <x:v>O000285</x:v>
      </x:c>
      <x:c r="B286" s="20" t="n">
        <x:v>45939</x:v>
      </x:c>
      <x:c r="C286" t="str">
        <x:v>C0226</x:v>
      </x:c>
      <x:c r="D286" t="str">
        <x:v>Green Stores 226</x:v>
      </x:c>
      <x:c r="E286" t="str">
        <x:v>Restaurant</x:v>
      </x:c>
      <x:c r="F286" t="str">
        <x:v>Hubballi</x:v>
      </x:c>
      <x:c r="G286" t="str">
        <x:v>Priya</x:v>
      </x:c>
      <x:c r="H286" t="str">
        <x:v>P037</x:v>
      </x:c>
      <x:c r="I286" t="str">
        <x:v>Frozen Peas 1kg</x:v>
      </x:c>
      <x:c r="J286" t="str">
        <x:v>Frozen</x:v>
      </x:c>
      <x:c r="K286" t="str">
        <x:v>Safal</x:v>
      </x:c>
      <x:c r="L286" s="22" t="n">
        <x:v>155</x:v>
      </x:c>
      <x:c r="M286" t="n">
        <x:v>32</x:v>
      </x:c>
      <x:c r="N286" s="24" t="n">
        <x:v>0</x:v>
      </x:c>
      <x:c r="O286" s="22" t="n">
        <x:f>L286*M286</x:f>
        <x:v>4960</x:v>
      </x:c>
      <x:c r="P286" s="22" t="n">
        <x:f>O286*(1-N286)</x:f>
        <x:v>4960</x:v>
      </x:c>
      <x:c r="Q286" s="22" t="n">
        <x:v>138</x:v>
      </x:c>
      <x:c r="R286" s="22" t="n">
        <x:f>Q286*M286</x:f>
        <x:v>4416</x:v>
      </x:c>
      <x:c r="S286" s="22" t="n">
        <x:f>P286-R286</x:f>
        <x:v>544</x:v>
      </x:c>
      <x:c r="T286" t="str">
        <x:v>Cash</x:v>
      </x:c>
      <x:c r="U286" t="str">
        <x:v>Paid</x:v>
      </x:c>
      <x:c r="V286" t="str">
        <x:v>Delayed</x:v>
      </x:c>
      <x:c r="W286" t="n">
        <x:v>0</x:v>
      </x:c>
      <x:c r="X286" t="str"/>
      <x:c r="Y286" t="str">
        <x:v>Referral</x:v>
      </x:c>
    </x:row>
    <x:row r="287">
      <x:c r="A287" t="str">
        <x:v>O000286</x:v>
      </x:c>
      <x:c r="B287" s="20" t="n">
        <x:v>46147</x:v>
      </x:c>
      <x:c r="C287" t="str">
        <x:v>C0205</x:v>
      </x:c>
      <x:c r="D287" t="str">
        <x:v>Royal Mart 205</x:v>
      </x:c>
      <x:c r="E287" t="str">
        <x:v>Kirana</x:v>
      </x:c>
      <x:c r="F287" t="str">
        <x:v>Mysuru</x:v>
      </x:c>
      <x:c r="G287" t="str">
        <x:v>Priya</x:v>
      </x:c>
      <x:c r="H287" t="str">
        <x:v>P028</x:v>
      </x:c>
      <x:c r="I287" t="str">
        <x:v>Cookies 200g</x:v>
      </x:c>
      <x:c r="J287" t="str">
        <x:v>Snacks</x:v>
      </x:c>
      <x:c r="K287" t="str">
        <x:v>Britannia</x:v>
      </x:c>
      <x:c r="L287" s="22" t="n">
        <x:v>55</x:v>
      </x:c>
      <x:c r="M287" t="n">
        <x:v>35</x:v>
      </x:c>
      <x:c r="N287" s="24" t="n">
        <x:v>0</x:v>
      </x:c>
      <x:c r="O287" s="22" t="n">
        <x:f>L287*M287</x:f>
        <x:v>1925</x:v>
      </x:c>
      <x:c r="P287" s="22" t="n">
        <x:f>O287*(1-N287)</x:f>
        <x:v>1925</x:v>
      </x:c>
      <x:c r="Q287" s="22" t="n">
        <x:v>42</x:v>
      </x:c>
      <x:c r="R287" s="22" t="n">
        <x:f>Q287*M287</x:f>
        <x:v>1470</x:v>
      </x:c>
      <x:c r="S287" s="22" t="n">
        <x:f>P287-R287</x:f>
        <x:v>455</x:v>
      </x:c>
      <x:c r="T287" t="str">
        <x:v>Cash</x:v>
      </x:c>
      <x:c r="U287" t="str">
        <x:v>Paid</x:v>
      </x:c>
      <x:c r="V287" t="str">
        <x:v>Cancelled</x:v>
      </x:c>
      <x:c r="W287" t="n">
        <x:v>35</x:v>
      </x:c>
      <x:c r="X287" t="str">
        <x:v>Cancelled Order</x:v>
      </x:c>
      <x:c r="Y287" t="str">
        <x:v>Referral</x:v>
      </x:c>
    </x:row>
    <x:row r="288">
      <x:c r="A288" t="str">
        <x:v>O000287</x:v>
      </x:c>
      <x:c r="B288" s="20" t="n">
        <x:v>46188</x:v>
      </x:c>
      <x:c r="C288" t="str">
        <x:v>C0031</x:v>
      </x:c>
      <x:c r="D288" t="str">
        <x:v>Royal Restaurant 31</x:v>
      </x:c>
      <x:c r="E288" t="str">
        <x:v>Restaurant</x:v>
      </x:c>
      <x:c r="F288" t="str">
        <x:v>Mangaluru</x:v>
      </x:c>
      <x:c r="G288" t="str">
        <x:v>Arjun</x:v>
      </x:c>
      <x:c r="H288" t="str">
        <x:v>P045</x:v>
      </x:c>
      <x:c r="I288" t="str">
        <x:v>Onion 25kg</x:v>
      </x:c>
      <x:c r="J288" t="str">
        <x:v>Fresh Produce</x:v>
      </x:c>
      <x:c r="K288" t="str">
        <x:v>Local Market</x:v>
      </x:c>
      <x:c r="L288" s="22" t="n">
        <x:v>875</x:v>
      </x:c>
      <x:c r="M288" t="n">
        <x:v>30</x:v>
      </x:c>
      <x:c r="N288" s="24" t="n">
        <x:v>0.02</x:v>
      </x:c>
      <x:c r="O288" s="22" t="n">
        <x:f>L288*M288</x:f>
        <x:v>26250</x:v>
      </x:c>
      <x:c r="P288" s="22" t="n">
        <x:f>O288*(1-N288)</x:f>
        <x:v>25725</x:v>
      </x:c>
      <x:c r="Q288" s="22" t="n">
        <x:v>760</x:v>
      </x:c>
      <x:c r="R288" s="22" t="n">
        <x:f>Q288*M288</x:f>
        <x:v>22800</x:v>
      </x:c>
      <x:c r="S288" s="22" t="n">
        <x:f>P288-R288</x:f>
        <x:v>2925</x:v>
      </x:c>
      <x:c r="T288" t="str">
        <x:v>UPI</x:v>
      </x:c>
      <x:c r="U288" t="str">
        <x:v>Paid</x:v>
      </x:c>
      <x:c r="V288" t="str">
        <x:v>Delivered</x:v>
      </x:c>
      <x:c r="W288" t="n">
        <x:v>0</x:v>
      </x:c>
      <x:c r="X288" t="str"/>
      <x:c r="Y288" t="str">
        <x:v>Outbound Call</x:v>
      </x:c>
    </x:row>
    <x:row r="289">
      <x:c r="A289" t="str">
        <x:v>O000288</x:v>
      </x:c>
      <x:c r="B289" s="20" t="n">
        <x:v>45849</x:v>
      </x:c>
      <x:c r="C289" t="str">
        <x:v>C0157</x:v>
      </x:c>
      <x:c r="D289" t="str">
        <x:v>Fresh Canteen 157</x:v>
      </x:c>
      <x:c r="E289" t="str">
        <x:v>Kirana</x:v>
      </x:c>
      <x:c r="F289" t="str">
        <x:v>Mangaluru</x:v>
      </x:c>
      <x:c r="G289" t="str">
        <x:v>Priya</x:v>
      </x:c>
      <x:c r="H289" t="str">
        <x:v>P017</x:v>
      </x:c>
      <x:c r="I289" t="str">
        <x:v>Butter 500g</x:v>
      </x:c>
      <x:c r="J289" t="str">
        <x:v>Dairy</x:v>
      </x:c>
      <x:c r="K289" t="str">
        <x:v>Amul</x:v>
      </x:c>
      <x:c r="L289" s="22" t="n">
        <x:v>285</x:v>
      </x:c>
      <x:c r="M289" t="n">
        <x:v>36</x:v>
      </x:c>
      <x:c r="N289" s="24" t="n">
        <x:v>0.02</x:v>
      </x:c>
      <x:c r="O289" s="22" t="n">
        <x:f>L289*M289</x:f>
        <x:v>10260</x:v>
      </x:c>
      <x:c r="P289" s="22" t="n">
        <x:f>O289*(1-N289)</x:f>
        <x:v>10054.8</x:v>
      </x:c>
      <x:c r="Q289" s="22" t="n">
        <x:v>258</x:v>
      </x:c>
      <x:c r="R289" s="22" t="n">
        <x:f>Q289*M289</x:f>
        <x:v>9288</x:v>
      </x:c>
      <x:c r="S289" s="22" t="n">
        <x:f>P289-R289</x:f>
        <x:v>766.7999999999993</x:v>
      </x:c>
      <x:c r="T289" t="str">
        <x:v>Cash</x:v>
      </x:c>
      <x:c r="U289" t="str">
        <x:v>Paid</x:v>
      </x:c>
      <x:c r="V289" t="str">
        <x:v>Delayed</x:v>
      </x:c>
      <x:c r="W289" t="n">
        <x:v>0</x:v>
      </x:c>
      <x:c r="X289" t="str"/>
      <x:c r="Y289" t="str">
        <x:v>Field Visit</x:v>
      </x:c>
    </x:row>
    <x:row r="290">
      <x:c r="A290" t="str">
        <x:v>O000289</x:v>
      </x:c>
      <x:c r="B290" s="20" t="n">
        <x:v>45873</x:v>
      </x:c>
      <x:c r="C290" t="str">
        <x:v>C0128</x:v>
      </x:c>
      <x:c r="D290" t="str">
        <x:v>Fresh Hotel 128</x:v>
      </x:c>
      <x:c r="E290" t="str">
        <x:v>Kirana</x:v>
      </x:c>
      <x:c r="F290" t="str">
        <x:v>Tumakuru</x:v>
      </x:c>
      <x:c r="G290" t="str">
        <x:v>Priya</x:v>
      </x:c>
      <x:c r="H290" t="str">
        <x:v>P028</x:v>
      </x:c>
      <x:c r="I290" t="str">
        <x:v>Cookies 200g</x:v>
      </x:c>
      <x:c r="J290" t="str">
        <x:v>Snacks</x:v>
      </x:c>
      <x:c r="K290" t="str">
        <x:v>Britannia</x:v>
      </x:c>
      <x:c r="L290" s="22" t="n">
        <x:v>55</x:v>
      </x:c>
      <x:c r="M290" t="n">
        <x:v>27</x:v>
      </x:c>
      <x:c r="N290" s="24" t="n">
        <x:v>0.05</x:v>
      </x:c>
      <x:c r="O290" s="22" t="n">
        <x:f>L290*M290</x:f>
        <x:v>1485</x:v>
      </x:c>
      <x:c r="P290" s="22" t="n">
        <x:f>O290*(1-N290)</x:f>
        <x:v>1410.75</x:v>
      </x:c>
      <x:c r="Q290" s="22" t="n">
        <x:v>42</x:v>
      </x:c>
      <x:c r="R290" s="22" t="n">
        <x:f>Q290*M290</x:f>
        <x:v>1134</x:v>
      </x:c>
      <x:c r="S290" s="22" t="n">
        <x:f>P290-R290</x:f>
        <x:v>276.75</x:v>
      </x:c>
      <x:c r="T290" t="str">
        <x:v>Cash</x:v>
      </x:c>
      <x:c r="U290" t="str">
        <x:v>Paid</x:v>
      </x:c>
      <x:c r="V290" t="str">
        <x:v>Delivered</x:v>
      </x:c>
      <x:c r="W290" t="n">
        <x:v>0</x:v>
      </x:c>
      <x:c r="X290" t="str"/>
      <x:c r="Y290" t="str">
        <x:v>Referral</x:v>
      </x:c>
    </x:row>
    <x:row r="291">
      <x:c r="A291" t="str">
        <x:v>O000290</x:v>
      </x:c>
      <x:c r="B291" s="20" t="n">
        <x:v>45892</x:v>
      </x:c>
      <x:c r="C291" t="str">
        <x:v>C0148</x:v>
      </x:c>
      <x:c r="D291" t="str">
        <x:v>Shree Cafe 148</x:v>
      </x:c>
      <x:c r="E291" t="str">
        <x:v>Kirana</x:v>
      </x:c>
      <x:c r="F291" t="str">
        <x:v>Hubballi</x:v>
      </x:c>
      <x:c r="G291" t="str">
        <x:v>Priya</x:v>
      </x:c>
      <x:c r="H291" t="str">
        <x:v>P044</x:v>
      </x:c>
      <x:c r="I291" t="str">
        <x:v>Chicken Curry Cut 1kg</x:v>
      </x:c>
      <x:c r="J291" t="str">
        <x:v>Protein</x:v>
      </x:c>
      <x:c r="K291" t="str">
        <x:v>FreshToHome</x:v>
      </x:c>
      <x:c r="L291" s="22" t="n">
        <x:v>230</x:v>
      </x:c>
      <x:c r="M291" t="n">
        <x:v>7</x:v>
      </x:c>
      <x:c r="N291" s="24" t="n">
        <x:v>0.05</x:v>
      </x:c>
      <x:c r="O291" s="22" t="n">
        <x:f>L291*M291</x:f>
        <x:v>1610</x:v>
      </x:c>
      <x:c r="P291" s="22" t="n">
        <x:f>O291*(1-N291)</x:f>
        <x:v>1529.5</x:v>
      </x:c>
      <x:c r="Q291" s="22" t="n">
        <x:v>205</x:v>
      </x:c>
      <x:c r="R291" s="22" t="n">
        <x:f>Q291*M291</x:f>
        <x:v>1435</x:v>
      </x:c>
      <x:c r="S291" s="22" t="n">
        <x:f>P291-R291</x:f>
        <x:v>94.5</x:v>
      </x:c>
      <x:c r="T291" t="str">
        <x:v>Bank Transfer</x:v>
      </x:c>
      <x:c r="U291" t="str">
        <x:v>Paid</x:v>
      </x:c>
      <x:c r="V291" t="str">
        <x:v>Delivered</x:v>
      </x:c>
      <x:c r="W291" t="n">
        <x:v>0</x:v>
      </x:c>
      <x:c r="X291" t="str"/>
      <x:c r="Y291" t="str">
        <x:v>Referral</x:v>
      </x:c>
    </x:row>
    <x:row r="292">
      <x:c r="A292" t="str">
        <x:v>O000291</x:v>
      </x:c>
      <x:c r="B292" s="20" t="n">
        <x:v>46089</x:v>
      </x:c>
      <x:c r="C292" t="str">
        <x:v>C0003</x:v>
      </x:c>
      <x:c r="D292" t="str">
        <x:v>Grand Foods 3</x:v>
      </x:c>
      <x:c r="E292" t="str">
        <x:v>Restaurant</x:v>
      </x:c>
      <x:c r="F292" t="str">
        <x:v>Bengaluru</x:v>
      </x:c>
      <x:c r="G292" t="str">
        <x:v>Vikram</x:v>
      </x:c>
      <x:c r="H292" t="str">
        <x:v>P012</x:v>
      </x:c>
      <x:c r="I292" t="str">
        <x:v>Maida 10kg</x:v>
      </x:c>
      <x:c r="J292" t="str">
        <x:v>Flour</x:v>
      </x:c>
      <x:c r="K292" t="str">
        <x:v>Aashirvaad</x:v>
      </x:c>
      <x:c r="L292" s="22" t="n">
        <x:v>520</x:v>
      </x:c>
      <x:c r="M292" t="n">
        <x:v>32</x:v>
      </x:c>
      <x:c r="N292" s="24" t="n">
        <x:v>0</x:v>
      </x:c>
      <x:c r="O292" s="22" t="n">
        <x:f>L292*M292</x:f>
        <x:v>16640</x:v>
      </x:c>
      <x:c r="P292" s="22" t="n">
        <x:f>O292*(1-N292)</x:f>
        <x:v>16640</x:v>
      </x:c>
      <x:c r="Q292" s="22" t="n">
        <x:v>460</x:v>
      </x:c>
      <x:c r="R292" s="22" t="n">
        <x:f>Q292*M292</x:f>
        <x:v>14720</x:v>
      </x:c>
      <x:c r="S292" s="22" t="n">
        <x:f>P292-R292</x:f>
        <x:v>1920</x:v>
      </x:c>
      <x:c r="T292" t="str">
        <x:v>Cash</x:v>
      </x:c>
      <x:c r="U292" t="str">
        <x:v>Pending</x:v>
      </x:c>
      <x:c r="V292" t="str">
        <x:v>Delivered</x:v>
      </x:c>
      <x:c r="W292" t="n">
        <x:v>0</x:v>
      </x:c>
      <x:c r="X292" t="str"/>
      <x:c r="Y292" t="str">
        <x:v>Existing Customer</x:v>
      </x:c>
    </x:row>
    <x:row r="293">
      <x:c r="A293" t="str">
        <x:v>O000292</x:v>
      </x:c>
      <x:c r="B293" s="20" t="n">
        <x:v>45825</x:v>
      </x:c>
      <x:c r="C293" t="str">
        <x:v>C0026</x:v>
      </x:c>
      <x:c r="D293" t="str">
        <x:v>Cafe Kitchen 26</x:v>
      </x:c>
      <x:c r="E293" t="str">
        <x:v>Kirana</x:v>
      </x:c>
      <x:c r="F293" t="str">
        <x:v>Davanagere</x:v>
      </x:c>
      <x:c r="G293" t="str">
        <x:v>Kavya</x:v>
      </x:c>
      <x:c r="H293" t="str">
        <x:v>P045</x:v>
      </x:c>
      <x:c r="I293" t="str">
        <x:v>Onion 25kg</x:v>
      </x:c>
      <x:c r="J293" t="str">
        <x:v>Fresh Produce</x:v>
      </x:c>
      <x:c r="K293" t="str">
        <x:v>Local Market</x:v>
      </x:c>
      <x:c r="L293" s="22" t="n">
        <x:v>875</x:v>
      </x:c>
      <x:c r="M293" t="n">
        <x:v>4</x:v>
      </x:c>
      <x:c r="N293" s="24" t="n">
        <x:v>0</x:v>
      </x:c>
      <x:c r="O293" s="22" t="n">
        <x:f>L293*M293</x:f>
        <x:v>3500</x:v>
      </x:c>
      <x:c r="P293" s="22" t="n">
        <x:f>O293*(1-N293)</x:f>
        <x:v>3500</x:v>
      </x:c>
      <x:c r="Q293" s="22" t="n">
        <x:v>760</x:v>
      </x:c>
      <x:c r="R293" s="22" t="n">
        <x:f>Q293*M293</x:f>
        <x:v>3040</x:v>
      </x:c>
      <x:c r="S293" s="22" t="n">
        <x:f>P293-R293</x:f>
        <x:v>460</x:v>
      </x:c>
      <x:c r="T293" t="str">
        <x:v>Cash</x:v>
      </x:c>
      <x:c r="U293" t="str">
        <x:v>Paid</x:v>
      </x:c>
      <x:c r="V293" t="str">
        <x:v>Cancelled</x:v>
      </x:c>
      <x:c r="W293" t="n">
        <x:v>4</x:v>
      </x:c>
      <x:c r="X293" t="str">
        <x:v>Cancelled Order</x:v>
      </x:c>
      <x:c r="Y293" t="str">
        <x:v>Outbound Call</x:v>
      </x:c>
    </x:row>
    <x:row r="294">
      <x:c r="A294" t="str">
        <x:v>O000293</x:v>
      </x:c>
      <x:c r="B294" s="20" t="n">
        <x:v>46027</x:v>
      </x:c>
      <x:c r="C294" t="str">
        <x:v>C0086</x:v>
      </x:c>
      <x:c r="D294" t="str">
        <x:v>Foodie Canteen 86</x:v>
      </x:c>
      <x:c r="E294" t="str">
        <x:v>Kirana</x:v>
      </x:c>
      <x:c r="F294" t="str">
        <x:v>Hubballi</x:v>
      </x:c>
      <x:c r="G294" t="str">
        <x:v>Sneha</x:v>
      </x:c>
      <x:c r="H294" t="str">
        <x:v>P017</x:v>
      </x:c>
      <x:c r="I294" t="str">
        <x:v>Butter 500g</x:v>
      </x:c>
      <x:c r="J294" t="str">
        <x:v>Dairy</x:v>
      </x:c>
      <x:c r="K294" t="str">
        <x:v>Amul</x:v>
      </x:c>
      <x:c r="L294" s="22" t="n">
        <x:v>285</x:v>
      </x:c>
      <x:c r="M294" t="n">
        <x:v>24</x:v>
      </x:c>
      <x:c r="N294" s="24" t="n">
        <x:v>0.03</x:v>
      </x:c>
      <x:c r="O294" s="22" t="n">
        <x:f>L294*M294</x:f>
        <x:v>6840</x:v>
      </x:c>
      <x:c r="P294" s="22" t="n">
        <x:f>O294*(1-N294)</x:f>
        <x:v>6634.8</x:v>
      </x:c>
      <x:c r="Q294" s="22" t="n">
        <x:v>258</x:v>
      </x:c>
      <x:c r="R294" s="22" t="n">
        <x:f>Q294*M294</x:f>
        <x:v>6192</x:v>
      </x:c>
      <x:c r="S294" s="22" t="n">
        <x:f>P294-R294</x:f>
        <x:v>442.8000000000002</x:v>
      </x:c>
      <x:c r="T294" t="str">
        <x:v>Cash</x:v>
      </x:c>
      <x:c r="U294" t="str">
        <x:v>Paid</x:v>
      </x:c>
      <x:c r="V294" t="str">
        <x:v>Delivered</x:v>
      </x:c>
      <x:c r="W294" t="n">
        <x:v>0</x:v>
      </x:c>
      <x:c r="X294" t="str"/>
      <x:c r="Y294" t="str">
        <x:v>Existing Customer</x:v>
      </x:c>
    </x:row>
    <x:row r="295">
      <x:c r="A295" t="str">
        <x:v>O000294</x:v>
      </x:c>
      <x:c r="B295" s="20" t="n">
        <x:v>46209</x:v>
      </x:c>
      <x:c r="C295" t="str">
        <x:v>C0148</x:v>
      </x:c>
      <x:c r="D295" t="str">
        <x:v>Shree Cafe 148</x:v>
      </x:c>
      <x:c r="E295" t="str">
        <x:v>Kirana</x:v>
      </x:c>
      <x:c r="F295" t="str">
        <x:v>Hubballi</x:v>
      </x:c>
      <x:c r="G295" t="str">
        <x:v>Priya</x:v>
      </x:c>
      <x:c r="H295" t="str">
        <x:v>P042</x:v>
      </x:c>
      <x:c r="I295" t="str">
        <x:v>Eggs 30pc Tray</x:v>
      </x:c>
      <x:c r="J295" t="str">
        <x:v>Protein</x:v>
      </x:c>
      <x:c r="K295" t="str">
        <x:v>Farm Fresh</x:v>
      </x:c>
      <x:c r="L295" s="22" t="n">
        <x:v>195</x:v>
      </x:c>
      <x:c r="M295" t="n">
        <x:v>12</x:v>
      </x:c>
      <x:c r="N295" s="24" t="n">
        <x:v>0.1</x:v>
      </x:c>
      <x:c r="O295" s="22" t="n">
        <x:f>L295*M295</x:f>
        <x:v>2340</x:v>
      </x:c>
      <x:c r="P295" s="22" t="n">
        <x:f>O295*(1-N295)</x:f>
        <x:v>2106</x:v>
      </x:c>
      <x:c r="Q295" s="22" t="n">
        <x:v>170</x:v>
      </x:c>
      <x:c r="R295" s="22" t="n">
        <x:f>Q295*M295</x:f>
        <x:v>2040</x:v>
      </x:c>
      <x:c r="S295" s="22" t="n">
        <x:f>P295-R295</x:f>
        <x:v>66</x:v>
      </x:c>
      <x:c r="T295" t="str">
        <x:v>Cash</x:v>
      </x:c>
      <x:c r="U295" t="str">
        <x:v>Paid</x:v>
      </x:c>
      <x:c r="V295" t="str">
        <x:v>Cancelled</x:v>
      </x:c>
      <x:c r="W295" t="n">
        <x:v>12</x:v>
      </x:c>
      <x:c r="X295" t="str">
        <x:v>Cancelled Order</x:v>
      </x:c>
      <x:c r="Y295" t="str">
        <x:v>Existing Customer</x:v>
      </x:c>
    </x:row>
    <x:row r="296">
      <x:c r="A296" t="str">
        <x:v>O000295</x:v>
      </x:c>
      <x:c r="B296" s="20" t="n">
        <x:v>45738</x:v>
      </x:c>
      <x:c r="C296" t="str">
        <x:v>C0189</x:v>
      </x:c>
      <x:c r="D296" t="str">
        <x:v>Classic Canteen 189</x:v>
      </x:c>
      <x:c r="E296" t="str">
        <x:v>Kirana</x:v>
      </x:c>
      <x:c r="F296" t="str">
        <x:v>Hubballi</x:v>
      </x:c>
      <x:c r="G296" t="str">
        <x:v>Vikram</x:v>
      </x:c>
      <x:c r="H296" t="str">
        <x:v>P029</x:v>
      </x:c>
      <x:c r="I296" t="str">
        <x:v>Tomato Ketchup 1kg</x:v>
      </x:c>
      <x:c r="J296" t="str">
        <x:v>Condiments</x:v>
      </x:c>
      <x:c r="K296" t="str">
        <x:v>Kissan</x:v>
      </x:c>
      <x:c r="L296" s="22" t="n">
        <x:v>145</x:v>
      </x:c>
      <x:c r="M296" t="n">
        <x:v>25</x:v>
      </x:c>
      <x:c r="N296" s="24" t="n">
        <x:v>0.05</x:v>
      </x:c>
      <x:c r="O296" s="22" t="n">
        <x:f>L296*M296</x:f>
        <x:v>3625</x:v>
      </x:c>
      <x:c r="P296" s="22" t="n">
        <x:f>O296*(1-N296)</x:f>
        <x:v>3443.75</x:v>
      </x:c>
      <x:c r="Q296" s="22" t="n">
        <x:v>126</x:v>
      </x:c>
      <x:c r="R296" s="22" t="n">
        <x:f>Q296*M296</x:f>
        <x:v>3150</x:v>
      </x:c>
      <x:c r="S296" s="22" t="n">
        <x:f>P296-R296</x:f>
        <x:v>293.75</x:v>
      </x:c>
      <x:c r="T296" t="str">
        <x:v>Credit</x:v>
      </x:c>
      <x:c r="U296" t="str">
        <x:v>Paid</x:v>
      </x:c>
      <x:c r="V296" t="str">
        <x:v>Delivered</x:v>
      </x:c>
      <x:c r="W296" t="n">
        <x:v>0</x:v>
      </x:c>
      <x:c r="X296" t="str"/>
      <x:c r="Y296" t="str">
        <x:v>Field Visit</x:v>
      </x:c>
    </x:row>
    <x:row r="297">
      <x:c r="A297" t="str">
        <x:v>O000296</x:v>
      </x:c>
      <x:c r="B297" s="20" t="n">
        <x:v>46072</x:v>
      </x:c>
      <x:c r="C297" t="str">
        <x:v>C0157</x:v>
      </x:c>
      <x:c r="D297" t="str">
        <x:v>Fresh Canteen 157</x:v>
      </x:c>
      <x:c r="E297" t="str">
        <x:v>Kirana</x:v>
      </x:c>
      <x:c r="F297" t="str">
        <x:v>Mangaluru</x:v>
      </x:c>
      <x:c r="G297" t="str">
        <x:v>Priya</x:v>
      </x:c>
      <x:c r="H297" t="str">
        <x:v>P037</x:v>
      </x:c>
      <x:c r="I297" t="str">
        <x:v>Frozen Peas 1kg</x:v>
      </x:c>
      <x:c r="J297" t="str">
        <x:v>Frozen</x:v>
      </x:c>
      <x:c r="K297" t="str">
        <x:v>Safal</x:v>
      </x:c>
      <x:c r="L297" s="22" t="n">
        <x:v>155</x:v>
      </x:c>
      <x:c r="M297" t="n">
        <x:v>5</x:v>
      </x:c>
      <x:c r="N297" s="24" t="n">
        <x:v>0</x:v>
      </x:c>
      <x:c r="O297" s="22" t="n">
        <x:f>L297*M297</x:f>
        <x:v>775</x:v>
      </x:c>
      <x:c r="P297" s="22" t="n">
        <x:f>O297*(1-N297)</x:f>
        <x:v>775</x:v>
      </x:c>
      <x:c r="Q297" s="22" t="n">
        <x:v>138</x:v>
      </x:c>
      <x:c r="R297" s="22" t="n">
        <x:f>Q297*M297</x:f>
        <x:v>690</x:v>
      </x:c>
      <x:c r="S297" s="22" t="n">
        <x:f>P297-R297</x:f>
        <x:v>85</x:v>
      </x:c>
      <x:c r="T297" t="str">
        <x:v>Cash</x:v>
      </x:c>
      <x:c r="U297" t="str">
        <x:v>Paid</x:v>
      </x:c>
      <x:c r="V297" t="str">
        <x:v>Delivered</x:v>
      </x:c>
      <x:c r="W297" t="n">
        <x:v>0</x:v>
      </x:c>
      <x:c r="X297" t="str"/>
      <x:c r="Y297" t="str">
        <x:v>Field Visit</x:v>
      </x:c>
    </x:row>
    <x:row r="298">
      <x:c r="A298" t="str">
        <x:v>O000297</x:v>
      </x:c>
      <x:c r="B298" s="20" t="n">
        <x:v>46113</x:v>
      </x:c>
      <x:c r="C298" t="str">
        <x:v>C0102</x:v>
      </x:c>
      <x:c r="D298" t="str">
        <x:v>Annapurna Foods 102</x:v>
      </x:c>
      <x:c r="E298" t="str">
        <x:v>Cafe</x:v>
      </x:c>
      <x:c r="F298" t="str">
        <x:v>Davanagere</x:v>
      </x:c>
      <x:c r="G298" t="str">
        <x:v>Ramesh</x:v>
      </x:c>
      <x:c r="H298" t="str">
        <x:v>P018</x:v>
      </x:c>
      <x:c r="I298" t="str">
        <x:v>Paneer 1kg</x:v>
      </x:c>
      <x:c r="J298" t="str">
        <x:v>Dairy</x:v>
      </x:c>
      <x:c r="K298" t="str">
        <x:v>Milky Mist</x:v>
      </x:c>
      <x:c r="L298" s="22" t="n">
        <x:v>410</x:v>
      </x:c>
      <x:c r="M298" t="n">
        <x:v>24</x:v>
      </x:c>
      <x:c r="N298" s="24" t="n">
        <x:v>0.05</x:v>
      </x:c>
      <x:c r="O298" s="22" t="n">
        <x:f>L298*M298</x:f>
        <x:v>9840</x:v>
      </x:c>
      <x:c r="P298" s="22" t="n">
        <x:f>O298*(1-N298)</x:f>
        <x:v>9348</x:v>
      </x:c>
      <x:c r="Q298" s="22" t="n">
        <x:v>370</x:v>
      </x:c>
      <x:c r="R298" s="22" t="n">
        <x:f>Q298*M298</x:f>
        <x:v>8880</x:v>
      </x:c>
      <x:c r="S298" s="22" t="n">
        <x:f>P298-R298</x:f>
        <x:v>468</x:v>
      </x:c>
      <x:c r="T298" t="str">
        <x:v>Credit</x:v>
      </x:c>
      <x:c r="U298" t="str">
        <x:v>Paid</x:v>
      </x:c>
      <x:c r="V298" t="str">
        <x:v>Delivered</x:v>
      </x:c>
      <x:c r="W298" t="n">
        <x:v>0</x:v>
      </x:c>
      <x:c r="X298" t="str"/>
      <x:c r="Y298" t="str">
        <x:v>Referral</x:v>
      </x:c>
    </x:row>
    <x:row r="299">
      <x:c r="A299" t="str">
        <x:v>O000298</x:v>
      </x:c>
      <x:c r="B299" s="20" t="n">
        <x:v>45739</x:v>
      </x:c>
      <x:c r="C299" t="str">
        <x:v>C0170</x:v>
      </x:c>
      <x:c r="D299" t="str">
        <x:v>Green Cafe 170</x:v>
      </x:c>
      <x:c r="E299" t="str">
        <x:v>Supermarket</x:v>
      </x:c>
      <x:c r="F299" t="str">
        <x:v>Bengaluru</x:v>
      </x:c>
      <x:c r="G299" t="str">
        <x:v>Sneha</x:v>
      </x:c>
      <x:c r="H299" t="str">
        <x:v>P017</x:v>
      </x:c>
      <x:c r="I299" t="str">
        <x:v>Butter 500g</x:v>
      </x:c>
      <x:c r="J299" t="str">
        <x:v>Dairy</x:v>
      </x:c>
      <x:c r="K299" t="str">
        <x:v>Amul</x:v>
      </x:c>
      <x:c r="L299" s="22" t="n">
        <x:v>285</x:v>
      </x:c>
      <x:c r="M299" t="n">
        <x:v>14</x:v>
      </x:c>
      <x:c r="N299" s="24" t="n">
        <x:v>0</x:v>
      </x:c>
      <x:c r="O299" s="22" t="n">
        <x:f>L299*M299</x:f>
        <x:v>3990</x:v>
      </x:c>
      <x:c r="P299" s="22" t="n">
        <x:f>O299*(1-N299)</x:f>
        <x:v>3990</x:v>
      </x:c>
      <x:c r="Q299" s="22" t="n">
        <x:v>258</x:v>
      </x:c>
      <x:c r="R299" s="22" t="n">
        <x:f>Q299*M299</x:f>
        <x:v>3612</x:v>
      </x:c>
      <x:c r="S299" s="22" t="n">
        <x:f>P299-R299</x:f>
        <x:v>378</x:v>
      </x:c>
      <x:c r="T299" t="str">
        <x:v>UPI</x:v>
      </x:c>
      <x:c r="U299" t="str">
        <x:v>Paid</x:v>
      </x:c>
      <x:c r="V299" t="str">
        <x:v>Delivered</x:v>
      </x:c>
      <x:c r="W299" t="n">
        <x:v>0</x:v>
      </x:c>
      <x:c r="X299" t="str"/>
      <x:c r="Y299" t="str">
        <x:v>Outbound Call</x:v>
      </x:c>
    </x:row>
    <x:row r="300">
      <x:c r="A300" t="str">
        <x:v>O000299</x:v>
      </x:c>
      <x:c r="B300" s="20" t="n">
        <x:v>45743</x:v>
      </x:c>
      <x:c r="C300" t="str">
        <x:v>C0135</x:v>
      </x:c>
      <x:c r="D300" t="str">
        <x:v>City Canteen 135</x:v>
      </x:c>
      <x:c r="E300" t="str">
        <x:v>Supermarket</x:v>
      </x:c>
      <x:c r="F300" t="str">
        <x:v>Hubballi</x:v>
      </x:c>
      <x:c r="G300" t="str">
        <x:v>Megha</x:v>
      </x:c>
      <x:c r="H300" t="str">
        <x:v>P049</x:v>
      </x:c>
      <x:c r="I300" t="str">
        <x:v>Apple 10kg</x:v>
      </x:c>
      <x:c r="J300" t="str">
        <x:v>Fresh Produce</x:v>
      </x:c>
      <x:c r="K300" t="str">
        <x:v>Local Market</x:v>
      </x:c>
      <x:c r="L300" s="22" t="n">
        <x:v>1450</x:v>
      </x:c>
      <x:c r="M300" t="n">
        <x:v>5</x:v>
      </x:c>
      <x:c r="N300" s="24" t="n">
        <x:v>0.05</x:v>
      </x:c>
      <x:c r="O300" s="22" t="n">
        <x:f>L300*M300</x:f>
        <x:v>7250</x:v>
      </x:c>
      <x:c r="P300" s="22" t="n">
        <x:f>O300*(1-N300)</x:f>
        <x:v>6887.5</x:v>
      </x:c>
      <x:c r="Q300" s="22" t="n">
        <x:v>1280</x:v>
      </x:c>
      <x:c r="R300" s="22" t="n">
        <x:f>Q300*M300</x:f>
        <x:v>6400</x:v>
      </x:c>
      <x:c r="S300" s="22" t="n">
        <x:f>P300-R300</x:f>
        <x:v>487.5</x:v>
      </x:c>
      <x:c r="T300" t="str">
        <x:v>UPI</x:v>
      </x:c>
      <x:c r="U300" t="str">
        <x:v>Paid</x:v>
      </x:c>
      <x:c r="V300" t="str">
        <x:v>Delivered</x:v>
      </x:c>
      <x:c r="W300" t="n">
        <x:v>0</x:v>
      </x:c>
      <x:c r="X300" t="str"/>
      <x:c r="Y300" t="str">
        <x:v>Referral</x:v>
      </x:c>
    </x:row>
    <x:row r="301">
      <x:c r="A301" t="str">
        <x:v>O000300</x:v>
      </x:c>
      <x:c r="B301" s="20" t="n">
        <x:v>45787</x:v>
      </x:c>
      <x:c r="C301" t="str">
        <x:v>C0114</x:v>
      </x:c>
      <x:c r="D301" t="str">
        <x:v>Annapurna Restaurant 114</x:v>
      </x:c>
      <x:c r="E301" t="str">
        <x:v>Restaurant</x:v>
      </x:c>
      <x:c r="F301" t="str">
        <x:v>Davanagere</x:v>
      </x:c>
      <x:c r="G301" t="str">
        <x:v>Arjun</x:v>
      </x:c>
      <x:c r="H301" t="str">
        <x:v>P041</x:v>
      </x:c>
      <x:c r="I301" t="str">
        <x:v>Burger Bun 6pc</x:v>
      </x:c>
      <x:c r="J301" t="str">
        <x:v>Bakery</x:v>
      </x:c>
      <x:c r="K301" t="str">
        <x:v>Modern</x:v>
      </x:c>
      <x:c r="L301" s="22" t="n">
        <x:v>42</x:v>
      </x:c>
      <x:c r="M301" t="n">
        <x:v>9</x:v>
      </x:c>
      <x:c r="N301" s="24" t="n">
        <x:v>0.03</x:v>
      </x:c>
      <x:c r="O301" s="22" t="n">
        <x:f>L301*M301</x:f>
        <x:v>378</x:v>
      </x:c>
      <x:c r="P301" s="22" t="n">
        <x:f>O301*(1-N301)</x:f>
        <x:v>366.65999999999997</x:v>
      </x:c>
      <x:c r="Q301" s="22" t="n">
        <x:v>32</x:v>
      </x:c>
      <x:c r="R301" s="22" t="n">
        <x:f>Q301*M301</x:f>
        <x:v>288</x:v>
      </x:c>
      <x:c r="S301" s="22" t="n">
        <x:f>P301-R301</x:f>
        <x:v>78.65999999999997</x:v>
      </x:c>
      <x:c r="T301" t="str">
        <x:v>Bank Transfer</x:v>
      </x:c>
      <x:c r="U301" t="str">
        <x:v>Paid</x:v>
      </x:c>
      <x:c r="V301" t="str">
        <x:v>Cancelled</x:v>
      </x:c>
      <x:c r="W301" t="n">
        <x:v>9</x:v>
      </x:c>
      <x:c r="X301" t="str">
        <x:v>Cancelled Order</x:v>
      </x:c>
      <x:c r="Y301" t="str">
        <x:v>Field Visit</x:v>
      </x:c>
    </x:row>
    <x:row r="302">
      <x:c r="A302" t="str">
        <x:v>O000301</x:v>
      </x:c>
      <x:c r="B302" s="20" t="n">
        <x:v>46136</x:v>
      </x:c>
      <x:c r="C302" t="str">
        <x:v>C0084</x:v>
      </x:c>
      <x:c r="D302" t="str">
        <x:v>Green Cafe 84</x:v>
      </x:c>
      <x:c r="E302" t="str">
        <x:v>Hotel</x:v>
      </x:c>
      <x:c r="F302" t="str">
        <x:v>Mysuru</x:v>
      </x:c>
      <x:c r="G302" t="str">
        <x:v>Priya</x:v>
      </x:c>
      <x:c r="H302" t="str">
        <x:v>P031</x:v>
      </x:c>
      <x:c r="I302" t="str">
        <x:v>Chilli Sauce 700g</x:v>
      </x:c>
      <x:c r="J302" t="str">
        <x:v>Condiments</x:v>
      </x:c>
      <x:c r="K302" t="str">
        <x:v>Ching's</x:v>
      </x:c>
      <x:c r="L302" s="22" t="n">
        <x:v>130</x:v>
      </x:c>
      <x:c r="M302" t="n">
        <x:v>35</x:v>
      </x:c>
      <x:c r="N302" s="24" t="n">
        <x:v>0.08</x:v>
      </x:c>
      <x:c r="O302" s="22" t="n">
        <x:f>L302*M302</x:f>
        <x:v>4550</x:v>
      </x:c>
      <x:c r="P302" s="22" t="n">
        <x:f>O302*(1-N302)</x:f>
        <x:v>4186</x:v>
      </x:c>
      <x:c r="Q302" s="22" t="n">
        <x:v>112</x:v>
      </x:c>
      <x:c r="R302" s="22" t="n">
        <x:f>Q302*M302</x:f>
        <x:v>3920</x:v>
      </x:c>
      <x:c r="S302" s="22" t="n">
        <x:f>P302-R302</x:f>
        <x:v>266</x:v>
      </x:c>
      <x:c r="T302" t="str">
        <x:v>Credit</x:v>
      </x:c>
      <x:c r="U302" t="str">
        <x:v>Paid</x:v>
      </x:c>
      <x:c r="V302" t="str">
        <x:v>Cancelled</x:v>
      </x:c>
      <x:c r="W302" t="n">
        <x:v>35</x:v>
      </x:c>
      <x:c r="X302" t="str">
        <x:v>Cancelled Order</x:v>
      </x:c>
      <x:c r="Y302" t="str">
        <x:v>Existing Customer</x:v>
      </x:c>
    </x:row>
    <x:row r="303">
      <x:c r="A303" t="str">
        <x:v>O000302</x:v>
      </x:c>
      <x:c r="B303" s="20" t="n">
        <x:v>46235</x:v>
      </x:c>
      <x:c r="C303" t="str">
        <x:v>C0153</x:v>
      </x:c>
      <x:c r="D303" t="str">
        <x:v>Fresh Foods 153</x:v>
      </x:c>
      <x:c r="E303" t="str">
        <x:v>Kirana</x:v>
      </x:c>
      <x:c r="F303" t="str">
        <x:v>Bengaluru</x:v>
      </x:c>
      <x:c r="G303" t="str">
        <x:v>Priya</x:v>
      </x:c>
      <x:c r="H303" t="str">
        <x:v>P030</x:v>
      </x:c>
      <x:c r="I303" t="str">
        <x:v>Mayonnaise 1kg</x:v>
      </x:c>
      <x:c r="J303" t="str">
        <x:v>Condiments</x:v>
      </x:c>
      <x:c r="K303" t="str">
        <x:v>Veeba</x:v>
      </x:c>
      <x:c r="L303" s="22" t="n">
        <x:v>210</x:v>
      </x:c>
      <x:c r="M303" t="n">
        <x:v>28</x:v>
      </x:c>
      <x:c r="N303" s="24" t="n">
        <x:v>0.03</x:v>
      </x:c>
      <x:c r="O303" s="22" t="n">
        <x:f>L303*M303</x:f>
        <x:v>5880</x:v>
      </x:c>
      <x:c r="P303" s="22" t="n">
        <x:f>O303*(1-N303)</x:f>
        <x:v>5703.599999999999</x:v>
      </x:c>
      <x:c r="Q303" s="22" t="n">
        <x:v>185</x:v>
      </x:c>
      <x:c r="R303" s="22" t="n">
        <x:f>Q303*M303</x:f>
        <x:v>5180</x:v>
      </x:c>
      <x:c r="S303" s="22" t="n">
        <x:f>P303-R303</x:f>
        <x:v>523.5999999999995</x:v>
      </x:c>
      <x:c r="T303" t="str">
        <x:v>Cash</x:v>
      </x:c>
      <x:c r="U303" t="str">
        <x:v>Pending</x:v>
      </x:c>
      <x:c r="V303" t="str">
        <x:v>Delivered</x:v>
      </x:c>
      <x:c r="W303" t="n">
        <x:v>0</x:v>
      </x:c>
      <x:c r="X303" t="str"/>
      <x:c r="Y303" t="str">
        <x:v>Outbound Call</x:v>
      </x:c>
    </x:row>
    <x:row r="304">
      <x:c r="A304" t="str">
        <x:v>O000303</x:v>
      </x:c>
      <x:c r="B304" s="20" t="n">
        <x:v>45924</x:v>
      </x:c>
      <x:c r="C304" t="str">
        <x:v>C0094</x:v>
      </x:c>
      <x:c r="D304" t="str">
        <x:v>Mysore Mart 94</x:v>
      </x:c>
      <x:c r="E304" t="str">
        <x:v>Restaurant</x:v>
      </x:c>
      <x:c r="F304" t="str">
        <x:v>Hubballi</x:v>
      </x:c>
      <x:c r="G304" t="str">
        <x:v>Sneha</x:v>
      </x:c>
      <x:c r="H304" t="str">
        <x:v>P027</x:v>
      </x:c>
      <x:c r="I304" t="str">
        <x:v>Biscuits 120g</x:v>
      </x:c>
      <x:c r="J304" t="str">
        <x:v>Snacks</x:v>
      </x:c>
      <x:c r="K304" t="str">
        <x:v>Parle-G</x:v>
      </x:c>
      <x:c r="L304" s="22" t="n">
        <x:v>12</x:v>
      </x:c>
      <x:c r="M304" t="n">
        <x:v>10</x:v>
      </x:c>
      <x:c r="N304" s="24" t="n">
        <x:v>0.02</x:v>
      </x:c>
      <x:c r="O304" s="22" t="n">
        <x:f>L304*M304</x:f>
        <x:v>120</x:v>
      </x:c>
      <x:c r="P304" s="22" t="n">
        <x:f>O304*(1-N304)</x:f>
        <x:v>117.6</x:v>
      </x:c>
      <x:c r="Q304" s="22" t="n">
        <x:v>9</x:v>
      </x:c>
      <x:c r="R304" s="22" t="n">
        <x:f>Q304*M304</x:f>
        <x:v>90</x:v>
      </x:c>
      <x:c r="S304" s="22" t="n">
        <x:f>P304-R304</x:f>
        <x:v>27.599999999999994</x:v>
      </x:c>
      <x:c r="T304" t="str">
        <x:v>UPI</x:v>
      </x:c>
      <x:c r="U304" t="str">
        <x:v>Paid</x:v>
      </x:c>
      <x:c r="V304" t="str">
        <x:v>Delivered</x:v>
      </x:c>
      <x:c r="W304" t="n">
        <x:v>0</x:v>
      </x:c>
      <x:c r="X304" t="str"/>
      <x:c r="Y304" t="str">
        <x:v>WhatsApp</x:v>
      </x:c>
    </x:row>
    <x:row r="305">
      <x:c r="A305" t="str">
        <x:v>O000304</x:v>
      </x:c>
      <x:c r="B305" s="20" t="n">
        <x:v>46146</x:v>
      </x:c>
      <x:c r="C305" t="str">
        <x:v>C0177</x:v>
      </x:c>
      <x:c r="D305" t="str">
        <x:v>Classic Cafe 177</x:v>
      </x:c>
      <x:c r="E305" t="str">
        <x:v>Supermarket</x:v>
      </x:c>
      <x:c r="F305" t="str">
        <x:v>Bengaluru</x:v>
      </x:c>
      <x:c r="G305" t="str">
        <x:v>Arjun</x:v>
      </x:c>
      <x:c r="H305" t="str">
        <x:v>P032</x:v>
      </x:c>
      <x:c r="I305" t="str">
        <x:v>Soy Sauce 700g</x:v>
      </x:c>
      <x:c r="J305" t="str">
        <x:v>Condiments</x:v>
      </x:c>
      <x:c r="K305" t="str">
        <x:v>Ching's</x:v>
      </x:c>
      <x:c r="L305" s="22" t="n">
        <x:v>118</x:v>
      </x:c>
      <x:c r="M305" t="n">
        <x:v>20</x:v>
      </x:c>
      <x:c r="N305" s="24" t="n">
        <x:v>0</x:v>
      </x:c>
      <x:c r="O305" s="22" t="n">
        <x:f>L305*M305</x:f>
        <x:v>2360</x:v>
      </x:c>
      <x:c r="P305" s="22" t="n">
        <x:f>O305*(1-N305)</x:f>
        <x:v>2360</x:v>
      </x:c>
      <x:c r="Q305" s="22" t="n">
        <x:v>101</x:v>
      </x:c>
      <x:c r="R305" s="22" t="n">
        <x:f>Q305*M305</x:f>
        <x:v>2020</x:v>
      </x:c>
      <x:c r="S305" s="22" t="n">
        <x:f>P305-R305</x:f>
        <x:v>340</x:v>
      </x:c>
      <x:c r="T305" t="str">
        <x:v>Credit</x:v>
      </x:c>
      <x:c r="U305" t="str">
        <x:v>Pending</x:v>
      </x:c>
      <x:c r="V305" t="str">
        <x:v>Delayed</x:v>
      </x:c>
      <x:c r="W305" t="n">
        <x:v>0</x:v>
      </x:c>
      <x:c r="X305" t="str"/>
      <x:c r="Y305" t="str">
        <x:v>Referral</x:v>
      </x:c>
    </x:row>
    <x:row r="306">
      <x:c r="A306" t="str">
        <x:v>O000305</x:v>
      </x:c>
      <x:c r="B306" s="20" t="n">
        <x:v>45851</x:v>
      </x:c>
      <x:c r="C306" t="str">
        <x:v>C0141</x:v>
      </x:c>
      <x:c r="D306" t="str">
        <x:v>Sri Restaurant 141</x:v>
      </x:c>
      <x:c r="E306" t="str">
        <x:v>Restaurant</x:v>
      </x:c>
      <x:c r="F306" t="str">
        <x:v>Mangaluru</x:v>
      </x:c>
      <x:c r="G306" t="str">
        <x:v>Ramesh</x:v>
      </x:c>
      <x:c r="H306" t="str">
        <x:v>P024</x:v>
      </x:c>
      <x:c r="I306" t="str">
        <x:v>Orange Drink 1L</x:v>
      </x:c>
      <x:c r="J306" t="str">
        <x:v>Beverage</x:v>
      </x:c>
      <x:c r="K306" t="str">
        <x:v>Minute Maid</x:v>
      </x:c>
      <x:c r="L306" s="22" t="n">
        <x:v>105</x:v>
      </x:c>
      <x:c r="M306" t="n">
        <x:v>27</x:v>
      </x:c>
      <x:c r="N306" s="24" t="n">
        <x:v>0.08</x:v>
      </x:c>
      <x:c r="O306" s="22" t="n">
        <x:f>L306*M306</x:f>
        <x:v>2835</x:v>
      </x:c>
      <x:c r="P306" s="22" t="n">
        <x:f>O306*(1-N306)</x:f>
        <x:v>2608.2000000000003</x:v>
      </x:c>
      <x:c r="Q306" s="22" t="n">
        <x:v>88</x:v>
      </x:c>
      <x:c r="R306" s="22" t="n">
        <x:f>Q306*M306</x:f>
        <x:v>2376</x:v>
      </x:c>
      <x:c r="S306" s="22" t="n">
        <x:f>P306-R306</x:f>
        <x:v>232.20000000000027</x:v>
      </x:c>
      <x:c r="T306" t="str">
        <x:v>Credit</x:v>
      </x:c>
      <x:c r="U306" t="str">
        <x:v>Paid</x:v>
      </x:c>
      <x:c r="V306" t="str">
        <x:v>Delivered</x:v>
      </x:c>
      <x:c r="W306" t="n">
        <x:v>0</x:v>
      </x:c>
      <x:c r="X306" t="str"/>
      <x:c r="Y306" t="str">
        <x:v>WhatsApp</x:v>
      </x:c>
    </x:row>
    <x:row r="307">
      <x:c r="A307" t="str">
        <x:v>O000306</x:v>
      </x:c>
      <x:c r="B307" s="20" t="n">
        <x:v>45739</x:v>
      </x:c>
      <x:c r="C307" t="str">
        <x:v>C0057</x:v>
      </x:c>
      <x:c r="D307" t="str">
        <x:v>Annapurna Foods 57</x:v>
      </x:c>
      <x:c r="E307" t="str">
        <x:v>Kirana</x:v>
      </x:c>
      <x:c r="F307" t="str">
        <x:v>Mysuru</x:v>
      </x:c>
      <x:c r="G307" t="str">
        <x:v>Priya</x:v>
      </x:c>
      <x:c r="H307" t="str">
        <x:v>P017</x:v>
      </x:c>
      <x:c r="I307" t="str">
        <x:v>Butter 500g</x:v>
      </x:c>
      <x:c r="J307" t="str">
        <x:v>Dairy</x:v>
      </x:c>
      <x:c r="K307" t="str">
        <x:v>Amul</x:v>
      </x:c>
      <x:c r="L307" s="22" t="n">
        <x:v>285</x:v>
      </x:c>
      <x:c r="M307" t="n">
        <x:v>28</x:v>
      </x:c>
      <x:c r="N307" s="24" t="n">
        <x:v>0.05</x:v>
      </x:c>
      <x:c r="O307" s="22" t="n">
        <x:f>L307*M307</x:f>
        <x:v>7980</x:v>
      </x:c>
      <x:c r="P307" s="22" t="n">
        <x:f>O307*(1-N307)</x:f>
        <x:v>7581</x:v>
      </x:c>
      <x:c r="Q307" s="22" t="n">
        <x:v>258</x:v>
      </x:c>
      <x:c r="R307" s="22" t="n">
        <x:f>Q307*M307</x:f>
        <x:v>7224</x:v>
      </x:c>
      <x:c r="S307" s="22" t="n">
        <x:f>P307-R307</x:f>
        <x:v>357</x:v>
      </x:c>
      <x:c r="T307" t="str">
        <x:v>Cash</x:v>
      </x:c>
      <x:c r="U307" t="str">
        <x:v>Paid</x:v>
      </x:c>
      <x:c r="V307" t="str">
        <x:v>Cancelled</x:v>
      </x:c>
      <x:c r="W307" t="n">
        <x:v>28</x:v>
      </x:c>
      <x:c r="X307" t="str">
        <x:v>Cancelled Order</x:v>
      </x:c>
      <x:c r="Y307" t="str">
        <x:v>Existing Customer</x:v>
      </x:c>
    </x:row>
    <x:row r="308">
      <x:c r="A308" t="str">
        <x:v>O000307</x:v>
      </x:c>
      <x:c r="B308" s="20" t="n">
        <x:v>45728</x:v>
      </x:c>
      <x:c r="C308" t="str">
        <x:v>C0106</x:v>
      </x:c>
      <x:c r="D308" t="str">
        <x:v>Classic Mart 106</x:v>
      </x:c>
      <x:c r="E308" t="str">
        <x:v>Restaurant</x:v>
      </x:c>
      <x:c r="F308" t="str">
        <x:v>Mysuru</x:v>
      </x:c>
      <x:c r="G308" t="str">
        <x:v>Kavya</x:v>
      </x:c>
      <x:c r="H308" t="str">
        <x:v>P013</x:v>
      </x:c>
      <x:c r="I308" t="str">
        <x:v>Atta 10kg</x:v>
      </x:c>
      <x:c r="J308" t="str">
        <x:v>Flour</x:v>
      </x:c>
      <x:c r="K308" t="str">
        <x:v>Aashirvaad</x:v>
      </x:c>
      <x:c r="L308" s="22" t="n">
        <x:v>560</x:v>
      </x:c>
      <x:c r="M308" t="n">
        <x:v>12</x:v>
      </x:c>
      <x:c r="N308" s="24" t="n">
        <x:v>0</x:v>
      </x:c>
      <x:c r="O308" s="22" t="n">
        <x:f>L308*M308</x:f>
        <x:v>6720</x:v>
      </x:c>
      <x:c r="P308" s="22" t="n">
        <x:f>O308*(1-N308)</x:f>
        <x:v>6720</x:v>
      </x:c>
      <x:c r="Q308" s="22" t="n">
        <x:v>495</x:v>
      </x:c>
      <x:c r="R308" s="22" t="n">
        <x:f>Q308*M308</x:f>
        <x:v>5940</x:v>
      </x:c>
      <x:c r="S308" s="22" t="n">
        <x:f>P308-R308</x:f>
        <x:v>780</x:v>
      </x:c>
      <x:c r="T308" t="str">
        <x:v>UPI</x:v>
      </x:c>
      <x:c r="U308" t="str">
        <x:v>Paid</x:v>
      </x:c>
      <x:c r="V308" t="str">
        <x:v>Delayed</x:v>
      </x:c>
      <x:c r="W308" t="n">
        <x:v>0</x:v>
      </x:c>
      <x:c r="X308" t="str"/>
      <x:c r="Y308" t="str">
        <x:v>WhatsApp</x:v>
      </x:c>
    </x:row>
    <x:row r="309">
      <x:c r="A309" t="str">
        <x:v>O000308</x:v>
      </x:c>
      <x:c r="B309" s="20" t="n">
        <x:v>45850</x:v>
      </x:c>
      <x:c r="C309" t="str">
        <x:v>C0160</x:v>
      </x:c>
      <x:c r="D309" t="str">
        <x:v>Hotel Foods 160</x:v>
      </x:c>
      <x:c r="E309" t="str">
        <x:v>Hotel</x:v>
      </x:c>
      <x:c r="F309" t="str">
        <x:v>Mangaluru</x:v>
      </x:c>
      <x:c r="G309" t="str">
        <x:v>Sneha</x:v>
      </x:c>
      <x:c r="H309" t="str">
        <x:v>P032</x:v>
      </x:c>
      <x:c r="I309" t="str">
        <x:v>Soy Sauce 700g</x:v>
      </x:c>
      <x:c r="J309" t="str">
        <x:v>Condiments</x:v>
      </x:c>
      <x:c r="K309" t="str">
        <x:v>Ching's</x:v>
      </x:c>
      <x:c r="L309" s="22" t="n">
        <x:v>118</x:v>
      </x:c>
      <x:c r="M309" t="n">
        <x:v>21</x:v>
      </x:c>
      <x:c r="N309" s="24" t="n">
        <x:v>0</x:v>
      </x:c>
      <x:c r="O309" s="22" t="n">
        <x:f>L309*M309</x:f>
        <x:v>2478</x:v>
      </x:c>
      <x:c r="P309" s="22" t="n">
        <x:f>O309*(1-N309)</x:f>
        <x:v>2478</x:v>
      </x:c>
      <x:c r="Q309" s="22" t="n">
        <x:v>101</x:v>
      </x:c>
      <x:c r="R309" s="22" t="n">
        <x:f>Q309*M309</x:f>
        <x:v>2121</x:v>
      </x:c>
      <x:c r="S309" s="22" t="n">
        <x:f>P309-R309</x:f>
        <x:v>357</x:v>
      </x:c>
      <x:c r="T309" t="str">
        <x:v>UPI</x:v>
      </x:c>
      <x:c r="U309" t="str">
        <x:v>Overdue</x:v>
      </x:c>
      <x:c r="V309" t="str">
        <x:v>Delivered</x:v>
      </x:c>
      <x:c r="W309" t="n">
        <x:v>0</x:v>
      </x:c>
      <x:c r="X309" t="str"/>
      <x:c r="Y309" t="str">
        <x:v>Outbound Call</x:v>
      </x:c>
    </x:row>
    <x:row r="310">
      <x:c r="A310" t="str">
        <x:v>O000309</x:v>
      </x:c>
      <x:c r="B310" s="20" t="n">
        <x:v>46106</x:v>
      </x:c>
      <x:c r="C310" t="str">
        <x:v>C0033</x:v>
      </x:c>
      <x:c r="D310" t="str">
        <x:v>Shree Canteen 33</x:v>
      </x:c>
      <x:c r="E310" t="str">
        <x:v>Canteen</x:v>
      </x:c>
      <x:c r="F310" t="str">
        <x:v>Mangaluru</x:v>
      </x:c>
      <x:c r="G310" t="str">
        <x:v>Imran</x:v>
      </x:c>
      <x:c r="H310" t="str">
        <x:v>P046</x:v>
      </x:c>
      <x:c r="I310" t="str">
        <x:v>Potato 25kg</x:v>
      </x:c>
      <x:c r="J310" t="str">
        <x:v>Fresh Produce</x:v>
      </x:c>
      <x:c r="K310" t="str">
        <x:v>Local Market</x:v>
      </x:c>
      <x:c r="L310" s="22" t="n">
        <x:v>700</x:v>
      </x:c>
      <x:c r="M310" t="n">
        <x:v>1</x:v>
      </x:c>
      <x:c r="N310" s="24" t="n">
        <x:v>0</x:v>
      </x:c>
      <x:c r="O310" s="22" t="n">
        <x:f>L310*M310</x:f>
        <x:v>700</x:v>
      </x:c>
      <x:c r="P310" s="22" t="n">
        <x:f>O310*(1-N310)</x:f>
        <x:v>700</x:v>
      </x:c>
      <x:c r="Q310" s="22" t="n">
        <x:v>610</x:v>
      </x:c>
      <x:c r="R310" s="22" t="n">
        <x:f>Q310*M310</x:f>
        <x:v>610</x:v>
      </x:c>
      <x:c r="S310" s="22" t="n">
        <x:f>P310-R310</x:f>
        <x:v>90</x:v>
      </x:c>
      <x:c r="T310" t="str">
        <x:v>Bank Transfer</x:v>
      </x:c>
      <x:c r="U310" t="str">
        <x:v>Paid</x:v>
      </x:c>
      <x:c r="V310" t="str">
        <x:v>Delivered</x:v>
      </x:c>
      <x:c r="W310" t="n">
        <x:v>0</x:v>
      </x:c>
      <x:c r="X310" t="str"/>
      <x:c r="Y310" t="str">
        <x:v>Field Visit</x:v>
      </x:c>
    </x:row>
    <x:row r="311">
      <x:c r="A311" t="str">
        <x:v>O000310</x:v>
      </x:c>
      <x:c r="B311" s="20" t="n">
        <x:v>46132</x:v>
      </x:c>
      <x:c r="C311" t="str">
        <x:v>C0128</x:v>
      </x:c>
      <x:c r="D311" t="str">
        <x:v>Fresh Hotel 128</x:v>
      </x:c>
      <x:c r="E311" t="str">
        <x:v>Kirana</x:v>
      </x:c>
      <x:c r="F311" t="str">
        <x:v>Tumakuru</x:v>
      </x:c>
      <x:c r="G311" t="str">
        <x:v>Priya</x:v>
      </x:c>
      <x:c r="H311" t="str">
        <x:v>P024</x:v>
      </x:c>
      <x:c r="I311" t="str">
        <x:v>Orange Drink 1L</x:v>
      </x:c>
      <x:c r="J311" t="str">
        <x:v>Beverage</x:v>
      </x:c>
      <x:c r="K311" t="str">
        <x:v>Minute Maid</x:v>
      </x:c>
      <x:c r="L311" s="22" t="n">
        <x:v>105</x:v>
      </x:c>
      <x:c r="M311" t="n">
        <x:v>3</x:v>
      </x:c>
      <x:c r="N311" s="24" t="n">
        <x:v>0.02</x:v>
      </x:c>
      <x:c r="O311" s="22" t="n">
        <x:f>L311*M311</x:f>
        <x:v>315</x:v>
      </x:c>
      <x:c r="P311" s="22" t="n">
        <x:f>O311*(1-N311)</x:f>
        <x:v>308.7</x:v>
      </x:c>
      <x:c r="Q311" s="22" t="n">
        <x:v>88</x:v>
      </x:c>
      <x:c r="R311" s="22" t="n">
        <x:f>Q311*M311</x:f>
        <x:v>264</x:v>
      </x:c>
      <x:c r="S311" s="22" t="n">
        <x:f>P311-R311</x:f>
        <x:v>44.69999999999999</x:v>
      </x:c>
      <x:c r="T311" t="str">
        <x:v>Bank Transfer</x:v>
      </x:c>
      <x:c r="U311" t="str">
        <x:v>Paid</x:v>
      </x:c>
      <x:c r="V311" t="str">
        <x:v>Delivered</x:v>
      </x:c>
      <x:c r="W311" t="n">
        <x:v>0</x:v>
      </x:c>
      <x:c r="X311" t="str"/>
      <x:c r="Y311" t="str">
        <x:v>WhatsApp</x:v>
      </x:c>
    </x:row>
    <x:row r="312">
      <x:c r="A312" t="str">
        <x:v>O000311</x:v>
      </x:c>
      <x:c r="B312" s="20" t="n">
        <x:v>46048</x:v>
      </x:c>
      <x:c r="C312" t="str">
        <x:v>C0230</x:v>
      </x:c>
      <x:c r="D312" t="str">
        <x:v>Darshini Foods 230</x:v>
      </x:c>
      <x:c r="E312" t="str">
        <x:v>Restaurant</x:v>
      </x:c>
      <x:c r="F312" t="str">
        <x:v>Davanagere</x:v>
      </x:c>
      <x:c r="G312" t="str">
        <x:v>Priya</x:v>
      </x:c>
      <x:c r="H312" t="str">
        <x:v>P017</x:v>
      </x:c>
      <x:c r="I312" t="str">
        <x:v>Butter 500g</x:v>
      </x:c>
      <x:c r="J312" t="str">
        <x:v>Dairy</x:v>
      </x:c>
      <x:c r="K312" t="str">
        <x:v>Amul</x:v>
      </x:c>
      <x:c r="L312" s="22" t="n">
        <x:v>285</x:v>
      </x:c>
      <x:c r="M312" t="n">
        <x:v>1</x:v>
      </x:c>
      <x:c r="N312" s="24" t="n">
        <x:v>0</x:v>
      </x:c>
      <x:c r="O312" s="22" t="n">
        <x:f>L312*M312</x:f>
        <x:v>285</x:v>
      </x:c>
      <x:c r="P312" s="22" t="n">
        <x:f>O312*(1-N312)</x:f>
        <x:v>285</x:v>
      </x:c>
      <x:c r="Q312" s="22" t="n">
        <x:v>258</x:v>
      </x:c>
      <x:c r="R312" s="22" t="n">
        <x:f>Q312*M312</x:f>
        <x:v>258</x:v>
      </x:c>
      <x:c r="S312" s="22" t="n">
        <x:f>P312-R312</x:f>
        <x:v>27</x:v>
      </x:c>
      <x:c r="T312" t="str">
        <x:v>Bank Transfer</x:v>
      </x:c>
      <x:c r="U312" t="str">
        <x:v>Paid</x:v>
      </x:c>
      <x:c r="V312" t="str">
        <x:v>Delivered</x:v>
      </x:c>
      <x:c r="W312" t="n">
        <x:v>0</x:v>
      </x:c>
      <x:c r="X312" t="str"/>
      <x:c r="Y312" t="str">
        <x:v>Outbound Call</x:v>
      </x:c>
    </x:row>
    <x:row r="313">
      <x:c r="A313" t="str">
        <x:v>O000312</x:v>
      </x:c>
      <x:c r="B313" s="20" t="n">
        <x:v>45754</x:v>
      </x:c>
      <x:c r="C313" t="str">
        <x:v>C0189</x:v>
      </x:c>
      <x:c r="D313" t="str">
        <x:v>Classic Canteen 189</x:v>
      </x:c>
      <x:c r="E313" t="str">
        <x:v>Kirana</x:v>
      </x:c>
      <x:c r="F313" t="str">
        <x:v>Hubballi</x:v>
      </x:c>
      <x:c r="G313" t="str">
        <x:v>Vikram</x:v>
      </x:c>
      <x:c r="H313" t="str">
        <x:v>P050</x:v>
      </x:c>
      <x:c r="I313" t="str">
        <x:v>Lemon 5kg</x:v>
      </x:c>
      <x:c r="J313" t="str">
        <x:v>Fresh Produce</x:v>
      </x:c>
      <x:c r="K313" t="str">
        <x:v>Local Market</x:v>
      </x:c>
      <x:c r="L313" s="22" t="n">
        <x:v>360</x:v>
      </x:c>
      <x:c r="M313" t="n">
        <x:v>34</x:v>
      </x:c>
      <x:c r="N313" s="24" t="n">
        <x:v>0.05</x:v>
      </x:c>
      <x:c r="O313" s="22" t="n">
        <x:f>L313*M313</x:f>
        <x:v>12240</x:v>
      </x:c>
      <x:c r="P313" s="22" t="n">
        <x:f>O313*(1-N313)</x:f>
        <x:v>11628</x:v>
      </x:c>
      <x:c r="Q313" s="22" t="n">
        <x:v>300</x:v>
      </x:c>
      <x:c r="R313" s="22" t="n">
        <x:f>Q313*M313</x:f>
        <x:v>10200</x:v>
      </x:c>
      <x:c r="S313" s="22" t="n">
        <x:f>P313-R313</x:f>
        <x:v>1428</x:v>
      </x:c>
      <x:c r="T313" t="str">
        <x:v>Bank Transfer</x:v>
      </x:c>
      <x:c r="U313" t="str">
        <x:v>Paid</x:v>
      </x:c>
      <x:c r="V313" t="str">
        <x:v>Cancelled</x:v>
      </x:c>
      <x:c r="W313" t="n">
        <x:v>34</x:v>
      </x:c>
      <x:c r="X313" t="str">
        <x:v>Cancelled Order</x:v>
      </x:c>
      <x:c r="Y313" t="str">
        <x:v>Field Visit</x:v>
      </x:c>
    </x:row>
    <x:row r="314">
      <x:c r="A314" t="str">
        <x:v>O000313</x:v>
      </x:c>
      <x:c r="B314" s="20" t="n">
        <x:v>45701</x:v>
      </x:c>
      <x:c r="C314" t="str">
        <x:v>C0041</x:v>
      </x:c>
      <x:c r="D314" t="str">
        <x:v>Grand Mart 41</x:v>
      </x:c>
      <x:c r="E314" t="str">
        <x:v>Cafe</x:v>
      </x:c>
      <x:c r="F314" t="str">
        <x:v>Bengaluru</x:v>
      </x:c>
      <x:c r="G314" t="str">
        <x:v>Kavya</x:v>
      </x:c>
      <x:c r="H314" t="str">
        <x:v>P041</x:v>
      </x:c>
      <x:c r="I314" t="str">
        <x:v>Burger Bun 6pc</x:v>
      </x:c>
      <x:c r="J314" t="str">
        <x:v>Bakery</x:v>
      </x:c>
      <x:c r="K314" t="str">
        <x:v>Modern</x:v>
      </x:c>
      <x:c r="L314" s="22" t="n">
        <x:v>42</x:v>
      </x:c>
      <x:c r="M314" t="n">
        <x:v>36</x:v>
      </x:c>
      <x:c r="N314" s="24" t="n">
        <x:v>0.03</x:v>
      </x:c>
      <x:c r="O314" s="22" t="n">
        <x:f>L314*M314</x:f>
        <x:v>1512</x:v>
      </x:c>
      <x:c r="P314" s="22" t="n">
        <x:f>O314*(1-N314)</x:f>
        <x:v>1466.6399999999999</x:v>
      </x:c>
      <x:c r="Q314" s="22" t="n">
        <x:v>32</x:v>
      </x:c>
      <x:c r="R314" s="22" t="n">
        <x:f>Q314*M314</x:f>
        <x:v>1152</x:v>
      </x:c>
      <x:c r="S314" s="22" t="n">
        <x:f>P314-R314</x:f>
        <x:v>314.6399999999999</x:v>
      </x:c>
      <x:c r="T314" t="str">
        <x:v>Cash</x:v>
      </x:c>
      <x:c r="U314" t="str">
        <x:v>Paid</x:v>
      </x:c>
      <x:c r="V314" t="str">
        <x:v>Delivered</x:v>
      </x:c>
      <x:c r="W314" t="n">
        <x:v>0</x:v>
      </x:c>
      <x:c r="X314" t="str"/>
      <x:c r="Y314" t="str">
        <x:v>Outbound Call</x:v>
      </x:c>
    </x:row>
    <x:row r="315">
      <x:c r="A315" t="str">
        <x:v>O000314</x:v>
      </x:c>
      <x:c r="B315" s="20" t="n">
        <x:v>45899</x:v>
      </x:c>
      <x:c r="C315" t="str">
        <x:v>C0056</x:v>
      </x:c>
      <x:c r="D315" t="str">
        <x:v>City Stores 56</x:v>
      </x:c>
      <x:c r="E315" t="str">
        <x:v>Canteen</x:v>
      </x:c>
      <x:c r="F315" t="str">
        <x:v>Davanagere</x:v>
      </x:c>
      <x:c r="G315" t="str">
        <x:v>Imran</x:v>
      </x:c>
      <x:c r="H315" t="str">
        <x:v>P008</x:v>
      </x:c>
      <x:c r="I315" t="str">
        <x:v>Palm Oil 15L</x:v>
      </x:c>
      <x:c r="J315" t="str">
        <x:v>Edible Oil</x:v>
      </x:c>
      <x:c r="K315" t="str">
        <x:v>Ruchi Gold</x:v>
      </x:c>
      <x:c r="L315" s="22" t="n">
        <x:v>1760</x:v>
      </x:c>
      <x:c r="M315" t="n">
        <x:v>6</x:v>
      </x:c>
      <x:c r="N315" s="24" t="n">
        <x:v>0</x:v>
      </x:c>
      <x:c r="O315" s="22" t="n">
        <x:f>L315*M315</x:f>
        <x:v>10560</x:v>
      </x:c>
      <x:c r="P315" s="22" t="n">
        <x:f>O315*(1-N315)</x:f>
        <x:v>10560</x:v>
      </x:c>
      <x:c r="Q315" s="22" t="n">
        <x:v>1610</x:v>
      </x:c>
      <x:c r="R315" s="22" t="n">
        <x:f>Q315*M315</x:f>
        <x:v>9660</x:v>
      </x:c>
      <x:c r="S315" s="22" t="n">
        <x:f>P315-R315</x:f>
        <x:v>900</x:v>
      </x:c>
      <x:c r="T315" t="str">
        <x:v>Cash</x:v>
      </x:c>
      <x:c r="U315" t="str">
        <x:v>Paid</x:v>
      </x:c>
      <x:c r="V315" t="str">
        <x:v>Delivered</x:v>
      </x:c>
      <x:c r="W315" t="n">
        <x:v>0</x:v>
      </x:c>
      <x:c r="X315" t="str"/>
      <x:c r="Y315" t="str">
        <x:v>Outbound Call</x:v>
      </x:c>
    </x:row>
    <x:row r="316">
      <x:c r="A316" t="str">
        <x:v>O000315</x:v>
      </x:c>
      <x:c r="B316" s="20" t="n">
        <x:v>46144</x:v>
      </x:c>
      <x:c r="C316" t="str">
        <x:v>C0149</x:v>
      </x:c>
      <x:c r="D316" t="str">
        <x:v>Annapurna Hotel 149</x:v>
      </x:c>
      <x:c r="E316" t="str">
        <x:v>Cafe</x:v>
      </x:c>
      <x:c r="F316" t="str">
        <x:v>Tumakuru</x:v>
      </x:c>
      <x:c r="G316" t="str">
        <x:v>Megha</x:v>
      </x:c>
      <x:c r="H316" t="str">
        <x:v>P045</x:v>
      </x:c>
      <x:c r="I316" t="str">
        <x:v>Onion 25kg</x:v>
      </x:c>
      <x:c r="J316" t="str">
        <x:v>Fresh Produce</x:v>
      </x:c>
      <x:c r="K316" t="str">
        <x:v>Local Market</x:v>
      </x:c>
      <x:c r="L316" s="22" t="n">
        <x:v>875</x:v>
      </x:c>
      <x:c r="M316" t="n">
        <x:v>39</x:v>
      </x:c>
      <x:c r="N316" s="24" t="n">
        <x:v>0</x:v>
      </x:c>
      <x:c r="O316" s="22" t="n">
        <x:f>L316*M316</x:f>
        <x:v>34125</x:v>
      </x:c>
      <x:c r="P316" s="22" t="n">
        <x:f>O316*(1-N316)</x:f>
        <x:v>34125</x:v>
      </x:c>
      <x:c r="Q316" s="22" t="n">
        <x:v>760</x:v>
      </x:c>
      <x:c r="R316" s="22" t="n">
        <x:f>Q316*M316</x:f>
        <x:v>29640</x:v>
      </x:c>
      <x:c r="S316" s="22" t="n">
        <x:f>P316-R316</x:f>
        <x:v>4485</x:v>
      </x:c>
      <x:c r="T316" t="str">
        <x:v>UPI</x:v>
      </x:c>
      <x:c r="U316" t="str">
        <x:v>Paid</x:v>
      </x:c>
      <x:c r="V316" t="str">
        <x:v>Delivered</x:v>
      </x:c>
      <x:c r="W316" t="n">
        <x:v>0</x:v>
      </x:c>
      <x:c r="X316" t="str"/>
      <x:c r="Y316" t="str">
        <x:v>Existing Customer</x:v>
      </x:c>
    </x:row>
    <x:row r="317">
      <x:c r="A317" t="str">
        <x:v>O000316</x:v>
      </x:c>
      <x:c r="B317" s="20" t="n">
        <x:v>45719</x:v>
      </x:c>
      <x:c r="C317" t="str">
        <x:v>C0249</x:v>
      </x:c>
      <x:c r="D317" t="str">
        <x:v>City Hotel 249</x:v>
      </x:c>
      <x:c r="E317" t="str">
        <x:v>Supermarket</x:v>
      </x:c>
      <x:c r="F317" t="str">
        <x:v>Mysuru</x:v>
      </x:c>
      <x:c r="G317" t="str">
        <x:v>Arjun</x:v>
      </x:c>
      <x:c r="H317" t="str">
        <x:v>P049</x:v>
      </x:c>
      <x:c r="I317" t="str">
        <x:v>Apple 10kg</x:v>
      </x:c>
      <x:c r="J317" t="str">
        <x:v>Fresh Produce</x:v>
      </x:c>
      <x:c r="K317" t="str">
        <x:v>Local Market</x:v>
      </x:c>
      <x:c r="L317" s="22" t="n">
        <x:v>1450</x:v>
      </x:c>
      <x:c r="M317" t="n">
        <x:v>6</x:v>
      </x:c>
      <x:c r="N317" s="24" t="n">
        <x:v>0.05</x:v>
      </x:c>
      <x:c r="O317" s="22" t="n">
        <x:f>L317*M317</x:f>
        <x:v>8700</x:v>
      </x:c>
      <x:c r="P317" s="22" t="n">
        <x:f>O317*(1-N317)</x:f>
        <x:v>8265</x:v>
      </x:c>
      <x:c r="Q317" s="22" t="n">
        <x:v>1280</x:v>
      </x:c>
      <x:c r="R317" s="22" t="n">
        <x:f>Q317*M317</x:f>
        <x:v>7680</x:v>
      </x:c>
      <x:c r="S317" s="22" t="n">
        <x:f>P317-R317</x:f>
        <x:v>585</x:v>
      </x:c>
      <x:c r="T317" t="str">
        <x:v>UPI</x:v>
      </x:c>
      <x:c r="U317" t="str">
        <x:v>Paid</x:v>
      </x:c>
      <x:c r="V317" t="str">
        <x:v>Delivered</x:v>
      </x:c>
      <x:c r="W317" t="n">
        <x:v>0</x:v>
      </x:c>
      <x:c r="X317" t="str"/>
      <x:c r="Y317" t="str">
        <x:v>Existing Customer</x:v>
      </x:c>
    </x:row>
    <x:row r="318">
      <x:c r="A318" t="str">
        <x:v>O000317</x:v>
      </x:c>
      <x:c r="B318" s="20" t="n">
        <x:v>46107</x:v>
      </x:c>
      <x:c r="C318" t="str">
        <x:v>C0194</x:v>
      </x:c>
      <x:c r="D318" t="str">
        <x:v>Royal Hotel 194</x:v>
      </x:c>
      <x:c r="E318" t="str">
        <x:v>Kirana</x:v>
      </x:c>
      <x:c r="F318" t="str">
        <x:v>Mysuru</x:v>
      </x:c>
      <x:c r="G318" t="str">
        <x:v>Megha</x:v>
      </x:c>
      <x:c r="H318" t="str">
        <x:v>P023</x:v>
      </x:c>
      <x:c r="I318" t="str">
        <x:v>Cola 750ml</x:v>
      </x:c>
      <x:c r="J318" t="str">
        <x:v>Beverage</x:v>
      </x:c>
      <x:c r="K318" t="str">
        <x:v>Coca-Cola</x:v>
      </x:c>
      <x:c r="L318" s="22" t="n">
        <x:v>38</x:v>
      </x:c>
      <x:c r="M318" t="n">
        <x:v>13</x:v>
      </x:c>
      <x:c r="N318" s="24" t="n">
        <x:v>0</x:v>
      </x:c>
      <x:c r="O318" s="22" t="n">
        <x:f>L318*M318</x:f>
        <x:v>494</x:v>
      </x:c>
      <x:c r="P318" s="22" t="n">
        <x:f>O318*(1-N318)</x:f>
        <x:v>494</x:v>
      </x:c>
      <x:c r="Q318" s="22" t="n">
        <x:v>31</x:v>
      </x:c>
      <x:c r="R318" s="22" t="n">
        <x:f>Q318*M318</x:f>
        <x:v>403</x:v>
      </x:c>
      <x:c r="S318" s="22" t="n">
        <x:f>P318-R318</x:f>
        <x:v>91</x:v>
      </x:c>
      <x:c r="T318" t="str">
        <x:v>Credit</x:v>
      </x:c>
      <x:c r="U318" t="str">
        <x:v>Paid</x:v>
      </x:c>
      <x:c r="V318" t="str">
        <x:v>Delivered</x:v>
      </x:c>
      <x:c r="W318" t="n">
        <x:v>0</x:v>
      </x:c>
      <x:c r="X318" t="str"/>
      <x:c r="Y318" t="str">
        <x:v>Outbound Call</x:v>
      </x:c>
    </x:row>
    <x:row r="319">
      <x:c r="A319" t="str">
        <x:v>O000318</x:v>
      </x:c>
      <x:c r="B319" s="20" t="n">
        <x:v>45959</x:v>
      </x:c>
      <x:c r="C319" t="str">
        <x:v>C0113</x:v>
      </x:c>
      <x:c r="D319" t="str">
        <x:v>Namma Mart 113</x:v>
      </x:c>
      <x:c r="E319" t="str">
        <x:v>Restaurant</x:v>
      </x:c>
      <x:c r="F319" t="str">
        <x:v>Bengaluru</x:v>
      </x:c>
      <x:c r="G319" t="str">
        <x:v>Imran</x:v>
      </x:c>
      <x:c r="H319" t="str">
        <x:v>P036</x:v>
      </x:c>
      <x:c r="I319" t="str">
        <x:v>Garam Masala 500g</x:v>
      </x:c>
      <x:c r="J319" t="str">
        <x:v>Spices</x:v>
      </x:c>
      <x:c r="K319" t="str">
        <x:v>MDH</x:v>
      </x:c>
      <x:c r="L319" s="22" t="n">
        <x:v>265</x:v>
      </x:c>
      <x:c r="M319" t="n">
        <x:v>35</x:v>
      </x:c>
      <x:c r="N319" s="24" t="n">
        <x:v>0.05</x:v>
      </x:c>
      <x:c r="O319" s="22" t="n">
        <x:f>L319*M319</x:f>
        <x:v>9275</x:v>
      </x:c>
      <x:c r="P319" s="22" t="n">
        <x:f>O319*(1-N319)</x:f>
        <x:v>8811.25</x:v>
      </x:c>
      <x:c r="Q319" s="22" t="n">
        <x:v>230</x:v>
      </x:c>
      <x:c r="R319" s="22" t="n">
        <x:f>Q319*M319</x:f>
        <x:v>8050</x:v>
      </x:c>
      <x:c r="S319" s="22" t="n">
        <x:f>P319-R319</x:f>
        <x:v>761.25</x:v>
      </x:c>
      <x:c r="T319" t="str">
        <x:v>Bank Transfer</x:v>
      </x:c>
      <x:c r="U319" t="str">
        <x:v>Paid</x:v>
      </x:c>
      <x:c r="V319" t="str">
        <x:v>Delayed</x:v>
      </x:c>
      <x:c r="W319" t="n">
        <x:v>0</x:v>
      </x:c>
      <x:c r="X319" t="str"/>
      <x:c r="Y319" t="str">
        <x:v>Field Visit</x:v>
      </x:c>
    </x:row>
    <x:row r="320">
      <x:c r="A320" t="str">
        <x:v>O000319</x:v>
      </x:c>
      <x:c r="B320" s="20" t="n">
        <x:v>46271</x:v>
      </x:c>
      <x:c r="C320" t="str">
        <x:v>C0120</x:v>
      </x:c>
      <x:c r="D320" t="str">
        <x:v>Foodie Foods 120</x:v>
      </x:c>
      <x:c r="E320" t="str">
        <x:v>Hotel</x:v>
      </x:c>
      <x:c r="F320" t="str">
        <x:v>Hubballi</x:v>
      </x:c>
      <x:c r="G320" t="str">
        <x:v>Arjun</x:v>
      </x:c>
      <x:c r="H320" t="str">
        <x:v>P018</x:v>
      </x:c>
      <x:c r="I320" t="str">
        <x:v>Paneer 1kg</x:v>
      </x:c>
      <x:c r="J320" t="str">
        <x:v>Dairy</x:v>
      </x:c>
      <x:c r="K320" t="str">
        <x:v>Milky Mist</x:v>
      </x:c>
      <x:c r="L320" s="22" t="n">
        <x:v>410</x:v>
      </x:c>
      <x:c r="M320" t="n">
        <x:v>36</x:v>
      </x:c>
      <x:c r="N320" s="24" t="n">
        <x:v>0</x:v>
      </x:c>
      <x:c r="O320" s="22" t="n">
        <x:f>L320*M320</x:f>
        <x:v>14760</x:v>
      </x:c>
      <x:c r="P320" s="22" t="n">
        <x:f>O320*(1-N320)</x:f>
        <x:v>14760</x:v>
      </x:c>
      <x:c r="Q320" s="22" t="n">
        <x:v>370</x:v>
      </x:c>
      <x:c r="R320" s="22" t="n">
        <x:f>Q320*M320</x:f>
        <x:v>13320</x:v>
      </x:c>
      <x:c r="S320" s="22" t="n">
        <x:f>P320-R320</x:f>
        <x:v>1440</x:v>
      </x:c>
      <x:c r="T320" t="str">
        <x:v>Bank Transfer</x:v>
      </x:c>
      <x:c r="U320" t="str">
        <x:v>Paid</x:v>
      </x:c>
      <x:c r="V320" t="str">
        <x:v>Delivered</x:v>
      </x:c>
      <x:c r="W320" t="n">
        <x:v>0</x:v>
      </x:c>
      <x:c r="X320" t="str"/>
      <x:c r="Y320" t="str"/>
    </x:row>
    <x:row r="321">
      <x:c r="A321" t="str">
        <x:v>O000320</x:v>
      </x:c>
      <x:c r="B321" s="20" t="n">
        <x:v>46046</x:v>
      </x:c>
      <x:c r="C321" t="str">
        <x:v>C0164</x:v>
      </x:c>
      <x:c r="D321" t="str">
        <x:v>Sri Hotel 164</x:v>
      </x:c>
      <x:c r="E321" t="str">
        <x:v>Kirana</x:v>
      </x:c>
      <x:c r="F321" t="str">
        <x:v>Mysuru</x:v>
      </x:c>
      <x:c r="G321" t="str">
        <x:v>Vikram</x:v>
      </x:c>
      <x:c r="H321" t="str">
        <x:v>P033</x:v>
      </x:c>
      <x:c r="I321" t="str">
        <x:v>Turmeric Powder 1kg</x:v>
      </x:c>
      <x:c r="J321" t="str">
        <x:v>Spices</x:v>
      </x:c>
      <x:c r="K321" t="str">
        <x:v>Everest</x:v>
      </x:c>
      <x:c r="L321" s="22" t="n">
        <x:v>310</x:v>
      </x:c>
      <x:c r="M321" t="n">
        <x:v>12</x:v>
      </x:c>
      <x:c r="N321" s="24" t="n">
        <x:v>0.08</x:v>
      </x:c>
      <x:c r="O321" s="22" t="n">
        <x:f>L321*M321</x:f>
        <x:v>3720</x:v>
      </x:c>
      <x:c r="P321" s="22" t="n">
        <x:f>O321*(1-N321)</x:f>
        <x:v>3422.4</x:v>
      </x:c>
      <x:c r="Q321" s="22" t="n">
        <x:v>270</x:v>
      </x:c>
      <x:c r="R321" s="22" t="n">
        <x:f>Q321*M321</x:f>
        <x:v>3240</x:v>
      </x:c>
      <x:c r="S321" s="22" t="n">
        <x:f>P321-R321</x:f>
        <x:v>182.4000000000001</x:v>
      </x:c>
      <x:c r="T321" t="str">
        <x:v>Cash</x:v>
      </x:c>
      <x:c r="U321" t="str">
        <x:v>Pending</x:v>
      </x:c>
      <x:c r="V321" t="str">
        <x:v>Delivered</x:v>
      </x:c>
      <x:c r="W321" t="n">
        <x:v>0</x:v>
      </x:c>
      <x:c r="X321" t="str"/>
      <x:c r="Y321" t="str">
        <x:v>Outbound Call</x:v>
      </x:c>
    </x:row>
    <x:row r="322">
      <x:c r="A322" t="str">
        <x:v>O000321</x:v>
      </x:c>
      <x:c r="B322" s="20" t="n">
        <x:v>45852</x:v>
      </x:c>
      <x:c r="C322" t="str">
        <x:v>C0138</x:v>
      </x:c>
      <x:c r="D322" t="str">
        <x:v>New Mart 138</x:v>
      </x:c>
      <x:c r="E322" t="str">
        <x:v>Restaurant</x:v>
      </x:c>
      <x:c r="F322" t="str">
        <x:v>Bengaluru</x:v>
      </x:c>
      <x:c r="G322" t="str">
        <x:v>Ramesh</x:v>
      </x:c>
      <x:c r="H322" t="str">
        <x:v>P025</x:v>
      </x:c>
      <x:c r="I322" t="str">
        <x:v>Potato Chips 100g</x:v>
      </x:c>
      <x:c r="J322" t="str">
        <x:v>Snacks</x:v>
      </x:c>
      <x:c r="K322" t="str">
        <x:v>Lay's</x:v>
      </x:c>
      <x:c r="L322" s="22" t="n">
        <x:v>35</x:v>
      </x:c>
      <x:c r="M322" t="n">
        <x:v>34</x:v>
      </x:c>
      <x:c r="N322" s="24" t="n">
        <x:v>0.05</x:v>
      </x:c>
      <x:c r="O322" s="22" t="n">
        <x:f>L322*M322</x:f>
        <x:v>1190</x:v>
      </x:c>
      <x:c r="P322" s="22" t="n">
        <x:f>O322*(1-N322)</x:f>
        <x:v>1130.5</x:v>
      </x:c>
      <x:c r="Q322" s="22" t="n">
        <x:v>27</x:v>
      </x:c>
      <x:c r="R322" s="22" t="n">
        <x:f>Q322*M322</x:f>
        <x:v>918</x:v>
      </x:c>
      <x:c r="S322" s="22" t="n">
        <x:f>P322-R322</x:f>
        <x:v>212.5</x:v>
      </x:c>
      <x:c r="T322" t="str">
        <x:v>Bank Transfer</x:v>
      </x:c>
      <x:c r="U322" t="str">
        <x:v>Paid</x:v>
      </x:c>
      <x:c r="V322" t="str">
        <x:v>Delivered</x:v>
      </x:c>
      <x:c r="W322" t="n">
        <x:v>0</x:v>
      </x:c>
      <x:c r="X322" t="str"/>
      <x:c r="Y322" t="str">
        <x:v>Field Visit</x:v>
      </x:c>
    </x:row>
    <x:row r="323">
      <x:c r="A323" t="str">
        <x:v>O000322</x:v>
      </x:c>
      <x:c r="B323" s="20" t="n">
        <x:v>45726</x:v>
      </x:c>
      <x:c r="C323" t="str">
        <x:v>C0134</x:v>
      </x:c>
      <x:c r="D323" t="str">
        <x:v>Annapurna Stores 134</x:v>
      </x:c>
      <x:c r="E323" t="str">
        <x:v>Cafe</x:v>
      </x:c>
      <x:c r="F323" t="str">
        <x:v>Bengaluru</x:v>
      </x:c>
      <x:c r="G323" t="str">
        <x:v>Kavya</x:v>
      </x:c>
      <x:c r="H323" t="str">
        <x:v>P043</x:v>
      </x:c>
      <x:c r="I323" t="str">
        <x:v>Chicken Breast 1kg</x:v>
      </x:c>
      <x:c r="J323" t="str">
        <x:v>Protein</x:v>
      </x:c>
      <x:c r="K323" t="str">
        <x:v>FreshToHome</x:v>
      </x:c>
      <x:c r="L323" s="22" t="n">
        <x:v>260</x:v>
      </x:c>
      <x:c r="M323" t="n">
        <x:v>3</x:v>
      </x:c>
      <x:c r="N323" s="24" t="n">
        <x:v>0.05</x:v>
      </x:c>
      <x:c r="O323" s="22" t="n">
        <x:f>L323*M323</x:f>
        <x:v>780</x:v>
      </x:c>
      <x:c r="P323" s="22" t="n">
        <x:f>O323*(1-N323)</x:f>
        <x:v>741</x:v>
      </x:c>
      <x:c r="Q323" s="22" t="n">
        <x:v>235</x:v>
      </x:c>
      <x:c r="R323" s="22" t="n">
        <x:f>Q323*M323</x:f>
        <x:v>705</x:v>
      </x:c>
      <x:c r="S323" s="22" t="n">
        <x:f>P323-R323</x:f>
        <x:v>36</x:v>
      </x:c>
      <x:c r="T323" t="str">
        <x:v>Bank Transfer</x:v>
      </x:c>
      <x:c r="U323" t="str">
        <x:v>Paid</x:v>
      </x:c>
      <x:c r="V323" t="str">
        <x:v>Delivered</x:v>
      </x:c>
      <x:c r="W323" t="n">
        <x:v>0</x:v>
      </x:c>
      <x:c r="X323" t="str"/>
      <x:c r="Y323" t="str">
        <x:v>WhatsApp</x:v>
      </x:c>
    </x:row>
    <x:row r="324">
      <x:c r="A324" t="str">
        <x:v>O000323</x:v>
      </x:c>
      <x:c r="B324" s="20" t="n">
        <x:v>46055</x:v>
      </x:c>
      <x:c r="C324" t="str">
        <x:v>C0009</x:v>
      </x:c>
      <x:c r="D324" t="str">
        <x:v>Darshini Hotel 9</x:v>
      </x:c>
      <x:c r="E324" t="str">
        <x:v>Cafe</x:v>
      </x:c>
      <x:c r="F324" t="str">
        <x:v>Hubballi</x:v>
      </x:c>
      <x:c r="G324" t="str">
        <x:v>Imran</x:v>
      </x:c>
      <x:c r="H324" t="str">
        <x:v>P037</x:v>
      </x:c>
      <x:c r="I324" t="str">
        <x:v>Frozen Peas 1kg</x:v>
      </x:c>
      <x:c r="J324" t="str">
        <x:v>Frozen</x:v>
      </x:c>
      <x:c r="K324" t="str">
        <x:v>Safal</x:v>
      </x:c>
      <x:c r="L324" s="22" t="n">
        <x:v>155</x:v>
      </x:c>
      <x:c r="M324" t="n">
        <x:v>32</x:v>
      </x:c>
      <x:c r="N324" s="24" t="n">
        <x:v>0.03</x:v>
      </x:c>
      <x:c r="O324" s="22" t="n">
        <x:f>L324*M324</x:f>
        <x:v>4960</x:v>
      </x:c>
      <x:c r="P324" s="22" t="n">
        <x:f>O324*(1-N324)</x:f>
        <x:v>4811.2</x:v>
      </x:c>
      <x:c r="Q324" s="22" t="n">
        <x:v>138</x:v>
      </x:c>
      <x:c r="R324" s="22" t="n">
        <x:f>Q324*M324</x:f>
        <x:v>4416</x:v>
      </x:c>
      <x:c r="S324" s="22" t="n">
        <x:f>P324-R324</x:f>
        <x:v>395.1999999999998</x:v>
      </x:c>
      <x:c r="T324" t="str">
        <x:v>Cash</x:v>
      </x:c>
      <x:c r="U324" t="str">
        <x:v>Paid</x:v>
      </x:c>
      <x:c r="V324" t="str">
        <x:v>Delivered</x:v>
      </x:c>
      <x:c r="W324" t="n">
        <x:v>0</x:v>
      </x:c>
      <x:c r="X324" t="str"/>
      <x:c r="Y324" t="str"/>
    </x:row>
    <x:row r="325">
      <x:c r="A325" t="str">
        <x:v>O000324</x:v>
      </x:c>
      <x:c r="B325" s="20" t="n">
        <x:v>46161</x:v>
      </x:c>
      <x:c r="C325" t="str">
        <x:v>C0236</x:v>
      </x:c>
      <x:c r="D325" t="str">
        <x:v>Foodie Stores 236</x:v>
      </x:c>
      <x:c r="E325" t="str">
        <x:v>Kirana</x:v>
      </x:c>
      <x:c r="F325" t="str">
        <x:v>Bengaluru</x:v>
      </x:c>
      <x:c r="G325" t="str">
        <x:v>Ramesh</x:v>
      </x:c>
      <x:c r="H325" t="str">
        <x:v>P014</x:v>
      </x:c>
      <x:c r="I325" t="str">
        <x:v>Rava 5kg</x:v>
      </x:c>
      <x:c r="J325" t="str">
        <x:v>Flour</x:v>
      </x:c>
      <x:c r="K325" t="str">
        <x:v>Local Select</x:v>
      </x:c>
      <x:c r="L325" s="22" t="n">
        <x:v>245</x:v>
      </x:c>
      <x:c r="M325" t="n">
        <x:v>6</x:v>
      </x:c>
      <x:c r="N325" s="24" t="n">
        <x:v>0.03</x:v>
      </x:c>
      <x:c r="O325" s="22" t="n">
        <x:f>L325*M325</x:f>
        <x:v>1470</x:v>
      </x:c>
      <x:c r="P325" s="22" t="n">
        <x:f>O325*(1-N325)</x:f>
        <x:v>1425.8999999999999</x:v>
      </x:c>
      <x:c r="Q325" s="22" t="n">
        <x:v>215</x:v>
      </x:c>
      <x:c r="R325" s="22" t="n">
        <x:f>Q325*M325</x:f>
        <x:v>1290</x:v>
      </x:c>
      <x:c r="S325" s="22" t="n">
        <x:f>P325-R325</x:f>
        <x:v>135.89999999999986</x:v>
      </x:c>
      <x:c r="T325" t="str">
        <x:v>UPI</x:v>
      </x:c>
      <x:c r="U325" t="str">
        <x:v>Paid</x:v>
      </x:c>
      <x:c r="V325" t="str">
        <x:v>Cancelled</x:v>
      </x:c>
      <x:c r="W325" t="n">
        <x:v>6</x:v>
      </x:c>
      <x:c r="X325" t="str">
        <x:v>Cancelled Order</x:v>
      </x:c>
      <x:c r="Y325" t="str">
        <x:v>WhatsApp</x:v>
      </x:c>
    </x:row>
    <x:row r="326">
      <x:c r="A326" t="str">
        <x:v>O000325</x:v>
      </x:c>
      <x:c r="B326" s="20" t="n">
        <x:v>45717</x:v>
      </x:c>
      <x:c r="C326" t="str">
        <x:v>C0204</x:v>
      </x:c>
      <x:c r="D326" t="str">
        <x:v>Udupi Stores 204</x:v>
      </x:c>
      <x:c r="E326" t="str">
        <x:v>Kirana</x:v>
      </x:c>
      <x:c r="F326" t="str">
        <x:v>Bengaluru</x:v>
      </x:c>
      <x:c r="G326" t="str">
        <x:v>Vikram</x:v>
      </x:c>
      <x:c r="H326" t="str">
        <x:v>P046</x:v>
      </x:c>
      <x:c r="I326" t="str">
        <x:v>Potato 25kg</x:v>
      </x:c>
      <x:c r="J326" t="str">
        <x:v>Fresh Produce</x:v>
      </x:c>
      <x:c r="K326" t="str">
        <x:v>Local Market</x:v>
      </x:c>
      <x:c r="L326" s="22" t="n">
        <x:v>700</x:v>
      </x:c>
      <x:c r="M326" t="n">
        <x:v>40</x:v>
      </x:c>
      <x:c r="N326" s="24" t="n">
        <x:v>0.02</x:v>
      </x:c>
      <x:c r="O326" s="22" t="n">
        <x:f>L326*M326</x:f>
        <x:v>28000</x:v>
      </x:c>
      <x:c r="P326" s="22" t="n">
        <x:f>O326*(1-N326)</x:f>
        <x:v>27440</x:v>
      </x:c>
      <x:c r="Q326" s="22" t="n">
        <x:v>610</x:v>
      </x:c>
      <x:c r="R326" s="22" t="n">
        <x:f>Q326*M326</x:f>
        <x:v>24400</x:v>
      </x:c>
      <x:c r="S326" s="22" t="n">
        <x:f>P326-R326</x:f>
        <x:v>3040</x:v>
      </x:c>
      <x:c r="T326" t="str">
        <x:v>UPI</x:v>
      </x:c>
      <x:c r="U326" t="str">
        <x:v>Pending</x:v>
      </x:c>
      <x:c r="V326" t="str">
        <x:v>Delivered</x:v>
      </x:c>
      <x:c r="W326" t="n">
        <x:v>0</x:v>
      </x:c>
      <x:c r="X326" t="str"/>
      <x:c r="Y326" t="str">
        <x:v>Referral</x:v>
      </x:c>
    </x:row>
    <x:row r="327">
      <x:c r="A327" t="str">
        <x:v>O000326</x:v>
      </x:c>
      <x:c r="B327" s="20" t="n">
        <x:v>45894</x:v>
      </x:c>
      <x:c r="C327" t="str">
        <x:v>C0025</x:v>
      </x:c>
      <x:c r="D327" t="str">
        <x:v>Sri Cafe 25</x:v>
      </x:c>
      <x:c r="E327" t="str">
        <x:v>Hotel</x:v>
      </x:c>
      <x:c r="F327" t="str">
        <x:v>Mysuru</x:v>
      </x:c>
      <x:c r="G327" t="str">
        <x:v>Kavya</x:v>
      </x:c>
      <x:c r="H327" t="str">
        <x:v>P007</x:v>
      </x:c>
      <x:c r="I327" t="str">
        <x:v>Sunflower Oil 15L</x:v>
      </x:c>
      <x:c r="J327" t="str">
        <x:v>Edible Oil</x:v>
      </x:c>
      <x:c r="K327" t="str">
        <x:v>Fortune</x:v>
      </x:c>
      <x:c r="L327" s="22" t="n">
        <x:v>1980</x:v>
      </x:c>
      <x:c r="M327" t="n">
        <x:v>7</x:v>
      </x:c>
      <x:c r="N327" s="24" t="n">
        <x:v>0</x:v>
      </x:c>
      <x:c r="O327" s="22" t="n">
        <x:f>L327*M327</x:f>
        <x:v>13860</x:v>
      </x:c>
      <x:c r="P327" s="22" t="n">
        <x:f>O327*(1-N327)</x:f>
        <x:v>13860</x:v>
      </x:c>
      <x:c r="Q327" s="22" t="n">
        <x:v>1810</x:v>
      </x:c>
      <x:c r="R327" s="22" t="n">
        <x:f>Q327*M327</x:f>
        <x:v>12670</x:v>
      </x:c>
      <x:c r="S327" s="22" t="n">
        <x:f>P327-R327</x:f>
        <x:v>1190</x:v>
      </x:c>
      <x:c r="T327" t="str">
        <x:v>Bank Transfer</x:v>
      </x:c>
      <x:c r="U327" t="str">
        <x:v>Paid</x:v>
      </x:c>
      <x:c r="V327" t="str">
        <x:v>Delivered</x:v>
      </x:c>
      <x:c r="W327" t="n">
        <x:v>0</x:v>
      </x:c>
      <x:c r="X327" t="str"/>
      <x:c r="Y327" t="str">
        <x:v>Existing Customer</x:v>
      </x:c>
    </x:row>
    <x:row r="328">
      <x:c r="A328" t="str">
        <x:v>O000327</x:v>
      </x:c>
      <x:c r="B328" s="20" t="n">
        <x:v>46248</x:v>
      </x:c>
      <x:c r="C328" t="str">
        <x:v>C0028</x:v>
      </x:c>
      <x:c r="D328" t="str">
        <x:v>Spice Cafe 28</x:v>
      </x:c>
      <x:c r="E328" t="str">
        <x:v>Supermarket</x:v>
      </x:c>
      <x:c r="F328" t="str">
        <x:v>Mysuru</x:v>
      </x:c>
      <x:c r="G328" t="str">
        <x:v>Vikram</x:v>
      </x:c>
      <x:c r="H328" t="str">
        <x:v>P050</x:v>
      </x:c>
      <x:c r="I328" t="str">
        <x:v>Lemon 5kg</x:v>
      </x:c>
      <x:c r="J328" t="str">
        <x:v>Fresh Produce</x:v>
      </x:c>
      <x:c r="K328" t="str">
        <x:v>Local Market</x:v>
      </x:c>
      <x:c r="L328" s="22" t="n">
        <x:v>360</x:v>
      </x:c>
      <x:c r="M328" t="n">
        <x:v>23</x:v>
      </x:c>
      <x:c r="N328" s="24" t="n">
        <x:v>0.05</x:v>
      </x:c>
      <x:c r="O328" s="22" t="n">
        <x:f>L328*M328</x:f>
        <x:v>8280</x:v>
      </x:c>
      <x:c r="P328" s="22" t="n">
        <x:f>O328*(1-N328)</x:f>
        <x:v>7866</x:v>
      </x:c>
      <x:c r="Q328" s="22" t="n">
        <x:v>300</x:v>
      </x:c>
      <x:c r="R328" s="22" t="n">
        <x:f>Q328*M328</x:f>
        <x:v>6900</x:v>
      </x:c>
      <x:c r="S328" s="22" t="n">
        <x:f>P328-R328</x:f>
        <x:v>966</x:v>
      </x:c>
      <x:c r="T328" t="str">
        <x:v>Credit</x:v>
      </x:c>
      <x:c r="U328" t="str">
        <x:v>Pending</x:v>
      </x:c>
      <x:c r="V328" t="str">
        <x:v>Delivered</x:v>
      </x:c>
      <x:c r="W328" t="n">
        <x:v>0</x:v>
      </x:c>
      <x:c r="X328" t="str"/>
      <x:c r="Y328" t="str">
        <x:v>Existing Customer</x:v>
      </x:c>
    </x:row>
    <x:row r="329">
      <x:c r="A329" t="str">
        <x:v>O000328</x:v>
      </x:c>
      <x:c r="B329" s="20" t="n">
        <x:v>45819</x:v>
      </x:c>
      <x:c r="C329" t="str">
        <x:v>C0087</x:v>
      </x:c>
      <x:c r="D329" t="str">
        <x:v>Namma Kitchen 87</x:v>
      </x:c>
      <x:c r="E329" t="str">
        <x:v>Kirana</x:v>
      </x:c>
      <x:c r="F329" t="str">
        <x:v>Bengaluru</x:v>
      </x:c>
      <x:c r="G329" t="str">
        <x:v>Priya</x:v>
      </x:c>
      <x:c r="H329" t="str">
        <x:v>P043</x:v>
      </x:c>
      <x:c r="I329" t="str">
        <x:v>Chicken Breast 1kg</x:v>
      </x:c>
      <x:c r="J329" t="str">
        <x:v>Protein</x:v>
      </x:c>
      <x:c r="K329" t="str">
        <x:v>FreshToHome</x:v>
      </x:c>
      <x:c r="L329" s="22" t="n">
        <x:v>260</x:v>
      </x:c>
      <x:c r="M329" t="n">
        <x:v>35</x:v>
      </x:c>
      <x:c r="N329" s="24" t="n">
        <x:v>0.1</x:v>
      </x:c>
      <x:c r="O329" s="22" t="n">
        <x:f>L329*M329</x:f>
        <x:v>9100</x:v>
      </x:c>
      <x:c r="P329" s="22" t="n">
        <x:f>O329*(1-N329)</x:f>
        <x:v>8190</x:v>
      </x:c>
      <x:c r="Q329" s="22" t="n">
        <x:v>235</x:v>
      </x:c>
      <x:c r="R329" s="22" t="n">
        <x:f>Q329*M329</x:f>
        <x:v>8225</x:v>
      </x:c>
      <x:c r="S329" s="22" t="n">
        <x:f>P329-R329</x:f>
        <x:v>-35</x:v>
      </x:c>
      <x:c r="T329" t="str">
        <x:v>Credit</x:v>
      </x:c>
      <x:c r="U329" t="str">
        <x:v>Overdue</x:v>
      </x:c>
      <x:c r="V329" t="str">
        <x:v>Delivered</x:v>
      </x:c>
      <x:c r="W329" t="n">
        <x:v>0</x:v>
      </x:c>
      <x:c r="X329" t="str"/>
      <x:c r="Y329" t="str">
        <x:v>Field Visit</x:v>
      </x:c>
    </x:row>
    <x:row r="330">
      <x:c r="A330" t="str">
        <x:v>O000329</x:v>
      </x:c>
      <x:c r="B330" s="20" t="n">
        <x:v>46098</x:v>
      </x:c>
      <x:c r="C330" t="str">
        <x:v>C0106</x:v>
      </x:c>
      <x:c r="D330" t="str">
        <x:v>Classic Mart 106</x:v>
      </x:c>
      <x:c r="E330" t="str">
        <x:v>Restaurant</x:v>
      </x:c>
      <x:c r="F330" t="str">
        <x:v>Mysuru</x:v>
      </x:c>
      <x:c r="G330" t="str">
        <x:v>Kavya</x:v>
      </x:c>
      <x:c r="H330" t="str">
        <x:v>P049</x:v>
      </x:c>
      <x:c r="I330" t="str">
        <x:v>Apple 10kg</x:v>
      </x:c>
      <x:c r="J330" t="str">
        <x:v>Fresh Produce</x:v>
      </x:c>
      <x:c r="K330" t="str">
        <x:v>Local Market</x:v>
      </x:c>
      <x:c r="L330" s="22" t="n">
        <x:v>1450</x:v>
      </x:c>
      <x:c r="M330" t="n">
        <x:v>10</x:v>
      </x:c>
      <x:c r="N330" s="24" t="n">
        <x:v>0</x:v>
      </x:c>
      <x:c r="O330" s="22" t="n">
        <x:f>L330*M330</x:f>
        <x:v>14500</x:v>
      </x:c>
      <x:c r="P330" s="22" t="n">
        <x:f>O330*(1-N330)</x:f>
        <x:v>14500</x:v>
      </x:c>
      <x:c r="Q330" s="22" t="n">
        <x:v>1280</x:v>
      </x:c>
      <x:c r="R330" s="22" t="n">
        <x:f>Q330*M330</x:f>
        <x:v>12800</x:v>
      </x:c>
      <x:c r="S330" s="22" t="n">
        <x:f>P330-R330</x:f>
        <x:v>1700</x:v>
      </x:c>
      <x:c r="T330" t="str">
        <x:v>Bank Transfer</x:v>
      </x:c>
      <x:c r="U330" t="str">
        <x:v>Paid</x:v>
      </x:c>
      <x:c r="V330" t="str">
        <x:v>Delayed</x:v>
      </x:c>
      <x:c r="W330" t="n">
        <x:v>0</x:v>
      </x:c>
      <x:c r="X330" t="str"/>
      <x:c r="Y330" t="str">
        <x:v>Field Visit</x:v>
      </x:c>
    </x:row>
    <x:row r="331">
      <x:c r="A331" t="str">
        <x:v>O000330</x:v>
      </x:c>
      <x:c r="B331" s="20" t="n">
        <x:v>46064</x:v>
      </x:c>
      <x:c r="C331" t="str">
        <x:v>C0116</x:v>
      </x:c>
      <x:c r="D331" t="str">
        <x:v>Classic Foods 116</x:v>
      </x:c>
      <x:c r="E331" t="str">
        <x:v>Supermarket</x:v>
      </x:c>
      <x:c r="F331" t="str">
        <x:v>Davanagere</x:v>
      </x:c>
      <x:c r="G331" t="str">
        <x:v>Megha</x:v>
      </x:c>
      <x:c r="H331" t="str">
        <x:v>P029</x:v>
      </x:c>
      <x:c r="I331" t="str">
        <x:v>Tomato Ketchup 1kg</x:v>
      </x:c>
      <x:c r="J331" t="str">
        <x:v>Condiments</x:v>
      </x:c>
      <x:c r="K331" t="str">
        <x:v>Kissan</x:v>
      </x:c>
      <x:c r="L331" s="22" t="n">
        <x:v>145</x:v>
      </x:c>
      <x:c r="M331" t="n">
        <x:v>1</x:v>
      </x:c>
      <x:c r="N331" s="24" t="n">
        <x:v>0.05</x:v>
      </x:c>
      <x:c r="O331" s="22" t="n">
        <x:f>L331*M331</x:f>
        <x:v>145</x:v>
      </x:c>
      <x:c r="P331" s="22" t="n">
        <x:f>O331*(1-N331)</x:f>
        <x:v>137.75</x:v>
      </x:c>
      <x:c r="Q331" s="22" t="n">
        <x:v>126</x:v>
      </x:c>
      <x:c r="R331" s="22" t="n">
        <x:f>Q331*M331</x:f>
        <x:v>126</x:v>
      </x:c>
      <x:c r="S331" s="22" t="n">
        <x:f>P331-R331</x:f>
        <x:v>11.75</x:v>
      </x:c>
      <x:c r="T331" t="str">
        <x:v>Cash</x:v>
      </x:c>
      <x:c r="U331" t="str">
        <x:v>Paid</x:v>
      </x:c>
      <x:c r="V331" t="str">
        <x:v>Delayed</x:v>
      </x:c>
      <x:c r="W331" t="n">
        <x:v>0</x:v>
      </x:c>
      <x:c r="X331" t="str"/>
      <x:c r="Y331" t="str">
        <x:v>Referral</x:v>
      </x:c>
    </x:row>
    <x:row r="332">
      <x:c r="A332" t="str">
        <x:v>O000331</x:v>
      </x:c>
      <x:c r="B332" s="20" t="n">
        <x:v>45965</x:v>
      </x:c>
      <x:c r="C332" t="str">
        <x:v>C0078</x:v>
      </x:c>
      <x:c r="D332" t="str">
        <x:v>Sagar Canteen 78</x:v>
      </x:c>
      <x:c r="E332" t="str">
        <x:v>Hotel</x:v>
      </x:c>
      <x:c r="F332" t="str">
        <x:v>Mangaluru</x:v>
      </x:c>
      <x:c r="G332" t="str">
        <x:v>Ramesh</x:v>
      </x:c>
      <x:c r="H332" t="str">
        <x:v>P001</x:v>
      </x:c>
      <x:c r="I332" t="str">
        <x:v>Steam Rice 25kg</x:v>
      </x:c>
      <x:c r="J332" t="str">
        <x:v>Staples</x:v>
      </x:c>
      <x:c r="K332" t="str">
        <x:v>Aishwarya</x:v>
      </x:c>
      <x:c r="L332" s="22" t="n">
        <x:v>1180</x:v>
      </x:c>
      <x:c r="M332" t="n">
        <x:v>4</x:v>
      </x:c>
      <x:c r="N332" s="24" t="n">
        <x:v>0.08</x:v>
      </x:c>
      <x:c r="O332" s="22" t="n">
        <x:f>L332*M332</x:f>
        <x:v>4720</x:v>
      </x:c>
      <x:c r="P332" s="22" t="n">
        <x:f>O332*(1-N332)</x:f>
        <x:v>4342.400000000001</x:v>
      </x:c>
      <x:c r="Q332" s="22" t="n">
        <x:v>1040</x:v>
      </x:c>
      <x:c r="R332" s="22" t="n">
        <x:f>Q332*M332</x:f>
        <x:v>4160</x:v>
      </x:c>
      <x:c r="S332" s="22" t="n">
        <x:f>P332-R332</x:f>
        <x:v>182.40000000000055</x:v>
      </x:c>
      <x:c r="T332" t="str">
        <x:v>UPI</x:v>
      </x:c>
      <x:c r="U332" t="str">
        <x:v>Pending</x:v>
      </x:c>
      <x:c r="V332" t="str">
        <x:v>Cancelled</x:v>
      </x:c>
      <x:c r="W332" t="n">
        <x:v>4</x:v>
      </x:c>
      <x:c r="X332" t="str">
        <x:v>Cancelled Order</x:v>
      </x:c>
      <x:c r="Y332" t="str">
        <x:v>Field Visit</x:v>
      </x:c>
    </x:row>
    <x:row r="333">
      <x:c r="A333" t="str">
        <x:v>O000332</x:v>
      </x:c>
      <x:c r="B333" s="20" t="n">
        <x:v>46242</x:v>
      </x:c>
      <x:c r="C333" t="str">
        <x:v>C0131</x:v>
      </x:c>
      <x:c r="D333" t="str">
        <x:v>Foodie Canteen 131</x:v>
      </x:c>
      <x:c r="E333" t="str">
        <x:v>Canteen</x:v>
      </x:c>
      <x:c r="F333" t="str">
        <x:v>Davanagere</x:v>
      </x:c>
      <x:c r="G333" t="str">
        <x:v>Arjun</x:v>
      </x:c>
      <x:c r="H333" t="str">
        <x:v>P036</x:v>
      </x:c>
      <x:c r="I333" t="str">
        <x:v>Garam Masala 500g</x:v>
      </x:c>
      <x:c r="J333" t="str">
        <x:v>Spices</x:v>
      </x:c>
      <x:c r="K333" t="str">
        <x:v>MDH</x:v>
      </x:c>
      <x:c r="L333" s="22" t="n">
        <x:v>265</x:v>
      </x:c>
      <x:c r="M333" t="n">
        <x:v>37</x:v>
      </x:c>
      <x:c r="N333" s="24" t="n">
        <x:v>0</x:v>
      </x:c>
      <x:c r="O333" s="22" t="n">
        <x:f>L333*M333</x:f>
        <x:v>9805</x:v>
      </x:c>
      <x:c r="P333" s="22" t="n">
        <x:f>O333*(1-N333)</x:f>
        <x:v>9805</x:v>
      </x:c>
      <x:c r="Q333" s="22" t="n">
        <x:v>230</x:v>
      </x:c>
      <x:c r="R333" s="22" t="n">
        <x:f>Q333*M333</x:f>
        <x:v>8510</x:v>
      </x:c>
      <x:c r="S333" s="22" t="n">
        <x:f>P333-R333</x:f>
        <x:v>1295</x:v>
      </x:c>
      <x:c r="T333" t="str">
        <x:v>UPI</x:v>
      </x:c>
      <x:c r="U333" t="str">
        <x:v>Paid</x:v>
      </x:c>
      <x:c r="V333" t="str">
        <x:v>Delivered</x:v>
      </x:c>
      <x:c r="W333" t="n">
        <x:v>0</x:v>
      </x:c>
      <x:c r="X333" t="str"/>
      <x:c r="Y333" t="str">
        <x:v>Field Visit</x:v>
      </x:c>
    </x:row>
    <x:row r="334">
      <x:c r="A334" t="str">
        <x:v>O000333</x:v>
      </x:c>
      <x:c r="B334" s="20" t="n">
        <x:v>45920</x:v>
      </x:c>
      <x:c r="C334" t="str">
        <x:v>C0064</x:v>
      </x:c>
      <x:c r="D334" t="str">
        <x:v>Hotel Restaurant 64</x:v>
      </x:c>
      <x:c r="E334" t="str">
        <x:v>Cafe</x:v>
      </x:c>
      <x:c r="F334" t="str">
        <x:v>Mangaluru</x:v>
      </x:c>
      <x:c r="G334" t="str">
        <x:v>Imran</x:v>
      </x:c>
      <x:c r="H334" t="str">
        <x:v>P015</x:v>
      </x:c>
      <x:c r="I334" t="str">
        <x:v>Milk 1L</x:v>
      </x:c>
      <x:c r="J334" t="str">
        <x:v>Dairy</x:v>
      </x:c>
      <x:c r="K334" t="str">
        <x:v>Nandini</x:v>
      </x:c>
      <x:c r="L334" s="22" t="n">
        <x:v>48</x:v>
      </x:c>
      <x:c r="M334" t="n">
        <x:v>20</x:v>
      </x:c>
      <x:c r="N334" s="24" t="n">
        <x:v>0</x:v>
      </x:c>
      <x:c r="O334" s="22" t="n">
        <x:f>L334*M334</x:f>
        <x:v>960</x:v>
      </x:c>
      <x:c r="P334" s="22" t="n">
        <x:f>O334*(1-N334)</x:f>
        <x:v>960</x:v>
      </x:c>
      <x:c r="Q334" s="22" t="n">
        <x:v>43</x:v>
      </x:c>
      <x:c r="R334" s="22" t="n">
        <x:f>Q334*M334</x:f>
        <x:v>860</x:v>
      </x:c>
      <x:c r="S334" s="22" t="n">
        <x:f>P334-R334</x:f>
        <x:v>100</x:v>
      </x:c>
      <x:c r="T334" t="str">
        <x:v>Credit</x:v>
      </x:c>
      <x:c r="U334" t="str">
        <x:v>Paid</x:v>
      </x:c>
      <x:c r="V334" t="str">
        <x:v>Delivered</x:v>
      </x:c>
      <x:c r="W334" t="n">
        <x:v>0</x:v>
      </x:c>
      <x:c r="X334" t="str"/>
      <x:c r="Y334" t="str">
        <x:v>Field Visit</x:v>
      </x:c>
    </x:row>
    <x:row r="335">
      <x:c r="A335" t="str">
        <x:v>O000334</x:v>
      </x:c>
      <x:c r="B335" s="20" t="n">
        <x:v>46248</x:v>
      </x:c>
      <x:c r="C335" t="str">
        <x:v>C0045</x:v>
      </x:c>
      <x:c r="D335" t="str">
        <x:v>Annapurna Restaurant 45</x:v>
      </x:c>
      <x:c r="E335" t="str">
        <x:v>Kirana</x:v>
      </x:c>
      <x:c r="F335" t="str">
        <x:v>Mysuru</x:v>
      </x:c>
      <x:c r="G335" t="str">
        <x:v>Arjun</x:v>
      </x:c>
      <x:c r="H335" t="str">
        <x:v>P032</x:v>
      </x:c>
      <x:c r="I335" t="str">
        <x:v>Soy Sauce 700g</x:v>
      </x:c>
      <x:c r="J335" t="str">
        <x:v>Condiments</x:v>
      </x:c>
      <x:c r="K335" t="str">
        <x:v>Ching's</x:v>
      </x:c>
      <x:c r="L335" s="22" t="n">
        <x:v>118</x:v>
      </x:c>
      <x:c r="M335" t="n">
        <x:v>7</x:v>
      </x:c>
      <x:c r="N335" s="24" t="n">
        <x:v>0.03</x:v>
      </x:c>
      <x:c r="O335" s="22" t="n">
        <x:f>L335*M335</x:f>
        <x:v>826</x:v>
      </x:c>
      <x:c r="P335" s="22" t="n">
        <x:f>O335*(1-N335)</x:f>
        <x:v>801.22</x:v>
      </x:c>
      <x:c r="Q335" s="22" t="n">
        <x:v>101</x:v>
      </x:c>
      <x:c r="R335" s="22" t="n">
        <x:f>Q335*M335</x:f>
        <x:v>707</x:v>
      </x:c>
      <x:c r="S335" s="22" t="n">
        <x:f>P335-R335</x:f>
        <x:v>94.22000000000003</x:v>
      </x:c>
      <x:c r="T335" t="str">
        <x:v>Cash</x:v>
      </x:c>
      <x:c r="U335" t="str">
        <x:v>Paid</x:v>
      </x:c>
      <x:c r="V335" t="str">
        <x:v>Delayed</x:v>
      </x:c>
      <x:c r="W335" t="n">
        <x:v>0</x:v>
      </x:c>
      <x:c r="X335" t="str"/>
      <x:c r="Y335" t="str">
        <x:v>WhatsApp</x:v>
      </x:c>
    </x:row>
    <x:row r="336">
      <x:c r="A336" t="str">
        <x:v>O000335</x:v>
      </x:c>
      <x:c r="B336" s="20" t="n">
        <x:v>46000</x:v>
      </x:c>
      <x:c r="C336" t="str">
        <x:v>C0015</x:v>
      </x:c>
      <x:c r="D336" t="str">
        <x:v>Royal Foods 15</x:v>
      </x:c>
      <x:c r="E336" t="str">
        <x:v>Cafe</x:v>
      </x:c>
      <x:c r="F336" t="str">
        <x:v>Mysuru</x:v>
      </x:c>
      <x:c r="G336" t="str">
        <x:v>Ramesh</x:v>
      </x:c>
      <x:c r="H336" t="str">
        <x:v>P050</x:v>
      </x:c>
      <x:c r="I336" t="str">
        <x:v>Lemon 5kg</x:v>
      </x:c>
      <x:c r="J336" t="str">
        <x:v>Fresh Produce</x:v>
      </x:c>
      <x:c r="K336" t="str">
        <x:v>Local Market</x:v>
      </x:c>
      <x:c r="L336" s="22" t="n">
        <x:v>360</x:v>
      </x:c>
      <x:c r="M336" t="n">
        <x:v>23</x:v>
      </x:c>
      <x:c r="N336" s="24" t="n">
        <x:v>0.08</x:v>
      </x:c>
      <x:c r="O336" s="22" t="n">
        <x:f>L336*M336</x:f>
        <x:v>8280</x:v>
      </x:c>
      <x:c r="P336" s="22" t="n">
        <x:f>O336*(1-N336)</x:f>
        <x:v>7617.6</x:v>
      </x:c>
      <x:c r="Q336" s="22" t="n">
        <x:v>300</x:v>
      </x:c>
      <x:c r="R336" s="22" t="n">
        <x:f>Q336*M336</x:f>
        <x:v>6900</x:v>
      </x:c>
      <x:c r="S336" s="22" t="n">
        <x:f>P336-R336</x:f>
        <x:v>717.6000000000004</x:v>
      </x:c>
      <x:c r="T336" t="str">
        <x:v>Credit</x:v>
      </x:c>
      <x:c r="U336" t="str">
        <x:v>Paid</x:v>
      </x:c>
      <x:c r="V336" t="str">
        <x:v>Delivered</x:v>
      </x:c>
      <x:c r="W336" t="n">
        <x:v>0</x:v>
      </x:c>
      <x:c r="X336" t="str"/>
      <x:c r="Y336" t="str">
        <x:v>Referral</x:v>
      </x:c>
    </x:row>
    <x:row r="337">
      <x:c r="A337" t="str">
        <x:v>O000336</x:v>
      </x:c>
      <x:c r="B337" s="20" t="n">
        <x:v>45669</x:v>
      </x:c>
      <x:c r="C337" t="str">
        <x:v>C0218</x:v>
      </x:c>
      <x:c r="D337" t="str">
        <x:v>Green Stores 218</x:v>
      </x:c>
      <x:c r="E337" t="str">
        <x:v>Hotel</x:v>
      </x:c>
      <x:c r="F337" t="str">
        <x:v>Mysuru</x:v>
      </x:c>
      <x:c r="G337" t="str">
        <x:v>Imran</x:v>
      </x:c>
      <x:c r="H337" t="str">
        <x:v>P039</x:v>
      </x:c>
      <x:c r="I337" t="str">
        <x:v>Ice Cream 4L</x:v>
      </x:c>
      <x:c r="J337" t="str">
        <x:v>Frozen</x:v>
      </x:c>
      <x:c r="K337" t="str">
        <x:v>Amul</x:v>
      </x:c>
      <x:c r="L337" s="22" t="n">
        <x:v>480</x:v>
      </x:c>
      <x:c r="M337" t="n">
        <x:v>25</x:v>
      </x:c>
      <x:c r="N337" s="24" t="n">
        <x:v>0</x:v>
      </x:c>
      <x:c r="O337" s="22" t="n">
        <x:f>L337*M337</x:f>
        <x:v>12000</x:v>
      </x:c>
      <x:c r="P337" s="22" t="n">
        <x:f>O337*(1-N337)</x:f>
        <x:v>12000</x:v>
      </x:c>
      <x:c r="Q337" s="22" t="n">
        <x:v>420</x:v>
      </x:c>
      <x:c r="R337" s="22" t="n">
        <x:f>Q337*M337</x:f>
        <x:v>10500</x:v>
      </x:c>
      <x:c r="S337" s="22" t="n">
        <x:f>P337-R337</x:f>
        <x:v>1500</x:v>
      </x:c>
      <x:c r="T337" t="str">
        <x:v>UPI</x:v>
      </x:c>
      <x:c r="U337" t="str">
        <x:v>Paid</x:v>
      </x:c>
      <x:c r="V337" t="str">
        <x:v>Delayed</x:v>
      </x:c>
      <x:c r="W337" t="n">
        <x:v>0</x:v>
      </x:c>
      <x:c r="X337" t="str"/>
      <x:c r="Y337" t="str">
        <x:v>Referral</x:v>
      </x:c>
    </x:row>
    <x:row r="338">
      <x:c r="A338" t="str">
        <x:v>O000337</x:v>
      </x:c>
      <x:c r="B338" s="20" t="n">
        <x:v>45814</x:v>
      </x:c>
      <x:c r="C338" t="str">
        <x:v>C0179</x:v>
      </x:c>
      <x:c r="D338" t="str">
        <x:v>Shree Hotel 179</x:v>
      </x:c>
      <x:c r="E338" t="str">
        <x:v>Restaurant</x:v>
      </x:c>
      <x:c r="F338" t="str">
        <x:v>Hubballi</x:v>
      </x:c>
      <x:c r="G338" t="str">
        <x:v>Kavya</x:v>
      </x:c>
      <x:c r="H338" t="str">
        <x:v>P015</x:v>
      </x:c>
      <x:c r="I338" t="str">
        <x:v>Milk 1L</x:v>
      </x:c>
      <x:c r="J338" t="str">
        <x:v>Dairy</x:v>
      </x:c>
      <x:c r="K338" t="str">
        <x:v>Nandini</x:v>
      </x:c>
      <x:c r="L338" s="22" t="n">
        <x:v>48</x:v>
      </x:c>
      <x:c r="M338" t="n">
        <x:v>4</x:v>
      </x:c>
      <x:c r="N338" s="24" t="n">
        <x:v>0.05</x:v>
      </x:c>
      <x:c r="O338" s="22" t="n">
        <x:f>L338*M338</x:f>
        <x:v>192</x:v>
      </x:c>
      <x:c r="P338" s="22" t="n">
        <x:f>O338*(1-N338)</x:f>
        <x:v>182.39999999999998</x:v>
      </x:c>
      <x:c r="Q338" s="22" t="n">
        <x:v>43</x:v>
      </x:c>
      <x:c r="R338" s="22" t="n">
        <x:f>Q338*M338</x:f>
        <x:v>172</x:v>
      </x:c>
      <x:c r="S338" s="22" t="n">
        <x:f>P338-R338</x:f>
        <x:v>10.399999999999977</x:v>
      </x:c>
      <x:c r="T338" t="str">
        <x:v>Credit</x:v>
      </x:c>
      <x:c r="U338" t="str">
        <x:v>Overdue</x:v>
      </x:c>
      <x:c r="V338" t="str">
        <x:v>Delayed</x:v>
      </x:c>
      <x:c r="W338" t="n">
        <x:v>0</x:v>
      </x:c>
      <x:c r="X338" t="str"/>
      <x:c r="Y338" t="str">
        <x:v>Existing Customer</x:v>
      </x:c>
    </x:row>
    <x:row r="339">
      <x:c r="A339" t="str">
        <x:v>O000338</x:v>
      </x:c>
      <x:c r="B339" s="20" t="n">
        <x:v>45954</x:v>
      </x:c>
      <x:c r="C339" t="str">
        <x:v>C0057</x:v>
      </x:c>
      <x:c r="D339" t="str">
        <x:v>Annapurna Foods 57</x:v>
      </x:c>
      <x:c r="E339" t="str">
        <x:v>Kirana</x:v>
      </x:c>
      <x:c r="F339" t="str">
        <x:v>Mysuru</x:v>
      </x:c>
      <x:c r="G339" t="str">
        <x:v>Priya</x:v>
      </x:c>
      <x:c r="H339" t="str">
        <x:v>P028</x:v>
      </x:c>
      <x:c r="I339" t="str">
        <x:v>Cookies 200g</x:v>
      </x:c>
      <x:c r="J339" t="str">
        <x:v>Snacks</x:v>
      </x:c>
      <x:c r="K339" t="str">
        <x:v>Britannia</x:v>
      </x:c>
      <x:c r="L339" s="22" t="n">
        <x:v>55</x:v>
      </x:c>
      <x:c r="M339" t="n">
        <x:v>26</x:v>
      </x:c>
      <x:c r="N339" s="24" t="n">
        <x:v>0</x:v>
      </x:c>
      <x:c r="O339" s="22" t="n">
        <x:f>L339*M339</x:f>
        <x:v>1430</x:v>
      </x:c>
      <x:c r="P339" s="22" t="n">
        <x:f>O339*(1-N339)</x:f>
        <x:v>1430</x:v>
      </x:c>
      <x:c r="Q339" s="22" t="n">
        <x:v>42</x:v>
      </x:c>
      <x:c r="R339" s="22" t="n">
        <x:f>Q339*M339</x:f>
        <x:v>1092</x:v>
      </x:c>
      <x:c r="S339" s="22" t="n">
        <x:f>P339-R339</x:f>
        <x:v>338</x:v>
      </x:c>
      <x:c r="T339" t="str">
        <x:v>Cash</x:v>
      </x:c>
      <x:c r="U339" t="str">
        <x:v>Paid</x:v>
      </x:c>
      <x:c r="V339" t="str">
        <x:v>Delayed</x:v>
      </x:c>
      <x:c r="W339" t="n">
        <x:v>0</x:v>
      </x:c>
      <x:c r="X339" t="str"/>
      <x:c r="Y339" t="str">
        <x:v>Outbound Call</x:v>
      </x:c>
    </x:row>
    <x:row r="340">
      <x:c r="A340" t="str">
        <x:v>O000339</x:v>
      </x:c>
      <x:c r="B340" s="20" t="n">
        <x:v>46066</x:v>
      </x:c>
      <x:c r="C340" t="str">
        <x:v>C0068</x:v>
      </x:c>
      <x:c r="D340" t="str">
        <x:v>Fresh Canteen 68</x:v>
      </x:c>
      <x:c r="E340" t="str">
        <x:v>Kirana</x:v>
      </x:c>
      <x:c r="F340" t="str">
        <x:v>Davanagere</x:v>
      </x:c>
      <x:c r="G340" t="str">
        <x:v>Arjun</x:v>
      </x:c>
      <x:c r="H340" t="str">
        <x:v>P006</x:v>
      </x:c>
      <x:c r="I340" t="str">
        <x:v>Moong Dal 5kg</x:v>
      </x:c>
      <x:c r="J340" t="str">
        <x:v>Pulses</x:v>
      </x:c>
      <x:c r="K340" t="str">
        <x:v>Local Select</x:v>
      </x:c>
      <x:c r="L340" s="22" t="n">
        <x:v>610</x:v>
      </x:c>
      <x:c r="M340" t="n">
        <x:v>33</x:v>
      </x:c>
      <x:c r="N340" s="24" t="n">
        <x:v>0.03</x:v>
      </x:c>
      <x:c r="O340" s="22" t="n">
        <x:f>L340*M340</x:f>
        <x:v>20130</x:v>
      </x:c>
      <x:c r="P340" s="22" t="n">
        <x:f>O340*(1-N340)</x:f>
        <x:v>19526.1</x:v>
      </x:c>
      <x:c r="Q340" s="22" t="n">
        <x:v>540</x:v>
      </x:c>
      <x:c r="R340" s="22" t="n">
        <x:f>Q340*M340</x:f>
        <x:v>17820</x:v>
      </x:c>
      <x:c r="S340" s="22" t="n">
        <x:f>P340-R340</x:f>
        <x:v>1706.0999999999985</x:v>
      </x:c>
      <x:c r="T340" t="str">
        <x:v>Bank Transfer</x:v>
      </x:c>
      <x:c r="U340" t="str">
        <x:v>Pending</x:v>
      </x:c>
      <x:c r="V340" t="str">
        <x:v>Delivered</x:v>
      </x:c>
      <x:c r="W340" t="n">
        <x:v>0</x:v>
      </x:c>
      <x:c r="X340" t="str"/>
      <x:c r="Y340" t="str">
        <x:v>WhatsApp</x:v>
      </x:c>
    </x:row>
    <x:row r="341">
      <x:c r="A341" t="str">
        <x:v>O000340</x:v>
      </x:c>
      <x:c r="B341" s="20" t="n">
        <x:v>46232</x:v>
      </x:c>
      <x:c r="C341" t="str">
        <x:v>C0147</x:v>
      </x:c>
      <x:c r="D341" t="str">
        <x:v>New Stores 147</x:v>
      </x:c>
      <x:c r="E341" t="str">
        <x:v>Supermarket</x:v>
      </x:c>
      <x:c r="F341" t="str">
        <x:v>Hubballi</x:v>
      </x:c>
      <x:c r="G341" t="str">
        <x:v>Imran</x:v>
      </x:c>
      <x:c r="H341" t="str">
        <x:v>P013</x:v>
      </x:c>
      <x:c r="I341" t="str">
        <x:v>Atta 10kg</x:v>
      </x:c>
      <x:c r="J341" t="str">
        <x:v>Flour</x:v>
      </x:c>
      <x:c r="K341" t="str">
        <x:v>Aashirvaad</x:v>
      </x:c>
      <x:c r="L341" s="22" t="n">
        <x:v>560</x:v>
      </x:c>
      <x:c r="M341" t="n">
        <x:v>40</x:v>
      </x:c>
      <x:c r="N341" s="24" t="n">
        <x:v>0.1</x:v>
      </x:c>
      <x:c r="O341" s="22" t="n">
        <x:f>L341*M341</x:f>
        <x:v>22400</x:v>
      </x:c>
      <x:c r="P341" s="22" t="n">
        <x:f>O341*(1-N341)</x:f>
        <x:v>20160</x:v>
      </x:c>
      <x:c r="Q341" s="22" t="n">
        <x:v>495</x:v>
      </x:c>
      <x:c r="R341" s="22" t="n">
        <x:f>Q341*M341</x:f>
        <x:v>19800</x:v>
      </x:c>
      <x:c r="S341" s="22" t="n">
        <x:f>P341-R341</x:f>
        <x:v>360</x:v>
      </x:c>
      <x:c r="T341" t="str">
        <x:v>Bank Transfer</x:v>
      </x:c>
      <x:c r="U341" t="str">
        <x:v>Paid</x:v>
      </x:c>
      <x:c r="V341" t="str">
        <x:v>Delivered</x:v>
      </x:c>
      <x:c r="W341" t="n">
        <x:v>0</x:v>
      </x:c>
      <x:c r="X341" t="str"/>
      <x:c r="Y341" t="str">
        <x:v>Field Visit</x:v>
      </x:c>
    </x:row>
    <x:row r="342">
      <x:c r="A342" t="str">
        <x:v>O000341</x:v>
      </x:c>
      <x:c r="B342" s="20" t="n">
        <x:v>45773</x:v>
      </x:c>
      <x:c r="C342" t="str">
        <x:v>C0148</x:v>
      </x:c>
      <x:c r="D342" t="str">
        <x:v>Shree Cafe 148</x:v>
      </x:c>
      <x:c r="E342" t="str">
        <x:v>Kirana</x:v>
      </x:c>
      <x:c r="F342" t="str">
        <x:v>Hubballi</x:v>
      </x:c>
      <x:c r="G342" t="str">
        <x:v>Priya</x:v>
      </x:c>
      <x:c r="H342" t="str">
        <x:v>P006</x:v>
      </x:c>
      <x:c r="I342" t="str">
        <x:v>Moong Dal 5kg</x:v>
      </x:c>
      <x:c r="J342" t="str">
        <x:v>Pulses</x:v>
      </x:c>
      <x:c r="K342" t="str">
        <x:v>Local Select</x:v>
      </x:c>
      <x:c r="L342" s="22" t="n">
        <x:v>610</x:v>
      </x:c>
      <x:c r="M342" t="n">
        <x:v>27</x:v>
      </x:c>
      <x:c r="N342" s="24" t="n">
        <x:v>0.03</x:v>
      </x:c>
      <x:c r="O342" s="22" t="n">
        <x:f>L342*M342</x:f>
        <x:v>16470</x:v>
      </x:c>
      <x:c r="P342" s="22" t="n">
        <x:f>O342*(1-N342)</x:f>
        <x:v>15975.9</x:v>
      </x:c>
      <x:c r="Q342" s="22" t="n">
        <x:v>540</x:v>
      </x:c>
      <x:c r="R342" s="22" t="n">
        <x:f>Q342*M342</x:f>
        <x:v>14580</x:v>
      </x:c>
      <x:c r="S342" s="22" t="n">
        <x:f>P342-R342</x:f>
        <x:v>1395.8999999999996</x:v>
      </x:c>
      <x:c r="T342" t="str">
        <x:v>Cash</x:v>
      </x:c>
      <x:c r="U342" t="str">
        <x:v>Paid</x:v>
      </x:c>
      <x:c r="V342" t="str">
        <x:v>Delivered</x:v>
      </x:c>
      <x:c r="W342" t="n">
        <x:v>0</x:v>
      </x:c>
      <x:c r="X342" t="str"/>
      <x:c r="Y342" t="str">
        <x:v>Outbound Call</x:v>
      </x:c>
    </x:row>
    <x:row r="343">
      <x:c r="A343" t="str">
        <x:v>O000342</x:v>
      </x:c>
      <x:c r="B343" s="20" t="n">
        <x:v>46110</x:v>
      </x:c>
      <x:c r="C343" t="str">
        <x:v>C0044</x:v>
      </x:c>
      <x:c r="D343" t="str">
        <x:v>Annapurna Mart 44</x:v>
      </x:c>
      <x:c r="E343" t="str">
        <x:v>Kirana</x:v>
      </x:c>
      <x:c r="F343" t="str">
        <x:v>Davanagere</x:v>
      </x:c>
      <x:c r="G343" t="str">
        <x:v>Priya</x:v>
      </x:c>
      <x:c r="H343" t="str">
        <x:v>P023</x:v>
      </x:c>
      <x:c r="I343" t="str">
        <x:v>Cola 750ml</x:v>
      </x:c>
      <x:c r="J343" t="str">
        <x:v>Beverage</x:v>
      </x:c>
      <x:c r="K343" t="str">
        <x:v>Coca-Cola</x:v>
      </x:c>
      <x:c r="L343" s="22" t="n">
        <x:v>38</x:v>
      </x:c>
      <x:c r="M343" t="n">
        <x:v>40</x:v>
      </x:c>
      <x:c r="N343" s="24" t="n">
        <x:v>0</x:v>
      </x:c>
      <x:c r="O343" s="22" t="n">
        <x:f>L343*M343</x:f>
        <x:v>1520</x:v>
      </x:c>
      <x:c r="P343" s="22" t="n">
        <x:f>O343*(1-N343)</x:f>
        <x:v>1520</x:v>
      </x:c>
      <x:c r="Q343" s="22" t="n">
        <x:v>31</x:v>
      </x:c>
      <x:c r="R343" s="22" t="n">
        <x:f>Q343*M343</x:f>
        <x:v>1240</x:v>
      </x:c>
      <x:c r="S343" s="22" t="n">
        <x:f>P343-R343</x:f>
        <x:v>280</x:v>
      </x:c>
      <x:c r="T343" t="str">
        <x:v>UPI</x:v>
      </x:c>
      <x:c r="U343" t="str">
        <x:v>Overdue</x:v>
      </x:c>
      <x:c r="V343" t="str">
        <x:v>Delivered</x:v>
      </x:c>
      <x:c r="W343" t="n">
        <x:v>0</x:v>
      </x:c>
      <x:c r="X343" t="str"/>
      <x:c r="Y343" t="str">
        <x:v>Field Visit</x:v>
      </x:c>
    </x:row>
    <x:row r="344">
      <x:c r="A344" t="str">
        <x:v>O000343</x:v>
      </x:c>
      <x:c r="B344" s="20" t="n">
        <x:v>45773</x:v>
      </x:c>
      <x:c r="C344" t="str">
        <x:v>C0187</x:v>
      </x:c>
      <x:c r="D344" t="str">
        <x:v>City Cafe 187</x:v>
      </x:c>
      <x:c r="E344" t="str">
        <x:v>Hotel</x:v>
      </x:c>
      <x:c r="F344" t="str">
        <x:v>Mysuru</x:v>
      </x:c>
      <x:c r="G344" t="str">
        <x:v>Priya</x:v>
      </x:c>
      <x:c r="H344" t="str">
        <x:v>P006</x:v>
      </x:c>
      <x:c r="I344" t="str">
        <x:v>Moong Dal 5kg</x:v>
      </x:c>
      <x:c r="J344" t="str">
        <x:v>Pulses</x:v>
      </x:c>
      <x:c r="K344" t="str">
        <x:v>Local Select</x:v>
      </x:c>
      <x:c r="L344" s="22" t="n">
        <x:v>610</x:v>
      </x:c>
      <x:c r="M344" t="n">
        <x:v>4</x:v>
      </x:c>
      <x:c r="N344" s="24" t="n">
        <x:v>0</x:v>
      </x:c>
      <x:c r="O344" s="22" t="n">
        <x:f>L344*M344</x:f>
        <x:v>2440</x:v>
      </x:c>
      <x:c r="P344" s="22" t="n">
        <x:f>O344*(1-N344)</x:f>
        <x:v>2440</x:v>
      </x:c>
      <x:c r="Q344" s="22" t="n">
        <x:v>540</x:v>
      </x:c>
      <x:c r="R344" s="22" t="n">
        <x:f>Q344*M344</x:f>
        <x:v>2160</x:v>
      </x:c>
      <x:c r="S344" s="22" t="n">
        <x:f>P344-R344</x:f>
        <x:v>280</x:v>
      </x:c>
      <x:c r="T344" t="str">
        <x:v>Bank Transfer</x:v>
      </x:c>
      <x:c r="U344" t="str">
        <x:v>Pending</x:v>
      </x:c>
      <x:c r="V344" t="str">
        <x:v>Delivered</x:v>
      </x:c>
      <x:c r="W344" t="n">
        <x:v>1</x:v>
      </x:c>
      <x:c r="X344" t="str">
        <x:v>Quality Issue</x:v>
      </x:c>
      <x:c r="Y344" t="str">
        <x:v>WhatsApp</x:v>
      </x:c>
    </x:row>
    <x:row r="345">
      <x:c r="A345" t="str">
        <x:v>O000344</x:v>
      </x:c>
      <x:c r="B345" s="20" t="n">
        <x:v>46208</x:v>
      </x:c>
      <x:c r="C345" t="str">
        <x:v>C0085</x:v>
      </x:c>
      <x:c r="D345" t="str">
        <x:v>Green Hotel 85</x:v>
      </x:c>
      <x:c r="E345" t="str">
        <x:v>Kirana</x:v>
      </x:c>
      <x:c r="F345" t="str">
        <x:v>Mysuru</x:v>
      </x:c>
      <x:c r="G345" t="str">
        <x:v>Arjun</x:v>
      </x:c>
      <x:c r="H345" t="str">
        <x:v>P014</x:v>
      </x:c>
      <x:c r="I345" t="str">
        <x:v>Rava 5kg</x:v>
      </x:c>
      <x:c r="J345" t="str">
        <x:v>Flour</x:v>
      </x:c>
      <x:c r="K345" t="str">
        <x:v>Local Select</x:v>
      </x:c>
      <x:c r="L345" s="22" t="n">
        <x:v>245</x:v>
      </x:c>
      <x:c r="M345" t="n">
        <x:v>14</x:v>
      </x:c>
      <x:c r="N345" s="24" t="n">
        <x:v>0</x:v>
      </x:c>
      <x:c r="O345" s="22" t="n">
        <x:f>L345*M345</x:f>
        <x:v>3430</x:v>
      </x:c>
      <x:c r="P345" s="22" t="n">
        <x:f>O345*(1-N345)</x:f>
        <x:v>3430</x:v>
      </x:c>
      <x:c r="Q345" s="22" t="n">
        <x:v>215</x:v>
      </x:c>
      <x:c r="R345" s="22" t="n">
        <x:f>Q345*M345</x:f>
        <x:v>3010</x:v>
      </x:c>
      <x:c r="S345" s="22" t="n">
        <x:f>P345-R345</x:f>
        <x:v>420</x:v>
      </x:c>
      <x:c r="T345" t="str">
        <x:v>Cash</x:v>
      </x:c>
      <x:c r="U345" t="str">
        <x:v>Paid</x:v>
      </x:c>
      <x:c r="V345" t="str">
        <x:v>Delayed</x:v>
      </x:c>
      <x:c r="W345" t="n">
        <x:v>0</x:v>
      </x:c>
      <x:c r="X345" t="str"/>
      <x:c r="Y345" t="str">
        <x:v>Referral</x:v>
      </x:c>
    </x:row>
    <x:row r="346">
      <x:c r="A346" t="str">
        <x:v>O000345</x:v>
      </x:c>
      <x:c r="B346" s="20" t="n">
        <x:v>46043</x:v>
      </x:c>
      <x:c r="C346" t="str">
        <x:v>C0172</x:v>
      </x:c>
      <x:c r="D346" t="str">
        <x:v>Annapurna Stores 172</x:v>
      </x:c>
      <x:c r="E346" t="str">
        <x:v>Restaurant</x:v>
      </x:c>
      <x:c r="F346" t="str">
        <x:v>Mangaluru</x:v>
      </x:c>
      <x:c r="G346" t="str">
        <x:v>Megha</x:v>
      </x:c>
      <x:c r="H346" t="str">
        <x:v>P002</x:v>
      </x:c>
      <x:c r="I346" t="str">
        <x:v>Sona Masoori Rice 25kg</x:v>
      </x:c>
      <x:c r="J346" t="str">
        <x:v>Staples</x:v>
      </x:c>
      <x:c r="K346" t="str">
        <x:v>Fortune</x:v>
      </x:c>
      <x:c r="L346" s="22" t="n">
        <x:v>1320</x:v>
      </x:c>
      <x:c r="M346" t="n">
        <x:v>11</x:v>
      </x:c>
      <x:c r="N346" s="24" t="n">
        <x:v>0.03</x:v>
      </x:c>
      <x:c r="O346" s="22" t="n">
        <x:f>L346*M346</x:f>
        <x:v>14520</x:v>
      </x:c>
      <x:c r="P346" s="22" t="n">
        <x:f>O346*(1-N346)</x:f>
        <x:v>14084.4</x:v>
      </x:c>
      <x:c r="Q346" s="22" t="n">
        <x:v>1160</x:v>
      </x:c>
      <x:c r="R346" s="22" t="n">
        <x:f>Q346*M346</x:f>
        <x:v>12760</x:v>
      </x:c>
      <x:c r="S346" s="22" t="n">
        <x:f>P346-R346</x:f>
        <x:v>1324.3999999999996</x:v>
      </x:c>
      <x:c r="T346" t="str">
        <x:v>Cash</x:v>
      </x:c>
      <x:c r="U346" t="str">
        <x:v>Paid</x:v>
      </x:c>
      <x:c r="V346" t="str">
        <x:v>Delivered</x:v>
      </x:c>
      <x:c r="W346" t="n">
        <x:v>0</x:v>
      </x:c>
      <x:c r="X346" t="str"/>
      <x:c r="Y346" t="str">
        <x:v>Existing Customer</x:v>
      </x:c>
    </x:row>
    <x:row r="347">
      <x:c r="A347" t="str">
        <x:v>O000346</x:v>
      </x:c>
      <x:c r="B347" s="20" t="n">
        <x:v>45666</x:v>
      </x:c>
      <x:c r="C347" t="str">
        <x:v>C0120</x:v>
      </x:c>
      <x:c r="D347" t="str">
        <x:v>Foodie Foods 120</x:v>
      </x:c>
      <x:c r="E347" t="str">
        <x:v>Hotel</x:v>
      </x:c>
      <x:c r="F347" t="str">
        <x:v>Hubballi</x:v>
      </x:c>
      <x:c r="G347" t="str">
        <x:v>Arjun</x:v>
      </x:c>
      <x:c r="H347" t="str">
        <x:v>P042</x:v>
      </x:c>
      <x:c r="I347" t="str">
        <x:v>Eggs 30pc Tray</x:v>
      </x:c>
      <x:c r="J347" t="str">
        <x:v>Protein</x:v>
      </x:c>
      <x:c r="K347" t="str">
        <x:v>Farm Fresh</x:v>
      </x:c>
      <x:c r="L347" s="22" t="n">
        <x:v>195</x:v>
      </x:c>
      <x:c r="M347" t="n">
        <x:v>5</x:v>
      </x:c>
      <x:c r="N347" s="24" t="n">
        <x:v>0.02</x:v>
      </x:c>
      <x:c r="O347" s="22" t="n">
        <x:f>L347*M347</x:f>
        <x:v>975</x:v>
      </x:c>
      <x:c r="P347" s="22" t="n">
        <x:f>O347*(1-N347)</x:f>
        <x:v>955.5</x:v>
      </x:c>
      <x:c r="Q347" s="22" t="n">
        <x:v>170</x:v>
      </x:c>
      <x:c r="R347" s="22" t="n">
        <x:f>Q347*M347</x:f>
        <x:v>850</x:v>
      </x:c>
      <x:c r="S347" s="22" t="n">
        <x:f>P347-R347</x:f>
        <x:v>105.5</x:v>
      </x:c>
      <x:c r="T347" t="str">
        <x:v>Cash</x:v>
      </x:c>
      <x:c r="U347" t="str">
        <x:v>Paid</x:v>
      </x:c>
      <x:c r="V347" t="str">
        <x:v>Cancelled</x:v>
      </x:c>
      <x:c r="W347" t="n">
        <x:v>5</x:v>
      </x:c>
      <x:c r="X347" t="str">
        <x:v>Cancelled Order</x:v>
      </x:c>
      <x:c r="Y347" t="str">
        <x:v>Field Visit</x:v>
      </x:c>
    </x:row>
    <x:row r="348">
      <x:c r="A348" t="str">
        <x:v>O000347</x:v>
      </x:c>
      <x:c r="B348" s="20" t="n">
        <x:v>46053</x:v>
      </x:c>
      <x:c r="C348" t="str">
        <x:v>C0005</x:v>
      </x:c>
      <x:c r="D348" t="str">
        <x:v>Sagar Kitchen 5</x:v>
      </x:c>
      <x:c r="E348" t="str">
        <x:v>Restaurant</x:v>
      </x:c>
      <x:c r="F348" t="str">
        <x:v>Hubballi</x:v>
      </x:c>
      <x:c r="G348" t="str">
        <x:v>Priya</x:v>
      </x:c>
      <x:c r="H348" t="str">
        <x:v>P019</x:v>
      </x:c>
      <x:c r="I348" t="str">
        <x:v>Tea 1kg</x:v>
      </x:c>
      <x:c r="J348" t="str">
        <x:v>Beverage</x:v>
      </x:c>
      <x:c r="K348" t="str">
        <x:v>Red Label</x:v>
      </x:c>
      <x:c r="L348" s="22" t="n">
        <x:v>540</x:v>
      </x:c>
      <x:c r="M348" t="n">
        <x:v>15</x:v>
      </x:c>
      <x:c r="N348" s="24" t="n">
        <x:v>0.1</x:v>
      </x:c>
      <x:c r="O348" s="22" t="n">
        <x:f>L348*M348</x:f>
        <x:v>8100</x:v>
      </x:c>
      <x:c r="P348" s="22" t="n">
        <x:f>O348*(1-N348)</x:f>
        <x:v>7290</x:v>
      </x:c>
      <x:c r="Q348" s="22" t="n">
        <x:v>485</x:v>
      </x:c>
      <x:c r="R348" s="22" t="n">
        <x:f>Q348*M348</x:f>
        <x:v>7275</x:v>
      </x:c>
      <x:c r="S348" s="22" t="n">
        <x:f>P348-R348</x:f>
        <x:v>15</x:v>
      </x:c>
      <x:c r="T348" t="str">
        <x:v>UPI</x:v>
      </x:c>
      <x:c r="U348" t="str">
        <x:v>Pending</x:v>
      </x:c>
      <x:c r="V348" t="str">
        <x:v>Delivered</x:v>
      </x:c>
      <x:c r="W348" t="n">
        <x:v>0</x:v>
      </x:c>
      <x:c r="X348" t="str"/>
      <x:c r="Y348" t="str">
        <x:v>Existing Customer</x:v>
      </x:c>
    </x:row>
    <x:row r="349">
      <x:c r="A349" t="str">
        <x:v>O000348</x:v>
      </x:c>
      <x:c r="B349" s="20" t="n">
        <x:v>46126</x:v>
      </x:c>
      <x:c r="C349" t="str">
        <x:v>C0051</x:v>
      </x:c>
      <x:c r="D349" t="str">
        <x:v>Cafe Hotel 51</x:v>
      </x:c>
      <x:c r="E349" t="str">
        <x:v>Kirana</x:v>
      </x:c>
      <x:c r="F349" t="str">
        <x:v>Tumakuru</x:v>
      </x:c>
      <x:c r="G349" t="str">
        <x:v>Arjun</x:v>
      </x:c>
      <x:c r="H349" t="str">
        <x:v>P033</x:v>
      </x:c>
      <x:c r="I349" t="str">
        <x:v>Turmeric Powder 1kg</x:v>
      </x:c>
      <x:c r="J349" t="str">
        <x:v>Spices</x:v>
      </x:c>
      <x:c r="K349" t="str">
        <x:v>Everest</x:v>
      </x:c>
      <x:c r="L349" s="22" t="n">
        <x:v>310</x:v>
      </x:c>
      <x:c r="M349" t="n">
        <x:v>36</x:v>
      </x:c>
      <x:c r="N349" s="24" t="n">
        <x:v>0.08</x:v>
      </x:c>
      <x:c r="O349" s="22" t="n">
        <x:f>L349*M349</x:f>
        <x:v>11160</x:v>
      </x:c>
      <x:c r="P349" s="22" t="n">
        <x:f>O349*(1-N349)</x:f>
        <x:v>10267.2</x:v>
      </x:c>
      <x:c r="Q349" s="22" t="n">
        <x:v>270</x:v>
      </x:c>
      <x:c r="R349" s="22" t="n">
        <x:f>Q349*M349</x:f>
        <x:v>9720</x:v>
      </x:c>
      <x:c r="S349" s="22" t="n">
        <x:f>P349-R349</x:f>
        <x:v>547.2000000000007</x:v>
      </x:c>
      <x:c r="T349" t="str">
        <x:v>UPI</x:v>
      </x:c>
      <x:c r="U349" t="str">
        <x:v>Paid</x:v>
      </x:c>
      <x:c r="V349" t="str">
        <x:v>Delayed</x:v>
      </x:c>
      <x:c r="W349" t="n">
        <x:v>0</x:v>
      </x:c>
      <x:c r="X349" t="str"/>
      <x:c r="Y349" t="str">
        <x:v>Field Visit</x:v>
      </x:c>
    </x:row>
    <x:row r="350">
      <x:c r="A350" t="str">
        <x:v>O000349</x:v>
      </x:c>
      <x:c r="B350" s="20" t="n">
        <x:v>45818</x:v>
      </x:c>
      <x:c r="C350" t="str">
        <x:v>C0101</x:v>
      </x:c>
      <x:c r="D350" t="str">
        <x:v>Namma Cafe 101</x:v>
      </x:c>
      <x:c r="E350" t="str">
        <x:v>Supermarket</x:v>
      </x:c>
      <x:c r="F350" t="str">
        <x:v>Bengaluru</x:v>
      </x:c>
      <x:c r="G350" t="str">
        <x:v>Arjun</x:v>
      </x:c>
      <x:c r="H350" t="str">
        <x:v>P048</x:v>
      </x:c>
      <x:c r="I350" t="str">
        <x:v>Banana 10kg</x:v>
      </x:c>
      <x:c r="J350" t="str">
        <x:v>Fresh Produce</x:v>
      </x:c>
      <x:c r="K350" t="str">
        <x:v>Local Market</x:v>
      </x:c>
      <x:c r="L350" s="22" t="n">
        <x:v>420</x:v>
      </x:c>
      <x:c r="M350" t="n">
        <x:v>2</x:v>
      </x:c>
      <x:c r="N350" s="24" t="n">
        <x:v>0.02</x:v>
      </x:c>
      <x:c r="O350" s="22" t="n">
        <x:f>L350*M350</x:f>
        <x:v>840</x:v>
      </x:c>
      <x:c r="P350" s="22" t="n">
        <x:f>O350*(1-N350)</x:f>
        <x:v>823.1999999999999</x:v>
      </x:c>
      <x:c r="Q350" s="22" t="n">
        <x:v>350</x:v>
      </x:c>
      <x:c r="R350" s="22" t="n">
        <x:f>Q350*M350</x:f>
        <x:v>700</x:v>
      </x:c>
      <x:c r="S350" s="22" t="n">
        <x:f>P350-R350</x:f>
        <x:v>123.19999999999993</x:v>
      </x:c>
      <x:c r="T350" t="str">
        <x:v>Cash</x:v>
      </x:c>
      <x:c r="U350" t="str">
        <x:v>Paid</x:v>
      </x:c>
      <x:c r="V350" t="str">
        <x:v>Delivered</x:v>
      </x:c>
      <x:c r="W350" t="n">
        <x:v>0</x:v>
      </x:c>
      <x:c r="X350" t="str"/>
      <x:c r="Y350" t="str">
        <x:v>Existing Customer</x:v>
      </x:c>
    </x:row>
    <x:row r="351">
      <x:c r="A351" t="str">
        <x:v>O000350</x:v>
      </x:c>
      <x:c r="B351" s="20" t="n">
        <x:v>45921</x:v>
      </x:c>
      <x:c r="C351" t="str">
        <x:v>C0016</x:v>
      </x:c>
      <x:c r="D351" t="str">
        <x:v>Royal Canteen 16</x:v>
      </x:c>
      <x:c r="E351" t="str">
        <x:v>Cafe</x:v>
      </x:c>
      <x:c r="F351" t="str">
        <x:v>Davanagere</x:v>
      </x:c>
      <x:c r="G351" t="str">
        <x:v>Megha</x:v>
      </x:c>
      <x:c r="H351" t="str">
        <x:v>P041</x:v>
      </x:c>
      <x:c r="I351" t="str">
        <x:v>Burger Bun 6pc</x:v>
      </x:c>
      <x:c r="J351" t="str">
        <x:v>Bakery</x:v>
      </x:c>
      <x:c r="K351" t="str">
        <x:v>Modern</x:v>
      </x:c>
      <x:c r="L351" s="22" t="n">
        <x:v>42</x:v>
      </x:c>
      <x:c r="M351" t="n">
        <x:v>25</x:v>
      </x:c>
      <x:c r="N351" s="24" t="n">
        <x:v>0.08</x:v>
      </x:c>
      <x:c r="O351" s="22" t="n">
        <x:f>L351*M351</x:f>
        <x:v>1050</x:v>
      </x:c>
      <x:c r="P351" s="22" t="n">
        <x:f>O351*(1-N351)</x:f>
        <x:v>966</x:v>
      </x:c>
      <x:c r="Q351" s="22" t="n">
        <x:v>32</x:v>
      </x:c>
      <x:c r="R351" s="22" t="n">
        <x:f>Q351*M351</x:f>
        <x:v>800</x:v>
      </x:c>
      <x:c r="S351" s="22" t="n">
        <x:f>P351-R351</x:f>
        <x:v>166</x:v>
      </x:c>
      <x:c r="T351" t="str">
        <x:v>UPI</x:v>
      </x:c>
      <x:c r="U351" t="str">
        <x:v>Overdue</x:v>
      </x:c>
      <x:c r="V351" t="str">
        <x:v>Delivered</x:v>
      </x:c>
      <x:c r="W351" t="n">
        <x:v>0</x:v>
      </x:c>
      <x:c r="X351" t="str"/>
      <x:c r="Y351" t="str">
        <x:v>Field Visit</x:v>
      </x:c>
    </x:row>
    <x:row r="352">
      <x:c r="A352" t="str">
        <x:v>O000351</x:v>
      </x:c>
      <x:c r="B352" s="20" t="n">
        <x:v>45747</x:v>
      </x:c>
      <x:c r="C352" t="str">
        <x:v>C0169</x:v>
      </x:c>
      <x:c r="D352" t="str">
        <x:v>Grand Mart 169</x:v>
      </x:c>
      <x:c r="E352" t="str">
        <x:v>Canteen</x:v>
      </x:c>
      <x:c r="F352" t="str">
        <x:v>Mangaluru</x:v>
      </x:c>
      <x:c r="G352" t="str">
        <x:v>Vikram</x:v>
      </x:c>
      <x:c r="H352" t="str">
        <x:v>P009</x:v>
      </x:c>
      <x:c r="I352" t="str">
        <x:v>Groundnut Oil 5L</x:v>
      </x:c>
      <x:c r="J352" t="str">
        <x:v>Edible Oil</x:v>
      </x:c>
      <x:c r="K352" t="str">
        <x:v>Dhara</x:v>
      </x:c>
      <x:c r="L352" s="22" t="n">
        <x:v>890</x:v>
      </x:c>
      <x:c r="M352" t="n">
        <x:v>25</x:v>
      </x:c>
      <x:c r="N352" s="24" t="n">
        <x:v>0.03</x:v>
      </x:c>
      <x:c r="O352" s="22" t="n">
        <x:f>L352*M352</x:f>
        <x:v>22250</x:v>
      </x:c>
      <x:c r="P352" s="22" t="n">
        <x:f>O352*(1-N352)</x:f>
        <x:v>21582.5</x:v>
      </x:c>
      <x:c r="Q352" s="22" t="n">
        <x:v>810</x:v>
      </x:c>
      <x:c r="R352" s="22" t="n">
        <x:f>Q352*M352</x:f>
        <x:v>20250</x:v>
      </x:c>
      <x:c r="S352" s="22" t="n">
        <x:f>P352-R352</x:f>
        <x:v>1332.5</x:v>
      </x:c>
      <x:c r="T352" t="str">
        <x:v>Bank Transfer</x:v>
      </x:c>
      <x:c r="U352" t="str">
        <x:v>Paid</x:v>
      </x:c>
      <x:c r="V352" t="str">
        <x:v>Delayed</x:v>
      </x:c>
      <x:c r="W352" t="n">
        <x:v>0</x:v>
      </x:c>
      <x:c r="X352" t="str"/>
      <x:c r="Y352" t="str">
        <x:v>Referral</x:v>
      </x:c>
    </x:row>
    <x:row r="353">
      <x:c r="A353" t="str">
        <x:v>O000352</x:v>
      </x:c>
      <x:c r="B353" s="20" t="n">
        <x:v>45995</x:v>
      </x:c>
      <x:c r="C353" t="str">
        <x:v>C0080</x:v>
      </x:c>
      <x:c r="D353" t="str">
        <x:v>Annapurna Canteen 80</x:v>
      </x:c>
      <x:c r="E353" t="str">
        <x:v>Restaurant</x:v>
      </x:c>
      <x:c r="F353" t="str">
        <x:v>Mangaluru</x:v>
      </x:c>
      <x:c r="G353" t="str">
        <x:v>Priya</x:v>
      </x:c>
      <x:c r="H353" t="str">
        <x:v>P039</x:v>
      </x:c>
      <x:c r="I353" t="str">
        <x:v>Ice Cream 4L</x:v>
      </x:c>
      <x:c r="J353" t="str">
        <x:v>Frozen</x:v>
      </x:c>
      <x:c r="K353" t="str">
        <x:v>Amul</x:v>
      </x:c>
      <x:c r="L353" s="22" t="n">
        <x:v>480</x:v>
      </x:c>
      <x:c r="M353" t="n">
        <x:v>29</x:v>
      </x:c>
      <x:c r="N353" s="24" t="n">
        <x:v>0.03</x:v>
      </x:c>
      <x:c r="O353" s="22" t="n">
        <x:f>L353*M353</x:f>
        <x:v>13920</x:v>
      </x:c>
      <x:c r="P353" s="22" t="n">
        <x:f>O353*(1-N353)</x:f>
        <x:v>13502.4</x:v>
      </x:c>
      <x:c r="Q353" s="22" t="n">
        <x:v>420</x:v>
      </x:c>
      <x:c r="R353" s="22" t="n">
        <x:f>Q353*M353</x:f>
        <x:v>12180</x:v>
      </x:c>
      <x:c r="S353" s="22" t="n">
        <x:f>P353-R353</x:f>
        <x:v>1322.3999999999996</x:v>
      </x:c>
      <x:c r="T353" t="str">
        <x:v>Bank Transfer</x:v>
      </x:c>
      <x:c r="U353" t="str">
        <x:v>Paid</x:v>
      </x:c>
      <x:c r="V353" t="str">
        <x:v>Delayed</x:v>
      </x:c>
      <x:c r="W353" t="n">
        <x:v>0</x:v>
      </x:c>
      <x:c r="X353" t="str"/>
      <x:c r="Y353" t="str">
        <x:v>Existing Customer</x:v>
      </x:c>
    </x:row>
    <x:row r="354">
      <x:c r="A354" t="str">
        <x:v>O000353</x:v>
      </x:c>
      <x:c r="B354" s="20" t="n">
        <x:v>45974</x:v>
      </x:c>
      <x:c r="C354" t="str">
        <x:v>C0052</x:v>
      </x:c>
      <x:c r="D354" t="str">
        <x:v>Sagar Canteen 52</x:v>
      </x:c>
      <x:c r="E354" t="str">
        <x:v>Kirana</x:v>
      </x:c>
      <x:c r="F354" t="str">
        <x:v>Mysuru</x:v>
      </x:c>
      <x:c r="G354" t="str">
        <x:v>Kavya</x:v>
      </x:c>
      <x:c r="H354" t="str">
        <x:v>P009</x:v>
      </x:c>
      <x:c r="I354" t="str">
        <x:v>Groundnut Oil 5L</x:v>
      </x:c>
      <x:c r="J354" t="str">
        <x:v>Edible Oil</x:v>
      </x:c>
      <x:c r="K354" t="str">
        <x:v>Dhara</x:v>
      </x:c>
      <x:c r="L354" s="22" t="n">
        <x:v>890</x:v>
      </x:c>
      <x:c r="M354" t="n">
        <x:v>34</x:v>
      </x:c>
      <x:c r="N354" s="24" t="n">
        <x:v>0.08</x:v>
      </x:c>
      <x:c r="O354" s="22" t="n">
        <x:f>L354*M354</x:f>
        <x:v>30260</x:v>
      </x:c>
      <x:c r="P354" s="22" t="n">
        <x:f>O354*(1-N354)</x:f>
        <x:v>27839.2</x:v>
      </x:c>
      <x:c r="Q354" s="22" t="n">
        <x:v>810</x:v>
      </x:c>
      <x:c r="R354" s="22" t="n">
        <x:f>Q354*M354</x:f>
        <x:v>27540</x:v>
      </x:c>
      <x:c r="S354" s="22" t="n">
        <x:f>P354-R354</x:f>
        <x:v>299.2000000000007</x:v>
      </x:c>
      <x:c r="T354" t="str">
        <x:v>Credit</x:v>
      </x:c>
      <x:c r="U354" t="str">
        <x:v>Overdue</x:v>
      </x:c>
      <x:c r="V354" t="str">
        <x:v>Delivered</x:v>
      </x:c>
      <x:c r="W354" t="n">
        <x:v>0</x:v>
      </x:c>
      <x:c r="X354" t="str"/>
      <x:c r="Y354" t="str">
        <x:v>Existing Customer</x:v>
      </x:c>
    </x:row>
    <x:row r="355">
      <x:c r="A355" t="str">
        <x:v>O000354</x:v>
      </x:c>
      <x:c r="B355" s="20" t="n">
        <x:v>46228</x:v>
      </x:c>
      <x:c r="C355" t="str">
        <x:v>C0082</x:v>
      </x:c>
      <x:c r="D355" t="str">
        <x:v>City Foods 82</x:v>
      </x:c>
      <x:c r="E355" t="str">
        <x:v>Hotel</x:v>
      </x:c>
      <x:c r="F355" t="str">
        <x:v>Mangaluru</x:v>
      </x:c>
      <x:c r="G355" t="str">
        <x:v>Kavya</x:v>
      </x:c>
      <x:c r="H355" t="str">
        <x:v>P005</x:v>
      </x:c>
      <x:c r="I355" t="str">
        <x:v>Chana Dal 5kg</x:v>
      </x:c>
      <x:c r="J355" t="str">
        <x:v>Pulses</x:v>
      </x:c>
      <x:c r="K355" t="str">
        <x:v>Local Select</x:v>
      </x:c>
      <x:c r="L355" s="22" t="n">
        <x:v>520</x:v>
      </x:c>
      <x:c r="M355" t="n">
        <x:v>35</x:v>
      </x:c>
      <x:c r="N355" s="24" t="n">
        <x:v>0.08</x:v>
      </x:c>
      <x:c r="O355" s="22" t="n">
        <x:f>L355*M355</x:f>
        <x:v>18200</x:v>
      </x:c>
      <x:c r="P355" s="22" t="n">
        <x:f>O355*(1-N355)</x:f>
        <x:v>16744</x:v>
      </x:c>
      <x:c r="Q355" s="22" t="n">
        <x:v>455</x:v>
      </x:c>
      <x:c r="R355" s="22" t="n">
        <x:f>Q355*M355</x:f>
        <x:v>15925</x:v>
      </x:c>
      <x:c r="S355" s="22" t="n">
        <x:f>P355-R355</x:f>
        <x:v>819</x:v>
      </x:c>
      <x:c r="T355" t="str">
        <x:v>UPI</x:v>
      </x:c>
      <x:c r="U355" t="str">
        <x:v>Paid</x:v>
      </x:c>
      <x:c r="V355" t="str">
        <x:v>Delivered</x:v>
      </x:c>
      <x:c r="W355" t="n">
        <x:v>0</x:v>
      </x:c>
      <x:c r="X355" t="str"/>
      <x:c r="Y355" t="str">
        <x:v>Field Visit</x:v>
      </x:c>
    </x:row>
    <x:row r="356">
      <x:c r="A356" t="str">
        <x:v>O000355</x:v>
      </x:c>
      <x:c r="B356" s="20" t="n">
        <x:v>45968</x:v>
      </x:c>
      <x:c r="C356" t="str">
        <x:v>C0106</x:v>
      </x:c>
      <x:c r="D356" t="str">
        <x:v>Classic Mart 106</x:v>
      </x:c>
      <x:c r="E356" t="str">
        <x:v>Restaurant</x:v>
      </x:c>
      <x:c r="F356" t="str">
        <x:v>Mysuru</x:v>
      </x:c>
      <x:c r="G356" t="str">
        <x:v>Kavya</x:v>
      </x:c>
      <x:c r="H356" t="str">
        <x:v>P027</x:v>
      </x:c>
      <x:c r="I356" t="str">
        <x:v>Biscuits 120g</x:v>
      </x:c>
      <x:c r="J356" t="str">
        <x:v>Snacks</x:v>
      </x:c>
      <x:c r="K356" t="str">
        <x:v>Parle-G</x:v>
      </x:c>
      <x:c r="L356" s="22" t="n">
        <x:v>12</x:v>
      </x:c>
      <x:c r="M356" t="n">
        <x:v>29</x:v>
      </x:c>
      <x:c r="N356" s="24" t="n">
        <x:v>0.05</x:v>
      </x:c>
      <x:c r="O356" s="22" t="n">
        <x:f>L356*M356</x:f>
        <x:v>348</x:v>
      </x:c>
      <x:c r="P356" s="22" t="n">
        <x:f>O356*(1-N356)</x:f>
        <x:v>330.59999999999997</x:v>
      </x:c>
      <x:c r="Q356" s="22" t="n">
        <x:v>9</x:v>
      </x:c>
      <x:c r="R356" s="22" t="n">
        <x:f>Q356*M356</x:f>
        <x:v>261</x:v>
      </x:c>
      <x:c r="S356" s="22" t="n">
        <x:f>P356-R356</x:f>
        <x:v>69.59999999999997</x:v>
      </x:c>
      <x:c r="T356" t="str">
        <x:v>Cash</x:v>
      </x:c>
      <x:c r="U356" t="str">
        <x:v>Paid</x:v>
      </x:c>
      <x:c r="V356" t="str">
        <x:v>Delivered</x:v>
      </x:c>
      <x:c r="W356" t="n">
        <x:v>0</x:v>
      </x:c>
      <x:c r="X356" t="str"/>
      <x:c r="Y356" t="str">
        <x:v>Referral</x:v>
      </x:c>
    </x:row>
    <x:row r="357">
      <x:c r="A357" t="str">
        <x:v>O000356</x:v>
      </x:c>
      <x:c r="B357" s="20" t="n">
        <x:v>45931</x:v>
      </x:c>
      <x:c r="C357" t="str">
        <x:v>C0157</x:v>
      </x:c>
      <x:c r="D357" t="str">
        <x:v>Fresh Canteen 157</x:v>
      </x:c>
      <x:c r="E357" t="str">
        <x:v>Kirana</x:v>
      </x:c>
      <x:c r="F357" t="str">
        <x:v>Mangaluru</x:v>
      </x:c>
      <x:c r="G357" t="str">
        <x:v>Priya</x:v>
      </x:c>
      <x:c r="H357" t="str">
        <x:v>P040</x:v>
      </x:c>
      <x:c r="I357" t="str">
        <x:v>Bread Loaf 400g</x:v>
      </x:c>
      <x:c r="J357" t="str">
        <x:v>Bakery</x:v>
      </x:c>
      <x:c r="K357" t="str">
        <x:v>Britannia</x:v>
      </x:c>
      <x:c r="L357" s="22" t="n">
        <x:v>45</x:v>
      </x:c>
      <x:c r="M357" t="n">
        <x:v>39</x:v>
      </x:c>
      <x:c r="N357" s="24" t="n">
        <x:v>0.03</x:v>
      </x:c>
      <x:c r="O357" s="22" t="n">
        <x:f>L357*M357</x:f>
        <x:v>1755</x:v>
      </x:c>
      <x:c r="P357" s="22" t="n">
        <x:f>O357*(1-N357)</x:f>
        <x:v>1702.35</x:v>
      </x:c>
      <x:c r="Q357" s="22" t="n">
        <x:v>35</x:v>
      </x:c>
      <x:c r="R357" s="22" t="n">
        <x:f>Q357*M357</x:f>
        <x:v>1365</x:v>
      </x:c>
      <x:c r="S357" s="22" t="n">
        <x:f>P357-R357</x:f>
        <x:v>337.3499999999999</x:v>
      </x:c>
      <x:c r="T357" t="str">
        <x:v>Bank Transfer</x:v>
      </x:c>
      <x:c r="U357" t="str">
        <x:v>Paid</x:v>
      </x:c>
      <x:c r="V357" t="str">
        <x:v>Delivered</x:v>
      </x:c>
      <x:c r="W357" t="n">
        <x:v>0</x:v>
      </x:c>
      <x:c r="X357" t="str"/>
      <x:c r="Y357" t="str">
        <x:v>Field Visit</x:v>
      </x:c>
    </x:row>
    <x:row r="358">
      <x:c r="A358" t="str">
        <x:v>O000357</x:v>
      </x:c>
      <x:c r="B358" s="20" t="n">
        <x:v>45795</x:v>
      </x:c>
      <x:c r="C358" t="str">
        <x:v>C0200</x:v>
      </x:c>
      <x:c r="D358" t="str">
        <x:v>Sagar Kitchen 200</x:v>
      </x:c>
      <x:c r="E358" t="str">
        <x:v>Cafe</x:v>
      </x:c>
      <x:c r="F358" t="str">
        <x:v>Bengaluru</x:v>
      </x:c>
      <x:c r="G358" t="str">
        <x:v>Arjun</x:v>
      </x:c>
      <x:c r="H358" t="str">
        <x:v>P031</x:v>
      </x:c>
      <x:c r="I358" t="str">
        <x:v>Chilli Sauce 700g</x:v>
      </x:c>
      <x:c r="J358" t="str">
        <x:v>Condiments</x:v>
      </x:c>
      <x:c r="K358" t="str">
        <x:v>Ching's</x:v>
      </x:c>
      <x:c r="L358" s="22" t="n">
        <x:v>130</x:v>
      </x:c>
      <x:c r="M358" t="n">
        <x:v>33</x:v>
      </x:c>
      <x:c r="N358" s="24" t="n">
        <x:v>0.05</x:v>
      </x:c>
      <x:c r="O358" s="22" t="n">
        <x:f>L358*M358</x:f>
        <x:v>4290</x:v>
      </x:c>
      <x:c r="P358" s="22" t="n">
        <x:f>O358*(1-N358)</x:f>
        <x:v>4075.5</x:v>
      </x:c>
      <x:c r="Q358" s="22" t="n">
        <x:v>112</x:v>
      </x:c>
      <x:c r="R358" s="22" t="n">
        <x:f>Q358*M358</x:f>
        <x:v>3696</x:v>
      </x:c>
      <x:c r="S358" s="22" t="n">
        <x:f>P358-R358</x:f>
        <x:v>379.5</x:v>
      </x:c>
      <x:c r="T358" t="str">
        <x:v>Credit</x:v>
      </x:c>
      <x:c r="U358" t="str">
        <x:v>Paid</x:v>
      </x:c>
      <x:c r="V358" t="str">
        <x:v>Delivered</x:v>
      </x:c>
      <x:c r="W358" t="n">
        <x:v>0</x:v>
      </x:c>
      <x:c r="X358" t="str"/>
      <x:c r="Y358" t="str">
        <x:v>WhatsApp</x:v>
      </x:c>
    </x:row>
    <x:row r="359">
      <x:c r="A359" t="str">
        <x:v>O000358</x:v>
      </x:c>
      <x:c r="B359" s="20" t="n">
        <x:v>45855</x:v>
      </x:c>
      <x:c r="C359" t="str">
        <x:v>C0036</x:v>
      </x:c>
      <x:c r="D359" t="str">
        <x:v>Grand Hotel 36</x:v>
      </x:c>
      <x:c r="E359" t="str">
        <x:v>Canteen</x:v>
      </x:c>
      <x:c r="F359" t="str">
        <x:v>Tumakuru</x:v>
      </x:c>
      <x:c r="G359" t="str">
        <x:v>Kavya</x:v>
      </x:c>
      <x:c r="H359" t="str">
        <x:v>P011</x:v>
      </x:c>
      <x:c r="I359" t="str">
        <x:v>Salt 1kg</x:v>
      </x:c>
      <x:c r="J359" t="str">
        <x:v>Staples</x:v>
      </x:c>
      <x:c r="K359" t="str">
        <x:v>Tata</x:v>
      </x:c>
      <x:c r="L359" s="22" t="n">
        <x:v>28</x:v>
      </x:c>
      <x:c r="M359" t="n">
        <x:v>15</x:v>
      </x:c>
      <x:c r="N359" s="24" t="n">
        <x:v>0</x:v>
      </x:c>
      <x:c r="O359" s="22" t="n">
        <x:f>L359*M359</x:f>
        <x:v>420</x:v>
      </x:c>
      <x:c r="P359" s="22" t="n">
        <x:f>O359*(1-N359)</x:f>
        <x:v>420</x:v>
      </x:c>
      <x:c r="Q359" s="22" t="n">
        <x:v>23</x:v>
      </x:c>
      <x:c r="R359" s="22" t="n">
        <x:f>Q359*M359</x:f>
        <x:v>345</x:v>
      </x:c>
      <x:c r="S359" s="22" t="n">
        <x:f>P359-R359</x:f>
        <x:v>75</x:v>
      </x:c>
      <x:c r="T359" t="str">
        <x:v>UPI</x:v>
      </x:c>
      <x:c r="U359" t="str">
        <x:v>Overdue</x:v>
      </x:c>
      <x:c r="V359" t="str">
        <x:v>Delivered</x:v>
      </x:c>
      <x:c r="W359" t="n">
        <x:v>0</x:v>
      </x:c>
      <x:c r="X359" t="str"/>
      <x:c r="Y359" t="str">
        <x:v>Referral</x:v>
      </x:c>
    </x:row>
    <x:row r="360">
      <x:c r="A360" t="str">
        <x:v>O000359</x:v>
      </x:c>
      <x:c r="B360" s="20" t="n">
        <x:v>46107</x:v>
      </x:c>
      <x:c r="C360" t="str">
        <x:v>C0017</x:v>
      </x:c>
      <x:c r="D360" t="str">
        <x:v>City Foods 17</x:v>
      </x:c>
      <x:c r="E360" t="str">
        <x:v>Restaurant</x:v>
      </x:c>
      <x:c r="F360" t="str">
        <x:v>Tumakuru</x:v>
      </x:c>
      <x:c r="G360" t="str">
        <x:v>Imran</x:v>
      </x:c>
      <x:c r="H360" t="str">
        <x:v>P012</x:v>
      </x:c>
      <x:c r="I360" t="str">
        <x:v>Maida 10kg</x:v>
      </x:c>
      <x:c r="J360" t="str">
        <x:v>Flour</x:v>
      </x:c>
      <x:c r="K360" t="str">
        <x:v>Aashirvaad</x:v>
      </x:c>
      <x:c r="L360" s="22" t="n">
        <x:v>520</x:v>
      </x:c>
      <x:c r="M360" t="n">
        <x:v>40</x:v>
      </x:c>
      <x:c r="N360" s="24" t="n">
        <x:v>0.03</x:v>
      </x:c>
      <x:c r="O360" s="22" t="n">
        <x:f>L360*M360</x:f>
        <x:v>20800</x:v>
      </x:c>
      <x:c r="P360" s="22" t="n">
        <x:f>O360*(1-N360)</x:f>
        <x:v>20176</x:v>
      </x:c>
      <x:c r="Q360" s="22" t="n">
        <x:v>460</x:v>
      </x:c>
      <x:c r="R360" s="22" t="n">
        <x:f>Q360*M360</x:f>
        <x:v>18400</x:v>
      </x:c>
      <x:c r="S360" s="22" t="n">
        <x:f>P360-R360</x:f>
        <x:v>1776</x:v>
      </x:c>
      <x:c r="T360" t="str">
        <x:v>Cash</x:v>
      </x:c>
      <x:c r="U360" t="str">
        <x:v>Pending</x:v>
      </x:c>
      <x:c r="V360" t="str">
        <x:v>Delivered</x:v>
      </x:c>
      <x:c r="W360" t="n">
        <x:v>0</x:v>
      </x:c>
      <x:c r="X360" t="str"/>
      <x:c r="Y360" t="str">
        <x:v>Outbound Call</x:v>
      </x:c>
    </x:row>
    <x:row r="361">
      <x:c r="A361" t="str">
        <x:v>O000360</x:v>
      </x:c>
      <x:c r="B361" s="20" t="n">
        <x:v>45978</x:v>
      </x:c>
      <x:c r="C361" t="str">
        <x:v>C0212</x:v>
      </x:c>
      <x:c r="D361" t="str">
        <x:v>Classic Restaurant 212</x:v>
      </x:c>
      <x:c r="E361" t="str">
        <x:v>Restaurant</x:v>
      </x:c>
      <x:c r="F361" t="str">
        <x:v>Mysuru</x:v>
      </x:c>
      <x:c r="G361" t="str">
        <x:v>Vikram</x:v>
      </x:c>
      <x:c r="H361" t="str">
        <x:v>P025</x:v>
      </x:c>
      <x:c r="I361" t="str">
        <x:v>Potato Chips 100g</x:v>
      </x:c>
      <x:c r="J361" t="str">
        <x:v>Snacks</x:v>
      </x:c>
      <x:c r="K361" t="str">
        <x:v>Lay's</x:v>
      </x:c>
      <x:c r="L361" s="22" t="n">
        <x:v>35</x:v>
      </x:c>
      <x:c r="M361" t="n">
        <x:v>26</x:v>
      </x:c>
      <x:c r="N361" s="24" t="n">
        <x:v>0.05</x:v>
      </x:c>
      <x:c r="O361" s="22" t="n">
        <x:f>L361*M361</x:f>
        <x:v>910</x:v>
      </x:c>
      <x:c r="P361" s="22" t="n">
        <x:f>O361*(1-N361)</x:f>
        <x:v>864.5</x:v>
      </x:c>
      <x:c r="Q361" s="22" t="n">
        <x:v>27</x:v>
      </x:c>
      <x:c r="R361" s="22" t="n">
        <x:f>Q361*M361</x:f>
        <x:v>702</x:v>
      </x:c>
      <x:c r="S361" s="22" t="n">
        <x:f>P361-R361</x:f>
        <x:v>162.5</x:v>
      </x:c>
      <x:c r="T361" t="str">
        <x:v>UPI</x:v>
      </x:c>
      <x:c r="U361" t="str">
        <x:v>Paid</x:v>
      </x:c>
      <x:c r="V361" t="str">
        <x:v>Delivered</x:v>
      </x:c>
      <x:c r="W361" t="n">
        <x:v>0</x:v>
      </x:c>
      <x:c r="X361" t="str"/>
      <x:c r="Y361" t="str">
        <x:v>Outbound Call</x:v>
      </x:c>
    </x:row>
    <x:row r="362">
      <x:c r="A362" t="str">
        <x:v>O000361</x:v>
      </x:c>
      <x:c r="B362" s="20" t="n">
        <x:v>46208</x:v>
      </x:c>
      <x:c r="C362" t="str">
        <x:v>C0063</x:v>
      </x:c>
      <x:c r="D362" t="str">
        <x:v>Namma Mart 63</x:v>
      </x:c>
      <x:c r="E362" t="str">
        <x:v>Supermarket</x:v>
      </x:c>
      <x:c r="F362" t="str">
        <x:v>Tumakuru</x:v>
      </x:c>
      <x:c r="G362" t="str">
        <x:v>Priya</x:v>
      </x:c>
      <x:c r="H362" t="str">
        <x:v>P034</x:v>
      </x:c>
      <x:c r="I362" t="str">
        <x:v>Chilli Powder 1kg</x:v>
      </x:c>
      <x:c r="J362" t="str">
        <x:v>Spices</x:v>
      </x:c>
      <x:c r="K362" t="str">
        <x:v>MDH</x:v>
      </x:c>
      <x:c r="L362" s="22" t="n">
        <x:v>340</x:v>
      </x:c>
      <x:c r="M362" t="n">
        <x:v>26</x:v>
      </x:c>
      <x:c r="N362" s="24" t="n">
        <x:v>0.1</x:v>
      </x:c>
      <x:c r="O362" s="22" t="n">
        <x:f>L362*M362</x:f>
        <x:v>8840</x:v>
      </x:c>
      <x:c r="P362" s="22" t="n">
        <x:f>O362*(1-N362)</x:f>
        <x:v>7956</x:v>
      </x:c>
      <x:c r="Q362" s="22" t="n">
        <x:v>295</x:v>
      </x:c>
      <x:c r="R362" s="22" t="n">
        <x:f>Q362*M362</x:f>
        <x:v>7670</x:v>
      </x:c>
      <x:c r="S362" s="22" t="n">
        <x:f>P362-R362</x:f>
        <x:v>286</x:v>
      </x:c>
      <x:c r="T362" t="str">
        <x:v>UPI</x:v>
      </x:c>
      <x:c r="U362" t="str">
        <x:v>Paid</x:v>
      </x:c>
      <x:c r="V362" t="str">
        <x:v>Delayed</x:v>
      </x:c>
      <x:c r="W362" t="n">
        <x:v>0</x:v>
      </x:c>
      <x:c r="X362" t="str"/>
      <x:c r="Y362" t="str">
        <x:v>Outbound Call</x:v>
      </x:c>
    </x:row>
    <x:row r="363">
      <x:c r="A363" t="str">
        <x:v>O000362</x:v>
      </x:c>
      <x:c r="B363" s="20" t="n">
        <x:v>45969</x:v>
      </x:c>
      <x:c r="C363" t="str">
        <x:v>C0113</x:v>
      </x:c>
      <x:c r="D363" t="str">
        <x:v>Namma Mart 113</x:v>
      </x:c>
      <x:c r="E363" t="str">
        <x:v>Restaurant</x:v>
      </x:c>
      <x:c r="F363" t="str">
        <x:v>Bengaluru</x:v>
      </x:c>
      <x:c r="G363" t="str">
        <x:v>Imran</x:v>
      </x:c>
      <x:c r="H363" t="str">
        <x:v>P026</x:v>
      </x:c>
      <x:c r="I363" t="str">
        <x:v>Banana Chips 80g</x:v>
      </x:c>
      <x:c r="J363" t="str">
        <x:v>Snacks</x:v>
      </x:c>
      <x:c r="K363" t="str">
        <x:v>SSS</x:v>
      </x:c>
      <x:c r="L363" s="22" t="n">
        <x:v>54</x:v>
      </x:c>
      <x:c r="M363" t="n">
        <x:v>19</x:v>
      </x:c>
      <x:c r="N363" s="24" t="n">
        <x:v>0.03</x:v>
      </x:c>
      <x:c r="O363" s="22" t="n">
        <x:f>L363*M363</x:f>
        <x:v>1026</x:v>
      </x:c>
      <x:c r="P363" s="22" t="n">
        <x:f>O363*(1-N363)</x:f>
        <x:v>995.22</x:v>
      </x:c>
      <x:c r="Q363" s="22" t="n">
        <x:v>39</x:v>
      </x:c>
      <x:c r="R363" s="22" t="n">
        <x:f>Q363*M363</x:f>
        <x:v>741</x:v>
      </x:c>
      <x:c r="S363" s="22" t="n">
        <x:f>P363-R363</x:f>
        <x:v>254.22000000000003</x:v>
      </x:c>
      <x:c r="T363" t="str">
        <x:v>Credit</x:v>
      </x:c>
      <x:c r="U363" t="str">
        <x:v>Paid</x:v>
      </x:c>
      <x:c r="V363" t="str">
        <x:v>Delivered</x:v>
      </x:c>
      <x:c r="W363" t="n">
        <x:v>0</x:v>
      </x:c>
      <x:c r="X363" t="str"/>
      <x:c r="Y363" t="str">
        <x:v>Referral</x:v>
      </x:c>
    </x:row>
    <x:row r="364">
      <x:c r="A364" t="str">
        <x:v>O000363</x:v>
      </x:c>
      <x:c r="B364" s="20" t="n">
        <x:v>45750</x:v>
      </x:c>
      <x:c r="C364" t="str">
        <x:v>C0166</x:v>
      </x:c>
      <x:c r="D364" t="str">
        <x:v>Mysore Foods 166</x:v>
      </x:c>
      <x:c r="E364" t="str">
        <x:v>Cafe</x:v>
      </x:c>
      <x:c r="F364" t="str">
        <x:v>Mangaluru</x:v>
      </x:c>
      <x:c r="G364" t="str">
        <x:v>Arjun</x:v>
      </x:c>
      <x:c r="H364" t="str">
        <x:v>P029</x:v>
      </x:c>
      <x:c r="I364" t="str">
        <x:v>Tomato Ketchup 1kg</x:v>
      </x:c>
      <x:c r="J364" t="str">
        <x:v>Condiments</x:v>
      </x:c>
      <x:c r="K364" t="str">
        <x:v>Kissan</x:v>
      </x:c>
      <x:c r="L364" s="22" t="n">
        <x:v>145</x:v>
      </x:c>
      <x:c r="M364" t="n">
        <x:v>33</x:v>
      </x:c>
      <x:c r="N364" s="24" t="n">
        <x:v>0</x:v>
      </x:c>
      <x:c r="O364" s="22" t="n">
        <x:f>L364*M364</x:f>
        <x:v>4785</x:v>
      </x:c>
      <x:c r="P364" s="22" t="n">
        <x:f>O364*(1-N364)</x:f>
        <x:v>4785</x:v>
      </x:c>
      <x:c r="Q364" s="22" t="n">
        <x:v>126</x:v>
      </x:c>
      <x:c r="R364" s="22" t="n">
        <x:f>Q364*M364</x:f>
        <x:v>4158</x:v>
      </x:c>
      <x:c r="S364" s="22" t="n">
        <x:f>P364-R364</x:f>
        <x:v>627</x:v>
      </x:c>
      <x:c r="T364" t="str">
        <x:v>Bank Transfer</x:v>
      </x:c>
      <x:c r="U364" t="str">
        <x:v>Paid</x:v>
      </x:c>
      <x:c r="V364" t="str">
        <x:v>Delivered</x:v>
      </x:c>
      <x:c r="W364" t="n">
        <x:v>0</x:v>
      </x:c>
      <x:c r="X364" t="str"/>
      <x:c r="Y364" t="str">
        <x:v>Referral</x:v>
      </x:c>
    </x:row>
    <x:row r="365">
      <x:c r="A365" t="str">
        <x:v>O000364</x:v>
      </x:c>
      <x:c r="B365" s="20" t="n">
        <x:v>45864</x:v>
      </x:c>
      <x:c r="C365" t="str">
        <x:v>C0230</x:v>
      </x:c>
      <x:c r="D365" t="str">
        <x:v>Darshini Foods 230</x:v>
      </x:c>
      <x:c r="E365" t="str">
        <x:v>Restaurant</x:v>
      </x:c>
      <x:c r="F365" t="str">
        <x:v>Davanagere</x:v>
      </x:c>
      <x:c r="G365" t="str">
        <x:v>Priya</x:v>
      </x:c>
      <x:c r="H365" t="str">
        <x:v>P046</x:v>
      </x:c>
      <x:c r="I365" t="str">
        <x:v>Potato 25kg</x:v>
      </x:c>
      <x:c r="J365" t="str">
        <x:v>Fresh Produce</x:v>
      </x:c>
      <x:c r="K365" t="str">
        <x:v>Local Market</x:v>
      </x:c>
      <x:c r="L365" s="22" t="n">
        <x:v>700</x:v>
      </x:c>
      <x:c r="M365" t="n">
        <x:v>30</x:v>
      </x:c>
      <x:c r="N365" s="24" t="n">
        <x:v>0</x:v>
      </x:c>
      <x:c r="O365" s="22" t="n">
        <x:f>L365*M365</x:f>
        <x:v>21000</x:v>
      </x:c>
      <x:c r="P365" s="22" t="n">
        <x:f>O365*(1-N365)</x:f>
        <x:v>21000</x:v>
      </x:c>
      <x:c r="Q365" s="22" t="n">
        <x:v>610</x:v>
      </x:c>
      <x:c r="R365" s="22" t="n">
        <x:f>Q365*M365</x:f>
        <x:v>18300</x:v>
      </x:c>
      <x:c r="S365" s="22" t="n">
        <x:f>P365-R365</x:f>
        <x:v>2700</x:v>
      </x:c>
      <x:c r="T365" t="str">
        <x:v>Cash</x:v>
      </x:c>
      <x:c r="U365" t="str">
        <x:v>Paid</x:v>
      </x:c>
      <x:c r="V365" t="str">
        <x:v>Cancelled</x:v>
      </x:c>
      <x:c r="W365" t="n">
        <x:v>30</x:v>
      </x:c>
      <x:c r="X365" t="str">
        <x:v>Cancelled Order</x:v>
      </x:c>
      <x:c r="Y365" t="str">
        <x:v>Referral</x:v>
      </x:c>
    </x:row>
    <x:row r="366">
      <x:c r="A366" t="str">
        <x:v>O000365</x:v>
      </x:c>
      <x:c r="B366" s="20" t="n">
        <x:v>45774</x:v>
      </x:c>
      <x:c r="C366" t="str">
        <x:v>C0032</x:v>
      </x:c>
      <x:c r="D366" t="str">
        <x:v>Cafe Hotel 32</x:v>
      </x:c>
      <x:c r="E366" t="str">
        <x:v>Canteen</x:v>
      </x:c>
      <x:c r="F366" t="str">
        <x:v>Bengaluru</x:v>
      </x:c>
      <x:c r="G366" t="str">
        <x:v>Sneha</x:v>
      </x:c>
      <x:c r="H366" t="str">
        <x:v>P006</x:v>
      </x:c>
      <x:c r="I366" t="str">
        <x:v>Moong Dal 5kg</x:v>
      </x:c>
      <x:c r="J366" t="str">
        <x:v>Pulses</x:v>
      </x:c>
      <x:c r="K366" t="str">
        <x:v>Local Select</x:v>
      </x:c>
      <x:c r="L366" s="22" t="n">
        <x:v>610</x:v>
      </x:c>
      <x:c r="M366" t="n">
        <x:v>29</x:v>
      </x:c>
      <x:c r="N366" s="24" t="n">
        <x:v>0.05</x:v>
      </x:c>
      <x:c r="O366" s="22" t="n">
        <x:f>L366*M366</x:f>
        <x:v>17690</x:v>
      </x:c>
      <x:c r="P366" s="22" t="n">
        <x:f>O366*(1-N366)</x:f>
        <x:v>16805.5</x:v>
      </x:c>
      <x:c r="Q366" s="22" t="n">
        <x:v>540</x:v>
      </x:c>
      <x:c r="R366" s="22" t="n">
        <x:f>Q366*M366</x:f>
        <x:v>15660</x:v>
      </x:c>
      <x:c r="S366" s="22" t="n">
        <x:f>P366-R366</x:f>
        <x:v>1145.5</x:v>
      </x:c>
      <x:c r="T366" t="str">
        <x:v>UPI</x:v>
      </x:c>
      <x:c r="U366" t="str">
        <x:v>Paid</x:v>
      </x:c>
      <x:c r="V366" t="str">
        <x:v>Delivered</x:v>
      </x:c>
      <x:c r="W366" t="n">
        <x:v>0</x:v>
      </x:c>
      <x:c r="X366" t="str"/>
      <x:c r="Y366" t="str">
        <x:v>Existing Customer</x:v>
      </x:c>
    </x:row>
    <x:row r="367">
      <x:c r="A367" t="str">
        <x:v>O000366</x:v>
      </x:c>
      <x:c r="B367" s="20" t="n">
        <x:v>46221</x:v>
      </x:c>
      <x:c r="C367" t="str">
        <x:v>C0041</x:v>
      </x:c>
      <x:c r="D367" t="str">
        <x:v>Grand Mart 41</x:v>
      </x:c>
      <x:c r="E367" t="str">
        <x:v>Cafe</x:v>
      </x:c>
      <x:c r="F367" t="str">
        <x:v>Bengaluru</x:v>
      </x:c>
      <x:c r="G367" t="str">
        <x:v>Kavya</x:v>
      </x:c>
      <x:c r="H367" t="str">
        <x:v>P025</x:v>
      </x:c>
      <x:c r="I367" t="str">
        <x:v>Potato Chips 100g</x:v>
      </x:c>
      <x:c r="J367" t="str">
        <x:v>Snacks</x:v>
      </x:c>
      <x:c r="K367" t="str">
        <x:v>Lay's</x:v>
      </x:c>
      <x:c r="L367" s="22" t="n">
        <x:v>35</x:v>
      </x:c>
      <x:c r="M367" t="n">
        <x:v>25</x:v>
      </x:c>
      <x:c r="N367" s="24" t="n">
        <x:v>0</x:v>
      </x:c>
      <x:c r="O367" s="22" t="n">
        <x:f>L367*M367</x:f>
        <x:v>875</x:v>
      </x:c>
      <x:c r="P367" s="22" t="n">
        <x:f>O367*(1-N367)</x:f>
        <x:v>875</x:v>
      </x:c>
      <x:c r="Q367" s="22" t="n">
        <x:v>27</x:v>
      </x:c>
      <x:c r="R367" s="22" t="n">
        <x:f>Q367*M367</x:f>
        <x:v>675</x:v>
      </x:c>
      <x:c r="S367" s="22" t="n">
        <x:f>P367-R367</x:f>
        <x:v>200</x:v>
      </x:c>
      <x:c r="T367" t="str">
        <x:v>Bank Transfer</x:v>
      </x:c>
      <x:c r="U367" t="str">
        <x:v>Pending</x:v>
      </x:c>
      <x:c r="V367" t="str">
        <x:v>Delayed</x:v>
      </x:c>
      <x:c r="W367" t="n">
        <x:v>0</x:v>
      </x:c>
      <x:c r="X367" t="str"/>
      <x:c r="Y367" t="str">
        <x:v>Referral</x:v>
      </x:c>
    </x:row>
    <x:row r="368">
      <x:c r="A368" t="str">
        <x:v>O000367</x:v>
      </x:c>
      <x:c r="B368" s="20" t="n">
        <x:v>45710</x:v>
      </x:c>
      <x:c r="C368" t="str">
        <x:v>C0038</x:v>
      </x:c>
      <x:c r="D368" t="str">
        <x:v>Mysore Kitchen 38</x:v>
      </x:c>
      <x:c r="E368" t="str">
        <x:v>Kirana</x:v>
      </x:c>
      <x:c r="F368" t="str">
        <x:v>Tumakuru</x:v>
      </x:c>
      <x:c r="G368" t="str">
        <x:v>Priya</x:v>
      </x:c>
      <x:c r="H368" t="str">
        <x:v>P012</x:v>
      </x:c>
      <x:c r="I368" t="str">
        <x:v>Maida 10kg</x:v>
      </x:c>
      <x:c r="J368" t="str">
        <x:v>Flour</x:v>
      </x:c>
      <x:c r="K368" t="str">
        <x:v>Aashirvaad</x:v>
      </x:c>
      <x:c r="L368" s="22" t="n">
        <x:v>520</x:v>
      </x:c>
      <x:c r="M368" t="n">
        <x:v>27</x:v>
      </x:c>
      <x:c r="N368" s="24" t="n">
        <x:v>0.02</x:v>
      </x:c>
      <x:c r="O368" s="22" t="n">
        <x:f>L368*M368</x:f>
        <x:v>14040</x:v>
      </x:c>
      <x:c r="P368" s="22" t="n">
        <x:f>O368*(1-N368)</x:f>
        <x:v>13759.199999999999</x:v>
      </x:c>
      <x:c r="Q368" s="22" t="n">
        <x:v>460</x:v>
      </x:c>
      <x:c r="R368" s="22" t="n">
        <x:f>Q368*M368</x:f>
        <x:v>12420</x:v>
      </x:c>
      <x:c r="S368" s="22" t="n">
        <x:f>P368-R368</x:f>
        <x:v>1339.199999999999</x:v>
      </x:c>
      <x:c r="T368" t="str">
        <x:v>Credit</x:v>
      </x:c>
      <x:c r="U368" t="str">
        <x:v>Paid</x:v>
      </x:c>
      <x:c r="V368" t="str">
        <x:v>Delivered</x:v>
      </x:c>
      <x:c r="W368" t="n">
        <x:v>0</x:v>
      </x:c>
      <x:c r="X368" t="str"/>
      <x:c r="Y368" t="str">
        <x:v>Referral</x:v>
      </x:c>
    </x:row>
    <x:row r="369">
      <x:c r="A369" t="str">
        <x:v>O000368</x:v>
      </x:c>
      <x:c r="B369" s="20" t="n">
        <x:v>45917</x:v>
      </x:c>
      <x:c r="C369" t="str">
        <x:v>C0001</x:v>
      </x:c>
      <x:c r="D369" t="str">
        <x:v>Annapurna Cafe 1</x:v>
      </x:c>
      <x:c r="E369" t="str">
        <x:v>Hotel</x:v>
      </x:c>
      <x:c r="F369" t="str">
        <x:v>Davanagere</x:v>
      </x:c>
      <x:c r="G369" t="str">
        <x:v>Kavya</x:v>
      </x:c>
      <x:c r="H369" t="str">
        <x:v>P040</x:v>
      </x:c>
      <x:c r="I369" t="str">
        <x:v>Bread Loaf 400g</x:v>
      </x:c>
      <x:c r="J369" t="str">
        <x:v>Bakery</x:v>
      </x:c>
      <x:c r="K369" t="str">
        <x:v>Britannia</x:v>
      </x:c>
      <x:c r="L369" s="22" t="n">
        <x:v>45</x:v>
      </x:c>
      <x:c r="M369" t="n">
        <x:v>1</x:v>
      </x:c>
      <x:c r="N369" s="24" t="n">
        <x:v>0.03</x:v>
      </x:c>
      <x:c r="O369" s="22" t="n">
        <x:f>L369*M369</x:f>
        <x:v>45</x:v>
      </x:c>
      <x:c r="P369" s="22" t="n">
        <x:f>O369*(1-N369)</x:f>
        <x:v>43.65</x:v>
      </x:c>
      <x:c r="Q369" s="22" t="n">
        <x:v>35</x:v>
      </x:c>
      <x:c r="R369" s="22" t="n">
        <x:f>Q369*M369</x:f>
        <x:v>35</x:v>
      </x:c>
      <x:c r="S369" s="22" t="n">
        <x:f>P369-R369</x:f>
        <x:v>8.649999999999999</x:v>
      </x:c>
      <x:c r="T369" t="str">
        <x:v>Credit</x:v>
      </x:c>
      <x:c r="U369" t="str">
        <x:v>Paid</x:v>
      </x:c>
      <x:c r="V369" t="str">
        <x:v>Delivered</x:v>
      </x:c>
      <x:c r="W369" t="n">
        <x:v>0</x:v>
      </x:c>
      <x:c r="X369" t="str"/>
      <x:c r="Y369" t="str">
        <x:v>WhatsApp</x:v>
      </x:c>
    </x:row>
    <x:row r="370">
      <x:c r="A370" t="str">
        <x:v>O000369</x:v>
      </x:c>
      <x:c r="B370" s="20" t="n">
        <x:v>46145</x:v>
      </x:c>
      <x:c r="C370" t="str">
        <x:v>C0151</x:v>
      </x:c>
      <x:c r="D370" t="str">
        <x:v>Foodie Stores 151</x:v>
      </x:c>
      <x:c r="E370" t="str">
        <x:v>Supermarket</x:v>
      </x:c>
      <x:c r="F370" t="str">
        <x:v>Mysuru</x:v>
      </x:c>
      <x:c r="G370" t="str">
        <x:v>Arjun</x:v>
      </x:c>
      <x:c r="H370" t="str">
        <x:v>P043</x:v>
      </x:c>
      <x:c r="I370" t="str">
        <x:v>Chicken Breast 1kg</x:v>
      </x:c>
      <x:c r="J370" t="str">
        <x:v>Protein</x:v>
      </x:c>
      <x:c r="K370" t="str">
        <x:v>FreshToHome</x:v>
      </x:c>
      <x:c r="L370" s="22" t="n">
        <x:v>260</x:v>
      </x:c>
      <x:c r="M370" t="n">
        <x:v>30</x:v>
      </x:c>
      <x:c r="N370" s="24" t="n">
        <x:v>0.03</x:v>
      </x:c>
      <x:c r="O370" s="22" t="n">
        <x:f>L370*M370</x:f>
        <x:v>7800</x:v>
      </x:c>
      <x:c r="P370" s="22" t="n">
        <x:f>O370*(1-N370)</x:f>
        <x:v>7566</x:v>
      </x:c>
      <x:c r="Q370" s="22" t="n">
        <x:v>235</x:v>
      </x:c>
      <x:c r="R370" s="22" t="n">
        <x:f>Q370*M370</x:f>
        <x:v>7050</x:v>
      </x:c>
      <x:c r="S370" s="22" t="n">
        <x:f>P370-R370</x:f>
        <x:v>516</x:v>
      </x:c>
      <x:c r="T370" t="str">
        <x:v>UPI</x:v>
      </x:c>
      <x:c r="U370" t="str">
        <x:v>Paid</x:v>
      </x:c>
      <x:c r="V370" t="str">
        <x:v>Delivered</x:v>
      </x:c>
      <x:c r="W370" t="n">
        <x:v>0</x:v>
      </x:c>
      <x:c r="X370" t="str"/>
      <x:c r="Y370" t="str">
        <x:v>Existing Customer</x:v>
      </x:c>
    </x:row>
    <x:row r="371">
      <x:c r="A371" t="str">
        <x:v>O000370</x:v>
      </x:c>
      <x:c r="B371" s="20" t="n">
        <x:v>45870</x:v>
      </x:c>
      <x:c r="C371" t="str">
        <x:v>C0161</x:v>
      </x:c>
      <x:c r="D371" t="str">
        <x:v>Hotel Kitchen 161</x:v>
      </x:c>
      <x:c r="E371" t="str">
        <x:v>Supermarket</x:v>
      </x:c>
      <x:c r="F371" t="str">
        <x:v>Mysuru</x:v>
      </x:c>
      <x:c r="G371" t="str">
        <x:v>Sneha</x:v>
      </x:c>
      <x:c r="H371" t="str">
        <x:v>P036</x:v>
      </x:c>
      <x:c r="I371" t="str">
        <x:v>Garam Masala 500g</x:v>
      </x:c>
      <x:c r="J371" t="str">
        <x:v>Spices</x:v>
      </x:c>
      <x:c r="K371" t="str">
        <x:v>MDH</x:v>
      </x:c>
      <x:c r="L371" s="22" t="n">
        <x:v>265</x:v>
      </x:c>
      <x:c r="M371" t="n">
        <x:v>4</x:v>
      </x:c>
      <x:c r="N371" s="24" t="n">
        <x:v>0</x:v>
      </x:c>
      <x:c r="O371" s="22" t="n">
        <x:f>L371*M371</x:f>
        <x:v>1060</x:v>
      </x:c>
      <x:c r="P371" s="22" t="n">
        <x:f>O371*(1-N371)</x:f>
        <x:v>1060</x:v>
      </x:c>
      <x:c r="Q371" s="22" t="n">
        <x:v>230</x:v>
      </x:c>
      <x:c r="R371" s="22" t="n">
        <x:f>Q371*M371</x:f>
        <x:v>920</x:v>
      </x:c>
      <x:c r="S371" s="22" t="n">
        <x:f>P371-R371</x:f>
        <x:v>140</x:v>
      </x:c>
      <x:c r="T371" t="str">
        <x:v>UPI</x:v>
      </x:c>
      <x:c r="U371" t="str">
        <x:v>Paid</x:v>
      </x:c>
      <x:c r="V371" t="str">
        <x:v>Delivered</x:v>
      </x:c>
      <x:c r="W371" t="n">
        <x:v>0</x:v>
      </x:c>
      <x:c r="X371" t="str"/>
      <x:c r="Y371" t="str">
        <x:v>Outbound Call</x:v>
      </x:c>
    </x:row>
    <x:row r="372">
      <x:c r="A372" t="str">
        <x:v>O000371</x:v>
      </x:c>
      <x:c r="B372" s="20" t="n">
        <x:v>45963</x:v>
      </x:c>
      <x:c r="C372" t="str">
        <x:v>C0215</x:v>
      </x:c>
      <x:c r="D372" t="str">
        <x:v>Annapurna Restaurant 215</x:v>
      </x:c>
      <x:c r="E372" t="str">
        <x:v>Supermarket</x:v>
      </x:c>
      <x:c r="F372" t="str">
        <x:v>Bengaluru</x:v>
      </x:c>
      <x:c r="G372" t="str">
        <x:v>Vikram</x:v>
      </x:c>
      <x:c r="H372" t="str">
        <x:v>P039</x:v>
      </x:c>
      <x:c r="I372" t="str">
        <x:v>Ice Cream 4L</x:v>
      </x:c>
      <x:c r="J372" t="str">
        <x:v>Frozen</x:v>
      </x:c>
      <x:c r="K372" t="str">
        <x:v>Amul</x:v>
      </x:c>
      <x:c r="L372" s="22" t="n">
        <x:v>480</x:v>
      </x:c>
      <x:c r="M372" t="n">
        <x:v>22</x:v>
      </x:c>
      <x:c r="N372" s="24" t="n">
        <x:v>0.08</x:v>
      </x:c>
      <x:c r="O372" s="22" t="n">
        <x:f>L372*M372</x:f>
        <x:v>10560</x:v>
      </x:c>
      <x:c r="P372" s="22" t="n">
        <x:f>O372*(1-N372)</x:f>
        <x:v>9715.2</x:v>
      </x:c>
      <x:c r="Q372" s="22" t="n">
        <x:v>420</x:v>
      </x:c>
      <x:c r="R372" s="22" t="n">
        <x:f>Q372*M372</x:f>
        <x:v>9240</x:v>
      </x:c>
      <x:c r="S372" s="22" t="n">
        <x:f>P372-R372</x:f>
        <x:v>475.2000000000007</x:v>
      </x:c>
      <x:c r="T372" t="str">
        <x:v>UPI</x:v>
      </x:c>
      <x:c r="U372" t="str">
        <x:v>Paid</x:v>
      </x:c>
      <x:c r="V372" t="str">
        <x:v>Delivered</x:v>
      </x:c>
      <x:c r="W372" t="n">
        <x:v>0</x:v>
      </x:c>
      <x:c r="X372" t="str"/>
      <x:c r="Y372" t="str">
        <x:v>Field Visit</x:v>
      </x:c>
    </x:row>
    <x:row r="373">
      <x:c r="A373" t="str">
        <x:v>O000372</x:v>
      </x:c>
      <x:c r="B373" s="20" t="n">
        <x:v>46267</x:v>
      </x:c>
      <x:c r="C373" t="str">
        <x:v>C0178</x:v>
      </x:c>
      <x:c r="D373" t="str">
        <x:v>Annapurna Foods 178</x:v>
      </x:c>
      <x:c r="E373" t="str">
        <x:v>Canteen</x:v>
      </x:c>
      <x:c r="F373" t="str">
        <x:v>Tumakuru</x:v>
      </x:c>
      <x:c r="G373" t="str">
        <x:v>Imran</x:v>
      </x:c>
      <x:c r="H373" t="str">
        <x:v>P045</x:v>
      </x:c>
      <x:c r="I373" t="str">
        <x:v>Onion 25kg</x:v>
      </x:c>
      <x:c r="J373" t="str">
        <x:v>Fresh Produce</x:v>
      </x:c>
      <x:c r="K373" t="str">
        <x:v>Local Market</x:v>
      </x:c>
      <x:c r="L373" s="22" t="n">
        <x:v>875</x:v>
      </x:c>
      <x:c r="M373" t="n">
        <x:v>37</x:v>
      </x:c>
      <x:c r="N373" s="24" t="n">
        <x:v>0.05</x:v>
      </x:c>
      <x:c r="O373" s="22" t="n">
        <x:f>L373*M373</x:f>
        <x:v>32375</x:v>
      </x:c>
      <x:c r="P373" s="22" t="n">
        <x:f>O373*(1-N373)</x:f>
        <x:v>30756.25</x:v>
      </x:c>
      <x:c r="Q373" s="22" t="n">
        <x:v>760</x:v>
      </x:c>
      <x:c r="R373" s="22" t="n">
        <x:f>Q373*M373</x:f>
        <x:v>28120</x:v>
      </x:c>
      <x:c r="S373" s="22" t="n">
        <x:f>P373-R373</x:f>
        <x:v>2636.25</x:v>
      </x:c>
      <x:c r="T373" t="str">
        <x:v>Bank Transfer</x:v>
      </x:c>
      <x:c r="U373" t="str">
        <x:v>Overdue</x:v>
      </x:c>
      <x:c r="V373" t="str">
        <x:v>Cancelled</x:v>
      </x:c>
      <x:c r="W373" t="n">
        <x:v>37</x:v>
      </x:c>
      <x:c r="X373" t="str">
        <x:v>Cancelled Order</x:v>
      </x:c>
      <x:c r="Y373" t="str">
        <x:v>Existing Customer</x:v>
      </x:c>
    </x:row>
    <x:row r="374">
      <x:c r="A374" t="str">
        <x:v>O000373</x:v>
      </x:c>
      <x:c r="B374" s="20" t="n">
        <x:v>45964</x:v>
      </x:c>
      <x:c r="C374" t="str">
        <x:v>C0010</x:v>
      </x:c>
      <x:c r="D374" t="str">
        <x:v>Royal Hotel 10</x:v>
      </x:c>
      <x:c r="E374" t="str">
        <x:v>Canteen</x:v>
      </x:c>
      <x:c r="F374" t="str">
        <x:v>Davanagere</x:v>
      </x:c>
      <x:c r="G374" t="str">
        <x:v>Ramesh</x:v>
      </x:c>
      <x:c r="H374" t="str">
        <x:v>P006</x:v>
      </x:c>
      <x:c r="I374" t="str">
        <x:v>Moong Dal 5kg</x:v>
      </x:c>
      <x:c r="J374" t="str">
        <x:v>Pulses</x:v>
      </x:c>
      <x:c r="K374" t="str">
        <x:v>Local Select</x:v>
      </x:c>
      <x:c r="L374" s="22" t="n">
        <x:v>610</x:v>
      </x:c>
      <x:c r="M374" t="n">
        <x:v>21</x:v>
      </x:c>
      <x:c r="N374" s="24" t="n">
        <x:v>0.02</x:v>
      </x:c>
      <x:c r="O374" s="22" t="n">
        <x:f>L374*M374</x:f>
        <x:v>12810</x:v>
      </x:c>
      <x:c r="P374" s="22" t="n">
        <x:f>O374*(1-N374)</x:f>
        <x:v>12553.8</x:v>
      </x:c>
      <x:c r="Q374" s="22" t="n">
        <x:v>540</x:v>
      </x:c>
      <x:c r="R374" s="22" t="n">
        <x:f>Q374*M374</x:f>
        <x:v>11340</x:v>
      </x:c>
      <x:c r="S374" s="22" t="n">
        <x:f>P374-R374</x:f>
        <x:v>1213.7999999999993</x:v>
      </x:c>
      <x:c r="T374" t="str">
        <x:v>Credit</x:v>
      </x:c>
      <x:c r="U374" t="str">
        <x:v>Pending</x:v>
      </x:c>
      <x:c r="V374" t="str">
        <x:v>Delivered</x:v>
      </x:c>
      <x:c r="W374" t="n">
        <x:v>0</x:v>
      </x:c>
      <x:c r="X374" t="str"/>
      <x:c r="Y374" t="str">
        <x:v>Outbound Call</x:v>
      </x:c>
    </x:row>
    <x:row r="375">
      <x:c r="A375" t="str">
        <x:v>O000374</x:v>
      </x:c>
      <x:c r="B375" s="20" t="n">
        <x:v>45939</x:v>
      </x:c>
      <x:c r="C375" t="str">
        <x:v>C0035</x:v>
      </x:c>
      <x:c r="D375" t="str">
        <x:v>City Foods 35</x:v>
      </x:c>
      <x:c r="E375" t="str">
        <x:v>Kirana</x:v>
      </x:c>
      <x:c r="F375" t="str">
        <x:v>Bengaluru</x:v>
      </x:c>
      <x:c r="G375" t="str">
        <x:v>Megha</x:v>
      </x:c>
      <x:c r="H375" t="str">
        <x:v>P008</x:v>
      </x:c>
      <x:c r="I375" t="str">
        <x:v>Palm Oil 15L</x:v>
      </x:c>
      <x:c r="J375" t="str">
        <x:v>Edible Oil</x:v>
      </x:c>
      <x:c r="K375" t="str">
        <x:v>Ruchi Gold</x:v>
      </x:c>
      <x:c r="L375" s="22" t="n">
        <x:v>1760</x:v>
      </x:c>
      <x:c r="M375" t="n">
        <x:v>9</x:v>
      </x:c>
      <x:c r="N375" s="24" t="n">
        <x:v>0.03</x:v>
      </x:c>
      <x:c r="O375" s="22" t="n">
        <x:f>L375*M375</x:f>
        <x:v>15840</x:v>
      </x:c>
      <x:c r="P375" s="22" t="n">
        <x:f>O375*(1-N375)</x:f>
        <x:v>15364.8</x:v>
      </x:c>
      <x:c r="Q375" s="22" t="n">
        <x:v>1610</x:v>
      </x:c>
      <x:c r="R375" s="22" t="n">
        <x:f>Q375*M375</x:f>
        <x:v>14490</x:v>
      </x:c>
      <x:c r="S375" s="22" t="n">
        <x:f>P375-R375</x:f>
        <x:v>874.7999999999993</x:v>
      </x:c>
      <x:c r="T375" t="str">
        <x:v>Bank Transfer</x:v>
      </x:c>
      <x:c r="U375" t="str">
        <x:v>Paid</x:v>
      </x:c>
      <x:c r="V375" t="str">
        <x:v>Delayed</x:v>
      </x:c>
      <x:c r="W375" t="n">
        <x:v>0</x:v>
      </x:c>
      <x:c r="X375" t="str"/>
      <x:c r="Y375" t="str">
        <x:v>Outbound Call</x:v>
      </x:c>
    </x:row>
    <x:row r="376">
      <x:c r="A376" t="str">
        <x:v>O000375</x:v>
      </x:c>
      <x:c r="B376" s="20" t="n">
        <x:v>46199</x:v>
      </x:c>
      <x:c r="C376" t="str">
        <x:v>C0187</x:v>
      </x:c>
      <x:c r="D376" t="str">
        <x:v>City Cafe 187</x:v>
      </x:c>
      <x:c r="E376" t="str">
        <x:v>Hotel</x:v>
      </x:c>
      <x:c r="F376" t="str">
        <x:v>Mysuru</x:v>
      </x:c>
      <x:c r="G376" t="str">
        <x:v>Priya</x:v>
      </x:c>
      <x:c r="H376" t="str">
        <x:v>P041</x:v>
      </x:c>
      <x:c r="I376" t="str">
        <x:v>Burger Bun 6pc</x:v>
      </x:c>
      <x:c r="J376" t="str">
        <x:v>Bakery</x:v>
      </x:c>
      <x:c r="K376" t="str">
        <x:v>Modern</x:v>
      </x:c>
      <x:c r="L376" s="22" t="n">
        <x:v>42</x:v>
      </x:c>
      <x:c r="M376" t="n">
        <x:v>6</x:v>
      </x:c>
      <x:c r="N376" s="24" t="n">
        <x:v>0.03</x:v>
      </x:c>
      <x:c r="O376" s="22" t="n">
        <x:f>L376*M376</x:f>
        <x:v>252</x:v>
      </x:c>
      <x:c r="P376" s="22" t="n">
        <x:f>O376*(1-N376)</x:f>
        <x:v>244.44</x:v>
      </x:c>
      <x:c r="Q376" s="22" t="n">
        <x:v>32</x:v>
      </x:c>
      <x:c r="R376" s="22" t="n">
        <x:f>Q376*M376</x:f>
        <x:v>192</x:v>
      </x:c>
      <x:c r="S376" s="22" t="n">
        <x:f>P376-R376</x:f>
        <x:v>52.44</x:v>
      </x:c>
      <x:c r="T376" t="str">
        <x:v>Cash</x:v>
      </x:c>
      <x:c r="U376" t="str">
        <x:v>Paid</x:v>
      </x:c>
      <x:c r="V376" t="str">
        <x:v>Delivered</x:v>
      </x:c>
      <x:c r="W376" t="n">
        <x:v>0</x:v>
      </x:c>
      <x:c r="X376" t="str"/>
      <x:c r="Y376" t="str">
        <x:v>Existing Customer</x:v>
      </x:c>
    </x:row>
    <x:row r="377">
      <x:c r="A377" t="str">
        <x:v>O000376</x:v>
      </x:c>
      <x:c r="B377" s="20" t="n">
        <x:v>46234</x:v>
      </x:c>
      <x:c r="C377" t="str">
        <x:v>C0091</x:v>
      </x:c>
      <x:c r="D377" t="str">
        <x:v>Classic Mart 91</x:v>
      </x:c>
      <x:c r="E377" t="str">
        <x:v>Cafe</x:v>
      </x:c>
      <x:c r="F377" t="str">
        <x:v>Mangaluru</x:v>
      </x:c>
      <x:c r="G377" t="str">
        <x:v>Kavya</x:v>
      </x:c>
      <x:c r="H377" t="str">
        <x:v>P009</x:v>
      </x:c>
      <x:c r="I377" t="str">
        <x:v>Groundnut Oil 5L</x:v>
      </x:c>
      <x:c r="J377" t="str">
        <x:v>Edible Oil</x:v>
      </x:c>
      <x:c r="K377" t="str">
        <x:v>Dhara</x:v>
      </x:c>
      <x:c r="L377" s="22" t="n">
        <x:v>890</x:v>
      </x:c>
      <x:c r="M377" t="n">
        <x:v>32</x:v>
      </x:c>
      <x:c r="N377" s="24" t="n">
        <x:v>0.03</x:v>
      </x:c>
      <x:c r="O377" s="22" t="n">
        <x:f>L377*M377</x:f>
        <x:v>28480</x:v>
      </x:c>
      <x:c r="P377" s="22" t="n">
        <x:f>O377*(1-N377)</x:f>
        <x:v>27625.6</x:v>
      </x:c>
      <x:c r="Q377" s="22" t="n">
        <x:v>810</x:v>
      </x:c>
      <x:c r="R377" s="22" t="n">
        <x:f>Q377*M377</x:f>
        <x:v>25920</x:v>
      </x:c>
      <x:c r="S377" s="22" t="n">
        <x:f>P377-R377</x:f>
        <x:v>1705.5999999999985</x:v>
      </x:c>
      <x:c r="T377" t="str">
        <x:v>Credit</x:v>
      </x:c>
      <x:c r="U377" t="str">
        <x:v>Paid</x:v>
      </x:c>
      <x:c r="V377" t="str">
        <x:v>Delivered</x:v>
      </x:c>
      <x:c r="W377" t="n">
        <x:v>0</x:v>
      </x:c>
      <x:c r="X377" t="str"/>
      <x:c r="Y377" t="str">
        <x:v>Referral</x:v>
      </x:c>
    </x:row>
    <x:row r="378">
      <x:c r="A378" t="str">
        <x:v>O000377</x:v>
      </x:c>
      <x:c r="B378" s="20" t="n">
        <x:v>45779</x:v>
      </x:c>
      <x:c r="C378" t="str">
        <x:v>C0050</x:v>
      </x:c>
      <x:c r="D378" t="str">
        <x:v>Green Stores 50</x:v>
      </x:c>
      <x:c r="E378" t="str">
        <x:v>Restaurant</x:v>
      </x:c>
      <x:c r="F378" t="str">
        <x:v>Davanagere</x:v>
      </x:c>
      <x:c r="G378" t="str">
        <x:v>Vikram</x:v>
      </x:c>
      <x:c r="H378" t="str">
        <x:v>P001</x:v>
      </x:c>
      <x:c r="I378" t="str">
        <x:v>Steam Rice 25kg</x:v>
      </x:c>
      <x:c r="J378" t="str">
        <x:v>Staples</x:v>
      </x:c>
      <x:c r="K378" t="str">
        <x:v>Aishwarya</x:v>
      </x:c>
      <x:c r="L378" s="22" t="n">
        <x:v>1180</x:v>
      </x:c>
      <x:c r="M378" t="n">
        <x:v>8</x:v>
      </x:c>
      <x:c r="N378" s="24" t="n">
        <x:v>0.05</x:v>
      </x:c>
      <x:c r="O378" s="22" t="n">
        <x:f>L378*M378</x:f>
        <x:v>9440</x:v>
      </x:c>
      <x:c r="P378" s="22" t="n">
        <x:f>O378*(1-N378)</x:f>
        <x:v>8968</x:v>
      </x:c>
      <x:c r="Q378" s="22" t="n">
        <x:v>1040</x:v>
      </x:c>
      <x:c r="R378" s="22" t="n">
        <x:f>Q378*M378</x:f>
        <x:v>8320</x:v>
      </x:c>
      <x:c r="S378" s="22" t="n">
        <x:f>P378-R378</x:f>
        <x:v>648</x:v>
      </x:c>
      <x:c r="T378" t="str">
        <x:v>UPI</x:v>
      </x:c>
      <x:c r="U378" t="str">
        <x:v>Pending</x:v>
      </x:c>
      <x:c r="V378" t="str">
        <x:v>Delivered</x:v>
      </x:c>
      <x:c r="W378" t="n">
        <x:v>0</x:v>
      </x:c>
      <x:c r="X378" t="str"/>
      <x:c r="Y378" t="str">
        <x:v>WhatsApp</x:v>
      </x:c>
    </x:row>
    <x:row r="379">
      <x:c r="A379" t="str">
        <x:v>O000378</x:v>
      </x:c>
      <x:c r="B379" s="20" t="n">
        <x:v>46231</x:v>
      </x:c>
      <x:c r="C379" t="str">
        <x:v>C0086</x:v>
      </x:c>
      <x:c r="D379" t="str">
        <x:v>Foodie Canteen 86</x:v>
      </x:c>
      <x:c r="E379" t="str">
        <x:v>Kirana</x:v>
      </x:c>
      <x:c r="F379" t="str">
        <x:v>Hubballi</x:v>
      </x:c>
      <x:c r="G379" t="str">
        <x:v>Sneha</x:v>
      </x:c>
      <x:c r="H379" t="str">
        <x:v>P023</x:v>
      </x:c>
      <x:c r="I379" t="str">
        <x:v>Cola 750ml</x:v>
      </x:c>
      <x:c r="J379" t="str">
        <x:v>Beverage</x:v>
      </x:c>
      <x:c r="K379" t="str">
        <x:v>Coca-Cola</x:v>
      </x:c>
      <x:c r="L379" s="22" t="n">
        <x:v>38</x:v>
      </x:c>
      <x:c r="M379" t="n">
        <x:v>14</x:v>
      </x:c>
      <x:c r="N379" s="24" t="n">
        <x:v>0</x:v>
      </x:c>
      <x:c r="O379" s="22" t="n">
        <x:f>L379*M379</x:f>
        <x:v>532</x:v>
      </x:c>
      <x:c r="P379" s="22" t="n">
        <x:f>O379*(1-N379)</x:f>
        <x:v>532</x:v>
      </x:c>
      <x:c r="Q379" s="22" t="n">
        <x:v>31</x:v>
      </x:c>
      <x:c r="R379" s="22" t="n">
        <x:f>Q379*M379</x:f>
        <x:v>434</x:v>
      </x:c>
      <x:c r="S379" s="22" t="n">
        <x:f>P379-R379</x:f>
        <x:v>98</x:v>
      </x:c>
      <x:c r="T379" t="str">
        <x:v>Bank Transfer</x:v>
      </x:c>
      <x:c r="U379" t="str">
        <x:v>Paid</x:v>
      </x:c>
      <x:c r="V379" t="str">
        <x:v>Delivered</x:v>
      </x:c>
      <x:c r="W379" t="n">
        <x:v>0</x:v>
      </x:c>
      <x:c r="X379" t="str"/>
      <x:c r="Y379" t="str">
        <x:v>Field Visit</x:v>
      </x:c>
    </x:row>
    <x:row r="380">
      <x:c r="A380" t="str">
        <x:v>O000379</x:v>
      </x:c>
      <x:c r="B380" s="20" t="n">
        <x:v>45664</x:v>
      </x:c>
      <x:c r="C380" t="str">
        <x:v>C0141</x:v>
      </x:c>
      <x:c r="D380" t="str">
        <x:v>Sri Restaurant 141</x:v>
      </x:c>
      <x:c r="E380" t="str">
        <x:v>Restaurant</x:v>
      </x:c>
      <x:c r="F380" t="str">
        <x:v>Mangaluru</x:v>
      </x:c>
      <x:c r="G380" t="str">
        <x:v>Ramesh</x:v>
      </x:c>
      <x:c r="H380" t="str">
        <x:v>P021</x:v>
      </x:c>
      <x:c r="I380" t="str">
        <x:v>Instant Coffee 200g</x:v>
      </x:c>
      <x:c r="J380" t="str">
        <x:v>Beverage</x:v>
      </x:c>
      <x:c r="K380" t="str">
        <x:v>Nescafe</x:v>
      </x:c>
      <x:c r="L380" s="22" t="n">
        <x:v>460</x:v>
      </x:c>
      <x:c r="M380" t="n">
        <x:v>8</x:v>
      </x:c>
      <x:c r="N380" s="24" t="n">
        <x:v>0.05</x:v>
      </x:c>
      <x:c r="O380" s="22" t="n">
        <x:f>L380*M380</x:f>
        <x:v>3680</x:v>
      </x:c>
      <x:c r="P380" s="22" t="n">
        <x:f>O380*(1-N380)</x:f>
        <x:v>3496</x:v>
      </x:c>
      <x:c r="Q380" s="22" t="n">
        <x:v>410</x:v>
      </x:c>
      <x:c r="R380" s="22" t="n">
        <x:f>Q380*M380</x:f>
        <x:v>3280</x:v>
      </x:c>
      <x:c r="S380" s="22" t="n">
        <x:f>P380-R380</x:f>
        <x:v>216</x:v>
      </x:c>
      <x:c r="T380" t="str">
        <x:v>Cash</x:v>
      </x:c>
      <x:c r="U380" t="str">
        <x:v>Paid</x:v>
      </x:c>
      <x:c r="V380" t="str">
        <x:v>Delayed</x:v>
      </x:c>
      <x:c r="W380" t="n">
        <x:v>0</x:v>
      </x:c>
      <x:c r="X380" t="str"/>
      <x:c r="Y380" t="str">
        <x:v>Existing Customer</x:v>
      </x:c>
    </x:row>
    <x:row r="381">
      <x:c r="A381" t="str">
        <x:v>O000380</x:v>
      </x:c>
      <x:c r="B381" s="20" t="n">
        <x:v>45856</x:v>
      </x:c>
      <x:c r="C381" t="str">
        <x:v>C0214</x:v>
      </x:c>
      <x:c r="D381" t="str">
        <x:v>Darshini Kitchen 214</x:v>
      </x:c>
      <x:c r="E381" t="str">
        <x:v>Kirana</x:v>
      </x:c>
      <x:c r="F381" t="str">
        <x:v>Bengaluru</x:v>
      </x:c>
      <x:c r="G381" t="str">
        <x:v>Imran</x:v>
      </x:c>
      <x:c r="H381" t="str">
        <x:v>P012</x:v>
      </x:c>
      <x:c r="I381" t="str">
        <x:v>Maida 10kg</x:v>
      </x:c>
      <x:c r="J381" t="str">
        <x:v>Flour</x:v>
      </x:c>
      <x:c r="K381" t="str">
        <x:v>Aashirvaad</x:v>
      </x:c>
      <x:c r="L381" s="22" t="n">
        <x:v>520</x:v>
      </x:c>
      <x:c r="M381" t="n">
        <x:v>22</x:v>
      </x:c>
      <x:c r="N381" s="24" t="n">
        <x:v>0.05</x:v>
      </x:c>
      <x:c r="O381" s="22" t="n">
        <x:f>L381*M381</x:f>
        <x:v>11440</x:v>
      </x:c>
      <x:c r="P381" s="22" t="n">
        <x:f>O381*(1-N381)</x:f>
        <x:v>10868</x:v>
      </x:c>
      <x:c r="Q381" s="22" t="n">
        <x:v>460</x:v>
      </x:c>
      <x:c r="R381" s="22" t="n">
        <x:f>Q381*M381</x:f>
        <x:v>10120</x:v>
      </x:c>
      <x:c r="S381" s="22" t="n">
        <x:f>P381-R381</x:f>
        <x:v>748</x:v>
      </x:c>
      <x:c r="T381" t="str">
        <x:v>Credit</x:v>
      </x:c>
      <x:c r="U381" t="str">
        <x:v>Pending</x:v>
      </x:c>
      <x:c r="V381" t="str">
        <x:v>Delivered</x:v>
      </x:c>
      <x:c r="W381" t="n">
        <x:v>0</x:v>
      </x:c>
      <x:c r="X381" t="str"/>
      <x:c r="Y381" t="str">
        <x:v>WhatsApp</x:v>
      </x:c>
    </x:row>
    <x:row r="382">
      <x:c r="A382" t="str">
        <x:v>O000381</x:v>
      </x:c>
      <x:c r="B382" s="20" t="n">
        <x:v>46001</x:v>
      </x:c>
      <x:c r="C382" t="str">
        <x:v>C0118</x:v>
      </x:c>
      <x:c r="D382" t="str">
        <x:v>Sagar Kitchen 118</x:v>
      </x:c>
      <x:c r="E382" t="str">
        <x:v>Restaurant</x:v>
      </x:c>
      <x:c r="F382" t="str">
        <x:v>Hubballi</x:v>
      </x:c>
      <x:c r="G382" t="str">
        <x:v>Megha</x:v>
      </x:c>
      <x:c r="H382" t="str">
        <x:v>P035</x:v>
      </x:c>
      <x:c r="I382" t="str">
        <x:v>Coriander Powder 1kg</x:v>
      </x:c>
      <x:c r="J382" t="str">
        <x:v>Spices</x:v>
      </x:c>
      <x:c r="K382" t="str">
        <x:v>Everest</x:v>
      </x:c>
      <x:c r="L382" s="22" t="n">
        <x:v>280</x:v>
      </x:c>
      <x:c r="M382" t="n">
        <x:v>30</x:v>
      </x:c>
      <x:c r="N382" s="24" t="n">
        <x:v>0.05</x:v>
      </x:c>
      <x:c r="O382" s="22" t="n">
        <x:f>L382*M382</x:f>
        <x:v>8400</x:v>
      </x:c>
      <x:c r="P382" s="22" t="n">
        <x:f>O382*(1-N382)</x:f>
        <x:v>7980</x:v>
      </x:c>
      <x:c r="Q382" s="22" t="n">
        <x:v>245</x:v>
      </x:c>
      <x:c r="R382" s="22" t="n">
        <x:f>Q382*M382</x:f>
        <x:v>7350</x:v>
      </x:c>
      <x:c r="S382" s="22" t="n">
        <x:f>P382-R382</x:f>
        <x:v>630</x:v>
      </x:c>
      <x:c r="T382" t="str">
        <x:v>Credit</x:v>
      </x:c>
      <x:c r="U382" t="str">
        <x:v>Overdue</x:v>
      </x:c>
      <x:c r="V382" t="str">
        <x:v>Delivered</x:v>
      </x:c>
      <x:c r="W382" t="n">
        <x:v>0</x:v>
      </x:c>
      <x:c r="X382" t="str"/>
      <x:c r="Y382" t="str">
        <x:v>Field Visit</x:v>
      </x:c>
    </x:row>
    <x:row r="383">
      <x:c r="A383" t="str">
        <x:v>O000382</x:v>
      </x:c>
      <x:c r="B383" s="20" t="n">
        <x:v>46226</x:v>
      </x:c>
      <x:c r="C383" t="str">
        <x:v>C0174</x:v>
      </x:c>
      <x:c r="D383" t="str">
        <x:v>Classic Stores 174</x:v>
      </x:c>
      <x:c r="E383" t="str">
        <x:v>Kirana</x:v>
      </x:c>
      <x:c r="F383" t="str">
        <x:v>Mysuru</x:v>
      </x:c>
      <x:c r="G383" t="str">
        <x:v>Vikram</x:v>
      </x:c>
      <x:c r="H383" t="str">
        <x:v>P021</x:v>
      </x:c>
      <x:c r="I383" t="str">
        <x:v>Instant Coffee 200g</x:v>
      </x:c>
      <x:c r="J383" t="str">
        <x:v>Beverage</x:v>
      </x:c>
      <x:c r="K383" t="str">
        <x:v>Nescafe</x:v>
      </x:c>
      <x:c r="L383" s="22" t="n">
        <x:v>460</x:v>
      </x:c>
      <x:c r="M383" t="n">
        <x:v>35</x:v>
      </x:c>
      <x:c r="N383" s="24" t="n">
        <x:v>0</x:v>
      </x:c>
      <x:c r="O383" s="22" t="n">
        <x:f>L383*M383</x:f>
        <x:v>16100</x:v>
      </x:c>
      <x:c r="P383" s="22" t="n">
        <x:f>O383*(1-N383)</x:f>
        <x:v>16100</x:v>
      </x:c>
      <x:c r="Q383" s="22" t="n">
        <x:v>410</x:v>
      </x:c>
      <x:c r="R383" s="22" t="n">
        <x:f>Q383*M383</x:f>
        <x:v>14350</x:v>
      </x:c>
      <x:c r="S383" s="22" t="n">
        <x:f>P383-R383</x:f>
        <x:v>1750</x:v>
      </x:c>
      <x:c r="T383" t="str">
        <x:v>Cash</x:v>
      </x:c>
      <x:c r="U383" t="str">
        <x:v>Pending</x:v>
      </x:c>
      <x:c r="V383" t="str">
        <x:v>Delivered</x:v>
      </x:c>
      <x:c r="W383" t="n">
        <x:v>2</x:v>
      </x:c>
      <x:c r="X383" t="str">
        <x:v>Quality Issue</x:v>
      </x:c>
      <x:c r="Y383" t="str">
        <x:v>Outbound Call</x:v>
      </x:c>
    </x:row>
    <x:row r="384">
      <x:c r="A384" t="str">
        <x:v>O000383</x:v>
      </x:c>
      <x:c r="B384" s="20" t="n">
        <x:v>46205</x:v>
      </x:c>
      <x:c r="C384" t="str">
        <x:v>C0097</x:v>
      </x:c>
      <x:c r="D384" t="str">
        <x:v>Classic Stores 97</x:v>
      </x:c>
      <x:c r="E384" t="str">
        <x:v>Restaurant</x:v>
      </x:c>
      <x:c r="F384" t="str">
        <x:v>Davanagere</x:v>
      </x:c>
      <x:c r="G384" t="str">
        <x:v>Priya</x:v>
      </x:c>
      <x:c r="H384" t="str">
        <x:v>P041</x:v>
      </x:c>
      <x:c r="I384" t="str">
        <x:v>Burger Bun 6pc</x:v>
      </x:c>
      <x:c r="J384" t="str">
        <x:v>Bakery</x:v>
      </x:c>
      <x:c r="K384" t="str">
        <x:v>Modern</x:v>
      </x:c>
      <x:c r="L384" s="22" t="n">
        <x:v>42</x:v>
      </x:c>
      <x:c r="M384" t="n">
        <x:v>11</x:v>
      </x:c>
      <x:c r="N384" s="24" t="n">
        <x:v>0.03</x:v>
      </x:c>
      <x:c r="O384" s="22" t="n">
        <x:f>L384*M384</x:f>
        <x:v>462</x:v>
      </x:c>
      <x:c r="P384" s="22" t="n">
        <x:f>O384*(1-N384)</x:f>
        <x:v>448.14</x:v>
      </x:c>
      <x:c r="Q384" s="22" t="n">
        <x:v>32</x:v>
      </x:c>
      <x:c r="R384" s="22" t="n">
        <x:f>Q384*M384</x:f>
        <x:v>352</x:v>
      </x:c>
      <x:c r="S384" s="22" t="n">
        <x:f>P384-R384</x:f>
        <x:v>96.13999999999999</x:v>
      </x:c>
      <x:c r="T384" t="str">
        <x:v>Credit</x:v>
      </x:c>
      <x:c r="U384" t="str">
        <x:v>Paid</x:v>
      </x:c>
      <x:c r="V384" t="str">
        <x:v>Delivered</x:v>
      </x:c>
      <x:c r="W384" t="n">
        <x:v>0</x:v>
      </x:c>
      <x:c r="X384" t="str"/>
      <x:c r="Y384" t="str">
        <x:v>Field Visit</x:v>
      </x:c>
    </x:row>
    <x:row r="385">
      <x:c r="A385" t="str">
        <x:v>O000384</x:v>
      </x:c>
      <x:c r="B385" s="20" t="n">
        <x:v>45690</x:v>
      </x:c>
      <x:c r="C385" t="str">
        <x:v>C0081</x:v>
      </x:c>
      <x:c r="D385" t="str">
        <x:v>Foodie Mart 81</x:v>
      </x:c>
      <x:c r="E385" t="str">
        <x:v>Supermarket</x:v>
      </x:c>
      <x:c r="F385" t="str">
        <x:v>Hubballi</x:v>
      </x:c>
      <x:c r="G385" t="str">
        <x:v>Kavya</x:v>
      </x:c>
      <x:c r="H385" t="str">
        <x:v>P046</x:v>
      </x:c>
      <x:c r="I385" t="str">
        <x:v>Potato 25kg</x:v>
      </x:c>
      <x:c r="J385" t="str">
        <x:v>Fresh Produce</x:v>
      </x:c>
      <x:c r="K385" t="str">
        <x:v>Local Market</x:v>
      </x:c>
      <x:c r="L385" s="22" t="n">
        <x:v>700</x:v>
      </x:c>
      <x:c r="M385" t="n">
        <x:v>18</x:v>
      </x:c>
      <x:c r="N385" s="24" t="n">
        <x:v>0.03</x:v>
      </x:c>
      <x:c r="O385" s="22" t="n">
        <x:f>L385*M385</x:f>
        <x:v>12600</x:v>
      </x:c>
      <x:c r="P385" s="22" t="n">
        <x:f>O385*(1-N385)</x:f>
        <x:v>12222</x:v>
      </x:c>
      <x:c r="Q385" s="22" t="n">
        <x:v>610</x:v>
      </x:c>
      <x:c r="R385" s="22" t="n">
        <x:f>Q385*M385</x:f>
        <x:v>10980</x:v>
      </x:c>
      <x:c r="S385" s="22" t="n">
        <x:f>P385-R385</x:f>
        <x:v>1242</x:v>
      </x:c>
      <x:c r="T385" t="str">
        <x:v>Credit</x:v>
      </x:c>
      <x:c r="U385" t="str">
        <x:v>Pending</x:v>
      </x:c>
      <x:c r="V385" t="str">
        <x:v>Delivered</x:v>
      </x:c>
      <x:c r="W385" t="n">
        <x:v>0</x:v>
      </x:c>
      <x:c r="X385" t="str"/>
      <x:c r="Y385" t="str">
        <x:v>Field Visit</x:v>
      </x:c>
    </x:row>
    <x:row r="386">
      <x:c r="A386" t="str">
        <x:v>O000385</x:v>
      </x:c>
      <x:c r="B386" s="20" t="n">
        <x:v>45772</x:v>
      </x:c>
      <x:c r="C386" t="str">
        <x:v>C0078</x:v>
      </x:c>
      <x:c r="D386" t="str">
        <x:v>Sagar Canteen 78</x:v>
      </x:c>
      <x:c r="E386" t="str">
        <x:v>Hotel</x:v>
      </x:c>
      <x:c r="F386" t="str">
        <x:v>Mangaluru</x:v>
      </x:c>
      <x:c r="G386" t="str">
        <x:v>Ramesh</x:v>
      </x:c>
      <x:c r="H386" t="str">
        <x:v>P012</x:v>
      </x:c>
      <x:c r="I386" t="str">
        <x:v>Maida 10kg</x:v>
      </x:c>
      <x:c r="J386" t="str">
        <x:v>Flour</x:v>
      </x:c>
      <x:c r="K386" t="str">
        <x:v>Aashirvaad</x:v>
      </x:c>
      <x:c r="L386" s="22" t="n">
        <x:v>520</x:v>
      </x:c>
      <x:c r="M386" t="n">
        <x:v>24</x:v>
      </x:c>
      <x:c r="N386" s="24" t="n">
        <x:v>0.05</x:v>
      </x:c>
      <x:c r="O386" s="22" t="n">
        <x:f>L386*M386</x:f>
        <x:v>12480</x:v>
      </x:c>
      <x:c r="P386" s="22" t="n">
        <x:f>O386*(1-N386)</x:f>
        <x:v>11856</x:v>
      </x:c>
      <x:c r="Q386" s="22" t="n">
        <x:v>460</x:v>
      </x:c>
      <x:c r="R386" s="22" t="n">
        <x:f>Q386*M386</x:f>
        <x:v>11040</x:v>
      </x:c>
      <x:c r="S386" s="22" t="n">
        <x:f>P386-R386</x:f>
        <x:v>816</x:v>
      </x:c>
      <x:c r="T386" t="str">
        <x:v>Bank Transfer</x:v>
      </x:c>
      <x:c r="U386" t="str">
        <x:v>Pending</x:v>
      </x:c>
      <x:c r="V386" t="str">
        <x:v>Delivered</x:v>
      </x:c>
      <x:c r="W386" t="n">
        <x:v>0</x:v>
      </x:c>
      <x:c r="X386" t="str"/>
      <x:c r="Y386" t="str">
        <x:v>WhatsApp</x:v>
      </x:c>
    </x:row>
    <x:row r="387">
      <x:c r="A387" t="str">
        <x:v>O000386</x:v>
      </x:c>
      <x:c r="B387" s="20" t="n">
        <x:v>46006</x:v>
      </x:c>
      <x:c r="C387" t="str">
        <x:v>C0040</x:v>
      </x:c>
      <x:c r="D387" t="str">
        <x:v>Royal Foods 40</x:v>
      </x:c>
      <x:c r="E387" t="str">
        <x:v>Restaurant</x:v>
      </x:c>
      <x:c r="F387" t="str">
        <x:v>Mangaluru</x:v>
      </x:c>
      <x:c r="G387" t="str">
        <x:v>Kavya</x:v>
      </x:c>
      <x:c r="H387" t="str">
        <x:v>P013</x:v>
      </x:c>
      <x:c r="I387" t="str">
        <x:v>Atta 10kg</x:v>
      </x:c>
      <x:c r="J387" t="str">
        <x:v>Flour</x:v>
      </x:c>
      <x:c r="K387" t="str">
        <x:v>Aashirvaad</x:v>
      </x:c>
      <x:c r="L387" s="22" t="n">
        <x:v>560</x:v>
      </x:c>
      <x:c r="M387" t="n">
        <x:v>31</x:v>
      </x:c>
      <x:c r="N387" s="24" t="n">
        <x:v>0.05</x:v>
      </x:c>
      <x:c r="O387" s="22" t="n">
        <x:f>L387*M387</x:f>
        <x:v>17360</x:v>
      </x:c>
      <x:c r="P387" s="22" t="n">
        <x:f>O387*(1-N387)</x:f>
        <x:v>16492</x:v>
      </x:c>
      <x:c r="Q387" s="22" t="n">
        <x:v>495</x:v>
      </x:c>
      <x:c r="R387" s="22" t="n">
        <x:f>Q387*M387</x:f>
        <x:v>15345</x:v>
      </x:c>
      <x:c r="S387" s="22" t="n">
        <x:f>P387-R387</x:f>
        <x:v>1147</x:v>
      </x:c>
      <x:c r="T387" t="str">
        <x:v>Cash</x:v>
      </x:c>
      <x:c r="U387" t="str">
        <x:v>Pending</x:v>
      </x:c>
      <x:c r="V387" t="str">
        <x:v>Delivered</x:v>
      </x:c>
      <x:c r="W387" t="n">
        <x:v>0</x:v>
      </x:c>
      <x:c r="X387" t="str"/>
      <x:c r="Y387" t="str">
        <x:v>Outbound Call</x:v>
      </x:c>
    </x:row>
    <x:row r="388">
      <x:c r="A388" t="str">
        <x:v>O000387</x:v>
      </x:c>
      <x:c r="B388" s="20" t="n">
        <x:v>45793</x:v>
      </x:c>
      <x:c r="C388" t="str">
        <x:v>C0241</x:v>
      </x:c>
      <x:c r="D388" t="str">
        <x:v>Annapurna Restaurant 241</x:v>
      </x:c>
      <x:c r="E388" t="str">
        <x:v>Hotel</x:v>
      </x:c>
      <x:c r="F388" t="str">
        <x:v>Tumakuru</x:v>
      </x:c>
      <x:c r="G388" t="str">
        <x:v>Imran</x:v>
      </x:c>
      <x:c r="H388" t="str">
        <x:v>P034</x:v>
      </x:c>
      <x:c r="I388" t="str">
        <x:v>Chilli Powder 1kg</x:v>
      </x:c>
      <x:c r="J388" t="str">
        <x:v>Spices</x:v>
      </x:c>
      <x:c r="K388" t="str">
        <x:v>MDH</x:v>
      </x:c>
      <x:c r="L388" s="22" t="n">
        <x:v>340</x:v>
      </x:c>
      <x:c r="M388" t="n">
        <x:v>14</x:v>
      </x:c>
      <x:c r="N388" s="24" t="n">
        <x:v>0.05</x:v>
      </x:c>
      <x:c r="O388" s="22" t="n">
        <x:f>L388*M388</x:f>
        <x:v>4760</x:v>
      </x:c>
      <x:c r="P388" s="22" t="n">
        <x:f>O388*(1-N388)</x:f>
        <x:v>4522</x:v>
      </x:c>
      <x:c r="Q388" s="22" t="n">
        <x:v>295</x:v>
      </x:c>
      <x:c r="R388" s="22" t="n">
        <x:f>Q388*M388</x:f>
        <x:v>4130</x:v>
      </x:c>
      <x:c r="S388" s="22" t="n">
        <x:f>P388-R388</x:f>
        <x:v>392</x:v>
      </x:c>
      <x:c r="T388" t="str">
        <x:v>Credit</x:v>
      </x:c>
      <x:c r="U388" t="str">
        <x:v>Paid</x:v>
      </x:c>
      <x:c r="V388" t="str">
        <x:v>Delayed</x:v>
      </x:c>
      <x:c r="W388" t="n">
        <x:v>0</x:v>
      </x:c>
      <x:c r="X388" t="str"/>
      <x:c r="Y388" t="str"/>
    </x:row>
    <x:row r="389">
      <x:c r="A389" t="str">
        <x:v>O000388</x:v>
      </x:c>
      <x:c r="B389" s="20" t="n">
        <x:v>46266</x:v>
      </x:c>
      <x:c r="C389" t="str">
        <x:v>C0239</x:v>
      </x:c>
      <x:c r="D389" t="str">
        <x:v>Royal Hotel 239</x:v>
      </x:c>
      <x:c r="E389" t="str">
        <x:v>Restaurant</x:v>
      </x:c>
      <x:c r="F389" t="str">
        <x:v>Hubballi</x:v>
      </x:c>
      <x:c r="G389" t="str">
        <x:v>Priya</x:v>
      </x:c>
      <x:c r="H389" t="str">
        <x:v>P003</x:v>
      </x:c>
      <x:c r="I389" t="str">
        <x:v>Basmati Rice 5kg</x:v>
      </x:c>
      <x:c r="J389" t="str">
        <x:v>Staples</x:v>
      </x:c>
      <x:c r="K389" t="str">
        <x:v>India Gate</x:v>
      </x:c>
      <x:c r="L389" s="22" t="n">
        <x:v>690</x:v>
      </x:c>
      <x:c r="M389" t="n">
        <x:v>6</x:v>
      </x:c>
      <x:c r="N389" s="24" t="n">
        <x:v>0.02</x:v>
      </x:c>
      <x:c r="O389" s="22" t="n">
        <x:f>L389*M389</x:f>
        <x:v>4140</x:v>
      </x:c>
      <x:c r="P389" s="22" t="n">
        <x:f>O389*(1-N389)</x:f>
        <x:v>4057.2</x:v>
      </x:c>
      <x:c r="Q389" s="22" t="n">
        <x:v>610</x:v>
      </x:c>
      <x:c r="R389" s="22" t="n">
        <x:f>Q389*M389</x:f>
        <x:v>3660</x:v>
      </x:c>
      <x:c r="S389" s="22" t="n">
        <x:f>P389-R389</x:f>
        <x:v>397.1999999999998</x:v>
      </x:c>
      <x:c r="T389" t="str">
        <x:v>UPI</x:v>
      </x:c>
      <x:c r="U389" t="str">
        <x:v>Paid</x:v>
      </x:c>
      <x:c r="V389" t="str">
        <x:v>Cancelled</x:v>
      </x:c>
      <x:c r="W389" t="n">
        <x:v>6</x:v>
      </x:c>
      <x:c r="X389" t="str">
        <x:v>Cancelled Order</x:v>
      </x:c>
      <x:c r="Y389" t="str">
        <x:v>Field Visit</x:v>
      </x:c>
    </x:row>
    <x:row r="390">
      <x:c r="A390" t="str">
        <x:v>O000389</x:v>
      </x:c>
      <x:c r="B390" s="20" t="n">
        <x:v>45872</x:v>
      </x:c>
      <x:c r="C390" t="str">
        <x:v>C0195</x:v>
      </x:c>
      <x:c r="D390" t="str">
        <x:v>Classic Stores 195</x:v>
      </x:c>
      <x:c r="E390" t="str">
        <x:v>Canteen</x:v>
      </x:c>
      <x:c r="F390" t="str">
        <x:v>Davanagere</x:v>
      </x:c>
      <x:c r="G390" t="str">
        <x:v>Kavya</x:v>
      </x:c>
      <x:c r="H390" t="str">
        <x:v>P020</x:v>
      </x:c>
      <x:c r="I390" t="str">
        <x:v>Coffee 500g</x:v>
      </x:c>
      <x:c r="J390" t="str">
        <x:v>Beverage</x:v>
      </x:c>
      <x:c r="K390" t="str">
        <x:v>Bru</x:v>
      </x:c>
      <x:c r="L390" s="22" t="n">
        <x:v>390</x:v>
      </x:c>
      <x:c r="M390" t="n">
        <x:v>21</x:v>
      </x:c>
      <x:c r="N390" s="24" t="n">
        <x:v>0</x:v>
      </x:c>
      <x:c r="O390" s="22" t="n">
        <x:f>L390*M390</x:f>
        <x:v>8190</x:v>
      </x:c>
      <x:c r="P390" s="22" t="n">
        <x:f>O390*(1-N390)</x:f>
        <x:v>8190</x:v>
      </x:c>
      <x:c r="Q390" s="22" t="n">
        <x:v>350</x:v>
      </x:c>
      <x:c r="R390" s="22" t="n">
        <x:f>Q390*M390</x:f>
        <x:v>7350</x:v>
      </x:c>
      <x:c r="S390" s="22" t="n">
        <x:f>P390-R390</x:f>
        <x:v>840</x:v>
      </x:c>
      <x:c r="T390" t="str">
        <x:v>Cash</x:v>
      </x:c>
      <x:c r="U390" t="str">
        <x:v>Paid</x:v>
      </x:c>
      <x:c r="V390" t="str">
        <x:v>Delivered</x:v>
      </x:c>
      <x:c r="W390" t="n">
        <x:v>0</x:v>
      </x:c>
      <x:c r="X390" t="str"/>
      <x:c r="Y390" t="str">
        <x:v>Outbound Call</x:v>
      </x:c>
    </x:row>
    <x:row r="391">
      <x:c r="A391" t="str">
        <x:v>O000390</x:v>
      </x:c>
      <x:c r="B391" s="20" t="n">
        <x:v>45775</x:v>
      </x:c>
      <x:c r="C391" t="str">
        <x:v>C0041</x:v>
      </x:c>
      <x:c r="D391" t="str">
        <x:v>Grand Mart 41</x:v>
      </x:c>
      <x:c r="E391" t="str">
        <x:v>Cafe</x:v>
      </x:c>
      <x:c r="F391" t="str">
        <x:v>Bengaluru</x:v>
      </x:c>
      <x:c r="G391" t="str">
        <x:v>Kavya</x:v>
      </x:c>
      <x:c r="H391" t="str">
        <x:v>P018</x:v>
      </x:c>
      <x:c r="I391" t="str">
        <x:v>Paneer 1kg</x:v>
      </x:c>
      <x:c r="J391" t="str">
        <x:v>Dairy</x:v>
      </x:c>
      <x:c r="K391" t="str">
        <x:v>Milky Mist</x:v>
      </x:c>
      <x:c r="L391" s="22" t="n">
        <x:v>410</x:v>
      </x:c>
      <x:c r="M391" t="n">
        <x:v>1</x:v>
      </x:c>
      <x:c r="N391" s="24" t="n">
        <x:v>0.1</x:v>
      </x:c>
      <x:c r="O391" s="22" t="n">
        <x:f>L391*M391</x:f>
        <x:v>410</x:v>
      </x:c>
      <x:c r="P391" s="22" t="n">
        <x:f>O391*(1-N391)</x:f>
        <x:v>369</x:v>
      </x:c>
      <x:c r="Q391" s="22" t="n">
        <x:v>370</x:v>
      </x:c>
      <x:c r="R391" s="22" t="n">
        <x:f>Q391*M391</x:f>
        <x:v>370</x:v>
      </x:c>
      <x:c r="S391" s="22" t="n">
        <x:f>P391-R391</x:f>
        <x:v>-1</x:v>
      </x:c>
      <x:c r="T391" t="str">
        <x:v>UPI</x:v>
      </x:c>
      <x:c r="U391" t="str">
        <x:v>Paid</x:v>
      </x:c>
      <x:c r="V391" t="str">
        <x:v>Delivered</x:v>
      </x:c>
      <x:c r="W391" t="n">
        <x:v>0</x:v>
      </x:c>
      <x:c r="X391" t="str"/>
      <x:c r="Y391" t="str">
        <x:v>Field Visit</x:v>
      </x:c>
    </x:row>
    <x:row r="392">
      <x:c r="A392" t="str">
        <x:v>O000391</x:v>
      </x:c>
      <x:c r="B392" s="20" t="n">
        <x:v>46245</x:v>
      </x:c>
      <x:c r="C392" t="str">
        <x:v>C0181</x:v>
      </x:c>
      <x:c r="D392" t="str">
        <x:v>Darshini Mart 181</x:v>
      </x:c>
      <x:c r="E392" t="str">
        <x:v>Restaurant</x:v>
      </x:c>
      <x:c r="F392" t="str">
        <x:v>Mangaluru</x:v>
      </x:c>
      <x:c r="G392" t="str">
        <x:v>Kavya</x:v>
      </x:c>
      <x:c r="H392" t="str">
        <x:v>P019</x:v>
      </x:c>
      <x:c r="I392" t="str">
        <x:v>Tea 1kg</x:v>
      </x:c>
      <x:c r="J392" t="str">
        <x:v>Beverage</x:v>
      </x:c>
      <x:c r="K392" t="str">
        <x:v>Red Label</x:v>
      </x:c>
      <x:c r="L392" s="22" t="n">
        <x:v>540</x:v>
      </x:c>
      <x:c r="M392" t="n">
        <x:v>16</x:v>
      </x:c>
      <x:c r="N392" s="24" t="n">
        <x:v>0</x:v>
      </x:c>
      <x:c r="O392" s="22" t="n">
        <x:f>L392*M392</x:f>
        <x:v>8640</x:v>
      </x:c>
      <x:c r="P392" s="22" t="n">
        <x:f>O392*(1-N392)</x:f>
        <x:v>8640</x:v>
      </x:c>
      <x:c r="Q392" s="22" t="n">
        <x:v>485</x:v>
      </x:c>
      <x:c r="R392" s="22" t="n">
        <x:f>Q392*M392</x:f>
        <x:v>7760</x:v>
      </x:c>
      <x:c r="S392" s="22" t="n">
        <x:f>P392-R392</x:f>
        <x:v>880</x:v>
      </x:c>
      <x:c r="T392" t="str">
        <x:v>Cash</x:v>
      </x:c>
      <x:c r="U392" t="str">
        <x:v>Paid</x:v>
      </x:c>
      <x:c r="V392" t="str">
        <x:v>Delivered</x:v>
      </x:c>
      <x:c r="W392" t="n">
        <x:v>0</x:v>
      </x:c>
      <x:c r="X392" t="str"/>
      <x:c r="Y392" t="str">
        <x:v>Outbound Call</x:v>
      </x:c>
    </x:row>
    <x:row r="393">
      <x:c r="A393" t="str">
        <x:v>O000392</x:v>
      </x:c>
      <x:c r="B393" s="20" t="n">
        <x:v>45709</x:v>
      </x:c>
      <x:c r="C393" t="str">
        <x:v>C0121</x:v>
      </x:c>
      <x:c r="D393" t="str">
        <x:v>Mysore Restaurant 121</x:v>
      </x:c>
      <x:c r="E393" t="str">
        <x:v>Cafe</x:v>
      </x:c>
      <x:c r="F393" t="str">
        <x:v>Mysuru</x:v>
      </x:c>
      <x:c r="G393" t="str">
        <x:v>Sneha</x:v>
      </x:c>
      <x:c r="H393" t="str">
        <x:v>P044</x:v>
      </x:c>
      <x:c r="I393" t="str">
        <x:v>Chicken Curry Cut 1kg</x:v>
      </x:c>
      <x:c r="J393" t="str">
        <x:v>Protein</x:v>
      </x:c>
      <x:c r="K393" t="str">
        <x:v>FreshToHome</x:v>
      </x:c>
      <x:c r="L393" s="22" t="n">
        <x:v>230</x:v>
      </x:c>
      <x:c r="M393" t="n">
        <x:v>7</x:v>
      </x:c>
      <x:c r="N393" s="24" t="n">
        <x:v>0.02</x:v>
      </x:c>
      <x:c r="O393" s="22" t="n">
        <x:f>L393*M393</x:f>
        <x:v>1610</x:v>
      </x:c>
      <x:c r="P393" s="22" t="n">
        <x:f>O393*(1-N393)</x:f>
        <x:v>1577.8</x:v>
      </x:c>
      <x:c r="Q393" s="22" t="n">
        <x:v>205</x:v>
      </x:c>
      <x:c r="R393" s="22" t="n">
        <x:f>Q393*M393</x:f>
        <x:v>1435</x:v>
      </x:c>
      <x:c r="S393" s="22" t="n">
        <x:f>P393-R393</x:f>
        <x:v>142.79999999999995</x:v>
      </x:c>
      <x:c r="T393" t="str">
        <x:v>UPI</x:v>
      </x:c>
      <x:c r="U393" t="str">
        <x:v>Paid</x:v>
      </x:c>
      <x:c r="V393" t="str">
        <x:v>Delivered</x:v>
      </x:c>
      <x:c r="W393" t="n">
        <x:v>0</x:v>
      </x:c>
      <x:c r="X393" t="str"/>
      <x:c r="Y393" t="str">
        <x:v>Existing Customer</x:v>
      </x:c>
    </x:row>
    <x:row r="394">
      <x:c r="A394" t="str">
        <x:v>O000393</x:v>
      </x:c>
      <x:c r="B394" s="20" t="n">
        <x:v>46114</x:v>
      </x:c>
      <x:c r="C394" t="str">
        <x:v>C0177</x:v>
      </x:c>
      <x:c r="D394" t="str">
        <x:v>Classic Cafe 177</x:v>
      </x:c>
      <x:c r="E394" t="str">
        <x:v>Supermarket</x:v>
      </x:c>
      <x:c r="F394" t="str">
        <x:v>Bengaluru</x:v>
      </x:c>
      <x:c r="G394" t="str">
        <x:v>Arjun</x:v>
      </x:c>
      <x:c r="H394" t="str">
        <x:v>P045</x:v>
      </x:c>
      <x:c r="I394" t="str">
        <x:v>Onion 25kg</x:v>
      </x:c>
      <x:c r="J394" t="str">
        <x:v>Fresh Produce</x:v>
      </x:c>
      <x:c r="K394" t="str">
        <x:v>Local Market</x:v>
      </x:c>
      <x:c r="L394" s="22" t="n">
        <x:v>875</x:v>
      </x:c>
      <x:c r="M394" t="n">
        <x:v>40</x:v>
      </x:c>
      <x:c r="N394" s="24" t="n">
        <x:v>0.02</x:v>
      </x:c>
      <x:c r="O394" s="22" t="n">
        <x:f>L394*M394</x:f>
        <x:v>35000</x:v>
      </x:c>
      <x:c r="P394" s="22" t="n">
        <x:f>O394*(1-N394)</x:f>
        <x:v>34300</x:v>
      </x:c>
      <x:c r="Q394" s="22" t="n">
        <x:v>760</x:v>
      </x:c>
      <x:c r="R394" s="22" t="n">
        <x:f>Q394*M394</x:f>
        <x:v>30400</x:v>
      </x:c>
      <x:c r="S394" s="22" t="n">
        <x:f>P394-R394</x:f>
        <x:v>3900</x:v>
      </x:c>
      <x:c r="T394" t="str">
        <x:v>Cash</x:v>
      </x:c>
      <x:c r="U394" t="str">
        <x:v>Pending</x:v>
      </x:c>
      <x:c r="V394" t="str">
        <x:v>Cancelled</x:v>
      </x:c>
      <x:c r="W394" t="n">
        <x:v>40</x:v>
      </x:c>
      <x:c r="X394" t="str">
        <x:v>Cancelled Order</x:v>
      </x:c>
      <x:c r="Y394" t="str">
        <x:v>Existing Customer</x:v>
      </x:c>
    </x:row>
    <x:row r="395">
      <x:c r="A395" t="str">
        <x:v>O000394</x:v>
      </x:c>
      <x:c r="B395" s="20" t="n">
        <x:v>46134</x:v>
      </x:c>
      <x:c r="C395" t="str">
        <x:v>C0237</x:v>
      </x:c>
      <x:c r="D395" t="str">
        <x:v>Mysore Restaurant 237</x:v>
      </x:c>
      <x:c r="E395" t="str">
        <x:v>Restaurant</x:v>
      </x:c>
      <x:c r="F395" t="str">
        <x:v>Bengaluru</x:v>
      </x:c>
      <x:c r="G395" t="str">
        <x:v>Sneha</x:v>
      </x:c>
      <x:c r="H395" t="str">
        <x:v>P049</x:v>
      </x:c>
      <x:c r="I395" t="str">
        <x:v>Apple 10kg</x:v>
      </x:c>
      <x:c r="J395" t="str">
        <x:v>Fresh Produce</x:v>
      </x:c>
      <x:c r="K395" t="str">
        <x:v>Local Market</x:v>
      </x:c>
      <x:c r="L395" s="22" t="n">
        <x:v>1450</x:v>
      </x:c>
      <x:c r="M395" t="n">
        <x:v>3</x:v>
      </x:c>
      <x:c r="N395" s="24" t="n">
        <x:v>0</x:v>
      </x:c>
      <x:c r="O395" s="22" t="n">
        <x:f>L395*M395</x:f>
        <x:v>4350</x:v>
      </x:c>
      <x:c r="P395" s="22" t="n">
        <x:f>O395*(1-N395)</x:f>
        <x:v>4350</x:v>
      </x:c>
      <x:c r="Q395" s="22" t="n">
        <x:v>1280</x:v>
      </x:c>
      <x:c r="R395" s="22" t="n">
        <x:f>Q395*M395</x:f>
        <x:v>3840</x:v>
      </x:c>
      <x:c r="S395" s="22" t="n">
        <x:f>P395-R395</x:f>
        <x:v>510</x:v>
      </x:c>
      <x:c r="T395" t="str">
        <x:v>Credit</x:v>
      </x:c>
      <x:c r="U395" t="str">
        <x:v>Paid</x:v>
      </x:c>
      <x:c r="V395" t="str">
        <x:v>Delivered</x:v>
      </x:c>
      <x:c r="W395" t="n">
        <x:v>0</x:v>
      </x:c>
      <x:c r="X395" t="str"/>
      <x:c r="Y395" t="str">
        <x:v>WhatsApp</x:v>
      </x:c>
    </x:row>
    <x:row r="396">
      <x:c r="A396" t="str">
        <x:v>O000395</x:v>
      </x:c>
      <x:c r="B396" s="20" t="n">
        <x:v>45805</x:v>
      </x:c>
      <x:c r="C396" t="str">
        <x:v>C0243</x:v>
      </x:c>
      <x:c r="D396" t="str">
        <x:v>Metro Kitchen 243</x:v>
      </x:c>
      <x:c r="E396" t="str">
        <x:v>Restaurant</x:v>
      </x:c>
      <x:c r="F396" t="str">
        <x:v>Mangaluru</x:v>
      </x:c>
      <x:c r="G396" t="str">
        <x:v>Kavya</x:v>
      </x:c>
      <x:c r="H396" t="str">
        <x:v>P015</x:v>
      </x:c>
      <x:c r="I396" t="str">
        <x:v>Milk 1L</x:v>
      </x:c>
      <x:c r="J396" t="str">
        <x:v>Dairy</x:v>
      </x:c>
      <x:c r="K396" t="str">
        <x:v>Nandini</x:v>
      </x:c>
      <x:c r="L396" s="22" t="n">
        <x:v>48</x:v>
      </x:c>
      <x:c r="M396" t="n">
        <x:v>40</x:v>
      </x:c>
      <x:c r="N396" s="24" t="n">
        <x:v>0.02</x:v>
      </x:c>
      <x:c r="O396" s="22" t="n">
        <x:f>L396*M396</x:f>
        <x:v>1920</x:v>
      </x:c>
      <x:c r="P396" s="22" t="n">
        <x:f>O396*(1-N396)</x:f>
        <x:v>1881.6</x:v>
      </x:c>
      <x:c r="Q396" s="22" t="n">
        <x:v>43</x:v>
      </x:c>
      <x:c r="R396" s="22" t="n">
        <x:f>Q396*M396</x:f>
        <x:v>1720</x:v>
      </x:c>
      <x:c r="S396" s="22" t="n">
        <x:f>P396-R396</x:f>
        <x:v>161.5999999999999</x:v>
      </x:c>
      <x:c r="T396" t="str">
        <x:v>Cash</x:v>
      </x:c>
      <x:c r="U396" t="str">
        <x:v>Paid</x:v>
      </x:c>
      <x:c r="V396" t="str">
        <x:v>Cancelled</x:v>
      </x:c>
      <x:c r="W396" t="n">
        <x:v>40</x:v>
      </x:c>
      <x:c r="X396" t="str">
        <x:v>Cancelled Order</x:v>
      </x:c>
      <x:c r="Y396" t="str">
        <x:v>Field Visit</x:v>
      </x:c>
    </x:row>
    <x:row r="397">
      <x:c r="A397" t="str">
        <x:v>O000396</x:v>
      </x:c>
      <x:c r="B397" s="20" t="n">
        <x:v>46122</x:v>
      </x:c>
      <x:c r="C397" t="str">
        <x:v>C0226</x:v>
      </x:c>
      <x:c r="D397" t="str">
        <x:v>Green Stores 226</x:v>
      </x:c>
      <x:c r="E397" t="str">
        <x:v>Restaurant</x:v>
      </x:c>
      <x:c r="F397" t="str">
        <x:v>Hubballi</x:v>
      </x:c>
      <x:c r="G397" t="str">
        <x:v>Priya</x:v>
      </x:c>
      <x:c r="H397" t="str">
        <x:v>P021</x:v>
      </x:c>
      <x:c r="I397" t="str">
        <x:v>Instant Coffee 200g</x:v>
      </x:c>
      <x:c r="J397" t="str">
        <x:v>Beverage</x:v>
      </x:c>
      <x:c r="K397" t="str">
        <x:v>Nescafe</x:v>
      </x:c>
      <x:c r="L397" s="22" t="n">
        <x:v>460</x:v>
      </x:c>
      <x:c r="M397" t="n">
        <x:v>32</x:v>
      </x:c>
      <x:c r="N397" s="24" t="n">
        <x:v>0</x:v>
      </x:c>
      <x:c r="O397" s="22" t="n">
        <x:f>L397*M397</x:f>
        <x:v>14720</x:v>
      </x:c>
      <x:c r="P397" s="22" t="n">
        <x:f>O397*(1-N397)</x:f>
        <x:v>14720</x:v>
      </x:c>
      <x:c r="Q397" s="22" t="n">
        <x:v>410</x:v>
      </x:c>
      <x:c r="R397" s="22" t="n">
        <x:f>Q397*M397</x:f>
        <x:v>13120</x:v>
      </x:c>
      <x:c r="S397" s="22" t="n">
        <x:f>P397-R397</x:f>
        <x:v>1600</x:v>
      </x:c>
      <x:c r="T397" t="str">
        <x:v>Credit</x:v>
      </x:c>
      <x:c r="U397" t="str">
        <x:v>Paid</x:v>
      </x:c>
      <x:c r="V397" t="str">
        <x:v>Delivered</x:v>
      </x:c>
      <x:c r="W397" t="n">
        <x:v>0</x:v>
      </x:c>
      <x:c r="X397" t="str"/>
      <x:c r="Y397" t="str">
        <x:v>Referral</x:v>
      </x:c>
    </x:row>
    <x:row r="398">
      <x:c r="A398" t="str">
        <x:v>O000397</x:v>
      </x:c>
      <x:c r="B398" s="20" t="n">
        <x:v>46246</x:v>
      </x:c>
      <x:c r="C398" t="str">
        <x:v>C0090</x:v>
      </x:c>
      <x:c r="D398" t="str">
        <x:v>Shree Mart 90</x:v>
      </x:c>
      <x:c r="E398" t="str">
        <x:v>Restaurant</x:v>
      </x:c>
      <x:c r="F398" t="str">
        <x:v>Davanagere</x:v>
      </x:c>
      <x:c r="G398" t="str">
        <x:v>Megha</x:v>
      </x:c>
      <x:c r="H398" t="str">
        <x:v>P039</x:v>
      </x:c>
      <x:c r="I398" t="str">
        <x:v>Ice Cream 4L</x:v>
      </x:c>
      <x:c r="J398" t="str">
        <x:v>Frozen</x:v>
      </x:c>
      <x:c r="K398" t="str">
        <x:v>Amul</x:v>
      </x:c>
      <x:c r="L398" s="22" t="n">
        <x:v>480</x:v>
      </x:c>
      <x:c r="M398" t="n">
        <x:v>9</x:v>
      </x:c>
      <x:c r="N398" s="24" t="n">
        <x:v>0.03</x:v>
      </x:c>
      <x:c r="O398" s="22" t="n">
        <x:f>L398*M398</x:f>
        <x:v>4320</x:v>
      </x:c>
      <x:c r="P398" s="22" t="n">
        <x:f>O398*(1-N398)</x:f>
        <x:v>4190.4</x:v>
      </x:c>
      <x:c r="Q398" s="22" t="n">
        <x:v>420</x:v>
      </x:c>
      <x:c r="R398" s="22" t="n">
        <x:f>Q398*M398</x:f>
        <x:v>3780</x:v>
      </x:c>
      <x:c r="S398" s="22" t="n">
        <x:f>P398-R398</x:f>
        <x:v>410.39999999999964</x:v>
      </x:c>
      <x:c r="T398" t="str">
        <x:v>Credit</x:v>
      </x:c>
      <x:c r="U398" t="str">
        <x:v>Pending</x:v>
      </x:c>
      <x:c r="V398" t="str">
        <x:v>Delivered</x:v>
      </x:c>
      <x:c r="W398" t="n">
        <x:v>0</x:v>
      </x:c>
      <x:c r="X398" t="str"/>
      <x:c r="Y398" t="str">
        <x:v>Outbound Call</x:v>
      </x:c>
    </x:row>
    <x:row r="399">
      <x:c r="A399" t="str">
        <x:v>O000398</x:v>
      </x:c>
      <x:c r="B399" s="20" t="n">
        <x:v>46068</x:v>
      </x:c>
      <x:c r="C399" t="str">
        <x:v>C0137</x:v>
      </x:c>
      <x:c r="D399" t="str">
        <x:v>Green Restaurant 137</x:v>
      </x:c>
      <x:c r="E399" t="str">
        <x:v>Canteen</x:v>
      </x:c>
      <x:c r="F399" t="str">
        <x:v>Mangaluru</x:v>
      </x:c>
      <x:c r="G399" t="str">
        <x:v>Arjun</x:v>
      </x:c>
      <x:c r="H399" t="str">
        <x:v>P030</x:v>
      </x:c>
      <x:c r="I399" t="str">
        <x:v>Mayonnaise 1kg</x:v>
      </x:c>
      <x:c r="J399" t="str">
        <x:v>Condiments</x:v>
      </x:c>
      <x:c r="K399" t="str">
        <x:v>Veeba</x:v>
      </x:c>
      <x:c r="L399" s="22" t="n">
        <x:v>210</x:v>
      </x:c>
      <x:c r="M399" t="n">
        <x:v>38</x:v>
      </x:c>
      <x:c r="N399" s="24" t="n">
        <x:v>0.03</x:v>
      </x:c>
      <x:c r="O399" s="22" t="n">
        <x:f>L399*M399</x:f>
        <x:v>7980</x:v>
      </x:c>
      <x:c r="P399" s="22" t="n">
        <x:f>O399*(1-N399)</x:f>
        <x:v>7740.599999999999</x:v>
      </x:c>
      <x:c r="Q399" s="22" t="n">
        <x:v>185</x:v>
      </x:c>
      <x:c r="R399" s="22" t="n">
        <x:f>Q399*M399</x:f>
        <x:v>7030</x:v>
      </x:c>
      <x:c r="S399" s="22" t="n">
        <x:f>P399-R399</x:f>
        <x:v>710.5999999999995</x:v>
      </x:c>
      <x:c r="T399" t="str">
        <x:v>Bank Transfer</x:v>
      </x:c>
      <x:c r="U399" t="str">
        <x:v>Paid</x:v>
      </x:c>
      <x:c r="V399" t="str">
        <x:v>Delivered</x:v>
      </x:c>
      <x:c r="W399" t="n">
        <x:v>0</x:v>
      </x:c>
      <x:c r="X399" t="str"/>
      <x:c r="Y399" t="str">
        <x:v>Field Visit</x:v>
      </x:c>
    </x:row>
    <x:row r="400">
      <x:c r="A400" t="str">
        <x:v>O000399</x:v>
      </x:c>
      <x:c r="B400" s="20" t="n">
        <x:v>46099</x:v>
      </x:c>
      <x:c r="C400" t="str">
        <x:v>C0178</x:v>
      </x:c>
      <x:c r="D400" t="str">
        <x:v>Annapurna Foods 178</x:v>
      </x:c>
      <x:c r="E400" t="str">
        <x:v>Canteen</x:v>
      </x:c>
      <x:c r="F400" t="str">
        <x:v>Tumakuru</x:v>
      </x:c>
      <x:c r="G400" t="str">
        <x:v>Imran</x:v>
      </x:c>
      <x:c r="H400" t="str">
        <x:v>P038</x:v>
      </x:c>
      <x:c r="I400" t="str">
        <x:v>French Fries 2.5kg</x:v>
      </x:c>
      <x:c r="J400" t="str">
        <x:v>Frozen</x:v>
      </x:c>
      <x:c r="K400" t="str">
        <x:v>McCain</x:v>
      </x:c>
      <x:c r="L400" s="22" t="n">
        <x:v>360</x:v>
      </x:c>
      <x:c r="M400" t="n">
        <x:v>28</x:v>
      </x:c>
      <x:c r="N400" s="24" t="n">
        <x:v>0.03</x:v>
      </x:c>
      <x:c r="O400" s="22" t="n">
        <x:f>L400*M400</x:f>
        <x:v>10080</x:v>
      </x:c>
      <x:c r="P400" s="22" t="n">
        <x:f>O400*(1-N400)</x:f>
        <x:v>9777.6</x:v>
      </x:c>
      <x:c r="Q400" s="22" t="n">
        <x:v>315</x:v>
      </x:c>
      <x:c r="R400" s="22" t="n">
        <x:f>Q400*M400</x:f>
        <x:v>8820</x:v>
      </x:c>
      <x:c r="S400" s="22" t="n">
        <x:f>P400-R400</x:f>
        <x:v>957.6000000000004</x:v>
      </x:c>
      <x:c r="T400" t="str">
        <x:v>Cash</x:v>
      </x:c>
      <x:c r="U400" t="str">
        <x:v>Paid</x:v>
      </x:c>
      <x:c r="V400" t="str">
        <x:v>Delivered</x:v>
      </x:c>
      <x:c r="W400" t="n">
        <x:v>0</x:v>
      </x:c>
      <x:c r="X400" t="str"/>
      <x:c r="Y400" t="str">
        <x:v>Outbound Call</x:v>
      </x:c>
    </x:row>
    <x:row r="401">
      <x:c r="A401" t="str">
        <x:v>O000400</x:v>
      </x:c>
      <x:c r="B401" s="20" t="n">
        <x:v>46156</x:v>
      </x:c>
      <x:c r="C401" t="str">
        <x:v>C0183</x:v>
      </x:c>
      <x:c r="D401" t="str">
        <x:v>Spice Mart 183</x:v>
      </x:c>
      <x:c r="E401" t="str">
        <x:v>Kirana</x:v>
      </x:c>
      <x:c r="F401" t="str">
        <x:v>Mangaluru</x:v>
      </x:c>
      <x:c r="G401" t="str">
        <x:v>Kavya</x:v>
      </x:c>
      <x:c r="H401" t="str">
        <x:v>P037</x:v>
      </x:c>
      <x:c r="I401" t="str">
        <x:v>Frozen Peas 1kg</x:v>
      </x:c>
      <x:c r="J401" t="str">
        <x:v>Frozen</x:v>
      </x:c>
      <x:c r="K401" t="str">
        <x:v>Safal</x:v>
      </x:c>
      <x:c r="L401" s="22" t="n">
        <x:v>155</x:v>
      </x:c>
      <x:c r="M401" t="n">
        <x:v>8</x:v>
      </x:c>
      <x:c r="N401" s="24" t="n">
        <x:v>0.03</x:v>
      </x:c>
      <x:c r="O401" s="22" t="n">
        <x:f>L401*M401</x:f>
        <x:v>1240</x:v>
      </x:c>
      <x:c r="P401" s="22" t="n">
        <x:f>O401*(1-N401)</x:f>
        <x:v>1202.8</x:v>
      </x:c>
      <x:c r="Q401" s="22" t="n">
        <x:v>138</x:v>
      </x:c>
      <x:c r="R401" s="22" t="n">
        <x:f>Q401*M401</x:f>
        <x:v>1104</x:v>
      </x:c>
      <x:c r="S401" s="22" t="n">
        <x:f>P401-R401</x:f>
        <x:v>98.79999999999995</x:v>
      </x:c>
      <x:c r="T401" t="str">
        <x:v>Credit</x:v>
      </x:c>
      <x:c r="U401" t="str">
        <x:v>Paid</x:v>
      </x:c>
      <x:c r="V401" t="str">
        <x:v>Delivered</x:v>
      </x:c>
      <x:c r="W401" t="n">
        <x:v>0</x:v>
      </x:c>
      <x:c r="X401" t="str"/>
      <x:c r="Y401" t="str">
        <x:v>Referral</x:v>
      </x:c>
    </x:row>
    <x:row r="402">
      <x:c r="A402" t="str">
        <x:v>O000401</x:v>
      </x:c>
      <x:c r="B402" s="20" t="n">
        <x:v>46270</x:v>
      </x:c>
      <x:c r="C402" t="str">
        <x:v>C0104</x:v>
      </x:c>
      <x:c r="D402" t="str">
        <x:v>Shree Foods 104</x:v>
      </x:c>
      <x:c r="E402" t="str">
        <x:v>Cafe</x:v>
      </x:c>
      <x:c r="F402" t="str">
        <x:v>Mangaluru</x:v>
      </x:c>
      <x:c r="G402" t="str">
        <x:v>Megha</x:v>
      </x:c>
      <x:c r="H402" t="str">
        <x:v>P005</x:v>
      </x:c>
      <x:c r="I402" t="str">
        <x:v>Chana Dal 5kg</x:v>
      </x:c>
      <x:c r="J402" t="str">
        <x:v>Pulses</x:v>
      </x:c>
      <x:c r="K402" t="str">
        <x:v>Local Select</x:v>
      </x:c>
      <x:c r="L402" s="22" t="n">
        <x:v>520</x:v>
      </x:c>
      <x:c r="M402" t="n">
        <x:v>7</x:v>
      </x:c>
      <x:c r="N402" s="24" t="n">
        <x:v>0.05</x:v>
      </x:c>
      <x:c r="O402" s="22" t="n">
        <x:f>L402*M402</x:f>
        <x:v>3640</x:v>
      </x:c>
      <x:c r="P402" s="22" t="n">
        <x:f>O402*(1-N402)</x:f>
        <x:v>3458</x:v>
      </x:c>
      <x:c r="Q402" s="22" t="n">
        <x:v>455</x:v>
      </x:c>
      <x:c r="R402" s="22" t="n">
        <x:f>Q402*M402</x:f>
        <x:v>3185</x:v>
      </x:c>
      <x:c r="S402" s="22" t="n">
        <x:f>P402-R402</x:f>
        <x:v>273</x:v>
      </x:c>
      <x:c r="T402" t="str">
        <x:v>Credit</x:v>
      </x:c>
      <x:c r="U402" t="str">
        <x:v>Paid</x:v>
      </x:c>
      <x:c r="V402" t="str">
        <x:v>Cancelled</x:v>
      </x:c>
      <x:c r="W402" t="n">
        <x:v>7</x:v>
      </x:c>
      <x:c r="X402" t="str">
        <x:v>Cancelled Order</x:v>
      </x:c>
      <x:c r="Y402" t="str">
        <x:v>Outbound Call</x:v>
      </x:c>
    </x:row>
    <x:row r="403">
      <x:c r="A403" t="str">
        <x:v>O000402</x:v>
      </x:c>
      <x:c r="B403" s="20" t="n">
        <x:v>46252</x:v>
      </x:c>
      <x:c r="C403" t="str">
        <x:v>C0210</x:v>
      </x:c>
      <x:c r="D403" t="str">
        <x:v>Spice Stores 210</x:v>
      </x:c>
      <x:c r="E403" t="str">
        <x:v>Cafe</x:v>
      </x:c>
      <x:c r="F403" t="str">
        <x:v>Davanagere</x:v>
      </x:c>
      <x:c r="G403" t="str">
        <x:v>Imran</x:v>
      </x:c>
      <x:c r="H403" t="str">
        <x:v>P009</x:v>
      </x:c>
      <x:c r="I403" t="str">
        <x:v>Groundnut Oil 5L</x:v>
      </x:c>
      <x:c r="J403" t="str">
        <x:v>Edible Oil</x:v>
      </x:c>
      <x:c r="K403" t="str">
        <x:v>Dhara</x:v>
      </x:c>
      <x:c r="L403" s="22" t="n">
        <x:v>890</x:v>
      </x:c>
      <x:c r="M403" t="n">
        <x:v>1</x:v>
      </x:c>
      <x:c r="N403" s="24" t="n">
        <x:v>0.05</x:v>
      </x:c>
      <x:c r="O403" s="22" t="n">
        <x:f>L403*M403</x:f>
        <x:v>890</x:v>
      </x:c>
      <x:c r="P403" s="22" t="n">
        <x:f>O403*(1-N403)</x:f>
        <x:v>845.5</x:v>
      </x:c>
      <x:c r="Q403" s="22" t="n">
        <x:v>810</x:v>
      </x:c>
      <x:c r="R403" s="22" t="n">
        <x:f>Q403*M403</x:f>
        <x:v>810</x:v>
      </x:c>
      <x:c r="S403" s="22" t="n">
        <x:f>P403-R403</x:f>
        <x:v>35.5</x:v>
      </x:c>
      <x:c r="T403" t="str">
        <x:v>Bank Transfer</x:v>
      </x:c>
      <x:c r="U403" t="str">
        <x:v>Paid</x:v>
      </x:c>
      <x:c r="V403" t="str">
        <x:v>Delivered</x:v>
      </x:c>
      <x:c r="W403" t="n">
        <x:v>0</x:v>
      </x:c>
      <x:c r="X403" t="str"/>
      <x:c r="Y403" t="str">
        <x:v>Existing Customer</x:v>
      </x:c>
    </x:row>
    <x:row r="404">
      <x:c r="A404" t="str">
        <x:v>O000403</x:v>
      </x:c>
      <x:c r="B404" s="20" t="n">
        <x:v>45982</x:v>
      </x:c>
      <x:c r="C404" t="str">
        <x:v>C0053</x:v>
      </x:c>
      <x:c r="D404" t="str">
        <x:v>Fresh Cafe 53</x:v>
      </x:c>
      <x:c r="E404" t="str">
        <x:v>Supermarket</x:v>
      </x:c>
      <x:c r="F404" t="str">
        <x:v>Mangaluru</x:v>
      </x:c>
      <x:c r="G404" t="str">
        <x:v>Megha</x:v>
      </x:c>
      <x:c r="H404" t="str">
        <x:v>P044</x:v>
      </x:c>
      <x:c r="I404" t="str">
        <x:v>Chicken Curry Cut 1kg</x:v>
      </x:c>
      <x:c r="J404" t="str">
        <x:v>Protein</x:v>
      </x:c>
      <x:c r="K404" t="str">
        <x:v>FreshToHome</x:v>
      </x:c>
      <x:c r="L404" s="22" t="n">
        <x:v>230</x:v>
      </x:c>
      <x:c r="M404" t="n">
        <x:v>20</x:v>
      </x:c>
      <x:c r="N404" s="24" t="n">
        <x:v>0.03</x:v>
      </x:c>
      <x:c r="O404" s="22" t="n">
        <x:f>L404*M404</x:f>
        <x:v>4600</x:v>
      </x:c>
      <x:c r="P404" s="22" t="n">
        <x:f>O404*(1-N404)</x:f>
        <x:v>4462</x:v>
      </x:c>
      <x:c r="Q404" s="22" t="n">
        <x:v>205</x:v>
      </x:c>
      <x:c r="R404" s="22" t="n">
        <x:f>Q404*M404</x:f>
        <x:v>4100</x:v>
      </x:c>
      <x:c r="S404" s="22" t="n">
        <x:f>P404-R404</x:f>
        <x:v>362</x:v>
      </x:c>
      <x:c r="T404" t="str">
        <x:v>Cash</x:v>
      </x:c>
      <x:c r="U404" t="str">
        <x:v>Pending</x:v>
      </x:c>
      <x:c r="V404" t="str">
        <x:v>Delivered</x:v>
      </x:c>
      <x:c r="W404" t="n">
        <x:v>0</x:v>
      </x:c>
      <x:c r="X404" t="str"/>
      <x:c r="Y404" t="str">
        <x:v>Field Visit</x:v>
      </x:c>
    </x:row>
    <x:row r="405">
      <x:c r="A405" t="str">
        <x:v>O000404</x:v>
      </x:c>
      <x:c r="B405" s="20" t="n">
        <x:v>46284</x:v>
      </x:c>
      <x:c r="C405" t="str">
        <x:v>C0150</x:v>
      </x:c>
      <x:c r="D405" t="str">
        <x:v>Sagar Kitchen 150</x:v>
      </x:c>
      <x:c r="E405" t="str">
        <x:v>Kirana</x:v>
      </x:c>
      <x:c r="F405" t="str">
        <x:v>Hubballi</x:v>
      </x:c>
      <x:c r="G405" t="str">
        <x:v>Ramesh</x:v>
      </x:c>
      <x:c r="H405" t="str">
        <x:v>P001</x:v>
      </x:c>
      <x:c r="I405" t="str">
        <x:v>Steam Rice 25kg</x:v>
      </x:c>
      <x:c r="J405" t="str">
        <x:v>Staples</x:v>
      </x:c>
      <x:c r="K405" t="str">
        <x:v>Aishwarya</x:v>
      </x:c>
      <x:c r="L405" s="22" t="n">
        <x:v>1180</x:v>
      </x:c>
      <x:c r="M405" t="n">
        <x:v>7</x:v>
      </x:c>
      <x:c r="N405" s="24" t="n">
        <x:v>0.05</x:v>
      </x:c>
      <x:c r="O405" s="22" t="n">
        <x:f>L405*M405</x:f>
        <x:v>8260</x:v>
      </x:c>
      <x:c r="P405" s="22" t="n">
        <x:f>O405*(1-N405)</x:f>
        <x:v>7847</x:v>
      </x:c>
      <x:c r="Q405" s="22" t="n">
        <x:v>1040</x:v>
      </x:c>
      <x:c r="R405" s="22" t="n">
        <x:f>Q405*M405</x:f>
        <x:v>7280</x:v>
      </x:c>
      <x:c r="S405" s="22" t="n">
        <x:f>P405-R405</x:f>
        <x:v>567</x:v>
      </x:c>
      <x:c r="T405" t="str">
        <x:v>Cash</x:v>
      </x:c>
      <x:c r="U405" t="str">
        <x:v>Paid</x:v>
      </x:c>
      <x:c r="V405" t="str">
        <x:v>Delayed</x:v>
      </x:c>
      <x:c r="W405" t="n">
        <x:v>0</x:v>
      </x:c>
      <x:c r="X405" t="str"/>
      <x:c r="Y405" t="str"/>
    </x:row>
    <x:row r="406">
      <x:c r="A406" t="str">
        <x:v>O000405</x:v>
      </x:c>
      <x:c r="B406" s="20" t="n">
        <x:v>45770</x:v>
      </x:c>
      <x:c r="C406" t="str">
        <x:v>C0144</x:v>
      </x:c>
      <x:c r="D406" t="str">
        <x:v>Namma Foods 144</x:v>
      </x:c>
      <x:c r="E406" t="str">
        <x:v>Restaurant</x:v>
      </x:c>
      <x:c r="F406" t="str">
        <x:v>Tumakuru</x:v>
      </x:c>
      <x:c r="G406" t="str">
        <x:v>Arjun</x:v>
      </x:c>
      <x:c r="H406" t="str">
        <x:v>P023</x:v>
      </x:c>
      <x:c r="I406" t="str">
        <x:v>Cola 750ml</x:v>
      </x:c>
      <x:c r="J406" t="str">
        <x:v>Beverage</x:v>
      </x:c>
      <x:c r="K406" t="str">
        <x:v>Coca-Cola</x:v>
      </x:c>
      <x:c r="L406" s="22" t="n">
        <x:v>38</x:v>
      </x:c>
      <x:c r="M406" t="n">
        <x:v>19</x:v>
      </x:c>
      <x:c r="N406" s="24" t="n">
        <x:v>0.08</x:v>
      </x:c>
      <x:c r="O406" s="22" t="n">
        <x:f>L406*M406</x:f>
        <x:v>722</x:v>
      </x:c>
      <x:c r="P406" s="22" t="n">
        <x:f>O406*(1-N406)</x:f>
        <x:v>664.24</x:v>
      </x:c>
      <x:c r="Q406" s="22" t="n">
        <x:v>31</x:v>
      </x:c>
      <x:c r="R406" s="22" t="n">
        <x:f>Q406*M406</x:f>
        <x:v>589</x:v>
      </x:c>
      <x:c r="S406" s="22" t="n">
        <x:f>P406-R406</x:f>
        <x:v>75.24000000000001</x:v>
      </x:c>
      <x:c r="T406" t="str">
        <x:v>Bank Transfer</x:v>
      </x:c>
      <x:c r="U406" t="str">
        <x:v>Paid</x:v>
      </x:c>
      <x:c r="V406" t="str">
        <x:v>Delayed</x:v>
      </x:c>
      <x:c r="W406" t="n">
        <x:v>0</x:v>
      </x:c>
      <x:c r="X406" t="str"/>
      <x:c r="Y406" t="str">
        <x:v>WhatsApp</x:v>
      </x:c>
    </x:row>
    <x:row r="407">
      <x:c r="A407" t="str">
        <x:v>O000406</x:v>
      </x:c>
      <x:c r="B407" s="20" t="n">
        <x:v>46073</x:v>
      </x:c>
      <x:c r="C407" t="str">
        <x:v>C0183</x:v>
      </x:c>
      <x:c r="D407" t="str">
        <x:v>Spice Mart 183</x:v>
      </x:c>
      <x:c r="E407" t="str">
        <x:v>Kirana</x:v>
      </x:c>
      <x:c r="F407" t="str">
        <x:v>Mangaluru</x:v>
      </x:c>
      <x:c r="G407" t="str">
        <x:v>Kavya</x:v>
      </x:c>
      <x:c r="H407" t="str">
        <x:v>P025</x:v>
      </x:c>
      <x:c r="I407" t="str">
        <x:v>Potato Chips 100g</x:v>
      </x:c>
      <x:c r="J407" t="str">
        <x:v>Snacks</x:v>
      </x:c>
      <x:c r="K407" t="str">
        <x:v>Lay's</x:v>
      </x:c>
      <x:c r="L407" s="22" t="n">
        <x:v>35</x:v>
      </x:c>
      <x:c r="M407" t="n">
        <x:v>25</x:v>
      </x:c>
      <x:c r="N407" s="24" t="n">
        <x:v>0.03</x:v>
      </x:c>
      <x:c r="O407" s="22" t="n">
        <x:f>L407*M407</x:f>
        <x:v>875</x:v>
      </x:c>
      <x:c r="P407" s="22" t="n">
        <x:f>O407*(1-N407)</x:f>
        <x:v>848.75</x:v>
      </x:c>
      <x:c r="Q407" s="22" t="n">
        <x:v>27</x:v>
      </x:c>
      <x:c r="R407" s="22" t="n">
        <x:f>Q407*M407</x:f>
        <x:v>675</x:v>
      </x:c>
      <x:c r="S407" s="22" t="n">
        <x:f>P407-R407</x:f>
        <x:v>173.75</x:v>
      </x:c>
      <x:c r="T407" t="str">
        <x:v>Bank Transfer</x:v>
      </x:c>
      <x:c r="U407" t="str">
        <x:v>Paid</x:v>
      </x:c>
      <x:c r="V407" t="str">
        <x:v>Delivered</x:v>
      </x:c>
      <x:c r="W407" t="n">
        <x:v>0</x:v>
      </x:c>
      <x:c r="X407" t="str"/>
      <x:c r="Y407" t="str">
        <x:v>Existing Customer</x:v>
      </x:c>
    </x:row>
    <x:row r="408">
      <x:c r="A408" t="str">
        <x:v>O000407</x:v>
      </x:c>
      <x:c r="B408" s="20" t="n">
        <x:v>46085</x:v>
      </x:c>
      <x:c r="C408" t="str">
        <x:v>C0237</x:v>
      </x:c>
      <x:c r="D408" t="str">
        <x:v>Mysore Restaurant 237</x:v>
      </x:c>
      <x:c r="E408" t="str">
        <x:v>Restaurant</x:v>
      </x:c>
      <x:c r="F408" t="str">
        <x:v>Bengaluru</x:v>
      </x:c>
      <x:c r="G408" t="str">
        <x:v>Sneha</x:v>
      </x:c>
      <x:c r="H408" t="str">
        <x:v>P024</x:v>
      </x:c>
      <x:c r="I408" t="str">
        <x:v>Orange Drink 1L</x:v>
      </x:c>
      <x:c r="J408" t="str">
        <x:v>Beverage</x:v>
      </x:c>
      <x:c r="K408" t="str">
        <x:v>Minute Maid</x:v>
      </x:c>
      <x:c r="L408" s="22" t="n">
        <x:v>105</x:v>
      </x:c>
      <x:c r="M408" t="n">
        <x:v>10</x:v>
      </x:c>
      <x:c r="N408" s="24" t="n">
        <x:v>0.02</x:v>
      </x:c>
      <x:c r="O408" s="22" t="n">
        <x:f>L408*M408</x:f>
        <x:v>1050</x:v>
      </x:c>
      <x:c r="P408" s="22" t="n">
        <x:f>O408*(1-N408)</x:f>
        <x:v>1029</x:v>
      </x:c>
      <x:c r="Q408" s="22" t="n">
        <x:v>88</x:v>
      </x:c>
      <x:c r="R408" s="22" t="n">
        <x:f>Q408*M408</x:f>
        <x:v>880</x:v>
      </x:c>
      <x:c r="S408" s="22" t="n">
        <x:f>P408-R408</x:f>
        <x:v>149</x:v>
      </x:c>
      <x:c r="T408" t="str">
        <x:v>Bank Transfer</x:v>
      </x:c>
      <x:c r="U408" t="str">
        <x:v>Paid</x:v>
      </x:c>
      <x:c r="V408" t="str">
        <x:v>Delivered</x:v>
      </x:c>
      <x:c r="W408" t="n">
        <x:v>0</x:v>
      </x:c>
      <x:c r="X408" t="str"/>
      <x:c r="Y408" t="str">
        <x:v>Referral</x:v>
      </x:c>
    </x:row>
    <x:row r="409">
      <x:c r="A409" t="str">
        <x:v>O000408</x:v>
      </x:c>
      <x:c r="B409" s="20" t="n">
        <x:v>46105</x:v>
      </x:c>
      <x:c r="C409" t="str">
        <x:v>C0125</x:v>
      </x:c>
      <x:c r="D409" t="str">
        <x:v>Spice Restaurant 125</x:v>
      </x:c>
      <x:c r="E409" t="str">
        <x:v>Kirana</x:v>
      </x:c>
      <x:c r="F409" t="str">
        <x:v>Tumakuru</x:v>
      </x:c>
      <x:c r="G409" t="str">
        <x:v>Ramesh</x:v>
      </x:c>
      <x:c r="H409" t="str">
        <x:v>P043</x:v>
      </x:c>
      <x:c r="I409" t="str">
        <x:v>Chicken Breast 1kg</x:v>
      </x:c>
      <x:c r="J409" t="str">
        <x:v>Protein</x:v>
      </x:c>
      <x:c r="K409" t="str">
        <x:v>FreshToHome</x:v>
      </x:c>
      <x:c r="L409" s="22" t="n">
        <x:v>260</x:v>
      </x:c>
      <x:c r="M409" t="n">
        <x:v>9</x:v>
      </x:c>
      <x:c r="N409" s="24" t="n">
        <x:v>0</x:v>
      </x:c>
      <x:c r="O409" s="22" t="n">
        <x:f>L409*M409</x:f>
        <x:v>2340</x:v>
      </x:c>
      <x:c r="P409" s="22" t="n">
        <x:f>O409*(1-N409)</x:f>
        <x:v>2340</x:v>
      </x:c>
      <x:c r="Q409" s="22" t="n">
        <x:v>235</x:v>
      </x:c>
      <x:c r="R409" s="22" t="n">
        <x:f>Q409*M409</x:f>
        <x:v>2115</x:v>
      </x:c>
      <x:c r="S409" s="22" t="n">
        <x:f>P409-R409</x:f>
        <x:v>225</x:v>
      </x:c>
      <x:c r="T409" t="str">
        <x:v>Credit</x:v>
      </x:c>
      <x:c r="U409" t="str">
        <x:v>Pending</x:v>
      </x:c>
      <x:c r="V409" t="str">
        <x:v>Cancelled</x:v>
      </x:c>
      <x:c r="W409" t="n">
        <x:v>9</x:v>
      </x:c>
      <x:c r="X409" t="str">
        <x:v>Cancelled Order</x:v>
      </x:c>
      <x:c r="Y409" t="str">
        <x:v>Existing Customer</x:v>
      </x:c>
    </x:row>
    <x:row r="410">
      <x:c r="A410" t="str">
        <x:v>O000409</x:v>
      </x:c>
      <x:c r="B410" s="20" t="n">
        <x:v>46123</x:v>
      </x:c>
      <x:c r="C410" t="str">
        <x:v>C0160</x:v>
      </x:c>
      <x:c r="D410" t="str">
        <x:v>Hotel Foods 160</x:v>
      </x:c>
      <x:c r="E410" t="str">
        <x:v>Hotel</x:v>
      </x:c>
      <x:c r="F410" t="str">
        <x:v>Mangaluru</x:v>
      </x:c>
      <x:c r="G410" t="str">
        <x:v>Sneha</x:v>
      </x:c>
      <x:c r="H410" t="str">
        <x:v>P012</x:v>
      </x:c>
      <x:c r="I410" t="str">
        <x:v>Maida 10kg</x:v>
      </x:c>
      <x:c r="J410" t="str">
        <x:v>Flour</x:v>
      </x:c>
      <x:c r="K410" t="str">
        <x:v>Aashirvaad</x:v>
      </x:c>
      <x:c r="L410" s="22" t="n">
        <x:v>520</x:v>
      </x:c>
      <x:c r="M410" t="n">
        <x:v>33</x:v>
      </x:c>
      <x:c r="N410" s="24" t="n">
        <x:v>0.03</x:v>
      </x:c>
      <x:c r="O410" s="22" t="n">
        <x:f>L410*M410</x:f>
        <x:v>17160</x:v>
      </x:c>
      <x:c r="P410" s="22" t="n">
        <x:f>O410*(1-N410)</x:f>
        <x:v>16645.2</x:v>
      </x:c>
      <x:c r="Q410" s="22" t="n">
        <x:v>460</x:v>
      </x:c>
      <x:c r="R410" s="22" t="n">
        <x:f>Q410*M410</x:f>
        <x:v>15180</x:v>
      </x:c>
      <x:c r="S410" s="22" t="n">
        <x:f>P410-R410</x:f>
        <x:v>1465.2000000000007</x:v>
      </x:c>
      <x:c r="T410" t="str">
        <x:v>Credit</x:v>
      </x:c>
      <x:c r="U410" t="str">
        <x:v>Paid</x:v>
      </x:c>
      <x:c r="V410" t="str">
        <x:v>Delivered</x:v>
      </x:c>
      <x:c r="W410" t="n">
        <x:v>0</x:v>
      </x:c>
      <x:c r="X410" t="str"/>
      <x:c r="Y410" t="str"/>
    </x:row>
    <x:row r="411">
      <x:c r="A411" t="str">
        <x:v>O000410</x:v>
      </x:c>
      <x:c r="B411" s="20" t="n">
        <x:v>45900</x:v>
      </x:c>
      <x:c r="C411" t="str">
        <x:v>C0128</x:v>
      </x:c>
      <x:c r="D411" t="str">
        <x:v>Fresh Hotel 128</x:v>
      </x:c>
      <x:c r="E411" t="str">
        <x:v>Kirana</x:v>
      </x:c>
      <x:c r="F411" t="str">
        <x:v>Tumakuru</x:v>
      </x:c>
      <x:c r="G411" t="str">
        <x:v>Priya</x:v>
      </x:c>
      <x:c r="H411" t="str">
        <x:v>P047</x:v>
      </x:c>
      <x:c r="I411" t="str">
        <x:v>Tomato 25kg</x:v>
      </x:c>
      <x:c r="J411" t="str">
        <x:v>Fresh Produce</x:v>
      </x:c>
      <x:c r="K411" t="str">
        <x:v>Local Market</x:v>
      </x:c>
      <x:c r="L411" s="22" t="n">
        <x:v>950</x:v>
      </x:c>
      <x:c r="M411" t="n">
        <x:v>33</x:v>
      </x:c>
      <x:c r="N411" s="24" t="n">
        <x:v>0.02</x:v>
      </x:c>
      <x:c r="O411" s="22" t="n">
        <x:f>L411*M411</x:f>
        <x:v>31350</x:v>
      </x:c>
      <x:c r="P411" s="22" t="n">
        <x:f>O411*(1-N411)</x:f>
        <x:v>30723</x:v>
      </x:c>
      <x:c r="Q411" s="22" t="n">
        <x:v>810</x:v>
      </x:c>
      <x:c r="R411" s="22" t="n">
        <x:f>Q411*M411</x:f>
        <x:v>26730</x:v>
      </x:c>
      <x:c r="S411" s="22" t="n">
        <x:f>P411-R411</x:f>
        <x:v>3993</x:v>
      </x:c>
      <x:c r="T411" t="str">
        <x:v>Cash</x:v>
      </x:c>
      <x:c r="U411" t="str">
        <x:v>Paid</x:v>
      </x:c>
      <x:c r="V411" t="str">
        <x:v>Delivered</x:v>
      </x:c>
      <x:c r="W411" t="n">
        <x:v>0</x:v>
      </x:c>
      <x:c r="X411" t="str"/>
      <x:c r="Y411" t="str">
        <x:v>Field Visit</x:v>
      </x:c>
    </x:row>
    <x:row r="412">
      <x:c r="A412" t="str">
        <x:v>O000411</x:v>
      </x:c>
      <x:c r="B412" s="20" t="n">
        <x:v>45739</x:v>
      </x:c>
      <x:c r="C412" t="str">
        <x:v>C0124</x:v>
      </x:c>
      <x:c r="D412" t="str">
        <x:v>Green Hotel 124</x:v>
      </x:c>
      <x:c r="E412" t="str">
        <x:v>Cafe</x:v>
      </x:c>
      <x:c r="F412" t="str">
        <x:v>Bengaluru</x:v>
      </x:c>
      <x:c r="G412" t="str">
        <x:v>Imran</x:v>
      </x:c>
      <x:c r="H412" t="str">
        <x:v>P045</x:v>
      </x:c>
      <x:c r="I412" t="str">
        <x:v>Onion 25kg</x:v>
      </x:c>
      <x:c r="J412" t="str">
        <x:v>Fresh Produce</x:v>
      </x:c>
      <x:c r="K412" t="str">
        <x:v>Local Market</x:v>
      </x:c>
      <x:c r="L412" s="22" t="n">
        <x:v>875</x:v>
      </x:c>
      <x:c r="M412" t="n">
        <x:v>10</x:v>
      </x:c>
      <x:c r="N412" s="24" t="n">
        <x:v>0.05</x:v>
      </x:c>
      <x:c r="O412" s="22" t="n">
        <x:f>L412*M412</x:f>
        <x:v>8750</x:v>
      </x:c>
      <x:c r="P412" s="22" t="n">
        <x:f>O412*(1-N412)</x:f>
        <x:v>8312.5</x:v>
      </x:c>
      <x:c r="Q412" s="22" t="n">
        <x:v>760</x:v>
      </x:c>
      <x:c r="R412" s="22" t="n">
        <x:f>Q412*M412</x:f>
        <x:v>7600</x:v>
      </x:c>
      <x:c r="S412" s="22" t="n">
        <x:f>P412-R412</x:f>
        <x:v>712.5</x:v>
      </x:c>
      <x:c r="T412" t="str">
        <x:v>Cash</x:v>
      </x:c>
      <x:c r="U412" t="str">
        <x:v>Paid</x:v>
      </x:c>
      <x:c r="V412" t="str">
        <x:v>Delivered</x:v>
      </x:c>
      <x:c r="W412" t="n">
        <x:v>0</x:v>
      </x:c>
      <x:c r="X412" t="str"/>
      <x:c r="Y412" t="str">
        <x:v>Existing Customer</x:v>
      </x:c>
    </x:row>
    <x:row r="413">
      <x:c r="A413" t="str">
        <x:v>O000412</x:v>
      </x:c>
      <x:c r="B413" s="20" t="n">
        <x:v>45737</x:v>
      </x:c>
      <x:c r="C413" t="str">
        <x:v>C0121</x:v>
      </x:c>
      <x:c r="D413" t="str">
        <x:v>Mysore Restaurant 121</x:v>
      </x:c>
      <x:c r="E413" t="str">
        <x:v>Cafe</x:v>
      </x:c>
      <x:c r="F413" t="str">
        <x:v>Mysuru</x:v>
      </x:c>
      <x:c r="G413" t="str">
        <x:v>Sneha</x:v>
      </x:c>
      <x:c r="H413" t="str">
        <x:v>P041</x:v>
      </x:c>
      <x:c r="I413" t="str">
        <x:v>Burger Bun 6pc</x:v>
      </x:c>
      <x:c r="J413" t="str">
        <x:v>Bakery</x:v>
      </x:c>
      <x:c r="K413" t="str">
        <x:v>Modern</x:v>
      </x:c>
      <x:c r="L413" s="22" t="n">
        <x:v>42</x:v>
      </x:c>
      <x:c r="M413" t="n">
        <x:v>35</x:v>
      </x:c>
      <x:c r="N413" s="24" t="n">
        <x:v>0.05</x:v>
      </x:c>
      <x:c r="O413" s="22" t="n">
        <x:f>L413*M413</x:f>
        <x:v>1470</x:v>
      </x:c>
      <x:c r="P413" s="22" t="n">
        <x:f>O413*(1-N413)</x:f>
        <x:v>1396.5</x:v>
      </x:c>
      <x:c r="Q413" s="22" t="n">
        <x:v>32</x:v>
      </x:c>
      <x:c r="R413" s="22" t="n">
        <x:f>Q413*M413</x:f>
        <x:v>1120</x:v>
      </x:c>
      <x:c r="S413" s="22" t="n">
        <x:f>P413-R413</x:f>
        <x:v>276.5</x:v>
      </x:c>
      <x:c r="T413" t="str">
        <x:v>Cash</x:v>
      </x:c>
      <x:c r="U413" t="str">
        <x:v>Paid</x:v>
      </x:c>
      <x:c r="V413" t="str">
        <x:v>Delivered</x:v>
      </x:c>
      <x:c r="W413" t="n">
        <x:v>0</x:v>
      </x:c>
      <x:c r="X413" t="str"/>
      <x:c r="Y413" t="str">
        <x:v>Outbound Call</x:v>
      </x:c>
    </x:row>
    <x:row r="414">
      <x:c r="A414" t="str">
        <x:v>O000413</x:v>
      </x:c>
      <x:c r="B414" s="20" t="n">
        <x:v>46245</x:v>
      </x:c>
      <x:c r="C414" t="str">
        <x:v>C0132</x:v>
      </x:c>
      <x:c r="D414" t="str">
        <x:v>Classic Stores 132</x:v>
      </x:c>
      <x:c r="E414" t="str">
        <x:v>Cafe</x:v>
      </x:c>
      <x:c r="F414" t="str">
        <x:v>Mysuru</x:v>
      </x:c>
      <x:c r="G414" t="str">
        <x:v>Megha</x:v>
      </x:c>
      <x:c r="H414" t="str">
        <x:v>P031</x:v>
      </x:c>
      <x:c r="I414" t="str">
        <x:v>Chilli Sauce 700g</x:v>
      </x:c>
      <x:c r="J414" t="str">
        <x:v>Condiments</x:v>
      </x:c>
      <x:c r="K414" t="str">
        <x:v>Ching's</x:v>
      </x:c>
      <x:c r="L414" s="22" t="n">
        <x:v>130</x:v>
      </x:c>
      <x:c r="M414" t="n">
        <x:v>22</x:v>
      </x:c>
      <x:c r="N414" s="24" t="n">
        <x:v>0.03</x:v>
      </x:c>
      <x:c r="O414" s="22" t="n">
        <x:f>L414*M414</x:f>
        <x:v>2860</x:v>
      </x:c>
      <x:c r="P414" s="22" t="n">
        <x:f>O414*(1-N414)</x:f>
        <x:v>2774.2</x:v>
      </x:c>
      <x:c r="Q414" s="22" t="n">
        <x:v>112</x:v>
      </x:c>
      <x:c r="R414" s="22" t="n">
        <x:f>Q414*M414</x:f>
        <x:v>2464</x:v>
      </x:c>
      <x:c r="S414" s="22" t="n">
        <x:f>P414-R414</x:f>
        <x:v>310.1999999999998</x:v>
      </x:c>
      <x:c r="T414" t="str">
        <x:v>Cash</x:v>
      </x:c>
      <x:c r="U414" t="str">
        <x:v>Paid</x:v>
      </x:c>
      <x:c r="V414" t="str">
        <x:v>Delivered</x:v>
      </x:c>
      <x:c r="W414" t="n">
        <x:v>0</x:v>
      </x:c>
      <x:c r="X414" t="str"/>
      <x:c r="Y414" t="str">
        <x:v>Existing Customer</x:v>
      </x:c>
    </x:row>
    <x:row r="415">
      <x:c r="A415" t="str">
        <x:v>O000414</x:v>
      </x:c>
      <x:c r="B415" s="20" t="n">
        <x:v>45924</x:v>
      </x:c>
      <x:c r="C415" t="str">
        <x:v>C0187</x:v>
      </x:c>
      <x:c r="D415" t="str">
        <x:v>City Cafe 187</x:v>
      </x:c>
      <x:c r="E415" t="str">
        <x:v>Hotel</x:v>
      </x:c>
      <x:c r="F415" t="str">
        <x:v>Mysuru</x:v>
      </x:c>
      <x:c r="G415" t="str">
        <x:v>Priya</x:v>
      </x:c>
      <x:c r="H415" t="str">
        <x:v>P037</x:v>
      </x:c>
      <x:c r="I415" t="str">
        <x:v>Frozen Peas 1kg</x:v>
      </x:c>
      <x:c r="J415" t="str">
        <x:v>Frozen</x:v>
      </x:c>
      <x:c r="K415" t="str">
        <x:v>Safal</x:v>
      </x:c>
      <x:c r="L415" s="22" t="n">
        <x:v>155</x:v>
      </x:c>
      <x:c r="M415" t="n">
        <x:v>4</x:v>
      </x:c>
      <x:c r="N415" s="24" t="n">
        <x:v>0.05</x:v>
      </x:c>
      <x:c r="O415" s="22" t="n">
        <x:f>L415*M415</x:f>
        <x:v>620</x:v>
      </x:c>
      <x:c r="P415" s="22" t="n">
        <x:f>O415*(1-N415)</x:f>
        <x:v>589</x:v>
      </x:c>
      <x:c r="Q415" s="22" t="n">
        <x:v>138</x:v>
      </x:c>
      <x:c r="R415" s="22" t="n">
        <x:f>Q415*M415</x:f>
        <x:v>552</x:v>
      </x:c>
      <x:c r="S415" s="22" t="n">
        <x:f>P415-R415</x:f>
        <x:v>37</x:v>
      </x:c>
      <x:c r="T415" t="str">
        <x:v>Bank Transfer</x:v>
      </x:c>
      <x:c r="U415" t="str">
        <x:v>Paid</x:v>
      </x:c>
      <x:c r="V415" t="str">
        <x:v>Cancelled</x:v>
      </x:c>
      <x:c r="W415" t="n">
        <x:v>4</x:v>
      </x:c>
      <x:c r="X415" t="str">
        <x:v>Cancelled Order</x:v>
      </x:c>
      <x:c r="Y415" t="str">
        <x:v>Field Visit</x:v>
      </x:c>
    </x:row>
    <x:row r="416">
      <x:c r="A416" t="str">
        <x:v>O000415</x:v>
      </x:c>
      <x:c r="B416" s="20" t="n">
        <x:v>45951</x:v>
      </x:c>
      <x:c r="C416" t="str">
        <x:v>C0160</x:v>
      </x:c>
      <x:c r="D416" t="str">
        <x:v>Hotel Foods 160</x:v>
      </x:c>
      <x:c r="E416" t="str">
        <x:v>Hotel</x:v>
      </x:c>
      <x:c r="F416" t="str">
        <x:v>Mangaluru</x:v>
      </x:c>
      <x:c r="G416" t="str">
        <x:v>Sneha</x:v>
      </x:c>
      <x:c r="H416" t="str">
        <x:v>P002</x:v>
      </x:c>
      <x:c r="I416" t="str">
        <x:v>Sona Masoori Rice 25kg</x:v>
      </x:c>
      <x:c r="J416" t="str">
        <x:v>Staples</x:v>
      </x:c>
      <x:c r="K416" t="str">
        <x:v>Fortune</x:v>
      </x:c>
      <x:c r="L416" s="22" t="n">
        <x:v>1320</x:v>
      </x:c>
      <x:c r="M416" t="n">
        <x:v>2</x:v>
      </x:c>
      <x:c r="N416" s="24" t="n">
        <x:v>0</x:v>
      </x:c>
      <x:c r="O416" s="22" t="n">
        <x:f>L416*M416</x:f>
        <x:v>2640</x:v>
      </x:c>
      <x:c r="P416" s="22" t="n">
        <x:f>O416*(1-N416)</x:f>
        <x:v>2640</x:v>
      </x:c>
      <x:c r="Q416" s="22" t="n">
        <x:v>1160</x:v>
      </x:c>
      <x:c r="R416" s="22" t="n">
        <x:f>Q416*M416</x:f>
        <x:v>2320</x:v>
      </x:c>
      <x:c r="S416" s="22" t="n">
        <x:f>P416-R416</x:f>
        <x:v>320</x:v>
      </x:c>
      <x:c r="T416" t="str">
        <x:v>UPI</x:v>
      </x:c>
      <x:c r="U416" t="str">
        <x:v>Pending</x:v>
      </x:c>
      <x:c r="V416" t="str">
        <x:v>Delivered</x:v>
      </x:c>
      <x:c r="W416" t="n">
        <x:v>0</x:v>
      </x:c>
      <x:c r="X416" t="str"/>
      <x:c r="Y416" t="str">
        <x:v>Existing Customer</x:v>
      </x:c>
    </x:row>
    <x:row r="417">
      <x:c r="A417" t="str">
        <x:v>O000416</x:v>
      </x:c>
      <x:c r="B417" s="20" t="n">
        <x:v>45672</x:v>
      </x:c>
      <x:c r="C417" t="str">
        <x:v>C0220</x:v>
      </x:c>
      <x:c r="D417" t="str">
        <x:v>Udupi Canteen 220</x:v>
      </x:c>
      <x:c r="E417" t="str">
        <x:v>Restaurant</x:v>
      </x:c>
      <x:c r="F417" t="str">
        <x:v>Bengaluru</x:v>
      </x:c>
      <x:c r="G417" t="str">
        <x:v>Sneha</x:v>
      </x:c>
      <x:c r="H417" t="str">
        <x:v>P017</x:v>
      </x:c>
      <x:c r="I417" t="str">
        <x:v>Butter 500g</x:v>
      </x:c>
      <x:c r="J417" t="str">
        <x:v>Dairy</x:v>
      </x:c>
      <x:c r="K417" t="str">
        <x:v>Amul</x:v>
      </x:c>
      <x:c r="L417" s="22" t="n">
        <x:v>285</x:v>
      </x:c>
      <x:c r="M417" t="n">
        <x:v>8</x:v>
      </x:c>
      <x:c r="N417" s="24" t="n">
        <x:v>0.05</x:v>
      </x:c>
      <x:c r="O417" s="22" t="n">
        <x:f>L417*M417</x:f>
        <x:v>2280</x:v>
      </x:c>
      <x:c r="P417" s="22" t="n">
        <x:f>O417*(1-N417)</x:f>
        <x:v>2166</x:v>
      </x:c>
      <x:c r="Q417" s="22" t="n">
        <x:v>258</x:v>
      </x:c>
      <x:c r="R417" s="22" t="n">
        <x:f>Q417*M417</x:f>
        <x:v>2064</x:v>
      </x:c>
      <x:c r="S417" s="22" t="n">
        <x:f>P417-R417</x:f>
        <x:v>102</x:v>
      </x:c>
      <x:c r="T417" t="str">
        <x:v>Bank Transfer</x:v>
      </x:c>
      <x:c r="U417" t="str">
        <x:v>Paid</x:v>
      </x:c>
      <x:c r="V417" t="str">
        <x:v>Delivered</x:v>
      </x:c>
      <x:c r="W417" t="n">
        <x:v>0</x:v>
      </x:c>
      <x:c r="X417" t="str"/>
      <x:c r="Y417" t="str">
        <x:v>Field Visit</x:v>
      </x:c>
    </x:row>
    <x:row r="418">
      <x:c r="A418" t="str">
        <x:v>O000417</x:v>
      </x:c>
      <x:c r="B418" s="20" t="n">
        <x:v>45843</x:v>
      </x:c>
      <x:c r="C418" t="str">
        <x:v>C0061</x:v>
      </x:c>
      <x:c r="D418" t="str">
        <x:v>Spice Stores 61</x:v>
      </x:c>
      <x:c r="E418" t="str">
        <x:v>Restaurant</x:v>
      </x:c>
      <x:c r="F418" t="str">
        <x:v>Tumakuru</x:v>
      </x:c>
      <x:c r="G418" t="str">
        <x:v>Ramesh</x:v>
      </x:c>
      <x:c r="H418" t="str">
        <x:v>P032</x:v>
      </x:c>
      <x:c r="I418" t="str">
        <x:v>Soy Sauce 700g</x:v>
      </x:c>
      <x:c r="J418" t="str">
        <x:v>Condiments</x:v>
      </x:c>
      <x:c r="K418" t="str">
        <x:v>Ching's</x:v>
      </x:c>
      <x:c r="L418" s="22" t="n">
        <x:v>118</x:v>
      </x:c>
      <x:c r="M418" t="n">
        <x:v>34</x:v>
      </x:c>
      <x:c r="N418" s="24" t="n">
        <x:v>0.08</x:v>
      </x:c>
      <x:c r="O418" s="22" t="n">
        <x:f>L418*M418</x:f>
        <x:v>4012</x:v>
      </x:c>
      <x:c r="P418" s="22" t="n">
        <x:f>O418*(1-N418)</x:f>
        <x:v>3691.04</x:v>
      </x:c>
      <x:c r="Q418" s="22" t="n">
        <x:v>101</x:v>
      </x:c>
      <x:c r="R418" s="22" t="n">
        <x:f>Q418*M418</x:f>
        <x:v>3434</x:v>
      </x:c>
      <x:c r="S418" s="22" t="n">
        <x:f>P418-R418</x:f>
        <x:v>257.03999999999996</x:v>
      </x:c>
      <x:c r="T418" t="str">
        <x:v>Cash</x:v>
      </x:c>
      <x:c r="U418" t="str">
        <x:v>Overdue</x:v>
      </x:c>
      <x:c r="V418" t="str">
        <x:v>Delivered</x:v>
      </x:c>
      <x:c r="W418" t="n">
        <x:v>0</x:v>
      </x:c>
      <x:c r="X418" t="str"/>
      <x:c r="Y418" t="str">
        <x:v>Referral</x:v>
      </x:c>
    </x:row>
    <x:row r="419">
      <x:c r="A419" t="str">
        <x:v>O000418</x:v>
      </x:c>
      <x:c r="B419" s="20" t="n">
        <x:v>46050</x:v>
      </x:c>
      <x:c r="C419" t="str">
        <x:v>C0193</x:v>
      </x:c>
      <x:c r="D419" t="str">
        <x:v>Udupi Cafe 193</x:v>
      </x:c>
      <x:c r="E419" t="str">
        <x:v>Restaurant</x:v>
      </x:c>
      <x:c r="F419" t="str">
        <x:v>Hubballi</x:v>
      </x:c>
      <x:c r="G419" t="str">
        <x:v>Sneha</x:v>
      </x:c>
      <x:c r="H419" t="str">
        <x:v>P027</x:v>
      </x:c>
      <x:c r="I419" t="str">
        <x:v>Biscuits 120g</x:v>
      </x:c>
      <x:c r="J419" t="str">
        <x:v>Snacks</x:v>
      </x:c>
      <x:c r="K419" t="str">
        <x:v>Parle-G</x:v>
      </x:c>
      <x:c r="L419" s="22" t="n">
        <x:v>12</x:v>
      </x:c>
      <x:c r="M419" t="n">
        <x:v>16</x:v>
      </x:c>
      <x:c r="N419" s="24" t="n">
        <x:v>0.05</x:v>
      </x:c>
      <x:c r="O419" s="22" t="n">
        <x:f>L419*M419</x:f>
        <x:v>192</x:v>
      </x:c>
      <x:c r="P419" s="22" t="n">
        <x:f>O419*(1-N419)</x:f>
        <x:v>182.39999999999998</x:v>
      </x:c>
      <x:c r="Q419" s="22" t="n">
        <x:v>9</x:v>
      </x:c>
      <x:c r="R419" s="22" t="n">
        <x:f>Q419*M419</x:f>
        <x:v>144</x:v>
      </x:c>
      <x:c r="S419" s="22" t="n">
        <x:f>P419-R419</x:f>
        <x:v>38.39999999999998</x:v>
      </x:c>
      <x:c r="T419" t="str">
        <x:v>Bank Transfer</x:v>
      </x:c>
      <x:c r="U419" t="str">
        <x:v>Paid</x:v>
      </x:c>
      <x:c r="V419" t="str">
        <x:v>Cancelled</x:v>
      </x:c>
      <x:c r="W419" t="n">
        <x:v>16</x:v>
      </x:c>
      <x:c r="X419" t="str">
        <x:v>Cancelled Order</x:v>
      </x:c>
      <x:c r="Y419" t="str">
        <x:v>Field Visit</x:v>
      </x:c>
    </x:row>
    <x:row r="420">
      <x:c r="A420" t="str">
        <x:v>O000419</x:v>
      </x:c>
      <x:c r="B420" s="20" t="n">
        <x:v>45776</x:v>
      </x:c>
      <x:c r="C420" t="str">
        <x:v>C0068</x:v>
      </x:c>
      <x:c r="D420" t="str">
        <x:v>Fresh Canteen 68</x:v>
      </x:c>
      <x:c r="E420" t="str">
        <x:v>Kirana</x:v>
      </x:c>
      <x:c r="F420" t="str">
        <x:v>Davanagere</x:v>
      </x:c>
      <x:c r="G420" t="str">
        <x:v>Arjun</x:v>
      </x:c>
      <x:c r="H420" t="str">
        <x:v>P049</x:v>
      </x:c>
      <x:c r="I420" t="str">
        <x:v>Apple 10kg</x:v>
      </x:c>
      <x:c r="J420" t="str">
        <x:v>Fresh Produce</x:v>
      </x:c>
      <x:c r="K420" t="str">
        <x:v>Local Market</x:v>
      </x:c>
      <x:c r="L420" s="22" t="n">
        <x:v>1450</x:v>
      </x:c>
      <x:c r="M420" t="n">
        <x:v>3</x:v>
      </x:c>
      <x:c r="N420" s="24" t="n">
        <x:v>0.03</x:v>
      </x:c>
      <x:c r="O420" s="22" t="n">
        <x:f>L420*M420</x:f>
        <x:v>4350</x:v>
      </x:c>
      <x:c r="P420" s="22" t="n">
        <x:f>O420*(1-N420)</x:f>
        <x:v>4219.5</x:v>
      </x:c>
      <x:c r="Q420" s="22" t="n">
        <x:v>1280</x:v>
      </x:c>
      <x:c r="R420" s="22" t="n">
        <x:f>Q420*M420</x:f>
        <x:v>3840</x:v>
      </x:c>
      <x:c r="S420" s="22" t="n">
        <x:f>P420-R420</x:f>
        <x:v>379.5</x:v>
      </x:c>
      <x:c r="T420" t="str">
        <x:v>Credit</x:v>
      </x:c>
      <x:c r="U420" t="str">
        <x:v>Paid</x:v>
      </x:c>
      <x:c r="V420" t="str">
        <x:v>Cancelled</x:v>
      </x:c>
      <x:c r="W420" t="n">
        <x:v>3</x:v>
      </x:c>
      <x:c r="X420" t="str">
        <x:v>Cancelled Order</x:v>
      </x:c>
      <x:c r="Y420" t="str">
        <x:v>Existing Customer</x:v>
      </x:c>
    </x:row>
    <x:row r="421">
      <x:c r="A421" t="str">
        <x:v>O000420</x:v>
      </x:c>
      <x:c r="B421" s="20" t="n">
        <x:v>46057</x:v>
      </x:c>
      <x:c r="C421" t="str">
        <x:v>C0175</x:v>
      </x:c>
      <x:c r="D421" t="str">
        <x:v>Namma Mart 175</x:v>
      </x:c>
      <x:c r="E421" t="str">
        <x:v>Hotel</x:v>
      </x:c>
      <x:c r="F421" t="str">
        <x:v>Davanagere</x:v>
      </x:c>
      <x:c r="G421" t="str">
        <x:v>Sneha</x:v>
      </x:c>
      <x:c r="H421" t="str">
        <x:v>P046</x:v>
      </x:c>
      <x:c r="I421" t="str">
        <x:v>Potato 25kg</x:v>
      </x:c>
      <x:c r="J421" t="str">
        <x:v>Fresh Produce</x:v>
      </x:c>
      <x:c r="K421" t="str">
        <x:v>Local Market</x:v>
      </x:c>
      <x:c r="L421" s="22" t="n">
        <x:v>700</x:v>
      </x:c>
      <x:c r="M421" t="n">
        <x:v>31</x:v>
      </x:c>
      <x:c r="N421" s="24" t="n">
        <x:v>0.02</x:v>
      </x:c>
      <x:c r="O421" s="22" t="n">
        <x:f>L421*M421</x:f>
        <x:v>21700</x:v>
      </x:c>
      <x:c r="P421" s="22" t="n">
        <x:f>O421*(1-N421)</x:f>
        <x:v>21266</x:v>
      </x:c>
      <x:c r="Q421" s="22" t="n">
        <x:v>610</x:v>
      </x:c>
      <x:c r="R421" s="22" t="n">
        <x:f>Q421*M421</x:f>
        <x:v>18910</x:v>
      </x:c>
      <x:c r="S421" s="22" t="n">
        <x:f>P421-R421</x:f>
        <x:v>2356</x:v>
      </x:c>
      <x:c r="T421" t="str">
        <x:v>Credit</x:v>
      </x:c>
      <x:c r="U421" t="str">
        <x:v>Paid</x:v>
      </x:c>
      <x:c r="V421" t="str">
        <x:v>Delivered</x:v>
      </x:c>
      <x:c r="W421" t="n">
        <x:v>0</x:v>
      </x:c>
      <x:c r="X421" t="str"/>
      <x:c r="Y421" t="str">
        <x:v>Field Visit</x:v>
      </x:c>
    </x:row>
    <x:row r="422">
      <x:c r="A422" t="str">
        <x:v>O000421</x:v>
      </x:c>
      <x:c r="B422" s="20" t="n">
        <x:v>45757</x:v>
      </x:c>
      <x:c r="C422" t="str">
        <x:v>C0175</x:v>
      </x:c>
      <x:c r="D422" t="str">
        <x:v>Namma Mart 175</x:v>
      </x:c>
      <x:c r="E422" t="str">
        <x:v>Hotel</x:v>
      </x:c>
      <x:c r="F422" t="str">
        <x:v>Davanagere</x:v>
      </x:c>
      <x:c r="G422" t="str">
        <x:v>Sneha</x:v>
      </x:c>
      <x:c r="H422" t="str">
        <x:v>P003</x:v>
      </x:c>
      <x:c r="I422" t="str">
        <x:v>Basmati Rice 5kg</x:v>
      </x:c>
      <x:c r="J422" t="str">
        <x:v>Staples</x:v>
      </x:c>
      <x:c r="K422" t="str">
        <x:v>India Gate</x:v>
      </x:c>
      <x:c r="L422" s="22" t="n">
        <x:v>690</x:v>
      </x:c>
      <x:c r="M422" t="n">
        <x:v>35</x:v>
      </x:c>
      <x:c r="N422" s="24" t="n">
        <x:v>0.05</x:v>
      </x:c>
      <x:c r="O422" s="22" t="n">
        <x:f>L422*M422</x:f>
        <x:v>24150</x:v>
      </x:c>
      <x:c r="P422" s="22" t="n">
        <x:f>O422*(1-N422)</x:f>
        <x:v>22942.5</x:v>
      </x:c>
      <x:c r="Q422" s="22" t="n">
        <x:v>610</x:v>
      </x:c>
      <x:c r="R422" s="22" t="n">
        <x:f>Q422*M422</x:f>
        <x:v>21350</x:v>
      </x:c>
      <x:c r="S422" s="22" t="n">
        <x:f>P422-R422</x:f>
        <x:v>1592.5</x:v>
      </x:c>
      <x:c r="T422" t="str">
        <x:v>Credit</x:v>
      </x:c>
      <x:c r="U422" t="str">
        <x:v>Paid</x:v>
      </x:c>
      <x:c r="V422" t="str">
        <x:v>Cancelled</x:v>
      </x:c>
      <x:c r="W422" t="n">
        <x:v>35</x:v>
      </x:c>
      <x:c r="X422" t="str">
        <x:v>Cancelled Order</x:v>
      </x:c>
      <x:c r="Y422" t="str">
        <x:v>Field Visit</x:v>
      </x:c>
    </x:row>
    <x:row r="423">
      <x:c r="A423" t="str">
        <x:v>O000422</x:v>
      </x:c>
      <x:c r="B423" s="20" t="n">
        <x:v>45919</x:v>
      </x:c>
      <x:c r="C423" t="str">
        <x:v>C0069</x:v>
      </x:c>
      <x:c r="D423" t="str">
        <x:v>Cafe Hotel 69</x:v>
      </x:c>
      <x:c r="E423" t="str">
        <x:v>Supermarket</x:v>
      </x:c>
      <x:c r="F423" t="str">
        <x:v>Bengaluru</x:v>
      </x:c>
      <x:c r="G423" t="str">
        <x:v>Sneha</x:v>
      </x:c>
      <x:c r="H423" t="str">
        <x:v>P007</x:v>
      </x:c>
      <x:c r="I423" t="str">
        <x:v>Sunflower Oil 15L</x:v>
      </x:c>
      <x:c r="J423" t="str">
        <x:v>Edible Oil</x:v>
      </x:c>
      <x:c r="K423" t="str">
        <x:v>Fortune</x:v>
      </x:c>
      <x:c r="L423" s="22" t="n">
        <x:v>1980</x:v>
      </x:c>
      <x:c r="M423" t="n">
        <x:v>7</x:v>
      </x:c>
      <x:c r="N423" s="24" t="n">
        <x:v>0.03</x:v>
      </x:c>
      <x:c r="O423" s="22" t="n">
        <x:f>L423*M423</x:f>
        <x:v>13860</x:v>
      </x:c>
      <x:c r="P423" s="22" t="n">
        <x:f>O423*(1-N423)</x:f>
        <x:v>13444.199999999999</x:v>
      </x:c>
      <x:c r="Q423" s="22" t="n">
        <x:v>1810</x:v>
      </x:c>
      <x:c r="R423" s="22" t="n">
        <x:f>Q423*M423</x:f>
        <x:v>12670</x:v>
      </x:c>
      <x:c r="S423" s="22" t="n">
        <x:f>P423-R423</x:f>
        <x:v>774.1999999999989</x:v>
      </x:c>
      <x:c r="T423" t="str">
        <x:v>Bank Transfer</x:v>
      </x:c>
      <x:c r="U423" t="str">
        <x:v>Pending</x:v>
      </x:c>
      <x:c r="V423" t="str">
        <x:v>Delayed</x:v>
      </x:c>
      <x:c r="W423" t="n">
        <x:v>0</x:v>
      </x:c>
      <x:c r="X423" t="str"/>
      <x:c r="Y423" t="str">
        <x:v>Referral</x:v>
      </x:c>
    </x:row>
    <x:row r="424">
      <x:c r="A424" t="str">
        <x:v>O000423</x:v>
      </x:c>
      <x:c r="B424" s="20" t="n">
        <x:v>45842</x:v>
      </x:c>
      <x:c r="C424" t="str">
        <x:v>C0174</x:v>
      </x:c>
      <x:c r="D424" t="str">
        <x:v>Classic Stores 174</x:v>
      </x:c>
      <x:c r="E424" t="str">
        <x:v>Kirana</x:v>
      </x:c>
      <x:c r="F424" t="str">
        <x:v>Mysuru</x:v>
      </x:c>
      <x:c r="G424" t="str">
        <x:v>Vikram</x:v>
      </x:c>
      <x:c r="H424" t="str">
        <x:v>P045</x:v>
      </x:c>
      <x:c r="I424" t="str">
        <x:v>Onion 25kg</x:v>
      </x:c>
      <x:c r="J424" t="str">
        <x:v>Fresh Produce</x:v>
      </x:c>
      <x:c r="K424" t="str">
        <x:v>Local Market</x:v>
      </x:c>
      <x:c r="L424" s="22" t="n">
        <x:v>875</x:v>
      </x:c>
      <x:c r="M424" t="n">
        <x:v>21</x:v>
      </x:c>
      <x:c r="N424" s="24" t="n">
        <x:v>0.03</x:v>
      </x:c>
      <x:c r="O424" s="22" t="n">
        <x:f>L424*M424</x:f>
        <x:v>18375</x:v>
      </x:c>
      <x:c r="P424" s="22" t="n">
        <x:f>O424*(1-N424)</x:f>
        <x:v>17823.75</x:v>
      </x:c>
      <x:c r="Q424" s="22" t="n">
        <x:v>760</x:v>
      </x:c>
      <x:c r="R424" s="22" t="n">
        <x:f>Q424*M424</x:f>
        <x:v>15960</x:v>
      </x:c>
      <x:c r="S424" s="22" t="n">
        <x:f>P424-R424</x:f>
        <x:v>1863.75</x:v>
      </x:c>
      <x:c r="T424" t="str">
        <x:v>UPI</x:v>
      </x:c>
      <x:c r="U424" t="str">
        <x:v>Pending</x:v>
      </x:c>
      <x:c r="V424" t="str">
        <x:v>Delivered</x:v>
      </x:c>
      <x:c r="W424" t="n">
        <x:v>0</x:v>
      </x:c>
      <x:c r="X424" t="str"/>
      <x:c r="Y424" t="str">
        <x:v>Existing Customer</x:v>
      </x:c>
    </x:row>
    <x:row r="425">
      <x:c r="A425" t="str">
        <x:v>O000424</x:v>
      </x:c>
      <x:c r="B425" s="20" t="n">
        <x:v>45882</x:v>
      </x:c>
      <x:c r="C425" t="str">
        <x:v>C0115</x:v>
      </x:c>
      <x:c r="D425" t="str">
        <x:v>Mysore Mart 115</x:v>
      </x:c>
      <x:c r="E425" t="str">
        <x:v>Kirana</x:v>
      </x:c>
      <x:c r="F425" t="str">
        <x:v>Mangaluru</x:v>
      </x:c>
      <x:c r="G425" t="str">
        <x:v>Arjun</x:v>
      </x:c>
      <x:c r="H425" t="str">
        <x:v>P023</x:v>
      </x:c>
      <x:c r="I425" t="str">
        <x:v>Cola 750ml</x:v>
      </x:c>
      <x:c r="J425" t="str">
        <x:v>Beverage</x:v>
      </x:c>
      <x:c r="K425" t="str">
        <x:v>Coca-Cola</x:v>
      </x:c>
      <x:c r="L425" s="22" t="n">
        <x:v>38</x:v>
      </x:c>
      <x:c r="M425" t="n">
        <x:v>19</x:v>
      </x:c>
      <x:c r="N425" s="24" t="n">
        <x:v>0.02</x:v>
      </x:c>
      <x:c r="O425" s="22" t="n">
        <x:f>L425*M425</x:f>
        <x:v>722</x:v>
      </x:c>
      <x:c r="P425" s="22" t="n">
        <x:f>O425*(1-N425)</x:f>
        <x:v>707.56</x:v>
      </x:c>
      <x:c r="Q425" s="22" t="n">
        <x:v>31</x:v>
      </x:c>
      <x:c r="R425" s="22" t="n">
        <x:f>Q425*M425</x:f>
        <x:v>589</x:v>
      </x:c>
      <x:c r="S425" s="22" t="n">
        <x:f>P425-R425</x:f>
        <x:v>118.55999999999995</x:v>
      </x:c>
      <x:c r="T425" t="str">
        <x:v>UPI</x:v>
      </x:c>
      <x:c r="U425" t="str">
        <x:v>Paid</x:v>
      </x:c>
      <x:c r="V425" t="str">
        <x:v>Delivered</x:v>
      </x:c>
      <x:c r="W425" t="n">
        <x:v>2</x:v>
      </x:c>
      <x:c r="X425" t="str">
        <x:v>Damaged</x:v>
      </x:c>
      <x:c r="Y425" t="str">
        <x:v>Outbound Call</x:v>
      </x:c>
    </x:row>
    <x:row r="426">
      <x:c r="A426" t="str">
        <x:v>O000425</x:v>
      </x:c>
      <x:c r="B426" s="20" t="n">
        <x:v>46042</x:v>
      </x:c>
      <x:c r="C426" t="str">
        <x:v>C0155</x:v>
      </x:c>
      <x:c r="D426" t="str">
        <x:v>New Mart 155</x:v>
      </x:c>
      <x:c r="E426" t="str">
        <x:v>Hotel</x:v>
      </x:c>
      <x:c r="F426" t="str">
        <x:v>Mysuru</x:v>
      </x:c>
      <x:c r="G426" t="str">
        <x:v>Sneha</x:v>
      </x:c>
      <x:c r="H426" t="str">
        <x:v>P009</x:v>
      </x:c>
      <x:c r="I426" t="str">
        <x:v>Groundnut Oil 5L</x:v>
      </x:c>
      <x:c r="J426" t="str">
        <x:v>Edible Oil</x:v>
      </x:c>
      <x:c r="K426" t="str">
        <x:v>Dhara</x:v>
      </x:c>
      <x:c r="L426" s="22" t="n">
        <x:v>890</x:v>
      </x:c>
      <x:c r="M426" t="n">
        <x:v>37</x:v>
      </x:c>
      <x:c r="N426" s="24" t="n">
        <x:v>0.05</x:v>
      </x:c>
      <x:c r="O426" s="22" t="n">
        <x:f>L426*M426</x:f>
        <x:v>32930</x:v>
      </x:c>
      <x:c r="P426" s="22" t="n">
        <x:f>O426*(1-N426)</x:f>
        <x:v>31283.5</x:v>
      </x:c>
      <x:c r="Q426" s="22" t="n">
        <x:v>810</x:v>
      </x:c>
      <x:c r="R426" s="22" t="n">
        <x:f>Q426*M426</x:f>
        <x:v>29970</x:v>
      </x:c>
      <x:c r="S426" s="22" t="n">
        <x:f>P426-R426</x:f>
        <x:v>1313.5</x:v>
      </x:c>
      <x:c r="T426" t="str">
        <x:v>Bank Transfer</x:v>
      </x:c>
      <x:c r="U426" t="str">
        <x:v>Pending</x:v>
      </x:c>
      <x:c r="V426" t="str">
        <x:v>Cancelled</x:v>
      </x:c>
      <x:c r="W426" t="n">
        <x:v>37</x:v>
      </x:c>
      <x:c r="X426" t="str">
        <x:v>Cancelled Order</x:v>
      </x:c>
      <x:c r="Y426" t="str">
        <x:v>Referral</x:v>
      </x:c>
    </x:row>
    <x:row r="427">
      <x:c r="A427" t="str">
        <x:v>O000426</x:v>
      </x:c>
      <x:c r="B427" s="20" t="n">
        <x:v>45735</x:v>
      </x:c>
      <x:c r="C427" t="str">
        <x:v>C0120</x:v>
      </x:c>
      <x:c r="D427" t="str">
        <x:v>Foodie Foods 120</x:v>
      </x:c>
      <x:c r="E427" t="str">
        <x:v>Hotel</x:v>
      </x:c>
      <x:c r="F427" t="str">
        <x:v>Hubballi</x:v>
      </x:c>
      <x:c r="G427" t="str">
        <x:v>Arjun</x:v>
      </x:c>
      <x:c r="H427" t="str">
        <x:v>P043</x:v>
      </x:c>
      <x:c r="I427" t="str">
        <x:v>Chicken Breast 1kg</x:v>
      </x:c>
      <x:c r="J427" t="str">
        <x:v>Protein</x:v>
      </x:c>
      <x:c r="K427" t="str">
        <x:v>FreshToHome</x:v>
      </x:c>
      <x:c r="L427" s="22" t="n">
        <x:v>260</x:v>
      </x:c>
      <x:c r="M427" t="n">
        <x:v>30</x:v>
      </x:c>
      <x:c r="N427" s="24" t="n">
        <x:v>0.08</x:v>
      </x:c>
      <x:c r="O427" s="22" t="n">
        <x:f>L427*M427</x:f>
        <x:v>7800</x:v>
      </x:c>
      <x:c r="P427" s="22" t="n">
        <x:f>O427*(1-N427)</x:f>
        <x:v>7176</x:v>
      </x:c>
      <x:c r="Q427" s="22" t="n">
        <x:v>235</x:v>
      </x:c>
      <x:c r="R427" s="22" t="n">
        <x:f>Q427*M427</x:f>
        <x:v>7050</x:v>
      </x:c>
      <x:c r="S427" s="22" t="n">
        <x:f>P427-R427</x:f>
        <x:v>126</x:v>
      </x:c>
      <x:c r="T427" t="str">
        <x:v>Cash</x:v>
      </x:c>
      <x:c r="U427" t="str">
        <x:v>Pending</x:v>
      </x:c>
      <x:c r="V427" t="str">
        <x:v>Cancelled</x:v>
      </x:c>
      <x:c r="W427" t="n">
        <x:v>30</x:v>
      </x:c>
      <x:c r="X427" t="str">
        <x:v>Cancelled Order</x:v>
      </x:c>
      <x:c r="Y427" t="str">
        <x:v>Field Visit</x:v>
      </x:c>
    </x:row>
    <x:row r="428">
      <x:c r="A428" t="str">
        <x:v>O000427</x:v>
      </x:c>
      <x:c r="B428" s="20" t="n">
        <x:v>45941</x:v>
      </x:c>
      <x:c r="C428" t="str">
        <x:v>C0200</x:v>
      </x:c>
      <x:c r="D428" t="str">
        <x:v>Sagar Kitchen 200</x:v>
      </x:c>
      <x:c r="E428" t="str">
        <x:v>Cafe</x:v>
      </x:c>
      <x:c r="F428" t="str">
        <x:v>Bengaluru</x:v>
      </x:c>
      <x:c r="G428" t="str">
        <x:v>Arjun</x:v>
      </x:c>
      <x:c r="H428" t="str">
        <x:v>P005</x:v>
      </x:c>
      <x:c r="I428" t="str">
        <x:v>Chana Dal 5kg</x:v>
      </x:c>
      <x:c r="J428" t="str">
        <x:v>Pulses</x:v>
      </x:c>
      <x:c r="K428" t="str">
        <x:v>Local Select</x:v>
      </x:c>
      <x:c r="L428" s="22" t="n">
        <x:v>520</x:v>
      </x:c>
      <x:c r="M428" t="n">
        <x:v>4</x:v>
      </x:c>
      <x:c r="N428" s="24" t="n">
        <x:v>0.02</x:v>
      </x:c>
      <x:c r="O428" s="22" t="n">
        <x:f>L428*M428</x:f>
        <x:v>2080</x:v>
      </x:c>
      <x:c r="P428" s="22" t="n">
        <x:f>O428*(1-N428)</x:f>
        <x:v>2038.3999999999999</x:v>
      </x:c>
      <x:c r="Q428" s="22" t="n">
        <x:v>455</x:v>
      </x:c>
      <x:c r="R428" s="22" t="n">
        <x:f>Q428*M428</x:f>
        <x:v>1820</x:v>
      </x:c>
      <x:c r="S428" s="22" t="n">
        <x:f>P428-R428</x:f>
        <x:v>218.39999999999986</x:v>
      </x:c>
      <x:c r="T428" t="str">
        <x:v>Cash</x:v>
      </x:c>
      <x:c r="U428" t="str">
        <x:v>Overdue</x:v>
      </x:c>
      <x:c r="V428" t="str">
        <x:v>Delivered</x:v>
      </x:c>
      <x:c r="W428" t="n">
        <x:v>0</x:v>
      </x:c>
      <x:c r="X428" t="str"/>
      <x:c r="Y428" t="str">
        <x:v>Field Visit</x:v>
      </x:c>
    </x:row>
    <x:row r="429">
      <x:c r="A429" t="str">
        <x:v>O000428</x:v>
      </x:c>
      <x:c r="B429" s="20" t="n">
        <x:v>45863</x:v>
      </x:c>
      <x:c r="C429" t="str">
        <x:v>C0018</x:v>
      </x:c>
      <x:c r="D429" t="str">
        <x:v>Namma Canteen 18</x:v>
      </x:c>
      <x:c r="E429" t="str">
        <x:v>Restaurant</x:v>
      </x:c>
      <x:c r="F429" t="str">
        <x:v>Davanagere</x:v>
      </x:c>
      <x:c r="G429" t="str">
        <x:v>Imran</x:v>
      </x:c>
      <x:c r="H429" t="str">
        <x:v>P032</x:v>
      </x:c>
      <x:c r="I429" t="str">
        <x:v>Soy Sauce 700g</x:v>
      </x:c>
      <x:c r="J429" t="str">
        <x:v>Condiments</x:v>
      </x:c>
      <x:c r="K429" t="str">
        <x:v>Ching's</x:v>
      </x:c>
      <x:c r="L429" s="22" t="n">
        <x:v>118</x:v>
      </x:c>
      <x:c r="M429" t="n">
        <x:v>40</x:v>
      </x:c>
      <x:c r="N429" s="24" t="n">
        <x:v>0.02</x:v>
      </x:c>
      <x:c r="O429" s="22" t="n">
        <x:f>L429*M429</x:f>
        <x:v>4720</x:v>
      </x:c>
      <x:c r="P429" s="22" t="n">
        <x:f>O429*(1-N429)</x:f>
        <x:v>4625.6</x:v>
      </x:c>
      <x:c r="Q429" s="22" t="n">
        <x:v>101</x:v>
      </x:c>
      <x:c r="R429" s="22" t="n">
        <x:f>Q429*M429</x:f>
        <x:v>4040</x:v>
      </x:c>
      <x:c r="S429" s="22" t="n">
        <x:f>P429-R429</x:f>
        <x:v>585.6000000000004</x:v>
      </x:c>
      <x:c r="T429" t="str">
        <x:v>Credit</x:v>
      </x:c>
      <x:c r="U429" t="str">
        <x:v>Paid</x:v>
      </x:c>
      <x:c r="V429" t="str">
        <x:v>Delayed</x:v>
      </x:c>
      <x:c r="W429" t="n">
        <x:v>0</x:v>
      </x:c>
      <x:c r="X429" t="str"/>
      <x:c r="Y429" t="str">
        <x:v>WhatsApp</x:v>
      </x:c>
    </x:row>
    <x:row r="430">
      <x:c r="A430" t="str">
        <x:v>O000429</x:v>
      </x:c>
      <x:c r="B430" s="20" t="n">
        <x:v>46110</x:v>
      </x:c>
      <x:c r="C430" t="str">
        <x:v>C0165</x:v>
      </x:c>
      <x:c r="D430" t="str">
        <x:v>Royal Restaurant 165</x:v>
      </x:c>
      <x:c r="E430" t="str">
        <x:v>Hotel</x:v>
      </x:c>
      <x:c r="F430" t="str">
        <x:v>Tumakuru</x:v>
      </x:c>
      <x:c r="G430" t="str">
        <x:v>Kavya</x:v>
      </x:c>
      <x:c r="H430" t="str">
        <x:v>P007</x:v>
      </x:c>
      <x:c r="I430" t="str">
        <x:v>Sunflower Oil 15L</x:v>
      </x:c>
      <x:c r="J430" t="str">
        <x:v>Edible Oil</x:v>
      </x:c>
      <x:c r="K430" t="str">
        <x:v>Fortune</x:v>
      </x:c>
      <x:c r="L430" s="22" t="n">
        <x:v>1980</x:v>
      </x:c>
      <x:c r="M430" t="n">
        <x:v>2</x:v>
      </x:c>
      <x:c r="N430" s="24" t="n">
        <x:v>0</x:v>
      </x:c>
      <x:c r="O430" s="22" t="n">
        <x:f>L430*M430</x:f>
        <x:v>3960</x:v>
      </x:c>
      <x:c r="P430" s="22" t="n">
        <x:f>O430*(1-N430)</x:f>
        <x:v>3960</x:v>
      </x:c>
      <x:c r="Q430" s="22" t="n">
        <x:v>1810</x:v>
      </x:c>
      <x:c r="R430" s="22" t="n">
        <x:f>Q430*M430</x:f>
        <x:v>3620</x:v>
      </x:c>
      <x:c r="S430" s="22" t="n">
        <x:f>P430-R430</x:f>
        <x:v>340</x:v>
      </x:c>
      <x:c r="T430" t="str">
        <x:v>UPI</x:v>
      </x:c>
      <x:c r="U430" t="str">
        <x:v>Paid</x:v>
      </x:c>
      <x:c r="V430" t="str">
        <x:v>Delivered</x:v>
      </x:c>
      <x:c r="W430" t="n">
        <x:v>0</x:v>
      </x:c>
      <x:c r="X430" t="str"/>
      <x:c r="Y430" t="str">
        <x:v>Outbound Call</x:v>
      </x:c>
    </x:row>
    <x:row r="431">
      <x:c r="A431" t="str">
        <x:v>O000430</x:v>
      </x:c>
      <x:c r="B431" s="20" t="n">
        <x:v>45658</x:v>
      </x:c>
      <x:c r="C431" t="str">
        <x:v>C0039</x:v>
      </x:c>
      <x:c r="D431" t="str">
        <x:v>Sagar Cafe 39</x:v>
      </x:c>
      <x:c r="E431" t="str">
        <x:v>Restaurant</x:v>
      </x:c>
      <x:c r="F431" t="str">
        <x:v>Hubballi</x:v>
      </x:c>
      <x:c r="G431" t="str">
        <x:v>Imran</x:v>
      </x:c>
      <x:c r="H431" t="str">
        <x:v>P042</x:v>
      </x:c>
      <x:c r="I431" t="str">
        <x:v>Eggs 30pc Tray</x:v>
      </x:c>
      <x:c r="J431" t="str">
        <x:v>Protein</x:v>
      </x:c>
      <x:c r="K431" t="str">
        <x:v>Farm Fresh</x:v>
      </x:c>
      <x:c r="L431" s="22" t="n">
        <x:v>195</x:v>
      </x:c>
      <x:c r="M431" t="n">
        <x:v>3</x:v>
      </x:c>
      <x:c r="N431" s="24" t="n">
        <x:v>0.05</x:v>
      </x:c>
      <x:c r="O431" s="22" t="n">
        <x:f>L431*M431</x:f>
        <x:v>585</x:v>
      </x:c>
      <x:c r="P431" s="22" t="n">
        <x:f>O431*(1-N431)</x:f>
        <x:v>555.75</x:v>
      </x:c>
      <x:c r="Q431" s="22" t="n">
        <x:v>170</x:v>
      </x:c>
      <x:c r="R431" s="22" t="n">
        <x:f>Q431*M431</x:f>
        <x:v>510</x:v>
      </x:c>
      <x:c r="S431" s="22" t="n">
        <x:f>P431-R431</x:f>
        <x:v>45.75</x:v>
      </x:c>
      <x:c r="T431" t="str">
        <x:v>Cash</x:v>
      </x:c>
      <x:c r="U431" t="str">
        <x:v>Paid</x:v>
      </x:c>
      <x:c r="V431" t="str">
        <x:v>Delivered</x:v>
      </x:c>
      <x:c r="W431" t="n">
        <x:v>0</x:v>
      </x:c>
      <x:c r="X431" t="str"/>
      <x:c r="Y431" t="str"/>
    </x:row>
    <x:row r="432">
      <x:c r="A432" t="str">
        <x:v>O000431</x:v>
      </x:c>
      <x:c r="B432" s="20" t="n">
        <x:v>46160</x:v>
      </x:c>
      <x:c r="C432" t="str">
        <x:v>C0182</x:v>
      </x:c>
      <x:c r="D432" t="str">
        <x:v>Mysore Foods 182</x:v>
      </x:c>
      <x:c r="E432" t="str">
        <x:v>Restaurant</x:v>
      </x:c>
      <x:c r="F432" t="str">
        <x:v>Bengaluru</x:v>
      </x:c>
      <x:c r="G432" t="str">
        <x:v>Vikram</x:v>
      </x:c>
      <x:c r="H432" t="str">
        <x:v>P050</x:v>
      </x:c>
      <x:c r="I432" t="str">
        <x:v>Lemon 5kg</x:v>
      </x:c>
      <x:c r="J432" t="str">
        <x:v>Fresh Produce</x:v>
      </x:c>
      <x:c r="K432" t="str">
        <x:v>Local Market</x:v>
      </x:c>
      <x:c r="L432" s="22" t="n">
        <x:v>360</x:v>
      </x:c>
      <x:c r="M432" t="n">
        <x:v>31</x:v>
      </x:c>
      <x:c r="N432" s="24" t="n">
        <x:v>0.03</x:v>
      </x:c>
      <x:c r="O432" s="22" t="n">
        <x:f>L432*M432</x:f>
        <x:v>11160</x:v>
      </x:c>
      <x:c r="P432" s="22" t="n">
        <x:f>O432*(1-N432)</x:f>
        <x:v>10825.199999999999</x:v>
      </x:c>
      <x:c r="Q432" s="22" t="n">
        <x:v>300</x:v>
      </x:c>
      <x:c r="R432" s="22" t="n">
        <x:f>Q432*M432</x:f>
        <x:v>9300</x:v>
      </x:c>
      <x:c r="S432" s="22" t="n">
        <x:f>P432-R432</x:f>
        <x:v>1525.199999999999</x:v>
      </x:c>
      <x:c r="T432" t="str">
        <x:v>UPI</x:v>
      </x:c>
      <x:c r="U432" t="str">
        <x:v>Paid</x:v>
      </x:c>
      <x:c r="V432" t="str">
        <x:v>Delivered</x:v>
      </x:c>
      <x:c r="W432" t="n">
        <x:v>0</x:v>
      </x:c>
      <x:c r="X432" t="str"/>
      <x:c r="Y432" t="str">
        <x:v>WhatsApp</x:v>
      </x:c>
    </x:row>
    <x:row r="433">
      <x:c r="A433" t="str">
        <x:v>O000432</x:v>
      </x:c>
      <x:c r="B433" s="20" t="n">
        <x:v>45999</x:v>
      </x:c>
      <x:c r="C433" t="str">
        <x:v>C0138</x:v>
      </x:c>
      <x:c r="D433" t="str">
        <x:v>New Mart 138</x:v>
      </x:c>
      <x:c r="E433" t="str">
        <x:v>Restaurant</x:v>
      </x:c>
      <x:c r="F433" t="str">
        <x:v>Bengaluru</x:v>
      </x:c>
      <x:c r="G433" t="str">
        <x:v>Ramesh</x:v>
      </x:c>
      <x:c r="H433" t="str">
        <x:v>P023</x:v>
      </x:c>
      <x:c r="I433" t="str">
        <x:v>Cola 750ml</x:v>
      </x:c>
      <x:c r="J433" t="str">
        <x:v>Beverage</x:v>
      </x:c>
      <x:c r="K433" t="str">
        <x:v>Coca-Cola</x:v>
      </x:c>
      <x:c r="L433" s="22" t="n">
        <x:v>38</x:v>
      </x:c>
      <x:c r="M433" t="n">
        <x:v>20</x:v>
      </x:c>
      <x:c r="N433" s="24" t="n">
        <x:v>0.03</x:v>
      </x:c>
      <x:c r="O433" s="22" t="n">
        <x:f>L433*M433</x:f>
        <x:v>760</x:v>
      </x:c>
      <x:c r="P433" s="22" t="n">
        <x:f>O433*(1-N433)</x:f>
        <x:v>737.1999999999999</x:v>
      </x:c>
      <x:c r="Q433" s="22" t="n">
        <x:v>31</x:v>
      </x:c>
      <x:c r="R433" s="22" t="n">
        <x:f>Q433*M433</x:f>
        <x:v>620</x:v>
      </x:c>
      <x:c r="S433" s="22" t="n">
        <x:f>P433-R433</x:f>
        <x:v>117.19999999999993</x:v>
      </x:c>
      <x:c r="T433" t="str">
        <x:v>UPI</x:v>
      </x:c>
      <x:c r="U433" t="str">
        <x:v>Paid</x:v>
      </x:c>
      <x:c r="V433" t="str">
        <x:v>Delivered</x:v>
      </x:c>
      <x:c r="W433" t="n">
        <x:v>0</x:v>
      </x:c>
      <x:c r="X433" t="str"/>
      <x:c r="Y433" t="str">
        <x:v>WhatsApp</x:v>
      </x:c>
    </x:row>
    <x:row r="434">
      <x:c r="A434" t="str">
        <x:v>O000433</x:v>
      </x:c>
      <x:c r="B434" s="20" t="n">
        <x:v>45865</x:v>
      </x:c>
      <x:c r="C434" t="str">
        <x:v>C0075</x:v>
      </x:c>
      <x:c r="D434" t="str">
        <x:v>Spice Foods 75</x:v>
      </x:c>
      <x:c r="E434" t="str">
        <x:v>Kirana</x:v>
      </x:c>
      <x:c r="F434" t="str">
        <x:v>Hubballi</x:v>
      </x:c>
      <x:c r="G434" t="str">
        <x:v>Vikram</x:v>
      </x:c>
      <x:c r="H434" t="str">
        <x:v>P042</x:v>
      </x:c>
      <x:c r="I434" t="str">
        <x:v>Eggs 30pc Tray</x:v>
      </x:c>
      <x:c r="J434" t="str">
        <x:v>Protein</x:v>
      </x:c>
      <x:c r="K434" t="str">
        <x:v>Farm Fresh</x:v>
      </x:c>
      <x:c r="L434" s="22" t="n">
        <x:v>195</x:v>
      </x:c>
      <x:c r="M434" t="n">
        <x:v>12</x:v>
      </x:c>
      <x:c r="N434" s="24" t="n">
        <x:v>0.03</x:v>
      </x:c>
      <x:c r="O434" s="22" t="n">
        <x:f>L434*M434</x:f>
        <x:v>2340</x:v>
      </x:c>
      <x:c r="P434" s="22" t="n">
        <x:f>O434*(1-N434)</x:f>
        <x:v>2269.7999999999997</x:v>
      </x:c>
      <x:c r="Q434" s="22" t="n">
        <x:v>170</x:v>
      </x:c>
      <x:c r="R434" s="22" t="n">
        <x:f>Q434*M434</x:f>
        <x:v>2040</x:v>
      </x:c>
      <x:c r="S434" s="22" t="n">
        <x:f>P434-R434</x:f>
        <x:v>229.79999999999973</x:v>
      </x:c>
      <x:c r="T434" t="str">
        <x:v>Credit</x:v>
      </x:c>
      <x:c r="U434" t="str">
        <x:v>Paid</x:v>
      </x:c>
      <x:c r="V434" t="str">
        <x:v>Delivered</x:v>
      </x:c>
      <x:c r="W434" t="n">
        <x:v>0</x:v>
      </x:c>
      <x:c r="X434" t="str"/>
      <x:c r="Y434" t="str">
        <x:v>Outbound Call</x:v>
      </x:c>
    </x:row>
    <x:row r="435">
      <x:c r="A435" t="str">
        <x:v>O000434</x:v>
      </x:c>
      <x:c r="B435" s="20" t="n">
        <x:v>45744</x:v>
      </x:c>
      <x:c r="C435" t="str">
        <x:v>C0092</x:v>
      </x:c>
      <x:c r="D435" t="str">
        <x:v>Cafe Restaurant 92</x:v>
      </x:c>
      <x:c r="E435" t="str">
        <x:v>Canteen</x:v>
      </x:c>
      <x:c r="F435" t="str">
        <x:v>Hubballi</x:v>
      </x:c>
      <x:c r="G435" t="str">
        <x:v>Vikram</x:v>
      </x:c>
      <x:c r="H435" t="str">
        <x:v>P032</x:v>
      </x:c>
      <x:c r="I435" t="str">
        <x:v>Soy Sauce 700g</x:v>
      </x:c>
      <x:c r="J435" t="str">
        <x:v>Condiments</x:v>
      </x:c>
      <x:c r="K435" t="str">
        <x:v>Ching's</x:v>
      </x:c>
      <x:c r="L435" s="22" t="n">
        <x:v>118</x:v>
      </x:c>
      <x:c r="M435" t="n">
        <x:v>29</x:v>
      </x:c>
      <x:c r="N435" s="24" t="n">
        <x:v>0.05</x:v>
      </x:c>
      <x:c r="O435" s="22" t="n">
        <x:f>L435*M435</x:f>
        <x:v>3422</x:v>
      </x:c>
      <x:c r="P435" s="22" t="n">
        <x:f>O435*(1-N435)</x:f>
        <x:v>3250.8999999999996</x:v>
      </x:c>
      <x:c r="Q435" s="22" t="n">
        <x:v>101</x:v>
      </x:c>
      <x:c r="R435" s="22" t="n">
        <x:f>Q435*M435</x:f>
        <x:v>2929</x:v>
      </x:c>
      <x:c r="S435" s="22" t="n">
        <x:f>P435-R435</x:f>
        <x:v>321.89999999999964</x:v>
      </x:c>
      <x:c r="T435" t="str">
        <x:v>Bank Transfer</x:v>
      </x:c>
      <x:c r="U435" t="str">
        <x:v>Paid</x:v>
      </x:c>
      <x:c r="V435" t="str">
        <x:v>Delivered</x:v>
      </x:c>
      <x:c r="W435" t="n">
        <x:v>0</x:v>
      </x:c>
      <x:c r="X435" t="str"/>
      <x:c r="Y435" t="str">
        <x:v>Existing Customer</x:v>
      </x:c>
    </x:row>
    <x:row r="436">
      <x:c r="A436" t="str">
        <x:v>O000435</x:v>
      </x:c>
      <x:c r="B436" s="20" t="n">
        <x:v>46211</x:v>
      </x:c>
      <x:c r="C436" t="str">
        <x:v>C0100</x:v>
      </x:c>
      <x:c r="D436" t="str">
        <x:v>Fresh Mart 100</x:v>
      </x:c>
      <x:c r="E436" t="str">
        <x:v>Restaurant</x:v>
      </x:c>
      <x:c r="F436" t="str">
        <x:v>Mysuru</x:v>
      </x:c>
      <x:c r="G436" t="str">
        <x:v>Imran</x:v>
      </x:c>
      <x:c r="H436" t="str">
        <x:v>P005</x:v>
      </x:c>
      <x:c r="I436" t="str">
        <x:v>Chana Dal 5kg</x:v>
      </x:c>
      <x:c r="J436" t="str">
        <x:v>Pulses</x:v>
      </x:c>
      <x:c r="K436" t="str">
        <x:v>Local Select</x:v>
      </x:c>
      <x:c r="L436" s="22" t="n">
        <x:v>520</x:v>
      </x:c>
      <x:c r="M436" t="n">
        <x:v>20</x:v>
      </x:c>
      <x:c r="N436" s="24" t="n">
        <x:v>0.03</x:v>
      </x:c>
      <x:c r="O436" s="22" t="n">
        <x:f>L436*M436</x:f>
        <x:v>10400</x:v>
      </x:c>
      <x:c r="P436" s="22" t="n">
        <x:f>O436*(1-N436)</x:f>
        <x:v>10088</x:v>
      </x:c>
      <x:c r="Q436" s="22" t="n">
        <x:v>455</x:v>
      </x:c>
      <x:c r="R436" s="22" t="n">
        <x:f>Q436*M436</x:f>
        <x:v>9100</x:v>
      </x:c>
      <x:c r="S436" s="22" t="n">
        <x:f>P436-R436</x:f>
        <x:v>988</x:v>
      </x:c>
      <x:c r="T436" t="str">
        <x:v>Credit</x:v>
      </x:c>
      <x:c r="U436" t="str">
        <x:v>Overdue</x:v>
      </x:c>
      <x:c r="V436" t="str">
        <x:v>Delivered</x:v>
      </x:c>
      <x:c r="W436" t="n">
        <x:v>1</x:v>
      </x:c>
      <x:c r="X436" t="str">
        <x:v>Quality Issue</x:v>
      </x:c>
      <x:c r="Y436" t="str">
        <x:v>Outbound Call</x:v>
      </x:c>
    </x:row>
    <x:row r="437">
      <x:c r="A437" t="str">
        <x:v>O000436</x:v>
      </x:c>
      <x:c r="B437" s="20" t="n">
        <x:v>46193</x:v>
      </x:c>
      <x:c r="C437" t="str">
        <x:v>C0055</x:v>
      </x:c>
      <x:c r="D437" t="str">
        <x:v>Royal Mart 55</x:v>
      </x:c>
      <x:c r="E437" t="str">
        <x:v>Restaurant</x:v>
      </x:c>
      <x:c r="F437" t="str">
        <x:v>Hubballi</x:v>
      </x:c>
      <x:c r="G437" t="str">
        <x:v>Vikram</x:v>
      </x:c>
      <x:c r="H437" t="str">
        <x:v>P042</x:v>
      </x:c>
      <x:c r="I437" t="str">
        <x:v>Eggs 30pc Tray</x:v>
      </x:c>
      <x:c r="J437" t="str">
        <x:v>Protein</x:v>
      </x:c>
      <x:c r="K437" t="str">
        <x:v>Farm Fresh</x:v>
      </x:c>
      <x:c r="L437" s="22" t="n">
        <x:v>195</x:v>
      </x:c>
      <x:c r="M437" t="n">
        <x:v>30</x:v>
      </x:c>
      <x:c r="N437" s="24" t="n">
        <x:v>0.08</x:v>
      </x:c>
      <x:c r="O437" s="22" t="n">
        <x:f>L437*M437</x:f>
        <x:v>5850</x:v>
      </x:c>
      <x:c r="P437" s="22" t="n">
        <x:f>O437*(1-N437)</x:f>
        <x:v>5382</x:v>
      </x:c>
      <x:c r="Q437" s="22" t="n">
        <x:v>170</x:v>
      </x:c>
      <x:c r="R437" s="22" t="n">
        <x:f>Q437*M437</x:f>
        <x:v>5100</x:v>
      </x:c>
      <x:c r="S437" s="22" t="n">
        <x:f>P437-R437</x:f>
        <x:v>282</x:v>
      </x:c>
      <x:c r="T437" t="str">
        <x:v>Bank Transfer</x:v>
      </x:c>
      <x:c r="U437" t="str">
        <x:v>Pending</x:v>
      </x:c>
      <x:c r="V437" t="str">
        <x:v>Delivered</x:v>
      </x:c>
      <x:c r="W437" t="n">
        <x:v>0</x:v>
      </x:c>
      <x:c r="X437" t="str"/>
      <x:c r="Y437" t="str">
        <x:v>Outbound Call</x:v>
      </x:c>
    </x:row>
    <x:row r="438">
      <x:c r="A438" t="str">
        <x:v>O000437</x:v>
      </x:c>
      <x:c r="B438" s="20" t="n">
        <x:v>45677</x:v>
      </x:c>
      <x:c r="C438" t="str">
        <x:v>C0126</x:v>
      </x:c>
      <x:c r="D438" t="str">
        <x:v>Mysore Hotel 126</x:v>
      </x:c>
      <x:c r="E438" t="str">
        <x:v>Restaurant</x:v>
      </x:c>
      <x:c r="F438" t="str">
        <x:v>Mangaluru</x:v>
      </x:c>
      <x:c r="G438" t="str">
        <x:v>Vikram</x:v>
      </x:c>
      <x:c r="H438" t="str">
        <x:v>P042</x:v>
      </x:c>
      <x:c r="I438" t="str">
        <x:v>Eggs 30pc Tray</x:v>
      </x:c>
      <x:c r="J438" t="str">
        <x:v>Protein</x:v>
      </x:c>
      <x:c r="K438" t="str">
        <x:v>Farm Fresh</x:v>
      </x:c>
      <x:c r="L438" s="22" t="n">
        <x:v>195</x:v>
      </x:c>
      <x:c r="M438" t="n">
        <x:v>31</x:v>
      </x:c>
      <x:c r="N438" s="24" t="n">
        <x:v>0.08</x:v>
      </x:c>
      <x:c r="O438" s="22" t="n">
        <x:f>L438*M438</x:f>
        <x:v>6045</x:v>
      </x:c>
      <x:c r="P438" s="22" t="n">
        <x:f>O438*(1-N438)</x:f>
        <x:v>5561.400000000001</x:v>
      </x:c>
      <x:c r="Q438" s="22" t="n">
        <x:v>170</x:v>
      </x:c>
      <x:c r="R438" s="22" t="n">
        <x:f>Q438*M438</x:f>
        <x:v>5270</x:v>
      </x:c>
      <x:c r="S438" s="22" t="n">
        <x:f>P438-R438</x:f>
        <x:v>291.40000000000055</x:v>
      </x:c>
      <x:c r="T438" t="str">
        <x:v>UPI</x:v>
      </x:c>
      <x:c r="U438" t="str">
        <x:v>Paid</x:v>
      </x:c>
      <x:c r="V438" t="str">
        <x:v>Cancelled</x:v>
      </x:c>
      <x:c r="W438" t="n">
        <x:v>31</x:v>
      </x:c>
      <x:c r="X438" t="str">
        <x:v>Cancelled Order</x:v>
      </x:c>
      <x:c r="Y438" t="str"/>
    </x:row>
    <x:row r="439">
      <x:c r="A439" t="str">
        <x:v>O000438</x:v>
      </x:c>
      <x:c r="B439" s="20" t="n">
        <x:v>45972</x:v>
      </x:c>
      <x:c r="C439" t="str">
        <x:v>C0162</x:v>
      </x:c>
      <x:c r="D439" t="str">
        <x:v>Udupi Foods 162</x:v>
      </x:c>
      <x:c r="E439" t="str">
        <x:v>Restaurant</x:v>
      </x:c>
      <x:c r="F439" t="str">
        <x:v>Mysuru</x:v>
      </x:c>
      <x:c r="G439" t="str">
        <x:v>Ramesh</x:v>
      </x:c>
      <x:c r="H439" t="str">
        <x:v>P004</x:v>
      </x:c>
      <x:c r="I439" t="str">
        <x:v>Toor Dal 5kg</x:v>
      </x:c>
      <x:c r="J439" t="str">
        <x:v>Pulses</x:v>
      </x:c>
      <x:c r="K439" t="str">
        <x:v>Tata Sampann</x:v>
      </x:c>
      <x:c r="L439" s="22" t="n">
        <x:v>780</x:v>
      </x:c>
      <x:c r="M439" t="n">
        <x:v>7</x:v>
      </x:c>
      <x:c r="N439" s="24" t="n">
        <x:v>0.03</x:v>
      </x:c>
      <x:c r="O439" s="22" t="n">
        <x:f>L439*M439</x:f>
        <x:v>5460</x:v>
      </x:c>
      <x:c r="P439" s="22" t="n">
        <x:f>O439*(1-N439)</x:f>
        <x:v>5296.2</x:v>
      </x:c>
      <x:c r="Q439" s="22" t="n">
        <x:v>695</x:v>
      </x:c>
      <x:c r="R439" s="22" t="n">
        <x:f>Q439*M439</x:f>
        <x:v>4865</x:v>
      </x:c>
      <x:c r="S439" s="22" t="n">
        <x:f>P439-R439</x:f>
        <x:v>431.1999999999998</x:v>
      </x:c>
      <x:c r="T439" t="str">
        <x:v>Bank Transfer</x:v>
      </x:c>
      <x:c r="U439" t="str">
        <x:v>Pending</x:v>
      </x:c>
      <x:c r="V439" t="str">
        <x:v>Delivered</x:v>
      </x:c>
      <x:c r="W439" t="n">
        <x:v>0</x:v>
      </x:c>
      <x:c r="X439" t="str"/>
      <x:c r="Y439" t="str">
        <x:v>Outbound Call</x:v>
      </x:c>
    </x:row>
    <x:row r="440">
      <x:c r="A440" t="str">
        <x:v>O000439</x:v>
      </x:c>
      <x:c r="B440" s="20" t="n">
        <x:v>45883</x:v>
      </x:c>
      <x:c r="C440" t="str">
        <x:v>C0153</x:v>
      </x:c>
      <x:c r="D440" t="str">
        <x:v>Fresh Foods 153</x:v>
      </x:c>
      <x:c r="E440" t="str">
        <x:v>Kirana</x:v>
      </x:c>
      <x:c r="F440" t="str">
        <x:v>Bengaluru</x:v>
      </x:c>
      <x:c r="G440" t="str">
        <x:v>Priya</x:v>
      </x:c>
      <x:c r="H440" t="str">
        <x:v>P040</x:v>
      </x:c>
      <x:c r="I440" t="str">
        <x:v>Bread Loaf 400g</x:v>
      </x:c>
      <x:c r="J440" t="str">
        <x:v>Bakery</x:v>
      </x:c>
      <x:c r="K440" t="str">
        <x:v>Britannia</x:v>
      </x:c>
      <x:c r="L440" s="22" t="n">
        <x:v>45</x:v>
      </x:c>
      <x:c r="M440" t="n">
        <x:v>5</x:v>
      </x:c>
      <x:c r="N440" s="24" t="n">
        <x:v>0.05</x:v>
      </x:c>
      <x:c r="O440" s="22" t="n">
        <x:f>L440*M440</x:f>
        <x:v>225</x:v>
      </x:c>
      <x:c r="P440" s="22" t="n">
        <x:f>O440*(1-N440)</x:f>
        <x:v>213.75</x:v>
      </x:c>
      <x:c r="Q440" s="22" t="n">
        <x:v>35</x:v>
      </x:c>
      <x:c r="R440" s="22" t="n">
        <x:f>Q440*M440</x:f>
        <x:v>175</x:v>
      </x:c>
      <x:c r="S440" s="22" t="n">
        <x:f>P440-R440</x:f>
        <x:v>38.75</x:v>
      </x:c>
      <x:c r="T440" t="str">
        <x:v>Credit</x:v>
      </x:c>
      <x:c r="U440" t="str">
        <x:v>Paid</x:v>
      </x:c>
      <x:c r="V440" t="str">
        <x:v>Cancelled</x:v>
      </x:c>
      <x:c r="W440" t="n">
        <x:v>5</x:v>
      </x:c>
      <x:c r="X440" t="str">
        <x:v>Cancelled Order</x:v>
      </x:c>
      <x:c r="Y440" t="str">
        <x:v>WhatsApp</x:v>
      </x:c>
    </x:row>
    <x:row r="441">
      <x:c r="A441" t="str">
        <x:v>O000440</x:v>
      </x:c>
      <x:c r="B441" s="20" t="n">
        <x:v>46247</x:v>
      </x:c>
      <x:c r="C441" t="str">
        <x:v>C0250</x:v>
      </x:c>
      <x:c r="D441" t="str">
        <x:v>Namma Hotel 250</x:v>
      </x:c>
      <x:c r="E441" t="str">
        <x:v>Cafe</x:v>
      </x:c>
      <x:c r="F441" t="str">
        <x:v>Bengaluru</x:v>
      </x:c>
      <x:c r="G441" t="str">
        <x:v>Sneha</x:v>
      </x:c>
      <x:c r="H441" t="str">
        <x:v>P044</x:v>
      </x:c>
      <x:c r="I441" t="str">
        <x:v>Chicken Curry Cut 1kg</x:v>
      </x:c>
      <x:c r="J441" t="str">
        <x:v>Protein</x:v>
      </x:c>
      <x:c r="K441" t="str">
        <x:v>FreshToHome</x:v>
      </x:c>
      <x:c r="L441" s="22" t="n">
        <x:v>230</x:v>
      </x:c>
      <x:c r="M441" t="n">
        <x:v>35</x:v>
      </x:c>
      <x:c r="N441" s="24" t="n">
        <x:v>0</x:v>
      </x:c>
      <x:c r="O441" s="22" t="n">
        <x:f>L441*M441</x:f>
        <x:v>8050</x:v>
      </x:c>
      <x:c r="P441" s="22" t="n">
        <x:f>O441*(1-N441)</x:f>
        <x:v>8050</x:v>
      </x:c>
      <x:c r="Q441" s="22" t="n">
        <x:v>205</x:v>
      </x:c>
      <x:c r="R441" s="22" t="n">
        <x:f>Q441*M441</x:f>
        <x:v>7175</x:v>
      </x:c>
      <x:c r="S441" s="22" t="n">
        <x:f>P441-R441</x:f>
        <x:v>875</x:v>
      </x:c>
      <x:c r="T441" t="str">
        <x:v>Bank Transfer</x:v>
      </x:c>
      <x:c r="U441" t="str">
        <x:v>Pending</x:v>
      </x:c>
      <x:c r="V441" t="str">
        <x:v>Delayed</x:v>
      </x:c>
      <x:c r="W441" t="n">
        <x:v>0</x:v>
      </x:c>
      <x:c r="X441" t="str"/>
      <x:c r="Y441" t="str">
        <x:v>Referral</x:v>
      </x:c>
    </x:row>
    <x:row r="442">
      <x:c r="A442" t="str">
        <x:v>O000441</x:v>
      </x:c>
      <x:c r="B442" s="20" t="n">
        <x:v>45802</x:v>
      </x:c>
      <x:c r="C442" t="str">
        <x:v>C0031</x:v>
      </x:c>
      <x:c r="D442" t="str">
        <x:v>Royal Restaurant 31</x:v>
      </x:c>
      <x:c r="E442" t="str">
        <x:v>Restaurant</x:v>
      </x:c>
      <x:c r="F442" t="str">
        <x:v>Mangaluru</x:v>
      </x:c>
      <x:c r="G442" t="str">
        <x:v>Arjun</x:v>
      </x:c>
      <x:c r="H442" t="str">
        <x:v>P018</x:v>
      </x:c>
      <x:c r="I442" t="str">
        <x:v>Paneer 1kg</x:v>
      </x:c>
      <x:c r="J442" t="str">
        <x:v>Dairy</x:v>
      </x:c>
      <x:c r="K442" t="str">
        <x:v>Milky Mist</x:v>
      </x:c>
      <x:c r="L442" s="22" t="n">
        <x:v>410</x:v>
      </x:c>
      <x:c r="M442" t="n">
        <x:v>27</x:v>
      </x:c>
      <x:c r="N442" s="24" t="n">
        <x:v>0</x:v>
      </x:c>
      <x:c r="O442" s="22" t="n">
        <x:f>L442*M442</x:f>
        <x:v>11070</x:v>
      </x:c>
      <x:c r="P442" s="22" t="n">
        <x:f>O442*(1-N442)</x:f>
        <x:v>11070</x:v>
      </x:c>
      <x:c r="Q442" s="22" t="n">
        <x:v>370</x:v>
      </x:c>
      <x:c r="R442" s="22" t="n">
        <x:f>Q442*M442</x:f>
        <x:v>9990</x:v>
      </x:c>
      <x:c r="S442" s="22" t="n">
        <x:f>P442-R442</x:f>
        <x:v>1080</x:v>
      </x:c>
      <x:c r="T442" t="str">
        <x:v>Cash</x:v>
      </x:c>
      <x:c r="U442" t="str">
        <x:v>Paid</x:v>
      </x:c>
      <x:c r="V442" t="str">
        <x:v>Delivered</x:v>
      </x:c>
      <x:c r="W442" t="n">
        <x:v>0</x:v>
      </x:c>
      <x:c r="X442" t="str"/>
      <x:c r="Y442" t="str">
        <x:v>Existing Customer</x:v>
      </x:c>
    </x:row>
    <x:row r="443">
      <x:c r="A443" t="str">
        <x:v>O000442</x:v>
      </x:c>
      <x:c r="B443" s="20" t="n">
        <x:v>46285</x:v>
      </x:c>
      <x:c r="C443" t="str">
        <x:v>C0026</x:v>
      </x:c>
      <x:c r="D443" t="str">
        <x:v>Cafe Kitchen 26</x:v>
      </x:c>
      <x:c r="E443" t="str">
        <x:v>Kirana</x:v>
      </x:c>
      <x:c r="F443" t="str">
        <x:v>Davanagere</x:v>
      </x:c>
      <x:c r="G443" t="str">
        <x:v>Kavya</x:v>
      </x:c>
      <x:c r="H443" t="str">
        <x:v>P041</x:v>
      </x:c>
      <x:c r="I443" t="str">
        <x:v>Burger Bun 6pc</x:v>
      </x:c>
      <x:c r="J443" t="str">
        <x:v>Bakery</x:v>
      </x:c>
      <x:c r="K443" t="str">
        <x:v>Modern</x:v>
      </x:c>
      <x:c r="L443" s="22" t="n">
        <x:v>42</x:v>
      </x:c>
      <x:c r="M443" t="n">
        <x:v>25</x:v>
      </x:c>
      <x:c r="N443" s="24" t="n">
        <x:v>0.05</x:v>
      </x:c>
      <x:c r="O443" s="22" t="n">
        <x:f>L443*M443</x:f>
        <x:v>1050</x:v>
      </x:c>
      <x:c r="P443" s="22" t="n">
        <x:f>O443*(1-N443)</x:f>
        <x:v>997.5</x:v>
      </x:c>
      <x:c r="Q443" s="22" t="n">
        <x:v>32</x:v>
      </x:c>
      <x:c r="R443" s="22" t="n">
        <x:f>Q443*M443</x:f>
        <x:v>800</x:v>
      </x:c>
      <x:c r="S443" s="22" t="n">
        <x:f>P443-R443</x:f>
        <x:v>197.5</x:v>
      </x:c>
      <x:c r="T443" t="str">
        <x:v>UPI</x:v>
      </x:c>
      <x:c r="U443" t="str">
        <x:v>Pending</x:v>
      </x:c>
      <x:c r="V443" t="str">
        <x:v>Delivered</x:v>
      </x:c>
      <x:c r="W443" t="n">
        <x:v>2</x:v>
      </x:c>
      <x:c r="X443" t="str">
        <x:v>Damaged</x:v>
      </x:c>
      <x:c r="Y443" t="str">
        <x:v>Existing Customer</x:v>
      </x:c>
    </x:row>
    <x:row r="444">
      <x:c r="A444" t="str">
        <x:v>O000443</x:v>
      </x:c>
      <x:c r="B444" s="20" t="n">
        <x:v>46145</x:v>
      </x:c>
      <x:c r="C444" t="str">
        <x:v>C0107</x:v>
      </x:c>
      <x:c r="D444" t="str">
        <x:v>Mysore Cafe 107</x:v>
      </x:c>
      <x:c r="E444" t="str">
        <x:v>Supermarket</x:v>
      </x:c>
      <x:c r="F444" t="str">
        <x:v>Tumakuru</x:v>
      </x:c>
      <x:c r="G444" t="str">
        <x:v>Megha</x:v>
      </x:c>
      <x:c r="H444" t="str">
        <x:v>P045</x:v>
      </x:c>
      <x:c r="I444" t="str">
        <x:v>Onion 25kg</x:v>
      </x:c>
      <x:c r="J444" t="str">
        <x:v>Fresh Produce</x:v>
      </x:c>
      <x:c r="K444" t="str">
        <x:v>Local Market</x:v>
      </x:c>
      <x:c r="L444" s="22" t="n">
        <x:v>875</x:v>
      </x:c>
      <x:c r="M444" t="n">
        <x:v>9</x:v>
      </x:c>
      <x:c r="N444" s="24" t="n">
        <x:v>0</x:v>
      </x:c>
      <x:c r="O444" s="22" t="n">
        <x:f>L444*M444</x:f>
        <x:v>7875</x:v>
      </x:c>
      <x:c r="P444" s="22" t="n">
        <x:f>O444*(1-N444)</x:f>
        <x:v>7875</x:v>
      </x:c>
      <x:c r="Q444" s="22" t="n">
        <x:v>760</x:v>
      </x:c>
      <x:c r="R444" s="22" t="n">
        <x:f>Q444*M444</x:f>
        <x:v>6840</x:v>
      </x:c>
      <x:c r="S444" s="22" t="n">
        <x:f>P444-R444</x:f>
        <x:v>1035</x:v>
      </x:c>
      <x:c r="T444" t="str">
        <x:v>Cash</x:v>
      </x:c>
      <x:c r="U444" t="str">
        <x:v>Paid</x:v>
      </x:c>
      <x:c r="V444" t="str">
        <x:v>Delivered</x:v>
      </x:c>
      <x:c r="W444" t="n">
        <x:v>0</x:v>
      </x:c>
      <x:c r="X444" t="str"/>
      <x:c r="Y444" t="str">
        <x:v>Referral</x:v>
      </x:c>
    </x:row>
    <x:row r="445">
      <x:c r="A445" t="str">
        <x:v>O000444</x:v>
      </x:c>
      <x:c r="B445" s="20" t="n">
        <x:v>45842</x:v>
      </x:c>
      <x:c r="C445" t="str">
        <x:v>C0010</x:v>
      </x:c>
      <x:c r="D445" t="str">
        <x:v>Royal Hotel 10</x:v>
      </x:c>
      <x:c r="E445" t="str">
        <x:v>Canteen</x:v>
      </x:c>
      <x:c r="F445" t="str">
        <x:v>Davanagere</x:v>
      </x:c>
      <x:c r="G445" t="str">
        <x:v>Ramesh</x:v>
      </x:c>
      <x:c r="H445" t="str">
        <x:v>P039</x:v>
      </x:c>
      <x:c r="I445" t="str">
        <x:v>Ice Cream 4L</x:v>
      </x:c>
      <x:c r="J445" t="str">
        <x:v>Frozen</x:v>
      </x:c>
      <x:c r="K445" t="str">
        <x:v>Amul</x:v>
      </x:c>
      <x:c r="L445" s="22" t="n">
        <x:v>480</x:v>
      </x:c>
      <x:c r="M445" t="n">
        <x:v>32</x:v>
      </x:c>
      <x:c r="N445" s="24" t="n">
        <x:v>0.05</x:v>
      </x:c>
      <x:c r="O445" s="22" t="n">
        <x:f>L445*M445</x:f>
        <x:v>15360</x:v>
      </x:c>
      <x:c r="P445" s="22" t="n">
        <x:f>O445*(1-N445)</x:f>
        <x:v>14592</x:v>
      </x:c>
      <x:c r="Q445" s="22" t="n">
        <x:v>420</x:v>
      </x:c>
      <x:c r="R445" s="22" t="n">
        <x:f>Q445*M445</x:f>
        <x:v>13440</x:v>
      </x:c>
      <x:c r="S445" s="22" t="n">
        <x:f>P445-R445</x:f>
        <x:v>1152</x:v>
      </x:c>
      <x:c r="T445" t="str">
        <x:v>UPI</x:v>
      </x:c>
      <x:c r="U445" t="str">
        <x:v>Paid</x:v>
      </x:c>
      <x:c r="V445" t="str">
        <x:v>Delivered</x:v>
      </x:c>
      <x:c r="W445" t="n">
        <x:v>0</x:v>
      </x:c>
      <x:c r="X445" t="str"/>
      <x:c r="Y445" t="str">
        <x:v>Outbound Call</x:v>
      </x:c>
    </x:row>
    <x:row r="446">
      <x:c r="A446" t="str">
        <x:v>O000445</x:v>
      </x:c>
      <x:c r="B446" s="20" t="n">
        <x:v>46200</x:v>
      </x:c>
      <x:c r="C446" t="str">
        <x:v>C0050</x:v>
      </x:c>
      <x:c r="D446" t="str">
        <x:v>Green Stores 50</x:v>
      </x:c>
      <x:c r="E446" t="str">
        <x:v>Restaurant</x:v>
      </x:c>
      <x:c r="F446" t="str">
        <x:v>Davanagere</x:v>
      </x:c>
      <x:c r="G446" t="str">
        <x:v>Vikram</x:v>
      </x:c>
      <x:c r="H446" t="str">
        <x:v>P008</x:v>
      </x:c>
      <x:c r="I446" t="str">
        <x:v>Palm Oil 15L</x:v>
      </x:c>
      <x:c r="J446" t="str">
        <x:v>Edible Oil</x:v>
      </x:c>
      <x:c r="K446" t="str">
        <x:v>Ruchi Gold</x:v>
      </x:c>
      <x:c r="L446" s="22" t="n">
        <x:v>1760</x:v>
      </x:c>
      <x:c r="M446" t="n">
        <x:v>10</x:v>
      </x:c>
      <x:c r="N446" s="24" t="n">
        <x:v>0.02</x:v>
      </x:c>
      <x:c r="O446" s="22" t="n">
        <x:f>L446*M446</x:f>
        <x:v>17600</x:v>
      </x:c>
      <x:c r="P446" s="22" t="n">
        <x:f>O446*(1-N446)</x:f>
        <x:v>17248</x:v>
      </x:c>
      <x:c r="Q446" s="22" t="n">
        <x:v>1610</x:v>
      </x:c>
      <x:c r="R446" s="22" t="n">
        <x:f>Q446*M446</x:f>
        <x:v>16100</x:v>
      </x:c>
      <x:c r="S446" s="22" t="n">
        <x:f>P446-R446</x:f>
        <x:v>1148</x:v>
      </x:c>
      <x:c r="T446" t="str">
        <x:v>Bank Transfer</x:v>
      </x:c>
      <x:c r="U446" t="str">
        <x:v>Paid</x:v>
      </x:c>
      <x:c r="V446" t="str">
        <x:v>Cancelled</x:v>
      </x:c>
      <x:c r="W446" t="n">
        <x:v>10</x:v>
      </x:c>
      <x:c r="X446" t="str">
        <x:v>Cancelled Order</x:v>
      </x:c>
      <x:c r="Y446" t="str">
        <x:v>Referral</x:v>
      </x:c>
    </x:row>
    <x:row r="447">
      <x:c r="A447" t="str">
        <x:v>O000446</x:v>
      </x:c>
      <x:c r="B447" s="20" t="n">
        <x:v>45810</x:v>
      </x:c>
      <x:c r="C447" t="str">
        <x:v>C0050</x:v>
      </x:c>
      <x:c r="D447" t="str">
        <x:v>Green Stores 50</x:v>
      </x:c>
      <x:c r="E447" t="str">
        <x:v>Restaurant</x:v>
      </x:c>
      <x:c r="F447" t="str">
        <x:v>Davanagere</x:v>
      </x:c>
      <x:c r="G447" t="str">
        <x:v>Vikram</x:v>
      </x:c>
      <x:c r="H447" t="str">
        <x:v>P008</x:v>
      </x:c>
      <x:c r="I447" t="str">
        <x:v>Palm Oil 15L</x:v>
      </x:c>
      <x:c r="J447" t="str">
        <x:v>Edible Oil</x:v>
      </x:c>
      <x:c r="K447" t="str">
        <x:v>Ruchi Gold</x:v>
      </x:c>
      <x:c r="L447" s="22" t="n">
        <x:v>1760</x:v>
      </x:c>
      <x:c r="M447" t="n">
        <x:v>8</x:v>
      </x:c>
      <x:c r="N447" s="24" t="n">
        <x:v>0</x:v>
      </x:c>
      <x:c r="O447" s="22" t="n">
        <x:f>L447*M447</x:f>
        <x:v>14080</x:v>
      </x:c>
      <x:c r="P447" s="22" t="n">
        <x:f>O447*(1-N447)</x:f>
        <x:v>14080</x:v>
      </x:c>
      <x:c r="Q447" s="22" t="n">
        <x:v>1610</x:v>
      </x:c>
      <x:c r="R447" s="22" t="n">
        <x:f>Q447*M447</x:f>
        <x:v>12880</x:v>
      </x:c>
      <x:c r="S447" s="22" t="n">
        <x:f>P447-R447</x:f>
        <x:v>1200</x:v>
      </x:c>
      <x:c r="T447" t="str">
        <x:v>UPI</x:v>
      </x:c>
      <x:c r="U447" t="str">
        <x:v>Paid</x:v>
      </x:c>
      <x:c r="V447" t="str">
        <x:v>Delivered</x:v>
      </x:c>
      <x:c r="W447" t="n">
        <x:v>0</x:v>
      </x:c>
      <x:c r="X447" t="str"/>
      <x:c r="Y447" t="str">
        <x:v>WhatsApp</x:v>
      </x:c>
    </x:row>
    <x:row r="448">
      <x:c r="A448" t="str">
        <x:v>O000447</x:v>
      </x:c>
      <x:c r="B448" s="20" t="n">
        <x:v>46122</x:v>
      </x:c>
      <x:c r="C448" t="str">
        <x:v>C0158</x:v>
      </x:c>
      <x:c r="D448" t="str">
        <x:v>Cafe Stores 158</x:v>
      </x:c>
      <x:c r="E448" t="str">
        <x:v>Cafe</x:v>
      </x:c>
      <x:c r="F448" t="str">
        <x:v>Mysuru</x:v>
      </x:c>
      <x:c r="G448" t="str">
        <x:v>Priya</x:v>
      </x:c>
      <x:c r="H448" t="str">
        <x:v>P049</x:v>
      </x:c>
      <x:c r="I448" t="str">
        <x:v>Apple 10kg</x:v>
      </x:c>
      <x:c r="J448" t="str">
        <x:v>Fresh Produce</x:v>
      </x:c>
      <x:c r="K448" t="str">
        <x:v>Local Market</x:v>
      </x:c>
      <x:c r="L448" s="22" t="n">
        <x:v>1450</x:v>
      </x:c>
      <x:c r="M448" t="n">
        <x:v>2</x:v>
      </x:c>
      <x:c r="N448" s="24" t="n">
        <x:v>0.05</x:v>
      </x:c>
      <x:c r="O448" s="22" t="n">
        <x:f>L448*M448</x:f>
        <x:v>2900</x:v>
      </x:c>
      <x:c r="P448" s="22" t="n">
        <x:f>O448*(1-N448)</x:f>
        <x:v>2755</x:v>
      </x:c>
      <x:c r="Q448" s="22" t="n">
        <x:v>1280</x:v>
      </x:c>
      <x:c r="R448" s="22" t="n">
        <x:f>Q448*M448</x:f>
        <x:v>2560</x:v>
      </x:c>
      <x:c r="S448" s="22" t="n">
        <x:f>P448-R448</x:f>
        <x:v>195</x:v>
      </x:c>
      <x:c r="T448" t="str">
        <x:v>Bank Transfer</x:v>
      </x:c>
      <x:c r="U448" t="str">
        <x:v>Paid</x:v>
      </x:c>
      <x:c r="V448" t="str">
        <x:v>Delivered</x:v>
      </x:c>
      <x:c r="W448" t="n">
        <x:v>0</x:v>
      </x:c>
      <x:c r="X448" t="str"/>
      <x:c r="Y448" t="str">
        <x:v>Outbound Call</x:v>
      </x:c>
    </x:row>
    <x:row r="449">
      <x:c r="A449" t="str">
        <x:v>O000448</x:v>
      </x:c>
      <x:c r="B449" s="20" t="n">
        <x:v>46113</x:v>
      </x:c>
      <x:c r="C449" t="str">
        <x:v>C0061</x:v>
      </x:c>
      <x:c r="D449" t="str">
        <x:v>Spice Stores 61</x:v>
      </x:c>
      <x:c r="E449" t="str">
        <x:v>Restaurant</x:v>
      </x:c>
      <x:c r="F449" t="str">
        <x:v>Tumakuru</x:v>
      </x:c>
      <x:c r="G449" t="str">
        <x:v>Ramesh</x:v>
      </x:c>
      <x:c r="H449" t="str">
        <x:v>P047</x:v>
      </x:c>
      <x:c r="I449" t="str">
        <x:v>Tomato 25kg</x:v>
      </x:c>
      <x:c r="J449" t="str">
        <x:v>Fresh Produce</x:v>
      </x:c>
      <x:c r="K449" t="str">
        <x:v>Local Market</x:v>
      </x:c>
      <x:c r="L449" s="22" t="n">
        <x:v>950</x:v>
      </x:c>
      <x:c r="M449" t="n">
        <x:v>38</x:v>
      </x:c>
      <x:c r="N449" s="24" t="n">
        <x:v>0.03</x:v>
      </x:c>
      <x:c r="O449" s="22" t="n">
        <x:f>L449*M449</x:f>
        <x:v>36100</x:v>
      </x:c>
      <x:c r="P449" s="22" t="n">
        <x:f>O449*(1-N449)</x:f>
        <x:v>35017</x:v>
      </x:c>
      <x:c r="Q449" s="22" t="n">
        <x:v>810</x:v>
      </x:c>
      <x:c r="R449" s="22" t="n">
        <x:f>Q449*M449</x:f>
        <x:v>30780</x:v>
      </x:c>
      <x:c r="S449" s="22" t="n">
        <x:f>P449-R449</x:f>
        <x:v>4237</x:v>
      </x:c>
      <x:c r="T449" t="str">
        <x:v>Credit</x:v>
      </x:c>
      <x:c r="U449" t="str">
        <x:v>Paid</x:v>
      </x:c>
      <x:c r="V449" t="str">
        <x:v>Cancelled</x:v>
      </x:c>
      <x:c r="W449" t="n">
        <x:v>38</x:v>
      </x:c>
      <x:c r="X449" t="str">
        <x:v>Cancelled Order</x:v>
      </x:c>
      <x:c r="Y449" t="str">
        <x:v>Field Visit</x:v>
      </x:c>
    </x:row>
    <x:row r="450">
      <x:c r="A450" t="str">
        <x:v>O000449</x:v>
      </x:c>
      <x:c r="B450" s="20" t="n">
        <x:v>45891</x:v>
      </x:c>
      <x:c r="C450" t="str">
        <x:v>C0029</x:v>
      </x:c>
      <x:c r="D450" t="str">
        <x:v>Metro Foods 29</x:v>
      </x:c>
      <x:c r="E450" t="str">
        <x:v>Cafe</x:v>
      </x:c>
      <x:c r="F450" t="str">
        <x:v>Hubballi</x:v>
      </x:c>
      <x:c r="G450" t="str">
        <x:v>Priya</x:v>
      </x:c>
      <x:c r="H450" t="str">
        <x:v>P021</x:v>
      </x:c>
      <x:c r="I450" t="str">
        <x:v>Instant Coffee 200g</x:v>
      </x:c>
      <x:c r="J450" t="str">
        <x:v>Beverage</x:v>
      </x:c>
      <x:c r="K450" t="str">
        <x:v>Nescafe</x:v>
      </x:c>
      <x:c r="L450" s="22" t="n">
        <x:v>460</x:v>
      </x:c>
      <x:c r="M450" t="n">
        <x:v>7</x:v>
      </x:c>
      <x:c r="N450" s="24" t="n">
        <x:v>0</x:v>
      </x:c>
      <x:c r="O450" s="22" t="n">
        <x:f>L450*M450</x:f>
        <x:v>3220</x:v>
      </x:c>
      <x:c r="P450" s="22" t="n">
        <x:f>O450*(1-N450)</x:f>
        <x:v>3220</x:v>
      </x:c>
      <x:c r="Q450" s="22" t="n">
        <x:v>410</x:v>
      </x:c>
      <x:c r="R450" s="22" t="n">
        <x:f>Q450*M450</x:f>
        <x:v>2870</x:v>
      </x:c>
      <x:c r="S450" s="22" t="n">
        <x:f>P450-R450</x:f>
        <x:v>350</x:v>
      </x:c>
      <x:c r="T450" t="str">
        <x:v>Credit</x:v>
      </x:c>
      <x:c r="U450" t="str">
        <x:v>Pending</x:v>
      </x:c>
      <x:c r="V450" t="str">
        <x:v>Delivered</x:v>
      </x:c>
      <x:c r="W450" t="n">
        <x:v>0</x:v>
      </x:c>
      <x:c r="X450" t="str"/>
      <x:c r="Y450" t="str">
        <x:v>Outbound Call</x:v>
      </x:c>
    </x:row>
    <x:row r="451">
      <x:c r="A451" t="str">
        <x:v>O000450</x:v>
      </x:c>
      <x:c r="B451" s="20" t="n">
        <x:v>46104</x:v>
      </x:c>
      <x:c r="C451" t="str">
        <x:v>C0125</x:v>
      </x:c>
      <x:c r="D451" t="str">
        <x:v>Spice Restaurant 125</x:v>
      </x:c>
      <x:c r="E451" t="str">
        <x:v>Kirana</x:v>
      </x:c>
      <x:c r="F451" t="str">
        <x:v>Tumakuru</x:v>
      </x:c>
      <x:c r="G451" t="str">
        <x:v>Ramesh</x:v>
      </x:c>
      <x:c r="H451" t="str">
        <x:v>P004</x:v>
      </x:c>
      <x:c r="I451" t="str">
        <x:v>Toor Dal 5kg</x:v>
      </x:c>
      <x:c r="J451" t="str">
        <x:v>Pulses</x:v>
      </x:c>
      <x:c r="K451" t="str">
        <x:v>Tata Sampann</x:v>
      </x:c>
      <x:c r="L451" s="22" t="n">
        <x:v>780</x:v>
      </x:c>
      <x:c r="M451" t="n">
        <x:v>10</x:v>
      </x:c>
      <x:c r="N451" s="24" t="n">
        <x:v>0</x:v>
      </x:c>
      <x:c r="O451" s="22" t="n">
        <x:f>L451*M451</x:f>
        <x:v>7800</x:v>
      </x:c>
      <x:c r="P451" s="22" t="n">
        <x:f>O451*(1-N451)</x:f>
        <x:v>7800</x:v>
      </x:c>
      <x:c r="Q451" s="22" t="n">
        <x:v>695</x:v>
      </x:c>
      <x:c r="R451" s="22" t="n">
        <x:f>Q451*M451</x:f>
        <x:v>6950</x:v>
      </x:c>
      <x:c r="S451" s="22" t="n">
        <x:f>P451-R451</x:f>
        <x:v>850</x:v>
      </x:c>
      <x:c r="T451" t="str">
        <x:v>Credit</x:v>
      </x:c>
      <x:c r="U451" t="str">
        <x:v>Paid</x:v>
      </x:c>
      <x:c r="V451" t="str">
        <x:v>Delivered</x:v>
      </x:c>
      <x:c r="W451" t="n">
        <x:v>0</x:v>
      </x:c>
      <x:c r="X451" t="str"/>
      <x:c r="Y451" t="str">
        <x:v>Referral</x:v>
      </x:c>
    </x:row>
    <x:row r="452">
      <x:c r="A452" t="str">
        <x:v>O000451</x:v>
      </x:c>
      <x:c r="B452" s="20" t="n">
        <x:v>45865</x:v>
      </x:c>
      <x:c r="C452" t="str">
        <x:v>C0250</x:v>
      </x:c>
      <x:c r="D452" t="str">
        <x:v>Namma Hotel 250</x:v>
      </x:c>
      <x:c r="E452" t="str">
        <x:v>Cafe</x:v>
      </x:c>
      <x:c r="F452" t="str">
        <x:v>Bengaluru</x:v>
      </x:c>
      <x:c r="G452" t="str">
        <x:v>Sneha</x:v>
      </x:c>
      <x:c r="H452" t="str">
        <x:v>P018</x:v>
      </x:c>
      <x:c r="I452" t="str">
        <x:v>Paneer 1kg</x:v>
      </x:c>
      <x:c r="J452" t="str">
        <x:v>Dairy</x:v>
      </x:c>
      <x:c r="K452" t="str">
        <x:v>Milky Mist</x:v>
      </x:c>
      <x:c r="L452" s="22" t="n">
        <x:v>410</x:v>
      </x:c>
      <x:c r="M452" t="n">
        <x:v>22</x:v>
      </x:c>
      <x:c r="N452" s="24" t="n">
        <x:v>0</x:v>
      </x:c>
      <x:c r="O452" s="22" t="n">
        <x:f>L452*M452</x:f>
        <x:v>9020</x:v>
      </x:c>
      <x:c r="P452" s="22" t="n">
        <x:f>O452*(1-N452)</x:f>
        <x:v>9020</x:v>
      </x:c>
      <x:c r="Q452" s="22" t="n">
        <x:v>370</x:v>
      </x:c>
      <x:c r="R452" s="22" t="n">
        <x:f>Q452*M452</x:f>
        <x:v>8140</x:v>
      </x:c>
      <x:c r="S452" s="22" t="n">
        <x:f>P452-R452</x:f>
        <x:v>880</x:v>
      </x:c>
      <x:c r="T452" t="str">
        <x:v>UPI</x:v>
      </x:c>
      <x:c r="U452" t="str">
        <x:v>Paid</x:v>
      </x:c>
      <x:c r="V452" t="str">
        <x:v>Delivered</x:v>
      </x:c>
      <x:c r="W452" t="n">
        <x:v>0</x:v>
      </x:c>
      <x:c r="X452" t="str"/>
      <x:c r="Y452" t="str">
        <x:v>WhatsApp</x:v>
      </x:c>
    </x:row>
    <x:row r="453">
      <x:c r="A453" t="str">
        <x:v>O000452</x:v>
      </x:c>
      <x:c r="B453" s="20" t="n">
        <x:v>45883</x:v>
      </x:c>
      <x:c r="C453" t="str">
        <x:v>C0195</x:v>
      </x:c>
      <x:c r="D453" t="str">
        <x:v>Classic Stores 195</x:v>
      </x:c>
      <x:c r="E453" t="str">
        <x:v>Canteen</x:v>
      </x:c>
      <x:c r="F453" t="str">
        <x:v>Davanagere</x:v>
      </x:c>
      <x:c r="G453" t="str">
        <x:v>Kavya</x:v>
      </x:c>
      <x:c r="H453" t="str">
        <x:v>P022</x:v>
      </x:c>
      <x:c r="I453" t="str">
        <x:v>Mineral Water 1L</x:v>
      </x:c>
      <x:c r="J453" t="str">
        <x:v>Beverage</x:v>
      </x:c>
      <x:c r="K453" t="str">
        <x:v>Bisleri</x:v>
      </x:c>
      <x:c r="L453" s="22" t="n">
        <x:v>19</x:v>
      </x:c>
      <x:c r="M453" t="n">
        <x:v>19</x:v>
      </x:c>
      <x:c r="N453" s="24" t="n">
        <x:v>0.05</x:v>
      </x:c>
      <x:c r="O453" s="22" t="n">
        <x:f>L453*M453</x:f>
        <x:v>361</x:v>
      </x:c>
      <x:c r="P453" s="22" t="n">
        <x:f>O453*(1-N453)</x:f>
        <x:v>342.95</x:v>
      </x:c>
      <x:c r="Q453" s="22" t="n">
        <x:v>15</x:v>
      </x:c>
      <x:c r="R453" s="22" t="n">
        <x:f>Q453*M453</x:f>
        <x:v>285</x:v>
      </x:c>
      <x:c r="S453" s="22" t="n">
        <x:f>P453-R453</x:f>
        <x:v>57.94999999999999</x:v>
      </x:c>
      <x:c r="T453" t="str">
        <x:v>Bank Transfer</x:v>
      </x:c>
      <x:c r="U453" t="str">
        <x:v>Paid</x:v>
      </x:c>
      <x:c r="V453" t="str">
        <x:v>Delayed</x:v>
      </x:c>
      <x:c r="W453" t="n">
        <x:v>0</x:v>
      </x:c>
      <x:c r="X453" t="str"/>
      <x:c r="Y453" t="str">
        <x:v>Referral</x:v>
      </x:c>
    </x:row>
    <x:row r="454">
      <x:c r="A454" t="str">
        <x:v>O000453</x:v>
      </x:c>
      <x:c r="B454" s="20" t="n">
        <x:v>46158</x:v>
      </x:c>
      <x:c r="C454" t="str">
        <x:v>C0220</x:v>
      </x:c>
      <x:c r="D454" t="str">
        <x:v>Udupi Canteen 220</x:v>
      </x:c>
      <x:c r="E454" t="str">
        <x:v>Restaurant</x:v>
      </x:c>
      <x:c r="F454" t="str">
        <x:v>Bengaluru</x:v>
      </x:c>
      <x:c r="G454" t="str">
        <x:v>Sneha</x:v>
      </x:c>
      <x:c r="H454" t="str">
        <x:v>P034</x:v>
      </x:c>
      <x:c r="I454" t="str">
        <x:v>Chilli Powder 1kg</x:v>
      </x:c>
      <x:c r="J454" t="str">
        <x:v>Spices</x:v>
      </x:c>
      <x:c r="K454" t="str">
        <x:v>MDH</x:v>
      </x:c>
      <x:c r="L454" s="22" t="n">
        <x:v>340</x:v>
      </x:c>
      <x:c r="M454" t="n">
        <x:v>14</x:v>
      </x:c>
      <x:c r="N454" s="24" t="n">
        <x:v>0.03</x:v>
      </x:c>
      <x:c r="O454" s="22" t="n">
        <x:f>L454*M454</x:f>
        <x:v>4760</x:v>
      </x:c>
      <x:c r="P454" s="22" t="n">
        <x:f>O454*(1-N454)</x:f>
        <x:v>4617.2</x:v>
      </x:c>
      <x:c r="Q454" s="22" t="n">
        <x:v>295</x:v>
      </x:c>
      <x:c r="R454" s="22" t="n">
        <x:f>Q454*M454</x:f>
        <x:v>4130</x:v>
      </x:c>
      <x:c r="S454" s="22" t="n">
        <x:f>P454-R454</x:f>
        <x:v>487.1999999999998</x:v>
      </x:c>
      <x:c r="T454" t="str">
        <x:v>Credit</x:v>
      </x:c>
      <x:c r="U454" t="str">
        <x:v>Paid</x:v>
      </x:c>
      <x:c r="V454" t="str">
        <x:v>Cancelled</x:v>
      </x:c>
      <x:c r="W454" t="n">
        <x:v>14</x:v>
      </x:c>
      <x:c r="X454" t="str">
        <x:v>Cancelled Order</x:v>
      </x:c>
      <x:c r="Y454" t="str">
        <x:v>WhatsApp</x:v>
      </x:c>
    </x:row>
    <x:row r="455">
      <x:c r="A455" t="str">
        <x:v>O000454</x:v>
      </x:c>
      <x:c r="B455" s="20" t="n">
        <x:v>45993</x:v>
      </x:c>
      <x:c r="C455" t="str">
        <x:v>C0064</x:v>
      </x:c>
      <x:c r="D455" t="str">
        <x:v>Hotel Restaurant 64</x:v>
      </x:c>
      <x:c r="E455" t="str">
        <x:v>Cafe</x:v>
      </x:c>
      <x:c r="F455" t="str">
        <x:v>Mangaluru</x:v>
      </x:c>
      <x:c r="G455" t="str">
        <x:v>Imran</x:v>
      </x:c>
      <x:c r="H455" t="str">
        <x:v>P016</x:v>
      </x:c>
      <x:c r="I455" t="str">
        <x:v>Curd 1kg</x:v>
      </x:c>
      <x:c r="J455" t="str">
        <x:v>Dairy</x:v>
      </x:c>
      <x:c r="K455" t="str">
        <x:v>Nandini</x:v>
      </x:c>
      <x:c r="L455" s="22" t="n">
        <x:v>72</x:v>
      </x:c>
      <x:c r="M455" t="n">
        <x:v>28</x:v>
      </x:c>
      <x:c r="N455" s="24" t="n">
        <x:v>0.03</x:v>
      </x:c>
      <x:c r="O455" s="22" t="n">
        <x:f>L455*M455</x:f>
        <x:v>2016</x:v>
      </x:c>
      <x:c r="P455" s="22" t="n">
        <x:f>O455*(1-N455)</x:f>
        <x:v>1955.52</x:v>
      </x:c>
      <x:c r="Q455" s="22" t="n">
        <x:v>64</x:v>
      </x:c>
      <x:c r="R455" s="22" t="n">
        <x:f>Q455*M455</x:f>
        <x:v>1792</x:v>
      </x:c>
      <x:c r="S455" s="22" t="n">
        <x:f>P455-R455</x:f>
        <x:v>163.51999999999998</x:v>
      </x:c>
      <x:c r="T455" t="str">
        <x:v>Bank Transfer</x:v>
      </x:c>
      <x:c r="U455" t="str">
        <x:v>Pending</x:v>
      </x:c>
      <x:c r="V455" t="str">
        <x:v>Delivered</x:v>
      </x:c>
      <x:c r="W455" t="n">
        <x:v>0</x:v>
      </x:c>
      <x:c r="X455" t="str"/>
      <x:c r="Y455" t="str">
        <x:v>Outbound Call</x:v>
      </x:c>
    </x:row>
    <x:row r="456">
      <x:c r="A456" t="str">
        <x:v>O000455</x:v>
      </x:c>
      <x:c r="B456" s="20" t="n">
        <x:v>46174</x:v>
      </x:c>
      <x:c r="C456" t="str">
        <x:v>C0121</x:v>
      </x:c>
      <x:c r="D456" t="str">
        <x:v>Mysore Restaurant 121</x:v>
      </x:c>
      <x:c r="E456" t="str">
        <x:v>Cafe</x:v>
      </x:c>
      <x:c r="F456" t="str">
        <x:v>Mysuru</x:v>
      </x:c>
      <x:c r="G456" t="str">
        <x:v>Sneha</x:v>
      </x:c>
      <x:c r="H456" t="str">
        <x:v>P047</x:v>
      </x:c>
      <x:c r="I456" t="str">
        <x:v>Tomato 25kg</x:v>
      </x:c>
      <x:c r="J456" t="str">
        <x:v>Fresh Produce</x:v>
      </x:c>
      <x:c r="K456" t="str">
        <x:v>Local Market</x:v>
      </x:c>
      <x:c r="L456" s="22" t="n">
        <x:v>950</x:v>
      </x:c>
      <x:c r="M456" t="n">
        <x:v>3</x:v>
      </x:c>
      <x:c r="N456" s="24" t="n">
        <x:v>0.03</x:v>
      </x:c>
      <x:c r="O456" s="22" t="n">
        <x:f>L456*M456</x:f>
        <x:v>2850</x:v>
      </x:c>
      <x:c r="P456" s="22" t="n">
        <x:f>O456*(1-N456)</x:f>
        <x:v>2764.5</x:v>
      </x:c>
      <x:c r="Q456" s="22" t="n">
        <x:v>810</x:v>
      </x:c>
      <x:c r="R456" s="22" t="n">
        <x:f>Q456*M456</x:f>
        <x:v>2430</x:v>
      </x:c>
      <x:c r="S456" s="22" t="n">
        <x:f>P456-R456</x:f>
        <x:v>334.5</x:v>
      </x:c>
      <x:c r="T456" t="str">
        <x:v>Credit</x:v>
      </x:c>
      <x:c r="U456" t="str">
        <x:v>Paid</x:v>
      </x:c>
      <x:c r="V456" t="str">
        <x:v>Cancelled</x:v>
      </x:c>
      <x:c r="W456" t="n">
        <x:v>3</x:v>
      </x:c>
      <x:c r="X456" t="str">
        <x:v>Cancelled Order</x:v>
      </x:c>
      <x:c r="Y456" t="str">
        <x:v>Outbound Call</x:v>
      </x:c>
    </x:row>
    <x:row r="457">
      <x:c r="A457" t="str">
        <x:v>O000456</x:v>
      </x:c>
      <x:c r="B457" s="20" t="n">
        <x:v>46229</x:v>
      </x:c>
      <x:c r="C457" t="str">
        <x:v>C0062</x:v>
      </x:c>
      <x:c r="D457" t="str">
        <x:v>Foodie Hotel 62</x:v>
      </x:c>
      <x:c r="E457" t="str">
        <x:v>Cafe</x:v>
      </x:c>
      <x:c r="F457" t="str">
        <x:v>Mysuru</x:v>
      </x:c>
      <x:c r="G457" t="str">
        <x:v>Vikram</x:v>
      </x:c>
      <x:c r="H457" t="str">
        <x:v>P006</x:v>
      </x:c>
      <x:c r="I457" t="str">
        <x:v>Moong Dal 5kg</x:v>
      </x:c>
      <x:c r="J457" t="str">
        <x:v>Pulses</x:v>
      </x:c>
      <x:c r="K457" t="str">
        <x:v>Local Select</x:v>
      </x:c>
      <x:c r="L457" s="22" t="n">
        <x:v>610</x:v>
      </x:c>
      <x:c r="M457" t="n">
        <x:v>1</x:v>
      </x:c>
      <x:c r="N457" s="24" t="n">
        <x:v>0.05</x:v>
      </x:c>
      <x:c r="O457" s="22" t="n">
        <x:f>L457*M457</x:f>
        <x:v>610</x:v>
      </x:c>
      <x:c r="P457" s="22" t="n">
        <x:f>O457*(1-N457)</x:f>
        <x:v>579.5</x:v>
      </x:c>
      <x:c r="Q457" s="22" t="n">
        <x:v>540</x:v>
      </x:c>
      <x:c r="R457" s="22" t="n">
        <x:f>Q457*M457</x:f>
        <x:v>540</x:v>
      </x:c>
      <x:c r="S457" s="22" t="n">
        <x:f>P457-R457</x:f>
        <x:v>39.5</x:v>
      </x:c>
      <x:c r="T457" t="str">
        <x:v>Credit</x:v>
      </x:c>
      <x:c r="U457" t="str">
        <x:v>Overdue</x:v>
      </x:c>
      <x:c r="V457" t="str">
        <x:v>Delivered</x:v>
      </x:c>
      <x:c r="W457" t="n">
        <x:v>0</x:v>
      </x:c>
      <x:c r="X457" t="str"/>
      <x:c r="Y457" t="str">
        <x:v>Referral</x:v>
      </x:c>
    </x:row>
    <x:row r="458">
      <x:c r="A458" t="str">
        <x:v>O000457</x:v>
      </x:c>
      <x:c r="B458" s="20" t="n">
        <x:v>46149</x:v>
      </x:c>
      <x:c r="C458" t="str">
        <x:v>C0024</x:v>
      </x:c>
      <x:c r="D458" t="str">
        <x:v>Darshini Restaurant 24</x:v>
      </x:c>
      <x:c r="E458" t="str">
        <x:v>Restaurant</x:v>
      </x:c>
      <x:c r="F458" t="str">
        <x:v>Davanagere</x:v>
      </x:c>
      <x:c r="G458" t="str">
        <x:v>Sneha</x:v>
      </x:c>
      <x:c r="H458" t="str">
        <x:v>P002</x:v>
      </x:c>
      <x:c r="I458" t="str">
        <x:v>Sona Masoori Rice 25kg</x:v>
      </x:c>
      <x:c r="J458" t="str">
        <x:v>Staples</x:v>
      </x:c>
      <x:c r="K458" t="str">
        <x:v>Fortune</x:v>
      </x:c>
      <x:c r="L458" s="22" t="n">
        <x:v>1320</x:v>
      </x:c>
      <x:c r="M458" t="n">
        <x:v>3</x:v>
      </x:c>
      <x:c r="N458" s="24" t="n">
        <x:v>0.05</x:v>
      </x:c>
      <x:c r="O458" s="22" t="n">
        <x:f>L458*M458</x:f>
        <x:v>3960</x:v>
      </x:c>
      <x:c r="P458" s="22" t="n">
        <x:f>O458*(1-N458)</x:f>
        <x:v>3762</x:v>
      </x:c>
      <x:c r="Q458" s="22" t="n">
        <x:v>1160</x:v>
      </x:c>
      <x:c r="R458" s="22" t="n">
        <x:f>Q458*M458</x:f>
        <x:v>3480</x:v>
      </x:c>
      <x:c r="S458" s="22" t="n">
        <x:f>P458-R458</x:f>
        <x:v>282</x:v>
      </x:c>
      <x:c r="T458" t="str">
        <x:v>UPI</x:v>
      </x:c>
      <x:c r="U458" t="str">
        <x:v>Overdue</x:v>
      </x:c>
      <x:c r="V458" t="str">
        <x:v>Delivered</x:v>
      </x:c>
      <x:c r="W458" t="n">
        <x:v>0</x:v>
      </x:c>
      <x:c r="X458" t="str"/>
      <x:c r="Y458" t="str">
        <x:v>WhatsApp</x:v>
      </x:c>
    </x:row>
    <x:row r="459">
      <x:c r="A459" t="str">
        <x:v>O000458</x:v>
      </x:c>
      <x:c r="B459" s="20" t="n">
        <x:v>46133</x:v>
      </x:c>
      <x:c r="C459" t="str">
        <x:v>C0224</x:v>
      </x:c>
      <x:c r="D459" t="str">
        <x:v>Royal Foods 224</x:v>
      </x:c>
      <x:c r="E459" t="str">
        <x:v>Canteen</x:v>
      </x:c>
      <x:c r="F459" t="str">
        <x:v>Tumakuru</x:v>
      </x:c>
      <x:c r="G459" t="str">
        <x:v>Arjun</x:v>
      </x:c>
      <x:c r="H459" t="str">
        <x:v>P024</x:v>
      </x:c>
      <x:c r="I459" t="str">
        <x:v>Orange Drink 1L</x:v>
      </x:c>
      <x:c r="J459" t="str">
        <x:v>Beverage</x:v>
      </x:c>
      <x:c r="K459" t="str">
        <x:v>Minute Maid</x:v>
      </x:c>
      <x:c r="L459" s="22" t="n">
        <x:v>105</x:v>
      </x:c>
      <x:c r="M459" t="n">
        <x:v>1</x:v>
      </x:c>
      <x:c r="N459" s="24" t="n">
        <x:v>0.08</x:v>
      </x:c>
      <x:c r="O459" s="22" t="n">
        <x:f>L459*M459</x:f>
        <x:v>105</x:v>
      </x:c>
      <x:c r="P459" s="22" t="n">
        <x:f>O459*(1-N459)</x:f>
        <x:v>96.60000000000001</x:v>
      </x:c>
      <x:c r="Q459" s="22" t="n">
        <x:v>88</x:v>
      </x:c>
      <x:c r="R459" s="22" t="n">
        <x:f>Q459*M459</x:f>
        <x:v>88</x:v>
      </x:c>
      <x:c r="S459" s="22" t="n">
        <x:f>P459-R459</x:f>
        <x:v>8.600000000000009</x:v>
      </x:c>
      <x:c r="T459" t="str">
        <x:v>UPI</x:v>
      </x:c>
      <x:c r="U459" t="str">
        <x:v>Paid</x:v>
      </x:c>
      <x:c r="V459" t="str">
        <x:v>Cancelled</x:v>
      </x:c>
      <x:c r="W459" t="n">
        <x:v>1</x:v>
      </x:c>
      <x:c r="X459" t="str">
        <x:v>Cancelled Order</x:v>
      </x:c>
      <x:c r="Y459" t="str">
        <x:v>Field Visit</x:v>
      </x:c>
    </x:row>
    <x:row r="460">
      <x:c r="A460" t="str">
        <x:v>O000459</x:v>
      </x:c>
      <x:c r="B460" s="20" t="n">
        <x:v>45934</x:v>
      </x:c>
      <x:c r="C460" t="str">
        <x:v>C0076</x:v>
      </x:c>
      <x:c r="D460" t="str">
        <x:v>Sri Canteen 76</x:v>
      </x:c>
      <x:c r="E460" t="str">
        <x:v>Canteen</x:v>
      </x:c>
      <x:c r="F460" t="str">
        <x:v>Tumakuru</x:v>
      </x:c>
      <x:c r="G460" t="str">
        <x:v>Priya</x:v>
      </x:c>
      <x:c r="H460" t="str">
        <x:v>P028</x:v>
      </x:c>
      <x:c r="I460" t="str">
        <x:v>Cookies 200g</x:v>
      </x:c>
      <x:c r="J460" t="str">
        <x:v>Snacks</x:v>
      </x:c>
      <x:c r="K460" t="str">
        <x:v>Britannia</x:v>
      </x:c>
      <x:c r="L460" s="22" t="n">
        <x:v>55</x:v>
      </x:c>
      <x:c r="M460" t="n">
        <x:v>40</x:v>
      </x:c>
      <x:c r="N460" s="24" t="n">
        <x:v>0.03</x:v>
      </x:c>
      <x:c r="O460" s="22" t="n">
        <x:f>L460*M460</x:f>
        <x:v>2200</x:v>
      </x:c>
      <x:c r="P460" s="22" t="n">
        <x:f>O460*(1-N460)</x:f>
        <x:v>2134</x:v>
      </x:c>
      <x:c r="Q460" s="22" t="n">
        <x:v>42</x:v>
      </x:c>
      <x:c r="R460" s="22" t="n">
        <x:f>Q460*M460</x:f>
        <x:v>1680</x:v>
      </x:c>
      <x:c r="S460" s="22" t="n">
        <x:f>P460-R460</x:f>
        <x:v>454</x:v>
      </x:c>
      <x:c r="T460" t="str">
        <x:v>Bank Transfer</x:v>
      </x:c>
      <x:c r="U460" t="str">
        <x:v>Pending</x:v>
      </x:c>
      <x:c r="V460" t="str">
        <x:v>Delivered</x:v>
      </x:c>
      <x:c r="W460" t="n">
        <x:v>0</x:v>
      </x:c>
      <x:c r="X460" t="str"/>
      <x:c r="Y460" t="str">
        <x:v>Field Visit</x:v>
      </x:c>
    </x:row>
    <x:row r="461">
      <x:c r="A461" t="str">
        <x:v>O000460</x:v>
      </x:c>
      <x:c r="B461" s="20" t="n">
        <x:v>46030</x:v>
      </x:c>
      <x:c r="C461" t="str">
        <x:v>C0015</x:v>
      </x:c>
      <x:c r="D461" t="str">
        <x:v>Royal Foods 15</x:v>
      </x:c>
      <x:c r="E461" t="str">
        <x:v>Cafe</x:v>
      </x:c>
      <x:c r="F461" t="str">
        <x:v>Mysuru</x:v>
      </x:c>
      <x:c r="G461" t="str">
        <x:v>Ramesh</x:v>
      </x:c>
      <x:c r="H461" t="str">
        <x:v>P033</x:v>
      </x:c>
      <x:c r="I461" t="str">
        <x:v>Turmeric Powder 1kg</x:v>
      </x:c>
      <x:c r="J461" t="str">
        <x:v>Spices</x:v>
      </x:c>
      <x:c r="K461" t="str">
        <x:v>Everest</x:v>
      </x:c>
      <x:c r="L461" s="22" t="n">
        <x:v>310</x:v>
      </x:c>
      <x:c r="M461" t="n">
        <x:v>4</x:v>
      </x:c>
      <x:c r="N461" s="24" t="n">
        <x:v>0</x:v>
      </x:c>
      <x:c r="O461" s="22" t="n">
        <x:f>L461*M461</x:f>
        <x:v>1240</x:v>
      </x:c>
      <x:c r="P461" s="22" t="n">
        <x:f>O461*(1-N461)</x:f>
        <x:v>1240</x:v>
      </x:c>
      <x:c r="Q461" s="22" t="n">
        <x:v>270</x:v>
      </x:c>
      <x:c r="R461" s="22" t="n">
        <x:f>Q461*M461</x:f>
        <x:v>1080</x:v>
      </x:c>
      <x:c r="S461" s="22" t="n">
        <x:f>P461-R461</x:f>
        <x:v>160</x:v>
      </x:c>
      <x:c r="T461" t="str">
        <x:v>Cash</x:v>
      </x:c>
      <x:c r="U461" t="str">
        <x:v>Paid</x:v>
      </x:c>
      <x:c r="V461" t="str">
        <x:v>Delivered</x:v>
      </x:c>
      <x:c r="W461" t="n">
        <x:v>0</x:v>
      </x:c>
      <x:c r="X461" t="str"/>
      <x:c r="Y461" t="str">
        <x:v>Referral</x:v>
      </x:c>
    </x:row>
    <x:row r="462">
      <x:c r="A462" t="str">
        <x:v>O000461</x:v>
      </x:c>
      <x:c r="B462" s="20" t="n">
        <x:v>46232</x:v>
      </x:c>
      <x:c r="C462" t="str">
        <x:v>C0181</x:v>
      </x:c>
      <x:c r="D462" t="str">
        <x:v>Darshini Mart 181</x:v>
      </x:c>
      <x:c r="E462" t="str">
        <x:v>Restaurant</x:v>
      </x:c>
      <x:c r="F462" t="str">
        <x:v>Mangaluru</x:v>
      </x:c>
      <x:c r="G462" t="str">
        <x:v>Kavya</x:v>
      </x:c>
      <x:c r="H462" t="str">
        <x:v>P005</x:v>
      </x:c>
      <x:c r="I462" t="str">
        <x:v>Chana Dal 5kg</x:v>
      </x:c>
      <x:c r="J462" t="str">
        <x:v>Pulses</x:v>
      </x:c>
      <x:c r="K462" t="str">
        <x:v>Local Select</x:v>
      </x:c>
      <x:c r="L462" s="22" t="n">
        <x:v>520</x:v>
      </x:c>
      <x:c r="M462" t="n">
        <x:v>14</x:v>
      </x:c>
      <x:c r="N462" s="24" t="n">
        <x:v>0</x:v>
      </x:c>
      <x:c r="O462" s="22" t="n">
        <x:f>L462*M462</x:f>
        <x:v>7280</x:v>
      </x:c>
      <x:c r="P462" s="22" t="n">
        <x:f>O462*(1-N462)</x:f>
        <x:v>7280</x:v>
      </x:c>
      <x:c r="Q462" s="22" t="n">
        <x:v>455</x:v>
      </x:c>
      <x:c r="R462" s="22" t="n">
        <x:f>Q462*M462</x:f>
        <x:v>6370</x:v>
      </x:c>
      <x:c r="S462" s="22" t="n">
        <x:f>P462-R462</x:f>
        <x:v>910</x:v>
      </x:c>
      <x:c r="T462" t="str">
        <x:v>Cash</x:v>
      </x:c>
      <x:c r="U462" t="str">
        <x:v>Paid</x:v>
      </x:c>
      <x:c r="V462" t="str">
        <x:v>Delivered</x:v>
      </x:c>
      <x:c r="W462" t="n">
        <x:v>0</x:v>
      </x:c>
      <x:c r="X462" t="str"/>
      <x:c r="Y462" t="str">
        <x:v>Existing Customer</x:v>
      </x:c>
    </x:row>
    <x:row r="463">
      <x:c r="A463" t="str">
        <x:v>O000462</x:v>
      </x:c>
      <x:c r="B463" s="20" t="n">
        <x:v>45888</x:v>
      </x:c>
      <x:c r="C463" t="str">
        <x:v>C0180</x:v>
      </x:c>
      <x:c r="D463" t="str">
        <x:v>Sri Kitchen 180</x:v>
      </x:c>
      <x:c r="E463" t="str">
        <x:v>Kirana</x:v>
      </x:c>
      <x:c r="F463" t="str">
        <x:v>Mysuru</x:v>
      </x:c>
      <x:c r="G463" t="str">
        <x:v>Vikram</x:v>
      </x:c>
      <x:c r="H463" t="str">
        <x:v>P014</x:v>
      </x:c>
      <x:c r="I463" t="str">
        <x:v>Rava 5kg</x:v>
      </x:c>
      <x:c r="J463" t="str">
        <x:v>Flour</x:v>
      </x:c>
      <x:c r="K463" t="str">
        <x:v>Local Select</x:v>
      </x:c>
      <x:c r="L463" s="22" t="n">
        <x:v>245</x:v>
      </x:c>
      <x:c r="M463" t="n">
        <x:v>21</x:v>
      </x:c>
      <x:c r="N463" s="24" t="n">
        <x:v>0.02</x:v>
      </x:c>
      <x:c r="O463" s="22" t="n">
        <x:f>L463*M463</x:f>
        <x:v>5145</x:v>
      </x:c>
      <x:c r="P463" s="22" t="n">
        <x:f>O463*(1-N463)</x:f>
        <x:v>5042.099999999999</x:v>
      </x:c>
      <x:c r="Q463" s="22" t="n">
        <x:v>215</x:v>
      </x:c>
      <x:c r="R463" s="22" t="n">
        <x:f>Q463*M463</x:f>
        <x:v>4515</x:v>
      </x:c>
      <x:c r="S463" s="22" t="n">
        <x:f>P463-R463</x:f>
        <x:v>527.0999999999995</x:v>
      </x:c>
      <x:c r="T463" t="str">
        <x:v>Cash</x:v>
      </x:c>
      <x:c r="U463" t="str">
        <x:v>Paid</x:v>
      </x:c>
      <x:c r="V463" t="str">
        <x:v>Delivered</x:v>
      </x:c>
      <x:c r="W463" t="n">
        <x:v>0</x:v>
      </x:c>
      <x:c r="X463" t="str"/>
      <x:c r="Y463" t="str">
        <x:v>Outbound Call</x:v>
      </x:c>
    </x:row>
    <x:row r="464">
      <x:c r="A464" t="str">
        <x:v>O000463</x:v>
      </x:c>
      <x:c r="B464" s="20" t="n">
        <x:v>46171</x:v>
      </x:c>
      <x:c r="C464" t="str">
        <x:v>C0116</x:v>
      </x:c>
      <x:c r="D464" t="str">
        <x:v>Classic Foods 116</x:v>
      </x:c>
      <x:c r="E464" t="str">
        <x:v>Supermarket</x:v>
      </x:c>
      <x:c r="F464" t="str">
        <x:v>Davanagere</x:v>
      </x:c>
      <x:c r="G464" t="str">
        <x:v>Megha</x:v>
      </x:c>
      <x:c r="H464" t="str">
        <x:v>P032</x:v>
      </x:c>
      <x:c r="I464" t="str">
        <x:v>Soy Sauce 700g</x:v>
      </x:c>
      <x:c r="J464" t="str">
        <x:v>Condiments</x:v>
      </x:c>
      <x:c r="K464" t="str">
        <x:v>Ching's</x:v>
      </x:c>
      <x:c r="L464" s="22" t="n">
        <x:v>118</x:v>
      </x:c>
      <x:c r="M464" t="n">
        <x:v>34</x:v>
      </x:c>
      <x:c r="N464" s="24" t="n">
        <x:v>0.05</x:v>
      </x:c>
      <x:c r="O464" s="22" t="n">
        <x:f>L464*M464</x:f>
        <x:v>4012</x:v>
      </x:c>
      <x:c r="P464" s="22" t="n">
        <x:f>O464*(1-N464)</x:f>
        <x:v>3811.3999999999996</x:v>
      </x:c>
      <x:c r="Q464" s="22" t="n">
        <x:v>101</x:v>
      </x:c>
      <x:c r="R464" s="22" t="n">
        <x:f>Q464*M464</x:f>
        <x:v>3434</x:v>
      </x:c>
      <x:c r="S464" s="22" t="n">
        <x:f>P464-R464</x:f>
        <x:v>377.39999999999964</x:v>
      </x:c>
      <x:c r="T464" t="str">
        <x:v>Credit</x:v>
      </x:c>
      <x:c r="U464" t="str">
        <x:v>Paid</x:v>
      </x:c>
      <x:c r="V464" t="str">
        <x:v>Cancelled</x:v>
      </x:c>
      <x:c r="W464" t="n">
        <x:v>34</x:v>
      </x:c>
      <x:c r="X464" t="str">
        <x:v>Cancelled Order</x:v>
      </x:c>
      <x:c r="Y464" t="str">
        <x:v>Existing Customer</x:v>
      </x:c>
    </x:row>
    <x:row r="465">
      <x:c r="A465" t="str">
        <x:v>O000464</x:v>
      </x:c>
      <x:c r="B465" s="20" t="n">
        <x:v>46034</x:v>
      </x:c>
      <x:c r="C465" t="str">
        <x:v>C0116</x:v>
      </x:c>
      <x:c r="D465" t="str">
        <x:v>Classic Foods 116</x:v>
      </x:c>
      <x:c r="E465" t="str">
        <x:v>Supermarket</x:v>
      </x:c>
      <x:c r="F465" t="str">
        <x:v>Davanagere</x:v>
      </x:c>
      <x:c r="G465" t="str">
        <x:v>Megha</x:v>
      </x:c>
      <x:c r="H465" t="str">
        <x:v>P040</x:v>
      </x:c>
      <x:c r="I465" t="str">
        <x:v>Bread Loaf 400g</x:v>
      </x:c>
      <x:c r="J465" t="str">
        <x:v>Bakery</x:v>
      </x:c>
      <x:c r="K465" t="str">
        <x:v>Britannia</x:v>
      </x:c>
      <x:c r="L465" s="22" t="n">
        <x:v>45</x:v>
      </x:c>
      <x:c r="M465" t="n">
        <x:v>5</x:v>
      </x:c>
      <x:c r="N465" s="24" t="n">
        <x:v>0</x:v>
      </x:c>
      <x:c r="O465" s="22" t="n">
        <x:f>L465*M465</x:f>
        <x:v>225</x:v>
      </x:c>
      <x:c r="P465" s="22" t="n">
        <x:f>O465*(1-N465)</x:f>
        <x:v>225</x:v>
      </x:c>
      <x:c r="Q465" s="22" t="n">
        <x:v>35</x:v>
      </x:c>
      <x:c r="R465" s="22" t="n">
        <x:f>Q465*M465</x:f>
        <x:v>175</x:v>
      </x:c>
      <x:c r="S465" s="22" t="n">
        <x:f>P465-R465</x:f>
        <x:v>50</x:v>
      </x:c>
      <x:c r="T465" t="str">
        <x:v>Credit</x:v>
      </x:c>
      <x:c r="U465" t="str">
        <x:v>Paid</x:v>
      </x:c>
      <x:c r="V465" t="str">
        <x:v>Delivered</x:v>
      </x:c>
      <x:c r="W465" t="n">
        <x:v>0</x:v>
      </x:c>
      <x:c r="X465" t="str"/>
      <x:c r="Y465" t="str">
        <x:v>Field Visit</x:v>
      </x:c>
    </x:row>
    <x:row r="466">
      <x:c r="A466" t="str">
        <x:v>O000465</x:v>
      </x:c>
      <x:c r="B466" s="20" t="n">
        <x:v>45826</x:v>
      </x:c>
      <x:c r="C466" t="str">
        <x:v>C0020</x:v>
      </x:c>
      <x:c r="D466" t="str">
        <x:v>Shree Foods 20</x:v>
      </x:c>
      <x:c r="E466" t="str">
        <x:v>Restaurant</x:v>
      </x:c>
      <x:c r="F466" t="str">
        <x:v>Mysuru</x:v>
      </x:c>
      <x:c r="G466" t="str">
        <x:v>Arjun</x:v>
      </x:c>
      <x:c r="H466" t="str">
        <x:v>P007</x:v>
      </x:c>
      <x:c r="I466" t="str">
        <x:v>Sunflower Oil 15L</x:v>
      </x:c>
      <x:c r="J466" t="str">
        <x:v>Edible Oil</x:v>
      </x:c>
      <x:c r="K466" t="str">
        <x:v>Fortune</x:v>
      </x:c>
      <x:c r="L466" s="22" t="n">
        <x:v>1980</x:v>
      </x:c>
      <x:c r="M466" t="n">
        <x:v>2</x:v>
      </x:c>
      <x:c r="N466" s="24" t="n">
        <x:v>0.05</x:v>
      </x:c>
      <x:c r="O466" s="22" t="n">
        <x:f>L466*M466</x:f>
        <x:v>3960</x:v>
      </x:c>
      <x:c r="P466" s="22" t="n">
        <x:f>O466*(1-N466)</x:f>
        <x:v>3762</x:v>
      </x:c>
      <x:c r="Q466" s="22" t="n">
        <x:v>1810</x:v>
      </x:c>
      <x:c r="R466" s="22" t="n">
        <x:f>Q466*M466</x:f>
        <x:v>3620</x:v>
      </x:c>
      <x:c r="S466" s="22" t="n">
        <x:f>P466-R466</x:f>
        <x:v>142</x:v>
      </x:c>
      <x:c r="T466" t="str">
        <x:v>Credit</x:v>
      </x:c>
      <x:c r="U466" t="str">
        <x:v>Paid</x:v>
      </x:c>
      <x:c r="V466" t="str">
        <x:v>Delivered</x:v>
      </x:c>
      <x:c r="W466" t="n">
        <x:v>0</x:v>
      </x:c>
      <x:c r="X466" t="str"/>
      <x:c r="Y466" t="str">
        <x:v>Outbound Call</x:v>
      </x:c>
    </x:row>
    <x:row r="467">
      <x:c r="A467" t="str">
        <x:v>O000466</x:v>
      </x:c>
      <x:c r="B467" s="20" t="n">
        <x:v>46212</x:v>
      </x:c>
      <x:c r="C467" t="str">
        <x:v>C0249</x:v>
      </x:c>
      <x:c r="D467" t="str">
        <x:v>City Hotel 249</x:v>
      </x:c>
      <x:c r="E467" t="str">
        <x:v>Supermarket</x:v>
      </x:c>
      <x:c r="F467" t="str">
        <x:v>Mysuru</x:v>
      </x:c>
      <x:c r="G467" t="str">
        <x:v>Arjun</x:v>
      </x:c>
      <x:c r="H467" t="str">
        <x:v>P044</x:v>
      </x:c>
      <x:c r="I467" t="str">
        <x:v>Chicken Curry Cut 1kg</x:v>
      </x:c>
      <x:c r="J467" t="str">
        <x:v>Protein</x:v>
      </x:c>
      <x:c r="K467" t="str">
        <x:v>FreshToHome</x:v>
      </x:c>
      <x:c r="L467" s="22" t="n">
        <x:v>230</x:v>
      </x:c>
      <x:c r="M467" t="n">
        <x:v>9</x:v>
      </x:c>
      <x:c r="N467" s="24" t="n">
        <x:v>0.03</x:v>
      </x:c>
      <x:c r="O467" s="22" t="n">
        <x:f>L467*M467</x:f>
        <x:v>2070</x:v>
      </x:c>
      <x:c r="P467" s="22" t="n">
        <x:f>O467*(1-N467)</x:f>
        <x:v>2007.8999999999999</x:v>
      </x:c>
      <x:c r="Q467" s="22" t="n">
        <x:v>205</x:v>
      </x:c>
      <x:c r="R467" s="22" t="n">
        <x:f>Q467*M467</x:f>
        <x:v>1845</x:v>
      </x:c>
      <x:c r="S467" s="22" t="n">
        <x:f>P467-R467</x:f>
        <x:v>162.89999999999986</x:v>
      </x:c>
      <x:c r="T467" t="str">
        <x:v>Credit</x:v>
      </x:c>
      <x:c r="U467" t="str">
        <x:v>Paid</x:v>
      </x:c>
      <x:c r="V467" t="str">
        <x:v>Cancelled</x:v>
      </x:c>
      <x:c r="W467" t="n">
        <x:v>9</x:v>
      </x:c>
      <x:c r="X467" t="str">
        <x:v>Cancelled Order</x:v>
      </x:c>
      <x:c r="Y467" t="str">
        <x:v>Outbound Call</x:v>
      </x:c>
    </x:row>
    <x:row r="468">
      <x:c r="A468" t="str">
        <x:v>O000467</x:v>
      </x:c>
      <x:c r="B468" s="20" t="n">
        <x:v>45895</x:v>
      </x:c>
      <x:c r="C468" t="str">
        <x:v>C0017</x:v>
      </x:c>
      <x:c r="D468" t="str">
        <x:v>City Foods 17</x:v>
      </x:c>
      <x:c r="E468" t="str">
        <x:v>Restaurant</x:v>
      </x:c>
      <x:c r="F468" t="str">
        <x:v>Tumakuru</x:v>
      </x:c>
      <x:c r="G468" t="str">
        <x:v>Imran</x:v>
      </x:c>
      <x:c r="H468" t="str">
        <x:v>P002</x:v>
      </x:c>
      <x:c r="I468" t="str">
        <x:v>Sona Masoori Rice 25kg</x:v>
      </x:c>
      <x:c r="J468" t="str">
        <x:v>Staples</x:v>
      </x:c>
      <x:c r="K468" t="str">
        <x:v>Fortune</x:v>
      </x:c>
      <x:c r="L468" s="22" t="n">
        <x:v>1320</x:v>
      </x:c>
      <x:c r="M468" t="n">
        <x:v>11</x:v>
      </x:c>
      <x:c r="N468" s="24" t="n">
        <x:v>0.02</x:v>
      </x:c>
      <x:c r="O468" s="22" t="n">
        <x:f>L468*M468</x:f>
        <x:v>14520</x:v>
      </x:c>
      <x:c r="P468" s="22" t="n">
        <x:f>O468*(1-N468)</x:f>
        <x:v>14229.6</x:v>
      </x:c>
      <x:c r="Q468" s="22" t="n">
        <x:v>1160</x:v>
      </x:c>
      <x:c r="R468" s="22" t="n">
        <x:f>Q468*M468</x:f>
        <x:v>12760</x:v>
      </x:c>
      <x:c r="S468" s="22" t="n">
        <x:f>P468-R468</x:f>
        <x:v>1469.6000000000004</x:v>
      </x:c>
      <x:c r="T468" t="str">
        <x:v>Cash</x:v>
      </x:c>
      <x:c r="U468" t="str">
        <x:v>Paid</x:v>
      </x:c>
      <x:c r="V468" t="str">
        <x:v>Delivered</x:v>
      </x:c>
      <x:c r="W468" t="n">
        <x:v>0</x:v>
      </x:c>
      <x:c r="X468" t="str"/>
      <x:c r="Y468" t="str">
        <x:v>Existing Customer</x:v>
      </x:c>
    </x:row>
    <x:row r="469">
      <x:c r="A469" t="str">
        <x:v>O000468</x:v>
      </x:c>
      <x:c r="B469" s="20" t="n">
        <x:v>45969</x:v>
      </x:c>
      <x:c r="C469" t="str">
        <x:v>C0114</x:v>
      </x:c>
      <x:c r="D469" t="str">
        <x:v>Annapurna Restaurant 114</x:v>
      </x:c>
      <x:c r="E469" t="str">
        <x:v>Restaurant</x:v>
      </x:c>
      <x:c r="F469" t="str">
        <x:v>Davanagere</x:v>
      </x:c>
      <x:c r="G469" t="str">
        <x:v>Arjun</x:v>
      </x:c>
      <x:c r="H469" t="str">
        <x:v>P030</x:v>
      </x:c>
      <x:c r="I469" t="str">
        <x:v>Mayonnaise 1kg</x:v>
      </x:c>
      <x:c r="J469" t="str">
        <x:v>Condiments</x:v>
      </x:c>
      <x:c r="K469" t="str">
        <x:v>Veeba</x:v>
      </x:c>
      <x:c r="L469" s="22" t="n">
        <x:v>210</x:v>
      </x:c>
      <x:c r="M469" t="n">
        <x:v>37</x:v>
      </x:c>
      <x:c r="N469" s="24" t="n">
        <x:v>0</x:v>
      </x:c>
      <x:c r="O469" s="22" t="n">
        <x:f>L469*M469</x:f>
        <x:v>7770</x:v>
      </x:c>
      <x:c r="P469" s="22" t="n">
        <x:f>O469*(1-N469)</x:f>
        <x:v>7770</x:v>
      </x:c>
      <x:c r="Q469" s="22" t="n">
        <x:v>185</x:v>
      </x:c>
      <x:c r="R469" s="22" t="n">
        <x:f>Q469*M469</x:f>
        <x:v>6845</x:v>
      </x:c>
      <x:c r="S469" s="22" t="n">
        <x:f>P469-R469</x:f>
        <x:v>925</x:v>
      </x:c>
      <x:c r="T469" t="str">
        <x:v>Cash</x:v>
      </x:c>
      <x:c r="U469" t="str">
        <x:v>Paid</x:v>
      </x:c>
      <x:c r="V469" t="str">
        <x:v>Delivered</x:v>
      </x:c>
      <x:c r="W469" t="n">
        <x:v>0</x:v>
      </x:c>
      <x:c r="X469" t="str"/>
      <x:c r="Y469" t="str">
        <x:v>Field Visit</x:v>
      </x:c>
    </x:row>
    <x:row r="470">
      <x:c r="A470" t="str">
        <x:v>O000469</x:v>
      </x:c>
      <x:c r="B470" s="20" t="n">
        <x:v>45809</x:v>
      </x:c>
      <x:c r="C470" t="str">
        <x:v>C0198</x:v>
      </x:c>
      <x:c r="D470" t="str">
        <x:v>Royal Canteen 198</x:v>
      </x:c>
      <x:c r="E470" t="str">
        <x:v>Supermarket</x:v>
      </x:c>
      <x:c r="F470" t="str">
        <x:v>Davanagere</x:v>
      </x:c>
      <x:c r="G470" t="str">
        <x:v>Arjun</x:v>
      </x:c>
      <x:c r="H470" t="str">
        <x:v>P004</x:v>
      </x:c>
      <x:c r="I470" t="str">
        <x:v>Toor Dal 5kg</x:v>
      </x:c>
      <x:c r="J470" t="str">
        <x:v>Pulses</x:v>
      </x:c>
      <x:c r="K470" t="str">
        <x:v>Tata Sampann</x:v>
      </x:c>
      <x:c r="L470" s="22" t="n">
        <x:v>780</x:v>
      </x:c>
      <x:c r="M470" t="n">
        <x:v>23</x:v>
      </x:c>
      <x:c r="N470" s="24" t="n">
        <x:v>0.02</x:v>
      </x:c>
      <x:c r="O470" s="22" t="n">
        <x:f>L470*M470</x:f>
        <x:v>17940</x:v>
      </x:c>
      <x:c r="P470" s="22" t="n">
        <x:f>O470*(1-N470)</x:f>
        <x:v>17581.2</x:v>
      </x:c>
      <x:c r="Q470" s="22" t="n">
        <x:v>695</x:v>
      </x:c>
      <x:c r="R470" s="22" t="n">
        <x:f>Q470*M470</x:f>
        <x:v>15985</x:v>
      </x:c>
      <x:c r="S470" s="22" t="n">
        <x:f>P470-R470</x:f>
        <x:v>1596.2000000000007</x:v>
      </x:c>
      <x:c r="T470" t="str">
        <x:v>Bank Transfer</x:v>
      </x:c>
      <x:c r="U470" t="str">
        <x:v>Paid</x:v>
      </x:c>
      <x:c r="V470" t="str">
        <x:v>Delivered</x:v>
      </x:c>
      <x:c r="W470" t="n">
        <x:v>0</x:v>
      </x:c>
      <x:c r="X470" t="str"/>
      <x:c r="Y470" t="str">
        <x:v>Field Visit</x:v>
      </x:c>
    </x:row>
    <x:row r="471">
      <x:c r="A471" t="str">
        <x:v>O000470</x:v>
      </x:c>
      <x:c r="B471" s="20" t="n">
        <x:v>45815</x:v>
      </x:c>
      <x:c r="C471" t="str">
        <x:v>C0045</x:v>
      </x:c>
      <x:c r="D471" t="str">
        <x:v>Annapurna Restaurant 45</x:v>
      </x:c>
      <x:c r="E471" t="str">
        <x:v>Kirana</x:v>
      </x:c>
      <x:c r="F471" t="str">
        <x:v>Mysuru</x:v>
      </x:c>
      <x:c r="G471" t="str">
        <x:v>Arjun</x:v>
      </x:c>
      <x:c r="H471" t="str">
        <x:v>P046</x:v>
      </x:c>
      <x:c r="I471" t="str">
        <x:v>Potato 25kg</x:v>
      </x:c>
      <x:c r="J471" t="str">
        <x:v>Fresh Produce</x:v>
      </x:c>
      <x:c r="K471" t="str">
        <x:v>Local Market</x:v>
      </x:c>
      <x:c r="L471" s="22" t="n">
        <x:v>700</x:v>
      </x:c>
      <x:c r="M471" t="n">
        <x:v>11</x:v>
      </x:c>
      <x:c r="N471" s="24" t="n">
        <x:v>0</x:v>
      </x:c>
      <x:c r="O471" s="22" t="n">
        <x:f>L471*M471</x:f>
        <x:v>7700</x:v>
      </x:c>
      <x:c r="P471" s="22" t="n">
        <x:f>O471*(1-N471)</x:f>
        <x:v>7700</x:v>
      </x:c>
      <x:c r="Q471" s="22" t="n">
        <x:v>610</x:v>
      </x:c>
      <x:c r="R471" s="22" t="n">
        <x:f>Q471*M471</x:f>
        <x:v>6710</x:v>
      </x:c>
      <x:c r="S471" s="22" t="n">
        <x:f>P471-R471</x:f>
        <x:v>990</x:v>
      </x:c>
      <x:c r="T471" t="str">
        <x:v>UPI</x:v>
      </x:c>
      <x:c r="U471" t="str">
        <x:v>Overdue</x:v>
      </x:c>
      <x:c r="V471" t="str">
        <x:v>Delayed</x:v>
      </x:c>
      <x:c r="W471" t="n">
        <x:v>0</x:v>
      </x:c>
      <x:c r="X471" t="str"/>
      <x:c r="Y471" t="str">
        <x:v>Referral</x:v>
      </x:c>
    </x:row>
    <x:row r="472">
      <x:c r="A472" t="str">
        <x:v>O000471</x:v>
      </x:c>
      <x:c r="B472" s="20" t="n">
        <x:v>45868</x:v>
      </x:c>
      <x:c r="C472" t="str">
        <x:v>C0095</x:v>
      </x:c>
      <x:c r="D472" t="str">
        <x:v>Spice Restaurant 95</x:v>
      </x:c>
      <x:c r="E472" t="str">
        <x:v>Restaurant</x:v>
      </x:c>
      <x:c r="F472" t="str">
        <x:v>Bengaluru</x:v>
      </x:c>
      <x:c r="G472" t="str">
        <x:v>Megha</x:v>
      </x:c>
      <x:c r="H472" t="str">
        <x:v>P012</x:v>
      </x:c>
      <x:c r="I472" t="str">
        <x:v>Maida 10kg</x:v>
      </x:c>
      <x:c r="J472" t="str">
        <x:v>Flour</x:v>
      </x:c>
      <x:c r="K472" t="str">
        <x:v>Aashirvaad</x:v>
      </x:c>
      <x:c r="L472" s="22" t="n">
        <x:v>520</x:v>
      </x:c>
      <x:c r="M472" t="n">
        <x:v>36</x:v>
      </x:c>
      <x:c r="N472" s="24" t="n">
        <x:v>0.05</x:v>
      </x:c>
      <x:c r="O472" s="22" t="n">
        <x:f>L472*M472</x:f>
        <x:v>18720</x:v>
      </x:c>
      <x:c r="P472" s="22" t="n">
        <x:f>O472*(1-N472)</x:f>
        <x:v>17784</x:v>
      </x:c>
      <x:c r="Q472" s="22" t="n">
        <x:v>460</x:v>
      </x:c>
      <x:c r="R472" s="22" t="n">
        <x:f>Q472*M472</x:f>
        <x:v>16560</x:v>
      </x:c>
      <x:c r="S472" s="22" t="n">
        <x:f>P472-R472</x:f>
        <x:v>1224</x:v>
      </x:c>
      <x:c r="T472" t="str">
        <x:v>Cash</x:v>
      </x:c>
      <x:c r="U472" t="str">
        <x:v>Overdue</x:v>
      </x:c>
      <x:c r="V472" t="str">
        <x:v>Delivered</x:v>
      </x:c>
      <x:c r="W472" t="n">
        <x:v>0</x:v>
      </x:c>
      <x:c r="X472" t="str"/>
      <x:c r="Y472" t="str">
        <x:v>Existing Customer</x:v>
      </x:c>
    </x:row>
    <x:row r="473">
      <x:c r="A473" t="str">
        <x:v>O000472</x:v>
      </x:c>
      <x:c r="B473" s="20" t="n">
        <x:v>45782</x:v>
      </x:c>
      <x:c r="C473" t="str">
        <x:v>C0137</x:v>
      </x:c>
      <x:c r="D473" t="str">
        <x:v>Green Restaurant 137</x:v>
      </x:c>
      <x:c r="E473" t="str">
        <x:v>Canteen</x:v>
      </x:c>
      <x:c r="F473" t="str">
        <x:v>Mangaluru</x:v>
      </x:c>
      <x:c r="G473" t="str">
        <x:v>Arjun</x:v>
      </x:c>
      <x:c r="H473" t="str">
        <x:v>P020</x:v>
      </x:c>
      <x:c r="I473" t="str">
        <x:v>Coffee 500g</x:v>
      </x:c>
      <x:c r="J473" t="str">
        <x:v>Beverage</x:v>
      </x:c>
      <x:c r="K473" t="str">
        <x:v>Bru</x:v>
      </x:c>
      <x:c r="L473" s="22" t="n">
        <x:v>390</x:v>
      </x:c>
      <x:c r="M473" t="n">
        <x:v>2</x:v>
      </x:c>
      <x:c r="N473" s="24" t="n">
        <x:v>0.03</x:v>
      </x:c>
      <x:c r="O473" s="22" t="n">
        <x:f>L473*M473</x:f>
        <x:v>780</x:v>
      </x:c>
      <x:c r="P473" s="22" t="n">
        <x:f>O473*(1-N473)</x:f>
        <x:v>756.6</x:v>
      </x:c>
      <x:c r="Q473" s="22" t="n">
        <x:v>350</x:v>
      </x:c>
      <x:c r="R473" s="22" t="n">
        <x:f>Q473*M473</x:f>
        <x:v>700</x:v>
      </x:c>
      <x:c r="S473" s="22" t="n">
        <x:f>P473-R473</x:f>
        <x:v>56.60000000000002</x:v>
      </x:c>
      <x:c r="T473" t="str">
        <x:v>Credit</x:v>
      </x:c>
      <x:c r="U473" t="str">
        <x:v>Pending</x:v>
      </x:c>
      <x:c r="V473" t="str">
        <x:v>Delivered</x:v>
      </x:c>
      <x:c r="W473" t="n">
        <x:v>0</x:v>
      </x:c>
      <x:c r="X473" t="str"/>
      <x:c r="Y473" t="str"/>
    </x:row>
    <x:row r="474">
      <x:c r="A474" t="str">
        <x:v>O000473</x:v>
      </x:c>
      <x:c r="B474" s="20" t="n">
        <x:v>46177</x:v>
      </x:c>
      <x:c r="C474" t="str">
        <x:v>C0190</x:v>
      </x:c>
      <x:c r="D474" t="str">
        <x:v>Shree Restaurant 190</x:v>
      </x:c>
      <x:c r="E474" t="str">
        <x:v>Canteen</x:v>
      </x:c>
      <x:c r="F474" t="str">
        <x:v>Bengaluru</x:v>
      </x:c>
      <x:c r="G474" t="str">
        <x:v>Kavya</x:v>
      </x:c>
      <x:c r="H474" t="str">
        <x:v>P035</x:v>
      </x:c>
      <x:c r="I474" t="str">
        <x:v>Coriander Powder 1kg</x:v>
      </x:c>
      <x:c r="J474" t="str">
        <x:v>Spices</x:v>
      </x:c>
      <x:c r="K474" t="str">
        <x:v>Everest</x:v>
      </x:c>
      <x:c r="L474" s="22" t="n">
        <x:v>280</x:v>
      </x:c>
      <x:c r="M474" t="n">
        <x:v>22</x:v>
      </x:c>
      <x:c r="N474" s="24" t="n">
        <x:v>0.05</x:v>
      </x:c>
      <x:c r="O474" s="22" t="n">
        <x:f>L474*M474</x:f>
        <x:v>6160</x:v>
      </x:c>
      <x:c r="P474" s="22" t="n">
        <x:f>O474*(1-N474)</x:f>
        <x:v>5852</x:v>
      </x:c>
      <x:c r="Q474" s="22" t="n">
        <x:v>245</x:v>
      </x:c>
      <x:c r="R474" s="22" t="n">
        <x:f>Q474*M474</x:f>
        <x:v>5390</x:v>
      </x:c>
      <x:c r="S474" s="22" t="n">
        <x:f>P474-R474</x:f>
        <x:v>462</x:v>
      </x:c>
      <x:c r="T474" t="str">
        <x:v>Cash</x:v>
      </x:c>
      <x:c r="U474" t="str">
        <x:v>Paid</x:v>
      </x:c>
      <x:c r="V474" t="str">
        <x:v>Delivered</x:v>
      </x:c>
      <x:c r="W474" t="n">
        <x:v>0</x:v>
      </x:c>
      <x:c r="X474" t="str"/>
      <x:c r="Y474" t="str">
        <x:v>Existing Customer</x:v>
      </x:c>
    </x:row>
    <x:row r="475">
      <x:c r="A475" t="str">
        <x:v>O000474</x:v>
      </x:c>
      <x:c r="B475" s="20" t="n">
        <x:v>46110</x:v>
      </x:c>
      <x:c r="C475" t="str">
        <x:v>C0205</x:v>
      </x:c>
      <x:c r="D475" t="str">
        <x:v>Royal Mart 205</x:v>
      </x:c>
      <x:c r="E475" t="str">
        <x:v>Kirana</x:v>
      </x:c>
      <x:c r="F475" t="str">
        <x:v>Mysuru</x:v>
      </x:c>
      <x:c r="G475" t="str">
        <x:v>Priya</x:v>
      </x:c>
      <x:c r="H475" t="str">
        <x:v>P037</x:v>
      </x:c>
      <x:c r="I475" t="str">
        <x:v>Frozen Peas 1kg</x:v>
      </x:c>
      <x:c r="J475" t="str">
        <x:v>Frozen</x:v>
      </x:c>
      <x:c r="K475" t="str">
        <x:v>Safal</x:v>
      </x:c>
      <x:c r="L475" s="22" t="n">
        <x:v>155</x:v>
      </x:c>
      <x:c r="M475" t="n">
        <x:v>22</x:v>
      </x:c>
      <x:c r="N475" s="24" t="n">
        <x:v>0.05</x:v>
      </x:c>
      <x:c r="O475" s="22" t="n">
        <x:f>L475*M475</x:f>
        <x:v>3410</x:v>
      </x:c>
      <x:c r="P475" s="22" t="n">
        <x:f>O475*(1-N475)</x:f>
        <x:v>3239.5</x:v>
      </x:c>
      <x:c r="Q475" s="22" t="n">
        <x:v>138</x:v>
      </x:c>
      <x:c r="R475" s="22" t="n">
        <x:f>Q475*M475</x:f>
        <x:v>3036</x:v>
      </x:c>
      <x:c r="S475" s="22" t="n">
        <x:f>P475-R475</x:f>
        <x:v>203.5</x:v>
      </x:c>
      <x:c r="T475" t="str">
        <x:v>Credit</x:v>
      </x:c>
      <x:c r="U475" t="str">
        <x:v>Pending</x:v>
      </x:c>
      <x:c r="V475" t="str">
        <x:v>Delivered</x:v>
      </x:c>
      <x:c r="W475" t="n">
        <x:v>0</x:v>
      </x:c>
      <x:c r="X475" t="str"/>
      <x:c r="Y475" t="str">
        <x:v>Outbound Call</x:v>
      </x:c>
    </x:row>
    <x:row r="476">
      <x:c r="A476" t="str">
        <x:v>O000475</x:v>
      </x:c>
      <x:c r="B476" s="20" t="n">
        <x:v>45883</x:v>
      </x:c>
      <x:c r="C476" t="str">
        <x:v>C0103</x:v>
      </x:c>
      <x:c r="D476" t="str">
        <x:v>Fresh Kitchen 103</x:v>
      </x:c>
      <x:c r="E476" t="str">
        <x:v>Supermarket</x:v>
      </x:c>
      <x:c r="F476" t="str">
        <x:v>Davanagere</x:v>
      </x:c>
      <x:c r="G476" t="str">
        <x:v>Megha</x:v>
      </x:c>
      <x:c r="H476" t="str">
        <x:v>P040</x:v>
      </x:c>
      <x:c r="I476" t="str">
        <x:v>Bread Loaf 400g</x:v>
      </x:c>
      <x:c r="J476" t="str">
        <x:v>Bakery</x:v>
      </x:c>
      <x:c r="K476" t="str">
        <x:v>Britannia</x:v>
      </x:c>
      <x:c r="L476" s="22" t="n">
        <x:v>45</x:v>
      </x:c>
      <x:c r="M476" t="n">
        <x:v>29</x:v>
      </x:c>
      <x:c r="N476" s="24" t="n">
        <x:v>0.02</x:v>
      </x:c>
      <x:c r="O476" s="22" t="n">
        <x:f>L476*M476</x:f>
        <x:v>1305</x:v>
      </x:c>
      <x:c r="P476" s="22" t="n">
        <x:f>O476*(1-N476)</x:f>
        <x:v>1278.8999999999999</x:v>
      </x:c>
      <x:c r="Q476" s="22" t="n">
        <x:v>35</x:v>
      </x:c>
      <x:c r="R476" s="22" t="n">
        <x:f>Q476*M476</x:f>
        <x:v>1015</x:v>
      </x:c>
      <x:c r="S476" s="22" t="n">
        <x:f>P476-R476</x:f>
        <x:v>263.89999999999986</x:v>
      </x:c>
      <x:c r="T476" t="str">
        <x:v>Cash</x:v>
      </x:c>
      <x:c r="U476" t="str">
        <x:v>Paid</x:v>
      </x:c>
      <x:c r="V476" t="str">
        <x:v>Cancelled</x:v>
      </x:c>
      <x:c r="W476" t="n">
        <x:v>29</x:v>
      </x:c>
      <x:c r="X476" t="str">
        <x:v>Cancelled Order</x:v>
      </x:c>
      <x:c r="Y476" t="str">
        <x:v>Referral</x:v>
      </x:c>
    </x:row>
    <x:row r="477">
      <x:c r="A477" t="str">
        <x:v>O000476</x:v>
      </x:c>
      <x:c r="B477" s="20" t="n">
        <x:v>45942</x:v>
      </x:c>
      <x:c r="C477" t="str">
        <x:v>C0057</x:v>
      </x:c>
      <x:c r="D477" t="str">
        <x:v>Annapurna Foods 57</x:v>
      </x:c>
      <x:c r="E477" t="str">
        <x:v>Kirana</x:v>
      </x:c>
      <x:c r="F477" t="str">
        <x:v>Mysuru</x:v>
      </x:c>
      <x:c r="G477" t="str">
        <x:v>Priya</x:v>
      </x:c>
      <x:c r="H477" t="str">
        <x:v>P050</x:v>
      </x:c>
      <x:c r="I477" t="str">
        <x:v>Lemon 5kg</x:v>
      </x:c>
      <x:c r="J477" t="str">
        <x:v>Fresh Produce</x:v>
      </x:c>
      <x:c r="K477" t="str">
        <x:v>Local Market</x:v>
      </x:c>
      <x:c r="L477" s="22" t="n">
        <x:v>360</x:v>
      </x:c>
      <x:c r="M477" t="n">
        <x:v>13</x:v>
      </x:c>
      <x:c r="N477" s="24" t="n">
        <x:v>0</x:v>
      </x:c>
      <x:c r="O477" s="22" t="n">
        <x:f>L477*M477</x:f>
        <x:v>4680</x:v>
      </x:c>
      <x:c r="P477" s="22" t="n">
        <x:f>O477*(1-N477)</x:f>
        <x:v>4680</x:v>
      </x:c>
      <x:c r="Q477" s="22" t="n">
        <x:v>300</x:v>
      </x:c>
      <x:c r="R477" s="22" t="n">
        <x:f>Q477*M477</x:f>
        <x:v>3900</x:v>
      </x:c>
      <x:c r="S477" s="22" t="n">
        <x:f>P477-R477</x:f>
        <x:v>780</x:v>
      </x:c>
      <x:c r="T477" t="str">
        <x:v>Credit</x:v>
      </x:c>
      <x:c r="U477" t="str">
        <x:v>Paid</x:v>
      </x:c>
      <x:c r="V477" t="str">
        <x:v>Delivered</x:v>
      </x:c>
      <x:c r="W477" t="n">
        <x:v>0</x:v>
      </x:c>
      <x:c r="X477" t="str"/>
      <x:c r="Y477" t="str">
        <x:v>WhatsApp</x:v>
      </x:c>
    </x:row>
    <x:row r="478">
      <x:c r="A478" t="str">
        <x:v>O000477</x:v>
      </x:c>
      <x:c r="B478" s="20" t="n">
        <x:v>46277</x:v>
      </x:c>
      <x:c r="C478" t="str">
        <x:v>C0082</x:v>
      </x:c>
      <x:c r="D478" t="str">
        <x:v>City Foods 82</x:v>
      </x:c>
      <x:c r="E478" t="str">
        <x:v>Hotel</x:v>
      </x:c>
      <x:c r="F478" t="str">
        <x:v>Mangaluru</x:v>
      </x:c>
      <x:c r="G478" t="str">
        <x:v>Kavya</x:v>
      </x:c>
      <x:c r="H478" t="str">
        <x:v>P039</x:v>
      </x:c>
      <x:c r="I478" t="str">
        <x:v>Ice Cream 4L</x:v>
      </x:c>
      <x:c r="J478" t="str">
        <x:v>Frozen</x:v>
      </x:c>
      <x:c r="K478" t="str">
        <x:v>Amul</x:v>
      </x:c>
      <x:c r="L478" s="22" t="n">
        <x:v>480</x:v>
      </x:c>
      <x:c r="M478" t="n">
        <x:v>33</x:v>
      </x:c>
      <x:c r="N478" s="24" t="n">
        <x:v>0.08</x:v>
      </x:c>
      <x:c r="O478" s="22" t="n">
        <x:f>L478*M478</x:f>
        <x:v>15840</x:v>
      </x:c>
      <x:c r="P478" s="22" t="n">
        <x:f>O478*(1-N478)</x:f>
        <x:v>14572.800000000001</x:v>
      </x:c>
      <x:c r="Q478" s="22" t="n">
        <x:v>420</x:v>
      </x:c>
      <x:c r="R478" s="22" t="n">
        <x:f>Q478*M478</x:f>
        <x:v>13860</x:v>
      </x:c>
      <x:c r="S478" s="22" t="n">
        <x:f>P478-R478</x:f>
        <x:v>712.8000000000011</x:v>
      </x:c>
      <x:c r="T478" t="str">
        <x:v>Cash</x:v>
      </x:c>
      <x:c r="U478" t="str">
        <x:v>Paid</x:v>
      </x:c>
      <x:c r="V478" t="str">
        <x:v>Cancelled</x:v>
      </x:c>
      <x:c r="W478" t="n">
        <x:v>33</x:v>
      </x:c>
      <x:c r="X478" t="str">
        <x:v>Cancelled Order</x:v>
      </x:c>
      <x:c r="Y478" t="str">
        <x:v>WhatsApp</x:v>
      </x:c>
    </x:row>
    <x:row r="479">
      <x:c r="A479" t="str">
        <x:v>O000478</x:v>
      </x:c>
      <x:c r="B479" s="20" t="n">
        <x:v>45949</x:v>
      </x:c>
      <x:c r="C479" t="str">
        <x:v>C0096</x:v>
      </x:c>
      <x:c r="D479" t="str">
        <x:v>Metro Foods 96</x:v>
      </x:c>
      <x:c r="E479" t="str">
        <x:v>Kirana</x:v>
      </x:c>
      <x:c r="F479" t="str">
        <x:v>Davanagere</x:v>
      </x:c>
      <x:c r="G479" t="str">
        <x:v>Vikram</x:v>
      </x:c>
      <x:c r="H479" t="str">
        <x:v>P001</x:v>
      </x:c>
      <x:c r="I479" t="str">
        <x:v>Steam Rice 25kg</x:v>
      </x:c>
      <x:c r="J479" t="str">
        <x:v>Staples</x:v>
      </x:c>
      <x:c r="K479" t="str">
        <x:v>Aishwarya</x:v>
      </x:c>
      <x:c r="L479" s="22" t="n">
        <x:v>1180</x:v>
      </x:c>
      <x:c r="M479" t="n">
        <x:v>6</x:v>
      </x:c>
      <x:c r="N479" s="24" t="n">
        <x:v>0.02</x:v>
      </x:c>
      <x:c r="O479" s="22" t="n">
        <x:f>L479*M479</x:f>
        <x:v>7080</x:v>
      </x:c>
      <x:c r="P479" s="22" t="n">
        <x:f>O479*(1-N479)</x:f>
        <x:v>6938.4</x:v>
      </x:c>
      <x:c r="Q479" s="22" t="n">
        <x:v>1040</x:v>
      </x:c>
      <x:c r="R479" s="22" t="n">
        <x:f>Q479*M479</x:f>
        <x:v>6240</x:v>
      </x:c>
      <x:c r="S479" s="22" t="n">
        <x:f>P479-R479</x:f>
        <x:v>698.3999999999996</x:v>
      </x:c>
      <x:c r="T479" t="str">
        <x:v>Credit</x:v>
      </x:c>
      <x:c r="U479" t="str">
        <x:v>Pending</x:v>
      </x:c>
      <x:c r="V479" t="str">
        <x:v>Delivered</x:v>
      </x:c>
      <x:c r="W479" t="n">
        <x:v>0</x:v>
      </x:c>
      <x:c r="X479" t="str"/>
      <x:c r="Y479" t="str">
        <x:v>WhatsApp</x:v>
      </x:c>
    </x:row>
    <x:row r="480">
      <x:c r="A480" t="str">
        <x:v>O000479</x:v>
      </x:c>
      <x:c r="B480" s="20" t="n">
        <x:v>45953</x:v>
      </x:c>
      <x:c r="C480" t="str">
        <x:v>C0107</x:v>
      </x:c>
      <x:c r="D480" t="str">
        <x:v>Mysore Cafe 107</x:v>
      </x:c>
      <x:c r="E480" t="str">
        <x:v>Supermarket</x:v>
      </x:c>
      <x:c r="F480" t="str">
        <x:v>Tumakuru</x:v>
      </x:c>
      <x:c r="G480" t="str">
        <x:v>Megha</x:v>
      </x:c>
      <x:c r="H480" t="str">
        <x:v>P029</x:v>
      </x:c>
      <x:c r="I480" t="str">
        <x:v>Tomato Ketchup 1kg</x:v>
      </x:c>
      <x:c r="J480" t="str">
        <x:v>Condiments</x:v>
      </x:c>
      <x:c r="K480" t="str">
        <x:v>Kissan</x:v>
      </x:c>
      <x:c r="L480" s="22" t="n">
        <x:v>145</x:v>
      </x:c>
      <x:c r="M480" t="n">
        <x:v>11</x:v>
      </x:c>
      <x:c r="N480" s="24" t="n">
        <x:v>0.05</x:v>
      </x:c>
      <x:c r="O480" s="22" t="n">
        <x:f>L480*M480</x:f>
        <x:v>1595</x:v>
      </x:c>
      <x:c r="P480" s="22" t="n">
        <x:f>O480*(1-N480)</x:f>
        <x:v>1515.25</x:v>
      </x:c>
      <x:c r="Q480" s="22" t="n">
        <x:v>126</x:v>
      </x:c>
      <x:c r="R480" s="22" t="n">
        <x:f>Q480*M480</x:f>
        <x:v>1386</x:v>
      </x:c>
      <x:c r="S480" s="22" t="n">
        <x:f>P480-R480</x:f>
        <x:v>129.25</x:v>
      </x:c>
      <x:c r="T480" t="str">
        <x:v>Credit</x:v>
      </x:c>
      <x:c r="U480" t="str">
        <x:v>Pending</x:v>
      </x:c>
      <x:c r="V480" t="str">
        <x:v>Delivered</x:v>
      </x:c>
      <x:c r="W480" t="n">
        <x:v>0</x:v>
      </x:c>
      <x:c r="X480" t="str"/>
      <x:c r="Y480" t="str">
        <x:v>Existing Customer</x:v>
      </x:c>
    </x:row>
    <x:row r="481">
      <x:c r="A481" t="str">
        <x:v>O000480</x:v>
      </x:c>
      <x:c r="B481" s="20" t="n">
        <x:v>45968</x:v>
      </x:c>
      <x:c r="C481" t="str">
        <x:v>C0037</x:v>
      </x:c>
      <x:c r="D481" t="str">
        <x:v>Royal Cafe 37</x:v>
      </x:c>
      <x:c r="E481" t="str">
        <x:v>Hotel</x:v>
      </x:c>
      <x:c r="F481" t="str">
        <x:v>Mysuru</x:v>
      </x:c>
      <x:c r="G481" t="str">
        <x:v>Sneha</x:v>
      </x:c>
      <x:c r="H481" t="str">
        <x:v>P014</x:v>
      </x:c>
      <x:c r="I481" t="str">
        <x:v>Rava 5kg</x:v>
      </x:c>
      <x:c r="J481" t="str">
        <x:v>Flour</x:v>
      </x:c>
      <x:c r="K481" t="str">
        <x:v>Local Select</x:v>
      </x:c>
      <x:c r="L481" s="22" t="n">
        <x:v>245</x:v>
      </x:c>
      <x:c r="M481" t="n">
        <x:v>31</x:v>
      </x:c>
      <x:c r="N481" s="24" t="n">
        <x:v>0.1</x:v>
      </x:c>
      <x:c r="O481" s="22" t="n">
        <x:f>L481*M481</x:f>
        <x:v>7595</x:v>
      </x:c>
      <x:c r="P481" s="22" t="n">
        <x:f>O481*(1-N481)</x:f>
        <x:v>6835.5</x:v>
      </x:c>
      <x:c r="Q481" s="22" t="n">
        <x:v>215</x:v>
      </x:c>
      <x:c r="R481" s="22" t="n">
        <x:f>Q481*M481</x:f>
        <x:v>6665</x:v>
      </x:c>
      <x:c r="S481" s="22" t="n">
        <x:f>P481-R481</x:f>
        <x:v>170.5</x:v>
      </x:c>
      <x:c r="T481" t="str">
        <x:v>Cash</x:v>
      </x:c>
      <x:c r="U481" t="str">
        <x:v>Paid</x:v>
      </x:c>
      <x:c r="V481" t="str">
        <x:v>Delayed</x:v>
      </x:c>
      <x:c r="W481" t="n">
        <x:v>0</x:v>
      </x:c>
      <x:c r="X481" t="str"/>
      <x:c r="Y481" t="str">
        <x:v>WhatsApp</x:v>
      </x:c>
    </x:row>
    <x:row r="482">
      <x:c r="A482" t="str">
        <x:v>O000481</x:v>
      </x:c>
      <x:c r="B482" s="20" t="n">
        <x:v>45937</x:v>
      </x:c>
      <x:c r="C482" t="str">
        <x:v>C0105</x:v>
      </x:c>
      <x:c r="D482" t="str">
        <x:v>Foodie Restaurant 105</x:v>
      </x:c>
      <x:c r="E482" t="str">
        <x:v>Supermarket</x:v>
      </x:c>
      <x:c r="F482" t="str">
        <x:v>Bengaluru</x:v>
      </x:c>
      <x:c r="G482" t="str">
        <x:v>Arjun</x:v>
      </x:c>
      <x:c r="H482" t="str">
        <x:v>P041</x:v>
      </x:c>
      <x:c r="I482" t="str">
        <x:v>Burger Bun 6pc</x:v>
      </x:c>
      <x:c r="J482" t="str">
        <x:v>Bakery</x:v>
      </x:c>
      <x:c r="K482" t="str">
        <x:v>Modern</x:v>
      </x:c>
      <x:c r="L482" s="22" t="n">
        <x:v>42</x:v>
      </x:c>
      <x:c r="M482" t="n">
        <x:v>27</x:v>
      </x:c>
      <x:c r="N482" s="24" t="n">
        <x:v>0</x:v>
      </x:c>
      <x:c r="O482" s="22" t="n">
        <x:f>L482*M482</x:f>
        <x:v>1134</x:v>
      </x:c>
      <x:c r="P482" s="22" t="n">
        <x:f>O482*(1-N482)</x:f>
        <x:v>1134</x:v>
      </x:c>
      <x:c r="Q482" s="22" t="n">
        <x:v>32</x:v>
      </x:c>
      <x:c r="R482" s="22" t="n">
        <x:f>Q482*M482</x:f>
        <x:v>864</x:v>
      </x:c>
      <x:c r="S482" s="22" t="n">
        <x:f>P482-R482</x:f>
        <x:v>270</x:v>
      </x:c>
      <x:c r="T482" t="str">
        <x:v>Credit</x:v>
      </x:c>
      <x:c r="U482" t="str">
        <x:v>Paid</x:v>
      </x:c>
      <x:c r="V482" t="str">
        <x:v>Delivered</x:v>
      </x:c>
      <x:c r="W482" t="n">
        <x:v>0</x:v>
      </x:c>
      <x:c r="X482" t="str"/>
      <x:c r="Y482" t="str">
        <x:v>WhatsApp</x:v>
      </x:c>
    </x:row>
    <x:row r="483">
      <x:c r="A483" t="str">
        <x:v>O000482</x:v>
      </x:c>
      <x:c r="B483" s="20" t="n">
        <x:v>45967</x:v>
      </x:c>
      <x:c r="C483" t="str">
        <x:v>C0126</x:v>
      </x:c>
      <x:c r="D483" t="str">
        <x:v>Mysore Hotel 126</x:v>
      </x:c>
      <x:c r="E483" t="str">
        <x:v>Restaurant</x:v>
      </x:c>
      <x:c r="F483" t="str">
        <x:v>Mangaluru</x:v>
      </x:c>
      <x:c r="G483" t="str">
        <x:v>Vikram</x:v>
      </x:c>
      <x:c r="H483" t="str">
        <x:v>P003</x:v>
      </x:c>
      <x:c r="I483" t="str">
        <x:v>Basmati Rice 5kg</x:v>
      </x:c>
      <x:c r="J483" t="str">
        <x:v>Staples</x:v>
      </x:c>
      <x:c r="K483" t="str">
        <x:v>India Gate</x:v>
      </x:c>
      <x:c r="L483" s="22" t="n">
        <x:v>690</x:v>
      </x:c>
      <x:c r="M483" t="n">
        <x:v>38</x:v>
      </x:c>
      <x:c r="N483" s="24" t="n">
        <x:v>0.02</x:v>
      </x:c>
      <x:c r="O483" s="22" t="n">
        <x:f>L483*M483</x:f>
        <x:v>26220</x:v>
      </x:c>
      <x:c r="P483" s="22" t="n">
        <x:f>O483*(1-N483)</x:f>
        <x:v>25695.6</x:v>
      </x:c>
      <x:c r="Q483" s="22" t="n">
        <x:v>610</x:v>
      </x:c>
      <x:c r="R483" s="22" t="n">
        <x:f>Q483*M483</x:f>
        <x:v>23180</x:v>
      </x:c>
      <x:c r="S483" s="22" t="n">
        <x:f>P483-R483</x:f>
        <x:v>2515.5999999999985</x:v>
      </x:c>
      <x:c r="T483" t="str">
        <x:v>Credit</x:v>
      </x:c>
      <x:c r="U483" t="str">
        <x:v>Paid</x:v>
      </x:c>
      <x:c r="V483" t="str">
        <x:v>Delivered</x:v>
      </x:c>
      <x:c r="W483" t="n">
        <x:v>0</x:v>
      </x:c>
      <x:c r="X483" t="str"/>
      <x:c r="Y483" t="str">
        <x:v>Field Visit</x:v>
      </x:c>
    </x:row>
    <x:row r="484">
      <x:c r="A484" t="str">
        <x:v>O000483</x:v>
      </x:c>
      <x:c r="B484" s="20" t="n">
        <x:v>46141</x:v>
      </x:c>
      <x:c r="C484" t="str">
        <x:v>C0214</x:v>
      </x:c>
      <x:c r="D484" t="str">
        <x:v>Darshini Kitchen 214</x:v>
      </x:c>
      <x:c r="E484" t="str">
        <x:v>Kirana</x:v>
      </x:c>
      <x:c r="F484" t="str">
        <x:v>Bengaluru</x:v>
      </x:c>
      <x:c r="G484" t="str">
        <x:v>Imran</x:v>
      </x:c>
      <x:c r="H484" t="str">
        <x:v>P041</x:v>
      </x:c>
      <x:c r="I484" t="str">
        <x:v>Burger Bun 6pc</x:v>
      </x:c>
      <x:c r="J484" t="str">
        <x:v>Bakery</x:v>
      </x:c>
      <x:c r="K484" t="str">
        <x:v>Modern</x:v>
      </x:c>
      <x:c r="L484" s="22" t="n">
        <x:v>42</x:v>
      </x:c>
      <x:c r="M484" t="n">
        <x:v>8</x:v>
      </x:c>
      <x:c r="N484" s="24" t="n">
        <x:v>0.05</x:v>
      </x:c>
      <x:c r="O484" s="22" t="n">
        <x:f>L484*M484</x:f>
        <x:v>336</x:v>
      </x:c>
      <x:c r="P484" s="22" t="n">
        <x:f>O484*(1-N484)</x:f>
        <x:v>319.2</x:v>
      </x:c>
      <x:c r="Q484" s="22" t="n">
        <x:v>32</x:v>
      </x:c>
      <x:c r="R484" s="22" t="n">
        <x:f>Q484*M484</x:f>
        <x:v>256</x:v>
      </x:c>
      <x:c r="S484" s="22" t="n">
        <x:f>P484-R484</x:f>
        <x:v>63.19999999999999</x:v>
      </x:c>
      <x:c r="T484" t="str">
        <x:v>Cash</x:v>
      </x:c>
      <x:c r="U484" t="str">
        <x:v>Paid</x:v>
      </x:c>
      <x:c r="V484" t="str">
        <x:v>Delivered</x:v>
      </x:c>
      <x:c r="W484" t="n">
        <x:v>0</x:v>
      </x:c>
      <x:c r="X484" t="str"/>
      <x:c r="Y484" t="str">
        <x:v>Referral</x:v>
      </x:c>
    </x:row>
    <x:row r="485">
      <x:c r="A485" t="str">
        <x:v>O000484</x:v>
      </x:c>
      <x:c r="B485" s="20" t="n">
        <x:v>46162</x:v>
      </x:c>
      <x:c r="C485" t="str">
        <x:v>C0196</x:v>
      </x:c>
      <x:c r="D485" t="str">
        <x:v>Namma Mart 196</x:v>
      </x:c>
      <x:c r="E485" t="str">
        <x:v>Cafe</x:v>
      </x:c>
      <x:c r="F485" t="str">
        <x:v>Mangaluru</x:v>
      </x:c>
      <x:c r="G485" t="str">
        <x:v>Kavya</x:v>
      </x:c>
      <x:c r="H485" t="str">
        <x:v>P018</x:v>
      </x:c>
      <x:c r="I485" t="str">
        <x:v>Paneer 1kg</x:v>
      </x:c>
      <x:c r="J485" t="str">
        <x:v>Dairy</x:v>
      </x:c>
      <x:c r="K485" t="str">
        <x:v>Milky Mist</x:v>
      </x:c>
      <x:c r="L485" s="22" t="n">
        <x:v>410</x:v>
      </x:c>
      <x:c r="M485" t="n">
        <x:v>5</x:v>
      </x:c>
      <x:c r="N485" s="24" t="n">
        <x:v>0.03</x:v>
      </x:c>
      <x:c r="O485" s="22" t="n">
        <x:f>L485*M485</x:f>
        <x:v>2050</x:v>
      </x:c>
      <x:c r="P485" s="22" t="n">
        <x:f>O485*(1-N485)</x:f>
        <x:v>1988.5</x:v>
      </x:c>
      <x:c r="Q485" s="22" t="n">
        <x:v>370</x:v>
      </x:c>
      <x:c r="R485" s="22" t="n">
        <x:f>Q485*M485</x:f>
        <x:v>1850</x:v>
      </x:c>
      <x:c r="S485" s="22" t="n">
        <x:f>P485-R485</x:f>
        <x:v>138.5</x:v>
      </x:c>
      <x:c r="T485" t="str">
        <x:v>Cash</x:v>
      </x:c>
      <x:c r="U485" t="str">
        <x:v>Paid</x:v>
      </x:c>
      <x:c r="V485" t="str">
        <x:v>Delayed</x:v>
      </x:c>
      <x:c r="W485" t="n">
        <x:v>0</x:v>
      </x:c>
      <x:c r="X485" t="str"/>
      <x:c r="Y485" t="str">
        <x:v>WhatsApp</x:v>
      </x:c>
    </x:row>
    <x:row r="486">
      <x:c r="A486" t="str">
        <x:v>O000485</x:v>
      </x:c>
      <x:c r="B486" s="20" t="n">
        <x:v>46145</x:v>
      </x:c>
      <x:c r="C486" t="str">
        <x:v>C0161</x:v>
      </x:c>
      <x:c r="D486" t="str">
        <x:v>Hotel Kitchen 161</x:v>
      </x:c>
      <x:c r="E486" t="str">
        <x:v>Supermarket</x:v>
      </x:c>
      <x:c r="F486" t="str">
        <x:v>Mysuru</x:v>
      </x:c>
      <x:c r="G486" t="str">
        <x:v>Sneha</x:v>
      </x:c>
      <x:c r="H486" t="str">
        <x:v>P044</x:v>
      </x:c>
      <x:c r="I486" t="str">
        <x:v>Chicken Curry Cut 1kg</x:v>
      </x:c>
      <x:c r="J486" t="str">
        <x:v>Protein</x:v>
      </x:c>
      <x:c r="K486" t="str">
        <x:v>FreshToHome</x:v>
      </x:c>
      <x:c r="L486" s="22" t="n">
        <x:v>230</x:v>
      </x:c>
      <x:c r="M486" t="n">
        <x:v>8</x:v>
      </x:c>
      <x:c r="N486" s="24" t="n">
        <x:v>0.02</x:v>
      </x:c>
      <x:c r="O486" s="22" t="n">
        <x:f>L486*M486</x:f>
        <x:v>1840</x:v>
      </x:c>
      <x:c r="P486" s="22" t="n">
        <x:f>O486*(1-N486)</x:f>
        <x:v>1803.2</x:v>
      </x:c>
      <x:c r="Q486" s="22" t="n">
        <x:v>205</x:v>
      </x:c>
      <x:c r="R486" s="22" t="n">
        <x:f>Q486*M486</x:f>
        <x:v>1640</x:v>
      </x:c>
      <x:c r="S486" s="22" t="n">
        <x:f>P486-R486</x:f>
        <x:v>163.20000000000005</x:v>
      </x:c>
      <x:c r="T486" t="str">
        <x:v>UPI</x:v>
      </x:c>
      <x:c r="U486" t="str">
        <x:v>Pending</x:v>
      </x:c>
      <x:c r="V486" t="str">
        <x:v>Delivered</x:v>
      </x:c>
      <x:c r="W486" t="n">
        <x:v>0</x:v>
      </x:c>
      <x:c r="X486" t="str"/>
      <x:c r="Y486" t="str">
        <x:v>Referral</x:v>
      </x:c>
    </x:row>
    <x:row r="487">
      <x:c r="A487" t="str">
        <x:v>O000486</x:v>
      </x:c>
      <x:c r="B487" s="20" t="n">
        <x:v>45796</x:v>
      </x:c>
      <x:c r="C487" t="str">
        <x:v>C0225</x:v>
      </x:c>
      <x:c r="D487" t="str">
        <x:v>Darshini Mart 225</x:v>
      </x:c>
      <x:c r="E487" t="str">
        <x:v>Restaurant</x:v>
      </x:c>
      <x:c r="F487" t="str">
        <x:v>Davanagere</x:v>
      </x:c>
      <x:c r="G487" t="str">
        <x:v>Kavya</x:v>
      </x:c>
      <x:c r="H487" t="str">
        <x:v>P045</x:v>
      </x:c>
      <x:c r="I487" t="str">
        <x:v>Onion 25kg</x:v>
      </x:c>
      <x:c r="J487" t="str">
        <x:v>Fresh Produce</x:v>
      </x:c>
      <x:c r="K487" t="str">
        <x:v>Local Market</x:v>
      </x:c>
      <x:c r="L487" s="22" t="n">
        <x:v>875</x:v>
      </x:c>
      <x:c r="M487" t="n">
        <x:v>23</x:v>
      </x:c>
      <x:c r="N487" s="24" t="n">
        <x:v>0</x:v>
      </x:c>
      <x:c r="O487" s="22" t="n">
        <x:f>L487*M487</x:f>
        <x:v>20125</x:v>
      </x:c>
      <x:c r="P487" s="22" t="n">
        <x:f>O487*(1-N487)</x:f>
        <x:v>20125</x:v>
      </x:c>
      <x:c r="Q487" s="22" t="n">
        <x:v>760</x:v>
      </x:c>
      <x:c r="R487" s="22" t="n">
        <x:f>Q487*M487</x:f>
        <x:v>17480</x:v>
      </x:c>
      <x:c r="S487" s="22" t="n">
        <x:f>P487-R487</x:f>
        <x:v>2645</x:v>
      </x:c>
      <x:c r="T487" t="str">
        <x:v>Cash</x:v>
      </x:c>
      <x:c r="U487" t="str">
        <x:v>Paid</x:v>
      </x:c>
      <x:c r="V487" t="str">
        <x:v>Cancelled</x:v>
      </x:c>
      <x:c r="W487" t="n">
        <x:v>23</x:v>
      </x:c>
      <x:c r="X487" t="str">
        <x:v>Cancelled Order</x:v>
      </x:c>
      <x:c r="Y487" t="str">
        <x:v>Field Visit</x:v>
      </x:c>
    </x:row>
    <x:row r="488">
      <x:c r="A488" t="str">
        <x:v>O000487</x:v>
      </x:c>
      <x:c r="B488" s="20" t="n">
        <x:v>45736</x:v>
      </x:c>
      <x:c r="C488" t="str">
        <x:v>C0075</x:v>
      </x:c>
      <x:c r="D488" t="str">
        <x:v>Spice Foods 75</x:v>
      </x:c>
      <x:c r="E488" t="str">
        <x:v>Kirana</x:v>
      </x:c>
      <x:c r="F488" t="str">
        <x:v>Hubballi</x:v>
      </x:c>
      <x:c r="G488" t="str">
        <x:v>Vikram</x:v>
      </x:c>
      <x:c r="H488" t="str">
        <x:v>P034</x:v>
      </x:c>
      <x:c r="I488" t="str">
        <x:v>Chilli Powder 1kg</x:v>
      </x:c>
      <x:c r="J488" t="str">
        <x:v>Spices</x:v>
      </x:c>
      <x:c r="K488" t="str">
        <x:v>MDH</x:v>
      </x:c>
      <x:c r="L488" s="22" t="n">
        <x:v>340</x:v>
      </x:c>
      <x:c r="M488" t="n">
        <x:v>33</x:v>
      </x:c>
      <x:c r="N488" s="24" t="n">
        <x:v>0</x:v>
      </x:c>
      <x:c r="O488" s="22" t="n">
        <x:f>L488*M488</x:f>
        <x:v>11220</x:v>
      </x:c>
      <x:c r="P488" s="22" t="n">
        <x:f>O488*(1-N488)</x:f>
        <x:v>11220</x:v>
      </x:c>
      <x:c r="Q488" s="22" t="n">
        <x:v>295</x:v>
      </x:c>
      <x:c r="R488" s="22" t="n">
        <x:f>Q488*M488</x:f>
        <x:v>9735</x:v>
      </x:c>
      <x:c r="S488" s="22" t="n">
        <x:f>P488-R488</x:f>
        <x:v>1485</x:v>
      </x:c>
      <x:c r="T488" t="str">
        <x:v>Bank Transfer</x:v>
      </x:c>
      <x:c r="U488" t="str">
        <x:v>Pending</x:v>
      </x:c>
      <x:c r="V488" t="str">
        <x:v>Delayed</x:v>
      </x:c>
      <x:c r="W488" t="n">
        <x:v>0</x:v>
      </x:c>
      <x:c r="X488" t="str"/>
      <x:c r="Y488" t="str">
        <x:v>Referral</x:v>
      </x:c>
    </x:row>
    <x:row r="489">
      <x:c r="A489" t="str">
        <x:v>O000488</x:v>
      </x:c>
      <x:c r="B489" s="20" t="n">
        <x:v>45966</x:v>
      </x:c>
      <x:c r="C489" t="str">
        <x:v>C0224</x:v>
      </x:c>
      <x:c r="D489" t="str">
        <x:v>Royal Foods 224</x:v>
      </x:c>
      <x:c r="E489" t="str">
        <x:v>Canteen</x:v>
      </x:c>
      <x:c r="F489" t="str">
        <x:v>Tumakuru</x:v>
      </x:c>
      <x:c r="G489" t="str">
        <x:v>Arjun</x:v>
      </x:c>
      <x:c r="H489" t="str">
        <x:v>P021</x:v>
      </x:c>
      <x:c r="I489" t="str">
        <x:v>Instant Coffee 200g</x:v>
      </x:c>
      <x:c r="J489" t="str">
        <x:v>Beverage</x:v>
      </x:c>
      <x:c r="K489" t="str">
        <x:v>Nescafe</x:v>
      </x:c>
      <x:c r="L489" s="22" t="n">
        <x:v>460</x:v>
      </x:c>
      <x:c r="M489" t="n">
        <x:v>18</x:v>
      </x:c>
      <x:c r="N489" s="24" t="n">
        <x:v>0.05</x:v>
      </x:c>
      <x:c r="O489" s="22" t="n">
        <x:f>L489*M489</x:f>
        <x:v>8280</x:v>
      </x:c>
      <x:c r="P489" s="22" t="n">
        <x:f>O489*(1-N489)</x:f>
        <x:v>7866</x:v>
      </x:c>
      <x:c r="Q489" s="22" t="n">
        <x:v>410</x:v>
      </x:c>
      <x:c r="R489" s="22" t="n">
        <x:f>Q489*M489</x:f>
        <x:v>7380</x:v>
      </x:c>
      <x:c r="S489" s="22" t="n">
        <x:f>P489-R489</x:f>
        <x:v>486</x:v>
      </x:c>
      <x:c r="T489" t="str">
        <x:v>Cash</x:v>
      </x:c>
      <x:c r="U489" t="str">
        <x:v>Paid</x:v>
      </x:c>
      <x:c r="V489" t="str">
        <x:v>Delayed</x:v>
      </x:c>
      <x:c r="W489" t="n">
        <x:v>0</x:v>
      </x:c>
      <x:c r="X489" t="str"/>
      <x:c r="Y489" t="str">
        <x:v>Field Visit</x:v>
      </x:c>
    </x:row>
    <x:row r="490">
      <x:c r="A490" t="str">
        <x:v>O000489</x:v>
      </x:c>
      <x:c r="B490" s="20" t="n">
        <x:v>46188</x:v>
      </x:c>
      <x:c r="C490" t="str">
        <x:v>C0004</x:v>
      </x:c>
      <x:c r="D490" t="str">
        <x:v>Annapurna Foods 4</x:v>
      </x:c>
      <x:c r="E490" t="str">
        <x:v>Cafe</x:v>
      </x:c>
      <x:c r="F490" t="str">
        <x:v>Mysuru</x:v>
      </x:c>
      <x:c r="G490" t="str">
        <x:v>Priya</x:v>
      </x:c>
      <x:c r="H490" t="str">
        <x:v>P009</x:v>
      </x:c>
      <x:c r="I490" t="str">
        <x:v>Groundnut Oil 5L</x:v>
      </x:c>
      <x:c r="J490" t="str">
        <x:v>Edible Oil</x:v>
      </x:c>
      <x:c r="K490" t="str">
        <x:v>Dhara</x:v>
      </x:c>
      <x:c r="L490" s="22" t="n">
        <x:v>890</x:v>
      </x:c>
      <x:c r="M490" t="n">
        <x:v>19</x:v>
      </x:c>
      <x:c r="N490" s="24" t="n">
        <x:v>0.02</x:v>
      </x:c>
      <x:c r="O490" s="22" t="n">
        <x:f>L490*M490</x:f>
        <x:v>16910</x:v>
      </x:c>
      <x:c r="P490" s="22" t="n">
        <x:f>O490*(1-N490)</x:f>
        <x:v>16571.8</x:v>
      </x:c>
      <x:c r="Q490" s="22" t="n">
        <x:v>810</x:v>
      </x:c>
      <x:c r="R490" s="22" t="n">
        <x:f>Q490*M490</x:f>
        <x:v>15390</x:v>
      </x:c>
      <x:c r="S490" s="22" t="n">
        <x:f>P490-R490</x:f>
        <x:v>1181.7999999999993</x:v>
      </x:c>
      <x:c r="T490" t="str">
        <x:v>Credit</x:v>
      </x:c>
      <x:c r="U490" t="str">
        <x:v>Paid</x:v>
      </x:c>
      <x:c r="V490" t="str">
        <x:v>Delivered</x:v>
      </x:c>
      <x:c r="W490" t="n">
        <x:v>0</x:v>
      </x:c>
      <x:c r="X490" t="str"/>
      <x:c r="Y490" t="str">
        <x:v>Referral</x:v>
      </x:c>
    </x:row>
    <x:row r="491">
      <x:c r="A491" t="str">
        <x:v>O000490</x:v>
      </x:c>
      <x:c r="B491" s="20" t="n">
        <x:v>46230</x:v>
      </x:c>
      <x:c r="C491" t="str">
        <x:v>C0213</x:v>
      </x:c>
      <x:c r="D491" t="str">
        <x:v>Shree Cafe 213</x:v>
      </x:c>
      <x:c r="E491" t="str">
        <x:v>Cafe</x:v>
      </x:c>
      <x:c r="F491" t="str">
        <x:v>Tumakuru</x:v>
      </x:c>
      <x:c r="G491" t="str">
        <x:v>Imran</x:v>
      </x:c>
      <x:c r="H491" t="str">
        <x:v>P013</x:v>
      </x:c>
      <x:c r="I491" t="str">
        <x:v>Atta 10kg</x:v>
      </x:c>
      <x:c r="J491" t="str">
        <x:v>Flour</x:v>
      </x:c>
      <x:c r="K491" t="str">
        <x:v>Aashirvaad</x:v>
      </x:c>
      <x:c r="L491" s="22" t="n">
        <x:v>560</x:v>
      </x:c>
      <x:c r="M491" t="n">
        <x:v>40</x:v>
      </x:c>
      <x:c r="N491" s="24" t="n">
        <x:v>0.05</x:v>
      </x:c>
      <x:c r="O491" s="22" t="n">
        <x:f>L491*M491</x:f>
        <x:v>22400</x:v>
      </x:c>
      <x:c r="P491" s="22" t="n">
        <x:f>O491*(1-N491)</x:f>
        <x:v>21280</x:v>
      </x:c>
      <x:c r="Q491" s="22" t="n">
        <x:v>495</x:v>
      </x:c>
      <x:c r="R491" s="22" t="n">
        <x:f>Q491*M491</x:f>
        <x:v>19800</x:v>
      </x:c>
      <x:c r="S491" s="22" t="n">
        <x:f>P491-R491</x:f>
        <x:v>1480</x:v>
      </x:c>
      <x:c r="T491" t="str">
        <x:v>UPI</x:v>
      </x:c>
      <x:c r="U491" t="str">
        <x:v>Paid</x:v>
      </x:c>
      <x:c r="V491" t="str">
        <x:v>Delivered</x:v>
      </x:c>
      <x:c r="W491" t="n">
        <x:v>0</x:v>
      </x:c>
      <x:c r="X491" t="str"/>
      <x:c r="Y491" t="str">
        <x:v>Referral</x:v>
      </x:c>
    </x:row>
    <x:row r="492">
      <x:c r="A492" t="str">
        <x:v>O000491</x:v>
      </x:c>
      <x:c r="B492" s="20" t="n">
        <x:v>45977</x:v>
      </x:c>
      <x:c r="C492" t="str">
        <x:v>C0123</x:v>
      </x:c>
      <x:c r="D492" t="str">
        <x:v>City Foods 123</x:v>
      </x:c>
      <x:c r="E492" t="str">
        <x:v>Restaurant</x:v>
      </x:c>
      <x:c r="F492" t="str">
        <x:v>Davanagere</x:v>
      </x:c>
      <x:c r="G492" t="str">
        <x:v>Sneha</x:v>
      </x:c>
      <x:c r="H492" t="str">
        <x:v>P023</x:v>
      </x:c>
      <x:c r="I492" t="str">
        <x:v>Cola 750ml</x:v>
      </x:c>
      <x:c r="J492" t="str">
        <x:v>Beverage</x:v>
      </x:c>
      <x:c r="K492" t="str">
        <x:v>Coca-Cola</x:v>
      </x:c>
      <x:c r="L492" s="22" t="n">
        <x:v>38</x:v>
      </x:c>
      <x:c r="M492" t="n">
        <x:v>24</x:v>
      </x:c>
      <x:c r="N492" s="24" t="n">
        <x:v>0</x:v>
      </x:c>
      <x:c r="O492" s="22" t="n">
        <x:f>L492*M492</x:f>
        <x:v>912</x:v>
      </x:c>
      <x:c r="P492" s="22" t="n">
        <x:f>O492*(1-N492)</x:f>
        <x:v>912</x:v>
      </x:c>
      <x:c r="Q492" s="22" t="n">
        <x:v>31</x:v>
      </x:c>
      <x:c r="R492" s="22" t="n">
        <x:f>Q492*M492</x:f>
        <x:v>744</x:v>
      </x:c>
      <x:c r="S492" s="22" t="n">
        <x:f>P492-R492</x:f>
        <x:v>168</x:v>
      </x:c>
      <x:c r="T492" t="str">
        <x:v>Credit</x:v>
      </x:c>
      <x:c r="U492" t="str">
        <x:v>Pending</x:v>
      </x:c>
      <x:c r="V492" t="str">
        <x:v>Delayed</x:v>
      </x:c>
      <x:c r="W492" t="n">
        <x:v>0</x:v>
      </x:c>
      <x:c r="X492" t="str"/>
      <x:c r="Y492" t="str">
        <x:v>Existing Customer</x:v>
      </x:c>
    </x:row>
    <x:row r="493">
      <x:c r="A493" t="str">
        <x:v>O000492</x:v>
      </x:c>
      <x:c r="B493" s="20" t="n">
        <x:v>45969</x:v>
      </x:c>
      <x:c r="C493" t="str">
        <x:v>C0088</x:v>
      </x:c>
      <x:c r="D493" t="str">
        <x:v>Darshini Kitchen 88</x:v>
      </x:c>
      <x:c r="E493" t="str">
        <x:v>Cafe</x:v>
      </x:c>
      <x:c r="F493" t="str">
        <x:v>Tumakuru</x:v>
      </x:c>
      <x:c r="G493" t="str">
        <x:v>Arjun</x:v>
      </x:c>
      <x:c r="H493" t="str">
        <x:v>P012</x:v>
      </x:c>
      <x:c r="I493" t="str">
        <x:v>Maida 10kg</x:v>
      </x:c>
      <x:c r="J493" t="str">
        <x:v>Flour</x:v>
      </x:c>
      <x:c r="K493" t="str">
        <x:v>Aashirvaad</x:v>
      </x:c>
      <x:c r="L493" s="22" t="n">
        <x:v>520</x:v>
      </x:c>
      <x:c r="M493" t="n">
        <x:v>2</x:v>
      </x:c>
      <x:c r="N493" s="24" t="n">
        <x:v>0.05</x:v>
      </x:c>
      <x:c r="O493" s="22" t="n">
        <x:f>L493*M493</x:f>
        <x:v>1040</x:v>
      </x:c>
      <x:c r="P493" s="22" t="n">
        <x:f>O493*(1-N493)</x:f>
        <x:v>988</x:v>
      </x:c>
      <x:c r="Q493" s="22" t="n">
        <x:v>460</x:v>
      </x:c>
      <x:c r="R493" s="22" t="n">
        <x:f>Q493*M493</x:f>
        <x:v>920</x:v>
      </x:c>
      <x:c r="S493" s="22" t="n">
        <x:f>P493-R493</x:f>
        <x:v>68</x:v>
      </x:c>
      <x:c r="T493" t="str">
        <x:v>UPI</x:v>
      </x:c>
      <x:c r="U493" t="str">
        <x:v>Paid</x:v>
      </x:c>
      <x:c r="V493" t="str">
        <x:v>Cancelled</x:v>
      </x:c>
      <x:c r="W493" t="n">
        <x:v>2</x:v>
      </x:c>
      <x:c r="X493" t="str">
        <x:v>Cancelled Order</x:v>
      </x:c>
      <x:c r="Y493" t="str">
        <x:v>Referral</x:v>
      </x:c>
    </x:row>
    <x:row r="494">
      <x:c r="A494" t="str">
        <x:v>O000493</x:v>
      </x:c>
      <x:c r="B494" s="20" t="n">
        <x:v>45872</x:v>
      </x:c>
      <x:c r="C494" t="str">
        <x:v>C0079</x:v>
      </x:c>
      <x:c r="D494" t="str">
        <x:v>Foodie Foods 79</x:v>
      </x:c>
      <x:c r="E494" t="str">
        <x:v>Cafe</x:v>
      </x:c>
      <x:c r="F494" t="str">
        <x:v>Tumakuru</x:v>
      </x:c>
      <x:c r="G494" t="str">
        <x:v>Ramesh</x:v>
      </x:c>
      <x:c r="H494" t="str">
        <x:v>P009</x:v>
      </x:c>
      <x:c r="I494" t="str">
        <x:v>Groundnut Oil 5L</x:v>
      </x:c>
      <x:c r="J494" t="str">
        <x:v>Edible Oil</x:v>
      </x:c>
      <x:c r="K494" t="str">
        <x:v>Dhara</x:v>
      </x:c>
      <x:c r="L494" s="22" t="n">
        <x:v>890</x:v>
      </x:c>
      <x:c r="M494" t="n">
        <x:v>9</x:v>
      </x:c>
      <x:c r="N494" s="24" t="n">
        <x:v>0.1</x:v>
      </x:c>
      <x:c r="O494" s="22" t="n">
        <x:f>L494*M494</x:f>
        <x:v>8010</x:v>
      </x:c>
      <x:c r="P494" s="22" t="n">
        <x:f>O494*(1-N494)</x:f>
        <x:v>7209</x:v>
      </x:c>
      <x:c r="Q494" s="22" t="n">
        <x:v>810</x:v>
      </x:c>
      <x:c r="R494" s="22" t="n">
        <x:f>Q494*M494</x:f>
        <x:v>7290</x:v>
      </x:c>
      <x:c r="S494" s="22" t="n">
        <x:f>P494-R494</x:f>
        <x:v>-81</x:v>
      </x:c>
      <x:c r="T494" t="str">
        <x:v>Credit</x:v>
      </x:c>
      <x:c r="U494" t="str">
        <x:v>Paid</x:v>
      </x:c>
      <x:c r="V494" t="str">
        <x:v>Delivered</x:v>
      </x:c>
      <x:c r="W494" t="n">
        <x:v>0</x:v>
      </x:c>
      <x:c r="X494" t="str"/>
      <x:c r="Y494" t="str">
        <x:v>WhatsApp</x:v>
      </x:c>
    </x:row>
    <x:row r="495">
      <x:c r="A495" t="str">
        <x:v>O000494</x:v>
      </x:c>
      <x:c r="B495" s="20" t="n">
        <x:v>45768</x:v>
      </x:c>
      <x:c r="C495" t="str">
        <x:v>C0011</x:v>
      </x:c>
      <x:c r="D495" t="str">
        <x:v>City Cafe 11</x:v>
      </x:c>
      <x:c r="E495" t="str">
        <x:v>Restaurant</x:v>
      </x:c>
      <x:c r="F495" t="str">
        <x:v>Mangaluru</x:v>
      </x:c>
      <x:c r="G495" t="str">
        <x:v>Arjun</x:v>
      </x:c>
      <x:c r="H495" t="str">
        <x:v>P013</x:v>
      </x:c>
      <x:c r="I495" t="str">
        <x:v>Atta 10kg</x:v>
      </x:c>
      <x:c r="J495" t="str">
        <x:v>Flour</x:v>
      </x:c>
      <x:c r="K495" t="str">
        <x:v>Aashirvaad</x:v>
      </x:c>
      <x:c r="L495" s="22" t="n">
        <x:v>560</x:v>
      </x:c>
      <x:c r="M495" t="n">
        <x:v>3</x:v>
      </x:c>
      <x:c r="N495" s="24" t="n">
        <x:v>0.05</x:v>
      </x:c>
      <x:c r="O495" s="22" t="n">
        <x:f>L495*M495</x:f>
        <x:v>1680</x:v>
      </x:c>
      <x:c r="P495" s="22" t="n">
        <x:f>O495*(1-N495)</x:f>
        <x:v>1596</x:v>
      </x:c>
      <x:c r="Q495" s="22" t="n">
        <x:v>495</x:v>
      </x:c>
      <x:c r="R495" s="22" t="n">
        <x:f>Q495*M495</x:f>
        <x:v>1485</x:v>
      </x:c>
      <x:c r="S495" s="22" t="n">
        <x:f>P495-R495</x:f>
        <x:v>111</x:v>
      </x:c>
      <x:c r="T495" t="str">
        <x:v>UPI</x:v>
      </x:c>
      <x:c r="U495" t="str">
        <x:v>Paid</x:v>
      </x:c>
      <x:c r="V495" t="str">
        <x:v>Delivered</x:v>
      </x:c>
      <x:c r="W495" t="n">
        <x:v>2</x:v>
      </x:c>
      <x:c r="X495" t="str">
        <x:v>Damaged</x:v>
      </x:c>
      <x:c r="Y495" t="str">
        <x:v>Outbound Call</x:v>
      </x:c>
    </x:row>
    <x:row r="496">
      <x:c r="A496" t="str">
        <x:v>O000495</x:v>
      </x:c>
      <x:c r="B496" s="20" t="n">
        <x:v>45868</x:v>
      </x:c>
      <x:c r="C496" t="str">
        <x:v>C0236</x:v>
      </x:c>
      <x:c r="D496" t="str">
        <x:v>Foodie Stores 236</x:v>
      </x:c>
      <x:c r="E496" t="str">
        <x:v>Kirana</x:v>
      </x:c>
      <x:c r="F496" t="str">
        <x:v>Bengaluru</x:v>
      </x:c>
      <x:c r="G496" t="str">
        <x:v>Ramesh</x:v>
      </x:c>
      <x:c r="H496" t="str">
        <x:v>P039</x:v>
      </x:c>
      <x:c r="I496" t="str">
        <x:v>Ice Cream 4L</x:v>
      </x:c>
      <x:c r="J496" t="str">
        <x:v>Frozen</x:v>
      </x:c>
      <x:c r="K496" t="str">
        <x:v>Amul</x:v>
      </x:c>
      <x:c r="L496" s="22" t="n">
        <x:v>480</x:v>
      </x:c>
      <x:c r="M496" t="n">
        <x:v>38</x:v>
      </x:c>
      <x:c r="N496" s="24" t="n">
        <x:v>0.08</x:v>
      </x:c>
      <x:c r="O496" s="22" t="n">
        <x:f>L496*M496</x:f>
        <x:v>18240</x:v>
      </x:c>
      <x:c r="P496" s="22" t="n">
        <x:f>O496*(1-N496)</x:f>
        <x:v>16780.8</x:v>
      </x:c>
      <x:c r="Q496" s="22" t="n">
        <x:v>420</x:v>
      </x:c>
      <x:c r="R496" s="22" t="n">
        <x:f>Q496*M496</x:f>
        <x:v>15960</x:v>
      </x:c>
      <x:c r="S496" s="22" t="n">
        <x:f>P496-R496</x:f>
        <x:v>820.7999999999993</x:v>
      </x:c>
      <x:c r="T496" t="str">
        <x:v>Bank Transfer</x:v>
      </x:c>
      <x:c r="U496" t="str">
        <x:v>Paid</x:v>
      </x:c>
      <x:c r="V496" t="str">
        <x:v>Delivered</x:v>
      </x:c>
      <x:c r="W496" t="n">
        <x:v>0</x:v>
      </x:c>
      <x:c r="X496" t="str"/>
      <x:c r="Y496" t="str">
        <x:v>Field Visit</x:v>
      </x:c>
    </x:row>
    <x:row r="497">
      <x:c r="A497" t="str">
        <x:v>O000496</x:v>
      </x:c>
      <x:c r="B497" s="20" t="n">
        <x:v>45822</x:v>
      </x:c>
      <x:c r="C497" t="str">
        <x:v>C0090</x:v>
      </x:c>
      <x:c r="D497" t="str">
        <x:v>Shree Mart 90</x:v>
      </x:c>
      <x:c r="E497" t="str">
        <x:v>Restaurant</x:v>
      </x:c>
      <x:c r="F497" t="str">
        <x:v>Davanagere</x:v>
      </x:c>
      <x:c r="G497" t="str">
        <x:v>Megha</x:v>
      </x:c>
      <x:c r="H497" t="str">
        <x:v>P023</x:v>
      </x:c>
      <x:c r="I497" t="str">
        <x:v>Cola 750ml</x:v>
      </x:c>
      <x:c r="J497" t="str">
        <x:v>Beverage</x:v>
      </x:c>
      <x:c r="K497" t="str">
        <x:v>Coca-Cola</x:v>
      </x:c>
      <x:c r="L497" s="22" t="n">
        <x:v>38</x:v>
      </x:c>
      <x:c r="M497" t="n">
        <x:v>33</x:v>
      </x:c>
      <x:c r="N497" s="24" t="n">
        <x:v>0.05</x:v>
      </x:c>
      <x:c r="O497" s="22" t="n">
        <x:f>L497*M497</x:f>
        <x:v>1254</x:v>
      </x:c>
      <x:c r="P497" s="22" t="n">
        <x:f>O497*(1-N497)</x:f>
        <x:v>1191.3</x:v>
      </x:c>
      <x:c r="Q497" s="22" t="n">
        <x:v>31</x:v>
      </x:c>
      <x:c r="R497" s="22" t="n">
        <x:f>Q497*M497</x:f>
        <x:v>1023</x:v>
      </x:c>
      <x:c r="S497" s="22" t="n">
        <x:f>P497-R497</x:f>
        <x:v>168.29999999999995</x:v>
      </x:c>
      <x:c r="T497" t="str">
        <x:v>Bank Transfer</x:v>
      </x:c>
      <x:c r="U497" t="str">
        <x:v>Paid</x:v>
      </x:c>
      <x:c r="V497" t="str">
        <x:v>Delivered</x:v>
      </x:c>
      <x:c r="W497" t="n">
        <x:v>0</x:v>
      </x:c>
      <x:c r="X497" t="str"/>
      <x:c r="Y497" t="str">
        <x:v>Existing Customer</x:v>
      </x:c>
    </x:row>
    <x:row r="498">
      <x:c r="A498" t="str">
        <x:v>O000497</x:v>
      </x:c>
      <x:c r="B498" s="20" t="n">
        <x:v>45854</x:v>
      </x:c>
      <x:c r="C498" t="str">
        <x:v>C0136</x:v>
      </x:c>
      <x:c r="D498" t="str">
        <x:v>Royal Cafe 136</x:v>
      </x:c>
      <x:c r="E498" t="str">
        <x:v>Hotel</x:v>
      </x:c>
      <x:c r="F498" t="str">
        <x:v>Tumakuru</x:v>
      </x:c>
      <x:c r="G498" t="str">
        <x:v>Kavya</x:v>
      </x:c>
      <x:c r="H498" t="str">
        <x:v>P014</x:v>
      </x:c>
      <x:c r="I498" t="str">
        <x:v>Rava 5kg</x:v>
      </x:c>
      <x:c r="J498" t="str">
        <x:v>Flour</x:v>
      </x:c>
      <x:c r="K498" t="str">
        <x:v>Local Select</x:v>
      </x:c>
      <x:c r="L498" s="22" t="n">
        <x:v>245</x:v>
      </x:c>
      <x:c r="M498" t="n">
        <x:v>19</x:v>
      </x:c>
      <x:c r="N498" s="24" t="n">
        <x:v>0</x:v>
      </x:c>
      <x:c r="O498" s="22" t="n">
        <x:f>L498*M498</x:f>
        <x:v>4655</x:v>
      </x:c>
      <x:c r="P498" s="22" t="n">
        <x:f>O498*(1-N498)</x:f>
        <x:v>4655</x:v>
      </x:c>
      <x:c r="Q498" s="22" t="n">
        <x:v>215</x:v>
      </x:c>
      <x:c r="R498" s="22" t="n">
        <x:f>Q498*M498</x:f>
        <x:v>4085</x:v>
      </x:c>
      <x:c r="S498" s="22" t="n">
        <x:f>P498-R498</x:f>
        <x:v>570</x:v>
      </x:c>
      <x:c r="T498" t="str">
        <x:v>UPI</x:v>
      </x:c>
      <x:c r="U498" t="str">
        <x:v>Overdue</x:v>
      </x:c>
      <x:c r="V498" t="str">
        <x:v>Delivered</x:v>
      </x:c>
      <x:c r="W498" t="n">
        <x:v>0</x:v>
      </x:c>
      <x:c r="X498" t="str"/>
      <x:c r="Y498" t="str">
        <x:v>Existing Customer</x:v>
      </x:c>
    </x:row>
    <x:row r="499">
      <x:c r="A499" t="str">
        <x:v>O000498</x:v>
      </x:c>
      <x:c r="B499" s="20" t="n">
        <x:v>46261</x:v>
      </x:c>
      <x:c r="C499" t="str">
        <x:v>C0122</x:v>
      </x:c>
      <x:c r="D499" t="str">
        <x:v>Namma Restaurant 122</x:v>
      </x:c>
      <x:c r="E499" t="str">
        <x:v>Kirana</x:v>
      </x:c>
      <x:c r="F499" t="str">
        <x:v>Hubballi</x:v>
      </x:c>
      <x:c r="G499" t="str">
        <x:v>Sneha</x:v>
      </x:c>
      <x:c r="H499" t="str">
        <x:v>P024</x:v>
      </x:c>
      <x:c r="I499" t="str">
        <x:v>Orange Drink 1L</x:v>
      </x:c>
      <x:c r="J499" t="str">
        <x:v>Beverage</x:v>
      </x:c>
      <x:c r="K499" t="str">
        <x:v>Minute Maid</x:v>
      </x:c>
      <x:c r="L499" s="22" t="n">
        <x:v>105</x:v>
      </x:c>
      <x:c r="M499" t="n">
        <x:v>12</x:v>
      </x:c>
      <x:c r="N499" s="24" t="n">
        <x:v>0.03</x:v>
      </x:c>
      <x:c r="O499" s="22" t="n">
        <x:f>L499*M499</x:f>
        <x:v>1260</x:v>
      </x:c>
      <x:c r="P499" s="22" t="n">
        <x:f>O499*(1-N499)</x:f>
        <x:v>1222.2</x:v>
      </x:c>
      <x:c r="Q499" s="22" t="n">
        <x:v>88</x:v>
      </x:c>
      <x:c r="R499" s="22" t="n">
        <x:f>Q499*M499</x:f>
        <x:v>1056</x:v>
      </x:c>
      <x:c r="S499" s="22" t="n">
        <x:f>P499-R499</x:f>
        <x:v>166.20000000000005</x:v>
      </x:c>
      <x:c r="T499" t="str">
        <x:v>UPI</x:v>
      </x:c>
      <x:c r="U499" t="str">
        <x:v>Paid</x:v>
      </x:c>
      <x:c r="V499" t="str">
        <x:v>Delivered</x:v>
      </x:c>
      <x:c r="W499" t="n">
        <x:v>0</x:v>
      </x:c>
      <x:c r="X499" t="str"/>
      <x:c r="Y499" t="str">
        <x:v>WhatsApp</x:v>
      </x:c>
    </x:row>
    <x:row r="500">
      <x:c r="A500" t="str">
        <x:v>O000499</x:v>
      </x:c>
      <x:c r="B500" s="20" t="n">
        <x:v>45773</x:v>
      </x:c>
      <x:c r="C500" t="str">
        <x:v>C0059</x:v>
      </x:c>
      <x:c r="D500" t="str">
        <x:v>Spice Foods 59</x:v>
      </x:c>
      <x:c r="E500" t="str">
        <x:v>Hotel</x:v>
      </x:c>
      <x:c r="F500" t="str">
        <x:v>Hubballi</x:v>
      </x:c>
      <x:c r="G500" t="str">
        <x:v>Sneha</x:v>
      </x:c>
      <x:c r="H500" t="str">
        <x:v>P027</x:v>
      </x:c>
      <x:c r="I500" t="str">
        <x:v>Biscuits 120g</x:v>
      </x:c>
      <x:c r="J500" t="str">
        <x:v>Snacks</x:v>
      </x:c>
      <x:c r="K500" t="str">
        <x:v>Parle-G</x:v>
      </x:c>
      <x:c r="L500" s="22" t="n">
        <x:v>12</x:v>
      </x:c>
      <x:c r="M500" t="n">
        <x:v>21</x:v>
      </x:c>
      <x:c r="N500" s="24" t="n">
        <x:v>0</x:v>
      </x:c>
      <x:c r="O500" s="22" t="n">
        <x:f>L500*M500</x:f>
        <x:v>252</x:v>
      </x:c>
      <x:c r="P500" s="22" t="n">
        <x:f>O500*(1-N500)</x:f>
        <x:v>252</x:v>
      </x:c>
      <x:c r="Q500" s="22" t="n">
        <x:v>9</x:v>
      </x:c>
      <x:c r="R500" s="22" t="n">
        <x:f>Q500*M500</x:f>
        <x:v>189</x:v>
      </x:c>
      <x:c r="S500" s="22" t="n">
        <x:f>P500-R500</x:f>
        <x:v>63</x:v>
      </x:c>
      <x:c r="T500" t="str">
        <x:v>UPI</x:v>
      </x:c>
      <x:c r="U500" t="str">
        <x:v>Paid</x:v>
      </x:c>
      <x:c r="V500" t="str">
        <x:v>Delivered</x:v>
      </x:c>
      <x:c r="W500" t="n">
        <x:v>0</x:v>
      </x:c>
      <x:c r="X500" t="str"/>
      <x:c r="Y500" t="str">
        <x:v>Field Visit</x:v>
      </x:c>
    </x:row>
    <x:row r="501">
      <x:c r="A501" t="str">
        <x:v>O000500</x:v>
      </x:c>
      <x:c r="B501" s="20" t="n">
        <x:v>45993</x:v>
      </x:c>
      <x:c r="C501" t="str">
        <x:v>C0011</x:v>
      </x:c>
      <x:c r="D501" t="str">
        <x:v>City Cafe 11</x:v>
      </x:c>
      <x:c r="E501" t="str">
        <x:v>Restaurant</x:v>
      </x:c>
      <x:c r="F501" t="str">
        <x:v>Mangaluru</x:v>
      </x:c>
      <x:c r="G501" t="str">
        <x:v>Arjun</x:v>
      </x:c>
      <x:c r="H501" t="str">
        <x:v>P006</x:v>
      </x:c>
      <x:c r="I501" t="str">
        <x:v>Moong Dal 5kg</x:v>
      </x:c>
      <x:c r="J501" t="str">
        <x:v>Pulses</x:v>
      </x:c>
      <x:c r="K501" t="str">
        <x:v>Local Select</x:v>
      </x:c>
      <x:c r="L501" s="22" t="n">
        <x:v>610</x:v>
      </x:c>
      <x:c r="M501" t="n">
        <x:v>32</x:v>
      </x:c>
      <x:c r="N501" s="24" t="n">
        <x:v>0</x:v>
      </x:c>
      <x:c r="O501" s="22" t="n">
        <x:f>L501*M501</x:f>
        <x:v>19520</x:v>
      </x:c>
      <x:c r="P501" s="22" t="n">
        <x:f>O501*(1-N501)</x:f>
        <x:v>19520</x:v>
      </x:c>
      <x:c r="Q501" s="22" t="n">
        <x:v>540</x:v>
      </x:c>
      <x:c r="R501" s="22" t="n">
        <x:f>Q501*M501</x:f>
        <x:v>17280</x:v>
      </x:c>
      <x:c r="S501" s="22" t="n">
        <x:f>P501-R501</x:f>
        <x:v>2240</x:v>
      </x:c>
      <x:c r="T501" t="str">
        <x:v>Cash</x:v>
      </x:c>
      <x:c r="U501" t="str">
        <x:v>Paid</x:v>
      </x:c>
      <x:c r="V501" t="str">
        <x:v>Cancelled</x:v>
      </x:c>
      <x:c r="W501" t="n">
        <x:v>32</x:v>
      </x:c>
      <x:c r="X501" t="str">
        <x:v>Cancelled Order</x:v>
      </x:c>
      <x:c r="Y501" t="str">
        <x:v>Field Visit</x:v>
      </x:c>
    </x:row>
    <x:row r="502">
      <x:c r="A502" t="str">
        <x:v>O000501</x:v>
      </x:c>
      <x:c r="B502" s="20" t="n">
        <x:v>45889</x:v>
      </x:c>
      <x:c r="C502" t="str">
        <x:v>C0216</x:v>
      </x:c>
      <x:c r="D502" t="str">
        <x:v>Cafe Restaurant 216</x:v>
      </x:c>
      <x:c r="E502" t="str">
        <x:v>Canteen</x:v>
      </x:c>
      <x:c r="F502" t="str">
        <x:v>Bengaluru</x:v>
      </x:c>
      <x:c r="G502" t="str">
        <x:v>Vikram</x:v>
      </x:c>
      <x:c r="H502" t="str">
        <x:v>P029</x:v>
      </x:c>
      <x:c r="I502" t="str">
        <x:v>Tomato Ketchup 1kg</x:v>
      </x:c>
      <x:c r="J502" t="str">
        <x:v>Condiments</x:v>
      </x:c>
      <x:c r="K502" t="str">
        <x:v>Kissan</x:v>
      </x:c>
      <x:c r="L502" s="22" t="n">
        <x:v>145</x:v>
      </x:c>
      <x:c r="M502" t="n">
        <x:v>36</x:v>
      </x:c>
      <x:c r="N502" s="24" t="n">
        <x:v>0.03</x:v>
      </x:c>
      <x:c r="O502" s="22" t="n">
        <x:f>L502*M502</x:f>
        <x:v>5220</x:v>
      </x:c>
      <x:c r="P502" s="22" t="n">
        <x:f>O502*(1-N502)</x:f>
        <x:v>5063.4</x:v>
      </x:c>
      <x:c r="Q502" s="22" t="n">
        <x:v>126</x:v>
      </x:c>
      <x:c r="R502" s="22" t="n">
        <x:f>Q502*M502</x:f>
        <x:v>4536</x:v>
      </x:c>
      <x:c r="S502" s="22" t="n">
        <x:f>P502-R502</x:f>
        <x:v>527.3999999999996</x:v>
      </x:c>
      <x:c r="T502" t="str">
        <x:v>Credit</x:v>
      </x:c>
      <x:c r="U502" t="str">
        <x:v>Paid</x:v>
      </x:c>
      <x:c r="V502" t="str">
        <x:v>Delivered</x:v>
      </x:c>
      <x:c r="W502" t="n">
        <x:v>0</x:v>
      </x:c>
      <x:c r="X502" t="str"/>
      <x:c r="Y502" t="str">
        <x:v>WhatsApp</x:v>
      </x:c>
    </x:row>
    <x:row r="503">
      <x:c r="A503" t="str">
        <x:v>O000502</x:v>
      </x:c>
      <x:c r="B503" s="20" t="n">
        <x:v>45671</x:v>
      </x:c>
      <x:c r="C503" t="str">
        <x:v>C0095</x:v>
      </x:c>
      <x:c r="D503" t="str">
        <x:v>Spice Restaurant 95</x:v>
      </x:c>
      <x:c r="E503" t="str">
        <x:v>Restaurant</x:v>
      </x:c>
      <x:c r="F503" t="str">
        <x:v>Bengaluru</x:v>
      </x:c>
      <x:c r="G503" t="str">
        <x:v>Megha</x:v>
      </x:c>
      <x:c r="H503" t="str">
        <x:v>P012</x:v>
      </x:c>
      <x:c r="I503" t="str">
        <x:v>Maida 10kg</x:v>
      </x:c>
      <x:c r="J503" t="str">
        <x:v>Flour</x:v>
      </x:c>
      <x:c r="K503" t="str">
        <x:v>Aashirvaad</x:v>
      </x:c>
      <x:c r="L503" s="22" t="n">
        <x:v>520</x:v>
      </x:c>
      <x:c r="M503" t="n">
        <x:v>32</x:v>
      </x:c>
      <x:c r="N503" s="24" t="n">
        <x:v>0.05</x:v>
      </x:c>
      <x:c r="O503" s="22" t="n">
        <x:f>L503*M503</x:f>
        <x:v>16640</x:v>
      </x:c>
      <x:c r="P503" s="22" t="n">
        <x:f>O503*(1-N503)</x:f>
        <x:v>15808</x:v>
      </x:c>
      <x:c r="Q503" s="22" t="n">
        <x:v>460</x:v>
      </x:c>
      <x:c r="R503" s="22" t="n">
        <x:f>Q503*M503</x:f>
        <x:v>14720</x:v>
      </x:c>
      <x:c r="S503" s="22" t="n">
        <x:f>P503-R503</x:f>
        <x:v>1088</x:v>
      </x:c>
      <x:c r="T503" t="str">
        <x:v>Credit</x:v>
      </x:c>
      <x:c r="U503" t="str">
        <x:v>Paid</x:v>
      </x:c>
      <x:c r="V503" t="str">
        <x:v>Cancelled</x:v>
      </x:c>
      <x:c r="W503" t="n">
        <x:v>32</x:v>
      </x:c>
      <x:c r="X503" t="str">
        <x:v>Cancelled Order</x:v>
      </x:c>
      <x:c r="Y503" t="str">
        <x:v>Outbound Call</x:v>
      </x:c>
    </x:row>
    <x:row r="504">
      <x:c r="A504" t="str">
        <x:v>O000503</x:v>
      </x:c>
      <x:c r="B504" s="20" t="n">
        <x:v>46262</x:v>
      </x:c>
      <x:c r="C504" t="str">
        <x:v>C0102</x:v>
      </x:c>
      <x:c r="D504" t="str">
        <x:v>Annapurna Foods 102</x:v>
      </x:c>
      <x:c r="E504" t="str">
        <x:v>Cafe</x:v>
      </x:c>
      <x:c r="F504" t="str">
        <x:v>Davanagere</x:v>
      </x:c>
      <x:c r="G504" t="str">
        <x:v>Ramesh</x:v>
      </x:c>
      <x:c r="H504" t="str">
        <x:v>P026</x:v>
      </x:c>
      <x:c r="I504" t="str">
        <x:v>Banana Chips 80g</x:v>
      </x:c>
      <x:c r="J504" t="str">
        <x:v>Snacks</x:v>
      </x:c>
      <x:c r="K504" t="str">
        <x:v>SSS</x:v>
      </x:c>
      <x:c r="L504" s="22" t="n">
        <x:v>54</x:v>
      </x:c>
      <x:c r="M504" t="n">
        <x:v>7</x:v>
      </x:c>
      <x:c r="N504" s="24" t="n">
        <x:v>0.05</x:v>
      </x:c>
      <x:c r="O504" s="22" t="n">
        <x:f>L504*M504</x:f>
        <x:v>378</x:v>
      </x:c>
      <x:c r="P504" s="22" t="n">
        <x:f>O504*(1-N504)</x:f>
        <x:v>359.09999999999997</x:v>
      </x:c>
      <x:c r="Q504" s="22" t="n">
        <x:v>39</x:v>
      </x:c>
      <x:c r="R504" s="22" t="n">
        <x:f>Q504*M504</x:f>
        <x:v>273</x:v>
      </x:c>
      <x:c r="S504" s="22" t="n">
        <x:f>P504-R504</x:f>
        <x:v>86.09999999999997</x:v>
      </x:c>
      <x:c r="T504" t="str">
        <x:v>Bank Transfer</x:v>
      </x:c>
      <x:c r="U504" t="str">
        <x:v>Paid</x:v>
      </x:c>
      <x:c r="V504" t="str">
        <x:v>Delivered</x:v>
      </x:c>
      <x:c r="W504" t="n">
        <x:v>0</x:v>
      </x:c>
      <x:c r="X504" t="str"/>
      <x:c r="Y504" t="str">
        <x:v>Existing Customer</x:v>
      </x:c>
    </x:row>
    <x:row r="505">
      <x:c r="A505" t="str">
        <x:v>O000504</x:v>
      </x:c>
      <x:c r="B505" s="20" t="n">
        <x:v>45896</x:v>
      </x:c>
      <x:c r="C505" t="str">
        <x:v>C0104</x:v>
      </x:c>
      <x:c r="D505" t="str">
        <x:v>Shree Foods 104</x:v>
      </x:c>
      <x:c r="E505" t="str">
        <x:v>Cafe</x:v>
      </x:c>
      <x:c r="F505" t="str">
        <x:v>Mangaluru</x:v>
      </x:c>
      <x:c r="G505" t="str">
        <x:v>Megha</x:v>
      </x:c>
      <x:c r="H505" t="str">
        <x:v>P008</x:v>
      </x:c>
      <x:c r="I505" t="str">
        <x:v>Palm Oil 15L</x:v>
      </x:c>
      <x:c r="J505" t="str">
        <x:v>Edible Oil</x:v>
      </x:c>
      <x:c r="K505" t="str">
        <x:v>Ruchi Gold</x:v>
      </x:c>
      <x:c r="L505" s="22" t="n">
        <x:v>1760</x:v>
      </x:c>
      <x:c r="M505" t="n">
        <x:v>12</x:v>
      </x:c>
      <x:c r="N505" s="24" t="n">
        <x:v>0.03</x:v>
      </x:c>
      <x:c r="O505" s="22" t="n">
        <x:f>L505*M505</x:f>
        <x:v>21120</x:v>
      </x:c>
      <x:c r="P505" s="22" t="n">
        <x:f>O505*(1-N505)</x:f>
        <x:v>20486.399999999998</x:v>
      </x:c>
      <x:c r="Q505" s="22" t="n">
        <x:v>1610</x:v>
      </x:c>
      <x:c r="R505" s="22" t="n">
        <x:f>Q505*M505</x:f>
        <x:v>19320</x:v>
      </x:c>
      <x:c r="S505" s="22" t="n">
        <x:f>P505-R505</x:f>
        <x:v>1166.3999999999978</x:v>
      </x:c>
      <x:c r="T505" t="str">
        <x:v>Cash</x:v>
      </x:c>
      <x:c r="U505" t="str">
        <x:v>Pending</x:v>
      </x:c>
      <x:c r="V505" t="str">
        <x:v>Cancelled</x:v>
      </x:c>
      <x:c r="W505" t="n">
        <x:v>12</x:v>
      </x:c>
      <x:c r="X505" t="str">
        <x:v>Cancelled Order</x:v>
      </x:c>
      <x:c r="Y505" t="str">
        <x:v>WhatsApp</x:v>
      </x:c>
    </x:row>
    <x:row r="506">
      <x:c r="A506" t="str">
        <x:v>O000505</x:v>
      </x:c>
      <x:c r="B506" s="20" t="n">
        <x:v>46072</x:v>
      </x:c>
      <x:c r="C506" t="str">
        <x:v>C0171</x:v>
      </x:c>
      <x:c r="D506" t="str">
        <x:v>Metro Canteen 171</x:v>
      </x:c>
      <x:c r="E506" t="str">
        <x:v>Restaurant</x:v>
      </x:c>
      <x:c r="F506" t="str">
        <x:v>Mangaluru</x:v>
      </x:c>
      <x:c r="G506" t="str">
        <x:v>Priya</x:v>
      </x:c>
      <x:c r="H506" t="str">
        <x:v>P039</x:v>
      </x:c>
      <x:c r="I506" t="str">
        <x:v>Ice Cream 4L</x:v>
      </x:c>
      <x:c r="J506" t="str">
        <x:v>Frozen</x:v>
      </x:c>
      <x:c r="K506" t="str">
        <x:v>Amul</x:v>
      </x:c>
      <x:c r="L506" s="22" t="n">
        <x:v>480</x:v>
      </x:c>
      <x:c r="M506" t="n">
        <x:v>32</x:v>
      </x:c>
      <x:c r="N506" s="24" t="n">
        <x:v>0.03</x:v>
      </x:c>
      <x:c r="O506" s="22" t="n">
        <x:f>L506*M506</x:f>
        <x:v>15360</x:v>
      </x:c>
      <x:c r="P506" s="22" t="n">
        <x:f>O506*(1-N506)</x:f>
        <x:v>14899.199999999999</x:v>
      </x:c>
      <x:c r="Q506" s="22" t="n">
        <x:v>420</x:v>
      </x:c>
      <x:c r="R506" s="22" t="n">
        <x:f>Q506*M506</x:f>
        <x:v>13440</x:v>
      </x:c>
      <x:c r="S506" s="22" t="n">
        <x:f>P506-R506</x:f>
        <x:v>1459.199999999999</x:v>
      </x:c>
      <x:c r="T506" t="str">
        <x:v>Bank Transfer</x:v>
      </x:c>
      <x:c r="U506" t="str">
        <x:v>Pending</x:v>
      </x:c>
      <x:c r="V506" t="str">
        <x:v>Delivered</x:v>
      </x:c>
      <x:c r="W506" t="n">
        <x:v>0</x:v>
      </x:c>
      <x:c r="X506" t="str"/>
      <x:c r="Y506" t="str">
        <x:v>WhatsApp</x:v>
      </x:c>
    </x:row>
    <x:row r="507">
      <x:c r="A507" t="str">
        <x:v>O000506</x:v>
      </x:c>
      <x:c r="B507" s="20" t="n">
        <x:v>45688</x:v>
      </x:c>
      <x:c r="C507" t="str">
        <x:v>C0161</x:v>
      </x:c>
      <x:c r="D507" t="str">
        <x:v>Hotel Kitchen 161</x:v>
      </x:c>
      <x:c r="E507" t="str">
        <x:v>Supermarket</x:v>
      </x:c>
      <x:c r="F507" t="str">
        <x:v>Mysuru</x:v>
      </x:c>
      <x:c r="G507" t="str">
        <x:v>Sneha</x:v>
      </x:c>
      <x:c r="H507" t="str">
        <x:v>P009</x:v>
      </x:c>
      <x:c r="I507" t="str">
        <x:v>Groundnut Oil 5L</x:v>
      </x:c>
      <x:c r="J507" t="str">
        <x:v>Edible Oil</x:v>
      </x:c>
      <x:c r="K507" t="str">
        <x:v>Dhara</x:v>
      </x:c>
      <x:c r="L507" s="22" t="n">
        <x:v>890</x:v>
      </x:c>
      <x:c r="M507" t="n">
        <x:v>7</x:v>
      </x:c>
      <x:c r="N507" s="24" t="n">
        <x:v>0.05</x:v>
      </x:c>
      <x:c r="O507" s="22" t="n">
        <x:f>L507*M507</x:f>
        <x:v>6230</x:v>
      </x:c>
      <x:c r="P507" s="22" t="n">
        <x:f>O507*(1-N507)</x:f>
        <x:v>5918.5</x:v>
      </x:c>
      <x:c r="Q507" s="22" t="n">
        <x:v>810</x:v>
      </x:c>
      <x:c r="R507" s="22" t="n">
        <x:f>Q507*M507</x:f>
        <x:v>5670</x:v>
      </x:c>
      <x:c r="S507" s="22" t="n">
        <x:f>P507-R507</x:f>
        <x:v>248.5</x:v>
      </x:c>
      <x:c r="T507" t="str">
        <x:v>UPI</x:v>
      </x:c>
      <x:c r="U507" t="str">
        <x:v>Paid</x:v>
      </x:c>
      <x:c r="V507" t="str">
        <x:v>Delivered</x:v>
      </x:c>
      <x:c r="W507" t="n">
        <x:v>0</x:v>
      </x:c>
      <x:c r="X507" t="str"/>
      <x:c r="Y507" t="str">
        <x:v>WhatsApp</x:v>
      </x:c>
    </x:row>
    <x:row r="508">
      <x:c r="A508" t="str">
        <x:v>O000507</x:v>
      </x:c>
      <x:c r="B508" s="20" t="n">
        <x:v>45968</x:v>
      </x:c>
      <x:c r="C508" t="str">
        <x:v>C0084</x:v>
      </x:c>
      <x:c r="D508" t="str">
        <x:v>Green Cafe 84</x:v>
      </x:c>
      <x:c r="E508" t="str">
        <x:v>Hotel</x:v>
      </x:c>
      <x:c r="F508" t="str">
        <x:v>Mysuru</x:v>
      </x:c>
      <x:c r="G508" t="str">
        <x:v>Priya</x:v>
      </x:c>
      <x:c r="H508" t="str">
        <x:v>P010</x:v>
      </x:c>
      <x:c r="I508" t="str">
        <x:v>Sugar 25kg</x:v>
      </x:c>
      <x:c r="J508" t="str">
        <x:v>Staples</x:v>
      </x:c>
      <x:c r="K508" t="str">
        <x:v>Madhur</x:v>
      </x:c>
      <x:c r="L508" s="22" t="n">
        <x:v>1190</x:v>
      </x:c>
      <x:c r="M508" t="n">
        <x:v>10</x:v>
      </x:c>
      <x:c r="N508" s="24" t="n">
        <x:v>0</x:v>
      </x:c>
      <x:c r="O508" s="22" t="n">
        <x:f>L508*M508</x:f>
        <x:v>11900</x:v>
      </x:c>
      <x:c r="P508" s="22" t="n">
        <x:f>O508*(1-N508)</x:f>
        <x:v>11900</x:v>
      </x:c>
      <x:c r="Q508" s="22" t="n">
        <x:v>1080</x:v>
      </x:c>
      <x:c r="R508" s="22" t="n">
        <x:f>Q508*M508</x:f>
        <x:v>10800</x:v>
      </x:c>
      <x:c r="S508" s="22" t="n">
        <x:f>P508-R508</x:f>
        <x:v>1100</x:v>
      </x:c>
      <x:c r="T508" t="str">
        <x:v>UPI</x:v>
      </x:c>
      <x:c r="U508" t="str">
        <x:v>Paid</x:v>
      </x:c>
      <x:c r="V508" t="str">
        <x:v>Delayed</x:v>
      </x:c>
      <x:c r="W508" t="n">
        <x:v>0</x:v>
      </x:c>
      <x:c r="X508" t="str"/>
      <x:c r="Y508" t="str">
        <x:v>WhatsApp</x:v>
      </x:c>
    </x:row>
    <x:row r="509">
      <x:c r="A509" t="str">
        <x:v>O000508</x:v>
      </x:c>
      <x:c r="B509" s="20" t="n">
        <x:v>46167</x:v>
      </x:c>
      <x:c r="C509" t="str">
        <x:v>C0052</x:v>
      </x:c>
      <x:c r="D509" t="str">
        <x:v>Sagar Canteen 52</x:v>
      </x:c>
      <x:c r="E509" t="str">
        <x:v>Kirana</x:v>
      </x:c>
      <x:c r="F509" t="str">
        <x:v>Mysuru</x:v>
      </x:c>
      <x:c r="G509" t="str">
        <x:v>Kavya</x:v>
      </x:c>
      <x:c r="H509" t="str">
        <x:v>P019</x:v>
      </x:c>
      <x:c r="I509" t="str">
        <x:v>Tea 1kg</x:v>
      </x:c>
      <x:c r="J509" t="str">
        <x:v>Beverage</x:v>
      </x:c>
      <x:c r="K509" t="str">
        <x:v>Red Label</x:v>
      </x:c>
      <x:c r="L509" s="22" t="n">
        <x:v>540</x:v>
      </x:c>
      <x:c r="M509" t="n">
        <x:v>32</x:v>
      </x:c>
      <x:c r="N509" s="24" t="n">
        <x:v>0.03</x:v>
      </x:c>
      <x:c r="O509" s="22" t="n">
        <x:f>L509*M509</x:f>
        <x:v>17280</x:v>
      </x:c>
      <x:c r="P509" s="22" t="n">
        <x:f>O509*(1-N509)</x:f>
        <x:v>16761.6</x:v>
      </x:c>
      <x:c r="Q509" s="22" t="n">
        <x:v>485</x:v>
      </x:c>
      <x:c r="R509" s="22" t="n">
        <x:f>Q509*M509</x:f>
        <x:v>15520</x:v>
      </x:c>
      <x:c r="S509" s="22" t="n">
        <x:f>P509-R509</x:f>
        <x:v>1241.5999999999985</x:v>
      </x:c>
      <x:c r="T509" t="str">
        <x:v>Cash</x:v>
      </x:c>
      <x:c r="U509" t="str">
        <x:v>Pending</x:v>
      </x:c>
      <x:c r="V509" t="str">
        <x:v>Delayed</x:v>
      </x:c>
      <x:c r="W509" t="n">
        <x:v>0</x:v>
      </x:c>
      <x:c r="X509" t="str"/>
      <x:c r="Y509" t="str">
        <x:v>Existing Customer</x:v>
      </x:c>
    </x:row>
    <x:row r="510">
      <x:c r="A510" t="str">
        <x:v>O000509</x:v>
      </x:c>
      <x:c r="B510" s="20" t="n">
        <x:v>46098</x:v>
      </x:c>
      <x:c r="C510" t="str">
        <x:v>C0196</x:v>
      </x:c>
      <x:c r="D510" t="str">
        <x:v>Namma Mart 196</x:v>
      </x:c>
      <x:c r="E510" t="str">
        <x:v>Cafe</x:v>
      </x:c>
      <x:c r="F510" t="str">
        <x:v>Mangaluru</x:v>
      </x:c>
      <x:c r="G510" t="str">
        <x:v>Kavya</x:v>
      </x:c>
      <x:c r="H510" t="str">
        <x:v>P003</x:v>
      </x:c>
      <x:c r="I510" t="str">
        <x:v>Basmati Rice 5kg</x:v>
      </x:c>
      <x:c r="J510" t="str">
        <x:v>Staples</x:v>
      </x:c>
      <x:c r="K510" t="str">
        <x:v>India Gate</x:v>
      </x:c>
      <x:c r="L510" s="22" t="n">
        <x:v>690</x:v>
      </x:c>
      <x:c r="M510" t="n">
        <x:v>8</x:v>
      </x:c>
      <x:c r="N510" s="24" t="n">
        <x:v>0.02</x:v>
      </x:c>
      <x:c r="O510" s="22" t="n">
        <x:f>L510*M510</x:f>
        <x:v>5520</x:v>
      </x:c>
      <x:c r="P510" s="22" t="n">
        <x:f>O510*(1-N510)</x:f>
        <x:v>5409.599999999999</x:v>
      </x:c>
      <x:c r="Q510" s="22" t="n">
        <x:v>610</x:v>
      </x:c>
      <x:c r="R510" s="22" t="n">
        <x:f>Q510*M510</x:f>
        <x:v>4880</x:v>
      </x:c>
      <x:c r="S510" s="22" t="n">
        <x:f>P510-R510</x:f>
        <x:v>529.5999999999995</x:v>
      </x:c>
      <x:c r="T510" t="str">
        <x:v>Cash</x:v>
      </x:c>
      <x:c r="U510" t="str">
        <x:v>Pending</x:v>
      </x:c>
      <x:c r="V510" t="str">
        <x:v>Delivered</x:v>
      </x:c>
      <x:c r="W510" t="n">
        <x:v>0</x:v>
      </x:c>
      <x:c r="X510" t="str"/>
      <x:c r="Y510" t="str">
        <x:v>Outbound Call</x:v>
      </x:c>
    </x:row>
    <x:row r="511">
      <x:c r="A511" t="str">
        <x:v>O000510</x:v>
      </x:c>
      <x:c r="B511" s="20" t="n">
        <x:v>45968</x:v>
      </x:c>
      <x:c r="C511" t="str">
        <x:v>C0169</x:v>
      </x:c>
      <x:c r="D511" t="str">
        <x:v>Grand Mart 169</x:v>
      </x:c>
      <x:c r="E511" t="str">
        <x:v>Canteen</x:v>
      </x:c>
      <x:c r="F511" t="str">
        <x:v>Mangaluru</x:v>
      </x:c>
      <x:c r="G511" t="str">
        <x:v>Vikram</x:v>
      </x:c>
      <x:c r="H511" t="str">
        <x:v>P050</x:v>
      </x:c>
      <x:c r="I511" t="str">
        <x:v>Lemon 5kg</x:v>
      </x:c>
      <x:c r="J511" t="str">
        <x:v>Fresh Produce</x:v>
      </x:c>
      <x:c r="K511" t="str">
        <x:v>Local Market</x:v>
      </x:c>
      <x:c r="L511" s="22" t="n">
        <x:v>360</x:v>
      </x:c>
      <x:c r="M511" t="n">
        <x:v>11</x:v>
      </x:c>
      <x:c r="N511" s="24" t="n">
        <x:v>0.03</x:v>
      </x:c>
      <x:c r="O511" s="22" t="n">
        <x:f>L511*M511</x:f>
        <x:v>3960</x:v>
      </x:c>
      <x:c r="P511" s="22" t="n">
        <x:f>O511*(1-N511)</x:f>
        <x:v>3841.2</x:v>
      </x:c>
      <x:c r="Q511" s="22" t="n">
        <x:v>300</x:v>
      </x:c>
      <x:c r="R511" s="22" t="n">
        <x:f>Q511*M511</x:f>
        <x:v>3300</x:v>
      </x:c>
      <x:c r="S511" s="22" t="n">
        <x:f>P511-R511</x:f>
        <x:v>541.1999999999998</x:v>
      </x:c>
      <x:c r="T511" t="str">
        <x:v>Bank Transfer</x:v>
      </x:c>
      <x:c r="U511" t="str">
        <x:v>Paid</x:v>
      </x:c>
      <x:c r="V511" t="str">
        <x:v>Delivered</x:v>
      </x:c>
      <x:c r="W511" t="n">
        <x:v>0</x:v>
      </x:c>
      <x:c r="X511" t="str"/>
      <x:c r="Y511" t="str">
        <x:v>Outbound Call</x:v>
      </x:c>
    </x:row>
    <x:row r="512">
      <x:c r="A512" t="str">
        <x:v>O000511</x:v>
      </x:c>
      <x:c r="B512" s="20" t="n">
        <x:v>46225</x:v>
      </x:c>
      <x:c r="C512" t="str">
        <x:v>C0126</x:v>
      </x:c>
      <x:c r="D512" t="str">
        <x:v>Mysore Hotel 126</x:v>
      </x:c>
      <x:c r="E512" t="str">
        <x:v>Restaurant</x:v>
      </x:c>
      <x:c r="F512" t="str">
        <x:v>Mangaluru</x:v>
      </x:c>
      <x:c r="G512" t="str">
        <x:v>Vikram</x:v>
      </x:c>
      <x:c r="H512" t="str">
        <x:v>P043</x:v>
      </x:c>
      <x:c r="I512" t="str">
        <x:v>Chicken Breast 1kg</x:v>
      </x:c>
      <x:c r="J512" t="str">
        <x:v>Protein</x:v>
      </x:c>
      <x:c r="K512" t="str">
        <x:v>FreshToHome</x:v>
      </x:c>
      <x:c r="L512" s="22" t="n">
        <x:v>260</x:v>
      </x:c>
      <x:c r="M512" t="n">
        <x:v>35</x:v>
      </x:c>
      <x:c r="N512" s="24" t="n">
        <x:v>0.03</x:v>
      </x:c>
      <x:c r="O512" s="22" t="n">
        <x:f>L512*M512</x:f>
        <x:v>9100</x:v>
      </x:c>
      <x:c r="P512" s="22" t="n">
        <x:f>O512*(1-N512)</x:f>
        <x:v>8827</x:v>
      </x:c>
      <x:c r="Q512" s="22" t="n">
        <x:v>235</x:v>
      </x:c>
      <x:c r="R512" s="22" t="n">
        <x:f>Q512*M512</x:f>
        <x:v>8225</x:v>
      </x:c>
      <x:c r="S512" s="22" t="n">
        <x:f>P512-R512</x:f>
        <x:v>602</x:v>
      </x:c>
      <x:c r="T512" t="str">
        <x:v>Credit</x:v>
      </x:c>
      <x:c r="U512" t="str">
        <x:v>Paid</x:v>
      </x:c>
      <x:c r="V512" t="str">
        <x:v>Delivered</x:v>
      </x:c>
      <x:c r="W512" t="n">
        <x:v>0</x:v>
      </x:c>
      <x:c r="X512" t="str"/>
      <x:c r="Y512" t="str">
        <x:v>WhatsApp</x:v>
      </x:c>
    </x:row>
    <x:row r="513">
      <x:c r="A513" t="str">
        <x:v>O000512</x:v>
      </x:c>
      <x:c r="B513" s="20" t="n">
        <x:v>46019</x:v>
      </x:c>
      <x:c r="C513" t="str">
        <x:v>C0152</x:v>
      </x:c>
      <x:c r="D513" t="str">
        <x:v>Metro Stores 152</x:v>
      </x:c>
      <x:c r="E513" t="str">
        <x:v>Cafe</x:v>
      </x:c>
      <x:c r="F513" t="str">
        <x:v>Hubballi</x:v>
      </x:c>
      <x:c r="G513" t="str">
        <x:v>Priya</x:v>
      </x:c>
      <x:c r="H513" t="str">
        <x:v>P025</x:v>
      </x:c>
      <x:c r="I513" t="str">
        <x:v>Potato Chips 100g</x:v>
      </x:c>
      <x:c r="J513" t="str">
        <x:v>Snacks</x:v>
      </x:c>
      <x:c r="K513" t="str">
        <x:v>Lay's</x:v>
      </x:c>
      <x:c r="L513" s="22" t="n">
        <x:v>35</x:v>
      </x:c>
      <x:c r="M513" t="n">
        <x:v>19</x:v>
      </x:c>
      <x:c r="N513" s="24" t="n">
        <x:v>0.02</x:v>
      </x:c>
      <x:c r="O513" s="22" t="n">
        <x:f>L513*M513</x:f>
        <x:v>665</x:v>
      </x:c>
      <x:c r="P513" s="22" t="n">
        <x:f>O513*(1-N513)</x:f>
        <x:v>651.6999999999999</x:v>
      </x:c>
      <x:c r="Q513" s="22" t="n">
        <x:v>27</x:v>
      </x:c>
      <x:c r="R513" s="22" t="n">
        <x:f>Q513*M513</x:f>
        <x:v>513</x:v>
      </x:c>
      <x:c r="S513" s="22" t="n">
        <x:f>P513-R513</x:f>
        <x:v>138.69999999999993</x:v>
      </x:c>
      <x:c r="T513" t="str">
        <x:v>UPI</x:v>
      </x:c>
      <x:c r="U513" t="str">
        <x:v>Paid</x:v>
      </x:c>
      <x:c r="V513" t="str">
        <x:v>Delivered</x:v>
      </x:c>
      <x:c r="W513" t="n">
        <x:v>0</x:v>
      </x:c>
      <x:c r="X513" t="str"/>
      <x:c r="Y513" t="str">
        <x:v>Field Visit</x:v>
      </x:c>
    </x:row>
    <x:row r="514">
      <x:c r="A514" t="str">
        <x:v>O000513</x:v>
      </x:c>
      <x:c r="B514" s="20" t="n">
        <x:v>46007</x:v>
      </x:c>
      <x:c r="C514" t="str">
        <x:v>C0150</x:v>
      </x:c>
      <x:c r="D514" t="str">
        <x:v>Sagar Kitchen 150</x:v>
      </x:c>
      <x:c r="E514" t="str">
        <x:v>Kirana</x:v>
      </x:c>
      <x:c r="F514" t="str">
        <x:v>Hubballi</x:v>
      </x:c>
      <x:c r="G514" t="str">
        <x:v>Ramesh</x:v>
      </x:c>
      <x:c r="H514" t="str">
        <x:v>P002</x:v>
      </x:c>
      <x:c r="I514" t="str">
        <x:v>Sona Masoori Rice 25kg</x:v>
      </x:c>
      <x:c r="J514" t="str">
        <x:v>Staples</x:v>
      </x:c>
      <x:c r="K514" t="str">
        <x:v>Fortune</x:v>
      </x:c>
      <x:c r="L514" s="22" t="n">
        <x:v>1320</x:v>
      </x:c>
      <x:c r="M514" t="n">
        <x:v>2</x:v>
      </x:c>
      <x:c r="N514" s="24" t="n">
        <x:v>0.03</x:v>
      </x:c>
      <x:c r="O514" s="22" t="n">
        <x:f>L514*M514</x:f>
        <x:v>2640</x:v>
      </x:c>
      <x:c r="P514" s="22" t="n">
        <x:f>O514*(1-N514)</x:f>
        <x:v>2560.7999999999997</x:v>
      </x:c>
      <x:c r="Q514" s="22" t="n">
        <x:v>1160</x:v>
      </x:c>
      <x:c r="R514" s="22" t="n">
        <x:f>Q514*M514</x:f>
        <x:v>2320</x:v>
      </x:c>
      <x:c r="S514" s="22" t="n">
        <x:f>P514-R514</x:f>
        <x:v>240.79999999999973</x:v>
      </x:c>
      <x:c r="T514" t="str">
        <x:v>Cash</x:v>
      </x:c>
      <x:c r="U514" t="str">
        <x:v>Paid</x:v>
      </x:c>
      <x:c r="V514" t="str">
        <x:v>Delivered</x:v>
      </x:c>
      <x:c r="W514" t="n">
        <x:v>0</x:v>
      </x:c>
      <x:c r="X514" t="str"/>
      <x:c r="Y514" t="str">
        <x:v>Referral</x:v>
      </x:c>
    </x:row>
    <x:row r="515">
      <x:c r="A515" t="str">
        <x:v>O000514</x:v>
      </x:c>
      <x:c r="B515" s="20" t="n">
        <x:v>45744</x:v>
      </x:c>
      <x:c r="C515" t="str">
        <x:v>C0080</x:v>
      </x:c>
      <x:c r="D515" t="str">
        <x:v>Annapurna Canteen 80</x:v>
      </x:c>
      <x:c r="E515" t="str">
        <x:v>Restaurant</x:v>
      </x:c>
      <x:c r="F515" t="str">
        <x:v>Mangaluru</x:v>
      </x:c>
      <x:c r="G515" t="str">
        <x:v>Priya</x:v>
      </x:c>
      <x:c r="H515" t="str">
        <x:v>P038</x:v>
      </x:c>
      <x:c r="I515" t="str">
        <x:v>French Fries 2.5kg</x:v>
      </x:c>
      <x:c r="J515" t="str">
        <x:v>Frozen</x:v>
      </x:c>
      <x:c r="K515" t="str">
        <x:v>McCain</x:v>
      </x:c>
      <x:c r="L515" s="22" t="n">
        <x:v>360</x:v>
      </x:c>
      <x:c r="M515" t="n">
        <x:v>5</x:v>
      </x:c>
      <x:c r="N515" s="24" t="n">
        <x:v>0.08</x:v>
      </x:c>
      <x:c r="O515" s="22" t="n">
        <x:f>L515*M515</x:f>
        <x:v>1800</x:v>
      </x:c>
      <x:c r="P515" s="22" t="n">
        <x:f>O515*(1-N515)</x:f>
        <x:v>1656</x:v>
      </x:c>
      <x:c r="Q515" s="22" t="n">
        <x:v>315</x:v>
      </x:c>
      <x:c r="R515" s="22" t="n">
        <x:f>Q515*M515</x:f>
        <x:v>1575</x:v>
      </x:c>
      <x:c r="S515" s="22" t="n">
        <x:f>P515-R515</x:f>
        <x:v>81</x:v>
      </x:c>
      <x:c r="T515" t="str">
        <x:v>UPI</x:v>
      </x:c>
      <x:c r="U515" t="str">
        <x:v>Paid</x:v>
      </x:c>
      <x:c r="V515" t="str">
        <x:v>Delivered</x:v>
      </x:c>
      <x:c r="W515" t="n">
        <x:v>0</x:v>
      </x:c>
      <x:c r="X515" t="str"/>
      <x:c r="Y515" t="str">
        <x:v>Outbound Call</x:v>
      </x:c>
    </x:row>
    <x:row r="516">
      <x:c r="A516" t="str">
        <x:v>O000515</x:v>
      </x:c>
      <x:c r="B516" s="20" t="n">
        <x:v>46239</x:v>
      </x:c>
      <x:c r="C516" t="str">
        <x:v>C0222</x:v>
      </x:c>
      <x:c r="D516" t="str">
        <x:v>Sri Cafe 222</x:v>
      </x:c>
      <x:c r="E516" t="str">
        <x:v>Kirana</x:v>
      </x:c>
      <x:c r="F516" t="str">
        <x:v>Mangaluru</x:v>
      </x:c>
      <x:c r="G516" t="str">
        <x:v>Arjun</x:v>
      </x:c>
      <x:c r="H516" t="str">
        <x:v>P028</x:v>
      </x:c>
      <x:c r="I516" t="str">
        <x:v>Cookies 200g</x:v>
      </x:c>
      <x:c r="J516" t="str">
        <x:v>Snacks</x:v>
      </x:c>
      <x:c r="K516" t="str">
        <x:v>Britannia</x:v>
      </x:c>
      <x:c r="L516" s="22" t="n">
        <x:v>55</x:v>
      </x:c>
      <x:c r="M516" t="n">
        <x:v>33</x:v>
      </x:c>
      <x:c r="N516" s="24" t="n">
        <x:v>0.08</x:v>
      </x:c>
      <x:c r="O516" s="22" t="n">
        <x:f>L516*M516</x:f>
        <x:v>1815</x:v>
      </x:c>
      <x:c r="P516" s="22" t="n">
        <x:f>O516*(1-N516)</x:f>
        <x:v>1669.8000000000002</x:v>
      </x:c>
      <x:c r="Q516" s="22" t="n">
        <x:v>42</x:v>
      </x:c>
      <x:c r="R516" s="22" t="n">
        <x:f>Q516*M516</x:f>
        <x:v>1386</x:v>
      </x:c>
      <x:c r="S516" s="22" t="n">
        <x:f>P516-R516</x:f>
        <x:v>283.8000000000002</x:v>
      </x:c>
      <x:c r="T516" t="str">
        <x:v>Cash</x:v>
      </x:c>
      <x:c r="U516" t="str">
        <x:v>Paid</x:v>
      </x:c>
      <x:c r="V516" t="str">
        <x:v>Delivered</x:v>
      </x:c>
      <x:c r="W516" t="n">
        <x:v>0</x:v>
      </x:c>
      <x:c r="X516" t="str"/>
      <x:c r="Y516" t="str">
        <x:v>Field Visit</x:v>
      </x:c>
    </x:row>
    <x:row r="517">
      <x:c r="A517" t="str">
        <x:v>O000516</x:v>
      </x:c>
      <x:c r="B517" s="20" t="n">
        <x:v>46244</x:v>
      </x:c>
      <x:c r="C517" t="str">
        <x:v>C0100</x:v>
      </x:c>
      <x:c r="D517" t="str">
        <x:v>Fresh Mart 100</x:v>
      </x:c>
      <x:c r="E517" t="str">
        <x:v>Restaurant</x:v>
      </x:c>
      <x:c r="F517" t="str">
        <x:v>Mysuru</x:v>
      </x:c>
      <x:c r="G517" t="str">
        <x:v>Imran</x:v>
      </x:c>
      <x:c r="H517" t="str">
        <x:v>P021</x:v>
      </x:c>
      <x:c r="I517" t="str">
        <x:v>Instant Coffee 200g</x:v>
      </x:c>
      <x:c r="J517" t="str">
        <x:v>Beverage</x:v>
      </x:c>
      <x:c r="K517" t="str">
        <x:v>Nescafe</x:v>
      </x:c>
      <x:c r="L517" s="22" t="n">
        <x:v>460</x:v>
      </x:c>
      <x:c r="M517" t="n">
        <x:v>7</x:v>
      </x:c>
      <x:c r="N517" s="24" t="n">
        <x:v>0.05</x:v>
      </x:c>
      <x:c r="O517" s="22" t="n">
        <x:f>L517*M517</x:f>
        <x:v>3220</x:v>
      </x:c>
      <x:c r="P517" s="22" t="n">
        <x:f>O517*(1-N517)</x:f>
        <x:v>3059</x:v>
      </x:c>
      <x:c r="Q517" s="22" t="n">
        <x:v>410</x:v>
      </x:c>
      <x:c r="R517" s="22" t="n">
        <x:f>Q517*M517</x:f>
        <x:v>2870</x:v>
      </x:c>
      <x:c r="S517" s="22" t="n">
        <x:f>P517-R517</x:f>
        <x:v>189</x:v>
      </x:c>
      <x:c r="T517" t="str">
        <x:v>UPI</x:v>
      </x:c>
      <x:c r="U517" t="str">
        <x:v>Paid</x:v>
      </x:c>
      <x:c r="V517" t="str">
        <x:v>Delivered</x:v>
      </x:c>
      <x:c r="W517" t="n">
        <x:v>0</x:v>
      </x:c>
      <x:c r="X517" t="str"/>
      <x:c r="Y517" t="str">
        <x:v>Existing Customer</x:v>
      </x:c>
    </x:row>
    <x:row r="518">
      <x:c r="A518" t="str">
        <x:v>O000517</x:v>
      </x:c>
      <x:c r="B518" s="20" t="n">
        <x:v>45828</x:v>
      </x:c>
      <x:c r="C518" t="str">
        <x:v>C0171</x:v>
      </x:c>
      <x:c r="D518" t="str">
        <x:v>Metro Canteen 171</x:v>
      </x:c>
      <x:c r="E518" t="str">
        <x:v>Restaurant</x:v>
      </x:c>
      <x:c r="F518" t="str">
        <x:v>Mangaluru</x:v>
      </x:c>
      <x:c r="G518" t="str">
        <x:v>Priya</x:v>
      </x:c>
      <x:c r="H518" t="str">
        <x:v>P022</x:v>
      </x:c>
      <x:c r="I518" t="str">
        <x:v>Mineral Water 1L</x:v>
      </x:c>
      <x:c r="J518" t="str">
        <x:v>Beverage</x:v>
      </x:c>
      <x:c r="K518" t="str">
        <x:v>Bisleri</x:v>
      </x:c>
      <x:c r="L518" s="22" t="n">
        <x:v>19</x:v>
      </x:c>
      <x:c r="M518" t="n">
        <x:v>40</x:v>
      </x:c>
      <x:c r="N518" s="24" t="n">
        <x:v>0.02</x:v>
      </x:c>
      <x:c r="O518" s="22" t="n">
        <x:f>L518*M518</x:f>
        <x:v>760</x:v>
      </x:c>
      <x:c r="P518" s="22" t="n">
        <x:f>O518*(1-N518)</x:f>
        <x:v>744.8</x:v>
      </x:c>
      <x:c r="Q518" s="22" t="n">
        <x:v>15</x:v>
      </x:c>
      <x:c r="R518" s="22" t="n">
        <x:f>Q518*M518</x:f>
        <x:v>600</x:v>
      </x:c>
      <x:c r="S518" s="22" t="n">
        <x:f>P518-R518</x:f>
        <x:v>144.79999999999995</x:v>
      </x:c>
      <x:c r="T518" t="str">
        <x:v>Credit</x:v>
      </x:c>
      <x:c r="U518" t="str">
        <x:v>Paid</x:v>
      </x:c>
      <x:c r="V518" t="str">
        <x:v>Cancelled</x:v>
      </x:c>
      <x:c r="W518" t="n">
        <x:v>40</x:v>
      </x:c>
      <x:c r="X518" t="str">
        <x:v>Cancelled Order</x:v>
      </x:c>
      <x:c r="Y518" t="str">
        <x:v>Outbound Call</x:v>
      </x:c>
    </x:row>
    <x:row r="519">
      <x:c r="A519" t="str">
        <x:v>O000518</x:v>
      </x:c>
      <x:c r="B519" s="20" t="n">
        <x:v>45952</x:v>
      </x:c>
      <x:c r="C519" t="str">
        <x:v>C0138</x:v>
      </x:c>
      <x:c r="D519" t="str">
        <x:v>New Mart 138</x:v>
      </x:c>
      <x:c r="E519" t="str">
        <x:v>Restaurant</x:v>
      </x:c>
      <x:c r="F519" t="str">
        <x:v>Bengaluru</x:v>
      </x:c>
      <x:c r="G519" t="str">
        <x:v>Ramesh</x:v>
      </x:c>
      <x:c r="H519" t="str">
        <x:v>P014</x:v>
      </x:c>
      <x:c r="I519" t="str">
        <x:v>Rava 5kg</x:v>
      </x:c>
      <x:c r="J519" t="str">
        <x:v>Flour</x:v>
      </x:c>
      <x:c r="K519" t="str">
        <x:v>Local Select</x:v>
      </x:c>
      <x:c r="L519" s="22" t="n">
        <x:v>245</x:v>
      </x:c>
      <x:c r="M519" t="n">
        <x:v>17</x:v>
      </x:c>
      <x:c r="N519" s="24" t="n">
        <x:v>0</x:v>
      </x:c>
      <x:c r="O519" s="22" t="n">
        <x:f>L519*M519</x:f>
        <x:v>4165</x:v>
      </x:c>
      <x:c r="P519" s="22" t="n">
        <x:f>O519*(1-N519)</x:f>
        <x:v>4165</x:v>
      </x:c>
      <x:c r="Q519" s="22" t="n">
        <x:v>215</x:v>
      </x:c>
      <x:c r="R519" s="22" t="n">
        <x:f>Q519*M519</x:f>
        <x:v>3655</x:v>
      </x:c>
      <x:c r="S519" s="22" t="n">
        <x:f>P519-R519</x:f>
        <x:v>510</x:v>
      </x:c>
      <x:c r="T519" t="str">
        <x:v>Credit</x:v>
      </x:c>
      <x:c r="U519" t="str">
        <x:v>Pending</x:v>
      </x:c>
      <x:c r="V519" t="str">
        <x:v>Delayed</x:v>
      </x:c>
      <x:c r="W519" t="n">
        <x:v>0</x:v>
      </x:c>
      <x:c r="X519" t="str"/>
      <x:c r="Y519" t="str">
        <x:v>Outbound Call</x:v>
      </x:c>
    </x:row>
    <x:row r="520">
      <x:c r="A520" t="str">
        <x:v>O000519</x:v>
      </x:c>
      <x:c r="B520" s="20" t="n">
        <x:v>46264</x:v>
      </x:c>
      <x:c r="C520" t="str">
        <x:v>C0149</x:v>
      </x:c>
      <x:c r="D520" t="str">
        <x:v>Annapurna Hotel 149</x:v>
      </x:c>
      <x:c r="E520" t="str">
        <x:v>Cafe</x:v>
      </x:c>
      <x:c r="F520" t="str">
        <x:v>Tumakuru</x:v>
      </x:c>
      <x:c r="G520" t="str">
        <x:v>Megha</x:v>
      </x:c>
      <x:c r="H520" t="str">
        <x:v>P007</x:v>
      </x:c>
      <x:c r="I520" t="str">
        <x:v>Sunflower Oil 15L</x:v>
      </x:c>
      <x:c r="J520" t="str">
        <x:v>Edible Oil</x:v>
      </x:c>
      <x:c r="K520" t="str">
        <x:v>Fortune</x:v>
      </x:c>
      <x:c r="L520" s="22" t="n">
        <x:v>1980</x:v>
      </x:c>
      <x:c r="M520" t="n">
        <x:v>5</x:v>
      </x:c>
      <x:c r="N520" s="24" t="n">
        <x:v>0</x:v>
      </x:c>
      <x:c r="O520" s="22" t="n">
        <x:f>L520*M520</x:f>
        <x:v>9900</x:v>
      </x:c>
      <x:c r="P520" s="22" t="n">
        <x:f>O520*(1-N520)</x:f>
        <x:v>9900</x:v>
      </x:c>
      <x:c r="Q520" s="22" t="n">
        <x:v>1810</x:v>
      </x:c>
      <x:c r="R520" s="22" t="n">
        <x:f>Q520*M520</x:f>
        <x:v>9050</x:v>
      </x:c>
      <x:c r="S520" s="22" t="n">
        <x:f>P520-R520</x:f>
        <x:v>850</x:v>
      </x:c>
      <x:c r="T520" t="str">
        <x:v>Credit</x:v>
      </x:c>
      <x:c r="U520" t="str">
        <x:v>Paid</x:v>
      </x:c>
      <x:c r="V520" t="str">
        <x:v>Delivered</x:v>
      </x:c>
      <x:c r="W520" t="n">
        <x:v>0</x:v>
      </x:c>
      <x:c r="X520" t="str"/>
      <x:c r="Y520" t="str">
        <x:v>Field Visit</x:v>
      </x:c>
    </x:row>
    <x:row r="521">
      <x:c r="A521" t="str">
        <x:v>O000520</x:v>
      </x:c>
      <x:c r="B521" s="20" t="n">
        <x:v>46210</x:v>
      </x:c>
      <x:c r="C521" t="str">
        <x:v>C0077</x:v>
      </x:c>
      <x:c r="D521" t="str">
        <x:v>Spice Cafe 77</x:v>
      </x:c>
      <x:c r="E521" t="str">
        <x:v>Kirana</x:v>
      </x:c>
      <x:c r="F521" t="str">
        <x:v>Hubballi</x:v>
      </x:c>
      <x:c r="G521" t="str">
        <x:v>Vikram</x:v>
      </x:c>
      <x:c r="H521" t="str">
        <x:v>P028</x:v>
      </x:c>
      <x:c r="I521" t="str">
        <x:v>Cookies 200g</x:v>
      </x:c>
      <x:c r="J521" t="str">
        <x:v>Snacks</x:v>
      </x:c>
      <x:c r="K521" t="str">
        <x:v>Britannia</x:v>
      </x:c>
      <x:c r="L521" s="22" t="n">
        <x:v>55</x:v>
      </x:c>
      <x:c r="M521" t="n">
        <x:v>21</x:v>
      </x:c>
      <x:c r="N521" s="24" t="n">
        <x:v>0</x:v>
      </x:c>
      <x:c r="O521" s="22" t="n">
        <x:f>L521*M521</x:f>
        <x:v>1155</x:v>
      </x:c>
      <x:c r="P521" s="22" t="n">
        <x:f>O521*(1-N521)</x:f>
        <x:v>1155</x:v>
      </x:c>
      <x:c r="Q521" s="22" t="n">
        <x:v>42</x:v>
      </x:c>
      <x:c r="R521" s="22" t="n">
        <x:f>Q521*M521</x:f>
        <x:v>882</x:v>
      </x:c>
      <x:c r="S521" s="22" t="n">
        <x:f>P521-R521</x:f>
        <x:v>273</x:v>
      </x:c>
      <x:c r="T521" t="str">
        <x:v>Credit</x:v>
      </x:c>
      <x:c r="U521" t="str">
        <x:v>Paid</x:v>
      </x:c>
      <x:c r="V521" t="str">
        <x:v>Delayed</x:v>
      </x:c>
      <x:c r="W521" t="n">
        <x:v>0</x:v>
      </x:c>
      <x:c r="X521" t="str"/>
      <x:c r="Y521" t="str">
        <x:v>WhatsApp</x:v>
      </x:c>
    </x:row>
    <x:row r="522">
      <x:c r="A522" t="str">
        <x:v>O000521</x:v>
      </x:c>
      <x:c r="B522" s="20" t="n">
        <x:v>45677</x:v>
      </x:c>
      <x:c r="C522" t="str">
        <x:v>C0141</x:v>
      </x:c>
      <x:c r="D522" t="str">
        <x:v>Sri Restaurant 141</x:v>
      </x:c>
      <x:c r="E522" t="str">
        <x:v>Restaurant</x:v>
      </x:c>
      <x:c r="F522" t="str">
        <x:v>Mangaluru</x:v>
      </x:c>
      <x:c r="G522" t="str">
        <x:v>Ramesh</x:v>
      </x:c>
      <x:c r="H522" t="str">
        <x:v>P012</x:v>
      </x:c>
      <x:c r="I522" t="str">
        <x:v>Maida 10kg</x:v>
      </x:c>
      <x:c r="J522" t="str">
        <x:v>Flour</x:v>
      </x:c>
      <x:c r="K522" t="str">
        <x:v>Aashirvaad</x:v>
      </x:c>
      <x:c r="L522" s="22" t="n">
        <x:v>520</x:v>
      </x:c>
      <x:c r="M522" t="n">
        <x:v>34</x:v>
      </x:c>
      <x:c r="N522" s="24" t="n">
        <x:v>0.08</x:v>
      </x:c>
      <x:c r="O522" s="22" t="n">
        <x:f>L522*M522</x:f>
        <x:v>17680</x:v>
      </x:c>
      <x:c r="P522" s="22" t="n">
        <x:f>O522*(1-N522)</x:f>
        <x:v>16265.6</x:v>
      </x:c>
      <x:c r="Q522" s="22" t="n">
        <x:v>460</x:v>
      </x:c>
      <x:c r="R522" s="22" t="n">
        <x:f>Q522*M522</x:f>
        <x:v>15640</x:v>
      </x:c>
      <x:c r="S522" s="22" t="n">
        <x:f>P522-R522</x:f>
        <x:v>625.6000000000004</x:v>
      </x:c>
      <x:c r="T522" t="str">
        <x:v>Credit</x:v>
      </x:c>
      <x:c r="U522" t="str">
        <x:v>Paid</x:v>
      </x:c>
      <x:c r="V522" t="str">
        <x:v>Cancelled</x:v>
      </x:c>
      <x:c r="W522" t="n">
        <x:v>34</x:v>
      </x:c>
      <x:c r="X522" t="str">
        <x:v>Cancelled Order</x:v>
      </x:c>
      <x:c r="Y522" t="str">
        <x:v>WhatsApp</x:v>
      </x:c>
    </x:row>
    <x:row r="523">
      <x:c r="A523" t="str">
        <x:v>O000522</x:v>
      </x:c>
      <x:c r="B523" s="20" t="n">
        <x:v>46102</x:v>
      </x:c>
      <x:c r="C523" t="str">
        <x:v>C0164</x:v>
      </x:c>
      <x:c r="D523" t="str">
        <x:v>Sri Hotel 164</x:v>
      </x:c>
      <x:c r="E523" t="str">
        <x:v>Kirana</x:v>
      </x:c>
      <x:c r="F523" t="str">
        <x:v>Mysuru</x:v>
      </x:c>
      <x:c r="G523" t="str">
        <x:v>Vikram</x:v>
      </x:c>
      <x:c r="H523" t="str">
        <x:v>P035</x:v>
      </x:c>
      <x:c r="I523" t="str">
        <x:v>Coriander Powder 1kg</x:v>
      </x:c>
      <x:c r="J523" t="str">
        <x:v>Spices</x:v>
      </x:c>
      <x:c r="K523" t="str">
        <x:v>Everest</x:v>
      </x:c>
      <x:c r="L523" s="22" t="n">
        <x:v>280</x:v>
      </x:c>
      <x:c r="M523" t="n">
        <x:v>37</x:v>
      </x:c>
      <x:c r="N523" s="24" t="n">
        <x:v>0.05</x:v>
      </x:c>
      <x:c r="O523" s="22" t="n">
        <x:f>L523*M523</x:f>
        <x:v>10360</x:v>
      </x:c>
      <x:c r="P523" s="22" t="n">
        <x:f>O523*(1-N523)</x:f>
        <x:v>9842</x:v>
      </x:c>
      <x:c r="Q523" s="22" t="n">
        <x:v>245</x:v>
      </x:c>
      <x:c r="R523" s="22" t="n">
        <x:f>Q523*M523</x:f>
        <x:v>9065</x:v>
      </x:c>
      <x:c r="S523" s="22" t="n">
        <x:f>P523-R523</x:f>
        <x:v>777</x:v>
      </x:c>
      <x:c r="T523" t="str">
        <x:v>UPI</x:v>
      </x:c>
      <x:c r="U523" t="str">
        <x:v>Paid</x:v>
      </x:c>
      <x:c r="V523" t="str">
        <x:v>Delivered</x:v>
      </x:c>
      <x:c r="W523" t="n">
        <x:v>0</x:v>
      </x:c>
      <x:c r="X523" t="str"/>
      <x:c r="Y523" t="str">
        <x:v>Referral</x:v>
      </x:c>
    </x:row>
    <x:row r="524">
      <x:c r="A524" t="str">
        <x:v>O000523</x:v>
      </x:c>
      <x:c r="B524" s="20" t="n">
        <x:v>45965</x:v>
      </x:c>
      <x:c r="C524" t="str">
        <x:v>C0176</x:v>
      </x:c>
      <x:c r="D524" t="str">
        <x:v>Cafe Kitchen 176</x:v>
      </x:c>
      <x:c r="E524" t="str">
        <x:v>Kirana</x:v>
      </x:c>
      <x:c r="F524" t="str">
        <x:v>Mysuru</x:v>
      </x:c>
      <x:c r="G524" t="str">
        <x:v>Priya</x:v>
      </x:c>
      <x:c r="H524" t="str">
        <x:v>P049</x:v>
      </x:c>
      <x:c r="I524" t="str">
        <x:v>Apple 10kg</x:v>
      </x:c>
      <x:c r="J524" t="str">
        <x:v>Fresh Produce</x:v>
      </x:c>
      <x:c r="K524" t="str">
        <x:v>Local Market</x:v>
      </x:c>
      <x:c r="L524" s="22" t="n">
        <x:v>1450</x:v>
      </x:c>
      <x:c r="M524" t="n">
        <x:v>7</x:v>
      </x:c>
      <x:c r="N524" s="24" t="n">
        <x:v>0.02</x:v>
      </x:c>
      <x:c r="O524" s="22" t="n">
        <x:f>L524*M524</x:f>
        <x:v>10150</x:v>
      </x:c>
      <x:c r="P524" s="22" t="n">
        <x:f>O524*(1-N524)</x:f>
        <x:v>9947</x:v>
      </x:c>
      <x:c r="Q524" s="22" t="n">
        <x:v>1280</x:v>
      </x:c>
      <x:c r="R524" s="22" t="n">
        <x:f>Q524*M524</x:f>
        <x:v>8960</x:v>
      </x:c>
      <x:c r="S524" s="22" t="n">
        <x:f>P524-R524</x:f>
        <x:v>987</x:v>
      </x:c>
      <x:c r="T524" t="str">
        <x:v>UPI</x:v>
      </x:c>
      <x:c r="U524" t="str">
        <x:v>Paid</x:v>
      </x:c>
      <x:c r="V524" t="str">
        <x:v>Delivered</x:v>
      </x:c>
      <x:c r="W524" t="n">
        <x:v>0</x:v>
      </x:c>
      <x:c r="X524" t="str"/>
      <x:c r="Y524" t="str">
        <x:v>Field Visit</x:v>
      </x:c>
    </x:row>
    <x:row r="525">
      <x:c r="A525" t="str">
        <x:v>O000524</x:v>
      </x:c>
      <x:c r="B525" s="20" t="n">
        <x:v>46273</x:v>
      </x:c>
      <x:c r="C525" t="str">
        <x:v>C0066</x:v>
      </x:c>
      <x:c r="D525" t="str">
        <x:v>Hotel Hotel 66</x:v>
      </x:c>
      <x:c r="E525" t="str">
        <x:v>Restaurant</x:v>
      </x:c>
      <x:c r="F525" t="str">
        <x:v>Davanagere</x:v>
      </x:c>
      <x:c r="G525" t="str">
        <x:v>Megha</x:v>
      </x:c>
      <x:c r="H525" t="str">
        <x:v>P044</x:v>
      </x:c>
      <x:c r="I525" t="str">
        <x:v>Chicken Curry Cut 1kg</x:v>
      </x:c>
      <x:c r="J525" t="str">
        <x:v>Protein</x:v>
      </x:c>
      <x:c r="K525" t="str">
        <x:v>FreshToHome</x:v>
      </x:c>
      <x:c r="L525" s="22" t="n">
        <x:v>230</x:v>
      </x:c>
      <x:c r="M525" t="n">
        <x:v>16</x:v>
      </x:c>
      <x:c r="N525" s="24" t="n">
        <x:v>0.03</x:v>
      </x:c>
      <x:c r="O525" s="22" t="n">
        <x:f>L525*M525</x:f>
        <x:v>3680</x:v>
      </x:c>
      <x:c r="P525" s="22" t="n">
        <x:f>O525*(1-N525)</x:f>
        <x:v>3569.6</x:v>
      </x:c>
      <x:c r="Q525" s="22" t="n">
        <x:v>205</x:v>
      </x:c>
      <x:c r="R525" s="22" t="n">
        <x:f>Q525*M525</x:f>
        <x:v>3280</x:v>
      </x:c>
      <x:c r="S525" s="22" t="n">
        <x:f>P525-R525</x:f>
        <x:v>289.5999999999999</x:v>
      </x:c>
      <x:c r="T525" t="str">
        <x:v>UPI</x:v>
      </x:c>
      <x:c r="U525" t="str">
        <x:v>Paid</x:v>
      </x:c>
      <x:c r="V525" t="str">
        <x:v>Delivered</x:v>
      </x:c>
      <x:c r="W525" t="n">
        <x:v>0</x:v>
      </x:c>
      <x:c r="X525" t="str"/>
      <x:c r="Y525" t="str">
        <x:v>Field Visit</x:v>
      </x:c>
    </x:row>
    <x:row r="526">
      <x:c r="A526" t="str">
        <x:v>O000525</x:v>
      </x:c>
      <x:c r="B526" s="20" t="n">
        <x:v>46090</x:v>
      </x:c>
      <x:c r="C526" t="str">
        <x:v>C0144</x:v>
      </x:c>
      <x:c r="D526" t="str">
        <x:v>Namma Foods 144</x:v>
      </x:c>
      <x:c r="E526" t="str">
        <x:v>Restaurant</x:v>
      </x:c>
      <x:c r="F526" t="str">
        <x:v>Tumakuru</x:v>
      </x:c>
      <x:c r="G526" t="str">
        <x:v>Arjun</x:v>
      </x:c>
      <x:c r="H526" t="str">
        <x:v>P028</x:v>
      </x:c>
      <x:c r="I526" t="str">
        <x:v>Cookies 200g</x:v>
      </x:c>
      <x:c r="J526" t="str">
        <x:v>Snacks</x:v>
      </x:c>
      <x:c r="K526" t="str">
        <x:v>Britannia</x:v>
      </x:c>
      <x:c r="L526" s="22" t="n">
        <x:v>55</x:v>
      </x:c>
      <x:c r="M526" t="n">
        <x:v>3</x:v>
      </x:c>
      <x:c r="N526" s="24" t="n">
        <x:v>0</x:v>
      </x:c>
      <x:c r="O526" s="22" t="n">
        <x:f>L526*M526</x:f>
        <x:v>165</x:v>
      </x:c>
      <x:c r="P526" s="22" t="n">
        <x:f>O526*(1-N526)</x:f>
        <x:v>165</x:v>
      </x:c>
      <x:c r="Q526" s="22" t="n">
        <x:v>42</x:v>
      </x:c>
      <x:c r="R526" s="22" t="n">
        <x:f>Q526*M526</x:f>
        <x:v>126</x:v>
      </x:c>
      <x:c r="S526" s="22" t="n">
        <x:f>P526-R526</x:f>
        <x:v>39</x:v>
      </x:c>
      <x:c r="T526" t="str">
        <x:v>Cash</x:v>
      </x:c>
      <x:c r="U526" t="str">
        <x:v>Paid</x:v>
      </x:c>
      <x:c r="V526" t="str">
        <x:v>Delivered</x:v>
      </x:c>
      <x:c r="W526" t="n">
        <x:v>0</x:v>
      </x:c>
      <x:c r="X526" t="str"/>
      <x:c r="Y526" t="str">
        <x:v>Field Visit</x:v>
      </x:c>
    </x:row>
    <x:row r="527">
      <x:c r="A527" t="str">
        <x:v>O000526</x:v>
      </x:c>
      <x:c r="B527" s="20" t="n">
        <x:v>45701</x:v>
      </x:c>
      <x:c r="C527" t="str">
        <x:v>C0046</x:v>
      </x:c>
      <x:c r="D527" t="str">
        <x:v>Annapurna Foods 46</x:v>
      </x:c>
      <x:c r="E527" t="str">
        <x:v>Kirana</x:v>
      </x:c>
      <x:c r="F527" t="str">
        <x:v>Bengaluru</x:v>
      </x:c>
      <x:c r="G527" t="str">
        <x:v>Ramesh</x:v>
      </x:c>
      <x:c r="H527" t="str">
        <x:v>P042</x:v>
      </x:c>
      <x:c r="I527" t="str">
        <x:v>Eggs 30pc Tray</x:v>
      </x:c>
      <x:c r="J527" t="str">
        <x:v>Protein</x:v>
      </x:c>
      <x:c r="K527" t="str">
        <x:v>Farm Fresh</x:v>
      </x:c>
      <x:c r="L527" s="22" t="n">
        <x:v>195</x:v>
      </x:c>
      <x:c r="M527" t="n">
        <x:v>32</x:v>
      </x:c>
      <x:c r="N527" s="24" t="n">
        <x:v>0.05</x:v>
      </x:c>
      <x:c r="O527" s="22" t="n">
        <x:f>L527*M527</x:f>
        <x:v>6240</x:v>
      </x:c>
      <x:c r="P527" s="22" t="n">
        <x:f>O527*(1-N527)</x:f>
        <x:v>5928</x:v>
      </x:c>
      <x:c r="Q527" s="22" t="n">
        <x:v>170</x:v>
      </x:c>
      <x:c r="R527" s="22" t="n">
        <x:f>Q527*M527</x:f>
        <x:v>5440</x:v>
      </x:c>
      <x:c r="S527" s="22" t="n">
        <x:f>P527-R527</x:f>
        <x:v>488</x:v>
      </x:c>
      <x:c r="T527" t="str">
        <x:v>UPI</x:v>
      </x:c>
      <x:c r="U527" t="str">
        <x:v>Pending</x:v>
      </x:c>
      <x:c r="V527" t="str">
        <x:v>Delivered</x:v>
      </x:c>
      <x:c r="W527" t="n">
        <x:v>0</x:v>
      </x:c>
      <x:c r="X527" t="str"/>
      <x:c r="Y527" t="str">
        <x:v>Field Visit</x:v>
      </x:c>
    </x:row>
    <x:row r="528">
      <x:c r="A528" t="str">
        <x:v>O000527</x:v>
      </x:c>
      <x:c r="B528" s="20" t="n">
        <x:v>46030</x:v>
      </x:c>
      <x:c r="C528" t="str">
        <x:v>C0231</x:v>
      </x:c>
      <x:c r="D528" t="str">
        <x:v>Metro Canteen 231</x:v>
      </x:c>
      <x:c r="E528" t="str">
        <x:v>Canteen</x:v>
      </x:c>
      <x:c r="F528" t="str">
        <x:v>Mangaluru</x:v>
      </x:c>
      <x:c r="G528" t="str">
        <x:v>Megha</x:v>
      </x:c>
      <x:c r="H528" t="str">
        <x:v>P027</x:v>
      </x:c>
      <x:c r="I528" t="str">
        <x:v>Biscuits 120g</x:v>
      </x:c>
      <x:c r="J528" t="str">
        <x:v>Snacks</x:v>
      </x:c>
      <x:c r="K528" t="str">
        <x:v>Parle-G</x:v>
      </x:c>
      <x:c r="L528" s="22" t="n">
        <x:v>12</x:v>
      </x:c>
      <x:c r="M528" t="n">
        <x:v>6</x:v>
      </x:c>
      <x:c r="N528" s="24" t="n">
        <x:v>0.02</x:v>
      </x:c>
      <x:c r="O528" s="22" t="n">
        <x:f>L528*M528</x:f>
        <x:v>72</x:v>
      </x:c>
      <x:c r="P528" s="22" t="n">
        <x:f>O528*(1-N528)</x:f>
        <x:v>70.56</x:v>
      </x:c>
      <x:c r="Q528" s="22" t="n">
        <x:v>9</x:v>
      </x:c>
      <x:c r="R528" s="22" t="n">
        <x:f>Q528*M528</x:f>
        <x:v>54</x:v>
      </x:c>
      <x:c r="S528" s="22" t="n">
        <x:f>P528-R528</x:f>
        <x:v>16.560000000000002</x:v>
      </x:c>
      <x:c r="T528" t="str">
        <x:v>Bank Transfer</x:v>
      </x:c>
      <x:c r="U528" t="str">
        <x:v>Paid</x:v>
      </x:c>
      <x:c r="V528" t="str">
        <x:v>Delayed</x:v>
      </x:c>
      <x:c r="W528" t="n">
        <x:v>0</x:v>
      </x:c>
      <x:c r="X528" t="str"/>
      <x:c r="Y528" t="str">
        <x:v>Existing Customer</x:v>
      </x:c>
    </x:row>
    <x:row r="529">
      <x:c r="A529" t="str">
        <x:v>O000528</x:v>
      </x:c>
      <x:c r="B529" s="20" t="n">
        <x:v>46252</x:v>
      </x:c>
      <x:c r="C529" t="str">
        <x:v>C0134</x:v>
      </x:c>
      <x:c r="D529" t="str">
        <x:v>Annapurna Stores 134</x:v>
      </x:c>
      <x:c r="E529" t="str">
        <x:v>Cafe</x:v>
      </x:c>
      <x:c r="F529" t="str">
        <x:v>Bengaluru</x:v>
      </x:c>
      <x:c r="G529" t="str">
        <x:v>Kavya</x:v>
      </x:c>
      <x:c r="H529" t="str">
        <x:v>P043</x:v>
      </x:c>
      <x:c r="I529" t="str">
        <x:v>Chicken Breast 1kg</x:v>
      </x:c>
      <x:c r="J529" t="str">
        <x:v>Protein</x:v>
      </x:c>
      <x:c r="K529" t="str">
        <x:v>FreshToHome</x:v>
      </x:c>
      <x:c r="L529" s="22" t="n">
        <x:v>260</x:v>
      </x:c>
      <x:c r="M529" t="n">
        <x:v>34</x:v>
      </x:c>
      <x:c r="N529" s="24" t="n">
        <x:v>0.02</x:v>
      </x:c>
      <x:c r="O529" s="22" t="n">
        <x:f>L529*M529</x:f>
        <x:v>8840</x:v>
      </x:c>
      <x:c r="P529" s="22" t="n">
        <x:f>O529*(1-N529)</x:f>
        <x:v>8663.2</x:v>
      </x:c>
      <x:c r="Q529" s="22" t="n">
        <x:v>235</x:v>
      </x:c>
      <x:c r="R529" s="22" t="n">
        <x:f>Q529*M529</x:f>
        <x:v>7990</x:v>
      </x:c>
      <x:c r="S529" s="22" t="n">
        <x:f>P529-R529</x:f>
        <x:v>673.2000000000007</x:v>
      </x:c>
      <x:c r="T529" t="str">
        <x:v>UPI</x:v>
      </x:c>
      <x:c r="U529" t="str">
        <x:v>Paid</x:v>
      </x:c>
      <x:c r="V529" t="str">
        <x:v>Delivered</x:v>
      </x:c>
      <x:c r="W529" t="n">
        <x:v>0</x:v>
      </x:c>
      <x:c r="X529" t="str"/>
      <x:c r="Y529" t="str">
        <x:v>Field Visit</x:v>
      </x:c>
    </x:row>
    <x:row r="530">
      <x:c r="A530" t="str">
        <x:v>O000529</x:v>
      </x:c>
      <x:c r="B530" s="20" t="n">
        <x:v>46057</x:v>
      </x:c>
      <x:c r="C530" t="str">
        <x:v>C0150</x:v>
      </x:c>
      <x:c r="D530" t="str">
        <x:v>Sagar Kitchen 150</x:v>
      </x:c>
      <x:c r="E530" t="str">
        <x:v>Kirana</x:v>
      </x:c>
      <x:c r="F530" t="str">
        <x:v>Hubballi</x:v>
      </x:c>
      <x:c r="G530" t="str">
        <x:v>Ramesh</x:v>
      </x:c>
      <x:c r="H530" t="str">
        <x:v>P048</x:v>
      </x:c>
      <x:c r="I530" t="str">
        <x:v>Banana 10kg</x:v>
      </x:c>
      <x:c r="J530" t="str">
        <x:v>Fresh Produce</x:v>
      </x:c>
      <x:c r="K530" t="str">
        <x:v>Local Market</x:v>
      </x:c>
      <x:c r="L530" s="22" t="n">
        <x:v>420</x:v>
      </x:c>
      <x:c r="M530" t="n">
        <x:v>16</x:v>
      </x:c>
      <x:c r="N530" s="24" t="n">
        <x:v>0.08</x:v>
      </x:c>
      <x:c r="O530" s="22" t="n">
        <x:f>L530*M530</x:f>
        <x:v>6720</x:v>
      </x:c>
      <x:c r="P530" s="22" t="n">
        <x:f>O530*(1-N530)</x:f>
        <x:v>6182.400000000001</x:v>
      </x:c>
      <x:c r="Q530" s="22" t="n">
        <x:v>350</x:v>
      </x:c>
      <x:c r="R530" s="22" t="n">
        <x:f>Q530*M530</x:f>
        <x:v>5600</x:v>
      </x:c>
      <x:c r="S530" s="22" t="n">
        <x:f>P530-R530</x:f>
        <x:v>582.4000000000005</x:v>
      </x:c>
      <x:c r="T530" t="str">
        <x:v>Bank Transfer</x:v>
      </x:c>
      <x:c r="U530" t="str">
        <x:v>Paid</x:v>
      </x:c>
      <x:c r="V530" t="str">
        <x:v>Delivered</x:v>
      </x:c>
      <x:c r="W530" t="n">
        <x:v>0</x:v>
      </x:c>
      <x:c r="X530" t="str"/>
      <x:c r="Y530" t="str">
        <x:v>Field Visit</x:v>
      </x:c>
    </x:row>
    <x:row r="531">
      <x:c r="A531" t="str">
        <x:v>O000530</x:v>
      </x:c>
      <x:c r="B531" s="20" t="n">
        <x:v>45715</x:v>
      </x:c>
      <x:c r="C531" t="str">
        <x:v>C0066</x:v>
      </x:c>
      <x:c r="D531" t="str">
        <x:v>Hotel Hotel 66</x:v>
      </x:c>
      <x:c r="E531" t="str">
        <x:v>Restaurant</x:v>
      </x:c>
      <x:c r="F531" t="str">
        <x:v>Davanagere</x:v>
      </x:c>
      <x:c r="G531" t="str">
        <x:v>Megha</x:v>
      </x:c>
      <x:c r="H531" t="str">
        <x:v>P038</x:v>
      </x:c>
      <x:c r="I531" t="str">
        <x:v>French Fries 2.5kg</x:v>
      </x:c>
      <x:c r="J531" t="str">
        <x:v>Frozen</x:v>
      </x:c>
      <x:c r="K531" t="str">
        <x:v>McCain</x:v>
      </x:c>
      <x:c r="L531" s="22" t="n">
        <x:v>360</x:v>
      </x:c>
      <x:c r="M531" t="n">
        <x:v>32</x:v>
      </x:c>
      <x:c r="N531" s="24" t="n">
        <x:v>0.03</x:v>
      </x:c>
      <x:c r="O531" s="22" t="n">
        <x:f>L531*M531</x:f>
        <x:v>11520</x:v>
      </x:c>
      <x:c r="P531" s="22" t="n">
        <x:f>O531*(1-N531)</x:f>
        <x:v>11174.4</x:v>
      </x:c>
      <x:c r="Q531" s="22" t="n">
        <x:v>315</x:v>
      </x:c>
      <x:c r="R531" s="22" t="n">
        <x:f>Q531*M531</x:f>
        <x:v>10080</x:v>
      </x:c>
      <x:c r="S531" s="22" t="n">
        <x:f>P531-R531</x:f>
        <x:v>1094.3999999999996</x:v>
      </x:c>
      <x:c r="T531" t="str">
        <x:v>UPI</x:v>
      </x:c>
      <x:c r="U531" t="str">
        <x:v>Paid</x:v>
      </x:c>
      <x:c r="V531" t="str">
        <x:v>Delivered</x:v>
      </x:c>
      <x:c r="W531" t="n">
        <x:v>0</x:v>
      </x:c>
      <x:c r="X531" t="str"/>
      <x:c r="Y531" t="str">
        <x:v>Referral</x:v>
      </x:c>
    </x:row>
    <x:row r="532">
      <x:c r="A532" t="str">
        <x:v>O000531</x:v>
      </x:c>
      <x:c r="B532" s="20" t="n">
        <x:v>46029</x:v>
      </x:c>
      <x:c r="C532" t="str">
        <x:v>C0226</x:v>
      </x:c>
      <x:c r="D532" t="str">
        <x:v>Green Stores 226</x:v>
      </x:c>
      <x:c r="E532" t="str">
        <x:v>Restaurant</x:v>
      </x:c>
      <x:c r="F532" t="str">
        <x:v>Hubballi</x:v>
      </x:c>
      <x:c r="G532" t="str">
        <x:v>Priya</x:v>
      </x:c>
      <x:c r="H532" t="str">
        <x:v>P010</x:v>
      </x:c>
      <x:c r="I532" t="str">
        <x:v>Sugar 25kg</x:v>
      </x:c>
      <x:c r="J532" t="str">
        <x:v>Staples</x:v>
      </x:c>
      <x:c r="K532" t="str">
        <x:v>Madhur</x:v>
      </x:c>
      <x:c r="L532" s="22" t="n">
        <x:v>1190</x:v>
      </x:c>
      <x:c r="M532" t="n">
        <x:v>12</x:v>
      </x:c>
      <x:c r="N532" s="24" t="n">
        <x:v>0.02</x:v>
      </x:c>
      <x:c r="O532" s="22" t="n">
        <x:f>L532*M532</x:f>
        <x:v>14280</x:v>
      </x:c>
      <x:c r="P532" s="22" t="n">
        <x:f>O532*(1-N532)</x:f>
        <x:v>13994.4</x:v>
      </x:c>
      <x:c r="Q532" s="22" t="n">
        <x:v>1080</x:v>
      </x:c>
      <x:c r="R532" s="22" t="n">
        <x:f>Q532*M532</x:f>
        <x:v>12960</x:v>
      </x:c>
      <x:c r="S532" s="22" t="n">
        <x:f>P532-R532</x:f>
        <x:v>1034.3999999999996</x:v>
      </x:c>
      <x:c r="T532" t="str">
        <x:v>Cash</x:v>
      </x:c>
      <x:c r="U532" t="str">
        <x:v>Paid</x:v>
      </x:c>
      <x:c r="V532" t="str">
        <x:v>Delayed</x:v>
      </x:c>
      <x:c r="W532" t="n">
        <x:v>0</x:v>
      </x:c>
      <x:c r="X532" t="str"/>
      <x:c r="Y532" t="str">
        <x:v>Outbound Call</x:v>
      </x:c>
    </x:row>
    <x:row r="533">
      <x:c r="A533" t="str">
        <x:v>O000532</x:v>
      </x:c>
      <x:c r="B533" s="20" t="n">
        <x:v>45903</x:v>
      </x:c>
      <x:c r="C533" t="str">
        <x:v>C0170</x:v>
      </x:c>
      <x:c r="D533" t="str">
        <x:v>Green Cafe 170</x:v>
      </x:c>
      <x:c r="E533" t="str">
        <x:v>Supermarket</x:v>
      </x:c>
      <x:c r="F533" t="str">
        <x:v>Bengaluru</x:v>
      </x:c>
      <x:c r="G533" t="str">
        <x:v>Sneha</x:v>
      </x:c>
      <x:c r="H533" t="str">
        <x:v>P004</x:v>
      </x:c>
      <x:c r="I533" t="str">
        <x:v>Toor Dal 5kg</x:v>
      </x:c>
      <x:c r="J533" t="str">
        <x:v>Pulses</x:v>
      </x:c>
      <x:c r="K533" t="str">
        <x:v>Tata Sampann</x:v>
      </x:c>
      <x:c r="L533" s="22" t="n">
        <x:v>780</x:v>
      </x:c>
      <x:c r="M533" t="n">
        <x:v>17</x:v>
      </x:c>
      <x:c r="N533" s="24" t="n">
        <x:v>0.03</x:v>
      </x:c>
      <x:c r="O533" s="22" t="n">
        <x:f>L533*M533</x:f>
        <x:v>13260</x:v>
      </x:c>
      <x:c r="P533" s="22" t="n">
        <x:f>O533*(1-N533)</x:f>
        <x:v>12862.199999999999</x:v>
      </x:c>
      <x:c r="Q533" s="22" t="n">
        <x:v>695</x:v>
      </x:c>
      <x:c r="R533" s="22" t="n">
        <x:f>Q533*M533</x:f>
        <x:v>11815</x:v>
      </x:c>
      <x:c r="S533" s="22" t="n">
        <x:f>P533-R533</x:f>
        <x:v>1047.199999999999</x:v>
      </x:c>
      <x:c r="T533" t="str">
        <x:v>Cash</x:v>
      </x:c>
      <x:c r="U533" t="str">
        <x:v>Paid</x:v>
      </x:c>
      <x:c r="V533" t="str">
        <x:v>Cancelled</x:v>
      </x:c>
      <x:c r="W533" t="n">
        <x:v>17</x:v>
      </x:c>
      <x:c r="X533" t="str">
        <x:v>Cancelled Order</x:v>
      </x:c>
      <x:c r="Y533" t="str">
        <x:v>Field Visit</x:v>
      </x:c>
    </x:row>
    <x:row r="534">
      <x:c r="A534" t="str">
        <x:v>O000533</x:v>
      </x:c>
      <x:c r="B534" s="20" t="n">
        <x:v>46205</x:v>
      </x:c>
      <x:c r="C534" t="str">
        <x:v>C0176</x:v>
      </x:c>
      <x:c r="D534" t="str">
        <x:v>Cafe Kitchen 176</x:v>
      </x:c>
      <x:c r="E534" t="str">
        <x:v>Kirana</x:v>
      </x:c>
      <x:c r="F534" t="str">
        <x:v>Mysuru</x:v>
      </x:c>
      <x:c r="G534" t="str">
        <x:v>Priya</x:v>
      </x:c>
      <x:c r="H534" t="str">
        <x:v>P008</x:v>
      </x:c>
      <x:c r="I534" t="str">
        <x:v>Palm Oil 15L</x:v>
      </x:c>
      <x:c r="J534" t="str">
        <x:v>Edible Oil</x:v>
      </x:c>
      <x:c r="K534" t="str">
        <x:v>Ruchi Gold</x:v>
      </x:c>
      <x:c r="L534" s="22" t="n">
        <x:v>1760</x:v>
      </x:c>
      <x:c r="M534" t="n">
        <x:v>8</x:v>
      </x:c>
      <x:c r="N534" s="24" t="n">
        <x:v>0.02</x:v>
      </x:c>
      <x:c r="O534" s="22" t="n">
        <x:f>L534*M534</x:f>
        <x:v>14080</x:v>
      </x:c>
      <x:c r="P534" s="22" t="n">
        <x:f>O534*(1-N534)</x:f>
        <x:v>13798.4</x:v>
      </x:c>
      <x:c r="Q534" s="22" t="n">
        <x:v>1610</x:v>
      </x:c>
      <x:c r="R534" s="22" t="n">
        <x:f>Q534*M534</x:f>
        <x:v>12880</x:v>
      </x:c>
      <x:c r="S534" s="22" t="n">
        <x:f>P534-R534</x:f>
        <x:v>918.3999999999996</x:v>
      </x:c>
      <x:c r="T534" t="str">
        <x:v>Credit</x:v>
      </x:c>
      <x:c r="U534" t="str">
        <x:v>Overdue</x:v>
      </x:c>
      <x:c r="V534" t="str">
        <x:v>Delivered</x:v>
      </x:c>
      <x:c r="W534" t="n">
        <x:v>0</x:v>
      </x:c>
      <x:c r="X534" t="str"/>
      <x:c r="Y534" t="str">
        <x:v>Referral</x:v>
      </x:c>
    </x:row>
    <x:row r="535">
      <x:c r="A535" t="str">
        <x:v>O000534</x:v>
      </x:c>
      <x:c r="B535" s="20" t="n">
        <x:v>46107</x:v>
      </x:c>
      <x:c r="C535" t="str">
        <x:v>C0221</x:v>
      </x:c>
      <x:c r="D535" t="str">
        <x:v>Cafe Canteen 221</x:v>
      </x:c>
      <x:c r="E535" t="str">
        <x:v>Hotel</x:v>
      </x:c>
      <x:c r="F535" t="str">
        <x:v>Hubballi</x:v>
      </x:c>
      <x:c r="G535" t="str">
        <x:v>Kavya</x:v>
      </x:c>
      <x:c r="H535" t="str">
        <x:v>P011</x:v>
      </x:c>
      <x:c r="I535" t="str">
        <x:v>Salt 1kg</x:v>
      </x:c>
      <x:c r="J535" t="str">
        <x:v>Staples</x:v>
      </x:c>
      <x:c r="K535" t="str">
        <x:v>Tata</x:v>
      </x:c>
      <x:c r="L535" s="22" t="n">
        <x:v>28</x:v>
      </x:c>
      <x:c r="M535" t="n">
        <x:v>21</x:v>
      </x:c>
      <x:c r="N535" s="24" t="n">
        <x:v>0.08</x:v>
      </x:c>
      <x:c r="O535" s="22" t="n">
        <x:f>L535*M535</x:f>
        <x:v>588</x:v>
      </x:c>
      <x:c r="P535" s="22" t="n">
        <x:f>O535*(1-N535)</x:f>
        <x:v>540.96</x:v>
      </x:c>
      <x:c r="Q535" s="22" t="n">
        <x:v>23</x:v>
      </x:c>
      <x:c r="R535" s="22" t="n">
        <x:f>Q535*M535</x:f>
        <x:v>483</x:v>
      </x:c>
      <x:c r="S535" s="22" t="n">
        <x:f>P535-R535</x:f>
        <x:v>57.960000000000036</x:v>
      </x:c>
      <x:c r="T535" t="str">
        <x:v>Credit</x:v>
      </x:c>
      <x:c r="U535" t="str">
        <x:v>Pending</x:v>
      </x:c>
      <x:c r="V535" t="str">
        <x:v>Delivered</x:v>
      </x:c>
      <x:c r="W535" t="n">
        <x:v>0</x:v>
      </x:c>
      <x:c r="X535" t="str"/>
      <x:c r="Y535" t="str">
        <x:v>WhatsApp</x:v>
      </x:c>
    </x:row>
    <x:row r="536">
      <x:c r="A536" t="str">
        <x:v>O000535</x:v>
      </x:c>
      <x:c r="B536" s="20" t="n">
        <x:v>46090</x:v>
      </x:c>
      <x:c r="C536" t="str">
        <x:v>C0106</x:v>
      </x:c>
      <x:c r="D536" t="str">
        <x:v>Classic Mart 106</x:v>
      </x:c>
      <x:c r="E536" t="str">
        <x:v>Restaurant</x:v>
      </x:c>
      <x:c r="F536" t="str">
        <x:v>Mysuru</x:v>
      </x:c>
      <x:c r="G536" t="str">
        <x:v>Kavya</x:v>
      </x:c>
      <x:c r="H536" t="str">
        <x:v>P022</x:v>
      </x:c>
      <x:c r="I536" t="str">
        <x:v>Mineral Water 1L</x:v>
      </x:c>
      <x:c r="J536" t="str">
        <x:v>Beverage</x:v>
      </x:c>
      <x:c r="K536" t="str">
        <x:v>Bisleri</x:v>
      </x:c>
      <x:c r="L536" s="22" t="n">
        <x:v>19</x:v>
      </x:c>
      <x:c r="M536" t="n">
        <x:v>7</x:v>
      </x:c>
      <x:c r="N536" s="24" t="n">
        <x:v>0.05</x:v>
      </x:c>
      <x:c r="O536" s="22" t="n">
        <x:f>L536*M536</x:f>
        <x:v>133</x:v>
      </x:c>
      <x:c r="P536" s="22" t="n">
        <x:f>O536*(1-N536)</x:f>
        <x:v>126.35</x:v>
      </x:c>
      <x:c r="Q536" s="22" t="n">
        <x:v>15</x:v>
      </x:c>
      <x:c r="R536" s="22" t="n">
        <x:f>Q536*M536</x:f>
        <x:v>105</x:v>
      </x:c>
      <x:c r="S536" s="22" t="n">
        <x:f>P536-R536</x:f>
        <x:v>21.349999999999994</x:v>
      </x:c>
      <x:c r="T536" t="str">
        <x:v>Cash</x:v>
      </x:c>
      <x:c r="U536" t="str">
        <x:v>Paid</x:v>
      </x:c>
      <x:c r="V536" t="str">
        <x:v>Delivered</x:v>
      </x:c>
      <x:c r="W536" t="n">
        <x:v>0</x:v>
      </x:c>
      <x:c r="X536" t="str"/>
      <x:c r="Y536" t="str">
        <x:v>Existing Customer</x:v>
      </x:c>
    </x:row>
    <x:row r="537">
      <x:c r="A537" t="str">
        <x:v>O000536</x:v>
      </x:c>
      <x:c r="B537" s="20" t="n">
        <x:v>45686</x:v>
      </x:c>
      <x:c r="C537" t="str">
        <x:v>C0117</x:v>
      </x:c>
      <x:c r="D537" t="str">
        <x:v>Classic Canteen 117</x:v>
      </x:c>
      <x:c r="E537" t="str">
        <x:v>Restaurant</x:v>
      </x:c>
      <x:c r="F537" t="str">
        <x:v>Hubballi</x:v>
      </x:c>
      <x:c r="G537" t="str">
        <x:v>Megha</x:v>
      </x:c>
      <x:c r="H537" t="str">
        <x:v>P045</x:v>
      </x:c>
      <x:c r="I537" t="str">
        <x:v>Onion 25kg</x:v>
      </x:c>
      <x:c r="J537" t="str">
        <x:v>Fresh Produce</x:v>
      </x:c>
      <x:c r="K537" t="str">
        <x:v>Local Market</x:v>
      </x:c>
      <x:c r="L537" s="22" t="n">
        <x:v>875</x:v>
      </x:c>
      <x:c r="M537" t="n">
        <x:v>4</x:v>
      </x:c>
      <x:c r="N537" s="24" t="n">
        <x:v>0.05</x:v>
      </x:c>
      <x:c r="O537" s="22" t="n">
        <x:f>L537*M537</x:f>
        <x:v>3500</x:v>
      </x:c>
      <x:c r="P537" s="22" t="n">
        <x:f>O537*(1-N537)</x:f>
        <x:v>3325</x:v>
      </x:c>
      <x:c r="Q537" s="22" t="n">
        <x:v>760</x:v>
      </x:c>
      <x:c r="R537" s="22" t="n">
        <x:f>Q537*M537</x:f>
        <x:v>3040</x:v>
      </x:c>
      <x:c r="S537" s="22" t="n">
        <x:f>P537-R537</x:f>
        <x:v>285</x:v>
      </x:c>
      <x:c r="T537" t="str">
        <x:v>Bank Transfer</x:v>
      </x:c>
      <x:c r="U537" t="str">
        <x:v>Paid</x:v>
      </x:c>
      <x:c r="V537" t="str">
        <x:v>Cancelled</x:v>
      </x:c>
      <x:c r="W537" t="n">
        <x:v>4</x:v>
      </x:c>
      <x:c r="X537" t="str">
        <x:v>Cancelled Order</x:v>
      </x:c>
      <x:c r="Y537" t="str"/>
    </x:row>
    <x:row r="538">
      <x:c r="A538" t="str">
        <x:v>O000537</x:v>
      </x:c>
      <x:c r="B538" s="20" t="n">
        <x:v>45970</x:v>
      </x:c>
      <x:c r="C538" t="str">
        <x:v>C0052</x:v>
      </x:c>
      <x:c r="D538" t="str">
        <x:v>Sagar Canteen 52</x:v>
      </x:c>
      <x:c r="E538" t="str">
        <x:v>Kirana</x:v>
      </x:c>
      <x:c r="F538" t="str">
        <x:v>Mysuru</x:v>
      </x:c>
      <x:c r="G538" t="str">
        <x:v>Kavya</x:v>
      </x:c>
      <x:c r="H538" t="str">
        <x:v>P041</x:v>
      </x:c>
      <x:c r="I538" t="str">
        <x:v>Burger Bun 6pc</x:v>
      </x:c>
      <x:c r="J538" t="str">
        <x:v>Bakery</x:v>
      </x:c>
      <x:c r="K538" t="str">
        <x:v>Modern</x:v>
      </x:c>
      <x:c r="L538" s="22" t="n">
        <x:v>42</x:v>
      </x:c>
      <x:c r="M538" t="n">
        <x:v>21</x:v>
      </x:c>
      <x:c r="N538" s="24" t="n">
        <x:v>0.03</x:v>
      </x:c>
      <x:c r="O538" s="22" t="n">
        <x:f>L538*M538</x:f>
        <x:v>882</x:v>
      </x:c>
      <x:c r="P538" s="22" t="n">
        <x:f>O538*(1-N538)</x:f>
        <x:v>855.54</x:v>
      </x:c>
      <x:c r="Q538" s="22" t="n">
        <x:v>32</x:v>
      </x:c>
      <x:c r="R538" s="22" t="n">
        <x:f>Q538*M538</x:f>
        <x:v>672</x:v>
      </x:c>
      <x:c r="S538" s="22" t="n">
        <x:f>P538-R538</x:f>
        <x:v>183.53999999999996</x:v>
      </x:c>
      <x:c r="T538" t="str">
        <x:v>UPI</x:v>
      </x:c>
      <x:c r="U538" t="str">
        <x:v>Paid</x:v>
      </x:c>
      <x:c r="V538" t="str">
        <x:v>Delayed</x:v>
      </x:c>
      <x:c r="W538" t="n">
        <x:v>0</x:v>
      </x:c>
      <x:c r="X538" t="str"/>
      <x:c r="Y538" t="str">
        <x:v>Referral</x:v>
      </x:c>
    </x:row>
    <x:row r="539">
      <x:c r="A539" t="str">
        <x:v>O000538</x:v>
      </x:c>
      <x:c r="B539" s="20" t="n">
        <x:v>45985</x:v>
      </x:c>
      <x:c r="C539" t="str">
        <x:v>C0176</x:v>
      </x:c>
      <x:c r="D539" t="str">
        <x:v>Cafe Kitchen 176</x:v>
      </x:c>
      <x:c r="E539" t="str">
        <x:v>Kirana</x:v>
      </x:c>
      <x:c r="F539" t="str">
        <x:v>Mysuru</x:v>
      </x:c>
      <x:c r="G539" t="str">
        <x:v>Priya</x:v>
      </x:c>
      <x:c r="H539" t="str">
        <x:v>P027</x:v>
      </x:c>
      <x:c r="I539" t="str">
        <x:v>Biscuits 120g</x:v>
      </x:c>
      <x:c r="J539" t="str">
        <x:v>Snacks</x:v>
      </x:c>
      <x:c r="K539" t="str">
        <x:v>Parle-G</x:v>
      </x:c>
      <x:c r="L539" s="22" t="n">
        <x:v>12</x:v>
      </x:c>
      <x:c r="M539" t="n">
        <x:v>29</x:v>
      </x:c>
      <x:c r="N539" s="24" t="n">
        <x:v>0.03</x:v>
      </x:c>
      <x:c r="O539" s="22" t="n">
        <x:f>L539*M539</x:f>
        <x:v>348</x:v>
      </x:c>
      <x:c r="P539" s="22" t="n">
        <x:f>O539*(1-N539)</x:f>
        <x:v>337.56</x:v>
      </x:c>
      <x:c r="Q539" s="22" t="n">
        <x:v>9</x:v>
      </x:c>
      <x:c r="R539" s="22" t="n">
        <x:f>Q539*M539</x:f>
        <x:v>261</x:v>
      </x:c>
      <x:c r="S539" s="22" t="n">
        <x:f>P539-R539</x:f>
        <x:v>76.56</x:v>
      </x:c>
      <x:c r="T539" t="str">
        <x:v>Bank Transfer</x:v>
      </x:c>
      <x:c r="U539" t="str">
        <x:v>Paid</x:v>
      </x:c>
      <x:c r="V539" t="str">
        <x:v>Cancelled</x:v>
      </x:c>
      <x:c r="W539" t="n">
        <x:v>29</x:v>
      </x:c>
      <x:c r="X539" t="str">
        <x:v>Cancelled Order</x:v>
      </x:c>
      <x:c r="Y539" t="str">
        <x:v>Existing Customer</x:v>
      </x:c>
    </x:row>
    <x:row r="540">
      <x:c r="A540" t="str">
        <x:v>O000539</x:v>
      </x:c>
      <x:c r="B540" s="20" t="n">
        <x:v>45861</x:v>
      </x:c>
      <x:c r="C540" t="str">
        <x:v>C0205</x:v>
      </x:c>
      <x:c r="D540" t="str">
        <x:v>Royal Mart 205</x:v>
      </x:c>
      <x:c r="E540" t="str">
        <x:v>Kirana</x:v>
      </x:c>
      <x:c r="F540" t="str">
        <x:v>Mysuru</x:v>
      </x:c>
      <x:c r="G540" t="str">
        <x:v>Priya</x:v>
      </x:c>
      <x:c r="H540" t="str">
        <x:v>P019</x:v>
      </x:c>
      <x:c r="I540" t="str">
        <x:v>Tea 1kg</x:v>
      </x:c>
      <x:c r="J540" t="str">
        <x:v>Beverage</x:v>
      </x:c>
      <x:c r="K540" t="str">
        <x:v>Red Label</x:v>
      </x:c>
      <x:c r="L540" s="22" t="n">
        <x:v>540</x:v>
      </x:c>
      <x:c r="M540" t="n">
        <x:v>6</x:v>
      </x:c>
      <x:c r="N540" s="24" t="n">
        <x:v>0.03</x:v>
      </x:c>
      <x:c r="O540" s="22" t="n">
        <x:f>L540*M540</x:f>
        <x:v>3240</x:v>
      </x:c>
      <x:c r="P540" s="22" t="n">
        <x:f>O540*(1-N540)</x:f>
        <x:v>3142.7999999999997</x:v>
      </x:c>
      <x:c r="Q540" s="22" t="n">
        <x:v>485</x:v>
      </x:c>
      <x:c r="R540" s="22" t="n">
        <x:f>Q540*M540</x:f>
        <x:v>2910</x:v>
      </x:c>
      <x:c r="S540" s="22" t="n">
        <x:f>P540-R540</x:f>
        <x:v>232.79999999999973</x:v>
      </x:c>
      <x:c r="T540" t="str">
        <x:v>Bank Transfer</x:v>
      </x:c>
      <x:c r="U540" t="str">
        <x:v>Paid</x:v>
      </x:c>
      <x:c r="V540" t="str">
        <x:v>Delivered</x:v>
      </x:c>
      <x:c r="W540" t="n">
        <x:v>0</x:v>
      </x:c>
      <x:c r="X540" t="str"/>
      <x:c r="Y540" t="str">
        <x:v>Existing Customer</x:v>
      </x:c>
    </x:row>
    <x:row r="541">
      <x:c r="A541" t="str">
        <x:v>O000540</x:v>
      </x:c>
      <x:c r="B541" s="20" t="n">
        <x:v>46229</x:v>
      </x:c>
      <x:c r="C541" t="str">
        <x:v>C0243</x:v>
      </x:c>
      <x:c r="D541" t="str">
        <x:v>Metro Kitchen 243</x:v>
      </x:c>
      <x:c r="E541" t="str">
        <x:v>Restaurant</x:v>
      </x:c>
      <x:c r="F541" t="str">
        <x:v>Mangaluru</x:v>
      </x:c>
      <x:c r="G541" t="str">
        <x:v>Kavya</x:v>
      </x:c>
      <x:c r="H541" t="str">
        <x:v>P002</x:v>
      </x:c>
      <x:c r="I541" t="str">
        <x:v>Sona Masoori Rice 25kg</x:v>
      </x:c>
      <x:c r="J541" t="str">
        <x:v>Staples</x:v>
      </x:c>
      <x:c r="K541" t="str">
        <x:v>Fortune</x:v>
      </x:c>
      <x:c r="L541" s="22" t="n">
        <x:v>1320</x:v>
      </x:c>
      <x:c r="M541" t="n">
        <x:v>11</x:v>
      </x:c>
      <x:c r="N541" s="24" t="n">
        <x:v>0</x:v>
      </x:c>
      <x:c r="O541" s="22" t="n">
        <x:f>L541*M541</x:f>
        <x:v>14520</x:v>
      </x:c>
      <x:c r="P541" s="22" t="n">
        <x:f>O541*(1-N541)</x:f>
        <x:v>14520</x:v>
      </x:c>
      <x:c r="Q541" s="22" t="n">
        <x:v>1160</x:v>
      </x:c>
      <x:c r="R541" s="22" t="n">
        <x:f>Q541*M541</x:f>
        <x:v>12760</x:v>
      </x:c>
      <x:c r="S541" s="22" t="n">
        <x:f>P541-R541</x:f>
        <x:v>1760</x:v>
      </x:c>
      <x:c r="T541" t="str">
        <x:v>UPI</x:v>
      </x:c>
      <x:c r="U541" t="str">
        <x:v>Overdue</x:v>
      </x:c>
      <x:c r="V541" t="str">
        <x:v>Delivered</x:v>
      </x:c>
      <x:c r="W541" t="n">
        <x:v>0</x:v>
      </x:c>
      <x:c r="X541" t="str"/>
      <x:c r="Y541" t="str">
        <x:v>Referral</x:v>
      </x:c>
    </x:row>
    <x:row r="542">
      <x:c r="A542" t="str">
        <x:v>O000541</x:v>
      </x:c>
      <x:c r="B542" s="20" t="n">
        <x:v>46272</x:v>
      </x:c>
      <x:c r="C542" t="str">
        <x:v>C0159</x:v>
      </x:c>
      <x:c r="D542" t="str">
        <x:v>Darshini Foods 159</x:v>
      </x:c>
      <x:c r="E542" t="str">
        <x:v>Canteen</x:v>
      </x:c>
      <x:c r="F542" t="str">
        <x:v>Tumakuru</x:v>
      </x:c>
      <x:c r="G542" t="str">
        <x:v>Kavya</x:v>
      </x:c>
      <x:c r="H542" t="str">
        <x:v>P028</x:v>
      </x:c>
      <x:c r="I542" t="str">
        <x:v>Cookies 200g</x:v>
      </x:c>
      <x:c r="J542" t="str">
        <x:v>Snacks</x:v>
      </x:c>
      <x:c r="K542" t="str">
        <x:v>Britannia</x:v>
      </x:c>
      <x:c r="L542" s="22" t="n">
        <x:v>55</x:v>
      </x:c>
      <x:c r="M542" t="n">
        <x:v>17</x:v>
      </x:c>
      <x:c r="N542" s="24" t="n">
        <x:v>0</x:v>
      </x:c>
      <x:c r="O542" s="22" t="n">
        <x:f>L542*M542</x:f>
        <x:v>935</x:v>
      </x:c>
      <x:c r="P542" s="22" t="n">
        <x:f>O542*(1-N542)</x:f>
        <x:v>935</x:v>
      </x:c>
      <x:c r="Q542" s="22" t="n">
        <x:v>42</x:v>
      </x:c>
      <x:c r="R542" s="22" t="n">
        <x:f>Q542*M542</x:f>
        <x:v>714</x:v>
      </x:c>
      <x:c r="S542" s="22" t="n">
        <x:f>P542-R542</x:f>
        <x:v>221</x:v>
      </x:c>
      <x:c r="T542" t="str">
        <x:v>Cash</x:v>
      </x:c>
      <x:c r="U542" t="str">
        <x:v>Paid</x:v>
      </x:c>
      <x:c r="V542" t="str">
        <x:v>Delayed</x:v>
      </x:c>
      <x:c r="W542" t="n">
        <x:v>0</x:v>
      </x:c>
      <x:c r="X542" t="str"/>
      <x:c r="Y542" t="str"/>
    </x:row>
    <x:row r="543">
      <x:c r="A543" t="str">
        <x:v>O000542</x:v>
      </x:c>
      <x:c r="B543" s="20" t="n">
        <x:v>46122</x:v>
      </x:c>
      <x:c r="C543" t="str">
        <x:v>C0135</x:v>
      </x:c>
      <x:c r="D543" t="str">
        <x:v>City Canteen 135</x:v>
      </x:c>
      <x:c r="E543" t="str">
        <x:v>Supermarket</x:v>
      </x:c>
      <x:c r="F543" t="str">
        <x:v>Hubballi</x:v>
      </x:c>
      <x:c r="G543" t="str">
        <x:v>Megha</x:v>
      </x:c>
      <x:c r="H543" t="str">
        <x:v>P028</x:v>
      </x:c>
      <x:c r="I543" t="str">
        <x:v>Cookies 200g</x:v>
      </x:c>
      <x:c r="J543" t="str">
        <x:v>Snacks</x:v>
      </x:c>
      <x:c r="K543" t="str">
        <x:v>Britannia</x:v>
      </x:c>
      <x:c r="L543" s="22" t="n">
        <x:v>55</x:v>
      </x:c>
      <x:c r="M543" t="n">
        <x:v>32</x:v>
      </x:c>
      <x:c r="N543" s="24" t="n">
        <x:v>0</x:v>
      </x:c>
      <x:c r="O543" s="22" t="n">
        <x:f>L543*M543</x:f>
        <x:v>1760</x:v>
      </x:c>
      <x:c r="P543" s="22" t="n">
        <x:f>O543*(1-N543)</x:f>
        <x:v>1760</x:v>
      </x:c>
      <x:c r="Q543" s="22" t="n">
        <x:v>42</x:v>
      </x:c>
      <x:c r="R543" s="22" t="n">
        <x:f>Q543*M543</x:f>
        <x:v>1344</x:v>
      </x:c>
      <x:c r="S543" s="22" t="n">
        <x:f>P543-R543</x:f>
        <x:v>416</x:v>
      </x:c>
      <x:c r="T543" t="str">
        <x:v>Bank Transfer</x:v>
      </x:c>
      <x:c r="U543" t="str">
        <x:v>Paid</x:v>
      </x:c>
      <x:c r="V543" t="str">
        <x:v>Delivered</x:v>
      </x:c>
      <x:c r="W543" t="n">
        <x:v>0</x:v>
      </x:c>
      <x:c r="X543" t="str"/>
      <x:c r="Y543" t="str">
        <x:v>WhatsApp</x:v>
      </x:c>
    </x:row>
    <x:row r="544">
      <x:c r="A544" t="str">
        <x:v>O000543</x:v>
      </x:c>
      <x:c r="B544" s="20" t="n">
        <x:v>46272</x:v>
      </x:c>
      <x:c r="C544" t="str">
        <x:v>C0111</x:v>
      </x:c>
      <x:c r="D544" t="str">
        <x:v>Metro Kitchen 111</x:v>
      </x:c>
      <x:c r="E544" t="str">
        <x:v>Restaurant</x:v>
      </x:c>
      <x:c r="F544" t="str">
        <x:v>Davanagere</x:v>
      </x:c>
      <x:c r="G544" t="str">
        <x:v>Sneha</x:v>
      </x:c>
      <x:c r="H544" t="str">
        <x:v>P014</x:v>
      </x:c>
      <x:c r="I544" t="str">
        <x:v>Rava 5kg</x:v>
      </x:c>
      <x:c r="J544" t="str">
        <x:v>Flour</x:v>
      </x:c>
      <x:c r="K544" t="str">
        <x:v>Local Select</x:v>
      </x:c>
      <x:c r="L544" s="22" t="n">
        <x:v>245</x:v>
      </x:c>
      <x:c r="M544" t="n">
        <x:v>14</x:v>
      </x:c>
      <x:c r="N544" s="24" t="n">
        <x:v>0.1</x:v>
      </x:c>
      <x:c r="O544" s="22" t="n">
        <x:f>L544*M544</x:f>
        <x:v>3430</x:v>
      </x:c>
      <x:c r="P544" s="22" t="n">
        <x:f>O544*(1-N544)</x:f>
        <x:v>3087</x:v>
      </x:c>
      <x:c r="Q544" s="22" t="n">
        <x:v>215</x:v>
      </x:c>
      <x:c r="R544" s="22" t="n">
        <x:f>Q544*M544</x:f>
        <x:v>3010</x:v>
      </x:c>
      <x:c r="S544" s="22" t="n">
        <x:f>P544-R544</x:f>
        <x:v>77</x:v>
      </x:c>
      <x:c r="T544" t="str">
        <x:v>Cash</x:v>
      </x:c>
      <x:c r="U544" t="str">
        <x:v>Pending</x:v>
      </x:c>
      <x:c r="V544" t="str">
        <x:v>Delivered</x:v>
      </x:c>
      <x:c r="W544" t="n">
        <x:v>0</x:v>
      </x:c>
      <x:c r="X544" t="str"/>
      <x:c r="Y544" t="str">
        <x:v>WhatsApp</x:v>
      </x:c>
    </x:row>
    <x:row r="545">
      <x:c r="A545" t="str">
        <x:v>O000544</x:v>
      </x:c>
      <x:c r="B545" s="20" t="n">
        <x:v>45926</x:v>
      </x:c>
      <x:c r="C545" t="str">
        <x:v>C0008</x:v>
      </x:c>
      <x:c r="D545" t="str">
        <x:v>Namma Kitchen 8</x:v>
      </x:c>
      <x:c r="E545" t="str">
        <x:v>Kirana</x:v>
      </x:c>
      <x:c r="F545" t="str">
        <x:v>Bengaluru</x:v>
      </x:c>
      <x:c r="G545" t="str">
        <x:v>Vikram</x:v>
      </x:c>
      <x:c r="H545" t="str">
        <x:v>P019</x:v>
      </x:c>
      <x:c r="I545" t="str">
        <x:v>Tea 1kg</x:v>
      </x:c>
      <x:c r="J545" t="str">
        <x:v>Beverage</x:v>
      </x:c>
      <x:c r="K545" t="str">
        <x:v>Red Label</x:v>
      </x:c>
      <x:c r="L545" s="22" t="n">
        <x:v>540</x:v>
      </x:c>
      <x:c r="M545" t="n">
        <x:v>16</x:v>
      </x:c>
      <x:c r="N545" s="24" t="n">
        <x:v>0.05</x:v>
      </x:c>
      <x:c r="O545" s="22" t="n">
        <x:f>L545*M545</x:f>
        <x:v>8640</x:v>
      </x:c>
      <x:c r="P545" s="22" t="n">
        <x:f>O545*(1-N545)</x:f>
        <x:v>8208</x:v>
      </x:c>
      <x:c r="Q545" s="22" t="n">
        <x:v>485</x:v>
      </x:c>
      <x:c r="R545" s="22" t="n">
        <x:f>Q545*M545</x:f>
        <x:v>7760</x:v>
      </x:c>
      <x:c r="S545" s="22" t="n">
        <x:f>P545-R545</x:f>
        <x:v>448</x:v>
      </x:c>
      <x:c r="T545" t="str">
        <x:v>Bank Transfer</x:v>
      </x:c>
      <x:c r="U545" t="str">
        <x:v>Paid</x:v>
      </x:c>
      <x:c r="V545" t="str">
        <x:v>Cancelled</x:v>
      </x:c>
      <x:c r="W545" t="n">
        <x:v>16</x:v>
      </x:c>
      <x:c r="X545" t="str">
        <x:v>Cancelled Order</x:v>
      </x:c>
      <x:c r="Y545" t="str">
        <x:v>WhatsApp</x:v>
      </x:c>
    </x:row>
    <x:row r="546">
      <x:c r="A546" t="str">
        <x:v>O000545</x:v>
      </x:c>
      <x:c r="B546" s="20" t="n">
        <x:v>45989</x:v>
      </x:c>
      <x:c r="C546" t="str">
        <x:v>C0121</x:v>
      </x:c>
      <x:c r="D546" t="str">
        <x:v>Mysore Restaurant 121</x:v>
      </x:c>
      <x:c r="E546" t="str">
        <x:v>Cafe</x:v>
      </x:c>
      <x:c r="F546" t="str">
        <x:v>Mysuru</x:v>
      </x:c>
      <x:c r="G546" t="str">
        <x:v>Sneha</x:v>
      </x:c>
      <x:c r="H546" t="str">
        <x:v>P009</x:v>
      </x:c>
      <x:c r="I546" t="str">
        <x:v>Groundnut Oil 5L</x:v>
      </x:c>
      <x:c r="J546" t="str">
        <x:v>Edible Oil</x:v>
      </x:c>
      <x:c r="K546" t="str">
        <x:v>Dhara</x:v>
      </x:c>
      <x:c r="L546" s="22" t="n">
        <x:v>890</x:v>
      </x:c>
      <x:c r="M546" t="n">
        <x:v>26</x:v>
      </x:c>
      <x:c r="N546" s="24" t="n">
        <x:v>0.05</x:v>
      </x:c>
      <x:c r="O546" s="22" t="n">
        <x:f>L546*M546</x:f>
        <x:v>23140</x:v>
      </x:c>
      <x:c r="P546" s="22" t="n">
        <x:f>O546*(1-N546)</x:f>
        <x:v>21983</x:v>
      </x:c>
      <x:c r="Q546" s="22" t="n">
        <x:v>810</x:v>
      </x:c>
      <x:c r="R546" s="22" t="n">
        <x:f>Q546*M546</x:f>
        <x:v>21060</x:v>
      </x:c>
      <x:c r="S546" s="22" t="n">
        <x:f>P546-R546</x:f>
        <x:v>923</x:v>
      </x:c>
      <x:c r="T546" t="str">
        <x:v>Credit</x:v>
      </x:c>
      <x:c r="U546" t="str">
        <x:v>Paid</x:v>
      </x:c>
      <x:c r="V546" t="str">
        <x:v>Cancelled</x:v>
      </x:c>
      <x:c r="W546" t="n">
        <x:v>26</x:v>
      </x:c>
      <x:c r="X546" t="str">
        <x:v>Cancelled Order</x:v>
      </x:c>
      <x:c r="Y546" t="str">
        <x:v>Existing Customer</x:v>
      </x:c>
    </x:row>
    <x:row r="547">
      <x:c r="A547" t="str">
        <x:v>O000546</x:v>
      </x:c>
      <x:c r="B547" s="20" t="n">
        <x:v>45718</x:v>
      </x:c>
      <x:c r="C547" t="str">
        <x:v>C0025</x:v>
      </x:c>
      <x:c r="D547" t="str">
        <x:v>Sri Cafe 25</x:v>
      </x:c>
      <x:c r="E547" t="str">
        <x:v>Hotel</x:v>
      </x:c>
      <x:c r="F547" t="str">
        <x:v>Mysuru</x:v>
      </x:c>
      <x:c r="G547" t="str">
        <x:v>Kavya</x:v>
      </x:c>
      <x:c r="H547" t="str">
        <x:v>P036</x:v>
      </x:c>
      <x:c r="I547" t="str">
        <x:v>Garam Masala 500g</x:v>
      </x:c>
      <x:c r="J547" t="str">
        <x:v>Spices</x:v>
      </x:c>
      <x:c r="K547" t="str">
        <x:v>MDH</x:v>
      </x:c>
      <x:c r="L547" s="22" t="n">
        <x:v>265</x:v>
      </x:c>
      <x:c r="M547" t="n">
        <x:v>4</x:v>
      </x:c>
      <x:c r="N547" s="24" t="n">
        <x:v>0.02</x:v>
      </x:c>
      <x:c r="O547" s="22" t="n">
        <x:f>L547*M547</x:f>
        <x:v>1060</x:v>
      </x:c>
      <x:c r="P547" s="22" t="n">
        <x:f>O547*(1-N547)</x:f>
        <x:v>1038.8</x:v>
      </x:c>
      <x:c r="Q547" s="22" t="n">
        <x:v>230</x:v>
      </x:c>
      <x:c r="R547" s="22" t="n">
        <x:f>Q547*M547</x:f>
        <x:v>920</x:v>
      </x:c>
      <x:c r="S547" s="22" t="n">
        <x:f>P547-R547</x:f>
        <x:v>118.79999999999995</x:v>
      </x:c>
      <x:c r="T547" t="str">
        <x:v>Bank Transfer</x:v>
      </x:c>
      <x:c r="U547" t="str">
        <x:v>Paid</x:v>
      </x:c>
      <x:c r="V547" t="str">
        <x:v>Delivered</x:v>
      </x:c>
      <x:c r="W547" t="n">
        <x:v>0</x:v>
      </x:c>
      <x:c r="X547" t="str"/>
      <x:c r="Y547" t="str">
        <x:v>Existing Customer</x:v>
      </x:c>
    </x:row>
    <x:row r="548">
      <x:c r="A548" t="str">
        <x:v>O000547</x:v>
      </x:c>
      <x:c r="B548" s="20" t="n">
        <x:v>45663</x:v>
      </x:c>
      <x:c r="C548" t="str">
        <x:v>C0208</x:v>
      </x:c>
      <x:c r="D548" t="str">
        <x:v>Green Foods 208</x:v>
      </x:c>
      <x:c r="E548" t="str">
        <x:v>Hotel</x:v>
      </x:c>
      <x:c r="F548" t="str">
        <x:v>Mysuru</x:v>
      </x:c>
      <x:c r="G548" t="str">
        <x:v>Ramesh</x:v>
      </x:c>
      <x:c r="H548" t="str">
        <x:v>P003</x:v>
      </x:c>
      <x:c r="I548" t="str">
        <x:v>Basmati Rice 5kg</x:v>
      </x:c>
      <x:c r="J548" t="str">
        <x:v>Staples</x:v>
      </x:c>
      <x:c r="K548" t="str">
        <x:v>India Gate</x:v>
      </x:c>
      <x:c r="L548" s="22" t="n">
        <x:v>690</x:v>
      </x:c>
      <x:c r="M548" t="n">
        <x:v>17</x:v>
      </x:c>
      <x:c r="N548" s="24" t="n">
        <x:v>0.03</x:v>
      </x:c>
      <x:c r="O548" s="22" t="n">
        <x:f>L548*M548</x:f>
        <x:v>11730</x:v>
      </x:c>
      <x:c r="P548" s="22" t="n">
        <x:f>O548*(1-N548)</x:f>
        <x:v>11378.1</x:v>
      </x:c>
      <x:c r="Q548" s="22" t="n">
        <x:v>610</x:v>
      </x:c>
      <x:c r="R548" s="22" t="n">
        <x:f>Q548*M548</x:f>
        <x:v>10370</x:v>
      </x:c>
      <x:c r="S548" s="22" t="n">
        <x:f>P548-R548</x:f>
        <x:v>1008.1000000000004</x:v>
      </x:c>
      <x:c r="T548" t="str">
        <x:v>Credit</x:v>
      </x:c>
      <x:c r="U548" t="str">
        <x:v>Paid</x:v>
      </x:c>
      <x:c r="V548" t="str">
        <x:v>Delivered</x:v>
      </x:c>
      <x:c r="W548" t="n">
        <x:v>0</x:v>
      </x:c>
      <x:c r="X548" t="str"/>
      <x:c r="Y548" t="str">
        <x:v>Referral</x:v>
      </x:c>
    </x:row>
    <x:row r="549">
      <x:c r="A549" t="str">
        <x:v>O000548</x:v>
      </x:c>
      <x:c r="B549" s="20" t="n">
        <x:v>46252</x:v>
      </x:c>
      <x:c r="C549" t="str">
        <x:v>C0144</x:v>
      </x:c>
      <x:c r="D549" t="str">
        <x:v>Namma Foods 144</x:v>
      </x:c>
      <x:c r="E549" t="str">
        <x:v>Restaurant</x:v>
      </x:c>
      <x:c r="F549" t="str">
        <x:v>Tumakuru</x:v>
      </x:c>
      <x:c r="G549" t="str">
        <x:v>Arjun</x:v>
      </x:c>
      <x:c r="H549" t="str">
        <x:v>P003</x:v>
      </x:c>
      <x:c r="I549" t="str">
        <x:v>Basmati Rice 5kg</x:v>
      </x:c>
      <x:c r="J549" t="str">
        <x:v>Staples</x:v>
      </x:c>
      <x:c r="K549" t="str">
        <x:v>India Gate</x:v>
      </x:c>
      <x:c r="L549" s="22" t="n">
        <x:v>690</x:v>
      </x:c>
      <x:c r="M549" t="n">
        <x:v>12</x:v>
      </x:c>
      <x:c r="N549" s="24" t="n">
        <x:v>0.02</x:v>
      </x:c>
      <x:c r="O549" s="22" t="n">
        <x:f>L549*M549</x:f>
        <x:v>8280</x:v>
      </x:c>
      <x:c r="P549" s="22" t="n">
        <x:f>O549*(1-N549)</x:f>
        <x:v>8114.4</x:v>
      </x:c>
      <x:c r="Q549" s="22" t="n">
        <x:v>610</x:v>
      </x:c>
      <x:c r="R549" s="22" t="n">
        <x:f>Q549*M549</x:f>
        <x:v>7320</x:v>
      </x:c>
      <x:c r="S549" s="22" t="n">
        <x:f>P549-R549</x:f>
        <x:v>794.3999999999996</x:v>
      </x:c>
      <x:c r="T549" t="str">
        <x:v>Credit</x:v>
      </x:c>
      <x:c r="U549" t="str">
        <x:v>Overdue</x:v>
      </x:c>
      <x:c r="V549" t="str">
        <x:v>Delivered</x:v>
      </x:c>
      <x:c r="W549" t="n">
        <x:v>0</x:v>
      </x:c>
      <x:c r="X549" t="str"/>
      <x:c r="Y549" t="str">
        <x:v>Field Visit</x:v>
      </x:c>
    </x:row>
    <x:row r="550">
      <x:c r="A550" t="str">
        <x:v>O000549</x:v>
      </x:c>
      <x:c r="B550" s="20" t="n">
        <x:v>45924</x:v>
      </x:c>
      <x:c r="C550" t="str">
        <x:v>C0111</x:v>
      </x:c>
      <x:c r="D550" t="str">
        <x:v>Metro Kitchen 111</x:v>
      </x:c>
      <x:c r="E550" t="str">
        <x:v>Restaurant</x:v>
      </x:c>
      <x:c r="F550" t="str">
        <x:v>Davanagere</x:v>
      </x:c>
      <x:c r="G550" t="str">
        <x:v>Sneha</x:v>
      </x:c>
      <x:c r="H550" t="str">
        <x:v>P010</x:v>
      </x:c>
      <x:c r="I550" t="str">
        <x:v>Sugar 25kg</x:v>
      </x:c>
      <x:c r="J550" t="str">
        <x:v>Staples</x:v>
      </x:c>
      <x:c r="K550" t="str">
        <x:v>Madhur</x:v>
      </x:c>
      <x:c r="L550" s="22" t="n">
        <x:v>1190</x:v>
      </x:c>
      <x:c r="M550" t="n">
        <x:v>6</x:v>
      </x:c>
      <x:c r="N550" s="24" t="n">
        <x:v>0</x:v>
      </x:c>
      <x:c r="O550" s="22" t="n">
        <x:f>L550*M550</x:f>
        <x:v>7140</x:v>
      </x:c>
      <x:c r="P550" s="22" t="n">
        <x:f>O550*(1-N550)</x:f>
        <x:v>7140</x:v>
      </x:c>
      <x:c r="Q550" s="22" t="n">
        <x:v>1080</x:v>
      </x:c>
      <x:c r="R550" s="22" t="n">
        <x:f>Q550*M550</x:f>
        <x:v>6480</x:v>
      </x:c>
      <x:c r="S550" s="22" t="n">
        <x:f>P550-R550</x:f>
        <x:v>660</x:v>
      </x:c>
      <x:c r="T550" t="str">
        <x:v>Bank Transfer</x:v>
      </x:c>
      <x:c r="U550" t="str">
        <x:v>Paid</x:v>
      </x:c>
      <x:c r="V550" t="str">
        <x:v>Delivered</x:v>
      </x:c>
      <x:c r="W550" t="n">
        <x:v>0</x:v>
      </x:c>
      <x:c r="X550" t="str"/>
      <x:c r="Y550" t="str">
        <x:v>WhatsApp</x:v>
      </x:c>
    </x:row>
    <x:row r="551">
      <x:c r="A551" t="str">
        <x:v>O000550</x:v>
      </x:c>
      <x:c r="B551" s="20" t="n">
        <x:v>46285</x:v>
      </x:c>
      <x:c r="C551" t="str">
        <x:v>C0225</x:v>
      </x:c>
      <x:c r="D551" t="str">
        <x:v>Darshini Mart 225</x:v>
      </x:c>
      <x:c r="E551" t="str">
        <x:v>Restaurant</x:v>
      </x:c>
      <x:c r="F551" t="str">
        <x:v>Davanagere</x:v>
      </x:c>
      <x:c r="G551" t="str">
        <x:v>Kavya</x:v>
      </x:c>
      <x:c r="H551" t="str">
        <x:v>P017</x:v>
      </x:c>
      <x:c r="I551" t="str">
        <x:v>Butter 500g</x:v>
      </x:c>
      <x:c r="J551" t="str">
        <x:v>Dairy</x:v>
      </x:c>
      <x:c r="K551" t="str">
        <x:v>Amul</x:v>
      </x:c>
      <x:c r="L551" s="22" t="n">
        <x:v>285</x:v>
      </x:c>
      <x:c r="M551" t="n">
        <x:v>17</x:v>
      </x:c>
      <x:c r="N551" s="24" t="n">
        <x:v>0.03</x:v>
      </x:c>
      <x:c r="O551" s="22" t="n">
        <x:f>L551*M551</x:f>
        <x:v>4845</x:v>
      </x:c>
      <x:c r="P551" s="22" t="n">
        <x:f>O551*(1-N551)</x:f>
        <x:v>4699.65</x:v>
      </x:c>
      <x:c r="Q551" s="22" t="n">
        <x:v>258</x:v>
      </x:c>
      <x:c r="R551" s="22" t="n">
        <x:f>Q551*M551</x:f>
        <x:v>4386</x:v>
      </x:c>
      <x:c r="S551" s="22" t="n">
        <x:f>P551-R551</x:f>
        <x:v>313.64999999999964</x:v>
      </x:c>
      <x:c r="T551" t="str">
        <x:v>Credit</x:v>
      </x:c>
      <x:c r="U551" t="str">
        <x:v>Pending</x:v>
      </x:c>
      <x:c r="V551" t="str">
        <x:v>Delivered</x:v>
      </x:c>
      <x:c r="W551" t="n">
        <x:v>0</x:v>
      </x:c>
      <x:c r="X551" t="str"/>
      <x:c r="Y551" t="str">
        <x:v>WhatsApp</x:v>
      </x:c>
    </x:row>
    <x:row r="552">
      <x:c r="A552" t="str">
        <x:v>O000551</x:v>
      </x:c>
      <x:c r="B552" s="20" t="n">
        <x:v>46108</x:v>
      </x:c>
      <x:c r="C552" t="str">
        <x:v>C0039</x:v>
      </x:c>
      <x:c r="D552" t="str">
        <x:v>Sagar Cafe 39</x:v>
      </x:c>
      <x:c r="E552" t="str">
        <x:v>Restaurant</x:v>
      </x:c>
      <x:c r="F552" t="str">
        <x:v>Hubballi</x:v>
      </x:c>
      <x:c r="G552" t="str">
        <x:v>Imran</x:v>
      </x:c>
      <x:c r="H552" t="str">
        <x:v>P036</x:v>
      </x:c>
      <x:c r="I552" t="str">
        <x:v>Garam Masala 500g</x:v>
      </x:c>
      <x:c r="J552" t="str">
        <x:v>Spices</x:v>
      </x:c>
      <x:c r="K552" t="str">
        <x:v>MDH</x:v>
      </x:c>
      <x:c r="L552" s="22" t="n">
        <x:v>265</x:v>
      </x:c>
      <x:c r="M552" t="n">
        <x:v>4</x:v>
      </x:c>
      <x:c r="N552" s="24" t="n">
        <x:v>0</x:v>
      </x:c>
      <x:c r="O552" s="22" t="n">
        <x:f>L552*M552</x:f>
        <x:v>1060</x:v>
      </x:c>
      <x:c r="P552" s="22" t="n">
        <x:f>O552*(1-N552)</x:f>
        <x:v>1060</x:v>
      </x:c>
      <x:c r="Q552" s="22" t="n">
        <x:v>230</x:v>
      </x:c>
      <x:c r="R552" s="22" t="n">
        <x:f>Q552*M552</x:f>
        <x:v>920</x:v>
      </x:c>
      <x:c r="S552" s="22" t="n">
        <x:f>P552-R552</x:f>
        <x:v>140</x:v>
      </x:c>
      <x:c r="T552" t="str">
        <x:v>UPI</x:v>
      </x:c>
      <x:c r="U552" t="str">
        <x:v>Paid</x:v>
      </x:c>
      <x:c r="V552" t="str">
        <x:v>Delivered</x:v>
      </x:c>
      <x:c r="W552" t="n">
        <x:v>0</x:v>
      </x:c>
      <x:c r="X552" t="str"/>
      <x:c r="Y552" t="str">
        <x:v>Referral</x:v>
      </x:c>
    </x:row>
    <x:row r="553">
      <x:c r="A553" t="str">
        <x:v>O000552</x:v>
      </x:c>
      <x:c r="B553" s="20" t="n">
        <x:v>46164</x:v>
      </x:c>
      <x:c r="C553" t="str">
        <x:v>C0112</x:v>
      </x:c>
      <x:c r="D553" t="str">
        <x:v>Cafe Hotel 112</x:v>
      </x:c>
      <x:c r="E553" t="str">
        <x:v>Hotel</x:v>
      </x:c>
      <x:c r="F553" t="str">
        <x:v>Mangaluru</x:v>
      </x:c>
      <x:c r="G553" t="str">
        <x:v>Kavya</x:v>
      </x:c>
      <x:c r="H553" t="str">
        <x:v>P008</x:v>
      </x:c>
      <x:c r="I553" t="str">
        <x:v>Palm Oil 15L</x:v>
      </x:c>
      <x:c r="J553" t="str">
        <x:v>Edible Oil</x:v>
      </x:c>
      <x:c r="K553" t="str">
        <x:v>Ruchi Gold</x:v>
      </x:c>
      <x:c r="L553" s="22" t="n">
        <x:v>1760</x:v>
      </x:c>
      <x:c r="M553" t="n">
        <x:v>8</x:v>
      </x:c>
      <x:c r="N553" s="24" t="n">
        <x:v>0.02</x:v>
      </x:c>
      <x:c r="O553" s="22" t="n">
        <x:f>L553*M553</x:f>
        <x:v>14080</x:v>
      </x:c>
      <x:c r="P553" s="22" t="n">
        <x:f>O553*(1-N553)</x:f>
        <x:v>13798.4</x:v>
      </x:c>
      <x:c r="Q553" s="22" t="n">
        <x:v>1610</x:v>
      </x:c>
      <x:c r="R553" s="22" t="n">
        <x:f>Q553*M553</x:f>
        <x:v>12880</x:v>
      </x:c>
      <x:c r="S553" s="22" t="n">
        <x:f>P553-R553</x:f>
        <x:v>918.3999999999996</x:v>
      </x:c>
      <x:c r="T553" t="str">
        <x:v>Credit</x:v>
      </x:c>
      <x:c r="U553" t="str">
        <x:v>Paid</x:v>
      </x:c>
      <x:c r="V553" t="str">
        <x:v>Delivered</x:v>
      </x:c>
      <x:c r="W553" t="n">
        <x:v>0</x:v>
      </x:c>
      <x:c r="X553" t="str"/>
      <x:c r="Y553" t="str">
        <x:v>Referral</x:v>
      </x:c>
    </x:row>
    <x:row r="554">
      <x:c r="A554" t="str">
        <x:v>O000553</x:v>
      </x:c>
      <x:c r="B554" s="20" t="n">
        <x:v>45948</x:v>
      </x:c>
      <x:c r="C554" t="str">
        <x:v>C0024</x:v>
      </x:c>
      <x:c r="D554" t="str">
        <x:v>Darshini Restaurant 24</x:v>
      </x:c>
      <x:c r="E554" t="str">
        <x:v>Restaurant</x:v>
      </x:c>
      <x:c r="F554" t="str">
        <x:v>Davanagere</x:v>
      </x:c>
      <x:c r="G554" t="str">
        <x:v>Sneha</x:v>
      </x:c>
      <x:c r="H554" t="str">
        <x:v>P014</x:v>
      </x:c>
      <x:c r="I554" t="str">
        <x:v>Rava 5kg</x:v>
      </x:c>
      <x:c r="J554" t="str">
        <x:v>Flour</x:v>
      </x:c>
      <x:c r="K554" t="str">
        <x:v>Local Select</x:v>
      </x:c>
      <x:c r="L554" s="22" t="n">
        <x:v>245</x:v>
      </x:c>
      <x:c r="M554" t="n">
        <x:v>12</x:v>
      </x:c>
      <x:c r="N554" s="24" t="n">
        <x:v>0.05</x:v>
      </x:c>
      <x:c r="O554" s="22" t="n">
        <x:f>L554*M554</x:f>
        <x:v>2940</x:v>
      </x:c>
      <x:c r="P554" s="22" t="n">
        <x:f>O554*(1-N554)</x:f>
        <x:v>2793</x:v>
      </x:c>
      <x:c r="Q554" s="22" t="n">
        <x:v>215</x:v>
      </x:c>
      <x:c r="R554" s="22" t="n">
        <x:f>Q554*M554</x:f>
        <x:v>2580</x:v>
      </x:c>
      <x:c r="S554" s="22" t="n">
        <x:f>P554-R554</x:f>
        <x:v>213</x:v>
      </x:c>
      <x:c r="T554" t="str">
        <x:v>Cash</x:v>
      </x:c>
      <x:c r="U554" t="str">
        <x:v>Paid</x:v>
      </x:c>
      <x:c r="V554" t="str">
        <x:v>Cancelled</x:v>
      </x:c>
      <x:c r="W554" t="n">
        <x:v>12</x:v>
      </x:c>
      <x:c r="X554" t="str">
        <x:v>Cancelled Order</x:v>
      </x:c>
      <x:c r="Y554" t="str">
        <x:v>Existing Customer</x:v>
      </x:c>
    </x:row>
    <x:row r="555">
      <x:c r="A555" t="str">
        <x:v>O000554</x:v>
      </x:c>
      <x:c r="B555" s="20" t="n">
        <x:v>46196</x:v>
      </x:c>
      <x:c r="C555" t="str">
        <x:v>C0249</x:v>
      </x:c>
      <x:c r="D555" t="str">
        <x:v>City Hotel 249</x:v>
      </x:c>
      <x:c r="E555" t="str">
        <x:v>Supermarket</x:v>
      </x:c>
      <x:c r="F555" t="str">
        <x:v>Mysuru</x:v>
      </x:c>
      <x:c r="G555" t="str">
        <x:v>Arjun</x:v>
      </x:c>
      <x:c r="H555" t="str">
        <x:v>P001</x:v>
      </x:c>
      <x:c r="I555" t="str">
        <x:v>Steam Rice 25kg</x:v>
      </x:c>
      <x:c r="J555" t="str">
        <x:v>Staples</x:v>
      </x:c>
      <x:c r="K555" t="str">
        <x:v>Aishwarya</x:v>
      </x:c>
      <x:c r="L555" s="22" t="n">
        <x:v>1180</x:v>
      </x:c>
      <x:c r="M555" t="n">
        <x:v>3</x:v>
      </x:c>
      <x:c r="N555" s="24" t="n">
        <x:v>0.03</x:v>
      </x:c>
      <x:c r="O555" s="22" t="n">
        <x:f>L555*M555</x:f>
        <x:v>3540</x:v>
      </x:c>
      <x:c r="P555" s="22" t="n">
        <x:f>O555*(1-N555)</x:f>
        <x:v>3433.7999999999997</x:v>
      </x:c>
      <x:c r="Q555" s="22" t="n">
        <x:v>1040</x:v>
      </x:c>
      <x:c r="R555" s="22" t="n">
        <x:f>Q555*M555</x:f>
        <x:v>3120</x:v>
      </x:c>
      <x:c r="S555" s="22" t="n">
        <x:f>P555-R555</x:f>
        <x:v>313.7999999999997</x:v>
      </x:c>
      <x:c r="T555" t="str">
        <x:v>UPI</x:v>
      </x:c>
      <x:c r="U555" t="str">
        <x:v>Paid</x:v>
      </x:c>
      <x:c r="V555" t="str">
        <x:v>Delivered</x:v>
      </x:c>
      <x:c r="W555" t="n">
        <x:v>0</x:v>
      </x:c>
      <x:c r="X555" t="str"/>
      <x:c r="Y555" t="str">
        <x:v>Field Visit</x:v>
      </x:c>
    </x:row>
    <x:row r="556">
      <x:c r="A556" t="str">
        <x:v>O000555</x:v>
      </x:c>
      <x:c r="B556" s="20" t="n">
        <x:v>45782</x:v>
      </x:c>
      <x:c r="C556" t="str">
        <x:v>C0175</x:v>
      </x:c>
      <x:c r="D556" t="str">
        <x:v>Namma Mart 175</x:v>
      </x:c>
      <x:c r="E556" t="str">
        <x:v>Hotel</x:v>
      </x:c>
      <x:c r="F556" t="str">
        <x:v>Davanagere</x:v>
      </x:c>
      <x:c r="G556" t="str">
        <x:v>Sneha</x:v>
      </x:c>
      <x:c r="H556" t="str">
        <x:v>P044</x:v>
      </x:c>
      <x:c r="I556" t="str">
        <x:v>Chicken Curry Cut 1kg</x:v>
      </x:c>
      <x:c r="J556" t="str">
        <x:v>Protein</x:v>
      </x:c>
      <x:c r="K556" t="str">
        <x:v>FreshToHome</x:v>
      </x:c>
      <x:c r="L556" s="22" t="n">
        <x:v>230</x:v>
      </x:c>
      <x:c r="M556" t="n">
        <x:v>26</x:v>
      </x:c>
      <x:c r="N556" s="24" t="n">
        <x:v>0.02</x:v>
      </x:c>
      <x:c r="O556" s="22" t="n">
        <x:f>L556*M556</x:f>
        <x:v>5980</x:v>
      </x:c>
      <x:c r="P556" s="22" t="n">
        <x:f>O556*(1-N556)</x:f>
        <x:v>5860.4</x:v>
      </x:c>
      <x:c r="Q556" s="22" t="n">
        <x:v>205</x:v>
      </x:c>
      <x:c r="R556" s="22" t="n">
        <x:f>Q556*M556</x:f>
        <x:v>5330</x:v>
      </x:c>
      <x:c r="S556" s="22" t="n">
        <x:f>P556-R556</x:f>
        <x:v>530.3999999999996</x:v>
      </x:c>
      <x:c r="T556" t="str">
        <x:v>UPI</x:v>
      </x:c>
      <x:c r="U556" t="str">
        <x:v>Pending</x:v>
      </x:c>
      <x:c r="V556" t="str">
        <x:v>Delivered</x:v>
      </x:c>
      <x:c r="W556" t="n">
        <x:v>4</x:v>
      </x:c>
      <x:c r="X556" t="str">
        <x:v>Late Delivery</x:v>
      </x:c>
      <x:c r="Y556" t="str">
        <x:v>WhatsApp</x:v>
      </x:c>
    </x:row>
    <x:row r="557">
      <x:c r="A557" t="str">
        <x:v>O000556</x:v>
      </x:c>
      <x:c r="B557" s="20" t="n">
        <x:v>45663</x:v>
      </x:c>
      <x:c r="C557" t="str">
        <x:v>C0069</x:v>
      </x:c>
      <x:c r="D557" t="str">
        <x:v>Cafe Hotel 69</x:v>
      </x:c>
      <x:c r="E557" t="str">
        <x:v>Supermarket</x:v>
      </x:c>
      <x:c r="F557" t="str">
        <x:v>Bengaluru</x:v>
      </x:c>
      <x:c r="G557" t="str">
        <x:v>Sneha</x:v>
      </x:c>
      <x:c r="H557" t="str">
        <x:v>P039</x:v>
      </x:c>
      <x:c r="I557" t="str">
        <x:v>Ice Cream 4L</x:v>
      </x:c>
      <x:c r="J557" t="str">
        <x:v>Frozen</x:v>
      </x:c>
      <x:c r="K557" t="str">
        <x:v>Amul</x:v>
      </x:c>
      <x:c r="L557" s="22" t="n">
        <x:v>480</x:v>
      </x:c>
      <x:c r="M557" t="n">
        <x:v>22</x:v>
      </x:c>
      <x:c r="N557" s="24" t="n">
        <x:v>0.1</x:v>
      </x:c>
      <x:c r="O557" s="22" t="n">
        <x:f>L557*M557</x:f>
        <x:v>10560</x:v>
      </x:c>
      <x:c r="P557" s="22" t="n">
        <x:f>O557*(1-N557)</x:f>
        <x:v>9504</x:v>
      </x:c>
      <x:c r="Q557" s="22" t="n">
        <x:v>420</x:v>
      </x:c>
      <x:c r="R557" s="22" t="n">
        <x:f>Q557*M557</x:f>
        <x:v>9240</x:v>
      </x:c>
      <x:c r="S557" s="22" t="n">
        <x:f>P557-R557</x:f>
        <x:v>264</x:v>
      </x:c>
      <x:c r="T557" t="str">
        <x:v>Credit</x:v>
      </x:c>
      <x:c r="U557" t="str">
        <x:v>Paid</x:v>
      </x:c>
      <x:c r="V557" t="str">
        <x:v>Cancelled</x:v>
      </x:c>
      <x:c r="W557" t="n">
        <x:v>22</x:v>
      </x:c>
      <x:c r="X557" t="str">
        <x:v>Cancelled Order</x:v>
      </x:c>
      <x:c r="Y557" t="str">
        <x:v>Existing Customer</x:v>
      </x:c>
    </x:row>
    <x:row r="558">
      <x:c r="A558" t="str">
        <x:v>O000557</x:v>
      </x:c>
      <x:c r="B558" s="20" t="n">
        <x:v>45947</x:v>
      </x:c>
      <x:c r="C558" t="str">
        <x:v>C0221</x:v>
      </x:c>
      <x:c r="D558" t="str">
        <x:v>Cafe Canteen 221</x:v>
      </x:c>
      <x:c r="E558" t="str">
        <x:v>Hotel</x:v>
      </x:c>
      <x:c r="F558" t="str">
        <x:v>Hubballi</x:v>
      </x:c>
      <x:c r="G558" t="str">
        <x:v>Kavya</x:v>
      </x:c>
      <x:c r="H558" t="str">
        <x:v>P004</x:v>
      </x:c>
      <x:c r="I558" t="str">
        <x:v>Toor Dal 5kg</x:v>
      </x:c>
      <x:c r="J558" t="str">
        <x:v>Pulses</x:v>
      </x:c>
      <x:c r="K558" t="str">
        <x:v>Tata Sampann</x:v>
      </x:c>
      <x:c r="L558" s="22" t="n">
        <x:v>780</x:v>
      </x:c>
      <x:c r="M558" t="n">
        <x:v>21</x:v>
      </x:c>
      <x:c r="N558" s="24" t="n">
        <x:v>0.05</x:v>
      </x:c>
      <x:c r="O558" s="22" t="n">
        <x:f>L558*M558</x:f>
        <x:v>16380</x:v>
      </x:c>
      <x:c r="P558" s="22" t="n">
        <x:f>O558*(1-N558)</x:f>
        <x:v>15561</x:v>
      </x:c>
      <x:c r="Q558" s="22" t="n">
        <x:v>695</x:v>
      </x:c>
      <x:c r="R558" s="22" t="n">
        <x:f>Q558*M558</x:f>
        <x:v>14595</x:v>
      </x:c>
      <x:c r="S558" s="22" t="n">
        <x:f>P558-R558</x:f>
        <x:v>966</x:v>
      </x:c>
      <x:c r="T558" t="str">
        <x:v>UPI</x:v>
      </x:c>
      <x:c r="U558" t="str">
        <x:v>Paid</x:v>
      </x:c>
      <x:c r="V558" t="str">
        <x:v>Delayed</x:v>
      </x:c>
      <x:c r="W558" t="n">
        <x:v>0</x:v>
      </x:c>
      <x:c r="X558" t="str"/>
      <x:c r="Y558" t="str">
        <x:v>WhatsApp</x:v>
      </x:c>
    </x:row>
    <x:row r="559">
      <x:c r="A559" t="str">
        <x:v>O000558</x:v>
      </x:c>
      <x:c r="B559" s="20" t="n">
        <x:v>45903</x:v>
      </x:c>
      <x:c r="C559" t="str">
        <x:v>C0066</x:v>
      </x:c>
      <x:c r="D559" t="str">
        <x:v>Hotel Hotel 66</x:v>
      </x:c>
      <x:c r="E559" t="str">
        <x:v>Restaurant</x:v>
      </x:c>
      <x:c r="F559" t="str">
        <x:v>Davanagere</x:v>
      </x:c>
      <x:c r="G559" t="str">
        <x:v>Megha</x:v>
      </x:c>
      <x:c r="H559" t="str">
        <x:v>P012</x:v>
      </x:c>
      <x:c r="I559" t="str">
        <x:v>Maida 10kg</x:v>
      </x:c>
      <x:c r="J559" t="str">
        <x:v>Flour</x:v>
      </x:c>
      <x:c r="K559" t="str">
        <x:v>Aashirvaad</x:v>
      </x:c>
      <x:c r="L559" s="22" t="n">
        <x:v>520</x:v>
      </x:c>
      <x:c r="M559" t="n">
        <x:v>26</x:v>
      </x:c>
      <x:c r="N559" s="24" t="n">
        <x:v>0</x:v>
      </x:c>
      <x:c r="O559" s="22" t="n">
        <x:f>L559*M559</x:f>
        <x:v>13520</x:v>
      </x:c>
      <x:c r="P559" s="22" t="n">
        <x:f>O559*(1-N559)</x:f>
        <x:v>13520</x:v>
      </x:c>
      <x:c r="Q559" s="22" t="n">
        <x:v>460</x:v>
      </x:c>
      <x:c r="R559" s="22" t="n">
        <x:f>Q559*M559</x:f>
        <x:v>11960</x:v>
      </x:c>
      <x:c r="S559" s="22" t="n">
        <x:f>P559-R559</x:f>
        <x:v>1560</x:v>
      </x:c>
      <x:c r="T559" t="str">
        <x:v>Bank Transfer</x:v>
      </x:c>
      <x:c r="U559" t="str">
        <x:v>Paid</x:v>
      </x:c>
      <x:c r="V559" t="str">
        <x:v>Delivered</x:v>
      </x:c>
      <x:c r="W559" t="n">
        <x:v>0</x:v>
      </x:c>
      <x:c r="X559" t="str"/>
      <x:c r="Y559" t="str">
        <x:v>Referral</x:v>
      </x:c>
    </x:row>
    <x:row r="560">
      <x:c r="A560" t="str">
        <x:v>O000559</x:v>
      </x:c>
      <x:c r="B560" s="20" t="n">
        <x:v>45975</x:v>
      </x:c>
      <x:c r="C560" t="str">
        <x:v>C0126</x:v>
      </x:c>
      <x:c r="D560" t="str">
        <x:v>Mysore Hotel 126</x:v>
      </x:c>
      <x:c r="E560" t="str">
        <x:v>Restaurant</x:v>
      </x:c>
      <x:c r="F560" t="str">
        <x:v>Mangaluru</x:v>
      </x:c>
      <x:c r="G560" t="str">
        <x:v>Vikram</x:v>
      </x:c>
      <x:c r="H560" t="str">
        <x:v>P028</x:v>
      </x:c>
      <x:c r="I560" t="str">
        <x:v>Cookies 200g</x:v>
      </x:c>
      <x:c r="J560" t="str">
        <x:v>Snacks</x:v>
      </x:c>
      <x:c r="K560" t="str">
        <x:v>Britannia</x:v>
      </x:c>
      <x:c r="L560" s="22" t="n">
        <x:v>55</x:v>
      </x:c>
      <x:c r="M560" t="n">
        <x:v>39</x:v>
      </x:c>
      <x:c r="N560" s="24" t="n">
        <x:v>0</x:v>
      </x:c>
      <x:c r="O560" s="22" t="n">
        <x:f>L560*M560</x:f>
        <x:v>2145</x:v>
      </x:c>
      <x:c r="P560" s="22" t="n">
        <x:f>O560*(1-N560)</x:f>
        <x:v>2145</x:v>
      </x:c>
      <x:c r="Q560" s="22" t="n">
        <x:v>42</x:v>
      </x:c>
      <x:c r="R560" s="22" t="n">
        <x:f>Q560*M560</x:f>
        <x:v>1638</x:v>
      </x:c>
      <x:c r="S560" s="22" t="n">
        <x:f>P560-R560</x:f>
        <x:v>507</x:v>
      </x:c>
      <x:c r="T560" t="str">
        <x:v>UPI</x:v>
      </x:c>
      <x:c r="U560" t="str">
        <x:v>Pending</x:v>
      </x:c>
      <x:c r="V560" t="str">
        <x:v>Delayed</x:v>
      </x:c>
      <x:c r="W560" t="n">
        <x:v>0</x:v>
      </x:c>
      <x:c r="X560" t="str"/>
      <x:c r="Y560" t="str">
        <x:v>Referral</x:v>
      </x:c>
    </x:row>
    <x:row r="561">
      <x:c r="A561" t="str">
        <x:v>O000560</x:v>
      </x:c>
      <x:c r="B561" s="20" t="n">
        <x:v>46145</x:v>
      </x:c>
      <x:c r="C561" t="str">
        <x:v>C0227</x:v>
      </x:c>
      <x:c r="D561" t="str">
        <x:v>Metro Restaurant 227</x:v>
      </x:c>
      <x:c r="E561" t="str">
        <x:v>Restaurant</x:v>
      </x:c>
      <x:c r="F561" t="str">
        <x:v>Davanagere</x:v>
      </x:c>
      <x:c r="G561" t="str">
        <x:v>Kavya</x:v>
      </x:c>
      <x:c r="H561" t="str">
        <x:v>P025</x:v>
      </x:c>
      <x:c r="I561" t="str">
        <x:v>Potato Chips 100g</x:v>
      </x:c>
      <x:c r="J561" t="str">
        <x:v>Snacks</x:v>
      </x:c>
      <x:c r="K561" t="str">
        <x:v>Lay's</x:v>
      </x:c>
      <x:c r="L561" s="22" t="n">
        <x:v>35</x:v>
      </x:c>
      <x:c r="M561" t="n">
        <x:v>18</x:v>
      </x:c>
      <x:c r="N561" s="24" t="n">
        <x:v>0.03</x:v>
      </x:c>
      <x:c r="O561" s="22" t="n">
        <x:f>L561*M561</x:f>
        <x:v>630</x:v>
      </x:c>
      <x:c r="P561" s="22" t="n">
        <x:f>O561*(1-N561)</x:f>
        <x:v>611.1</x:v>
      </x:c>
      <x:c r="Q561" s="22" t="n">
        <x:v>27</x:v>
      </x:c>
      <x:c r="R561" s="22" t="n">
        <x:f>Q561*M561</x:f>
        <x:v>486</x:v>
      </x:c>
      <x:c r="S561" s="22" t="n">
        <x:f>P561-R561</x:f>
        <x:v>125.10000000000002</x:v>
      </x:c>
      <x:c r="T561" t="str">
        <x:v>Credit</x:v>
      </x:c>
      <x:c r="U561" t="str">
        <x:v>Paid</x:v>
      </x:c>
      <x:c r="V561" t="str">
        <x:v>Delivered</x:v>
      </x:c>
      <x:c r="W561" t="n">
        <x:v>0</x:v>
      </x:c>
      <x:c r="X561" t="str"/>
      <x:c r="Y561" t="str">
        <x:v>Existing Customer</x:v>
      </x:c>
    </x:row>
    <x:row r="562">
      <x:c r="A562" t="str">
        <x:v>O000561</x:v>
      </x:c>
      <x:c r="B562" s="20" t="n">
        <x:v>45753</x:v>
      </x:c>
      <x:c r="C562" t="str">
        <x:v>C0162</x:v>
      </x:c>
      <x:c r="D562" t="str">
        <x:v>Udupi Foods 162</x:v>
      </x:c>
      <x:c r="E562" t="str">
        <x:v>Restaurant</x:v>
      </x:c>
      <x:c r="F562" t="str">
        <x:v>Mysuru</x:v>
      </x:c>
      <x:c r="G562" t="str">
        <x:v>Ramesh</x:v>
      </x:c>
      <x:c r="H562" t="str">
        <x:v>P028</x:v>
      </x:c>
      <x:c r="I562" t="str">
        <x:v>Cookies 200g</x:v>
      </x:c>
      <x:c r="J562" t="str">
        <x:v>Snacks</x:v>
      </x:c>
      <x:c r="K562" t="str">
        <x:v>Britannia</x:v>
      </x:c>
      <x:c r="L562" s="22" t="n">
        <x:v>55</x:v>
      </x:c>
      <x:c r="M562" t="n">
        <x:v>3</x:v>
      </x:c>
      <x:c r="N562" s="24" t="n">
        <x:v>0.03</x:v>
      </x:c>
      <x:c r="O562" s="22" t="n">
        <x:f>L562*M562</x:f>
        <x:v>165</x:v>
      </x:c>
      <x:c r="P562" s="22" t="n">
        <x:f>O562*(1-N562)</x:f>
        <x:v>160.04999999999998</x:v>
      </x:c>
      <x:c r="Q562" s="22" t="n">
        <x:v>42</x:v>
      </x:c>
      <x:c r="R562" s="22" t="n">
        <x:f>Q562*M562</x:f>
        <x:v>126</x:v>
      </x:c>
      <x:c r="S562" s="22" t="n">
        <x:f>P562-R562</x:f>
        <x:v>34.04999999999998</x:v>
      </x:c>
      <x:c r="T562" t="str">
        <x:v>Credit</x:v>
      </x:c>
      <x:c r="U562" t="str">
        <x:v>Paid</x:v>
      </x:c>
      <x:c r="V562" t="str">
        <x:v>Cancelled</x:v>
      </x:c>
      <x:c r="W562" t="n">
        <x:v>3</x:v>
      </x:c>
      <x:c r="X562" t="str">
        <x:v>Cancelled Order</x:v>
      </x:c>
      <x:c r="Y562" t="str">
        <x:v>Referral</x:v>
      </x:c>
    </x:row>
    <x:row r="563">
      <x:c r="A563" t="str">
        <x:v>O000562</x:v>
      </x:c>
      <x:c r="B563" s="20" t="n">
        <x:v>46195</x:v>
      </x:c>
      <x:c r="C563" t="str">
        <x:v>C0135</x:v>
      </x:c>
      <x:c r="D563" t="str">
        <x:v>City Canteen 135</x:v>
      </x:c>
      <x:c r="E563" t="str">
        <x:v>Supermarket</x:v>
      </x:c>
      <x:c r="F563" t="str">
        <x:v>Hubballi</x:v>
      </x:c>
      <x:c r="G563" t="str">
        <x:v>Megha</x:v>
      </x:c>
      <x:c r="H563" t="str">
        <x:v>P041</x:v>
      </x:c>
      <x:c r="I563" t="str">
        <x:v>Burger Bun 6pc</x:v>
      </x:c>
      <x:c r="J563" t="str">
        <x:v>Bakery</x:v>
      </x:c>
      <x:c r="K563" t="str">
        <x:v>Modern</x:v>
      </x:c>
      <x:c r="L563" s="22" t="n">
        <x:v>42</x:v>
      </x:c>
      <x:c r="M563" t="n">
        <x:v>6</x:v>
      </x:c>
      <x:c r="N563" s="24" t="n">
        <x:v>0.02</x:v>
      </x:c>
      <x:c r="O563" s="22" t="n">
        <x:f>L563*M563</x:f>
        <x:v>252</x:v>
      </x:c>
      <x:c r="P563" s="22" t="n">
        <x:f>O563*(1-N563)</x:f>
        <x:v>246.96</x:v>
      </x:c>
      <x:c r="Q563" s="22" t="n">
        <x:v>32</x:v>
      </x:c>
      <x:c r="R563" s="22" t="n">
        <x:f>Q563*M563</x:f>
        <x:v>192</x:v>
      </x:c>
      <x:c r="S563" s="22" t="n">
        <x:f>P563-R563</x:f>
        <x:v>54.96000000000001</x:v>
      </x:c>
      <x:c r="T563" t="str">
        <x:v>Credit</x:v>
      </x:c>
      <x:c r="U563" t="str">
        <x:v>Paid</x:v>
      </x:c>
      <x:c r="V563" t="str">
        <x:v>Delivered</x:v>
      </x:c>
      <x:c r="W563" t="n">
        <x:v>0</x:v>
      </x:c>
      <x:c r="X563" t="str"/>
      <x:c r="Y563" t="str">
        <x:v>Referral</x:v>
      </x:c>
    </x:row>
    <x:row r="564">
      <x:c r="A564" t="str">
        <x:v>O000563</x:v>
      </x:c>
      <x:c r="B564" s="20" t="n">
        <x:v>46193</x:v>
      </x:c>
      <x:c r="C564" t="str">
        <x:v>C0077</x:v>
      </x:c>
      <x:c r="D564" t="str">
        <x:v>Spice Cafe 77</x:v>
      </x:c>
      <x:c r="E564" t="str">
        <x:v>Kirana</x:v>
      </x:c>
      <x:c r="F564" t="str">
        <x:v>Hubballi</x:v>
      </x:c>
      <x:c r="G564" t="str">
        <x:v>Vikram</x:v>
      </x:c>
      <x:c r="H564" t="str">
        <x:v>P016</x:v>
      </x:c>
      <x:c r="I564" t="str">
        <x:v>Curd 1kg</x:v>
      </x:c>
      <x:c r="J564" t="str">
        <x:v>Dairy</x:v>
      </x:c>
      <x:c r="K564" t="str">
        <x:v>Nandini</x:v>
      </x:c>
      <x:c r="L564" s="22" t="n">
        <x:v>72</x:v>
      </x:c>
      <x:c r="M564" t="n">
        <x:v>28</x:v>
      </x:c>
      <x:c r="N564" s="24" t="n">
        <x:v>0.02</x:v>
      </x:c>
      <x:c r="O564" s="22" t="n">
        <x:f>L564*M564</x:f>
        <x:v>2016</x:v>
      </x:c>
      <x:c r="P564" s="22" t="n">
        <x:f>O564*(1-N564)</x:f>
        <x:v>1975.68</x:v>
      </x:c>
      <x:c r="Q564" s="22" t="n">
        <x:v>64</x:v>
      </x:c>
      <x:c r="R564" s="22" t="n">
        <x:f>Q564*M564</x:f>
        <x:v>1792</x:v>
      </x:c>
      <x:c r="S564" s="22" t="n">
        <x:f>P564-R564</x:f>
        <x:v>183.68000000000006</x:v>
      </x:c>
      <x:c r="T564" t="str">
        <x:v>UPI</x:v>
      </x:c>
      <x:c r="U564" t="str">
        <x:v>Paid</x:v>
      </x:c>
      <x:c r="V564" t="str">
        <x:v>Delivered</x:v>
      </x:c>
      <x:c r="W564" t="n">
        <x:v>0</x:v>
      </x:c>
      <x:c r="X564" t="str"/>
      <x:c r="Y564" t="str">
        <x:v>Existing Customer</x:v>
      </x:c>
    </x:row>
    <x:row r="565">
      <x:c r="A565" t="str">
        <x:v>O000564</x:v>
      </x:c>
      <x:c r="B565" s="20" t="n">
        <x:v>46240</x:v>
      </x:c>
      <x:c r="C565" t="str">
        <x:v>C0025</x:v>
      </x:c>
      <x:c r="D565" t="str">
        <x:v>Sri Cafe 25</x:v>
      </x:c>
      <x:c r="E565" t="str">
        <x:v>Hotel</x:v>
      </x:c>
      <x:c r="F565" t="str">
        <x:v>Mysuru</x:v>
      </x:c>
      <x:c r="G565" t="str">
        <x:v>Kavya</x:v>
      </x:c>
      <x:c r="H565" t="str">
        <x:v>P030</x:v>
      </x:c>
      <x:c r="I565" t="str">
        <x:v>Mayonnaise 1kg</x:v>
      </x:c>
      <x:c r="J565" t="str">
        <x:v>Condiments</x:v>
      </x:c>
      <x:c r="K565" t="str">
        <x:v>Veeba</x:v>
      </x:c>
      <x:c r="L565" s="22" t="n">
        <x:v>210</x:v>
      </x:c>
      <x:c r="M565" t="n">
        <x:v>17</x:v>
      </x:c>
      <x:c r="N565" s="24" t="n">
        <x:v>0.02</x:v>
      </x:c>
      <x:c r="O565" s="22" t="n">
        <x:f>L565*M565</x:f>
        <x:v>3570</x:v>
      </x:c>
      <x:c r="P565" s="22" t="n">
        <x:f>O565*(1-N565)</x:f>
        <x:v>3498.6</x:v>
      </x:c>
      <x:c r="Q565" s="22" t="n">
        <x:v>185</x:v>
      </x:c>
      <x:c r="R565" s="22" t="n">
        <x:f>Q565*M565</x:f>
        <x:v>3145</x:v>
      </x:c>
      <x:c r="S565" s="22" t="n">
        <x:f>P565-R565</x:f>
        <x:v>353.5999999999999</x:v>
      </x:c>
      <x:c r="T565" t="str">
        <x:v>UPI</x:v>
      </x:c>
      <x:c r="U565" t="str">
        <x:v>Pending</x:v>
      </x:c>
      <x:c r="V565" t="str">
        <x:v>Delivered</x:v>
      </x:c>
      <x:c r="W565" t="n">
        <x:v>0</x:v>
      </x:c>
      <x:c r="X565" t="str"/>
      <x:c r="Y565" t="str">
        <x:v>WhatsApp</x:v>
      </x:c>
    </x:row>
    <x:row r="566">
      <x:c r="A566" t="str">
        <x:v>O000565</x:v>
      </x:c>
      <x:c r="B566" s="20" t="n">
        <x:v>45704</x:v>
      </x:c>
      <x:c r="C566" t="str">
        <x:v>C0047</x:v>
      </x:c>
      <x:c r="D566" t="str">
        <x:v>Shree Restaurant 47</x:v>
      </x:c>
      <x:c r="E566" t="str">
        <x:v>Canteen</x:v>
      </x:c>
      <x:c r="F566" t="str">
        <x:v>Davanagere</x:v>
      </x:c>
      <x:c r="G566" t="str">
        <x:v>Arjun</x:v>
      </x:c>
      <x:c r="H566" t="str">
        <x:v>P026</x:v>
      </x:c>
      <x:c r="I566" t="str">
        <x:v>Banana Chips 80g</x:v>
      </x:c>
      <x:c r="J566" t="str">
        <x:v>Snacks</x:v>
      </x:c>
      <x:c r="K566" t="str">
        <x:v>SSS</x:v>
      </x:c>
      <x:c r="L566" s="22" t="n">
        <x:v>54</x:v>
      </x:c>
      <x:c r="M566" t="n">
        <x:v>6</x:v>
      </x:c>
      <x:c r="N566" s="24" t="n">
        <x:v>0.03</x:v>
      </x:c>
      <x:c r="O566" s="22" t="n">
        <x:f>L566*M566</x:f>
        <x:v>324</x:v>
      </x:c>
      <x:c r="P566" s="22" t="n">
        <x:f>O566*(1-N566)</x:f>
        <x:v>314.28</x:v>
      </x:c>
      <x:c r="Q566" s="22" t="n">
        <x:v>39</x:v>
      </x:c>
      <x:c r="R566" s="22" t="n">
        <x:f>Q566*M566</x:f>
        <x:v>234</x:v>
      </x:c>
      <x:c r="S566" s="22" t="n">
        <x:f>P566-R566</x:f>
        <x:v>80.27999999999997</x:v>
      </x:c>
      <x:c r="T566" t="str">
        <x:v>Cash</x:v>
      </x:c>
      <x:c r="U566" t="str">
        <x:v>Paid</x:v>
      </x:c>
      <x:c r="V566" t="str">
        <x:v>Cancelled</x:v>
      </x:c>
      <x:c r="W566" t="n">
        <x:v>6</x:v>
      </x:c>
      <x:c r="X566" t="str">
        <x:v>Cancelled Order</x:v>
      </x:c>
      <x:c r="Y566" t="str">
        <x:v>WhatsApp</x:v>
      </x:c>
    </x:row>
    <x:row r="567">
      <x:c r="A567" t="str">
        <x:v>O000566</x:v>
      </x:c>
      <x:c r="B567" s="20" t="n">
        <x:v>45929</x:v>
      </x:c>
      <x:c r="C567" t="str">
        <x:v>C0116</x:v>
      </x:c>
      <x:c r="D567" t="str">
        <x:v>Classic Foods 116</x:v>
      </x:c>
      <x:c r="E567" t="str">
        <x:v>Supermarket</x:v>
      </x:c>
      <x:c r="F567" t="str">
        <x:v>Davanagere</x:v>
      </x:c>
      <x:c r="G567" t="str">
        <x:v>Megha</x:v>
      </x:c>
      <x:c r="H567" t="str">
        <x:v>P040</x:v>
      </x:c>
      <x:c r="I567" t="str">
        <x:v>Bread Loaf 400g</x:v>
      </x:c>
      <x:c r="J567" t="str">
        <x:v>Bakery</x:v>
      </x:c>
      <x:c r="K567" t="str">
        <x:v>Britannia</x:v>
      </x:c>
      <x:c r="L567" s="22" t="n">
        <x:v>45</x:v>
      </x:c>
      <x:c r="M567" t="n">
        <x:v>22</x:v>
      </x:c>
      <x:c r="N567" s="24" t="n">
        <x:v>0.1</x:v>
      </x:c>
      <x:c r="O567" s="22" t="n">
        <x:f>L567*M567</x:f>
        <x:v>990</x:v>
      </x:c>
      <x:c r="P567" s="22" t="n">
        <x:f>O567*(1-N567)</x:f>
        <x:v>891</x:v>
      </x:c>
      <x:c r="Q567" s="22" t="n">
        <x:v>35</x:v>
      </x:c>
      <x:c r="R567" s="22" t="n">
        <x:f>Q567*M567</x:f>
        <x:v>770</x:v>
      </x:c>
      <x:c r="S567" s="22" t="n">
        <x:f>P567-R567</x:f>
        <x:v>121</x:v>
      </x:c>
      <x:c r="T567" t="str">
        <x:v>Bank Transfer</x:v>
      </x:c>
      <x:c r="U567" t="str">
        <x:v>Paid</x:v>
      </x:c>
      <x:c r="V567" t="str">
        <x:v>Delivered</x:v>
      </x:c>
      <x:c r="W567" t="n">
        <x:v>0</x:v>
      </x:c>
      <x:c r="X567" t="str"/>
      <x:c r="Y567" t="str">
        <x:v>Existing Customer</x:v>
      </x:c>
    </x:row>
    <x:row r="568">
      <x:c r="A568" t="str">
        <x:v>O000567</x:v>
      </x:c>
      <x:c r="B568" s="20" t="n">
        <x:v>46102</x:v>
      </x:c>
      <x:c r="C568" t="str">
        <x:v>C0173</x:v>
      </x:c>
      <x:c r="D568" t="str">
        <x:v>Royal Kitchen 173</x:v>
      </x:c>
      <x:c r="E568" t="str">
        <x:v>Hotel</x:v>
      </x:c>
      <x:c r="F568" t="str">
        <x:v>Bengaluru</x:v>
      </x:c>
      <x:c r="G568" t="str">
        <x:v>Priya</x:v>
      </x:c>
      <x:c r="H568" t="str">
        <x:v>P007</x:v>
      </x:c>
      <x:c r="I568" t="str">
        <x:v>Sunflower Oil 15L</x:v>
      </x:c>
      <x:c r="J568" t="str">
        <x:v>Edible Oil</x:v>
      </x:c>
      <x:c r="K568" t="str">
        <x:v>Fortune</x:v>
      </x:c>
      <x:c r="L568" s="22" t="n">
        <x:v>1980</x:v>
      </x:c>
      <x:c r="M568" t="n">
        <x:v>1</x:v>
      </x:c>
      <x:c r="N568" s="24" t="n">
        <x:v>0</x:v>
      </x:c>
      <x:c r="O568" s="22" t="n">
        <x:f>L568*M568</x:f>
        <x:v>1980</x:v>
      </x:c>
      <x:c r="P568" s="22" t="n">
        <x:f>O568*(1-N568)</x:f>
        <x:v>1980</x:v>
      </x:c>
      <x:c r="Q568" s="22" t="n">
        <x:v>1810</x:v>
      </x:c>
      <x:c r="R568" s="22" t="n">
        <x:f>Q568*M568</x:f>
        <x:v>1810</x:v>
      </x:c>
      <x:c r="S568" s="22" t="n">
        <x:f>P568-R568</x:f>
        <x:v>170</x:v>
      </x:c>
      <x:c r="T568" t="str">
        <x:v>UPI</x:v>
      </x:c>
      <x:c r="U568" t="str">
        <x:v>Paid</x:v>
      </x:c>
      <x:c r="V568" t="str">
        <x:v>Cancelled</x:v>
      </x:c>
      <x:c r="W568" t="n">
        <x:v>1</x:v>
      </x:c>
      <x:c r="X568" t="str">
        <x:v>Cancelled Order</x:v>
      </x:c>
      <x:c r="Y568" t="str">
        <x:v>WhatsApp</x:v>
      </x:c>
    </x:row>
    <x:row r="569">
      <x:c r="A569" t="str">
        <x:v>O000568</x:v>
      </x:c>
      <x:c r="B569" s="20" t="n">
        <x:v>46274</x:v>
      </x:c>
      <x:c r="C569" t="str">
        <x:v>C0104</x:v>
      </x:c>
      <x:c r="D569" t="str">
        <x:v>Shree Foods 104</x:v>
      </x:c>
      <x:c r="E569" t="str">
        <x:v>Cafe</x:v>
      </x:c>
      <x:c r="F569" t="str">
        <x:v>Mangaluru</x:v>
      </x:c>
      <x:c r="G569" t="str">
        <x:v>Megha</x:v>
      </x:c>
      <x:c r="H569" t="str">
        <x:v>P043</x:v>
      </x:c>
      <x:c r="I569" t="str">
        <x:v>Chicken Breast 1kg</x:v>
      </x:c>
      <x:c r="J569" t="str">
        <x:v>Protein</x:v>
      </x:c>
      <x:c r="K569" t="str">
        <x:v>FreshToHome</x:v>
      </x:c>
      <x:c r="L569" s="22" t="n">
        <x:v>260</x:v>
      </x:c>
      <x:c r="M569" t="n">
        <x:v>32</x:v>
      </x:c>
      <x:c r="N569" s="24" t="n">
        <x:v>0.02</x:v>
      </x:c>
      <x:c r="O569" s="22" t="n">
        <x:f>L569*M569</x:f>
        <x:v>8320</x:v>
      </x:c>
      <x:c r="P569" s="22" t="n">
        <x:f>O569*(1-N569)</x:f>
        <x:v>8153.599999999999</x:v>
      </x:c>
      <x:c r="Q569" s="22" t="n">
        <x:v>235</x:v>
      </x:c>
      <x:c r="R569" s="22" t="n">
        <x:f>Q569*M569</x:f>
        <x:v>7520</x:v>
      </x:c>
      <x:c r="S569" s="22" t="n">
        <x:f>P569-R569</x:f>
        <x:v>633.5999999999995</x:v>
      </x:c>
      <x:c r="T569" t="str">
        <x:v>Cash</x:v>
      </x:c>
      <x:c r="U569" t="str">
        <x:v>Paid</x:v>
      </x:c>
      <x:c r="V569" t="str">
        <x:v>Cancelled</x:v>
      </x:c>
      <x:c r="W569" t="n">
        <x:v>32</x:v>
      </x:c>
      <x:c r="X569" t="str">
        <x:v>Cancelled Order</x:v>
      </x:c>
      <x:c r="Y569" t="str">
        <x:v>WhatsApp</x:v>
      </x:c>
    </x:row>
    <x:row r="570">
      <x:c r="A570" t="str">
        <x:v>O000569</x:v>
      </x:c>
      <x:c r="B570" s="20" t="n">
        <x:v>45796</x:v>
      </x:c>
      <x:c r="C570" t="str">
        <x:v>C0023</x:v>
      </x:c>
      <x:c r="D570" t="str">
        <x:v>Mysore Canteen 23</x:v>
      </x:c>
      <x:c r="E570" t="str">
        <x:v>Cafe</x:v>
      </x:c>
      <x:c r="F570" t="str">
        <x:v>Hubballi</x:v>
      </x:c>
      <x:c r="G570" t="str">
        <x:v>Sneha</x:v>
      </x:c>
      <x:c r="H570" t="str">
        <x:v>P009</x:v>
      </x:c>
      <x:c r="I570" t="str">
        <x:v>Groundnut Oil 5L</x:v>
      </x:c>
      <x:c r="J570" t="str">
        <x:v>Edible Oil</x:v>
      </x:c>
      <x:c r="K570" t="str">
        <x:v>Dhara</x:v>
      </x:c>
      <x:c r="L570" s="22" t="n">
        <x:v>890</x:v>
      </x:c>
      <x:c r="M570" t="n">
        <x:v>1</x:v>
      </x:c>
      <x:c r="N570" s="24" t="n">
        <x:v>0</x:v>
      </x:c>
      <x:c r="O570" s="22" t="n">
        <x:f>L570*M570</x:f>
        <x:v>890</x:v>
      </x:c>
      <x:c r="P570" s="22" t="n">
        <x:f>O570*(1-N570)</x:f>
        <x:v>890</x:v>
      </x:c>
      <x:c r="Q570" s="22" t="n">
        <x:v>810</x:v>
      </x:c>
      <x:c r="R570" s="22" t="n">
        <x:f>Q570*M570</x:f>
        <x:v>810</x:v>
      </x:c>
      <x:c r="S570" s="22" t="n">
        <x:f>P570-R570</x:f>
        <x:v>80</x:v>
      </x:c>
      <x:c r="T570" t="str">
        <x:v>UPI</x:v>
      </x:c>
      <x:c r="U570" t="str">
        <x:v>Paid</x:v>
      </x:c>
      <x:c r="V570" t="str">
        <x:v>Delivered</x:v>
      </x:c>
      <x:c r="W570" t="n">
        <x:v>0</x:v>
      </x:c>
      <x:c r="X570" t="str"/>
      <x:c r="Y570" t="str">
        <x:v>Referral</x:v>
      </x:c>
    </x:row>
    <x:row r="571">
      <x:c r="A571" t="str">
        <x:v>O000570</x:v>
      </x:c>
      <x:c r="B571" s="20" t="n">
        <x:v>45905</x:v>
      </x:c>
      <x:c r="C571" t="str">
        <x:v>C0038</x:v>
      </x:c>
      <x:c r="D571" t="str">
        <x:v>Mysore Kitchen 38</x:v>
      </x:c>
      <x:c r="E571" t="str">
        <x:v>Kirana</x:v>
      </x:c>
      <x:c r="F571" t="str">
        <x:v>Tumakuru</x:v>
      </x:c>
      <x:c r="G571" t="str">
        <x:v>Priya</x:v>
      </x:c>
      <x:c r="H571" t="str">
        <x:v>P042</x:v>
      </x:c>
      <x:c r="I571" t="str">
        <x:v>Eggs 30pc Tray</x:v>
      </x:c>
      <x:c r="J571" t="str">
        <x:v>Protein</x:v>
      </x:c>
      <x:c r="K571" t="str">
        <x:v>Farm Fresh</x:v>
      </x:c>
      <x:c r="L571" s="22" t="n">
        <x:v>195</x:v>
      </x:c>
      <x:c r="M571" t="n">
        <x:v>28</x:v>
      </x:c>
      <x:c r="N571" s="24" t="n">
        <x:v>0.05</x:v>
      </x:c>
      <x:c r="O571" s="22" t="n">
        <x:f>L571*M571</x:f>
        <x:v>5460</x:v>
      </x:c>
      <x:c r="P571" s="22" t="n">
        <x:f>O571*(1-N571)</x:f>
        <x:v>5187</x:v>
      </x:c>
      <x:c r="Q571" s="22" t="n">
        <x:v>170</x:v>
      </x:c>
      <x:c r="R571" s="22" t="n">
        <x:f>Q571*M571</x:f>
        <x:v>4760</x:v>
      </x:c>
      <x:c r="S571" s="22" t="n">
        <x:f>P571-R571</x:f>
        <x:v>427</x:v>
      </x:c>
      <x:c r="T571" t="str">
        <x:v>Bank Transfer</x:v>
      </x:c>
      <x:c r="U571" t="str">
        <x:v>Paid</x:v>
      </x:c>
      <x:c r="V571" t="str">
        <x:v>Delivered</x:v>
      </x:c>
      <x:c r="W571" t="n">
        <x:v>0</x:v>
      </x:c>
      <x:c r="X571" t="str"/>
      <x:c r="Y571" t="str">
        <x:v>WhatsApp</x:v>
      </x:c>
    </x:row>
    <x:row r="572">
      <x:c r="A572" t="str">
        <x:v>O000571</x:v>
      </x:c>
      <x:c r="B572" s="20" t="n">
        <x:v>46113</x:v>
      </x:c>
      <x:c r="C572" t="str">
        <x:v>C0043</x:v>
      </x:c>
      <x:c r="D572" t="str">
        <x:v>Namma Kitchen 43</x:v>
      </x:c>
      <x:c r="E572" t="str">
        <x:v>Supermarket</x:v>
      </x:c>
      <x:c r="F572" t="str">
        <x:v>Davanagere</x:v>
      </x:c>
      <x:c r="G572" t="str">
        <x:v>Kavya</x:v>
      </x:c>
      <x:c r="H572" t="str">
        <x:v>P010</x:v>
      </x:c>
      <x:c r="I572" t="str">
        <x:v>Sugar 25kg</x:v>
      </x:c>
      <x:c r="J572" t="str">
        <x:v>Staples</x:v>
      </x:c>
      <x:c r="K572" t="str">
        <x:v>Madhur</x:v>
      </x:c>
      <x:c r="L572" s="22" t="n">
        <x:v>1190</x:v>
      </x:c>
      <x:c r="M572" t="n">
        <x:v>8</x:v>
      </x:c>
      <x:c r="N572" s="24" t="n">
        <x:v>0</x:v>
      </x:c>
      <x:c r="O572" s="22" t="n">
        <x:f>L572*M572</x:f>
        <x:v>9520</x:v>
      </x:c>
      <x:c r="P572" s="22" t="n">
        <x:f>O572*(1-N572)</x:f>
        <x:v>9520</x:v>
      </x:c>
      <x:c r="Q572" s="22" t="n">
        <x:v>1080</x:v>
      </x:c>
      <x:c r="R572" s="22" t="n">
        <x:f>Q572*M572</x:f>
        <x:v>8640</x:v>
      </x:c>
      <x:c r="S572" s="22" t="n">
        <x:f>P572-R572</x:f>
        <x:v>880</x:v>
      </x:c>
      <x:c r="T572" t="str">
        <x:v>Credit</x:v>
      </x:c>
      <x:c r="U572" t="str">
        <x:v>Paid</x:v>
      </x:c>
      <x:c r="V572" t="str">
        <x:v>Delivered</x:v>
      </x:c>
      <x:c r="W572" t="n">
        <x:v>0</x:v>
      </x:c>
      <x:c r="X572" t="str"/>
      <x:c r="Y572" t="str">
        <x:v>WhatsApp</x:v>
      </x:c>
    </x:row>
    <x:row r="573">
      <x:c r="A573" t="str">
        <x:v>O000572</x:v>
      </x:c>
      <x:c r="B573" s="20" t="n">
        <x:v>46100</x:v>
      </x:c>
      <x:c r="C573" t="str">
        <x:v>C0003</x:v>
      </x:c>
      <x:c r="D573" t="str">
        <x:v>Grand Foods 3</x:v>
      </x:c>
      <x:c r="E573" t="str">
        <x:v>Restaurant</x:v>
      </x:c>
      <x:c r="F573" t="str">
        <x:v>Bengaluru</x:v>
      </x:c>
      <x:c r="G573" t="str">
        <x:v>Vikram</x:v>
      </x:c>
      <x:c r="H573" t="str">
        <x:v>P007</x:v>
      </x:c>
      <x:c r="I573" t="str">
        <x:v>Sunflower Oil 15L</x:v>
      </x:c>
      <x:c r="J573" t="str">
        <x:v>Edible Oil</x:v>
      </x:c>
      <x:c r="K573" t="str">
        <x:v>Fortune</x:v>
      </x:c>
      <x:c r="L573" s="22" t="n">
        <x:v>1980</x:v>
      </x:c>
      <x:c r="M573" t="n">
        <x:v>8</x:v>
      </x:c>
      <x:c r="N573" s="24" t="n">
        <x:v>0.05</x:v>
      </x:c>
      <x:c r="O573" s="22" t="n">
        <x:f>L573*M573</x:f>
        <x:v>15840</x:v>
      </x:c>
      <x:c r="P573" s="22" t="n">
        <x:f>O573*(1-N573)</x:f>
        <x:v>15048</x:v>
      </x:c>
      <x:c r="Q573" s="22" t="n">
        <x:v>1810</x:v>
      </x:c>
      <x:c r="R573" s="22" t="n">
        <x:f>Q573*M573</x:f>
        <x:v>14480</x:v>
      </x:c>
      <x:c r="S573" s="22" t="n">
        <x:f>P573-R573</x:f>
        <x:v>568</x:v>
      </x:c>
      <x:c r="T573" t="str">
        <x:v>Cash</x:v>
      </x:c>
      <x:c r="U573" t="str">
        <x:v>Paid</x:v>
      </x:c>
      <x:c r="V573" t="str">
        <x:v>Delivered</x:v>
      </x:c>
      <x:c r="W573" t="n">
        <x:v>0</x:v>
      </x:c>
      <x:c r="X573" t="str"/>
      <x:c r="Y573" t="str">
        <x:v>Existing Customer</x:v>
      </x:c>
    </x:row>
    <x:row r="574">
      <x:c r="A574" t="str">
        <x:v>O000573</x:v>
      </x:c>
      <x:c r="B574" s="20" t="n">
        <x:v>46157</x:v>
      </x:c>
      <x:c r="C574" t="str">
        <x:v>C0240</x:v>
      </x:c>
      <x:c r="D574" t="str">
        <x:v>Green Foods 240</x:v>
      </x:c>
      <x:c r="E574" t="str">
        <x:v>Restaurant</x:v>
      </x:c>
      <x:c r="F574" t="str">
        <x:v>Davanagere</x:v>
      </x:c>
      <x:c r="G574" t="str">
        <x:v>Vikram</x:v>
      </x:c>
      <x:c r="H574" t="str">
        <x:v>P044</x:v>
      </x:c>
      <x:c r="I574" t="str">
        <x:v>Chicken Curry Cut 1kg</x:v>
      </x:c>
      <x:c r="J574" t="str">
        <x:v>Protein</x:v>
      </x:c>
      <x:c r="K574" t="str">
        <x:v>FreshToHome</x:v>
      </x:c>
      <x:c r="L574" s="22" t="n">
        <x:v>230</x:v>
      </x:c>
      <x:c r="M574" t="n">
        <x:v>15</x:v>
      </x:c>
      <x:c r="N574" s="24" t="n">
        <x:v>0.05</x:v>
      </x:c>
      <x:c r="O574" s="22" t="n">
        <x:f>L574*M574</x:f>
        <x:v>3450</x:v>
      </x:c>
      <x:c r="P574" s="22" t="n">
        <x:f>O574*(1-N574)</x:f>
        <x:v>3277.5</x:v>
      </x:c>
      <x:c r="Q574" s="22" t="n">
        <x:v>205</x:v>
      </x:c>
      <x:c r="R574" s="22" t="n">
        <x:f>Q574*M574</x:f>
        <x:v>3075</x:v>
      </x:c>
      <x:c r="S574" s="22" t="n">
        <x:f>P574-R574</x:f>
        <x:v>202.5</x:v>
      </x:c>
      <x:c r="T574" t="str">
        <x:v>UPI</x:v>
      </x:c>
      <x:c r="U574" t="str">
        <x:v>Paid</x:v>
      </x:c>
      <x:c r="V574" t="str">
        <x:v>Delivered</x:v>
      </x:c>
      <x:c r="W574" t="n">
        <x:v>0</x:v>
      </x:c>
      <x:c r="X574" t="str"/>
      <x:c r="Y574" t="str">
        <x:v>Field Visit</x:v>
      </x:c>
    </x:row>
    <x:row r="575">
      <x:c r="A575" t="str">
        <x:v>O000574</x:v>
      </x:c>
      <x:c r="B575" s="20" t="n">
        <x:v>45777</x:v>
      </x:c>
      <x:c r="C575" t="str">
        <x:v>C0107</x:v>
      </x:c>
      <x:c r="D575" t="str">
        <x:v>Mysore Cafe 107</x:v>
      </x:c>
      <x:c r="E575" t="str">
        <x:v>Supermarket</x:v>
      </x:c>
      <x:c r="F575" t="str">
        <x:v>Tumakuru</x:v>
      </x:c>
      <x:c r="G575" t="str">
        <x:v>Megha</x:v>
      </x:c>
      <x:c r="H575" t="str">
        <x:v>P031</x:v>
      </x:c>
      <x:c r="I575" t="str">
        <x:v>Chilli Sauce 700g</x:v>
      </x:c>
      <x:c r="J575" t="str">
        <x:v>Condiments</x:v>
      </x:c>
      <x:c r="K575" t="str">
        <x:v>Ching's</x:v>
      </x:c>
      <x:c r="L575" s="22" t="n">
        <x:v>130</x:v>
      </x:c>
      <x:c r="M575" t="n">
        <x:v>32</x:v>
      </x:c>
      <x:c r="N575" s="24" t="n">
        <x:v>0.05</x:v>
      </x:c>
      <x:c r="O575" s="22" t="n">
        <x:f>L575*M575</x:f>
        <x:v>4160</x:v>
      </x:c>
      <x:c r="P575" s="22" t="n">
        <x:f>O575*(1-N575)</x:f>
        <x:v>3952</x:v>
      </x:c>
      <x:c r="Q575" s="22" t="n">
        <x:v>112</x:v>
      </x:c>
      <x:c r="R575" s="22" t="n">
        <x:f>Q575*M575</x:f>
        <x:v>3584</x:v>
      </x:c>
      <x:c r="S575" s="22" t="n">
        <x:f>P575-R575</x:f>
        <x:v>368</x:v>
      </x:c>
      <x:c r="T575" t="str">
        <x:v>Cash</x:v>
      </x:c>
      <x:c r="U575" t="str">
        <x:v>Paid</x:v>
      </x:c>
      <x:c r="V575" t="str">
        <x:v>Delivered</x:v>
      </x:c>
      <x:c r="W575" t="n">
        <x:v>3</x:v>
      </x:c>
      <x:c r="X575" t="str">
        <x:v>Wrong Item</x:v>
      </x:c>
      <x:c r="Y575" t="str">
        <x:v>WhatsApp</x:v>
      </x:c>
    </x:row>
    <x:row r="576">
      <x:c r="A576" t="str">
        <x:v>O000575</x:v>
      </x:c>
      <x:c r="B576" s="20" t="n">
        <x:v>45882</x:v>
      </x:c>
      <x:c r="C576" t="str">
        <x:v>C0060</x:v>
      </x:c>
      <x:c r="D576" t="str">
        <x:v>Sagar Stores 60</x:v>
      </x:c>
      <x:c r="E576" t="str">
        <x:v>Cafe</x:v>
      </x:c>
      <x:c r="F576" t="str">
        <x:v>Hubballi</x:v>
      </x:c>
      <x:c r="G576" t="str">
        <x:v>Imran</x:v>
      </x:c>
      <x:c r="H576" t="str">
        <x:v>P033</x:v>
      </x:c>
      <x:c r="I576" t="str">
        <x:v>Turmeric Powder 1kg</x:v>
      </x:c>
      <x:c r="J576" t="str">
        <x:v>Spices</x:v>
      </x:c>
      <x:c r="K576" t="str">
        <x:v>Everest</x:v>
      </x:c>
      <x:c r="L576" s="22" t="n">
        <x:v>310</x:v>
      </x:c>
      <x:c r="M576" t="n">
        <x:v>38</x:v>
      </x:c>
      <x:c r="N576" s="24" t="n">
        <x:v>0.08</x:v>
      </x:c>
      <x:c r="O576" s="22" t="n">
        <x:f>L576*M576</x:f>
        <x:v>11780</x:v>
      </x:c>
      <x:c r="P576" s="22" t="n">
        <x:f>O576*(1-N576)</x:f>
        <x:v>10837.6</x:v>
      </x:c>
      <x:c r="Q576" s="22" t="n">
        <x:v>270</x:v>
      </x:c>
      <x:c r="R576" s="22" t="n">
        <x:f>Q576*M576</x:f>
        <x:v>10260</x:v>
      </x:c>
      <x:c r="S576" s="22" t="n">
        <x:f>P576-R576</x:f>
        <x:v>577.6000000000004</x:v>
      </x:c>
      <x:c r="T576" t="str">
        <x:v>Cash</x:v>
      </x:c>
      <x:c r="U576" t="str">
        <x:v>Overdue</x:v>
      </x:c>
      <x:c r="V576" t="str">
        <x:v>Cancelled</x:v>
      </x:c>
      <x:c r="W576" t="n">
        <x:v>38</x:v>
      </x:c>
      <x:c r="X576" t="str">
        <x:v>Cancelled Order</x:v>
      </x:c>
      <x:c r="Y576" t="str">
        <x:v>WhatsApp</x:v>
      </x:c>
    </x:row>
    <x:row r="577">
      <x:c r="A577" t="str">
        <x:v>O000576</x:v>
      </x:c>
      <x:c r="B577" s="20" t="n">
        <x:v>46057</x:v>
      </x:c>
      <x:c r="C577" t="str">
        <x:v>C0076</x:v>
      </x:c>
      <x:c r="D577" t="str">
        <x:v>Sri Canteen 76</x:v>
      </x:c>
      <x:c r="E577" t="str">
        <x:v>Canteen</x:v>
      </x:c>
      <x:c r="F577" t="str">
        <x:v>Tumakuru</x:v>
      </x:c>
      <x:c r="G577" t="str">
        <x:v>Priya</x:v>
      </x:c>
      <x:c r="H577" t="str">
        <x:v>P047</x:v>
      </x:c>
      <x:c r="I577" t="str">
        <x:v>Tomato 25kg</x:v>
      </x:c>
      <x:c r="J577" t="str">
        <x:v>Fresh Produce</x:v>
      </x:c>
      <x:c r="K577" t="str">
        <x:v>Local Market</x:v>
      </x:c>
      <x:c r="L577" s="22" t="n">
        <x:v>950</x:v>
      </x:c>
      <x:c r="M577" t="n">
        <x:v>27</x:v>
      </x:c>
      <x:c r="N577" s="24" t="n">
        <x:v>0.05</x:v>
      </x:c>
      <x:c r="O577" s="22" t="n">
        <x:f>L577*M577</x:f>
        <x:v>25650</x:v>
      </x:c>
      <x:c r="P577" s="22" t="n">
        <x:f>O577*(1-N577)</x:f>
        <x:v>24367.5</x:v>
      </x:c>
      <x:c r="Q577" s="22" t="n">
        <x:v>810</x:v>
      </x:c>
      <x:c r="R577" s="22" t="n">
        <x:f>Q577*M577</x:f>
        <x:v>21870</x:v>
      </x:c>
      <x:c r="S577" s="22" t="n">
        <x:f>P577-R577</x:f>
        <x:v>2497.5</x:v>
      </x:c>
      <x:c r="T577" t="str">
        <x:v>Cash</x:v>
      </x:c>
      <x:c r="U577" t="str">
        <x:v>Pending</x:v>
      </x:c>
      <x:c r="V577" t="str">
        <x:v>Delivered</x:v>
      </x:c>
      <x:c r="W577" t="n">
        <x:v>0</x:v>
      </x:c>
      <x:c r="X577" t="str"/>
      <x:c r="Y577" t="str">
        <x:v>Field Visit</x:v>
      </x:c>
    </x:row>
    <x:row r="578">
      <x:c r="A578" t="str">
        <x:v>O000577</x:v>
      </x:c>
      <x:c r="B578" s="20" t="n">
        <x:v>46152</x:v>
      </x:c>
      <x:c r="C578" t="str">
        <x:v>C0023</x:v>
      </x:c>
      <x:c r="D578" t="str">
        <x:v>Mysore Canteen 23</x:v>
      </x:c>
      <x:c r="E578" t="str">
        <x:v>Cafe</x:v>
      </x:c>
      <x:c r="F578" t="str">
        <x:v>Hubballi</x:v>
      </x:c>
      <x:c r="G578" t="str">
        <x:v>Sneha</x:v>
      </x:c>
      <x:c r="H578" t="str">
        <x:v>P043</x:v>
      </x:c>
      <x:c r="I578" t="str">
        <x:v>Chicken Breast 1kg</x:v>
      </x:c>
      <x:c r="J578" t="str">
        <x:v>Protein</x:v>
      </x:c>
      <x:c r="K578" t="str">
        <x:v>FreshToHome</x:v>
      </x:c>
      <x:c r="L578" s="22" t="n">
        <x:v>260</x:v>
      </x:c>
      <x:c r="M578" t="n">
        <x:v>9</x:v>
      </x:c>
      <x:c r="N578" s="24" t="n">
        <x:v>0</x:v>
      </x:c>
      <x:c r="O578" s="22" t="n">
        <x:f>L578*M578</x:f>
        <x:v>2340</x:v>
      </x:c>
      <x:c r="P578" s="22" t="n">
        <x:f>O578*(1-N578)</x:f>
        <x:v>2340</x:v>
      </x:c>
      <x:c r="Q578" s="22" t="n">
        <x:v>235</x:v>
      </x:c>
      <x:c r="R578" s="22" t="n">
        <x:f>Q578*M578</x:f>
        <x:v>2115</x:v>
      </x:c>
      <x:c r="S578" s="22" t="n">
        <x:f>P578-R578</x:f>
        <x:v>225</x:v>
      </x:c>
      <x:c r="T578" t="str">
        <x:v>Bank Transfer</x:v>
      </x:c>
      <x:c r="U578" t="str">
        <x:v>Paid</x:v>
      </x:c>
      <x:c r="V578" t="str">
        <x:v>Delivered</x:v>
      </x:c>
      <x:c r="W578" t="n">
        <x:v>0</x:v>
      </x:c>
      <x:c r="X578" t="str"/>
      <x:c r="Y578" t="str">
        <x:v>WhatsApp</x:v>
      </x:c>
    </x:row>
    <x:row r="579">
      <x:c r="A579" t="str">
        <x:v>O000578</x:v>
      </x:c>
      <x:c r="B579" s="20" t="n">
        <x:v>45706</x:v>
      </x:c>
      <x:c r="C579" t="str">
        <x:v>C0054</x:v>
      </x:c>
      <x:c r="D579" t="str">
        <x:v>Cafe Cafe 54</x:v>
      </x:c>
      <x:c r="E579" t="str">
        <x:v>Restaurant</x:v>
      </x:c>
      <x:c r="F579" t="str">
        <x:v>Hubballi</x:v>
      </x:c>
      <x:c r="G579" t="str">
        <x:v>Vikram</x:v>
      </x:c>
      <x:c r="H579" t="str">
        <x:v>P036</x:v>
      </x:c>
      <x:c r="I579" t="str">
        <x:v>Garam Masala 500g</x:v>
      </x:c>
      <x:c r="J579" t="str">
        <x:v>Spices</x:v>
      </x:c>
      <x:c r="K579" t="str">
        <x:v>MDH</x:v>
      </x:c>
      <x:c r="L579" s="22" t="n">
        <x:v>265</x:v>
      </x:c>
      <x:c r="M579" t="n">
        <x:v>2</x:v>
      </x:c>
      <x:c r="N579" s="24" t="n">
        <x:v>0.02</x:v>
      </x:c>
      <x:c r="O579" s="22" t="n">
        <x:f>L579*M579</x:f>
        <x:v>530</x:v>
      </x:c>
      <x:c r="P579" s="22" t="n">
        <x:f>O579*(1-N579)</x:f>
        <x:v>519.4</x:v>
      </x:c>
      <x:c r="Q579" s="22" t="n">
        <x:v>230</x:v>
      </x:c>
      <x:c r="R579" s="22" t="n">
        <x:f>Q579*M579</x:f>
        <x:v>460</x:v>
      </x:c>
      <x:c r="S579" s="22" t="n">
        <x:f>P579-R579</x:f>
        <x:v>59.39999999999998</x:v>
      </x:c>
      <x:c r="T579" t="str">
        <x:v>Cash</x:v>
      </x:c>
      <x:c r="U579" t="str">
        <x:v>Paid</x:v>
      </x:c>
      <x:c r="V579" t="str">
        <x:v>Delivered</x:v>
      </x:c>
      <x:c r="W579" t="n">
        <x:v>0</x:v>
      </x:c>
      <x:c r="X579" t="str"/>
      <x:c r="Y579" t="str">
        <x:v>Existing Customer</x:v>
      </x:c>
    </x:row>
    <x:row r="580">
      <x:c r="A580" t="str">
        <x:v>O000579</x:v>
      </x:c>
      <x:c r="B580" s="20" t="n">
        <x:v>46098</x:v>
      </x:c>
      <x:c r="C580" t="str">
        <x:v>C0017</x:v>
      </x:c>
      <x:c r="D580" t="str">
        <x:v>City Foods 17</x:v>
      </x:c>
      <x:c r="E580" t="str">
        <x:v>Restaurant</x:v>
      </x:c>
      <x:c r="F580" t="str">
        <x:v>Tumakuru</x:v>
      </x:c>
      <x:c r="G580" t="str">
        <x:v>Imran</x:v>
      </x:c>
      <x:c r="H580" t="str">
        <x:v>P022</x:v>
      </x:c>
      <x:c r="I580" t="str">
        <x:v>Mineral Water 1L</x:v>
      </x:c>
      <x:c r="J580" t="str">
        <x:v>Beverage</x:v>
      </x:c>
      <x:c r="K580" t="str">
        <x:v>Bisleri</x:v>
      </x:c>
      <x:c r="L580" s="22" t="n">
        <x:v>19</x:v>
      </x:c>
      <x:c r="M580" t="n">
        <x:v>8</x:v>
      </x:c>
      <x:c r="N580" s="24" t="n">
        <x:v>0.05</x:v>
      </x:c>
      <x:c r="O580" s="22" t="n">
        <x:f>L580*M580</x:f>
        <x:v>152</x:v>
      </x:c>
      <x:c r="P580" s="22" t="n">
        <x:f>O580*(1-N580)</x:f>
        <x:v>144.4</x:v>
      </x:c>
      <x:c r="Q580" s="22" t="n">
        <x:v>15</x:v>
      </x:c>
      <x:c r="R580" s="22" t="n">
        <x:f>Q580*M580</x:f>
        <x:v>120</x:v>
      </x:c>
      <x:c r="S580" s="22" t="n">
        <x:f>P580-R580</x:f>
        <x:v>24.400000000000006</x:v>
      </x:c>
      <x:c r="T580" t="str">
        <x:v>UPI</x:v>
      </x:c>
      <x:c r="U580" t="str">
        <x:v>Paid</x:v>
      </x:c>
      <x:c r="V580" t="str">
        <x:v>Delivered</x:v>
      </x:c>
      <x:c r="W580" t="n">
        <x:v>0</x:v>
      </x:c>
      <x:c r="X580" t="str"/>
      <x:c r="Y580" t="str">
        <x:v>Field Visit</x:v>
      </x:c>
    </x:row>
    <x:row r="581">
      <x:c r="A581" t="str">
        <x:v>O000580</x:v>
      </x:c>
      <x:c r="B581" s="20" t="n">
        <x:v>46228</x:v>
      </x:c>
      <x:c r="C581" t="str">
        <x:v>C0197</x:v>
      </x:c>
      <x:c r="D581" t="str">
        <x:v>New Foods 197</x:v>
      </x:c>
      <x:c r="E581" t="str">
        <x:v>Cafe</x:v>
      </x:c>
      <x:c r="F581" t="str">
        <x:v>Hubballi</x:v>
      </x:c>
      <x:c r="G581" t="str">
        <x:v>Kavya</x:v>
      </x:c>
      <x:c r="H581" t="str">
        <x:v>P003</x:v>
      </x:c>
      <x:c r="I581" t="str">
        <x:v>Basmati Rice 5kg</x:v>
      </x:c>
      <x:c r="J581" t="str">
        <x:v>Staples</x:v>
      </x:c>
      <x:c r="K581" t="str">
        <x:v>India Gate</x:v>
      </x:c>
      <x:c r="L581" s="22" t="n">
        <x:v>690</x:v>
      </x:c>
      <x:c r="M581" t="n">
        <x:v>18</x:v>
      </x:c>
      <x:c r="N581" s="24" t="n">
        <x:v>0.08</x:v>
      </x:c>
      <x:c r="O581" s="22" t="n">
        <x:f>L581*M581</x:f>
        <x:v>12420</x:v>
      </x:c>
      <x:c r="P581" s="22" t="n">
        <x:f>O581*(1-N581)</x:f>
        <x:v>11426.4</x:v>
      </x:c>
      <x:c r="Q581" s="22" t="n">
        <x:v>610</x:v>
      </x:c>
      <x:c r="R581" s="22" t="n">
        <x:f>Q581*M581</x:f>
        <x:v>10980</x:v>
      </x:c>
      <x:c r="S581" s="22" t="n">
        <x:f>P581-R581</x:f>
        <x:v>446.39999999999964</x:v>
      </x:c>
      <x:c r="T581" t="str">
        <x:v>UPI</x:v>
      </x:c>
      <x:c r="U581" t="str">
        <x:v>Paid</x:v>
      </x:c>
      <x:c r="V581" t="str">
        <x:v>Delivered</x:v>
      </x:c>
      <x:c r="W581" t="n">
        <x:v>0</x:v>
      </x:c>
      <x:c r="X581" t="str"/>
      <x:c r="Y581" t="str">
        <x:v>Outbound Call</x:v>
      </x:c>
    </x:row>
    <x:row r="582">
      <x:c r="A582" t="str">
        <x:v>O000581</x:v>
      </x:c>
      <x:c r="B582" s="20" t="n">
        <x:v>46282</x:v>
      </x:c>
      <x:c r="C582" t="str">
        <x:v>C0201</x:v>
      </x:c>
      <x:c r="D582" t="str">
        <x:v>Metro Hotel 201</x:v>
      </x:c>
      <x:c r="E582" t="str">
        <x:v>Kirana</x:v>
      </x:c>
      <x:c r="F582" t="str">
        <x:v>Mysuru</x:v>
      </x:c>
      <x:c r="G582" t="str">
        <x:v>Imran</x:v>
      </x:c>
      <x:c r="H582" t="str">
        <x:v>P040</x:v>
      </x:c>
      <x:c r="I582" t="str">
        <x:v>Bread Loaf 400g</x:v>
      </x:c>
      <x:c r="J582" t="str">
        <x:v>Bakery</x:v>
      </x:c>
      <x:c r="K582" t="str">
        <x:v>Britannia</x:v>
      </x:c>
      <x:c r="L582" s="22" t="n">
        <x:v>45</x:v>
      </x:c>
      <x:c r="M582" t="n">
        <x:v>7</x:v>
      </x:c>
      <x:c r="N582" s="24" t="n">
        <x:v>0.05</x:v>
      </x:c>
      <x:c r="O582" s="22" t="n">
        <x:f>L582*M582</x:f>
        <x:v>315</x:v>
      </x:c>
      <x:c r="P582" s="22" t="n">
        <x:f>O582*(1-N582)</x:f>
        <x:v>299.25</x:v>
      </x:c>
      <x:c r="Q582" s="22" t="n">
        <x:v>35</x:v>
      </x:c>
      <x:c r="R582" s="22" t="n">
        <x:f>Q582*M582</x:f>
        <x:v>245</x:v>
      </x:c>
      <x:c r="S582" s="22" t="n">
        <x:f>P582-R582</x:f>
        <x:v>54.25</x:v>
      </x:c>
      <x:c r="T582" t="str">
        <x:v>UPI</x:v>
      </x:c>
      <x:c r="U582" t="str">
        <x:v>Paid</x:v>
      </x:c>
      <x:c r="V582" t="str">
        <x:v>Delivered</x:v>
      </x:c>
      <x:c r="W582" t="n">
        <x:v>0</x:v>
      </x:c>
      <x:c r="X582" t="str"/>
      <x:c r="Y582" t="str">
        <x:v>Referral</x:v>
      </x:c>
    </x:row>
    <x:row r="583">
      <x:c r="A583" t="str">
        <x:v>O000582</x:v>
      </x:c>
      <x:c r="B583" s="20" t="n">
        <x:v>45957</x:v>
      </x:c>
      <x:c r="C583" t="str">
        <x:v>C0041</x:v>
      </x:c>
      <x:c r="D583" t="str">
        <x:v>Grand Mart 41</x:v>
      </x:c>
      <x:c r="E583" t="str">
        <x:v>Cafe</x:v>
      </x:c>
      <x:c r="F583" t="str">
        <x:v>Bengaluru</x:v>
      </x:c>
      <x:c r="G583" t="str">
        <x:v>Kavya</x:v>
      </x:c>
      <x:c r="H583" t="str">
        <x:v>P047</x:v>
      </x:c>
      <x:c r="I583" t="str">
        <x:v>Tomato 25kg</x:v>
      </x:c>
      <x:c r="J583" t="str">
        <x:v>Fresh Produce</x:v>
      </x:c>
      <x:c r="K583" t="str">
        <x:v>Local Market</x:v>
      </x:c>
      <x:c r="L583" s="22" t="n">
        <x:v>950</x:v>
      </x:c>
      <x:c r="M583" t="n">
        <x:v>29</x:v>
      </x:c>
      <x:c r="N583" s="24" t="n">
        <x:v>0.05</x:v>
      </x:c>
      <x:c r="O583" s="22" t="n">
        <x:f>L583*M583</x:f>
        <x:v>27550</x:v>
      </x:c>
      <x:c r="P583" s="22" t="n">
        <x:f>O583*(1-N583)</x:f>
        <x:v>26172.5</x:v>
      </x:c>
      <x:c r="Q583" s="22" t="n">
        <x:v>810</x:v>
      </x:c>
      <x:c r="R583" s="22" t="n">
        <x:f>Q583*M583</x:f>
        <x:v>23490</x:v>
      </x:c>
      <x:c r="S583" s="22" t="n">
        <x:f>P583-R583</x:f>
        <x:v>2682.5</x:v>
      </x:c>
      <x:c r="T583" t="str">
        <x:v>Credit</x:v>
      </x:c>
      <x:c r="U583" t="str">
        <x:v>Pending</x:v>
      </x:c>
      <x:c r="V583" t="str">
        <x:v>Delivered</x:v>
      </x:c>
      <x:c r="W583" t="n">
        <x:v>0</x:v>
      </x:c>
      <x:c r="X583" t="str"/>
      <x:c r="Y583" t="str">
        <x:v>Field Visit</x:v>
      </x:c>
    </x:row>
    <x:row r="584">
      <x:c r="A584" t="str">
        <x:v>O000583</x:v>
      </x:c>
      <x:c r="B584" s="20" t="n">
        <x:v>45864</x:v>
      </x:c>
      <x:c r="C584" t="str">
        <x:v>C0036</x:v>
      </x:c>
      <x:c r="D584" t="str">
        <x:v>Grand Hotel 36</x:v>
      </x:c>
      <x:c r="E584" t="str">
        <x:v>Canteen</x:v>
      </x:c>
      <x:c r="F584" t="str">
        <x:v>Tumakuru</x:v>
      </x:c>
      <x:c r="G584" t="str">
        <x:v>Kavya</x:v>
      </x:c>
      <x:c r="H584" t="str">
        <x:v>P008</x:v>
      </x:c>
      <x:c r="I584" t="str">
        <x:v>Palm Oil 15L</x:v>
      </x:c>
      <x:c r="J584" t="str">
        <x:v>Edible Oil</x:v>
      </x:c>
      <x:c r="K584" t="str">
        <x:v>Ruchi Gold</x:v>
      </x:c>
      <x:c r="L584" s="22" t="n">
        <x:v>1760</x:v>
      </x:c>
      <x:c r="M584" t="n">
        <x:v>7</x:v>
      </x:c>
      <x:c r="N584" s="24" t="n">
        <x:v>0.05</x:v>
      </x:c>
      <x:c r="O584" s="22" t="n">
        <x:f>L584*M584</x:f>
        <x:v>12320</x:v>
      </x:c>
      <x:c r="P584" s="22" t="n">
        <x:f>O584*(1-N584)</x:f>
        <x:v>11704</x:v>
      </x:c>
      <x:c r="Q584" s="22" t="n">
        <x:v>1610</x:v>
      </x:c>
      <x:c r="R584" s="22" t="n">
        <x:f>Q584*M584</x:f>
        <x:v>11270</x:v>
      </x:c>
      <x:c r="S584" s="22" t="n">
        <x:f>P584-R584</x:f>
        <x:v>434</x:v>
      </x:c>
      <x:c r="T584" t="str">
        <x:v>UPI</x:v>
      </x:c>
      <x:c r="U584" t="str">
        <x:v>Paid</x:v>
      </x:c>
      <x:c r="V584" t="str">
        <x:v>Delivered</x:v>
      </x:c>
      <x:c r="W584" t="n">
        <x:v>0</x:v>
      </x:c>
      <x:c r="X584" t="str"/>
      <x:c r="Y584" t="str">
        <x:v>Existing Customer</x:v>
      </x:c>
    </x:row>
    <x:row r="585">
      <x:c r="A585" t="str">
        <x:v>O000584</x:v>
      </x:c>
      <x:c r="B585" s="20" t="n">
        <x:v>46082</x:v>
      </x:c>
      <x:c r="C585" t="str">
        <x:v>C0069</x:v>
      </x:c>
      <x:c r="D585" t="str">
        <x:v>Cafe Hotel 69</x:v>
      </x:c>
      <x:c r="E585" t="str">
        <x:v>Supermarket</x:v>
      </x:c>
      <x:c r="F585" t="str">
        <x:v>Bengaluru</x:v>
      </x:c>
      <x:c r="G585" t="str">
        <x:v>Sneha</x:v>
      </x:c>
      <x:c r="H585" t="str">
        <x:v>P024</x:v>
      </x:c>
      <x:c r="I585" t="str">
        <x:v>Orange Drink 1L</x:v>
      </x:c>
      <x:c r="J585" t="str">
        <x:v>Beverage</x:v>
      </x:c>
      <x:c r="K585" t="str">
        <x:v>Minute Maid</x:v>
      </x:c>
      <x:c r="L585" s="22" t="n">
        <x:v>105</x:v>
      </x:c>
      <x:c r="M585" t="n">
        <x:v>24</x:v>
      </x:c>
      <x:c r="N585" s="24" t="n">
        <x:v>0.05</x:v>
      </x:c>
      <x:c r="O585" s="22" t="n">
        <x:f>L585*M585</x:f>
        <x:v>2520</x:v>
      </x:c>
      <x:c r="P585" s="22" t="n">
        <x:f>O585*(1-N585)</x:f>
        <x:v>2394</x:v>
      </x:c>
      <x:c r="Q585" s="22" t="n">
        <x:v>88</x:v>
      </x:c>
      <x:c r="R585" s="22" t="n">
        <x:f>Q585*M585</x:f>
        <x:v>2112</x:v>
      </x:c>
      <x:c r="S585" s="22" t="n">
        <x:f>P585-R585</x:f>
        <x:v>282</x:v>
      </x:c>
      <x:c r="T585" t="str">
        <x:v>Bank Transfer</x:v>
      </x:c>
      <x:c r="U585" t="str">
        <x:v>Paid</x:v>
      </x:c>
      <x:c r="V585" t="str">
        <x:v>Delayed</x:v>
      </x:c>
      <x:c r="W585" t="n">
        <x:v>0</x:v>
      </x:c>
      <x:c r="X585" t="str"/>
      <x:c r="Y585" t="str">
        <x:v>WhatsApp</x:v>
      </x:c>
    </x:row>
    <x:row r="586">
      <x:c r="A586" t="str">
        <x:v>O000585</x:v>
      </x:c>
      <x:c r="B586" s="20" t="n">
        <x:v>46081</x:v>
      </x:c>
      <x:c r="C586" t="str">
        <x:v>C0036</x:v>
      </x:c>
      <x:c r="D586" t="str">
        <x:v>Grand Hotel 36</x:v>
      </x:c>
      <x:c r="E586" t="str">
        <x:v>Canteen</x:v>
      </x:c>
      <x:c r="F586" t="str">
        <x:v>Tumakuru</x:v>
      </x:c>
      <x:c r="G586" t="str">
        <x:v>Kavya</x:v>
      </x:c>
      <x:c r="H586" t="str">
        <x:v>P028</x:v>
      </x:c>
      <x:c r="I586" t="str">
        <x:v>Cookies 200g</x:v>
      </x:c>
      <x:c r="J586" t="str">
        <x:v>Snacks</x:v>
      </x:c>
      <x:c r="K586" t="str">
        <x:v>Britannia</x:v>
      </x:c>
      <x:c r="L586" s="22" t="n">
        <x:v>55</x:v>
      </x:c>
      <x:c r="M586" t="n">
        <x:v>27</x:v>
      </x:c>
      <x:c r="N586" s="24" t="n">
        <x:v>0.08</x:v>
      </x:c>
      <x:c r="O586" s="22" t="n">
        <x:f>L586*M586</x:f>
        <x:v>1485</x:v>
      </x:c>
      <x:c r="P586" s="22" t="n">
        <x:f>O586*(1-N586)</x:f>
        <x:v>1366.2</x:v>
      </x:c>
      <x:c r="Q586" s="22" t="n">
        <x:v>42</x:v>
      </x:c>
      <x:c r="R586" s="22" t="n">
        <x:f>Q586*M586</x:f>
        <x:v>1134</x:v>
      </x:c>
      <x:c r="S586" s="22" t="n">
        <x:f>P586-R586</x:f>
        <x:v>232.20000000000005</x:v>
      </x:c>
      <x:c r="T586" t="str">
        <x:v>Cash</x:v>
      </x:c>
      <x:c r="U586" t="str">
        <x:v>Overdue</x:v>
      </x:c>
      <x:c r="V586" t="str">
        <x:v>Delivered</x:v>
      </x:c>
      <x:c r="W586" t="n">
        <x:v>0</x:v>
      </x:c>
      <x:c r="X586" t="str"/>
      <x:c r="Y586" t="str">
        <x:v>Outbound Call</x:v>
      </x:c>
    </x:row>
    <x:row r="587">
      <x:c r="A587" t="str">
        <x:v>O000586</x:v>
      </x:c>
      <x:c r="B587" s="20" t="n">
        <x:v>45744</x:v>
      </x:c>
      <x:c r="C587" t="str">
        <x:v>C0133</x:v>
      </x:c>
      <x:c r="D587" t="str">
        <x:v>Metro Foods 133</x:v>
      </x:c>
      <x:c r="E587" t="str">
        <x:v>Cafe</x:v>
      </x:c>
      <x:c r="F587" t="str">
        <x:v>Bengaluru</x:v>
      </x:c>
      <x:c r="G587" t="str">
        <x:v>Ramesh</x:v>
      </x:c>
      <x:c r="H587" t="str">
        <x:v>P005</x:v>
      </x:c>
      <x:c r="I587" t="str">
        <x:v>Chana Dal 5kg</x:v>
      </x:c>
      <x:c r="J587" t="str">
        <x:v>Pulses</x:v>
      </x:c>
      <x:c r="K587" t="str">
        <x:v>Local Select</x:v>
      </x:c>
      <x:c r="L587" s="22" t="n">
        <x:v>520</x:v>
      </x:c>
      <x:c r="M587" t="n">
        <x:v>22</x:v>
      </x:c>
      <x:c r="N587" s="24" t="n">
        <x:v>0.02</x:v>
      </x:c>
      <x:c r="O587" s="22" t="n">
        <x:f>L587*M587</x:f>
        <x:v>11440</x:v>
      </x:c>
      <x:c r="P587" s="22" t="n">
        <x:f>O587*(1-N587)</x:f>
        <x:v>11211.199999999999</x:v>
      </x:c>
      <x:c r="Q587" s="22" t="n">
        <x:v>455</x:v>
      </x:c>
      <x:c r="R587" s="22" t="n">
        <x:f>Q587*M587</x:f>
        <x:v>10010</x:v>
      </x:c>
      <x:c r="S587" s="22" t="n">
        <x:f>P587-R587</x:f>
        <x:v>1201.199999999999</x:v>
      </x:c>
      <x:c r="T587" t="str">
        <x:v>Bank Transfer</x:v>
      </x:c>
      <x:c r="U587" t="str">
        <x:v>Paid</x:v>
      </x:c>
      <x:c r="V587" t="str">
        <x:v>Delivered</x:v>
      </x:c>
      <x:c r="W587" t="n">
        <x:v>0</x:v>
      </x:c>
      <x:c r="X587" t="str"/>
      <x:c r="Y587" t="str">
        <x:v>Referral</x:v>
      </x:c>
    </x:row>
    <x:row r="588">
      <x:c r="A588" t="str">
        <x:v>O000587</x:v>
      </x:c>
      <x:c r="B588" s="20" t="n">
        <x:v>46190</x:v>
      </x:c>
      <x:c r="C588" t="str">
        <x:v>C0015</x:v>
      </x:c>
      <x:c r="D588" t="str">
        <x:v>Royal Foods 15</x:v>
      </x:c>
      <x:c r="E588" t="str">
        <x:v>Cafe</x:v>
      </x:c>
      <x:c r="F588" t="str">
        <x:v>Mysuru</x:v>
      </x:c>
      <x:c r="G588" t="str">
        <x:v>Ramesh</x:v>
      </x:c>
      <x:c r="H588" t="str">
        <x:v>P041</x:v>
      </x:c>
      <x:c r="I588" t="str">
        <x:v>Burger Bun 6pc</x:v>
      </x:c>
      <x:c r="J588" t="str">
        <x:v>Bakery</x:v>
      </x:c>
      <x:c r="K588" t="str">
        <x:v>Modern</x:v>
      </x:c>
      <x:c r="L588" s="22" t="n">
        <x:v>42</x:v>
      </x:c>
      <x:c r="M588" t="n">
        <x:v>19</x:v>
      </x:c>
      <x:c r="N588" s="24" t="n">
        <x:v>0.03</x:v>
      </x:c>
      <x:c r="O588" s="22" t="n">
        <x:f>L588*M588</x:f>
        <x:v>798</x:v>
      </x:c>
      <x:c r="P588" s="22" t="n">
        <x:f>O588*(1-N588)</x:f>
        <x:v>774.06</x:v>
      </x:c>
      <x:c r="Q588" s="22" t="n">
        <x:v>32</x:v>
      </x:c>
      <x:c r="R588" s="22" t="n">
        <x:f>Q588*M588</x:f>
        <x:v>608</x:v>
      </x:c>
      <x:c r="S588" s="22" t="n">
        <x:f>P588-R588</x:f>
        <x:v>166.05999999999995</x:v>
      </x:c>
      <x:c r="T588" t="str">
        <x:v>Cash</x:v>
      </x:c>
      <x:c r="U588" t="str">
        <x:v>Pending</x:v>
      </x:c>
      <x:c r="V588" t="str">
        <x:v>Delivered</x:v>
      </x:c>
      <x:c r="W588" t="n">
        <x:v>0</x:v>
      </x:c>
      <x:c r="X588" t="str"/>
      <x:c r="Y588" t="str">
        <x:v>Outbound Call</x:v>
      </x:c>
    </x:row>
    <x:row r="589">
      <x:c r="A589" t="str">
        <x:v>O000588</x:v>
      </x:c>
      <x:c r="B589" s="20" t="n">
        <x:v>46283</x:v>
      </x:c>
      <x:c r="C589" t="str">
        <x:v>C0231</x:v>
      </x:c>
      <x:c r="D589" t="str">
        <x:v>Metro Canteen 231</x:v>
      </x:c>
      <x:c r="E589" t="str">
        <x:v>Canteen</x:v>
      </x:c>
      <x:c r="F589" t="str">
        <x:v>Mangaluru</x:v>
      </x:c>
      <x:c r="G589" t="str">
        <x:v>Megha</x:v>
      </x:c>
      <x:c r="H589" t="str">
        <x:v>P034</x:v>
      </x:c>
      <x:c r="I589" t="str">
        <x:v>Chilli Powder 1kg</x:v>
      </x:c>
      <x:c r="J589" t="str">
        <x:v>Spices</x:v>
      </x:c>
      <x:c r="K589" t="str">
        <x:v>MDH</x:v>
      </x:c>
      <x:c r="L589" s="22" t="n">
        <x:v>340</x:v>
      </x:c>
      <x:c r="M589" t="n">
        <x:v>10</x:v>
      </x:c>
      <x:c r="N589" s="24" t="n">
        <x:v>0.05</x:v>
      </x:c>
      <x:c r="O589" s="22" t="n">
        <x:f>L589*M589</x:f>
        <x:v>3400</x:v>
      </x:c>
      <x:c r="P589" s="22" t="n">
        <x:f>O589*(1-N589)</x:f>
        <x:v>3230</x:v>
      </x:c>
      <x:c r="Q589" s="22" t="n">
        <x:v>295</x:v>
      </x:c>
      <x:c r="R589" s="22" t="n">
        <x:f>Q589*M589</x:f>
        <x:v>2950</x:v>
      </x:c>
      <x:c r="S589" s="22" t="n">
        <x:f>P589-R589</x:f>
        <x:v>280</x:v>
      </x:c>
      <x:c r="T589" t="str">
        <x:v>Credit</x:v>
      </x:c>
      <x:c r="U589" t="str">
        <x:v>Paid</x:v>
      </x:c>
      <x:c r="V589" t="str">
        <x:v>Delayed</x:v>
      </x:c>
      <x:c r="W589" t="n">
        <x:v>0</x:v>
      </x:c>
      <x:c r="X589" t="str"/>
      <x:c r="Y589" t="str">
        <x:v>Existing Customer</x:v>
      </x:c>
    </x:row>
    <x:row r="590">
      <x:c r="A590" t="str">
        <x:v>O000589</x:v>
      </x:c>
      <x:c r="B590" s="20" t="n">
        <x:v>46011</x:v>
      </x:c>
      <x:c r="C590" t="str">
        <x:v>C0167</x:v>
      </x:c>
      <x:c r="D590" t="str">
        <x:v>Foodie Canteen 167</x:v>
      </x:c>
      <x:c r="E590" t="str">
        <x:v>Canteen</x:v>
      </x:c>
      <x:c r="F590" t="str">
        <x:v>Bengaluru</x:v>
      </x:c>
      <x:c r="G590" t="str">
        <x:v>Megha</x:v>
      </x:c>
      <x:c r="H590" t="str">
        <x:v>P029</x:v>
      </x:c>
      <x:c r="I590" t="str">
        <x:v>Tomato Ketchup 1kg</x:v>
      </x:c>
      <x:c r="J590" t="str">
        <x:v>Condiments</x:v>
      </x:c>
      <x:c r="K590" t="str">
        <x:v>Kissan</x:v>
      </x:c>
      <x:c r="L590" s="22" t="n">
        <x:v>145</x:v>
      </x:c>
      <x:c r="M590" t="n">
        <x:v>26</x:v>
      </x:c>
      <x:c r="N590" s="24" t="n">
        <x:v>0.05</x:v>
      </x:c>
      <x:c r="O590" s="22" t="n">
        <x:f>L590*M590</x:f>
        <x:v>3770</x:v>
      </x:c>
      <x:c r="P590" s="22" t="n">
        <x:f>O590*(1-N590)</x:f>
        <x:v>3581.5</x:v>
      </x:c>
      <x:c r="Q590" s="22" t="n">
        <x:v>126</x:v>
      </x:c>
      <x:c r="R590" s="22" t="n">
        <x:f>Q590*M590</x:f>
        <x:v>3276</x:v>
      </x:c>
      <x:c r="S590" s="22" t="n">
        <x:f>P590-R590</x:f>
        <x:v>305.5</x:v>
      </x:c>
      <x:c r="T590" t="str">
        <x:v>Cash</x:v>
      </x:c>
      <x:c r="U590" t="str">
        <x:v>Paid</x:v>
      </x:c>
      <x:c r="V590" t="str">
        <x:v>Delayed</x:v>
      </x:c>
      <x:c r="W590" t="n">
        <x:v>0</x:v>
      </x:c>
      <x:c r="X590" t="str"/>
      <x:c r="Y590" t="str">
        <x:v>Field Visit</x:v>
      </x:c>
    </x:row>
    <x:row r="591">
      <x:c r="A591" t="str">
        <x:v>O000590</x:v>
      </x:c>
      <x:c r="B591" s="20" t="n">
        <x:v>45787</x:v>
      </x:c>
      <x:c r="C591" t="str">
        <x:v>C0185</x:v>
      </x:c>
      <x:c r="D591" t="str">
        <x:v>Mysore Foods 185</x:v>
      </x:c>
      <x:c r="E591" t="str">
        <x:v>Restaurant</x:v>
      </x:c>
      <x:c r="F591" t="str">
        <x:v>Mysuru</x:v>
      </x:c>
      <x:c r="G591" t="str">
        <x:v>Sneha</x:v>
      </x:c>
      <x:c r="H591" t="str">
        <x:v>P048</x:v>
      </x:c>
      <x:c r="I591" t="str">
        <x:v>Banana 10kg</x:v>
      </x:c>
      <x:c r="J591" t="str">
        <x:v>Fresh Produce</x:v>
      </x:c>
      <x:c r="K591" t="str">
        <x:v>Local Market</x:v>
      </x:c>
      <x:c r="L591" s="22" t="n">
        <x:v>420</x:v>
      </x:c>
      <x:c r="M591" t="n">
        <x:v>34</x:v>
      </x:c>
      <x:c r="N591" s="24" t="n">
        <x:v>0.1</x:v>
      </x:c>
      <x:c r="O591" s="22" t="n">
        <x:f>L591*M591</x:f>
        <x:v>14280</x:v>
      </x:c>
      <x:c r="P591" s="22" t="n">
        <x:f>O591*(1-N591)</x:f>
        <x:v>12852</x:v>
      </x:c>
      <x:c r="Q591" s="22" t="n">
        <x:v>350</x:v>
      </x:c>
      <x:c r="R591" s="22" t="n">
        <x:f>Q591*M591</x:f>
        <x:v>11900</x:v>
      </x:c>
      <x:c r="S591" s="22" t="n">
        <x:f>P591-R591</x:f>
        <x:v>952</x:v>
      </x:c>
      <x:c r="T591" t="str">
        <x:v>Cash</x:v>
      </x:c>
      <x:c r="U591" t="str">
        <x:v>Paid</x:v>
      </x:c>
      <x:c r="V591" t="str">
        <x:v>Delayed</x:v>
      </x:c>
      <x:c r="W591" t="n">
        <x:v>0</x:v>
      </x:c>
      <x:c r="X591" t="str"/>
      <x:c r="Y591" t="str">
        <x:v>Existing Customer</x:v>
      </x:c>
    </x:row>
    <x:row r="592">
      <x:c r="A592" t="str">
        <x:v>O000591</x:v>
      </x:c>
      <x:c r="B592" s="20" t="n">
        <x:v>45821</x:v>
      </x:c>
      <x:c r="C592" t="str">
        <x:v>C0088</x:v>
      </x:c>
      <x:c r="D592" t="str">
        <x:v>Darshini Kitchen 88</x:v>
      </x:c>
      <x:c r="E592" t="str">
        <x:v>Cafe</x:v>
      </x:c>
      <x:c r="F592" t="str">
        <x:v>Tumakuru</x:v>
      </x:c>
      <x:c r="G592" t="str">
        <x:v>Arjun</x:v>
      </x:c>
      <x:c r="H592" t="str">
        <x:v>P049</x:v>
      </x:c>
      <x:c r="I592" t="str">
        <x:v>Apple 10kg</x:v>
      </x:c>
      <x:c r="J592" t="str">
        <x:v>Fresh Produce</x:v>
      </x:c>
      <x:c r="K592" t="str">
        <x:v>Local Market</x:v>
      </x:c>
      <x:c r="L592" s="22" t="n">
        <x:v>1450</x:v>
      </x:c>
      <x:c r="M592" t="n">
        <x:v>1</x:v>
      </x:c>
      <x:c r="N592" s="24" t="n">
        <x:v>0.08</x:v>
      </x:c>
      <x:c r="O592" s="22" t="n">
        <x:f>L592*M592</x:f>
        <x:v>1450</x:v>
      </x:c>
      <x:c r="P592" s="22" t="n">
        <x:f>O592*(1-N592)</x:f>
        <x:v>1334</x:v>
      </x:c>
      <x:c r="Q592" s="22" t="n">
        <x:v>1280</x:v>
      </x:c>
      <x:c r="R592" s="22" t="n">
        <x:f>Q592*M592</x:f>
        <x:v>1280</x:v>
      </x:c>
      <x:c r="S592" s="22" t="n">
        <x:f>P592-R592</x:f>
        <x:v>54</x:v>
      </x:c>
      <x:c r="T592" t="str">
        <x:v>Cash</x:v>
      </x:c>
      <x:c r="U592" t="str">
        <x:v>Paid</x:v>
      </x:c>
      <x:c r="V592" t="str">
        <x:v>Delivered</x:v>
      </x:c>
      <x:c r="W592" t="n">
        <x:v>0</x:v>
      </x:c>
      <x:c r="X592" t="str"/>
      <x:c r="Y592" t="str">
        <x:v>Existing Customer</x:v>
      </x:c>
    </x:row>
    <x:row r="593">
      <x:c r="A593" t="str">
        <x:v>O000592</x:v>
      </x:c>
      <x:c r="B593" s="20" t="n">
        <x:v>45923</x:v>
      </x:c>
      <x:c r="C593" t="str">
        <x:v>C0016</x:v>
      </x:c>
      <x:c r="D593" t="str">
        <x:v>Royal Canteen 16</x:v>
      </x:c>
      <x:c r="E593" t="str">
        <x:v>Cafe</x:v>
      </x:c>
      <x:c r="F593" t="str">
        <x:v>Davanagere</x:v>
      </x:c>
      <x:c r="G593" t="str">
        <x:v>Megha</x:v>
      </x:c>
      <x:c r="H593" t="str">
        <x:v>P024</x:v>
      </x:c>
      <x:c r="I593" t="str">
        <x:v>Orange Drink 1L</x:v>
      </x:c>
      <x:c r="J593" t="str">
        <x:v>Beverage</x:v>
      </x:c>
      <x:c r="K593" t="str">
        <x:v>Minute Maid</x:v>
      </x:c>
      <x:c r="L593" s="22" t="n">
        <x:v>105</x:v>
      </x:c>
      <x:c r="M593" t="n">
        <x:v>33</x:v>
      </x:c>
      <x:c r="N593" s="24" t="n">
        <x:v>0.02</x:v>
      </x:c>
      <x:c r="O593" s="22" t="n">
        <x:f>L593*M593</x:f>
        <x:v>3465</x:v>
      </x:c>
      <x:c r="P593" s="22" t="n">
        <x:f>O593*(1-N593)</x:f>
        <x:v>3395.7</x:v>
      </x:c>
      <x:c r="Q593" s="22" t="n">
        <x:v>88</x:v>
      </x:c>
      <x:c r="R593" s="22" t="n">
        <x:f>Q593*M593</x:f>
        <x:v>2904</x:v>
      </x:c>
      <x:c r="S593" s="22" t="n">
        <x:f>P593-R593</x:f>
        <x:v>491.6999999999998</x:v>
      </x:c>
      <x:c r="T593" t="str">
        <x:v>UPI</x:v>
      </x:c>
      <x:c r="U593" t="str">
        <x:v>Pending</x:v>
      </x:c>
      <x:c r="V593" t="str">
        <x:v>Delivered</x:v>
      </x:c>
      <x:c r="W593" t="n">
        <x:v>0</x:v>
      </x:c>
      <x:c r="X593" t="str"/>
      <x:c r="Y593" t="str">
        <x:v>Existing Customer</x:v>
      </x:c>
    </x:row>
    <x:row r="594">
      <x:c r="A594" t="str">
        <x:v>O000593</x:v>
      </x:c>
      <x:c r="B594" s="20" t="n">
        <x:v>45899</x:v>
      </x:c>
      <x:c r="C594" t="str">
        <x:v>C0117</x:v>
      </x:c>
      <x:c r="D594" t="str">
        <x:v>Classic Canteen 117</x:v>
      </x:c>
      <x:c r="E594" t="str">
        <x:v>Restaurant</x:v>
      </x:c>
      <x:c r="F594" t="str">
        <x:v>Hubballi</x:v>
      </x:c>
      <x:c r="G594" t="str">
        <x:v>Megha</x:v>
      </x:c>
      <x:c r="H594" t="str">
        <x:v>P022</x:v>
      </x:c>
      <x:c r="I594" t="str">
        <x:v>Mineral Water 1L</x:v>
      </x:c>
      <x:c r="J594" t="str">
        <x:v>Beverage</x:v>
      </x:c>
      <x:c r="K594" t="str">
        <x:v>Bisleri</x:v>
      </x:c>
      <x:c r="L594" s="22" t="n">
        <x:v>19</x:v>
      </x:c>
      <x:c r="M594" t="n">
        <x:v>38</x:v>
      </x:c>
      <x:c r="N594" s="24" t="n">
        <x:v>0.03</x:v>
      </x:c>
      <x:c r="O594" s="22" t="n">
        <x:f>L594*M594</x:f>
        <x:v>722</x:v>
      </x:c>
      <x:c r="P594" s="22" t="n">
        <x:f>O594*(1-N594)</x:f>
        <x:v>700.34</x:v>
      </x:c>
      <x:c r="Q594" s="22" t="n">
        <x:v>15</x:v>
      </x:c>
      <x:c r="R594" s="22" t="n">
        <x:f>Q594*M594</x:f>
        <x:v>570</x:v>
      </x:c>
      <x:c r="S594" s="22" t="n">
        <x:f>P594-R594</x:f>
        <x:v>130.34000000000003</x:v>
      </x:c>
      <x:c r="T594" t="str">
        <x:v>Bank Transfer</x:v>
      </x:c>
      <x:c r="U594" t="str">
        <x:v>Paid</x:v>
      </x:c>
      <x:c r="V594" t="str">
        <x:v>Delivered</x:v>
      </x:c>
      <x:c r="W594" t="n">
        <x:v>0</x:v>
      </x:c>
      <x:c r="X594" t="str"/>
      <x:c r="Y594" t="str">
        <x:v>Existing Customer</x:v>
      </x:c>
    </x:row>
    <x:row r="595">
      <x:c r="A595" t="str">
        <x:v>O000594</x:v>
      </x:c>
      <x:c r="B595" s="20" t="n">
        <x:v>46190</x:v>
      </x:c>
      <x:c r="C595" t="str">
        <x:v>C0183</x:v>
      </x:c>
      <x:c r="D595" t="str">
        <x:v>Spice Mart 183</x:v>
      </x:c>
      <x:c r="E595" t="str">
        <x:v>Kirana</x:v>
      </x:c>
      <x:c r="F595" t="str">
        <x:v>Mangaluru</x:v>
      </x:c>
      <x:c r="G595" t="str">
        <x:v>Kavya</x:v>
      </x:c>
      <x:c r="H595" t="str">
        <x:v>P025</x:v>
      </x:c>
      <x:c r="I595" t="str">
        <x:v>Potato Chips 100g</x:v>
      </x:c>
      <x:c r="J595" t="str">
        <x:v>Snacks</x:v>
      </x:c>
      <x:c r="K595" t="str">
        <x:v>Lay's</x:v>
      </x:c>
      <x:c r="L595" s="22" t="n">
        <x:v>35</x:v>
      </x:c>
      <x:c r="M595" t="n">
        <x:v>16</x:v>
      </x:c>
      <x:c r="N595" s="24" t="n">
        <x:v>0</x:v>
      </x:c>
      <x:c r="O595" s="22" t="n">
        <x:f>L595*M595</x:f>
        <x:v>560</x:v>
      </x:c>
      <x:c r="P595" s="22" t="n">
        <x:f>O595*(1-N595)</x:f>
        <x:v>560</x:v>
      </x:c>
      <x:c r="Q595" s="22" t="n">
        <x:v>27</x:v>
      </x:c>
      <x:c r="R595" s="22" t="n">
        <x:f>Q595*M595</x:f>
        <x:v>432</x:v>
      </x:c>
      <x:c r="S595" s="22" t="n">
        <x:f>P595-R595</x:f>
        <x:v>128</x:v>
      </x:c>
      <x:c r="T595" t="str">
        <x:v>Bank Transfer</x:v>
      </x:c>
      <x:c r="U595" t="str">
        <x:v>Pending</x:v>
      </x:c>
      <x:c r="V595" t="str">
        <x:v>Delivered</x:v>
      </x:c>
      <x:c r="W595" t="n">
        <x:v>0</x:v>
      </x:c>
      <x:c r="X595" t="str"/>
      <x:c r="Y595" t="str">
        <x:v>Referral</x:v>
      </x:c>
    </x:row>
    <x:row r="596">
      <x:c r="A596" t="str">
        <x:v>O000595</x:v>
      </x:c>
      <x:c r="B596" s="20" t="n">
        <x:v>45741</x:v>
      </x:c>
      <x:c r="C596" t="str">
        <x:v>C0213</x:v>
      </x:c>
      <x:c r="D596" t="str">
        <x:v>Shree Cafe 213</x:v>
      </x:c>
      <x:c r="E596" t="str">
        <x:v>Cafe</x:v>
      </x:c>
      <x:c r="F596" t="str">
        <x:v>Tumakuru</x:v>
      </x:c>
      <x:c r="G596" t="str">
        <x:v>Imran</x:v>
      </x:c>
      <x:c r="H596" t="str">
        <x:v>P027</x:v>
      </x:c>
      <x:c r="I596" t="str">
        <x:v>Biscuits 120g</x:v>
      </x:c>
      <x:c r="J596" t="str">
        <x:v>Snacks</x:v>
      </x:c>
      <x:c r="K596" t="str">
        <x:v>Parle-G</x:v>
      </x:c>
      <x:c r="L596" s="22" t="n">
        <x:v>12</x:v>
      </x:c>
      <x:c r="M596" t="n">
        <x:v>6</x:v>
      </x:c>
      <x:c r="N596" s="24" t="n">
        <x:v>0</x:v>
      </x:c>
      <x:c r="O596" s="22" t="n">
        <x:f>L596*M596</x:f>
        <x:v>72</x:v>
      </x:c>
      <x:c r="P596" s="22" t="n">
        <x:f>O596*(1-N596)</x:f>
        <x:v>72</x:v>
      </x:c>
      <x:c r="Q596" s="22" t="n">
        <x:v>9</x:v>
      </x:c>
      <x:c r="R596" s="22" t="n">
        <x:f>Q596*M596</x:f>
        <x:v>54</x:v>
      </x:c>
      <x:c r="S596" s="22" t="n">
        <x:f>P596-R596</x:f>
        <x:v>18</x:v>
      </x:c>
      <x:c r="T596" t="str">
        <x:v>Bank Transfer</x:v>
      </x:c>
      <x:c r="U596" t="str">
        <x:v>Paid</x:v>
      </x:c>
      <x:c r="V596" t="str">
        <x:v>Delivered</x:v>
      </x:c>
      <x:c r="W596" t="n">
        <x:v>0</x:v>
      </x:c>
      <x:c r="X596" t="str"/>
      <x:c r="Y596" t="str">
        <x:v>Existing Customer</x:v>
      </x:c>
    </x:row>
    <x:row r="597">
      <x:c r="A597" t="str">
        <x:v>O000596</x:v>
      </x:c>
      <x:c r="B597" s="20" t="n">
        <x:v>46062</x:v>
      </x:c>
      <x:c r="C597" t="str">
        <x:v>C0144</x:v>
      </x:c>
      <x:c r="D597" t="str">
        <x:v>Namma Foods 144</x:v>
      </x:c>
      <x:c r="E597" t="str">
        <x:v>Restaurant</x:v>
      </x:c>
      <x:c r="F597" t="str">
        <x:v>Tumakuru</x:v>
      </x:c>
      <x:c r="G597" t="str">
        <x:v>Arjun</x:v>
      </x:c>
      <x:c r="H597" t="str">
        <x:v>P034</x:v>
      </x:c>
      <x:c r="I597" t="str">
        <x:v>Chilli Powder 1kg</x:v>
      </x:c>
      <x:c r="J597" t="str">
        <x:v>Spices</x:v>
      </x:c>
      <x:c r="K597" t="str">
        <x:v>MDH</x:v>
      </x:c>
      <x:c r="L597" s="22" t="n">
        <x:v>340</x:v>
      </x:c>
      <x:c r="M597" t="n">
        <x:v>17</x:v>
      </x:c>
      <x:c r="N597" s="24" t="n">
        <x:v>0.03</x:v>
      </x:c>
      <x:c r="O597" s="22" t="n">
        <x:f>L597*M597</x:f>
        <x:v>5780</x:v>
      </x:c>
      <x:c r="P597" s="22" t="n">
        <x:f>O597*(1-N597)</x:f>
        <x:v>5606.599999999999</x:v>
      </x:c>
      <x:c r="Q597" s="22" t="n">
        <x:v>295</x:v>
      </x:c>
      <x:c r="R597" s="22" t="n">
        <x:f>Q597*M597</x:f>
        <x:v>5015</x:v>
      </x:c>
      <x:c r="S597" s="22" t="n">
        <x:f>P597-R597</x:f>
        <x:v>591.5999999999995</x:v>
      </x:c>
      <x:c r="T597" t="str">
        <x:v>Credit</x:v>
      </x:c>
      <x:c r="U597" t="str">
        <x:v>Overdue</x:v>
      </x:c>
      <x:c r="V597" t="str">
        <x:v>Cancelled</x:v>
      </x:c>
      <x:c r="W597" t="n">
        <x:v>17</x:v>
      </x:c>
      <x:c r="X597" t="str">
        <x:v>Cancelled Order</x:v>
      </x:c>
      <x:c r="Y597" t="str">
        <x:v>WhatsApp</x:v>
      </x:c>
    </x:row>
    <x:row r="598">
      <x:c r="A598" t="str">
        <x:v>O000597</x:v>
      </x:c>
      <x:c r="B598" s="20" t="n">
        <x:v>45805</x:v>
      </x:c>
      <x:c r="C598" t="str">
        <x:v>C0107</x:v>
      </x:c>
      <x:c r="D598" t="str">
        <x:v>Mysore Cafe 107</x:v>
      </x:c>
      <x:c r="E598" t="str">
        <x:v>Supermarket</x:v>
      </x:c>
      <x:c r="F598" t="str">
        <x:v>Tumakuru</x:v>
      </x:c>
      <x:c r="G598" t="str">
        <x:v>Megha</x:v>
      </x:c>
      <x:c r="H598" t="str">
        <x:v>P011</x:v>
      </x:c>
      <x:c r="I598" t="str">
        <x:v>Salt 1kg</x:v>
      </x:c>
      <x:c r="J598" t="str">
        <x:v>Staples</x:v>
      </x:c>
      <x:c r="K598" t="str">
        <x:v>Tata</x:v>
      </x:c>
      <x:c r="L598" s="22" t="n">
        <x:v>28</x:v>
      </x:c>
      <x:c r="M598" t="n">
        <x:v>33</x:v>
      </x:c>
      <x:c r="N598" s="24" t="n">
        <x:v>0</x:v>
      </x:c>
      <x:c r="O598" s="22" t="n">
        <x:f>L598*M598</x:f>
        <x:v>924</x:v>
      </x:c>
      <x:c r="P598" s="22" t="n">
        <x:f>O598*(1-N598)</x:f>
        <x:v>924</x:v>
      </x:c>
      <x:c r="Q598" s="22" t="n">
        <x:v>23</x:v>
      </x:c>
      <x:c r="R598" s="22" t="n">
        <x:f>Q598*M598</x:f>
        <x:v>759</x:v>
      </x:c>
      <x:c r="S598" s="22" t="n">
        <x:f>P598-R598</x:f>
        <x:v>165</x:v>
      </x:c>
      <x:c r="T598" t="str">
        <x:v>Credit</x:v>
      </x:c>
      <x:c r="U598" t="str">
        <x:v>Paid</x:v>
      </x:c>
      <x:c r="V598" t="str">
        <x:v>Cancelled</x:v>
      </x:c>
      <x:c r="W598" t="n">
        <x:v>33</x:v>
      </x:c>
      <x:c r="X598" t="str">
        <x:v>Cancelled Order</x:v>
      </x:c>
      <x:c r="Y598" t="str">
        <x:v>Existing Customer</x:v>
      </x:c>
    </x:row>
    <x:row r="599">
      <x:c r="A599" t="str">
        <x:v>O000598</x:v>
      </x:c>
      <x:c r="B599" s="20" t="n">
        <x:v>45875</x:v>
      </x:c>
      <x:c r="C599" t="str">
        <x:v>C0031</x:v>
      </x:c>
      <x:c r="D599" t="str">
        <x:v>Royal Restaurant 31</x:v>
      </x:c>
      <x:c r="E599" t="str">
        <x:v>Restaurant</x:v>
      </x:c>
      <x:c r="F599" t="str">
        <x:v>Mangaluru</x:v>
      </x:c>
      <x:c r="G599" t="str">
        <x:v>Arjun</x:v>
      </x:c>
      <x:c r="H599" t="str">
        <x:v>P045</x:v>
      </x:c>
      <x:c r="I599" t="str">
        <x:v>Onion 25kg</x:v>
      </x:c>
      <x:c r="J599" t="str">
        <x:v>Fresh Produce</x:v>
      </x:c>
      <x:c r="K599" t="str">
        <x:v>Local Market</x:v>
      </x:c>
      <x:c r="L599" s="22" t="n">
        <x:v>875</x:v>
      </x:c>
      <x:c r="M599" t="n">
        <x:v>30</x:v>
      </x:c>
      <x:c r="N599" s="24" t="n">
        <x:v>0.03</x:v>
      </x:c>
      <x:c r="O599" s="22" t="n">
        <x:f>L599*M599</x:f>
        <x:v>26250</x:v>
      </x:c>
      <x:c r="P599" s="22" t="n">
        <x:f>O599*(1-N599)</x:f>
        <x:v>25462.5</x:v>
      </x:c>
      <x:c r="Q599" s="22" t="n">
        <x:v>760</x:v>
      </x:c>
      <x:c r="R599" s="22" t="n">
        <x:f>Q599*M599</x:f>
        <x:v>22800</x:v>
      </x:c>
      <x:c r="S599" s="22" t="n">
        <x:f>P599-R599</x:f>
        <x:v>2662.5</x:v>
      </x:c>
      <x:c r="T599" t="str">
        <x:v>Bank Transfer</x:v>
      </x:c>
      <x:c r="U599" t="str">
        <x:v>Overdue</x:v>
      </x:c>
      <x:c r="V599" t="str">
        <x:v>Delivered</x:v>
      </x:c>
      <x:c r="W599" t="n">
        <x:v>0</x:v>
      </x:c>
      <x:c r="X599" t="str"/>
      <x:c r="Y599" t="str">
        <x:v>Outbound Call</x:v>
      </x:c>
    </x:row>
    <x:row r="600">
      <x:c r="A600" t="str">
        <x:v>O000599</x:v>
      </x:c>
      <x:c r="B600" s="20" t="n">
        <x:v>45781</x:v>
      </x:c>
      <x:c r="C600" t="str">
        <x:v>C0105</x:v>
      </x:c>
      <x:c r="D600" t="str">
        <x:v>Foodie Restaurant 105</x:v>
      </x:c>
      <x:c r="E600" t="str">
        <x:v>Supermarket</x:v>
      </x:c>
      <x:c r="F600" t="str">
        <x:v>Bengaluru</x:v>
      </x:c>
      <x:c r="G600" t="str">
        <x:v>Arjun</x:v>
      </x:c>
      <x:c r="H600" t="str">
        <x:v>P008</x:v>
      </x:c>
      <x:c r="I600" t="str">
        <x:v>Palm Oil 15L</x:v>
      </x:c>
      <x:c r="J600" t="str">
        <x:v>Edible Oil</x:v>
      </x:c>
      <x:c r="K600" t="str">
        <x:v>Ruchi Gold</x:v>
      </x:c>
      <x:c r="L600" s="22" t="n">
        <x:v>1760</x:v>
      </x:c>
      <x:c r="M600" t="n">
        <x:v>10</x:v>
      </x:c>
      <x:c r="N600" s="24" t="n">
        <x:v>0.02</x:v>
      </x:c>
      <x:c r="O600" s="22" t="n">
        <x:f>L600*M600</x:f>
        <x:v>17600</x:v>
      </x:c>
      <x:c r="P600" s="22" t="n">
        <x:f>O600*(1-N600)</x:f>
        <x:v>17248</x:v>
      </x:c>
      <x:c r="Q600" s="22" t="n">
        <x:v>1610</x:v>
      </x:c>
      <x:c r="R600" s="22" t="n">
        <x:f>Q600*M600</x:f>
        <x:v>16100</x:v>
      </x:c>
      <x:c r="S600" s="22" t="n">
        <x:f>P600-R600</x:f>
        <x:v>1148</x:v>
      </x:c>
      <x:c r="T600" t="str">
        <x:v>Bank Transfer</x:v>
      </x:c>
      <x:c r="U600" t="str">
        <x:v>Paid</x:v>
      </x:c>
      <x:c r="V600" t="str">
        <x:v>Delivered</x:v>
      </x:c>
      <x:c r="W600" t="n">
        <x:v>0</x:v>
      </x:c>
      <x:c r="X600" t="str"/>
      <x:c r="Y600" t="str">
        <x:v>Field Visit</x:v>
      </x:c>
    </x:row>
    <x:row r="601">
      <x:c r="A601" t="str">
        <x:v>O000600</x:v>
      </x:c>
      <x:c r="B601" s="20" t="n">
        <x:v>45803</x:v>
      </x:c>
      <x:c r="C601" t="str">
        <x:v>C0008</x:v>
      </x:c>
      <x:c r="D601" t="str">
        <x:v>Namma Kitchen 8</x:v>
      </x:c>
      <x:c r="E601" t="str">
        <x:v>Kirana</x:v>
      </x:c>
      <x:c r="F601" t="str">
        <x:v>Bengaluru</x:v>
      </x:c>
      <x:c r="G601" t="str">
        <x:v>Vikram</x:v>
      </x:c>
      <x:c r="H601" t="str">
        <x:v>P010</x:v>
      </x:c>
      <x:c r="I601" t="str">
        <x:v>Sugar 25kg</x:v>
      </x:c>
      <x:c r="J601" t="str">
        <x:v>Staples</x:v>
      </x:c>
      <x:c r="K601" t="str">
        <x:v>Madhur</x:v>
      </x:c>
      <x:c r="L601" s="22" t="n">
        <x:v>1190</x:v>
      </x:c>
      <x:c r="M601" t="n">
        <x:v>7</x:v>
      </x:c>
      <x:c r="N601" s="24" t="n">
        <x:v>0</x:v>
      </x:c>
      <x:c r="O601" s="22" t="n">
        <x:f>L601*M601</x:f>
        <x:v>8330</x:v>
      </x:c>
      <x:c r="P601" s="22" t="n">
        <x:f>O601*(1-N601)</x:f>
        <x:v>8330</x:v>
      </x:c>
      <x:c r="Q601" s="22" t="n">
        <x:v>1080</x:v>
      </x:c>
      <x:c r="R601" s="22" t="n">
        <x:f>Q601*M601</x:f>
        <x:v>7560</x:v>
      </x:c>
      <x:c r="S601" s="22" t="n">
        <x:f>P601-R601</x:f>
        <x:v>770</x:v>
      </x:c>
      <x:c r="T601" t="str">
        <x:v>Cash</x:v>
      </x:c>
      <x:c r="U601" t="str">
        <x:v>Pending</x:v>
      </x:c>
      <x:c r="V601" t="str">
        <x:v>Delivered</x:v>
      </x:c>
      <x:c r="W601" t="n">
        <x:v>0</x:v>
      </x:c>
      <x:c r="X601" t="str"/>
      <x:c r="Y601" t="str"/>
    </x:row>
    <x:row r="602">
      <x:c r="A602" t="str">
        <x:v>O000601</x:v>
      </x:c>
      <x:c r="B602" s="20" t="n">
        <x:v>45727</x:v>
      </x:c>
      <x:c r="C602" t="str">
        <x:v>C0141</x:v>
      </x:c>
      <x:c r="D602" t="str">
        <x:v>Sri Restaurant 141</x:v>
      </x:c>
      <x:c r="E602" t="str">
        <x:v>Restaurant</x:v>
      </x:c>
      <x:c r="F602" t="str">
        <x:v>Mangaluru</x:v>
      </x:c>
      <x:c r="G602" t="str">
        <x:v>Ramesh</x:v>
      </x:c>
      <x:c r="H602" t="str">
        <x:v>P023</x:v>
      </x:c>
      <x:c r="I602" t="str">
        <x:v>Cola 750ml</x:v>
      </x:c>
      <x:c r="J602" t="str">
        <x:v>Beverage</x:v>
      </x:c>
      <x:c r="K602" t="str">
        <x:v>Coca-Cola</x:v>
      </x:c>
      <x:c r="L602" s="22" t="n">
        <x:v>38</x:v>
      </x:c>
      <x:c r="M602" t="n">
        <x:v>3</x:v>
      </x:c>
      <x:c r="N602" s="24" t="n">
        <x:v>0.03</x:v>
      </x:c>
      <x:c r="O602" s="22" t="n">
        <x:f>L602*M602</x:f>
        <x:v>114</x:v>
      </x:c>
      <x:c r="P602" s="22" t="n">
        <x:f>O602*(1-N602)</x:f>
        <x:v>110.58</x:v>
      </x:c>
      <x:c r="Q602" s="22" t="n">
        <x:v>31</x:v>
      </x:c>
      <x:c r="R602" s="22" t="n">
        <x:f>Q602*M602</x:f>
        <x:v>93</x:v>
      </x:c>
      <x:c r="S602" s="22" t="n">
        <x:f>P602-R602</x:f>
        <x:v>17.58</x:v>
      </x:c>
      <x:c r="T602" t="str">
        <x:v>Cash</x:v>
      </x:c>
      <x:c r="U602" t="str">
        <x:v>Paid</x:v>
      </x:c>
      <x:c r="V602" t="str">
        <x:v>Delivered</x:v>
      </x:c>
      <x:c r="W602" t="n">
        <x:v>0</x:v>
      </x:c>
      <x:c r="X602" t="str"/>
      <x:c r="Y602" t="str">
        <x:v>WhatsApp</x:v>
      </x:c>
    </x:row>
    <x:row r="603">
      <x:c r="A603" t="str">
        <x:v>O000602</x:v>
      </x:c>
      <x:c r="B603" s="20" t="n">
        <x:v>45793</x:v>
      </x:c>
      <x:c r="C603" t="str">
        <x:v>C0214</x:v>
      </x:c>
      <x:c r="D603" t="str">
        <x:v>Darshini Kitchen 214</x:v>
      </x:c>
      <x:c r="E603" t="str">
        <x:v>Kirana</x:v>
      </x:c>
      <x:c r="F603" t="str">
        <x:v>Bengaluru</x:v>
      </x:c>
      <x:c r="G603" t="str">
        <x:v>Imran</x:v>
      </x:c>
      <x:c r="H603" t="str">
        <x:v>P039</x:v>
      </x:c>
      <x:c r="I603" t="str">
        <x:v>Ice Cream 4L</x:v>
      </x:c>
      <x:c r="J603" t="str">
        <x:v>Frozen</x:v>
      </x:c>
      <x:c r="K603" t="str">
        <x:v>Amul</x:v>
      </x:c>
      <x:c r="L603" s="22" t="n">
        <x:v>480</x:v>
      </x:c>
      <x:c r="M603" t="n">
        <x:v>9</x:v>
      </x:c>
      <x:c r="N603" s="24" t="n">
        <x:v>0.03</x:v>
      </x:c>
      <x:c r="O603" s="22" t="n">
        <x:f>L603*M603</x:f>
        <x:v>4320</x:v>
      </x:c>
      <x:c r="P603" s="22" t="n">
        <x:f>O603*(1-N603)</x:f>
        <x:v>4190.4</x:v>
      </x:c>
      <x:c r="Q603" s="22" t="n">
        <x:v>420</x:v>
      </x:c>
      <x:c r="R603" s="22" t="n">
        <x:f>Q603*M603</x:f>
        <x:v>3780</x:v>
      </x:c>
      <x:c r="S603" s="22" t="n">
        <x:f>P603-R603</x:f>
        <x:v>410.39999999999964</x:v>
      </x:c>
      <x:c r="T603" t="str">
        <x:v>Credit</x:v>
      </x:c>
      <x:c r="U603" t="str">
        <x:v>Pending</x:v>
      </x:c>
      <x:c r="V603" t="str">
        <x:v>Cancelled</x:v>
      </x:c>
      <x:c r="W603" t="n">
        <x:v>9</x:v>
      </x:c>
      <x:c r="X603" t="str">
        <x:v>Cancelled Order</x:v>
      </x:c>
      <x:c r="Y603" t="str">
        <x:v>WhatsApp</x:v>
      </x:c>
    </x:row>
    <x:row r="604">
      <x:c r="A604" t="str">
        <x:v>O000603</x:v>
      </x:c>
      <x:c r="B604" s="20" t="n">
        <x:v>45749</x:v>
      </x:c>
      <x:c r="C604" t="str">
        <x:v>C0187</x:v>
      </x:c>
      <x:c r="D604" t="str">
        <x:v>City Cafe 187</x:v>
      </x:c>
      <x:c r="E604" t="str">
        <x:v>Hotel</x:v>
      </x:c>
      <x:c r="F604" t="str">
        <x:v>Mysuru</x:v>
      </x:c>
      <x:c r="G604" t="str">
        <x:v>Priya</x:v>
      </x:c>
      <x:c r="H604" t="str">
        <x:v>P021</x:v>
      </x:c>
      <x:c r="I604" t="str">
        <x:v>Instant Coffee 200g</x:v>
      </x:c>
      <x:c r="J604" t="str">
        <x:v>Beverage</x:v>
      </x:c>
      <x:c r="K604" t="str">
        <x:v>Nescafe</x:v>
      </x:c>
      <x:c r="L604" s="22" t="n">
        <x:v>460</x:v>
      </x:c>
      <x:c r="M604" t="n">
        <x:v>40</x:v>
      </x:c>
      <x:c r="N604" s="24" t="n">
        <x:v>0.05</x:v>
      </x:c>
      <x:c r="O604" s="22" t="n">
        <x:f>L604*M604</x:f>
        <x:v>18400</x:v>
      </x:c>
      <x:c r="P604" s="22" t="n">
        <x:f>O604*(1-N604)</x:f>
        <x:v>17480</x:v>
      </x:c>
      <x:c r="Q604" s="22" t="n">
        <x:v>410</x:v>
      </x:c>
      <x:c r="R604" s="22" t="n">
        <x:f>Q604*M604</x:f>
        <x:v>16400</x:v>
      </x:c>
      <x:c r="S604" s="22" t="n">
        <x:f>P604-R604</x:f>
        <x:v>1080</x:v>
      </x:c>
      <x:c r="T604" t="str">
        <x:v>Credit</x:v>
      </x:c>
      <x:c r="U604" t="str">
        <x:v>Paid</x:v>
      </x:c>
      <x:c r="V604" t="str">
        <x:v>Delivered</x:v>
      </x:c>
      <x:c r="W604" t="n">
        <x:v>0</x:v>
      </x:c>
      <x:c r="X604" t="str"/>
      <x:c r="Y604" t="str">
        <x:v>Outbound Call</x:v>
      </x:c>
    </x:row>
    <x:row r="605">
      <x:c r="A605" t="str">
        <x:v>O000604</x:v>
      </x:c>
      <x:c r="B605" s="20" t="n">
        <x:v>45942</x:v>
      </x:c>
      <x:c r="C605" t="str">
        <x:v>C0228</x:v>
      </x:c>
      <x:c r="D605" t="str">
        <x:v>Metro Foods 228</x:v>
      </x:c>
      <x:c r="E605" t="str">
        <x:v>Supermarket</x:v>
      </x:c>
      <x:c r="F605" t="str">
        <x:v>Davanagere</x:v>
      </x:c>
      <x:c r="G605" t="str">
        <x:v>Sneha</x:v>
      </x:c>
      <x:c r="H605" t="str">
        <x:v>P029</x:v>
      </x:c>
      <x:c r="I605" t="str">
        <x:v>Tomato Ketchup 1kg</x:v>
      </x:c>
      <x:c r="J605" t="str">
        <x:v>Condiments</x:v>
      </x:c>
      <x:c r="K605" t="str">
        <x:v>Kissan</x:v>
      </x:c>
      <x:c r="L605" s="22" t="n">
        <x:v>145</x:v>
      </x:c>
      <x:c r="M605" t="n">
        <x:v>6</x:v>
      </x:c>
      <x:c r="N605" s="24" t="n">
        <x:v>0.08</x:v>
      </x:c>
      <x:c r="O605" s="22" t="n">
        <x:f>L605*M605</x:f>
        <x:v>870</x:v>
      </x:c>
      <x:c r="P605" s="22" t="n">
        <x:f>O605*(1-N605)</x:f>
        <x:v>800.4000000000001</x:v>
      </x:c>
      <x:c r="Q605" s="22" t="n">
        <x:v>126</x:v>
      </x:c>
      <x:c r="R605" s="22" t="n">
        <x:f>Q605*M605</x:f>
        <x:v>756</x:v>
      </x:c>
      <x:c r="S605" s="22" t="n">
        <x:f>P605-R605</x:f>
        <x:v>44.40000000000009</x:v>
      </x:c>
      <x:c r="T605" t="str">
        <x:v>UPI</x:v>
      </x:c>
      <x:c r="U605" t="str">
        <x:v>Paid</x:v>
      </x:c>
      <x:c r="V605" t="str">
        <x:v>Cancelled</x:v>
      </x:c>
      <x:c r="W605" t="n">
        <x:v>6</x:v>
      </x:c>
      <x:c r="X605" t="str">
        <x:v>Cancelled Order</x:v>
      </x:c>
      <x:c r="Y605" t="str">
        <x:v>Field Visit</x:v>
      </x:c>
    </x:row>
    <x:row r="606">
      <x:c r="A606" t="str">
        <x:v>O000605</x:v>
      </x:c>
      <x:c r="B606" s="20" t="n">
        <x:v>46230</x:v>
      </x:c>
      <x:c r="C606" t="str">
        <x:v>C0032</x:v>
      </x:c>
      <x:c r="D606" t="str">
        <x:v>Cafe Hotel 32</x:v>
      </x:c>
      <x:c r="E606" t="str">
        <x:v>Canteen</x:v>
      </x:c>
      <x:c r="F606" t="str">
        <x:v>Bengaluru</x:v>
      </x:c>
      <x:c r="G606" t="str">
        <x:v>Sneha</x:v>
      </x:c>
      <x:c r="H606" t="str">
        <x:v>P042</x:v>
      </x:c>
      <x:c r="I606" t="str">
        <x:v>Eggs 30pc Tray</x:v>
      </x:c>
      <x:c r="J606" t="str">
        <x:v>Protein</x:v>
      </x:c>
      <x:c r="K606" t="str">
        <x:v>Farm Fresh</x:v>
      </x:c>
      <x:c r="L606" s="22" t="n">
        <x:v>195</x:v>
      </x:c>
      <x:c r="M606" t="n">
        <x:v>6</x:v>
      </x:c>
      <x:c r="N606" s="24" t="n">
        <x:v>0</x:v>
      </x:c>
      <x:c r="O606" s="22" t="n">
        <x:f>L606*M606</x:f>
        <x:v>1170</x:v>
      </x:c>
      <x:c r="P606" s="22" t="n">
        <x:f>O606*(1-N606)</x:f>
        <x:v>1170</x:v>
      </x:c>
      <x:c r="Q606" s="22" t="n">
        <x:v>170</x:v>
      </x:c>
      <x:c r="R606" s="22" t="n">
        <x:f>Q606*M606</x:f>
        <x:v>1020</x:v>
      </x:c>
      <x:c r="S606" s="22" t="n">
        <x:f>P606-R606</x:f>
        <x:v>150</x:v>
      </x:c>
      <x:c r="T606" t="str">
        <x:v>UPI</x:v>
      </x:c>
      <x:c r="U606" t="str">
        <x:v>Overdue</x:v>
      </x:c>
      <x:c r="V606" t="str">
        <x:v>Delayed</x:v>
      </x:c>
      <x:c r="W606" t="n">
        <x:v>0</x:v>
      </x:c>
      <x:c r="X606" t="str"/>
      <x:c r="Y606" t="str">
        <x:v>Referral</x:v>
      </x:c>
    </x:row>
    <x:row r="607">
      <x:c r="A607" t="str">
        <x:v>O000606</x:v>
      </x:c>
      <x:c r="B607" s="20" t="n">
        <x:v>45781</x:v>
      </x:c>
      <x:c r="C607" t="str">
        <x:v>C0129</x:v>
      </x:c>
      <x:c r="D607" t="str">
        <x:v>City Canteen 129</x:v>
      </x:c>
      <x:c r="E607" t="str">
        <x:v>Kirana</x:v>
      </x:c>
      <x:c r="F607" t="str">
        <x:v>Hubballi</x:v>
      </x:c>
      <x:c r="G607" t="str">
        <x:v>Sneha</x:v>
      </x:c>
      <x:c r="H607" t="str">
        <x:v>P002</x:v>
      </x:c>
      <x:c r="I607" t="str">
        <x:v>Sona Masoori Rice 25kg</x:v>
      </x:c>
      <x:c r="J607" t="str">
        <x:v>Staples</x:v>
      </x:c>
      <x:c r="K607" t="str">
        <x:v>Fortune</x:v>
      </x:c>
      <x:c r="L607" s="22" t="n">
        <x:v>1320</x:v>
      </x:c>
      <x:c r="M607" t="n">
        <x:v>3</x:v>
      </x:c>
      <x:c r="N607" s="24" t="n">
        <x:v>0.1</x:v>
      </x:c>
      <x:c r="O607" s="22" t="n">
        <x:f>L607*M607</x:f>
        <x:v>3960</x:v>
      </x:c>
      <x:c r="P607" s="22" t="n">
        <x:f>O607*(1-N607)</x:f>
        <x:v>3564</x:v>
      </x:c>
      <x:c r="Q607" s="22" t="n">
        <x:v>1160</x:v>
      </x:c>
      <x:c r="R607" s="22" t="n">
        <x:f>Q607*M607</x:f>
        <x:v>3480</x:v>
      </x:c>
      <x:c r="S607" s="22" t="n">
        <x:f>P607-R607</x:f>
        <x:v>84</x:v>
      </x:c>
      <x:c r="T607" t="str">
        <x:v>Cash</x:v>
      </x:c>
      <x:c r="U607" t="str">
        <x:v>Pending</x:v>
      </x:c>
      <x:c r="V607" t="str">
        <x:v>Delivered</x:v>
      </x:c>
      <x:c r="W607" t="n">
        <x:v>0</x:v>
      </x:c>
      <x:c r="X607" t="str"/>
      <x:c r="Y607" t="str">
        <x:v>Existing Customer</x:v>
      </x:c>
    </x:row>
    <x:row r="608">
      <x:c r="A608" t="str">
        <x:v>O000607</x:v>
      </x:c>
      <x:c r="B608" s="20" t="n">
        <x:v>46279</x:v>
      </x:c>
      <x:c r="C608" t="str">
        <x:v>C0207</x:v>
      </x:c>
      <x:c r="D608" t="str">
        <x:v>Hotel Stores 207</x:v>
      </x:c>
      <x:c r="E608" t="str">
        <x:v>Restaurant</x:v>
      </x:c>
      <x:c r="F608" t="str">
        <x:v>Hubballi</x:v>
      </x:c>
      <x:c r="G608" t="str">
        <x:v>Ramesh</x:v>
      </x:c>
      <x:c r="H608" t="str">
        <x:v>P035</x:v>
      </x:c>
      <x:c r="I608" t="str">
        <x:v>Coriander Powder 1kg</x:v>
      </x:c>
      <x:c r="J608" t="str">
        <x:v>Spices</x:v>
      </x:c>
      <x:c r="K608" t="str">
        <x:v>Everest</x:v>
      </x:c>
      <x:c r="L608" s="22" t="n">
        <x:v>280</x:v>
      </x:c>
      <x:c r="M608" t="n">
        <x:v>21</x:v>
      </x:c>
      <x:c r="N608" s="24" t="n">
        <x:v>0.03</x:v>
      </x:c>
      <x:c r="O608" s="22" t="n">
        <x:f>L608*M608</x:f>
        <x:v>5880</x:v>
      </x:c>
      <x:c r="P608" s="22" t="n">
        <x:f>O608*(1-N608)</x:f>
        <x:v>5703.599999999999</x:v>
      </x:c>
      <x:c r="Q608" s="22" t="n">
        <x:v>245</x:v>
      </x:c>
      <x:c r="R608" s="22" t="n">
        <x:f>Q608*M608</x:f>
        <x:v>5145</x:v>
      </x:c>
      <x:c r="S608" s="22" t="n">
        <x:f>P608-R608</x:f>
        <x:v>558.5999999999995</x:v>
      </x:c>
      <x:c r="T608" t="str">
        <x:v>UPI</x:v>
      </x:c>
      <x:c r="U608" t="str">
        <x:v>Paid</x:v>
      </x:c>
      <x:c r="V608" t="str">
        <x:v>Delivered</x:v>
      </x:c>
      <x:c r="W608" t="n">
        <x:v>0</x:v>
      </x:c>
      <x:c r="X608" t="str"/>
      <x:c r="Y608" t="str">
        <x:v>Referral</x:v>
      </x:c>
    </x:row>
    <x:row r="609">
      <x:c r="A609" t="str">
        <x:v>O000608</x:v>
      </x:c>
      <x:c r="B609" s="20" t="n">
        <x:v>45982</x:v>
      </x:c>
      <x:c r="C609" t="str">
        <x:v>C0221</x:v>
      </x:c>
      <x:c r="D609" t="str">
        <x:v>Cafe Canteen 221</x:v>
      </x:c>
      <x:c r="E609" t="str">
        <x:v>Hotel</x:v>
      </x:c>
      <x:c r="F609" t="str">
        <x:v>Hubballi</x:v>
      </x:c>
      <x:c r="G609" t="str">
        <x:v>Kavya</x:v>
      </x:c>
      <x:c r="H609" t="str">
        <x:v>P034</x:v>
      </x:c>
      <x:c r="I609" t="str">
        <x:v>Chilli Powder 1kg</x:v>
      </x:c>
      <x:c r="J609" t="str">
        <x:v>Spices</x:v>
      </x:c>
      <x:c r="K609" t="str">
        <x:v>MDH</x:v>
      </x:c>
      <x:c r="L609" s="22" t="n">
        <x:v>340</x:v>
      </x:c>
      <x:c r="M609" t="n">
        <x:v>25</x:v>
      </x:c>
      <x:c r="N609" s="24" t="n">
        <x:v>0.02</x:v>
      </x:c>
      <x:c r="O609" s="22" t="n">
        <x:f>L609*M609</x:f>
        <x:v>8500</x:v>
      </x:c>
      <x:c r="P609" s="22" t="n">
        <x:f>O609*(1-N609)</x:f>
        <x:v>8330</x:v>
      </x:c>
      <x:c r="Q609" s="22" t="n">
        <x:v>295</x:v>
      </x:c>
      <x:c r="R609" s="22" t="n">
        <x:f>Q609*M609</x:f>
        <x:v>7375</x:v>
      </x:c>
      <x:c r="S609" s="22" t="n">
        <x:f>P609-R609</x:f>
        <x:v>955</x:v>
      </x:c>
      <x:c r="T609" t="str">
        <x:v>UPI</x:v>
      </x:c>
      <x:c r="U609" t="str">
        <x:v>Overdue</x:v>
      </x:c>
      <x:c r="V609" t="str">
        <x:v>Delayed</x:v>
      </x:c>
      <x:c r="W609" t="n">
        <x:v>0</x:v>
      </x:c>
      <x:c r="X609" t="str"/>
      <x:c r="Y609" t="str">
        <x:v>Referral</x:v>
      </x:c>
    </x:row>
    <x:row r="610">
      <x:c r="A610" t="str">
        <x:v>O000609</x:v>
      </x:c>
      <x:c r="B610" s="20" t="n">
        <x:v>45749</x:v>
      </x:c>
      <x:c r="C610" t="str">
        <x:v>C0047</x:v>
      </x:c>
      <x:c r="D610" t="str">
        <x:v>Shree Restaurant 47</x:v>
      </x:c>
      <x:c r="E610" t="str">
        <x:v>Canteen</x:v>
      </x:c>
      <x:c r="F610" t="str">
        <x:v>Davanagere</x:v>
      </x:c>
      <x:c r="G610" t="str">
        <x:v>Arjun</x:v>
      </x:c>
      <x:c r="H610" t="str">
        <x:v>P017</x:v>
      </x:c>
      <x:c r="I610" t="str">
        <x:v>Butter 500g</x:v>
      </x:c>
      <x:c r="J610" t="str">
        <x:v>Dairy</x:v>
      </x:c>
      <x:c r="K610" t="str">
        <x:v>Amul</x:v>
      </x:c>
      <x:c r="L610" s="22" t="n">
        <x:v>285</x:v>
      </x:c>
      <x:c r="M610" t="n">
        <x:v>10</x:v>
      </x:c>
      <x:c r="N610" s="24" t="n">
        <x:v>0.02</x:v>
      </x:c>
      <x:c r="O610" s="22" t="n">
        <x:f>L610*M610</x:f>
        <x:v>2850</x:v>
      </x:c>
      <x:c r="P610" s="22" t="n">
        <x:f>O610*(1-N610)</x:f>
        <x:v>2793</x:v>
      </x:c>
      <x:c r="Q610" s="22" t="n">
        <x:v>258</x:v>
      </x:c>
      <x:c r="R610" s="22" t="n">
        <x:f>Q610*M610</x:f>
        <x:v>2580</x:v>
      </x:c>
      <x:c r="S610" s="22" t="n">
        <x:f>P610-R610</x:f>
        <x:v>213</x:v>
      </x:c>
      <x:c r="T610" t="str">
        <x:v>Credit</x:v>
      </x:c>
      <x:c r="U610" t="str">
        <x:v>Paid</x:v>
      </x:c>
      <x:c r="V610" t="str">
        <x:v>Delivered</x:v>
      </x:c>
      <x:c r="W610" t="n">
        <x:v>0</x:v>
      </x:c>
      <x:c r="X610" t="str"/>
      <x:c r="Y610" t="str">
        <x:v>Field Visit</x:v>
      </x:c>
    </x:row>
    <x:row r="611">
      <x:c r="A611" t="str">
        <x:v>O000610</x:v>
      </x:c>
      <x:c r="B611" s="20" t="n">
        <x:v>45963</x:v>
      </x:c>
      <x:c r="C611" t="str">
        <x:v>C0183</x:v>
      </x:c>
      <x:c r="D611" t="str">
        <x:v>Spice Mart 183</x:v>
      </x:c>
      <x:c r="E611" t="str">
        <x:v>Kirana</x:v>
      </x:c>
      <x:c r="F611" t="str">
        <x:v>Mangaluru</x:v>
      </x:c>
      <x:c r="G611" t="str">
        <x:v>Kavya</x:v>
      </x:c>
      <x:c r="H611" t="str">
        <x:v>P004</x:v>
      </x:c>
      <x:c r="I611" t="str">
        <x:v>Toor Dal 5kg</x:v>
      </x:c>
      <x:c r="J611" t="str">
        <x:v>Pulses</x:v>
      </x:c>
      <x:c r="K611" t="str">
        <x:v>Tata Sampann</x:v>
      </x:c>
      <x:c r="L611" s="22" t="n">
        <x:v>780</x:v>
      </x:c>
      <x:c r="M611" t="n">
        <x:v>25</x:v>
      </x:c>
      <x:c r="N611" s="24" t="n">
        <x:v>0</x:v>
      </x:c>
      <x:c r="O611" s="22" t="n">
        <x:f>L611*M611</x:f>
        <x:v>19500</x:v>
      </x:c>
      <x:c r="P611" s="22" t="n">
        <x:f>O611*(1-N611)</x:f>
        <x:v>19500</x:v>
      </x:c>
      <x:c r="Q611" s="22" t="n">
        <x:v>695</x:v>
      </x:c>
      <x:c r="R611" s="22" t="n">
        <x:f>Q611*M611</x:f>
        <x:v>17375</x:v>
      </x:c>
      <x:c r="S611" s="22" t="n">
        <x:f>P611-R611</x:f>
        <x:v>2125</x:v>
      </x:c>
      <x:c r="T611" t="str">
        <x:v>Bank Transfer</x:v>
      </x:c>
      <x:c r="U611" t="str">
        <x:v>Paid</x:v>
      </x:c>
      <x:c r="V611" t="str">
        <x:v>Delivered</x:v>
      </x:c>
      <x:c r="W611" t="n">
        <x:v>0</x:v>
      </x:c>
      <x:c r="X611" t="str"/>
      <x:c r="Y611" t="str">
        <x:v>Outbound Call</x:v>
      </x:c>
    </x:row>
    <x:row r="612">
      <x:c r="A612" t="str">
        <x:v>O000611</x:v>
      </x:c>
      <x:c r="B612" s="20" t="n">
        <x:v>46269</x:v>
      </x:c>
      <x:c r="C612" t="str">
        <x:v>C0062</x:v>
      </x:c>
      <x:c r="D612" t="str">
        <x:v>Foodie Hotel 62</x:v>
      </x:c>
      <x:c r="E612" t="str">
        <x:v>Cafe</x:v>
      </x:c>
      <x:c r="F612" t="str">
        <x:v>Mysuru</x:v>
      </x:c>
      <x:c r="G612" t="str">
        <x:v>Vikram</x:v>
      </x:c>
      <x:c r="H612" t="str">
        <x:v>P049</x:v>
      </x:c>
      <x:c r="I612" t="str">
        <x:v>Apple 10kg</x:v>
      </x:c>
      <x:c r="J612" t="str">
        <x:v>Fresh Produce</x:v>
      </x:c>
      <x:c r="K612" t="str">
        <x:v>Local Market</x:v>
      </x:c>
      <x:c r="L612" s="22" t="n">
        <x:v>1450</x:v>
      </x:c>
      <x:c r="M612" t="n">
        <x:v>4</x:v>
      </x:c>
      <x:c r="N612" s="24" t="n">
        <x:v>0.03</x:v>
      </x:c>
      <x:c r="O612" s="22" t="n">
        <x:f>L612*M612</x:f>
        <x:v>5800</x:v>
      </x:c>
      <x:c r="P612" s="22" t="n">
        <x:f>O612*(1-N612)</x:f>
        <x:v>5626</x:v>
      </x:c>
      <x:c r="Q612" s="22" t="n">
        <x:v>1280</x:v>
      </x:c>
      <x:c r="R612" s="22" t="n">
        <x:f>Q612*M612</x:f>
        <x:v>5120</x:v>
      </x:c>
      <x:c r="S612" s="22" t="n">
        <x:f>P612-R612</x:f>
        <x:v>506</x:v>
      </x:c>
      <x:c r="T612" t="str">
        <x:v>Credit</x:v>
      </x:c>
      <x:c r="U612" t="str">
        <x:v>Overdue</x:v>
      </x:c>
      <x:c r="V612" t="str">
        <x:v>Delivered</x:v>
      </x:c>
      <x:c r="W612" t="n">
        <x:v>4</x:v>
      </x:c>
      <x:c r="X612" t="str">
        <x:v>Late Delivery</x:v>
      </x:c>
      <x:c r="Y612" t="str">
        <x:v>Outbound Call</x:v>
      </x:c>
    </x:row>
    <x:row r="613">
      <x:c r="A613" t="str">
        <x:v>O000612</x:v>
      </x:c>
      <x:c r="B613" s="20" t="n">
        <x:v>45897</x:v>
      </x:c>
      <x:c r="C613" t="str">
        <x:v>C0105</x:v>
      </x:c>
      <x:c r="D613" t="str">
        <x:v>Foodie Restaurant 105</x:v>
      </x:c>
      <x:c r="E613" t="str">
        <x:v>Supermarket</x:v>
      </x:c>
      <x:c r="F613" t="str">
        <x:v>Bengaluru</x:v>
      </x:c>
      <x:c r="G613" t="str">
        <x:v>Arjun</x:v>
      </x:c>
      <x:c r="H613" t="str">
        <x:v>P041</x:v>
      </x:c>
      <x:c r="I613" t="str">
        <x:v>Burger Bun 6pc</x:v>
      </x:c>
      <x:c r="J613" t="str">
        <x:v>Bakery</x:v>
      </x:c>
      <x:c r="K613" t="str">
        <x:v>Modern</x:v>
      </x:c>
      <x:c r="L613" s="22" t="n">
        <x:v>42</x:v>
      </x:c>
      <x:c r="M613" t="n">
        <x:v>2</x:v>
      </x:c>
      <x:c r="N613" s="24" t="n">
        <x:v>0.02</x:v>
      </x:c>
      <x:c r="O613" s="22" t="n">
        <x:f>L613*M613</x:f>
        <x:v>84</x:v>
      </x:c>
      <x:c r="P613" s="22" t="n">
        <x:f>O613*(1-N613)</x:f>
        <x:v>82.32</x:v>
      </x:c>
      <x:c r="Q613" s="22" t="n">
        <x:v>32</x:v>
      </x:c>
      <x:c r="R613" s="22" t="n">
        <x:f>Q613*M613</x:f>
        <x:v>64</x:v>
      </x:c>
      <x:c r="S613" s="22" t="n">
        <x:f>P613-R613</x:f>
        <x:v>18.319999999999993</x:v>
      </x:c>
      <x:c r="T613" t="str">
        <x:v>UPI</x:v>
      </x:c>
      <x:c r="U613" t="str">
        <x:v>Paid</x:v>
      </x:c>
      <x:c r="V613" t="str">
        <x:v>Delayed</x:v>
      </x:c>
      <x:c r="W613" t="n">
        <x:v>0</x:v>
      </x:c>
      <x:c r="X613" t="str"/>
      <x:c r="Y613" t="str">
        <x:v>Referral</x:v>
      </x:c>
    </x:row>
    <x:row r="614">
      <x:c r="A614" t="str">
        <x:v>O000613</x:v>
      </x:c>
      <x:c r="B614" s="20" t="n">
        <x:v>45743</x:v>
      </x:c>
      <x:c r="C614" t="str">
        <x:v>C0105</x:v>
      </x:c>
      <x:c r="D614" t="str">
        <x:v>Foodie Restaurant 105</x:v>
      </x:c>
      <x:c r="E614" t="str">
        <x:v>Supermarket</x:v>
      </x:c>
      <x:c r="F614" t="str">
        <x:v>Bengaluru</x:v>
      </x:c>
      <x:c r="G614" t="str">
        <x:v>Arjun</x:v>
      </x:c>
      <x:c r="H614" t="str">
        <x:v>P029</x:v>
      </x:c>
      <x:c r="I614" t="str">
        <x:v>Tomato Ketchup 1kg</x:v>
      </x:c>
      <x:c r="J614" t="str">
        <x:v>Condiments</x:v>
      </x:c>
      <x:c r="K614" t="str">
        <x:v>Kissan</x:v>
      </x:c>
      <x:c r="L614" s="22" t="n">
        <x:v>145</x:v>
      </x:c>
      <x:c r="M614" t="n">
        <x:v>33</x:v>
      </x:c>
      <x:c r="N614" s="24" t="n">
        <x:v>0</x:v>
      </x:c>
      <x:c r="O614" s="22" t="n">
        <x:f>L614*M614</x:f>
        <x:v>4785</x:v>
      </x:c>
      <x:c r="P614" s="22" t="n">
        <x:f>O614*(1-N614)</x:f>
        <x:v>4785</x:v>
      </x:c>
      <x:c r="Q614" s="22" t="n">
        <x:v>126</x:v>
      </x:c>
      <x:c r="R614" s="22" t="n">
        <x:f>Q614*M614</x:f>
        <x:v>4158</x:v>
      </x:c>
      <x:c r="S614" s="22" t="n">
        <x:f>P614-R614</x:f>
        <x:v>627</x:v>
      </x:c>
      <x:c r="T614" t="str">
        <x:v>Bank Transfer</x:v>
      </x:c>
      <x:c r="U614" t="str">
        <x:v>Paid</x:v>
      </x:c>
      <x:c r="V614" t="str">
        <x:v>Delivered</x:v>
      </x:c>
      <x:c r="W614" t="n">
        <x:v>0</x:v>
      </x:c>
      <x:c r="X614" t="str"/>
      <x:c r="Y614" t="str">
        <x:v>Existing Customer</x:v>
      </x:c>
    </x:row>
    <x:row r="615">
      <x:c r="A615" t="str">
        <x:v>O000614</x:v>
      </x:c>
      <x:c r="B615" s="20" t="n">
        <x:v>46120</x:v>
      </x:c>
      <x:c r="C615" t="str">
        <x:v>C0247</x:v>
      </x:c>
      <x:c r="D615" t="str">
        <x:v>Fresh Canteen 247</x:v>
      </x:c>
      <x:c r="E615" t="str">
        <x:v>Restaurant</x:v>
      </x:c>
      <x:c r="F615" t="str">
        <x:v>Hubballi</x:v>
      </x:c>
      <x:c r="G615" t="str">
        <x:v>Kavya</x:v>
      </x:c>
      <x:c r="H615" t="str">
        <x:v>P036</x:v>
      </x:c>
      <x:c r="I615" t="str">
        <x:v>Garam Masala 500g</x:v>
      </x:c>
      <x:c r="J615" t="str">
        <x:v>Spices</x:v>
      </x:c>
      <x:c r="K615" t="str">
        <x:v>MDH</x:v>
      </x:c>
      <x:c r="L615" s="22" t="n">
        <x:v>265</x:v>
      </x:c>
      <x:c r="M615" t="n">
        <x:v>3</x:v>
      </x:c>
      <x:c r="N615" s="24" t="n">
        <x:v>0</x:v>
      </x:c>
      <x:c r="O615" s="22" t="n">
        <x:f>L615*M615</x:f>
        <x:v>795</x:v>
      </x:c>
      <x:c r="P615" s="22" t="n">
        <x:f>O615*(1-N615)</x:f>
        <x:v>795</x:v>
      </x:c>
      <x:c r="Q615" s="22" t="n">
        <x:v>230</x:v>
      </x:c>
      <x:c r="R615" s="22" t="n">
        <x:f>Q615*M615</x:f>
        <x:v>690</x:v>
      </x:c>
      <x:c r="S615" s="22" t="n">
        <x:f>P615-R615</x:f>
        <x:v>105</x:v>
      </x:c>
      <x:c r="T615" t="str">
        <x:v>Credit</x:v>
      </x:c>
      <x:c r="U615" t="str">
        <x:v>Overdue</x:v>
      </x:c>
      <x:c r="V615" t="str">
        <x:v>Delayed</x:v>
      </x:c>
      <x:c r="W615" t="n">
        <x:v>0</x:v>
      </x:c>
      <x:c r="X615" t="str"/>
      <x:c r="Y615" t="str">
        <x:v>Field Visit</x:v>
      </x:c>
    </x:row>
    <x:row r="616">
      <x:c r="A616" t="str">
        <x:v>O000615</x:v>
      </x:c>
      <x:c r="B616" s="20" t="n">
        <x:v>45719</x:v>
      </x:c>
      <x:c r="C616" t="str">
        <x:v>C0043</x:v>
      </x:c>
      <x:c r="D616" t="str">
        <x:v>Namma Kitchen 43</x:v>
      </x:c>
      <x:c r="E616" t="str">
        <x:v>Supermarket</x:v>
      </x:c>
      <x:c r="F616" t="str">
        <x:v>Davanagere</x:v>
      </x:c>
      <x:c r="G616" t="str">
        <x:v>Kavya</x:v>
      </x:c>
      <x:c r="H616" t="str">
        <x:v>P001</x:v>
      </x:c>
      <x:c r="I616" t="str">
        <x:v>Steam Rice 25kg</x:v>
      </x:c>
      <x:c r="J616" t="str">
        <x:v>Staples</x:v>
      </x:c>
      <x:c r="K616" t="str">
        <x:v>Aishwarya</x:v>
      </x:c>
      <x:c r="L616" s="22" t="n">
        <x:v>1180</x:v>
      </x:c>
      <x:c r="M616" t="n">
        <x:v>5</x:v>
      </x:c>
      <x:c r="N616" s="24" t="n">
        <x:v>0.03</x:v>
      </x:c>
      <x:c r="O616" s="22" t="n">
        <x:f>L616*M616</x:f>
        <x:v>5900</x:v>
      </x:c>
      <x:c r="P616" s="22" t="n">
        <x:f>O616*(1-N616)</x:f>
        <x:v>5723</x:v>
      </x:c>
      <x:c r="Q616" s="22" t="n">
        <x:v>1040</x:v>
      </x:c>
      <x:c r="R616" s="22" t="n">
        <x:f>Q616*M616</x:f>
        <x:v>5200</x:v>
      </x:c>
      <x:c r="S616" s="22" t="n">
        <x:f>P616-R616</x:f>
        <x:v>523</x:v>
      </x:c>
      <x:c r="T616" t="str">
        <x:v>Credit</x:v>
      </x:c>
      <x:c r="U616" t="str">
        <x:v>Overdue</x:v>
      </x:c>
      <x:c r="V616" t="str">
        <x:v>Cancelled</x:v>
      </x:c>
      <x:c r="W616" t="n">
        <x:v>5</x:v>
      </x:c>
      <x:c r="X616" t="str">
        <x:v>Cancelled Order</x:v>
      </x:c>
      <x:c r="Y616" t="str">
        <x:v>Referral</x:v>
      </x:c>
    </x:row>
    <x:row r="617">
      <x:c r="A617" t="str">
        <x:v>O000616</x:v>
      </x:c>
      <x:c r="B617" s="20" t="n">
        <x:v>45704</x:v>
      </x:c>
      <x:c r="C617" t="str">
        <x:v>C0131</x:v>
      </x:c>
      <x:c r="D617" t="str">
        <x:v>Foodie Canteen 131</x:v>
      </x:c>
      <x:c r="E617" t="str">
        <x:v>Canteen</x:v>
      </x:c>
      <x:c r="F617" t="str">
        <x:v>Davanagere</x:v>
      </x:c>
      <x:c r="G617" t="str">
        <x:v>Arjun</x:v>
      </x:c>
      <x:c r="H617" t="str">
        <x:v>P019</x:v>
      </x:c>
      <x:c r="I617" t="str">
        <x:v>Tea 1kg</x:v>
      </x:c>
      <x:c r="J617" t="str">
        <x:v>Beverage</x:v>
      </x:c>
      <x:c r="K617" t="str">
        <x:v>Red Label</x:v>
      </x:c>
      <x:c r="L617" s="22" t="n">
        <x:v>540</x:v>
      </x:c>
      <x:c r="M617" t="n">
        <x:v>11</x:v>
      </x:c>
      <x:c r="N617" s="24" t="n">
        <x:v>0.05</x:v>
      </x:c>
      <x:c r="O617" s="22" t="n">
        <x:f>L617*M617</x:f>
        <x:v>5940</x:v>
      </x:c>
      <x:c r="P617" s="22" t="n">
        <x:f>O617*(1-N617)</x:f>
        <x:v>5643</x:v>
      </x:c>
      <x:c r="Q617" s="22" t="n">
        <x:v>485</x:v>
      </x:c>
      <x:c r="R617" s="22" t="n">
        <x:f>Q617*M617</x:f>
        <x:v>5335</x:v>
      </x:c>
      <x:c r="S617" s="22" t="n">
        <x:f>P617-R617</x:f>
        <x:v>308</x:v>
      </x:c>
      <x:c r="T617" t="str">
        <x:v>UPI</x:v>
      </x:c>
      <x:c r="U617" t="str">
        <x:v>Paid</x:v>
      </x:c>
      <x:c r="V617" t="str">
        <x:v>Delivered</x:v>
      </x:c>
      <x:c r="W617" t="n">
        <x:v>0</x:v>
      </x:c>
      <x:c r="X617" t="str"/>
      <x:c r="Y617" t="str">
        <x:v>Referral</x:v>
      </x:c>
    </x:row>
    <x:row r="618">
      <x:c r="A618" t="str">
        <x:v>O000617</x:v>
      </x:c>
      <x:c r="B618" s="20" t="n">
        <x:v>45873</x:v>
      </x:c>
      <x:c r="C618" t="str">
        <x:v>C0072</x:v>
      </x:c>
      <x:c r="D618" t="str">
        <x:v>Grand Restaurant 72</x:v>
      </x:c>
      <x:c r="E618" t="str">
        <x:v>Restaurant</x:v>
      </x:c>
      <x:c r="F618" t="str">
        <x:v>Davanagere</x:v>
      </x:c>
      <x:c r="G618" t="str">
        <x:v>Kavya</x:v>
      </x:c>
      <x:c r="H618" t="str">
        <x:v>P028</x:v>
      </x:c>
      <x:c r="I618" t="str">
        <x:v>Cookies 200g</x:v>
      </x:c>
      <x:c r="J618" t="str">
        <x:v>Snacks</x:v>
      </x:c>
      <x:c r="K618" t="str">
        <x:v>Britannia</x:v>
      </x:c>
      <x:c r="L618" s="22" t="n">
        <x:v>55</x:v>
      </x:c>
      <x:c r="M618" t="n">
        <x:v>40</x:v>
      </x:c>
      <x:c r="N618" s="24" t="n">
        <x:v>0.03</x:v>
      </x:c>
      <x:c r="O618" s="22" t="n">
        <x:f>L618*M618</x:f>
        <x:v>2200</x:v>
      </x:c>
      <x:c r="P618" s="22" t="n">
        <x:f>O618*(1-N618)</x:f>
        <x:v>2134</x:v>
      </x:c>
      <x:c r="Q618" s="22" t="n">
        <x:v>42</x:v>
      </x:c>
      <x:c r="R618" s="22" t="n">
        <x:f>Q618*M618</x:f>
        <x:v>1680</x:v>
      </x:c>
      <x:c r="S618" s="22" t="n">
        <x:f>P618-R618</x:f>
        <x:v>454</x:v>
      </x:c>
      <x:c r="T618" t="str">
        <x:v>Cash</x:v>
      </x:c>
      <x:c r="U618" t="str">
        <x:v>Pending</x:v>
      </x:c>
      <x:c r="V618" t="str">
        <x:v>Delivered</x:v>
      </x:c>
      <x:c r="W618" t="n">
        <x:v>0</x:v>
      </x:c>
      <x:c r="X618" t="str"/>
      <x:c r="Y618" t="str">
        <x:v>WhatsApp</x:v>
      </x:c>
    </x:row>
    <x:row r="619">
      <x:c r="A619" t="str">
        <x:v>O000618</x:v>
      </x:c>
      <x:c r="B619" s="20" t="n">
        <x:v>46007</x:v>
      </x:c>
      <x:c r="C619" t="str">
        <x:v>C0170</x:v>
      </x:c>
      <x:c r="D619" t="str">
        <x:v>Green Cafe 170</x:v>
      </x:c>
      <x:c r="E619" t="str">
        <x:v>Supermarket</x:v>
      </x:c>
      <x:c r="F619" t="str">
        <x:v>Bengaluru</x:v>
      </x:c>
      <x:c r="G619" t="str">
        <x:v>Sneha</x:v>
      </x:c>
      <x:c r="H619" t="str">
        <x:v>P021</x:v>
      </x:c>
      <x:c r="I619" t="str">
        <x:v>Instant Coffee 200g</x:v>
      </x:c>
      <x:c r="J619" t="str">
        <x:v>Beverage</x:v>
      </x:c>
      <x:c r="K619" t="str">
        <x:v>Nescafe</x:v>
      </x:c>
      <x:c r="L619" s="22" t="n">
        <x:v>460</x:v>
      </x:c>
      <x:c r="M619" t="n">
        <x:v>14</x:v>
      </x:c>
      <x:c r="N619" s="24" t="n">
        <x:v>0.03</x:v>
      </x:c>
      <x:c r="O619" s="22" t="n">
        <x:f>L619*M619</x:f>
        <x:v>6440</x:v>
      </x:c>
      <x:c r="P619" s="22" t="n">
        <x:f>O619*(1-N619)</x:f>
        <x:v>6246.8</x:v>
      </x:c>
      <x:c r="Q619" s="22" t="n">
        <x:v>410</x:v>
      </x:c>
      <x:c r="R619" s="22" t="n">
        <x:f>Q619*M619</x:f>
        <x:v>5740</x:v>
      </x:c>
      <x:c r="S619" s="22" t="n">
        <x:f>P619-R619</x:f>
        <x:v>506.8000000000002</x:v>
      </x:c>
      <x:c r="T619" t="str">
        <x:v>Cash</x:v>
      </x:c>
      <x:c r="U619" t="str">
        <x:v>Paid</x:v>
      </x:c>
      <x:c r="V619" t="str">
        <x:v>Cancelled</x:v>
      </x:c>
      <x:c r="W619" t="n">
        <x:v>14</x:v>
      </x:c>
      <x:c r="X619" t="str">
        <x:v>Cancelled Order</x:v>
      </x:c>
      <x:c r="Y619" t="str">
        <x:v>Referral</x:v>
      </x:c>
    </x:row>
    <x:row r="620">
      <x:c r="A620" t="str">
        <x:v>O000619</x:v>
      </x:c>
      <x:c r="B620" s="20" t="n">
        <x:v>46145</x:v>
      </x:c>
      <x:c r="C620" t="str">
        <x:v>C0001</x:v>
      </x:c>
      <x:c r="D620" t="str">
        <x:v>Annapurna Cafe 1</x:v>
      </x:c>
      <x:c r="E620" t="str">
        <x:v>Hotel</x:v>
      </x:c>
      <x:c r="F620" t="str">
        <x:v>Davanagere</x:v>
      </x:c>
      <x:c r="G620" t="str">
        <x:v>Kavya</x:v>
      </x:c>
      <x:c r="H620" t="str">
        <x:v>P039</x:v>
      </x:c>
      <x:c r="I620" t="str">
        <x:v>Ice Cream 4L</x:v>
      </x:c>
      <x:c r="J620" t="str">
        <x:v>Frozen</x:v>
      </x:c>
      <x:c r="K620" t="str">
        <x:v>Amul</x:v>
      </x:c>
      <x:c r="L620" s="22" t="n">
        <x:v>480</x:v>
      </x:c>
      <x:c r="M620" t="n">
        <x:v>1</x:v>
      </x:c>
      <x:c r="N620" s="24" t="n">
        <x:v>0.08</x:v>
      </x:c>
      <x:c r="O620" s="22" t="n">
        <x:f>L620*M620</x:f>
        <x:v>480</x:v>
      </x:c>
      <x:c r="P620" s="22" t="n">
        <x:f>O620*(1-N620)</x:f>
        <x:v>441.6</x:v>
      </x:c>
      <x:c r="Q620" s="22" t="n">
        <x:v>420</x:v>
      </x:c>
      <x:c r="R620" s="22" t="n">
        <x:f>Q620*M620</x:f>
        <x:v>420</x:v>
      </x:c>
      <x:c r="S620" s="22" t="n">
        <x:f>P620-R620</x:f>
        <x:v>21.600000000000023</x:v>
      </x:c>
      <x:c r="T620" t="str">
        <x:v>Bank Transfer</x:v>
      </x:c>
      <x:c r="U620" t="str">
        <x:v>Paid</x:v>
      </x:c>
      <x:c r="V620" t="str">
        <x:v>Cancelled</x:v>
      </x:c>
      <x:c r="W620" t="n">
        <x:v>1</x:v>
      </x:c>
      <x:c r="X620" t="str">
        <x:v>Cancelled Order</x:v>
      </x:c>
      <x:c r="Y620" t="str">
        <x:v>WhatsApp</x:v>
      </x:c>
    </x:row>
    <x:row r="621">
      <x:c r="A621" t="str">
        <x:v>O000620</x:v>
      </x:c>
      <x:c r="B621" s="20" t="n">
        <x:v>45737</x:v>
      </x:c>
      <x:c r="C621" t="str">
        <x:v>C0138</x:v>
      </x:c>
      <x:c r="D621" t="str">
        <x:v>New Mart 138</x:v>
      </x:c>
      <x:c r="E621" t="str">
        <x:v>Restaurant</x:v>
      </x:c>
      <x:c r="F621" t="str">
        <x:v>Bengaluru</x:v>
      </x:c>
      <x:c r="G621" t="str">
        <x:v>Ramesh</x:v>
      </x:c>
      <x:c r="H621" t="str">
        <x:v>P006</x:v>
      </x:c>
      <x:c r="I621" t="str">
        <x:v>Moong Dal 5kg</x:v>
      </x:c>
      <x:c r="J621" t="str">
        <x:v>Pulses</x:v>
      </x:c>
      <x:c r="K621" t="str">
        <x:v>Local Select</x:v>
      </x:c>
      <x:c r="L621" s="22" t="n">
        <x:v>610</x:v>
      </x:c>
      <x:c r="M621" t="n">
        <x:v>35</x:v>
      </x:c>
      <x:c r="N621" s="24" t="n">
        <x:v>0</x:v>
      </x:c>
      <x:c r="O621" s="22" t="n">
        <x:f>L621*M621</x:f>
        <x:v>21350</x:v>
      </x:c>
      <x:c r="P621" s="22" t="n">
        <x:f>O621*(1-N621)</x:f>
        <x:v>21350</x:v>
      </x:c>
      <x:c r="Q621" s="22" t="n">
        <x:v>540</x:v>
      </x:c>
      <x:c r="R621" s="22" t="n">
        <x:f>Q621*M621</x:f>
        <x:v>18900</x:v>
      </x:c>
      <x:c r="S621" s="22" t="n">
        <x:f>P621-R621</x:f>
        <x:v>2450</x:v>
      </x:c>
      <x:c r="T621" t="str">
        <x:v>Credit</x:v>
      </x:c>
      <x:c r="U621" t="str">
        <x:v>Paid</x:v>
      </x:c>
      <x:c r="V621" t="str">
        <x:v>Delivered</x:v>
      </x:c>
      <x:c r="W621" t="n">
        <x:v>0</x:v>
      </x:c>
      <x:c r="X621" t="str"/>
      <x:c r="Y621" t="str">
        <x:v>WhatsApp</x:v>
      </x:c>
    </x:row>
    <x:row r="622">
      <x:c r="A622" t="str">
        <x:v>O000621</x:v>
      </x:c>
      <x:c r="B622" s="20" t="n">
        <x:v>45839</x:v>
      </x:c>
      <x:c r="C622" t="str">
        <x:v>C0092</x:v>
      </x:c>
      <x:c r="D622" t="str">
        <x:v>Cafe Restaurant 92</x:v>
      </x:c>
      <x:c r="E622" t="str">
        <x:v>Canteen</x:v>
      </x:c>
      <x:c r="F622" t="str">
        <x:v>Hubballi</x:v>
      </x:c>
      <x:c r="G622" t="str">
        <x:v>Vikram</x:v>
      </x:c>
      <x:c r="H622" t="str">
        <x:v>P025</x:v>
      </x:c>
      <x:c r="I622" t="str">
        <x:v>Potato Chips 100g</x:v>
      </x:c>
      <x:c r="J622" t="str">
        <x:v>Snacks</x:v>
      </x:c>
      <x:c r="K622" t="str">
        <x:v>Lay's</x:v>
      </x:c>
      <x:c r="L622" s="22" t="n">
        <x:v>35</x:v>
      </x:c>
      <x:c r="M622" t="n">
        <x:v>1</x:v>
      </x:c>
      <x:c r="N622" s="24" t="n">
        <x:v>0</x:v>
      </x:c>
      <x:c r="O622" s="22" t="n">
        <x:f>L622*M622</x:f>
        <x:v>35</x:v>
      </x:c>
      <x:c r="P622" s="22" t="n">
        <x:f>O622*(1-N622)</x:f>
        <x:v>35</x:v>
      </x:c>
      <x:c r="Q622" s="22" t="n">
        <x:v>27</x:v>
      </x:c>
      <x:c r="R622" s="22" t="n">
        <x:f>Q622*M622</x:f>
        <x:v>27</x:v>
      </x:c>
      <x:c r="S622" s="22" t="n">
        <x:f>P622-R622</x:f>
        <x:v>8</x:v>
      </x:c>
      <x:c r="T622" t="str">
        <x:v>Cash</x:v>
      </x:c>
      <x:c r="U622" t="str">
        <x:v>Overdue</x:v>
      </x:c>
      <x:c r="V622" t="str">
        <x:v>Delivered</x:v>
      </x:c>
      <x:c r="W622" t="n">
        <x:v>1</x:v>
      </x:c>
      <x:c r="X622" t="str">
        <x:v>Quality Issue</x:v>
      </x:c>
      <x:c r="Y622" t="str">
        <x:v>Field Visit</x:v>
      </x:c>
    </x:row>
    <x:row r="623">
      <x:c r="A623" t="str">
        <x:v>O000622</x:v>
      </x:c>
      <x:c r="B623" s="20" t="n">
        <x:v>45968</x:v>
      </x:c>
      <x:c r="C623" t="str">
        <x:v>C0209</x:v>
      </x:c>
      <x:c r="D623" t="str">
        <x:v>Shree Hotel 209</x:v>
      </x:c>
      <x:c r="E623" t="str">
        <x:v>Restaurant</x:v>
      </x:c>
      <x:c r="F623" t="str">
        <x:v>Tumakuru</x:v>
      </x:c>
      <x:c r="G623" t="str">
        <x:v>Ramesh</x:v>
      </x:c>
      <x:c r="H623" t="str">
        <x:v>P040</x:v>
      </x:c>
      <x:c r="I623" t="str">
        <x:v>Bread Loaf 400g</x:v>
      </x:c>
      <x:c r="J623" t="str">
        <x:v>Bakery</x:v>
      </x:c>
      <x:c r="K623" t="str">
        <x:v>Britannia</x:v>
      </x:c>
      <x:c r="L623" s="22" t="n">
        <x:v>45</x:v>
      </x:c>
      <x:c r="M623" t="n">
        <x:v>15</x:v>
      </x:c>
      <x:c r="N623" s="24" t="n">
        <x:v>0</x:v>
      </x:c>
      <x:c r="O623" s="22" t="n">
        <x:f>L623*M623</x:f>
        <x:v>675</x:v>
      </x:c>
      <x:c r="P623" s="22" t="n">
        <x:f>O623*(1-N623)</x:f>
        <x:v>675</x:v>
      </x:c>
      <x:c r="Q623" s="22" t="n">
        <x:v>35</x:v>
      </x:c>
      <x:c r="R623" s="22" t="n">
        <x:f>Q623*M623</x:f>
        <x:v>525</x:v>
      </x:c>
      <x:c r="S623" s="22" t="n">
        <x:f>P623-R623</x:f>
        <x:v>150</x:v>
      </x:c>
      <x:c r="T623" t="str">
        <x:v>Credit</x:v>
      </x:c>
      <x:c r="U623" t="str">
        <x:v>Overdue</x:v>
      </x:c>
      <x:c r="V623" t="str">
        <x:v>Delivered</x:v>
      </x:c>
      <x:c r="W623" t="n">
        <x:v>0</x:v>
      </x:c>
      <x:c r="X623" t="str"/>
      <x:c r="Y623" t="str">
        <x:v>Existing Customer</x:v>
      </x:c>
    </x:row>
    <x:row r="624">
      <x:c r="A624" t="str">
        <x:v>O000623</x:v>
      </x:c>
      <x:c r="B624" s="20" t="n">
        <x:v>46063</x:v>
      </x:c>
      <x:c r="C624" t="str">
        <x:v>C0051</x:v>
      </x:c>
      <x:c r="D624" t="str">
        <x:v>Cafe Hotel 51</x:v>
      </x:c>
      <x:c r="E624" t="str">
        <x:v>Kirana</x:v>
      </x:c>
      <x:c r="F624" t="str">
        <x:v>Tumakuru</x:v>
      </x:c>
      <x:c r="G624" t="str">
        <x:v>Arjun</x:v>
      </x:c>
      <x:c r="H624" t="str">
        <x:v>P041</x:v>
      </x:c>
      <x:c r="I624" t="str">
        <x:v>Burger Bun 6pc</x:v>
      </x:c>
      <x:c r="J624" t="str">
        <x:v>Bakery</x:v>
      </x:c>
      <x:c r="K624" t="str">
        <x:v>Modern</x:v>
      </x:c>
      <x:c r="L624" s="22" t="n">
        <x:v>42</x:v>
      </x:c>
      <x:c r="M624" t="n">
        <x:v>8</x:v>
      </x:c>
      <x:c r="N624" s="24" t="n">
        <x:v>0.08</x:v>
      </x:c>
      <x:c r="O624" s="22" t="n">
        <x:f>L624*M624</x:f>
        <x:v>336</x:v>
      </x:c>
      <x:c r="P624" s="22" t="n">
        <x:f>O624*(1-N624)</x:f>
        <x:v>309.12</x:v>
      </x:c>
      <x:c r="Q624" s="22" t="n">
        <x:v>32</x:v>
      </x:c>
      <x:c r="R624" s="22" t="n">
        <x:f>Q624*M624</x:f>
        <x:v>256</x:v>
      </x:c>
      <x:c r="S624" s="22" t="n">
        <x:f>P624-R624</x:f>
        <x:v>53.120000000000005</x:v>
      </x:c>
      <x:c r="T624" t="str">
        <x:v>Credit</x:v>
      </x:c>
      <x:c r="U624" t="str">
        <x:v>Paid</x:v>
      </x:c>
      <x:c r="V624" t="str">
        <x:v>Delivered</x:v>
      </x:c>
      <x:c r="W624" t="n">
        <x:v>0</x:v>
      </x:c>
      <x:c r="X624" t="str"/>
      <x:c r="Y624" t="str">
        <x:v>Existing Customer</x:v>
      </x:c>
    </x:row>
    <x:row r="625">
      <x:c r="A625" t="str">
        <x:v>O000624</x:v>
      </x:c>
      <x:c r="B625" s="20" t="n">
        <x:v>45837</x:v>
      </x:c>
      <x:c r="C625" t="str">
        <x:v>C0155</x:v>
      </x:c>
      <x:c r="D625" t="str">
        <x:v>New Mart 155</x:v>
      </x:c>
      <x:c r="E625" t="str">
        <x:v>Hotel</x:v>
      </x:c>
      <x:c r="F625" t="str">
        <x:v>Mysuru</x:v>
      </x:c>
      <x:c r="G625" t="str">
        <x:v>Sneha</x:v>
      </x:c>
      <x:c r="H625" t="str">
        <x:v>P037</x:v>
      </x:c>
      <x:c r="I625" t="str">
        <x:v>Frozen Peas 1kg</x:v>
      </x:c>
      <x:c r="J625" t="str">
        <x:v>Frozen</x:v>
      </x:c>
      <x:c r="K625" t="str">
        <x:v>Safal</x:v>
      </x:c>
      <x:c r="L625" s="22" t="n">
        <x:v>155</x:v>
      </x:c>
      <x:c r="M625" t="n">
        <x:v>5</x:v>
      </x:c>
      <x:c r="N625" s="24" t="n">
        <x:v>0.03</x:v>
      </x:c>
      <x:c r="O625" s="22" t="n">
        <x:f>L625*M625</x:f>
        <x:v>775</x:v>
      </x:c>
      <x:c r="P625" s="22" t="n">
        <x:f>O625*(1-N625)</x:f>
        <x:v>751.75</x:v>
      </x:c>
      <x:c r="Q625" s="22" t="n">
        <x:v>138</x:v>
      </x:c>
      <x:c r="R625" s="22" t="n">
        <x:f>Q625*M625</x:f>
        <x:v>690</x:v>
      </x:c>
      <x:c r="S625" s="22" t="n">
        <x:f>P625-R625</x:f>
        <x:v>61.75</x:v>
      </x:c>
      <x:c r="T625" t="str">
        <x:v>UPI</x:v>
      </x:c>
      <x:c r="U625" t="str">
        <x:v>Paid</x:v>
      </x:c>
      <x:c r="V625" t="str">
        <x:v>Delayed</x:v>
      </x:c>
      <x:c r="W625" t="n">
        <x:v>0</x:v>
      </x:c>
      <x:c r="X625" t="str"/>
      <x:c r="Y625" t="str">
        <x:v>Referral</x:v>
      </x:c>
    </x:row>
    <x:row r="626">
      <x:c r="A626" t="str">
        <x:v>O000625</x:v>
      </x:c>
      <x:c r="B626" s="20" t="n">
        <x:v>45854</x:v>
      </x:c>
      <x:c r="C626" t="str">
        <x:v>C0187</x:v>
      </x:c>
      <x:c r="D626" t="str">
        <x:v>City Cafe 187</x:v>
      </x:c>
      <x:c r="E626" t="str">
        <x:v>Hotel</x:v>
      </x:c>
      <x:c r="F626" t="str">
        <x:v>Mysuru</x:v>
      </x:c>
      <x:c r="G626" t="str">
        <x:v>Priya</x:v>
      </x:c>
      <x:c r="H626" t="str">
        <x:v>P018</x:v>
      </x:c>
      <x:c r="I626" t="str">
        <x:v>Paneer 1kg</x:v>
      </x:c>
      <x:c r="J626" t="str">
        <x:v>Dairy</x:v>
      </x:c>
      <x:c r="K626" t="str">
        <x:v>Milky Mist</x:v>
      </x:c>
      <x:c r="L626" s="22" t="n">
        <x:v>410</x:v>
      </x:c>
      <x:c r="M626" t="n">
        <x:v>2</x:v>
      </x:c>
      <x:c r="N626" s="24" t="n">
        <x:v>0.1</x:v>
      </x:c>
      <x:c r="O626" s="22" t="n">
        <x:f>L626*M626</x:f>
        <x:v>820</x:v>
      </x:c>
      <x:c r="P626" s="22" t="n">
        <x:f>O626*(1-N626)</x:f>
        <x:v>738</x:v>
      </x:c>
      <x:c r="Q626" s="22" t="n">
        <x:v>370</x:v>
      </x:c>
      <x:c r="R626" s="22" t="n">
        <x:f>Q626*M626</x:f>
        <x:v>740</x:v>
      </x:c>
      <x:c r="S626" s="22" t="n">
        <x:f>P626-R626</x:f>
        <x:v>-2</x:v>
      </x:c>
      <x:c r="T626" t="str">
        <x:v>Cash</x:v>
      </x:c>
      <x:c r="U626" t="str">
        <x:v>Paid</x:v>
      </x:c>
      <x:c r="V626" t="str">
        <x:v>Delivered</x:v>
      </x:c>
      <x:c r="W626" t="n">
        <x:v>2</x:v>
      </x:c>
      <x:c r="X626" t="str">
        <x:v>Damaged</x:v>
      </x:c>
      <x:c r="Y626" t="str">
        <x:v>Field Visit</x:v>
      </x:c>
    </x:row>
    <x:row r="627">
      <x:c r="A627" t="str">
        <x:v>O000626</x:v>
      </x:c>
      <x:c r="B627" s="20" t="n">
        <x:v>45782</x:v>
      </x:c>
      <x:c r="C627" t="str">
        <x:v>C0105</x:v>
      </x:c>
      <x:c r="D627" t="str">
        <x:v>Foodie Restaurant 105</x:v>
      </x:c>
      <x:c r="E627" t="str">
        <x:v>Supermarket</x:v>
      </x:c>
      <x:c r="F627" t="str">
        <x:v>Bengaluru</x:v>
      </x:c>
      <x:c r="G627" t="str">
        <x:v>Arjun</x:v>
      </x:c>
      <x:c r="H627" t="str">
        <x:v>P018</x:v>
      </x:c>
      <x:c r="I627" t="str">
        <x:v>Paneer 1kg</x:v>
      </x:c>
      <x:c r="J627" t="str">
        <x:v>Dairy</x:v>
      </x:c>
      <x:c r="K627" t="str">
        <x:v>Milky Mist</x:v>
      </x:c>
      <x:c r="L627" s="22" t="n">
        <x:v>410</x:v>
      </x:c>
      <x:c r="M627" t="n">
        <x:v>34</x:v>
      </x:c>
      <x:c r="N627" s="24" t="n">
        <x:v>0.03</x:v>
      </x:c>
      <x:c r="O627" s="22" t="n">
        <x:f>L627*M627</x:f>
        <x:v>13940</x:v>
      </x:c>
      <x:c r="P627" s="22" t="n">
        <x:f>O627*(1-N627)</x:f>
        <x:v>13521.8</x:v>
      </x:c>
      <x:c r="Q627" s="22" t="n">
        <x:v>370</x:v>
      </x:c>
      <x:c r="R627" s="22" t="n">
        <x:f>Q627*M627</x:f>
        <x:v>12580</x:v>
      </x:c>
      <x:c r="S627" s="22" t="n">
        <x:f>P627-R627</x:f>
        <x:v>941.7999999999993</x:v>
      </x:c>
      <x:c r="T627" t="str">
        <x:v>Cash</x:v>
      </x:c>
      <x:c r="U627" t="str">
        <x:v>Paid</x:v>
      </x:c>
      <x:c r="V627" t="str">
        <x:v>Delivered</x:v>
      </x:c>
      <x:c r="W627" t="n">
        <x:v>0</x:v>
      </x:c>
      <x:c r="X627" t="str"/>
      <x:c r="Y627" t="str">
        <x:v>Referral</x:v>
      </x:c>
    </x:row>
    <x:row r="628">
      <x:c r="A628" t="str">
        <x:v>O000627</x:v>
      </x:c>
      <x:c r="B628" s="20" t="n">
        <x:v>46203</x:v>
      </x:c>
      <x:c r="C628" t="str">
        <x:v>C0236</x:v>
      </x:c>
      <x:c r="D628" t="str">
        <x:v>Foodie Stores 236</x:v>
      </x:c>
      <x:c r="E628" t="str">
        <x:v>Kirana</x:v>
      </x:c>
      <x:c r="F628" t="str">
        <x:v>Bengaluru</x:v>
      </x:c>
      <x:c r="G628" t="str">
        <x:v>Ramesh</x:v>
      </x:c>
      <x:c r="H628" t="str">
        <x:v>P027</x:v>
      </x:c>
      <x:c r="I628" t="str">
        <x:v>Biscuits 120g</x:v>
      </x:c>
      <x:c r="J628" t="str">
        <x:v>Snacks</x:v>
      </x:c>
      <x:c r="K628" t="str">
        <x:v>Parle-G</x:v>
      </x:c>
      <x:c r="L628" s="22" t="n">
        <x:v>12</x:v>
      </x:c>
      <x:c r="M628" t="n">
        <x:v>29</x:v>
      </x:c>
      <x:c r="N628" s="24" t="n">
        <x:v>0.02</x:v>
      </x:c>
      <x:c r="O628" s="22" t="n">
        <x:f>L628*M628</x:f>
        <x:v>348</x:v>
      </x:c>
      <x:c r="P628" s="22" t="n">
        <x:f>O628*(1-N628)</x:f>
        <x:v>341.04</x:v>
      </x:c>
      <x:c r="Q628" s="22" t="n">
        <x:v>9</x:v>
      </x:c>
      <x:c r="R628" s="22" t="n">
        <x:f>Q628*M628</x:f>
        <x:v>261</x:v>
      </x:c>
      <x:c r="S628" s="22" t="n">
        <x:f>P628-R628</x:f>
        <x:v>80.04000000000002</x:v>
      </x:c>
      <x:c r="T628" t="str">
        <x:v>Credit</x:v>
      </x:c>
      <x:c r="U628" t="str">
        <x:v>Paid</x:v>
      </x:c>
      <x:c r="V628" t="str">
        <x:v>Delivered</x:v>
      </x:c>
      <x:c r="W628" t="n">
        <x:v>0</x:v>
      </x:c>
      <x:c r="X628" t="str"/>
      <x:c r="Y628" t="str">
        <x:v>Outbound Call</x:v>
      </x:c>
    </x:row>
    <x:row r="629">
      <x:c r="A629" t="str">
        <x:v>O000628</x:v>
      </x:c>
      <x:c r="B629" s="20" t="n">
        <x:v>46091</x:v>
      </x:c>
      <x:c r="C629" t="str">
        <x:v>C0058</x:v>
      </x:c>
      <x:c r="D629" t="str">
        <x:v>Spice Kitchen 58</x:v>
      </x:c>
      <x:c r="E629" t="str">
        <x:v>Supermarket</x:v>
      </x:c>
      <x:c r="F629" t="str">
        <x:v>Davanagere</x:v>
      </x:c>
      <x:c r="G629" t="str">
        <x:v>Sneha</x:v>
      </x:c>
      <x:c r="H629" t="str">
        <x:v>P045</x:v>
      </x:c>
      <x:c r="I629" t="str">
        <x:v>Onion 25kg</x:v>
      </x:c>
      <x:c r="J629" t="str">
        <x:v>Fresh Produce</x:v>
      </x:c>
      <x:c r="K629" t="str">
        <x:v>Local Market</x:v>
      </x:c>
      <x:c r="L629" s="22" t="n">
        <x:v>875</x:v>
      </x:c>
      <x:c r="M629" t="n">
        <x:v>5</x:v>
      </x:c>
      <x:c r="N629" s="24" t="n">
        <x:v>0.08</x:v>
      </x:c>
      <x:c r="O629" s="22" t="n">
        <x:f>L629*M629</x:f>
        <x:v>4375</x:v>
      </x:c>
      <x:c r="P629" s="22" t="n">
        <x:f>O629*(1-N629)</x:f>
        <x:v>4025</x:v>
      </x:c>
      <x:c r="Q629" s="22" t="n">
        <x:v>760</x:v>
      </x:c>
      <x:c r="R629" s="22" t="n">
        <x:f>Q629*M629</x:f>
        <x:v>3800</x:v>
      </x:c>
      <x:c r="S629" s="22" t="n">
        <x:f>P629-R629</x:f>
        <x:v>225</x:v>
      </x:c>
      <x:c r="T629" t="str">
        <x:v>Bank Transfer</x:v>
      </x:c>
      <x:c r="U629" t="str">
        <x:v>Paid</x:v>
      </x:c>
      <x:c r="V629" t="str">
        <x:v>Delivered</x:v>
      </x:c>
      <x:c r="W629" t="n">
        <x:v>1</x:v>
      </x:c>
      <x:c r="X629" t="str">
        <x:v>Damaged</x:v>
      </x:c>
      <x:c r="Y629" t="str">
        <x:v>WhatsApp</x:v>
      </x:c>
    </x:row>
    <x:row r="630">
      <x:c r="A630" t="str">
        <x:v>O000629</x:v>
      </x:c>
      <x:c r="B630" s="20" t="n">
        <x:v>46000</x:v>
      </x:c>
      <x:c r="C630" t="str">
        <x:v>C0007</x:v>
      </x:c>
      <x:c r="D630" t="str">
        <x:v>Mysore Stores 7</x:v>
      </x:c>
      <x:c r="E630" t="str">
        <x:v>Kirana</x:v>
      </x:c>
      <x:c r="F630" t="str">
        <x:v>Bengaluru</x:v>
      </x:c>
      <x:c r="G630" t="str">
        <x:v>Kavya</x:v>
      </x:c>
      <x:c r="H630" t="str">
        <x:v>P038</x:v>
      </x:c>
      <x:c r="I630" t="str">
        <x:v>French Fries 2.5kg</x:v>
      </x:c>
      <x:c r="J630" t="str">
        <x:v>Frozen</x:v>
      </x:c>
      <x:c r="K630" t="str">
        <x:v>McCain</x:v>
      </x:c>
      <x:c r="L630" s="22" t="n">
        <x:v>360</x:v>
      </x:c>
      <x:c r="M630" t="n">
        <x:v>17</x:v>
      </x:c>
      <x:c r="N630" s="24" t="n">
        <x:v>0</x:v>
      </x:c>
      <x:c r="O630" s="22" t="n">
        <x:f>L630*M630</x:f>
        <x:v>6120</x:v>
      </x:c>
      <x:c r="P630" s="22" t="n">
        <x:f>O630*(1-N630)</x:f>
        <x:v>6120</x:v>
      </x:c>
      <x:c r="Q630" s="22" t="n">
        <x:v>315</x:v>
      </x:c>
      <x:c r="R630" s="22" t="n">
        <x:f>Q630*M630</x:f>
        <x:v>5355</x:v>
      </x:c>
      <x:c r="S630" s="22" t="n">
        <x:f>P630-R630</x:f>
        <x:v>765</x:v>
      </x:c>
      <x:c r="T630" t="str">
        <x:v>Credit</x:v>
      </x:c>
      <x:c r="U630" t="str">
        <x:v>Paid</x:v>
      </x:c>
      <x:c r="V630" t="str">
        <x:v>Delivered</x:v>
      </x:c>
      <x:c r="W630" t="n">
        <x:v>0</x:v>
      </x:c>
      <x:c r="X630" t="str"/>
      <x:c r="Y630" t="str">
        <x:v>Field Visit</x:v>
      </x:c>
    </x:row>
    <x:row r="631">
      <x:c r="A631" t="str">
        <x:v>O000630</x:v>
      </x:c>
      <x:c r="B631" s="20" t="n">
        <x:v>46272</x:v>
      </x:c>
      <x:c r="C631" t="str">
        <x:v>C0061</x:v>
      </x:c>
      <x:c r="D631" t="str">
        <x:v>Spice Stores 61</x:v>
      </x:c>
      <x:c r="E631" t="str">
        <x:v>Restaurant</x:v>
      </x:c>
      <x:c r="F631" t="str">
        <x:v>Tumakuru</x:v>
      </x:c>
      <x:c r="G631" t="str">
        <x:v>Ramesh</x:v>
      </x:c>
      <x:c r="H631" t="str">
        <x:v>P005</x:v>
      </x:c>
      <x:c r="I631" t="str">
        <x:v>Chana Dal 5kg</x:v>
      </x:c>
      <x:c r="J631" t="str">
        <x:v>Pulses</x:v>
      </x:c>
      <x:c r="K631" t="str">
        <x:v>Local Select</x:v>
      </x:c>
      <x:c r="L631" s="22" t="n">
        <x:v>520</x:v>
      </x:c>
      <x:c r="M631" t="n">
        <x:v>40</x:v>
      </x:c>
      <x:c r="N631" s="24" t="n">
        <x:v>0.03</x:v>
      </x:c>
      <x:c r="O631" s="22" t="n">
        <x:f>L631*M631</x:f>
        <x:v>20800</x:v>
      </x:c>
      <x:c r="P631" s="22" t="n">
        <x:f>O631*(1-N631)</x:f>
        <x:v>20176</x:v>
      </x:c>
      <x:c r="Q631" s="22" t="n">
        <x:v>455</x:v>
      </x:c>
      <x:c r="R631" s="22" t="n">
        <x:f>Q631*M631</x:f>
        <x:v>18200</x:v>
      </x:c>
      <x:c r="S631" s="22" t="n">
        <x:f>P631-R631</x:f>
        <x:v>1976</x:v>
      </x:c>
      <x:c r="T631" t="str">
        <x:v>UPI</x:v>
      </x:c>
      <x:c r="U631" t="str">
        <x:v>Paid</x:v>
      </x:c>
      <x:c r="V631" t="str">
        <x:v>Delayed</x:v>
      </x:c>
      <x:c r="W631" t="n">
        <x:v>0</x:v>
      </x:c>
      <x:c r="X631" t="str"/>
      <x:c r="Y631" t="str">
        <x:v>Outbound Call</x:v>
      </x:c>
    </x:row>
    <x:row r="632">
      <x:c r="A632" t="str">
        <x:v>O000631</x:v>
      </x:c>
      <x:c r="B632" s="20" t="n">
        <x:v>46044</x:v>
      </x:c>
      <x:c r="C632" t="str">
        <x:v>C0016</x:v>
      </x:c>
      <x:c r="D632" t="str">
        <x:v>Royal Canteen 16</x:v>
      </x:c>
      <x:c r="E632" t="str">
        <x:v>Cafe</x:v>
      </x:c>
      <x:c r="F632" t="str">
        <x:v>Davanagere</x:v>
      </x:c>
      <x:c r="G632" t="str">
        <x:v>Megha</x:v>
      </x:c>
      <x:c r="H632" t="str">
        <x:v>P003</x:v>
      </x:c>
      <x:c r="I632" t="str">
        <x:v>Basmati Rice 5kg</x:v>
      </x:c>
      <x:c r="J632" t="str">
        <x:v>Staples</x:v>
      </x:c>
      <x:c r="K632" t="str">
        <x:v>India Gate</x:v>
      </x:c>
      <x:c r="L632" s="22" t="n">
        <x:v>690</x:v>
      </x:c>
      <x:c r="M632" t="n">
        <x:v>21</x:v>
      </x:c>
      <x:c r="N632" s="24" t="n">
        <x:v>0.08</x:v>
      </x:c>
      <x:c r="O632" s="22" t="n">
        <x:f>L632*M632</x:f>
        <x:v>14490</x:v>
      </x:c>
      <x:c r="P632" s="22" t="n">
        <x:f>O632*(1-N632)</x:f>
        <x:v>13330.800000000001</x:v>
      </x:c>
      <x:c r="Q632" s="22" t="n">
        <x:v>610</x:v>
      </x:c>
      <x:c r="R632" s="22" t="n">
        <x:f>Q632*M632</x:f>
        <x:v>12810</x:v>
      </x:c>
      <x:c r="S632" s="22" t="n">
        <x:f>P632-R632</x:f>
        <x:v>520.8000000000011</x:v>
      </x:c>
      <x:c r="T632" t="str">
        <x:v>UPI</x:v>
      </x:c>
      <x:c r="U632" t="str">
        <x:v>Pending</x:v>
      </x:c>
      <x:c r="V632" t="str">
        <x:v>Delivered</x:v>
      </x:c>
      <x:c r="W632" t="n">
        <x:v>0</x:v>
      </x:c>
      <x:c r="X632" t="str"/>
      <x:c r="Y632" t="str">
        <x:v>WhatsApp</x:v>
      </x:c>
    </x:row>
    <x:row r="633">
      <x:c r="A633" t="str">
        <x:v>O000632</x:v>
      </x:c>
      <x:c r="B633" s="20" t="n">
        <x:v>46100</x:v>
      </x:c>
      <x:c r="C633" t="str">
        <x:v>C0157</x:v>
      </x:c>
      <x:c r="D633" t="str">
        <x:v>Fresh Canteen 157</x:v>
      </x:c>
      <x:c r="E633" t="str">
        <x:v>Kirana</x:v>
      </x:c>
      <x:c r="F633" t="str">
        <x:v>Mangaluru</x:v>
      </x:c>
      <x:c r="G633" t="str">
        <x:v>Priya</x:v>
      </x:c>
      <x:c r="H633" t="str">
        <x:v>P041</x:v>
      </x:c>
      <x:c r="I633" t="str">
        <x:v>Burger Bun 6pc</x:v>
      </x:c>
      <x:c r="J633" t="str">
        <x:v>Bakery</x:v>
      </x:c>
      <x:c r="K633" t="str">
        <x:v>Modern</x:v>
      </x:c>
      <x:c r="L633" s="22" t="n">
        <x:v>42</x:v>
      </x:c>
      <x:c r="M633" t="n">
        <x:v>5</x:v>
      </x:c>
      <x:c r="N633" s="24" t="n">
        <x:v>0</x:v>
      </x:c>
      <x:c r="O633" s="22" t="n">
        <x:f>L633*M633</x:f>
        <x:v>210</x:v>
      </x:c>
      <x:c r="P633" s="22" t="n">
        <x:f>O633*(1-N633)</x:f>
        <x:v>210</x:v>
      </x:c>
      <x:c r="Q633" s="22" t="n">
        <x:v>32</x:v>
      </x:c>
      <x:c r="R633" s="22" t="n">
        <x:f>Q633*M633</x:f>
        <x:v>160</x:v>
      </x:c>
      <x:c r="S633" s="22" t="n">
        <x:f>P633-R633</x:f>
        <x:v>50</x:v>
      </x:c>
      <x:c r="T633" t="str">
        <x:v>UPI</x:v>
      </x:c>
      <x:c r="U633" t="str">
        <x:v>Paid</x:v>
      </x:c>
      <x:c r="V633" t="str">
        <x:v>Delivered</x:v>
      </x:c>
      <x:c r="W633" t="n">
        <x:v>0</x:v>
      </x:c>
      <x:c r="X633" t="str"/>
      <x:c r="Y633" t="str">
        <x:v>WhatsApp</x:v>
      </x:c>
    </x:row>
    <x:row r="634">
      <x:c r="A634" t="str">
        <x:v>O000633</x:v>
      </x:c>
      <x:c r="B634" s="20" t="n">
        <x:v>45896</x:v>
      </x:c>
      <x:c r="C634" t="str">
        <x:v>C0193</x:v>
      </x:c>
      <x:c r="D634" t="str">
        <x:v>Udupi Cafe 193</x:v>
      </x:c>
      <x:c r="E634" t="str">
        <x:v>Restaurant</x:v>
      </x:c>
      <x:c r="F634" t="str">
        <x:v>Hubballi</x:v>
      </x:c>
      <x:c r="G634" t="str">
        <x:v>Sneha</x:v>
      </x:c>
      <x:c r="H634" t="str">
        <x:v>P027</x:v>
      </x:c>
      <x:c r="I634" t="str">
        <x:v>Biscuits 120g</x:v>
      </x:c>
      <x:c r="J634" t="str">
        <x:v>Snacks</x:v>
      </x:c>
      <x:c r="K634" t="str">
        <x:v>Parle-G</x:v>
      </x:c>
      <x:c r="L634" s="22" t="n">
        <x:v>12</x:v>
      </x:c>
      <x:c r="M634" t="n">
        <x:v>39</x:v>
      </x:c>
      <x:c r="N634" s="24" t="n">
        <x:v>0.05</x:v>
      </x:c>
      <x:c r="O634" s="22" t="n">
        <x:f>L634*M634</x:f>
        <x:v>468</x:v>
      </x:c>
      <x:c r="P634" s="22" t="n">
        <x:f>O634*(1-N634)</x:f>
        <x:v>444.59999999999997</x:v>
      </x:c>
      <x:c r="Q634" s="22" t="n">
        <x:v>9</x:v>
      </x:c>
      <x:c r="R634" s="22" t="n">
        <x:f>Q634*M634</x:f>
        <x:v>351</x:v>
      </x:c>
      <x:c r="S634" s="22" t="n">
        <x:f>P634-R634</x:f>
        <x:v>93.59999999999997</x:v>
      </x:c>
      <x:c r="T634" t="str">
        <x:v>UPI</x:v>
      </x:c>
      <x:c r="U634" t="str">
        <x:v>Paid</x:v>
      </x:c>
      <x:c r="V634" t="str">
        <x:v>Delivered</x:v>
      </x:c>
      <x:c r="W634" t="n">
        <x:v>0</x:v>
      </x:c>
      <x:c r="X634" t="str"/>
      <x:c r="Y634" t="str">
        <x:v>Existing Customer</x:v>
      </x:c>
    </x:row>
    <x:row r="635">
      <x:c r="A635" t="str">
        <x:v>O000634</x:v>
      </x:c>
      <x:c r="B635" s="20" t="n">
        <x:v>45684</x:v>
      </x:c>
      <x:c r="C635" t="str">
        <x:v>C0087</x:v>
      </x:c>
      <x:c r="D635" t="str">
        <x:v>Namma Kitchen 87</x:v>
      </x:c>
      <x:c r="E635" t="str">
        <x:v>Kirana</x:v>
      </x:c>
      <x:c r="F635" t="str">
        <x:v>Bengaluru</x:v>
      </x:c>
      <x:c r="G635" t="str">
        <x:v>Priya</x:v>
      </x:c>
      <x:c r="H635" t="str">
        <x:v>P042</x:v>
      </x:c>
      <x:c r="I635" t="str">
        <x:v>Eggs 30pc Tray</x:v>
      </x:c>
      <x:c r="J635" t="str">
        <x:v>Protein</x:v>
      </x:c>
      <x:c r="K635" t="str">
        <x:v>Farm Fresh</x:v>
      </x:c>
      <x:c r="L635" s="22" t="n">
        <x:v>195</x:v>
      </x:c>
      <x:c r="M635" t="n">
        <x:v>30</x:v>
      </x:c>
      <x:c r="N635" s="24" t="n">
        <x:v>0.03</x:v>
      </x:c>
      <x:c r="O635" s="22" t="n">
        <x:f>L635*M635</x:f>
        <x:v>5850</x:v>
      </x:c>
      <x:c r="P635" s="22" t="n">
        <x:f>O635*(1-N635)</x:f>
        <x:v>5674.5</x:v>
      </x:c>
      <x:c r="Q635" s="22" t="n">
        <x:v>170</x:v>
      </x:c>
      <x:c r="R635" s="22" t="n">
        <x:f>Q635*M635</x:f>
        <x:v>5100</x:v>
      </x:c>
      <x:c r="S635" s="22" t="n">
        <x:f>P635-R635</x:f>
        <x:v>574.5</x:v>
      </x:c>
      <x:c r="T635" t="str">
        <x:v>Bank Transfer</x:v>
      </x:c>
      <x:c r="U635" t="str">
        <x:v>Paid</x:v>
      </x:c>
      <x:c r="V635" t="str">
        <x:v>Delivered</x:v>
      </x:c>
      <x:c r="W635" t="n">
        <x:v>0</x:v>
      </x:c>
      <x:c r="X635" t="str"/>
      <x:c r="Y635" t="str">
        <x:v>Outbound Call</x:v>
      </x:c>
    </x:row>
    <x:row r="636">
      <x:c r="A636" t="str">
        <x:v>O000635</x:v>
      </x:c>
      <x:c r="B636" s="20" t="n">
        <x:v>46244</x:v>
      </x:c>
      <x:c r="C636" t="str">
        <x:v>C0216</x:v>
      </x:c>
      <x:c r="D636" t="str">
        <x:v>Cafe Restaurant 216</x:v>
      </x:c>
      <x:c r="E636" t="str">
        <x:v>Canteen</x:v>
      </x:c>
      <x:c r="F636" t="str">
        <x:v>Bengaluru</x:v>
      </x:c>
      <x:c r="G636" t="str">
        <x:v>Vikram</x:v>
      </x:c>
      <x:c r="H636" t="str">
        <x:v>P013</x:v>
      </x:c>
      <x:c r="I636" t="str">
        <x:v>Atta 10kg</x:v>
      </x:c>
      <x:c r="J636" t="str">
        <x:v>Flour</x:v>
      </x:c>
      <x:c r="K636" t="str">
        <x:v>Aashirvaad</x:v>
      </x:c>
      <x:c r="L636" s="22" t="n">
        <x:v>560</x:v>
      </x:c>
      <x:c r="M636" t="n">
        <x:v>9</x:v>
      </x:c>
      <x:c r="N636" s="24" t="n">
        <x:v>0.05</x:v>
      </x:c>
      <x:c r="O636" s="22" t="n">
        <x:f>L636*M636</x:f>
        <x:v>5040</x:v>
      </x:c>
      <x:c r="P636" s="22" t="n">
        <x:f>O636*(1-N636)</x:f>
        <x:v>4788</x:v>
      </x:c>
      <x:c r="Q636" s="22" t="n">
        <x:v>495</x:v>
      </x:c>
      <x:c r="R636" s="22" t="n">
        <x:f>Q636*M636</x:f>
        <x:v>4455</x:v>
      </x:c>
      <x:c r="S636" s="22" t="n">
        <x:f>P636-R636</x:f>
        <x:v>333</x:v>
      </x:c>
      <x:c r="T636" t="str">
        <x:v>Cash</x:v>
      </x:c>
      <x:c r="U636" t="str">
        <x:v>Paid</x:v>
      </x:c>
      <x:c r="V636" t="str">
        <x:v>Delivered</x:v>
      </x:c>
      <x:c r="W636" t="n">
        <x:v>0</x:v>
      </x:c>
      <x:c r="X636" t="str"/>
      <x:c r="Y636" t="str">
        <x:v>WhatsApp</x:v>
      </x:c>
    </x:row>
    <x:row r="637">
      <x:c r="A637" t="str">
        <x:v>O000636</x:v>
      </x:c>
      <x:c r="B637" s="20" t="n">
        <x:v>45719</x:v>
      </x:c>
      <x:c r="C637" t="str">
        <x:v>C0036</x:v>
      </x:c>
      <x:c r="D637" t="str">
        <x:v>Grand Hotel 36</x:v>
      </x:c>
      <x:c r="E637" t="str">
        <x:v>Canteen</x:v>
      </x:c>
      <x:c r="F637" t="str">
        <x:v>Tumakuru</x:v>
      </x:c>
      <x:c r="G637" t="str">
        <x:v>Kavya</x:v>
      </x:c>
      <x:c r="H637" t="str">
        <x:v>P003</x:v>
      </x:c>
      <x:c r="I637" t="str">
        <x:v>Basmati Rice 5kg</x:v>
      </x:c>
      <x:c r="J637" t="str">
        <x:v>Staples</x:v>
      </x:c>
      <x:c r="K637" t="str">
        <x:v>India Gate</x:v>
      </x:c>
      <x:c r="L637" s="22" t="n">
        <x:v>690</x:v>
      </x:c>
      <x:c r="M637" t="n">
        <x:v>9</x:v>
      </x:c>
      <x:c r="N637" s="24" t="n">
        <x:v>0.02</x:v>
      </x:c>
      <x:c r="O637" s="22" t="n">
        <x:f>L637*M637</x:f>
        <x:v>6210</x:v>
      </x:c>
      <x:c r="P637" s="22" t="n">
        <x:f>O637*(1-N637)</x:f>
        <x:v>6085.8</x:v>
      </x:c>
      <x:c r="Q637" s="22" t="n">
        <x:v>610</x:v>
      </x:c>
      <x:c r="R637" s="22" t="n">
        <x:f>Q637*M637</x:f>
        <x:v>5490</x:v>
      </x:c>
      <x:c r="S637" s="22" t="n">
        <x:f>P637-R637</x:f>
        <x:v>595.8000000000002</x:v>
      </x:c>
      <x:c r="T637" t="str">
        <x:v>Credit</x:v>
      </x:c>
      <x:c r="U637" t="str">
        <x:v>Paid</x:v>
      </x:c>
      <x:c r="V637" t="str">
        <x:v>Cancelled</x:v>
      </x:c>
      <x:c r="W637" t="n">
        <x:v>9</x:v>
      </x:c>
      <x:c r="X637" t="str">
        <x:v>Cancelled Order</x:v>
      </x:c>
      <x:c r="Y637" t="str">
        <x:v>Field Visit</x:v>
      </x:c>
    </x:row>
    <x:row r="638">
      <x:c r="A638" t="str">
        <x:v>O000637</x:v>
      </x:c>
      <x:c r="B638" s="20" t="n">
        <x:v>45807</x:v>
      </x:c>
      <x:c r="C638" t="str">
        <x:v>C0227</x:v>
      </x:c>
      <x:c r="D638" t="str">
        <x:v>Metro Restaurant 227</x:v>
      </x:c>
      <x:c r="E638" t="str">
        <x:v>Restaurant</x:v>
      </x:c>
      <x:c r="F638" t="str">
        <x:v>Davanagere</x:v>
      </x:c>
      <x:c r="G638" t="str">
        <x:v>Kavya</x:v>
      </x:c>
      <x:c r="H638" t="str">
        <x:v>P035</x:v>
      </x:c>
      <x:c r="I638" t="str">
        <x:v>Coriander Powder 1kg</x:v>
      </x:c>
      <x:c r="J638" t="str">
        <x:v>Spices</x:v>
      </x:c>
      <x:c r="K638" t="str">
        <x:v>Everest</x:v>
      </x:c>
      <x:c r="L638" s="22" t="n">
        <x:v>280</x:v>
      </x:c>
      <x:c r="M638" t="n">
        <x:v>10</x:v>
      </x:c>
      <x:c r="N638" s="24" t="n">
        <x:v>0.03</x:v>
      </x:c>
      <x:c r="O638" s="22" t="n">
        <x:f>L638*M638</x:f>
        <x:v>2800</x:v>
      </x:c>
      <x:c r="P638" s="22" t="n">
        <x:f>O638*(1-N638)</x:f>
        <x:v>2716</x:v>
      </x:c>
      <x:c r="Q638" s="22" t="n">
        <x:v>245</x:v>
      </x:c>
      <x:c r="R638" s="22" t="n">
        <x:f>Q638*M638</x:f>
        <x:v>2450</x:v>
      </x:c>
      <x:c r="S638" s="22" t="n">
        <x:f>P638-R638</x:f>
        <x:v>266</x:v>
      </x:c>
      <x:c r="T638" t="str">
        <x:v>Cash</x:v>
      </x:c>
      <x:c r="U638" t="str">
        <x:v>Paid</x:v>
      </x:c>
      <x:c r="V638" t="str">
        <x:v>Delivered</x:v>
      </x:c>
      <x:c r="W638" t="n">
        <x:v>0</x:v>
      </x:c>
      <x:c r="X638" t="str"/>
      <x:c r="Y638" t="str">
        <x:v>Referral</x:v>
      </x:c>
    </x:row>
    <x:row r="639">
      <x:c r="A639" t="str">
        <x:v>O000638</x:v>
      </x:c>
      <x:c r="B639" s="20" t="n">
        <x:v>45713</x:v>
      </x:c>
      <x:c r="C639" t="str">
        <x:v>C0130</x:v>
      </x:c>
      <x:c r="D639" t="str">
        <x:v>Foodie Cafe 130</x:v>
      </x:c>
      <x:c r="E639" t="str">
        <x:v>Restaurant</x:v>
      </x:c>
      <x:c r="F639" t="str">
        <x:v>Davanagere</x:v>
      </x:c>
      <x:c r="G639" t="str">
        <x:v>Megha</x:v>
      </x:c>
      <x:c r="H639" t="str">
        <x:v>P036</x:v>
      </x:c>
      <x:c r="I639" t="str">
        <x:v>Garam Masala 500g</x:v>
      </x:c>
      <x:c r="J639" t="str">
        <x:v>Spices</x:v>
      </x:c>
      <x:c r="K639" t="str">
        <x:v>MDH</x:v>
      </x:c>
      <x:c r="L639" s="22" t="n">
        <x:v>265</x:v>
      </x:c>
      <x:c r="M639" t="n">
        <x:v>28</x:v>
      </x:c>
      <x:c r="N639" s="24" t="n">
        <x:v>0.02</x:v>
      </x:c>
      <x:c r="O639" s="22" t="n">
        <x:f>L639*M639</x:f>
        <x:v>7420</x:v>
      </x:c>
      <x:c r="P639" s="22" t="n">
        <x:f>O639*(1-N639)</x:f>
        <x:v>7271.599999999999</x:v>
      </x:c>
      <x:c r="Q639" s="22" t="n">
        <x:v>230</x:v>
      </x:c>
      <x:c r="R639" s="22" t="n">
        <x:f>Q639*M639</x:f>
        <x:v>6440</x:v>
      </x:c>
      <x:c r="S639" s="22" t="n">
        <x:f>P639-R639</x:f>
        <x:v>831.5999999999995</x:v>
      </x:c>
      <x:c r="T639" t="str">
        <x:v>Bank Transfer</x:v>
      </x:c>
      <x:c r="U639" t="str">
        <x:v>Paid</x:v>
      </x:c>
      <x:c r="V639" t="str">
        <x:v>Delivered</x:v>
      </x:c>
      <x:c r="W639" t="n">
        <x:v>0</x:v>
      </x:c>
      <x:c r="X639" t="str"/>
      <x:c r="Y639" t="str">
        <x:v>Field Visit</x:v>
      </x:c>
    </x:row>
    <x:row r="640">
      <x:c r="A640" t="str">
        <x:v>O000639</x:v>
      </x:c>
      <x:c r="B640" s="20" t="n">
        <x:v>46136</x:v>
      </x:c>
      <x:c r="C640" t="str">
        <x:v>C0122</x:v>
      </x:c>
      <x:c r="D640" t="str">
        <x:v>Namma Restaurant 122</x:v>
      </x:c>
      <x:c r="E640" t="str">
        <x:v>Kirana</x:v>
      </x:c>
      <x:c r="F640" t="str">
        <x:v>Hubballi</x:v>
      </x:c>
      <x:c r="G640" t="str">
        <x:v>Sneha</x:v>
      </x:c>
      <x:c r="H640" t="str">
        <x:v>P045</x:v>
      </x:c>
      <x:c r="I640" t="str">
        <x:v>Onion 25kg</x:v>
      </x:c>
      <x:c r="J640" t="str">
        <x:v>Fresh Produce</x:v>
      </x:c>
      <x:c r="K640" t="str">
        <x:v>Local Market</x:v>
      </x:c>
      <x:c r="L640" s="22" t="n">
        <x:v>875</x:v>
      </x:c>
      <x:c r="M640" t="n">
        <x:v>39</x:v>
      </x:c>
      <x:c r="N640" s="24" t="n">
        <x:v>0.05</x:v>
      </x:c>
      <x:c r="O640" s="22" t="n">
        <x:f>L640*M640</x:f>
        <x:v>34125</x:v>
      </x:c>
      <x:c r="P640" s="22" t="n">
        <x:f>O640*(1-N640)</x:f>
        <x:v>32418.75</x:v>
      </x:c>
      <x:c r="Q640" s="22" t="n">
        <x:v>760</x:v>
      </x:c>
      <x:c r="R640" s="22" t="n">
        <x:f>Q640*M640</x:f>
        <x:v>29640</x:v>
      </x:c>
      <x:c r="S640" s="22" t="n">
        <x:f>P640-R640</x:f>
        <x:v>2778.75</x:v>
      </x:c>
      <x:c r="T640" t="str">
        <x:v>Cash</x:v>
      </x:c>
      <x:c r="U640" t="str">
        <x:v>Paid</x:v>
      </x:c>
      <x:c r="V640" t="str">
        <x:v>Delivered</x:v>
      </x:c>
      <x:c r="W640" t="n">
        <x:v>0</x:v>
      </x:c>
      <x:c r="X640" t="str"/>
      <x:c r="Y640" t="str">
        <x:v>Outbound Call</x:v>
      </x:c>
    </x:row>
    <x:row r="641">
      <x:c r="A641" t="str">
        <x:v>O000640</x:v>
      </x:c>
      <x:c r="B641" s="20" t="n">
        <x:v>46165</x:v>
      </x:c>
      <x:c r="C641" t="str">
        <x:v>C0203</x:v>
      </x:c>
      <x:c r="D641" t="str">
        <x:v>Namma Mart 203</x:v>
      </x:c>
      <x:c r="E641" t="str">
        <x:v>Kirana</x:v>
      </x:c>
      <x:c r="F641" t="str">
        <x:v>Tumakuru</x:v>
      </x:c>
      <x:c r="G641" t="str">
        <x:v>Priya</x:v>
      </x:c>
      <x:c r="H641" t="str">
        <x:v>P003</x:v>
      </x:c>
      <x:c r="I641" t="str">
        <x:v>Basmati Rice 5kg</x:v>
      </x:c>
      <x:c r="J641" t="str">
        <x:v>Staples</x:v>
      </x:c>
      <x:c r="K641" t="str">
        <x:v>India Gate</x:v>
      </x:c>
      <x:c r="L641" s="22" t="n">
        <x:v>690</x:v>
      </x:c>
      <x:c r="M641" t="n">
        <x:v>15</x:v>
      </x:c>
      <x:c r="N641" s="24" t="n">
        <x:v>0.08</x:v>
      </x:c>
      <x:c r="O641" s="22" t="n">
        <x:f>L641*M641</x:f>
        <x:v>10350</x:v>
      </x:c>
      <x:c r="P641" s="22" t="n">
        <x:f>O641*(1-N641)</x:f>
        <x:v>9522</x:v>
      </x:c>
      <x:c r="Q641" s="22" t="n">
        <x:v>610</x:v>
      </x:c>
      <x:c r="R641" s="22" t="n">
        <x:f>Q641*M641</x:f>
        <x:v>9150</x:v>
      </x:c>
      <x:c r="S641" s="22" t="n">
        <x:f>P641-R641</x:f>
        <x:v>372</x:v>
      </x:c>
      <x:c r="T641" t="str">
        <x:v>Bank Transfer</x:v>
      </x:c>
      <x:c r="U641" t="str">
        <x:v>Paid</x:v>
      </x:c>
      <x:c r="V641" t="str">
        <x:v>Delivered</x:v>
      </x:c>
      <x:c r="W641" t="n">
        <x:v>0</x:v>
      </x:c>
      <x:c r="X641" t="str"/>
      <x:c r="Y641" t="str">
        <x:v>Referral</x:v>
      </x:c>
    </x:row>
    <x:row r="642">
      <x:c r="A642" t="str">
        <x:v>O000641</x:v>
      </x:c>
      <x:c r="B642" s="20" t="n">
        <x:v>46042</x:v>
      </x:c>
      <x:c r="C642" t="str">
        <x:v>C0197</x:v>
      </x:c>
      <x:c r="D642" t="str">
        <x:v>New Foods 197</x:v>
      </x:c>
      <x:c r="E642" t="str">
        <x:v>Cafe</x:v>
      </x:c>
      <x:c r="F642" t="str">
        <x:v>Hubballi</x:v>
      </x:c>
      <x:c r="G642" t="str">
        <x:v>Kavya</x:v>
      </x:c>
      <x:c r="H642" t="str">
        <x:v>P022</x:v>
      </x:c>
      <x:c r="I642" t="str">
        <x:v>Mineral Water 1L</x:v>
      </x:c>
      <x:c r="J642" t="str">
        <x:v>Beverage</x:v>
      </x:c>
      <x:c r="K642" t="str">
        <x:v>Bisleri</x:v>
      </x:c>
      <x:c r="L642" s="22" t="n">
        <x:v>19</x:v>
      </x:c>
      <x:c r="M642" t="n">
        <x:v>14</x:v>
      </x:c>
      <x:c r="N642" s="24" t="n">
        <x:v>0.03</x:v>
      </x:c>
      <x:c r="O642" s="22" t="n">
        <x:f>L642*M642</x:f>
        <x:v>266</x:v>
      </x:c>
      <x:c r="P642" s="22" t="n">
        <x:f>O642*(1-N642)</x:f>
        <x:v>258.02</x:v>
      </x:c>
      <x:c r="Q642" s="22" t="n">
        <x:v>15</x:v>
      </x:c>
      <x:c r="R642" s="22" t="n">
        <x:f>Q642*M642</x:f>
        <x:v>210</x:v>
      </x:c>
      <x:c r="S642" s="22" t="n">
        <x:f>P642-R642</x:f>
        <x:v>48.01999999999998</x:v>
      </x:c>
      <x:c r="T642" t="str">
        <x:v>UPI</x:v>
      </x:c>
      <x:c r="U642" t="str">
        <x:v>Paid</x:v>
      </x:c>
      <x:c r="V642" t="str">
        <x:v>Delivered</x:v>
      </x:c>
      <x:c r="W642" t="n">
        <x:v>0</x:v>
      </x:c>
      <x:c r="X642" t="str"/>
      <x:c r="Y642" t="str">
        <x:v>Existing Customer</x:v>
      </x:c>
    </x:row>
    <x:row r="643">
      <x:c r="A643" t="str">
        <x:v>O000642</x:v>
      </x:c>
      <x:c r="B643" s="20" t="n">
        <x:v>45857</x:v>
      </x:c>
      <x:c r="C643" t="str">
        <x:v>C0075</x:v>
      </x:c>
      <x:c r="D643" t="str">
        <x:v>Spice Foods 75</x:v>
      </x:c>
      <x:c r="E643" t="str">
        <x:v>Kirana</x:v>
      </x:c>
      <x:c r="F643" t="str">
        <x:v>Hubballi</x:v>
      </x:c>
      <x:c r="G643" t="str">
        <x:v>Vikram</x:v>
      </x:c>
      <x:c r="H643" t="str">
        <x:v>P029</x:v>
      </x:c>
      <x:c r="I643" t="str">
        <x:v>Tomato Ketchup 1kg</x:v>
      </x:c>
      <x:c r="J643" t="str">
        <x:v>Condiments</x:v>
      </x:c>
      <x:c r="K643" t="str">
        <x:v>Kissan</x:v>
      </x:c>
      <x:c r="L643" s="22" t="n">
        <x:v>145</x:v>
      </x:c>
      <x:c r="M643" t="n">
        <x:v>38</x:v>
      </x:c>
      <x:c r="N643" s="24" t="n">
        <x:v>0.08</x:v>
      </x:c>
      <x:c r="O643" s="22" t="n">
        <x:f>L643*M643</x:f>
        <x:v>5510</x:v>
      </x:c>
      <x:c r="P643" s="22" t="n">
        <x:f>O643*(1-N643)</x:f>
        <x:v>5069.2</x:v>
      </x:c>
      <x:c r="Q643" s="22" t="n">
        <x:v>126</x:v>
      </x:c>
      <x:c r="R643" s="22" t="n">
        <x:f>Q643*M643</x:f>
        <x:v>4788</x:v>
      </x:c>
      <x:c r="S643" s="22" t="n">
        <x:f>P643-R643</x:f>
        <x:v>281.1999999999998</x:v>
      </x:c>
      <x:c r="T643" t="str">
        <x:v>Cash</x:v>
      </x:c>
      <x:c r="U643" t="str">
        <x:v>Paid</x:v>
      </x:c>
      <x:c r="V643" t="str">
        <x:v>Delivered</x:v>
      </x:c>
      <x:c r="W643" t="n">
        <x:v>0</x:v>
      </x:c>
      <x:c r="X643" t="str"/>
      <x:c r="Y643" t="str">
        <x:v>Field Visit</x:v>
      </x:c>
    </x:row>
    <x:row r="644">
      <x:c r="A644" t="str">
        <x:v>O000643</x:v>
      </x:c>
      <x:c r="B644" s="20" t="n">
        <x:v>45836</x:v>
      </x:c>
      <x:c r="C644" t="str">
        <x:v>C0227</x:v>
      </x:c>
      <x:c r="D644" t="str">
        <x:v>Metro Restaurant 227</x:v>
      </x:c>
      <x:c r="E644" t="str">
        <x:v>Restaurant</x:v>
      </x:c>
      <x:c r="F644" t="str">
        <x:v>Davanagere</x:v>
      </x:c>
      <x:c r="G644" t="str">
        <x:v>Kavya</x:v>
      </x:c>
      <x:c r="H644" t="str">
        <x:v>P017</x:v>
      </x:c>
      <x:c r="I644" t="str">
        <x:v>Butter 500g</x:v>
      </x:c>
      <x:c r="J644" t="str">
        <x:v>Dairy</x:v>
      </x:c>
      <x:c r="K644" t="str">
        <x:v>Amul</x:v>
      </x:c>
      <x:c r="L644" s="22" t="n">
        <x:v>285</x:v>
      </x:c>
      <x:c r="M644" t="n">
        <x:v>22</x:v>
      </x:c>
      <x:c r="N644" s="24" t="n">
        <x:v>0.05</x:v>
      </x:c>
      <x:c r="O644" s="22" t="n">
        <x:f>L644*M644</x:f>
        <x:v>6270</x:v>
      </x:c>
      <x:c r="P644" s="22" t="n">
        <x:f>O644*(1-N644)</x:f>
        <x:v>5956.5</x:v>
      </x:c>
      <x:c r="Q644" s="22" t="n">
        <x:v>258</x:v>
      </x:c>
      <x:c r="R644" s="22" t="n">
        <x:f>Q644*M644</x:f>
        <x:v>5676</x:v>
      </x:c>
      <x:c r="S644" s="22" t="n">
        <x:f>P644-R644</x:f>
        <x:v>280.5</x:v>
      </x:c>
      <x:c r="T644" t="str">
        <x:v>Bank Transfer</x:v>
      </x:c>
      <x:c r="U644" t="str">
        <x:v>Paid</x:v>
      </x:c>
      <x:c r="V644" t="str">
        <x:v>Delivered</x:v>
      </x:c>
      <x:c r="W644" t="n">
        <x:v>0</x:v>
      </x:c>
      <x:c r="X644" t="str"/>
      <x:c r="Y644" t="str">
        <x:v>Field Visit</x:v>
      </x:c>
    </x:row>
    <x:row r="645">
      <x:c r="A645" t="str">
        <x:v>O000644</x:v>
      </x:c>
      <x:c r="B645" s="20" t="n">
        <x:v>45798</x:v>
      </x:c>
      <x:c r="C645" t="str">
        <x:v>C0006</x:v>
      </x:c>
      <x:c r="D645" t="str">
        <x:v>New Restaurant 6</x:v>
      </x:c>
      <x:c r="E645" t="str">
        <x:v>Kirana</x:v>
      </x:c>
      <x:c r="F645" t="str">
        <x:v>Hubballi</x:v>
      </x:c>
      <x:c r="G645" t="str">
        <x:v>Vikram</x:v>
      </x:c>
      <x:c r="H645" t="str">
        <x:v>P044</x:v>
      </x:c>
      <x:c r="I645" t="str">
        <x:v>Chicken Curry Cut 1kg</x:v>
      </x:c>
      <x:c r="J645" t="str">
        <x:v>Protein</x:v>
      </x:c>
      <x:c r="K645" t="str">
        <x:v>FreshToHome</x:v>
      </x:c>
      <x:c r="L645" s="22" t="n">
        <x:v>230</x:v>
      </x:c>
      <x:c r="M645" t="n">
        <x:v>25</x:v>
      </x:c>
      <x:c r="N645" s="24" t="n">
        <x:v>0.05</x:v>
      </x:c>
      <x:c r="O645" s="22" t="n">
        <x:f>L645*M645</x:f>
        <x:v>5750</x:v>
      </x:c>
      <x:c r="P645" s="22" t="n">
        <x:f>O645*(1-N645)</x:f>
        <x:v>5462.5</x:v>
      </x:c>
      <x:c r="Q645" s="22" t="n">
        <x:v>205</x:v>
      </x:c>
      <x:c r="R645" s="22" t="n">
        <x:f>Q645*M645</x:f>
        <x:v>5125</x:v>
      </x:c>
      <x:c r="S645" s="22" t="n">
        <x:f>P645-R645</x:f>
        <x:v>337.5</x:v>
      </x:c>
      <x:c r="T645" t="str">
        <x:v>UPI</x:v>
      </x:c>
      <x:c r="U645" t="str">
        <x:v>Paid</x:v>
      </x:c>
      <x:c r="V645" t="str">
        <x:v>Delivered</x:v>
      </x:c>
      <x:c r="W645" t="n">
        <x:v>0</x:v>
      </x:c>
      <x:c r="X645" t="str"/>
      <x:c r="Y645" t="str">
        <x:v>Referral</x:v>
      </x:c>
    </x:row>
    <x:row r="646">
      <x:c r="A646" t="str">
        <x:v>O000645</x:v>
      </x:c>
      <x:c r="B646" s="20" t="n">
        <x:v>45833</x:v>
      </x:c>
      <x:c r="C646" t="str">
        <x:v>C0096</x:v>
      </x:c>
      <x:c r="D646" t="str">
        <x:v>Metro Foods 96</x:v>
      </x:c>
      <x:c r="E646" t="str">
        <x:v>Kirana</x:v>
      </x:c>
      <x:c r="F646" t="str">
        <x:v>Davanagere</x:v>
      </x:c>
      <x:c r="G646" t="str">
        <x:v>Vikram</x:v>
      </x:c>
      <x:c r="H646" t="str">
        <x:v>P043</x:v>
      </x:c>
      <x:c r="I646" t="str">
        <x:v>Chicken Breast 1kg</x:v>
      </x:c>
      <x:c r="J646" t="str">
        <x:v>Protein</x:v>
      </x:c>
      <x:c r="K646" t="str">
        <x:v>FreshToHome</x:v>
      </x:c>
      <x:c r="L646" s="22" t="n">
        <x:v>260</x:v>
      </x:c>
      <x:c r="M646" t="n">
        <x:v>34</x:v>
      </x:c>
      <x:c r="N646" s="24" t="n">
        <x:v>0.1</x:v>
      </x:c>
      <x:c r="O646" s="22" t="n">
        <x:f>L646*M646</x:f>
        <x:v>8840</x:v>
      </x:c>
      <x:c r="P646" s="22" t="n">
        <x:f>O646*(1-N646)</x:f>
        <x:v>7956</x:v>
      </x:c>
      <x:c r="Q646" s="22" t="n">
        <x:v>235</x:v>
      </x:c>
      <x:c r="R646" s="22" t="n">
        <x:f>Q646*M646</x:f>
        <x:v>7990</x:v>
      </x:c>
      <x:c r="S646" s="22" t="n">
        <x:f>P646-R646</x:f>
        <x:v>-34</x:v>
      </x:c>
      <x:c r="T646" t="str">
        <x:v>Credit</x:v>
      </x:c>
      <x:c r="U646" t="str">
        <x:v>Pending</x:v>
      </x:c>
      <x:c r="V646" t="str">
        <x:v>Delivered</x:v>
      </x:c>
      <x:c r="W646" t="n">
        <x:v>0</x:v>
      </x:c>
      <x:c r="X646" t="str"/>
      <x:c r="Y646" t="str">
        <x:v>Referral</x:v>
      </x:c>
    </x:row>
    <x:row r="647">
      <x:c r="A647" t="str">
        <x:v>O000646</x:v>
      </x:c>
      <x:c r="B647" s="20" t="n">
        <x:v>46045</x:v>
      </x:c>
      <x:c r="C647" t="str">
        <x:v>C0050</x:v>
      </x:c>
      <x:c r="D647" t="str">
        <x:v>Green Stores 50</x:v>
      </x:c>
      <x:c r="E647" t="str">
        <x:v>Restaurant</x:v>
      </x:c>
      <x:c r="F647" t="str">
        <x:v>Davanagere</x:v>
      </x:c>
      <x:c r="G647" t="str">
        <x:v>Vikram</x:v>
      </x:c>
      <x:c r="H647" t="str">
        <x:v>P035</x:v>
      </x:c>
      <x:c r="I647" t="str">
        <x:v>Coriander Powder 1kg</x:v>
      </x:c>
      <x:c r="J647" t="str">
        <x:v>Spices</x:v>
      </x:c>
      <x:c r="K647" t="str">
        <x:v>Everest</x:v>
      </x:c>
      <x:c r="L647" s="22" t="n">
        <x:v>280</x:v>
      </x:c>
      <x:c r="M647" t="n">
        <x:v>24</x:v>
      </x:c>
      <x:c r="N647" s="24" t="n">
        <x:v>0.02</x:v>
      </x:c>
      <x:c r="O647" s="22" t="n">
        <x:f>L647*M647</x:f>
        <x:v>6720</x:v>
      </x:c>
      <x:c r="P647" s="22" t="n">
        <x:f>O647*(1-N647)</x:f>
        <x:v>6585.599999999999</x:v>
      </x:c>
      <x:c r="Q647" s="22" t="n">
        <x:v>245</x:v>
      </x:c>
      <x:c r="R647" s="22" t="n">
        <x:f>Q647*M647</x:f>
        <x:v>5880</x:v>
      </x:c>
      <x:c r="S647" s="22" t="n">
        <x:f>P647-R647</x:f>
        <x:v>705.5999999999995</x:v>
      </x:c>
      <x:c r="T647" t="str">
        <x:v>Credit</x:v>
      </x:c>
      <x:c r="U647" t="str">
        <x:v>Overdue</x:v>
      </x:c>
      <x:c r="V647" t="str">
        <x:v>Delivered</x:v>
      </x:c>
      <x:c r="W647" t="n">
        <x:v>0</x:v>
      </x:c>
      <x:c r="X647" t="str"/>
      <x:c r="Y647" t="str">
        <x:v>Existing Customer</x:v>
      </x:c>
    </x:row>
    <x:row r="648">
      <x:c r="A648" t="str">
        <x:v>O000647</x:v>
      </x:c>
      <x:c r="B648" s="20" t="n">
        <x:v>45959</x:v>
      </x:c>
      <x:c r="C648" t="str">
        <x:v>C0219</x:v>
      </x:c>
      <x:c r="D648" t="str">
        <x:v>Udupi Restaurant 219</x:v>
      </x:c>
      <x:c r="E648" t="str">
        <x:v>Kirana</x:v>
      </x:c>
      <x:c r="F648" t="str">
        <x:v>Mangaluru</x:v>
      </x:c>
      <x:c r="G648" t="str">
        <x:v>Kavya</x:v>
      </x:c>
      <x:c r="H648" t="str">
        <x:v>P035</x:v>
      </x:c>
      <x:c r="I648" t="str">
        <x:v>Coriander Powder 1kg</x:v>
      </x:c>
      <x:c r="J648" t="str">
        <x:v>Spices</x:v>
      </x:c>
      <x:c r="K648" t="str">
        <x:v>Everest</x:v>
      </x:c>
      <x:c r="L648" s="22" t="n">
        <x:v>280</x:v>
      </x:c>
      <x:c r="M648" t="n">
        <x:v>10</x:v>
      </x:c>
      <x:c r="N648" s="24" t="n">
        <x:v>0.02</x:v>
      </x:c>
      <x:c r="O648" s="22" t="n">
        <x:f>L648*M648</x:f>
        <x:v>2800</x:v>
      </x:c>
      <x:c r="P648" s="22" t="n">
        <x:f>O648*(1-N648)</x:f>
        <x:v>2744</x:v>
      </x:c>
      <x:c r="Q648" s="22" t="n">
        <x:v>245</x:v>
      </x:c>
      <x:c r="R648" s="22" t="n">
        <x:f>Q648*M648</x:f>
        <x:v>2450</x:v>
      </x:c>
      <x:c r="S648" s="22" t="n">
        <x:f>P648-R648</x:f>
        <x:v>294</x:v>
      </x:c>
      <x:c r="T648" t="str">
        <x:v>UPI</x:v>
      </x:c>
      <x:c r="U648" t="str">
        <x:v>Paid</x:v>
      </x:c>
      <x:c r="V648" t="str">
        <x:v>Delivered</x:v>
      </x:c>
      <x:c r="W648" t="n">
        <x:v>0</x:v>
      </x:c>
      <x:c r="X648" t="str"/>
      <x:c r="Y648" t="str">
        <x:v>Existing Customer</x:v>
      </x:c>
    </x:row>
    <x:row r="649">
      <x:c r="A649" t="str">
        <x:v>O000648</x:v>
      </x:c>
      <x:c r="B649" s="20" t="n">
        <x:v>45872</x:v>
      </x:c>
      <x:c r="C649" t="str">
        <x:v>C0227</x:v>
      </x:c>
      <x:c r="D649" t="str">
        <x:v>Metro Restaurant 227</x:v>
      </x:c>
      <x:c r="E649" t="str">
        <x:v>Restaurant</x:v>
      </x:c>
      <x:c r="F649" t="str">
        <x:v>Davanagere</x:v>
      </x:c>
      <x:c r="G649" t="str">
        <x:v>Kavya</x:v>
      </x:c>
      <x:c r="H649" t="str">
        <x:v>P032</x:v>
      </x:c>
      <x:c r="I649" t="str">
        <x:v>Soy Sauce 700g</x:v>
      </x:c>
      <x:c r="J649" t="str">
        <x:v>Condiments</x:v>
      </x:c>
      <x:c r="K649" t="str">
        <x:v>Ching's</x:v>
      </x:c>
      <x:c r="L649" s="22" t="n">
        <x:v>118</x:v>
      </x:c>
      <x:c r="M649" t="n">
        <x:v>6</x:v>
      </x:c>
      <x:c r="N649" s="24" t="n">
        <x:v>0.05</x:v>
      </x:c>
      <x:c r="O649" s="22" t="n">
        <x:f>L649*M649</x:f>
        <x:v>708</x:v>
      </x:c>
      <x:c r="P649" s="22" t="n">
        <x:f>O649*(1-N649)</x:f>
        <x:v>672.6</x:v>
      </x:c>
      <x:c r="Q649" s="22" t="n">
        <x:v>101</x:v>
      </x:c>
      <x:c r="R649" s="22" t="n">
        <x:f>Q649*M649</x:f>
        <x:v>606</x:v>
      </x:c>
      <x:c r="S649" s="22" t="n">
        <x:f>P649-R649</x:f>
        <x:v>66.60000000000002</x:v>
      </x:c>
      <x:c r="T649" t="str">
        <x:v>UPI</x:v>
      </x:c>
      <x:c r="U649" t="str">
        <x:v>Paid</x:v>
      </x:c>
      <x:c r="V649" t="str">
        <x:v>Delivered</x:v>
      </x:c>
      <x:c r="W649" t="n">
        <x:v>0</x:v>
      </x:c>
      <x:c r="X649" t="str"/>
      <x:c r="Y649" t="str">
        <x:v>Existing Customer</x:v>
      </x:c>
    </x:row>
    <x:row r="650">
      <x:c r="A650" t="str">
        <x:v>O000649</x:v>
      </x:c>
      <x:c r="B650" s="20" t="n">
        <x:v>45841</x:v>
      </x:c>
      <x:c r="C650" t="str">
        <x:v>C0133</x:v>
      </x:c>
      <x:c r="D650" t="str">
        <x:v>Metro Foods 133</x:v>
      </x:c>
      <x:c r="E650" t="str">
        <x:v>Cafe</x:v>
      </x:c>
      <x:c r="F650" t="str">
        <x:v>Bengaluru</x:v>
      </x:c>
      <x:c r="G650" t="str">
        <x:v>Ramesh</x:v>
      </x:c>
      <x:c r="H650" t="str">
        <x:v>P030</x:v>
      </x:c>
      <x:c r="I650" t="str">
        <x:v>Mayonnaise 1kg</x:v>
      </x:c>
      <x:c r="J650" t="str">
        <x:v>Condiments</x:v>
      </x:c>
      <x:c r="K650" t="str">
        <x:v>Veeba</x:v>
      </x:c>
      <x:c r="L650" s="22" t="n">
        <x:v>210</x:v>
      </x:c>
      <x:c r="M650" t="n">
        <x:v>21</x:v>
      </x:c>
      <x:c r="N650" s="24" t="n">
        <x:v>0.05</x:v>
      </x:c>
      <x:c r="O650" s="22" t="n">
        <x:f>L650*M650</x:f>
        <x:v>4410</x:v>
      </x:c>
      <x:c r="P650" s="22" t="n">
        <x:f>O650*(1-N650)</x:f>
        <x:v>4189.5</x:v>
      </x:c>
      <x:c r="Q650" s="22" t="n">
        <x:v>185</x:v>
      </x:c>
      <x:c r="R650" s="22" t="n">
        <x:f>Q650*M650</x:f>
        <x:v>3885</x:v>
      </x:c>
      <x:c r="S650" s="22" t="n">
        <x:f>P650-R650</x:f>
        <x:v>304.5</x:v>
      </x:c>
      <x:c r="T650" t="str">
        <x:v>Credit</x:v>
      </x:c>
      <x:c r="U650" t="str">
        <x:v>Paid</x:v>
      </x:c>
      <x:c r="V650" t="str">
        <x:v>Delivered</x:v>
      </x:c>
      <x:c r="W650" t="n">
        <x:v>0</x:v>
      </x:c>
      <x:c r="X650" t="str"/>
      <x:c r="Y650" t="str">
        <x:v>Existing Customer</x:v>
      </x:c>
    </x:row>
    <x:row r="651">
      <x:c r="A651" t="str">
        <x:v>O000650</x:v>
      </x:c>
      <x:c r="B651" s="20" t="n">
        <x:v>45695</x:v>
      </x:c>
      <x:c r="C651" t="str">
        <x:v>C0236</x:v>
      </x:c>
      <x:c r="D651" t="str">
        <x:v>Foodie Stores 236</x:v>
      </x:c>
      <x:c r="E651" t="str">
        <x:v>Kirana</x:v>
      </x:c>
      <x:c r="F651" t="str">
        <x:v>Bengaluru</x:v>
      </x:c>
      <x:c r="G651" t="str">
        <x:v>Ramesh</x:v>
      </x:c>
      <x:c r="H651" t="str">
        <x:v>P038</x:v>
      </x:c>
      <x:c r="I651" t="str">
        <x:v>French Fries 2.5kg</x:v>
      </x:c>
      <x:c r="J651" t="str">
        <x:v>Frozen</x:v>
      </x:c>
      <x:c r="K651" t="str">
        <x:v>McCain</x:v>
      </x:c>
      <x:c r="L651" s="22" t="n">
        <x:v>360</x:v>
      </x:c>
      <x:c r="M651" t="n">
        <x:v>14</x:v>
      </x:c>
      <x:c r="N651" s="24" t="n">
        <x:v>0</x:v>
      </x:c>
      <x:c r="O651" s="22" t="n">
        <x:f>L651*M651</x:f>
        <x:v>5040</x:v>
      </x:c>
      <x:c r="P651" s="22" t="n">
        <x:f>O651*(1-N651)</x:f>
        <x:v>5040</x:v>
      </x:c>
      <x:c r="Q651" s="22" t="n">
        <x:v>315</x:v>
      </x:c>
      <x:c r="R651" s="22" t="n">
        <x:f>Q651*M651</x:f>
        <x:v>4410</x:v>
      </x:c>
      <x:c r="S651" s="22" t="n">
        <x:f>P651-R651</x:f>
        <x:v>630</x:v>
      </x:c>
      <x:c r="T651" t="str">
        <x:v>Bank Transfer</x:v>
      </x:c>
      <x:c r="U651" t="str">
        <x:v>Paid</x:v>
      </x:c>
      <x:c r="V651" t="str">
        <x:v>Delivered</x:v>
      </x:c>
      <x:c r="W651" t="n">
        <x:v>0</x:v>
      </x:c>
      <x:c r="X651" t="str"/>
      <x:c r="Y651" t="str">
        <x:v>Field Visit</x:v>
      </x:c>
    </x:row>
    <x:row r="652">
      <x:c r="A652" t="str">
        <x:v>O000651</x:v>
      </x:c>
      <x:c r="B652" s="20" t="n">
        <x:v>45818</x:v>
      </x:c>
      <x:c r="C652" t="str">
        <x:v>C0097</x:v>
      </x:c>
      <x:c r="D652" t="str">
        <x:v>Classic Stores 97</x:v>
      </x:c>
      <x:c r="E652" t="str">
        <x:v>Restaurant</x:v>
      </x:c>
      <x:c r="F652" t="str">
        <x:v>Davanagere</x:v>
      </x:c>
      <x:c r="G652" t="str">
        <x:v>Priya</x:v>
      </x:c>
      <x:c r="H652" t="str">
        <x:v>P037</x:v>
      </x:c>
      <x:c r="I652" t="str">
        <x:v>Frozen Peas 1kg</x:v>
      </x:c>
      <x:c r="J652" t="str">
        <x:v>Frozen</x:v>
      </x:c>
      <x:c r="K652" t="str">
        <x:v>Safal</x:v>
      </x:c>
      <x:c r="L652" s="22" t="n">
        <x:v>155</x:v>
      </x:c>
      <x:c r="M652" t="n">
        <x:v>24</x:v>
      </x:c>
      <x:c r="N652" s="24" t="n">
        <x:v>0.02</x:v>
      </x:c>
      <x:c r="O652" s="22" t="n">
        <x:f>L652*M652</x:f>
        <x:v>3720</x:v>
      </x:c>
      <x:c r="P652" s="22" t="n">
        <x:f>O652*(1-N652)</x:f>
        <x:v>3645.6</x:v>
      </x:c>
      <x:c r="Q652" s="22" t="n">
        <x:v>138</x:v>
      </x:c>
      <x:c r="R652" s="22" t="n">
        <x:f>Q652*M652</x:f>
        <x:v>3312</x:v>
      </x:c>
      <x:c r="S652" s="22" t="n">
        <x:f>P652-R652</x:f>
        <x:v>333.5999999999999</x:v>
      </x:c>
      <x:c r="T652" t="str">
        <x:v>UPI</x:v>
      </x:c>
      <x:c r="U652" t="str">
        <x:v>Paid</x:v>
      </x:c>
      <x:c r="V652" t="str">
        <x:v>Delivered</x:v>
      </x:c>
      <x:c r="W652" t="n">
        <x:v>0</x:v>
      </x:c>
      <x:c r="X652" t="str"/>
      <x:c r="Y652" t="str">
        <x:v>Existing Customer</x:v>
      </x:c>
    </x:row>
    <x:row r="653">
      <x:c r="A653" t="str">
        <x:v>O000652</x:v>
      </x:c>
      <x:c r="B653" s="20" t="n">
        <x:v>46134</x:v>
      </x:c>
      <x:c r="C653" t="str">
        <x:v>C0150</x:v>
      </x:c>
      <x:c r="D653" t="str">
        <x:v>Sagar Kitchen 150</x:v>
      </x:c>
      <x:c r="E653" t="str">
        <x:v>Kirana</x:v>
      </x:c>
      <x:c r="F653" t="str">
        <x:v>Hubballi</x:v>
      </x:c>
      <x:c r="G653" t="str">
        <x:v>Ramesh</x:v>
      </x:c>
      <x:c r="H653" t="str">
        <x:v>P003</x:v>
      </x:c>
      <x:c r="I653" t="str">
        <x:v>Basmati Rice 5kg</x:v>
      </x:c>
      <x:c r="J653" t="str">
        <x:v>Staples</x:v>
      </x:c>
      <x:c r="K653" t="str">
        <x:v>India Gate</x:v>
      </x:c>
      <x:c r="L653" s="22" t="n">
        <x:v>690</x:v>
      </x:c>
      <x:c r="M653" t="n">
        <x:v>33</x:v>
      </x:c>
      <x:c r="N653" s="24" t="n">
        <x:v>0.05</x:v>
      </x:c>
      <x:c r="O653" s="22" t="n">
        <x:f>L653*M653</x:f>
        <x:v>22770</x:v>
      </x:c>
      <x:c r="P653" s="22" t="n">
        <x:f>O653*(1-N653)</x:f>
        <x:v>21631.5</x:v>
      </x:c>
      <x:c r="Q653" s="22" t="n">
        <x:v>610</x:v>
      </x:c>
      <x:c r="R653" s="22" t="n">
        <x:f>Q653*M653</x:f>
        <x:v>20130</x:v>
      </x:c>
      <x:c r="S653" s="22" t="n">
        <x:f>P653-R653</x:f>
        <x:v>1501.5</x:v>
      </x:c>
      <x:c r="T653" t="str">
        <x:v>Credit</x:v>
      </x:c>
      <x:c r="U653" t="str">
        <x:v>Paid</x:v>
      </x:c>
      <x:c r="V653" t="str">
        <x:v>Delivered</x:v>
      </x:c>
      <x:c r="W653" t="n">
        <x:v>0</x:v>
      </x:c>
      <x:c r="X653" t="str"/>
      <x:c r="Y653" t="str">
        <x:v>WhatsApp</x:v>
      </x:c>
    </x:row>
    <x:row r="654">
      <x:c r="A654" t="str">
        <x:v>O000653</x:v>
      </x:c>
      <x:c r="B654" s="20" t="n">
        <x:v>45841</x:v>
      </x:c>
      <x:c r="C654" t="str">
        <x:v>C0098</x:v>
      </x:c>
      <x:c r="D654" t="str">
        <x:v>City Stores 98</x:v>
      </x:c>
      <x:c r="E654" t="str">
        <x:v>Canteen</x:v>
      </x:c>
      <x:c r="F654" t="str">
        <x:v>Mangaluru</x:v>
      </x:c>
      <x:c r="G654" t="str">
        <x:v>Imran</x:v>
      </x:c>
      <x:c r="H654" t="str">
        <x:v>P002</x:v>
      </x:c>
      <x:c r="I654" t="str">
        <x:v>Sona Masoori Rice 25kg</x:v>
      </x:c>
      <x:c r="J654" t="str">
        <x:v>Staples</x:v>
      </x:c>
      <x:c r="K654" t="str">
        <x:v>Fortune</x:v>
      </x:c>
      <x:c r="L654" s="22" t="n">
        <x:v>1320</x:v>
      </x:c>
      <x:c r="M654" t="n">
        <x:v>4</x:v>
      </x:c>
      <x:c r="N654" s="24" t="n">
        <x:v>0.02</x:v>
      </x:c>
      <x:c r="O654" s="22" t="n">
        <x:f>L654*M654</x:f>
        <x:v>5280</x:v>
      </x:c>
      <x:c r="P654" s="22" t="n">
        <x:f>O654*(1-N654)</x:f>
        <x:v>5174.4</x:v>
      </x:c>
      <x:c r="Q654" s="22" t="n">
        <x:v>1160</x:v>
      </x:c>
      <x:c r="R654" s="22" t="n">
        <x:f>Q654*M654</x:f>
        <x:v>4640</x:v>
      </x:c>
      <x:c r="S654" s="22" t="n">
        <x:f>P654-R654</x:f>
        <x:v>534.3999999999996</x:v>
      </x:c>
      <x:c r="T654" t="str">
        <x:v>UPI</x:v>
      </x:c>
      <x:c r="U654" t="str">
        <x:v>Paid</x:v>
      </x:c>
      <x:c r="V654" t="str">
        <x:v>Delivered</x:v>
      </x:c>
      <x:c r="W654" t="n">
        <x:v>0</x:v>
      </x:c>
      <x:c r="X654" t="str"/>
      <x:c r="Y654" t="str">
        <x:v>Existing Customer</x:v>
      </x:c>
    </x:row>
    <x:row r="655">
      <x:c r="A655" t="str">
        <x:v>O000654</x:v>
      </x:c>
      <x:c r="B655" s="20" t="n">
        <x:v>45941</x:v>
      </x:c>
      <x:c r="C655" t="str">
        <x:v>C0165</x:v>
      </x:c>
      <x:c r="D655" t="str">
        <x:v>Royal Restaurant 165</x:v>
      </x:c>
      <x:c r="E655" t="str">
        <x:v>Hotel</x:v>
      </x:c>
      <x:c r="F655" t="str">
        <x:v>Tumakuru</x:v>
      </x:c>
      <x:c r="G655" t="str">
        <x:v>Kavya</x:v>
      </x:c>
      <x:c r="H655" t="str">
        <x:v>P006</x:v>
      </x:c>
      <x:c r="I655" t="str">
        <x:v>Moong Dal 5kg</x:v>
      </x:c>
      <x:c r="J655" t="str">
        <x:v>Pulses</x:v>
      </x:c>
      <x:c r="K655" t="str">
        <x:v>Local Select</x:v>
      </x:c>
      <x:c r="L655" s="22" t="n">
        <x:v>610</x:v>
      </x:c>
      <x:c r="M655" t="n">
        <x:v>15</x:v>
      </x:c>
      <x:c r="N655" s="24" t="n">
        <x:v>0</x:v>
      </x:c>
      <x:c r="O655" s="22" t="n">
        <x:f>L655*M655</x:f>
        <x:v>9150</x:v>
      </x:c>
      <x:c r="P655" s="22" t="n">
        <x:f>O655*(1-N655)</x:f>
        <x:v>9150</x:v>
      </x:c>
      <x:c r="Q655" s="22" t="n">
        <x:v>540</x:v>
      </x:c>
      <x:c r="R655" s="22" t="n">
        <x:f>Q655*M655</x:f>
        <x:v>8100</x:v>
      </x:c>
      <x:c r="S655" s="22" t="n">
        <x:f>P655-R655</x:f>
        <x:v>1050</x:v>
      </x:c>
      <x:c r="T655" t="str">
        <x:v>UPI</x:v>
      </x:c>
      <x:c r="U655" t="str">
        <x:v>Paid</x:v>
      </x:c>
      <x:c r="V655" t="str">
        <x:v>Delayed</x:v>
      </x:c>
      <x:c r="W655" t="n">
        <x:v>0</x:v>
      </x:c>
      <x:c r="X655" t="str"/>
      <x:c r="Y655" t="str">
        <x:v>Referral</x:v>
      </x:c>
    </x:row>
    <x:row r="656">
      <x:c r="A656" t="str">
        <x:v>O000655</x:v>
      </x:c>
      <x:c r="B656" s="20" t="n">
        <x:v>45914</x:v>
      </x:c>
      <x:c r="C656" t="str">
        <x:v>C0173</x:v>
      </x:c>
      <x:c r="D656" t="str">
        <x:v>Royal Kitchen 173</x:v>
      </x:c>
      <x:c r="E656" t="str">
        <x:v>Hotel</x:v>
      </x:c>
      <x:c r="F656" t="str">
        <x:v>Bengaluru</x:v>
      </x:c>
      <x:c r="G656" t="str">
        <x:v>Priya</x:v>
      </x:c>
      <x:c r="H656" t="str">
        <x:v>P022</x:v>
      </x:c>
      <x:c r="I656" t="str">
        <x:v>Mineral Water 1L</x:v>
      </x:c>
      <x:c r="J656" t="str">
        <x:v>Beverage</x:v>
      </x:c>
      <x:c r="K656" t="str">
        <x:v>Bisleri</x:v>
      </x:c>
      <x:c r="L656" s="22" t="n">
        <x:v>19</x:v>
      </x:c>
      <x:c r="M656" t="n">
        <x:v>20</x:v>
      </x:c>
      <x:c r="N656" s="24" t="n">
        <x:v>0.05</x:v>
      </x:c>
      <x:c r="O656" s="22" t="n">
        <x:f>L656*M656</x:f>
        <x:v>380</x:v>
      </x:c>
      <x:c r="P656" s="22" t="n">
        <x:f>O656*(1-N656)</x:f>
        <x:v>361</x:v>
      </x:c>
      <x:c r="Q656" s="22" t="n">
        <x:v>15</x:v>
      </x:c>
      <x:c r="R656" s="22" t="n">
        <x:f>Q656*M656</x:f>
        <x:v>300</x:v>
      </x:c>
      <x:c r="S656" s="22" t="n">
        <x:f>P656-R656</x:f>
        <x:v>61</x:v>
      </x:c>
      <x:c r="T656" t="str">
        <x:v>Cash</x:v>
      </x:c>
      <x:c r="U656" t="str">
        <x:v>Paid</x:v>
      </x:c>
      <x:c r="V656" t="str">
        <x:v>Delayed</x:v>
      </x:c>
      <x:c r="W656" t="n">
        <x:v>0</x:v>
      </x:c>
      <x:c r="X656" t="str"/>
      <x:c r="Y656" t="str">
        <x:v>Referral</x:v>
      </x:c>
    </x:row>
    <x:row r="657">
      <x:c r="A657" t="str">
        <x:v>O000656</x:v>
      </x:c>
      <x:c r="B657" s="20" t="n">
        <x:v>46214</x:v>
      </x:c>
      <x:c r="C657" t="str">
        <x:v>C0193</x:v>
      </x:c>
      <x:c r="D657" t="str">
        <x:v>Udupi Cafe 193</x:v>
      </x:c>
      <x:c r="E657" t="str">
        <x:v>Restaurant</x:v>
      </x:c>
      <x:c r="F657" t="str">
        <x:v>Hubballi</x:v>
      </x:c>
      <x:c r="G657" t="str">
        <x:v>Sneha</x:v>
      </x:c>
      <x:c r="H657" t="str">
        <x:v>P046</x:v>
      </x:c>
      <x:c r="I657" t="str">
        <x:v>Potato 25kg</x:v>
      </x:c>
      <x:c r="J657" t="str">
        <x:v>Fresh Produce</x:v>
      </x:c>
      <x:c r="K657" t="str">
        <x:v>Local Market</x:v>
      </x:c>
      <x:c r="L657" s="22" t="n">
        <x:v>700</x:v>
      </x:c>
      <x:c r="M657" t="n">
        <x:v>17</x:v>
      </x:c>
      <x:c r="N657" s="24" t="n">
        <x:v>0</x:v>
      </x:c>
      <x:c r="O657" s="22" t="n">
        <x:f>L657*M657</x:f>
        <x:v>11900</x:v>
      </x:c>
      <x:c r="P657" s="22" t="n">
        <x:f>O657*(1-N657)</x:f>
        <x:v>11900</x:v>
      </x:c>
      <x:c r="Q657" s="22" t="n">
        <x:v>610</x:v>
      </x:c>
      <x:c r="R657" s="22" t="n">
        <x:f>Q657*M657</x:f>
        <x:v>10370</x:v>
      </x:c>
      <x:c r="S657" s="22" t="n">
        <x:f>P657-R657</x:f>
        <x:v>1530</x:v>
      </x:c>
      <x:c r="T657" t="str">
        <x:v>Cash</x:v>
      </x:c>
      <x:c r="U657" t="str">
        <x:v>Paid</x:v>
      </x:c>
      <x:c r="V657" t="str">
        <x:v>Delivered</x:v>
      </x:c>
      <x:c r="W657" t="n">
        <x:v>0</x:v>
      </x:c>
      <x:c r="X657" t="str"/>
      <x:c r="Y657" t="str">
        <x:v>WhatsApp</x:v>
      </x:c>
    </x:row>
    <x:row r="658">
      <x:c r="A658" t="str">
        <x:v>O000657</x:v>
      </x:c>
      <x:c r="B658" s="20" t="n">
        <x:v>45670</x:v>
      </x:c>
      <x:c r="C658" t="str">
        <x:v>C0211</x:v>
      </x:c>
      <x:c r="D658" t="str">
        <x:v>Cafe Cafe 211</x:v>
      </x:c>
      <x:c r="E658" t="str">
        <x:v>Supermarket</x:v>
      </x:c>
      <x:c r="F658" t="str">
        <x:v>Davanagere</x:v>
      </x:c>
      <x:c r="G658" t="str">
        <x:v>Megha</x:v>
      </x:c>
      <x:c r="H658" t="str">
        <x:v>P038</x:v>
      </x:c>
      <x:c r="I658" t="str">
        <x:v>French Fries 2.5kg</x:v>
      </x:c>
      <x:c r="J658" t="str">
        <x:v>Frozen</x:v>
      </x:c>
      <x:c r="K658" t="str">
        <x:v>McCain</x:v>
      </x:c>
      <x:c r="L658" s="22" t="n">
        <x:v>360</x:v>
      </x:c>
      <x:c r="M658" t="n">
        <x:v>31</x:v>
      </x:c>
      <x:c r="N658" s="24" t="n">
        <x:v>0.05</x:v>
      </x:c>
      <x:c r="O658" s="22" t="n">
        <x:f>L658*M658</x:f>
        <x:v>11160</x:v>
      </x:c>
      <x:c r="P658" s="22" t="n">
        <x:f>O658*(1-N658)</x:f>
        <x:v>10602</x:v>
      </x:c>
      <x:c r="Q658" s="22" t="n">
        <x:v>315</x:v>
      </x:c>
      <x:c r="R658" s="22" t="n">
        <x:f>Q658*M658</x:f>
        <x:v>9765</x:v>
      </x:c>
      <x:c r="S658" s="22" t="n">
        <x:f>P658-R658</x:f>
        <x:v>837</x:v>
      </x:c>
      <x:c r="T658" t="str">
        <x:v>Bank Transfer</x:v>
      </x:c>
      <x:c r="U658" t="str">
        <x:v>Pending</x:v>
      </x:c>
      <x:c r="V658" t="str">
        <x:v>Delivered</x:v>
      </x:c>
      <x:c r="W658" t="n">
        <x:v>0</x:v>
      </x:c>
      <x:c r="X658" t="str"/>
      <x:c r="Y658" t="str">
        <x:v>Referral</x:v>
      </x:c>
    </x:row>
    <x:row r="659">
      <x:c r="A659" t="str">
        <x:v>O000658</x:v>
      </x:c>
      <x:c r="B659" s="20" t="n">
        <x:v>46223</x:v>
      </x:c>
      <x:c r="C659" t="str">
        <x:v>C0133</x:v>
      </x:c>
      <x:c r="D659" t="str">
        <x:v>Metro Foods 133</x:v>
      </x:c>
      <x:c r="E659" t="str">
        <x:v>Cafe</x:v>
      </x:c>
      <x:c r="F659" t="str">
        <x:v>Bengaluru</x:v>
      </x:c>
      <x:c r="G659" t="str">
        <x:v>Ramesh</x:v>
      </x:c>
      <x:c r="H659" t="str">
        <x:v>P038</x:v>
      </x:c>
      <x:c r="I659" t="str">
        <x:v>French Fries 2.5kg</x:v>
      </x:c>
      <x:c r="J659" t="str">
        <x:v>Frozen</x:v>
      </x:c>
      <x:c r="K659" t="str">
        <x:v>McCain</x:v>
      </x:c>
      <x:c r="L659" s="22" t="n">
        <x:v>360</x:v>
      </x:c>
      <x:c r="M659" t="n">
        <x:v>30</x:v>
      </x:c>
      <x:c r="N659" s="24" t="n">
        <x:v>0.05</x:v>
      </x:c>
      <x:c r="O659" s="22" t="n">
        <x:f>L659*M659</x:f>
        <x:v>10800</x:v>
      </x:c>
      <x:c r="P659" s="22" t="n">
        <x:f>O659*(1-N659)</x:f>
        <x:v>10260</x:v>
      </x:c>
      <x:c r="Q659" s="22" t="n">
        <x:v>315</x:v>
      </x:c>
      <x:c r="R659" s="22" t="n">
        <x:f>Q659*M659</x:f>
        <x:v>9450</x:v>
      </x:c>
      <x:c r="S659" s="22" t="n">
        <x:f>P659-R659</x:f>
        <x:v>810</x:v>
      </x:c>
      <x:c r="T659" t="str">
        <x:v>Credit</x:v>
      </x:c>
      <x:c r="U659" t="str">
        <x:v>Paid</x:v>
      </x:c>
      <x:c r="V659" t="str">
        <x:v>Delivered</x:v>
      </x:c>
      <x:c r="W659" t="n">
        <x:v>0</x:v>
      </x:c>
      <x:c r="X659" t="str"/>
      <x:c r="Y659" t="str">
        <x:v>Referral</x:v>
      </x:c>
    </x:row>
    <x:row r="660">
      <x:c r="A660" t="str">
        <x:v>O000659</x:v>
      </x:c>
      <x:c r="B660" s="20" t="n">
        <x:v>46085</x:v>
      </x:c>
      <x:c r="C660" t="str">
        <x:v>C0242</x:v>
      </x:c>
      <x:c r="D660" t="str">
        <x:v>Fresh Cafe 242</x:v>
      </x:c>
      <x:c r="E660" t="str">
        <x:v>Canteen</x:v>
      </x:c>
      <x:c r="F660" t="str">
        <x:v>Davanagere</x:v>
      </x:c>
      <x:c r="G660" t="str">
        <x:v>Kavya</x:v>
      </x:c>
      <x:c r="H660" t="str">
        <x:v>P045</x:v>
      </x:c>
      <x:c r="I660" t="str">
        <x:v>Onion 25kg</x:v>
      </x:c>
      <x:c r="J660" t="str">
        <x:v>Fresh Produce</x:v>
      </x:c>
      <x:c r="K660" t="str">
        <x:v>Local Market</x:v>
      </x:c>
      <x:c r="L660" s="22" t="n">
        <x:v>875</x:v>
      </x:c>
      <x:c r="M660" t="n">
        <x:v>14</x:v>
      </x:c>
      <x:c r="N660" s="24" t="n">
        <x:v>0.03</x:v>
      </x:c>
      <x:c r="O660" s="22" t="n">
        <x:f>L660*M660</x:f>
        <x:v>12250</x:v>
      </x:c>
      <x:c r="P660" s="22" t="n">
        <x:f>O660*(1-N660)</x:f>
        <x:v>11882.5</x:v>
      </x:c>
      <x:c r="Q660" s="22" t="n">
        <x:v>760</x:v>
      </x:c>
      <x:c r="R660" s="22" t="n">
        <x:f>Q660*M660</x:f>
        <x:v>10640</x:v>
      </x:c>
      <x:c r="S660" s="22" t="n">
        <x:f>P660-R660</x:f>
        <x:v>1242.5</x:v>
      </x:c>
      <x:c r="T660" t="str">
        <x:v>UPI</x:v>
      </x:c>
      <x:c r="U660" t="str">
        <x:v>Paid</x:v>
      </x:c>
      <x:c r="V660" t="str">
        <x:v>Delayed</x:v>
      </x:c>
      <x:c r="W660" t="n">
        <x:v>0</x:v>
      </x:c>
      <x:c r="X660" t="str"/>
      <x:c r="Y660" t="str">
        <x:v>Referral</x:v>
      </x:c>
    </x:row>
    <x:row r="661">
      <x:c r="A661" t="str">
        <x:v>O000660</x:v>
      </x:c>
      <x:c r="B661" s="20" t="n">
        <x:v>46169</x:v>
      </x:c>
      <x:c r="C661" t="str">
        <x:v>C0189</x:v>
      </x:c>
      <x:c r="D661" t="str">
        <x:v>Classic Canteen 189</x:v>
      </x:c>
      <x:c r="E661" t="str">
        <x:v>Kirana</x:v>
      </x:c>
      <x:c r="F661" t="str">
        <x:v>Hubballi</x:v>
      </x:c>
      <x:c r="G661" t="str">
        <x:v>Vikram</x:v>
      </x:c>
      <x:c r="H661" t="str">
        <x:v>P001</x:v>
      </x:c>
      <x:c r="I661" t="str">
        <x:v>Steam Rice 25kg</x:v>
      </x:c>
      <x:c r="J661" t="str">
        <x:v>Staples</x:v>
      </x:c>
      <x:c r="K661" t="str">
        <x:v>Aishwarya</x:v>
      </x:c>
      <x:c r="L661" s="22" t="n">
        <x:v>1180</x:v>
      </x:c>
      <x:c r="M661" t="n">
        <x:v>6</x:v>
      </x:c>
      <x:c r="N661" s="24" t="n">
        <x:v>0</x:v>
      </x:c>
      <x:c r="O661" s="22" t="n">
        <x:f>L661*M661</x:f>
        <x:v>7080</x:v>
      </x:c>
      <x:c r="P661" s="22" t="n">
        <x:f>O661*(1-N661)</x:f>
        <x:v>7080</x:v>
      </x:c>
      <x:c r="Q661" s="22" t="n">
        <x:v>1040</x:v>
      </x:c>
      <x:c r="R661" s="22" t="n">
        <x:f>Q661*M661</x:f>
        <x:v>6240</x:v>
      </x:c>
      <x:c r="S661" s="22" t="n">
        <x:f>P661-R661</x:f>
        <x:v>840</x:v>
      </x:c>
      <x:c r="T661" t="str">
        <x:v>Credit</x:v>
      </x:c>
      <x:c r="U661" t="str">
        <x:v>Paid</x:v>
      </x:c>
      <x:c r="V661" t="str">
        <x:v>Delivered</x:v>
      </x:c>
      <x:c r="W661" t="n">
        <x:v>0</x:v>
      </x:c>
      <x:c r="X661" t="str"/>
      <x:c r="Y661" t="str">
        <x:v>Existing Customer</x:v>
      </x:c>
    </x:row>
    <x:row r="662">
      <x:c r="A662" t="str">
        <x:v>O000661</x:v>
      </x:c>
      <x:c r="B662" s="20" t="n">
        <x:v>46239</x:v>
      </x:c>
      <x:c r="C662" t="str">
        <x:v>C0151</x:v>
      </x:c>
      <x:c r="D662" t="str">
        <x:v>Foodie Stores 151</x:v>
      </x:c>
      <x:c r="E662" t="str">
        <x:v>Supermarket</x:v>
      </x:c>
      <x:c r="F662" t="str">
        <x:v>Mysuru</x:v>
      </x:c>
      <x:c r="G662" t="str">
        <x:v>Arjun</x:v>
      </x:c>
      <x:c r="H662" t="str">
        <x:v>P002</x:v>
      </x:c>
      <x:c r="I662" t="str">
        <x:v>Sona Masoori Rice 25kg</x:v>
      </x:c>
      <x:c r="J662" t="str">
        <x:v>Staples</x:v>
      </x:c>
      <x:c r="K662" t="str">
        <x:v>Fortune</x:v>
      </x:c>
      <x:c r="L662" s="22" t="n">
        <x:v>1320</x:v>
      </x:c>
      <x:c r="M662" t="n">
        <x:v>3</x:v>
      </x:c>
      <x:c r="N662" s="24" t="n">
        <x:v>0</x:v>
      </x:c>
      <x:c r="O662" s="22" t="n">
        <x:f>L662*M662</x:f>
        <x:v>3960</x:v>
      </x:c>
      <x:c r="P662" s="22" t="n">
        <x:f>O662*(1-N662)</x:f>
        <x:v>3960</x:v>
      </x:c>
      <x:c r="Q662" s="22" t="n">
        <x:v>1160</x:v>
      </x:c>
      <x:c r="R662" s="22" t="n">
        <x:f>Q662*M662</x:f>
        <x:v>3480</x:v>
      </x:c>
      <x:c r="S662" s="22" t="n">
        <x:f>P662-R662</x:f>
        <x:v>480</x:v>
      </x:c>
      <x:c r="T662" t="str">
        <x:v>Cash</x:v>
      </x:c>
      <x:c r="U662" t="str">
        <x:v>Paid</x:v>
      </x:c>
      <x:c r="V662" t="str">
        <x:v>Delayed</x:v>
      </x:c>
      <x:c r="W662" t="n">
        <x:v>0</x:v>
      </x:c>
      <x:c r="X662" t="str"/>
      <x:c r="Y662" t="str">
        <x:v>Existing Customer</x:v>
      </x:c>
    </x:row>
    <x:row r="663">
      <x:c r="A663" t="str">
        <x:v>O000662</x:v>
      </x:c>
      <x:c r="B663" s="20" t="n">
        <x:v>45867</x:v>
      </x:c>
      <x:c r="C663" t="str">
        <x:v>C0101</x:v>
      </x:c>
      <x:c r="D663" t="str">
        <x:v>Namma Cafe 101</x:v>
      </x:c>
      <x:c r="E663" t="str">
        <x:v>Supermarket</x:v>
      </x:c>
      <x:c r="F663" t="str">
        <x:v>Bengaluru</x:v>
      </x:c>
      <x:c r="G663" t="str">
        <x:v>Arjun</x:v>
      </x:c>
      <x:c r="H663" t="str">
        <x:v>P025</x:v>
      </x:c>
      <x:c r="I663" t="str">
        <x:v>Potato Chips 100g</x:v>
      </x:c>
      <x:c r="J663" t="str">
        <x:v>Snacks</x:v>
      </x:c>
      <x:c r="K663" t="str">
        <x:v>Lay's</x:v>
      </x:c>
      <x:c r="L663" s="22" t="n">
        <x:v>35</x:v>
      </x:c>
      <x:c r="M663" t="n">
        <x:v>26</x:v>
      </x:c>
      <x:c r="N663" s="24" t="n">
        <x:v>0</x:v>
      </x:c>
      <x:c r="O663" s="22" t="n">
        <x:f>L663*M663</x:f>
        <x:v>910</x:v>
      </x:c>
      <x:c r="P663" s="22" t="n">
        <x:f>O663*(1-N663)</x:f>
        <x:v>910</x:v>
      </x:c>
      <x:c r="Q663" s="22" t="n">
        <x:v>27</x:v>
      </x:c>
      <x:c r="R663" s="22" t="n">
        <x:f>Q663*M663</x:f>
        <x:v>702</x:v>
      </x:c>
      <x:c r="S663" s="22" t="n">
        <x:f>P663-R663</x:f>
        <x:v>208</x:v>
      </x:c>
      <x:c r="T663" t="str">
        <x:v>Credit</x:v>
      </x:c>
      <x:c r="U663" t="str">
        <x:v>Paid</x:v>
      </x:c>
      <x:c r="V663" t="str">
        <x:v>Delivered</x:v>
      </x:c>
      <x:c r="W663" t="n">
        <x:v>0</x:v>
      </x:c>
      <x:c r="X663" t="str"/>
      <x:c r="Y663" t="str">
        <x:v>WhatsApp</x:v>
      </x:c>
    </x:row>
    <x:row r="664">
      <x:c r="A664" t="str">
        <x:v>O000663</x:v>
      </x:c>
      <x:c r="B664" s="20" t="n">
        <x:v>45833</x:v>
      </x:c>
      <x:c r="C664" t="str">
        <x:v>C0078</x:v>
      </x:c>
      <x:c r="D664" t="str">
        <x:v>Sagar Canteen 78</x:v>
      </x:c>
      <x:c r="E664" t="str">
        <x:v>Hotel</x:v>
      </x:c>
      <x:c r="F664" t="str">
        <x:v>Mangaluru</x:v>
      </x:c>
      <x:c r="G664" t="str">
        <x:v>Ramesh</x:v>
      </x:c>
      <x:c r="H664" t="str">
        <x:v>P006</x:v>
      </x:c>
      <x:c r="I664" t="str">
        <x:v>Moong Dal 5kg</x:v>
      </x:c>
      <x:c r="J664" t="str">
        <x:v>Pulses</x:v>
      </x:c>
      <x:c r="K664" t="str">
        <x:v>Local Select</x:v>
      </x:c>
      <x:c r="L664" s="22" t="n">
        <x:v>610</x:v>
      </x:c>
      <x:c r="M664" t="n">
        <x:v>7</x:v>
      </x:c>
      <x:c r="N664" s="24" t="n">
        <x:v>0.05</x:v>
      </x:c>
      <x:c r="O664" s="22" t="n">
        <x:f>L664*M664</x:f>
        <x:v>4270</x:v>
      </x:c>
      <x:c r="P664" s="22" t="n">
        <x:f>O664*(1-N664)</x:f>
        <x:v>4056.5</x:v>
      </x:c>
      <x:c r="Q664" s="22" t="n">
        <x:v>540</x:v>
      </x:c>
      <x:c r="R664" s="22" t="n">
        <x:f>Q664*M664</x:f>
        <x:v>3780</x:v>
      </x:c>
      <x:c r="S664" s="22" t="n">
        <x:f>P664-R664</x:f>
        <x:v>276.5</x:v>
      </x:c>
      <x:c r="T664" t="str">
        <x:v>Bank Transfer</x:v>
      </x:c>
      <x:c r="U664" t="str">
        <x:v>Paid</x:v>
      </x:c>
      <x:c r="V664" t="str">
        <x:v>Cancelled</x:v>
      </x:c>
      <x:c r="W664" t="n">
        <x:v>7</x:v>
      </x:c>
      <x:c r="X664" t="str">
        <x:v>Cancelled Order</x:v>
      </x:c>
      <x:c r="Y664" t="str">
        <x:v>Existing Customer</x:v>
      </x:c>
    </x:row>
    <x:row r="665">
      <x:c r="A665" t="str">
        <x:v>O000664</x:v>
      </x:c>
      <x:c r="B665" s="20" t="n">
        <x:v>45729</x:v>
      </x:c>
      <x:c r="C665" t="str">
        <x:v>C0048</x:v>
      </x:c>
      <x:c r="D665" t="str">
        <x:v>Udupi Foods 48</x:v>
      </x:c>
      <x:c r="E665" t="str">
        <x:v>Hotel</x:v>
      </x:c>
      <x:c r="F665" t="str">
        <x:v>Bengaluru</x:v>
      </x:c>
      <x:c r="G665" t="str">
        <x:v>Ramesh</x:v>
      </x:c>
      <x:c r="H665" t="str">
        <x:v>P013</x:v>
      </x:c>
      <x:c r="I665" t="str">
        <x:v>Atta 10kg</x:v>
      </x:c>
      <x:c r="J665" t="str">
        <x:v>Flour</x:v>
      </x:c>
      <x:c r="K665" t="str">
        <x:v>Aashirvaad</x:v>
      </x:c>
      <x:c r="L665" s="22" t="n">
        <x:v>560</x:v>
      </x:c>
      <x:c r="M665" t="n">
        <x:v>25</x:v>
      </x:c>
      <x:c r="N665" s="24" t="n">
        <x:v>0.02</x:v>
      </x:c>
      <x:c r="O665" s="22" t="n">
        <x:f>L665*M665</x:f>
        <x:v>14000</x:v>
      </x:c>
      <x:c r="P665" s="22" t="n">
        <x:f>O665*(1-N665)</x:f>
        <x:v>13720</x:v>
      </x:c>
      <x:c r="Q665" s="22" t="n">
        <x:v>495</x:v>
      </x:c>
      <x:c r="R665" s="22" t="n">
        <x:f>Q665*M665</x:f>
        <x:v>12375</x:v>
      </x:c>
      <x:c r="S665" s="22" t="n">
        <x:f>P665-R665</x:f>
        <x:v>1345</x:v>
      </x:c>
      <x:c r="T665" t="str">
        <x:v>Bank Transfer</x:v>
      </x:c>
      <x:c r="U665" t="str">
        <x:v>Paid</x:v>
      </x:c>
      <x:c r="V665" t="str">
        <x:v>Delayed</x:v>
      </x:c>
      <x:c r="W665" t="n">
        <x:v>0</x:v>
      </x:c>
      <x:c r="X665" t="str"/>
      <x:c r="Y665" t="str">
        <x:v>Outbound Call</x:v>
      </x:c>
    </x:row>
    <x:row r="666">
      <x:c r="A666" t="str">
        <x:v>O000665</x:v>
      </x:c>
      <x:c r="B666" s="20" t="n">
        <x:v>45669</x:v>
      </x:c>
      <x:c r="C666" t="str">
        <x:v>C0095</x:v>
      </x:c>
      <x:c r="D666" t="str">
        <x:v>Spice Restaurant 95</x:v>
      </x:c>
      <x:c r="E666" t="str">
        <x:v>Restaurant</x:v>
      </x:c>
      <x:c r="F666" t="str">
        <x:v>Bengaluru</x:v>
      </x:c>
      <x:c r="G666" t="str">
        <x:v>Megha</x:v>
      </x:c>
      <x:c r="H666" t="str">
        <x:v>P034</x:v>
      </x:c>
      <x:c r="I666" t="str">
        <x:v>Chilli Powder 1kg</x:v>
      </x:c>
      <x:c r="J666" t="str">
        <x:v>Spices</x:v>
      </x:c>
      <x:c r="K666" t="str">
        <x:v>MDH</x:v>
      </x:c>
      <x:c r="L666" s="22" t="n">
        <x:v>340</x:v>
      </x:c>
      <x:c r="M666" t="n">
        <x:v>11</x:v>
      </x:c>
      <x:c r="N666" s="24" t="n">
        <x:v>0.02</x:v>
      </x:c>
      <x:c r="O666" s="22" t="n">
        <x:f>L666*M666</x:f>
        <x:v>3740</x:v>
      </x:c>
      <x:c r="P666" s="22" t="n">
        <x:f>O666*(1-N666)</x:f>
        <x:v>3665.2</x:v>
      </x:c>
      <x:c r="Q666" s="22" t="n">
        <x:v>295</x:v>
      </x:c>
      <x:c r="R666" s="22" t="n">
        <x:f>Q666*M666</x:f>
        <x:v>3245</x:v>
      </x:c>
      <x:c r="S666" s="22" t="n">
        <x:f>P666-R666</x:f>
        <x:v>420.1999999999998</x:v>
      </x:c>
      <x:c r="T666" t="str">
        <x:v>Credit</x:v>
      </x:c>
      <x:c r="U666" t="str">
        <x:v>Paid</x:v>
      </x:c>
      <x:c r="V666" t="str">
        <x:v>Delivered</x:v>
      </x:c>
      <x:c r="W666" t="n">
        <x:v>0</x:v>
      </x:c>
      <x:c r="X666" t="str"/>
      <x:c r="Y666" t="str">
        <x:v>WhatsApp</x:v>
      </x:c>
    </x:row>
    <x:row r="667">
      <x:c r="A667" t="str">
        <x:v>O000666</x:v>
      </x:c>
      <x:c r="B667" s="20" t="n">
        <x:v>45869</x:v>
      </x:c>
      <x:c r="C667" t="str">
        <x:v>C0018</x:v>
      </x:c>
      <x:c r="D667" t="str">
        <x:v>Namma Canteen 18</x:v>
      </x:c>
      <x:c r="E667" t="str">
        <x:v>Restaurant</x:v>
      </x:c>
      <x:c r="F667" t="str">
        <x:v>Davanagere</x:v>
      </x:c>
      <x:c r="G667" t="str">
        <x:v>Imran</x:v>
      </x:c>
      <x:c r="H667" t="str">
        <x:v>P025</x:v>
      </x:c>
      <x:c r="I667" t="str">
        <x:v>Potato Chips 100g</x:v>
      </x:c>
      <x:c r="J667" t="str">
        <x:v>Snacks</x:v>
      </x:c>
      <x:c r="K667" t="str">
        <x:v>Lay's</x:v>
      </x:c>
      <x:c r="L667" s="22" t="n">
        <x:v>35</x:v>
      </x:c>
      <x:c r="M667" t="n">
        <x:v>9</x:v>
      </x:c>
      <x:c r="N667" s="24" t="n">
        <x:v>0.08</x:v>
      </x:c>
      <x:c r="O667" s="22" t="n">
        <x:f>L667*M667</x:f>
        <x:v>315</x:v>
      </x:c>
      <x:c r="P667" s="22" t="n">
        <x:f>O667*(1-N667)</x:f>
        <x:v>289.8</x:v>
      </x:c>
      <x:c r="Q667" s="22" t="n">
        <x:v>27</x:v>
      </x:c>
      <x:c r="R667" s="22" t="n">
        <x:f>Q667*M667</x:f>
        <x:v>243</x:v>
      </x:c>
      <x:c r="S667" s="22" t="n">
        <x:f>P667-R667</x:f>
        <x:v>46.80000000000001</x:v>
      </x:c>
      <x:c r="T667" t="str">
        <x:v>Cash</x:v>
      </x:c>
      <x:c r="U667" t="str">
        <x:v>Paid</x:v>
      </x:c>
      <x:c r="V667" t="str">
        <x:v>Cancelled</x:v>
      </x:c>
      <x:c r="W667" t="n">
        <x:v>9</x:v>
      </x:c>
      <x:c r="X667" t="str">
        <x:v>Cancelled Order</x:v>
      </x:c>
      <x:c r="Y667" t="str">
        <x:v>WhatsApp</x:v>
      </x:c>
    </x:row>
    <x:row r="668">
      <x:c r="A668" t="str">
        <x:v>O000667</x:v>
      </x:c>
      <x:c r="B668" s="20" t="n">
        <x:v>46259</x:v>
      </x:c>
      <x:c r="C668" t="str">
        <x:v>C0148</x:v>
      </x:c>
      <x:c r="D668" t="str">
        <x:v>Shree Cafe 148</x:v>
      </x:c>
      <x:c r="E668" t="str">
        <x:v>Kirana</x:v>
      </x:c>
      <x:c r="F668" t="str">
        <x:v>Hubballi</x:v>
      </x:c>
      <x:c r="G668" t="str">
        <x:v>Priya</x:v>
      </x:c>
      <x:c r="H668" t="str">
        <x:v>P020</x:v>
      </x:c>
      <x:c r="I668" t="str">
        <x:v>Coffee 500g</x:v>
      </x:c>
      <x:c r="J668" t="str">
        <x:v>Beverage</x:v>
      </x:c>
      <x:c r="K668" t="str">
        <x:v>Bru</x:v>
      </x:c>
      <x:c r="L668" s="22" t="n">
        <x:v>390</x:v>
      </x:c>
      <x:c r="M668" t="n">
        <x:v>13</x:v>
      </x:c>
      <x:c r="N668" s="24" t="n">
        <x:v>0.03</x:v>
      </x:c>
      <x:c r="O668" s="22" t="n">
        <x:f>L668*M668</x:f>
        <x:v>5070</x:v>
      </x:c>
      <x:c r="P668" s="22" t="n">
        <x:f>O668*(1-N668)</x:f>
        <x:v>4917.9</x:v>
      </x:c>
      <x:c r="Q668" s="22" t="n">
        <x:v>350</x:v>
      </x:c>
      <x:c r="R668" s="22" t="n">
        <x:f>Q668*M668</x:f>
        <x:v>4550</x:v>
      </x:c>
      <x:c r="S668" s="22" t="n">
        <x:f>P668-R668</x:f>
        <x:v>367.89999999999964</x:v>
      </x:c>
      <x:c r="T668" t="str">
        <x:v>Credit</x:v>
      </x:c>
      <x:c r="U668" t="str">
        <x:v>Paid</x:v>
      </x:c>
      <x:c r="V668" t="str">
        <x:v>Delivered</x:v>
      </x:c>
      <x:c r="W668" t="n">
        <x:v>0</x:v>
      </x:c>
      <x:c r="X668" t="str"/>
      <x:c r="Y668" t="str">
        <x:v>WhatsApp</x:v>
      </x:c>
    </x:row>
    <x:row r="669">
      <x:c r="A669" t="str">
        <x:v>O000668</x:v>
      </x:c>
      <x:c r="B669" s="20" t="n">
        <x:v>45910</x:v>
      </x:c>
      <x:c r="C669" t="str">
        <x:v>C0103</x:v>
      </x:c>
      <x:c r="D669" t="str">
        <x:v>Fresh Kitchen 103</x:v>
      </x:c>
      <x:c r="E669" t="str">
        <x:v>Supermarket</x:v>
      </x:c>
      <x:c r="F669" t="str">
        <x:v>Davanagere</x:v>
      </x:c>
      <x:c r="G669" t="str">
        <x:v>Megha</x:v>
      </x:c>
      <x:c r="H669" t="str">
        <x:v>P039</x:v>
      </x:c>
      <x:c r="I669" t="str">
        <x:v>Ice Cream 4L</x:v>
      </x:c>
      <x:c r="J669" t="str">
        <x:v>Frozen</x:v>
      </x:c>
      <x:c r="K669" t="str">
        <x:v>Amul</x:v>
      </x:c>
      <x:c r="L669" s="22" t="n">
        <x:v>480</x:v>
      </x:c>
      <x:c r="M669" t="n">
        <x:v>34</x:v>
      </x:c>
      <x:c r="N669" s="24" t="n">
        <x:v>0.02</x:v>
      </x:c>
      <x:c r="O669" s="22" t="n">
        <x:f>L669*M669</x:f>
        <x:v>16320</x:v>
      </x:c>
      <x:c r="P669" s="22" t="n">
        <x:f>O669*(1-N669)</x:f>
        <x:v>15993.6</x:v>
      </x:c>
      <x:c r="Q669" s="22" t="n">
        <x:v>420</x:v>
      </x:c>
      <x:c r="R669" s="22" t="n">
        <x:f>Q669*M669</x:f>
        <x:v>14280</x:v>
      </x:c>
      <x:c r="S669" s="22" t="n">
        <x:f>P669-R669</x:f>
        <x:v>1713.6000000000004</x:v>
      </x:c>
      <x:c r="T669" t="str">
        <x:v>Credit</x:v>
      </x:c>
      <x:c r="U669" t="str">
        <x:v>Paid</x:v>
      </x:c>
      <x:c r="V669" t="str">
        <x:v>Delayed</x:v>
      </x:c>
      <x:c r="W669" t="n">
        <x:v>0</x:v>
      </x:c>
      <x:c r="X669" t="str"/>
      <x:c r="Y669" t="str">
        <x:v>Outbound Call</x:v>
      </x:c>
    </x:row>
    <x:row r="670">
      <x:c r="A670" t="str">
        <x:v>O000669</x:v>
      </x:c>
      <x:c r="B670" s="20" t="n">
        <x:v>46125</x:v>
      </x:c>
      <x:c r="C670" t="str">
        <x:v>C0074</x:v>
      </x:c>
      <x:c r="D670" t="str">
        <x:v>Foodie Hotel 74</x:v>
      </x:c>
      <x:c r="E670" t="str">
        <x:v>Restaurant</x:v>
      </x:c>
      <x:c r="F670" t="str">
        <x:v>Mysuru</x:v>
      </x:c>
      <x:c r="G670" t="str">
        <x:v>Vikram</x:v>
      </x:c>
      <x:c r="H670" t="str">
        <x:v>P042</x:v>
      </x:c>
      <x:c r="I670" t="str">
        <x:v>Eggs 30pc Tray</x:v>
      </x:c>
      <x:c r="J670" t="str">
        <x:v>Protein</x:v>
      </x:c>
      <x:c r="K670" t="str">
        <x:v>Farm Fresh</x:v>
      </x:c>
      <x:c r="L670" s="22" t="n">
        <x:v>195</x:v>
      </x:c>
      <x:c r="M670" t="n">
        <x:v>23</x:v>
      </x:c>
      <x:c r="N670" s="24" t="n">
        <x:v>0.05</x:v>
      </x:c>
      <x:c r="O670" s="22" t="n">
        <x:f>L670*M670</x:f>
        <x:v>4485</x:v>
      </x:c>
      <x:c r="P670" s="22" t="n">
        <x:f>O670*(1-N670)</x:f>
        <x:v>4260.75</x:v>
      </x:c>
      <x:c r="Q670" s="22" t="n">
        <x:v>170</x:v>
      </x:c>
      <x:c r="R670" s="22" t="n">
        <x:f>Q670*M670</x:f>
        <x:v>3910</x:v>
      </x:c>
      <x:c r="S670" s="22" t="n">
        <x:f>P670-R670</x:f>
        <x:v>350.75</x:v>
      </x:c>
      <x:c r="T670" t="str">
        <x:v>Cash</x:v>
      </x:c>
      <x:c r="U670" t="str">
        <x:v>Paid</x:v>
      </x:c>
      <x:c r="V670" t="str">
        <x:v>Delivered</x:v>
      </x:c>
      <x:c r="W670" t="n">
        <x:v>0</x:v>
      </x:c>
      <x:c r="X670" t="str"/>
      <x:c r="Y670" t="str">
        <x:v>Referral</x:v>
      </x:c>
    </x:row>
    <x:row r="671">
      <x:c r="A671" t="str">
        <x:v>O000670</x:v>
      </x:c>
      <x:c r="B671" s="20" t="n">
        <x:v>46126</x:v>
      </x:c>
      <x:c r="C671" t="str">
        <x:v>C0188</x:v>
      </x:c>
      <x:c r="D671" t="str">
        <x:v>New Canteen 188</x:v>
      </x:c>
      <x:c r="E671" t="str">
        <x:v>Restaurant</x:v>
      </x:c>
      <x:c r="F671" t="str">
        <x:v>Bengaluru</x:v>
      </x:c>
      <x:c r="G671" t="str">
        <x:v>Kavya</x:v>
      </x:c>
      <x:c r="H671" t="str">
        <x:v>P028</x:v>
      </x:c>
      <x:c r="I671" t="str">
        <x:v>Cookies 200g</x:v>
      </x:c>
      <x:c r="J671" t="str">
        <x:v>Snacks</x:v>
      </x:c>
      <x:c r="K671" t="str">
        <x:v>Britannia</x:v>
      </x:c>
      <x:c r="L671" s="22" t="n">
        <x:v>55</x:v>
      </x:c>
      <x:c r="M671" t="n">
        <x:v>25</x:v>
      </x:c>
      <x:c r="N671" s="24" t="n">
        <x:v>0.08</x:v>
      </x:c>
      <x:c r="O671" s="22" t="n">
        <x:f>L671*M671</x:f>
        <x:v>1375</x:v>
      </x:c>
      <x:c r="P671" s="22" t="n">
        <x:f>O671*(1-N671)</x:f>
        <x:v>1265</x:v>
      </x:c>
      <x:c r="Q671" s="22" t="n">
        <x:v>42</x:v>
      </x:c>
      <x:c r="R671" s="22" t="n">
        <x:f>Q671*M671</x:f>
        <x:v>1050</x:v>
      </x:c>
      <x:c r="S671" s="22" t="n">
        <x:f>P671-R671</x:f>
        <x:v>215</x:v>
      </x:c>
      <x:c r="T671" t="str">
        <x:v>Bank Transfer</x:v>
      </x:c>
      <x:c r="U671" t="str">
        <x:v>Paid</x:v>
      </x:c>
      <x:c r="V671" t="str">
        <x:v>Delivered</x:v>
      </x:c>
      <x:c r="W671" t="n">
        <x:v>0</x:v>
      </x:c>
      <x:c r="X671" t="str"/>
      <x:c r="Y671" t="str">
        <x:v>Outbound Call</x:v>
      </x:c>
    </x:row>
    <x:row r="672">
      <x:c r="A672" t="str">
        <x:v>O000671</x:v>
      </x:c>
      <x:c r="B672" s="20" t="n">
        <x:v>45938</x:v>
      </x:c>
      <x:c r="C672" t="str">
        <x:v>C0223</x:v>
      </x:c>
      <x:c r="D672" t="str">
        <x:v>Classic Canteen 223</x:v>
      </x:c>
      <x:c r="E672" t="str">
        <x:v>Restaurant</x:v>
      </x:c>
      <x:c r="F672" t="str">
        <x:v>Tumakuru</x:v>
      </x:c>
      <x:c r="G672" t="str">
        <x:v>Kavya</x:v>
      </x:c>
      <x:c r="H672" t="str">
        <x:v>P011</x:v>
      </x:c>
      <x:c r="I672" t="str">
        <x:v>Salt 1kg</x:v>
      </x:c>
      <x:c r="J672" t="str">
        <x:v>Staples</x:v>
      </x:c>
      <x:c r="K672" t="str">
        <x:v>Tata</x:v>
      </x:c>
      <x:c r="L672" s="22" t="n">
        <x:v>28</x:v>
      </x:c>
      <x:c r="M672" t="n">
        <x:v>35</x:v>
      </x:c>
      <x:c r="N672" s="24" t="n">
        <x:v>0.02</x:v>
      </x:c>
      <x:c r="O672" s="22" t="n">
        <x:f>L672*M672</x:f>
        <x:v>980</x:v>
      </x:c>
      <x:c r="P672" s="22" t="n">
        <x:f>O672*(1-N672)</x:f>
        <x:v>960.4</x:v>
      </x:c>
      <x:c r="Q672" s="22" t="n">
        <x:v>23</x:v>
      </x:c>
      <x:c r="R672" s="22" t="n">
        <x:f>Q672*M672</x:f>
        <x:v>805</x:v>
      </x:c>
      <x:c r="S672" s="22" t="n">
        <x:f>P672-R672</x:f>
        <x:v>155.39999999999998</x:v>
      </x:c>
      <x:c r="T672" t="str">
        <x:v>UPI</x:v>
      </x:c>
      <x:c r="U672" t="str">
        <x:v>Paid</x:v>
      </x:c>
      <x:c r="V672" t="str">
        <x:v>Cancelled</x:v>
      </x:c>
      <x:c r="W672" t="n">
        <x:v>35</x:v>
      </x:c>
      <x:c r="X672" t="str">
        <x:v>Cancelled Order</x:v>
      </x:c>
      <x:c r="Y672" t="str">
        <x:v>Referral</x:v>
      </x:c>
    </x:row>
    <x:row r="673">
      <x:c r="A673" t="str">
        <x:v>O000672</x:v>
      </x:c>
      <x:c r="B673" s="20" t="n">
        <x:v>46224</x:v>
      </x:c>
      <x:c r="C673" t="str">
        <x:v>C0106</x:v>
      </x:c>
      <x:c r="D673" t="str">
        <x:v>Classic Mart 106</x:v>
      </x:c>
      <x:c r="E673" t="str">
        <x:v>Restaurant</x:v>
      </x:c>
      <x:c r="F673" t="str">
        <x:v>Mysuru</x:v>
      </x:c>
      <x:c r="G673" t="str">
        <x:v>Kavya</x:v>
      </x:c>
      <x:c r="H673" t="str">
        <x:v>P049</x:v>
      </x:c>
      <x:c r="I673" t="str">
        <x:v>Apple 10kg</x:v>
      </x:c>
      <x:c r="J673" t="str">
        <x:v>Fresh Produce</x:v>
      </x:c>
      <x:c r="K673" t="str">
        <x:v>Local Market</x:v>
      </x:c>
      <x:c r="L673" s="22" t="n">
        <x:v>1450</x:v>
      </x:c>
      <x:c r="M673" t="n">
        <x:v>6</x:v>
      </x:c>
      <x:c r="N673" s="24" t="n">
        <x:v>0</x:v>
      </x:c>
      <x:c r="O673" s="22" t="n">
        <x:f>L673*M673</x:f>
        <x:v>8700</x:v>
      </x:c>
      <x:c r="P673" s="22" t="n">
        <x:f>O673*(1-N673)</x:f>
        <x:v>8700</x:v>
      </x:c>
      <x:c r="Q673" s="22" t="n">
        <x:v>1280</x:v>
      </x:c>
      <x:c r="R673" s="22" t="n">
        <x:f>Q673*M673</x:f>
        <x:v>7680</x:v>
      </x:c>
      <x:c r="S673" s="22" t="n">
        <x:f>P673-R673</x:f>
        <x:v>1020</x:v>
      </x:c>
      <x:c r="T673" t="str">
        <x:v>UPI</x:v>
      </x:c>
      <x:c r="U673" t="str">
        <x:v>Paid</x:v>
      </x:c>
      <x:c r="V673" t="str">
        <x:v>Delivered</x:v>
      </x:c>
      <x:c r="W673" t="n">
        <x:v>0</x:v>
      </x:c>
      <x:c r="X673" t="str"/>
      <x:c r="Y673" t="str">
        <x:v>Referral</x:v>
      </x:c>
    </x:row>
    <x:row r="674">
      <x:c r="A674" t="str">
        <x:v>O000673</x:v>
      </x:c>
      <x:c r="B674" s="20" t="n">
        <x:v>46131</x:v>
      </x:c>
      <x:c r="C674" t="str">
        <x:v>C0130</x:v>
      </x:c>
      <x:c r="D674" t="str">
        <x:v>Foodie Cafe 130</x:v>
      </x:c>
      <x:c r="E674" t="str">
        <x:v>Restaurant</x:v>
      </x:c>
      <x:c r="F674" t="str">
        <x:v>Davanagere</x:v>
      </x:c>
      <x:c r="G674" t="str">
        <x:v>Megha</x:v>
      </x:c>
      <x:c r="H674" t="str">
        <x:v>P003</x:v>
      </x:c>
      <x:c r="I674" t="str">
        <x:v>Basmati Rice 5kg</x:v>
      </x:c>
      <x:c r="J674" t="str">
        <x:v>Staples</x:v>
      </x:c>
      <x:c r="K674" t="str">
        <x:v>India Gate</x:v>
      </x:c>
      <x:c r="L674" s="22" t="n">
        <x:v>690</x:v>
      </x:c>
      <x:c r="M674" t="n">
        <x:v>2</x:v>
      </x:c>
      <x:c r="N674" s="24" t="n">
        <x:v>0</x:v>
      </x:c>
      <x:c r="O674" s="22" t="n">
        <x:f>L674*M674</x:f>
        <x:v>1380</x:v>
      </x:c>
      <x:c r="P674" s="22" t="n">
        <x:f>O674*(1-N674)</x:f>
        <x:v>1380</x:v>
      </x:c>
      <x:c r="Q674" s="22" t="n">
        <x:v>610</x:v>
      </x:c>
      <x:c r="R674" s="22" t="n">
        <x:f>Q674*M674</x:f>
        <x:v>1220</x:v>
      </x:c>
      <x:c r="S674" s="22" t="n">
        <x:f>P674-R674</x:f>
        <x:v>160</x:v>
      </x:c>
      <x:c r="T674" t="str">
        <x:v>Credit</x:v>
      </x:c>
      <x:c r="U674" t="str">
        <x:v>Paid</x:v>
      </x:c>
      <x:c r="V674" t="str">
        <x:v>Cancelled</x:v>
      </x:c>
      <x:c r="W674" t="n">
        <x:v>2</x:v>
      </x:c>
      <x:c r="X674" t="str">
        <x:v>Cancelled Order</x:v>
      </x:c>
      <x:c r="Y674" t="str">
        <x:v>WhatsApp</x:v>
      </x:c>
    </x:row>
    <x:row r="675">
      <x:c r="A675" t="str">
        <x:v>O000674</x:v>
      </x:c>
      <x:c r="B675" s="20" t="n">
        <x:v>45668</x:v>
      </x:c>
      <x:c r="C675" t="str">
        <x:v>C0102</x:v>
      </x:c>
      <x:c r="D675" t="str">
        <x:v>Annapurna Foods 102</x:v>
      </x:c>
      <x:c r="E675" t="str">
        <x:v>Cafe</x:v>
      </x:c>
      <x:c r="F675" t="str">
        <x:v>Davanagere</x:v>
      </x:c>
      <x:c r="G675" t="str">
        <x:v>Ramesh</x:v>
      </x:c>
      <x:c r="H675" t="str">
        <x:v>P003</x:v>
      </x:c>
      <x:c r="I675" t="str">
        <x:v>Basmati Rice 5kg</x:v>
      </x:c>
      <x:c r="J675" t="str">
        <x:v>Staples</x:v>
      </x:c>
      <x:c r="K675" t="str">
        <x:v>India Gate</x:v>
      </x:c>
      <x:c r="L675" s="22" t="n">
        <x:v>690</x:v>
      </x:c>
      <x:c r="M675" t="n">
        <x:v>17</x:v>
      </x:c>
      <x:c r="N675" s="24" t="n">
        <x:v>0</x:v>
      </x:c>
      <x:c r="O675" s="22" t="n">
        <x:f>L675*M675</x:f>
        <x:v>11730</x:v>
      </x:c>
      <x:c r="P675" s="22" t="n">
        <x:f>O675*(1-N675)</x:f>
        <x:v>11730</x:v>
      </x:c>
      <x:c r="Q675" s="22" t="n">
        <x:v>610</x:v>
      </x:c>
      <x:c r="R675" s="22" t="n">
        <x:f>Q675*M675</x:f>
        <x:v>10370</x:v>
      </x:c>
      <x:c r="S675" s="22" t="n">
        <x:f>P675-R675</x:f>
        <x:v>1360</x:v>
      </x:c>
      <x:c r="T675" t="str">
        <x:v>Bank Transfer</x:v>
      </x:c>
      <x:c r="U675" t="str">
        <x:v>Paid</x:v>
      </x:c>
      <x:c r="V675" t="str">
        <x:v>Cancelled</x:v>
      </x:c>
      <x:c r="W675" t="n">
        <x:v>17</x:v>
      </x:c>
      <x:c r="X675" t="str">
        <x:v>Cancelled Order</x:v>
      </x:c>
      <x:c r="Y675" t="str">
        <x:v>WhatsApp</x:v>
      </x:c>
    </x:row>
    <x:row r="676">
      <x:c r="A676" t="str">
        <x:v>O000675</x:v>
      </x:c>
      <x:c r="B676" s="20" t="n">
        <x:v>46219</x:v>
      </x:c>
      <x:c r="C676" t="str">
        <x:v>C0018</x:v>
      </x:c>
      <x:c r="D676" t="str">
        <x:v>Namma Canteen 18</x:v>
      </x:c>
      <x:c r="E676" t="str">
        <x:v>Restaurant</x:v>
      </x:c>
      <x:c r="F676" t="str">
        <x:v>Davanagere</x:v>
      </x:c>
      <x:c r="G676" t="str">
        <x:v>Imran</x:v>
      </x:c>
      <x:c r="H676" t="str">
        <x:v>P006</x:v>
      </x:c>
      <x:c r="I676" t="str">
        <x:v>Moong Dal 5kg</x:v>
      </x:c>
      <x:c r="J676" t="str">
        <x:v>Pulses</x:v>
      </x:c>
      <x:c r="K676" t="str">
        <x:v>Local Select</x:v>
      </x:c>
      <x:c r="L676" s="22" t="n">
        <x:v>610</x:v>
      </x:c>
      <x:c r="M676" t="n">
        <x:v>16</x:v>
      </x:c>
      <x:c r="N676" s="24" t="n">
        <x:v>0.05</x:v>
      </x:c>
      <x:c r="O676" s="22" t="n">
        <x:f>L676*M676</x:f>
        <x:v>9760</x:v>
      </x:c>
      <x:c r="P676" s="22" t="n">
        <x:f>O676*(1-N676)</x:f>
        <x:v>9272</x:v>
      </x:c>
      <x:c r="Q676" s="22" t="n">
        <x:v>540</x:v>
      </x:c>
      <x:c r="R676" s="22" t="n">
        <x:f>Q676*M676</x:f>
        <x:v>8640</x:v>
      </x:c>
      <x:c r="S676" s="22" t="n">
        <x:f>P676-R676</x:f>
        <x:v>632</x:v>
      </x:c>
      <x:c r="T676" t="str">
        <x:v>Credit</x:v>
      </x:c>
      <x:c r="U676" t="str">
        <x:v>Paid</x:v>
      </x:c>
      <x:c r="V676" t="str">
        <x:v>Delivered</x:v>
      </x:c>
      <x:c r="W676" t="n">
        <x:v>0</x:v>
      </x:c>
      <x:c r="X676" t="str"/>
      <x:c r="Y676" t="str">
        <x:v>Referral</x:v>
      </x:c>
    </x:row>
    <x:row r="677">
      <x:c r="A677" t="str">
        <x:v>O000676</x:v>
      </x:c>
      <x:c r="B677" s="20" t="n">
        <x:v>45839</x:v>
      </x:c>
      <x:c r="C677" t="str">
        <x:v>C0156</x:v>
      </x:c>
      <x:c r="D677" t="str">
        <x:v>Metro Stores 156</x:v>
      </x:c>
      <x:c r="E677" t="str">
        <x:v>Hotel</x:v>
      </x:c>
      <x:c r="F677" t="str">
        <x:v>Tumakuru</x:v>
      </x:c>
      <x:c r="G677" t="str">
        <x:v>Ramesh</x:v>
      </x:c>
      <x:c r="H677" t="str">
        <x:v>P007</x:v>
      </x:c>
      <x:c r="I677" t="str">
        <x:v>Sunflower Oil 15L</x:v>
      </x:c>
      <x:c r="J677" t="str">
        <x:v>Edible Oil</x:v>
      </x:c>
      <x:c r="K677" t="str">
        <x:v>Fortune</x:v>
      </x:c>
      <x:c r="L677" s="22" t="n">
        <x:v>1980</x:v>
      </x:c>
      <x:c r="M677" t="n">
        <x:v>2</x:v>
      </x:c>
      <x:c r="N677" s="24" t="n">
        <x:v>0.03</x:v>
      </x:c>
      <x:c r="O677" s="22" t="n">
        <x:f>L677*M677</x:f>
        <x:v>3960</x:v>
      </x:c>
      <x:c r="P677" s="22" t="n">
        <x:f>O677*(1-N677)</x:f>
        <x:v>3841.2</x:v>
      </x:c>
      <x:c r="Q677" s="22" t="n">
        <x:v>1810</x:v>
      </x:c>
      <x:c r="R677" s="22" t="n">
        <x:f>Q677*M677</x:f>
        <x:v>3620</x:v>
      </x:c>
      <x:c r="S677" s="22" t="n">
        <x:f>P677-R677</x:f>
        <x:v>221.19999999999982</x:v>
      </x:c>
      <x:c r="T677" t="str">
        <x:v>Credit</x:v>
      </x:c>
      <x:c r="U677" t="str">
        <x:v>Paid</x:v>
      </x:c>
      <x:c r="V677" t="str">
        <x:v>Cancelled</x:v>
      </x:c>
      <x:c r="W677" t="n">
        <x:v>2</x:v>
      </x:c>
      <x:c r="X677" t="str">
        <x:v>Cancelled Order</x:v>
      </x:c>
      <x:c r="Y677" t="str">
        <x:v>Outbound Call</x:v>
      </x:c>
    </x:row>
    <x:row r="678">
      <x:c r="A678" t="str">
        <x:v>O000677</x:v>
      </x:c>
      <x:c r="B678" s="20" t="n">
        <x:v>46024</x:v>
      </x:c>
      <x:c r="C678" t="str">
        <x:v>C0040</x:v>
      </x:c>
      <x:c r="D678" t="str">
        <x:v>Royal Foods 40</x:v>
      </x:c>
      <x:c r="E678" t="str">
        <x:v>Restaurant</x:v>
      </x:c>
      <x:c r="F678" t="str">
        <x:v>Mangaluru</x:v>
      </x:c>
      <x:c r="G678" t="str">
        <x:v>Kavya</x:v>
      </x:c>
      <x:c r="H678" t="str">
        <x:v>P029</x:v>
      </x:c>
      <x:c r="I678" t="str">
        <x:v>Tomato Ketchup 1kg</x:v>
      </x:c>
      <x:c r="J678" t="str">
        <x:v>Condiments</x:v>
      </x:c>
      <x:c r="K678" t="str">
        <x:v>Kissan</x:v>
      </x:c>
      <x:c r="L678" s="22" t="n">
        <x:v>145</x:v>
      </x:c>
      <x:c r="M678" t="n">
        <x:v>12</x:v>
      </x:c>
      <x:c r="N678" s="24" t="n">
        <x:v>0</x:v>
      </x:c>
      <x:c r="O678" s="22" t="n">
        <x:f>L678*M678</x:f>
        <x:v>1740</x:v>
      </x:c>
      <x:c r="P678" s="22" t="n">
        <x:f>O678*(1-N678)</x:f>
        <x:v>1740</x:v>
      </x:c>
      <x:c r="Q678" s="22" t="n">
        <x:v>126</x:v>
      </x:c>
      <x:c r="R678" s="22" t="n">
        <x:f>Q678*M678</x:f>
        <x:v>1512</x:v>
      </x:c>
      <x:c r="S678" s="22" t="n">
        <x:f>P678-R678</x:f>
        <x:v>228</x:v>
      </x:c>
      <x:c r="T678" t="str">
        <x:v>UPI</x:v>
      </x:c>
      <x:c r="U678" t="str">
        <x:v>Pending</x:v>
      </x:c>
      <x:c r="V678" t="str">
        <x:v>Delayed</x:v>
      </x:c>
      <x:c r="W678" t="n">
        <x:v>0</x:v>
      </x:c>
      <x:c r="X678" t="str"/>
      <x:c r="Y678" t="str">
        <x:v>Referral</x:v>
      </x:c>
    </x:row>
    <x:row r="679">
      <x:c r="A679" t="str">
        <x:v>O000678</x:v>
      </x:c>
      <x:c r="B679" s="20" t="n">
        <x:v>46193</x:v>
      </x:c>
      <x:c r="C679" t="str">
        <x:v>C0013</x:v>
      </x:c>
      <x:c r="D679" t="str">
        <x:v>Foodie Restaurant 13</x:v>
      </x:c>
      <x:c r="E679" t="str">
        <x:v>Kirana</x:v>
      </x:c>
      <x:c r="F679" t="str">
        <x:v>Mysuru</x:v>
      </x:c>
      <x:c r="G679" t="str">
        <x:v>Sneha</x:v>
      </x:c>
      <x:c r="H679" t="str">
        <x:v>P041</x:v>
      </x:c>
      <x:c r="I679" t="str">
        <x:v>Burger Bun 6pc</x:v>
      </x:c>
      <x:c r="J679" t="str">
        <x:v>Bakery</x:v>
      </x:c>
      <x:c r="K679" t="str">
        <x:v>Modern</x:v>
      </x:c>
      <x:c r="L679" s="22" t="n">
        <x:v>42</x:v>
      </x:c>
      <x:c r="M679" t="n">
        <x:v>7</x:v>
      </x:c>
      <x:c r="N679" s="24" t="n">
        <x:v>0.02</x:v>
      </x:c>
      <x:c r="O679" s="22" t="n">
        <x:f>L679*M679</x:f>
        <x:v>294</x:v>
      </x:c>
      <x:c r="P679" s="22" t="n">
        <x:f>O679*(1-N679)</x:f>
        <x:v>288.12</x:v>
      </x:c>
      <x:c r="Q679" s="22" t="n">
        <x:v>32</x:v>
      </x:c>
      <x:c r="R679" s="22" t="n">
        <x:f>Q679*M679</x:f>
        <x:v>224</x:v>
      </x:c>
      <x:c r="S679" s="22" t="n">
        <x:f>P679-R679</x:f>
        <x:v>64.12</x:v>
      </x:c>
      <x:c r="T679" t="str">
        <x:v>Cash</x:v>
      </x:c>
      <x:c r="U679" t="str">
        <x:v>Paid</x:v>
      </x:c>
      <x:c r="V679" t="str">
        <x:v>Delayed</x:v>
      </x:c>
      <x:c r="W679" t="n">
        <x:v>0</x:v>
      </x:c>
      <x:c r="X679" t="str"/>
      <x:c r="Y679" t="str">
        <x:v>Outbound Call</x:v>
      </x:c>
    </x:row>
    <x:row r="680">
      <x:c r="A680" t="str">
        <x:v>O000679</x:v>
      </x:c>
      <x:c r="B680" s="20" t="n">
        <x:v>45864</x:v>
      </x:c>
      <x:c r="C680" t="str">
        <x:v>C0097</x:v>
      </x:c>
      <x:c r="D680" t="str">
        <x:v>Classic Stores 97</x:v>
      </x:c>
      <x:c r="E680" t="str">
        <x:v>Restaurant</x:v>
      </x:c>
      <x:c r="F680" t="str">
        <x:v>Davanagere</x:v>
      </x:c>
      <x:c r="G680" t="str">
        <x:v>Priya</x:v>
      </x:c>
      <x:c r="H680" t="str">
        <x:v>P050</x:v>
      </x:c>
      <x:c r="I680" t="str">
        <x:v>Lemon 5kg</x:v>
      </x:c>
      <x:c r="J680" t="str">
        <x:v>Fresh Produce</x:v>
      </x:c>
      <x:c r="K680" t="str">
        <x:v>Local Market</x:v>
      </x:c>
      <x:c r="L680" s="22" t="n">
        <x:v>360</x:v>
      </x:c>
      <x:c r="M680" t="n">
        <x:v>16</x:v>
      </x:c>
      <x:c r="N680" s="24" t="n">
        <x:v>0.02</x:v>
      </x:c>
      <x:c r="O680" s="22" t="n">
        <x:f>L680*M680</x:f>
        <x:v>5760</x:v>
      </x:c>
      <x:c r="P680" s="22" t="n">
        <x:f>O680*(1-N680)</x:f>
        <x:v>5644.8</x:v>
      </x:c>
      <x:c r="Q680" s="22" t="n">
        <x:v>300</x:v>
      </x:c>
      <x:c r="R680" s="22" t="n">
        <x:f>Q680*M680</x:f>
        <x:v>4800</x:v>
      </x:c>
      <x:c r="S680" s="22" t="n">
        <x:f>P680-R680</x:f>
        <x:v>844.8000000000002</x:v>
      </x:c>
      <x:c r="T680" t="str">
        <x:v>Bank Transfer</x:v>
      </x:c>
      <x:c r="U680" t="str">
        <x:v>Paid</x:v>
      </x:c>
      <x:c r="V680" t="str">
        <x:v>Delivered</x:v>
      </x:c>
      <x:c r="W680" t="n">
        <x:v>0</x:v>
      </x:c>
      <x:c r="X680" t="str"/>
      <x:c r="Y680" t="str">
        <x:v>Outbound Call</x:v>
      </x:c>
    </x:row>
    <x:row r="681">
      <x:c r="A681" t="str">
        <x:v>O000680</x:v>
      </x:c>
      <x:c r="B681" s="20" t="n">
        <x:v>45722</x:v>
      </x:c>
      <x:c r="C681" t="str">
        <x:v>C0050</x:v>
      </x:c>
      <x:c r="D681" t="str">
        <x:v>Green Stores 50</x:v>
      </x:c>
      <x:c r="E681" t="str">
        <x:v>Restaurant</x:v>
      </x:c>
      <x:c r="F681" t="str">
        <x:v>Davanagere</x:v>
      </x:c>
      <x:c r="G681" t="str">
        <x:v>Vikram</x:v>
      </x:c>
      <x:c r="H681" t="str">
        <x:v>P044</x:v>
      </x:c>
      <x:c r="I681" t="str">
        <x:v>Chicken Curry Cut 1kg</x:v>
      </x:c>
      <x:c r="J681" t="str">
        <x:v>Protein</x:v>
      </x:c>
      <x:c r="K681" t="str">
        <x:v>FreshToHome</x:v>
      </x:c>
      <x:c r="L681" s="22" t="n">
        <x:v>230</x:v>
      </x:c>
      <x:c r="M681" t="n">
        <x:v>15</x:v>
      </x:c>
      <x:c r="N681" s="24" t="n">
        <x:v>0.1</x:v>
      </x:c>
      <x:c r="O681" s="22" t="n">
        <x:f>L681*M681</x:f>
        <x:v>3450</x:v>
      </x:c>
      <x:c r="P681" s="22" t="n">
        <x:f>O681*(1-N681)</x:f>
        <x:v>3105</x:v>
      </x:c>
      <x:c r="Q681" s="22" t="n">
        <x:v>205</x:v>
      </x:c>
      <x:c r="R681" s="22" t="n">
        <x:f>Q681*M681</x:f>
        <x:v>3075</x:v>
      </x:c>
      <x:c r="S681" s="22" t="n">
        <x:f>P681-R681</x:f>
        <x:v>30</x:v>
      </x:c>
      <x:c r="T681" t="str">
        <x:v>UPI</x:v>
      </x:c>
      <x:c r="U681" t="str">
        <x:v>Pending</x:v>
      </x:c>
      <x:c r="V681" t="str">
        <x:v>Cancelled</x:v>
      </x:c>
      <x:c r="W681" t="n">
        <x:v>15</x:v>
      </x:c>
      <x:c r="X681" t="str">
        <x:v>Cancelled Order</x:v>
      </x:c>
      <x:c r="Y681" t="str">
        <x:v>Referral</x:v>
      </x:c>
    </x:row>
    <x:row r="682">
      <x:c r="A682" t="str">
        <x:v>O000681</x:v>
      </x:c>
      <x:c r="B682" s="20" t="n">
        <x:v>46182</x:v>
      </x:c>
      <x:c r="C682" t="str">
        <x:v>C0012</x:v>
      </x:c>
      <x:c r="D682" t="str">
        <x:v>Sagar Canteen 12</x:v>
      </x:c>
      <x:c r="E682" t="str">
        <x:v>Supermarket</x:v>
      </x:c>
      <x:c r="F682" t="str">
        <x:v>Mysuru</x:v>
      </x:c>
      <x:c r="G682" t="str">
        <x:v>Priya</x:v>
      </x:c>
      <x:c r="H682" t="str">
        <x:v>P027</x:v>
      </x:c>
      <x:c r="I682" t="str">
        <x:v>Biscuits 120g</x:v>
      </x:c>
      <x:c r="J682" t="str">
        <x:v>Snacks</x:v>
      </x:c>
      <x:c r="K682" t="str">
        <x:v>Parle-G</x:v>
      </x:c>
      <x:c r="L682" s="22" t="n">
        <x:v>12</x:v>
      </x:c>
      <x:c r="M682" t="n">
        <x:v>7</x:v>
      </x:c>
      <x:c r="N682" s="24" t="n">
        <x:v>0.05</x:v>
      </x:c>
      <x:c r="O682" s="22" t="n">
        <x:f>L682*M682</x:f>
        <x:v>84</x:v>
      </x:c>
      <x:c r="P682" s="22" t="n">
        <x:f>O682*(1-N682)</x:f>
        <x:v>79.8</x:v>
      </x:c>
      <x:c r="Q682" s="22" t="n">
        <x:v>9</x:v>
      </x:c>
      <x:c r="R682" s="22" t="n">
        <x:f>Q682*M682</x:f>
        <x:v>63</x:v>
      </x:c>
      <x:c r="S682" s="22" t="n">
        <x:f>P682-R682</x:f>
        <x:v>16.799999999999997</x:v>
      </x:c>
      <x:c r="T682" t="str">
        <x:v>Cash</x:v>
      </x:c>
      <x:c r="U682" t="str">
        <x:v>Paid</x:v>
      </x:c>
      <x:c r="V682" t="str">
        <x:v>Delivered</x:v>
      </x:c>
      <x:c r="W682" t="n">
        <x:v>0</x:v>
      </x:c>
      <x:c r="X682" t="str"/>
      <x:c r="Y682" t="str">
        <x:v>Existing Customer</x:v>
      </x:c>
    </x:row>
    <x:row r="683">
      <x:c r="A683" t="str">
        <x:v>O000682</x:v>
      </x:c>
      <x:c r="B683" s="20" t="n">
        <x:v>45895</x:v>
      </x:c>
      <x:c r="C683" t="str">
        <x:v>C0110</x:v>
      </x:c>
      <x:c r="D683" t="str">
        <x:v>Metro Restaurant 110</x:v>
      </x:c>
      <x:c r="E683" t="str">
        <x:v>Hotel</x:v>
      </x:c>
      <x:c r="F683" t="str">
        <x:v>Mysuru</x:v>
      </x:c>
      <x:c r="G683" t="str">
        <x:v>Imran</x:v>
      </x:c>
      <x:c r="H683" t="str">
        <x:v>P008</x:v>
      </x:c>
      <x:c r="I683" t="str">
        <x:v>Palm Oil 15L</x:v>
      </x:c>
      <x:c r="J683" t="str">
        <x:v>Edible Oil</x:v>
      </x:c>
      <x:c r="K683" t="str">
        <x:v>Ruchi Gold</x:v>
      </x:c>
      <x:c r="L683" s="22" t="n">
        <x:v>1760</x:v>
      </x:c>
      <x:c r="M683" t="n">
        <x:v>2</x:v>
      </x:c>
      <x:c r="N683" s="24" t="n">
        <x:v>0.02</x:v>
      </x:c>
      <x:c r="O683" s="22" t="n">
        <x:f>L683*M683</x:f>
        <x:v>3520</x:v>
      </x:c>
      <x:c r="P683" s="22" t="n">
        <x:f>O683*(1-N683)</x:f>
        <x:v>3449.6</x:v>
      </x:c>
      <x:c r="Q683" s="22" t="n">
        <x:v>1610</x:v>
      </x:c>
      <x:c r="R683" s="22" t="n">
        <x:f>Q683*M683</x:f>
        <x:v>3220</x:v>
      </x:c>
      <x:c r="S683" s="22" t="n">
        <x:f>P683-R683</x:f>
        <x:v>229.5999999999999</x:v>
      </x:c>
      <x:c r="T683" t="str">
        <x:v>Bank Transfer</x:v>
      </x:c>
      <x:c r="U683" t="str">
        <x:v>Paid</x:v>
      </x:c>
      <x:c r="V683" t="str">
        <x:v>Cancelled</x:v>
      </x:c>
      <x:c r="W683" t="n">
        <x:v>2</x:v>
      </x:c>
      <x:c r="X683" t="str">
        <x:v>Cancelled Order</x:v>
      </x:c>
      <x:c r="Y683" t="str"/>
    </x:row>
    <x:row r="684">
      <x:c r="A684" t="str">
        <x:v>O000683</x:v>
      </x:c>
      <x:c r="B684" s="20" t="n">
        <x:v>45883</x:v>
      </x:c>
      <x:c r="C684" t="str">
        <x:v>C0055</x:v>
      </x:c>
      <x:c r="D684" t="str">
        <x:v>Royal Mart 55</x:v>
      </x:c>
      <x:c r="E684" t="str">
        <x:v>Restaurant</x:v>
      </x:c>
      <x:c r="F684" t="str">
        <x:v>Hubballi</x:v>
      </x:c>
      <x:c r="G684" t="str">
        <x:v>Vikram</x:v>
      </x:c>
      <x:c r="H684" t="str">
        <x:v>P030</x:v>
      </x:c>
      <x:c r="I684" t="str">
        <x:v>Mayonnaise 1kg</x:v>
      </x:c>
      <x:c r="J684" t="str">
        <x:v>Condiments</x:v>
      </x:c>
      <x:c r="K684" t="str">
        <x:v>Veeba</x:v>
      </x:c>
      <x:c r="L684" s="22" t="n">
        <x:v>210</x:v>
      </x:c>
      <x:c r="M684" t="n">
        <x:v>5</x:v>
      </x:c>
      <x:c r="N684" s="24" t="n">
        <x:v>0.05</x:v>
      </x:c>
      <x:c r="O684" s="22" t="n">
        <x:f>L684*M684</x:f>
        <x:v>1050</x:v>
      </x:c>
      <x:c r="P684" s="22" t="n">
        <x:f>O684*(1-N684)</x:f>
        <x:v>997.5</x:v>
      </x:c>
      <x:c r="Q684" s="22" t="n">
        <x:v>185</x:v>
      </x:c>
      <x:c r="R684" s="22" t="n">
        <x:f>Q684*M684</x:f>
        <x:v>925</x:v>
      </x:c>
      <x:c r="S684" s="22" t="n">
        <x:f>P684-R684</x:f>
        <x:v>72.5</x:v>
      </x:c>
      <x:c r="T684" t="str">
        <x:v>Cash</x:v>
      </x:c>
      <x:c r="U684" t="str">
        <x:v>Paid</x:v>
      </x:c>
      <x:c r="V684" t="str">
        <x:v>Delivered</x:v>
      </x:c>
      <x:c r="W684" t="n">
        <x:v>2</x:v>
      </x:c>
      <x:c r="X684" t="str">
        <x:v>Late Delivery</x:v>
      </x:c>
      <x:c r="Y684" t="str">
        <x:v>Field Visit</x:v>
      </x:c>
    </x:row>
    <x:row r="685">
      <x:c r="A685" t="str">
        <x:v>O000684</x:v>
      </x:c>
      <x:c r="B685" s="20" t="n">
        <x:v>46207</x:v>
      </x:c>
      <x:c r="C685" t="str">
        <x:v>C0128</x:v>
      </x:c>
      <x:c r="D685" t="str">
        <x:v>Fresh Hotel 128</x:v>
      </x:c>
      <x:c r="E685" t="str">
        <x:v>Kirana</x:v>
      </x:c>
      <x:c r="F685" t="str">
        <x:v>Tumakuru</x:v>
      </x:c>
      <x:c r="G685" t="str">
        <x:v>Priya</x:v>
      </x:c>
      <x:c r="H685" t="str">
        <x:v>P007</x:v>
      </x:c>
      <x:c r="I685" t="str">
        <x:v>Sunflower Oil 15L</x:v>
      </x:c>
      <x:c r="J685" t="str">
        <x:v>Edible Oil</x:v>
      </x:c>
      <x:c r="K685" t="str">
        <x:v>Fortune</x:v>
      </x:c>
      <x:c r="L685" s="22" t="n">
        <x:v>1980</x:v>
      </x:c>
      <x:c r="M685" t="n">
        <x:v>3</x:v>
      </x:c>
      <x:c r="N685" s="24" t="n">
        <x:v>0.02</x:v>
      </x:c>
      <x:c r="O685" s="22" t="n">
        <x:f>L685*M685</x:f>
        <x:v>5940</x:v>
      </x:c>
      <x:c r="P685" s="22" t="n">
        <x:f>O685*(1-N685)</x:f>
        <x:v>5821.2</x:v>
      </x:c>
      <x:c r="Q685" s="22" t="n">
        <x:v>1810</x:v>
      </x:c>
      <x:c r="R685" s="22" t="n">
        <x:f>Q685*M685</x:f>
        <x:v>5430</x:v>
      </x:c>
      <x:c r="S685" s="22" t="n">
        <x:f>P685-R685</x:f>
        <x:v>391.1999999999998</x:v>
      </x:c>
      <x:c r="T685" t="str">
        <x:v>UPI</x:v>
      </x:c>
      <x:c r="U685" t="str">
        <x:v>Paid</x:v>
      </x:c>
      <x:c r="V685" t="str">
        <x:v>Cancelled</x:v>
      </x:c>
      <x:c r="W685" t="n">
        <x:v>3</x:v>
      </x:c>
      <x:c r="X685" t="str">
        <x:v>Cancelled Order</x:v>
      </x:c>
      <x:c r="Y685" t="str">
        <x:v>WhatsApp</x:v>
      </x:c>
    </x:row>
    <x:row r="686">
      <x:c r="A686" t="str">
        <x:v>O000685</x:v>
      </x:c>
      <x:c r="B686" s="20" t="n">
        <x:v>45794</x:v>
      </x:c>
      <x:c r="C686" t="str">
        <x:v>C0249</x:v>
      </x:c>
      <x:c r="D686" t="str">
        <x:v>City Hotel 249</x:v>
      </x:c>
      <x:c r="E686" t="str">
        <x:v>Supermarket</x:v>
      </x:c>
      <x:c r="F686" t="str">
        <x:v>Mysuru</x:v>
      </x:c>
      <x:c r="G686" t="str">
        <x:v>Arjun</x:v>
      </x:c>
      <x:c r="H686" t="str">
        <x:v>P050</x:v>
      </x:c>
      <x:c r="I686" t="str">
        <x:v>Lemon 5kg</x:v>
      </x:c>
      <x:c r="J686" t="str">
        <x:v>Fresh Produce</x:v>
      </x:c>
      <x:c r="K686" t="str">
        <x:v>Local Market</x:v>
      </x:c>
      <x:c r="L686" s="22" t="n">
        <x:v>360</x:v>
      </x:c>
      <x:c r="M686" t="n">
        <x:v>22</x:v>
      </x:c>
      <x:c r="N686" s="24" t="n">
        <x:v>0</x:v>
      </x:c>
      <x:c r="O686" s="22" t="n">
        <x:f>L686*M686</x:f>
        <x:v>7920</x:v>
      </x:c>
      <x:c r="P686" s="22" t="n">
        <x:f>O686*(1-N686)</x:f>
        <x:v>7920</x:v>
      </x:c>
      <x:c r="Q686" s="22" t="n">
        <x:v>300</x:v>
      </x:c>
      <x:c r="R686" s="22" t="n">
        <x:f>Q686*M686</x:f>
        <x:v>6600</x:v>
      </x:c>
      <x:c r="S686" s="22" t="n">
        <x:f>P686-R686</x:f>
        <x:v>1320</x:v>
      </x:c>
      <x:c r="T686" t="str">
        <x:v>Cash</x:v>
      </x:c>
      <x:c r="U686" t="str">
        <x:v>Overdue</x:v>
      </x:c>
      <x:c r="V686" t="str">
        <x:v>Cancelled</x:v>
      </x:c>
      <x:c r="W686" t="n">
        <x:v>22</x:v>
      </x:c>
      <x:c r="X686" t="str">
        <x:v>Cancelled Order</x:v>
      </x:c>
      <x:c r="Y686" t="str">
        <x:v>WhatsApp</x:v>
      </x:c>
    </x:row>
    <x:row r="687">
      <x:c r="A687" t="str">
        <x:v>O000686</x:v>
      </x:c>
      <x:c r="B687" s="20" t="n">
        <x:v>46257</x:v>
      </x:c>
      <x:c r="C687" t="str">
        <x:v>C0005</x:v>
      </x:c>
      <x:c r="D687" t="str">
        <x:v>Sagar Kitchen 5</x:v>
      </x:c>
      <x:c r="E687" t="str">
        <x:v>Restaurant</x:v>
      </x:c>
      <x:c r="F687" t="str">
        <x:v>Hubballi</x:v>
      </x:c>
      <x:c r="G687" t="str">
        <x:v>Priya</x:v>
      </x:c>
      <x:c r="H687" t="str">
        <x:v>P039</x:v>
      </x:c>
      <x:c r="I687" t="str">
        <x:v>Ice Cream 4L</x:v>
      </x:c>
      <x:c r="J687" t="str">
        <x:v>Frozen</x:v>
      </x:c>
      <x:c r="K687" t="str">
        <x:v>Amul</x:v>
      </x:c>
      <x:c r="L687" s="22" t="n">
        <x:v>480</x:v>
      </x:c>
      <x:c r="M687" t="n">
        <x:v>29</x:v>
      </x:c>
      <x:c r="N687" s="24" t="n">
        <x:v>0.02</x:v>
      </x:c>
      <x:c r="O687" s="22" t="n">
        <x:f>L687*M687</x:f>
        <x:v>13920</x:v>
      </x:c>
      <x:c r="P687" s="22" t="n">
        <x:f>O687*(1-N687)</x:f>
        <x:v>13641.6</x:v>
      </x:c>
      <x:c r="Q687" s="22" t="n">
        <x:v>420</x:v>
      </x:c>
      <x:c r="R687" s="22" t="n">
        <x:f>Q687*M687</x:f>
        <x:v>12180</x:v>
      </x:c>
      <x:c r="S687" s="22" t="n">
        <x:f>P687-R687</x:f>
        <x:v>1461.6000000000004</x:v>
      </x:c>
      <x:c r="T687" t="str">
        <x:v>Bank Transfer</x:v>
      </x:c>
      <x:c r="U687" t="str">
        <x:v>Paid</x:v>
      </x:c>
      <x:c r="V687" t="str">
        <x:v>Cancelled</x:v>
      </x:c>
      <x:c r="W687" t="n">
        <x:v>29</x:v>
      </x:c>
      <x:c r="X687" t="str">
        <x:v>Cancelled Order</x:v>
      </x:c>
      <x:c r="Y687" t="str">
        <x:v>Outbound Call</x:v>
      </x:c>
    </x:row>
    <x:row r="688">
      <x:c r="A688" t="str">
        <x:v>O000687</x:v>
      </x:c>
      <x:c r="B688" s="20" t="n">
        <x:v>45785</x:v>
      </x:c>
      <x:c r="C688" t="str">
        <x:v>C0158</x:v>
      </x:c>
      <x:c r="D688" t="str">
        <x:v>Cafe Stores 158</x:v>
      </x:c>
      <x:c r="E688" t="str">
        <x:v>Cafe</x:v>
      </x:c>
      <x:c r="F688" t="str">
        <x:v>Mysuru</x:v>
      </x:c>
      <x:c r="G688" t="str">
        <x:v>Priya</x:v>
      </x:c>
      <x:c r="H688" t="str">
        <x:v>P049</x:v>
      </x:c>
      <x:c r="I688" t="str">
        <x:v>Apple 10kg</x:v>
      </x:c>
      <x:c r="J688" t="str">
        <x:v>Fresh Produce</x:v>
      </x:c>
      <x:c r="K688" t="str">
        <x:v>Local Market</x:v>
      </x:c>
      <x:c r="L688" s="22" t="n">
        <x:v>1450</x:v>
      </x:c>
      <x:c r="M688" t="n">
        <x:v>4</x:v>
      </x:c>
      <x:c r="N688" s="24" t="n">
        <x:v>0.05</x:v>
      </x:c>
      <x:c r="O688" s="22" t="n">
        <x:f>L688*M688</x:f>
        <x:v>5800</x:v>
      </x:c>
      <x:c r="P688" s="22" t="n">
        <x:f>O688*(1-N688)</x:f>
        <x:v>5510</x:v>
      </x:c>
      <x:c r="Q688" s="22" t="n">
        <x:v>1280</x:v>
      </x:c>
      <x:c r="R688" s="22" t="n">
        <x:f>Q688*M688</x:f>
        <x:v>5120</x:v>
      </x:c>
      <x:c r="S688" s="22" t="n">
        <x:f>P688-R688</x:f>
        <x:v>390</x:v>
      </x:c>
      <x:c r="T688" t="str">
        <x:v>Bank Transfer</x:v>
      </x:c>
      <x:c r="U688" t="str">
        <x:v>Paid</x:v>
      </x:c>
      <x:c r="V688" t="str">
        <x:v>Delivered</x:v>
      </x:c>
      <x:c r="W688" t="n">
        <x:v>0</x:v>
      </x:c>
      <x:c r="X688" t="str"/>
      <x:c r="Y688" t="str">
        <x:v>WhatsApp</x:v>
      </x:c>
    </x:row>
    <x:row r="689">
      <x:c r="A689" t="str">
        <x:v>O000688</x:v>
      </x:c>
      <x:c r="B689" s="20" t="n">
        <x:v>45867</x:v>
      </x:c>
      <x:c r="C689" t="str">
        <x:v>C0039</x:v>
      </x:c>
      <x:c r="D689" t="str">
        <x:v>Sagar Cafe 39</x:v>
      </x:c>
      <x:c r="E689" t="str">
        <x:v>Restaurant</x:v>
      </x:c>
      <x:c r="F689" t="str">
        <x:v>Hubballi</x:v>
      </x:c>
      <x:c r="G689" t="str">
        <x:v>Imran</x:v>
      </x:c>
      <x:c r="H689" t="str">
        <x:v>P025</x:v>
      </x:c>
      <x:c r="I689" t="str">
        <x:v>Potato Chips 100g</x:v>
      </x:c>
      <x:c r="J689" t="str">
        <x:v>Snacks</x:v>
      </x:c>
      <x:c r="K689" t="str">
        <x:v>Lay's</x:v>
      </x:c>
      <x:c r="L689" s="22" t="n">
        <x:v>35</x:v>
      </x:c>
      <x:c r="M689" t="n">
        <x:v>3</x:v>
      </x:c>
      <x:c r="N689" s="24" t="n">
        <x:v>0</x:v>
      </x:c>
      <x:c r="O689" s="22" t="n">
        <x:f>L689*M689</x:f>
        <x:v>105</x:v>
      </x:c>
      <x:c r="P689" s="22" t="n">
        <x:f>O689*(1-N689)</x:f>
        <x:v>105</x:v>
      </x:c>
      <x:c r="Q689" s="22" t="n">
        <x:v>27</x:v>
      </x:c>
      <x:c r="R689" s="22" t="n">
        <x:f>Q689*M689</x:f>
        <x:v>81</x:v>
      </x:c>
      <x:c r="S689" s="22" t="n">
        <x:f>P689-R689</x:f>
        <x:v>24</x:v>
      </x:c>
      <x:c r="T689" t="str">
        <x:v>Credit</x:v>
      </x:c>
      <x:c r="U689" t="str">
        <x:v>Pending</x:v>
      </x:c>
      <x:c r="V689" t="str">
        <x:v>Delivered</x:v>
      </x:c>
      <x:c r="W689" t="n">
        <x:v>0</x:v>
      </x:c>
      <x:c r="X689" t="str"/>
      <x:c r="Y689" t="str">
        <x:v>Field Visit</x:v>
      </x:c>
    </x:row>
    <x:row r="690">
      <x:c r="A690" t="str">
        <x:v>O000689</x:v>
      </x:c>
      <x:c r="B690" s="20" t="n">
        <x:v>46191</x:v>
      </x:c>
      <x:c r="C690" t="str">
        <x:v>C0195</x:v>
      </x:c>
      <x:c r="D690" t="str">
        <x:v>Classic Stores 195</x:v>
      </x:c>
      <x:c r="E690" t="str">
        <x:v>Canteen</x:v>
      </x:c>
      <x:c r="F690" t="str">
        <x:v>Davanagere</x:v>
      </x:c>
      <x:c r="G690" t="str">
        <x:v>Kavya</x:v>
      </x:c>
      <x:c r="H690" t="str">
        <x:v>P003</x:v>
      </x:c>
      <x:c r="I690" t="str">
        <x:v>Basmati Rice 5kg</x:v>
      </x:c>
      <x:c r="J690" t="str">
        <x:v>Staples</x:v>
      </x:c>
      <x:c r="K690" t="str">
        <x:v>India Gate</x:v>
      </x:c>
      <x:c r="L690" s="22" t="n">
        <x:v>690</x:v>
      </x:c>
      <x:c r="M690" t="n">
        <x:v>27</x:v>
      </x:c>
      <x:c r="N690" s="24" t="n">
        <x:v>0.05</x:v>
      </x:c>
      <x:c r="O690" s="22" t="n">
        <x:f>L690*M690</x:f>
        <x:v>18630</x:v>
      </x:c>
      <x:c r="P690" s="22" t="n">
        <x:f>O690*(1-N690)</x:f>
        <x:v>17698.5</x:v>
      </x:c>
      <x:c r="Q690" s="22" t="n">
        <x:v>610</x:v>
      </x:c>
      <x:c r="R690" s="22" t="n">
        <x:f>Q690*M690</x:f>
        <x:v>16470</x:v>
      </x:c>
      <x:c r="S690" s="22" t="n">
        <x:f>P690-R690</x:f>
        <x:v>1228.5</x:v>
      </x:c>
      <x:c r="T690" t="str">
        <x:v>Cash</x:v>
      </x:c>
      <x:c r="U690" t="str">
        <x:v>Pending</x:v>
      </x:c>
      <x:c r="V690" t="str">
        <x:v>Delivered</x:v>
      </x:c>
      <x:c r="W690" t="n">
        <x:v>0</x:v>
      </x:c>
      <x:c r="X690" t="str"/>
      <x:c r="Y690" t="str">
        <x:v>Field Visit</x:v>
      </x:c>
    </x:row>
    <x:row r="691">
      <x:c r="A691" t="str">
        <x:v>O000690</x:v>
      </x:c>
      <x:c r="B691" s="20" t="n">
        <x:v>45713</x:v>
      </x:c>
      <x:c r="C691" t="str">
        <x:v>C0053</x:v>
      </x:c>
      <x:c r="D691" t="str">
        <x:v>Fresh Cafe 53</x:v>
      </x:c>
      <x:c r="E691" t="str">
        <x:v>Supermarket</x:v>
      </x:c>
      <x:c r="F691" t="str">
        <x:v>Mangaluru</x:v>
      </x:c>
      <x:c r="G691" t="str">
        <x:v>Megha</x:v>
      </x:c>
      <x:c r="H691" t="str">
        <x:v>P035</x:v>
      </x:c>
      <x:c r="I691" t="str">
        <x:v>Coriander Powder 1kg</x:v>
      </x:c>
      <x:c r="J691" t="str">
        <x:v>Spices</x:v>
      </x:c>
      <x:c r="K691" t="str">
        <x:v>Everest</x:v>
      </x:c>
      <x:c r="L691" s="22" t="n">
        <x:v>280</x:v>
      </x:c>
      <x:c r="M691" t="n">
        <x:v>16</x:v>
      </x:c>
      <x:c r="N691" s="24" t="n">
        <x:v>0.05</x:v>
      </x:c>
      <x:c r="O691" s="22" t="n">
        <x:f>L691*M691</x:f>
        <x:v>4480</x:v>
      </x:c>
      <x:c r="P691" s="22" t="n">
        <x:f>O691*(1-N691)</x:f>
        <x:v>4256</x:v>
      </x:c>
      <x:c r="Q691" s="22" t="n">
        <x:v>245</x:v>
      </x:c>
      <x:c r="R691" s="22" t="n">
        <x:f>Q691*M691</x:f>
        <x:v>3920</x:v>
      </x:c>
      <x:c r="S691" s="22" t="n">
        <x:f>P691-R691</x:f>
        <x:v>336</x:v>
      </x:c>
      <x:c r="T691" t="str">
        <x:v>Bank Transfer</x:v>
      </x:c>
      <x:c r="U691" t="str">
        <x:v>Paid</x:v>
      </x:c>
      <x:c r="V691" t="str">
        <x:v>Delivered</x:v>
      </x:c>
      <x:c r="W691" t="n">
        <x:v>0</x:v>
      </x:c>
      <x:c r="X691" t="str"/>
      <x:c r="Y691" t="str">
        <x:v>Referral</x:v>
      </x:c>
    </x:row>
    <x:row r="692">
      <x:c r="A692" t="str">
        <x:v>O000691</x:v>
      </x:c>
      <x:c r="B692" s="20" t="n">
        <x:v>46161</x:v>
      </x:c>
      <x:c r="C692" t="str">
        <x:v>C0002</x:v>
      </x:c>
      <x:c r="D692" t="str">
        <x:v>City Kitchen 2</x:v>
      </x:c>
      <x:c r="E692" t="str">
        <x:v>Kirana</x:v>
      </x:c>
      <x:c r="F692" t="str">
        <x:v>Davanagere</x:v>
      </x:c>
      <x:c r="G692" t="str">
        <x:v>Arjun</x:v>
      </x:c>
      <x:c r="H692" t="str">
        <x:v>P005</x:v>
      </x:c>
      <x:c r="I692" t="str">
        <x:v>Chana Dal 5kg</x:v>
      </x:c>
      <x:c r="J692" t="str">
        <x:v>Pulses</x:v>
      </x:c>
      <x:c r="K692" t="str">
        <x:v>Local Select</x:v>
      </x:c>
      <x:c r="L692" s="22" t="n">
        <x:v>520</x:v>
      </x:c>
      <x:c r="M692" t="n">
        <x:v>5</x:v>
      </x:c>
      <x:c r="N692" s="24" t="n">
        <x:v>0.1</x:v>
      </x:c>
      <x:c r="O692" s="22" t="n">
        <x:f>L692*M692</x:f>
        <x:v>2600</x:v>
      </x:c>
      <x:c r="P692" s="22" t="n">
        <x:f>O692*(1-N692)</x:f>
        <x:v>2340</x:v>
      </x:c>
      <x:c r="Q692" s="22" t="n">
        <x:v>455</x:v>
      </x:c>
      <x:c r="R692" s="22" t="n">
        <x:f>Q692*M692</x:f>
        <x:v>2275</x:v>
      </x:c>
      <x:c r="S692" s="22" t="n">
        <x:f>P692-R692</x:f>
        <x:v>65</x:v>
      </x:c>
      <x:c r="T692" t="str">
        <x:v>UPI</x:v>
      </x:c>
      <x:c r="U692" t="str">
        <x:v>Paid</x:v>
      </x:c>
      <x:c r="V692" t="str">
        <x:v>Delivered</x:v>
      </x:c>
      <x:c r="W692" t="n">
        <x:v>0</x:v>
      </x:c>
      <x:c r="X692" t="str"/>
      <x:c r="Y692" t="str">
        <x:v>Referral</x:v>
      </x:c>
    </x:row>
    <x:row r="693">
      <x:c r="A693" t="str">
        <x:v>O000692</x:v>
      </x:c>
      <x:c r="B693" s="20" t="n">
        <x:v>45867</x:v>
      </x:c>
      <x:c r="C693" t="str">
        <x:v>C0152</x:v>
      </x:c>
      <x:c r="D693" t="str">
        <x:v>Metro Stores 152</x:v>
      </x:c>
      <x:c r="E693" t="str">
        <x:v>Cafe</x:v>
      </x:c>
      <x:c r="F693" t="str">
        <x:v>Hubballi</x:v>
      </x:c>
      <x:c r="G693" t="str">
        <x:v>Priya</x:v>
      </x:c>
      <x:c r="H693" t="str">
        <x:v>P036</x:v>
      </x:c>
      <x:c r="I693" t="str">
        <x:v>Garam Masala 500g</x:v>
      </x:c>
      <x:c r="J693" t="str">
        <x:v>Spices</x:v>
      </x:c>
      <x:c r="K693" t="str">
        <x:v>MDH</x:v>
      </x:c>
      <x:c r="L693" s="22" t="n">
        <x:v>265</x:v>
      </x:c>
      <x:c r="M693" t="n">
        <x:v>16</x:v>
      </x:c>
      <x:c r="N693" s="24" t="n">
        <x:v>0.03</x:v>
      </x:c>
      <x:c r="O693" s="22" t="n">
        <x:f>L693*M693</x:f>
        <x:v>4240</x:v>
      </x:c>
      <x:c r="P693" s="22" t="n">
        <x:f>O693*(1-N693)</x:f>
        <x:v>4112.8</x:v>
      </x:c>
      <x:c r="Q693" s="22" t="n">
        <x:v>230</x:v>
      </x:c>
      <x:c r="R693" s="22" t="n">
        <x:f>Q693*M693</x:f>
        <x:v>3680</x:v>
      </x:c>
      <x:c r="S693" s="22" t="n">
        <x:f>P693-R693</x:f>
        <x:v>432.8000000000002</x:v>
      </x:c>
      <x:c r="T693" t="str">
        <x:v>Credit</x:v>
      </x:c>
      <x:c r="U693" t="str">
        <x:v>Pending</x:v>
      </x:c>
      <x:c r="V693" t="str">
        <x:v>Delivered</x:v>
      </x:c>
      <x:c r="W693" t="n">
        <x:v>0</x:v>
      </x:c>
      <x:c r="X693" t="str"/>
      <x:c r="Y693" t="str">
        <x:v>Referral</x:v>
      </x:c>
    </x:row>
    <x:row r="694">
      <x:c r="A694" t="str">
        <x:v>O000693</x:v>
      </x:c>
      <x:c r="B694" s="20" t="n">
        <x:v>45912</x:v>
      </x:c>
      <x:c r="C694" t="str">
        <x:v>C0046</x:v>
      </x:c>
      <x:c r="D694" t="str">
        <x:v>Annapurna Foods 46</x:v>
      </x:c>
      <x:c r="E694" t="str">
        <x:v>Kirana</x:v>
      </x:c>
      <x:c r="F694" t="str">
        <x:v>Bengaluru</x:v>
      </x:c>
      <x:c r="G694" t="str">
        <x:v>Ramesh</x:v>
      </x:c>
      <x:c r="H694" t="str">
        <x:v>P039</x:v>
      </x:c>
      <x:c r="I694" t="str">
        <x:v>Ice Cream 4L</x:v>
      </x:c>
      <x:c r="J694" t="str">
        <x:v>Frozen</x:v>
      </x:c>
      <x:c r="K694" t="str">
        <x:v>Amul</x:v>
      </x:c>
      <x:c r="L694" s="22" t="n">
        <x:v>480</x:v>
      </x:c>
      <x:c r="M694" t="n">
        <x:v>20</x:v>
      </x:c>
      <x:c r="N694" s="24" t="n">
        <x:v>0.02</x:v>
      </x:c>
      <x:c r="O694" s="22" t="n">
        <x:f>L694*M694</x:f>
        <x:v>9600</x:v>
      </x:c>
      <x:c r="P694" s="22" t="n">
        <x:f>O694*(1-N694)</x:f>
        <x:v>9408</x:v>
      </x:c>
      <x:c r="Q694" s="22" t="n">
        <x:v>420</x:v>
      </x:c>
      <x:c r="R694" s="22" t="n">
        <x:f>Q694*M694</x:f>
        <x:v>8400</x:v>
      </x:c>
      <x:c r="S694" s="22" t="n">
        <x:f>P694-R694</x:f>
        <x:v>1008</x:v>
      </x:c>
      <x:c r="T694" t="str">
        <x:v>Credit</x:v>
      </x:c>
      <x:c r="U694" t="str">
        <x:v>Overdue</x:v>
      </x:c>
      <x:c r="V694" t="str">
        <x:v>Delivered</x:v>
      </x:c>
      <x:c r="W694" t="n">
        <x:v>0</x:v>
      </x:c>
      <x:c r="X694" t="str"/>
      <x:c r="Y694" t="str">
        <x:v>WhatsApp</x:v>
      </x:c>
    </x:row>
    <x:row r="695">
      <x:c r="A695" t="str">
        <x:v>O000694</x:v>
      </x:c>
      <x:c r="B695" s="20" t="n">
        <x:v>46065</x:v>
      </x:c>
      <x:c r="C695" t="str">
        <x:v>C0249</x:v>
      </x:c>
      <x:c r="D695" t="str">
        <x:v>City Hotel 249</x:v>
      </x:c>
      <x:c r="E695" t="str">
        <x:v>Supermarket</x:v>
      </x:c>
      <x:c r="F695" t="str">
        <x:v>Mysuru</x:v>
      </x:c>
      <x:c r="G695" t="str">
        <x:v>Arjun</x:v>
      </x:c>
      <x:c r="H695" t="str">
        <x:v>P024</x:v>
      </x:c>
      <x:c r="I695" t="str">
        <x:v>Orange Drink 1L</x:v>
      </x:c>
      <x:c r="J695" t="str">
        <x:v>Beverage</x:v>
      </x:c>
      <x:c r="K695" t="str">
        <x:v>Minute Maid</x:v>
      </x:c>
      <x:c r="L695" s="22" t="n">
        <x:v>105</x:v>
      </x:c>
      <x:c r="M695" t="n">
        <x:v>25</x:v>
      </x:c>
      <x:c r="N695" s="24" t="n">
        <x:v>0</x:v>
      </x:c>
      <x:c r="O695" s="22" t="n">
        <x:f>L695*M695</x:f>
        <x:v>2625</x:v>
      </x:c>
      <x:c r="P695" s="22" t="n">
        <x:f>O695*(1-N695)</x:f>
        <x:v>2625</x:v>
      </x:c>
      <x:c r="Q695" s="22" t="n">
        <x:v>88</x:v>
      </x:c>
      <x:c r="R695" s="22" t="n">
        <x:f>Q695*M695</x:f>
        <x:v>2200</x:v>
      </x:c>
      <x:c r="S695" s="22" t="n">
        <x:f>P695-R695</x:f>
        <x:v>425</x:v>
      </x:c>
      <x:c r="T695" t="str">
        <x:v>Credit</x:v>
      </x:c>
      <x:c r="U695" t="str">
        <x:v>Paid</x:v>
      </x:c>
      <x:c r="V695" t="str">
        <x:v>Delayed</x:v>
      </x:c>
      <x:c r="W695" t="n">
        <x:v>0</x:v>
      </x:c>
      <x:c r="X695" t="str"/>
      <x:c r="Y695" t="str">
        <x:v>WhatsApp</x:v>
      </x:c>
    </x:row>
    <x:row r="696">
      <x:c r="A696" t="str">
        <x:v>O000695</x:v>
      </x:c>
      <x:c r="B696" s="20" t="n">
        <x:v>45678</x:v>
      </x:c>
      <x:c r="C696" t="str">
        <x:v>C0210</x:v>
      </x:c>
      <x:c r="D696" t="str">
        <x:v>Spice Stores 210</x:v>
      </x:c>
      <x:c r="E696" t="str">
        <x:v>Cafe</x:v>
      </x:c>
      <x:c r="F696" t="str">
        <x:v>Davanagere</x:v>
      </x:c>
      <x:c r="G696" t="str">
        <x:v>Imran</x:v>
      </x:c>
      <x:c r="H696" t="str">
        <x:v>P031</x:v>
      </x:c>
      <x:c r="I696" t="str">
        <x:v>Chilli Sauce 700g</x:v>
      </x:c>
      <x:c r="J696" t="str">
        <x:v>Condiments</x:v>
      </x:c>
      <x:c r="K696" t="str">
        <x:v>Ching's</x:v>
      </x:c>
      <x:c r="L696" s="22" t="n">
        <x:v>130</x:v>
      </x:c>
      <x:c r="M696" t="n">
        <x:v>25</x:v>
      </x:c>
      <x:c r="N696" s="24" t="n">
        <x:v>0.03</x:v>
      </x:c>
      <x:c r="O696" s="22" t="n">
        <x:f>L696*M696</x:f>
        <x:v>3250</x:v>
      </x:c>
      <x:c r="P696" s="22" t="n">
        <x:f>O696*(1-N696)</x:f>
        <x:v>3152.5</x:v>
      </x:c>
      <x:c r="Q696" s="22" t="n">
        <x:v>112</x:v>
      </x:c>
      <x:c r="R696" s="22" t="n">
        <x:f>Q696*M696</x:f>
        <x:v>2800</x:v>
      </x:c>
      <x:c r="S696" s="22" t="n">
        <x:f>P696-R696</x:f>
        <x:v>352.5</x:v>
      </x:c>
      <x:c r="T696" t="str">
        <x:v>UPI</x:v>
      </x:c>
      <x:c r="U696" t="str">
        <x:v>Pending</x:v>
      </x:c>
      <x:c r="V696" t="str">
        <x:v>Delivered</x:v>
      </x:c>
      <x:c r="W696" t="n">
        <x:v>0</x:v>
      </x:c>
      <x:c r="X696" t="str"/>
      <x:c r="Y696" t="str">
        <x:v>Referral</x:v>
      </x:c>
    </x:row>
    <x:row r="697">
      <x:c r="A697" t="str">
        <x:v>O000696</x:v>
      </x:c>
      <x:c r="B697" s="20" t="n">
        <x:v>46047</x:v>
      </x:c>
      <x:c r="C697" t="str">
        <x:v>C0045</x:v>
      </x:c>
      <x:c r="D697" t="str">
        <x:v>Annapurna Restaurant 45</x:v>
      </x:c>
      <x:c r="E697" t="str">
        <x:v>Kirana</x:v>
      </x:c>
      <x:c r="F697" t="str">
        <x:v>Mysuru</x:v>
      </x:c>
      <x:c r="G697" t="str">
        <x:v>Arjun</x:v>
      </x:c>
      <x:c r="H697" t="str">
        <x:v>P017</x:v>
      </x:c>
      <x:c r="I697" t="str">
        <x:v>Butter 500g</x:v>
      </x:c>
      <x:c r="J697" t="str">
        <x:v>Dairy</x:v>
      </x:c>
      <x:c r="K697" t="str">
        <x:v>Amul</x:v>
      </x:c>
      <x:c r="L697" s="22" t="n">
        <x:v>285</x:v>
      </x:c>
      <x:c r="M697" t="n">
        <x:v>30</x:v>
      </x:c>
      <x:c r="N697" s="24" t="n">
        <x:v>0.02</x:v>
      </x:c>
      <x:c r="O697" s="22" t="n">
        <x:f>L697*M697</x:f>
        <x:v>8550</x:v>
      </x:c>
      <x:c r="P697" s="22" t="n">
        <x:f>O697*(1-N697)</x:f>
        <x:v>8379</x:v>
      </x:c>
      <x:c r="Q697" s="22" t="n">
        <x:v>258</x:v>
      </x:c>
      <x:c r="R697" s="22" t="n">
        <x:f>Q697*M697</x:f>
        <x:v>7740</x:v>
      </x:c>
      <x:c r="S697" s="22" t="n">
        <x:f>P697-R697</x:f>
        <x:v>639</x:v>
      </x:c>
      <x:c r="T697" t="str">
        <x:v>Cash</x:v>
      </x:c>
      <x:c r="U697" t="str">
        <x:v>Paid</x:v>
      </x:c>
      <x:c r="V697" t="str">
        <x:v>Delayed</x:v>
      </x:c>
      <x:c r="W697" t="n">
        <x:v>0</x:v>
      </x:c>
      <x:c r="X697" t="str"/>
      <x:c r="Y697" t="str">
        <x:v>WhatsApp</x:v>
      </x:c>
    </x:row>
    <x:row r="698">
      <x:c r="A698" t="str">
        <x:v>O000697</x:v>
      </x:c>
      <x:c r="B698" s="20" t="n">
        <x:v>46138</x:v>
      </x:c>
      <x:c r="C698" t="str">
        <x:v>C0035</x:v>
      </x:c>
      <x:c r="D698" t="str">
        <x:v>City Foods 35</x:v>
      </x:c>
      <x:c r="E698" t="str">
        <x:v>Kirana</x:v>
      </x:c>
      <x:c r="F698" t="str">
        <x:v>Bengaluru</x:v>
      </x:c>
      <x:c r="G698" t="str">
        <x:v>Megha</x:v>
      </x:c>
      <x:c r="H698" t="str">
        <x:v>P046</x:v>
      </x:c>
      <x:c r="I698" t="str">
        <x:v>Potato 25kg</x:v>
      </x:c>
      <x:c r="J698" t="str">
        <x:v>Fresh Produce</x:v>
      </x:c>
      <x:c r="K698" t="str">
        <x:v>Local Market</x:v>
      </x:c>
      <x:c r="L698" s="22" t="n">
        <x:v>700</x:v>
      </x:c>
      <x:c r="M698" t="n">
        <x:v>13</x:v>
      </x:c>
      <x:c r="N698" s="24" t="n">
        <x:v>0</x:v>
      </x:c>
      <x:c r="O698" s="22" t="n">
        <x:f>L698*M698</x:f>
        <x:v>9100</x:v>
      </x:c>
      <x:c r="P698" s="22" t="n">
        <x:f>O698*(1-N698)</x:f>
        <x:v>9100</x:v>
      </x:c>
      <x:c r="Q698" s="22" t="n">
        <x:v>610</x:v>
      </x:c>
      <x:c r="R698" s="22" t="n">
        <x:f>Q698*M698</x:f>
        <x:v>7930</x:v>
      </x:c>
      <x:c r="S698" s="22" t="n">
        <x:f>P698-R698</x:f>
        <x:v>1170</x:v>
      </x:c>
      <x:c r="T698" t="str">
        <x:v>Bank Transfer</x:v>
      </x:c>
      <x:c r="U698" t="str">
        <x:v>Paid</x:v>
      </x:c>
      <x:c r="V698" t="str">
        <x:v>Delayed</x:v>
      </x:c>
      <x:c r="W698" t="n">
        <x:v>0</x:v>
      </x:c>
      <x:c r="X698" t="str"/>
      <x:c r="Y698" t="str">
        <x:v>Field Visit</x:v>
      </x:c>
    </x:row>
    <x:row r="699">
      <x:c r="A699" t="str">
        <x:v>O000698</x:v>
      </x:c>
      <x:c r="B699" s="20" t="n">
        <x:v>46062</x:v>
      </x:c>
      <x:c r="C699" t="str">
        <x:v>C0237</x:v>
      </x:c>
      <x:c r="D699" t="str">
        <x:v>Mysore Restaurant 237</x:v>
      </x:c>
      <x:c r="E699" t="str">
        <x:v>Restaurant</x:v>
      </x:c>
      <x:c r="F699" t="str">
        <x:v>Bengaluru</x:v>
      </x:c>
      <x:c r="G699" t="str">
        <x:v>Sneha</x:v>
      </x:c>
      <x:c r="H699" t="str">
        <x:v>P027</x:v>
      </x:c>
      <x:c r="I699" t="str">
        <x:v>Biscuits 120g</x:v>
      </x:c>
      <x:c r="J699" t="str">
        <x:v>Snacks</x:v>
      </x:c>
      <x:c r="K699" t="str">
        <x:v>Parle-G</x:v>
      </x:c>
      <x:c r="L699" s="22" t="n">
        <x:v>12</x:v>
      </x:c>
      <x:c r="M699" t="n">
        <x:v>24</x:v>
      </x:c>
      <x:c r="N699" s="24" t="n">
        <x:v>0.02</x:v>
      </x:c>
      <x:c r="O699" s="22" t="n">
        <x:f>L699*M699</x:f>
        <x:v>288</x:v>
      </x:c>
      <x:c r="P699" s="22" t="n">
        <x:f>O699*(1-N699)</x:f>
        <x:v>282.24</x:v>
      </x:c>
      <x:c r="Q699" s="22" t="n">
        <x:v>9</x:v>
      </x:c>
      <x:c r="R699" s="22" t="n">
        <x:f>Q699*M699</x:f>
        <x:v>216</x:v>
      </x:c>
      <x:c r="S699" s="22" t="n">
        <x:f>P699-R699</x:f>
        <x:v>66.24000000000001</x:v>
      </x:c>
      <x:c r="T699" t="str">
        <x:v>Cash</x:v>
      </x:c>
      <x:c r="U699" t="str">
        <x:v>Paid</x:v>
      </x:c>
      <x:c r="V699" t="str">
        <x:v>Delayed</x:v>
      </x:c>
      <x:c r="W699" t="n">
        <x:v>0</x:v>
      </x:c>
      <x:c r="X699" t="str"/>
      <x:c r="Y699" t="str">
        <x:v>Outbound Call</x:v>
      </x:c>
    </x:row>
    <x:row r="700">
      <x:c r="A700" t="str">
        <x:v>O000699</x:v>
      </x:c>
      <x:c r="B700" s="20" t="n">
        <x:v>46052</x:v>
      </x:c>
      <x:c r="C700" t="str">
        <x:v>C0010</x:v>
      </x:c>
      <x:c r="D700" t="str">
        <x:v>Royal Hotel 10</x:v>
      </x:c>
      <x:c r="E700" t="str">
        <x:v>Canteen</x:v>
      </x:c>
      <x:c r="F700" t="str">
        <x:v>Davanagere</x:v>
      </x:c>
      <x:c r="G700" t="str">
        <x:v>Ramesh</x:v>
      </x:c>
      <x:c r="H700" t="str">
        <x:v>P008</x:v>
      </x:c>
      <x:c r="I700" t="str">
        <x:v>Palm Oil 15L</x:v>
      </x:c>
      <x:c r="J700" t="str">
        <x:v>Edible Oil</x:v>
      </x:c>
      <x:c r="K700" t="str">
        <x:v>Ruchi Gold</x:v>
      </x:c>
      <x:c r="L700" s="22" t="n">
        <x:v>1760</x:v>
      </x:c>
      <x:c r="M700" t="n">
        <x:v>3</x:v>
      </x:c>
      <x:c r="N700" s="24" t="n">
        <x:v>0</x:v>
      </x:c>
      <x:c r="O700" s="22" t="n">
        <x:f>L700*M700</x:f>
        <x:v>5280</x:v>
      </x:c>
      <x:c r="P700" s="22" t="n">
        <x:f>O700*(1-N700)</x:f>
        <x:v>5280</x:v>
      </x:c>
      <x:c r="Q700" s="22" t="n">
        <x:v>1610</x:v>
      </x:c>
      <x:c r="R700" s="22" t="n">
        <x:f>Q700*M700</x:f>
        <x:v>4830</x:v>
      </x:c>
      <x:c r="S700" s="22" t="n">
        <x:f>P700-R700</x:f>
        <x:v>450</x:v>
      </x:c>
      <x:c r="T700" t="str">
        <x:v>Credit</x:v>
      </x:c>
      <x:c r="U700" t="str">
        <x:v>Overdue</x:v>
      </x:c>
      <x:c r="V700" t="str">
        <x:v>Cancelled</x:v>
      </x:c>
      <x:c r="W700" t="n">
        <x:v>3</x:v>
      </x:c>
      <x:c r="X700" t="str">
        <x:v>Cancelled Order</x:v>
      </x:c>
      <x:c r="Y700" t="str">
        <x:v>Field Visit</x:v>
      </x:c>
    </x:row>
    <x:row r="701">
      <x:c r="A701" t="str">
        <x:v>O000700</x:v>
      </x:c>
      <x:c r="B701" s="20" t="n">
        <x:v>46035</x:v>
      </x:c>
      <x:c r="C701" t="str">
        <x:v>C0126</x:v>
      </x:c>
      <x:c r="D701" t="str">
        <x:v>Mysore Hotel 126</x:v>
      </x:c>
      <x:c r="E701" t="str">
        <x:v>Restaurant</x:v>
      </x:c>
      <x:c r="F701" t="str">
        <x:v>Mangaluru</x:v>
      </x:c>
      <x:c r="G701" t="str">
        <x:v>Vikram</x:v>
      </x:c>
      <x:c r="H701" t="str">
        <x:v>P041</x:v>
      </x:c>
      <x:c r="I701" t="str">
        <x:v>Burger Bun 6pc</x:v>
      </x:c>
      <x:c r="J701" t="str">
        <x:v>Bakery</x:v>
      </x:c>
      <x:c r="K701" t="str">
        <x:v>Modern</x:v>
      </x:c>
      <x:c r="L701" s="22" t="n">
        <x:v>42</x:v>
      </x:c>
      <x:c r="M701" t="n">
        <x:v>4</x:v>
      </x:c>
      <x:c r="N701" s="24" t="n">
        <x:v>0.05</x:v>
      </x:c>
      <x:c r="O701" s="22" t="n">
        <x:f>L701*M701</x:f>
        <x:v>168</x:v>
      </x:c>
      <x:c r="P701" s="22" t="n">
        <x:f>O701*(1-N701)</x:f>
        <x:v>159.6</x:v>
      </x:c>
      <x:c r="Q701" s="22" t="n">
        <x:v>32</x:v>
      </x:c>
      <x:c r="R701" s="22" t="n">
        <x:f>Q701*M701</x:f>
        <x:v>128</x:v>
      </x:c>
      <x:c r="S701" s="22" t="n">
        <x:f>P701-R701</x:f>
        <x:v>31.599999999999994</x:v>
      </x:c>
      <x:c r="T701" t="str">
        <x:v>Credit</x:v>
      </x:c>
      <x:c r="U701" t="str">
        <x:v>Pending</x:v>
      </x:c>
      <x:c r="V701" t="str">
        <x:v>Delivered</x:v>
      </x:c>
      <x:c r="W701" t="n">
        <x:v>0</x:v>
      </x:c>
      <x:c r="X701" t="str"/>
      <x:c r="Y701" t="str">
        <x:v>Field Visit</x:v>
      </x:c>
    </x:row>
    <x:row r="702">
      <x:c r="A702" t="str">
        <x:v>O000701</x:v>
      </x:c>
      <x:c r="B702" s="20" t="n">
        <x:v>45809</x:v>
      </x:c>
      <x:c r="C702" t="str">
        <x:v>C0174</x:v>
      </x:c>
      <x:c r="D702" t="str">
        <x:v>Classic Stores 174</x:v>
      </x:c>
      <x:c r="E702" t="str">
        <x:v>Kirana</x:v>
      </x:c>
      <x:c r="F702" t="str">
        <x:v>Mysuru</x:v>
      </x:c>
      <x:c r="G702" t="str">
        <x:v>Vikram</x:v>
      </x:c>
      <x:c r="H702" t="str">
        <x:v>P002</x:v>
      </x:c>
      <x:c r="I702" t="str">
        <x:v>Sona Masoori Rice 25kg</x:v>
      </x:c>
      <x:c r="J702" t="str">
        <x:v>Staples</x:v>
      </x:c>
      <x:c r="K702" t="str">
        <x:v>Fortune</x:v>
      </x:c>
      <x:c r="L702" s="22" t="n">
        <x:v>1320</x:v>
      </x:c>
      <x:c r="M702" t="n">
        <x:v>10</x:v>
      </x:c>
      <x:c r="N702" s="24" t="n">
        <x:v>0.03</x:v>
      </x:c>
      <x:c r="O702" s="22" t="n">
        <x:f>L702*M702</x:f>
        <x:v>13200</x:v>
      </x:c>
      <x:c r="P702" s="22" t="n">
        <x:f>O702*(1-N702)</x:f>
        <x:v>12804</x:v>
      </x:c>
      <x:c r="Q702" s="22" t="n">
        <x:v>1160</x:v>
      </x:c>
      <x:c r="R702" s="22" t="n">
        <x:f>Q702*M702</x:f>
        <x:v>11600</x:v>
      </x:c>
      <x:c r="S702" s="22" t="n">
        <x:f>P702-R702</x:f>
        <x:v>1204</x:v>
      </x:c>
      <x:c r="T702" t="str">
        <x:v>Bank Transfer</x:v>
      </x:c>
      <x:c r="U702" t="str">
        <x:v>Paid</x:v>
      </x:c>
      <x:c r="V702" t="str">
        <x:v>Delayed</x:v>
      </x:c>
      <x:c r="W702" t="n">
        <x:v>0</x:v>
      </x:c>
      <x:c r="X702" t="str"/>
      <x:c r="Y702" t="str">
        <x:v>Existing Customer</x:v>
      </x:c>
    </x:row>
    <x:row r="703">
      <x:c r="A703" t="str">
        <x:v>O000702</x:v>
      </x:c>
      <x:c r="B703" s="20" t="n">
        <x:v>45670</x:v>
      </x:c>
      <x:c r="C703" t="str">
        <x:v>C0216</x:v>
      </x:c>
      <x:c r="D703" t="str">
        <x:v>Cafe Restaurant 216</x:v>
      </x:c>
      <x:c r="E703" t="str">
        <x:v>Canteen</x:v>
      </x:c>
      <x:c r="F703" t="str">
        <x:v>Bengaluru</x:v>
      </x:c>
      <x:c r="G703" t="str">
        <x:v>Vikram</x:v>
      </x:c>
      <x:c r="H703" t="str">
        <x:v>P011</x:v>
      </x:c>
      <x:c r="I703" t="str">
        <x:v>Salt 1kg</x:v>
      </x:c>
      <x:c r="J703" t="str">
        <x:v>Staples</x:v>
      </x:c>
      <x:c r="K703" t="str">
        <x:v>Tata</x:v>
      </x:c>
      <x:c r="L703" s="22" t="n">
        <x:v>28</x:v>
      </x:c>
      <x:c r="M703" t="n">
        <x:v>8</x:v>
      </x:c>
      <x:c r="N703" s="24" t="n">
        <x:v>0.05</x:v>
      </x:c>
      <x:c r="O703" s="22" t="n">
        <x:f>L703*M703</x:f>
        <x:v>224</x:v>
      </x:c>
      <x:c r="P703" s="22" t="n">
        <x:f>O703*(1-N703)</x:f>
        <x:v>212.79999999999998</x:v>
      </x:c>
      <x:c r="Q703" s="22" t="n">
        <x:v>23</x:v>
      </x:c>
      <x:c r="R703" s="22" t="n">
        <x:f>Q703*M703</x:f>
        <x:v>184</x:v>
      </x:c>
      <x:c r="S703" s="22" t="n">
        <x:f>P703-R703</x:f>
        <x:v>28.799999999999983</x:v>
      </x:c>
      <x:c r="T703" t="str">
        <x:v>Credit</x:v>
      </x:c>
      <x:c r="U703" t="str">
        <x:v>Paid</x:v>
      </x:c>
      <x:c r="V703" t="str">
        <x:v>Delayed</x:v>
      </x:c>
      <x:c r="W703" t="n">
        <x:v>0</x:v>
      </x:c>
      <x:c r="X703" t="str"/>
      <x:c r="Y703" t="str">
        <x:v>Outbound Call</x:v>
      </x:c>
    </x:row>
    <x:row r="704">
      <x:c r="A704" t="str">
        <x:v>O000703</x:v>
      </x:c>
      <x:c r="B704" s="20" t="n">
        <x:v>45827</x:v>
      </x:c>
      <x:c r="C704" t="str">
        <x:v>C0049</x:v>
      </x:c>
      <x:c r="D704" t="str">
        <x:v>Namma Stores 49</x:v>
      </x:c>
      <x:c r="E704" t="str">
        <x:v>Hotel</x:v>
      </x:c>
      <x:c r="F704" t="str">
        <x:v>Mangaluru</x:v>
      </x:c>
      <x:c r="G704" t="str">
        <x:v>Sneha</x:v>
      </x:c>
      <x:c r="H704" t="str">
        <x:v>P028</x:v>
      </x:c>
      <x:c r="I704" t="str">
        <x:v>Cookies 200g</x:v>
      </x:c>
      <x:c r="J704" t="str">
        <x:v>Snacks</x:v>
      </x:c>
      <x:c r="K704" t="str">
        <x:v>Britannia</x:v>
      </x:c>
      <x:c r="L704" s="22" t="n">
        <x:v>55</x:v>
      </x:c>
      <x:c r="M704" t="n">
        <x:v>28</x:v>
      </x:c>
      <x:c r="N704" s="24" t="n">
        <x:v>0.02</x:v>
      </x:c>
      <x:c r="O704" s="22" t="n">
        <x:f>L704*M704</x:f>
        <x:v>1540</x:v>
      </x:c>
      <x:c r="P704" s="22" t="n">
        <x:f>O704*(1-N704)</x:f>
        <x:v>1509.2</x:v>
      </x:c>
      <x:c r="Q704" s="22" t="n">
        <x:v>42</x:v>
      </x:c>
      <x:c r="R704" s="22" t="n">
        <x:f>Q704*M704</x:f>
        <x:v>1176</x:v>
      </x:c>
      <x:c r="S704" s="22" t="n">
        <x:f>P704-R704</x:f>
        <x:v>333.20000000000005</x:v>
      </x:c>
      <x:c r="T704" t="str">
        <x:v>Cash</x:v>
      </x:c>
      <x:c r="U704" t="str">
        <x:v>Paid</x:v>
      </x:c>
      <x:c r="V704" t="str">
        <x:v>Delayed</x:v>
      </x:c>
      <x:c r="W704" t="n">
        <x:v>0</x:v>
      </x:c>
      <x:c r="X704" t="str"/>
      <x:c r="Y704" t="str">
        <x:v>WhatsApp</x:v>
      </x:c>
    </x:row>
    <x:row r="705">
      <x:c r="A705" t="str">
        <x:v>O000704</x:v>
      </x:c>
      <x:c r="B705" s="20" t="n">
        <x:v>45749</x:v>
      </x:c>
      <x:c r="C705" t="str">
        <x:v>C0188</x:v>
      </x:c>
      <x:c r="D705" t="str">
        <x:v>New Canteen 188</x:v>
      </x:c>
      <x:c r="E705" t="str">
        <x:v>Restaurant</x:v>
      </x:c>
      <x:c r="F705" t="str">
        <x:v>Bengaluru</x:v>
      </x:c>
      <x:c r="G705" t="str">
        <x:v>Kavya</x:v>
      </x:c>
      <x:c r="H705" t="str">
        <x:v>P027</x:v>
      </x:c>
      <x:c r="I705" t="str">
        <x:v>Biscuits 120g</x:v>
      </x:c>
      <x:c r="J705" t="str">
        <x:v>Snacks</x:v>
      </x:c>
      <x:c r="K705" t="str">
        <x:v>Parle-G</x:v>
      </x:c>
      <x:c r="L705" s="22" t="n">
        <x:v>12</x:v>
      </x:c>
      <x:c r="M705" t="n">
        <x:v>7</x:v>
      </x:c>
      <x:c r="N705" s="24" t="n">
        <x:v>0.05</x:v>
      </x:c>
      <x:c r="O705" s="22" t="n">
        <x:f>L705*M705</x:f>
        <x:v>84</x:v>
      </x:c>
      <x:c r="P705" s="22" t="n">
        <x:f>O705*(1-N705)</x:f>
        <x:v>79.8</x:v>
      </x:c>
      <x:c r="Q705" s="22" t="n">
        <x:v>9</x:v>
      </x:c>
      <x:c r="R705" s="22" t="n">
        <x:f>Q705*M705</x:f>
        <x:v>63</x:v>
      </x:c>
      <x:c r="S705" s="22" t="n">
        <x:f>P705-R705</x:f>
        <x:v>16.799999999999997</x:v>
      </x:c>
      <x:c r="T705" t="str">
        <x:v>Cash</x:v>
      </x:c>
      <x:c r="U705" t="str">
        <x:v>Pending</x:v>
      </x:c>
      <x:c r="V705" t="str">
        <x:v>Delivered</x:v>
      </x:c>
      <x:c r="W705" t="n">
        <x:v>0</x:v>
      </x:c>
      <x:c r="X705" t="str"/>
      <x:c r="Y705" t="str">
        <x:v>WhatsApp</x:v>
      </x:c>
    </x:row>
    <x:row r="706">
      <x:c r="A706" t="str">
        <x:v>O000705</x:v>
      </x:c>
      <x:c r="B706" s="20" t="n">
        <x:v>46161</x:v>
      </x:c>
      <x:c r="C706" t="str">
        <x:v>C0002</x:v>
      </x:c>
      <x:c r="D706" t="str">
        <x:v>City Kitchen 2</x:v>
      </x:c>
      <x:c r="E706" t="str">
        <x:v>Kirana</x:v>
      </x:c>
      <x:c r="F706" t="str">
        <x:v>Davanagere</x:v>
      </x:c>
      <x:c r="G706" t="str">
        <x:v>Arjun</x:v>
      </x:c>
      <x:c r="H706" t="str">
        <x:v>P011</x:v>
      </x:c>
      <x:c r="I706" t="str">
        <x:v>Salt 1kg</x:v>
      </x:c>
      <x:c r="J706" t="str">
        <x:v>Staples</x:v>
      </x:c>
      <x:c r="K706" t="str">
        <x:v>Tata</x:v>
      </x:c>
      <x:c r="L706" s="22" t="n">
        <x:v>28</x:v>
      </x:c>
      <x:c r="M706" t="n">
        <x:v>1</x:v>
      </x:c>
      <x:c r="N706" s="24" t="n">
        <x:v>0</x:v>
      </x:c>
      <x:c r="O706" s="22" t="n">
        <x:f>L706*M706</x:f>
        <x:v>28</x:v>
      </x:c>
      <x:c r="P706" s="22" t="n">
        <x:f>O706*(1-N706)</x:f>
        <x:v>28</x:v>
      </x:c>
      <x:c r="Q706" s="22" t="n">
        <x:v>23</x:v>
      </x:c>
      <x:c r="R706" s="22" t="n">
        <x:f>Q706*M706</x:f>
        <x:v>23</x:v>
      </x:c>
      <x:c r="S706" s="22" t="n">
        <x:f>P706-R706</x:f>
        <x:v>5</x:v>
      </x:c>
      <x:c r="T706" t="str">
        <x:v>Credit</x:v>
      </x:c>
      <x:c r="U706" t="str">
        <x:v>Paid</x:v>
      </x:c>
      <x:c r="V706" t="str">
        <x:v>Cancelled</x:v>
      </x:c>
      <x:c r="W706" t="n">
        <x:v>1</x:v>
      </x:c>
      <x:c r="X706" t="str">
        <x:v>Cancelled Order</x:v>
      </x:c>
      <x:c r="Y706" t="str">
        <x:v>Field Visit</x:v>
      </x:c>
    </x:row>
    <x:row r="707">
      <x:c r="A707" t="str">
        <x:v>O000706</x:v>
      </x:c>
      <x:c r="B707" s="20" t="n">
        <x:v>46041</x:v>
      </x:c>
      <x:c r="C707" t="str">
        <x:v>C0044</x:v>
      </x:c>
      <x:c r="D707" t="str">
        <x:v>Annapurna Mart 44</x:v>
      </x:c>
      <x:c r="E707" t="str">
        <x:v>Kirana</x:v>
      </x:c>
      <x:c r="F707" t="str">
        <x:v>Davanagere</x:v>
      </x:c>
      <x:c r="G707" t="str">
        <x:v>Priya</x:v>
      </x:c>
      <x:c r="H707" t="str">
        <x:v>P012</x:v>
      </x:c>
      <x:c r="I707" t="str">
        <x:v>Maida 10kg</x:v>
      </x:c>
      <x:c r="J707" t="str">
        <x:v>Flour</x:v>
      </x:c>
      <x:c r="K707" t="str">
        <x:v>Aashirvaad</x:v>
      </x:c>
      <x:c r="L707" s="22" t="n">
        <x:v>520</x:v>
      </x:c>
      <x:c r="M707" t="n">
        <x:v>12</x:v>
      </x:c>
      <x:c r="N707" s="24" t="n">
        <x:v>0.05</x:v>
      </x:c>
      <x:c r="O707" s="22" t="n">
        <x:f>L707*M707</x:f>
        <x:v>6240</x:v>
      </x:c>
      <x:c r="P707" s="22" t="n">
        <x:f>O707*(1-N707)</x:f>
        <x:v>5928</x:v>
      </x:c>
      <x:c r="Q707" s="22" t="n">
        <x:v>460</x:v>
      </x:c>
      <x:c r="R707" s="22" t="n">
        <x:f>Q707*M707</x:f>
        <x:v>5520</x:v>
      </x:c>
      <x:c r="S707" s="22" t="n">
        <x:f>P707-R707</x:f>
        <x:v>408</x:v>
      </x:c>
      <x:c r="T707" t="str">
        <x:v>Bank Transfer</x:v>
      </x:c>
      <x:c r="U707" t="str">
        <x:v>Paid</x:v>
      </x:c>
      <x:c r="V707" t="str">
        <x:v>Delayed</x:v>
      </x:c>
      <x:c r="W707" t="n">
        <x:v>0</x:v>
      </x:c>
      <x:c r="X707" t="str"/>
      <x:c r="Y707" t="str">
        <x:v>Outbound Call</x:v>
      </x:c>
    </x:row>
    <x:row r="708">
      <x:c r="A708" t="str">
        <x:v>O000707</x:v>
      </x:c>
      <x:c r="B708" s="20" t="n">
        <x:v>45848</x:v>
      </x:c>
      <x:c r="C708" t="str">
        <x:v>C0209</x:v>
      </x:c>
      <x:c r="D708" t="str">
        <x:v>Shree Hotel 209</x:v>
      </x:c>
      <x:c r="E708" t="str">
        <x:v>Restaurant</x:v>
      </x:c>
      <x:c r="F708" t="str">
        <x:v>Tumakuru</x:v>
      </x:c>
      <x:c r="G708" t="str">
        <x:v>Ramesh</x:v>
      </x:c>
      <x:c r="H708" t="str">
        <x:v>P014</x:v>
      </x:c>
      <x:c r="I708" t="str">
        <x:v>Rava 5kg</x:v>
      </x:c>
      <x:c r="J708" t="str">
        <x:v>Flour</x:v>
      </x:c>
      <x:c r="K708" t="str">
        <x:v>Local Select</x:v>
      </x:c>
      <x:c r="L708" s="22" t="n">
        <x:v>245</x:v>
      </x:c>
      <x:c r="M708" t="n">
        <x:v>13</x:v>
      </x:c>
      <x:c r="N708" s="24" t="n">
        <x:v>0</x:v>
      </x:c>
      <x:c r="O708" s="22" t="n">
        <x:f>L708*M708</x:f>
        <x:v>3185</x:v>
      </x:c>
      <x:c r="P708" s="22" t="n">
        <x:f>O708*(1-N708)</x:f>
        <x:v>3185</x:v>
      </x:c>
      <x:c r="Q708" s="22" t="n">
        <x:v>215</x:v>
      </x:c>
      <x:c r="R708" s="22" t="n">
        <x:f>Q708*M708</x:f>
        <x:v>2795</x:v>
      </x:c>
      <x:c r="S708" s="22" t="n">
        <x:f>P708-R708</x:f>
        <x:v>390</x:v>
      </x:c>
      <x:c r="T708" t="str">
        <x:v>Bank Transfer</x:v>
      </x:c>
      <x:c r="U708" t="str">
        <x:v>Pending</x:v>
      </x:c>
      <x:c r="V708" t="str">
        <x:v>Delivered</x:v>
      </x:c>
      <x:c r="W708" t="n">
        <x:v>0</x:v>
      </x:c>
      <x:c r="X708" t="str"/>
      <x:c r="Y708" t="str">
        <x:v>WhatsApp</x:v>
      </x:c>
    </x:row>
    <x:row r="709">
      <x:c r="A709" t="str">
        <x:v>O000708</x:v>
      </x:c>
      <x:c r="B709" s="20" t="n">
        <x:v>45769</x:v>
      </x:c>
      <x:c r="C709" t="str">
        <x:v>C0234</x:v>
      </x:c>
      <x:c r="D709" t="str">
        <x:v>Metro Canteen 234</x:v>
      </x:c>
      <x:c r="E709" t="str">
        <x:v>Restaurant</x:v>
      </x:c>
      <x:c r="F709" t="str">
        <x:v>Davanagere</x:v>
      </x:c>
      <x:c r="G709" t="str">
        <x:v>Priya</x:v>
      </x:c>
      <x:c r="H709" t="str">
        <x:v>P040</x:v>
      </x:c>
      <x:c r="I709" t="str">
        <x:v>Bread Loaf 400g</x:v>
      </x:c>
      <x:c r="J709" t="str">
        <x:v>Bakery</x:v>
      </x:c>
      <x:c r="K709" t="str">
        <x:v>Britannia</x:v>
      </x:c>
      <x:c r="L709" s="22" t="n">
        <x:v>45</x:v>
      </x:c>
      <x:c r="M709" t="n">
        <x:v>11</x:v>
      </x:c>
      <x:c r="N709" s="24" t="n">
        <x:v>0</x:v>
      </x:c>
      <x:c r="O709" s="22" t="n">
        <x:f>L709*M709</x:f>
        <x:v>495</x:v>
      </x:c>
      <x:c r="P709" s="22" t="n">
        <x:f>O709*(1-N709)</x:f>
        <x:v>495</x:v>
      </x:c>
      <x:c r="Q709" s="22" t="n">
        <x:v>35</x:v>
      </x:c>
      <x:c r="R709" s="22" t="n">
        <x:f>Q709*M709</x:f>
        <x:v>385</x:v>
      </x:c>
      <x:c r="S709" s="22" t="n">
        <x:f>P709-R709</x:f>
        <x:v>110</x:v>
      </x:c>
      <x:c r="T709" t="str">
        <x:v>UPI</x:v>
      </x:c>
      <x:c r="U709" t="str">
        <x:v>Paid</x:v>
      </x:c>
      <x:c r="V709" t="str">
        <x:v>Delivered</x:v>
      </x:c>
      <x:c r="W709" t="n">
        <x:v>1</x:v>
      </x:c>
      <x:c r="X709" t="str">
        <x:v>Wrong Item</x:v>
      </x:c>
      <x:c r="Y709" t="str">
        <x:v>WhatsApp</x:v>
      </x:c>
    </x:row>
    <x:row r="710">
      <x:c r="A710" t="str">
        <x:v>O000709</x:v>
      </x:c>
      <x:c r="B710" s="20" t="n">
        <x:v>45667</x:v>
      </x:c>
      <x:c r="C710" t="str">
        <x:v>C0195</x:v>
      </x:c>
      <x:c r="D710" t="str">
        <x:v>Classic Stores 195</x:v>
      </x:c>
      <x:c r="E710" t="str">
        <x:v>Canteen</x:v>
      </x:c>
      <x:c r="F710" t="str">
        <x:v>Davanagere</x:v>
      </x:c>
      <x:c r="G710" t="str">
        <x:v>Kavya</x:v>
      </x:c>
      <x:c r="H710" t="str">
        <x:v>P007</x:v>
      </x:c>
      <x:c r="I710" t="str">
        <x:v>Sunflower Oil 15L</x:v>
      </x:c>
      <x:c r="J710" t="str">
        <x:v>Edible Oil</x:v>
      </x:c>
      <x:c r="K710" t="str">
        <x:v>Fortune</x:v>
      </x:c>
      <x:c r="L710" s="22" t="n">
        <x:v>1980</x:v>
      </x:c>
      <x:c r="M710" t="n">
        <x:v>5</x:v>
      </x:c>
      <x:c r="N710" s="24" t="n">
        <x:v>0.05</x:v>
      </x:c>
      <x:c r="O710" s="22" t="n">
        <x:f>L710*M710</x:f>
        <x:v>9900</x:v>
      </x:c>
      <x:c r="P710" s="22" t="n">
        <x:f>O710*(1-N710)</x:f>
        <x:v>9405</x:v>
      </x:c>
      <x:c r="Q710" s="22" t="n">
        <x:v>1810</x:v>
      </x:c>
      <x:c r="R710" s="22" t="n">
        <x:f>Q710*M710</x:f>
        <x:v>9050</x:v>
      </x:c>
      <x:c r="S710" s="22" t="n">
        <x:f>P710-R710</x:f>
        <x:v>355</x:v>
      </x:c>
      <x:c r="T710" t="str">
        <x:v>UPI</x:v>
      </x:c>
      <x:c r="U710" t="str">
        <x:v>Paid</x:v>
      </x:c>
      <x:c r="V710" t="str">
        <x:v>Delivered</x:v>
      </x:c>
      <x:c r="W710" t="n">
        <x:v>0</x:v>
      </x:c>
      <x:c r="X710" t="str"/>
      <x:c r="Y710" t="str">
        <x:v>Existing Customer</x:v>
      </x:c>
    </x:row>
    <x:row r="711">
      <x:c r="A711" t="str">
        <x:v>O000710</x:v>
      </x:c>
      <x:c r="B711" s="20" t="n">
        <x:v>46190</x:v>
      </x:c>
      <x:c r="C711" t="str">
        <x:v>C0097</x:v>
      </x:c>
      <x:c r="D711" t="str">
        <x:v>Classic Stores 97</x:v>
      </x:c>
      <x:c r="E711" t="str">
        <x:v>Restaurant</x:v>
      </x:c>
      <x:c r="F711" t="str">
        <x:v>Davanagere</x:v>
      </x:c>
      <x:c r="G711" t="str">
        <x:v>Priya</x:v>
      </x:c>
      <x:c r="H711" t="str">
        <x:v>P039</x:v>
      </x:c>
      <x:c r="I711" t="str">
        <x:v>Ice Cream 4L</x:v>
      </x:c>
      <x:c r="J711" t="str">
        <x:v>Frozen</x:v>
      </x:c>
      <x:c r="K711" t="str">
        <x:v>Amul</x:v>
      </x:c>
      <x:c r="L711" s="22" t="n">
        <x:v>480</x:v>
      </x:c>
      <x:c r="M711" t="n">
        <x:v>18</x:v>
      </x:c>
      <x:c r="N711" s="24" t="n">
        <x:v>0.08</x:v>
      </x:c>
      <x:c r="O711" s="22" t="n">
        <x:f>L711*M711</x:f>
        <x:v>8640</x:v>
      </x:c>
      <x:c r="P711" s="22" t="n">
        <x:f>O711*(1-N711)</x:f>
        <x:v>7948.8</x:v>
      </x:c>
      <x:c r="Q711" s="22" t="n">
        <x:v>420</x:v>
      </x:c>
      <x:c r="R711" s="22" t="n">
        <x:f>Q711*M711</x:f>
        <x:v>7560</x:v>
      </x:c>
      <x:c r="S711" s="22" t="n">
        <x:f>P711-R711</x:f>
        <x:v>388.8000000000002</x:v>
      </x:c>
      <x:c r="T711" t="str">
        <x:v>Credit</x:v>
      </x:c>
      <x:c r="U711" t="str">
        <x:v>Pending</x:v>
      </x:c>
      <x:c r="V711" t="str">
        <x:v>Delayed</x:v>
      </x:c>
      <x:c r="W711" t="n">
        <x:v>0</x:v>
      </x:c>
      <x:c r="X711" t="str"/>
      <x:c r="Y711" t="str">
        <x:v>WhatsApp</x:v>
      </x:c>
    </x:row>
    <x:row r="712">
      <x:c r="A712" t="str">
        <x:v>O000711</x:v>
      </x:c>
      <x:c r="B712" s="20" t="n">
        <x:v>45980</x:v>
      </x:c>
      <x:c r="C712" t="str">
        <x:v>C0175</x:v>
      </x:c>
      <x:c r="D712" t="str">
        <x:v>Namma Mart 175</x:v>
      </x:c>
      <x:c r="E712" t="str">
        <x:v>Hotel</x:v>
      </x:c>
      <x:c r="F712" t="str">
        <x:v>Davanagere</x:v>
      </x:c>
      <x:c r="G712" t="str">
        <x:v>Sneha</x:v>
      </x:c>
      <x:c r="H712" t="str">
        <x:v>P022</x:v>
      </x:c>
      <x:c r="I712" t="str">
        <x:v>Mineral Water 1L</x:v>
      </x:c>
      <x:c r="J712" t="str">
        <x:v>Beverage</x:v>
      </x:c>
      <x:c r="K712" t="str">
        <x:v>Bisleri</x:v>
      </x:c>
      <x:c r="L712" s="22" t="n">
        <x:v>19</x:v>
      </x:c>
      <x:c r="M712" t="n">
        <x:v>16</x:v>
      </x:c>
      <x:c r="N712" s="24" t="n">
        <x:v>0.08</x:v>
      </x:c>
      <x:c r="O712" s="22" t="n">
        <x:f>L712*M712</x:f>
        <x:v>304</x:v>
      </x:c>
      <x:c r="P712" s="22" t="n">
        <x:f>O712*(1-N712)</x:f>
        <x:v>279.68</x:v>
      </x:c>
      <x:c r="Q712" s="22" t="n">
        <x:v>15</x:v>
      </x:c>
      <x:c r="R712" s="22" t="n">
        <x:f>Q712*M712</x:f>
        <x:v>240</x:v>
      </x:c>
      <x:c r="S712" s="22" t="n">
        <x:f>P712-R712</x:f>
        <x:v>39.68000000000001</x:v>
      </x:c>
      <x:c r="T712" t="str">
        <x:v>Credit</x:v>
      </x:c>
      <x:c r="U712" t="str">
        <x:v>Paid</x:v>
      </x:c>
      <x:c r="V712" t="str">
        <x:v>Delivered</x:v>
      </x:c>
      <x:c r="W712" t="n">
        <x:v>0</x:v>
      </x:c>
      <x:c r="X712" t="str"/>
      <x:c r="Y712" t="str">
        <x:v>Field Visit</x:v>
      </x:c>
    </x:row>
    <x:row r="713">
      <x:c r="A713" t="str">
        <x:v>O000712</x:v>
      </x:c>
      <x:c r="B713" s="20" t="n">
        <x:v>46069</x:v>
      </x:c>
      <x:c r="C713" t="str">
        <x:v>C0001</x:v>
      </x:c>
      <x:c r="D713" t="str">
        <x:v>Annapurna Cafe 1</x:v>
      </x:c>
      <x:c r="E713" t="str">
        <x:v>Hotel</x:v>
      </x:c>
      <x:c r="F713" t="str">
        <x:v>Davanagere</x:v>
      </x:c>
      <x:c r="G713" t="str">
        <x:v>Kavya</x:v>
      </x:c>
      <x:c r="H713" t="str">
        <x:v>P030</x:v>
      </x:c>
      <x:c r="I713" t="str">
        <x:v>Mayonnaise 1kg</x:v>
      </x:c>
      <x:c r="J713" t="str">
        <x:v>Condiments</x:v>
      </x:c>
      <x:c r="K713" t="str">
        <x:v>Veeba</x:v>
      </x:c>
      <x:c r="L713" s="22" t="n">
        <x:v>210</x:v>
      </x:c>
      <x:c r="M713" t="n">
        <x:v>9</x:v>
      </x:c>
      <x:c r="N713" s="24" t="n">
        <x:v>0</x:v>
      </x:c>
      <x:c r="O713" s="22" t="n">
        <x:f>L713*M713</x:f>
        <x:v>1890</x:v>
      </x:c>
      <x:c r="P713" s="22" t="n">
        <x:f>O713*(1-N713)</x:f>
        <x:v>1890</x:v>
      </x:c>
      <x:c r="Q713" s="22" t="n">
        <x:v>185</x:v>
      </x:c>
      <x:c r="R713" s="22" t="n">
        <x:f>Q713*M713</x:f>
        <x:v>1665</x:v>
      </x:c>
      <x:c r="S713" s="22" t="n">
        <x:f>P713-R713</x:f>
        <x:v>225</x:v>
      </x:c>
      <x:c r="T713" t="str">
        <x:v>UPI</x:v>
      </x:c>
      <x:c r="U713" t="str">
        <x:v>Pending</x:v>
      </x:c>
      <x:c r="V713" t="str">
        <x:v>Delivered</x:v>
      </x:c>
      <x:c r="W713" t="n">
        <x:v>0</x:v>
      </x:c>
      <x:c r="X713" t="str"/>
      <x:c r="Y713" t="str">
        <x:v>Referral</x:v>
      </x:c>
    </x:row>
    <x:row r="714">
      <x:c r="A714" t="str">
        <x:v>O000713</x:v>
      </x:c>
      <x:c r="B714" s="20" t="n">
        <x:v>46144</x:v>
      </x:c>
      <x:c r="C714" t="str">
        <x:v>C0159</x:v>
      </x:c>
      <x:c r="D714" t="str">
        <x:v>Darshini Foods 159</x:v>
      </x:c>
      <x:c r="E714" t="str">
        <x:v>Canteen</x:v>
      </x:c>
      <x:c r="F714" t="str">
        <x:v>Tumakuru</x:v>
      </x:c>
      <x:c r="G714" t="str">
        <x:v>Kavya</x:v>
      </x:c>
      <x:c r="H714" t="str">
        <x:v>P044</x:v>
      </x:c>
      <x:c r="I714" t="str">
        <x:v>Chicken Curry Cut 1kg</x:v>
      </x:c>
      <x:c r="J714" t="str">
        <x:v>Protein</x:v>
      </x:c>
      <x:c r="K714" t="str">
        <x:v>FreshToHome</x:v>
      </x:c>
      <x:c r="L714" s="22" t="n">
        <x:v>230</x:v>
      </x:c>
      <x:c r="M714" t="n">
        <x:v>33</x:v>
      </x:c>
      <x:c r="N714" s="24" t="n">
        <x:v>0.03</x:v>
      </x:c>
      <x:c r="O714" s="22" t="n">
        <x:f>L714*M714</x:f>
        <x:v>7590</x:v>
      </x:c>
      <x:c r="P714" s="22" t="n">
        <x:f>O714*(1-N714)</x:f>
        <x:v>7362.3</x:v>
      </x:c>
      <x:c r="Q714" s="22" t="n">
        <x:v>205</x:v>
      </x:c>
      <x:c r="R714" s="22" t="n">
        <x:f>Q714*M714</x:f>
        <x:v>6765</x:v>
      </x:c>
      <x:c r="S714" s="22" t="n">
        <x:f>P714-R714</x:f>
        <x:v>597.3000000000002</x:v>
      </x:c>
      <x:c r="T714" t="str">
        <x:v>Bank Transfer</x:v>
      </x:c>
      <x:c r="U714" t="str">
        <x:v>Paid</x:v>
      </x:c>
      <x:c r="V714" t="str">
        <x:v>Cancelled</x:v>
      </x:c>
      <x:c r="W714" t="n">
        <x:v>33</x:v>
      </x:c>
      <x:c r="X714" t="str">
        <x:v>Cancelled Order</x:v>
      </x:c>
      <x:c r="Y714" t="str">
        <x:v>Field Visit</x:v>
      </x:c>
    </x:row>
    <x:row r="715">
      <x:c r="A715" t="str">
        <x:v>O000714</x:v>
      </x:c>
      <x:c r="B715" s="20" t="n">
        <x:v>45991</x:v>
      </x:c>
      <x:c r="C715" t="str">
        <x:v>C0093</x:v>
      </x:c>
      <x:c r="D715" t="str">
        <x:v>Sagar Hotel 93</x:v>
      </x:c>
      <x:c r="E715" t="str">
        <x:v>Hotel</x:v>
      </x:c>
      <x:c r="F715" t="str">
        <x:v>Hubballi</x:v>
      </x:c>
      <x:c r="G715" t="str">
        <x:v>Imran</x:v>
      </x:c>
      <x:c r="H715" t="str">
        <x:v>P003</x:v>
      </x:c>
      <x:c r="I715" t="str">
        <x:v>Basmati Rice 5kg</x:v>
      </x:c>
      <x:c r="J715" t="str">
        <x:v>Staples</x:v>
      </x:c>
      <x:c r="K715" t="str">
        <x:v>India Gate</x:v>
      </x:c>
      <x:c r="L715" s="22" t="n">
        <x:v>690</x:v>
      </x:c>
      <x:c r="M715" t="n">
        <x:v>29</x:v>
      </x:c>
      <x:c r="N715" s="24" t="n">
        <x:v>0</x:v>
      </x:c>
      <x:c r="O715" s="22" t="n">
        <x:f>L715*M715</x:f>
        <x:v>20010</x:v>
      </x:c>
      <x:c r="P715" s="22" t="n">
        <x:f>O715*(1-N715)</x:f>
        <x:v>20010</x:v>
      </x:c>
      <x:c r="Q715" s="22" t="n">
        <x:v>610</x:v>
      </x:c>
      <x:c r="R715" s="22" t="n">
        <x:f>Q715*M715</x:f>
        <x:v>17690</x:v>
      </x:c>
      <x:c r="S715" s="22" t="n">
        <x:f>P715-R715</x:f>
        <x:v>2320</x:v>
      </x:c>
      <x:c r="T715" t="str">
        <x:v>Credit</x:v>
      </x:c>
      <x:c r="U715" t="str">
        <x:v>Paid</x:v>
      </x:c>
      <x:c r="V715" t="str">
        <x:v>Delayed</x:v>
      </x:c>
      <x:c r="W715" t="n">
        <x:v>0</x:v>
      </x:c>
      <x:c r="X715" t="str"/>
      <x:c r="Y715" t="str">
        <x:v>Outbound Call</x:v>
      </x:c>
    </x:row>
    <x:row r="716">
      <x:c r="A716" t="str">
        <x:v>O000715</x:v>
      </x:c>
      <x:c r="B716" s="20" t="n">
        <x:v>45760</x:v>
      </x:c>
      <x:c r="C716" t="str">
        <x:v>C0241</x:v>
      </x:c>
      <x:c r="D716" t="str">
        <x:v>Annapurna Restaurant 241</x:v>
      </x:c>
      <x:c r="E716" t="str">
        <x:v>Hotel</x:v>
      </x:c>
      <x:c r="F716" t="str">
        <x:v>Tumakuru</x:v>
      </x:c>
      <x:c r="G716" t="str">
        <x:v>Imran</x:v>
      </x:c>
      <x:c r="H716" t="str">
        <x:v>P031</x:v>
      </x:c>
      <x:c r="I716" t="str">
        <x:v>Chilli Sauce 700g</x:v>
      </x:c>
      <x:c r="J716" t="str">
        <x:v>Condiments</x:v>
      </x:c>
      <x:c r="K716" t="str">
        <x:v>Ching's</x:v>
      </x:c>
      <x:c r="L716" s="22" t="n">
        <x:v>130</x:v>
      </x:c>
      <x:c r="M716" t="n">
        <x:v>25</x:v>
      </x:c>
      <x:c r="N716" s="24" t="n">
        <x:v>0.02</x:v>
      </x:c>
      <x:c r="O716" s="22" t="n">
        <x:f>L716*M716</x:f>
        <x:v>3250</x:v>
      </x:c>
      <x:c r="P716" s="22" t="n">
        <x:f>O716*(1-N716)</x:f>
        <x:v>3185</x:v>
      </x:c>
      <x:c r="Q716" s="22" t="n">
        <x:v>112</x:v>
      </x:c>
      <x:c r="R716" s="22" t="n">
        <x:f>Q716*M716</x:f>
        <x:v>2800</x:v>
      </x:c>
      <x:c r="S716" s="22" t="n">
        <x:f>P716-R716</x:f>
        <x:v>385</x:v>
      </x:c>
      <x:c r="T716" t="str">
        <x:v>Bank Transfer</x:v>
      </x:c>
      <x:c r="U716" t="str">
        <x:v>Paid</x:v>
      </x:c>
      <x:c r="V716" t="str">
        <x:v>Delayed</x:v>
      </x:c>
      <x:c r="W716" t="n">
        <x:v>0</x:v>
      </x:c>
      <x:c r="X716" t="str"/>
      <x:c r="Y716" t="str">
        <x:v>Existing Customer</x:v>
      </x:c>
    </x:row>
    <x:row r="717">
      <x:c r="A717" t="str">
        <x:v>O000716</x:v>
      </x:c>
      <x:c r="B717" s="20" t="n">
        <x:v>45690</x:v>
      </x:c>
      <x:c r="C717" t="str">
        <x:v>C0184</x:v>
      </x:c>
      <x:c r="D717" t="str">
        <x:v>Namma Restaurant 184</x:v>
      </x:c>
      <x:c r="E717" t="str">
        <x:v>Cafe</x:v>
      </x:c>
      <x:c r="F717" t="str">
        <x:v>Hubballi</x:v>
      </x:c>
      <x:c r="G717" t="str">
        <x:v>Arjun</x:v>
      </x:c>
      <x:c r="H717" t="str">
        <x:v>P033</x:v>
      </x:c>
      <x:c r="I717" t="str">
        <x:v>Turmeric Powder 1kg</x:v>
      </x:c>
      <x:c r="J717" t="str">
        <x:v>Spices</x:v>
      </x:c>
      <x:c r="K717" t="str">
        <x:v>Everest</x:v>
      </x:c>
      <x:c r="L717" s="22" t="n">
        <x:v>310</x:v>
      </x:c>
      <x:c r="M717" t="n">
        <x:v>9</x:v>
      </x:c>
      <x:c r="N717" s="24" t="n">
        <x:v>0.03</x:v>
      </x:c>
      <x:c r="O717" s="22" t="n">
        <x:f>L717*M717</x:f>
        <x:v>2790</x:v>
      </x:c>
      <x:c r="P717" s="22" t="n">
        <x:f>O717*(1-N717)</x:f>
        <x:v>2706.2999999999997</x:v>
      </x:c>
      <x:c r="Q717" s="22" t="n">
        <x:v>270</x:v>
      </x:c>
      <x:c r="R717" s="22" t="n">
        <x:f>Q717*M717</x:f>
        <x:v>2430</x:v>
      </x:c>
      <x:c r="S717" s="22" t="n">
        <x:f>P717-R717</x:f>
        <x:v>276.2999999999997</x:v>
      </x:c>
      <x:c r="T717" t="str">
        <x:v>UPI</x:v>
      </x:c>
      <x:c r="U717" t="str">
        <x:v>Paid</x:v>
      </x:c>
      <x:c r="V717" t="str">
        <x:v>Cancelled</x:v>
      </x:c>
      <x:c r="W717" t="n">
        <x:v>9</x:v>
      </x:c>
      <x:c r="X717" t="str">
        <x:v>Cancelled Order</x:v>
      </x:c>
      <x:c r="Y717" t="str">
        <x:v>Existing Customer</x:v>
      </x:c>
    </x:row>
    <x:row r="718">
      <x:c r="A718" t="str">
        <x:v>O000717</x:v>
      </x:c>
      <x:c r="B718" s="20" t="n">
        <x:v>46114</x:v>
      </x:c>
      <x:c r="C718" t="str">
        <x:v>C0120</x:v>
      </x:c>
      <x:c r="D718" t="str">
        <x:v>Foodie Foods 120</x:v>
      </x:c>
      <x:c r="E718" t="str">
        <x:v>Hotel</x:v>
      </x:c>
      <x:c r="F718" t="str">
        <x:v>Hubballi</x:v>
      </x:c>
      <x:c r="G718" t="str">
        <x:v>Arjun</x:v>
      </x:c>
      <x:c r="H718" t="str">
        <x:v>P011</x:v>
      </x:c>
      <x:c r="I718" t="str">
        <x:v>Salt 1kg</x:v>
      </x:c>
      <x:c r="J718" t="str">
        <x:v>Staples</x:v>
      </x:c>
      <x:c r="K718" t="str">
        <x:v>Tata</x:v>
      </x:c>
      <x:c r="L718" s="22" t="n">
        <x:v>28</x:v>
      </x:c>
      <x:c r="M718" t="n">
        <x:v>8</x:v>
      </x:c>
      <x:c r="N718" s="24" t="n">
        <x:v>0.03</x:v>
      </x:c>
      <x:c r="O718" s="22" t="n">
        <x:f>L718*M718</x:f>
        <x:v>224</x:v>
      </x:c>
      <x:c r="P718" s="22" t="n">
        <x:f>O718*(1-N718)</x:f>
        <x:v>217.28</x:v>
      </x:c>
      <x:c r="Q718" s="22" t="n">
        <x:v>23</x:v>
      </x:c>
      <x:c r="R718" s="22" t="n">
        <x:f>Q718*M718</x:f>
        <x:v>184</x:v>
      </x:c>
      <x:c r="S718" s="22" t="n">
        <x:f>P718-R718</x:f>
        <x:v>33.28</x:v>
      </x:c>
      <x:c r="T718" t="str">
        <x:v>Bank Transfer</x:v>
      </x:c>
      <x:c r="U718" t="str">
        <x:v>Paid</x:v>
      </x:c>
      <x:c r="V718" t="str">
        <x:v>Delivered</x:v>
      </x:c>
      <x:c r="W718" t="n">
        <x:v>0</x:v>
      </x:c>
      <x:c r="X718" t="str"/>
      <x:c r="Y718" t="str">
        <x:v>Outbound Call</x:v>
      </x:c>
    </x:row>
    <x:row r="719">
      <x:c r="A719" t="str">
        <x:v>O000718</x:v>
      </x:c>
      <x:c r="B719" s="20" t="n">
        <x:v>45822</x:v>
      </x:c>
      <x:c r="C719" t="str">
        <x:v>C0184</x:v>
      </x:c>
      <x:c r="D719" t="str">
        <x:v>Namma Restaurant 184</x:v>
      </x:c>
      <x:c r="E719" t="str">
        <x:v>Cafe</x:v>
      </x:c>
      <x:c r="F719" t="str">
        <x:v>Hubballi</x:v>
      </x:c>
      <x:c r="G719" t="str">
        <x:v>Arjun</x:v>
      </x:c>
      <x:c r="H719" t="str">
        <x:v>P002</x:v>
      </x:c>
      <x:c r="I719" t="str">
        <x:v>Sona Masoori Rice 25kg</x:v>
      </x:c>
      <x:c r="J719" t="str">
        <x:v>Staples</x:v>
      </x:c>
      <x:c r="K719" t="str">
        <x:v>Fortune</x:v>
      </x:c>
      <x:c r="L719" s="22" t="n">
        <x:v>1320</x:v>
      </x:c>
      <x:c r="M719" t="n">
        <x:v>7</x:v>
      </x:c>
      <x:c r="N719" s="24" t="n">
        <x:v>0.05</x:v>
      </x:c>
      <x:c r="O719" s="22" t="n">
        <x:f>L719*M719</x:f>
        <x:v>9240</x:v>
      </x:c>
      <x:c r="P719" s="22" t="n">
        <x:f>O719*(1-N719)</x:f>
        <x:v>8778</x:v>
      </x:c>
      <x:c r="Q719" s="22" t="n">
        <x:v>1160</x:v>
      </x:c>
      <x:c r="R719" s="22" t="n">
        <x:f>Q719*M719</x:f>
        <x:v>8120</x:v>
      </x:c>
      <x:c r="S719" s="22" t="n">
        <x:f>P719-R719</x:f>
        <x:v>658</x:v>
      </x:c>
      <x:c r="T719" t="str">
        <x:v>Bank Transfer</x:v>
      </x:c>
      <x:c r="U719" t="str">
        <x:v>Paid</x:v>
      </x:c>
      <x:c r="V719" t="str">
        <x:v>Cancelled</x:v>
      </x:c>
      <x:c r="W719" t="n">
        <x:v>7</x:v>
      </x:c>
      <x:c r="X719" t="str">
        <x:v>Cancelled Order</x:v>
      </x:c>
      <x:c r="Y719" t="str">
        <x:v>WhatsApp</x:v>
      </x:c>
    </x:row>
    <x:row r="720">
      <x:c r="A720" t="str">
        <x:v>O000719</x:v>
      </x:c>
      <x:c r="B720" s="20" t="n">
        <x:v>45797</x:v>
      </x:c>
      <x:c r="C720" t="str">
        <x:v>C0172</x:v>
      </x:c>
      <x:c r="D720" t="str">
        <x:v>Annapurna Stores 172</x:v>
      </x:c>
      <x:c r="E720" t="str">
        <x:v>Restaurant</x:v>
      </x:c>
      <x:c r="F720" t="str">
        <x:v>Mangaluru</x:v>
      </x:c>
      <x:c r="G720" t="str">
        <x:v>Megha</x:v>
      </x:c>
      <x:c r="H720" t="str">
        <x:v>P008</x:v>
      </x:c>
      <x:c r="I720" t="str">
        <x:v>Palm Oil 15L</x:v>
      </x:c>
      <x:c r="J720" t="str">
        <x:v>Edible Oil</x:v>
      </x:c>
      <x:c r="K720" t="str">
        <x:v>Ruchi Gold</x:v>
      </x:c>
      <x:c r="L720" s="22" t="n">
        <x:v>1760</x:v>
      </x:c>
      <x:c r="M720" t="n">
        <x:v>11</x:v>
      </x:c>
      <x:c r="N720" s="24" t="n">
        <x:v>0.05</x:v>
      </x:c>
      <x:c r="O720" s="22" t="n">
        <x:f>L720*M720</x:f>
        <x:v>19360</x:v>
      </x:c>
      <x:c r="P720" s="22" t="n">
        <x:f>O720*(1-N720)</x:f>
        <x:v>18392</x:v>
      </x:c>
      <x:c r="Q720" s="22" t="n">
        <x:v>1610</x:v>
      </x:c>
      <x:c r="R720" s="22" t="n">
        <x:f>Q720*M720</x:f>
        <x:v>17710</x:v>
      </x:c>
      <x:c r="S720" s="22" t="n">
        <x:f>P720-R720</x:f>
        <x:v>682</x:v>
      </x:c>
      <x:c r="T720" t="str">
        <x:v>UPI</x:v>
      </x:c>
      <x:c r="U720" t="str">
        <x:v>Pending</x:v>
      </x:c>
      <x:c r="V720" t="str">
        <x:v>Delivered</x:v>
      </x:c>
      <x:c r="W720" t="n">
        <x:v>0</x:v>
      </x:c>
      <x:c r="X720" t="str"/>
      <x:c r="Y720" t="str">
        <x:v>Existing Customer</x:v>
      </x:c>
    </x:row>
    <x:row r="721">
      <x:c r="A721" t="str">
        <x:v>O000720</x:v>
      </x:c>
      <x:c r="B721" s="20" t="n">
        <x:v>46009</x:v>
      </x:c>
      <x:c r="C721" t="str">
        <x:v>C0154</x:v>
      </x:c>
      <x:c r="D721" t="str">
        <x:v>Royal Restaurant 154</x:v>
      </x:c>
      <x:c r="E721" t="str">
        <x:v>Restaurant</x:v>
      </x:c>
      <x:c r="F721" t="str">
        <x:v>Tumakuru</x:v>
      </x:c>
      <x:c r="G721" t="str">
        <x:v>Kavya</x:v>
      </x:c>
      <x:c r="H721" t="str">
        <x:v>P005</x:v>
      </x:c>
      <x:c r="I721" t="str">
        <x:v>Chana Dal 5kg</x:v>
      </x:c>
      <x:c r="J721" t="str">
        <x:v>Pulses</x:v>
      </x:c>
      <x:c r="K721" t="str">
        <x:v>Local Select</x:v>
      </x:c>
      <x:c r="L721" s="22" t="n">
        <x:v>520</x:v>
      </x:c>
      <x:c r="M721" t="n">
        <x:v>25</x:v>
      </x:c>
      <x:c r="N721" s="24" t="n">
        <x:v>0.08</x:v>
      </x:c>
      <x:c r="O721" s="22" t="n">
        <x:f>L721*M721</x:f>
        <x:v>13000</x:v>
      </x:c>
      <x:c r="P721" s="22" t="n">
        <x:f>O721*(1-N721)</x:f>
        <x:v>11960</x:v>
      </x:c>
      <x:c r="Q721" s="22" t="n">
        <x:v>455</x:v>
      </x:c>
      <x:c r="R721" s="22" t="n">
        <x:f>Q721*M721</x:f>
        <x:v>11375</x:v>
      </x:c>
      <x:c r="S721" s="22" t="n">
        <x:f>P721-R721</x:f>
        <x:v>585</x:v>
      </x:c>
      <x:c r="T721" t="str">
        <x:v>Credit</x:v>
      </x:c>
      <x:c r="U721" t="str">
        <x:v>Paid</x:v>
      </x:c>
      <x:c r="V721" t="str">
        <x:v>Delayed</x:v>
      </x:c>
      <x:c r="W721" t="n">
        <x:v>0</x:v>
      </x:c>
      <x:c r="X721" t="str"/>
      <x:c r="Y721" t="str">
        <x:v>WhatsApp</x:v>
      </x:c>
    </x:row>
    <x:row r="722">
      <x:c r="A722" t="str">
        <x:v>O000721</x:v>
      </x:c>
      <x:c r="B722" s="20" t="n">
        <x:v>45776</x:v>
      </x:c>
      <x:c r="C722" t="str">
        <x:v>C0058</x:v>
      </x:c>
      <x:c r="D722" t="str">
        <x:v>Spice Kitchen 58</x:v>
      </x:c>
      <x:c r="E722" t="str">
        <x:v>Supermarket</x:v>
      </x:c>
      <x:c r="F722" t="str">
        <x:v>Davanagere</x:v>
      </x:c>
      <x:c r="G722" t="str">
        <x:v>Sneha</x:v>
      </x:c>
      <x:c r="H722" t="str">
        <x:v>P017</x:v>
      </x:c>
      <x:c r="I722" t="str">
        <x:v>Butter 500g</x:v>
      </x:c>
      <x:c r="J722" t="str">
        <x:v>Dairy</x:v>
      </x:c>
      <x:c r="K722" t="str">
        <x:v>Amul</x:v>
      </x:c>
      <x:c r="L722" s="22" t="n">
        <x:v>285</x:v>
      </x:c>
      <x:c r="M722" t="n">
        <x:v>19</x:v>
      </x:c>
      <x:c r="N722" s="24" t="n">
        <x:v>0</x:v>
      </x:c>
      <x:c r="O722" s="22" t="n">
        <x:f>L722*M722</x:f>
        <x:v>5415</x:v>
      </x:c>
      <x:c r="P722" s="22" t="n">
        <x:f>O722*(1-N722)</x:f>
        <x:v>5415</x:v>
      </x:c>
      <x:c r="Q722" s="22" t="n">
        <x:v>258</x:v>
      </x:c>
      <x:c r="R722" s="22" t="n">
        <x:f>Q722*M722</x:f>
        <x:v>4902</x:v>
      </x:c>
      <x:c r="S722" s="22" t="n">
        <x:f>P722-R722</x:f>
        <x:v>513</x:v>
      </x:c>
      <x:c r="T722" t="str">
        <x:v>UPI</x:v>
      </x:c>
      <x:c r="U722" t="str">
        <x:v>Paid</x:v>
      </x:c>
      <x:c r="V722" t="str">
        <x:v>Delayed</x:v>
      </x:c>
      <x:c r="W722" t="n">
        <x:v>0</x:v>
      </x:c>
      <x:c r="X722" t="str"/>
      <x:c r="Y722" t="str">
        <x:v>Referral</x:v>
      </x:c>
    </x:row>
    <x:row r="723">
      <x:c r="A723" t="str">
        <x:v>O000722</x:v>
      </x:c>
      <x:c r="B723" s="20" t="n">
        <x:v>46034</x:v>
      </x:c>
      <x:c r="C723" t="str">
        <x:v>C0030</x:v>
      </x:c>
      <x:c r="D723" t="str">
        <x:v>Hotel Restaurant 30</x:v>
      </x:c>
      <x:c r="E723" t="str">
        <x:v>Restaurant</x:v>
      </x:c>
      <x:c r="F723" t="str">
        <x:v>Bengaluru</x:v>
      </x:c>
      <x:c r="G723" t="str">
        <x:v>Imran</x:v>
      </x:c>
      <x:c r="H723" t="str">
        <x:v>P037</x:v>
      </x:c>
      <x:c r="I723" t="str">
        <x:v>Frozen Peas 1kg</x:v>
      </x:c>
      <x:c r="J723" t="str">
        <x:v>Frozen</x:v>
      </x:c>
      <x:c r="K723" t="str">
        <x:v>Safal</x:v>
      </x:c>
      <x:c r="L723" s="22" t="n">
        <x:v>155</x:v>
      </x:c>
      <x:c r="M723" t="n">
        <x:v>9</x:v>
      </x:c>
      <x:c r="N723" s="24" t="n">
        <x:v>0.08</x:v>
      </x:c>
      <x:c r="O723" s="22" t="n">
        <x:f>L723*M723</x:f>
        <x:v>1395</x:v>
      </x:c>
      <x:c r="P723" s="22" t="n">
        <x:f>O723*(1-N723)</x:f>
        <x:v>1283.4</x:v>
      </x:c>
      <x:c r="Q723" s="22" t="n">
        <x:v>138</x:v>
      </x:c>
      <x:c r="R723" s="22" t="n">
        <x:f>Q723*M723</x:f>
        <x:v>1242</x:v>
      </x:c>
      <x:c r="S723" s="22" t="n">
        <x:f>P723-R723</x:f>
        <x:v>41.40000000000009</x:v>
      </x:c>
      <x:c r="T723" t="str">
        <x:v>Credit</x:v>
      </x:c>
      <x:c r="U723" t="str">
        <x:v>Paid</x:v>
      </x:c>
      <x:c r="V723" t="str">
        <x:v>Delivered</x:v>
      </x:c>
      <x:c r="W723" t="n">
        <x:v>0</x:v>
      </x:c>
      <x:c r="X723" t="str"/>
      <x:c r="Y723" t="str">
        <x:v>Existing Customer</x:v>
      </x:c>
    </x:row>
    <x:row r="724">
      <x:c r="A724" t="str">
        <x:v>O000723</x:v>
      </x:c>
      <x:c r="B724" s="20" t="n">
        <x:v>46091</x:v>
      </x:c>
      <x:c r="C724" t="str">
        <x:v>C0217</x:v>
      </x:c>
      <x:c r="D724" t="str">
        <x:v>Darshini Cafe 217</x:v>
      </x:c>
      <x:c r="E724" t="str">
        <x:v>Restaurant</x:v>
      </x:c>
      <x:c r="F724" t="str">
        <x:v>Bengaluru</x:v>
      </x:c>
      <x:c r="G724" t="str">
        <x:v>Priya</x:v>
      </x:c>
      <x:c r="H724" t="str">
        <x:v>P025</x:v>
      </x:c>
      <x:c r="I724" t="str">
        <x:v>Potato Chips 100g</x:v>
      </x:c>
      <x:c r="J724" t="str">
        <x:v>Snacks</x:v>
      </x:c>
      <x:c r="K724" t="str">
        <x:v>Lay's</x:v>
      </x:c>
      <x:c r="L724" s="22" t="n">
        <x:v>35</x:v>
      </x:c>
      <x:c r="M724" t="n">
        <x:v>21</x:v>
      </x:c>
      <x:c r="N724" s="24" t="n">
        <x:v>0.05</x:v>
      </x:c>
      <x:c r="O724" s="22" t="n">
        <x:f>L724*M724</x:f>
        <x:v>735</x:v>
      </x:c>
      <x:c r="P724" s="22" t="n">
        <x:f>O724*(1-N724)</x:f>
        <x:v>698.25</x:v>
      </x:c>
      <x:c r="Q724" s="22" t="n">
        <x:v>27</x:v>
      </x:c>
      <x:c r="R724" s="22" t="n">
        <x:f>Q724*M724</x:f>
        <x:v>567</x:v>
      </x:c>
      <x:c r="S724" s="22" t="n">
        <x:f>P724-R724</x:f>
        <x:v>131.25</x:v>
      </x:c>
      <x:c r="T724" t="str">
        <x:v>Bank Transfer</x:v>
      </x:c>
      <x:c r="U724" t="str">
        <x:v>Paid</x:v>
      </x:c>
      <x:c r="V724" t="str">
        <x:v>Delayed</x:v>
      </x:c>
      <x:c r="W724" t="n">
        <x:v>0</x:v>
      </x:c>
      <x:c r="X724" t="str"/>
      <x:c r="Y724" t="str">
        <x:v>Existing Customer</x:v>
      </x:c>
    </x:row>
    <x:row r="725">
      <x:c r="A725" t="str">
        <x:v>O000724</x:v>
      </x:c>
      <x:c r="B725" s="20" t="n">
        <x:v>46209</x:v>
      </x:c>
      <x:c r="C725" t="str">
        <x:v>C0102</x:v>
      </x:c>
      <x:c r="D725" t="str">
        <x:v>Annapurna Foods 102</x:v>
      </x:c>
      <x:c r="E725" t="str">
        <x:v>Cafe</x:v>
      </x:c>
      <x:c r="F725" t="str">
        <x:v>Davanagere</x:v>
      </x:c>
      <x:c r="G725" t="str">
        <x:v>Ramesh</x:v>
      </x:c>
      <x:c r="H725" t="str">
        <x:v>P001</x:v>
      </x:c>
      <x:c r="I725" t="str">
        <x:v>Steam Rice 25kg</x:v>
      </x:c>
      <x:c r="J725" t="str">
        <x:v>Staples</x:v>
      </x:c>
      <x:c r="K725" t="str">
        <x:v>Aishwarya</x:v>
      </x:c>
      <x:c r="L725" s="22" t="n">
        <x:v>1180</x:v>
      </x:c>
      <x:c r="M725" t="n">
        <x:v>6</x:v>
      </x:c>
      <x:c r="N725" s="24" t="n">
        <x:v>0</x:v>
      </x:c>
      <x:c r="O725" s="22" t="n">
        <x:f>L725*M725</x:f>
        <x:v>7080</x:v>
      </x:c>
      <x:c r="P725" s="22" t="n">
        <x:f>O725*(1-N725)</x:f>
        <x:v>7080</x:v>
      </x:c>
      <x:c r="Q725" s="22" t="n">
        <x:v>1040</x:v>
      </x:c>
      <x:c r="R725" s="22" t="n">
        <x:f>Q725*M725</x:f>
        <x:v>6240</x:v>
      </x:c>
      <x:c r="S725" s="22" t="n">
        <x:f>P725-R725</x:f>
        <x:v>840</x:v>
      </x:c>
      <x:c r="T725" t="str">
        <x:v>Cash</x:v>
      </x:c>
      <x:c r="U725" t="str">
        <x:v>Pending</x:v>
      </x:c>
      <x:c r="V725" t="str">
        <x:v>Delivered</x:v>
      </x:c>
      <x:c r="W725" t="n">
        <x:v>0</x:v>
      </x:c>
      <x:c r="X725" t="str"/>
      <x:c r="Y725" t="str">
        <x:v>Referral</x:v>
      </x:c>
    </x:row>
    <x:row r="726">
      <x:c r="A726" t="str">
        <x:v>O000725</x:v>
      </x:c>
      <x:c r="B726" s="20" t="n">
        <x:v>45693</x:v>
      </x:c>
      <x:c r="C726" t="str">
        <x:v>C0038</x:v>
      </x:c>
      <x:c r="D726" t="str">
        <x:v>Mysore Kitchen 38</x:v>
      </x:c>
      <x:c r="E726" t="str">
        <x:v>Kirana</x:v>
      </x:c>
      <x:c r="F726" t="str">
        <x:v>Tumakuru</x:v>
      </x:c>
      <x:c r="G726" t="str">
        <x:v>Priya</x:v>
      </x:c>
      <x:c r="H726" t="str">
        <x:v>P048</x:v>
      </x:c>
      <x:c r="I726" t="str">
        <x:v>Banana 10kg</x:v>
      </x:c>
      <x:c r="J726" t="str">
        <x:v>Fresh Produce</x:v>
      </x:c>
      <x:c r="K726" t="str">
        <x:v>Local Market</x:v>
      </x:c>
      <x:c r="L726" s="22" t="n">
        <x:v>420</x:v>
      </x:c>
      <x:c r="M726" t="n">
        <x:v>39</x:v>
      </x:c>
      <x:c r="N726" s="24" t="n">
        <x:v>0.02</x:v>
      </x:c>
      <x:c r="O726" s="22" t="n">
        <x:f>L726*M726</x:f>
        <x:v>16380</x:v>
      </x:c>
      <x:c r="P726" s="22" t="n">
        <x:f>O726*(1-N726)</x:f>
        <x:v>16052.4</x:v>
      </x:c>
      <x:c r="Q726" s="22" t="n">
        <x:v>350</x:v>
      </x:c>
      <x:c r="R726" s="22" t="n">
        <x:f>Q726*M726</x:f>
        <x:v>13650</x:v>
      </x:c>
      <x:c r="S726" s="22" t="n">
        <x:f>P726-R726</x:f>
        <x:v>2402.3999999999996</x:v>
      </x:c>
      <x:c r="T726" t="str">
        <x:v>UPI</x:v>
      </x:c>
      <x:c r="U726" t="str">
        <x:v>Paid</x:v>
      </x:c>
      <x:c r="V726" t="str">
        <x:v>Cancelled</x:v>
      </x:c>
      <x:c r="W726" t="n">
        <x:v>39</x:v>
      </x:c>
      <x:c r="X726" t="str">
        <x:v>Cancelled Order</x:v>
      </x:c>
      <x:c r="Y726" t="str">
        <x:v>Existing Customer</x:v>
      </x:c>
    </x:row>
    <x:row r="727">
      <x:c r="A727" t="str">
        <x:v>O000726</x:v>
      </x:c>
      <x:c r="B727" s="20" t="n">
        <x:v>46164</x:v>
      </x:c>
      <x:c r="C727" t="str">
        <x:v>C0213</x:v>
      </x:c>
      <x:c r="D727" t="str">
        <x:v>Shree Cafe 213</x:v>
      </x:c>
      <x:c r="E727" t="str">
        <x:v>Cafe</x:v>
      </x:c>
      <x:c r="F727" t="str">
        <x:v>Tumakuru</x:v>
      </x:c>
      <x:c r="G727" t="str">
        <x:v>Imran</x:v>
      </x:c>
      <x:c r="H727" t="str">
        <x:v>P014</x:v>
      </x:c>
      <x:c r="I727" t="str">
        <x:v>Rava 5kg</x:v>
      </x:c>
      <x:c r="J727" t="str">
        <x:v>Flour</x:v>
      </x:c>
      <x:c r="K727" t="str">
        <x:v>Local Select</x:v>
      </x:c>
      <x:c r="L727" s="22" t="n">
        <x:v>245</x:v>
      </x:c>
      <x:c r="M727" t="n">
        <x:v>19</x:v>
      </x:c>
      <x:c r="N727" s="24" t="n">
        <x:v>0.05</x:v>
      </x:c>
      <x:c r="O727" s="22" t="n">
        <x:f>L727*M727</x:f>
        <x:v>4655</x:v>
      </x:c>
      <x:c r="P727" s="22" t="n">
        <x:f>O727*(1-N727)</x:f>
        <x:v>4422.25</x:v>
      </x:c>
      <x:c r="Q727" s="22" t="n">
        <x:v>215</x:v>
      </x:c>
      <x:c r="R727" s="22" t="n">
        <x:f>Q727*M727</x:f>
        <x:v>4085</x:v>
      </x:c>
      <x:c r="S727" s="22" t="n">
        <x:f>P727-R727</x:f>
        <x:v>337.25</x:v>
      </x:c>
      <x:c r="T727" t="str">
        <x:v>Credit</x:v>
      </x:c>
      <x:c r="U727" t="str">
        <x:v>Paid</x:v>
      </x:c>
      <x:c r="V727" t="str">
        <x:v>Delivered</x:v>
      </x:c>
      <x:c r="W727" t="n">
        <x:v>0</x:v>
      </x:c>
      <x:c r="X727" t="str"/>
      <x:c r="Y727" t="str">
        <x:v>Referral</x:v>
      </x:c>
    </x:row>
    <x:row r="728">
      <x:c r="A728" t="str">
        <x:v>O000727</x:v>
      </x:c>
      <x:c r="B728" s="20" t="n">
        <x:v>45711</x:v>
      </x:c>
      <x:c r="C728" t="str">
        <x:v>C0240</x:v>
      </x:c>
      <x:c r="D728" t="str">
        <x:v>Green Foods 240</x:v>
      </x:c>
      <x:c r="E728" t="str">
        <x:v>Restaurant</x:v>
      </x:c>
      <x:c r="F728" t="str">
        <x:v>Davanagere</x:v>
      </x:c>
      <x:c r="G728" t="str">
        <x:v>Vikram</x:v>
      </x:c>
      <x:c r="H728" t="str">
        <x:v>P015</x:v>
      </x:c>
      <x:c r="I728" t="str">
        <x:v>Milk 1L</x:v>
      </x:c>
      <x:c r="J728" t="str">
        <x:v>Dairy</x:v>
      </x:c>
      <x:c r="K728" t="str">
        <x:v>Nandini</x:v>
      </x:c>
      <x:c r="L728" s="22" t="n">
        <x:v>48</x:v>
      </x:c>
      <x:c r="M728" t="n">
        <x:v>12</x:v>
      </x:c>
      <x:c r="N728" s="24" t="n">
        <x:v>0.08</x:v>
      </x:c>
      <x:c r="O728" s="22" t="n">
        <x:f>L728*M728</x:f>
        <x:v>576</x:v>
      </x:c>
      <x:c r="P728" s="22" t="n">
        <x:f>O728*(1-N728)</x:f>
        <x:v>529.9200000000001</x:v>
      </x:c>
      <x:c r="Q728" s="22" t="n">
        <x:v>43</x:v>
      </x:c>
      <x:c r="R728" s="22" t="n">
        <x:f>Q728*M728</x:f>
        <x:v>516</x:v>
      </x:c>
      <x:c r="S728" s="22" t="n">
        <x:f>P728-R728</x:f>
        <x:v>13.920000000000073</x:v>
      </x:c>
      <x:c r="T728" t="str">
        <x:v>Credit</x:v>
      </x:c>
      <x:c r="U728" t="str">
        <x:v>Paid</x:v>
      </x:c>
      <x:c r="V728" t="str">
        <x:v>Cancelled</x:v>
      </x:c>
      <x:c r="W728" t="n">
        <x:v>12</x:v>
      </x:c>
      <x:c r="X728" t="str">
        <x:v>Cancelled Order</x:v>
      </x:c>
      <x:c r="Y728" t="str">
        <x:v>Referral</x:v>
      </x:c>
    </x:row>
    <x:row r="729">
      <x:c r="A729" t="str">
        <x:v>O000728</x:v>
      </x:c>
      <x:c r="B729" s="20" t="n">
        <x:v>46003</x:v>
      </x:c>
      <x:c r="C729" t="str">
        <x:v>C0141</x:v>
      </x:c>
      <x:c r="D729" t="str">
        <x:v>Sri Restaurant 141</x:v>
      </x:c>
      <x:c r="E729" t="str">
        <x:v>Restaurant</x:v>
      </x:c>
      <x:c r="F729" t="str">
        <x:v>Mangaluru</x:v>
      </x:c>
      <x:c r="G729" t="str">
        <x:v>Ramesh</x:v>
      </x:c>
      <x:c r="H729" t="str">
        <x:v>P026</x:v>
      </x:c>
      <x:c r="I729" t="str">
        <x:v>Banana Chips 80g</x:v>
      </x:c>
      <x:c r="J729" t="str">
        <x:v>Snacks</x:v>
      </x:c>
      <x:c r="K729" t="str">
        <x:v>SSS</x:v>
      </x:c>
      <x:c r="L729" s="22" t="n">
        <x:v>54</x:v>
      </x:c>
      <x:c r="M729" t="n">
        <x:v>28</x:v>
      </x:c>
      <x:c r="N729" s="24" t="n">
        <x:v>0.05</x:v>
      </x:c>
      <x:c r="O729" s="22" t="n">
        <x:f>L729*M729</x:f>
        <x:v>1512</x:v>
      </x:c>
      <x:c r="P729" s="22" t="n">
        <x:f>O729*(1-N729)</x:f>
        <x:v>1436.3999999999999</x:v>
      </x:c>
      <x:c r="Q729" s="22" t="n">
        <x:v>39</x:v>
      </x:c>
      <x:c r="R729" s="22" t="n">
        <x:f>Q729*M729</x:f>
        <x:v>1092</x:v>
      </x:c>
      <x:c r="S729" s="22" t="n">
        <x:f>P729-R729</x:f>
        <x:v>344.39999999999986</x:v>
      </x:c>
      <x:c r="T729" t="str">
        <x:v>Cash</x:v>
      </x:c>
      <x:c r="U729" t="str">
        <x:v>Pending</x:v>
      </x:c>
      <x:c r="V729" t="str">
        <x:v>Delivered</x:v>
      </x:c>
      <x:c r="W729" t="n">
        <x:v>0</x:v>
      </x:c>
      <x:c r="X729" t="str"/>
      <x:c r="Y729" t="str">
        <x:v>Field Visit</x:v>
      </x:c>
    </x:row>
    <x:row r="730">
      <x:c r="A730" t="str">
        <x:v>O000729</x:v>
      </x:c>
      <x:c r="B730" s="20" t="n">
        <x:v>46219</x:v>
      </x:c>
      <x:c r="C730" t="str">
        <x:v>C0237</x:v>
      </x:c>
      <x:c r="D730" t="str">
        <x:v>Mysore Restaurant 237</x:v>
      </x:c>
      <x:c r="E730" t="str">
        <x:v>Restaurant</x:v>
      </x:c>
      <x:c r="F730" t="str">
        <x:v>Bengaluru</x:v>
      </x:c>
      <x:c r="G730" t="str">
        <x:v>Sneha</x:v>
      </x:c>
      <x:c r="H730" t="str">
        <x:v>P013</x:v>
      </x:c>
      <x:c r="I730" t="str">
        <x:v>Atta 10kg</x:v>
      </x:c>
      <x:c r="J730" t="str">
        <x:v>Flour</x:v>
      </x:c>
      <x:c r="K730" t="str">
        <x:v>Aashirvaad</x:v>
      </x:c>
      <x:c r="L730" s="22" t="n">
        <x:v>560</x:v>
      </x:c>
      <x:c r="M730" t="n">
        <x:v>26</x:v>
      </x:c>
      <x:c r="N730" s="24" t="n">
        <x:v>0</x:v>
      </x:c>
      <x:c r="O730" s="22" t="n">
        <x:f>L730*M730</x:f>
        <x:v>14560</x:v>
      </x:c>
      <x:c r="P730" s="22" t="n">
        <x:f>O730*(1-N730)</x:f>
        <x:v>14560</x:v>
      </x:c>
      <x:c r="Q730" s="22" t="n">
        <x:v>495</x:v>
      </x:c>
      <x:c r="R730" s="22" t="n">
        <x:f>Q730*M730</x:f>
        <x:v>12870</x:v>
      </x:c>
      <x:c r="S730" s="22" t="n">
        <x:f>P730-R730</x:f>
        <x:v>1690</x:v>
      </x:c>
      <x:c r="T730" t="str">
        <x:v>Cash</x:v>
      </x:c>
      <x:c r="U730" t="str">
        <x:v>Pending</x:v>
      </x:c>
      <x:c r="V730" t="str">
        <x:v>Delayed</x:v>
      </x:c>
      <x:c r="W730" t="n">
        <x:v>0</x:v>
      </x:c>
      <x:c r="X730" t="str"/>
      <x:c r="Y730" t="str">
        <x:v>Outbound Call</x:v>
      </x:c>
    </x:row>
    <x:row r="731">
      <x:c r="A731" t="str">
        <x:v>O000730</x:v>
      </x:c>
      <x:c r="B731" s="20" t="n">
        <x:v>46126</x:v>
      </x:c>
      <x:c r="C731" t="str">
        <x:v>C0182</x:v>
      </x:c>
      <x:c r="D731" t="str">
        <x:v>Mysore Foods 182</x:v>
      </x:c>
      <x:c r="E731" t="str">
        <x:v>Restaurant</x:v>
      </x:c>
      <x:c r="F731" t="str">
        <x:v>Bengaluru</x:v>
      </x:c>
      <x:c r="G731" t="str">
        <x:v>Vikram</x:v>
      </x:c>
      <x:c r="H731" t="str">
        <x:v>P020</x:v>
      </x:c>
      <x:c r="I731" t="str">
        <x:v>Coffee 500g</x:v>
      </x:c>
      <x:c r="J731" t="str">
        <x:v>Beverage</x:v>
      </x:c>
      <x:c r="K731" t="str">
        <x:v>Bru</x:v>
      </x:c>
      <x:c r="L731" s="22" t="n">
        <x:v>390</x:v>
      </x:c>
      <x:c r="M731" t="n">
        <x:v>11</x:v>
      </x:c>
      <x:c r="N731" s="24" t="n">
        <x:v>0.03</x:v>
      </x:c>
      <x:c r="O731" s="22" t="n">
        <x:f>L731*M731</x:f>
        <x:v>4290</x:v>
      </x:c>
      <x:c r="P731" s="22" t="n">
        <x:f>O731*(1-N731)</x:f>
        <x:v>4161.3</x:v>
      </x:c>
      <x:c r="Q731" s="22" t="n">
        <x:v>350</x:v>
      </x:c>
      <x:c r="R731" s="22" t="n">
        <x:f>Q731*M731</x:f>
        <x:v>3850</x:v>
      </x:c>
      <x:c r="S731" s="22" t="n">
        <x:f>P731-R731</x:f>
        <x:v>311.3000000000002</x:v>
      </x:c>
      <x:c r="T731" t="str">
        <x:v>Credit</x:v>
      </x:c>
      <x:c r="U731" t="str">
        <x:v>Paid</x:v>
      </x:c>
      <x:c r="V731" t="str">
        <x:v>Delivered</x:v>
      </x:c>
      <x:c r="W731" t="n">
        <x:v>0</x:v>
      </x:c>
      <x:c r="X731" t="str"/>
      <x:c r="Y731" t="str">
        <x:v>Referral</x:v>
      </x:c>
    </x:row>
    <x:row r="732">
      <x:c r="A732" t="str">
        <x:v>O000731</x:v>
      </x:c>
      <x:c r="B732" s="20" t="n">
        <x:v>45667</x:v>
      </x:c>
      <x:c r="C732" t="str">
        <x:v>C0192</x:v>
      </x:c>
      <x:c r="D732" t="str">
        <x:v>Shree Kitchen 192</x:v>
      </x:c>
      <x:c r="E732" t="str">
        <x:v>Restaurant</x:v>
      </x:c>
      <x:c r="F732" t="str">
        <x:v>Mysuru</x:v>
      </x:c>
      <x:c r="G732" t="str">
        <x:v>Sneha</x:v>
      </x:c>
      <x:c r="H732" t="str">
        <x:v>P013</x:v>
      </x:c>
      <x:c r="I732" t="str">
        <x:v>Atta 10kg</x:v>
      </x:c>
      <x:c r="J732" t="str">
        <x:v>Flour</x:v>
      </x:c>
      <x:c r="K732" t="str">
        <x:v>Aashirvaad</x:v>
      </x:c>
      <x:c r="L732" s="22" t="n">
        <x:v>560</x:v>
      </x:c>
      <x:c r="M732" t="n">
        <x:v>24</x:v>
      </x:c>
      <x:c r="N732" s="24" t="n">
        <x:v>0.05</x:v>
      </x:c>
      <x:c r="O732" s="22" t="n">
        <x:f>L732*M732</x:f>
        <x:v>13440</x:v>
      </x:c>
      <x:c r="P732" s="22" t="n">
        <x:f>O732*(1-N732)</x:f>
        <x:v>12768</x:v>
      </x:c>
      <x:c r="Q732" s="22" t="n">
        <x:v>495</x:v>
      </x:c>
      <x:c r="R732" s="22" t="n">
        <x:f>Q732*M732</x:f>
        <x:v>11880</x:v>
      </x:c>
      <x:c r="S732" s="22" t="n">
        <x:f>P732-R732</x:f>
        <x:v>888</x:v>
      </x:c>
      <x:c r="T732" t="str">
        <x:v>UPI</x:v>
      </x:c>
      <x:c r="U732" t="str">
        <x:v>Paid</x:v>
      </x:c>
      <x:c r="V732" t="str">
        <x:v>Delivered</x:v>
      </x:c>
      <x:c r="W732" t="n">
        <x:v>0</x:v>
      </x:c>
      <x:c r="X732" t="str"/>
      <x:c r="Y732" t="str">
        <x:v>WhatsApp</x:v>
      </x:c>
    </x:row>
    <x:row r="733">
      <x:c r="A733" t="str">
        <x:v>O000732</x:v>
      </x:c>
      <x:c r="B733" s="20" t="n">
        <x:v>45756</x:v>
      </x:c>
      <x:c r="C733" t="str">
        <x:v>C0044</x:v>
      </x:c>
      <x:c r="D733" t="str">
        <x:v>Annapurna Mart 44</x:v>
      </x:c>
      <x:c r="E733" t="str">
        <x:v>Kirana</x:v>
      </x:c>
      <x:c r="F733" t="str">
        <x:v>Davanagere</x:v>
      </x:c>
      <x:c r="G733" t="str">
        <x:v>Priya</x:v>
      </x:c>
      <x:c r="H733" t="str">
        <x:v>P004</x:v>
      </x:c>
      <x:c r="I733" t="str">
        <x:v>Toor Dal 5kg</x:v>
      </x:c>
      <x:c r="J733" t="str">
        <x:v>Pulses</x:v>
      </x:c>
      <x:c r="K733" t="str">
        <x:v>Tata Sampann</x:v>
      </x:c>
      <x:c r="L733" s="22" t="n">
        <x:v>780</x:v>
      </x:c>
      <x:c r="M733" t="n">
        <x:v>23</x:v>
      </x:c>
      <x:c r="N733" s="24" t="n">
        <x:v>0.1</x:v>
      </x:c>
      <x:c r="O733" s="22" t="n">
        <x:f>L733*M733</x:f>
        <x:v>17940</x:v>
      </x:c>
      <x:c r="P733" s="22" t="n">
        <x:f>O733*(1-N733)</x:f>
        <x:v>16146</x:v>
      </x:c>
      <x:c r="Q733" s="22" t="n">
        <x:v>695</x:v>
      </x:c>
      <x:c r="R733" s="22" t="n">
        <x:f>Q733*M733</x:f>
        <x:v>15985</x:v>
      </x:c>
      <x:c r="S733" s="22" t="n">
        <x:f>P733-R733</x:f>
        <x:v>161</x:v>
      </x:c>
      <x:c r="T733" t="str">
        <x:v>Bank Transfer</x:v>
      </x:c>
      <x:c r="U733" t="str">
        <x:v>Overdue</x:v>
      </x:c>
      <x:c r="V733" t="str">
        <x:v>Delivered</x:v>
      </x:c>
      <x:c r="W733" t="n">
        <x:v>0</x:v>
      </x:c>
      <x:c r="X733" t="str"/>
      <x:c r="Y733" t="str">
        <x:v>Field Visit</x:v>
      </x:c>
    </x:row>
    <x:row r="734">
      <x:c r="A734" t="str">
        <x:v>O000733</x:v>
      </x:c>
      <x:c r="B734" s="20" t="n">
        <x:v>46071</x:v>
      </x:c>
      <x:c r="C734" t="str">
        <x:v>C0249</x:v>
      </x:c>
      <x:c r="D734" t="str">
        <x:v>City Hotel 249</x:v>
      </x:c>
      <x:c r="E734" t="str">
        <x:v>Supermarket</x:v>
      </x:c>
      <x:c r="F734" t="str">
        <x:v>Mysuru</x:v>
      </x:c>
      <x:c r="G734" t="str">
        <x:v>Arjun</x:v>
      </x:c>
      <x:c r="H734" t="str">
        <x:v>P010</x:v>
      </x:c>
      <x:c r="I734" t="str">
        <x:v>Sugar 25kg</x:v>
      </x:c>
      <x:c r="J734" t="str">
        <x:v>Staples</x:v>
      </x:c>
      <x:c r="K734" t="str">
        <x:v>Madhur</x:v>
      </x:c>
      <x:c r="L734" s="22" t="n">
        <x:v>1190</x:v>
      </x:c>
      <x:c r="M734" t="n">
        <x:v>1</x:v>
      </x:c>
      <x:c r="N734" s="24" t="n">
        <x:v>0</x:v>
      </x:c>
      <x:c r="O734" s="22" t="n">
        <x:f>L734*M734</x:f>
        <x:v>1190</x:v>
      </x:c>
      <x:c r="P734" s="22" t="n">
        <x:f>O734*(1-N734)</x:f>
        <x:v>1190</x:v>
      </x:c>
      <x:c r="Q734" s="22" t="n">
        <x:v>1080</x:v>
      </x:c>
      <x:c r="R734" s="22" t="n">
        <x:f>Q734*M734</x:f>
        <x:v>1080</x:v>
      </x:c>
      <x:c r="S734" s="22" t="n">
        <x:f>P734-R734</x:f>
        <x:v>110</x:v>
      </x:c>
      <x:c r="T734" t="str">
        <x:v>Credit</x:v>
      </x:c>
      <x:c r="U734" t="str">
        <x:v>Paid</x:v>
      </x:c>
      <x:c r="V734" t="str">
        <x:v>Cancelled</x:v>
      </x:c>
      <x:c r="W734" t="n">
        <x:v>1</x:v>
      </x:c>
      <x:c r="X734" t="str">
        <x:v>Cancelled Order</x:v>
      </x:c>
      <x:c r="Y734" t="str">
        <x:v>Existing Customer</x:v>
      </x:c>
    </x:row>
    <x:row r="735">
      <x:c r="A735" t="str">
        <x:v>O000734</x:v>
      </x:c>
      <x:c r="B735" s="20" t="n">
        <x:v>46042</x:v>
      </x:c>
      <x:c r="C735" t="str">
        <x:v>C0168</x:v>
      </x:c>
      <x:c r="D735" t="str">
        <x:v>Sagar Hotel 168</x:v>
      </x:c>
      <x:c r="E735" t="str">
        <x:v>Canteen</x:v>
      </x:c>
      <x:c r="F735" t="str">
        <x:v>Bengaluru</x:v>
      </x:c>
      <x:c r="G735" t="str">
        <x:v>Priya</x:v>
      </x:c>
      <x:c r="H735" t="str">
        <x:v>P048</x:v>
      </x:c>
      <x:c r="I735" t="str">
        <x:v>Banana 10kg</x:v>
      </x:c>
      <x:c r="J735" t="str">
        <x:v>Fresh Produce</x:v>
      </x:c>
      <x:c r="K735" t="str">
        <x:v>Local Market</x:v>
      </x:c>
      <x:c r="L735" s="22" t="n">
        <x:v>420</x:v>
      </x:c>
      <x:c r="M735" t="n">
        <x:v>6</x:v>
      </x:c>
      <x:c r="N735" s="24" t="n">
        <x:v>0.05</x:v>
      </x:c>
      <x:c r="O735" s="22" t="n">
        <x:f>L735*M735</x:f>
        <x:v>2520</x:v>
      </x:c>
      <x:c r="P735" s="22" t="n">
        <x:f>O735*(1-N735)</x:f>
        <x:v>2394</x:v>
      </x:c>
      <x:c r="Q735" s="22" t="n">
        <x:v>350</x:v>
      </x:c>
      <x:c r="R735" s="22" t="n">
        <x:f>Q735*M735</x:f>
        <x:v>2100</x:v>
      </x:c>
      <x:c r="S735" s="22" t="n">
        <x:f>P735-R735</x:f>
        <x:v>294</x:v>
      </x:c>
      <x:c r="T735" t="str">
        <x:v>Credit</x:v>
      </x:c>
      <x:c r="U735" t="str">
        <x:v>Paid</x:v>
      </x:c>
      <x:c r="V735" t="str">
        <x:v>Cancelled</x:v>
      </x:c>
      <x:c r="W735" t="n">
        <x:v>6</x:v>
      </x:c>
      <x:c r="X735" t="str">
        <x:v>Cancelled Order</x:v>
      </x:c>
      <x:c r="Y735" t="str">
        <x:v>WhatsApp</x:v>
      </x:c>
    </x:row>
    <x:row r="736">
      <x:c r="A736" t="str">
        <x:v>O000735</x:v>
      </x:c>
      <x:c r="B736" s="20" t="n">
        <x:v>45742</x:v>
      </x:c>
      <x:c r="C736" t="str">
        <x:v>C0031</x:v>
      </x:c>
      <x:c r="D736" t="str">
        <x:v>Royal Restaurant 31</x:v>
      </x:c>
      <x:c r="E736" t="str">
        <x:v>Restaurant</x:v>
      </x:c>
      <x:c r="F736" t="str">
        <x:v>Mangaluru</x:v>
      </x:c>
      <x:c r="G736" t="str">
        <x:v>Arjun</x:v>
      </x:c>
      <x:c r="H736" t="str">
        <x:v>P008</x:v>
      </x:c>
      <x:c r="I736" t="str">
        <x:v>Palm Oil 15L</x:v>
      </x:c>
      <x:c r="J736" t="str">
        <x:v>Edible Oil</x:v>
      </x:c>
      <x:c r="K736" t="str">
        <x:v>Ruchi Gold</x:v>
      </x:c>
      <x:c r="L736" s="22" t="n">
        <x:v>1760</x:v>
      </x:c>
      <x:c r="M736" t="n">
        <x:v>8</x:v>
      </x:c>
      <x:c r="N736" s="24" t="n">
        <x:v>0.05</x:v>
      </x:c>
      <x:c r="O736" s="22" t="n">
        <x:f>L736*M736</x:f>
        <x:v>14080</x:v>
      </x:c>
      <x:c r="P736" s="22" t="n">
        <x:f>O736*(1-N736)</x:f>
        <x:v>13376</x:v>
      </x:c>
      <x:c r="Q736" s="22" t="n">
        <x:v>1610</x:v>
      </x:c>
      <x:c r="R736" s="22" t="n">
        <x:f>Q736*M736</x:f>
        <x:v>12880</x:v>
      </x:c>
      <x:c r="S736" s="22" t="n">
        <x:f>P736-R736</x:f>
        <x:v>496</x:v>
      </x:c>
      <x:c r="T736" t="str">
        <x:v>Bank Transfer</x:v>
      </x:c>
      <x:c r="U736" t="str">
        <x:v>Paid</x:v>
      </x:c>
      <x:c r="V736" t="str">
        <x:v>Delayed</x:v>
      </x:c>
      <x:c r="W736" t="n">
        <x:v>0</x:v>
      </x:c>
      <x:c r="X736" t="str"/>
      <x:c r="Y736" t="str">
        <x:v>Existing Customer</x:v>
      </x:c>
    </x:row>
    <x:row r="737">
      <x:c r="A737" t="str">
        <x:v>O000736</x:v>
      </x:c>
      <x:c r="B737" s="20" t="n">
        <x:v>45754</x:v>
      </x:c>
      <x:c r="C737" t="str">
        <x:v>C0178</x:v>
      </x:c>
      <x:c r="D737" t="str">
        <x:v>Annapurna Foods 178</x:v>
      </x:c>
      <x:c r="E737" t="str">
        <x:v>Canteen</x:v>
      </x:c>
      <x:c r="F737" t="str">
        <x:v>Tumakuru</x:v>
      </x:c>
      <x:c r="G737" t="str">
        <x:v>Imran</x:v>
      </x:c>
      <x:c r="H737" t="str">
        <x:v>P048</x:v>
      </x:c>
      <x:c r="I737" t="str">
        <x:v>Banana 10kg</x:v>
      </x:c>
      <x:c r="J737" t="str">
        <x:v>Fresh Produce</x:v>
      </x:c>
      <x:c r="K737" t="str">
        <x:v>Local Market</x:v>
      </x:c>
      <x:c r="L737" s="22" t="n">
        <x:v>420</x:v>
      </x:c>
      <x:c r="M737" t="n">
        <x:v>38</x:v>
      </x:c>
      <x:c r="N737" s="24" t="n">
        <x:v>0</x:v>
      </x:c>
      <x:c r="O737" s="22" t="n">
        <x:f>L737*M737</x:f>
        <x:v>15960</x:v>
      </x:c>
      <x:c r="P737" s="22" t="n">
        <x:f>O737*(1-N737)</x:f>
        <x:v>15960</x:v>
      </x:c>
      <x:c r="Q737" s="22" t="n">
        <x:v>350</x:v>
      </x:c>
      <x:c r="R737" s="22" t="n">
        <x:f>Q737*M737</x:f>
        <x:v>13300</x:v>
      </x:c>
      <x:c r="S737" s="22" t="n">
        <x:f>P737-R737</x:f>
        <x:v>2660</x:v>
      </x:c>
      <x:c r="T737" t="str">
        <x:v>Credit</x:v>
      </x:c>
      <x:c r="U737" t="str">
        <x:v>Overdue</x:v>
      </x:c>
      <x:c r="V737" t="str">
        <x:v>Cancelled</x:v>
      </x:c>
      <x:c r="W737" t="n">
        <x:v>38</x:v>
      </x:c>
      <x:c r="X737" t="str">
        <x:v>Cancelled Order</x:v>
      </x:c>
      <x:c r="Y737" t="str">
        <x:v>WhatsApp</x:v>
      </x:c>
    </x:row>
    <x:row r="738">
      <x:c r="A738" t="str">
        <x:v>O000737</x:v>
      </x:c>
      <x:c r="B738" s="20" t="n">
        <x:v>45991</x:v>
      </x:c>
      <x:c r="C738" t="str">
        <x:v>C0033</x:v>
      </x:c>
      <x:c r="D738" t="str">
        <x:v>Shree Canteen 33</x:v>
      </x:c>
      <x:c r="E738" t="str">
        <x:v>Canteen</x:v>
      </x:c>
      <x:c r="F738" t="str">
        <x:v>Mangaluru</x:v>
      </x:c>
      <x:c r="G738" t="str">
        <x:v>Imran</x:v>
      </x:c>
      <x:c r="H738" t="str">
        <x:v>P007</x:v>
      </x:c>
      <x:c r="I738" t="str">
        <x:v>Sunflower Oil 15L</x:v>
      </x:c>
      <x:c r="J738" t="str">
        <x:v>Edible Oil</x:v>
      </x:c>
      <x:c r="K738" t="str">
        <x:v>Fortune</x:v>
      </x:c>
      <x:c r="L738" s="22" t="n">
        <x:v>1980</x:v>
      </x:c>
      <x:c r="M738" t="n">
        <x:v>12</x:v>
      </x:c>
      <x:c r="N738" s="24" t="n">
        <x:v>0.08</x:v>
      </x:c>
      <x:c r="O738" s="22" t="n">
        <x:f>L738*M738</x:f>
        <x:v>23760</x:v>
      </x:c>
      <x:c r="P738" s="22" t="n">
        <x:f>O738*(1-N738)</x:f>
        <x:v>21859.2</x:v>
      </x:c>
      <x:c r="Q738" s="22" t="n">
        <x:v>1810</x:v>
      </x:c>
      <x:c r="R738" s="22" t="n">
        <x:f>Q738*M738</x:f>
        <x:v>21720</x:v>
      </x:c>
      <x:c r="S738" s="22" t="n">
        <x:f>P738-R738</x:f>
        <x:v>139.20000000000073</x:v>
      </x:c>
      <x:c r="T738" t="str">
        <x:v>Bank Transfer</x:v>
      </x:c>
      <x:c r="U738" t="str">
        <x:v>Paid</x:v>
      </x:c>
      <x:c r="V738" t="str">
        <x:v>Cancelled</x:v>
      </x:c>
      <x:c r="W738" t="n">
        <x:v>12</x:v>
      </x:c>
      <x:c r="X738" t="str">
        <x:v>Cancelled Order</x:v>
      </x:c>
      <x:c r="Y738" t="str">
        <x:v>Outbound Call</x:v>
      </x:c>
    </x:row>
    <x:row r="739">
      <x:c r="A739" t="str">
        <x:v>O000738</x:v>
      </x:c>
      <x:c r="B739" s="20" t="n">
        <x:v>46200</x:v>
      </x:c>
      <x:c r="C739" t="str">
        <x:v>C0210</x:v>
      </x:c>
      <x:c r="D739" t="str">
        <x:v>Spice Stores 210</x:v>
      </x:c>
      <x:c r="E739" t="str">
        <x:v>Cafe</x:v>
      </x:c>
      <x:c r="F739" t="str">
        <x:v>Davanagere</x:v>
      </x:c>
      <x:c r="G739" t="str">
        <x:v>Imran</x:v>
      </x:c>
      <x:c r="H739" t="str">
        <x:v>P035</x:v>
      </x:c>
      <x:c r="I739" t="str">
        <x:v>Coriander Powder 1kg</x:v>
      </x:c>
      <x:c r="J739" t="str">
        <x:v>Spices</x:v>
      </x:c>
      <x:c r="K739" t="str">
        <x:v>Everest</x:v>
      </x:c>
      <x:c r="L739" s="22" t="n">
        <x:v>280</x:v>
      </x:c>
      <x:c r="M739" t="n">
        <x:v>32</x:v>
      </x:c>
      <x:c r="N739" s="24" t="n">
        <x:v>0</x:v>
      </x:c>
      <x:c r="O739" s="22" t="n">
        <x:f>L739*M739</x:f>
        <x:v>8960</x:v>
      </x:c>
      <x:c r="P739" s="22" t="n">
        <x:f>O739*(1-N739)</x:f>
        <x:v>8960</x:v>
      </x:c>
      <x:c r="Q739" s="22" t="n">
        <x:v>245</x:v>
      </x:c>
      <x:c r="R739" s="22" t="n">
        <x:f>Q739*M739</x:f>
        <x:v>7840</x:v>
      </x:c>
      <x:c r="S739" s="22" t="n">
        <x:f>P739-R739</x:f>
        <x:v>1120</x:v>
      </x:c>
      <x:c r="T739" t="str">
        <x:v>UPI</x:v>
      </x:c>
      <x:c r="U739" t="str">
        <x:v>Pending</x:v>
      </x:c>
      <x:c r="V739" t="str">
        <x:v>Delivered</x:v>
      </x:c>
      <x:c r="W739" t="n">
        <x:v>0</x:v>
      </x:c>
      <x:c r="X739" t="str"/>
      <x:c r="Y739" t="str">
        <x:v>Outbound Call</x:v>
      </x:c>
    </x:row>
    <x:row r="740">
      <x:c r="A740" t="str">
        <x:v>O000739</x:v>
      </x:c>
      <x:c r="B740" s="20" t="n">
        <x:v>45842</x:v>
      </x:c>
      <x:c r="C740" t="str">
        <x:v>C0154</x:v>
      </x:c>
      <x:c r="D740" t="str">
        <x:v>Royal Restaurant 154</x:v>
      </x:c>
      <x:c r="E740" t="str">
        <x:v>Restaurant</x:v>
      </x:c>
      <x:c r="F740" t="str">
        <x:v>Tumakuru</x:v>
      </x:c>
      <x:c r="G740" t="str">
        <x:v>Kavya</x:v>
      </x:c>
      <x:c r="H740" t="str">
        <x:v>P045</x:v>
      </x:c>
      <x:c r="I740" t="str">
        <x:v>Onion 25kg</x:v>
      </x:c>
      <x:c r="J740" t="str">
        <x:v>Fresh Produce</x:v>
      </x:c>
      <x:c r="K740" t="str">
        <x:v>Local Market</x:v>
      </x:c>
      <x:c r="L740" s="22" t="n">
        <x:v>875</x:v>
      </x:c>
      <x:c r="M740" t="n">
        <x:v>1</x:v>
      </x:c>
      <x:c r="N740" s="24" t="n">
        <x:v>0.03</x:v>
      </x:c>
      <x:c r="O740" s="22" t="n">
        <x:f>L740*M740</x:f>
        <x:v>875</x:v>
      </x:c>
      <x:c r="P740" s="22" t="n">
        <x:f>O740*(1-N740)</x:f>
        <x:v>848.75</x:v>
      </x:c>
      <x:c r="Q740" s="22" t="n">
        <x:v>760</x:v>
      </x:c>
      <x:c r="R740" s="22" t="n">
        <x:f>Q740*M740</x:f>
        <x:v>760</x:v>
      </x:c>
      <x:c r="S740" s="22" t="n">
        <x:f>P740-R740</x:f>
        <x:v>88.75</x:v>
      </x:c>
      <x:c r="T740" t="str">
        <x:v>Cash</x:v>
      </x:c>
      <x:c r="U740" t="str">
        <x:v>Paid</x:v>
      </x:c>
      <x:c r="V740" t="str">
        <x:v>Delivered</x:v>
      </x:c>
      <x:c r="W740" t="n">
        <x:v>0</x:v>
      </x:c>
      <x:c r="X740" t="str"/>
      <x:c r="Y740" t="str">
        <x:v>Referral</x:v>
      </x:c>
    </x:row>
    <x:row r="741">
      <x:c r="A741" t="str">
        <x:v>O000740</x:v>
      </x:c>
      <x:c r="B741" s="20" t="n">
        <x:v>45693</x:v>
      </x:c>
      <x:c r="C741" t="str">
        <x:v>C0066</x:v>
      </x:c>
      <x:c r="D741" t="str">
        <x:v>Hotel Hotel 66</x:v>
      </x:c>
      <x:c r="E741" t="str">
        <x:v>Restaurant</x:v>
      </x:c>
      <x:c r="F741" t="str">
        <x:v>Davanagere</x:v>
      </x:c>
      <x:c r="G741" t="str">
        <x:v>Megha</x:v>
      </x:c>
      <x:c r="H741" t="str">
        <x:v>P049</x:v>
      </x:c>
      <x:c r="I741" t="str">
        <x:v>Apple 10kg</x:v>
      </x:c>
      <x:c r="J741" t="str">
        <x:v>Fresh Produce</x:v>
      </x:c>
      <x:c r="K741" t="str">
        <x:v>Local Market</x:v>
      </x:c>
      <x:c r="L741" s="22" t="n">
        <x:v>1450</x:v>
      </x:c>
      <x:c r="M741" t="n">
        <x:v>2</x:v>
      </x:c>
      <x:c r="N741" s="24" t="n">
        <x:v>0.03</x:v>
      </x:c>
      <x:c r="O741" s="22" t="n">
        <x:f>L741*M741</x:f>
        <x:v>2900</x:v>
      </x:c>
      <x:c r="P741" s="22" t="n">
        <x:f>O741*(1-N741)</x:f>
        <x:v>2813</x:v>
      </x:c>
      <x:c r="Q741" s="22" t="n">
        <x:v>1280</x:v>
      </x:c>
      <x:c r="R741" s="22" t="n">
        <x:f>Q741*M741</x:f>
        <x:v>2560</x:v>
      </x:c>
      <x:c r="S741" s="22" t="n">
        <x:f>P741-R741</x:f>
        <x:v>253</x:v>
      </x:c>
      <x:c r="T741" t="str">
        <x:v>Cash</x:v>
      </x:c>
      <x:c r="U741" t="str">
        <x:v>Overdue</x:v>
      </x:c>
      <x:c r="V741" t="str">
        <x:v>Delivered</x:v>
      </x:c>
      <x:c r="W741" t="n">
        <x:v>0</x:v>
      </x:c>
      <x:c r="X741" t="str"/>
      <x:c r="Y741" t="str">
        <x:v>Outbound Call</x:v>
      </x:c>
    </x:row>
    <x:row r="742">
      <x:c r="A742" t="str">
        <x:v>O000741</x:v>
      </x:c>
      <x:c r="B742" s="20" t="n">
        <x:v>45958</x:v>
      </x:c>
      <x:c r="C742" t="str">
        <x:v>C0012</x:v>
      </x:c>
      <x:c r="D742" t="str">
        <x:v>Sagar Canteen 12</x:v>
      </x:c>
      <x:c r="E742" t="str">
        <x:v>Supermarket</x:v>
      </x:c>
      <x:c r="F742" t="str">
        <x:v>Mysuru</x:v>
      </x:c>
      <x:c r="G742" t="str">
        <x:v>Priya</x:v>
      </x:c>
      <x:c r="H742" t="str">
        <x:v>P034</x:v>
      </x:c>
      <x:c r="I742" t="str">
        <x:v>Chilli Powder 1kg</x:v>
      </x:c>
      <x:c r="J742" t="str">
        <x:v>Spices</x:v>
      </x:c>
      <x:c r="K742" t="str">
        <x:v>MDH</x:v>
      </x:c>
      <x:c r="L742" s="22" t="n">
        <x:v>340</x:v>
      </x:c>
      <x:c r="M742" t="n">
        <x:v>35</x:v>
      </x:c>
      <x:c r="N742" s="24" t="n">
        <x:v>0.03</x:v>
      </x:c>
      <x:c r="O742" s="22" t="n">
        <x:f>L742*M742</x:f>
        <x:v>11900</x:v>
      </x:c>
      <x:c r="P742" s="22" t="n">
        <x:f>O742*(1-N742)</x:f>
        <x:v>11543</x:v>
      </x:c>
      <x:c r="Q742" s="22" t="n">
        <x:v>295</x:v>
      </x:c>
      <x:c r="R742" s="22" t="n">
        <x:f>Q742*M742</x:f>
        <x:v>10325</x:v>
      </x:c>
      <x:c r="S742" s="22" t="n">
        <x:f>P742-R742</x:f>
        <x:v>1218</x:v>
      </x:c>
      <x:c r="T742" t="str">
        <x:v>Credit</x:v>
      </x:c>
      <x:c r="U742" t="str">
        <x:v>Paid</x:v>
      </x:c>
      <x:c r="V742" t="str">
        <x:v>Delayed</x:v>
      </x:c>
      <x:c r="W742" t="n">
        <x:v>0</x:v>
      </x:c>
      <x:c r="X742" t="str"/>
      <x:c r="Y742" t="str">
        <x:v>Field Visit</x:v>
      </x:c>
    </x:row>
    <x:row r="743">
      <x:c r="A743" t="str">
        <x:v>O000742</x:v>
      </x:c>
      <x:c r="B743" s="20" t="n">
        <x:v>45759</x:v>
      </x:c>
      <x:c r="C743" t="str">
        <x:v>C0131</x:v>
      </x:c>
      <x:c r="D743" t="str">
        <x:v>Foodie Canteen 131</x:v>
      </x:c>
      <x:c r="E743" t="str">
        <x:v>Canteen</x:v>
      </x:c>
      <x:c r="F743" t="str">
        <x:v>Davanagere</x:v>
      </x:c>
      <x:c r="G743" t="str">
        <x:v>Arjun</x:v>
      </x:c>
      <x:c r="H743" t="str">
        <x:v>P014</x:v>
      </x:c>
      <x:c r="I743" t="str">
        <x:v>Rava 5kg</x:v>
      </x:c>
      <x:c r="J743" t="str">
        <x:v>Flour</x:v>
      </x:c>
      <x:c r="K743" t="str">
        <x:v>Local Select</x:v>
      </x:c>
      <x:c r="L743" s="22" t="n">
        <x:v>245</x:v>
      </x:c>
      <x:c r="M743" t="n">
        <x:v>3</x:v>
      </x:c>
      <x:c r="N743" s="24" t="n">
        <x:v>0</x:v>
      </x:c>
      <x:c r="O743" s="22" t="n">
        <x:f>L743*M743</x:f>
        <x:v>735</x:v>
      </x:c>
      <x:c r="P743" s="22" t="n">
        <x:f>O743*(1-N743)</x:f>
        <x:v>735</x:v>
      </x:c>
      <x:c r="Q743" s="22" t="n">
        <x:v>215</x:v>
      </x:c>
      <x:c r="R743" s="22" t="n">
        <x:f>Q743*M743</x:f>
        <x:v>645</x:v>
      </x:c>
      <x:c r="S743" s="22" t="n">
        <x:f>P743-R743</x:f>
        <x:v>90</x:v>
      </x:c>
      <x:c r="T743" t="str">
        <x:v>Bank Transfer</x:v>
      </x:c>
      <x:c r="U743" t="str">
        <x:v>Paid</x:v>
      </x:c>
      <x:c r="V743" t="str">
        <x:v>Delivered</x:v>
      </x:c>
      <x:c r="W743" t="n">
        <x:v>0</x:v>
      </x:c>
      <x:c r="X743" t="str"/>
      <x:c r="Y743" t="str">
        <x:v>Existing Customer</x:v>
      </x:c>
    </x:row>
    <x:row r="744">
      <x:c r="A744" t="str">
        <x:v>O000743</x:v>
      </x:c>
      <x:c r="B744" s="20" t="n">
        <x:v>45942</x:v>
      </x:c>
      <x:c r="C744" t="str">
        <x:v>C0152</x:v>
      </x:c>
      <x:c r="D744" t="str">
        <x:v>Metro Stores 152</x:v>
      </x:c>
      <x:c r="E744" t="str">
        <x:v>Cafe</x:v>
      </x:c>
      <x:c r="F744" t="str">
        <x:v>Hubballi</x:v>
      </x:c>
      <x:c r="G744" t="str">
        <x:v>Priya</x:v>
      </x:c>
      <x:c r="H744" t="str">
        <x:v>P023</x:v>
      </x:c>
      <x:c r="I744" t="str">
        <x:v>Cola 750ml</x:v>
      </x:c>
      <x:c r="J744" t="str">
        <x:v>Beverage</x:v>
      </x:c>
      <x:c r="K744" t="str">
        <x:v>Coca-Cola</x:v>
      </x:c>
      <x:c r="L744" s="22" t="n">
        <x:v>38</x:v>
      </x:c>
      <x:c r="M744" t="n">
        <x:v>9</x:v>
      </x:c>
      <x:c r="N744" s="24" t="n">
        <x:v>0.05</x:v>
      </x:c>
      <x:c r="O744" s="22" t="n">
        <x:f>L744*M744</x:f>
        <x:v>342</x:v>
      </x:c>
      <x:c r="P744" s="22" t="n">
        <x:f>O744*(1-N744)</x:f>
        <x:v>324.9</x:v>
      </x:c>
      <x:c r="Q744" s="22" t="n">
        <x:v>31</x:v>
      </x:c>
      <x:c r="R744" s="22" t="n">
        <x:f>Q744*M744</x:f>
        <x:v>279</x:v>
      </x:c>
      <x:c r="S744" s="22" t="n">
        <x:f>P744-R744</x:f>
        <x:v>45.89999999999998</x:v>
      </x:c>
      <x:c r="T744" t="str">
        <x:v>Credit</x:v>
      </x:c>
      <x:c r="U744" t="str">
        <x:v>Paid</x:v>
      </x:c>
      <x:c r="V744" t="str">
        <x:v>Delivered</x:v>
      </x:c>
      <x:c r="W744" t="n">
        <x:v>0</x:v>
      </x:c>
      <x:c r="X744" t="str"/>
      <x:c r="Y744" t="str">
        <x:v>Referral</x:v>
      </x:c>
    </x:row>
    <x:row r="745">
      <x:c r="A745" t="str">
        <x:v>O000744</x:v>
      </x:c>
      <x:c r="B745" s="20" t="n">
        <x:v>46093</x:v>
      </x:c>
      <x:c r="C745" t="str">
        <x:v>C0022</x:v>
      </x:c>
      <x:c r="D745" t="str">
        <x:v>Royal Hotel 22</x:v>
      </x:c>
      <x:c r="E745" t="str">
        <x:v>Kirana</x:v>
      </x:c>
      <x:c r="F745" t="str">
        <x:v>Bengaluru</x:v>
      </x:c>
      <x:c r="G745" t="str">
        <x:v>Ramesh</x:v>
      </x:c>
      <x:c r="H745" t="str">
        <x:v>P017</x:v>
      </x:c>
      <x:c r="I745" t="str">
        <x:v>Butter 500g</x:v>
      </x:c>
      <x:c r="J745" t="str">
        <x:v>Dairy</x:v>
      </x:c>
      <x:c r="K745" t="str">
        <x:v>Amul</x:v>
      </x:c>
      <x:c r="L745" s="22" t="n">
        <x:v>285</x:v>
      </x:c>
      <x:c r="M745" t="n">
        <x:v>10</x:v>
      </x:c>
      <x:c r="N745" s="24" t="n">
        <x:v>0.03</x:v>
      </x:c>
      <x:c r="O745" s="22" t="n">
        <x:f>L745*M745</x:f>
        <x:v>2850</x:v>
      </x:c>
      <x:c r="P745" s="22" t="n">
        <x:f>O745*(1-N745)</x:f>
        <x:v>2764.5</x:v>
      </x:c>
      <x:c r="Q745" s="22" t="n">
        <x:v>258</x:v>
      </x:c>
      <x:c r="R745" s="22" t="n">
        <x:f>Q745*M745</x:f>
        <x:v>2580</x:v>
      </x:c>
      <x:c r="S745" s="22" t="n">
        <x:f>P745-R745</x:f>
        <x:v>184.5</x:v>
      </x:c>
      <x:c r="T745" t="str">
        <x:v>UPI</x:v>
      </x:c>
      <x:c r="U745" t="str">
        <x:v>Paid</x:v>
      </x:c>
      <x:c r="V745" t="str">
        <x:v>Delivered</x:v>
      </x:c>
      <x:c r="W745" t="n">
        <x:v>0</x:v>
      </x:c>
      <x:c r="X745" t="str"/>
      <x:c r="Y745" t="str">
        <x:v>Referral</x:v>
      </x:c>
    </x:row>
    <x:row r="746">
      <x:c r="A746" t="str">
        <x:v>O000745</x:v>
      </x:c>
      <x:c r="B746" s="20" t="n">
        <x:v>46181</x:v>
      </x:c>
      <x:c r="C746" t="str">
        <x:v>C0145</x:v>
      </x:c>
      <x:c r="D746" t="str">
        <x:v>Namma Cafe 145</x:v>
      </x:c>
      <x:c r="E746" t="str">
        <x:v>Kirana</x:v>
      </x:c>
      <x:c r="F746" t="str">
        <x:v>Tumakuru</x:v>
      </x:c>
      <x:c r="G746" t="str">
        <x:v>Sneha</x:v>
      </x:c>
      <x:c r="H746" t="str">
        <x:v>P043</x:v>
      </x:c>
      <x:c r="I746" t="str">
        <x:v>Chicken Breast 1kg</x:v>
      </x:c>
      <x:c r="J746" t="str">
        <x:v>Protein</x:v>
      </x:c>
      <x:c r="K746" t="str">
        <x:v>FreshToHome</x:v>
      </x:c>
      <x:c r="L746" s="22" t="n">
        <x:v>260</x:v>
      </x:c>
      <x:c r="M746" t="n">
        <x:v>39</x:v>
      </x:c>
      <x:c r="N746" s="24" t="n">
        <x:v>0</x:v>
      </x:c>
      <x:c r="O746" s="22" t="n">
        <x:f>L746*M746</x:f>
        <x:v>10140</x:v>
      </x:c>
      <x:c r="P746" s="22" t="n">
        <x:f>O746*(1-N746)</x:f>
        <x:v>10140</x:v>
      </x:c>
      <x:c r="Q746" s="22" t="n">
        <x:v>235</x:v>
      </x:c>
      <x:c r="R746" s="22" t="n">
        <x:f>Q746*M746</x:f>
        <x:v>9165</x:v>
      </x:c>
      <x:c r="S746" s="22" t="n">
        <x:f>P746-R746</x:f>
        <x:v>975</x:v>
      </x:c>
      <x:c r="T746" t="str">
        <x:v>Bank Transfer</x:v>
      </x:c>
      <x:c r="U746" t="str">
        <x:v>Paid</x:v>
      </x:c>
      <x:c r="V746" t="str">
        <x:v>Delivered</x:v>
      </x:c>
      <x:c r="W746" t="n">
        <x:v>0</x:v>
      </x:c>
      <x:c r="X746" t="str"/>
      <x:c r="Y746" t="str">
        <x:v>Existing Customer</x:v>
      </x:c>
    </x:row>
    <x:row r="747">
      <x:c r="A747" t="str">
        <x:v>O000746</x:v>
      </x:c>
      <x:c r="B747" s="20" t="n">
        <x:v>46202</x:v>
      </x:c>
      <x:c r="C747" t="str">
        <x:v>C0070</x:v>
      </x:c>
      <x:c r="D747" t="str">
        <x:v>Metro Stores 70</x:v>
      </x:c>
      <x:c r="E747" t="str">
        <x:v>Cafe</x:v>
      </x:c>
      <x:c r="F747" t="str">
        <x:v>Bengaluru</x:v>
      </x:c>
      <x:c r="G747" t="str">
        <x:v>Vikram</x:v>
      </x:c>
      <x:c r="H747" t="str">
        <x:v>P008</x:v>
      </x:c>
      <x:c r="I747" t="str">
        <x:v>Palm Oil 15L</x:v>
      </x:c>
      <x:c r="J747" t="str">
        <x:v>Edible Oil</x:v>
      </x:c>
      <x:c r="K747" t="str">
        <x:v>Ruchi Gold</x:v>
      </x:c>
      <x:c r="L747" s="22" t="n">
        <x:v>1760</x:v>
      </x:c>
      <x:c r="M747" t="n">
        <x:v>11</x:v>
      </x:c>
      <x:c r="N747" s="24" t="n">
        <x:v>0.03</x:v>
      </x:c>
      <x:c r="O747" s="22" t="n">
        <x:f>L747*M747</x:f>
        <x:v>19360</x:v>
      </x:c>
      <x:c r="P747" s="22" t="n">
        <x:f>O747*(1-N747)</x:f>
        <x:v>18779.2</x:v>
      </x:c>
      <x:c r="Q747" s="22" t="n">
        <x:v>1610</x:v>
      </x:c>
      <x:c r="R747" s="22" t="n">
        <x:f>Q747*M747</x:f>
        <x:v>17710</x:v>
      </x:c>
      <x:c r="S747" s="22" t="n">
        <x:f>P747-R747</x:f>
        <x:v>1069.2000000000007</x:v>
      </x:c>
      <x:c r="T747" t="str">
        <x:v>UPI</x:v>
      </x:c>
      <x:c r="U747" t="str">
        <x:v>Paid</x:v>
      </x:c>
      <x:c r="V747" t="str">
        <x:v>Delivered</x:v>
      </x:c>
      <x:c r="W747" t="n">
        <x:v>0</x:v>
      </x:c>
      <x:c r="X747" t="str"/>
      <x:c r="Y747" t="str">
        <x:v>Field Visit</x:v>
      </x:c>
    </x:row>
    <x:row r="748">
      <x:c r="A748" t="str">
        <x:v>O000747</x:v>
      </x:c>
      <x:c r="B748" s="20" t="n">
        <x:v>45938</x:v>
      </x:c>
      <x:c r="C748" t="str">
        <x:v>C0038</x:v>
      </x:c>
      <x:c r="D748" t="str">
        <x:v>Mysore Kitchen 38</x:v>
      </x:c>
      <x:c r="E748" t="str">
        <x:v>Kirana</x:v>
      </x:c>
      <x:c r="F748" t="str">
        <x:v>Tumakuru</x:v>
      </x:c>
      <x:c r="G748" t="str">
        <x:v>Priya</x:v>
      </x:c>
      <x:c r="H748" t="str">
        <x:v>P015</x:v>
      </x:c>
      <x:c r="I748" t="str">
        <x:v>Milk 1L</x:v>
      </x:c>
      <x:c r="J748" t="str">
        <x:v>Dairy</x:v>
      </x:c>
      <x:c r="K748" t="str">
        <x:v>Nandini</x:v>
      </x:c>
      <x:c r="L748" s="22" t="n">
        <x:v>48</x:v>
      </x:c>
      <x:c r="M748" t="n">
        <x:v>1</x:v>
      </x:c>
      <x:c r="N748" s="24" t="n">
        <x:v>0</x:v>
      </x:c>
      <x:c r="O748" s="22" t="n">
        <x:f>L748*M748</x:f>
        <x:v>48</x:v>
      </x:c>
      <x:c r="P748" s="22" t="n">
        <x:f>O748*(1-N748)</x:f>
        <x:v>48</x:v>
      </x:c>
      <x:c r="Q748" s="22" t="n">
        <x:v>43</x:v>
      </x:c>
      <x:c r="R748" s="22" t="n">
        <x:f>Q748*M748</x:f>
        <x:v>43</x:v>
      </x:c>
      <x:c r="S748" s="22" t="n">
        <x:f>P748-R748</x:f>
        <x:v>5</x:v>
      </x:c>
      <x:c r="T748" t="str">
        <x:v>Bank Transfer</x:v>
      </x:c>
      <x:c r="U748" t="str">
        <x:v>Paid</x:v>
      </x:c>
      <x:c r="V748" t="str">
        <x:v>Delivered</x:v>
      </x:c>
      <x:c r="W748" t="n">
        <x:v>0</x:v>
      </x:c>
      <x:c r="X748" t="str"/>
      <x:c r="Y748" t="str">
        <x:v>Outbound Call</x:v>
      </x:c>
    </x:row>
    <x:row r="749">
      <x:c r="A749" t="str">
        <x:v>O000748</x:v>
      </x:c>
      <x:c r="B749" s="20" t="n">
        <x:v>46260</x:v>
      </x:c>
      <x:c r="C749" t="str">
        <x:v>C0187</x:v>
      </x:c>
      <x:c r="D749" t="str">
        <x:v>City Cafe 187</x:v>
      </x:c>
      <x:c r="E749" t="str">
        <x:v>Hotel</x:v>
      </x:c>
      <x:c r="F749" t="str">
        <x:v>Mysuru</x:v>
      </x:c>
      <x:c r="G749" t="str">
        <x:v>Priya</x:v>
      </x:c>
      <x:c r="H749" t="str">
        <x:v>P020</x:v>
      </x:c>
      <x:c r="I749" t="str">
        <x:v>Coffee 500g</x:v>
      </x:c>
      <x:c r="J749" t="str">
        <x:v>Beverage</x:v>
      </x:c>
      <x:c r="K749" t="str">
        <x:v>Bru</x:v>
      </x:c>
      <x:c r="L749" s="22" t="n">
        <x:v>390</x:v>
      </x:c>
      <x:c r="M749" t="n">
        <x:v>32</x:v>
      </x:c>
      <x:c r="N749" s="24" t="n">
        <x:v>0</x:v>
      </x:c>
      <x:c r="O749" s="22" t="n">
        <x:f>L749*M749</x:f>
        <x:v>12480</x:v>
      </x:c>
      <x:c r="P749" s="22" t="n">
        <x:f>O749*(1-N749)</x:f>
        <x:v>12480</x:v>
      </x:c>
      <x:c r="Q749" s="22" t="n">
        <x:v>350</x:v>
      </x:c>
      <x:c r="R749" s="22" t="n">
        <x:f>Q749*M749</x:f>
        <x:v>11200</x:v>
      </x:c>
      <x:c r="S749" s="22" t="n">
        <x:f>P749-R749</x:f>
        <x:v>1280</x:v>
      </x:c>
      <x:c r="T749" t="str">
        <x:v>Cash</x:v>
      </x:c>
      <x:c r="U749" t="str">
        <x:v>Paid</x:v>
      </x:c>
      <x:c r="V749" t="str">
        <x:v>Delivered</x:v>
      </x:c>
      <x:c r="W749" t="n">
        <x:v>0</x:v>
      </x:c>
      <x:c r="X749" t="str"/>
      <x:c r="Y749" t="str">
        <x:v>Existing Customer</x:v>
      </x:c>
    </x:row>
    <x:row r="750">
      <x:c r="A750" t="str">
        <x:v>O000749</x:v>
      </x:c>
      <x:c r="B750" s="20" t="n">
        <x:v>45983</x:v>
      </x:c>
      <x:c r="C750" t="str">
        <x:v>C0013</x:v>
      </x:c>
      <x:c r="D750" t="str">
        <x:v>Foodie Restaurant 13</x:v>
      </x:c>
      <x:c r="E750" t="str">
        <x:v>Kirana</x:v>
      </x:c>
      <x:c r="F750" t="str">
        <x:v>Mysuru</x:v>
      </x:c>
      <x:c r="G750" t="str">
        <x:v>Sneha</x:v>
      </x:c>
      <x:c r="H750" t="str">
        <x:v>P011</x:v>
      </x:c>
      <x:c r="I750" t="str">
        <x:v>Salt 1kg</x:v>
      </x:c>
      <x:c r="J750" t="str">
        <x:v>Staples</x:v>
      </x:c>
      <x:c r="K750" t="str">
        <x:v>Tata</x:v>
      </x:c>
      <x:c r="L750" s="22" t="n">
        <x:v>28</x:v>
      </x:c>
      <x:c r="M750" t="n">
        <x:v>25</x:v>
      </x:c>
      <x:c r="N750" s="24" t="n">
        <x:v>0</x:v>
      </x:c>
      <x:c r="O750" s="22" t="n">
        <x:f>L750*M750</x:f>
        <x:v>700</x:v>
      </x:c>
      <x:c r="P750" s="22" t="n">
        <x:f>O750*(1-N750)</x:f>
        <x:v>700</x:v>
      </x:c>
      <x:c r="Q750" s="22" t="n">
        <x:v>23</x:v>
      </x:c>
      <x:c r="R750" s="22" t="n">
        <x:f>Q750*M750</x:f>
        <x:v>575</x:v>
      </x:c>
      <x:c r="S750" s="22" t="n">
        <x:f>P750-R750</x:f>
        <x:v>125</x:v>
      </x:c>
      <x:c r="T750" t="str">
        <x:v>Credit</x:v>
      </x:c>
      <x:c r="U750" t="str">
        <x:v>Paid</x:v>
      </x:c>
      <x:c r="V750" t="str">
        <x:v>Delivered</x:v>
      </x:c>
      <x:c r="W750" t="n">
        <x:v>0</x:v>
      </x:c>
      <x:c r="X750" t="str"/>
      <x:c r="Y750" t="str">
        <x:v>Existing Customer</x:v>
      </x:c>
    </x:row>
    <x:row r="751">
      <x:c r="A751" t="str">
        <x:v>O000750</x:v>
      </x:c>
      <x:c r="B751" s="20" t="n">
        <x:v>45804</x:v>
      </x:c>
      <x:c r="C751" t="str">
        <x:v>C0169</x:v>
      </x:c>
      <x:c r="D751" t="str">
        <x:v>Grand Mart 169</x:v>
      </x:c>
      <x:c r="E751" t="str">
        <x:v>Canteen</x:v>
      </x:c>
      <x:c r="F751" t="str">
        <x:v>Mangaluru</x:v>
      </x:c>
      <x:c r="G751" t="str">
        <x:v>Vikram</x:v>
      </x:c>
      <x:c r="H751" t="str">
        <x:v>P009</x:v>
      </x:c>
      <x:c r="I751" t="str">
        <x:v>Groundnut Oil 5L</x:v>
      </x:c>
      <x:c r="J751" t="str">
        <x:v>Edible Oil</x:v>
      </x:c>
      <x:c r="K751" t="str">
        <x:v>Dhara</x:v>
      </x:c>
      <x:c r="L751" s="22" t="n">
        <x:v>890</x:v>
      </x:c>
      <x:c r="M751" t="n">
        <x:v>25</x:v>
      </x:c>
      <x:c r="N751" s="24" t="n">
        <x:v>0.03</x:v>
      </x:c>
      <x:c r="O751" s="22" t="n">
        <x:f>L751*M751</x:f>
        <x:v>22250</x:v>
      </x:c>
      <x:c r="P751" s="22" t="n">
        <x:f>O751*(1-N751)</x:f>
        <x:v>21582.5</x:v>
      </x:c>
      <x:c r="Q751" s="22" t="n">
        <x:v>810</x:v>
      </x:c>
      <x:c r="R751" s="22" t="n">
        <x:f>Q751*M751</x:f>
        <x:v>20250</x:v>
      </x:c>
      <x:c r="S751" s="22" t="n">
        <x:f>P751-R751</x:f>
        <x:v>1332.5</x:v>
      </x:c>
      <x:c r="T751" t="str">
        <x:v>Cash</x:v>
      </x:c>
      <x:c r="U751" t="str">
        <x:v>Paid</x:v>
      </x:c>
      <x:c r="V751" t="str">
        <x:v>Cancelled</x:v>
      </x:c>
      <x:c r="W751" t="n">
        <x:v>25</x:v>
      </x:c>
      <x:c r="X751" t="str">
        <x:v>Cancelled Order</x:v>
      </x:c>
      <x:c r="Y751" t="str">
        <x:v>Field Visit</x:v>
      </x:c>
    </x:row>
    <x:row r="752">
      <x:c r="A752" t="str">
        <x:v>O000751</x:v>
      </x:c>
      <x:c r="B752" s="20" t="n">
        <x:v>46281</x:v>
      </x:c>
      <x:c r="C752" t="str">
        <x:v>C0064</x:v>
      </x:c>
      <x:c r="D752" t="str">
        <x:v>Hotel Restaurant 64</x:v>
      </x:c>
      <x:c r="E752" t="str">
        <x:v>Cafe</x:v>
      </x:c>
      <x:c r="F752" t="str">
        <x:v>Mangaluru</x:v>
      </x:c>
      <x:c r="G752" t="str">
        <x:v>Imran</x:v>
      </x:c>
      <x:c r="H752" t="str">
        <x:v>P044</x:v>
      </x:c>
      <x:c r="I752" t="str">
        <x:v>Chicken Curry Cut 1kg</x:v>
      </x:c>
      <x:c r="J752" t="str">
        <x:v>Protein</x:v>
      </x:c>
      <x:c r="K752" t="str">
        <x:v>FreshToHome</x:v>
      </x:c>
      <x:c r="L752" s="22" t="n">
        <x:v>230</x:v>
      </x:c>
      <x:c r="M752" t="n">
        <x:v>27</x:v>
      </x:c>
      <x:c r="N752" s="24" t="n">
        <x:v>0.05</x:v>
      </x:c>
      <x:c r="O752" s="22" t="n">
        <x:f>L752*M752</x:f>
        <x:v>6210</x:v>
      </x:c>
      <x:c r="P752" s="22" t="n">
        <x:f>O752*(1-N752)</x:f>
        <x:v>5899.5</x:v>
      </x:c>
      <x:c r="Q752" s="22" t="n">
        <x:v>205</x:v>
      </x:c>
      <x:c r="R752" s="22" t="n">
        <x:f>Q752*M752</x:f>
        <x:v>5535</x:v>
      </x:c>
      <x:c r="S752" s="22" t="n">
        <x:f>P752-R752</x:f>
        <x:v>364.5</x:v>
      </x:c>
      <x:c r="T752" t="str">
        <x:v>Bank Transfer</x:v>
      </x:c>
      <x:c r="U752" t="str">
        <x:v>Paid</x:v>
      </x:c>
      <x:c r="V752" t="str">
        <x:v>Delivered</x:v>
      </x:c>
      <x:c r="W752" t="n">
        <x:v>0</x:v>
      </x:c>
      <x:c r="X752" t="str"/>
      <x:c r="Y752" t="str">
        <x:v>Existing Customer</x:v>
      </x:c>
    </x:row>
    <x:row r="753">
      <x:c r="A753" t="str">
        <x:v>O000752</x:v>
      </x:c>
      <x:c r="B753" s="20" t="n">
        <x:v>46191</x:v>
      </x:c>
      <x:c r="C753" t="str">
        <x:v>C0244</x:v>
      </x:c>
      <x:c r="D753" t="str">
        <x:v>Namma Hotel 244</x:v>
      </x:c>
      <x:c r="E753" t="str">
        <x:v>Kirana</x:v>
      </x:c>
      <x:c r="F753" t="str">
        <x:v>Tumakuru</x:v>
      </x:c>
      <x:c r="G753" t="str">
        <x:v>Sneha</x:v>
      </x:c>
      <x:c r="H753" t="str">
        <x:v>P028</x:v>
      </x:c>
      <x:c r="I753" t="str">
        <x:v>Cookies 200g</x:v>
      </x:c>
      <x:c r="J753" t="str">
        <x:v>Snacks</x:v>
      </x:c>
      <x:c r="K753" t="str">
        <x:v>Britannia</x:v>
      </x:c>
      <x:c r="L753" s="22" t="n">
        <x:v>55</x:v>
      </x:c>
      <x:c r="M753" t="n">
        <x:v>15</x:v>
      </x:c>
      <x:c r="N753" s="24" t="n">
        <x:v>0.02</x:v>
      </x:c>
      <x:c r="O753" s="22" t="n">
        <x:f>L753*M753</x:f>
        <x:v>825</x:v>
      </x:c>
      <x:c r="P753" s="22" t="n">
        <x:f>O753*(1-N753)</x:f>
        <x:v>808.5</x:v>
      </x:c>
      <x:c r="Q753" s="22" t="n">
        <x:v>42</x:v>
      </x:c>
      <x:c r="R753" s="22" t="n">
        <x:f>Q753*M753</x:f>
        <x:v>630</x:v>
      </x:c>
      <x:c r="S753" s="22" t="n">
        <x:f>P753-R753</x:f>
        <x:v>178.5</x:v>
      </x:c>
      <x:c r="T753" t="str">
        <x:v>UPI</x:v>
      </x:c>
      <x:c r="U753" t="str">
        <x:v>Overdue</x:v>
      </x:c>
      <x:c r="V753" t="str">
        <x:v>Delivered</x:v>
      </x:c>
      <x:c r="W753" t="n">
        <x:v>0</x:v>
      </x:c>
      <x:c r="X753" t="str"/>
      <x:c r="Y753" t="str">
        <x:v>Outbound Call</x:v>
      </x:c>
    </x:row>
    <x:row r="754">
      <x:c r="A754" t="str">
        <x:v>O000753</x:v>
      </x:c>
      <x:c r="B754" s="20" t="n">
        <x:v>45903</x:v>
      </x:c>
      <x:c r="C754" t="str">
        <x:v>C0020</x:v>
      </x:c>
      <x:c r="D754" t="str">
        <x:v>Shree Foods 20</x:v>
      </x:c>
      <x:c r="E754" t="str">
        <x:v>Restaurant</x:v>
      </x:c>
      <x:c r="F754" t="str">
        <x:v>Mysuru</x:v>
      </x:c>
      <x:c r="G754" t="str">
        <x:v>Arjun</x:v>
      </x:c>
      <x:c r="H754" t="str">
        <x:v>P047</x:v>
      </x:c>
      <x:c r="I754" t="str">
        <x:v>Tomato 25kg</x:v>
      </x:c>
      <x:c r="J754" t="str">
        <x:v>Fresh Produce</x:v>
      </x:c>
      <x:c r="K754" t="str">
        <x:v>Local Market</x:v>
      </x:c>
      <x:c r="L754" s="22" t="n">
        <x:v>950</x:v>
      </x:c>
      <x:c r="M754" t="n">
        <x:v>6</x:v>
      </x:c>
      <x:c r="N754" s="24" t="n">
        <x:v>0</x:v>
      </x:c>
      <x:c r="O754" s="22" t="n">
        <x:f>L754*M754</x:f>
        <x:v>5700</x:v>
      </x:c>
      <x:c r="P754" s="22" t="n">
        <x:f>O754*(1-N754)</x:f>
        <x:v>5700</x:v>
      </x:c>
      <x:c r="Q754" s="22" t="n">
        <x:v>810</x:v>
      </x:c>
      <x:c r="R754" s="22" t="n">
        <x:f>Q754*M754</x:f>
        <x:v>4860</x:v>
      </x:c>
      <x:c r="S754" s="22" t="n">
        <x:f>P754-R754</x:f>
        <x:v>840</x:v>
      </x:c>
      <x:c r="T754" t="str">
        <x:v>UPI</x:v>
      </x:c>
      <x:c r="U754" t="str">
        <x:v>Paid</x:v>
      </x:c>
      <x:c r="V754" t="str">
        <x:v>Delivered</x:v>
      </x:c>
      <x:c r="W754" t="n">
        <x:v>0</x:v>
      </x:c>
      <x:c r="X754" t="str"/>
      <x:c r="Y754" t="str">
        <x:v>WhatsApp</x:v>
      </x:c>
    </x:row>
    <x:row r="755">
      <x:c r="A755" t="str">
        <x:v>O000754</x:v>
      </x:c>
      <x:c r="B755" s="20" t="n">
        <x:v>46178</x:v>
      </x:c>
      <x:c r="C755" t="str">
        <x:v>C0003</x:v>
      </x:c>
      <x:c r="D755" t="str">
        <x:v>Grand Foods 3</x:v>
      </x:c>
      <x:c r="E755" t="str">
        <x:v>Restaurant</x:v>
      </x:c>
      <x:c r="F755" t="str">
        <x:v>Bengaluru</x:v>
      </x:c>
      <x:c r="G755" t="str">
        <x:v>Vikram</x:v>
      </x:c>
      <x:c r="H755" t="str">
        <x:v>P028</x:v>
      </x:c>
      <x:c r="I755" t="str">
        <x:v>Cookies 200g</x:v>
      </x:c>
      <x:c r="J755" t="str">
        <x:v>Snacks</x:v>
      </x:c>
      <x:c r="K755" t="str">
        <x:v>Britannia</x:v>
      </x:c>
      <x:c r="L755" s="22" t="n">
        <x:v>55</x:v>
      </x:c>
      <x:c r="M755" t="n">
        <x:v>9</x:v>
      </x:c>
      <x:c r="N755" s="24" t="n">
        <x:v>0.03</x:v>
      </x:c>
      <x:c r="O755" s="22" t="n">
        <x:f>L755*M755</x:f>
        <x:v>495</x:v>
      </x:c>
      <x:c r="P755" s="22" t="n">
        <x:f>O755*(1-N755)</x:f>
        <x:v>480.15</x:v>
      </x:c>
      <x:c r="Q755" s="22" t="n">
        <x:v>42</x:v>
      </x:c>
      <x:c r="R755" s="22" t="n">
        <x:f>Q755*M755</x:f>
        <x:v>378</x:v>
      </x:c>
      <x:c r="S755" s="22" t="n">
        <x:f>P755-R755</x:f>
        <x:v>102.14999999999998</x:v>
      </x:c>
      <x:c r="T755" t="str">
        <x:v>UPI</x:v>
      </x:c>
      <x:c r="U755" t="str">
        <x:v>Paid</x:v>
      </x:c>
      <x:c r="V755" t="str">
        <x:v>Delayed</x:v>
      </x:c>
      <x:c r="W755" t="n">
        <x:v>0</x:v>
      </x:c>
      <x:c r="X755" t="str"/>
      <x:c r="Y755" t="str">
        <x:v>Referral</x:v>
      </x:c>
    </x:row>
    <x:row r="756">
      <x:c r="A756" t="str">
        <x:v>O000755</x:v>
      </x:c>
      <x:c r="B756" s="20" t="n">
        <x:v>46093</x:v>
      </x:c>
      <x:c r="C756" t="str">
        <x:v>C0191</x:v>
      </x:c>
      <x:c r="D756" t="str">
        <x:v>Foodie Kitchen 191</x:v>
      </x:c>
      <x:c r="E756" t="str">
        <x:v>Cafe</x:v>
      </x:c>
      <x:c r="F756" t="str">
        <x:v>Mysuru</x:v>
      </x:c>
      <x:c r="G756" t="str">
        <x:v>Priya</x:v>
      </x:c>
      <x:c r="H756" t="str">
        <x:v>P001</x:v>
      </x:c>
      <x:c r="I756" t="str">
        <x:v>Steam Rice 25kg</x:v>
      </x:c>
      <x:c r="J756" t="str">
        <x:v>Staples</x:v>
      </x:c>
      <x:c r="K756" t="str">
        <x:v>Aishwarya</x:v>
      </x:c>
      <x:c r="L756" s="22" t="n">
        <x:v>1180</x:v>
      </x:c>
      <x:c r="M756" t="n">
        <x:v>12</x:v>
      </x:c>
      <x:c r="N756" s="24" t="n">
        <x:v>0.02</x:v>
      </x:c>
      <x:c r="O756" s="22" t="n">
        <x:f>L756*M756</x:f>
        <x:v>14160</x:v>
      </x:c>
      <x:c r="P756" s="22" t="n">
        <x:f>O756*(1-N756)</x:f>
        <x:v>13876.8</x:v>
      </x:c>
      <x:c r="Q756" s="22" t="n">
        <x:v>1040</x:v>
      </x:c>
      <x:c r="R756" s="22" t="n">
        <x:f>Q756*M756</x:f>
        <x:v>12480</x:v>
      </x:c>
      <x:c r="S756" s="22" t="n">
        <x:f>P756-R756</x:f>
        <x:v>1396.7999999999993</x:v>
      </x:c>
      <x:c r="T756" t="str">
        <x:v>UPI</x:v>
      </x:c>
      <x:c r="U756" t="str">
        <x:v>Paid</x:v>
      </x:c>
      <x:c r="V756" t="str">
        <x:v>Delivered</x:v>
      </x:c>
      <x:c r="W756" t="n">
        <x:v>0</x:v>
      </x:c>
      <x:c r="X756" t="str"/>
      <x:c r="Y756" t="str">
        <x:v>Existing Customer</x:v>
      </x:c>
    </x:row>
    <x:row r="757">
      <x:c r="A757" t="str">
        <x:v>O000756</x:v>
      </x:c>
      <x:c r="B757" s="20" t="n">
        <x:v>46033</x:v>
      </x:c>
      <x:c r="C757" t="str">
        <x:v>C0045</x:v>
      </x:c>
      <x:c r="D757" t="str">
        <x:v>Annapurna Restaurant 45</x:v>
      </x:c>
      <x:c r="E757" t="str">
        <x:v>Kirana</x:v>
      </x:c>
      <x:c r="F757" t="str">
        <x:v>Mysuru</x:v>
      </x:c>
      <x:c r="G757" t="str">
        <x:v>Arjun</x:v>
      </x:c>
      <x:c r="H757" t="str">
        <x:v>P005</x:v>
      </x:c>
      <x:c r="I757" t="str">
        <x:v>Chana Dal 5kg</x:v>
      </x:c>
      <x:c r="J757" t="str">
        <x:v>Pulses</x:v>
      </x:c>
      <x:c r="K757" t="str">
        <x:v>Local Select</x:v>
      </x:c>
      <x:c r="L757" s="22" t="n">
        <x:v>520</x:v>
      </x:c>
      <x:c r="M757" t="n">
        <x:v>9</x:v>
      </x:c>
      <x:c r="N757" s="24" t="n">
        <x:v>0.03</x:v>
      </x:c>
      <x:c r="O757" s="22" t="n">
        <x:f>L757*M757</x:f>
        <x:v>4680</x:v>
      </x:c>
      <x:c r="P757" s="22" t="n">
        <x:f>O757*(1-N757)</x:f>
        <x:v>4539.599999999999</x:v>
      </x:c>
      <x:c r="Q757" s="22" t="n">
        <x:v>455</x:v>
      </x:c>
      <x:c r="R757" s="22" t="n">
        <x:f>Q757*M757</x:f>
        <x:v>4095</x:v>
      </x:c>
      <x:c r="S757" s="22" t="n">
        <x:f>P757-R757</x:f>
        <x:v>444.59999999999945</x:v>
      </x:c>
      <x:c r="T757" t="str">
        <x:v>UPI</x:v>
      </x:c>
      <x:c r="U757" t="str">
        <x:v>Paid</x:v>
      </x:c>
      <x:c r="V757" t="str">
        <x:v>Delivered</x:v>
      </x:c>
      <x:c r="W757" t="n">
        <x:v>0</x:v>
      </x:c>
      <x:c r="X757" t="str"/>
      <x:c r="Y757" t="str">
        <x:v>Outbound Call</x:v>
      </x:c>
    </x:row>
    <x:row r="758">
      <x:c r="A758" t="str">
        <x:v>O000757</x:v>
      </x:c>
      <x:c r="B758" s="20" t="n">
        <x:v>46210</x:v>
      </x:c>
      <x:c r="C758" t="str">
        <x:v>C0174</x:v>
      </x:c>
      <x:c r="D758" t="str">
        <x:v>Classic Stores 174</x:v>
      </x:c>
      <x:c r="E758" t="str">
        <x:v>Kirana</x:v>
      </x:c>
      <x:c r="F758" t="str">
        <x:v>Mysuru</x:v>
      </x:c>
      <x:c r="G758" t="str">
        <x:v>Vikram</x:v>
      </x:c>
      <x:c r="H758" t="str">
        <x:v>P016</x:v>
      </x:c>
      <x:c r="I758" t="str">
        <x:v>Curd 1kg</x:v>
      </x:c>
      <x:c r="J758" t="str">
        <x:v>Dairy</x:v>
      </x:c>
      <x:c r="K758" t="str">
        <x:v>Nandini</x:v>
      </x:c>
      <x:c r="L758" s="22" t="n">
        <x:v>72</x:v>
      </x:c>
      <x:c r="M758" t="n">
        <x:v>8</x:v>
      </x:c>
      <x:c r="N758" s="24" t="n">
        <x:v>0.02</x:v>
      </x:c>
      <x:c r="O758" s="22" t="n">
        <x:f>L758*M758</x:f>
        <x:v>576</x:v>
      </x:c>
      <x:c r="P758" s="22" t="n">
        <x:f>O758*(1-N758)</x:f>
        <x:v>564.48</x:v>
      </x:c>
      <x:c r="Q758" s="22" t="n">
        <x:v>64</x:v>
      </x:c>
      <x:c r="R758" s="22" t="n">
        <x:f>Q758*M758</x:f>
        <x:v>512</x:v>
      </x:c>
      <x:c r="S758" s="22" t="n">
        <x:f>P758-R758</x:f>
        <x:v>52.48000000000002</x:v>
      </x:c>
      <x:c r="T758" t="str">
        <x:v>Credit</x:v>
      </x:c>
      <x:c r="U758" t="str">
        <x:v>Paid</x:v>
      </x:c>
      <x:c r="V758" t="str">
        <x:v>Delivered</x:v>
      </x:c>
      <x:c r="W758" t="n">
        <x:v>4</x:v>
      </x:c>
      <x:c r="X758" t="str">
        <x:v>Wrong Item</x:v>
      </x:c>
      <x:c r="Y758" t="str">
        <x:v>Field Visit</x:v>
      </x:c>
    </x:row>
    <x:row r="759">
      <x:c r="A759" t="str">
        <x:v>O000758</x:v>
      </x:c>
      <x:c r="B759" s="20" t="n">
        <x:v>46185</x:v>
      </x:c>
      <x:c r="C759" t="str">
        <x:v>C0246</x:v>
      </x:c>
      <x:c r="D759" t="str">
        <x:v>City Hotel 246</x:v>
      </x:c>
      <x:c r="E759" t="str">
        <x:v>Supermarket</x:v>
      </x:c>
      <x:c r="F759" t="str">
        <x:v>Mangaluru</x:v>
      </x:c>
      <x:c r="G759" t="str">
        <x:v>Kavya</x:v>
      </x:c>
      <x:c r="H759" t="str">
        <x:v>P042</x:v>
      </x:c>
      <x:c r="I759" t="str">
        <x:v>Eggs 30pc Tray</x:v>
      </x:c>
      <x:c r="J759" t="str">
        <x:v>Protein</x:v>
      </x:c>
      <x:c r="K759" t="str">
        <x:v>Farm Fresh</x:v>
      </x:c>
      <x:c r="L759" s="22" t="n">
        <x:v>195</x:v>
      </x:c>
      <x:c r="M759" t="n">
        <x:v>3</x:v>
      </x:c>
      <x:c r="N759" s="24" t="n">
        <x:v>0.08</x:v>
      </x:c>
      <x:c r="O759" s="22" t="n">
        <x:f>L759*M759</x:f>
        <x:v>585</x:v>
      </x:c>
      <x:c r="P759" s="22" t="n">
        <x:f>O759*(1-N759)</x:f>
        <x:v>538.2</x:v>
      </x:c>
      <x:c r="Q759" s="22" t="n">
        <x:v>170</x:v>
      </x:c>
      <x:c r="R759" s="22" t="n">
        <x:f>Q759*M759</x:f>
        <x:v>510</x:v>
      </x:c>
      <x:c r="S759" s="22" t="n">
        <x:f>P759-R759</x:f>
        <x:v>28.200000000000045</x:v>
      </x:c>
      <x:c r="T759" t="str">
        <x:v>Credit</x:v>
      </x:c>
      <x:c r="U759" t="str">
        <x:v>Paid</x:v>
      </x:c>
      <x:c r="V759" t="str">
        <x:v>Delivered</x:v>
      </x:c>
      <x:c r="W759" t="n">
        <x:v>0</x:v>
      </x:c>
      <x:c r="X759" t="str"/>
      <x:c r="Y759" t="str">
        <x:v>Field Visit</x:v>
      </x:c>
    </x:row>
    <x:row r="760">
      <x:c r="A760" t="str">
        <x:v>O000759</x:v>
      </x:c>
      <x:c r="B760" s="20" t="n">
        <x:v>46016</x:v>
      </x:c>
      <x:c r="C760" t="str">
        <x:v>C0028</x:v>
      </x:c>
      <x:c r="D760" t="str">
        <x:v>Spice Cafe 28</x:v>
      </x:c>
      <x:c r="E760" t="str">
        <x:v>Supermarket</x:v>
      </x:c>
      <x:c r="F760" t="str">
        <x:v>Mysuru</x:v>
      </x:c>
      <x:c r="G760" t="str">
        <x:v>Vikram</x:v>
      </x:c>
      <x:c r="H760" t="str">
        <x:v>P001</x:v>
      </x:c>
      <x:c r="I760" t="str">
        <x:v>Steam Rice 25kg</x:v>
      </x:c>
      <x:c r="J760" t="str">
        <x:v>Staples</x:v>
      </x:c>
      <x:c r="K760" t="str">
        <x:v>Aishwarya</x:v>
      </x:c>
      <x:c r="L760" s="22" t="n">
        <x:v>1180</x:v>
      </x:c>
      <x:c r="M760" t="n">
        <x:v>7</x:v>
      </x:c>
      <x:c r="N760" s="24" t="n">
        <x:v>0.02</x:v>
      </x:c>
      <x:c r="O760" s="22" t="n">
        <x:f>L760*M760</x:f>
        <x:v>8260</x:v>
      </x:c>
      <x:c r="P760" s="22" t="n">
        <x:f>O760*(1-N760)</x:f>
        <x:v>8094.8</x:v>
      </x:c>
      <x:c r="Q760" s="22" t="n">
        <x:v>1040</x:v>
      </x:c>
      <x:c r="R760" s="22" t="n">
        <x:f>Q760*M760</x:f>
        <x:v>7280</x:v>
      </x:c>
      <x:c r="S760" s="22" t="n">
        <x:f>P760-R760</x:f>
        <x:v>814.8000000000002</x:v>
      </x:c>
      <x:c r="T760" t="str">
        <x:v>UPI</x:v>
      </x:c>
      <x:c r="U760" t="str">
        <x:v>Paid</x:v>
      </x:c>
      <x:c r="V760" t="str">
        <x:v>Delivered</x:v>
      </x:c>
      <x:c r="W760" t="n">
        <x:v>0</x:v>
      </x:c>
      <x:c r="X760" t="str"/>
      <x:c r="Y760" t="str">
        <x:v>Existing Customer</x:v>
      </x:c>
    </x:row>
    <x:row r="761">
      <x:c r="A761" t="str">
        <x:v>O000760</x:v>
      </x:c>
      <x:c r="B761" s="20" t="n">
        <x:v>46157</x:v>
      </x:c>
      <x:c r="C761" t="str">
        <x:v>C0106</x:v>
      </x:c>
      <x:c r="D761" t="str">
        <x:v>Classic Mart 106</x:v>
      </x:c>
      <x:c r="E761" t="str">
        <x:v>Restaurant</x:v>
      </x:c>
      <x:c r="F761" t="str">
        <x:v>Mysuru</x:v>
      </x:c>
      <x:c r="G761" t="str">
        <x:v>Kavya</x:v>
      </x:c>
      <x:c r="H761" t="str">
        <x:v>P008</x:v>
      </x:c>
      <x:c r="I761" t="str">
        <x:v>Palm Oil 15L</x:v>
      </x:c>
      <x:c r="J761" t="str">
        <x:v>Edible Oil</x:v>
      </x:c>
      <x:c r="K761" t="str">
        <x:v>Ruchi Gold</x:v>
      </x:c>
      <x:c r="L761" s="22" t="n">
        <x:v>1760</x:v>
      </x:c>
      <x:c r="M761" t="n">
        <x:v>3</x:v>
      </x:c>
      <x:c r="N761" s="24" t="n">
        <x:v>0.05</x:v>
      </x:c>
      <x:c r="O761" s="22" t="n">
        <x:f>L761*M761</x:f>
        <x:v>5280</x:v>
      </x:c>
      <x:c r="P761" s="22" t="n">
        <x:f>O761*(1-N761)</x:f>
        <x:v>5016</x:v>
      </x:c>
      <x:c r="Q761" s="22" t="n">
        <x:v>1610</x:v>
      </x:c>
      <x:c r="R761" s="22" t="n">
        <x:f>Q761*M761</x:f>
        <x:v>4830</x:v>
      </x:c>
      <x:c r="S761" s="22" t="n">
        <x:f>P761-R761</x:f>
        <x:v>186</x:v>
      </x:c>
      <x:c r="T761" t="str">
        <x:v>Cash</x:v>
      </x:c>
      <x:c r="U761" t="str">
        <x:v>Paid</x:v>
      </x:c>
      <x:c r="V761" t="str">
        <x:v>Delivered</x:v>
      </x:c>
      <x:c r="W761" t="n">
        <x:v>0</x:v>
      </x:c>
      <x:c r="X761" t="str"/>
      <x:c r="Y761" t="str">
        <x:v>Field Visit</x:v>
      </x:c>
    </x:row>
    <x:row r="762">
      <x:c r="A762" t="str">
        <x:v>O000761</x:v>
      </x:c>
      <x:c r="B762" s="20" t="n">
        <x:v>45933</x:v>
      </x:c>
      <x:c r="C762" t="str">
        <x:v>C0047</x:v>
      </x:c>
      <x:c r="D762" t="str">
        <x:v>Shree Restaurant 47</x:v>
      </x:c>
      <x:c r="E762" t="str">
        <x:v>Canteen</x:v>
      </x:c>
      <x:c r="F762" t="str">
        <x:v>Davanagere</x:v>
      </x:c>
      <x:c r="G762" t="str">
        <x:v>Arjun</x:v>
      </x:c>
      <x:c r="H762" t="str">
        <x:v>P035</x:v>
      </x:c>
      <x:c r="I762" t="str">
        <x:v>Coriander Powder 1kg</x:v>
      </x:c>
      <x:c r="J762" t="str">
        <x:v>Spices</x:v>
      </x:c>
      <x:c r="K762" t="str">
        <x:v>Everest</x:v>
      </x:c>
      <x:c r="L762" s="22" t="n">
        <x:v>280</x:v>
      </x:c>
      <x:c r="M762" t="n">
        <x:v>7</x:v>
      </x:c>
      <x:c r="N762" s="24" t="n">
        <x:v>0.1</x:v>
      </x:c>
      <x:c r="O762" s="22" t="n">
        <x:f>L762*M762</x:f>
        <x:v>1960</x:v>
      </x:c>
      <x:c r="P762" s="22" t="n">
        <x:f>O762*(1-N762)</x:f>
        <x:v>1764</x:v>
      </x:c>
      <x:c r="Q762" s="22" t="n">
        <x:v>245</x:v>
      </x:c>
      <x:c r="R762" s="22" t="n">
        <x:f>Q762*M762</x:f>
        <x:v>1715</x:v>
      </x:c>
      <x:c r="S762" s="22" t="n">
        <x:f>P762-R762</x:f>
        <x:v>49</x:v>
      </x:c>
      <x:c r="T762" t="str">
        <x:v>Credit</x:v>
      </x:c>
      <x:c r="U762" t="str">
        <x:v>Paid</x:v>
      </x:c>
      <x:c r="V762" t="str">
        <x:v>Delivered</x:v>
      </x:c>
      <x:c r="W762" t="n">
        <x:v>0</x:v>
      </x:c>
      <x:c r="X762" t="str"/>
      <x:c r="Y762" t="str">
        <x:v>Outbound Call</x:v>
      </x:c>
    </x:row>
    <x:row r="763">
      <x:c r="A763" t="str">
        <x:v>O000762</x:v>
      </x:c>
      <x:c r="B763" s="20" t="n">
        <x:v>45861</x:v>
      </x:c>
      <x:c r="C763" t="str">
        <x:v>C0223</x:v>
      </x:c>
      <x:c r="D763" t="str">
        <x:v>Classic Canteen 223</x:v>
      </x:c>
      <x:c r="E763" t="str">
        <x:v>Restaurant</x:v>
      </x:c>
      <x:c r="F763" t="str">
        <x:v>Tumakuru</x:v>
      </x:c>
      <x:c r="G763" t="str">
        <x:v>Kavya</x:v>
      </x:c>
      <x:c r="H763" t="str">
        <x:v>P046</x:v>
      </x:c>
      <x:c r="I763" t="str">
        <x:v>Potato 25kg</x:v>
      </x:c>
      <x:c r="J763" t="str">
        <x:v>Fresh Produce</x:v>
      </x:c>
      <x:c r="K763" t="str">
        <x:v>Local Market</x:v>
      </x:c>
      <x:c r="L763" s="22" t="n">
        <x:v>700</x:v>
      </x:c>
      <x:c r="M763" t="n">
        <x:v>8</x:v>
      </x:c>
      <x:c r="N763" s="24" t="n">
        <x:v>0</x:v>
      </x:c>
      <x:c r="O763" s="22" t="n">
        <x:f>L763*M763</x:f>
        <x:v>5600</x:v>
      </x:c>
      <x:c r="P763" s="22" t="n">
        <x:f>O763*(1-N763)</x:f>
        <x:v>5600</x:v>
      </x:c>
      <x:c r="Q763" s="22" t="n">
        <x:v>610</x:v>
      </x:c>
      <x:c r="R763" s="22" t="n">
        <x:f>Q763*M763</x:f>
        <x:v>4880</x:v>
      </x:c>
      <x:c r="S763" s="22" t="n">
        <x:f>P763-R763</x:f>
        <x:v>720</x:v>
      </x:c>
      <x:c r="T763" t="str">
        <x:v>UPI</x:v>
      </x:c>
      <x:c r="U763" t="str">
        <x:v>Paid</x:v>
      </x:c>
      <x:c r="V763" t="str">
        <x:v>Delivered</x:v>
      </x:c>
      <x:c r="W763" t="n">
        <x:v>0</x:v>
      </x:c>
      <x:c r="X763" t="str"/>
      <x:c r="Y763" t="str">
        <x:v>Outbound Call</x:v>
      </x:c>
    </x:row>
    <x:row r="764">
      <x:c r="A764" t="str">
        <x:v>O000763</x:v>
      </x:c>
      <x:c r="B764" s="20" t="n">
        <x:v>45930</x:v>
      </x:c>
      <x:c r="C764" t="str">
        <x:v>C0051</x:v>
      </x:c>
      <x:c r="D764" t="str">
        <x:v>Cafe Hotel 51</x:v>
      </x:c>
      <x:c r="E764" t="str">
        <x:v>Kirana</x:v>
      </x:c>
      <x:c r="F764" t="str">
        <x:v>Tumakuru</x:v>
      </x:c>
      <x:c r="G764" t="str">
        <x:v>Arjun</x:v>
      </x:c>
      <x:c r="H764" t="str">
        <x:v>P031</x:v>
      </x:c>
      <x:c r="I764" t="str">
        <x:v>Chilli Sauce 700g</x:v>
      </x:c>
      <x:c r="J764" t="str">
        <x:v>Condiments</x:v>
      </x:c>
      <x:c r="K764" t="str">
        <x:v>Ching's</x:v>
      </x:c>
      <x:c r="L764" s="22" t="n">
        <x:v>130</x:v>
      </x:c>
      <x:c r="M764" t="n">
        <x:v>8</x:v>
      </x:c>
      <x:c r="N764" s="24" t="n">
        <x:v>0.03</x:v>
      </x:c>
      <x:c r="O764" s="22" t="n">
        <x:f>L764*M764</x:f>
        <x:v>1040</x:v>
      </x:c>
      <x:c r="P764" s="22" t="n">
        <x:f>O764*(1-N764)</x:f>
        <x:v>1008.8</x:v>
      </x:c>
      <x:c r="Q764" s="22" t="n">
        <x:v>112</x:v>
      </x:c>
      <x:c r="R764" s="22" t="n">
        <x:f>Q764*M764</x:f>
        <x:v>896</x:v>
      </x:c>
      <x:c r="S764" s="22" t="n">
        <x:f>P764-R764</x:f>
        <x:v>112.79999999999995</x:v>
      </x:c>
      <x:c r="T764" t="str">
        <x:v>Credit</x:v>
      </x:c>
      <x:c r="U764" t="str">
        <x:v>Pending</x:v>
      </x:c>
      <x:c r="V764" t="str">
        <x:v>Cancelled</x:v>
      </x:c>
      <x:c r="W764" t="n">
        <x:v>8</x:v>
      </x:c>
      <x:c r="X764" t="str">
        <x:v>Cancelled Order</x:v>
      </x:c>
      <x:c r="Y764" t="str">
        <x:v>Referral</x:v>
      </x:c>
    </x:row>
    <x:row r="765">
      <x:c r="A765" t="str">
        <x:v>O000764</x:v>
      </x:c>
      <x:c r="B765" s="20" t="n">
        <x:v>46067</x:v>
      </x:c>
      <x:c r="C765" t="str">
        <x:v>C0196</x:v>
      </x:c>
      <x:c r="D765" t="str">
        <x:v>Namma Mart 196</x:v>
      </x:c>
      <x:c r="E765" t="str">
        <x:v>Cafe</x:v>
      </x:c>
      <x:c r="F765" t="str">
        <x:v>Mangaluru</x:v>
      </x:c>
      <x:c r="G765" t="str">
        <x:v>Kavya</x:v>
      </x:c>
      <x:c r="H765" t="str">
        <x:v>P050</x:v>
      </x:c>
      <x:c r="I765" t="str">
        <x:v>Lemon 5kg</x:v>
      </x:c>
      <x:c r="J765" t="str">
        <x:v>Fresh Produce</x:v>
      </x:c>
      <x:c r="K765" t="str">
        <x:v>Local Market</x:v>
      </x:c>
      <x:c r="L765" s="22" t="n">
        <x:v>360</x:v>
      </x:c>
      <x:c r="M765" t="n">
        <x:v>33</x:v>
      </x:c>
      <x:c r="N765" s="24" t="n">
        <x:v>0.05</x:v>
      </x:c>
      <x:c r="O765" s="22" t="n">
        <x:f>L765*M765</x:f>
        <x:v>11880</x:v>
      </x:c>
      <x:c r="P765" s="22" t="n">
        <x:f>O765*(1-N765)</x:f>
        <x:v>11286</x:v>
      </x:c>
      <x:c r="Q765" s="22" t="n">
        <x:v>300</x:v>
      </x:c>
      <x:c r="R765" s="22" t="n">
        <x:f>Q765*M765</x:f>
        <x:v>9900</x:v>
      </x:c>
      <x:c r="S765" s="22" t="n">
        <x:f>P765-R765</x:f>
        <x:v>1386</x:v>
      </x:c>
      <x:c r="T765" t="str">
        <x:v>Credit</x:v>
      </x:c>
      <x:c r="U765" t="str">
        <x:v>Paid</x:v>
      </x:c>
      <x:c r="V765" t="str">
        <x:v>Delivered</x:v>
      </x:c>
      <x:c r="W765" t="n">
        <x:v>0</x:v>
      </x:c>
      <x:c r="X765" t="str"/>
      <x:c r="Y765" t="str">
        <x:v>Referral</x:v>
      </x:c>
    </x:row>
    <x:row r="766">
      <x:c r="A766" t="str">
        <x:v>O000765</x:v>
      </x:c>
      <x:c r="B766" s="20" t="n">
        <x:v>45900</x:v>
      </x:c>
      <x:c r="C766" t="str">
        <x:v>C0129</x:v>
      </x:c>
      <x:c r="D766" t="str">
        <x:v>City Canteen 129</x:v>
      </x:c>
      <x:c r="E766" t="str">
        <x:v>Kirana</x:v>
      </x:c>
      <x:c r="F766" t="str">
        <x:v>Hubballi</x:v>
      </x:c>
      <x:c r="G766" t="str">
        <x:v>Sneha</x:v>
      </x:c>
      <x:c r="H766" t="str">
        <x:v>P001</x:v>
      </x:c>
      <x:c r="I766" t="str">
        <x:v>Steam Rice 25kg</x:v>
      </x:c>
      <x:c r="J766" t="str">
        <x:v>Staples</x:v>
      </x:c>
      <x:c r="K766" t="str">
        <x:v>Aishwarya</x:v>
      </x:c>
      <x:c r="L766" s="22" t="n">
        <x:v>1180</x:v>
      </x:c>
      <x:c r="M766" t="n">
        <x:v>11</x:v>
      </x:c>
      <x:c r="N766" s="24" t="n">
        <x:v>0.05</x:v>
      </x:c>
      <x:c r="O766" s="22" t="n">
        <x:f>L766*M766</x:f>
        <x:v>12980</x:v>
      </x:c>
      <x:c r="P766" s="22" t="n">
        <x:f>O766*(1-N766)</x:f>
        <x:v>12331</x:v>
      </x:c>
      <x:c r="Q766" s="22" t="n">
        <x:v>1040</x:v>
      </x:c>
      <x:c r="R766" s="22" t="n">
        <x:f>Q766*M766</x:f>
        <x:v>11440</x:v>
      </x:c>
      <x:c r="S766" s="22" t="n">
        <x:f>P766-R766</x:f>
        <x:v>891</x:v>
      </x:c>
      <x:c r="T766" t="str">
        <x:v>Credit</x:v>
      </x:c>
      <x:c r="U766" t="str">
        <x:v>Overdue</x:v>
      </x:c>
      <x:c r="V766" t="str">
        <x:v>Cancelled</x:v>
      </x:c>
      <x:c r="W766" t="n">
        <x:v>11</x:v>
      </x:c>
      <x:c r="X766" t="str">
        <x:v>Cancelled Order</x:v>
      </x:c>
      <x:c r="Y766" t="str">
        <x:v>Outbound Call</x:v>
      </x:c>
    </x:row>
    <x:row r="767">
      <x:c r="A767" t="str">
        <x:v>O000766</x:v>
      </x:c>
      <x:c r="B767" s="20" t="n">
        <x:v>46155</x:v>
      </x:c>
      <x:c r="C767" t="str">
        <x:v>C0075</x:v>
      </x:c>
      <x:c r="D767" t="str">
        <x:v>Spice Foods 75</x:v>
      </x:c>
      <x:c r="E767" t="str">
        <x:v>Kirana</x:v>
      </x:c>
      <x:c r="F767" t="str">
        <x:v>Hubballi</x:v>
      </x:c>
      <x:c r="G767" t="str">
        <x:v>Vikram</x:v>
      </x:c>
      <x:c r="H767" t="str">
        <x:v>P019</x:v>
      </x:c>
      <x:c r="I767" t="str">
        <x:v>Tea 1kg</x:v>
      </x:c>
      <x:c r="J767" t="str">
        <x:v>Beverage</x:v>
      </x:c>
      <x:c r="K767" t="str">
        <x:v>Red Label</x:v>
      </x:c>
      <x:c r="L767" s="22" t="n">
        <x:v>540</x:v>
      </x:c>
      <x:c r="M767" t="n">
        <x:v>6</x:v>
      </x:c>
      <x:c r="N767" s="24" t="n">
        <x:v>0.05</x:v>
      </x:c>
      <x:c r="O767" s="22" t="n">
        <x:f>L767*M767</x:f>
        <x:v>3240</x:v>
      </x:c>
      <x:c r="P767" s="22" t="n">
        <x:f>O767*(1-N767)</x:f>
        <x:v>3078</x:v>
      </x:c>
      <x:c r="Q767" s="22" t="n">
        <x:v>485</x:v>
      </x:c>
      <x:c r="R767" s="22" t="n">
        <x:f>Q767*M767</x:f>
        <x:v>2910</x:v>
      </x:c>
      <x:c r="S767" s="22" t="n">
        <x:f>P767-R767</x:f>
        <x:v>168</x:v>
      </x:c>
      <x:c r="T767" t="str">
        <x:v>Bank Transfer</x:v>
      </x:c>
      <x:c r="U767" t="str">
        <x:v>Paid</x:v>
      </x:c>
      <x:c r="V767" t="str">
        <x:v>Cancelled</x:v>
      </x:c>
      <x:c r="W767" t="n">
        <x:v>6</x:v>
      </x:c>
      <x:c r="X767" t="str">
        <x:v>Cancelled Order</x:v>
      </x:c>
      <x:c r="Y767" t="str">
        <x:v>Existing Customer</x:v>
      </x:c>
    </x:row>
    <x:row r="768">
      <x:c r="A768" t="str">
        <x:v>O000767</x:v>
      </x:c>
      <x:c r="B768" s="20" t="n">
        <x:v>45775</x:v>
      </x:c>
      <x:c r="C768" t="str">
        <x:v>C0072</x:v>
      </x:c>
      <x:c r="D768" t="str">
        <x:v>Grand Restaurant 72</x:v>
      </x:c>
      <x:c r="E768" t="str">
        <x:v>Restaurant</x:v>
      </x:c>
      <x:c r="F768" t="str">
        <x:v>Davanagere</x:v>
      </x:c>
      <x:c r="G768" t="str">
        <x:v>Kavya</x:v>
      </x:c>
      <x:c r="H768" t="str">
        <x:v>P050</x:v>
      </x:c>
      <x:c r="I768" t="str">
        <x:v>Lemon 5kg</x:v>
      </x:c>
      <x:c r="J768" t="str">
        <x:v>Fresh Produce</x:v>
      </x:c>
      <x:c r="K768" t="str">
        <x:v>Local Market</x:v>
      </x:c>
      <x:c r="L768" s="22" t="n">
        <x:v>360</x:v>
      </x:c>
      <x:c r="M768" t="n">
        <x:v>17</x:v>
      </x:c>
      <x:c r="N768" s="24" t="n">
        <x:v>0.1</x:v>
      </x:c>
      <x:c r="O768" s="22" t="n">
        <x:f>L768*M768</x:f>
        <x:v>6120</x:v>
      </x:c>
      <x:c r="P768" s="22" t="n">
        <x:f>O768*(1-N768)</x:f>
        <x:v>5508</x:v>
      </x:c>
      <x:c r="Q768" s="22" t="n">
        <x:v>300</x:v>
      </x:c>
      <x:c r="R768" s="22" t="n">
        <x:f>Q768*M768</x:f>
        <x:v>5100</x:v>
      </x:c>
      <x:c r="S768" s="22" t="n">
        <x:f>P768-R768</x:f>
        <x:v>408</x:v>
      </x:c>
      <x:c r="T768" t="str">
        <x:v>Bank Transfer</x:v>
      </x:c>
      <x:c r="U768" t="str">
        <x:v>Paid</x:v>
      </x:c>
      <x:c r="V768" t="str">
        <x:v>Delivered</x:v>
      </x:c>
      <x:c r="W768" t="n">
        <x:v>0</x:v>
      </x:c>
      <x:c r="X768" t="str"/>
      <x:c r="Y768" t="str">
        <x:v>Outbound Call</x:v>
      </x:c>
    </x:row>
    <x:row r="769">
      <x:c r="A769" t="str">
        <x:v>O000768</x:v>
      </x:c>
      <x:c r="B769" s="20" t="n">
        <x:v>45843</x:v>
      </x:c>
      <x:c r="C769" t="str">
        <x:v>C0129</x:v>
      </x:c>
      <x:c r="D769" t="str">
        <x:v>City Canteen 129</x:v>
      </x:c>
      <x:c r="E769" t="str">
        <x:v>Kirana</x:v>
      </x:c>
      <x:c r="F769" t="str">
        <x:v>Hubballi</x:v>
      </x:c>
      <x:c r="G769" t="str">
        <x:v>Sneha</x:v>
      </x:c>
      <x:c r="H769" t="str">
        <x:v>P040</x:v>
      </x:c>
      <x:c r="I769" t="str">
        <x:v>Bread Loaf 400g</x:v>
      </x:c>
      <x:c r="J769" t="str">
        <x:v>Bakery</x:v>
      </x:c>
      <x:c r="K769" t="str">
        <x:v>Britannia</x:v>
      </x:c>
      <x:c r="L769" s="22" t="n">
        <x:v>45</x:v>
      </x:c>
      <x:c r="M769" t="n">
        <x:v>13</x:v>
      </x:c>
      <x:c r="N769" s="24" t="n">
        <x:v>0.1</x:v>
      </x:c>
      <x:c r="O769" s="22" t="n">
        <x:f>L769*M769</x:f>
        <x:v>585</x:v>
      </x:c>
      <x:c r="P769" s="22" t="n">
        <x:f>O769*(1-N769)</x:f>
        <x:v>526.5</x:v>
      </x:c>
      <x:c r="Q769" s="22" t="n">
        <x:v>35</x:v>
      </x:c>
      <x:c r="R769" s="22" t="n">
        <x:f>Q769*M769</x:f>
        <x:v>455</x:v>
      </x:c>
      <x:c r="S769" s="22" t="n">
        <x:f>P769-R769</x:f>
        <x:v>71.5</x:v>
      </x:c>
      <x:c r="T769" t="str">
        <x:v>Bank Transfer</x:v>
      </x:c>
      <x:c r="U769" t="str">
        <x:v>Paid</x:v>
      </x:c>
      <x:c r="V769" t="str">
        <x:v>Delivered</x:v>
      </x:c>
      <x:c r="W769" t="n">
        <x:v>0</x:v>
      </x:c>
      <x:c r="X769" t="str"/>
      <x:c r="Y769" t="str">
        <x:v>Field Visit</x:v>
      </x:c>
    </x:row>
    <x:row r="770">
      <x:c r="A770" t="str">
        <x:v>O000769</x:v>
      </x:c>
      <x:c r="B770" s="20" t="n">
        <x:v>46094</x:v>
      </x:c>
      <x:c r="C770" t="str">
        <x:v>C0238</x:v>
      </x:c>
      <x:c r="D770" t="str">
        <x:v>Foodie Foods 238</x:v>
      </x:c>
      <x:c r="E770" t="str">
        <x:v>Restaurant</x:v>
      </x:c>
      <x:c r="F770" t="str">
        <x:v>Davanagere</x:v>
      </x:c>
      <x:c r="G770" t="str">
        <x:v>Megha</x:v>
      </x:c>
      <x:c r="H770" t="str">
        <x:v>P010</x:v>
      </x:c>
      <x:c r="I770" t="str">
        <x:v>Sugar 25kg</x:v>
      </x:c>
      <x:c r="J770" t="str">
        <x:v>Staples</x:v>
      </x:c>
      <x:c r="K770" t="str">
        <x:v>Madhur</x:v>
      </x:c>
      <x:c r="L770" s="22" t="n">
        <x:v>1190</x:v>
      </x:c>
      <x:c r="M770" t="n">
        <x:v>10</x:v>
      </x:c>
      <x:c r="N770" s="24" t="n">
        <x:v>0</x:v>
      </x:c>
      <x:c r="O770" s="22" t="n">
        <x:f>L770*M770</x:f>
        <x:v>11900</x:v>
      </x:c>
      <x:c r="P770" s="22" t="n">
        <x:f>O770*(1-N770)</x:f>
        <x:v>11900</x:v>
      </x:c>
      <x:c r="Q770" s="22" t="n">
        <x:v>1080</x:v>
      </x:c>
      <x:c r="R770" s="22" t="n">
        <x:f>Q770*M770</x:f>
        <x:v>10800</x:v>
      </x:c>
      <x:c r="S770" s="22" t="n">
        <x:f>P770-R770</x:f>
        <x:v>1100</x:v>
      </x:c>
      <x:c r="T770" t="str">
        <x:v>UPI</x:v>
      </x:c>
      <x:c r="U770" t="str">
        <x:v>Paid</x:v>
      </x:c>
      <x:c r="V770" t="str">
        <x:v>Delayed</x:v>
      </x:c>
      <x:c r="W770" t="n">
        <x:v>0</x:v>
      </x:c>
      <x:c r="X770" t="str"/>
      <x:c r="Y770" t="str">
        <x:v>Field Visit</x:v>
      </x:c>
    </x:row>
    <x:row r="771">
      <x:c r="A771" t="str">
        <x:v>O000770</x:v>
      </x:c>
      <x:c r="B771" s="20" t="n">
        <x:v>46002</x:v>
      </x:c>
      <x:c r="C771" t="str">
        <x:v>C0060</x:v>
      </x:c>
      <x:c r="D771" t="str">
        <x:v>Sagar Stores 60</x:v>
      </x:c>
      <x:c r="E771" t="str">
        <x:v>Cafe</x:v>
      </x:c>
      <x:c r="F771" t="str">
        <x:v>Hubballi</x:v>
      </x:c>
      <x:c r="G771" t="str">
        <x:v>Imran</x:v>
      </x:c>
      <x:c r="H771" t="str">
        <x:v>P015</x:v>
      </x:c>
      <x:c r="I771" t="str">
        <x:v>Milk 1L</x:v>
      </x:c>
      <x:c r="J771" t="str">
        <x:v>Dairy</x:v>
      </x:c>
      <x:c r="K771" t="str">
        <x:v>Nandini</x:v>
      </x:c>
      <x:c r="L771" s="22" t="n">
        <x:v>48</x:v>
      </x:c>
      <x:c r="M771" t="n">
        <x:v>28</x:v>
      </x:c>
      <x:c r="N771" s="24" t="n">
        <x:v>0.03</x:v>
      </x:c>
      <x:c r="O771" s="22" t="n">
        <x:f>L771*M771</x:f>
        <x:v>1344</x:v>
      </x:c>
      <x:c r="P771" s="22" t="n">
        <x:f>O771*(1-N771)</x:f>
        <x:v>1303.68</x:v>
      </x:c>
      <x:c r="Q771" s="22" t="n">
        <x:v>43</x:v>
      </x:c>
      <x:c r="R771" s="22" t="n">
        <x:f>Q771*M771</x:f>
        <x:v>1204</x:v>
      </x:c>
      <x:c r="S771" s="22" t="n">
        <x:f>P771-R771</x:f>
        <x:v>99.68000000000006</x:v>
      </x:c>
      <x:c r="T771" t="str">
        <x:v>Credit</x:v>
      </x:c>
      <x:c r="U771" t="str">
        <x:v>Paid</x:v>
      </x:c>
      <x:c r="V771" t="str">
        <x:v>Delivered</x:v>
      </x:c>
      <x:c r="W771" t="n">
        <x:v>0</x:v>
      </x:c>
      <x:c r="X771" t="str"/>
      <x:c r="Y771" t="str">
        <x:v>Field Visit</x:v>
      </x:c>
    </x:row>
    <x:row r="772">
      <x:c r="A772" t="str">
        <x:v>O000771</x:v>
      </x:c>
      <x:c r="B772" s="20" t="n">
        <x:v>46086</x:v>
      </x:c>
      <x:c r="C772" t="str">
        <x:v>C0090</x:v>
      </x:c>
      <x:c r="D772" t="str">
        <x:v>Shree Mart 90</x:v>
      </x:c>
      <x:c r="E772" t="str">
        <x:v>Restaurant</x:v>
      </x:c>
      <x:c r="F772" t="str">
        <x:v>Davanagere</x:v>
      </x:c>
      <x:c r="G772" t="str">
        <x:v>Megha</x:v>
      </x:c>
      <x:c r="H772" t="str">
        <x:v>P046</x:v>
      </x:c>
      <x:c r="I772" t="str">
        <x:v>Potato 25kg</x:v>
      </x:c>
      <x:c r="J772" t="str">
        <x:v>Fresh Produce</x:v>
      </x:c>
      <x:c r="K772" t="str">
        <x:v>Local Market</x:v>
      </x:c>
      <x:c r="L772" s="22" t="n">
        <x:v>700</x:v>
      </x:c>
      <x:c r="M772" t="n">
        <x:v>16</x:v>
      </x:c>
      <x:c r="N772" s="24" t="n">
        <x:v>0.02</x:v>
      </x:c>
      <x:c r="O772" s="22" t="n">
        <x:f>L772*M772</x:f>
        <x:v>11200</x:v>
      </x:c>
      <x:c r="P772" s="22" t="n">
        <x:f>O772*(1-N772)</x:f>
        <x:v>10976</x:v>
      </x:c>
      <x:c r="Q772" s="22" t="n">
        <x:v>610</x:v>
      </x:c>
      <x:c r="R772" s="22" t="n">
        <x:f>Q772*M772</x:f>
        <x:v>9760</x:v>
      </x:c>
      <x:c r="S772" s="22" t="n">
        <x:f>P772-R772</x:f>
        <x:v>1216</x:v>
      </x:c>
      <x:c r="T772" t="str">
        <x:v>UPI</x:v>
      </x:c>
      <x:c r="U772" t="str">
        <x:v>Paid</x:v>
      </x:c>
      <x:c r="V772" t="str">
        <x:v>Delivered</x:v>
      </x:c>
      <x:c r="W772" t="n">
        <x:v>3</x:v>
      </x:c>
      <x:c r="X772" t="str">
        <x:v>Wrong Item</x:v>
      </x:c>
      <x:c r="Y772" t="str">
        <x:v>Field Visit</x:v>
      </x:c>
    </x:row>
    <x:row r="773">
      <x:c r="A773" t="str">
        <x:v>O000772</x:v>
      </x:c>
      <x:c r="B773" s="20" t="n">
        <x:v>45761</x:v>
      </x:c>
      <x:c r="C773" t="str">
        <x:v>C0233</x:v>
      </x:c>
      <x:c r="D773" t="str">
        <x:v>Shree Mart 233</x:v>
      </x:c>
      <x:c r="E773" t="str">
        <x:v>Kirana</x:v>
      </x:c>
      <x:c r="F773" t="str">
        <x:v>Mangaluru</x:v>
      </x:c>
      <x:c r="G773" t="str">
        <x:v>Priya</x:v>
      </x:c>
      <x:c r="H773" t="str">
        <x:v>P039</x:v>
      </x:c>
      <x:c r="I773" t="str">
        <x:v>Ice Cream 4L</x:v>
      </x:c>
      <x:c r="J773" t="str">
        <x:v>Frozen</x:v>
      </x:c>
      <x:c r="K773" t="str">
        <x:v>Amul</x:v>
      </x:c>
      <x:c r="L773" s="22" t="n">
        <x:v>480</x:v>
      </x:c>
      <x:c r="M773" t="n">
        <x:v>28</x:v>
      </x:c>
      <x:c r="N773" s="24" t="n">
        <x:v>0</x:v>
      </x:c>
      <x:c r="O773" s="22" t="n">
        <x:f>L773*M773</x:f>
        <x:v>13440</x:v>
      </x:c>
      <x:c r="P773" s="22" t="n">
        <x:f>O773*(1-N773)</x:f>
        <x:v>13440</x:v>
      </x:c>
      <x:c r="Q773" s="22" t="n">
        <x:v>420</x:v>
      </x:c>
      <x:c r="R773" s="22" t="n">
        <x:f>Q773*M773</x:f>
        <x:v>11760</x:v>
      </x:c>
      <x:c r="S773" s="22" t="n">
        <x:f>P773-R773</x:f>
        <x:v>1680</x:v>
      </x:c>
      <x:c r="T773" t="str">
        <x:v>Credit</x:v>
      </x:c>
      <x:c r="U773" t="str">
        <x:v>Paid</x:v>
      </x:c>
      <x:c r="V773" t="str">
        <x:v>Delivered</x:v>
      </x:c>
      <x:c r="W773" t="n">
        <x:v>0</x:v>
      </x:c>
      <x:c r="X773" t="str"/>
      <x:c r="Y773" t="str">
        <x:v>Outbound Call</x:v>
      </x:c>
    </x:row>
    <x:row r="774">
      <x:c r="A774" t="str">
        <x:v>O000773</x:v>
      </x:c>
      <x:c r="B774" s="20" t="n">
        <x:v>45997</x:v>
      </x:c>
      <x:c r="C774" t="str">
        <x:v>C0198</x:v>
      </x:c>
      <x:c r="D774" t="str">
        <x:v>Royal Canteen 198</x:v>
      </x:c>
      <x:c r="E774" t="str">
        <x:v>Supermarket</x:v>
      </x:c>
      <x:c r="F774" t="str">
        <x:v>Davanagere</x:v>
      </x:c>
      <x:c r="G774" t="str">
        <x:v>Arjun</x:v>
      </x:c>
      <x:c r="H774" t="str">
        <x:v>P009</x:v>
      </x:c>
      <x:c r="I774" t="str">
        <x:v>Groundnut Oil 5L</x:v>
      </x:c>
      <x:c r="J774" t="str">
        <x:v>Edible Oil</x:v>
      </x:c>
      <x:c r="K774" t="str">
        <x:v>Dhara</x:v>
      </x:c>
      <x:c r="L774" s="22" t="n">
        <x:v>890</x:v>
      </x:c>
      <x:c r="M774" t="n">
        <x:v>24</x:v>
      </x:c>
      <x:c r="N774" s="24" t="n">
        <x:v>0.05</x:v>
      </x:c>
      <x:c r="O774" s="22" t="n">
        <x:f>L774*M774</x:f>
        <x:v>21360</x:v>
      </x:c>
      <x:c r="P774" s="22" t="n">
        <x:f>O774*(1-N774)</x:f>
        <x:v>20292</x:v>
      </x:c>
      <x:c r="Q774" s="22" t="n">
        <x:v>810</x:v>
      </x:c>
      <x:c r="R774" s="22" t="n">
        <x:f>Q774*M774</x:f>
        <x:v>19440</x:v>
      </x:c>
      <x:c r="S774" s="22" t="n">
        <x:f>P774-R774</x:f>
        <x:v>852</x:v>
      </x:c>
      <x:c r="T774" t="str">
        <x:v>Cash</x:v>
      </x:c>
      <x:c r="U774" t="str">
        <x:v>Pending</x:v>
      </x:c>
      <x:c r="V774" t="str">
        <x:v>Delayed</x:v>
      </x:c>
      <x:c r="W774" t="n">
        <x:v>0</x:v>
      </x:c>
      <x:c r="X774" t="str"/>
      <x:c r="Y774" t="str">
        <x:v>Existing Customer</x:v>
      </x:c>
    </x:row>
    <x:row r="775">
      <x:c r="A775" t="str">
        <x:v>O000774</x:v>
      </x:c>
      <x:c r="B775" s="20" t="n">
        <x:v>45940</x:v>
      </x:c>
      <x:c r="C775" t="str">
        <x:v>C0061</x:v>
      </x:c>
      <x:c r="D775" t="str">
        <x:v>Spice Stores 61</x:v>
      </x:c>
      <x:c r="E775" t="str">
        <x:v>Restaurant</x:v>
      </x:c>
      <x:c r="F775" t="str">
        <x:v>Tumakuru</x:v>
      </x:c>
      <x:c r="G775" t="str">
        <x:v>Ramesh</x:v>
      </x:c>
      <x:c r="H775" t="str">
        <x:v>P042</x:v>
      </x:c>
      <x:c r="I775" t="str">
        <x:v>Eggs 30pc Tray</x:v>
      </x:c>
      <x:c r="J775" t="str">
        <x:v>Protein</x:v>
      </x:c>
      <x:c r="K775" t="str">
        <x:v>Farm Fresh</x:v>
      </x:c>
      <x:c r="L775" s="22" t="n">
        <x:v>195</x:v>
      </x:c>
      <x:c r="M775" t="n">
        <x:v>14</x:v>
      </x:c>
      <x:c r="N775" s="24" t="n">
        <x:v>0.03</x:v>
      </x:c>
      <x:c r="O775" s="22" t="n">
        <x:f>L775*M775</x:f>
        <x:v>2730</x:v>
      </x:c>
      <x:c r="P775" s="22" t="n">
        <x:f>O775*(1-N775)</x:f>
        <x:v>2648.1</x:v>
      </x:c>
      <x:c r="Q775" s="22" t="n">
        <x:v>170</x:v>
      </x:c>
      <x:c r="R775" s="22" t="n">
        <x:f>Q775*M775</x:f>
        <x:v>2380</x:v>
      </x:c>
      <x:c r="S775" s="22" t="n">
        <x:f>P775-R775</x:f>
        <x:v>268.0999999999999</x:v>
      </x:c>
      <x:c r="T775" t="str">
        <x:v>UPI</x:v>
      </x:c>
      <x:c r="U775" t="str">
        <x:v>Pending</x:v>
      </x:c>
      <x:c r="V775" t="str">
        <x:v>Delivered</x:v>
      </x:c>
      <x:c r="W775" t="n">
        <x:v>0</x:v>
      </x:c>
      <x:c r="X775" t="str"/>
      <x:c r="Y775" t="str">
        <x:v>Existing Customer</x:v>
      </x:c>
    </x:row>
    <x:row r="776">
      <x:c r="A776" t="str">
        <x:v>O000775</x:v>
      </x:c>
      <x:c r="B776" s="20" t="n">
        <x:v>45853</x:v>
      </x:c>
      <x:c r="C776" t="str">
        <x:v>C0151</x:v>
      </x:c>
      <x:c r="D776" t="str">
        <x:v>Foodie Stores 151</x:v>
      </x:c>
      <x:c r="E776" t="str">
        <x:v>Supermarket</x:v>
      </x:c>
      <x:c r="F776" t="str">
        <x:v>Mysuru</x:v>
      </x:c>
      <x:c r="G776" t="str">
        <x:v>Arjun</x:v>
      </x:c>
      <x:c r="H776" t="str">
        <x:v>P042</x:v>
      </x:c>
      <x:c r="I776" t="str">
        <x:v>Eggs 30pc Tray</x:v>
      </x:c>
      <x:c r="J776" t="str">
        <x:v>Protein</x:v>
      </x:c>
      <x:c r="K776" t="str">
        <x:v>Farm Fresh</x:v>
      </x:c>
      <x:c r="L776" s="22" t="n">
        <x:v>195</x:v>
      </x:c>
      <x:c r="M776" t="n">
        <x:v>13</x:v>
      </x:c>
      <x:c r="N776" s="24" t="n">
        <x:v>0.05</x:v>
      </x:c>
      <x:c r="O776" s="22" t="n">
        <x:f>L776*M776</x:f>
        <x:v>2535</x:v>
      </x:c>
      <x:c r="P776" s="22" t="n">
        <x:f>O776*(1-N776)</x:f>
        <x:v>2408.25</x:v>
      </x:c>
      <x:c r="Q776" s="22" t="n">
        <x:v>170</x:v>
      </x:c>
      <x:c r="R776" s="22" t="n">
        <x:f>Q776*M776</x:f>
        <x:v>2210</x:v>
      </x:c>
      <x:c r="S776" s="22" t="n">
        <x:f>P776-R776</x:f>
        <x:v>198.25</x:v>
      </x:c>
      <x:c r="T776" t="str">
        <x:v>UPI</x:v>
      </x:c>
      <x:c r="U776" t="str">
        <x:v>Paid</x:v>
      </x:c>
      <x:c r="V776" t="str">
        <x:v>Delayed</x:v>
      </x:c>
      <x:c r="W776" t="n">
        <x:v>0</x:v>
      </x:c>
      <x:c r="X776" t="str"/>
      <x:c r="Y776" t="str">
        <x:v>Existing Customer</x:v>
      </x:c>
    </x:row>
    <x:row r="777">
      <x:c r="A777" t="str">
        <x:v>O000776</x:v>
      </x:c>
      <x:c r="B777" s="20" t="n">
        <x:v>45864</x:v>
      </x:c>
      <x:c r="C777" t="str">
        <x:v>C0186</x:v>
      </x:c>
      <x:c r="D777" t="str">
        <x:v>Namma Stores 186</x:v>
      </x:c>
      <x:c r="E777" t="str">
        <x:v>Supermarket</x:v>
      </x:c>
      <x:c r="F777" t="str">
        <x:v>Mysuru</x:v>
      </x:c>
      <x:c r="G777" t="str">
        <x:v>Vikram</x:v>
      </x:c>
      <x:c r="H777" t="str">
        <x:v>P031</x:v>
      </x:c>
      <x:c r="I777" t="str">
        <x:v>Chilli Sauce 700g</x:v>
      </x:c>
      <x:c r="J777" t="str">
        <x:v>Condiments</x:v>
      </x:c>
      <x:c r="K777" t="str">
        <x:v>Ching's</x:v>
      </x:c>
      <x:c r="L777" s="22" t="n">
        <x:v>130</x:v>
      </x:c>
      <x:c r="M777" t="n">
        <x:v>35</x:v>
      </x:c>
      <x:c r="N777" s="24" t="n">
        <x:v>0.05</x:v>
      </x:c>
      <x:c r="O777" s="22" t="n">
        <x:f>L777*M777</x:f>
        <x:v>4550</x:v>
      </x:c>
      <x:c r="P777" s="22" t="n">
        <x:f>O777*(1-N777)</x:f>
        <x:v>4322.5</x:v>
      </x:c>
      <x:c r="Q777" s="22" t="n">
        <x:v>112</x:v>
      </x:c>
      <x:c r="R777" s="22" t="n">
        <x:f>Q777*M777</x:f>
        <x:v>3920</x:v>
      </x:c>
      <x:c r="S777" s="22" t="n">
        <x:f>P777-R777</x:f>
        <x:v>402.5</x:v>
      </x:c>
      <x:c r="T777" t="str">
        <x:v>UPI</x:v>
      </x:c>
      <x:c r="U777" t="str">
        <x:v>Paid</x:v>
      </x:c>
      <x:c r="V777" t="str">
        <x:v>Delivered</x:v>
      </x:c>
      <x:c r="W777" t="n">
        <x:v>0</x:v>
      </x:c>
      <x:c r="X777" t="str"/>
      <x:c r="Y777" t="str">
        <x:v>Field Visit</x:v>
      </x:c>
    </x:row>
    <x:row r="778">
      <x:c r="A778" t="str">
        <x:v>O000777</x:v>
      </x:c>
      <x:c r="B778" s="20" t="n">
        <x:v>46013</x:v>
      </x:c>
      <x:c r="C778" t="str">
        <x:v>C0195</x:v>
      </x:c>
      <x:c r="D778" t="str">
        <x:v>Classic Stores 195</x:v>
      </x:c>
      <x:c r="E778" t="str">
        <x:v>Canteen</x:v>
      </x:c>
      <x:c r="F778" t="str">
        <x:v>Davanagere</x:v>
      </x:c>
      <x:c r="G778" t="str">
        <x:v>Kavya</x:v>
      </x:c>
      <x:c r="H778" t="str">
        <x:v>P036</x:v>
      </x:c>
      <x:c r="I778" t="str">
        <x:v>Garam Masala 500g</x:v>
      </x:c>
      <x:c r="J778" t="str">
        <x:v>Spices</x:v>
      </x:c>
      <x:c r="K778" t="str">
        <x:v>MDH</x:v>
      </x:c>
      <x:c r="L778" s="22" t="n">
        <x:v>265</x:v>
      </x:c>
      <x:c r="M778" t="n">
        <x:v>24</x:v>
      </x:c>
      <x:c r="N778" s="24" t="n">
        <x:v>0.03</x:v>
      </x:c>
      <x:c r="O778" s="22" t="n">
        <x:f>L778*M778</x:f>
        <x:v>6360</x:v>
      </x:c>
      <x:c r="P778" s="22" t="n">
        <x:f>O778*(1-N778)</x:f>
        <x:v>6169.2</x:v>
      </x:c>
      <x:c r="Q778" s="22" t="n">
        <x:v>230</x:v>
      </x:c>
      <x:c r="R778" s="22" t="n">
        <x:f>Q778*M778</x:f>
        <x:v>5520</x:v>
      </x:c>
      <x:c r="S778" s="22" t="n">
        <x:f>P778-R778</x:f>
        <x:v>649.1999999999998</x:v>
      </x:c>
      <x:c r="T778" t="str">
        <x:v>UPI</x:v>
      </x:c>
      <x:c r="U778" t="str">
        <x:v>Pending</x:v>
      </x:c>
      <x:c r="V778" t="str">
        <x:v>Delivered</x:v>
      </x:c>
      <x:c r="W778" t="n">
        <x:v>0</x:v>
      </x:c>
      <x:c r="X778" t="str"/>
      <x:c r="Y778" t="str">
        <x:v>Existing Customer</x:v>
      </x:c>
    </x:row>
    <x:row r="779">
      <x:c r="A779" t="str">
        <x:v>O000778</x:v>
      </x:c>
      <x:c r="B779" s="20" t="n">
        <x:v>45828</x:v>
      </x:c>
      <x:c r="C779" t="str">
        <x:v>C0129</x:v>
      </x:c>
      <x:c r="D779" t="str">
        <x:v>City Canteen 129</x:v>
      </x:c>
      <x:c r="E779" t="str">
        <x:v>Kirana</x:v>
      </x:c>
      <x:c r="F779" t="str">
        <x:v>Hubballi</x:v>
      </x:c>
      <x:c r="G779" t="str">
        <x:v>Sneha</x:v>
      </x:c>
      <x:c r="H779" t="str">
        <x:v>P002</x:v>
      </x:c>
      <x:c r="I779" t="str">
        <x:v>Sona Masoori Rice 25kg</x:v>
      </x:c>
      <x:c r="J779" t="str">
        <x:v>Staples</x:v>
      </x:c>
      <x:c r="K779" t="str">
        <x:v>Fortune</x:v>
      </x:c>
      <x:c r="L779" s="22" t="n">
        <x:v>1320</x:v>
      </x:c>
      <x:c r="M779" t="n">
        <x:v>5</x:v>
      </x:c>
      <x:c r="N779" s="24" t="n">
        <x:v>0.05</x:v>
      </x:c>
      <x:c r="O779" s="22" t="n">
        <x:f>L779*M779</x:f>
        <x:v>6600</x:v>
      </x:c>
      <x:c r="P779" s="22" t="n">
        <x:f>O779*(1-N779)</x:f>
        <x:v>6270</x:v>
      </x:c>
      <x:c r="Q779" s="22" t="n">
        <x:v>1160</x:v>
      </x:c>
      <x:c r="R779" s="22" t="n">
        <x:f>Q779*M779</x:f>
        <x:v>5800</x:v>
      </x:c>
      <x:c r="S779" s="22" t="n">
        <x:f>P779-R779</x:f>
        <x:v>470</x:v>
      </x:c>
      <x:c r="T779" t="str">
        <x:v>Bank Transfer</x:v>
      </x:c>
      <x:c r="U779" t="str">
        <x:v>Paid</x:v>
      </x:c>
      <x:c r="V779" t="str">
        <x:v>Delayed</x:v>
      </x:c>
      <x:c r="W779" t="n">
        <x:v>0</x:v>
      </x:c>
      <x:c r="X779" t="str"/>
      <x:c r="Y779" t="str">
        <x:v>Outbound Call</x:v>
      </x:c>
    </x:row>
    <x:row r="780">
      <x:c r="A780" t="str">
        <x:v>O000779</x:v>
      </x:c>
      <x:c r="B780" s="20" t="n">
        <x:v>46065</x:v>
      </x:c>
      <x:c r="C780" t="str">
        <x:v>C0178</x:v>
      </x:c>
      <x:c r="D780" t="str">
        <x:v>Annapurna Foods 178</x:v>
      </x:c>
      <x:c r="E780" t="str">
        <x:v>Canteen</x:v>
      </x:c>
      <x:c r="F780" t="str">
        <x:v>Tumakuru</x:v>
      </x:c>
      <x:c r="G780" t="str">
        <x:v>Imran</x:v>
      </x:c>
      <x:c r="H780" t="str">
        <x:v>P013</x:v>
      </x:c>
      <x:c r="I780" t="str">
        <x:v>Atta 10kg</x:v>
      </x:c>
      <x:c r="J780" t="str">
        <x:v>Flour</x:v>
      </x:c>
      <x:c r="K780" t="str">
        <x:v>Aashirvaad</x:v>
      </x:c>
      <x:c r="L780" s="22" t="n">
        <x:v>560</x:v>
      </x:c>
      <x:c r="M780" t="n">
        <x:v>32</x:v>
      </x:c>
      <x:c r="N780" s="24" t="n">
        <x:v>0.05</x:v>
      </x:c>
      <x:c r="O780" s="22" t="n">
        <x:f>L780*M780</x:f>
        <x:v>17920</x:v>
      </x:c>
      <x:c r="P780" s="22" t="n">
        <x:f>O780*(1-N780)</x:f>
        <x:v>17024</x:v>
      </x:c>
      <x:c r="Q780" s="22" t="n">
        <x:v>495</x:v>
      </x:c>
      <x:c r="R780" s="22" t="n">
        <x:f>Q780*M780</x:f>
        <x:v>15840</x:v>
      </x:c>
      <x:c r="S780" s="22" t="n">
        <x:f>P780-R780</x:f>
        <x:v>1184</x:v>
      </x:c>
      <x:c r="T780" t="str">
        <x:v>UPI</x:v>
      </x:c>
      <x:c r="U780" t="str">
        <x:v>Paid</x:v>
      </x:c>
      <x:c r="V780" t="str">
        <x:v>Delayed</x:v>
      </x:c>
      <x:c r="W780" t="n">
        <x:v>0</x:v>
      </x:c>
      <x:c r="X780" t="str"/>
      <x:c r="Y780" t="str">
        <x:v>WhatsApp</x:v>
      </x:c>
    </x:row>
    <x:row r="781">
      <x:c r="A781" t="str">
        <x:v>O000780</x:v>
      </x:c>
      <x:c r="B781" s="20" t="n">
        <x:v>46279</x:v>
      </x:c>
      <x:c r="C781" t="str">
        <x:v>C0100</x:v>
      </x:c>
      <x:c r="D781" t="str">
        <x:v>Fresh Mart 100</x:v>
      </x:c>
      <x:c r="E781" t="str">
        <x:v>Restaurant</x:v>
      </x:c>
      <x:c r="F781" t="str">
        <x:v>Mysuru</x:v>
      </x:c>
      <x:c r="G781" t="str">
        <x:v>Imran</x:v>
      </x:c>
      <x:c r="H781" t="str">
        <x:v>P026</x:v>
      </x:c>
      <x:c r="I781" t="str">
        <x:v>Banana Chips 80g</x:v>
      </x:c>
      <x:c r="J781" t="str">
        <x:v>Snacks</x:v>
      </x:c>
      <x:c r="K781" t="str">
        <x:v>SSS</x:v>
      </x:c>
      <x:c r="L781" s="22" t="n">
        <x:v>54</x:v>
      </x:c>
      <x:c r="M781" t="n">
        <x:v>18</x:v>
      </x:c>
      <x:c r="N781" s="24" t="n">
        <x:v>0</x:v>
      </x:c>
      <x:c r="O781" s="22" t="n">
        <x:f>L781*M781</x:f>
        <x:v>972</x:v>
      </x:c>
      <x:c r="P781" s="22" t="n">
        <x:f>O781*(1-N781)</x:f>
        <x:v>972</x:v>
      </x:c>
      <x:c r="Q781" s="22" t="n">
        <x:v>39</x:v>
      </x:c>
      <x:c r="R781" s="22" t="n">
        <x:f>Q781*M781</x:f>
        <x:v>702</x:v>
      </x:c>
      <x:c r="S781" s="22" t="n">
        <x:f>P781-R781</x:f>
        <x:v>270</x:v>
      </x:c>
      <x:c r="T781" t="str">
        <x:v>UPI</x:v>
      </x:c>
      <x:c r="U781" t="str">
        <x:v>Paid</x:v>
      </x:c>
      <x:c r="V781" t="str">
        <x:v>Delivered</x:v>
      </x:c>
      <x:c r="W781" t="n">
        <x:v>0</x:v>
      </x:c>
      <x:c r="X781" t="str"/>
      <x:c r="Y781" t="str">
        <x:v>Outbound Call</x:v>
      </x:c>
    </x:row>
    <x:row r="782">
      <x:c r="A782" t="str">
        <x:v>O000781</x:v>
      </x:c>
      <x:c r="B782" s="20" t="n">
        <x:v>46124</x:v>
      </x:c>
      <x:c r="C782" t="str">
        <x:v>C0203</x:v>
      </x:c>
      <x:c r="D782" t="str">
        <x:v>Namma Mart 203</x:v>
      </x:c>
      <x:c r="E782" t="str">
        <x:v>Kirana</x:v>
      </x:c>
      <x:c r="F782" t="str">
        <x:v>Tumakuru</x:v>
      </x:c>
      <x:c r="G782" t="str">
        <x:v>Priya</x:v>
      </x:c>
      <x:c r="H782" t="str">
        <x:v>P033</x:v>
      </x:c>
      <x:c r="I782" t="str">
        <x:v>Turmeric Powder 1kg</x:v>
      </x:c>
      <x:c r="J782" t="str">
        <x:v>Spices</x:v>
      </x:c>
      <x:c r="K782" t="str">
        <x:v>Everest</x:v>
      </x:c>
      <x:c r="L782" s="22" t="n">
        <x:v>310</x:v>
      </x:c>
      <x:c r="M782" t="n">
        <x:v>33</x:v>
      </x:c>
      <x:c r="N782" s="24" t="n">
        <x:v>0.05</x:v>
      </x:c>
      <x:c r="O782" s="22" t="n">
        <x:f>L782*M782</x:f>
        <x:v>10230</x:v>
      </x:c>
      <x:c r="P782" s="22" t="n">
        <x:f>O782*(1-N782)</x:f>
        <x:v>9718.5</x:v>
      </x:c>
      <x:c r="Q782" s="22" t="n">
        <x:v>270</x:v>
      </x:c>
      <x:c r="R782" s="22" t="n">
        <x:f>Q782*M782</x:f>
        <x:v>8910</x:v>
      </x:c>
      <x:c r="S782" s="22" t="n">
        <x:f>P782-R782</x:f>
        <x:v>808.5</x:v>
      </x:c>
      <x:c r="T782" t="str">
        <x:v>Cash</x:v>
      </x:c>
      <x:c r="U782" t="str">
        <x:v>Paid</x:v>
      </x:c>
      <x:c r="V782" t="str">
        <x:v>Delivered</x:v>
      </x:c>
      <x:c r="W782" t="n">
        <x:v>0</x:v>
      </x:c>
      <x:c r="X782" t="str"/>
      <x:c r="Y782" t="str">
        <x:v>Field Visit</x:v>
      </x:c>
    </x:row>
    <x:row r="783">
      <x:c r="A783" t="str">
        <x:v>O000782</x:v>
      </x:c>
      <x:c r="B783" s="20" t="n">
        <x:v>45704</x:v>
      </x:c>
      <x:c r="C783" t="str">
        <x:v>C0044</x:v>
      </x:c>
      <x:c r="D783" t="str">
        <x:v>Annapurna Mart 44</x:v>
      </x:c>
      <x:c r="E783" t="str">
        <x:v>Kirana</x:v>
      </x:c>
      <x:c r="F783" t="str">
        <x:v>Davanagere</x:v>
      </x:c>
      <x:c r="G783" t="str">
        <x:v>Priya</x:v>
      </x:c>
      <x:c r="H783" t="str">
        <x:v>P015</x:v>
      </x:c>
      <x:c r="I783" t="str">
        <x:v>Milk 1L</x:v>
      </x:c>
      <x:c r="J783" t="str">
        <x:v>Dairy</x:v>
      </x:c>
      <x:c r="K783" t="str">
        <x:v>Nandini</x:v>
      </x:c>
      <x:c r="L783" s="22" t="n">
        <x:v>48</x:v>
      </x:c>
      <x:c r="M783" t="n">
        <x:v>35</x:v>
      </x:c>
      <x:c r="N783" s="24" t="n">
        <x:v>0</x:v>
      </x:c>
      <x:c r="O783" s="22" t="n">
        <x:f>L783*M783</x:f>
        <x:v>1680</x:v>
      </x:c>
      <x:c r="P783" s="22" t="n">
        <x:f>O783*(1-N783)</x:f>
        <x:v>1680</x:v>
      </x:c>
      <x:c r="Q783" s="22" t="n">
        <x:v>43</x:v>
      </x:c>
      <x:c r="R783" s="22" t="n">
        <x:f>Q783*M783</x:f>
        <x:v>1505</x:v>
      </x:c>
      <x:c r="S783" s="22" t="n">
        <x:f>P783-R783</x:f>
        <x:v>175</x:v>
      </x:c>
      <x:c r="T783" t="str">
        <x:v>UPI</x:v>
      </x:c>
      <x:c r="U783" t="str">
        <x:v>Paid</x:v>
      </x:c>
      <x:c r="V783" t="str">
        <x:v>Delivered</x:v>
      </x:c>
      <x:c r="W783" t="n">
        <x:v>0</x:v>
      </x:c>
      <x:c r="X783" t="str"/>
      <x:c r="Y783" t="str">
        <x:v>Field Visit</x:v>
      </x:c>
    </x:row>
    <x:row r="784">
      <x:c r="A784" t="str">
        <x:v>O000783</x:v>
      </x:c>
      <x:c r="B784" s="20" t="n">
        <x:v>45912</x:v>
      </x:c>
      <x:c r="C784" t="str">
        <x:v>C0014</x:v>
      </x:c>
      <x:c r="D784" t="str">
        <x:v>Annapurna Canteen 14</x:v>
      </x:c>
      <x:c r="E784" t="str">
        <x:v>Kirana</x:v>
      </x:c>
      <x:c r="F784" t="str">
        <x:v>Davanagere</x:v>
      </x:c>
      <x:c r="G784" t="str">
        <x:v>Sneha</x:v>
      </x:c>
      <x:c r="H784" t="str">
        <x:v>P042</x:v>
      </x:c>
      <x:c r="I784" t="str">
        <x:v>Eggs 30pc Tray</x:v>
      </x:c>
      <x:c r="J784" t="str">
        <x:v>Protein</x:v>
      </x:c>
      <x:c r="K784" t="str">
        <x:v>Farm Fresh</x:v>
      </x:c>
      <x:c r="L784" s="22" t="n">
        <x:v>195</x:v>
      </x:c>
      <x:c r="M784" t="n">
        <x:v>14</x:v>
      </x:c>
      <x:c r="N784" s="24" t="n">
        <x:v>0.03</x:v>
      </x:c>
      <x:c r="O784" s="22" t="n">
        <x:f>L784*M784</x:f>
        <x:v>2730</x:v>
      </x:c>
      <x:c r="P784" s="22" t="n">
        <x:f>O784*(1-N784)</x:f>
        <x:v>2648.1</x:v>
      </x:c>
      <x:c r="Q784" s="22" t="n">
        <x:v>170</x:v>
      </x:c>
      <x:c r="R784" s="22" t="n">
        <x:f>Q784*M784</x:f>
        <x:v>2380</x:v>
      </x:c>
      <x:c r="S784" s="22" t="n">
        <x:f>P784-R784</x:f>
        <x:v>268.0999999999999</x:v>
      </x:c>
      <x:c r="T784" t="str">
        <x:v>UPI</x:v>
      </x:c>
      <x:c r="U784" t="str">
        <x:v>Paid</x:v>
      </x:c>
      <x:c r="V784" t="str">
        <x:v>Cancelled</x:v>
      </x:c>
      <x:c r="W784" t="n">
        <x:v>14</x:v>
      </x:c>
      <x:c r="X784" t="str">
        <x:v>Cancelled Order</x:v>
      </x:c>
      <x:c r="Y784" t="str">
        <x:v>Existing Customer</x:v>
      </x:c>
    </x:row>
    <x:row r="785">
      <x:c r="A785" t="str">
        <x:v>O000784</x:v>
      </x:c>
      <x:c r="B785" s="20" t="n">
        <x:v>46220</x:v>
      </x:c>
      <x:c r="C785" t="str">
        <x:v>C0084</x:v>
      </x:c>
      <x:c r="D785" t="str">
        <x:v>Green Cafe 84</x:v>
      </x:c>
      <x:c r="E785" t="str">
        <x:v>Hotel</x:v>
      </x:c>
      <x:c r="F785" t="str">
        <x:v>Mysuru</x:v>
      </x:c>
      <x:c r="G785" t="str">
        <x:v>Priya</x:v>
      </x:c>
      <x:c r="H785" t="str">
        <x:v>P006</x:v>
      </x:c>
      <x:c r="I785" t="str">
        <x:v>Moong Dal 5kg</x:v>
      </x:c>
      <x:c r="J785" t="str">
        <x:v>Pulses</x:v>
      </x:c>
      <x:c r="K785" t="str">
        <x:v>Local Select</x:v>
      </x:c>
      <x:c r="L785" s="22" t="n">
        <x:v>610</x:v>
      </x:c>
      <x:c r="M785" t="n">
        <x:v>17</x:v>
      </x:c>
      <x:c r="N785" s="24" t="n">
        <x:v>0.05</x:v>
      </x:c>
      <x:c r="O785" s="22" t="n">
        <x:f>L785*M785</x:f>
        <x:v>10370</x:v>
      </x:c>
      <x:c r="P785" s="22" t="n">
        <x:f>O785*(1-N785)</x:f>
        <x:v>9851.5</x:v>
      </x:c>
      <x:c r="Q785" s="22" t="n">
        <x:v>540</x:v>
      </x:c>
      <x:c r="R785" s="22" t="n">
        <x:f>Q785*M785</x:f>
        <x:v>9180</x:v>
      </x:c>
      <x:c r="S785" s="22" t="n">
        <x:f>P785-R785</x:f>
        <x:v>671.5</x:v>
      </x:c>
      <x:c r="T785" t="str">
        <x:v>Credit</x:v>
      </x:c>
      <x:c r="U785" t="str">
        <x:v>Pending</x:v>
      </x:c>
      <x:c r="V785" t="str">
        <x:v>Delivered</x:v>
      </x:c>
      <x:c r="W785" t="n">
        <x:v>0</x:v>
      </x:c>
      <x:c r="X785" t="str"/>
      <x:c r="Y785" t="str">
        <x:v>Outbound Call</x:v>
      </x:c>
    </x:row>
    <x:row r="786">
      <x:c r="A786" t="str">
        <x:v>O000785</x:v>
      </x:c>
      <x:c r="B786" s="20" t="n">
        <x:v>45882</x:v>
      </x:c>
      <x:c r="C786" t="str">
        <x:v>C0003</x:v>
      </x:c>
      <x:c r="D786" t="str">
        <x:v>Grand Foods 3</x:v>
      </x:c>
      <x:c r="E786" t="str">
        <x:v>Restaurant</x:v>
      </x:c>
      <x:c r="F786" t="str">
        <x:v>Bengaluru</x:v>
      </x:c>
      <x:c r="G786" t="str">
        <x:v>Vikram</x:v>
      </x:c>
      <x:c r="H786" t="str">
        <x:v>P023</x:v>
      </x:c>
      <x:c r="I786" t="str">
        <x:v>Cola 750ml</x:v>
      </x:c>
      <x:c r="J786" t="str">
        <x:v>Beverage</x:v>
      </x:c>
      <x:c r="K786" t="str">
        <x:v>Coca-Cola</x:v>
      </x:c>
      <x:c r="L786" s="22" t="n">
        <x:v>38</x:v>
      </x:c>
      <x:c r="M786" t="n">
        <x:v>18</x:v>
      </x:c>
      <x:c r="N786" s="24" t="n">
        <x:v>0</x:v>
      </x:c>
      <x:c r="O786" s="22" t="n">
        <x:f>L786*M786</x:f>
        <x:v>684</x:v>
      </x:c>
      <x:c r="P786" s="22" t="n">
        <x:f>O786*(1-N786)</x:f>
        <x:v>684</x:v>
      </x:c>
      <x:c r="Q786" s="22" t="n">
        <x:v>31</x:v>
      </x:c>
      <x:c r="R786" s="22" t="n">
        <x:f>Q786*M786</x:f>
        <x:v>558</x:v>
      </x:c>
      <x:c r="S786" s="22" t="n">
        <x:f>P786-R786</x:f>
        <x:v>126</x:v>
      </x:c>
      <x:c r="T786" t="str">
        <x:v>UPI</x:v>
      </x:c>
      <x:c r="U786" t="str">
        <x:v>Paid</x:v>
      </x:c>
      <x:c r="V786" t="str">
        <x:v>Delayed</x:v>
      </x:c>
      <x:c r="W786" t="n">
        <x:v>0</x:v>
      </x:c>
      <x:c r="X786" t="str"/>
      <x:c r="Y786" t="str">
        <x:v>Outbound Call</x:v>
      </x:c>
    </x:row>
    <x:row r="787">
      <x:c r="A787" t="str">
        <x:v>O000786</x:v>
      </x:c>
      <x:c r="B787" s="20" t="n">
        <x:v>45921</x:v>
      </x:c>
      <x:c r="C787" t="str">
        <x:v>C0177</x:v>
      </x:c>
      <x:c r="D787" t="str">
        <x:v>Classic Cafe 177</x:v>
      </x:c>
      <x:c r="E787" t="str">
        <x:v>Supermarket</x:v>
      </x:c>
      <x:c r="F787" t="str">
        <x:v>Bengaluru</x:v>
      </x:c>
      <x:c r="G787" t="str">
        <x:v>Arjun</x:v>
      </x:c>
      <x:c r="H787" t="str">
        <x:v>P025</x:v>
      </x:c>
      <x:c r="I787" t="str">
        <x:v>Potato Chips 100g</x:v>
      </x:c>
      <x:c r="J787" t="str">
        <x:v>Snacks</x:v>
      </x:c>
      <x:c r="K787" t="str">
        <x:v>Lay's</x:v>
      </x:c>
      <x:c r="L787" s="22" t="n">
        <x:v>35</x:v>
      </x:c>
      <x:c r="M787" t="n">
        <x:v>39</x:v>
      </x:c>
      <x:c r="N787" s="24" t="n">
        <x:v>0.03</x:v>
      </x:c>
      <x:c r="O787" s="22" t="n">
        <x:f>L787*M787</x:f>
        <x:v>1365</x:v>
      </x:c>
      <x:c r="P787" s="22" t="n">
        <x:f>O787*(1-N787)</x:f>
        <x:v>1324.05</x:v>
      </x:c>
      <x:c r="Q787" s="22" t="n">
        <x:v>27</x:v>
      </x:c>
      <x:c r="R787" s="22" t="n">
        <x:f>Q787*M787</x:f>
        <x:v>1053</x:v>
      </x:c>
      <x:c r="S787" s="22" t="n">
        <x:f>P787-R787</x:f>
        <x:v>271.04999999999995</x:v>
      </x:c>
      <x:c r="T787" t="str">
        <x:v>Credit</x:v>
      </x:c>
      <x:c r="U787" t="str">
        <x:v>Paid</x:v>
      </x:c>
      <x:c r="V787" t="str">
        <x:v>Delivered</x:v>
      </x:c>
      <x:c r="W787" t="n">
        <x:v>0</x:v>
      </x:c>
      <x:c r="X787" t="str"/>
      <x:c r="Y787" t="str">
        <x:v>WhatsApp</x:v>
      </x:c>
    </x:row>
    <x:row r="788">
      <x:c r="A788" t="str">
        <x:v>O000787</x:v>
      </x:c>
      <x:c r="B788" s="20" t="n">
        <x:v>46102</x:v>
      </x:c>
      <x:c r="C788" t="str">
        <x:v>C0060</x:v>
      </x:c>
      <x:c r="D788" t="str">
        <x:v>Sagar Stores 60</x:v>
      </x:c>
      <x:c r="E788" t="str">
        <x:v>Cafe</x:v>
      </x:c>
      <x:c r="F788" t="str">
        <x:v>Hubballi</x:v>
      </x:c>
      <x:c r="G788" t="str">
        <x:v>Imran</x:v>
      </x:c>
      <x:c r="H788" t="str">
        <x:v>P047</x:v>
      </x:c>
      <x:c r="I788" t="str">
        <x:v>Tomato 25kg</x:v>
      </x:c>
      <x:c r="J788" t="str">
        <x:v>Fresh Produce</x:v>
      </x:c>
      <x:c r="K788" t="str">
        <x:v>Local Market</x:v>
      </x:c>
      <x:c r="L788" s="22" t="n">
        <x:v>950</x:v>
      </x:c>
      <x:c r="M788" t="n">
        <x:v>24</x:v>
      </x:c>
      <x:c r="N788" s="24" t="n">
        <x:v>0</x:v>
      </x:c>
      <x:c r="O788" s="22" t="n">
        <x:f>L788*M788</x:f>
        <x:v>22800</x:v>
      </x:c>
      <x:c r="P788" s="22" t="n">
        <x:f>O788*(1-N788)</x:f>
        <x:v>22800</x:v>
      </x:c>
      <x:c r="Q788" s="22" t="n">
        <x:v>810</x:v>
      </x:c>
      <x:c r="R788" s="22" t="n">
        <x:f>Q788*M788</x:f>
        <x:v>19440</x:v>
      </x:c>
      <x:c r="S788" s="22" t="n">
        <x:f>P788-R788</x:f>
        <x:v>3360</x:v>
      </x:c>
      <x:c r="T788" t="str">
        <x:v>Credit</x:v>
      </x:c>
      <x:c r="U788" t="str">
        <x:v>Paid</x:v>
      </x:c>
      <x:c r="V788" t="str">
        <x:v>Delivered</x:v>
      </x:c>
      <x:c r="W788" t="n">
        <x:v>0</x:v>
      </x:c>
      <x:c r="X788" t="str"/>
      <x:c r="Y788" t="str">
        <x:v>Referral</x:v>
      </x:c>
    </x:row>
    <x:row r="789">
      <x:c r="A789" t="str">
        <x:v>O000788</x:v>
      </x:c>
      <x:c r="B789" s="20" t="n">
        <x:v>45842</x:v>
      </x:c>
      <x:c r="C789" t="str">
        <x:v>C0126</x:v>
      </x:c>
      <x:c r="D789" t="str">
        <x:v>Mysore Hotel 126</x:v>
      </x:c>
      <x:c r="E789" t="str">
        <x:v>Restaurant</x:v>
      </x:c>
      <x:c r="F789" t="str">
        <x:v>Mangaluru</x:v>
      </x:c>
      <x:c r="G789" t="str">
        <x:v>Vikram</x:v>
      </x:c>
      <x:c r="H789" t="str">
        <x:v>P047</x:v>
      </x:c>
      <x:c r="I789" t="str">
        <x:v>Tomato 25kg</x:v>
      </x:c>
      <x:c r="J789" t="str">
        <x:v>Fresh Produce</x:v>
      </x:c>
      <x:c r="K789" t="str">
        <x:v>Local Market</x:v>
      </x:c>
      <x:c r="L789" s="22" t="n">
        <x:v>950</x:v>
      </x:c>
      <x:c r="M789" t="n">
        <x:v>19</x:v>
      </x:c>
      <x:c r="N789" s="24" t="n">
        <x:v>0</x:v>
      </x:c>
      <x:c r="O789" s="22" t="n">
        <x:f>L789*M789</x:f>
        <x:v>18050</x:v>
      </x:c>
      <x:c r="P789" s="22" t="n">
        <x:f>O789*(1-N789)</x:f>
        <x:v>18050</x:v>
      </x:c>
      <x:c r="Q789" s="22" t="n">
        <x:v>810</x:v>
      </x:c>
      <x:c r="R789" s="22" t="n">
        <x:f>Q789*M789</x:f>
        <x:v>15390</x:v>
      </x:c>
      <x:c r="S789" s="22" t="n">
        <x:f>P789-R789</x:f>
        <x:v>2660</x:v>
      </x:c>
      <x:c r="T789" t="str">
        <x:v>Bank Transfer</x:v>
      </x:c>
      <x:c r="U789" t="str">
        <x:v>Pending</x:v>
      </x:c>
      <x:c r="V789" t="str">
        <x:v>Delivered</x:v>
      </x:c>
      <x:c r="W789" t="n">
        <x:v>0</x:v>
      </x:c>
      <x:c r="X789" t="str"/>
      <x:c r="Y789" t="str">
        <x:v>Referral</x:v>
      </x:c>
    </x:row>
    <x:row r="790">
      <x:c r="A790" t="str">
        <x:v>O000789</x:v>
      </x:c>
      <x:c r="B790" s="20" t="n">
        <x:v>45909</x:v>
      </x:c>
      <x:c r="C790" t="str">
        <x:v>C0019</x:v>
      </x:c>
      <x:c r="D790" t="str">
        <x:v>Grand Kitchen 19</x:v>
      </x:c>
      <x:c r="E790" t="str">
        <x:v>Supermarket</x:v>
      </x:c>
      <x:c r="F790" t="str">
        <x:v>Tumakuru</x:v>
      </x:c>
      <x:c r="G790" t="str">
        <x:v>Sneha</x:v>
      </x:c>
      <x:c r="H790" t="str">
        <x:v>P028</x:v>
      </x:c>
      <x:c r="I790" t="str">
        <x:v>Cookies 200g</x:v>
      </x:c>
      <x:c r="J790" t="str">
        <x:v>Snacks</x:v>
      </x:c>
      <x:c r="K790" t="str">
        <x:v>Britannia</x:v>
      </x:c>
      <x:c r="L790" s="22" t="n">
        <x:v>55</x:v>
      </x:c>
      <x:c r="M790" t="n">
        <x:v>30</x:v>
      </x:c>
      <x:c r="N790" s="24" t="n">
        <x:v>0.08</x:v>
      </x:c>
      <x:c r="O790" s="22" t="n">
        <x:f>L790*M790</x:f>
        <x:v>1650</x:v>
      </x:c>
      <x:c r="P790" s="22" t="n">
        <x:f>O790*(1-N790)</x:f>
        <x:v>1518</x:v>
      </x:c>
      <x:c r="Q790" s="22" t="n">
        <x:v>42</x:v>
      </x:c>
      <x:c r="R790" s="22" t="n">
        <x:f>Q790*M790</x:f>
        <x:v>1260</x:v>
      </x:c>
      <x:c r="S790" s="22" t="n">
        <x:f>P790-R790</x:f>
        <x:v>258</x:v>
      </x:c>
      <x:c r="T790" t="str">
        <x:v>Credit</x:v>
      </x:c>
      <x:c r="U790" t="str">
        <x:v>Paid</x:v>
      </x:c>
      <x:c r="V790" t="str">
        <x:v>Delayed</x:v>
      </x:c>
      <x:c r="W790" t="n">
        <x:v>0</x:v>
      </x:c>
      <x:c r="X790" t="str"/>
      <x:c r="Y790" t="str">
        <x:v>Referral</x:v>
      </x:c>
    </x:row>
    <x:row r="791">
      <x:c r="A791" t="str">
        <x:v>O000790</x:v>
      </x:c>
      <x:c r="B791" s="20" t="n">
        <x:v>46275</x:v>
      </x:c>
      <x:c r="C791" t="str">
        <x:v>C0207</x:v>
      </x:c>
      <x:c r="D791" t="str">
        <x:v>Hotel Stores 207</x:v>
      </x:c>
      <x:c r="E791" t="str">
        <x:v>Restaurant</x:v>
      </x:c>
      <x:c r="F791" t="str">
        <x:v>Hubballi</x:v>
      </x:c>
      <x:c r="G791" t="str">
        <x:v>Ramesh</x:v>
      </x:c>
      <x:c r="H791" t="str">
        <x:v>P001</x:v>
      </x:c>
      <x:c r="I791" t="str">
        <x:v>Steam Rice 25kg</x:v>
      </x:c>
      <x:c r="J791" t="str">
        <x:v>Staples</x:v>
      </x:c>
      <x:c r="K791" t="str">
        <x:v>Aishwarya</x:v>
      </x:c>
      <x:c r="L791" s="22" t="n">
        <x:v>1180</x:v>
      </x:c>
      <x:c r="M791" t="n">
        <x:v>7</x:v>
      </x:c>
      <x:c r="N791" s="24" t="n">
        <x:v>0.02</x:v>
      </x:c>
      <x:c r="O791" s="22" t="n">
        <x:f>L791*M791</x:f>
        <x:v>8260</x:v>
      </x:c>
      <x:c r="P791" s="22" t="n">
        <x:f>O791*(1-N791)</x:f>
        <x:v>8094.8</x:v>
      </x:c>
      <x:c r="Q791" s="22" t="n">
        <x:v>1040</x:v>
      </x:c>
      <x:c r="R791" s="22" t="n">
        <x:f>Q791*M791</x:f>
        <x:v>7280</x:v>
      </x:c>
      <x:c r="S791" s="22" t="n">
        <x:f>P791-R791</x:f>
        <x:v>814.8000000000002</x:v>
      </x:c>
      <x:c r="T791" t="str">
        <x:v>UPI</x:v>
      </x:c>
      <x:c r="U791" t="str">
        <x:v>Pending</x:v>
      </x:c>
      <x:c r="V791" t="str">
        <x:v>Cancelled</x:v>
      </x:c>
      <x:c r="W791" t="n">
        <x:v>7</x:v>
      </x:c>
      <x:c r="X791" t="str">
        <x:v>Cancelled Order</x:v>
      </x:c>
      <x:c r="Y791" t="str">
        <x:v>Outbound Call</x:v>
      </x:c>
    </x:row>
    <x:row r="792">
      <x:c r="A792" t="str">
        <x:v>O000791</x:v>
      </x:c>
      <x:c r="B792" s="20" t="n">
        <x:v>45932</x:v>
      </x:c>
      <x:c r="C792" t="str">
        <x:v>C0198</x:v>
      </x:c>
      <x:c r="D792" t="str">
        <x:v>Royal Canteen 198</x:v>
      </x:c>
      <x:c r="E792" t="str">
        <x:v>Supermarket</x:v>
      </x:c>
      <x:c r="F792" t="str">
        <x:v>Davanagere</x:v>
      </x:c>
      <x:c r="G792" t="str">
        <x:v>Arjun</x:v>
      </x:c>
      <x:c r="H792" t="str">
        <x:v>P006</x:v>
      </x:c>
      <x:c r="I792" t="str">
        <x:v>Moong Dal 5kg</x:v>
      </x:c>
      <x:c r="J792" t="str">
        <x:v>Pulses</x:v>
      </x:c>
      <x:c r="K792" t="str">
        <x:v>Local Select</x:v>
      </x:c>
      <x:c r="L792" s="22" t="n">
        <x:v>610</x:v>
      </x:c>
      <x:c r="M792" t="n">
        <x:v>10</x:v>
      </x:c>
      <x:c r="N792" s="24" t="n">
        <x:v>0.08</x:v>
      </x:c>
      <x:c r="O792" s="22" t="n">
        <x:f>L792*M792</x:f>
        <x:v>6100</x:v>
      </x:c>
      <x:c r="P792" s="22" t="n">
        <x:f>O792*(1-N792)</x:f>
        <x:v>5612</x:v>
      </x:c>
      <x:c r="Q792" s="22" t="n">
        <x:v>540</x:v>
      </x:c>
      <x:c r="R792" s="22" t="n">
        <x:f>Q792*M792</x:f>
        <x:v>5400</x:v>
      </x:c>
      <x:c r="S792" s="22" t="n">
        <x:f>P792-R792</x:f>
        <x:v>212</x:v>
      </x:c>
      <x:c r="T792" t="str">
        <x:v>UPI</x:v>
      </x:c>
      <x:c r="U792" t="str">
        <x:v>Pending</x:v>
      </x:c>
      <x:c r="V792" t="str">
        <x:v>Delivered</x:v>
      </x:c>
      <x:c r="W792" t="n">
        <x:v>0</x:v>
      </x:c>
      <x:c r="X792" t="str"/>
      <x:c r="Y792" t="str">
        <x:v>Outbound Call</x:v>
      </x:c>
    </x:row>
    <x:row r="793">
      <x:c r="A793" t="str">
        <x:v>O000792</x:v>
      </x:c>
      <x:c r="B793" s="20" t="n">
        <x:v>45745</x:v>
      </x:c>
      <x:c r="C793" t="str">
        <x:v>C0210</x:v>
      </x:c>
      <x:c r="D793" t="str">
        <x:v>Spice Stores 210</x:v>
      </x:c>
      <x:c r="E793" t="str">
        <x:v>Cafe</x:v>
      </x:c>
      <x:c r="F793" t="str">
        <x:v>Davanagere</x:v>
      </x:c>
      <x:c r="G793" t="str">
        <x:v>Imran</x:v>
      </x:c>
      <x:c r="H793" t="str">
        <x:v>P022</x:v>
      </x:c>
      <x:c r="I793" t="str">
        <x:v>Mineral Water 1L</x:v>
      </x:c>
      <x:c r="J793" t="str">
        <x:v>Beverage</x:v>
      </x:c>
      <x:c r="K793" t="str">
        <x:v>Bisleri</x:v>
      </x:c>
      <x:c r="L793" s="22" t="n">
        <x:v>19</x:v>
      </x:c>
      <x:c r="M793" t="n">
        <x:v>13</x:v>
      </x:c>
      <x:c r="N793" s="24" t="n">
        <x:v>0</x:v>
      </x:c>
      <x:c r="O793" s="22" t="n">
        <x:f>L793*M793</x:f>
        <x:v>247</x:v>
      </x:c>
      <x:c r="P793" s="22" t="n">
        <x:f>O793*(1-N793)</x:f>
        <x:v>247</x:v>
      </x:c>
      <x:c r="Q793" s="22" t="n">
        <x:v>15</x:v>
      </x:c>
      <x:c r="R793" s="22" t="n">
        <x:f>Q793*M793</x:f>
        <x:v>195</x:v>
      </x:c>
      <x:c r="S793" s="22" t="n">
        <x:f>P793-R793</x:f>
        <x:v>52</x:v>
      </x:c>
      <x:c r="T793" t="str">
        <x:v>Credit</x:v>
      </x:c>
      <x:c r="U793" t="str">
        <x:v>Pending</x:v>
      </x:c>
      <x:c r="V793" t="str">
        <x:v>Delivered</x:v>
      </x:c>
      <x:c r="W793" t="n">
        <x:v>0</x:v>
      </x:c>
      <x:c r="X793" t="str"/>
      <x:c r="Y793" t="str">
        <x:v>Referral</x:v>
      </x:c>
    </x:row>
    <x:row r="794">
      <x:c r="A794" t="str">
        <x:v>O000793</x:v>
      </x:c>
      <x:c r="B794" s="20" t="n">
        <x:v>45931</x:v>
      </x:c>
      <x:c r="C794" t="str">
        <x:v>C0140</x:v>
      </x:c>
      <x:c r="D794" t="str">
        <x:v>Fresh Hotel 140</x:v>
      </x:c>
      <x:c r="E794" t="str">
        <x:v>Kirana</x:v>
      </x:c>
      <x:c r="F794" t="str">
        <x:v>Tumakuru</x:v>
      </x:c>
      <x:c r="G794" t="str">
        <x:v>Imran</x:v>
      </x:c>
      <x:c r="H794" t="str">
        <x:v>P045</x:v>
      </x:c>
      <x:c r="I794" t="str">
        <x:v>Onion 25kg</x:v>
      </x:c>
      <x:c r="J794" t="str">
        <x:v>Fresh Produce</x:v>
      </x:c>
      <x:c r="K794" t="str">
        <x:v>Local Market</x:v>
      </x:c>
      <x:c r="L794" s="22" t="n">
        <x:v>875</x:v>
      </x:c>
      <x:c r="M794" t="n">
        <x:v>35</x:v>
      </x:c>
      <x:c r="N794" s="24" t="n">
        <x:v>0</x:v>
      </x:c>
      <x:c r="O794" s="22" t="n">
        <x:f>L794*M794</x:f>
        <x:v>30625</x:v>
      </x:c>
      <x:c r="P794" s="22" t="n">
        <x:f>O794*(1-N794)</x:f>
        <x:v>30625</x:v>
      </x:c>
      <x:c r="Q794" s="22" t="n">
        <x:v>760</x:v>
      </x:c>
      <x:c r="R794" s="22" t="n">
        <x:f>Q794*M794</x:f>
        <x:v>26600</x:v>
      </x:c>
      <x:c r="S794" s="22" t="n">
        <x:f>P794-R794</x:f>
        <x:v>4025</x:v>
      </x:c>
      <x:c r="T794" t="str">
        <x:v>UPI</x:v>
      </x:c>
      <x:c r="U794" t="str">
        <x:v>Paid</x:v>
      </x:c>
      <x:c r="V794" t="str">
        <x:v>Delivered</x:v>
      </x:c>
      <x:c r="W794" t="n">
        <x:v>0</x:v>
      </x:c>
      <x:c r="X794" t="str"/>
      <x:c r="Y794" t="str">
        <x:v>WhatsApp</x:v>
      </x:c>
    </x:row>
    <x:row r="795">
      <x:c r="A795" t="str">
        <x:v>O000794</x:v>
      </x:c>
      <x:c r="B795" s="20" t="n">
        <x:v>45682</x:v>
      </x:c>
      <x:c r="C795" t="str">
        <x:v>C0234</x:v>
      </x:c>
      <x:c r="D795" t="str">
        <x:v>Metro Canteen 234</x:v>
      </x:c>
      <x:c r="E795" t="str">
        <x:v>Restaurant</x:v>
      </x:c>
      <x:c r="F795" t="str">
        <x:v>Davanagere</x:v>
      </x:c>
      <x:c r="G795" t="str">
        <x:v>Priya</x:v>
      </x:c>
      <x:c r="H795" t="str">
        <x:v>P015</x:v>
      </x:c>
      <x:c r="I795" t="str">
        <x:v>Milk 1L</x:v>
      </x:c>
      <x:c r="J795" t="str">
        <x:v>Dairy</x:v>
      </x:c>
      <x:c r="K795" t="str">
        <x:v>Nandini</x:v>
      </x:c>
      <x:c r="L795" s="22" t="n">
        <x:v>48</x:v>
      </x:c>
      <x:c r="M795" t="n">
        <x:v>15</x:v>
      </x:c>
      <x:c r="N795" s="24" t="n">
        <x:v>0.03</x:v>
      </x:c>
      <x:c r="O795" s="22" t="n">
        <x:f>L795*M795</x:f>
        <x:v>720</x:v>
      </x:c>
      <x:c r="P795" s="22" t="n">
        <x:f>O795*(1-N795)</x:f>
        <x:v>698.4</x:v>
      </x:c>
      <x:c r="Q795" s="22" t="n">
        <x:v>43</x:v>
      </x:c>
      <x:c r="R795" s="22" t="n">
        <x:f>Q795*M795</x:f>
        <x:v>645</x:v>
      </x:c>
      <x:c r="S795" s="22" t="n">
        <x:f>P795-R795</x:f>
        <x:v>53.39999999999998</x:v>
      </x:c>
      <x:c r="T795" t="str">
        <x:v>Bank Transfer</x:v>
      </x:c>
      <x:c r="U795" t="str">
        <x:v>Paid</x:v>
      </x:c>
      <x:c r="V795" t="str">
        <x:v>Delivered</x:v>
      </x:c>
      <x:c r="W795" t="n">
        <x:v>0</x:v>
      </x:c>
      <x:c r="X795" t="str"/>
      <x:c r="Y795" t="str">
        <x:v>WhatsApp</x:v>
      </x:c>
    </x:row>
    <x:row r="796">
      <x:c r="A796" t="str">
        <x:v>O000795</x:v>
      </x:c>
      <x:c r="B796" s="20" t="n">
        <x:v>46161</x:v>
      </x:c>
      <x:c r="C796" t="str">
        <x:v>C0184</x:v>
      </x:c>
      <x:c r="D796" t="str">
        <x:v>Namma Restaurant 184</x:v>
      </x:c>
      <x:c r="E796" t="str">
        <x:v>Cafe</x:v>
      </x:c>
      <x:c r="F796" t="str">
        <x:v>Hubballi</x:v>
      </x:c>
      <x:c r="G796" t="str">
        <x:v>Arjun</x:v>
      </x:c>
      <x:c r="H796" t="str">
        <x:v>P008</x:v>
      </x:c>
      <x:c r="I796" t="str">
        <x:v>Palm Oil 15L</x:v>
      </x:c>
      <x:c r="J796" t="str">
        <x:v>Edible Oil</x:v>
      </x:c>
      <x:c r="K796" t="str">
        <x:v>Ruchi Gold</x:v>
      </x:c>
      <x:c r="L796" s="22" t="n">
        <x:v>1760</x:v>
      </x:c>
      <x:c r="M796" t="n">
        <x:v>2</x:v>
      </x:c>
      <x:c r="N796" s="24" t="n">
        <x:v>0</x:v>
      </x:c>
      <x:c r="O796" s="22" t="n">
        <x:f>L796*M796</x:f>
        <x:v>3520</x:v>
      </x:c>
      <x:c r="P796" s="22" t="n">
        <x:f>O796*(1-N796)</x:f>
        <x:v>3520</x:v>
      </x:c>
      <x:c r="Q796" s="22" t="n">
        <x:v>1610</x:v>
      </x:c>
      <x:c r="R796" s="22" t="n">
        <x:f>Q796*M796</x:f>
        <x:v>3220</x:v>
      </x:c>
      <x:c r="S796" s="22" t="n">
        <x:f>P796-R796</x:f>
        <x:v>300</x:v>
      </x:c>
      <x:c r="T796" t="str">
        <x:v>Cash</x:v>
      </x:c>
      <x:c r="U796" t="str">
        <x:v>Paid</x:v>
      </x:c>
      <x:c r="V796" t="str">
        <x:v>Delayed</x:v>
      </x:c>
      <x:c r="W796" t="n">
        <x:v>0</x:v>
      </x:c>
      <x:c r="X796" t="str"/>
      <x:c r="Y796" t="str">
        <x:v>Field Visit</x:v>
      </x:c>
    </x:row>
    <x:row r="797">
      <x:c r="A797" t="str">
        <x:v>O000796</x:v>
      </x:c>
      <x:c r="B797" s="20" t="n">
        <x:v>45702</x:v>
      </x:c>
      <x:c r="C797" t="str">
        <x:v>C0237</x:v>
      </x:c>
      <x:c r="D797" t="str">
        <x:v>Mysore Restaurant 237</x:v>
      </x:c>
      <x:c r="E797" t="str">
        <x:v>Restaurant</x:v>
      </x:c>
      <x:c r="F797" t="str">
        <x:v>Bengaluru</x:v>
      </x:c>
      <x:c r="G797" t="str">
        <x:v>Sneha</x:v>
      </x:c>
      <x:c r="H797" t="str">
        <x:v>P006</x:v>
      </x:c>
      <x:c r="I797" t="str">
        <x:v>Moong Dal 5kg</x:v>
      </x:c>
      <x:c r="J797" t="str">
        <x:v>Pulses</x:v>
      </x:c>
      <x:c r="K797" t="str">
        <x:v>Local Select</x:v>
      </x:c>
      <x:c r="L797" s="22" t="n">
        <x:v>610</x:v>
      </x:c>
      <x:c r="M797" t="n">
        <x:v>39</x:v>
      </x:c>
      <x:c r="N797" s="24" t="n">
        <x:v>0</x:v>
      </x:c>
      <x:c r="O797" s="22" t="n">
        <x:f>L797*M797</x:f>
        <x:v>23790</x:v>
      </x:c>
      <x:c r="P797" s="22" t="n">
        <x:f>O797*(1-N797)</x:f>
        <x:v>23790</x:v>
      </x:c>
      <x:c r="Q797" s="22" t="n">
        <x:v>540</x:v>
      </x:c>
      <x:c r="R797" s="22" t="n">
        <x:f>Q797*M797</x:f>
        <x:v>21060</x:v>
      </x:c>
      <x:c r="S797" s="22" t="n">
        <x:f>P797-R797</x:f>
        <x:v>2730</x:v>
      </x:c>
      <x:c r="T797" t="str">
        <x:v>Credit</x:v>
      </x:c>
      <x:c r="U797" t="str">
        <x:v>Paid</x:v>
      </x:c>
      <x:c r="V797" t="str">
        <x:v>Delayed</x:v>
      </x:c>
      <x:c r="W797" t="n">
        <x:v>0</x:v>
      </x:c>
      <x:c r="X797" t="str"/>
      <x:c r="Y797" t="str">
        <x:v>Referral</x:v>
      </x:c>
    </x:row>
    <x:row r="798">
      <x:c r="A798" t="str">
        <x:v>O000797</x:v>
      </x:c>
      <x:c r="B798" s="20" t="n">
        <x:v>45966</x:v>
      </x:c>
      <x:c r="C798" t="str">
        <x:v>C0039</x:v>
      </x:c>
      <x:c r="D798" t="str">
        <x:v>Sagar Cafe 39</x:v>
      </x:c>
      <x:c r="E798" t="str">
        <x:v>Restaurant</x:v>
      </x:c>
      <x:c r="F798" t="str">
        <x:v>Hubballi</x:v>
      </x:c>
      <x:c r="G798" t="str">
        <x:v>Imran</x:v>
      </x:c>
      <x:c r="H798" t="str">
        <x:v>P043</x:v>
      </x:c>
      <x:c r="I798" t="str">
        <x:v>Chicken Breast 1kg</x:v>
      </x:c>
      <x:c r="J798" t="str">
        <x:v>Protein</x:v>
      </x:c>
      <x:c r="K798" t="str">
        <x:v>FreshToHome</x:v>
      </x:c>
      <x:c r="L798" s="22" t="n">
        <x:v>260</x:v>
      </x:c>
      <x:c r="M798" t="n">
        <x:v>40</x:v>
      </x:c>
      <x:c r="N798" s="24" t="n">
        <x:v>0.05</x:v>
      </x:c>
      <x:c r="O798" s="22" t="n">
        <x:f>L798*M798</x:f>
        <x:v>10400</x:v>
      </x:c>
      <x:c r="P798" s="22" t="n">
        <x:f>O798*(1-N798)</x:f>
        <x:v>9880</x:v>
      </x:c>
      <x:c r="Q798" s="22" t="n">
        <x:v>235</x:v>
      </x:c>
      <x:c r="R798" s="22" t="n">
        <x:f>Q798*M798</x:f>
        <x:v>9400</x:v>
      </x:c>
      <x:c r="S798" s="22" t="n">
        <x:f>P798-R798</x:f>
        <x:v>480</x:v>
      </x:c>
      <x:c r="T798" t="str">
        <x:v>Cash</x:v>
      </x:c>
      <x:c r="U798" t="str">
        <x:v>Pending</x:v>
      </x:c>
      <x:c r="V798" t="str">
        <x:v>Delivered</x:v>
      </x:c>
      <x:c r="W798" t="n">
        <x:v>0</x:v>
      </x:c>
      <x:c r="X798" t="str"/>
      <x:c r="Y798" t="str">
        <x:v>Field Visit</x:v>
      </x:c>
    </x:row>
    <x:row r="799">
      <x:c r="A799" t="str">
        <x:v>O000798</x:v>
      </x:c>
      <x:c r="B799" s="20" t="n">
        <x:v>45736</x:v>
      </x:c>
      <x:c r="C799" t="str">
        <x:v>C0208</x:v>
      </x:c>
      <x:c r="D799" t="str">
        <x:v>Green Foods 208</x:v>
      </x:c>
      <x:c r="E799" t="str">
        <x:v>Hotel</x:v>
      </x:c>
      <x:c r="F799" t="str">
        <x:v>Mysuru</x:v>
      </x:c>
      <x:c r="G799" t="str">
        <x:v>Ramesh</x:v>
      </x:c>
      <x:c r="H799" t="str">
        <x:v>P046</x:v>
      </x:c>
      <x:c r="I799" t="str">
        <x:v>Potato 25kg</x:v>
      </x:c>
      <x:c r="J799" t="str">
        <x:v>Fresh Produce</x:v>
      </x:c>
      <x:c r="K799" t="str">
        <x:v>Local Market</x:v>
      </x:c>
      <x:c r="L799" s="22" t="n">
        <x:v>700</x:v>
      </x:c>
      <x:c r="M799" t="n">
        <x:v>1</x:v>
      </x:c>
      <x:c r="N799" s="24" t="n">
        <x:v>0.08</x:v>
      </x:c>
      <x:c r="O799" s="22" t="n">
        <x:f>L799*M799</x:f>
        <x:v>700</x:v>
      </x:c>
      <x:c r="P799" s="22" t="n">
        <x:f>O799*(1-N799)</x:f>
        <x:v>644</x:v>
      </x:c>
      <x:c r="Q799" s="22" t="n">
        <x:v>610</x:v>
      </x:c>
      <x:c r="R799" s="22" t="n">
        <x:f>Q799*M799</x:f>
        <x:v>610</x:v>
      </x:c>
      <x:c r="S799" s="22" t="n">
        <x:f>P799-R799</x:f>
        <x:v>34</x:v>
      </x:c>
      <x:c r="T799" t="str">
        <x:v>Bank Transfer</x:v>
      </x:c>
      <x:c r="U799" t="str">
        <x:v>Pending</x:v>
      </x:c>
      <x:c r="V799" t="str">
        <x:v>Delivered</x:v>
      </x:c>
      <x:c r="W799" t="n">
        <x:v>0</x:v>
      </x:c>
      <x:c r="X799" t="str"/>
      <x:c r="Y799" t="str">
        <x:v>WhatsApp</x:v>
      </x:c>
    </x:row>
    <x:row r="800">
      <x:c r="A800" t="str">
        <x:v>O000799</x:v>
      </x:c>
      <x:c r="B800" s="20" t="n">
        <x:v>45726</x:v>
      </x:c>
      <x:c r="C800" t="str">
        <x:v>C0204</x:v>
      </x:c>
      <x:c r="D800" t="str">
        <x:v>Udupi Stores 204</x:v>
      </x:c>
      <x:c r="E800" t="str">
        <x:v>Kirana</x:v>
      </x:c>
      <x:c r="F800" t="str">
        <x:v>Bengaluru</x:v>
      </x:c>
      <x:c r="G800" t="str">
        <x:v>Vikram</x:v>
      </x:c>
      <x:c r="H800" t="str">
        <x:v>P031</x:v>
      </x:c>
      <x:c r="I800" t="str">
        <x:v>Chilli Sauce 700g</x:v>
      </x:c>
      <x:c r="J800" t="str">
        <x:v>Condiments</x:v>
      </x:c>
      <x:c r="K800" t="str">
        <x:v>Ching's</x:v>
      </x:c>
      <x:c r="L800" s="22" t="n">
        <x:v>130</x:v>
      </x:c>
      <x:c r="M800" t="n">
        <x:v>8</x:v>
      </x:c>
      <x:c r="N800" s="24" t="n">
        <x:v>0.03</x:v>
      </x:c>
      <x:c r="O800" s="22" t="n">
        <x:f>L800*M800</x:f>
        <x:v>1040</x:v>
      </x:c>
      <x:c r="P800" s="22" t="n">
        <x:f>O800*(1-N800)</x:f>
        <x:v>1008.8</x:v>
      </x:c>
      <x:c r="Q800" s="22" t="n">
        <x:v>112</x:v>
      </x:c>
      <x:c r="R800" s="22" t="n">
        <x:f>Q800*M800</x:f>
        <x:v>896</x:v>
      </x:c>
      <x:c r="S800" s="22" t="n">
        <x:f>P800-R800</x:f>
        <x:v>112.79999999999995</x:v>
      </x:c>
      <x:c r="T800" t="str">
        <x:v>Cash</x:v>
      </x:c>
      <x:c r="U800" t="str">
        <x:v>Paid</x:v>
      </x:c>
      <x:c r="V800" t="str">
        <x:v>Delivered</x:v>
      </x:c>
      <x:c r="W800" t="n">
        <x:v>0</x:v>
      </x:c>
      <x:c r="X800" t="str"/>
      <x:c r="Y800" t="str">
        <x:v>Referral</x:v>
      </x:c>
    </x:row>
    <x:row r="801">
      <x:c r="A801" t="str">
        <x:v>O000800</x:v>
      </x:c>
      <x:c r="B801" s="20" t="n">
        <x:v>46164</x:v>
      </x:c>
      <x:c r="C801" t="str">
        <x:v>C0091</x:v>
      </x:c>
      <x:c r="D801" t="str">
        <x:v>Classic Mart 91</x:v>
      </x:c>
      <x:c r="E801" t="str">
        <x:v>Cafe</x:v>
      </x:c>
      <x:c r="F801" t="str">
        <x:v>Mangaluru</x:v>
      </x:c>
      <x:c r="G801" t="str">
        <x:v>Kavya</x:v>
      </x:c>
      <x:c r="H801" t="str">
        <x:v>P021</x:v>
      </x:c>
      <x:c r="I801" t="str">
        <x:v>Instant Coffee 200g</x:v>
      </x:c>
      <x:c r="J801" t="str">
        <x:v>Beverage</x:v>
      </x:c>
      <x:c r="K801" t="str">
        <x:v>Nescafe</x:v>
      </x:c>
      <x:c r="L801" s="22" t="n">
        <x:v>460</x:v>
      </x:c>
      <x:c r="M801" t="n">
        <x:v>28</x:v>
      </x:c>
      <x:c r="N801" s="24" t="n">
        <x:v>0.03</x:v>
      </x:c>
      <x:c r="O801" s="22" t="n">
        <x:f>L801*M801</x:f>
        <x:v>12880</x:v>
      </x:c>
      <x:c r="P801" s="22" t="n">
        <x:f>O801*(1-N801)</x:f>
        <x:v>12493.6</x:v>
      </x:c>
      <x:c r="Q801" s="22" t="n">
        <x:v>410</x:v>
      </x:c>
      <x:c r="R801" s="22" t="n">
        <x:f>Q801*M801</x:f>
        <x:v>11480</x:v>
      </x:c>
      <x:c r="S801" s="22" t="n">
        <x:f>P801-R801</x:f>
        <x:v>1013.6000000000004</x:v>
      </x:c>
      <x:c r="T801" t="str">
        <x:v>Credit</x:v>
      </x:c>
      <x:c r="U801" t="str">
        <x:v>Paid</x:v>
      </x:c>
      <x:c r="V801" t="str">
        <x:v>Cancelled</x:v>
      </x:c>
      <x:c r="W801" t="n">
        <x:v>28</x:v>
      </x:c>
      <x:c r="X801" t="str">
        <x:v>Cancelled Order</x:v>
      </x:c>
      <x:c r="Y801" t="str">
        <x:v>Field Visit</x:v>
      </x:c>
    </x:row>
    <x:row r="802">
      <x:c r="A802" t="str">
        <x:v>O000801</x:v>
      </x:c>
      <x:c r="B802" s="20" t="n">
        <x:v>45909</x:v>
      </x:c>
      <x:c r="C802" t="str">
        <x:v>C0242</x:v>
      </x:c>
      <x:c r="D802" t="str">
        <x:v>Fresh Cafe 242</x:v>
      </x:c>
      <x:c r="E802" t="str">
        <x:v>Canteen</x:v>
      </x:c>
      <x:c r="F802" t="str">
        <x:v>Davanagere</x:v>
      </x:c>
      <x:c r="G802" t="str">
        <x:v>Kavya</x:v>
      </x:c>
      <x:c r="H802" t="str">
        <x:v>P042</x:v>
      </x:c>
      <x:c r="I802" t="str">
        <x:v>Eggs 30pc Tray</x:v>
      </x:c>
      <x:c r="J802" t="str">
        <x:v>Protein</x:v>
      </x:c>
      <x:c r="K802" t="str">
        <x:v>Farm Fresh</x:v>
      </x:c>
      <x:c r="L802" s="22" t="n">
        <x:v>195</x:v>
      </x:c>
      <x:c r="M802" t="n">
        <x:v>25</x:v>
      </x:c>
      <x:c r="N802" s="24" t="n">
        <x:v>0.03</x:v>
      </x:c>
      <x:c r="O802" s="22" t="n">
        <x:f>L802*M802</x:f>
        <x:v>4875</x:v>
      </x:c>
      <x:c r="P802" s="22" t="n">
        <x:f>O802*(1-N802)</x:f>
        <x:v>4728.75</x:v>
      </x:c>
      <x:c r="Q802" s="22" t="n">
        <x:v>170</x:v>
      </x:c>
      <x:c r="R802" s="22" t="n">
        <x:f>Q802*M802</x:f>
        <x:v>4250</x:v>
      </x:c>
      <x:c r="S802" s="22" t="n">
        <x:f>P802-R802</x:f>
        <x:v>478.75</x:v>
      </x:c>
      <x:c r="T802" t="str">
        <x:v>Credit</x:v>
      </x:c>
      <x:c r="U802" t="str">
        <x:v>Paid</x:v>
      </x:c>
      <x:c r="V802" t="str">
        <x:v>Delivered</x:v>
      </x:c>
      <x:c r="W802" t="n">
        <x:v>0</x:v>
      </x:c>
      <x:c r="X802" t="str"/>
      <x:c r="Y802" t="str">
        <x:v>Referral</x:v>
      </x:c>
    </x:row>
    <x:row r="803">
      <x:c r="A803" t="str">
        <x:v>O000802</x:v>
      </x:c>
      <x:c r="B803" s="20" t="n">
        <x:v>46089</x:v>
      </x:c>
      <x:c r="C803" t="str">
        <x:v>C0149</x:v>
      </x:c>
      <x:c r="D803" t="str">
        <x:v>Annapurna Hotel 149</x:v>
      </x:c>
      <x:c r="E803" t="str">
        <x:v>Cafe</x:v>
      </x:c>
      <x:c r="F803" t="str">
        <x:v>Tumakuru</x:v>
      </x:c>
      <x:c r="G803" t="str">
        <x:v>Megha</x:v>
      </x:c>
      <x:c r="H803" t="str">
        <x:v>P046</x:v>
      </x:c>
      <x:c r="I803" t="str">
        <x:v>Potato 25kg</x:v>
      </x:c>
      <x:c r="J803" t="str">
        <x:v>Fresh Produce</x:v>
      </x:c>
      <x:c r="K803" t="str">
        <x:v>Local Market</x:v>
      </x:c>
      <x:c r="L803" s="22" t="n">
        <x:v>700</x:v>
      </x:c>
      <x:c r="M803" t="n">
        <x:v>34</x:v>
      </x:c>
      <x:c r="N803" s="24" t="n">
        <x:v>0.03</x:v>
      </x:c>
      <x:c r="O803" s="22" t="n">
        <x:f>L803*M803</x:f>
        <x:v>23800</x:v>
      </x:c>
      <x:c r="P803" s="22" t="n">
        <x:f>O803*(1-N803)</x:f>
        <x:v>23086</x:v>
      </x:c>
      <x:c r="Q803" s="22" t="n">
        <x:v>610</x:v>
      </x:c>
      <x:c r="R803" s="22" t="n">
        <x:f>Q803*M803</x:f>
        <x:v>20740</x:v>
      </x:c>
      <x:c r="S803" s="22" t="n">
        <x:f>P803-R803</x:f>
        <x:v>2346</x:v>
      </x:c>
      <x:c r="T803" t="str">
        <x:v>Bank Transfer</x:v>
      </x:c>
      <x:c r="U803" t="str">
        <x:v>Paid</x:v>
      </x:c>
      <x:c r="V803" t="str">
        <x:v>Delivered</x:v>
      </x:c>
      <x:c r="W803" t="n">
        <x:v>0</x:v>
      </x:c>
      <x:c r="X803" t="str"/>
      <x:c r="Y803" t="str">
        <x:v>Referral</x:v>
      </x:c>
    </x:row>
    <x:row r="804">
      <x:c r="A804" t="str">
        <x:v>O000803</x:v>
      </x:c>
      <x:c r="B804" s="20" t="n">
        <x:v>46229</x:v>
      </x:c>
      <x:c r="C804" t="str">
        <x:v>C0005</x:v>
      </x:c>
      <x:c r="D804" t="str">
        <x:v>Sagar Kitchen 5</x:v>
      </x:c>
      <x:c r="E804" t="str">
        <x:v>Restaurant</x:v>
      </x:c>
      <x:c r="F804" t="str">
        <x:v>Hubballi</x:v>
      </x:c>
      <x:c r="G804" t="str">
        <x:v>Priya</x:v>
      </x:c>
      <x:c r="H804" t="str">
        <x:v>P024</x:v>
      </x:c>
      <x:c r="I804" t="str">
        <x:v>Orange Drink 1L</x:v>
      </x:c>
      <x:c r="J804" t="str">
        <x:v>Beverage</x:v>
      </x:c>
      <x:c r="K804" t="str">
        <x:v>Minute Maid</x:v>
      </x:c>
      <x:c r="L804" s="22" t="n">
        <x:v>105</x:v>
      </x:c>
      <x:c r="M804" t="n">
        <x:v>31</x:v>
      </x:c>
      <x:c r="N804" s="24" t="n">
        <x:v>0.1</x:v>
      </x:c>
      <x:c r="O804" s="22" t="n">
        <x:f>L804*M804</x:f>
        <x:v>3255</x:v>
      </x:c>
      <x:c r="P804" s="22" t="n">
        <x:f>O804*(1-N804)</x:f>
        <x:v>2929.5</x:v>
      </x:c>
      <x:c r="Q804" s="22" t="n">
        <x:v>88</x:v>
      </x:c>
      <x:c r="R804" s="22" t="n">
        <x:f>Q804*M804</x:f>
        <x:v>2728</x:v>
      </x:c>
      <x:c r="S804" s="22" t="n">
        <x:f>P804-R804</x:f>
        <x:v>201.5</x:v>
      </x:c>
      <x:c r="T804" t="str">
        <x:v>UPI</x:v>
      </x:c>
      <x:c r="U804" t="str">
        <x:v>Paid</x:v>
      </x:c>
      <x:c r="V804" t="str">
        <x:v>Delivered</x:v>
      </x:c>
      <x:c r="W804" t="n">
        <x:v>0</x:v>
      </x:c>
      <x:c r="X804" t="str"/>
      <x:c r="Y804" t="str">
        <x:v>Referral</x:v>
      </x:c>
    </x:row>
    <x:row r="805">
      <x:c r="A805" t="str">
        <x:v>O000804</x:v>
      </x:c>
      <x:c r="B805" s="20" t="n">
        <x:v>46089</x:v>
      </x:c>
      <x:c r="C805" t="str">
        <x:v>C0037</x:v>
      </x:c>
      <x:c r="D805" t="str">
        <x:v>Royal Cafe 37</x:v>
      </x:c>
      <x:c r="E805" t="str">
        <x:v>Hotel</x:v>
      </x:c>
      <x:c r="F805" t="str">
        <x:v>Mysuru</x:v>
      </x:c>
      <x:c r="G805" t="str">
        <x:v>Sneha</x:v>
      </x:c>
      <x:c r="H805" t="str">
        <x:v>P036</x:v>
      </x:c>
      <x:c r="I805" t="str">
        <x:v>Garam Masala 500g</x:v>
      </x:c>
      <x:c r="J805" t="str">
        <x:v>Spices</x:v>
      </x:c>
      <x:c r="K805" t="str">
        <x:v>MDH</x:v>
      </x:c>
      <x:c r="L805" s="22" t="n">
        <x:v>265</x:v>
      </x:c>
      <x:c r="M805" t="n">
        <x:v>16</x:v>
      </x:c>
      <x:c r="N805" s="24" t="n">
        <x:v>0</x:v>
      </x:c>
      <x:c r="O805" s="22" t="n">
        <x:f>L805*M805</x:f>
        <x:v>4240</x:v>
      </x:c>
      <x:c r="P805" s="22" t="n">
        <x:f>O805*(1-N805)</x:f>
        <x:v>4240</x:v>
      </x:c>
      <x:c r="Q805" s="22" t="n">
        <x:v>230</x:v>
      </x:c>
      <x:c r="R805" s="22" t="n">
        <x:f>Q805*M805</x:f>
        <x:v>3680</x:v>
      </x:c>
      <x:c r="S805" s="22" t="n">
        <x:f>P805-R805</x:f>
        <x:v>560</x:v>
      </x:c>
      <x:c r="T805" t="str">
        <x:v>Bank Transfer</x:v>
      </x:c>
      <x:c r="U805" t="str">
        <x:v>Paid</x:v>
      </x:c>
      <x:c r="V805" t="str">
        <x:v>Delivered</x:v>
      </x:c>
      <x:c r="W805" t="n">
        <x:v>0</x:v>
      </x:c>
      <x:c r="X805" t="str"/>
      <x:c r="Y805" t="str">
        <x:v>Referral</x:v>
      </x:c>
    </x:row>
    <x:row r="806">
      <x:c r="A806" t="str">
        <x:v>O000805</x:v>
      </x:c>
      <x:c r="B806" s="20" t="n">
        <x:v>46092</x:v>
      </x:c>
      <x:c r="C806" t="str">
        <x:v>C0007</x:v>
      </x:c>
      <x:c r="D806" t="str">
        <x:v>Mysore Stores 7</x:v>
      </x:c>
      <x:c r="E806" t="str">
        <x:v>Kirana</x:v>
      </x:c>
      <x:c r="F806" t="str">
        <x:v>Bengaluru</x:v>
      </x:c>
      <x:c r="G806" t="str">
        <x:v>Kavya</x:v>
      </x:c>
      <x:c r="H806" t="str">
        <x:v>P045</x:v>
      </x:c>
      <x:c r="I806" t="str">
        <x:v>Onion 25kg</x:v>
      </x:c>
      <x:c r="J806" t="str">
        <x:v>Fresh Produce</x:v>
      </x:c>
      <x:c r="K806" t="str">
        <x:v>Local Market</x:v>
      </x:c>
      <x:c r="L806" s="22" t="n">
        <x:v>875</x:v>
      </x:c>
      <x:c r="M806" t="n">
        <x:v>24</x:v>
      </x:c>
      <x:c r="N806" s="24" t="n">
        <x:v>0</x:v>
      </x:c>
      <x:c r="O806" s="22" t="n">
        <x:f>L806*M806</x:f>
        <x:v>21000</x:v>
      </x:c>
      <x:c r="P806" s="22" t="n">
        <x:f>O806*(1-N806)</x:f>
        <x:v>21000</x:v>
      </x:c>
      <x:c r="Q806" s="22" t="n">
        <x:v>760</x:v>
      </x:c>
      <x:c r="R806" s="22" t="n">
        <x:f>Q806*M806</x:f>
        <x:v>18240</x:v>
      </x:c>
      <x:c r="S806" s="22" t="n">
        <x:f>P806-R806</x:f>
        <x:v>2760</x:v>
      </x:c>
      <x:c r="T806" t="str">
        <x:v>UPI</x:v>
      </x:c>
      <x:c r="U806" t="str">
        <x:v>Paid</x:v>
      </x:c>
      <x:c r="V806" t="str">
        <x:v>Delivered</x:v>
      </x:c>
      <x:c r="W806" t="n">
        <x:v>0</x:v>
      </x:c>
      <x:c r="X806" t="str"/>
      <x:c r="Y806" t="str">
        <x:v>Existing Customer</x:v>
      </x:c>
    </x:row>
    <x:row r="807">
      <x:c r="A807" t="str">
        <x:v>O000806</x:v>
      </x:c>
      <x:c r="B807" s="20" t="n">
        <x:v>46032</x:v>
      </x:c>
      <x:c r="C807" t="str">
        <x:v>C0008</x:v>
      </x:c>
      <x:c r="D807" t="str">
        <x:v>Namma Kitchen 8</x:v>
      </x:c>
      <x:c r="E807" t="str">
        <x:v>Kirana</x:v>
      </x:c>
      <x:c r="F807" t="str">
        <x:v>Bengaluru</x:v>
      </x:c>
      <x:c r="G807" t="str">
        <x:v>Vikram</x:v>
      </x:c>
      <x:c r="H807" t="str">
        <x:v>P010</x:v>
      </x:c>
      <x:c r="I807" t="str">
        <x:v>Sugar 25kg</x:v>
      </x:c>
      <x:c r="J807" t="str">
        <x:v>Staples</x:v>
      </x:c>
      <x:c r="K807" t="str">
        <x:v>Madhur</x:v>
      </x:c>
      <x:c r="L807" s="22" t="n">
        <x:v>1190</x:v>
      </x:c>
      <x:c r="M807" t="n">
        <x:v>2</x:v>
      </x:c>
      <x:c r="N807" s="24" t="n">
        <x:v>0</x:v>
      </x:c>
      <x:c r="O807" s="22" t="n">
        <x:f>L807*M807</x:f>
        <x:v>2380</x:v>
      </x:c>
      <x:c r="P807" s="22" t="n">
        <x:f>O807*(1-N807)</x:f>
        <x:v>2380</x:v>
      </x:c>
      <x:c r="Q807" s="22" t="n">
        <x:v>1080</x:v>
      </x:c>
      <x:c r="R807" s="22" t="n">
        <x:f>Q807*M807</x:f>
        <x:v>2160</x:v>
      </x:c>
      <x:c r="S807" s="22" t="n">
        <x:f>P807-R807</x:f>
        <x:v>220</x:v>
      </x:c>
      <x:c r="T807" t="str">
        <x:v>UPI</x:v>
      </x:c>
      <x:c r="U807" t="str">
        <x:v>Paid</x:v>
      </x:c>
      <x:c r="V807" t="str">
        <x:v>Delivered</x:v>
      </x:c>
      <x:c r="W807" t="n">
        <x:v>0</x:v>
      </x:c>
      <x:c r="X807" t="str"/>
      <x:c r="Y807" t="str">
        <x:v>Referral</x:v>
      </x:c>
    </x:row>
    <x:row r="808">
      <x:c r="A808" t="str">
        <x:v>O000807</x:v>
      </x:c>
      <x:c r="B808" s="20" t="n">
        <x:v>46198</x:v>
      </x:c>
      <x:c r="C808" t="str">
        <x:v>C0036</x:v>
      </x:c>
      <x:c r="D808" t="str">
        <x:v>Grand Hotel 36</x:v>
      </x:c>
      <x:c r="E808" t="str">
        <x:v>Canteen</x:v>
      </x:c>
      <x:c r="F808" t="str">
        <x:v>Tumakuru</x:v>
      </x:c>
      <x:c r="G808" t="str">
        <x:v>Kavya</x:v>
      </x:c>
      <x:c r="H808" t="str">
        <x:v>P048</x:v>
      </x:c>
      <x:c r="I808" t="str">
        <x:v>Banana 10kg</x:v>
      </x:c>
      <x:c r="J808" t="str">
        <x:v>Fresh Produce</x:v>
      </x:c>
      <x:c r="K808" t="str">
        <x:v>Local Market</x:v>
      </x:c>
      <x:c r="L808" s="22" t="n">
        <x:v>420</x:v>
      </x:c>
      <x:c r="M808" t="n">
        <x:v>20</x:v>
      </x:c>
      <x:c r="N808" s="24" t="n">
        <x:v>0.03</x:v>
      </x:c>
      <x:c r="O808" s="22" t="n">
        <x:f>L808*M808</x:f>
        <x:v>8400</x:v>
      </x:c>
      <x:c r="P808" s="22" t="n">
        <x:f>O808*(1-N808)</x:f>
        <x:v>8148</x:v>
      </x:c>
      <x:c r="Q808" s="22" t="n">
        <x:v>350</x:v>
      </x:c>
      <x:c r="R808" s="22" t="n">
        <x:f>Q808*M808</x:f>
        <x:v>7000</x:v>
      </x:c>
      <x:c r="S808" s="22" t="n">
        <x:f>P808-R808</x:f>
        <x:v>1148</x:v>
      </x:c>
      <x:c r="T808" t="str">
        <x:v>Cash</x:v>
      </x:c>
      <x:c r="U808" t="str">
        <x:v>Paid</x:v>
      </x:c>
      <x:c r="V808" t="str">
        <x:v>Cancelled</x:v>
      </x:c>
      <x:c r="W808" t="n">
        <x:v>20</x:v>
      </x:c>
      <x:c r="X808" t="str">
        <x:v>Cancelled Order</x:v>
      </x:c>
      <x:c r="Y808" t="str">
        <x:v>Outbound Call</x:v>
      </x:c>
    </x:row>
    <x:row r="809">
      <x:c r="A809" t="str">
        <x:v>O000808</x:v>
      </x:c>
      <x:c r="B809" s="20" t="n">
        <x:v>45690</x:v>
      </x:c>
      <x:c r="C809" t="str">
        <x:v>C0040</x:v>
      </x:c>
      <x:c r="D809" t="str">
        <x:v>Royal Foods 40</x:v>
      </x:c>
      <x:c r="E809" t="str">
        <x:v>Restaurant</x:v>
      </x:c>
      <x:c r="F809" t="str">
        <x:v>Mangaluru</x:v>
      </x:c>
      <x:c r="G809" t="str">
        <x:v>Kavya</x:v>
      </x:c>
      <x:c r="H809" t="str">
        <x:v>P004</x:v>
      </x:c>
      <x:c r="I809" t="str">
        <x:v>Toor Dal 5kg</x:v>
      </x:c>
      <x:c r="J809" t="str">
        <x:v>Pulses</x:v>
      </x:c>
      <x:c r="K809" t="str">
        <x:v>Tata Sampann</x:v>
      </x:c>
      <x:c r="L809" s="22" t="n">
        <x:v>780</x:v>
      </x:c>
      <x:c r="M809" t="n">
        <x:v>39</x:v>
      </x:c>
      <x:c r="N809" s="24" t="n">
        <x:v>0.05</x:v>
      </x:c>
      <x:c r="O809" s="22" t="n">
        <x:f>L809*M809</x:f>
        <x:v>30420</x:v>
      </x:c>
      <x:c r="P809" s="22" t="n">
        <x:f>O809*(1-N809)</x:f>
        <x:v>28899</x:v>
      </x:c>
      <x:c r="Q809" s="22" t="n">
        <x:v>695</x:v>
      </x:c>
      <x:c r="R809" s="22" t="n">
        <x:f>Q809*M809</x:f>
        <x:v>27105</x:v>
      </x:c>
      <x:c r="S809" s="22" t="n">
        <x:f>P809-R809</x:f>
        <x:v>1794</x:v>
      </x:c>
      <x:c r="T809" t="str">
        <x:v>Bank Transfer</x:v>
      </x:c>
      <x:c r="U809" t="str">
        <x:v>Paid</x:v>
      </x:c>
      <x:c r="V809" t="str">
        <x:v>Delivered</x:v>
      </x:c>
      <x:c r="W809" t="n">
        <x:v>0</x:v>
      </x:c>
      <x:c r="X809" t="str"/>
      <x:c r="Y809" t="str">
        <x:v>WhatsApp</x:v>
      </x:c>
    </x:row>
    <x:row r="810">
      <x:c r="A810" t="str">
        <x:v>O000809</x:v>
      </x:c>
      <x:c r="B810" s="20" t="n">
        <x:v>46243</x:v>
      </x:c>
      <x:c r="C810" t="str">
        <x:v>C0213</x:v>
      </x:c>
      <x:c r="D810" t="str">
        <x:v>Shree Cafe 213</x:v>
      </x:c>
      <x:c r="E810" t="str">
        <x:v>Cafe</x:v>
      </x:c>
      <x:c r="F810" t="str">
        <x:v>Tumakuru</x:v>
      </x:c>
      <x:c r="G810" t="str">
        <x:v>Imran</x:v>
      </x:c>
      <x:c r="H810" t="str">
        <x:v>P017</x:v>
      </x:c>
      <x:c r="I810" t="str">
        <x:v>Butter 500g</x:v>
      </x:c>
      <x:c r="J810" t="str">
        <x:v>Dairy</x:v>
      </x:c>
      <x:c r="K810" t="str">
        <x:v>Amul</x:v>
      </x:c>
      <x:c r="L810" s="22" t="n">
        <x:v>285</x:v>
      </x:c>
      <x:c r="M810" t="n">
        <x:v>33</x:v>
      </x:c>
      <x:c r="N810" s="24" t="n">
        <x:v>0.02</x:v>
      </x:c>
      <x:c r="O810" s="22" t="n">
        <x:f>L810*M810</x:f>
        <x:v>9405</x:v>
      </x:c>
      <x:c r="P810" s="22" t="n">
        <x:f>O810*(1-N810)</x:f>
        <x:v>9216.9</x:v>
      </x:c>
      <x:c r="Q810" s="22" t="n">
        <x:v>258</x:v>
      </x:c>
      <x:c r="R810" s="22" t="n">
        <x:f>Q810*M810</x:f>
        <x:v>8514</x:v>
      </x:c>
      <x:c r="S810" s="22" t="n">
        <x:f>P810-R810</x:f>
        <x:v>702.8999999999996</x:v>
      </x:c>
      <x:c r="T810" t="str">
        <x:v>Bank Transfer</x:v>
      </x:c>
      <x:c r="U810" t="str">
        <x:v>Paid</x:v>
      </x:c>
      <x:c r="V810" t="str">
        <x:v>Delivered</x:v>
      </x:c>
      <x:c r="W810" t="n">
        <x:v>0</x:v>
      </x:c>
      <x:c r="X810" t="str"/>
      <x:c r="Y810" t="str">
        <x:v>Outbound Call</x:v>
      </x:c>
    </x:row>
    <x:row r="811">
      <x:c r="A811" t="str">
        <x:v>O000810</x:v>
      </x:c>
      <x:c r="B811" s="20" t="n">
        <x:v>45874</x:v>
      </x:c>
      <x:c r="C811" t="str">
        <x:v>C0244</x:v>
      </x:c>
      <x:c r="D811" t="str">
        <x:v>Namma Hotel 244</x:v>
      </x:c>
      <x:c r="E811" t="str">
        <x:v>Kirana</x:v>
      </x:c>
      <x:c r="F811" t="str">
        <x:v>Tumakuru</x:v>
      </x:c>
      <x:c r="G811" t="str">
        <x:v>Sneha</x:v>
      </x:c>
      <x:c r="H811" t="str">
        <x:v>P009</x:v>
      </x:c>
      <x:c r="I811" t="str">
        <x:v>Groundnut Oil 5L</x:v>
      </x:c>
      <x:c r="J811" t="str">
        <x:v>Edible Oil</x:v>
      </x:c>
      <x:c r="K811" t="str">
        <x:v>Dhara</x:v>
      </x:c>
      <x:c r="L811" s="22" t="n">
        <x:v>890</x:v>
      </x:c>
      <x:c r="M811" t="n">
        <x:v>26</x:v>
      </x:c>
      <x:c r="N811" s="24" t="n">
        <x:v>0.05</x:v>
      </x:c>
      <x:c r="O811" s="22" t="n">
        <x:f>L811*M811</x:f>
        <x:v>23140</x:v>
      </x:c>
      <x:c r="P811" s="22" t="n">
        <x:f>O811*(1-N811)</x:f>
        <x:v>21983</x:v>
      </x:c>
      <x:c r="Q811" s="22" t="n">
        <x:v>810</x:v>
      </x:c>
      <x:c r="R811" s="22" t="n">
        <x:f>Q811*M811</x:f>
        <x:v>21060</x:v>
      </x:c>
      <x:c r="S811" s="22" t="n">
        <x:f>P811-R811</x:f>
        <x:v>923</x:v>
      </x:c>
      <x:c r="T811" t="str">
        <x:v>Bank Transfer</x:v>
      </x:c>
      <x:c r="U811" t="str">
        <x:v>Paid</x:v>
      </x:c>
      <x:c r="V811" t="str">
        <x:v>Cancelled</x:v>
      </x:c>
      <x:c r="W811" t="n">
        <x:v>26</x:v>
      </x:c>
      <x:c r="X811" t="str">
        <x:v>Cancelled Order</x:v>
      </x:c>
      <x:c r="Y811" t="str">
        <x:v>Existing Customer</x:v>
      </x:c>
    </x:row>
    <x:row r="812">
      <x:c r="A812" t="str">
        <x:v>O000811</x:v>
      </x:c>
      <x:c r="B812" s="20" t="n">
        <x:v>46137</x:v>
      </x:c>
      <x:c r="C812" t="str">
        <x:v>C0020</x:v>
      </x:c>
      <x:c r="D812" t="str">
        <x:v>Shree Foods 20</x:v>
      </x:c>
      <x:c r="E812" t="str">
        <x:v>Restaurant</x:v>
      </x:c>
      <x:c r="F812" t="str">
        <x:v>Mysuru</x:v>
      </x:c>
      <x:c r="G812" t="str">
        <x:v>Arjun</x:v>
      </x:c>
      <x:c r="H812" t="str">
        <x:v>P045</x:v>
      </x:c>
      <x:c r="I812" t="str">
        <x:v>Onion 25kg</x:v>
      </x:c>
      <x:c r="J812" t="str">
        <x:v>Fresh Produce</x:v>
      </x:c>
      <x:c r="K812" t="str">
        <x:v>Local Market</x:v>
      </x:c>
      <x:c r="L812" s="22" t="n">
        <x:v>875</x:v>
      </x:c>
      <x:c r="M812" t="n">
        <x:v>31</x:v>
      </x:c>
      <x:c r="N812" s="24" t="n">
        <x:v>0.02</x:v>
      </x:c>
      <x:c r="O812" s="22" t="n">
        <x:f>L812*M812</x:f>
        <x:v>27125</x:v>
      </x:c>
      <x:c r="P812" s="22" t="n">
        <x:f>O812*(1-N812)</x:f>
        <x:v>26582.5</x:v>
      </x:c>
      <x:c r="Q812" s="22" t="n">
        <x:v>760</x:v>
      </x:c>
      <x:c r="R812" s="22" t="n">
        <x:f>Q812*M812</x:f>
        <x:v>23560</x:v>
      </x:c>
      <x:c r="S812" s="22" t="n">
        <x:f>P812-R812</x:f>
        <x:v>3022.5</x:v>
      </x:c>
      <x:c r="T812" t="str">
        <x:v>Credit</x:v>
      </x:c>
      <x:c r="U812" t="str">
        <x:v>Pending</x:v>
      </x:c>
      <x:c r="V812" t="str">
        <x:v>Delivered</x:v>
      </x:c>
      <x:c r="W812" t="n">
        <x:v>3</x:v>
      </x:c>
      <x:c r="X812" t="str">
        <x:v>Late Delivery</x:v>
      </x:c>
      <x:c r="Y812" t="str">
        <x:v>Referral</x:v>
      </x:c>
    </x:row>
    <x:row r="813">
      <x:c r="A813" t="str">
        <x:v>O000812</x:v>
      </x:c>
      <x:c r="B813" s="20" t="n">
        <x:v>46029</x:v>
      </x:c>
      <x:c r="C813" t="str">
        <x:v>C0027</x:v>
      </x:c>
      <x:c r="D813" t="str">
        <x:v>Fresh Cafe 27</x:v>
      </x:c>
      <x:c r="E813" t="str">
        <x:v>Restaurant</x:v>
      </x:c>
      <x:c r="F813" t="str">
        <x:v>Tumakuru</x:v>
      </x:c>
      <x:c r="G813" t="str">
        <x:v>Megha</x:v>
      </x:c>
      <x:c r="H813" t="str">
        <x:v>P005</x:v>
      </x:c>
      <x:c r="I813" t="str">
        <x:v>Chana Dal 5kg</x:v>
      </x:c>
      <x:c r="J813" t="str">
        <x:v>Pulses</x:v>
      </x:c>
      <x:c r="K813" t="str">
        <x:v>Local Select</x:v>
      </x:c>
      <x:c r="L813" s="22" t="n">
        <x:v>520</x:v>
      </x:c>
      <x:c r="M813" t="n">
        <x:v>39</x:v>
      </x:c>
      <x:c r="N813" s="24" t="n">
        <x:v>0.05</x:v>
      </x:c>
      <x:c r="O813" s="22" t="n">
        <x:f>L813*M813</x:f>
        <x:v>20280</x:v>
      </x:c>
      <x:c r="P813" s="22" t="n">
        <x:f>O813*(1-N813)</x:f>
        <x:v>19266</x:v>
      </x:c>
      <x:c r="Q813" s="22" t="n">
        <x:v>455</x:v>
      </x:c>
      <x:c r="R813" s="22" t="n">
        <x:f>Q813*M813</x:f>
        <x:v>17745</x:v>
      </x:c>
      <x:c r="S813" s="22" t="n">
        <x:f>P813-R813</x:f>
        <x:v>1521</x:v>
      </x:c>
      <x:c r="T813" t="str">
        <x:v>Cash</x:v>
      </x:c>
      <x:c r="U813" t="str">
        <x:v>Paid</x:v>
      </x:c>
      <x:c r="V813" t="str">
        <x:v>Delivered</x:v>
      </x:c>
      <x:c r="W813" t="n">
        <x:v>0</x:v>
      </x:c>
      <x:c r="X813" t="str"/>
      <x:c r="Y813" t="str">
        <x:v>Outbound Call</x:v>
      </x:c>
    </x:row>
    <x:row r="814">
      <x:c r="A814" t="str">
        <x:v>O000813</x:v>
      </x:c>
      <x:c r="B814" s="20" t="n">
        <x:v>45974</x:v>
      </x:c>
      <x:c r="C814" t="str">
        <x:v>C0153</x:v>
      </x:c>
      <x:c r="D814" t="str">
        <x:v>Fresh Foods 153</x:v>
      </x:c>
      <x:c r="E814" t="str">
        <x:v>Kirana</x:v>
      </x:c>
      <x:c r="F814" t="str">
        <x:v>Bengaluru</x:v>
      </x:c>
      <x:c r="G814" t="str">
        <x:v>Priya</x:v>
      </x:c>
      <x:c r="H814" t="str">
        <x:v>P001</x:v>
      </x:c>
      <x:c r="I814" t="str">
        <x:v>Steam Rice 25kg</x:v>
      </x:c>
      <x:c r="J814" t="str">
        <x:v>Staples</x:v>
      </x:c>
      <x:c r="K814" t="str">
        <x:v>Aishwarya</x:v>
      </x:c>
      <x:c r="L814" s="22" t="n">
        <x:v>1180</x:v>
      </x:c>
      <x:c r="M814" t="n">
        <x:v>9</x:v>
      </x:c>
      <x:c r="N814" s="24" t="n">
        <x:v>0</x:v>
      </x:c>
      <x:c r="O814" s="22" t="n">
        <x:f>L814*M814</x:f>
        <x:v>10620</x:v>
      </x:c>
      <x:c r="P814" s="22" t="n">
        <x:f>O814*(1-N814)</x:f>
        <x:v>10620</x:v>
      </x:c>
      <x:c r="Q814" s="22" t="n">
        <x:v>1040</x:v>
      </x:c>
      <x:c r="R814" s="22" t="n">
        <x:f>Q814*M814</x:f>
        <x:v>9360</x:v>
      </x:c>
      <x:c r="S814" s="22" t="n">
        <x:f>P814-R814</x:f>
        <x:v>1260</x:v>
      </x:c>
      <x:c r="T814" t="str">
        <x:v>UPI</x:v>
      </x:c>
      <x:c r="U814" t="str">
        <x:v>Paid</x:v>
      </x:c>
      <x:c r="V814" t="str">
        <x:v>Delivered</x:v>
      </x:c>
      <x:c r="W814" t="n">
        <x:v>0</x:v>
      </x:c>
      <x:c r="X814" t="str"/>
      <x:c r="Y814" t="str">
        <x:v>Existing Customer</x:v>
      </x:c>
    </x:row>
    <x:row r="815">
      <x:c r="A815" t="str">
        <x:v>O000814</x:v>
      </x:c>
      <x:c r="B815" s="20" t="n">
        <x:v>45704</x:v>
      </x:c>
      <x:c r="C815" t="str">
        <x:v>C0203</x:v>
      </x:c>
      <x:c r="D815" t="str">
        <x:v>Namma Mart 203</x:v>
      </x:c>
      <x:c r="E815" t="str">
        <x:v>Kirana</x:v>
      </x:c>
      <x:c r="F815" t="str">
        <x:v>Tumakuru</x:v>
      </x:c>
      <x:c r="G815" t="str">
        <x:v>Priya</x:v>
      </x:c>
      <x:c r="H815" t="str">
        <x:v>P031</x:v>
      </x:c>
      <x:c r="I815" t="str">
        <x:v>Chilli Sauce 700g</x:v>
      </x:c>
      <x:c r="J815" t="str">
        <x:v>Condiments</x:v>
      </x:c>
      <x:c r="K815" t="str">
        <x:v>Ching's</x:v>
      </x:c>
      <x:c r="L815" s="22" t="n">
        <x:v>130</x:v>
      </x:c>
      <x:c r="M815" t="n">
        <x:v>4</x:v>
      </x:c>
      <x:c r="N815" s="24" t="n">
        <x:v>0.02</x:v>
      </x:c>
      <x:c r="O815" s="22" t="n">
        <x:f>L815*M815</x:f>
        <x:v>520</x:v>
      </x:c>
      <x:c r="P815" s="22" t="n">
        <x:f>O815*(1-N815)</x:f>
        <x:v>509.59999999999997</x:v>
      </x:c>
      <x:c r="Q815" s="22" t="n">
        <x:v>112</x:v>
      </x:c>
      <x:c r="R815" s="22" t="n">
        <x:f>Q815*M815</x:f>
        <x:v>448</x:v>
      </x:c>
      <x:c r="S815" s="22" t="n">
        <x:f>P815-R815</x:f>
        <x:v>61.599999999999966</x:v>
      </x:c>
      <x:c r="T815" t="str">
        <x:v>Cash</x:v>
      </x:c>
      <x:c r="U815" t="str">
        <x:v>Paid</x:v>
      </x:c>
      <x:c r="V815" t="str">
        <x:v>Delivered</x:v>
      </x:c>
      <x:c r="W815" t="n">
        <x:v>0</x:v>
      </x:c>
      <x:c r="X815" t="str"/>
      <x:c r="Y815" t="str">
        <x:v>WhatsApp</x:v>
      </x:c>
    </x:row>
    <x:row r="816">
      <x:c r="A816" t="str">
        <x:v>O000815</x:v>
      </x:c>
      <x:c r="B816" s="20" t="n">
        <x:v>46058</x:v>
      </x:c>
      <x:c r="C816" t="str">
        <x:v>C0081</x:v>
      </x:c>
      <x:c r="D816" t="str">
        <x:v>Foodie Mart 81</x:v>
      </x:c>
      <x:c r="E816" t="str">
        <x:v>Supermarket</x:v>
      </x:c>
      <x:c r="F816" t="str">
        <x:v>Hubballi</x:v>
      </x:c>
      <x:c r="G816" t="str">
        <x:v>Kavya</x:v>
      </x:c>
      <x:c r="H816" t="str">
        <x:v>P049</x:v>
      </x:c>
      <x:c r="I816" t="str">
        <x:v>Apple 10kg</x:v>
      </x:c>
      <x:c r="J816" t="str">
        <x:v>Fresh Produce</x:v>
      </x:c>
      <x:c r="K816" t="str">
        <x:v>Local Market</x:v>
      </x:c>
      <x:c r="L816" s="22" t="n">
        <x:v>1450</x:v>
      </x:c>
      <x:c r="M816" t="n">
        <x:v>3</x:v>
      </x:c>
      <x:c r="N816" s="24" t="n">
        <x:v>0.05</x:v>
      </x:c>
      <x:c r="O816" s="22" t="n">
        <x:f>L816*M816</x:f>
        <x:v>4350</x:v>
      </x:c>
      <x:c r="P816" s="22" t="n">
        <x:f>O816*(1-N816)</x:f>
        <x:v>4132.5</x:v>
      </x:c>
      <x:c r="Q816" s="22" t="n">
        <x:v>1280</x:v>
      </x:c>
      <x:c r="R816" s="22" t="n">
        <x:f>Q816*M816</x:f>
        <x:v>3840</x:v>
      </x:c>
      <x:c r="S816" s="22" t="n">
        <x:f>P816-R816</x:f>
        <x:v>292.5</x:v>
      </x:c>
      <x:c r="T816" t="str">
        <x:v>UPI</x:v>
      </x:c>
      <x:c r="U816" t="str">
        <x:v>Paid</x:v>
      </x:c>
      <x:c r="V816" t="str">
        <x:v>Cancelled</x:v>
      </x:c>
      <x:c r="W816" t="n">
        <x:v>3</x:v>
      </x:c>
      <x:c r="X816" t="str">
        <x:v>Cancelled Order</x:v>
      </x:c>
      <x:c r="Y816" t="str">
        <x:v>Existing Customer</x:v>
      </x:c>
    </x:row>
    <x:row r="817">
      <x:c r="A817" t="str">
        <x:v>O000816</x:v>
      </x:c>
      <x:c r="B817" s="20" t="n">
        <x:v>45811</x:v>
      </x:c>
      <x:c r="C817" t="str">
        <x:v>C0207</x:v>
      </x:c>
      <x:c r="D817" t="str">
        <x:v>Hotel Stores 207</x:v>
      </x:c>
      <x:c r="E817" t="str">
        <x:v>Restaurant</x:v>
      </x:c>
      <x:c r="F817" t="str">
        <x:v>Hubballi</x:v>
      </x:c>
      <x:c r="G817" t="str">
        <x:v>Ramesh</x:v>
      </x:c>
      <x:c r="H817" t="str">
        <x:v>P050</x:v>
      </x:c>
      <x:c r="I817" t="str">
        <x:v>Lemon 5kg</x:v>
      </x:c>
      <x:c r="J817" t="str">
        <x:v>Fresh Produce</x:v>
      </x:c>
      <x:c r="K817" t="str">
        <x:v>Local Market</x:v>
      </x:c>
      <x:c r="L817" s="22" t="n">
        <x:v>360</x:v>
      </x:c>
      <x:c r="M817" t="n">
        <x:v>2</x:v>
      </x:c>
      <x:c r="N817" s="24" t="n">
        <x:v>0.03</x:v>
      </x:c>
      <x:c r="O817" s="22" t="n">
        <x:f>L817*M817</x:f>
        <x:v>720</x:v>
      </x:c>
      <x:c r="P817" s="22" t="n">
        <x:f>O817*(1-N817)</x:f>
        <x:v>698.4</x:v>
      </x:c>
      <x:c r="Q817" s="22" t="n">
        <x:v>300</x:v>
      </x:c>
      <x:c r="R817" s="22" t="n">
        <x:f>Q817*M817</x:f>
        <x:v>600</x:v>
      </x:c>
      <x:c r="S817" s="22" t="n">
        <x:f>P817-R817</x:f>
        <x:v>98.39999999999998</x:v>
      </x:c>
      <x:c r="T817" t="str">
        <x:v>Credit</x:v>
      </x:c>
      <x:c r="U817" t="str">
        <x:v>Paid</x:v>
      </x:c>
      <x:c r="V817" t="str">
        <x:v>Delivered</x:v>
      </x:c>
      <x:c r="W817" t="n">
        <x:v>0</x:v>
      </x:c>
      <x:c r="X817" t="str"/>
      <x:c r="Y817" t="str">
        <x:v>Referral</x:v>
      </x:c>
    </x:row>
    <x:row r="818">
      <x:c r="A818" t="str">
        <x:v>O000817</x:v>
      </x:c>
      <x:c r="B818" s="20" t="n">
        <x:v>45753</x:v>
      </x:c>
      <x:c r="C818" t="str">
        <x:v>C0021</x:v>
      </x:c>
      <x:c r="D818" t="str">
        <x:v>Namma Cafe 21</x:v>
      </x:c>
      <x:c r="E818" t="str">
        <x:v>Canteen</x:v>
      </x:c>
      <x:c r="F818" t="str">
        <x:v>Bengaluru</x:v>
      </x:c>
      <x:c r="G818" t="str">
        <x:v>Kavya</x:v>
      </x:c>
      <x:c r="H818" t="str">
        <x:v>P041</x:v>
      </x:c>
      <x:c r="I818" t="str">
        <x:v>Burger Bun 6pc</x:v>
      </x:c>
      <x:c r="J818" t="str">
        <x:v>Bakery</x:v>
      </x:c>
      <x:c r="K818" t="str">
        <x:v>Modern</x:v>
      </x:c>
      <x:c r="L818" s="22" t="n">
        <x:v>42</x:v>
      </x:c>
      <x:c r="M818" t="n">
        <x:v>15</x:v>
      </x:c>
      <x:c r="N818" s="24" t="n">
        <x:v>0.08</x:v>
      </x:c>
      <x:c r="O818" s="22" t="n">
        <x:f>L818*M818</x:f>
        <x:v>630</x:v>
      </x:c>
      <x:c r="P818" s="22" t="n">
        <x:f>O818*(1-N818)</x:f>
        <x:v>579.6</x:v>
      </x:c>
      <x:c r="Q818" s="22" t="n">
        <x:v>32</x:v>
      </x:c>
      <x:c r="R818" s="22" t="n">
        <x:f>Q818*M818</x:f>
        <x:v>480</x:v>
      </x:c>
      <x:c r="S818" s="22" t="n">
        <x:f>P818-R818</x:f>
        <x:v>99.60000000000002</x:v>
      </x:c>
      <x:c r="T818" t="str">
        <x:v>Bank Transfer</x:v>
      </x:c>
      <x:c r="U818" t="str">
        <x:v>Pending</x:v>
      </x:c>
      <x:c r="V818" t="str">
        <x:v>Delivered</x:v>
      </x:c>
      <x:c r="W818" t="n">
        <x:v>0</x:v>
      </x:c>
      <x:c r="X818" t="str"/>
      <x:c r="Y818" t="str">
        <x:v>Existing Customer</x:v>
      </x:c>
    </x:row>
    <x:row r="819">
      <x:c r="A819" t="str">
        <x:v>O000818</x:v>
      </x:c>
      <x:c r="B819" s="20" t="n">
        <x:v>46193</x:v>
      </x:c>
      <x:c r="C819" t="str">
        <x:v>C0187</x:v>
      </x:c>
      <x:c r="D819" t="str">
        <x:v>City Cafe 187</x:v>
      </x:c>
      <x:c r="E819" t="str">
        <x:v>Hotel</x:v>
      </x:c>
      <x:c r="F819" t="str">
        <x:v>Mysuru</x:v>
      </x:c>
      <x:c r="G819" t="str">
        <x:v>Priya</x:v>
      </x:c>
      <x:c r="H819" t="str">
        <x:v>P039</x:v>
      </x:c>
      <x:c r="I819" t="str">
        <x:v>Ice Cream 4L</x:v>
      </x:c>
      <x:c r="J819" t="str">
        <x:v>Frozen</x:v>
      </x:c>
      <x:c r="K819" t="str">
        <x:v>Amul</x:v>
      </x:c>
      <x:c r="L819" s="22" t="n">
        <x:v>480</x:v>
      </x:c>
      <x:c r="M819" t="n">
        <x:v>22</x:v>
      </x:c>
      <x:c r="N819" s="24" t="n">
        <x:v>0.03</x:v>
      </x:c>
      <x:c r="O819" s="22" t="n">
        <x:f>L819*M819</x:f>
        <x:v>10560</x:v>
      </x:c>
      <x:c r="P819" s="22" t="n">
        <x:f>O819*(1-N819)</x:f>
        <x:v>10243.199999999999</x:v>
      </x:c>
      <x:c r="Q819" s="22" t="n">
        <x:v>420</x:v>
      </x:c>
      <x:c r="R819" s="22" t="n">
        <x:f>Q819*M819</x:f>
        <x:v>9240</x:v>
      </x:c>
      <x:c r="S819" s="22" t="n">
        <x:f>P819-R819</x:f>
        <x:v>1003.1999999999989</x:v>
      </x:c>
      <x:c r="T819" t="str">
        <x:v>Bank Transfer</x:v>
      </x:c>
      <x:c r="U819" t="str">
        <x:v>Paid</x:v>
      </x:c>
      <x:c r="V819" t="str">
        <x:v>Delivered</x:v>
      </x:c>
      <x:c r="W819" t="n">
        <x:v>0</x:v>
      </x:c>
      <x:c r="X819" t="str"/>
      <x:c r="Y819" t="str">
        <x:v>WhatsApp</x:v>
      </x:c>
    </x:row>
    <x:row r="820">
      <x:c r="A820" t="str">
        <x:v>O000819</x:v>
      </x:c>
      <x:c r="B820" s="20" t="n">
        <x:v>46054</x:v>
      </x:c>
      <x:c r="C820" t="str">
        <x:v>C0183</x:v>
      </x:c>
      <x:c r="D820" t="str">
        <x:v>Spice Mart 183</x:v>
      </x:c>
      <x:c r="E820" t="str">
        <x:v>Kirana</x:v>
      </x:c>
      <x:c r="F820" t="str">
        <x:v>Mangaluru</x:v>
      </x:c>
      <x:c r="G820" t="str">
        <x:v>Kavya</x:v>
      </x:c>
      <x:c r="H820" t="str">
        <x:v>P050</x:v>
      </x:c>
      <x:c r="I820" t="str">
        <x:v>Lemon 5kg</x:v>
      </x:c>
      <x:c r="J820" t="str">
        <x:v>Fresh Produce</x:v>
      </x:c>
      <x:c r="K820" t="str">
        <x:v>Local Market</x:v>
      </x:c>
      <x:c r="L820" s="22" t="n">
        <x:v>360</x:v>
      </x:c>
      <x:c r="M820" t="n">
        <x:v>16</x:v>
      </x:c>
      <x:c r="N820" s="24" t="n">
        <x:v>0</x:v>
      </x:c>
      <x:c r="O820" s="22" t="n">
        <x:f>L820*M820</x:f>
        <x:v>5760</x:v>
      </x:c>
      <x:c r="P820" s="22" t="n">
        <x:f>O820*(1-N820)</x:f>
        <x:v>5760</x:v>
      </x:c>
      <x:c r="Q820" s="22" t="n">
        <x:v>300</x:v>
      </x:c>
      <x:c r="R820" s="22" t="n">
        <x:f>Q820*M820</x:f>
        <x:v>4800</x:v>
      </x:c>
      <x:c r="S820" s="22" t="n">
        <x:f>P820-R820</x:f>
        <x:v>960</x:v>
      </x:c>
      <x:c r="T820" t="str">
        <x:v>UPI</x:v>
      </x:c>
      <x:c r="U820" t="str">
        <x:v>Overdue</x:v>
      </x:c>
      <x:c r="V820" t="str">
        <x:v>Delayed</x:v>
      </x:c>
      <x:c r="W820" t="n">
        <x:v>0</x:v>
      </x:c>
      <x:c r="X820" t="str"/>
      <x:c r="Y820" t="str">
        <x:v>WhatsApp</x:v>
      </x:c>
    </x:row>
    <x:row r="821">
      <x:c r="A821" t="str">
        <x:v>O000820</x:v>
      </x:c>
      <x:c r="B821" s="20" t="n">
        <x:v>45974</x:v>
      </x:c>
      <x:c r="C821" t="str">
        <x:v>C0004</x:v>
      </x:c>
      <x:c r="D821" t="str">
        <x:v>Annapurna Foods 4</x:v>
      </x:c>
      <x:c r="E821" t="str">
        <x:v>Cafe</x:v>
      </x:c>
      <x:c r="F821" t="str">
        <x:v>Mysuru</x:v>
      </x:c>
      <x:c r="G821" t="str">
        <x:v>Priya</x:v>
      </x:c>
      <x:c r="H821" t="str">
        <x:v>P010</x:v>
      </x:c>
      <x:c r="I821" t="str">
        <x:v>Sugar 25kg</x:v>
      </x:c>
      <x:c r="J821" t="str">
        <x:v>Staples</x:v>
      </x:c>
      <x:c r="K821" t="str">
        <x:v>Madhur</x:v>
      </x:c>
      <x:c r="L821" s="22" t="n">
        <x:v>1190</x:v>
      </x:c>
      <x:c r="M821" t="n">
        <x:v>2</x:v>
      </x:c>
      <x:c r="N821" s="24" t="n">
        <x:v>0.03</x:v>
      </x:c>
      <x:c r="O821" s="22" t="n">
        <x:f>L821*M821</x:f>
        <x:v>2380</x:v>
      </x:c>
      <x:c r="P821" s="22" t="n">
        <x:f>O821*(1-N821)</x:f>
        <x:v>2308.6</x:v>
      </x:c>
      <x:c r="Q821" s="22" t="n">
        <x:v>1080</x:v>
      </x:c>
      <x:c r="R821" s="22" t="n">
        <x:f>Q821*M821</x:f>
        <x:v>2160</x:v>
      </x:c>
      <x:c r="S821" s="22" t="n">
        <x:f>P821-R821</x:f>
        <x:v>148.5999999999999</x:v>
      </x:c>
      <x:c r="T821" t="str">
        <x:v>Credit</x:v>
      </x:c>
      <x:c r="U821" t="str">
        <x:v>Paid</x:v>
      </x:c>
      <x:c r="V821" t="str">
        <x:v>Delivered</x:v>
      </x:c>
      <x:c r="W821" t="n">
        <x:v>0</x:v>
      </x:c>
      <x:c r="X821" t="str"/>
      <x:c r="Y821" t="str">
        <x:v>Field Visit</x:v>
      </x:c>
    </x:row>
    <x:row r="822">
      <x:c r="A822" t="str">
        <x:v>O000821</x:v>
      </x:c>
      <x:c r="B822" s="20" t="n">
        <x:v>45730</x:v>
      </x:c>
      <x:c r="C822" t="str">
        <x:v>C0091</x:v>
      </x:c>
      <x:c r="D822" t="str">
        <x:v>Classic Mart 91</x:v>
      </x:c>
      <x:c r="E822" t="str">
        <x:v>Cafe</x:v>
      </x:c>
      <x:c r="F822" t="str">
        <x:v>Mangaluru</x:v>
      </x:c>
      <x:c r="G822" t="str">
        <x:v>Kavya</x:v>
      </x:c>
      <x:c r="H822" t="str">
        <x:v>P006</x:v>
      </x:c>
      <x:c r="I822" t="str">
        <x:v>Moong Dal 5kg</x:v>
      </x:c>
      <x:c r="J822" t="str">
        <x:v>Pulses</x:v>
      </x:c>
      <x:c r="K822" t="str">
        <x:v>Local Select</x:v>
      </x:c>
      <x:c r="L822" s="22" t="n">
        <x:v>610</x:v>
      </x:c>
      <x:c r="M822" t="n">
        <x:v>12</x:v>
      </x:c>
      <x:c r="N822" s="24" t="n">
        <x:v>0.05</x:v>
      </x:c>
      <x:c r="O822" s="22" t="n">
        <x:f>L822*M822</x:f>
        <x:v>7320</x:v>
      </x:c>
      <x:c r="P822" s="22" t="n">
        <x:f>O822*(1-N822)</x:f>
        <x:v>6954</x:v>
      </x:c>
      <x:c r="Q822" s="22" t="n">
        <x:v>540</x:v>
      </x:c>
      <x:c r="R822" s="22" t="n">
        <x:f>Q822*M822</x:f>
        <x:v>6480</x:v>
      </x:c>
      <x:c r="S822" s="22" t="n">
        <x:f>P822-R822</x:f>
        <x:v>474</x:v>
      </x:c>
      <x:c r="T822" t="str">
        <x:v>Credit</x:v>
      </x:c>
      <x:c r="U822" t="str">
        <x:v>Paid</x:v>
      </x:c>
      <x:c r="V822" t="str">
        <x:v>Delivered</x:v>
      </x:c>
      <x:c r="W822" t="n">
        <x:v>0</x:v>
      </x:c>
      <x:c r="X822" t="str"/>
      <x:c r="Y822" t="str">
        <x:v>WhatsApp</x:v>
      </x:c>
    </x:row>
    <x:row r="823">
      <x:c r="A823" t="str">
        <x:v>O000822</x:v>
      </x:c>
      <x:c r="B823" s="20" t="n">
        <x:v>46240</x:v>
      </x:c>
      <x:c r="C823" t="str">
        <x:v>C0036</x:v>
      </x:c>
      <x:c r="D823" t="str">
        <x:v>Grand Hotel 36</x:v>
      </x:c>
      <x:c r="E823" t="str">
        <x:v>Canteen</x:v>
      </x:c>
      <x:c r="F823" t="str">
        <x:v>Tumakuru</x:v>
      </x:c>
      <x:c r="G823" t="str">
        <x:v>Kavya</x:v>
      </x:c>
      <x:c r="H823" t="str">
        <x:v>P008</x:v>
      </x:c>
      <x:c r="I823" t="str">
        <x:v>Palm Oil 15L</x:v>
      </x:c>
      <x:c r="J823" t="str">
        <x:v>Edible Oil</x:v>
      </x:c>
      <x:c r="K823" t="str">
        <x:v>Ruchi Gold</x:v>
      </x:c>
      <x:c r="L823" s="22" t="n">
        <x:v>1760</x:v>
      </x:c>
      <x:c r="M823" t="n">
        <x:v>1</x:v>
      </x:c>
      <x:c r="N823" s="24" t="n">
        <x:v>0.02</x:v>
      </x:c>
      <x:c r="O823" s="22" t="n">
        <x:f>L823*M823</x:f>
        <x:v>1760</x:v>
      </x:c>
      <x:c r="P823" s="22" t="n">
        <x:f>O823*(1-N823)</x:f>
        <x:v>1724.8</x:v>
      </x:c>
      <x:c r="Q823" s="22" t="n">
        <x:v>1610</x:v>
      </x:c>
      <x:c r="R823" s="22" t="n">
        <x:f>Q823*M823</x:f>
        <x:v>1610</x:v>
      </x:c>
      <x:c r="S823" s="22" t="n">
        <x:f>P823-R823</x:f>
        <x:v>114.79999999999995</x:v>
      </x:c>
      <x:c r="T823" t="str">
        <x:v>Cash</x:v>
      </x:c>
      <x:c r="U823" t="str">
        <x:v>Paid</x:v>
      </x:c>
      <x:c r="V823" t="str">
        <x:v>Delayed</x:v>
      </x:c>
      <x:c r="W823" t="n">
        <x:v>0</x:v>
      </x:c>
      <x:c r="X823" t="str"/>
      <x:c r="Y823" t="str">
        <x:v>Referral</x:v>
      </x:c>
    </x:row>
    <x:row r="824">
      <x:c r="A824" t="str">
        <x:v>O000823</x:v>
      </x:c>
      <x:c r="B824" s="20" t="n">
        <x:v>45979</x:v>
      </x:c>
      <x:c r="C824" t="str">
        <x:v>C0132</x:v>
      </x:c>
      <x:c r="D824" t="str">
        <x:v>Classic Stores 132</x:v>
      </x:c>
      <x:c r="E824" t="str">
        <x:v>Cafe</x:v>
      </x:c>
      <x:c r="F824" t="str">
        <x:v>Mysuru</x:v>
      </x:c>
      <x:c r="G824" t="str">
        <x:v>Megha</x:v>
      </x:c>
      <x:c r="H824" t="str">
        <x:v>P040</x:v>
      </x:c>
      <x:c r="I824" t="str">
        <x:v>Bread Loaf 400g</x:v>
      </x:c>
      <x:c r="J824" t="str">
        <x:v>Bakery</x:v>
      </x:c>
      <x:c r="K824" t="str">
        <x:v>Britannia</x:v>
      </x:c>
      <x:c r="L824" s="22" t="n">
        <x:v>45</x:v>
      </x:c>
      <x:c r="M824" t="n">
        <x:v>24</x:v>
      </x:c>
      <x:c r="N824" s="24" t="n">
        <x:v>0</x:v>
      </x:c>
      <x:c r="O824" s="22" t="n">
        <x:f>L824*M824</x:f>
        <x:v>1080</x:v>
      </x:c>
      <x:c r="P824" s="22" t="n">
        <x:f>O824*(1-N824)</x:f>
        <x:v>1080</x:v>
      </x:c>
      <x:c r="Q824" s="22" t="n">
        <x:v>35</x:v>
      </x:c>
      <x:c r="R824" s="22" t="n">
        <x:f>Q824*M824</x:f>
        <x:v>840</x:v>
      </x:c>
      <x:c r="S824" s="22" t="n">
        <x:f>P824-R824</x:f>
        <x:v>240</x:v>
      </x:c>
      <x:c r="T824" t="str">
        <x:v>Credit</x:v>
      </x:c>
      <x:c r="U824" t="str">
        <x:v>Paid</x:v>
      </x:c>
      <x:c r="V824" t="str">
        <x:v>Delivered</x:v>
      </x:c>
      <x:c r="W824" t="n">
        <x:v>0</x:v>
      </x:c>
      <x:c r="X824" t="str"/>
      <x:c r="Y824" t="str">
        <x:v>Outbound Call</x:v>
      </x:c>
    </x:row>
    <x:row r="825">
      <x:c r="A825" t="str">
        <x:v>O000824</x:v>
      </x:c>
      <x:c r="B825" s="20" t="n">
        <x:v>45908</x:v>
      </x:c>
      <x:c r="C825" t="str">
        <x:v>C0165</x:v>
      </x:c>
      <x:c r="D825" t="str">
        <x:v>Royal Restaurant 165</x:v>
      </x:c>
      <x:c r="E825" t="str">
        <x:v>Hotel</x:v>
      </x:c>
      <x:c r="F825" t="str">
        <x:v>Tumakuru</x:v>
      </x:c>
      <x:c r="G825" t="str">
        <x:v>Kavya</x:v>
      </x:c>
      <x:c r="H825" t="str">
        <x:v>P004</x:v>
      </x:c>
      <x:c r="I825" t="str">
        <x:v>Toor Dal 5kg</x:v>
      </x:c>
      <x:c r="J825" t="str">
        <x:v>Pulses</x:v>
      </x:c>
      <x:c r="K825" t="str">
        <x:v>Tata Sampann</x:v>
      </x:c>
      <x:c r="L825" s="22" t="n">
        <x:v>780</x:v>
      </x:c>
      <x:c r="M825" t="n">
        <x:v>36</x:v>
      </x:c>
      <x:c r="N825" s="24" t="n">
        <x:v>0</x:v>
      </x:c>
      <x:c r="O825" s="22" t="n">
        <x:f>L825*M825</x:f>
        <x:v>28080</x:v>
      </x:c>
      <x:c r="P825" s="22" t="n">
        <x:f>O825*(1-N825)</x:f>
        <x:v>28080</x:v>
      </x:c>
      <x:c r="Q825" s="22" t="n">
        <x:v>695</x:v>
      </x:c>
      <x:c r="R825" s="22" t="n">
        <x:f>Q825*M825</x:f>
        <x:v>25020</x:v>
      </x:c>
      <x:c r="S825" s="22" t="n">
        <x:f>P825-R825</x:f>
        <x:v>3060</x:v>
      </x:c>
      <x:c r="T825" t="str">
        <x:v>UPI</x:v>
      </x:c>
      <x:c r="U825" t="str">
        <x:v>Paid</x:v>
      </x:c>
      <x:c r="V825" t="str">
        <x:v>Delivered</x:v>
      </x:c>
      <x:c r="W825" t="n">
        <x:v>0</x:v>
      </x:c>
      <x:c r="X825" t="str"/>
      <x:c r="Y825" t="str">
        <x:v>Outbound Call</x:v>
      </x:c>
    </x:row>
    <x:row r="826">
      <x:c r="A826" t="str">
        <x:v>O000825</x:v>
      </x:c>
      <x:c r="B826" s="20" t="n">
        <x:v>45753</x:v>
      </x:c>
      <x:c r="C826" t="str">
        <x:v>C0224</x:v>
      </x:c>
      <x:c r="D826" t="str">
        <x:v>Royal Foods 224</x:v>
      </x:c>
      <x:c r="E826" t="str">
        <x:v>Canteen</x:v>
      </x:c>
      <x:c r="F826" t="str">
        <x:v>Tumakuru</x:v>
      </x:c>
      <x:c r="G826" t="str">
        <x:v>Arjun</x:v>
      </x:c>
      <x:c r="H826" t="str">
        <x:v>P030</x:v>
      </x:c>
      <x:c r="I826" t="str">
        <x:v>Mayonnaise 1kg</x:v>
      </x:c>
      <x:c r="J826" t="str">
        <x:v>Condiments</x:v>
      </x:c>
      <x:c r="K826" t="str">
        <x:v>Veeba</x:v>
      </x:c>
      <x:c r="L826" s="22" t="n">
        <x:v>210</x:v>
      </x:c>
      <x:c r="M826" t="n">
        <x:v>23</x:v>
      </x:c>
      <x:c r="N826" s="24" t="n">
        <x:v>0.03</x:v>
      </x:c>
      <x:c r="O826" s="22" t="n">
        <x:f>L826*M826</x:f>
        <x:v>4830</x:v>
      </x:c>
      <x:c r="P826" s="22" t="n">
        <x:f>O826*(1-N826)</x:f>
        <x:v>4685.099999999999</x:v>
      </x:c>
      <x:c r="Q826" s="22" t="n">
        <x:v>185</x:v>
      </x:c>
      <x:c r="R826" s="22" t="n">
        <x:f>Q826*M826</x:f>
        <x:v>4255</x:v>
      </x:c>
      <x:c r="S826" s="22" t="n">
        <x:f>P826-R826</x:f>
        <x:v>430.09999999999945</x:v>
      </x:c>
      <x:c r="T826" t="str">
        <x:v>Credit</x:v>
      </x:c>
      <x:c r="U826" t="str">
        <x:v>Paid</x:v>
      </x:c>
      <x:c r="V826" t="str">
        <x:v>Delivered</x:v>
      </x:c>
      <x:c r="W826" t="n">
        <x:v>0</x:v>
      </x:c>
      <x:c r="X826" t="str"/>
      <x:c r="Y826" t="str">
        <x:v>WhatsApp</x:v>
      </x:c>
    </x:row>
    <x:row r="827">
      <x:c r="A827" t="str">
        <x:v>O000826</x:v>
      </x:c>
      <x:c r="B827" s="20" t="n">
        <x:v>45994</x:v>
      </x:c>
      <x:c r="C827" t="str">
        <x:v>C0052</x:v>
      </x:c>
      <x:c r="D827" t="str">
        <x:v>Sagar Canteen 52</x:v>
      </x:c>
      <x:c r="E827" t="str">
        <x:v>Kirana</x:v>
      </x:c>
      <x:c r="F827" t="str">
        <x:v>Mysuru</x:v>
      </x:c>
      <x:c r="G827" t="str">
        <x:v>Kavya</x:v>
      </x:c>
      <x:c r="H827" t="str">
        <x:v>P026</x:v>
      </x:c>
      <x:c r="I827" t="str">
        <x:v>Banana Chips 80g</x:v>
      </x:c>
      <x:c r="J827" t="str">
        <x:v>Snacks</x:v>
      </x:c>
      <x:c r="K827" t="str">
        <x:v>SSS</x:v>
      </x:c>
      <x:c r="L827" s="22" t="n">
        <x:v>54</x:v>
      </x:c>
      <x:c r="M827" t="n">
        <x:v>5</x:v>
      </x:c>
      <x:c r="N827" s="24" t="n">
        <x:v>0.02</x:v>
      </x:c>
      <x:c r="O827" s="22" t="n">
        <x:f>L827*M827</x:f>
        <x:v>270</x:v>
      </x:c>
      <x:c r="P827" s="22" t="n">
        <x:f>O827*(1-N827)</x:f>
        <x:v>264.6</x:v>
      </x:c>
      <x:c r="Q827" s="22" t="n">
        <x:v>39</x:v>
      </x:c>
      <x:c r="R827" s="22" t="n">
        <x:f>Q827*M827</x:f>
        <x:v>195</x:v>
      </x:c>
      <x:c r="S827" s="22" t="n">
        <x:f>P827-R827</x:f>
        <x:v>69.60000000000002</x:v>
      </x:c>
      <x:c r="T827" t="str">
        <x:v>Credit</x:v>
      </x:c>
      <x:c r="U827" t="str">
        <x:v>Paid</x:v>
      </x:c>
      <x:c r="V827" t="str">
        <x:v>Cancelled</x:v>
      </x:c>
      <x:c r="W827" t="n">
        <x:v>5</x:v>
      </x:c>
      <x:c r="X827" t="str">
        <x:v>Cancelled Order</x:v>
      </x:c>
      <x:c r="Y827" t="str">
        <x:v>WhatsApp</x:v>
      </x:c>
    </x:row>
    <x:row r="828">
      <x:c r="A828" t="str">
        <x:v>O000827</x:v>
      </x:c>
      <x:c r="B828" s="20" t="n">
        <x:v>46216</x:v>
      </x:c>
      <x:c r="C828" t="str">
        <x:v>C0117</x:v>
      </x:c>
      <x:c r="D828" t="str">
        <x:v>Classic Canteen 117</x:v>
      </x:c>
      <x:c r="E828" t="str">
        <x:v>Restaurant</x:v>
      </x:c>
      <x:c r="F828" t="str">
        <x:v>Hubballi</x:v>
      </x:c>
      <x:c r="G828" t="str">
        <x:v>Megha</x:v>
      </x:c>
      <x:c r="H828" t="str">
        <x:v>P003</x:v>
      </x:c>
      <x:c r="I828" t="str">
        <x:v>Basmati Rice 5kg</x:v>
      </x:c>
      <x:c r="J828" t="str">
        <x:v>Staples</x:v>
      </x:c>
      <x:c r="K828" t="str">
        <x:v>India Gate</x:v>
      </x:c>
      <x:c r="L828" s="22" t="n">
        <x:v>690</x:v>
      </x:c>
      <x:c r="M828" t="n">
        <x:v>10</x:v>
      </x:c>
      <x:c r="N828" s="24" t="n">
        <x:v>0.08</x:v>
      </x:c>
      <x:c r="O828" s="22" t="n">
        <x:f>L828*M828</x:f>
        <x:v>6900</x:v>
      </x:c>
      <x:c r="P828" s="22" t="n">
        <x:f>O828*(1-N828)</x:f>
        <x:v>6348</x:v>
      </x:c>
      <x:c r="Q828" s="22" t="n">
        <x:v>610</x:v>
      </x:c>
      <x:c r="R828" s="22" t="n">
        <x:f>Q828*M828</x:f>
        <x:v>6100</x:v>
      </x:c>
      <x:c r="S828" s="22" t="n">
        <x:f>P828-R828</x:f>
        <x:v>248</x:v>
      </x:c>
      <x:c r="T828" t="str">
        <x:v>Bank Transfer</x:v>
      </x:c>
      <x:c r="U828" t="str">
        <x:v>Paid</x:v>
      </x:c>
      <x:c r="V828" t="str">
        <x:v>Delivered</x:v>
      </x:c>
      <x:c r="W828" t="n">
        <x:v>0</x:v>
      </x:c>
      <x:c r="X828" t="str"/>
      <x:c r="Y828" t="str">
        <x:v>Existing Customer</x:v>
      </x:c>
    </x:row>
    <x:row r="829">
      <x:c r="A829" t="str">
        <x:v>O000828</x:v>
      </x:c>
      <x:c r="B829" s="20" t="n">
        <x:v>46098</x:v>
      </x:c>
      <x:c r="C829" t="str">
        <x:v>C0016</x:v>
      </x:c>
      <x:c r="D829" t="str">
        <x:v>Royal Canteen 16</x:v>
      </x:c>
      <x:c r="E829" t="str">
        <x:v>Cafe</x:v>
      </x:c>
      <x:c r="F829" t="str">
        <x:v>Davanagere</x:v>
      </x:c>
      <x:c r="G829" t="str">
        <x:v>Megha</x:v>
      </x:c>
      <x:c r="H829" t="str">
        <x:v>P024</x:v>
      </x:c>
      <x:c r="I829" t="str">
        <x:v>Orange Drink 1L</x:v>
      </x:c>
      <x:c r="J829" t="str">
        <x:v>Beverage</x:v>
      </x:c>
      <x:c r="K829" t="str">
        <x:v>Minute Maid</x:v>
      </x:c>
      <x:c r="L829" s="22" t="n">
        <x:v>105</x:v>
      </x:c>
      <x:c r="M829" t="n">
        <x:v>31</x:v>
      </x:c>
      <x:c r="N829" s="24" t="n">
        <x:v>0</x:v>
      </x:c>
      <x:c r="O829" s="22" t="n">
        <x:f>L829*M829</x:f>
        <x:v>3255</x:v>
      </x:c>
      <x:c r="P829" s="22" t="n">
        <x:f>O829*(1-N829)</x:f>
        <x:v>3255</x:v>
      </x:c>
      <x:c r="Q829" s="22" t="n">
        <x:v>88</x:v>
      </x:c>
      <x:c r="R829" s="22" t="n">
        <x:f>Q829*M829</x:f>
        <x:v>2728</x:v>
      </x:c>
      <x:c r="S829" s="22" t="n">
        <x:f>P829-R829</x:f>
        <x:v>527</x:v>
      </x:c>
      <x:c r="T829" t="str">
        <x:v>Bank Transfer</x:v>
      </x:c>
      <x:c r="U829" t="str">
        <x:v>Pending</x:v>
      </x:c>
      <x:c r="V829" t="str">
        <x:v>Cancelled</x:v>
      </x:c>
      <x:c r="W829" t="n">
        <x:v>31</x:v>
      </x:c>
      <x:c r="X829" t="str">
        <x:v>Cancelled Order</x:v>
      </x:c>
      <x:c r="Y829" t="str">
        <x:v>WhatsApp</x:v>
      </x:c>
    </x:row>
    <x:row r="830">
      <x:c r="A830" t="str">
        <x:v>O000829</x:v>
      </x:c>
      <x:c r="B830" s="20" t="n">
        <x:v>45743</x:v>
      </x:c>
      <x:c r="C830" t="str">
        <x:v>C0163</x:v>
      </x:c>
      <x:c r="D830" t="str">
        <x:v>Shree Kitchen 163</x:v>
      </x:c>
      <x:c r="E830" t="str">
        <x:v>Kirana</x:v>
      </x:c>
      <x:c r="F830" t="str">
        <x:v>Mysuru</x:v>
      </x:c>
      <x:c r="G830" t="str">
        <x:v>Priya</x:v>
      </x:c>
      <x:c r="H830" t="str">
        <x:v>P012</x:v>
      </x:c>
      <x:c r="I830" t="str">
        <x:v>Maida 10kg</x:v>
      </x:c>
      <x:c r="J830" t="str">
        <x:v>Flour</x:v>
      </x:c>
      <x:c r="K830" t="str">
        <x:v>Aashirvaad</x:v>
      </x:c>
      <x:c r="L830" s="22" t="n">
        <x:v>520</x:v>
      </x:c>
      <x:c r="M830" t="n">
        <x:v>10</x:v>
      </x:c>
      <x:c r="N830" s="24" t="n">
        <x:v>0</x:v>
      </x:c>
      <x:c r="O830" s="22" t="n">
        <x:f>L830*M830</x:f>
        <x:v>5200</x:v>
      </x:c>
      <x:c r="P830" s="22" t="n">
        <x:f>O830*(1-N830)</x:f>
        <x:v>5200</x:v>
      </x:c>
      <x:c r="Q830" s="22" t="n">
        <x:v>460</x:v>
      </x:c>
      <x:c r="R830" s="22" t="n">
        <x:f>Q830*M830</x:f>
        <x:v>4600</x:v>
      </x:c>
      <x:c r="S830" s="22" t="n">
        <x:f>P830-R830</x:f>
        <x:v>600</x:v>
      </x:c>
      <x:c r="T830" t="str">
        <x:v>Credit</x:v>
      </x:c>
      <x:c r="U830" t="str">
        <x:v>Paid</x:v>
      </x:c>
      <x:c r="V830" t="str">
        <x:v>Cancelled</x:v>
      </x:c>
      <x:c r="W830" t="n">
        <x:v>10</x:v>
      </x:c>
      <x:c r="X830" t="str">
        <x:v>Cancelled Order</x:v>
      </x:c>
      <x:c r="Y830" t="str">
        <x:v>WhatsApp</x:v>
      </x:c>
    </x:row>
    <x:row r="831">
      <x:c r="A831" t="str">
        <x:v>O000830</x:v>
      </x:c>
      <x:c r="B831" s="20" t="n">
        <x:v>45923</x:v>
      </x:c>
      <x:c r="C831" t="str">
        <x:v>C0135</x:v>
      </x:c>
      <x:c r="D831" t="str">
        <x:v>City Canteen 135</x:v>
      </x:c>
      <x:c r="E831" t="str">
        <x:v>Supermarket</x:v>
      </x:c>
      <x:c r="F831" t="str">
        <x:v>Hubballi</x:v>
      </x:c>
      <x:c r="G831" t="str">
        <x:v>Megha</x:v>
      </x:c>
      <x:c r="H831" t="str">
        <x:v>P014</x:v>
      </x:c>
      <x:c r="I831" t="str">
        <x:v>Rava 5kg</x:v>
      </x:c>
      <x:c r="J831" t="str">
        <x:v>Flour</x:v>
      </x:c>
      <x:c r="K831" t="str">
        <x:v>Local Select</x:v>
      </x:c>
      <x:c r="L831" s="22" t="n">
        <x:v>245</x:v>
      </x:c>
      <x:c r="M831" t="n">
        <x:v>12</x:v>
      </x:c>
      <x:c r="N831" s="24" t="n">
        <x:v>0.05</x:v>
      </x:c>
      <x:c r="O831" s="22" t="n">
        <x:f>L831*M831</x:f>
        <x:v>2940</x:v>
      </x:c>
      <x:c r="P831" s="22" t="n">
        <x:f>O831*(1-N831)</x:f>
        <x:v>2793</x:v>
      </x:c>
      <x:c r="Q831" s="22" t="n">
        <x:v>215</x:v>
      </x:c>
      <x:c r="R831" s="22" t="n">
        <x:f>Q831*M831</x:f>
        <x:v>2580</x:v>
      </x:c>
      <x:c r="S831" s="22" t="n">
        <x:f>P831-R831</x:f>
        <x:v>213</x:v>
      </x:c>
      <x:c r="T831" t="str">
        <x:v>UPI</x:v>
      </x:c>
      <x:c r="U831" t="str">
        <x:v>Pending</x:v>
      </x:c>
      <x:c r="V831" t="str">
        <x:v>Delivered</x:v>
      </x:c>
      <x:c r="W831" t="n">
        <x:v>0</x:v>
      </x:c>
      <x:c r="X831" t="str"/>
      <x:c r="Y831" t="str">
        <x:v>Field Visit</x:v>
      </x:c>
    </x:row>
    <x:row r="832">
      <x:c r="A832" t="str">
        <x:v>O000831</x:v>
      </x:c>
      <x:c r="B832" s="20" t="n">
        <x:v>46151</x:v>
      </x:c>
      <x:c r="C832" t="str">
        <x:v>C0090</x:v>
      </x:c>
      <x:c r="D832" t="str">
        <x:v>Shree Mart 90</x:v>
      </x:c>
      <x:c r="E832" t="str">
        <x:v>Restaurant</x:v>
      </x:c>
      <x:c r="F832" t="str">
        <x:v>Davanagere</x:v>
      </x:c>
      <x:c r="G832" t="str">
        <x:v>Megha</x:v>
      </x:c>
      <x:c r="H832" t="str">
        <x:v>P027</x:v>
      </x:c>
      <x:c r="I832" t="str">
        <x:v>Biscuits 120g</x:v>
      </x:c>
      <x:c r="J832" t="str">
        <x:v>Snacks</x:v>
      </x:c>
      <x:c r="K832" t="str">
        <x:v>Parle-G</x:v>
      </x:c>
      <x:c r="L832" s="22" t="n">
        <x:v>12</x:v>
      </x:c>
      <x:c r="M832" t="n">
        <x:v>31</x:v>
      </x:c>
      <x:c r="N832" s="24" t="n">
        <x:v>0.03</x:v>
      </x:c>
      <x:c r="O832" s="22" t="n">
        <x:f>L832*M832</x:f>
        <x:v>372</x:v>
      </x:c>
      <x:c r="P832" s="22" t="n">
        <x:f>O832*(1-N832)</x:f>
        <x:v>360.84</x:v>
      </x:c>
      <x:c r="Q832" s="22" t="n">
        <x:v>9</x:v>
      </x:c>
      <x:c r="R832" s="22" t="n">
        <x:f>Q832*M832</x:f>
        <x:v>279</x:v>
      </x:c>
      <x:c r="S832" s="22" t="n">
        <x:f>P832-R832</x:f>
        <x:v>81.83999999999997</x:v>
      </x:c>
      <x:c r="T832" t="str">
        <x:v>Bank Transfer</x:v>
      </x:c>
      <x:c r="U832" t="str">
        <x:v>Overdue</x:v>
      </x:c>
      <x:c r="V832" t="str">
        <x:v>Delivered</x:v>
      </x:c>
      <x:c r="W832" t="n">
        <x:v>0</x:v>
      </x:c>
      <x:c r="X832" t="str"/>
      <x:c r="Y832" t="str">
        <x:v>Existing Customer</x:v>
      </x:c>
    </x:row>
    <x:row r="833">
      <x:c r="A833" t="str">
        <x:v>O000832</x:v>
      </x:c>
      <x:c r="B833" s="20" t="n">
        <x:v>46269</x:v>
      </x:c>
      <x:c r="C833" t="str">
        <x:v>C0003</x:v>
      </x:c>
      <x:c r="D833" t="str">
        <x:v>Grand Foods 3</x:v>
      </x:c>
      <x:c r="E833" t="str">
        <x:v>Restaurant</x:v>
      </x:c>
      <x:c r="F833" t="str">
        <x:v>Bengaluru</x:v>
      </x:c>
      <x:c r="G833" t="str">
        <x:v>Vikram</x:v>
      </x:c>
      <x:c r="H833" t="str">
        <x:v>P036</x:v>
      </x:c>
      <x:c r="I833" t="str">
        <x:v>Garam Masala 500g</x:v>
      </x:c>
      <x:c r="J833" t="str">
        <x:v>Spices</x:v>
      </x:c>
      <x:c r="K833" t="str">
        <x:v>MDH</x:v>
      </x:c>
      <x:c r="L833" s="22" t="n">
        <x:v>265</x:v>
      </x:c>
      <x:c r="M833" t="n">
        <x:v>13</x:v>
      </x:c>
      <x:c r="N833" s="24" t="n">
        <x:v>0</x:v>
      </x:c>
      <x:c r="O833" s="22" t="n">
        <x:f>L833*M833</x:f>
        <x:v>3445</x:v>
      </x:c>
      <x:c r="P833" s="22" t="n">
        <x:f>O833*(1-N833)</x:f>
        <x:v>3445</x:v>
      </x:c>
      <x:c r="Q833" s="22" t="n">
        <x:v>230</x:v>
      </x:c>
      <x:c r="R833" s="22" t="n">
        <x:f>Q833*M833</x:f>
        <x:v>2990</x:v>
      </x:c>
      <x:c r="S833" s="22" t="n">
        <x:f>P833-R833</x:f>
        <x:v>455</x:v>
      </x:c>
      <x:c r="T833" t="str">
        <x:v>Bank Transfer</x:v>
      </x:c>
      <x:c r="U833" t="str">
        <x:v>Paid</x:v>
      </x:c>
      <x:c r="V833" t="str">
        <x:v>Cancelled</x:v>
      </x:c>
      <x:c r="W833" t="n">
        <x:v>13</x:v>
      </x:c>
      <x:c r="X833" t="str">
        <x:v>Cancelled Order</x:v>
      </x:c>
      <x:c r="Y833" t="str"/>
    </x:row>
    <x:row r="834">
      <x:c r="A834" t="str">
        <x:v>O000833</x:v>
      </x:c>
      <x:c r="B834" s="20" t="n">
        <x:v>45809</x:v>
      </x:c>
      <x:c r="C834" t="str">
        <x:v>C0230</x:v>
      </x:c>
      <x:c r="D834" t="str">
        <x:v>Darshini Foods 230</x:v>
      </x:c>
      <x:c r="E834" t="str">
        <x:v>Restaurant</x:v>
      </x:c>
      <x:c r="F834" t="str">
        <x:v>Davanagere</x:v>
      </x:c>
      <x:c r="G834" t="str">
        <x:v>Priya</x:v>
      </x:c>
      <x:c r="H834" t="str">
        <x:v>P030</x:v>
      </x:c>
      <x:c r="I834" t="str">
        <x:v>Mayonnaise 1kg</x:v>
      </x:c>
      <x:c r="J834" t="str">
        <x:v>Condiments</x:v>
      </x:c>
      <x:c r="K834" t="str">
        <x:v>Veeba</x:v>
      </x:c>
      <x:c r="L834" s="22" t="n">
        <x:v>210</x:v>
      </x:c>
      <x:c r="M834" t="n">
        <x:v>32</x:v>
      </x:c>
      <x:c r="N834" s="24" t="n">
        <x:v>0.08</x:v>
      </x:c>
      <x:c r="O834" s="22" t="n">
        <x:f>L834*M834</x:f>
        <x:v>6720</x:v>
      </x:c>
      <x:c r="P834" s="22" t="n">
        <x:f>O834*(1-N834)</x:f>
        <x:v>6182.400000000001</x:v>
      </x:c>
      <x:c r="Q834" s="22" t="n">
        <x:v>185</x:v>
      </x:c>
      <x:c r="R834" s="22" t="n">
        <x:f>Q834*M834</x:f>
        <x:v>5920</x:v>
      </x:c>
      <x:c r="S834" s="22" t="n">
        <x:f>P834-R834</x:f>
        <x:v>262.40000000000055</x:v>
      </x:c>
      <x:c r="T834" t="str">
        <x:v>UPI</x:v>
      </x:c>
      <x:c r="U834" t="str">
        <x:v>Pending</x:v>
      </x:c>
      <x:c r="V834" t="str">
        <x:v>Cancelled</x:v>
      </x:c>
      <x:c r="W834" t="n">
        <x:v>32</x:v>
      </x:c>
      <x:c r="X834" t="str">
        <x:v>Cancelled Order</x:v>
      </x:c>
      <x:c r="Y834" t="str">
        <x:v>WhatsApp</x:v>
      </x:c>
    </x:row>
    <x:row r="835">
      <x:c r="A835" t="str">
        <x:v>O000834</x:v>
      </x:c>
      <x:c r="B835" s="20" t="n">
        <x:v>46119</x:v>
      </x:c>
      <x:c r="C835" t="str">
        <x:v>C0185</x:v>
      </x:c>
      <x:c r="D835" t="str">
        <x:v>Mysore Foods 185</x:v>
      </x:c>
      <x:c r="E835" t="str">
        <x:v>Restaurant</x:v>
      </x:c>
      <x:c r="F835" t="str">
        <x:v>Mysuru</x:v>
      </x:c>
      <x:c r="G835" t="str">
        <x:v>Sneha</x:v>
      </x:c>
      <x:c r="H835" t="str">
        <x:v>P001</x:v>
      </x:c>
      <x:c r="I835" t="str">
        <x:v>Steam Rice 25kg</x:v>
      </x:c>
      <x:c r="J835" t="str">
        <x:v>Staples</x:v>
      </x:c>
      <x:c r="K835" t="str">
        <x:v>Aishwarya</x:v>
      </x:c>
      <x:c r="L835" s="22" t="n">
        <x:v>1180</x:v>
      </x:c>
      <x:c r="M835" t="n">
        <x:v>11</x:v>
      </x:c>
      <x:c r="N835" s="24" t="n">
        <x:v>0.03</x:v>
      </x:c>
      <x:c r="O835" s="22" t="n">
        <x:f>L835*M835</x:f>
        <x:v>12980</x:v>
      </x:c>
      <x:c r="P835" s="22" t="n">
        <x:f>O835*(1-N835)</x:f>
        <x:v>12590.6</x:v>
      </x:c>
      <x:c r="Q835" s="22" t="n">
        <x:v>1040</x:v>
      </x:c>
      <x:c r="R835" s="22" t="n">
        <x:f>Q835*M835</x:f>
        <x:v>11440</x:v>
      </x:c>
      <x:c r="S835" s="22" t="n">
        <x:f>P835-R835</x:f>
        <x:v>1150.6000000000004</x:v>
      </x:c>
      <x:c r="T835" t="str">
        <x:v>UPI</x:v>
      </x:c>
      <x:c r="U835" t="str">
        <x:v>Paid</x:v>
      </x:c>
      <x:c r="V835" t="str">
        <x:v>Cancelled</x:v>
      </x:c>
      <x:c r="W835" t="n">
        <x:v>11</x:v>
      </x:c>
      <x:c r="X835" t="str">
        <x:v>Cancelled Order</x:v>
      </x:c>
      <x:c r="Y835" t="str">
        <x:v>Referral</x:v>
      </x:c>
    </x:row>
    <x:row r="836">
      <x:c r="A836" t="str">
        <x:v>O000835</x:v>
      </x:c>
      <x:c r="B836" s="20" t="n">
        <x:v>45828</x:v>
      </x:c>
      <x:c r="C836" t="str">
        <x:v>C0140</x:v>
      </x:c>
      <x:c r="D836" t="str">
        <x:v>Fresh Hotel 140</x:v>
      </x:c>
      <x:c r="E836" t="str">
        <x:v>Kirana</x:v>
      </x:c>
      <x:c r="F836" t="str">
        <x:v>Tumakuru</x:v>
      </x:c>
      <x:c r="G836" t="str">
        <x:v>Imran</x:v>
      </x:c>
      <x:c r="H836" t="str">
        <x:v>P050</x:v>
      </x:c>
      <x:c r="I836" t="str">
        <x:v>Lemon 5kg</x:v>
      </x:c>
      <x:c r="J836" t="str">
        <x:v>Fresh Produce</x:v>
      </x:c>
      <x:c r="K836" t="str">
        <x:v>Local Market</x:v>
      </x:c>
      <x:c r="L836" s="22" t="n">
        <x:v>360</x:v>
      </x:c>
      <x:c r="M836" t="n">
        <x:v>39</x:v>
      </x:c>
      <x:c r="N836" s="24" t="n">
        <x:v>0.02</x:v>
      </x:c>
      <x:c r="O836" s="22" t="n">
        <x:f>L836*M836</x:f>
        <x:v>14040</x:v>
      </x:c>
      <x:c r="P836" s="22" t="n">
        <x:f>O836*(1-N836)</x:f>
        <x:v>13759.199999999999</x:v>
      </x:c>
      <x:c r="Q836" s="22" t="n">
        <x:v>300</x:v>
      </x:c>
      <x:c r="R836" s="22" t="n">
        <x:f>Q836*M836</x:f>
        <x:v>11700</x:v>
      </x:c>
      <x:c r="S836" s="22" t="n">
        <x:f>P836-R836</x:f>
        <x:v>2059.199999999999</x:v>
      </x:c>
      <x:c r="T836" t="str">
        <x:v>Cash</x:v>
      </x:c>
      <x:c r="U836" t="str">
        <x:v>Paid</x:v>
      </x:c>
      <x:c r="V836" t="str">
        <x:v>Delivered</x:v>
      </x:c>
      <x:c r="W836" t="n">
        <x:v>0</x:v>
      </x:c>
      <x:c r="X836" t="str"/>
      <x:c r="Y836" t="str">
        <x:v>Existing Customer</x:v>
      </x:c>
    </x:row>
    <x:row r="837">
      <x:c r="A837" t="str">
        <x:v>O000836</x:v>
      </x:c>
      <x:c r="B837" s="20" t="n">
        <x:v>45674</x:v>
      </x:c>
      <x:c r="C837" t="str">
        <x:v>C0095</x:v>
      </x:c>
      <x:c r="D837" t="str">
        <x:v>Spice Restaurant 95</x:v>
      </x:c>
      <x:c r="E837" t="str">
        <x:v>Restaurant</x:v>
      </x:c>
      <x:c r="F837" t="str">
        <x:v>Bengaluru</x:v>
      </x:c>
      <x:c r="G837" t="str">
        <x:v>Megha</x:v>
      </x:c>
      <x:c r="H837" t="str">
        <x:v>P024</x:v>
      </x:c>
      <x:c r="I837" t="str">
        <x:v>Orange Drink 1L</x:v>
      </x:c>
      <x:c r="J837" t="str">
        <x:v>Beverage</x:v>
      </x:c>
      <x:c r="K837" t="str">
        <x:v>Minute Maid</x:v>
      </x:c>
      <x:c r="L837" s="22" t="n">
        <x:v>105</x:v>
      </x:c>
      <x:c r="M837" t="n">
        <x:v>20</x:v>
      </x:c>
      <x:c r="N837" s="24" t="n">
        <x:v>0.08</x:v>
      </x:c>
      <x:c r="O837" s="22" t="n">
        <x:f>L837*M837</x:f>
        <x:v>2100</x:v>
      </x:c>
      <x:c r="P837" s="22" t="n">
        <x:f>O837*(1-N837)</x:f>
        <x:v>1932</x:v>
      </x:c>
      <x:c r="Q837" s="22" t="n">
        <x:v>88</x:v>
      </x:c>
      <x:c r="R837" s="22" t="n">
        <x:f>Q837*M837</x:f>
        <x:v>1760</x:v>
      </x:c>
      <x:c r="S837" s="22" t="n">
        <x:f>P837-R837</x:f>
        <x:v>172</x:v>
      </x:c>
      <x:c r="T837" t="str">
        <x:v>UPI</x:v>
      </x:c>
      <x:c r="U837" t="str">
        <x:v>Paid</x:v>
      </x:c>
      <x:c r="V837" t="str">
        <x:v>Cancelled</x:v>
      </x:c>
      <x:c r="W837" t="n">
        <x:v>20</x:v>
      </x:c>
      <x:c r="X837" t="str">
        <x:v>Cancelled Order</x:v>
      </x:c>
      <x:c r="Y837" t="str">
        <x:v>WhatsApp</x:v>
      </x:c>
    </x:row>
    <x:row r="838">
      <x:c r="A838" t="str">
        <x:v>O000837</x:v>
      </x:c>
      <x:c r="B838" s="20" t="n">
        <x:v>46213</x:v>
      </x:c>
      <x:c r="C838" t="str">
        <x:v>C0091</x:v>
      </x:c>
      <x:c r="D838" t="str">
        <x:v>Classic Mart 91</x:v>
      </x:c>
      <x:c r="E838" t="str">
        <x:v>Cafe</x:v>
      </x:c>
      <x:c r="F838" t="str">
        <x:v>Mangaluru</x:v>
      </x:c>
      <x:c r="G838" t="str">
        <x:v>Kavya</x:v>
      </x:c>
      <x:c r="H838" t="str">
        <x:v>P023</x:v>
      </x:c>
      <x:c r="I838" t="str">
        <x:v>Cola 750ml</x:v>
      </x:c>
      <x:c r="J838" t="str">
        <x:v>Beverage</x:v>
      </x:c>
      <x:c r="K838" t="str">
        <x:v>Coca-Cola</x:v>
      </x:c>
      <x:c r="L838" s="22" t="n">
        <x:v>38</x:v>
      </x:c>
      <x:c r="M838" t="n">
        <x:v>28</x:v>
      </x:c>
      <x:c r="N838" s="24" t="n">
        <x:v>0.03</x:v>
      </x:c>
      <x:c r="O838" s="22" t="n">
        <x:f>L838*M838</x:f>
        <x:v>1064</x:v>
      </x:c>
      <x:c r="P838" s="22" t="n">
        <x:f>O838*(1-N838)</x:f>
        <x:v>1032.08</x:v>
      </x:c>
      <x:c r="Q838" s="22" t="n">
        <x:v>31</x:v>
      </x:c>
      <x:c r="R838" s="22" t="n">
        <x:f>Q838*M838</x:f>
        <x:v>868</x:v>
      </x:c>
      <x:c r="S838" s="22" t="n">
        <x:f>P838-R838</x:f>
        <x:v>164.07999999999993</x:v>
      </x:c>
      <x:c r="T838" t="str">
        <x:v>Cash</x:v>
      </x:c>
      <x:c r="U838" t="str">
        <x:v>Paid</x:v>
      </x:c>
      <x:c r="V838" t="str">
        <x:v>Delivered</x:v>
      </x:c>
      <x:c r="W838" t="n">
        <x:v>0</x:v>
      </x:c>
      <x:c r="X838" t="str"/>
      <x:c r="Y838" t="str">
        <x:v>Field Visit</x:v>
      </x:c>
    </x:row>
    <x:row r="839">
      <x:c r="A839" t="str">
        <x:v>O000838</x:v>
      </x:c>
      <x:c r="B839" s="20" t="n">
        <x:v>46213</x:v>
      </x:c>
      <x:c r="C839" t="str">
        <x:v>C0153</x:v>
      </x:c>
      <x:c r="D839" t="str">
        <x:v>Fresh Foods 153</x:v>
      </x:c>
      <x:c r="E839" t="str">
        <x:v>Kirana</x:v>
      </x:c>
      <x:c r="F839" t="str">
        <x:v>Bengaluru</x:v>
      </x:c>
      <x:c r="G839" t="str">
        <x:v>Priya</x:v>
      </x:c>
      <x:c r="H839" t="str">
        <x:v>P011</x:v>
      </x:c>
      <x:c r="I839" t="str">
        <x:v>Salt 1kg</x:v>
      </x:c>
      <x:c r="J839" t="str">
        <x:v>Staples</x:v>
      </x:c>
      <x:c r="K839" t="str">
        <x:v>Tata</x:v>
      </x:c>
      <x:c r="L839" s="22" t="n">
        <x:v>28</x:v>
      </x:c>
      <x:c r="M839" t="n">
        <x:v>28</x:v>
      </x:c>
      <x:c r="N839" s="24" t="n">
        <x:v>0.02</x:v>
      </x:c>
      <x:c r="O839" s="22" t="n">
        <x:f>L839*M839</x:f>
        <x:v>784</x:v>
      </x:c>
      <x:c r="P839" s="22" t="n">
        <x:f>O839*(1-N839)</x:f>
        <x:v>768.3199999999999</x:v>
      </x:c>
      <x:c r="Q839" s="22" t="n">
        <x:v>23</x:v>
      </x:c>
      <x:c r="R839" s="22" t="n">
        <x:f>Q839*M839</x:f>
        <x:v>644</x:v>
      </x:c>
      <x:c r="S839" s="22" t="n">
        <x:f>P839-R839</x:f>
        <x:v>124.31999999999994</x:v>
      </x:c>
      <x:c r="T839" t="str">
        <x:v>Credit</x:v>
      </x:c>
      <x:c r="U839" t="str">
        <x:v>Paid</x:v>
      </x:c>
      <x:c r="V839" t="str">
        <x:v>Cancelled</x:v>
      </x:c>
      <x:c r="W839" t="n">
        <x:v>28</x:v>
      </x:c>
      <x:c r="X839" t="str">
        <x:v>Cancelled Order</x:v>
      </x:c>
      <x:c r="Y839" t="str">
        <x:v>Existing Customer</x:v>
      </x:c>
    </x:row>
    <x:row r="840">
      <x:c r="A840" t="str">
        <x:v>O000839</x:v>
      </x:c>
      <x:c r="B840" s="20" t="n">
        <x:v>45747</x:v>
      </x:c>
      <x:c r="C840" t="str">
        <x:v>C0232</x:v>
      </x:c>
      <x:c r="D840" t="str">
        <x:v>Grand Mart 232</x:v>
      </x:c>
      <x:c r="E840" t="str">
        <x:v>Cafe</x:v>
      </x:c>
      <x:c r="F840" t="str">
        <x:v>Davanagere</x:v>
      </x:c>
      <x:c r="G840" t="str">
        <x:v>Kavya</x:v>
      </x:c>
      <x:c r="H840" t="str">
        <x:v>P007</x:v>
      </x:c>
      <x:c r="I840" t="str">
        <x:v>Sunflower Oil 15L</x:v>
      </x:c>
      <x:c r="J840" t="str">
        <x:v>Edible Oil</x:v>
      </x:c>
      <x:c r="K840" t="str">
        <x:v>Fortune</x:v>
      </x:c>
      <x:c r="L840" s="22" t="n">
        <x:v>1980</x:v>
      </x:c>
      <x:c r="M840" t="n">
        <x:v>2</x:v>
      </x:c>
      <x:c r="N840" s="24" t="n">
        <x:v>0.05</x:v>
      </x:c>
      <x:c r="O840" s="22" t="n">
        <x:f>L840*M840</x:f>
        <x:v>3960</x:v>
      </x:c>
      <x:c r="P840" s="22" t="n">
        <x:f>O840*(1-N840)</x:f>
        <x:v>3762</x:v>
      </x:c>
      <x:c r="Q840" s="22" t="n">
        <x:v>1810</x:v>
      </x:c>
      <x:c r="R840" s="22" t="n">
        <x:f>Q840*M840</x:f>
        <x:v>3620</x:v>
      </x:c>
      <x:c r="S840" s="22" t="n">
        <x:f>P840-R840</x:f>
        <x:v>142</x:v>
      </x:c>
      <x:c r="T840" t="str">
        <x:v>Credit</x:v>
      </x:c>
      <x:c r="U840" t="str">
        <x:v>Paid</x:v>
      </x:c>
      <x:c r="V840" t="str">
        <x:v>Cancelled</x:v>
      </x:c>
      <x:c r="W840" t="n">
        <x:v>2</x:v>
      </x:c>
      <x:c r="X840" t="str">
        <x:v>Cancelled Order</x:v>
      </x:c>
      <x:c r="Y840" t="str">
        <x:v>Existing Customer</x:v>
      </x:c>
    </x:row>
    <x:row r="841">
      <x:c r="A841" t="str">
        <x:v>O000840</x:v>
      </x:c>
      <x:c r="B841" s="20" t="n">
        <x:v>46112</x:v>
      </x:c>
      <x:c r="C841" t="str">
        <x:v>C0026</x:v>
      </x:c>
      <x:c r="D841" t="str">
        <x:v>Cafe Kitchen 26</x:v>
      </x:c>
      <x:c r="E841" t="str">
        <x:v>Kirana</x:v>
      </x:c>
      <x:c r="F841" t="str">
        <x:v>Davanagere</x:v>
      </x:c>
      <x:c r="G841" t="str">
        <x:v>Kavya</x:v>
      </x:c>
      <x:c r="H841" t="str">
        <x:v>P041</x:v>
      </x:c>
      <x:c r="I841" t="str">
        <x:v>Burger Bun 6pc</x:v>
      </x:c>
      <x:c r="J841" t="str">
        <x:v>Bakery</x:v>
      </x:c>
      <x:c r="K841" t="str">
        <x:v>Modern</x:v>
      </x:c>
      <x:c r="L841" s="22" t="n">
        <x:v>42</x:v>
      </x:c>
      <x:c r="M841" t="n">
        <x:v>33</x:v>
      </x:c>
      <x:c r="N841" s="24" t="n">
        <x:v>0.03</x:v>
      </x:c>
      <x:c r="O841" s="22" t="n">
        <x:f>L841*M841</x:f>
        <x:v>1386</x:v>
      </x:c>
      <x:c r="P841" s="22" t="n">
        <x:f>O841*(1-N841)</x:f>
        <x:v>1344.42</x:v>
      </x:c>
      <x:c r="Q841" s="22" t="n">
        <x:v>32</x:v>
      </x:c>
      <x:c r="R841" s="22" t="n">
        <x:f>Q841*M841</x:f>
        <x:v>1056</x:v>
      </x:c>
      <x:c r="S841" s="22" t="n">
        <x:f>P841-R841</x:f>
        <x:v>288.4200000000001</x:v>
      </x:c>
      <x:c r="T841" t="str">
        <x:v>UPI</x:v>
      </x:c>
      <x:c r="U841" t="str">
        <x:v>Paid</x:v>
      </x:c>
      <x:c r="V841" t="str">
        <x:v>Delivered</x:v>
      </x:c>
      <x:c r="W841" t="n">
        <x:v>0</x:v>
      </x:c>
      <x:c r="X841" t="str"/>
      <x:c r="Y841" t="str">
        <x:v>WhatsApp</x:v>
      </x:c>
    </x:row>
    <x:row r="842">
      <x:c r="A842" t="str">
        <x:v>O000841</x:v>
      </x:c>
      <x:c r="B842" s="20" t="n">
        <x:v>46138</x:v>
      </x:c>
      <x:c r="C842" t="str">
        <x:v>C0030</x:v>
      </x:c>
      <x:c r="D842" t="str">
        <x:v>Hotel Restaurant 30</x:v>
      </x:c>
      <x:c r="E842" t="str">
        <x:v>Restaurant</x:v>
      </x:c>
      <x:c r="F842" t="str">
        <x:v>Bengaluru</x:v>
      </x:c>
      <x:c r="G842" t="str">
        <x:v>Imran</x:v>
      </x:c>
      <x:c r="H842" t="str">
        <x:v>P013</x:v>
      </x:c>
      <x:c r="I842" t="str">
        <x:v>Atta 10kg</x:v>
      </x:c>
      <x:c r="J842" t="str">
        <x:v>Flour</x:v>
      </x:c>
      <x:c r="K842" t="str">
        <x:v>Aashirvaad</x:v>
      </x:c>
      <x:c r="L842" s="22" t="n">
        <x:v>560</x:v>
      </x:c>
      <x:c r="M842" t="n">
        <x:v>8</x:v>
      </x:c>
      <x:c r="N842" s="24" t="n">
        <x:v>0.02</x:v>
      </x:c>
      <x:c r="O842" s="22" t="n">
        <x:f>L842*M842</x:f>
        <x:v>4480</x:v>
      </x:c>
      <x:c r="P842" s="22" t="n">
        <x:f>O842*(1-N842)</x:f>
        <x:v>4390.4</x:v>
      </x:c>
      <x:c r="Q842" s="22" t="n">
        <x:v>495</x:v>
      </x:c>
      <x:c r="R842" s="22" t="n">
        <x:f>Q842*M842</x:f>
        <x:v>3960</x:v>
      </x:c>
      <x:c r="S842" s="22" t="n">
        <x:f>P842-R842</x:f>
        <x:v>430.39999999999964</x:v>
      </x:c>
      <x:c r="T842" t="str">
        <x:v>Credit</x:v>
      </x:c>
      <x:c r="U842" t="str">
        <x:v>Paid</x:v>
      </x:c>
      <x:c r="V842" t="str">
        <x:v>Cancelled</x:v>
      </x:c>
      <x:c r="W842" t="n">
        <x:v>8</x:v>
      </x:c>
      <x:c r="X842" t="str">
        <x:v>Cancelled Order</x:v>
      </x:c>
      <x:c r="Y842" t="str"/>
    </x:row>
    <x:row r="843">
      <x:c r="A843" t="str">
        <x:v>O000842</x:v>
      </x:c>
      <x:c r="B843" s="20" t="n">
        <x:v>46177</x:v>
      </x:c>
      <x:c r="C843" t="str">
        <x:v>C0096</x:v>
      </x:c>
      <x:c r="D843" t="str">
        <x:v>Metro Foods 96</x:v>
      </x:c>
      <x:c r="E843" t="str">
        <x:v>Kirana</x:v>
      </x:c>
      <x:c r="F843" t="str">
        <x:v>Davanagere</x:v>
      </x:c>
      <x:c r="G843" t="str">
        <x:v>Vikram</x:v>
      </x:c>
      <x:c r="H843" t="str">
        <x:v>P015</x:v>
      </x:c>
      <x:c r="I843" t="str">
        <x:v>Milk 1L</x:v>
      </x:c>
      <x:c r="J843" t="str">
        <x:v>Dairy</x:v>
      </x:c>
      <x:c r="K843" t="str">
        <x:v>Nandini</x:v>
      </x:c>
      <x:c r="L843" s="22" t="n">
        <x:v>48</x:v>
      </x:c>
      <x:c r="M843" t="n">
        <x:v>19</x:v>
      </x:c>
      <x:c r="N843" s="24" t="n">
        <x:v>0.02</x:v>
      </x:c>
      <x:c r="O843" s="22" t="n">
        <x:f>L843*M843</x:f>
        <x:v>912</x:v>
      </x:c>
      <x:c r="P843" s="22" t="n">
        <x:f>O843*(1-N843)</x:f>
        <x:v>893.76</x:v>
      </x:c>
      <x:c r="Q843" s="22" t="n">
        <x:v>43</x:v>
      </x:c>
      <x:c r="R843" s="22" t="n">
        <x:f>Q843*M843</x:f>
        <x:v>817</x:v>
      </x:c>
      <x:c r="S843" s="22" t="n">
        <x:f>P843-R843</x:f>
        <x:v>76.75999999999999</x:v>
      </x:c>
      <x:c r="T843" t="str">
        <x:v>Cash</x:v>
      </x:c>
      <x:c r="U843" t="str">
        <x:v>Paid</x:v>
      </x:c>
      <x:c r="V843" t="str">
        <x:v>Delivered</x:v>
      </x:c>
      <x:c r="W843" t="n">
        <x:v>0</x:v>
      </x:c>
      <x:c r="X843" t="str"/>
      <x:c r="Y843" t="str">
        <x:v>Outbound Call</x:v>
      </x:c>
    </x:row>
    <x:row r="844">
      <x:c r="A844" t="str">
        <x:v>O000843</x:v>
      </x:c>
      <x:c r="B844" s="20" t="n">
        <x:v>45673</x:v>
      </x:c>
      <x:c r="C844" t="str">
        <x:v>C0107</x:v>
      </x:c>
      <x:c r="D844" t="str">
        <x:v>Mysore Cafe 107</x:v>
      </x:c>
      <x:c r="E844" t="str">
        <x:v>Supermarket</x:v>
      </x:c>
      <x:c r="F844" t="str">
        <x:v>Tumakuru</x:v>
      </x:c>
      <x:c r="G844" t="str">
        <x:v>Megha</x:v>
      </x:c>
      <x:c r="H844" t="str">
        <x:v>P003</x:v>
      </x:c>
      <x:c r="I844" t="str">
        <x:v>Basmati Rice 5kg</x:v>
      </x:c>
      <x:c r="J844" t="str">
        <x:v>Staples</x:v>
      </x:c>
      <x:c r="K844" t="str">
        <x:v>India Gate</x:v>
      </x:c>
      <x:c r="L844" s="22" t="n">
        <x:v>690</x:v>
      </x:c>
      <x:c r="M844" t="n">
        <x:v>2</x:v>
      </x:c>
      <x:c r="N844" s="24" t="n">
        <x:v>0</x:v>
      </x:c>
      <x:c r="O844" s="22" t="n">
        <x:f>L844*M844</x:f>
        <x:v>1380</x:v>
      </x:c>
      <x:c r="P844" s="22" t="n">
        <x:f>O844*(1-N844)</x:f>
        <x:v>1380</x:v>
      </x:c>
      <x:c r="Q844" s="22" t="n">
        <x:v>610</x:v>
      </x:c>
      <x:c r="R844" s="22" t="n">
        <x:f>Q844*M844</x:f>
        <x:v>1220</x:v>
      </x:c>
      <x:c r="S844" s="22" t="n">
        <x:f>P844-R844</x:f>
        <x:v>160</x:v>
      </x:c>
      <x:c r="T844" t="str">
        <x:v>Cash</x:v>
      </x:c>
      <x:c r="U844" t="str">
        <x:v>Pending</x:v>
      </x:c>
      <x:c r="V844" t="str">
        <x:v>Delayed</x:v>
      </x:c>
      <x:c r="W844" t="n">
        <x:v>0</x:v>
      </x:c>
      <x:c r="X844" t="str"/>
      <x:c r="Y844" t="str">
        <x:v>Existing Customer</x:v>
      </x:c>
    </x:row>
    <x:row r="845">
      <x:c r="A845" t="str">
        <x:v>O000844</x:v>
      </x:c>
      <x:c r="B845" s="20" t="n">
        <x:v>46098</x:v>
      </x:c>
      <x:c r="C845" t="str">
        <x:v>C0044</x:v>
      </x:c>
      <x:c r="D845" t="str">
        <x:v>Annapurna Mart 44</x:v>
      </x:c>
      <x:c r="E845" t="str">
        <x:v>Kirana</x:v>
      </x:c>
      <x:c r="F845" t="str">
        <x:v>Davanagere</x:v>
      </x:c>
      <x:c r="G845" t="str">
        <x:v>Priya</x:v>
      </x:c>
      <x:c r="H845" t="str">
        <x:v>P037</x:v>
      </x:c>
      <x:c r="I845" t="str">
        <x:v>Frozen Peas 1kg</x:v>
      </x:c>
      <x:c r="J845" t="str">
        <x:v>Frozen</x:v>
      </x:c>
      <x:c r="K845" t="str">
        <x:v>Safal</x:v>
      </x:c>
      <x:c r="L845" s="22" t="n">
        <x:v>155</x:v>
      </x:c>
      <x:c r="M845" t="n">
        <x:v>16</x:v>
      </x:c>
      <x:c r="N845" s="24" t="n">
        <x:v>0.03</x:v>
      </x:c>
      <x:c r="O845" s="22" t="n">
        <x:f>L845*M845</x:f>
        <x:v>2480</x:v>
      </x:c>
      <x:c r="P845" s="22" t="n">
        <x:f>O845*(1-N845)</x:f>
        <x:v>2405.6</x:v>
      </x:c>
      <x:c r="Q845" s="22" t="n">
        <x:v>138</x:v>
      </x:c>
      <x:c r="R845" s="22" t="n">
        <x:f>Q845*M845</x:f>
        <x:v>2208</x:v>
      </x:c>
      <x:c r="S845" s="22" t="n">
        <x:f>P845-R845</x:f>
        <x:v>197.5999999999999</x:v>
      </x:c>
      <x:c r="T845" t="str">
        <x:v>Credit</x:v>
      </x:c>
      <x:c r="U845" t="str">
        <x:v>Paid</x:v>
      </x:c>
      <x:c r="V845" t="str">
        <x:v>Cancelled</x:v>
      </x:c>
      <x:c r="W845" t="n">
        <x:v>16</x:v>
      </x:c>
      <x:c r="X845" t="str">
        <x:v>Cancelled Order</x:v>
      </x:c>
      <x:c r="Y845" t="str">
        <x:v>WhatsApp</x:v>
      </x:c>
    </x:row>
    <x:row r="846">
      <x:c r="A846" t="str">
        <x:v>O000845</x:v>
      </x:c>
      <x:c r="B846" s="20" t="n">
        <x:v>46097</x:v>
      </x:c>
      <x:c r="C846" t="str">
        <x:v>C0206</x:v>
      </x:c>
      <x:c r="D846" t="str">
        <x:v>Grand Kitchen 206</x:v>
      </x:c>
      <x:c r="E846" t="str">
        <x:v>Kirana</x:v>
      </x:c>
      <x:c r="F846" t="str">
        <x:v>Mysuru</x:v>
      </x:c>
      <x:c r="G846" t="str">
        <x:v>Arjun</x:v>
      </x:c>
      <x:c r="H846" t="str">
        <x:v>P037</x:v>
      </x:c>
      <x:c r="I846" t="str">
        <x:v>Frozen Peas 1kg</x:v>
      </x:c>
      <x:c r="J846" t="str">
        <x:v>Frozen</x:v>
      </x:c>
      <x:c r="K846" t="str">
        <x:v>Safal</x:v>
      </x:c>
      <x:c r="L846" s="22" t="n">
        <x:v>155</x:v>
      </x:c>
      <x:c r="M846" t="n">
        <x:v>9</x:v>
      </x:c>
      <x:c r="N846" s="24" t="n">
        <x:v>0.08</x:v>
      </x:c>
      <x:c r="O846" s="22" t="n">
        <x:f>L846*M846</x:f>
        <x:v>1395</x:v>
      </x:c>
      <x:c r="P846" s="22" t="n">
        <x:f>O846*(1-N846)</x:f>
        <x:v>1283.4</x:v>
      </x:c>
      <x:c r="Q846" s="22" t="n">
        <x:v>138</x:v>
      </x:c>
      <x:c r="R846" s="22" t="n">
        <x:f>Q846*M846</x:f>
        <x:v>1242</x:v>
      </x:c>
      <x:c r="S846" s="22" t="n">
        <x:f>P846-R846</x:f>
        <x:v>41.40000000000009</x:v>
      </x:c>
      <x:c r="T846" t="str">
        <x:v>Credit</x:v>
      </x:c>
      <x:c r="U846" t="str">
        <x:v>Overdue</x:v>
      </x:c>
      <x:c r="V846" t="str">
        <x:v>Delivered</x:v>
      </x:c>
      <x:c r="W846" t="n">
        <x:v>0</x:v>
      </x:c>
      <x:c r="X846" t="str"/>
      <x:c r="Y846" t="str">
        <x:v>Field Visit</x:v>
      </x:c>
    </x:row>
    <x:row r="847">
      <x:c r="A847" t="str">
        <x:v>O000846</x:v>
      </x:c>
      <x:c r="B847" s="20" t="n">
        <x:v>45759</x:v>
      </x:c>
      <x:c r="C847" t="str">
        <x:v>C0112</x:v>
      </x:c>
      <x:c r="D847" t="str">
        <x:v>Cafe Hotel 112</x:v>
      </x:c>
      <x:c r="E847" t="str">
        <x:v>Hotel</x:v>
      </x:c>
      <x:c r="F847" t="str">
        <x:v>Mangaluru</x:v>
      </x:c>
      <x:c r="G847" t="str">
        <x:v>Kavya</x:v>
      </x:c>
      <x:c r="H847" t="str">
        <x:v>P015</x:v>
      </x:c>
      <x:c r="I847" t="str">
        <x:v>Milk 1L</x:v>
      </x:c>
      <x:c r="J847" t="str">
        <x:v>Dairy</x:v>
      </x:c>
      <x:c r="K847" t="str">
        <x:v>Nandini</x:v>
      </x:c>
      <x:c r="L847" s="22" t="n">
        <x:v>48</x:v>
      </x:c>
      <x:c r="M847" t="n">
        <x:v>9</x:v>
      </x:c>
      <x:c r="N847" s="24" t="n">
        <x:v>0.03</x:v>
      </x:c>
      <x:c r="O847" s="22" t="n">
        <x:f>L847*M847</x:f>
        <x:v>432</x:v>
      </x:c>
      <x:c r="P847" s="22" t="n">
        <x:f>O847*(1-N847)</x:f>
        <x:v>419.03999999999996</x:v>
      </x:c>
      <x:c r="Q847" s="22" t="n">
        <x:v>43</x:v>
      </x:c>
      <x:c r="R847" s="22" t="n">
        <x:f>Q847*M847</x:f>
        <x:v>387</x:v>
      </x:c>
      <x:c r="S847" s="22" t="n">
        <x:f>P847-R847</x:f>
        <x:v>32.039999999999964</x:v>
      </x:c>
      <x:c r="T847" t="str">
        <x:v>Credit</x:v>
      </x:c>
      <x:c r="U847" t="str">
        <x:v>Pending</x:v>
      </x:c>
      <x:c r="V847" t="str">
        <x:v>Cancelled</x:v>
      </x:c>
      <x:c r="W847" t="n">
        <x:v>9</x:v>
      </x:c>
      <x:c r="X847" t="str">
        <x:v>Cancelled Order</x:v>
      </x:c>
      <x:c r="Y847" t="str">
        <x:v>Field Visit</x:v>
      </x:c>
    </x:row>
    <x:row r="848">
      <x:c r="A848" t="str">
        <x:v>O000847</x:v>
      </x:c>
      <x:c r="B848" s="20" t="n">
        <x:v>45866</x:v>
      </x:c>
      <x:c r="C848" t="str">
        <x:v>C0041</x:v>
      </x:c>
      <x:c r="D848" t="str">
        <x:v>Grand Mart 41</x:v>
      </x:c>
      <x:c r="E848" t="str">
        <x:v>Cafe</x:v>
      </x:c>
      <x:c r="F848" t="str">
        <x:v>Bengaluru</x:v>
      </x:c>
      <x:c r="G848" t="str">
        <x:v>Kavya</x:v>
      </x:c>
      <x:c r="H848" t="str">
        <x:v>P021</x:v>
      </x:c>
      <x:c r="I848" t="str">
        <x:v>Instant Coffee 200g</x:v>
      </x:c>
      <x:c r="J848" t="str">
        <x:v>Beverage</x:v>
      </x:c>
      <x:c r="K848" t="str">
        <x:v>Nescafe</x:v>
      </x:c>
      <x:c r="L848" s="22" t="n">
        <x:v>460</x:v>
      </x:c>
      <x:c r="M848" t="n">
        <x:v>6</x:v>
      </x:c>
      <x:c r="N848" s="24" t="n">
        <x:v>0</x:v>
      </x:c>
      <x:c r="O848" s="22" t="n">
        <x:f>L848*M848</x:f>
        <x:v>2760</x:v>
      </x:c>
      <x:c r="P848" s="22" t="n">
        <x:f>O848*(1-N848)</x:f>
        <x:v>2760</x:v>
      </x:c>
      <x:c r="Q848" s="22" t="n">
        <x:v>410</x:v>
      </x:c>
      <x:c r="R848" s="22" t="n">
        <x:f>Q848*M848</x:f>
        <x:v>2460</x:v>
      </x:c>
      <x:c r="S848" s="22" t="n">
        <x:f>P848-R848</x:f>
        <x:v>300</x:v>
      </x:c>
      <x:c r="T848" t="str">
        <x:v>Credit</x:v>
      </x:c>
      <x:c r="U848" t="str">
        <x:v>Paid</x:v>
      </x:c>
      <x:c r="V848" t="str">
        <x:v>Delayed</x:v>
      </x:c>
      <x:c r="W848" t="n">
        <x:v>0</x:v>
      </x:c>
      <x:c r="X848" t="str"/>
      <x:c r="Y848" t="str">
        <x:v>Referral</x:v>
      </x:c>
    </x:row>
    <x:row r="849">
      <x:c r="A849" t="str">
        <x:v>O000848</x:v>
      </x:c>
      <x:c r="B849" s="20" t="n">
        <x:v>45738</x:v>
      </x:c>
      <x:c r="C849" t="str">
        <x:v>C0182</x:v>
      </x:c>
      <x:c r="D849" t="str">
        <x:v>Mysore Foods 182</x:v>
      </x:c>
      <x:c r="E849" t="str">
        <x:v>Restaurant</x:v>
      </x:c>
      <x:c r="F849" t="str">
        <x:v>Bengaluru</x:v>
      </x:c>
      <x:c r="G849" t="str">
        <x:v>Vikram</x:v>
      </x:c>
      <x:c r="H849" t="str">
        <x:v>P035</x:v>
      </x:c>
      <x:c r="I849" t="str">
        <x:v>Coriander Powder 1kg</x:v>
      </x:c>
      <x:c r="J849" t="str">
        <x:v>Spices</x:v>
      </x:c>
      <x:c r="K849" t="str">
        <x:v>Everest</x:v>
      </x:c>
      <x:c r="L849" s="22" t="n">
        <x:v>280</x:v>
      </x:c>
      <x:c r="M849" t="n">
        <x:v>37</x:v>
      </x:c>
      <x:c r="N849" s="24" t="n">
        <x:v>0.02</x:v>
      </x:c>
      <x:c r="O849" s="22" t="n">
        <x:f>L849*M849</x:f>
        <x:v>10360</x:v>
      </x:c>
      <x:c r="P849" s="22" t="n">
        <x:f>O849*(1-N849)</x:f>
        <x:v>10152.8</x:v>
      </x:c>
      <x:c r="Q849" s="22" t="n">
        <x:v>245</x:v>
      </x:c>
      <x:c r="R849" s="22" t="n">
        <x:f>Q849*M849</x:f>
        <x:v>9065</x:v>
      </x:c>
      <x:c r="S849" s="22" t="n">
        <x:f>P849-R849</x:f>
        <x:v>1087.7999999999993</x:v>
      </x:c>
      <x:c r="T849" t="str">
        <x:v>Bank Transfer</x:v>
      </x:c>
      <x:c r="U849" t="str">
        <x:v>Overdue</x:v>
      </x:c>
      <x:c r="V849" t="str">
        <x:v>Cancelled</x:v>
      </x:c>
      <x:c r="W849" t="n">
        <x:v>37</x:v>
      </x:c>
      <x:c r="X849" t="str">
        <x:v>Cancelled Order</x:v>
      </x:c>
      <x:c r="Y849" t="str">
        <x:v>Field Visit</x:v>
      </x:c>
    </x:row>
    <x:row r="850">
      <x:c r="A850" t="str">
        <x:v>O000849</x:v>
      </x:c>
      <x:c r="B850" s="20" t="n">
        <x:v>45962</x:v>
      </x:c>
      <x:c r="C850" t="str">
        <x:v>C0168</x:v>
      </x:c>
      <x:c r="D850" t="str">
        <x:v>Sagar Hotel 168</x:v>
      </x:c>
      <x:c r="E850" t="str">
        <x:v>Canteen</x:v>
      </x:c>
      <x:c r="F850" t="str">
        <x:v>Bengaluru</x:v>
      </x:c>
      <x:c r="G850" t="str">
        <x:v>Priya</x:v>
      </x:c>
      <x:c r="H850" t="str">
        <x:v>P015</x:v>
      </x:c>
      <x:c r="I850" t="str">
        <x:v>Milk 1L</x:v>
      </x:c>
      <x:c r="J850" t="str">
        <x:v>Dairy</x:v>
      </x:c>
      <x:c r="K850" t="str">
        <x:v>Nandini</x:v>
      </x:c>
      <x:c r="L850" s="22" t="n">
        <x:v>48</x:v>
      </x:c>
      <x:c r="M850" t="n">
        <x:v>13</x:v>
      </x:c>
      <x:c r="N850" s="24" t="n">
        <x:v>0.03</x:v>
      </x:c>
      <x:c r="O850" s="22" t="n">
        <x:f>L850*M850</x:f>
        <x:v>624</x:v>
      </x:c>
      <x:c r="P850" s="22" t="n">
        <x:f>O850*(1-N850)</x:f>
        <x:v>605.28</x:v>
      </x:c>
      <x:c r="Q850" s="22" t="n">
        <x:v>43</x:v>
      </x:c>
      <x:c r="R850" s="22" t="n">
        <x:f>Q850*M850</x:f>
        <x:v>559</x:v>
      </x:c>
      <x:c r="S850" s="22" t="n">
        <x:f>P850-R850</x:f>
        <x:v>46.27999999999997</x:v>
      </x:c>
      <x:c r="T850" t="str">
        <x:v>Bank Transfer</x:v>
      </x:c>
      <x:c r="U850" t="str">
        <x:v>Pending</x:v>
      </x:c>
      <x:c r="V850" t="str">
        <x:v>Delivered</x:v>
      </x:c>
      <x:c r="W850" t="n">
        <x:v>0</x:v>
      </x:c>
      <x:c r="X850" t="str"/>
      <x:c r="Y850" t="str">
        <x:v>Outbound Call</x:v>
      </x:c>
    </x:row>
    <x:row r="851">
      <x:c r="A851" t="str">
        <x:v>O000850</x:v>
      </x:c>
      <x:c r="B851" s="20" t="n">
        <x:v>45681</x:v>
      </x:c>
      <x:c r="C851" t="str">
        <x:v>C0240</x:v>
      </x:c>
      <x:c r="D851" t="str">
        <x:v>Green Foods 240</x:v>
      </x:c>
      <x:c r="E851" t="str">
        <x:v>Restaurant</x:v>
      </x:c>
      <x:c r="F851" t="str">
        <x:v>Davanagere</x:v>
      </x:c>
      <x:c r="G851" t="str">
        <x:v>Vikram</x:v>
      </x:c>
      <x:c r="H851" t="str">
        <x:v>P010</x:v>
      </x:c>
      <x:c r="I851" t="str">
        <x:v>Sugar 25kg</x:v>
      </x:c>
      <x:c r="J851" t="str">
        <x:v>Staples</x:v>
      </x:c>
      <x:c r="K851" t="str">
        <x:v>Madhur</x:v>
      </x:c>
      <x:c r="L851" s="22" t="n">
        <x:v>1190</x:v>
      </x:c>
      <x:c r="M851" t="n">
        <x:v>2</x:v>
      </x:c>
      <x:c r="N851" s="24" t="n">
        <x:v>0</x:v>
      </x:c>
      <x:c r="O851" s="22" t="n">
        <x:f>L851*M851</x:f>
        <x:v>2380</x:v>
      </x:c>
      <x:c r="P851" s="22" t="n">
        <x:f>O851*(1-N851)</x:f>
        <x:v>2380</x:v>
      </x:c>
      <x:c r="Q851" s="22" t="n">
        <x:v>1080</x:v>
      </x:c>
      <x:c r="R851" s="22" t="n">
        <x:f>Q851*M851</x:f>
        <x:v>2160</x:v>
      </x:c>
      <x:c r="S851" s="22" t="n">
        <x:f>P851-R851</x:f>
        <x:v>220</x:v>
      </x:c>
      <x:c r="T851" t="str">
        <x:v>UPI</x:v>
      </x:c>
      <x:c r="U851" t="str">
        <x:v>Paid</x:v>
      </x:c>
      <x:c r="V851" t="str">
        <x:v>Delivered</x:v>
      </x:c>
      <x:c r="W851" t="n">
        <x:v>0</x:v>
      </x:c>
      <x:c r="X851" t="str"/>
      <x:c r="Y851" t="str">
        <x:v>Referral</x:v>
      </x:c>
    </x:row>
    <x:row r="852">
      <x:c r="A852" t="str">
        <x:v>O000851</x:v>
      </x:c>
      <x:c r="B852" s="20" t="n">
        <x:v>45870</x:v>
      </x:c>
      <x:c r="C852" t="str">
        <x:v>C0127</x:v>
      </x:c>
      <x:c r="D852" t="str">
        <x:v>Grand Mart 127</x:v>
      </x:c>
      <x:c r="E852" t="str">
        <x:v>Canteen</x:v>
      </x:c>
      <x:c r="F852" t="str">
        <x:v>Hubballi</x:v>
      </x:c>
      <x:c r="G852" t="str">
        <x:v>Imran</x:v>
      </x:c>
      <x:c r="H852" t="str">
        <x:v>P024</x:v>
      </x:c>
      <x:c r="I852" t="str">
        <x:v>Orange Drink 1L</x:v>
      </x:c>
      <x:c r="J852" t="str">
        <x:v>Beverage</x:v>
      </x:c>
      <x:c r="K852" t="str">
        <x:v>Minute Maid</x:v>
      </x:c>
      <x:c r="L852" s="22" t="n">
        <x:v>105</x:v>
      </x:c>
      <x:c r="M852" t="n">
        <x:v>26</x:v>
      </x:c>
      <x:c r="N852" s="24" t="n">
        <x:v>0</x:v>
      </x:c>
      <x:c r="O852" s="22" t="n">
        <x:f>L852*M852</x:f>
        <x:v>2730</x:v>
      </x:c>
      <x:c r="P852" s="22" t="n">
        <x:f>O852*(1-N852)</x:f>
        <x:v>2730</x:v>
      </x:c>
      <x:c r="Q852" s="22" t="n">
        <x:v>88</x:v>
      </x:c>
      <x:c r="R852" s="22" t="n">
        <x:f>Q852*M852</x:f>
        <x:v>2288</x:v>
      </x:c>
      <x:c r="S852" s="22" t="n">
        <x:f>P852-R852</x:f>
        <x:v>442</x:v>
      </x:c>
      <x:c r="T852" t="str">
        <x:v>UPI</x:v>
      </x:c>
      <x:c r="U852" t="str">
        <x:v>Paid</x:v>
      </x:c>
      <x:c r="V852" t="str">
        <x:v>Delivered</x:v>
      </x:c>
      <x:c r="W852" t="n">
        <x:v>0</x:v>
      </x:c>
      <x:c r="X852" t="str"/>
      <x:c r="Y852" t="str">
        <x:v>Outbound Call</x:v>
      </x:c>
    </x:row>
    <x:row r="853">
      <x:c r="A853" t="str">
        <x:v>O000852</x:v>
      </x:c>
      <x:c r="B853" s="20" t="n">
        <x:v>45979</x:v>
      </x:c>
      <x:c r="C853" t="str">
        <x:v>C0108</x:v>
      </x:c>
      <x:c r="D853" t="str">
        <x:v>Spice Mart 108</x:v>
      </x:c>
      <x:c r="E853" t="str">
        <x:v>Supermarket</x:v>
      </x:c>
      <x:c r="F853" t="str">
        <x:v>Hubballi</x:v>
      </x:c>
      <x:c r="G853" t="str">
        <x:v>Kavya</x:v>
      </x:c>
      <x:c r="H853" t="str">
        <x:v>P025</x:v>
      </x:c>
      <x:c r="I853" t="str">
        <x:v>Potato Chips 100g</x:v>
      </x:c>
      <x:c r="J853" t="str">
        <x:v>Snacks</x:v>
      </x:c>
      <x:c r="K853" t="str">
        <x:v>Lay's</x:v>
      </x:c>
      <x:c r="L853" s="22" t="n">
        <x:v>35</x:v>
      </x:c>
      <x:c r="M853" t="n">
        <x:v>29</x:v>
      </x:c>
      <x:c r="N853" s="24" t="n">
        <x:v>0.05</x:v>
      </x:c>
      <x:c r="O853" s="22" t="n">
        <x:f>L853*M853</x:f>
        <x:v>1015</x:v>
      </x:c>
      <x:c r="P853" s="22" t="n">
        <x:f>O853*(1-N853)</x:f>
        <x:v>964.25</x:v>
      </x:c>
      <x:c r="Q853" s="22" t="n">
        <x:v>27</x:v>
      </x:c>
      <x:c r="R853" s="22" t="n">
        <x:f>Q853*M853</x:f>
        <x:v>783</x:v>
      </x:c>
      <x:c r="S853" s="22" t="n">
        <x:f>P853-R853</x:f>
        <x:v>181.25</x:v>
      </x:c>
      <x:c r="T853" t="str">
        <x:v>Bank Transfer</x:v>
      </x:c>
      <x:c r="U853" t="str">
        <x:v>Paid</x:v>
      </x:c>
      <x:c r="V853" t="str">
        <x:v>Delivered</x:v>
      </x:c>
      <x:c r="W853" t="n">
        <x:v>0</x:v>
      </x:c>
      <x:c r="X853" t="str"/>
      <x:c r="Y853" t="str">
        <x:v>Existing Customer</x:v>
      </x:c>
    </x:row>
    <x:row r="854">
      <x:c r="A854" t="str">
        <x:v>O000853</x:v>
      </x:c>
      <x:c r="B854" s="20" t="n">
        <x:v>46013</x:v>
      </x:c>
      <x:c r="C854" t="str">
        <x:v>C0031</x:v>
      </x:c>
      <x:c r="D854" t="str">
        <x:v>Royal Restaurant 31</x:v>
      </x:c>
      <x:c r="E854" t="str">
        <x:v>Restaurant</x:v>
      </x:c>
      <x:c r="F854" t="str">
        <x:v>Mangaluru</x:v>
      </x:c>
      <x:c r="G854" t="str">
        <x:v>Arjun</x:v>
      </x:c>
      <x:c r="H854" t="str">
        <x:v>P022</x:v>
      </x:c>
      <x:c r="I854" t="str">
        <x:v>Mineral Water 1L</x:v>
      </x:c>
      <x:c r="J854" t="str">
        <x:v>Beverage</x:v>
      </x:c>
      <x:c r="K854" t="str">
        <x:v>Bisleri</x:v>
      </x:c>
      <x:c r="L854" s="22" t="n">
        <x:v>19</x:v>
      </x:c>
      <x:c r="M854" t="n">
        <x:v>31</x:v>
      </x:c>
      <x:c r="N854" s="24" t="n">
        <x:v>0.1</x:v>
      </x:c>
      <x:c r="O854" s="22" t="n">
        <x:f>L854*M854</x:f>
        <x:v>589</x:v>
      </x:c>
      <x:c r="P854" s="22" t="n">
        <x:f>O854*(1-N854)</x:f>
        <x:v>530.1</x:v>
      </x:c>
      <x:c r="Q854" s="22" t="n">
        <x:v>15</x:v>
      </x:c>
      <x:c r="R854" s="22" t="n">
        <x:f>Q854*M854</x:f>
        <x:v>465</x:v>
      </x:c>
      <x:c r="S854" s="22" t="n">
        <x:f>P854-R854</x:f>
        <x:v>65.10000000000002</x:v>
      </x:c>
      <x:c r="T854" t="str">
        <x:v>UPI</x:v>
      </x:c>
      <x:c r="U854" t="str">
        <x:v>Paid</x:v>
      </x:c>
      <x:c r="V854" t="str">
        <x:v>Cancelled</x:v>
      </x:c>
      <x:c r="W854" t="n">
        <x:v>31</x:v>
      </x:c>
      <x:c r="X854" t="str">
        <x:v>Cancelled Order</x:v>
      </x:c>
      <x:c r="Y854" t="str">
        <x:v>Field Visit</x:v>
      </x:c>
    </x:row>
    <x:row r="855">
      <x:c r="A855" t="str">
        <x:v>O000854</x:v>
      </x:c>
      <x:c r="B855" s="20" t="n">
        <x:v>45688</x:v>
      </x:c>
      <x:c r="C855" t="str">
        <x:v>C0050</x:v>
      </x:c>
      <x:c r="D855" t="str">
        <x:v>Green Stores 50</x:v>
      </x:c>
      <x:c r="E855" t="str">
        <x:v>Restaurant</x:v>
      </x:c>
      <x:c r="F855" t="str">
        <x:v>Davanagere</x:v>
      </x:c>
      <x:c r="G855" t="str">
        <x:v>Vikram</x:v>
      </x:c>
      <x:c r="H855" t="str">
        <x:v>P039</x:v>
      </x:c>
      <x:c r="I855" t="str">
        <x:v>Ice Cream 4L</x:v>
      </x:c>
      <x:c r="J855" t="str">
        <x:v>Frozen</x:v>
      </x:c>
      <x:c r="K855" t="str">
        <x:v>Amul</x:v>
      </x:c>
      <x:c r="L855" s="22" t="n">
        <x:v>480</x:v>
      </x:c>
      <x:c r="M855" t="n">
        <x:v>35</x:v>
      </x:c>
      <x:c r="N855" s="24" t="n">
        <x:v>0</x:v>
      </x:c>
      <x:c r="O855" s="22" t="n">
        <x:f>L855*M855</x:f>
        <x:v>16800</x:v>
      </x:c>
      <x:c r="P855" s="22" t="n">
        <x:f>O855*(1-N855)</x:f>
        <x:v>16800</x:v>
      </x:c>
      <x:c r="Q855" s="22" t="n">
        <x:v>420</x:v>
      </x:c>
      <x:c r="R855" s="22" t="n">
        <x:f>Q855*M855</x:f>
        <x:v>14700</x:v>
      </x:c>
      <x:c r="S855" s="22" t="n">
        <x:f>P855-R855</x:f>
        <x:v>2100</x:v>
      </x:c>
      <x:c r="T855" t="str">
        <x:v>Bank Transfer</x:v>
      </x:c>
      <x:c r="U855" t="str">
        <x:v>Paid</x:v>
      </x:c>
      <x:c r="V855" t="str">
        <x:v>Delivered</x:v>
      </x:c>
      <x:c r="W855" t="n">
        <x:v>0</x:v>
      </x:c>
      <x:c r="X855" t="str"/>
      <x:c r="Y855" t="str">
        <x:v>Referral</x:v>
      </x:c>
    </x:row>
    <x:row r="856">
      <x:c r="A856" t="str">
        <x:v>O000855</x:v>
      </x:c>
      <x:c r="B856" s="20" t="n">
        <x:v>45743</x:v>
      </x:c>
      <x:c r="C856" t="str">
        <x:v>C0036</x:v>
      </x:c>
      <x:c r="D856" t="str">
        <x:v>Grand Hotel 36</x:v>
      </x:c>
      <x:c r="E856" t="str">
        <x:v>Canteen</x:v>
      </x:c>
      <x:c r="F856" t="str">
        <x:v>Tumakuru</x:v>
      </x:c>
      <x:c r="G856" t="str">
        <x:v>Kavya</x:v>
      </x:c>
      <x:c r="H856" t="str">
        <x:v>P015</x:v>
      </x:c>
      <x:c r="I856" t="str">
        <x:v>Milk 1L</x:v>
      </x:c>
      <x:c r="J856" t="str">
        <x:v>Dairy</x:v>
      </x:c>
      <x:c r="K856" t="str">
        <x:v>Nandini</x:v>
      </x:c>
      <x:c r="L856" s="22" t="n">
        <x:v>48</x:v>
      </x:c>
      <x:c r="M856" t="n">
        <x:v>9</x:v>
      </x:c>
      <x:c r="N856" s="24" t="n">
        <x:v>0.02</x:v>
      </x:c>
      <x:c r="O856" s="22" t="n">
        <x:f>L856*M856</x:f>
        <x:v>432</x:v>
      </x:c>
      <x:c r="P856" s="22" t="n">
        <x:f>O856*(1-N856)</x:f>
        <x:v>423.36</x:v>
      </x:c>
      <x:c r="Q856" s="22" t="n">
        <x:v>43</x:v>
      </x:c>
      <x:c r="R856" s="22" t="n">
        <x:f>Q856*M856</x:f>
        <x:v>387</x:v>
      </x:c>
      <x:c r="S856" s="22" t="n">
        <x:f>P856-R856</x:f>
        <x:v>36.360000000000014</x:v>
      </x:c>
      <x:c r="T856" t="str">
        <x:v>Credit</x:v>
      </x:c>
      <x:c r="U856" t="str">
        <x:v>Paid</x:v>
      </x:c>
      <x:c r="V856" t="str">
        <x:v>Delivered</x:v>
      </x:c>
      <x:c r="W856" t="n">
        <x:v>0</x:v>
      </x:c>
      <x:c r="X856" t="str"/>
      <x:c r="Y856" t="str">
        <x:v>Existing Customer</x:v>
      </x:c>
    </x:row>
    <x:row r="857">
      <x:c r="A857" t="str">
        <x:v>O000856</x:v>
      </x:c>
      <x:c r="B857" s="20" t="n">
        <x:v>46165</x:v>
      </x:c>
      <x:c r="C857" t="str">
        <x:v>C0120</x:v>
      </x:c>
      <x:c r="D857" t="str">
        <x:v>Foodie Foods 120</x:v>
      </x:c>
      <x:c r="E857" t="str">
        <x:v>Hotel</x:v>
      </x:c>
      <x:c r="F857" t="str">
        <x:v>Hubballi</x:v>
      </x:c>
      <x:c r="G857" t="str">
        <x:v>Arjun</x:v>
      </x:c>
      <x:c r="H857" t="str">
        <x:v>P048</x:v>
      </x:c>
      <x:c r="I857" t="str">
        <x:v>Banana 10kg</x:v>
      </x:c>
      <x:c r="J857" t="str">
        <x:v>Fresh Produce</x:v>
      </x:c>
      <x:c r="K857" t="str">
        <x:v>Local Market</x:v>
      </x:c>
      <x:c r="L857" s="22" t="n">
        <x:v>420</x:v>
      </x:c>
      <x:c r="M857" t="n">
        <x:v>28</x:v>
      </x:c>
      <x:c r="N857" s="24" t="n">
        <x:v>0.03</x:v>
      </x:c>
      <x:c r="O857" s="22" t="n">
        <x:f>L857*M857</x:f>
        <x:v>11760</x:v>
      </x:c>
      <x:c r="P857" s="22" t="n">
        <x:f>O857*(1-N857)</x:f>
        <x:v>11407.199999999999</x:v>
      </x:c>
      <x:c r="Q857" s="22" t="n">
        <x:v>350</x:v>
      </x:c>
      <x:c r="R857" s="22" t="n">
        <x:f>Q857*M857</x:f>
        <x:v>9800</x:v>
      </x:c>
      <x:c r="S857" s="22" t="n">
        <x:f>P857-R857</x:f>
        <x:v>1607.199999999999</x:v>
      </x:c>
      <x:c r="T857" t="str">
        <x:v>Credit</x:v>
      </x:c>
      <x:c r="U857" t="str">
        <x:v>Overdue</x:v>
      </x:c>
      <x:c r="V857" t="str">
        <x:v>Delivered</x:v>
      </x:c>
      <x:c r="W857" t="n">
        <x:v>0</x:v>
      </x:c>
      <x:c r="X857" t="str"/>
      <x:c r="Y857" t="str">
        <x:v>Field Visit</x:v>
      </x:c>
    </x:row>
    <x:row r="858">
      <x:c r="A858" t="str">
        <x:v>O000857</x:v>
      </x:c>
      <x:c r="B858" s="20" t="n">
        <x:v>46259</x:v>
      </x:c>
      <x:c r="C858" t="str">
        <x:v>C0027</x:v>
      </x:c>
      <x:c r="D858" t="str">
        <x:v>Fresh Cafe 27</x:v>
      </x:c>
      <x:c r="E858" t="str">
        <x:v>Restaurant</x:v>
      </x:c>
      <x:c r="F858" t="str">
        <x:v>Tumakuru</x:v>
      </x:c>
      <x:c r="G858" t="str">
        <x:v>Megha</x:v>
      </x:c>
      <x:c r="H858" t="str">
        <x:v>P038</x:v>
      </x:c>
      <x:c r="I858" t="str">
        <x:v>French Fries 2.5kg</x:v>
      </x:c>
      <x:c r="J858" t="str">
        <x:v>Frozen</x:v>
      </x:c>
      <x:c r="K858" t="str">
        <x:v>McCain</x:v>
      </x:c>
      <x:c r="L858" s="22" t="n">
        <x:v>360</x:v>
      </x:c>
      <x:c r="M858" t="n">
        <x:v>20</x:v>
      </x:c>
      <x:c r="N858" s="24" t="n">
        <x:v>0</x:v>
      </x:c>
      <x:c r="O858" s="22" t="n">
        <x:f>L858*M858</x:f>
        <x:v>7200</x:v>
      </x:c>
      <x:c r="P858" s="22" t="n">
        <x:f>O858*(1-N858)</x:f>
        <x:v>7200</x:v>
      </x:c>
      <x:c r="Q858" s="22" t="n">
        <x:v>315</x:v>
      </x:c>
      <x:c r="R858" s="22" t="n">
        <x:f>Q858*M858</x:f>
        <x:v>6300</x:v>
      </x:c>
      <x:c r="S858" s="22" t="n">
        <x:f>P858-R858</x:f>
        <x:v>900</x:v>
      </x:c>
      <x:c r="T858" t="str">
        <x:v>Bank Transfer</x:v>
      </x:c>
      <x:c r="U858" t="str">
        <x:v>Overdue</x:v>
      </x:c>
      <x:c r="V858" t="str">
        <x:v>Delivered</x:v>
      </x:c>
      <x:c r="W858" t="n">
        <x:v>0</x:v>
      </x:c>
      <x:c r="X858" t="str"/>
      <x:c r="Y858" t="str">
        <x:v>WhatsApp</x:v>
      </x:c>
    </x:row>
    <x:row r="859">
      <x:c r="A859" t="str">
        <x:v>O000858</x:v>
      </x:c>
      <x:c r="B859" s="20" t="n">
        <x:v>45984</x:v>
      </x:c>
      <x:c r="C859" t="str">
        <x:v>C0192</x:v>
      </x:c>
      <x:c r="D859" t="str">
        <x:v>Shree Kitchen 192</x:v>
      </x:c>
      <x:c r="E859" t="str">
        <x:v>Restaurant</x:v>
      </x:c>
      <x:c r="F859" t="str">
        <x:v>Mysuru</x:v>
      </x:c>
      <x:c r="G859" t="str">
        <x:v>Sneha</x:v>
      </x:c>
      <x:c r="H859" t="str">
        <x:v>P018</x:v>
      </x:c>
      <x:c r="I859" t="str">
        <x:v>Paneer 1kg</x:v>
      </x:c>
      <x:c r="J859" t="str">
        <x:v>Dairy</x:v>
      </x:c>
      <x:c r="K859" t="str">
        <x:v>Milky Mist</x:v>
      </x:c>
      <x:c r="L859" s="22" t="n">
        <x:v>410</x:v>
      </x:c>
      <x:c r="M859" t="n">
        <x:v>40</x:v>
      </x:c>
      <x:c r="N859" s="24" t="n">
        <x:v>0</x:v>
      </x:c>
      <x:c r="O859" s="22" t="n">
        <x:f>L859*M859</x:f>
        <x:v>16400</x:v>
      </x:c>
      <x:c r="P859" s="22" t="n">
        <x:f>O859*(1-N859)</x:f>
        <x:v>16400</x:v>
      </x:c>
      <x:c r="Q859" s="22" t="n">
        <x:v>370</x:v>
      </x:c>
      <x:c r="R859" s="22" t="n">
        <x:f>Q859*M859</x:f>
        <x:v>14800</x:v>
      </x:c>
      <x:c r="S859" s="22" t="n">
        <x:f>P859-R859</x:f>
        <x:v>1600</x:v>
      </x:c>
      <x:c r="T859" t="str">
        <x:v>Credit</x:v>
      </x:c>
      <x:c r="U859" t="str">
        <x:v>Paid</x:v>
      </x:c>
      <x:c r="V859" t="str">
        <x:v>Delayed</x:v>
      </x:c>
      <x:c r="W859" t="n">
        <x:v>0</x:v>
      </x:c>
      <x:c r="X859" t="str"/>
      <x:c r="Y859" t="str">
        <x:v>Field Visit</x:v>
      </x:c>
    </x:row>
    <x:row r="860">
      <x:c r="A860" t="str">
        <x:v>O000859</x:v>
      </x:c>
      <x:c r="B860" s="20" t="n">
        <x:v>46118</x:v>
      </x:c>
      <x:c r="C860" t="str">
        <x:v>C0162</x:v>
      </x:c>
      <x:c r="D860" t="str">
        <x:v>Udupi Foods 162</x:v>
      </x:c>
      <x:c r="E860" t="str">
        <x:v>Restaurant</x:v>
      </x:c>
      <x:c r="F860" t="str">
        <x:v>Mysuru</x:v>
      </x:c>
      <x:c r="G860" t="str">
        <x:v>Ramesh</x:v>
      </x:c>
      <x:c r="H860" t="str">
        <x:v>P005</x:v>
      </x:c>
      <x:c r="I860" t="str">
        <x:v>Chana Dal 5kg</x:v>
      </x:c>
      <x:c r="J860" t="str">
        <x:v>Pulses</x:v>
      </x:c>
      <x:c r="K860" t="str">
        <x:v>Local Select</x:v>
      </x:c>
      <x:c r="L860" s="22" t="n">
        <x:v>520</x:v>
      </x:c>
      <x:c r="M860" t="n">
        <x:v>11</x:v>
      </x:c>
      <x:c r="N860" s="24" t="n">
        <x:v>0.08</x:v>
      </x:c>
      <x:c r="O860" s="22" t="n">
        <x:f>L860*M860</x:f>
        <x:v>5720</x:v>
      </x:c>
      <x:c r="P860" s="22" t="n">
        <x:f>O860*(1-N860)</x:f>
        <x:v>5262.400000000001</x:v>
      </x:c>
      <x:c r="Q860" s="22" t="n">
        <x:v>455</x:v>
      </x:c>
      <x:c r="R860" s="22" t="n">
        <x:f>Q860*M860</x:f>
        <x:v>5005</x:v>
      </x:c>
      <x:c r="S860" s="22" t="n">
        <x:f>P860-R860</x:f>
        <x:v>257.40000000000055</x:v>
      </x:c>
      <x:c r="T860" t="str">
        <x:v>Cash</x:v>
      </x:c>
      <x:c r="U860" t="str">
        <x:v>Paid</x:v>
      </x:c>
      <x:c r="V860" t="str">
        <x:v>Delivered</x:v>
      </x:c>
      <x:c r="W860" t="n">
        <x:v>0</x:v>
      </x:c>
      <x:c r="X860" t="str"/>
      <x:c r="Y860" t="str">
        <x:v>Existing Customer</x:v>
      </x:c>
    </x:row>
    <x:row r="861">
      <x:c r="A861" t="str">
        <x:v>O000860</x:v>
      </x:c>
      <x:c r="B861" s="20" t="n">
        <x:v>45842</x:v>
      </x:c>
      <x:c r="C861" t="str">
        <x:v>C0008</x:v>
      </x:c>
      <x:c r="D861" t="str">
        <x:v>Namma Kitchen 8</x:v>
      </x:c>
      <x:c r="E861" t="str">
        <x:v>Kirana</x:v>
      </x:c>
      <x:c r="F861" t="str">
        <x:v>Bengaluru</x:v>
      </x:c>
      <x:c r="G861" t="str">
        <x:v>Vikram</x:v>
      </x:c>
      <x:c r="H861" t="str">
        <x:v>P008</x:v>
      </x:c>
      <x:c r="I861" t="str">
        <x:v>Palm Oil 15L</x:v>
      </x:c>
      <x:c r="J861" t="str">
        <x:v>Edible Oil</x:v>
      </x:c>
      <x:c r="K861" t="str">
        <x:v>Ruchi Gold</x:v>
      </x:c>
      <x:c r="L861" s="22" t="n">
        <x:v>1760</x:v>
      </x:c>
      <x:c r="M861" t="n">
        <x:v>7</x:v>
      </x:c>
      <x:c r="N861" s="24" t="n">
        <x:v>0.05</x:v>
      </x:c>
      <x:c r="O861" s="22" t="n">
        <x:f>L861*M861</x:f>
        <x:v>12320</x:v>
      </x:c>
      <x:c r="P861" s="22" t="n">
        <x:f>O861*(1-N861)</x:f>
        <x:v>11704</x:v>
      </x:c>
      <x:c r="Q861" s="22" t="n">
        <x:v>1610</x:v>
      </x:c>
      <x:c r="R861" s="22" t="n">
        <x:f>Q861*M861</x:f>
        <x:v>11270</x:v>
      </x:c>
      <x:c r="S861" s="22" t="n">
        <x:f>P861-R861</x:f>
        <x:v>434</x:v>
      </x:c>
      <x:c r="T861" t="str">
        <x:v>Cash</x:v>
      </x:c>
      <x:c r="U861" t="str">
        <x:v>Paid</x:v>
      </x:c>
      <x:c r="V861" t="str">
        <x:v>Delivered</x:v>
      </x:c>
      <x:c r="W861" t="n">
        <x:v>0</x:v>
      </x:c>
      <x:c r="X861" t="str"/>
      <x:c r="Y861" t="str">
        <x:v>Field Visit</x:v>
      </x:c>
    </x:row>
    <x:row r="862">
      <x:c r="A862" t="str">
        <x:v>O000861</x:v>
      </x:c>
      <x:c r="B862" s="20" t="n">
        <x:v>45667</x:v>
      </x:c>
      <x:c r="C862" t="str">
        <x:v>C0081</x:v>
      </x:c>
      <x:c r="D862" t="str">
        <x:v>Foodie Mart 81</x:v>
      </x:c>
      <x:c r="E862" t="str">
        <x:v>Supermarket</x:v>
      </x:c>
      <x:c r="F862" t="str">
        <x:v>Hubballi</x:v>
      </x:c>
      <x:c r="G862" t="str">
        <x:v>Kavya</x:v>
      </x:c>
      <x:c r="H862" t="str">
        <x:v>P008</x:v>
      </x:c>
      <x:c r="I862" t="str">
        <x:v>Palm Oil 15L</x:v>
      </x:c>
      <x:c r="J862" t="str">
        <x:v>Edible Oil</x:v>
      </x:c>
      <x:c r="K862" t="str">
        <x:v>Ruchi Gold</x:v>
      </x:c>
      <x:c r="L862" s="22" t="n">
        <x:v>1760</x:v>
      </x:c>
      <x:c r="M862" t="n">
        <x:v>12</x:v>
      </x:c>
      <x:c r="N862" s="24" t="n">
        <x:v>0</x:v>
      </x:c>
      <x:c r="O862" s="22" t="n">
        <x:f>L862*M862</x:f>
        <x:v>21120</x:v>
      </x:c>
      <x:c r="P862" s="22" t="n">
        <x:f>O862*(1-N862)</x:f>
        <x:v>21120</x:v>
      </x:c>
      <x:c r="Q862" s="22" t="n">
        <x:v>1610</x:v>
      </x:c>
      <x:c r="R862" s="22" t="n">
        <x:f>Q862*M862</x:f>
        <x:v>19320</x:v>
      </x:c>
      <x:c r="S862" s="22" t="n">
        <x:f>P862-R862</x:f>
        <x:v>1800</x:v>
      </x:c>
      <x:c r="T862" t="str">
        <x:v>Cash</x:v>
      </x:c>
      <x:c r="U862" t="str">
        <x:v>Paid</x:v>
      </x:c>
      <x:c r="V862" t="str">
        <x:v>Delayed</x:v>
      </x:c>
      <x:c r="W862" t="n">
        <x:v>0</x:v>
      </x:c>
      <x:c r="X862" t="str"/>
      <x:c r="Y862" t="str">
        <x:v>Field Visit</x:v>
      </x:c>
    </x:row>
    <x:row r="863">
      <x:c r="A863" t="str">
        <x:v>O000862</x:v>
      </x:c>
      <x:c r="B863" s="20" t="n">
        <x:v>46052</x:v>
      </x:c>
      <x:c r="C863" t="str">
        <x:v>C0144</x:v>
      </x:c>
      <x:c r="D863" t="str">
        <x:v>Namma Foods 144</x:v>
      </x:c>
      <x:c r="E863" t="str">
        <x:v>Restaurant</x:v>
      </x:c>
      <x:c r="F863" t="str">
        <x:v>Tumakuru</x:v>
      </x:c>
      <x:c r="G863" t="str">
        <x:v>Arjun</x:v>
      </x:c>
      <x:c r="H863" t="str">
        <x:v>P005</x:v>
      </x:c>
      <x:c r="I863" t="str">
        <x:v>Chana Dal 5kg</x:v>
      </x:c>
      <x:c r="J863" t="str">
        <x:v>Pulses</x:v>
      </x:c>
      <x:c r="K863" t="str">
        <x:v>Local Select</x:v>
      </x:c>
      <x:c r="L863" s="22" t="n">
        <x:v>520</x:v>
      </x:c>
      <x:c r="M863" t="n">
        <x:v>19</x:v>
      </x:c>
      <x:c r="N863" s="24" t="n">
        <x:v>0.05</x:v>
      </x:c>
      <x:c r="O863" s="22" t="n">
        <x:f>L863*M863</x:f>
        <x:v>9880</x:v>
      </x:c>
      <x:c r="P863" s="22" t="n">
        <x:f>O863*(1-N863)</x:f>
        <x:v>9386</x:v>
      </x:c>
      <x:c r="Q863" s="22" t="n">
        <x:v>455</x:v>
      </x:c>
      <x:c r="R863" s="22" t="n">
        <x:f>Q863*M863</x:f>
        <x:v>8645</x:v>
      </x:c>
      <x:c r="S863" s="22" t="n">
        <x:f>P863-R863</x:f>
        <x:v>741</x:v>
      </x:c>
      <x:c r="T863" t="str">
        <x:v>Bank Transfer</x:v>
      </x:c>
      <x:c r="U863" t="str">
        <x:v>Paid</x:v>
      </x:c>
      <x:c r="V863" t="str">
        <x:v>Delivered</x:v>
      </x:c>
      <x:c r="W863" t="n">
        <x:v>0</x:v>
      </x:c>
      <x:c r="X863" t="str"/>
      <x:c r="Y863" t="str">
        <x:v>Outbound Call</x:v>
      </x:c>
    </x:row>
    <x:row r="864">
      <x:c r="A864" t="str">
        <x:v>O000863</x:v>
      </x:c>
      <x:c r="B864" s="20" t="n">
        <x:v>46103</x:v>
      </x:c>
      <x:c r="C864" t="str">
        <x:v>C0166</x:v>
      </x:c>
      <x:c r="D864" t="str">
        <x:v>Mysore Foods 166</x:v>
      </x:c>
      <x:c r="E864" t="str">
        <x:v>Cafe</x:v>
      </x:c>
      <x:c r="F864" t="str">
        <x:v>Mangaluru</x:v>
      </x:c>
      <x:c r="G864" t="str">
        <x:v>Arjun</x:v>
      </x:c>
      <x:c r="H864" t="str">
        <x:v>P027</x:v>
      </x:c>
      <x:c r="I864" t="str">
        <x:v>Biscuits 120g</x:v>
      </x:c>
      <x:c r="J864" t="str">
        <x:v>Snacks</x:v>
      </x:c>
      <x:c r="K864" t="str">
        <x:v>Parle-G</x:v>
      </x:c>
      <x:c r="L864" s="22" t="n">
        <x:v>12</x:v>
      </x:c>
      <x:c r="M864" t="n">
        <x:v>21</x:v>
      </x:c>
      <x:c r="N864" s="24" t="n">
        <x:v>0.05</x:v>
      </x:c>
      <x:c r="O864" s="22" t="n">
        <x:f>L864*M864</x:f>
        <x:v>252</x:v>
      </x:c>
      <x:c r="P864" s="22" t="n">
        <x:f>O864*(1-N864)</x:f>
        <x:v>239.39999999999998</x:v>
      </x:c>
      <x:c r="Q864" s="22" t="n">
        <x:v>9</x:v>
      </x:c>
      <x:c r="R864" s="22" t="n">
        <x:f>Q864*M864</x:f>
        <x:v>189</x:v>
      </x:c>
      <x:c r="S864" s="22" t="n">
        <x:f>P864-R864</x:f>
        <x:v>50.39999999999998</x:v>
      </x:c>
      <x:c r="T864" t="str">
        <x:v>Bank Transfer</x:v>
      </x:c>
      <x:c r="U864" t="str">
        <x:v>Paid</x:v>
      </x:c>
      <x:c r="V864" t="str">
        <x:v>Delivered</x:v>
      </x:c>
      <x:c r="W864" t="n">
        <x:v>0</x:v>
      </x:c>
      <x:c r="X864" t="str"/>
      <x:c r="Y864" t="str">
        <x:v>Field Visit</x:v>
      </x:c>
    </x:row>
    <x:row r="865">
      <x:c r="A865" t="str">
        <x:v>O000864</x:v>
      </x:c>
      <x:c r="B865" s="20" t="n">
        <x:v>45833</x:v>
      </x:c>
      <x:c r="C865" t="str">
        <x:v>C0032</x:v>
      </x:c>
      <x:c r="D865" t="str">
        <x:v>Cafe Hotel 32</x:v>
      </x:c>
      <x:c r="E865" t="str">
        <x:v>Canteen</x:v>
      </x:c>
      <x:c r="F865" t="str">
        <x:v>Bengaluru</x:v>
      </x:c>
      <x:c r="G865" t="str">
        <x:v>Sneha</x:v>
      </x:c>
      <x:c r="H865" t="str">
        <x:v>P029</x:v>
      </x:c>
      <x:c r="I865" t="str">
        <x:v>Tomato Ketchup 1kg</x:v>
      </x:c>
      <x:c r="J865" t="str">
        <x:v>Condiments</x:v>
      </x:c>
      <x:c r="K865" t="str">
        <x:v>Kissan</x:v>
      </x:c>
      <x:c r="L865" s="22" t="n">
        <x:v>145</x:v>
      </x:c>
      <x:c r="M865" t="n">
        <x:v>39</x:v>
      </x:c>
      <x:c r="N865" s="24" t="n">
        <x:v>0.02</x:v>
      </x:c>
      <x:c r="O865" s="22" t="n">
        <x:f>L865*M865</x:f>
        <x:v>5655</x:v>
      </x:c>
      <x:c r="P865" s="22" t="n">
        <x:f>O865*(1-N865)</x:f>
        <x:v>5541.9</x:v>
      </x:c>
      <x:c r="Q865" s="22" t="n">
        <x:v>126</x:v>
      </x:c>
      <x:c r="R865" s="22" t="n">
        <x:f>Q865*M865</x:f>
        <x:v>4914</x:v>
      </x:c>
      <x:c r="S865" s="22" t="n">
        <x:f>P865-R865</x:f>
        <x:v>627.8999999999996</x:v>
      </x:c>
      <x:c r="T865" t="str">
        <x:v>Credit</x:v>
      </x:c>
      <x:c r="U865" t="str">
        <x:v>Paid</x:v>
      </x:c>
      <x:c r="V865" t="str">
        <x:v>Delivered</x:v>
      </x:c>
      <x:c r="W865" t="n">
        <x:v>0</x:v>
      </x:c>
      <x:c r="X865" t="str"/>
      <x:c r="Y865" t="str">
        <x:v>Existing Customer</x:v>
      </x:c>
    </x:row>
    <x:row r="866">
      <x:c r="A866" t="str">
        <x:v>O000865</x:v>
      </x:c>
      <x:c r="B866" s="20" t="n">
        <x:v>45949</x:v>
      </x:c>
      <x:c r="C866" t="str">
        <x:v>C0234</x:v>
      </x:c>
      <x:c r="D866" t="str">
        <x:v>Metro Canteen 234</x:v>
      </x:c>
      <x:c r="E866" t="str">
        <x:v>Restaurant</x:v>
      </x:c>
      <x:c r="F866" t="str">
        <x:v>Davanagere</x:v>
      </x:c>
      <x:c r="G866" t="str">
        <x:v>Priya</x:v>
      </x:c>
      <x:c r="H866" t="str">
        <x:v>P030</x:v>
      </x:c>
      <x:c r="I866" t="str">
        <x:v>Mayonnaise 1kg</x:v>
      </x:c>
      <x:c r="J866" t="str">
        <x:v>Condiments</x:v>
      </x:c>
      <x:c r="K866" t="str">
        <x:v>Veeba</x:v>
      </x:c>
      <x:c r="L866" s="22" t="n">
        <x:v>210</x:v>
      </x:c>
      <x:c r="M866" t="n">
        <x:v>9</x:v>
      </x:c>
      <x:c r="N866" s="24" t="n">
        <x:v>0.05</x:v>
      </x:c>
      <x:c r="O866" s="22" t="n">
        <x:f>L866*M866</x:f>
        <x:v>1890</x:v>
      </x:c>
      <x:c r="P866" s="22" t="n">
        <x:f>O866*(1-N866)</x:f>
        <x:v>1795.5</x:v>
      </x:c>
      <x:c r="Q866" s="22" t="n">
        <x:v>185</x:v>
      </x:c>
      <x:c r="R866" s="22" t="n">
        <x:f>Q866*M866</x:f>
        <x:v>1665</x:v>
      </x:c>
      <x:c r="S866" s="22" t="n">
        <x:f>P866-R866</x:f>
        <x:v>130.5</x:v>
      </x:c>
      <x:c r="T866" t="str">
        <x:v>Credit</x:v>
      </x:c>
      <x:c r="U866" t="str">
        <x:v>Paid</x:v>
      </x:c>
      <x:c r="V866" t="str">
        <x:v>Delayed</x:v>
      </x:c>
      <x:c r="W866" t="n">
        <x:v>0</x:v>
      </x:c>
      <x:c r="X866" t="str"/>
      <x:c r="Y866" t="str">
        <x:v>Existing Customer</x:v>
      </x:c>
    </x:row>
    <x:row r="867">
      <x:c r="A867" t="str">
        <x:v>O000866</x:v>
      </x:c>
      <x:c r="B867" s="20" t="n">
        <x:v>45729</x:v>
      </x:c>
      <x:c r="C867" t="str">
        <x:v>C0166</x:v>
      </x:c>
      <x:c r="D867" t="str">
        <x:v>Mysore Foods 166</x:v>
      </x:c>
      <x:c r="E867" t="str">
        <x:v>Cafe</x:v>
      </x:c>
      <x:c r="F867" t="str">
        <x:v>Mangaluru</x:v>
      </x:c>
      <x:c r="G867" t="str">
        <x:v>Arjun</x:v>
      </x:c>
      <x:c r="H867" t="str">
        <x:v>P002</x:v>
      </x:c>
      <x:c r="I867" t="str">
        <x:v>Sona Masoori Rice 25kg</x:v>
      </x:c>
      <x:c r="J867" t="str">
        <x:v>Staples</x:v>
      </x:c>
      <x:c r="K867" t="str">
        <x:v>Fortune</x:v>
      </x:c>
      <x:c r="L867" s="22" t="n">
        <x:v>1320</x:v>
      </x:c>
      <x:c r="M867" t="n">
        <x:v>2</x:v>
      </x:c>
      <x:c r="N867" s="24" t="n">
        <x:v>0.05</x:v>
      </x:c>
      <x:c r="O867" s="22" t="n">
        <x:f>L867*M867</x:f>
        <x:v>2640</x:v>
      </x:c>
      <x:c r="P867" s="22" t="n">
        <x:f>O867*(1-N867)</x:f>
        <x:v>2508</x:v>
      </x:c>
      <x:c r="Q867" s="22" t="n">
        <x:v>1160</x:v>
      </x:c>
      <x:c r="R867" s="22" t="n">
        <x:f>Q867*M867</x:f>
        <x:v>2320</x:v>
      </x:c>
      <x:c r="S867" s="22" t="n">
        <x:f>P867-R867</x:f>
        <x:v>188</x:v>
      </x:c>
      <x:c r="T867" t="str">
        <x:v>Credit</x:v>
      </x:c>
      <x:c r="U867" t="str">
        <x:v>Pending</x:v>
      </x:c>
      <x:c r="V867" t="str">
        <x:v>Delivered</x:v>
      </x:c>
      <x:c r="W867" t="n">
        <x:v>0</x:v>
      </x:c>
      <x:c r="X867" t="str"/>
      <x:c r="Y867" t="str">
        <x:v>Field Visit</x:v>
      </x:c>
    </x:row>
    <x:row r="868">
      <x:c r="A868" t="str">
        <x:v>O000867</x:v>
      </x:c>
      <x:c r="B868" s="20" t="n">
        <x:v>45978</x:v>
      </x:c>
      <x:c r="C868" t="str">
        <x:v>C0143</x:v>
      </x:c>
      <x:c r="D868" t="str">
        <x:v>Foodie Restaurant 143</x:v>
      </x:c>
      <x:c r="E868" t="str">
        <x:v>Restaurant</x:v>
      </x:c>
      <x:c r="F868" t="str">
        <x:v>Hubballi</x:v>
      </x:c>
      <x:c r="G868" t="str">
        <x:v>Priya</x:v>
      </x:c>
      <x:c r="H868" t="str">
        <x:v>P050</x:v>
      </x:c>
      <x:c r="I868" t="str">
        <x:v>Lemon 5kg</x:v>
      </x:c>
      <x:c r="J868" t="str">
        <x:v>Fresh Produce</x:v>
      </x:c>
      <x:c r="K868" t="str">
        <x:v>Local Market</x:v>
      </x:c>
      <x:c r="L868" s="22" t="n">
        <x:v>360</x:v>
      </x:c>
      <x:c r="M868" t="n">
        <x:v>32</x:v>
      </x:c>
      <x:c r="N868" s="24" t="n">
        <x:v>0.05</x:v>
      </x:c>
      <x:c r="O868" s="22" t="n">
        <x:f>L868*M868</x:f>
        <x:v>11520</x:v>
      </x:c>
      <x:c r="P868" s="22" t="n">
        <x:f>O868*(1-N868)</x:f>
        <x:v>10944</x:v>
      </x:c>
      <x:c r="Q868" s="22" t="n">
        <x:v>300</x:v>
      </x:c>
      <x:c r="R868" s="22" t="n">
        <x:f>Q868*M868</x:f>
        <x:v>9600</x:v>
      </x:c>
      <x:c r="S868" s="22" t="n">
        <x:f>P868-R868</x:f>
        <x:v>1344</x:v>
      </x:c>
      <x:c r="T868" t="str">
        <x:v>Credit</x:v>
      </x:c>
      <x:c r="U868" t="str">
        <x:v>Paid</x:v>
      </x:c>
      <x:c r="V868" t="str">
        <x:v>Delivered</x:v>
      </x:c>
      <x:c r="W868" t="n">
        <x:v>0</x:v>
      </x:c>
      <x:c r="X868" t="str"/>
      <x:c r="Y868" t="str">
        <x:v>Outbound Call</x:v>
      </x:c>
    </x:row>
    <x:row r="869">
      <x:c r="A869" t="str">
        <x:v>O000868</x:v>
      </x:c>
      <x:c r="B869" s="20" t="n">
        <x:v>45763</x:v>
      </x:c>
      <x:c r="C869" t="str">
        <x:v>C0241</x:v>
      </x:c>
      <x:c r="D869" t="str">
        <x:v>Annapurna Restaurant 241</x:v>
      </x:c>
      <x:c r="E869" t="str">
        <x:v>Hotel</x:v>
      </x:c>
      <x:c r="F869" t="str">
        <x:v>Tumakuru</x:v>
      </x:c>
      <x:c r="G869" t="str">
        <x:v>Imran</x:v>
      </x:c>
      <x:c r="H869" t="str">
        <x:v>P040</x:v>
      </x:c>
      <x:c r="I869" t="str">
        <x:v>Bread Loaf 400g</x:v>
      </x:c>
      <x:c r="J869" t="str">
        <x:v>Bakery</x:v>
      </x:c>
      <x:c r="K869" t="str">
        <x:v>Britannia</x:v>
      </x:c>
      <x:c r="L869" s="22" t="n">
        <x:v>45</x:v>
      </x:c>
      <x:c r="M869" t="n">
        <x:v>2</x:v>
      </x:c>
      <x:c r="N869" s="24" t="n">
        <x:v>0</x:v>
      </x:c>
      <x:c r="O869" s="22" t="n">
        <x:f>L869*M869</x:f>
        <x:v>90</x:v>
      </x:c>
      <x:c r="P869" s="22" t="n">
        <x:f>O869*(1-N869)</x:f>
        <x:v>90</x:v>
      </x:c>
      <x:c r="Q869" s="22" t="n">
        <x:v>35</x:v>
      </x:c>
      <x:c r="R869" s="22" t="n">
        <x:f>Q869*M869</x:f>
        <x:v>70</x:v>
      </x:c>
      <x:c r="S869" s="22" t="n">
        <x:f>P869-R869</x:f>
        <x:v>20</x:v>
      </x:c>
      <x:c r="T869" t="str">
        <x:v>UPI</x:v>
      </x:c>
      <x:c r="U869" t="str">
        <x:v>Paid</x:v>
      </x:c>
      <x:c r="V869" t="str">
        <x:v>Delivered</x:v>
      </x:c>
      <x:c r="W869" t="n">
        <x:v>0</x:v>
      </x:c>
      <x:c r="X869" t="str"/>
      <x:c r="Y869" t="str">
        <x:v>WhatsApp</x:v>
      </x:c>
    </x:row>
    <x:row r="870">
      <x:c r="A870" t="str">
        <x:v>O000869</x:v>
      </x:c>
      <x:c r="B870" s="20" t="n">
        <x:v>46035</x:v>
      </x:c>
      <x:c r="C870" t="str">
        <x:v>C0023</x:v>
      </x:c>
      <x:c r="D870" t="str">
        <x:v>Mysore Canteen 23</x:v>
      </x:c>
      <x:c r="E870" t="str">
        <x:v>Cafe</x:v>
      </x:c>
      <x:c r="F870" t="str">
        <x:v>Hubballi</x:v>
      </x:c>
      <x:c r="G870" t="str">
        <x:v>Sneha</x:v>
      </x:c>
      <x:c r="H870" t="str">
        <x:v>P013</x:v>
      </x:c>
      <x:c r="I870" t="str">
        <x:v>Atta 10kg</x:v>
      </x:c>
      <x:c r="J870" t="str">
        <x:v>Flour</x:v>
      </x:c>
      <x:c r="K870" t="str">
        <x:v>Aashirvaad</x:v>
      </x:c>
      <x:c r="L870" s="22" t="n">
        <x:v>560</x:v>
      </x:c>
      <x:c r="M870" t="n">
        <x:v>35</x:v>
      </x:c>
      <x:c r="N870" s="24" t="n">
        <x:v>0.1</x:v>
      </x:c>
      <x:c r="O870" s="22" t="n">
        <x:f>L870*M870</x:f>
        <x:v>19600</x:v>
      </x:c>
      <x:c r="P870" s="22" t="n">
        <x:f>O870*(1-N870)</x:f>
        <x:v>17640</x:v>
      </x:c>
      <x:c r="Q870" s="22" t="n">
        <x:v>495</x:v>
      </x:c>
      <x:c r="R870" s="22" t="n">
        <x:f>Q870*M870</x:f>
        <x:v>17325</x:v>
      </x:c>
      <x:c r="S870" s="22" t="n">
        <x:f>P870-R870</x:f>
        <x:v>315</x:v>
      </x:c>
      <x:c r="T870" t="str">
        <x:v>UPI</x:v>
      </x:c>
      <x:c r="U870" t="str">
        <x:v>Paid</x:v>
      </x:c>
      <x:c r="V870" t="str">
        <x:v>Delivered</x:v>
      </x:c>
      <x:c r="W870" t="n">
        <x:v>0</x:v>
      </x:c>
      <x:c r="X870" t="str"/>
      <x:c r="Y870" t="str">
        <x:v>Field Visit</x:v>
      </x:c>
    </x:row>
    <x:row r="871">
      <x:c r="A871" t="str">
        <x:v>O000870</x:v>
      </x:c>
      <x:c r="B871" s="20" t="n">
        <x:v>46285</x:v>
      </x:c>
      <x:c r="C871" t="str">
        <x:v>C0085</x:v>
      </x:c>
      <x:c r="D871" t="str">
        <x:v>Green Hotel 85</x:v>
      </x:c>
      <x:c r="E871" t="str">
        <x:v>Kirana</x:v>
      </x:c>
      <x:c r="F871" t="str">
        <x:v>Mysuru</x:v>
      </x:c>
      <x:c r="G871" t="str">
        <x:v>Arjun</x:v>
      </x:c>
      <x:c r="H871" t="str">
        <x:v>P045</x:v>
      </x:c>
      <x:c r="I871" t="str">
        <x:v>Onion 25kg</x:v>
      </x:c>
      <x:c r="J871" t="str">
        <x:v>Fresh Produce</x:v>
      </x:c>
      <x:c r="K871" t="str">
        <x:v>Local Market</x:v>
      </x:c>
      <x:c r="L871" s="22" t="n">
        <x:v>875</x:v>
      </x:c>
      <x:c r="M871" t="n">
        <x:v>25</x:v>
      </x:c>
      <x:c r="N871" s="24" t="n">
        <x:v>0.02</x:v>
      </x:c>
      <x:c r="O871" s="22" t="n">
        <x:f>L871*M871</x:f>
        <x:v>21875</x:v>
      </x:c>
      <x:c r="P871" s="22" t="n">
        <x:f>O871*(1-N871)</x:f>
        <x:v>21437.5</x:v>
      </x:c>
      <x:c r="Q871" s="22" t="n">
        <x:v>760</x:v>
      </x:c>
      <x:c r="R871" s="22" t="n">
        <x:f>Q871*M871</x:f>
        <x:v>19000</x:v>
      </x:c>
      <x:c r="S871" s="22" t="n">
        <x:f>P871-R871</x:f>
        <x:v>2437.5</x:v>
      </x:c>
      <x:c r="T871" t="str">
        <x:v>Bank Transfer</x:v>
      </x:c>
      <x:c r="U871" t="str">
        <x:v>Overdue</x:v>
      </x:c>
      <x:c r="V871" t="str">
        <x:v>Delayed</x:v>
      </x:c>
      <x:c r="W871" t="n">
        <x:v>0</x:v>
      </x:c>
      <x:c r="X871" t="str"/>
      <x:c r="Y871" t="str">
        <x:v>WhatsApp</x:v>
      </x:c>
    </x:row>
    <x:row r="872">
      <x:c r="A872" t="str">
        <x:v>O000871</x:v>
      </x:c>
      <x:c r="B872" s="20" t="n">
        <x:v>46256</x:v>
      </x:c>
      <x:c r="C872" t="str">
        <x:v>C0082</x:v>
      </x:c>
      <x:c r="D872" t="str">
        <x:v>City Foods 82</x:v>
      </x:c>
      <x:c r="E872" t="str">
        <x:v>Hotel</x:v>
      </x:c>
      <x:c r="F872" t="str">
        <x:v>Mangaluru</x:v>
      </x:c>
      <x:c r="G872" t="str">
        <x:v>Kavya</x:v>
      </x:c>
      <x:c r="H872" t="str">
        <x:v>P010</x:v>
      </x:c>
      <x:c r="I872" t="str">
        <x:v>Sugar 25kg</x:v>
      </x:c>
      <x:c r="J872" t="str">
        <x:v>Staples</x:v>
      </x:c>
      <x:c r="K872" t="str">
        <x:v>Madhur</x:v>
      </x:c>
      <x:c r="L872" s="22" t="n">
        <x:v>1190</x:v>
      </x:c>
      <x:c r="M872" t="n">
        <x:v>11</x:v>
      </x:c>
      <x:c r="N872" s="24" t="n">
        <x:v>0.03</x:v>
      </x:c>
      <x:c r="O872" s="22" t="n">
        <x:f>L872*M872</x:f>
        <x:v>13090</x:v>
      </x:c>
      <x:c r="P872" s="22" t="n">
        <x:f>O872*(1-N872)</x:f>
        <x:v>12697.3</x:v>
      </x:c>
      <x:c r="Q872" s="22" t="n">
        <x:v>1080</x:v>
      </x:c>
      <x:c r="R872" s="22" t="n">
        <x:f>Q872*M872</x:f>
        <x:v>11880</x:v>
      </x:c>
      <x:c r="S872" s="22" t="n">
        <x:f>P872-R872</x:f>
        <x:v>817.2999999999993</x:v>
      </x:c>
      <x:c r="T872" t="str">
        <x:v>UPI</x:v>
      </x:c>
      <x:c r="U872" t="str">
        <x:v>Paid</x:v>
      </x:c>
      <x:c r="V872" t="str">
        <x:v>Delivered</x:v>
      </x:c>
      <x:c r="W872" t="n">
        <x:v>0</x:v>
      </x:c>
      <x:c r="X872" t="str"/>
      <x:c r="Y872" t="str">
        <x:v>WhatsApp</x:v>
      </x:c>
    </x:row>
    <x:row r="873">
      <x:c r="A873" t="str">
        <x:v>O000872</x:v>
      </x:c>
      <x:c r="B873" s="20" t="n">
        <x:v>46152</x:v>
      </x:c>
      <x:c r="C873" t="str">
        <x:v>C0083</x:v>
      </x:c>
      <x:c r="D873" t="str">
        <x:v>Sri Cafe 83</x:v>
      </x:c>
      <x:c r="E873" t="str">
        <x:v>Hotel</x:v>
      </x:c>
      <x:c r="F873" t="str">
        <x:v>Davanagere</x:v>
      </x:c>
      <x:c r="G873" t="str">
        <x:v>Ramesh</x:v>
      </x:c>
      <x:c r="H873" t="str">
        <x:v>P050</x:v>
      </x:c>
      <x:c r="I873" t="str">
        <x:v>Lemon 5kg</x:v>
      </x:c>
      <x:c r="J873" t="str">
        <x:v>Fresh Produce</x:v>
      </x:c>
      <x:c r="K873" t="str">
        <x:v>Local Market</x:v>
      </x:c>
      <x:c r="L873" s="22" t="n">
        <x:v>360</x:v>
      </x:c>
      <x:c r="M873" t="n">
        <x:v>15</x:v>
      </x:c>
      <x:c r="N873" s="24" t="n">
        <x:v>0</x:v>
      </x:c>
      <x:c r="O873" s="22" t="n">
        <x:f>L873*M873</x:f>
        <x:v>5400</x:v>
      </x:c>
      <x:c r="P873" s="22" t="n">
        <x:f>O873*(1-N873)</x:f>
        <x:v>5400</x:v>
      </x:c>
      <x:c r="Q873" s="22" t="n">
        <x:v>300</x:v>
      </x:c>
      <x:c r="R873" s="22" t="n">
        <x:f>Q873*M873</x:f>
        <x:v>4500</x:v>
      </x:c>
      <x:c r="S873" s="22" t="n">
        <x:f>P873-R873</x:f>
        <x:v>900</x:v>
      </x:c>
      <x:c r="T873" t="str">
        <x:v>Cash</x:v>
      </x:c>
      <x:c r="U873" t="str">
        <x:v>Paid</x:v>
      </x:c>
      <x:c r="V873" t="str">
        <x:v>Delivered</x:v>
      </x:c>
      <x:c r="W873" t="n">
        <x:v>0</x:v>
      </x:c>
      <x:c r="X873" t="str"/>
      <x:c r="Y873" t="str">
        <x:v>Referral</x:v>
      </x:c>
    </x:row>
    <x:row r="874">
      <x:c r="A874" t="str">
        <x:v>O000873</x:v>
      </x:c>
      <x:c r="B874" s="20" t="n">
        <x:v>45737</x:v>
      </x:c>
      <x:c r="C874" t="str">
        <x:v>C0189</x:v>
      </x:c>
      <x:c r="D874" t="str">
        <x:v>Classic Canteen 189</x:v>
      </x:c>
      <x:c r="E874" t="str">
        <x:v>Kirana</x:v>
      </x:c>
      <x:c r="F874" t="str">
        <x:v>Hubballi</x:v>
      </x:c>
      <x:c r="G874" t="str">
        <x:v>Vikram</x:v>
      </x:c>
      <x:c r="H874" t="str">
        <x:v>P014</x:v>
      </x:c>
      <x:c r="I874" t="str">
        <x:v>Rava 5kg</x:v>
      </x:c>
      <x:c r="J874" t="str">
        <x:v>Flour</x:v>
      </x:c>
      <x:c r="K874" t="str">
        <x:v>Local Select</x:v>
      </x:c>
      <x:c r="L874" s="22" t="n">
        <x:v>245</x:v>
      </x:c>
      <x:c r="M874" t="n">
        <x:v>5</x:v>
      </x:c>
      <x:c r="N874" s="24" t="n">
        <x:v>0.1</x:v>
      </x:c>
      <x:c r="O874" s="22" t="n">
        <x:f>L874*M874</x:f>
        <x:v>1225</x:v>
      </x:c>
      <x:c r="P874" s="22" t="n">
        <x:f>O874*(1-N874)</x:f>
        <x:v>1102.5</x:v>
      </x:c>
      <x:c r="Q874" s="22" t="n">
        <x:v>215</x:v>
      </x:c>
      <x:c r="R874" s="22" t="n">
        <x:f>Q874*M874</x:f>
        <x:v>1075</x:v>
      </x:c>
      <x:c r="S874" s="22" t="n">
        <x:f>P874-R874</x:f>
        <x:v>27.5</x:v>
      </x:c>
      <x:c r="T874" t="str">
        <x:v>UPI</x:v>
      </x:c>
      <x:c r="U874" t="str">
        <x:v>Paid</x:v>
      </x:c>
      <x:c r="V874" t="str">
        <x:v>Cancelled</x:v>
      </x:c>
      <x:c r="W874" t="n">
        <x:v>5</x:v>
      </x:c>
      <x:c r="X874" t="str">
        <x:v>Cancelled Order</x:v>
      </x:c>
      <x:c r="Y874" t="str">
        <x:v>Referral</x:v>
      </x:c>
    </x:row>
    <x:row r="875">
      <x:c r="A875" t="str">
        <x:v>O000874</x:v>
      </x:c>
      <x:c r="B875" s="20" t="n">
        <x:v>46157</x:v>
      </x:c>
      <x:c r="C875" t="str">
        <x:v>C0099</x:v>
      </x:c>
      <x:c r="D875" t="str">
        <x:v>Green Cafe 99</x:v>
      </x:c>
      <x:c r="E875" t="str">
        <x:v>Restaurant</x:v>
      </x:c>
      <x:c r="F875" t="str">
        <x:v>Hubballi</x:v>
      </x:c>
      <x:c r="G875" t="str">
        <x:v>Ramesh</x:v>
      </x:c>
      <x:c r="H875" t="str">
        <x:v>P013</x:v>
      </x:c>
      <x:c r="I875" t="str">
        <x:v>Atta 10kg</x:v>
      </x:c>
      <x:c r="J875" t="str">
        <x:v>Flour</x:v>
      </x:c>
      <x:c r="K875" t="str">
        <x:v>Aashirvaad</x:v>
      </x:c>
      <x:c r="L875" s="22" t="n">
        <x:v>560</x:v>
      </x:c>
      <x:c r="M875" t="n">
        <x:v>7</x:v>
      </x:c>
      <x:c r="N875" s="24" t="n">
        <x:v>0.02</x:v>
      </x:c>
      <x:c r="O875" s="22" t="n">
        <x:f>L875*M875</x:f>
        <x:v>3920</x:v>
      </x:c>
      <x:c r="P875" s="22" t="n">
        <x:f>O875*(1-N875)</x:f>
        <x:v>3841.6</x:v>
      </x:c>
      <x:c r="Q875" s="22" t="n">
        <x:v>495</x:v>
      </x:c>
      <x:c r="R875" s="22" t="n">
        <x:f>Q875*M875</x:f>
        <x:v>3465</x:v>
      </x:c>
      <x:c r="S875" s="22" t="n">
        <x:f>P875-R875</x:f>
        <x:v>376.5999999999999</x:v>
      </x:c>
      <x:c r="T875" t="str">
        <x:v>Cash</x:v>
      </x:c>
      <x:c r="U875" t="str">
        <x:v>Pending</x:v>
      </x:c>
      <x:c r="V875" t="str">
        <x:v>Delivered</x:v>
      </x:c>
      <x:c r="W875" t="n">
        <x:v>0</x:v>
      </x:c>
      <x:c r="X875" t="str"/>
      <x:c r="Y875" t="str">
        <x:v>Referral</x:v>
      </x:c>
    </x:row>
    <x:row r="876">
      <x:c r="A876" t="str">
        <x:v>O000875</x:v>
      </x:c>
      <x:c r="B876" s="20" t="n">
        <x:v>45882</x:v>
      </x:c>
      <x:c r="C876" t="str">
        <x:v>C0028</x:v>
      </x:c>
      <x:c r="D876" t="str">
        <x:v>Spice Cafe 28</x:v>
      </x:c>
      <x:c r="E876" t="str">
        <x:v>Supermarket</x:v>
      </x:c>
      <x:c r="F876" t="str">
        <x:v>Mysuru</x:v>
      </x:c>
      <x:c r="G876" t="str">
        <x:v>Vikram</x:v>
      </x:c>
      <x:c r="H876" t="str">
        <x:v>P009</x:v>
      </x:c>
      <x:c r="I876" t="str">
        <x:v>Groundnut Oil 5L</x:v>
      </x:c>
      <x:c r="J876" t="str">
        <x:v>Edible Oil</x:v>
      </x:c>
      <x:c r="K876" t="str">
        <x:v>Dhara</x:v>
      </x:c>
      <x:c r="L876" s="22" t="n">
        <x:v>890</x:v>
      </x:c>
      <x:c r="M876" t="n">
        <x:v>24</x:v>
      </x:c>
      <x:c r="N876" s="24" t="n">
        <x:v>0.02</x:v>
      </x:c>
      <x:c r="O876" s="22" t="n">
        <x:f>L876*M876</x:f>
        <x:v>21360</x:v>
      </x:c>
      <x:c r="P876" s="22" t="n">
        <x:f>O876*(1-N876)</x:f>
        <x:v>20932.8</x:v>
      </x:c>
      <x:c r="Q876" s="22" t="n">
        <x:v>810</x:v>
      </x:c>
      <x:c r="R876" s="22" t="n">
        <x:f>Q876*M876</x:f>
        <x:v>19440</x:v>
      </x:c>
      <x:c r="S876" s="22" t="n">
        <x:f>P876-R876</x:f>
        <x:v>1492.7999999999993</x:v>
      </x:c>
      <x:c r="T876" t="str">
        <x:v>Credit</x:v>
      </x:c>
      <x:c r="U876" t="str">
        <x:v>Pending</x:v>
      </x:c>
      <x:c r="V876" t="str">
        <x:v>Delayed</x:v>
      </x:c>
      <x:c r="W876" t="n">
        <x:v>0</x:v>
      </x:c>
      <x:c r="X876" t="str"/>
      <x:c r="Y876" t="str">
        <x:v>Referral</x:v>
      </x:c>
    </x:row>
    <x:row r="877">
      <x:c r="A877" t="str">
        <x:v>O000876</x:v>
      </x:c>
      <x:c r="B877" s="20" t="n">
        <x:v>45942</x:v>
      </x:c>
      <x:c r="C877" t="str">
        <x:v>C0049</x:v>
      </x:c>
      <x:c r="D877" t="str">
        <x:v>Namma Stores 49</x:v>
      </x:c>
      <x:c r="E877" t="str">
        <x:v>Hotel</x:v>
      </x:c>
      <x:c r="F877" t="str">
        <x:v>Mangaluru</x:v>
      </x:c>
      <x:c r="G877" t="str">
        <x:v>Sneha</x:v>
      </x:c>
      <x:c r="H877" t="str">
        <x:v>P005</x:v>
      </x:c>
      <x:c r="I877" t="str">
        <x:v>Chana Dal 5kg</x:v>
      </x:c>
      <x:c r="J877" t="str">
        <x:v>Pulses</x:v>
      </x:c>
      <x:c r="K877" t="str">
        <x:v>Local Select</x:v>
      </x:c>
      <x:c r="L877" s="22" t="n">
        <x:v>520</x:v>
      </x:c>
      <x:c r="M877" t="n">
        <x:v>28</x:v>
      </x:c>
      <x:c r="N877" s="24" t="n">
        <x:v>0</x:v>
      </x:c>
      <x:c r="O877" s="22" t="n">
        <x:f>L877*M877</x:f>
        <x:v>14560</x:v>
      </x:c>
      <x:c r="P877" s="22" t="n">
        <x:f>O877*(1-N877)</x:f>
        <x:v>14560</x:v>
      </x:c>
      <x:c r="Q877" s="22" t="n">
        <x:v>455</x:v>
      </x:c>
      <x:c r="R877" s="22" t="n">
        <x:f>Q877*M877</x:f>
        <x:v>12740</x:v>
      </x:c>
      <x:c r="S877" s="22" t="n">
        <x:f>P877-R877</x:f>
        <x:v>1820</x:v>
      </x:c>
      <x:c r="T877" t="str">
        <x:v>Cash</x:v>
      </x:c>
      <x:c r="U877" t="str">
        <x:v>Overdue</x:v>
      </x:c>
      <x:c r="V877" t="str">
        <x:v>Delayed</x:v>
      </x:c>
      <x:c r="W877" t="n">
        <x:v>0</x:v>
      </x:c>
      <x:c r="X877" t="str"/>
      <x:c r="Y877" t="str">
        <x:v>Outbound Call</x:v>
      </x:c>
    </x:row>
    <x:row r="878">
      <x:c r="A878" t="str">
        <x:v>O000877</x:v>
      </x:c>
      <x:c r="B878" s="20" t="n">
        <x:v>45770</x:v>
      </x:c>
      <x:c r="C878" t="str">
        <x:v>C0225</x:v>
      </x:c>
      <x:c r="D878" t="str">
        <x:v>Darshini Mart 225</x:v>
      </x:c>
      <x:c r="E878" t="str">
        <x:v>Restaurant</x:v>
      </x:c>
      <x:c r="F878" t="str">
        <x:v>Davanagere</x:v>
      </x:c>
      <x:c r="G878" t="str">
        <x:v>Kavya</x:v>
      </x:c>
      <x:c r="H878" t="str">
        <x:v>P007</x:v>
      </x:c>
      <x:c r="I878" t="str">
        <x:v>Sunflower Oil 15L</x:v>
      </x:c>
      <x:c r="J878" t="str">
        <x:v>Edible Oil</x:v>
      </x:c>
      <x:c r="K878" t="str">
        <x:v>Fortune</x:v>
      </x:c>
      <x:c r="L878" s="22" t="n">
        <x:v>1980</x:v>
      </x:c>
      <x:c r="M878" t="n">
        <x:v>1</x:v>
      </x:c>
      <x:c r="N878" s="24" t="n">
        <x:v>0.08</x:v>
      </x:c>
      <x:c r="O878" s="22" t="n">
        <x:f>L878*M878</x:f>
        <x:v>1980</x:v>
      </x:c>
      <x:c r="P878" s="22" t="n">
        <x:f>O878*(1-N878)</x:f>
        <x:v>1821.6000000000001</x:v>
      </x:c>
      <x:c r="Q878" s="22" t="n">
        <x:v>1810</x:v>
      </x:c>
      <x:c r="R878" s="22" t="n">
        <x:f>Q878*M878</x:f>
        <x:v>1810</x:v>
      </x:c>
      <x:c r="S878" s="22" t="n">
        <x:f>P878-R878</x:f>
        <x:v>11.600000000000136</x:v>
      </x:c>
      <x:c r="T878" t="str">
        <x:v>Bank Transfer</x:v>
      </x:c>
      <x:c r="U878" t="str">
        <x:v>Paid</x:v>
      </x:c>
      <x:c r="V878" t="str">
        <x:v>Delivered</x:v>
      </x:c>
      <x:c r="W878" t="n">
        <x:v>0</x:v>
      </x:c>
      <x:c r="X878" t="str"/>
      <x:c r="Y878" t="str">
        <x:v>WhatsApp</x:v>
      </x:c>
    </x:row>
    <x:row r="879">
      <x:c r="A879" t="str">
        <x:v>O000878</x:v>
      </x:c>
      <x:c r="B879" s="20" t="n">
        <x:v>45744</x:v>
      </x:c>
      <x:c r="C879" t="str">
        <x:v>C0031</x:v>
      </x:c>
      <x:c r="D879" t="str">
        <x:v>Royal Restaurant 31</x:v>
      </x:c>
      <x:c r="E879" t="str">
        <x:v>Restaurant</x:v>
      </x:c>
      <x:c r="F879" t="str">
        <x:v>Mangaluru</x:v>
      </x:c>
      <x:c r="G879" t="str">
        <x:v>Arjun</x:v>
      </x:c>
      <x:c r="H879" t="str">
        <x:v>P036</x:v>
      </x:c>
      <x:c r="I879" t="str">
        <x:v>Garam Masala 500g</x:v>
      </x:c>
      <x:c r="J879" t="str">
        <x:v>Spices</x:v>
      </x:c>
      <x:c r="K879" t="str">
        <x:v>MDH</x:v>
      </x:c>
      <x:c r="L879" s="22" t="n">
        <x:v>265</x:v>
      </x:c>
      <x:c r="M879" t="n">
        <x:v>23</x:v>
      </x:c>
      <x:c r="N879" s="24" t="n">
        <x:v>0.03</x:v>
      </x:c>
      <x:c r="O879" s="22" t="n">
        <x:f>L879*M879</x:f>
        <x:v>6095</x:v>
      </x:c>
      <x:c r="P879" s="22" t="n">
        <x:f>O879*(1-N879)</x:f>
        <x:v>5912.15</x:v>
      </x:c>
      <x:c r="Q879" s="22" t="n">
        <x:v>230</x:v>
      </x:c>
      <x:c r="R879" s="22" t="n">
        <x:f>Q879*M879</x:f>
        <x:v>5290</x:v>
      </x:c>
      <x:c r="S879" s="22" t="n">
        <x:f>P879-R879</x:f>
        <x:v>622.1499999999996</x:v>
      </x:c>
      <x:c r="T879" t="str">
        <x:v>Bank Transfer</x:v>
      </x:c>
      <x:c r="U879" t="str">
        <x:v>Paid</x:v>
      </x:c>
      <x:c r="V879" t="str">
        <x:v>Delivered</x:v>
      </x:c>
      <x:c r="W879" t="n">
        <x:v>0</x:v>
      </x:c>
      <x:c r="X879" t="str"/>
      <x:c r="Y879" t="str">
        <x:v>Outbound Call</x:v>
      </x:c>
    </x:row>
    <x:row r="880">
      <x:c r="A880" t="str">
        <x:v>O000879</x:v>
      </x:c>
      <x:c r="B880" s="20" t="n">
        <x:v>45708</x:v>
      </x:c>
      <x:c r="C880" t="str">
        <x:v>C0095</x:v>
      </x:c>
      <x:c r="D880" t="str">
        <x:v>Spice Restaurant 95</x:v>
      </x:c>
      <x:c r="E880" t="str">
        <x:v>Restaurant</x:v>
      </x:c>
      <x:c r="F880" t="str">
        <x:v>Bengaluru</x:v>
      </x:c>
      <x:c r="G880" t="str">
        <x:v>Megha</x:v>
      </x:c>
      <x:c r="H880" t="str">
        <x:v>P007</x:v>
      </x:c>
      <x:c r="I880" t="str">
        <x:v>Sunflower Oil 15L</x:v>
      </x:c>
      <x:c r="J880" t="str">
        <x:v>Edible Oil</x:v>
      </x:c>
      <x:c r="K880" t="str">
        <x:v>Fortune</x:v>
      </x:c>
      <x:c r="L880" s="22" t="n">
        <x:v>1980</x:v>
      </x:c>
      <x:c r="M880" t="n">
        <x:v>12</x:v>
      </x:c>
      <x:c r="N880" s="24" t="n">
        <x:v>0.08</x:v>
      </x:c>
      <x:c r="O880" s="22" t="n">
        <x:f>L880*M880</x:f>
        <x:v>23760</x:v>
      </x:c>
      <x:c r="P880" s="22" t="n">
        <x:f>O880*(1-N880)</x:f>
        <x:v>21859.2</x:v>
      </x:c>
      <x:c r="Q880" s="22" t="n">
        <x:v>1810</x:v>
      </x:c>
      <x:c r="R880" s="22" t="n">
        <x:f>Q880*M880</x:f>
        <x:v>21720</x:v>
      </x:c>
      <x:c r="S880" s="22" t="n">
        <x:f>P880-R880</x:f>
        <x:v>139.20000000000073</x:v>
      </x:c>
      <x:c r="T880" t="str">
        <x:v>Bank Transfer</x:v>
      </x:c>
      <x:c r="U880" t="str">
        <x:v>Paid</x:v>
      </x:c>
      <x:c r="V880" t="str">
        <x:v>Delivered</x:v>
      </x:c>
      <x:c r="W880" t="n">
        <x:v>0</x:v>
      </x:c>
      <x:c r="X880" t="str"/>
      <x:c r="Y880" t="str">
        <x:v>Field Visit</x:v>
      </x:c>
    </x:row>
    <x:row r="881">
      <x:c r="A881" t="str">
        <x:v>O000880</x:v>
      </x:c>
      <x:c r="B881" s="20" t="n">
        <x:v>46101</x:v>
      </x:c>
      <x:c r="C881" t="str">
        <x:v>C0127</x:v>
      </x:c>
      <x:c r="D881" t="str">
        <x:v>Grand Mart 127</x:v>
      </x:c>
      <x:c r="E881" t="str">
        <x:v>Canteen</x:v>
      </x:c>
      <x:c r="F881" t="str">
        <x:v>Hubballi</x:v>
      </x:c>
      <x:c r="G881" t="str">
        <x:v>Imran</x:v>
      </x:c>
      <x:c r="H881" t="str">
        <x:v>P034</x:v>
      </x:c>
      <x:c r="I881" t="str">
        <x:v>Chilli Powder 1kg</x:v>
      </x:c>
      <x:c r="J881" t="str">
        <x:v>Spices</x:v>
      </x:c>
      <x:c r="K881" t="str">
        <x:v>MDH</x:v>
      </x:c>
      <x:c r="L881" s="22" t="n">
        <x:v>340</x:v>
      </x:c>
      <x:c r="M881" t="n">
        <x:v>7</x:v>
      </x:c>
      <x:c r="N881" s="24" t="n">
        <x:v>0.05</x:v>
      </x:c>
      <x:c r="O881" s="22" t="n">
        <x:f>L881*M881</x:f>
        <x:v>2380</x:v>
      </x:c>
      <x:c r="P881" s="22" t="n">
        <x:f>O881*(1-N881)</x:f>
        <x:v>2261</x:v>
      </x:c>
      <x:c r="Q881" s="22" t="n">
        <x:v>295</x:v>
      </x:c>
      <x:c r="R881" s="22" t="n">
        <x:f>Q881*M881</x:f>
        <x:v>2065</x:v>
      </x:c>
      <x:c r="S881" s="22" t="n">
        <x:f>P881-R881</x:f>
        <x:v>196</x:v>
      </x:c>
      <x:c r="T881" t="str">
        <x:v>Bank Transfer</x:v>
      </x:c>
      <x:c r="U881" t="str">
        <x:v>Overdue</x:v>
      </x:c>
      <x:c r="V881" t="str">
        <x:v>Delivered</x:v>
      </x:c>
      <x:c r="W881" t="n">
        <x:v>0</x:v>
      </x:c>
      <x:c r="X881" t="str"/>
      <x:c r="Y881" t="str">
        <x:v>Outbound Call</x:v>
      </x:c>
    </x:row>
    <x:row r="882">
      <x:c r="A882" t="str">
        <x:v>O000881</x:v>
      </x:c>
      <x:c r="B882" s="20" t="n">
        <x:v>46202</x:v>
      </x:c>
      <x:c r="C882" t="str">
        <x:v>C0062</x:v>
      </x:c>
      <x:c r="D882" t="str">
        <x:v>Foodie Hotel 62</x:v>
      </x:c>
      <x:c r="E882" t="str">
        <x:v>Cafe</x:v>
      </x:c>
      <x:c r="F882" t="str">
        <x:v>Mysuru</x:v>
      </x:c>
      <x:c r="G882" t="str">
        <x:v>Vikram</x:v>
      </x:c>
      <x:c r="H882" t="str">
        <x:v>P005</x:v>
      </x:c>
      <x:c r="I882" t="str">
        <x:v>Chana Dal 5kg</x:v>
      </x:c>
      <x:c r="J882" t="str">
        <x:v>Pulses</x:v>
      </x:c>
      <x:c r="K882" t="str">
        <x:v>Local Select</x:v>
      </x:c>
      <x:c r="L882" s="22" t="n">
        <x:v>520</x:v>
      </x:c>
      <x:c r="M882" t="n">
        <x:v>7</x:v>
      </x:c>
      <x:c r="N882" s="24" t="n">
        <x:v>0.02</x:v>
      </x:c>
      <x:c r="O882" s="22" t="n">
        <x:f>L882*M882</x:f>
        <x:v>3640</x:v>
      </x:c>
      <x:c r="P882" s="22" t="n">
        <x:f>O882*(1-N882)</x:f>
        <x:v>3567.2</x:v>
      </x:c>
      <x:c r="Q882" s="22" t="n">
        <x:v>455</x:v>
      </x:c>
      <x:c r="R882" s="22" t="n">
        <x:f>Q882*M882</x:f>
        <x:v>3185</x:v>
      </x:c>
      <x:c r="S882" s="22" t="n">
        <x:f>P882-R882</x:f>
        <x:v>382.1999999999998</x:v>
      </x:c>
      <x:c r="T882" t="str">
        <x:v>Credit</x:v>
      </x:c>
      <x:c r="U882" t="str">
        <x:v>Paid</x:v>
      </x:c>
      <x:c r="V882" t="str">
        <x:v>Delivered</x:v>
      </x:c>
      <x:c r="W882" t="n">
        <x:v>0</x:v>
      </x:c>
      <x:c r="X882" t="str"/>
      <x:c r="Y882" t="str">
        <x:v>Field Visit</x:v>
      </x:c>
    </x:row>
    <x:row r="883">
      <x:c r="A883" t="str">
        <x:v>O000882</x:v>
      </x:c>
      <x:c r="B883" s="20" t="n">
        <x:v>46013</x:v>
      </x:c>
      <x:c r="C883" t="str">
        <x:v>C0044</x:v>
      </x:c>
      <x:c r="D883" t="str">
        <x:v>Annapurna Mart 44</x:v>
      </x:c>
      <x:c r="E883" t="str">
        <x:v>Kirana</x:v>
      </x:c>
      <x:c r="F883" t="str">
        <x:v>Davanagere</x:v>
      </x:c>
      <x:c r="G883" t="str">
        <x:v>Priya</x:v>
      </x:c>
      <x:c r="H883" t="str">
        <x:v>P014</x:v>
      </x:c>
      <x:c r="I883" t="str">
        <x:v>Rava 5kg</x:v>
      </x:c>
      <x:c r="J883" t="str">
        <x:v>Flour</x:v>
      </x:c>
      <x:c r="K883" t="str">
        <x:v>Local Select</x:v>
      </x:c>
      <x:c r="L883" s="22" t="n">
        <x:v>245</x:v>
      </x:c>
      <x:c r="M883" t="n">
        <x:v>19</x:v>
      </x:c>
      <x:c r="N883" s="24" t="n">
        <x:v>0.05</x:v>
      </x:c>
      <x:c r="O883" s="22" t="n">
        <x:f>L883*M883</x:f>
        <x:v>4655</x:v>
      </x:c>
      <x:c r="P883" s="22" t="n">
        <x:f>O883*(1-N883)</x:f>
        <x:v>4422.25</x:v>
      </x:c>
      <x:c r="Q883" s="22" t="n">
        <x:v>215</x:v>
      </x:c>
      <x:c r="R883" s="22" t="n">
        <x:f>Q883*M883</x:f>
        <x:v>4085</x:v>
      </x:c>
      <x:c r="S883" s="22" t="n">
        <x:f>P883-R883</x:f>
        <x:v>337.25</x:v>
      </x:c>
      <x:c r="T883" t="str">
        <x:v>Cash</x:v>
      </x:c>
      <x:c r="U883" t="str">
        <x:v>Pending</x:v>
      </x:c>
      <x:c r="V883" t="str">
        <x:v>Delivered</x:v>
      </x:c>
      <x:c r="W883" t="n">
        <x:v>0</x:v>
      </x:c>
      <x:c r="X883" t="str"/>
      <x:c r="Y883" t="str">
        <x:v>Existing Customer</x:v>
      </x:c>
    </x:row>
    <x:row r="884">
      <x:c r="A884" t="str">
        <x:v>O000883</x:v>
      </x:c>
      <x:c r="B884" s="20" t="n">
        <x:v>45902</x:v>
      </x:c>
      <x:c r="C884" t="str">
        <x:v>C0079</x:v>
      </x:c>
      <x:c r="D884" t="str">
        <x:v>Foodie Foods 79</x:v>
      </x:c>
      <x:c r="E884" t="str">
        <x:v>Cafe</x:v>
      </x:c>
      <x:c r="F884" t="str">
        <x:v>Tumakuru</x:v>
      </x:c>
      <x:c r="G884" t="str">
        <x:v>Ramesh</x:v>
      </x:c>
      <x:c r="H884" t="str">
        <x:v>P045</x:v>
      </x:c>
      <x:c r="I884" t="str">
        <x:v>Onion 25kg</x:v>
      </x:c>
      <x:c r="J884" t="str">
        <x:v>Fresh Produce</x:v>
      </x:c>
      <x:c r="K884" t="str">
        <x:v>Local Market</x:v>
      </x:c>
      <x:c r="L884" s="22" t="n">
        <x:v>875</x:v>
      </x:c>
      <x:c r="M884" t="n">
        <x:v>11</x:v>
      </x:c>
      <x:c r="N884" s="24" t="n">
        <x:v>0.02</x:v>
      </x:c>
      <x:c r="O884" s="22" t="n">
        <x:f>L884*M884</x:f>
        <x:v>9625</x:v>
      </x:c>
      <x:c r="P884" s="22" t="n">
        <x:f>O884*(1-N884)</x:f>
        <x:v>9432.5</x:v>
      </x:c>
      <x:c r="Q884" s="22" t="n">
        <x:v>760</x:v>
      </x:c>
      <x:c r="R884" s="22" t="n">
        <x:f>Q884*M884</x:f>
        <x:v>8360</x:v>
      </x:c>
      <x:c r="S884" s="22" t="n">
        <x:f>P884-R884</x:f>
        <x:v>1072.5</x:v>
      </x:c>
      <x:c r="T884" t="str">
        <x:v>UPI</x:v>
      </x:c>
      <x:c r="U884" t="str">
        <x:v>Paid</x:v>
      </x:c>
      <x:c r="V884" t="str">
        <x:v>Delivered</x:v>
      </x:c>
      <x:c r="W884" t="n">
        <x:v>0</x:v>
      </x:c>
      <x:c r="X884" t="str"/>
      <x:c r="Y884" t="str">
        <x:v>Referral</x:v>
      </x:c>
    </x:row>
    <x:row r="885">
      <x:c r="A885" t="str">
        <x:v>O000884</x:v>
      </x:c>
      <x:c r="B885" s="20" t="n">
        <x:v>46096</x:v>
      </x:c>
      <x:c r="C885" t="str">
        <x:v>C0171</x:v>
      </x:c>
      <x:c r="D885" t="str">
        <x:v>Metro Canteen 171</x:v>
      </x:c>
      <x:c r="E885" t="str">
        <x:v>Restaurant</x:v>
      </x:c>
      <x:c r="F885" t="str">
        <x:v>Mangaluru</x:v>
      </x:c>
      <x:c r="G885" t="str">
        <x:v>Priya</x:v>
      </x:c>
      <x:c r="H885" t="str">
        <x:v>P031</x:v>
      </x:c>
      <x:c r="I885" t="str">
        <x:v>Chilli Sauce 700g</x:v>
      </x:c>
      <x:c r="J885" t="str">
        <x:v>Condiments</x:v>
      </x:c>
      <x:c r="K885" t="str">
        <x:v>Ching's</x:v>
      </x:c>
      <x:c r="L885" s="22" t="n">
        <x:v>130</x:v>
      </x:c>
      <x:c r="M885" t="n">
        <x:v>22</x:v>
      </x:c>
      <x:c r="N885" s="24" t="n">
        <x:v>0</x:v>
      </x:c>
      <x:c r="O885" s="22" t="n">
        <x:f>L885*M885</x:f>
        <x:v>2860</x:v>
      </x:c>
      <x:c r="P885" s="22" t="n">
        <x:f>O885*(1-N885)</x:f>
        <x:v>2860</x:v>
      </x:c>
      <x:c r="Q885" s="22" t="n">
        <x:v>112</x:v>
      </x:c>
      <x:c r="R885" s="22" t="n">
        <x:f>Q885*M885</x:f>
        <x:v>2464</x:v>
      </x:c>
      <x:c r="S885" s="22" t="n">
        <x:f>P885-R885</x:f>
        <x:v>396</x:v>
      </x:c>
      <x:c r="T885" t="str">
        <x:v>Cash</x:v>
      </x:c>
      <x:c r="U885" t="str">
        <x:v>Pending</x:v>
      </x:c>
      <x:c r="V885" t="str">
        <x:v>Delivered</x:v>
      </x:c>
      <x:c r="W885" t="n">
        <x:v>0</x:v>
      </x:c>
      <x:c r="X885" t="str"/>
      <x:c r="Y885" t="str">
        <x:v>Outbound Call</x:v>
      </x:c>
    </x:row>
    <x:row r="886">
      <x:c r="A886" t="str">
        <x:v>O000885</x:v>
      </x:c>
      <x:c r="B886" s="20" t="n">
        <x:v>46255</x:v>
      </x:c>
      <x:c r="C886" t="str">
        <x:v>C0249</x:v>
      </x:c>
      <x:c r="D886" t="str">
        <x:v>City Hotel 249</x:v>
      </x:c>
      <x:c r="E886" t="str">
        <x:v>Supermarket</x:v>
      </x:c>
      <x:c r="F886" t="str">
        <x:v>Mysuru</x:v>
      </x:c>
      <x:c r="G886" t="str">
        <x:v>Arjun</x:v>
      </x:c>
      <x:c r="H886" t="str">
        <x:v>P031</x:v>
      </x:c>
      <x:c r="I886" t="str">
        <x:v>Chilli Sauce 700g</x:v>
      </x:c>
      <x:c r="J886" t="str">
        <x:v>Condiments</x:v>
      </x:c>
      <x:c r="K886" t="str">
        <x:v>Ching's</x:v>
      </x:c>
      <x:c r="L886" s="22" t="n">
        <x:v>130</x:v>
      </x:c>
      <x:c r="M886" t="n">
        <x:v>1</x:v>
      </x:c>
      <x:c r="N886" s="24" t="n">
        <x:v>0.03</x:v>
      </x:c>
      <x:c r="O886" s="22" t="n">
        <x:f>L886*M886</x:f>
        <x:v>130</x:v>
      </x:c>
      <x:c r="P886" s="22" t="n">
        <x:f>O886*(1-N886)</x:f>
        <x:v>126.1</x:v>
      </x:c>
      <x:c r="Q886" s="22" t="n">
        <x:v>112</x:v>
      </x:c>
      <x:c r="R886" s="22" t="n">
        <x:f>Q886*M886</x:f>
        <x:v>112</x:v>
      </x:c>
      <x:c r="S886" s="22" t="n">
        <x:f>P886-R886</x:f>
        <x:v>14.099999999999994</x:v>
      </x:c>
      <x:c r="T886" t="str">
        <x:v>Bank Transfer</x:v>
      </x:c>
      <x:c r="U886" t="str">
        <x:v>Paid</x:v>
      </x:c>
      <x:c r="V886" t="str">
        <x:v>Delivered</x:v>
      </x:c>
      <x:c r="W886" t="n">
        <x:v>0</x:v>
      </x:c>
      <x:c r="X886" t="str"/>
      <x:c r="Y886" t="str">
        <x:v>Existing Customer</x:v>
      </x:c>
    </x:row>
    <x:row r="887">
      <x:c r="A887" t="str">
        <x:v>O000886</x:v>
      </x:c>
      <x:c r="B887" s="20" t="n">
        <x:v>46195</x:v>
      </x:c>
      <x:c r="C887" t="str">
        <x:v>C0075</x:v>
      </x:c>
      <x:c r="D887" t="str">
        <x:v>Spice Foods 75</x:v>
      </x:c>
      <x:c r="E887" t="str">
        <x:v>Kirana</x:v>
      </x:c>
      <x:c r="F887" t="str">
        <x:v>Hubballi</x:v>
      </x:c>
      <x:c r="G887" t="str">
        <x:v>Vikram</x:v>
      </x:c>
      <x:c r="H887" t="str">
        <x:v>P015</x:v>
      </x:c>
      <x:c r="I887" t="str">
        <x:v>Milk 1L</x:v>
      </x:c>
      <x:c r="J887" t="str">
        <x:v>Dairy</x:v>
      </x:c>
      <x:c r="K887" t="str">
        <x:v>Nandini</x:v>
      </x:c>
      <x:c r="L887" s="22" t="n">
        <x:v>48</x:v>
      </x:c>
      <x:c r="M887" t="n">
        <x:v>33</x:v>
      </x:c>
      <x:c r="N887" s="24" t="n">
        <x:v>0</x:v>
      </x:c>
      <x:c r="O887" s="22" t="n">
        <x:f>L887*M887</x:f>
        <x:v>1584</x:v>
      </x:c>
      <x:c r="P887" s="22" t="n">
        <x:f>O887*(1-N887)</x:f>
        <x:v>1584</x:v>
      </x:c>
      <x:c r="Q887" s="22" t="n">
        <x:v>43</x:v>
      </x:c>
      <x:c r="R887" s="22" t="n">
        <x:f>Q887*M887</x:f>
        <x:v>1419</x:v>
      </x:c>
      <x:c r="S887" s="22" t="n">
        <x:f>P887-R887</x:f>
        <x:v>165</x:v>
      </x:c>
      <x:c r="T887" t="str">
        <x:v>Bank Transfer</x:v>
      </x:c>
      <x:c r="U887" t="str">
        <x:v>Pending</x:v>
      </x:c>
      <x:c r="V887" t="str">
        <x:v>Delivered</x:v>
      </x:c>
      <x:c r="W887" t="n">
        <x:v>0</x:v>
      </x:c>
      <x:c r="X887" t="str"/>
      <x:c r="Y887" t="str">
        <x:v>Field Visit</x:v>
      </x:c>
    </x:row>
    <x:row r="888">
      <x:c r="A888" t="str">
        <x:v>O000887</x:v>
      </x:c>
      <x:c r="B888" s="20" t="n">
        <x:v>46216</x:v>
      </x:c>
      <x:c r="C888" t="str">
        <x:v>C0189</x:v>
      </x:c>
      <x:c r="D888" t="str">
        <x:v>Classic Canteen 189</x:v>
      </x:c>
      <x:c r="E888" t="str">
        <x:v>Kirana</x:v>
      </x:c>
      <x:c r="F888" t="str">
        <x:v>Hubballi</x:v>
      </x:c>
      <x:c r="G888" t="str">
        <x:v>Vikram</x:v>
      </x:c>
      <x:c r="H888" t="str">
        <x:v>P023</x:v>
      </x:c>
      <x:c r="I888" t="str">
        <x:v>Cola 750ml</x:v>
      </x:c>
      <x:c r="J888" t="str">
        <x:v>Beverage</x:v>
      </x:c>
      <x:c r="K888" t="str">
        <x:v>Coca-Cola</x:v>
      </x:c>
      <x:c r="L888" s="22" t="n">
        <x:v>38</x:v>
      </x:c>
      <x:c r="M888" t="n">
        <x:v>17</x:v>
      </x:c>
      <x:c r="N888" s="24" t="n">
        <x:v>0.05</x:v>
      </x:c>
      <x:c r="O888" s="22" t="n">
        <x:f>L888*M888</x:f>
        <x:v>646</x:v>
      </x:c>
      <x:c r="P888" s="22" t="n">
        <x:f>O888*(1-N888)</x:f>
        <x:v>613.6999999999999</x:v>
      </x:c>
      <x:c r="Q888" s="22" t="n">
        <x:v>31</x:v>
      </x:c>
      <x:c r="R888" s="22" t="n">
        <x:f>Q888*M888</x:f>
        <x:v>527</x:v>
      </x:c>
      <x:c r="S888" s="22" t="n">
        <x:f>P888-R888</x:f>
        <x:v>86.69999999999993</x:v>
      </x:c>
      <x:c r="T888" t="str">
        <x:v>Cash</x:v>
      </x:c>
      <x:c r="U888" t="str">
        <x:v>Paid</x:v>
      </x:c>
      <x:c r="V888" t="str">
        <x:v>Delivered</x:v>
      </x:c>
      <x:c r="W888" t="n">
        <x:v>0</x:v>
      </x:c>
      <x:c r="X888" t="str"/>
      <x:c r="Y888" t="str">
        <x:v>Field Visit</x:v>
      </x:c>
    </x:row>
    <x:row r="889">
      <x:c r="A889" t="str">
        <x:v>O000888</x:v>
      </x:c>
      <x:c r="B889" s="20" t="n">
        <x:v>46268</x:v>
      </x:c>
      <x:c r="C889" t="str">
        <x:v>C0229</x:v>
      </x:c>
      <x:c r="D889" t="str">
        <x:v>Namma Canteen 229</x:v>
      </x:c>
      <x:c r="E889" t="str">
        <x:v>Restaurant</x:v>
      </x:c>
      <x:c r="F889" t="str">
        <x:v>Bengaluru</x:v>
      </x:c>
      <x:c r="G889" t="str">
        <x:v>Arjun</x:v>
      </x:c>
      <x:c r="H889" t="str">
        <x:v>P034</x:v>
      </x:c>
      <x:c r="I889" t="str">
        <x:v>Chilli Powder 1kg</x:v>
      </x:c>
      <x:c r="J889" t="str">
        <x:v>Spices</x:v>
      </x:c>
      <x:c r="K889" t="str">
        <x:v>MDH</x:v>
      </x:c>
      <x:c r="L889" s="22" t="n">
        <x:v>340</x:v>
      </x:c>
      <x:c r="M889" t="n">
        <x:v>31</x:v>
      </x:c>
      <x:c r="N889" s="24" t="n">
        <x:v>0</x:v>
      </x:c>
      <x:c r="O889" s="22" t="n">
        <x:f>L889*M889</x:f>
        <x:v>10540</x:v>
      </x:c>
      <x:c r="P889" s="22" t="n">
        <x:f>O889*(1-N889)</x:f>
        <x:v>10540</x:v>
      </x:c>
      <x:c r="Q889" s="22" t="n">
        <x:v>295</x:v>
      </x:c>
      <x:c r="R889" s="22" t="n">
        <x:f>Q889*M889</x:f>
        <x:v>9145</x:v>
      </x:c>
      <x:c r="S889" s="22" t="n">
        <x:f>P889-R889</x:f>
        <x:v>1395</x:v>
      </x:c>
      <x:c r="T889" t="str">
        <x:v>UPI</x:v>
      </x:c>
      <x:c r="U889" t="str">
        <x:v>Paid</x:v>
      </x:c>
      <x:c r="V889" t="str">
        <x:v>Delivered</x:v>
      </x:c>
      <x:c r="W889" t="n">
        <x:v>0</x:v>
      </x:c>
      <x:c r="X889" t="str"/>
      <x:c r="Y889" t="str">
        <x:v>Referral</x:v>
      </x:c>
    </x:row>
    <x:row r="890">
      <x:c r="A890" t="str">
        <x:v>O000889</x:v>
      </x:c>
      <x:c r="B890" s="20" t="n">
        <x:v>46249</x:v>
      </x:c>
      <x:c r="C890" t="str">
        <x:v>C0008</x:v>
      </x:c>
      <x:c r="D890" t="str">
        <x:v>Namma Kitchen 8</x:v>
      </x:c>
      <x:c r="E890" t="str">
        <x:v>Kirana</x:v>
      </x:c>
      <x:c r="F890" t="str">
        <x:v>Bengaluru</x:v>
      </x:c>
      <x:c r="G890" t="str">
        <x:v>Vikram</x:v>
      </x:c>
      <x:c r="H890" t="str">
        <x:v>P016</x:v>
      </x:c>
      <x:c r="I890" t="str">
        <x:v>Curd 1kg</x:v>
      </x:c>
      <x:c r="J890" t="str">
        <x:v>Dairy</x:v>
      </x:c>
      <x:c r="K890" t="str">
        <x:v>Nandini</x:v>
      </x:c>
      <x:c r="L890" s="22" t="n">
        <x:v>72</x:v>
      </x:c>
      <x:c r="M890" t="n">
        <x:v>28</x:v>
      </x:c>
      <x:c r="N890" s="24" t="n">
        <x:v>0.02</x:v>
      </x:c>
      <x:c r="O890" s="22" t="n">
        <x:f>L890*M890</x:f>
        <x:v>2016</x:v>
      </x:c>
      <x:c r="P890" s="22" t="n">
        <x:f>O890*(1-N890)</x:f>
        <x:v>1975.68</x:v>
      </x:c>
      <x:c r="Q890" s="22" t="n">
        <x:v>64</x:v>
      </x:c>
      <x:c r="R890" s="22" t="n">
        <x:f>Q890*M890</x:f>
        <x:v>1792</x:v>
      </x:c>
      <x:c r="S890" s="22" t="n">
        <x:f>P890-R890</x:f>
        <x:v>183.68000000000006</x:v>
      </x:c>
      <x:c r="T890" t="str">
        <x:v>UPI</x:v>
      </x:c>
      <x:c r="U890" t="str">
        <x:v>Paid</x:v>
      </x:c>
      <x:c r="V890" t="str">
        <x:v>Delivered</x:v>
      </x:c>
      <x:c r="W890" t="n">
        <x:v>0</x:v>
      </x:c>
      <x:c r="X890" t="str"/>
      <x:c r="Y890" t="str">
        <x:v>Field Visit</x:v>
      </x:c>
    </x:row>
    <x:row r="891">
      <x:c r="A891" t="str">
        <x:v>O000890</x:v>
      </x:c>
      <x:c r="B891" s="20" t="n">
        <x:v>46118</x:v>
      </x:c>
      <x:c r="C891" t="str">
        <x:v>C0174</x:v>
      </x:c>
      <x:c r="D891" t="str">
        <x:v>Classic Stores 174</x:v>
      </x:c>
      <x:c r="E891" t="str">
        <x:v>Kirana</x:v>
      </x:c>
      <x:c r="F891" t="str">
        <x:v>Mysuru</x:v>
      </x:c>
      <x:c r="G891" t="str">
        <x:v>Vikram</x:v>
      </x:c>
      <x:c r="H891" t="str">
        <x:v>P035</x:v>
      </x:c>
      <x:c r="I891" t="str">
        <x:v>Coriander Powder 1kg</x:v>
      </x:c>
      <x:c r="J891" t="str">
        <x:v>Spices</x:v>
      </x:c>
      <x:c r="K891" t="str">
        <x:v>Everest</x:v>
      </x:c>
      <x:c r="L891" s="22" t="n">
        <x:v>280</x:v>
      </x:c>
      <x:c r="M891" t="n">
        <x:v>34</x:v>
      </x:c>
      <x:c r="N891" s="24" t="n">
        <x:v>0</x:v>
      </x:c>
      <x:c r="O891" s="22" t="n">
        <x:f>L891*M891</x:f>
        <x:v>9520</x:v>
      </x:c>
      <x:c r="P891" s="22" t="n">
        <x:f>O891*(1-N891)</x:f>
        <x:v>9520</x:v>
      </x:c>
      <x:c r="Q891" s="22" t="n">
        <x:v>245</x:v>
      </x:c>
      <x:c r="R891" s="22" t="n">
        <x:f>Q891*M891</x:f>
        <x:v>8330</x:v>
      </x:c>
      <x:c r="S891" s="22" t="n">
        <x:f>P891-R891</x:f>
        <x:v>1190</x:v>
      </x:c>
      <x:c r="T891" t="str">
        <x:v>Cash</x:v>
      </x:c>
      <x:c r="U891" t="str">
        <x:v>Pending</x:v>
      </x:c>
      <x:c r="V891" t="str">
        <x:v>Delivered</x:v>
      </x:c>
      <x:c r="W891" t="n">
        <x:v>0</x:v>
      </x:c>
      <x:c r="X891" t="str"/>
      <x:c r="Y891" t="str">
        <x:v>Field Visit</x:v>
      </x:c>
    </x:row>
    <x:row r="892">
      <x:c r="A892" t="str">
        <x:v>O000891</x:v>
      </x:c>
      <x:c r="B892" s="20" t="n">
        <x:v>46190</x:v>
      </x:c>
      <x:c r="C892" t="str">
        <x:v>C0011</x:v>
      </x:c>
      <x:c r="D892" t="str">
        <x:v>City Cafe 11</x:v>
      </x:c>
      <x:c r="E892" t="str">
        <x:v>Restaurant</x:v>
      </x:c>
      <x:c r="F892" t="str">
        <x:v>Mangaluru</x:v>
      </x:c>
      <x:c r="G892" t="str">
        <x:v>Arjun</x:v>
      </x:c>
      <x:c r="H892" t="str">
        <x:v>P038</x:v>
      </x:c>
      <x:c r="I892" t="str">
        <x:v>French Fries 2.5kg</x:v>
      </x:c>
      <x:c r="J892" t="str">
        <x:v>Frozen</x:v>
      </x:c>
      <x:c r="K892" t="str">
        <x:v>McCain</x:v>
      </x:c>
      <x:c r="L892" s="22" t="n">
        <x:v>360</x:v>
      </x:c>
      <x:c r="M892" t="n">
        <x:v>22</x:v>
      </x:c>
      <x:c r="N892" s="24" t="n">
        <x:v>0.05</x:v>
      </x:c>
      <x:c r="O892" s="22" t="n">
        <x:f>L892*M892</x:f>
        <x:v>7920</x:v>
      </x:c>
      <x:c r="P892" s="22" t="n">
        <x:f>O892*(1-N892)</x:f>
        <x:v>7524</x:v>
      </x:c>
      <x:c r="Q892" s="22" t="n">
        <x:v>315</x:v>
      </x:c>
      <x:c r="R892" s="22" t="n">
        <x:f>Q892*M892</x:f>
        <x:v>6930</x:v>
      </x:c>
      <x:c r="S892" s="22" t="n">
        <x:f>P892-R892</x:f>
        <x:v>594</x:v>
      </x:c>
      <x:c r="T892" t="str">
        <x:v>UPI</x:v>
      </x:c>
      <x:c r="U892" t="str">
        <x:v>Paid</x:v>
      </x:c>
      <x:c r="V892" t="str">
        <x:v>Delivered</x:v>
      </x:c>
      <x:c r="W892" t="n">
        <x:v>0</x:v>
      </x:c>
      <x:c r="X892" t="str"/>
      <x:c r="Y892" t="str">
        <x:v>Field Visit</x:v>
      </x:c>
    </x:row>
    <x:row r="893">
      <x:c r="A893" t="str">
        <x:v>O000892</x:v>
      </x:c>
      <x:c r="B893" s="20" t="n">
        <x:v>46168</x:v>
      </x:c>
      <x:c r="C893" t="str">
        <x:v>C0249</x:v>
      </x:c>
      <x:c r="D893" t="str">
        <x:v>City Hotel 249</x:v>
      </x:c>
      <x:c r="E893" t="str">
        <x:v>Supermarket</x:v>
      </x:c>
      <x:c r="F893" t="str">
        <x:v>Mysuru</x:v>
      </x:c>
      <x:c r="G893" t="str">
        <x:v>Arjun</x:v>
      </x:c>
      <x:c r="H893" t="str">
        <x:v>P001</x:v>
      </x:c>
      <x:c r="I893" t="str">
        <x:v>Steam Rice 25kg</x:v>
      </x:c>
      <x:c r="J893" t="str">
        <x:v>Staples</x:v>
      </x:c>
      <x:c r="K893" t="str">
        <x:v>Aishwarya</x:v>
      </x:c>
      <x:c r="L893" s="22" t="n">
        <x:v>1180</x:v>
      </x:c>
      <x:c r="M893" t="n">
        <x:v>8</x:v>
      </x:c>
      <x:c r="N893" s="24" t="n">
        <x:v>0.05</x:v>
      </x:c>
      <x:c r="O893" s="22" t="n">
        <x:f>L893*M893</x:f>
        <x:v>9440</x:v>
      </x:c>
      <x:c r="P893" s="22" t="n">
        <x:f>O893*(1-N893)</x:f>
        <x:v>8968</x:v>
      </x:c>
      <x:c r="Q893" s="22" t="n">
        <x:v>1040</x:v>
      </x:c>
      <x:c r="R893" s="22" t="n">
        <x:f>Q893*M893</x:f>
        <x:v>8320</x:v>
      </x:c>
      <x:c r="S893" s="22" t="n">
        <x:f>P893-R893</x:f>
        <x:v>648</x:v>
      </x:c>
      <x:c r="T893" t="str">
        <x:v>Cash</x:v>
      </x:c>
      <x:c r="U893" t="str">
        <x:v>Paid</x:v>
      </x:c>
      <x:c r="V893" t="str">
        <x:v>Cancelled</x:v>
      </x:c>
      <x:c r="W893" t="n">
        <x:v>8</x:v>
      </x:c>
      <x:c r="X893" t="str">
        <x:v>Cancelled Order</x:v>
      </x:c>
      <x:c r="Y893" t="str">
        <x:v>Referral</x:v>
      </x:c>
    </x:row>
    <x:row r="894">
      <x:c r="A894" t="str">
        <x:v>O000893</x:v>
      </x:c>
      <x:c r="B894" s="20" t="n">
        <x:v>45959</x:v>
      </x:c>
      <x:c r="C894" t="str">
        <x:v>C0074</x:v>
      </x:c>
      <x:c r="D894" t="str">
        <x:v>Foodie Hotel 74</x:v>
      </x:c>
      <x:c r="E894" t="str">
        <x:v>Restaurant</x:v>
      </x:c>
      <x:c r="F894" t="str">
        <x:v>Mysuru</x:v>
      </x:c>
      <x:c r="G894" t="str">
        <x:v>Vikram</x:v>
      </x:c>
      <x:c r="H894" t="str">
        <x:v>P005</x:v>
      </x:c>
      <x:c r="I894" t="str">
        <x:v>Chana Dal 5kg</x:v>
      </x:c>
      <x:c r="J894" t="str">
        <x:v>Pulses</x:v>
      </x:c>
      <x:c r="K894" t="str">
        <x:v>Local Select</x:v>
      </x:c>
      <x:c r="L894" s="22" t="n">
        <x:v>520</x:v>
      </x:c>
      <x:c r="M894" t="n">
        <x:v>1</x:v>
      </x:c>
      <x:c r="N894" s="24" t="n">
        <x:v>0.03</x:v>
      </x:c>
      <x:c r="O894" s="22" t="n">
        <x:f>L894*M894</x:f>
        <x:v>520</x:v>
      </x:c>
      <x:c r="P894" s="22" t="n">
        <x:f>O894*(1-N894)</x:f>
        <x:v>504.4</x:v>
      </x:c>
      <x:c r="Q894" s="22" t="n">
        <x:v>455</x:v>
      </x:c>
      <x:c r="R894" s="22" t="n">
        <x:f>Q894*M894</x:f>
        <x:v>455</x:v>
      </x:c>
      <x:c r="S894" s="22" t="n">
        <x:f>P894-R894</x:f>
        <x:v>49.39999999999998</x:v>
      </x:c>
      <x:c r="T894" t="str">
        <x:v>Bank Transfer</x:v>
      </x:c>
      <x:c r="U894" t="str">
        <x:v>Paid</x:v>
      </x:c>
      <x:c r="V894" t="str">
        <x:v>Delayed</x:v>
      </x:c>
      <x:c r="W894" t="n">
        <x:v>0</x:v>
      </x:c>
      <x:c r="X894" t="str"/>
      <x:c r="Y894" t="str">
        <x:v>Outbound Call</x:v>
      </x:c>
    </x:row>
    <x:row r="895">
      <x:c r="A895" t="str">
        <x:v>O000894</x:v>
      </x:c>
      <x:c r="B895" s="20" t="n">
        <x:v>46098</x:v>
      </x:c>
      <x:c r="C895" t="str">
        <x:v>C0079</x:v>
      </x:c>
      <x:c r="D895" t="str">
        <x:v>Foodie Foods 79</x:v>
      </x:c>
      <x:c r="E895" t="str">
        <x:v>Cafe</x:v>
      </x:c>
      <x:c r="F895" t="str">
        <x:v>Tumakuru</x:v>
      </x:c>
      <x:c r="G895" t="str">
        <x:v>Ramesh</x:v>
      </x:c>
      <x:c r="H895" t="str">
        <x:v>P001</x:v>
      </x:c>
      <x:c r="I895" t="str">
        <x:v>Steam Rice 25kg</x:v>
      </x:c>
      <x:c r="J895" t="str">
        <x:v>Staples</x:v>
      </x:c>
      <x:c r="K895" t="str">
        <x:v>Aishwarya</x:v>
      </x:c>
      <x:c r="L895" s="22" t="n">
        <x:v>1180</x:v>
      </x:c>
      <x:c r="M895" t="n">
        <x:v>11</x:v>
      </x:c>
      <x:c r="N895" s="24" t="n">
        <x:v>0.05</x:v>
      </x:c>
      <x:c r="O895" s="22" t="n">
        <x:f>L895*M895</x:f>
        <x:v>12980</x:v>
      </x:c>
      <x:c r="P895" s="22" t="n">
        <x:f>O895*(1-N895)</x:f>
        <x:v>12331</x:v>
      </x:c>
      <x:c r="Q895" s="22" t="n">
        <x:v>1040</x:v>
      </x:c>
      <x:c r="R895" s="22" t="n">
        <x:f>Q895*M895</x:f>
        <x:v>11440</x:v>
      </x:c>
      <x:c r="S895" s="22" t="n">
        <x:f>P895-R895</x:f>
        <x:v>891</x:v>
      </x:c>
      <x:c r="T895" t="str">
        <x:v>UPI</x:v>
      </x:c>
      <x:c r="U895" t="str">
        <x:v>Paid</x:v>
      </x:c>
      <x:c r="V895" t="str">
        <x:v>Delivered</x:v>
      </x:c>
      <x:c r="W895" t="n">
        <x:v>0</x:v>
      </x:c>
      <x:c r="X895" t="str"/>
      <x:c r="Y895" t="str">
        <x:v>Existing Customer</x:v>
      </x:c>
    </x:row>
    <x:row r="896">
      <x:c r="A896" t="str">
        <x:v>O000895</x:v>
      </x:c>
      <x:c r="B896" s="20" t="n">
        <x:v>45816</x:v>
      </x:c>
      <x:c r="C896" t="str">
        <x:v>C0197</x:v>
      </x:c>
      <x:c r="D896" t="str">
        <x:v>New Foods 197</x:v>
      </x:c>
      <x:c r="E896" t="str">
        <x:v>Cafe</x:v>
      </x:c>
      <x:c r="F896" t="str">
        <x:v>Hubballi</x:v>
      </x:c>
      <x:c r="G896" t="str">
        <x:v>Kavya</x:v>
      </x:c>
      <x:c r="H896" t="str">
        <x:v>P036</x:v>
      </x:c>
      <x:c r="I896" t="str">
        <x:v>Garam Masala 500g</x:v>
      </x:c>
      <x:c r="J896" t="str">
        <x:v>Spices</x:v>
      </x:c>
      <x:c r="K896" t="str">
        <x:v>MDH</x:v>
      </x:c>
      <x:c r="L896" s="22" t="n">
        <x:v>265</x:v>
      </x:c>
      <x:c r="M896" t="n">
        <x:v>6</x:v>
      </x:c>
      <x:c r="N896" s="24" t="n">
        <x:v>0.05</x:v>
      </x:c>
      <x:c r="O896" s="22" t="n">
        <x:f>L896*M896</x:f>
        <x:v>1590</x:v>
      </x:c>
      <x:c r="P896" s="22" t="n">
        <x:f>O896*(1-N896)</x:f>
        <x:v>1510.5</x:v>
      </x:c>
      <x:c r="Q896" s="22" t="n">
        <x:v>230</x:v>
      </x:c>
      <x:c r="R896" s="22" t="n">
        <x:f>Q896*M896</x:f>
        <x:v>1380</x:v>
      </x:c>
      <x:c r="S896" s="22" t="n">
        <x:f>P896-R896</x:f>
        <x:v>130.5</x:v>
      </x:c>
      <x:c r="T896" t="str">
        <x:v>Bank Transfer</x:v>
      </x:c>
      <x:c r="U896" t="str">
        <x:v>Overdue</x:v>
      </x:c>
      <x:c r="V896" t="str">
        <x:v>Delivered</x:v>
      </x:c>
      <x:c r="W896" t="n">
        <x:v>0</x:v>
      </x:c>
      <x:c r="X896" t="str"/>
      <x:c r="Y896" t="str">
        <x:v>Outbound Call</x:v>
      </x:c>
    </x:row>
    <x:row r="897">
      <x:c r="A897" t="str">
        <x:v>O000896</x:v>
      </x:c>
      <x:c r="B897" s="20" t="n">
        <x:v>46021</x:v>
      </x:c>
      <x:c r="C897" t="str">
        <x:v>C0009</x:v>
      </x:c>
      <x:c r="D897" t="str">
        <x:v>Darshini Hotel 9</x:v>
      </x:c>
      <x:c r="E897" t="str">
        <x:v>Cafe</x:v>
      </x:c>
      <x:c r="F897" t="str">
        <x:v>Hubballi</x:v>
      </x:c>
      <x:c r="G897" t="str">
        <x:v>Imran</x:v>
      </x:c>
      <x:c r="H897" t="str">
        <x:v>P031</x:v>
      </x:c>
      <x:c r="I897" t="str">
        <x:v>Chilli Sauce 700g</x:v>
      </x:c>
      <x:c r="J897" t="str">
        <x:v>Condiments</x:v>
      </x:c>
      <x:c r="K897" t="str">
        <x:v>Ching's</x:v>
      </x:c>
      <x:c r="L897" s="22" t="n">
        <x:v>130</x:v>
      </x:c>
      <x:c r="M897" t="n">
        <x:v>16</x:v>
      </x:c>
      <x:c r="N897" s="24" t="n">
        <x:v>0.05</x:v>
      </x:c>
      <x:c r="O897" s="22" t="n">
        <x:f>L897*M897</x:f>
        <x:v>2080</x:v>
      </x:c>
      <x:c r="P897" s="22" t="n">
        <x:f>O897*(1-N897)</x:f>
        <x:v>1976</x:v>
      </x:c>
      <x:c r="Q897" s="22" t="n">
        <x:v>112</x:v>
      </x:c>
      <x:c r="R897" s="22" t="n">
        <x:f>Q897*M897</x:f>
        <x:v>1792</x:v>
      </x:c>
      <x:c r="S897" s="22" t="n">
        <x:f>P897-R897</x:f>
        <x:v>184</x:v>
      </x:c>
      <x:c r="T897" t="str">
        <x:v>Credit</x:v>
      </x:c>
      <x:c r="U897" t="str">
        <x:v>Paid</x:v>
      </x:c>
      <x:c r="V897" t="str">
        <x:v>Delivered</x:v>
      </x:c>
      <x:c r="W897" t="n">
        <x:v>0</x:v>
      </x:c>
      <x:c r="X897" t="str"/>
      <x:c r="Y897" t="str">
        <x:v>Field Visit</x:v>
      </x:c>
    </x:row>
    <x:row r="898">
      <x:c r="A898" t="str">
        <x:v>O000897</x:v>
      </x:c>
      <x:c r="B898" s="20" t="n">
        <x:v>46104</x:v>
      </x:c>
      <x:c r="C898" t="str">
        <x:v>C0045</x:v>
      </x:c>
      <x:c r="D898" t="str">
        <x:v>Annapurna Restaurant 45</x:v>
      </x:c>
      <x:c r="E898" t="str">
        <x:v>Kirana</x:v>
      </x:c>
      <x:c r="F898" t="str">
        <x:v>Mysuru</x:v>
      </x:c>
      <x:c r="G898" t="str">
        <x:v>Arjun</x:v>
      </x:c>
      <x:c r="H898" t="str">
        <x:v>P037</x:v>
      </x:c>
      <x:c r="I898" t="str">
        <x:v>Frozen Peas 1kg</x:v>
      </x:c>
      <x:c r="J898" t="str">
        <x:v>Frozen</x:v>
      </x:c>
      <x:c r="K898" t="str">
        <x:v>Safal</x:v>
      </x:c>
      <x:c r="L898" s="22" t="n">
        <x:v>155</x:v>
      </x:c>
      <x:c r="M898" t="n">
        <x:v>21</x:v>
      </x:c>
      <x:c r="N898" s="24" t="n">
        <x:v>0.05</x:v>
      </x:c>
      <x:c r="O898" s="22" t="n">
        <x:f>L898*M898</x:f>
        <x:v>3255</x:v>
      </x:c>
      <x:c r="P898" s="22" t="n">
        <x:f>O898*(1-N898)</x:f>
        <x:v>3092.25</x:v>
      </x:c>
      <x:c r="Q898" s="22" t="n">
        <x:v>138</x:v>
      </x:c>
      <x:c r="R898" s="22" t="n">
        <x:f>Q898*M898</x:f>
        <x:v>2898</x:v>
      </x:c>
      <x:c r="S898" s="22" t="n">
        <x:f>P898-R898</x:f>
        <x:v>194.25</x:v>
      </x:c>
      <x:c r="T898" t="str">
        <x:v>Bank Transfer</x:v>
      </x:c>
      <x:c r="U898" t="str">
        <x:v>Paid</x:v>
      </x:c>
      <x:c r="V898" t="str">
        <x:v>Delivered</x:v>
      </x:c>
      <x:c r="W898" t="n">
        <x:v>0</x:v>
      </x:c>
      <x:c r="X898" t="str"/>
      <x:c r="Y898" t="str">
        <x:v>WhatsApp</x:v>
      </x:c>
    </x:row>
    <x:row r="899">
      <x:c r="A899" t="str">
        <x:v>O000898</x:v>
      </x:c>
      <x:c r="B899" s="20" t="n">
        <x:v>45745</x:v>
      </x:c>
      <x:c r="C899" t="str">
        <x:v>C0078</x:v>
      </x:c>
      <x:c r="D899" t="str">
        <x:v>Sagar Canteen 78</x:v>
      </x:c>
      <x:c r="E899" t="str">
        <x:v>Hotel</x:v>
      </x:c>
      <x:c r="F899" t="str">
        <x:v>Mangaluru</x:v>
      </x:c>
      <x:c r="G899" t="str">
        <x:v>Ramesh</x:v>
      </x:c>
      <x:c r="H899" t="str">
        <x:v>P020</x:v>
      </x:c>
      <x:c r="I899" t="str">
        <x:v>Coffee 500g</x:v>
      </x:c>
      <x:c r="J899" t="str">
        <x:v>Beverage</x:v>
      </x:c>
      <x:c r="K899" t="str">
        <x:v>Bru</x:v>
      </x:c>
      <x:c r="L899" s="22" t="n">
        <x:v>390</x:v>
      </x:c>
      <x:c r="M899" t="n">
        <x:v>20</x:v>
      </x:c>
      <x:c r="N899" s="24" t="n">
        <x:v>0.03</x:v>
      </x:c>
      <x:c r="O899" s="22" t="n">
        <x:f>L899*M899</x:f>
        <x:v>7800</x:v>
      </x:c>
      <x:c r="P899" s="22" t="n">
        <x:f>O899*(1-N899)</x:f>
        <x:v>7566</x:v>
      </x:c>
      <x:c r="Q899" s="22" t="n">
        <x:v>350</x:v>
      </x:c>
      <x:c r="R899" s="22" t="n">
        <x:f>Q899*M899</x:f>
        <x:v>7000</x:v>
      </x:c>
      <x:c r="S899" s="22" t="n">
        <x:f>P899-R899</x:f>
        <x:v>566</x:v>
      </x:c>
      <x:c r="T899" t="str">
        <x:v>Credit</x:v>
      </x:c>
      <x:c r="U899" t="str">
        <x:v>Paid</x:v>
      </x:c>
      <x:c r="V899" t="str">
        <x:v>Delivered</x:v>
      </x:c>
      <x:c r="W899" t="n">
        <x:v>0</x:v>
      </x:c>
      <x:c r="X899" t="str"/>
      <x:c r="Y899" t="str">
        <x:v>WhatsApp</x:v>
      </x:c>
    </x:row>
    <x:row r="900">
      <x:c r="A900" t="str">
        <x:v>O000899</x:v>
      </x:c>
      <x:c r="B900" s="20" t="n">
        <x:v>45978</x:v>
      </x:c>
      <x:c r="C900" t="str">
        <x:v>C0135</x:v>
      </x:c>
      <x:c r="D900" t="str">
        <x:v>City Canteen 135</x:v>
      </x:c>
      <x:c r="E900" t="str">
        <x:v>Supermarket</x:v>
      </x:c>
      <x:c r="F900" t="str">
        <x:v>Hubballi</x:v>
      </x:c>
      <x:c r="G900" t="str">
        <x:v>Megha</x:v>
      </x:c>
      <x:c r="H900" t="str">
        <x:v>P029</x:v>
      </x:c>
      <x:c r="I900" t="str">
        <x:v>Tomato Ketchup 1kg</x:v>
      </x:c>
      <x:c r="J900" t="str">
        <x:v>Condiments</x:v>
      </x:c>
      <x:c r="K900" t="str">
        <x:v>Kissan</x:v>
      </x:c>
      <x:c r="L900" s="22" t="n">
        <x:v>145</x:v>
      </x:c>
      <x:c r="M900" t="n">
        <x:v>33</x:v>
      </x:c>
      <x:c r="N900" s="24" t="n">
        <x:v>0.08</x:v>
      </x:c>
      <x:c r="O900" s="22" t="n">
        <x:f>L900*M900</x:f>
        <x:v>4785</x:v>
      </x:c>
      <x:c r="P900" s="22" t="n">
        <x:f>O900*(1-N900)</x:f>
        <x:v>4402.2</x:v>
      </x:c>
      <x:c r="Q900" s="22" t="n">
        <x:v>126</x:v>
      </x:c>
      <x:c r="R900" s="22" t="n">
        <x:f>Q900*M900</x:f>
        <x:v>4158</x:v>
      </x:c>
      <x:c r="S900" s="22" t="n">
        <x:f>P900-R900</x:f>
        <x:v>244.19999999999982</x:v>
      </x:c>
      <x:c r="T900" t="str">
        <x:v>Cash</x:v>
      </x:c>
      <x:c r="U900" t="str">
        <x:v>Paid</x:v>
      </x:c>
      <x:c r="V900" t="str">
        <x:v>Delivered</x:v>
      </x:c>
      <x:c r="W900" t="n">
        <x:v>0</x:v>
      </x:c>
      <x:c r="X900" t="str"/>
      <x:c r="Y900" t="str">
        <x:v>WhatsApp</x:v>
      </x:c>
    </x:row>
    <x:row r="901">
      <x:c r="A901" t="str">
        <x:v>O000900</x:v>
      </x:c>
      <x:c r="B901" s="20" t="n">
        <x:v>45685</x:v>
      </x:c>
      <x:c r="C901" t="str">
        <x:v>C0234</x:v>
      </x:c>
      <x:c r="D901" t="str">
        <x:v>Metro Canteen 234</x:v>
      </x:c>
      <x:c r="E901" t="str">
        <x:v>Restaurant</x:v>
      </x:c>
      <x:c r="F901" t="str">
        <x:v>Davanagere</x:v>
      </x:c>
      <x:c r="G901" t="str">
        <x:v>Priya</x:v>
      </x:c>
      <x:c r="H901" t="str">
        <x:v>P036</x:v>
      </x:c>
      <x:c r="I901" t="str">
        <x:v>Garam Masala 500g</x:v>
      </x:c>
      <x:c r="J901" t="str">
        <x:v>Spices</x:v>
      </x:c>
      <x:c r="K901" t="str">
        <x:v>MDH</x:v>
      </x:c>
      <x:c r="L901" s="22" t="n">
        <x:v>265</x:v>
      </x:c>
      <x:c r="M901" t="n">
        <x:v>27</x:v>
      </x:c>
      <x:c r="N901" s="24" t="n">
        <x:v>0</x:v>
      </x:c>
      <x:c r="O901" s="22" t="n">
        <x:f>L901*M901</x:f>
        <x:v>7155</x:v>
      </x:c>
      <x:c r="P901" s="22" t="n">
        <x:f>O901*(1-N901)</x:f>
        <x:v>7155</x:v>
      </x:c>
      <x:c r="Q901" s="22" t="n">
        <x:v>230</x:v>
      </x:c>
      <x:c r="R901" s="22" t="n">
        <x:f>Q901*M901</x:f>
        <x:v>6210</x:v>
      </x:c>
      <x:c r="S901" s="22" t="n">
        <x:f>P901-R901</x:f>
        <x:v>945</x:v>
      </x:c>
      <x:c r="T901" t="str">
        <x:v>Bank Transfer</x:v>
      </x:c>
      <x:c r="U901" t="str">
        <x:v>Paid</x:v>
      </x:c>
      <x:c r="V901" t="str">
        <x:v>Delivered</x:v>
      </x:c>
      <x:c r="W901" t="n">
        <x:v>0</x:v>
      </x:c>
      <x:c r="X901" t="str"/>
      <x:c r="Y901" t="str">
        <x:v>Existing Customer</x:v>
      </x:c>
    </x:row>
    <x:row r="902">
      <x:c r="A902" t="str">
        <x:v>O000901</x:v>
      </x:c>
      <x:c r="B902" s="20" t="n">
        <x:v>46214</x:v>
      </x:c>
      <x:c r="C902" t="str">
        <x:v>C0033</x:v>
      </x:c>
      <x:c r="D902" t="str">
        <x:v>Shree Canteen 33</x:v>
      </x:c>
      <x:c r="E902" t="str">
        <x:v>Canteen</x:v>
      </x:c>
      <x:c r="F902" t="str">
        <x:v>Mangaluru</x:v>
      </x:c>
      <x:c r="G902" t="str">
        <x:v>Imran</x:v>
      </x:c>
      <x:c r="H902" t="str">
        <x:v>P040</x:v>
      </x:c>
      <x:c r="I902" t="str">
        <x:v>Bread Loaf 400g</x:v>
      </x:c>
      <x:c r="J902" t="str">
        <x:v>Bakery</x:v>
      </x:c>
      <x:c r="K902" t="str">
        <x:v>Britannia</x:v>
      </x:c>
      <x:c r="L902" s="22" t="n">
        <x:v>45</x:v>
      </x:c>
      <x:c r="M902" t="n">
        <x:v>37</x:v>
      </x:c>
      <x:c r="N902" s="24" t="n">
        <x:v>0.08</x:v>
      </x:c>
      <x:c r="O902" s="22" t="n">
        <x:f>L902*M902</x:f>
        <x:v>1665</x:v>
      </x:c>
      <x:c r="P902" s="22" t="n">
        <x:f>O902*(1-N902)</x:f>
        <x:v>1531.8</x:v>
      </x:c>
      <x:c r="Q902" s="22" t="n">
        <x:v>35</x:v>
      </x:c>
      <x:c r="R902" s="22" t="n">
        <x:f>Q902*M902</x:f>
        <x:v>1295</x:v>
      </x:c>
      <x:c r="S902" s="22" t="n">
        <x:f>P902-R902</x:f>
        <x:v>236.79999999999995</x:v>
      </x:c>
      <x:c r="T902" t="str">
        <x:v>UPI</x:v>
      </x:c>
      <x:c r="U902" t="str">
        <x:v>Pending</x:v>
      </x:c>
      <x:c r="V902" t="str">
        <x:v>Delivered</x:v>
      </x:c>
      <x:c r="W902" t="n">
        <x:v>0</x:v>
      </x:c>
      <x:c r="X902" t="str"/>
      <x:c r="Y902" t="str">
        <x:v>Outbound Call</x:v>
      </x:c>
    </x:row>
    <x:row r="903">
      <x:c r="A903" t="str">
        <x:v>O000902</x:v>
      </x:c>
      <x:c r="B903" s="20" t="n">
        <x:v>46129</x:v>
      </x:c>
      <x:c r="C903" t="str">
        <x:v>C0196</x:v>
      </x:c>
      <x:c r="D903" t="str">
        <x:v>Namma Mart 196</x:v>
      </x:c>
      <x:c r="E903" t="str">
        <x:v>Cafe</x:v>
      </x:c>
      <x:c r="F903" t="str">
        <x:v>Mangaluru</x:v>
      </x:c>
      <x:c r="G903" t="str">
        <x:v>Kavya</x:v>
      </x:c>
      <x:c r="H903" t="str">
        <x:v>P034</x:v>
      </x:c>
      <x:c r="I903" t="str">
        <x:v>Chilli Powder 1kg</x:v>
      </x:c>
      <x:c r="J903" t="str">
        <x:v>Spices</x:v>
      </x:c>
      <x:c r="K903" t="str">
        <x:v>MDH</x:v>
      </x:c>
      <x:c r="L903" s="22" t="n">
        <x:v>340</x:v>
      </x:c>
      <x:c r="M903" t="n">
        <x:v>4</x:v>
      </x:c>
      <x:c r="N903" s="24" t="n">
        <x:v>0</x:v>
      </x:c>
      <x:c r="O903" s="22" t="n">
        <x:f>L903*M903</x:f>
        <x:v>1360</x:v>
      </x:c>
      <x:c r="P903" s="22" t="n">
        <x:f>O903*(1-N903)</x:f>
        <x:v>1360</x:v>
      </x:c>
      <x:c r="Q903" s="22" t="n">
        <x:v>295</x:v>
      </x:c>
      <x:c r="R903" s="22" t="n">
        <x:f>Q903*M903</x:f>
        <x:v>1180</x:v>
      </x:c>
      <x:c r="S903" s="22" t="n">
        <x:f>P903-R903</x:f>
        <x:v>180</x:v>
      </x:c>
      <x:c r="T903" t="str">
        <x:v>Cash</x:v>
      </x:c>
      <x:c r="U903" t="str">
        <x:v>Pending</x:v>
      </x:c>
      <x:c r="V903" t="str">
        <x:v>Cancelled</x:v>
      </x:c>
      <x:c r="W903" t="n">
        <x:v>4</x:v>
      </x:c>
      <x:c r="X903" t="str">
        <x:v>Cancelled Order</x:v>
      </x:c>
      <x:c r="Y903" t="str">
        <x:v>Outbound Call</x:v>
      </x:c>
    </x:row>
    <x:row r="904">
      <x:c r="A904" t="str">
        <x:v>O000903</x:v>
      </x:c>
      <x:c r="B904" s="20" t="n">
        <x:v>46237</x:v>
      </x:c>
      <x:c r="C904" t="str">
        <x:v>C0025</x:v>
      </x:c>
      <x:c r="D904" t="str">
        <x:v>Sri Cafe 25</x:v>
      </x:c>
      <x:c r="E904" t="str">
        <x:v>Hotel</x:v>
      </x:c>
      <x:c r="F904" t="str">
        <x:v>Mysuru</x:v>
      </x:c>
      <x:c r="G904" t="str">
        <x:v>Kavya</x:v>
      </x:c>
      <x:c r="H904" t="str">
        <x:v>P019</x:v>
      </x:c>
      <x:c r="I904" t="str">
        <x:v>Tea 1kg</x:v>
      </x:c>
      <x:c r="J904" t="str">
        <x:v>Beverage</x:v>
      </x:c>
      <x:c r="K904" t="str">
        <x:v>Red Label</x:v>
      </x:c>
      <x:c r="L904" s="22" t="n">
        <x:v>540</x:v>
      </x:c>
      <x:c r="M904" t="n">
        <x:v>31</x:v>
      </x:c>
      <x:c r="N904" s="24" t="n">
        <x:v>0.05</x:v>
      </x:c>
      <x:c r="O904" s="22" t="n">
        <x:f>L904*M904</x:f>
        <x:v>16740</x:v>
      </x:c>
      <x:c r="P904" s="22" t="n">
        <x:f>O904*(1-N904)</x:f>
        <x:v>15903</x:v>
      </x:c>
      <x:c r="Q904" s="22" t="n">
        <x:v>485</x:v>
      </x:c>
      <x:c r="R904" s="22" t="n">
        <x:f>Q904*M904</x:f>
        <x:v>15035</x:v>
      </x:c>
      <x:c r="S904" s="22" t="n">
        <x:f>P904-R904</x:f>
        <x:v>868</x:v>
      </x:c>
      <x:c r="T904" t="str">
        <x:v>UPI</x:v>
      </x:c>
      <x:c r="U904" t="str">
        <x:v>Paid</x:v>
      </x:c>
      <x:c r="V904" t="str">
        <x:v>Delayed</x:v>
      </x:c>
      <x:c r="W904" t="n">
        <x:v>0</x:v>
      </x:c>
      <x:c r="X904" t="str"/>
      <x:c r="Y904" t="str">
        <x:v>Existing Customer</x:v>
      </x:c>
    </x:row>
    <x:row r="905">
      <x:c r="A905" t="str">
        <x:v>O000904</x:v>
      </x:c>
      <x:c r="B905" s="20" t="n">
        <x:v>45867</x:v>
      </x:c>
      <x:c r="C905" t="str">
        <x:v>C0014</x:v>
      </x:c>
      <x:c r="D905" t="str">
        <x:v>Annapurna Canteen 14</x:v>
      </x:c>
      <x:c r="E905" t="str">
        <x:v>Kirana</x:v>
      </x:c>
      <x:c r="F905" t="str">
        <x:v>Davanagere</x:v>
      </x:c>
      <x:c r="G905" t="str">
        <x:v>Sneha</x:v>
      </x:c>
      <x:c r="H905" t="str">
        <x:v>P045</x:v>
      </x:c>
      <x:c r="I905" t="str">
        <x:v>Onion 25kg</x:v>
      </x:c>
      <x:c r="J905" t="str">
        <x:v>Fresh Produce</x:v>
      </x:c>
      <x:c r="K905" t="str">
        <x:v>Local Market</x:v>
      </x:c>
      <x:c r="L905" s="22" t="n">
        <x:v>875</x:v>
      </x:c>
      <x:c r="M905" t="n">
        <x:v>34</x:v>
      </x:c>
      <x:c r="N905" s="24" t="n">
        <x:v>0</x:v>
      </x:c>
      <x:c r="O905" s="22" t="n">
        <x:f>L905*M905</x:f>
        <x:v>29750</x:v>
      </x:c>
      <x:c r="P905" s="22" t="n">
        <x:f>O905*(1-N905)</x:f>
        <x:v>29750</x:v>
      </x:c>
      <x:c r="Q905" s="22" t="n">
        <x:v>760</x:v>
      </x:c>
      <x:c r="R905" s="22" t="n">
        <x:f>Q905*M905</x:f>
        <x:v>25840</x:v>
      </x:c>
      <x:c r="S905" s="22" t="n">
        <x:f>P905-R905</x:f>
        <x:v>3910</x:v>
      </x:c>
      <x:c r="T905" t="str">
        <x:v>Credit</x:v>
      </x:c>
      <x:c r="U905" t="str">
        <x:v>Paid</x:v>
      </x:c>
      <x:c r="V905" t="str">
        <x:v>Cancelled</x:v>
      </x:c>
      <x:c r="W905" t="n">
        <x:v>34</x:v>
      </x:c>
      <x:c r="X905" t="str">
        <x:v>Cancelled Order</x:v>
      </x:c>
      <x:c r="Y905" t="str">
        <x:v>Referral</x:v>
      </x:c>
    </x:row>
    <x:row r="906">
      <x:c r="A906" t="str">
        <x:v>O000905</x:v>
      </x:c>
      <x:c r="B906" s="20" t="n">
        <x:v>45664</x:v>
      </x:c>
      <x:c r="C906" t="str">
        <x:v>C0080</x:v>
      </x:c>
      <x:c r="D906" t="str">
        <x:v>Annapurna Canteen 80</x:v>
      </x:c>
      <x:c r="E906" t="str">
        <x:v>Restaurant</x:v>
      </x:c>
      <x:c r="F906" t="str">
        <x:v>Mangaluru</x:v>
      </x:c>
      <x:c r="G906" t="str">
        <x:v>Priya</x:v>
      </x:c>
      <x:c r="H906" t="str">
        <x:v>P047</x:v>
      </x:c>
      <x:c r="I906" t="str">
        <x:v>Tomato 25kg</x:v>
      </x:c>
      <x:c r="J906" t="str">
        <x:v>Fresh Produce</x:v>
      </x:c>
      <x:c r="K906" t="str">
        <x:v>Local Market</x:v>
      </x:c>
      <x:c r="L906" s="22" t="n">
        <x:v>950</x:v>
      </x:c>
      <x:c r="M906" t="n">
        <x:v>32</x:v>
      </x:c>
      <x:c r="N906" s="24" t="n">
        <x:v>0.05</x:v>
      </x:c>
      <x:c r="O906" s="22" t="n">
        <x:f>L906*M906</x:f>
        <x:v>30400</x:v>
      </x:c>
      <x:c r="P906" s="22" t="n">
        <x:f>O906*(1-N906)</x:f>
        <x:v>28880</x:v>
      </x:c>
      <x:c r="Q906" s="22" t="n">
        <x:v>810</x:v>
      </x:c>
      <x:c r="R906" s="22" t="n">
        <x:f>Q906*M906</x:f>
        <x:v>25920</x:v>
      </x:c>
      <x:c r="S906" s="22" t="n">
        <x:f>P906-R906</x:f>
        <x:v>2960</x:v>
      </x:c>
      <x:c r="T906" t="str">
        <x:v>Bank Transfer</x:v>
      </x:c>
      <x:c r="U906" t="str">
        <x:v>Paid</x:v>
      </x:c>
      <x:c r="V906" t="str">
        <x:v>Delivered</x:v>
      </x:c>
      <x:c r="W906" t="n">
        <x:v>0</x:v>
      </x:c>
      <x:c r="X906" t="str"/>
      <x:c r="Y906" t="str">
        <x:v>Outbound Call</x:v>
      </x:c>
    </x:row>
    <x:row r="907">
      <x:c r="A907" t="str">
        <x:v>O000906</x:v>
      </x:c>
      <x:c r="B907" s="20" t="n">
        <x:v>45764</x:v>
      </x:c>
      <x:c r="C907" t="str">
        <x:v>C0064</x:v>
      </x:c>
      <x:c r="D907" t="str">
        <x:v>Hotel Restaurant 64</x:v>
      </x:c>
      <x:c r="E907" t="str">
        <x:v>Cafe</x:v>
      </x:c>
      <x:c r="F907" t="str">
        <x:v>Mangaluru</x:v>
      </x:c>
      <x:c r="G907" t="str">
        <x:v>Imran</x:v>
      </x:c>
      <x:c r="H907" t="str">
        <x:v>P014</x:v>
      </x:c>
      <x:c r="I907" t="str">
        <x:v>Rava 5kg</x:v>
      </x:c>
      <x:c r="J907" t="str">
        <x:v>Flour</x:v>
      </x:c>
      <x:c r="K907" t="str">
        <x:v>Local Select</x:v>
      </x:c>
      <x:c r="L907" s="22" t="n">
        <x:v>245</x:v>
      </x:c>
      <x:c r="M907" t="n">
        <x:v>31</x:v>
      </x:c>
      <x:c r="N907" s="24" t="n">
        <x:v>0</x:v>
      </x:c>
      <x:c r="O907" s="22" t="n">
        <x:f>L907*M907</x:f>
        <x:v>7595</x:v>
      </x:c>
      <x:c r="P907" s="22" t="n">
        <x:f>O907*(1-N907)</x:f>
        <x:v>7595</x:v>
      </x:c>
      <x:c r="Q907" s="22" t="n">
        <x:v>215</x:v>
      </x:c>
      <x:c r="R907" s="22" t="n">
        <x:f>Q907*M907</x:f>
        <x:v>6665</x:v>
      </x:c>
      <x:c r="S907" s="22" t="n">
        <x:f>P907-R907</x:f>
        <x:v>930</x:v>
      </x:c>
      <x:c r="T907" t="str">
        <x:v>Credit</x:v>
      </x:c>
      <x:c r="U907" t="str">
        <x:v>Paid</x:v>
      </x:c>
      <x:c r="V907" t="str">
        <x:v>Delivered</x:v>
      </x:c>
      <x:c r="W907" t="n">
        <x:v>0</x:v>
      </x:c>
      <x:c r="X907" t="str"/>
      <x:c r="Y907" t="str">
        <x:v>WhatsApp</x:v>
      </x:c>
    </x:row>
    <x:row r="908">
      <x:c r="A908" t="str">
        <x:v>O000907</x:v>
      </x:c>
      <x:c r="B908" s="20" t="n">
        <x:v>46217</x:v>
      </x:c>
      <x:c r="C908" t="str">
        <x:v>C0210</x:v>
      </x:c>
      <x:c r="D908" t="str">
        <x:v>Spice Stores 210</x:v>
      </x:c>
      <x:c r="E908" t="str">
        <x:v>Cafe</x:v>
      </x:c>
      <x:c r="F908" t="str">
        <x:v>Davanagere</x:v>
      </x:c>
      <x:c r="G908" t="str">
        <x:v>Imran</x:v>
      </x:c>
      <x:c r="H908" t="str">
        <x:v>P016</x:v>
      </x:c>
      <x:c r="I908" t="str">
        <x:v>Curd 1kg</x:v>
      </x:c>
      <x:c r="J908" t="str">
        <x:v>Dairy</x:v>
      </x:c>
      <x:c r="K908" t="str">
        <x:v>Nandini</x:v>
      </x:c>
      <x:c r="L908" s="22" t="n">
        <x:v>72</x:v>
      </x:c>
      <x:c r="M908" t="n">
        <x:v>17</x:v>
      </x:c>
      <x:c r="N908" s="24" t="n">
        <x:v>0.05</x:v>
      </x:c>
      <x:c r="O908" s="22" t="n">
        <x:f>L908*M908</x:f>
        <x:v>1224</x:v>
      </x:c>
      <x:c r="P908" s="22" t="n">
        <x:f>O908*(1-N908)</x:f>
        <x:v>1162.8</x:v>
      </x:c>
      <x:c r="Q908" s="22" t="n">
        <x:v>64</x:v>
      </x:c>
      <x:c r="R908" s="22" t="n">
        <x:f>Q908*M908</x:f>
        <x:v>1088</x:v>
      </x:c>
      <x:c r="S908" s="22" t="n">
        <x:f>P908-R908</x:f>
        <x:v>74.79999999999995</x:v>
      </x:c>
      <x:c r="T908" t="str">
        <x:v>Credit</x:v>
      </x:c>
      <x:c r="U908" t="str">
        <x:v>Pending</x:v>
      </x:c>
      <x:c r="V908" t="str">
        <x:v>Delayed</x:v>
      </x:c>
      <x:c r="W908" t="n">
        <x:v>0</x:v>
      </x:c>
      <x:c r="X908" t="str"/>
      <x:c r="Y908" t="str">
        <x:v>Outbound Call</x:v>
      </x:c>
    </x:row>
    <x:row r="909">
      <x:c r="A909" t="str">
        <x:v>O000908</x:v>
      </x:c>
      <x:c r="B909" s="20" t="n">
        <x:v>45847</x:v>
      </x:c>
      <x:c r="C909" t="str">
        <x:v>C0163</x:v>
      </x:c>
      <x:c r="D909" t="str">
        <x:v>Shree Kitchen 163</x:v>
      </x:c>
      <x:c r="E909" t="str">
        <x:v>Kirana</x:v>
      </x:c>
      <x:c r="F909" t="str">
        <x:v>Mysuru</x:v>
      </x:c>
      <x:c r="G909" t="str">
        <x:v>Priya</x:v>
      </x:c>
      <x:c r="H909" t="str">
        <x:v>P002</x:v>
      </x:c>
      <x:c r="I909" t="str">
        <x:v>Sona Masoori Rice 25kg</x:v>
      </x:c>
      <x:c r="J909" t="str">
        <x:v>Staples</x:v>
      </x:c>
      <x:c r="K909" t="str">
        <x:v>Fortune</x:v>
      </x:c>
      <x:c r="L909" s="22" t="n">
        <x:v>1320</x:v>
      </x:c>
      <x:c r="M909" t="n">
        <x:v>12</x:v>
      </x:c>
      <x:c r="N909" s="24" t="n">
        <x:v>0.05</x:v>
      </x:c>
      <x:c r="O909" s="22" t="n">
        <x:f>L909*M909</x:f>
        <x:v>15840</x:v>
      </x:c>
      <x:c r="P909" s="22" t="n">
        <x:f>O909*(1-N909)</x:f>
        <x:v>15048</x:v>
      </x:c>
      <x:c r="Q909" s="22" t="n">
        <x:v>1160</x:v>
      </x:c>
      <x:c r="R909" s="22" t="n">
        <x:f>Q909*M909</x:f>
        <x:v>13920</x:v>
      </x:c>
      <x:c r="S909" s="22" t="n">
        <x:f>P909-R909</x:f>
        <x:v>1128</x:v>
      </x:c>
      <x:c r="T909" t="str">
        <x:v>Bank Transfer</x:v>
      </x:c>
      <x:c r="U909" t="str">
        <x:v>Paid</x:v>
      </x:c>
      <x:c r="V909" t="str">
        <x:v>Cancelled</x:v>
      </x:c>
      <x:c r="W909" t="n">
        <x:v>12</x:v>
      </x:c>
      <x:c r="X909" t="str">
        <x:v>Cancelled Order</x:v>
      </x:c>
      <x:c r="Y909" t="str">
        <x:v>Existing Customer</x:v>
      </x:c>
    </x:row>
    <x:row r="910">
      <x:c r="A910" t="str">
        <x:v>O000909</x:v>
      </x:c>
      <x:c r="B910" s="20" t="n">
        <x:v>45954</x:v>
      </x:c>
      <x:c r="C910" t="str">
        <x:v>C0123</x:v>
      </x:c>
      <x:c r="D910" t="str">
        <x:v>City Foods 123</x:v>
      </x:c>
      <x:c r="E910" t="str">
        <x:v>Restaurant</x:v>
      </x:c>
      <x:c r="F910" t="str">
        <x:v>Davanagere</x:v>
      </x:c>
      <x:c r="G910" t="str">
        <x:v>Sneha</x:v>
      </x:c>
      <x:c r="H910" t="str">
        <x:v>P019</x:v>
      </x:c>
      <x:c r="I910" t="str">
        <x:v>Tea 1kg</x:v>
      </x:c>
      <x:c r="J910" t="str">
        <x:v>Beverage</x:v>
      </x:c>
      <x:c r="K910" t="str">
        <x:v>Red Label</x:v>
      </x:c>
      <x:c r="L910" s="22" t="n">
        <x:v>540</x:v>
      </x:c>
      <x:c r="M910" t="n">
        <x:v>7</x:v>
      </x:c>
      <x:c r="N910" s="24" t="n">
        <x:v>0.1</x:v>
      </x:c>
      <x:c r="O910" s="22" t="n">
        <x:f>L910*M910</x:f>
        <x:v>3780</x:v>
      </x:c>
      <x:c r="P910" s="22" t="n">
        <x:f>O910*(1-N910)</x:f>
        <x:v>3402</x:v>
      </x:c>
      <x:c r="Q910" s="22" t="n">
        <x:v>485</x:v>
      </x:c>
      <x:c r="R910" s="22" t="n">
        <x:f>Q910*M910</x:f>
        <x:v>3395</x:v>
      </x:c>
      <x:c r="S910" s="22" t="n">
        <x:f>P910-R910</x:f>
        <x:v>7</x:v>
      </x:c>
      <x:c r="T910" t="str">
        <x:v>Credit</x:v>
      </x:c>
      <x:c r="U910" t="str">
        <x:v>Paid</x:v>
      </x:c>
      <x:c r="V910" t="str">
        <x:v>Delivered</x:v>
      </x:c>
      <x:c r="W910" t="n">
        <x:v>0</x:v>
      </x:c>
      <x:c r="X910" t="str"/>
      <x:c r="Y910" t="str">
        <x:v>Outbound Call</x:v>
      </x:c>
    </x:row>
    <x:row r="911">
      <x:c r="A911" t="str">
        <x:v>O000910</x:v>
      </x:c>
      <x:c r="B911" s="20" t="n">
        <x:v>45809</x:v>
      </x:c>
      <x:c r="C911" t="str">
        <x:v>C0209</x:v>
      </x:c>
      <x:c r="D911" t="str">
        <x:v>Shree Hotel 209</x:v>
      </x:c>
      <x:c r="E911" t="str">
        <x:v>Restaurant</x:v>
      </x:c>
      <x:c r="F911" t="str">
        <x:v>Tumakuru</x:v>
      </x:c>
      <x:c r="G911" t="str">
        <x:v>Ramesh</x:v>
      </x:c>
      <x:c r="H911" t="str">
        <x:v>P028</x:v>
      </x:c>
      <x:c r="I911" t="str">
        <x:v>Cookies 200g</x:v>
      </x:c>
      <x:c r="J911" t="str">
        <x:v>Snacks</x:v>
      </x:c>
      <x:c r="K911" t="str">
        <x:v>Britannia</x:v>
      </x:c>
      <x:c r="L911" s="22" t="n">
        <x:v>55</x:v>
      </x:c>
      <x:c r="M911" t="n">
        <x:v>2</x:v>
      </x:c>
      <x:c r="N911" s="24" t="n">
        <x:v>0.02</x:v>
      </x:c>
      <x:c r="O911" s="22" t="n">
        <x:f>L911*M911</x:f>
        <x:v>110</x:v>
      </x:c>
      <x:c r="P911" s="22" t="n">
        <x:f>O911*(1-N911)</x:f>
        <x:v>107.8</x:v>
      </x:c>
      <x:c r="Q911" s="22" t="n">
        <x:v>42</x:v>
      </x:c>
      <x:c r="R911" s="22" t="n">
        <x:f>Q911*M911</x:f>
        <x:v>84</x:v>
      </x:c>
      <x:c r="S911" s="22" t="n">
        <x:f>P911-R911</x:f>
        <x:v>23.799999999999997</x:v>
      </x:c>
      <x:c r="T911" t="str">
        <x:v>UPI</x:v>
      </x:c>
      <x:c r="U911" t="str">
        <x:v>Paid</x:v>
      </x:c>
      <x:c r="V911" t="str">
        <x:v>Delivered</x:v>
      </x:c>
      <x:c r="W911" t="n">
        <x:v>0</x:v>
      </x:c>
      <x:c r="X911" t="str"/>
      <x:c r="Y911" t="str">
        <x:v>Outbound Call</x:v>
      </x:c>
    </x:row>
    <x:row r="912">
      <x:c r="A912" t="str">
        <x:v>O000911</x:v>
      </x:c>
      <x:c r="B912" s="20" t="n">
        <x:v>46113</x:v>
      </x:c>
      <x:c r="C912" t="str">
        <x:v>C0229</x:v>
      </x:c>
      <x:c r="D912" t="str">
        <x:v>Namma Canteen 229</x:v>
      </x:c>
      <x:c r="E912" t="str">
        <x:v>Restaurant</x:v>
      </x:c>
      <x:c r="F912" t="str">
        <x:v>Bengaluru</x:v>
      </x:c>
      <x:c r="G912" t="str">
        <x:v>Arjun</x:v>
      </x:c>
      <x:c r="H912" t="str">
        <x:v>P043</x:v>
      </x:c>
      <x:c r="I912" t="str">
        <x:v>Chicken Breast 1kg</x:v>
      </x:c>
      <x:c r="J912" t="str">
        <x:v>Protein</x:v>
      </x:c>
      <x:c r="K912" t="str">
        <x:v>FreshToHome</x:v>
      </x:c>
      <x:c r="L912" s="22" t="n">
        <x:v>260</x:v>
      </x:c>
      <x:c r="M912" t="n">
        <x:v>3</x:v>
      </x:c>
      <x:c r="N912" s="24" t="n">
        <x:v>0.08</x:v>
      </x:c>
      <x:c r="O912" s="22" t="n">
        <x:f>L912*M912</x:f>
        <x:v>780</x:v>
      </x:c>
      <x:c r="P912" s="22" t="n">
        <x:f>O912*(1-N912)</x:f>
        <x:v>717.6</x:v>
      </x:c>
      <x:c r="Q912" s="22" t="n">
        <x:v>235</x:v>
      </x:c>
      <x:c r="R912" s="22" t="n">
        <x:f>Q912*M912</x:f>
        <x:v>705</x:v>
      </x:c>
      <x:c r="S912" s="22" t="n">
        <x:f>P912-R912</x:f>
        <x:v>12.600000000000023</x:v>
      </x:c>
      <x:c r="T912" t="str">
        <x:v>Cash</x:v>
      </x:c>
      <x:c r="U912" t="str">
        <x:v>Overdue</x:v>
      </x:c>
      <x:c r="V912" t="str">
        <x:v>Delivered</x:v>
      </x:c>
      <x:c r="W912" t="n">
        <x:v>0</x:v>
      </x:c>
      <x:c r="X912" t="str"/>
      <x:c r="Y912" t="str">
        <x:v>WhatsApp</x:v>
      </x:c>
    </x:row>
    <x:row r="913">
      <x:c r="A913" t="str">
        <x:v>O000912</x:v>
      </x:c>
      <x:c r="B913" s="20" t="n">
        <x:v>46170</x:v>
      </x:c>
      <x:c r="C913" t="str">
        <x:v>C0041</x:v>
      </x:c>
      <x:c r="D913" t="str">
        <x:v>Grand Mart 41</x:v>
      </x:c>
      <x:c r="E913" t="str">
        <x:v>Cafe</x:v>
      </x:c>
      <x:c r="F913" t="str">
        <x:v>Bengaluru</x:v>
      </x:c>
      <x:c r="G913" t="str">
        <x:v>Kavya</x:v>
      </x:c>
      <x:c r="H913" t="str">
        <x:v>P023</x:v>
      </x:c>
      <x:c r="I913" t="str">
        <x:v>Cola 750ml</x:v>
      </x:c>
      <x:c r="J913" t="str">
        <x:v>Beverage</x:v>
      </x:c>
      <x:c r="K913" t="str">
        <x:v>Coca-Cola</x:v>
      </x:c>
      <x:c r="L913" s="22" t="n">
        <x:v>38</x:v>
      </x:c>
      <x:c r="M913" t="n">
        <x:v>33</x:v>
      </x:c>
      <x:c r="N913" s="24" t="n">
        <x:v>0</x:v>
      </x:c>
      <x:c r="O913" s="22" t="n">
        <x:f>L913*M913</x:f>
        <x:v>1254</x:v>
      </x:c>
      <x:c r="P913" s="22" t="n">
        <x:f>O913*(1-N913)</x:f>
        <x:v>1254</x:v>
      </x:c>
      <x:c r="Q913" s="22" t="n">
        <x:v>31</x:v>
      </x:c>
      <x:c r="R913" s="22" t="n">
        <x:f>Q913*M913</x:f>
        <x:v>1023</x:v>
      </x:c>
      <x:c r="S913" s="22" t="n">
        <x:f>P913-R913</x:f>
        <x:v>231</x:v>
      </x:c>
      <x:c r="T913" t="str">
        <x:v>Credit</x:v>
      </x:c>
      <x:c r="U913" t="str">
        <x:v>Paid</x:v>
      </x:c>
      <x:c r="V913" t="str">
        <x:v>Delivered</x:v>
      </x:c>
      <x:c r="W913" t="n">
        <x:v>0</x:v>
      </x:c>
      <x:c r="X913" t="str"/>
      <x:c r="Y913" t="str">
        <x:v>Field Visit</x:v>
      </x:c>
    </x:row>
    <x:row r="914">
      <x:c r="A914" t="str">
        <x:v>O000913</x:v>
      </x:c>
      <x:c r="B914" s="20" t="n">
        <x:v>46128</x:v>
      </x:c>
      <x:c r="C914" t="str">
        <x:v>C0145</x:v>
      </x:c>
      <x:c r="D914" t="str">
        <x:v>Namma Cafe 145</x:v>
      </x:c>
      <x:c r="E914" t="str">
        <x:v>Kirana</x:v>
      </x:c>
      <x:c r="F914" t="str">
        <x:v>Tumakuru</x:v>
      </x:c>
      <x:c r="G914" t="str">
        <x:v>Sneha</x:v>
      </x:c>
      <x:c r="H914" t="str">
        <x:v>P022</x:v>
      </x:c>
      <x:c r="I914" t="str">
        <x:v>Mineral Water 1L</x:v>
      </x:c>
      <x:c r="J914" t="str">
        <x:v>Beverage</x:v>
      </x:c>
      <x:c r="K914" t="str">
        <x:v>Bisleri</x:v>
      </x:c>
      <x:c r="L914" s="22" t="n">
        <x:v>19</x:v>
      </x:c>
      <x:c r="M914" t="n">
        <x:v>9</x:v>
      </x:c>
      <x:c r="N914" s="24" t="n">
        <x:v>0.02</x:v>
      </x:c>
      <x:c r="O914" s="22" t="n">
        <x:f>L914*M914</x:f>
        <x:v>171</x:v>
      </x:c>
      <x:c r="P914" s="22" t="n">
        <x:f>O914*(1-N914)</x:f>
        <x:v>167.57999999999998</x:v>
      </x:c>
      <x:c r="Q914" s="22" t="n">
        <x:v>15</x:v>
      </x:c>
      <x:c r="R914" s="22" t="n">
        <x:f>Q914*M914</x:f>
        <x:v>135</x:v>
      </x:c>
      <x:c r="S914" s="22" t="n">
        <x:f>P914-R914</x:f>
        <x:v>32.579999999999984</x:v>
      </x:c>
      <x:c r="T914" t="str">
        <x:v>Cash</x:v>
      </x:c>
      <x:c r="U914" t="str">
        <x:v>Overdue</x:v>
      </x:c>
      <x:c r="V914" t="str">
        <x:v>Delivered</x:v>
      </x:c>
      <x:c r="W914" t="n">
        <x:v>0</x:v>
      </x:c>
      <x:c r="X914" t="str"/>
      <x:c r="Y914" t="str">
        <x:v>WhatsApp</x:v>
      </x:c>
    </x:row>
    <x:row r="915">
      <x:c r="A915" t="str">
        <x:v>O000914</x:v>
      </x:c>
      <x:c r="B915" s="20" t="n">
        <x:v>45842</x:v>
      </x:c>
      <x:c r="C915" t="str">
        <x:v>C0121</x:v>
      </x:c>
      <x:c r="D915" t="str">
        <x:v>Mysore Restaurant 121</x:v>
      </x:c>
      <x:c r="E915" t="str">
        <x:v>Cafe</x:v>
      </x:c>
      <x:c r="F915" t="str">
        <x:v>Mysuru</x:v>
      </x:c>
      <x:c r="G915" t="str">
        <x:v>Sneha</x:v>
      </x:c>
      <x:c r="H915" t="str">
        <x:v>P039</x:v>
      </x:c>
      <x:c r="I915" t="str">
        <x:v>Ice Cream 4L</x:v>
      </x:c>
      <x:c r="J915" t="str">
        <x:v>Frozen</x:v>
      </x:c>
      <x:c r="K915" t="str">
        <x:v>Amul</x:v>
      </x:c>
      <x:c r="L915" s="22" t="n">
        <x:v>480</x:v>
      </x:c>
      <x:c r="M915" t="n">
        <x:v>37</x:v>
      </x:c>
      <x:c r="N915" s="24" t="n">
        <x:v>0.05</x:v>
      </x:c>
      <x:c r="O915" s="22" t="n">
        <x:f>L915*M915</x:f>
        <x:v>17760</x:v>
      </x:c>
      <x:c r="P915" s="22" t="n">
        <x:f>O915*(1-N915)</x:f>
        <x:v>16872</x:v>
      </x:c>
      <x:c r="Q915" s="22" t="n">
        <x:v>420</x:v>
      </x:c>
      <x:c r="R915" s="22" t="n">
        <x:f>Q915*M915</x:f>
        <x:v>15540</x:v>
      </x:c>
      <x:c r="S915" s="22" t="n">
        <x:f>P915-R915</x:f>
        <x:v>1332</x:v>
      </x:c>
      <x:c r="T915" t="str">
        <x:v>Cash</x:v>
      </x:c>
      <x:c r="U915" t="str">
        <x:v>Paid</x:v>
      </x:c>
      <x:c r="V915" t="str">
        <x:v>Delivered</x:v>
      </x:c>
      <x:c r="W915" t="n">
        <x:v>0</x:v>
      </x:c>
      <x:c r="X915" t="str"/>
      <x:c r="Y915" t="str">
        <x:v>Existing Customer</x:v>
      </x:c>
    </x:row>
    <x:row r="916">
      <x:c r="A916" t="str">
        <x:v>O000915</x:v>
      </x:c>
      <x:c r="B916" s="20" t="n">
        <x:v>45727</x:v>
      </x:c>
      <x:c r="C916" t="str">
        <x:v>C0159</x:v>
      </x:c>
      <x:c r="D916" t="str">
        <x:v>Darshini Foods 159</x:v>
      </x:c>
      <x:c r="E916" t="str">
        <x:v>Canteen</x:v>
      </x:c>
      <x:c r="F916" t="str">
        <x:v>Tumakuru</x:v>
      </x:c>
      <x:c r="G916" t="str">
        <x:v>Kavya</x:v>
      </x:c>
      <x:c r="H916" t="str">
        <x:v>P026</x:v>
      </x:c>
      <x:c r="I916" t="str">
        <x:v>Banana Chips 80g</x:v>
      </x:c>
      <x:c r="J916" t="str">
        <x:v>Snacks</x:v>
      </x:c>
      <x:c r="K916" t="str">
        <x:v>SSS</x:v>
      </x:c>
      <x:c r="L916" s="22" t="n">
        <x:v>54</x:v>
      </x:c>
      <x:c r="M916" t="n">
        <x:v>3</x:v>
      </x:c>
      <x:c r="N916" s="24" t="n">
        <x:v>0</x:v>
      </x:c>
      <x:c r="O916" s="22" t="n">
        <x:f>L916*M916</x:f>
        <x:v>162</x:v>
      </x:c>
      <x:c r="P916" s="22" t="n">
        <x:f>O916*(1-N916)</x:f>
        <x:v>162</x:v>
      </x:c>
      <x:c r="Q916" s="22" t="n">
        <x:v>39</x:v>
      </x:c>
      <x:c r="R916" s="22" t="n">
        <x:f>Q916*M916</x:f>
        <x:v>117</x:v>
      </x:c>
      <x:c r="S916" s="22" t="n">
        <x:f>P916-R916</x:f>
        <x:v>45</x:v>
      </x:c>
      <x:c r="T916" t="str">
        <x:v>Bank Transfer</x:v>
      </x:c>
      <x:c r="U916" t="str">
        <x:v>Paid</x:v>
      </x:c>
      <x:c r="V916" t="str">
        <x:v>Cancelled</x:v>
      </x:c>
      <x:c r="W916" t="n">
        <x:v>3</x:v>
      </x:c>
      <x:c r="X916" t="str">
        <x:v>Cancelled Order</x:v>
      </x:c>
      <x:c r="Y916" t="str">
        <x:v>Outbound Call</x:v>
      </x:c>
    </x:row>
    <x:row r="917">
      <x:c r="A917" t="str">
        <x:v>O000916</x:v>
      </x:c>
      <x:c r="B917" s="20" t="n">
        <x:v>45989</x:v>
      </x:c>
      <x:c r="C917" t="str">
        <x:v>C0174</x:v>
      </x:c>
      <x:c r="D917" t="str">
        <x:v>Classic Stores 174</x:v>
      </x:c>
      <x:c r="E917" t="str">
        <x:v>Kirana</x:v>
      </x:c>
      <x:c r="F917" t="str">
        <x:v>Mysuru</x:v>
      </x:c>
      <x:c r="G917" t="str">
        <x:v>Vikram</x:v>
      </x:c>
      <x:c r="H917" t="str">
        <x:v>P031</x:v>
      </x:c>
      <x:c r="I917" t="str">
        <x:v>Chilli Sauce 700g</x:v>
      </x:c>
      <x:c r="J917" t="str">
        <x:v>Condiments</x:v>
      </x:c>
      <x:c r="K917" t="str">
        <x:v>Ching's</x:v>
      </x:c>
      <x:c r="L917" s="22" t="n">
        <x:v>130</x:v>
      </x:c>
      <x:c r="M917" t="n">
        <x:v>15</x:v>
      </x:c>
      <x:c r="N917" s="24" t="n">
        <x:v>0.1</x:v>
      </x:c>
      <x:c r="O917" s="22" t="n">
        <x:f>L917*M917</x:f>
        <x:v>1950</x:v>
      </x:c>
      <x:c r="P917" s="22" t="n">
        <x:f>O917*(1-N917)</x:f>
        <x:v>1755</x:v>
      </x:c>
      <x:c r="Q917" s="22" t="n">
        <x:v>112</x:v>
      </x:c>
      <x:c r="R917" s="22" t="n">
        <x:f>Q917*M917</x:f>
        <x:v>1680</x:v>
      </x:c>
      <x:c r="S917" s="22" t="n">
        <x:f>P917-R917</x:f>
        <x:v>75</x:v>
      </x:c>
      <x:c r="T917" t="str">
        <x:v>Bank Transfer</x:v>
      </x:c>
      <x:c r="U917" t="str">
        <x:v>Paid</x:v>
      </x:c>
      <x:c r="V917" t="str">
        <x:v>Delivered</x:v>
      </x:c>
      <x:c r="W917" t="n">
        <x:v>0</x:v>
      </x:c>
      <x:c r="X917" t="str"/>
      <x:c r="Y917" t="str">
        <x:v>WhatsApp</x:v>
      </x:c>
    </x:row>
    <x:row r="918">
      <x:c r="A918" t="str">
        <x:v>O000917</x:v>
      </x:c>
      <x:c r="B918" s="20" t="n">
        <x:v>45721</x:v>
      </x:c>
      <x:c r="C918" t="str">
        <x:v>C0108</x:v>
      </x:c>
      <x:c r="D918" t="str">
        <x:v>Spice Mart 108</x:v>
      </x:c>
      <x:c r="E918" t="str">
        <x:v>Supermarket</x:v>
      </x:c>
      <x:c r="F918" t="str">
        <x:v>Hubballi</x:v>
      </x:c>
      <x:c r="G918" t="str">
        <x:v>Kavya</x:v>
      </x:c>
      <x:c r="H918" t="str">
        <x:v>P005</x:v>
      </x:c>
      <x:c r="I918" t="str">
        <x:v>Chana Dal 5kg</x:v>
      </x:c>
      <x:c r="J918" t="str">
        <x:v>Pulses</x:v>
      </x:c>
      <x:c r="K918" t="str">
        <x:v>Local Select</x:v>
      </x:c>
      <x:c r="L918" s="22" t="n">
        <x:v>520</x:v>
      </x:c>
      <x:c r="M918" t="n">
        <x:v>40</x:v>
      </x:c>
      <x:c r="N918" s="24" t="n">
        <x:v>0.02</x:v>
      </x:c>
      <x:c r="O918" s="22" t="n">
        <x:f>L918*M918</x:f>
        <x:v>20800</x:v>
      </x:c>
      <x:c r="P918" s="22" t="n">
        <x:f>O918*(1-N918)</x:f>
        <x:v>20384</x:v>
      </x:c>
      <x:c r="Q918" s="22" t="n">
        <x:v>455</x:v>
      </x:c>
      <x:c r="R918" s="22" t="n">
        <x:f>Q918*M918</x:f>
        <x:v>18200</x:v>
      </x:c>
      <x:c r="S918" s="22" t="n">
        <x:f>P918-R918</x:f>
        <x:v>2184</x:v>
      </x:c>
      <x:c r="T918" t="str">
        <x:v>UPI</x:v>
      </x:c>
      <x:c r="U918" t="str">
        <x:v>Pending</x:v>
      </x:c>
      <x:c r="V918" t="str">
        <x:v>Delivered</x:v>
      </x:c>
      <x:c r="W918" t="n">
        <x:v>0</x:v>
      </x:c>
      <x:c r="X918" t="str"/>
      <x:c r="Y918" t="str">
        <x:v>Field Visit</x:v>
      </x:c>
    </x:row>
    <x:row r="919">
      <x:c r="A919" t="str">
        <x:v>O000918</x:v>
      </x:c>
      <x:c r="B919" s="20" t="n">
        <x:v>45836</x:v>
      </x:c>
      <x:c r="C919" t="str">
        <x:v>C0216</x:v>
      </x:c>
      <x:c r="D919" t="str">
        <x:v>Cafe Restaurant 216</x:v>
      </x:c>
      <x:c r="E919" t="str">
        <x:v>Canteen</x:v>
      </x:c>
      <x:c r="F919" t="str">
        <x:v>Bengaluru</x:v>
      </x:c>
      <x:c r="G919" t="str">
        <x:v>Vikram</x:v>
      </x:c>
      <x:c r="H919" t="str">
        <x:v>P002</x:v>
      </x:c>
      <x:c r="I919" t="str">
        <x:v>Sona Masoori Rice 25kg</x:v>
      </x:c>
      <x:c r="J919" t="str">
        <x:v>Staples</x:v>
      </x:c>
      <x:c r="K919" t="str">
        <x:v>Fortune</x:v>
      </x:c>
      <x:c r="L919" s="22" t="n">
        <x:v>1320</x:v>
      </x:c>
      <x:c r="M919" t="n">
        <x:v>2</x:v>
      </x:c>
      <x:c r="N919" s="24" t="n">
        <x:v>0.05</x:v>
      </x:c>
      <x:c r="O919" s="22" t="n">
        <x:f>L919*M919</x:f>
        <x:v>2640</x:v>
      </x:c>
      <x:c r="P919" s="22" t="n">
        <x:f>O919*(1-N919)</x:f>
        <x:v>2508</x:v>
      </x:c>
      <x:c r="Q919" s="22" t="n">
        <x:v>1160</x:v>
      </x:c>
      <x:c r="R919" s="22" t="n">
        <x:f>Q919*M919</x:f>
        <x:v>2320</x:v>
      </x:c>
      <x:c r="S919" s="22" t="n">
        <x:f>P919-R919</x:f>
        <x:v>188</x:v>
      </x:c>
      <x:c r="T919" t="str">
        <x:v>Credit</x:v>
      </x:c>
      <x:c r="U919" t="str">
        <x:v>Paid</x:v>
      </x:c>
      <x:c r="V919" t="str">
        <x:v>Cancelled</x:v>
      </x:c>
      <x:c r="W919" t="n">
        <x:v>2</x:v>
      </x:c>
      <x:c r="X919" t="str">
        <x:v>Cancelled Order</x:v>
      </x:c>
      <x:c r="Y919" t="str">
        <x:v>Existing Customer</x:v>
      </x:c>
    </x:row>
    <x:row r="920">
      <x:c r="A920" t="str">
        <x:v>O000919</x:v>
      </x:c>
      <x:c r="B920" s="20" t="n">
        <x:v>46160</x:v>
      </x:c>
      <x:c r="C920" t="str">
        <x:v>C0051</x:v>
      </x:c>
      <x:c r="D920" t="str">
        <x:v>Cafe Hotel 51</x:v>
      </x:c>
      <x:c r="E920" t="str">
        <x:v>Kirana</x:v>
      </x:c>
      <x:c r="F920" t="str">
        <x:v>Tumakuru</x:v>
      </x:c>
      <x:c r="G920" t="str">
        <x:v>Arjun</x:v>
      </x:c>
      <x:c r="H920" t="str">
        <x:v>P017</x:v>
      </x:c>
      <x:c r="I920" t="str">
        <x:v>Butter 500g</x:v>
      </x:c>
      <x:c r="J920" t="str">
        <x:v>Dairy</x:v>
      </x:c>
      <x:c r="K920" t="str">
        <x:v>Amul</x:v>
      </x:c>
      <x:c r="L920" s="22" t="n">
        <x:v>285</x:v>
      </x:c>
      <x:c r="M920" t="n">
        <x:v>29</x:v>
      </x:c>
      <x:c r="N920" s="24" t="n">
        <x:v>0.05</x:v>
      </x:c>
      <x:c r="O920" s="22" t="n">
        <x:f>L920*M920</x:f>
        <x:v>8265</x:v>
      </x:c>
      <x:c r="P920" s="22" t="n">
        <x:f>O920*(1-N920)</x:f>
        <x:v>7851.75</x:v>
      </x:c>
      <x:c r="Q920" s="22" t="n">
        <x:v>258</x:v>
      </x:c>
      <x:c r="R920" s="22" t="n">
        <x:f>Q920*M920</x:f>
        <x:v>7482</x:v>
      </x:c>
      <x:c r="S920" s="22" t="n">
        <x:f>P920-R920</x:f>
        <x:v>369.75</x:v>
      </x:c>
      <x:c r="T920" t="str">
        <x:v>Bank Transfer</x:v>
      </x:c>
      <x:c r="U920" t="str">
        <x:v>Paid</x:v>
      </x:c>
      <x:c r="V920" t="str">
        <x:v>Delivered</x:v>
      </x:c>
      <x:c r="W920" t="n">
        <x:v>0</x:v>
      </x:c>
      <x:c r="X920" t="str"/>
      <x:c r="Y920" t="str">
        <x:v>Existing Customer</x:v>
      </x:c>
    </x:row>
    <x:row r="921">
      <x:c r="A921" t="str">
        <x:v>O000920</x:v>
      </x:c>
      <x:c r="B921" s="20" t="n">
        <x:v>46254</x:v>
      </x:c>
      <x:c r="C921" t="str">
        <x:v>C0050</x:v>
      </x:c>
      <x:c r="D921" t="str">
        <x:v>Green Stores 50</x:v>
      </x:c>
      <x:c r="E921" t="str">
        <x:v>Restaurant</x:v>
      </x:c>
      <x:c r="F921" t="str">
        <x:v>Davanagere</x:v>
      </x:c>
      <x:c r="G921" t="str">
        <x:v>Vikram</x:v>
      </x:c>
      <x:c r="H921" t="str">
        <x:v>P006</x:v>
      </x:c>
      <x:c r="I921" t="str">
        <x:v>Moong Dal 5kg</x:v>
      </x:c>
      <x:c r="J921" t="str">
        <x:v>Pulses</x:v>
      </x:c>
      <x:c r="K921" t="str">
        <x:v>Local Select</x:v>
      </x:c>
      <x:c r="L921" s="22" t="n">
        <x:v>610</x:v>
      </x:c>
      <x:c r="M921" t="n">
        <x:v>2</x:v>
      </x:c>
      <x:c r="N921" s="24" t="n">
        <x:v>0.05</x:v>
      </x:c>
      <x:c r="O921" s="22" t="n">
        <x:f>L921*M921</x:f>
        <x:v>1220</x:v>
      </x:c>
      <x:c r="P921" s="22" t="n">
        <x:f>O921*(1-N921)</x:f>
        <x:v>1159</x:v>
      </x:c>
      <x:c r="Q921" s="22" t="n">
        <x:v>540</x:v>
      </x:c>
      <x:c r="R921" s="22" t="n">
        <x:f>Q921*M921</x:f>
        <x:v>1080</x:v>
      </x:c>
      <x:c r="S921" s="22" t="n">
        <x:f>P921-R921</x:f>
        <x:v>79</x:v>
      </x:c>
      <x:c r="T921" t="str">
        <x:v>UPI</x:v>
      </x:c>
      <x:c r="U921" t="str">
        <x:v>Paid</x:v>
      </x:c>
      <x:c r="V921" t="str">
        <x:v>Delivered</x:v>
      </x:c>
      <x:c r="W921" t="n">
        <x:v>0</x:v>
      </x:c>
      <x:c r="X921" t="str"/>
      <x:c r="Y921" t="str">
        <x:v>Field Visit</x:v>
      </x:c>
    </x:row>
    <x:row r="922">
      <x:c r="A922" t="str">
        <x:v>O000921</x:v>
      </x:c>
      <x:c r="B922" s="20" t="n">
        <x:v>45731</x:v>
      </x:c>
      <x:c r="C922" t="str">
        <x:v>C0146</x:v>
      </x:c>
      <x:c r="D922" t="str">
        <x:v>Annapurna Hotel 146</x:v>
      </x:c>
      <x:c r="E922" t="str">
        <x:v>Restaurant</x:v>
      </x:c>
      <x:c r="F922" t="str">
        <x:v>Davanagere</x:v>
      </x:c>
      <x:c r="G922" t="str">
        <x:v>Arjun</x:v>
      </x:c>
      <x:c r="H922" t="str">
        <x:v>P035</x:v>
      </x:c>
      <x:c r="I922" t="str">
        <x:v>Coriander Powder 1kg</x:v>
      </x:c>
      <x:c r="J922" t="str">
        <x:v>Spices</x:v>
      </x:c>
      <x:c r="K922" t="str">
        <x:v>Everest</x:v>
      </x:c>
      <x:c r="L922" s="22" t="n">
        <x:v>280</x:v>
      </x:c>
      <x:c r="M922" t="n">
        <x:v>22</x:v>
      </x:c>
      <x:c r="N922" s="24" t="n">
        <x:v>0</x:v>
      </x:c>
      <x:c r="O922" s="22" t="n">
        <x:f>L922*M922</x:f>
        <x:v>6160</x:v>
      </x:c>
      <x:c r="P922" s="22" t="n">
        <x:f>O922*(1-N922)</x:f>
        <x:v>6160</x:v>
      </x:c>
      <x:c r="Q922" s="22" t="n">
        <x:v>245</x:v>
      </x:c>
      <x:c r="R922" s="22" t="n">
        <x:f>Q922*M922</x:f>
        <x:v>5390</x:v>
      </x:c>
      <x:c r="S922" s="22" t="n">
        <x:f>P922-R922</x:f>
        <x:v>770</x:v>
      </x:c>
      <x:c r="T922" t="str">
        <x:v>Credit</x:v>
      </x:c>
      <x:c r="U922" t="str">
        <x:v>Paid</x:v>
      </x:c>
      <x:c r="V922" t="str">
        <x:v>Delivered</x:v>
      </x:c>
      <x:c r="W922" t="n">
        <x:v>0</x:v>
      </x:c>
      <x:c r="X922" t="str"/>
      <x:c r="Y922" t="str">
        <x:v>WhatsApp</x:v>
      </x:c>
    </x:row>
    <x:row r="923">
      <x:c r="A923" t="str">
        <x:v>O000922</x:v>
      </x:c>
      <x:c r="B923" s="20" t="n">
        <x:v>46230</x:v>
      </x:c>
      <x:c r="C923" t="str">
        <x:v>C0092</x:v>
      </x:c>
      <x:c r="D923" t="str">
        <x:v>Cafe Restaurant 92</x:v>
      </x:c>
      <x:c r="E923" t="str">
        <x:v>Canteen</x:v>
      </x:c>
      <x:c r="F923" t="str">
        <x:v>Hubballi</x:v>
      </x:c>
      <x:c r="G923" t="str">
        <x:v>Vikram</x:v>
      </x:c>
      <x:c r="H923" t="str">
        <x:v>P040</x:v>
      </x:c>
      <x:c r="I923" t="str">
        <x:v>Bread Loaf 400g</x:v>
      </x:c>
      <x:c r="J923" t="str">
        <x:v>Bakery</x:v>
      </x:c>
      <x:c r="K923" t="str">
        <x:v>Britannia</x:v>
      </x:c>
      <x:c r="L923" s="22" t="n">
        <x:v>45</x:v>
      </x:c>
      <x:c r="M923" t="n">
        <x:v>9</x:v>
      </x:c>
      <x:c r="N923" s="24" t="n">
        <x:v>0.05</x:v>
      </x:c>
      <x:c r="O923" s="22" t="n">
        <x:f>L923*M923</x:f>
        <x:v>405</x:v>
      </x:c>
      <x:c r="P923" s="22" t="n">
        <x:f>O923*(1-N923)</x:f>
        <x:v>384.75</x:v>
      </x:c>
      <x:c r="Q923" s="22" t="n">
        <x:v>35</x:v>
      </x:c>
      <x:c r="R923" s="22" t="n">
        <x:f>Q923*M923</x:f>
        <x:v>315</x:v>
      </x:c>
      <x:c r="S923" s="22" t="n">
        <x:f>P923-R923</x:f>
        <x:v>69.75</x:v>
      </x:c>
      <x:c r="T923" t="str">
        <x:v>Credit</x:v>
      </x:c>
      <x:c r="U923" t="str">
        <x:v>Paid</x:v>
      </x:c>
      <x:c r="V923" t="str">
        <x:v>Delivered</x:v>
      </x:c>
      <x:c r="W923" t="n">
        <x:v>0</x:v>
      </x:c>
      <x:c r="X923" t="str"/>
      <x:c r="Y923" t="str">
        <x:v>Existing Customer</x:v>
      </x:c>
    </x:row>
    <x:row r="924">
      <x:c r="A924" t="str">
        <x:v>O000923</x:v>
      </x:c>
      <x:c r="B924" s="20" t="n">
        <x:v>45963</x:v>
      </x:c>
      <x:c r="C924" t="str">
        <x:v>C0201</x:v>
      </x:c>
      <x:c r="D924" t="str">
        <x:v>Metro Hotel 201</x:v>
      </x:c>
      <x:c r="E924" t="str">
        <x:v>Kirana</x:v>
      </x:c>
      <x:c r="F924" t="str">
        <x:v>Mysuru</x:v>
      </x:c>
      <x:c r="G924" t="str">
        <x:v>Imran</x:v>
      </x:c>
      <x:c r="H924" t="str">
        <x:v>P034</x:v>
      </x:c>
      <x:c r="I924" t="str">
        <x:v>Chilli Powder 1kg</x:v>
      </x:c>
      <x:c r="J924" t="str">
        <x:v>Spices</x:v>
      </x:c>
      <x:c r="K924" t="str">
        <x:v>MDH</x:v>
      </x:c>
      <x:c r="L924" s="22" t="n">
        <x:v>340</x:v>
      </x:c>
      <x:c r="M924" t="n">
        <x:v>7</x:v>
      </x:c>
      <x:c r="N924" s="24" t="n">
        <x:v>0</x:v>
      </x:c>
      <x:c r="O924" s="22" t="n">
        <x:f>L924*M924</x:f>
        <x:v>2380</x:v>
      </x:c>
      <x:c r="P924" s="22" t="n">
        <x:f>O924*(1-N924)</x:f>
        <x:v>2380</x:v>
      </x:c>
      <x:c r="Q924" s="22" t="n">
        <x:v>295</x:v>
      </x:c>
      <x:c r="R924" s="22" t="n">
        <x:f>Q924*M924</x:f>
        <x:v>2065</x:v>
      </x:c>
      <x:c r="S924" s="22" t="n">
        <x:f>P924-R924</x:f>
        <x:v>315</x:v>
      </x:c>
      <x:c r="T924" t="str">
        <x:v>Bank Transfer</x:v>
      </x:c>
      <x:c r="U924" t="str">
        <x:v>Paid</x:v>
      </x:c>
      <x:c r="V924" t="str">
        <x:v>Delayed</x:v>
      </x:c>
      <x:c r="W924" t="n">
        <x:v>0</x:v>
      </x:c>
      <x:c r="X924" t="str"/>
      <x:c r="Y924" t="str">
        <x:v>Field Visit</x:v>
      </x:c>
    </x:row>
    <x:row r="925">
      <x:c r="A925" t="str">
        <x:v>O000924</x:v>
      </x:c>
      <x:c r="B925" s="20" t="n">
        <x:v>45915</x:v>
      </x:c>
      <x:c r="C925" t="str">
        <x:v>C0211</x:v>
      </x:c>
      <x:c r="D925" t="str">
        <x:v>Cafe Cafe 211</x:v>
      </x:c>
      <x:c r="E925" t="str">
        <x:v>Supermarket</x:v>
      </x:c>
      <x:c r="F925" t="str">
        <x:v>Davanagere</x:v>
      </x:c>
      <x:c r="G925" t="str">
        <x:v>Megha</x:v>
      </x:c>
      <x:c r="H925" t="str">
        <x:v>P019</x:v>
      </x:c>
      <x:c r="I925" t="str">
        <x:v>Tea 1kg</x:v>
      </x:c>
      <x:c r="J925" t="str">
        <x:v>Beverage</x:v>
      </x:c>
      <x:c r="K925" t="str">
        <x:v>Red Label</x:v>
      </x:c>
      <x:c r="L925" s="22" t="n">
        <x:v>540</x:v>
      </x:c>
      <x:c r="M925" t="n">
        <x:v>25</x:v>
      </x:c>
      <x:c r="N925" s="24" t="n">
        <x:v>0.05</x:v>
      </x:c>
      <x:c r="O925" s="22" t="n">
        <x:f>L925*M925</x:f>
        <x:v>13500</x:v>
      </x:c>
      <x:c r="P925" s="22" t="n">
        <x:f>O925*(1-N925)</x:f>
        <x:v>12825</x:v>
      </x:c>
      <x:c r="Q925" s="22" t="n">
        <x:v>485</x:v>
      </x:c>
      <x:c r="R925" s="22" t="n">
        <x:f>Q925*M925</x:f>
        <x:v>12125</x:v>
      </x:c>
      <x:c r="S925" s="22" t="n">
        <x:f>P925-R925</x:f>
        <x:v>700</x:v>
      </x:c>
      <x:c r="T925" t="str">
        <x:v>UPI</x:v>
      </x:c>
      <x:c r="U925" t="str">
        <x:v>Pending</x:v>
      </x:c>
      <x:c r="V925" t="str">
        <x:v>Delivered</x:v>
      </x:c>
      <x:c r="W925" t="n">
        <x:v>0</x:v>
      </x:c>
      <x:c r="X925" t="str"/>
      <x:c r="Y925" t="str">
        <x:v>Outbound Call</x:v>
      </x:c>
    </x:row>
    <x:row r="926">
      <x:c r="A926" t="str">
        <x:v>O000925</x:v>
      </x:c>
      <x:c r="B926" s="20" t="n">
        <x:v>46283</x:v>
      </x:c>
      <x:c r="C926" t="str">
        <x:v>C0062</x:v>
      </x:c>
      <x:c r="D926" t="str">
        <x:v>Foodie Hotel 62</x:v>
      </x:c>
      <x:c r="E926" t="str">
        <x:v>Cafe</x:v>
      </x:c>
      <x:c r="F926" t="str">
        <x:v>Mysuru</x:v>
      </x:c>
      <x:c r="G926" t="str">
        <x:v>Vikram</x:v>
      </x:c>
      <x:c r="H926" t="str">
        <x:v>P034</x:v>
      </x:c>
      <x:c r="I926" t="str">
        <x:v>Chilli Powder 1kg</x:v>
      </x:c>
      <x:c r="J926" t="str">
        <x:v>Spices</x:v>
      </x:c>
      <x:c r="K926" t="str">
        <x:v>MDH</x:v>
      </x:c>
      <x:c r="L926" s="22" t="n">
        <x:v>340</x:v>
      </x:c>
      <x:c r="M926" t="n">
        <x:v>33</x:v>
      </x:c>
      <x:c r="N926" s="24" t="n">
        <x:v>0.02</x:v>
      </x:c>
      <x:c r="O926" s="22" t="n">
        <x:f>L926*M926</x:f>
        <x:v>11220</x:v>
      </x:c>
      <x:c r="P926" s="22" t="n">
        <x:f>O926*(1-N926)</x:f>
        <x:v>10995.6</x:v>
      </x:c>
      <x:c r="Q926" s="22" t="n">
        <x:v>295</x:v>
      </x:c>
      <x:c r="R926" s="22" t="n">
        <x:f>Q926*M926</x:f>
        <x:v>9735</x:v>
      </x:c>
      <x:c r="S926" s="22" t="n">
        <x:f>P926-R926</x:f>
        <x:v>1260.6000000000004</x:v>
      </x:c>
      <x:c r="T926" t="str">
        <x:v>UPI</x:v>
      </x:c>
      <x:c r="U926" t="str">
        <x:v>Paid</x:v>
      </x:c>
      <x:c r="V926" t="str">
        <x:v>Delivered</x:v>
      </x:c>
      <x:c r="W926" t="n">
        <x:v>0</x:v>
      </x:c>
      <x:c r="X926" t="str"/>
      <x:c r="Y926" t="str">
        <x:v>Field Visit</x:v>
      </x:c>
    </x:row>
    <x:row r="927">
      <x:c r="A927" t="str">
        <x:v>O000926</x:v>
      </x:c>
      <x:c r="B927" s="20" t="n">
        <x:v>46089</x:v>
      </x:c>
      <x:c r="C927" t="str">
        <x:v>C0009</x:v>
      </x:c>
      <x:c r="D927" t="str">
        <x:v>Darshini Hotel 9</x:v>
      </x:c>
      <x:c r="E927" t="str">
        <x:v>Cafe</x:v>
      </x:c>
      <x:c r="F927" t="str">
        <x:v>Hubballi</x:v>
      </x:c>
      <x:c r="G927" t="str">
        <x:v>Imran</x:v>
      </x:c>
      <x:c r="H927" t="str">
        <x:v>P022</x:v>
      </x:c>
      <x:c r="I927" t="str">
        <x:v>Mineral Water 1L</x:v>
      </x:c>
      <x:c r="J927" t="str">
        <x:v>Beverage</x:v>
      </x:c>
      <x:c r="K927" t="str">
        <x:v>Bisleri</x:v>
      </x:c>
      <x:c r="L927" s="22" t="n">
        <x:v>19</x:v>
      </x:c>
      <x:c r="M927" t="n">
        <x:v>17</x:v>
      </x:c>
      <x:c r="N927" s="24" t="n">
        <x:v>0</x:v>
      </x:c>
      <x:c r="O927" s="22" t="n">
        <x:f>L927*M927</x:f>
        <x:v>323</x:v>
      </x:c>
      <x:c r="P927" s="22" t="n">
        <x:f>O927*(1-N927)</x:f>
        <x:v>323</x:v>
      </x:c>
      <x:c r="Q927" s="22" t="n">
        <x:v>15</x:v>
      </x:c>
      <x:c r="R927" s="22" t="n">
        <x:f>Q927*M927</x:f>
        <x:v>255</x:v>
      </x:c>
      <x:c r="S927" s="22" t="n">
        <x:f>P927-R927</x:f>
        <x:v>68</x:v>
      </x:c>
      <x:c r="T927" t="str">
        <x:v>UPI</x:v>
      </x:c>
      <x:c r="U927" t="str">
        <x:v>Paid</x:v>
      </x:c>
      <x:c r="V927" t="str">
        <x:v>Delayed</x:v>
      </x:c>
      <x:c r="W927" t="n">
        <x:v>0</x:v>
      </x:c>
      <x:c r="X927" t="str"/>
      <x:c r="Y927" t="str">
        <x:v>Field Visit</x:v>
      </x:c>
    </x:row>
    <x:row r="928">
      <x:c r="A928" t="str">
        <x:v>O000927</x:v>
      </x:c>
      <x:c r="B928" s="20" t="n">
        <x:v>45899</x:v>
      </x:c>
      <x:c r="C928" t="str">
        <x:v>C0170</x:v>
      </x:c>
      <x:c r="D928" t="str">
        <x:v>Green Cafe 170</x:v>
      </x:c>
      <x:c r="E928" t="str">
        <x:v>Supermarket</x:v>
      </x:c>
      <x:c r="F928" t="str">
        <x:v>Bengaluru</x:v>
      </x:c>
      <x:c r="G928" t="str">
        <x:v>Sneha</x:v>
      </x:c>
      <x:c r="H928" t="str">
        <x:v>P004</x:v>
      </x:c>
      <x:c r="I928" t="str">
        <x:v>Toor Dal 5kg</x:v>
      </x:c>
      <x:c r="J928" t="str">
        <x:v>Pulses</x:v>
      </x:c>
      <x:c r="K928" t="str">
        <x:v>Tata Sampann</x:v>
      </x:c>
      <x:c r="L928" s="22" t="n">
        <x:v>780</x:v>
      </x:c>
      <x:c r="M928" t="n">
        <x:v>32</x:v>
      </x:c>
      <x:c r="N928" s="24" t="n">
        <x:v>0</x:v>
      </x:c>
      <x:c r="O928" s="22" t="n">
        <x:f>L928*M928</x:f>
        <x:v>24960</x:v>
      </x:c>
      <x:c r="P928" s="22" t="n">
        <x:f>O928*(1-N928)</x:f>
        <x:v>24960</x:v>
      </x:c>
      <x:c r="Q928" s="22" t="n">
        <x:v>695</x:v>
      </x:c>
      <x:c r="R928" s="22" t="n">
        <x:f>Q928*M928</x:f>
        <x:v>22240</x:v>
      </x:c>
      <x:c r="S928" s="22" t="n">
        <x:f>P928-R928</x:f>
        <x:v>2720</x:v>
      </x:c>
      <x:c r="T928" t="str">
        <x:v>UPI</x:v>
      </x:c>
      <x:c r="U928" t="str">
        <x:v>Paid</x:v>
      </x:c>
      <x:c r="V928" t="str">
        <x:v>Delivered</x:v>
      </x:c>
      <x:c r="W928" t="n">
        <x:v>0</x:v>
      </x:c>
      <x:c r="X928" t="str"/>
      <x:c r="Y928" t="str">
        <x:v>Existing Customer</x:v>
      </x:c>
    </x:row>
    <x:row r="929">
      <x:c r="A929" t="str">
        <x:v>O000928</x:v>
      </x:c>
      <x:c r="B929" s="20" t="n">
        <x:v>46222</x:v>
      </x:c>
      <x:c r="C929" t="str">
        <x:v>C0238</x:v>
      </x:c>
      <x:c r="D929" t="str">
        <x:v>Foodie Foods 238</x:v>
      </x:c>
      <x:c r="E929" t="str">
        <x:v>Restaurant</x:v>
      </x:c>
      <x:c r="F929" t="str">
        <x:v>Davanagere</x:v>
      </x:c>
      <x:c r="G929" t="str">
        <x:v>Megha</x:v>
      </x:c>
      <x:c r="H929" t="str">
        <x:v>P006</x:v>
      </x:c>
      <x:c r="I929" t="str">
        <x:v>Moong Dal 5kg</x:v>
      </x:c>
      <x:c r="J929" t="str">
        <x:v>Pulses</x:v>
      </x:c>
      <x:c r="K929" t="str">
        <x:v>Local Select</x:v>
      </x:c>
      <x:c r="L929" s="22" t="n">
        <x:v>610</x:v>
      </x:c>
      <x:c r="M929" t="n">
        <x:v>31</x:v>
      </x:c>
      <x:c r="N929" s="24" t="n">
        <x:v>0.08</x:v>
      </x:c>
      <x:c r="O929" s="22" t="n">
        <x:f>L929*M929</x:f>
        <x:v>18910</x:v>
      </x:c>
      <x:c r="P929" s="22" t="n">
        <x:f>O929*(1-N929)</x:f>
        <x:v>17397.2</x:v>
      </x:c>
      <x:c r="Q929" s="22" t="n">
        <x:v>540</x:v>
      </x:c>
      <x:c r="R929" s="22" t="n">
        <x:f>Q929*M929</x:f>
        <x:v>16740</x:v>
      </x:c>
      <x:c r="S929" s="22" t="n">
        <x:f>P929-R929</x:f>
        <x:v>657.2000000000007</x:v>
      </x:c>
      <x:c r="T929" t="str">
        <x:v>Cash</x:v>
      </x:c>
      <x:c r="U929" t="str">
        <x:v>Pending</x:v>
      </x:c>
      <x:c r="V929" t="str">
        <x:v>Delivered</x:v>
      </x:c>
      <x:c r="W929" t="n">
        <x:v>2</x:v>
      </x:c>
      <x:c r="X929" t="str">
        <x:v>Quality Issue</x:v>
      </x:c>
      <x:c r="Y929" t="str">
        <x:v>WhatsApp</x:v>
      </x:c>
    </x:row>
    <x:row r="930">
      <x:c r="A930" t="str">
        <x:v>O000929</x:v>
      </x:c>
      <x:c r="B930" s="20" t="n">
        <x:v>45679</x:v>
      </x:c>
      <x:c r="C930" t="str">
        <x:v>C0201</x:v>
      </x:c>
      <x:c r="D930" t="str">
        <x:v>Metro Hotel 201</x:v>
      </x:c>
      <x:c r="E930" t="str">
        <x:v>Kirana</x:v>
      </x:c>
      <x:c r="F930" t="str">
        <x:v>Mysuru</x:v>
      </x:c>
      <x:c r="G930" t="str">
        <x:v>Imran</x:v>
      </x:c>
      <x:c r="H930" t="str">
        <x:v>P015</x:v>
      </x:c>
      <x:c r="I930" t="str">
        <x:v>Milk 1L</x:v>
      </x:c>
      <x:c r="J930" t="str">
        <x:v>Dairy</x:v>
      </x:c>
      <x:c r="K930" t="str">
        <x:v>Nandini</x:v>
      </x:c>
      <x:c r="L930" s="22" t="n">
        <x:v>48</x:v>
      </x:c>
      <x:c r="M930" t="n">
        <x:v>4</x:v>
      </x:c>
      <x:c r="N930" s="24" t="n">
        <x:v>0</x:v>
      </x:c>
      <x:c r="O930" s="22" t="n">
        <x:f>L930*M930</x:f>
        <x:v>192</x:v>
      </x:c>
      <x:c r="P930" s="22" t="n">
        <x:f>O930*(1-N930)</x:f>
        <x:v>192</x:v>
      </x:c>
      <x:c r="Q930" s="22" t="n">
        <x:v>43</x:v>
      </x:c>
      <x:c r="R930" s="22" t="n">
        <x:f>Q930*M930</x:f>
        <x:v>172</x:v>
      </x:c>
      <x:c r="S930" s="22" t="n">
        <x:f>P930-R930</x:f>
        <x:v>20</x:v>
      </x:c>
      <x:c r="T930" t="str">
        <x:v>Bank Transfer</x:v>
      </x:c>
      <x:c r="U930" t="str">
        <x:v>Paid</x:v>
      </x:c>
      <x:c r="V930" t="str">
        <x:v>Delivered</x:v>
      </x:c>
      <x:c r="W930" t="n">
        <x:v>0</x:v>
      </x:c>
      <x:c r="X930" t="str"/>
      <x:c r="Y930" t="str">
        <x:v>Outbound Call</x:v>
      </x:c>
    </x:row>
    <x:row r="931">
      <x:c r="A931" t="str">
        <x:v>O000930</x:v>
      </x:c>
      <x:c r="B931" s="20" t="n">
        <x:v>46044</x:v>
      </x:c>
      <x:c r="C931" t="str">
        <x:v>C0014</x:v>
      </x:c>
      <x:c r="D931" t="str">
        <x:v>Annapurna Canteen 14</x:v>
      </x:c>
      <x:c r="E931" t="str">
        <x:v>Kirana</x:v>
      </x:c>
      <x:c r="F931" t="str">
        <x:v>Davanagere</x:v>
      </x:c>
      <x:c r="G931" t="str">
        <x:v>Sneha</x:v>
      </x:c>
      <x:c r="H931" t="str">
        <x:v>P025</x:v>
      </x:c>
      <x:c r="I931" t="str">
        <x:v>Potato Chips 100g</x:v>
      </x:c>
      <x:c r="J931" t="str">
        <x:v>Snacks</x:v>
      </x:c>
      <x:c r="K931" t="str">
        <x:v>Lay's</x:v>
      </x:c>
      <x:c r="L931" s="22" t="n">
        <x:v>35</x:v>
      </x:c>
      <x:c r="M931" t="n">
        <x:v>9</x:v>
      </x:c>
      <x:c r="N931" s="24" t="n">
        <x:v>0.03</x:v>
      </x:c>
      <x:c r="O931" s="22" t="n">
        <x:f>L931*M931</x:f>
        <x:v>315</x:v>
      </x:c>
      <x:c r="P931" s="22" t="n">
        <x:f>O931*(1-N931)</x:f>
        <x:v>305.55</x:v>
      </x:c>
      <x:c r="Q931" s="22" t="n">
        <x:v>27</x:v>
      </x:c>
      <x:c r="R931" s="22" t="n">
        <x:f>Q931*M931</x:f>
        <x:v>243</x:v>
      </x:c>
      <x:c r="S931" s="22" t="n">
        <x:f>P931-R931</x:f>
        <x:v>62.55000000000001</x:v>
      </x:c>
      <x:c r="T931" t="str">
        <x:v>Credit</x:v>
      </x:c>
      <x:c r="U931" t="str">
        <x:v>Paid</x:v>
      </x:c>
      <x:c r="V931" t="str">
        <x:v>Delivered</x:v>
      </x:c>
      <x:c r="W931" t="n">
        <x:v>0</x:v>
      </x:c>
      <x:c r="X931" t="str"/>
      <x:c r="Y931" t="str">
        <x:v>Existing Customer</x:v>
      </x:c>
    </x:row>
    <x:row r="932">
      <x:c r="A932" t="str">
        <x:v>O000931</x:v>
      </x:c>
      <x:c r="B932" s="20" t="n">
        <x:v>45856</x:v>
      </x:c>
      <x:c r="C932" t="str">
        <x:v>C0095</x:v>
      </x:c>
      <x:c r="D932" t="str">
        <x:v>Spice Restaurant 95</x:v>
      </x:c>
      <x:c r="E932" t="str">
        <x:v>Restaurant</x:v>
      </x:c>
      <x:c r="F932" t="str">
        <x:v>Bengaluru</x:v>
      </x:c>
      <x:c r="G932" t="str">
        <x:v>Megha</x:v>
      </x:c>
      <x:c r="H932" t="str">
        <x:v>P023</x:v>
      </x:c>
      <x:c r="I932" t="str">
        <x:v>Cola 750ml</x:v>
      </x:c>
      <x:c r="J932" t="str">
        <x:v>Beverage</x:v>
      </x:c>
      <x:c r="K932" t="str">
        <x:v>Coca-Cola</x:v>
      </x:c>
      <x:c r="L932" s="22" t="n">
        <x:v>38</x:v>
      </x:c>
      <x:c r="M932" t="n">
        <x:v>22</x:v>
      </x:c>
      <x:c r="N932" s="24" t="n">
        <x:v>0.03</x:v>
      </x:c>
      <x:c r="O932" s="22" t="n">
        <x:f>L932*M932</x:f>
        <x:v>836</x:v>
      </x:c>
      <x:c r="P932" s="22" t="n">
        <x:f>O932*(1-N932)</x:f>
        <x:v>810.92</x:v>
      </x:c>
      <x:c r="Q932" s="22" t="n">
        <x:v>31</x:v>
      </x:c>
      <x:c r="R932" s="22" t="n">
        <x:f>Q932*M932</x:f>
        <x:v>682</x:v>
      </x:c>
      <x:c r="S932" s="22" t="n">
        <x:f>P932-R932</x:f>
        <x:v>128.91999999999996</x:v>
      </x:c>
      <x:c r="T932" t="str">
        <x:v>UPI</x:v>
      </x:c>
      <x:c r="U932" t="str">
        <x:v>Paid</x:v>
      </x:c>
      <x:c r="V932" t="str">
        <x:v>Delivered</x:v>
      </x:c>
      <x:c r="W932" t="n">
        <x:v>0</x:v>
      </x:c>
      <x:c r="X932" t="str"/>
      <x:c r="Y932" t="str">
        <x:v>Referral</x:v>
      </x:c>
    </x:row>
    <x:row r="933">
      <x:c r="A933" t="str">
        <x:v>O000932</x:v>
      </x:c>
      <x:c r="B933" s="20" t="n">
        <x:v>46239</x:v>
      </x:c>
      <x:c r="C933" t="str">
        <x:v>C0193</x:v>
      </x:c>
      <x:c r="D933" t="str">
        <x:v>Udupi Cafe 193</x:v>
      </x:c>
      <x:c r="E933" t="str">
        <x:v>Restaurant</x:v>
      </x:c>
      <x:c r="F933" t="str">
        <x:v>Hubballi</x:v>
      </x:c>
      <x:c r="G933" t="str">
        <x:v>Sneha</x:v>
      </x:c>
      <x:c r="H933" t="str">
        <x:v>P035</x:v>
      </x:c>
      <x:c r="I933" t="str">
        <x:v>Coriander Powder 1kg</x:v>
      </x:c>
      <x:c r="J933" t="str">
        <x:v>Spices</x:v>
      </x:c>
      <x:c r="K933" t="str">
        <x:v>Everest</x:v>
      </x:c>
      <x:c r="L933" s="22" t="n">
        <x:v>280</x:v>
      </x:c>
      <x:c r="M933" t="n">
        <x:v>3</x:v>
      </x:c>
      <x:c r="N933" s="24" t="n">
        <x:v>0.1</x:v>
      </x:c>
      <x:c r="O933" s="22" t="n">
        <x:f>L933*M933</x:f>
        <x:v>840</x:v>
      </x:c>
      <x:c r="P933" s="22" t="n">
        <x:f>O933*(1-N933)</x:f>
        <x:v>756</x:v>
      </x:c>
      <x:c r="Q933" s="22" t="n">
        <x:v>245</x:v>
      </x:c>
      <x:c r="R933" s="22" t="n">
        <x:f>Q933*M933</x:f>
        <x:v>735</x:v>
      </x:c>
      <x:c r="S933" s="22" t="n">
        <x:f>P933-R933</x:f>
        <x:v>21</x:v>
      </x:c>
      <x:c r="T933" t="str">
        <x:v>UPI</x:v>
      </x:c>
      <x:c r="U933" t="str">
        <x:v>Pending</x:v>
      </x:c>
      <x:c r="V933" t="str">
        <x:v>Delivered</x:v>
      </x:c>
      <x:c r="W933" t="n">
        <x:v>0</x:v>
      </x:c>
      <x:c r="X933" t="str"/>
      <x:c r="Y933" t="str">
        <x:v>Outbound Call</x:v>
      </x:c>
    </x:row>
    <x:row r="934">
      <x:c r="A934" t="str">
        <x:v>O000933</x:v>
      </x:c>
      <x:c r="B934" s="20" t="n">
        <x:v>45947</x:v>
      </x:c>
      <x:c r="C934" t="str">
        <x:v>C0113</x:v>
      </x:c>
      <x:c r="D934" t="str">
        <x:v>Namma Mart 113</x:v>
      </x:c>
      <x:c r="E934" t="str">
        <x:v>Restaurant</x:v>
      </x:c>
      <x:c r="F934" t="str">
        <x:v>Bengaluru</x:v>
      </x:c>
      <x:c r="G934" t="str">
        <x:v>Imran</x:v>
      </x:c>
      <x:c r="H934" t="str">
        <x:v>P012</x:v>
      </x:c>
      <x:c r="I934" t="str">
        <x:v>Maida 10kg</x:v>
      </x:c>
      <x:c r="J934" t="str">
        <x:v>Flour</x:v>
      </x:c>
      <x:c r="K934" t="str">
        <x:v>Aashirvaad</x:v>
      </x:c>
      <x:c r="L934" s="22" t="n">
        <x:v>520</x:v>
      </x:c>
      <x:c r="M934" t="n">
        <x:v>3</x:v>
      </x:c>
      <x:c r="N934" s="24" t="n">
        <x:v>0.02</x:v>
      </x:c>
      <x:c r="O934" s="22" t="n">
        <x:f>L934*M934</x:f>
        <x:v>1560</x:v>
      </x:c>
      <x:c r="P934" s="22" t="n">
        <x:f>O934*(1-N934)</x:f>
        <x:v>1528.8</x:v>
      </x:c>
      <x:c r="Q934" s="22" t="n">
        <x:v>460</x:v>
      </x:c>
      <x:c r="R934" s="22" t="n">
        <x:f>Q934*M934</x:f>
        <x:v>1380</x:v>
      </x:c>
      <x:c r="S934" s="22" t="n">
        <x:f>P934-R934</x:f>
        <x:v>148.79999999999995</x:v>
      </x:c>
      <x:c r="T934" t="str">
        <x:v>Bank Transfer</x:v>
      </x:c>
      <x:c r="U934" t="str">
        <x:v>Overdue</x:v>
      </x:c>
      <x:c r="V934" t="str">
        <x:v>Delivered</x:v>
      </x:c>
      <x:c r="W934" t="n">
        <x:v>0</x:v>
      </x:c>
      <x:c r="X934" t="str"/>
      <x:c r="Y934" t="str">
        <x:v>WhatsApp</x:v>
      </x:c>
    </x:row>
    <x:row r="935">
      <x:c r="A935" t="str">
        <x:v>O000934</x:v>
      </x:c>
      <x:c r="B935" s="20" t="n">
        <x:v>45736</x:v>
      </x:c>
      <x:c r="C935" t="str">
        <x:v>C0169</x:v>
      </x:c>
      <x:c r="D935" t="str">
        <x:v>Grand Mart 169</x:v>
      </x:c>
      <x:c r="E935" t="str">
        <x:v>Canteen</x:v>
      </x:c>
      <x:c r="F935" t="str">
        <x:v>Mangaluru</x:v>
      </x:c>
      <x:c r="G935" t="str">
        <x:v>Vikram</x:v>
      </x:c>
      <x:c r="H935" t="str">
        <x:v>P005</x:v>
      </x:c>
      <x:c r="I935" t="str">
        <x:v>Chana Dal 5kg</x:v>
      </x:c>
      <x:c r="J935" t="str">
        <x:v>Pulses</x:v>
      </x:c>
      <x:c r="K935" t="str">
        <x:v>Local Select</x:v>
      </x:c>
      <x:c r="L935" s="22" t="n">
        <x:v>520</x:v>
      </x:c>
      <x:c r="M935" t="n">
        <x:v>17</x:v>
      </x:c>
      <x:c r="N935" s="24" t="n">
        <x:v>0.08</x:v>
      </x:c>
      <x:c r="O935" s="22" t="n">
        <x:f>L935*M935</x:f>
        <x:v>8840</x:v>
      </x:c>
      <x:c r="P935" s="22" t="n">
        <x:f>O935*(1-N935)</x:f>
        <x:v>8132.8</x:v>
      </x:c>
      <x:c r="Q935" s="22" t="n">
        <x:v>455</x:v>
      </x:c>
      <x:c r="R935" s="22" t="n">
        <x:f>Q935*M935</x:f>
        <x:v>7735</x:v>
      </x:c>
      <x:c r="S935" s="22" t="n">
        <x:f>P935-R935</x:f>
        <x:v>397.8000000000002</x:v>
      </x:c>
      <x:c r="T935" t="str">
        <x:v>Bank Transfer</x:v>
      </x:c>
      <x:c r="U935" t="str">
        <x:v>Paid</x:v>
      </x:c>
      <x:c r="V935" t="str">
        <x:v>Cancelled</x:v>
      </x:c>
      <x:c r="W935" t="n">
        <x:v>17</x:v>
      </x:c>
      <x:c r="X935" t="str">
        <x:v>Cancelled Order</x:v>
      </x:c>
      <x:c r="Y935" t="str">
        <x:v>Field Visit</x:v>
      </x:c>
    </x:row>
    <x:row r="936">
      <x:c r="A936" t="str">
        <x:v>O000935</x:v>
      </x:c>
      <x:c r="B936" s="20" t="n">
        <x:v>46112</x:v>
      </x:c>
      <x:c r="C936" t="str">
        <x:v>C0220</x:v>
      </x:c>
      <x:c r="D936" t="str">
        <x:v>Udupi Canteen 220</x:v>
      </x:c>
      <x:c r="E936" t="str">
        <x:v>Restaurant</x:v>
      </x:c>
      <x:c r="F936" t="str">
        <x:v>Bengaluru</x:v>
      </x:c>
      <x:c r="G936" t="str">
        <x:v>Sneha</x:v>
      </x:c>
      <x:c r="H936" t="str">
        <x:v>P015</x:v>
      </x:c>
      <x:c r="I936" t="str">
        <x:v>Milk 1L</x:v>
      </x:c>
      <x:c r="J936" t="str">
        <x:v>Dairy</x:v>
      </x:c>
      <x:c r="K936" t="str">
        <x:v>Nandini</x:v>
      </x:c>
      <x:c r="L936" s="22" t="n">
        <x:v>48</x:v>
      </x:c>
      <x:c r="M936" t="n">
        <x:v>20</x:v>
      </x:c>
      <x:c r="N936" s="24" t="n">
        <x:v>0.08</x:v>
      </x:c>
      <x:c r="O936" s="22" t="n">
        <x:f>L936*M936</x:f>
        <x:v>960</x:v>
      </x:c>
      <x:c r="P936" s="22" t="n">
        <x:f>O936*(1-N936)</x:f>
        <x:v>883.2</x:v>
      </x:c>
      <x:c r="Q936" s="22" t="n">
        <x:v>43</x:v>
      </x:c>
      <x:c r="R936" s="22" t="n">
        <x:f>Q936*M936</x:f>
        <x:v>860</x:v>
      </x:c>
      <x:c r="S936" s="22" t="n">
        <x:f>P936-R936</x:f>
        <x:v>23.200000000000045</x:v>
      </x:c>
      <x:c r="T936" t="str">
        <x:v>Cash</x:v>
      </x:c>
      <x:c r="U936" t="str">
        <x:v>Pending</x:v>
      </x:c>
      <x:c r="V936" t="str">
        <x:v>Delivered</x:v>
      </x:c>
      <x:c r="W936" t="n">
        <x:v>0</x:v>
      </x:c>
      <x:c r="X936" t="str"/>
      <x:c r="Y936" t="str">
        <x:v>Field Visit</x:v>
      </x:c>
    </x:row>
    <x:row r="937">
      <x:c r="A937" t="str">
        <x:v>O000936</x:v>
      </x:c>
      <x:c r="B937" s="20" t="n">
        <x:v>45764</x:v>
      </x:c>
      <x:c r="C937" t="str">
        <x:v>C0139</x:v>
      </x:c>
      <x:c r="D937" t="str">
        <x:v>Classic Hotel 139</x:v>
      </x:c>
      <x:c r="E937" t="str">
        <x:v>Cafe</x:v>
      </x:c>
      <x:c r="F937" t="str">
        <x:v>Mysuru</x:v>
      </x:c>
      <x:c r="G937" t="str">
        <x:v>Vikram</x:v>
      </x:c>
      <x:c r="H937" t="str">
        <x:v>P033</x:v>
      </x:c>
      <x:c r="I937" t="str">
        <x:v>Turmeric Powder 1kg</x:v>
      </x:c>
      <x:c r="J937" t="str">
        <x:v>Spices</x:v>
      </x:c>
      <x:c r="K937" t="str">
        <x:v>Everest</x:v>
      </x:c>
      <x:c r="L937" s="22" t="n">
        <x:v>310</x:v>
      </x:c>
      <x:c r="M937" t="n">
        <x:v>4</x:v>
      </x:c>
      <x:c r="N937" s="24" t="n">
        <x:v>0.02</x:v>
      </x:c>
      <x:c r="O937" s="22" t="n">
        <x:f>L937*M937</x:f>
        <x:v>1240</x:v>
      </x:c>
      <x:c r="P937" s="22" t="n">
        <x:f>O937*(1-N937)</x:f>
        <x:v>1215.2</x:v>
      </x:c>
      <x:c r="Q937" s="22" t="n">
        <x:v>270</x:v>
      </x:c>
      <x:c r="R937" s="22" t="n">
        <x:f>Q937*M937</x:f>
        <x:v>1080</x:v>
      </x:c>
      <x:c r="S937" s="22" t="n">
        <x:f>P937-R937</x:f>
        <x:v>135.20000000000005</x:v>
      </x:c>
      <x:c r="T937" t="str">
        <x:v>Credit</x:v>
      </x:c>
      <x:c r="U937" t="str">
        <x:v>Paid</x:v>
      </x:c>
      <x:c r="V937" t="str">
        <x:v>Delayed</x:v>
      </x:c>
      <x:c r="W937" t="n">
        <x:v>0</x:v>
      </x:c>
      <x:c r="X937" t="str"/>
      <x:c r="Y937" t="str">
        <x:v>WhatsApp</x:v>
      </x:c>
    </x:row>
    <x:row r="938">
      <x:c r="A938" t="str">
        <x:v>O000937</x:v>
      </x:c>
      <x:c r="B938" s="20" t="n">
        <x:v>46191</x:v>
      </x:c>
      <x:c r="C938" t="str">
        <x:v>C0053</x:v>
      </x:c>
      <x:c r="D938" t="str">
        <x:v>Fresh Cafe 53</x:v>
      </x:c>
      <x:c r="E938" t="str">
        <x:v>Supermarket</x:v>
      </x:c>
      <x:c r="F938" t="str">
        <x:v>Mangaluru</x:v>
      </x:c>
      <x:c r="G938" t="str">
        <x:v>Megha</x:v>
      </x:c>
      <x:c r="H938" t="str">
        <x:v>P009</x:v>
      </x:c>
      <x:c r="I938" t="str">
        <x:v>Groundnut Oil 5L</x:v>
      </x:c>
      <x:c r="J938" t="str">
        <x:v>Edible Oil</x:v>
      </x:c>
      <x:c r="K938" t="str">
        <x:v>Dhara</x:v>
      </x:c>
      <x:c r="L938" s="22" t="n">
        <x:v>890</x:v>
      </x:c>
      <x:c r="M938" t="n">
        <x:v>15</x:v>
      </x:c>
      <x:c r="N938" s="24" t="n">
        <x:v>0.02</x:v>
      </x:c>
      <x:c r="O938" s="22" t="n">
        <x:f>L938*M938</x:f>
        <x:v>13350</x:v>
      </x:c>
      <x:c r="P938" s="22" t="n">
        <x:f>O938*(1-N938)</x:f>
        <x:v>13083</x:v>
      </x:c>
      <x:c r="Q938" s="22" t="n">
        <x:v>810</x:v>
      </x:c>
      <x:c r="R938" s="22" t="n">
        <x:f>Q938*M938</x:f>
        <x:v>12150</x:v>
      </x:c>
      <x:c r="S938" s="22" t="n">
        <x:f>P938-R938</x:f>
        <x:v>933</x:v>
      </x:c>
      <x:c r="T938" t="str">
        <x:v>Bank Transfer</x:v>
      </x:c>
      <x:c r="U938" t="str">
        <x:v>Paid</x:v>
      </x:c>
      <x:c r="V938" t="str">
        <x:v>Cancelled</x:v>
      </x:c>
      <x:c r="W938" t="n">
        <x:v>15</x:v>
      </x:c>
      <x:c r="X938" t="str">
        <x:v>Cancelled Order</x:v>
      </x:c>
      <x:c r="Y938" t="str">
        <x:v>Referral</x:v>
      </x:c>
    </x:row>
    <x:row r="939">
      <x:c r="A939" t="str">
        <x:v>O000938</x:v>
      </x:c>
      <x:c r="B939" s="20" t="n">
        <x:v>46108</x:v>
      </x:c>
      <x:c r="C939" t="str">
        <x:v>C0061</x:v>
      </x:c>
      <x:c r="D939" t="str">
        <x:v>Spice Stores 61</x:v>
      </x:c>
      <x:c r="E939" t="str">
        <x:v>Restaurant</x:v>
      </x:c>
      <x:c r="F939" t="str">
        <x:v>Tumakuru</x:v>
      </x:c>
      <x:c r="G939" t="str">
        <x:v>Ramesh</x:v>
      </x:c>
      <x:c r="H939" t="str">
        <x:v>P045</x:v>
      </x:c>
      <x:c r="I939" t="str">
        <x:v>Onion 25kg</x:v>
      </x:c>
      <x:c r="J939" t="str">
        <x:v>Fresh Produce</x:v>
      </x:c>
      <x:c r="K939" t="str">
        <x:v>Local Market</x:v>
      </x:c>
      <x:c r="L939" s="22" t="n">
        <x:v>875</x:v>
      </x:c>
      <x:c r="M939" t="n">
        <x:v>30</x:v>
      </x:c>
      <x:c r="N939" s="24" t="n">
        <x:v>0.1</x:v>
      </x:c>
      <x:c r="O939" s="22" t="n">
        <x:f>L939*M939</x:f>
        <x:v>26250</x:v>
      </x:c>
      <x:c r="P939" s="22" t="n">
        <x:f>O939*(1-N939)</x:f>
        <x:v>23625</x:v>
      </x:c>
      <x:c r="Q939" s="22" t="n">
        <x:v>760</x:v>
      </x:c>
      <x:c r="R939" s="22" t="n">
        <x:f>Q939*M939</x:f>
        <x:v>22800</x:v>
      </x:c>
      <x:c r="S939" s="22" t="n">
        <x:f>P939-R939</x:f>
        <x:v>825</x:v>
      </x:c>
      <x:c r="T939" t="str">
        <x:v>UPI</x:v>
      </x:c>
      <x:c r="U939" t="str">
        <x:v>Paid</x:v>
      </x:c>
      <x:c r="V939" t="str">
        <x:v>Delivered</x:v>
      </x:c>
      <x:c r="W939" t="n">
        <x:v>0</x:v>
      </x:c>
      <x:c r="X939" t="str"/>
      <x:c r="Y939" t="str">
        <x:v>Existing Customer</x:v>
      </x:c>
    </x:row>
    <x:row r="940">
      <x:c r="A940" t="str">
        <x:v>O000939</x:v>
      </x:c>
      <x:c r="B940" s="20" t="n">
        <x:v>45719</x:v>
      </x:c>
      <x:c r="C940" t="str">
        <x:v>C0212</x:v>
      </x:c>
      <x:c r="D940" t="str">
        <x:v>Classic Restaurant 212</x:v>
      </x:c>
      <x:c r="E940" t="str">
        <x:v>Restaurant</x:v>
      </x:c>
      <x:c r="F940" t="str">
        <x:v>Mysuru</x:v>
      </x:c>
      <x:c r="G940" t="str">
        <x:v>Vikram</x:v>
      </x:c>
      <x:c r="H940" t="str">
        <x:v>P006</x:v>
      </x:c>
      <x:c r="I940" t="str">
        <x:v>Moong Dal 5kg</x:v>
      </x:c>
      <x:c r="J940" t="str">
        <x:v>Pulses</x:v>
      </x:c>
      <x:c r="K940" t="str">
        <x:v>Local Select</x:v>
      </x:c>
      <x:c r="L940" s="22" t="n">
        <x:v>610</x:v>
      </x:c>
      <x:c r="M940" t="n">
        <x:v>18</x:v>
      </x:c>
      <x:c r="N940" s="24" t="n">
        <x:v>0.08</x:v>
      </x:c>
      <x:c r="O940" s="22" t="n">
        <x:f>L940*M940</x:f>
        <x:v>10980</x:v>
      </x:c>
      <x:c r="P940" s="22" t="n">
        <x:f>O940*(1-N940)</x:f>
        <x:v>10101.6</x:v>
      </x:c>
      <x:c r="Q940" s="22" t="n">
        <x:v>540</x:v>
      </x:c>
      <x:c r="R940" s="22" t="n">
        <x:f>Q940*M940</x:f>
        <x:v>9720</x:v>
      </x:c>
      <x:c r="S940" s="22" t="n">
        <x:f>P940-R940</x:f>
        <x:v>381.60000000000036</x:v>
      </x:c>
      <x:c r="T940" t="str">
        <x:v>Credit</x:v>
      </x:c>
      <x:c r="U940" t="str">
        <x:v>Paid</x:v>
      </x:c>
      <x:c r="V940" t="str">
        <x:v>Delivered</x:v>
      </x:c>
      <x:c r="W940" t="n">
        <x:v>0</x:v>
      </x:c>
      <x:c r="X940" t="str"/>
      <x:c r="Y940" t="str">
        <x:v>Outbound Call</x:v>
      </x:c>
    </x:row>
    <x:row r="941">
      <x:c r="A941" t="str">
        <x:v>O000940</x:v>
      </x:c>
      <x:c r="B941" s="20" t="n">
        <x:v>46099</x:v>
      </x:c>
      <x:c r="C941" t="str">
        <x:v>C0098</x:v>
      </x:c>
      <x:c r="D941" t="str">
        <x:v>City Stores 98</x:v>
      </x:c>
      <x:c r="E941" t="str">
        <x:v>Canteen</x:v>
      </x:c>
      <x:c r="F941" t="str">
        <x:v>Mangaluru</x:v>
      </x:c>
      <x:c r="G941" t="str">
        <x:v>Imran</x:v>
      </x:c>
      <x:c r="H941" t="str">
        <x:v>P012</x:v>
      </x:c>
      <x:c r="I941" t="str">
        <x:v>Maida 10kg</x:v>
      </x:c>
      <x:c r="J941" t="str">
        <x:v>Flour</x:v>
      </x:c>
      <x:c r="K941" t="str">
        <x:v>Aashirvaad</x:v>
      </x:c>
      <x:c r="L941" s="22" t="n">
        <x:v>520</x:v>
      </x:c>
      <x:c r="M941" t="n">
        <x:v>35</x:v>
      </x:c>
      <x:c r="N941" s="24" t="n">
        <x:v>0</x:v>
      </x:c>
      <x:c r="O941" s="22" t="n">
        <x:f>L941*M941</x:f>
        <x:v>18200</x:v>
      </x:c>
      <x:c r="P941" s="22" t="n">
        <x:f>O941*(1-N941)</x:f>
        <x:v>18200</x:v>
      </x:c>
      <x:c r="Q941" s="22" t="n">
        <x:v>460</x:v>
      </x:c>
      <x:c r="R941" s="22" t="n">
        <x:f>Q941*M941</x:f>
        <x:v>16100</x:v>
      </x:c>
      <x:c r="S941" s="22" t="n">
        <x:f>P941-R941</x:f>
        <x:v>2100</x:v>
      </x:c>
      <x:c r="T941" t="str">
        <x:v>Cash</x:v>
      </x:c>
      <x:c r="U941" t="str">
        <x:v>Paid</x:v>
      </x:c>
      <x:c r="V941" t="str">
        <x:v>Delivered</x:v>
      </x:c>
      <x:c r="W941" t="n">
        <x:v>0</x:v>
      </x:c>
      <x:c r="X941" t="str"/>
      <x:c r="Y941" t="str">
        <x:v>Existing Customer</x:v>
      </x:c>
    </x:row>
    <x:row r="942">
      <x:c r="A942" t="str">
        <x:v>O000941</x:v>
      </x:c>
      <x:c r="B942" s="20" t="n">
        <x:v>46263</x:v>
      </x:c>
      <x:c r="C942" t="str">
        <x:v>C0087</x:v>
      </x:c>
      <x:c r="D942" t="str">
        <x:v>Namma Kitchen 87</x:v>
      </x:c>
      <x:c r="E942" t="str">
        <x:v>Kirana</x:v>
      </x:c>
      <x:c r="F942" t="str">
        <x:v>Bengaluru</x:v>
      </x:c>
      <x:c r="G942" t="str">
        <x:v>Priya</x:v>
      </x:c>
      <x:c r="H942" t="str">
        <x:v>P017</x:v>
      </x:c>
      <x:c r="I942" t="str">
        <x:v>Butter 500g</x:v>
      </x:c>
      <x:c r="J942" t="str">
        <x:v>Dairy</x:v>
      </x:c>
      <x:c r="K942" t="str">
        <x:v>Amul</x:v>
      </x:c>
      <x:c r="L942" s="22" t="n">
        <x:v>285</x:v>
      </x:c>
      <x:c r="M942" t="n">
        <x:v>14</x:v>
      </x:c>
      <x:c r="N942" s="24" t="n">
        <x:v>0.05</x:v>
      </x:c>
      <x:c r="O942" s="22" t="n">
        <x:f>L942*M942</x:f>
        <x:v>3990</x:v>
      </x:c>
      <x:c r="P942" s="22" t="n">
        <x:f>O942*(1-N942)</x:f>
        <x:v>3790.5</x:v>
      </x:c>
      <x:c r="Q942" s="22" t="n">
        <x:v>258</x:v>
      </x:c>
      <x:c r="R942" s="22" t="n">
        <x:f>Q942*M942</x:f>
        <x:v>3612</x:v>
      </x:c>
      <x:c r="S942" s="22" t="n">
        <x:f>P942-R942</x:f>
        <x:v>178.5</x:v>
      </x:c>
      <x:c r="T942" t="str">
        <x:v>Cash</x:v>
      </x:c>
      <x:c r="U942" t="str">
        <x:v>Pending</x:v>
      </x:c>
      <x:c r="V942" t="str">
        <x:v>Delayed</x:v>
      </x:c>
      <x:c r="W942" t="n">
        <x:v>0</x:v>
      </x:c>
      <x:c r="X942" t="str"/>
      <x:c r="Y942" t="str">
        <x:v>WhatsApp</x:v>
      </x:c>
    </x:row>
    <x:row r="943">
      <x:c r="A943" t="str">
        <x:v>O000942</x:v>
      </x:c>
      <x:c r="B943" s="20" t="n">
        <x:v>45716</x:v>
      </x:c>
      <x:c r="C943" t="str">
        <x:v>C0201</x:v>
      </x:c>
      <x:c r="D943" t="str">
        <x:v>Metro Hotel 201</x:v>
      </x:c>
      <x:c r="E943" t="str">
        <x:v>Kirana</x:v>
      </x:c>
      <x:c r="F943" t="str">
        <x:v>Mysuru</x:v>
      </x:c>
      <x:c r="G943" t="str">
        <x:v>Imran</x:v>
      </x:c>
      <x:c r="H943" t="str">
        <x:v>P047</x:v>
      </x:c>
      <x:c r="I943" t="str">
        <x:v>Tomato 25kg</x:v>
      </x:c>
      <x:c r="J943" t="str">
        <x:v>Fresh Produce</x:v>
      </x:c>
      <x:c r="K943" t="str">
        <x:v>Local Market</x:v>
      </x:c>
      <x:c r="L943" s="22" t="n">
        <x:v>950</x:v>
      </x:c>
      <x:c r="M943" t="n">
        <x:v>7</x:v>
      </x:c>
      <x:c r="N943" s="24" t="n">
        <x:v>0.03</x:v>
      </x:c>
      <x:c r="O943" s="22" t="n">
        <x:f>L943*M943</x:f>
        <x:v>6650</x:v>
      </x:c>
      <x:c r="P943" s="22" t="n">
        <x:f>O943*(1-N943)</x:f>
        <x:v>6450.5</x:v>
      </x:c>
      <x:c r="Q943" s="22" t="n">
        <x:v>810</x:v>
      </x:c>
      <x:c r="R943" s="22" t="n">
        <x:f>Q943*M943</x:f>
        <x:v>5670</x:v>
      </x:c>
      <x:c r="S943" s="22" t="n">
        <x:f>P943-R943</x:f>
        <x:v>780.5</x:v>
      </x:c>
      <x:c r="T943" t="str">
        <x:v>Cash</x:v>
      </x:c>
      <x:c r="U943" t="str">
        <x:v>Pending</x:v>
      </x:c>
      <x:c r="V943" t="str">
        <x:v>Delayed</x:v>
      </x:c>
      <x:c r="W943" t="n">
        <x:v>0</x:v>
      </x:c>
      <x:c r="X943" t="str"/>
      <x:c r="Y943" t="str">
        <x:v>WhatsApp</x:v>
      </x:c>
    </x:row>
    <x:row r="944">
      <x:c r="A944" t="str">
        <x:v>O000943</x:v>
      </x:c>
      <x:c r="B944" s="20" t="n">
        <x:v>46189</x:v>
      </x:c>
      <x:c r="C944" t="str">
        <x:v>C0185</x:v>
      </x:c>
      <x:c r="D944" t="str">
        <x:v>Mysore Foods 185</x:v>
      </x:c>
      <x:c r="E944" t="str">
        <x:v>Restaurant</x:v>
      </x:c>
      <x:c r="F944" t="str">
        <x:v>Mysuru</x:v>
      </x:c>
      <x:c r="G944" t="str">
        <x:v>Sneha</x:v>
      </x:c>
      <x:c r="H944" t="str">
        <x:v>P037</x:v>
      </x:c>
      <x:c r="I944" t="str">
        <x:v>Frozen Peas 1kg</x:v>
      </x:c>
      <x:c r="J944" t="str">
        <x:v>Frozen</x:v>
      </x:c>
      <x:c r="K944" t="str">
        <x:v>Safal</x:v>
      </x:c>
      <x:c r="L944" s="22" t="n">
        <x:v>155</x:v>
      </x:c>
      <x:c r="M944" t="n">
        <x:v>17</x:v>
      </x:c>
      <x:c r="N944" s="24" t="n">
        <x:v>0</x:v>
      </x:c>
      <x:c r="O944" s="22" t="n">
        <x:f>L944*M944</x:f>
        <x:v>2635</x:v>
      </x:c>
      <x:c r="P944" s="22" t="n">
        <x:f>O944*(1-N944)</x:f>
        <x:v>2635</x:v>
      </x:c>
      <x:c r="Q944" s="22" t="n">
        <x:v>138</x:v>
      </x:c>
      <x:c r="R944" s="22" t="n">
        <x:f>Q944*M944</x:f>
        <x:v>2346</x:v>
      </x:c>
      <x:c r="S944" s="22" t="n">
        <x:f>P944-R944</x:f>
        <x:v>289</x:v>
      </x:c>
      <x:c r="T944" t="str">
        <x:v>Credit</x:v>
      </x:c>
      <x:c r="U944" t="str">
        <x:v>Paid</x:v>
      </x:c>
      <x:c r="V944" t="str">
        <x:v>Delivered</x:v>
      </x:c>
      <x:c r="W944" t="n">
        <x:v>0</x:v>
      </x:c>
      <x:c r="X944" t="str"/>
      <x:c r="Y944" t="str">
        <x:v>Outbound Call</x:v>
      </x:c>
    </x:row>
    <x:row r="945">
      <x:c r="A945" t="str">
        <x:v>O000944</x:v>
      </x:c>
      <x:c r="B945" s="20" t="n">
        <x:v>45745</x:v>
      </x:c>
      <x:c r="C945" t="str">
        <x:v>C0175</x:v>
      </x:c>
      <x:c r="D945" t="str">
        <x:v>Namma Mart 175</x:v>
      </x:c>
      <x:c r="E945" t="str">
        <x:v>Hotel</x:v>
      </x:c>
      <x:c r="F945" t="str">
        <x:v>Davanagere</x:v>
      </x:c>
      <x:c r="G945" t="str">
        <x:v>Sneha</x:v>
      </x:c>
      <x:c r="H945" t="str">
        <x:v>P018</x:v>
      </x:c>
      <x:c r="I945" t="str">
        <x:v>Paneer 1kg</x:v>
      </x:c>
      <x:c r="J945" t="str">
        <x:v>Dairy</x:v>
      </x:c>
      <x:c r="K945" t="str">
        <x:v>Milky Mist</x:v>
      </x:c>
      <x:c r="L945" s="22" t="n">
        <x:v>410</x:v>
      </x:c>
      <x:c r="M945" t="n">
        <x:v>16</x:v>
      </x:c>
      <x:c r="N945" s="24" t="n">
        <x:v>0.05</x:v>
      </x:c>
      <x:c r="O945" s="22" t="n">
        <x:f>L945*M945</x:f>
        <x:v>6560</x:v>
      </x:c>
      <x:c r="P945" s="22" t="n">
        <x:f>O945*(1-N945)</x:f>
        <x:v>6232</x:v>
      </x:c>
      <x:c r="Q945" s="22" t="n">
        <x:v>370</x:v>
      </x:c>
      <x:c r="R945" s="22" t="n">
        <x:f>Q945*M945</x:f>
        <x:v>5920</x:v>
      </x:c>
      <x:c r="S945" s="22" t="n">
        <x:f>P945-R945</x:f>
        <x:v>312</x:v>
      </x:c>
      <x:c r="T945" t="str">
        <x:v>Cash</x:v>
      </x:c>
      <x:c r="U945" t="str">
        <x:v>Paid</x:v>
      </x:c>
      <x:c r="V945" t="str">
        <x:v>Delivered</x:v>
      </x:c>
      <x:c r="W945" t="n">
        <x:v>3</x:v>
      </x:c>
      <x:c r="X945" t="str">
        <x:v>Quality Issue</x:v>
      </x:c>
      <x:c r="Y945" t="str">
        <x:v>Field Visit</x:v>
      </x:c>
    </x:row>
    <x:row r="946">
      <x:c r="A946" t="str">
        <x:v>O000945</x:v>
      </x:c>
      <x:c r="B946" s="20" t="n">
        <x:v>46280</x:v>
      </x:c>
      <x:c r="C946" t="str">
        <x:v>C0201</x:v>
      </x:c>
      <x:c r="D946" t="str">
        <x:v>Metro Hotel 201</x:v>
      </x:c>
      <x:c r="E946" t="str">
        <x:v>Kirana</x:v>
      </x:c>
      <x:c r="F946" t="str">
        <x:v>Mysuru</x:v>
      </x:c>
      <x:c r="G946" t="str">
        <x:v>Imran</x:v>
      </x:c>
      <x:c r="H946" t="str">
        <x:v>P042</x:v>
      </x:c>
      <x:c r="I946" t="str">
        <x:v>Eggs 30pc Tray</x:v>
      </x:c>
      <x:c r="J946" t="str">
        <x:v>Protein</x:v>
      </x:c>
      <x:c r="K946" t="str">
        <x:v>Farm Fresh</x:v>
      </x:c>
      <x:c r="L946" s="22" t="n">
        <x:v>195</x:v>
      </x:c>
      <x:c r="M946" t="n">
        <x:v>1</x:v>
      </x:c>
      <x:c r="N946" s="24" t="n">
        <x:v>0</x:v>
      </x:c>
      <x:c r="O946" s="22" t="n">
        <x:f>L946*M946</x:f>
        <x:v>195</x:v>
      </x:c>
      <x:c r="P946" s="22" t="n">
        <x:f>O946*(1-N946)</x:f>
        <x:v>195</x:v>
      </x:c>
      <x:c r="Q946" s="22" t="n">
        <x:v>170</x:v>
      </x:c>
      <x:c r="R946" s="22" t="n">
        <x:f>Q946*M946</x:f>
        <x:v>170</x:v>
      </x:c>
      <x:c r="S946" s="22" t="n">
        <x:f>P946-R946</x:f>
        <x:v>25</x:v>
      </x:c>
      <x:c r="T946" t="str">
        <x:v>Cash</x:v>
      </x:c>
      <x:c r="U946" t="str">
        <x:v>Pending</x:v>
      </x:c>
      <x:c r="V946" t="str">
        <x:v>Delivered</x:v>
      </x:c>
      <x:c r="W946" t="n">
        <x:v>0</x:v>
      </x:c>
      <x:c r="X946" t="str"/>
      <x:c r="Y946" t="str">
        <x:v>Outbound Call</x:v>
      </x:c>
    </x:row>
    <x:row r="947">
      <x:c r="A947" t="str">
        <x:v>O000946</x:v>
      </x:c>
      <x:c r="B947" s="20" t="n">
        <x:v>46025</x:v>
      </x:c>
      <x:c r="C947" t="str">
        <x:v>C0120</x:v>
      </x:c>
      <x:c r="D947" t="str">
        <x:v>Foodie Foods 120</x:v>
      </x:c>
      <x:c r="E947" t="str">
        <x:v>Hotel</x:v>
      </x:c>
      <x:c r="F947" t="str">
        <x:v>Hubballi</x:v>
      </x:c>
      <x:c r="G947" t="str">
        <x:v>Arjun</x:v>
      </x:c>
      <x:c r="H947" t="str">
        <x:v>P003</x:v>
      </x:c>
      <x:c r="I947" t="str">
        <x:v>Basmati Rice 5kg</x:v>
      </x:c>
      <x:c r="J947" t="str">
        <x:v>Staples</x:v>
      </x:c>
      <x:c r="K947" t="str">
        <x:v>India Gate</x:v>
      </x:c>
      <x:c r="L947" s="22" t="n">
        <x:v>690</x:v>
      </x:c>
      <x:c r="M947" t="n">
        <x:v>31</x:v>
      </x:c>
      <x:c r="N947" s="24" t="n">
        <x:v>0.05</x:v>
      </x:c>
      <x:c r="O947" s="22" t="n">
        <x:f>L947*M947</x:f>
        <x:v>21390</x:v>
      </x:c>
      <x:c r="P947" s="22" t="n">
        <x:f>O947*(1-N947)</x:f>
        <x:v>20320.5</x:v>
      </x:c>
      <x:c r="Q947" s="22" t="n">
        <x:v>610</x:v>
      </x:c>
      <x:c r="R947" s="22" t="n">
        <x:f>Q947*M947</x:f>
        <x:v>18910</x:v>
      </x:c>
      <x:c r="S947" s="22" t="n">
        <x:f>P947-R947</x:f>
        <x:v>1410.5</x:v>
      </x:c>
      <x:c r="T947" t="str">
        <x:v>Bank Transfer</x:v>
      </x:c>
      <x:c r="U947" t="str">
        <x:v>Paid</x:v>
      </x:c>
      <x:c r="V947" t="str">
        <x:v>Delayed</x:v>
      </x:c>
      <x:c r="W947" t="n">
        <x:v>0</x:v>
      </x:c>
      <x:c r="X947" t="str"/>
      <x:c r="Y947" t="str">
        <x:v>Outbound Call</x:v>
      </x:c>
    </x:row>
    <x:row r="948">
      <x:c r="A948" t="str">
        <x:v>O000947</x:v>
      </x:c>
      <x:c r="B948" s="20" t="n">
        <x:v>45979</x:v>
      </x:c>
      <x:c r="C948" t="str">
        <x:v>C0157</x:v>
      </x:c>
      <x:c r="D948" t="str">
        <x:v>Fresh Canteen 157</x:v>
      </x:c>
      <x:c r="E948" t="str">
        <x:v>Kirana</x:v>
      </x:c>
      <x:c r="F948" t="str">
        <x:v>Mangaluru</x:v>
      </x:c>
      <x:c r="G948" t="str">
        <x:v>Priya</x:v>
      </x:c>
      <x:c r="H948" t="str">
        <x:v>P036</x:v>
      </x:c>
      <x:c r="I948" t="str">
        <x:v>Garam Masala 500g</x:v>
      </x:c>
      <x:c r="J948" t="str">
        <x:v>Spices</x:v>
      </x:c>
      <x:c r="K948" t="str">
        <x:v>MDH</x:v>
      </x:c>
      <x:c r="L948" s="22" t="n">
        <x:v>265</x:v>
      </x:c>
      <x:c r="M948" t="n">
        <x:v>5</x:v>
      </x:c>
      <x:c r="N948" s="24" t="n">
        <x:v>0.03</x:v>
      </x:c>
      <x:c r="O948" s="22" t="n">
        <x:f>L948*M948</x:f>
        <x:v>1325</x:v>
      </x:c>
      <x:c r="P948" s="22" t="n">
        <x:f>O948*(1-N948)</x:f>
        <x:v>1285.25</x:v>
      </x:c>
      <x:c r="Q948" s="22" t="n">
        <x:v>230</x:v>
      </x:c>
      <x:c r="R948" s="22" t="n">
        <x:f>Q948*M948</x:f>
        <x:v>1150</x:v>
      </x:c>
      <x:c r="S948" s="22" t="n">
        <x:f>P948-R948</x:f>
        <x:v>135.25</x:v>
      </x:c>
      <x:c r="T948" t="str">
        <x:v>Cash</x:v>
      </x:c>
      <x:c r="U948" t="str">
        <x:v>Pending</x:v>
      </x:c>
      <x:c r="V948" t="str">
        <x:v>Delivered</x:v>
      </x:c>
      <x:c r="W948" t="n">
        <x:v>0</x:v>
      </x:c>
      <x:c r="X948" t="str"/>
      <x:c r="Y948" t="str">
        <x:v>WhatsApp</x:v>
      </x:c>
    </x:row>
    <x:row r="949">
      <x:c r="A949" t="str">
        <x:v>O000948</x:v>
      </x:c>
      <x:c r="B949" s="20" t="n">
        <x:v>45808</x:v>
      </x:c>
      <x:c r="C949" t="str">
        <x:v>C0162</x:v>
      </x:c>
      <x:c r="D949" t="str">
        <x:v>Udupi Foods 162</x:v>
      </x:c>
      <x:c r="E949" t="str">
        <x:v>Restaurant</x:v>
      </x:c>
      <x:c r="F949" t="str">
        <x:v>Mysuru</x:v>
      </x:c>
      <x:c r="G949" t="str">
        <x:v>Ramesh</x:v>
      </x:c>
      <x:c r="H949" t="str">
        <x:v>P012</x:v>
      </x:c>
      <x:c r="I949" t="str">
        <x:v>Maida 10kg</x:v>
      </x:c>
      <x:c r="J949" t="str">
        <x:v>Flour</x:v>
      </x:c>
      <x:c r="K949" t="str">
        <x:v>Aashirvaad</x:v>
      </x:c>
      <x:c r="L949" s="22" t="n">
        <x:v>520</x:v>
      </x:c>
      <x:c r="M949" t="n">
        <x:v>40</x:v>
      </x:c>
      <x:c r="N949" s="24" t="n">
        <x:v>0.05</x:v>
      </x:c>
      <x:c r="O949" s="22" t="n">
        <x:f>L949*M949</x:f>
        <x:v>20800</x:v>
      </x:c>
      <x:c r="P949" s="22" t="n">
        <x:f>O949*(1-N949)</x:f>
        <x:v>19760</x:v>
      </x:c>
      <x:c r="Q949" s="22" t="n">
        <x:v>460</x:v>
      </x:c>
      <x:c r="R949" s="22" t="n">
        <x:f>Q949*M949</x:f>
        <x:v>18400</x:v>
      </x:c>
      <x:c r="S949" s="22" t="n">
        <x:f>P949-R949</x:f>
        <x:v>1360</x:v>
      </x:c>
      <x:c r="T949" t="str">
        <x:v>Bank Transfer</x:v>
      </x:c>
      <x:c r="U949" t="str">
        <x:v>Paid</x:v>
      </x:c>
      <x:c r="V949" t="str">
        <x:v>Delivered</x:v>
      </x:c>
      <x:c r="W949" t="n">
        <x:v>0</x:v>
      </x:c>
      <x:c r="X949" t="str"/>
      <x:c r="Y949" t="str">
        <x:v>Existing Customer</x:v>
      </x:c>
    </x:row>
    <x:row r="950">
      <x:c r="A950" t="str">
        <x:v>O000949</x:v>
      </x:c>
      <x:c r="B950" s="20" t="n">
        <x:v>45700</x:v>
      </x:c>
      <x:c r="C950" t="str">
        <x:v>C0149</x:v>
      </x:c>
      <x:c r="D950" t="str">
        <x:v>Annapurna Hotel 149</x:v>
      </x:c>
      <x:c r="E950" t="str">
        <x:v>Cafe</x:v>
      </x:c>
      <x:c r="F950" t="str">
        <x:v>Tumakuru</x:v>
      </x:c>
      <x:c r="G950" t="str">
        <x:v>Megha</x:v>
      </x:c>
      <x:c r="H950" t="str">
        <x:v>P021</x:v>
      </x:c>
      <x:c r="I950" t="str">
        <x:v>Instant Coffee 200g</x:v>
      </x:c>
      <x:c r="J950" t="str">
        <x:v>Beverage</x:v>
      </x:c>
      <x:c r="K950" t="str">
        <x:v>Nescafe</x:v>
      </x:c>
      <x:c r="L950" s="22" t="n">
        <x:v>460</x:v>
      </x:c>
      <x:c r="M950" t="n">
        <x:v>36</x:v>
      </x:c>
      <x:c r="N950" s="24" t="n">
        <x:v>0.05</x:v>
      </x:c>
      <x:c r="O950" s="22" t="n">
        <x:f>L950*M950</x:f>
        <x:v>16560</x:v>
      </x:c>
      <x:c r="P950" s="22" t="n">
        <x:f>O950*(1-N950)</x:f>
        <x:v>15732</x:v>
      </x:c>
      <x:c r="Q950" s="22" t="n">
        <x:v>410</x:v>
      </x:c>
      <x:c r="R950" s="22" t="n">
        <x:f>Q950*M950</x:f>
        <x:v>14760</x:v>
      </x:c>
      <x:c r="S950" s="22" t="n">
        <x:f>P950-R950</x:f>
        <x:v>972</x:v>
      </x:c>
      <x:c r="T950" t="str">
        <x:v>UPI</x:v>
      </x:c>
      <x:c r="U950" t="str">
        <x:v>Overdue</x:v>
      </x:c>
      <x:c r="V950" t="str">
        <x:v>Delivered</x:v>
      </x:c>
      <x:c r="W950" t="n">
        <x:v>0</x:v>
      </x:c>
      <x:c r="X950" t="str"/>
      <x:c r="Y950" t="str">
        <x:v>Outbound Call</x:v>
      </x:c>
    </x:row>
    <x:row r="951">
      <x:c r="A951" t="str">
        <x:v>O000950</x:v>
      </x:c>
      <x:c r="B951" s="20" t="n">
        <x:v>46211</x:v>
      </x:c>
      <x:c r="C951" t="str">
        <x:v>C0220</x:v>
      </x:c>
      <x:c r="D951" t="str">
        <x:v>Udupi Canteen 220</x:v>
      </x:c>
      <x:c r="E951" t="str">
        <x:v>Restaurant</x:v>
      </x:c>
      <x:c r="F951" t="str">
        <x:v>Bengaluru</x:v>
      </x:c>
      <x:c r="G951" t="str">
        <x:v>Sneha</x:v>
      </x:c>
      <x:c r="H951" t="str">
        <x:v>P023</x:v>
      </x:c>
      <x:c r="I951" t="str">
        <x:v>Cola 750ml</x:v>
      </x:c>
      <x:c r="J951" t="str">
        <x:v>Beverage</x:v>
      </x:c>
      <x:c r="K951" t="str">
        <x:v>Coca-Cola</x:v>
      </x:c>
      <x:c r="L951" s="22" t="n">
        <x:v>38</x:v>
      </x:c>
      <x:c r="M951" t="n">
        <x:v>3</x:v>
      </x:c>
      <x:c r="N951" s="24" t="n">
        <x:v>0.05</x:v>
      </x:c>
      <x:c r="O951" s="22" t="n">
        <x:f>L951*M951</x:f>
        <x:v>114</x:v>
      </x:c>
      <x:c r="P951" s="22" t="n">
        <x:f>O951*(1-N951)</x:f>
        <x:v>108.3</x:v>
      </x:c>
      <x:c r="Q951" s="22" t="n">
        <x:v>31</x:v>
      </x:c>
      <x:c r="R951" s="22" t="n">
        <x:f>Q951*M951</x:f>
        <x:v>93</x:v>
      </x:c>
      <x:c r="S951" s="22" t="n">
        <x:f>P951-R951</x:f>
        <x:v>15.299999999999997</x:v>
      </x:c>
      <x:c r="T951" t="str">
        <x:v>Cash</x:v>
      </x:c>
      <x:c r="U951" t="str">
        <x:v>Paid</x:v>
      </x:c>
      <x:c r="V951" t="str">
        <x:v>Delayed</x:v>
      </x:c>
      <x:c r="W951" t="n">
        <x:v>0</x:v>
      </x:c>
      <x:c r="X951" t="str"/>
      <x:c r="Y951" t="str">
        <x:v>WhatsApp</x:v>
      </x:c>
    </x:row>
    <x:row r="952">
      <x:c r="A952" t="str">
        <x:v>O000951</x:v>
      </x:c>
      <x:c r="B952" s="20" t="n">
        <x:v>45866</x:v>
      </x:c>
      <x:c r="C952" t="str">
        <x:v>C0020</x:v>
      </x:c>
      <x:c r="D952" t="str">
        <x:v>Shree Foods 20</x:v>
      </x:c>
      <x:c r="E952" t="str">
        <x:v>Restaurant</x:v>
      </x:c>
      <x:c r="F952" t="str">
        <x:v>Mysuru</x:v>
      </x:c>
      <x:c r="G952" t="str">
        <x:v>Arjun</x:v>
      </x:c>
      <x:c r="H952" t="str">
        <x:v>P016</x:v>
      </x:c>
      <x:c r="I952" t="str">
        <x:v>Curd 1kg</x:v>
      </x:c>
      <x:c r="J952" t="str">
        <x:v>Dairy</x:v>
      </x:c>
      <x:c r="K952" t="str">
        <x:v>Nandini</x:v>
      </x:c>
      <x:c r="L952" s="22" t="n">
        <x:v>72</x:v>
      </x:c>
      <x:c r="M952" t="n">
        <x:v>21</x:v>
      </x:c>
      <x:c r="N952" s="24" t="n">
        <x:v>0.03</x:v>
      </x:c>
      <x:c r="O952" s="22" t="n">
        <x:f>L952*M952</x:f>
        <x:v>1512</x:v>
      </x:c>
      <x:c r="P952" s="22" t="n">
        <x:f>O952*(1-N952)</x:f>
        <x:v>1466.6399999999999</x:v>
      </x:c>
      <x:c r="Q952" s="22" t="n">
        <x:v>64</x:v>
      </x:c>
      <x:c r="R952" s="22" t="n">
        <x:f>Q952*M952</x:f>
        <x:v>1344</x:v>
      </x:c>
      <x:c r="S952" s="22" t="n">
        <x:f>P952-R952</x:f>
        <x:v>122.63999999999987</x:v>
      </x:c>
      <x:c r="T952" t="str">
        <x:v>Credit</x:v>
      </x:c>
      <x:c r="U952" t="str">
        <x:v>Paid</x:v>
      </x:c>
      <x:c r="V952" t="str">
        <x:v>Delivered</x:v>
      </x:c>
      <x:c r="W952" t="n">
        <x:v>0</x:v>
      </x:c>
      <x:c r="X952" t="str"/>
      <x:c r="Y952" t="str">
        <x:v>Referral</x:v>
      </x:c>
    </x:row>
    <x:row r="953">
      <x:c r="A953" t="str">
        <x:v>O000952</x:v>
      </x:c>
      <x:c r="B953" s="20" t="n">
        <x:v>46001</x:v>
      </x:c>
      <x:c r="C953" t="str">
        <x:v>C0156</x:v>
      </x:c>
      <x:c r="D953" t="str">
        <x:v>Metro Stores 156</x:v>
      </x:c>
      <x:c r="E953" t="str">
        <x:v>Hotel</x:v>
      </x:c>
      <x:c r="F953" t="str">
        <x:v>Tumakuru</x:v>
      </x:c>
      <x:c r="G953" t="str">
        <x:v>Ramesh</x:v>
      </x:c>
      <x:c r="H953" t="str">
        <x:v>P024</x:v>
      </x:c>
      <x:c r="I953" t="str">
        <x:v>Orange Drink 1L</x:v>
      </x:c>
      <x:c r="J953" t="str">
        <x:v>Beverage</x:v>
      </x:c>
      <x:c r="K953" t="str">
        <x:v>Minute Maid</x:v>
      </x:c>
      <x:c r="L953" s="22" t="n">
        <x:v>105</x:v>
      </x:c>
      <x:c r="M953" t="n">
        <x:v>27</x:v>
      </x:c>
      <x:c r="N953" s="24" t="n">
        <x:v>0.08</x:v>
      </x:c>
      <x:c r="O953" s="22" t="n">
        <x:f>L953*M953</x:f>
        <x:v>2835</x:v>
      </x:c>
      <x:c r="P953" s="22" t="n">
        <x:f>O953*(1-N953)</x:f>
        <x:v>2608.2000000000003</x:v>
      </x:c>
      <x:c r="Q953" s="22" t="n">
        <x:v>88</x:v>
      </x:c>
      <x:c r="R953" s="22" t="n">
        <x:f>Q953*M953</x:f>
        <x:v>2376</x:v>
      </x:c>
      <x:c r="S953" s="22" t="n">
        <x:f>P953-R953</x:f>
        <x:v>232.20000000000027</x:v>
      </x:c>
      <x:c r="T953" t="str">
        <x:v>Cash</x:v>
      </x:c>
      <x:c r="U953" t="str">
        <x:v>Paid</x:v>
      </x:c>
      <x:c r="V953" t="str">
        <x:v>Delivered</x:v>
      </x:c>
      <x:c r="W953" t="n">
        <x:v>0</x:v>
      </x:c>
      <x:c r="X953" t="str"/>
      <x:c r="Y953" t="str">
        <x:v>Referral</x:v>
      </x:c>
    </x:row>
    <x:row r="954">
      <x:c r="A954" t="str">
        <x:v>O000953</x:v>
      </x:c>
      <x:c r="B954" s="20" t="n">
        <x:v>46263</x:v>
      </x:c>
      <x:c r="C954" t="str">
        <x:v>C0075</x:v>
      </x:c>
      <x:c r="D954" t="str">
        <x:v>Spice Foods 75</x:v>
      </x:c>
      <x:c r="E954" t="str">
        <x:v>Kirana</x:v>
      </x:c>
      <x:c r="F954" t="str">
        <x:v>Hubballi</x:v>
      </x:c>
      <x:c r="G954" t="str">
        <x:v>Vikram</x:v>
      </x:c>
      <x:c r="H954" t="str">
        <x:v>P010</x:v>
      </x:c>
      <x:c r="I954" t="str">
        <x:v>Sugar 25kg</x:v>
      </x:c>
      <x:c r="J954" t="str">
        <x:v>Staples</x:v>
      </x:c>
      <x:c r="K954" t="str">
        <x:v>Madhur</x:v>
      </x:c>
      <x:c r="L954" s="22" t="n">
        <x:v>1190</x:v>
      </x:c>
      <x:c r="M954" t="n">
        <x:v>2</x:v>
      </x:c>
      <x:c r="N954" s="24" t="n">
        <x:v>0.05</x:v>
      </x:c>
      <x:c r="O954" s="22" t="n">
        <x:f>L954*M954</x:f>
        <x:v>2380</x:v>
      </x:c>
      <x:c r="P954" s="22" t="n">
        <x:f>O954*(1-N954)</x:f>
        <x:v>2261</x:v>
      </x:c>
      <x:c r="Q954" s="22" t="n">
        <x:v>1080</x:v>
      </x:c>
      <x:c r="R954" s="22" t="n">
        <x:f>Q954*M954</x:f>
        <x:v>2160</x:v>
      </x:c>
      <x:c r="S954" s="22" t="n">
        <x:f>P954-R954</x:f>
        <x:v>101</x:v>
      </x:c>
      <x:c r="T954" t="str">
        <x:v>Cash</x:v>
      </x:c>
      <x:c r="U954" t="str">
        <x:v>Paid</x:v>
      </x:c>
      <x:c r="V954" t="str">
        <x:v>Cancelled</x:v>
      </x:c>
      <x:c r="W954" t="n">
        <x:v>2</x:v>
      </x:c>
      <x:c r="X954" t="str">
        <x:v>Cancelled Order</x:v>
      </x:c>
      <x:c r="Y954" t="str">
        <x:v>Existing Customer</x:v>
      </x:c>
    </x:row>
    <x:row r="955">
      <x:c r="A955" t="str">
        <x:v>O000954</x:v>
      </x:c>
      <x:c r="B955" s="20" t="n">
        <x:v>45878</x:v>
      </x:c>
      <x:c r="C955" t="str">
        <x:v>C0183</x:v>
      </x:c>
      <x:c r="D955" t="str">
        <x:v>Spice Mart 183</x:v>
      </x:c>
      <x:c r="E955" t="str">
        <x:v>Kirana</x:v>
      </x:c>
      <x:c r="F955" t="str">
        <x:v>Mangaluru</x:v>
      </x:c>
      <x:c r="G955" t="str">
        <x:v>Kavya</x:v>
      </x:c>
      <x:c r="H955" t="str">
        <x:v>P023</x:v>
      </x:c>
      <x:c r="I955" t="str">
        <x:v>Cola 750ml</x:v>
      </x:c>
      <x:c r="J955" t="str">
        <x:v>Beverage</x:v>
      </x:c>
      <x:c r="K955" t="str">
        <x:v>Coca-Cola</x:v>
      </x:c>
      <x:c r="L955" s="22" t="n">
        <x:v>38</x:v>
      </x:c>
      <x:c r="M955" t="n">
        <x:v>25</x:v>
      </x:c>
      <x:c r="N955" s="24" t="n">
        <x:v>0.05</x:v>
      </x:c>
      <x:c r="O955" s="22" t="n">
        <x:f>L955*M955</x:f>
        <x:v>950</x:v>
      </x:c>
      <x:c r="P955" s="22" t="n">
        <x:f>O955*(1-N955)</x:f>
        <x:v>902.5</x:v>
      </x:c>
      <x:c r="Q955" s="22" t="n">
        <x:v>31</x:v>
      </x:c>
      <x:c r="R955" s="22" t="n">
        <x:f>Q955*M955</x:f>
        <x:v>775</x:v>
      </x:c>
      <x:c r="S955" s="22" t="n">
        <x:f>P955-R955</x:f>
        <x:v>127.5</x:v>
      </x:c>
      <x:c r="T955" t="str">
        <x:v>UPI</x:v>
      </x:c>
      <x:c r="U955" t="str">
        <x:v>Paid</x:v>
      </x:c>
      <x:c r="V955" t="str">
        <x:v>Delivered</x:v>
      </x:c>
      <x:c r="W955" t="n">
        <x:v>0</x:v>
      </x:c>
      <x:c r="X955" t="str"/>
      <x:c r="Y955" t="str">
        <x:v>Outbound Call</x:v>
      </x:c>
    </x:row>
    <x:row r="956">
      <x:c r="A956" t="str">
        <x:v>O000955</x:v>
      </x:c>
      <x:c r="B956" s="20" t="n">
        <x:v>46236</x:v>
      </x:c>
      <x:c r="C956" t="str">
        <x:v>C0246</x:v>
      </x:c>
      <x:c r="D956" t="str">
        <x:v>City Hotel 246</x:v>
      </x:c>
      <x:c r="E956" t="str">
        <x:v>Supermarket</x:v>
      </x:c>
      <x:c r="F956" t="str">
        <x:v>Mangaluru</x:v>
      </x:c>
      <x:c r="G956" t="str">
        <x:v>Kavya</x:v>
      </x:c>
      <x:c r="H956" t="str">
        <x:v>P015</x:v>
      </x:c>
      <x:c r="I956" t="str">
        <x:v>Milk 1L</x:v>
      </x:c>
      <x:c r="J956" t="str">
        <x:v>Dairy</x:v>
      </x:c>
      <x:c r="K956" t="str">
        <x:v>Nandini</x:v>
      </x:c>
      <x:c r="L956" s="22" t="n">
        <x:v>48</x:v>
      </x:c>
      <x:c r="M956" t="n">
        <x:v>33</x:v>
      </x:c>
      <x:c r="N956" s="24" t="n">
        <x:v>0.1</x:v>
      </x:c>
      <x:c r="O956" s="22" t="n">
        <x:f>L956*M956</x:f>
        <x:v>1584</x:v>
      </x:c>
      <x:c r="P956" s="22" t="n">
        <x:f>O956*(1-N956)</x:f>
        <x:v>1425.6000000000001</x:v>
      </x:c>
      <x:c r="Q956" s="22" t="n">
        <x:v>43</x:v>
      </x:c>
      <x:c r="R956" s="22" t="n">
        <x:f>Q956*M956</x:f>
        <x:v>1419</x:v>
      </x:c>
      <x:c r="S956" s="22" t="n">
        <x:f>P956-R956</x:f>
        <x:v>6.600000000000136</x:v>
      </x:c>
      <x:c r="T956" t="str">
        <x:v>Credit</x:v>
      </x:c>
      <x:c r="U956" t="str">
        <x:v>Paid</x:v>
      </x:c>
      <x:c r="V956" t="str">
        <x:v>Delivered</x:v>
      </x:c>
      <x:c r="W956" t="n">
        <x:v>0</x:v>
      </x:c>
      <x:c r="X956" t="str"/>
      <x:c r="Y956" t="str">
        <x:v>Existing Customer</x:v>
      </x:c>
    </x:row>
    <x:row r="957">
      <x:c r="A957" t="str">
        <x:v>O000956</x:v>
      </x:c>
      <x:c r="B957" s="20" t="n">
        <x:v>46195</x:v>
      </x:c>
      <x:c r="C957" t="str">
        <x:v>C0156</x:v>
      </x:c>
      <x:c r="D957" t="str">
        <x:v>Metro Stores 156</x:v>
      </x:c>
      <x:c r="E957" t="str">
        <x:v>Hotel</x:v>
      </x:c>
      <x:c r="F957" t="str">
        <x:v>Tumakuru</x:v>
      </x:c>
      <x:c r="G957" t="str">
        <x:v>Ramesh</x:v>
      </x:c>
      <x:c r="H957" t="str">
        <x:v>P031</x:v>
      </x:c>
      <x:c r="I957" t="str">
        <x:v>Chilli Sauce 700g</x:v>
      </x:c>
      <x:c r="J957" t="str">
        <x:v>Condiments</x:v>
      </x:c>
      <x:c r="K957" t="str">
        <x:v>Ching's</x:v>
      </x:c>
      <x:c r="L957" s="22" t="n">
        <x:v>130</x:v>
      </x:c>
      <x:c r="M957" t="n">
        <x:v>34</x:v>
      </x:c>
      <x:c r="N957" s="24" t="n">
        <x:v>0.03</x:v>
      </x:c>
      <x:c r="O957" s="22" t="n">
        <x:f>L957*M957</x:f>
        <x:v>4420</x:v>
      </x:c>
      <x:c r="P957" s="22" t="n">
        <x:f>O957*(1-N957)</x:f>
        <x:v>4287.4</x:v>
      </x:c>
      <x:c r="Q957" s="22" t="n">
        <x:v>112</x:v>
      </x:c>
      <x:c r="R957" s="22" t="n">
        <x:f>Q957*M957</x:f>
        <x:v>3808</x:v>
      </x:c>
      <x:c r="S957" s="22" t="n">
        <x:f>P957-R957</x:f>
        <x:v>479.39999999999964</x:v>
      </x:c>
      <x:c r="T957" t="str">
        <x:v>Cash</x:v>
      </x:c>
      <x:c r="U957" t="str">
        <x:v>Paid</x:v>
      </x:c>
      <x:c r="V957" t="str">
        <x:v>Delayed</x:v>
      </x:c>
      <x:c r="W957" t="n">
        <x:v>0</x:v>
      </x:c>
      <x:c r="X957" t="str"/>
      <x:c r="Y957" t="str">
        <x:v>Field Visit</x:v>
      </x:c>
    </x:row>
    <x:row r="958">
      <x:c r="A958" t="str">
        <x:v>O000957</x:v>
      </x:c>
      <x:c r="B958" s="20" t="n">
        <x:v>46028</x:v>
      </x:c>
      <x:c r="C958" t="str">
        <x:v>C0085</x:v>
      </x:c>
      <x:c r="D958" t="str">
        <x:v>Green Hotel 85</x:v>
      </x:c>
      <x:c r="E958" t="str">
        <x:v>Kirana</x:v>
      </x:c>
      <x:c r="F958" t="str">
        <x:v>Mysuru</x:v>
      </x:c>
      <x:c r="G958" t="str">
        <x:v>Arjun</x:v>
      </x:c>
      <x:c r="H958" t="str">
        <x:v>P016</x:v>
      </x:c>
      <x:c r="I958" t="str">
        <x:v>Curd 1kg</x:v>
      </x:c>
      <x:c r="J958" t="str">
        <x:v>Dairy</x:v>
      </x:c>
      <x:c r="K958" t="str">
        <x:v>Nandini</x:v>
      </x:c>
      <x:c r="L958" s="22" t="n">
        <x:v>72</x:v>
      </x:c>
      <x:c r="M958" t="n">
        <x:v>15</x:v>
      </x:c>
      <x:c r="N958" s="24" t="n">
        <x:v>0.03</x:v>
      </x:c>
      <x:c r="O958" s="22" t="n">
        <x:f>L958*M958</x:f>
        <x:v>1080</x:v>
      </x:c>
      <x:c r="P958" s="22" t="n">
        <x:f>O958*(1-N958)</x:f>
        <x:v>1047.6</x:v>
      </x:c>
      <x:c r="Q958" s="22" t="n">
        <x:v>64</x:v>
      </x:c>
      <x:c r="R958" s="22" t="n">
        <x:f>Q958*M958</x:f>
        <x:v>960</x:v>
      </x:c>
      <x:c r="S958" s="22" t="n">
        <x:f>P958-R958</x:f>
        <x:v>87.59999999999991</x:v>
      </x:c>
      <x:c r="T958" t="str">
        <x:v>UPI</x:v>
      </x:c>
      <x:c r="U958" t="str">
        <x:v>Paid</x:v>
      </x:c>
      <x:c r="V958" t="str">
        <x:v>Delivered</x:v>
      </x:c>
      <x:c r="W958" t="n">
        <x:v>0</x:v>
      </x:c>
      <x:c r="X958" t="str"/>
      <x:c r="Y958" t="str">
        <x:v>WhatsApp</x:v>
      </x:c>
    </x:row>
    <x:row r="959">
      <x:c r="A959" t="str">
        <x:v>O000958</x:v>
      </x:c>
      <x:c r="B959" s="20" t="n">
        <x:v>46175</x:v>
      </x:c>
      <x:c r="C959" t="str">
        <x:v>C0091</x:v>
      </x:c>
      <x:c r="D959" t="str">
        <x:v>Classic Mart 91</x:v>
      </x:c>
      <x:c r="E959" t="str">
        <x:v>Cafe</x:v>
      </x:c>
      <x:c r="F959" t="str">
        <x:v>Mangaluru</x:v>
      </x:c>
      <x:c r="G959" t="str">
        <x:v>Kavya</x:v>
      </x:c>
      <x:c r="H959" t="str">
        <x:v>P036</x:v>
      </x:c>
      <x:c r="I959" t="str">
        <x:v>Garam Masala 500g</x:v>
      </x:c>
      <x:c r="J959" t="str">
        <x:v>Spices</x:v>
      </x:c>
      <x:c r="K959" t="str">
        <x:v>MDH</x:v>
      </x:c>
      <x:c r="L959" s="22" t="n">
        <x:v>265</x:v>
      </x:c>
      <x:c r="M959" t="n">
        <x:v>5</x:v>
      </x:c>
      <x:c r="N959" s="24" t="n">
        <x:v>0.08</x:v>
      </x:c>
      <x:c r="O959" s="22" t="n">
        <x:f>L959*M959</x:f>
        <x:v>1325</x:v>
      </x:c>
      <x:c r="P959" s="22" t="n">
        <x:f>O959*(1-N959)</x:f>
        <x:v>1219</x:v>
      </x:c>
      <x:c r="Q959" s="22" t="n">
        <x:v>230</x:v>
      </x:c>
      <x:c r="R959" s="22" t="n">
        <x:f>Q959*M959</x:f>
        <x:v>1150</x:v>
      </x:c>
      <x:c r="S959" s="22" t="n">
        <x:f>P959-R959</x:f>
        <x:v>69</x:v>
      </x:c>
      <x:c r="T959" t="str">
        <x:v>Credit</x:v>
      </x:c>
      <x:c r="U959" t="str">
        <x:v>Paid</x:v>
      </x:c>
      <x:c r="V959" t="str">
        <x:v>Delivered</x:v>
      </x:c>
      <x:c r="W959" t="n">
        <x:v>0</x:v>
      </x:c>
      <x:c r="X959" t="str"/>
      <x:c r="Y959" t="str">
        <x:v>Referral</x:v>
      </x:c>
    </x:row>
    <x:row r="960">
      <x:c r="A960" t="str">
        <x:v>O000959</x:v>
      </x:c>
      <x:c r="B960" s="20" t="n">
        <x:v>46208</x:v>
      </x:c>
      <x:c r="C960" t="str">
        <x:v>C0212</x:v>
      </x:c>
      <x:c r="D960" t="str">
        <x:v>Classic Restaurant 212</x:v>
      </x:c>
      <x:c r="E960" t="str">
        <x:v>Restaurant</x:v>
      </x:c>
      <x:c r="F960" t="str">
        <x:v>Mysuru</x:v>
      </x:c>
      <x:c r="G960" t="str">
        <x:v>Vikram</x:v>
      </x:c>
      <x:c r="H960" t="str">
        <x:v>P009</x:v>
      </x:c>
      <x:c r="I960" t="str">
        <x:v>Groundnut Oil 5L</x:v>
      </x:c>
      <x:c r="J960" t="str">
        <x:v>Edible Oil</x:v>
      </x:c>
      <x:c r="K960" t="str">
        <x:v>Dhara</x:v>
      </x:c>
      <x:c r="L960" s="22" t="n">
        <x:v>890</x:v>
      </x:c>
      <x:c r="M960" t="n">
        <x:v>16</x:v>
      </x:c>
      <x:c r="N960" s="24" t="n">
        <x:v>0.05</x:v>
      </x:c>
      <x:c r="O960" s="22" t="n">
        <x:f>L960*M960</x:f>
        <x:v>14240</x:v>
      </x:c>
      <x:c r="P960" s="22" t="n">
        <x:f>O960*(1-N960)</x:f>
        <x:v>13528</x:v>
      </x:c>
      <x:c r="Q960" s="22" t="n">
        <x:v>810</x:v>
      </x:c>
      <x:c r="R960" s="22" t="n">
        <x:f>Q960*M960</x:f>
        <x:v>12960</x:v>
      </x:c>
      <x:c r="S960" s="22" t="n">
        <x:f>P960-R960</x:f>
        <x:v>568</x:v>
      </x:c>
      <x:c r="T960" t="str">
        <x:v>Credit</x:v>
      </x:c>
      <x:c r="U960" t="str">
        <x:v>Paid</x:v>
      </x:c>
      <x:c r="V960" t="str">
        <x:v>Cancelled</x:v>
      </x:c>
      <x:c r="W960" t="n">
        <x:v>16</x:v>
      </x:c>
      <x:c r="X960" t="str">
        <x:v>Cancelled Order</x:v>
      </x:c>
      <x:c r="Y960" t="str">
        <x:v>Referral</x:v>
      </x:c>
    </x:row>
    <x:row r="961">
      <x:c r="A961" t="str">
        <x:v>O000960</x:v>
      </x:c>
      <x:c r="B961" s="20" t="n">
        <x:v>46007</x:v>
      </x:c>
      <x:c r="C961" t="str">
        <x:v>C0204</x:v>
      </x:c>
      <x:c r="D961" t="str">
        <x:v>Udupi Stores 204</x:v>
      </x:c>
      <x:c r="E961" t="str">
        <x:v>Kirana</x:v>
      </x:c>
      <x:c r="F961" t="str">
        <x:v>Bengaluru</x:v>
      </x:c>
      <x:c r="G961" t="str">
        <x:v>Vikram</x:v>
      </x:c>
      <x:c r="H961" t="str">
        <x:v>P019</x:v>
      </x:c>
      <x:c r="I961" t="str">
        <x:v>Tea 1kg</x:v>
      </x:c>
      <x:c r="J961" t="str">
        <x:v>Beverage</x:v>
      </x:c>
      <x:c r="K961" t="str">
        <x:v>Red Label</x:v>
      </x:c>
      <x:c r="L961" s="22" t="n">
        <x:v>540</x:v>
      </x:c>
      <x:c r="M961" t="n">
        <x:v>21</x:v>
      </x:c>
      <x:c r="N961" s="24" t="n">
        <x:v>0</x:v>
      </x:c>
      <x:c r="O961" s="22" t="n">
        <x:f>L961*M961</x:f>
        <x:v>11340</x:v>
      </x:c>
      <x:c r="P961" s="22" t="n">
        <x:f>O961*(1-N961)</x:f>
        <x:v>11340</x:v>
      </x:c>
      <x:c r="Q961" s="22" t="n">
        <x:v>485</x:v>
      </x:c>
      <x:c r="R961" s="22" t="n">
        <x:f>Q961*M961</x:f>
        <x:v>10185</x:v>
      </x:c>
      <x:c r="S961" s="22" t="n">
        <x:f>P961-R961</x:f>
        <x:v>1155</x:v>
      </x:c>
      <x:c r="T961" t="str">
        <x:v>Credit</x:v>
      </x:c>
      <x:c r="U961" t="str">
        <x:v>Paid</x:v>
      </x:c>
      <x:c r="V961" t="str">
        <x:v>Delivered</x:v>
      </x:c>
      <x:c r="W961" t="n">
        <x:v>0</x:v>
      </x:c>
      <x:c r="X961" t="str"/>
      <x:c r="Y961" t="str">
        <x:v>Referral</x:v>
      </x:c>
    </x:row>
    <x:row r="962">
      <x:c r="A962" t="str">
        <x:v>O000961</x:v>
      </x:c>
      <x:c r="B962" s="20" t="n">
        <x:v>45673</x:v>
      </x:c>
      <x:c r="C962" t="str">
        <x:v>C0225</x:v>
      </x:c>
      <x:c r="D962" t="str">
        <x:v>Darshini Mart 225</x:v>
      </x:c>
      <x:c r="E962" t="str">
        <x:v>Restaurant</x:v>
      </x:c>
      <x:c r="F962" t="str">
        <x:v>Davanagere</x:v>
      </x:c>
      <x:c r="G962" t="str">
        <x:v>Kavya</x:v>
      </x:c>
      <x:c r="H962" t="str">
        <x:v>P030</x:v>
      </x:c>
      <x:c r="I962" t="str">
        <x:v>Mayonnaise 1kg</x:v>
      </x:c>
      <x:c r="J962" t="str">
        <x:v>Condiments</x:v>
      </x:c>
      <x:c r="K962" t="str">
        <x:v>Veeba</x:v>
      </x:c>
      <x:c r="L962" s="22" t="n">
        <x:v>210</x:v>
      </x:c>
      <x:c r="M962" t="n">
        <x:v>11</x:v>
      </x:c>
      <x:c r="N962" s="24" t="n">
        <x:v>0</x:v>
      </x:c>
      <x:c r="O962" s="22" t="n">
        <x:f>L962*M962</x:f>
        <x:v>2310</x:v>
      </x:c>
      <x:c r="P962" s="22" t="n">
        <x:f>O962*(1-N962)</x:f>
        <x:v>2310</x:v>
      </x:c>
      <x:c r="Q962" s="22" t="n">
        <x:v>185</x:v>
      </x:c>
      <x:c r="R962" s="22" t="n">
        <x:f>Q962*M962</x:f>
        <x:v>2035</x:v>
      </x:c>
      <x:c r="S962" s="22" t="n">
        <x:f>P962-R962</x:f>
        <x:v>275</x:v>
      </x:c>
      <x:c r="T962" t="str">
        <x:v>Cash</x:v>
      </x:c>
      <x:c r="U962" t="str">
        <x:v>Pending</x:v>
      </x:c>
      <x:c r="V962" t="str">
        <x:v>Cancelled</x:v>
      </x:c>
      <x:c r="W962" t="n">
        <x:v>11</x:v>
      </x:c>
      <x:c r="X962" t="str">
        <x:v>Cancelled Order</x:v>
      </x:c>
      <x:c r="Y962" t="str">
        <x:v>WhatsApp</x:v>
      </x:c>
    </x:row>
    <x:row r="963">
      <x:c r="A963" t="str">
        <x:v>O000962</x:v>
      </x:c>
      <x:c r="B963" s="20" t="n">
        <x:v>46099</x:v>
      </x:c>
      <x:c r="C963" t="str">
        <x:v>C0033</x:v>
      </x:c>
      <x:c r="D963" t="str">
        <x:v>Shree Canteen 33</x:v>
      </x:c>
      <x:c r="E963" t="str">
        <x:v>Canteen</x:v>
      </x:c>
      <x:c r="F963" t="str">
        <x:v>Mangaluru</x:v>
      </x:c>
      <x:c r="G963" t="str">
        <x:v>Imran</x:v>
      </x:c>
      <x:c r="H963" t="str">
        <x:v>P003</x:v>
      </x:c>
      <x:c r="I963" t="str">
        <x:v>Basmati Rice 5kg</x:v>
      </x:c>
      <x:c r="J963" t="str">
        <x:v>Staples</x:v>
      </x:c>
      <x:c r="K963" t="str">
        <x:v>India Gate</x:v>
      </x:c>
      <x:c r="L963" s="22" t="n">
        <x:v>690</x:v>
      </x:c>
      <x:c r="M963" t="n">
        <x:v>2</x:v>
      </x:c>
      <x:c r="N963" s="24" t="n">
        <x:v>0.05</x:v>
      </x:c>
      <x:c r="O963" s="22" t="n">
        <x:f>L963*M963</x:f>
        <x:v>1380</x:v>
      </x:c>
      <x:c r="P963" s="22" t="n">
        <x:f>O963*(1-N963)</x:f>
        <x:v>1311</x:v>
      </x:c>
      <x:c r="Q963" s="22" t="n">
        <x:v>610</x:v>
      </x:c>
      <x:c r="R963" s="22" t="n">
        <x:f>Q963*M963</x:f>
        <x:v>1220</x:v>
      </x:c>
      <x:c r="S963" s="22" t="n">
        <x:f>P963-R963</x:f>
        <x:v>91</x:v>
      </x:c>
      <x:c r="T963" t="str">
        <x:v>UPI</x:v>
      </x:c>
      <x:c r="U963" t="str">
        <x:v>Paid</x:v>
      </x:c>
      <x:c r="V963" t="str">
        <x:v>Delayed</x:v>
      </x:c>
      <x:c r="W963" t="n">
        <x:v>0</x:v>
      </x:c>
      <x:c r="X963" t="str"/>
      <x:c r="Y963" t="str">
        <x:v>WhatsApp</x:v>
      </x:c>
    </x:row>
    <x:row r="964">
      <x:c r="A964" t="str">
        <x:v>O000963</x:v>
      </x:c>
      <x:c r="B964" s="20" t="n">
        <x:v>46069</x:v>
      </x:c>
      <x:c r="C964" t="str">
        <x:v>C0091</x:v>
      </x:c>
      <x:c r="D964" t="str">
        <x:v>Classic Mart 91</x:v>
      </x:c>
      <x:c r="E964" t="str">
        <x:v>Cafe</x:v>
      </x:c>
      <x:c r="F964" t="str">
        <x:v>Mangaluru</x:v>
      </x:c>
      <x:c r="G964" t="str">
        <x:v>Kavya</x:v>
      </x:c>
      <x:c r="H964" t="str">
        <x:v>P009</x:v>
      </x:c>
      <x:c r="I964" t="str">
        <x:v>Groundnut Oil 5L</x:v>
      </x:c>
      <x:c r="J964" t="str">
        <x:v>Edible Oil</x:v>
      </x:c>
      <x:c r="K964" t="str">
        <x:v>Dhara</x:v>
      </x:c>
      <x:c r="L964" s="22" t="n">
        <x:v>890</x:v>
      </x:c>
      <x:c r="M964" t="n">
        <x:v>36</x:v>
      </x:c>
      <x:c r="N964" s="24" t="n">
        <x:v>0</x:v>
      </x:c>
      <x:c r="O964" s="22" t="n">
        <x:f>L964*M964</x:f>
        <x:v>32040</x:v>
      </x:c>
      <x:c r="P964" s="22" t="n">
        <x:f>O964*(1-N964)</x:f>
        <x:v>32040</x:v>
      </x:c>
      <x:c r="Q964" s="22" t="n">
        <x:v>810</x:v>
      </x:c>
      <x:c r="R964" s="22" t="n">
        <x:f>Q964*M964</x:f>
        <x:v>29160</x:v>
      </x:c>
      <x:c r="S964" s="22" t="n">
        <x:f>P964-R964</x:f>
        <x:v>2880</x:v>
      </x:c>
      <x:c r="T964" t="str">
        <x:v>Cash</x:v>
      </x:c>
      <x:c r="U964" t="str">
        <x:v>Paid</x:v>
      </x:c>
      <x:c r="V964" t="str">
        <x:v>Delivered</x:v>
      </x:c>
      <x:c r="W964" t="n">
        <x:v>0</x:v>
      </x:c>
      <x:c r="X964" t="str"/>
      <x:c r="Y964" t="str">
        <x:v>Existing Customer</x:v>
      </x:c>
    </x:row>
    <x:row r="965">
      <x:c r="A965" t="str">
        <x:v>O000964</x:v>
      </x:c>
      <x:c r="B965" s="20" t="n">
        <x:v>45733</x:v>
      </x:c>
      <x:c r="C965" t="str">
        <x:v>C0185</x:v>
      </x:c>
      <x:c r="D965" t="str">
        <x:v>Mysore Foods 185</x:v>
      </x:c>
      <x:c r="E965" t="str">
        <x:v>Restaurant</x:v>
      </x:c>
      <x:c r="F965" t="str">
        <x:v>Mysuru</x:v>
      </x:c>
      <x:c r="G965" t="str">
        <x:v>Sneha</x:v>
      </x:c>
      <x:c r="H965" t="str">
        <x:v>P003</x:v>
      </x:c>
      <x:c r="I965" t="str">
        <x:v>Basmati Rice 5kg</x:v>
      </x:c>
      <x:c r="J965" t="str">
        <x:v>Staples</x:v>
      </x:c>
      <x:c r="K965" t="str">
        <x:v>India Gate</x:v>
      </x:c>
      <x:c r="L965" s="22" t="n">
        <x:v>690</x:v>
      </x:c>
      <x:c r="M965" t="n">
        <x:v>23</x:v>
      </x:c>
      <x:c r="N965" s="24" t="n">
        <x:v>0.08</x:v>
      </x:c>
      <x:c r="O965" s="22" t="n">
        <x:f>L965*M965</x:f>
        <x:v>15870</x:v>
      </x:c>
      <x:c r="P965" s="22" t="n">
        <x:f>O965*(1-N965)</x:f>
        <x:v>14600.400000000001</x:v>
      </x:c>
      <x:c r="Q965" s="22" t="n">
        <x:v>610</x:v>
      </x:c>
      <x:c r="R965" s="22" t="n">
        <x:f>Q965*M965</x:f>
        <x:v>14030</x:v>
      </x:c>
      <x:c r="S965" s="22" t="n">
        <x:f>P965-R965</x:f>
        <x:v>570.4000000000015</x:v>
      </x:c>
      <x:c r="T965" t="str">
        <x:v>Credit</x:v>
      </x:c>
      <x:c r="U965" t="str">
        <x:v>Paid</x:v>
      </x:c>
      <x:c r="V965" t="str">
        <x:v>Cancelled</x:v>
      </x:c>
      <x:c r="W965" t="n">
        <x:v>23</x:v>
      </x:c>
      <x:c r="X965" t="str">
        <x:v>Cancelled Order</x:v>
      </x:c>
      <x:c r="Y965" t="str">
        <x:v>WhatsApp</x:v>
      </x:c>
    </x:row>
    <x:row r="966">
      <x:c r="A966" t="str">
        <x:v>O000965</x:v>
      </x:c>
      <x:c r="B966" s="20" t="n">
        <x:v>45795</x:v>
      </x:c>
      <x:c r="C966" t="str">
        <x:v>C0123</x:v>
      </x:c>
      <x:c r="D966" t="str">
        <x:v>City Foods 123</x:v>
      </x:c>
      <x:c r="E966" t="str">
        <x:v>Restaurant</x:v>
      </x:c>
      <x:c r="F966" t="str">
        <x:v>Davanagere</x:v>
      </x:c>
      <x:c r="G966" t="str">
        <x:v>Sneha</x:v>
      </x:c>
      <x:c r="H966" t="str">
        <x:v>P045</x:v>
      </x:c>
      <x:c r="I966" t="str">
        <x:v>Onion 25kg</x:v>
      </x:c>
      <x:c r="J966" t="str">
        <x:v>Fresh Produce</x:v>
      </x:c>
      <x:c r="K966" t="str">
        <x:v>Local Market</x:v>
      </x:c>
      <x:c r="L966" s="22" t="n">
        <x:v>875</x:v>
      </x:c>
      <x:c r="M966" t="n">
        <x:v>12</x:v>
      </x:c>
      <x:c r="N966" s="24" t="n">
        <x:v>0.05</x:v>
      </x:c>
      <x:c r="O966" s="22" t="n">
        <x:f>L966*M966</x:f>
        <x:v>10500</x:v>
      </x:c>
      <x:c r="P966" s="22" t="n">
        <x:f>O966*(1-N966)</x:f>
        <x:v>9975</x:v>
      </x:c>
      <x:c r="Q966" s="22" t="n">
        <x:v>760</x:v>
      </x:c>
      <x:c r="R966" s="22" t="n">
        <x:f>Q966*M966</x:f>
        <x:v>9120</x:v>
      </x:c>
      <x:c r="S966" s="22" t="n">
        <x:f>P966-R966</x:f>
        <x:v>855</x:v>
      </x:c>
      <x:c r="T966" t="str">
        <x:v>UPI</x:v>
      </x:c>
      <x:c r="U966" t="str">
        <x:v>Paid</x:v>
      </x:c>
      <x:c r="V966" t="str">
        <x:v>Delivered</x:v>
      </x:c>
      <x:c r="W966" t="n">
        <x:v>0</x:v>
      </x:c>
      <x:c r="X966" t="str"/>
      <x:c r="Y966" t="str">
        <x:v>Field Visit</x:v>
      </x:c>
    </x:row>
    <x:row r="967">
      <x:c r="A967" t="str">
        <x:v>O000966</x:v>
      </x:c>
      <x:c r="B967" s="20" t="n">
        <x:v>45986</x:v>
      </x:c>
      <x:c r="C967" t="str">
        <x:v>C0117</x:v>
      </x:c>
      <x:c r="D967" t="str">
        <x:v>Classic Canteen 117</x:v>
      </x:c>
      <x:c r="E967" t="str">
        <x:v>Restaurant</x:v>
      </x:c>
      <x:c r="F967" t="str">
        <x:v>Hubballi</x:v>
      </x:c>
      <x:c r="G967" t="str">
        <x:v>Megha</x:v>
      </x:c>
      <x:c r="H967" t="str">
        <x:v>P025</x:v>
      </x:c>
      <x:c r="I967" t="str">
        <x:v>Potato Chips 100g</x:v>
      </x:c>
      <x:c r="J967" t="str">
        <x:v>Snacks</x:v>
      </x:c>
      <x:c r="K967" t="str">
        <x:v>Lay's</x:v>
      </x:c>
      <x:c r="L967" s="22" t="n">
        <x:v>35</x:v>
      </x:c>
      <x:c r="M967" t="n">
        <x:v>29</x:v>
      </x:c>
      <x:c r="N967" s="24" t="n">
        <x:v>0</x:v>
      </x:c>
      <x:c r="O967" s="22" t="n">
        <x:f>L967*M967</x:f>
        <x:v>1015</x:v>
      </x:c>
      <x:c r="P967" s="22" t="n">
        <x:f>O967*(1-N967)</x:f>
        <x:v>1015</x:v>
      </x:c>
      <x:c r="Q967" s="22" t="n">
        <x:v>27</x:v>
      </x:c>
      <x:c r="R967" s="22" t="n">
        <x:f>Q967*M967</x:f>
        <x:v>783</x:v>
      </x:c>
      <x:c r="S967" s="22" t="n">
        <x:f>P967-R967</x:f>
        <x:v>232</x:v>
      </x:c>
      <x:c r="T967" t="str">
        <x:v>Cash</x:v>
      </x:c>
      <x:c r="U967" t="str">
        <x:v>Overdue</x:v>
      </x:c>
      <x:c r="V967" t="str">
        <x:v>Delivered</x:v>
      </x:c>
      <x:c r="W967" t="n">
        <x:v>0</x:v>
      </x:c>
      <x:c r="X967" t="str"/>
      <x:c r="Y967" t="str">
        <x:v>WhatsApp</x:v>
      </x:c>
    </x:row>
    <x:row r="968">
      <x:c r="A968" t="str">
        <x:v>O000967</x:v>
      </x:c>
      <x:c r="B968" s="20" t="n">
        <x:v>46195</x:v>
      </x:c>
      <x:c r="C968" t="str">
        <x:v>C0145</x:v>
      </x:c>
      <x:c r="D968" t="str">
        <x:v>Namma Cafe 145</x:v>
      </x:c>
      <x:c r="E968" t="str">
        <x:v>Kirana</x:v>
      </x:c>
      <x:c r="F968" t="str">
        <x:v>Tumakuru</x:v>
      </x:c>
      <x:c r="G968" t="str">
        <x:v>Sneha</x:v>
      </x:c>
      <x:c r="H968" t="str">
        <x:v>P034</x:v>
      </x:c>
      <x:c r="I968" t="str">
        <x:v>Chilli Powder 1kg</x:v>
      </x:c>
      <x:c r="J968" t="str">
        <x:v>Spices</x:v>
      </x:c>
      <x:c r="K968" t="str">
        <x:v>MDH</x:v>
      </x:c>
      <x:c r="L968" s="22" t="n">
        <x:v>340</x:v>
      </x:c>
      <x:c r="M968" t="n">
        <x:v>38</x:v>
      </x:c>
      <x:c r="N968" s="24" t="n">
        <x:v>0.03</x:v>
      </x:c>
      <x:c r="O968" s="22" t="n">
        <x:f>L968*M968</x:f>
        <x:v>12920</x:v>
      </x:c>
      <x:c r="P968" s="22" t="n">
        <x:f>O968*(1-N968)</x:f>
        <x:v>12532.4</x:v>
      </x:c>
      <x:c r="Q968" s="22" t="n">
        <x:v>295</x:v>
      </x:c>
      <x:c r="R968" s="22" t="n">
        <x:f>Q968*M968</x:f>
        <x:v>11210</x:v>
      </x:c>
      <x:c r="S968" s="22" t="n">
        <x:f>P968-R968</x:f>
        <x:v>1322.3999999999996</x:v>
      </x:c>
      <x:c r="T968" t="str">
        <x:v>Credit</x:v>
      </x:c>
      <x:c r="U968" t="str">
        <x:v>Paid</x:v>
      </x:c>
      <x:c r="V968" t="str">
        <x:v>Delivered</x:v>
      </x:c>
      <x:c r="W968" t="n">
        <x:v>0</x:v>
      </x:c>
      <x:c r="X968" t="str"/>
      <x:c r="Y968" t="str">
        <x:v>Referral</x:v>
      </x:c>
    </x:row>
    <x:row r="969">
      <x:c r="A969" t="str">
        <x:v>O000968</x:v>
      </x:c>
      <x:c r="B969" s="20" t="n">
        <x:v>45873</x:v>
      </x:c>
      <x:c r="C969" t="str">
        <x:v>C0011</x:v>
      </x:c>
      <x:c r="D969" t="str">
        <x:v>City Cafe 11</x:v>
      </x:c>
      <x:c r="E969" t="str">
        <x:v>Restaurant</x:v>
      </x:c>
      <x:c r="F969" t="str">
        <x:v>Mangaluru</x:v>
      </x:c>
      <x:c r="G969" t="str">
        <x:v>Arjun</x:v>
      </x:c>
      <x:c r="H969" t="str">
        <x:v>P048</x:v>
      </x:c>
      <x:c r="I969" t="str">
        <x:v>Banana 10kg</x:v>
      </x:c>
      <x:c r="J969" t="str">
        <x:v>Fresh Produce</x:v>
      </x:c>
      <x:c r="K969" t="str">
        <x:v>Local Market</x:v>
      </x:c>
      <x:c r="L969" s="22" t="n">
        <x:v>420</x:v>
      </x:c>
      <x:c r="M969" t="n">
        <x:v>28</x:v>
      </x:c>
      <x:c r="N969" s="24" t="n">
        <x:v>0.03</x:v>
      </x:c>
      <x:c r="O969" s="22" t="n">
        <x:f>L969*M969</x:f>
        <x:v>11760</x:v>
      </x:c>
      <x:c r="P969" s="22" t="n">
        <x:f>O969*(1-N969)</x:f>
        <x:v>11407.199999999999</x:v>
      </x:c>
      <x:c r="Q969" s="22" t="n">
        <x:v>350</x:v>
      </x:c>
      <x:c r="R969" s="22" t="n">
        <x:f>Q969*M969</x:f>
        <x:v>9800</x:v>
      </x:c>
      <x:c r="S969" s="22" t="n">
        <x:f>P969-R969</x:f>
        <x:v>1607.199999999999</x:v>
      </x:c>
      <x:c r="T969" t="str">
        <x:v>Cash</x:v>
      </x:c>
      <x:c r="U969" t="str">
        <x:v>Paid</x:v>
      </x:c>
      <x:c r="V969" t="str">
        <x:v>Delivered</x:v>
      </x:c>
      <x:c r="W969" t="n">
        <x:v>0</x:v>
      </x:c>
      <x:c r="X969" t="str"/>
      <x:c r="Y969" t="str">
        <x:v>Field Visit</x:v>
      </x:c>
    </x:row>
    <x:row r="970">
      <x:c r="A970" t="str">
        <x:v>O000969</x:v>
      </x:c>
      <x:c r="B970" s="20" t="n">
        <x:v>45831</x:v>
      </x:c>
      <x:c r="C970" t="str">
        <x:v>C0113</x:v>
      </x:c>
      <x:c r="D970" t="str">
        <x:v>Namma Mart 113</x:v>
      </x:c>
      <x:c r="E970" t="str">
        <x:v>Restaurant</x:v>
      </x:c>
      <x:c r="F970" t="str">
        <x:v>Bengaluru</x:v>
      </x:c>
      <x:c r="G970" t="str">
        <x:v>Imran</x:v>
      </x:c>
      <x:c r="H970" t="str">
        <x:v>P015</x:v>
      </x:c>
      <x:c r="I970" t="str">
        <x:v>Milk 1L</x:v>
      </x:c>
      <x:c r="J970" t="str">
        <x:v>Dairy</x:v>
      </x:c>
      <x:c r="K970" t="str">
        <x:v>Nandini</x:v>
      </x:c>
      <x:c r="L970" s="22" t="n">
        <x:v>48</x:v>
      </x:c>
      <x:c r="M970" t="n">
        <x:v>19</x:v>
      </x:c>
      <x:c r="N970" s="24" t="n">
        <x:v>0.08</x:v>
      </x:c>
      <x:c r="O970" s="22" t="n">
        <x:f>L970*M970</x:f>
        <x:v>912</x:v>
      </x:c>
      <x:c r="P970" s="22" t="n">
        <x:f>O970*(1-N970)</x:f>
        <x:v>839.0400000000001</x:v>
      </x:c>
      <x:c r="Q970" s="22" t="n">
        <x:v>43</x:v>
      </x:c>
      <x:c r="R970" s="22" t="n">
        <x:f>Q970*M970</x:f>
        <x:v>817</x:v>
      </x:c>
      <x:c r="S970" s="22" t="n">
        <x:f>P970-R970</x:f>
        <x:v>22.040000000000077</x:v>
      </x:c>
      <x:c r="T970" t="str">
        <x:v>Cash</x:v>
      </x:c>
      <x:c r="U970" t="str">
        <x:v>Overdue</x:v>
      </x:c>
      <x:c r="V970" t="str">
        <x:v>Delivered</x:v>
      </x:c>
      <x:c r="W970" t="n">
        <x:v>0</x:v>
      </x:c>
      <x:c r="X970" t="str"/>
      <x:c r="Y970" t="str">
        <x:v>Field Visit</x:v>
      </x:c>
    </x:row>
    <x:row r="971">
      <x:c r="A971" t="str">
        <x:v>O000970</x:v>
      </x:c>
      <x:c r="B971" s="20" t="n">
        <x:v>46178</x:v>
      </x:c>
      <x:c r="C971" t="str">
        <x:v>C0053</x:v>
      </x:c>
      <x:c r="D971" t="str">
        <x:v>Fresh Cafe 53</x:v>
      </x:c>
      <x:c r="E971" t="str">
        <x:v>Supermarket</x:v>
      </x:c>
      <x:c r="F971" t="str">
        <x:v>Mangaluru</x:v>
      </x:c>
      <x:c r="G971" t="str">
        <x:v>Megha</x:v>
      </x:c>
      <x:c r="H971" t="str">
        <x:v>P036</x:v>
      </x:c>
      <x:c r="I971" t="str">
        <x:v>Garam Masala 500g</x:v>
      </x:c>
      <x:c r="J971" t="str">
        <x:v>Spices</x:v>
      </x:c>
      <x:c r="K971" t="str">
        <x:v>MDH</x:v>
      </x:c>
      <x:c r="L971" s="22" t="n">
        <x:v>265</x:v>
      </x:c>
      <x:c r="M971" t="n">
        <x:v>11</x:v>
      </x:c>
      <x:c r="N971" s="24" t="n">
        <x:v>0</x:v>
      </x:c>
      <x:c r="O971" s="22" t="n">
        <x:f>L971*M971</x:f>
        <x:v>2915</x:v>
      </x:c>
      <x:c r="P971" s="22" t="n">
        <x:f>O971*(1-N971)</x:f>
        <x:v>2915</x:v>
      </x:c>
      <x:c r="Q971" s="22" t="n">
        <x:v>230</x:v>
      </x:c>
      <x:c r="R971" s="22" t="n">
        <x:f>Q971*M971</x:f>
        <x:v>2530</x:v>
      </x:c>
      <x:c r="S971" s="22" t="n">
        <x:f>P971-R971</x:f>
        <x:v>385</x:v>
      </x:c>
      <x:c r="T971" t="str">
        <x:v>UPI</x:v>
      </x:c>
      <x:c r="U971" t="str">
        <x:v>Overdue</x:v>
      </x:c>
      <x:c r="V971" t="str">
        <x:v>Delayed</x:v>
      </x:c>
      <x:c r="W971" t="n">
        <x:v>0</x:v>
      </x:c>
      <x:c r="X971" t="str"/>
      <x:c r="Y971" t="str">
        <x:v>Existing Customer</x:v>
      </x:c>
    </x:row>
    <x:row r="972">
      <x:c r="A972" t="str">
        <x:v>O000971</x:v>
      </x:c>
      <x:c r="B972" s="20" t="n">
        <x:v>45684</x:v>
      </x:c>
      <x:c r="C972" t="str">
        <x:v>C0002</x:v>
      </x:c>
      <x:c r="D972" t="str">
        <x:v>City Kitchen 2</x:v>
      </x:c>
      <x:c r="E972" t="str">
        <x:v>Kirana</x:v>
      </x:c>
      <x:c r="F972" t="str">
        <x:v>Davanagere</x:v>
      </x:c>
      <x:c r="G972" t="str">
        <x:v>Arjun</x:v>
      </x:c>
      <x:c r="H972" t="str">
        <x:v>P032</x:v>
      </x:c>
      <x:c r="I972" t="str">
        <x:v>Soy Sauce 700g</x:v>
      </x:c>
      <x:c r="J972" t="str">
        <x:v>Condiments</x:v>
      </x:c>
      <x:c r="K972" t="str">
        <x:v>Ching's</x:v>
      </x:c>
      <x:c r="L972" s="22" t="n">
        <x:v>118</x:v>
      </x:c>
      <x:c r="M972" t="n">
        <x:v>24</x:v>
      </x:c>
      <x:c r="N972" s="24" t="n">
        <x:v>0</x:v>
      </x:c>
      <x:c r="O972" s="22" t="n">
        <x:f>L972*M972</x:f>
        <x:v>2832</x:v>
      </x:c>
      <x:c r="P972" s="22" t="n">
        <x:f>O972*(1-N972)</x:f>
        <x:v>2832</x:v>
      </x:c>
      <x:c r="Q972" s="22" t="n">
        <x:v>101</x:v>
      </x:c>
      <x:c r="R972" s="22" t="n">
        <x:f>Q972*M972</x:f>
        <x:v>2424</x:v>
      </x:c>
      <x:c r="S972" s="22" t="n">
        <x:f>P972-R972</x:f>
        <x:v>408</x:v>
      </x:c>
      <x:c r="T972" t="str">
        <x:v>Credit</x:v>
      </x:c>
      <x:c r="U972" t="str">
        <x:v>Pending</x:v>
      </x:c>
      <x:c r="V972" t="str">
        <x:v>Delayed</x:v>
      </x:c>
      <x:c r="W972" t="n">
        <x:v>0</x:v>
      </x:c>
      <x:c r="X972" t="str"/>
      <x:c r="Y972" t="str">
        <x:v>Referral</x:v>
      </x:c>
    </x:row>
    <x:row r="973">
      <x:c r="A973" t="str">
        <x:v>O000972</x:v>
      </x:c>
      <x:c r="B973" s="20" t="n">
        <x:v>45780</x:v>
      </x:c>
      <x:c r="C973" t="str">
        <x:v>C0076</x:v>
      </x:c>
      <x:c r="D973" t="str">
        <x:v>Sri Canteen 76</x:v>
      </x:c>
      <x:c r="E973" t="str">
        <x:v>Canteen</x:v>
      </x:c>
      <x:c r="F973" t="str">
        <x:v>Tumakuru</x:v>
      </x:c>
      <x:c r="G973" t="str">
        <x:v>Priya</x:v>
      </x:c>
      <x:c r="H973" t="str">
        <x:v>P008</x:v>
      </x:c>
      <x:c r="I973" t="str">
        <x:v>Palm Oil 15L</x:v>
      </x:c>
      <x:c r="J973" t="str">
        <x:v>Edible Oil</x:v>
      </x:c>
      <x:c r="K973" t="str">
        <x:v>Ruchi Gold</x:v>
      </x:c>
      <x:c r="L973" s="22" t="n">
        <x:v>1760</x:v>
      </x:c>
      <x:c r="M973" t="n">
        <x:v>7</x:v>
      </x:c>
      <x:c r="N973" s="24" t="n">
        <x:v>0.03</x:v>
      </x:c>
      <x:c r="O973" s="22" t="n">
        <x:f>L973*M973</x:f>
        <x:v>12320</x:v>
      </x:c>
      <x:c r="P973" s="22" t="n">
        <x:f>O973*(1-N973)</x:f>
        <x:v>11950.4</x:v>
      </x:c>
      <x:c r="Q973" s="22" t="n">
        <x:v>1610</x:v>
      </x:c>
      <x:c r="R973" s="22" t="n">
        <x:f>Q973*M973</x:f>
        <x:v>11270</x:v>
      </x:c>
      <x:c r="S973" s="22" t="n">
        <x:f>P973-R973</x:f>
        <x:v>680.3999999999996</x:v>
      </x:c>
      <x:c r="T973" t="str">
        <x:v>UPI</x:v>
      </x:c>
      <x:c r="U973" t="str">
        <x:v>Pending</x:v>
      </x:c>
      <x:c r="V973" t="str">
        <x:v>Delivered</x:v>
      </x:c>
      <x:c r="W973" t="n">
        <x:v>0</x:v>
      </x:c>
      <x:c r="X973" t="str"/>
      <x:c r="Y973" t="str">
        <x:v>Outbound Call</x:v>
      </x:c>
    </x:row>
    <x:row r="974">
      <x:c r="A974" t="str">
        <x:v>O000973</x:v>
      </x:c>
      <x:c r="B974" s="20" t="n">
        <x:v>45885</x:v>
      </x:c>
      <x:c r="C974" t="str">
        <x:v>C0206</x:v>
      </x:c>
      <x:c r="D974" t="str">
        <x:v>Grand Kitchen 206</x:v>
      </x:c>
      <x:c r="E974" t="str">
        <x:v>Kirana</x:v>
      </x:c>
      <x:c r="F974" t="str">
        <x:v>Mysuru</x:v>
      </x:c>
      <x:c r="G974" t="str">
        <x:v>Arjun</x:v>
      </x:c>
      <x:c r="H974" t="str">
        <x:v>P006</x:v>
      </x:c>
      <x:c r="I974" t="str">
        <x:v>Moong Dal 5kg</x:v>
      </x:c>
      <x:c r="J974" t="str">
        <x:v>Pulses</x:v>
      </x:c>
      <x:c r="K974" t="str">
        <x:v>Local Select</x:v>
      </x:c>
      <x:c r="L974" s="22" t="n">
        <x:v>610</x:v>
      </x:c>
      <x:c r="M974" t="n">
        <x:v>5</x:v>
      </x:c>
      <x:c r="N974" s="24" t="n">
        <x:v>0.02</x:v>
      </x:c>
      <x:c r="O974" s="22" t="n">
        <x:f>L974*M974</x:f>
        <x:v>3050</x:v>
      </x:c>
      <x:c r="P974" s="22" t="n">
        <x:f>O974*(1-N974)</x:f>
        <x:v>2989</x:v>
      </x:c>
      <x:c r="Q974" s="22" t="n">
        <x:v>540</x:v>
      </x:c>
      <x:c r="R974" s="22" t="n">
        <x:f>Q974*M974</x:f>
        <x:v>2700</x:v>
      </x:c>
      <x:c r="S974" s="22" t="n">
        <x:f>P974-R974</x:f>
        <x:v>289</x:v>
      </x:c>
      <x:c r="T974" t="str">
        <x:v>Cash</x:v>
      </x:c>
      <x:c r="U974" t="str">
        <x:v>Paid</x:v>
      </x:c>
      <x:c r="V974" t="str">
        <x:v>Cancelled</x:v>
      </x:c>
      <x:c r="W974" t="n">
        <x:v>5</x:v>
      </x:c>
      <x:c r="X974" t="str">
        <x:v>Cancelled Order</x:v>
      </x:c>
      <x:c r="Y974" t="str">
        <x:v>Existing Customer</x:v>
      </x:c>
    </x:row>
    <x:row r="975">
      <x:c r="A975" t="str">
        <x:v>O000974</x:v>
      </x:c>
      <x:c r="B975" s="20" t="n">
        <x:v>45980</x:v>
      </x:c>
      <x:c r="C975" t="str">
        <x:v>C0019</x:v>
      </x:c>
      <x:c r="D975" t="str">
        <x:v>Grand Kitchen 19</x:v>
      </x:c>
      <x:c r="E975" t="str">
        <x:v>Supermarket</x:v>
      </x:c>
      <x:c r="F975" t="str">
        <x:v>Tumakuru</x:v>
      </x:c>
      <x:c r="G975" t="str">
        <x:v>Sneha</x:v>
      </x:c>
      <x:c r="H975" t="str">
        <x:v>P046</x:v>
      </x:c>
      <x:c r="I975" t="str">
        <x:v>Potato 25kg</x:v>
      </x:c>
      <x:c r="J975" t="str">
        <x:v>Fresh Produce</x:v>
      </x:c>
      <x:c r="K975" t="str">
        <x:v>Local Market</x:v>
      </x:c>
      <x:c r="L975" s="22" t="n">
        <x:v>700</x:v>
      </x:c>
      <x:c r="M975" t="n">
        <x:v>3</x:v>
      </x:c>
      <x:c r="N975" s="24" t="n">
        <x:v>0.03</x:v>
      </x:c>
      <x:c r="O975" s="22" t="n">
        <x:f>L975*M975</x:f>
        <x:v>2100</x:v>
      </x:c>
      <x:c r="P975" s="22" t="n">
        <x:f>O975*(1-N975)</x:f>
        <x:v>2037</x:v>
      </x:c>
      <x:c r="Q975" s="22" t="n">
        <x:v>610</x:v>
      </x:c>
      <x:c r="R975" s="22" t="n">
        <x:f>Q975*M975</x:f>
        <x:v>1830</x:v>
      </x:c>
      <x:c r="S975" s="22" t="n">
        <x:f>P975-R975</x:f>
        <x:v>207</x:v>
      </x:c>
      <x:c r="T975" t="str">
        <x:v>Cash</x:v>
      </x:c>
      <x:c r="U975" t="str">
        <x:v>Paid</x:v>
      </x:c>
      <x:c r="V975" t="str">
        <x:v>Delayed</x:v>
      </x:c>
      <x:c r="W975" t="n">
        <x:v>0</x:v>
      </x:c>
      <x:c r="X975" t="str"/>
      <x:c r="Y975" t="str">
        <x:v>Outbound Call</x:v>
      </x:c>
    </x:row>
    <x:row r="976">
      <x:c r="A976" t="str">
        <x:v>O000975</x:v>
      </x:c>
      <x:c r="B976" s="20" t="n">
        <x:v>45909</x:v>
      </x:c>
      <x:c r="C976" t="str">
        <x:v>C0161</x:v>
      </x:c>
      <x:c r="D976" t="str">
        <x:v>Hotel Kitchen 161</x:v>
      </x:c>
      <x:c r="E976" t="str">
        <x:v>Supermarket</x:v>
      </x:c>
      <x:c r="F976" t="str">
        <x:v>Mysuru</x:v>
      </x:c>
      <x:c r="G976" t="str">
        <x:v>Sneha</x:v>
      </x:c>
      <x:c r="H976" t="str">
        <x:v>P001</x:v>
      </x:c>
      <x:c r="I976" t="str">
        <x:v>Steam Rice 25kg</x:v>
      </x:c>
      <x:c r="J976" t="str">
        <x:v>Staples</x:v>
      </x:c>
      <x:c r="K976" t="str">
        <x:v>Aishwarya</x:v>
      </x:c>
      <x:c r="L976" s="22" t="n">
        <x:v>1180</x:v>
      </x:c>
      <x:c r="M976" t="n">
        <x:v>10</x:v>
      </x:c>
      <x:c r="N976" s="24" t="n">
        <x:v>0.02</x:v>
      </x:c>
      <x:c r="O976" s="22" t="n">
        <x:f>L976*M976</x:f>
        <x:v>11800</x:v>
      </x:c>
      <x:c r="P976" s="22" t="n">
        <x:f>O976*(1-N976)</x:f>
        <x:v>11564</x:v>
      </x:c>
      <x:c r="Q976" s="22" t="n">
        <x:v>1040</x:v>
      </x:c>
      <x:c r="R976" s="22" t="n">
        <x:f>Q976*M976</x:f>
        <x:v>10400</x:v>
      </x:c>
      <x:c r="S976" s="22" t="n">
        <x:f>P976-R976</x:f>
        <x:v>1164</x:v>
      </x:c>
      <x:c r="T976" t="str">
        <x:v>Bank Transfer</x:v>
      </x:c>
      <x:c r="U976" t="str">
        <x:v>Paid</x:v>
      </x:c>
      <x:c r="V976" t="str">
        <x:v>Delivered</x:v>
      </x:c>
      <x:c r="W976" t="n">
        <x:v>0</x:v>
      </x:c>
      <x:c r="X976" t="str"/>
      <x:c r="Y976" t="str">
        <x:v>WhatsApp</x:v>
      </x:c>
    </x:row>
    <x:row r="977">
      <x:c r="A977" t="str">
        <x:v>O000976</x:v>
      </x:c>
      <x:c r="B977" s="20" t="n">
        <x:v>45947</x:v>
      </x:c>
      <x:c r="C977" t="str">
        <x:v>C0188</x:v>
      </x:c>
      <x:c r="D977" t="str">
        <x:v>New Canteen 188</x:v>
      </x:c>
      <x:c r="E977" t="str">
        <x:v>Restaurant</x:v>
      </x:c>
      <x:c r="F977" t="str">
        <x:v>Bengaluru</x:v>
      </x:c>
      <x:c r="G977" t="str">
        <x:v>Kavya</x:v>
      </x:c>
      <x:c r="H977" t="str">
        <x:v>P032</x:v>
      </x:c>
      <x:c r="I977" t="str">
        <x:v>Soy Sauce 700g</x:v>
      </x:c>
      <x:c r="J977" t="str">
        <x:v>Condiments</x:v>
      </x:c>
      <x:c r="K977" t="str">
        <x:v>Ching's</x:v>
      </x:c>
      <x:c r="L977" s="22" t="n">
        <x:v>118</x:v>
      </x:c>
      <x:c r="M977" t="n">
        <x:v>9</x:v>
      </x:c>
      <x:c r="N977" s="24" t="n">
        <x:v>0</x:v>
      </x:c>
      <x:c r="O977" s="22" t="n">
        <x:f>L977*M977</x:f>
        <x:v>1062</x:v>
      </x:c>
      <x:c r="P977" s="22" t="n">
        <x:f>O977*(1-N977)</x:f>
        <x:v>1062</x:v>
      </x:c>
      <x:c r="Q977" s="22" t="n">
        <x:v>101</x:v>
      </x:c>
      <x:c r="R977" s="22" t="n">
        <x:f>Q977*M977</x:f>
        <x:v>909</x:v>
      </x:c>
      <x:c r="S977" s="22" t="n">
        <x:f>P977-R977</x:f>
        <x:v>153</x:v>
      </x:c>
      <x:c r="T977" t="str">
        <x:v>UPI</x:v>
      </x:c>
      <x:c r="U977" t="str">
        <x:v>Overdue</x:v>
      </x:c>
      <x:c r="V977" t="str">
        <x:v>Cancelled</x:v>
      </x:c>
      <x:c r="W977" t="n">
        <x:v>9</x:v>
      </x:c>
      <x:c r="X977" t="str">
        <x:v>Cancelled Order</x:v>
      </x:c>
      <x:c r="Y977" t="str"/>
    </x:row>
    <x:row r="978">
      <x:c r="A978" t="str">
        <x:v>O000977</x:v>
      </x:c>
      <x:c r="B978" s="20" t="n">
        <x:v>46229</x:v>
      </x:c>
      <x:c r="C978" t="str">
        <x:v>C0018</x:v>
      </x:c>
      <x:c r="D978" t="str">
        <x:v>Namma Canteen 18</x:v>
      </x:c>
      <x:c r="E978" t="str">
        <x:v>Restaurant</x:v>
      </x:c>
      <x:c r="F978" t="str">
        <x:v>Davanagere</x:v>
      </x:c>
      <x:c r="G978" t="str">
        <x:v>Imran</x:v>
      </x:c>
      <x:c r="H978" t="str">
        <x:v>P032</x:v>
      </x:c>
      <x:c r="I978" t="str">
        <x:v>Soy Sauce 700g</x:v>
      </x:c>
      <x:c r="J978" t="str">
        <x:v>Condiments</x:v>
      </x:c>
      <x:c r="K978" t="str">
        <x:v>Ching's</x:v>
      </x:c>
      <x:c r="L978" s="22" t="n">
        <x:v>118</x:v>
      </x:c>
      <x:c r="M978" t="n">
        <x:v>40</x:v>
      </x:c>
      <x:c r="N978" s="24" t="n">
        <x:v>0</x:v>
      </x:c>
      <x:c r="O978" s="22" t="n">
        <x:f>L978*M978</x:f>
        <x:v>4720</x:v>
      </x:c>
      <x:c r="P978" s="22" t="n">
        <x:f>O978*(1-N978)</x:f>
        <x:v>4720</x:v>
      </x:c>
      <x:c r="Q978" s="22" t="n">
        <x:v>101</x:v>
      </x:c>
      <x:c r="R978" s="22" t="n">
        <x:f>Q978*M978</x:f>
        <x:v>4040</x:v>
      </x:c>
      <x:c r="S978" s="22" t="n">
        <x:f>P978-R978</x:f>
        <x:v>680</x:v>
      </x:c>
      <x:c r="T978" t="str">
        <x:v>Bank Transfer</x:v>
      </x:c>
      <x:c r="U978" t="str">
        <x:v>Paid</x:v>
      </x:c>
      <x:c r="V978" t="str">
        <x:v>Cancelled</x:v>
      </x:c>
      <x:c r="W978" t="n">
        <x:v>40</x:v>
      </x:c>
      <x:c r="X978" t="str">
        <x:v>Cancelled Order</x:v>
      </x:c>
      <x:c r="Y978" t="str">
        <x:v>Field Visit</x:v>
      </x:c>
    </x:row>
    <x:row r="979">
      <x:c r="A979" t="str">
        <x:v>O000978</x:v>
      </x:c>
      <x:c r="B979" s="20" t="n">
        <x:v>45898</x:v>
      </x:c>
      <x:c r="C979" t="str">
        <x:v>C0162</x:v>
      </x:c>
      <x:c r="D979" t="str">
        <x:v>Udupi Foods 162</x:v>
      </x:c>
      <x:c r="E979" t="str">
        <x:v>Restaurant</x:v>
      </x:c>
      <x:c r="F979" t="str">
        <x:v>Mysuru</x:v>
      </x:c>
      <x:c r="G979" t="str">
        <x:v>Ramesh</x:v>
      </x:c>
      <x:c r="H979" t="str">
        <x:v>P038</x:v>
      </x:c>
      <x:c r="I979" t="str">
        <x:v>French Fries 2.5kg</x:v>
      </x:c>
      <x:c r="J979" t="str">
        <x:v>Frozen</x:v>
      </x:c>
      <x:c r="K979" t="str">
        <x:v>McCain</x:v>
      </x:c>
      <x:c r="L979" s="22" t="n">
        <x:v>360</x:v>
      </x:c>
      <x:c r="M979" t="n">
        <x:v>23</x:v>
      </x:c>
      <x:c r="N979" s="24" t="n">
        <x:v>0.03</x:v>
      </x:c>
      <x:c r="O979" s="22" t="n">
        <x:f>L979*M979</x:f>
        <x:v>8280</x:v>
      </x:c>
      <x:c r="P979" s="22" t="n">
        <x:f>O979*(1-N979)</x:f>
        <x:v>8031.599999999999</x:v>
      </x:c>
      <x:c r="Q979" s="22" t="n">
        <x:v>315</x:v>
      </x:c>
      <x:c r="R979" s="22" t="n">
        <x:f>Q979*M979</x:f>
        <x:v>7245</x:v>
      </x:c>
      <x:c r="S979" s="22" t="n">
        <x:f>P979-R979</x:f>
        <x:v>786.5999999999995</x:v>
      </x:c>
      <x:c r="T979" t="str">
        <x:v>Bank Transfer</x:v>
      </x:c>
      <x:c r="U979" t="str">
        <x:v>Pending</x:v>
      </x:c>
      <x:c r="V979" t="str">
        <x:v>Delivered</x:v>
      </x:c>
      <x:c r="W979" t="n">
        <x:v>0</x:v>
      </x:c>
      <x:c r="X979" t="str"/>
      <x:c r="Y979" t="str">
        <x:v>WhatsApp</x:v>
      </x:c>
    </x:row>
    <x:row r="980">
      <x:c r="A980" t="str">
        <x:v>O000979</x:v>
      </x:c>
      <x:c r="B980" s="20" t="n">
        <x:v>46270</x:v>
      </x:c>
      <x:c r="C980" t="str">
        <x:v>C0162</x:v>
      </x:c>
      <x:c r="D980" t="str">
        <x:v>Udupi Foods 162</x:v>
      </x:c>
      <x:c r="E980" t="str">
        <x:v>Restaurant</x:v>
      </x:c>
      <x:c r="F980" t="str">
        <x:v>Mysuru</x:v>
      </x:c>
      <x:c r="G980" t="str">
        <x:v>Ramesh</x:v>
      </x:c>
      <x:c r="H980" t="str">
        <x:v>P026</x:v>
      </x:c>
      <x:c r="I980" t="str">
        <x:v>Banana Chips 80g</x:v>
      </x:c>
      <x:c r="J980" t="str">
        <x:v>Snacks</x:v>
      </x:c>
      <x:c r="K980" t="str">
        <x:v>SSS</x:v>
      </x:c>
      <x:c r="L980" s="22" t="n">
        <x:v>54</x:v>
      </x:c>
      <x:c r="M980" t="n">
        <x:v>23</x:v>
      </x:c>
      <x:c r="N980" s="24" t="n">
        <x:v>0.03</x:v>
      </x:c>
      <x:c r="O980" s="22" t="n">
        <x:f>L980*M980</x:f>
        <x:v>1242</x:v>
      </x:c>
      <x:c r="P980" s="22" t="n">
        <x:f>O980*(1-N980)</x:f>
        <x:v>1204.74</x:v>
      </x:c>
      <x:c r="Q980" s="22" t="n">
        <x:v>39</x:v>
      </x:c>
      <x:c r="R980" s="22" t="n">
        <x:f>Q980*M980</x:f>
        <x:v>897</x:v>
      </x:c>
      <x:c r="S980" s="22" t="n">
        <x:f>P980-R980</x:f>
        <x:v>307.74</x:v>
      </x:c>
      <x:c r="T980" t="str">
        <x:v>Cash</x:v>
      </x:c>
      <x:c r="U980" t="str">
        <x:v>Paid</x:v>
      </x:c>
      <x:c r="V980" t="str">
        <x:v>Delivered</x:v>
      </x:c>
      <x:c r="W980" t="n">
        <x:v>0</x:v>
      </x:c>
      <x:c r="X980" t="str"/>
      <x:c r="Y980" t="str">
        <x:v>Field Visit</x:v>
      </x:c>
    </x:row>
    <x:row r="981">
      <x:c r="A981" t="str">
        <x:v>O000980</x:v>
      </x:c>
      <x:c r="B981" s="20" t="n">
        <x:v>45911</x:v>
      </x:c>
      <x:c r="C981" t="str">
        <x:v>C0115</x:v>
      </x:c>
      <x:c r="D981" t="str">
        <x:v>Mysore Mart 115</x:v>
      </x:c>
      <x:c r="E981" t="str">
        <x:v>Kirana</x:v>
      </x:c>
      <x:c r="F981" t="str">
        <x:v>Mangaluru</x:v>
      </x:c>
      <x:c r="G981" t="str">
        <x:v>Arjun</x:v>
      </x:c>
      <x:c r="H981" t="str">
        <x:v>P021</x:v>
      </x:c>
      <x:c r="I981" t="str">
        <x:v>Instant Coffee 200g</x:v>
      </x:c>
      <x:c r="J981" t="str">
        <x:v>Beverage</x:v>
      </x:c>
      <x:c r="K981" t="str">
        <x:v>Nescafe</x:v>
      </x:c>
      <x:c r="L981" s="22" t="n">
        <x:v>460</x:v>
      </x:c>
      <x:c r="M981" t="n">
        <x:v>28</x:v>
      </x:c>
      <x:c r="N981" s="24" t="n">
        <x:v>0</x:v>
      </x:c>
      <x:c r="O981" s="22" t="n">
        <x:f>L981*M981</x:f>
        <x:v>12880</x:v>
      </x:c>
      <x:c r="P981" s="22" t="n">
        <x:f>O981*(1-N981)</x:f>
        <x:v>12880</x:v>
      </x:c>
      <x:c r="Q981" s="22" t="n">
        <x:v>410</x:v>
      </x:c>
      <x:c r="R981" s="22" t="n">
        <x:f>Q981*M981</x:f>
        <x:v>11480</x:v>
      </x:c>
      <x:c r="S981" s="22" t="n">
        <x:f>P981-R981</x:f>
        <x:v>1400</x:v>
      </x:c>
      <x:c r="T981" t="str">
        <x:v>Credit</x:v>
      </x:c>
      <x:c r="U981" t="str">
        <x:v>Overdue</x:v>
      </x:c>
      <x:c r="V981" t="str">
        <x:v>Cancelled</x:v>
      </x:c>
      <x:c r="W981" t="n">
        <x:v>28</x:v>
      </x:c>
      <x:c r="X981" t="str">
        <x:v>Cancelled Order</x:v>
      </x:c>
      <x:c r="Y981" t="str">
        <x:v>Outbound Call</x:v>
      </x:c>
    </x:row>
    <x:row r="982">
      <x:c r="A982" t="str">
        <x:v>O000981</x:v>
      </x:c>
      <x:c r="B982" s="20" t="n">
        <x:v>45789</x:v>
      </x:c>
      <x:c r="C982" t="str">
        <x:v>C0102</x:v>
      </x:c>
      <x:c r="D982" t="str">
        <x:v>Annapurna Foods 102</x:v>
      </x:c>
      <x:c r="E982" t="str">
        <x:v>Cafe</x:v>
      </x:c>
      <x:c r="F982" t="str">
        <x:v>Davanagere</x:v>
      </x:c>
      <x:c r="G982" t="str">
        <x:v>Ramesh</x:v>
      </x:c>
      <x:c r="H982" t="str">
        <x:v>P046</x:v>
      </x:c>
      <x:c r="I982" t="str">
        <x:v>Potato 25kg</x:v>
      </x:c>
      <x:c r="J982" t="str">
        <x:v>Fresh Produce</x:v>
      </x:c>
      <x:c r="K982" t="str">
        <x:v>Local Market</x:v>
      </x:c>
      <x:c r="L982" s="22" t="n">
        <x:v>700</x:v>
      </x:c>
      <x:c r="M982" t="n">
        <x:v>31</x:v>
      </x:c>
      <x:c r="N982" s="24" t="n">
        <x:v>0.05</x:v>
      </x:c>
      <x:c r="O982" s="22" t="n">
        <x:f>L982*M982</x:f>
        <x:v>21700</x:v>
      </x:c>
      <x:c r="P982" s="22" t="n">
        <x:f>O982*(1-N982)</x:f>
        <x:v>20615</x:v>
      </x:c>
      <x:c r="Q982" s="22" t="n">
        <x:v>610</x:v>
      </x:c>
      <x:c r="R982" s="22" t="n">
        <x:f>Q982*M982</x:f>
        <x:v>18910</x:v>
      </x:c>
      <x:c r="S982" s="22" t="n">
        <x:f>P982-R982</x:f>
        <x:v>1705</x:v>
      </x:c>
      <x:c r="T982" t="str">
        <x:v>Credit</x:v>
      </x:c>
      <x:c r="U982" t="str">
        <x:v>Paid</x:v>
      </x:c>
      <x:c r="V982" t="str">
        <x:v>Cancelled</x:v>
      </x:c>
      <x:c r="W982" t="n">
        <x:v>31</x:v>
      </x:c>
      <x:c r="X982" t="str">
        <x:v>Cancelled Order</x:v>
      </x:c>
      <x:c r="Y982" t="str">
        <x:v>Referral</x:v>
      </x:c>
    </x:row>
    <x:row r="983">
      <x:c r="A983" t="str">
        <x:v>O000982</x:v>
      </x:c>
      <x:c r="B983" s="20" t="n">
        <x:v>45878</x:v>
      </x:c>
      <x:c r="C983" t="str">
        <x:v>C0069</x:v>
      </x:c>
      <x:c r="D983" t="str">
        <x:v>Cafe Hotel 69</x:v>
      </x:c>
      <x:c r="E983" t="str">
        <x:v>Supermarket</x:v>
      </x:c>
      <x:c r="F983" t="str">
        <x:v>Bengaluru</x:v>
      </x:c>
      <x:c r="G983" t="str">
        <x:v>Sneha</x:v>
      </x:c>
      <x:c r="H983" t="str">
        <x:v>P033</x:v>
      </x:c>
      <x:c r="I983" t="str">
        <x:v>Turmeric Powder 1kg</x:v>
      </x:c>
      <x:c r="J983" t="str">
        <x:v>Spices</x:v>
      </x:c>
      <x:c r="K983" t="str">
        <x:v>Everest</x:v>
      </x:c>
      <x:c r="L983" s="22" t="n">
        <x:v>310</x:v>
      </x:c>
      <x:c r="M983" t="n">
        <x:v>27</x:v>
      </x:c>
      <x:c r="N983" s="24" t="n">
        <x:v>0</x:v>
      </x:c>
      <x:c r="O983" s="22" t="n">
        <x:f>L983*M983</x:f>
        <x:v>8370</x:v>
      </x:c>
      <x:c r="P983" s="22" t="n">
        <x:f>O983*(1-N983)</x:f>
        <x:v>8370</x:v>
      </x:c>
      <x:c r="Q983" s="22" t="n">
        <x:v>270</x:v>
      </x:c>
      <x:c r="R983" s="22" t="n">
        <x:f>Q983*M983</x:f>
        <x:v>7290</x:v>
      </x:c>
      <x:c r="S983" s="22" t="n">
        <x:f>P983-R983</x:f>
        <x:v>1080</x:v>
      </x:c>
      <x:c r="T983" t="str">
        <x:v>Cash</x:v>
      </x:c>
      <x:c r="U983" t="str">
        <x:v>Paid</x:v>
      </x:c>
      <x:c r="V983" t="str">
        <x:v>Delivered</x:v>
      </x:c>
      <x:c r="W983" t="n">
        <x:v>0</x:v>
      </x:c>
      <x:c r="X983" t="str"/>
      <x:c r="Y983" t="str">
        <x:v>WhatsApp</x:v>
      </x:c>
    </x:row>
    <x:row r="984">
      <x:c r="A984" t="str">
        <x:v>O000983</x:v>
      </x:c>
      <x:c r="B984" s="20" t="n">
        <x:v>45932</x:v>
      </x:c>
      <x:c r="C984" t="str">
        <x:v>C0067</x:v>
      </x:c>
      <x:c r="D984" t="str">
        <x:v>Royal Restaurant 67</x:v>
      </x:c>
      <x:c r="E984" t="str">
        <x:v>Supermarket</x:v>
      </x:c>
      <x:c r="F984" t="str">
        <x:v>Tumakuru</x:v>
      </x:c>
      <x:c r="G984" t="str">
        <x:v>Sneha</x:v>
      </x:c>
      <x:c r="H984" t="str">
        <x:v>P004</x:v>
      </x:c>
      <x:c r="I984" t="str">
        <x:v>Toor Dal 5kg</x:v>
      </x:c>
      <x:c r="J984" t="str">
        <x:v>Pulses</x:v>
      </x:c>
      <x:c r="K984" t="str">
        <x:v>Tata Sampann</x:v>
      </x:c>
      <x:c r="L984" s="22" t="n">
        <x:v>780</x:v>
      </x:c>
      <x:c r="M984" t="n">
        <x:v>32</x:v>
      </x:c>
      <x:c r="N984" s="24" t="n">
        <x:v>0.05</x:v>
      </x:c>
      <x:c r="O984" s="22" t="n">
        <x:f>L984*M984</x:f>
        <x:v>24960</x:v>
      </x:c>
      <x:c r="P984" s="22" t="n">
        <x:f>O984*(1-N984)</x:f>
        <x:v>23712</x:v>
      </x:c>
      <x:c r="Q984" s="22" t="n">
        <x:v>695</x:v>
      </x:c>
      <x:c r="R984" s="22" t="n">
        <x:f>Q984*M984</x:f>
        <x:v>22240</x:v>
      </x:c>
      <x:c r="S984" s="22" t="n">
        <x:f>P984-R984</x:f>
        <x:v>1472</x:v>
      </x:c>
      <x:c r="T984" t="str">
        <x:v>Cash</x:v>
      </x:c>
      <x:c r="U984" t="str">
        <x:v>Paid</x:v>
      </x:c>
      <x:c r="V984" t="str">
        <x:v>Delivered</x:v>
      </x:c>
      <x:c r="W984" t="n">
        <x:v>0</x:v>
      </x:c>
      <x:c r="X984" t="str"/>
      <x:c r="Y984" t="str">
        <x:v>WhatsApp</x:v>
      </x:c>
    </x:row>
    <x:row r="985">
      <x:c r="A985" t="str">
        <x:v>O000984</x:v>
      </x:c>
      <x:c r="B985" s="20" t="n">
        <x:v>46206</x:v>
      </x:c>
      <x:c r="C985" t="str">
        <x:v>C0225</x:v>
      </x:c>
      <x:c r="D985" t="str">
        <x:v>Darshini Mart 225</x:v>
      </x:c>
      <x:c r="E985" t="str">
        <x:v>Restaurant</x:v>
      </x:c>
      <x:c r="F985" t="str">
        <x:v>Davanagere</x:v>
      </x:c>
      <x:c r="G985" t="str">
        <x:v>Kavya</x:v>
      </x:c>
      <x:c r="H985" t="str">
        <x:v>P011</x:v>
      </x:c>
      <x:c r="I985" t="str">
        <x:v>Salt 1kg</x:v>
      </x:c>
      <x:c r="J985" t="str">
        <x:v>Staples</x:v>
      </x:c>
      <x:c r="K985" t="str">
        <x:v>Tata</x:v>
      </x:c>
      <x:c r="L985" s="22" t="n">
        <x:v>28</x:v>
      </x:c>
      <x:c r="M985" t="n">
        <x:v>14</x:v>
      </x:c>
      <x:c r="N985" s="24" t="n">
        <x:v>0.05</x:v>
      </x:c>
      <x:c r="O985" s="22" t="n">
        <x:f>L985*M985</x:f>
        <x:v>392</x:v>
      </x:c>
      <x:c r="P985" s="22" t="n">
        <x:f>O985*(1-N985)</x:f>
        <x:v>372.4</x:v>
      </x:c>
      <x:c r="Q985" s="22" t="n">
        <x:v>23</x:v>
      </x:c>
      <x:c r="R985" s="22" t="n">
        <x:f>Q985*M985</x:f>
        <x:v>322</x:v>
      </x:c>
      <x:c r="S985" s="22" t="n">
        <x:f>P985-R985</x:f>
        <x:v>50.39999999999998</x:v>
      </x:c>
      <x:c r="T985" t="str">
        <x:v>UPI</x:v>
      </x:c>
      <x:c r="U985" t="str">
        <x:v>Overdue</x:v>
      </x:c>
      <x:c r="V985" t="str">
        <x:v>Delayed</x:v>
      </x:c>
      <x:c r="W985" t="n">
        <x:v>0</x:v>
      </x:c>
      <x:c r="X985" t="str"/>
      <x:c r="Y985" t="str">
        <x:v>Existing Customer</x:v>
      </x:c>
    </x:row>
    <x:row r="986">
      <x:c r="A986" t="str">
        <x:v>O000985</x:v>
      </x:c>
      <x:c r="B986" s="20" t="n">
        <x:v>45678</x:v>
      </x:c>
      <x:c r="C986" t="str">
        <x:v>C0155</x:v>
      </x:c>
      <x:c r="D986" t="str">
        <x:v>New Mart 155</x:v>
      </x:c>
      <x:c r="E986" t="str">
        <x:v>Hotel</x:v>
      </x:c>
      <x:c r="F986" t="str">
        <x:v>Mysuru</x:v>
      </x:c>
      <x:c r="G986" t="str">
        <x:v>Sneha</x:v>
      </x:c>
      <x:c r="H986" t="str">
        <x:v>P035</x:v>
      </x:c>
      <x:c r="I986" t="str">
        <x:v>Coriander Powder 1kg</x:v>
      </x:c>
      <x:c r="J986" t="str">
        <x:v>Spices</x:v>
      </x:c>
      <x:c r="K986" t="str">
        <x:v>Everest</x:v>
      </x:c>
      <x:c r="L986" s="22" t="n">
        <x:v>280</x:v>
      </x:c>
      <x:c r="M986" t="n">
        <x:v>2</x:v>
      </x:c>
      <x:c r="N986" s="24" t="n">
        <x:v>0.05</x:v>
      </x:c>
      <x:c r="O986" s="22" t="n">
        <x:f>L986*M986</x:f>
        <x:v>560</x:v>
      </x:c>
      <x:c r="P986" s="22" t="n">
        <x:f>O986*(1-N986)</x:f>
        <x:v>532</x:v>
      </x:c>
      <x:c r="Q986" s="22" t="n">
        <x:v>245</x:v>
      </x:c>
      <x:c r="R986" s="22" t="n">
        <x:f>Q986*M986</x:f>
        <x:v>490</x:v>
      </x:c>
      <x:c r="S986" s="22" t="n">
        <x:f>P986-R986</x:f>
        <x:v>42</x:v>
      </x:c>
      <x:c r="T986" t="str">
        <x:v>UPI</x:v>
      </x:c>
      <x:c r="U986" t="str">
        <x:v>Pending</x:v>
      </x:c>
      <x:c r="V986" t="str">
        <x:v>Delivered</x:v>
      </x:c>
      <x:c r="W986" t="n">
        <x:v>0</x:v>
      </x:c>
      <x:c r="X986" t="str"/>
      <x:c r="Y986" t="str">
        <x:v>Existing Customer</x:v>
      </x:c>
    </x:row>
    <x:row r="987">
      <x:c r="A987" t="str">
        <x:v>O000986</x:v>
      </x:c>
      <x:c r="B987" s="20" t="n">
        <x:v>45873</x:v>
      </x:c>
      <x:c r="C987" t="str">
        <x:v>C0013</x:v>
      </x:c>
      <x:c r="D987" t="str">
        <x:v>Foodie Restaurant 13</x:v>
      </x:c>
      <x:c r="E987" t="str">
        <x:v>Kirana</x:v>
      </x:c>
      <x:c r="F987" t="str">
        <x:v>Mysuru</x:v>
      </x:c>
      <x:c r="G987" t="str">
        <x:v>Sneha</x:v>
      </x:c>
      <x:c r="H987" t="str">
        <x:v>P034</x:v>
      </x:c>
      <x:c r="I987" t="str">
        <x:v>Chilli Powder 1kg</x:v>
      </x:c>
      <x:c r="J987" t="str">
        <x:v>Spices</x:v>
      </x:c>
      <x:c r="K987" t="str">
        <x:v>MDH</x:v>
      </x:c>
      <x:c r="L987" s="22" t="n">
        <x:v>340</x:v>
      </x:c>
      <x:c r="M987" t="n">
        <x:v>24</x:v>
      </x:c>
      <x:c r="N987" s="24" t="n">
        <x:v>0.03</x:v>
      </x:c>
      <x:c r="O987" s="22" t="n">
        <x:f>L987*M987</x:f>
        <x:v>8160</x:v>
      </x:c>
      <x:c r="P987" s="22" t="n">
        <x:f>O987*(1-N987)</x:f>
        <x:v>7915.2</x:v>
      </x:c>
      <x:c r="Q987" s="22" t="n">
        <x:v>295</x:v>
      </x:c>
      <x:c r="R987" s="22" t="n">
        <x:f>Q987*M987</x:f>
        <x:v>7080</x:v>
      </x:c>
      <x:c r="S987" s="22" t="n">
        <x:f>P987-R987</x:f>
        <x:v>835.1999999999998</x:v>
      </x:c>
      <x:c r="T987" t="str">
        <x:v>Bank Transfer</x:v>
      </x:c>
      <x:c r="U987" t="str">
        <x:v>Pending</x:v>
      </x:c>
      <x:c r="V987" t="str">
        <x:v>Delivered</x:v>
      </x:c>
      <x:c r="W987" t="n">
        <x:v>0</x:v>
      </x:c>
      <x:c r="X987" t="str"/>
      <x:c r="Y987" t="str">
        <x:v>Referral</x:v>
      </x:c>
    </x:row>
    <x:row r="988">
      <x:c r="A988" t="str">
        <x:v>O000987</x:v>
      </x:c>
      <x:c r="B988" s="20" t="n">
        <x:v>45997</x:v>
      </x:c>
      <x:c r="C988" t="str">
        <x:v>C0042</x:v>
      </x:c>
      <x:c r="D988" t="str">
        <x:v>Shree Restaurant 42</x:v>
      </x:c>
      <x:c r="E988" t="str">
        <x:v>Restaurant</x:v>
      </x:c>
      <x:c r="F988" t="str">
        <x:v>Mysuru</x:v>
      </x:c>
      <x:c r="G988" t="str">
        <x:v>Arjun</x:v>
      </x:c>
      <x:c r="H988" t="str">
        <x:v>P024</x:v>
      </x:c>
      <x:c r="I988" t="str">
        <x:v>Orange Drink 1L</x:v>
      </x:c>
      <x:c r="J988" t="str">
        <x:v>Beverage</x:v>
      </x:c>
      <x:c r="K988" t="str">
        <x:v>Minute Maid</x:v>
      </x:c>
      <x:c r="L988" s="22" t="n">
        <x:v>105</x:v>
      </x:c>
      <x:c r="M988" t="n">
        <x:v>27</x:v>
      </x:c>
      <x:c r="N988" s="24" t="n">
        <x:v>0</x:v>
      </x:c>
      <x:c r="O988" s="22" t="n">
        <x:f>L988*M988</x:f>
        <x:v>2835</x:v>
      </x:c>
      <x:c r="P988" s="22" t="n">
        <x:f>O988*(1-N988)</x:f>
        <x:v>2835</x:v>
      </x:c>
      <x:c r="Q988" s="22" t="n">
        <x:v>88</x:v>
      </x:c>
      <x:c r="R988" s="22" t="n">
        <x:f>Q988*M988</x:f>
        <x:v>2376</x:v>
      </x:c>
      <x:c r="S988" s="22" t="n">
        <x:f>P988-R988</x:f>
        <x:v>459</x:v>
      </x:c>
      <x:c r="T988" t="str">
        <x:v>Bank Transfer</x:v>
      </x:c>
      <x:c r="U988" t="str">
        <x:v>Overdue</x:v>
      </x:c>
      <x:c r="V988" t="str">
        <x:v>Delivered</x:v>
      </x:c>
      <x:c r="W988" t="n">
        <x:v>0</x:v>
      </x:c>
      <x:c r="X988" t="str"/>
      <x:c r="Y988" t="str">
        <x:v>Existing Customer</x:v>
      </x:c>
    </x:row>
    <x:row r="989">
      <x:c r="A989" t="str">
        <x:v>O000988</x:v>
      </x:c>
      <x:c r="B989" s="20" t="n">
        <x:v>45701</x:v>
      </x:c>
      <x:c r="C989" t="str">
        <x:v>C0102</x:v>
      </x:c>
      <x:c r="D989" t="str">
        <x:v>Annapurna Foods 102</x:v>
      </x:c>
      <x:c r="E989" t="str">
        <x:v>Cafe</x:v>
      </x:c>
      <x:c r="F989" t="str">
        <x:v>Davanagere</x:v>
      </x:c>
      <x:c r="G989" t="str">
        <x:v>Ramesh</x:v>
      </x:c>
      <x:c r="H989" t="str">
        <x:v>P032</x:v>
      </x:c>
      <x:c r="I989" t="str">
        <x:v>Soy Sauce 700g</x:v>
      </x:c>
      <x:c r="J989" t="str">
        <x:v>Condiments</x:v>
      </x:c>
      <x:c r="K989" t="str">
        <x:v>Ching's</x:v>
      </x:c>
      <x:c r="L989" s="22" t="n">
        <x:v>118</x:v>
      </x:c>
      <x:c r="M989" t="n">
        <x:v>11</x:v>
      </x:c>
      <x:c r="N989" s="24" t="n">
        <x:v>0.02</x:v>
      </x:c>
      <x:c r="O989" s="22" t="n">
        <x:f>L989*M989</x:f>
        <x:v>1298</x:v>
      </x:c>
      <x:c r="P989" s="22" t="n">
        <x:f>O989*(1-N989)</x:f>
        <x:v>1272.04</x:v>
      </x:c>
      <x:c r="Q989" s="22" t="n">
        <x:v>101</x:v>
      </x:c>
      <x:c r="R989" s="22" t="n">
        <x:f>Q989*M989</x:f>
        <x:v>1111</x:v>
      </x:c>
      <x:c r="S989" s="22" t="n">
        <x:f>P989-R989</x:f>
        <x:v>161.03999999999996</x:v>
      </x:c>
      <x:c r="T989" t="str">
        <x:v>UPI</x:v>
      </x:c>
      <x:c r="U989" t="str">
        <x:v>Paid</x:v>
      </x:c>
      <x:c r="V989" t="str">
        <x:v>Cancelled</x:v>
      </x:c>
      <x:c r="W989" t="n">
        <x:v>11</x:v>
      </x:c>
      <x:c r="X989" t="str">
        <x:v>Cancelled Order</x:v>
      </x:c>
      <x:c r="Y989" t="str">
        <x:v>Referral</x:v>
      </x:c>
    </x:row>
    <x:row r="990">
      <x:c r="A990" t="str">
        <x:v>O000989</x:v>
      </x:c>
      <x:c r="B990" s="20" t="n">
        <x:v>46044</x:v>
      </x:c>
      <x:c r="C990" t="str">
        <x:v>C0192</x:v>
      </x:c>
      <x:c r="D990" t="str">
        <x:v>Shree Kitchen 192</x:v>
      </x:c>
      <x:c r="E990" t="str">
        <x:v>Restaurant</x:v>
      </x:c>
      <x:c r="F990" t="str">
        <x:v>Mysuru</x:v>
      </x:c>
      <x:c r="G990" t="str">
        <x:v>Sneha</x:v>
      </x:c>
      <x:c r="H990" t="str">
        <x:v>P008</x:v>
      </x:c>
      <x:c r="I990" t="str">
        <x:v>Palm Oil 15L</x:v>
      </x:c>
      <x:c r="J990" t="str">
        <x:v>Edible Oil</x:v>
      </x:c>
      <x:c r="K990" t="str">
        <x:v>Ruchi Gold</x:v>
      </x:c>
      <x:c r="L990" s="22" t="n">
        <x:v>1760</x:v>
      </x:c>
      <x:c r="M990" t="n">
        <x:v>3</x:v>
      </x:c>
      <x:c r="N990" s="24" t="n">
        <x:v>0.05</x:v>
      </x:c>
      <x:c r="O990" s="22" t="n">
        <x:f>L990*M990</x:f>
        <x:v>5280</x:v>
      </x:c>
      <x:c r="P990" s="22" t="n">
        <x:f>O990*(1-N990)</x:f>
        <x:v>5016</x:v>
      </x:c>
      <x:c r="Q990" s="22" t="n">
        <x:v>1610</x:v>
      </x:c>
      <x:c r="R990" s="22" t="n">
        <x:f>Q990*M990</x:f>
        <x:v>4830</x:v>
      </x:c>
      <x:c r="S990" s="22" t="n">
        <x:f>P990-R990</x:f>
        <x:v>186</x:v>
      </x:c>
      <x:c r="T990" t="str">
        <x:v>Cash</x:v>
      </x:c>
      <x:c r="U990" t="str">
        <x:v>Pending</x:v>
      </x:c>
      <x:c r="V990" t="str">
        <x:v>Delivered</x:v>
      </x:c>
      <x:c r="W990" t="n">
        <x:v>0</x:v>
      </x:c>
      <x:c r="X990" t="str"/>
      <x:c r="Y990" t="str">
        <x:v>WhatsApp</x:v>
      </x:c>
    </x:row>
    <x:row r="991">
      <x:c r="A991" t="str">
        <x:v>O000990</x:v>
      </x:c>
      <x:c r="B991" s="20" t="n">
        <x:v>46277</x:v>
      </x:c>
      <x:c r="C991" t="str">
        <x:v>C0191</x:v>
      </x:c>
      <x:c r="D991" t="str">
        <x:v>Foodie Kitchen 191</x:v>
      </x:c>
      <x:c r="E991" t="str">
        <x:v>Cafe</x:v>
      </x:c>
      <x:c r="F991" t="str">
        <x:v>Mysuru</x:v>
      </x:c>
      <x:c r="G991" t="str">
        <x:v>Priya</x:v>
      </x:c>
      <x:c r="H991" t="str">
        <x:v>P035</x:v>
      </x:c>
      <x:c r="I991" t="str">
        <x:v>Coriander Powder 1kg</x:v>
      </x:c>
      <x:c r="J991" t="str">
        <x:v>Spices</x:v>
      </x:c>
      <x:c r="K991" t="str">
        <x:v>Everest</x:v>
      </x:c>
      <x:c r="L991" s="22" t="n">
        <x:v>280</x:v>
      </x:c>
      <x:c r="M991" t="n">
        <x:v>10</x:v>
      </x:c>
      <x:c r="N991" s="24" t="n">
        <x:v>0</x:v>
      </x:c>
      <x:c r="O991" s="22" t="n">
        <x:f>L991*M991</x:f>
        <x:v>2800</x:v>
      </x:c>
      <x:c r="P991" s="22" t="n">
        <x:f>O991*(1-N991)</x:f>
        <x:v>2800</x:v>
      </x:c>
      <x:c r="Q991" s="22" t="n">
        <x:v>245</x:v>
      </x:c>
      <x:c r="R991" s="22" t="n">
        <x:f>Q991*M991</x:f>
        <x:v>2450</x:v>
      </x:c>
      <x:c r="S991" s="22" t="n">
        <x:f>P991-R991</x:f>
        <x:v>350</x:v>
      </x:c>
      <x:c r="T991" t="str">
        <x:v>Credit</x:v>
      </x:c>
      <x:c r="U991" t="str">
        <x:v>Paid</x:v>
      </x:c>
      <x:c r="V991" t="str">
        <x:v>Delayed</x:v>
      </x:c>
      <x:c r="W991" t="n">
        <x:v>0</x:v>
      </x:c>
      <x:c r="X991" t="str"/>
      <x:c r="Y991" t="str">
        <x:v>Field Visit</x:v>
      </x:c>
    </x:row>
    <x:row r="992">
      <x:c r="A992" t="str">
        <x:v>O000991</x:v>
      </x:c>
      <x:c r="B992" s="20" t="n">
        <x:v>45681</x:v>
      </x:c>
      <x:c r="C992" t="str">
        <x:v>C0109</x:v>
      </x:c>
      <x:c r="D992" t="str">
        <x:v>Annapurna Kitchen 109</x:v>
      </x:c>
      <x:c r="E992" t="str">
        <x:v>Kirana</x:v>
      </x:c>
      <x:c r="F992" t="str">
        <x:v>Mysuru</x:v>
      </x:c>
      <x:c r="G992" t="str">
        <x:v>Kavya</x:v>
      </x:c>
      <x:c r="H992" t="str">
        <x:v>P033</x:v>
      </x:c>
      <x:c r="I992" t="str">
        <x:v>Turmeric Powder 1kg</x:v>
      </x:c>
      <x:c r="J992" t="str">
        <x:v>Spices</x:v>
      </x:c>
      <x:c r="K992" t="str">
        <x:v>Everest</x:v>
      </x:c>
      <x:c r="L992" s="22" t="n">
        <x:v>310</x:v>
      </x:c>
      <x:c r="M992" t="n">
        <x:v>20</x:v>
      </x:c>
      <x:c r="N992" s="24" t="n">
        <x:v>0.02</x:v>
      </x:c>
      <x:c r="O992" s="22" t="n">
        <x:f>L992*M992</x:f>
        <x:v>6200</x:v>
      </x:c>
      <x:c r="P992" s="22" t="n">
        <x:f>O992*(1-N992)</x:f>
        <x:v>6076</x:v>
      </x:c>
      <x:c r="Q992" s="22" t="n">
        <x:v>270</x:v>
      </x:c>
      <x:c r="R992" s="22" t="n">
        <x:f>Q992*M992</x:f>
        <x:v>5400</x:v>
      </x:c>
      <x:c r="S992" s="22" t="n">
        <x:f>P992-R992</x:f>
        <x:v>676</x:v>
      </x:c>
      <x:c r="T992" t="str">
        <x:v>Bank Transfer</x:v>
      </x:c>
      <x:c r="U992" t="str">
        <x:v>Paid</x:v>
      </x:c>
      <x:c r="V992" t="str">
        <x:v>Cancelled</x:v>
      </x:c>
      <x:c r="W992" t="n">
        <x:v>20</x:v>
      </x:c>
      <x:c r="X992" t="str">
        <x:v>Cancelled Order</x:v>
      </x:c>
      <x:c r="Y992" t="str">
        <x:v>Existing Customer</x:v>
      </x:c>
    </x:row>
    <x:row r="993">
      <x:c r="A993" t="str">
        <x:v>O000992</x:v>
      </x:c>
      <x:c r="B993" s="20" t="n">
        <x:v>45753</x:v>
      </x:c>
      <x:c r="C993" t="str">
        <x:v>C0075</x:v>
      </x:c>
      <x:c r="D993" t="str">
        <x:v>Spice Foods 75</x:v>
      </x:c>
      <x:c r="E993" t="str">
        <x:v>Kirana</x:v>
      </x:c>
      <x:c r="F993" t="str">
        <x:v>Hubballi</x:v>
      </x:c>
      <x:c r="G993" t="str">
        <x:v>Vikram</x:v>
      </x:c>
      <x:c r="H993" t="str">
        <x:v>P028</x:v>
      </x:c>
      <x:c r="I993" t="str">
        <x:v>Cookies 200g</x:v>
      </x:c>
      <x:c r="J993" t="str">
        <x:v>Snacks</x:v>
      </x:c>
      <x:c r="K993" t="str">
        <x:v>Britannia</x:v>
      </x:c>
      <x:c r="L993" s="22" t="n">
        <x:v>55</x:v>
      </x:c>
      <x:c r="M993" t="n">
        <x:v>15</x:v>
      </x:c>
      <x:c r="N993" s="24" t="n">
        <x:v>0.1</x:v>
      </x:c>
      <x:c r="O993" s="22" t="n">
        <x:f>L993*M993</x:f>
        <x:v>825</x:v>
      </x:c>
      <x:c r="P993" s="22" t="n">
        <x:f>O993*(1-N993)</x:f>
        <x:v>742.5</x:v>
      </x:c>
      <x:c r="Q993" s="22" t="n">
        <x:v>42</x:v>
      </x:c>
      <x:c r="R993" s="22" t="n">
        <x:f>Q993*M993</x:f>
        <x:v>630</x:v>
      </x:c>
      <x:c r="S993" s="22" t="n">
        <x:f>P993-R993</x:f>
        <x:v>112.5</x:v>
      </x:c>
      <x:c r="T993" t="str">
        <x:v>Cash</x:v>
      </x:c>
      <x:c r="U993" t="str">
        <x:v>Paid</x:v>
      </x:c>
      <x:c r="V993" t="str">
        <x:v>Cancelled</x:v>
      </x:c>
      <x:c r="W993" t="n">
        <x:v>15</x:v>
      </x:c>
      <x:c r="X993" t="str">
        <x:v>Cancelled Order</x:v>
      </x:c>
      <x:c r="Y993" t="str">
        <x:v>Existing Customer</x:v>
      </x:c>
    </x:row>
    <x:row r="994">
      <x:c r="A994" t="str">
        <x:v>O000993</x:v>
      </x:c>
      <x:c r="B994" s="20" t="n">
        <x:v>46166</x:v>
      </x:c>
      <x:c r="C994" t="str">
        <x:v>C0098</x:v>
      </x:c>
      <x:c r="D994" t="str">
        <x:v>City Stores 98</x:v>
      </x:c>
      <x:c r="E994" t="str">
        <x:v>Canteen</x:v>
      </x:c>
      <x:c r="F994" t="str">
        <x:v>Mangaluru</x:v>
      </x:c>
      <x:c r="G994" t="str">
        <x:v>Imran</x:v>
      </x:c>
      <x:c r="H994" t="str">
        <x:v>P002</x:v>
      </x:c>
      <x:c r="I994" t="str">
        <x:v>Sona Masoori Rice 25kg</x:v>
      </x:c>
      <x:c r="J994" t="str">
        <x:v>Staples</x:v>
      </x:c>
      <x:c r="K994" t="str">
        <x:v>Fortune</x:v>
      </x:c>
      <x:c r="L994" s="22" t="n">
        <x:v>1320</x:v>
      </x:c>
      <x:c r="M994" t="n">
        <x:v>6</x:v>
      </x:c>
      <x:c r="N994" s="24" t="n">
        <x:v>0.05</x:v>
      </x:c>
      <x:c r="O994" s="22" t="n">
        <x:f>L994*M994</x:f>
        <x:v>7920</x:v>
      </x:c>
      <x:c r="P994" s="22" t="n">
        <x:f>O994*(1-N994)</x:f>
        <x:v>7524</x:v>
      </x:c>
      <x:c r="Q994" s="22" t="n">
        <x:v>1160</x:v>
      </x:c>
      <x:c r="R994" s="22" t="n">
        <x:f>Q994*M994</x:f>
        <x:v>6960</x:v>
      </x:c>
      <x:c r="S994" s="22" t="n">
        <x:f>P994-R994</x:f>
        <x:v>564</x:v>
      </x:c>
      <x:c r="T994" t="str">
        <x:v>UPI</x:v>
      </x:c>
      <x:c r="U994" t="str">
        <x:v>Paid</x:v>
      </x:c>
      <x:c r="V994" t="str">
        <x:v>Delayed</x:v>
      </x:c>
      <x:c r="W994" t="n">
        <x:v>0</x:v>
      </x:c>
      <x:c r="X994" t="str"/>
      <x:c r="Y994" t="str">
        <x:v>Outbound Call</x:v>
      </x:c>
    </x:row>
    <x:row r="995">
      <x:c r="A995" t="str">
        <x:v>O000994</x:v>
      </x:c>
      <x:c r="B995" s="20" t="n">
        <x:v>46036</x:v>
      </x:c>
      <x:c r="C995" t="str">
        <x:v>C0060</x:v>
      </x:c>
      <x:c r="D995" t="str">
        <x:v>Sagar Stores 60</x:v>
      </x:c>
      <x:c r="E995" t="str">
        <x:v>Cafe</x:v>
      </x:c>
      <x:c r="F995" t="str">
        <x:v>Hubballi</x:v>
      </x:c>
      <x:c r="G995" t="str">
        <x:v>Imran</x:v>
      </x:c>
      <x:c r="H995" t="str">
        <x:v>P029</x:v>
      </x:c>
      <x:c r="I995" t="str">
        <x:v>Tomato Ketchup 1kg</x:v>
      </x:c>
      <x:c r="J995" t="str">
        <x:v>Condiments</x:v>
      </x:c>
      <x:c r="K995" t="str">
        <x:v>Kissan</x:v>
      </x:c>
      <x:c r="L995" s="22" t="n">
        <x:v>145</x:v>
      </x:c>
      <x:c r="M995" t="n">
        <x:v>31</x:v>
      </x:c>
      <x:c r="N995" s="24" t="n">
        <x:v>0.03</x:v>
      </x:c>
      <x:c r="O995" s="22" t="n">
        <x:f>L995*M995</x:f>
        <x:v>4495</x:v>
      </x:c>
      <x:c r="P995" s="22" t="n">
        <x:f>O995*(1-N995)</x:f>
        <x:v>4360.15</x:v>
      </x:c>
      <x:c r="Q995" s="22" t="n">
        <x:v>126</x:v>
      </x:c>
      <x:c r="R995" s="22" t="n">
        <x:f>Q995*M995</x:f>
        <x:v>3906</x:v>
      </x:c>
      <x:c r="S995" s="22" t="n">
        <x:f>P995-R995</x:f>
        <x:v>454.14999999999964</x:v>
      </x:c>
      <x:c r="T995" t="str">
        <x:v>Cash</x:v>
      </x:c>
      <x:c r="U995" t="str">
        <x:v>Paid</x:v>
      </x:c>
      <x:c r="V995" t="str">
        <x:v>Cancelled</x:v>
      </x:c>
      <x:c r="W995" t="n">
        <x:v>31</x:v>
      </x:c>
      <x:c r="X995" t="str">
        <x:v>Cancelled Order</x:v>
      </x:c>
      <x:c r="Y995" t="str">
        <x:v>Outbound Call</x:v>
      </x:c>
    </x:row>
    <x:row r="996">
      <x:c r="A996" t="str">
        <x:v>O000995</x:v>
      </x:c>
      <x:c r="B996" s="20" t="n">
        <x:v>46159</x:v>
      </x:c>
      <x:c r="C996" t="str">
        <x:v>C0044</x:v>
      </x:c>
      <x:c r="D996" t="str">
        <x:v>Annapurna Mart 44</x:v>
      </x:c>
      <x:c r="E996" t="str">
        <x:v>Kirana</x:v>
      </x:c>
      <x:c r="F996" t="str">
        <x:v>Davanagere</x:v>
      </x:c>
      <x:c r="G996" t="str">
        <x:v>Priya</x:v>
      </x:c>
      <x:c r="H996" t="str">
        <x:v>P014</x:v>
      </x:c>
      <x:c r="I996" t="str">
        <x:v>Rava 5kg</x:v>
      </x:c>
      <x:c r="J996" t="str">
        <x:v>Flour</x:v>
      </x:c>
      <x:c r="K996" t="str">
        <x:v>Local Select</x:v>
      </x:c>
      <x:c r="L996" s="22" t="n">
        <x:v>245</x:v>
      </x:c>
      <x:c r="M996" t="n">
        <x:v>38</x:v>
      </x:c>
      <x:c r="N996" s="24" t="n">
        <x:v>0</x:v>
      </x:c>
      <x:c r="O996" s="22" t="n">
        <x:f>L996*M996</x:f>
        <x:v>9310</x:v>
      </x:c>
      <x:c r="P996" s="22" t="n">
        <x:f>O996*(1-N996)</x:f>
        <x:v>9310</x:v>
      </x:c>
      <x:c r="Q996" s="22" t="n">
        <x:v>215</x:v>
      </x:c>
      <x:c r="R996" s="22" t="n">
        <x:f>Q996*M996</x:f>
        <x:v>8170</x:v>
      </x:c>
      <x:c r="S996" s="22" t="n">
        <x:f>P996-R996</x:f>
        <x:v>1140</x:v>
      </x:c>
      <x:c r="T996" t="str">
        <x:v>Bank Transfer</x:v>
      </x:c>
      <x:c r="U996" t="str">
        <x:v>Paid</x:v>
      </x:c>
      <x:c r="V996" t="str">
        <x:v>Delivered</x:v>
      </x:c>
      <x:c r="W996" t="n">
        <x:v>0</x:v>
      </x:c>
      <x:c r="X996" t="str"/>
      <x:c r="Y996" t="str">
        <x:v>Existing Customer</x:v>
      </x:c>
    </x:row>
    <x:row r="997">
      <x:c r="A997" t="str">
        <x:v>O000996</x:v>
      </x:c>
      <x:c r="B997" s="20" t="n">
        <x:v>46163</x:v>
      </x:c>
      <x:c r="C997" t="str">
        <x:v>C0016</x:v>
      </x:c>
      <x:c r="D997" t="str">
        <x:v>Royal Canteen 16</x:v>
      </x:c>
      <x:c r="E997" t="str">
        <x:v>Cafe</x:v>
      </x:c>
      <x:c r="F997" t="str">
        <x:v>Davanagere</x:v>
      </x:c>
      <x:c r="G997" t="str">
        <x:v>Megha</x:v>
      </x:c>
      <x:c r="H997" t="str">
        <x:v>P050</x:v>
      </x:c>
      <x:c r="I997" t="str">
        <x:v>Lemon 5kg</x:v>
      </x:c>
      <x:c r="J997" t="str">
        <x:v>Fresh Produce</x:v>
      </x:c>
      <x:c r="K997" t="str">
        <x:v>Local Market</x:v>
      </x:c>
      <x:c r="L997" s="22" t="n">
        <x:v>360</x:v>
      </x:c>
      <x:c r="M997" t="n">
        <x:v>17</x:v>
      </x:c>
      <x:c r="N997" s="24" t="n">
        <x:v>0.03</x:v>
      </x:c>
      <x:c r="O997" s="22" t="n">
        <x:f>L997*M997</x:f>
        <x:v>6120</x:v>
      </x:c>
      <x:c r="P997" s="22" t="n">
        <x:f>O997*(1-N997)</x:f>
        <x:v>5936.4</x:v>
      </x:c>
      <x:c r="Q997" s="22" t="n">
        <x:v>300</x:v>
      </x:c>
      <x:c r="R997" s="22" t="n">
        <x:f>Q997*M997</x:f>
        <x:v>5100</x:v>
      </x:c>
      <x:c r="S997" s="22" t="n">
        <x:f>P997-R997</x:f>
        <x:v>836.3999999999996</x:v>
      </x:c>
      <x:c r="T997" t="str">
        <x:v>Cash</x:v>
      </x:c>
      <x:c r="U997" t="str">
        <x:v>Pending</x:v>
      </x:c>
      <x:c r="V997" t="str">
        <x:v>Delivered</x:v>
      </x:c>
      <x:c r="W997" t="n">
        <x:v>0</x:v>
      </x:c>
      <x:c r="X997" t="str"/>
      <x:c r="Y997" t="str">
        <x:v>Existing Customer</x:v>
      </x:c>
    </x:row>
    <x:row r="998">
      <x:c r="A998" t="str">
        <x:v>O000997</x:v>
      </x:c>
      <x:c r="B998" s="20" t="n">
        <x:v>45932</x:v>
      </x:c>
      <x:c r="C998" t="str">
        <x:v>C0224</x:v>
      </x:c>
      <x:c r="D998" t="str">
        <x:v>Royal Foods 224</x:v>
      </x:c>
      <x:c r="E998" t="str">
        <x:v>Canteen</x:v>
      </x:c>
      <x:c r="F998" t="str">
        <x:v>Tumakuru</x:v>
      </x:c>
      <x:c r="G998" t="str">
        <x:v>Arjun</x:v>
      </x:c>
      <x:c r="H998" t="str">
        <x:v>P001</x:v>
      </x:c>
      <x:c r="I998" t="str">
        <x:v>Steam Rice 25kg</x:v>
      </x:c>
      <x:c r="J998" t="str">
        <x:v>Staples</x:v>
      </x:c>
      <x:c r="K998" t="str">
        <x:v>Aishwarya</x:v>
      </x:c>
      <x:c r="L998" s="22" t="n">
        <x:v>1180</x:v>
      </x:c>
      <x:c r="M998" t="n">
        <x:v>9</x:v>
      </x:c>
      <x:c r="N998" s="24" t="n">
        <x:v>0.05</x:v>
      </x:c>
      <x:c r="O998" s="22" t="n">
        <x:f>L998*M998</x:f>
        <x:v>10620</x:v>
      </x:c>
      <x:c r="P998" s="22" t="n">
        <x:f>O998*(1-N998)</x:f>
        <x:v>10089</x:v>
      </x:c>
      <x:c r="Q998" s="22" t="n">
        <x:v>1040</x:v>
      </x:c>
      <x:c r="R998" s="22" t="n">
        <x:f>Q998*M998</x:f>
        <x:v>9360</x:v>
      </x:c>
      <x:c r="S998" s="22" t="n">
        <x:f>P998-R998</x:f>
        <x:v>729</x:v>
      </x:c>
      <x:c r="T998" t="str">
        <x:v>Credit</x:v>
      </x:c>
      <x:c r="U998" t="str">
        <x:v>Paid</x:v>
      </x:c>
      <x:c r="V998" t="str">
        <x:v>Cancelled</x:v>
      </x:c>
      <x:c r="W998" t="n">
        <x:v>9</x:v>
      </x:c>
      <x:c r="X998" t="str">
        <x:v>Cancelled Order</x:v>
      </x:c>
      <x:c r="Y998" t="str">
        <x:v>Referral</x:v>
      </x:c>
    </x:row>
    <x:row r="999">
      <x:c r="A999" t="str">
        <x:v>O000998</x:v>
      </x:c>
      <x:c r="B999" s="20" t="n">
        <x:v>46184</x:v>
      </x:c>
      <x:c r="C999" t="str">
        <x:v>C0182</x:v>
      </x:c>
      <x:c r="D999" t="str">
        <x:v>Mysore Foods 182</x:v>
      </x:c>
      <x:c r="E999" t="str">
        <x:v>Restaurant</x:v>
      </x:c>
      <x:c r="F999" t="str">
        <x:v>Bengaluru</x:v>
      </x:c>
      <x:c r="G999" t="str">
        <x:v>Vikram</x:v>
      </x:c>
      <x:c r="H999" t="str">
        <x:v>P031</x:v>
      </x:c>
      <x:c r="I999" t="str">
        <x:v>Chilli Sauce 700g</x:v>
      </x:c>
      <x:c r="J999" t="str">
        <x:v>Condiments</x:v>
      </x:c>
      <x:c r="K999" t="str">
        <x:v>Ching's</x:v>
      </x:c>
      <x:c r="L999" s="22" t="n">
        <x:v>130</x:v>
      </x:c>
      <x:c r="M999" t="n">
        <x:v>36</x:v>
      </x:c>
      <x:c r="N999" s="24" t="n">
        <x:v>0.08</x:v>
      </x:c>
      <x:c r="O999" s="22" t="n">
        <x:f>L999*M999</x:f>
        <x:v>4680</x:v>
      </x:c>
      <x:c r="P999" s="22" t="n">
        <x:f>O999*(1-N999)</x:f>
        <x:v>4305.6</x:v>
      </x:c>
      <x:c r="Q999" s="22" t="n">
        <x:v>112</x:v>
      </x:c>
      <x:c r="R999" s="22" t="n">
        <x:f>Q999*M999</x:f>
        <x:v>4032</x:v>
      </x:c>
      <x:c r="S999" s="22" t="n">
        <x:f>P999-R999</x:f>
        <x:v>273.60000000000036</x:v>
      </x:c>
      <x:c r="T999" t="str">
        <x:v>UPI</x:v>
      </x:c>
      <x:c r="U999" t="str">
        <x:v>Overdue</x:v>
      </x:c>
      <x:c r="V999" t="str">
        <x:v>Delivered</x:v>
      </x:c>
      <x:c r="W999" t="n">
        <x:v>0</x:v>
      </x:c>
      <x:c r="X999" t="str"/>
      <x:c r="Y999" t="str">
        <x:v>WhatsApp</x:v>
      </x:c>
    </x:row>
    <x:row r="1000">
      <x:c r="A1000" t="str">
        <x:v>O000999</x:v>
      </x:c>
      <x:c r="B1000" s="20" t="n">
        <x:v>46190</x:v>
      </x:c>
      <x:c r="C1000" t="str">
        <x:v>C0004</x:v>
      </x:c>
      <x:c r="D1000" t="str">
        <x:v>Annapurna Foods 4</x:v>
      </x:c>
      <x:c r="E1000" t="str">
        <x:v>Cafe</x:v>
      </x:c>
      <x:c r="F1000" t="str">
        <x:v>Mysuru</x:v>
      </x:c>
      <x:c r="G1000" t="str">
        <x:v>Priya</x:v>
      </x:c>
      <x:c r="H1000" t="str">
        <x:v>P011</x:v>
      </x:c>
      <x:c r="I1000" t="str">
        <x:v>Salt 1kg</x:v>
      </x:c>
      <x:c r="J1000" t="str">
        <x:v>Staples</x:v>
      </x:c>
      <x:c r="K1000" t="str">
        <x:v>Tata</x:v>
      </x:c>
      <x:c r="L1000" s="22" t="n">
        <x:v>28</x:v>
      </x:c>
      <x:c r="M1000" t="n">
        <x:v>8</x:v>
      </x:c>
      <x:c r="N1000" s="24" t="n">
        <x:v>0</x:v>
      </x:c>
      <x:c r="O1000" s="22" t="n">
        <x:f>L1000*M1000</x:f>
        <x:v>224</x:v>
      </x:c>
      <x:c r="P1000" s="22" t="n">
        <x:f>O1000*(1-N1000)</x:f>
        <x:v>224</x:v>
      </x:c>
      <x:c r="Q1000" s="22" t="n">
        <x:v>23</x:v>
      </x:c>
      <x:c r="R1000" s="22" t="n">
        <x:f>Q1000*M1000</x:f>
        <x:v>184</x:v>
      </x:c>
      <x:c r="S1000" s="22" t="n">
        <x:f>P1000-R1000</x:f>
        <x:v>40</x:v>
      </x:c>
      <x:c r="T1000" t="str">
        <x:v>Credit</x:v>
      </x:c>
      <x:c r="U1000" t="str">
        <x:v>Pending</x:v>
      </x:c>
      <x:c r="V1000" t="str">
        <x:v>Delivered</x:v>
      </x:c>
      <x:c r="W1000" t="n">
        <x:v>4</x:v>
      </x:c>
      <x:c r="X1000" t="str">
        <x:v>Late Delivery</x:v>
      </x:c>
      <x:c r="Y1000" t="str">
        <x:v>Referral</x:v>
      </x:c>
    </x:row>
    <x:row r="1001">
      <x:c r="A1001" t="str">
        <x:v>O001000</x:v>
      </x:c>
      <x:c r="B1001" s="20" t="n">
        <x:v>45801</x:v>
      </x:c>
      <x:c r="C1001" t="str">
        <x:v>C0135</x:v>
      </x:c>
      <x:c r="D1001" t="str">
        <x:v>City Canteen 135</x:v>
      </x:c>
      <x:c r="E1001" t="str">
        <x:v>Supermarket</x:v>
      </x:c>
      <x:c r="F1001" t="str">
        <x:v>Hubballi</x:v>
      </x:c>
      <x:c r="G1001" t="str">
        <x:v>Megha</x:v>
      </x:c>
      <x:c r="H1001" t="str">
        <x:v>P032</x:v>
      </x:c>
      <x:c r="I1001" t="str">
        <x:v>Soy Sauce 700g</x:v>
      </x:c>
      <x:c r="J1001" t="str">
        <x:v>Condiments</x:v>
      </x:c>
      <x:c r="K1001" t="str">
        <x:v>Ching's</x:v>
      </x:c>
      <x:c r="L1001" s="22" t="n">
        <x:v>118</x:v>
      </x:c>
      <x:c r="M1001" t="n">
        <x:v>36</x:v>
      </x:c>
      <x:c r="N1001" s="24" t="n">
        <x:v>0.03</x:v>
      </x:c>
      <x:c r="O1001" s="22" t="n">
        <x:f>L1001*M1001</x:f>
        <x:v>4248</x:v>
      </x:c>
      <x:c r="P1001" s="22" t="n">
        <x:f>O1001*(1-N1001)</x:f>
        <x:v>4120.5599999999995</x:v>
      </x:c>
      <x:c r="Q1001" s="22" t="n">
        <x:v>101</x:v>
      </x:c>
      <x:c r="R1001" s="22" t="n">
        <x:f>Q1001*M1001</x:f>
        <x:v>3636</x:v>
      </x:c>
      <x:c r="S1001" s="22" t="n">
        <x:f>P1001-R1001</x:f>
        <x:v>484.5599999999995</x:v>
      </x:c>
      <x:c r="T1001" t="str">
        <x:v>UPI</x:v>
      </x:c>
      <x:c r="U1001" t="str">
        <x:v>Paid</x:v>
      </x:c>
      <x:c r="V1001" t="str">
        <x:v>Delivered</x:v>
      </x:c>
      <x:c r="W1001" t="n">
        <x:v>0</x:v>
      </x:c>
      <x:c r="X1001" t="str"/>
      <x:c r="Y1001" t="str">
        <x:v>Field Visit</x:v>
      </x:c>
    </x:row>
    <x:row r="1002">
      <x:c r="A1002" t="str">
        <x:v>O001001</x:v>
      </x:c>
      <x:c r="B1002" s="20" t="n">
        <x:v>46235</x:v>
      </x:c>
      <x:c r="C1002" t="str">
        <x:v>C0158</x:v>
      </x:c>
      <x:c r="D1002" t="str">
        <x:v>Cafe Stores 158</x:v>
      </x:c>
      <x:c r="E1002" t="str">
        <x:v>Cafe</x:v>
      </x:c>
      <x:c r="F1002" t="str">
        <x:v>Mysuru</x:v>
      </x:c>
      <x:c r="G1002" t="str">
        <x:v>Priya</x:v>
      </x:c>
      <x:c r="H1002" t="str">
        <x:v>P024</x:v>
      </x:c>
      <x:c r="I1002" t="str">
        <x:v>Orange Drink 1L</x:v>
      </x:c>
      <x:c r="J1002" t="str">
        <x:v>Beverage</x:v>
      </x:c>
      <x:c r="K1002" t="str">
        <x:v>Minute Maid</x:v>
      </x:c>
      <x:c r="L1002" s="22" t="n">
        <x:v>105</x:v>
      </x:c>
      <x:c r="M1002" t="n">
        <x:v>11</x:v>
      </x:c>
      <x:c r="N1002" s="24" t="n">
        <x:v>0</x:v>
      </x:c>
      <x:c r="O1002" s="22" t="n">
        <x:f>L1002*M1002</x:f>
        <x:v>1155</x:v>
      </x:c>
      <x:c r="P1002" s="22" t="n">
        <x:f>O1002*(1-N1002)</x:f>
        <x:v>1155</x:v>
      </x:c>
      <x:c r="Q1002" s="22" t="n">
        <x:v>88</x:v>
      </x:c>
      <x:c r="R1002" s="22" t="n">
        <x:f>Q1002*M1002</x:f>
        <x:v>968</x:v>
      </x:c>
      <x:c r="S1002" s="22" t="n">
        <x:f>P1002-R1002</x:f>
        <x:v>187</x:v>
      </x:c>
      <x:c r="T1002" t="str">
        <x:v>Bank Transfer</x:v>
      </x:c>
      <x:c r="U1002" t="str">
        <x:v>Pending</x:v>
      </x:c>
      <x:c r="V1002" t="str">
        <x:v>Cancelled</x:v>
      </x:c>
      <x:c r="W1002" t="n">
        <x:v>11</x:v>
      </x:c>
      <x:c r="X1002" t="str">
        <x:v>Cancelled Order</x:v>
      </x:c>
      <x:c r="Y1002" t="str">
        <x:v>Field Visit</x:v>
      </x:c>
    </x:row>
    <x:row r="1003">
      <x:c r="A1003" t="str">
        <x:v>O001002</x:v>
      </x:c>
      <x:c r="B1003" s="20" t="n">
        <x:v>46131</x:v>
      </x:c>
      <x:c r="C1003" t="str">
        <x:v>C0065</x:v>
      </x:c>
      <x:c r="D1003" t="str">
        <x:v>Mysore Stores 65</x:v>
      </x:c>
      <x:c r="E1003" t="str">
        <x:v>Kirana</x:v>
      </x:c>
      <x:c r="F1003" t="str">
        <x:v>Tumakuru</x:v>
      </x:c>
      <x:c r="G1003" t="str">
        <x:v>Sneha</x:v>
      </x:c>
      <x:c r="H1003" t="str">
        <x:v>P031</x:v>
      </x:c>
      <x:c r="I1003" t="str">
        <x:v>Chilli Sauce 700g</x:v>
      </x:c>
      <x:c r="J1003" t="str">
        <x:v>Condiments</x:v>
      </x:c>
      <x:c r="K1003" t="str">
        <x:v>Ching's</x:v>
      </x:c>
      <x:c r="L1003" s="22" t="n">
        <x:v>130</x:v>
      </x:c>
      <x:c r="M1003" t="n">
        <x:v>14</x:v>
      </x:c>
      <x:c r="N1003" s="24" t="n">
        <x:v>0.08</x:v>
      </x:c>
      <x:c r="O1003" s="22" t="n">
        <x:f>L1003*M1003</x:f>
        <x:v>1820</x:v>
      </x:c>
      <x:c r="P1003" s="22" t="n">
        <x:f>O1003*(1-N1003)</x:f>
        <x:v>1674.4</x:v>
      </x:c>
      <x:c r="Q1003" s="22" t="n">
        <x:v>112</x:v>
      </x:c>
      <x:c r="R1003" s="22" t="n">
        <x:f>Q1003*M1003</x:f>
        <x:v>1568</x:v>
      </x:c>
      <x:c r="S1003" s="22" t="n">
        <x:f>P1003-R1003</x:f>
        <x:v>106.40000000000009</x:v>
      </x:c>
      <x:c r="T1003" t="str">
        <x:v>Bank Transfer</x:v>
      </x:c>
      <x:c r="U1003" t="str">
        <x:v>Paid</x:v>
      </x:c>
      <x:c r="V1003" t="str">
        <x:v>Cancelled</x:v>
      </x:c>
      <x:c r="W1003" t="n">
        <x:v>14</x:v>
      </x:c>
      <x:c r="X1003" t="str">
        <x:v>Cancelled Order</x:v>
      </x:c>
      <x:c r="Y1003" t="str"/>
    </x:row>
    <x:row r="1004">
      <x:c r="A1004" t="str">
        <x:v>O001003</x:v>
      </x:c>
      <x:c r="B1004" s="20" t="n">
        <x:v>45811</x:v>
      </x:c>
      <x:c r="C1004" t="str">
        <x:v>C0107</x:v>
      </x:c>
      <x:c r="D1004" t="str">
        <x:v>Mysore Cafe 107</x:v>
      </x:c>
      <x:c r="E1004" t="str">
        <x:v>Supermarket</x:v>
      </x:c>
      <x:c r="F1004" t="str">
        <x:v>Tumakuru</x:v>
      </x:c>
      <x:c r="G1004" t="str">
        <x:v>Megha</x:v>
      </x:c>
      <x:c r="H1004" t="str">
        <x:v>P012</x:v>
      </x:c>
      <x:c r="I1004" t="str">
        <x:v>Maida 10kg</x:v>
      </x:c>
      <x:c r="J1004" t="str">
        <x:v>Flour</x:v>
      </x:c>
      <x:c r="K1004" t="str">
        <x:v>Aashirvaad</x:v>
      </x:c>
      <x:c r="L1004" s="22" t="n">
        <x:v>520</x:v>
      </x:c>
      <x:c r="M1004" t="n">
        <x:v>31</x:v>
      </x:c>
      <x:c r="N1004" s="24" t="n">
        <x:v>0</x:v>
      </x:c>
      <x:c r="O1004" s="22" t="n">
        <x:f>L1004*M1004</x:f>
        <x:v>16120</x:v>
      </x:c>
      <x:c r="P1004" s="22" t="n">
        <x:f>O1004*(1-N1004)</x:f>
        <x:v>16120</x:v>
      </x:c>
      <x:c r="Q1004" s="22" t="n">
        <x:v>460</x:v>
      </x:c>
      <x:c r="R1004" s="22" t="n">
        <x:f>Q1004*M1004</x:f>
        <x:v>14260</x:v>
      </x:c>
      <x:c r="S1004" s="22" t="n">
        <x:f>P1004-R1004</x:f>
        <x:v>1860</x:v>
      </x:c>
      <x:c r="T1004" t="str">
        <x:v>UPI</x:v>
      </x:c>
      <x:c r="U1004" t="str">
        <x:v>Paid</x:v>
      </x:c>
      <x:c r="V1004" t="str">
        <x:v>Delivered</x:v>
      </x:c>
      <x:c r="W1004" t="n">
        <x:v>0</x:v>
      </x:c>
      <x:c r="X1004" t="str"/>
      <x:c r="Y1004" t="str">
        <x:v>Outbound Call</x:v>
      </x:c>
    </x:row>
    <x:row r="1005">
      <x:c r="A1005" t="str">
        <x:v>O001004</x:v>
      </x:c>
      <x:c r="B1005" s="20" t="n">
        <x:v>45720</x:v>
      </x:c>
      <x:c r="C1005" t="str">
        <x:v>C0085</x:v>
      </x:c>
      <x:c r="D1005" t="str">
        <x:v>Green Hotel 85</x:v>
      </x:c>
      <x:c r="E1005" t="str">
        <x:v>Kirana</x:v>
      </x:c>
      <x:c r="F1005" t="str">
        <x:v>Mysuru</x:v>
      </x:c>
      <x:c r="G1005" t="str">
        <x:v>Arjun</x:v>
      </x:c>
      <x:c r="H1005" t="str">
        <x:v>P007</x:v>
      </x:c>
      <x:c r="I1005" t="str">
        <x:v>Sunflower Oil 15L</x:v>
      </x:c>
      <x:c r="J1005" t="str">
        <x:v>Edible Oil</x:v>
      </x:c>
      <x:c r="K1005" t="str">
        <x:v>Fortune</x:v>
      </x:c>
      <x:c r="L1005" s="22" t="n">
        <x:v>1980</x:v>
      </x:c>
      <x:c r="M1005" t="n">
        <x:v>8</x:v>
      </x:c>
      <x:c r="N1005" s="24" t="n">
        <x:v>0.03</x:v>
      </x:c>
      <x:c r="O1005" s="22" t="n">
        <x:f>L1005*M1005</x:f>
        <x:v>15840</x:v>
      </x:c>
      <x:c r="P1005" s="22" t="n">
        <x:f>O1005*(1-N1005)</x:f>
        <x:v>15364.8</x:v>
      </x:c>
      <x:c r="Q1005" s="22" t="n">
        <x:v>1810</x:v>
      </x:c>
      <x:c r="R1005" s="22" t="n">
        <x:f>Q1005*M1005</x:f>
        <x:v>14480</x:v>
      </x:c>
      <x:c r="S1005" s="22" t="n">
        <x:f>P1005-R1005</x:f>
        <x:v>884.7999999999993</x:v>
      </x:c>
      <x:c r="T1005" t="str">
        <x:v>UPI</x:v>
      </x:c>
      <x:c r="U1005" t="str">
        <x:v>Paid</x:v>
      </x:c>
      <x:c r="V1005" t="str">
        <x:v>Delayed</x:v>
      </x:c>
      <x:c r="W1005" t="n">
        <x:v>0</x:v>
      </x:c>
      <x:c r="X1005" t="str"/>
      <x:c r="Y1005" t="str">
        <x:v>Referral</x:v>
      </x:c>
    </x:row>
    <x:row r="1006">
      <x:c r="A1006" t="str">
        <x:v>O001005</x:v>
      </x:c>
      <x:c r="B1006" s="20" t="n">
        <x:v>45939</x:v>
      </x:c>
      <x:c r="C1006" t="str">
        <x:v>C0004</x:v>
      </x:c>
      <x:c r="D1006" t="str">
        <x:v>Annapurna Foods 4</x:v>
      </x:c>
      <x:c r="E1006" t="str">
        <x:v>Cafe</x:v>
      </x:c>
      <x:c r="F1006" t="str">
        <x:v>Mysuru</x:v>
      </x:c>
      <x:c r="G1006" t="str">
        <x:v>Priya</x:v>
      </x:c>
      <x:c r="H1006" t="str">
        <x:v>P013</x:v>
      </x:c>
      <x:c r="I1006" t="str">
        <x:v>Atta 10kg</x:v>
      </x:c>
      <x:c r="J1006" t="str">
        <x:v>Flour</x:v>
      </x:c>
      <x:c r="K1006" t="str">
        <x:v>Aashirvaad</x:v>
      </x:c>
      <x:c r="L1006" s="22" t="n">
        <x:v>560</x:v>
      </x:c>
      <x:c r="M1006" t="n">
        <x:v>19</x:v>
      </x:c>
      <x:c r="N1006" s="24" t="n">
        <x:v>0.05</x:v>
      </x:c>
      <x:c r="O1006" s="22" t="n">
        <x:f>L1006*M1006</x:f>
        <x:v>10640</x:v>
      </x:c>
      <x:c r="P1006" s="22" t="n">
        <x:f>O1006*(1-N1006)</x:f>
        <x:v>10108</x:v>
      </x:c>
      <x:c r="Q1006" s="22" t="n">
        <x:v>495</x:v>
      </x:c>
      <x:c r="R1006" s="22" t="n">
        <x:f>Q1006*M1006</x:f>
        <x:v>9405</x:v>
      </x:c>
      <x:c r="S1006" s="22" t="n">
        <x:f>P1006-R1006</x:f>
        <x:v>703</x:v>
      </x:c>
      <x:c r="T1006" t="str">
        <x:v>Credit</x:v>
      </x:c>
      <x:c r="U1006" t="str">
        <x:v>Paid</x:v>
      </x:c>
      <x:c r="V1006" t="str">
        <x:v>Delivered</x:v>
      </x:c>
      <x:c r="W1006" t="n">
        <x:v>0</x:v>
      </x:c>
      <x:c r="X1006" t="str"/>
      <x:c r="Y1006" t="str">
        <x:v>WhatsApp</x:v>
      </x:c>
    </x:row>
    <x:row r="1007">
      <x:c r="A1007" t="str">
        <x:v>O001006</x:v>
      </x:c>
      <x:c r="B1007" s="20" t="n">
        <x:v>45865</x:v>
      </x:c>
      <x:c r="C1007" t="str">
        <x:v>C0144</x:v>
      </x:c>
      <x:c r="D1007" t="str">
        <x:v>Namma Foods 144</x:v>
      </x:c>
      <x:c r="E1007" t="str">
        <x:v>Restaurant</x:v>
      </x:c>
      <x:c r="F1007" t="str">
        <x:v>Tumakuru</x:v>
      </x:c>
      <x:c r="G1007" t="str">
        <x:v>Arjun</x:v>
      </x:c>
      <x:c r="H1007" t="str">
        <x:v>P035</x:v>
      </x:c>
      <x:c r="I1007" t="str">
        <x:v>Coriander Powder 1kg</x:v>
      </x:c>
      <x:c r="J1007" t="str">
        <x:v>Spices</x:v>
      </x:c>
      <x:c r="K1007" t="str">
        <x:v>Everest</x:v>
      </x:c>
      <x:c r="L1007" s="22" t="n">
        <x:v>280</x:v>
      </x:c>
      <x:c r="M1007" t="n">
        <x:v>5</x:v>
      </x:c>
      <x:c r="N1007" s="24" t="n">
        <x:v>0.03</x:v>
      </x:c>
      <x:c r="O1007" s="22" t="n">
        <x:f>L1007*M1007</x:f>
        <x:v>1400</x:v>
      </x:c>
      <x:c r="P1007" s="22" t="n">
        <x:f>O1007*(1-N1007)</x:f>
        <x:v>1358</x:v>
      </x:c>
      <x:c r="Q1007" s="22" t="n">
        <x:v>245</x:v>
      </x:c>
      <x:c r="R1007" s="22" t="n">
        <x:f>Q1007*M1007</x:f>
        <x:v>1225</x:v>
      </x:c>
      <x:c r="S1007" s="22" t="n">
        <x:f>P1007-R1007</x:f>
        <x:v>133</x:v>
      </x:c>
      <x:c r="T1007" t="str">
        <x:v>UPI</x:v>
      </x:c>
      <x:c r="U1007" t="str">
        <x:v>Pending</x:v>
      </x:c>
      <x:c r="V1007" t="str">
        <x:v>Delivered</x:v>
      </x:c>
      <x:c r="W1007" t="n">
        <x:v>0</x:v>
      </x:c>
      <x:c r="X1007" t="str"/>
      <x:c r="Y1007" t="str">
        <x:v>Existing Customer</x:v>
      </x:c>
    </x:row>
    <x:row r="1008">
      <x:c r="A1008" t="str">
        <x:v>O001007</x:v>
      </x:c>
      <x:c r="B1008" s="20" t="n">
        <x:v>46259</x:v>
      </x:c>
      <x:c r="C1008" t="str">
        <x:v>C0205</x:v>
      </x:c>
      <x:c r="D1008" t="str">
        <x:v>Royal Mart 205</x:v>
      </x:c>
      <x:c r="E1008" t="str">
        <x:v>Kirana</x:v>
      </x:c>
      <x:c r="F1008" t="str">
        <x:v>Mysuru</x:v>
      </x:c>
      <x:c r="G1008" t="str">
        <x:v>Priya</x:v>
      </x:c>
      <x:c r="H1008" t="str">
        <x:v>P034</x:v>
      </x:c>
      <x:c r="I1008" t="str">
        <x:v>Chilli Powder 1kg</x:v>
      </x:c>
      <x:c r="J1008" t="str">
        <x:v>Spices</x:v>
      </x:c>
      <x:c r="K1008" t="str">
        <x:v>MDH</x:v>
      </x:c>
      <x:c r="L1008" s="22" t="n">
        <x:v>340</x:v>
      </x:c>
      <x:c r="M1008" t="n">
        <x:v>25</x:v>
      </x:c>
      <x:c r="N1008" s="24" t="n">
        <x:v>0.02</x:v>
      </x:c>
      <x:c r="O1008" s="22" t="n">
        <x:f>L1008*M1008</x:f>
        <x:v>8500</x:v>
      </x:c>
      <x:c r="P1008" s="22" t="n">
        <x:f>O1008*(1-N1008)</x:f>
        <x:v>8330</x:v>
      </x:c>
      <x:c r="Q1008" s="22" t="n">
        <x:v>295</x:v>
      </x:c>
      <x:c r="R1008" s="22" t="n">
        <x:f>Q1008*M1008</x:f>
        <x:v>7375</x:v>
      </x:c>
      <x:c r="S1008" s="22" t="n">
        <x:f>P1008-R1008</x:f>
        <x:v>955</x:v>
      </x:c>
      <x:c r="T1008" t="str">
        <x:v>Cash</x:v>
      </x:c>
      <x:c r="U1008" t="str">
        <x:v>Overdue</x:v>
      </x:c>
      <x:c r="V1008" t="str">
        <x:v>Cancelled</x:v>
      </x:c>
      <x:c r="W1008" t="n">
        <x:v>25</x:v>
      </x:c>
      <x:c r="X1008" t="str">
        <x:v>Cancelled Order</x:v>
      </x:c>
      <x:c r="Y1008" t="str">
        <x:v>Existing Customer</x:v>
      </x:c>
    </x:row>
    <x:row r="1009">
      <x:c r="A1009" t="str">
        <x:v>O001008</x:v>
      </x:c>
      <x:c r="B1009" s="20" t="n">
        <x:v>45830</x:v>
      </x:c>
      <x:c r="C1009" t="str">
        <x:v>C0122</x:v>
      </x:c>
      <x:c r="D1009" t="str">
        <x:v>Namma Restaurant 122</x:v>
      </x:c>
      <x:c r="E1009" t="str">
        <x:v>Kirana</x:v>
      </x:c>
      <x:c r="F1009" t="str">
        <x:v>Hubballi</x:v>
      </x:c>
      <x:c r="G1009" t="str">
        <x:v>Sneha</x:v>
      </x:c>
      <x:c r="H1009" t="str">
        <x:v>P014</x:v>
      </x:c>
      <x:c r="I1009" t="str">
        <x:v>Rava 5kg</x:v>
      </x:c>
      <x:c r="J1009" t="str">
        <x:v>Flour</x:v>
      </x:c>
      <x:c r="K1009" t="str">
        <x:v>Local Select</x:v>
      </x:c>
      <x:c r="L1009" s="22" t="n">
        <x:v>245</x:v>
      </x:c>
      <x:c r="M1009" t="n">
        <x:v>1</x:v>
      </x:c>
      <x:c r="N1009" s="24" t="n">
        <x:v>0.05</x:v>
      </x:c>
      <x:c r="O1009" s="22" t="n">
        <x:f>L1009*M1009</x:f>
        <x:v>245</x:v>
      </x:c>
      <x:c r="P1009" s="22" t="n">
        <x:f>O1009*(1-N1009)</x:f>
        <x:v>232.75</x:v>
      </x:c>
      <x:c r="Q1009" s="22" t="n">
        <x:v>215</x:v>
      </x:c>
      <x:c r="R1009" s="22" t="n">
        <x:f>Q1009*M1009</x:f>
        <x:v>215</x:v>
      </x:c>
      <x:c r="S1009" s="22" t="n">
        <x:f>P1009-R1009</x:f>
        <x:v>17.75</x:v>
      </x:c>
      <x:c r="T1009" t="str">
        <x:v>Bank Transfer</x:v>
      </x:c>
      <x:c r="U1009" t="str">
        <x:v>Paid</x:v>
      </x:c>
      <x:c r="V1009" t="str">
        <x:v>Delayed</x:v>
      </x:c>
      <x:c r="W1009" t="n">
        <x:v>0</x:v>
      </x:c>
      <x:c r="X1009" t="str"/>
      <x:c r="Y1009" t="str">
        <x:v>Referral</x:v>
      </x:c>
    </x:row>
    <x:row r="1010">
      <x:c r="A1010" t="str">
        <x:v>O001009</x:v>
      </x:c>
      <x:c r="B1010" s="20" t="n">
        <x:v>45989</x:v>
      </x:c>
      <x:c r="C1010" t="str">
        <x:v>C0122</x:v>
      </x:c>
      <x:c r="D1010" t="str">
        <x:v>Namma Restaurant 122</x:v>
      </x:c>
      <x:c r="E1010" t="str">
        <x:v>Kirana</x:v>
      </x:c>
      <x:c r="F1010" t="str">
        <x:v>Hubballi</x:v>
      </x:c>
      <x:c r="G1010" t="str">
        <x:v>Sneha</x:v>
      </x:c>
      <x:c r="H1010" t="str">
        <x:v>P001</x:v>
      </x:c>
      <x:c r="I1010" t="str">
        <x:v>Steam Rice 25kg</x:v>
      </x:c>
      <x:c r="J1010" t="str">
        <x:v>Staples</x:v>
      </x:c>
      <x:c r="K1010" t="str">
        <x:v>Aishwarya</x:v>
      </x:c>
      <x:c r="L1010" s="22" t="n">
        <x:v>1180</x:v>
      </x:c>
      <x:c r="M1010" t="n">
        <x:v>1</x:v>
      </x:c>
      <x:c r="N1010" s="24" t="n">
        <x:v>0</x:v>
      </x:c>
      <x:c r="O1010" s="22" t="n">
        <x:f>L1010*M1010</x:f>
        <x:v>1180</x:v>
      </x:c>
      <x:c r="P1010" s="22" t="n">
        <x:f>O1010*(1-N1010)</x:f>
        <x:v>1180</x:v>
      </x:c>
      <x:c r="Q1010" s="22" t="n">
        <x:v>1040</x:v>
      </x:c>
      <x:c r="R1010" s="22" t="n">
        <x:f>Q1010*M1010</x:f>
        <x:v>1040</x:v>
      </x:c>
      <x:c r="S1010" s="22" t="n">
        <x:f>P1010-R1010</x:f>
        <x:v>140</x:v>
      </x:c>
      <x:c r="T1010" t="str">
        <x:v>Credit</x:v>
      </x:c>
      <x:c r="U1010" t="str">
        <x:v>Paid</x:v>
      </x:c>
      <x:c r="V1010" t="str">
        <x:v>Delivered</x:v>
      </x:c>
      <x:c r="W1010" t="n">
        <x:v>0</x:v>
      </x:c>
      <x:c r="X1010" t="str"/>
      <x:c r="Y1010" t="str">
        <x:v>Existing Customer</x:v>
      </x:c>
    </x:row>
    <x:row r="1011">
      <x:c r="A1011" t="str">
        <x:v>O001010</x:v>
      </x:c>
      <x:c r="B1011" s="20" t="n">
        <x:v>46060</x:v>
      </x:c>
      <x:c r="C1011" t="str">
        <x:v>C0062</x:v>
      </x:c>
      <x:c r="D1011" t="str">
        <x:v>Foodie Hotel 62</x:v>
      </x:c>
      <x:c r="E1011" t="str">
        <x:v>Cafe</x:v>
      </x:c>
      <x:c r="F1011" t="str">
        <x:v>Mysuru</x:v>
      </x:c>
      <x:c r="G1011" t="str">
        <x:v>Vikram</x:v>
      </x:c>
      <x:c r="H1011" t="str">
        <x:v>P036</x:v>
      </x:c>
      <x:c r="I1011" t="str">
        <x:v>Garam Masala 500g</x:v>
      </x:c>
      <x:c r="J1011" t="str">
        <x:v>Spices</x:v>
      </x:c>
      <x:c r="K1011" t="str">
        <x:v>MDH</x:v>
      </x:c>
      <x:c r="L1011" s="22" t="n">
        <x:v>265</x:v>
      </x:c>
      <x:c r="M1011" t="n">
        <x:v>25</x:v>
      </x:c>
      <x:c r="N1011" s="24" t="n">
        <x:v>0.05</x:v>
      </x:c>
      <x:c r="O1011" s="22" t="n">
        <x:f>L1011*M1011</x:f>
        <x:v>6625</x:v>
      </x:c>
      <x:c r="P1011" s="22" t="n">
        <x:f>O1011*(1-N1011)</x:f>
        <x:v>6293.75</x:v>
      </x:c>
      <x:c r="Q1011" s="22" t="n">
        <x:v>230</x:v>
      </x:c>
      <x:c r="R1011" s="22" t="n">
        <x:f>Q1011*M1011</x:f>
        <x:v>5750</x:v>
      </x:c>
      <x:c r="S1011" s="22" t="n">
        <x:f>P1011-R1011</x:f>
        <x:v>543.75</x:v>
      </x:c>
      <x:c r="T1011" t="str">
        <x:v>Credit</x:v>
      </x:c>
      <x:c r="U1011" t="str">
        <x:v>Paid</x:v>
      </x:c>
      <x:c r="V1011" t="str">
        <x:v>Delayed</x:v>
      </x:c>
      <x:c r="W1011" t="n">
        <x:v>0</x:v>
      </x:c>
      <x:c r="X1011" t="str"/>
      <x:c r="Y1011" t="str">
        <x:v>Field Visit</x:v>
      </x:c>
    </x:row>
    <x:row r="1012">
      <x:c r="A1012" t="str">
        <x:v>O001011</x:v>
      </x:c>
      <x:c r="B1012" s="20" t="n">
        <x:v>45877</x:v>
      </x:c>
      <x:c r="C1012" t="str">
        <x:v>C0227</x:v>
      </x:c>
      <x:c r="D1012" t="str">
        <x:v>Metro Restaurant 227</x:v>
      </x:c>
      <x:c r="E1012" t="str">
        <x:v>Restaurant</x:v>
      </x:c>
      <x:c r="F1012" t="str">
        <x:v>Davanagere</x:v>
      </x:c>
      <x:c r="G1012" t="str">
        <x:v>Kavya</x:v>
      </x:c>
      <x:c r="H1012" t="str">
        <x:v>P039</x:v>
      </x:c>
      <x:c r="I1012" t="str">
        <x:v>Ice Cream 4L</x:v>
      </x:c>
      <x:c r="J1012" t="str">
        <x:v>Frozen</x:v>
      </x:c>
      <x:c r="K1012" t="str">
        <x:v>Amul</x:v>
      </x:c>
      <x:c r="L1012" s="22" t="n">
        <x:v>480</x:v>
      </x:c>
      <x:c r="M1012" t="n">
        <x:v>11</x:v>
      </x:c>
      <x:c r="N1012" s="24" t="n">
        <x:v>0.08</x:v>
      </x:c>
      <x:c r="O1012" s="22" t="n">
        <x:f>L1012*M1012</x:f>
        <x:v>5280</x:v>
      </x:c>
      <x:c r="P1012" s="22" t="n">
        <x:f>O1012*(1-N1012)</x:f>
        <x:v>4857.6</x:v>
      </x:c>
      <x:c r="Q1012" s="22" t="n">
        <x:v>420</x:v>
      </x:c>
      <x:c r="R1012" s="22" t="n">
        <x:f>Q1012*M1012</x:f>
        <x:v>4620</x:v>
      </x:c>
      <x:c r="S1012" s="22" t="n">
        <x:f>P1012-R1012</x:f>
        <x:v>237.60000000000036</x:v>
      </x:c>
      <x:c r="T1012" t="str">
        <x:v>Cash</x:v>
      </x:c>
      <x:c r="U1012" t="str">
        <x:v>Paid</x:v>
      </x:c>
      <x:c r="V1012" t="str">
        <x:v>Delivered</x:v>
      </x:c>
      <x:c r="W1012" t="n">
        <x:v>0</x:v>
      </x:c>
      <x:c r="X1012" t="str"/>
      <x:c r="Y1012" t="str">
        <x:v>WhatsApp</x:v>
      </x:c>
    </x:row>
    <x:row r="1013">
      <x:c r="A1013" t="str">
        <x:v>O001012</x:v>
      </x:c>
      <x:c r="B1013" s="20" t="n">
        <x:v>45781</x:v>
      </x:c>
      <x:c r="C1013" t="str">
        <x:v>C0065</x:v>
      </x:c>
      <x:c r="D1013" t="str">
        <x:v>Mysore Stores 65</x:v>
      </x:c>
      <x:c r="E1013" t="str">
        <x:v>Kirana</x:v>
      </x:c>
      <x:c r="F1013" t="str">
        <x:v>Tumakuru</x:v>
      </x:c>
      <x:c r="G1013" t="str">
        <x:v>Sneha</x:v>
      </x:c>
      <x:c r="H1013" t="str">
        <x:v>P044</x:v>
      </x:c>
      <x:c r="I1013" t="str">
        <x:v>Chicken Curry Cut 1kg</x:v>
      </x:c>
      <x:c r="J1013" t="str">
        <x:v>Protein</x:v>
      </x:c>
      <x:c r="K1013" t="str">
        <x:v>FreshToHome</x:v>
      </x:c>
      <x:c r="L1013" s="22" t="n">
        <x:v>230</x:v>
      </x:c>
      <x:c r="M1013" t="n">
        <x:v>36</x:v>
      </x:c>
      <x:c r="N1013" s="24" t="n">
        <x:v>0.08</x:v>
      </x:c>
      <x:c r="O1013" s="22" t="n">
        <x:f>L1013*M1013</x:f>
        <x:v>8280</x:v>
      </x:c>
      <x:c r="P1013" s="22" t="n">
        <x:f>O1013*(1-N1013)</x:f>
        <x:v>7617.6</x:v>
      </x:c>
      <x:c r="Q1013" s="22" t="n">
        <x:v>205</x:v>
      </x:c>
      <x:c r="R1013" s="22" t="n">
        <x:f>Q1013*M1013</x:f>
        <x:v>7380</x:v>
      </x:c>
      <x:c r="S1013" s="22" t="n">
        <x:f>P1013-R1013</x:f>
        <x:v>237.60000000000036</x:v>
      </x:c>
      <x:c r="T1013" t="str">
        <x:v>Cash</x:v>
      </x:c>
      <x:c r="U1013" t="str">
        <x:v>Paid</x:v>
      </x:c>
      <x:c r="V1013" t="str">
        <x:v>Delivered</x:v>
      </x:c>
      <x:c r="W1013" t="n">
        <x:v>0</x:v>
      </x:c>
      <x:c r="X1013" t="str"/>
      <x:c r="Y1013" t="str">
        <x:v>Field Visit</x:v>
      </x:c>
    </x:row>
    <x:row r="1014">
      <x:c r="A1014" t="str">
        <x:v>O001013</x:v>
      </x:c>
      <x:c r="B1014" s="20" t="n">
        <x:v>46231</x:v>
      </x:c>
      <x:c r="C1014" t="str">
        <x:v>C0055</x:v>
      </x:c>
      <x:c r="D1014" t="str">
        <x:v>Royal Mart 55</x:v>
      </x:c>
      <x:c r="E1014" t="str">
        <x:v>Restaurant</x:v>
      </x:c>
      <x:c r="F1014" t="str">
        <x:v>Hubballi</x:v>
      </x:c>
      <x:c r="G1014" t="str">
        <x:v>Vikram</x:v>
      </x:c>
      <x:c r="H1014" t="str">
        <x:v>P040</x:v>
      </x:c>
      <x:c r="I1014" t="str">
        <x:v>Bread Loaf 400g</x:v>
      </x:c>
      <x:c r="J1014" t="str">
        <x:v>Bakery</x:v>
      </x:c>
      <x:c r="K1014" t="str">
        <x:v>Britannia</x:v>
      </x:c>
      <x:c r="L1014" s="22" t="n">
        <x:v>45</x:v>
      </x:c>
      <x:c r="M1014" t="n">
        <x:v>13</x:v>
      </x:c>
      <x:c r="N1014" s="24" t="n">
        <x:v>0.02</x:v>
      </x:c>
      <x:c r="O1014" s="22" t="n">
        <x:f>L1014*M1014</x:f>
        <x:v>585</x:v>
      </x:c>
      <x:c r="P1014" s="22" t="n">
        <x:f>O1014*(1-N1014)</x:f>
        <x:v>573.3</x:v>
      </x:c>
      <x:c r="Q1014" s="22" t="n">
        <x:v>35</x:v>
      </x:c>
      <x:c r="R1014" s="22" t="n">
        <x:f>Q1014*M1014</x:f>
        <x:v>455</x:v>
      </x:c>
      <x:c r="S1014" s="22" t="n">
        <x:f>P1014-R1014</x:f>
        <x:v>118.29999999999995</x:v>
      </x:c>
      <x:c r="T1014" t="str">
        <x:v>Bank Transfer</x:v>
      </x:c>
      <x:c r="U1014" t="str">
        <x:v>Overdue</x:v>
      </x:c>
      <x:c r="V1014" t="str">
        <x:v>Delivered</x:v>
      </x:c>
      <x:c r="W1014" t="n">
        <x:v>0</x:v>
      </x:c>
      <x:c r="X1014" t="str"/>
      <x:c r="Y1014" t="str">
        <x:v>Field Visit</x:v>
      </x:c>
    </x:row>
    <x:row r="1015">
      <x:c r="A1015" t="str">
        <x:v>O001014</x:v>
      </x:c>
      <x:c r="B1015" s="20" t="n">
        <x:v>45975</x:v>
      </x:c>
      <x:c r="C1015" t="str">
        <x:v>C0002</x:v>
      </x:c>
      <x:c r="D1015" t="str">
        <x:v>City Kitchen 2</x:v>
      </x:c>
      <x:c r="E1015" t="str">
        <x:v>Kirana</x:v>
      </x:c>
      <x:c r="F1015" t="str">
        <x:v>Davanagere</x:v>
      </x:c>
      <x:c r="G1015" t="str">
        <x:v>Arjun</x:v>
      </x:c>
      <x:c r="H1015" t="str">
        <x:v>P038</x:v>
      </x:c>
      <x:c r="I1015" t="str">
        <x:v>French Fries 2.5kg</x:v>
      </x:c>
      <x:c r="J1015" t="str">
        <x:v>Frozen</x:v>
      </x:c>
      <x:c r="K1015" t="str">
        <x:v>McCain</x:v>
      </x:c>
      <x:c r="L1015" s="22" t="n">
        <x:v>360</x:v>
      </x:c>
      <x:c r="M1015" t="n">
        <x:v>22</x:v>
      </x:c>
      <x:c r="N1015" s="24" t="n">
        <x:v>0</x:v>
      </x:c>
      <x:c r="O1015" s="22" t="n">
        <x:f>L1015*M1015</x:f>
        <x:v>7920</x:v>
      </x:c>
      <x:c r="P1015" s="22" t="n">
        <x:f>O1015*(1-N1015)</x:f>
        <x:v>7920</x:v>
      </x:c>
      <x:c r="Q1015" s="22" t="n">
        <x:v>315</x:v>
      </x:c>
      <x:c r="R1015" s="22" t="n">
        <x:f>Q1015*M1015</x:f>
        <x:v>6930</x:v>
      </x:c>
      <x:c r="S1015" s="22" t="n">
        <x:f>P1015-R1015</x:f>
        <x:v>990</x:v>
      </x:c>
      <x:c r="T1015" t="str">
        <x:v>Cash</x:v>
      </x:c>
      <x:c r="U1015" t="str">
        <x:v>Pending</x:v>
      </x:c>
      <x:c r="V1015" t="str">
        <x:v>Delayed</x:v>
      </x:c>
      <x:c r="W1015" t="n">
        <x:v>0</x:v>
      </x:c>
      <x:c r="X1015" t="str"/>
      <x:c r="Y1015" t="str">
        <x:v>Outbound Call</x:v>
      </x:c>
    </x:row>
    <x:row r="1016">
      <x:c r="A1016" t="str">
        <x:v>O001015</x:v>
      </x:c>
      <x:c r="B1016" s="20" t="n">
        <x:v>45939</x:v>
      </x:c>
      <x:c r="C1016" t="str">
        <x:v>C0009</x:v>
      </x:c>
      <x:c r="D1016" t="str">
        <x:v>Darshini Hotel 9</x:v>
      </x:c>
      <x:c r="E1016" t="str">
        <x:v>Cafe</x:v>
      </x:c>
      <x:c r="F1016" t="str">
        <x:v>Hubballi</x:v>
      </x:c>
      <x:c r="G1016" t="str">
        <x:v>Imran</x:v>
      </x:c>
      <x:c r="H1016" t="str">
        <x:v>P042</x:v>
      </x:c>
      <x:c r="I1016" t="str">
        <x:v>Eggs 30pc Tray</x:v>
      </x:c>
      <x:c r="J1016" t="str">
        <x:v>Protein</x:v>
      </x:c>
      <x:c r="K1016" t="str">
        <x:v>Farm Fresh</x:v>
      </x:c>
      <x:c r="L1016" s="22" t="n">
        <x:v>195</x:v>
      </x:c>
      <x:c r="M1016" t="n">
        <x:v>31</x:v>
      </x:c>
      <x:c r="N1016" s="24" t="n">
        <x:v>0.02</x:v>
      </x:c>
      <x:c r="O1016" s="22" t="n">
        <x:f>L1016*M1016</x:f>
        <x:v>6045</x:v>
      </x:c>
      <x:c r="P1016" s="22" t="n">
        <x:f>O1016*(1-N1016)</x:f>
        <x:v>5924.099999999999</x:v>
      </x:c>
      <x:c r="Q1016" s="22" t="n">
        <x:v>170</x:v>
      </x:c>
      <x:c r="R1016" s="22" t="n">
        <x:f>Q1016*M1016</x:f>
        <x:v>5270</x:v>
      </x:c>
      <x:c r="S1016" s="22" t="n">
        <x:f>P1016-R1016</x:f>
        <x:v>654.0999999999995</x:v>
      </x:c>
      <x:c r="T1016" t="str">
        <x:v>Cash</x:v>
      </x:c>
      <x:c r="U1016" t="str">
        <x:v>Paid</x:v>
      </x:c>
      <x:c r="V1016" t="str">
        <x:v>Delivered</x:v>
      </x:c>
      <x:c r="W1016" t="n">
        <x:v>0</x:v>
      </x:c>
      <x:c r="X1016" t="str"/>
      <x:c r="Y1016" t="str">
        <x:v>Outbound Call</x:v>
      </x:c>
    </x:row>
    <x:row r="1017">
      <x:c r="A1017" t="str">
        <x:v>O001016</x:v>
      </x:c>
      <x:c r="B1017" s="20" t="n">
        <x:v>46280</x:v>
      </x:c>
      <x:c r="C1017" t="str">
        <x:v>C0238</x:v>
      </x:c>
      <x:c r="D1017" t="str">
        <x:v>Foodie Foods 238</x:v>
      </x:c>
      <x:c r="E1017" t="str">
        <x:v>Restaurant</x:v>
      </x:c>
      <x:c r="F1017" t="str">
        <x:v>Davanagere</x:v>
      </x:c>
      <x:c r="G1017" t="str">
        <x:v>Megha</x:v>
      </x:c>
      <x:c r="H1017" t="str">
        <x:v>P031</x:v>
      </x:c>
      <x:c r="I1017" t="str">
        <x:v>Chilli Sauce 700g</x:v>
      </x:c>
      <x:c r="J1017" t="str">
        <x:v>Condiments</x:v>
      </x:c>
      <x:c r="K1017" t="str">
        <x:v>Ching's</x:v>
      </x:c>
      <x:c r="L1017" s="22" t="n">
        <x:v>130</x:v>
      </x:c>
      <x:c r="M1017" t="n">
        <x:v>30</x:v>
      </x:c>
      <x:c r="N1017" s="24" t="n">
        <x:v>0.03</x:v>
      </x:c>
      <x:c r="O1017" s="22" t="n">
        <x:f>L1017*M1017</x:f>
        <x:v>3900</x:v>
      </x:c>
      <x:c r="P1017" s="22" t="n">
        <x:f>O1017*(1-N1017)</x:f>
        <x:v>3783</x:v>
      </x:c>
      <x:c r="Q1017" s="22" t="n">
        <x:v>112</x:v>
      </x:c>
      <x:c r="R1017" s="22" t="n">
        <x:f>Q1017*M1017</x:f>
        <x:v>3360</x:v>
      </x:c>
      <x:c r="S1017" s="22" t="n">
        <x:f>P1017-R1017</x:f>
        <x:v>423</x:v>
      </x:c>
      <x:c r="T1017" t="str">
        <x:v>Credit</x:v>
      </x:c>
      <x:c r="U1017" t="str">
        <x:v>Pending</x:v>
      </x:c>
      <x:c r="V1017" t="str">
        <x:v>Cancelled</x:v>
      </x:c>
      <x:c r="W1017" t="n">
        <x:v>30</x:v>
      </x:c>
      <x:c r="X1017" t="str">
        <x:v>Cancelled Order</x:v>
      </x:c>
      <x:c r="Y1017" t="str">
        <x:v>Existing Customer</x:v>
      </x:c>
    </x:row>
    <x:row r="1018">
      <x:c r="A1018" t="str">
        <x:v>O001017</x:v>
      </x:c>
      <x:c r="B1018" s="20" t="n">
        <x:v>45687</x:v>
      </x:c>
      <x:c r="C1018" t="str">
        <x:v>C0010</x:v>
      </x:c>
      <x:c r="D1018" t="str">
        <x:v>Royal Hotel 10</x:v>
      </x:c>
      <x:c r="E1018" t="str">
        <x:v>Canteen</x:v>
      </x:c>
      <x:c r="F1018" t="str">
        <x:v>Davanagere</x:v>
      </x:c>
      <x:c r="G1018" t="str">
        <x:v>Ramesh</x:v>
      </x:c>
      <x:c r="H1018" t="str">
        <x:v>P024</x:v>
      </x:c>
      <x:c r="I1018" t="str">
        <x:v>Orange Drink 1L</x:v>
      </x:c>
      <x:c r="J1018" t="str">
        <x:v>Beverage</x:v>
      </x:c>
      <x:c r="K1018" t="str">
        <x:v>Minute Maid</x:v>
      </x:c>
      <x:c r="L1018" s="22" t="n">
        <x:v>105</x:v>
      </x:c>
      <x:c r="M1018" t="n">
        <x:v>40</x:v>
      </x:c>
      <x:c r="N1018" s="24" t="n">
        <x:v>0.08</x:v>
      </x:c>
      <x:c r="O1018" s="22" t="n">
        <x:f>L1018*M1018</x:f>
        <x:v>4200</x:v>
      </x:c>
      <x:c r="P1018" s="22" t="n">
        <x:f>O1018*(1-N1018)</x:f>
        <x:v>3864</x:v>
      </x:c>
      <x:c r="Q1018" s="22" t="n">
        <x:v>88</x:v>
      </x:c>
      <x:c r="R1018" s="22" t="n">
        <x:f>Q1018*M1018</x:f>
        <x:v>3520</x:v>
      </x:c>
      <x:c r="S1018" s="22" t="n">
        <x:f>P1018-R1018</x:f>
        <x:v>344</x:v>
      </x:c>
      <x:c r="T1018" t="str">
        <x:v>Bank Transfer</x:v>
      </x:c>
      <x:c r="U1018" t="str">
        <x:v>Paid</x:v>
      </x:c>
      <x:c r="V1018" t="str">
        <x:v>Delivered</x:v>
      </x:c>
      <x:c r="W1018" t="n">
        <x:v>0</x:v>
      </x:c>
      <x:c r="X1018" t="str"/>
      <x:c r="Y1018" t="str">
        <x:v>Referral</x:v>
      </x:c>
    </x:row>
    <x:row r="1019">
      <x:c r="A1019" t="str">
        <x:v>O001018</x:v>
      </x:c>
      <x:c r="B1019" s="20" t="n">
        <x:v>45715</x:v>
      </x:c>
      <x:c r="C1019" t="str">
        <x:v>C0214</x:v>
      </x:c>
      <x:c r="D1019" t="str">
        <x:v>Darshini Kitchen 214</x:v>
      </x:c>
      <x:c r="E1019" t="str">
        <x:v>Kirana</x:v>
      </x:c>
      <x:c r="F1019" t="str">
        <x:v>Bengaluru</x:v>
      </x:c>
      <x:c r="G1019" t="str">
        <x:v>Imran</x:v>
      </x:c>
      <x:c r="H1019" t="str">
        <x:v>P008</x:v>
      </x:c>
      <x:c r="I1019" t="str">
        <x:v>Palm Oil 15L</x:v>
      </x:c>
      <x:c r="J1019" t="str">
        <x:v>Edible Oil</x:v>
      </x:c>
      <x:c r="K1019" t="str">
        <x:v>Ruchi Gold</x:v>
      </x:c>
      <x:c r="L1019" s="22" t="n">
        <x:v>1760</x:v>
      </x:c>
      <x:c r="M1019" t="n">
        <x:v>11</x:v>
      </x:c>
      <x:c r="N1019" s="24" t="n">
        <x:v>0.05</x:v>
      </x:c>
      <x:c r="O1019" s="22" t="n">
        <x:f>L1019*M1019</x:f>
        <x:v>19360</x:v>
      </x:c>
      <x:c r="P1019" s="22" t="n">
        <x:f>O1019*(1-N1019)</x:f>
        <x:v>18392</x:v>
      </x:c>
      <x:c r="Q1019" s="22" t="n">
        <x:v>1610</x:v>
      </x:c>
      <x:c r="R1019" s="22" t="n">
        <x:f>Q1019*M1019</x:f>
        <x:v>17710</x:v>
      </x:c>
      <x:c r="S1019" s="22" t="n">
        <x:f>P1019-R1019</x:f>
        <x:v>682</x:v>
      </x:c>
      <x:c r="T1019" t="str">
        <x:v>Cash</x:v>
      </x:c>
      <x:c r="U1019" t="str">
        <x:v>Paid</x:v>
      </x:c>
      <x:c r="V1019" t="str">
        <x:v>Delayed</x:v>
      </x:c>
      <x:c r="W1019" t="n">
        <x:v>0</x:v>
      </x:c>
      <x:c r="X1019" t="str"/>
      <x:c r="Y1019" t="str">
        <x:v>Field Visit</x:v>
      </x:c>
    </x:row>
    <x:row r="1020">
      <x:c r="A1020" t="str">
        <x:v>O001019</x:v>
      </x:c>
      <x:c r="B1020" s="20" t="n">
        <x:v>45675</x:v>
      </x:c>
      <x:c r="C1020" t="str">
        <x:v>C0050</x:v>
      </x:c>
      <x:c r="D1020" t="str">
        <x:v>Green Stores 50</x:v>
      </x:c>
      <x:c r="E1020" t="str">
        <x:v>Restaurant</x:v>
      </x:c>
      <x:c r="F1020" t="str">
        <x:v>Davanagere</x:v>
      </x:c>
      <x:c r="G1020" t="str">
        <x:v>Vikram</x:v>
      </x:c>
      <x:c r="H1020" t="str">
        <x:v>P042</x:v>
      </x:c>
      <x:c r="I1020" t="str">
        <x:v>Eggs 30pc Tray</x:v>
      </x:c>
      <x:c r="J1020" t="str">
        <x:v>Protein</x:v>
      </x:c>
      <x:c r="K1020" t="str">
        <x:v>Farm Fresh</x:v>
      </x:c>
      <x:c r="L1020" s="22" t="n">
        <x:v>195</x:v>
      </x:c>
      <x:c r="M1020" t="n">
        <x:v>22</x:v>
      </x:c>
      <x:c r="N1020" s="24" t="n">
        <x:v>0.05</x:v>
      </x:c>
      <x:c r="O1020" s="22" t="n">
        <x:f>L1020*M1020</x:f>
        <x:v>4290</x:v>
      </x:c>
      <x:c r="P1020" s="22" t="n">
        <x:f>O1020*(1-N1020)</x:f>
        <x:v>4075.5</x:v>
      </x:c>
      <x:c r="Q1020" s="22" t="n">
        <x:v>170</x:v>
      </x:c>
      <x:c r="R1020" s="22" t="n">
        <x:f>Q1020*M1020</x:f>
        <x:v>3740</x:v>
      </x:c>
      <x:c r="S1020" s="22" t="n">
        <x:f>P1020-R1020</x:f>
        <x:v>335.5</x:v>
      </x:c>
      <x:c r="T1020" t="str">
        <x:v>Cash</x:v>
      </x:c>
      <x:c r="U1020" t="str">
        <x:v>Pending</x:v>
      </x:c>
      <x:c r="V1020" t="str">
        <x:v>Delivered</x:v>
      </x:c>
      <x:c r="W1020" t="n">
        <x:v>0</x:v>
      </x:c>
      <x:c r="X1020" t="str"/>
      <x:c r="Y1020" t="str">
        <x:v>Existing Customer</x:v>
      </x:c>
    </x:row>
    <x:row r="1021">
      <x:c r="A1021" t="str">
        <x:v>O001020</x:v>
      </x:c>
      <x:c r="B1021" s="20" t="n">
        <x:v>45672</x:v>
      </x:c>
      <x:c r="C1021" t="str">
        <x:v>C0094</x:v>
      </x:c>
      <x:c r="D1021" t="str">
        <x:v>Mysore Mart 94</x:v>
      </x:c>
      <x:c r="E1021" t="str">
        <x:v>Restaurant</x:v>
      </x:c>
      <x:c r="F1021" t="str">
        <x:v>Hubballi</x:v>
      </x:c>
      <x:c r="G1021" t="str">
        <x:v>Sneha</x:v>
      </x:c>
      <x:c r="H1021" t="str">
        <x:v>P034</x:v>
      </x:c>
      <x:c r="I1021" t="str">
        <x:v>Chilli Powder 1kg</x:v>
      </x:c>
      <x:c r="J1021" t="str">
        <x:v>Spices</x:v>
      </x:c>
      <x:c r="K1021" t="str">
        <x:v>MDH</x:v>
      </x:c>
      <x:c r="L1021" s="22" t="n">
        <x:v>340</x:v>
      </x:c>
      <x:c r="M1021" t="n">
        <x:v>26</x:v>
      </x:c>
      <x:c r="N1021" s="24" t="n">
        <x:v>0.03</x:v>
      </x:c>
      <x:c r="O1021" s="22" t="n">
        <x:f>L1021*M1021</x:f>
        <x:v>8840</x:v>
      </x:c>
      <x:c r="P1021" s="22" t="n">
        <x:f>O1021*(1-N1021)</x:f>
        <x:v>8574.8</x:v>
      </x:c>
      <x:c r="Q1021" s="22" t="n">
        <x:v>295</x:v>
      </x:c>
      <x:c r="R1021" s="22" t="n">
        <x:f>Q1021*M1021</x:f>
        <x:v>7670</x:v>
      </x:c>
      <x:c r="S1021" s="22" t="n">
        <x:f>P1021-R1021</x:f>
        <x:v>904.7999999999993</x:v>
      </x:c>
      <x:c r="T1021" t="str">
        <x:v>UPI</x:v>
      </x:c>
      <x:c r="U1021" t="str">
        <x:v>Paid</x:v>
      </x:c>
      <x:c r="V1021" t="str">
        <x:v>Delayed</x:v>
      </x:c>
      <x:c r="W1021" t="n">
        <x:v>0</x:v>
      </x:c>
      <x:c r="X1021" t="str"/>
      <x:c r="Y1021" t="str">
        <x:v>Referral</x:v>
      </x:c>
    </x:row>
    <x:row r="1022">
      <x:c r="A1022" t="str">
        <x:v>O001021</x:v>
      </x:c>
      <x:c r="B1022" s="20" t="n">
        <x:v>46112</x:v>
      </x:c>
      <x:c r="C1022" t="str">
        <x:v>C0022</x:v>
      </x:c>
      <x:c r="D1022" t="str">
        <x:v>Royal Hotel 22</x:v>
      </x:c>
      <x:c r="E1022" t="str">
        <x:v>Kirana</x:v>
      </x:c>
      <x:c r="F1022" t="str">
        <x:v>Bengaluru</x:v>
      </x:c>
      <x:c r="G1022" t="str">
        <x:v>Ramesh</x:v>
      </x:c>
      <x:c r="H1022" t="str">
        <x:v>P012</x:v>
      </x:c>
      <x:c r="I1022" t="str">
        <x:v>Maida 10kg</x:v>
      </x:c>
      <x:c r="J1022" t="str">
        <x:v>Flour</x:v>
      </x:c>
      <x:c r="K1022" t="str">
        <x:v>Aashirvaad</x:v>
      </x:c>
      <x:c r="L1022" s="22" t="n">
        <x:v>520</x:v>
      </x:c>
      <x:c r="M1022" t="n">
        <x:v>3</x:v>
      </x:c>
      <x:c r="N1022" s="24" t="n">
        <x:v>0.02</x:v>
      </x:c>
      <x:c r="O1022" s="22" t="n">
        <x:f>L1022*M1022</x:f>
        <x:v>1560</x:v>
      </x:c>
      <x:c r="P1022" s="22" t="n">
        <x:f>O1022*(1-N1022)</x:f>
        <x:v>1528.8</x:v>
      </x:c>
      <x:c r="Q1022" s="22" t="n">
        <x:v>460</x:v>
      </x:c>
      <x:c r="R1022" s="22" t="n">
        <x:f>Q1022*M1022</x:f>
        <x:v>1380</x:v>
      </x:c>
      <x:c r="S1022" s="22" t="n">
        <x:f>P1022-R1022</x:f>
        <x:v>148.79999999999995</x:v>
      </x:c>
      <x:c r="T1022" t="str">
        <x:v>Bank Transfer</x:v>
      </x:c>
      <x:c r="U1022" t="str">
        <x:v>Paid</x:v>
      </x:c>
      <x:c r="V1022" t="str">
        <x:v>Delivered</x:v>
      </x:c>
      <x:c r="W1022" t="n">
        <x:v>0</x:v>
      </x:c>
      <x:c r="X1022" t="str"/>
      <x:c r="Y1022" t="str">
        <x:v>Outbound Call</x:v>
      </x:c>
    </x:row>
    <x:row r="1023">
      <x:c r="A1023" t="str">
        <x:v>O001022</x:v>
      </x:c>
      <x:c r="B1023" s="20" t="n">
        <x:v>45778</x:v>
      </x:c>
      <x:c r="C1023" t="str">
        <x:v>C0144</x:v>
      </x:c>
      <x:c r="D1023" t="str">
        <x:v>Namma Foods 144</x:v>
      </x:c>
      <x:c r="E1023" t="str">
        <x:v>Restaurant</x:v>
      </x:c>
      <x:c r="F1023" t="str">
        <x:v>Tumakuru</x:v>
      </x:c>
      <x:c r="G1023" t="str">
        <x:v>Arjun</x:v>
      </x:c>
      <x:c r="H1023" t="str">
        <x:v>P023</x:v>
      </x:c>
      <x:c r="I1023" t="str">
        <x:v>Cola 750ml</x:v>
      </x:c>
      <x:c r="J1023" t="str">
        <x:v>Beverage</x:v>
      </x:c>
      <x:c r="K1023" t="str">
        <x:v>Coca-Cola</x:v>
      </x:c>
      <x:c r="L1023" s="22" t="n">
        <x:v>38</x:v>
      </x:c>
      <x:c r="M1023" t="n">
        <x:v>22</x:v>
      </x:c>
      <x:c r="N1023" s="24" t="n">
        <x:v>0.03</x:v>
      </x:c>
      <x:c r="O1023" s="22" t="n">
        <x:f>L1023*M1023</x:f>
        <x:v>836</x:v>
      </x:c>
      <x:c r="P1023" s="22" t="n">
        <x:f>O1023*(1-N1023)</x:f>
        <x:v>810.92</x:v>
      </x:c>
      <x:c r="Q1023" s="22" t="n">
        <x:v>31</x:v>
      </x:c>
      <x:c r="R1023" s="22" t="n">
        <x:f>Q1023*M1023</x:f>
        <x:v>682</x:v>
      </x:c>
      <x:c r="S1023" s="22" t="n">
        <x:f>P1023-R1023</x:f>
        <x:v>128.91999999999996</x:v>
      </x:c>
      <x:c r="T1023" t="str">
        <x:v>UPI</x:v>
      </x:c>
      <x:c r="U1023" t="str">
        <x:v>Paid</x:v>
      </x:c>
      <x:c r="V1023" t="str">
        <x:v>Delivered</x:v>
      </x:c>
      <x:c r="W1023" t="n">
        <x:v>0</x:v>
      </x:c>
      <x:c r="X1023" t="str"/>
      <x:c r="Y1023" t="str">
        <x:v>Outbound Call</x:v>
      </x:c>
    </x:row>
    <x:row r="1024">
      <x:c r="A1024" t="str">
        <x:v>O001023</x:v>
      </x:c>
      <x:c r="B1024" s="20" t="n">
        <x:v>45983</x:v>
      </x:c>
      <x:c r="C1024" t="str">
        <x:v>C0023</x:v>
      </x:c>
      <x:c r="D1024" t="str">
        <x:v>Mysore Canteen 23</x:v>
      </x:c>
      <x:c r="E1024" t="str">
        <x:v>Cafe</x:v>
      </x:c>
      <x:c r="F1024" t="str">
        <x:v>Hubballi</x:v>
      </x:c>
      <x:c r="G1024" t="str">
        <x:v>Sneha</x:v>
      </x:c>
      <x:c r="H1024" t="str">
        <x:v>P012</x:v>
      </x:c>
      <x:c r="I1024" t="str">
        <x:v>Maida 10kg</x:v>
      </x:c>
      <x:c r="J1024" t="str">
        <x:v>Flour</x:v>
      </x:c>
      <x:c r="K1024" t="str">
        <x:v>Aashirvaad</x:v>
      </x:c>
      <x:c r="L1024" s="22" t="n">
        <x:v>520</x:v>
      </x:c>
      <x:c r="M1024" t="n">
        <x:v>38</x:v>
      </x:c>
      <x:c r="N1024" s="24" t="n">
        <x:v>0.05</x:v>
      </x:c>
      <x:c r="O1024" s="22" t="n">
        <x:f>L1024*M1024</x:f>
        <x:v>19760</x:v>
      </x:c>
      <x:c r="P1024" s="22" t="n">
        <x:f>O1024*(1-N1024)</x:f>
        <x:v>18772</x:v>
      </x:c>
      <x:c r="Q1024" s="22" t="n">
        <x:v>460</x:v>
      </x:c>
      <x:c r="R1024" s="22" t="n">
        <x:f>Q1024*M1024</x:f>
        <x:v>17480</x:v>
      </x:c>
      <x:c r="S1024" s="22" t="n">
        <x:f>P1024-R1024</x:f>
        <x:v>1292</x:v>
      </x:c>
      <x:c r="T1024" t="str">
        <x:v>UPI</x:v>
      </x:c>
      <x:c r="U1024" t="str">
        <x:v>Pending</x:v>
      </x:c>
      <x:c r="V1024" t="str">
        <x:v>Delivered</x:v>
      </x:c>
      <x:c r="W1024" t="n">
        <x:v>0</x:v>
      </x:c>
      <x:c r="X1024" t="str"/>
      <x:c r="Y1024" t="str">
        <x:v>Field Visit</x:v>
      </x:c>
    </x:row>
    <x:row r="1025">
      <x:c r="A1025" t="str">
        <x:v>O001024</x:v>
      </x:c>
      <x:c r="B1025" s="20" t="n">
        <x:v>45910</x:v>
      </x:c>
      <x:c r="C1025" t="str">
        <x:v>C0225</x:v>
      </x:c>
      <x:c r="D1025" t="str">
        <x:v>Darshini Mart 225</x:v>
      </x:c>
      <x:c r="E1025" t="str">
        <x:v>Restaurant</x:v>
      </x:c>
      <x:c r="F1025" t="str">
        <x:v>Davanagere</x:v>
      </x:c>
      <x:c r="G1025" t="str">
        <x:v>Kavya</x:v>
      </x:c>
      <x:c r="H1025" t="str">
        <x:v>P047</x:v>
      </x:c>
      <x:c r="I1025" t="str">
        <x:v>Tomato 25kg</x:v>
      </x:c>
      <x:c r="J1025" t="str">
        <x:v>Fresh Produce</x:v>
      </x:c>
      <x:c r="K1025" t="str">
        <x:v>Local Market</x:v>
      </x:c>
      <x:c r="L1025" s="22" t="n">
        <x:v>950</x:v>
      </x:c>
      <x:c r="M1025" t="n">
        <x:v>20</x:v>
      </x:c>
      <x:c r="N1025" s="24" t="n">
        <x:v>0.05</x:v>
      </x:c>
      <x:c r="O1025" s="22" t="n">
        <x:f>L1025*M1025</x:f>
        <x:v>19000</x:v>
      </x:c>
      <x:c r="P1025" s="22" t="n">
        <x:f>O1025*(1-N1025)</x:f>
        <x:v>18050</x:v>
      </x:c>
      <x:c r="Q1025" s="22" t="n">
        <x:v>810</x:v>
      </x:c>
      <x:c r="R1025" s="22" t="n">
        <x:f>Q1025*M1025</x:f>
        <x:v>16200</x:v>
      </x:c>
      <x:c r="S1025" s="22" t="n">
        <x:f>P1025-R1025</x:f>
        <x:v>1850</x:v>
      </x:c>
      <x:c r="T1025" t="str">
        <x:v>Bank Transfer</x:v>
      </x:c>
      <x:c r="U1025" t="str">
        <x:v>Pending</x:v>
      </x:c>
      <x:c r="V1025" t="str">
        <x:v>Cancelled</x:v>
      </x:c>
      <x:c r="W1025" t="n">
        <x:v>20</x:v>
      </x:c>
      <x:c r="X1025" t="str">
        <x:v>Cancelled Order</x:v>
      </x:c>
      <x:c r="Y1025" t="str">
        <x:v>Referral</x:v>
      </x:c>
    </x:row>
    <x:row r="1026">
      <x:c r="A1026" t="str">
        <x:v>O001025</x:v>
      </x:c>
      <x:c r="B1026" s="20" t="n">
        <x:v>45951</x:v>
      </x:c>
      <x:c r="C1026" t="str">
        <x:v>C0098</x:v>
      </x:c>
      <x:c r="D1026" t="str">
        <x:v>City Stores 98</x:v>
      </x:c>
      <x:c r="E1026" t="str">
        <x:v>Canteen</x:v>
      </x:c>
      <x:c r="F1026" t="str">
        <x:v>Mangaluru</x:v>
      </x:c>
      <x:c r="G1026" t="str">
        <x:v>Imran</x:v>
      </x:c>
      <x:c r="H1026" t="str">
        <x:v>P046</x:v>
      </x:c>
      <x:c r="I1026" t="str">
        <x:v>Potato 25kg</x:v>
      </x:c>
      <x:c r="J1026" t="str">
        <x:v>Fresh Produce</x:v>
      </x:c>
      <x:c r="K1026" t="str">
        <x:v>Local Market</x:v>
      </x:c>
      <x:c r="L1026" s="22" t="n">
        <x:v>700</x:v>
      </x:c>
      <x:c r="M1026" t="n">
        <x:v>12</x:v>
      </x:c>
      <x:c r="N1026" s="24" t="n">
        <x:v>0.02</x:v>
      </x:c>
      <x:c r="O1026" s="22" t="n">
        <x:f>L1026*M1026</x:f>
        <x:v>8400</x:v>
      </x:c>
      <x:c r="P1026" s="22" t="n">
        <x:f>O1026*(1-N1026)</x:f>
        <x:v>8232</x:v>
      </x:c>
      <x:c r="Q1026" s="22" t="n">
        <x:v>610</x:v>
      </x:c>
      <x:c r="R1026" s="22" t="n">
        <x:f>Q1026*M1026</x:f>
        <x:v>7320</x:v>
      </x:c>
      <x:c r="S1026" s="22" t="n">
        <x:f>P1026-R1026</x:f>
        <x:v>912</x:v>
      </x:c>
      <x:c r="T1026" t="str">
        <x:v>Cash</x:v>
      </x:c>
      <x:c r="U1026" t="str">
        <x:v>Paid</x:v>
      </x:c>
      <x:c r="V1026" t="str">
        <x:v>Delivered</x:v>
      </x:c>
      <x:c r="W1026" t="n">
        <x:v>0</x:v>
      </x:c>
      <x:c r="X1026" t="str"/>
      <x:c r="Y1026" t="str">
        <x:v>Referral</x:v>
      </x:c>
    </x:row>
    <x:row r="1027">
      <x:c r="A1027" t="str">
        <x:v>O001026</x:v>
      </x:c>
      <x:c r="B1027" s="20" t="n">
        <x:v>46108</x:v>
      </x:c>
      <x:c r="C1027" t="str">
        <x:v>C0076</x:v>
      </x:c>
      <x:c r="D1027" t="str">
        <x:v>Sri Canteen 76</x:v>
      </x:c>
      <x:c r="E1027" t="str">
        <x:v>Canteen</x:v>
      </x:c>
      <x:c r="F1027" t="str">
        <x:v>Tumakuru</x:v>
      </x:c>
      <x:c r="G1027" t="str">
        <x:v>Priya</x:v>
      </x:c>
      <x:c r="H1027" t="str">
        <x:v>P017</x:v>
      </x:c>
      <x:c r="I1027" t="str">
        <x:v>Butter 500g</x:v>
      </x:c>
      <x:c r="J1027" t="str">
        <x:v>Dairy</x:v>
      </x:c>
      <x:c r="K1027" t="str">
        <x:v>Amul</x:v>
      </x:c>
      <x:c r="L1027" s="22" t="n">
        <x:v>285</x:v>
      </x:c>
      <x:c r="M1027" t="n">
        <x:v>17</x:v>
      </x:c>
      <x:c r="N1027" s="24" t="n">
        <x:v>0</x:v>
      </x:c>
      <x:c r="O1027" s="22" t="n">
        <x:f>L1027*M1027</x:f>
        <x:v>4845</x:v>
      </x:c>
      <x:c r="P1027" s="22" t="n">
        <x:f>O1027*(1-N1027)</x:f>
        <x:v>4845</x:v>
      </x:c>
      <x:c r="Q1027" s="22" t="n">
        <x:v>258</x:v>
      </x:c>
      <x:c r="R1027" s="22" t="n">
        <x:f>Q1027*M1027</x:f>
        <x:v>4386</x:v>
      </x:c>
      <x:c r="S1027" s="22" t="n">
        <x:f>P1027-R1027</x:f>
        <x:v>459</x:v>
      </x:c>
      <x:c r="T1027" t="str">
        <x:v>Cash</x:v>
      </x:c>
      <x:c r="U1027" t="str">
        <x:v>Paid</x:v>
      </x:c>
      <x:c r="V1027" t="str">
        <x:v>Delivered</x:v>
      </x:c>
      <x:c r="W1027" t="n">
        <x:v>0</x:v>
      </x:c>
      <x:c r="X1027" t="str"/>
      <x:c r="Y1027" t="str">
        <x:v>Existing Customer</x:v>
      </x:c>
    </x:row>
    <x:row r="1028">
      <x:c r="A1028" t="str">
        <x:v>O001027</x:v>
      </x:c>
      <x:c r="B1028" s="20" t="n">
        <x:v>45832</x:v>
      </x:c>
      <x:c r="C1028" t="str">
        <x:v>C0162</x:v>
      </x:c>
      <x:c r="D1028" t="str">
        <x:v>Udupi Foods 162</x:v>
      </x:c>
      <x:c r="E1028" t="str">
        <x:v>Restaurant</x:v>
      </x:c>
      <x:c r="F1028" t="str">
        <x:v>Mysuru</x:v>
      </x:c>
      <x:c r="G1028" t="str">
        <x:v>Ramesh</x:v>
      </x:c>
      <x:c r="H1028" t="str">
        <x:v>P044</x:v>
      </x:c>
      <x:c r="I1028" t="str">
        <x:v>Chicken Curry Cut 1kg</x:v>
      </x:c>
      <x:c r="J1028" t="str">
        <x:v>Protein</x:v>
      </x:c>
      <x:c r="K1028" t="str">
        <x:v>FreshToHome</x:v>
      </x:c>
      <x:c r="L1028" s="22" t="n">
        <x:v>230</x:v>
      </x:c>
      <x:c r="M1028" t="n">
        <x:v>3</x:v>
      </x:c>
      <x:c r="N1028" s="24" t="n">
        <x:v>0.08</x:v>
      </x:c>
      <x:c r="O1028" s="22" t="n">
        <x:f>L1028*M1028</x:f>
        <x:v>690</x:v>
      </x:c>
      <x:c r="P1028" s="22" t="n">
        <x:f>O1028*(1-N1028)</x:f>
        <x:v>634.8000000000001</x:v>
      </x:c>
      <x:c r="Q1028" s="22" t="n">
        <x:v>205</x:v>
      </x:c>
      <x:c r="R1028" s="22" t="n">
        <x:f>Q1028*M1028</x:f>
        <x:v>615</x:v>
      </x:c>
      <x:c r="S1028" s="22" t="n">
        <x:f>P1028-R1028</x:f>
        <x:v>19.800000000000068</x:v>
      </x:c>
      <x:c r="T1028" t="str">
        <x:v>Credit</x:v>
      </x:c>
      <x:c r="U1028" t="str">
        <x:v>Paid</x:v>
      </x:c>
      <x:c r="V1028" t="str">
        <x:v>Delayed</x:v>
      </x:c>
      <x:c r="W1028" t="n">
        <x:v>0</x:v>
      </x:c>
      <x:c r="X1028" t="str"/>
      <x:c r="Y1028" t="str">
        <x:v>Referral</x:v>
      </x:c>
    </x:row>
    <x:row r="1029">
      <x:c r="A1029" t="str">
        <x:v>O001028</x:v>
      </x:c>
      <x:c r="B1029" s="20" t="n">
        <x:v>45953</x:v>
      </x:c>
      <x:c r="C1029" t="str">
        <x:v>C0112</x:v>
      </x:c>
      <x:c r="D1029" t="str">
        <x:v>Cafe Hotel 112</x:v>
      </x:c>
      <x:c r="E1029" t="str">
        <x:v>Hotel</x:v>
      </x:c>
      <x:c r="F1029" t="str">
        <x:v>Mangaluru</x:v>
      </x:c>
      <x:c r="G1029" t="str">
        <x:v>Kavya</x:v>
      </x:c>
      <x:c r="H1029" t="str">
        <x:v>P023</x:v>
      </x:c>
      <x:c r="I1029" t="str">
        <x:v>Cola 750ml</x:v>
      </x:c>
      <x:c r="J1029" t="str">
        <x:v>Beverage</x:v>
      </x:c>
      <x:c r="K1029" t="str">
        <x:v>Coca-Cola</x:v>
      </x:c>
      <x:c r="L1029" s="22" t="n">
        <x:v>38</x:v>
      </x:c>
      <x:c r="M1029" t="n">
        <x:v>14</x:v>
      </x:c>
      <x:c r="N1029" s="24" t="n">
        <x:v>0.02</x:v>
      </x:c>
      <x:c r="O1029" s="22" t="n">
        <x:f>L1029*M1029</x:f>
        <x:v>532</x:v>
      </x:c>
      <x:c r="P1029" s="22" t="n">
        <x:f>O1029*(1-N1029)</x:f>
        <x:v>521.36</x:v>
      </x:c>
      <x:c r="Q1029" s="22" t="n">
        <x:v>31</x:v>
      </x:c>
      <x:c r="R1029" s="22" t="n">
        <x:f>Q1029*M1029</x:f>
        <x:v>434</x:v>
      </x:c>
      <x:c r="S1029" s="22" t="n">
        <x:f>P1029-R1029</x:f>
        <x:v>87.36000000000001</x:v>
      </x:c>
      <x:c r="T1029" t="str">
        <x:v>Cash</x:v>
      </x:c>
      <x:c r="U1029" t="str">
        <x:v>Paid</x:v>
      </x:c>
      <x:c r="V1029" t="str">
        <x:v>Delivered</x:v>
      </x:c>
      <x:c r="W1029" t="n">
        <x:v>0</x:v>
      </x:c>
      <x:c r="X1029" t="str"/>
      <x:c r="Y1029" t="str">
        <x:v>WhatsApp</x:v>
      </x:c>
    </x:row>
    <x:row r="1030">
      <x:c r="A1030" t="str">
        <x:v>O001029</x:v>
      </x:c>
      <x:c r="B1030" s="20" t="n">
        <x:v>46187</x:v>
      </x:c>
      <x:c r="C1030" t="str">
        <x:v>C0237</x:v>
      </x:c>
      <x:c r="D1030" t="str">
        <x:v>Mysore Restaurant 237</x:v>
      </x:c>
      <x:c r="E1030" t="str">
        <x:v>Restaurant</x:v>
      </x:c>
      <x:c r="F1030" t="str">
        <x:v>Bengaluru</x:v>
      </x:c>
      <x:c r="G1030" t="str">
        <x:v>Sneha</x:v>
      </x:c>
      <x:c r="H1030" t="str">
        <x:v>P008</x:v>
      </x:c>
      <x:c r="I1030" t="str">
        <x:v>Palm Oil 15L</x:v>
      </x:c>
      <x:c r="J1030" t="str">
        <x:v>Edible Oil</x:v>
      </x:c>
      <x:c r="K1030" t="str">
        <x:v>Ruchi Gold</x:v>
      </x:c>
      <x:c r="L1030" s="22" t="n">
        <x:v>1760</x:v>
      </x:c>
      <x:c r="M1030" t="n">
        <x:v>8</x:v>
      </x:c>
      <x:c r="N1030" s="24" t="n">
        <x:v>0</x:v>
      </x:c>
      <x:c r="O1030" s="22" t="n">
        <x:f>L1030*M1030</x:f>
        <x:v>14080</x:v>
      </x:c>
      <x:c r="P1030" s="22" t="n">
        <x:f>O1030*(1-N1030)</x:f>
        <x:v>14080</x:v>
      </x:c>
      <x:c r="Q1030" s="22" t="n">
        <x:v>1610</x:v>
      </x:c>
      <x:c r="R1030" s="22" t="n">
        <x:f>Q1030*M1030</x:f>
        <x:v>12880</x:v>
      </x:c>
      <x:c r="S1030" s="22" t="n">
        <x:f>P1030-R1030</x:f>
        <x:v>1200</x:v>
      </x:c>
      <x:c r="T1030" t="str">
        <x:v>Cash</x:v>
      </x:c>
      <x:c r="U1030" t="str">
        <x:v>Paid</x:v>
      </x:c>
      <x:c r="V1030" t="str">
        <x:v>Delivered</x:v>
      </x:c>
      <x:c r="W1030" t="n">
        <x:v>0</x:v>
      </x:c>
      <x:c r="X1030" t="str"/>
      <x:c r="Y1030" t="str">
        <x:v>Outbound Call</x:v>
      </x:c>
    </x:row>
    <x:row r="1031">
      <x:c r="A1031" t="str">
        <x:v>O001030</x:v>
      </x:c>
      <x:c r="B1031" s="20" t="n">
        <x:v>46025</x:v>
      </x:c>
      <x:c r="C1031" t="str">
        <x:v>C0027</x:v>
      </x:c>
      <x:c r="D1031" t="str">
        <x:v>Fresh Cafe 27</x:v>
      </x:c>
      <x:c r="E1031" t="str">
        <x:v>Restaurant</x:v>
      </x:c>
      <x:c r="F1031" t="str">
        <x:v>Tumakuru</x:v>
      </x:c>
      <x:c r="G1031" t="str">
        <x:v>Megha</x:v>
      </x:c>
      <x:c r="H1031" t="str">
        <x:v>P041</x:v>
      </x:c>
      <x:c r="I1031" t="str">
        <x:v>Burger Bun 6pc</x:v>
      </x:c>
      <x:c r="J1031" t="str">
        <x:v>Bakery</x:v>
      </x:c>
      <x:c r="K1031" t="str">
        <x:v>Modern</x:v>
      </x:c>
      <x:c r="L1031" s="22" t="n">
        <x:v>42</x:v>
      </x:c>
      <x:c r="M1031" t="n">
        <x:v>1</x:v>
      </x:c>
      <x:c r="N1031" s="24" t="n">
        <x:v>0</x:v>
      </x:c>
      <x:c r="O1031" s="22" t="n">
        <x:f>L1031*M1031</x:f>
        <x:v>42</x:v>
      </x:c>
      <x:c r="P1031" s="22" t="n">
        <x:f>O1031*(1-N1031)</x:f>
        <x:v>42</x:v>
      </x:c>
      <x:c r="Q1031" s="22" t="n">
        <x:v>32</x:v>
      </x:c>
      <x:c r="R1031" s="22" t="n">
        <x:f>Q1031*M1031</x:f>
        <x:v>32</x:v>
      </x:c>
      <x:c r="S1031" s="22" t="n">
        <x:f>P1031-R1031</x:f>
        <x:v>10</x:v>
      </x:c>
      <x:c r="T1031" t="str">
        <x:v>Credit</x:v>
      </x:c>
      <x:c r="U1031" t="str">
        <x:v>Paid</x:v>
      </x:c>
      <x:c r="V1031" t="str">
        <x:v>Cancelled</x:v>
      </x:c>
      <x:c r="W1031" t="n">
        <x:v>1</x:v>
      </x:c>
      <x:c r="X1031" t="str">
        <x:v>Cancelled Order</x:v>
      </x:c>
      <x:c r="Y1031" t="str">
        <x:v>Outbound Call</x:v>
      </x:c>
    </x:row>
    <x:row r="1032">
      <x:c r="A1032" t="str">
        <x:v>O001031</x:v>
      </x:c>
      <x:c r="B1032" s="20" t="n">
        <x:v>45824</x:v>
      </x:c>
      <x:c r="C1032" t="str">
        <x:v>C0092</x:v>
      </x:c>
      <x:c r="D1032" t="str">
        <x:v>Cafe Restaurant 92</x:v>
      </x:c>
      <x:c r="E1032" t="str">
        <x:v>Canteen</x:v>
      </x:c>
      <x:c r="F1032" t="str">
        <x:v>Hubballi</x:v>
      </x:c>
      <x:c r="G1032" t="str">
        <x:v>Vikram</x:v>
      </x:c>
      <x:c r="H1032" t="str">
        <x:v>P020</x:v>
      </x:c>
      <x:c r="I1032" t="str">
        <x:v>Coffee 500g</x:v>
      </x:c>
      <x:c r="J1032" t="str">
        <x:v>Beverage</x:v>
      </x:c>
      <x:c r="K1032" t="str">
        <x:v>Bru</x:v>
      </x:c>
      <x:c r="L1032" s="22" t="n">
        <x:v>390</x:v>
      </x:c>
      <x:c r="M1032" t="n">
        <x:v>30</x:v>
      </x:c>
      <x:c r="N1032" s="24" t="n">
        <x:v>0.03</x:v>
      </x:c>
      <x:c r="O1032" s="22" t="n">
        <x:f>L1032*M1032</x:f>
        <x:v>11700</x:v>
      </x:c>
      <x:c r="P1032" s="22" t="n">
        <x:f>O1032*(1-N1032)</x:f>
        <x:v>11349</x:v>
      </x:c>
      <x:c r="Q1032" s="22" t="n">
        <x:v>350</x:v>
      </x:c>
      <x:c r="R1032" s="22" t="n">
        <x:f>Q1032*M1032</x:f>
        <x:v>10500</x:v>
      </x:c>
      <x:c r="S1032" s="22" t="n">
        <x:f>P1032-R1032</x:f>
        <x:v>849</x:v>
      </x:c>
      <x:c r="T1032" t="str">
        <x:v>UPI</x:v>
      </x:c>
      <x:c r="U1032" t="str">
        <x:v>Paid</x:v>
      </x:c>
      <x:c r="V1032" t="str">
        <x:v>Delayed</x:v>
      </x:c>
      <x:c r="W1032" t="n">
        <x:v>0</x:v>
      </x:c>
      <x:c r="X1032" t="str"/>
      <x:c r="Y1032" t="str">
        <x:v>WhatsApp</x:v>
      </x:c>
    </x:row>
    <x:row r="1033">
      <x:c r="A1033" t="str">
        <x:v>O001032</x:v>
      </x:c>
      <x:c r="B1033" s="20" t="n">
        <x:v>46066</x:v>
      </x:c>
      <x:c r="C1033" t="str">
        <x:v>C0178</x:v>
      </x:c>
      <x:c r="D1033" t="str">
        <x:v>Annapurna Foods 178</x:v>
      </x:c>
      <x:c r="E1033" t="str">
        <x:v>Canteen</x:v>
      </x:c>
      <x:c r="F1033" t="str">
        <x:v>Tumakuru</x:v>
      </x:c>
      <x:c r="G1033" t="str">
        <x:v>Imran</x:v>
      </x:c>
      <x:c r="H1033" t="str">
        <x:v>P028</x:v>
      </x:c>
      <x:c r="I1033" t="str">
        <x:v>Cookies 200g</x:v>
      </x:c>
      <x:c r="J1033" t="str">
        <x:v>Snacks</x:v>
      </x:c>
      <x:c r="K1033" t="str">
        <x:v>Britannia</x:v>
      </x:c>
      <x:c r="L1033" s="22" t="n">
        <x:v>55</x:v>
      </x:c>
      <x:c r="M1033" t="n">
        <x:v>31</x:v>
      </x:c>
      <x:c r="N1033" s="24" t="n">
        <x:v>0.05</x:v>
      </x:c>
      <x:c r="O1033" s="22" t="n">
        <x:f>L1033*M1033</x:f>
        <x:v>1705</x:v>
      </x:c>
      <x:c r="P1033" s="22" t="n">
        <x:f>O1033*(1-N1033)</x:f>
        <x:v>1619.75</x:v>
      </x:c>
      <x:c r="Q1033" s="22" t="n">
        <x:v>42</x:v>
      </x:c>
      <x:c r="R1033" s="22" t="n">
        <x:f>Q1033*M1033</x:f>
        <x:v>1302</x:v>
      </x:c>
      <x:c r="S1033" s="22" t="n">
        <x:f>P1033-R1033</x:f>
        <x:v>317.75</x:v>
      </x:c>
      <x:c r="T1033" t="str">
        <x:v>Cash</x:v>
      </x:c>
      <x:c r="U1033" t="str">
        <x:v>Pending</x:v>
      </x:c>
      <x:c r="V1033" t="str">
        <x:v>Delayed</x:v>
      </x:c>
      <x:c r="W1033" t="n">
        <x:v>0</x:v>
      </x:c>
      <x:c r="X1033" t="str"/>
      <x:c r="Y1033" t="str">
        <x:v>Field Visit</x:v>
      </x:c>
    </x:row>
    <x:row r="1034">
      <x:c r="A1034" t="str">
        <x:v>O001033</x:v>
      </x:c>
      <x:c r="B1034" s="20" t="n">
        <x:v>45699</x:v>
      </x:c>
      <x:c r="C1034" t="str">
        <x:v>C0103</x:v>
      </x:c>
      <x:c r="D1034" t="str">
        <x:v>Fresh Kitchen 103</x:v>
      </x:c>
      <x:c r="E1034" t="str">
        <x:v>Supermarket</x:v>
      </x:c>
      <x:c r="F1034" t="str">
        <x:v>Davanagere</x:v>
      </x:c>
      <x:c r="G1034" t="str">
        <x:v>Megha</x:v>
      </x:c>
      <x:c r="H1034" t="str">
        <x:v>P020</x:v>
      </x:c>
      <x:c r="I1034" t="str">
        <x:v>Coffee 500g</x:v>
      </x:c>
      <x:c r="J1034" t="str">
        <x:v>Beverage</x:v>
      </x:c>
      <x:c r="K1034" t="str">
        <x:v>Bru</x:v>
      </x:c>
      <x:c r="L1034" s="22" t="n">
        <x:v>390</x:v>
      </x:c>
      <x:c r="M1034" t="n">
        <x:v>15</x:v>
      </x:c>
      <x:c r="N1034" s="24" t="n">
        <x:v>0.05</x:v>
      </x:c>
      <x:c r="O1034" s="22" t="n">
        <x:f>L1034*M1034</x:f>
        <x:v>5850</x:v>
      </x:c>
      <x:c r="P1034" s="22" t="n">
        <x:f>O1034*(1-N1034)</x:f>
        <x:v>5557.5</x:v>
      </x:c>
      <x:c r="Q1034" s="22" t="n">
        <x:v>350</x:v>
      </x:c>
      <x:c r="R1034" s="22" t="n">
        <x:f>Q1034*M1034</x:f>
        <x:v>5250</x:v>
      </x:c>
      <x:c r="S1034" s="22" t="n">
        <x:f>P1034-R1034</x:f>
        <x:v>307.5</x:v>
      </x:c>
      <x:c r="T1034" t="str">
        <x:v>UPI</x:v>
      </x:c>
      <x:c r="U1034" t="str">
        <x:v>Paid</x:v>
      </x:c>
      <x:c r="V1034" t="str">
        <x:v>Delivered</x:v>
      </x:c>
      <x:c r="W1034" t="n">
        <x:v>0</x:v>
      </x:c>
      <x:c r="X1034" t="str"/>
      <x:c r="Y1034" t="str">
        <x:v>WhatsApp</x:v>
      </x:c>
    </x:row>
    <x:row r="1035">
      <x:c r="A1035" t="str">
        <x:v>O001034</x:v>
      </x:c>
      <x:c r="B1035" s="20" t="n">
        <x:v>45828</x:v>
      </x:c>
      <x:c r="C1035" t="str">
        <x:v>C0042</x:v>
      </x:c>
      <x:c r="D1035" t="str">
        <x:v>Shree Restaurant 42</x:v>
      </x:c>
      <x:c r="E1035" t="str">
        <x:v>Restaurant</x:v>
      </x:c>
      <x:c r="F1035" t="str">
        <x:v>Mysuru</x:v>
      </x:c>
      <x:c r="G1035" t="str">
        <x:v>Arjun</x:v>
      </x:c>
      <x:c r="H1035" t="str">
        <x:v>P033</x:v>
      </x:c>
      <x:c r="I1035" t="str">
        <x:v>Turmeric Powder 1kg</x:v>
      </x:c>
      <x:c r="J1035" t="str">
        <x:v>Spices</x:v>
      </x:c>
      <x:c r="K1035" t="str">
        <x:v>Everest</x:v>
      </x:c>
      <x:c r="L1035" s="22" t="n">
        <x:v>310</x:v>
      </x:c>
      <x:c r="M1035" t="n">
        <x:v>20</x:v>
      </x:c>
      <x:c r="N1035" s="24" t="n">
        <x:v>0.08</x:v>
      </x:c>
      <x:c r="O1035" s="22" t="n">
        <x:f>L1035*M1035</x:f>
        <x:v>6200</x:v>
      </x:c>
      <x:c r="P1035" s="22" t="n">
        <x:f>O1035*(1-N1035)</x:f>
        <x:v>5704</x:v>
      </x:c>
      <x:c r="Q1035" s="22" t="n">
        <x:v>270</x:v>
      </x:c>
      <x:c r="R1035" s="22" t="n">
        <x:f>Q1035*M1035</x:f>
        <x:v>5400</x:v>
      </x:c>
      <x:c r="S1035" s="22" t="n">
        <x:f>P1035-R1035</x:f>
        <x:v>304</x:v>
      </x:c>
      <x:c r="T1035" t="str">
        <x:v>Bank Transfer</x:v>
      </x:c>
      <x:c r="U1035" t="str">
        <x:v>Overdue</x:v>
      </x:c>
      <x:c r="V1035" t="str">
        <x:v>Delayed</x:v>
      </x:c>
      <x:c r="W1035" t="n">
        <x:v>0</x:v>
      </x:c>
      <x:c r="X1035" t="str"/>
      <x:c r="Y1035" t="str">
        <x:v>Referral</x:v>
      </x:c>
    </x:row>
    <x:row r="1036">
      <x:c r="A1036" t="str">
        <x:v>O001035</x:v>
      </x:c>
      <x:c r="B1036" s="20" t="n">
        <x:v>45750</x:v>
      </x:c>
      <x:c r="C1036" t="str">
        <x:v>C0086</x:v>
      </x:c>
      <x:c r="D1036" t="str">
        <x:v>Foodie Canteen 86</x:v>
      </x:c>
      <x:c r="E1036" t="str">
        <x:v>Kirana</x:v>
      </x:c>
      <x:c r="F1036" t="str">
        <x:v>Hubballi</x:v>
      </x:c>
      <x:c r="G1036" t="str">
        <x:v>Sneha</x:v>
      </x:c>
      <x:c r="H1036" t="str">
        <x:v>P004</x:v>
      </x:c>
      <x:c r="I1036" t="str">
        <x:v>Toor Dal 5kg</x:v>
      </x:c>
      <x:c r="J1036" t="str">
        <x:v>Pulses</x:v>
      </x:c>
      <x:c r="K1036" t="str">
        <x:v>Tata Sampann</x:v>
      </x:c>
      <x:c r="L1036" s="22" t="n">
        <x:v>780</x:v>
      </x:c>
      <x:c r="M1036" t="n">
        <x:v>20</x:v>
      </x:c>
      <x:c r="N1036" s="24" t="n">
        <x:v>0.05</x:v>
      </x:c>
      <x:c r="O1036" s="22" t="n">
        <x:f>L1036*M1036</x:f>
        <x:v>15600</x:v>
      </x:c>
      <x:c r="P1036" s="22" t="n">
        <x:f>O1036*(1-N1036)</x:f>
        <x:v>14820</x:v>
      </x:c>
      <x:c r="Q1036" s="22" t="n">
        <x:v>695</x:v>
      </x:c>
      <x:c r="R1036" s="22" t="n">
        <x:f>Q1036*M1036</x:f>
        <x:v>13900</x:v>
      </x:c>
      <x:c r="S1036" s="22" t="n">
        <x:f>P1036-R1036</x:f>
        <x:v>920</x:v>
      </x:c>
      <x:c r="T1036" t="str">
        <x:v>Bank Transfer</x:v>
      </x:c>
      <x:c r="U1036" t="str">
        <x:v>Pending</x:v>
      </x:c>
      <x:c r="V1036" t="str">
        <x:v>Delivered</x:v>
      </x:c>
      <x:c r="W1036" t="n">
        <x:v>0</x:v>
      </x:c>
      <x:c r="X1036" t="str"/>
      <x:c r="Y1036" t="str"/>
    </x:row>
    <x:row r="1037">
      <x:c r="A1037" t="str">
        <x:v>O001036</x:v>
      </x:c>
      <x:c r="B1037" s="20" t="n">
        <x:v>45834</x:v>
      </x:c>
      <x:c r="C1037" t="str">
        <x:v>C0038</x:v>
      </x:c>
      <x:c r="D1037" t="str">
        <x:v>Mysore Kitchen 38</x:v>
      </x:c>
      <x:c r="E1037" t="str">
        <x:v>Kirana</x:v>
      </x:c>
      <x:c r="F1037" t="str">
        <x:v>Tumakuru</x:v>
      </x:c>
      <x:c r="G1037" t="str">
        <x:v>Priya</x:v>
      </x:c>
      <x:c r="H1037" t="str">
        <x:v>P013</x:v>
      </x:c>
      <x:c r="I1037" t="str">
        <x:v>Atta 10kg</x:v>
      </x:c>
      <x:c r="J1037" t="str">
        <x:v>Flour</x:v>
      </x:c>
      <x:c r="K1037" t="str">
        <x:v>Aashirvaad</x:v>
      </x:c>
      <x:c r="L1037" s="22" t="n">
        <x:v>560</x:v>
      </x:c>
      <x:c r="M1037" t="n">
        <x:v>20</x:v>
      </x:c>
      <x:c r="N1037" s="24" t="n">
        <x:v>0.02</x:v>
      </x:c>
      <x:c r="O1037" s="22" t="n">
        <x:f>L1037*M1037</x:f>
        <x:v>11200</x:v>
      </x:c>
      <x:c r="P1037" s="22" t="n">
        <x:f>O1037*(1-N1037)</x:f>
        <x:v>10976</x:v>
      </x:c>
      <x:c r="Q1037" s="22" t="n">
        <x:v>495</x:v>
      </x:c>
      <x:c r="R1037" s="22" t="n">
        <x:f>Q1037*M1037</x:f>
        <x:v>9900</x:v>
      </x:c>
      <x:c r="S1037" s="22" t="n">
        <x:f>P1037-R1037</x:f>
        <x:v>1076</x:v>
      </x:c>
      <x:c r="T1037" t="str">
        <x:v>Bank Transfer</x:v>
      </x:c>
      <x:c r="U1037" t="str">
        <x:v>Paid</x:v>
      </x:c>
      <x:c r="V1037" t="str">
        <x:v>Delivered</x:v>
      </x:c>
      <x:c r="W1037" t="n">
        <x:v>0</x:v>
      </x:c>
      <x:c r="X1037" t="str"/>
      <x:c r="Y1037" t="str">
        <x:v>Referral</x:v>
      </x:c>
    </x:row>
    <x:row r="1038">
      <x:c r="A1038" t="str">
        <x:v>O001037</x:v>
      </x:c>
      <x:c r="B1038" s="20" t="n">
        <x:v>46041</x:v>
      </x:c>
      <x:c r="C1038" t="str">
        <x:v>C0143</x:v>
      </x:c>
      <x:c r="D1038" t="str">
        <x:v>Foodie Restaurant 143</x:v>
      </x:c>
      <x:c r="E1038" t="str">
        <x:v>Restaurant</x:v>
      </x:c>
      <x:c r="F1038" t="str">
        <x:v>Hubballi</x:v>
      </x:c>
      <x:c r="G1038" t="str">
        <x:v>Priya</x:v>
      </x:c>
      <x:c r="H1038" t="str">
        <x:v>P050</x:v>
      </x:c>
      <x:c r="I1038" t="str">
        <x:v>Lemon 5kg</x:v>
      </x:c>
      <x:c r="J1038" t="str">
        <x:v>Fresh Produce</x:v>
      </x:c>
      <x:c r="K1038" t="str">
        <x:v>Local Market</x:v>
      </x:c>
      <x:c r="L1038" s="22" t="n">
        <x:v>360</x:v>
      </x:c>
      <x:c r="M1038" t="n">
        <x:v>1</x:v>
      </x:c>
      <x:c r="N1038" s="24" t="n">
        <x:v>0.03</x:v>
      </x:c>
      <x:c r="O1038" s="22" t="n">
        <x:f>L1038*M1038</x:f>
        <x:v>360</x:v>
      </x:c>
      <x:c r="P1038" s="22" t="n">
        <x:f>O1038*(1-N1038)</x:f>
        <x:v>349.2</x:v>
      </x:c>
      <x:c r="Q1038" s="22" t="n">
        <x:v>300</x:v>
      </x:c>
      <x:c r="R1038" s="22" t="n">
        <x:f>Q1038*M1038</x:f>
        <x:v>300</x:v>
      </x:c>
      <x:c r="S1038" s="22" t="n">
        <x:f>P1038-R1038</x:f>
        <x:v>49.19999999999999</x:v>
      </x:c>
      <x:c r="T1038" t="str">
        <x:v>Cash</x:v>
      </x:c>
      <x:c r="U1038" t="str">
        <x:v>Paid</x:v>
      </x:c>
      <x:c r="V1038" t="str">
        <x:v>Delayed</x:v>
      </x:c>
      <x:c r="W1038" t="n">
        <x:v>0</x:v>
      </x:c>
      <x:c r="X1038" t="str"/>
      <x:c r="Y1038" t="str">
        <x:v>WhatsApp</x:v>
      </x:c>
    </x:row>
    <x:row r="1039">
      <x:c r="A1039" t="str">
        <x:v>O001038</x:v>
      </x:c>
      <x:c r="B1039" s="20" t="n">
        <x:v>46043</x:v>
      </x:c>
      <x:c r="C1039" t="str">
        <x:v>C0234</x:v>
      </x:c>
      <x:c r="D1039" t="str">
        <x:v>Metro Canteen 234</x:v>
      </x:c>
      <x:c r="E1039" t="str">
        <x:v>Restaurant</x:v>
      </x:c>
      <x:c r="F1039" t="str">
        <x:v>Davanagere</x:v>
      </x:c>
      <x:c r="G1039" t="str">
        <x:v>Priya</x:v>
      </x:c>
      <x:c r="H1039" t="str">
        <x:v>P031</x:v>
      </x:c>
      <x:c r="I1039" t="str">
        <x:v>Chilli Sauce 700g</x:v>
      </x:c>
      <x:c r="J1039" t="str">
        <x:v>Condiments</x:v>
      </x:c>
      <x:c r="K1039" t="str">
        <x:v>Ching's</x:v>
      </x:c>
      <x:c r="L1039" s="22" t="n">
        <x:v>130</x:v>
      </x:c>
      <x:c r="M1039" t="n">
        <x:v>30</x:v>
      </x:c>
      <x:c r="N1039" s="24" t="n">
        <x:v>0.05</x:v>
      </x:c>
      <x:c r="O1039" s="22" t="n">
        <x:f>L1039*M1039</x:f>
        <x:v>3900</x:v>
      </x:c>
      <x:c r="P1039" s="22" t="n">
        <x:f>O1039*(1-N1039)</x:f>
        <x:v>3705</x:v>
      </x:c>
      <x:c r="Q1039" s="22" t="n">
        <x:v>112</x:v>
      </x:c>
      <x:c r="R1039" s="22" t="n">
        <x:f>Q1039*M1039</x:f>
        <x:v>3360</x:v>
      </x:c>
      <x:c r="S1039" s="22" t="n">
        <x:f>P1039-R1039</x:f>
        <x:v>345</x:v>
      </x:c>
      <x:c r="T1039" t="str">
        <x:v>UPI</x:v>
      </x:c>
      <x:c r="U1039" t="str">
        <x:v>Paid</x:v>
      </x:c>
      <x:c r="V1039" t="str">
        <x:v>Delivered</x:v>
      </x:c>
      <x:c r="W1039" t="n">
        <x:v>0</x:v>
      </x:c>
      <x:c r="X1039" t="str"/>
      <x:c r="Y1039" t="str">
        <x:v>Referral</x:v>
      </x:c>
    </x:row>
    <x:row r="1040">
      <x:c r="A1040" t="str">
        <x:v>O001039</x:v>
      </x:c>
      <x:c r="B1040" s="20" t="n">
        <x:v>46092</x:v>
      </x:c>
      <x:c r="C1040" t="str">
        <x:v>C0084</x:v>
      </x:c>
      <x:c r="D1040" t="str">
        <x:v>Green Cafe 84</x:v>
      </x:c>
      <x:c r="E1040" t="str">
        <x:v>Hotel</x:v>
      </x:c>
      <x:c r="F1040" t="str">
        <x:v>Mysuru</x:v>
      </x:c>
      <x:c r="G1040" t="str">
        <x:v>Priya</x:v>
      </x:c>
      <x:c r="H1040" t="str">
        <x:v>P019</x:v>
      </x:c>
      <x:c r="I1040" t="str">
        <x:v>Tea 1kg</x:v>
      </x:c>
      <x:c r="J1040" t="str">
        <x:v>Beverage</x:v>
      </x:c>
      <x:c r="K1040" t="str">
        <x:v>Red Label</x:v>
      </x:c>
      <x:c r="L1040" s="22" t="n">
        <x:v>540</x:v>
      </x:c>
      <x:c r="M1040" t="n">
        <x:v>39</x:v>
      </x:c>
      <x:c r="N1040" s="24" t="n">
        <x:v>0.02</x:v>
      </x:c>
      <x:c r="O1040" s="22" t="n">
        <x:f>L1040*M1040</x:f>
        <x:v>21060</x:v>
      </x:c>
      <x:c r="P1040" s="22" t="n">
        <x:f>O1040*(1-N1040)</x:f>
        <x:v>20638.8</x:v>
      </x:c>
      <x:c r="Q1040" s="22" t="n">
        <x:v>485</x:v>
      </x:c>
      <x:c r="R1040" s="22" t="n">
        <x:f>Q1040*M1040</x:f>
        <x:v>18915</x:v>
      </x:c>
      <x:c r="S1040" s="22" t="n">
        <x:f>P1040-R1040</x:f>
        <x:v>1723.7999999999993</x:v>
      </x:c>
      <x:c r="T1040" t="str">
        <x:v>UPI</x:v>
      </x:c>
      <x:c r="U1040" t="str">
        <x:v>Paid</x:v>
      </x:c>
      <x:c r="V1040" t="str">
        <x:v>Cancelled</x:v>
      </x:c>
      <x:c r="W1040" t="n">
        <x:v>39</x:v>
      </x:c>
      <x:c r="X1040" t="str">
        <x:v>Cancelled Order</x:v>
      </x:c>
      <x:c r="Y1040" t="str">
        <x:v>Existing Customer</x:v>
      </x:c>
    </x:row>
    <x:row r="1041">
      <x:c r="A1041" t="str">
        <x:v>O001040</x:v>
      </x:c>
      <x:c r="B1041" s="20" t="n">
        <x:v>45840</x:v>
      </x:c>
      <x:c r="C1041" t="str">
        <x:v>C0227</x:v>
      </x:c>
      <x:c r="D1041" t="str">
        <x:v>Metro Restaurant 227</x:v>
      </x:c>
      <x:c r="E1041" t="str">
        <x:v>Restaurant</x:v>
      </x:c>
      <x:c r="F1041" t="str">
        <x:v>Davanagere</x:v>
      </x:c>
      <x:c r="G1041" t="str">
        <x:v>Kavya</x:v>
      </x:c>
      <x:c r="H1041" t="str">
        <x:v>P039</x:v>
      </x:c>
      <x:c r="I1041" t="str">
        <x:v>Ice Cream 4L</x:v>
      </x:c>
      <x:c r="J1041" t="str">
        <x:v>Frozen</x:v>
      </x:c>
      <x:c r="K1041" t="str">
        <x:v>Amul</x:v>
      </x:c>
      <x:c r="L1041" s="22" t="n">
        <x:v>480</x:v>
      </x:c>
      <x:c r="M1041" t="n">
        <x:v>16</x:v>
      </x:c>
      <x:c r="N1041" s="24" t="n">
        <x:v>0.02</x:v>
      </x:c>
      <x:c r="O1041" s="22" t="n">
        <x:f>L1041*M1041</x:f>
        <x:v>7680</x:v>
      </x:c>
      <x:c r="P1041" s="22" t="n">
        <x:f>O1041*(1-N1041)</x:f>
        <x:v>7526.4</x:v>
      </x:c>
      <x:c r="Q1041" s="22" t="n">
        <x:v>420</x:v>
      </x:c>
      <x:c r="R1041" s="22" t="n">
        <x:f>Q1041*M1041</x:f>
        <x:v>6720</x:v>
      </x:c>
      <x:c r="S1041" s="22" t="n">
        <x:f>P1041-R1041</x:f>
        <x:v>806.3999999999996</x:v>
      </x:c>
      <x:c r="T1041" t="str">
        <x:v>Cash</x:v>
      </x:c>
      <x:c r="U1041" t="str">
        <x:v>Paid</x:v>
      </x:c>
      <x:c r="V1041" t="str">
        <x:v>Delivered</x:v>
      </x:c>
      <x:c r="W1041" t="n">
        <x:v>0</x:v>
      </x:c>
      <x:c r="X1041" t="str"/>
      <x:c r="Y1041" t="str">
        <x:v>WhatsApp</x:v>
      </x:c>
    </x:row>
    <x:row r="1042">
      <x:c r="A1042" t="str">
        <x:v>O001041</x:v>
      </x:c>
      <x:c r="B1042" s="20" t="n">
        <x:v>45799</x:v>
      </x:c>
      <x:c r="C1042" t="str">
        <x:v>C0166</x:v>
      </x:c>
      <x:c r="D1042" t="str">
        <x:v>Mysore Foods 166</x:v>
      </x:c>
      <x:c r="E1042" t="str">
        <x:v>Cafe</x:v>
      </x:c>
      <x:c r="F1042" t="str">
        <x:v>Mangaluru</x:v>
      </x:c>
      <x:c r="G1042" t="str">
        <x:v>Arjun</x:v>
      </x:c>
      <x:c r="H1042" t="str">
        <x:v>P015</x:v>
      </x:c>
      <x:c r="I1042" t="str">
        <x:v>Milk 1L</x:v>
      </x:c>
      <x:c r="J1042" t="str">
        <x:v>Dairy</x:v>
      </x:c>
      <x:c r="K1042" t="str">
        <x:v>Nandini</x:v>
      </x:c>
      <x:c r="L1042" s="22" t="n">
        <x:v>48</x:v>
      </x:c>
      <x:c r="M1042" t="n">
        <x:v>32</x:v>
      </x:c>
      <x:c r="N1042" s="24" t="n">
        <x:v>0</x:v>
      </x:c>
      <x:c r="O1042" s="22" t="n">
        <x:f>L1042*M1042</x:f>
        <x:v>1536</x:v>
      </x:c>
      <x:c r="P1042" s="22" t="n">
        <x:f>O1042*(1-N1042)</x:f>
        <x:v>1536</x:v>
      </x:c>
      <x:c r="Q1042" s="22" t="n">
        <x:v>43</x:v>
      </x:c>
      <x:c r="R1042" s="22" t="n">
        <x:f>Q1042*M1042</x:f>
        <x:v>1376</x:v>
      </x:c>
      <x:c r="S1042" s="22" t="n">
        <x:f>P1042-R1042</x:f>
        <x:v>160</x:v>
      </x:c>
      <x:c r="T1042" t="str">
        <x:v>Bank Transfer</x:v>
      </x:c>
      <x:c r="U1042" t="str">
        <x:v>Paid</x:v>
      </x:c>
      <x:c r="V1042" t="str">
        <x:v>Delivered</x:v>
      </x:c>
      <x:c r="W1042" t="n">
        <x:v>0</x:v>
      </x:c>
      <x:c r="X1042" t="str"/>
      <x:c r="Y1042" t="str">
        <x:v>Referral</x:v>
      </x:c>
    </x:row>
    <x:row r="1043">
      <x:c r="A1043" t="str">
        <x:v>O001042</x:v>
      </x:c>
      <x:c r="B1043" s="20" t="n">
        <x:v>46054</x:v>
      </x:c>
      <x:c r="C1043" t="str">
        <x:v>C0073</x:v>
      </x:c>
      <x:c r="D1043" t="str">
        <x:v>Annapurna Stores 73</x:v>
      </x:c>
      <x:c r="E1043" t="str">
        <x:v>Restaurant</x:v>
      </x:c>
      <x:c r="F1043" t="str">
        <x:v>Davanagere</x:v>
      </x:c>
      <x:c r="G1043" t="str">
        <x:v>Kavya</x:v>
      </x:c>
      <x:c r="H1043" t="str">
        <x:v>P020</x:v>
      </x:c>
      <x:c r="I1043" t="str">
        <x:v>Coffee 500g</x:v>
      </x:c>
      <x:c r="J1043" t="str">
        <x:v>Beverage</x:v>
      </x:c>
      <x:c r="K1043" t="str">
        <x:v>Bru</x:v>
      </x:c>
      <x:c r="L1043" s="22" t="n">
        <x:v>390</x:v>
      </x:c>
      <x:c r="M1043" t="n">
        <x:v>31</x:v>
      </x:c>
      <x:c r="N1043" s="24" t="n">
        <x:v>0</x:v>
      </x:c>
      <x:c r="O1043" s="22" t="n">
        <x:f>L1043*M1043</x:f>
        <x:v>12090</x:v>
      </x:c>
      <x:c r="P1043" s="22" t="n">
        <x:f>O1043*(1-N1043)</x:f>
        <x:v>12090</x:v>
      </x:c>
      <x:c r="Q1043" s="22" t="n">
        <x:v>350</x:v>
      </x:c>
      <x:c r="R1043" s="22" t="n">
        <x:f>Q1043*M1043</x:f>
        <x:v>10850</x:v>
      </x:c>
      <x:c r="S1043" s="22" t="n">
        <x:f>P1043-R1043</x:f>
        <x:v>1240</x:v>
      </x:c>
      <x:c r="T1043" t="str">
        <x:v>Credit</x:v>
      </x:c>
      <x:c r="U1043" t="str">
        <x:v>Paid</x:v>
      </x:c>
      <x:c r="V1043" t="str">
        <x:v>Delivered</x:v>
      </x:c>
      <x:c r="W1043" t="n">
        <x:v>0</x:v>
      </x:c>
      <x:c r="X1043" t="str"/>
      <x:c r="Y1043" t="str">
        <x:v>Outbound Call</x:v>
      </x:c>
    </x:row>
    <x:row r="1044">
      <x:c r="A1044" t="str">
        <x:v>O001043</x:v>
      </x:c>
      <x:c r="B1044" s="20" t="n">
        <x:v>45761</x:v>
      </x:c>
      <x:c r="C1044" t="str">
        <x:v>C0022</x:v>
      </x:c>
      <x:c r="D1044" t="str">
        <x:v>Royal Hotel 22</x:v>
      </x:c>
      <x:c r="E1044" t="str">
        <x:v>Kirana</x:v>
      </x:c>
      <x:c r="F1044" t="str">
        <x:v>Bengaluru</x:v>
      </x:c>
      <x:c r="G1044" t="str">
        <x:v>Ramesh</x:v>
      </x:c>
      <x:c r="H1044" t="str">
        <x:v>P023</x:v>
      </x:c>
      <x:c r="I1044" t="str">
        <x:v>Cola 750ml</x:v>
      </x:c>
      <x:c r="J1044" t="str">
        <x:v>Beverage</x:v>
      </x:c>
      <x:c r="K1044" t="str">
        <x:v>Coca-Cola</x:v>
      </x:c>
      <x:c r="L1044" s="22" t="n">
        <x:v>38</x:v>
      </x:c>
      <x:c r="M1044" t="n">
        <x:v>26</x:v>
      </x:c>
      <x:c r="N1044" s="24" t="n">
        <x:v>0.05</x:v>
      </x:c>
      <x:c r="O1044" s="22" t="n">
        <x:f>L1044*M1044</x:f>
        <x:v>988</x:v>
      </x:c>
      <x:c r="P1044" s="22" t="n">
        <x:f>O1044*(1-N1044)</x:f>
        <x:v>938.5999999999999</x:v>
      </x:c>
      <x:c r="Q1044" s="22" t="n">
        <x:v>31</x:v>
      </x:c>
      <x:c r="R1044" s="22" t="n">
        <x:f>Q1044*M1044</x:f>
        <x:v>806</x:v>
      </x:c>
      <x:c r="S1044" s="22" t="n">
        <x:f>P1044-R1044</x:f>
        <x:v>132.5999999999999</x:v>
      </x:c>
      <x:c r="T1044" t="str">
        <x:v>UPI</x:v>
      </x:c>
      <x:c r="U1044" t="str">
        <x:v>Paid</x:v>
      </x:c>
      <x:c r="V1044" t="str">
        <x:v>Delivered</x:v>
      </x:c>
      <x:c r="W1044" t="n">
        <x:v>0</x:v>
      </x:c>
      <x:c r="X1044" t="str"/>
      <x:c r="Y1044" t="str">
        <x:v>WhatsApp</x:v>
      </x:c>
    </x:row>
    <x:row r="1045">
      <x:c r="A1045" t="str">
        <x:v>O001044</x:v>
      </x:c>
      <x:c r="B1045" s="20" t="n">
        <x:v>46069</x:v>
      </x:c>
      <x:c r="C1045" t="str">
        <x:v>C0003</x:v>
      </x:c>
      <x:c r="D1045" t="str">
        <x:v>Grand Foods 3</x:v>
      </x:c>
      <x:c r="E1045" t="str">
        <x:v>Restaurant</x:v>
      </x:c>
      <x:c r="F1045" t="str">
        <x:v>Bengaluru</x:v>
      </x:c>
      <x:c r="G1045" t="str">
        <x:v>Vikram</x:v>
      </x:c>
      <x:c r="H1045" t="str">
        <x:v>P032</x:v>
      </x:c>
      <x:c r="I1045" t="str">
        <x:v>Soy Sauce 700g</x:v>
      </x:c>
      <x:c r="J1045" t="str">
        <x:v>Condiments</x:v>
      </x:c>
      <x:c r="K1045" t="str">
        <x:v>Ching's</x:v>
      </x:c>
      <x:c r="L1045" s="22" t="n">
        <x:v>118</x:v>
      </x:c>
      <x:c r="M1045" t="n">
        <x:v>28</x:v>
      </x:c>
      <x:c r="N1045" s="24" t="n">
        <x:v>0.05</x:v>
      </x:c>
      <x:c r="O1045" s="22" t="n">
        <x:f>L1045*M1045</x:f>
        <x:v>3304</x:v>
      </x:c>
      <x:c r="P1045" s="22" t="n">
        <x:f>O1045*(1-N1045)</x:f>
        <x:v>3138.7999999999997</x:v>
      </x:c>
      <x:c r="Q1045" s="22" t="n">
        <x:v>101</x:v>
      </x:c>
      <x:c r="R1045" s="22" t="n">
        <x:f>Q1045*M1045</x:f>
        <x:v>2828</x:v>
      </x:c>
      <x:c r="S1045" s="22" t="n">
        <x:f>P1045-R1045</x:f>
        <x:v>310.7999999999997</x:v>
      </x:c>
      <x:c r="T1045" t="str">
        <x:v>Cash</x:v>
      </x:c>
      <x:c r="U1045" t="str">
        <x:v>Paid</x:v>
      </x:c>
      <x:c r="V1045" t="str">
        <x:v>Cancelled</x:v>
      </x:c>
      <x:c r="W1045" t="n">
        <x:v>28</x:v>
      </x:c>
      <x:c r="X1045" t="str">
        <x:v>Cancelled Order</x:v>
      </x:c>
      <x:c r="Y1045" t="str">
        <x:v>Outbound Call</x:v>
      </x:c>
    </x:row>
    <x:row r="1046">
      <x:c r="A1046" t="str">
        <x:v>O001045</x:v>
      </x:c>
      <x:c r="B1046" s="20" t="n">
        <x:v>46172</x:v>
      </x:c>
      <x:c r="C1046" t="str">
        <x:v>C0206</x:v>
      </x:c>
      <x:c r="D1046" t="str">
        <x:v>Grand Kitchen 206</x:v>
      </x:c>
      <x:c r="E1046" t="str">
        <x:v>Kirana</x:v>
      </x:c>
      <x:c r="F1046" t="str">
        <x:v>Mysuru</x:v>
      </x:c>
      <x:c r="G1046" t="str">
        <x:v>Arjun</x:v>
      </x:c>
      <x:c r="H1046" t="str">
        <x:v>P029</x:v>
      </x:c>
      <x:c r="I1046" t="str">
        <x:v>Tomato Ketchup 1kg</x:v>
      </x:c>
      <x:c r="J1046" t="str">
        <x:v>Condiments</x:v>
      </x:c>
      <x:c r="K1046" t="str">
        <x:v>Kissan</x:v>
      </x:c>
      <x:c r="L1046" s="22" t="n">
        <x:v>145</x:v>
      </x:c>
      <x:c r="M1046" t="n">
        <x:v>24</x:v>
      </x:c>
      <x:c r="N1046" s="24" t="n">
        <x:v>0.05</x:v>
      </x:c>
      <x:c r="O1046" s="22" t="n">
        <x:f>L1046*M1046</x:f>
        <x:v>3480</x:v>
      </x:c>
      <x:c r="P1046" s="22" t="n">
        <x:f>O1046*(1-N1046)</x:f>
        <x:v>3306</x:v>
      </x:c>
      <x:c r="Q1046" s="22" t="n">
        <x:v>126</x:v>
      </x:c>
      <x:c r="R1046" s="22" t="n">
        <x:f>Q1046*M1046</x:f>
        <x:v>3024</x:v>
      </x:c>
      <x:c r="S1046" s="22" t="n">
        <x:f>P1046-R1046</x:f>
        <x:v>282</x:v>
      </x:c>
      <x:c r="T1046" t="str">
        <x:v>Cash</x:v>
      </x:c>
      <x:c r="U1046" t="str">
        <x:v>Pending</x:v>
      </x:c>
      <x:c r="V1046" t="str">
        <x:v>Delivered</x:v>
      </x:c>
      <x:c r="W1046" t="n">
        <x:v>0</x:v>
      </x:c>
      <x:c r="X1046" t="str"/>
      <x:c r="Y1046" t="str">
        <x:v>Referral</x:v>
      </x:c>
    </x:row>
    <x:row r="1047">
      <x:c r="A1047" t="str">
        <x:v>O001046</x:v>
      </x:c>
      <x:c r="B1047" s="20" t="n">
        <x:v>46050</x:v>
      </x:c>
      <x:c r="C1047" t="str">
        <x:v>C0137</x:v>
      </x:c>
      <x:c r="D1047" t="str">
        <x:v>Green Restaurant 137</x:v>
      </x:c>
      <x:c r="E1047" t="str">
        <x:v>Canteen</x:v>
      </x:c>
      <x:c r="F1047" t="str">
        <x:v>Mangaluru</x:v>
      </x:c>
      <x:c r="G1047" t="str">
        <x:v>Arjun</x:v>
      </x:c>
      <x:c r="H1047" t="str">
        <x:v>P049</x:v>
      </x:c>
      <x:c r="I1047" t="str">
        <x:v>Apple 10kg</x:v>
      </x:c>
      <x:c r="J1047" t="str">
        <x:v>Fresh Produce</x:v>
      </x:c>
      <x:c r="K1047" t="str">
        <x:v>Local Market</x:v>
      </x:c>
      <x:c r="L1047" s="22" t="n">
        <x:v>1450</x:v>
      </x:c>
      <x:c r="M1047" t="n">
        <x:v>3</x:v>
      </x:c>
      <x:c r="N1047" s="24" t="n">
        <x:v>0</x:v>
      </x:c>
      <x:c r="O1047" s="22" t="n">
        <x:f>L1047*M1047</x:f>
        <x:v>4350</x:v>
      </x:c>
      <x:c r="P1047" s="22" t="n">
        <x:f>O1047*(1-N1047)</x:f>
        <x:v>4350</x:v>
      </x:c>
      <x:c r="Q1047" s="22" t="n">
        <x:v>1280</x:v>
      </x:c>
      <x:c r="R1047" s="22" t="n">
        <x:f>Q1047*M1047</x:f>
        <x:v>3840</x:v>
      </x:c>
      <x:c r="S1047" s="22" t="n">
        <x:f>P1047-R1047</x:f>
        <x:v>510</x:v>
      </x:c>
      <x:c r="T1047" t="str">
        <x:v>Cash</x:v>
      </x:c>
      <x:c r="U1047" t="str">
        <x:v>Paid</x:v>
      </x:c>
      <x:c r="V1047" t="str">
        <x:v>Delayed</x:v>
      </x:c>
      <x:c r="W1047" t="n">
        <x:v>0</x:v>
      </x:c>
      <x:c r="X1047" t="str"/>
      <x:c r="Y1047" t="str">
        <x:v>WhatsApp</x:v>
      </x:c>
    </x:row>
    <x:row r="1048">
      <x:c r="A1048" t="str">
        <x:v>O001047</x:v>
      </x:c>
      <x:c r="B1048" s="20" t="n">
        <x:v>45698</x:v>
      </x:c>
      <x:c r="C1048" t="str">
        <x:v>C0119</x:v>
      </x:c>
      <x:c r="D1048" t="str">
        <x:v>Foodie Foods 119</x:v>
      </x:c>
      <x:c r="E1048" t="str">
        <x:v>Kirana</x:v>
      </x:c>
      <x:c r="F1048" t="str">
        <x:v>Hubballi</x:v>
      </x:c>
      <x:c r="G1048" t="str">
        <x:v>Imran</x:v>
      </x:c>
      <x:c r="H1048" t="str">
        <x:v>P019</x:v>
      </x:c>
      <x:c r="I1048" t="str">
        <x:v>Tea 1kg</x:v>
      </x:c>
      <x:c r="J1048" t="str">
        <x:v>Beverage</x:v>
      </x:c>
      <x:c r="K1048" t="str">
        <x:v>Red Label</x:v>
      </x:c>
      <x:c r="L1048" s="22" t="n">
        <x:v>540</x:v>
      </x:c>
      <x:c r="M1048" t="n">
        <x:v>8</x:v>
      </x:c>
      <x:c r="N1048" s="24" t="n">
        <x:v>0.08</x:v>
      </x:c>
      <x:c r="O1048" s="22" t="n">
        <x:f>L1048*M1048</x:f>
        <x:v>4320</x:v>
      </x:c>
      <x:c r="P1048" s="22" t="n">
        <x:f>O1048*(1-N1048)</x:f>
        <x:v>3974.4</x:v>
      </x:c>
      <x:c r="Q1048" s="22" t="n">
        <x:v>485</x:v>
      </x:c>
      <x:c r="R1048" s="22" t="n">
        <x:f>Q1048*M1048</x:f>
        <x:v>3880</x:v>
      </x:c>
      <x:c r="S1048" s="22" t="n">
        <x:f>P1048-R1048</x:f>
        <x:v>94.40000000000009</x:v>
      </x:c>
      <x:c r="T1048" t="str">
        <x:v>Credit</x:v>
      </x:c>
      <x:c r="U1048" t="str">
        <x:v>Paid</x:v>
      </x:c>
      <x:c r="V1048" t="str">
        <x:v>Delayed</x:v>
      </x:c>
      <x:c r="W1048" t="n">
        <x:v>0</x:v>
      </x:c>
      <x:c r="X1048" t="str"/>
      <x:c r="Y1048" t="str">
        <x:v>Field Visit</x:v>
      </x:c>
    </x:row>
    <x:row r="1049">
      <x:c r="A1049" t="str">
        <x:v>O001048</x:v>
      </x:c>
      <x:c r="B1049" s="20" t="n">
        <x:v>45961</x:v>
      </x:c>
      <x:c r="C1049" t="str">
        <x:v>C0087</x:v>
      </x:c>
      <x:c r="D1049" t="str">
        <x:v>Namma Kitchen 87</x:v>
      </x:c>
      <x:c r="E1049" t="str">
        <x:v>Kirana</x:v>
      </x:c>
      <x:c r="F1049" t="str">
        <x:v>Bengaluru</x:v>
      </x:c>
      <x:c r="G1049" t="str">
        <x:v>Priya</x:v>
      </x:c>
      <x:c r="H1049" t="str">
        <x:v>P044</x:v>
      </x:c>
      <x:c r="I1049" t="str">
        <x:v>Chicken Curry Cut 1kg</x:v>
      </x:c>
      <x:c r="J1049" t="str">
        <x:v>Protein</x:v>
      </x:c>
      <x:c r="K1049" t="str">
        <x:v>FreshToHome</x:v>
      </x:c>
      <x:c r="L1049" s="22" t="n">
        <x:v>230</x:v>
      </x:c>
      <x:c r="M1049" t="n">
        <x:v>2</x:v>
      </x:c>
      <x:c r="N1049" s="24" t="n">
        <x:v>0.03</x:v>
      </x:c>
      <x:c r="O1049" s="22" t="n">
        <x:f>L1049*M1049</x:f>
        <x:v>460</x:v>
      </x:c>
      <x:c r="P1049" s="22" t="n">
        <x:f>O1049*(1-N1049)</x:f>
        <x:v>446.2</x:v>
      </x:c>
      <x:c r="Q1049" s="22" t="n">
        <x:v>205</x:v>
      </x:c>
      <x:c r="R1049" s="22" t="n">
        <x:f>Q1049*M1049</x:f>
        <x:v>410</x:v>
      </x:c>
      <x:c r="S1049" s="22" t="n">
        <x:f>P1049-R1049</x:f>
        <x:v>36.19999999999999</x:v>
      </x:c>
      <x:c r="T1049" t="str">
        <x:v>Bank Transfer</x:v>
      </x:c>
      <x:c r="U1049" t="str">
        <x:v>Paid</x:v>
      </x:c>
      <x:c r="V1049" t="str">
        <x:v>Delivered</x:v>
      </x:c>
      <x:c r="W1049" t="n">
        <x:v>2</x:v>
      </x:c>
      <x:c r="X1049" t="str">
        <x:v>Quality Issue</x:v>
      </x:c>
      <x:c r="Y1049" t="str">
        <x:v>Outbound Call</x:v>
      </x:c>
    </x:row>
    <x:row r="1050">
      <x:c r="A1050" t="str">
        <x:v>O001049</x:v>
      </x:c>
      <x:c r="B1050" s="20" t="n">
        <x:v>45695</x:v>
      </x:c>
      <x:c r="C1050" t="str">
        <x:v>C0092</x:v>
      </x:c>
      <x:c r="D1050" t="str">
        <x:v>Cafe Restaurant 92</x:v>
      </x:c>
      <x:c r="E1050" t="str">
        <x:v>Canteen</x:v>
      </x:c>
      <x:c r="F1050" t="str">
        <x:v>Hubballi</x:v>
      </x:c>
      <x:c r="G1050" t="str">
        <x:v>Vikram</x:v>
      </x:c>
      <x:c r="H1050" t="str">
        <x:v>P047</x:v>
      </x:c>
      <x:c r="I1050" t="str">
        <x:v>Tomato 25kg</x:v>
      </x:c>
      <x:c r="J1050" t="str">
        <x:v>Fresh Produce</x:v>
      </x:c>
      <x:c r="K1050" t="str">
        <x:v>Local Market</x:v>
      </x:c>
      <x:c r="L1050" s="22" t="n">
        <x:v>950</x:v>
      </x:c>
      <x:c r="M1050" t="n">
        <x:v>35</x:v>
      </x:c>
      <x:c r="N1050" s="24" t="n">
        <x:v>0.05</x:v>
      </x:c>
      <x:c r="O1050" s="22" t="n">
        <x:f>L1050*M1050</x:f>
        <x:v>33250</x:v>
      </x:c>
      <x:c r="P1050" s="22" t="n">
        <x:f>O1050*(1-N1050)</x:f>
        <x:v>31587.5</x:v>
      </x:c>
      <x:c r="Q1050" s="22" t="n">
        <x:v>810</x:v>
      </x:c>
      <x:c r="R1050" s="22" t="n">
        <x:f>Q1050*M1050</x:f>
        <x:v>28350</x:v>
      </x:c>
      <x:c r="S1050" s="22" t="n">
        <x:f>P1050-R1050</x:f>
        <x:v>3237.5</x:v>
      </x:c>
      <x:c r="T1050" t="str">
        <x:v>Bank Transfer</x:v>
      </x:c>
      <x:c r="U1050" t="str">
        <x:v>Paid</x:v>
      </x:c>
      <x:c r="V1050" t="str">
        <x:v>Delayed</x:v>
      </x:c>
      <x:c r="W1050" t="n">
        <x:v>0</x:v>
      </x:c>
      <x:c r="X1050" t="str"/>
      <x:c r="Y1050" t="str">
        <x:v>Outbound Call</x:v>
      </x:c>
    </x:row>
    <x:row r="1051">
      <x:c r="A1051" t="str">
        <x:v>O001050</x:v>
      </x:c>
      <x:c r="B1051" s="20" t="n">
        <x:v>46163</x:v>
      </x:c>
      <x:c r="C1051" t="str">
        <x:v>C0038</x:v>
      </x:c>
      <x:c r="D1051" t="str">
        <x:v>Mysore Kitchen 38</x:v>
      </x:c>
      <x:c r="E1051" t="str">
        <x:v>Kirana</x:v>
      </x:c>
      <x:c r="F1051" t="str">
        <x:v>Tumakuru</x:v>
      </x:c>
      <x:c r="G1051" t="str">
        <x:v>Priya</x:v>
      </x:c>
      <x:c r="H1051" t="str">
        <x:v>P041</x:v>
      </x:c>
      <x:c r="I1051" t="str">
        <x:v>Burger Bun 6pc</x:v>
      </x:c>
      <x:c r="J1051" t="str">
        <x:v>Bakery</x:v>
      </x:c>
      <x:c r="K1051" t="str">
        <x:v>Modern</x:v>
      </x:c>
      <x:c r="L1051" s="22" t="n">
        <x:v>42</x:v>
      </x:c>
      <x:c r="M1051" t="n">
        <x:v>28</x:v>
      </x:c>
      <x:c r="N1051" s="24" t="n">
        <x:v>0.08</x:v>
      </x:c>
      <x:c r="O1051" s="22" t="n">
        <x:f>L1051*M1051</x:f>
        <x:v>1176</x:v>
      </x:c>
      <x:c r="P1051" s="22" t="n">
        <x:f>O1051*(1-N1051)</x:f>
        <x:v>1081.92</x:v>
      </x:c>
      <x:c r="Q1051" s="22" t="n">
        <x:v>32</x:v>
      </x:c>
      <x:c r="R1051" s="22" t="n">
        <x:f>Q1051*M1051</x:f>
        <x:v>896</x:v>
      </x:c>
      <x:c r="S1051" s="22" t="n">
        <x:f>P1051-R1051</x:f>
        <x:v>185.92000000000007</x:v>
      </x:c>
      <x:c r="T1051" t="str">
        <x:v>Cash</x:v>
      </x:c>
      <x:c r="U1051" t="str">
        <x:v>Overdue</x:v>
      </x:c>
      <x:c r="V1051" t="str">
        <x:v>Cancelled</x:v>
      </x:c>
      <x:c r="W1051" t="n">
        <x:v>28</x:v>
      </x:c>
      <x:c r="X1051" t="str">
        <x:v>Cancelled Order</x:v>
      </x:c>
      <x:c r="Y1051" t="str">
        <x:v>Existing Customer</x:v>
      </x:c>
    </x:row>
    <x:row r="1052">
      <x:c r="A1052" t="str">
        <x:v>O001051</x:v>
      </x:c>
      <x:c r="B1052" s="20" t="n">
        <x:v>46194</x:v>
      </x:c>
      <x:c r="C1052" t="str">
        <x:v>C0212</x:v>
      </x:c>
      <x:c r="D1052" t="str">
        <x:v>Classic Restaurant 212</x:v>
      </x:c>
      <x:c r="E1052" t="str">
        <x:v>Restaurant</x:v>
      </x:c>
      <x:c r="F1052" t="str">
        <x:v>Mysuru</x:v>
      </x:c>
      <x:c r="G1052" t="str">
        <x:v>Vikram</x:v>
      </x:c>
      <x:c r="H1052" t="str">
        <x:v>P047</x:v>
      </x:c>
      <x:c r="I1052" t="str">
        <x:v>Tomato 25kg</x:v>
      </x:c>
      <x:c r="J1052" t="str">
        <x:v>Fresh Produce</x:v>
      </x:c>
      <x:c r="K1052" t="str">
        <x:v>Local Market</x:v>
      </x:c>
      <x:c r="L1052" s="22" t="n">
        <x:v>950</x:v>
      </x:c>
      <x:c r="M1052" t="n">
        <x:v>37</x:v>
      </x:c>
      <x:c r="N1052" s="24" t="n">
        <x:v>0.03</x:v>
      </x:c>
      <x:c r="O1052" s="22" t="n">
        <x:f>L1052*M1052</x:f>
        <x:v>35150</x:v>
      </x:c>
      <x:c r="P1052" s="22" t="n">
        <x:f>O1052*(1-N1052)</x:f>
        <x:v>34095.5</x:v>
      </x:c>
      <x:c r="Q1052" s="22" t="n">
        <x:v>810</x:v>
      </x:c>
      <x:c r="R1052" s="22" t="n">
        <x:f>Q1052*M1052</x:f>
        <x:v>29970</x:v>
      </x:c>
      <x:c r="S1052" s="22" t="n">
        <x:f>P1052-R1052</x:f>
        <x:v>4125.5</x:v>
      </x:c>
      <x:c r="T1052" t="str">
        <x:v>UPI</x:v>
      </x:c>
      <x:c r="U1052" t="str">
        <x:v>Paid</x:v>
      </x:c>
      <x:c r="V1052" t="str">
        <x:v>Delivered</x:v>
      </x:c>
      <x:c r="W1052" t="n">
        <x:v>0</x:v>
      </x:c>
      <x:c r="X1052" t="str"/>
      <x:c r="Y1052" t="str">
        <x:v>Outbound Call</x:v>
      </x:c>
    </x:row>
    <x:row r="1053">
      <x:c r="A1053" t="str">
        <x:v>O001052</x:v>
      </x:c>
      <x:c r="B1053" s="20" t="n">
        <x:v>46003</x:v>
      </x:c>
      <x:c r="C1053" t="str">
        <x:v>C0186</x:v>
      </x:c>
      <x:c r="D1053" t="str">
        <x:v>Namma Stores 186</x:v>
      </x:c>
      <x:c r="E1053" t="str">
        <x:v>Supermarket</x:v>
      </x:c>
      <x:c r="F1053" t="str">
        <x:v>Mysuru</x:v>
      </x:c>
      <x:c r="G1053" t="str">
        <x:v>Vikram</x:v>
      </x:c>
      <x:c r="H1053" t="str">
        <x:v>P006</x:v>
      </x:c>
      <x:c r="I1053" t="str">
        <x:v>Moong Dal 5kg</x:v>
      </x:c>
      <x:c r="J1053" t="str">
        <x:v>Pulses</x:v>
      </x:c>
      <x:c r="K1053" t="str">
        <x:v>Local Select</x:v>
      </x:c>
      <x:c r="L1053" s="22" t="n">
        <x:v>610</x:v>
      </x:c>
      <x:c r="M1053" t="n">
        <x:v>20</x:v>
      </x:c>
      <x:c r="N1053" s="24" t="n">
        <x:v>0.03</x:v>
      </x:c>
      <x:c r="O1053" s="22" t="n">
        <x:f>L1053*M1053</x:f>
        <x:v>12200</x:v>
      </x:c>
      <x:c r="P1053" s="22" t="n">
        <x:f>O1053*(1-N1053)</x:f>
        <x:v>11834</x:v>
      </x:c>
      <x:c r="Q1053" s="22" t="n">
        <x:v>540</x:v>
      </x:c>
      <x:c r="R1053" s="22" t="n">
        <x:f>Q1053*M1053</x:f>
        <x:v>10800</x:v>
      </x:c>
      <x:c r="S1053" s="22" t="n">
        <x:f>P1053-R1053</x:f>
        <x:v>1034</x:v>
      </x:c>
      <x:c r="T1053" t="str">
        <x:v>UPI</x:v>
      </x:c>
      <x:c r="U1053" t="str">
        <x:v>Paid</x:v>
      </x:c>
      <x:c r="V1053" t="str">
        <x:v>Cancelled</x:v>
      </x:c>
      <x:c r="W1053" t="n">
        <x:v>20</x:v>
      </x:c>
      <x:c r="X1053" t="str">
        <x:v>Cancelled Order</x:v>
      </x:c>
      <x:c r="Y1053" t="str">
        <x:v>Field Visit</x:v>
      </x:c>
    </x:row>
    <x:row r="1054">
      <x:c r="A1054" t="str">
        <x:v>O001053</x:v>
      </x:c>
      <x:c r="B1054" s="20" t="n">
        <x:v>46101</x:v>
      </x:c>
      <x:c r="C1054" t="str">
        <x:v>C0191</x:v>
      </x:c>
      <x:c r="D1054" t="str">
        <x:v>Foodie Kitchen 191</x:v>
      </x:c>
      <x:c r="E1054" t="str">
        <x:v>Cafe</x:v>
      </x:c>
      <x:c r="F1054" t="str">
        <x:v>Mysuru</x:v>
      </x:c>
      <x:c r="G1054" t="str">
        <x:v>Priya</x:v>
      </x:c>
      <x:c r="H1054" t="str">
        <x:v>P006</x:v>
      </x:c>
      <x:c r="I1054" t="str">
        <x:v>Moong Dal 5kg</x:v>
      </x:c>
      <x:c r="J1054" t="str">
        <x:v>Pulses</x:v>
      </x:c>
      <x:c r="K1054" t="str">
        <x:v>Local Select</x:v>
      </x:c>
      <x:c r="L1054" s="22" t="n">
        <x:v>610</x:v>
      </x:c>
      <x:c r="M1054" t="n">
        <x:v>8</x:v>
      </x:c>
      <x:c r="N1054" s="24" t="n">
        <x:v>0.05</x:v>
      </x:c>
      <x:c r="O1054" s="22" t="n">
        <x:f>L1054*M1054</x:f>
        <x:v>4880</x:v>
      </x:c>
      <x:c r="P1054" s="22" t="n">
        <x:f>O1054*(1-N1054)</x:f>
        <x:v>4636</x:v>
      </x:c>
      <x:c r="Q1054" s="22" t="n">
        <x:v>540</x:v>
      </x:c>
      <x:c r="R1054" s="22" t="n">
        <x:f>Q1054*M1054</x:f>
        <x:v>4320</x:v>
      </x:c>
      <x:c r="S1054" s="22" t="n">
        <x:f>P1054-R1054</x:f>
        <x:v>316</x:v>
      </x:c>
      <x:c r="T1054" t="str">
        <x:v>Cash</x:v>
      </x:c>
      <x:c r="U1054" t="str">
        <x:v>Overdue</x:v>
      </x:c>
      <x:c r="V1054" t="str">
        <x:v>Delayed</x:v>
      </x:c>
      <x:c r="W1054" t="n">
        <x:v>0</x:v>
      </x:c>
      <x:c r="X1054" t="str"/>
      <x:c r="Y1054" t="str">
        <x:v>Existing Customer</x:v>
      </x:c>
    </x:row>
    <x:row r="1055">
      <x:c r="A1055" t="str">
        <x:v>O001054</x:v>
      </x:c>
      <x:c r="B1055" s="20" t="n">
        <x:v>45708</x:v>
      </x:c>
      <x:c r="C1055" t="str">
        <x:v>C0204</x:v>
      </x:c>
      <x:c r="D1055" t="str">
        <x:v>Udupi Stores 204</x:v>
      </x:c>
      <x:c r="E1055" t="str">
        <x:v>Kirana</x:v>
      </x:c>
      <x:c r="F1055" t="str">
        <x:v>Bengaluru</x:v>
      </x:c>
      <x:c r="G1055" t="str">
        <x:v>Vikram</x:v>
      </x:c>
      <x:c r="H1055" t="str">
        <x:v>P016</x:v>
      </x:c>
      <x:c r="I1055" t="str">
        <x:v>Curd 1kg</x:v>
      </x:c>
      <x:c r="J1055" t="str">
        <x:v>Dairy</x:v>
      </x:c>
      <x:c r="K1055" t="str">
        <x:v>Nandini</x:v>
      </x:c>
      <x:c r="L1055" s="22" t="n">
        <x:v>72</x:v>
      </x:c>
      <x:c r="M1055" t="n">
        <x:v>24</x:v>
      </x:c>
      <x:c r="N1055" s="24" t="n">
        <x:v>0.03</x:v>
      </x:c>
      <x:c r="O1055" s="22" t="n">
        <x:f>L1055*M1055</x:f>
        <x:v>1728</x:v>
      </x:c>
      <x:c r="P1055" s="22" t="n">
        <x:f>O1055*(1-N1055)</x:f>
        <x:v>1676.1599999999999</x:v>
      </x:c>
      <x:c r="Q1055" s="22" t="n">
        <x:v>64</x:v>
      </x:c>
      <x:c r="R1055" s="22" t="n">
        <x:f>Q1055*M1055</x:f>
        <x:v>1536</x:v>
      </x:c>
      <x:c r="S1055" s="22" t="n">
        <x:f>P1055-R1055</x:f>
        <x:v>140.15999999999985</x:v>
      </x:c>
      <x:c r="T1055" t="str">
        <x:v>Bank Transfer</x:v>
      </x:c>
      <x:c r="U1055" t="str">
        <x:v>Pending</x:v>
      </x:c>
      <x:c r="V1055" t="str">
        <x:v>Delivered</x:v>
      </x:c>
      <x:c r="W1055" t="n">
        <x:v>0</x:v>
      </x:c>
      <x:c r="X1055" t="str"/>
      <x:c r="Y1055" t="str">
        <x:v>Referral</x:v>
      </x:c>
    </x:row>
    <x:row r="1056">
      <x:c r="A1056" t="str">
        <x:v>O001055</x:v>
      </x:c>
      <x:c r="B1056" s="20" t="n">
        <x:v>46277</x:v>
      </x:c>
      <x:c r="C1056" t="str">
        <x:v>C0172</x:v>
      </x:c>
      <x:c r="D1056" t="str">
        <x:v>Annapurna Stores 172</x:v>
      </x:c>
      <x:c r="E1056" t="str">
        <x:v>Restaurant</x:v>
      </x:c>
      <x:c r="F1056" t="str">
        <x:v>Mangaluru</x:v>
      </x:c>
      <x:c r="G1056" t="str">
        <x:v>Megha</x:v>
      </x:c>
      <x:c r="H1056" t="str">
        <x:v>P003</x:v>
      </x:c>
      <x:c r="I1056" t="str">
        <x:v>Basmati Rice 5kg</x:v>
      </x:c>
      <x:c r="J1056" t="str">
        <x:v>Staples</x:v>
      </x:c>
      <x:c r="K1056" t="str">
        <x:v>India Gate</x:v>
      </x:c>
      <x:c r="L1056" s="22" t="n">
        <x:v>690</x:v>
      </x:c>
      <x:c r="M1056" t="n">
        <x:v>26</x:v>
      </x:c>
      <x:c r="N1056" s="24" t="n">
        <x:v>0.08</x:v>
      </x:c>
      <x:c r="O1056" s="22" t="n">
        <x:f>L1056*M1056</x:f>
        <x:v>17940</x:v>
      </x:c>
      <x:c r="P1056" s="22" t="n">
        <x:f>O1056*(1-N1056)</x:f>
        <x:v>16504.8</x:v>
      </x:c>
      <x:c r="Q1056" s="22" t="n">
        <x:v>610</x:v>
      </x:c>
      <x:c r="R1056" s="22" t="n">
        <x:f>Q1056*M1056</x:f>
        <x:v>15860</x:v>
      </x:c>
      <x:c r="S1056" s="22" t="n">
        <x:f>P1056-R1056</x:f>
        <x:v>644.7999999999993</x:v>
      </x:c>
      <x:c r="T1056" t="str">
        <x:v>Cash</x:v>
      </x:c>
      <x:c r="U1056" t="str">
        <x:v>Paid</x:v>
      </x:c>
      <x:c r="V1056" t="str">
        <x:v>Delivered</x:v>
      </x:c>
      <x:c r="W1056" t="n">
        <x:v>0</x:v>
      </x:c>
      <x:c r="X1056" t="str"/>
      <x:c r="Y1056" t="str">
        <x:v>WhatsApp</x:v>
      </x:c>
    </x:row>
    <x:row r="1057">
      <x:c r="A1057" t="str">
        <x:v>O001056</x:v>
      </x:c>
      <x:c r="B1057" s="20" t="n">
        <x:v>46131</x:v>
      </x:c>
      <x:c r="C1057" t="str">
        <x:v>C0071</x:v>
      </x:c>
      <x:c r="D1057" t="str">
        <x:v>Shree Restaurant 71</x:v>
      </x:c>
      <x:c r="E1057" t="str">
        <x:v>Cafe</x:v>
      </x:c>
      <x:c r="F1057" t="str">
        <x:v>Tumakuru</x:v>
      </x:c>
      <x:c r="G1057" t="str">
        <x:v>Sneha</x:v>
      </x:c>
      <x:c r="H1057" t="str">
        <x:v>P018</x:v>
      </x:c>
      <x:c r="I1057" t="str">
        <x:v>Paneer 1kg</x:v>
      </x:c>
      <x:c r="J1057" t="str">
        <x:v>Dairy</x:v>
      </x:c>
      <x:c r="K1057" t="str">
        <x:v>Milky Mist</x:v>
      </x:c>
      <x:c r="L1057" s="22" t="n">
        <x:v>410</x:v>
      </x:c>
      <x:c r="M1057" t="n">
        <x:v>39</x:v>
      </x:c>
      <x:c r="N1057" s="24" t="n">
        <x:v>0.05</x:v>
      </x:c>
      <x:c r="O1057" s="22" t="n">
        <x:f>L1057*M1057</x:f>
        <x:v>15990</x:v>
      </x:c>
      <x:c r="P1057" s="22" t="n">
        <x:f>O1057*(1-N1057)</x:f>
        <x:v>15190.5</x:v>
      </x:c>
      <x:c r="Q1057" s="22" t="n">
        <x:v>370</x:v>
      </x:c>
      <x:c r="R1057" s="22" t="n">
        <x:f>Q1057*M1057</x:f>
        <x:v>14430</x:v>
      </x:c>
      <x:c r="S1057" s="22" t="n">
        <x:f>P1057-R1057</x:f>
        <x:v>760.5</x:v>
      </x:c>
      <x:c r="T1057" t="str">
        <x:v>Cash</x:v>
      </x:c>
      <x:c r="U1057" t="str">
        <x:v>Paid</x:v>
      </x:c>
      <x:c r="V1057" t="str">
        <x:v>Delivered</x:v>
      </x:c>
      <x:c r="W1057" t="n">
        <x:v>3</x:v>
      </x:c>
      <x:c r="X1057" t="str">
        <x:v>Wrong Item</x:v>
      </x:c>
      <x:c r="Y1057" t="str">
        <x:v>Outbound Call</x:v>
      </x:c>
    </x:row>
    <x:row r="1058">
      <x:c r="A1058" t="str">
        <x:v>O001057</x:v>
      </x:c>
      <x:c r="B1058" s="20" t="n">
        <x:v>46281</x:v>
      </x:c>
      <x:c r="C1058" t="str">
        <x:v>C0187</x:v>
      </x:c>
      <x:c r="D1058" t="str">
        <x:v>City Cafe 187</x:v>
      </x:c>
      <x:c r="E1058" t="str">
        <x:v>Hotel</x:v>
      </x:c>
      <x:c r="F1058" t="str">
        <x:v>Mysuru</x:v>
      </x:c>
      <x:c r="G1058" t="str">
        <x:v>Priya</x:v>
      </x:c>
      <x:c r="H1058" t="str">
        <x:v>P046</x:v>
      </x:c>
      <x:c r="I1058" t="str">
        <x:v>Potato 25kg</x:v>
      </x:c>
      <x:c r="J1058" t="str">
        <x:v>Fresh Produce</x:v>
      </x:c>
      <x:c r="K1058" t="str">
        <x:v>Local Market</x:v>
      </x:c>
      <x:c r="L1058" s="22" t="n">
        <x:v>700</x:v>
      </x:c>
      <x:c r="M1058" t="n">
        <x:v>30</x:v>
      </x:c>
      <x:c r="N1058" s="24" t="n">
        <x:v>0.03</x:v>
      </x:c>
      <x:c r="O1058" s="22" t="n">
        <x:f>L1058*M1058</x:f>
        <x:v>21000</x:v>
      </x:c>
      <x:c r="P1058" s="22" t="n">
        <x:f>O1058*(1-N1058)</x:f>
        <x:v>20370</x:v>
      </x:c>
      <x:c r="Q1058" s="22" t="n">
        <x:v>610</x:v>
      </x:c>
      <x:c r="R1058" s="22" t="n">
        <x:f>Q1058*M1058</x:f>
        <x:v>18300</x:v>
      </x:c>
      <x:c r="S1058" s="22" t="n">
        <x:f>P1058-R1058</x:f>
        <x:v>2070</x:v>
      </x:c>
      <x:c r="T1058" t="str">
        <x:v>Cash</x:v>
      </x:c>
      <x:c r="U1058" t="str">
        <x:v>Paid</x:v>
      </x:c>
      <x:c r="V1058" t="str">
        <x:v>Delivered</x:v>
      </x:c>
      <x:c r="W1058" t="n">
        <x:v>0</x:v>
      </x:c>
      <x:c r="X1058" t="str"/>
      <x:c r="Y1058" t="str">
        <x:v>Outbound Call</x:v>
      </x:c>
    </x:row>
    <x:row r="1059">
      <x:c r="A1059" t="str">
        <x:v>O001058</x:v>
      </x:c>
      <x:c r="B1059" s="20" t="n">
        <x:v>46113</x:v>
      </x:c>
      <x:c r="C1059" t="str">
        <x:v>C0082</x:v>
      </x:c>
      <x:c r="D1059" t="str">
        <x:v>City Foods 82</x:v>
      </x:c>
      <x:c r="E1059" t="str">
        <x:v>Hotel</x:v>
      </x:c>
      <x:c r="F1059" t="str">
        <x:v>Mangaluru</x:v>
      </x:c>
      <x:c r="G1059" t="str">
        <x:v>Kavya</x:v>
      </x:c>
      <x:c r="H1059" t="str">
        <x:v>P023</x:v>
      </x:c>
      <x:c r="I1059" t="str">
        <x:v>Cola 750ml</x:v>
      </x:c>
      <x:c r="J1059" t="str">
        <x:v>Beverage</x:v>
      </x:c>
      <x:c r="K1059" t="str">
        <x:v>Coca-Cola</x:v>
      </x:c>
      <x:c r="L1059" s="22" t="n">
        <x:v>38</x:v>
      </x:c>
      <x:c r="M1059" t="n">
        <x:v>10</x:v>
      </x:c>
      <x:c r="N1059" s="24" t="n">
        <x:v>0.03</x:v>
      </x:c>
      <x:c r="O1059" s="22" t="n">
        <x:f>L1059*M1059</x:f>
        <x:v>380</x:v>
      </x:c>
      <x:c r="P1059" s="22" t="n">
        <x:f>O1059*(1-N1059)</x:f>
        <x:v>368.59999999999997</x:v>
      </x:c>
      <x:c r="Q1059" s="22" t="n">
        <x:v>31</x:v>
      </x:c>
      <x:c r="R1059" s="22" t="n">
        <x:f>Q1059*M1059</x:f>
        <x:v>310</x:v>
      </x:c>
      <x:c r="S1059" s="22" t="n">
        <x:f>P1059-R1059</x:f>
        <x:v>58.599999999999966</x:v>
      </x:c>
      <x:c r="T1059" t="str">
        <x:v>Credit</x:v>
      </x:c>
      <x:c r="U1059" t="str">
        <x:v>Paid</x:v>
      </x:c>
      <x:c r="V1059" t="str">
        <x:v>Cancelled</x:v>
      </x:c>
      <x:c r="W1059" t="n">
        <x:v>10</x:v>
      </x:c>
      <x:c r="X1059" t="str">
        <x:v>Cancelled Order</x:v>
      </x:c>
      <x:c r="Y1059" t="str">
        <x:v>Referral</x:v>
      </x:c>
    </x:row>
    <x:row r="1060">
      <x:c r="A1060" t="str">
        <x:v>O001059</x:v>
      </x:c>
      <x:c r="B1060" s="20" t="n">
        <x:v>45691</x:v>
      </x:c>
      <x:c r="C1060" t="str">
        <x:v>C0066</x:v>
      </x:c>
      <x:c r="D1060" t="str">
        <x:v>Hotel Hotel 66</x:v>
      </x:c>
      <x:c r="E1060" t="str">
        <x:v>Restaurant</x:v>
      </x:c>
      <x:c r="F1060" t="str">
        <x:v>Davanagere</x:v>
      </x:c>
      <x:c r="G1060" t="str">
        <x:v>Megha</x:v>
      </x:c>
      <x:c r="H1060" t="str">
        <x:v>P026</x:v>
      </x:c>
      <x:c r="I1060" t="str">
        <x:v>Banana Chips 80g</x:v>
      </x:c>
      <x:c r="J1060" t="str">
        <x:v>Snacks</x:v>
      </x:c>
      <x:c r="K1060" t="str">
        <x:v>SSS</x:v>
      </x:c>
      <x:c r="L1060" s="22" t="n">
        <x:v>54</x:v>
      </x:c>
      <x:c r="M1060" t="n">
        <x:v>37</x:v>
      </x:c>
      <x:c r="N1060" s="24" t="n">
        <x:v>0.1</x:v>
      </x:c>
      <x:c r="O1060" s="22" t="n">
        <x:f>L1060*M1060</x:f>
        <x:v>1998</x:v>
      </x:c>
      <x:c r="P1060" s="22" t="n">
        <x:f>O1060*(1-N1060)</x:f>
        <x:v>1798.2</x:v>
      </x:c>
      <x:c r="Q1060" s="22" t="n">
        <x:v>39</x:v>
      </x:c>
      <x:c r="R1060" s="22" t="n">
        <x:f>Q1060*M1060</x:f>
        <x:v>1443</x:v>
      </x:c>
      <x:c r="S1060" s="22" t="n">
        <x:f>P1060-R1060</x:f>
        <x:v>355.20000000000005</x:v>
      </x:c>
      <x:c r="T1060" t="str">
        <x:v>Credit</x:v>
      </x:c>
      <x:c r="U1060" t="str">
        <x:v>Paid</x:v>
      </x:c>
      <x:c r="V1060" t="str">
        <x:v>Delivered</x:v>
      </x:c>
      <x:c r="W1060" t="n">
        <x:v>0</x:v>
      </x:c>
      <x:c r="X1060" t="str"/>
      <x:c r="Y1060" t="str">
        <x:v>Existing Customer</x:v>
      </x:c>
    </x:row>
    <x:row r="1061">
      <x:c r="A1061" t="str">
        <x:v>O001060</x:v>
      </x:c>
      <x:c r="B1061" s="20" t="n">
        <x:v>45980</x:v>
      </x:c>
      <x:c r="C1061" t="str">
        <x:v>C0075</x:v>
      </x:c>
      <x:c r="D1061" t="str">
        <x:v>Spice Foods 75</x:v>
      </x:c>
      <x:c r="E1061" t="str">
        <x:v>Kirana</x:v>
      </x:c>
      <x:c r="F1061" t="str">
        <x:v>Hubballi</x:v>
      </x:c>
      <x:c r="G1061" t="str">
        <x:v>Vikram</x:v>
      </x:c>
      <x:c r="H1061" t="str">
        <x:v>P049</x:v>
      </x:c>
      <x:c r="I1061" t="str">
        <x:v>Apple 10kg</x:v>
      </x:c>
      <x:c r="J1061" t="str">
        <x:v>Fresh Produce</x:v>
      </x:c>
      <x:c r="K1061" t="str">
        <x:v>Local Market</x:v>
      </x:c>
      <x:c r="L1061" s="22" t="n">
        <x:v>1450</x:v>
      </x:c>
      <x:c r="M1061" t="n">
        <x:v>11</x:v>
      </x:c>
      <x:c r="N1061" s="24" t="n">
        <x:v>0.03</x:v>
      </x:c>
      <x:c r="O1061" s="22" t="n">
        <x:f>L1061*M1061</x:f>
        <x:v>15950</x:v>
      </x:c>
      <x:c r="P1061" s="22" t="n">
        <x:f>O1061*(1-N1061)</x:f>
        <x:v>15471.5</x:v>
      </x:c>
      <x:c r="Q1061" s="22" t="n">
        <x:v>1280</x:v>
      </x:c>
      <x:c r="R1061" s="22" t="n">
        <x:f>Q1061*M1061</x:f>
        <x:v>14080</x:v>
      </x:c>
      <x:c r="S1061" s="22" t="n">
        <x:f>P1061-R1061</x:f>
        <x:v>1391.5</x:v>
      </x:c>
      <x:c r="T1061" t="str">
        <x:v>Bank Transfer</x:v>
      </x:c>
      <x:c r="U1061" t="str">
        <x:v>Paid</x:v>
      </x:c>
      <x:c r="V1061" t="str">
        <x:v>Delivered</x:v>
      </x:c>
      <x:c r="W1061" t="n">
        <x:v>0</x:v>
      </x:c>
      <x:c r="X1061" t="str"/>
      <x:c r="Y1061" t="str">
        <x:v>Existing Customer</x:v>
      </x:c>
    </x:row>
    <x:row r="1062">
      <x:c r="A1062" t="str">
        <x:v>O001061</x:v>
      </x:c>
      <x:c r="B1062" s="20" t="n">
        <x:v>45948</x:v>
      </x:c>
      <x:c r="C1062" t="str">
        <x:v>C0196</x:v>
      </x:c>
      <x:c r="D1062" t="str">
        <x:v>Namma Mart 196</x:v>
      </x:c>
      <x:c r="E1062" t="str">
        <x:v>Cafe</x:v>
      </x:c>
      <x:c r="F1062" t="str">
        <x:v>Mangaluru</x:v>
      </x:c>
      <x:c r="G1062" t="str">
        <x:v>Kavya</x:v>
      </x:c>
      <x:c r="H1062" t="str">
        <x:v>P002</x:v>
      </x:c>
      <x:c r="I1062" t="str">
        <x:v>Sona Masoori Rice 25kg</x:v>
      </x:c>
      <x:c r="J1062" t="str">
        <x:v>Staples</x:v>
      </x:c>
      <x:c r="K1062" t="str">
        <x:v>Fortune</x:v>
      </x:c>
      <x:c r="L1062" s="22" t="n">
        <x:v>1320</x:v>
      </x:c>
      <x:c r="M1062" t="n">
        <x:v>12</x:v>
      </x:c>
      <x:c r="N1062" s="24" t="n">
        <x:v>0.03</x:v>
      </x:c>
      <x:c r="O1062" s="22" t="n">
        <x:f>L1062*M1062</x:f>
        <x:v>15840</x:v>
      </x:c>
      <x:c r="P1062" s="22" t="n">
        <x:f>O1062*(1-N1062)</x:f>
        <x:v>15364.8</x:v>
      </x:c>
      <x:c r="Q1062" s="22" t="n">
        <x:v>1160</x:v>
      </x:c>
      <x:c r="R1062" s="22" t="n">
        <x:f>Q1062*M1062</x:f>
        <x:v>13920</x:v>
      </x:c>
      <x:c r="S1062" s="22" t="n">
        <x:f>P1062-R1062</x:f>
        <x:v>1444.7999999999993</x:v>
      </x:c>
      <x:c r="T1062" t="str">
        <x:v>Bank Transfer</x:v>
      </x:c>
      <x:c r="U1062" t="str">
        <x:v>Paid</x:v>
      </x:c>
      <x:c r="V1062" t="str">
        <x:v>Delayed</x:v>
      </x:c>
      <x:c r="W1062" t="n">
        <x:v>0</x:v>
      </x:c>
      <x:c r="X1062" t="str"/>
      <x:c r="Y1062" t="str">
        <x:v>Referral</x:v>
      </x:c>
    </x:row>
    <x:row r="1063">
      <x:c r="A1063" t="str">
        <x:v>O001062</x:v>
      </x:c>
      <x:c r="B1063" s="20" t="n">
        <x:v>45757</x:v>
      </x:c>
      <x:c r="C1063" t="str">
        <x:v>C0243</x:v>
      </x:c>
      <x:c r="D1063" t="str">
        <x:v>Metro Kitchen 243</x:v>
      </x:c>
      <x:c r="E1063" t="str">
        <x:v>Restaurant</x:v>
      </x:c>
      <x:c r="F1063" t="str">
        <x:v>Mangaluru</x:v>
      </x:c>
      <x:c r="G1063" t="str">
        <x:v>Kavya</x:v>
      </x:c>
      <x:c r="H1063" t="str">
        <x:v>P008</x:v>
      </x:c>
      <x:c r="I1063" t="str">
        <x:v>Palm Oil 15L</x:v>
      </x:c>
      <x:c r="J1063" t="str">
        <x:v>Edible Oil</x:v>
      </x:c>
      <x:c r="K1063" t="str">
        <x:v>Ruchi Gold</x:v>
      </x:c>
      <x:c r="L1063" s="22" t="n">
        <x:v>1760</x:v>
      </x:c>
      <x:c r="M1063" t="n">
        <x:v>4</x:v>
      </x:c>
      <x:c r="N1063" s="24" t="n">
        <x:v>0</x:v>
      </x:c>
      <x:c r="O1063" s="22" t="n">
        <x:f>L1063*M1063</x:f>
        <x:v>7040</x:v>
      </x:c>
      <x:c r="P1063" s="22" t="n">
        <x:f>O1063*(1-N1063)</x:f>
        <x:v>7040</x:v>
      </x:c>
      <x:c r="Q1063" s="22" t="n">
        <x:v>1610</x:v>
      </x:c>
      <x:c r="R1063" s="22" t="n">
        <x:f>Q1063*M1063</x:f>
        <x:v>6440</x:v>
      </x:c>
      <x:c r="S1063" s="22" t="n">
        <x:f>P1063-R1063</x:f>
        <x:v>600</x:v>
      </x:c>
      <x:c r="T1063" t="str">
        <x:v>UPI</x:v>
      </x:c>
      <x:c r="U1063" t="str">
        <x:v>Paid</x:v>
      </x:c>
      <x:c r="V1063" t="str">
        <x:v>Delivered</x:v>
      </x:c>
      <x:c r="W1063" t="n">
        <x:v>0</x:v>
      </x:c>
      <x:c r="X1063" t="str"/>
      <x:c r="Y1063" t="str">
        <x:v>WhatsApp</x:v>
      </x:c>
    </x:row>
    <x:row r="1064">
      <x:c r="A1064" t="str">
        <x:v>O001063</x:v>
      </x:c>
      <x:c r="B1064" s="20" t="n">
        <x:v>45880</x:v>
      </x:c>
      <x:c r="C1064" t="str">
        <x:v>C0091</x:v>
      </x:c>
      <x:c r="D1064" t="str">
        <x:v>Classic Mart 91</x:v>
      </x:c>
      <x:c r="E1064" t="str">
        <x:v>Cafe</x:v>
      </x:c>
      <x:c r="F1064" t="str">
        <x:v>Mangaluru</x:v>
      </x:c>
      <x:c r="G1064" t="str">
        <x:v>Kavya</x:v>
      </x:c>
      <x:c r="H1064" t="str">
        <x:v>P049</x:v>
      </x:c>
      <x:c r="I1064" t="str">
        <x:v>Apple 10kg</x:v>
      </x:c>
      <x:c r="J1064" t="str">
        <x:v>Fresh Produce</x:v>
      </x:c>
      <x:c r="K1064" t="str">
        <x:v>Local Market</x:v>
      </x:c>
      <x:c r="L1064" s="22" t="n">
        <x:v>1450</x:v>
      </x:c>
      <x:c r="M1064" t="n">
        <x:v>10</x:v>
      </x:c>
      <x:c r="N1064" s="24" t="n">
        <x:v>0.02</x:v>
      </x:c>
      <x:c r="O1064" s="22" t="n">
        <x:f>L1064*M1064</x:f>
        <x:v>14500</x:v>
      </x:c>
      <x:c r="P1064" s="22" t="n">
        <x:f>O1064*(1-N1064)</x:f>
        <x:v>14210</x:v>
      </x:c>
      <x:c r="Q1064" s="22" t="n">
        <x:v>1280</x:v>
      </x:c>
      <x:c r="R1064" s="22" t="n">
        <x:f>Q1064*M1064</x:f>
        <x:v>12800</x:v>
      </x:c>
      <x:c r="S1064" s="22" t="n">
        <x:f>P1064-R1064</x:f>
        <x:v>1410</x:v>
      </x:c>
      <x:c r="T1064" t="str">
        <x:v>Cash</x:v>
      </x:c>
      <x:c r="U1064" t="str">
        <x:v>Paid</x:v>
      </x:c>
      <x:c r="V1064" t="str">
        <x:v>Cancelled</x:v>
      </x:c>
      <x:c r="W1064" t="n">
        <x:v>10</x:v>
      </x:c>
      <x:c r="X1064" t="str">
        <x:v>Cancelled Order</x:v>
      </x:c>
      <x:c r="Y1064" t="str">
        <x:v>Field Visit</x:v>
      </x:c>
    </x:row>
    <x:row r="1065">
      <x:c r="A1065" t="str">
        <x:v>O001064</x:v>
      </x:c>
      <x:c r="B1065" s="20" t="n">
        <x:v>45888</x:v>
      </x:c>
      <x:c r="C1065" t="str">
        <x:v>C0137</x:v>
      </x:c>
      <x:c r="D1065" t="str">
        <x:v>Green Restaurant 137</x:v>
      </x:c>
      <x:c r="E1065" t="str">
        <x:v>Canteen</x:v>
      </x:c>
      <x:c r="F1065" t="str">
        <x:v>Mangaluru</x:v>
      </x:c>
      <x:c r="G1065" t="str">
        <x:v>Arjun</x:v>
      </x:c>
      <x:c r="H1065" t="str">
        <x:v>P026</x:v>
      </x:c>
      <x:c r="I1065" t="str">
        <x:v>Banana Chips 80g</x:v>
      </x:c>
      <x:c r="J1065" t="str">
        <x:v>Snacks</x:v>
      </x:c>
      <x:c r="K1065" t="str">
        <x:v>SSS</x:v>
      </x:c>
      <x:c r="L1065" s="22" t="n">
        <x:v>54</x:v>
      </x:c>
      <x:c r="M1065" t="n">
        <x:v>26</x:v>
      </x:c>
      <x:c r="N1065" s="24" t="n">
        <x:v>0.03</x:v>
      </x:c>
      <x:c r="O1065" s="22" t="n">
        <x:f>L1065*M1065</x:f>
        <x:v>1404</x:v>
      </x:c>
      <x:c r="P1065" s="22" t="n">
        <x:f>O1065*(1-N1065)</x:f>
        <x:v>1361.8799999999999</x:v>
      </x:c>
      <x:c r="Q1065" s="22" t="n">
        <x:v>39</x:v>
      </x:c>
      <x:c r="R1065" s="22" t="n">
        <x:f>Q1065*M1065</x:f>
        <x:v>1014</x:v>
      </x:c>
      <x:c r="S1065" s="22" t="n">
        <x:f>P1065-R1065</x:f>
        <x:v>347.8799999999999</x:v>
      </x:c>
      <x:c r="T1065" t="str">
        <x:v>Credit</x:v>
      </x:c>
      <x:c r="U1065" t="str">
        <x:v>Paid</x:v>
      </x:c>
      <x:c r="V1065" t="str">
        <x:v>Delivered</x:v>
      </x:c>
      <x:c r="W1065" t="n">
        <x:v>0</x:v>
      </x:c>
      <x:c r="X1065" t="str"/>
      <x:c r="Y1065" t="str">
        <x:v>Referral</x:v>
      </x:c>
    </x:row>
    <x:row r="1066">
      <x:c r="A1066" t="str">
        <x:v>O001065</x:v>
      </x:c>
      <x:c r="B1066" s="20" t="n">
        <x:v>46000</x:v>
      </x:c>
      <x:c r="C1066" t="str">
        <x:v>C0001</x:v>
      </x:c>
      <x:c r="D1066" t="str">
        <x:v>Annapurna Cafe 1</x:v>
      </x:c>
      <x:c r="E1066" t="str">
        <x:v>Hotel</x:v>
      </x:c>
      <x:c r="F1066" t="str">
        <x:v>Davanagere</x:v>
      </x:c>
      <x:c r="G1066" t="str">
        <x:v>Kavya</x:v>
      </x:c>
      <x:c r="H1066" t="str">
        <x:v>P035</x:v>
      </x:c>
      <x:c r="I1066" t="str">
        <x:v>Coriander Powder 1kg</x:v>
      </x:c>
      <x:c r="J1066" t="str">
        <x:v>Spices</x:v>
      </x:c>
      <x:c r="K1066" t="str">
        <x:v>Everest</x:v>
      </x:c>
      <x:c r="L1066" s="22" t="n">
        <x:v>280</x:v>
      </x:c>
      <x:c r="M1066" t="n">
        <x:v>30</x:v>
      </x:c>
      <x:c r="N1066" s="24" t="n">
        <x:v>0.05</x:v>
      </x:c>
      <x:c r="O1066" s="22" t="n">
        <x:f>L1066*M1066</x:f>
        <x:v>8400</x:v>
      </x:c>
      <x:c r="P1066" s="22" t="n">
        <x:f>O1066*(1-N1066)</x:f>
        <x:v>7980</x:v>
      </x:c>
      <x:c r="Q1066" s="22" t="n">
        <x:v>245</x:v>
      </x:c>
      <x:c r="R1066" s="22" t="n">
        <x:f>Q1066*M1066</x:f>
        <x:v>7350</x:v>
      </x:c>
      <x:c r="S1066" s="22" t="n">
        <x:f>P1066-R1066</x:f>
        <x:v>630</x:v>
      </x:c>
      <x:c r="T1066" t="str">
        <x:v>UPI</x:v>
      </x:c>
      <x:c r="U1066" t="str">
        <x:v>Paid</x:v>
      </x:c>
      <x:c r="V1066" t="str">
        <x:v>Cancelled</x:v>
      </x:c>
      <x:c r="W1066" t="n">
        <x:v>30</x:v>
      </x:c>
      <x:c r="X1066" t="str">
        <x:v>Cancelled Order</x:v>
      </x:c>
      <x:c r="Y1066" t="str">
        <x:v>WhatsApp</x:v>
      </x:c>
    </x:row>
    <x:row r="1067">
      <x:c r="A1067" t="str">
        <x:v>O001066</x:v>
      </x:c>
      <x:c r="B1067" s="20" t="n">
        <x:v>45687</x:v>
      </x:c>
      <x:c r="C1067" t="str">
        <x:v>C0106</x:v>
      </x:c>
      <x:c r="D1067" t="str">
        <x:v>Classic Mart 106</x:v>
      </x:c>
      <x:c r="E1067" t="str">
        <x:v>Restaurant</x:v>
      </x:c>
      <x:c r="F1067" t="str">
        <x:v>Mysuru</x:v>
      </x:c>
      <x:c r="G1067" t="str">
        <x:v>Kavya</x:v>
      </x:c>
      <x:c r="H1067" t="str">
        <x:v>P013</x:v>
      </x:c>
      <x:c r="I1067" t="str">
        <x:v>Atta 10kg</x:v>
      </x:c>
      <x:c r="J1067" t="str">
        <x:v>Flour</x:v>
      </x:c>
      <x:c r="K1067" t="str">
        <x:v>Aashirvaad</x:v>
      </x:c>
      <x:c r="L1067" s="22" t="n">
        <x:v>560</x:v>
      </x:c>
      <x:c r="M1067" t="n">
        <x:v>40</x:v>
      </x:c>
      <x:c r="N1067" s="24" t="n">
        <x:v>0</x:v>
      </x:c>
      <x:c r="O1067" s="22" t="n">
        <x:f>L1067*M1067</x:f>
        <x:v>22400</x:v>
      </x:c>
      <x:c r="P1067" s="22" t="n">
        <x:f>O1067*(1-N1067)</x:f>
        <x:v>22400</x:v>
      </x:c>
      <x:c r="Q1067" s="22" t="n">
        <x:v>495</x:v>
      </x:c>
      <x:c r="R1067" s="22" t="n">
        <x:f>Q1067*M1067</x:f>
        <x:v>19800</x:v>
      </x:c>
      <x:c r="S1067" s="22" t="n">
        <x:f>P1067-R1067</x:f>
        <x:v>2600</x:v>
      </x:c>
      <x:c r="T1067" t="str">
        <x:v>UPI</x:v>
      </x:c>
      <x:c r="U1067" t="str">
        <x:v>Paid</x:v>
      </x:c>
      <x:c r="V1067" t="str">
        <x:v>Cancelled</x:v>
      </x:c>
      <x:c r="W1067" t="n">
        <x:v>40</x:v>
      </x:c>
      <x:c r="X1067" t="str">
        <x:v>Cancelled Order</x:v>
      </x:c>
      <x:c r="Y1067" t="str">
        <x:v>WhatsApp</x:v>
      </x:c>
    </x:row>
    <x:row r="1068">
      <x:c r="A1068" t="str">
        <x:v>O001067</x:v>
      </x:c>
      <x:c r="B1068" s="20" t="n">
        <x:v>45913</x:v>
      </x:c>
      <x:c r="C1068" t="str">
        <x:v>C0084</x:v>
      </x:c>
      <x:c r="D1068" t="str">
        <x:v>Green Cafe 84</x:v>
      </x:c>
      <x:c r="E1068" t="str">
        <x:v>Hotel</x:v>
      </x:c>
      <x:c r="F1068" t="str">
        <x:v>Mysuru</x:v>
      </x:c>
      <x:c r="G1068" t="str">
        <x:v>Priya</x:v>
      </x:c>
      <x:c r="H1068" t="str">
        <x:v>P040</x:v>
      </x:c>
      <x:c r="I1068" t="str">
        <x:v>Bread Loaf 400g</x:v>
      </x:c>
      <x:c r="J1068" t="str">
        <x:v>Bakery</x:v>
      </x:c>
      <x:c r="K1068" t="str">
        <x:v>Britannia</x:v>
      </x:c>
      <x:c r="L1068" s="22" t="n">
        <x:v>45</x:v>
      </x:c>
      <x:c r="M1068" t="n">
        <x:v>11</x:v>
      </x:c>
      <x:c r="N1068" s="24" t="n">
        <x:v>0.03</x:v>
      </x:c>
      <x:c r="O1068" s="22" t="n">
        <x:f>L1068*M1068</x:f>
        <x:v>495</x:v>
      </x:c>
      <x:c r="P1068" s="22" t="n">
        <x:f>O1068*(1-N1068)</x:f>
        <x:v>480.15</x:v>
      </x:c>
      <x:c r="Q1068" s="22" t="n">
        <x:v>35</x:v>
      </x:c>
      <x:c r="R1068" s="22" t="n">
        <x:f>Q1068*M1068</x:f>
        <x:v>385</x:v>
      </x:c>
      <x:c r="S1068" s="22" t="n">
        <x:f>P1068-R1068</x:f>
        <x:v>95.14999999999998</x:v>
      </x:c>
      <x:c r="T1068" t="str">
        <x:v>Credit</x:v>
      </x:c>
      <x:c r="U1068" t="str">
        <x:v>Paid</x:v>
      </x:c>
      <x:c r="V1068" t="str">
        <x:v>Delivered</x:v>
      </x:c>
      <x:c r="W1068" t="n">
        <x:v>4</x:v>
      </x:c>
      <x:c r="X1068" t="str">
        <x:v>Wrong Item</x:v>
      </x:c>
      <x:c r="Y1068" t="str">
        <x:v>Referral</x:v>
      </x:c>
    </x:row>
    <x:row r="1069">
      <x:c r="A1069" t="str">
        <x:v>O001068</x:v>
      </x:c>
      <x:c r="B1069" s="20" t="n">
        <x:v>45837</x:v>
      </x:c>
      <x:c r="C1069" t="str">
        <x:v>C0186</x:v>
      </x:c>
      <x:c r="D1069" t="str">
        <x:v>Namma Stores 186</x:v>
      </x:c>
      <x:c r="E1069" t="str">
        <x:v>Supermarket</x:v>
      </x:c>
      <x:c r="F1069" t="str">
        <x:v>Mysuru</x:v>
      </x:c>
      <x:c r="G1069" t="str">
        <x:v>Vikram</x:v>
      </x:c>
      <x:c r="H1069" t="str">
        <x:v>P016</x:v>
      </x:c>
      <x:c r="I1069" t="str">
        <x:v>Curd 1kg</x:v>
      </x:c>
      <x:c r="J1069" t="str">
        <x:v>Dairy</x:v>
      </x:c>
      <x:c r="K1069" t="str">
        <x:v>Nandini</x:v>
      </x:c>
      <x:c r="L1069" s="22" t="n">
        <x:v>72</x:v>
      </x:c>
      <x:c r="M1069" t="n">
        <x:v>31</x:v>
      </x:c>
      <x:c r="N1069" s="24" t="n">
        <x:v>0.08</x:v>
      </x:c>
      <x:c r="O1069" s="22" t="n">
        <x:f>L1069*M1069</x:f>
        <x:v>2232</x:v>
      </x:c>
      <x:c r="P1069" s="22" t="n">
        <x:f>O1069*(1-N1069)</x:f>
        <x:v>2053.44</x:v>
      </x:c>
      <x:c r="Q1069" s="22" t="n">
        <x:v>64</x:v>
      </x:c>
      <x:c r="R1069" s="22" t="n">
        <x:f>Q1069*M1069</x:f>
        <x:v>1984</x:v>
      </x:c>
      <x:c r="S1069" s="22" t="n">
        <x:f>P1069-R1069</x:f>
        <x:v>69.44000000000005</x:v>
      </x:c>
      <x:c r="T1069" t="str">
        <x:v>Bank Transfer</x:v>
      </x:c>
      <x:c r="U1069" t="str">
        <x:v>Paid</x:v>
      </x:c>
      <x:c r="V1069" t="str">
        <x:v>Delivered</x:v>
      </x:c>
      <x:c r="W1069" t="n">
        <x:v>1</x:v>
      </x:c>
      <x:c r="X1069" t="str">
        <x:v>Wrong Item</x:v>
      </x:c>
      <x:c r="Y1069" t="str">
        <x:v>Existing Customer</x:v>
      </x:c>
    </x:row>
    <x:row r="1070">
      <x:c r="A1070" t="str">
        <x:v>O001069</x:v>
      </x:c>
      <x:c r="B1070" s="20" t="n">
        <x:v>46275</x:v>
      </x:c>
      <x:c r="C1070" t="str">
        <x:v>C0063</x:v>
      </x:c>
      <x:c r="D1070" t="str">
        <x:v>Namma Mart 63</x:v>
      </x:c>
      <x:c r="E1070" t="str">
        <x:v>Supermarket</x:v>
      </x:c>
      <x:c r="F1070" t="str">
        <x:v>Tumakuru</x:v>
      </x:c>
      <x:c r="G1070" t="str">
        <x:v>Priya</x:v>
      </x:c>
      <x:c r="H1070" t="str">
        <x:v>P044</x:v>
      </x:c>
      <x:c r="I1070" t="str">
        <x:v>Chicken Curry Cut 1kg</x:v>
      </x:c>
      <x:c r="J1070" t="str">
        <x:v>Protein</x:v>
      </x:c>
      <x:c r="K1070" t="str">
        <x:v>FreshToHome</x:v>
      </x:c>
      <x:c r="L1070" s="22" t="n">
        <x:v>230</x:v>
      </x:c>
      <x:c r="M1070" t="n">
        <x:v>29</x:v>
      </x:c>
      <x:c r="N1070" s="24" t="n">
        <x:v>0.1</x:v>
      </x:c>
      <x:c r="O1070" s="22" t="n">
        <x:f>L1070*M1070</x:f>
        <x:v>6670</x:v>
      </x:c>
      <x:c r="P1070" s="22" t="n">
        <x:f>O1070*(1-N1070)</x:f>
        <x:v>6003</x:v>
      </x:c>
      <x:c r="Q1070" s="22" t="n">
        <x:v>205</x:v>
      </x:c>
      <x:c r="R1070" s="22" t="n">
        <x:f>Q1070*M1070</x:f>
        <x:v>5945</x:v>
      </x:c>
      <x:c r="S1070" s="22" t="n">
        <x:f>P1070-R1070</x:f>
        <x:v>58</x:v>
      </x:c>
      <x:c r="T1070" t="str">
        <x:v>Bank Transfer</x:v>
      </x:c>
      <x:c r="U1070" t="str">
        <x:v>Overdue</x:v>
      </x:c>
      <x:c r="V1070" t="str">
        <x:v>Delayed</x:v>
      </x:c>
      <x:c r="W1070" t="n">
        <x:v>0</x:v>
      </x:c>
      <x:c r="X1070" t="str"/>
      <x:c r="Y1070" t="str">
        <x:v>Outbound Call</x:v>
      </x:c>
    </x:row>
    <x:row r="1071">
      <x:c r="A1071" t="str">
        <x:v>O001070</x:v>
      </x:c>
      <x:c r="B1071" s="20" t="n">
        <x:v>45821</x:v>
      </x:c>
      <x:c r="C1071" t="str">
        <x:v>C0215</x:v>
      </x:c>
      <x:c r="D1071" t="str">
        <x:v>Annapurna Restaurant 215</x:v>
      </x:c>
      <x:c r="E1071" t="str">
        <x:v>Supermarket</x:v>
      </x:c>
      <x:c r="F1071" t="str">
        <x:v>Bengaluru</x:v>
      </x:c>
      <x:c r="G1071" t="str">
        <x:v>Vikram</x:v>
      </x:c>
      <x:c r="H1071" t="str">
        <x:v>P022</x:v>
      </x:c>
      <x:c r="I1071" t="str">
        <x:v>Mineral Water 1L</x:v>
      </x:c>
      <x:c r="J1071" t="str">
        <x:v>Beverage</x:v>
      </x:c>
      <x:c r="K1071" t="str">
        <x:v>Bisleri</x:v>
      </x:c>
      <x:c r="L1071" s="22" t="n">
        <x:v>19</x:v>
      </x:c>
      <x:c r="M1071" t="n">
        <x:v>16</x:v>
      </x:c>
      <x:c r="N1071" s="24" t="n">
        <x:v>0.03</x:v>
      </x:c>
      <x:c r="O1071" s="22" t="n">
        <x:f>L1071*M1071</x:f>
        <x:v>304</x:v>
      </x:c>
      <x:c r="P1071" s="22" t="n">
        <x:f>O1071*(1-N1071)</x:f>
        <x:v>294.88</x:v>
      </x:c>
      <x:c r="Q1071" s="22" t="n">
        <x:v>15</x:v>
      </x:c>
      <x:c r="R1071" s="22" t="n">
        <x:f>Q1071*M1071</x:f>
        <x:v>240</x:v>
      </x:c>
      <x:c r="S1071" s="22" t="n">
        <x:f>P1071-R1071</x:f>
        <x:v>54.879999999999995</x:v>
      </x:c>
      <x:c r="T1071" t="str">
        <x:v>UPI</x:v>
      </x:c>
      <x:c r="U1071" t="str">
        <x:v>Paid</x:v>
      </x:c>
      <x:c r="V1071" t="str">
        <x:v>Delivered</x:v>
      </x:c>
      <x:c r="W1071" t="n">
        <x:v>0</x:v>
      </x:c>
      <x:c r="X1071" t="str"/>
      <x:c r="Y1071" t="str">
        <x:v>WhatsApp</x:v>
      </x:c>
    </x:row>
    <x:row r="1072">
      <x:c r="A1072" t="str">
        <x:v>O001071</x:v>
      </x:c>
      <x:c r="B1072" s="20" t="n">
        <x:v>45730</x:v>
      </x:c>
      <x:c r="C1072" t="str">
        <x:v>C0121</x:v>
      </x:c>
      <x:c r="D1072" t="str">
        <x:v>Mysore Restaurant 121</x:v>
      </x:c>
      <x:c r="E1072" t="str">
        <x:v>Cafe</x:v>
      </x:c>
      <x:c r="F1072" t="str">
        <x:v>Mysuru</x:v>
      </x:c>
      <x:c r="G1072" t="str">
        <x:v>Sneha</x:v>
      </x:c>
      <x:c r="H1072" t="str">
        <x:v>P025</x:v>
      </x:c>
      <x:c r="I1072" t="str">
        <x:v>Potato Chips 100g</x:v>
      </x:c>
      <x:c r="J1072" t="str">
        <x:v>Snacks</x:v>
      </x:c>
      <x:c r="K1072" t="str">
        <x:v>Lay's</x:v>
      </x:c>
      <x:c r="L1072" s="22" t="n">
        <x:v>35</x:v>
      </x:c>
      <x:c r="M1072" t="n">
        <x:v>27</x:v>
      </x:c>
      <x:c r="N1072" s="24" t="n">
        <x:v>0.1</x:v>
      </x:c>
      <x:c r="O1072" s="22" t="n">
        <x:f>L1072*M1072</x:f>
        <x:v>945</x:v>
      </x:c>
      <x:c r="P1072" s="22" t="n">
        <x:f>O1072*(1-N1072)</x:f>
        <x:v>850.5</x:v>
      </x:c>
      <x:c r="Q1072" s="22" t="n">
        <x:v>27</x:v>
      </x:c>
      <x:c r="R1072" s="22" t="n">
        <x:f>Q1072*M1072</x:f>
        <x:v>729</x:v>
      </x:c>
      <x:c r="S1072" s="22" t="n">
        <x:f>P1072-R1072</x:f>
        <x:v>121.5</x:v>
      </x:c>
      <x:c r="T1072" t="str">
        <x:v>UPI</x:v>
      </x:c>
      <x:c r="U1072" t="str">
        <x:v>Paid</x:v>
      </x:c>
      <x:c r="V1072" t="str">
        <x:v>Delayed</x:v>
      </x:c>
      <x:c r="W1072" t="n">
        <x:v>0</x:v>
      </x:c>
      <x:c r="X1072" t="str"/>
      <x:c r="Y1072" t="str">
        <x:v>Existing Customer</x:v>
      </x:c>
    </x:row>
    <x:row r="1073">
      <x:c r="A1073" t="str">
        <x:v>O001072</x:v>
      </x:c>
      <x:c r="B1073" s="20" t="n">
        <x:v>45719</x:v>
      </x:c>
      <x:c r="C1073" t="str">
        <x:v>C0113</x:v>
      </x:c>
      <x:c r="D1073" t="str">
        <x:v>Namma Mart 113</x:v>
      </x:c>
      <x:c r="E1073" t="str">
        <x:v>Restaurant</x:v>
      </x:c>
      <x:c r="F1073" t="str">
        <x:v>Bengaluru</x:v>
      </x:c>
      <x:c r="G1073" t="str">
        <x:v>Imran</x:v>
      </x:c>
      <x:c r="H1073" t="str">
        <x:v>P031</x:v>
      </x:c>
      <x:c r="I1073" t="str">
        <x:v>Chilli Sauce 700g</x:v>
      </x:c>
      <x:c r="J1073" t="str">
        <x:v>Condiments</x:v>
      </x:c>
      <x:c r="K1073" t="str">
        <x:v>Ching's</x:v>
      </x:c>
      <x:c r="L1073" s="22" t="n">
        <x:v>130</x:v>
      </x:c>
      <x:c r="M1073" t="n">
        <x:v>19</x:v>
      </x:c>
      <x:c r="N1073" s="24" t="n">
        <x:v>0.05</x:v>
      </x:c>
      <x:c r="O1073" s="22" t="n">
        <x:f>L1073*M1073</x:f>
        <x:v>2470</x:v>
      </x:c>
      <x:c r="P1073" s="22" t="n">
        <x:f>O1073*(1-N1073)</x:f>
        <x:v>2346.5</x:v>
      </x:c>
      <x:c r="Q1073" s="22" t="n">
        <x:v>112</x:v>
      </x:c>
      <x:c r="R1073" s="22" t="n">
        <x:f>Q1073*M1073</x:f>
        <x:v>2128</x:v>
      </x:c>
      <x:c r="S1073" s="22" t="n">
        <x:f>P1073-R1073</x:f>
        <x:v>218.5</x:v>
      </x:c>
      <x:c r="T1073" t="str">
        <x:v>UPI</x:v>
      </x:c>
      <x:c r="U1073" t="str">
        <x:v>Paid</x:v>
      </x:c>
      <x:c r="V1073" t="str">
        <x:v>Cancelled</x:v>
      </x:c>
      <x:c r="W1073" t="n">
        <x:v>19</x:v>
      </x:c>
      <x:c r="X1073" t="str">
        <x:v>Cancelled Order</x:v>
      </x:c>
      <x:c r="Y1073" t="str">
        <x:v>Existing Customer</x:v>
      </x:c>
    </x:row>
    <x:row r="1074">
      <x:c r="A1074" t="str">
        <x:v>O001073</x:v>
      </x:c>
      <x:c r="B1074" s="20" t="n">
        <x:v>45785</x:v>
      </x:c>
      <x:c r="C1074" t="str">
        <x:v>C0113</x:v>
      </x:c>
      <x:c r="D1074" t="str">
        <x:v>Namma Mart 113</x:v>
      </x:c>
      <x:c r="E1074" t="str">
        <x:v>Restaurant</x:v>
      </x:c>
      <x:c r="F1074" t="str">
        <x:v>Bengaluru</x:v>
      </x:c>
      <x:c r="G1074" t="str">
        <x:v>Imran</x:v>
      </x:c>
      <x:c r="H1074" t="str">
        <x:v>P028</x:v>
      </x:c>
      <x:c r="I1074" t="str">
        <x:v>Cookies 200g</x:v>
      </x:c>
      <x:c r="J1074" t="str">
        <x:v>Snacks</x:v>
      </x:c>
      <x:c r="K1074" t="str">
        <x:v>Britannia</x:v>
      </x:c>
      <x:c r="L1074" s="22" t="n">
        <x:v>55</x:v>
      </x:c>
      <x:c r="M1074" t="n">
        <x:v>7</x:v>
      </x:c>
      <x:c r="N1074" s="24" t="n">
        <x:v>0</x:v>
      </x:c>
      <x:c r="O1074" s="22" t="n">
        <x:f>L1074*M1074</x:f>
        <x:v>385</x:v>
      </x:c>
      <x:c r="P1074" s="22" t="n">
        <x:f>O1074*(1-N1074)</x:f>
        <x:v>385</x:v>
      </x:c>
      <x:c r="Q1074" s="22" t="n">
        <x:v>42</x:v>
      </x:c>
      <x:c r="R1074" s="22" t="n">
        <x:f>Q1074*M1074</x:f>
        <x:v>294</x:v>
      </x:c>
      <x:c r="S1074" s="22" t="n">
        <x:f>P1074-R1074</x:f>
        <x:v>91</x:v>
      </x:c>
      <x:c r="T1074" t="str">
        <x:v>Cash</x:v>
      </x:c>
      <x:c r="U1074" t="str">
        <x:v>Pending</x:v>
      </x:c>
      <x:c r="V1074" t="str">
        <x:v>Delayed</x:v>
      </x:c>
      <x:c r="W1074" t="n">
        <x:v>0</x:v>
      </x:c>
      <x:c r="X1074" t="str"/>
      <x:c r="Y1074" t="str">
        <x:v>Outbound Call</x:v>
      </x:c>
    </x:row>
    <x:row r="1075">
      <x:c r="A1075" t="str">
        <x:v>O001074</x:v>
      </x:c>
      <x:c r="B1075" s="20" t="n">
        <x:v>46005</x:v>
      </x:c>
      <x:c r="C1075" t="str">
        <x:v>C0094</x:v>
      </x:c>
      <x:c r="D1075" t="str">
        <x:v>Mysore Mart 94</x:v>
      </x:c>
      <x:c r="E1075" t="str">
        <x:v>Restaurant</x:v>
      </x:c>
      <x:c r="F1075" t="str">
        <x:v>Hubballi</x:v>
      </x:c>
      <x:c r="G1075" t="str">
        <x:v>Sneha</x:v>
      </x:c>
      <x:c r="H1075" t="str">
        <x:v>P027</x:v>
      </x:c>
      <x:c r="I1075" t="str">
        <x:v>Biscuits 120g</x:v>
      </x:c>
      <x:c r="J1075" t="str">
        <x:v>Snacks</x:v>
      </x:c>
      <x:c r="K1075" t="str">
        <x:v>Parle-G</x:v>
      </x:c>
      <x:c r="L1075" s="22" t="n">
        <x:v>12</x:v>
      </x:c>
      <x:c r="M1075" t="n">
        <x:v>10</x:v>
      </x:c>
      <x:c r="N1075" s="24" t="n">
        <x:v>0.08</x:v>
      </x:c>
      <x:c r="O1075" s="22" t="n">
        <x:f>L1075*M1075</x:f>
        <x:v>120</x:v>
      </x:c>
      <x:c r="P1075" s="22" t="n">
        <x:f>O1075*(1-N1075)</x:f>
        <x:v>110.4</x:v>
      </x:c>
      <x:c r="Q1075" s="22" t="n">
        <x:v>9</x:v>
      </x:c>
      <x:c r="R1075" s="22" t="n">
        <x:f>Q1075*M1075</x:f>
        <x:v>90</x:v>
      </x:c>
      <x:c r="S1075" s="22" t="n">
        <x:f>P1075-R1075</x:f>
        <x:v>20.400000000000006</x:v>
      </x:c>
      <x:c r="T1075" t="str">
        <x:v>Credit</x:v>
      </x:c>
      <x:c r="U1075" t="str">
        <x:v>Paid</x:v>
      </x:c>
      <x:c r="V1075" t="str">
        <x:v>Delivered</x:v>
      </x:c>
      <x:c r="W1075" t="n">
        <x:v>0</x:v>
      </x:c>
      <x:c r="X1075" t="str"/>
      <x:c r="Y1075" t="str">
        <x:v>Outbound Call</x:v>
      </x:c>
    </x:row>
    <x:row r="1076">
      <x:c r="A1076" t="str">
        <x:v>O001075</x:v>
      </x:c>
      <x:c r="B1076" s="20" t="n">
        <x:v>45908</x:v>
      </x:c>
      <x:c r="C1076" t="str">
        <x:v>C0182</x:v>
      </x:c>
      <x:c r="D1076" t="str">
        <x:v>Mysore Foods 182</x:v>
      </x:c>
      <x:c r="E1076" t="str">
        <x:v>Restaurant</x:v>
      </x:c>
      <x:c r="F1076" t="str">
        <x:v>Bengaluru</x:v>
      </x:c>
      <x:c r="G1076" t="str">
        <x:v>Vikram</x:v>
      </x:c>
      <x:c r="H1076" t="str">
        <x:v>P032</x:v>
      </x:c>
      <x:c r="I1076" t="str">
        <x:v>Soy Sauce 700g</x:v>
      </x:c>
      <x:c r="J1076" t="str">
        <x:v>Condiments</x:v>
      </x:c>
      <x:c r="K1076" t="str">
        <x:v>Ching's</x:v>
      </x:c>
      <x:c r="L1076" s="22" t="n">
        <x:v>118</x:v>
      </x:c>
      <x:c r="M1076" t="n">
        <x:v>17</x:v>
      </x:c>
      <x:c r="N1076" s="24" t="n">
        <x:v>0.02</x:v>
      </x:c>
      <x:c r="O1076" s="22" t="n">
        <x:f>L1076*M1076</x:f>
        <x:v>2006</x:v>
      </x:c>
      <x:c r="P1076" s="22" t="n">
        <x:f>O1076*(1-N1076)</x:f>
        <x:v>1965.8799999999999</x:v>
      </x:c>
      <x:c r="Q1076" s="22" t="n">
        <x:v>101</x:v>
      </x:c>
      <x:c r="R1076" s="22" t="n">
        <x:f>Q1076*M1076</x:f>
        <x:v>1717</x:v>
      </x:c>
      <x:c r="S1076" s="22" t="n">
        <x:f>P1076-R1076</x:f>
        <x:v>248.87999999999988</x:v>
      </x:c>
      <x:c r="T1076" t="str">
        <x:v>Credit</x:v>
      </x:c>
      <x:c r="U1076" t="str">
        <x:v>Paid</x:v>
      </x:c>
      <x:c r="V1076" t="str">
        <x:v>Delivered</x:v>
      </x:c>
      <x:c r="W1076" t="n">
        <x:v>0</x:v>
      </x:c>
      <x:c r="X1076" t="str"/>
      <x:c r="Y1076" t="str">
        <x:v>Existing Customer</x:v>
      </x:c>
    </x:row>
    <x:row r="1077">
      <x:c r="A1077" t="str">
        <x:v>O001076</x:v>
      </x:c>
      <x:c r="B1077" s="20" t="n">
        <x:v>45801</x:v>
      </x:c>
      <x:c r="C1077" t="str">
        <x:v>C0010</x:v>
      </x:c>
      <x:c r="D1077" t="str">
        <x:v>Royal Hotel 10</x:v>
      </x:c>
      <x:c r="E1077" t="str">
        <x:v>Canteen</x:v>
      </x:c>
      <x:c r="F1077" t="str">
        <x:v>Davanagere</x:v>
      </x:c>
      <x:c r="G1077" t="str">
        <x:v>Ramesh</x:v>
      </x:c>
      <x:c r="H1077" t="str">
        <x:v>P049</x:v>
      </x:c>
      <x:c r="I1077" t="str">
        <x:v>Apple 10kg</x:v>
      </x:c>
      <x:c r="J1077" t="str">
        <x:v>Fresh Produce</x:v>
      </x:c>
      <x:c r="K1077" t="str">
        <x:v>Local Market</x:v>
      </x:c>
      <x:c r="L1077" s="22" t="n">
        <x:v>1450</x:v>
      </x:c>
      <x:c r="M1077" t="n">
        <x:v>9</x:v>
      </x:c>
      <x:c r="N1077" s="24" t="n">
        <x:v>0.02</x:v>
      </x:c>
      <x:c r="O1077" s="22" t="n">
        <x:f>L1077*M1077</x:f>
        <x:v>13050</x:v>
      </x:c>
      <x:c r="P1077" s="22" t="n">
        <x:f>O1077*(1-N1077)</x:f>
        <x:v>12789</x:v>
      </x:c>
      <x:c r="Q1077" s="22" t="n">
        <x:v>1280</x:v>
      </x:c>
      <x:c r="R1077" s="22" t="n">
        <x:f>Q1077*M1077</x:f>
        <x:v>11520</x:v>
      </x:c>
      <x:c r="S1077" s="22" t="n">
        <x:f>P1077-R1077</x:f>
        <x:v>1269</x:v>
      </x:c>
      <x:c r="T1077" t="str">
        <x:v>Bank Transfer</x:v>
      </x:c>
      <x:c r="U1077" t="str">
        <x:v>Pending</x:v>
      </x:c>
      <x:c r="V1077" t="str">
        <x:v>Delayed</x:v>
      </x:c>
      <x:c r="W1077" t="n">
        <x:v>0</x:v>
      </x:c>
      <x:c r="X1077" t="str"/>
      <x:c r="Y1077" t="str">
        <x:v>Field Visit</x:v>
      </x:c>
    </x:row>
    <x:row r="1078">
      <x:c r="A1078" t="str">
        <x:v>O001077</x:v>
      </x:c>
      <x:c r="B1078" s="20" t="n">
        <x:v>45820</x:v>
      </x:c>
      <x:c r="C1078" t="str">
        <x:v>C0079</x:v>
      </x:c>
      <x:c r="D1078" t="str">
        <x:v>Foodie Foods 79</x:v>
      </x:c>
      <x:c r="E1078" t="str">
        <x:v>Cafe</x:v>
      </x:c>
      <x:c r="F1078" t="str">
        <x:v>Tumakuru</x:v>
      </x:c>
      <x:c r="G1078" t="str">
        <x:v>Ramesh</x:v>
      </x:c>
      <x:c r="H1078" t="str">
        <x:v>P046</x:v>
      </x:c>
      <x:c r="I1078" t="str">
        <x:v>Potato 25kg</x:v>
      </x:c>
      <x:c r="J1078" t="str">
        <x:v>Fresh Produce</x:v>
      </x:c>
      <x:c r="K1078" t="str">
        <x:v>Local Market</x:v>
      </x:c>
      <x:c r="L1078" s="22" t="n">
        <x:v>700</x:v>
      </x:c>
      <x:c r="M1078" t="n">
        <x:v>37</x:v>
      </x:c>
      <x:c r="N1078" s="24" t="n">
        <x:v>0.05</x:v>
      </x:c>
      <x:c r="O1078" s="22" t="n">
        <x:f>L1078*M1078</x:f>
        <x:v>25900</x:v>
      </x:c>
      <x:c r="P1078" s="22" t="n">
        <x:f>O1078*(1-N1078)</x:f>
        <x:v>24605</x:v>
      </x:c>
      <x:c r="Q1078" s="22" t="n">
        <x:v>610</x:v>
      </x:c>
      <x:c r="R1078" s="22" t="n">
        <x:f>Q1078*M1078</x:f>
        <x:v>22570</x:v>
      </x:c>
      <x:c r="S1078" s="22" t="n">
        <x:f>P1078-R1078</x:f>
        <x:v>2035</x:v>
      </x:c>
      <x:c r="T1078" t="str">
        <x:v>Credit</x:v>
      </x:c>
      <x:c r="U1078" t="str">
        <x:v>Paid</x:v>
      </x:c>
      <x:c r="V1078" t="str">
        <x:v>Cancelled</x:v>
      </x:c>
      <x:c r="W1078" t="n">
        <x:v>37</x:v>
      </x:c>
      <x:c r="X1078" t="str">
        <x:v>Cancelled Order</x:v>
      </x:c>
      <x:c r="Y1078" t="str">
        <x:v>Field Visit</x:v>
      </x:c>
    </x:row>
    <x:row r="1079">
      <x:c r="A1079" t="str">
        <x:v>O001078</x:v>
      </x:c>
      <x:c r="B1079" s="20" t="n">
        <x:v>45789</x:v>
      </x:c>
      <x:c r="C1079" t="str">
        <x:v>C0207</x:v>
      </x:c>
      <x:c r="D1079" t="str">
        <x:v>Hotel Stores 207</x:v>
      </x:c>
      <x:c r="E1079" t="str">
        <x:v>Restaurant</x:v>
      </x:c>
      <x:c r="F1079" t="str">
        <x:v>Hubballi</x:v>
      </x:c>
      <x:c r="G1079" t="str">
        <x:v>Ramesh</x:v>
      </x:c>
      <x:c r="H1079" t="str">
        <x:v>P045</x:v>
      </x:c>
      <x:c r="I1079" t="str">
        <x:v>Onion 25kg</x:v>
      </x:c>
      <x:c r="J1079" t="str">
        <x:v>Fresh Produce</x:v>
      </x:c>
      <x:c r="K1079" t="str">
        <x:v>Local Market</x:v>
      </x:c>
      <x:c r="L1079" s="22" t="n">
        <x:v>875</x:v>
      </x:c>
      <x:c r="M1079" t="n">
        <x:v>10</x:v>
      </x:c>
      <x:c r="N1079" s="24" t="n">
        <x:v>0.05</x:v>
      </x:c>
      <x:c r="O1079" s="22" t="n">
        <x:f>L1079*M1079</x:f>
        <x:v>8750</x:v>
      </x:c>
      <x:c r="P1079" s="22" t="n">
        <x:f>O1079*(1-N1079)</x:f>
        <x:v>8312.5</x:v>
      </x:c>
      <x:c r="Q1079" s="22" t="n">
        <x:v>760</x:v>
      </x:c>
      <x:c r="R1079" s="22" t="n">
        <x:f>Q1079*M1079</x:f>
        <x:v>7600</x:v>
      </x:c>
      <x:c r="S1079" s="22" t="n">
        <x:f>P1079-R1079</x:f>
        <x:v>712.5</x:v>
      </x:c>
      <x:c r="T1079" t="str">
        <x:v>Credit</x:v>
      </x:c>
      <x:c r="U1079" t="str">
        <x:v>Paid</x:v>
      </x:c>
      <x:c r="V1079" t="str">
        <x:v>Delivered</x:v>
      </x:c>
      <x:c r="W1079" t="n">
        <x:v>2</x:v>
      </x:c>
      <x:c r="X1079" t="str">
        <x:v>Quality Issue</x:v>
      </x:c>
      <x:c r="Y1079" t="str">
        <x:v>Referral</x:v>
      </x:c>
    </x:row>
    <x:row r="1080">
      <x:c r="A1080" t="str">
        <x:v>O001079</x:v>
      </x:c>
      <x:c r="B1080" s="20" t="n">
        <x:v>46178</x:v>
      </x:c>
      <x:c r="C1080" t="str">
        <x:v>C0067</x:v>
      </x:c>
      <x:c r="D1080" t="str">
        <x:v>Royal Restaurant 67</x:v>
      </x:c>
      <x:c r="E1080" t="str">
        <x:v>Supermarket</x:v>
      </x:c>
      <x:c r="F1080" t="str">
        <x:v>Tumakuru</x:v>
      </x:c>
      <x:c r="G1080" t="str">
        <x:v>Sneha</x:v>
      </x:c>
      <x:c r="H1080" t="str">
        <x:v>P024</x:v>
      </x:c>
      <x:c r="I1080" t="str">
        <x:v>Orange Drink 1L</x:v>
      </x:c>
      <x:c r="J1080" t="str">
        <x:v>Beverage</x:v>
      </x:c>
      <x:c r="K1080" t="str">
        <x:v>Minute Maid</x:v>
      </x:c>
      <x:c r="L1080" s="22" t="n">
        <x:v>105</x:v>
      </x:c>
      <x:c r="M1080" t="n">
        <x:v>34</x:v>
      </x:c>
      <x:c r="N1080" s="24" t="n">
        <x:v>0.03</x:v>
      </x:c>
      <x:c r="O1080" s="22" t="n">
        <x:f>L1080*M1080</x:f>
        <x:v>3570</x:v>
      </x:c>
      <x:c r="P1080" s="22" t="n">
        <x:f>O1080*(1-N1080)</x:f>
        <x:v>3462.9</x:v>
      </x:c>
      <x:c r="Q1080" s="22" t="n">
        <x:v>88</x:v>
      </x:c>
      <x:c r="R1080" s="22" t="n">
        <x:f>Q1080*M1080</x:f>
        <x:v>2992</x:v>
      </x:c>
      <x:c r="S1080" s="22" t="n">
        <x:f>P1080-R1080</x:f>
        <x:v>470.9000000000001</x:v>
      </x:c>
      <x:c r="T1080" t="str">
        <x:v>Bank Transfer</x:v>
      </x:c>
      <x:c r="U1080" t="str">
        <x:v>Overdue</x:v>
      </x:c>
      <x:c r="V1080" t="str">
        <x:v>Cancelled</x:v>
      </x:c>
      <x:c r="W1080" t="n">
        <x:v>34</x:v>
      </x:c>
      <x:c r="X1080" t="str">
        <x:v>Cancelled Order</x:v>
      </x:c>
      <x:c r="Y1080" t="str">
        <x:v>Referral</x:v>
      </x:c>
    </x:row>
    <x:row r="1081">
      <x:c r="A1081" t="str">
        <x:v>O001080</x:v>
      </x:c>
      <x:c r="B1081" s="20" t="n">
        <x:v>46193</x:v>
      </x:c>
      <x:c r="C1081" t="str">
        <x:v>C0129</x:v>
      </x:c>
      <x:c r="D1081" t="str">
        <x:v>City Canteen 129</x:v>
      </x:c>
      <x:c r="E1081" t="str">
        <x:v>Kirana</x:v>
      </x:c>
      <x:c r="F1081" t="str">
        <x:v>Hubballi</x:v>
      </x:c>
      <x:c r="G1081" t="str">
        <x:v>Sneha</x:v>
      </x:c>
      <x:c r="H1081" t="str">
        <x:v>P021</x:v>
      </x:c>
      <x:c r="I1081" t="str">
        <x:v>Instant Coffee 200g</x:v>
      </x:c>
      <x:c r="J1081" t="str">
        <x:v>Beverage</x:v>
      </x:c>
      <x:c r="K1081" t="str">
        <x:v>Nescafe</x:v>
      </x:c>
      <x:c r="L1081" s="22" t="n">
        <x:v>460</x:v>
      </x:c>
      <x:c r="M1081" t="n">
        <x:v>24</x:v>
      </x:c>
      <x:c r="N1081" s="24" t="n">
        <x:v>0.02</x:v>
      </x:c>
      <x:c r="O1081" s="22" t="n">
        <x:f>L1081*M1081</x:f>
        <x:v>11040</x:v>
      </x:c>
      <x:c r="P1081" s="22" t="n">
        <x:f>O1081*(1-N1081)</x:f>
        <x:v>10819.199999999999</x:v>
      </x:c>
      <x:c r="Q1081" s="22" t="n">
        <x:v>410</x:v>
      </x:c>
      <x:c r="R1081" s="22" t="n">
        <x:f>Q1081*M1081</x:f>
        <x:v>9840</x:v>
      </x:c>
      <x:c r="S1081" s="22" t="n">
        <x:f>P1081-R1081</x:f>
        <x:v>979.1999999999989</x:v>
      </x:c>
      <x:c r="T1081" t="str">
        <x:v>Credit</x:v>
      </x:c>
      <x:c r="U1081" t="str">
        <x:v>Paid</x:v>
      </x:c>
      <x:c r="V1081" t="str">
        <x:v>Delayed</x:v>
      </x:c>
      <x:c r="W1081" t="n">
        <x:v>0</x:v>
      </x:c>
      <x:c r="X1081" t="str"/>
      <x:c r="Y1081" t="str">
        <x:v>WhatsApp</x:v>
      </x:c>
    </x:row>
    <x:row r="1082">
      <x:c r="A1082" t="str">
        <x:v>O001081</x:v>
      </x:c>
      <x:c r="B1082" s="20" t="n">
        <x:v>45672</x:v>
      </x:c>
      <x:c r="C1082" t="str">
        <x:v>C0230</x:v>
      </x:c>
      <x:c r="D1082" t="str">
        <x:v>Darshini Foods 230</x:v>
      </x:c>
      <x:c r="E1082" t="str">
        <x:v>Restaurant</x:v>
      </x:c>
      <x:c r="F1082" t="str">
        <x:v>Davanagere</x:v>
      </x:c>
      <x:c r="G1082" t="str">
        <x:v>Priya</x:v>
      </x:c>
      <x:c r="H1082" t="str">
        <x:v>P025</x:v>
      </x:c>
      <x:c r="I1082" t="str">
        <x:v>Potato Chips 100g</x:v>
      </x:c>
      <x:c r="J1082" t="str">
        <x:v>Snacks</x:v>
      </x:c>
      <x:c r="K1082" t="str">
        <x:v>Lay's</x:v>
      </x:c>
      <x:c r="L1082" s="22" t="n">
        <x:v>35</x:v>
      </x:c>
      <x:c r="M1082" t="n">
        <x:v>5</x:v>
      </x:c>
      <x:c r="N1082" s="24" t="n">
        <x:v>0.02</x:v>
      </x:c>
      <x:c r="O1082" s="22" t="n">
        <x:f>L1082*M1082</x:f>
        <x:v>175</x:v>
      </x:c>
      <x:c r="P1082" s="22" t="n">
        <x:f>O1082*(1-N1082)</x:f>
        <x:v>171.5</x:v>
      </x:c>
      <x:c r="Q1082" s="22" t="n">
        <x:v>27</x:v>
      </x:c>
      <x:c r="R1082" s="22" t="n">
        <x:f>Q1082*M1082</x:f>
        <x:v>135</x:v>
      </x:c>
      <x:c r="S1082" s="22" t="n">
        <x:f>P1082-R1082</x:f>
        <x:v>36.5</x:v>
      </x:c>
      <x:c r="T1082" t="str">
        <x:v>Cash</x:v>
      </x:c>
      <x:c r="U1082" t="str">
        <x:v>Paid</x:v>
      </x:c>
      <x:c r="V1082" t="str">
        <x:v>Delivered</x:v>
      </x:c>
      <x:c r="W1082" t="n">
        <x:v>0</x:v>
      </x:c>
      <x:c r="X1082" t="str"/>
      <x:c r="Y1082" t="str">
        <x:v>Outbound Call</x:v>
      </x:c>
    </x:row>
    <x:row r="1083">
      <x:c r="A1083" t="str">
        <x:v>O001082</x:v>
      </x:c>
      <x:c r="B1083" s="20" t="n">
        <x:v>46128</x:v>
      </x:c>
      <x:c r="C1083" t="str">
        <x:v>C0092</x:v>
      </x:c>
      <x:c r="D1083" t="str">
        <x:v>Cafe Restaurant 92</x:v>
      </x:c>
      <x:c r="E1083" t="str">
        <x:v>Canteen</x:v>
      </x:c>
      <x:c r="F1083" t="str">
        <x:v>Hubballi</x:v>
      </x:c>
      <x:c r="G1083" t="str">
        <x:v>Vikram</x:v>
      </x:c>
      <x:c r="H1083" t="str">
        <x:v>P032</x:v>
      </x:c>
      <x:c r="I1083" t="str">
        <x:v>Soy Sauce 700g</x:v>
      </x:c>
      <x:c r="J1083" t="str">
        <x:v>Condiments</x:v>
      </x:c>
      <x:c r="K1083" t="str">
        <x:v>Ching's</x:v>
      </x:c>
      <x:c r="L1083" s="22" t="n">
        <x:v>118</x:v>
      </x:c>
      <x:c r="M1083" t="n">
        <x:v>37</x:v>
      </x:c>
      <x:c r="N1083" s="24" t="n">
        <x:v>0.08</x:v>
      </x:c>
      <x:c r="O1083" s="22" t="n">
        <x:f>L1083*M1083</x:f>
        <x:v>4366</x:v>
      </x:c>
      <x:c r="P1083" s="22" t="n">
        <x:f>O1083*(1-N1083)</x:f>
        <x:v>4016.7200000000003</x:v>
      </x:c>
      <x:c r="Q1083" s="22" t="n">
        <x:v>101</x:v>
      </x:c>
      <x:c r="R1083" s="22" t="n">
        <x:f>Q1083*M1083</x:f>
        <x:v>3737</x:v>
      </x:c>
      <x:c r="S1083" s="22" t="n">
        <x:f>P1083-R1083</x:f>
        <x:v>279.72000000000025</x:v>
      </x:c>
      <x:c r="T1083" t="str">
        <x:v>UPI</x:v>
      </x:c>
      <x:c r="U1083" t="str">
        <x:v>Pending</x:v>
      </x:c>
      <x:c r="V1083" t="str">
        <x:v>Delayed</x:v>
      </x:c>
      <x:c r="W1083" t="n">
        <x:v>0</x:v>
      </x:c>
      <x:c r="X1083" t="str"/>
      <x:c r="Y1083" t="str">
        <x:v>Referral</x:v>
      </x:c>
    </x:row>
    <x:row r="1084">
      <x:c r="A1084" t="str">
        <x:v>O001083</x:v>
      </x:c>
      <x:c r="B1084" s="20" t="n">
        <x:v>45691</x:v>
      </x:c>
      <x:c r="C1084" t="str">
        <x:v>C0094</x:v>
      </x:c>
      <x:c r="D1084" t="str">
        <x:v>Mysore Mart 94</x:v>
      </x:c>
      <x:c r="E1084" t="str">
        <x:v>Restaurant</x:v>
      </x:c>
      <x:c r="F1084" t="str">
        <x:v>Hubballi</x:v>
      </x:c>
      <x:c r="G1084" t="str">
        <x:v>Sneha</x:v>
      </x:c>
      <x:c r="H1084" t="str">
        <x:v>P043</x:v>
      </x:c>
      <x:c r="I1084" t="str">
        <x:v>Chicken Breast 1kg</x:v>
      </x:c>
      <x:c r="J1084" t="str">
        <x:v>Protein</x:v>
      </x:c>
      <x:c r="K1084" t="str">
        <x:v>FreshToHome</x:v>
      </x:c>
      <x:c r="L1084" s="22" t="n">
        <x:v>260</x:v>
      </x:c>
      <x:c r="M1084" t="n">
        <x:v>26</x:v>
      </x:c>
      <x:c r="N1084" s="24" t="n">
        <x:v>0.05</x:v>
      </x:c>
      <x:c r="O1084" s="22" t="n">
        <x:f>L1084*M1084</x:f>
        <x:v>6760</x:v>
      </x:c>
      <x:c r="P1084" s="22" t="n">
        <x:f>O1084*(1-N1084)</x:f>
        <x:v>6422</x:v>
      </x:c>
      <x:c r="Q1084" s="22" t="n">
        <x:v>235</x:v>
      </x:c>
      <x:c r="R1084" s="22" t="n">
        <x:f>Q1084*M1084</x:f>
        <x:v>6110</x:v>
      </x:c>
      <x:c r="S1084" s="22" t="n">
        <x:f>P1084-R1084</x:f>
        <x:v>312</x:v>
      </x:c>
      <x:c r="T1084" t="str">
        <x:v>Cash</x:v>
      </x:c>
      <x:c r="U1084" t="str">
        <x:v>Paid</x:v>
      </x:c>
      <x:c r="V1084" t="str">
        <x:v>Delivered</x:v>
      </x:c>
      <x:c r="W1084" t="n">
        <x:v>0</x:v>
      </x:c>
      <x:c r="X1084" t="str"/>
      <x:c r="Y1084" t="str">
        <x:v>Existing Customer</x:v>
      </x:c>
    </x:row>
    <x:row r="1085">
      <x:c r="A1085" t="str">
        <x:v>O001084</x:v>
      </x:c>
      <x:c r="B1085" s="20" t="n">
        <x:v>45715</x:v>
      </x:c>
      <x:c r="C1085" t="str">
        <x:v>C0138</x:v>
      </x:c>
      <x:c r="D1085" t="str">
        <x:v>New Mart 138</x:v>
      </x:c>
      <x:c r="E1085" t="str">
        <x:v>Restaurant</x:v>
      </x:c>
      <x:c r="F1085" t="str">
        <x:v>Bengaluru</x:v>
      </x:c>
      <x:c r="G1085" t="str">
        <x:v>Ramesh</x:v>
      </x:c>
      <x:c r="H1085" t="str">
        <x:v>P006</x:v>
      </x:c>
      <x:c r="I1085" t="str">
        <x:v>Moong Dal 5kg</x:v>
      </x:c>
      <x:c r="J1085" t="str">
        <x:v>Pulses</x:v>
      </x:c>
      <x:c r="K1085" t="str">
        <x:v>Local Select</x:v>
      </x:c>
      <x:c r="L1085" s="22" t="n">
        <x:v>610</x:v>
      </x:c>
      <x:c r="M1085" t="n">
        <x:v>29</x:v>
      </x:c>
      <x:c r="N1085" s="24" t="n">
        <x:v>0.03</x:v>
      </x:c>
      <x:c r="O1085" s="22" t="n">
        <x:f>L1085*M1085</x:f>
        <x:v>17690</x:v>
      </x:c>
      <x:c r="P1085" s="22" t="n">
        <x:f>O1085*(1-N1085)</x:f>
        <x:v>17159.3</x:v>
      </x:c>
      <x:c r="Q1085" s="22" t="n">
        <x:v>540</x:v>
      </x:c>
      <x:c r="R1085" s="22" t="n">
        <x:f>Q1085*M1085</x:f>
        <x:v>15660</x:v>
      </x:c>
      <x:c r="S1085" s="22" t="n">
        <x:f>P1085-R1085</x:f>
        <x:v>1499.2999999999993</x:v>
      </x:c>
      <x:c r="T1085" t="str">
        <x:v>Bank Transfer</x:v>
      </x:c>
      <x:c r="U1085" t="str">
        <x:v>Paid</x:v>
      </x:c>
      <x:c r="V1085" t="str">
        <x:v>Cancelled</x:v>
      </x:c>
      <x:c r="W1085" t="n">
        <x:v>29</x:v>
      </x:c>
      <x:c r="X1085" t="str">
        <x:v>Cancelled Order</x:v>
      </x:c>
      <x:c r="Y1085" t="str">
        <x:v>Referral</x:v>
      </x:c>
    </x:row>
    <x:row r="1086">
      <x:c r="A1086" t="str">
        <x:v>O001085</x:v>
      </x:c>
      <x:c r="B1086" s="20" t="n">
        <x:v>45891</x:v>
      </x:c>
      <x:c r="C1086" t="str">
        <x:v>C0167</x:v>
      </x:c>
      <x:c r="D1086" t="str">
        <x:v>Foodie Canteen 167</x:v>
      </x:c>
      <x:c r="E1086" t="str">
        <x:v>Canteen</x:v>
      </x:c>
      <x:c r="F1086" t="str">
        <x:v>Bengaluru</x:v>
      </x:c>
      <x:c r="G1086" t="str">
        <x:v>Megha</x:v>
      </x:c>
      <x:c r="H1086" t="str">
        <x:v>P016</x:v>
      </x:c>
      <x:c r="I1086" t="str">
        <x:v>Curd 1kg</x:v>
      </x:c>
      <x:c r="J1086" t="str">
        <x:v>Dairy</x:v>
      </x:c>
      <x:c r="K1086" t="str">
        <x:v>Nandini</x:v>
      </x:c>
      <x:c r="L1086" s="22" t="n">
        <x:v>72</x:v>
      </x:c>
      <x:c r="M1086" t="n">
        <x:v>30</x:v>
      </x:c>
      <x:c r="N1086" s="24" t="n">
        <x:v>0</x:v>
      </x:c>
      <x:c r="O1086" s="22" t="n">
        <x:f>L1086*M1086</x:f>
        <x:v>2160</x:v>
      </x:c>
      <x:c r="P1086" s="22" t="n">
        <x:f>O1086*(1-N1086)</x:f>
        <x:v>2160</x:v>
      </x:c>
      <x:c r="Q1086" s="22" t="n">
        <x:v>64</x:v>
      </x:c>
      <x:c r="R1086" s="22" t="n">
        <x:f>Q1086*M1086</x:f>
        <x:v>1920</x:v>
      </x:c>
      <x:c r="S1086" s="22" t="n">
        <x:f>P1086-R1086</x:f>
        <x:v>240</x:v>
      </x:c>
      <x:c r="T1086" t="str">
        <x:v>Cash</x:v>
      </x:c>
      <x:c r="U1086" t="str">
        <x:v>Paid</x:v>
      </x:c>
      <x:c r="V1086" t="str">
        <x:v>Delivered</x:v>
      </x:c>
      <x:c r="W1086" t="n">
        <x:v>0</x:v>
      </x:c>
      <x:c r="X1086" t="str"/>
      <x:c r="Y1086" t="str">
        <x:v>Outbound Call</x:v>
      </x:c>
    </x:row>
    <x:row r="1087">
      <x:c r="A1087" t="str">
        <x:v>O001086</x:v>
      </x:c>
      <x:c r="B1087" s="20" t="n">
        <x:v>45968</x:v>
      </x:c>
      <x:c r="C1087" t="str">
        <x:v>C0034</x:v>
      </x:c>
      <x:c r="D1087" t="str">
        <x:v>City Restaurant 34</x:v>
      </x:c>
      <x:c r="E1087" t="str">
        <x:v>Restaurant</x:v>
      </x:c>
      <x:c r="F1087" t="str">
        <x:v>Mangaluru</x:v>
      </x:c>
      <x:c r="G1087" t="str">
        <x:v>Sneha</x:v>
      </x:c>
      <x:c r="H1087" t="str">
        <x:v>P034</x:v>
      </x:c>
      <x:c r="I1087" t="str">
        <x:v>Chilli Powder 1kg</x:v>
      </x:c>
      <x:c r="J1087" t="str">
        <x:v>Spices</x:v>
      </x:c>
      <x:c r="K1087" t="str">
        <x:v>MDH</x:v>
      </x:c>
      <x:c r="L1087" s="22" t="n">
        <x:v>340</x:v>
      </x:c>
      <x:c r="M1087" t="n">
        <x:v>4</x:v>
      </x:c>
      <x:c r="N1087" s="24" t="n">
        <x:v>0</x:v>
      </x:c>
      <x:c r="O1087" s="22" t="n">
        <x:f>L1087*M1087</x:f>
        <x:v>1360</x:v>
      </x:c>
      <x:c r="P1087" s="22" t="n">
        <x:f>O1087*(1-N1087)</x:f>
        <x:v>1360</x:v>
      </x:c>
      <x:c r="Q1087" s="22" t="n">
        <x:v>295</x:v>
      </x:c>
      <x:c r="R1087" s="22" t="n">
        <x:f>Q1087*M1087</x:f>
        <x:v>1180</x:v>
      </x:c>
      <x:c r="S1087" s="22" t="n">
        <x:f>P1087-R1087</x:f>
        <x:v>180</x:v>
      </x:c>
      <x:c r="T1087" t="str">
        <x:v>Bank Transfer</x:v>
      </x:c>
      <x:c r="U1087" t="str">
        <x:v>Paid</x:v>
      </x:c>
      <x:c r="V1087" t="str">
        <x:v>Delayed</x:v>
      </x:c>
      <x:c r="W1087" t="n">
        <x:v>0</x:v>
      </x:c>
      <x:c r="X1087" t="str"/>
      <x:c r="Y1087" t="str">
        <x:v>WhatsApp</x:v>
      </x:c>
    </x:row>
    <x:row r="1088">
      <x:c r="A1088" t="str">
        <x:v>O001087</x:v>
      </x:c>
      <x:c r="B1088" s="20" t="n">
        <x:v>45984</x:v>
      </x:c>
      <x:c r="C1088" t="str">
        <x:v>C0138</x:v>
      </x:c>
      <x:c r="D1088" t="str">
        <x:v>New Mart 138</x:v>
      </x:c>
      <x:c r="E1088" t="str">
        <x:v>Restaurant</x:v>
      </x:c>
      <x:c r="F1088" t="str">
        <x:v>Bengaluru</x:v>
      </x:c>
      <x:c r="G1088" t="str">
        <x:v>Ramesh</x:v>
      </x:c>
      <x:c r="H1088" t="str">
        <x:v>P004</x:v>
      </x:c>
      <x:c r="I1088" t="str">
        <x:v>Toor Dal 5kg</x:v>
      </x:c>
      <x:c r="J1088" t="str">
        <x:v>Pulses</x:v>
      </x:c>
      <x:c r="K1088" t="str">
        <x:v>Tata Sampann</x:v>
      </x:c>
      <x:c r="L1088" s="22" t="n">
        <x:v>780</x:v>
      </x:c>
      <x:c r="M1088" t="n">
        <x:v>5</x:v>
      </x:c>
      <x:c r="N1088" s="24" t="n">
        <x:v>0</x:v>
      </x:c>
      <x:c r="O1088" s="22" t="n">
        <x:f>L1088*M1088</x:f>
        <x:v>3900</x:v>
      </x:c>
      <x:c r="P1088" s="22" t="n">
        <x:f>O1088*(1-N1088)</x:f>
        <x:v>3900</x:v>
      </x:c>
      <x:c r="Q1088" s="22" t="n">
        <x:v>695</x:v>
      </x:c>
      <x:c r="R1088" s="22" t="n">
        <x:f>Q1088*M1088</x:f>
        <x:v>3475</x:v>
      </x:c>
      <x:c r="S1088" s="22" t="n">
        <x:f>P1088-R1088</x:f>
        <x:v>425</x:v>
      </x:c>
      <x:c r="T1088" t="str">
        <x:v>UPI</x:v>
      </x:c>
      <x:c r="U1088" t="str">
        <x:v>Paid</x:v>
      </x:c>
      <x:c r="V1088" t="str">
        <x:v>Delivered</x:v>
      </x:c>
      <x:c r="W1088" t="n">
        <x:v>0</x:v>
      </x:c>
      <x:c r="X1088" t="str"/>
      <x:c r="Y1088" t="str">
        <x:v>Existing Customer</x:v>
      </x:c>
    </x:row>
    <x:row r="1089">
      <x:c r="A1089" t="str">
        <x:v>O001088</x:v>
      </x:c>
      <x:c r="B1089" s="20" t="n">
        <x:v>45965</x:v>
      </x:c>
      <x:c r="C1089" t="str">
        <x:v>C0154</x:v>
      </x:c>
      <x:c r="D1089" t="str">
        <x:v>Royal Restaurant 154</x:v>
      </x:c>
      <x:c r="E1089" t="str">
        <x:v>Restaurant</x:v>
      </x:c>
      <x:c r="F1089" t="str">
        <x:v>Tumakuru</x:v>
      </x:c>
      <x:c r="G1089" t="str">
        <x:v>Kavya</x:v>
      </x:c>
      <x:c r="H1089" t="str">
        <x:v>P032</x:v>
      </x:c>
      <x:c r="I1089" t="str">
        <x:v>Soy Sauce 700g</x:v>
      </x:c>
      <x:c r="J1089" t="str">
        <x:v>Condiments</x:v>
      </x:c>
      <x:c r="K1089" t="str">
        <x:v>Ching's</x:v>
      </x:c>
      <x:c r="L1089" s="22" t="n">
        <x:v>118</x:v>
      </x:c>
      <x:c r="M1089" t="n">
        <x:v>37</x:v>
      </x:c>
      <x:c r="N1089" s="24" t="n">
        <x:v>0</x:v>
      </x:c>
      <x:c r="O1089" s="22" t="n">
        <x:f>L1089*M1089</x:f>
        <x:v>4366</x:v>
      </x:c>
      <x:c r="P1089" s="22" t="n">
        <x:f>O1089*(1-N1089)</x:f>
        <x:v>4366</x:v>
      </x:c>
      <x:c r="Q1089" s="22" t="n">
        <x:v>101</x:v>
      </x:c>
      <x:c r="R1089" s="22" t="n">
        <x:f>Q1089*M1089</x:f>
        <x:v>3737</x:v>
      </x:c>
      <x:c r="S1089" s="22" t="n">
        <x:f>P1089-R1089</x:f>
        <x:v>629</x:v>
      </x:c>
      <x:c r="T1089" t="str">
        <x:v>Credit</x:v>
      </x:c>
      <x:c r="U1089" t="str">
        <x:v>Pending</x:v>
      </x:c>
      <x:c r="V1089" t="str">
        <x:v>Delivered</x:v>
      </x:c>
      <x:c r="W1089" t="n">
        <x:v>0</x:v>
      </x:c>
      <x:c r="X1089" t="str"/>
      <x:c r="Y1089" t="str">
        <x:v>WhatsApp</x:v>
      </x:c>
    </x:row>
    <x:row r="1090">
      <x:c r="A1090" t="str">
        <x:v>O001089</x:v>
      </x:c>
      <x:c r="B1090" s="20" t="n">
        <x:v>46125</x:v>
      </x:c>
      <x:c r="C1090" t="str">
        <x:v>C0050</x:v>
      </x:c>
      <x:c r="D1090" t="str">
        <x:v>Green Stores 50</x:v>
      </x:c>
      <x:c r="E1090" t="str">
        <x:v>Restaurant</x:v>
      </x:c>
      <x:c r="F1090" t="str">
        <x:v>Davanagere</x:v>
      </x:c>
      <x:c r="G1090" t="str">
        <x:v>Vikram</x:v>
      </x:c>
      <x:c r="H1090" t="str">
        <x:v>P038</x:v>
      </x:c>
      <x:c r="I1090" t="str">
        <x:v>French Fries 2.5kg</x:v>
      </x:c>
      <x:c r="J1090" t="str">
        <x:v>Frozen</x:v>
      </x:c>
      <x:c r="K1090" t="str">
        <x:v>McCain</x:v>
      </x:c>
      <x:c r="L1090" s="22" t="n">
        <x:v>360</x:v>
      </x:c>
      <x:c r="M1090" t="n">
        <x:v>1</x:v>
      </x:c>
      <x:c r="N1090" s="24" t="n">
        <x:v>0.02</x:v>
      </x:c>
      <x:c r="O1090" s="22" t="n">
        <x:f>L1090*M1090</x:f>
        <x:v>360</x:v>
      </x:c>
      <x:c r="P1090" s="22" t="n">
        <x:f>O1090*(1-N1090)</x:f>
        <x:v>352.8</x:v>
      </x:c>
      <x:c r="Q1090" s="22" t="n">
        <x:v>315</x:v>
      </x:c>
      <x:c r="R1090" s="22" t="n">
        <x:f>Q1090*M1090</x:f>
        <x:v>315</x:v>
      </x:c>
      <x:c r="S1090" s="22" t="n">
        <x:f>P1090-R1090</x:f>
        <x:v>37.80000000000001</x:v>
      </x:c>
      <x:c r="T1090" t="str">
        <x:v>Credit</x:v>
      </x:c>
      <x:c r="U1090" t="str">
        <x:v>Paid</x:v>
      </x:c>
      <x:c r="V1090" t="str">
        <x:v>Delivered</x:v>
      </x:c>
      <x:c r="W1090" t="n">
        <x:v>0</x:v>
      </x:c>
      <x:c r="X1090" t="str"/>
      <x:c r="Y1090" t="str">
        <x:v>Field Visit</x:v>
      </x:c>
    </x:row>
    <x:row r="1091">
      <x:c r="A1091" t="str">
        <x:v>O001090</x:v>
      </x:c>
      <x:c r="B1091" s="20" t="n">
        <x:v>45964</x:v>
      </x:c>
      <x:c r="C1091" t="str">
        <x:v>C0132</x:v>
      </x:c>
      <x:c r="D1091" t="str">
        <x:v>Classic Stores 132</x:v>
      </x:c>
      <x:c r="E1091" t="str">
        <x:v>Cafe</x:v>
      </x:c>
      <x:c r="F1091" t="str">
        <x:v>Mysuru</x:v>
      </x:c>
      <x:c r="G1091" t="str">
        <x:v>Megha</x:v>
      </x:c>
      <x:c r="H1091" t="str">
        <x:v>P019</x:v>
      </x:c>
      <x:c r="I1091" t="str">
        <x:v>Tea 1kg</x:v>
      </x:c>
      <x:c r="J1091" t="str">
        <x:v>Beverage</x:v>
      </x:c>
      <x:c r="K1091" t="str">
        <x:v>Red Label</x:v>
      </x:c>
      <x:c r="L1091" s="22" t="n">
        <x:v>540</x:v>
      </x:c>
      <x:c r="M1091" t="n">
        <x:v>17</x:v>
      </x:c>
      <x:c r="N1091" s="24" t="n">
        <x:v>0.08</x:v>
      </x:c>
      <x:c r="O1091" s="22" t="n">
        <x:f>L1091*M1091</x:f>
        <x:v>9180</x:v>
      </x:c>
      <x:c r="P1091" s="22" t="n">
        <x:f>O1091*(1-N1091)</x:f>
        <x:v>8445.6</x:v>
      </x:c>
      <x:c r="Q1091" s="22" t="n">
        <x:v>485</x:v>
      </x:c>
      <x:c r="R1091" s="22" t="n">
        <x:f>Q1091*M1091</x:f>
        <x:v>8245</x:v>
      </x:c>
      <x:c r="S1091" s="22" t="n">
        <x:f>P1091-R1091</x:f>
        <x:v>200.60000000000036</x:v>
      </x:c>
      <x:c r="T1091" t="str">
        <x:v>Bank Transfer</x:v>
      </x:c>
      <x:c r="U1091" t="str">
        <x:v>Paid</x:v>
      </x:c>
      <x:c r="V1091" t="str">
        <x:v>Cancelled</x:v>
      </x:c>
      <x:c r="W1091" t="n">
        <x:v>17</x:v>
      </x:c>
      <x:c r="X1091" t="str">
        <x:v>Cancelled Order</x:v>
      </x:c>
      <x:c r="Y1091" t="str">
        <x:v>Existing Customer</x:v>
      </x:c>
    </x:row>
    <x:row r="1092">
      <x:c r="A1092" t="str">
        <x:v>O001091</x:v>
      </x:c>
      <x:c r="B1092" s="20" t="n">
        <x:v>45772</x:v>
      </x:c>
      <x:c r="C1092" t="str">
        <x:v>C0161</x:v>
      </x:c>
      <x:c r="D1092" t="str">
        <x:v>Hotel Kitchen 161</x:v>
      </x:c>
      <x:c r="E1092" t="str">
        <x:v>Supermarket</x:v>
      </x:c>
      <x:c r="F1092" t="str">
        <x:v>Mysuru</x:v>
      </x:c>
      <x:c r="G1092" t="str">
        <x:v>Sneha</x:v>
      </x:c>
      <x:c r="H1092" t="str">
        <x:v>P029</x:v>
      </x:c>
      <x:c r="I1092" t="str">
        <x:v>Tomato Ketchup 1kg</x:v>
      </x:c>
      <x:c r="J1092" t="str">
        <x:v>Condiments</x:v>
      </x:c>
      <x:c r="K1092" t="str">
        <x:v>Kissan</x:v>
      </x:c>
      <x:c r="L1092" s="22" t="n">
        <x:v>145</x:v>
      </x:c>
      <x:c r="M1092" t="n">
        <x:v>12</x:v>
      </x:c>
      <x:c r="N1092" s="24" t="n">
        <x:v>0.03</x:v>
      </x:c>
      <x:c r="O1092" s="22" t="n">
        <x:f>L1092*M1092</x:f>
        <x:v>1740</x:v>
      </x:c>
      <x:c r="P1092" s="22" t="n">
        <x:f>O1092*(1-N1092)</x:f>
        <x:v>1687.8</x:v>
      </x:c>
      <x:c r="Q1092" s="22" t="n">
        <x:v>126</x:v>
      </x:c>
      <x:c r="R1092" s="22" t="n">
        <x:f>Q1092*M1092</x:f>
        <x:v>1512</x:v>
      </x:c>
      <x:c r="S1092" s="22" t="n">
        <x:f>P1092-R1092</x:f>
        <x:v>175.79999999999995</x:v>
      </x:c>
      <x:c r="T1092" t="str">
        <x:v>Cash</x:v>
      </x:c>
      <x:c r="U1092" t="str">
        <x:v>Pending</x:v>
      </x:c>
      <x:c r="V1092" t="str">
        <x:v>Delayed</x:v>
      </x:c>
      <x:c r="W1092" t="n">
        <x:v>0</x:v>
      </x:c>
      <x:c r="X1092" t="str"/>
      <x:c r="Y1092" t="str">
        <x:v>WhatsApp</x:v>
      </x:c>
    </x:row>
    <x:row r="1093">
      <x:c r="A1093" t="str">
        <x:v>O001092</x:v>
      </x:c>
      <x:c r="B1093" s="20" t="n">
        <x:v>46100</x:v>
      </x:c>
      <x:c r="C1093" t="str">
        <x:v>C0046</x:v>
      </x:c>
      <x:c r="D1093" t="str">
        <x:v>Annapurna Foods 46</x:v>
      </x:c>
      <x:c r="E1093" t="str">
        <x:v>Kirana</x:v>
      </x:c>
      <x:c r="F1093" t="str">
        <x:v>Bengaluru</x:v>
      </x:c>
      <x:c r="G1093" t="str">
        <x:v>Ramesh</x:v>
      </x:c>
      <x:c r="H1093" t="str">
        <x:v>P005</x:v>
      </x:c>
      <x:c r="I1093" t="str">
        <x:v>Chana Dal 5kg</x:v>
      </x:c>
      <x:c r="J1093" t="str">
        <x:v>Pulses</x:v>
      </x:c>
      <x:c r="K1093" t="str">
        <x:v>Local Select</x:v>
      </x:c>
      <x:c r="L1093" s="22" t="n">
        <x:v>520</x:v>
      </x:c>
      <x:c r="M1093" t="n">
        <x:v>20</x:v>
      </x:c>
      <x:c r="N1093" s="24" t="n">
        <x:v>0</x:v>
      </x:c>
      <x:c r="O1093" s="22" t="n">
        <x:f>L1093*M1093</x:f>
        <x:v>10400</x:v>
      </x:c>
      <x:c r="P1093" s="22" t="n">
        <x:f>O1093*(1-N1093)</x:f>
        <x:v>10400</x:v>
      </x:c>
      <x:c r="Q1093" s="22" t="n">
        <x:v>455</x:v>
      </x:c>
      <x:c r="R1093" s="22" t="n">
        <x:f>Q1093*M1093</x:f>
        <x:v>9100</x:v>
      </x:c>
      <x:c r="S1093" s="22" t="n">
        <x:f>P1093-R1093</x:f>
        <x:v>1300</x:v>
      </x:c>
      <x:c r="T1093" t="str">
        <x:v>Credit</x:v>
      </x:c>
      <x:c r="U1093" t="str">
        <x:v>Paid</x:v>
      </x:c>
      <x:c r="V1093" t="str">
        <x:v>Cancelled</x:v>
      </x:c>
      <x:c r="W1093" t="n">
        <x:v>20</x:v>
      </x:c>
      <x:c r="X1093" t="str">
        <x:v>Cancelled Order</x:v>
      </x:c>
      <x:c r="Y1093" t="str">
        <x:v>Existing Customer</x:v>
      </x:c>
    </x:row>
    <x:row r="1094">
      <x:c r="A1094" t="str">
        <x:v>O001093</x:v>
      </x:c>
      <x:c r="B1094" s="20" t="n">
        <x:v>45769</x:v>
      </x:c>
      <x:c r="C1094" t="str">
        <x:v>C0050</x:v>
      </x:c>
      <x:c r="D1094" t="str">
        <x:v>Green Stores 50</x:v>
      </x:c>
      <x:c r="E1094" t="str">
        <x:v>Restaurant</x:v>
      </x:c>
      <x:c r="F1094" t="str">
        <x:v>Davanagere</x:v>
      </x:c>
      <x:c r="G1094" t="str">
        <x:v>Vikram</x:v>
      </x:c>
      <x:c r="H1094" t="str">
        <x:v>P050</x:v>
      </x:c>
      <x:c r="I1094" t="str">
        <x:v>Lemon 5kg</x:v>
      </x:c>
      <x:c r="J1094" t="str">
        <x:v>Fresh Produce</x:v>
      </x:c>
      <x:c r="K1094" t="str">
        <x:v>Local Market</x:v>
      </x:c>
      <x:c r="L1094" s="22" t="n">
        <x:v>360</x:v>
      </x:c>
      <x:c r="M1094" t="n">
        <x:v>15</x:v>
      </x:c>
      <x:c r="N1094" s="24" t="n">
        <x:v>0</x:v>
      </x:c>
      <x:c r="O1094" s="22" t="n">
        <x:f>L1094*M1094</x:f>
        <x:v>5400</x:v>
      </x:c>
      <x:c r="P1094" s="22" t="n">
        <x:f>O1094*(1-N1094)</x:f>
        <x:v>5400</x:v>
      </x:c>
      <x:c r="Q1094" s="22" t="n">
        <x:v>300</x:v>
      </x:c>
      <x:c r="R1094" s="22" t="n">
        <x:f>Q1094*M1094</x:f>
        <x:v>4500</x:v>
      </x:c>
      <x:c r="S1094" s="22" t="n">
        <x:f>P1094-R1094</x:f>
        <x:v>900</x:v>
      </x:c>
      <x:c r="T1094" t="str">
        <x:v>Cash</x:v>
      </x:c>
      <x:c r="U1094" t="str">
        <x:v>Paid</x:v>
      </x:c>
      <x:c r="V1094" t="str">
        <x:v>Delayed</x:v>
      </x:c>
      <x:c r="W1094" t="n">
        <x:v>0</x:v>
      </x:c>
      <x:c r="X1094" t="str"/>
      <x:c r="Y1094" t="str">
        <x:v>WhatsApp</x:v>
      </x:c>
    </x:row>
    <x:row r="1095">
      <x:c r="A1095" t="str">
        <x:v>O001094</x:v>
      </x:c>
      <x:c r="B1095" s="20" t="n">
        <x:v>45873</x:v>
      </x:c>
      <x:c r="C1095" t="str">
        <x:v>C0077</x:v>
      </x:c>
      <x:c r="D1095" t="str">
        <x:v>Spice Cafe 77</x:v>
      </x:c>
      <x:c r="E1095" t="str">
        <x:v>Kirana</x:v>
      </x:c>
      <x:c r="F1095" t="str">
        <x:v>Hubballi</x:v>
      </x:c>
      <x:c r="G1095" t="str">
        <x:v>Vikram</x:v>
      </x:c>
      <x:c r="H1095" t="str">
        <x:v>P040</x:v>
      </x:c>
      <x:c r="I1095" t="str">
        <x:v>Bread Loaf 400g</x:v>
      </x:c>
      <x:c r="J1095" t="str">
        <x:v>Bakery</x:v>
      </x:c>
      <x:c r="K1095" t="str">
        <x:v>Britannia</x:v>
      </x:c>
      <x:c r="L1095" s="22" t="n">
        <x:v>45</x:v>
      </x:c>
      <x:c r="M1095" t="n">
        <x:v>37</x:v>
      </x:c>
      <x:c r="N1095" s="24" t="n">
        <x:v>0.05</x:v>
      </x:c>
      <x:c r="O1095" s="22" t="n">
        <x:f>L1095*M1095</x:f>
        <x:v>1665</x:v>
      </x:c>
      <x:c r="P1095" s="22" t="n">
        <x:f>O1095*(1-N1095)</x:f>
        <x:v>1581.75</x:v>
      </x:c>
      <x:c r="Q1095" s="22" t="n">
        <x:v>35</x:v>
      </x:c>
      <x:c r="R1095" s="22" t="n">
        <x:f>Q1095*M1095</x:f>
        <x:v>1295</x:v>
      </x:c>
      <x:c r="S1095" s="22" t="n">
        <x:f>P1095-R1095</x:f>
        <x:v>286.75</x:v>
      </x:c>
      <x:c r="T1095" t="str">
        <x:v>Cash</x:v>
      </x:c>
      <x:c r="U1095" t="str">
        <x:v>Paid</x:v>
      </x:c>
      <x:c r="V1095" t="str">
        <x:v>Delivered</x:v>
      </x:c>
      <x:c r="W1095" t="n">
        <x:v>0</x:v>
      </x:c>
      <x:c r="X1095" t="str"/>
      <x:c r="Y1095" t="str">
        <x:v>Referral</x:v>
      </x:c>
    </x:row>
    <x:row r="1096">
      <x:c r="A1096" t="str">
        <x:v>O001095</x:v>
      </x:c>
      <x:c r="B1096" s="20" t="n">
        <x:v>46186</x:v>
      </x:c>
      <x:c r="C1096" t="str">
        <x:v>C0041</x:v>
      </x:c>
      <x:c r="D1096" t="str">
        <x:v>Grand Mart 41</x:v>
      </x:c>
      <x:c r="E1096" t="str">
        <x:v>Cafe</x:v>
      </x:c>
      <x:c r="F1096" t="str">
        <x:v>Bengaluru</x:v>
      </x:c>
      <x:c r="G1096" t="str">
        <x:v>Kavya</x:v>
      </x:c>
      <x:c r="H1096" t="str">
        <x:v>P021</x:v>
      </x:c>
      <x:c r="I1096" t="str">
        <x:v>Instant Coffee 200g</x:v>
      </x:c>
      <x:c r="J1096" t="str">
        <x:v>Beverage</x:v>
      </x:c>
      <x:c r="K1096" t="str">
        <x:v>Nescafe</x:v>
      </x:c>
      <x:c r="L1096" s="22" t="n">
        <x:v>460</x:v>
      </x:c>
      <x:c r="M1096" t="n">
        <x:v>31</x:v>
      </x:c>
      <x:c r="N1096" s="24" t="n">
        <x:v>0.05</x:v>
      </x:c>
      <x:c r="O1096" s="22" t="n">
        <x:f>L1096*M1096</x:f>
        <x:v>14260</x:v>
      </x:c>
      <x:c r="P1096" s="22" t="n">
        <x:f>O1096*(1-N1096)</x:f>
        <x:v>13547</x:v>
      </x:c>
      <x:c r="Q1096" s="22" t="n">
        <x:v>410</x:v>
      </x:c>
      <x:c r="R1096" s="22" t="n">
        <x:f>Q1096*M1096</x:f>
        <x:v>12710</x:v>
      </x:c>
      <x:c r="S1096" s="22" t="n">
        <x:f>P1096-R1096</x:f>
        <x:v>837</x:v>
      </x:c>
      <x:c r="T1096" t="str">
        <x:v>Credit</x:v>
      </x:c>
      <x:c r="U1096" t="str">
        <x:v>Pending</x:v>
      </x:c>
      <x:c r="V1096" t="str">
        <x:v>Delivered</x:v>
      </x:c>
      <x:c r="W1096" t="n">
        <x:v>0</x:v>
      </x:c>
      <x:c r="X1096" t="str"/>
      <x:c r="Y1096" t="str">
        <x:v>Field Visit</x:v>
      </x:c>
    </x:row>
    <x:row r="1097">
      <x:c r="A1097" t="str">
        <x:v>O001096</x:v>
      </x:c>
      <x:c r="B1097" s="20" t="n">
        <x:v>46037</x:v>
      </x:c>
      <x:c r="C1097" t="str">
        <x:v>C0220</x:v>
      </x:c>
      <x:c r="D1097" t="str">
        <x:v>Udupi Canteen 220</x:v>
      </x:c>
      <x:c r="E1097" t="str">
        <x:v>Restaurant</x:v>
      </x:c>
      <x:c r="F1097" t="str">
        <x:v>Bengaluru</x:v>
      </x:c>
      <x:c r="G1097" t="str">
        <x:v>Sneha</x:v>
      </x:c>
      <x:c r="H1097" t="str">
        <x:v>P020</x:v>
      </x:c>
      <x:c r="I1097" t="str">
        <x:v>Coffee 500g</x:v>
      </x:c>
      <x:c r="J1097" t="str">
        <x:v>Beverage</x:v>
      </x:c>
      <x:c r="K1097" t="str">
        <x:v>Bru</x:v>
      </x:c>
      <x:c r="L1097" s="22" t="n">
        <x:v>390</x:v>
      </x:c>
      <x:c r="M1097" t="n">
        <x:v>10</x:v>
      </x:c>
      <x:c r="N1097" s="24" t="n">
        <x:v>0.02</x:v>
      </x:c>
      <x:c r="O1097" s="22" t="n">
        <x:f>L1097*M1097</x:f>
        <x:v>3900</x:v>
      </x:c>
      <x:c r="P1097" s="22" t="n">
        <x:f>O1097*(1-N1097)</x:f>
        <x:v>3822</x:v>
      </x:c>
      <x:c r="Q1097" s="22" t="n">
        <x:v>350</x:v>
      </x:c>
      <x:c r="R1097" s="22" t="n">
        <x:f>Q1097*M1097</x:f>
        <x:v>3500</x:v>
      </x:c>
      <x:c r="S1097" s="22" t="n">
        <x:f>P1097-R1097</x:f>
        <x:v>322</x:v>
      </x:c>
      <x:c r="T1097" t="str">
        <x:v>Cash</x:v>
      </x:c>
      <x:c r="U1097" t="str">
        <x:v>Pending</x:v>
      </x:c>
      <x:c r="V1097" t="str">
        <x:v>Delivered</x:v>
      </x:c>
      <x:c r="W1097" t="n">
        <x:v>0</x:v>
      </x:c>
      <x:c r="X1097" t="str"/>
      <x:c r="Y1097" t="str">
        <x:v>WhatsApp</x:v>
      </x:c>
    </x:row>
    <x:row r="1098">
      <x:c r="A1098" t="str">
        <x:v>O001097</x:v>
      </x:c>
      <x:c r="B1098" s="20" t="n">
        <x:v>45663</x:v>
      </x:c>
      <x:c r="C1098" t="str">
        <x:v>C0196</x:v>
      </x:c>
      <x:c r="D1098" t="str">
        <x:v>Namma Mart 196</x:v>
      </x:c>
      <x:c r="E1098" t="str">
        <x:v>Cafe</x:v>
      </x:c>
      <x:c r="F1098" t="str">
        <x:v>Mangaluru</x:v>
      </x:c>
      <x:c r="G1098" t="str">
        <x:v>Kavya</x:v>
      </x:c>
      <x:c r="H1098" t="str">
        <x:v>P027</x:v>
      </x:c>
      <x:c r="I1098" t="str">
        <x:v>Biscuits 120g</x:v>
      </x:c>
      <x:c r="J1098" t="str">
        <x:v>Snacks</x:v>
      </x:c>
      <x:c r="K1098" t="str">
        <x:v>Parle-G</x:v>
      </x:c>
      <x:c r="L1098" s="22" t="n">
        <x:v>12</x:v>
      </x:c>
      <x:c r="M1098" t="n">
        <x:v>26</x:v>
      </x:c>
      <x:c r="N1098" s="24" t="n">
        <x:v>0</x:v>
      </x:c>
      <x:c r="O1098" s="22" t="n">
        <x:f>L1098*M1098</x:f>
        <x:v>312</x:v>
      </x:c>
      <x:c r="P1098" s="22" t="n">
        <x:f>O1098*(1-N1098)</x:f>
        <x:v>312</x:v>
      </x:c>
      <x:c r="Q1098" s="22" t="n">
        <x:v>9</x:v>
      </x:c>
      <x:c r="R1098" s="22" t="n">
        <x:f>Q1098*M1098</x:f>
        <x:v>234</x:v>
      </x:c>
      <x:c r="S1098" s="22" t="n">
        <x:f>P1098-R1098</x:f>
        <x:v>78</x:v>
      </x:c>
      <x:c r="T1098" t="str">
        <x:v>Credit</x:v>
      </x:c>
      <x:c r="U1098" t="str">
        <x:v>Paid</x:v>
      </x:c>
      <x:c r="V1098" t="str">
        <x:v>Delivered</x:v>
      </x:c>
      <x:c r="W1098" t="n">
        <x:v>0</x:v>
      </x:c>
      <x:c r="X1098" t="str"/>
      <x:c r="Y1098" t="str">
        <x:v>Field Visit</x:v>
      </x:c>
    </x:row>
    <x:row r="1099">
      <x:c r="A1099" t="str">
        <x:v>O001098</x:v>
      </x:c>
      <x:c r="B1099" s="20" t="n">
        <x:v>45871</x:v>
      </x:c>
      <x:c r="C1099" t="str">
        <x:v>C0181</x:v>
      </x:c>
      <x:c r="D1099" t="str">
        <x:v>Darshini Mart 181</x:v>
      </x:c>
      <x:c r="E1099" t="str">
        <x:v>Restaurant</x:v>
      </x:c>
      <x:c r="F1099" t="str">
        <x:v>Mangaluru</x:v>
      </x:c>
      <x:c r="G1099" t="str">
        <x:v>Kavya</x:v>
      </x:c>
      <x:c r="H1099" t="str">
        <x:v>P013</x:v>
      </x:c>
      <x:c r="I1099" t="str">
        <x:v>Atta 10kg</x:v>
      </x:c>
      <x:c r="J1099" t="str">
        <x:v>Flour</x:v>
      </x:c>
      <x:c r="K1099" t="str">
        <x:v>Aashirvaad</x:v>
      </x:c>
      <x:c r="L1099" s="22" t="n">
        <x:v>560</x:v>
      </x:c>
      <x:c r="M1099" t="n">
        <x:v>17</x:v>
      </x:c>
      <x:c r="N1099" s="24" t="n">
        <x:v>0.02</x:v>
      </x:c>
      <x:c r="O1099" s="22" t="n">
        <x:f>L1099*M1099</x:f>
        <x:v>9520</x:v>
      </x:c>
      <x:c r="P1099" s="22" t="n">
        <x:f>O1099*(1-N1099)</x:f>
        <x:v>9329.6</x:v>
      </x:c>
      <x:c r="Q1099" s="22" t="n">
        <x:v>495</x:v>
      </x:c>
      <x:c r="R1099" s="22" t="n">
        <x:f>Q1099*M1099</x:f>
        <x:v>8415</x:v>
      </x:c>
      <x:c r="S1099" s="22" t="n">
        <x:f>P1099-R1099</x:f>
        <x:v>914.6000000000004</x:v>
      </x:c>
      <x:c r="T1099" t="str">
        <x:v>Cash</x:v>
      </x:c>
      <x:c r="U1099" t="str">
        <x:v>Paid</x:v>
      </x:c>
      <x:c r="V1099" t="str">
        <x:v>Delivered</x:v>
      </x:c>
      <x:c r="W1099" t="n">
        <x:v>0</x:v>
      </x:c>
      <x:c r="X1099" t="str"/>
      <x:c r="Y1099" t="str">
        <x:v>Field Visit</x:v>
      </x:c>
    </x:row>
    <x:row r="1100">
      <x:c r="A1100" t="str">
        <x:v>O001099</x:v>
      </x:c>
      <x:c r="B1100" s="20" t="n">
        <x:v>45878</x:v>
      </x:c>
      <x:c r="C1100" t="str">
        <x:v>C0190</x:v>
      </x:c>
      <x:c r="D1100" t="str">
        <x:v>Shree Restaurant 190</x:v>
      </x:c>
      <x:c r="E1100" t="str">
        <x:v>Canteen</x:v>
      </x:c>
      <x:c r="F1100" t="str">
        <x:v>Bengaluru</x:v>
      </x:c>
      <x:c r="G1100" t="str">
        <x:v>Kavya</x:v>
      </x:c>
      <x:c r="H1100" t="str">
        <x:v>P013</x:v>
      </x:c>
      <x:c r="I1100" t="str">
        <x:v>Atta 10kg</x:v>
      </x:c>
      <x:c r="J1100" t="str">
        <x:v>Flour</x:v>
      </x:c>
      <x:c r="K1100" t="str">
        <x:v>Aashirvaad</x:v>
      </x:c>
      <x:c r="L1100" s="22" t="n">
        <x:v>560</x:v>
      </x:c>
      <x:c r="M1100" t="n">
        <x:v>40</x:v>
      </x:c>
      <x:c r="N1100" s="24" t="n">
        <x:v>0.03</x:v>
      </x:c>
      <x:c r="O1100" s="22" t="n">
        <x:f>L1100*M1100</x:f>
        <x:v>22400</x:v>
      </x:c>
      <x:c r="P1100" s="22" t="n">
        <x:f>O1100*(1-N1100)</x:f>
        <x:v>21728</x:v>
      </x:c>
      <x:c r="Q1100" s="22" t="n">
        <x:v>495</x:v>
      </x:c>
      <x:c r="R1100" s="22" t="n">
        <x:f>Q1100*M1100</x:f>
        <x:v>19800</x:v>
      </x:c>
      <x:c r="S1100" s="22" t="n">
        <x:f>P1100-R1100</x:f>
        <x:v>1928</x:v>
      </x:c>
      <x:c r="T1100" t="str">
        <x:v>Cash</x:v>
      </x:c>
      <x:c r="U1100" t="str">
        <x:v>Paid</x:v>
      </x:c>
      <x:c r="V1100" t="str">
        <x:v>Delivered</x:v>
      </x:c>
      <x:c r="W1100" t="n">
        <x:v>0</x:v>
      </x:c>
      <x:c r="X1100" t="str"/>
      <x:c r="Y1100" t="str">
        <x:v>WhatsApp</x:v>
      </x:c>
    </x:row>
    <x:row r="1101">
      <x:c r="A1101" t="str">
        <x:v>O001100</x:v>
      </x:c>
      <x:c r="B1101" s="20" t="n">
        <x:v>45705</x:v>
      </x:c>
      <x:c r="C1101" t="str">
        <x:v>C0152</x:v>
      </x:c>
      <x:c r="D1101" t="str">
        <x:v>Metro Stores 152</x:v>
      </x:c>
      <x:c r="E1101" t="str">
        <x:v>Cafe</x:v>
      </x:c>
      <x:c r="F1101" t="str">
        <x:v>Hubballi</x:v>
      </x:c>
      <x:c r="G1101" t="str">
        <x:v>Priya</x:v>
      </x:c>
      <x:c r="H1101" t="str">
        <x:v>P031</x:v>
      </x:c>
      <x:c r="I1101" t="str">
        <x:v>Chilli Sauce 700g</x:v>
      </x:c>
      <x:c r="J1101" t="str">
        <x:v>Condiments</x:v>
      </x:c>
      <x:c r="K1101" t="str">
        <x:v>Ching's</x:v>
      </x:c>
      <x:c r="L1101" s="22" t="n">
        <x:v>130</x:v>
      </x:c>
      <x:c r="M1101" t="n">
        <x:v>25</x:v>
      </x:c>
      <x:c r="N1101" s="24" t="n">
        <x:v>0.05</x:v>
      </x:c>
      <x:c r="O1101" s="22" t="n">
        <x:f>L1101*M1101</x:f>
        <x:v>3250</x:v>
      </x:c>
      <x:c r="P1101" s="22" t="n">
        <x:f>O1101*(1-N1101)</x:f>
        <x:v>3087.5</x:v>
      </x:c>
      <x:c r="Q1101" s="22" t="n">
        <x:v>112</x:v>
      </x:c>
      <x:c r="R1101" s="22" t="n">
        <x:f>Q1101*M1101</x:f>
        <x:v>2800</x:v>
      </x:c>
      <x:c r="S1101" s="22" t="n">
        <x:f>P1101-R1101</x:f>
        <x:v>287.5</x:v>
      </x:c>
      <x:c r="T1101" t="str">
        <x:v>Credit</x:v>
      </x:c>
      <x:c r="U1101" t="str">
        <x:v>Paid</x:v>
      </x:c>
      <x:c r="V1101" t="str">
        <x:v>Delayed</x:v>
      </x:c>
      <x:c r="W1101" t="n">
        <x:v>0</x:v>
      </x:c>
      <x:c r="X1101" t="str"/>
      <x:c r="Y1101" t="str">
        <x:v>Existing Customer</x:v>
      </x:c>
    </x:row>
    <x:row r="1102">
      <x:c r="A1102" t="str">
        <x:v>O001101</x:v>
      </x:c>
      <x:c r="B1102" s="20" t="n">
        <x:v>46008</x:v>
      </x:c>
      <x:c r="C1102" t="str">
        <x:v>C0026</x:v>
      </x:c>
      <x:c r="D1102" t="str">
        <x:v>Cafe Kitchen 26</x:v>
      </x:c>
      <x:c r="E1102" t="str">
        <x:v>Kirana</x:v>
      </x:c>
      <x:c r="F1102" t="str">
        <x:v>Davanagere</x:v>
      </x:c>
      <x:c r="G1102" t="str">
        <x:v>Kavya</x:v>
      </x:c>
      <x:c r="H1102" t="str">
        <x:v>P004</x:v>
      </x:c>
      <x:c r="I1102" t="str">
        <x:v>Toor Dal 5kg</x:v>
      </x:c>
      <x:c r="J1102" t="str">
        <x:v>Pulses</x:v>
      </x:c>
      <x:c r="K1102" t="str">
        <x:v>Tata Sampann</x:v>
      </x:c>
      <x:c r="L1102" s="22" t="n">
        <x:v>780</x:v>
      </x:c>
      <x:c r="M1102" t="n">
        <x:v>18</x:v>
      </x:c>
      <x:c r="N1102" s="24" t="n">
        <x:v>0.03</x:v>
      </x:c>
      <x:c r="O1102" s="22" t="n">
        <x:f>L1102*M1102</x:f>
        <x:v>14040</x:v>
      </x:c>
      <x:c r="P1102" s="22" t="n">
        <x:f>O1102*(1-N1102)</x:f>
        <x:v>13618.8</x:v>
      </x:c>
      <x:c r="Q1102" s="22" t="n">
        <x:v>695</x:v>
      </x:c>
      <x:c r="R1102" s="22" t="n">
        <x:f>Q1102*M1102</x:f>
        <x:v>12510</x:v>
      </x:c>
      <x:c r="S1102" s="22" t="n">
        <x:f>P1102-R1102</x:f>
        <x:v>1108.7999999999993</x:v>
      </x:c>
      <x:c r="T1102" t="str">
        <x:v>Credit</x:v>
      </x:c>
      <x:c r="U1102" t="str">
        <x:v>Overdue</x:v>
      </x:c>
      <x:c r="V1102" t="str">
        <x:v>Delivered</x:v>
      </x:c>
      <x:c r="W1102" t="n">
        <x:v>0</x:v>
      </x:c>
      <x:c r="X1102" t="str"/>
      <x:c r="Y1102" t="str">
        <x:v>Outbound Call</x:v>
      </x:c>
    </x:row>
    <x:row r="1103">
      <x:c r="A1103" t="str">
        <x:v>O001102</x:v>
      </x:c>
      <x:c r="B1103" s="20" t="n">
        <x:v>46081</x:v>
      </x:c>
      <x:c r="C1103" t="str">
        <x:v>C0199</x:v>
      </x:c>
      <x:c r="D1103" t="str">
        <x:v>Classic Cafe 199</x:v>
      </x:c>
      <x:c r="E1103" t="str">
        <x:v>Canteen</x:v>
      </x:c>
      <x:c r="F1103" t="str">
        <x:v>Mangaluru</x:v>
      </x:c>
      <x:c r="G1103" t="str">
        <x:v>Ramesh</x:v>
      </x:c>
      <x:c r="H1103" t="str">
        <x:v>P047</x:v>
      </x:c>
      <x:c r="I1103" t="str">
        <x:v>Tomato 25kg</x:v>
      </x:c>
      <x:c r="J1103" t="str">
        <x:v>Fresh Produce</x:v>
      </x:c>
      <x:c r="K1103" t="str">
        <x:v>Local Market</x:v>
      </x:c>
      <x:c r="L1103" s="22" t="n">
        <x:v>950</x:v>
      </x:c>
      <x:c r="M1103" t="n">
        <x:v>10</x:v>
      </x:c>
      <x:c r="N1103" s="24" t="n">
        <x:v>0.08</x:v>
      </x:c>
      <x:c r="O1103" s="22" t="n">
        <x:f>L1103*M1103</x:f>
        <x:v>9500</x:v>
      </x:c>
      <x:c r="P1103" s="22" t="n">
        <x:f>O1103*(1-N1103)</x:f>
        <x:v>8740</x:v>
      </x:c>
      <x:c r="Q1103" s="22" t="n">
        <x:v>810</x:v>
      </x:c>
      <x:c r="R1103" s="22" t="n">
        <x:f>Q1103*M1103</x:f>
        <x:v>8100</x:v>
      </x:c>
      <x:c r="S1103" s="22" t="n">
        <x:f>P1103-R1103</x:f>
        <x:v>640</x:v>
      </x:c>
      <x:c r="T1103" t="str">
        <x:v>Cash</x:v>
      </x:c>
      <x:c r="U1103" t="str">
        <x:v>Paid</x:v>
      </x:c>
      <x:c r="V1103" t="str">
        <x:v>Delayed</x:v>
      </x:c>
      <x:c r="W1103" t="n">
        <x:v>0</x:v>
      </x:c>
      <x:c r="X1103" t="str"/>
      <x:c r="Y1103" t="str">
        <x:v>Outbound Call</x:v>
      </x:c>
    </x:row>
    <x:row r="1104">
      <x:c r="A1104" t="str">
        <x:v>O001103</x:v>
      </x:c>
      <x:c r="B1104" s="20" t="n">
        <x:v>46217</x:v>
      </x:c>
      <x:c r="C1104" t="str">
        <x:v>C0084</x:v>
      </x:c>
      <x:c r="D1104" t="str">
        <x:v>Green Cafe 84</x:v>
      </x:c>
      <x:c r="E1104" t="str">
        <x:v>Hotel</x:v>
      </x:c>
      <x:c r="F1104" t="str">
        <x:v>Mysuru</x:v>
      </x:c>
      <x:c r="G1104" t="str">
        <x:v>Priya</x:v>
      </x:c>
      <x:c r="H1104" t="str">
        <x:v>P037</x:v>
      </x:c>
      <x:c r="I1104" t="str">
        <x:v>Frozen Peas 1kg</x:v>
      </x:c>
      <x:c r="J1104" t="str">
        <x:v>Frozen</x:v>
      </x:c>
      <x:c r="K1104" t="str">
        <x:v>Safal</x:v>
      </x:c>
      <x:c r="L1104" s="22" t="n">
        <x:v>155</x:v>
      </x:c>
      <x:c r="M1104" t="n">
        <x:v>17</x:v>
      </x:c>
      <x:c r="N1104" s="24" t="n">
        <x:v>0.03</x:v>
      </x:c>
      <x:c r="O1104" s="22" t="n">
        <x:f>L1104*M1104</x:f>
        <x:v>2635</x:v>
      </x:c>
      <x:c r="P1104" s="22" t="n">
        <x:f>O1104*(1-N1104)</x:f>
        <x:v>2555.95</x:v>
      </x:c>
      <x:c r="Q1104" s="22" t="n">
        <x:v>138</x:v>
      </x:c>
      <x:c r="R1104" s="22" t="n">
        <x:f>Q1104*M1104</x:f>
        <x:v>2346</x:v>
      </x:c>
      <x:c r="S1104" s="22" t="n">
        <x:f>P1104-R1104</x:f>
        <x:v>209.94999999999982</x:v>
      </x:c>
      <x:c r="T1104" t="str">
        <x:v>Cash</x:v>
      </x:c>
      <x:c r="U1104" t="str">
        <x:v>Paid</x:v>
      </x:c>
      <x:c r="V1104" t="str">
        <x:v>Delivered</x:v>
      </x:c>
      <x:c r="W1104" t="n">
        <x:v>0</x:v>
      </x:c>
      <x:c r="X1104" t="str"/>
      <x:c r="Y1104" t="str">
        <x:v>Outbound Call</x:v>
      </x:c>
    </x:row>
    <x:row r="1105">
      <x:c r="A1105" t="str">
        <x:v>O001104</x:v>
      </x:c>
      <x:c r="B1105" s="20" t="n">
        <x:v>45979</x:v>
      </x:c>
      <x:c r="C1105" t="str">
        <x:v>C0180</x:v>
      </x:c>
      <x:c r="D1105" t="str">
        <x:v>Sri Kitchen 180</x:v>
      </x:c>
      <x:c r="E1105" t="str">
        <x:v>Kirana</x:v>
      </x:c>
      <x:c r="F1105" t="str">
        <x:v>Mysuru</x:v>
      </x:c>
      <x:c r="G1105" t="str">
        <x:v>Vikram</x:v>
      </x:c>
      <x:c r="H1105" t="str">
        <x:v>P046</x:v>
      </x:c>
      <x:c r="I1105" t="str">
        <x:v>Potato 25kg</x:v>
      </x:c>
      <x:c r="J1105" t="str">
        <x:v>Fresh Produce</x:v>
      </x:c>
      <x:c r="K1105" t="str">
        <x:v>Local Market</x:v>
      </x:c>
      <x:c r="L1105" s="22" t="n">
        <x:v>700</x:v>
      </x:c>
      <x:c r="M1105" t="n">
        <x:v>24</x:v>
      </x:c>
      <x:c r="N1105" s="24" t="n">
        <x:v>0.08</x:v>
      </x:c>
      <x:c r="O1105" s="22" t="n">
        <x:f>L1105*M1105</x:f>
        <x:v>16800</x:v>
      </x:c>
      <x:c r="P1105" s="22" t="n">
        <x:f>O1105*(1-N1105)</x:f>
        <x:v>15456</x:v>
      </x:c>
      <x:c r="Q1105" s="22" t="n">
        <x:v>610</x:v>
      </x:c>
      <x:c r="R1105" s="22" t="n">
        <x:f>Q1105*M1105</x:f>
        <x:v>14640</x:v>
      </x:c>
      <x:c r="S1105" s="22" t="n">
        <x:f>P1105-R1105</x:f>
        <x:v>816</x:v>
      </x:c>
      <x:c r="T1105" t="str">
        <x:v>Credit</x:v>
      </x:c>
      <x:c r="U1105" t="str">
        <x:v>Pending</x:v>
      </x:c>
      <x:c r="V1105" t="str">
        <x:v>Delivered</x:v>
      </x:c>
      <x:c r="W1105" t="n">
        <x:v>0</x:v>
      </x:c>
      <x:c r="X1105" t="str"/>
      <x:c r="Y1105" t="str">
        <x:v>WhatsApp</x:v>
      </x:c>
    </x:row>
    <x:row r="1106">
      <x:c r="A1106" t="str">
        <x:v>O001105</x:v>
      </x:c>
      <x:c r="B1106" s="20" t="n">
        <x:v>45861</x:v>
      </x:c>
      <x:c r="C1106" t="str">
        <x:v>C0093</x:v>
      </x:c>
      <x:c r="D1106" t="str">
        <x:v>Sagar Hotel 93</x:v>
      </x:c>
      <x:c r="E1106" t="str">
        <x:v>Hotel</x:v>
      </x:c>
      <x:c r="F1106" t="str">
        <x:v>Hubballi</x:v>
      </x:c>
      <x:c r="G1106" t="str">
        <x:v>Imran</x:v>
      </x:c>
      <x:c r="H1106" t="str">
        <x:v>P022</x:v>
      </x:c>
      <x:c r="I1106" t="str">
        <x:v>Mineral Water 1L</x:v>
      </x:c>
      <x:c r="J1106" t="str">
        <x:v>Beverage</x:v>
      </x:c>
      <x:c r="K1106" t="str">
        <x:v>Bisleri</x:v>
      </x:c>
      <x:c r="L1106" s="22" t="n">
        <x:v>19</x:v>
      </x:c>
      <x:c r="M1106" t="n">
        <x:v>17</x:v>
      </x:c>
      <x:c r="N1106" s="24" t="n">
        <x:v>0.02</x:v>
      </x:c>
      <x:c r="O1106" s="22" t="n">
        <x:f>L1106*M1106</x:f>
        <x:v>323</x:v>
      </x:c>
      <x:c r="P1106" s="22" t="n">
        <x:f>O1106*(1-N1106)</x:f>
        <x:v>316.54</x:v>
      </x:c>
      <x:c r="Q1106" s="22" t="n">
        <x:v>15</x:v>
      </x:c>
      <x:c r="R1106" s="22" t="n">
        <x:f>Q1106*M1106</x:f>
        <x:v>255</x:v>
      </x:c>
      <x:c r="S1106" s="22" t="n">
        <x:f>P1106-R1106</x:f>
        <x:v>61.54000000000002</x:v>
      </x:c>
      <x:c r="T1106" t="str">
        <x:v>UPI</x:v>
      </x:c>
      <x:c r="U1106" t="str">
        <x:v>Paid</x:v>
      </x:c>
      <x:c r="V1106" t="str">
        <x:v>Cancelled</x:v>
      </x:c>
      <x:c r="W1106" t="n">
        <x:v>17</x:v>
      </x:c>
      <x:c r="X1106" t="str">
        <x:v>Cancelled Order</x:v>
      </x:c>
      <x:c r="Y1106" t="str">
        <x:v>WhatsApp</x:v>
      </x:c>
    </x:row>
    <x:row r="1107">
      <x:c r="A1107" t="str">
        <x:v>O001106</x:v>
      </x:c>
      <x:c r="B1107" s="20" t="n">
        <x:v>45707</x:v>
      </x:c>
      <x:c r="C1107" t="str">
        <x:v>C0207</x:v>
      </x:c>
      <x:c r="D1107" t="str">
        <x:v>Hotel Stores 207</x:v>
      </x:c>
      <x:c r="E1107" t="str">
        <x:v>Restaurant</x:v>
      </x:c>
      <x:c r="F1107" t="str">
        <x:v>Hubballi</x:v>
      </x:c>
      <x:c r="G1107" t="str">
        <x:v>Ramesh</x:v>
      </x:c>
      <x:c r="H1107" t="str">
        <x:v>P032</x:v>
      </x:c>
      <x:c r="I1107" t="str">
        <x:v>Soy Sauce 700g</x:v>
      </x:c>
      <x:c r="J1107" t="str">
        <x:v>Condiments</x:v>
      </x:c>
      <x:c r="K1107" t="str">
        <x:v>Ching's</x:v>
      </x:c>
      <x:c r="L1107" s="22" t="n">
        <x:v>118</x:v>
      </x:c>
      <x:c r="M1107" t="n">
        <x:v>34</x:v>
      </x:c>
      <x:c r="N1107" s="24" t="n">
        <x:v>0</x:v>
      </x:c>
      <x:c r="O1107" s="22" t="n">
        <x:f>L1107*M1107</x:f>
        <x:v>4012</x:v>
      </x:c>
      <x:c r="P1107" s="22" t="n">
        <x:f>O1107*(1-N1107)</x:f>
        <x:v>4012</x:v>
      </x:c>
      <x:c r="Q1107" s="22" t="n">
        <x:v>101</x:v>
      </x:c>
      <x:c r="R1107" s="22" t="n">
        <x:f>Q1107*M1107</x:f>
        <x:v>3434</x:v>
      </x:c>
      <x:c r="S1107" s="22" t="n">
        <x:f>P1107-R1107</x:f>
        <x:v>578</x:v>
      </x:c>
      <x:c r="T1107" t="str">
        <x:v>Cash</x:v>
      </x:c>
      <x:c r="U1107" t="str">
        <x:v>Paid</x:v>
      </x:c>
      <x:c r="V1107" t="str">
        <x:v>Delivered</x:v>
      </x:c>
      <x:c r="W1107" t="n">
        <x:v>0</x:v>
      </x:c>
      <x:c r="X1107" t="str"/>
      <x:c r="Y1107" t="str">
        <x:v>Existing Customer</x:v>
      </x:c>
    </x:row>
    <x:row r="1108">
      <x:c r="A1108" t="str">
        <x:v>O001107</x:v>
      </x:c>
      <x:c r="B1108" s="20" t="n">
        <x:v>46161</x:v>
      </x:c>
      <x:c r="C1108" t="str">
        <x:v>C0084</x:v>
      </x:c>
      <x:c r="D1108" t="str">
        <x:v>Green Cafe 84</x:v>
      </x:c>
      <x:c r="E1108" t="str">
        <x:v>Hotel</x:v>
      </x:c>
      <x:c r="F1108" t="str">
        <x:v>Mysuru</x:v>
      </x:c>
      <x:c r="G1108" t="str">
        <x:v>Priya</x:v>
      </x:c>
      <x:c r="H1108" t="str">
        <x:v>P035</x:v>
      </x:c>
      <x:c r="I1108" t="str">
        <x:v>Coriander Powder 1kg</x:v>
      </x:c>
      <x:c r="J1108" t="str">
        <x:v>Spices</x:v>
      </x:c>
      <x:c r="K1108" t="str">
        <x:v>Everest</x:v>
      </x:c>
      <x:c r="L1108" s="22" t="n">
        <x:v>280</x:v>
      </x:c>
      <x:c r="M1108" t="n">
        <x:v>19</x:v>
      </x:c>
      <x:c r="N1108" s="24" t="n">
        <x:v>0.03</x:v>
      </x:c>
      <x:c r="O1108" s="22" t="n">
        <x:f>L1108*M1108</x:f>
        <x:v>5320</x:v>
      </x:c>
      <x:c r="P1108" s="22" t="n">
        <x:f>O1108*(1-N1108)</x:f>
        <x:v>5160.4</x:v>
      </x:c>
      <x:c r="Q1108" s="22" t="n">
        <x:v>245</x:v>
      </x:c>
      <x:c r="R1108" s="22" t="n">
        <x:f>Q1108*M1108</x:f>
        <x:v>4655</x:v>
      </x:c>
      <x:c r="S1108" s="22" t="n">
        <x:f>P1108-R1108</x:f>
        <x:v>505.39999999999964</x:v>
      </x:c>
      <x:c r="T1108" t="str">
        <x:v>UPI</x:v>
      </x:c>
      <x:c r="U1108" t="str">
        <x:v>Pending</x:v>
      </x:c>
      <x:c r="V1108" t="str">
        <x:v>Delayed</x:v>
      </x:c>
      <x:c r="W1108" t="n">
        <x:v>0</x:v>
      </x:c>
      <x:c r="X1108" t="str"/>
      <x:c r="Y1108" t="str">
        <x:v>Outbound Call</x:v>
      </x:c>
    </x:row>
    <x:row r="1109">
      <x:c r="A1109" t="str">
        <x:v>O001108</x:v>
      </x:c>
      <x:c r="B1109" s="20" t="n">
        <x:v>46202</x:v>
      </x:c>
      <x:c r="C1109" t="str">
        <x:v>C0200</x:v>
      </x:c>
      <x:c r="D1109" t="str">
        <x:v>Sagar Kitchen 200</x:v>
      </x:c>
      <x:c r="E1109" t="str">
        <x:v>Cafe</x:v>
      </x:c>
      <x:c r="F1109" t="str">
        <x:v>Bengaluru</x:v>
      </x:c>
      <x:c r="G1109" t="str">
        <x:v>Arjun</x:v>
      </x:c>
      <x:c r="H1109" t="str">
        <x:v>P008</x:v>
      </x:c>
      <x:c r="I1109" t="str">
        <x:v>Palm Oil 15L</x:v>
      </x:c>
      <x:c r="J1109" t="str">
        <x:v>Edible Oil</x:v>
      </x:c>
      <x:c r="K1109" t="str">
        <x:v>Ruchi Gold</x:v>
      </x:c>
      <x:c r="L1109" s="22" t="n">
        <x:v>1760</x:v>
      </x:c>
      <x:c r="M1109" t="n">
        <x:v>9</x:v>
      </x:c>
      <x:c r="N1109" s="24" t="n">
        <x:v>0.05</x:v>
      </x:c>
      <x:c r="O1109" s="22" t="n">
        <x:f>L1109*M1109</x:f>
        <x:v>15840</x:v>
      </x:c>
      <x:c r="P1109" s="22" t="n">
        <x:f>O1109*(1-N1109)</x:f>
        <x:v>15048</x:v>
      </x:c>
      <x:c r="Q1109" s="22" t="n">
        <x:v>1610</x:v>
      </x:c>
      <x:c r="R1109" s="22" t="n">
        <x:f>Q1109*M1109</x:f>
        <x:v>14490</x:v>
      </x:c>
      <x:c r="S1109" s="22" t="n">
        <x:f>P1109-R1109</x:f>
        <x:v>558</x:v>
      </x:c>
      <x:c r="T1109" t="str">
        <x:v>UPI</x:v>
      </x:c>
      <x:c r="U1109" t="str">
        <x:v>Paid</x:v>
      </x:c>
      <x:c r="V1109" t="str">
        <x:v>Delivered</x:v>
      </x:c>
      <x:c r="W1109" t="n">
        <x:v>0</x:v>
      </x:c>
      <x:c r="X1109" t="str"/>
      <x:c r="Y1109" t="str">
        <x:v>Referral</x:v>
      </x:c>
    </x:row>
    <x:row r="1110">
      <x:c r="A1110" t="str">
        <x:v>O001109</x:v>
      </x:c>
      <x:c r="B1110" s="20" t="n">
        <x:v>46099</x:v>
      </x:c>
      <x:c r="C1110" t="str">
        <x:v>C0197</x:v>
      </x:c>
      <x:c r="D1110" t="str">
        <x:v>New Foods 197</x:v>
      </x:c>
      <x:c r="E1110" t="str">
        <x:v>Cafe</x:v>
      </x:c>
      <x:c r="F1110" t="str">
        <x:v>Hubballi</x:v>
      </x:c>
      <x:c r="G1110" t="str">
        <x:v>Kavya</x:v>
      </x:c>
      <x:c r="H1110" t="str">
        <x:v>P044</x:v>
      </x:c>
      <x:c r="I1110" t="str">
        <x:v>Chicken Curry Cut 1kg</x:v>
      </x:c>
      <x:c r="J1110" t="str">
        <x:v>Protein</x:v>
      </x:c>
      <x:c r="K1110" t="str">
        <x:v>FreshToHome</x:v>
      </x:c>
      <x:c r="L1110" s="22" t="n">
        <x:v>230</x:v>
      </x:c>
      <x:c r="M1110" t="n">
        <x:v>18</x:v>
      </x:c>
      <x:c r="N1110" s="24" t="n">
        <x:v>0.03</x:v>
      </x:c>
      <x:c r="O1110" s="22" t="n">
        <x:f>L1110*M1110</x:f>
        <x:v>4140</x:v>
      </x:c>
      <x:c r="P1110" s="22" t="n">
        <x:f>O1110*(1-N1110)</x:f>
        <x:v>4015.7999999999997</x:v>
      </x:c>
      <x:c r="Q1110" s="22" t="n">
        <x:v>205</x:v>
      </x:c>
      <x:c r="R1110" s="22" t="n">
        <x:f>Q1110*M1110</x:f>
        <x:v>3690</x:v>
      </x:c>
      <x:c r="S1110" s="22" t="n">
        <x:f>P1110-R1110</x:f>
        <x:v>325.7999999999997</x:v>
      </x:c>
      <x:c r="T1110" t="str">
        <x:v>Bank Transfer</x:v>
      </x:c>
      <x:c r="U1110" t="str">
        <x:v>Paid</x:v>
      </x:c>
      <x:c r="V1110" t="str">
        <x:v>Delivered</x:v>
      </x:c>
      <x:c r="W1110" t="n">
        <x:v>0</x:v>
      </x:c>
      <x:c r="X1110" t="str"/>
      <x:c r="Y1110" t="str">
        <x:v>Existing Customer</x:v>
      </x:c>
    </x:row>
    <x:row r="1111">
      <x:c r="A1111" t="str">
        <x:v>O001110</x:v>
      </x:c>
      <x:c r="B1111" s="20" t="n">
        <x:v>46100</x:v>
      </x:c>
      <x:c r="C1111" t="str">
        <x:v>C0136</x:v>
      </x:c>
      <x:c r="D1111" t="str">
        <x:v>Royal Cafe 136</x:v>
      </x:c>
      <x:c r="E1111" t="str">
        <x:v>Hotel</x:v>
      </x:c>
      <x:c r="F1111" t="str">
        <x:v>Tumakuru</x:v>
      </x:c>
      <x:c r="G1111" t="str">
        <x:v>Kavya</x:v>
      </x:c>
      <x:c r="H1111" t="str">
        <x:v>P050</x:v>
      </x:c>
      <x:c r="I1111" t="str">
        <x:v>Lemon 5kg</x:v>
      </x:c>
      <x:c r="J1111" t="str">
        <x:v>Fresh Produce</x:v>
      </x:c>
      <x:c r="K1111" t="str">
        <x:v>Local Market</x:v>
      </x:c>
      <x:c r="L1111" s="22" t="n">
        <x:v>360</x:v>
      </x:c>
      <x:c r="M1111" t="n">
        <x:v>2</x:v>
      </x:c>
      <x:c r="N1111" s="24" t="n">
        <x:v>0.03</x:v>
      </x:c>
      <x:c r="O1111" s="22" t="n">
        <x:f>L1111*M1111</x:f>
        <x:v>720</x:v>
      </x:c>
      <x:c r="P1111" s="22" t="n">
        <x:f>O1111*(1-N1111)</x:f>
        <x:v>698.4</x:v>
      </x:c>
      <x:c r="Q1111" s="22" t="n">
        <x:v>300</x:v>
      </x:c>
      <x:c r="R1111" s="22" t="n">
        <x:f>Q1111*M1111</x:f>
        <x:v>600</x:v>
      </x:c>
      <x:c r="S1111" s="22" t="n">
        <x:f>P1111-R1111</x:f>
        <x:v>98.39999999999998</x:v>
      </x:c>
      <x:c r="T1111" t="str">
        <x:v>Cash</x:v>
      </x:c>
      <x:c r="U1111" t="str">
        <x:v>Paid</x:v>
      </x:c>
      <x:c r="V1111" t="str">
        <x:v>Delivered</x:v>
      </x:c>
      <x:c r="W1111" t="n">
        <x:v>1</x:v>
      </x:c>
      <x:c r="X1111" t="str">
        <x:v>Quality Issue</x:v>
      </x:c>
      <x:c r="Y1111" t="str">
        <x:v>WhatsApp</x:v>
      </x:c>
    </x:row>
    <x:row r="1112">
      <x:c r="A1112" t="str">
        <x:v>O001111</x:v>
      </x:c>
      <x:c r="B1112" s="20" t="n">
        <x:v>46256</x:v>
      </x:c>
      <x:c r="C1112" t="str">
        <x:v>C0220</x:v>
      </x:c>
      <x:c r="D1112" t="str">
        <x:v>Udupi Canteen 220</x:v>
      </x:c>
      <x:c r="E1112" t="str">
        <x:v>Restaurant</x:v>
      </x:c>
      <x:c r="F1112" t="str">
        <x:v>Bengaluru</x:v>
      </x:c>
      <x:c r="G1112" t="str">
        <x:v>Sneha</x:v>
      </x:c>
      <x:c r="H1112" t="str">
        <x:v>P015</x:v>
      </x:c>
      <x:c r="I1112" t="str">
        <x:v>Milk 1L</x:v>
      </x:c>
      <x:c r="J1112" t="str">
        <x:v>Dairy</x:v>
      </x:c>
      <x:c r="K1112" t="str">
        <x:v>Nandini</x:v>
      </x:c>
      <x:c r="L1112" s="22" t="n">
        <x:v>48</x:v>
      </x:c>
      <x:c r="M1112" t="n">
        <x:v>21</x:v>
      </x:c>
      <x:c r="N1112" s="24" t="n">
        <x:v>0.03</x:v>
      </x:c>
      <x:c r="O1112" s="22" t="n">
        <x:f>L1112*M1112</x:f>
        <x:v>1008</x:v>
      </x:c>
      <x:c r="P1112" s="22" t="n">
        <x:f>O1112*(1-N1112)</x:f>
        <x:v>977.76</x:v>
      </x:c>
      <x:c r="Q1112" s="22" t="n">
        <x:v>43</x:v>
      </x:c>
      <x:c r="R1112" s="22" t="n">
        <x:f>Q1112*M1112</x:f>
        <x:v>903</x:v>
      </x:c>
      <x:c r="S1112" s="22" t="n">
        <x:f>P1112-R1112</x:f>
        <x:v>74.75999999999999</x:v>
      </x:c>
      <x:c r="T1112" t="str">
        <x:v>Bank Transfer</x:v>
      </x:c>
      <x:c r="U1112" t="str">
        <x:v>Pending</x:v>
      </x:c>
      <x:c r="V1112" t="str">
        <x:v>Delayed</x:v>
      </x:c>
      <x:c r="W1112" t="n">
        <x:v>0</x:v>
      </x:c>
      <x:c r="X1112" t="str"/>
      <x:c r="Y1112" t="str">
        <x:v>Field Visit</x:v>
      </x:c>
    </x:row>
    <x:row r="1113">
      <x:c r="A1113" t="str">
        <x:v>O001112</x:v>
      </x:c>
      <x:c r="B1113" s="20" t="n">
        <x:v>45814</x:v>
      </x:c>
      <x:c r="C1113" t="str">
        <x:v>C0184</x:v>
      </x:c>
      <x:c r="D1113" t="str">
        <x:v>Namma Restaurant 184</x:v>
      </x:c>
      <x:c r="E1113" t="str">
        <x:v>Cafe</x:v>
      </x:c>
      <x:c r="F1113" t="str">
        <x:v>Hubballi</x:v>
      </x:c>
      <x:c r="G1113" t="str">
        <x:v>Arjun</x:v>
      </x:c>
      <x:c r="H1113" t="str">
        <x:v>P037</x:v>
      </x:c>
      <x:c r="I1113" t="str">
        <x:v>Frozen Peas 1kg</x:v>
      </x:c>
      <x:c r="J1113" t="str">
        <x:v>Frozen</x:v>
      </x:c>
      <x:c r="K1113" t="str">
        <x:v>Safal</x:v>
      </x:c>
      <x:c r="L1113" s="22" t="n">
        <x:v>155</x:v>
      </x:c>
      <x:c r="M1113" t="n">
        <x:v>13</x:v>
      </x:c>
      <x:c r="N1113" s="24" t="n">
        <x:v>0.05</x:v>
      </x:c>
      <x:c r="O1113" s="22" t="n">
        <x:f>L1113*M1113</x:f>
        <x:v>2015</x:v>
      </x:c>
      <x:c r="P1113" s="22" t="n">
        <x:f>O1113*(1-N1113)</x:f>
        <x:v>1914.25</x:v>
      </x:c>
      <x:c r="Q1113" s="22" t="n">
        <x:v>138</x:v>
      </x:c>
      <x:c r="R1113" s="22" t="n">
        <x:f>Q1113*M1113</x:f>
        <x:v>1794</x:v>
      </x:c>
      <x:c r="S1113" s="22" t="n">
        <x:f>P1113-R1113</x:f>
        <x:v>120.25</x:v>
      </x:c>
      <x:c r="T1113" t="str">
        <x:v>Bank Transfer</x:v>
      </x:c>
      <x:c r="U1113" t="str">
        <x:v>Paid</x:v>
      </x:c>
      <x:c r="V1113" t="str">
        <x:v>Delivered</x:v>
      </x:c>
      <x:c r="W1113" t="n">
        <x:v>1</x:v>
      </x:c>
      <x:c r="X1113" t="str">
        <x:v>Wrong Item</x:v>
      </x:c>
      <x:c r="Y1113" t="str">
        <x:v>Existing Customer</x:v>
      </x:c>
    </x:row>
    <x:row r="1114">
      <x:c r="A1114" t="str">
        <x:v>O001113</x:v>
      </x:c>
      <x:c r="B1114" s="20" t="n">
        <x:v>45980</x:v>
      </x:c>
      <x:c r="C1114" t="str">
        <x:v>C0018</x:v>
      </x:c>
      <x:c r="D1114" t="str">
        <x:v>Namma Canteen 18</x:v>
      </x:c>
      <x:c r="E1114" t="str">
        <x:v>Restaurant</x:v>
      </x:c>
      <x:c r="F1114" t="str">
        <x:v>Davanagere</x:v>
      </x:c>
      <x:c r="G1114" t="str">
        <x:v>Imran</x:v>
      </x:c>
      <x:c r="H1114" t="str">
        <x:v>P021</x:v>
      </x:c>
      <x:c r="I1114" t="str">
        <x:v>Instant Coffee 200g</x:v>
      </x:c>
      <x:c r="J1114" t="str">
        <x:v>Beverage</x:v>
      </x:c>
      <x:c r="K1114" t="str">
        <x:v>Nescafe</x:v>
      </x:c>
      <x:c r="L1114" s="22" t="n">
        <x:v>460</x:v>
      </x:c>
      <x:c r="M1114" t="n">
        <x:v>15</x:v>
      </x:c>
      <x:c r="N1114" s="24" t="n">
        <x:v>0.05</x:v>
      </x:c>
      <x:c r="O1114" s="22" t="n">
        <x:f>L1114*M1114</x:f>
        <x:v>6900</x:v>
      </x:c>
      <x:c r="P1114" s="22" t="n">
        <x:f>O1114*(1-N1114)</x:f>
        <x:v>6555</x:v>
      </x:c>
      <x:c r="Q1114" s="22" t="n">
        <x:v>410</x:v>
      </x:c>
      <x:c r="R1114" s="22" t="n">
        <x:f>Q1114*M1114</x:f>
        <x:v>6150</x:v>
      </x:c>
      <x:c r="S1114" s="22" t="n">
        <x:f>P1114-R1114</x:f>
        <x:v>405</x:v>
      </x:c>
      <x:c r="T1114" t="str">
        <x:v>Bank Transfer</x:v>
      </x:c>
      <x:c r="U1114" t="str">
        <x:v>Paid</x:v>
      </x:c>
      <x:c r="V1114" t="str">
        <x:v>Delivered</x:v>
      </x:c>
      <x:c r="W1114" t="n">
        <x:v>0</x:v>
      </x:c>
      <x:c r="X1114" t="str"/>
      <x:c r="Y1114" t="str">
        <x:v>Referral</x:v>
      </x:c>
    </x:row>
    <x:row r="1115">
      <x:c r="A1115" t="str">
        <x:v>O001114</x:v>
      </x:c>
      <x:c r="B1115" s="20" t="n">
        <x:v>46021</x:v>
      </x:c>
      <x:c r="C1115" t="str">
        <x:v>C0056</x:v>
      </x:c>
      <x:c r="D1115" t="str">
        <x:v>City Stores 56</x:v>
      </x:c>
      <x:c r="E1115" t="str">
        <x:v>Canteen</x:v>
      </x:c>
      <x:c r="F1115" t="str">
        <x:v>Davanagere</x:v>
      </x:c>
      <x:c r="G1115" t="str">
        <x:v>Imran</x:v>
      </x:c>
      <x:c r="H1115" t="str">
        <x:v>P050</x:v>
      </x:c>
      <x:c r="I1115" t="str">
        <x:v>Lemon 5kg</x:v>
      </x:c>
      <x:c r="J1115" t="str">
        <x:v>Fresh Produce</x:v>
      </x:c>
      <x:c r="K1115" t="str">
        <x:v>Local Market</x:v>
      </x:c>
      <x:c r="L1115" s="22" t="n">
        <x:v>360</x:v>
      </x:c>
      <x:c r="M1115" t="n">
        <x:v>2</x:v>
      </x:c>
      <x:c r="N1115" s="24" t="n">
        <x:v>0</x:v>
      </x:c>
      <x:c r="O1115" s="22" t="n">
        <x:f>L1115*M1115</x:f>
        <x:v>720</x:v>
      </x:c>
      <x:c r="P1115" s="22" t="n">
        <x:f>O1115*(1-N1115)</x:f>
        <x:v>720</x:v>
      </x:c>
      <x:c r="Q1115" s="22" t="n">
        <x:v>300</x:v>
      </x:c>
      <x:c r="R1115" s="22" t="n">
        <x:f>Q1115*M1115</x:f>
        <x:v>600</x:v>
      </x:c>
      <x:c r="S1115" s="22" t="n">
        <x:f>P1115-R1115</x:f>
        <x:v>120</x:v>
      </x:c>
      <x:c r="T1115" t="str">
        <x:v>Credit</x:v>
      </x:c>
      <x:c r="U1115" t="str">
        <x:v>Paid</x:v>
      </x:c>
      <x:c r="V1115" t="str">
        <x:v>Delivered</x:v>
      </x:c>
      <x:c r="W1115" t="n">
        <x:v>1</x:v>
      </x:c>
      <x:c r="X1115" t="str">
        <x:v>Late Delivery</x:v>
      </x:c>
      <x:c r="Y1115" t="str">
        <x:v>Outbound Call</x:v>
      </x:c>
    </x:row>
    <x:row r="1116">
      <x:c r="A1116" t="str">
        <x:v>O001115</x:v>
      </x:c>
      <x:c r="B1116" s="20" t="n">
        <x:v>45868</x:v>
      </x:c>
      <x:c r="C1116" t="str">
        <x:v>C0103</x:v>
      </x:c>
      <x:c r="D1116" t="str">
        <x:v>Fresh Kitchen 103</x:v>
      </x:c>
      <x:c r="E1116" t="str">
        <x:v>Supermarket</x:v>
      </x:c>
      <x:c r="F1116" t="str">
        <x:v>Davanagere</x:v>
      </x:c>
      <x:c r="G1116" t="str">
        <x:v>Megha</x:v>
      </x:c>
      <x:c r="H1116" t="str">
        <x:v>P013</x:v>
      </x:c>
      <x:c r="I1116" t="str">
        <x:v>Atta 10kg</x:v>
      </x:c>
      <x:c r="J1116" t="str">
        <x:v>Flour</x:v>
      </x:c>
      <x:c r="K1116" t="str">
        <x:v>Aashirvaad</x:v>
      </x:c>
      <x:c r="L1116" s="22" t="n">
        <x:v>560</x:v>
      </x:c>
      <x:c r="M1116" t="n">
        <x:v>25</x:v>
      </x:c>
      <x:c r="N1116" s="24" t="n">
        <x:v>0.03</x:v>
      </x:c>
      <x:c r="O1116" s="22" t="n">
        <x:f>L1116*M1116</x:f>
        <x:v>14000</x:v>
      </x:c>
      <x:c r="P1116" s="22" t="n">
        <x:f>O1116*(1-N1116)</x:f>
        <x:v>13580</x:v>
      </x:c>
      <x:c r="Q1116" s="22" t="n">
        <x:v>495</x:v>
      </x:c>
      <x:c r="R1116" s="22" t="n">
        <x:f>Q1116*M1116</x:f>
        <x:v>12375</x:v>
      </x:c>
      <x:c r="S1116" s="22" t="n">
        <x:f>P1116-R1116</x:f>
        <x:v>1205</x:v>
      </x:c>
      <x:c r="T1116" t="str">
        <x:v>UPI</x:v>
      </x:c>
      <x:c r="U1116" t="str">
        <x:v>Paid</x:v>
      </x:c>
      <x:c r="V1116" t="str">
        <x:v>Delivered</x:v>
      </x:c>
      <x:c r="W1116" t="n">
        <x:v>0</x:v>
      </x:c>
      <x:c r="X1116" t="str"/>
      <x:c r="Y1116" t="str">
        <x:v>Existing Customer</x:v>
      </x:c>
    </x:row>
    <x:row r="1117">
      <x:c r="A1117" t="str">
        <x:v>O001116</x:v>
      </x:c>
      <x:c r="B1117" s="20" t="n">
        <x:v>45872</x:v>
      </x:c>
      <x:c r="C1117" t="str">
        <x:v>C0032</x:v>
      </x:c>
      <x:c r="D1117" t="str">
        <x:v>Cafe Hotel 32</x:v>
      </x:c>
      <x:c r="E1117" t="str">
        <x:v>Canteen</x:v>
      </x:c>
      <x:c r="F1117" t="str">
        <x:v>Bengaluru</x:v>
      </x:c>
      <x:c r="G1117" t="str">
        <x:v>Sneha</x:v>
      </x:c>
      <x:c r="H1117" t="str">
        <x:v>P011</x:v>
      </x:c>
      <x:c r="I1117" t="str">
        <x:v>Salt 1kg</x:v>
      </x:c>
      <x:c r="J1117" t="str">
        <x:v>Staples</x:v>
      </x:c>
      <x:c r="K1117" t="str">
        <x:v>Tata</x:v>
      </x:c>
      <x:c r="L1117" s="22" t="n">
        <x:v>28</x:v>
      </x:c>
      <x:c r="M1117" t="n">
        <x:v>8</x:v>
      </x:c>
      <x:c r="N1117" s="24" t="n">
        <x:v>0.08</x:v>
      </x:c>
      <x:c r="O1117" s="22" t="n">
        <x:f>L1117*M1117</x:f>
        <x:v>224</x:v>
      </x:c>
      <x:c r="P1117" s="22" t="n">
        <x:f>O1117*(1-N1117)</x:f>
        <x:v>206.08</x:v>
      </x:c>
      <x:c r="Q1117" s="22" t="n">
        <x:v>23</x:v>
      </x:c>
      <x:c r="R1117" s="22" t="n">
        <x:f>Q1117*M1117</x:f>
        <x:v>184</x:v>
      </x:c>
      <x:c r="S1117" s="22" t="n">
        <x:f>P1117-R1117</x:f>
        <x:v>22.080000000000013</x:v>
      </x:c>
      <x:c r="T1117" t="str">
        <x:v>Cash</x:v>
      </x:c>
      <x:c r="U1117" t="str">
        <x:v>Pending</x:v>
      </x:c>
      <x:c r="V1117" t="str">
        <x:v>Delivered</x:v>
      </x:c>
      <x:c r="W1117" t="n">
        <x:v>0</x:v>
      </x:c>
      <x:c r="X1117" t="str"/>
      <x:c r="Y1117" t="str">
        <x:v>Referral</x:v>
      </x:c>
    </x:row>
    <x:row r="1118">
      <x:c r="A1118" t="str">
        <x:v>O001117</x:v>
      </x:c>
      <x:c r="B1118" s="20" t="n">
        <x:v>46026</x:v>
      </x:c>
      <x:c r="C1118" t="str">
        <x:v>C0205</x:v>
      </x:c>
      <x:c r="D1118" t="str">
        <x:v>Royal Mart 205</x:v>
      </x:c>
      <x:c r="E1118" t="str">
        <x:v>Kirana</x:v>
      </x:c>
      <x:c r="F1118" t="str">
        <x:v>Mysuru</x:v>
      </x:c>
      <x:c r="G1118" t="str">
        <x:v>Priya</x:v>
      </x:c>
      <x:c r="H1118" t="str">
        <x:v>P033</x:v>
      </x:c>
      <x:c r="I1118" t="str">
        <x:v>Turmeric Powder 1kg</x:v>
      </x:c>
      <x:c r="J1118" t="str">
        <x:v>Spices</x:v>
      </x:c>
      <x:c r="K1118" t="str">
        <x:v>Everest</x:v>
      </x:c>
      <x:c r="L1118" s="22" t="n">
        <x:v>310</x:v>
      </x:c>
      <x:c r="M1118" t="n">
        <x:v>31</x:v>
      </x:c>
      <x:c r="N1118" s="24" t="n">
        <x:v>0.02</x:v>
      </x:c>
      <x:c r="O1118" s="22" t="n">
        <x:f>L1118*M1118</x:f>
        <x:v>9610</x:v>
      </x:c>
      <x:c r="P1118" s="22" t="n">
        <x:f>O1118*(1-N1118)</x:f>
        <x:v>9417.8</x:v>
      </x:c>
      <x:c r="Q1118" s="22" t="n">
        <x:v>270</x:v>
      </x:c>
      <x:c r="R1118" s="22" t="n">
        <x:f>Q1118*M1118</x:f>
        <x:v>8370</x:v>
      </x:c>
      <x:c r="S1118" s="22" t="n">
        <x:f>P1118-R1118</x:f>
        <x:v>1047.7999999999993</x:v>
      </x:c>
      <x:c r="T1118" t="str">
        <x:v>UPI</x:v>
      </x:c>
      <x:c r="U1118" t="str">
        <x:v>Overdue</x:v>
      </x:c>
      <x:c r="V1118" t="str">
        <x:v>Delivered</x:v>
      </x:c>
      <x:c r="W1118" t="n">
        <x:v>4</x:v>
      </x:c>
      <x:c r="X1118" t="str">
        <x:v>Late Delivery</x:v>
      </x:c>
      <x:c r="Y1118" t="str">
        <x:v>Outbound Call</x:v>
      </x:c>
    </x:row>
    <x:row r="1119">
      <x:c r="A1119" t="str">
        <x:v>O001118</x:v>
      </x:c>
      <x:c r="B1119" s="20" t="n">
        <x:v>45724</x:v>
      </x:c>
      <x:c r="C1119" t="str">
        <x:v>C0243</x:v>
      </x:c>
      <x:c r="D1119" t="str">
        <x:v>Metro Kitchen 243</x:v>
      </x:c>
      <x:c r="E1119" t="str">
        <x:v>Restaurant</x:v>
      </x:c>
      <x:c r="F1119" t="str">
        <x:v>Mangaluru</x:v>
      </x:c>
      <x:c r="G1119" t="str">
        <x:v>Kavya</x:v>
      </x:c>
      <x:c r="H1119" t="str">
        <x:v>P020</x:v>
      </x:c>
      <x:c r="I1119" t="str">
        <x:v>Coffee 500g</x:v>
      </x:c>
      <x:c r="J1119" t="str">
        <x:v>Beverage</x:v>
      </x:c>
      <x:c r="K1119" t="str">
        <x:v>Bru</x:v>
      </x:c>
      <x:c r="L1119" s="22" t="n">
        <x:v>390</x:v>
      </x:c>
      <x:c r="M1119" t="n">
        <x:v>28</x:v>
      </x:c>
      <x:c r="N1119" s="24" t="n">
        <x:v>0.08</x:v>
      </x:c>
      <x:c r="O1119" s="22" t="n">
        <x:f>L1119*M1119</x:f>
        <x:v>10920</x:v>
      </x:c>
      <x:c r="P1119" s="22" t="n">
        <x:f>O1119*(1-N1119)</x:f>
        <x:v>10046.4</x:v>
      </x:c>
      <x:c r="Q1119" s="22" t="n">
        <x:v>350</x:v>
      </x:c>
      <x:c r="R1119" s="22" t="n">
        <x:f>Q1119*M1119</x:f>
        <x:v>9800</x:v>
      </x:c>
      <x:c r="S1119" s="22" t="n">
        <x:f>P1119-R1119</x:f>
        <x:v>246.39999999999964</x:v>
      </x:c>
      <x:c r="T1119" t="str">
        <x:v>Cash</x:v>
      </x:c>
      <x:c r="U1119" t="str">
        <x:v>Paid</x:v>
      </x:c>
      <x:c r="V1119" t="str">
        <x:v>Cancelled</x:v>
      </x:c>
      <x:c r="W1119" t="n">
        <x:v>28</x:v>
      </x:c>
      <x:c r="X1119" t="str">
        <x:v>Cancelled Order</x:v>
      </x:c>
      <x:c r="Y1119" t="str">
        <x:v>Outbound Call</x:v>
      </x:c>
    </x:row>
    <x:row r="1120">
      <x:c r="A1120" t="str">
        <x:v>O001119</x:v>
      </x:c>
      <x:c r="B1120" s="20" t="n">
        <x:v>46140</x:v>
      </x:c>
      <x:c r="C1120" t="str">
        <x:v>C0208</x:v>
      </x:c>
      <x:c r="D1120" t="str">
        <x:v>Green Foods 208</x:v>
      </x:c>
      <x:c r="E1120" t="str">
        <x:v>Hotel</x:v>
      </x:c>
      <x:c r="F1120" t="str">
        <x:v>Mysuru</x:v>
      </x:c>
      <x:c r="G1120" t="str">
        <x:v>Ramesh</x:v>
      </x:c>
      <x:c r="H1120" t="str">
        <x:v>P025</x:v>
      </x:c>
      <x:c r="I1120" t="str">
        <x:v>Potato Chips 100g</x:v>
      </x:c>
      <x:c r="J1120" t="str">
        <x:v>Snacks</x:v>
      </x:c>
      <x:c r="K1120" t="str">
        <x:v>Lay's</x:v>
      </x:c>
      <x:c r="L1120" s="22" t="n">
        <x:v>35</x:v>
      </x:c>
      <x:c r="M1120" t="n">
        <x:v>2</x:v>
      </x:c>
      <x:c r="N1120" s="24" t="n">
        <x:v>0.1</x:v>
      </x:c>
      <x:c r="O1120" s="22" t="n">
        <x:f>L1120*M1120</x:f>
        <x:v>70</x:v>
      </x:c>
      <x:c r="P1120" s="22" t="n">
        <x:f>O1120*(1-N1120)</x:f>
        <x:v>63</x:v>
      </x:c>
      <x:c r="Q1120" s="22" t="n">
        <x:v>27</x:v>
      </x:c>
      <x:c r="R1120" s="22" t="n">
        <x:f>Q1120*M1120</x:f>
        <x:v>54</x:v>
      </x:c>
      <x:c r="S1120" s="22" t="n">
        <x:f>P1120-R1120</x:f>
        <x:v>9</x:v>
      </x:c>
      <x:c r="T1120" t="str">
        <x:v>Cash</x:v>
      </x:c>
      <x:c r="U1120" t="str">
        <x:v>Pending</x:v>
      </x:c>
      <x:c r="V1120" t="str">
        <x:v>Delivered</x:v>
      </x:c>
      <x:c r="W1120" t="n">
        <x:v>1</x:v>
      </x:c>
      <x:c r="X1120" t="str">
        <x:v>Wrong Item</x:v>
      </x:c>
      <x:c r="Y1120" t="str"/>
    </x:row>
    <x:row r="1121">
      <x:c r="A1121" t="str">
        <x:v>O001120</x:v>
      </x:c>
      <x:c r="B1121" s="20" t="n">
        <x:v>45801</x:v>
      </x:c>
      <x:c r="C1121" t="str">
        <x:v>C0133</x:v>
      </x:c>
      <x:c r="D1121" t="str">
        <x:v>Metro Foods 133</x:v>
      </x:c>
      <x:c r="E1121" t="str">
        <x:v>Cafe</x:v>
      </x:c>
      <x:c r="F1121" t="str">
        <x:v>Bengaluru</x:v>
      </x:c>
      <x:c r="G1121" t="str">
        <x:v>Ramesh</x:v>
      </x:c>
      <x:c r="H1121" t="str">
        <x:v>P010</x:v>
      </x:c>
      <x:c r="I1121" t="str">
        <x:v>Sugar 25kg</x:v>
      </x:c>
      <x:c r="J1121" t="str">
        <x:v>Staples</x:v>
      </x:c>
      <x:c r="K1121" t="str">
        <x:v>Madhur</x:v>
      </x:c>
      <x:c r="L1121" s="22" t="n">
        <x:v>1190</x:v>
      </x:c>
      <x:c r="M1121" t="n">
        <x:v>1</x:v>
      </x:c>
      <x:c r="N1121" s="24" t="n">
        <x:v>0</x:v>
      </x:c>
      <x:c r="O1121" s="22" t="n">
        <x:f>L1121*M1121</x:f>
        <x:v>1190</x:v>
      </x:c>
      <x:c r="P1121" s="22" t="n">
        <x:f>O1121*(1-N1121)</x:f>
        <x:v>1190</x:v>
      </x:c>
      <x:c r="Q1121" s="22" t="n">
        <x:v>1080</x:v>
      </x:c>
      <x:c r="R1121" s="22" t="n">
        <x:f>Q1121*M1121</x:f>
        <x:v>1080</x:v>
      </x:c>
      <x:c r="S1121" s="22" t="n">
        <x:f>P1121-R1121</x:f>
        <x:v>110</x:v>
      </x:c>
      <x:c r="T1121" t="str">
        <x:v>Bank Transfer</x:v>
      </x:c>
      <x:c r="U1121" t="str">
        <x:v>Pending</x:v>
      </x:c>
      <x:c r="V1121" t="str">
        <x:v>Cancelled</x:v>
      </x:c>
      <x:c r="W1121" t="n">
        <x:v>1</x:v>
      </x:c>
      <x:c r="X1121" t="str">
        <x:v>Cancelled Order</x:v>
      </x:c>
      <x:c r="Y1121" t="str">
        <x:v>Field Visit</x:v>
      </x:c>
    </x:row>
    <x:row r="1122">
      <x:c r="A1122" t="str">
        <x:v>O001121</x:v>
      </x:c>
      <x:c r="B1122" s="20" t="n">
        <x:v>46087</x:v>
      </x:c>
      <x:c r="C1122" t="str">
        <x:v>C0107</x:v>
      </x:c>
      <x:c r="D1122" t="str">
        <x:v>Mysore Cafe 107</x:v>
      </x:c>
      <x:c r="E1122" t="str">
        <x:v>Supermarket</x:v>
      </x:c>
      <x:c r="F1122" t="str">
        <x:v>Tumakuru</x:v>
      </x:c>
      <x:c r="G1122" t="str">
        <x:v>Megha</x:v>
      </x:c>
      <x:c r="H1122" t="str">
        <x:v>P011</x:v>
      </x:c>
      <x:c r="I1122" t="str">
        <x:v>Salt 1kg</x:v>
      </x:c>
      <x:c r="J1122" t="str">
        <x:v>Staples</x:v>
      </x:c>
      <x:c r="K1122" t="str">
        <x:v>Tata</x:v>
      </x:c>
      <x:c r="L1122" s="22" t="n">
        <x:v>28</x:v>
      </x:c>
      <x:c r="M1122" t="n">
        <x:v>12</x:v>
      </x:c>
      <x:c r="N1122" s="24" t="n">
        <x:v>0</x:v>
      </x:c>
      <x:c r="O1122" s="22" t="n">
        <x:f>L1122*M1122</x:f>
        <x:v>336</x:v>
      </x:c>
      <x:c r="P1122" s="22" t="n">
        <x:f>O1122*(1-N1122)</x:f>
        <x:v>336</x:v>
      </x:c>
      <x:c r="Q1122" s="22" t="n">
        <x:v>23</x:v>
      </x:c>
      <x:c r="R1122" s="22" t="n">
        <x:f>Q1122*M1122</x:f>
        <x:v>276</x:v>
      </x:c>
      <x:c r="S1122" s="22" t="n">
        <x:f>P1122-R1122</x:f>
        <x:v>60</x:v>
      </x:c>
      <x:c r="T1122" t="str">
        <x:v>Bank Transfer</x:v>
      </x:c>
      <x:c r="U1122" t="str">
        <x:v>Pending</x:v>
      </x:c>
      <x:c r="V1122" t="str">
        <x:v>Cancelled</x:v>
      </x:c>
      <x:c r="W1122" t="n">
        <x:v>12</x:v>
      </x:c>
      <x:c r="X1122" t="str">
        <x:v>Cancelled Order</x:v>
      </x:c>
      <x:c r="Y1122" t="str">
        <x:v>Referral</x:v>
      </x:c>
    </x:row>
    <x:row r="1123">
      <x:c r="A1123" t="str">
        <x:v>O001122</x:v>
      </x:c>
      <x:c r="B1123" s="20" t="n">
        <x:v>45824</x:v>
      </x:c>
      <x:c r="C1123" t="str">
        <x:v>C0237</x:v>
      </x:c>
      <x:c r="D1123" t="str">
        <x:v>Mysore Restaurant 237</x:v>
      </x:c>
      <x:c r="E1123" t="str">
        <x:v>Restaurant</x:v>
      </x:c>
      <x:c r="F1123" t="str">
        <x:v>Bengaluru</x:v>
      </x:c>
      <x:c r="G1123" t="str">
        <x:v>Sneha</x:v>
      </x:c>
      <x:c r="H1123" t="str">
        <x:v>P008</x:v>
      </x:c>
      <x:c r="I1123" t="str">
        <x:v>Palm Oil 15L</x:v>
      </x:c>
      <x:c r="J1123" t="str">
        <x:v>Edible Oil</x:v>
      </x:c>
      <x:c r="K1123" t="str">
        <x:v>Ruchi Gold</x:v>
      </x:c>
      <x:c r="L1123" s="22" t="n">
        <x:v>1760</x:v>
      </x:c>
      <x:c r="M1123" t="n">
        <x:v>8</x:v>
      </x:c>
      <x:c r="N1123" s="24" t="n">
        <x:v>0</x:v>
      </x:c>
      <x:c r="O1123" s="22" t="n">
        <x:f>L1123*M1123</x:f>
        <x:v>14080</x:v>
      </x:c>
      <x:c r="P1123" s="22" t="n">
        <x:f>O1123*(1-N1123)</x:f>
        <x:v>14080</x:v>
      </x:c>
      <x:c r="Q1123" s="22" t="n">
        <x:v>1610</x:v>
      </x:c>
      <x:c r="R1123" s="22" t="n">
        <x:f>Q1123*M1123</x:f>
        <x:v>12880</x:v>
      </x:c>
      <x:c r="S1123" s="22" t="n">
        <x:f>P1123-R1123</x:f>
        <x:v>1200</x:v>
      </x:c>
      <x:c r="T1123" t="str">
        <x:v>Credit</x:v>
      </x:c>
      <x:c r="U1123" t="str">
        <x:v>Paid</x:v>
      </x:c>
      <x:c r="V1123" t="str">
        <x:v>Delivered</x:v>
      </x:c>
      <x:c r="W1123" t="n">
        <x:v>0</x:v>
      </x:c>
      <x:c r="X1123" t="str"/>
      <x:c r="Y1123" t="str">
        <x:v>Outbound Call</x:v>
      </x:c>
    </x:row>
    <x:row r="1124">
      <x:c r="A1124" t="str">
        <x:v>O001123</x:v>
      </x:c>
      <x:c r="B1124" s="20" t="n">
        <x:v>46139</x:v>
      </x:c>
      <x:c r="C1124" t="str">
        <x:v>C0085</x:v>
      </x:c>
      <x:c r="D1124" t="str">
        <x:v>Green Hotel 85</x:v>
      </x:c>
      <x:c r="E1124" t="str">
        <x:v>Kirana</x:v>
      </x:c>
      <x:c r="F1124" t="str">
        <x:v>Mysuru</x:v>
      </x:c>
      <x:c r="G1124" t="str">
        <x:v>Arjun</x:v>
      </x:c>
      <x:c r="H1124" t="str">
        <x:v>P002</x:v>
      </x:c>
      <x:c r="I1124" t="str">
        <x:v>Sona Masoori Rice 25kg</x:v>
      </x:c>
      <x:c r="J1124" t="str">
        <x:v>Staples</x:v>
      </x:c>
      <x:c r="K1124" t="str">
        <x:v>Fortune</x:v>
      </x:c>
      <x:c r="L1124" s="22" t="n">
        <x:v>1320</x:v>
      </x:c>
      <x:c r="M1124" t="n">
        <x:v>12</x:v>
      </x:c>
      <x:c r="N1124" s="24" t="n">
        <x:v>0.08</x:v>
      </x:c>
      <x:c r="O1124" s="22" t="n">
        <x:f>L1124*M1124</x:f>
        <x:v>15840</x:v>
      </x:c>
      <x:c r="P1124" s="22" t="n">
        <x:f>O1124*(1-N1124)</x:f>
        <x:v>14572.800000000001</x:v>
      </x:c>
      <x:c r="Q1124" s="22" t="n">
        <x:v>1160</x:v>
      </x:c>
      <x:c r="R1124" s="22" t="n">
        <x:f>Q1124*M1124</x:f>
        <x:v>13920</x:v>
      </x:c>
      <x:c r="S1124" s="22" t="n">
        <x:f>P1124-R1124</x:f>
        <x:v>652.8000000000011</x:v>
      </x:c>
      <x:c r="T1124" t="str">
        <x:v>Credit</x:v>
      </x:c>
      <x:c r="U1124" t="str">
        <x:v>Paid</x:v>
      </x:c>
      <x:c r="V1124" t="str">
        <x:v>Delivered</x:v>
      </x:c>
      <x:c r="W1124" t="n">
        <x:v>0</x:v>
      </x:c>
      <x:c r="X1124" t="str"/>
      <x:c r="Y1124" t="str">
        <x:v>Existing Customer</x:v>
      </x:c>
    </x:row>
    <x:row r="1125">
      <x:c r="A1125" t="str">
        <x:v>O001124</x:v>
      </x:c>
      <x:c r="B1125" s="20" t="n">
        <x:v>46015</x:v>
      </x:c>
      <x:c r="C1125" t="str">
        <x:v>C0026</x:v>
      </x:c>
      <x:c r="D1125" t="str">
        <x:v>Cafe Kitchen 26</x:v>
      </x:c>
      <x:c r="E1125" t="str">
        <x:v>Kirana</x:v>
      </x:c>
      <x:c r="F1125" t="str">
        <x:v>Davanagere</x:v>
      </x:c>
      <x:c r="G1125" t="str">
        <x:v>Kavya</x:v>
      </x:c>
      <x:c r="H1125" t="str">
        <x:v>P001</x:v>
      </x:c>
      <x:c r="I1125" t="str">
        <x:v>Steam Rice 25kg</x:v>
      </x:c>
      <x:c r="J1125" t="str">
        <x:v>Staples</x:v>
      </x:c>
      <x:c r="K1125" t="str">
        <x:v>Aishwarya</x:v>
      </x:c>
      <x:c r="L1125" s="22" t="n">
        <x:v>1180</x:v>
      </x:c>
      <x:c r="M1125" t="n">
        <x:v>2</x:v>
      </x:c>
      <x:c r="N1125" s="24" t="n">
        <x:v>0.03</x:v>
      </x:c>
      <x:c r="O1125" s="22" t="n">
        <x:f>L1125*M1125</x:f>
        <x:v>2360</x:v>
      </x:c>
      <x:c r="P1125" s="22" t="n">
        <x:f>O1125*(1-N1125)</x:f>
        <x:v>2289.2</x:v>
      </x:c>
      <x:c r="Q1125" s="22" t="n">
        <x:v>1040</x:v>
      </x:c>
      <x:c r="R1125" s="22" t="n">
        <x:f>Q1125*M1125</x:f>
        <x:v>2080</x:v>
      </x:c>
      <x:c r="S1125" s="22" t="n">
        <x:f>P1125-R1125</x:f>
        <x:v>209.19999999999982</x:v>
      </x:c>
      <x:c r="T1125" t="str">
        <x:v>UPI</x:v>
      </x:c>
      <x:c r="U1125" t="str">
        <x:v>Paid</x:v>
      </x:c>
      <x:c r="V1125" t="str">
        <x:v>Delivered</x:v>
      </x:c>
      <x:c r="W1125" t="n">
        <x:v>0</x:v>
      </x:c>
      <x:c r="X1125" t="str"/>
      <x:c r="Y1125" t="str">
        <x:v>WhatsApp</x:v>
      </x:c>
    </x:row>
    <x:row r="1126">
      <x:c r="A1126" t="str">
        <x:v>O001125</x:v>
      </x:c>
      <x:c r="B1126" s="20" t="n">
        <x:v>45795</x:v>
      </x:c>
      <x:c r="C1126" t="str">
        <x:v>C0138</x:v>
      </x:c>
      <x:c r="D1126" t="str">
        <x:v>New Mart 138</x:v>
      </x:c>
      <x:c r="E1126" t="str">
        <x:v>Restaurant</x:v>
      </x:c>
      <x:c r="F1126" t="str">
        <x:v>Bengaluru</x:v>
      </x:c>
      <x:c r="G1126" t="str">
        <x:v>Ramesh</x:v>
      </x:c>
      <x:c r="H1126" t="str">
        <x:v>P029</x:v>
      </x:c>
      <x:c r="I1126" t="str">
        <x:v>Tomato Ketchup 1kg</x:v>
      </x:c>
      <x:c r="J1126" t="str">
        <x:v>Condiments</x:v>
      </x:c>
      <x:c r="K1126" t="str">
        <x:v>Kissan</x:v>
      </x:c>
      <x:c r="L1126" s="22" t="n">
        <x:v>145</x:v>
      </x:c>
      <x:c r="M1126" t="n">
        <x:v>39</x:v>
      </x:c>
      <x:c r="N1126" s="24" t="n">
        <x:v>0.05</x:v>
      </x:c>
      <x:c r="O1126" s="22" t="n">
        <x:f>L1126*M1126</x:f>
        <x:v>5655</x:v>
      </x:c>
      <x:c r="P1126" s="22" t="n">
        <x:f>O1126*(1-N1126)</x:f>
        <x:v>5372.25</x:v>
      </x:c>
      <x:c r="Q1126" s="22" t="n">
        <x:v>126</x:v>
      </x:c>
      <x:c r="R1126" s="22" t="n">
        <x:f>Q1126*M1126</x:f>
        <x:v>4914</x:v>
      </x:c>
      <x:c r="S1126" s="22" t="n">
        <x:f>P1126-R1126</x:f>
        <x:v>458.25</x:v>
      </x:c>
      <x:c r="T1126" t="str">
        <x:v>UPI</x:v>
      </x:c>
      <x:c r="U1126" t="str">
        <x:v>Paid</x:v>
      </x:c>
      <x:c r="V1126" t="str">
        <x:v>Delivered</x:v>
      </x:c>
      <x:c r="W1126" t="n">
        <x:v>0</x:v>
      </x:c>
      <x:c r="X1126" t="str"/>
      <x:c r="Y1126" t="str">
        <x:v>Field Visit</x:v>
      </x:c>
    </x:row>
    <x:row r="1127">
      <x:c r="A1127" t="str">
        <x:v>O001126</x:v>
      </x:c>
      <x:c r="B1127" s="20" t="n">
        <x:v>46032</x:v>
      </x:c>
      <x:c r="C1127" t="str">
        <x:v>C0169</x:v>
      </x:c>
      <x:c r="D1127" t="str">
        <x:v>Grand Mart 169</x:v>
      </x:c>
      <x:c r="E1127" t="str">
        <x:v>Canteen</x:v>
      </x:c>
      <x:c r="F1127" t="str">
        <x:v>Mangaluru</x:v>
      </x:c>
      <x:c r="G1127" t="str">
        <x:v>Vikram</x:v>
      </x:c>
      <x:c r="H1127" t="str">
        <x:v>P035</x:v>
      </x:c>
      <x:c r="I1127" t="str">
        <x:v>Coriander Powder 1kg</x:v>
      </x:c>
      <x:c r="J1127" t="str">
        <x:v>Spices</x:v>
      </x:c>
      <x:c r="K1127" t="str">
        <x:v>Everest</x:v>
      </x:c>
      <x:c r="L1127" s="22" t="n">
        <x:v>280</x:v>
      </x:c>
      <x:c r="M1127" t="n">
        <x:v>40</x:v>
      </x:c>
      <x:c r="N1127" s="24" t="n">
        <x:v>0.05</x:v>
      </x:c>
      <x:c r="O1127" s="22" t="n">
        <x:f>L1127*M1127</x:f>
        <x:v>11200</x:v>
      </x:c>
      <x:c r="P1127" s="22" t="n">
        <x:f>O1127*(1-N1127)</x:f>
        <x:v>10640</x:v>
      </x:c>
      <x:c r="Q1127" s="22" t="n">
        <x:v>245</x:v>
      </x:c>
      <x:c r="R1127" s="22" t="n">
        <x:f>Q1127*M1127</x:f>
        <x:v>9800</x:v>
      </x:c>
      <x:c r="S1127" s="22" t="n">
        <x:f>P1127-R1127</x:f>
        <x:v>840</x:v>
      </x:c>
      <x:c r="T1127" t="str">
        <x:v>UPI</x:v>
      </x:c>
      <x:c r="U1127" t="str">
        <x:v>Paid</x:v>
      </x:c>
      <x:c r="V1127" t="str">
        <x:v>Cancelled</x:v>
      </x:c>
      <x:c r="W1127" t="n">
        <x:v>40</x:v>
      </x:c>
      <x:c r="X1127" t="str">
        <x:v>Cancelled Order</x:v>
      </x:c>
      <x:c r="Y1127" t="str">
        <x:v>Existing Customer</x:v>
      </x:c>
    </x:row>
    <x:row r="1128">
      <x:c r="A1128" t="str">
        <x:v>O001127</x:v>
      </x:c>
      <x:c r="B1128" s="20" t="n">
        <x:v>45790</x:v>
      </x:c>
      <x:c r="C1128" t="str">
        <x:v>C0057</x:v>
      </x:c>
      <x:c r="D1128" t="str">
        <x:v>Annapurna Foods 57</x:v>
      </x:c>
      <x:c r="E1128" t="str">
        <x:v>Kirana</x:v>
      </x:c>
      <x:c r="F1128" t="str">
        <x:v>Mysuru</x:v>
      </x:c>
      <x:c r="G1128" t="str">
        <x:v>Priya</x:v>
      </x:c>
      <x:c r="H1128" t="str">
        <x:v>P033</x:v>
      </x:c>
      <x:c r="I1128" t="str">
        <x:v>Turmeric Powder 1kg</x:v>
      </x:c>
      <x:c r="J1128" t="str">
        <x:v>Spices</x:v>
      </x:c>
      <x:c r="K1128" t="str">
        <x:v>Everest</x:v>
      </x:c>
      <x:c r="L1128" s="22" t="n">
        <x:v>310</x:v>
      </x:c>
      <x:c r="M1128" t="n">
        <x:v>10</x:v>
      </x:c>
      <x:c r="N1128" s="24" t="n">
        <x:v>0</x:v>
      </x:c>
      <x:c r="O1128" s="22" t="n">
        <x:f>L1128*M1128</x:f>
        <x:v>3100</x:v>
      </x:c>
      <x:c r="P1128" s="22" t="n">
        <x:f>O1128*(1-N1128)</x:f>
        <x:v>3100</x:v>
      </x:c>
      <x:c r="Q1128" s="22" t="n">
        <x:v>270</x:v>
      </x:c>
      <x:c r="R1128" s="22" t="n">
        <x:f>Q1128*M1128</x:f>
        <x:v>2700</x:v>
      </x:c>
      <x:c r="S1128" s="22" t="n">
        <x:f>P1128-R1128</x:f>
        <x:v>400</x:v>
      </x:c>
      <x:c r="T1128" t="str">
        <x:v>UPI</x:v>
      </x:c>
      <x:c r="U1128" t="str">
        <x:v>Pending</x:v>
      </x:c>
      <x:c r="V1128" t="str">
        <x:v>Cancelled</x:v>
      </x:c>
      <x:c r="W1128" t="n">
        <x:v>10</x:v>
      </x:c>
      <x:c r="X1128" t="str">
        <x:v>Cancelled Order</x:v>
      </x:c>
      <x:c r="Y1128" t="str">
        <x:v>WhatsApp</x:v>
      </x:c>
    </x:row>
    <x:row r="1129">
      <x:c r="A1129" t="str">
        <x:v>O001128</x:v>
      </x:c>
      <x:c r="B1129" s="20" t="n">
        <x:v>45913</x:v>
      </x:c>
      <x:c r="C1129" t="str">
        <x:v>C0158</x:v>
      </x:c>
      <x:c r="D1129" t="str">
        <x:v>Cafe Stores 158</x:v>
      </x:c>
      <x:c r="E1129" t="str">
        <x:v>Cafe</x:v>
      </x:c>
      <x:c r="F1129" t="str">
        <x:v>Mysuru</x:v>
      </x:c>
      <x:c r="G1129" t="str">
        <x:v>Priya</x:v>
      </x:c>
      <x:c r="H1129" t="str">
        <x:v>P007</x:v>
      </x:c>
      <x:c r="I1129" t="str">
        <x:v>Sunflower Oil 15L</x:v>
      </x:c>
      <x:c r="J1129" t="str">
        <x:v>Edible Oil</x:v>
      </x:c>
      <x:c r="K1129" t="str">
        <x:v>Fortune</x:v>
      </x:c>
      <x:c r="L1129" s="22" t="n">
        <x:v>1980</x:v>
      </x:c>
      <x:c r="M1129" t="n">
        <x:v>5</x:v>
      </x:c>
      <x:c r="N1129" s="24" t="n">
        <x:v>0</x:v>
      </x:c>
      <x:c r="O1129" s="22" t="n">
        <x:f>L1129*M1129</x:f>
        <x:v>9900</x:v>
      </x:c>
      <x:c r="P1129" s="22" t="n">
        <x:f>O1129*(1-N1129)</x:f>
        <x:v>9900</x:v>
      </x:c>
      <x:c r="Q1129" s="22" t="n">
        <x:v>1810</x:v>
      </x:c>
      <x:c r="R1129" s="22" t="n">
        <x:f>Q1129*M1129</x:f>
        <x:v>9050</x:v>
      </x:c>
      <x:c r="S1129" s="22" t="n">
        <x:f>P1129-R1129</x:f>
        <x:v>850</x:v>
      </x:c>
      <x:c r="T1129" t="str">
        <x:v>Cash</x:v>
      </x:c>
      <x:c r="U1129" t="str">
        <x:v>Paid</x:v>
      </x:c>
      <x:c r="V1129" t="str">
        <x:v>Delivered</x:v>
      </x:c>
      <x:c r="W1129" t="n">
        <x:v>0</x:v>
      </x:c>
      <x:c r="X1129" t="str"/>
      <x:c r="Y1129" t="str">
        <x:v>Existing Customer</x:v>
      </x:c>
    </x:row>
    <x:row r="1130">
      <x:c r="A1130" t="str">
        <x:v>O001129</x:v>
      </x:c>
      <x:c r="B1130" s="20" t="n">
        <x:v>45792</x:v>
      </x:c>
      <x:c r="C1130" t="str">
        <x:v>C0227</x:v>
      </x:c>
      <x:c r="D1130" t="str">
        <x:v>Metro Restaurant 227</x:v>
      </x:c>
      <x:c r="E1130" t="str">
        <x:v>Restaurant</x:v>
      </x:c>
      <x:c r="F1130" t="str">
        <x:v>Davanagere</x:v>
      </x:c>
      <x:c r="G1130" t="str">
        <x:v>Kavya</x:v>
      </x:c>
      <x:c r="H1130" t="str">
        <x:v>P018</x:v>
      </x:c>
      <x:c r="I1130" t="str">
        <x:v>Paneer 1kg</x:v>
      </x:c>
      <x:c r="J1130" t="str">
        <x:v>Dairy</x:v>
      </x:c>
      <x:c r="K1130" t="str">
        <x:v>Milky Mist</x:v>
      </x:c>
      <x:c r="L1130" s="22" t="n">
        <x:v>410</x:v>
      </x:c>
      <x:c r="M1130" t="n">
        <x:v>21</x:v>
      </x:c>
      <x:c r="N1130" s="24" t="n">
        <x:v>0.03</x:v>
      </x:c>
      <x:c r="O1130" s="22" t="n">
        <x:f>L1130*M1130</x:f>
        <x:v>8610</x:v>
      </x:c>
      <x:c r="P1130" s="22" t="n">
        <x:f>O1130*(1-N1130)</x:f>
        <x:v>8351.699999999999</x:v>
      </x:c>
      <x:c r="Q1130" s="22" t="n">
        <x:v>370</x:v>
      </x:c>
      <x:c r="R1130" s="22" t="n">
        <x:f>Q1130*M1130</x:f>
        <x:v>7770</x:v>
      </x:c>
      <x:c r="S1130" s="22" t="n">
        <x:f>P1130-R1130</x:f>
        <x:v>581.6999999999989</x:v>
      </x:c>
      <x:c r="T1130" t="str">
        <x:v>Bank Transfer</x:v>
      </x:c>
      <x:c r="U1130" t="str">
        <x:v>Paid</x:v>
      </x:c>
      <x:c r="V1130" t="str">
        <x:v>Delivered</x:v>
      </x:c>
      <x:c r="W1130" t="n">
        <x:v>0</x:v>
      </x:c>
      <x:c r="X1130" t="str"/>
      <x:c r="Y1130" t="str">
        <x:v>WhatsApp</x:v>
      </x:c>
    </x:row>
    <x:row r="1131">
      <x:c r="A1131" t="str">
        <x:v>O001130</x:v>
      </x:c>
      <x:c r="B1131" s="20" t="n">
        <x:v>45844</x:v>
      </x:c>
      <x:c r="C1131" t="str">
        <x:v>C0204</x:v>
      </x:c>
      <x:c r="D1131" t="str">
        <x:v>Udupi Stores 204</x:v>
      </x:c>
      <x:c r="E1131" t="str">
        <x:v>Kirana</x:v>
      </x:c>
      <x:c r="F1131" t="str">
        <x:v>Bengaluru</x:v>
      </x:c>
      <x:c r="G1131" t="str">
        <x:v>Vikram</x:v>
      </x:c>
      <x:c r="H1131" t="str">
        <x:v>P013</x:v>
      </x:c>
      <x:c r="I1131" t="str">
        <x:v>Atta 10kg</x:v>
      </x:c>
      <x:c r="J1131" t="str">
        <x:v>Flour</x:v>
      </x:c>
      <x:c r="K1131" t="str">
        <x:v>Aashirvaad</x:v>
      </x:c>
      <x:c r="L1131" s="22" t="n">
        <x:v>560</x:v>
      </x:c>
      <x:c r="M1131" t="n">
        <x:v>1</x:v>
      </x:c>
      <x:c r="N1131" s="24" t="n">
        <x:v>0</x:v>
      </x:c>
      <x:c r="O1131" s="22" t="n">
        <x:f>L1131*M1131</x:f>
        <x:v>560</x:v>
      </x:c>
      <x:c r="P1131" s="22" t="n">
        <x:f>O1131*(1-N1131)</x:f>
        <x:v>560</x:v>
      </x:c>
      <x:c r="Q1131" s="22" t="n">
        <x:v>495</x:v>
      </x:c>
      <x:c r="R1131" s="22" t="n">
        <x:f>Q1131*M1131</x:f>
        <x:v>495</x:v>
      </x:c>
      <x:c r="S1131" s="22" t="n">
        <x:f>P1131-R1131</x:f>
        <x:v>65</x:v>
      </x:c>
      <x:c r="T1131" t="str">
        <x:v>UPI</x:v>
      </x:c>
      <x:c r="U1131" t="str">
        <x:v>Pending</x:v>
      </x:c>
      <x:c r="V1131" t="str">
        <x:v>Delivered</x:v>
      </x:c>
      <x:c r="W1131" t="n">
        <x:v>0</x:v>
      </x:c>
      <x:c r="X1131" t="str"/>
      <x:c r="Y1131" t="str"/>
    </x:row>
    <x:row r="1132">
      <x:c r="A1132" t="str">
        <x:v>O001131</x:v>
      </x:c>
      <x:c r="B1132" s="20" t="n">
        <x:v>46010</x:v>
      </x:c>
      <x:c r="C1132" t="str">
        <x:v>C0124</x:v>
      </x:c>
      <x:c r="D1132" t="str">
        <x:v>Green Hotel 124</x:v>
      </x:c>
      <x:c r="E1132" t="str">
        <x:v>Cafe</x:v>
      </x:c>
      <x:c r="F1132" t="str">
        <x:v>Bengaluru</x:v>
      </x:c>
      <x:c r="G1132" t="str">
        <x:v>Imran</x:v>
      </x:c>
      <x:c r="H1132" t="str">
        <x:v>P031</x:v>
      </x:c>
      <x:c r="I1132" t="str">
        <x:v>Chilli Sauce 700g</x:v>
      </x:c>
      <x:c r="J1132" t="str">
        <x:v>Condiments</x:v>
      </x:c>
      <x:c r="K1132" t="str">
        <x:v>Ching's</x:v>
      </x:c>
      <x:c r="L1132" s="22" t="n">
        <x:v>130</x:v>
      </x:c>
      <x:c r="M1132" t="n">
        <x:v>13</x:v>
      </x:c>
      <x:c r="N1132" s="24" t="n">
        <x:v>0.05</x:v>
      </x:c>
      <x:c r="O1132" s="22" t="n">
        <x:f>L1132*M1132</x:f>
        <x:v>1690</x:v>
      </x:c>
      <x:c r="P1132" s="22" t="n">
        <x:f>O1132*(1-N1132)</x:f>
        <x:v>1605.5</x:v>
      </x:c>
      <x:c r="Q1132" s="22" t="n">
        <x:v>112</x:v>
      </x:c>
      <x:c r="R1132" s="22" t="n">
        <x:f>Q1132*M1132</x:f>
        <x:v>1456</x:v>
      </x:c>
      <x:c r="S1132" s="22" t="n">
        <x:f>P1132-R1132</x:f>
        <x:v>149.5</x:v>
      </x:c>
      <x:c r="T1132" t="str">
        <x:v>Credit</x:v>
      </x:c>
      <x:c r="U1132" t="str">
        <x:v>Paid</x:v>
      </x:c>
      <x:c r="V1132" t="str">
        <x:v>Delivered</x:v>
      </x:c>
      <x:c r="W1132" t="n">
        <x:v>0</x:v>
      </x:c>
      <x:c r="X1132" t="str"/>
      <x:c r="Y1132" t="str">
        <x:v>Field Visit</x:v>
      </x:c>
    </x:row>
    <x:row r="1133">
      <x:c r="A1133" t="str">
        <x:v>O001132</x:v>
      </x:c>
      <x:c r="B1133" s="20" t="n">
        <x:v>45944</x:v>
      </x:c>
      <x:c r="C1133" t="str">
        <x:v>C0031</x:v>
      </x:c>
      <x:c r="D1133" t="str">
        <x:v>Royal Restaurant 31</x:v>
      </x:c>
      <x:c r="E1133" t="str">
        <x:v>Restaurant</x:v>
      </x:c>
      <x:c r="F1133" t="str">
        <x:v>Mangaluru</x:v>
      </x:c>
      <x:c r="G1133" t="str">
        <x:v>Arjun</x:v>
      </x:c>
      <x:c r="H1133" t="str">
        <x:v>P048</x:v>
      </x:c>
      <x:c r="I1133" t="str">
        <x:v>Banana 10kg</x:v>
      </x:c>
      <x:c r="J1133" t="str">
        <x:v>Fresh Produce</x:v>
      </x:c>
      <x:c r="K1133" t="str">
        <x:v>Local Market</x:v>
      </x:c>
      <x:c r="L1133" s="22" t="n">
        <x:v>420</x:v>
      </x:c>
      <x:c r="M1133" t="n">
        <x:v>33</x:v>
      </x:c>
      <x:c r="N1133" s="24" t="n">
        <x:v>0.08</x:v>
      </x:c>
      <x:c r="O1133" s="22" t="n">
        <x:f>L1133*M1133</x:f>
        <x:v>13860</x:v>
      </x:c>
      <x:c r="P1133" s="22" t="n">
        <x:f>O1133*(1-N1133)</x:f>
        <x:v>12751.2</x:v>
      </x:c>
      <x:c r="Q1133" s="22" t="n">
        <x:v>350</x:v>
      </x:c>
      <x:c r="R1133" s="22" t="n">
        <x:f>Q1133*M1133</x:f>
        <x:v>11550</x:v>
      </x:c>
      <x:c r="S1133" s="22" t="n">
        <x:f>P1133-R1133</x:f>
        <x:v>1201.2000000000007</x:v>
      </x:c>
      <x:c r="T1133" t="str">
        <x:v>Cash</x:v>
      </x:c>
      <x:c r="U1133" t="str">
        <x:v>Overdue</x:v>
      </x:c>
      <x:c r="V1133" t="str">
        <x:v>Delivered</x:v>
      </x:c>
      <x:c r="W1133" t="n">
        <x:v>0</x:v>
      </x:c>
      <x:c r="X1133" t="str"/>
      <x:c r="Y1133" t="str">
        <x:v>WhatsApp</x:v>
      </x:c>
    </x:row>
    <x:row r="1134">
      <x:c r="A1134" t="str">
        <x:v>O001133</x:v>
      </x:c>
      <x:c r="B1134" s="20" t="n">
        <x:v>45756</x:v>
      </x:c>
      <x:c r="C1134" t="str">
        <x:v>C0117</x:v>
      </x:c>
      <x:c r="D1134" t="str">
        <x:v>Classic Canteen 117</x:v>
      </x:c>
      <x:c r="E1134" t="str">
        <x:v>Restaurant</x:v>
      </x:c>
      <x:c r="F1134" t="str">
        <x:v>Hubballi</x:v>
      </x:c>
      <x:c r="G1134" t="str">
        <x:v>Megha</x:v>
      </x:c>
      <x:c r="H1134" t="str">
        <x:v>P043</x:v>
      </x:c>
      <x:c r="I1134" t="str">
        <x:v>Chicken Breast 1kg</x:v>
      </x:c>
      <x:c r="J1134" t="str">
        <x:v>Protein</x:v>
      </x:c>
      <x:c r="K1134" t="str">
        <x:v>FreshToHome</x:v>
      </x:c>
      <x:c r="L1134" s="22" t="n">
        <x:v>260</x:v>
      </x:c>
      <x:c r="M1134" t="n">
        <x:v>22</x:v>
      </x:c>
      <x:c r="N1134" s="24" t="n">
        <x:v>0.05</x:v>
      </x:c>
      <x:c r="O1134" s="22" t="n">
        <x:f>L1134*M1134</x:f>
        <x:v>5720</x:v>
      </x:c>
      <x:c r="P1134" s="22" t="n">
        <x:f>O1134*(1-N1134)</x:f>
        <x:v>5434</x:v>
      </x:c>
      <x:c r="Q1134" s="22" t="n">
        <x:v>235</x:v>
      </x:c>
      <x:c r="R1134" s="22" t="n">
        <x:f>Q1134*M1134</x:f>
        <x:v>5170</x:v>
      </x:c>
      <x:c r="S1134" s="22" t="n">
        <x:f>P1134-R1134</x:f>
        <x:v>264</x:v>
      </x:c>
      <x:c r="T1134" t="str">
        <x:v>Cash</x:v>
      </x:c>
      <x:c r="U1134" t="str">
        <x:v>Paid</x:v>
      </x:c>
      <x:c r="V1134" t="str">
        <x:v>Delivered</x:v>
      </x:c>
      <x:c r="W1134" t="n">
        <x:v>0</x:v>
      </x:c>
      <x:c r="X1134" t="str"/>
      <x:c r="Y1134" t="str">
        <x:v>Outbound Call</x:v>
      </x:c>
    </x:row>
    <x:row r="1135">
      <x:c r="A1135" t="str">
        <x:v>O001134</x:v>
      </x:c>
      <x:c r="B1135" s="20" t="n">
        <x:v>45890</x:v>
      </x:c>
      <x:c r="C1135" t="str">
        <x:v>C0033</x:v>
      </x:c>
      <x:c r="D1135" t="str">
        <x:v>Shree Canteen 33</x:v>
      </x:c>
      <x:c r="E1135" t="str">
        <x:v>Canteen</x:v>
      </x:c>
      <x:c r="F1135" t="str">
        <x:v>Mangaluru</x:v>
      </x:c>
      <x:c r="G1135" t="str">
        <x:v>Imran</x:v>
      </x:c>
      <x:c r="H1135" t="str">
        <x:v>P007</x:v>
      </x:c>
      <x:c r="I1135" t="str">
        <x:v>Sunflower Oil 15L</x:v>
      </x:c>
      <x:c r="J1135" t="str">
        <x:v>Edible Oil</x:v>
      </x:c>
      <x:c r="K1135" t="str">
        <x:v>Fortune</x:v>
      </x:c>
      <x:c r="L1135" s="22" t="n">
        <x:v>1980</x:v>
      </x:c>
      <x:c r="M1135" t="n">
        <x:v>2</x:v>
      </x:c>
      <x:c r="N1135" s="24" t="n">
        <x:v>0</x:v>
      </x:c>
      <x:c r="O1135" s="22" t="n">
        <x:f>L1135*M1135</x:f>
        <x:v>3960</x:v>
      </x:c>
      <x:c r="P1135" s="22" t="n">
        <x:f>O1135*(1-N1135)</x:f>
        <x:v>3960</x:v>
      </x:c>
      <x:c r="Q1135" s="22" t="n">
        <x:v>1810</x:v>
      </x:c>
      <x:c r="R1135" s="22" t="n">
        <x:f>Q1135*M1135</x:f>
        <x:v>3620</x:v>
      </x:c>
      <x:c r="S1135" s="22" t="n">
        <x:f>P1135-R1135</x:f>
        <x:v>340</x:v>
      </x:c>
      <x:c r="T1135" t="str">
        <x:v>Cash</x:v>
      </x:c>
      <x:c r="U1135" t="str">
        <x:v>Paid</x:v>
      </x:c>
      <x:c r="V1135" t="str">
        <x:v>Delivered</x:v>
      </x:c>
      <x:c r="W1135" t="n">
        <x:v>0</x:v>
      </x:c>
      <x:c r="X1135" t="str"/>
      <x:c r="Y1135" t="str">
        <x:v>WhatsApp</x:v>
      </x:c>
    </x:row>
    <x:row r="1136">
      <x:c r="A1136" t="str">
        <x:v>O001135</x:v>
      </x:c>
      <x:c r="B1136" s="20" t="n">
        <x:v>46174</x:v>
      </x:c>
      <x:c r="C1136" t="str">
        <x:v>C0241</x:v>
      </x:c>
      <x:c r="D1136" t="str">
        <x:v>Annapurna Restaurant 241</x:v>
      </x:c>
      <x:c r="E1136" t="str">
        <x:v>Hotel</x:v>
      </x:c>
      <x:c r="F1136" t="str">
        <x:v>Tumakuru</x:v>
      </x:c>
      <x:c r="G1136" t="str">
        <x:v>Imran</x:v>
      </x:c>
      <x:c r="H1136" t="str">
        <x:v>P006</x:v>
      </x:c>
      <x:c r="I1136" t="str">
        <x:v>Moong Dal 5kg</x:v>
      </x:c>
      <x:c r="J1136" t="str">
        <x:v>Pulses</x:v>
      </x:c>
      <x:c r="K1136" t="str">
        <x:v>Local Select</x:v>
      </x:c>
      <x:c r="L1136" s="22" t="n">
        <x:v>610</x:v>
      </x:c>
      <x:c r="M1136" t="n">
        <x:v>12</x:v>
      </x:c>
      <x:c r="N1136" s="24" t="n">
        <x:v>0.02</x:v>
      </x:c>
      <x:c r="O1136" s="22" t="n">
        <x:f>L1136*M1136</x:f>
        <x:v>7320</x:v>
      </x:c>
      <x:c r="P1136" s="22" t="n">
        <x:f>O1136*(1-N1136)</x:f>
        <x:v>7173.599999999999</x:v>
      </x:c>
      <x:c r="Q1136" s="22" t="n">
        <x:v>540</x:v>
      </x:c>
      <x:c r="R1136" s="22" t="n">
        <x:f>Q1136*M1136</x:f>
        <x:v>6480</x:v>
      </x:c>
      <x:c r="S1136" s="22" t="n">
        <x:f>P1136-R1136</x:f>
        <x:v>693.5999999999995</x:v>
      </x:c>
      <x:c r="T1136" t="str">
        <x:v>Bank Transfer</x:v>
      </x:c>
      <x:c r="U1136" t="str">
        <x:v>Paid</x:v>
      </x:c>
      <x:c r="V1136" t="str">
        <x:v>Cancelled</x:v>
      </x:c>
      <x:c r="W1136" t="n">
        <x:v>12</x:v>
      </x:c>
      <x:c r="X1136" t="str">
        <x:v>Cancelled Order</x:v>
      </x:c>
      <x:c r="Y1136" t="str">
        <x:v>Referral</x:v>
      </x:c>
    </x:row>
    <x:row r="1137">
      <x:c r="A1137" t="str">
        <x:v>O001136</x:v>
      </x:c>
      <x:c r="B1137" s="20" t="n">
        <x:v>46020</x:v>
      </x:c>
      <x:c r="C1137" t="str">
        <x:v>C0051</x:v>
      </x:c>
      <x:c r="D1137" t="str">
        <x:v>Cafe Hotel 51</x:v>
      </x:c>
      <x:c r="E1137" t="str">
        <x:v>Kirana</x:v>
      </x:c>
      <x:c r="F1137" t="str">
        <x:v>Tumakuru</x:v>
      </x:c>
      <x:c r="G1137" t="str">
        <x:v>Arjun</x:v>
      </x:c>
      <x:c r="H1137" t="str">
        <x:v>P047</x:v>
      </x:c>
      <x:c r="I1137" t="str">
        <x:v>Tomato 25kg</x:v>
      </x:c>
      <x:c r="J1137" t="str">
        <x:v>Fresh Produce</x:v>
      </x:c>
      <x:c r="K1137" t="str">
        <x:v>Local Market</x:v>
      </x:c>
      <x:c r="L1137" s="22" t="n">
        <x:v>950</x:v>
      </x:c>
      <x:c r="M1137" t="n">
        <x:v>34</x:v>
      </x:c>
      <x:c r="N1137" s="24" t="n">
        <x:v>0.05</x:v>
      </x:c>
      <x:c r="O1137" s="22" t="n">
        <x:f>L1137*M1137</x:f>
        <x:v>32300</x:v>
      </x:c>
      <x:c r="P1137" s="22" t="n">
        <x:f>O1137*(1-N1137)</x:f>
        <x:v>30685</x:v>
      </x:c>
      <x:c r="Q1137" s="22" t="n">
        <x:v>810</x:v>
      </x:c>
      <x:c r="R1137" s="22" t="n">
        <x:f>Q1137*M1137</x:f>
        <x:v>27540</x:v>
      </x:c>
      <x:c r="S1137" s="22" t="n">
        <x:f>P1137-R1137</x:f>
        <x:v>3145</x:v>
      </x:c>
      <x:c r="T1137" t="str">
        <x:v>Bank Transfer</x:v>
      </x:c>
      <x:c r="U1137" t="str">
        <x:v>Paid</x:v>
      </x:c>
      <x:c r="V1137" t="str">
        <x:v>Delayed</x:v>
      </x:c>
      <x:c r="W1137" t="n">
        <x:v>0</x:v>
      </x:c>
      <x:c r="X1137" t="str"/>
      <x:c r="Y1137" t="str">
        <x:v>Existing Customer</x:v>
      </x:c>
    </x:row>
    <x:row r="1138">
      <x:c r="A1138" t="str">
        <x:v>O001137</x:v>
      </x:c>
      <x:c r="B1138" s="20" t="n">
        <x:v>46210</x:v>
      </x:c>
      <x:c r="C1138" t="str">
        <x:v>C0137</x:v>
      </x:c>
      <x:c r="D1138" t="str">
        <x:v>Green Restaurant 137</x:v>
      </x:c>
      <x:c r="E1138" t="str">
        <x:v>Canteen</x:v>
      </x:c>
      <x:c r="F1138" t="str">
        <x:v>Mangaluru</x:v>
      </x:c>
      <x:c r="G1138" t="str">
        <x:v>Arjun</x:v>
      </x:c>
      <x:c r="H1138" t="str">
        <x:v>P024</x:v>
      </x:c>
      <x:c r="I1138" t="str">
        <x:v>Orange Drink 1L</x:v>
      </x:c>
      <x:c r="J1138" t="str">
        <x:v>Beverage</x:v>
      </x:c>
      <x:c r="K1138" t="str">
        <x:v>Minute Maid</x:v>
      </x:c>
      <x:c r="L1138" s="22" t="n">
        <x:v>105</x:v>
      </x:c>
      <x:c r="M1138" t="n">
        <x:v>15</x:v>
      </x:c>
      <x:c r="N1138" s="24" t="n">
        <x:v>0.05</x:v>
      </x:c>
      <x:c r="O1138" s="22" t="n">
        <x:f>L1138*M1138</x:f>
        <x:v>1575</x:v>
      </x:c>
      <x:c r="P1138" s="22" t="n">
        <x:f>O1138*(1-N1138)</x:f>
        <x:v>1496.25</x:v>
      </x:c>
      <x:c r="Q1138" s="22" t="n">
        <x:v>88</x:v>
      </x:c>
      <x:c r="R1138" s="22" t="n">
        <x:f>Q1138*M1138</x:f>
        <x:v>1320</x:v>
      </x:c>
      <x:c r="S1138" s="22" t="n">
        <x:f>P1138-R1138</x:f>
        <x:v>176.25</x:v>
      </x:c>
      <x:c r="T1138" t="str">
        <x:v>Bank Transfer</x:v>
      </x:c>
      <x:c r="U1138" t="str">
        <x:v>Paid</x:v>
      </x:c>
      <x:c r="V1138" t="str">
        <x:v>Delivered</x:v>
      </x:c>
      <x:c r="W1138" t="n">
        <x:v>0</x:v>
      </x:c>
      <x:c r="X1138" t="str"/>
      <x:c r="Y1138" t="str">
        <x:v>Existing Customer</x:v>
      </x:c>
    </x:row>
    <x:row r="1139">
      <x:c r="A1139" t="str">
        <x:v>O001138</x:v>
      </x:c>
      <x:c r="B1139" s="20" t="n">
        <x:v>45813</x:v>
      </x:c>
      <x:c r="C1139" t="str">
        <x:v>C0239</x:v>
      </x:c>
      <x:c r="D1139" t="str">
        <x:v>Royal Hotel 239</x:v>
      </x:c>
      <x:c r="E1139" t="str">
        <x:v>Restaurant</x:v>
      </x:c>
      <x:c r="F1139" t="str">
        <x:v>Hubballi</x:v>
      </x:c>
      <x:c r="G1139" t="str">
        <x:v>Priya</x:v>
      </x:c>
      <x:c r="H1139" t="str">
        <x:v>P049</x:v>
      </x:c>
      <x:c r="I1139" t="str">
        <x:v>Apple 10kg</x:v>
      </x:c>
      <x:c r="J1139" t="str">
        <x:v>Fresh Produce</x:v>
      </x:c>
      <x:c r="K1139" t="str">
        <x:v>Local Market</x:v>
      </x:c>
      <x:c r="L1139" s="22" t="n">
        <x:v>1450</x:v>
      </x:c>
      <x:c r="M1139" t="n">
        <x:v>10</x:v>
      </x:c>
      <x:c r="N1139" s="24" t="n">
        <x:v>0.03</x:v>
      </x:c>
      <x:c r="O1139" s="22" t="n">
        <x:f>L1139*M1139</x:f>
        <x:v>14500</x:v>
      </x:c>
      <x:c r="P1139" s="22" t="n">
        <x:f>O1139*(1-N1139)</x:f>
        <x:v>14065</x:v>
      </x:c>
      <x:c r="Q1139" s="22" t="n">
        <x:v>1280</x:v>
      </x:c>
      <x:c r="R1139" s="22" t="n">
        <x:f>Q1139*M1139</x:f>
        <x:v>12800</x:v>
      </x:c>
      <x:c r="S1139" s="22" t="n">
        <x:f>P1139-R1139</x:f>
        <x:v>1265</x:v>
      </x:c>
      <x:c r="T1139" t="str">
        <x:v>Bank Transfer</x:v>
      </x:c>
      <x:c r="U1139" t="str">
        <x:v>Paid</x:v>
      </x:c>
      <x:c r="V1139" t="str">
        <x:v>Delivered</x:v>
      </x:c>
      <x:c r="W1139" t="n">
        <x:v>0</x:v>
      </x:c>
      <x:c r="X1139" t="str"/>
      <x:c r="Y1139" t="str">
        <x:v>Existing Customer</x:v>
      </x:c>
    </x:row>
    <x:row r="1140">
      <x:c r="A1140" t="str">
        <x:v>O001139</x:v>
      </x:c>
      <x:c r="B1140" s="20" t="n">
        <x:v>46137</x:v>
      </x:c>
      <x:c r="C1140" t="str">
        <x:v>C0229</x:v>
      </x:c>
      <x:c r="D1140" t="str">
        <x:v>Namma Canteen 229</x:v>
      </x:c>
      <x:c r="E1140" t="str">
        <x:v>Restaurant</x:v>
      </x:c>
      <x:c r="F1140" t="str">
        <x:v>Bengaluru</x:v>
      </x:c>
      <x:c r="G1140" t="str">
        <x:v>Arjun</x:v>
      </x:c>
      <x:c r="H1140" t="str">
        <x:v>P031</x:v>
      </x:c>
      <x:c r="I1140" t="str">
        <x:v>Chilli Sauce 700g</x:v>
      </x:c>
      <x:c r="J1140" t="str">
        <x:v>Condiments</x:v>
      </x:c>
      <x:c r="K1140" t="str">
        <x:v>Ching's</x:v>
      </x:c>
      <x:c r="L1140" s="22" t="n">
        <x:v>130</x:v>
      </x:c>
      <x:c r="M1140" t="n">
        <x:v>21</x:v>
      </x:c>
      <x:c r="N1140" s="24" t="n">
        <x:v>0</x:v>
      </x:c>
      <x:c r="O1140" s="22" t="n">
        <x:f>L1140*M1140</x:f>
        <x:v>2730</x:v>
      </x:c>
      <x:c r="P1140" s="22" t="n">
        <x:f>O1140*(1-N1140)</x:f>
        <x:v>2730</x:v>
      </x:c>
      <x:c r="Q1140" s="22" t="n">
        <x:v>112</x:v>
      </x:c>
      <x:c r="R1140" s="22" t="n">
        <x:f>Q1140*M1140</x:f>
        <x:v>2352</x:v>
      </x:c>
      <x:c r="S1140" s="22" t="n">
        <x:f>P1140-R1140</x:f>
        <x:v>378</x:v>
      </x:c>
      <x:c r="T1140" t="str">
        <x:v>Cash</x:v>
      </x:c>
      <x:c r="U1140" t="str">
        <x:v>Paid</x:v>
      </x:c>
      <x:c r="V1140" t="str">
        <x:v>Delivered</x:v>
      </x:c>
      <x:c r="W1140" t="n">
        <x:v>0</x:v>
      </x:c>
      <x:c r="X1140" t="str"/>
      <x:c r="Y1140" t="str">
        <x:v>Field Visit</x:v>
      </x:c>
    </x:row>
    <x:row r="1141">
      <x:c r="A1141" t="str">
        <x:v>O001140</x:v>
      </x:c>
      <x:c r="B1141" s="20" t="n">
        <x:v>46266</x:v>
      </x:c>
      <x:c r="C1141" t="str">
        <x:v>C0188</x:v>
      </x:c>
      <x:c r="D1141" t="str">
        <x:v>New Canteen 188</x:v>
      </x:c>
      <x:c r="E1141" t="str">
        <x:v>Restaurant</x:v>
      </x:c>
      <x:c r="F1141" t="str">
        <x:v>Bengaluru</x:v>
      </x:c>
      <x:c r="G1141" t="str">
        <x:v>Kavya</x:v>
      </x:c>
      <x:c r="H1141" t="str">
        <x:v>P040</x:v>
      </x:c>
      <x:c r="I1141" t="str">
        <x:v>Bread Loaf 400g</x:v>
      </x:c>
      <x:c r="J1141" t="str">
        <x:v>Bakery</x:v>
      </x:c>
      <x:c r="K1141" t="str">
        <x:v>Britannia</x:v>
      </x:c>
      <x:c r="L1141" s="22" t="n">
        <x:v>45</x:v>
      </x:c>
      <x:c r="M1141" t="n">
        <x:v>5</x:v>
      </x:c>
      <x:c r="N1141" s="24" t="n">
        <x:v>0</x:v>
      </x:c>
      <x:c r="O1141" s="22" t="n">
        <x:f>L1141*M1141</x:f>
        <x:v>225</x:v>
      </x:c>
      <x:c r="P1141" s="22" t="n">
        <x:f>O1141*(1-N1141)</x:f>
        <x:v>225</x:v>
      </x:c>
      <x:c r="Q1141" s="22" t="n">
        <x:v>35</x:v>
      </x:c>
      <x:c r="R1141" s="22" t="n">
        <x:f>Q1141*M1141</x:f>
        <x:v>175</x:v>
      </x:c>
      <x:c r="S1141" s="22" t="n">
        <x:f>P1141-R1141</x:f>
        <x:v>50</x:v>
      </x:c>
      <x:c r="T1141" t="str">
        <x:v>Credit</x:v>
      </x:c>
      <x:c r="U1141" t="str">
        <x:v>Paid</x:v>
      </x:c>
      <x:c r="V1141" t="str">
        <x:v>Delivered</x:v>
      </x:c>
      <x:c r="W1141" t="n">
        <x:v>0</x:v>
      </x:c>
      <x:c r="X1141" t="str"/>
      <x:c r="Y1141" t="str">
        <x:v>Referral</x:v>
      </x:c>
    </x:row>
    <x:row r="1142">
      <x:c r="A1142" t="str">
        <x:v>O001141</x:v>
      </x:c>
      <x:c r="B1142" s="20" t="n">
        <x:v>46087</x:v>
      </x:c>
      <x:c r="C1142" t="str">
        <x:v>C0041</x:v>
      </x:c>
      <x:c r="D1142" t="str">
        <x:v>Grand Mart 41</x:v>
      </x:c>
      <x:c r="E1142" t="str">
        <x:v>Cafe</x:v>
      </x:c>
      <x:c r="F1142" t="str">
        <x:v>Bengaluru</x:v>
      </x:c>
      <x:c r="G1142" t="str">
        <x:v>Kavya</x:v>
      </x:c>
      <x:c r="H1142" t="str">
        <x:v>P042</x:v>
      </x:c>
      <x:c r="I1142" t="str">
        <x:v>Eggs 30pc Tray</x:v>
      </x:c>
      <x:c r="J1142" t="str">
        <x:v>Protein</x:v>
      </x:c>
      <x:c r="K1142" t="str">
        <x:v>Farm Fresh</x:v>
      </x:c>
      <x:c r="L1142" s="22" t="n">
        <x:v>195</x:v>
      </x:c>
      <x:c r="M1142" t="n">
        <x:v>26</x:v>
      </x:c>
      <x:c r="N1142" s="24" t="n">
        <x:v>0.03</x:v>
      </x:c>
      <x:c r="O1142" s="22" t="n">
        <x:f>L1142*M1142</x:f>
        <x:v>5070</x:v>
      </x:c>
      <x:c r="P1142" s="22" t="n">
        <x:f>O1142*(1-N1142)</x:f>
        <x:v>4917.9</x:v>
      </x:c>
      <x:c r="Q1142" s="22" t="n">
        <x:v>170</x:v>
      </x:c>
      <x:c r="R1142" s="22" t="n">
        <x:f>Q1142*M1142</x:f>
        <x:v>4420</x:v>
      </x:c>
      <x:c r="S1142" s="22" t="n">
        <x:f>P1142-R1142</x:f>
        <x:v>497.89999999999964</x:v>
      </x:c>
      <x:c r="T1142" t="str">
        <x:v>Bank Transfer</x:v>
      </x:c>
      <x:c r="U1142" t="str">
        <x:v>Pending</x:v>
      </x:c>
      <x:c r="V1142" t="str">
        <x:v>Delivered</x:v>
      </x:c>
      <x:c r="W1142" t="n">
        <x:v>0</x:v>
      </x:c>
      <x:c r="X1142" t="str"/>
      <x:c r="Y1142" t="str">
        <x:v>Field Visit</x:v>
      </x:c>
    </x:row>
    <x:row r="1143">
      <x:c r="A1143" t="str">
        <x:v>O001142</x:v>
      </x:c>
      <x:c r="B1143" s="20" t="n">
        <x:v>46257</x:v>
      </x:c>
      <x:c r="C1143" t="str">
        <x:v>C0103</x:v>
      </x:c>
      <x:c r="D1143" t="str">
        <x:v>Fresh Kitchen 103</x:v>
      </x:c>
      <x:c r="E1143" t="str">
        <x:v>Supermarket</x:v>
      </x:c>
      <x:c r="F1143" t="str">
        <x:v>Davanagere</x:v>
      </x:c>
      <x:c r="G1143" t="str">
        <x:v>Megha</x:v>
      </x:c>
      <x:c r="H1143" t="str">
        <x:v>P008</x:v>
      </x:c>
      <x:c r="I1143" t="str">
        <x:v>Palm Oil 15L</x:v>
      </x:c>
      <x:c r="J1143" t="str">
        <x:v>Edible Oil</x:v>
      </x:c>
      <x:c r="K1143" t="str">
        <x:v>Ruchi Gold</x:v>
      </x:c>
      <x:c r="L1143" s="22" t="n">
        <x:v>1760</x:v>
      </x:c>
      <x:c r="M1143" t="n">
        <x:v>4</x:v>
      </x:c>
      <x:c r="N1143" s="24" t="n">
        <x:v>0.03</x:v>
      </x:c>
      <x:c r="O1143" s="22" t="n">
        <x:f>L1143*M1143</x:f>
        <x:v>7040</x:v>
      </x:c>
      <x:c r="P1143" s="22" t="n">
        <x:f>O1143*(1-N1143)</x:f>
        <x:v>6828.8</x:v>
      </x:c>
      <x:c r="Q1143" s="22" t="n">
        <x:v>1610</x:v>
      </x:c>
      <x:c r="R1143" s="22" t="n">
        <x:f>Q1143*M1143</x:f>
        <x:v>6440</x:v>
      </x:c>
      <x:c r="S1143" s="22" t="n">
        <x:f>P1143-R1143</x:f>
        <x:v>388.8000000000002</x:v>
      </x:c>
      <x:c r="T1143" t="str">
        <x:v>Cash</x:v>
      </x:c>
      <x:c r="U1143" t="str">
        <x:v>Pending</x:v>
      </x:c>
      <x:c r="V1143" t="str">
        <x:v>Delivered</x:v>
      </x:c>
      <x:c r="W1143" t="n">
        <x:v>0</x:v>
      </x:c>
      <x:c r="X1143" t="str"/>
      <x:c r="Y1143" t="str">
        <x:v>Existing Customer</x:v>
      </x:c>
    </x:row>
    <x:row r="1144">
      <x:c r="A1144" t="str">
        <x:v>O001143</x:v>
      </x:c>
      <x:c r="B1144" s="20" t="n">
        <x:v>46270</x:v>
      </x:c>
      <x:c r="C1144" t="str">
        <x:v>C0027</x:v>
      </x:c>
      <x:c r="D1144" t="str">
        <x:v>Fresh Cafe 27</x:v>
      </x:c>
      <x:c r="E1144" t="str">
        <x:v>Restaurant</x:v>
      </x:c>
      <x:c r="F1144" t="str">
        <x:v>Tumakuru</x:v>
      </x:c>
      <x:c r="G1144" t="str">
        <x:v>Megha</x:v>
      </x:c>
      <x:c r="H1144" t="str">
        <x:v>P050</x:v>
      </x:c>
      <x:c r="I1144" t="str">
        <x:v>Lemon 5kg</x:v>
      </x:c>
      <x:c r="J1144" t="str">
        <x:v>Fresh Produce</x:v>
      </x:c>
      <x:c r="K1144" t="str">
        <x:v>Local Market</x:v>
      </x:c>
      <x:c r="L1144" s="22" t="n">
        <x:v>360</x:v>
      </x:c>
      <x:c r="M1144" t="n">
        <x:v>31</x:v>
      </x:c>
      <x:c r="N1144" s="24" t="n">
        <x:v>0</x:v>
      </x:c>
      <x:c r="O1144" s="22" t="n">
        <x:f>L1144*M1144</x:f>
        <x:v>11160</x:v>
      </x:c>
      <x:c r="P1144" s="22" t="n">
        <x:f>O1144*(1-N1144)</x:f>
        <x:v>11160</x:v>
      </x:c>
      <x:c r="Q1144" s="22" t="n">
        <x:v>300</x:v>
      </x:c>
      <x:c r="R1144" s="22" t="n">
        <x:f>Q1144*M1144</x:f>
        <x:v>9300</x:v>
      </x:c>
      <x:c r="S1144" s="22" t="n">
        <x:f>P1144-R1144</x:f>
        <x:v>1860</x:v>
      </x:c>
      <x:c r="T1144" t="str">
        <x:v>Credit</x:v>
      </x:c>
      <x:c r="U1144" t="str">
        <x:v>Paid</x:v>
      </x:c>
      <x:c r="V1144" t="str">
        <x:v>Delivered</x:v>
      </x:c>
      <x:c r="W1144" t="n">
        <x:v>0</x:v>
      </x:c>
      <x:c r="X1144" t="str"/>
      <x:c r="Y1144" t="str">
        <x:v>Existing Customer</x:v>
      </x:c>
    </x:row>
    <x:row r="1145">
      <x:c r="A1145" t="str">
        <x:v>O001144</x:v>
      </x:c>
      <x:c r="B1145" s="20" t="n">
        <x:v>46007</x:v>
      </x:c>
      <x:c r="C1145" t="str">
        <x:v>C0019</x:v>
      </x:c>
      <x:c r="D1145" t="str">
        <x:v>Grand Kitchen 19</x:v>
      </x:c>
      <x:c r="E1145" t="str">
        <x:v>Supermarket</x:v>
      </x:c>
      <x:c r="F1145" t="str">
        <x:v>Tumakuru</x:v>
      </x:c>
      <x:c r="G1145" t="str">
        <x:v>Sneha</x:v>
      </x:c>
      <x:c r="H1145" t="str">
        <x:v>P049</x:v>
      </x:c>
      <x:c r="I1145" t="str">
        <x:v>Apple 10kg</x:v>
      </x:c>
      <x:c r="J1145" t="str">
        <x:v>Fresh Produce</x:v>
      </x:c>
      <x:c r="K1145" t="str">
        <x:v>Local Market</x:v>
      </x:c>
      <x:c r="L1145" s="22" t="n">
        <x:v>1450</x:v>
      </x:c>
      <x:c r="M1145" t="n">
        <x:v>1</x:v>
      </x:c>
      <x:c r="N1145" s="24" t="n">
        <x:v>0.02</x:v>
      </x:c>
      <x:c r="O1145" s="22" t="n">
        <x:f>L1145*M1145</x:f>
        <x:v>1450</x:v>
      </x:c>
      <x:c r="P1145" s="22" t="n">
        <x:f>O1145*(1-N1145)</x:f>
        <x:v>1421</x:v>
      </x:c>
      <x:c r="Q1145" s="22" t="n">
        <x:v>1280</x:v>
      </x:c>
      <x:c r="R1145" s="22" t="n">
        <x:f>Q1145*M1145</x:f>
        <x:v>1280</x:v>
      </x:c>
      <x:c r="S1145" s="22" t="n">
        <x:f>P1145-R1145</x:f>
        <x:v>141</x:v>
      </x:c>
      <x:c r="T1145" t="str">
        <x:v>Cash</x:v>
      </x:c>
      <x:c r="U1145" t="str">
        <x:v>Paid</x:v>
      </x:c>
      <x:c r="V1145" t="str">
        <x:v>Delivered</x:v>
      </x:c>
      <x:c r="W1145" t="n">
        <x:v>0</x:v>
      </x:c>
      <x:c r="X1145" t="str"/>
      <x:c r="Y1145" t="str">
        <x:v>Referral</x:v>
      </x:c>
    </x:row>
    <x:row r="1146">
      <x:c r="A1146" t="str">
        <x:v>O001145</x:v>
      </x:c>
      <x:c r="B1146" s="20" t="n">
        <x:v>45956</x:v>
      </x:c>
      <x:c r="C1146" t="str">
        <x:v>C0178</x:v>
      </x:c>
      <x:c r="D1146" t="str">
        <x:v>Annapurna Foods 178</x:v>
      </x:c>
      <x:c r="E1146" t="str">
        <x:v>Canteen</x:v>
      </x:c>
      <x:c r="F1146" t="str">
        <x:v>Tumakuru</x:v>
      </x:c>
      <x:c r="G1146" t="str">
        <x:v>Imran</x:v>
      </x:c>
      <x:c r="H1146" t="str">
        <x:v>P032</x:v>
      </x:c>
      <x:c r="I1146" t="str">
        <x:v>Soy Sauce 700g</x:v>
      </x:c>
      <x:c r="J1146" t="str">
        <x:v>Condiments</x:v>
      </x:c>
      <x:c r="K1146" t="str">
        <x:v>Ching's</x:v>
      </x:c>
      <x:c r="L1146" s="22" t="n">
        <x:v>118</x:v>
      </x:c>
      <x:c r="M1146" t="n">
        <x:v>15</x:v>
      </x:c>
      <x:c r="N1146" s="24" t="n">
        <x:v>0.03</x:v>
      </x:c>
      <x:c r="O1146" s="22" t="n">
        <x:f>L1146*M1146</x:f>
        <x:v>1770</x:v>
      </x:c>
      <x:c r="P1146" s="22" t="n">
        <x:f>O1146*(1-N1146)</x:f>
        <x:v>1716.8999999999999</x:v>
      </x:c>
      <x:c r="Q1146" s="22" t="n">
        <x:v>101</x:v>
      </x:c>
      <x:c r="R1146" s="22" t="n">
        <x:f>Q1146*M1146</x:f>
        <x:v>1515</x:v>
      </x:c>
      <x:c r="S1146" s="22" t="n">
        <x:f>P1146-R1146</x:f>
        <x:v>201.89999999999986</x:v>
      </x:c>
      <x:c r="T1146" t="str">
        <x:v>UPI</x:v>
      </x:c>
      <x:c r="U1146" t="str">
        <x:v>Overdue</x:v>
      </x:c>
      <x:c r="V1146" t="str">
        <x:v>Delayed</x:v>
      </x:c>
      <x:c r="W1146" t="n">
        <x:v>0</x:v>
      </x:c>
      <x:c r="X1146" t="str"/>
      <x:c r="Y1146" t="str">
        <x:v>Existing Customer</x:v>
      </x:c>
    </x:row>
    <x:row r="1147">
      <x:c r="A1147" t="str">
        <x:v>O001146</x:v>
      </x:c>
      <x:c r="B1147" s="20" t="n">
        <x:v>46164</x:v>
      </x:c>
      <x:c r="C1147" t="str">
        <x:v>C0062</x:v>
      </x:c>
      <x:c r="D1147" t="str">
        <x:v>Foodie Hotel 62</x:v>
      </x:c>
      <x:c r="E1147" t="str">
        <x:v>Cafe</x:v>
      </x:c>
      <x:c r="F1147" t="str">
        <x:v>Mysuru</x:v>
      </x:c>
      <x:c r="G1147" t="str">
        <x:v>Vikram</x:v>
      </x:c>
      <x:c r="H1147" t="str">
        <x:v>P043</x:v>
      </x:c>
      <x:c r="I1147" t="str">
        <x:v>Chicken Breast 1kg</x:v>
      </x:c>
      <x:c r="J1147" t="str">
        <x:v>Protein</x:v>
      </x:c>
      <x:c r="K1147" t="str">
        <x:v>FreshToHome</x:v>
      </x:c>
      <x:c r="L1147" s="22" t="n">
        <x:v>260</x:v>
      </x:c>
      <x:c r="M1147" t="n">
        <x:v>28</x:v>
      </x:c>
      <x:c r="N1147" s="24" t="n">
        <x:v>0.03</x:v>
      </x:c>
      <x:c r="O1147" s="22" t="n">
        <x:f>L1147*M1147</x:f>
        <x:v>7280</x:v>
      </x:c>
      <x:c r="P1147" s="22" t="n">
        <x:f>O1147*(1-N1147)</x:f>
        <x:v>7061.599999999999</x:v>
      </x:c>
      <x:c r="Q1147" s="22" t="n">
        <x:v>235</x:v>
      </x:c>
      <x:c r="R1147" s="22" t="n">
        <x:f>Q1147*M1147</x:f>
        <x:v>6580</x:v>
      </x:c>
      <x:c r="S1147" s="22" t="n">
        <x:f>P1147-R1147</x:f>
        <x:v>481.59999999999945</x:v>
      </x:c>
      <x:c r="T1147" t="str">
        <x:v>UPI</x:v>
      </x:c>
      <x:c r="U1147" t="str">
        <x:v>Pending</x:v>
      </x:c>
      <x:c r="V1147" t="str">
        <x:v>Delivered</x:v>
      </x:c>
      <x:c r="W1147" t="n">
        <x:v>0</x:v>
      </x:c>
      <x:c r="X1147" t="str"/>
      <x:c r="Y1147" t="str">
        <x:v>Field Visit</x:v>
      </x:c>
    </x:row>
    <x:row r="1148">
      <x:c r="A1148" t="str">
        <x:v>O001147</x:v>
      </x:c>
      <x:c r="B1148" s="20" t="n">
        <x:v>45994</x:v>
      </x:c>
      <x:c r="C1148" t="str">
        <x:v>C0164</x:v>
      </x:c>
      <x:c r="D1148" t="str">
        <x:v>Sri Hotel 164</x:v>
      </x:c>
      <x:c r="E1148" t="str">
        <x:v>Kirana</x:v>
      </x:c>
      <x:c r="F1148" t="str">
        <x:v>Mysuru</x:v>
      </x:c>
      <x:c r="G1148" t="str">
        <x:v>Vikram</x:v>
      </x:c>
      <x:c r="H1148" t="str">
        <x:v>P033</x:v>
      </x:c>
      <x:c r="I1148" t="str">
        <x:v>Turmeric Powder 1kg</x:v>
      </x:c>
      <x:c r="J1148" t="str">
        <x:v>Spices</x:v>
      </x:c>
      <x:c r="K1148" t="str">
        <x:v>Everest</x:v>
      </x:c>
      <x:c r="L1148" s="22" t="n">
        <x:v>310</x:v>
      </x:c>
      <x:c r="M1148" t="n">
        <x:v>27</x:v>
      </x:c>
      <x:c r="N1148" s="24" t="n">
        <x:v>0.05</x:v>
      </x:c>
      <x:c r="O1148" s="22" t="n">
        <x:f>L1148*M1148</x:f>
        <x:v>8370</x:v>
      </x:c>
      <x:c r="P1148" s="22" t="n">
        <x:f>O1148*(1-N1148)</x:f>
        <x:v>7951.5</x:v>
      </x:c>
      <x:c r="Q1148" s="22" t="n">
        <x:v>270</x:v>
      </x:c>
      <x:c r="R1148" s="22" t="n">
        <x:f>Q1148*M1148</x:f>
        <x:v>7290</x:v>
      </x:c>
      <x:c r="S1148" s="22" t="n">
        <x:f>P1148-R1148</x:f>
        <x:v>661.5</x:v>
      </x:c>
      <x:c r="T1148" t="str">
        <x:v>Cash</x:v>
      </x:c>
      <x:c r="U1148" t="str">
        <x:v>Overdue</x:v>
      </x:c>
      <x:c r="V1148" t="str">
        <x:v>Delivered</x:v>
      </x:c>
      <x:c r="W1148" t="n">
        <x:v>4</x:v>
      </x:c>
      <x:c r="X1148" t="str">
        <x:v>Wrong Item</x:v>
      </x:c>
      <x:c r="Y1148" t="str">
        <x:v>Existing Customer</x:v>
      </x:c>
    </x:row>
    <x:row r="1149">
      <x:c r="A1149" t="str">
        <x:v>O001148</x:v>
      </x:c>
      <x:c r="B1149" s="20" t="n">
        <x:v>45930</x:v>
      </x:c>
      <x:c r="C1149" t="str">
        <x:v>C0152</x:v>
      </x:c>
      <x:c r="D1149" t="str">
        <x:v>Metro Stores 152</x:v>
      </x:c>
      <x:c r="E1149" t="str">
        <x:v>Cafe</x:v>
      </x:c>
      <x:c r="F1149" t="str">
        <x:v>Hubballi</x:v>
      </x:c>
      <x:c r="G1149" t="str">
        <x:v>Priya</x:v>
      </x:c>
      <x:c r="H1149" t="str">
        <x:v>P028</x:v>
      </x:c>
      <x:c r="I1149" t="str">
        <x:v>Cookies 200g</x:v>
      </x:c>
      <x:c r="J1149" t="str">
        <x:v>Snacks</x:v>
      </x:c>
      <x:c r="K1149" t="str">
        <x:v>Britannia</x:v>
      </x:c>
      <x:c r="L1149" s="22" t="n">
        <x:v>55</x:v>
      </x:c>
      <x:c r="M1149" t="n">
        <x:v>7</x:v>
      </x:c>
      <x:c r="N1149" s="24" t="n">
        <x:v>0.1</x:v>
      </x:c>
      <x:c r="O1149" s="22" t="n">
        <x:f>L1149*M1149</x:f>
        <x:v>385</x:v>
      </x:c>
      <x:c r="P1149" s="22" t="n">
        <x:f>O1149*(1-N1149)</x:f>
        <x:v>346.5</x:v>
      </x:c>
      <x:c r="Q1149" s="22" t="n">
        <x:v>42</x:v>
      </x:c>
      <x:c r="R1149" s="22" t="n">
        <x:f>Q1149*M1149</x:f>
        <x:v>294</x:v>
      </x:c>
      <x:c r="S1149" s="22" t="n">
        <x:f>P1149-R1149</x:f>
        <x:v>52.5</x:v>
      </x:c>
      <x:c r="T1149" t="str">
        <x:v>Credit</x:v>
      </x:c>
      <x:c r="U1149" t="str">
        <x:v>Paid</x:v>
      </x:c>
      <x:c r="V1149" t="str">
        <x:v>Delayed</x:v>
      </x:c>
      <x:c r="W1149" t="n">
        <x:v>0</x:v>
      </x:c>
      <x:c r="X1149" t="str"/>
      <x:c r="Y1149" t="str">
        <x:v>WhatsApp</x:v>
      </x:c>
    </x:row>
    <x:row r="1150">
      <x:c r="A1150" t="str">
        <x:v>O001149</x:v>
      </x:c>
      <x:c r="B1150" s="20" t="n">
        <x:v>46049</x:v>
      </x:c>
      <x:c r="C1150" t="str">
        <x:v>C0223</x:v>
      </x:c>
      <x:c r="D1150" t="str">
        <x:v>Classic Canteen 223</x:v>
      </x:c>
      <x:c r="E1150" t="str">
        <x:v>Restaurant</x:v>
      </x:c>
      <x:c r="F1150" t="str">
        <x:v>Tumakuru</x:v>
      </x:c>
      <x:c r="G1150" t="str">
        <x:v>Kavya</x:v>
      </x:c>
      <x:c r="H1150" t="str">
        <x:v>P043</x:v>
      </x:c>
      <x:c r="I1150" t="str">
        <x:v>Chicken Breast 1kg</x:v>
      </x:c>
      <x:c r="J1150" t="str">
        <x:v>Protein</x:v>
      </x:c>
      <x:c r="K1150" t="str">
        <x:v>FreshToHome</x:v>
      </x:c>
      <x:c r="L1150" s="22" t="n">
        <x:v>260</x:v>
      </x:c>
      <x:c r="M1150" t="n">
        <x:v>3</x:v>
      </x:c>
      <x:c r="N1150" s="24" t="n">
        <x:v>0.05</x:v>
      </x:c>
      <x:c r="O1150" s="22" t="n">
        <x:f>L1150*M1150</x:f>
        <x:v>780</x:v>
      </x:c>
      <x:c r="P1150" s="22" t="n">
        <x:f>O1150*(1-N1150)</x:f>
        <x:v>741</x:v>
      </x:c>
      <x:c r="Q1150" s="22" t="n">
        <x:v>235</x:v>
      </x:c>
      <x:c r="R1150" s="22" t="n">
        <x:f>Q1150*M1150</x:f>
        <x:v>705</x:v>
      </x:c>
      <x:c r="S1150" s="22" t="n">
        <x:f>P1150-R1150</x:f>
        <x:v>36</x:v>
      </x:c>
      <x:c r="T1150" t="str">
        <x:v>UPI</x:v>
      </x:c>
      <x:c r="U1150" t="str">
        <x:v>Paid</x:v>
      </x:c>
      <x:c r="V1150" t="str">
        <x:v>Delivered</x:v>
      </x:c>
      <x:c r="W1150" t="n">
        <x:v>0</x:v>
      </x:c>
      <x:c r="X1150" t="str"/>
      <x:c r="Y1150" t="str">
        <x:v>Referral</x:v>
      </x:c>
    </x:row>
    <x:row r="1151">
      <x:c r="A1151" t="str">
        <x:v>O001150</x:v>
      </x:c>
      <x:c r="B1151" s="20" t="n">
        <x:v>46276</x:v>
      </x:c>
      <x:c r="C1151" t="str">
        <x:v>C0173</x:v>
      </x:c>
      <x:c r="D1151" t="str">
        <x:v>Royal Kitchen 173</x:v>
      </x:c>
      <x:c r="E1151" t="str">
        <x:v>Hotel</x:v>
      </x:c>
      <x:c r="F1151" t="str">
        <x:v>Bengaluru</x:v>
      </x:c>
      <x:c r="G1151" t="str">
        <x:v>Priya</x:v>
      </x:c>
      <x:c r="H1151" t="str">
        <x:v>P046</x:v>
      </x:c>
      <x:c r="I1151" t="str">
        <x:v>Potato 25kg</x:v>
      </x:c>
      <x:c r="J1151" t="str">
        <x:v>Fresh Produce</x:v>
      </x:c>
      <x:c r="K1151" t="str">
        <x:v>Local Market</x:v>
      </x:c>
      <x:c r="L1151" s="22" t="n">
        <x:v>700</x:v>
      </x:c>
      <x:c r="M1151" t="n">
        <x:v>27</x:v>
      </x:c>
      <x:c r="N1151" s="24" t="n">
        <x:v>0.05</x:v>
      </x:c>
      <x:c r="O1151" s="22" t="n">
        <x:f>L1151*M1151</x:f>
        <x:v>18900</x:v>
      </x:c>
      <x:c r="P1151" s="22" t="n">
        <x:f>O1151*(1-N1151)</x:f>
        <x:v>17955</x:v>
      </x:c>
      <x:c r="Q1151" s="22" t="n">
        <x:v>610</x:v>
      </x:c>
      <x:c r="R1151" s="22" t="n">
        <x:f>Q1151*M1151</x:f>
        <x:v>16470</x:v>
      </x:c>
      <x:c r="S1151" s="22" t="n">
        <x:f>P1151-R1151</x:f>
        <x:v>1485</x:v>
      </x:c>
      <x:c r="T1151" t="str">
        <x:v>UPI</x:v>
      </x:c>
      <x:c r="U1151" t="str">
        <x:v>Paid</x:v>
      </x:c>
      <x:c r="V1151" t="str">
        <x:v>Delivered</x:v>
      </x:c>
      <x:c r="W1151" t="n">
        <x:v>0</x:v>
      </x:c>
      <x:c r="X1151" t="str"/>
      <x:c r="Y1151" t="str">
        <x:v>Existing Customer</x:v>
      </x:c>
    </x:row>
    <x:row r="1152">
      <x:c r="A1152" t="str">
        <x:v>O001151</x:v>
      </x:c>
      <x:c r="B1152" s="20" t="n">
        <x:v>46100</x:v>
      </x:c>
      <x:c r="C1152" t="str">
        <x:v>C0010</x:v>
      </x:c>
      <x:c r="D1152" t="str">
        <x:v>Royal Hotel 10</x:v>
      </x:c>
      <x:c r="E1152" t="str">
        <x:v>Canteen</x:v>
      </x:c>
      <x:c r="F1152" t="str">
        <x:v>Davanagere</x:v>
      </x:c>
      <x:c r="G1152" t="str">
        <x:v>Ramesh</x:v>
      </x:c>
      <x:c r="H1152" t="str">
        <x:v>P026</x:v>
      </x:c>
      <x:c r="I1152" t="str">
        <x:v>Banana Chips 80g</x:v>
      </x:c>
      <x:c r="J1152" t="str">
        <x:v>Snacks</x:v>
      </x:c>
      <x:c r="K1152" t="str">
        <x:v>SSS</x:v>
      </x:c>
      <x:c r="L1152" s="22" t="n">
        <x:v>54</x:v>
      </x:c>
      <x:c r="M1152" t="n">
        <x:v>2</x:v>
      </x:c>
      <x:c r="N1152" s="24" t="n">
        <x:v>0</x:v>
      </x:c>
      <x:c r="O1152" s="22" t="n">
        <x:f>L1152*M1152</x:f>
        <x:v>108</x:v>
      </x:c>
      <x:c r="P1152" s="22" t="n">
        <x:f>O1152*(1-N1152)</x:f>
        <x:v>108</x:v>
      </x:c>
      <x:c r="Q1152" s="22" t="n">
        <x:v>39</x:v>
      </x:c>
      <x:c r="R1152" s="22" t="n">
        <x:f>Q1152*M1152</x:f>
        <x:v>78</x:v>
      </x:c>
      <x:c r="S1152" s="22" t="n">
        <x:f>P1152-R1152</x:f>
        <x:v>30</x:v>
      </x:c>
      <x:c r="T1152" t="str">
        <x:v>Bank Transfer</x:v>
      </x:c>
      <x:c r="U1152" t="str">
        <x:v>Paid</x:v>
      </x:c>
      <x:c r="V1152" t="str">
        <x:v>Delivered</x:v>
      </x:c>
      <x:c r="W1152" t="n">
        <x:v>0</x:v>
      </x:c>
      <x:c r="X1152" t="str"/>
      <x:c r="Y1152" t="str">
        <x:v>WhatsApp</x:v>
      </x:c>
    </x:row>
    <x:row r="1153">
      <x:c r="A1153" t="str">
        <x:v>O001152</x:v>
      </x:c>
      <x:c r="B1153" s="20" t="n">
        <x:v>45917</x:v>
      </x:c>
      <x:c r="C1153" t="str">
        <x:v>C0187</x:v>
      </x:c>
      <x:c r="D1153" t="str">
        <x:v>City Cafe 187</x:v>
      </x:c>
      <x:c r="E1153" t="str">
        <x:v>Hotel</x:v>
      </x:c>
      <x:c r="F1153" t="str">
        <x:v>Mysuru</x:v>
      </x:c>
      <x:c r="G1153" t="str">
        <x:v>Priya</x:v>
      </x:c>
      <x:c r="H1153" t="str">
        <x:v>P030</x:v>
      </x:c>
      <x:c r="I1153" t="str">
        <x:v>Mayonnaise 1kg</x:v>
      </x:c>
      <x:c r="J1153" t="str">
        <x:v>Condiments</x:v>
      </x:c>
      <x:c r="K1153" t="str">
        <x:v>Veeba</x:v>
      </x:c>
      <x:c r="L1153" s="22" t="n">
        <x:v>210</x:v>
      </x:c>
      <x:c r="M1153" t="n">
        <x:v>23</x:v>
      </x:c>
      <x:c r="N1153" s="24" t="n">
        <x:v>0.05</x:v>
      </x:c>
      <x:c r="O1153" s="22" t="n">
        <x:f>L1153*M1153</x:f>
        <x:v>4830</x:v>
      </x:c>
      <x:c r="P1153" s="22" t="n">
        <x:f>O1153*(1-N1153)</x:f>
        <x:v>4588.5</x:v>
      </x:c>
      <x:c r="Q1153" s="22" t="n">
        <x:v>185</x:v>
      </x:c>
      <x:c r="R1153" s="22" t="n">
        <x:f>Q1153*M1153</x:f>
        <x:v>4255</x:v>
      </x:c>
      <x:c r="S1153" s="22" t="n">
        <x:f>P1153-R1153</x:f>
        <x:v>333.5</x:v>
      </x:c>
      <x:c r="T1153" t="str">
        <x:v>Cash</x:v>
      </x:c>
      <x:c r="U1153" t="str">
        <x:v>Paid</x:v>
      </x:c>
      <x:c r="V1153" t="str">
        <x:v>Delivered</x:v>
      </x:c>
      <x:c r="W1153" t="n">
        <x:v>0</x:v>
      </x:c>
      <x:c r="X1153" t="str"/>
      <x:c r="Y1153" t="str">
        <x:v>Outbound Call</x:v>
      </x:c>
    </x:row>
    <x:row r="1154">
      <x:c r="A1154" t="str">
        <x:v>O001153</x:v>
      </x:c>
      <x:c r="B1154" s="20" t="n">
        <x:v>45927</x:v>
      </x:c>
      <x:c r="C1154" t="str">
        <x:v>C0179</x:v>
      </x:c>
      <x:c r="D1154" t="str">
        <x:v>Shree Hotel 179</x:v>
      </x:c>
      <x:c r="E1154" t="str">
        <x:v>Restaurant</x:v>
      </x:c>
      <x:c r="F1154" t="str">
        <x:v>Hubballi</x:v>
      </x:c>
      <x:c r="G1154" t="str">
        <x:v>Kavya</x:v>
      </x:c>
      <x:c r="H1154" t="str">
        <x:v>P041</x:v>
      </x:c>
      <x:c r="I1154" t="str">
        <x:v>Burger Bun 6pc</x:v>
      </x:c>
      <x:c r="J1154" t="str">
        <x:v>Bakery</x:v>
      </x:c>
      <x:c r="K1154" t="str">
        <x:v>Modern</x:v>
      </x:c>
      <x:c r="L1154" s="22" t="n">
        <x:v>42</x:v>
      </x:c>
      <x:c r="M1154" t="n">
        <x:v>11</x:v>
      </x:c>
      <x:c r="N1154" s="24" t="n">
        <x:v>0</x:v>
      </x:c>
      <x:c r="O1154" s="22" t="n">
        <x:f>L1154*M1154</x:f>
        <x:v>462</x:v>
      </x:c>
      <x:c r="P1154" s="22" t="n">
        <x:f>O1154*(1-N1154)</x:f>
        <x:v>462</x:v>
      </x:c>
      <x:c r="Q1154" s="22" t="n">
        <x:v>32</x:v>
      </x:c>
      <x:c r="R1154" s="22" t="n">
        <x:f>Q1154*M1154</x:f>
        <x:v>352</x:v>
      </x:c>
      <x:c r="S1154" s="22" t="n">
        <x:f>P1154-R1154</x:f>
        <x:v>110</x:v>
      </x:c>
      <x:c r="T1154" t="str">
        <x:v>Cash</x:v>
      </x:c>
      <x:c r="U1154" t="str">
        <x:v>Pending</x:v>
      </x:c>
      <x:c r="V1154" t="str">
        <x:v>Delivered</x:v>
      </x:c>
      <x:c r="W1154" t="n">
        <x:v>0</x:v>
      </x:c>
      <x:c r="X1154" t="str"/>
      <x:c r="Y1154" t="str">
        <x:v>Referral</x:v>
      </x:c>
    </x:row>
    <x:row r="1155">
      <x:c r="A1155" t="str">
        <x:v>O001154</x:v>
      </x:c>
      <x:c r="B1155" s="20" t="n">
        <x:v>45999</x:v>
      </x:c>
      <x:c r="C1155" t="str">
        <x:v>C0220</x:v>
      </x:c>
      <x:c r="D1155" t="str">
        <x:v>Udupi Canteen 220</x:v>
      </x:c>
      <x:c r="E1155" t="str">
        <x:v>Restaurant</x:v>
      </x:c>
      <x:c r="F1155" t="str">
        <x:v>Bengaluru</x:v>
      </x:c>
      <x:c r="G1155" t="str">
        <x:v>Sneha</x:v>
      </x:c>
      <x:c r="H1155" t="str">
        <x:v>P006</x:v>
      </x:c>
      <x:c r="I1155" t="str">
        <x:v>Moong Dal 5kg</x:v>
      </x:c>
      <x:c r="J1155" t="str">
        <x:v>Pulses</x:v>
      </x:c>
      <x:c r="K1155" t="str">
        <x:v>Local Select</x:v>
      </x:c>
      <x:c r="L1155" s="22" t="n">
        <x:v>610</x:v>
      </x:c>
      <x:c r="M1155" t="n">
        <x:v>23</x:v>
      </x:c>
      <x:c r="N1155" s="24" t="n">
        <x:v>0.05</x:v>
      </x:c>
      <x:c r="O1155" s="22" t="n">
        <x:f>L1155*M1155</x:f>
        <x:v>14030</x:v>
      </x:c>
      <x:c r="P1155" s="22" t="n">
        <x:f>O1155*(1-N1155)</x:f>
        <x:v>13328.5</x:v>
      </x:c>
      <x:c r="Q1155" s="22" t="n">
        <x:v>540</x:v>
      </x:c>
      <x:c r="R1155" s="22" t="n">
        <x:f>Q1155*M1155</x:f>
        <x:v>12420</x:v>
      </x:c>
      <x:c r="S1155" s="22" t="n">
        <x:f>P1155-R1155</x:f>
        <x:v>908.5</x:v>
      </x:c>
      <x:c r="T1155" t="str">
        <x:v>Bank Transfer</x:v>
      </x:c>
      <x:c r="U1155" t="str">
        <x:v>Paid</x:v>
      </x:c>
      <x:c r="V1155" t="str">
        <x:v>Delivered</x:v>
      </x:c>
      <x:c r="W1155" t="n">
        <x:v>0</x:v>
      </x:c>
      <x:c r="X1155" t="str"/>
      <x:c r="Y1155" t="str">
        <x:v>Outbound Call</x:v>
      </x:c>
    </x:row>
    <x:row r="1156">
      <x:c r="A1156" t="str">
        <x:v>O001155</x:v>
      </x:c>
      <x:c r="B1156" s="20" t="n">
        <x:v>46167</x:v>
      </x:c>
      <x:c r="C1156" t="str">
        <x:v>C0081</x:v>
      </x:c>
      <x:c r="D1156" t="str">
        <x:v>Foodie Mart 81</x:v>
      </x:c>
      <x:c r="E1156" t="str">
        <x:v>Supermarket</x:v>
      </x:c>
      <x:c r="F1156" t="str">
        <x:v>Hubballi</x:v>
      </x:c>
      <x:c r="G1156" t="str">
        <x:v>Kavya</x:v>
      </x:c>
      <x:c r="H1156" t="str">
        <x:v>P040</x:v>
      </x:c>
      <x:c r="I1156" t="str">
        <x:v>Bread Loaf 400g</x:v>
      </x:c>
      <x:c r="J1156" t="str">
        <x:v>Bakery</x:v>
      </x:c>
      <x:c r="K1156" t="str">
        <x:v>Britannia</x:v>
      </x:c>
      <x:c r="L1156" s="22" t="n">
        <x:v>45</x:v>
      </x:c>
      <x:c r="M1156" t="n">
        <x:v>12</x:v>
      </x:c>
      <x:c r="N1156" s="24" t="n">
        <x:v>0.05</x:v>
      </x:c>
      <x:c r="O1156" s="22" t="n">
        <x:f>L1156*M1156</x:f>
        <x:v>540</x:v>
      </x:c>
      <x:c r="P1156" s="22" t="n">
        <x:f>O1156*(1-N1156)</x:f>
        <x:v>513</x:v>
      </x:c>
      <x:c r="Q1156" s="22" t="n">
        <x:v>35</x:v>
      </x:c>
      <x:c r="R1156" s="22" t="n">
        <x:f>Q1156*M1156</x:f>
        <x:v>420</x:v>
      </x:c>
      <x:c r="S1156" s="22" t="n">
        <x:f>P1156-R1156</x:f>
        <x:v>93</x:v>
      </x:c>
      <x:c r="T1156" t="str">
        <x:v>Bank Transfer</x:v>
      </x:c>
      <x:c r="U1156" t="str">
        <x:v>Paid</x:v>
      </x:c>
      <x:c r="V1156" t="str">
        <x:v>Cancelled</x:v>
      </x:c>
      <x:c r="W1156" t="n">
        <x:v>12</x:v>
      </x:c>
      <x:c r="X1156" t="str">
        <x:v>Cancelled Order</x:v>
      </x:c>
      <x:c r="Y1156" t="str">
        <x:v>WhatsApp</x:v>
      </x:c>
    </x:row>
    <x:row r="1157">
      <x:c r="A1157" t="str">
        <x:v>O001156</x:v>
      </x:c>
      <x:c r="B1157" s="20" t="n">
        <x:v>46028</x:v>
      </x:c>
      <x:c r="C1157" t="str">
        <x:v>C0207</x:v>
      </x:c>
      <x:c r="D1157" t="str">
        <x:v>Hotel Stores 207</x:v>
      </x:c>
      <x:c r="E1157" t="str">
        <x:v>Restaurant</x:v>
      </x:c>
      <x:c r="F1157" t="str">
        <x:v>Hubballi</x:v>
      </x:c>
      <x:c r="G1157" t="str">
        <x:v>Ramesh</x:v>
      </x:c>
      <x:c r="H1157" t="str">
        <x:v>P029</x:v>
      </x:c>
      <x:c r="I1157" t="str">
        <x:v>Tomato Ketchup 1kg</x:v>
      </x:c>
      <x:c r="J1157" t="str">
        <x:v>Condiments</x:v>
      </x:c>
      <x:c r="K1157" t="str">
        <x:v>Kissan</x:v>
      </x:c>
      <x:c r="L1157" s="22" t="n">
        <x:v>145</x:v>
      </x:c>
      <x:c r="M1157" t="n">
        <x:v>11</x:v>
      </x:c>
      <x:c r="N1157" s="24" t="n">
        <x:v>0.1</x:v>
      </x:c>
      <x:c r="O1157" s="22" t="n">
        <x:f>L1157*M1157</x:f>
        <x:v>1595</x:v>
      </x:c>
      <x:c r="P1157" s="22" t="n">
        <x:f>O1157*(1-N1157)</x:f>
        <x:v>1435.5</x:v>
      </x:c>
      <x:c r="Q1157" s="22" t="n">
        <x:v>126</x:v>
      </x:c>
      <x:c r="R1157" s="22" t="n">
        <x:f>Q1157*M1157</x:f>
        <x:v>1386</x:v>
      </x:c>
      <x:c r="S1157" s="22" t="n">
        <x:f>P1157-R1157</x:f>
        <x:v>49.5</x:v>
      </x:c>
      <x:c r="T1157" t="str">
        <x:v>Cash</x:v>
      </x:c>
      <x:c r="U1157" t="str">
        <x:v>Paid</x:v>
      </x:c>
      <x:c r="V1157" t="str">
        <x:v>Delivered</x:v>
      </x:c>
      <x:c r="W1157" t="n">
        <x:v>0</x:v>
      </x:c>
      <x:c r="X1157" t="str"/>
      <x:c r="Y1157" t="str">
        <x:v>Existing Customer</x:v>
      </x:c>
    </x:row>
    <x:row r="1158">
      <x:c r="A1158" t="str">
        <x:v>O001157</x:v>
      </x:c>
      <x:c r="B1158" s="20" t="n">
        <x:v>46231</x:v>
      </x:c>
      <x:c r="C1158" t="str">
        <x:v>C0144</x:v>
      </x:c>
      <x:c r="D1158" t="str">
        <x:v>Namma Foods 144</x:v>
      </x:c>
      <x:c r="E1158" t="str">
        <x:v>Restaurant</x:v>
      </x:c>
      <x:c r="F1158" t="str">
        <x:v>Tumakuru</x:v>
      </x:c>
      <x:c r="G1158" t="str">
        <x:v>Arjun</x:v>
      </x:c>
      <x:c r="H1158" t="str">
        <x:v>P019</x:v>
      </x:c>
      <x:c r="I1158" t="str">
        <x:v>Tea 1kg</x:v>
      </x:c>
      <x:c r="J1158" t="str">
        <x:v>Beverage</x:v>
      </x:c>
      <x:c r="K1158" t="str">
        <x:v>Red Label</x:v>
      </x:c>
      <x:c r="L1158" s="22" t="n">
        <x:v>540</x:v>
      </x:c>
      <x:c r="M1158" t="n">
        <x:v>35</x:v>
      </x:c>
      <x:c r="N1158" s="24" t="n">
        <x:v>0</x:v>
      </x:c>
      <x:c r="O1158" s="22" t="n">
        <x:f>L1158*M1158</x:f>
        <x:v>18900</x:v>
      </x:c>
      <x:c r="P1158" s="22" t="n">
        <x:f>O1158*(1-N1158)</x:f>
        <x:v>18900</x:v>
      </x:c>
      <x:c r="Q1158" s="22" t="n">
        <x:v>485</x:v>
      </x:c>
      <x:c r="R1158" s="22" t="n">
        <x:f>Q1158*M1158</x:f>
        <x:v>16975</x:v>
      </x:c>
      <x:c r="S1158" s="22" t="n">
        <x:f>P1158-R1158</x:f>
        <x:v>1925</x:v>
      </x:c>
      <x:c r="T1158" t="str">
        <x:v>UPI</x:v>
      </x:c>
      <x:c r="U1158" t="str">
        <x:v>Paid</x:v>
      </x:c>
      <x:c r="V1158" t="str">
        <x:v>Delivered</x:v>
      </x:c>
      <x:c r="W1158" t="n">
        <x:v>0</x:v>
      </x:c>
      <x:c r="X1158" t="str"/>
      <x:c r="Y1158" t="str">
        <x:v>WhatsApp</x:v>
      </x:c>
    </x:row>
    <x:row r="1159">
      <x:c r="A1159" t="str">
        <x:v>O001158</x:v>
      </x:c>
      <x:c r="B1159" s="20" t="n">
        <x:v>46006</x:v>
      </x:c>
      <x:c r="C1159" t="str">
        <x:v>C0038</x:v>
      </x:c>
      <x:c r="D1159" t="str">
        <x:v>Mysore Kitchen 38</x:v>
      </x:c>
      <x:c r="E1159" t="str">
        <x:v>Kirana</x:v>
      </x:c>
      <x:c r="F1159" t="str">
        <x:v>Tumakuru</x:v>
      </x:c>
      <x:c r="G1159" t="str">
        <x:v>Priya</x:v>
      </x:c>
      <x:c r="H1159" t="str">
        <x:v>P046</x:v>
      </x:c>
      <x:c r="I1159" t="str">
        <x:v>Potato 25kg</x:v>
      </x:c>
      <x:c r="J1159" t="str">
        <x:v>Fresh Produce</x:v>
      </x:c>
      <x:c r="K1159" t="str">
        <x:v>Local Market</x:v>
      </x:c>
      <x:c r="L1159" s="22" t="n">
        <x:v>700</x:v>
      </x:c>
      <x:c r="M1159" t="n">
        <x:v>35</x:v>
      </x:c>
      <x:c r="N1159" s="24" t="n">
        <x:v>0.02</x:v>
      </x:c>
      <x:c r="O1159" s="22" t="n">
        <x:f>L1159*M1159</x:f>
        <x:v>24500</x:v>
      </x:c>
      <x:c r="P1159" s="22" t="n">
        <x:f>O1159*(1-N1159)</x:f>
        <x:v>24010</x:v>
      </x:c>
      <x:c r="Q1159" s="22" t="n">
        <x:v>610</x:v>
      </x:c>
      <x:c r="R1159" s="22" t="n">
        <x:f>Q1159*M1159</x:f>
        <x:v>21350</x:v>
      </x:c>
      <x:c r="S1159" s="22" t="n">
        <x:f>P1159-R1159</x:f>
        <x:v>2660</x:v>
      </x:c>
      <x:c r="T1159" t="str">
        <x:v>Bank Transfer</x:v>
      </x:c>
      <x:c r="U1159" t="str">
        <x:v>Overdue</x:v>
      </x:c>
      <x:c r="V1159" t="str">
        <x:v>Delivered</x:v>
      </x:c>
      <x:c r="W1159" t="n">
        <x:v>0</x:v>
      </x:c>
      <x:c r="X1159" t="str"/>
      <x:c r="Y1159" t="str">
        <x:v>Field Visit</x:v>
      </x:c>
    </x:row>
    <x:row r="1160">
      <x:c r="A1160" t="str">
        <x:v>O001159</x:v>
      </x:c>
      <x:c r="B1160" s="20" t="n">
        <x:v>45989</x:v>
      </x:c>
      <x:c r="C1160" t="str">
        <x:v>C0249</x:v>
      </x:c>
      <x:c r="D1160" t="str">
        <x:v>City Hotel 249</x:v>
      </x:c>
      <x:c r="E1160" t="str">
        <x:v>Supermarket</x:v>
      </x:c>
      <x:c r="F1160" t="str">
        <x:v>Mysuru</x:v>
      </x:c>
      <x:c r="G1160" t="str">
        <x:v>Arjun</x:v>
      </x:c>
      <x:c r="H1160" t="str">
        <x:v>P006</x:v>
      </x:c>
      <x:c r="I1160" t="str">
        <x:v>Moong Dal 5kg</x:v>
      </x:c>
      <x:c r="J1160" t="str">
        <x:v>Pulses</x:v>
      </x:c>
      <x:c r="K1160" t="str">
        <x:v>Local Select</x:v>
      </x:c>
      <x:c r="L1160" s="22" t="n">
        <x:v>610</x:v>
      </x:c>
      <x:c r="M1160" t="n">
        <x:v>15</x:v>
      </x:c>
      <x:c r="N1160" s="24" t="n">
        <x:v>0.03</x:v>
      </x:c>
      <x:c r="O1160" s="22" t="n">
        <x:f>L1160*M1160</x:f>
        <x:v>9150</x:v>
      </x:c>
      <x:c r="P1160" s="22" t="n">
        <x:f>O1160*(1-N1160)</x:f>
        <x:v>8875.5</x:v>
      </x:c>
      <x:c r="Q1160" s="22" t="n">
        <x:v>540</x:v>
      </x:c>
      <x:c r="R1160" s="22" t="n">
        <x:f>Q1160*M1160</x:f>
        <x:v>8100</x:v>
      </x:c>
      <x:c r="S1160" s="22" t="n">
        <x:f>P1160-R1160</x:f>
        <x:v>775.5</x:v>
      </x:c>
      <x:c r="T1160" t="str">
        <x:v>UPI</x:v>
      </x:c>
      <x:c r="U1160" t="str">
        <x:v>Paid</x:v>
      </x:c>
      <x:c r="V1160" t="str">
        <x:v>Delivered</x:v>
      </x:c>
      <x:c r="W1160" t="n">
        <x:v>0</x:v>
      </x:c>
      <x:c r="X1160" t="str"/>
      <x:c r="Y1160" t="str">
        <x:v>Field Visit</x:v>
      </x:c>
    </x:row>
    <x:row r="1161">
      <x:c r="A1161" t="str">
        <x:v>O001160</x:v>
      </x:c>
      <x:c r="B1161" s="20" t="n">
        <x:v>45882</x:v>
      </x:c>
      <x:c r="C1161" t="str">
        <x:v>C0058</x:v>
      </x:c>
      <x:c r="D1161" t="str">
        <x:v>Spice Kitchen 58</x:v>
      </x:c>
      <x:c r="E1161" t="str">
        <x:v>Supermarket</x:v>
      </x:c>
      <x:c r="F1161" t="str">
        <x:v>Davanagere</x:v>
      </x:c>
      <x:c r="G1161" t="str">
        <x:v>Sneha</x:v>
      </x:c>
      <x:c r="H1161" t="str">
        <x:v>P045</x:v>
      </x:c>
      <x:c r="I1161" t="str">
        <x:v>Onion 25kg</x:v>
      </x:c>
      <x:c r="J1161" t="str">
        <x:v>Fresh Produce</x:v>
      </x:c>
      <x:c r="K1161" t="str">
        <x:v>Local Market</x:v>
      </x:c>
      <x:c r="L1161" s="22" t="n">
        <x:v>875</x:v>
      </x:c>
      <x:c r="M1161" t="n">
        <x:v>16</x:v>
      </x:c>
      <x:c r="N1161" s="24" t="n">
        <x:v>0.08</x:v>
      </x:c>
      <x:c r="O1161" s="22" t="n">
        <x:f>L1161*M1161</x:f>
        <x:v>14000</x:v>
      </x:c>
      <x:c r="P1161" s="22" t="n">
        <x:f>O1161*(1-N1161)</x:f>
        <x:v>12880</x:v>
      </x:c>
      <x:c r="Q1161" s="22" t="n">
        <x:v>760</x:v>
      </x:c>
      <x:c r="R1161" s="22" t="n">
        <x:f>Q1161*M1161</x:f>
        <x:v>12160</x:v>
      </x:c>
      <x:c r="S1161" s="22" t="n">
        <x:f>P1161-R1161</x:f>
        <x:v>720</x:v>
      </x:c>
      <x:c r="T1161" t="str">
        <x:v>Credit</x:v>
      </x:c>
      <x:c r="U1161" t="str">
        <x:v>Paid</x:v>
      </x:c>
      <x:c r="V1161" t="str">
        <x:v>Delivered</x:v>
      </x:c>
      <x:c r="W1161" t="n">
        <x:v>0</x:v>
      </x:c>
      <x:c r="X1161" t="str"/>
      <x:c r="Y1161" t="str">
        <x:v>Field Visit</x:v>
      </x:c>
    </x:row>
    <x:row r="1162">
      <x:c r="A1162" t="str">
        <x:v>O001161</x:v>
      </x:c>
      <x:c r="B1162" s="20" t="n">
        <x:v>46152</x:v>
      </x:c>
      <x:c r="C1162" t="str">
        <x:v>C0006</x:v>
      </x:c>
      <x:c r="D1162" t="str">
        <x:v>New Restaurant 6</x:v>
      </x:c>
      <x:c r="E1162" t="str">
        <x:v>Kirana</x:v>
      </x:c>
      <x:c r="F1162" t="str">
        <x:v>Hubballi</x:v>
      </x:c>
      <x:c r="G1162" t="str">
        <x:v>Vikram</x:v>
      </x:c>
      <x:c r="H1162" t="str">
        <x:v>P040</x:v>
      </x:c>
      <x:c r="I1162" t="str">
        <x:v>Bread Loaf 400g</x:v>
      </x:c>
      <x:c r="J1162" t="str">
        <x:v>Bakery</x:v>
      </x:c>
      <x:c r="K1162" t="str">
        <x:v>Britannia</x:v>
      </x:c>
      <x:c r="L1162" s="22" t="n">
        <x:v>45</x:v>
      </x:c>
      <x:c r="M1162" t="n">
        <x:v>29</x:v>
      </x:c>
      <x:c r="N1162" s="24" t="n">
        <x:v>0.03</x:v>
      </x:c>
      <x:c r="O1162" s="22" t="n">
        <x:f>L1162*M1162</x:f>
        <x:v>1305</x:v>
      </x:c>
      <x:c r="P1162" s="22" t="n">
        <x:f>O1162*(1-N1162)</x:f>
        <x:v>1265.85</x:v>
      </x:c>
      <x:c r="Q1162" s="22" t="n">
        <x:v>35</x:v>
      </x:c>
      <x:c r="R1162" s="22" t="n">
        <x:f>Q1162*M1162</x:f>
        <x:v>1015</x:v>
      </x:c>
      <x:c r="S1162" s="22" t="n">
        <x:f>P1162-R1162</x:f>
        <x:v>250.8499999999999</x:v>
      </x:c>
      <x:c r="T1162" t="str">
        <x:v>Bank Transfer</x:v>
      </x:c>
      <x:c r="U1162" t="str">
        <x:v>Paid</x:v>
      </x:c>
      <x:c r="V1162" t="str">
        <x:v>Delayed</x:v>
      </x:c>
      <x:c r="W1162" t="n">
        <x:v>0</x:v>
      </x:c>
      <x:c r="X1162" t="str"/>
      <x:c r="Y1162" t="str">
        <x:v>Existing Customer</x:v>
      </x:c>
    </x:row>
    <x:row r="1163">
      <x:c r="A1163" t="str">
        <x:v>O001162</x:v>
      </x:c>
      <x:c r="B1163" s="20" t="n">
        <x:v>45925</x:v>
      </x:c>
      <x:c r="C1163" t="str">
        <x:v>C0148</x:v>
      </x:c>
      <x:c r="D1163" t="str">
        <x:v>Shree Cafe 148</x:v>
      </x:c>
      <x:c r="E1163" t="str">
        <x:v>Kirana</x:v>
      </x:c>
      <x:c r="F1163" t="str">
        <x:v>Hubballi</x:v>
      </x:c>
      <x:c r="G1163" t="str">
        <x:v>Priya</x:v>
      </x:c>
      <x:c r="H1163" t="str">
        <x:v>P025</x:v>
      </x:c>
      <x:c r="I1163" t="str">
        <x:v>Potato Chips 100g</x:v>
      </x:c>
      <x:c r="J1163" t="str">
        <x:v>Snacks</x:v>
      </x:c>
      <x:c r="K1163" t="str">
        <x:v>Lay's</x:v>
      </x:c>
      <x:c r="L1163" s="22" t="n">
        <x:v>35</x:v>
      </x:c>
      <x:c r="M1163" t="n">
        <x:v>24</x:v>
      </x:c>
      <x:c r="N1163" s="24" t="n">
        <x:v>0.05</x:v>
      </x:c>
      <x:c r="O1163" s="22" t="n">
        <x:f>L1163*M1163</x:f>
        <x:v>840</x:v>
      </x:c>
      <x:c r="P1163" s="22" t="n">
        <x:f>O1163*(1-N1163)</x:f>
        <x:v>798</x:v>
      </x:c>
      <x:c r="Q1163" s="22" t="n">
        <x:v>27</x:v>
      </x:c>
      <x:c r="R1163" s="22" t="n">
        <x:f>Q1163*M1163</x:f>
        <x:v>648</x:v>
      </x:c>
      <x:c r="S1163" s="22" t="n">
        <x:f>P1163-R1163</x:f>
        <x:v>150</x:v>
      </x:c>
      <x:c r="T1163" t="str">
        <x:v>Cash</x:v>
      </x:c>
      <x:c r="U1163" t="str">
        <x:v>Paid</x:v>
      </x:c>
      <x:c r="V1163" t="str">
        <x:v>Delivered</x:v>
      </x:c>
      <x:c r="W1163" t="n">
        <x:v>0</x:v>
      </x:c>
      <x:c r="X1163" t="str"/>
      <x:c r="Y1163" t="str">
        <x:v>Referral</x:v>
      </x:c>
    </x:row>
    <x:row r="1164">
      <x:c r="A1164" t="str">
        <x:v>O001163</x:v>
      </x:c>
      <x:c r="B1164" s="20" t="n">
        <x:v>45795</x:v>
      </x:c>
      <x:c r="C1164" t="str">
        <x:v>C0092</x:v>
      </x:c>
      <x:c r="D1164" t="str">
        <x:v>Cafe Restaurant 92</x:v>
      </x:c>
      <x:c r="E1164" t="str">
        <x:v>Canteen</x:v>
      </x:c>
      <x:c r="F1164" t="str">
        <x:v>Hubballi</x:v>
      </x:c>
      <x:c r="G1164" t="str">
        <x:v>Vikram</x:v>
      </x:c>
      <x:c r="H1164" t="str">
        <x:v>P005</x:v>
      </x:c>
      <x:c r="I1164" t="str">
        <x:v>Chana Dal 5kg</x:v>
      </x:c>
      <x:c r="J1164" t="str">
        <x:v>Pulses</x:v>
      </x:c>
      <x:c r="K1164" t="str">
        <x:v>Local Select</x:v>
      </x:c>
      <x:c r="L1164" s="22" t="n">
        <x:v>520</x:v>
      </x:c>
      <x:c r="M1164" t="n">
        <x:v>21</x:v>
      </x:c>
      <x:c r="N1164" s="24" t="n">
        <x:v>0.08</x:v>
      </x:c>
      <x:c r="O1164" s="22" t="n">
        <x:f>L1164*M1164</x:f>
        <x:v>10920</x:v>
      </x:c>
      <x:c r="P1164" s="22" t="n">
        <x:f>O1164*(1-N1164)</x:f>
        <x:v>10046.4</x:v>
      </x:c>
      <x:c r="Q1164" s="22" t="n">
        <x:v>455</x:v>
      </x:c>
      <x:c r="R1164" s="22" t="n">
        <x:f>Q1164*M1164</x:f>
        <x:v>9555</x:v>
      </x:c>
      <x:c r="S1164" s="22" t="n">
        <x:f>P1164-R1164</x:f>
        <x:v>491.39999999999964</x:v>
      </x:c>
      <x:c r="T1164" t="str">
        <x:v>Bank Transfer</x:v>
      </x:c>
      <x:c r="U1164" t="str">
        <x:v>Pending</x:v>
      </x:c>
      <x:c r="V1164" t="str">
        <x:v>Delayed</x:v>
      </x:c>
      <x:c r="W1164" t="n">
        <x:v>0</x:v>
      </x:c>
      <x:c r="X1164" t="str"/>
      <x:c r="Y1164" t="str">
        <x:v>Referral</x:v>
      </x:c>
    </x:row>
    <x:row r="1165">
      <x:c r="A1165" t="str">
        <x:v>O001164</x:v>
      </x:c>
      <x:c r="B1165" s="20" t="n">
        <x:v>46145</x:v>
      </x:c>
      <x:c r="C1165" t="str">
        <x:v>C0235</x:v>
      </x:c>
      <x:c r="D1165" t="str">
        <x:v>Darshini Canteen 235</x:v>
      </x:c>
      <x:c r="E1165" t="str">
        <x:v>Hotel</x:v>
      </x:c>
      <x:c r="F1165" t="str">
        <x:v>Mangaluru</x:v>
      </x:c>
      <x:c r="G1165" t="str">
        <x:v>Arjun</x:v>
      </x:c>
      <x:c r="H1165" t="str">
        <x:v>P033</x:v>
      </x:c>
      <x:c r="I1165" t="str">
        <x:v>Turmeric Powder 1kg</x:v>
      </x:c>
      <x:c r="J1165" t="str">
        <x:v>Spices</x:v>
      </x:c>
      <x:c r="K1165" t="str">
        <x:v>Everest</x:v>
      </x:c>
      <x:c r="L1165" s="22" t="n">
        <x:v>310</x:v>
      </x:c>
      <x:c r="M1165" t="n">
        <x:v>35</x:v>
      </x:c>
      <x:c r="N1165" s="24" t="n">
        <x:v>0.02</x:v>
      </x:c>
      <x:c r="O1165" s="22" t="n">
        <x:f>L1165*M1165</x:f>
        <x:v>10850</x:v>
      </x:c>
      <x:c r="P1165" s="22" t="n">
        <x:f>O1165*(1-N1165)</x:f>
        <x:v>10633</x:v>
      </x:c>
      <x:c r="Q1165" s="22" t="n">
        <x:v>270</x:v>
      </x:c>
      <x:c r="R1165" s="22" t="n">
        <x:f>Q1165*M1165</x:f>
        <x:v>9450</x:v>
      </x:c>
      <x:c r="S1165" s="22" t="n">
        <x:f>P1165-R1165</x:f>
        <x:v>1183</x:v>
      </x:c>
      <x:c r="T1165" t="str">
        <x:v>Bank Transfer</x:v>
      </x:c>
      <x:c r="U1165" t="str">
        <x:v>Pending</x:v>
      </x:c>
      <x:c r="V1165" t="str">
        <x:v>Cancelled</x:v>
      </x:c>
      <x:c r="W1165" t="n">
        <x:v>35</x:v>
      </x:c>
      <x:c r="X1165" t="str">
        <x:v>Cancelled Order</x:v>
      </x:c>
      <x:c r="Y1165" t="str">
        <x:v>Existing Customer</x:v>
      </x:c>
    </x:row>
    <x:row r="1166">
      <x:c r="A1166" t="str">
        <x:v>O001165</x:v>
      </x:c>
      <x:c r="B1166" s="20" t="n">
        <x:v>45933</x:v>
      </x:c>
      <x:c r="C1166" t="str">
        <x:v>C0058</x:v>
      </x:c>
      <x:c r="D1166" t="str">
        <x:v>Spice Kitchen 58</x:v>
      </x:c>
      <x:c r="E1166" t="str">
        <x:v>Supermarket</x:v>
      </x:c>
      <x:c r="F1166" t="str">
        <x:v>Davanagere</x:v>
      </x:c>
      <x:c r="G1166" t="str">
        <x:v>Sneha</x:v>
      </x:c>
      <x:c r="H1166" t="str">
        <x:v>P030</x:v>
      </x:c>
      <x:c r="I1166" t="str">
        <x:v>Mayonnaise 1kg</x:v>
      </x:c>
      <x:c r="J1166" t="str">
        <x:v>Condiments</x:v>
      </x:c>
      <x:c r="K1166" t="str">
        <x:v>Veeba</x:v>
      </x:c>
      <x:c r="L1166" s="22" t="n">
        <x:v>210</x:v>
      </x:c>
      <x:c r="M1166" t="n">
        <x:v>37</x:v>
      </x:c>
      <x:c r="N1166" s="24" t="n">
        <x:v>0.05</x:v>
      </x:c>
      <x:c r="O1166" s="22" t="n">
        <x:f>L1166*M1166</x:f>
        <x:v>7770</x:v>
      </x:c>
      <x:c r="P1166" s="22" t="n">
        <x:f>O1166*(1-N1166)</x:f>
        <x:v>7381.5</x:v>
      </x:c>
      <x:c r="Q1166" s="22" t="n">
        <x:v>185</x:v>
      </x:c>
      <x:c r="R1166" s="22" t="n">
        <x:f>Q1166*M1166</x:f>
        <x:v>6845</x:v>
      </x:c>
      <x:c r="S1166" s="22" t="n">
        <x:f>P1166-R1166</x:f>
        <x:v>536.5</x:v>
      </x:c>
      <x:c r="T1166" t="str">
        <x:v>Credit</x:v>
      </x:c>
      <x:c r="U1166" t="str">
        <x:v>Paid</x:v>
      </x:c>
      <x:c r="V1166" t="str">
        <x:v>Delivered</x:v>
      </x:c>
      <x:c r="W1166" t="n">
        <x:v>0</x:v>
      </x:c>
      <x:c r="X1166" t="str"/>
      <x:c r="Y1166" t="str">
        <x:v>Outbound Call</x:v>
      </x:c>
    </x:row>
    <x:row r="1167">
      <x:c r="A1167" t="str">
        <x:v>O001166</x:v>
      </x:c>
      <x:c r="B1167" s="20" t="n">
        <x:v>46231</x:v>
      </x:c>
      <x:c r="C1167" t="str">
        <x:v>C0044</x:v>
      </x:c>
      <x:c r="D1167" t="str">
        <x:v>Annapurna Mart 44</x:v>
      </x:c>
      <x:c r="E1167" t="str">
        <x:v>Kirana</x:v>
      </x:c>
      <x:c r="F1167" t="str">
        <x:v>Davanagere</x:v>
      </x:c>
      <x:c r="G1167" t="str">
        <x:v>Priya</x:v>
      </x:c>
      <x:c r="H1167" t="str">
        <x:v>P002</x:v>
      </x:c>
      <x:c r="I1167" t="str">
        <x:v>Sona Masoori Rice 25kg</x:v>
      </x:c>
      <x:c r="J1167" t="str">
        <x:v>Staples</x:v>
      </x:c>
      <x:c r="K1167" t="str">
        <x:v>Fortune</x:v>
      </x:c>
      <x:c r="L1167" s="22" t="n">
        <x:v>1320</x:v>
      </x:c>
      <x:c r="M1167" t="n">
        <x:v>9</x:v>
      </x:c>
      <x:c r="N1167" s="24" t="n">
        <x:v>0.05</x:v>
      </x:c>
      <x:c r="O1167" s="22" t="n">
        <x:f>L1167*M1167</x:f>
        <x:v>11880</x:v>
      </x:c>
      <x:c r="P1167" s="22" t="n">
        <x:f>O1167*(1-N1167)</x:f>
        <x:v>11286</x:v>
      </x:c>
      <x:c r="Q1167" s="22" t="n">
        <x:v>1160</x:v>
      </x:c>
      <x:c r="R1167" s="22" t="n">
        <x:f>Q1167*M1167</x:f>
        <x:v>10440</x:v>
      </x:c>
      <x:c r="S1167" s="22" t="n">
        <x:f>P1167-R1167</x:f>
        <x:v>846</x:v>
      </x:c>
      <x:c r="T1167" t="str">
        <x:v>Cash</x:v>
      </x:c>
      <x:c r="U1167" t="str">
        <x:v>Paid</x:v>
      </x:c>
      <x:c r="V1167" t="str">
        <x:v>Cancelled</x:v>
      </x:c>
      <x:c r="W1167" t="n">
        <x:v>9</x:v>
      </x:c>
      <x:c r="X1167" t="str">
        <x:v>Cancelled Order</x:v>
      </x:c>
      <x:c r="Y1167" t="str">
        <x:v>Referral</x:v>
      </x:c>
    </x:row>
    <x:row r="1168">
      <x:c r="A1168" t="str">
        <x:v>O001167</x:v>
      </x:c>
      <x:c r="B1168" s="20" t="n">
        <x:v>45940</x:v>
      </x:c>
      <x:c r="C1168" t="str">
        <x:v>C0091</x:v>
      </x:c>
      <x:c r="D1168" t="str">
        <x:v>Classic Mart 91</x:v>
      </x:c>
      <x:c r="E1168" t="str">
        <x:v>Cafe</x:v>
      </x:c>
      <x:c r="F1168" t="str">
        <x:v>Mangaluru</x:v>
      </x:c>
      <x:c r="G1168" t="str">
        <x:v>Kavya</x:v>
      </x:c>
      <x:c r="H1168" t="str">
        <x:v>P005</x:v>
      </x:c>
      <x:c r="I1168" t="str">
        <x:v>Chana Dal 5kg</x:v>
      </x:c>
      <x:c r="J1168" t="str">
        <x:v>Pulses</x:v>
      </x:c>
      <x:c r="K1168" t="str">
        <x:v>Local Select</x:v>
      </x:c>
      <x:c r="L1168" s="22" t="n">
        <x:v>520</x:v>
      </x:c>
      <x:c r="M1168" t="n">
        <x:v>37</x:v>
      </x:c>
      <x:c r="N1168" s="24" t="n">
        <x:v>0.02</x:v>
      </x:c>
      <x:c r="O1168" s="22" t="n">
        <x:f>L1168*M1168</x:f>
        <x:v>19240</x:v>
      </x:c>
      <x:c r="P1168" s="22" t="n">
        <x:f>O1168*(1-N1168)</x:f>
        <x:v>18855.2</x:v>
      </x:c>
      <x:c r="Q1168" s="22" t="n">
        <x:v>455</x:v>
      </x:c>
      <x:c r="R1168" s="22" t="n">
        <x:f>Q1168*M1168</x:f>
        <x:v>16835</x:v>
      </x:c>
      <x:c r="S1168" s="22" t="n">
        <x:f>P1168-R1168</x:f>
        <x:v>2020.2000000000007</x:v>
      </x:c>
      <x:c r="T1168" t="str">
        <x:v>UPI</x:v>
      </x:c>
      <x:c r="U1168" t="str">
        <x:v>Paid</x:v>
      </x:c>
      <x:c r="V1168" t="str">
        <x:v>Delivered</x:v>
      </x:c>
      <x:c r="W1168" t="n">
        <x:v>0</x:v>
      </x:c>
      <x:c r="X1168" t="str"/>
      <x:c r="Y1168" t="str">
        <x:v>Referral</x:v>
      </x:c>
    </x:row>
    <x:row r="1169">
      <x:c r="A1169" t="str">
        <x:v>O001168</x:v>
      </x:c>
      <x:c r="B1169" s="20" t="n">
        <x:v>46120</x:v>
      </x:c>
      <x:c r="C1169" t="str">
        <x:v>C0056</x:v>
      </x:c>
      <x:c r="D1169" t="str">
        <x:v>City Stores 56</x:v>
      </x:c>
      <x:c r="E1169" t="str">
        <x:v>Canteen</x:v>
      </x:c>
      <x:c r="F1169" t="str">
        <x:v>Davanagere</x:v>
      </x:c>
      <x:c r="G1169" t="str">
        <x:v>Imran</x:v>
      </x:c>
      <x:c r="H1169" t="str">
        <x:v>P043</x:v>
      </x:c>
      <x:c r="I1169" t="str">
        <x:v>Chicken Breast 1kg</x:v>
      </x:c>
      <x:c r="J1169" t="str">
        <x:v>Protein</x:v>
      </x:c>
      <x:c r="K1169" t="str">
        <x:v>FreshToHome</x:v>
      </x:c>
      <x:c r="L1169" s="22" t="n">
        <x:v>260</x:v>
      </x:c>
      <x:c r="M1169" t="n">
        <x:v>20</x:v>
      </x:c>
      <x:c r="N1169" s="24" t="n">
        <x:v>0.03</x:v>
      </x:c>
      <x:c r="O1169" s="22" t="n">
        <x:f>L1169*M1169</x:f>
        <x:v>5200</x:v>
      </x:c>
      <x:c r="P1169" s="22" t="n">
        <x:f>O1169*(1-N1169)</x:f>
        <x:v>5044</x:v>
      </x:c>
      <x:c r="Q1169" s="22" t="n">
        <x:v>235</x:v>
      </x:c>
      <x:c r="R1169" s="22" t="n">
        <x:f>Q1169*M1169</x:f>
        <x:v>4700</x:v>
      </x:c>
      <x:c r="S1169" s="22" t="n">
        <x:f>P1169-R1169</x:f>
        <x:v>344</x:v>
      </x:c>
      <x:c r="T1169" t="str">
        <x:v>Cash</x:v>
      </x:c>
      <x:c r="U1169" t="str">
        <x:v>Paid</x:v>
      </x:c>
      <x:c r="V1169" t="str">
        <x:v>Delayed</x:v>
      </x:c>
      <x:c r="W1169" t="n">
        <x:v>0</x:v>
      </x:c>
      <x:c r="X1169" t="str"/>
      <x:c r="Y1169" t="str">
        <x:v>Existing Customer</x:v>
      </x:c>
    </x:row>
    <x:row r="1170">
      <x:c r="A1170" t="str">
        <x:v>O001169</x:v>
      </x:c>
      <x:c r="B1170" s="20" t="n">
        <x:v>46210</x:v>
      </x:c>
      <x:c r="C1170" t="str">
        <x:v>C0037</x:v>
      </x:c>
      <x:c r="D1170" t="str">
        <x:v>Royal Cafe 37</x:v>
      </x:c>
      <x:c r="E1170" t="str">
        <x:v>Hotel</x:v>
      </x:c>
      <x:c r="F1170" t="str">
        <x:v>Mysuru</x:v>
      </x:c>
      <x:c r="G1170" t="str">
        <x:v>Sneha</x:v>
      </x:c>
      <x:c r="H1170" t="str">
        <x:v>P050</x:v>
      </x:c>
      <x:c r="I1170" t="str">
        <x:v>Lemon 5kg</x:v>
      </x:c>
      <x:c r="J1170" t="str">
        <x:v>Fresh Produce</x:v>
      </x:c>
      <x:c r="K1170" t="str">
        <x:v>Local Market</x:v>
      </x:c>
      <x:c r="L1170" s="22" t="n">
        <x:v>360</x:v>
      </x:c>
      <x:c r="M1170" t="n">
        <x:v>38</x:v>
      </x:c>
      <x:c r="N1170" s="24" t="n">
        <x:v>0.02</x:v>
      </x:c>
      <x:c r="O1170" s="22" t="n">
        <x:f>L1170*M1170</x:f>
        <x:v>13680</x:v>
      </x:c>
      <x:c r="P1170" s="22" t="n">
        <x:f>O1170*(1-N1170)</x:f>
        <x:v>13406.4</x:v>
      </x:c>
      <x:c r="Q1170" s="22" t="n">
        <x:v>300</x:v>
      </x:c>
      <x:c r="R1170" s="22" t="n">
        <x:f>Q1170*M1170</x:f>
        <x:v>11400</x:v>
      </x:c>
      <x:c r="S1170" s="22" t="n">
        <x:f>P1170-R1170</x:f>
        <x:v>2006.3999999999996</x:v>
      </x:c>
      <x:c r="T1170" t="str">
        <x:v>UPI</x:v>
      </x:c>
      <x:c r="U1170" t="str">
        <x:v>Overdue</x:v>
      </x:c>
      <x:c r="V1170" t="str">
        <x:v>Delivered</x:v>
      </x:c>
      <x:c r="W1170" t="n">
        <x:v>0</x:v>
      </x:c>
      <x:c r="X1170" t="str"/>
      <x:c r="Y1170" t="str">
        <x:v>Field Visit</x:v>
      </x:c>
    </x:row>
    <x:row r="1171">
      <x:c r="A1171" t="str">
        <x:v>O001170</x:v>
      </x:c>
      <x:c r="B1171" s="20" t="n">
        <x:v>45723</x:v>
      </x:c>
      <x:c r="C1171" t="str">
        <x:v>C0199</x:v>
      </x:c>
      <x:c r="D1171" t="str">
        <x:v>Classic Cafe 199</x:v>
      </x:c>
      <x:c r="E1171" t="str">
        <x:v>Canteen</x:v>
      </x:c>
      <x:c r="F1171" t="str">
        <x:v>Mangaluru</x:v>
      </x:c>
      <x:c r="G1171" t="str">
        <x:v>Ramesh</x:v>
      </x:c>
      <x:c r="H1171" t="str">
        <x:v>P005</x:v>
      </x:c>
      <x:c r="I1171" t="str">
        <x:v>Chana Dal 5kg</x:v>
      </x:c>
      <x:c r="J1171" t="str">
        <x:v>Pulses</x:v>
      </x:c>
      <x:c r="K1171" t="str">
        <x:v>Local Select</x:v>
      </x:c>
      <x:c r="L1171" s="22" t="n">
        <x:v>520</x:v>
      </x:c>
      <x:c r="M1171" t="n">
        <x:v>34</x:v>
      </x:c>
      <x:c r="N1171" s="24" t="n">
        <x:v>0.03</x:v>
      </x:c>
      <x:c r="O1171" s="22" t="n">
        <x:f>L1171*M1171</x:f>
        <x:v>17680</x:v>
      </x:c>
      <x:c r="P1171" s="22" t="n">
        <x:f>O1171*(1-N1171)</x:f>
        <x:v>17149.6</x:v>
      </x:c>
      <x:c r="Q1171" s="22" t="n">
        <x:v>455</x:v>
      </x:c>
      <x:c r="R1171" s="22" t="n">
        <x:f>Q1171*M1171</x:f>
        <x:v>15470</x:v>
      </x:c>
      <x:c r="S1171" s="22" t="n">
        <x:f>P1171-R1171</x:f>
        <x:v>1679.5999999999985</x:v>
      </x:c>
      <x:c r="T1171" t="str">
        <x:v>Bank Transfer</x:v>
      </x:c>
      <x:c r="U1171" t="str">
        <x:v>Pending</x:v>
      </x:c>
      <x:c r="V1171" t="str">
        <x:v>Delivered</x:v>
      </x:c>
      <x:c r="W1171" t="n">
        <x:v>0</x:v>
      </x:c>
      <x:c r="X1171" t="str"/>
      <x:c r="Y1171" t="str">
        <x:v>Referral</x:v>
      </x:c>
    </x:row>
    <x:row r="1172">
      <x:c r="A1172" t="str">
        <x:v>O001171</x:v>
      </x:c>
      <x:c r="B1172" s="20" t="n">
        <x:v>46164</x:v>
      </x:c>
      <x:c r="C1172" t="str">
        <x:v>C0008</x:v>
      </x:c>
      <x:c r="D1172" t="str">
        <x:v>Namma Kitchen 8</x:v>
      </x:c>
      <x:c r="E1172" t="str">
        <x:v>Kirana</x:v>
      </x:c>
      <x:c r="F1172" t="str">
        <x:v>Bengaluru</x:v>
      </x:c>
      <x:c r="G1172" t="str">
        <x:v>Vikram</x:v>
      </x:c>
      <x:c r="H1172" t="str">
        <x:v>P042</x:v>
      </x:c>
      <x:c r="I1172" t="str">
        <x:v>Eggs 30pc Tray</x:v>
      </x:c>
      <x:c r="J1172" t="str">
        <x:v>Protein</x:v>
      </x:c>
      <x:c r="K1172" t="str">
        <x:v>Farm Fresh</x:v>
      </x:c>
      <x:c r="L1172" s="22" t="n">
        <x:v>195</x:v>
      </x:c>
      <x:c r="M1172" t="n">
        <x:v>8</x:v>
      </x:c>
      <x:c r="N1172" s="24" t="n">
        <x:v>0.02</x:v>
      </x:c>
      <x:c r="O1172" s="22" t="n">
        <x:f>L1172*M1172</x:f>
        <x:v>1560</x:v>
      </x:c>
      <x:c r="P1172" s="22" t="n">
        <x:f>O1172*(1-N1172)</x:f>
        <x:v>1528.8</x:v>
      </x:c>
      <x:c r="Q1172" s="22" t="n">
        <x:v>170</x:v>
      </x:c>
      <x:c r="R1172" s="22" t="n">
        <x:f>Q1172*M1172</x:f>
        <x:v>1360</x:v>
      </x:c>
      <x:c r="S1172" s="22" t="n">
        <x:f>P1172-R1172</x:f>
        <x:v>168.79999999999995</x:v>
      </x:c>
      <x:c r="T1172" t="str">
        <x:v>UPI</x:v>
      </x:c>
      <x:c r="U1172" t="str">
        <x:v>Overdue</x:v>
      </x:c>
      <x:c r="V1172" t="str">
        <x:v>Delayed</x:v>
      </x:c>
      <x:c r="W1172" t="n">
        <x:v>0</x:v>
      </x:c>
      <x:c r="X1172" t="str"/>
      <x:c r="Y1172" t="str">
        <x:v>WhatsApp</x:v>
      </x:c>
    </x:row>
    <x:row r="1173">
      <x:c r="A1173" t="str">
        <x:v>O001172</x:v>
      </x:c>
      <x:c r="B1173" s="20" t="n">
        <x:v>46143</x:v>
      </x:c>
      <x:c r="C1173" t="str">
        <x:v>C0098</x:v>
      </x:c>
      <x:c r="D1173" t="str">
        <x:v>City Stores 98</x:v>
      </x:c>
      <x:c r="E1173" t="str">
        <x:v>Canteen</x:v>
      </x:c>
      <x:c r="F1173" t="str">
        <x:v>Mangaluru</x:v>
      </x:c>
      <x:c r="G1173" t="str">
        <x:v>Imran</x:v>
      </x:c>
      <x:c r="H1173" t="str">
        <x:v>P045</x:v>
      </x:c>
      <x:c r="I1173" t="str">
        <x:v>Onion 25kg</x:v>
      </x:c>
      <x:c r="J1173" t="str">
        <x:v>Fresh Produce</x:v>
      </x:c>
      <x:c r="K1173" t="str">
        <x:v>Local Market</x:v>
      </x:c>
      <x:c r="L1173" s="22" t="n">
        <x:v>875</x:v>
      </x:c>
      <x:c r="M1173" t="n">
        <x:v>9</x:v>
      </x:c>
      <x:c r="N1173" s="24" t="n">
        <x:v>0.05</x:v>
      </x:c>
      <x:c r="O1173" s="22" t="n">
        <x:f>L1173*M1173</x:f>
        <x:v>7875</x:v>
      </x:c>
      <x:c r="P1173" s="22" t="n">
        <x:f>O1173*(1-N1173)</x:f>
        <x:v>7481.25</x:v>
      </x:c>
      <x:c r="Q1173" s="22" t="n">
        <x:v>760</x:v>
      </x:c>
      <x:c r="R1173" s="22" t="n">
        <x:f>Q1173*M1173</x:f>
        <x:v>6840</x:v>
      </x:c>
      <x:c r="S1173" s="22" t="n">
        <x:f>P1173-R1173</x:f>
        <x:v>641.25</x:v>
      </x:c>
      <x:c r="T1173" t="str">
        <x:v>Bank Transfer</x:v>
      </x:c>
      <x:c r="U1173" t="str">
        <x:v>Paid</x:v>
      </x:c>
      <x:c r="V1173" t="str">
        <x:v>Delivered</x:v>
      </x:c>
      <x:c r="W1173" t="n">
        <x:v>0</x:v>
      </x:c>
      <x:c r="X1173" t="str"/>
      <x:c r="Y1173" t="str">
        <x:v>WhatsApp</x:v>
      </x:c>
    </x:row>
    <x:row r="1174">
      <x:c r="A1174" t="str">
        <x:v>O001173</x:v>
      </x:c>
      <x:c r="B1174" s="20" t="n">
        <x:v>45846</x:v>
      </x:c>
      <x:c r="C1174" t="str">
        <x:v>C0128</x:v>
      </x:c>
      <x:c r="D1174" t="str">
        <x:v>Fresh Hotel 128</x:v>
      </x:c>
      <x:c r="E1174" t="str">
        <x:v>Kirana</x:v>
      </x:c>
      <x:c r="F1174" t="str">
        <x:v>Tumakuru</x:v>
      </x:c>
      <x:c r="G1174" t="str">
        <x:v>Priya</x:v>
      </x:c>
      <x:c r="H1174" t="str">
        <x:v>P006</x:v>
      </x:c>
      <x:c r="I1174" t="str">
        <x:v>Moong Dal 5kg</x:v>
      </x:c>
      <x:c r="J1174" t="str">
        <x:v>Pulses</x:v>
      </x:c>
      <x:c r="K1174" t="str">
        <x:v>Local Select</x:v>
      </x:c>
      <x:c r="L1174" s="22" t="n">
        <x:v>610</x:v>
      </x:c>
      <x:c r="M1174" t="n">
        <x:v>17</x:v>
      </x:c>
      <x:c r="N1174" s="24" t="n">
        <x:v>0.03</x:v>
      </x:c>
      <x:c r="O1174" s="22" t="n">
        <x:f>L1174*M1174</x:f>
        <x:v>10370</x:v>
      </x:c>
      <x:c r="P1174" s="22" t="n">
        <x:f>O1174*(1-N1174)</x:f>
        <x:v>10058.9</x:v>
      </x:c>
      <x:c r="Q1174" s="22" t="n">
        <x:v>540</x:v>
      </x:c>
      <x:c r="R1174" s="22" t="n">
        <x:f>Q1174*M1174</x:f>
        <x:v>9180</x:v>
      </x:c>
      <x:c r="S1174" s="22" t="n">
        <x:f>P1174-R1174</x:f>
        <x:v>878.8999999999996</x:v>
      </x:c>
      <x:c r="T1174" t="str">
        <x:v>Bank Transfer</x:v>
      </x:c>
      <x:c r="U1174" t="str">
        <x:v>Paid</x:v>
      </x:c>
      <x:c r="V1174" t="str">
        <x:v>Cancelled</x:v>
      </x:c>
      <x:c r="W1174" t="n">
        <x:v>17</x:v>
      </x:c>
      <x:c r="X1174" t="str">
        <x:v>Cancelled Order</x:v>
      </x:c>
      <x:c r="Y1174" t="str">
        <x:v>Outbound Call</x:v>
      </x:c>
    </x:row>
    <x:row r="1175">
      <x:c r="A1175" t="str">
        <x:v>O001174</x:v>
      </x:c>
      <x:c r="B1175" s="20" t="n">
        <x:v>46194</x:v>
      </x:c>
      <x:c r="C1175" t="str">
        <x:v>C0193</x:v>
      </x:c>
      <x:c r="D1175" t="str">
        <x:v>Udupi Cafe 193</x:v>
      </x:c>
      <x:c r="E1175" t="str">
        <x:v>Restaurant</x:v>
      </x:c>
      <x:c r="F1175" t="str">
        <x:v>Hubballi</x:v>
      </x:c>
      <x:c r="G1175" t="str">
        <x:v>Sneha</x:v>
      </x:c>
      <x:c r="H1175" t="str">
        <x:v>P007</x:v>
      </x:c>
      <x:c r="I1175" t="str">
        <x:v>Sunflower Oil 15L</x:v>
      </x:c>
      <x:c r="J1175" t="str">
        <x:v>Edible Oil</x:v>
      </x:c>
      <x:c r="K1175" t="str">
        <x:v>Fortune</x:v>
      </x:c>
      <x:c r="L1175" s="22" t="n">
        <x:v>1980</x:v>
      </x:c>
      <x:c r="M1175" t="n">
        <x:v>1</x:v>
      </x:c>
      <x:c r="N1175" s="24" t="n">
        <x:v>0.08</x:v>
      </x:c>
      <x:c r="O1175" s="22" t="n">
        <x:f>L1175*M1175</x:f>
        <x:v>1980</x:v>
      </x:c>
      <x:c r="P1175" s="22" t="n">
        <x:f>O1175*(1-N1175)</x:f>
        <x:v>1821.6000000000001</x:v>
      </x:c>
      <x:c r="Q1175" s="22" t="n">
        <x:v>1810</x:v>
      </x:c>
      <x:c r="R1175" s="22" t="n">
        <x:f>Q1175*M1175</x:f>
        <x:v>1810</x:v>
      </x:c>
      <x:c r="S1175" s="22" t="n">
        <x:f>P1175-R1175</x:f>
        <x:v>11.600000000000136</x:v>
      </x:c>
      <x:c r="T1175" t="str">
        <x:v>UPI</x:v>
      </x:c>
      <x:c r="U1175" t="str">
        <x:v>Overdue</x:v>
      </x:c>
      <x:c r="V1175" t="str">
        <x:v>Delivered</x:v>
      </x:c>
      <x:c r="W1175" t="n">
        <x:v>0</x:v>
      </x:c>
      <x:c r="X1175" t="str"/>
      <x:c r="Y1175" t="str">
        <x:v>Outbound Call</x:v>
      </x:c>
    </x:row>
    <x:row r="1176">
      <x:c r="A1176" t="str">
        <x:v>O001175</x:v>
      </x:c>
      <x:c r="B1176" s="20" t="n">
        <x:v>45670</x:v>
      </x:c>
      <x:c r="C1176" t="str">
        <x:v>C0247</x:v>
      </x:c>
      <x:c r="D1176" t="str">
        <x:v>Fresh Canteen 247</x:v>
      </x:c>
      <x:c r="E1176" t="str">
        <x:v>Restaurant</x:v>
      </x:c>
      <x:c r="F1176" t="str">
        <x:v>Hubballi</x:v>
      </x:c>
      <x:c r="G1176" t="str">
        <x:v>Kavya</x:v>
      </x:c>
      <x:c r="H1176" t="str">
        <x:v>P034</x:v>
      </x:c>
      <x:c r="I1176" t="str">
        <x:v>Chilli Powder 1kg</x:v>
      </x:c>
      <x:c r="J1176" t="str">
        <x:v>Spices</x:v>
      </x:c>
      <x:c r="K1176" t="str">
        <x:v>MDH</x:v>
      </x:c>
      <x:c r="L1176" s="22" t="n">
        <x:v>340</x:v>
      </x:c>
      <x:c r="M1176" t="n">
        <x:v>1</x:v>
      </x:c>
      <x:c r="N1176" s="24" t="n">
        <x:v>0.02</x:v>
      </x:c>
      <x:c r="O1176" s="22" t="n">
        <x:f>L1176*M1176</x:f>
        <x:v>340</x:v>
      </x:c>
      <x:c r="P1176" s="22" t="n">
        <x:f>O1176*(1-N1176)</x:f>
        <x:v>333.2</x:v>
      </x:c>
      <x:c r="Q1176" s="22" t="n">
        <x:v>295</x:v>
      </x:c>
      <x:c r="R1176" s="22" t="n">
        <x:f>Q1176*M1176</x:f>
        <x:v>295</x:v>
      </x:c>
      <x:c r="S1176" s="22" t="n">
        <x:f>P1176-R1176</x:f>
        <x:v>38.19999999999999</x:v>
      </x:c>
      <x:c r="T1176" t="str">
        <x:v>Cash</x:v>
      </x:c>
      <x:c r="U1176" t="str">
        <x:v>Paid</x:v>
      </x:c>
      <x:c r="V1176" t="str">
        <x:v>Delayed</x:v>
      </x:c>
      <x:c r="W1176" t="n">
        <x:v>0</x:v>
      </x:c>
      <x:c r="X1176" t="str"/>
      <x:c r="Y1176" t="str">
        <x:v>Existing Customer</x:v>
      </x:c>
    </x:row>
    <x:row r="1177">
      <x:c r="A1177" t="str">
        <x:v>O001176</x:v>
      </x:c>
      <x:c r="B1177" s="20" t="n">
        <x:v>45851</x:v>
      </x:c>
      <x:c r="C1177" t="str">
        <x:v>C0018</x:v>
      </x:c>
      <x:c r="D1177" t="str">
        <x:v>Namma Canteen 18</x:v>
      </x:c>
      <x:c r="E1177" t="str">
        <x:v>Restaurant</x:v>
      </x:c>
      <x:c r="F1177" t="str">
        <x:v>Davanagere</x:v>
      </x:c>
      <x:c r="G1177" t="str">
        <x:v>Imran</x:v>
      </x:c>
      <x:c r="H1177" t="str">
        <x:v>P012</x:v>
      </x:c>
      <x:c r="I1177" t="str">
        <x:v>Maida 10kg</x:v>
      </x:c>
      <x:c r="J1177" t="str">
        <x:v>Flour</x:v>
      </x:c>
      <x:c r="K1177" t="str">
        <x:v>Aashirvaad</x:v>
      </x:c>
      <x:c r="L1177" s="22" t="n">
        <x:v>520</x:v>
      </x:c>
      <x:c r="M1177" t="n">
        <x:v>40</x:v>
      </x:c>
      <x:c r="N1177" s="24" t="n">
        <x:v>0.03</x:v>
      </x:c>
      <x:c r="O1177" s="22" t="n">
        <x:f>L1177*M1177</x:f>
        <x:v>20800</x:v>
      </x:c>
      <x:c r="P1177" s="22" t="n">
        <x:f>O1177*(1-N1177)</x:f>
        <x:v>20176</x:v>
      </x:c>
      <x:c r="Q1177" s="22" t="n">
        <x:v>460</x:v>
      </x:c>
      <x:c r="R1177" s="22" t="n">
        <x:f>Q1177*M1177</x:f>
        <x:v>18400</x:v>
      </x:c>
      <x:c r="S1177" s="22" t="n">
        <x:f>P1177-R1177</x:f>
        <x:v>1776</x:v>
      </x:c>
      <x:c r="T1177" t="str">
        <x:v>Bank Transfer</x:v>
      </x:c>
      <x:c r="U1177" t="str">
        <x:v>Overdue</x:v>
      </x:c>
      <x:c r="V1177" t="str">
        <x:v>Delivered</x:v>
      </x:c>
      <x:c r="W1177" t="n">
        <x:v>0</x:v>
      </x:c>
      <x:c r="X1177" t="str"/>
      <x:c r="Y1177" t="str">
        <x:v>Referral</x:v>
      </x:c>
    </x:row>
    <x:row r="1178">
      <x:c r="A1178" t="str">
        <x:v>O001177</x:v>
      </x:c>
      <x:c r="B1178" s="20" t="n">
        <x:v>46109</x:v>
      </x:c>
      <x:c r="C1178" t="str">
        <x:v>C0147</x:v>
      </x:c>
      <x:c r="D1178" t="str">
        <x:v>New Stores 147</x:v>
      </x:c>
      <x:c r="E1178" t="str">
        <x:v>Supermarket</x:v>
      </x:c>
      <x:c r="F1178" t="str">
        <x:v>Hubballi</x:v>
      </x:c>
      <x:c r="G1178" t="str">
        <x:v>Imran</x:v>
      </x:c>
      <x:c r="H1178" t="str">
        <x:v>P012</x:v>
      </x:c>
      <x:c r="I1178" t="str">
        <x:v>Maida 10kg</x:v>
      </x:c>
      <x:c r="J1178" t="str">
        <x:v>Flour</x:v>
      </x:c>
      <x:c r="K1178" t="str">
        <x:v>Aashirvaad</x:v>
      </x:c>
      <x:c r="L1178" s="22" t="n">
        <x:v>520</x:v>
      </x:c>
      <x:c r="M1178" t="n">
        <x:v>12</x:v>
      </x:c>
      <x:c r="N1178" s="24" t="n">
        <x:v>0.03</x:v>
      </x:c>
      <x:c r="O1178" s="22" t="n">
        <x:f>L1178*M1178</x:f>
        <x:v>6240</x:v>
      </x:c>
      <x:c r="P1178" s="22" t="n">
        <x:f>O1178*(1-N1178)</x:f>
        <x:v>6052.8</x:v>
      </x:c>
      <x:c r="Q1178" s="22" t="n">
        <x:v>460</x:v>
      </x:c>
      <x:c r="R1178" s="22" t="n">
        <x:f>Q1178*M1178</x:f>
        <x:v>5520</x:v>
      </x:c>
      <x:c r="S1178" s="22" t="n">
        <x:f>P1178-R1178</x:f>
        <x:v>532.8000000000002</x:v>
      </x:c>
      <x:c r="T1178" t="str">
        <x:v>Credit</x:v>
      </x:c>
      <x:c r="U1178" t="str">
        <x:v>Paid</x:v>
      </x:c>
      <x:c r="V1178" t="str">
        <x:v>Delivered</x:v>
      </x:c>
      <x:c r="W1178" t="n">
        <x:v>0</x:v>
      </x:c>
      <x:c r="X1178" t="str"/>
      <x:c r="Y1178" t="str">
        <x:v>Outbound Call</x:v>
      </x:c>
    </x:row>
    <x:row r="1179">
      <x:c r="A1179" t="str">
        <x:v>O001178</x:v>
      </x:c>
      <x:c r="B1179" s="20" t="n">
        <x:v>45768</x:v>
      </x:c>
      <x:c r="C1179" t="str">
        <x:v>C0080</x:v>
      </x:c>
      <x:c r="D1179" t="str">
        <x:v>Annapurna Canteen 80</x:v>
      </x:c>
      <x:c r="E1179" t="str">
        <x:v>Restaurant</x:v>
      </x:c>
      <x:c r="F1179" t="str">
        <x:v>Mangaluru</x:v>
      </x:c>
      <x:c r="G1179" t="str">
        <x:v>Priya</x:v>
      </x:c>
      <x:c r="H1179" t="str">
        <x:v>P019</x:v>
      </x:c>
      <x:c r="I1179" t="str">
        <x:v>Tea 1kg</x:v>
      </x:c>
      <x:c r="J1179" t="str">
        <x:v>Beverage</x:v>
      </x:c>
      <x:c r="K1179" t="str">
        <x:v>Red Label</x:v>
      </x:c>
      <x:c r="L1179" s="22" t="n">
        <x:v>540</x:v>
      </x:c>
      <x:c r="M1179" t="n">
        <x:v>23</x:v>
      </x:c>
      <x:c r="N1179" s="24" t="n">
        <x:v>0.05</x:v>
      </x:c>
      <x:c r="O1179" s="22" t="n">
        <x:f>L1179*M1179</x:f>
        <x:v>12420</x:v>
      </x:c>
      <x:c r="P1179" s="22" t="n">
        <x:f>O1179*(1-N1179)</x:f>
        <x:v>11799</x:v>
      </x:c>
      <x:c r="Q1179" s="22" t="n">
        <x:v>485</x:v>
      </x:c>
      <x:c r="R1179" s="22" t="n">
        <x:f>Q1179*M1179</x:f>
        <x:v>11155</x:v>
      </x:c>
      <x:c r="S1179" s="22" t="n">
        <x:f>P1179-R1179</x:f>
        <x:v>644</x:v>
      </x:c>
      <x:c r="T1179" t="str">
        <x:v>Bank Transfer</x:v>
      </x:c>
      <x:c r="U1179" t="str">
        <x:v>Pending</x:v>
      </x:c>
      <x:c r="V1179" t="str">
        <x:v>Delivered</x:v>
      </x:c>
      <x:c r="W1179" t="n">
        <x:v>0</x:v>
      </x:c>
      <x:c r="X1179" t="str"/>
      <x:c r="Y1179" t="str">
        <x:v>Referral</x:v>
      </x:c>
    </x:row>
    <x:row r="1180">
      <x:c r="A1180" t="str">
        <x:v>O001179</x:v>
      </x:c>
      <x:c r="B1180" s="20" t="n">
        <x:v>46123</x:v>
      </x:c>
      <x:c r="C1180" t="str">
        <x:v>C0236</x:v>
      </x:c>
      <x:c r="D1180" t="str">
        <x:v>Foodie Stores 236</x:v>
      </x:c>
      <x:c r="E1180" t="str">
        <x:v>Kirana</x:v>
      </x:c>
      <x:c r="F1180" t="str">
        <x:v>Bengaluru</x:v>
      </x:c>
      <x:c r="G1180" t="str">
        <x:v>Ramesh</x:v>
      </x:c>
      <x:c r="H1180" t="str">
        <x:v>P022</x:v>
      </x:c>
      <x:c r="I1180" t="str">
        <x:v>Mineral Water 1L</x:v>
      </x:c>
      <x:c r="J1180" t="str">
        <x:v>Beverage</x:v>
      </x:c>
      <x:c r="K1180" t="str">
        <x:v>Bisleri</x:v>
      </x:c>
      <x:c r="L1180" s="22" t="n">
        <x:v>19</x:v>
      </x:c>
      <x:c r="M1180" t="n">
        <x:v>36</x:v>
      </x:c>
      <x:c r="N1180" s="24" t="n">
        <x:v>0.05</x:v>
      </x:c>
      <x:c r="O1180" s="22" t="n">
        <x:f>L1180*M1180</x:f>
        <x:v>684</x:v>
      </x:c>
      <x:c r="P1180" s="22" t="n">
        <x:f>O1180*(1-N1180)</x:f>
        <x:v>649.8</x:v>
      </x:c>
      <x:c r="Q1180" s="22" t="n">
        <x:v>15</x:v>
      </x:c>
      <x:c r="R1180" s="22" t="n">
        <x:f>Q1180*M1180</x:f>
        <x:v>540</x:v>
      </x:c>
      <x:c r="S1180" s="22" t="n">
        <x:f>P1180-R1180</x:f>
        <x:v>109.79999999999995</x:v>
      </x:c>
      <x:c r="T1180" t="str">
        <x:v>Credit</x:v>
      </x:c>
      <x:c r="U1180" t="str">
        <x:v>Overdue</x:v>
      </x:c>
      <x:c r="V1180" t="str">
        <x:v>Cancelled</x:v>
      </x:c>
      <x:c r="W1180" t="n">
        <x:v>36</x:v>
      </x:c>
      <x:c r="X1180" t="str">
        <x:v>Cancelled Order</x:v>
      </x:c>
      <x:c r="Y1180" t="str">
        <x:v>Existing Customer</x:v>
      </x:c>
    </x:row>
    <x:row r="1181">
      <x:c r="A1181" t="str">
        <x:v>O001180</x:v>
      </x:c>
      <x:c r="B1181" s="20" t="n">
        <x:v>45802</x:v>
      </x:c>
      <x:c r="C1181" t="str">
        <x:v>C0064</x:v>
      </x:c>
      <x:c r="D1181" t="str">
        <x:v>Hotel Restaurant 64</x:v>
      </x:c>
      <x:c r="E1181" t="str">
        <x:v>Cafe</x:v>
      </x:c>
      <x:c r="F1181" t="str">
        <x:v>Mangaluru</x:v>
      </x:c>
      <x:c r="G1181" t="str">
        <x:v>Imran</x:v>
      </x:c>
      <x:c r="H1181" t="str">
        <x:v>P024</x:v>
      </x:c>
      <x:c r="I1181" t="str">
        <x:v>Orange Drink 1L</x:v>
      </x:c>
      <x:c r="J1181" t="str">
        <x:v>Beverage</x:v>
      </x:c>
      <x:c r="K1181" t="str">
        <x:v>Minute Maid</x:v>
      </x:c>
      <x:c r="L1181" s="22" t="n">
        <x:v>105</x:v>
      </x:c>
      <x:c r="M1181" t="n">
        <x:v>16</x:v>
      </x:c>
      <x:c r="N1181" s="24" t="n">
        <x:v>0.1</x:v>
      </x:c>
      <x:c r="O1181" s="22" t="n">
        <x:f>L1181*M1181</x:f>
        <x:v>1680</x:v>
      </x:c>
      <x:c r="P1181" s="22" t="n">
        <x:f>O1181*(1-N1181)</x:f>
        <x:v>1512</x:v>
      </x:c>
      <x:c r="Q1181" s="22" t="n">
        <x:v>88</x:v>
      </x:c>
      <x:c r="R1181" s="22" t="n">
        <x:f>Q1181*M1181</x:f>
        <x:v>1408</x:v>
      </x:c>
      <x:c r="S1181" s="22" t="n">
        <x:f>P1181-R1181</x:f>
        <x:v>104</x:v>
      </x:c>
      <x:c r="T1181" t="str">
        <x:v>Credit</x:v>
      </x:c>
      <x:c r="U1181" t="str">
        <x:v>Paid</x:v>
      </x:c>
      <x:c r="V1181" t="str">
        <x:v>Delivered</x:v>
      </x:c>
      <x:c r="W1181" t="n">
        <x:v>1</x:v>
      </x:c>
      <x:c r="X1181" t="str">
        <x:v>Late Delivery</x:v>
      </x:c>
      <x:c r="Y1181" t="str">
        <x:v>Existing Customer</x:v>
      </x:c>
    </x:row>
    <x:row r="1182">
      <x:c r="A1182" t="str">
        <x:v>O001181</x:v>
      </x:c>
      <x:c r="B1182" s="20" t="n">
        <x:v>45986</x:v>
      </x:c>
      <x:c r="C1182" t="str">
        <x:v>C0134</x:v>
      </x:c>
      <x:c r="D1182" t="str">
        <x:v>Annapurna Stores 134</x:v>
      </x:c>
      <x:c r="E1182" t="str">
        <x:v>Cafe</x:v>
      </x:c>
      <x:c r="F1182" t="str">
        <x:v>Bengaluru</x:v>
      </x:c>
      <x:c r="G1182" t="str">
        <x:v>Kavya</x:v>
      </x:c>
      <x:c r="H1182" t="str">
        <x:v>P006</x:v>
      </x:c>
      <x:c r="I1182" t="str">
        <x:v>Moong Dal 5kg</x:v>
      </x:c>
      <x:c r="J1182" t="str">
        <x:v>Pulses</x:v>
      </x:c>
      <x:c r="K1182" t="str">
        <x:v>Local Select</x:v>
      </x:c>
      <x:c r="L1182" s="22" t="n">
        <x:v>610</x:v>
      </x:c>
      <x:c r="M1182" t="n">
        <x:v>34</x:v>
      </x:c>
      <x:c r="N1182" s="24" t="n">
        <x:v>0.03</x:v>
      </x:c>
      <x:c r="O1182" s="22" t="n">
        <x:f>L1182*M1182</x:f>
        <x:v>20740</x:v>
      </x:c>
      <x:c r="P1182" s="22" t="n">
        <x:f>O1182*(1-N1182)</x:f>
        <x:v>20117.8</x:v>
      </x:c>
      <x:c r="Q1182" s="22" t="n">
        <x:v>540</x:v>
      </x:c>
      <x:c r="R1182" s="22" t="n">
        <x:f>Q1182*M1182</x:f>
        <x:v>18360</x:v>
      </x:c>
      <x:c r="S1182" s="22" t="n">
        <x:f>P1182-R1182</x:f>
        <x:v>1757.7999999999993</x:v>
      </x:c>
      <x:c r="T1182" t="str">
        <x:v>Credit</x:v>
      </x:c>
      <x:c r="U1182" t="str">
        <x:v>Pending</x:v>
      </x:c>
      <x:c r="V1182" t="str">
        <x:v>Cancelled</x:v>
      </x:c>
      <x:c r="W1182" t="n">
        <x:v>34</x:v>
      </x:c>
      <x:c r="X1182" t="str">
        <x:v>Cancelled Order</x:v>
      </x:c>
      <x:c r="Y1182" t="str">
        <x:v>Referral</x:v>
      </x:c>
    </x:row>
    <x:row r="1183">
      <x:c r="A1183" t="str">
        <x:v>O001182</x:v>
      </x:c>
      <x:c r="B1183" s="20" t="n">
        <x:v>45860</x:v>
      </x:c>
      <x:c r="C1183" t="str">
        <x:v>C0035</x:v>
      </x:c>
      <x:c r="D1183" t="str">
        <x:v>City Foods 35</x:v>
      </x:c>
      <x:c r="E1183" t="str">
        <x:v>Kirana</x:v>
      </x:c>
      <x:c r="F1183" t="str">
        <x:v>Bengaluru</x:v>
      </x:c>
      <x:c r="G1183" t="str">
        <x:v>Megha</x:v>
      </x:c>
      <x:c r="H1183" t="str">
        <x:v>P029</x:v>
      </x:c>
      <x:c r="I1183" t="str">
        <x:v>Tomato Ketchup 1kg</x:v>
      </x:c>
      <x:c r="J1183" t="str">
        <x:v>Condiments</x:v>
      </x:c>
      <x:c r="K1183" t="str">
        <x:v>Kissan</x:v>
      </x:c>
      <x:c r="L1183" s="22" t="n">
        <x:v>145</x:v>
      </x:c>
      <x:c r="M1183" t="n">
        <x:v>19</x:v>
      </x:c>
      <x:c r="N1183" s="24" t="n">
        <x:v>0.08</x:v>
      </x:c>
      <x:c r="O1183" s="22" t="n">
        <x:f>L1183*M1183</x:f>
        <x:v>2755</x:v>
      </x:c>
      <x:c r="P1183" s="22" t="n">
        <x:f>O1183*(1-N1183)</x:f>
        <x:v>2534.6</x:v>
      </x:c>
      <x:c r="Q1183" s="22" t="n">
        <x:v>126</x:v>
      </x:c>
      <x:c r="R1183" s="22" t="n">
        <x:f>Q1183*M1183</x:f>
        <x:v>2394</x:v>
      </x:c>
      <x:c r="S1183" s="22" t="n">
        <x:f>P1183-R1183</x:f>
        <x:v>140.5999999999999</x:v>
      </x:c>
      <x:c r="T1183" t="str">
        <x:v>Credit</x:v>
      </x:c>
      <x:c r="U1183" t="str">
        <x:v>Paid</x:v>
      </x:c>
      <x:c r="V1183" t="str">
        <x:v>Delivered</x:v>
      </x:c>
      <x:c r="W1183" t="n">
        <x:v>0</x:v>
      </x:c>
      <x:c r="X1183" t="str"/>
      <x:c r="Y1183" t="str">
        <x:v>Outbound Call</x:v>
      </x:c>
    </x:row>
    <x:row r="1184">
      <x:c r="A1184" t="str">
        <x:v>O001183</x:v>
      </x:c>
      <x:c r="B1184" s="20" t="n">
        <x:v>46153</x:v>
      </x:c>
      <x:c r="C1184" t="str">
        <x:v>C0083</x:v>
      </x:c>
      <x:c r="D1184" t="str">
        <x:v>Sri Cafe 83</x:v>
      </x:c>
      <x:c r="E1184" t="str">
        <x:v>Hotel</x:v>
      </x:c>
      <x:c r="F1184" t="str">
        <x:v>Davanagere</x:v>
      </x:c>
      <x:c r="G1184" t="str">
        <x:v>Ramesh</x:v>
      </x:c>
      <x:c r="H1184" t="str">
        <x:v>P036</x:v>
      </x:c>
      <x:c r="I1184" t="str">
        <x:v>Garam Masala 500g</x:v>
      </x:c>
      <x:c r="J1184" t="str">
        <x:v>Spices</x:v>
      </x:c>
      <x:c r="K1184" t="str">
        <x:v>MDH</x:v>
      </x:c>
      <x:c r="L1184" s="22" t="n">
        <x:v>265</x:v>
      </x:c>
      <x:c r="M1184" t="n">
        <x:v>40</x:v>
      </x:c>
      <x:c r="N1184" s="24" t="n">
        <x:v>0.02</x:v>
      </x:c>
      <x:c r="O1184" s="22" t="n">
        <x:f>L1184*M1184</x:f>
        <x:v>10600</x:v>
      </x:c>
      <x:c r="P1184" s="22" t="n">
        <x:f>O1184*(1-N1184)</x:f>
        <x:v>10388</x:v>
      </x:c>
      <x:c r="Q1184" s="22" t="n">
        <x:v>230</x:v>
      </x:c>
      <x:c r="R1184" s="22" t="n">
        <x:f>Q1184*M1184</x:f>
        <x:v>9200</x:v>
      </x:c>
      <x:c r="S1184" s="22" t="n">
        <x:f>P1184-R1184</x:f>
        <x:v>1188</x:v>
      </x:c>
      <x:c r="T1184" t="str">
        <x:v>Credit</x:v>
      </x:c>
      <x:c r="U1184" t="str">
        <x:v>Overdue</x:v>
      </x:c>
      <x:c r="V1184" t="str">
        <x:v>Delivered</x:v>
      </x:c>
      <x:c r="W1184" t="n">
        <x:v>0</x:v>
      </x:c>
      <x:c r="X1184" t="str"/>
      <x:c r="Y1184" t="str">
        <x:v>Outbound Call</x:v>
      </x:c>
    </x:row>
    <x:row r="1185">
      <x:c r="A1185" t="str">
        <x:v>O001184</x:v>
      </x:c>
      <x:c r="B1185" s="20" t="n">
        <x:v>45749</x:v>
      </x:c>
      <x:c r="C1185" t="str">
        <x:v>C0011</x:v>
      </x:c>
      <x:c r="D1185" t="str">
        <x:v>City Cafe 11</x:v>
      </x:c>
      <x:c r="E1185" t="str">
        <x:v>Restaurant</x:v>
      </x:c>
      <x:c r="F1185" t="str">
        <x:v>Mangaluru</x:v>
      </x:c>
      <x:c r="G1185" t="str">
        <x:v>Arjun</x:v>
      </x:c>
      <x:c r="H1185" t="str">
        <x:v>P013</x:v>
      </x:c>
      <x:c r="I1185" t="str">
        <x:v>Atta 10kg</x:v>
      </x:c>
      <x:c r="J1185" t="str">
        <x:v>Flour</x:v>
      </x:c>
      <x:c r="K1185" t="str">
        <x:v>Aashirvaad</x:v>
      </x:c>
      <x:c r="L1185" s="22" t="n">
        <x:v>560</x:v>
      </x:c>
      <x:c r="M1185" t="n">
        <x:v>20</x:v>
      </x:c>
      <x:c r="N1185" s="24" t="n">
        <x:v>0.08</x:v>
      </x:c>
      <x:c r="O1185" s="22" t="n">
        <x:f>L1185*M1185</x:f>
        <x:v>11200</x:v>
      </x:c>
      <x:c r="P1185" s="22" t="n">
        <x:f>O1185*(1-N1185)</x:f>
        <x:v>10304</x:v>
      </x:c>
      <x:c r="Q1185" s="22" t="n">
        <x:v>495</x:v>
      </x:c>
      <x:c r="R1185" s="22" t="n">
        <x:f>Q1185*M1185</x:f>
        <x:v>9900</x:v>
      </x:c>
      <x:c r="S1185" s="22" t="n">
        <x:f>P1185-R1185</x:f>
        <x:v>404</x:v>
      </x:c>
      <x:c r="T1185" t="str">
        <x:v>Bank Transfer</x:v>
      </x:c>
      <x:c r="U1185" t="str">
        <x:v>Paid</x:v>
      </x:c>
      <x:c r="V1185" t="str">
        <x:v>Cancelled</x:v>
      </x:c>
      <x:c r="W1185" t="n">
        <x:v>20</x:v>
      </x:c>
      <x:c r="X1185" t="str">
        <x:v>Cancelled Order</x:v>
      </x:c>
      <x:c r="Y1185" t="str">
        <x:v>Outbound Call</x:v>
      </x:c>
    </x:row>
    <x:row r="1186">
      <x:c r="A1186" t="str">
        <x:v>O001185</x:v>
      </x:c>
      <x:c r="B1186" s="20" t="n">
        <x:v>46052</x:v>
      </x:c>
      <x:c r="C1186" t="str">
        <x:v>C0013</x:v>
      </x:c>
      <x:c r="D1186" t="str">
        <x:v>Foodie Restaurant 13</x:v>
      </x:c>
      <x:c r="E1186" t="str">
        <x:v>Kirana</x:v>
      </x:c>
      <x:c r="F1186" t="str">
        <x:v>Mysuru</x:v>
      </x:c>
      <x:c r="G1186" t="str">
        <x:v>Sneha</x:v>
      </x:c>
      <x:c r="H1186" t="str">
        <x:v>P020</x:v>
      </x:c>
      <x:c r="I1186" t="str">
        <x:v>Coffee 500g</x:v>
      </x:c>
      <x:c r="J1186" t="str">
        <x:v>Beverage</x:v>
      </x:c>
      <x:c r="K1186" t="str">
        <x:v>Bru</x:v>
      </x:c>
      <x:c r="L1186" s="22" t="n">
        <x:v>390</x:v>
      </x:c>
      <x:c r="M1186" t="n">
        <x:v>13</x:v>
      </x:c>
      <x:c r="N1186" s="24" t="n">
        <x:v>0.02</x:v>
      </x:c>
      <x:c r="O1186" s="22" t="n">
        <x:f>L1186*M1186</x:f>
        <x:v>5070</x:v>
      </x:c>
      <x:c r="P1186" s="22" t="n">
        <x:f>O1186*(1-N1186)</x:f>
        <x:v>4968.6</x:v>
      </x:c>
      <x:c r="Q1186" s="22" t="n">
        <x:v>350</x:v>
      </x:c>
      <x:c r="R1186" s="22" t="n">
        <x:f>Q1186*M1186</x:f>
        <x:v>4550</x:v>
      </x:c>
      <x:c r="S1186" s="22" t="n">
        <x:f>P1186-R1186</x:f>
        <x:v>418.60000000000036</x:v>
      </x:c>
      <x:c r="T1186" t="str">
        <x:v>UPI</x:v>
      </x:c>
      <x:c r="U1186" t="str">
        <x:v>Pending</x:v>
      </x:c>
      <x:c r="V1186" t="str">
        <x:v>Cancelled</x:v>
      </x:c>
      <x:c r="W1186" t="n">
        <x:v>13</x:v>
      </x:c>
      <x:c r="X1186" t="str">
        <x:v>Cancelled Order</x:v>
      </x:c>
      <x:c r="Y1186" t="str">
        <x:v>WhatsApp</x:v>
      </x:c>
    </x:row>
    <x:row r="1187">
      <x:c r="A1187" t="str">
        <x:v>O001186</x:v>
      </x:c>
      <x:c r="B1187" s="20" t="n">
        <x:v>46178</x:v>
      </x:c>
      <x:c r="C1187" t="str">
        <x:v>C0135</x:v>
      </x:c>
      <x:c r="D1187" t="str">
        <x:v>City Canteen 135</x:v>
      </x:c>
      <x:c r="E1187" t="str">
        <x:v>Supermarket</x:v>
      </x:c>
      <x:c r="F1187" t="str">
        <x:v>Hubballi</x:v>
      </x:c>
      <x:c r="G1187" t="str">
        <x:v>Megha</x:v>
      </x:c>
      <x:c r="H1187" t="str">
        <x:v>P012</x:v>
      </x:c>
      <x:c r="I1187" t="str">
        <x:v>Maida 10kg</x:v>
      </x:c>
      <x:c r="J1187" t="str">
        <x:v>Flour</x:v>
      </x:c>
      <x:c r="K1187" t="str">
        <x:v>Aashirvaad</x:v>
      </x:c>
      <x:c r="L1187" s="22" t="n">
        <x:v>520</x:v>
      </x:c>
      <x:c r="M1187" t="n">
        <x:v>24</x:v>
      </x:c>
      <x:c r="N1187" s="24" t="n">
        <x:v>0.05</x:v>
      </x:c>
      <x:c r="O1187" s="22" t="n">
        <x:f>L1187*M1187</x:f>
        <x:v>12480</x:v>
      </x:c>
      <x:c r="P1187" s="22" t="n">
        <x:f>O1187*(1-N1187)</x:f>
        <x:v>11856</x:v>
      </x:c>
      <x:c r="Q1187" s="22" t="n">
        <x:v>460</x:v>
      </x:c>
      <x:c r="R1187" s="22" t="n">
        <x:f>Q1187*M1187</x:f>
        <x:v>11040</x:v>
      </x:c>
      <x:c r="S1187" s="22" t="n">
        <x:f>P1187-R1187</x:f>
        <x:v>816</x:v>
      </x:c>
      <x:c r="T1187" t="str">
        <x:v>UPI</x:v>
      </x:c>
      <x:c r="U1187" t="str">
        <x:v>Pending</x:v>
      </x:c>
      <x:c r="V1187" t="str">
        <x:v>Delivered</x:v>
      </x:c>
      <x:c r="W1187" t="n">
        <x:v>0</x:v>
      </x:c>
      <x:c r="X1187" t="str"/>
      <x:c r="Y1187" t="str">
        <x:v>Referral</x:v>
      </x:c>
    </x:row>
    <x:row r="1188">
      <x:c r="A1188" t="str">
        <x:v>O001187</x:v>
      </x:c>
      <x:c r="B1188" s="20" t="n">
        <x:v>45732</x:v>
      </x:c>
      <x:c r="C1188" t="str">
        <x:v>C0183</x:v>
      </x:c>
      <x:c r="D1188" t="str">
        <x:v>Spice Mart 183</x:v>
      </x:c>
      <x:c r="E1188" t="str">
        <x:v>Kirana</x:v>
      </x:c>
      <x:c r="F1188" t="str">
        <x:v>Mangaluru</x:v>
      </x:c>
      <x:c r="G1188" t="str">
        <x:v>Kavya</x:v>
      </x:c>
      <x:c r="H1188" t="str">
        <x:v>P021</x:v>
      </x:c>
      <x:c r="I1188" t="str">
        <x:v>Instant Coffee 200g</x:v>
      </x:c>
      <x:c r="J1188" t="str">
        <x:v>Beverage</x:v>
      </x:c>
      <x:c r="K1188" t="str">
        <x:v>Nescafe</x:v>
      </x:c>
      <x:c r="L1188" s="22" t="n">
        <x:v>460</x:v>
      </x:c>
      <x:c r="M1188" t="n">
        <x:v>14</x:v>
      </x:c>
      <x:c r="N1188" s="24" t="n">
        <x:v>0.03</x:v>
      </x:c>
      <x:c r="O1188" s="22" t="n">
        <x:f>L1188*M1188</x:f>
        <x:v>6440</x:v>
      </x:c>
      <x:c r="P1188" s="22" t="n">
        <x:f>O1188*(1-N1188)</x:f>
        <x:v>6246.8</x:v>
      </x:c>
      <x:c r="Q1188" s="22" t="n">
        <x:v>410</x:v>
      </x:c>
      <x:c r="R1188" s="22" t="n">
        <x:f>Q1188*M1188</x:f>
        <x:v>5740</x:v>
      </x:c>
      <x:c r="S1188" s="22" t="n">
        <x:f>P1188-R1188</x:f>
        <x:v>506.8000000000002</x:v>
      </x:c>
      <x:c r="T1188" t="str">
        <x:v>UPI</x:v>
      </x:c>
      <x:c r="U1188" t="str">
        <x:v>Paid</x:v>
      </x:c>
      <x:c r="V1188" t="str">
        <x:v>Delivered</x:v>
      </x:c>
      <x:c r="W1188" t="n">
        <x:v>0</x:v>
      </x:c>
      <x:c r="X1188" t="str"/>
      <x:c r="Y1188" t="str">
        <x:v>Outbound Call</x:v>
      </x:c>
    </x:row>
    <x:row r="1189">
      <x:c r="A1189" t="str">
        <x:v>O001188</x:v>
      </x:c>
      <x:c r="B1189" s="20" t="n">
        <x:v>45996</x:v>
      </x:c>
      <x:c r="C1189" t="str">
        <x:v>C0002</x:v>
      </x:c>
      <x:c r="D1189" t="str">
        <x:v>City Kitchen 2</x:v>
      </x:c>
      <x:c r="E1189" t="str">
        <x:v>Kirana</x:v>
      </x:c>
      <x:c r="F1189" t="str">
        <x:v>Davanagere</x:v>
      </x:c>
      <x:c r="G1189" t="str">
        <x:v>Arjun</x:v>
      </x:c>
      <x:c r="H1189" t="str">
        <x:v>P016</x:v>
      </x:c>
      <x:c r="I1189" t="str">
        <x:v>Curd 1kg</x:v>
      </x:c>
      <x:c r="J1189" t="str">
        <x:v>Dairy</x:v>
      </x:c>
      <x:c r="K1189" t="str">
        <x:v>Nandini</x:v>
      </x:c>
      <x:c r="L1189" s="22" t="n">
        <x:v>72</x:v>
      </x:c>
      <x:c r="M1189" t="n">
        <x:v>12</x:v>
      </x:c>
      <x:c r="N1189" s="24" t="n">
        <x:v>0.1</x:v>
      </x:c>
      <x:c r="O1189" s="22" t="n">
        <x:f>L1189*M1189</x:f>
        <x:v>864</x:v>
      </x:c>
      <x:c r="P1189" s="22" t="n">
        <x:f>O1189*(1-N1189)</x:f>
        <x:v>777.6</x:v>
      </x:c>
      <x:c r="Q1189" s="22" t="n">
        <x:v>64</x:v>
      </x:c>
      <x:c r="R1189" s="22" t="n">
        <x:f>Q1189*M1189</x:f>
        <x:v>768</x:v>
      </x:c>
      <x:c r="S1189" s="22" t="n">
        <x:f>P1189-R1189</x:f>
        <x:v>9.600000000000023</x:v>
      </x:c>
      <x:c r="T1189" t="str">
        <x:v>Bank Transfer</x:v>
      </x:c>
      <x:c r="U1189" t="str">
        <x:v>Paid</x:v>
      </x:c>
      <x:c r="V1189" t="str">
        <x:v>Delivered</x:v>
      </x:c>
      <x:c r="W1189" t="n">
        <x:v>2</x:v>
      </x:c>
      <x:c r="X1189" t="str">
        <x:v>Wrong Item</x:v>
      </x:c>
      <x:c r="Y1189" t="str">
        <x:v>Existing Customer</x:v>
      </x:c>
    </x:row>
    <x:row r="1190">
      <x:c r="A1190" t="str">
        <x:v>O001189</x:v>
      </x:c>
      <x:c r="B1190" s="20" t="n">
        <x:v>46242</x:v>
      </x:c>
      <x:c r="C1190" t="str">
        <x:v>C0226</x:v>
      </x:c>
      <x:c r="D1190" t="str">
        <x:v>Green Stores 226</x:v>
      </x:c>
      <x:c r="E1190" t="str">
        <x:v>Restaurant</x:v>
      </x:c>
      <x:c r="F1190" t="str">
        <x:v>Hubballi</x:v>
      </x:c>
      <x:c r="G1190" t="str">
        <x:v>Priya</x:v>
      </x:c>
      <x:c r="H1190" t="str">
        <x:v>P028</x:v>
      </x:c>
      <x:c r="I1190" t="str">
        <x:v>Cookies 200g</x:v>
      </x:c>
      <x:c r="J1190" t="str">
        <x:v>Snacks</x:v>
      </x:c>
      <x:c r="K1190" t="str">
        <x:v>Britannia</x:v>
      </x:c>
      <x:c r="L1190" s="22" t="n">
        <x:v>55</x:v>
      </x:c>
      <x:c r="M1190" t="n">
        <x:v>20</x:v>
      </x:c>
      <x:c r="N1190" s="24" t="n">
        <x:v>0</x:v>
      </x:c>
      <x:c r="O1190" s="22" t="n">
        <x:f>L1190*M1190</x:f>
        <x:v>1100</x:v>
      </x:c>
      <x:c r="P1190" s="22" t="n">
        <x:f>O1190*(1-N1190)</x:f>
        <x:v>1100</x:v>
      </x:c>
      <x:c r="Q1190" s="22" t="n">
        <x:v>42</x:v>
      </x:c>
      <x:c r="R1190" s="22" t="n">
        <x:f>Q1190*M1190</x:f>
        <x:v>840</x:v>
      </x:c>
      <x:c r="S1190" s="22" t="n">
        <x:f>P1190-R1190</x:f>
        <x:v>260</x:v>
      </x:c>
      <x:c r="T1190" t="str">
        <x:v>Cash</x:v>
      </x:c>
      <x:c r="U1190" t="str">
        <x:v>Paid</x:v>
      </x:c>
      <x:c r="V1190" t="str">
        <x:v>Delivered</x:v>
      </x:c>
      <x:c r="W1190" t="n">
        <x:v>0</x:v>
      </x:c>
      <x:c r="X1190" t="str"/>
      <x:c r="Y1190" t="str">
        <x:v>WhatsApp</x:v>
      </x:c>
    </x:row>
    <x:row r="1191">
      <x:c r="A1191" t="str">
        <x:v>O001190</x:v>
      </x:c>
      <x:c r="B1191" s="20" t="n">
        <x:v>46157</x:v>
      </x:c>
      <x:c r="C1191" t="str">
        <x:v>C0216</x:v>
      </x:c>
      <x:c r="D1191" t="str">
        <x:v>Cafe Restaurant 216</x:v>
      </x:c>
      <x:c r="E1191" t="str">
        <x:v>Canteen</x:v>
      </x:c>
      <x:c r="F1191" t="str">
        <x:v>Bengaluru</x:v>
      </x:c>
      <x:c r="G1191" t="str">
        <x:v>Vikram</x:v>
      </x:c>
      <x:c r="H1191" t="str">
        <x:v>P013</x:v>
      </x:c>
      <x:c r="I1191" t="str">
        <x:v>Atta 10kg</x:v>
      </x:c>
      <x:c r="J1191" t="str">
        <x:v>Flour</x:v>
      </x:c>
      <x:c r="K1191" t="str">
        <x:v>Aashirvaad</x:v>
      </x:c>
      <x:c r="L1191" s="22" t="n">
        <x:v>560</x:v>
      </x:c>
      <x:c r="M1191" t="n">
        <x:v>17</x:v>
      </x:c>
      <x:c r="N1191" s="24" t="n">
        <x:v>0.05</x:v>
      </x:c>
      <x:c r="O1191" s="22" t="n">
        <x:f>L1191*M1191</x:f>
        <x:v>9520</x:v>
      </x:c>
      <x:c r="P1191" s="22" t="n">
        <x:f>O1191*(1-N1191)</x:f>
        <x:v>9044</x:v>
      </x:c>
      <x:c r="Q1191" s="22" t="n">
        <x:v>495</x:v>
      </x:c>
      <x:c r="R1191" s="22" t="n">
        <x:f>Q1191*M1191</x:f>
        <x:v>8415</x:v>
      </x:c>
      <x:c r="S1191" s="22" t="n">
        <x:f>P1191-R1191</x:f>
        <x:v>629</x:v>
      </x:c>
      <x:c r="T1191" t="str">
        <x:v>Credit</x:v>
      </x:c>
      <x:c r="U1191" t="str">
        <x:v>Paid</x:v>
      </x:c>
      <x:c r="V1191" t="str">
        <x:v>Delivered</x:v>
      </x:c>
      <x:c r="W1191" t="n">
        <x:v>0</x:v>
      </x:c>
      <x:c r="X1191" t="str"/>
      <x:c r="Y1191" t="str">
        <x:v>Referral</x:v>
      </x:c>
    </x:row>
    <x:row r="1192">
      <x:c r="A1192" t="str">
        <x:v>O001191</x:v>
      </x:c>
      <x:c r="B1192" s="20" t="n">
        <x:v>45820</x:v>
      </x:c>
      <x:c r="C1192" t="str">
        <x:v>C0030</x:v>
      </x:c>
      <x:c r="D1192" t="str">
        <x:v>Hotel Restaurant 30</x:v>
      </x:c>
      <x:c r="E1192" t="str">
        <x:v>Restaurant</x:v>
      </x:c>
      <x:c r="F1192" t="str">
        <x:v>Bengaluru</x:v>
      </x:c>
      <x:c r="G1192" t="str">
        <x:v>Imran</x:v>
      </x:c>
      <x:c r="H1192" t="str">
        <x:v>P008</x:v>
      </x:c>
      <x:c r="I1192" t="str">
        <x:v>Palm Oil 15L</x:v>
      </x:c>
      <x:c r="J1192" t="str">
        <x:v>Edible Oil</x:v>
      </x:c>
      <x:c r="K1192" t="str">
        <x:v>Ruchi Gold</x:v>
      </x:c>
      <x:c r="L1192" s="22" t="n">
        <x:v>1760</x:v>
      </x:c>
      <x:c r="M1192" t="n">
        <x:v>2</x:v>
      </x:c>
      <x:c r="N1192" s="24" t="n">
        <x:v>0</x:v>
      </x:c>
      <x:c r="O1192" s="22" t="n">
        <x:f>L1192*M1192</x:f>
        <x:v>3520</x:v>
      </x:c>
      <x:c r="P1192" s="22" t="n">
        <x:f>O1192*(1-N1192)</x:f>
        <x:v>3520</x:v>
      </x:c>
      <x:c r="Q1192" s="22" t="n">
        <x:v>1610</x:v>
      </x:c>
      <x:c r="R1192" s="22" t="n">
        <x:f>Q1192*M1192</x:f>
        <x:v>3220</x:v>
      </x:c>
      <x:c r="S1192" s="22" t="n">
        <x:f>P1192-R1192</x:f>
        <x:v>300</x:v>
      </x:c>
      <x:c r="T1192" t="str">
        <x:v>Cash</x:v>
      </x:c>
      <x:c r="U1192" t="str">
        <x:v>Paid</x:v>
      </x:c>
      <x:c r="V1192" t="str">
        <x:v>Cancelled</x:v>
      </x:c>
      <x:c r="W1192" t="n">
        <x:v>2</x:v>
      </x:c>
      <x:c r="X1192" t="str">
        <x:v>Cancelled Order</x:v>
      </x:c>
      <x:c r="Y1192" t="str">
        <x:v>Field Visit</x:v>
      </x:c>
    </x:row>
    <x:row r="1193">
      <x:c r="A1193" t="str">
        <x:v>O001192</x:v>
      </x:c>
      <x:c r="B1193" s="20" t="n">
        <x:v>46065</x:v>
      </x:c>
      <x:c r="C1193" t="str">
        <x:v>C0184</x:v>
      </x:c>
      <x:c r="D1193" t="str">
        <x:v>Namma Restaurant 184</x:v>
      </x:c>
      <x:c r="E1193" t="str">
        <x:v>Cafe</x:v>
      </x:c>
      <x:c r="F1193" t="str">
        <x:v>Hubballi</x:v>
      </x:c>
      <x:c r="G1193" t="str">
        <x:v>Arjun</x:v>
      </x:c>
      <x:c r="H1193" t="str">
        <x:v>P045</x:v>
      </x:c>
      <x:c r="I1193" t="str">
        <x:v>Onion 25kg</x:v>
      </x:c>
      <x:c r="J1193" t="str">
        <x:v>Fresh Produce</x:v>
      </x:c>
      <x:c r="K1193" t="str">
        <x:v>Local Market</x:v>
      </x:c>
      <x:c r="L1193" s="22" t="n">
        <x:v>875</x:v>
      </x:c>
      <x:c r="M1193" t="n">
        <x:v>19</x:v>
      </x:c>
      <x:c r="N1193" s="24" t="n">
        <x:v>0.03</x:v>
      </x:c>
      <x:c r="O1193" s="22" t="n">
        <x:f>L1193*M1193</x:f>
        <x:v>16625</x:v>
      </x:c>
      <x:c r="P1193" s="22" t="n">
        <x:f>O1193*(1-N1193)</x:f>
        <x:v>16126.25</x:v>
      </x:c>
      <x:c r="Q1193" s="22" t="n">
        <x:v>760</x:v>
      </x:c>
      <x:c r="R1193" s="22" t="n">
        <x:f>Q1193*M1193</x:f>
        <x:v>14440</x:v>
      </x:c>
      <x:c r="S1193" s="22" t="n">
        <x:f>P1193-R1193</x:f>
        <x:v>1686.25</x:v>
      </x:c>
      <x:c r="T1193" t="str">
        <x:v>Cash</x:v>
      </x:c>
      <x:c r="U1193" t="str">
        <x:v>Pending</x:v>
      </x:c>
      <x:c r="V1193" t="str">
        <x:v>Delivered</x:v>
      </x:c>
      <x:c r="W1193" t="n">
        <x:v>0</x:v>
      </x:c>
      <x:c r="X1193" t="str"/>
      <x:c r="Y1193" t="str">
        <x:v>Outbound Call</x:v>
      </x:c>
    </x:row>
    <x:row r="1194">
      <x:c r="A1194" t="str">
        <x:v>O001193</x:v>
      </x:c>
      <x:c r="B1194" s="20" t="n">
        <x:v>45746</x:v>
      </x:c>
      <x:c r="C1194" t="str">
        <x:v>C0227</x:v>
      </x:c>
      <x:c r="D1194" t="str">
        <x:v>Metro Restaurant 227</x:v>
      </x:c>
      <x:c r="E1194" t="str">
        <x:v>Restaurant</x:v>
      </x:c>
      <x:c r="F1194" t="str">
        <x:v>Davanagere</x:v>
      </x:c>
      <x:c r="G1194" t="str">
        <x:v>Kavya</x:v>
      </x:c>
      <x:c r="H1194" t="str">
        <x:v>P013</x:v>
      </x:c>
      <x:c r="I1194" t="str">
        <x:v>Atta 10kg</x:v>
      </x:c>
      <x:c r="J1194" t="str">
        <x:v>Flour</x:v>
      </x:c>
      <x:c r="K1194" t="str">
        <x:v>Aashirvaad</x:v>
      </x:c>
      <x:c r="L1194" s="22" t="n">
        <x:v>560</x:v>
      </x:c>
      <x:c r="M1194" t="n">
        <x:v>36</x:v>
      </x:c>
      <x:c r="N1194" s="24" t="n">
        <x:v>0.05</x:v>
      </x:c>
      <x:c r="O1194" s="22" t="n">
        <x:f>L1194*M1194</x:f>
        <x:v>20160</x:v>
      </x:c>
      <x:c r="P1194" s="22" t="n">
        <x:f>O1194*(1-N1194)</x:f>
        <x:v>19152</x:v>
      </x:c>
      <x:c r="Q1194" s="22" t="n">
        <x:v>495</x:v>
      </x:c>
      <x:c r="R1194" s="22" t="n">
        <x:f>Q1194*M1194</x:f>
        <x:v>17820</x:v>
      </x:c>
      <x:c r="S1194" s="22" t="n">
        <x:f>P1194-R1194</x:f>
        <x:v>1332</x:v>
      </x:c>
      <x:c r="T1194" t="str">
        <x:v>Bank Transfer</x:v>
      </x:c>
      <x:c r="U1194" t="str">
        <x:v>Paid</x:v>
      </x:c>
      <x:c r="V1194" t="str">
        <x:v>Delivered</x:v>
      </x:c>
      <x:c r="W1194" t="n">
        <x:v>0</x:v>
      </x:c>
      <x:c r="X1194" t="str"/>
      <x:c r="Y1194" t="str">
        <x:v>Outbound Call</x:v>
      </x:c>
    </x:row>
    <x:row r="1195">
      <x:c r="A1195" t="str">
        <x:v>O001194</x:v>
      </x:c>
      <x:c r="B1195" s="20" t="n">
        <x:v>45846</x:v>
      </x:c>
      <x:c r="C1195" t="str">
        <x:v>C0010</x:v>
      </x:c>
      <x:c r="D1195" t="str">
        <x:v>Royal Hotel 10</x:v>
      </x:c>
      <x:c r="E1195" t="str">
        <x:v>Canteen</x:v>
      </x:c>
      <x:c r="F1195" t="str">
        <x:v>Davanagere</x:v>
      </x:c>
      <x:c r="G1195" t="str">
        <x:v>Ramesh</x:v>
      </x:c>
      <x:c r="H1195" t="str">
        <x:v>P025</x:v>
      </x:c>
      <x:c r="I1195" t="str">
        <x:v>Potato Chips 100g</x:v>
      </x:c>
      <x:c r="J1195" t="str">
        <x:v>Snacks</x:v>
      </x:c>
      <x:c r="K1195" t="str">
        <x:v>Lay's</x:v>
      </x:c>
      <x:c r="L1195" s="22" t="n">
        <x:v>35</x:v>
      </x:c>
      <x:c r="M1195" t="n">
        <x:v>6</x:v>
      </x:c>
      <x:c r="N1195" s="24" t="n">
        <x:v>0.05</x:v>
      </x:c>
      <x:c r="O1195" s="22" t="n">
        <x:f>L1195*M1195</x:f>
        <x:v>210</x:v>
      </x:c>
      <x:c r="P1195" s="22" t="n">
        <x:f>O1195*(1-N1195)</x:f>
        <x:v>199.5</x:v>
      </x:c>
      <x:c r="Q1195" s="22" t="n">
        <x:v>27</x:v>
      </x:c>
      <x:c r="R1195" s="22" t="n">
        <x:f>Q1195*M1195</x:f>
        <x:v>162</x:v>
      </x:c>
      <x:c r="S1195" s="22" t="n">
        <x:f>P1195-R1195</x:f>
        <x:v>37.5</x:v>
      </x:c>
      <x:c r="T1195" t="str">
        <x:v>UPI</x:v>
      </x:c>
      <x:c r="U1195" t="str">
        <x:v>Paid</x:v>
      </x:c>
      <x:c r="V1195" t="str">
        <x:v>Delayed</x:v>
      </x:c>
      <x:c r="W1195" t="n">
        <x:v>0</x:v>
      </x:c>
      <x:c r="X1195" t="str"/>
      <x:c r="Y1195" t="str">
        <x:v>Field Visit</x:v>
      </x:c>
    </x:row>
    <x:row r="1196">
      <x:c r="A1196" t="str">
        <x:v>O001195</x:v>
      </x:c>
      <x:c r="B1196" s="20" t="n">
        <x:v>46269</x:v>
      </x:c>
      <x:c r="C1196" t="str">
        <x:v>C0037</x:v>
      </x:c>
      <x:c r="D1196" t="str">
        <x:v>Royal Cafe 37</x:v>
      </x:c>
      <x:c r="E1196" t="str">
        <x:v>Hotel</x:v>
      </x:c>
      <x:c r="F1196" t="str">
        <x:v>Mysuru</x:v>
      </x:c>
      <x:c r="G1196" t="str">
        <x:v>Sneha</x:v>
      </x:c>
      <x:c r="H1196" t="str">
        <x:v>P029</x:v>
      </x:c>
      <x:c r="I1196" t="str">
        <x:v>Tomato Ketchup 1kg</x:v>
      </x:c>
      <x:c r="J1196" t="str">
        <x:v>Condiments</x:v>
      </x:c>
      <x:c r="K1196" t="str">
        <x:v>Kissan</x:v>
      </x:c>
      <x:c r="L1196" s="22" t="n">
        <x:v>145</x:v>
      </x:c>
      <x:c r="M1196" t="n">
        <x:v>3</x:v>
      </x:c>
      <x:c r="N1196" s="24" t="n">
        <x:v>0.05</x:v>
      </x:c>
      <x:c r="O1196" s="22" t="n">
        <x:f>L1196*M1196</x:f>
        <x:v>435</x:v>
      </x:c>
      <x:c r="P1196" s="22" t="n">
        <x:f>O1196*(1-N1196)</x:f>
        <x:v>413.25</x:v>
      </x:c>
      <x:c r="Q1196" s="22" t="n">
        <x:v>126</x:v>
      </x:c>
      <x:c r="R1196" s="22" t="n">
        <x:f>Q1196*M1196</x:f>
        <x:v>378</x:v>
      </x:c>
      <x:c r="S1196" s="22" t="n">
        <x:f>P1196-R1196</x:f>
        <x:v>35.25</x:v>
      </x:c>
      <x:c r="T1196" t="str">
        <x:v>Bank Transfer</x:v>
      </x:c>
      <x:c r="U1196" t="str">
        <x:v>Pending</x:v>
      </x:c>
      <x:c r="V1196" t="str">
        <x:v>Cancelled</x:v>
      </x:c>
      <x:c r="W1196" t="n">
        <x:v>3</x:v>
      </x:c>
      <x:c r="X1196" t="str">
        <x:v>Cancelled Order</x:v>
      </x:c>
      <x:c r="Y1196" t="str">
        <x:v>Field Visit</x:v>
      </x:c>
    </x:row>
    <x:row r="1197">
      <x:c r="A1197" t="str">
        <x:v>O001196</x:v>
      </x:c>
      <x:c r="B1197" s="20" t="n">
        <x:v>46007</x:v>
      </x:c>
      <x:c r="C1197" t="str">
        <x:v>C0004</x:v>
      </x:c>
      <x:c r="D1197" t="str">
        <x:v>Annapurna Foods 4</x:v>
      </x:c>
      <x:c r="E1197" t="str">
        <x:v>Cafe</x:v>
      </x:c>
      <x:c r="F1197" t="str">
        <x:v>Mysuru</x:v>
      </x:c>
      <x:c r="G1197" t="str">
        <x:v>Priya</x:v>
      </x:c>
      <x:c r="H1197" t="str">
        <x:v>P010</x:v>
      </x:c>
      <x:c r="I1197" t="str">
        <x:v>Sugar 25kg</x:v>
      </x:c>
      <x:c r="J1197" t="str">
        <x:v>Staples</x:v>
      </x:c>
      <x:c r="K1197" t="str">
        <x:v>Madhur</x:v>
      </x:c>
      <x:c r="L1197" s="22" t="n">
        <x:v>1190</x:v>
      </x:c>
      <x:c r="M1197" t="n">
        <x:v>3</x:v>
      </x:c>
      <x:c r="N1197" s="24" t="n">
        <x:v>0.02</x:v>
      </x:c>
      <x:c r="O1197" s="22" t="n">
        <x:f>L1197*M1197</x:f>
        <x:v>3570</x:v>
      </x:c>
      <x:c r="P1197" s="22" t="n">
        <x:f>O1197*(1-N1197)</x:f>
        <x:v>3498.6</x:v>
      </x:c>
      <x:c r="Q1197" s="22" t="n">
        <x:v>1080</x:v>
      </x:c>
      <x:c r="R1197" s="22" t="n">
        <x:f>Q1197*M1197</x:f>
        <x:v>3240</x:v>
      </x:c>
      <x:c r="S1197" s="22" t="n">
        <x:f>P1197-R1197</x:f>
        <x:v>258.5999999999999</x:v>
      </x:c>
      <x:c r="T1197" t="str">
        <x:v>Bank Transfer</x:v>
      </x:c>
      <x:c r="U1197" t="str">
        <x:v>Pending</x:v>
      </x:c>
      <x:c r="V1197" t="str">
        <x:v>Delivered</x:v>
      </x:c>
      <x:c r="W1197" t="n">
        <x:v>0</x:v>
      </x:c>
      <x:c r="X1197" t="str"/>
      <x:c r="Y1197" t="str">
        <x:v>Referral</x:v>
      </x:c>
    </x:row>
    <x:row r="1198">
      <x:c r="A1198" t="str">
        <x:v>O001197</x:v>
      </x:c>
      <x:c r="B1198" s="20" t="n">
        <x:v>45888</x:v>
      </x:c>
      <x:c r="C1198" t="str">
        <x:v>C0130</x:v>
      </x:c>
      <x:c r="D1198" t="str">
        <x:v>Foodie Cafe 130</x:v>
      </x:c>
      <x:c r="E1198" t="str">
        <x:v>Restaurant</x:v>
      </x:c>
      <x:c r="F1198" t="str">
        <x:v>Davanagere</x:v>
      </x:c>
      <x:c r="G1198" t="str">
        <x:v>Megha</x:v>
      </x:c>
      <x:c r="H1198" t="str">
        <x:v>P005</x:v>
      </x:c>
      <x:c r="I1198" t="str">
        <x:v>Chana Dal 5kg</x:v>
      </x:c>
      <x:c r="J1198" t="str">
        <x:v>Pulses</x:v>
      </x:c>
      <x:c r="K1198" t="str">
        <x:v>Local Select</x:v>
      </x:c>
      <x:c r="L1198" s="22" t="n">
        <x:v>520</x:v>
      </x:c>
      <x:c r="M1198" t="n">
        <x:v>12</x:v>
      </x:c>
      <x:c r="N1198" s="24" t="n">
        <x:v>0.05</x:v>
      </x:c>
      <x:c r="O1198" s="22" t="n">
        <x:f>L1198*M1198</x:f>
        <x:v>6240</x:v>
      </x:c>
      <x:c r="P1198" s="22" t="n">
        <x:f>O1198*(1-N1198)</x:f>
        <x:v>5928</x:v>
      </x:c>
      <x:c r="Q1198" s="22" t="n">
        <x:v>455</x:v>
      </x:c>
      <x:c r="R1198" s="22" t="n">
        <x:f>Q1198*M1198</x:f>
        <x:v>5460</x:v>
      </x:c>
      <x:c r="S1198" s="22" t="n">
        <x:f>P1198-R1198</x:f>
        <x:v>468</x:v>
      </x:c>
      <x:c r="T1198" t="str">
        <x:v>Cash</x:v>
      </x:c>
      <x:c r="U1198" t="str">
        <x:v>Paid</x:v>
      </x:c>
      <x:c r="V1198" t="str">
        <x:v>Delivered</x:v>
      </x:c>
      <x:c r="W1198" t="n">
        <x:v>4</x:v>
      </x:c>
      <x:c r="X1198" t="str">
        <x:v>Damaged</x:v>
      </x:c>
      <x:c r="Y1198" t="str">
        <x:v>Referral</x:v>
      </x:c>
    </x:row>
    <x:row r="1199">
      <x:c r="A1199" t="str">
        <x:v>O001198</x:v>
      </x:c>
      <x:c r="B1199" s="20" t="n">
        <x:v>45822</x:v>
      </x:c>
      <x:c r="C1199" t="str">
        <x:v>C0074</x:v>
      </x:c>
      <x:c r="D1199" t="str">
        <x:v>Foodie Hotel 74</x:v>
      </x:c>
      <x:c r="E1199" t="str">
        <x:v>Restaurant</x:v>
      </x:c>
      <x:c r="F1199" t="str">
        <x:v>Mysuru</x:v>
      </x:c>
      <x:c r="G1199" t="str">
        <x:v>Vikram</x:v>
      </x:c>
      <x:c r="H1199" t="str">
        <x:v>P036</x:v>
      </x:c>
      <x:c r="I1199" t="str">
        <x:v>Garam Masala 500g</x:v>
      </x:c>
      <x:c r="J1199" t="str">
        <x:v>Spices</x:v>
      </x:c>
      <x:c r="K1199" t="str">
        <x:v>MDH</x:v>
      </x:c>
      <x:c r="L1199" s="22" t="n">
        <x:v>265</x:v>
      </x:c>
      <x:c r="M1199" t="n">
        <x:v>10</x:v>
      </x:c>
      <x:c r="N1199" s="24" t="n">
        <x:v>0.03</x:v>
      </x:c>
      <x:c r="O1199" s="22" t="n">
        <x:f>L1199*M1199</x:f>
        <x:v>2650</x:v>
      </x:c>
      <x:c r="P1199" s="22" t="n">
        <x:f>O1199*(1-N1199)</x:f>
        <x:v>2570.5</x:v>
      </x:c>
      <x:c r="Q1199" s="22" t="n">
        <x:v>230</x:v>
      </x:c>
      <x:c r="R1199" s="22" t="n">
        <x:f>Q1199*M1199</x:f>
        <x:v>2300</x:v>
      </x:c>
      <x:c r="S1199" s="22" t="n">
        <x:f>P1199-R1199</x:f>
        <x:v>270.5</x:v>
      </x:c>
      <x:c r="T1199" t="str">
        <x:v>Cash</x:v>
      </x:c>
      <x:c r="U1199" t="str">
        <x:v>Paid</x:v>
      </x:c>
      <x:c r="V1199" t="str">
        <x:v>Cancelled</x:v>
      </x:c>
      <x:c r="W1199" t="n">
        <x:v>10</x:v>
      </x:c>
      <x:c r="X1199" t="str">
        <x:v>Cancelled Order</x:v>
      </x:c>
      <x:c r="Y1199" t="str">
        <x:v>Outbound Call</x:v>
      </x:c>
    </x:row>
    <x:row r="1200">
      <x:c r="A1200" t="str">
        <x:v>O001199</x:v>
      </x:c>
      <x:c r="B1200" s="20" t="n">
        <x:v>45831</x:v>
      </x:c>
      <x:c r="C1200" t="str">
        <x:v>C0137</x:v>
      </x:c>
      <x:c r="D1200" t="str">
        <x:v>Green Restaurant 137</x:v>
      </x:c>
      <x:c r="E1200" t="str">
        <x:v>Canteen</x:v>
      </x:c>
      <x:c r="F1200" t="str">
        <x:v>Mangaluru</x:v>
      </x:c>
      <x:c r="G1200" t="str">
        <x:v>Arjun</x:v>
      </x:c>
      <x:c r="H1200" t="str">
        <x:v>P002</x:v>
      </x:c>
      <x:c r="I1200" t="str">
        <x:v>Sona Masoori Rice 25kg</x:v>
      </x:c>
      <x:c r="J1200" t="str">
        <x:v>Staples</x:v>
      </x:c>
      <x:c r="K1200" t="str">
        <x:v>Fortune</x:v>
      </x:c>
      <x:c r="L1200" s="22" t="n">
        <x:v>1320</x:v>
      </x:c>
      <x:c r="M1200" t="n">
        <x:v>6</x:v>
      </x:c>
      <x:c r="N1200" s="24" t="n">
        <x:v>0</x:v>
      </x:c>
      <x:c r="O1200" s="22" t="n">
        <x:f>L1200*M1200</x:f>
        <x:v>7920</x:v>
      </x:c>
      <x:c r="P1200" s="22" t="n">
        <x:f>O1200*(1-N1200)</x:f>
        <x:v>7920</x:v>
      </x:c>
      <x:c r="Q1200" s="22" t="n">
        <x:v>1160</x:v>
      </x:c>
      <x:c r="R1200" s="22" t="n">
        <x:f>Q1200*M1200</x:f>
        <x:v>6960</x:v>
      </x:c>
      <x:c r="S1200" s="22" t="n">
        <x:f>P1200-R1200</x:f>
        <x:v>960</x:v>
      </x:c>
      <x:c r="T1200" t="str">
        <x:v>UPI</x:v>
      </x:c>
      <x:c r="U1200" t="str">
        <x:v>Paid</x:v>
      </x:c>
      <x:c r="V1200" t="str">
        <x:v>Delivered</x:v>
      </x:c>
      <x:c r="W1200" t="n">
        <x:v>0</x:v>
      </x:c>
      <x:c r="X1200" t="str"/>
      <x:c r="Y1200" t="str">
        <x:v>Existing Customer</x:v>
      </x:c>
    </x:row>
    <x:row r="1201">
      <x:c r="A1201" t="str">
        <x:v>O001200</x:v>
      </x:c>
      <x:c r="B1201" s="20" t="n">
        <x:v>46238</x:v>
      </x:c>
      <x:c r="C1201" t="str">
        <x:v>C0100</x:v>
      </x:c>
      <x:c r="D1201" t="str">
        <x:v>Fresh Mart 100</x:v>
      </x:c>
      <x:c r="E1201" t="str">
        <x:v>Restaurant</x:v>
      </x:c>
      <x:c r="F1201" t="str">
        <x:v>Mysuru</x:v>
      </x:c>
      <x:c r="G1201" t="str">
        <x:v>Imran</x:v>
      </x:c>
      <x:c r="H1201" t="str">
        <x:v>P050</x:v>
      </x:c>
      <x:c r="I1201" t="str">
        <x:v>Lemon 5kg</x:v>
      </x:c>
      <x:c r="J1201" t="str">
        <x:v>Fresh Produce</x:v>
      </x:c>
      <x:c r="K1201" t="str">
        <x:v>Local Market</x:v>
      </x:c>
      <x:c r="L1201" s="22" t="n">
        <x:v>360</x:v>
      </x:c>
      <x:c r="M1201" t="n">
        <x:v>8</x:v>
      </x:c>
      <x:c r="N1201" s="24" t="n">
        <x:v>0.08</x:v>
      </x:c>
      <x:c r="O1201" s="22" t="n">
        <x:f>L1201*M1201</x:f>
        <x:v>2880</x:v>
      </x:c>
      <x:c r="P1201" s="22" t="n">
        <x:f>O1201*(1-N1201)</x:f>
        <x:v>2649.6</x:v>
      </x:c>
      <x:c r="Q1201" s="22" t="n">
        <x:v>300</x:v>
      </x:c>
      <x:c r="R1201" s="22" t="n">
        <x:f>Q1201*M1201</x:f>
        <x:v>2400</x:v>
      </x:c>
      <x:c r="S1201" s="22" t="n">
        <x:f>P1201-R1201</x:f>
        <x:v>249.5999999999999</x:v>
      </x:c>
      <x:c r="T1201" t="str">
        <x:v>UPI</x:v>
      </x:c>
      <x:c r="U1201" t="str">
        <x:v>Paid</x:v>
      </x:c>
      <x:c r="V1201" t="str">
        <x:v>Delivered</x:v>
      </x:c>
      <x:c r="W1201" t="n">
        <x:v>4</x:v>
      </x:c>
      <x:c r="X1201" t="str">
        <x:v>Late Delivery</x:v>
      </x:c>
      <x:c r="Y1201" t="str">
        <x:v>Field Visit</x:v>
      </x:c>
    </x:row>
    <x:row r="1202">
      <x:c r="A1202" t="str">
        <x:v>O001201</x:v>
      </x:c>
      <x:c r="B1202" s="20" t="n">
        <x:v>45901</x:v>
      </x:c>
      <x:c r="C1202" t="str">
        <x:v>C0100</x:v>
      </x:c>
      <x:c r="D1202" t="str">
        <x:v>Fresh Mart 100</x:v>
      </x:c>
      <x:c r="E1202" t="str">
        <x:v>Restaurant</x:v>
      </x:c>
      <x:c r="F1202" t="str">
        <x:v>Mysuru</x:v>
      </x:c>
      <x:c r="G1202" t="str">
        <x:v>Imran</x:v>
      </x:c>
      <x:c r="H1202" t="str">
        <x:v>P029</x:v>
      </x:c>
      <x:c r="I1202" t="str">
        <x:v>Tomato Ketchup 1kg</x:v>
      </x:c>
      <x:c r="J1202" t="str">
        <x:v>Condiments</x:v>
      </x:c>
      <x:c r="K1202" t="str">
        <x:v>Kissan</x:v>
      </x:c>
      <x:c r="L1202" s="22" t="n">
        <x:v>145</x:v>
      </x:c>
      <x:c r="M1202" t="n">
        <x:v>32</x:v>
      </x:c>
      <x:c r="N1202" s="24" t="n">
        <x:v>0.05</x:v>
      </x:c>
      <x:c r="O1202" s="22" t="n">
        <x:f>L1202*M1202</x:f>
        <x:v>4640</x:v>
      </x:c>
      <x:c r="P1202" s="22" t="n">
        <x:f>O1202*(1-N1202)</x:f>
        <x:v>4408</x:v>
      </x:c>
      <x:c r="Q1202" s="22" t="n">
        <x:v>126</x:v>
      </x:c>
      <x:c r="R1202" s="22" t="n">
        <x:f>Q1202*M1202</x:f>
        <x:v>4032</x:v>
      </x:c>
      <x:c r="S1202" s="22" t="n">
        <x:f>P1202-R1202</x:f>
        <x:v>376</x:v>
      </x:c>
      <x:c r="T1202" t="str">
        <x:v>Cash</x:v>
      </x:c>
      <x:c r="U1202" t="str">
        <x:v>Overdue</x:v>
      </x:c>
      <x:c r="V1202" t="str">
        <x:v>Cancelled</x:v>
      </x:c>
      <x:c r="W1202" t="n">
        <x:v>32</x:v>
      </x:c>
      <x:c r="X1202" t="str">
        <x:v>Cancelled Order</x:v>
      </x:c>
      <x:c r="Y1202" t="str">
        <x:v>WhatsApp</x:v>
      </x:c>
    </x:row>
    <x:row r="1203">
      <x:c r="A1203" t="str">
        <x:v>O001202</x:v>
      </x:c>
      <x:c r="B1203" s="20" t="n">
        <x:v>46123</x:v>
      </x:c>
      <x:c r="C1203" t="str">
        <x:v>C0231</x:v>
      </x:c>
      <x:c r="D1203" t="str">
        <x:v>Metro Canteen 231</x:v>
      </x:c>
      <x:c r="E1203" t="str">
        <x:v>Canteen</x:v>
      </x:c>
      <x:c r="F1203" t="str">
        <x:v>Mangaluru</x:v>
      </x:c>
      <x:c r="G1203" t="str">
        <x:v>Megha</x:v>
      </x:c>
      <x:c r="H1203" t="str">
        <x:v>P010</x:v>
      </x:c>
      <x:c r="I1203" t="str">
        <x:v>Sugar 25kg</x:v>
      </x:c>
      <x:c r="J1203" t="str">
        <x:v>Staples</x:v>
      </x:c>
      <x:c r="K1203" t="str">
        <x:v>Madhur</x:v>
      </x:c>
      <x:c r="L1203" s="22" t="n">
        <x:v>1190</x:v>
      </x:c>
      <x:c r="M1203" t="n">
        <x:v>6</x:v>
      </x:c>
      <x:c r="N1203" s="24" t="n">
        <x:v>0</x:v>
      </x:c>
      <x:c r="O1203" s="22" t="n">
        <x:f>L1203*M1203</x:f>
        <x:v>7140</x:v>
      </x:c>
      <x:c r="P1203" s="22" t="n">
        <x:f>O1203*(1-N1203)</x:f>
        <x:v>7140</x:v>
      </x:c>
      <x:c r="Q1203" s="22" t="n">
        <x:v>1080</x:v>
      </x:c>
      <x:c r="R1203" s="22" t="n">
        <x:f>Q1203*M1203</x:f>
        <x:v>6480</x:v>
      </x:c>
      <x:c r="S1203" s="22" t="n">
        <x:f>P1203-R1203</x:f>
        <x:v>660</x:v>
      </x:c>
      <x:c r="T1203" t="str">
        <x:v>Cash</x:v>
      </x:c>
      <x:c r="U1203" t="str">
        <x:v>Paid</x:v>
      </x:c>
      <x:c r="V1203" t="str">
        <x:v>Delivered</x:v>
      </x:c>
      <x:c r="W1203" t="n">
        <x:v>0</x:v>
      </x:c>
      <x:c r="X1203" t="str"/>
      <x:c r="Y1203" t="str">
        <x:v>WhatsApp</x:v>
      </x:c>
    </x:row>
    <x:row r="1204">
      <x:c r="A1204" t="str">
        <x:v>O001203</x:v>
      </x:c>
      <x:c r="B1204" s="20" t="n">
        <x:v>46034</x:v>
      </x:c>
      <x:c r="C1204" t="str">
        <x:v>C0226</x:v>
      </x:c>
      <x:c r="D1204" t="str">
        <x:v>Green Stores 226</x:v>
      </x:c>
      <x:c r="E1204" t="str">
        <x:v>Restaurant</x:v>
      </x:c>
      <x:c r="F1204" t="str">
        <x:v>Hubballi</x:v>
      </x:c>
      <x:c r="G1204" t="str">
        <x:v>Priya</x:v>
      </x:c>
      <x:c r="H1204" t="str">
        <x:v>P011</x:v>
      </x:c>
      <x:c r="I1204" t="str">
        <x:v>Salt 1kg</x:v>
      </x:c>
      <x:c r="J1204" t="str">
        <x:v>Staples</x:v>
      </x:c>
      <x:c r="K1204" t="str">
        <x:v>Tata</x:v>
      </x:c>
      <x:c r="L1204" s="22" t="n">
        <x:v>28</x:v>
      </x:c>
      <x:c r="M1204" t="n">
        <x:v>2</x:v>
      </x:c>
      <x:c r="N1204" s="24" t="n">
        <x:v>0.03</x:v>
      </x:c>
      <x:c r="O1204" s="22" t="n">
        <x:f>L1204*M1204</x:f>
        <x:v>56</x:v>
      </x:c>
      <x:c r="P1204" s="22" t="n">
        <x:f>O1204*(1-N1204)</x:f>
        <x:v>54.32</x:v>
      </x:c>
      <x:c r="Q1204" s="22" t="n">
        <x:v>23</x:v>
      </x:c>
      <x:c r="R1204" s="22" t="n">
        <x:f>Q1204*M1204</x:f>
        <x:v>46</x:v>
      </x:c>
      <x:c r="S1204" s="22" t="n">
        <x:f>P1204-R1204</x:f>
        <x:v>8.32</x:v>
      </x:c>
      <x:c r="T1204" t="str">
        <x:v>Cash</x:v>
      </x:c>
      <x:c r="U1204" t="str">
        <x:v>Paid</x:v>
      </x:c>
      <x:c r="V1204" t="str">
        <x:v>Delivered</x:v>
      </x:c>
      <x:c r="W1204" t="n">
        <x:v>0</x:v>
      </x:c>
      <x:c r="X1204" t="str"/>
      <x:c r="Y1204" t="str">
        <x:v>Existing Customer</x:v>
      </x:c>
    </x:row>
    <x:row r="1205">
      <x:c r="A1205" t="str">
        <x:v>O001204</x:v>
      </x:c>
      <x:c r="B1205" s="20" t="n">
        <x:v>46019</x:v>
      </x:c>
      <x:c r="C1205" t="str">
        <x:v>C0103</x:v>
      </x:c>
      <x:c r="D1205" t="str">
        <x:v>Fresh Kitchen 103</x:v>
      </x:c>
      <x:c r="E1205" t="str">
        <x:v>Supermarket</x:v>
      </x:c>
      <x:c r="F1205" t="str">
        <x:v>Davanagere</x:v>
      </x:c>
      <x:c r="G1205" t="str">
        <x:v>Megha</x:v>
      </x:c>
      <x:c r="H1205" t="str">
        <x:v>P009</x:v>
      </x:c>
      <x:c r="I1205" t="str">
        <x:v>Groundnut Oil 5L</x:v>
      </x:c>
      <x:c r="J1205" t="str">
        <x:v>Edible Oil</x:v>
      </x:c>
      <x:c r="K1205" t="str">
        <x:v>Dhara</x:v>
      </x:c>
      <x:c r="L1205" s="22" t="n">
        <x:v>890</x:v>
      </x:c>
      <x:c r="M1205" t="n">
        <x:v>14</x:v>
      </x:c>
      <x:c r="N1205" s="24" t="n">
        <x:v>0.08</x:v>
      </x:c>
      <x:c r="O1205" s="22" t="n">
        <x:f>L1205*M1205</x:f>
        <x:v>12460</x:v>
      </x:c>
      <x:c r="P1205" s="22" t="n">
        <x:f>O1205*(1-N1205)</x:f>
        <x:v>11463.2</x:v>
      </x:c>
      <x:c r="Q1205" s="22" t="n">
        <x:v>810</x:v>
      </x:c>
      <x:c r="R1205" s="22" t="n">
        <x:f>Q1205*M1205</x:f>
        <x:v>11340</x:v>
      </x:c>
      <x:c r="S1205" s="22" t="n">
        <x:f>P1205-R1205</x:f>
        <x:v>123.20000000000073</x:v>
      </x:c>
      <x:c r="T1205" t="str">
        <x:v>Credit</x:v>
      </x:c>
      <x:c r="U1205" t="str">
        <x:v>Pending</x:v>
      </x:c>
      <x:c r="V1205" t="str">
        <x:v>Delivered</x:v>
      </x:c>
      <x:c r="W1205" t="n">
        <x:v>0</x:v>
      </x:c>
      <x:c r="X1205" t="str"/>
      <x:c r="Y1205" t="str">
        <x:v>WhatsApp</x:v>
      </x:c>
    </x:row>
    <x:row r="1206">
      <x:c r="A1206" t="str">
        <x:v>O001205</x:v>
      </x:c>
      <x:c r="B1206" s="20" t="n">
        <x:v>46003</x:v>
      </x:c>
      <x:c r="C1206" t="str">
        <x:v>C0119</x:v>
      </x:c>
      <x:c r="D1206" t="str">
        <x:v>Foodie Foods 119</x:v>
      </x:c>
      <x:c r="E1206" t="str">
        <x:v>Kirana</x:v>
      </x:c>
      <x:c r="F1206" t="str">
        <x:v>Hubballi</x:v>
      </x:c>
      <x:c r="G1206" t="str">
        <x:v>Imran</x:v>
      </x:c>
      <x:c r="H1206" t="str">
        <x:v>P024</x:v>
      </x:c>
      <x:c r="I1206" t="str">
        <x:v>Orange Drink 1L</x:v>
      </x:c>
      <x:c r="J1206" t="str">
        <x:v>Beverage</x:v>
      </x:c>
      <x:c r="K1206" t="str">
        <x:v>Minute Maid</x:v>
      </x:c>
      <x:c r="L1206" s="22" t="n">
        <x:v>105</x:v>
      </x:c>
      <x:c r="M1206" t="n">
        <x:v>21</x:v>
      </x:c>
      <x:c r="N1206" s="24" t="n">
        <x:v>0.05</x:v>
      </x:c>
      <x:c r="O1206" s="22" t="n">
        <x:f>L1206*M1206</x:f>
        <x:v>2205</x:v>
      </x:c>
      <x:c r="P1206" s="22" t="n">
        <x:f>O1206*(1-N1206)</x:f>
        <x:v>2094.75</x:v>
      </x:c>
      <x:c r="Q1206" s="22" t="n">
        <x:v>88</x:v>
      </x:c>
      <x:c r="R1206" s="22" t="n">
        <x:f>Q1206*M1206</x:f>
        <x:v>1848</x:v>
      </x:c>
      <x:c r="S1206" s="22" t="n">
        <x:f>P1206-R1206</x:f>
        <x:v>246.75</x:v>
      </x:c>
      <x:c r="T1206" t="str">
        <x:v>Bank Transfer</x:v>
      </x:c>
      <x:c r="U1206" t="str">
        <x:v>Pending</x:v>
      </x:c>
      <x:c r="V1206" t="str">
        <x:v>Delivered</x:v>
      </x:c>
      <x:c r="W1206" t="n">
        <x:v>0</x:v>
      </x:c>
      <x:c r="X1206" t="str"/>
      <x:c r="Y1206" t="str">
        <x:v>Referral</x:v>
      </x:c>
    </x:row>
    <x:row r="1207">
      <x:c r="A1207" t="str">
        <x:v>O001206</x:v>
      </x:c>
      <x:c r="B1207" s="20" t="n">
        <x:v>46030</x:v>
      </x:c>
      <x:c r="C1207" t="str">
        <x:v>C0243</x:v>
      </x:c>
      <x:c r="D1207" t="str">
        <x:v>Metro Kitchen 243</x:v>
      </x:c>
      <x:c r="E1207" t="str">
        <x:v>Restaurant</x:v>
      </x:c>
      <x:c r="F1207" t="str">
        <x:v>Mangaluru</x:v>
      </x:c>
      <x:c r="G1207" t="str">
        <x:v>Kavya</x:v>
      </x:c>
      <x:c r="H1207" t="str">
        <x:v>P047</x:v>
      </x:c>
      <x:c r="I1207" t="str">
        <x:v>Tomato 25kg</x:v>
      </x:c>
      <x:c r="J1207" t="str">
        <x:v>Fresh Produce</x:v>
      </x:c>
      <x:c r="K1207" t="str">
        <x:v>Local Market</x:v>
      </x:c>
      <x:c r="L1207" s="22" t="n">
        <x:v>950</x:v>
      </x:c>
      <x:c r="M1207" t="n">
        <x:v>30</x:v>
      </x:c>
      <x:c r="N1207" s="24" t="n">
        <x:v>0.03</x:v>
      </x:c>
      <x:c r="O1207" s="22" t="n">
        <x:f>L1207*M1207</x:f>
        <x:v>28500</x:v>
      </x:c>
      <x:c r="P1207" s="22" t="n">
        <x:f>O1207*(1-N1207)</x:f>
        <x:v>27645</x:v>
      </x:c>
      <x:c r="Q1207" s="22" t="n">
        <x:v>810</x:v>
      </x:c>
      <x:c r="R1207" s="22" t="n">
        <x:f>Q1207*M1207</x:f>
        <x:v>24300</x:v>
      </x:c>
      <x:c r="S1207" s="22" t="n">
        <x:f>P1207-R1207</x:f>
        <x:v>3345</x:v>
      </x:c>
      <x:c r="T1207" t="str">
        <x:v>Credit</x:v>
      </x:c>
      <x:c r="U1207" t="str">
        <x:v>Paid</x:v>
      </x:c>
      <x:c r="V1207" t="str">
        <x:v>Delivered</x:v>
      </x:c>
      <x:c r="W1207" t="n">
        <x:v>0</x:v>
      </x:c>
      <x:c r="X1207" t="str"/>
      <x:c r="Y1207" t="str">
        <x:v>Referral</x:v>
      </x:c>
    </x:row>
    <x:row r="1208">
      <x:c r="A1208" t="str">
        <x:v>O001207</x:v>
      </x:c>
      <x:c r="B1208" s="20" t="n">
        <x:v>46121</x:v>
      </x:c>
      <x:c r="C1208" t="str">
        <x:v>C0139</x:v>
      </x:c>
      <x:c r="D1208" t="str">
        <x:v>Classic Hotel 139</x:v>
      </x:c>
      <x:c r="E1208" t="str">
        <x:v>Cafe</x:v>
      </x:c>
      <x:c r="F1208" t="str">
        <x:v>Mysuru</x:v>
      </x:c>
      <x:c r="G1208" t="str">
        <x:v>Vikram</x:v>
      </x:c>
      <x:c r="H1208" t="str">
        <x:v>P042</x:v>
      </x:c>
      <x:c r="I1208" t="str">
        <x:v>Eggs 30pc Tray</x:v>
      </x:c>
      <x:c r="J1208" t="str">
        <x:v>Protein</x:v>
      </x:c>
      <x:c r="K1208" t="str">
        <x:v>Farm Fresh</x:v>
      </x:c>
      <x:c r="L1208" s="22" t="n">
        <x:v>195</x:v>
      </x:c>
      <x:c r="M1208" t="n">
        <x:v>20</x:v>
      </x:c>
      <x:c r="N1208" s="24" t="n">
        <x:v>0.08</x:v>
      </x:c>
      <x:c r="O1208" s="22" t="n">
        <x:f>L1208*M1208</x:f>
        <x:v>3900</x:v>
      </x:c>
      <x:c r="P1208" s="22" t="n">
        <x:f>O1208*(1-N1208)</x:f>
        <x:v>3588</x:v>
      </x:c>
      <x:c r="Q1208" s="22" t="n">
        <x:v>170</x:v>
      </x:c>
      <x:c r="R1208" s="22" t="n">
        <x:f>Q1208*M1208</x:f>
        <x:v>3400</x:v>
      </x:c>
      <x:c r="S1208" s="22" t="n">
        <x:f>P1208-R1208</x:f>
        <x:v>188</x:v>
      </x:c>
      <x:c r="T1208" t="str">
        <x:v>Credit</x:v>
      </x:c>
      <x:c r="U1208" t="str">
        <x:v>Paid</x:v>
      </x:c>
      <x:c r="V1208" t="str">
        <x:v>Delivered</x:v>
      </x:c>
      <x:c r="W1208" t="n">
        <x:v>0</x:v>
      </x:c>
      <x:c r="X1208" t="str"/>
      <x:c r="Y1208" t="str">
        <x:v>Referral</x:v>
      </x:c>
    </x:row>
    <x:row r="1209">
      <x:c r="A1209" t="str">
        <x:v>O001208</x:v>
      </x:c>
      <x:c r="B1209" s="20" t="n">
        <x:v>46100</x:v>
      </x:c>
      <x:c r="C1209" t="str">
        <x:v>C0240</x:v>
      </x:c>
      <x:c r="D1209" t="str">
        <x:v>Green Foods 240</x:v>
      </x:c>
      <x:c r="E1209" t="str">
        <x:v>Restaurant</x:v>
      </x:c>
      <x:c r="F1209" t="str">
        <x:v>Davanagere</x:v>
      </x:c>
      <x:c r="G1209" t="str">
        <x:v>Vikram</x:v>
      </x:c>
      <x:c r="H1209" t="str">
        <x:v>P034</x:v>
      </x:c>
      <x:c r="I1209" t="str">
        <x:v>Chilli Powder 1kg</x:v>
      </x:c>
      <x:c r="J1209" t="str">
        <x:v>Spices</x:v>
      </x:c>
      <x:c r="K1209" t="str">
        <x:v>MDH</x:v>
      </x:c>
      <x:c r="L1209" s="22" t="n">
        <x:v>340</x:v>
      </x:c>
      <x:c r="M1209" t="n">
        <x:v>12</x:v>
      </x:c>
      <x:c r="N1209" s="24" t="n">
        <x:v>0.08</x:v>
      </x:c>
      <x:c r="O1209" s="22" t="n">
        <x:f>L1209*M1209</x:f>
        <x:v>4080</x:v>
      </x:c>
      <x:c r="P1209" s="22" t="n">
        <x:f>O1209*(1-N1209)</x:f>
        <x:v>3753.6000000000004</x:v>
      </x:c>
      <x:c r="Q1209" s="22" t="n">
        <x:v>295</x:v>
      </x:c>
      <x:c r="R1209" s="22" t="n">
        <x:f>Q1209*M1209</x:f>
        <x:v>3540</x:v>
      </x:c>
      <x:c r="S1209" s="22" t="n">
        <x:f>P1209-R1209</x:f>
        <x:v>213.60000000000036</x:v>
      </x:c>
      <x:c r="T1209" t="str">
        <x:v>UPI</x:v>
      </x:c>
      <x:c r="U1209" t="str">
        <x:v>Paid</x:v>
      </x:c>
      <x:c r="V1209" t="str">
        <x:v>Delivered</x:v>
      </x:c>
      <x:c r="W1209" t="n">
        <x:v>0</x:v>
      </x:c>
      <x:c r="X1209" t="str"/>
      <x:c r="Y1209" t="str">
        <x:v>Referral</x:v>
      </x:c>
    </x:row>
    <x:row r="1210">
      <x:c r="A1210" t="str">
        <x:v>O001209</x:v>
      </x:c>
      <x:c r="B1210" s="20" t="n">
        <x:v>46234</x:v>
      </x:c>
      <x:c r="C1210" t="str">
        <x:v>C0191</x:v>
      </x:c>
      <x:c r="D1210" t="str">
        <x:v>Foodie Kitchen 191</x:v>
      </x:c>
      <x:c r="E1210" t="str">
        <x:v>Cafe</x:v>
      </x:c>
      <x:c r="F1210" t="str">
        <x:v>Mysuru</x:v>
      </x:c>
      <x:c r="G1210" t="str">
        <x:v>Priya</x:v>
      </x:c>
      <x:c r="H1210" t="str">
        <x:v>P044</x:v>
      </x:c>
      <x:c r="I1210" t="str">
        <x:v>Chicken Curry Cut 1kg</x:v>
      </x:c>
      <x:c r="J1210" t="str">
        <x:v>Protein</x:v>
      </x:c>
      <x:c r="K1210" t="str">
        <x:v>FreshToHome</x:v>
      </x:c>
      <x:c r="L1210" s="22" t="n">
        <x:v>230</x:v>
      </x:c>
      <x:c r="M1210" t="n">
        <x:v>10</x:v>
      </x:c>
      <x:c r="N1210" s="24" t="n">
        <x:v>0.05</x:v>
      </x:c>
      <x:c r="O1210" s="22" t="n">
        <x:f>L1210*M1210</x:f>
        <x:v>2300</x:v>
      </x:c>
      <x:c r="P1210" s="22" t="n">
        <x:f>O1210*(1-N1210)</x:f>
        <x:v>2185</x:v>
      </x:c>
      <x:c r="Q1210" s="22" t="n">
        <x:v>205</x:v>
      </x:c>
      <x:c r="R1210" s="22" t="n">
        <x:f>Q1210*M1210</x:f>
        <x:v>2050</x:v>
      </x:c>
      <x:c r="S1210" s="22" t="n">
        <x:f>P1210-R1210</x:f>
        <x:v>135</x:v>
      </x:c>
      <x:c r="T1210" t="str">
        <x:v>Bank Transfer</x:v>
      </x:c>
      <x:c r="U1210" t="str">
        <x:v>Paid</x:v>
      </x:c>
      <x:c r="V1210" t="str">
        <x:v>Delivered</x:v>
      </x:c>
      <x:c r="W1210" t="n">
        <x:v>0</x:v>
      </x:c>
      <x:c r="X1210" t="str"/>
      <x:c r="Y1210" t="str">
        <x:v>Referral</x:v>
      </x:c>
    </x:row>
    <x:row r="1211">
      <x:c r="A1211" t="str">
        <x:v>O001210</x:v>
      </x:c>
      <x:c r="B1211" s="20" t="n">
        <x:v>46283</x:v>
      </x:c>
      <x:c r="C1211" t="str">
        <x:v>C0125</x:v>
      </x:c>
      <x:c r="D1211" t="str">
        <x:v>Spice Restaurant 125</x:v>
      </x:c>
      <x:c r="E1211" t="str">
        <x:v>Kirana</x:v>
      </x:c>
      <x:c r="F1211" t="str">
        <x:v>Tumakuru</x:v>
      </x:c>
      <x:c r="G1211" t="str">
        <x:v>Ramesh</x:v>
      </x:c>
      <x:c r="H1211" t="str">
        <x:v>P021</x:v>
      </x:c>
      <x:c r="I1211" t="str">
        <x:v>Instant Coffee 200g</x:v>
      </x:c>
      <x:c r="J1211" t="str">
        <x:v>Beverage</x:v>
      </x:c>
      <x:c r="K1211" t="str">
        <x:v>Nescafe</x:v>
      </x:c>
      <x:c r="L1211" s="22" t="n">
        <x:v>460</x:v>
      </x:c>
      <x:c r="M1211" t="n">
        <x:v>40</x:v>
      </x:c>
      <x:c r="N1211" s="24" t="n">
        <x:v>0.03</x:v>
      </x:c>
      <x:c r="O1211" s="22" t="n">
        <x:f>L1211*M1211</x:f>
        <x:v>18400</x:v>
      </x:c>
      <x:c r="P1211" s="22" t="n">
        <x:f>O1211*(1-N1211)</x:f>
        <x:v>17848</x:v>
      </x:c>
      <x:c r="Q1211" s="22" t="n">
        <x:v>410</x:v>
      </x:c>
      <x:c r="R1211" s="22" t="n">
        <x:f>Q1211*M1211</x:f>
        <x:v>16400</x:v>
      </x:c>
      <x:c r="S1211" s="22" t="n">
        <x:f>P1211-R1211</x:f>
        <x:v>1448</x:v>
      </x:c>
      <x:c r="T1211" t="str">
        <x:v>UPI</x:v>
      </x:c>
      <x:c r="U1211" t="str">
        <x:v>Paid</x:v>
      </x:c>
      <x:c r="V1211" t="str">
        <x:v>Delivered</x:v>
      </x:c>
      <x:c r="W1211" t="n">
        <x:v>0</x:v>
      </x:c>
      <x:c r="X1211" t="str"/>
      <x:c r="Y1211" t="str">
        <x:v>Outbound Call</x:v>
      </x:c>
    </x:row>
    <x:row r="1212">
      <x:c r="A1212" t="str">
        <x:v>O001211</x:v>
      </x:c>
      <x:c r="B1212" s="20" t="n">
        <x:v>45997</x:v>
      </x:c>
      <x:c r="C1212" t="str">
        <x:v>C0223</x:v>
      </x:c>
      <x:c r="D1212" t="str">
        <x:v>Classic Canteen 223</x:v>
      </x:c>
      <x:c r="E1212" t="str">
        <x:v>Restaurant</x:v>
      </x:c>
      <x:c r="F1212" t="str">
        <x:v>Tumakuru</x:v>
      </x:c>
      <x:c r="G1212" t="str">
        <x:v>Kavya</x:v>
      </x:c>
      <x:c r="H1212" t="str">
        <x:v>P004</x:v>
      </x:c>
      <x:c r="I1212" t="str">
        <x:v>Toor Dal 5kg</x:v>
      </x:c>
      <x:c r="J1212" t="str">
        <x:v>Pulses</x:v>
      </x:c>
      <x:c r="K1212" t="str">
        <x:v>Tata Sampann</x:v>
      </x:c>
      <x:c r="L1212" s="22" t="n">
        <x:v>780</x:v>
      </x:c>
      <x:c r="M1212" t="n">
        <x:v>6</x:v>
      </x:c>
      <x:c r="N1212" s="24" t="n">
        <x:v>0.02</x:v>
      </x:c>
      <x:c r="O1212" s="22" t="n">
        <x:f>L1212*M1212</x:f>
        <x:v>4680</x:v>
      </x:c>
      <x:c r="P1212" s="22" t="n">
        <x:f>O1212*(1-N1212)</x:f>
        <x:v>4586.4</x:v>
      </x:c>
      <x:c r="Q1212" s="22" t="n">
        <x:v>695</x:v>
      </x:c>
      <x:c r="R1212" s="22" t="n">
        <x:f>Q1212*M1212</x:f>
        <x:v>4170</x:v>
      </x:c>
      <x:c r="S1212" s="22" t="n">
        <x:f>P1212-R1212</x:f>
        <x:v>416.39999999999964</x:v>
      </x:c>
      <x:c r="T1212" t="str">
        <x:v>Cash</x:v>
      </x:c>
      <x:c r="U1212" t="str">
        <x:v>Paid</x:v>
      </x:c>
      <x:c r="V1212" t="str">
        <x:v>Delivered</x:v>
      </x:c>
      <x:c r="W1212" t="n">
        <x:v>0</x:v>
      </x:c>
      <x:c r="X1212" t="str"/>
      <x:c r="Y1212" t="str">
        <x:v>Field Visit</x:v>
      </x:c>
    </x:row>
    <x:row r="1213">
      <x:c r="A1213" t="str">
        <x:v>O001212</x:v>
      </x:c>
      <x:c r="B1213" s="20" t="n">
        <x:v>45981</x:v>
      </x:c>
      <x:c r="C1213" t="str">
        <x:v>C0093</x:v>
      </x:c>
      <x:c r="D1213" t="str">
        <x:v>Sagar Hotel 93</x:v>
      </x:c>
      <x:c r="E1213" t="str">
        <x:v>Hotel</x:v>
      </x:c>
      <x:c r="F1213" t="str">
        <x:v>Hubballi</x:v>
      </x:c>
      <x:c r="G1213" t="str">
        <x:v>Imran</x:v>
      </x:c>
      <x:c r="H1213" t="str">
        <x:v>P040</x:v>
      </x:c>
      <x:c r="I1213" t="str">
        <x:v>Bread Loaf 400g</x:v>
      </x:c>
      <x:c r="J1213" t="str">
        <x:v>Bakery</x:v>
      </x:c>
      <x:c r="K1213" t="str">
        <x:v>Britannia</x:v>
      </x:c>
      <x:c r="L1213" s="22" t="n">
        <x:v>45</x:v>
      </x:c>
      <x:c r="M1213" t="n">
        <x:v>38</x:v>
      </x:c>
      <x:c r="N1213" s="24" t="n">
        <x:v>0.08</x:v>
      </x:c>
      <x:c r="O1213" s="22" t="n">
        <x:f>L1213*M1213</x:f>
        <x:v>1710</x:v>
      </x:c>
      <x:c r="P1213" s="22" t="n">
        <x:f>O1213*(1-N1213)</x:f>
        <x:v>1573.2</x:v>
      </x:c>
      <x:c r="Q1213" s="22" t="n">
        <x:v>35</x:v>
      </x:c>
      <x:c r="R1213" s="22" t="n">
        <x:f>Q1213*M1213</x:f>
        <x:v>1330</x:v>
      </x:c>
      <x:c r="S1213" s="22" t="n">
        <x:f>P1213-R1213</x:f>
        <x:v>243.20000000000005</x:v>
      </x:c>
      <x:c r="T1213" t="str">
        <x:v>Credit</x:v>
      </x:c>
      <x:c r="U1213" t="str">
        <x:v>Paid</x:v>
      </x:c>
      <x:c r="V1213" t="str">
        <x:v>Cancelled</x:v>
      </x:c>
      <x:c r="W1213" t="n">
        <x:v>38</x:v>
      </x:c>
      <x:c r="X1213" t="str">
        <x:v>Cancelled Order</x:v>
      </x:c>
      <x:c r="Y1213" t="str">
        <x:v>Referral</x:v>
      </x:c>
    </x:row>
    <x:row r="1214">
      <x:c r="A1214" t="str">
        <x:v>O001213</x:v>
      </x:c>
      <x:c r="B1214" s="20" t="n">
        <x:v>45821</x:v>
      </x:c>
      <x:c r="C1214" t="str">
        <x:v>C0026</x:v>
      </x:c>
      <x:c r="D1214" t="str">
        <x:v>Cafe Kitchen 26</x:v>
      </x:c>
      <x:c r="E1214" t="str">
        <x:v>Kirana</x:v>
      </x:c>
      <x:c r="F1214" t="str">
        <x:v>Davanagere</x:v>
      </x:c>
      <x:c r="G1214" t="str">
        <x:v>Kavya</x:v>
      </x:c>
      <x:c r="H1214" t="str">
        <x:v>P036</x:v>
      </x:c>
      <x:c r="I1214" t="str">
        <x:v>Garam Masala 500g</x:v>
      </x:c>
      <x:c r="J1214" t="str">
        <x:v>Spices</x:v>
      </x:c>
      <x:c r="K1214" t="str">
        <x:v>MDH</x:v>
      </x:c>
      <x:c r="L1214" s="22" t="n">
        <x:v>265</x:v>
      </x:c>
      <x:c r="M1214" t="n">
        <x:v>10</x:v>
      </x:c>
      <x:c r="N1214" s="24" t="n">
        <x:v>0</x:v>
      </x:c>
      <x:c r="O1214" s="22" t="n">
        <x:f>L1214*M1214</x:f>
        <x:v>2650</x:v>
      </x:c>
      <x:c r="P1214" s="22" t="n">
        <x:f>O1214*(1-N1214)</x:f>
        <x:v>2650</x:v>
      </x:c>
      <x:c r="Q1214" s="22" t="n">
        <x:v>230</x:v>
      </x:c>
      <x:c r="R1214" s="22" t="n">
        <x:f>Q1214*M1214</x:f>
        <x:v>2300</x:v>
      </x:c>
      <x:c r="S1214" s="22" t="n">
        <x:f>P1214-R1214</x:f>
        <x:v>350</x:v>
      </x:c>
      <x:c r="T1214" t="str">
        <x:v>UPI</x:v>
      </x:c>
      <x:c r="U1214" t="str">
        <x:v>Paid</x:v>
      </x:c>
      <x:c r="V1214" t="str">
        <x:v>Delayed</x:v>
      </x:c>
      <x:c r="W1214" t="n">
        <x:v>0</x:v>
      </x:c>
      <x:c r="X1214" t="str"/>
      <x:c r="Y1214" t="str">
        <x:v>WhatsApp</x:v>
      </x:c>
    </x:row>
    <x:row r="1215">
      <x:c r="A1215" t="str">
        <x:v>O001214</x:v>
      </x:c>
      <x:c r="B1215" s="20" t="n">
        <x:v>46138</x:v>
      </x:c>
      <x:c r="C1215" t="str">
        <x:v>C0142</x:v>
      </x:c>
      <x:c r="D1215" t="str">
        <x:v>Darshini Mart 142</x:v>
      </x:c>
      <x:c r="E1215" t="str">
        <x:v>Cafe</x:v>
      </x:c>
      <x:c r="F1215" t="str">
        <x:v>Bengaluru</x:v>
      </x:c>
      <x:c r="G1215" t="str">
        <x:v>Megha</x:v>
      </x:c>
      <x:c r="H1215" t="str">
        <x:v>P041</x:v>
      </x:c>
      <x:c r="I1215" t="str">
        <x:v>Burger Bun 6pc</x:v>
      </x:c>
      <x:c r="J1215" t="str">
        <x:v>Bakery</x:v>
      </x:c>
      <x:c r="K1215" t="str">
        <x:v>Modern</x:v>
      </x:c>
      <x:c r="L1215" s="22" t="n">
        <x:v>42</x:v>
      </x:c>
      <x:c r="M1215" t="n">
        <x:v>18</x:v>
      </x:c>
      <x:c r="N1215" s="24" t="n">
        <x:v>0.05</x:v>
      </x:c>
      <x:c r="O1215" s="22" t="n">
        <x:f>L1215*M1215</x:f>
        <x:v>756</x:v>
      </x:c>
      <x:c r="P1215" s="22" t="n">
        <x:f>O1215*(1-N1215)</x:f>
        <x:v>718.1999999999999</x:v>
      </x:c>
      <x:c r="Q1215" s="22" t="n">
        <x:v>32</x:v>
      </x:c>
      <x:c r="R1215" s="22" t="n">
        <x:f>Q1215*M1215</x:f>
        <x:v>576</x:v>
      </x:c>
      <x:c r="S1215" s="22" t="n">
        <x:f>P1215-R1215</x:f>
        <x:v>142.19999999999993</x:v>
      </x:c>
      <x:c r="T1215" t="str">
        <x:v>Bank Transfer</x:v>
      </x:c>
      <x:c r="U1215" t="str">
        <x:v>Overdue</x:v>
      </x:c>
      <x:c r="V1215" t="str">
        <x:v>Cancelled</x:v>
      </x:c>
      <x:c r="W1215" t="n">
        <x:v>18</x:v>
      </x:c>
      <x:c r="X1215" t="str">
        <x:v>Cancelled Order</x:v>
      </x:c>
      <x:c r="Y1215" t="str">
        <x:v>Referral</x:v>
      </x:c>
    </x:row>
    <x:row r="1216">
      <x:c r="A1216" t="str">
        <x:v>O001215</x:v>
      </x:c>
      <x:c r="B1216" s="20" t="n">
        <x:v>45698</x:v>
      </x:c>
      <x:c r="C1216" t="str">
        <x:v>C0025</x:v>
      </x:c>
      <x:c r="D1216" t="str">
        <x:v>Sri Cafe 25</x:v>
      </x:c>
      <x:c r="E1216" t="str">
        <x:v>Hotel</x:v>
      </x:c>
      <x:c r="F1216" t="str">
        <x:v>Mysuru</x:v>
      </x:c>
      <x:c r="G1216" t="str">
        <x:v>Kavya</x:v>
      </x:c>
      <x:c r="H1216" t="str">
        <x:v>P049</x:v>
      </x:c>
      <x:c r="I1216" t="str">
        <x:v>Apple 10kg</x:v>
      </x:c>
      <x:c r="J1216" t="str">
        <x:v>Fresh Produce</x:v>
      </x:c>
      <x:c r="K1216" t="str">
        <x:v>Local Market</x:v>
      </x:c>
      <x:c r="L1216" s="22" t="n">
        <x:v>1450</x:v>
      </x:c>
      <x:c r="M1216" t="n">
        <x:v>7</x:v>
      </x:c>
      <x:c r="N1216" s="24" t="n">
        <x:v>0.03</x:v>
      </x:c>
      <x:c r="O1216" s="22" t="n">
        <x:f>L1216*M1216</x:f>
        <x:v>10150</x:v>
      </x:c>
      <x:c r="P1216" s="22" t="n">
        <x:f>O1216*(1-N1216)</x:f>
        <x:v>9845.5</x:v>
      </x:c>
      <x:c r="Q1216" s="22" t="n">
        <x:v>1280</x:v>
      </x:c>
      <x:c r="R1216" s="22" t="n">
        <x:f>Q1216*M1216</x:f>
        <x:v>8960</x:v>
      </x:c>
      <x:c r="S1216" s="22" t="n">
        <x:f>P1216-R1216</x:f>
        <x:v>885.5</x:v>
      </x:c>
      <x:c r="T1216" t="str">
        <x:v>Credit</x:v>
      </x:c>
      <x:c r="U1216" t="str">
        <x:v>Paid</x:v>
      </x:c>
      <x:c r="V1216" t="str">
        <x:v>Delivered</x:v>
      </x:c>
      <x:c r="W1216" t="n">
        <x:v>0</x:v>
      </x:c>
      <x:c r="X1216" t="str"/>
      <x:c r="Y1216" t="str">
        <x:v>Field Visit</x:v>
      </x:c>
    </x:row>
    <x:row r="1217">
      <x:c r="A1217" t="str">
        <x:v>O001216</x:v>
      </x:c>
      <x:c r="B1217" s="20" t="n">
        <x:v>45844</x:v>
      </x:c>
      <x:c r="C1217" t="str">
        <x:v>C0150</x:v>
      </x:c>
      <x:c r="D1217" t="str">
        <x:v>Sagar Kitchen 150</x:v>
      </x:c>
      <x:c r="E1217" t="str">
        <x:v>Kirana</x:v>
      </x:c>
      <x:c r="F1217" t="str">
        <x:v>Hubballi</x:v>
      </x:c>
      <x:c r="G1217" t="str">
        <x:v>Ramesh</x:v>
      </x:c>
      <x:c r="H1217" t="str">
        <x:v>P037</x:v>
      </x:c>
      <x:c r="I1217" t="str">
        <x:v>Frozen Peas 1kg</x:v>
      </x:c>
      <x:c r="J1217" t="str">
        <x:v>Frozen</x:v>
      </x:c>
      <x:c r="K1217" t="str">
        <x:v>Safal</x:v>
      </x:c>
      <x:c r="L1217" s="22" t="n">
        <x:v>155</x:v>
      </x:c>
      <x:c r="M1217" t="n">
        <x:v>29</x:v>
      </x:c>
      <x:c r="N1217" s="24" t="n">
        <x:v>0.08</x:v>
      </x:c>
      <x:c r="O1217" s="22" t="n">
        <x:f>L1217*M1217</x:f>
        <x:v>4495</x:v>
      </x:c>
      <x:c r="P1217" s="22" t="n">
        <x:f>O1217*(1-N1217)</x:f>
        <x:v>4135.400000000001</x:v>
      </x:c>
      <x:c r="Q1217" s="22" t="n">
        <x:v>138</x:v>
      </x:c>
      <x:c r="R1217" s="22" t="n">
        <x:f>Q1217*M1217</x:f>
        <x:v>4002</x:v>
      </x:c>
      <x:c r="S1217" s="22" t="n">
        <x:f>P1217-R1217</x:f>
        <x:v>133.40000000000055</x:v>
      </x:c>
      <x:c r="T1217" t="str">
        <x:v>Credit</x:v>
      </x:c>
      <x:c r="U1217" t="str">
        <x:v>Overdue</x:v>
      </x:c>
      <x:c r="V1217" t="str">
        <x:v>Delayed</x:v>
      </x:c>
      <x:c r="W1217" t="n">
        <x:v>0</x:v>
      </x:c>
      <x:c r="X1217" t="str"/>
      <x:c r="Y1217" t="str">
        <x:v>Field Visit</x:v>
      </x:c>
    </x:row>
    <x:row r="1218">
      <x:c r="A1218" t="str">
        <x:v>O001217</x:v>
      </x:c>
      <x:c r="B1218" s="20" t="n">
        <x:v>45728</x:v>
      </x:c>
      <x:c r="C1218" t="str">
        <x:v>C0022</x:v>
      </x:c>
      <x:c r="D1218" t="str">
        <x:v>Royal Hotel 22</x:v>
      </x:c>
      <x:c r="E1218" t="str">
        <x:v>Kirana</x:v>
      </x:c>
      <x:c r="F1218" t="str">
        <x:v>Bengaluru</x:v>
      </x:c>
      <x:c r="G1218" t="str">
        <x:v>Ramesh</x:v>
      </x:c>
      <x:c r="H1218" t="str">
        <x:v>P024</x:v>
      </x:c>
      <x:c r="I1218" t="str">
        <x:v>Orange Drink 1L</x:v>
      </x:c>
      <x:c r="J1218" t="str">
        <x:v>Beverage</x:v>
      </x:c>
      <x:c r="K1218" t="str">
        <x:v>Minute Maid</x:v>
      </x:c>
      <x:c r="L1218" s="22" t="n">
        <x:v>105</x:v>
      </x:c>
      <x:c r="M1218" t="n">
        <x:v>12</x:v>
      </x:c>
      <x:c r="N1218" s="24" t="n">
        <x:v>0</x:v>
      </x:c>
      <x:c r="O1218" s="22" t="n">
        <x:f>L1218*M1218</x:f>
        <x:v>1260</x:v>
      </x:c>
      <x:c r="P1218" s="22" t="n">
        <x:f>O1218*(1-N1218)</x:f>
        <x:v>1260</x:v>
      </x:c>
      <x:c r="Q1218" s="22" t="n">
        <x:v>88</x:v>
      </x:c>
      <x:c r="R1218" s="22" t="n">
        <x:f>Q1218*M1218</x:f>
        <x:v>1056</x:v>
      </x:c>
      <x:c r="S1218" s="22" t="n">
        <x:f>P1218-R1218</x:f>
        <x:v>204</x:v>
      </x:c>
      <x:c r="T1218" t="str">
        <x:v>Cash</x:v>
      </x:c>
      <x:c r="U1218" t="str">
        <x:v>Paid</x:v>
      </x:c>
      <x:c r="V1218" t="str">
        <x:v>Delivered</x:v>
      </x:c>
      <x:c r="W1218" t="n">
        <x:v>0</x:v>
      </x:c>
      <x:c r="X1218" t="str"/>
      <x:c r="Y1218" t="str">
        <x:v>Referral</x:v>
      </x:c>
    </x:row>
    <x:row r="1219">
      <x:c r="A1219" t="str">
        <x:v>O001218</x:v>
      </x:c>
      <x:c r="B1219" s="20" t="n">
        <x:v>45743</x:v>
      </x:c>
      <x:c r="C1219" t="str">
        <x:v>C0083</x:v>
      </x:c>
      <x:c r="D1219" t="str">
        <x:v>Sri Cafe 83</x:v>
      </x:c>
      <x:c r="E1219" t="str">
        <x:v>Hotel</x:v>
      </x:c>
      <x:c r="F1219" t="str">
        <x:v>Davanagere</x:v>
      </x:c>
      <x:c r="G1219" t="str">
        <x:v>Ramesh</x:v>
      </x:c>
      <x:c r="H1219" t="str">
        <x:v>P019</x:v>
      </x:c>
      <x:c r="I1219" t="str">
        <x:v>Tea 1kg</x:v>
      </x:c>
      <x:c r="J1219" t="str">
        <x:v>Beverage</x:v>
      </x:c>
      <x:c r="K1219" t="str">
        <x:v>Red Label</x:v>
      </x:c>
      <x:c r="L1219" s="22" t="n">
        <x:v>540</x:v>
      </x:c>
      <x:c r="M1219" t="n">
        <x:v>23</x:v>
      </x:c>
      <x:c r="N1219" s="24" t="n">
        <x:v>0.05</x:v>
      </x:c>
      <x:c r="O1219" s="22" t="n">
        <x:f>L1219*M1219</x:f>
        <x:v>12420</x:v>
      </x:c>
      <x:c r="P1219" s="22" t="n">
        <x:f>O1219*(1-N1219)</x:f>
        <x:v>11799</x:v>
      </x:c>
      <x:c r="Q1219" s="22" t="n">
        <x:v>485</x:v>
      </x:c>
      <x:c r="R1219" s="22" t="n">
        <x:f>Q1219*M1219</x:f>
        <x:v>11155</x:v>
      </x:c>
      <x:c r="S1219" s="22" t="n">
        <x:f>P1219-R1219</x:f>
        <x:v>644</x:v>
      </x:c>
      <x:c r="T1219" t="str">
        <x:v>Credit</x:v>
      </x:c>
      <x:c r="U1219" t="str">
        <x:v>Paid</x:v>
      </x:c>
      <x:c r="V1219" t="str">
        <x:v>Delayed</x:v>
      </x:c>
      <x:c r="W1219" t="n">
        <x:v>0</x:v>
      </x:c>
      <x:c r="X1219" t="str"/>
      <x:c r="Y1219" t="str">
        <x:v>WhatsApp</x:v>
      </x:c>
    </x:row>
    <x:row r="1220">
      <x:c r="A1220" t="str">
        <x:v>O001219</x:v>
      </x:c>
      <x:c r="B1220" s="20" t="n">
        <x:v>45854</x:v>
      </x:c>
      <x:c r="C1220" t="str">
        <x:v>C0094</x:v>
      </x:c>
      <x:c r="D1220" t="str">
        <x:v>Mysore Mart 94</x:v>
      </x:c>
      <x:c r="E1220" t="str">
        <x:v>Restaurant</x:v>
      </x:c>
      <x:c r="F1220" t="str">
        <x:v>Hubballi</x:v>
      </x:c>
      <x:c r="G1220" t="str">
        <x:v>Sneha</x:v>
      </x:c>
      <x:c r="H1220" t="str">
        <x:v>P017</x:v>
      </x:c>
      <x:c r="I1220" t="str">
        <x:v>Butter 500g</x:v>
      </x:c>
      <x:c r="J1220" t="str">
        <x:v>Dairy</x:v>
      </x:c>
      <x:c r="K1220" t="str">
        <x:v>Amul</x:v>
      </x:c>
      <x:c r="L1220" s="22" t="n">
        <x:v>285</x:v>
      </x:c>
      <x:c r="M1220" t="n">
        <x:v>33</x:v>
      </x:c>
      <x:c r="N1220" s="24" t="n">
        <x:v>0.02</x:v>
      </x:c>
      <x:c r="O1220" s="22" t="n">
        <x:f>L1220*M1220</x:f>
        <x:v>9405</x:v>
      </x:c>
      <x:c r="P1220" s="22" t="n">
        <x:f>O1220*(1-N1220)</x:f>
        <x:v>9216.9</x:v>
      </x:c>
      <x:c r="Q1220" s="22" t="n">
        <x:v>258</x:v>
      </x:c>
      <x:c r="R1220" s="22" t="n">
        <x:f>Q1220*M1220</x:f>
        <x:v>8514</x:v>
      </x:c>
      <x:c r="S1220" s="22" t="n">
        <x:f>P1220-R1220</x:f>
        <x:v>702.8999999999996</x:v>
      </x:c>
      <x:c r="T1220" t="str">
        <x:v>UPI</x:v>
      </x:c>
      <x:c r="U1220" t="str">
        <x:v>Paid</x:v>
      </x:c>
      <x:c r="V1220" t="str">
        <x:v>Delivered</x:v>
      </x:c>
      <x:c r="W1220" t="n">
        <x:v>2</x:v>
      </x:c>
      <x:c r="X1220" t="str">
        <x:v>Quality Issue</x:v>
      </x:c>
      <x:c r="Y1220" t="str">
        <x:v>Field Visit</x:v>
      </x:c>
    </x:row>
    <x:row r="1221">
      <x:c r="A1221" t="str">
        <x:v>O001220</x:v>
      </x:c>
      <x:c r="B1221" s="20" t="n">
        <x:v>45699</x:v>
      </x:c>
      <x:c r="C1221" t="str">
        <x:v>C0111</x:v>
      </x:c>
      <x:c r="D1221" t="str">
        <x:v>Metro Kitchen 111</x:v>
      </x:c>
      <x:c r="E1221" t="str">
        <x:v>Restaurant</x:v>
      </x:c>
      <x:c r="F1221" t="str">
        <x:v>Davanagere</x:v>
      </x:c>
      <x:c r="G1221" t="str">
        <x:v>Sneha</x:v>
      </x:c>
      <x:c r="H1221" t="str">
        <x:v>P022</x:v>
      </x:c>
      <x:c r="I1221" t="str">
        <x:v>Mineral Water 1L</x:v>
      </x:c>
      <x:c r="J1221" t="str">
        <x:v>Beverage</x:v>
      </x:c>
      <x:c r="K1221" t="str">
        <x:v>Bisleri</x:v>
      </x:c>
      <x:c r="L1221" s="22" t="n">
        <x:v>19</x:v>
      </x:c>
      <x:c r="M1221" t="n">
        <x:v>18</x:v>
      </x:c>
      <x:c r="N1221" s="24" t="n">
        <x:v>0.05</x:v>
      </x:c>
      <x:c r="O1221" s="22" t="n">
        <x:f>L1221*M1221</x:f>
        <x:v>342</x:v>
      </x:c>
      <x:c r="P1221" s="22" t="n">
        <x:f>O1221*(1-N1221)</x:f>
        <x:v>324.9</x:v>
      </x:c>
      <x:c r="Q1221" s="22" t="n">
        <x:v>15</x:v>
      </x:c>
      <x:c r="R1221" s="22" t="n">
        <x:f>Q1221*M1221</x:f>
        <x:v>270</x:v>
      </x:c>
      <x:c r="S1221" s="22" t="n">
        <x:f>P1221-R1221</x:f>
        <x:v>54.89999999999998</x:v>
      </x:c>
      <x:c r="T1221" t="str">
        <x:v>Credit</x:v>
      </x:c>
      <x:c r="U1221" t="str">
        <x:v>Paid</x:v>
      </x:c>
      <x:c r="V1221" t="str">
        <x:v>Delivered</x:v>
      </x:c>
      <x:c r="W1221" t="n">
        <x:v>0</x:v>
      </x:c>
      <x:c r="X1221" t="str"/>
      <x:c r="Y1221" t="str">
        <x:v>Referral</x:v>
      </x:c>
    </x:row>
    <x:row r="1222">
      <x:c r="A1222" t="str">
        <x:v>O001221</x:v>
      </x:c>
      <x:c r="B1222" s="20" t="n">
        <x:v>45668</x:v>
      </x:c>
      <x:c r="C1222" t="str">
        <x:v>C0238</x:v>
      </x:c>
      <x:c r="D1222" t="str">
        <x:v>Foodie Foods 238</x:v>
      </x:c>
      <x:c r="E1222" t="str">
        <x:v>Restaurant</x:v>
      </x:c>
      <x:c r="F1222" t="str">
        <x:v>Davanagere</x:v>
      </x:c>
      <x:c r="G1222" t="str">
        <x:v>Megha</x:v>
      </x:c>
      <x:c r="H1222" t="str">
        <x:v>P040</x:v>
      </x:c>
      <x:c r="I1222" t="str">
        <x:v>Bread Loaf 400g</x:v>
      </x:c>
      <x:c r="J1222" t="str">
        <x:v>Bakery</x:v>
      </x:c>
      <x:c r="K1222" t="str">
        <x:v>Britannia</x:v>
      </x:c>
      <x:c r="L1222" s="22" t="n">
        <x:v>45</x:v>
      </x:c>
      <x:c r="M1222" t="n">
        <x:v>37</x:v>
      </x:c>
      <x:c r="N1222" s="24" t="n">
        <x:v>0</x:v>
      </x:c>
      <x:c r="O1222" s="22" t="n">
        <x:f>L1222*M1222</x:f>
        <x:v>1665</x:v>
      </x:c>
      <x:c r="P1222" s="22" t="n">
        <x:f>O1222*(1-N1222)</x:f>
        <x:v>1665</x:v>
      </x:c>
      <x:c r="Q1222" s="22" t="n">
        <x:v>35</x:v>
      </x:c>
      <x:c r="R1222" s="22" t="n">
        <x:f>Q1222*M1222</x:f>
        <x:v>1295</x:v>
      </x:c>
      <x:c r="S1222" s="22" t="n">
        <x:f>P1222-R1222</x:f>
        <x:v>370</x:v>
      </x:c>
      <x:c r="T1222" t="str">
        <x:v>Credit</x:v>
      </x:c>
      <x:c r="U1222" t="str">
        <x:v>Paid</x:v>
      </x:c>
      <x:c r="V1222" t="str">
        <x:v>Delivered</x:v>
      </x:c>
      <x:c r="W1222" t="n">
        <x:v>0</x:v>
      </x:c>
      <x:c r="X1222" t="str"/>
      <x:c r="Y1222" t="str">
        <x:v>Outbound Call</x:v>
      </x:c>
    </x:row>
    <x:row r="1223">
      <x:c r="A1223" t="str">
        <x:v>O001222</x:v>
      </x:c>
      <x:c r="B1223" s="20" t="n">
        <x:v>46042</x:v>
      </x:c>
      <x:c r="C1223" t="str">
        <x:v>C0070</x:v>
      </x:c>
      <x:c r="D1223" t="str">
        <x:v>Metro Stores 70</x:v>
      </x:c>
      <x:c r="E1223" t="str">
        <x:v>Cafe</x:v>
      </x:c>
      <x:c r="F1223" t="str">
        <x:v>Bengaluru</x:v>
      </x:c>
      <x:c r="G1223" t="str">
        <x:v>Vikram</x:v>
      </x:c>
      <x:c r="H1223" t="str">
        <x:v>P045</x:v>
      </x:c>
      <x:c r="I1223" t="str">
        <x:v>Onion 25kg</x:v>
      </x:c>
      <x:c r="J1223" t="str">
        <x:v>Fresh Produce</x:v>
      </x:c>
      <x:c r="K1223" t="str">
        <x:v>Local Market</x:v>
      </x:c>
      <x:c r="L1223" s="22" t="n">
        <x:v>875</x:v>
      </x:c>
      <x:c r="M1223" t="n">
        <x:v>22</x:v>
      </x:c>
      <x:c r="N1223" s="24" t="n">
        <x:v>0.02</x:v>
      </x:c>
      <x:c r="O1223" s="22" t="n">
        <x:f>L1223*M1223</x:f>
        <x:v>19250</x:v>
      </x:c>
      <x:c r="P1223" s="22" t="n">
        <x:f>O1223*(1-N1223)</x:f>
        <x:v>18865</x:v>
      </x:c>
      <x:c r="Q1223" s="22" t="n">
        <x:v>760</x:v>
      </x:c>
      <x:c r="R1223" s="22" t="n">
        <x:f>Q1223*M1223</x:f>
        <x:v>16720</x:v>
      </x:c>
      <x:c r="S1223" s="22" t="n">
        <x:f>P1223-R1223</x:f>
        <x:v>2145</x:v>
      </x:c>
      <x:c r="T1223" t="str">
        <x:v>Credit</x:v>
      </x:c>
      <x:c r="U1223" t="str">
        <x:v>Paid</x:v>
      </x:c>
      <x:c r="V1223" t="str">
        <x:v>Delivered</x:v>
      </x:c>
      <x:c r="W1223" t="n">
        <x:v>0</x:v>
      </x:c>
      <x:c r="X1223" t="str"/>
      <x:c r="Y1223" t="str">
        <x:v>Field Visit</x:v>
      </x:c>
    </x:row>
    <x:row r="1224">
      <x:c r="A1224" t="str">
        <x:v>O001223</x:v>
      </x:c>
      <x:c r="B1224" s="20" t="n">
        <x:v>46158</x:v>
      </x:c>
      <x:c r="C1224" t="str">
        <x:v>C0142</x:v>
      </x:c>
      <x:c r="D1224" t="str">
        <x:v>Darshini Mart 142</x:v>
      </x:c>
      <x:c r="E1224" t="str">
        <x:v>Cafe</x:v>
      </x:c>
      <x:c r="F1224" t="str">
        <x:v>Bengaluru</x:v>
      </x:c>
      <x:c r="G1224" t="str">
        <x:v>Megha</x:v>
      </x:c>
      <x:c r="H1224" t="str">
        <x:v>P013</x:v>
      </x:c>
      <x:c r="I1224" t="str">
        <x:v>Atta 10kg</x:v>
      </x:c>
      <x:c r="J1224" t="str">
        <x:v>Flour</x:v>
      </x:c>
      <x:c r="K1224" t="str">
        <x:v>Aashirvaad</x:v>
      </x:c>
      <x:c r="L1224" s="22" t="n">
        <x:v>560</x:v>
      </x:c>
      <x:c r="M1224" t="n">
        <x:v>19</x:v>
      </x:c>
      <x:c r="N1224" s="24" t="n">
        <x:v>0.02</x:v>
      </x:c>
      <x:c r="O1224" s="22" t="n">
        <x:f>L1224*M1224</x:f>
        <x:v>10640</x:v>
      </x:c>
      <x:c r="P1224" s="22" t="n">
        <x:f>O1224*(1-N1224)</x:f>
        <x:v>10427.199999999999</x:v>
      </x:c>
      <x:c r="Q1224" s="22" t="n">
        <x:v>495</x:v>
      </x:c>
      <x:c r="R1224" s="22" t="n">
        <x:f>Q1224*M1224</x:f>
        <x:v>9405</x:v>
      </x:c>
      <x:c r="S1224" s="22" t="n">
        <x:f>P1224-R1224</x:f>
        <x:v>1022.1999999999989</x:v>
      </x:c>
      <x:c r="T1224" t="str">
        <x:v>Credit</x:v>
      </x:c>
      <x:c r="U1224" t="str">
        <x:v>Pending</x:v>
      </x:c>
      <x:c r="V1224" t="str">
        <x:v>Delivered</x:v>
      </x:c>
      <x:c r="W1224" t="n">
        <x:v>0</x:v>
      </x:c>
      <x:c r="X1224" t="str"/>
      <x:c r="Y1224" t="str">
        <x:v>Field Visit</x:v>
      </x:c>
    </x:row>
    <x:row r="1225">
      <x:c r="A1225" t="str">
        <x:v>O001224</x:v>
      </x:c>
      <x:c r="B1225" s="20" t="n">
        <x:v>45681</x:v>
      </x:c>
      <x:c r="C1225" t="str">
        <x:v>C0230</x:v>
      </x:c>
      <x:c r="D1225" t="str">
        <x:v>Darshini Foods 230</x:v>
      </x:c>
      <x:c r="E1225" t="str">
        <x:v>Restaurant</x:v>
      </x:c>
      <x:c r="F1225" t="str">
        <x:v>Davanagere</x:v>
      </x:c>
      <x:c r="G1225" t="str">
        <x:v>Priya</x:v>
      </x:c>
      <x:c r="H1225" t="str">
        <x:v>P008</x:v>
      </x:c>
      <x:c r="I1225" t="str">
        <x:v>Palm Oil 15L</x:v>
      </x:c>
      <x:c r="J1225" t="str">
        <x:v>Edible Oil</x:v>
      </x:c>
      <x:c r="K1225" t="str">
        <x:v>Ruchi Gold</x:v>
      </x:c>
      <x:c r="L1225" s="22" t="n">
        <x:v>1760</x:v>
      </x:c>
      <x:c r="M1225" t="n">
        <x:v>2</x:v>
      </x:c>
      <x:c r="N1225" s="24" t="n">
        <x:v>0</x:v>
      </x:c>
      <x:c r="O1225" s="22" t="n">
        <x:f>L1225*M1225</x:f>
        <x:v>3520</x:v>
      </x:c>
      <x:c r="P1225" s="22" t="n">
        <x:f>O1225*(1-N1225)</x:f>
        <x:v>3520</x:v>
      </x:c>
      <x:c r="Q1225" s="22" t="n">
        <x:v>1610</x:v>
      </x:c>
      <x:c r="R1225" s="22" t="n">
        <x:f>Q1225*M1225</x:f>
        <x:v>3220</x:v>
      </x:c>
      <x:c r="S1225" s="22" t="n">
        <x:f>P1225-R1225</x:f>
        <x:v>300</x:v>
      </x:c>
      <x:c r="T1225" t="str">
        <x:v>Bank Transfer</x:v>
      </x:c>
      <x:c r="U1225" t="str">
        <x:v>Paid</x:v>
      </x:c>
      <x:c r="V1225" t="str">
        <x:v>Delivered</x:v>
      </x:c>
      <x:c r="W1225" t="n">
        <x:v>0</x:v>
      </x:c>
      <x:c r="X1225" t="str"/>
      <x:c r="Y1225" t="str">
        <x:v>Referral</x:v>
      </x:c>
    </x:row>
    <x:row r="1226">
      <x:c r="A1226" t="str">
        <x:v>O001225</x:v>
      </x:c>
      <x:c r="B1226" s="20" t="n">
        <x:v>45667</x:v>
      </x:c>
      <x:c r="C1226" t="str">
        <x:v>C0222</x:v>
      </x:c>
      <x:c r="D1226" t="str">
        <x:v>Sri Cafe 222</x:v>
      </x:c>
      <x:c r="E1226" t="str">
        <x:v>Kirana</x:v>
      </x:c>
      <x:c r="F1226" t="str">
        <x:v>Mangaluru</x:v>
      </x:c>
      <x:c r="G1226" t="str">
        <x:v>Arjun</x:v>
      </x:c>
      <x:c r="H1226" t="str">
        <x:v>P005</x:v>
      </x:c>
      <x:c r="I1226" t="str">
        <x:v>Chana Dal 5kg</x:v>
      </x:c>
      <x:c r="J1226" t="str">
        <x:v>Pulses</x:v>
      </x:c>
      <x:c r="K1226" t="str">
        <x:v>Local Select</x:v>
      </x:c>
      <x:c r="L1226" s="22" t="n">
        <x:v>520</x:v>
      </x:c>
      <x:c r="M1226" t="n">
        <x:v>1</x:v>
      </x:c>
      <x:c r="N1226" s="24" t="n">
        <x:v>0.05</x:v>
      </x:c>
      <x:c r="O1226" s="22" t="n">
        <x:f>L1226*M1226</x:f>
        <x:v>520</x:v>
      </x:c>
      <x:c r="P1226" s="22" t="n">
        <x:f>O1226*(1-N1226)</x:f>
        <x:v>494</x:v>
      </x:c>
      <x:c r="Q1226" s="22" t="n">
        <x:v>455</x:v>
      </x:c>
      <x:c r="R1226" s="22" t="n">
        <x:f>Q1226*M1226</x:f>
        <x:v>455</x:v>
      </x:c>
      <x:c r="S1226" s="22" t="n">
        <x:f>P1226-R1226</x:f>
        <x:v>39</x:v>
      </x:c>
      <x:c r="T1226" t="str">
        <x:v>Cash</x:v>
      </x:c>
      <x:c r="U1226" t="str">
        <x:v>Pending</x:v>
      </x:c>
      <x:c r="V1226" t="str">
        <x:v>Delayed</x:v>
      </x:c>
      <x:c r="W1226" t="n">
        <x:v>0</x:v>
      </x:c>
      <x:c r="X1226" t="str"/>
      <x:c r="Y1226" t="str">
        <x:v>Outbound Call</x:v>
      </x:c>
    </x:row>
    <x:row r="1227">
      <x:c r="A1227" t="str">
        <x:v>O001226</x:v>
      </x:c>
      <x:c r="B1227" s="20" t="n">
        <x:v>45996</x:v>
      </x:c>
      <x:c r="C1227" t="str">
        <x:v>C0161</x:v>
      </x:c>
      <x:c r="D1227" t="str">
        <x:v>Hotel Kitchen 161</x:v>
      </x:c>
      <x:c r="E1227" t="str">
        <x:v>Supermarket</x:v>
      </x:c>
      <x:c r="F1227" t="str">
        <x:v>Mysuru</x:v>
      </x:c>
      <x:c r="G1227" t="str">
        <x:v>Sneha</x:v>
      </x:c>
      <x:c r="H1227" t="str">
        <x:v>P030</x:v>
      </x:c>
      <x:c r="I1227" t="str">
        <x:v>Mayonnaise 1kg</x:v>
      </x:c>
      <x:c r="J1227" t="str">
        <x:v>Condiments</x:v>
      </x:c>
      <x:c r="K1227" t="str">
        <x:v>Veeba</x:v>
      </x:c>
      <x:c r="L1227" s="22" t="n">
        <x:v>210</x:v>
      </x:c>
      <x:c r="M1227" t="n">
        <x:v>7</x:v>
      </x:c>
      <x:c r="N1227" s="24" t="n">
        <x:v>0.05</x:v>
      </x:c>
      <x:c r="O1227" s="22" t="n">
        <x:f>L1227*M1227</x:f>
        <x:v>1470</x:v>
      </x:c>
      <x:c r="P1227" s="22" t="n">
        <x:f>O1227*(1-N1227)</x:f>
        <x:v>1396.5</x:v>
      </x:c>
      <x:c r="Q1227" s="22" t="n">
        <x:v>185</x:v>
      </x:c>
      <x:c r="R1227" s="22" t="n">
        <x:f>Q1227*M1227</x:f>
        <x:v>1295</x:v>
      </x:c>
      <x:c r="S1227" s="22" t="n">
        <x:f>P1227-R1227</x:f>
        <x:v>101.5</x:v>
      </x:c>
      <x:c r="T1227" t="str">
        <x:v>UPI</x:v>
      </x:c>
      <x:c r="U1227" t="str">
        <x:v>Paid</x:v>
      </x:c>
      <x:c r="V1227" t="str">
        <x:v>Delivered</x:v>
      </x:c>
      <x:c r="W1227" t="n">
        <x:v>0</x:v>
      </x:c>
      <x:c r="X1227" t="str"/>
      <x:c r="Y1227" t="str">
        <x:v>Outbound Call</x:v>
      </x:c>
    </x:row>
    <x:row r="1228">
      <x:c r="A1228" t="str">
        <x:v>O001227</x:v>
      </x:c>
      <x:c r="B1228" s="20" t="n">
        <x:v>45661</x:v>
      </x:c>
      <x:c r="C1228" t="str">
        <x:v>C0184</x:v>
      </x:c>
      <x:c r="D1228" t="str">
        <x:v>Namma Restaurant 184</x:v>
      </x:c>
      <x:c r="E1228" t="str">
        <x:v>Cafe</x:v>
      </x:c>
      <x:c r="F1228" t="str">
        <x:v>Hubballi</x:v>
      </x:c>
      <x:c r="G1228" t="str">
        <x:v>Arjun</x:v>
      </x:c>
      <x:c r="H1228" t="str">
        <x:v>P006</x:v>
      </x:c>
      <x:c r="I1228" t="str">
        <x:v>Moong Dal 5kg</x:v>
      </x:c>
      <x:c r="J1228" t="str">
        <x:v>Pulses</x:v>
      </x:c>
      <x:c r="K1228" t="str">
        <x:v>Local Select</x:v>
      </x:c>
      <x:c r="L1228" s="22" t="n">
        <x:v>610</x:v>
      </x:c>
      <x:c r="M1228" t="n">
        <x:v>28</x:v>
      </x:c>
      <x:c r="N1228" s="24" t="n">
        <x:v>0.05</x:v>
      </x:c>
      <x:c r="O1228" s="22" t="n">
        <x:f>L1228*M1228</x:f>
        <x:v>17080</x:v>
      </x:c>
      <x:c r="P1228" s="22" t="n">
        <x:f>O1228*(1-N1228)</x:f>
        <x:v>16226</x:v>
      </x:c>
      <x:c r="Q1228" s="22" t="n">
        <x:v>540</x:v>
      </x:c>
      <x:c r="R1228" s="22" t="n">
        <x:f>Q1228*M1228</x:f>
        <x:v>15120</x:v>
      </x:c>
      <x:c r="S1228" s="22" t="n">
        <x:f>P1228-R1228</x:f>
        <x:v>1106</x:v>
      </x:c>
      <x:c r="T1228" t="str">
        <x:v>Bank Transfer</x:v>
      </x:c>
      <x:c r="U1228" t="str">
        <x:v>Paid</x:v>
      </x:c>
      <x:c r="V1228" t="str">
        <x:v>Cancelled</x:v>
      </x:c>
      <x:c r="W1228" t="n">
        <x:v>28</x:v>
      </x:c>
      <x:c r="X1228" t="str">
        <x:v>Cancelled Order</x:v>
      </x:c>
      <x:c r="Y1228" t="str">
        <x:v>Outbound Call</x:v>
      </x:c>
    </x:row>
    <x:row r="1229">
      <x:c r="A1229" t="str">
        <x:v>O001228</x:v>
      </x:c>
      <x:c r="B1229" s="20" t="n">
        <x:v>45855</x:v>
      </x:c>
      <x:c r="C1229" t="str">
        <x:v>C0161</x:v>
      </x:c>
      <x:c r="D1229" t="str">
        <x:v>Hotel Kitchen 161</x:v>
      </x:c>
      <x:c r="E1229" t="str">
        <x:v>Supermarket</x:v>
      </x:c>
      <x:c r="F1229" t="str">
        <x:v>Mysuru</x:v>
      </x:c>
      <x:c r="G1229" t="str">
        <x:v>Sneha</x:v>
      </x:c>
      <x:c r="H1229" t="str">
        <x:v>P034</x:v>
      </x:c>
      <x:c r="I1229" t="str">
        <x:v>Chilli Powder 1kg</x:v>
      </x:c>
      <x:c r="J1229" t="str">
        <x:v>Spices</x:v>
      </x:c>
      <x:c r="K1229" t="str">
        <x:v>MDH</x:v>
      </x:c>
      <x:c r="L1229" s="22" t="n">
        <x:v>340</x:v>
      </x:c>
      <x:c r="M1229" t="n">
        <x:v>31</x:v>
      </x:c>
      <x:c r="N1229" s="24" t="n">
        <x:v>0.05</x:v>
      </x:c>
      <x:c r="O1229" s="22" t="n">
        <x:f>L1229*M1229</x:f>
        <x:v>10540</x:v>
      </x:c>
      <x:c r="P1229" s="22" t="n">
        <x:f>O1229*(1-N1229)</x:f>
        <x:v>10013</x:v>
      </x:c>
      <x:c r="Q1229" s="22" t="n">
        <x:v>295</x:v>
      </x:c>
      <x:c r="R1229" s="22" t="n">
        <x:f>Q1229*M1229</x:f>
        <x:v>9145</x:v>
      </x:c>
      <x:c r="S1229" s="22" t="n">
        <x:f>P1229-R1229</x:f>
        <x:v>868</x:v>
      </x:c>
      <x:c r="T1229" t="str">
        <x:v>Credit</x:v>
      </x:c>
      <x:c r="U1229" t="str">
        <x:v>Paid</x:v>
      </x:c>
      <x:c r="V1229" t="str">
        <x:v>Delivered</x:v>
      </x:c>
      <x:c r="W1229" t="n">
        <x:v>0</x:v>
      </x:c>
      <x:c r="X1229" t="str"/>
      <x:c r="Y1229" t="str">
        <x:v>Existing Customer</x:v>
      </x:c>
    </x:row>
    <x:row r="1230">
      <x:c r="A1230" t="str">
        <x:v>O001229</x:v>
      </x:c>
      <x:c r="B1230" s="20" t="n">
        <x:v>45847</x:v>
      </x:c>
      <x:c r="C1230" t="str">
        <x:v>C0016</x:v>
      </x:c>
      <x:c r="D1230" t="str">
        <x:v>Royal Canteen 16</x:v>
      </x:c>
      <x:c r="E1230" t="str">
        <x:v>Cafe</x:v>
      </x:c>
      <x:c r="F1230" t="str">
        <x:v>Davanagere</x:v>
      </x:c>
      <x:c r="G1230" t="str">
        <x:v>Megha</x:v>
      </x:c>
      <x:c r="H1230" t="str">
        <x:v>P029</x:v>
      </x:c>
      <x:c r="I1230" t="str">
        <x:v>Tomato Ketchup 1kg</x:v>
      </x:c>
      <x:c r="J1230" t="str">
        <x:v>Condiments</x:v>
      </x:c>
      <x:c r="K1230" t="str">
        <x:v>Kissan</x:v>
      </x:c>
      <x:c r="L1230" s="22" t="n">
        <x:v>145</x:v>
      </x:c>
      <x:c r="M1230" t="n">
        <x:v>33</x:v>
      </x:c>
      <x:c r="N1230" s="24" t="n">
        <x:v>0</x:v>
      </x:c>
      <x:c r="O1230" s="22" t="n">
        <x:f>L1230*M1230</x:f>
        <x:v>4785</x:v>
      </x:c>
      <x:c r="P1230" s="22" t="n">
        <x:f>O1230*(1-N1230)</x:f>
        <x:v>4785</x:v>
      </x:c>
      <x:c r="Q1230" s="22" t="n">
        <x:v>126</x:v>
      </x:c>
      <x:c r="R1230" s="22" t="n">
        <x:f>Q1230*M1230</x:f>
        <x:v>4158</x:v>
      </x:c>
      <x:c r="S1230" s="22" t="n">
        <x:f>P1230-R1230</x:f>
        <x:v>627</x:v>
      </x:c>
      <x:c r="T1230" t="str">
        <x:v>Bank Transfer</x:v>
      </x:c>
      <x:c r="U1230" t="str">
        <x:v>Overdue</x:v>
      </x:c>
      <x:c r="V1230" t="str">
        <x:v>Delivered</x:v>
      </x:c>
      <x:c r="W1230" t="n">
        <x:v>0</x:v>
      </x:c>
      <x:c r="X1230" t="str"/>
      <x:c r="Y1230" t="str">
        <x:v>Existing Customer</x:v>
      </x:c>
    </x:row>
    <x:row r="1231">
      <x:c r="A1231" t="str">
        <x:v>O001230</x:v>
      </x:c>
      <x:c r="B1231" s="20" t="n">
        <x:v>45784</x:v>
      </x:c>
      <x:c r="C1231" t="str">
        <x:v>C0049</x:v>
      </x:c>
      <x:c r="D1231" t="str">
        <x:v>Namma Stores 49</x:v>
      </x:c>
      <x:c r="E1231" t="str">
        <x:v>Hotel</x:v>
      </x:c>
      <x:c r="F1231" t="str">
        <x:v>Mangaluru</x:v>
      </x:c>
      <x:c r="G1231" t="str">
        <x:v>Sneha</x:v>
      </x:c>
      <x:c r="H1231" t="str">
        <x:v>P045</x:v>
      </x:c>
      <x:c r="I1231" t="str">
        <x:v>Onion 25kg</x:v>
      </x:c>
      <x:c r="J1231" t="str">
        <x:v>Fresh Produce</x:v>
      </x:c>
      <x:c r="K1231" t="str">
        <x:v>Local Market</x:v>
      </x:c>
      <x:c r="L1231" s="22" t="n">
        <x:v>875</x:v>
      </x:c>
      <x:c r="M1231" t="n">
        <x:v>5</x:v>
      </x:c>
      <x:c r="N1231" s="24" t="n">
        <x:v>0</x:v>
      </x:c>
      <x:c r="O1231" s="22" t="n">
        <x:f>L1231*M1231</x:f>
        <x:v>4375</x:v>
      </x:c>
      <x:c r="P1231" s="22" t="n">
        <x:f>O1231*(1-N1231)</x:f>
        <x:v>4375</x:v>
      </x:c>
      <x:c r="Q1231" s="22" t="n">
        <x:v>760</x:v>
      </x:c>
      <x:c r="R1231" s="22" t="n">
        <x:f>Q1231*M1231</x:f>
        <x:v>3800</x:v>
      </x:c>
      <x:c r="S1231" s="22" t="n">
        <x:f>P1231-R1231</x:f>
        <x:v>575</x:v>
      </x:c>
      <x:c r="T1231" t="str">
        <x:v>Cash</x:v>
      </x:c>
      <x:c r="U1231" t="str">
        <x:v>Pending</x:v>
      </x:c>
      <x:c r="V1231" t="str">
        <x:v>Delivered</x:v>
      </x:c>
      <x:c r="W1231" t="n">
        <x:v>0</x:v>
      </x:c>
      <x:c r="X1231" t="str"/>
      <x:c r="Y1231" t="str">
        <x:v>Existing Customer</x:v>
      </x:c>
    </x:row>
    <x:row r="1232">
      <x:c r="A1232" t="str">
        <x:v>O001231</x:v>
      </x:c>
      <x:c r="B1232" s="20" t="n">
        <x:v>45950</x:v>
      </x:c>
      <x:c r="C1232" t="str">
        <x:v>C0106</x:v>
      </x:c>
      <x:c r="D1232" t="str">
        <x:v>Classic Mart 106</x:v>
      </x:c>
      <x:c r="E1232" t="str">
        <x:v>Restaurant</x:v>
      </x:c>
      <x:c r="F1232" t="str">
        <x:v>Mysuru</x:v>
      </x:c>
      <x:c r="G1232" t="str">
        <x:v>Kavya</x:v>
      </x:c>
      <x:c r="H1232" t="str">
        <x:v>P033</x:v>
      </x:c>
      <x:c r="I1232" t="str">
        <x:v>Turmeric Powder 1kg</x:v>
      </x:c>
      <x:c r="J1232" t="str">
        <x:v>Spices</x:v>
      </x:c>
      <x:c r="K1232" t="str">
        <x:v>Everest</x:v>
      </x:c>
      <x:c r="L1232" s="22" t="n">
        <x:v>310</x:v>
      </x:c>
      <x:c r="M1232" t="n">
        <x:v>14</x:v>
      </x:c>
      <x:c r="N1232" s="24" t="n">
        <x:v>0.03</x:v>
      </x:c>
      <x:c r="O1232" s="22" t="n">
        <x:f>L1232*M1232</x:f>
        <x:v>4340</x:v>
      </x:c>
      <x:c r="P1232" s="22" t="n">
        <x:f>O1232*(1-N1232)</x:f>
        <x:v>4209.8</x:v>
      </x:c>
      <x:c r="Q1232" s="22" t="n">
        <x:v>270</x:v>
      </x:c>
      <x:c r="R1232" s="22" t="n">
        <x:f>Q1232*M1232</x:f>
        <x:v>3780</x:v>
      </x:c>
      <x:c r="S1232" s="22" t="n">
        <x:f>P1232-R1232</x:f>
        <x:v>429.8000000000002</x:v>
      </x:c>
      <x:c r="T1232" t="str">
        <x:v>Cash</x:v>
      </x:c>
      <x:c r="U1232" t="str">
        <x:v>Pending</x:v>
      </x:c>
      <x:c r="V1232" t="str">
        <x:v>Delayed</x:v>
      </x:c>
      <x:c r="W1232" t="n">
        <x:v>0</x:v>
      </x:c>
      <x:c r="X1232" t="str"/>
      <x:c r="Y1232" t="str">
        <x:v>Outbound Call</x:v>
      </x:c>
    </x:row>
    <x:row r="1233">
      <x:c r="A1233" t="str">
        <x:v>O001232</x:v>
      </x:c>
      <x:c r="B1233" s="20" t="n">
        <x:v>45915</x:v>
      </x:c>
      <x:c r="C1233" t="str">
        <x:v>C0248</x:v>
      </x:c>
      <x:c r="D1233" t="str">
        <x:v>Royal Restaurant 248</x:v>
      </x:c>
      <x:c r="E1233" t="str">
        <x:v>Canteen</x:v>
      </x:c>
      <x:c r="F1233" t="str">
        <x:v>Mysuru</x:v>
      </x:c>
      <x:c r="G1233" t="str">
        <x:v>Priya</x:v>
      </x:c>
      <x:c r="H1233" t="str">
        <x:v>P044</x:v>
      </x:c>
      <x:c r="I1233" t="str">
        <x:v>Chicken Curry Cut 1kg</x:v>
      </x:c>
      <x:c r="J1233" t="str">
        <x:v>Protein</x:v>
      </x:c>
      <x:c r="K1233" t="str">
        <x:v>FreshToHome</x:v>
      </x:c>
      <x:c r="L1233" s="22" t="n">
        <x:v>230</x:v>
      </x:c>
      <x:c r="M1233" t="n">
        <x:v>19</x:v>
      </x:c>
      <x:c r="N1233" s="24" t="n">
        <x:v>0.05</x:v>
      </x:c>
      <x:c r="O1233" s="22" t="n">
        <x:f>L1233*M1233</x:f>
        <x:v>4370</x:v>
      </x:c>
      <x:c r="P1233" s="22" t="n">
        <x:f>O1233*(1-N1233)</x:f>
        <x:v>4151.5</x:v>
      </x:c>
      <x:c r="Q1233" s="22" t="n">
        <x:v>205</x:v>
      </x:c>
      <x:c r="R1233" s="22" t="n">
        <x:f>Q1233*M1233</x:f>
        <x:v>3895</x:v>
      </x:c>
      <x:c r="S1233" s="22" t="n">
        <x:f>P1233-R1233</x:f>
        <x:v>256.5</x:v>
      </x:c>
      <x:c r="T1233" t="str">
        <x:v>UPI</x:v>
      </x:c>
      <x:c r="U1233" t="str">
        <x:v>Paid</x:v>
      </x:c>
      <x:c r="V1233" t="str">
        <x:v>Delivered</x:v>
      </x:c>
      <x:c r="W1233" t="n">
        <x:v>0</x:v>
      </x:c>
      <x:c r="X1233" t="str"/>
      <x:c r="Y1233" t="str">
        <x:v>Outbound Call</x:v>
      </x:c>
    </x:row>
    <x:row r="1234">
      <x:c r="A1234" t="str">
        <x:v>O001233</x:v>
      </x:c>
      <x:c r="B1234" s="20" t="n">
        <x:v>45739</x:v>
      </x:c>
      <x:c r="C1234" t="str">
        <x:v>C0210</x:v>
      </x:c>
      <x:c r="D1234" t="str">
        <x:v>Spice Stores 210</x:v>
      </x:c>
      <x:c r="E1234" t="str">
        <x:v>Cafe</x:v>
      </x:c>
      <x:c r="F1234" t="str">
        <x:v>Davanagere</x:v>
      </x:c>
      <x:c r="G1234" t="str">
        <x:v>Imran</x:v>
      </x:c>
      <x:c r="H1234" t="str">
        <x:v>P028</x:v>
      </x:c>
      <x:c r="I1234" t="str">
        <x:v>Cookies 200g</x:v>
      </x:c>
      <x:c r="J1234" t="str">
        <x:v>Snacks</x:v>
      </x:c>
      <x:c r="K1234" t="str">
        <x:v>Britannia</x:v>
      </x:c>
      <x:c r="L1234" s="22" t="n">
        <x:v>55</x:v>
      </x:c>
      <x:c r="M1234" t="n">
        <x:v>29</x:v>
      </x:c>
      <x:c r="N1234" s="24" t="n">
        <x:v>0</x:v>
      </x:c>
      <x:c r="O1234" s="22" t="n">
        <x:f>L1234*M1234</x:f>
        <x:v>1595</x:v>
      </x:c>
      <x:c r="P1234" s="22" t="n">
        <x:f>O1234*(1-N1234)</x:f>
        <x:v>1595</x:v>
      </x:c>
      <x:c r="Q1234" s="22" t="n">
        <x:v>42</x:v>
      </x:c>
      <x:c r="R1234" s="22" t="n">
        <x:f>Q1234*M1234</x:f>
        <x:v>1218</x:v>
      </x:c>
      <x:c r="S1234" s="22" t="n">
        <x:f>P1234-R1234</x:f>
        <x:v>377</x:v>
      </x:c>
      <x:c r="T1234" t="str">
        <x:v>UPI</x:v>
      </x:c>
      <x:c r="U1234" t="str">
        <x:v>Paid</x:v>
      </x:c>
      <x:c r="V1234" t="str">
        <x:v>Delivered</x:v>
      </x:c>
      <x:c r="W1234" t="n">
        <x:v>0</x:v>
      </x:c>
      <x:c r="X1234" t="str"/>
      <x:c r="Y1234" t="str">
        <x:v>Existing Customer</x:v>
      </x:c>
    </x:row>
    <x:row r="1235">
      <x:c r="A1235" t="str">
        <x:v>O001234</x:v>
      </x:c>
      <x:c r="B1235" s="20" t="n">
        <x:v>45926</x:v>
      </x:c>
      <x:c r="C1235" t="str">
        <x:v>C0017</x:v>
      </x:c>
      <x:c r="D1235" t="str">
        <x:v>City Foods 17</x:v>
      </x:c>
      <x:c r="E1235" t="str">
        <x:v>Restaurant</x:v>
      </x:c>
      <x:c r="F1235" t="str">
        <x:v>Tumakuru</x:v>
      </x:c>
      <x:c r="G1235" t="str">
        <x:v>Imran</x:v>
      </x:c>
      <x:c r="H1235" t="str">
        <x:v>P037</x:v>
      </x:c>
      <x:c r="I1235" t="str">
        <x:v>Frozen Peas 1kg</x:v>
      </x:c>
      <x:c r="J1235" t="str">
        <x:v>Frozen</x:v>
      </x:c>
      <x:c r="K1235" t="str">
        <x:v>Safal</x:v>
      </x:c>
      <x:c r="L1235" s="22" t="n">
        <x:v>155</x:v>
      </x:c>
      <x:c r="M1235" t="n">
        <x:v>21</x:v>
      </x:c>
      <x:c r="N1235" s="24" t="n">
        <x:v>0.03</x:v>
      </x:c>
      <x:c r="O1235" s="22" t="n">
        <x:f>L1235*M1235</x:f>
        <x:v>3255</x:v>
      </x:c>
      <x:c r="P1235" s="22" t="n">
        <x:f>O1235*(1-N1235)</x:f>
        <x:v>3157.35</x:v>
      </x:c>
      <x:c r="Q1235" s="22" t="n">
        <x:v>138</x:v>
      </x:c>
      <x:c r="R1235" s="22" t="n">
        <x:f>Q1235*M1235</x:f>
        <x:v>2898</x:v>
      </x:c>
      <x:c r="S1235" s="22" t="n">
        <x:f>P1235-R1235</x:f>
        <x:v>259.3499999999999</x:v>
      </x:c>
      <x:c r="T1235" t="str">
        <x:v>Credit</x:v>
      </x:c>
      <x:c r="U1235" t="str">
        <x:v>Paid</x:v>
      </x:c>
      <x:c r="V1235" t="str">
        <x:v>Delivered</x:v>
      </x:c>
      <x:c r="W1235" t="n">
        <x:v>0</x:v>
      </x:c>
      <x:c r="X1235" t="str"/>
      <x:c r="Y1235" t="str">
        <x:v>Field Visit</x:v>
      </x:c>
    </x:row>
    <x:row r="1236">
      <x:c r="A1236" t="str">
        <x:v>O001235</x:v>
      </x:c>
      <x:c r="B1236" s="20" t="n">
        <x:v>45891</x:v>
      </x:c>
      <x:c r="C1236" t="str">
        <x:v>C0191</x:v>
      </x:c>
      <x:c r="D1236" t="str">
        <x:v>Foodie Kitchen 191</x:v>
      </x:c>
      <x:c r="E1236" t="str">
        <x:v>Cafe</x:v>
      </x:c>
      <x:c r="F1236" t="str">
        <x:v>Mysuru</x:v>
      </x:c>
      <x:c r="G1236" t="str">
        <x:v>Priya</x:v>
      </x:c>
      <x:c r="H1236" t="str">
        <x:v>P013</x:v>
      </x:c>
      <x:c r="I1236" t="str">
        <x:v>Atta 10kg</x:v>
      </x:c>
      <x:c r="J1236" t="str">
        <x:v>Flour</x:v>
      </x:c>
      <x:c r="K1236" t="str">
        <x:v>Aashirvaad</x:v>
      </x:c>
      <x:c r="L1236" s="22" t="n">
        <x:v>560</x:v>
      </x:c>
      <x:c r="M1236" t="n">
        <x:v>38</x:v>
      </x:c>
      <x:c r="N1236" s="24" t="n">
        <x:v>0</x:v>
      </x:c>
      <x:c r="O1236" s="22" t="n">
        <x:f>L1236*M1236</x:f>
        <x:v>21280</x:v>
      </x:c>
      <x:c r="P1236" s="22" t="n">
        <x:f>O1236*(1-N1236)</x:f>
        <x:v>21280</x:v>
      </x:c>
      <x:c r="Q1236" s="22" t="n">
        <x:v>495</x:v>
      </x:c>
      <x:c r="R1236" s="22" t="n">
        <x:f>Q1236*M1236</x:f>
        <x:v>18810</x:v>
      </x:c>
      <x:c r="S1236" s="22" t="n">
        <x:f>P1236-R1236</x:f>
        <x:v>2470</x:v>
      </x:c>
      <x:c r="T1236" t="str">
        <x:v>Cash</x:v>
      </x:c>
      <x:c r="U1236" t="str">
        <x:v>Paid</x:v>
      </x:c>
      <x:c r="V1236" t="str">
        <x:v>Delivered</x:v>
      </x:c>
      <x:c r="W1236" t="n">
        <x:v>0</x:v>
      </x:c>
      <x:c r="X1236" t="str"/>
      <x:c r="Y1236" t="str">
        <x:v>WhatsApp</x:v>
      </x:c>
    </x:row>
    <x:row r="1237">
      <x:c r="A1237" t="str">
        <x:v>O001236</x:v>
      </x:c>
      <x:c r="B1237" s="20" t="n">
        <x:v>46121</x:v>
      </x:c>
      <x:c r="C1237" t="str">
        <x:v>C0231</x:v>
      </x:c>
      <x:c r="D1237" t="str">
        <x:v>Metro Canteen 231</x:v>
      </x:c>
      <x:c r="E1237" t="str">
        <x:v>Canteen</x:v>
      </x:c>
      <x:c r="F1237" t="str">
        <x:v>Mangaluru</x:v>
      </x:c>
      <x:c r="G1237" t="str">
        <x:v>Megha</x:v>
      </x:c>
      <x:c r="H1237" t="str">
        <x:v>P030</x:v>
      </x:c>
      <x:c r="I1237" t="str">
        <x:v>Mayonnaise 1kg</x:v>
      </x:c>
      <x:c r="J1237" t="str">
        <x:v>Condiments</x:v>
      </x:c>
      <x:c r="K1237" t="str">
        <x:v>Veeba</x:v>
      </x:c>
      <x:c r="L1237" s="22" t="n">
        <x:v>210</x:v>
      </x:c>
      <x:c r="M1237" t="n">
        <x:v>10</x:v>
      </x:c>
      <x:c r="N1237" s="24" t="n">
        <x:v>0</x:v>
      </x:c>
      <x:c r="O1237" s="22" t="n">
        <x:f>L1237*M1237</x:f>
        <x:v>2100</x:v>
      </x:c>
      <x:c r="P1237" s="22" t="n">
        <x:f>O1237*(1-N1237)</x:f>
        <x:v>2100</x:v>
      </x:c>
      <x:c r="Q1237" s="22" t="n">
        <x:v>185</x:v>
      </x:c>
      <x:c r="R1237" s="22" t="n">
        <x:f>Q1237*M1237</x:f>
        <x:v>1850</x:v>
      </x:c>
      <x:c r="S1237" s="22" t="n">
        <x:f>P1237-R1237</x:f>
        <x:v>250</x:v>
      </x:c>
      <x:c r="T1237" t="str">
        <x:v>Credit</x:v>
      </x:c>
      <x:c r="U1237" t="str">
        <x:v>Paid</x:v>
      </x:c>
      <x:c r="V1237" t="str">
        <x:v>Delivered</x:v>
      </x:c>
      <x:c r="W1237" t="n">
        <x:v>0</x:v>
      </x:c>
      <x:c r="X1237" t="str"/>
      <x:c r="Y1237" t="str">
        <x:v>Field Visit</x:v>
      </x:c>
    </x:row>
    <x:row r="1238">
      <x:c r="A1238" t="str">
        <x:v>O001237</x:v>
      </x:c>
      <x:c r="B1238" s="20" t="n">
        <x:v>45810</x:v>
      </x:c>
      <x:c r="C1238" t="str">
        <x:v>C0223</x:v>
      </x:c>
      <x:c r="D1238" t="str">
        <x:v>Classic Canteen 223</x:v>
      </x:c>
      <x:c r="E1238" t="str">
        <x:v>Restaurant</x:v>
      </x:c>
      <x:c r="F1238" t="str">
        <x:v>Tumakuru</x:v>
      </x:c>
      <x:c r="G1238" t="str">
        <x:v>Kavya</x:v>
      </x:c>
      <x:c r="H1238" t="str">
        <x:v>P041</x:v>
      </x:c>
      <x:c r="I1238" t="str">
        <x:v>Burger Bun 6pc</x:v>
      </x:c>
      <x:c r="J1238" t="str">
        <x:v>Bakery</x:v>
      </x:c>
      <x:c r="K1238" t="str">
        <x:v>Modern</x:v>
      </x:c>
      <x:c r="L1238" s="22" t="n">
        <x:v>42</x:v>
      </x:c>
      <x:c r="M1238" t="n">
        <x:v>26</x:v>
      </x:c>
      <x:c r="N1238" s="24" t="n">
        <x:v>0.02</x:v>
      </x:c>
      <x:c r="O1238" s="22" t="n">
        <x:f>L1238*M1238</x:f>
        <x:v>1092</x:v>
      </x:c>
      <x:c r="P1238" s="22" t="n">
        <x:f>O1238*(1-N1238)</x:f>
        <x:v>1070.16</x:v>
      </x:c>
      <x:c r="Q1238" s="22" t="n">
        <x:v>32</x:v>
      </x:c>
      <x:c r="R1238" s="22" t="n">
        <x:f>Q1238*M1238</x:f>
        <x:v>832</x:v>
      </x:c>
      <x:c r="S1238" s="22" t="n">
        <x:f>P1238-R1238</x:f>
        <x:v>238.16000000000008</x:v>
      </x:c>
      <x:c r="T1238" t="str">
        <x:v>Credit</x:v>
      </x:c>
      <x:c r="U1238" t="str">
        <x:v>Pending</x:v>
      </x:c>
      <x:c r="V1238" t="str">
        <x:v>Cancelled</x:v>
      </x:c>
      <x:c r="W1238" t="n">
        <x:v>26</x:v>
      </x:c>
      <x:c r="X1238" t="str">
        <x:v>Cancelled Order</x:v>
      </x:c>
      <x:c r="Y1238" t="str">
        <x:v>Referral</x:v>
      </x:c>
    </x:row>
    <x:row r="1239">
      <x:c r="A1239" t="str">
        <x:v>O001238</x:v>
      </x:c>
      <x:c r="B1239" s="20" t="n">
        <x:v>45880</x:v>
      </x:c>
      <x:c r="C1239" t="str">
        <x:v>C0243</x:v>
      </x:c>
      <x:c r="D1239" t="str">
        <x:v>Metro Kitchen 243</x:v>
      </x:c>
      <x:c r="E1239" t="str">
        <x:v>Restaurant</x:v>
      </x:c>
      <x:c r="F1239" t="str">
        <x:v>Mangaluru</x:v>
      </x:c>
      <x:c r="G1239" t="str">
        <x:v>Kavya</x:v>
      </x:c>
      <x:c r="H1239" t="str">
        <x:v>P012</x:v>
      </x:c>
      <x:c r="I1239" t="str">
        <x:v>Maida 10kg</x:v>
      </x:c>
      <x:c r="J1239" t="str">
        <x:v>Flour</x:v>
      </x:c>
      <x:c r="K1239" t="str">
        <x:v>Aashirvaad</x:v>
      </x:c>
      <x:c r="L1239" s="22" t="n">
        <x:v>520</x:v>
      </x:c>
      <x:c r="M1239" t="n">
        <x:v>7</x:v>
      </x:c>
      <x:c r="N1239" s="24" t="n">
        <x:v>0</x:v>
      </x:c>
      <x:c r="O1239" s="22" t="n">
        <x:f>L1239*M1239</x:f>
        <x:v>3640</x:v>
      </x:c>
      <x:c r="P1239" s="22" t="n">
        <x:f>O1239*(1-N1239)</x:f>
        <x:v>3640</x:v>
      </x:c>
      <x:c r="Q1239" s="22" t="n">
        <x:v>460</x:v>
      </x:c>
      <x:c r="R1239" s="22" t="n">
        <x:f>Q1239*M1239</x:f>
        <x:v>3220</x:v>
      </x:c>
      <x:c r="S1239" s="22" t="n">
        <x:f>P1239-R1239</x:f>
        <x:v>420</x:v>
      </x:c>
      <x:c r="T1239" t="str">
        <x:v>Credit</x:v>
      </x:c>
      <x:c r="U1239" t="str">
        <x:v>Paid</x:v>
      </x:c>
      <x:c r="V1239" t="str">
        <x:v>Delivered</x:v>
      </x:c>
      <x:c r="W1239" t="n">
        <x:v>0</x:v>
      </x:c>
      <x:c r="X1239" t="str"/>
      <x:c r="Y1239" t="str">
        <x:v>WhatsApp</x:v>
      </x:c>
    </x:row>
    <x:row r="1240">
      <x:c r="A1240" t="str">
        <x:v>O001239</x:v>
      </x:c>
      <x:c r="B1240" s="20" t="n">
        <x:v>45942</x:v>
      </x:c>
      <x:c r="C1240" t="str">
        <x:v>C0078</x:v>
      </x:c>
      <x:c r="D1240" t="str">
        <x:v>Sagar Canteen 78</x:v>
      </x:c>
      <x:c r="E1240" t="str">
        <x:v>Hotel</x:v>
      </x:c>
      <x:c r="F1240" t="str">
        <x:v>Mangaluru</x:v>
      </x:c>
      <x:c r="G1240" t="str">
        <x:v>Ramesh</x:v>
      </x:c>
      <x:c r="H1240" t="str">
        <x:v>P036</x:v>
      </x:c>
      <x:c r="I1240" t="str">
        <x:v>Garam Masala 500g</x:v>
      </x:c>
      <x:c r="J1240" t="str">
        <x:v>Spices</x:v>
      </x:c>
      <x:c r="K1240" t="str">
        <x:v>MDH</x:v>
      </x:c>
      <x:c r="L1240" s="22" t="n">
        <x:v>265</x:v>
      </x:c>
      <x:c r="M1240" t="n">
        <x:v>15</x:v>
      </x:c>
      <x:c r="N1240" s="24" t="n">
        <x:v>0</x:v>
      </x:c>
      <x:c r="O1240" s="22" t="n">
        <x:f>L1240*M1240</x:f>
        <x:v>3975</x:v>
      </x:c>
      <x:c r="P1240" s="22" t="n">
        <x:f>O1240*(1-N1240)</x:f>
        <x:v>3975</x:v>
      </x:c>
      <x:c r="Q1240" s="22" t="n">
        <x:v>230</x:v>
      </x:c>
      <x:c r="R1240" s="22" t="n">
        <x:f>Q1240*M1240</x:f>
        <x:v>3450</x:v>
      </x:c>
      <x:c r="S1240" s="22" t="n">
        <x:f>P1240-R1240</x:f>
        <x:v>525</x:v>
      </x:c>
      <x:c r="T1240" t="str">
        <x:v>Credit</x:v>
      </x:c>
      <x:c r="U1240" t="str">
        <x:v>Paid</x:v>
      </x:c>
      <x:c r="V1240" t="str">
        <x:v>Delivered</x:v>
      </x:c>
      <x:c r="W1240" t="n">
        <x:v>0</x:v>
      </x:c>
      <x:c r="X1240" t="str"/>
      <x:c r="Y1240" t="str">
        <x:v>Outbound Call</x:v>
      </x:c>
    </x:row>
    <x:row r="1241">
      <x:c r="A1241" t="str">
        <x:v>O001240</x:v>
      </x:c>
      <x:c r="B1241" s="20" t="n">
        <x:v>45989</x:v>
      </x:c>
      <x:c r="C1241" t="str">
        <x:v>C0028</x:v>
      </x:c>
      <x:c r="D1241" t="str">
        <x:v>Spice Cafe 28</x:v>
      </x:c>
      <x:c r="E1241" t="str">
        <x:v>Supermarket</x:v>
      </x:c>
      <x:c r="F1241" t="str">
        <x:v>Mysuru</x:v>
      </x:c>
      <x:c r="G1241" t="str">
        <x:v>Vikram</x:v>
      </x:c>
      <x:c r="H1241" t="str">
        <x:v>P005</x:v>
      </x:c>
      <x:c r="I1241" t="str">
        <x:v>Chana Dal 5kg</x:v>
      </x:c>
      <x:c r="J1241" t="str">
        <x:v>Pulses</x:v>
      </x:c>
      <x:c r="K1241" t="str">
        <x:v>Local Select</x:v>
      </x:c>
      <x:c r="L1241" s="22" t="n">
        <x:v>520</x:v>
      </x:c>
      <x:c r="M1241" t="n">
        <x:v>31</x:v>
      </x:c>
      <x:c r="N1241" s="24" t="n">
        <x:v>0.05</x:v>
      </x:c>
      <x:c r="O1241" s="22" t="n">
        <x:f>L1241*M1241</x:f>
        <x:v>16120</x:v>
      </x:c>
      <x:c r="P1241" s="22" t="n">
        <x:f>O1241*(1-N1241)</x:f>
        <x:v>15314</x:v>
      </x:c>
      <x:c r="Q1241" s="22" t="n">
        <x:v>455</x:v>
      </x:c>
      <x:c r="R1241" s="22" t="n">
        <x:f>Q1241*M1241</x:f>
        <x:v>14105</x:v>
      </x:c>
      <x:c r="S1241" s="22" t="n">
        <x:f>P1241-R1241</x:f>
        <x:v>1209</x:v>
      </x:c>
      <x:c r="T1241" t="str">
        <x:v>Bank Transfer</x:v>
      </x:c>
      <x:c r="U1241" t="str">
        <x:v>Paid</x:v>
      </x:c>
      <x:c r="V1241" t="str">
        <x:v>Delivered</x:v>
      </x:c>
      <x:c r="W1241" t="n">
        <x:v>0</x:v>
      </x:c>
      <x:c r="X1241" t="str"/>
      <x:c r="Y1241" t="str">
        <x:v>WhatsApp</x:v>
      </x:c>
    </x:row>
    <x:row r="1242">
      <x:c r="A1242" t="str">
        <x:v>O001241</x:v>
      </x:c>
      <x:c r="B1242" s="20" t="n">
        <x:v>45820</x:v>
      </x:c>
      <x:c r="C1242" t="str">
        <x:v>C0245</x:v>
      </x:c>
      <x:c r="D1242" t="str">
        <x:v>Udupi Cafe 245</x:v>
      </x:c>
      <x:c r="E1242" t="str">
        <x:v>Canteen</x:v>
      </x:c>
      <x:c r="F1242" t="str">
        <x:v>Bengaluru</x:v>
      </x:c>
      <x:c r="G1242" t="str">
        <x:v>Priya</x:v>
      </x:c>
      <x:c r="H1242" t="str">
        <x:v>P020</x:v>
      </x:c>
      <x:c r="I1242" t="str">
        <x:v>Coffee 500g</x:v>
      </x:c>
      <x:c r="J1242" t="str">
        <x:v>Beverage</x:v>
      </x:c>
      <x:c r="K1242" t="str">
        <x:v>Bru</x:v>
      </x:c>
      <x:c r="L1242" s="22" t="n">
        <x:v>390</x:v>
      </x:c>
      <x:c r="M1242" t="n">
        <x:v>22</x:v>
      </x:c>
      <x:c r="N1242" s="24" t="n">
        <x:v>0.05</x:v>
      </x:c>
      <x:c r="O1242" s="22" t="n">
        <x:f>L1242*M1242</x:f>
        <x:v>8580</x:v>
      </x:c>
      <x:c r="P1242" s="22" t="n">
        <x:f>O1242*(1-N1242)</x:f>
        <x:v>8151</x:v>
      </x:c>
      <x:c r="Q1242" s="22" t="n">
        <x:v>350</x:v>
      </x:c>
      <x:c r="R1242" s="22" t="n">
        <x:f>Q1242*M1242</x:f>
        <x:v>7700</x:v>
      </x:c>
      <x:c r="S1242" s="22" t="n">
        <x:f>P1242-R1242</x:f>
        <x:v>451</x:v>
      </x:c>
      <x:c r="T1242" t="str">
        <x:v>Credit</x:v>
      </x:c>
      <x:c r="U1242" t="str">
        <x:v>Paid</x:v>
      </x:c>
      <x:c r="V1242" t="str">
        <x:v>Delayed</x:v>
      </x:c>
      <x:c r="W1242" t="n">
        <x:v>0</x:v>
      </x:c>
      <x:c r="X1242" t="str"/>
      <x:c r="Y1242" t="str">
        <x:v>Referral</x:v>
      </x:c>
    </x:row>
    <x:row r="1243">
      <x:c r="A1243" t="str">
        <x:v>O001242</x:v>
      </x:c>
      <x:c r="B1243" s="20" t="n">
        <x:v>46040</x:v>
      </x:c>
      <x:c r="C1243" t="str">
        <x:v>C0088</x:v>
      </x:c>
      <x:c r="D1243" t="str">
        <x:v>Darshini Kitchen 88</x:v>
      </x:c>
      <x:c r="E1243" t="str">
        <x:v>Cafe</x:v>
      </x:c>
      <x:c r="F1243" t="str">
        <x:v>Tumakuru</x:v>
      </x:c>
      <x:c r="G1243" t="str">
        <x:v>Arjun</x:v>
      </x:c>
      <x:c r="H1243" t="str">
        <x:v>P047</x:v>
      </x:c>
      <x:c r="I1243" t="str">
        <x:v>Tomato 25kg</x:v>
      </x:c>
      <x:c r="J1243" t="str">
        <x:v>Fresh Produce</x:v>
      </x:c>
      <x:c r="K1243" t="str">
        <x:v>Local Market</x:v>
      </x:c>
      <x:c r="L1243" s="22" t="n">
        <x:v>950</x:v>
      </x:c>
      <x:c r="M1243" t="n">
        <x:v>9</x:v>
      </x:c>
      <x:c r="N1243" s="24" t="n">
        <x:v>0.02</x:v>
      </x:c>
      <x:c r="O1243" s="22" t="n">
        <x:f>L1243*M1243</x:f>
        <x:v>8550</x:v>
      </x:c>
      <x:c r="P1243" s="22" t="n">
        <x:f>O1243*(1-N1243)</x:f>
        <x:v>8379</x:v>
      </x:c>
      <x:c r="Q1243" s="22" t="n">
        <x:v>810</x:v>
      </x:c>
      <x:c r="R1243" s="22" t="n">
        <x:f>Q1243*M1243</x:f>
        <x:v>7290</x:v>
      </x:c>
      <x:c r="S1243" s="22" t="n">
        <x:f>P1243-R1243</x:f>
        <x:v>1089</x:v>
      </x:c>
      <x:c r="T1243" t="str">
        <x:v>Credit</x:v>
      </x:c>
      <x:c r="U1243" t="str">
        <x:v>Paid</x:v>
      </x:c>
      <x:c r="V1243" t="str">
        <x:v>Delivered</x:v>
      </x:c>
      <x:c r="W1243" t="n">
        <x:v>0</x:v>
      </x:c>
      <x:c r="X1243" t="str"/>
      <x:c r="Y1243" t="str">
        <x:v>Referral</x:v>
      </x:c>
    </x:row>
    <x:row r="1244">
      <x:c r="A1244" t="str">
        <x:v>O001243</x:v>
      </x:c>
      <x:c r="B1244" s="20" t="n">
        <x:v>45897</x:v>
      </x:c>
      <x:c r="C1244" t="str">
        <x:v>C0084</x:v>
      </x:c>
      <x:c r="D1244" t="str">
        <x:v>Green Cafe 84</x:v>
      </x:c>
      <x:c r="E1244" t="str">
        <x:v>Hotel</x:v>
      </x:c>
      <x:c r="F1244" t="str">
        <x:v>Mysuru</x:v>
      </x:c>
      <x:c r="G1244" t="str">
        <x:v>Priya</x:v>
      </x:c>
      <x:c r="H1244" t="str">
        <x:v>P045</x:v>
      </x:c>
      <x:c r="I1244" t="str">
        <x:v>Onion 25kg</x:v>
      </x:c>
      <x:c r="J1244" t="str">
        <x:v>Fresh Produce</x:v>
      </x:c>
      <x:c r="K1244" t="str">
        <x:v>Local Market</x:v>
      </x:c>
      <x:c r="L1244" s="22" t="n">
        <x:v>875</x:v>
      </x:c>
      <x:c r="M1244" t="n">
        <x:v>21</x:v>
      </x:c>
      <x:c r="N1244" s="24" t="n">
        <x:v>0.05</x:v>
      </x:c>
      <x:c r="O1244" s="22" t="n">
        <x:f>L1244*M1244</x:f>
        <x:v>18375</x:v>
      </x:c>
      <x:c r="P1244" s="22" t="n">
        <x:f>O1244*(1-N1244)</x:f>
        <x:v>17456.25</x:v>
      </x:c>
      <x:c r="Q1244" s="22" t="n">
        <x:v>760</x:v>
      </x:c>
      <x:c r="R1244" s="22" t="n">
        <x:f>Q1244*M1244</x:f>
        <x:v>15960</x:v>
      </x:c>
      <x:c r="S1244" s="22" t="n">
        <x:f>P1244-R1244</x:f>
        <x:v>1496.25</x:v>
      </x:c>
      <x:c r="T1244" t="str">
        <x:v>Credit</x:v>
      </x:c>
      <x:c r="U1244" t="str">
        <x:v>Pending</x:v>
      </x:c>
      <x:c r="V1244" t="str">
        <x:v>Delayed</x:v>
      </x:c>
      <x:c r="W1244" t="n">
        <x:v>0</x:v>
      </x:c>
      <x:c r="X1244" t="str"/>
      <x:c r="Y1244" t="str">
        <x:v>Field Visit</x:v>
      </x:c>
    </x:row>
    <x:row r="1245">
      <x:c r="A1245" t="str">
        <x:v>O001244</x:v>
      </x:c>
      <x:c r="B1245" s="20" t="n">
        <x:v>45857</x:v>
      </x:c>
      <x:c r="C1245" t="str">
        <x:v>C0085</x:v>
      </x:c>
      <x:c r="D1245" t="str">
        <x:v>Green Hotel 85</x:v>
      </x:c>
      <x:c r="E1245" t="str">
        <x:v>Kirana</x:v>
      </x:c>
      <x:c r="F1245" t="str">
        <x:v>Mysuru</x:v>
      </x:c>
      <x:c r="G1245" t="str">
        <x:v>Arjun</x:v>
      </x:c>
      <x:c r="H1245" t="str">
        <x:v>P045</x:v>
      </x:c>
      <x:c r="I1245" t="str">
        <x:v>Onion 25kg</x:v>
      </x:c>
      <x:c r="J1245" t="str">
        <x:v>Fresh Produce</x:v>
      </x:c>
      <x:c r="K1245" t="str">
        <x:v>Local Market</x:v>
      </x:c>
      <x:c r="L1245" s="22" t="n">
        <x:v>875</x:v>
      </x:c>
      <x:c r="M1245" t="n">
        <x:v>9</x:v>
      </x:c>
      <x:c r="N1245" s="24" t="n">
        <x:v>0.1</x:v>
      </x:c>
      <x:c r="O1245" s="22" t="n">
        <x:f>L1245*M1245</x:f>
        <x:v>7875</x:v>
      </x:c>
      <x:c r="P1245" s="22" t="n">
        <x:f>O1245*(1-N1245)</x:f>
        <x:v>7087.5</x:v>
      </x:c>
      <x:c r="Q1245" s="22" t="n">
        <x:v>760</x:v>
      </x:c>
      <x:c r="R1245" s="22" t="n">
        <x:f>Q1245*M1245</x:f>
        <x:v>6840</x:v>
      </x:c>
      <x:c r="S1245" s="22" t="n">
        <x:f>P1245-R1245</x:f>
        <x:v>247.5</x:v>
      </x:c>
      <x:c r="T1245" t="str">
        <x:v>Bank Transfer</x:v>
      </x:c>
      <x:c r="U1245" t="str">
        <x:v>Paid</x:v>
      </x:c>
      <x:c r="V1245" t="str">
        <x:v>Delayed</x:v>
      </x:c>
      <x:c r="W1245" t="n">
        <x:v>0</x:v>
      </x:c>
      <x:c r="X1245" t="str"/>
      <x:c r="Y1245" t="str">
        <x:v>Referral</x:v>
      </x:c>
    </x:row>
    <x:row r="1246">
      <x:c r="A1246" t="str">
        <x:v>O001245</x:v>
      </x:c>
      <x:c r="B1246" s="20" t="n">
        <x:v>46234</x:v>
      </x:c>
      <x:c r="C1246" t="str">
        <x:v>C0064</x:v>
      </x:c>
      <x:c r="D1246" t="str">
        <x:v>Hotel Restaurant 64</x:v>
      </x:c>
      <x:c r="E1246" t="str">
        <x:v>Cafe</x:v>
      </x:c>
      <x:c r="F1246" t="str">
        <x:v>Mangaluru</x:v>
      </x:c>
      <x:c r="G1246" t="str">
        <x:v>Imran</x:v>
      </x:c>
      <x:c r="H1246" t="str">
        <x:v>P032</x:v>
      </x:c>
      <x:c r="I1246" t="str">
        <x:v>Soy Sauce 700g</x:v>
      </x:c>
      <x:c r="J1246" t="str">
        <x:v>Condiments</x:v>
      </x:c>
      <x:c r="K1246" t="str">
        <x:v>Ching's</x:v>
      </x:c>
      <x:c r="L1246" s="22" t="n">
        <x:v>118</x:v>
      </x:c>
      <x:c r="M1246" t="n">
        <x:v>31</x:v>
      </x:c>
      <x:c r="N1246" s="24" t="n">
        <x:v>0.08</x:v>
      </x:c>
      <x:c r="O1246" s="22" t="n">
        <x:f>L1246*M1246</x:f>
        <x:v>3658</x:v>
      </x:c>
      <x:c r="P1246" s="22" t="n">
        <x:f>O1246*(1-N1246)</x:f>
        <x:v>3365.36</x:v>
      </x:c>
      <x:c r="Q1246" s="22" t="n">
        <x:v>101</x:v>
      </x:c>
      <x:c r="R1246" s="22" t="n">
        <x:f>Q1246*M1246</x:f>
        <x:v>3131</x:v>
      </x:c>
      <x:c r="S1246" s="22" t="n">
        <x:f>P1246-R1246</x:f>
        <x:v>234.36000000000013</x:v>
      </x:c>
      <x:c r="T1246" t="str">
        <x:v>Cash</x:v>
      </x:c>
      <x:c r="U1246" t="str">
        <x:v>Paid</x:v>
      </x:c>
      <x:c r="V1246" t="str">
        <x:v>Delivered</x:v>
      </x:c>
      <x:c r="W1246" t="n">
        <x:v>0</x:v>
      </x:c>
      <x:c r="X1246" t="str"/>
      <x:c r="Y1246" t="str">
        <x:v>Referral</x:v>
      </x:c>
    </x:row>
    <x:row r="1247">
      <x:c r="A1247" t="str">
        <x:v>O001246</x:v>
      </x:c>
      <x:c r="B1247" s="20" t="n">
        <x:v>46160</x:v>
      </x:c>
      <x:c r="C1247" t="str">
        <x:v>C0021</x:v>
      </x:c>
      <x:c r="D1247" t="str">
        <x:v>Namma Cafe 21</x:v>
      </x:c>
      <x:c r="E1247" t="str">
        <x:v>Canteen</x:v>
      </x:c>
      <x:c r="F1247" t="str">
        <x:v>Bengaluru</x:v>
      </x:c>
      <x:c r="G1247" t="str">
        <x:v>Kavya</x:v>
      </x:c>
      <x:c r="H1247" t="str">
        <x:v>P034</x:v>
      </x:c>
      <x:c r="I1247" t="str">
        <x:v>Chilli Powder 1kg</x:v>
      </x:c>
      <x:c r="J1247" t="str">
        <x:v>Spices</x:v>
      </x:c>
      <x:c r="K1247" t="str">
        <x:v>MDH</x:v>
      </x:c>
      <x:c r="L1247" s="22" t="n">
        <x:v>340</x:v>
      </x:c>
      <x:c r="M1247" t="n">
        <x:v>30</x:v>
      </x:c>
      <x:c r="N1247" s="24" t="n">
        <x:v>0.05</x:v>
      </x:c>
      <x:c r="O1247" s="22" t="n">
        <x:f>L1247*M1247</x:f>
        <x:v>10200</x:v>
      </x:c>
      <x:c r="P1247" s="22" t="n">
        <x:f>O1247*(1-N1247)</x:f>
        <x:v>9690</x:v>
      </x:c>
      <x:c r="Q1247" s="22" t="n">
        <x:v>295</x:v>
      </x:c>
      <x:c r="R1247" s="22" t="n">
        <x:f>Q1247*M1247</x:f>
        <x:v>8850</x:v>
      </x:c>
      <x:c r="S1247" s="22" t="n">
        <x:f>P1247-R1247</x:f>
        <x:v>840</x:v>
      </x:c>
      <x:c r="T1247" t="str">
        <x:v>Cash</x:v>
      </x:c>
      <x:c r="U1247" t="str">
        <x:v>Paid</x:v>
      </x:c>
      <x:c r="V1247" t="str">
        <x:v>Delivered</x:v>
      </x:c>
      <x:c r="W1247" t="n">
        <x:v>0</x:v>
      </x:c>
      <x:c r="X1247" t="str"/>
      <x:c r="Y1247" t="str">
        <x:v>Field Visit</x:v>
      </x:c>
    </x:row>
    <x:row r="1248">
      <x:c r="A1248" t="str">
        <x:v>O001247</x:v>
      </x:c>
      <x:c r="B1248" s="20" t="n">
        <x:v>45718</x:v>
      </x:c>
      <x:c r="C1248" t="str">
        <x:v>C0094</x:v>
      </x:c>
      <x:c r="D1248" t="str">
        <x:v>Mysore Mart 94</x:v>
      </x:c>
      <x:c r="E1248" t="str">
        <x:v>Restaurant</x:v>
      </x:c>
      <x:c r="F1248" t="str">
        <x:v>Hubballi</x:v>
      </x:c>
      <x:c r="G1248" t="str">
        <x:v>Sneha</x:v>
      </x:c>
      <x:c r="H1248" t="str">
        <x:v>P050</x:v>
      </x:c>
      <x:c r="I1248" t="str">
        <x:v>Lemon 5kg</x:v>
      </x:c>
      <x:c r="J1248" t="str">
        <x:v>Fresh Produce</x:v>
      </x:c>
      <x:c r="K1248" t="str">
        <x:v>Local Market</x:v>
      </x:c>
      <x:c r="L1248" s="22" t="n">
        <x:v>360</x:v>
      </x:c>
      <x:c r="M1248" t="n">
        <x:v>31</x:v>
      </x:c>
      <x:c r="N1248" s="24" t="n">
        <x:v>0</x:v>
      </x:c>
      <x:c r="O1248" s="22" t="n">
        <x:f>L1248*M1248</x:f>
        <x:v>11160</x:v>
      </x:c>
      <x:c r="P1248" s="22" t="n">
        <x:f>O1248*(1-N1248)</x:f>
        <x:v>11160</x:v>
      </x:c>
      <x:c r="Q1248" s="22" t="n">
        <x:v>300</x:v>
      </x:c>
      <x:c r="R1248" s="22" t="n">
        <x:f>Q1248*M1248</x:f>
        <x:v>9300</x:v>
      </x:c>
      <x:c r="S1248" s="22" t="n">
        <x:f>P1248-R1248</x:f>
        <x:v>1860</x:v>
      </x:c>
      <x:c r="T1248" t="str">
        <x:v>UPI</x:v>
      </x:c>
      <x:c r="U1248" t="str">
        <x:v>Paid</x:v>
      </x:c>
      <x:c r="V1248" t="str">
        <x:v>Delayed</x:v>
      </x:c>
      <x:c r="W1248" t="n">
        <x:v>0</x:v>
      </x:c>
      <x:c r="X1248" t="str"/>
      <x:c r="Y1248" t="str">
        <x:v>WhatsApp</x:v>
      </x:c>
    </x:row>
    <x:row r="1249">
      <x:c r="A1249" t="str">
        <x:v>O001248</x:v>
      </x:c>
      <x:c r="B1249" s="20" t="n">
        <x:v>45985</x:v>
      </x:c>
      <x:c r="C1249" t="str">
        <x:v>C0201</x:v>
      </x:c>
      <x:c r="D1249" t="str">
        <x:v>Metro Hotel 201</x:v>
      </x:c>
      <x:c r="E1249" t="str">
        <x:v>Kirana</x:v>
      </x:c>
      <x:c r="F1249" t="str">
        <x:v>Mysuru</x:v>
      </x:c>
      <x:c r="G1249" t="str">
        <x:v>Imran</x:v>
      </x:c>
      <x:c r="H1249" t="str">
        <x:v>P018</x:v>
      </x:c>
      <x:c r="I1249" t="str">
        <x:v>Paneer 1kg</x:v>
      </x:c>
      <x:c r="J1249" t="str">
        <x:v>Dairy</x:v>
      </x:c>
      <x:c r="K1249" t="str">
        <x:v>Milky Mist</x:v>
      </x:c>
      <x:c r="L1249" s="22" t="n">
        <x:v>410</x:v>
      </x:c>
      <x:c r="M1249" t="n">
        <x:v>32</x:v>
      </x:c>
      <x:c r="N1249" s="24" t="n">
        <x:v>0.1</x:v>
      </x:c>
      <x:c r="O1249" s="22" t="n">
        <x:f>L1249*M1249</x:f>
        <x:v>13120</x:v>
      </x:c>
      <x:c r="P1249" s="22" t="n">
        <x:f>O1249*(1-N1249)</x:f>
        <x:v>11808</x:v>
      </x:c>
      <x:c r="Q1249" s="22" t="n">
        <x:v>370</x:v>
      </x:c>
      <x:c r="R1249" s="22" t="n">
        <x:f>Q1249*M1249</x:f>
        <x:v>11840</x:v>
      </x:c>
      <x:c r="S1249" s="22" t="n">
        <x:f>P1249-R1249</x:f>
        <x:v>-32</x:v>
      </x:c>
      <x:c r="T1249" t="str">
        <x:v>Bank Transfer</x:v>
      </x:c>
      <x:c r="U1249" t="str">
        <x:v>Pending</x:v>
      </x:c>
      <x:c r="V1249" t="str">
        <x:v>Cancelled</x:v>
      </x:c>
      <x:c r="W1249" t="n">
        <x:v>32</x:v>
      </x:c>
      <x:c r="X1249" t="str">
        <x:v>Cancelled Order</x:v>
      </x:c>
      <x:c r="Y1249" t="str">
        <x:v>Referral</x:v>
      </x:c>
    </x:row>
    <x:row r="1250">
      <x:c r="A1250" t="str">
        <x:v>O001249</x:v>
      </x:c>
      <x:c r="B1250" s="20" t="n">
        <x:v>45781</x:v>
      </x:c>
      <x:c r="C1250" t="str">
        <x:v>C0153</x:v>
      </x:c>
      <x:c r="D1250" t="str">
        <x:v>Fresh Foods 153</x:v>
      </x:c>
      <x:c r="E1250" t="str">
        <x:v>Kirana</x:v>
      </x:c>
      <x:c r="F1250" t="str">
        <x:v>Bengaluru</x:v>
      </x:c>
      <x:c r="G1250" t="str">
        <x:v>Priya</x:v>
      </x:c>
      <x:c r="H1250" t="str">
        <x:v>P039</x:v>
      </x:c>
      <x:c r="I1250" t="str">
        <x:v>Ice Cream 4L</x:v>
      </x:c>
      <x:c r="J1250" t="str">
        <x:v>Frozen</x:v>
      </x:c>
      <x:c r="K1250" t="str">
        <x:v>Amul</x:v>
      </x:c>
      <x:c r="L1250" s="22" t="n">
        <x:v>480</x:v>
      </x:c>
      <x:c r="M1250" t="n">
        <x:v>19</x:v>
      </x:c>
      <x:c r="N1250" s="24" t="n">
        <x:v>0.05</x:v>
      </x:c>
      <x:c r="O1250" s="22" t="n">
        <x:f>L1250*M1250</x:f>
        <x:v>9120</x:v>
      </x:c>
      <x:c r="P1250" s="22" t="n">
        <x:f>O1250*(1-N1250)</x:f>
        <x:v>8664</x:v>
      </x:c>
      <x:c r="Q1250" s="22" t="n">
        <x:v>420</x:v>
      </x:c>
      <x:c r="R1250" s="22" t="n">
        <x:f>Q1250*M1250</x:f>
        <x:v>7980</x:v>
      </x:c>
      <x:c r="S1250" s="22" t="n">
        <x:f>P1250-R1250</x:f>
        <x:v>684</x:v>
      </x:c>
      <x:c r="T1250" t="str">
        <x:v>Bank Transfer</x:v>
      </x:c>
      <x:c r="U1250" t="str">
        <x:v>Paid</x:v>
      </x:c>
      <x:c r="V1250" t="str">
        <x:v>Delayed</x:v>
      </x:c>
      <x:c r="W1250" t="n">
        <x:v>0</x:v>
      </x:c>
      <x:c r="X1250" t="str"/>
      <x:c r="Y1250" t="str">
        <x:v>Field Visit</x:v>
      </x:c>
    </x:row>
    <x:row r="1251">
      <x:c r="A1251" t="str">
        <x:v>O001250</x:v>
      </x:c>
      <x:c r="B1251" s="20" t="n">
        <x:v>45669</x:v>
      </x:c>
      <x:c r="C1251" t="str">
        <x:v>C0097</x:v>
      </x:c>
      <x:c r="D1251" t="str">
        <x:v>Classic Stores 97</x:v>
      </x:c>
      <x:c r="E1251" t="str">
        <x:v>Restaurant</x:v>
      </x:c>
      <x:c r="F1251" t="str">
        <x:v>Davanagere</x:v>
      </x:c>
      <x:c r="G1251" t="str">
        <x:v>Priya</x:v>
      </x:c>
      <x:c r="H1251" t="str">
        <x:v>P028</x:v>
      </x:c>
      <x:c r="I1251" t="str">
        <x:v>Cookies 200g</x:v>
      </x:c>
      <x:c r="J1251" t="str">
        <x:v>Snacks</x:v>
      </x:c>
      <x:c r="K1251" t="str">
        <x:v>Britannia</x:v>
      </x:c>
      <x:c r="L1251" s="22" t="n">
        <x:v>55</x:v>
      </x:c>
      <x:c r="M1251" t="n">
        <x:v>20</x:v>
      </x:c>
      <x:c r="N1251" s="24" t="n">
        <x:v>0.02</x:v>
      </x:c>
      <x:c r="O1251" s="22" t="n">
        <x:f>L1251*M1251</x:f>
        <x:v>1100</x:v>
      </x:c>
      <x:c r="P1251" s="22" t="n">
        <x:f>O1251*(1-N1251)</x:f>
        <x:v>1078</x:v>
      </x:c>
      <x:c r="Q1251" s="22" t="n">
        <x:v>42</x:v>
      </x:c>
      <x:c r="R1251" s="22" t="n">
        <x:f>Q1251*M1251</x:f>
        <x:v>840</x:v>
      </x:c>
      <x:c r="S1251" s="22" t="n">
        <x:f>P1251-R1251</x:f>
        <x:v>238</x:v>
      </x:c>
      <x:c r="T1251" t="str">
        <x:v>Bank Transfer</x:v>
      </x:c>
      <x:c r="U1251" t="str">
        <x:v>Paid</x:v>
      </x:c>
      <x:c r="V1251" t="str">
        <x:v>Delivered</x:v>
      </x:c>
      <x:c r="W1251" t="n">
        <x:v>0</x:v>
      </x:c>
      <x:c r="X1251" t="str"/>
      <x:c r="Y1251" t="str">
        <x:v>WhatsApp</x:v>
      </x:c>
    </x:row>
    <x:row r="1252">
      <x:c r="A1252" t="str">
        <x:v>O001251</x:v>
      </x:c>
      <x:c r="B1252" s="20" t="n">
        <x:v>45809</x:v>
      </x:c>
      <x:c r="C1252" t="str">
        <x:v>C0120</x:v>
      </x:c>
      <x:c r="D1252" t="str">
        <x:v>Foodie Foods 120</x:v>
      </x:c>
      <x:c r="E1252" t="str">
        <x:v>Hotel</x:v>
      </x:c>
      <x:c r="F1252" t="str">
        <x:v>Hubballi</x:v>
      </x:c>
      <x:c r="G1252" t="str">
        <x:v>Arjun</x:v>
      </x:c>
      <x:c r="H1252" t="str">
        <x:v>P050</x:v>
      </x:c>
      <x:c r="I1252" t="str">
        <x:v>Lemon 5kg</x:v>
      </x:c>
      <x:c r="J1252" t="str">
        <x:v>Fresh Produce</x:v>
      </x:c>
      <x:c r="K1252" t="str">
        <x:v>Local Market</x:v>
      </x:c>
      <x:c r="L1252" s="22" t="n">
        <x:v>360</x:v>
      </x:c>
      <x:c r="M1252" t="n">
        <x:v>29</x:v>
      </x:c>
      <x:c r="N1252" s="24" t="n">
        <x:v>0.05</x:v>
      </x:c>
      <x:c r="O1252" s="22" t="n">
        <x:f>L1252*M1252</x:f>
        <x:v>10440</x:v>
      </x:c>
      <x:c r="P1252" s="22" t="n">
        <x:f>O1252*(1-N1252)</x:f>
        <x:v>9918</x:v>
      </x:c>
      <x:c r="Q1252" s="22" t="n">
        <x:v>300</x:v>
      </x:c>
      <x:c r="R1252" s="22" t="n">
        <x:f>Q1252*M1252</x:f>
        <x:v>8700</x:v>
      </x:c>
      <x:c r="S1252" s="22" t="n">
        <x:f>P1252-R1252</x:f>
        <x:v>1218</x:v>
      </x:c>
      <x:c r="T1252" t="str">
        <x:v>Bank Transfer</x:v>
      </x:c>
      <x:c r="U1252" t="str">
        <x:v>Paid</x:v>
      </x:c>
      <x:c r="V1252" t="str">
        <x:v>Delivered</x:v>
      </x:c>
      <x:c r="W1252" t="n">
        <x:v>0</x:v>
      </x:c>
      <x:c r="X1252" t="str"/>
      <x:c r="Y1252" t="str">
        <x:v>Field Visit</x:v>
      </x:c>
    </x:row>
    <x:row r="1253">
      <x:c r="A1253" t="str">
        <x:v>O001252</x:v>
      </x:c>
      <x:c r="B1253" s="20" t="n">
        <x:v>46279</x:v>
      </x:c>
      <x:c r="C1253" t="str">
        <x:v>C0051</x:v>
      </x:c>
      <x:c r="D1253" t="str">
        <x:v>Cafe Hotel 51</x:v>
      </x:c>
      <x:c r="E1253" t="str">
        <x:v>Kirana</x:v>
      </x:c>
      <x:c r="F1253" t="str">
        <x:v>Tumakuru</x:v>
      </x:c>
      <x:c r="G1253" t="str">
        <x:v>Arjun</x:v>
      </x:c>
      <x:c r="H1253" t="str">
        <x:v>P046</x:v>
      </x:c>
      <x:c r="I1253" t="str">
        <x:v>Potato 25kg</x:v>
      </x:c>
      <x:c r="J1253" t="str">
        <x:v>Fresh Produce</x:v>
      </x:c>
      <x:c r="K1253" t="str">
        <x:v>Local Market</x:v>
      </x:c>
      <x:c r="L1253" s="22" t="n">
        <x:v>700</x:v>
      </x:c>
      <x:c r="M1253" t="n">
        <x:v>30</x:v>
      </x:c>
      <x:c r="N1253" s="24" t="n">
        <x:v>0.02</x:v>
      </x:c>
      <x:c r="O1253" s="22" t="n">
        <x:f>L1253*M1253</x:f>
        <x:v>21000</x:v>
      </x:c>
      <x:c r="P1253" s="22" t="n">
        <x:f>O1253*(1-N1253)</x:f>
        <x:v>20580</x:v>
      </x:c>
      <x:c r="Q1253" s="22" t="n">
        <x:v>610</x:v>
      </x:c>
      <x:c r="R1253" s="22" t="n">
        <x:f>Q1253*M1253</x:f>
        <x:v>18300</x:v>
      </x:c>
      <x:c r="S1253" s="22" t="n">
        <x:f>P1253-R1253</x:f>
        <x:v>2280</x:v>
      </x:c>
      <x:c r="T1253" t="str">
        <x:v>Bank Transfer</x:v>
      </x:c>
      <x:c r="U1253" t="str">
        <x:v>Paid</x:v>
      </x:c>
      <x:c r="V1253" t="str">
        <x:v>Delivered</x:v>
      </x:c>
      <x:c r="W1253" t="n">
        <x:v>0</x:v>
      </x:c>
      <x:c r="X1253" t="str"/>
      <x:c r="Y1253" t="str">
        <x:v>Field Visit</x:v>
      </x:c>
    </x:row>
    <x:row r="1254">
      <x:c r="A1254" t="str">
        <x:v>O001253</x:v>
      </x:c>
      <x:c r="B1254" s="20" t="n">
        <x:v>45980</x:v>
      </x:c>
      <x:c r="C1254" t="str">
        <x:v>C0095</x:v>
      </x:c>
      <x:c r="D1254" t="str">
        <x:v>Spice Restaurant 95</x:v>
      </x:c>
      <x:c r="E1254" t="str">
        <x:v>Restaurant</x:v>
      </x:c>
      <x:c r="F1254" t="str">
        <x:v>Bengaluru</x:v>
      </x:c>
      <x:c r="G1254" t="str">
        <x:v>Megha</x:v>
      </x:c>
      <x:c r="H1254" t="str">
        <x:v>P010</x:v>
      </x:c>
      <x:c r="I1254" t="str">
        <x:v>Sugar 25kg</x:v>
      </x:c>
      <x:c r="J1254" t="str">
        <x:v>Staples</x:v>
      </x:c>
      <x:c r="K1254" t="str">
        <x:v>Madhur</x:v>
      </x:c>
      <x:c r="L1254" s="22" t="n">
        <x:v>1190</x:v>
      </x:c>
      <x:c r="M1254" t="n">
        <x:v>9</x:v>
      </x:c>
      <x:c r="N1254" s="24" t="n">
        <x:v>0</x:v>
      </x:c>
      <x:c r="O1254" s="22" t="n">
        <x:f>L1254*M1254</x:f>
        <x:v>10710</x:v>
      </x:c>
      <x:c r="P1254" s="22" t="n">
        <x:f>O1254*(1-N1254)</x:f>
        <x:v>10710</x:v>
      </x:c>
      <x:c r="Q1254" s="22" t="n">
        <x:v>1080</x:v>
      </x:c>
      <x:c r="R1254" s="22" t="n">
        <x:f>Q1254*M1254</x:f>
        <x:v>9720</x:v>
      </x:c>
      <x:c r="S1254" s="22" t="n">
        <x:f>P1254-R1254</x:f>
        <x:v>990</x:v>
      </x:c>
      <x:c r="T1254" t="str">
        <x:v>Credit</x:v>
      </x:c>
      <x:c r="U1254" t="str">
        <x:v>Paid</x:v>
      </x:c>
      <x:c r="V1254" t="str">
        <x:v>Delivered</x:v>
      </x:c>
      <x:c r="W1254" t="n">
        <x:v>0</x:v>
      </x:c>
      <x:c r="X1254" t="str"/>
      <x:c r="Y1254" t="str">
        <x:v>Existing Customer</x:v>
      </x:c>
    </x:row>
    <x:row r="1255">
      <x:c r="A1255" t="str">
        <x:v>O001254</x:v>
      </x:c>
      <x:c r="B1255" s="20" t="n">
        <x:v>45947</x:v>
      </x:c>
      <x:c r="C1255" t="str">
        <x:v>C0009</x:v>
      </x:c>
      <x:c r="D1255" t="str">
        <x:v>Darshini Hotel 9</x:v>
      </x:c>
      <x:c r="E1255" t="str">
        <x:v>Cafe</x:v>
      </x:c>
      <x:c r="F1255" t="str">
        <x:v>Hubballi</x:v>
      </x:c>
      <x:c r="G1255" t="str">
        <x:v>Imran</x:v>
      </x:c>
      <x:c r="H1255" t="str">
        <x:v>P042</x:v>
      </x:c>
      <x:c r="I1255" t="str">
        <x:v>Eggs 30pc Tray</x:v>
      </x:c>
      <x:c r="J1255" t="str">
        <x:v>Protein</x:v>
      </x:c>
      <x:c r="K1255" t="str">
        <x:v>Farm Fresh</x:v>
      </x:c>
      <x:c r="L1255" s="22" t="n">
        <x:v>195</x:v>
      </x:c>
      <x:c r="M1255" t="n">
        <x:v>21</x:v>
      </x:c>
      <x:c r="N1255" s="24" t="n">
        <x:v>0.03</x:v>
      </x:c>
      <x:c r="O1255" s="22" t="n">
        <x:f>L1255*M1255</x:f>
        <x:v>4095</x:v>
      </x:c>
      <x:c r="P1255" s="22" t="n">
        <x:f>O1255*(1-N1255)</x:f>
        <x:v>3972.15</x:v>
      </x:c>
      <x:c r="Q1255" s="22" t="n">
        <x:v>170</x:v>
      </x:c>
      <x:c r="R1255" s="22" t="n">
        <x:f>Q1255*M1255</x:f>
        <x:v>3570</x:v>
      </x:c>
      <x:c r="S1255" s="22" t="n">
        <x:f>P1255-R1255</x:f>
        <x:v>402.1500000000001</x:v>
      </x:c>
      <x:c r="T1255" t="str">
        <x:v>UPI</x:v>
      </x:c>
      <x:c r="U1255" t="str">
        <x:v>Pending</x:v>
      </x:c>
      <x:c r="V1255" t="str">
        <x:v>Delivered</x:v>
      </x:c>
      <x:c r="W1255" t="n">
        <x:v>0</x:v>
      </x:c>
      <x:c r="X1255" t="str"/>
      <x:c r="Y1255" t="str">
        <x:v>Referral</x:v>
      </x:c>
    </x:row>
    <x:row r="1256">
      <x:c r="A1256" t="str">
        <x:v>O001255</x:v>
      </x:c>
      <x:c r="B1256" s="20" t="n">
        <x:v>45801</x:v>
      </x:c>
      <x:c r="C1256" t="str">
        <x:v>C0238</x:v>
      </x:c>
      <x:c r="D1256" t="str">
        <x:v>Foodie Foods 238</x:v>
      </x:c>
      <x:c r="E1256" t="str">
        <x:v>Restaurant</x:v>
      </x:c>
      <x:c r="F1256" t="str">
        <x:v>Davanagere</x:v>
      </x:c>
      <x:c r="G1256" t="str">
        <x:v>Megha</x:v>
      </x:c>
      <x:c r="H1256" t="str">
        <x:v>P005</x:v>
      </x:c>
      <x:c r="I1256" t="str">
        <x:v>Chana Dal 5kg</x:v>
      </x:c>
      <x:c r="J1256" t="str">
        <x:v>Pulses</x:v>
      </x:c>
      <x:c r="K1256" t="str">
        <x:v>Local Select</x:v>
      </x:c>
      <x:c r="L1256" s="22" t="n">
        <x:v>520</x:v>
      </x:c>
      <x:c r="M1256" t="n">
        <x:v>10</x:v>
      </x:c>
      <x:c r="N1256" s="24" t="n">
        <x:v>0</x:v>
      </x:c>
      <x:c r="O1256" s="22" t="n">
        <x:f>L1256*M1256</x:f>
        <x:v>5200</x:v>
      </x:c>
      <x:c r="P1256" s="22" t="n">
        <x:f>O1256*(1-N1256)</x:f>
        <x:v>5200</x:v>
      </x:c>
      <x:c r="Q1256" s="22" t="n">
        <x:v>455</x:v>
      </x:c>
      <x:c r="R1256" s="22" t="n">
        <x:f>Q1256*M1256</x:f>
        <x:v>4550</x:v>
      </x:c>
      <x:c r="S1256" s="22" t="n">
        <x:f>P1256-R1256</x:f>
        <x:v>650</x:v>
      </x:c>
      <x:c r="T1256" t="str">
        <x:v>Bank Transfer</x:v>
      </x:c>
      <x:c r="U1256" t="str">
        <x:v>Overdue</x:v>
      </x:c>
      <x:c r="V1256" t="str">
        <x:v>Delivered</x:v>
      </x:c>
      <x:c r="W1256" t="n">
        <x:v>0</x:v>
      </x:c>
      <x:c r="X1256" t="str"/>
      <x:c r="Y1256" t="str">
        <x:v>Field Visit</x:v>
      </x:c>
    </x:row>
    <x:row r="1257">
      <x:c r="A1257" t="str">
        <x:v>O001256</x:v>
      </x:c>
      <x:c r="B1257" s="20" t="n">
        <x:v>46080</x:v>
      </x:c>
      <x:c r="C1257" t="str">
        <x:v>C0087</x:v>
      </x:c>
      <x:c r="D1257" t="str">
        <x:v>Namma Kitchen 87</x:v>
      </x:c>
      <x:c r="E1257" t="str">
        <x:v>Kirana</x:v>
      </x:c>
      <x:c r="F1257" t="str">
        <x:v>Bengaluru</x:v>
      </x:c>
      <x:c r="G1257" t="str">
        <x:v>Priya</x:v>
      </x:c>
      <x:c r="H1257" t="str">
        <x:v>P006</x:v>
      </x:c>
      <x:c r="I1257" t="str">
        <x:v>Moong Dal 5kg</x:v>
      </x:c>
      <x:c r="J1257" t="str">
        <x:v>Pulses</x:v>
      </x:c>
      <x:c r="K1257" t="str">
        <x:v>Local Select</x:v>
      </x:c>
      <x:c r="L1257" s="22" t="n">
        <x:v>610</x:v>
      </x:c>
      <x:c r="M1257" t="n">
        <x:v>22</x:v>
      </x:c>
      <x:c r="N1257" s="24" t="n">
        <x:v>0.05</x:v>
      </x:c>
      <x:c r="O1257" s="22" t="n">
        <x:f>L1257*M1257</x:f>
        <x:v>13420</x:v>
      </x:c>
      <x:c r="P1257" s="22" t="n">
        <x:f>O1257*(1-N1257)</x:f>
        <x:v>12749</x:v>
      </x:c>
      <x:c r="Q1257" s="22" t="n">
        <x:v>540</x:v>
      </x:c>
      <x:c r="R1257" s="22" t="n">
        <x:f>Q1257*M1257</x:f>
        <x:v>11880</x:v>
      </x:c>
      <x:c r="S1257" s="22" t="n">
        <x:f>P1257-R1257</x:f>
        <x:v>869</x:v>
      </x:c>
      <x:c r="T1257" t="str">
        <x:v>Credit</x:v>
      </x:c>
      <x:c r="U1257" t="str">
        <x:v>Paid</x:v>
      </x:c>
      <x:c r="V1257" t="str">
        <x:v>Delivered</x:v>
      </x:c>
      <x:c r="W1257" t="n">
        <x:v>0</x:v>
      </x:c>
      <x:c r="X1257" t="str"/>
      <x:c r="Y1257" t="str">
        <x:v>WhatsApp</x:v>
      </x:c>
    </x:row>
    <x:row r="1258">
      <x:c r="A1258" t="str">
        <x:v>O001257</x:v>
      </x:c>
      <x:c r="B1258" s="20" t="n">
        <x:v>45870</x:v>
      </x:c>
      <x:c r="C1258" t="str">
        <x:v>C0141</x:v>
      </x:c>
      <x:c r="D1258" t="str">
        <x:v>Sri Restaurant 141</x:v>
      </x:c>
      <x:c r="E1258" t="str">
        <x:v>Restaurant</x:v>
      </x:c>
      <x:c r="F1258" t="str">
        <x:v>Mangaluru</x:v>
      </x:c>
      <x:c r="G1258" t="str">
        <x:v>Ramesh</x:v>
      </x:c>
      <x:c r="H1258" t="str">
        <x:v>P006</x:v>
      </x:c>
      <x:c r="I1258" t="str">
        <x:v>Moong Dal 5kg</x:v>
      </x:c>
      <x:c r="J1258" t="str">
        <x:v>Pulses</x:v>
      </x:c>
      <x:c r="K1258" t="str">
        <x:v>Local Select</x:v>
      </x:c>
      <x:c r="L1258" s="22" t="n">
        <x:v>610</x:v>
      </x:c>
      <x:c r="M1258" t="n">
        <x:v>29</x:v>
      </x:c>
      <x:c r="N1258" s="24" t="n">
        <x:v>0</x:v>
      </x:c>
      <x:c r="O1258" s="22" t="n">
        <x:f>L1258*M1258</x:f>
        <x:v>17690</x:v>
      </x:c>
      <x:c r="P1258" s="22" t="n">
        <x:f>O1258*(1-N1258)</x:f>
        <x:v>17690</x:v>
      </x:c>
      <x:c r="Q1258" s="22" t="n">
        <x:v>540</x:v>
      </x:c>
      <x:c r="R1258" s="22" t="n">
        <x:f>Q1258*M1258</x:f>
        <x:v>15660</x:v>
      </x:c>
      <x:c r="S1258" s="22" t="n">
        <x:f>P1258-R1258</x:f>
        <x:v>2030</x:v>
      </x:c>
      <x:c r="T1258" t="str">
        <x:v>Cash</x:v>
      </x:c>
      <x:c r="U1258" t="str">
        <x:v>Paid</x:v>
      </x:c>
      <x:c r="V1258" t="str">
        <x:v>Delivered</x:v>
      </x:c>
      <x:c r="W1258" t="n">
        <x:v>0</x:v>
      </x:c>
      <x:c r="X1258" t="str"/>
      <x:c r="Y1258" t="str">
        <x:v>Existing Customer</x:v>
      </x:c>
    </x:row>
    <x:row r="1259">
      <x:c r="A1259" t="str">
        <x:v>O001258</x:v>
      </x:c>
      <x:c r="B1259" s="20" t="n">
        <x:v>45888</x:v>
      </x:c>
      <x:c r="C1259" t="str">
        <x:v>C0165</x:v>
      </x:c>
      <x:c r="D1259" t="str">
        <x:v>Royal Restaurant 165</x:v>
      </x:c>
      <x:c r="E1259" t="str">
        <x:v>Hotel</x:v>
      </x:c>
      <x:c r="F1259" t="str">
        <x:v>Tumakuru</x:v>
      </x:c>
      <x:c r="G1259" t="str">
        <x:v>Kavya</x:v>
      </x:c>
      <x:c r="H1259" t="str">
        <x:v>P045</x:v>
      </x:c>
      <x:c r="I1259" t="str">
        <x:v>Onion 25kg</x:v>
      </x:c>
      <x:c r="J1259" t="str">
        <x:v>Fresh Produce</x:v>
      </x:c>
      <x:c r="K1259" t="str">
        <x:v>Local Market</x:v>
      </x:c>
      <x:c r="L1259" s="22" t="n">
        <x:v>875</x:v>
      </x:c>
      <x:c r="M1259" t="n">
        <x:v>31</x:v>
      </x:c>
      <x:c r="N1259" s="24" t="n">
        <x:v>0</x:v>
      </x:c>
      <x:c r="O1259" s="22" t="n">
        <x:f>L1259*M1259</x:f>
        <x:v>27125</x:v>
      </x:c>
      <x:c r="P1259" s="22" t="n">
        <x:f>O1259*(1-N1259)</x:f>
        <x:v>27125</x:v>
      </x:c>
      <x:c r="Q1259" s="22" t="n">
        <x:v>760</x:v>
      </x:c>
      <x:c r="R1259" s="22" t="n">
        <x:f>Q1259*M1259</x:f>
        <x:v>23560</x:v>
      </x:c>
      <x:c r="S1259" s="22" t="n">
        <x:f>P1259-R1259</x:f>
        <x:v>3565</x:v>
      </x:c>
      <x:c r="T1259" t="str">
        <x:v>Bank Transfer</x:v>
      </x:c>
      <x:c r="U1259" t="str">
        <x:v>Pending</x:v>
      </x:c>
      <x:c r="V1259" t="str">
        <x:v>Delivered</x:v>
      </x:c>
      <x:c r="W1259" t="n">
        <x:v>0</x:v>
      </x:c>
      <x:c r="X1259" t="str"/>
      <x:c r="Y1259" t="str">
        <x:v>Referral</x:v>
      </x:c>
    </x:row>
    <x:row r="1260">
      <x:c r="A1260" t="str">
        <x:v>O001259</x:v>
      </x:c>
      <x:c r="B1260" s="20" t="n">
        <x:v>46063</x:v>
      </x:c>
      <x:c r="C1260" t="str">
        <x:v>C0083</x:v>
      </x:c>
      <x:c r="D1260" t="str">
        <x:v>Sri Cafe 83</x:v>
      </x:c>
      <x:c r="E1260" t="str">
        <x:v>Hotel</x:v>
      </x:c>
      <x:c r="F1260" t="str">
        <x:v>Davanagere</x:v>
      </x:c>
      <x:c r="G1260" t="str">
        <x:v>Ramesh</x:v>
      </x:c>
      <x:c r="H1260" t="str">
        <x:v>P025</x:v>
      </x:c>
      <x:c r="I1260" t="str">
        <x:v>Potato Chips 100g</x:v>
      </x:c>
      <x:c r="J1260" t="str">
        <x:v>Snacks</x:v>
      </x:c>
      <x:c r="K1260" t="str">
        <x:v>Lay's</x:v>
      </x:c>
      <x:c r="L1260" s="22" t="n">
        <x:v>35</x:v>
      </x:c>
      <x:c r="M1260" t="n">
        <x:v>2</x:v>
      </x:c>
      <x:c r="N1260" s="24" t="n">
        <x:v>0.03</x:v>
      </x:c>
      <x:c r="O1260" s="22" t="n">
        <x:f>L1260*M1260</x:f>
        <x:v>70</x:v>
      </x:c>
      <x:c r="P1260" s="22" t="n">
        <x:f>O1260*(1-N1260)</x:f>
        <x:v>67.89999999999999</x:v>
      </x:c>
      <x:c r="Q1260" s="22" t="n">
        <x:v>27</x:v>
      </x:c>
      <x:c r="R1260" s="22" t="n">
        <x:f>Q1260*M1260</x:f>
        <x:v>54</x:v>
      </x:c>
      <x:c r="S1260" s="22" t="n">
        <x:f>P1260-R1260</x:f>
        <x:v>13.899999999999991</x:v>
      </x:c>
      <x:c r="T1260" t="str">
        <x:v>Cash</x:v>
      </x:c>
      <x:c r="U1260" t="str">
        <x:v>Paid</x:v>
      </x:c>
      <x:c r="V1260" t="str">
        <x:v>Cancelled</x:v>
      </x:c>
      <x:c r="W1260" t="n">
        <x:v>2</x:v>
      </x:c>
      <x:c r="X1260" t="str">
        <x:v>Cancelled Order</x:v>
      </x:c>
      <x:c r="Y1260" t="str">
        <x:v>WhatsApp</x:v>
      </x:c>
    </x:row>
    <x:row r="1261">
      <x:c r="A1261" t="str">
        <x:v>O001260</x:v>
      </x:c>
      <x:c r="B1261" s="20" t="n">
        <x:v>46261</x:v>
      </x:c>
      <x:c r="C1261" t="str">
        <x:v>C0011</x:v>
      </x:c>
      <x:c r="D1261" t="str">
        <x:v>City Cafe 11</x:v>
      </x:c>
      <x:c r="E1261" t="str">
        <x:v>Restaurant</x:v>
      </x:c>
      <x:c r="F1261" t="str">
        <x:v>Mangaluru</x:v>
      </x:c>
      <x:c r="G1261" t="str">
        <x:v>Arjun</x:v>
      </x:c>
      <x:c r="H1261" t="str">
        <x:v>P013</x:v>
      </x:c>
      <x:c r="I1261" t="str">
        <x:v>Atta 10kg</x:v>
      </x:c>
      <x:c r="J1261" t="str">
        <x:v>Flour</x:v>
      </x:c>
      <x:c r="K1261" t="str">
        <x:v>Aashirvaad</x:v>
      </x:c>
      <x:c r="L1261" s="22" t="n">
        <x:v>560</x:v>
      </x:c>
      <x:c r="M1261" t="n">
        <x:v>3</x:v>
      </x:c>
      <x:c r="N1261" s="24" t="n">
        <x:v>0</x:v>
      </x:c>
      <x:c r="O1261" s="22" t="n">
        <x:f>L1261*M1261</x:f>
        <x:v>1680</x:v>
      </x:c>
      <x:c r="P1261" s="22" t="n">
        <x:f>O1261*(1-N1261)</x:f>
        <x:v>1680</x:v>
      </x:c>
      <x:c r="Q1261" s="22" t="n">
        <x:v>495</x:v>
      </x:c>
      <x:c r="R1261" s="22" t="n">
        <x:f>Q1261*M1261</x:f>
        <x:v>1485</x:v>
      </x:c>
      <x:c r="S1261" s="22" t="n">
        <x:f>P1261-R1261</x:f>
        <x:v>195</x:v>
      </x:c>
      <x:c r="T1261" t="str">
        <x:v>Credit</x:v>
      </x:c>
      <x:c r="U1261" t="str">
        <x:v>Paid</x:v>
      </x:c>
      <x:c r="V1261" t="str">
        <x:v>Cancelled</x:v>
      </x:c>
      <x:c r="W1261" t="n">
        <x:v>3</x:v>
      </x:c>
      <x:c r="X1261" t="str">
        <x:v>Cancelled Order</x:v>
      </x:c>
      <x:c r="Y1261" t="str">
        <x:v>Outbound Call</x:v>
      </x:c>
    </x:row>
    <x:row r="1262">
      <x:c r="A1262" t="str">
        <x:v>O001261</x:v>
      </x:c>
      <x:c r="B1262" s="20" t="n">
        <x:v>45826</x:v>
      </x:c>
      <x:c r="C1262" t="str">
        <x:v>C0095</x:v>
      </x:c>
      <x:c r="D1262" t="str">
        <x:v>Spice Restaurant 95</x:v>
      </x:c>
      <x:c r="E1262" t="str">
        <x:v>Restaurant</x:v>
      </x:c>
      <x:c r="F1262" t="str">
        <x:v>Bengaluru</x:v>
      </x:c>
      <x:c r="G1262" t="str">
        <x:v>Megha</x:v>
      </x:c>
      <x:c r="H1262" t="str">
        <x:v>P033</x:v>
      </x:c>
      <x:c r="I1262" t="str">
        <x:v>Turmeric Powder 1kg</x:v>
      </x:c>
      <x:c r="J1262" t="str">
        <x:v>Spices</x:v>
      </x:c>
      <x:c r="K1262" t="str">
        <x:v>Everest</x:v>
      </x:c>
      <x:c r="L1262" s="22" t="n">
        <x:v>310</x:v>
      </x:c>
      <x:c r="M1262" t="n">
        <x:v>26</x:v>
      </x:c>
      <x:c r="N1262" s="24" t="n">
        <x:v>0</x:v>
      </x:c>
      <x:c r="O1262" s="22" t="n">
        <x:f>L1262*M1262</x:f>
        <x:v>8060</x:v>
      </x:c>
      <x:c r="P1262" s="22" t="n">
        <x:f>O1262*(1-N1262)</x:f>
        <x:v>8060</x:v>
      </x:c>
      <x:c r="Q1262" s="22" t="n">
        <x:v>270</x:v>
      </x:c>
      <x:c r="R1262" s="22" t="n">
        <x:f>Q1262*M1262</x:f>
        <x:v>7020</x:v>
      </x:c>
      <x:c r="S1262" s="22" t="n">
        <x:f>P1262-R1262</x:f>
        <x:v>1040</x:v>
      </x:c>
      <x:c r="T1262" t="str">
        <x:v>UPI</x:v>
      </x:c>
      <x:c r="U1262" t="str">
        <x:v>Pending</x:v>
      </x:c>
      <x:c r="V1262" t="str">
        <x:v>Cancelled</x:v>
      </x:c>
      <x:c r="W1262" t="n">
        <x:v>26</x:v>
      </x:c>
      <x:c r="X1262" t="str">
        <x:v>Cancelled Order</x:v>
      </x:c>
      <x:c r="Y1262" t="str">
        <x:v>Existing Customer</x:v>
      </x:c>
    </x:row>
    <x:row r="1263">
      <x:c r="A1263" t="str">
        <x:v>O001262</x:v>
      </x:c>
      <x:c r="B1263" s="20" t="n">
        <x:v>46181</x:v>
      </x:c>
      <x:c r="C1263" t="str">
        <x:v>C0143</x:v>
      </x:c>
      <x:c r="D1263" t="str">
        <x:v>Foodie Restaurant 143</x:v>
      </x:c>
      <x:c r="E1263" t="str">
        <x:v>Restaurant</x:v>
      </x:c>
      <x:c r="F1263" t="str">
        <x:v>Hubballi</x:v>
      </x:c>
      <x:c r="G1263" t="str">
        <x:v>Priya</x:v>
      </x:c>
      <x:c r="H1263" t="str">
        <x:v>P024</x:v>
      </x:c>
      <x:c r="I1263" t="str">
        <x:v>Orange Drink 1L</x:v>
      </x:c>
      <x:c r="J1263" t="str">
        <x:v>Beverage</x:v>
      </x:c>
      <x:c r="K1263" t="str">
        <x:v>Minute Maid</x:v>
      </x:c>
      <x:c r="L1263" s="22" t="n">
        <x:v>105</x:v>
      </x:c>
      <x:c r="M1263" t="n">
        <x:v>25</x:v>
      </x:c>
      <x:c r="N1263" s="24" t="n">
        <x:v>0</x:v>
      </x:c>
      <x:c r="O1263" s="22" t="n">
        <x:f>L1263*M1263</x:f>
        <x:v>2625</x:v>
      </x:c>
      <x:c r="P1263" s="22" t="n">
        <x:f>O1263*(1-N1263)</x:f>
        <x:v>2625</x:v>
      </x:c>
      <x:c r="Q1263" s="22" t="n">
        <x:v>88</x:v>
      </x:c>
      <x:c r="R1263" s="22" t="n">
        <x:f>Q1263*M1263</x:f>
        <x:v>2200</x:v>
      </x:c>
      <x:c r="S1263" s="22" t="n">
        <x:f>P1263-R1263</x:f>
        <x:v>425</x:v>
      </x:c>
      <x:c r="T1263" t="str">
        <x:v>Bank Transfer</x:v>
      </x:c>
      <x:c r="U1263" t="str">
        <x:v>Pending</x:v>
      </x:c>
      <x:c r="V1263" t="str">
        <x:v>Delivered</x:v>
      </x:c>
      <x:c r="W1263" t="n">
        <x:v>0</x:v>
      </x:c>
      <x:c r="X1263" t="str"/>
      <x:c r="Y1263" t="str">
        <x:v>Field Visit</x:v>
      </x:c>
    </x:row>
    <x:row r="1264">
      <x:c r="A1264" t="str">
        <x:v>O001263</x:v>
      </x:c>
      <x:c r="B1264" s="20" t="n">
        <x:v>45950</x:v>
      </x:c>
      <x:c r="C1264" t="str">
        <x:v>C0101</x:v>
      </x:c>
      <x:c r="D1264" t="str">
        <x:v>Namma Cafe 101</x:v>
      </x:c>
      <x:c r="E1264" t="str">
        <x:v>Supermarket</x:v>
      </x:c>
      <x:c r="F1264" t="str">
        <x:v>Bengaluru</x:v>
      </x:c>
      <x:c r="G1264" t="str">
        <x:v>Arjun</x:v>
      </x:c>
      <x:c r="H1264" t="str">
        <x:v>P008</x:v>
      </x:c>
      <x:c r="I1264" t="str">
        <x:v>Palm Oil 15L</x:v>
      </x:c>
      <x:c r="J1264" t="str">
        <x:v>Edible Oil</x:v>
      </x:c>
      <x:c r="K1264" t="str">
        <x:v>Ruchi Gold</x:v>
      </x:c>
      <x:c r="L1264" s="22" t="n">
        <x:v>1760</x:v>
      </x:c>
      <x:c r="M1264" t="n">
        <x:v>1</x:v>
      </x:c>
      <x:c r="N1264" s="24" t="n">
        <x:v>0.03</x:v>
      </x:c>
      <x:c r="O1264" s="22" t="n">
        <x:f>L1264*M1264</x:f>
        <x:v>1760</x:v>
      </x:c>
      <x:c r="P1264" s="22" t="n">
        <x:f>O1264*(1-N1264)</x:f>
        <x:v>1707.2</x:v>
      </x:c>
      <x:c r="Q1264" s="22" t="n">
        <x:v>1610</x:v>
      </x:c>
      <x:c r="R1264" s="22" t="n">
        <x:f>Q1264*M1264</x:f>
        <x:v>1610</x:v>
      </x:c>
      <x:c r="S1264" s="22" t="n">
        <x:f>P1264-R1264</x:f>
        <x:v>97.20000000000005</x:v>
      </x:c>
      <x:c r="T1264" t="str">
        <x:v>Credit</x:v>
      </x:c>
      <x:c r="U1264" t="str">
        <x:v>Paid</x:v>
      </x:c>
      <x:c r="V1264" t="str">
        <x:v>Delivered</x:v>
      </x:c>
      <x:c r="W1264" t="n">
        <x:v>1</x:v>
      </x:c>
      <x:c r="X1264" t="str">
        <x:v>Wrong Item</x:v>
      </x:c>
      <x:c r="Y1264" t="str">
        <x:v>Referral</x:v>
      </x:c>
    </x:row>
    <x:row r="1265">
      <x:c r="A1265" t="str">
        <x:v>O001264</x:v>
      </x:c>
      <x:c r="B1265" s="20" t="n">
        <x:v>45963</x:v>
      </x:c>
      <x:c r="C1265" t="str">
        <x:v>C0189</x:v>
      </x:c>
      <x:c r="D1265" t="str">
        <x:v>Classic Canteen 189</x:v>
      </x:c>
      <x:c r="E1265" t="str">
        <x:v>Kirana</x:v>
      </x:c>
      <x:c r="F1265" t="str">
        <x:v>Hubballi</x:v>
      </x:c>
      <x:c r="G1265" t="str">
        <x:v>Vikram</x:v>
      </x:c>
      <x:c r="H1265" t="str">
        <x:v>P048</x:v>
      </x:c>
      <x:c r="I1265" t="str">
        <x:v>Banana 10kg</x:v>
      </x:c>
      <x:c r="J1265" t="str">
        <x:v>Fresh Produce</x:v>
      </x:c>
      <x:c r="K1265" t="str">
        <x:v>Local Market</x:v>
      </x:c>
      <x:c r="L1265" s="22" t="n">
        <x:v>420</x:v>
      </x:c>
      <x:c r="M1265" t="n">
        <x:v>14</x:v>
      </x:c>
      <x:c r="N1265" s="24" t="n">
        <x:v>0.08</x:v>
      </x:c>
      <x:c r="O1265" s="22" t="n">
        <x:f>L1265*M1265</x:f>
        <x:v>5880</x:v>
      </x:c>
      <x:c r="P1265" s="22" t="n">
        <x:f>O1265*(1-N1265)</x:f>
        <x:v>5409.6</x:v>
      </x:c>
      <x:c r="Q1265" s="22" t="n">
        <x:v>350</x:v>
      </x:c>
      <x:c r="R1265" s="22" t="n">
        <x:f>Q1265*M1265</x:f>
        <x:v>4900</x:v>
      </x:c>
      <x:c r="S1265" s="22" t="n">
        <x:f>P1265-R1265</x:f>
        <x:v>509.60000000000036</x:v>
      </x:c>
      <x:c r="T1265" t="str">
        <x:v>Cash</x:v>
      </x:c>
      <x:c r="U1265" t="str">
        <x:v>Paid</x:v>
      </x:c>
      <x:c r="V1265" t="str">
        <x:v>Delivered</x:v>
      </x:c>
      <x:c r="W1265" t="n">
        <x:v>0</x:v>
      </x:c>
      <x:c r="X1265" t="str"/>
      <x:c r="Y1265" t="str">
        <x:v>Referral</x:v>
      </x:c>
    </x:row>
    <x:row r="1266">
      <x:c r="A1266" t="str">
        <x:v>O001265</x:v>
      </x:c>
      <x:c r="B1266" s="20" t="n">
        <x:v>45880</x:v>
      </x:c>
      <x:c r="C1266" t="str">
        <x:v>C0227</x:v>
      </x:c>
      <x:c r="D1266" t="str">
        <x:v>Metro Restaurant 227</x:v>
      </x:c>
      <x:c r="E1266" t="str">
        <x:v>Restaurant</x:v>
      </x:c>
      <x:c r="F1266" t="str">
        <x:v>Davanagere</x:v>
      </x:c>
      <x:c r="G1266" t="str">
        <x:v>Kavya</x:v>
      </x:c>
      <x:c r="H1266" t="str">
        <x:v>P017</x:v>
      </x:c>
      <x:c r="I1266" t="str">
        <x:v>Butter 500g</x:v>
      </x:c>
      <x:c r="J1266" t="str">
        <x:v>Dairy</x:v>
      </x:c>
      <x:c r="K1266" t="str">
        <x:v>Amul</x:v>
      </x:c>
      <x:c r="L1266" s="22" t="n">
        <x:v>285</x:v>
      </x:c>
      <x:c r="M1266" t="n">
        <x:v>33</x:v>
      </x:c>
      <x:c r="N1266" s="24" t="n">
        <x:v>0</x:v>
      </x:c>
      <x:c r="O1266" s="22" t="n">
        <x:f>L1266*M1266</x:f>
        <x:v>9405</x:v>
      </x:c>
      <x:c r="P1266" s="22" t="n">
        <x:f>O1266*(1-N1266)</x:f>
        <x:v>9405</x:v>
      </x:c>
      <x:c r="Q1266" s="22" t="n">
        <x:v>258</x:v>
      </x:c>
      <x:c r="R1266" s="22" t="n">
        <x:f>Q1266*M1266</x:f>
        <x:v>8514</x:v>
      </x:c>
      <x:c r="S1266" s="22" t="n">
        <x:f>P1266-R1266</x:f>
        <x:v>891</x:v>
      </x:c>
      <x:c r="T1266" t="str">
        <x:v>UPI</x:v>
      </x:c>
      <x:c r="U1266" t="str">
        <x:v>Paid</x:v>
      </x:c>
      <x:c r="V1266" t="str">
        <x:v>Delivered</x:v>
      </x:c>
      <x:c r="W1266" t="n">
        <x:v>0</x:v>
      </x:c>
      <x:c r="X1266" t="str"/>
      <x:c r="Y1266" t="str">
        <x:v>Referral</x:v>
      </x:c>
    </x:row>
    <x:row r="1267">
      <x:c r="A1267" t="str">
        <x:v>O001266</x:v>
      </x:c>
      <x:c r="B1267" s="20" t="n">
        <x:v>45993</x:v>
      </x:c>
      <x:c r="C1267" t="str">
        <x:v>C0185</x:v>
      </x:c>
      <x:c r="D1267" t="str">
        <x:v>Mysore Foods 185</x:v>
      </x:c>
      <x:c r="E1267" t="str">
        <x:v>Restaurant</x:v>
      </x:c>
      <x:c r="F1267" t="str">
        <x:v>Mysuru</x:v>
      </x:c>
      <x:c r="G1267" t="str">
        <x:v>Sneha</x:v>
      </x:c>
      <x:c r="H1267" t="str">
        <x:v>P025</x:v>
      </x:c>
      <x:c r="I1267" t="str">
        <x:v>Potato Chips 100g</x:v>
      </x:c>
      <x:c r="J1267" t="str">
        <x:v>Snacks</x:v>
      </x:c>
      <x:c r="K1267" t="str">
        <x:v>Lay's</x:v>
      </x:c>
      <x:c r="L1267" s="22" t="n">
        <x:v>35</x:v>
      </x:c>
      <x:c r="M1267" t="n">
        <x:v>30</x:v>
      </x:c>
      <x:c r="N1267" s="24" t="n">
        <x:v>0.1</x:v>
      </x:c>
      <x:c r="O1267" s="22" t="n">
        <x:f>L1267*M1267</x:f>
        <x:v>1050</x:v>
      </x:c>
      <x:c r="P1267" s="22" t="n">
        <x:f>O1267*(1-N1267)</x:f>
        <x:v>945</x:v>
      </x:c>
      <x:c r="Q1267" s="22" t="n">
        <x:v>27</x:v>
      </x:c>
      <x:c r="R1267" s="22" t="n">
        <x:f>Q1267*M1267</x:f>
        <x:v>810</x:v>
      </x:c>
      <x:c r="S1267" s="22" t="n">
        <x:f>P1267-R1267</x:f>
        <x:v>135</x:v>
      </x:c>
      <x:c r="T1267" t="str">
        <x:v>Bank Transfer</x:v>
      </x:c>
      <x:c r="U1267" t="str">
        <x:v>Overdue</x:v>
      </x:c>
      <x:c r="V1267" t="str">
        <x:v>Delivered</x:v>
      </x:c>
      <x:c r="W1267" t="n">
        <x:v>0</x:v>
      </x:c>
      <x:c r="X1267" t="str"/>
      <x:c r="Y1267" t="str">
        <x:v>Field Visit</x:v>
      </x:c>
    </x:row>
    <x:row r="1268">
      <x:c r="A1268" t="str">
        <x:v>O001267</x:v>
      </x:c>
      <x:c r="B1268" s="20" t="n">
        <x:v>45737</x:v>
      </x:c>
      <x:c r="C1268" t="str">
        <x:v>C0171</x:v>
      </x:c>
      <x:c r="D1268" t="str">
        <x:v>Metro Canteen 171</x:v>
      </x:c>
      <x:c r="E1268" t="str">
        <x:v>Restaurant</x:v>
      </x:c>
      <x:c r="F1268" t="str">
        <x:v>Mangaluru</x:v>
      </x:c>
      <x:c r="G1268" t="str">
        <x:v>Priya</x:v>
      </x:c>
      <x:c r="H1268" t="str">
        <x:v>P016</x:v>
      </x:c>
      <x:c r="I1268" t="str">
        <x:v>Curd 1kg</x:v>
      </x:c>
      <x:c r="J1268" t="str">
        <x:v>Dairy</x:v>
      </x:c>
      <x:c r="K1268" t="str">
        <x:v>Nandini</x:v>
      </x:c>
      <x:c r="L1268" s="22" t="n">
        <x:v>72</x:v>
      </x:c>
      <x:c r="M1268" t="n">
        <x:v>40</x:v>
      </x:c>
      <x:c r="N1268" s="24" t="n">
        <x:v>0</x:v>
      </x:c>
      <x:c r="O1268" s="22" t="n">
        <x:f>L1268*M1268</x:f>
        <x:v>2880</x:v>
      </x:c>
      <x:c r="P1268" s="22" t="n">
        <x:f>O1268*(1-N1268)</x:f>
        <x:v>2880</x:v>
      </x:c>
      <x:c r="Q1268" s="22" t="n">
        <x:v>64</x:v>
      </x:c>
      <x:c r="R1268" s="22" t="n">
        <x:f>Q1268*M1268</x:f>
        <x:v>2560</x:v>
      </x:c>
      <x:c r="S1268" s="22" t="n">
        <x:f>P1268-R1268</x:f>
        <x:v>320</x:v>
      </x:c>
      <x:c r="T1268" t="str">
        <x:v>UPI</x:v>
      </x:c>
      <x:c r="U1268" t="str">
        <x:v>Pending</x:v>
      </x:c>
      <x:c r="V1268" t="str">
        <x:v>Delayed</x:v>
      </x:c>
      <x:c r="W1268" t="n">
        <x:v>0</x:v>
      </x:c>
      <x:c r="X1268" t="str"/>
      <x:c r="Y1268" t="str">
        <x:v>Outbound Call</x:v>
      </x:c>
    </x:row>
    <x:row r="1269">
      <x:c r="A1269" t="str">
        <x:v>O001268</x:v>
      </x:c>
      <x:c r="B1269" s="20" t="n">
        <x:v>45658</x:v>
      </x:c>
      <x:c r="C1269" t="str">
        <x:v>C0243</x:v>
      </x:c>
      <x:c r="D1269" t="str">
        <x:v>Metro Kitchen 243</x:v>
      </x:c>
      <x:c r="E1269" t="str">
        <x:v>Restaurant</x:v>
      </x:c>
      <x:c r="F1269" t="str">
        <x:v>Mangaluru</x:v>
      </x:c>
      <x:c r="G1269" t="str">
        <x:v>Kavya</x:v>
      </x:c>
      <x:c r="H1269" t="str">
        <x:v>P018</x:v>
      </x:c>
      <x:c r="I1269" t="str">
        <x:v>Paneer 1kg</x:v>
      </x:c>
      <x:c r="J1269" t="str">
        <x:v>Dairy</x:v>
      </x:c>
      <x:c r="K1269" t="str">
        <x:v>Milky Mist</x:v>
      </x:c>
      <x:c r="L1269" s="22" t="n">
        <x:v>410</x:v>
      </x:c>
      <x:c r="M1269" t="n">
        <x:v>20</x:v>
      </x:c>
      <x:c r="N1269" s="24" t="n">
        <x:v>0.03</x:v>
      </x:c>
      <x:c r="O1269" s="22" t="n">
        <x:f>L1269*M1269</x:f>
        <x:v>8200</x:v>
      </x:c>
      <x:c r="P1269" s="22" t="n">
        <x:f>O1269*(1-N1269)</x:f>
        <x:v>7954</x:v>
      </x:c>
      <x:c r="Q1269" s="22" t="n">
        <x:v>370</x:v>
      </x:c>
      <x:c r="R1269" s="22" t="n">
        <x:f>Q1269*M1269</x:f>
        <x:v>7400</x:v>
      </x:c>
      <x:c r="S1269" s="22" t="n">
        <x:f>P1269-R1269</x:f>
        <x:v>554</x:v>
      </x:c>
      <x:c r="T1269" t="str">
        <x:v>Bank Transfer</x:v>
      </x:c>
      <x:c r="U1269" t="str">
        <x:v>Paid</x:v>
      </x:c>
      <x:c r="V1269" t="str">
        <x:v>Delivered</x:v>
      </x:c>
      <x:c r="W1269" t="n">
        <x:v>0</x:v>
      </x:c>
      <x:c r="X1269" t="str"/>
      <x:c r="Y1269" t="str">
        <x:v>Referral</x:v>
      </x:c>
    </x:row>
    <x:row r="1270">
      <x:c r="A1270" t="str">
        <x:v>O001269</x:v>
      </x:c>
      <x:c r="B1270" s="20" t="n">
        <x:v>45735</x:v>
      </x:c>
      <x:c r="C1270" t="str">
        <x:v>C0190</x:v>
      </x:c>
      <x:c r="D1270" t="str">
        <x:v>Shree Restaurant 190</x:v>
      </x:c>
      <x:c r="E1270" t="str">
        <x:v>Canteen</x:v>
      </x:c>
      <x:c r="F1270" t="str">
        <x:v>Bengaluru</x:v>
      </x:c>
      <x:c r="G1270" t="str">
        <x:v>Kavya</x:v>
      </x:c>
      <x:c r="H1270" t="str">
        <x:v>P024</x:v>
      </x:c>
      <x:c r="I1270" t="str">
        <x:v>Orange Drink 1L</x:v>
      </x:c>
      <x:c r="J1270" t="str">
        <x:v>Beverage</x:v>
      </x:c>
      <x:c r="K1270" t="str">
        <x:v>Minute Maid</x:v>
      </x:c>
      <x:c r="L1270" s="22" t="n">
        <x:v>105</x:v>
      </x:c>
      <x:c r="M1270" t="n">
        <x:v>18</x:v>
      </x:c>
      <x:c r="N1270" s="24" t="n">
        <x:v>0.03</x:v>
      </x:c>
      <x:c r="O1270" s="22" t="n">
        <x:f>L1270*M1270</x:f>
        <x:v>1890</x:v>
      </x:c>
      <x:c r="P1270" s="22" t="n">
        <x:f>O1270*(1-N1270)</x:f>
        <x:v>1833.3</x:v>
      </x:c>
      <x:c r="Q1270" s="22" t="n">
        <x:v>88</x:v>
      </x:c>
      <x:c r="R1270" s="22" t="n">
        <x:f>Q1270*M1270</x:f>
        <x:v>1584</x:v>
      </x:c>
      <x:c r="S1270" s="22" t="n">
        <x:f>P1270-R1270</x:f>
        <x:v>249.29999999999995</x:v>
      </x:c>
      <x:c r="T1270" t="str">
        <x:v>UPI</x:v>
      </x:c>
      <x:c r="U1270" t="str">
        <x:v>Paid</x:v>
      </x:c>
      <x:c r="V1270" t="str">
        <x:v>Delivered</x:v>
      </x:c>
      <x:c r="W1270" t="n">
        <x:v>0</x:v>
      </x:c>
      <x:c r="X1270" t="str"/>
      <x:c r="Y1270" t="str">
        <x:v>Field Visit</x:v>
      </x:c>
    </x:row>
    <x:row r="1271">
      <x:c r="A1271" t="str">
        <x:v>O001270</x:v>
      </x:c>
      <x:c r="B1271" s="20" t="n">
        <x:v>45781</x:v>
      </x:c>
      <x:c r="C1271" t="str">
        <x:v>C0117</x:v>
      </x:c>
      <x:c r="D1271" t="str">
        <x:v>Classic Canteen 117</x:v>
      </x:c>
      <x:c r="E1271" t="str">
        <x:v>Restaurant</x:v>
      </x:c>
      <x:c r="F1271" t="str">
        <x:v>Hubballi</x:v>
      </x:c>
      <x:c r="G1271" t="str">
        <x:v>Megha</x:v>
      </x:c>
      <x:c r="H1271" t="str">
        <x:v>P014</x:v>
      </x:c>
      <x:c r="I1271" t="str">
        <x:v>Rava 5kg</x:v>
      </x:c>
      <x:c r="J1271" t="str">
        <x:v>Flour</x:v>
      </x:c>
      <x:c r="K1271" t="str">
        <x:v>Local Select</x:v>
      </x:c>
      <x:c r="L1271" s="22" t="n">
        <x:v>245</x:v>
      </x:c>
      <x:c r="M1271" t="n">
        <x:v>2</x:v>
      </x:c>
      <x:c r="N1271" s="24" t="n">
        <x:v>0.08</x:v>
      </x:c>
      <x:c r="O1271" s="22" t="n">
        <x:f>L1271*M1271</x:f>
        <x:v>490</x:v>
      </x:c>
      <x:c r="P1271" s="22" t="n">
        <x:f>O1271*(1-N1271)</x:f>
        <x:v>450.8</x:v>
      </x:c>
      <x:c r="Q1271" s="22" t="n">
        <x:v>215</x:v>
      </x:c>
      <x:c r="R1271" s="22" t="n">
        <x:f>Q1271*M1271</x:f>
        <x:v>430</x:v>
      </x:c>
      <x:c r="S1271" s="22" t="n">
        <x:f>P1271-R1271</x:f>
        <x:v>20.80000000000001</x:v>
      </x:c>
      <x:c r="T1271" t="str">
        <x:v>Credit</x:v>
      </x:c>
      <x:c r="U1271" t="str">
        <x:v>Paid</x:v>
      </x:c>
      <x:c r="V1271" t="str">
        <x:v>Delivered</x:v>
      </x:c>
      <x:c r="W1271" t="n">
        <x:v>0</x:v>
      </x:c>
      <x:c r="X1271" t="str"/>
      <x:c r="Y1271" t="str">
        <x:v>Referral</x:v>
      </x:c>
    </x:row>
    <x:row r="1272">
      <x:c r="A1272" t="str">
        <x:v>O001271</x:v>
      </x:c>
      <x:c r="B1272" s="20" t="n">
        <x:v>46228</x:v>
      </x:c>
      <x:c r="C1272" t="str">
        <x:v>C0227</x:v>
      </x:c>
      <x:c r="D1272" t="str">
        <x:v>Metro Restaurant 227</x:v>
      </x:c>
      <x:c r="E1272" t="str">
        <x:v>Restaurant</x:v>
      </x:c>
      <x:c r="F1272" t="str">
        <x:v>Davanagere</x:v>
      </x:c>
      <x:c r="G1272" t="str">
        <x:v>Kavya</x:v>
      </x:c>
      <x:c r="H1272" t="str">
        <x:v>P038</x:v>
      </x:c>
      <x:c r="I1272" t="str">
        <x:v>French Fries 2.5kg</x:v>
      </x:c>
      <x:c r="J1272" t="str">
        <x:v>Frozen</x:v>
      </x:c>
      <x:c r="K1272" t="str">
        <x:v>McCain</x:v>
      </x:c>
      <x:c r="L1272" s="22" t="n">
        <x:v>360</x:v>
      </x:c>
      <x:c r="M1272" t="n">
        <x:v>18</x:v>
      </x:c>
      <x:c r="N1272" s="24" t="n">
        <x:v>0.02</x:v>
      </x:c>
      <x:c r="O1272" s="22" t="n">
        <x:f>L1272*M1272</x:f>
        <x:v>6480</x:v>
      </x:c>
      <x:c r="P1272" s="22" t="n">
        <x:f>O1272*(1-N1272)</x:f>
        <x:v>6350.4</x:v>
      </x:c>
      <x:c r="Q1272" s="22" t="n">
        <x:v>315</x:v>
      </x:c>
      <x:c r="R1272" s="22" t="n">
        <x:f>Q1272*M1272</x:f>
        <x:v>5670</x:v>
      </x:c>
      <x:c r="S1272" s="22" t="n">
        <x:f>P1272-R1272</x:f>
        <x:v>680.3999999999996</x:v>
      </x:c>
      <x:c r="T1272" t="str">
        <x:v>Credit</x:v>
      </x:c>
      <x:c r="U1272" t="str">
        <x:v>Paid</x:v>
      </x:c>
      <x:c r="V1272" t="str">
        <x:v>Cancelled</x:v>
      </x:c>
      <x:c r="W1272" t="n">
        <x:v>18</x:v>
      </x:c>
      <x:c r="X1272" t="str">
        <x:v>Cancelled Order</x:v>
      </x:c>
      <x:c r="Y1272" t="str">
        <x:v>Referral</x:v>
      </x:c>
    </x:row>
    <x:row r="1273">
      <x:c r="A1273" t="str">
        <x:v>O001272</x:v>
      </x:c>
      <x:c r="B1273" s="20" t="n">
        <x:v>46044</x:v>
      </x:c>
      <x:c r="C1273" t="str">
        <x:v>C0102</x:v>
      </x:c>
      <x:c r="D1273" t="str">
        <x:v>Annapurna Foods 102</x:v>
      </x:c>
      <x:c r="E1273" t="str">
        <x:v>Cafe</x:v>
      </x:c>
      <x:c r="F1273" t="str">
        <x:v>Davanagere</x:v>
      </x:c>
      <x:c r="G1273" t="str">
        <x:v>Ramesh</x:v>
      </x:c>
      <x:c r="H1273" t="str">
        <x:v>P044</x:v>
      </x:c>
      <x:c r="I1273" t="str">
        <x:v>Chicken Curry Cut 1kg</x:v>
      </x:c>
      <x:c r="J1273" t="str">
        <x:v>Protein</x:v>
      </x:c>
      <x:c r="K1273" t="str">
        <x:v>FreshToHome</x:v>
      </x:c>
      <x:c r="L1273" s="22" t="n">
        <x:v>230</x:v>
      </x:c>
      <x:c r="M1273" t="n">
        <x:v>2</x:v>
      </x:c>
      <x:c r="N1273" s="24" t="n">
        <x:v>0</x:v>
      </x:c>
      <x:c r="O1273" s="22" t="n">
        <x:f>L1273*M1273</x:f>
        <x:v>460</x:v>
      </x:c>
      <x:c r="P1273" s="22" t="n">
        <x:f>O1273*(1-N1273)</x:f>
        <x:v>460</x:v>
      </x:c>
      <x:c r="Q1273" s="22" t="n">
        <x:v>205</x:v>
      </x:c>
      <x:c r="R1273" s="22" t="n">
        <x:f>Q1273*M1273</x:f>
        <x:v>410</x:v>
      </x:c>
      <x:c r="S1273" s="22" t="n">
        <x:f>P1273-R1273</x:f>
        <x:v>50</x:v>
      </x:c>
      <x:c r="T1273" t="str">
        <x:v>Credit</x:v>
      </x:c>
      <x:c r="U1273" t="str">
        <x:v>Pending</x:v>
      </x:c>
      <x:c r="V1273" t="str">
        <x:v>Delivered</x:v>
      </x:c>
      <x:c r="W1273" t="n">
        <x:v>0</x:v>
      </x:c>
      <x:c r="X1273" t="str"/>
      <x:c r="Y1273" t="str">
        <x:v>Outbound Call</x:v>
      </x:c>
    </x:row>
    <x:row r="1274">
      <x:c r="A1274" t="str">
        <x:v>O001273</x:v>
      </x:c>
      <x:c r="B1274" s="20" t="n">
        <x:v>45722</x:v>
      </x:c>
      <x:c r="C1274" t="str">
        <x:v>C0012</x:v>
      </x:c>
      <x:c r="D1274" t="str">
        <x:v>Sagar Canteen 12</x:v>
      </x:c>
      <x:c r="E1274" t="str">
        <x:v>Supermarket</x:v>
      </x:c>
      <x:c r="F1274" t="str">
        <x:v>Mysuru</x:v>
      </x:c>
      <x:c r="G1274" t="str">
        <x:v>Priya</x:v>
      </x:c>
      <x:c r="H1274" t="str">
        <x:v>P043</x:v>
      </x:c>
      <x:c r="I1274" t="str">
        <x:v>Chicken Breast 1kg</x:v>
      </x:c>
      <x:c r="J1274" t="str">
        <x:v>Protein</x:v>
      </x:c>
      <x:c r="K1274" t="str">
        <x:v>FreshToHome</x:v>
      </x:c>
      <x:c r="L1274" s="22" t="n">
        <x:v>260</x:v>
      </x:c>
      <x:c r="M1274" t="n">
        <x:v>18</x:v>
      </x:c>
      <x:c r="N1274" s="24" t="n">
        <x:v>0.05</x:v>
      </x:c>
      <x:c r="O1274" s="22" t="n">
        <x:f>L1274*M1274</x:f>
        <x:v>4680</x:v>
      </x:c>
      <x:c r="P1274" s="22" t="n">
        <x:f>O1274*(1-N1274)</x:f>
        <x:v>4446</x:v>
      </x:c>
      <x:c r="Q1274" s="22" t="n">
        <x:v>235</x:v>
      </x:c>
      <x:c r="R1274" s="22" t="n">
        <x:f>Q1274*M1274</x:f>
        <x:v>4230</x:v>
      </x:c>
      <x:c r="S1274" s="22" t="n">
        <x:f>P1274-R1274</x:f>
        <x:v>216</x:v>
      </x:c>
      <x:c r="T1274" t="str">
        <x:v>Credit</x:v>
      </x:c>
      <x:c r="U1274" t="str">
        <x:v>Paid</x:v>
      </x:c>
      <x:c r="V1274" t="str">
        <x:v>Delivered</x:v>
      </x:c>
      <x:c r="W1274" t="n">
        <x:v>3</x:v>
      </x:c>
      <x:c r="X1274" t="str">
        <x:v>Wrong Item</x:v>
      </x:c>
      <x:c r="Y1274" t="str">
        <x:v>Referral</x:v>
      </x:c>
    </x:row>
    <x:row r="1275">
      <x:c r="A1275" t="str">
        <x:v>O001274</x:v>
      </x:c>
      <x:c r="B1275" s="20" t="n">
        <x:v>45703</x:v>
      </x:c>
      <x:c r="C1275" t="str">
        <x:v>C0208</x:v>
      </x:c>
      <x:c r="D1275" t="str">
        <x:v>Green Foods 208</x:v>
      </x:c>
      <x:c r="E1275" t="str">
        <x:v>Hotel</x:v>
      </x:c>
      <x:c r="F1275" t="str">
        <x:v>Mysuru</x:v>
      </x:c>
      <x:c r="G1275" t="str">
        <x:v>Ramesh</x:v>
      </x:c>
      <x:c r="H1275" t="str">
        <x:v>P001</x:v>
      </x:c>
      <x:c r="I1275" t="str">
        <x:v>Steam Rice 25kg</x:v>
      </x:c>
      <x:c r="J1275" t="str">
        <x:v>Staples</x:v>
      </x:c>
      <x:c r="K1275" t="str">
        <x:v>Aishwarya</x:v>
      </x:c>
      <x:c r="L1275" s="22" t="n">
        <x:v>1180</x:v>
      </x:c>
      <x:c r="M1275" t="n">
        <x:v>7</x:v>
      </x:c>
      <x:c r="N1275" s="24" t="n">
        <x:v>0.03</x:v>
      </x:c>
      <x:c r="O1275" s="22" t="n">
        <x:f>L1275*M1275</x:f>
        <x:v>8260</x:v>
      </x:c>
      <x:c r="P1275" s="22" t="n">
        <x:f>O1275*(1-N1275)</x:f>
        <x:v>8012.2</x:v>
      </x:c>
      <x:c r="Q1275" s="22" t="n">
        <x:v>1040</x:v>
      </x:c>
      <x:c r="R1275" s="22" t="n">
        <x:f>Q1275*M1275</x:f>
        <x:v>7280</x:v>
      </x:c>
      <x:c r="S1275" s="22" t="n">
        <x:f>P1275-R1275</x:f>
        <x:v>732.1999999999998</x:v>
      </x:c>
      <x:c r="T1275" t="str">
        <x:v>Credit</x:v>
      </x:c>
      <x:c r="U1275" t="str">
        <x:v>Pending</x:v>
      </x:c>
      <x:c r="V1275" t="str">
        <x:v>Cancelled</x:v>
      </x:c>
      <x:c r="W1275" t="n">
        <x:v>7</x:v>
      </x:c>
      <x:c r="X1275" t="str">
        <x:v>Cancelled Order</x:v>
      </x:c>
      <x:c r="Y1275" t="str">
        <x:v>Outbound Call</x:v>
      </x:c>
    </x:row>
    <x:row r="1276">
      <x:c r="A1276" t="str">
        <x:v>O001275</x:v>
      </x:c>
      <x:c r="B1276" s="20" t="n">
        <x:v>46034</x:v>
      </x:c>
      <x:c r="C1276" t="str">
        <x:v>C0023</x:v>
      </x:c>
      <x:c r="D1276" t="str">
        <x:v>Mysore Canteen 23</x:v>
      </x:c>
      <x:c r="E1276" t="str">
        <x:v>Cafe</x:v>
      </x:c>
      <x:c r="F1276" t="str">
        <x:v>Hubballi</x:v>
      </x:c>
      <x:c r="G1276" t="str">
        <x:v>Sneha</x:v>
      </x:c>
      <x:c r="H1276" t="str">
        <x:v>P039</x:v>
      </x:c>
      <x:c r="I1276" t="str">
        <x:v>Ice Cream 4L</x:v>
      </x:c>
      <x:c r="J1276" t="str">
        <x:v>Frozen</x:v>
      </x:c>
      <x:c r="K1276" t="str">
        <x:v>Amul</x:v>
      </x:c>
      <x:c r="L1276" s="22" t="n">
        <x:v>480</x:v>
      </x:c>
      <x:c r="M1276" t="n">
        <x:v>30</x:v>
      </x:c>
      <x:c r="N1276" s="24" t="n">
        <x:v>0.05</x:v>
      </x:c>
      <x:c r="O1276" s="22" t="n">
        <x:f>L1276*M1276</x:f>
        <x:v>14400</x:v>
      </x:c>
      <x:c r="P1276" s="22" t="n">
        <x:f>O1276*(1-N1276)</x:f>
        <x:v>13680</x:v>
      </x:c>
      <x:c r="Q1276" s="22" t="n">
        <x:v>420</x:v>
      </x:c>
      <x:c r="R1276" s="22" t="n">
        <x:f>Q1276*M1276</x:f>
        <x:v>12600</x:v>
      </x:c>
      <x:c r="S1276" s="22" t="n">
        <x:f>P1276-R1276</x:f>
        <x:v>1080</x:v>
      </x:c>
      <x:c r="T1276" t="str">
        <x:v>Bank Transfer</x:v>
      </x:c>
      <x:c r="U1276" t="str">
        <x:v>Paid</x:v>
      </x:c>
      <x:c r="V1276" t="str">
        <x:v>Delivered</x:v>
      </x:c>
      <x:c r="W1276" t="n">
        <x:v>0</x:v>
      </x:c>
      <x:c r="X1276" t="str"/>
      <x:c r="Y1276" t="str">
        <x:v>Existing Customer</x:v>
      </x:c>
    </x:row>
    <x:row r="1277">
      <x:c r="A1277" t="str">
        <x:v>O001276</x:v>
      </x:c>
      <x:c r="B1277" s="20" t="n">
        <x:v>46013</x:v>
      </x:c>
      <x:c r="C1277" t="str">
        <x:v>C0189</x:v>
      </x:c>
      <x:c r="D1277" t="str">
        <x:v>Classic Canteen 189</x:v>
      </x:c>
      <x:c r="E1277" t="str">
        <x:v>Kirana</x:v>
      </x:c>
      <x:c r="F1277" t="str">
        <x:v>Hubballi</x:v>
      </x:c>
      <x:c r="G1277" t="str">
        <x:v>Vikram</x:v>
      </x:c>
      <x:c r="H1277" t="str">
        <x:v>P041</x:v>
      </x:c>
      <x:c r="I1277" t="str">
        <x:v>Burger Bun 6pc</x:v>
      </x:c>
      <x:c r="J1277" t="str">
        <x:v>Bakery</x:v>
      </x:c>
      <x:c r="K1277" t="str">
        <x:v>Modern</x:v>
      </x:c>
      <x:c r="L1277" s="22" t="n">
        <x:v>42</x:v>
      </x:c>
      <x:c r="M1277" t="n">
        <x:v>27</x:v>
      </x:c>
      <x:c r="N1277" s="24" t="n">
        <x:v>0</x:v>
      </x:c>
      <x:c r="O1277" s="22" t="n">
        <x:f>L1277*M1277</x:f>
        <x:v>1134</x:v>
      </x:c>
      <x:c r="P1277" s="22" t="n">
        <x:f>O1277*(1-N1277)</x:f>
        <x:v>1134</x:v>
      </x:c>
      <x:c r="Q1277" s="22" t="n">
        <x:v>32</x:v>
      </x:c>
      <x:c r="R1277" s="22" t="n">
        <x:f>Q1277*M1277</x:f>
        <x:v>864</x:v>
      </x:c>
      <x:c r="S1277" s="22" t="n">
        <x:f>P1277-R1277</x:f>
        <x:v>270</x:v>
      </x:c>
      <x:c r="T1277" t="str">
        <x:v>Credit</x:v>
      </x:c>
      <x:c r="U1277" t="str">
        <x:v>Paid</x:v>
      </x:c>
      <x:c r="V1277" t="str">
        <x:v>Delivered</x:v>
      </x:c>
      <x:c r="W1277" t="n">
        <x:v>0</x:v>
      </x:c>
      <x:c r="X1277" t="str"/>
      <x:c r="Y1277" t="str">
        <x:v>Referral</x:v>
      </x:c>
    </x:row>
    <x:row r="1278">
      <x:c r="A1278" t="str">
        <x:v>O001277</x:v>
      </x:c>
      <x:c r="B1278" s="20" t="n">
        <x:v>46213</x:v>
      </x:c>
      <x:c r="C1278" t="str">
        <x:v>C0193</x:v>
      </x:c>
      <x:c r="D1278" t="str">
        <x:v>Udupi Cafe 193</x:v>
      </x:c>
      <x:c r="E1278" t="str">
        <x:v>Restaurant</x:v>
      </x:c>
      <x:c r="F1278" t="str">
        <x:v>Hubballi</x:v>
      </x:c>
      <x:c r="G1278" t="str">
        <x:v>Sneha</x:v>
      </x:c>
      <x:c r="H1278" t="str">
        <x:v>P032</x:v>
      </x:c>
      <x:c r="I1278" t="str">
        <x:v>Soy Sauce 700g</x:v>
      </x:c>
      <x:c r="J1278" t="str">
        <x:v>Condiments</x:v>
      </x:c>
      <x:c r="K1278" t="str">
        <x:v>Ching's</x:v>
      </x:c>
      <x:c r="L1278" s="22" t="n">
        <x:v>118</x:v>
      </x:c>
      <x:c r="M1278" t="n">
        <x:v>27</x:v>
      </x:c>
      <x:c r="N1278" s="24" t="n">
        <x:v>0.02</x:v>
      </x:c>
      <x:c r="O1278" s="22" t="n">
        <x:f>L1278*M1278</x:f>
        <x:v>3186</x:v>
      </x:c>
      <x:c r="P1278" s="22" t="n">
        <x:f>O1278*(1-N1278)</x:f>
        <x:v>3122.2799999999997</x:v>
      </x:c>
      <x:c r="Q1278" s="22" t="n">
        <x:v>101</x:v>
      </x:c>
      <x:c r="R1278" s="22" t="n">
        <x:f>Q1278*M1278</x:f>
        <x:v>2727</x:v>
      </x:c>
      <x:c r="S1278" s="22" t="n">
        <x:f>P1278-R1278</x:f>
        <x:v>395.27999999999975</x:v>
      </x:c>
      <x:c r="T1278" t="str">
        <x:v>Credit</x:v>
      </x:c>
      <x:c r="U1278" t="str">
        <x:v>Paid</x:v>
      </x:c>
      <x:c r="V1278" t="str">
        <x:v>Delivered</x:v>
      </x:c>
      <x:c r="W1278" t="n">
        <x:v>0</x:v>
      </x:c>
      <x:c r="X1278" t="str"/>
      <x:c r="Y1278" t="str">
        <x:v>Field Visit</x:v>
      </x:c>
    </x:row>
    <x:row r="1279">
      <x:c r="A1279" t="str">
        <x:v>O001278</x:v>
      </x:c>
      <x:c r="B1279" s="20" t="n">
        <x:v>46119</x:v>
      </x:c>
      <x:c r="C1279" t="str">
        <x:v>C0166</x:v>
      </x:c>
      <x:c r="D1279" t="str">
        <x:v>Mysore Foods 166</x:v>
      </x:c>
      <x:c r="E1279" t="str">
        <x:v>Cafe</x:v>
      </x:c>
      <x:c r="F1279" t="str">
        <x:v>Mangaluru</x:v>
      </x:c>
      <x:c r="G1279" t="str">
        <x:v>Arjun</x:v>
      </x:c>
      <x:c r="H1279" t="str">
        <x:v>P030</x:v>
      </x:c>
      <x:c r="I1279" t="str">
        <x:v>Mayonnaise 1kg</x:v>
      </x:c>
      <x:c r="J1279" t="str">
        <x:v>Condiments</x:v>
      </x:c>
      <x:c r="K1279" t="str">
        <x:v>Veeba</x:v>
      </x:c>
      <x:c r="L1279" s="22" t="n">
        <x:v>210</x:v>
      </x:c>
      <x:c r="M1279" t="n">
        <x:v>35</x:v>
      </x:c>
      <x:c r="N1279" s="24" t="n">
        <x:v>0.08</x:v>
      </x:c>
      <x:c r="O1279" s="22" t="n">
        <x:f>L1279*M1279</x:f>
        <x:v>7350</x:v>
      </x:c>
      <x:c r="P1279" s="22" t="n">
        <x:f>O1279*(1-N1279)</x:f>
        <x:v>6762</x:v>
      </x:c>
      <x:c r="Q1279" s="22" t="n">
        <x:v>185</x:v>
      </x:c>
      <x:c r="R1279" s="22" t="n">
        <x:f>Q1279*M1279</x:f>
        <x:v>6475</x:v>
      </x:c>
      <x:c r="S1279" s="22" t="n">
        <x:f>P1279-R1279</x:f>
        <x:v>287</x:v>
      </x:c>
      <x:c r="T1279" t="str">
        <x:v>Bank Transfer</x:v>
      </x:c>
      <x:c r="U1279" t="str">
        <x:v>Pending</x:v>
      </x:c>
      <x:c r="V1279" t="str">
        <x:v>Delivered</x:v>
      </x:c>
      <x:c r="W1279" t="n">
        <x:v>0</x:v>
      </x:c>
      <x:c r="X1279" t="str"/>
      <x:c r="Y1279" t="str">
        <x:v>Referral</x:v>
      </x:c>
    </x:row>
    <x:row r="1280">
      <x:c r="A1280" t="str">
        <x:v>O001279</x:v>
      </x:c>
      <x:c r="B1280" s="20" t="n">
        <x:v>45821</x:v>
      </x:c>
      <x:c r="C1280" t="str">
        <x:v>C0139</x:v>
      </x:c>
      <x:c r="D1280" t="str">
        <x:v>Classic Hotel 139</x:v>
      </x:c>
      <x:c r="E1280" t="str">
        <x:v>Cafe</x:v>
      </x:c>
      <x:c r="F1280" t="str">
        <x:v>Mysuru</x:v>
      </x:c>
      <x:c r="G1280" t="str">
        <x:v>Vikram</x:v>
      </x:c>
      <x:c r="H1280" t="str">
        <x:v>P041</x:v>
      </x:c>
      <x:c r="I1280" t="str">
        <x:v>Burger Bun 6pc</x:v>
      </x:c>
      <x:c r="J1280" t="str">
        <x:v>Bakery</x:v>
      </x:c>
      <x:c r="K1280" t="str">
        <x:v>Modern</x:v>
      </x:c>
      <x:c r="L1280" s="22" t="n">
        <x:v>42</x:v>
      </x:c>
      <x:c r="M1280" t="n">
        <x:v>37</x:v>
      </x:c>
      <x:c r="N1280" s="24" t="n">
        <x:v>0</x:v>
      </x:c>
      <x:c r="O1280" s="22" t="n">
        <x:f>L1280*M1280</x:f>
        <x:v>1554</x:v>
      </x:c>
      <x:c r="P1280" s="22" t="n">
        <x:f>O1280*(1-N1280)</x:f>
        <x:v>1554</x:v>
      </x:c>
      <x:c r="Q1280" s="22" t="n">
        <x:v>32</x:v>
      </x:c>
      <x:c r="R1280" s="22" t="n">
        <x:f>Q1280*M1280</x:f>
        <x:v>1184</x:v>
      </x:c>
      <x:c r="S1280" s="22" t="n">
        <x:f>P1280-R1280</x:f>
        <x:v>370</x:v>
      </x:c>
      <x:c r="T1280" t="str">
        <x:v>Bank Transfer</x:v>
      </x:c>
      <x:c r="U1280" t="str">
        <x:v>Pending</x:v>
      </x:c>
      <x:c r="V1280" t="str">
        <x:v>Delivered</x:v>
      </x:c>
      <x:c r="W1280" t="n">
        <x:v>0</x:v>
      </x:c>
      <x:c r="X1280" t="str"/>
      <x:c r="Y1280" t="str">
        <x:v>WhatsApp</x:v>
      </x:c>
    </x:row>
    <x:row r="1281">
      <x:c r="A1281" t="str">
        <x:v>O001280</x:v>
      </x:c>
      <x:c r="B1281" s="20" t="n">
        <x:v>45700</x:v>
      </x:c>
      <x:c r="C1281" t="str">
        <x:v>C0129</x:v>
      </x:c>
      <x:c r="D1281" t="str">
        <x:v>City Canteen 129</x:v>
      </x:c>
      <x:c r="E1281" t="str">
        <x:v>Kirana</x:v>
      </x:c>
      <x:c r="F1281" t="str">
        <x:v>Hubballi</x:v>
      </x:c>
      <x:c r="G1281" t="str">
        <x:v>Sneha</x:v>
      </x:c>
      <x:c r="H1281" t="str">
        <x:v>P035</x:v>
      </x:c>
      <x:c r="I1281" t="str">
        <x:v>Coriander Powder 1kg</x:v>
      </x:c>
      <x:c r="J1281" t="str">
        <x:v>Spices</x:v>
      </x:c>
      <x:c r="K1281" t="str">
        <x:v>Everest</x:v>
      </x:c>
      <x:c r="L1281" s="22" t="n">
        <x:v>280</x:v>
      </x:c>
      <x:c r="M1281" t="n">
        <x:v>34</x:v>
      </x:c>
      <x:c r="N1281" s="24" t="n">
        <x:v>0</x:v>
      </x:c>
      <x:c r="O1281" s="22" t="n">
        <x:f>L1281*M1281</x:f>
        <x:v>9520</x:v>
      </x:c>
      <x:c r="P1281" s="22" t="n">
        <x:f>O1281*(1-N1281)</x:f>
        <x:v>9520</x:v>
      </x:c>
      <x:c r="Q1281" s="22" t="n">
        <x:v>245</x:v>
      </x:c>
      <x:c r="R1281" s="22" t="n">
        <x:f>Q1281*M1281</x:f>
        <x:v>8330</x:v>
      </x:c>
      <x:c r="S1281" s="22" t="n">
        <x:f>P1281-R1281</x:f>
        <x:v>1190</x:v>
      </x:c>
      <x:c r="T1281" t="str">
        <x:v>UPI</x:v>
      </x:c>
      <x:c r="U1281" t="str">
        <x:v>Paid</x:v>
      </x:c>
      <x:c r="V1281" t="str">
        <x:v>Delayed</x:v>
      </x:c>
      <x:c r="W1281" t="n">
        <x:v>0</x:v>
      </x:c>
      <x:c r="X1281" t="str"/>
      <x:c r="Y1281" t="str">
        <x:v>Referral</x:v>
      </x:c>
    </x:row>
    <x:row r="1282">
      <x:c r="A1282" t="str">
        <x:v>O001281</x:v>
      </x:c>
      <x:c r="B1282" s="20" t="n">
        <x:v>46000</x:v>
      </x:c>
      <x:c r="C1282" t="str">
        <x:v>C0176</x:v>
      </x:c>
      <x:c r="D1282" t="str">
        <x:v>Cafe Kitchen 176</x:v>
      </x:c>
      <x:c r="E1282" t="str">
        <x:v>Kirana</x:v>
      </x:c>
      <x:c r="F1282" t="str">
        <x:v>Mysuru</x:v>
      </x:c>
      <x:c r="G1282" t="str">
        <x:v>Priya</x:v>
      </x:c>
      <x:c r="H1282" t="str">
        <x:v>P046</x:v>
      </x:c>
      <x:c r="I1282" t="str">
        <x:v>Potato 25kg</x:v>
      </x:c>
      <x:c r="J1282" t="str">
        <x:v>Fresh Produce</x:v>
      </x:c>
      <x:c r="K1282" t="str">
        <x:v>Local Market</x:v>
      </x:c>
      <x:c r="L1282" s="22" t="n">
        <x:v>700</x:v>
      </x:c>
      <x:c r="M1282" t="n">
        <x:v>32</x:v>
      </x:c>
      <x:c r="N1282" s="24" t="n">
        <x:v>0</x:v>
      </x:c>
      <x:c r="O1282" s="22" t="n">
        <x:f>L1282*M1282</x:f>
        <x:v>22400</x:v>
      </x:c>
      <x:c r="P1282" s="22" t="n">
        <x:f>O1282*(1-N1282)</x:f>
        <x:v>22400</x:v>
      </x:c>
      <x:c r="Q1282" s="22" t="n">
        <x:v>610</x:v>
      </x:c>
      <x:c r="R1282" s="22" t="n">
        <x:f>Q1282*M1282</x:f>
        <x:v>19520</x:v>
      </x:c>
      <x:c r="S1282" s="22" t="n">
        <x:f>P1282-R1282</x:f>
        <x:v>2880</x:v>
      </x:c>
      <x:c r="T1282" t="str">
        <x:v>Cash</x:v>
      </x:c>
      <x:c r="U1282" t="str">
        <x:v>Paid</x:v>
      </x:c>
      <x:c r="V1282" t="str">
        <x:v>Delivered</x:v>
      </x:c>
      <x:c r="W1282" t="n">
        <x:v>0</x:v>
      </x:c>
      <x:c r="X1282" t="str"/>
      <x:c r="Y1282" t="str">
        <x:v>WhatsApp</x:v>
      </x:c>
    </x:row>
    <x:row r="1283">
      <x:c r="A1283" t="str">
        <x:v>O001282</x:v>
      </x:c>
      <x:c r="B1283" s="20" t="n">
        <x:v>46075</x:v>
      </x:c>
      <x:c r="C1283" t="str">
        <x:v>C0090</x:v>
      </x:c>
      <x:c r="D1283" t="str">
        <x:v>Shree Mart 90</x:v>
      </x:c>
      <x:c r="E1283" t="str">
        <x:v>Restaurant</x:v>
      </x:c>
      <x:c r="F1283" t="str">
        <x:v>Davanagere</x:v>
      </x:c>
      <x:c r="G1283" t="str">
        <x:v>Megha</x:v>
      </x:c>
      <x:c r="H1283" t="str">
        <x:v>P048</x:v>
      </x:c>
      <x:c r="I1283" t="str">
        <x:v>Banana 10kg</x:v>
      </x:c>
      <x:c r="J1283" t="str">
        <x:v>Fresh Produce</x:v>
      </x:c>
      <x:c r="K1283" t="str">
        <x:v>Local Market</x:v>
      </x:c>
      <x:c r="L1283" s="22" t="n">
        <x:v>420</x:v>
      </x:c>
      <x:c r="M1283" t="n">
        <x:v>7</x:v>
      </x:c>
      <x:c r="N1283" s="24" t="n">
        <x:v>0</x:v>
      </x:c>
      <x:c r="O1283" s="22" t="n">
        <x:f>L1283*M1283</x:f>
        <x:v>2940</x:v>
      </x:c>
      <x:c r="P1283" s="22" t="n">
        <x:f>O1283*(1-N1283)</x:f>
        <x:v>2940</x:v>
      </x:c>
      <x:c r="Q1283" s="22" t="n">
        <x:v>350</x:v>
      </x:c>
      <x:c r="R1283" s="22" t="n">
        <x:f>Q1283*M1283</x:f>
        <x:v>2450</x:v>
      </x:c>
      <x:c r="S1283" s="22" t="n">
        <x:f>P1283-R1283</x:f>
        <x:v>490</x:v>
      </x:c>
      <x:c r="T1283" t="str">
        <x:v>Credit</x:v>
      </x:c>
      <x:c r="U1283" t="str">
        <x:v>Paid</x:v>
      </x:c>
      <x:c r="V1283" t="str">
        <x:v>Cancelled</x:v>
      </x:c>
      <x:c r="W1283" t="n">
        <x:v>7</x:v>
      </x:c>
      <x:c r="X1283" t="str">
        <x:v>Cancelled Order</x:v>
      </x:c>
      <x:c r="Y1283" t="str">
        <x:v>Referral</x:v>
      </x:c>
    </x:row>
    <x:row r="1284">
      <x:c r="A1284" t="str">
        <x:v>O001283</x:v>
      </x:c>
      <x:c r="B1284" s="20" t="n">
        <x:v>45768</x:v>
      </x:c>
      <x:c r="C1284" t="str">
        <x:v>C0229</x:v>
      </x:c>
      <x:c r="D1284" t="str">
        <x:v>Namma Canteen 229</x:v>
      </x:c>
      <x:c r="E1284" t="str">
        <x:v>Restaurant</x:v>
      </x:c>
      <x:c r="F1284" t="str">
        <x:v>Bengaluru</x:v>
      </x:c>
      <x:c r="G1284" t="str">
        <x:v>Arjun</x:v>
      </x:c>
      <x:c r="H1284" t="str">
        <x:v>P033</x:v>
      </x:c>
      <x:c r="I1284" t="str">
        <x:v>Turmeric Powder 1kg</x:v>
      </x:c>
      <x:c r="J1284" t="str">
        <x:v>Spices</x:v>
      </x:c>
      <x:c r="K1284" t="str">
        <x:v>Everest</x:v>
      </x:c>
      <x:c r="L1284" s="22" t="n">
        <x:v>310</x:v>
      </x:c>
      <x:c r="M1284" t="n">
        <x:v>32</x:v>
      </x:c>
      <x:c r="N1284" s="24" t="n">
        <x:v>0</x:v>
      </x:c>
      <x:c r="O1284" s="22" t="n">
        <x:f>L1284*M1284</x:f>
        <x:v>9920</x:v>
      </x:c>
      <x:c r="P1284" s="22" t="n">
        <x:f>O1284*(1-N1284)</x:f>
        <x:v>9920</x:v>
      </x:c>
      <x:c r="Q1284" s="22" t="n">
        <x:v>270</x:v>
      </x:c>
      <x:c r="R1284" s="22" t="n">
        <x:f>Q1284*M1284</x:f>
        <x:v>8640</x:v>
      </x:c>
      <x:c r="S1284" s="22" t="n">
        <x:f>P1284-R1284</x:f>
        <x:v>1280</x:v>
      </x:c>
      <x:c r="T1284" t="str">
        <x:v>UPI</x:v>
      </x:c>
      <x:c r="U1284" t="str">
        <x:v>Paid</x:v>
      </x:c>
      <x:c r="V1284" t="str">
        <x:v>Delivered</x:v>
      </x:c>
      <x:c r="W1284" t="n">
        <x:v>0</x:v>
      </x:c>
      <x:c r="X1284" t="str"/>
      <x:c r="Y1284" t="str">
        <x:v>WhatsApp</x:v>
      </x:c>
    </x:row>
    <x:row r="1285">
      <x:c r="A1285" t="str">
        <x:v>O001284</x:v>
      </x:c>
      <x:c r="B1285" s="20" t="n">
        <x:v>45756</x:v>
      </x:c>
      <x:c r="C1285" t="str">
        <x:v>C0054</x:v>
      </x:c>
      <x:c r="D1285" t="str">
        <x:v>Cafe Cafe 54</x:v>
      </x:c>
      <x:c r="E1285" t="str">
        <x:v>Restaurant</x:v>
      </x:c>
      <x:c r="F1285" t="str">
        <x:v>Hubballi</x:v>
      </x:c>
      <x:c r="G1285" t="str">
        <x:v>Vikram</x:v>
      </x:c>
      <x:c r="H1285" t="str">
        <x:v>P035</x:v>
      </x:c>
      <x:c r="I1285" t="str">
        <x:v>Coriander Powder 1kg</x:v>
      </x:c>
      <x:c r="J1285" t="str">
        <x:v>Spices</x:v>
      </x:c>
      <x:c r="K1285" t="str">
        <x:v>Everest</x:v>
      </x:c>
      <x:c r="L1285" s="22" t="n">
        <x:v>280</x:v>
      </x:c>
      <x:c r="M1285" t="n">
        <x:v>13</x:v>
      </x:c>
      <x:c r="N1285" s="24" t="n">
        <x:v>0</x:v>
      </x:c>
      <x:c r="O1285" s="22" t="n">
        <x:f>L1285*M1285</x:f>
        <x:v>3640</x:v>
      </x:c>
      <x:c r="P1285" s="22" t="n">
        <x:f>O1285*(1-N1285)</x:f>
        <x:v>3640</x:v>
      </x:c>
      <x:c r="Q1285" s="22" t="n">
        <x:v>245</x:v>
      </x:c>
      <x:c r="R1285" s="22" t="n">
        <x:f>Q1285*M1285</x:f>
        <x:v>3185</x:v>
      </x:c>
      <x:c r="S1285" s="22" t="n">
        <x:f>P1285-R1285</x:f>
        <x:v>455</x:v>
      </x:c>
      <x:c r="T1285" t="str">
        <x:v>UPI</x:v>
      </x:c>
      <x:c r="U1285" t="str">
        <x:v>Paid</x:v>
      </x:c>
      <x:c r="V1285" t="str">
        <x:v>Delivered</x:v>
      </x:c>
      <x:c r="W1285" t="n">
        <x:v>0</x:v>
      </x:c>
      <x:c r="X1285" t="str"/>
      <x:c r="Y1285" t="str">
        <x:v>Outbound Call</x:v>
      </x:c>
    </x:row>
    <x:row r="1286">
      <x:c r="A1286" t="str">
        <x:v>O001285</x:v>
      </x:c>
      <x:c r="B1286" s="20" t="n">
        <x:v>46090</x:v>
      </x:c>
      <x:c r="C1286" t="str">
        <x:v>C0116</x:v>
      </x:c>
      <x:c r="D1286" t="str">
        <x:v>Classic Foods 116</x:v>
      </x:c>
      <x:c r="E1286" t="str">
        <x:v>Supermarket</x:v>
      </x:c>
      <x:c r="F1286" t="str">
        <x:v>Davanagere</x:v>
      </x:c>
      <x:c r="G1286" t="str">
        <x:v>Megha</x:v>
      </x:c>
      <x:c r="H1286" t="str">
        <x:v>P008</x:v>
      </x:c>
      <x:c r="I1286" t="str">
        <x:v>Palm Oil 15L</x:v>
      </x:c>
      <x:c r="J1286" t="str">
        <x:v>Edible Oil</x:v>
      </x:c>
      <x:c r="K1286" t="str">
        <x:v>Ruchi Gold</x:v>
      </x:c>
      <x:c r="L1286" s="22" t="n">
        <x:v>1760</x:v>
      </x:c>
      <x:c r="M1286" t="n">
        <x:v>11</x:v>
      </x:c>
      <x:c r="N1286" s="24" t="n">
        <x:v>0.03</x:v>
      </x:c>
      <x:c r="O1286" s="22" t="n">
        <x:f>L1286*M1286</x:f>
        <x:v>19360</x:v>
      </x:c>
      <x:c r="P1286" s="22" t="n">
        <x:f>O1286*(1-N1286)</x:f>
        <x:v>18779.2</x:v>
      </x:c>
      <x:c r="Q1286" s="22" t="n">
        <x:v>1610</x:v>
      </x:c>
      <x:c r="R1286" s="22" t="n">
        <x:f>Q1286*M1286</x:f>
        <x:v>17710</x:v>
      </x:c>
      <x:c r="S1286" s="22" t="n">
        <x:f>P1286-R1286</x:f>
        <x:v>1069.2000000000007</x:v>
      </x:c>
      <x:c r="T1286" t="str">
        <x:v>Cash</x:v>
      </x:c>
      <x:c r="U1286" t="str">
        <x:v>Paid</x:v>
      </x:c>
      <x:c r="V1286" t="str">
        <x:v>Delivered</x:v>
      </x:c>
      <x:c r="W1286" t="n">
        <x:v>0</x:v>
      </x:c>
      <x:c r="X1286" t="str"/>
      <x:c r="Y1286" t="str">
        <x:v>WhatsApp</x:v>
      </x:c>
    </x:row>
    <x:row r="1287">
      <x:c r="A1287" t="str">
        <x:v>O001286</x:v>
      </x:c>
      <x:c r="B1287" s="20" t="n">
        <x:v>46265</x:v>
      </x:c>
      <x:c r="C1287" t="str">
        <x:v>C0236</x:v>
      </x:c>
      <x:c r="D1287" t="str">
        <x:v>Foodie Stores 236</x:v>
      </x:c>
      <x:c r="E1287" t="str">
        <x:v>Kirana</x:v>
      </x:c>
      <x:c r="F1287" t="str">
        <x:v>Bengaluru</x:v>
      </x:c>
      <x:c r="G1287" t="str">
        <x:v>Ramesh</x:v>
      </x:c>
      <x:c r="H1287" t="str">
        <x:v>P031</x:v>
      </x:c>
      <x:c r="I1287" t="str">
        <x:v>Chilli Sauce 700g</x:v>
      </x:c>
      <x:c r="J1287" t="str">
        <x:v>Condiments</x:v>
      </x:c>
      <x:c r="K1287" t="str">
        <x:v>Ching's</x:v>
      </x:c>
      <x:c r="L1287" s="22" t="n">
        <x:v>130</x:v>
      </x:c>
      <x:c r="M1287" t="n">
        <x:v>3</x:v>
      </x:c>
      <x:c r="N1287" s="24" t="n">
        <x:v>0.05</x:v>
      </x:c>
      <x:c r="O1287" s="22" t="n">
        <x:f>L1287*M1287</x:f>
        <x:v>390</x:v>
      </x:c>
      <x:c r="P1287" s="22" t="n">
        <x:f>O1287*(1-N1287)</x:f>
        <x:v>370.5</x:v>
      </x:c>
      <x:c r="Q1287" s="22" t="n">
        <x:v>112</x:v>
      </x:c>
      <x:c r="R1287" s="22" t="n">
        <x:f>Q1287*M1287</x:f>
        <x:v>336</x:v>
      </x:c>
      <x:c r="S1287" s="22" t="n">
        <x:f>P1287-R1287</x:f>
        <x:v>34.5</x:v>
      </x:c>
      <x:c r="T1287" t="str">
        <x:v>UPI</x:v>
      </x:c>
      <x:c r="U1287" t="str">
        <x:v>Paid</x:v>
      </x:c>
      <x:c r="V1287" t="str">
        <x:v>Delivered</x:v>
      </x:c>
      <x:c r="W1287" t="n">
        <x:v>3</x:v>
      </x:c>
      <x:c r="X1287" t="str">
        <x:v>Late Delivery</x:v>
      </x:c>
      <x:c r="Y1287" t="str">
        <x:v>WhatsApp</x:v>
      </x:c>
    </x:row>
    <x:row r="1288">
      <x:c r="A1288" t="str">
        <x:v>O001287</x:v>
      </x:c>
      <x:c r="B1288" s="20" t="n">
        <x:v>46090</x:v>
      </x:c>
      <x:c r="C1288" t="str">
        <x:v>C0198</x:v>
      </x:c>
      <x:c r="D1288" t="str">
        <x:v>Royal Canteen 198</x:v>
      </x:c>
      <x:c r="E1288" t="str">
        <x:v>Supermarket</x:v>
      </x:c>
      <x:c r="F1288" t="str">
        <x:v>Davanagere</x:v>
      </x:c>
      <x:c r="G1288" t="str">
        <x:v>Arjun</x:v>
      </x:c>
      <x:c r="H1288" t="str">
        <x:v>P007</x:v>
      </x:c>
      <x:c r="I1288" t="str">
        <x:v>Sunflower Oil 15L</x:v>
      </x:c>
      <x:c r="J1288" t="str">
        <x:v>Edible Oil</x:v>
      </x:c>
      <x:c r="K1288" t="str">
        <x:v>Fortune</x:v>
      </x:c>
      <x:c r="L1288" s="22" t="n">
        <x:v>1980</x:v>
      </x:c>
      <x:c r="M1288" t="n">
        <x:v>10</x:v>
      </x:c>
      <x:c r="N1288" s="24" t="n">
        <x:v>0.08</x:v>
      </x:c>
      <x:c r="O1288" s="22" t="n">
        <x:f>L1288*M1288</x:f>
        <x:v>19800</x:v>
      </x:c>
      <x:c r="P1288" s="22" t="n">
        <x:f>O1288*(1-N1288)</x:f>
        <x:v>18216</x:v>
      </x:c>
      <x:c r="Q1288" s="22" t="n">
        <x:v>1810</x:v>
      </x:c>
      <x:c r="R1288" s="22" t="n">
        <x:f>Q1288*M1288</x:f>
        <x:v>18100</x:v>
      </x:c>
      <x:c r="S1288" s="22" t="n">
        <x:f>P1288-R1288</x:f>
        <x:v>116</x:v>
      </x:c>
      <x:c r="T1288" t="str">
        <x:v>Credit</x:v>
      </x:c>
      <x:c r="U1288" t="str">
        <x:v>Overdue</x:v>
      </x:c>
      <x:c r="V1288" t="str">
        <x:v>Delivered</x:v>
      </x:c>
      <x:c r="W1288" t="n">
        <x:v>4</x:v>
      </x:c>
      <x:c r="X1288" t="str">
        <x:v>Damaged</x:v>
      </x:c>
      <x:c r="Y1288" t="str">
        <x:v>WhatsApp</x:v>
      </x:c>
    </x:row>
    <x:row r="1289">
      <x:c r="A1289" t="str">
        <x:v>O001288</x:v>
      </x:c>
      <x:c r="B1289" s="20" t="n">
        <x:v>45909</x:v>
      </x:c>
      <x:c r="C1289" t="str">
        <x:v>C0024</x:v>
      </x:c>
      <x:c r="D1289" t="str">
        <x:v>Darshini Restaurant 24</x:v>
      </x:c>
      <x:c r="E1289" t="str">
        <x:v>Restaurant</x:v>
      </x:c>
      <x:c r="F1289" t="str">
        <x:v>Davanagere</x:v>
      </x:c>
      <x:c r="G1289" t="str">
        <x:v>Sneha</x:v>
      </x:c>
      <x:c r="H1289" t="str">
        <x:v>P006</x:v>
      </x:c>
      <x:c r="I1289" t="str">
        <x:v>Moong Dal 5kg</x:v>
      </x:c>
      <x:c r="J1289" t="str">
        <x:v>Pulses</x:v>
      </x:c>
      <x:c r="K1289" t="str">
        <x:v>Local Select</x:v>
      </x:c>
      <x:c r="L1289" s="22" t="n">
        <x:v>610</x:v>
      </x:c>
      <x:c r="M1289" t="n">
        <x:v>7</x:v>
      </x:c>
      <x:c r="N1289" s="24" t="n">
        <x:v>0.03</x:v>
      </x:c>
      <x:c r="O1289" s="22" t="n">
        <x:f>L1289*M1289</x:f>
        <x:v>4270</x:v>
      </x:c>
      <x:c r="P1289" s="22" t="n">
        <x:f>O1289*(1-N1289)</x:f>
        <x:v>4141.9</x:v>
      </x:c>
      <x:c r="Q1289" s="22" t="n">
        <x:v>540</x:v>
      </x:c>
      <x:c r="R1289" s="22" t="n">
        <x:f>Q1289*M1289</x:f>
        <x:v>3780</x:v>
      </x:c>
      <x:c r="S1289" s="22" t="n">
        <x:f>P1289-R1289</x:f>
        <x:v>361.89999999999964</x:v>
      </x:c>
      <x:c r="T1289" t="str">
        <x:v>Cash</x:v>
      </x:c>
      <x:c r="U1289" t="str">
        <x:v>Paid</x:v>
      </x:c>
      <x:c r="V1289" t="str">
        <x:v>Delivered</x:v>
      </x:c>
      <x:c r="W1289" t="n">
        <x:v>3</x:v>
      </x:c>
      <x:c r="X1289" t="str">
        <x:v>Late Delivery</x:v>
      </x:c>
      <x:c r="Y1289" t="str">
        <x:v>Referral</x:v>
      </x:c>
    </x:row>
    <x:row r="1290">
      <x:c r="A1290" t="str">
        <x:v>O001289</x:v>
      </x:c>
      <x:c r="B1290" s="20" t="n">
        <x:v>45789</x:v>
      </x:c>
      <x:c r="C1290" t="str">
        <x:v>C0025</x:v>
      </x:c>
      <x:c r="D1290" t="str">
        <x:v>Sri Cafe 25</x:v>
      </x:c>
      <x:c r="E1290" t="str">
        <x:v>Hotel</x:v>
      </x:c>
      <x:c r="F1290" t="str">
        <x:v>Mysuru</x:v>
      </x:c>
      <x:c r="G1290" t="str">
        <x:v>Kavya</x:v>
      </x:c>
      <x:c r="H1290" t="str">
        <x:v>P001</x:v>
      </x:c>
      <x:c r="I1290" t="str">
        <x:v>Steam Rice 25kg</x:v>
      </x:c>
      <x:c r="J1290" t="str">
        <x:v>Staples</x:v>
      </x:c>
      <x:c r="K1290" t="str">
        <x:v>Aishwarya</x:v>
      </x:c>
      <x:c r="L1290" s="22" t="n">
        <x:v>1180</x:v>
      </x:c>
      <x:c r="M1290" t="n">
        <x:v>11</x:v>
      </x:c>
      <x:c r="N1290" s="24" t="n">
        <x:v>0.05</x:v>
      </x:c>
      <x:c r="O1290" s="22" t="n">
        <x:f>L1290*M1290</x:f>
        <x:v>12980</x:v>
      </x:c>
      <x:c r="P1290" s="22" t="n">
        <x:f>O1290*(1-N1290)</x:f>
        <x:v>12331</x:v>
      </x:c>
      <x:c r="Q1290" s="22" t="n">
        <x:v>1040</x:v>
      </x:c>
      <x:c r="R1290" s="22" t="n">
        <x:f>Q1290*M1290</x:f>
        <x:v>11440</x:v>
      </x:c>
      <x:c r="S1290" s="22" t="n">
        <x:f>P1290-R1290</x:f>
        <x:v>891</x:v>
      </x:c>
      <x:c r="T1290" t="str">
        <x:v>Credit</x:v>
      </x:c>
      <x:c r="U1290" t="str">
        <x:v>Paid</x:v>
      </x:c>
      <x:c r="V1290" t="str">
        <x:v>Delivered</x:v>
      </x:c>
      <x:c r="W1290" t="n">
        <x:v>0</x:v>
      </x:c>
      <x:c r="X1290" t="str"/>
      <x:c r="Y1290" t="str">
        <x:v>Existing Customer</x:v>
      </x:c>
    </x:row>
    <x:row r="1291">
      <x:c r="A1291" t="str">
        <x:v>O001290</x:v>
      </x:c>
      <x:c r="B1291" s="20" t="n">
        <x:v>45707</x:v>
      </x:c>
      <x:c r="C1291" t="str">
        <x:v>C0237</x:v>
      </x:c>
      <x:c r="D1291" t="str">
        <x:v>Mysore Restaurant 237</x:v>
      </x:c>
      <x:c r="E1291" t="str">
        <x:v>Restaurant</x:v>
      </x:c>
      <x:c r="F1291" t="str">
        <x:v>Bengaluru</x:v>
      </x:c>
      <x:c r="G1291" t="str">
        <x:v>Sneha</x:v>
      </x:c>
      <x:c r="H1291" t="str">
        <x:v>P035</x:v>
      </x:c>
      <x:c r="I1291" t="str">
        <x:v>Coriander Powder 1kg</x:v>
      </x:c>
      <x:c r="J1291" t="str">
        <x:v>Spices</x:v>
      </x:c>
      <x:c r="K1291" t="str">
        <x:v>Everest</x:v>
      </x:c>
      <x:c r="L1291" s="22" t="n">
        <x:v>280</x:v>
      </x:c>
      <x:c r="M1291" t="n">
        <x:v>17</x:v>
      </x:c>
      <x:c r="N1291" s="24" t="n">
        <x:v>0.03</x:v>
      </x:c>
      <x:c r="O1291" s="22" t="n">
        <x:f>L1291*M1291</x:f>
        <x:v>4760</x:v>
      </x:c>
      <x:c r="P1291" s="22" t="n">
        <x:f>O1291*(1-N1291)</x:f>
        <x:v>4617.2</x:v>
      </x:c>
      <x:c r="Q1291" s="22" t="n">
        <x:v>245</x:v>
      </x:c>
      <x:c r="R1291" s="22" t="n">
        <x:f>Q1291*M1291</x:f>
        <x:v>4165</x:v>
      </x:c>
      <x:c r="S1291" s="22" t="n">
        <x:f>P1291-R1291</x:f>
        <x:v>452.1999999999998</x:v>
      </x:c>
      <x:c r="T1291" t="str">
        <x:v>Credit</x:v>
      </x:c>
      <x:c r="U1291" t="str">
        <x:v>Paid</x:v>
      </x:c>
      <x:c r="V1291" t="str">
        <x:v>Delivered</x:v>
      </x:c>
      <x:c r="W1291" t="n">
        <x:v>0</x:v>
      </x:c>
      <x:c r="X1291" t="str"/>
      <x:c r="Y1291" t="str">
        <x:v>Referral</x:v>
      </x:c>
    </x:row>
    <x:row r="1292">
      <x:c r="A1292" t="str">
        <x:v>O001291</x:v>
      </x:c>
      <x:c r="B1292" s="20" t="n">
        <x:v>46094</x:v>
      </x:c>
      <x:c r="C1292" t="str">
        <x:v>C0154</x:v>
      </x:c>
      <x:c r="D1292" t="str">
        <x:v>Royal Restaurant 154</x:v>
      </x:c>
      <x:c r="E1292" t="str">
        <x:v>Restaurant</x:v>
      </x:c>
      <x:c r="F1292" t="str">
        <x:v>Tumakuru</x:v>
      </x:c>
      <x:c r="G1292" t="str">
        <x:v>Kavya</x:v>
      </x:c>
      <x:c r="H1292" t="str">
        <x:v>P022</x:v>
      </x:c>
      <x:c r="I1292" t="str">
        <x:v>Mineral Water 1L</x:v>
      </x:c>
      <x:c r="J1292" t="str">
        <x:v>Beverage</x:v>
      </x:c>
      <x:c r="K1292" t="str">
        <x:v>Bisleri</x:v>
      </x:c>
      <x:c r="L1292" s="22" t="n">
        <x:v>19</x:v>
      </x:c>
      <x:c r="M1292" t="n">
        <x:v>8</x:v>
      </x:c>
      <x:c r="N1292" s="24" t="n">
        <x:v>0.05</x:v>
      </x:c>
      <x:c r="O1292" s="22" t="n">
        <x:f>L1292*M1292</x:f>
        <x:v>152</x:v>
      </x:c>
      <x:c r="P1292" s="22" t="n">
        <x:f>O1292*(1-N1292)</x:f>
        <x:v>144.4</x:v>
      </x:c>
      <x:c r="Q1292" s="22" t="n">
        <x:v>15</x:v>
      </x:c>
      <x:c r="R1292" s="22" t="n">
        <x:f>Q1292*M1292</x:f>
        <x:v>120</x:v>
      </x:c>
      <x:c r="S1292" s="22" t="n">
        <x:f>P1292-R1292</x:f>
        <x:v>24.400000000000006</x:v>
      </x:c>
      <x:c r="T1292" t="str">
        <x:v>UPI</x:v>
      </x:c>
      <x:c r="U1292" t="str">
        <x:v>Paid</x:v>
      </x:c>
      <x:c r="V1292" t="str">
        <x:v>Delivered</x:v>
      </x:c>
      <x:c r="W1292" t="n">
        <x:v>0</x:v>
      </x:c>
      <x:c r="X1292" t="str"/>
      <x:c r="Y1292" t="str">
        <x:v>WhatsApp</x:v>
      </x:c>
    </x:row>
    <x:row r="1293">
      <x:c r="A1293" t="str">
        <x:v>O001292</x:v>
      </x:c>
      <x:c r="B1293" s="20" t="n">
        <x:v>45838</x:v>
      </x:c>
      <x:c r="C1293" t="str">
        <x:v>C0207</x:v>
      </x:c>
      <x:c r="D1293" t="str">
        <x:v>Hotel Stores 207</x:v>
      </x:c>
      <x:c r="E1293" t="str">
        <x:v>Restaurant</x:v>
      </x:c>
      <x:c r="F1293" t="str">
        <x:v>Hubballi</x:v>
      </x:c>
      <x:c r="G1293" t="str">
        <x:v>Ramesh</x:v>
      </x:c>
      <x:c r="H1293" t="str">
        <x:v>P042</x:v>
      </x:c>
      <x:c r="I1293" t="str">
        <x:v>Eggs 30pc Tray</x:v>
      </x:c>
      <x:c r="J1293" t="str">
        <x:v>Protein</x:v>
      </x:c>
      <x:c r="K1293" t="str">
        <x:v>Farm Fresh</x:v>
      </x:c>
      <x:c r="L1293" s="22" t="n">
        <x:v>195</x:v>
      </x:c>
      <x:c r="M1293" t="n">
        <x:v>25</x:v>
      </x:c>
      <x:c r="N1293" s="24" t="n">
        <x:v>0</x:v>
      </x:c>
      <x:c r="O1293" s="22" t="n">
        <x:f>L1293*M1293</x:f>
        <x:v>4875</x:v>
      </x:c>
      <x:c r="P1293" s="22" t="n">
        <x:f>O1293*(1-N1293)</x:f>
        <x:v>4875</x:v>
      </x:c>
      <x:c r="Q1293" s="22" t="n">
        <x:v>170</x:v>
      </x:c>
      <x:c r="R1293" s="22" t="n">
        <x:f>Q1293*M1293</x:f>
        <x:v>4250</x:v>
      </x:c>
      <x:c r="S1293" s="22" t="n">
        <x:f>P1293-R1293</x:f>
        <x:v>625</x:v>
      </x:c>
      <x:c r="T1293" t="str">
        <x:v>Bank Transfer</x:v>
      </x:c>
      <x:c r="U1293" t="str">
        <x:v>Paid</x:v>
      </x:c>
      <x:c r="V1293" t="str">
        <x:v>Cancelled</x:v>
      </x:c>
      <x:c r="W1293" t="n">
        <x:v>25</x:v>
      </x:c>
      <x:c r="X1293" t="str">
        <x:v>Cancelled Order</x:v>
      </x:c>
      <x:c r="Y1293" t="str">
        <x:v>Existing Customer</x:v>
      </x:c>
    </x:row>
    <x:row r="1294">
      <x:c r="A1294" t="str">
        <x:v>O001293</x:v>
      </x:c>
      <x:c r="B1294" s="20" t="n">
        <x:v>46113</x:v>
      </x:c>
      <x:c r="C1294" t="str">
        <x:v>C0059</x:v>
      </x:c>
      <x:c r="D1294" t="str">
        <x:v>Spice Foods 59</x:v>
      </x:c>
      <x:c r="E1294" t="str">
        <x:v>Hotel</x:v>
      </x:c>
      <x:c r="F1294" t="str">
        <x:v>Hubballi</x:v>
      </x:c>
      <x:c r="G1294" t="str">
        <x:v>Sneha</x:v>
      </x:c>
      <x:c r="H1294" t="str">
        <x:v>P046</x:v>
      </x:c>
      <x:c r="I1294" t="str">
        <x:v>Potato 25kg</x:v>
      </x:c>
      <x:c r="J1294" t="str">
        <x:v>Fresh Produce</x:v>
      </x:c>
      <x:c r="K1294" t="str">
        <x:v>Local Market</x:v>
      </x:c>
      <x:c r="L1294" s="22" t="n">
        <x:v>700</x:v>
      </x:c>
      <x:c r="M1294" t="n">
        <x:v>8</x:v>
      </x:c>
      <x:c r="N1294" s="24" t="n">
        <x:v>0</x:v>
      </x:c>
      <x:c r="O1294" s="22" t="n">
        <x:f>L1294*M1294</x:f>
        <x:v>5600</x:v>
      </x:c>
      <x:c r="P1294" s="22" t="n">
        <x:f>O1294*(1-N1294)</x:f>
        <x:v>5600</x:v>
      </x:c>
      <x:c r="Q1294" s="22" t="n">
        <x:v>610</x:v>
      </x:c>
      <x:c r="R1294" s="22" t="n">
        <x:f>Q1294*M1294</x:f>
        <x:v>4880</x:v>
      </x:c>
      <x:c r="S1294" s="22" t="n">
        <x:f>P1294-R1294</x:f>
        <x:v>720</x:v>
      </x:c>
      <x:c r="T1294" t="str">
        <x:v>Bank Transfer</x:v>
      </x:c>
      <x:c r="U1294" t="str">
        <x:v>Paid</x:v>
      </x:c>
      <x:c r="V1294" t="str">
        <x:v>Delayed</x:v>
      </x:c>
      <x:c r="W1294" t="n">
        <x:v>0</x:v>
      </x:c>
      <x:c r="X1294" t="str"/>
      <x:c r="Y1294" t="str">
        <x:v>Existing Customer</x:v>
      </x:c>
    </x:row>
    <x:row r="1295">
      <x:c r="A1295" t="str">
        <x:v>O001294</x:v>
      </x:c>
      <x:c r="B1295" s="20" t="n">
        <x:v>46098</x:v>
      </x:c>
      <x:c r="C1295" t="str">
        <x:v>C0128</x:v>
      </x:c>
      <x:c r="D1295" t="str">
        <x:v>Fresh Hotel 128</x:v>
      </x:c>
      <x:c r="E1295" t="str">
        <x:v>Kirana</x:v>
      </x:c>
      <x:c r="F1295" t="str">
        <x:v>Tumakuru</x:v>
      </x:c>
      <x:c r="G1295" t="str">
        <x:v>Priya</x:v>
      </x:c>
      <x:c r="H1295" t="str">
        <x:v>P024</x:v>
      </x:c>
      <x:c r="I1295" t="str">
        <x:v>Orange Drink 1L</x:v>
      </x:c>
      <x:c r="J1295" t="str">
        <x:v>Beverage</x:v>
      </x:c>
      <x:c r="K1295" t="str">
        <x:v>Minute Maid</x:v>
      </x:c>
      <x:c r="L1295" s="22" t="n">
        <x:v>105</x:v>
      </x:c>
      <x:c r="M1295" t="n">
        <x:v>2</x:v>
      </x:c>
      <x:c r="N1295" s="24" t="n">
        <x:v>0.05</x:v>
      </x:c>
      <x:c r="O1295" s="22" t="n">
        <x:f>L1295*M1295</x:f>
        <x:v>210</x:v>
      </x:c>
      <x:c r="P1295" s="22" t="n">
        <x:f>O1295*(1-N1295)</x:f>
        <x:v>199.5</x:v>
      </x:c>
      <x:c r="Q1295" s="22" t="n">
        <x:v>88</x:v>
      </x:c>
      <x:c r="R1295" s="22" t="n">
        <x:f>Q1295*M1295</x:f>
        <x:v>176</x:v>
      </x:c>
      <x:c r="S1295" s="22" t="n">
        <x:f>P1295-R1295</x:f>
        <x:v>23.5</x:v>
      </x:c>
      <x:c r="T1295" t="str">
        <x:v>Cash</x:v>
      </x:c>
      <x:c r="U1295" t="str">
        <x:v>Paid</x:v>
      </x:c>
      <x:c r="V1295" t="str">
        <x:v>Delivered</x:v>
      </x:c>
      <x:c r="W1295" t="n">
        <x:v>0</x:v>
      </x:c>
      <x:c r="X1295" t="str"/>
      <x:c r="Y1295" t="str">
        <x:v>Outbound Call</x:v>
      </x:c>
    </x:row>
    <x:row r="1296">
      <x:c r="A1296" t="str">
        <x:v>O001295</x:v>
      </x:c>
      <x:c r="B1296" s="20" t="n">
        <x:v>46090</x:v>
      </x:c>
      <x:c r="C1296" t="str">
        <x:v>C0143</x:v>
      </x:c>
      <x:c r="D1296" t="str">
        <x:v>Foodie Restaurant 143</x:v>
      </x:c>
      <x:c r="E1296" t="str">
        <x:v>Restaurant</x:v>
      </x:c>
      <x:c r="F1296" t="str">
        <x:v>Hubballi</x:v>
      </x:c>
      <x:c r="G1296" t="str">
        <x:v>Priya</x:v>
      </x:c>
      <x:c r="H1296" t="str">
        <x:v>P045</x:v>
      </x:c>
      <x:c r="I1296" t="str">
        <x:v>Onion 25kg</x:v>
      </x:c>
      <x:c r="J1296" t="str">
        <x:v>Fresh Produce</x:v>
      </x:c>
      <x:c r="K1296" t="str">
        <x:v>Local Market</x:v>
      </x:c>
      <x:c r="L1296" s="22" t="n">
        <x:v>875</x:v>
      </x:c>
      <x:c r="M1296" t="n">
        <x:v>5</x:v>
      </x:c>
      <x:c r="N1296" s="24" t="n">
        <x:v>0</x:v>
      </x:c>
      <x:c r="O1296" s="22" t="n">
        <x:f>L1296*M1296</x:f>
        <x:v>4375</x:v>
      </x:c>
      <x:c r="P1296" s="22" t="n">
        <x:f>O1296*(1-N1296)</x:f>
        <x:v>4375</x:v>
      </x:c>
      <x:c r="Q1296" s="22" t="n">
        <x:v>760</x:v>
      </x:c>
      <x:c r="R1296" s="22" t="n">
        <x:f>Q1296*M1296</x:f>
        <x:v>3800</x:v>
      </x:c>
      <x:c r="S1296" s="22" t="n">
        <x:f>P1296-R1296</x:f>
        <x:v>575</x:v>
      </x:c>
      <x:c r="T1296" t="str">
        <x:v>Cash</x:v>
      </x:c>
      <x:c r="U1296" t="str">
        <x:v>Pending</x:v>
      </x:c>
      <x:c r="V1296" t="str">
        <x:v>Cancelled</x:v>
      </x:c>
      <x:c r="W1296" t="n">
        <x:v>5</x:v>
      </x:c>
      <x:c r="X1296" t="str">
        <x:v>Cancelled Order</x:v>
      </x:c>
      <x:c r="Y1296" t="str">
        <x:v>Field Visit</x:v>
      </x:c>
    </x:row>
    <x:row r="1297">
      <x:c r="A1297" t="str">
        <x:v>O001296</x:v>
      </x:c>
      <x:c r="B1297" s="20" t="n">
        <x:v>45798</x:v>
      </x:c>
      <x:c r="C1297" t="str">
        <x:v>C0130</x:v>
      </x:c>
      <x:c r="D1297" t="str">
        <x:v>Foodie Cafe 130</x:v>
      </x:c>
      <x:c r="E1297" t="str">
        <x:v>Restaurant</x:v>
      </x:c>
      <x:c r="F1297" t="str">
        <x:v>Davanagere</x:v>
      </x:c>
      <x:c r="G1297" t="str">
        <x:v>Megha</x:v>
      </x:c>
      <x:c r="H1297" t="str">
        <x:v>P016</x:v>
      </x:c>
      <x:c r="I1297" t="str">
        <x:v>Curd 1kg</x:v>
      </x:c>
      <x:c r="J1297" t="str">
        <x:v>Dairy</x:v>
      </x:c>
      <x:c r="K1297" t="str">
        <x:v>Nandini</x:v>
      </x:c>
      <x:c r="L1297" s="22" t="n">
        <x:v>72</x:v>
      </x:c>
      <x:c r="M1297" t="n">
        <x:v>8</x:v>
      </x:c>
      <x:c r="N1297" s="24" t="n">
        <x:v>0</x:v>
      </x:c>
      <x:c r="O1297" s="22" t="n">
        <x:f>L1297*M1297</x:f>
        <x:v>576</x:v>
      </x:c>
      <x:c r="P1297" s="22" t="n">
        <x:f>O1297*(1-N1297)</x:f>
        <x:v>576</x:v>
      </x:c>
      <x:c r="Q1297" s="22" t="n">
        <x:v>64</x:v>
      </x:c>
      <x:c r="R1297" s="22" t="n">
        <x:f>Q1297*M1297</x:f>
        <x:v>512</x:v>
      </x:c>
      <x:c r="S1297" s="22" t="n">
        <x:f>P1297-R1297</x:f>
        <x:v>64</x:v>
      </x:c>
      <x:c r="T1297" t="str">
        <x:v>UPI</x:v>
      </x:c>
      <x:c r="U1297" t="str">
        <x:v>Paid</x:v>
      </x:c>
      <x:c r="V1297" t="str">
        <x:v>Cancelled</x:v>
      </x:c>
      <x:c r="W1297" t="n">
        <x:v>8</x:v>
      </x:c>
      <x:c r="X1297" t="str">
        <x:v>Cancelled Order</x:v>
      </x:c>
      <x:c r="Y1297" t="str">
        <x:v>Referral</x:v>
      </x:c>
    </x:row>
    <x:row r="1298">
      <x:c r="A1298" t="str">
        <x:v>O001297</x:v>
      </x:c>
      <x:c r="B1298" s="20" t="n">
        <x:v>46228</x:v>
      </x:c>
      <x:c r="C1298" t="str">
        <x:v>C0140</x:v>
      </x:c>
      <x:c r="D1298" t="str">
        <x:v>Fresh Hotel 140</x:v>
      </x:c>
      <x:c r="E1298" t="str">
        <x:v>Kirana</x:v>
      </x:c>
      <x:c r="F1298" t="str">
        <x:v>Tumakuru</x:v>
      </x:c>
      <x:c r="G1298" t="str">
        <x:v>Imran</x:v>
      </x:c>
      <x:c r="H1298" t="str">
        <x:v>P024</x:v>
      </x:c>
      <x:c r="I1298" t="str">
        <x:v>Orange Drink 1L</x:v>
      </x:c>
      <x:c r="J1298" t="str">
        <x:v>Beverage</x:v>
      </x:c>
      <x:c r="K1298" t="str">
        <x:v>Minute Maid</x:v>
      </x:c>
      <x:c r="L1298" s="22" t="n">
        <x:v>105</x:v>
      </x:c>
      <x:c r="M1298" t="n">
        <x:v>17</x:v>
      </x:c>
      <x:c r="N1298" s="24" t="n">
        <x:v>0.03</x:v>
      </x:c>
      <x:c r="O1298" s="22" t="n">
        <x:f>L1298*M1298</x:f>
        <x:v>1785</x:v>
      </x:c>
      <x:c r="P1298" s="22" t="n">
        <x:f>O1298*(1-N1298)</x:f>
        <x:v>1731.45</x:v>
      </x:c>
      <x:c r="Q1298" s="22" t="n">
        <x:v>88</x:v>
      </x:c>
      <x:c r="R1298" s="22" t="n">
        <x:f>Q1298*M1298</x:f>
        <x:v>1496</x:v>
      </x:c>
      <x:c r="S1298" s="22" t="n">
        <x:f>P1298-R1298</x:f>
        <x:v>235.45000000000005</x:v>
      </x:c>
      <x:c r="T1298" t="str">
        <x:v>Bank Transfer</x:v>
      </x:c>
      <x:c r="U1298" t="str">
        <x:v>Paid</x:v>
      </x:c>
      <x:c r="V1298" t="str">
        <x:v>Delivered</x:v>
      </x:c>
      <x:c r="W1298" t="n">
        <x:v>0</x:v>
      </x:c>
      <x:c r="X1298" t="str"/>
      <x:c r="Y1298" t="str">
        <x:v>Referral</x:v>
      </x:c>
    </x:row>
    <x:row r="1299">
      <x:c r="A1299" t="str">
        <x:v>O001298</x:v>
      </x:c>
      <x:c r="B1299" s="20" t="n">
        <x:v>46058</x:v>
      </x:c>
      <x:c r="C1299" t="str">
        <x:v>C0077</x:v>
      </x:c>
      <x:c r="D1299" t="str">
        <x:v>Spice Cafe 77</x:v>
      </x:c>
      <x:c r="E1299" t="str">
        <x:v>Kirana</x:v>
      </x:c>
      <x:c r="F1299" t="str">
        <x:v>Hubballi</x:v>
      </x:c>
      <x:c r="G1299" t="str">
        <x:v>Vikram</x:v>
      </x:c>
      <x:c r="H1299" t="str">
        <x:v>P009</x:v>
      </x:c>
      <x:c r="I1299" t="str">
        <x:v>Groundnut Oil 5L</x:v>
      </x:c>
      <x:c r="J1299" t="str">
        <x:v>Edible Oil</x:v>
      </x:c>
      <x:c r="K1299" t="str">
        <x:v>Dhara</x:v>
      </x:c>
      <x:c r="L1299" s="22" t="n">
        <x:v>890</x:v>
      </x:c>
      <x:c r="M1299" t="n">
        <x:v>1</x:v>
      </x:c>
      <x:c r="N1299" s="24" t="n">
        <x:v>0.02</x:v>
      </x:c>
      <x:c r="O1299" s="22" t="n">
        <x:f>L1299*M1299</x:f>
        <x:v>890</x:v>
      </x:c>
      <x:c r="P1299" s="22" t="n">
        <x:f>O1299*(1-N1299)</x:f>
        <x:v>872.1999999999999</x:v>
      </x:c>
      <x:c r="Q1299" s="22" t="n">
        <x:v>810</x:v>
      </x:c>
      <x:c r="R1299" s="22" t="n">
        <x:f>Q1299*M1299</x:f>
        <x:v>810</x:v>
      </x:c>
      <x:c r="S1299" s="22" t="n">
        <x:f>P1299-R1299</x:f>
        <x:v>62.19999999999993</x:v>
      </x:c>
      <x:c r="T1299" t="str">
        <x:v>UPI</x:v>
      </x:c>
      <x:c r="U1299" t="str">
        <x:v>Paid</x:v>
      </x:c>
      <x:c r="V1299" t="str">
        <x:v>Cancelled</x:v>
      </x:c>
      <x:c r="W1299" t="n">
        <x:v>1</x:v>
      </x:c>
      <x:c r="X1299" t="str">
        <x:v>Cancelled Order</x:v>
      </x:c>
      <x:c r="Y1299" t="str">
        <x:v>Field Visit</x:v>
      </x:c>
    </x:row>
    <x:row r="1300">
      <x:c r="A1300" t="str">
        <x:v>O001299</x:v>
      </x:c>
      <x:c r="B1300" s="20" t="n">
        <x:v>45798</x:v>
      </x:c>
      <x:c r="C1300" t="str">
        <x:v>C0003</x:v>
      </x:c>
      <x:c r="D1300" t="str">
        <x:v>Grand Foods 3</x:v>
      </x:c>
      <x:c r="E1300" t="str">
        <x:v>Restaurant</x:v>
      </x:c>
      <x:c r="F1300" t="str">
        <x:v>Bengaluru</x:v>
      </x:c>
      <x:c r="G1300" t="str">
        <x:v>Vikram</x:v>
      </x:c>
      <x:c r="H1300" t="str">
        <x:v>P020</x:v>
      </x:c>
      <x:c r="I1300" t="str">
        <x:v>Coffee 500g</x:v>
      </x:c>
      <x:c r="J1300" t="str">
        <x:v>Beverage</x:v>
      </x:c>
      <x:c r="K1300" t="str">
        <x:v>Bru</x:v>
      </x:c>
      <x:c r="L1300" s="22" t="n">
        <x:v>390</x:v>
      </x:c>
      <x:c r="M1300" t="n">
        <x:v>21</x:v>
      </x:c>
      <x:c r="N1300" s="24" t="n">
        <x:v>0.08</x:v>
      </x:c>
      <x:c r="O1300" s="22" t="n">
        <x:f>L1300*M1300</x:f>
        <x:v>8190</x:v>
      </x:c>
      <x:c r="P1300" s="22" t="n">
        <x:f>O1300*(1-N1300)</x:f>
        <x:v>7534.8</x:v>
      </x:c>
      <x:c r="Q1300" s="22" t="n">
        <x:v>350</x:v>
      </x:c>
      <x:c r="R1300" s="22" t="n">
        <x:f>Q1300*M1300</x:f>
        <x:v>7350</x:v>
      </x:c>
      <x:c r="S1300" s="22" t="n">
        <x:f>P1300-R1300</x:f>
        <x:v>184.80000000000018</x:v>
      </x:c>
      <x:c r="T1300" t="str">
        <x:v>Credit</x:v>
      </x:c>
      <x:c r="U1300" t="str">
        <x:v>Pending</x:v>
      </x:c>
      <x:c r="V1300" t="str">
        <x:v>Delivered</x:v>
      </x:c>
      <x:c r="W1300" t="n">
        <x:v>0</x:v>
      </x:c>
      <x:c r="X1300" t="str"/>
      <x:c r="Y1300" t="str">
        <x:v>WhatsApp</x:v>
      </x:c>
    </x:row>
    <x:row r="1301">
      <x:c r="A1301" t="str">
        <x:v>O001300</x:v>
      </x:c>
      <x:c r="B1301" s="20" t="n">
        <x:v>46055</x:v>
      </x:c>
      <x:c r="C1301" t="str">
        <x:v>C0026</x:v>
      </x:c>
      <x:c r="D1301" t="str">
        <x:v>Cafe Kitchen 26</x:v>
      </x:c>
      <x:c r="E1301" t="str">
        <x:v>Kirana</x:v>
      </x:c>
      <x:c r="F1301" t="str">
        <x:v>Davanagere</x:v>
      </x:c>
      <x:c r="G1301" t="str">
        <x:v>Kavya</x:v>
      </x:c>
      <x:c r="H1301" t="str">
        <x:v>P012</x:v>
      </x:c>
      <x:c r="I1301" t="str">
        <x:v>Maida 10kg</x:v>
      </x:c>
      <x:c r="J1301" t="str">
        <x:v>Flour</x:v>
      </x:c>
      <x:c r="K1301" t="str">
        <x:v>Aashirvaad</x:v>
      </x:c>
      <x:c r="L1301" s="22" t="n">
        <x:v>520</x:v>
      </x:c>
      <x:c r="M1301" t="n">
        <x:v>36</x:v>
      </x:c>
      <x:c r="N1301" s="24" t="n">
        <x:v>0.05</x:v>
      </x:c>
      <x:c r="O1301" s="22" t="n">
        <x:f>L1301*M1301</x:f>
        <x:v>18720</x:v>
      </x:c>
      <x:c r="P1301" s="22" t="n">
        <x:f>O1301*(1-N1301)</x:f>
        <x:v>17784</x:v>
      </x:c>
      <x:c r="Q1301" s="22" t="n">
        <x:v>460</x:v>
      </x:c>
      <x:c r="R1301" s="22" t="n">
        <x:f>Q1301*M1301</x:f>
        <x:v>16560</x:v>
      </x:c>
      <x:c r="S1301" s="22" t="n">
        <x:f>P1301-R1301</x:f>
        <x:v>1224</x:v>
      </x:c>
      <x:c r="T1301" t="str">
        <x:v>UPI</x:v>
      </x:c>
      <x:c r="U1301" t="str">
        <x:v>Paid</x:v>
      </x:c>
      <x:c r="V1301" t="str">
        <x:v>Delivered</x:v>
      </x:c>
      <x:c r="W1301" t="n">
        <x:v>0</x:v>
      </x:c>
      <x:c r="X1301" t="str"/>
      <x:c r="Y1301" t="str">
        <x:v>Referral</x:v>
      </x:c>
    </x:row>
    <x:row r="1302">
      <x:c r="A1302" t="str">
        <x:v>O001301</x:v>
      </x:c>
      <x:c r="B1302" s="20" t="n">
        <x:v>46183</x:v>
      </x:c>
      <x:c r="C1302" t="str">
        <x:v>C0018</x:v>
      </x:c>
      <x:c r="D1302" t="str">
        <x:v>Namma Canteen 18</x:v>
      </x:c>
      <x:c r="E1302" t="str">
        <x:v>Restaurant</x:v>
      </x:c>
      <x:c r="F1302" t="str">
        <x:v>Davanagere</x:v>
      </x:c>
      <x:c r="G1302" t="str">
        <x:v>Imran</x:v>
      </x:c>
      <x:c r="H1302" t="str">
        <x:v>P031</x:v>
      </x:c>
      <x:c r="I1302" t="str">
        <x:v>Chilli Sauce 700g</x:v>
      </x:c>
      <x:c r="J1302" t="str">
        <x:v>Condiments</x:v>
      </x:c>
      <x:c r="K1302" t="str">
        <x:v>Ching's</x:v>
      </x:c>
      <x:c r="L1302" s="22" t="n">
        <x:v>130</x:v>
      </x:c>
      <x:c r="M1302" t="n">
        <x:v>5</x:v>
      </x:c>
      <x:c r="N1302" s="24" t="n">
        <x:v>0.03</x:v>
      </x:c>
      <x:c r="O1302" s="22" t="n">
        <x:f>L1302*M1302</x:f>
        <x:v>650</x:v>
      </x:c>
      <x:c r="P1302" s="22" t="n">
        <x:f>O1302*(1-N1302)</x:f>
        <x:v>630.5</x:v>
      </x:c>
      <x:c r="Q1302" s="22" t="n">
        <x:v>112</x:v>
      </x:c>
      <x:c r="R1302" s="22" t="n">
        <x:f>Q1302*M1302</x:f>
        <x:v>560</x:v>
      </x:c>
      <x:c r="S1302" s="22" t="n">
        <x:f>P1302-R1302</x:f>
        <x:v>70.5</x:v>
      </x:c>
      <x:c r="T1302" t="str">
        <x:v>Bank Transfer</x:v>
      </x:c>
      <x:c r="U1302" t="str">
        <x:v>Paid</x:v>
      </x:c>
      <x:c r="V1302" t="str">
        <x:v>Delivered</x:v>
      </x:c>
      <x:c r="W1302" t="n">
        <x:v>0</x:v>
      </x:c>
      <x:c r="X1302" t="str"/>
      <x:c r="Y1302" t="str">
        <x:v>Field Visit</x:v>
      </x:c>
    </x:row>
    <x:row r="1303">
      <x:c r="A1303" t="str">
        <x:v>O001302</x:v>
      </x:c>
      <x:c r="B1303" s="20" t="n">
        <x:v>46074</x:v>
      </x:c>
      <x:c r="C1303" t="str">
        <x:v>C0212</x:v>
      </x:c>
      <x:c r="D1303" t="str">
        <x:v>Classic Restaurant 212</x:v>
      </x:c>
      <x:c r="E1303" t="str">
        <x:v>Restaurant</x:v>
      </x:c>
      <x:c r="F1303" t="str">
        <x:v>Mysuru</x:v>
      </x:c>
      <x:c r="G1303" t="str">
        <x:v>Vikram</x:v>
      </x:c>
      <x:c r="H1303" t="str">
        <x:v>P017</x:v>
      </x:c>
      <x:c r="I1303" t="str">
        <x:v>Butter 500g</x:v>
      </x:c>
      <x:c r="J1303" t="str">
        <x:v>Dairy</x:v>
      </x:c>
      <x:c r="K1303" t="str">
        <x:v>Amul</x:v>
      </x:c>
      <x:c r="L1303" s="22" t="n">
        <x:v>285</x:v>
      </x:c>
      <x:c r="M1303" t="n">
        <x:v>4</x:v>
      </x:c>
      <x:c r="N1303" s="24" t="n">
        <x:v>0.05</x:v>
      </x:c>
      <x:c r="O1303" s="22" t="n">
        <x:f>L1303*M1303</x:f>
        <x:v>1140</x:v>
      </x:c>
      <x:c r="P1303" s="22" t="n">
        <x:f>O1303*(1-N1303)</x:f>
        <x:v>1083</x:v>
      </x:c>
      <x:c r="Q1303" s="22" t="n">
        <x:v>258</x:v>
      </x:c>
      <x:c r="R1303" s="22" t="n">
        <x:f>Q1303*M1303</x:f>
        <x:v>1032</x:v>
      </x:c>
      <x:c r="S1303" s="22" t="n">
        <x:f>P1303-R1303</x:f>
        <x:v>51</x:v>
      </x:c>
      <x:c r="T1303" t="str">
        <x:v>UPI</x:v>
      </x:c>
      <x:c r="U1303" t="str">
        <x:v>Pending</x:v>
      </x:c>
      <x:c r="V1303" t="str">
        <x:v>Delivered</x:v>
      </x:c>
      <x:c r="W1303" t="n">
        <x:v>3</x:v>
      </x:c>
      <x:c r="X1303" t="str">
        <x:v>Late Delivery</x:v>
      </x:c>
      <x:c r="Y1303" t="str">
        <x:v>WhatsApp</x:v>
      </x:c>
    </x:row>
    <x:row r="1304">
      <x:c r="A1304" t="str">
        <x:v>O001303</x:v>
      </x:c>
      <x:c r="B1304" s="20" t="n">
        <x:v>45788</x:v>
      </x:c>
      <x:c r="C1304" t="str">
        <x:v>C0222</x:v>
      </x:c>
      <x:c r="D1304" t="str">
        <x:v>Sri Cafe 222</x:v>
      </x:c>
      <x:c r="E1304" t="str">
        <x:v>Kirana</x:v>
      </x:c>
      <x:c r="F1304" t="str">
        <x:v>Mangaluru</x:v>
      </x:c>
      <x:c r="G1304" t="str">
        <x:v>Arjun</x:v>
      </x:c>
      <x:c r="H1304" t="str">
        <x:v>P015</x:v>
      </x:c>
      <x:c r="I1304" t="str">
        <x:v>Milk 1L</x:v>
      </x:c>
      <x:c r="J1304" t="str">
        <x:v>Dairy</x:v>
      </x:c>
      <x:c r="K1304" t="str">
        <x:v>Nandini</x:v>
      </x:c>
      <x:c r="L1304" s="22" t="n">
        <x:v>48</x:v>
      </x:c>
      <x:c r="M1304" t="n">
        <x:v>31</x:v>
      </x:c>
      <x:c r="N1304" s="24" t="n">
        <x:v>0.05</x:v>
      </x:c>
      <x:c r="O1304" s="22" t="n">
        <x:f>L1304*M1304</x:f>
        <x:v>1488</x:v>
      </x:c>
      <x:c r="P1304" s="22" t="n">
        <x:f>O1304*(1-N1304)</x:f>
        <x:v>1413.6</x:v>
      </x:c>
      <x:c r="Q1304" s="22" t="n">
        <x:v>43</x:v>
      </x:c>
      <x:c r="R1304" s="22" t="n">
        <x:f>Q1304*M1304</x:f>
        <x:v>1333</x:v>
      </x:c>
      <x:c r="S1304" s="22" t="n">
        <x:f>P1304-R1304</x:f>
        <x:v>80.59999999999991</x:v>
      </x:c>
      <x:c r="T1304" t="str">
        <x:v>Credit</x:v>
      </x:c>
      <x:c r="U1304" t="str">
        <x:v>Paid</x:v>
      </x:c>
      <x:c r="V1304" t="str">
        <x:v>Cancelled</x:v>
      </x:c>
      <x:c r="W1304" t="n">
        <x:v>31</x:v>
      </x:c>
      <x:c r="X1304" t="str">
        <x:v>Cancelled Order</x:v>
      </x:c>
      <x:c r="Y1304" t="str">
        <x:v>Referral</x:v>
      </x:c>
    </x:row>
    <x:row r="1305">
      <x:c r="A1305" t="str">
        <x:v>O001304</x:v>
      </x:c>
      <x:c r="B1305" s="20" t="n">
        <x:v>46167</x:v>
      </x:c>
      <x:c r="C1305" t="str">
        <x:v>C0134</x:v>
      </x:c>
      <x:c r="D1305" t="str">
        <x:v>Annapurna Stores 134</x:v>
      </x:c>
      <x:c r="E1305" t="str">
        <x:v>Cafe</x:v>
      </x:c>
      <x:c r="F1305" t="str">
        <x:v>Bengaluru</x:v>
      </x:c>
      <x:c r="G1305" t="str">
        <x:v>Kavya</x:v>
      </x:c>
      <x:c r="H1305" t="str">
        <x:v>P019</x:v>
      </x:c>
      <x:c r="I1305" t="str">
        <x:v>Tea 1kg</x:v>
      </x:c>
      <x:c r="J1305" t="str">
        <x:v>Beverage</x:v>
      </x:c>
      <x:c r="K1305" t="str">
        <x:v>Red Label</x:v>
      </x:c>
      <x:c r="L1305" s="22" t="n">
        <x:v>540</x:v>
      </x:c>
      <x:c r="M1305" t="n">
        <x:v>5</x:v>
      </x:c>
      <x:c r="N1305" s="24" t="n">
        <x:v>0.03</x:v>
      </x:c>
      <x:c r="O1305" s="22" t="n">
        <x:f>L1305*M1305</x:f>
        <x:v>2700</x:v>
      </x:c>
      <x:c r="P1305" s="22" t="n">
        <x:f>O1305*(1-N1305)</x:f>
        <x:v>2619</x:v>
      </x:c>
      <x:c r="Q1305" s="22" t="n">
        <x:v>485</x:v>
      </x:c>
      <x:c r="R1305" s="22" t="n">
        <x:f>Q1305*M1305</x:f>
        <x:v>2425</x:v>
      </x:c>
      <x:c r="S1305" s="22" t="n">
        <x:f>P1305-R1305</x:f>
        <x:v>194</x:v>
      </x:c>
      <x:c r="T1305" t="str">
        <x:v>UPI</x:v>
      </x:c>
      <x:c r="U1305" t="str">
        <x:v>Paid</x:v>
      </x:c>
      <x:c r="V1305" t="str">
        <x:v>Delayed</x:v>
      </x:c>
      <x:c r="W1305" t="n">
        <x:v>0</x:v>
      </x:c>
      <x:c r="X1305" t="str"/>
      <x:c r="Y1305" t="str">
        <x:v>Outbound Call</x:v>
      </x:c>
    </x:row>
    <x:row r="1306">
      <x:c r="A1306" t="str">
        <x:v>O001305</x:v>
      </x:c>
      <x:c r="B1306" s="20" t="n">
        <x:v>45698</x:v>
      </x:c>
      <x:c r="C1306" t="str">
        <x:v>C0199</x:v>
      </x:c>
      <x:c r="D1306" t="str">
        <x:v>Classic Cafe 199</x:v>
      </x:c>
      <x:c r="E1306" t="str">
        <x:v>Canteen</x:v>
      </x:c>
      <x:c r="F1306" t="str">
        <x:v>Mangaluru</x:v>
      </x:c>
      <x:c r="G1306" t="str">
        <x:v>Ramesh</x:v>
      </x:c>
      <x:c r="H1306" t="str">
        <x:v>P010</x:v>
      </x:c>
      <x:c r="I1306" t="str">
        <x:v>Sugar 25kg</x:v>
      </x:c>
      <x:c r="J1306" t="str">
        <x:v>Staples</x:v>
      </x:c>
      <x:c r="K1306" t="str">
        <x:v>Madhur</x:v>
      </x:c>
      <x:c r="L1306" s="22" t="n">
        <x:v>1190</x:v>
      </x:c>
      <x:c r="M1306" t="n">
        <x:v>5</x:v>
      </x:c>
      <x:c r="N1306" s="24" t="n">
        <x:v>0.02</x:v>
      </x:c>
      <x:c r="O1306" s="22" t="n">
        <x:f>L1306*M1306</x:f>
        <x:v>5950</x:v>
      </x:c>
      <x:c r="P1306" s="22" t="n">
        <x:f>O1306*(1-N1306)</x:f>
        <x:v>5831</x:v>
      </x:c>
      <x:c r="Q1306" s="22" t="n">
        <x:v>1080</x:v>
      </x:c>
      <x:c r="R1306" s="22" t="n">
        <x:f>Q1306*M1306</x:f>
        <x:v>5400</x:v>
      </x:c>
      <x:c r="S1306" s="22" t="n">
        <x:f>P1306-R1306</x:f>
        <x:v>431</x:v>
      </x:c>
      <x:c r="T1306" t="str">
        <x:v>Credit</x:v>
      </x:c>
      <x:c r="U1306" t="str">
        <x:v>Paid</x:v>
      </x:c>
      <x:c r="V1306" t="str">
        <x:v>Delivered</x:v>
      </x:c>
      <x:c r="W1306" t="n">
        <x:v>0</x:v>
      </x:c>
      <x:c r="X1306" t="str"/>
      <x:c r="Y1306" t="str">
        <x:v>Existing Customer</x:v>
      </x:c>
    </x:row>
    <x:row r="1307">
      <x:c r="A1307" t="str">
        <x:v>O001306</x:v>
      </x:c>
      <x:c r="B1307" s="20" t="n">
        <x:v>46139</x:v>
      </x:c>
      <x:c r="C1307" t="str">
        <x:v>C0236</x:v>
      </x:c>
      <x:c r="D1307" t="str">
        <x:v>Foodie Stores 236</x:v>
      </x:c>
      <x:c r="E1307" t="str">
        <x:v>Kirana</x:v>
      </x:c>
      <x:c r="F1307" t="str">
        <x:v>Bengaluru</x:v>
      </x:c>
      <x:c r="G1307" t="str">
        <x:v>Ramesh</x:v>
      </x:c>
      <x:c r="H1307" t="str">
        <x:v>P020</x:v>
      </x:c>
      <x:c r="I1307" t="str">
        <x:v>Coffee 500g</x:v>
      </x:c>
      <x:c r="J1307" t="str">
        <x:v>Beverage</x:v>
      </x:c>
      <x:c r="K1307" t="str">
        <x:v>Bru</x:v>
      </x:c>
      <x:c r="L1307" s="22" t="n">
        <x:v>390</x:v>
      </x:c>
      <x:c r="M1307" t="n">
        <x:v>33</x:v>
      </x:c>
      <x:c r="N1307" s="24" t="n">
        <x:v>0.03</x:v>
      </x:c>
      <x:c r="O1307" s="22" t="n">
        <x:f>L1307*M1307</x:f>
        <x:v>12870</x:v>
      </x:c>
      <x:c r="P1307" s="22" t="n">
        <x:f>O1307*(1-N1307)</x:f>
        <x:v>12483.9</x:v>
      </x:c>
      <x:c r="Q1307" s="22" t="n">
        <x:v>350</x:v>
      </x:c>
      <x:c r="R1307" s="22" t="n">
        <x:f>Q1307*M1307</x:f>
        <x:v>11550</x:v>
      </x:c>
      <x:c r="S1307" s="22" t="n">
        <x:f>P1307-R1307</x:f>
        <x:v>933.8999999999996</x:v>
      </x:c>
      <x:c r="T1307" t="str">
        <x:v>Bank Transfer</x:v>
      </x:c>
      <x:c r="U1307" t="str">
        <x:v>Paid</x:v>
      </x:c>
      <x:c r="V1307" t="str">
        <x:v>Delivered</x:v>
      </x:c>
      <x:c r="W1307" t="n">
        <x:v>0</x:v>
      </x:c>
      <x:c r="X1307" t="str"/>
      <x:c r="Y1307" t="str">
        <x:v>Field Visit</x:v>
      </x:c>
    </x:row>
    <x:row r="1308">
      <x:c r="A1308" t="str">
        <x:v>O001307</x:v>
      </x:c>
      <x:c r="B1308" s="20" t="n">
        <x:v>45722</x:v>
      </x:c>
      <x:c r="C1308" t="str">
        <x:v>C0158</x:v>
      </x:c>
      <x:c r="D1308" t="str">
        <x:v>Cafe Stores 158</x:v>
      </x:c>
      <x:c r="E1308" t="str">
        <x:v>Cafe</x:v>
      </x:c>
      <x:c r="F1308" t="str">
        <x:v>Mysuru</x:v>
      </x:c>
      <x:c r="G1308" t="str">
        <x:v>Priya</x:v>
      </x:c>
      <x:c r="H1308" t="str">
        <x:v>P041</x:v>
      </x:c>
      <x:c r="I1308" t="str">
        <x:v>Burger Bun 6pc</x:v>
      </x:c>
      <x:c r="J1308" t="str">
        <x:v>Bakery</x:v>
      </x:c>
      <x:c r="K1308" t="str">
        <x:v>Modern</x:v>
      </x:c>
      <x:c r="L1308" s="22" t="n">
        <x:v>42</x:v>
      </x:c>
      <x:c r="M1308" t="n">
        <x:v>17</x:v>
      </x:c>
      <x:c r="N1308" s="24" t="n">
        <x:v>0.05</x:v>
      </x:c>
      <x:c r="O1308" s="22" t="n">
        <x:f>L1308*M1308</x:f>
        <x:v>714</x:v>
      </x:c>
      <x:c r="P1308" s="22" t="n">
        <x:f>O1308*(1-N1308)</x:f>
        <x:v>678.3</x:v>
      </x:c>
      <x:c r="Q1308" s="22" t="n">
        <x:v>32</x:v>
      </x:c>
      <x:c r="R1308" s="22" t="n">
        <x:f>Q1308*M1308</x:f>
        <x:v>544</x:v>
      </x:c>
      <x:c r="S1308" s="22" t="n">
        <x:f>P1308-R1308</x:f>
        <x:v>134.29999999999995</x:v>
      </x:c>
      <x:c r="T1308" t="str">
        <x:v>Cash</x:v>
      </x:c>
      <x:c r="U1308" t="str">
        <x:v>Pending</x:v>
      </x:c>
      <x:c r="V1308" t="str">
        <x:v>Delayed</x:v>
      </x:c>
      <x:c r="W1308" t="n">
        <x:v>0</x:v>
      </x:c>
      <x:c r="X1308" t="str"/>
      <x:c r="Y1308" t="str">
        <x:v>Existing Customer</x:v>
      </x:c>
    </x:row>
    <x:row r="1309">
      <x:c r="A1309" t="str">
        <x:v>O001308</x:v>
      </x:c>
      <x:c r="B1309" s="20" t="n">
        <x:v>45903</x:v>
      </x:c>
      <x:c r="C1309" t="str">
        <x:v>C0238</x:v>
      </x:c>
      <x:c r="D1309" t="str">
        <x:v>Foodie Foods 238</x:v>
      </x:c>
      <x:c r="E1309" t="str">
        <x:v>Restaurant</x:v>
      </x:c>
      <x:c r="F1309" t="str">
        <x:v>Davanagere</x:v>
      </x:c>
      <x:c r="G1309" t="str">
        <x:v>Megha</x:v>
      </x:c>
      <x:c r="H1309" t="str">
        <x:v>P021</x:v>
      </x:c>
      <x:c r="I1309" t="str">
        <x:v>Instant Coffee 200g</x:v>
      </x:c>
      <x:c r="J1309" t="str">
        <x:v>Beverage</x:v>
      </x:c>
      <x:c r="K1309" t="str">
        <x:v>Nescafe</x:v>
      </x:c>
      <x:c r="L1309" s="22" t="n">
        <x:v>460</x:v>
      </x:c>
      <x:c r="M1309" t="n">
        <x:v>37</x:v>
      </x:c>
      <x:c r="N1309" s="24" t="n">
        <x:v>0</x:v>
      </x:c>
      <x:c r="O1309" s="22" t="n">
        <x:f>L1309*M1309</x:f>
        <x:v>17020</x:v>
      </x:c>
      <x:c r="P1309" s="22" t="n">
        <x:f>O1309*(1-N1309)</x:f>
        <x:v>17020</x:v>
      </x:c>
      <x:c r="Q1309" s="22" t="n">
        <x:v>410</x:v>
      </x:c>
      <x:c r="R1309" s="22" t="n">
        <x:f>Q1309*M1309</x:f>
        <x:v>15170</x:v>
      </x:c>
      <x:c r="S1309" s="22" t="n">
        <x:f>P1309-R1309</x:f>
        <x:v>1850</x:v>
      </x:c>
      <x:c r="T1309" t="str">
        <x:v>Cash</x:v>
      </x:c>
      <x:c r="U1309" t="str">
        <x:v>Paid</x:v>
      </x:c>
      <x:c r="V1309" t="str">
        <x:v>Delivered</x:v>
      </x:c>
      <x:c r="W1309" t="n">
        <x:v>0</x:v>
      </x:c>
      <x:c r="X1309" t="str"/>
      <x:c r="Y1309" t="str">
        <x:v>WhatsApp</x:v>
      </x:c>
    </x:row>
    <x:row r="1310">
      <x:c r="A1310" t="str">
        <x:v>O001309</x:v>
      </x:c>
      <x:c r="B1310" s="20" t="n">
        <x:v>45850</x:v>
      </x:c>
      <x:c r="C1310" t="str">
        <x:v>C0154</x:v>
      </x:c>
      <x:c r="D1310" t="str">
        <x:v>Royal Restaurant 154</x:v>
      </x:c>
      <x:c r="E1310" t="str">
        <x:v>Restaurant</x:v>
      </x:c>
      <x:c r="F1310" t="str">
        <x:v>Tumakuru</x:v>
      </x:c>
      <x:c r="G1310" t="str">
        <x:v>Kavya</x:v>
      </x:c>
      <x:c r="H1310" t="str">
        <x:v>P028</x:v>
      </x:c>
      <x:c r="I1310" t="str">
        <x:v>Cookies 200g</x:v>
      </x:c>
      <x:c r="J1310" t="str">
        <x:v>Snacks</x:v>
      </x:c>
      <x:c r="K1310" t="str">
        <x:v>Britannia</x:v>
      </x:c>
      <x:c r="L1310" s="22" t="n">
        <x:v>55</x:v>
      </x:c>
      <x:c r="M1310" t="n">
        <x:v>40</x:v>
      </x:c>
      <x:c r="N1310" s="24" t="n">
        <x:v>0.08</x:v>
      </x:c>
      <x:c r="O1310" s="22" t="n">
        <x:f>L1310*M1310</x:f>
        <x:v>2200</x:v>
      </x:c>
      <x:c r="P1310" s="22" t="n">
        <x:f>O1310*(1-N1310)</x:f>
        <x:v>2024</x:v>
      </x:c>
      <x:c r="Q1310" s="22" t="n">
        <x:v>42</x:v>
      </x:c>
      <x:c r="R1310" s="22" t="n">
        <x:f>Q1310*M1310</x:f>
        <x:v>1680</x:v>
      </x:c>
      <x:c r="S1310" s="22" t="n">
        <x:f>P1310-R1310</x:f>
        <x:v>344</x:v>
      </x:c>
      <x:c r="T1310" t="str">
        <x:v>Bank Transfer</x:v>
      </x:c>
      <x:c r="U1310" t="str">
        <x:v>Pending</x:v>
      </x:c>
      <x:c r="V1310" t="str">
        <x:v>Cancelled</x:v>
      </x:c>
      <x:c r="W1310" t="n">
        <x:v>40</x:v>
      </x:c>
      <x:c r="X1310" t="str">
        <x:v>Cancelled Order</x:v>
      </x:c>
      <x:c r="Y1310" t="str">
        <x:v>Field Visit</x:v>
      </x:c>
    </x:row>
    <x:row r="1311">
      <x:c r="A1311" t="str">
        <x:v>O001310</x:v>
      </x:c>
      <x:c r="B1311" s="20" t="n">
        <x:v>46213</x:v>
      </x:c>
      <x:c r="C1311" t="str">
        <x:v>C0176</x:v>
      </x:c>
      <x:c r="D1311" t="str">
        <x:v>Cafe Kitchen 176</x:v>
      </x:c>
      <x:c r="E1311" t="str">
        <x:v>Kirana</x:v>
      </x:c>
      <x:c r="F1311" t="str">
        <x:v>Mysuru</x:v>
      </x:c>
      <x:c r="G1311" t="str">
        <x:v>Priya</x:v>
      </x:c>
      <x:c r="H1311" t="str">
        <x:v>P024</x:v>
      </x:c>
      <x:c r="I1311" t="str">
        <x:v>Orange Drink 1L</x:v>
      </x:c>
      <x:c r="J1311" t="str">
        <x:v>Beverage</x:v>
      </x:c>
      <x:c r="K1311" t="str">
        <x:v>Minute Maid</x:v>
      </x:c>
      <x:c r="L1311" s="22" t="n">
        <x:v>105</x:v>
      </x:c>
      <x:c r="M1311" t="n">
        <x:v>36</x:v>
      </x:c>
      <x:c r="N1311" s="24" t="n">
        <x:v>0.02</x:v>
      </x:c>
      <x:c r="O1311" s="22" t="n">
        <x:f>L1311*M1311</x:f>
        <x:v>3780</x:v>
      </x:c>
      <x:c r="P1311" s="22" t="n">
        <x:f>O1311*(1-N1311)</x:f>
        <x:v>3704.4</x:v>
      </x:c>
      <x:c r="Q1311" s="22" t="n">
        <x:v>88</x:v>
      </x:c>
      <x:c r="R1311" s="22" t="n">
        <x:f>Q1311*M1311</x:f>
        <x:v>3168</x:v>
      </x:c>
      <x:c r="S1311" s="22" t="n">
        <x:f>P1311-R1311</x:f>
        <x:v>536.4000000000001</x:v>
      </x:c>
      <x:c r="T1311" t="str">
        <x:v>Credit</x:v>
      </x:c>
      <x:c r="U1311" t="str">
        <x:v>Paid</x:v>
      </x:c>
      <x:c r="V1311" t="str">
        <x:v>Delivered</x:v>
      </x:c>
      <x:c r="W1311" t="n">
        <x:v>0</x:v>
      </x:c>
      <x:c r="X1311" t="str"/>
      <x:c r="Y1311" t="str">
        <x:v>Field Visit</x:v>
      </x:c>
    </x:row>
    <x:row r="1312">
      <x:c r="A1312" t="str">
        <x:v>O001311</x:v>
      </x:c>
      <x:c r="B1312" s="20" t="n">
        <x:v>46003</x:v>
      </x:c>
      <x:c r="C1312" t="str">
        <x:v>C0053</x:v>
      </x:c>
      <x:c r="D1312" t="str">
        <x:v>Fresh Cafe 53</x:v>
      </x:c>
      <x:c r="E1312" t="str">
        <x:v>Supermarket</x:v>
      </x:c>
      <x:c r="F1312" t="str">
        <x:v>Mangaluru</x:v>
      </x:c>
      <x:c r="G1312" t="str">
        <x:v>Megha</x:v>
      </x:c>
      <x:c r="H1312" t="str">
        <x:v>P039</x:v>
      </x:c>
      <x:c r="I1312" t="str">
        <x:v>Ice Cream 4L</x:v>
      </x:c>
      <x:c r="J1312" t="str">
        <x:v>Frozen</x:v>
      </x:c>
      <x:c r="K1312" t="str">
        <x:v>Amul</x:v>
      </x:c>
      <x:c r="L1312" s="22" t="n">
        <x:v>480</x:v>
      </x:c>
      <x:c r="M1312" t="n">
        <x:v>12</x:v>
      </x:c>
      <x:c r="N1312" s="24" t="n">
        <x:v>0.08</x:v>
      </x:c>
      <x:c r="O1312" s="22" t="n">
        <x:f>L1312*M1312</x:f>
        <x:v>5760</x:v>
      </x:c>
      <x:c r="P1312" s="22" t="n">
        <x:f>O1312*(1-N1312)</x:f>
        <x:v>5299.2</x:v>
      </x:c>
      <x:c r="Q1312" s="22" t="n">
        <x:v>420</x:v>
      </x:c>
      <x:c r="R1312" s="22" t="n">
        <x:f>Q1312*M1312</x:f>
        <x:v>5040</x:v>
      </x:c>
      <x:c r="S1312" s="22" t="n">
        <x:f>P1312-R1312</x:f>
        <x:v>259.1999999999998</x:v>
      </x:c>
      <x:c r="T1312" t="str">
        <x:v>Credit</x:v>
      </x:c>
      <x:c r="U1312" t="str">
        <x:v>Paid</x:v>
      </x:c>
      <x:c r="V1312" t="str">
        <x:v>Delivered</x:v>
      </x:c>
      <x:c r="W1312" t="n">
        <x:v>0</x:v>
      </x:c>
      <x:c r="X1312" t="str"/>
      <x:c r="Y1312" t="str">
        <x:v>Field Visit</x:v>
      </x:c>
    </x:row>
    <x:row r="1313">
      <x:c r="A1313" t="str">
        <x:v>O001312</x:v>
      </x:c>
      <x:c r="B1313" s="20" t="n">
        <x:v>46007</x:v>
      </x:c>
      <x:c r="C1313" t="str">
        <x:v>C0118</x:v>
      </x:c>
      <x:c r="D1313" t="str">
        <x:v>Sagar Kitchen 118</x:v>
      </x:c>
      <x:c r="E1313" t="str">
        <x:v>Restaurant</x:v>
      </x:c>
      <x:c r="F1313" t="str">
        <x:v>Hubballi</x:v>
      </x:c>
      <x:c r="G1313" t="str">
        <x:v>Megha</x:v>
      </x:c>
      <x:c r="H1313" t="str">
        <x:v>P035</x:v>
      </x:c>
      <x:c r="I1313" t="str">
        <x:v>Coriander Powder 1kg</x:v>
      </x:c>
      <x:c r="J1313" t="str">
        <x:v>Spices</x:v>
      </x:c>
      <x:c r="K1313" t="str">
        <x:v>Everest</x:v>
      </x:c>
      <x:c r="L1313" s="22" t="n">
        <x:v>280</x:v>
      </x:c>
      <x:c r="M1313" t="n">
        <x:v>10</x:v>
      </x:c>
      <x:c r="N1313" s="24" t="n">
        <x:v>0.02</x:v>
      </x:c>
      <x:c r="O1313" s="22" t="n">
        <x:f>L1313*M1313</x:f>
        <x:v>2800</x:v>
      </x:c>
      <x:c r="P1313" s="22" t="n">
        <x:f>O1313*(1-N1313)</x:f>
        <x:v>2744</x:v>
      </x:c>
      <x:c r="Q1313" s="22" t="n">
        <x:v>245</x:v>
      </x:c>
      <x:c r="R1313" s="22" t="n">
        <x:f>Q1313*M1313</x:f>
        <x:v>2450</x:v>
      </x:c>
      <x:c r="S1313" s="22" t="n">
        <x:f>P1313-R1313</x:f>
        <x:v>294</x:v>
      </x:c>
      <x:c r="T1313" t="str">
        <x:v>UPI</x:v>
      </x:c>
      <x:c r="U1313" t="str">
        <x:v>Paid</x:v>
      </x:c>
      <x:c r="V1313" t="str">
        <x:v>Delivered</x:v>
      </x:c>
      <x:c r="W1313" t="n">
        <x:v>0</x:v>
      </x:c>
      <x:c r="X1313" t="str"/>
      <x:c r="Y1313" t="str"/>
    </x:row>
    <x:row r="1314">
      <x:c r="A1314" t="str">
        <x:v>O001313</x:v>
      </x:c>
      <x:c r="B1314" s="20" t="n">
        <x:v>46164</x:v>
      </x:c>
      <x:c r="C1314" t="str">
        <x:v>C0049</x:v>
      </x:c>
      <x:c r="D1314" t="str">
        <x:v>Namma Stores 49</x:v>
      </x:c>
      <x:c r="E1314" t="str">
        <x:v>Hotel</x:v>
      </x:c>
      <x:c r="F1314" t="str">
        <x:v>Mangaluru</x:v>
      </x:c>
      <x:c r="G1314" t="str">
        <x:v>Sneha</x:v>
      </x:c>
      <x:c r="H1314" t="str">
        <x:v>P017</x:v>
      </x:c>
      <x:c r="I1314" t="str">
        <x:v>Butter 500g</x:v>
      </x:c>
      <x:c r="J1314" t="str">
        <x:v>Dairy</x:v>
      </x:c>
      <x:c r="K1314" t="str">
        <x:v>Amul</x:v>
      </x:c>
      <x:c r="L1314" s="22" t="n">
        <x:v>285</x:v>
      </x:c>
      <x:c r="M1314" t="n">
        <x:v>30</x:v>
      </x:c>
      <x:c r="N1314" s="24" t="n">
        <x:v>0.08</x:v>
      </x:c>
      <x:c r="O1314" s="22" t="n">
        <x:f>L1314*M1314</x:f>
        <x:v>8550</x:v>
      </x:c>
      <x:c r="P1314" s="22" t="n">
        <x:f>O1314*(1-N1314)</x:f>
        <x:v>7866</x:v>
      </x:c>
      <x:c r="Q1314" s="22" t="n">
        <x:v>258</x:v>
      </x:c>
      <x:c r="R1314" s="22" t="n">
        <x:f>Q1314*M1314</x:f>
        <x:v>7740</x:v>
      </x:c>
      <x:c r="S1314" s="22" t="n">
        <x:f>P1314-R1314</x:f>
        <x:v>126</x:v>
      </x:c>
      <x:c r="T1314" t="str">
        <x:v>Cash</x:v>
      </x:c>
      <x:c r="U1314" t="str">
        <x:v>Paid</x:v>
      </x:c>
      <x:c r="V1314" t="str">
        <x:v>Delivered</x:v>
      </x:c>
      <x:c r="W1314" t="n">
        <x:v>0</x:v>
      </x:c>
      <x:c r="X1314" t="str"/>
      <x:c r="Y1314" t="str">
        <x:v>Outbound Call</x:v>
      </x:c>
    </x:row>
    <x:row r="1315">
      <x:c r="A1315" t="str">
        <x:v>O001314</x:v>
      </x:c>
      <x:c r="B1315" s="20" t="n">
        <x:v>46267</x:v>
      </x:c>
      <x:c r="C1315" t="str">
        <x:v>C0161</x:v>
      </x:c>
      <x:c r="D1315" t="str">
        <x:v>Hotel Kitchen 161</x:v>
      </x:c>
      <x:c r="E1315" t="str">
        <x:v>Supermarket</x:v>
      </x:c>
      <x:c r="F1315" t="str">
        <x:v>Mysuru</x:v>
      </x:c>
      <x:c r="G1315" t="str">
        <x:v>Sneha</x:v>
      </x:c>
      <x:c r="H1315" t="str">
        <x:v>P032</x:v>
      </x:c>
      <x:c r="I1315" t="str">
        <x:v>Soy Sauce 700g</x:v>
      </x:c>
      <x:c r="J1315" t="str">
        <x:v>Condiments</x:v>
      </x:c>
      <x:c r="K1315" t="str">
        <x:v>Ching's</x:v>
      </x:c>
      <x:c r="L1315" s="22" t="n">
        <x:v>118</x:v>
      </x:c>
      <x:c r="M1315" t="n">
        <x:v>7</x:v>
      </x:c>
      <x:c r="N1315" s="24" t="n">
        <x:v>0.03</x:v>
      </x:c>
      <x:c r="O1315" s="22" t="n">
        <x:f>L1315*M1315</x:f>
        <x:v>826</x:v>
      </x:c>
      <x:c r="P1315" s="22" t="n">
        <x:f>O1315*(1-N1315)</x:f>
        <x:v>801.22</x:v>
      </x:c>
      <x:c r="Q1315" s="22" t="n">
        <x:v>101</x:v>
      </x:c>
      <x:c r="R1315" s="22" t="n">
        <x:f>Q1315*M1315</x:f>
        <x:v>707</x:v>
      </x:c>
      <x:c r="S1315" s="22" t="n">
        <x:f>P1315-R1315</x:f>
        <x:v>94.22000000000003</x:v>
      </x:c>
      <x:c r="T1315" t="str">
        <x:v>Credit</x:v>
      </x:c>
      <x:c r="U1315" t="str">
        <x:v>Paid</x:v>
      </x:c>
      <x:c r="V1315" t="str">
        <x:v>Delivered</x:v>
      </x:c>
      <x:c r="W1315" t="n">
        <x:v>0</x:v>
      </x:c>
      <x:c r="X1315" t="str"/>
      <x:c r="Y1315" t="str">
        <x:v>Field Visit</x:v>
      </x:c>
    </x:row>
    <x:row r="1316">
      <x:c r="A1316" t="str">
        <x:v>O001315</x:v>
      </x:c>
      <x:c r="B1316" s="20" t="n">
        <x:v>45729</x:v>
      </x:c>
      <x:c r="C1316" t="str">
        <x:v>C0014</x:v>
      </x:c>
      <x:c r="D1316" t="str">
        <x:v>Annapurna Canteen 14</x:v>
      </x:c>
      <x:c r="E1316" t="str">
        <x:v>Kirana</x:v>
      </x:c>
      <x:c r="F1316" t="str">
        <x:v>Davanagere</x:v>
      </x:c>
      <x:c r="G1316" t="str">
        <x:v>Sneha</x:v>
      </x:c>
      <x:c r="H1316" t="str">
        <x:v>P003</x:v>
      </x:c>
      <x:c r="I1316" t="str">
        <x:v>Basmati Rice 5kg</x:v>
      </x:c>
      <x:c r="J1316" t="str">
        <x:v>Staples</x:v>
      </x:c>
      <x:c r="K1316" t="str">
        <x:v>India Gate</x:v>
      </x:c>
      <x:c r="L1316" s="22" t="n">
        <x:v>690</x:v>
      </x:c>
      <x:c r="M1316" t="n">
        <x:v>18</x:v>
      </x:c>
      <x:c r="N1316" s="24" t="n">
        <x:v>0</x:v>
      </x:c>
      <x:c r="O1316" s="22" t="n">
        <x:f>L1316*M1316</x:f>
        <x:v>12420</x:v>
      </x:c>
      <x:c r="P1316" s="22" t="n">
        <x:f>O1316*(1-N1316)</x:f>
        <x:v>12420</x:v>
      </x:c>
      <x:c r="Q1316" s="22" t="n">
        <x:v>610</x:v>
      </x:c>
      <x:c r="R1316" s="22" t="n">
        <x:f>Q1316*M1316</x:f>
        <x:v>10980</x:v>
      </x:c>
      <x:c r="S1316" s="22" t="n">
        <x:f>P1316-R1316</x:f>
        <x:v>1440</x:v>
      </x:c>
      <x:c r="T1316" t="str">
        <x:v>Cash</x:v>
      </x:c>
      <x:c r="U1316" t="str">
        <x:v>Paid</x:v>
      </x:c>
      <x:c r="V1316" t="str">
        <x:v>Delivered</x:v>
      </x:c>
      <x:c r="W1316" t="n">
        <x:v>0</x:v>
      </x:c>
      <x:c r="X1316" t="str"/>
      <x:c r="Y1316" t="str">
        <x:v>WhatsApp</x:v>
      </x:c>
    </x:row>
    <x:row r="1317">
      <x:c r="A1317" t="str">
        <x:v>O001316</x:v>
      </x:c>
      <x:c r="B1317" s="20" t="n">
        <x:v>46238</x:v>
      </x:c>
      <x:c r="C1317" t="str">
        <x:v>C0229</x:v>
      </x:c>
      <x:c r="D1317" t="str">
        <x:v>Namma Canteen 229</x:v>
      </x:c>
      <x:c r="E1317" t="str">
        <x:v>Restaurant</x:v>
      </x:c>
      <x:c r="F1317" t="str">
        <x:v>Bengaluru</x:v>
      </x:c>
      <x:c r="G1317" t="str">
        <x:v>Arjun</x:v>
      </x:c>
      <x:c r="H1317" t="str">
        <x:v>P043</x:v>
      </x:c>
      <x:c r="I1317" t="str">
        <x:v>Chicken Breast 1kg</x:v>
      </x:c>
      <x:c r="J1317" t="str">
        <x:v>Protein</x:v>
      </x:c>
      <x:c r="K1317" t="str">
        <x:v>FreshToHome</x:v>
      </x:c>
      <x:c r="L1317" s="22" t="n">
        <x:v>260</x:v>
      </x:c>
      <x:c r="M1317" t="n">
        <x:v>4</x:v>
      </x:c>
      <x:c r="N1317" s="24" t="n">
        <x:v>0</x:v>
      </x:c>
      <x:c r="O1317" s="22" t="n">
        <x:f>L1317*M1317</x:f>
        <x:v>1040</x:v>
      </x:c>
      <x:c r="P1317" s="22" t="n">
        <x:f>O1317*(1-N1317)</x:f>
        <x:v>1040</x:v>
      </x:c>
      <x:c r="Q1317" s="22" t="n">
        <x:v>235</x:v>
      </x:c>
      <x:c r="R1317" s="22" t="n">
        <x:f>Q1317*M1317</x:f>
        <x:v>940</x:v>
      </x:c>
      <x:c r="S1317" s="22" t="n">
        <x:f>P1317-R1317</x:f>
        <x:v>100</x:v>
      </x:c>
      <x:c r="T1317" t="str">
        <x:v>Cash</x:v>
      </x:c>
      <x:c r="U1317" t="str">
        <x:v>Overdue</x:v>
      </x:c>
      <x:c r="V1317" t="str">
        <x:v>Cancelled</x:v>
      </x:c>
      <x:c r="W1317" t="n">
        <x:v>4</x:v>
      </x:c>
      <x:c r="X1317" t="str">
        <x:v>Cancelled Order</x:v>
      </x:c>
      <x:c r="Y1317" t="str">
        <x:v>Field Visit</x:v>
      </x:c>
    </x:row>
    <x:row r="1318">
      <x:c r="A1318" t="str">
        <x:v>O001317</x:v>
      </x:c>
      <x:c r="B1318" s="20" t="n">
        <x:v>45883</x:v>
      </x:c>
      <x:c r="C1318" t="str">
        <x:v>C0062</x:v>
      </x:c>
      <x:c r="D1318" t="str">
        <x:v>Foodie Hotel 62</x:v>
      </x:c>
      <x:c r="E1318" t="str">
        <x:v>Cafe</x:v>
      </x:c>
      <x:c r="F1318" t="str">
        <x:v>Mysuru</x:v>
      </x:c>
      <x:c r="G1318" t="str">
        <x:v>Vikram</x:v>
      </x:c>
      <x:c r="H1318" t="str">
        <x:v>P015</x:v>
      </x:c>
      <x:c r="I1318" t="str">
        <x:v>Milk 1L</x:v>
      </x:c>
      <x:c r="J1318" t="str">
        <x:v>Dairy</x:v>
      </x:c>
      <x:c r="K1318" t="str">
        <x:v>Nandini</x:v>
      </x:c>
      <x:c r="L1318" s="22" t="n">
        <x:v>48</x:v>
      </x:c>
      <x:c r="M1318" t="n">
        <x:v>40</x:v>
      </x:c>
      <x:c r="N1318" s="24" t="n">
        <x:v>0.05</x:v>
      </x:c>
      <x:c r="O1318" s="22" t="n">
        <x:f>L1318*M1318</x:f>
        <x:v>1920</x:v>
      </x:c>
      <x:c r="P1318" s="22" t="n">
        <x:f>O1318*(1-N1318)</x:f>
        <x:v>1824</x:v>
      </x:c>
      <x:c r="Q1318" s="22" t="n">
        <x:v>43</x:v>
      </x:c>
      <x:c r="R1318" s="22" t="n">
        <x:f>Q1318*M1318</x:f>
        <x:v>1720</x:v>
      </x:c>
      <x:c r="S1318" s="22" t="n">
        <x:f>P1318-R1318</x:f>
        <x:v>104</x:v>
      </x:c>
      <x:c r="T1318" t="str">
        <x:v>Cash</x:v>
      </x:c>
      <x:c r="U1318" t="str">
        <x:v>Overdue</x:v>
      </x:c>
      <x:c r="V1318" t="str">
        <x:v>Delivered</x:v>
      </x:c>
      <x:c r="W1318" t="n">
        <x:v>0</x:v>
      </x:c>
      <x:c r="X1318" t="str"/>
      <x:c r="Y1318" t="str">
        <x:v>Referral</x:v>
      </x:c>
    </x:row>
    <x:row r="1319">
      <x:c r="A1319" t="str">
        <x:v>O001318</x:v>
      </x:c>
      <x:c r="B1319" s="20" t="n">
        <x:v>45883</x:v>
      </x:c>
      <x:c r="C1319" t="str">
        <x:v>C0150</x:v>
      </x:c>
      <x:c r="D1319" t="str">
        <x:v>Sagar Kitchen 150</x:v>
      </x:c>
      <x:c r="E1319" t="str">
        <x:v>Kirana</x:v>
      </x:c>
      <x:c r="F1319" t="str">
        <x:v>Hubballi</x:v>
      </x:c>
      <x:c r="G1319" t="str">
        <x:v>Ramesh</x:v>
      </x:c>
      <x:c r="H1319" t="str">
        <x:v>P021</x:v>
      </x:c>
      <x:c r="I1319" t="str">
        <x:v>Instant Coffee 200g</x:v>
      </x:c>
      <x:c r="J1319" t="str">
        <x:v>Beverage</x:v>
      </x:c>
      <x:c r="K1319" t="str">
        <x:v>Nescafe</x:v>
      </x:c>
      <x:c r="L1319" s="22" t="n">
        <x:v>460</x:v>
      </x:c>
      <x:c r="M1319" t="n">
        <x:v>11</x:v>
      </x:c>
      <x:c r="N1319" s="24" t="n">
        <x:v>0.05</x:v>
      </x:c>
      <x:c r="O1319" s="22" t="n">
        <x:f>L1319*M1319</x:f>
        <x:v>5060</x:v>
      </x:c>
      <x:c r="P1319" s="22" t="n">
        <x:f>O1319*(1-N1319)</x:f>
        <x:v>4807</x:v>
      </x:c>
      <x:c r="Q1319" s="22" t="n">
        <x:v>410</x:v>
      </x:c>
      <x:c r="R1319" s="22" t="n">
        <x:f>Q1319*M1319</x:f>
        <x:v>4510</x:v>
      </x:c>
      <x:c r="S1319" s="22" t="n">
        <x:f>P1319-R1319</x:f>
        <x:v>297</x:v>
      </x:c>
      <x:c r="T1319" t="str">
        <x:v>Credit</x:v>
      </x:c>
      <x:c r="U1319" t="str">
        <x:v>Paid</x:v>
      </x:c>
      <x:c r="V1319" t="str">
        <x:v>Delayed</x:v>
      </x:c>
      <x:c r="W1319" t="n">
        <x:v>0</x:v>
      </x:c>
      <x:c r="X1319" t="str"/>
      <x:c r="Y1319" t="str">
        <x:v>Outbound Call</x:v>
      </x:c>
    </x:row>
    <x:row r="1320">
      <x:c r="A1320" t="str">
        <x:v>O001319</x:v>
      </x:c>
      <x:c r="B1320" s="20" t="n">
        <x:v>45934</x:v>
      </x:c>
      <x:c r="C1320" t="str">
        <x:v>C0024</x:v>
      </x:c>
      <x:c r="D1320" t="str">
        <x:v>Darshini Restaurant 24</x:v>
      </x:c>
      <x:c r="E1320" t="str">
        <x:v>Restaurant</x:v>
      </x:c>
      <x:c r="F1320" t="str">
        <x:v>Davanagere</x:v>
      </x:c>
      <x:c r="G1320" t="str">
        <x:v>Sneha</x:v>
      </x:c>
      <x:c r="H1320" t="str">
        <x:v>P037</x:v>
      </x:c>
      <x:c r="I1320" t="str">
        <x:v>Frozen Peas 1kg</x:v>
      </x:c>
      <x:c r="J1320" t="str">
        <x:v>Frozen</x:v>
      </x:c>
      <x:c r="K1320" t="str">
        <x:v>Safal</x:v>
      </x:c>
      <x:c r="L1320" s="22" t="n">
        <x:v>155</x:v>
      </x:c>
      <x:c r="M1320" t="n">
        <x:v>32</x:v>
      </x:c>
      <x:c r="N1320" s="24" t="n">
        <x:v>0</x:v>
      </x:c>
      <x:c r="O1320" s="22" t="n">
        <x:f>L1320*M1320</x:f>
        <x:v>4960</x:v>
      </x:c>
      <x:c r="P1320" s="22" t="n">
        <x:f>O1320*(1-N1320)</x:f>
        <x:v>4960</x:v>
      </x:c>
      <x:c r="Q1320" s="22" t="n">
        <x:v>138</x:v>
      </x:c>
      <x:c r="R1320" s="22" t="n">
        <x:f>Q1320*M1320</x:f>
        <x:v>4416</x:v>
      </x:c>
      <x:c r="S1320" s="22" t="n">
        <x:f>P1320-R1320</x:f>
        <x:v>544</x:v>
      </x:c>
      <x:c r="T1320" t="str">
        <x:v>Bank Transfer</x:v>
      </x:c>
      <x:c r="U1320" t="str">
        <x:v>Pending</x:v>
      </x:c>
      <x:c r="V1320" t="str">
        <x:v>Delivered</x:v>
      </x:c>
      <x:c r="W1320" t="n">
        <x:v>0</x:v>
      </x:c>
      <x:c r="X1320" t="str"/>
      <x:c r="Y1320" t="str">
        <x:v>Existing Customer</x:v>
      </x:c>
    </x:row>
    <x:row r="1321">
      <x:c r="A1321" t="str">
        <x:v>O001320</x:v>
      </x:c>
      <x:c r="B1321" s="20" t="n">
        <x:v>45944</x:v>
      </x:c>
      <x:c r="C1321" t="str">
        <x:v>C0045</x:v>
      </x:c>
      <x:c r="D1321" t="str">
        <x:v>Annapurna Restaurant 45</x:v>
      </x:c>
      <x:c r="E1321" t="str">
        <x:v>Kirana</x:v>
      </x:c>
      <x:c r="F1321" t="str">
        <x:v>Mysuru</x:v>
      </x:c>
      <x:c r="G1321" t="str">
        <x:v>Arjun</x:v>
      </x:c>
      <x:c r="H1321" t="str">
        <x:v>P015</x:v>
      </x:c>
      <x:c r="I1321" t="str">
        <x:v>Milk 1L</x:v>
      </x:c>
      <x:c r="J1321" t="str">
        <x:v>Dairy</x:v>
      </x:c>
      <x:c r="K1321" t="str">
        <x:v>Nandini</x:v>
      </x:c>
      <x:c r="L1321" s="22" t="n">
        <x:v>48</x:v>
      </x:c>
      <x:c r="M1321" t="n">
        <x:v>7</x:v>
      </x:c>
      <x:c r="N1321" s="24" t="n">
        <x:v>0</x:v>
      </x:c>
      <x:c r="O1321" s="22" t="n">
        <x:f>L1321*M1321</x:f>
        <x:v>336</x:v>
      </x:c>
      <x:c r="P1321" s="22" t="n">
        <x:f>O1321*(1-N1321)</x:f>
        <x:v>336</x:v>
      </x:c>
      <x:c r="Q1321" s="22" t="n">
        <x:v>43</x:v>
      </x:c>
      <x:c r="R1321" s="22" t="n">
        <x:f>Q1321*M1321</x:f>
        <x:v>301</x:v>
      </x:c>
      <x:c r="S1321" s="22" t="n">
        <x:f>P1321-R1321</x:f>
        <x:v>35</x:v>
      </x:c>
      <x:c r="T1321" t="str">
        <x:v>Cash</x:v>
      </x:c>
      <x:c r="U1321" t="str">
        <x:v>Paid</x:v>
      </x:c>
      <x:c r="V1321" t="str">
        <x:v>Delayed</x:v>
      </x:c>
      <x:c r="W1321" t="n">
        <x:v>0</x:v>
      </x:c>
      <x:c r="X1321" t="str"/>
      <x:c r="Y1321" t="str">
        <x:v>WhatsApp</x:v>
      </x:c>
    </x:row>
    <x:row r="1322">
      <x:c r="A1322" t="str">
        <x:v>O001321</x:v>
      </x:c>
      <x:c r="B1322" s="20" t="n">
        <x:v>45741</x:v>
      </x:c>
      <x:c r="C1322" t="str">
        <x:v>C0060</x:v>
      </x:c>
      <x:c r="D1322" t="str">
        <x:v>Sagar Stores 60</x:v>
      </x:c>
      <x:c r="E1322" t="str">
        <x:v>Cafe</x:v>
      </x:c>
      <x:c r="F1322" t="str">
        <x:v>Hubballi</x:v>
      </x:c>
      <x:c r="G1322" t="str">
        <x:v>Imran</x:v>
      </x:c>
      <x:c r="H1322" t="str">
        <x:v>P007</x:v>
      </x:c>
      <x:c r="I1322" t="str">
        <x:v>Sunflower Oil 15L</x:v>
      </x:c>
      <x:c r="J1322" t="str">
        <x:v>Edible Oil</x:v>
      </x:c>
      <x:c r="K1322" t="str">
        <x:v>Fortune</x:v>
      </x:c>
      <x:c r="L1322" s="22" t="n">
        <x:v>1980</x:v>
      </x:c>
      <x:c r="M1322" t="n">
        <x:v>12</x:v>
      </x:c>
      <x:c r="N1322" s="24" t="n">
        <x:v>0.03</x:v>
      </x:c>
      <x:c r="O1322" s="22" t="n">
        <x:f>L1322*M1322</x:f>
        <x:v>23760</x:v>
      </x:c>
      <x:c r="P1322" s="22" t="n">
        <x:f>O1322*(1-N1322)</x:f>
        <x:v>23047.2</x:v>
      </x:c>
      <x:c r="Q1322" s="22" t="n">
        <x:v>1810</x:v>
      </x:c>
      <x:c r="R1322" s="22" t="n">
        <x:f>Q1322*M1322</x:f>
        <x:v>21720</x:v>
      </x:c>
      <x:c r="S1322" s="22" t="n">
        <x:f>P1322-R1322</x:f>
        <x:v>1327.2000000000007</x:v>
      </x:c>
      <x:c r="T1322" t="str">
        <x:v>Bank Transfer</x:v>
      </x:c>
      <x:c r="U1322" t="str">
        <x:v>Pending</x:v>
      </x:c>
      <x:c r="V1322" t="str">
        <x:v>Delivered</x:v>
      </x:c>
      <x:c r="W1322" t="n">
        <x:v>0</x:v>
      </x:c>
      <x:c r="X1322" t="str"/>
      <x:c r="Y1322" t="str">
        <x:v>WhatsApp</x:v>
      </x:c>
    </x:row>
    <x:row r="1323">
      <x:c r="A1323" t="str">
        <x:v>O001322</x:v>
      </x:c>
      <x:c r="B1323" s="20" t="n">
        <x:v>45868</x:v>
      </x:c>
      <x:c r="C1323" t="str">
        <x:v>C0196</x:v>
      </x:c>
      <x:c r="D1323" t="str">
        <x:v>Namma Mart 196</x:v>
      </x:c>
      <x:c r="E1323" t="str">
        <x:v>Cafe</x:v>
      </x:c>
      <x:c r="F1323" t="str">
        <x:v>Mangaluru</x:v>
      </x:c>
      <x:c r="G1323" t="str">
        <x:v>Kavya</x:v>
      </x:c>
      <x:c r="H1323" t="str">
        <x:v>P018</x:v>
      </x:c>
      <x:c r="I1323" t="str">
        <x:v>Paneer 1kg</x:v>
      </x:c>
      <x:c r="J1323" t="str">
        <x:v>Dairy</x:v>
      </x:c>
      <x:c r="K1323" t="str">
        <x:v>Milky Mist</x:v>
      </x:c>
      <x:c r="L1323" s="22" t="n">
        <x:v>410</x:v>
      </x:c>
      <x:c r="M1323" t="n">
        <x:v>32</x:v>
      </x:c>
      <x:c r="N1323" s="24" t="n">
        <x:v>0.03</x:v>
      </x:c>
      <x:c r="O1323" s="22" t="n">
        <x:f>L1323*M1323</x:f>
        <x:v>13120</x:v>
      </x:c>
      <x:c r="P1323" s="22" t="n">
        <x:f>O1323*(1-N1323)</x:f>
        <x:v>12726.4</x:v>
      </x:c>
      <x:c r="Q1323" s="22" t="n">
        <x:v>370</x:v>
      </x:c>
      <x:c r="R1323" s="22" t="n">
        <x:f>Q1323*M1323</x:f>
        <x:v>11840</x:v>
      </x:c>
      <x:c r="S1323" s="22" t="n">
        <x:f>P1323-R1323</x:f>
        <x:v>886.3999999999996</x:v>
      </x:c>
      <x:c r="T1323" t="str">
        <x:v>Cash</x:v>
      </x:c>
      <x:c r="U1323" t="str">
        <x:v>Paid</x:v>
      </x:c>
      <x:c r="V1323" t="str">
        <x:v>Delivered</x:v>
      </x:c>
      <x:c r="W1323" t="n">
        <x:v>0</x:v>
      </x:c>
      <x:c r="X1323" t="str"/>
      <x:c r="Y1323" t="str">
        <x:v>WhatsApp</x:v>
      </x:c>
    </x:row>
    <x:row r="1324">
      <x:c r="A1324" t="str">
        <x:v>O001323</x:v>
      </x:c>
      <x:c r="B1324" s="20" t="n">
        <x:v>46039</x:v>
      </x:c>
      <x:c r="C1324" t="str">
        <x:v>C0156</x:v>
      </x:c>
      <x:c r="D1324" t="str">
        <x:v>Metro Stores 156</x:v>
      </x:c>
      <x:c r="E1324" t="str">
        <x:v>Hotel</x:v>
      </x:c>
      <x:c r="F1324" t="str">
        <x:v>Tumakuru</x:v>
      </x:c>
      <x:c r="G1324" t="str">
        <x:v>Ramesh</x:v>
      </x:c>
      <x:c r="H1324" t="str">
        <x:v>P014</x:v>
      </x:c>
      <x:c r="I1324" t="str">
        <x:v>Rava 5kg</x:v>
      </x:c>
      <x:c r="J1324" t="str">
        <x:v>Flour</x:v>
      </x:c>
      <x:c r="K1324" t="str">
        <x:v>Local Select</x:v>
      </x:c>
      <x:c r="L1324" s="22" t="n">
        <x:v>245</x:v>
      </x:c>
      <x:c r="M1324" t="n">
        <x:v>10</x:v>
      </x:c>
      <x:c r="N1324" s="24" t="n">
        <x:v>0.05</x:v>
      </x:c>
      <x:c r="O1324" s="22" t="n">
        <x:f>L1324*M1324</x:f>
        <x:v>2450</x:v>
      </x:c>
      <x:c r="P1324" s="22" t="n">
        <x:f>O1324*(1-N1324)</x:f>
        <x:v>2327.5</x:v>
      </x:c>
      <x:c r="Q1324" s="22" t="n">
        <x:v>215</x:v>
      </x:c>
      <x:c r="R1324" s="22" t="n">
        <x:f>Q1324*M1324</x:f>
        <x:v>2150</x:v>
      </x:c>
      <x:c r="S1324" s="22" t="n">
        <x:f>P1324-R1324</x:f>
        <x:v>177.5</x:v>
      </x:c>
      <x:c r="T1324" t="str">
        <x:v>Credit</x:v>
      </x:c>
      <x:c r="U1324" t="str">
        <x:v>Paid</x:v>
      </x:c>
      <x:c r="V1324" t="str">
        <x:v>Delivered</x:v>
      </x:c>
      <x:c r="W1324" t="n">
        <x:v>0</x:v>
      </x:c>
      <x:c r="X1324" t="str"/>
      <x:c r="Y1324" t="str">
        <x:v>Field Visit</x:v>
      </x:c>
    </x:row>
    <x:row r="1325">
      <x:c r="A1325" t="str">
        <x:v>O001324</x:v>
      </x:c>
      <x:c r="B1325" s="20" t="n">
        <x:v>45955</x:v>
      </x:c>
      <x:c r="C1325" t="str">
        <x:v>C0071</x:v>
      </x:c>
      <x:c r="D1325" t="str">
        <x:v>Shree Restaurant 71</x:v>
      </x:c>
      <x:c r="E1325" t="str">
        <x:v>Cafe</x:v>
      </x:c>
      <x:c r="F1325" t="str">
        <x:v>Tumakuru</x:v>
      </x:c>
      <x:c r="G1325" t="str">
        <x:v>Sneha</x:v>
      </x:c>
      <x:c r="H1325" t="str">
        <x:v>P016</x:v>
      </x:c>
      <x:c r="I1325" t="str">
        <x:v>Curd 1kg</x:v>
      </x:c>
      <x:c r="J1325" t="str">
        <x:v>Dairy</x:v>
      </x:c>
      <x:c r="K1325" t="str">
        <x:v>Nandini</x:v>
      </x:c>
      <x:c r="L1325" s="22" t="n">
        <x:v>72</x:v>
      </x:c>
      <x:c r="M1325" t="n">
        <x:v>15</x:v>
      </x:c>
      <x:c r="N1325" s="24" t="n">
        <x:v>0.02</x:v>
      </x:c>
      <x:c r="O1325" s="22" t="n">
        <x:f>L1325*M1325</x:f>
        <x:v>1080</x:v>
      </x:c>
      <x:c r="P1325" s="22" t="n">
        <x:f>O1325*(1-N1325)</x:f>
        <x:v>1058.4</x:v>
      </x:c>
      <x:c r="Q1325" s="22" t="n">
        <x:v>64</x:v>
      </x:c>
      <x:c r="R1325" s="22" t="n">
        <x:f>Q1325*M1325</x:f>
        <x:v>960</x:v>
      </x:c>
      <x:c r="S1325" s="22" t="n">
        <x:f>P1325-R1325</x:f>
        <x:v>98.40000000000009</x:v>
      </x:c>
      <x:c r="T1325" t="str">
        <x:v>Credit</x:v>
      </x:c>
      <x:c r="U1325" t="str">
        <x:v>Overdue</x:v>
      </x:c>
      <x:c r="V1325" t="str">
        <x:v>Cancelled</x:v>
      </x:c>
      <x:c r="W1325" t="n">
        <x:v>15</x:v>
      </x:c>
      <x:c r="X1325" t="str">
        <x:v>Cancelled Order</x:v>
      </x:c>
      <x:c r="Y1325" t="str">
        <x:v>Existing Customer</x:v>
      </x:c>
    </x:row>
    <x:row r="1326">
      <x:c r="A1326" t="str">
        <x:v>O001325</x:v>
      </x:c>
      <x:c r="B1326" s="20" t="n">
        <x:v>46121</x:v>
      </x:c>
      <x:c r="C1326" t="str">
        <x:v>C0179</x:v>
      </x:c>
      <x:c r="D1326" t="str">
        <x:v>Shree Hotel 179</x:v>
      </x:c>
      <x:c r="E1326" t="str">
        <x:v>Restaurant</x:v>
      </x:c>
      <x:c r="F1326" t="str">
        <x:v>Hubballi</x:v>
      </x:c>
      <x:c r="G1326" t="str">
        <x:v>Kavya</x:v>
      </x:c>
      <x:c r="H1326" t="str">
        <x:v>P005</x:v>
      </x:c>
      <x:c r="I1326" t="str">
        <x:v>Chana Dal 5kg</x:v>
      </x:c>
      <x:c r="J1326" t="str">
        <x:v>Pulses</x:v>
      </x:c>
      <x:c r="K1326" t="str">
        <x:v>Local Select</x:v>
      </x:c>
      <x:c r="L1326" s="22" t="n">
        <x:v>520</x:v>
      </x:c>
      <x:c r="M1326" t="n">
        <x:v>2</x:v>
      </x:c>
      <x:c r="N1326" s="24" t="n">
        <x:v>0.02</x:v>
      </x:c>
      <x:c r="O1326" s="22" t="n">
        <x:f>L1326*M1326</x:f>
        <x:v>1040</x:v>
      </x:c>
      <x:c r="P1326" s="22" t="n">
        <x:f>O1326*(1-N1326)</x:f>
        <x:v>1019.1999999999999</x:v>
      </x:c>
      <x:c r="Q1326" s="22" t="n">
        <x:v>455</x:v>
      </x:c>
      <x:c r="R1326" s="22" t="n">
        <x:f>Q1326*M1326</x:f>
        <x:v>910</x:v>
      </x:c>
      <x:c r="S1326" s="22" t="n">
        <x:f>P1326-R1326</x:f>
        <x:v>109.19999999999993</x:v>
      </x:c>
      <x:c r="T1326" t="str">
        <x:v>Cash</x:v>
      </x:c>
      <x:c r="U1326" t="str">
        <x:v>Paid</x:v>
      </x:c>
      <x:c r="V1326" t="str">
        <x:v>Delivered</x:v>
      </x:c>
      <x:c r="W1326" t="n">
        <x:v>0</x:v>
      </x:c>
      <x:c r="X1326" t="str"/>
      <x:c r="Y1326" t="str">
        <x:v>WhatsApp</x:v>
      </x:c>
    </x:row>
    <x:row r="1327">
      <x:c r="A1327" t="str">
        <x:v>O001326</x:v>
      </x:c>
      <x:c r="B1327" s="20" t="n">
        <x:v>45919</x:v>
      </x:c>
      <x:c r="C1327" t="str">
        <x:v>C0023</x:v>
      </x:c>
      <x:c r="D1327" t="str">
        <x:v>Mysore Canteen 23</x:v>
      </x:c>
      <x:c r="E1327" t="str">
        <x:v>Cafe</x:v>
      </x:c>
      <x:c r="F1327" t="str">
        <x:v>Hubballi</x:v>
      </x:c>
      <x:c r="G1327" t="str">
        <x:v>Sneha</x:v>
      </x:c>
      <x:c r="H1327" t="str">
        <x:v>P028</x:v>
      </x:c>
      <x:c r="I1327" t="str">
        <x:v>Cookies 200g</x:v>
      </x:c>
      <x:c r="J1327" t="str">
        <x:v>Snacks</x:v>
      </x:c>
      <x:c r="K1327" t="str">
        <x:v>Britannia</x:v>
      </x:c>
      <x:c r="L1327" s="22" t="n">
        <x:v>55</x:v>
      </x:c>
      <x:c r="M1327" t="n">
        <x:v>23</x:v>
      </x:c>
      <x:c r="N1327" s="24" t="n">
        <x:v>0</x:v>
      </x:c>
      <x:c r="O1327" s="22" t="n">
        <x:f>L1327*M1327</x:f>
        <x:v>1265</x:v>
      </x:c>
      <x:c r="P1327" s="22" t="n">
        <x:f>O1327*(1-N1327)</x:f>
        <x:v>1265</x:v>
      </x:c>
      <x:c r="Q1327" s="22" t="n">
        <x:v>42</x:v>
      </x:c>
      <x:c r="R1327" s="22" t="n">
        <x:f>Q1327*M1327</x:f>
        <x:v>966</x:v>
      </x:c>
      <x:c r="S1327" s="22" t="n">
        <x:f>P1327-R1327</x:f>
        <x:v>299</x:v>
      </x:c>
      <x:c r="T1327" t="str">
        <x:v>Cash</x:v>
      </x:c>
      <x:c r="U1327" t="str">
        <x:v>Pending</x:v>
      </x:c>
      <x:c r="V1327" t="str">
        <x:v>Delivered</x:v>
      </x:c>
      <x:c r="W1327" t="n">
        <x:v>0</x:v>
      </x:c>
      <x:c r="X1327" t="str"/>
      <x:c r="Y1327" t="str">
        <x:v>Referral</x:v>
      </x:c>
    </x:row>
    <x:row r="1328">
      <x:c r="A1328" t="str">
        <x:v>O001327</x:v>
      </x:c>
      <x:c r="B1328" s="20" t="n">
        <x:v>46187</x:v>
      </x:c>
      <x:c r="C1328" t="str">
        <x:v>C0150</x:v>
      </x:c>
      <x:c r="D1328" t="str">
        <x:v>Sagar Kitchen 150</x:v>
      </x:c>
      <x:c r="E1328" t="str">
        <x:v>Kirana</x:v>
      </x:c>
      <x:c r="F1328" t="str">
        <x:v>Hubballi</x:v>
      </x:c>
      <x:c r="G1328" t="str">
        <x:v>Ramesh</x:v>
      </x:c>
      <x:c r="H1328" t="str">
        <x:v>P042</x:v>
      </x:c>
      <x:c r="I1328" t="str">
        <x:v>Eggs 30pc Tray</x:v>
      </x:c>
      <x:c r="J1328" t="str">
        <x:v>Protein</x:v>
      </x:c>
      <x:c r="K1328" t="str">
        <x:v>Farm Fresh</x:v>
      </x:c>
      <x:c r="L1328" s="22" t="n">
        <x:v>195</x:v>
      </x:c>
      <x:c r="M1328" t="n">
        <x:v>39</x:v>
      </x:c>
      <x:c r="N1328" s="24" t="n">
        <x:v>0.03</x:v>
      </x:c>
      <x:c r="O1328" s="22" t="n">
        <x:f>L1328*M1328</x:f>
        <x:v>7605</x:v>
      </x:c>
      <x:c r="P1328" s="22" t="n">
        <x:f>O1328*(1-N1328)</x:f>
        <x:v>7376.849999999999</x:v>
      </x:c>
      <x:c r="Q1328" s="22" t="n">
        <x:v>170</x:v>
      </x:c>
      <x:c r="R1328" s="22" t="n">
        <x:f>Q1328*M1328</x:f>
        <x:v>6630</x:v>
      </x:c>
      <x:c r="S1328" s="22" t="n">
        <x:f>P1328-R1328</x:f>
        <x:v>746.8499999999995</x:v>
      </x:c>
      <x:c r="T1328" t="str">
        <x:v>Bank Transfer</x:v>
      </x:c>
      <x:c r="U1328" t="str">
        <x:v>Pending</x:v>
      </x:c>
      <x:c r="V1328" t="str">
        <x:v>Delivered</x:v>
      </x:c>
      <x:c r="W1328" t="n">
        <x:v>0</x:v>
      </x:c>
      <x:c r="X1328" t="str"/>
      <x:c r="Y1328" t="str">
        <x:v>Referral</x:v>
      </x:c>
    </x:row>
    <x:row r="1329">
      <x:c r="A1329" t="str">
        <x:v>O001328</x:v>
      </x:c>
      <x:c r="B1329" s="20" t="n">
        <x:v>45752</x:v>
      </x:c>
      <x:c r="C1329" t="str">
        <x:v>C0235</x:v>
      </x:c>
      <x:c r="D1329" t="str">
        <x:v>Darshini Canteen 235</x:v>
      </x:c>
      <x:c r="E1329" t="str">
        <x:v>Hotel</x:v>
      </x:c>
      <x:c r="F1329" t="str">
        <x:v>Mangaluru</x:v>
      </x:c>
      <x:c r="G1329" t="str">
        <x:v>Arjun</x:v>
      </x:c>
      <x:c r="H1329" t="str">
        <x:v>P011</x:v>
      </x:c>
      <x:c r="I1329" t="str">
        <x:v>Salt 1kg</x:v>
      </x:c>
      <x:c r="J1329" t="str">
        <x:v>Staples</x:v>
      </x:c>
      <x:c r="K1329" t="str">
        <x:v>Tata</x:v>
      </x:c>
      <x:c r="L1329" s="22" t="n">
        <x:v>28</x:v>
      </x:c>
      <x:c r="M1329" t="n">
        <x:v>40</x:v>
      </x:c>
      <x:c r="N1329" s="24" t="n">
        <x:v>0.05</x:v>
      </x:c>
      <x:c r="O1329" s="22" t="n">
        <x:f>L1329*M1329</x:f>
        <x:v>1120</x:v>
      </x:c>
      <x:c r="P1329" s="22" t="n">
        <x:f>O1329*(1-N1329)</x:f>
        <x:v>1064</x:v>
      </x:c>
      <x:c r="Q1329" s="22" t="n">
        <x:v>23</x:v>
      </x:c>
      <x:c r="R1329" s="22" t="n">
        <x:f>Q1329*M1329</x:f>
        <x:v>920</x:v>
      </x:c>
      <x:c r="S1329" s="22" t="n">
        <x:f>P1329-R1329</x:f>
        <x:v>144</x:v>
      </x:c>
      <x:c r="T1329" t="str">
        <x:v>UPI</x:v>
      </x:c>
      <x:c r="U1329" t="str">
        <x:v>Paid</x:v>
      </x:c>
      <x:c r="V1329" t="str">
        <x:v>Delayed</x:v>
      </x:c>
      <x:c r="W1329" t="n">
        <x:v>0</x:v>
      </x:c>
      <x:c r="X1329" t="str"/>
      <x:c r="Y1329" t="str">
        <x:v>Field Visit</x:v>
      </x:c>
    </x:row>
    <x:row r="1330">
      <x:c r="A1330" t="str">
        <x:v>O001329</x:v>
      </x:c>
      <x:c r="B1330" s="20" t="n">
        <x:v>46104</x:v>
      </x:c>
      <x:c r="C1330" t="str">
        <x:v>C0076</x:v>
      </x:c>
      <x:c r="D1330" t="str">
        <x:v>Sri Canteen 76</x:v>
      </x:c>
      <x:c r="E1330" t="str">
        <x:v>Canteen</x:v>
      </x:c>
      <x:c r="F1330" t="str">
        <x:v>Tumakuru</x:v>
      </x:c>
      <x:c r="G1330" t="str">
        <x:v>Priya</x:v>
      </x:c>
      <x:c r="H1330" t="str">
        <x:v>P010</x:v>
      </x:c>
      <x:c r="I1330" t="str">
        <x:v>Sugar 25kg</x:v>
      </x:c>
      <x:c r="J1330" t="str">
        <x:v>Staples</x:v>
      </x:c>
      <x:c r="K1330" t="str">
        <x:v>Madhur</x:v>
      </x:c>
      <x:c r="L1330" s="22" t="n">
        <x:v>1190</x:v>
      </x:c>
      <x:c r="M1330" t="n">
        <x:v>3</x:v>
      </x:c>
      <x:c r="N1330" s="24" t="n">
        <x:v>0</x:v>
      </x:c>
      <x:c r="O1330" s="22" t="n">
        <x:f>L1330*M1330</x:f>
        <x:v>3570</x:v>
      </x:c>
      <x:c r="P1330" s="22" t="n">
        <x:f>O1330*(1-N1330)</x:f>
        <x:v>3570</x:v>
      </x:c>
      <x:c r="Q1330" s="22" t="n">
        <x:v>1080</x:v>
      </x:c>
      <x:c r="R1330" s="22" t="n">
        <x:f>Q1330*M1330</x:f>
        <x:v>3240</x:v>
      </x:c>
      <x:c r="S1330" s="22" t="n">
        <x:f>P1330-R1330</x:f>
        <x:v>330</x:v>
      </x:c>
      <x:c r="T1330" t="str">
        <x:v>Cash</x:v>
      </x:c>
      <x:c r="U1330" t="str">
        <x:v>Paid</x:v>
      </x:c>
      <x:c r="V1330" t="str">
        <x:v>Delivered</x:v>
      </x:c>
      <x:c r="W1330" t="n">
        <x:v>0</x:v>
      </x:c>
      <x:c r="X1330" t="str"/>
      <x:c r="Y1330" t="str">
        <x:v>Outbound Call</x:v>
      </x:c>
    </x:row>
    <x:row r="1331">
      <x:c r="A1331" t="str">
        <x:v>O001330</x:v>
      </x:c>
      <x:c r="B1331" s="20" t="n">
        <x:v>45838</x:v>
      </x:c>
      <x:c r="C1331" t="str">
        <x:v>C0147</x:v>
      </x:c>
      <x:c r="D1331" t="str">
        <x:v>New Stores 147</x:v>
      </x:c>
      <x:c r="E1331" t="str">
        <x:v>Supermarket</x:v>
      </x:c>
      <x:c r="F1331" t="str">
        <x:v>Hubballi</x:v>
      </x:c>
      <x:c r="G1331" t="str">
        <x:v>Imran</x:v>
      </x:c>
      <x:c r="H1331" t="str">
        <x:v>P042</x:v>
      </x:c>
      <x:c r="I1331" t="str">
        <x:v>Eggs 30pc Tray</x:v>
      </x:c>
      <x:c r="J1331" t="str">
        <x:v>Protein</x:v>
      </x:c>
      <x:c r="K1331" t="str">
        <x:v>Farm Fresh</x:v>
      </x:c>
      <x:c r="L1331" s="22" t="n">
        <x:v>195</x:v>
      </x:c>
      <x:c r="M1331" t="n">
        <x:v>19</x:v>
      </x:c>
      <x:c r="N1331" s="24" t="n">
        <x:v>0.03</x:v>
      </x:c>
      <x:c r="O1331" s="22" t="n">
        <x:f>L1331*M1331</x:f>
        <x:v>3705</x:v>
      </x:c>
      <x:c r="P1331" s="22" t="n">
        <x:f>O1331*(1-N1331)</x:f>
        <x:v>3593.85</x:v>
      </x:c>
      <x:c r="Q1331" s="22" t="n">
        <x:v>170</x:v>
      </x:c>
      <x:c r="R1331" s="22" t="n">
        <x:f>Q1331*M1331</x:f>
        <x:v>3230</x:v>
      </x:c>
      <x:c r="S1331" s="22" t="n">
        <x:f>P1331-R1331</x:f>
        <x:v>363.8499999999999</x:v>
      </x:c>
      <x:c r="T1331" t="str">
        <x:v>Credit</x:v>
      </x:c>
      <x:c r="U1331" t="str">
        <x:v>Pending</x:v>
      </x:c>
      <x:c r="V1331" t="str">
        <x:v>Delivered</x:v>
      </x:c>
      <x:c r="W1331" t="n">
        <x:v>2</x:v>
      </x:c>
      <x:c r="X1331" t="str">
        <x:v>Damaged</x:v>
      </x:c>
      <x:c r="Y1331" t="str">
        <x:v>Outbound Call</x:v>
      </x:c>
    </x:row>
    <x:row r="1332">
      <x:c r="A1332" t="str">
        <x:v>O001331</x:v>
      </x:c>
      <x:c r="B1332" s="20" t="n">
        <x:v>46204</x:v>
      </x:c>
      <x:c r="C1332" t="str">
        <x:v>C0069</x:v>
      </x:c>
      <x:c r="D1332" t="str">
        <x:v>Cafe Hotel 69</x:v>
      </x:c>
      <x:c r="E1332" t="str">
        <x:v>Supermarket</x:v>
      </x:c>
      <x:c r="F1332" t="str">
        <x:v>Bengaluru</x:v>
      </x:c>
      <x:c r="G1332" t="str">
        <x:v>Sneha</x:v>
      </x:c>
      <x:c r="H1332" t="str">
        <x:v>P012</x:v>
      </x:c>
      <x:c r="I1332" t="str">
        <x:v>Maida 10kg</x:v>
      </x:c>
      <x:c r="J1332" t="str">
        <x:v>Flour</x:v>
      </x:c>
      <x:c r="K1332" t="str">
        <x:v>Aashirvaad</x:v>
      </x:c>
      <x:c r="L1332" s="22" t="n">
        <x:v>520</x:v>
      </x:c>
      <x:c r="M1332" t="n">
        <x:v>8</x:v>
      </x:c>
      <x:c r="N1332" s="24" t="n">
        <x:v>0.05</x:v>
      </x:c>
      <x:c r="O1332" s="22" t="n">
        <x:f>L1332*M1332</x:f>
        <x:v>4160</x:v>
      </x:c>
      <x:c r="P1332" s="22" t="n">
        <x:f>O1332*(1-N1332)</x:f>
        <x:v>3952</x:v>
      </x:c>
      <x:c r="Q1332" s="22" t="n">
        <x:v>460</x:v>
      </x:c>
      <x:c r="R1332" s="22" t="n">
        <x:f>Q1332*M1332</x:f>
        <x:v>3680</x:v>
      </x:c>
      <x:c r="S1332" s="22" t="n">
        <x:f>P1332-R1332</x:f>
        <x:v>272</x:v>
      </x:c>
      <x:c r="T1332" t="str">
        <x:v>Cash</x:v>
      </x:c>
      <x:c r="U1332" t="str">
        <x:v>Pending</x:v>
      </x:c>
      <x:c r="V1332" t="str">
        <x:v>Delivered</x:v>
      </x:c>
      <x:c r="W1332" t="n">
        <x:v>0</x:v>
      </x:c>
      <x:c r="X1332" t="str"/>
      <x:c r="Y1332" t="str">
        <x:v>Referral</x:v>
      </x:c>
    </x:row>
    <x:row r="1333">
      <x:c r="A1333" t="str">
        <x:v>O001332</x:v>
      </x:c>
      <x:c r="B1333" s="20" t="n">
        <x:v>45833</x:v>
      </x:c>
      <x:c r="C1333" t="str">
        <x:v>C0003</x:v>
      </x:c>
      <x:c r="D1333" t="str">
        <x:v>Grand Foods 3</x:v>
      </x:c>
      <x:c r="E1333" t="str">
        <x:v>Restaurant</x:v>
      </x:c>
      <x:c r="F1333" t="str">
        <x:v>Bengaluru</x:v>
      </x:c>
      <x:c r="G1333" t="str">
        <x:v>Vikram</x:v>
      </x:c>
      <x:c r="H1333" t="str">
        <x:v>P021</x:v>
      </x:c>
      <x:c r="I1333" t="str">
        <x:v>Instant Coffee 200g</x:v>
      </x:c>
      <x:c r="J1333" t="str">
        <x:v>Beverage</x:v>
      </x:c>
      <x:c r="K1333" t="str">
        <x:v>Nescafe</x:v>
      </x:c>
      <x:c r="L1333" s="22" t="n">
        <x:v>460</x:v>
      </x:c>
      <x:c r="M1333" t="n">
        <x:v>18</x:v>
      </x:c>
      <x:c r="N1333" s="24" t="n">
        <x:v>0.03</x:v>
      </x:c>
      <x:c r="O1333" s="22" t="n">
        <x:f>L1333*M1333</x:f>
        <x:v>8280</x:v>
      </x:c>
      <x:c r="P1333" s="22" t="n">
        <x:f>O1333*(1-N1333)</x:f>
        <x:v>8031.599999999999</x:v>
      </x:c>
      <x:c r="Q1333" s="22" t="n">
        <x:v>410</x:v>
      </x:c>
      <x:c r="R1333" s="22" t="n">
        <x:f>Q1333*M1333</x:f>
        <x:v>7380</x:v>
      </x:c>
      <x:c r="S1333" s="22" t="n">
        <x:f>P1333-R1333</x:f>
        <x:v>651.5999999999995</x:v>
      </x:c>
      <x:c r="T1333" t="str">
        <x:v>UPI</x:v>
      </x:c>
      <x:c r="U1333" t="str">
        <x:v>Paid</x:v>
      </x:c>
      <x:c r="V1333" t="str">
        <x:v>Delivered</x:v>
      </x:c>
      <x:c r="W1333" t="n">
        <x:v>0</x:v>
      </x:c>
      <x:c r="X1333" t="str"/>
      <x:c r="Y1333" t="str">
        <x:v>Referral</x:v>
      </x:c>
    </x:row>
    <x:row r="1334">
      <x:c r="A1334" t="str">
        <x:v>O001333</x:v>
      </x:c>
      <x:c r="B1334" s="20" t="n">
        <x:v>45905</x:v>
      </x:c>
      <x:c r="C1334" t="str">
        <x:v>C0040</x:v>
      </x:c>
      <x:c r="D1334" t="str">
        <x:v>Royal Foods 40</x:v>
      </x:c>
      <x:c r="E1334" t="str">
        <x:v>Restaurant</x:v>
      </x:c>
      <x:c r="F1334" t="str">
        <x:v>Mangaluru</x:v>
      </x:c>
      <x:c r="G1334" t="str">
        <x:v>Kavya</x:v>
      </x:c>
      <x:c r="H1334" t="str">
        <x:v>P009</x:v>
      </x:c>
      <x:c r="I1334" t="str">
        <x:v>Groundnut Oil 5L</x:v>
      </x:c>
      <x:c r="J1334" t="str">
        <x:v>Edible Oil</x:v>
      </x:c>
      <x:c r="K1334" t="str">
        <x:v>Dhara</x:v>
      </x:c>
      <x:c r="L1334" s="22" t="n">
        <x:v>890</x:v>
      </x:c>
      <x:c r="M1334" t="n">
        <x:v>39</x:v>
      </x:c>
      <x:c r="N1334" s="24" t="n">
        <x:v>0.05</x:v>
      </x:c>
      <x:c r="O1334" s="22" t="n">
        <x:f>L1334*M1334</x:f>
        <x:v>34710</x:v>
      </x:c>
      <x:c r="P1334" s="22" t="n">
        <x:f>O1334*(1-N1334)</x:f>
        <x:v>32974.5</x:v>
      </x:c>
      <x:c r="Q1334" s="22" t="n">
        <x:v>810</x:v>
      </x:c>
      <x:c r="R1334" s="22" t="n">
        <x:f>Q1334*M1334</x:f>
        <x:v>31590</x:v>
      </x:c>
      <x:c r="S1334" s="22" t="n">
        <x:f>P1334-R1334</x:f>
        <x:v>1384.5</x:v>
      </x:c>
      <x:c r="T1334" t="str">
        <x:v>Cash</x:v>
      </x:c>
      <x:c r="U1334" t="str">
        <x:v>Paid</x:v>
      </x:c>
      <x:c r="V1334" t="str">
        <x:v>Delivered</x:v>
      </x:c>
      <x:c r="W1334" t="n">
        <x:v>0</x:v>
      </x:c>
      <x:c r="X1334" t="str"/>
      <x:c r="Y1334" t="str">
        <x:v>Outbound Call</x:v>
      </x:c>
    </x:row>
    <x:row r="1335">
      <x:c r="A1335" t="str">
        <x:v>O001334</x:v>
      </x:c>
      <x:c r="B1335" s="20" t="n">
        <x:v>46278</x:v>
      </x:c>
      <x:c r="C1335" t="str">
        <x:v>C0042</x:v>
      </x:c>
      <x:c r="D1335" t="str">
        <x:v>Shree Restaurant 42</x:v>
      </x:c>
      <x:c r="E1335" t="str">
        <x:v>Restaurant</x:v>
      </x:c>
      <x:c r="F1335" t="str">
        <x:v>Mysuru</x:v>
      </x:c>
      <x:c r="G1335" t="str">
        <x:v>Arjun</x:v>
      </x:c>
      <x:c r="H1335" t="str">
        <x:v>P041</x:v>
      </x:c>
      <x:c r="I1335" t="str">
        <x:v>Burger Bun 6pc</x:v>
      </x:c>
      <x:c r="J1335" t="str">
        <x:v>Bakery</x:v>
      </x:c>
      <x:c r="K1335" t="str">
        <x:v>Modern</x:v>
      </x:c>
      <x:c r="L1335" s="22" t="n">
        <x:v>42</x:v>
      </x:c>
      <x:c r="M1335" t="n">
        <x:v>3</x:v>
      </x:c>
      <x:c r="N1335" s="24" t="n">
        <x:v>0</x:v>
      </x:c>
      <x:c r="O1335" s="22" t="n">
        <x:f>L1335*M1335</x:f>
        <x:v>126</x:v>
      </x:c>
      <x:c r="P1335" s="22" t="n">
        <x:f>O1335*(1-N1335)</x:f>
        <x:v>126</x:v>
      </x:c>
      <x:c r="Q1335" s="22" t="n">
        <x:v>32</x:v>
      </x:c>
      <x:c r="R1335" s="22" t="n">
        <x:f>Q1335*M1335</x:f>
        <x:v>96</x:v>
      </x:c>
      <x:c r="S1335" s="22" t="n">
        <x:f>P1335-R1335</x:f>
        <x:v>30</x:v>
      </x:c>
      <x:c r="T1335" t="str">
        <x:v>Credit</x:v>
      </x:c>
      <x:c r="U1335" t="str">
        <x:v>Paid</x:v>
      </x:c>
      <x:c r="V1335" t="str">
        <x:v>Delivered</x:v>
      </x:c>
      <x:c r="W1335" t="n">
        <x:v>0</x:v>
      </x:c>
      <x:c r="X1335" t="str"/>
      <x:c r="Y1335" t="str">
        <x:v>WhatsApp</x:v>
      </x:c>
    </x:row>
    <x:row r="1336">
      <x:c r="A1336" t="str">
        <x:v>O001335</x:v>
      </x:c>
      <x:c r="B1336" s="20" t="n">
        <x:v>46212</x:v>
      </x:c>
      <x:c r="C1336" t="str">
        <x:v>C0102</x:v>
      </x:c>
      <x:c r="D1336" t="str">
        <x:v>Annapurna Foods 102</x:v>
      </x:c>
      <x:c r="E1336" t="str">
        <x:v>Cafe</x:v>
      </x:c>
      <x:c r="F1336" t="str">
        <x:v>Davanagere</x:v>
      </x:c>
      <x:c r="G1336" t="str">
        <x:v>Ramesh</x:v>
      </x:c>
      <x:c r="H1336" t="str">
        <x:v>P036</x:v>
      </x:c>
      <x:c r="I1336" t="str">
        <x:v>Garam Masala 500g</x:v>
      </x:c>
      <x:c r="J1336" t="str">
        <x:v>Spices</x:v>
      </x:c>
      <x:c r="K1336" t="str">
        <x:v>MDH</x:v>
      </x:c>
      <x:c r="L1336" s="22" t="n">
        <x:v>265</x:v>
      </x:c>
      <x:c r="M1336" t="n">
        <x:v>26</x:v>
      </x:c>
      <x:c r="N1336" s="24" t="n">
        <x:v>0.08</x:v>
      </x:c>
      <x:c r="O1336" s="22" t="n">
        <x:f>L1336*M1336</x:f>
        <x:v>6890</x:v>
      </x:c>
      <x:c r="P1336" s="22" t="n">
        <x:f>O1336*(1-N1336)</x:f>
        <x:v>6338.8</x:v>
      </x:c>
      <x:c r="Q1336" s="22" t="n">
        <x:v>230</x:v>
      </x:c>
      <x:c r="R1336" s="22" t="n">
        <x:f>Q1336*M1336</x:f>
        <x:v>5980</x:v>
      </x:c>
      <x:c r="S1336" s="22" t="n">
        <x:f>P1336-R1336</x:f>
        <x:v>358.8000000000002</x:v>
      </x:c>
      <x:c r="T1336" t="str">
        <x:v>Credit</x:v>
      </x:c>
      <x:c r="U1336" t="str">
        <x:v>Overdue</x:v>
      </x:c>
      <x:c r="V1336" t="str">
        <x:v>Delayed</x:v>
      </x:c>
      <x:c r="W1336" t="n">
        <x:v>0</x:v>
      </x:c>
      <x:c r="X1336" t="str"/>
      <x:c r="Y1336" t="str">
        <x:v>Field Visit</x:v>
      </x:c>
    </x:row>
    <x:row r="1337">
      <x:c r="A1337" t="str">
        <x:v>O001336</x:v>
      </x:c>
      <x:c r="B1337" s="20" t="n">
        <x:v>46072</x:v>
      </x:c>
      <x:c r="C1337" t="str">
        <x:v>C0148</x:v>
      </x:c>
      <x:c r="D1337" t="str">
        <x:v>Shree Cafe 148</x:v>
      </x:c>
      <x:c r="E1337" t="str">
        <x:v>Kirana</x:v>
      </x:c>
      <x:c r="F1337" t="str">
        <x:v>Hubballi</x:v>
      </x:c>
      <x:c r="G1337" t="str">
        <x:v>Priya</x:v>
      </x:c>
      <x:c r="H1337" t="str">
        <x:v>P046</x:v>
      </x:c>
      <x:c r="I1337" t="str">
        <x:v>Potato 25kg</x:v>
      </x:c>
      <x:c r="J1337" t="str">
        <x:v>Fresh Produce</x:v>
      </x:c>
      <x:c r="K1337" t="str">
        <x:v>Local Market</x:v>
      </x:c>
      <x:c r="L1337" s="22" t="n">
        <x:v>700</x:v>
      </x:c>
      <x:c r="M1337" t="n">
        <x:v>17</x:v>
      </x:c>
      <x:c r="N1337" s="24" t="n">
        <x:v>0.03</x:v>
      </x:c>
      <x:c r="O1337" s="22" t="n">
        <x:f>L1337*M1337</x:f>
        <x:v>11900</x:v>
      </x:c>
      <x:c r="P1337" s="22" t="n">
        <x:f>O1337*(1-N1337)</x:f>
        <x:v>11543</x:v>
      </x:c>
      <x:c r="Q1337" s="22" t="n">
        <x:v>610</x:v>
      </x:c>
      <x:c r="R1337" s="22" t="n">
        <x:f>Q1337*M1337</x:f>
        <x:v>10370</x:v>
      </x:c>
      <x:c r="S1337" s="22" t="n">
        <x:f>P1337-R1337</x:f>
        <x:v>1173</x:v>
      </x:c>
      <x:c r="T1337" t="str">
        <x:v>Credit</x:v>
      </x:c>
      <x:c r="U1337" t="str">
        <x:v>Paid</x:v>
      </x:c>
      <x:c r="V1337" t="str">
        <x:v>Delivered</x:v>
      </x:c>
      <x:c r="W1337" t="n">
        <x:v>0</x:v>
      </x:c>
      <x:c r="X1337" t="str"/>
      <x:c r="Y1337" t="str">
        <x:v>Outbound Call</x:v>
      </x:c>
    </x:row>
    <x:row r="1338">
      <x:c r="A1338" t="str">
        <x:v>O001337</x:v>
      </x:c>
      <x:c r="B1338" s="20" t="n">
        <x:v>45963</x:v>
      </x:c>
      <x:c r="C1338" t="str">
        <x:v>C0154</x:v>
      </x:c>
      <x:c r="D1338" t="str">
        <x:v>Royal Restaurant 154</x:v>
      </x:c>
      <x:c r="E1338" t="str">
        <x:v>Restaurant</x:v>
      </x:c>
      <x:c r="F1338" t="str">
        <x:v>Tumakuru</x:v>
      </x:c>
      <x:c r="G1338" t="str">
        <x:v>Kavya</x:v>
      </x:c>
      <x:c r="H1338" t="str">
        <x:v>P024</x:v>
      </x:c>
      <x:c r="I1338" t="str">
        <x:v>Orange Drink 1L</x:v>
      </x:c>
      <x:c r="J1338" t="str">
        <x:v>Beverage</x:v>
      </x:c>
      <x:c r="K1338" t="str">
        <x:v>Minute Maid</x:v>
      </x:c>
      <x:c r="L1338" s="22" t="n">
        <x:v>105</x:v>
      </x:c>
      <x:c r="M1338" t="n">
        <x:v>8</x:v>
      </x:c>
      <x:c r="N1338" s="24" t="n">
        <x:v>0.05</x:v>
      </x:c>
      <x:c r="O1338" s="22" t="n">
        <x:f>L1338*M1338</x:f>
        <x:v>840</x:v>
      </x:c>
      <x:c r="P1338" s="22" t="n">
        <x:f>O1338*(1-N1338)</x:f>
        <x:v>798</x:v>
      </x:c>
      <x:c r="Q1338" s="22" t="n">
        <x:v>88</x:v>
      </x:c>
      <x:c r="R1338" s="22" t="n">
        <x:f>Q1338*M1338</x:f>
        <x:v>704</x:v>
      </x:c>
      <x:c r="S1338" s="22" t="n">
        <x:f>P1338-R1338</x:f>
        <x:v>94</x:v>
      </x:c>
      <x:c r="T1338" t="str">
        <x:v>Credit</x:v>
      </x:c>
      <x:c r="U1338" t="str">
        <x:v>Paid</x:v>
      </x:c>
      <x:c r="V1338" t="str">
        <x:v>Delivered</x:v>
      </x:c>
      <x:c r="W1338" t="n">
        <x:v>0</x:v>
      </x:c>
      <x:c r="X1338" t="str"/>
      <x:c r="Y1338" t="str">
        <x:v>Field Visit</x:v>
      </x:c>
    </x:row>
    <x:row r="1339">
      <x:c r="A1339" t="str">
        <x:v>O001338</x:v>
      </x:c>
      <x:c r="B1339" s="20" t="n">
        <x:v>45878</x:v>
      </x:c>
      <x:c r="C1339" t="str">
        <x:v>C0193</x:v>
      </x:c>
      <x:c r="D1339" t="str">
        <x:v>Udupi Cafe 193</x:v>
      </x:c>
      <x:c r="E1339" t="str">
        <x:v>Restaurant</x:v>
      </x:c>
      <x:c r="F1339" t="str">
        <x:v>Hubballi</x:v>
      </x:c>
      <x:c r="G1339" t="str">
        <x:v>Sneha</x:v>
      </x:c>
      <x:c r="H1339" t="str">
        <x:v>P002</x:v>
      </x:c>
      <x:c r="I1339" t="str">
        <x:v>Sona Masoori Rice 25kg</x:v>
      </x:c>
      <x:c r="J1339" t="str">
        <x:v>Staples</x:v>
      </x:c>
      <x:c r="K1339" t="str">
        <x:v>Fortune</x:v>
      </x:c>
      <x:c r="L1339" s="22" t="n">
        <x:v>1320</x:v>
      </x:c>
      <x:c r="M1339" t="n">
        <x:v>11</x:v>
      </x:c>
      <x:c r="N1339" s="24" t="n">
        <x:v>0.05</x:v>
      </x:c>
      <x:c r="O1339" s="22" t="n">
        <x:f>L1339*M1339</x:f>
        <x:v>14520</x:v>
      </x:c>
      <x:c r="P1339" s="22" t="n">
        <x:f>O1339*(1-N1339)</x:f>
        <x:v>13794</x:v>
      </x:c>
      <x:c r="Q1339" s="22" t="n">
        <x:v>1160</x:v>
      </x:c>
      <x:c r="R1339" s="22" t="n">
        <x:f>Q1339*M1339</x:f>
        <x:v>12760</x:v>
      </x:c>
      <x:c r="S1339" s="22" t="n">
        <x:f>P1339-R1339</x:f>
        <x:v>1034</x:v>
      </x:c>
      <x:c r="T1339" t="str">
        <x:v>Credit</x:v>
      </x:c>
      <x:c r="U1339" t="str">
        <x:v>Pending</x:v>
      </x:c>
      <x:c r="V1339" t="str">
        <x:v>Cancelled</x:v>
      </x:c>
      <x:c r="W1339" t="n">
        <x:v>11</x:v>
      </x:c>
      <x:c r="X1339" t="str">
        <x:v>Cancelled Order</x:v>
      </x:c>
      <x:c r="Y1339" t="str">
        <x:v>Referral</x:v>
      </x:c>
    </x:row>
    <x:row r="1340">
      <x:c r="A1340" t="str">
        <x:v>O001339</x:v>
      </x:c>
      <x:c r="B1340" s="20" t="n">
        <x:v>45908</x:v>
      </x:c>
      <x:c r="C1340" t="str">
        <x:v>C0078</x:v>
      </x:c>
      <x:c r="D1340" t="str">
        <x:v>Sagar Canteen 78</x:v>
      </x:c>
      <x:c r="E1340" t="str">
        <x:v>Hotel</x:v>
      </x:c>
      <x:c r="F1340" t="str">
        <x:v>Mangaluru</x:v>
      </x:c>
      <x:c r="G1340" t="str">
        <x:v>Ramesh</x:v>
      </x:c>
      <x:c r="H1340" t="str">
        <x:v>P026</x:v>
      </x:c>
      <x:c r="I1340" t="str">
        <x:v>Banana Chips 80g</x:v>
      </x:c>
      <x:c r="J1340" t="str">
        <x:v>Snacks</x:v>
      </x:c>
      <x:c r="K1340" t="str">
        <x:v>SSS</x:v>
      </x:c>
      <x:c r="L1340" s="22" t="n">
        <x:v>54</x:v>
      </x:c>
      <x:c r="M1340" t="n">
        <x:v>10</x:v>
      </x:c>
      <x:c r="N1340" s="24" t="n">
        <x:v>0</x:v>
      </x:c>
      <x:c r="O1340" s="22" t="n">
        <x:f>L1340*M1340</x:f>
        <x:v>540</x:v>
      </x:c>
      <x:c r="P1340" s="22" t="n">
        <x:f>O1340*(1-N1340)</x:f>
        <x:v>540</x:v>
      </x:c>
      <x:c r="Q1340" s="22" t="n">
        <x:v>39</x:v>
      </x:c>
      <x:c r="R1340" s="22" t="n">
        <x:f>Q1340*M1340</x:f>
        <x:v>390</x:v>
      </x:c>
      <x:c r="S1340" s="22" t="n">
        <x:f>P1340-R1340</x:f>
        <x:v>150</x:v>
      </x:c>
      <x:c r="T1340" t="str">
        <x:v>Bank Transfer</x:v>
      </x:c>
      <x:c r="U1340" t="str">
        <x:v>Pending</x:v>
      </x:c>
      <x:c r="V1340" t="str">
        <x:v>Delivered</x:v>
      </x:c>
      <x:c r="W1340" t="n">
        <x:v>0</x:v>
      </x:c>
      <x:c r="X1340" t="str"/>
      <x:c r="Y1340" t="str">
        <x:v>WhatsApp</x:v>
      </x:c>
    </x:row>
    <x:row r="1341">
      <x:c r="A1341" t="str">
        <x:v>O001340</x:v>
      </x:c>
      <x:c r="B1341" s="20" t="n">
        <x:v>46132</x:v>
      </x:c>
      <x:c r="C1341" t="str">
        <x:v>C0096</x:v>
      </x:c>
      <x:c r="D1341" t="str">
        <x:v>Metro Foods 96</x:v>
      </x:c>
      <x:c r="E1341" t="str">
        <x:v>Kirana</x:v>
      </x:c>
      <x:c r="F1341" t="str">
        <x:v>Davanagere</x:v>
      </x:c>
      <x:c r="G1341" t="str">
        <x:v>Vikram</x:v>
      </x:c>
      <x:c r="H1341" t="str">
        <x:v>P014</x:v>
      </x:c>
      <x:c r="I1341" t="str">
        <x:v>Rava 5kg</x:v>
      </x:c>
      <x:c r="J1341" t="str">
        <x:v>Flour</x:v>
      </x:c>
      <x:c r="K1341" t="str">
        <x:v>Local Select</x:v>
      </x:c>
      <x:c r="L1341" s="22" t="n">
        <x:v>245</x:v>
      </x:c>
      <x:c r="M1341" t="n">
        <x:v>9</x:v>
      </x:c>
      <x:c r="N1341" s="24" t="n">
        <x:v>0.03</x:v>
      </x:c>
      <x:c r="O1341" s="22" t="n">
        <x:f>L1341*M1341</x:f>
        <x:v>2205</x:v>
      </x:c>
      <x:c r="P1341" s="22" t="n">
        <x:f>O1341*(1-N1341)</x:f>
        <x:v>2138.85</x:v>
      </x:c>
      <x:c r="Q1341" s="22" t="n">
        <x:v>215</x:v>
      </x:c>
      <x:c r="R1341" s="22" t="n">
        <x:f>Q1341*M1341</x:f>
        <x:v>1935</x:v>
      </x:c>
      <x:c r="S1341" s="22" t="n">
        <x:f>P1341-R1341</x:f>
        <x:v>203.8499999999999</x:v>
      </x:c>
      <x:c r="T1341" t="str">
        <x:v>UPI</x:v>
      </x:c>
      <x:c r="U1341" t="str">
        <x:v>Paid</x:v>
      </x:c>
      <x:c r="V1341" t="str">
        <x:v>Delivered</x:v>
      </x:c>
      <x:c r="W1341" t="n">
        <x:v>0</x:v>
      </x:c>
      <x:c r="X1341" t="str"/>
      <x:c r="Y1341" t="str">
        <x:v>Outbound Call</x:v>
      </x:c>
    </x:row>
    <x:row r="1342">
      <x:c r="A1342" t="str">
        <x:v>O001341</x:v>
      </x:c>
      <x:c r="B1342" s="20" t="n">
        <x:v>46134</x:v>
      </x:c>
      <x:c r="C1342" t="str">
        <x:v>C0014</x:v>
      </x:c>
      <x:c r="D1342" t="str">
        <x:v>Annapurna Canteen 14</x:v>
      </x:c>
      <x:c r="E1342" t="str">
        <x:v>Kirana</x:v>
      </x:c>
      <x:c r="F1342" t="str">
        <x:v>Davanagere</x:v>
      </x:c>
      <x:c r="G1342" t="str">
        <x:v>Sneha</x:v>
      </x:c>
      <x:c r="H1342" t="str">
        <x:v>P023</x:v>
      </x:c>
      <x:c r="I1342" t="str">
        <x:v>Cola 750ml</x:v>
      </x:c>
      <x:c r="J1342" t="str">
        <x:v>Beverage</x:v>
      </x:c>
      <x:c r="K1342" t="str">
        <x:v>Coca-Cola</x:v>
      </x:c>
      <x:c r="L1342" s="22" t="n">
        <x:v>38</x:v>
      </x:c>
      <x:c r="M1342" t="n">
        <x:v>25</x:v>
      </x:c>
      <x:c r="N1342" s="24" t="n">
        <x:v>0.08</x:v>
      </x:c>
      <x:c r="O1342" s="22" t="n">
        <x:f>L1342*M1342</x:f>
        <x:v>950</x:v>
      </x:c>
      <x:c r="P1342" s="22" t="n">
        <x:f>O1342*(1-N1342)</x:f>
        <x:v>874</x:v>
      </x:c>
      <x:c r="Q1342" s="22" t="n">
        <x:v>31</x:v>
      </x:c>
      <x:c r="R1342" s="22" t="n">
        <x:f>Q1342*M1342</x:f>
        <x:v>775</x:v>
      </x:c>
      <x:c r="S1342" s="22" t="n">
        <x:f>P1342-R1342</x:f>
        <x:v>99</x:v>
      </x:c>
      <x:c r="T1342" t="str">
        <x:v>Credit</x:v>
      </x:c>
      <x:c r="U1342" t="str">
        <x:v>Paid</x:v>
      </x:c>
      <x:c r="V1342" t="str">
        <x:v>Delivered</x:v>
      </x:c>
      <x:c r="W1342" t="n">
        <x:v>0</x:v>
      </x:c>
      <x:c r="X1342" t="str"/>
      <x:c r="Y1342" t="str">
        <x:v>Existing Customer</x:v>
      </x:c>
    </x:row>
    <x:row r="1343">
      <x:c r="A1343" t="str">
        <x:v>O001342</x:v>
      </x:c>
      <x:c r="B1343" s="20" t="n">
        <x:v>45727</x:v>
      </x:c>
      <x:c r="C1343" t="str">
        <x:v>C0011</x:v>
      </x:c>
      <x:c r="D1343" t="str">
        <x:v>City Cafe 11</x:v>
      </x:c>
      <x:c r="E1343" t="str">
        <x:v>Restaurant</x:v>
      </x:c>
      <x:c r="F1343" t="str">
        <x:v>Mangaluru</x:v>
      </x:c>
      <x:c r="G1343" t="str">
        <x:v>Arjun</x:v>
      </x:c>
      <x:c r="H1343" t="str">
        <x:v>P031</x:v>
      </x:c>
      <x:c r="I1343" t="str">
        <x:v>Chilli Sauce 700g</x:v>
      </x:c>
      <x:c r="J1343" t="str">
        <x:v>Condiments</x:v>
      </x:c>
      <x:c r="K1343" t="str">
        <x:v>Ching's</x:v>
      </x:c>
      <x:c r="L1343" s="22" t="n">
        <x:v>130</x:v>
      </x:c>
      <x:c r="M1343" t="n">
        <x:v>23</x:v>
      </x:c>
      <x:c r="N1343" s="24" t="n">
        <x:v>0.02</x:v>
      </x:c>
      <x:c r="O1343" s="22" t="n">
        <x:f>L1343*M1343</x:f>
        <x:v>2990</x:v>
      </x:c>
      <x:c r="P1343" s="22" t="n">
        <x:f>O1343*(1-N1343)</x:f>
        <x:v>2930.2</x:v>
      </x:c>
      <x:c r="Q1343" s="22" t="n">
        <x:v>112</x:v>
      </x:c>
      <x:c r="R1343" s="22" t="n">
        <x:f>Q1343*M1343</x:f>
        <x:v>2576</x:v>
      </x:c>
      <x:c r="S1343" s="22" t="n">
        <x:f>P1343-R1343</x:f>
        <x:v>354.1999999999998</x:v>
      </x:c>
      <x:c r="T1343" t="str">
        <x:v>Cash</x:v>
      </x:c>
      <x:c r="U1343" t="str">
        <x:v>Overdue</x:v>
      </x:c>
      <x:c r="V1343" t="str">
        <x:v>Delivered</x:v>
      </x:c>
      <x:c r="W1343" t="n">
        <x:v>1</x:v>
      </x:c>
      <x:c r="X1343" t="str">
        <x:v>Wrong Item</x:v>
      </x:c>
      <x:c r="Y1343" t="str">
        <x:v>Existing Customer</x:v>
      </x:c>
    </x:row>
    <x:row r="1344">
      <x:c r="A1344" t="str">
        <x:v>O001343</x:v>
      </x:c>
      <x:c r="B1344" s="20" t="n">
        <x:v>45881</x:v>
      </x:c>
      <x:c r="C1344" t="str">
        <x:v>C0007</x:v>
      </x:c>
      <x:c r="D1344" t="str">
        <x:v>Mysore Stores 7</x:v>
      </x:c>
      <x:c r="E1344" t="str">
        <x:v>Kirana</x:v>
      </x:c>
      <x:c r="F1344" t="str">
        <x:v>Bengaluru</x:v>
      </x:c>
      <x:c r="G1344" t="str">
        <x:v>Kavya</x:v>
      </x:c>
      <x:c r="H1344" t="str">
        <x:v>P033</x:v>
      </x:c>
      <x:c r="I1344" t="str">
        <x:v>Turmeric Powder 1kg</x:v>
      </x:c>
      <x:c r="J1344" t="str">
        <x:v>Spices</x:v>
      </x:c>
      <x:c r="K1344" t="str">
        <x:v>Everest</x:v>
      </x:c>
      <x:c r="L1344" s="22" t="n">
        <x:v>310</x:v>
      </x:c>
      <x:c r="M1344" t="n">
        <x:v>34</x:v>
      </x:c>
      <x:c r="N1344" s="24" t="n">
        <x:v>0.02</x:v>
      </x:c>
      <x:c r="O1344" s="22" t="n">
        <x:f>L1344*M1344</x:f>
        <x:v>10540</x:v>
      </x:c>
      <x:c r="P1344" s="22" t="n">
        <x:f>O1344*(1-N1344)</x:f>
        <x:v>10329.199999999999</x:v>
      </x:c>
      <x:c r="Q1344" s="22" t="n">
        <x:v>270</x:v>
      </x:c>
      <x:c r="R1344" s="22" t="n">
        <x:f>Q1344*M1344</x:f>
        <x:v>9180</x:v>
      </x:c>
      <x:c r="S1344" s="22" t="n">
        <x:f>P1344-R1344</x:f>
        <x:v>1149.199999999999</x:v>
      </x:c>
      <x:c r="T1344" t="str">
        <x:v>Credit</x:v>
      </x:c>
      <x:c r="U1344" t="str">
        <x:v>Paid</x:v>
      </x:c>
      <x:c r="V1344" t="str">
        <x:v>Delayed</x:v>
      </x:c>
      <x:c r="W1344" t="n">
        <x:v>0</x:v>
      </x:c>
      <x:c r="X1344" t="str"/>
      <x:c r="Y1344" t="str">
        <x:v>WhatsApp</x:v>
      </x:c>
    </x:row>
    <x:row r="1345">
      <x:c r="A1345" t="str">
        <x:v>O001344</x:v>
      </x:c>
      <x:c r="B1345" s="20" t="n">
        <x:v>46034</x:v>
      </x:c>
      <x:c r="C1345" t="str">
        <x:v>C0084</x:v>
      </x:c>
      <x:c r="D1345" t="str">
        <x:v>Green Cafe 84</x:v>
      </x:c>
      <x:c r="E1345" t="str">
        <x:v>Hotel</x:v>
      </x:c>
      <x:c r="F1345" t="str">
        <x:v>Mysuru</x:v>
      </x:c>
      <x:c r="G1345" t="str">
        <x:v>Priya</x:v>
      </x:c>
      <x:c r="H1345" t="str">
        <x:v>P019</x:v>
      </x:c>
      <x:c r="I1345" t="str">
        <x:v>Tea 1kg</x:v>
      </x:c>
      <x:c r="J1345" t="str">
        <x:v>Beverage</x:v>
      </x:c>
      <x:c r="K1345" t="str">
        <x:v>Red Label</x:v>
      </x:c>
      <x:c r="L1345" s="22" t="n">
        <x:v>540</x:v>
      </x:c>
      <x:c r="M1345" t="n">
        <x:v>4</x:v>
      </x:c>
      <x:c r="N1345" s="24" t="n">
        <x:v>0.05</x:v>
      </x:c>
      <x:c r="O1345" s="22" t="n">
        <x:f>L1345*M1345</x:f>
        <x:v>2160</x:v>
      </x:c>
      <x:c r="P1345" s="22" t="n">
        <x:f>O1345*(1-N1345)</x:f>
        <x:v>2052</x:v>
      </x:c>
      <x:c r="Q1345" s="22" t="n">
        <x:v>485</x:v>
      </x:c>
      <x:c r="R1345" s="22" t="n">
        <x:f>Q1345*M1345</x:f>
        <x:v>1940</x:v>
      </x:c>
      <x:c r="S1345" s="22" t="n">
        <x:f>P1345-R1345</x:f>
        <x:v>112</x:v>
      </x:c>
      <x:c r="T1345" t="str">
        <x:v>UPI</x:v>
      </x:c>
      <x:c r="U1345" t="str">
        <x:v>Pending</x:v>
      </x:c>
      <x:c r="V1345" t="str">
        <x:v>Delivered</x:v>
      </x:c>
      <x:c r="W1345" t="n">
        <x:v>0</x:v>
      </x:c>
      <x:c r="X1345" t="str"/>
      <x:c r="Y1345" t="str">
        <x:v>Existing Customer</x:v>
      </x:c>
    </x:row>
    <x:row r="1346">
      <x:c r="A1346" t="str">
        <x:v>O001345</x:v>
      </x:c>
      <x:c r="B1346" s="20" t="n">
        <x:v>46237</x:v>
      </x:c>
      <x:c r="C1346" t="str">
        <x:v>C0200</x:v>
      </x:c>
      <x:c r="D1346" t="str">
        <x:v>Sagar Kitchen 200</x:v>
      </x:c>
      <x:c r="E1346" t="str">
        <x:v>Cafe</x:v>
      </x:c>
      <x:c r="F1346" t="str">
        <x:v>Bengaluru</x:v>
      </x:c>
      <x:c r="G1346" t="str">
        <x:v>Arjun</x:v>
      </x:c>
      <x:c r="H1346" t="str">
        <x:v>P036</x:v>
      </x:c>
      <x:c r="I1346" t="str">
        <x:v>Garam Masala 500g</x:v>
      </x:c>
      <x:c r="J1346" t="str">
        <x:v>Spices</x:v>
      </x:c>
      <x:c r="K1346" t="str">
        <x:v>MDH</x:v>
      </x:c>
      <x:c r="L1346" s="22" t="n">
        <x:v>265</x:v>
      </x:c>
      <x:c r="M1346" t="n">
        <x:v>33</x:v>
      </x:c>
      <x:c r="N1346" s="24" t="n">
        <x:v>0</x:v>
      </x:c>
      <x:c r="O1346" s="22" t="n">
        <x:f>L1346*M1346</x:f>
        <x:v>8745</x:v>
      </x:c>
      <x:c r="P1346" s="22" t="n">
        <x:f>O1346*(1-N1346)</x:f>
        <x:v>8745</x:v>
      </x:c>
      <x:c r="Q1346" s="22" t="n">
        <x:v>230</x:v>
      </x:c>
      <x:c r="R1346" s="22" t="n">
        <x:f>Q1346*M1346</x:f>
        <x:v>7590</x:v>
      </x:c>
      <x:c r="S1346" s="22" t="n">
        <x:f>P1346-R1346</x:f>
        <x:v>1155</x:v>
      </x:c>
      <x:c r="T1346" t="str">
        <x:v>Bank Transfer</x:v>
      </x:c>
      <x:c r="U1346" t="str">
        <x:v>Overdue</x:v>
      </x:c>
      <x:c r="V1346" t="str">
        <x:v>Delivered</x:v>
      </x:c>
      <x:c r="W1346" t="n">
        <x:v>0</x:v>
      </x:c>
      <x:c r="X1346" t="str"/>
      <x:c r="Y1346" t="str">
        <x:v>WhatsApp</x:v>
      </x:c>
    </x:row>
    <x:row r="1347">
      <x:c r="A1347" t="str">
        <x:v>O001346</x:v>
      </x:c>
      <x:c r="B1347" s="20" t="n">
        <x:v>45805</x:v>
      </x:c>
      <x:c r="C1347" t="str">
        <x:v>C0163</x:v>
      </x:c>
      <x:c r="D1347" t="str">
        <x:v>Shree Kitchen 163</x:v>
      </x:c>
      <x:c r="E1347" t="str">
        <x:v>Kirana</x:v>
      </x:c>
      <x:c r="F1347" t="str">
        <x:v>Mysuru</x:v>
      </x:c>
      <x:c r="G1347" t="str">
        <x:v>Priya</x:v>
      </x:c>
      <x:c r="H1347" t="str">
        <x:v>P018</x:v>
      </x:c>
      <x:c r="I1347" t="str">
        <x:v>Paneer 1kg</x:v>
      </x:c>
      <x:c r="J1347" t="str">
        <x:v>Dairy</x:v>
      </x:c>
      <x:c r="K1347" t="str">
        <x:v>Milky Mist</x:v>
      </x:c>
      <x:c r="L1347" s="22" t="n">
        <x:v>410</x:v>
      </x:c>
      <x:c r="M1347" t="n">
        <x:v>10</x:v>
      </x:c>
      <x:c r="N1347" s="24" t="n">
        <x:v>0.05</x:v>
      </x:c>
      <x:c r="O1347" s="22" t="n">
        <x:f>L1347*M1347</x:f>
        <x:v>4100</x:v>
      </x:c>
      <x:c r="P1347" s="22" t="n">
        <x:f>O1347*(1-N1347)</x:f>
        <x:v>3895</x:v>
      </x:c>
      <x:c r="Q1347" s="22" t="n">
        <x:v>370</x:v>
      </x:c>
      <x:c r="R1347" s="22" t="n">
        <x:f>Q1347*M1347</x:f>
        <x:v>3700</x:v>
      </x:c>
      <x:c r="S1347" s="22" t="n">
        <x:f>P1347-R1347</x:f>
        <x:v>195</x:v>
      </x:c>
      <x:c r="T1347" t="str">
        <x:v>Bank Transfer</x:v>
      </x:c>
      <x:c r="U1347" t="str">
        <x:v>Paid</x:v>
      </x:c>
      <x:c r="V1347" t="str">
        <x:v>Delivered</x:v>
      </x:c>
      <x:c r="W1347" t="n">
        <x:v>0</x:v>
      </x:c>
      <x:c r="X1347" t="str"/>
      <x:c r="Y1347" t="str">
        <x:v>Referral</x:v>
      </x:c>
    </x:row>
    <x:row r="1348">
      <x:c r="A1348" t="str">
        <x:v>O001347</x:v>
      </x:c>
      <x:c r="B1348" s="20" t="n">
        <x:v>45794</x:v>
      </x:c>
      <x:c r="C1348" t="str">
        <x:v>C0078</x:v>
      </x:c>
      <x:c r="D1348" t="str">
        <x:v>Sagar Canteen 78</x:v>
      </x:c>
      <x:c r="E1348" t="str">
        <x:v>Hotel</x:v>
      </x:c>
      <x:c r="F1348" t="str">
        <x:v>Mangaluru</x:v>
      </x:c>
      <x:c r="G1348" t="str">
        <x:v>Ramesh</x:v>
      </x:c>
      <x:c r="H1348" t="str">
        <x:v>P001</x:v>
      </x:c>
      <x:c r="I1348" t="str">
        <x:v>Steam Rice 25kg</x:v>
      </x:c>
      <x:c r="J1348" t="str">
        <x:v>Staples</x:v>
      </x:c>
      <x:c r="K1348" t="str">
        <x:v>Aishwarya</x:v>
      </x:c>
      <x:c r="L1348" s="22" t="n">
        <x:v>1180</x:v>
      </x:c>
      <x:c r="M1348" t="n">
        <x:v>7</x:v>
      </x:c>
      <x:c r="N1348" s="24" t="n">
        <x:v>0.03</x:v>
      </x:c>
      <x:c r="O1348" s="22" t="n">
        <x:f>L1348*M1348</x:f>
        <x:v>8260</x:v>
      </x:c>
      <x:c r="P1348" s="22" t="n">
        <x:f>O1348*(1-N1348)</x:f>
        <x:v>8012.2</x:v>
      </x:c>
      <x:c r="Q1348" s="22" t="n">
        <x:v>1040</x:v>
      </x:c>
      <x:c r="R1348" s="22" t="n">
        <x:f>Q1348*M1348</x:f>
        <x:v>7280</x:v>
      </x:c>
      <x:c r="S1348" s="22" t="n">
        <x:f>P1348-R1348</x:f>
        <x:v>732.1999999999998</x:v>
      </x:c>
      <x:c r="T1348" t="str">
        <x:v>Credit</x:v>
      </x:c>
      <x:c r="U1348" t="str">
        <x:v>Pending</x:v>
      </x:c>
      <x:c r="V1348" t="str">
        <x:v>Delivered</x:v>
      </x:c>
      <x:c r="W1348" t="n">
        <x:v>0</x:v>
      </x:c>
      <x:c r="X1348" t="str"/>
      <x:c r="Y1348" t="str">
        <x:v>Existing Customer</x:v>
      </x:c>
    </x:row>
    <x:row r="1349">
      <x:c r="A1349" t="str">
        <x:v>O001348</x:v>
      </x:c>
      <x:c r="B1349" s="20" t="n">
        <x:v>45658</x:v>
      </x:c>
      <x:c r="C1349" t="str">
        <x:v>C0235</x:v>
      </x:c>
      <x:c r="D1349" t="str">
        <x:v>Darshini Canteen 235</x:v>
      </x:c>
      <x:c r="E1349" t="str">
        <x:v>Hotel</x:v>
      </x:c>
      <x:c r="F1349" t="str">
        <x:v>Mangaluru</x:v>
      </x:c>
      <x:c r="G1349" t="str">
        <x:v>Arjun</x:v>
      </x:c>
      <x:c r="H1349" t="str">
        <x:v>P014</x:v>
      </x:c>
      <x:c r="I1349" t="str">
        <x:v>Rava 5kg</x:v>
      </x:c>
      <x:c r="J1349" t="str">
        <x:v>Flour</x:v>
      </x:c>
      <x:c r="K1349" t="str">
        <x:v>Local Select</x:v>
      </x:c>
      <x:c r="L1349" s="22" t="n">
        <x:v>245</x:v>
      </x:c>
      <x:c r="M1349" t="n">
        <x:v>5</x:v>
      </x:c>
      <x:c r="N1349" s="24" t="n">
        <x:v>0</x:v>
      </x:c>
      <x:c r="O1349" s="22" t="n">
        <x:f>L1349*M1349</x:f>
        <x:v>1225</x:v>
      </x:c>
      <x:c r="P1349" s="22" t="n">
        <x:f>O1349*(1-N1349)</x:f>
        <x:v>1225</x:v>
      </x:c>
      <x:c r="Q1349" s="22" t="n">
        <x:v>215</x:v>
      </x:c>
      <x:c r="R1349" s="22" t="n">
        <x:f>Q1349*M1349</x:f>
        <x:v>1075</x:v>
      </x:c>
      <x:c r="S1349" s="22" t="n">
        <x:f>P1349-R1349</x:f>
        <x:v>150</x:v>
      </x:c>
      <x:c r="T1349" t="str">
        <x:v>UPI</x:v>
      </x:c>
      <x:c r="U1349" t="str">
        <x:v>Paid</x:v>
      </x:c>
      <x:c r="V1349" t="str">
        <x:v>Delivered</x:v>
      </x:c>
      <x:c r="W1349" t="n">
        <x:v>0</x:v>
      </x:c>
      <x:c r="X1349" t="str"/>
      <x:c r="Y1349" t="str">
        <x:v>Referral</x:v>
      </x:c>
    </x:row>
    <x:row r="1350">
      <x:c r="A1350" t="str">
        <x:v>O001349</x:v>
      </x:c>
      <x:c r="B1350" s="20" t="n">
        <x:v>46163</x:v>
      </x:c>
      <x:c r="C1350" t="str">
        <x:v>C0043</x:v>
      </x:c>
      <x:c r="D1350" t="str">
        <x:v>Namma Kitchen 43</x:v>
      </x:c>
      <x:c r="E1350" t="str">
        <x:v>Supermarket</x:v>
      </x:c>
      <x:c r="F1350" t="str">
        <x:v>Davanagere</x:v>
      </x:c>
      <x:c r="G1350" t="str">
        <x:v>Kavya</x:v>
      </x:c>
      <x:c r="H1350" t="str">
        <x:v>P044</x:v>
      </x:c>
      <x:c r="I1350" t="str">
        <x:v>Chicken Curry Cut 1kg</x:v>
      </x:c>
      <x:c r="J1350" t="str">
        <x:v>Protein</x:v>
      </x:c>
      <x:c r="K1350" t="str">
        <x:v>FreshToHome</x:v>
      </x:c>
      <x:c r="L1350" s="22" t="n">
        <x:v>230</x:v>
      </x:c>
      <x:c r="M1350" t="n">
        <x:v>8</x:v>
      </x:c>
      <x:c r="N1350" s="24" t="n">
        <x:v>0</x:v>
      </x:c>
      <x:c r="O1350" s="22" t="n">
        <x:f>L1350*M1350</x:f>
        <x:v>1840</x:v>
      </x:c>
      <x:c r="P1350" s="22" t="n">
        <x:f>O1350*(1-N1350)</x:f>
        <x:v>1840</x:v>
      </x:c>
      <x:c r="Q1350" s="22" t="n">
        <x:v>205</x:v>
      </x:c>
      <x:c r="R1350" s="22" t="n">
        <x:f>Q1350*M1350</x:f>
        <x:v>1640</x:v>
      </x:c>
      <x:c r="S1350" s="22" t="n">
        <x:f>P1350-R1350</x:f>
        <x:v>200</x:v>
      </x:c>
      <x:c r="T1350" t="str">
        <x:v>Credit</x:v>
      </x:c>
      <x:c r="U1350" t="str">
        <x:v>Pending</x:v>
      </x:c>
      <x:c r="V1350" t="str">
        <x:v>Delivered</x:v>
      </x:c>
      <x:c r="W1350" t="n">
        <x:v>0</x:v>
      </x:c>
      <x:c r="X1350" t="str"/>
      <x:c r="Y1350" t="str">
        <x:v>Field Visit</x:v>
      </x:c>
    </x:row>
    <x:row r="1351">
      <x:c r="A1351" t="str">
        <x:v>O001350</x:v>
      </x:c>
      <x:c r="B1351" s="20" t="n">
        <x:v>46248</x:v>
      </x:c>
      <x:c r="C1351" t="str">
        <x:v>C0245</x:v>
      </x:c>
      <x:c r="D1351" t="str">
        <x:v>Udupi Cafe 245</x:v>
      </x:c>
      <x:c r="E1351" t="str">
        <x:v>Canteen</x:v>
      </x:c>
      <x:c r="F1351" t="str">
        <x:v>Bengaluru</x:v>
      </x:c>
      <x:c r="G1351" t="str">
        <x:v>Priya</x:v>
      </x:c>
      <x:c r="H1351" t="str">
        <x:v>P017</x:v>
      </x:c>
      <x:c r="I1351" t="str">
        <x:v>Butter 500g</x:v>
      </x:c>
      <x:c r="J1351" t="str">
        <x:v>Dairy</x:v>
      </x:c>
      <x:c r="K1351" t="str">
        <x:v>Amul</x:v>
      </x:c>
      <x:c r="L1351" s="22" t="n">
        <x:v>285</x:v>
      </x:c>
      <x:c r="M1351" t="n">
        <x:v>36</x:v>
      </x:c>
      <x:c r="N1351" s="24" t="n">
        <x:v>0.03</x:v>
      </x:c>
      <x:c r="O1351" s="22" t="n">
        <x:f>L1351*M1351</x:f>
        <x:v>10260</x:v>
      </x:c>
      <x:c r="P1351" s="22" t="n">
        <x:f>O1351*(1-N1351)</x:f>
        <x:v>9952.199999999999</x:v>
      </x:c>
      <x:c r="Q1351" s="22" t="n">
        <x:v>258</x:v>
      </x:c>
      <x:c r="R1351" s="22" t="n">
        <x:f>Q1351*M1351</x:f>
        <x:v>9288</x:v>
      </x:c>
      <x:c r="S1351" s="22" t="n">
        <x:f>P1351-R1351</x:f>
        <x:v>664.1999999999989</x:v>
      </x:c>
      <x:c r="T1351" t="str">
        <x:v>Cash</x:v>
      </x:c>
      <x:c r="U1351" t="str">
        <x:v>Paid</x:v>
      </x:c>
      <x:c r="V1351" t="str">
        <x:v>Delivered</x:v>
      </x:c>
      <x:c r="W1351" t="n">
        <x:v>0</x:v>
      </x:c>
      <x:c r="X1351" t="str"/>
      <x:c r="Y1351" t="str">
        <x:v>Existing Customer</x:v>
      </x:c>
    </x:row>
    <x:row r="1352">
      <x:c r="A1352" t="str">
        <x:v>O001351</x:v>
      </x:c>
      <x:c r="B1352" s="20" t="n">
        <x:v>45909</x:v>
      </x:c>
      <x:c r="C1352" t="str">
        <x:v>C0072</x:v>
      </x:c>
      <x:c r="D1352" t="str">
        <x:v>Grand Restaurant 72</x:v>
      </x:c>
      <x:c r="E1352" t="str">
        <x:v>Restaurant</x:v>
      </x:c>
      <x:c r="F1352" t="str">
        <x:v>Davanagere</x:v>
      </x:c>
      <x:c r="G1352" t="str">
        <x:v>Kavya</x:v>
      </x:c>
      <x:c r="H1352" t="str">
        <x:v>P039</x:v>
      </x:c>
      <x:c r="I1352" t="str">
        <x:v>Ice Cream 4L</x:v>
      </x:c>
      <x:c r="J1352" t="str">
        <x:v>Frozen</x:v>
      </x:c>
      <x:c r="K1352" t="str">
        <x:v>Amul</x:v>
      </x:c>
      <x:c r="L1352" s="22" t="n">
        <x:v>480</x:v>
      </x:c>
      <x:c r="M1352" t="n">
        <x:v>15</x:v>
      </x:c>
      <x:c r="N1352" s="24" t="n">
        <x:v>0.05</x:v>
      </x:c>
      <x:c r="O1352" s="22" t="n">
        <x:f>L1352*M1352</x:f>
        <x:v>7200</x:v>
      </x:c>
      <x:c r="P1352" s="22" t="n">
        <x:f>O1352*(1-N1352)</x:f>
        <x:v>6840</x:v>
      </x:c>
      <x:c r="Q1352" s="22" t="n">
        <x:v>420</x:v>
      </x:c>
      <x:c r="R1352" s="22" t="n">
        <x:f>Q1352*M1352</x:f>
        <x:v>6300</x:v>
      </x:c>
      <x:c r="S1352" s="22" t="n">
        <x:f>P1352-R1352</x:f>
        <x:v>540</x:v>
      </x:c>
      <x:c r="T1352" t="str">
        <x:v>Credit</x:v>
      </x:c>
      <x:c r="U1352" t="str">
        <x:v>Paid</x:v>
      </x:c>
      <x:c r="V1352" t="str">
        <x:v>Delivered</x:v>
      </x:c>
      <x:c r="W1352" t="n">
        <x:v>0</x:v>
      </x:c>
      <x:c r="X1352" t="str"/>
      <x:c r="Y1352" t="str">
        <x:v>Field Visit</x:v>
      </x:c>
    </x:row>
    <x:row r="1353">
      <x:c r="A1353" t="str">
        <x:v>O001352</x:v>
      </x:c>
      <x:c r="B1353" s="20" t="n">
        <x:v>45710</x:v>
      </x:c>
      <x:c r="C1353" t="str">
        <x:v>C0186</x:v>
      </x:c>
      <x:c r="D1353" t="str">
        <x:v>Namma Stores 186</x:v>
      </x:c>
      <x:c r="E1353" t="str">
        <x:v>Supermarket</x:v>
      </x:c>
      <x:c r="F1353" t="str">
        <x:v>Mysuru</x:v>
      </x:c>
      <x:c r="G1353" t="str">
        <x:v>Vikram</x:v>
      </x:c>
      <x:c r="H1353" t="str">
        <x:v>P026</x:v>
      </x:c>
      <x:c r="I1353" t="str">
        <x:v>Banana Chips 80g</x:v>
      </x:c>
      <x:c r="J1353" t="str">
        <x:v>Snacks</x:v>
      </x:c>
      <x:c r="K1353" t="str">
        <x:v>SSS</x:v>
      </x:c>
      <x:c r="L1353" s="22" t="n">
        <x:v>54</x:v>
      </x:c>
      <x:c r="M1353" t="n">
        <x:v>38</x:v>
      </x:c>
      <x:c r="N1353" s="24" t="n">
        <x:v>0.02</x:v>
      </x:c>
      <x:c r="O1353" s="22" t="n">
        <x:f>L1353*M1353</x:f>
        <x:v>2052</x:v>
      </x:c>
      <x:c r="P1353" s="22" t="n">
        <x:f>O1353*(1-N1353)</x:f>
        <x:v>2010.96</x:v>
      </x:c>
      <x:c r="Q1353" s="22" t="n">
        <x:v>39</x:v>
      </x:c>
      <x:c r="R1353" s="22" t="n">
        <x:f>Q1353*M1353</x:f>
        <x:v>1482</x:v>
      </x:c>
      <x:c r="S1353" s="22" t="n">
        <x:f>P1353-R1353</x:f>
        <x:v>528.96</x:v>
      </x:c>
      <x:c r="T1353" t="str">
        <x:v>Cash</x:v>
      </x:c>
      <x:c r="U1353" t="str">
        <x:v>Paid</x:v>
      </x:c>
      <x:c r="V1353" t="str">
        <x:v>Delivered</x:v>
      </x:c>
      <x:c r="W1353" t="n">
        <x:v>0</x:v>
      </x:c>
      <x:c r="X1353" t="str"/>
      <x:c r="Y1353" t="str">
        <x:v>Referral</x:v>
      </x:c>
    </x:row>
    <x:row r="1354">
      <x:c r="A1354" t="str">
        <x:v>O001353</x:v>
      </x:c>
      <x:c r="B1354" s="20" t="n">
        <x:v>45814</x:v>
      </x:c>
      <x:c r="C1354" t="str">
        <x:v>C0064</x:v>
      </x:c>
      <x:c r="D1354" t="str">
        <x:v>Hotel Restaurant 64</x:v>
      </x:c>
      <x:c r="E1354" t="str">
        <x:v>Cafe</x:v>
      </x:c>
      <x:c r="F1354" t="str">
        <x:v>Mangaluru</x:v>
      </x:c>
      <x:c r="G1354" t="str">
        <x:v>Imran</x:v>
      </x:c>
      <x:c r="H1354" t="str">
        <x:v>P030</x:v>
      </x:c>
      <x:c r="I1354" t="str">
        <x:v>Mayonnaise 1kg</x:v>
      </x:c>
      <x:c r="J1354" t="str">
        <x:v>Condiments</x:v>
      </x:c>
      <x:c r="K1354" t="str">
        <x:v>Veeba</x:v>
      </x:c>
      <x:c r="L1354" s="22" t="n">
        <x:v>210</x:v>
      </x:c>
      <x:c r="M1354" t="n">
        <x:v>7</x:v>
      </x:c>
      <x:c r="N1354" s="24" t="n">
        <x:v>0.05</x:v>
      </x:c>
      <x:c r="O1354" s="22" t="n">
        <x:f>L1354*M1354</x:f>
        <x:v>1470</x:v>
      </x:c>
      <x:c r="P1354" s="22" t="n">
        <x:f>O1354*(1-N1354)</x:f>
        <x:v>1396.5</x:v>
      </x:c>
      <x:c r="Q1354" s="22" t="n">
        <x:v>185</x:v>
      </x:c>
      <x:c r="R1354" s="22" t="n">
        <x:f>Q1354*M1354</x:f>
        <x:v>1295</x:v>
      </x:c>
      <x:c r="S1354" s="22" t="n">
        <x:f>P1354-R1354</x:f>
        <x:v>101.5</x:v>
      </x:c>
      <x:c r="T1354" t="str">
        <x:v>Cash</x:v>
      </x:c>
      <x:c r="U1354" t="str">
        <x:v>Paid</x:v>
      </x:c>
      <x:c r="V1354" t="str">
        <x:v>Delivered</x:v>
      </x:c>
      <x:c r="W1354" t="n">
        <x:v>0</x:v>
      </x:c>
      <x:c r="X1354" t="str"/>
      <x:c r="Y1354" t="str">
        <x:v>Field Visit</x:v>
      </x:c>
    </x:row>
    <x:row r="1355">
      <x:c r="A1355" t="str">
        <x:v>O001354</x:v>
      </x:c>
      <x:c r="B1355" s="20" t="n">
        <x:v>46150</x:v>
      </x:c>
      <x:c r="C1355" t="str">
        <x:v>C0063</x:v>
      </x:c>
      <x:c r="D1355" t="str">
        <x:v>Namma Mart 63</x:v>
      </x:c>
      <x:c r="E1355" t="str">
        <x:v>Supermarket</x:v>
      </x:c>
      <x:c r="F1355" t="str">
        <x:v>Tumakuru</x:v>
      </x:c>
      <x:c r="G1355" t="str">
        <x:v>Priya</x:v>
      </x:c>
      <x:c r="H1355" t="str">
        <x:v>P011</x:v>
      </x:c>
      <x:c r="I1355" t="str">
        <x:v>Salt 1kg</x:v>
      </x:c>
      <x:c r="J1355" t="str">
        <x:v>Staples</x:v>
      </x:c>
      <x:c r="K1355" t="str">
        <x:v>Tata</x:v>
      </x:c>
      <x:c r="L1355" s="22" t="n">
        <x:v>28</x:v>
      </x:c>
      <x:c r="M1355" t="n">
        <x:v>5</x:v>
      </x:c>
      <x:c r="N1355" s="24" t="n">
        <x:v>0.05</x:v>
      </x:c>
      <x:c r="O1355" s="22" t="n">
        <x:f>L1355*M1355</x:f>
        <x:v>140</x:v>
      </x:c>
      <x:c r="P1355" s="22" t="n">
        <x:f>O1355*(1-N1355)</x:f>
        <x:v>133</x:v>
      </x:c>
      <x:c r="Q1355" s="22" t="n">
        <x:v>23</x:v>
      </x:c>
      <x:c r="R1355" s="22" t="n">
        <x:f>Q1355*M1355</x:f>
        <x:v>115</x:v>
      </x:c>
      <x:c r="S1355" s="22" t="n">
        <x:f>P1355-R1355</x:f>
        <x:v>18</x:v>
      </x:c>
      <x:c r="T1355" t="str">
        <x:v>UPI</x:v>
      </x:c>
      <x:c r="U1355" t="str">
        <x:v>Paid</x:v>
      </x:c>
      <x:c r="V1355" t="str">
        <x:v>Delivered</x:v>
      </x:c>
      <x:c r="W1355" t="n">
        <x:v>0</x:v>
      </x:c>
      <x:c r="X1355" t="str"/>
      <x:c r="Y1355" t="str">
        <x:v>WhatsApp</x:v>
      </x:c>
    </x:row>
    <x:row r="1356">
      <x:c r="A1356" t="str">
        <x:v>O001355</x:v>
      </x:c>
      <x:c r="B1356" s="20" t="n">
        <x:v>45779</x:v>
      </x:c>
      <x:c r="C1356" t="str">
        <x:v>C0086</x:v>
      </x:c>
      <x:c r="D1356" t="str">
        <x:v>Foodie Canteen 86</x:v>
      </x:c>
      <x:c r="E1356" t="str">
        <x:v>Kirana</x:v>
      </x:c>
      <x:c r="F1356" t="str">
        <x:v>Hubballi</x:v>
      </x:c>
      <x:c r="G1356" t="str">
        <x:v>Sneha</x:v>
      </x:c>
      <x:c r="H1356" t="str">
        <x:v>P024</x:v>
      </x:c>
      <x:c r="I1356" t="str">
        <x:v>Orange Drink 1L</x:v>
      </x:c>
      <x:c r="J1356" t="str">
        <x:v>Beverage</x:v>
      </x:c>
      <x:c r="K1356" t="str">
        <x:v>Minute Maid</x:v>
      </x:c>
      <x:c r="L1356" s="22" t="n">
        <x:v>105</x:v>
      </x:c>
      <x:c r="M1356" t="n">
        <x:v>20</x:v>
      </x:c>
      <x:c r="N1356" s="24" t="n">
        <x:v>0</x:v>
      </x:c>
      <x:c r="O1356" s="22" t="n">
        <x:f>L1356*M1356</x:f>
        <x:v>2100</x:v>
      </x:c>
      <x:c r="P1356" s="22" t="n">
        <x:f>O1356*(1-N1356)</x:f>
        <x:v>2100</x:v>
      </x:c>
      <x:c r="Q1356" s="22" t="n">
        <x:v>88</x:v>
      </x:c>
      <x:c r="R1356" s="22" t="n">
        <x:f>Q1356*M1356</x:f>
        <x:v>1760</x:v>
      </x:c>
      <x:c r="S1356" s="22" t="n">
        <x:f>P1356-R1356</x:f>
        <x:v>340</x:v>
      </x:c>
      <x:c r="T1356" t="str">
        <x:v>Credit</x:v>
      </x:c>
      <x:c r="U1356" t="str">
        <x:v>Overdue</x:v>
      </x:c>
      <x:c r="V1356" t="str">
        <x:v>Delivered</x:v>
      </x:c>
      <x:c r="W1356" t="n">
        <x:v>0</x:v>
      </x:c>
      <x:c r="X1356" t="str"/>
      <x:c r="Y1356" t="str">
        <x:v>WhatsApp</x:v>
      </x:c>
    </x:row>
    <x:row r="1357">
      <x:c r="A1357" t="str">
        <x:v>O001356</x:v>
      </x:c>
      <x:c r="B1357" s="20" t="n">
        <x:v>45907</x:v>
      </x:c>
      <x:c r="C1357" t="str">
        <x:v>C0061</x:v>
      </x:c>
      <x:c r="D1357" t="str">
        <x:v>Spice Stores 61</x:v>
      </x:c>
      <x:c r="E1357" t="str">
        <x:v>Restaurant</x:v>
      </x:c>
      <x:c r="F1357" t="str">
        <x:v>Tumakuru</x:v>
      </x:c>
      <x:c r="G1357" t="str">
        <x:v>Ramesh</x:v>
      </x:c>
      <x:c r="H1357" t="str">
        <x:v>P019</x:v>
      </x:c>
      <x:c r="I1357" t="str">
        <x:v>Tea 1kg</x:v>
      </x:c>
      <x:c r="J1357" t="str">
        <x:v>Beverage</x:v>
      </x:c>
      <x:c r="K1357" t="str">
        <x:v>Red Label</x:v>
      </x:c>
      <x:c r="L1357" s="22" t="n">
        <x:v>540</x:v>
      </x:c>
      <x:c r="M1357" t="n">
        <x:v>40</x:v>
      </x:c>
      <x:c r="N1357" s="24" t="n">
        <x:v>0.05</x:v>
      </x:c>
      <x:c r="O1357" s="22" t="n">
        <x:f>L1357*M1357</x:f>
        <x:v>21600</x:v>
      </x:c>
      <x:c r="P1357" s="22" t="n">
        <x:f>O1357*(1-N1357)</x:f>
        <x:v>20520</x:v>
      </x:c>
      <x:c r="Q1357" s="22" t="n">
        <x:v>485</x:v>
      </x:c>
      <x:c r="R1357" s="22" t="n">
        <x:f>Q1357*M1357</x:f>
        <x:v>19400</x:v>
      </x:c>
      <x:c r="S1357" s="22" t="n">
        <x:f>P1357-R1357</x:f>
        <x:v>1120</x:v>
      </x:c>
      <x:c r="T1357" t="str">
        <x:v>Cash</x:v>
      </x:c>
      <x:c r="U1357" t="str">
        <x:v>Paid</x:v>
      </x:c>
      <x:c r="V1357" t="str">
        <x:v>Delivered</x:v>
      </x:c>
      <x:c r="W1357" t="n">
        <x:v>0</x:v>
      </x:c>
      <x:c r="X1357" t="str"/>
      <x:c r="Y1357" t="str">
        <x:v>Outbound Call</x:v>
      </x:c>
    </x:row>
    <x:row r="1358">
      <x:c r="A1358" t="str">
        <x:v>O001357</x:v>
      </x:c>
      <x:c r="B1358" s="20" t="n">
        <x:v>45666</x:v>
      </x:c>
      <x:c r="C1358" t="str">
        <x:v>C0022</x:v>
      </x:c>
      <x:c r="D1358" t="str">
        <x:v>Royal Hotel 22</x:v>
      </x:c>
      <x:c r="E1358" t="str">
        <x:v>Kirana</x:v>
      </x:c>
      <x:c r="F1358" t="str">
        <x:v>Bengaluru</x:v>
      </x:c>
      <x:c r="G1358" t="str">
        <x:v>Ramesh</x:v>
      </x:c>
      <x:c r="H1358" t="str">
        <x:v>P048</x:v>
      </x:c>
      <x:c r="I1358" t="str">
        <x:v>Banana 10kg</x:v>
      </x:c>
      <x:c r="J1358" t="str">
        <x:v>Fresh Produce</x:v>
      </x:c>
      <x:c r="K1358" t="str">
        <x:v>Local Market</x:v>
      </x:c>
      <x:c r="L1358" s="22" t="n">
        <x:v>420</x:v>
      </x:c>
      <x:c r="M1358" t="n">
        <x:v>10</x:v>
      </x:c>
      <x:c r="N1358" s="24" t="n">
        <x:v>0.03</x:v>
      </x:c>
      <x:c r="O1358" s="22" t="n">
        <x:f>L1358*M1358</x:f>
        <x:v>4200</x:v>
      </x:c>
      <x:c r="P1358" s="22" t="n">
        <x:f>O1358*(1-N1358)</x:f>
        <x:v>4074</x:v>
      </x:c>
      <x:c r="Q1358" s="22" t="n">
        <x:v>350</x:v>
      </x:c>
      <x:c r="R1358" s="22" t="n">
        <x:f>Q1358*M1358</x:f>
        <x:v>3500</x:v>
      </x:c>
      <x:c r="S1358" s="22" t="n">
        <x:f>P1358-R1358</x:f>
        <x:v>574</x:v>
      </x:c>
      <x:c r="T1358" t="str">
        <x:v>Credit</x:v>
      </x:c>
      <x:c r="U1358" t="str">
        <x:v>Pending</x:v>
      </x:c>
      <x:c r="V1358" t="str">
        <x:v>Cancelled</x:v>
      </x:c>
      <x:c r="W1358" t="n">
        <x:v>10</x:v>
      </x:c>
      <x:c r="X1358" t="str">
        <x:v>Cancelled Order</x:v>
      </x:c>
      <x:c r="Y1358" t="str">
        <x:v>Referral</x:v>
      </x:c>
    </x:row>
    <x:row r="1359">
      <x:c r="A1359" t="str">
        <x:v>O001358</x:v>
      </x:c>
      <x:c r="B1359" s="20" t="n">
        <x:v>45839</x:v>
      </x:c>
      <x:c r="C1359" t="str">
        <x:v>C0001</x:v>
      </x:c>
      <x:c r="D1359" t="str">
        <x:v>Annapurna Cafe 1</x:v>
      </x:c>
      <x:c r="E1359" t="str">
        <x:v>Hotel</x:v>
      </x:c>
      <x:c r="F1359" t="str">
        <x:v>Davanagere</x:v>
      </x:c>
      <x:c r="G1359" t="str">
        <x:v>Kavya</x:v>
      </x:c>
      <x:c r="H1359" t="str">
        <x:v>P031</x:v>
      </x:c>
      <x:c r="I1359" t="str">
        <x:v>Chilli Sauce 700g</x:v>
      </x:c>
      <x:c r="J1359" t="str">
        <x:v>Condiments</x:v>
      </x:c>
      <x:c r="K1359" t="str">
        <x:v>Ching's</x:v>
      </x:c>
      <x:c r="L1359" s="22" t="n">
        <x:v>130</x:v>
      </x:c>
      <x:c r="M1359" t="n">
        <x:v>3</x:v>
      </x:c>
      <x:c r="N1359" s="24" t="n">
        <x:v>0</x:v>
      </x:c>
      <x:c r="O1359" s="22" t="n">
        <x:f>L1359*M1359</x:f>
        <x:v>390</x:v>
      </x:c>
      <x:c r="P1359" s="22" t="n">
        <x:f>O1359*(1-N1359)</x:f>
        <x:v>390</x:v>
      </x:c>
      <x:c r="Q1359" s="22" t="n">
        <x:v>112</x:v>
      </x:c>
      <x:c r="R1359" s="22" t="n">
        <x:f>Q1359*M1359</x:f>
        <x:v>336</x:v>
      </x:c>
      <x:c r="S1359" s="22" t="n">
        <x:f>P1359-R1359</x:f>
        <x:v>54</x:v>
      </x:c>
      <x:c r="T1359" t="str">
        <x:v>Cash</x:v>
      </x:c>
      <x:c r="U1359" t="str">
        <x:v>Paid</x:v>
      </x:c>
      <x:c r="V1359" t="str">
        <x:v>Cancelled</x:v>
      </x:c>
      <x:c r="W1359" t="n">
        <x:v>3</x:v>
      </x:c>
      <x:c r="X1359" t="str">
        <x:v>Cancelled Order</x:v>
      </x:c>
      <x:c r="Y1359" t="str">
        <x:v>Field Visit</x:v>
      </x:c>
    </x:row>
    <x:row r="1360">
      <x:c r="A1360" t="str">
        <x:v>O001359</x:v>
      </x:c>
      <x:c r="B1360" s="20" t="n">
        <x:v>45827</x:v>
      </x:c>
      <x:c r="C1360" t="str">
        <x:v>C0023</x:v>
      </x:c>
      <x:c r="D1360" t="str">
        <x:v>Mysore Canteen 23</x:v>
      </x:c>
      <x:c r="E1360" t="str">
        <x:v>Cafe</x:v>
      </x:c>
      <x:c r="F1360" t="str">
        <x:v>Hubballi</x:v>
      </x:c>
      <x:c r="G1360" t="str">
        <x:v>Sneha</x:v>
      </x:c>
      <x:c r="H1360" t="str">
        <x:v>P003</x:v>
      </x:c>
      <x:c r="I1360" t="str">
        <x:v>Basmati Rice 5kg</x:v>
      </x:c>
      <x:c r="J1360" t="str">
        <x:v>Staples</x:v>
      </x:c>
      <x:c r="K1360" t="str">
        <x:v>India Gate</x:v>
      </x:c>
      <x:c r="L1360" s="22" t="n">
        <x:v>690</x:v>
      </x:c>
      <x:c r="M1360" t="n">
        <x:v>20</x:v>
      </x:c>
      <x:c r="N1360" s="24" t="n">
        <x:v>0.02</x:v>
      </x:c>
      <x:c r="O1360" s="22" t="n">
        <x:f>L1360*M1360</x:f>
        <x:v>13800</x:v>
      </x:c>
      <x:c r="P1360" s="22" t="n">
        <x:f>O1360*(1-N1360)</x:f>
        <x:v>13524</x:v>
      </x:c>
      <x:c r="Q1360" s="22" t="n">
        <x:v>610</x:v>
      </x:c>
      <x:c r="R1360" s="22" t="n">
        <x:f>Q1360*M1360</x:f>
        <x:v>12200</x:v>
      </x:c>
      <x:c r="S1360" s="22" t="n">
        <x:f>P1360-R1360</x:f>
        <x:v>1324</x:v>
      </x:c>
      <x:c r="T1360" t="str">
        <x:v>UPI</x:v>
      </x:c>
      <x:c r="U1360" t="str">
        <x:v>Overdue</x:v>
      </x:c>
      <x:c r="V1360" t="str">
        <x:v>Delivered</x:v>
      </x:c>
      <x:c r="W1360" t="n">
        <x:v>0</x:v>
      </x:c>
      <x:c r="X1360" t="str"/>
      <x:c r="Y1360" t="str"/>
    </x:row>
    <x:row r="1361">
      <x:c r="A1361" t="str">
        <x:v>O001360</x:v>
      </x:c>
      <x:c r="B1361" s="20" t="n">
        <x:v>45832</x:v>
      </x:c>
      <x:c r="C1361" t="str">
        <x:v>C0237</x:v>
      </x:c>
      <x:c r="D1361" t="str">
        <x:v>Mysore Restaurant 237</x:v>
      </x:c>
      <x:c r="E1361" t="str">
        <x:v>Restaurant</x:v>
      </x:c>
      <x:c r="F1361" t="str">
        <x:v>Bengaluru</x:v>
      </x:c>
      <x:c r="G1361" t="str">
        <x:v>Sneha</x:v>
      </x:c>
      <x:c r="H1361" t="str">
        <x:v>P013</x:v>
      </x:c>
      <x:c r="I1361" t="str">
        <x:v>Atta 10kg</x:v>
      </x:c>
      <x:c r="J1361" t="str">
        <x:v>Flour</x:v>
      </x:c>
      <x:c r="K1361" t="str">
        <x:v>Aashirvaad</x:v>
      </x:c>
      <x:c r="L1361" s="22" t="n">
        <x:v>560</x:v>
      </x:c>
      <x:c r="M1361" t="n">
        <x:v>26</x:v>
      </x:c>
      <x:c r="N1361" s="24" t="n">
        <x:v>0.05</x:v>
      </x:c>
      <x:c r="O1361" s="22" t="n">
        <x:f>L1361*M1361</x:f>
        <x:v>14560</x:v>
      </x:c>
      <x:c r="P1361" s="22" t="n">
        <x:f>O1361*(1-N1361)</x:f>
        <x:v>13832</x:v>
      </x:c>
      <x:c r="Q1361" s="22" t="n">
        <x:v>495</x:v>
      </x:c>
      <x:c r="R1361" s="22" t="n">
        <x:f>Q1361*M1361</x:f>
        <x:v>12870</x:v>
      </x:c>
      <x:c r="S1361" s="22" t="n">
        <x:f>P1361-R1361</x:f>
        <x:v>962</x:v>
      </x:c>
      <x:c r="T1361" t="str">
        <x:v>Credit</x:v>
      </x:c>
      <x:c r="U1361" t="str">
        <x:v>Paid</x:v>
      </x:c>
      <x:c r="V1361" t="str">
        <x:v>Delayed</x:v>
      </x:c>
      <x:c r="W1361" t="n">
        <x:v>0</x:v>
      </x:c>
      <x:c r="X1361" t="str"/>
      <x:c r="Y1361" t="str">
        <x:v>Field Visit</x:v>
      </x:c>
    </x:row>
    <x:row r="1362">
      <x:c r="A1362" t="str">
        <x:v>O001361</x:v>
      </x:c>
      <x:c r="B1362" s="20" t="n">
        <x:v>46285</x:v>
      </x:c>
      <x:c r="C1362" t="str">
        <x:v>C0135</x:v>
      </x:c>
      <x:c r="D1362" t="str">
        <x:v>City Canteen 135</x:v>
      </x:c>
      <x:c r="E1362" t="str">
        <x:v>Supermarket</x:v>
      </x:c>
      <x:c r="F1362" t="str">
        <x:v>Hubballi</x:v>
      </x:c>
      <x:c r="G1362" t="str">
        <x:v>Megha</x:v>
      </x:c>
      <x:c r="H1362" t="str">
        <x:v>P005</x:v>
      </x:c>
      <x:c r="I1362" t="str">
        <x:v>Chana Dal 5kg</x:v>
      </x:c>
      <x:c r="J1362" t="str">
        <x:v>Pulses</x:v>
      </x:c>
      <x:c r="K1362" t="str">
        <x:v>Local Select</x:v>
      </x:c>
      <x:c r="L1362" s="22" t="n">
        <x:v>520</x:v>
      </x:c>
      <x:c r="M1362" t="n">
        <x:v>19</x:v>
      </x:c>
      <x:c r="N1362" s="24" t="n">
        <x:v>0</x:v>
      </x:c>
      <x:c r="O1362" s="22" t="n">
        <x:f>L1362*M1362</x:f>
        <x:v>9880</x:v>
      </x:c>
      <x:c r="P1362" s="22" t="n">
        <x:f>O1362*(1-N1362)</x:f>
        <x:v>9880</x:v>
      </x:c>
      <x:c r="Q1362" s="22" t="n">
        <x:v>455</x:v>
      </x:c>
      <x:c r="R1362" s="22" t="n">
        <x:f>Q1362*M1362</x:f>
        <x:v>8645</x:v>
      </x:c>
      <x:c r="S1362" s="22" t="n">
        <x:f>P1362-R1362</x:f>
        <x:v>1235</x:v>
      </x:c>
      <x:c r="T1362" t="str">
        <x:v>Credit</x:v>
      </x:c>
      <x:c r="U1362" t="str">
        <x:v>Paid</x:v>
      </x:c>
      <x:c r="V1362" t="str">
        <x:v>Delivered</x:v>
      </x:c>
      <x:c r="W1362" t="n">
        <x:v>0</x:v>
      </x:c>
      <x:c r="X1362" t="str"/>
      <x:c r="Y1362" t="str">
        <x:v>Existing Customer</x:v>
      </x:c>
    </x:row>
    <x:row r="1363">
      <x:c r="A1363" t="str">
        <x:v>O001362</x:v>
      </x:c>
      <x:c r="B1363" s="20" t="n">
        <x:v>45948</x:v>
      </x:c>
      <x:c r="C1363" t="str">
        <x:v>C0156</x:v>
      </x:c>
      <x:c r="D1363" t="str">
        <x:v>Metro Stores 156</x:v>
      </x:c>
      <x:c r="E1363" t="str">
        <x:v>Hotel</x:v>
      </x:c>
      <x:c r="F1363" t="str">
        <x:v>Tumakuru</x:v>
      </x:c>
      <x:c r="G1363" t="str">
        <x:v>Ramesh</x:v>
      </x:c>
      <x:c r="H1363" t="str">
        <x:v>P015</x:v>
      </x:c>
      <x:c r="I1363" t="str">
        <x:v>Milk 1L</x:v>
      </x:c>
      <x:c r="J1363" t="str">
        <x:v>Dairy</x:v>
      </x:c>
      <x:c r="K1363" t="str">
        <x:v>Nandini</x:v>
      </x:c>
      <x:c r="L1363" s="22" t="n">
        <x:v>48</x:v>
      </x:c>
      <x:c r="M1363" t="n">
        <x:v>3</x:v>
      </x:c>
      <x:c r="N1363" s="24" t="n">
        <x:v>0.02</x:v>
      </x:c>
      <x:c r="O1363" s="22" t="n">
        <x:f>L1363*M1363</x:f>
        <x:v>144</x:v>
      </x:c>
      <x:c r="P1363" s="22" t="n">
        <x:f>O1363*(1-N1363)</x:f>
        <x:v>141.12</x:v>
      </x:c>
      <x:c r="Q1363" s="22" t="n">
        <x:v>43</x:v>
      </x:c>
      <x:c r="R1363" s="22" t="n">
        <x:f>Q1363*M1363</x:f>
        <x:v>129</x:v>
      </x:c>
      <x:c r="S1363" s="22" t="n">
        <x:f>P1363-R1363</x:f>
        <x:v>12.120000000000005</x:v>
      </x:c>
      <x:c r="T1363" t="str">
        <x:v>Cash</x:v>
      </x:c>
      <x:c r="U1363" t="str">
        <x:v>Paid</x:v>
      </x:c>
      <x:c r="V1363" t="str">
        <x:v>Cancelled</x:v>
      </x:c>
      <x:c r="W1363" t="n">
        <x:v>3</x:v>
      </x:c>
      <x:c r="X1363" t="str">
        <x:v>Cancelled Order</x:v>
      </x:c>
      <x:c r="Y1363" t="str">
        <x:v>WhatsApp</x:v>
      </x:c>
    </x:row>
    <x:row r="1364">
      <x:c r="A1364" t="str">
        <x:v>O001363</x:v>
      </x:c>
      <x:c r="B1364" s="20" t="n">
        <x:v>45971</x:v>
      </x:c>
      <x:c r="C1364" t="str">
        <x:v>C0092</x:v>
      </x:c>
      <x:c r="D1364" t="str">
        <x:v>Cafe Restaurant 92</x:v>
      </x:c>
      <x:c r="E1364" t="str">
        <x:v>Canteen</x:v>
      </x:c>
      <x:c r="F1364" t="str">
        <x:v>Hubballi</x:v>
      </x:c>
      <x:c r="G1364" t="str">
        <x:v>Vikram</x:v>
      </x:c>
      <x:c r="H1364" t="str">
        <x:v>P033</x:v>
      </x:c>
      <x:c r="I1364" t="str">
        <x:v>Turmeric Powder 1kg</x:v>
      </x:c>
      <x:c r="J1364" t="str">
        <x:v>Spices</x:v>
      </x:c>
      <x:c r="K1364" t="str">
        <x:v>Everest</x:v>
      </x:c>
      <x:c r="L1364" s="22" t="n">
        <x:v>310</x:v>
      </x:c>
      <x:c r="M1364" t="n">
        <x:v>19</x:v>
      </x:c>
      <x:c r="N1364" s="24" t="n">
        <x:v>0.05</x:v>
      </x:c>
      <x:c r="O1364" s="22" t="n">
        <x:f>L1364*M1364</x:f>
        <x:v>5890</x:v>
      </x:c>
      <x:c r="P1364" s="22" t="n">
        <x:f>O1364*(1-N1364)</x:f>
        <x:v>5595.5</x:v>
      </x:c>
      <x:c r="Q1364" s="22" t="n">
        <x:v>270</x:v>
      </x:c>
      <x:c r="R1364" s="22" t="n">
        <x:f>Q1364*M1364</x:f>
        <x:v>5130</x:v>
      </x:c>
      <x:c r="S1364" s="22" t="n">
        <x:f>P1364-R1364</x:f>
        <x:v>465.5</x:v>
      </x:c>
      <x:c r="T1364" t="str">
        <x:v>Credit</x:v>
      </x:c>
      <x:c r="U1364" t="str">
        <x:v>Paid</x:v>
      </x:c>
      <x:c r="V1364" t="str">
        <x:v>Delivered</x:v>
      </x:c>
      <x:c r="W1364" t="n">
        <x:v>0</x:v>
      </x:c>
      <x:c r="X1364" t="str"/>
      <x:c r="Y1364" t="str">
        <x:v>Field Visit</x:v>
      </x:c>
    </x:row>
    <x:row r="1365">
      <x:c r="A1365" t="str">
        <x:v>O001364</x:v>
      </x:c>
      <x:c r="B1365" s="20" t="n">
        <x:v>46130</x:v>
      </x:c>
      <x:c r="C1365" t="str">
        <x:v>C0054</x:v>
      </x:c>
      <x:c r="D1365" t="str">
        <x:v>Cafe Cafe 54</x:v>
      </x:c>
      <x:c r="E1365" t="str">
        <x:v>Restaurant</x:v>
      </x:c>
      <x:c r="F1365" t="str">
        <x:v>Hubballi</x:v>
      </x:c>
      <x:c r="G1365" t="str">
        <x:v>Vikram</x:v>
      </x:c>
      <x:c r="H1365" t="str">
        <x:v>P016</x:v>
      </x:c>
      <x:c r="I1365" t="str">
        <x:v>Curd 1kg</x:v>
      </x:c>
      <x:c r="J1365" t="str">
        <x:v>Dairy</x:v>
      </x:c>
      <x:c r="K1365" t="str">
        <x:v>Nandini</x:v>
      </x:c>
      <x:c r="L1365" s="22" t="n">
        <x:v>72</x:v>
      </x:c>
      <x:c r="M1365" t="n">
        <x:v>10</x:v>
      </x:c>
      <x:c r="N1365" s="24" t="n">
        <x:v>0.05</x:v>
      </x:c>
      <x:c r="O1365" s="22" t="n">
        <x:f>L1365*M1365</x:f>
        <x:v>720</x:v>
      </x:c>
      <x:c r="P1365" s="22" t="n">
        <x:f>O1365*(1-N1365)</x:f>
        <x:v>684</x:v>
      </x:c>
      <x:c r="Q1365" s="22" t="n">
        <x:v>64</x:v>
      </x:c>
      <x:c r="R1365" s="22" t="n">
        <x:f>Q1365*M1365</x:f>
        <x:v>640</x:v>
      </x:c>
      <x:c r="S1365" s="22" t="n">
        <x:f>P1365-R1365</x:f>
        <x:v>44</x:v>
      </x:c>
      <x:c r="T1365" t="str">
        <x:v>UPI</x:v>
      </x:c>
      <x:c r="U1365" t="str">
        <x:v>Paid</x:v>
      </x:c>
      <x:c r="V1365" t="str">
        <x:v>Delayed</x:v>
      </x:c>
      <x:c r="W1365" t="n">
        <x:v>0</x:v>
      </x:c>
      <x:c r="X1365" t="str"/>
      <x:c r="Y1365" t="str">
        <x:v>Outbound Call</x:v>
      </x:c>
    </x:row>
    <x:row r="1366">
      <x:c r="A1366" t="str">
        <x:v>O001365</x:v>
      </x:c>
      <x:c r="B1366" s="20" t="n">
        <x:v>45810</x:v>
      </x:c>
      <x:c r="C1366" t="str">
        <x:v>C0115</x:v>
      </x:c>
      <x:c r="D1366" t="str">
        <x:v>Mysore Mart 115</x:v>
      </x:c>
      <x:c r="E1366" t="str">
        <x:v>Kirana</x:v>
      </x:c>
      <x:c r="F1366" t="str">
        <x:v>Mangaluru</x:v>
      </x:c>
      <x:c r="G1366" t="str">
        <x:v>Arjun</x:v>
      </x:c>
      <x:c r="H1366" t="str">
        <x:v>P009</x:v>
      </x:c>
      <x:c r="I1366" t="str">
        <x:v>Groundnut Oil 5L</x:v>
      </x:c>
      <x:c r="J1366" t="str">
        <x:v>Edible Oil</x:v>
      </x:c>
      <x:c r="K1366" t="str">
        <x:v>Dhara</x:v>
      </x:c>
      <x:c r="L1366" s="22" t="n">
        <x:v>890</x:v>
      </x:c>
      <x:c r="M1366" t="n">
        <x:v>5</x:v>
      </x:c>
      <x:c r="N1366" s="24" t="n">
        <x:v>0.02</x:v>
      </x:c>
      <x:c r="O1366" s="22" t="n">
        <x:f>L1366*M1366</x:f>
        <x:v>4450</x:v>
      </x:c>
      <x:c r="P1366" s="22" t="n">
        <x:f>O1366*(1-N1366)</x:f>
        <x:v>4361</x:v>
      </x:c>
      <x:c r="Q1366" s="22" t="n">
        <x:v>810</x:v>
      </x:c>
      <x:c r="R1366" s="22" t="n">
        <x:f>Q1366*M1366</x:f>
        <x:v>4050</x:v>
      </x:c>
      <x:c r="S1366" s="22" t="n">
        <x:f>P1366-R1366</x:f>
        <x:v>311</x:v>
      </x:c>
      <x:c r="T1366" t="str">
        <x:v>Cash</x:v>
      </x:c>
      <x:c r="U1366" t="str">
        <x:v>Paid</x:v>
      </x:c>
      <x:c r="V1366" t="str">
        <x:v>Delayed</x:v>
      </x:c>
      <x:c r="W1366" t="n">
        <x:v>0</x:v>
      </x:c>
      <x:c r="X1366" t="str"/>
      <x:c r="Y1366" t="str">
        <x:v>Referral</x:v>
      </x:c>
    </x:row>
    <x:row r="1367">
      <x:c r="A1367" t="str">
        <x:v>O001366</x:v>
      </x:c>
      <x:c r="B1367" s="20" t="n">
        <x:v>45783</x:v>
      </x:c>
      <x:c r="C1367" t="str">
        <x:v>C0112</x:v>
      </x:c>
      <x:c r="D1367" t="str">
        <x:v>Cafe Hotel 112</x:v>
      </x:c>
      <x:c r="E1367" t="str">
        <x:v>Hotel</x:v>
      </x:c>
      <x:c r="F1367" t="str">
        <x:v>Mangaluru</x:v>
      </x:c>
      <x:c r="G1367" t="str">
        <x:v>Kavya</x:v>
      </x:c>
      <x:c r="H1367" t="str">
        <x:v>P027</x:v>
      </x:c>
      <x:c r="I1367" t="str">
        <x:v>Biscuits 120g</x:v>
      </x:c>
      <x:c r="J1367" t="str">
        <x:v>Snacks</x:v>
      </x:c>
      <x:c r="K1367" t="str">
        <x:v>Parle-G</x:v>
      </x:c>
      <x:c r="L1367" s="22" t="n">
        <x:v>12</x:v>
      </x:c>
      <x:c r="M1367" t="n">
        <x:v>36</x:v>
      </x:c>
      <x:c r="N1367" s="24" t="n">
        <x:v>0.05</x:v>
      </x:c>
      <x:c r="O1367" s="22" t="n">
        <x:f>L1367*M1367</x:f>
        <x:v>432</x:v>
      </x:c>
      <x:c r="P1367" s="22" t="n">
        <x:f>O1367*(1-N1367)</x:f>
        <x:v>410.4</x:v>
      </x:c>
      <x:c r="Q1367" s="22" t="n">
        <x:v>9</x:v>
      </x:c>
      <x:c r="R1367" s="22" t="n">
        <x:f>Q1367*M1367</x:f>
        <x:v>324</x:v>
      </x:c>
      <x:c r="S1367" s="22" t="n">
        <x:f>P1367-R1367</x:f>
        <x:v>86.39999999999998</x:v>
      </x:c>
      <x:c r="T1367" t="str">
        <x:v>Cash</x:v>
      </x:c>
      <x:c r="U1367" t="str">
        <x:v>Overdue</x:v>
      </x:c>
      <x:c r="V1367" t="str">
        <x:v>Delivered</x:v>
      </x:c>
      <x:c r="W1367" t="n">
        <x:v>0</x:v>
      </x:c>
      <x:c r="X1367" t="str"/>
      <x:c r="Y1367" t="str">
        <x:v>Outbound Call</x:v>
      </x:c>
    </x:row>
    <x:row r="1368">
      <x:c r="A1368" t="str">
        <x:v>O001367</x:v>
      </x:c>
      <x:c r="B1368" s="20" t="n">
        <x:v>46011</x:v>
      </x:c>
      <x:c r="C1368" t="str">
        <x:v>C0101</x:v>
      </x:c>
      <x:c r="D1368" t="str">
        <x:v>Namma Cafe 101</x:v>
      </x:c>
      <x:c r="E1368" t="str">
        <x:v>Supermarket</x:v>
      </x:c>
      <x:c r="F1368" t="str">
        <x:v>Bengaluru</x:v>
      </x:c>
      <x:c r="G1368" t="str">
        <x:v>Arjun</x:v>
      </x:c>
      <x:c r="H1368" t="str">
        <x:v>P013</x:v>
      </x:c>
      <x:c r="I1368" t="str">
        <x:v>Atta 10kg</x:v>
      </x:c>
      <x:c r="J1368" t="str">
        <x:v>Flour</x:v>
      </x:c>
      <x:c r="K1368" t="str">
        <x:v>Aashirvaad</x:v>
      </x:c>
      <x:c r="L1368" s="22" t="n">
        <x:v>560</x:v>
      </x:c>
      <x:c r="M1368" t="n">
        <x:v>5</x:v>
      </x:c>
      <x:c r="N1368" s="24" t="n">
        <x:v>0</x:v>
      </x:c>
      <x:c r="O1368" s="22" t="n">
        <x:f>L1368*M1368</x:f>
        <x:v>2800</x:v>
      </x:c>
      <x:c r="P1368" s="22" t="n">
        <x:f>O1368*(1-N1368)</x:f>
        <x:v>2800</x:v>
      </x:c>
      <x:c r="Q1368" s="22" t="n">
        <x:v>495</x:v>
      </x:c>
      <x:c r="R1368" s="22" t="n">
        <x:f>Q1368*M1368</x:f>
        <x:v>2475</x:v>
      </x:c>
      <x:c r="S1368" s="22" t="n">
        <x:f>P1368-R1368</x:f>
        <x:v>325</x:v>
      </x:c>
      <x:c r="T1368" t="str">
        <x:v>Cash</x:v>
      </x:c>
      <x:c r="U1368" t="str">
        <x:v>Paid</x:v>
      </x:c>
      <x:c r="V1368" t="str">
        <x:v>Delivered</x:v>
      </x:c>
      <x:c r="W1368" t="n">
        <x:v>0</x:v>
      </x:c>
      <x:c r="X1368" t="str"/>
      <x:c r="Y1368" t="str">
        <x:v>WhatsApp</x:v>
      </x:c>
    </x:row>
    <x:row r="1369">
      <x:c r="A1369" t="str">
        <x:v>O001368</x:v>
      </x:c>
      <x:c r="B1369" s="20" t="n">
        <x:v>46118</x:v>
      </x:c>
      <x:c r="C1369" t="str">
        <x:v>C0221</x:v>
      </x:c>
      <x:c r="D1369" t="str">
        <x:v>Cafe Canteen 221</x:v>
      </x:c>
      <x:c r="E1369" t="str">
        <x:v>Hotel</x:v>
      </x:c>
      <x:c r="F1369" t="str">
        <x:v>Hubballi</x:v>
      </x:c>
      <x:c r="G1369" t="str">
        <x:v>Kavya</x:v>
      </x:c>
      <x:c r="H1369" t="str">
        <x:v>P021</x:v>
      </x:c>
      <x:c r="I1369" t="str">
        <x:v>Instant Coffee 200g</x:v>
      </x:c>
      <x:c r="J1369" t="str">
        <x:v>Beverage</x:v>
      </x:c>
      <x:c r="K1369" t="str">
        <x:v>Nescafe</x:v>
      </x:c>
      <x:c r="L1369" s="22" t="n">
        <x:v>460</x:v>
      </x:c>
      <x:c r="M1369" t="n">
        <x:v>9</x:v>
      </x:c>
      <x:c r="N1369" s="24" t="n">
        <x:v>0.05</x:v>
      </x:c>
      <x:c r="O1369" s="22" t="n">
        <x:f>L1369*M1369</x:f>
        <x:v>4140</x:v>
      </x:c>
      <x:c r="P1369" s="22" t="n">
        <x:f>O1369*(1-N1369)</x:f>
        <x:v>3933</x:v>
      </x:c>
      <x:c r="Q1369" s="22" t="n">
        <x:v>410</x:v>
      </x:c>
      <x:c r="R1369" s="22" t="n">
        <x:f>Q1369*M1369</x:f>
        <x:v>3690</x:v>
      </x:c>
      <x:c r="S1369" s="22" t="n">
        <x:f>P1369-R1369</x:f>
        <x:v>243</x:v>
      </x:c>
      <x:c r="T1369" t="str">
        <x:v>Credit</x:v>
      </x:c>
      <x:c r="U1369" t="str">
        <x:v>Paid</x:v>
      </x:c>
      <x:c r="V1369" t="str">
        <x:v>Delayed</x:v>
      </x:c>
      <x:c r="W1369" t="n">
        <x:v>0</x:v>
      </x:c>
      <x:c r="X1369" t="str"/>
      <x:c r="Y1369" t="str"/>
    </x:row>
    <x:row r="1370">
      <x:c r="A1370" t="str">
        <x:v>O001369</x:v>
      </x:c>
      <x:c r="B1370" s="20" t="n">
        <x:v>45914</x:v>
      </x:c>
      <x:c r="C1370" t="str">
        <x:v>C0201</x:v>
      </x:c>
      <x:c r="D1370" t="str">
        <x:v>Metro Hotel 201</x:v>
      </x:c>
      <x:c r="E1370" t="str">
        <x:v>Kirana</x:v>
      </x:c>
      <x:c r="F1370" t="str">
        <x:v>Mysuru</x:v>
      </x:c>
      <x:c r="G1370" t="str">
        <x:v>Imran</x:v>
      </x:c>
      <x:c r="H1370" t="str">
        <x:v>P011</x:v>
      </x:c>
      <x:c r="I1370" t="str">
        <x:v>Salt 1kg</x:v>
      </x:c>
      <x:c r="J1370" t="str">
        <x:v>Staples</x:v>
      </x:c>
      <x:c r="K1370" t="str">
        <x:v>Tata</x:v>
      </x:c>
      <x:c r="L1370" s="22" t="n">
        <x:v>28</x:v>
      </x:c>
      <x:c r="M1370" t="n">
        <x:v>27</x:v>
      </x:c>
      <x:c r="N1370" s="24" t="n">
        <x:v>0</x:v>
      </x:c>
      <x:c r="O1370" s="22" t="n">
        <x:f>L1370*M1370</x:f>
        <x:v>756</x:v>
      </x:c>
      <x:c r="P1370" s="22" t="n">
        <x:f>O1370*(1-N1370)</x:f>
        <x:v>756</x:v>
      </x:c>
      <x:c r="Q1370" s="22" t="n">
        <x:v>23</x:v>
      </x:c>
      <x:c r="R1370" s="22" t="n">
        <x:f>Q1370*M1370</x:f>
        <x:v>621</x:v>
      </x:c>
      <x:c r="S1370" s="22" t="n">
        <x:f>P1370-R1370</x:f>
        <x:v>135</x:v>
      </x:c>
      <x:c r="T1370" t="str">
        <x:v>Cash</x:v>
      </x:c>
      <x:c r="U1370" t="str">
        <x:v>Paid</x:v>
      </x:c>
      <x:c r="V1370" t="str">
        <x:v>Delivered</x:v>
      </x:c>
      <x:c r="W1370" t="n">
        <x:v>0</x:v>
      </x:c>
      <x:c r="X1370" t="str"/>
      <x:c r="Y1370" t="str">
        <x:v>Existing Customer</x:v>
      </x:c>
    </x:row>
    <x:row r="1371">
      <x:c r="A1371" t="str">
        <x:v>O001370</x:v>
      </x:c>
      <x:c r="B1371" s="20" t="n">
        <x:v>45842</x:v>
      </x:c>
      <x:c r="C1371" t="str">
        <x:v>C0072</x:v>
      </x:c>
      <x:c r="D1371" t="str">
        <x:v>Grand Restaurant 72</x:v>
      </x:c>
      <x:c r="E1371" t="str">
        <x:v>Restaurant</x:v>
      </x:c>
      <x:c r="F1371" t="str">
        <x:v>Davanagere</x:v>
      </x:c>
      <x:c r="G1371" t="str">
        <x:v>Kavya</x:v>
      </x:c>
      <x:c r="H1371" t="str">
        <x:v>P013</x:v>
      </x:c>
      <x:c r="I1371" t="str">
        <x:v>Atta 10kg</x:v>
      </x:c>
      <x:c r="J1371" t="str">
        <x:v>Flour</x:v>
      </x:c>
      <x:c r="K1371" t="str">
        <x:v>Aashirvaad</x:v>
      </x:c>
      <x:c r="L1371" s="22" t="n">
        <x:v>560</x:v>
      </x:c>
      <x:c r="M1371" t="n">
        <x:v>27</x:v>
      </x:c>
      <x:c r="N1371" s="24" t="n">
        <x:v>0</x:v>
      </x:c>
      <x:c r="O1371" s="22" t="n">
        <x:f>L1371*M1371</x:f>
        <x:v>15120</x:v>
      </x:c>
      <x:c r="P1371" s="22" t="n">
        <x:f>O1371*(1-N1371)</x:f>
        <x:v>15120</x:v>
      </x:c>
      <x:c r="Q1371" s="22" t="n">
        <x:v>495</x:v>
      </x:c>
      <x:c r="R1371" s="22" t="n">
        <x:f>Q1371*M1371</x:f>
        <x:v>13365</x:v>
      </x:c>
      <x:c r="S1371" s="22" t="n">
        <x:f>P1371-R1371</x:f>
        <x:v>1755</x:v>
      </x:c>
      <x:c r="T1371" t="str">
        <x:v>UPI</x:v>
      </x:c>
      <x:c r="U1371" t="str">
        <x:v>Paid</x:v>
      </x:c>
      <x:c r="V1371" t="str">
        <x:v>Cancelled</x:v>
      </x:c>
      <x:c r="W1371" t="n">
        <x:v>27</x:v>
      </x:c>
      <x:c r="X1371" t="str">
        <x:v>Cancelled Order</x:v>
      </x:c>
      <x:c r="Y1371" t="str">
        <x:v>Field Visit</x:v>
      </x:c>
    </x:row>
    <x:row r="1372">
      <x:c r="A1372" t="str">
        <x:v>O001371</x:v>
      </x:c>
      <x:c r="B1372" s="20" t="n">
        <x:v>45660</x:v>
      </x:c>
      <x:c r="C1372" t="str">
        <x:v>C0096</x:v>
      </x:c>
      <x:c r="D1372" t="str">
        <x:v>Metro Foods 96</x:v>
      </x:c>
      <x:c r="E1372" t="str">
        <x:v>Kirana</x:v>
      </x:c>
      <x:c r="F1372" t="str">
        <x:v>Davanagere</x:v>
      </x:c>
      <x:c r="G1372" t="str">
        <x:v>Vikram</x:v>
      </x:c>
      <x:c r="H1372" t="str">
        <x:v>P022</x:v>
      </x:c>
      <x:c r="I1372" t="str">
        <x:v>Mineral Water 1L</x:v>
      </x:c>
      <x:c r="J1372" t="str">
        <x:v>Beverage</x:v>
      </x:c>
      <x:c r="K1372" t="str">
        <x:v>Bisleri</x:v>
      </x:c>
      <x:c r="L1372" s="22" t="n">
        <x:v>19</x:v>
      </x:c>
      <x:c r="M1372" t="n">
        <x:v>7</x:v>
      </x:c>
      <x:c r="N1372" s="24" t="n">
        <x:v>0.03</x:v>
      </x:c>
      <x:c r="O1372" s="22" t="n">
        <x:f>L1372*M1372</x:f>
        <x:v>133</x:v>
      </x:c>
      <x:c r="P1372" s="22" t="n">
        <x:f>O1372*(1-N1372)</x:f>
        <x:v>129.01</x:v>
      </x:c>
      <x:c r="Q1372" s="22" t="n">
        <x:v>15</x:v>
      </x:c>
      <x:c r="R1372" s="22" t="n">
        <x:f>Q1372*M1372</x:f>
        <x:v>105</x:v>
      </x:c>
      <x:c r="S1372" s="22" t="n">
        <x:f>P1372-R1372</x:f>
        <x:v>24.00999999999999</x:v>
      </x:c>
      <x:c r="T1372" t="str">
        <x:v>Bank Transfer</x:v>
      </x:c>
      <x:c r="U1372" t="str">
        <x:v>Paid</x:v>
      </x:c>
      <x:c r="V1372" t="str">
        <x:v>Delivered</x:v>
      </x:c>
      <x:c r="W1372" t="n">
        <x:v>0</x:v>
      </x:c>
      <x:c r="X1372" t="str"/>
      <x:c r="Y1372" t="str">
        <x:v>Existing Customer</x:v>
      </x:c>
    </x:row>
    <x:row r="1373">
      <x:c r="A1373" t="str">
        <x:v>O001372</x:v>
      </x:c>
      <x:c r="B1373" s="20" t="n">
        <x:v>46262</x:v>
      </x:c>
      <x:c r="C1373" t="str">
        <x:v>C0101</x:v>
      </x:c>
      <x:c r="D1373" t="str">
        <x:v>Namma Cafe 101</x:v>
      </x:c>
      <x:c r="E1373" t="str">
        <x:v>Supermarket</x:v>
      </x:c>
      <x:c r="F1373" t="str">
        <x:v>Bengaluru</x:v>
      </x:c>
      <x:c r="G1373" t="str">
        <x:v>Arjun</x:v>
      </x:c>
      <x:c r="H1373" t="str">
        <x:v>P034</x:v>
      </x:c>
      <x:c r="I1373" t="str">
        <x:v>Chilli Powder 1kg</x:v>
      </x:c>
      <x:c r="J1373" t="str">
        <x:v>Spices</x:v>
      </x:c>
      <x:c r="K1373" t="str">
        <x:v>MDH</x:v>
      </x:c>
      <x:c r="L1373" s="22" t="n">
        <x:v>340</x:v>
      </x:c>
      <x:c r="M1373" t="n">
        <x:v>40</x:v>
      </x:c>
      <x:c r="N1373" s="24" t="n">
        <x:v>0.08</x:v>
      </x:c>
      <x:c r="O1373" s="22" t="n">
        <x:f>L1373*M1373</x:f>
        <x:v>13600</x:v>
      </x:c>
      <x:c r="P1373" s="22" t="n">
        <x:f>O1373*(1-N1373)</x:f>
        <x:v>12512</x:v>
      </x:c>
      <x:c r="Q1373" s="22" t="n">
        <x:v>295</x:v>
      </x:c>
      <x:c r="R1373" s="22" t="n">
        <x:f>Q1373*M1373</x:f>
        <x:v>11800</x:v>
      </x:c>
      <x:c r="S1373" s="22" t="n">
        <x:f>P1373-R1373</x:f>
        <x:v>712</x:v>
      </x:c>
      <x:c r="T1373" t="str">
        <x:v>Bank Transfer</x:v>
      </x:c>
      <x:c r="U1373" t="str">
        <x:v>Paid</x:v>
      </x:c>
      <x:c r="V1373" t="str">
        <x:v>Cancelled</x:v>
      </x:c>
      <x:c r="W1373" t="n">
        <x:v>40</x:v>
      </x:c>
      <x:c r="X1373" t="str">
        <x:v>Cancelled Order</x:v>
      </x:c>
      <x:c r="Y1373" t="str">
        <x:v>Outbound Call</x:v>
      </x:c>
    </x:row>
    <x:row r="1374">
      <x:c r="A1374" t="str">
        <x:v>O001373</x:v>
      </x:c>
      <x:c r="B1374" s="20" t="n">
        <x:v>46218</x:v>
      </x:c>
      <x:c r="C1374" t="str">
        <x:v>C0185</x:v>
      </x:c>
      <x:c r="D1374" t="str">
        <x:v>Mysore Foods 185</x:v>
      </x:c>
      <x:c r="E1374" t="str">
        <x:v>Restaurant</x:v>
      </x:c>
      <x:c r="F1374" t="str">
        <x:v>Mysuru</x:v>
      </x:c>
      <x:c r="G1374" t="str">
        <x:v>Sneha</x:v>
      </x:c>
      <x:c r="H1374" t="str">
        <x:v>P038</x:v>
      </x:c>
      <x:c r="I1374" t="str">
        <x:v>French Fries 2.5kg</x:v>
      </x:c>
      <x:c r="J1374" t="str">
        <x:v>Frozen</x:v>
      </x:c>
      <x:c r="K1374" t="str">
        <x:v>McCain</x:v>
      </x:c>
      <x:c r="L1374" s="22" t="n">
        <x:v>360</x:v>
      </x:c>
      <x:c r="M1374" t="n">
        <x:v>19</x:v>
      </x:c>
      <x:c r="N1374" s="24" t="n">
        <x:v>0.03</x:v>
      </x:c>
      <x:c r="O1374" s="22" t="n">
        <x:f>L1374*M1374</x:f>
        <x:v>6840</x:v>
      </x:c>
      <x:c r="P1374" s="22" t="n">
        <x:f>O1374*(1-N1374)</x:f>
        <x:v>6634.8</x:v>
      </x:c>
      <x:c r="Q1374" s="22" t="n">
        <x:v>315</x:v>
      </x:c>
      <x:c r="R1374" s="22" t="n">
        <x:f>Q1374*M1374</x:f>
        <x:v>5985</x:v>
      </x:c>
      <x:c r="S1374" s="22" t="n">
        <x:f>P1374-R1374</x:f>
        <x:v>649.8000000000002</x:v>
      </x:c>
      <x:c r="T1374" t="str">
        <x:v>Credit</x:v>
      </x:c>
      <x:c r="U1374" t="str">
        <x:v>Paid</x:v>
      </x:c>
      <x:c r="V1374" t="str">
        <x:v>Delivered</x:v>
      </x:c>
      <x:c r="W1374" t="n">
        <x:v>1</x:v>
      </x:c>
      <x:c r="X1374" t="str">
        <x:v>Late Delivery</x:v>
      </x:c>
      <x:c r="Y1374" t="str">
        <x:v>WhatsApp</x:v>
      </x:c>
    </x:row>
    <x:row r="1375">
      <x:c r="A1375" t="str">
        <x:v>O001374</x:v>
      </x:c>
      <x:c r="B1375" s="20" t="n">
        <x:v>46243</x:v>
      </x:c>
      <x:c r="C1375" t="str">
        <x:v>C0235</x:v>
      </x:c>
      <x:c r="D1375" t="str">
        <x:v>Darshini Canteen 235</x:v>
      </x:c>
      <x:c r="E1375" t="str">
        <x:v>Hotel</x:v>
      </x:c>
      <x:c r="F1375" t="str">
        <x:v>Mangaluru</x:v>
      </x:c>
      <x:c r="G1375" t="str">
        <x:v>Arjun</x:v>
      </x:c>
      <x:c r="H1375" t="str">
        <x:v>P039</x:v>
      </x:c>
      <x:c r="I1375" t="str">
        <x:v>Ice Cream 4L</x:v>
      </x:c>
      <x:c r="J1375" t="str">
        <x:v>Frozen</x:v>
      </x:c>
      <x:c r="K1375" t="str">
        <x:v>Amul</x:v>
      </x:c>
      <x:c r="L1375" s="22" t="n">
        <x:v>480</x:v>
      </x:c>
      <x:c r="M1375" t="n">
        <x:v>15</x:v>
      </x:c>
      <x:c r="N1375" s="24" t="n">
        <x:v>0.08</x:v>
      </x:c>
      <x:c r="O1375" s="22" t="n">
        <x:f>L1375*M1375</x:f>
        <x:v>7200</x:v>
      </x:c>
      <x:c r="P1375" s="22" t="n">
        <x:f>O1375*(1-N1375)</x:f>
        <x:v>6624</x:v>
      </x:c>
      <x:c r="Q1375" s="22" t="n">
        <x:v>420</x:v>
      </x:c>
      <x:c r="R1375" s="22" t="n">
        <x:f>Q1375*M1375</x:f>
        <x:v>6300</x:v>
      </x:c>
      <x:c r="S1375" s="22" t="n">
        <x:f>P1375-R1375</x:f>
        <x:v>324</x:v>
      </x:c>
      <x:c r="T1375" t="str">
        <x:v>Bank Transfer</x:v>
      </x:c>
      <x:c r="U1375" t="str">
        <x:v>Paid</x:v>
      </x:c>
      <x:c r="V1375" t="str">
        <x:v>Delivered</x:v>
      </x:c>
      <x:c r="W1375" t="n">
        <x:v>0</x:v>
      </x:c>
      <x:c r="X1375" t="str"/>
      <x:c r="Y1375" t="str">
        <x:v>Outbound Call</x:v>
      </x:c>
    </x:row>
    <x:row r="1376">
      <x:c r="A1376" t="str">
        <x:v>O001375</x:v>
      </x:c>
      <x:c r="B1376" s="20" t="n">
        <x:v>45918</x:v>
      </x:c>
      <x:c r="C1376" t="str">
        <x:v>C0172</x:v>
      </x:c>
      <x:c r="D1376" t="str">
        <x:v>Annapurna Stores 172</x:v>
      </x:c>
      <x:c r="E1376" t="str">
        <x:v>Restaurant</x:v>
      </x:c>
      <x:c r="F1376" t="str">
        <x:v>Mangaluru</x:v>
      </x:c>
      <x:c r="G1376" t="str">
        <x:v>Megha</x:v>
      </x:c>
      <x:c r="H1376" t="str">
        <x:v>P038</x:v>
      </x:c>
      <x:c r="I1376" t="str">
        <x:v>French Fries 2.5kg</x:v>
      </x:c>
      <x:c r="J1376" t="str">
        <x:v>Frozen</x:v>
      </x:c>
      <x:c r="K1376" t="str">
        <x:v>McCain</x:v>
      </x:c>
      <x:c r="L1376" s="22" t="n">
        <x:v>360</x:v>
      </x:c>
      <x:c r="M1376" t="n">
        <x:v>26</x:v>
      </x:c>
      <x:c r="N1376" s="24" t="n">
        <x:v>0.02</x:v>
      </x:c>
      <x:c r="O1376" s="22" t="n">
        <x:f>L1376*M1376</x:f>
        <x:v>9360</x:v>
      </x:c>
      <x:c r="P1376" s="22" t="n">
        <x:f>O1376*(1-N1376)</x:f>
        <x:v>9172.8</x:v>
      </x:c>
      <x:c r="Q1376" s="22" t="n">
        <x:v>315</x:v>
      </x:c>
      <x:c r="R1376" s="22" t="n">
        <x:f>Q1376*M1376</x:f>
        <x:v>8190</x:v>
      </x:c>
      <x:c r="S1376" s="22" t="n">
        <x:f>P1376-R1376</x:f>
        <x:v>982.7999999999993</x:v>
      </x:c>
      <x:c r="T1376" t="str">
        <x:v>Bank Transfer</x:v>
      </x:c>
      <x:c r="U1376" t="str">
        <x:v>Paid</x:v>
      </x:c>
      <x:c r="V1376" t="str">
        <x:v>Delivered</x:v>
      </x:c>
      <x:c r="W1376" t="n">
        <x:v>0</x:v>
      </x:c>
      <x:c r="X1376" t="str"/>
      <x:c r="Y1376" t="str">
        <x:v>Outbound Call</x:v>
      </x:c>
    </x:row>
    <x:row r="1377">
      <x:c r="A1377" t="str">
        <x:v>O001376</x:v>
      </x:c>
      <x:c r="B1377" s="20" t="n">
        <x:v>45938</x:v>
      </x:c>
      <x:c r="C1377" t="str">
        <x:v>C0246</x:v>
      </x:c>
      <x:c r="D1377" t="str">
        <x:v>City Hotel 246</x:v>
      </x:c>
      <x:c r="E1377" t="str">
        <x:v>Supermarket</x:v>
      </x:c>
      <x:c r="F1377" t="str">
        <x:v>Mangaluru</x:v>
      </x:c>
      <x:c r="G1377" t="str">
        <x:v>Kavya</x:v>
      </x:c>
      <x:c r="H1377" t="str">
        <x:v>P005</x:v>
      </x:c>
      <x:c r="I1377" t="str">
        <x:v>Chana Dal 5kg</x:v>
      </x:c>
      <x:c r="J1377" t="str">
        <x:v>Pulses</x:v>
      </x:c>
      <x:c r="K1377" t="str">
        <x:v>Local Select</x:v>
      </x:c>
      <x:c r="L1377" s="22" t="n">
        <x:v>520</x:v>
      </x:c>
      <x:c r="M1377" t="n">
        <x:v>35</x:v>
      </x:c>
      <x:c r="N1377" s="24" t="n">
        <x:v>0.05</x:v>
      </x:c>
      <x:c r="O1377" s="22" t="n">
        <x:f>L1377*M1377</x:f>
        <x:v>18200</x:v>
      </x:c>
      <x:c r="P1377" s="22" t="n">
        <x:f>O1377*(1-N1377)</x:f>
        <x:v>17290</x:v>
      </x:c>
      <x:c r="Q1377" s="22" t="n">
        <x:v>455</x:v>
      </x:c>
      <x:c r="R1377" s="22" t="n">
        <x:f>Q1377*M1377</x:f>
        <x:v>15925</x:v>
      </x:c>
      <x:c r="S1377" s="22" t="n">
        <x:f>P1377-R1377</x:f>
        <x:v>1365</x:v>
      </x:c>
      <x:c r="T1377" t="str">
        <x:v>Credit</x:v>
      </x:c>
      <x:c r="U1377" t="str">
        <x:v>Paid</x:v>
      </x:c>
      <x:c r="V1377" t="str">
        <x:v>Cancelled</x:v>
      </x:c>
      <x:c r="W1377" t="n">
        <x:v>35</x:v>
      </x:c>
      <x:c r="X1377" t="str">
        <x:v>Cancelled Order</x:v>
      </x:c>
      <x:c r="Y1377" t="str">
        <x:v>Field Visit</x:v>
      </x:c>
    </x:row>
    <x:row r="1378">
      <x:c r="A1378" t="str">
        <x:v>O001377</x:v>
      </x:c>
      <x:c r="B1378" s="20" t="n">
        <x:v>46166</x:v>
      </x:c>
      <x:c r="C1378" t="str">
        <x:v>C0170</x:v>
      </x:c>
      <x:c r="D1378" t="str">
        <x:v>Green Cafe 170</x:v>
      </x:c>
      <x:c r="E1378" t="str">
        <x:v>Supermarket</x:v>
      </x:c>
      <x:c r="F1378" t="str">
        <x:v>Bengaluru</x:v>
      </x:c>
      <x:c r="G1378" t="str">
        <x:v>Sneha</x:v>
      </x:c>
      <x:c r="H1378" t="str">
        <x:v>P004</x:v>
      </x:c>
      <x:c r="I1378" t="str">
        <x:v>Toor Dal 5kg</x:v>
      </x:c>
      <x:c r="J1378" t="str">
        <x:v>Pulses</x:v>
      </x:c>
      <x:c r="K1378" t="str">
        <x:v>Tata Sampann</x:v>
      </x:c>
      <x:c r="L1378" s="22" t="n">
        <x:v>780</x:v>
      </x:c>
      <x:c r="M1378" t="n">
        <x:v>38</x:v>
      </x:c>
      <x:c r="N1378" s="24" t="n">
        <x:v>0</x:v>
      </x:c>
      <x:c r="O1378" s="22" t="n">
        <x:f>L1378*M1378</x:f>
        <x:v>29640</x:v>
      </x:c>
      <x:c r="P1378" s="22" t="n">
        <x:f>O1378*(1-N1378)</x:f>
        <x:v>29640</x:v>
      </x:c>
      <x:c r="Q1378" s="22" t="n">
        <x:v>695</x:v>
      </x:c>
      <x:c r="R1378" s="22" t="n">
        <x:f>Q1378*M1378</x:f>
        <x:v>26410</x:v>
      </x:c>
      <x:c r="S1378" s="22" t="n">
        <x:f>P1378-R1378</x:f>
        <x:v>3230</x:v>
      </x:c>
      <x:c r="T1378" t="str">
        <x:v>Cash</x:v>
      </x:c>
      <x:c r="U1378" t="str">
        <x:v>Pending</x:v>
      </x:c>
      <x:c r="V1378" t="str">
        <x:v>Delivered</x:v>
      </x:c>
      <x:c r="W1378" t="n">
        <x:v>0</x:v>
      </x:c>
      <x:c r="X1378" t="str"/>
      <x:c r="Y1378" t="str">
        <x:v>WhatsApp</x:v>
      </x:c>
    </x:row>
    <x:row r="1379">
      <x:c r="A1379" t="str">
        <x:v>O001378</x:v>
      </x:c>
      <x:c r="B1379" s="20" t="n">
        <x:v>46216</x:v>
      </x:c>
      <x:c r="C1379" t="str">
        <x:v>C0085</x:v>
      </x:c>
      <x:c r="D1379" t="str">
        <x:v>Green Hotel 85</x:v>
      </x:c>
      <x:c r="E1379" t="str">
        <x:v>Kirana</x:v>
      </x:c>
      <x:c r="F1379" t="str">
        <x:v>Mysuru</x:v>
      </x:c>
      <x:c r="G1379" t="str">
        <x:v>Arjun</x:v>
      </x:c>
      <x:c r="H1379" t="str">
        <x:v>P012</x:v>
      </x:c>
      <x:c r="I1379" t="str">
        <x:v>Maida 10kg</x:v>
      </x:c>
      <x:c r="J1379" t="str">
        <x:v>Flour</x:v>
      </x:c>
      <x:c r="K1379" t="str">
        <x:v>Aashirvaad</x:v>
      </x:c>
      <x:c r="L1379" s="22" t="n">
        <x:v>520</x:v>
      </x:c>
      <x:c r="M1379" t="n">
        <x:v>13</x:v>
      </x:c>
      <x:c r="N1379" s="24" t="n">
        <x:v>0</x:v>
      </x:c>
      <x:c r="O1379" s="22" t="n">
        <x:f>L1379*M1379</x:f>
        <x:v>6760</x:v>
      </x:c>
      <x:c r="P1379" s="22" t="n">
        <x:f>O1379*(1-N1379)</x:f>
        <x:v>6760</x:v>
      </x:c>
      <x:c r="Q1379" s="22" t="n">
        <x:v>460</x:v>
      </x:c>
      <x:c r="R1379" s="22" t="n">
        <x:f>Q1379*M1379</x:f>
        <x:v>5980</x:v>
      </x:c>
      <x:c r="S1379" s="22" t="n">
        <x:f>P1379-R1379</x:f>
        <x:v>780</x:v>
      </x:c>
      <x:c r="T1379" t="str">
        <x:v>Credit</x:v>
      </x:c>
      <x:c r="U1379" t="str">
        <x:v>Paid</x:v>
      </x:c>
      <x:c r="V1379" t="str">
        <x:v>Cancelled</x:v>
      </x:c>
      <x:c r="W1379" t="n">
        <x:v>13</x:v>
      </x:c>
      <x:c r="X1379" t="str">
        <x:v>Cancelled Order</x:v>
      </x:c>
      <x:c r="Y1379" t="str">
        <x:v>Referral</x:v>
      </x:c>
    </x:row>
    <x:row r="1380">
      <x:c r="A1380" t="str">
        <x:v>O001379</x:v>
      </x:c>
      <x:c r="B1380" s="20" t="n">
        <x:v>45790</x:v>
      </x:c>
      <x:c r="C1380" t="str">
        <x:v>C0006</x:v>
      </x:c>
      <x:c r="D1380" t="str">
        <x:v>New Restaurant 6</x:v>
      </x:c>
      <x:c r="E1380" t="str">
        <x:v>Kirana</x:v>
      </x:c>
      <x:c r="F1380" t="str">
        <x:v>Hubballi</x:v>
      </x:c>
      <x:c r="G1380" t="str">
        <x:v>Vikram</x:v>
      </x:c>
      <x:c r="H1380" t="str">
        <x:v>P007</x:v>
      </x:c>
      <x:c r="I1380" t="str">
        <x:v>Sunflower Oil 15L</x:v>
      </x:c>
      <x:c r="J1380" t="str">
        <x:v>Edible Oil</x:v>
      </x:c>
      <x:c r="K1380" t="str">
        <x:v>Fortune</x:v>
      </x:c>
      <x:c r="L1380" s="22" t="n">
        <x:v>1980</x:v>
      </x:c>
      <x:c r="M1380" t="n">
        <x:v>3</x:v>
      </x:c>
      <x:c r="N1380" s="24" t="n">
        <x:v>0.05</x:v>
      </x:c>
      <x:c r="O1380" s="22" t="n">
        <x:f>L1380*M1380</x:f>
        <x:v>5940</x:v>
      </x:c>
      <x:c r="P1380" s="22" t="n">
        <x:f>O1380*(1-N1380)</x:f>
        <x:v>5643</x:v>
      </x:c>
      <x:c r="Q1380" s="22" t="n">
        <x:v>1810</x:v>
      </x:c>
      <x:c r="R1380" s="22" t="n">
        <x:f>Q1380*M1380</x:f>
        <x:v>5430</x:v>
      </x:c>
      <x:c r="S1380" s="22" t="n">
        <x:f>P1380-R1380</x:f>
        <x:v>213</x:v>
      </x:c>
      <x:c r="T1380" t="str">
        <x:v>Cash</x:v>
      </x:c>
      <x:c r="U1380" t="str">
        <x:v>Paid</x:v>
      </x:c>
      <x:c r="V1380" t="str">
        <x:v>Delivered</x:v>
      </x:c>
      <x:c r="W1380" t="n">
        <x:v>0</x:v>
      </x:c>
      <x:c r="X1380" t="str"/>
      <x:c r="Y1380" t="str">
        <x:v>Referral</x:v>
      </x:c>
    </x:row>
    <x:row r="1381">
      <x:c r="A1381" t="str">
        <x:v>O001380</x:v>
      </x:c>
      <x:c r="B1381" s="20" t="n">
        <x:v>45974</x:v>
      </x:c>
      <x:c r="C1381" t="str">
        <x:v>C0196</x:v>
      </x:c>
      <x:c r="D1381" t="str">
        <x:v>Namma Mart 196</x:v>
      </x:c>
      <x:c r="E1381" t="str">
        <x:v>Cafe</x:v>
      </x:c>
      <x:c r="F1381" t="str">
        <x:v>Mangaluru</x:v>
      </x:c>
      <x:c r="G1381" t="str">
        <x:v>Kavya</x:v>
      </x:c>
      <x:c r="H1381" t="str">
        <x:v>P019</x:v>
      </x:c>
      <x:c r="I1381" t="str">
        <x:v>Tea 1kg</x:v>
      </x:c>
      <x:c r="J1381" t="str">
        <x:v>Beverage</x:v>
      </x:c>
      <x:c r="K1381" t="str">
        <x:v>Red Label</x:v>
      </x:c>
      <x:c r="L1381" s="22" t="n">
        <x:v>540</x:v>
      </x:c>
      <x:c r="M1381" t="n">
        <x:v>35</x:v>
      </x:c>
      <x:c r="N1381" s="24" t="n">
        <x:v>0.05</x:v>
      </x:c>
      <x:c r="O1381" s="22" t="n">
        <x:f>L1381*M1381</x:f>
        <x:v>18900</x:v>
      </x:c>
      <x:c r="P1381" s="22" t="n">
        <x:f>O1381*(1-N1381)</x:f>
        <x:v>17955</x:v>
      </x:c>
      <x:c r="Q1381" s="22" t="n">
        <x:v>485</x:v>
      </x:c>
      <x:c r="R1381" s="22" t="n">
        <x:f>Q1381*M1381</x:f>
        <x:v>16975</x:v>
      </x:c>
      <x:c r="S1381" s="22" t="n">
        <x:f>P1381-R1381</x:f>
        <x:v>980</x:v>
      </x:c>
      <x:c r="T1381" t="str">
        <x:v>UPI</x:v>
      </x:c>
      <x:c r="U1381" t="str">
        <x:v>Paid</x:v>
      </x:c>
      <x:c r="V1381" t="str">
        <x:v>Delivered</x:v>
      </x:c>
      <x:c r="W1381" t="n">
        <x:v>0</x:v>
      </x:c>
      <x:c r="X1381" t="str"/>
      <x:c r="Y1381" t="str">
        <x:v>Outbound Call</x:v>
      </x:c>
    </x:row>
    <x:row r="1382">
      <x:c r="A1382" t="str">
        <x:v>O001381</x:v>
      </x:c>
      <x:c r="B1382" s="20" t="n">
        <x:v>45934</x:v>
      </x:c>
      <x:c r="C1382" t="str">
        <x:v>C0017</x:v>
      </x:c>
      <x:c r="D1382" t="str">
        <x:v>City Foods 17</x:v>
      </x:c>
      <x:c r="E1382" t="str">
        <x:v>Restaurant</x:v>
      </x:c>
      <x:c r="F1382" t="str">
        <x:v>Tumakuru</x:v>
      </x:c>
      <x:c r="G1382" t="str">
        <x:v>Imran</x:v>
      </x:c>
      <x:c r="H1382" t="str">
        <x:v>P050</x:v>
      </x:c>
      <x:c r="I1382" t="str">
        <x:v>Lemon 5kg</x:v>
      </x:c>
      <x:c r="J1382" t="str">
        <x:v>Fresh Produce</x:v>
      </x:c>
      <x:c r="K1382" t="str">
        <x:v>Local Market</x:v>
      </x:c>
      <x:c r="L1382" s="22" t="n">
        <x:v>360</x:v>
      </x:c>
      <x:c r="M1382" t="n">
        <x:v>12</x:v>
      </x:c>
      <x:c r="N1382" s="24" t="n">
        <x:v>0</x:v>
      </x:c>
      <x:c r="O1382" s="22" t="n">
        <x:f>L1382*M1382</x:f>
        <x:v>4320</x:v>
      </x:c>
      <x:c r="P1382" s="22" t="n">
        <x:f>O1382*(1-N1382)</x:f>
        <x:v>4320</x:v>
      </x:c>
      <x:c r="Q1382" s="22" t="n">
        <x:v>300</x:v>
      </x:c>
      <x:c r="R1382" s="22" t="n">
        <x:f>Q1382*M1382</x:f>
        <x:v>3600</x:v>
      </x:c>
      <x:c r="S1382" s="22" t="n">
        <x:f>P1382-R1382</x:f>
        <x:v>720</x:v>
      </x:c>
      <x:c r="T1382" t="str">
        <x:v>Credit</x:v>
      </x:c>
      <x:c r="U1382" t="str">
        <x:v>Paid</x:v>
      </x:c>
      <x:c r="V1382" t="str">
        <x:v>Delayed</x:v>
      </x:c>
      <x:c r="W1382" t="n">
        <x:v>0</x:v>
      </x:c>
      <x:c r="X1382" t="str"/>
      <x:c r="Y1382" t="str">
        <x:v>Existing Customer</x:v>
      </x:c>
    </x:row>
    <x:row r="1383">
      <x:c r="A1383" t="str">
        <x:v>O001382</x:v>
      </x:c>
      <x:c r="B1383" s="20" t="n">
        <x:v>45942</x:v>
      </x:c>
      <x:c r="C1383" t="str">
        <x:v>C0032</x:v>
      </x:c>
      <x:c r="D1383" t="str">
        <x:v>Cafe Hotel 32</x:v>
      </x:c>
      <x:c r="E1383" t="str">
        <x:v>Canteen</x:v>
      </x:c>
      <x:c r="F1383" t="str">
        <x:v>Bengaluru</x:v>
      </x:c>
      <x:c r="G1383" t="str">
        <x:v>Sneha</x:v>
      </x:c>
      <x:c r="H1383" t="str">
        <x:v>P031</x:v>
      </x:c>
      <x:c r="I1383" t="str">
        <x:v>Chilli Sauce 700g</x:v>
      </x:c>
      <x:c r="J1383" t="str">
        <x:v>Condiments</x:v>
      </x:c>
      <x:c r="K1383" t="str">
        <x:v>Ching's</x:v>
      </x:c>
      <x:c r="L1383" s="22" t="n">
        <x:v>130</x:v>
      </x:c>
      <x:c r="M1383" t="n">
        <x:v>6</x:v>
      </x:c>
      <x:c r="N1383" s="24" t="n">
        <x:v>0.02</x:v>
      </x:c>
      <x:c r="O1383" s="22" t="n">
        <x:f>L1383*M1383</x:f>
        <x:v>780</x:v>
      </x:c>
      <x:c r="P1383" s="22" t="n">
        <x:f>O1383*(1-N1383)</x:f>
        <x:v>764.4</x:v>
      </x:c>
      <x:c r="Q1383" s="22" t="n">
        <x:v>112</x:v>
      </x:c>
      <x:c r="R1383" s="22" t="n">
        <x:f>Q1383*M1383</x:f>
        <x:v>672</x:v>
      </x:c>
      <x:c r="S1383" s="22" t="n">
        <x:f>P1383-R1383</x:f>
        <x:v>92.39999999999998</x:v>
      </x:c>
      <x:c r="T1383" t="str">
        <x:v>UPI</x:v>
      </x:c>
      <x:c r="U1383" t="str">
        <x:v>Paid</x:v>
      </x:c>
      <x:c r="V1383" t="str">
        <x:v>Delivered</x:v>
      </x:c>
      <x:c r="W1383" t="n">
        <x:v>0</x:v>
      </x:c>
      <x:c r="X1383" t="str"/>
      <x:c r="Y1383" t="str">
        <x:v>Existing Customer</x:v>
      </x:c>
    </x:row>
    <x:row r="1384">
      <x:c r="A1384" t="str">
        <x:v>O001383</x:v>
      </x:c>
      <x:c r="B1384" s="20" t="n">
        <x:v>45746</x:v>
      </x:c>
      <x:c r="C1384" t="str">
        <x:v>C0186</x:v>
      </x:c>
      <x:c r="D1384" t="str">
        <x:v>Namma Stores 186</x:v>
      </x:c>
      <x:c r="E1384" t="str">
        <x:v>Supermarket</x:v>
      </x:c>
      <x:c r="F1384" t="str">
        <x:v>Mysuru</x:v>
      </x:c>
      <x:c r="G1384" t="str">
        <x:v>Vikram</x:v>
      </x:c>
      <x:c r="H1384" t="str">
        <x:v>P002</x:v>
      </x:c>
      <x:c r="I1384" t="str">
        <x:v>Sona Masoori Rice 25kg</x:v>
      </x:c>
      <x:c r="J1384" t="str">
        <x:v>Staples</x:v>
      </x:c>
      <x:c r="K1384" t="str">
        <x:v>Fortune</x:v>
      </x:c>
      <x:c r="L1384" s="22" t="n">
        <x:v>1320</x:v>
      </x:c>
      <x:c r="M1384" t="n">
        <x:v>3</x:v>
      </x:c>
      <x:c r="N1384" s="24" t="n">
        <x:v>0</x:v>
      </x:c>
      <x:c r="O1384" s="22" t="n">
        <x:f>L1384*M1384</x:f>
        <x:v>3960</x:v>
      </x:c>
      <x:c r="P1384" s="22" t="n">
        <x:f>O1384*(1-N1384)</x:f>
        <x:v>3960</x:v>
      </x:c>
      <x:c r="Q1384" s="22" t="n">
        <x:v>1160</x:v>
      </x:c>
      <x:c r="R1384" s="22" t="n">
        <x:f>Q1384*M1384</x:f>
        <x:v>3480</x:v>
      </x:c>
      <x:c r="S1384" s="22" t="n">
        <x:f>P1384-R1384</x:f>
        <x:v>480</x:v>
      </x:c>
      <x:c r="T1384" t="str">
        <x:v>Bank Transfer</x:v>
      </x:c>
      <x:c r="U1384" t="str">
        <x:v>Paid</x:v>
      </x:c>
      <x:c r="V1384" t="str">
        <x:v>Cancelled</x:v>
      </x:c>
      <x:c r="W1384" t="n">
        <x:v>3</x:v>
      </x:c>
      <x:c r="X1384" t="str">
        <x:v>Cancelled Order</x:v>
      </x:c>
      <x:c r="Y1384" t="str">
        <x:v>Existing Customer</x:v>
      </x:c>
    </x:row>
    <x:row r="1385">
      <x:c r="A1385" t="str">
        <x:v>O001384</x:v>
      </x:c>
      <x:c r="B1385" s="20" t="n">
        <x:v>46017</x:v>
      </x:c>
      <x:c r="C1385" t="str">
        <x:v>C0237</x:v>
      </x:c>
      <x:c r="D1385" t="str">
        <x:v>Mysore Restaurant 237</x:v>
      </x:c>
      <x:c r="E1385" t="str">
        <x:v>Restaurant</x:v>
      </x:c>
      <x:c r="F1385" t="str">
        <x:v>Bengaluru</x:v>
      </x:c>
      <x:c r="G1385" t="str">
        <x:v>Sneha</x:v>
      </x:c>
      <x:c r="H1385" t="str">
        <x:v>P049</x:v>
      </x:c>
      <x:c r="I1385" t="str">
        <x:v>Apple 10kg</x:v>
      </x:c>
      <x:c r="J1385" t="str">
        <x:v>Fresh Produce</x:v>
      </x:c>
      <x:c r="K1385" t="str">
        <x:v>Local Market</x:v>
      </x:c>
      <x:c r="L1385" s="22" t="n">
        <x:v>1450</x:v>
      </x:c>
      <x:c r="M1385" t="n">
        <x:v>6</x:v>
      </x:c>
      <x:c r="N1385" s="24" t="n">
        <x:v>0.08</x:v>
      </x:c>
      <x:c r="O1385" s="22" t="n">
        <x:f>L1385*M1385</x:f>
        <x:v>8700</x:v>
      </x:c>
      <x:c r="P1385" s="22" t="n">
        <x:f>O1385*(1-N1385)</x:f>
        <x:v>8004</x:v>
      </x:c>
      <x:c r="Q1385" s="22" t="n">
        <x:v>1280</x:v>
      </x:c>
      <x:c r="R1385" s="22" t="n">
        <x:f>Q1385*M1385</x:f>
        <x:v>7680</x:v>
      </x:c>
      <x:c r="S1385" s="22" t="n">
        <x:f>P1385-R1385</x:f>
        <x:v>324</x:v>
      </x:c>
      <x:c r="T1385" t="str">
        <x:v>Credit</x:v>
      </x:c>
      <x:c r="U1385" t="str">
        <x:v>Paid</x:v>
      </x:c>
      <x:c r="V1385" t="str">
        <x:v>Delayed</x:v>
      </x:c>
      <x:c r="W1385" t="n">
        <x:v>0</x:v>
      </x:c>
      <x:c r="X1385" t="str"/>
      <x:c r="Y1385" t="str">
        <x:v>WhatsApp</x:v>
      </x:c>
    </x:row>
    <x:row r="1386">
      <x:c r="A1386" t="str">
        <x:v>O001385</x:v>
      </x:c>
      <x:c r="B1386" s="20" t="n">
        <x:v>46153</x:v>
      </x:c>
      <x:c r="C1386" t="str">
        <x:v>C0049</x:v>
      </x:c>
      <x:c r="D1386" t="str">
        <x:v>Namma Stores 49</x:v>
      </x:c>
      <x:c r="E1386" t="str">
        <x:v>Hotel</x:v>
      </x:c>
      <x:c r="F1386" t="str">
        <x:v>Mangaluru</x:v>
      </x:c>
      <x:c r="G1386" t="str">
        <x:v>Sneha</x:v>
      </x:c>
      <x:c r="H1386" t="str">
        <x:v>P040</x:v>
      </x:c>
      <x:c r="I1386" t="str">
        <x:v>Bread Loaf 400g</x:v>
      </x:c>
      <x:c r="J1386" t="str">
        <x:v>Bakery</x:v>
      </x:c>
      <x:c r="K1386" t="str">
        <x:v>Britannia</x:v>
      </x:c>
      <x:c r="L1386" s="22" t="n">
        <x:v>45</x:v>
      </x:c>
      <x:c r="M1386" t="n">
        <x:v>38</x:v>
      </x:c>
      <x:c r="N1386" s="24" t="n">
        <x:v>0.05</x:v>
      </x:c>
      <x:c r="O1386" s="22" t="n">
        <x:f>L1386*M1386</x:f>
        <x:v>1710</x:v>
      </x:c>
      <x:c r="P1386" s="22" t="n">
        <x:f>O1386*(1-N1386)</x:f>
        <x:v>1624.5</x:v>
      </x:c>
      <x:c r="Q1386" s="22" t="n">
        <x:v>35</x:v>
      </x:c>
      <x:c r="R1386" s="22" t="n">
        <x:f>Q1386*M1386</x:f>
        <x:v>1330</x:v>
      </x:c>
      <x:c r="S1386" s="22" t="n">
        <x:f>P1386-R1386</x:f>
        <x:v>294.5</x:v>
      </x:c>
      <x:c r="T1386" t="str">
        <x:v>UPI</x:v>
      </x:c>
      <x:c r="U1386" t="str">
        <x:v>Overdue</x:v>
      </x:c>
      <x:c r="V1386" t="str">
        <x:v>Cancelled</x:v>
      </x:c>
      <x:c r="W1386" t="n">
        <x:v>38</x:v>
      </x:c>
      <x:c r="X1386" t="str">
        <x:v>Cancelled Order</x:v>
      </x:c>
      <x:c r="Y1386" t="str">
        <x:v>Referral</x:v>
      </x:c>
    </x:row>
    <x:row r="1387">
      <x:c r="A1387" t="str">
        <x:v>O001386</x:v>
      </x:c>
      <x:c r="B1387" s="20" t="n">
        <x:v>46164</x:v>
      </x:c>
      <x:c r="C1387" t="str">
        <x:v>C0240</x:v>
      </x:c>
      <x:c r="D1387" t="str">
        <x:v>Green Foods 240</x:v>
      </x:c>
      <x:c r="E1387" t="str">
        <x:v>Restaurant</x:v>
      </x:c>
      <x:c r="F1387" t="str">
        <x:v>Davanagere</x:v>
      </x:c>
      <x:c r="G1387" t="str">
        <x:v>Vikram</x:v>
      </x:c>
      <x:c r="H1387" t="str">
        <x:v>P050</x:v>
      </x:c>
      <x:c r="I1387" t="str">
        <x:v>Lemon 5kg</x:v>
      </x:c>
      <x:c r="J1387" t="str">
        <x:v>Fresh Produce</x:v>
      </x:c>
      <x:c r="K1387" t="str">
        <x:v>Local Market</x:v>
      </x:c>
      <x:c r="L1387" s="22" t="n">
        <x:v>360</x:v>
      </x:c>
      <x:c r="M1387" t="n">
        <x:v>36</x:v>
      </x:c>
      <x:c r="N1387" s="24" t="n">
        <x:v>0.05</x:v>
      </x:c>
      <x:c r="O1387" s="22" t="n">
        <x:f>L1387*M1387</x:f>
        <x:v>12960</x:v>
      </x:c>
      <x:c r="P1387" s="22" t="n">
        <x:f>O1387*(1-N1387)</x:f>
        <x:v>12312</x:v>
      </x:c>
      <x:c r="Q1387" s="22" t="n">
        <x:v>300</x:v>
      </x:c>
      <x:c r="R1387" s="22" t="n">
        <x:f>Q1387*M1387</x:f>
        <x:v>10800</x:v>
      </x:c>
      <x:c r="S1387" s="22" t="n">
        <x:f>P1387-R1387</x:f>
        <x:v>1512</x:v>
      </x:c>
      <x:c r="T1387" t="str">
        <x:v>Credit</x:v>
      </x:c>
      <x:c r="U1387" t="str">
        <x:v>Paid</x:v>
      </x:c>
      <x:c r="V1387" t="str">
        <x:v>Delivered</x:v>
      </x:c>
      <x:c r="W1387" t="n">
        <x:v>0</x:v>
      </x:c>
      <x:c r="X1387" t="str"/>
      <x:c r="Y1387" t="str">
        <x:v>Outbound Call</x:v>
      </x:c>
    </x:row>
    <x:row r="1388">
      <x:c r="A1388" t="str">
        <x:v>O001387</x:v>
      </x:c>
      <x:c r="B1388" s="20" t="n">
        <x:v>46242</x:v>
      </x:c>
      <x:c r="C1388" t="str">
        <x:v>C0049</x:v>
      </x:c>
      <x:c r="D1388" t="str">
        <x:v>Namma Stores 49</x:v>
      </x:c>
      <x:c r="E1388" t="str">
        <x:v>Hotel</x:v>
      </x:c>
      <x:c r="F1388" t="str">
        <x:v>Mangaluru</x:v>
      </x:c>
      <x:c r="G1388" t="str">
        <x:v>Sneha</x:v>
      </x:c>
      <x:c r="H1388" t="str">
        <x:v>P001</x:v>
      </x:c>
      <x:c r="I1388" t="str">
        <x:v>Steam Rice 25kg</x:v>
      </x:c>
      <x:c r="J1388" t="str">
        <x:v>Staples</x:v>
      </x:c>
      <x:c r="K1388" t="str">
        <x:v>Aishwarya</x:v>
      </x:c>
      <x:c r="L1388" s="22" t="n">
        <x:v>1180</x:v>
      </x:c>
      <x:c r="M1388" t="n">
        <x:v>1</x:v>
      </x:c>
      <x:c r="N1388" s="24" t="n">
        <x:v>0.1</x:v>
      </x:c>
      <x:c r="O1388" s="22" t="n">
        <x:f>L1388*M1388</x:f>
        <x:v>1180</x:v>
      </x:c>
      <x:c r="P1388" s="22" t="n">
        <x:f>O1388*(1-N1388)</x:f>
        <x:v>1062</x:v>
      </x:c>
      <x:c r="Q1388" s="22" t="n">
        <x:v>1040</x:v>
      </x:c>
      <x:c r="R1388" s="22" t="n">
        <x:f>Q1388*M1388</x:f>
        <x:v>1040</x:v>
      </x:c>
      <x:c r="S1388" s="22" t="n">
        <x:f>P1388-R1388</x:f>
        <x:v>22</x:v>
      </x:c>
      <x:c r="T1388" t="str">
        <x:v>Cash</x:v>
      </x:c>
      <x:c r="U1388" t="str">
        <x:v>Paid</x:v>
      </x:c>
      <x:c r="V1388" t="str">
        <x:v>Delivered</x:v>
      </x:c>
      <x:c r="W1388" t="n">
        <x:v>0</x:v>
      </x:c>
      <x:c r="X1388" t="str"/>
      <x:c r="Y1388" t="str">
        <x:v>Outbound Call</x:v>
      </x:c>
    </x:row>
    <x:row r="1389">
      <x:c r="A1389" t="str">
        <x:v>O001388</x:v>
      </x:c>
      <x:c r="B1389" s="20" t="n">
        <x:v>45745</x:v>
      </x:c>
      <x:c r="C1389" t="str">
        <x:v>C0221</x:v>
      </x:c>
      <x:c r="D1389" t="str">
        <x:v>Cafe Canteen 221</x:v>
      </x:c>
      <x:c r="E1389" t="str">
        <x:v>Hotel</x:v>
      </x:c>
      <x:c r="F1389" t="str">
        <x:v>Hubballi</x:v>
      </x:c>
      <x:c r="G1389" t="str">
        <x:v>Kavya</x:v>
      </x:c>
      <x:c r="H1389" t="str">
        <x:v>P030</x:v>
      </x:c>
      <x:c r="I1389" t="str">
        <x:v>Mayonnaise 1kg</x:v>
      </x:c>
      <x:c r="J1389" t="str">
        <x:v>Condiments</x:v>
      </x:c>
      <x:c r="K1389" t="str">
        <x:v>Veeba</x:v>
      </x:c>
      <x:c r="L1389" s="22" t="n">
        <x:v>210</x:v>
      </x:c>
      <x:c r="M1389" t="n">
        <x:v>9</x:v>
      </x:c>
      <x:c r="N1389" s="24" t="n">
        <x:v>0.05</x:v>
      </x:c>
      <x:c r="O1389" s="22" t="n">
        <x:f>L1389*M1389</x:f>
        <x:v>1890</x:v>
      </x:c>
      <x:c r="P1389" s="22" t="n">
        <x:f>O1389*(1-N1389)</x:f>
        <x:v>1795.5</x:v>
      </x:c>
      <x:c r="Q1389" s="22" t="n">
        <x:v>185</x:v>
      </x:c>
      <x:c r="R1389" s="22" t="n">
        <x:f>Q1389*M1389</x:f>
        <x:v>1665</x:v>
      </x:c>
      <x:c r="S1389" s="22" t="n">
        <x:f>P1389-R1389</x:f>
        <x:v>130.5</x:v>
      </x:c>
      <x:c r="T1389" t="str">
        <x:v>UPI</x:v>
      </x:c>
      <x:c r="U1389" t="str">
        <x:v>Paid</x:v>
      </x:c>
      <x:c r="V1389" t="str">
        <x:v>Delivered</x:v>
      </x:c>
      <x:c r="W1389" t="n">
        <x:v>0</x:v>
      </x:c>
      <x:c r="X1389" t="str"/>
      <x:c r="Y1389" t="str">
        <x:v>Existing Customer</x:v>
      </x:c>
    </x:row>
    <x:row r="1390">
      <x:c r="A1390" t="str">
        <x:v>O001389</x:v>
      </x:c>
      <x:c r="B1390" s="20" t="n">
        <x:v>45691</x:v>
      </x:c>
      <x:c r="C1390" t="str">
        <x:v>C0088</x:v>
      </x:c>
      <x:c r="D1390" t="str">
        <x:v>Darshini Kitchen 88</x:v>
      </x:c>
      <x:c r="E1390" t="str">
        <x:v>Cafe</x:v>
      </x:c>
      <x:c r="F1390" t="str">
        <x:v>Tumakuru</x:v>
      </x:c>
      <x:c r="G1390" t="str">
        <x:v>Arjun</x:v>
      </x:c>
      <x:c r="H1390" t="str">
        <x:v>P008</x:v>
      </x:c>
      <x:c r="I1390" t="str">
        <x:v>Palm Oil 15L</x:v>
      </x:c>
      <x:c r="J1390" t="str">
        <x:v>Edible Oil</x:v>
      </x:c>
      <x:c r="K1390" t="str">
        <x:v>Ruchi Gold</x:v>
      </x:c>
      <x:c r="L1390" s="22" t="n">
        <x:v>1760</x:v>
      </x:c>
      <x:c r="M1390" t="n">
        <x:v>4</x:v>
      </x:c>
      <x:c r="N1390" s="24" t="n">
        <x:v>0.02</x:v>
      </x:c>
      <x:c r="O1390" s="22" t="n">
        <x:f>L1390*M1390</x:f>
        <x:v>7040</x:v>
      </x:c>
      <x:c r="P1390" s="22" t="n">
        <x:f>O1390*(1-N1390)</x:f>
        <x:v>6899.2</x:v>
      </x:c>
      <x:c r="Q1390" s="22" t="n">
        <x:v>1610</x:v>
      </x:c>
      <x:c r="R1390" s="22" t="n">
        <x:f>Q1390*M1390</x:f>
        <x:v>6440</x:v>
      </x:c>
      <x:c r="S1390" s="22" t="n">
        <x:f>P1390-R1390</x:f>
        <x:v>459.1999999999998</x:v>
      </x:c>
      <x:c r="T1390" t="str">
        <x:v>Credit</x:v>
      </x:c>
      <x:c r="U1390" t="str">
        <x:v>Paid</x:v>
      </x:c>
      <x:c r="V1390" t="str">
        <x:v>Delivered</x:v>
      </x:c>
      <x:c r="W1390" t="n">
        <x:v>3</x:v>
      </x:c>
      <x:c r="X1390" t="str">
        <x:v>Wrong Item</x:v>
      </x:c>
      <x:c r="Y1390" t="str">
        <x:v>Field Visit</x:v>
      </x:c>
    </x:row>
    <x:row r="1391">
      <x:c r="A1391" t="str">
        <x:v>O001390</x:v>
      </x:c>
      <x:c r="B1391" s="20" t="n">
        <x:v>46006</x:v>
      </x:c>
      <x:c r="C1391" t="str">
        <x:v>C0040</x:v>
      </x:c>
      <x:c r="D1391" t="str">
        <x:v>Royal Foods 40</x:v>
      </x:c>
      <x:c r="E1391" t="str">
        <x:v>Restaurant</x:v>
      </x:c>
      <x:c r="F1391" t="str">
        <x:v>Mangaluru</x:v>
      </x:c>
      <x:c r="G1391" t="str">
        <x:v>Kavya</x:v>
      </x:c>
      <x:c r="H1391" t="str">
        <x:v>P018</x:v>
      </x:c>
      <x:c r="I1391" t="str">
        <x:v>Paneer 1kg</x:v>
      </x:c>
      <x:c r="J1391" t="str">
        <x:v>Dairy</x:v>
      </x:c>
      <x:c r="K1391" t="str">
        <x:v>Milky Mist</x:v>
      </x:c>
      <x:c r="L1391" s="22" t="n">
        <x:v>410</x:v>
      </x:c>
      <x:c r="M1391" t="n">
        <x:v>27</x:v>
      </x:c>
      <x:c r="N1391" s="24" t="n">
        <x:v>0.1</x:v>
      </x:c>
      <x:c r="O1391" s="22" t="n">
        <x:f>L1391*M1391</x:f>
        <x:v>11070</x:v>
      </x:c>
      <x:c r="P1391" s="22" t="n">
        <x:f>O1391*(1-N1391)</x:f>
        <x:v>9963</x:v>
      </x:c>
      <x:c r="Q1391" s="22" t="n">
        <x:v>370</x:v>
      </x:c>
      <x:c r="R1391" s="22" t="n">
        <x:f>Q1391*M1391</x:f>
        <x:v>9990</x:v>
      </x:c>
      <x:c r="S1391" s="22" t="n">
        <x:f>P1391-R1391</x:f>
        <x:v>-27</x:v>
      </x:c>
      <x:c r="T1391" t="str">
        <x:v>Cash</x:v>
      </x:c>
      <x:c r="U1391" t="str">
        <x:v>Paid</x:v>
      </x:c>
      <x:c r="V1391" t="str">
        <x:v>Delivered</x:v>
      </x:c>
      <x:c r="W1391" t="n">
        <x:v>0</x:v>
      </x:c>
      <x:c r="X1391" t="str"/>
      <x:c r="Y1391" t="str">
        <x:v>WhatsApp</x:v>
      </x:c>
    </x:row>
    <x:row r="1392">
      <x:c r="A1392" t="str">
        <x:v>O001391</x:v>
      </x:c>
      <x:c r="B1392" s="20" t="n">
        <x:v>45847</x:v>
      </x:c>
      <x:c r="C1392" t="str">
        <x:v>C0073</x:v>
      </x:c>
      <x:c r="D1392" t="str">
        <x:v>Annapurna Stores 73</x:v>
      </x:c>
      <x:c r="E1392" t="str">
        <x:v>Restaurant</x:v>
      </x:c>
      <x:c r="F1392" t="str">
        <x:v>Davanagere</x:v>
      </x:c>
      <x:c r="G1392" t="str">
        <x:v>Kavya</x:v>
      </x:c>
      <x:c r="H1392" t="str">
        <x:v>P021</x:v>
      </x:c>
      <x:c r="I1392" t="str">
        <x:v>Instant Coffee 200g</x:v>
      </x:c>
      <x:c r="J1392" t="str">
        <x:v>Beverage</x:v>
      </x:c>
      <x:c r="K1392" t="str">
        <x:v>Nescafe</x:v>
      </x:c>
      <x:c r="L1392" s="22" t="n">
        <x:v>460</x:v>
      </x:c>
      <x:c r="M1392" t="n">
        <x:v>6</x:v>
      </x:c>
      <x:c r="N1392" s="24" t="n">
        <x:v>0.08</x:v>
      </x:c>
      <x:c r="O1392" s="22" t="n">
        <x:f>L1392*M1392</x:f>
        <x:v>2760</x:v>
      </x:c>
      <x:c r="P1392" s="22" t="n">
        <x:f>O1392*(1-N1392)</x:f>
        <x:v>2539.2000000000003</x:v>
      </x:c>
      <x:c r="Q1392" s="22" t="n">
        <x:v>410</x:v>
      </x:c>
      <x:c r="R1392" s="22" t="n">
        <x:f>Q1392*M1392</x:f>
        <x:v>2460</x:v>
      </x:c>
      <x:c r="S1392" s="22" t="n">
        <x:f>P1392-R1392</x:f>
        <x:v>79.20000000000027</x:v>
      </x:c>
      <x:c r="T1392" t="str">
        <x:v>UPI</x:v>
      </x:c>
      <x:c r="U1392" t="str">
        <x:v>Paid</x:v>
      </x:c>
      <x:c r="V1392" t="str">
        <x:v>Delivered</x:v>
      </x:c>
      <x:c r="W1392" t="n">
        <x:v>0</x:v>
      </x:c>
      <x:c r="X1392" t="str"/>
      <x:c r="Y1392" t="str">
        <x:v>Field Visit</x:v>
      </x:c>
    </x:row>
    <x:row r="1393">
      <x:c r="A1393" t="str">
        <x:v>O001392</x:v>
      </x:c>
      <x:c r="B1393" s="20" t="n">
        <x:v>46248</x:v>
      </x:c>
      <x:c r="C1393" t="str">
        <x:v>C0032</x:v>
      </x:c>
      <x:c r="D1393" t="str">
        <x:v>Cafe Hotel 32</x:v>
      </x:c>
      <x:c r="E1393" t="str">
        <x:v>Canteen</x:v>
      </x:c>
      <x:c r="F1393" t="str">
        <x:v>Bengaluru</x:v>
      </x:c>
      <x:c r="G1393" t="str">
        <x:v>Sneha</x:v>
      </x:c>
      <x:c r="H1393" t="str">
        <x:v>P012</x:v>
      </x:c>
      <x:c r="I1393" t="str">
        <x:v>Maida 10kg</x:v>
      </x:c>
      <x:c r="J1393" t="str">
        <x:v>Flour</x:v>
      </x:c>
      <x:c r="K1393" t="str">
        <x:v>Aashirvaad</x:v>
      </x:c>
      <x:c r="L1393" s="22" t="n">
        <x:v>520</x:v>
      </x:c>
      <x:c r="M1393" t="n">
        <x:v>14</x:v>
      </x:c>
      <x:c r="N1393" s="24" t="n">
        <x:v>0.03</x:v>
      </x:c>
      <x:c r="O1393" s="22" t="n">
        <x:f>L1393*M1393</x:f>
        <x:v>7280</x:v>
      </x:c>
      <x:c r="P1393" s="22" t="n">
        <x:f>O1393*(1-N1393)</x:f>
        <x:v>7061.599999999999</x:v>
      </x:c>
      <x:c r="Q1393" s="22" t="n">
        <x:v>460</x:v>
      </x:c>
      <x:c r="R1393" s="22" t="n">
        <x:f>Q1393*M1393</x:f>
        <x:v>6440</x:v>
      </x:c>
      <x:c r="S1393" s="22" t="n">
        <x:f>P1393-R1393</x:f>
        <x:v>621.5999999999995</x:v>
      </x:c>
      <x:c r="T1393" t="str">
        <x:v>UPI</x:v>
      </x:c>
      <x:c r="U1393" t="str">
        <x:v>Paid</x:v>
      </x:c>
      <x:c r="V1393" t="str">
        <x:v>Delivered</x:v>
      </x:c>
      <x:c r="W1393" t="n">
        <x:v>0</x:v>
      </x:c>
      <x:c r="X1393" t="str"/>
      <x:c r="Y1393" t="str">
        <x:v>Existing Customer</x:v>
      </x:c>
    </x:row>
    <x:row r="1394">
      <x:c r="A1394" t="str">
        <x:v>O001393</x:v>
      </x:c>
      <x:c r="B1394" s="20" t="n">
        <x:v>46220</x:v>
      </x:c>
      <x:c r="C1394" t="str">
        <x:v>C0234</x:v>
      </x:c>
      <x:c r="D1394" t="str">
        <x:v>Metro Canteen 234</x:v>
      </x:c>
      <x:c r="E1394" t="str">
        <x:v>Restaurant</x:v>
      </x:c>
      <x:c r="F1394" t="str">
        <x:v>Davanagere</x:v>
      </x:c>
      <x:c r="G1394" t="str">
        <x:v>Priya</x:v>
      </x:c>
      <x:c r="H1394" t="str">
        <x:v>P006</x:v>
      </x:c>
      <x:c r="I1394" t="str">
        <x:v>Moong Dal 5kg</x:v>
      </x:c>
      <x:c r="J1394" t="str">
        <x:v>Pulses</x:v>
      </x:c>
      <x:c r="K1394" t="str">
        <x:v>Local Select</x:v>
      </x:c>
      <x:c r="L1394" s="22" t="n">
        <x:v>610</x:v>
      </x:c>
      <x:c r="M1394" t="n">
        <x:v>37</x:v>
      </x:c>
      <x:c r="N1394" s="24" t="n">
        <x:v>0.08</x:v>
      </x:c>
      <x:c r="O1394" s="22" t="n">
        <x:f>L1394*M1394</x:f>
        <x:v>22570</x:v>
      </x:c>
      <x:c r="P1394" s="22" t="n">
        <x:f>O1394*(1-N1394)</x:f>
        <x:v>20764.4</x:v>
      </x:c>
      <x:c r="Q1394" s="22" t="n">
        <x:v>540</x:v>
      </x:c>
      <x:c r="R1394" s="22" t="n">
        <x:f>Q1394*M1394</x:f>
        <x:v>19980</x:v>
      </x:c>
      <x:c r="S1394" s="22" t="n">
        <x:f>P1394-R1394</x:f>
        <x:v>784.4000000000015</x:v>
      </x:c>
      <x:c r="T1394" t="str">
        <x:v>Cash</x:v>
      </x:c>
      <x:c r="U1394" t="str">
        <x:v>Pending</x:v>
      </x:c>
      <x:c r="V1394" t="str">
        <x:v>Cancelled</x:v>
      </x:c>
      <x:c r="W1394" t="n">
        <x:v>37</x:v>
      </x:c>
      <x:c r="X1394" t="str">
        <x:v>Cancelled Order</x:v>
      </x:c>
      <x:c r="Y1394" t="str">
        <x:v>Field Visit</x:v>
      </x:c>
    </x:row>
    <x:row r="1395">
      <x:c r="A1395" t="str">
        <x:v>O001394</x:v>
      </x:c>
      <x:c r="B1395" s="20" t="n">
        <x:v>45699</x:v>
      </x:c>
      <x:c r="C1395" t="str">
        <x:v>C0104</x:v>
      </x:c>
      <x:c r="D1395" t="str">
        <x:v>Shree Foods 104</x:v>
      </x:c>
      <x:c r="E1395" t="str">
        <x:v>Cafe</x:v>
      </x:c>
      <x:c r="F1395" t="str">
        <x:v>Mangaluru</x:v>
      </x:c>
      <x:c r="G1395" t="str">
        <x:v>Megha</x:v>
      </x:c>
      <x:c r="H1395" t="str">
        <x:v>P049</x:v>
      </x:c>
      <x:c r="I1395" t="str">
        <x:v>Apple 10kg</x:v>
      </x:c>
      <x:c r="J1395" t="str">
        <x:v>Fresh Produce</x:v>
      </x:c>
      <x:c r="K1395" t="str">
        <x:v>Local Market</x:v>
      </x:c>
      <x:c r="L1395" s="22" t="n">
        <x:v>1450</x:v>
      </x:c>
      <x:c r="M1395" t="n">
        <x:v>7</x:v>
      </x:c>
      <x:c r="N1395" s="24" t="n">
        <x:v>0</x:v>
      </x:c>
      <x:c r="O1395" s="22" t="n">
        <x:f>L1395*M1395</x:f>
        <x:v>10150</x:v>
      </x:c>
      <x:c r="P1395" s="22" t="n">
        <x:f>O1395*(1-N1395)</x:f>
        <x:v>10150</x:v>
      </x:c>
      <x:c r="Q1395" s="22" t="n">
        <x:v>1280</x:v>
      </x:c>
      <x:c r="R1395" s="22" t="n">
        <x:f>Q1395*M1395</x:f>
        <x:v>8960</x:v>
      </x:c>
      <x:c r="S1395" s="22" t="n">
        <x:f>P1395-R1395</x:f>
        <x:v>1190</x:v>
      </x:c>
      <x:c r="T1395" t="str">
        <x:v>Cash</x:v>
      </x:c>
      <x:c r="U1395" t="str">
        <x:v>Paid</x:v>
      </x:c>
      <x:c r="V1395" t="str">
        <x:v>Delivered</x:v>
      </x:c>
      <x:c r="W1395" t="n">
        <x:v>0</x:v>
      </x:c>
      <x:c r="X1395" t="str"/>
      <x:c r="Y1395" t="str">
        <x:v>Outbound Call</x:v>
      </x:c>
    </x:row>
    <x:row r="1396">
      <x:c r="A1396" t="str">
        <x:v>O001395</x:v>
      </x:c>
      <x:c r="B1396" s="20" t="n">
        <x:v>45767</x:v>
      </x:c>
      <x:c r="C1396" t="str">
        <x:v>C0151</x:v>
      </x:c>
      <x:c r="D1396" t="str">
        <x:v>Foodie Stores 151</x:v>
      </x:c>
      <x:c r="E1396" t="str">
        <x:v>Supermarket</x:v>
      </x:c>
      <x:c r="F1396" t="str">
        <x:v>Mysuru</x:v>
      </x:c>
      <x:c r="G1396" t="str">
        <x:v>Arjun</x:v>
      </x:c>
      <x:c r="H1396" t="str">
        <x:v>P001</x:v>
      </x:c>
      <x:c r="I1396" t="str">
        <x:v>Steam Rice 25kg</x:v>
      </x:c>
      <x:c r="J1396" t="str">
        <x:v>Staples</x:v>
      </x:c>
      <x:c r="K1396" t="str">
        <x:v>Aishwarya</x:v>
      </x:c>
      <x:c r="L1396" s="22" t="n">
        <x:v>1180</x:v>
      </x:c>
      <x:c r="M1396" t="n">
        <x:v>1</x:v>
      </x:c>
      <x:c r="N1396" s="24" t="n">
        <x:v>0.03</x:v>
      </x:c>
      <x:c r="O1396" s="22" t="n">
        <x:f>L1396*M1396</x:f>
        <x:v>1180</x:v>
      </x:c>
      <x:c r="P1396" s="22" t="n">
        <x:f>O1396*(1-N1396)</x:f>
        <x:v>1144.6</x:v>
      </x:c>
      <x:c r="Q1396" s="22" t="n">
        <x:v>1040</x:v>
      </x:c>
      <x:c r="R1396" s="22" t="n">
        <x:f>Q1396*M1396</x:f>
        <x:v>1040</x:v>
      </x:c>
      <x:c r="S1396" s="22" t="n">
        <x:f>P1396-R1396</x:f>
        <x:v>104.59999999999991</x:v>
      </x:c>
      <x:c r="T1396" t="str">
        <x:v>Cash</x:v>
      </x:c>
      <x:c r="U1396" t="str">
        <x:v>Paid</x:v>
      </x:c>
      <x:c r="V1396" t="str">
        <x:v>Delivered</x:v>
      </x:c>
      <x:c r="W1396" t="n">
        <x:v>0</x:v>
      </x:c>
      <x:c r="X1396" t="str"/>
      <x:c r="Y1396" t="str">
        <x:v>Existing Customer</x:v>
      </x:c>
    </x:row>
    <x:row r="1397">
      <x:c r="A1397" t="str">
        <x:v>O001396</x:v>
      </x:c>
      <x:c r="B1397" s="20" t="n">
        <x:v>45741</x:v>
      </x:c>
      <x:c r="C1397" t="str">
        <x:v>C0230</x:v>
      </x:c>
      <x:c r="D1397" t="str">
        <x:v>Darshini Foods 230</x:v>
      </x:c>
      <x:c r="E1397" t="str">
        <x:v>Restaurant</x:v>
      </x:c>
      <x:c r="F1397" t="str">
        <x:v>Davanagere</x:v>
      </x:c>
      <x:c r="G1397" t="str">
        <x:v>Priya</x:v>
      </x:c>
      <x:c r="H1397" t="str">
        <x:v>P016</x:v>
      </x:c>
      <x:c r="I1397" t="str">
        <x:v>Curd 1kg</x:v>
      </x:c>
      <x:c r="J1397" t="str">
        <x:v>Dairy</x:v>
      </x:c>
      <x:c r="K1397" t="str">
        <x:v>Nandini</x:v>
      </x:c>
      <x:c r="L1397" s="22" t="n">
        <x:v>72</x:v>
      </x:c>
      <x:c r="M1397" t="n">
        <x:v>22</x:v>
      </x:c>
      <x:c r="N1397" s="24" t="n">
        <x:v>0</x:v>
      </x:c>
      <x:c r="O1397" s="22" t="n">
        <x:f>L1397*M1397</x:f>
        <x:v>1584</x:v>
      </x:c>
      <x:c r="P1397" s="22" t="n">
        <x:f>O1397*(1-N1397)</x:f>
        <x:v>1584</x:v>
      </x:c>
      <x:c r="Q1397" s="22" t="n">
        <x:v>64</x:v>
      </x:c>
      <x:c r="R1397" s="22" t="n">
        <x:f>Q1397*M1397</x:f>
        <x:v>1408</x:v>
      </x:c>
      <x:c r="S1397" s="22" t="n">
        <x:f>P1397-R1397</x:f>
        <x:v>176</x:v>
      </x:c>
      <x:c r="T1397" t="str">
        <x:v>UPI</x:v>
      </x:c>
      <x:c r="U1397" t="str">
        <x:v>Paid</x:v>
      </x:c>
      <x:c r="V1397" t="str">
        <x:v>Delivered</x:v>
      </x:c>
      <x:c r="W1397" t="n">
        <x:v>0</x:v>
      </x:c>
      <x:c r="X1397" t="str"/>
      <x:c r="Y1397" t="str">
        <x:v>Referral</x:v>
      </x:c>
    </x:row>
    <x:row r="1398">
      <x:c r="A1398" t="str">
        <x:v>O001397</x:v>
      </x:c>
      <x:c r="B1398" s="20" t="n">
        <x:v>46179</x:v>
      </x:c>
      <x:c r="C1398" t="str">
        <x:v>C0246</x:v>
      </x:c>
      <x:c r="D1398" t="str">
        <x:v>City Hotel 246</x:v>
      </x:c>
      <x:c r="E1398" t="str">
        <x:v>Supermarket</x:v>
      </x:c>
      <x:c r="F1398" t="str">
        <x:v>Mangaluru</x:v>
      </x:c>
      <x:c r="G1398" t="str">
        <x:v>Kavya</x:v>
      </x:c>
      <x:c r="H1398" t="str">
        <x:v>P044</x:v>
      </x:c>
      <x:c r="I1398" t="str">
        <x:v>Chicken Curry Cut 1kg</x:v>
      </x:c>
      <x:c r="J1398" t="str">
        <x:v>Protein</x:v>
      </x:c>
      <x:c r="K1398" t="str">
        <x:v>FreshToHome</x:v>
      </x:c>
      <x:c r="L1398" s="22" t="n">
        <x:v>230</x:v>
      </x:c>
      <x:c r="M1398" t="n">
        <x:v>16</x:v>
      </x:c>
      <x:c r="N1398" s="24" t="n">
        <x:v>0.1</x:v>
      </x:c>
      <x:c r="O1398" s="22" t="n">
        <x:f>L1398*M1398</x:f>
        <x:v>3680</x:v>
      </x:c>
      <x:c r="P1398" s="22" t="n">
        <x:f>O1398*(1-N1398)</x:f>
        <x:v>3312</x:v>
      </x:c>
      <x:c r="Q1398" s="22" t="n">
        <x:v>205</x:v>
      </x:c>
      <x:c r="R1398" s="22" t="n">
        <x:f>Q1398*M1398</x:f>
        <x:v>3280</x:v>
      </x:c>
      <x:c r="S1398" s="22" t="n">
        <x:f>P1398-R1398</x:f>
        <x:v>32</x:v>
      </x:c>
      <x:c r="T1398" t="str">
        <x:v>UPI</x:v>
      </x:c>
      <x:c r="U1398" t="str">
        <x:v>Paid</x:v>
      </x:c>
      <x:c r="V1398" t="str">
        <x:v>Delivered</x:v>
      </x:c>
      <x:c r="W1398" t="n">
        <x:v>0</x:v>
      </x:c>
      <x:c r="X1398" t="str"/>
      <x:c r="Y1398" t="str">
        <x:v>Referral</x:v>
      </x:c>
    </x:row>
    <x:row r="1399">
      <x:c r="A1399" t="str">
        <x:v>O001398</x:v>
      </x:c>
      <x:c r="B1399" s="20" t="n">
        <x:v>46098</x:v>
      </x:c>
      <x:c r="C1399" t="str">
        <x:v>C0061</x:v>
      </x:c>
      <x:c r="D1399" t="str">
        <x:v>Spice Stores 61</x:v>
      </x:c>
      <x:c r="E1399" t="str">
        <x:v>Restaurant</x:v>
      </x:c>
      <x:c r="F1399" t="str">
        <x:v>Tumakuru</x:v>
      </x:c>
      <x:c r="G1399" t="str">
        <x:v>Ramesh</x:v>
      </x:c>
      <x:c r="H1399" t="str">
        <x:v>P004</x:v>
      </x:c>
      <x:c r="I1399" t="str">
        <x:v>Toor Dal 5kg</x:v>
      </x:c>
      <x:c r="J1399" t="str">
        <x:v>Pulses</x:v>
      </x:c>
      <x:c r="K1399" t="str">
        <x:v>Tata Sampann</x:v>
      </x:c>
      <x:c r="L1399" s="22" t="n">
        <x:v>780</x:v>
      </x:c>
      <x:c r="M1399" t="n">
        <x:v>14</x:v>
      </x:c>
      <x:c r="N1399" s="24" t="n">
        <x:v>0.05</x:v>
      </x:c>
      <x:c r="O1399" s="22" t="n">
        <x:f>L1399*M1399</x:f>
        <x:v>10920</x:v>
      </x:c>
      <x:c r="P1399" s="22" t="n">
        <x:f>O1399*(1-N1399)</x:f>
        <x:v>10374</x:v>
      </x:c>
      <x:c r="Q1399" s="22" t="n">
        <x:v>695</x:v>
      </x:c>
      <x:c r="R1399" s="22" t="n">
        <x:f>Q1399*M1399</x:f>
        <x:v>9730</x:v>
      </x:c>
      <x:c r="S1399" s="22" t="n">
        <x:f>P1399-R1399</x:f>
        <x:v>644</x:v>
      </x:c>
      <x:c r="T1399" t="str">
        <x:v>Credit</x:v>
      </x:c>
      <x:c r="U1399" t="str">
        <x:v>Paid</x:v>
      </x:c>
      <x:c r="V1399" t="str">
        <x:v>Delayed</x:v>
      </x:c>
      <x:c r="W1399" t="n">
        <x:v>0</x:v>
      </x:c>
      <x:c r="X1399" t="str"/>
      <x:c r="Y1399" t="str">
        <x:v>Field Visit</x:v>
      </x:c>
    </x:row>
    <x:row r="1400">
      <x:c r="A1400" t="str">
        <x:v>O001399</x:v>
      </x:c>
      <x:c r="B1400" s="20" t="n">
        <x:v>46079</x:v>
      </x:c>
      <x:c r="C1400" t="str">
        <x:v>C0104</x:v>
      </x:c>
      <x:c r="D1400" t="str">
        <x:v>Shree Foods 104</x:v>
      </x:c>
      <x:c r="E1400" t="str">
        <x:v>Cafe</x:v>
      </x:c>
      <x:c r="F1400" t="str">
        <x:v>Mangaluru</x:v>
      </x:c>
      <x:c r="G1400" t="str">
        <x:v>Megha</x:v>
      </x:c>
      <x:c r="H1400" t="str">
        <x:v>P038</x:v>
      </x:c>
      <x:c r="I1400" t="str">
        <x:v>French Fries 2.5kg</x:v>
      </x:c>
      <x:c r="J1400" t="str">
        <x:v>Frozen</x:v>
      </x:c>
      <x:c r="K1400" t="str">
        <x:v>McCain</x:v>
      </x:c>
      <x:c r="L1400" s="22" t="n">
        <x:v>360</x:v>
      </x:c>
      <x:c r="M1400" t="n">
        <x:v>38</x:v>
      </x:c>
      <x:c r="N1400" s="24" t="n">
        <x:v>0.02</x:v>
      </x:c>
      <x:c r="O1400" s="22" t="n">
        <x:f>L1400*M1400</x:f>
        <x:v>13680</x:v>
      </x:c>
      <x:c r="P1400" s="22" t="n">
        <x:f>O1400*(1-N1400)</x:f>
        <x:v>13406.4</x:v>
      </x:c>
      <x:c r="Q1400" s="22" t="n">
        <x:v>315</x:v>
      </x:c>
      <x:c r="R1400" s="22" t="n">
        <x:f>Q1400*M1400</x:f>
        <x:v>11970</x:v>
      </x:c>
      <x:c r="S1400" s="22" t="n">
        <x:f>P1400-R1400</x:f>
        <x:v>1436.3999999999996</x:v>
      </x:c>
      <x:c r="T1400" t="str">
        <x:v>Bank Transfer</x:v>
      </x:c>
      <x:c r="U1400" t="str">
        <x:v>Paid</x:v>
      </x:c>
      <x:c r="V1400" t="str">
        <x:v>Delivered</x:v>
      </x:c>
      <x:c r="W1400" t="n">
        <x:v>0</x:v>
      </x:c>
      <x:c r="X1400" t="str"/>
      <x:c r="Y1400" t="str">
        <x:v>Field Visit</x:v>
      </x:c>
    </x:row>
    <x:row r="1401">
      <x:c r="A1401" t="str">
        <x:v>O001400</x:v>
      </x:c>
      <x:c r="B1401" s="20" t="n">
        <x:v>45775</x:v>
      </x:c>
      <x:c r="C1401" t="str">
        <x:v>C0128</x:v>
      </x:c>
      <x:c r="D1401" t="str">
        <x:v>Fresh Hotel 128</x:v>
      </x:c>
      <x:c r="E1401" t="str">
        <x:v>Kirana</x:v>
      </x:c>
      <x:c r="F1401" t="str">
        <x:v>Tumakuru</x:v>
      </x:c>
      <x:c r="G1401" t="str">
        <x:v>Priya</x:v>
      </x:c>
      <x:c r="H1401" t="str">
        <x:v>P001</x:v>
      </x:c>
      <x:c r="I1401" t="str">
        <x:v>Steam Rice 25kg</x:v>
      </x:c>
      <x:c r="J1401" t="str">
        <x:v>Staples</x:v>
      </x:c>
      <x:c r="K1401" t="str">
        <x:v>Aishwarya</x:v>
      </x:c>
      <x:c r="L1401" s="22" t="n">
        <x:v>1180</x:v>
      </x:c>
      <x:c r="M1401" t="n">
        <x:v>10</x:v>
      </x:c>
      <x:c r="N1401" s="24" t="n">
        <x:v>0</x:v>
      </x:c>
      <x:c r="O1401" s="22" t="n">
        <x:f>L1401*M1401</x:f>
        <x:v>11800</x:v>
      </x:c>
      <x:c r="P1401" s="22" t="n">
        <x:f>O1401*(1-N1401)</x:f>
        <x:v>11800</x:v>
      </x:c>
      <x:c r="Q1401" s="22" t="n">
        <x:v>1040</x:v>
      </x:c>
      <x:c r="R1401" s="22" t="n">
        <x:f>Q1401*M1401</x:f>
        <x:v>10400</x:v>
      </x:c>
      <x:c r="S1401" s="22" t="n">
        <x:f>P1401-R1401</x:f>
        <x:v>1400</x:v>
      </x:c>
      <x:c r="T1401" t="str">
        <x:v>Cash</x:v>
      </x:c>
      <x:c r="U1401" t="str">
        <x:v>Paid</x:v>
      </x:c>
      <x:c r="V1401" t="str">
        <x:v>Delayed</x:v>
      </x:c>
      <x:c r="W1401" t="n">
        <x:v>0</x:v>
      </x:c>
      <x:c r="X1401" t="str"/>
      <x:c r="Y1401" t="str">
        <x:v>Referral</x:v>
      </x:c>
    </x:row>
    <x:row r="1402">
      <x:c r="A1402" t="str">
        <x:v>O001401</x:v>
      </x:c>
      <x:c r="B1402" s="20" t="n">
        <x:v>45912</x:v>
      </x:c>
      <x:c r="C1402" t="str">
        <x:v>C0149</x:v>
      </x:c>
      <x:c r="D1402" t="str">
        <x:v>Annapurna Hotel 149</x:v>
      </x:c>
      <x:c r="E1402" t="str">
        <x:v>Cafe</x:v>
      </x:c>
      <x:c r="F1402" t="str">
        <x:v>Tumakuru</x:v>
      </x:c>
      <x:c r="G1402" t="str">
        <x:v>Megha</x:v>
      </x:c>
      <x:c r="H1402" t="str">
        <x:v>P008</x:v>
      </x:c>
      <x:c r="I1402" t="str">
        <x:v>Palm Oil 15L</x:v>
      </x:c>
      <x:c r="J1402" t="str">
        <x:v>Edible Oil</x:v>
      </x:c>
      <x:c r="K1402" t="str">
        <x:v>Ruchi Gold</x:v>
      </x:c>
      <x:c r="L1402" s="22" t="n">
        <x:v>1760</x:v>
      </x:c>
      <x:c r="M1402" t="n">
        <x:v>12</x:v>
      </x:c>
      <x:c r="N1402" s="24" t="n">
        <x:v>0</x:v>
      </x:c>
      <x:c r="O1402" s="22" t="n">
        <x:f>L1402*M1402</x:f>
        <x:v>21120</x:v>
      </x:c>
      <x:c r="P1402" s="22" t="n">
        <x:f>O1402*(1-N1402)</x:f>
        <x:v>21120</x:v>
      </x:c>
      <x:c r="Q1402" s="22" t="n">
        <x:v>1610</x:v>
      </x:c>
      <x:c r="R1402" s="22" t="n">
        <x:f>Q1402*M1402</x:f>
        <x:v>19320</x:v>
      </x:c>
      <x:c r="S1402" s="22" t="n">
        <x:f>P1402-R1402</x:f>
        <x:v>1800</x:v>
      </x:c>
      <x:c r="T1402" t="str">
        <x:v>Bank Transfer</x:v>
      </x:c>
      <x:c r="U1402" t="str">
        <x:v>Pending</x:v>
      </x:c>
      <x:c r="V1402" t="str">
        <x:v>Cancelled</x:v>
      </x:c>
      <x:c r="W1402" t="n">
        <x:v>12</x:v>
      </x:c>
      <x:c r="X1402" t="str">
        <x:v>Cancelled Order</x:v>
      </x:c>
      <x:c r="Y1402" t="str">
        <x:v>Outbound Call</x:v>
      </x:c>
    </x:row>
    <x:row r="1403">
      <x:c r="A1403" t="str">
        <x:v>O001402</x:v>
      </x:c>
      <x:c r="B1403" s="20" t="n">
        <x:v>45941</x:v>
      </x:c>
      <x:c r="C1403" t="str">
        <x:v>C0035</x:v>
      </x:c>
      <x:c r="D1403" t="str">
        <x:v>City Foods 35</x:v>
      </x:c>
      <x:c r="E1403" t="str">
        <x:v>Kirana</x:v>
      </x:c>
      <x:c r="F1403" t="str">
        <x:v>Bengaluru</x:v>
      </x:c>
      <x:c r="G1403" t="str">
        <x:v>Megha</x:v>
      </x:c>
      <x:c r="H1403" t="str">
        <x:v>P014</x:v>
      </x:c>
      <x:c r="I1403" t="str">
        <x:v>Rava 5kg</x:v>
      </x:c>
      <x:c r="J1403" t="str">
        <x:v>Flour</x:v>
      </x:c>
      <x:c r="K1403" t="str">
        <x:v>Local Select</x:v>
      </x:c>
      <x:c r="L1403" s="22" t="n">
        <x:v>245</x:v>
      </x:c>
      <x:c r="M1403" t="n">
        <x:v>8</x:v>
      </x:c>
      <x:c r="N1403" s="24" t="n">
        <x:v>0.03</x:v>
      </x:c>
      <x:c r="O1403" s="22" t="n">
        <x:f>L1403*M1403</x:f>
        <x:v>1960</x:v>
      </x:c>
      <x:c r="P1403" s="22" t="n">
        <x:f>O1403*(1-N1403)</x:f>
        <x:v>1901.2</x:v>
      </x:c>
      <x:c r="Q1403" s="22" t="n">
        <x:v>215</x:v>
      </x:c>
      <x:c r="R1403" s="22" t="n">
        <x:f>Q1403*M1403</x:f>
        <x:v>1720</x:v>
      </x:c>
      <x:c r="S1403" s="22" t="n">
        <x:f>P1403-R1403</x:f>
        <x:v>181.20000000000005</x:v>
      </x:c>
      <x:c r="T1403" t="str">
        <x:v>Bank Transfer</x:v>
      </x:c>
      <x:c r="U1403" t="str">
        <x:v>Paid</x:v>
      </x:c>
      <x:c r="V1403" t="str">
        <x:v>Cancelled</x:v>
      </x:c>
      <x:c r="W1403" t="n">
        <x:v>8</x:v>
      </x:c>
      <x:c r="X1403" t="str">
        <x:v>Cancelled Order</x:v>
      </x:c>
      <x:c r="Y1403" t="str">
        <x:v>Outbound Call</x:v>
      </x:c>
    </x:row>
    <x:row r="1404">
      <x:c r="A1404" t="str">
        <x:v>O001403</x:v>
      </x:c>
      <x:c r="B1404" s="20" t="n">
        <x:v>46115</x:v>
      </x:c>
      <x:c r="C1404" t="str">
        <x:v>C0088</x:v>
      </x:c>
      <x:c r="D1404" t="str">
        <x:v>Darshini Kitchen 88</x:v>
      </x:c>
      <x:c r="E1404" t="str">
        <x:v>Cafe</x:v>
      </x:c>
      <x:c r="F1404" t="str">
        <x:v>Tumakuru</x:v>
      </x:c>
      <x:c r="G1404" t="str">
        <x:v>Arjun</x:v>
      </x:c>
      <x:c r="H1404" t="str">
        <x:v>P014</x:v>
      </x:c>
      <x:c r="I1404" t="str">
        <x:v>Rava 5kg</x:v>
      </x:c>
      <x:c r="J1404" t="str">
        <x:v>Flour</x:v>
      </x:c>
      <x:c r="K1404" t="str">
        <x:v>Local Select</x:v>
      </x:c>
      <x:c r="L1404" s="22" t="n">
        <x:v>245</x:v>
      </x:c>
      <x:c r="M1404" t="n">
        <x:v>10</x:v>
      </x:c>
      <x:c r="N1404" s="24" t="n">
        <x:v>0</x:v>
      </x:c>
      <x:c r="O1404" s="22" t="n">
        <x:f>L1404*M1404</x:f>
        <x:v>2450</x:v>
      </x:c>
      <x:c r="P1404" s="22" t="n">
        <x:f>O1404*(1-N1404)</x:f>
        <x:v>2450</x:v>
      </x:c>
      <x:c r="Q1404" s="22" t="n">
        <x:v>215</x:v>
      </x:c>
      <x:c r="R1404" s="22" t="n">
        <x:f>Q1404*M1404</x:f>
        <x:v>2150</x:v>
      </x:c>
      <x:c r="S1404" s="22" t="n">
        <x:f>P1404-R1404</x:f>
        <x:v>300</x:v>
      </x:c>
      <x:c r="T1404" t="str">
        <x:v>UPI</x:v>
      </x:c>
      <x:c r="U1404" t="str">
        <x:v>Pending</x:v>
      </x:c>
      <x:c r="V1404" t="str">
        <x:v>Delivered</x:v>
      </x:c>
      <x:c r="W1404" t="n">
        <x:v>0</x:v>
      </x:c>
      <x:c r="X1404" t="str"/>
      <x:c r="Y1404" t="str">
        <x:v>WhatsApp</x:v>
      </x:c>
    </x:row>
    <x:row r="1405">
      <x:c r="A1405" t="str">
        <x:v>O001404</x:v>
      </x:c>
      <x:c r="B1405" s="20" t="n">
        <x:v>46112</x:v>
      </x:c>
      <x:c r="C1405" t="str">
        <x:v>C0175</x:v>
      </x:c>
      <x:c r="D1405" t="str">
        <x:v>Namma Mart 175</x:v>
      </x:c>
      <x:c r="E1405" t="str">
        <x:v>Hotel</x:v>
      </x:c>
      <x:c r="F1405" t="str">
        <x:v>Davanagere</x:v>
      </x:c>
      <x:c r="G1405" t="str">
        <x:v>Sneha</x:v>
      </x:c>
      <x:c r="H1405" t="str">
        <x:v>P018</x:v>
      </x:c>
      <x:c r="I1405" t="str">
        <x:v>Paneer 1kg</x:v>
      </x:c>
      <x:c r="J1405" t="str">
        <x:v>Dairy</x:v>
      </x:c>
      <x:c r="K1405" t="str">
        <x:v>Milky Mist</x:v>
      </x:c>
      <x:c r="L1405" s="22" t="n">
        <x:v>410</x:v>
      </x:c>
      <x:c r="M1405" t="n">
        <x:v>13</x:v>
      </x:c>
      <x:c r="N1405" s="24" t="n">
        <x:v>0.08</x:v>
      </x:c>
      <x:c r="O1405" s="22" t="n">
        <x:f>L1405*M1405</x:f>
        <x:v>5330</x:v>
      </x:c>
      <x:c r="P1405" s="22" t="n">
        <x:f>O1405*(1-N1405)</x:f>
        <x:v>4903.6</x:v>
      </x:c>
      <x:c r="Q1405" s="22" t="n">
        <x:v>370</x:v>
      </x:c>
      <x:c r="R1405" s="22" t="n">
        <x:f>Q1405*M1405</x:f>
        <x:v>4810</x:v>
      </x:c>
      <x:c r="S1405" s="22" t="n">
        <x:f>P1405-R1405</x:f>
        <x:v>93.60000000000036</x:v>
      </x:c>
      <x:c r="T1405" t="str">
        <x:v>Bank Transfer</x:v>
      </x:c>
      <x:c r="U1405" t="str">
        <x:v>Paid</x:v>
      </x:c>
      <x:c r="V1405" t="str">
        <x:v>Delivered</x:v>
      </x:c>
      <x:c r="W1405" t="n">
        <x:v>0</x:v>
      </x:c>
      <x:c r="X1405" t="str"/>
      <x:c r="Y1405" t="str">
        <x:v>Referral</x:v>
      </x:c>
    </x:row>
    <x:row r="1406">
      <x:c r="A1406" t="str">
        <x:v>O001405</x:v>
      </x:c>
      <x:c r="B1406" s="20" t="n">
        <x:v>46105</x:v>
      </x:c>
      <x:c r="C1406" t="str">
        <x:v>C0243</x:v>
      </x:c>
      <x:c r="D1406" t="str">
        <x:v>Metro Kitchen 243</x:v>
      </x:c>
      <x:c r="E1406" t="str">
        <x:v>Restaurant</x:v>
      </x:c>
      <x:c r="F1406" t="str">
        <x:v>Mangaluru</x:v>
      </x:c>
      <x:c r="G1406" t="str">
        <x:v>Kavya</x:v>
      </x:c>
      <x:c r="H1406" t="str">
        <x:v>P018</x:v>
      </x:c>
      <x:c r="I1406" t="str">
        <x:v>Paneer 1kg</x:v>
      </x:c>
      <x:c r="J1406" t="str">
        <x:v>Dairy</x:v>
      </x:c>
      <x:c r="K1406" t="str">
        <x:v>Milky Mist</x:v>
      </x:c>
      <x:c r="L1406" s="22" t="n">
        <x:v>410</x:v>
      </x:c>
      <x:c r="M1406" t="n">
        <x:v>4</x:v>
      </x:c>
      <x:c r="N1406" s="24" t="n">
        <x:v>0.02</x:v>
      </x:c>
      <x:c r="O1406" s="22" t="n">
        <x:f>L1406*M1406</x:f>
        <x:v>1640</x:v>
      </x:c>
      <x:c r="P1406" s="22" t="n">
        <x:f>O1406*(1-N1406)</x:f>
        <x:v>1607.2</x:v>
      </x:c>
      <x:c r="Q1406" s="22" t="n">
        <x:v>370</x:v>
      </x:c>
      <x:c r="R1406" s="22" t="n">
        <x:f>Q1406*M1406</x:f>
        <x:v>1480</x:v>
      </x:c>
      <x:c r="S1406" s="22" t="n">
        <x:f>P1406-R1406</x:f>
        <x:v>127.20000000000005</x:v>
      </x:c>
      <x:c r="T1406" t="str">
        <x:v>Credit</x:v>
      </x:c>
      <x:c r="U1406" t="str">
        <x:v>Paid</x:v>
      </x:c>
      <x:c r="V1406" t="str">
        <x:v>Delivered</x:v>
      </x:c>
      <x:c r="W1406" t="n">
        <x:v>0</x:v>
      </x:c>
      <x:c r="X1406" t="str"/>
      <x:c r="Y1406" t="str">
        <x:v>Outbound Call</x:v>
      </x:c>
    </x:row>
    <x:row r="1407">
      <x:c r="A1407" t="str">
        <x:v>O001406</x:v>
      </x:c>
      <x:c r="B1407" s="20" t="n">
        <x:v>45866</x:v>
      </x:c>
      <x:c r="C1407" t="str">
        <x:v>C0135</x:v>
      </x:c>
      <x:c r="D1407" t="str">
        <x:v>City Canteen 135</x:v>
      </x:c>
      <x:c r="E1407" t="str">
        <x:v>Supermarket</x:v>
      </x:c>
      <x:c r="F1407" t="str">
        <x:v>Hubballi</x:v>
      </x:c>
      <x:c r="G1407" t="str">
        <x:v>Megha</x:v>
      </x:c>
      <x:c r="H1407" t="str">
        <x:v>P019</x:v>
      </x:c>
      <x:c r="I1407" t="str">
        <x:v>Tea 1kg</x:v>
      </x:c>
      <x:c r="J1407" t="str">
        <x:v>Beverage</x:v>
      </x:c>
      <x:c r="K1407" t="str">
        <x:v>Red Label</x:v>
      </x:c>
      <x:c r="L1407" s="22" t="n">
        <x:v>540</x:v>
      </x:c>
      <x:c r="M1407" t="n">
        <x:v>27</x:v>
      </x:c>
      <x:c r="N1407" s="24" t="n">
        <x:v>0</x:v>
      </x:c>
      <x:c r="O1407" s="22" t="n">
        <x:f>L1407*M1407</x:f>
        <x:v>14580</x:v>
      </x:c>
      <x:c r="P1407" s="22" t="n">
        <x:f>O1407*(1-N1407)</x:f>
        <x:v>14580</x:v>
      </x:c>
      <x:c r="Q1407" s="22" t="n">
        <x:v>485</x:v>
      </x:c>
      <x:c r="R1407" s="22" t="n">
        <x:f>Q1407*M1407</x:f>
        <x:v>13095</x:v>
      </x:c>
      <x:c r="S1407" s="22" t="n">
        <x:f>P1407-R1407</x:f>
        <x:v>1485</x:v>
      </x:c>
      <x:c r="T1407" t="str">
        <x:v>Cash</x:v>
      </x:c>
      <x:c r="U1407" t="str">
        <x:v>Paid</x:v>
      </x:c>
      <x:c r="V1407" t="str">
        <x:v>Delivered</x:v>
      </x:c>
      <x:c r="W1407" t="n">
        <x:v>0</x:v>
      </x:c>
      <x:c r="X1407" t="str"/>
      <x:c r="Y1407" t="str">
        <x:v>Outbound Call</x:v>
      </x:c>
    </x:row>
    <x:row r="1408">
      <x:c r="A1408" t="str">
        <x:v>O001407</x:v>
      </x:c>
      <x:c r="B1408" s="20" t="n">
        <x:v>45724</x:v>
      </x:c>
      <x:c r="C1408" t="str">
        <x:v>C0196</x:v>
      </x:c>
      <x:c r="D1408" t="str">
        <x:v>Namma Mart 196</x:v>
      </x:c>
      <x:c r="E1408" t="str">
        <x:v>Cafe</x:v>
      </x:c>
      <x:c r="F1408" t="str">
        <x:v>Mangaluru</x:v>
      </x:c>
      <x:c r="G1408" t="str">
        <x:v>Kavya</x:v>
      </x:c>
      <x:c r="H1408" t="str">
        <x:v>P034</x:v>
      </x:c>
      <x:c r="I1408" t="str">
        <x:v>Chilli Powder 1kg</x:v>
      </x:c>
      <x:c r="J1408" t="str">
        <x:v>Spices</x:v>
      </x:c>
      <x:c r="K1408" t="str">
        <x:v>MDH</x:v>
      </x:c>
      <x:c r="L1408" s="22" t="n">
        <x:v>340</x:v>
      </x:c>
      <x:c r="M1408" t="n">
        <x:v>38</x:v>
      </x:c>
      <x:c r="N1408" s="24" t="n">
        <x:v>0.03</x:v>
      </x:c>
      <x:c r="O1408" s="22" t="n">
        <x:f>L1408*M1408</x:f>
        <x:v>12920</x:v>
      </x:c>
      <x:c r="P1408" s="22" t="n">
        <x:f>O1408*(1-N1408)</x:f>
        <x:v>12532.4</x:v>
      </x:c>
      <x:c r="Q1408" s="22" t="n">
        <x:v>295</x:v>
      </x:c>
      <x:c r="R1408" s="22" t="n">
        <x:f>Q1408*M1408</x:f>
        <x:v>11210</x:v>
      </x:c>
      <x:c r="S1408" s="22" t="n">
        <x:f>P1408-R1408</x:f>
        <x:v>1322.3999999999996</x:v>
      </x:c>
      <x:c r="T1408" t="str">
        <x:v>Cash</x:v>
      </x:c>
      <x:c r="U1408" t="str">
        <x:v>Paid</x:v>
      </x:c>
      <x:c r="V1408" t="str">
        <x:v>Delivered</x:v>
      </x:c>
      <x:c r="W1408" t="n">
        <x:v>0</x:v>
      </x:c>
      <x:c r="X1408" t="str"/>
      <x:c r="Y1408" t="str">
        <x:v>Field Visit</x:v>
      </x:c>
    </x:row>
    <x:row r="1409">
      <x:c r="A1409" t="str">
        <x:v>O001408</x:v>
      </x:c>
      <x:c r="B1409" s="20" t="n">
        <x:v>45934</x:v>
      </x:c>
      <x:c r="C1409" t="str">
        <x:v>C0247</x:v>
      </x:c>
      <x:c r="D1409" t="str">
        <x:v>Fresh Canteen 247</x:v>
      </x:c>
      <x:c r="E1409" t="str">
        <x:v>Restaurant</x:v>
      </x:c>
      <x:c r="F1409" t="str">
        <x:v>Hubballi</x:v>
      </x:c>
      <x:c r="G1409" t="str">
        <x:v>Kavya</x:v>
      </x:c>
      <x:c r="H1409" t="str">
        <x:v>P025</x:v>
      </x:c>
      <x:c r="I1409" t="str">
        <x:v>Potato Chips 100g</x:v>
      </x:c>
      <x:c r="J1409" t="str">
        <x:v>Snacks</x:v>
      </x:c>
      <x:c r="K1409" t="str">
        <x:v>Lay's</x:v>
      </x:c>
      <x:c r="L1409" s="22" t="n">
        <x:v>35</x:v>
      </x:c>
      <x:c r="M1409" t="n">
        <x:v>11</x:v>
      </x:c>
      <x:c r="N1409" s="24" t="n">
        <x:v>0.03</x:v>
      </x:c>
      <x:c r="O1409" s="22" t="n">
        <x:f>L1409*M1409</x:f>
        <x:v>385</x:v>
      </x:c>
      <x:c r="P1409" s="22" t="n">
        <x:f>O1409*(1-N1409)</x:f>
        <x:v>373.45</x:v>
      </x:c>
      <x:c r="Q1409" s="22" t="n">
        <x:v>27</x:v>
      </x:c>
      <x:c r="R1409" s="22" t="n">
        <x:f>Q1409*M1409</x:f>
        <x:v>297</x:v>
      </x:c>
      <x:c r="S1409" s="22" t="n">
        <x:f>P1409-R1409</x:f>
        <x:v>76.44999999999999</x:v>
      </x:c>
      <x:c r="T1409" t="str">
        <x:v>Credit</x:v>
      </x:c>
      <x:c r="U1409" t="str">
        <x:v>Pending</x:v>
      </x:c>
      <x:c r="V1409" t="str">
        <x:v>Delivered</x:v>
      </x:c>
      <x:c r="W1409" t="n">
        <x:v>0</x:v>
      </x:c>
      <x:c r="X1409" t="str"/>
      <x:c r="Y1409" t="str">
        <x:v>WhatsApp</x:v>
      </x:c>
    </x:row>
    <x:row r="1410">
      <x:c r="A1410" t="str">
        <x:v>O001409</x:v>
      </x:c>
      <x:c r="B1410" s="20" t="n">
        <x:v>46179</x:v>
      </x:c>
      <x:c r="C1410" t="str">
        <x:v>C0243</x:v>
      </x:c>
      <x:c r="D1410" t="str">
        <x:v>Metro Kitchen 243</x:v>
      </x:c>
      <x:c r="E1410" t="str">
        <x:v>Restaurant</x:v>
      </x:c>
      <x:c r="F1410" t="str">
        <x:v>Mangaluru</x:v>
      </x:c>
      <x:c r="G1410" t="str">
        <x:v>Kavya</x:v>
      </x:c>
      <x:c r="H1410" t="str">
        <x:v>P036</x:v>
      </x:c>
      <x:c r="I1410" t="str">
        <x:v>Garam Masala 500g</x:v>
      </x:c>
      <x:c r="J1410" t="str">
        <x:v>Spices</x:v>
      </x:c>
      <x:c r="K1410" t="str">
        <x:v>MDH</x:v>
      </x:c>
      <x:c r="L1410" s="22" t="n">
        <x:v>265</x:v>
      </x:c>
      <x:c r="M1410" t="n">
        <x:v>10</x:v>
      </x:c>
      <x:c r="N1410" s="24" t="n">
        <x:v>0</x:v>
      </x:c>
      <x:c r="O1410" s="22" t="n">
        <x:f>L1410*M1410</x:f>
        <x:v>2650</x:v>
      </x:c>
      <x:c r="P1410" s="22" t="n">
        <x:f>O1410*(1-N1410)</x:f>
        <x:v>2650</x:v>
      </x:c>
      <x:c r="Q1410" s="22" t="n">
        <x:v>230</x:v>
      </x:c>
      <x:c r="R1410" s="22" t="n">
        <x:f>Q1410*M1410</x:f>
        <x:v>2300</x:v>
      </x:c>
      <x:c r="S1410" s="22" t="n">
        <x:f>P1410-R1410</x:f>
        <x:v>350</x:v>
      </x:c>
      <x:c r="T1410" t="str">
        <x:v>Cash</x:v>
      </x:c>
      <x:c r="U1410" t="str">
        <x:v>Paid</x:v>
      </x:c>
      <x:c r="V1410" t="str">
        <x:v>Cancelled</x:v>
      </x:c>
      <x:c r="W1410" t="n">
        <x:v>10</x:v>
      </x:c>
      <x:c r="X1410" t="str">
        <x:v>Cancelled Order</x:v>
      </x:c>
      <x:c r="Y1410" t="str">
        <x:v>Outbound Call</x:v>
      </x:c>
    </x:row>
    <x:row r="1411">
      <x:c r="A1411" t="str">
        <x:v>O001410</x:v>
      </x:c>
      <x:c r="B1411" s="20" t="n">
        <x:v>45975</x:v>
      </x:c>
      <x:c r="C1411" t="str">
        <x:v>C0169</x:v>
      </x:c>
      <x:c r="D1411" t="str">
        <x:v>Grand Mart 169</x:v>
      </x:c>
      <x:c r="E1411" t="str">
        <x:v>Canteen</x:v>
      </x:c>
      <x:c r="F1411" t="str">
        <x:v>Mangaluru</x:v>
      </x:c>
      <x:c r="G1411" t="str">
        <x:v>Vikram</x:v>
      </x:c>
      <x:c r="H1411" t="str">
        <x:v>P034</x:v>
      </x:c>
      <x:c r="I1411" t="str">
        <x:v>Chilli Powder 1kg</x:v>
      </x:c>
      <x:c r="J1411" t="str">
        <x:v>Spices</x:v>
      </x:c>
      <x:c r="K1411" t="str">
        <x:v>MDH</x:v>
      </x:c>
      <x:c r="L1411" s="22" t="n">
        <x:v>340</x:v>
      </x:c>
      <x:c r="M1411" t="n">
        <x:v>26</x:v>
      </x:c>
      <x:c r="N1411" s="24" t="n">
        <x:v>0</x:v>
      </x:c>
      <x:c r="O1411" s="22" t="n">
        <x:f>L1411*M1411</x:f>
        <x:v>8840</x:v>
      </x:c>
      <x:c r="P1411" s="22" t="n">
        <x:f>O1411*(1-N1411)</x:f>
        <x:v>8840</x:v>
      </x:c>
      <x:c r="Q1411" s="22" t="n">
        <x:v>295</x:v>
      </x:c>
      <x:c r="R1411" s="22" t="n">
        <x:f>Q1411*M1411</x:f>
        <x:v>7670</x:v>
      </x:c>
      <x:c r="S1411" s="22" t="n">
        <x:f>P1411-R1411</x:f>
        <x:v>1170</x:v>
      </x:c>
      <x:c r="T1411" t="str">
        <x:v>UPI</x:v>
      </x:c>
      <x:c r="U1411" t="str">
        <x:v>Paid</x:v>
      </x:c>
      <x:c r="V1411" t="str">
        <x:v>Delivered</x:v>
      </x:c>
      <x:c r="W1411" t="n">
        <x:v>0</x:v>
      </x:c>
      <x:c r="X1411" t="str"/>
      <x:c r="Y1411" t="str">
        <x:v>Referral</x:v>
      </x:c>
    </x:row>
    <x:row r="1412">
      <x:c r="A1412" t="str">
        <x:v>O001411</x:v>
      </x:c>
      <x:c r="B1412" s="20" t="n">
        <x:v>46246</x:v>
      </x:c>
      <x:c r="C1412" t="str">
        <x:v>C0172</x:v>
      </x:c>
      <x:c r="D1412" t="str">
        <x:v>Annapurna Stores 172</x:v>
      </x:c>
      <x:c r="E1412" t="str">
        <x:v>Restaurant</x:v>
      </x:c>
      <x:c r="F1412" t="str">
        <x:v>Mangaluru</x:v>
      </x:c>
      <x:c r="G1412" t="str">
        <x:v>Megha</x:v>
      </x:c>
      <x:c r="H1412" t="str">
        <x:v>P036</x:v>
      </x:c>
      <x:c r="I1412" t="str">
        <x:v>Garam Masala 500g</x:v>
      </x:c>
      <x:c r="J1412" t="str">
        <x:v>Spices</x:v>
      </x:c>
      <x:c r="K1412" t="str">
        <x:v>MDH</x:v>
      </x:c>
      <x:c r="L1412" s="22" t="n">
        <x:v>265</x:v>
      </x:c>
      <x:c r="M1412" t="n">
        <x:v>34</x:v>
      </x:c>
      <x:c r="N1412" s="24" t="n">
        <x:v>0.08</x:v>
      </x:c>
      <x:c r="O1412" s="22" t="n">
        <x:f>L1412*M1412</x:f>
        <x:v>9010</x:v>
      </x:c>
      <x:c r="P1412" s="22" t="n">
        <x:f>O1412*(1-N1412)</x:f>
        <x:v>8289.2</x:v>
      </x:c>
      <x:c r="Q1412" s="22" t="n">
        <x:v>230</x:v>
      </x:c>
      <x:c r="R1412" s="22" t="n">
        <x:f>Q1412*M1412</x:f>
        <x:v>7820</x:v>
      </x:c>
      <x:c r="S1412" s="22" t="n">
        <x:f>P1412-R1412</x:f>
        <x:v>469.2000000000007</x:v>
      </x:c>
      <x:c r="T1412" t="str">
        <x:v>Credit</x:v>
      </x:c>
      <x:c r="U1412" t="str">
        <x:v>Overdue</x:v>
      </x:c>
      <x:c r="V1412" t="str">
        <x:v>Delivered</x:v>
      </x:c>
      <x:c r="W1412" t="n">
        <x:v>0</x:v>
      </x:c>
      <x:c r="X1412" t="str"/>
      <x:c r="Y1412" t="str">
        <x:v>Outbound Call</x:v>
      </x:c>
    </x:row>
    <x:row r="1413">
      <x:c r="A1413" t="str">
        <x:v>O001412</x:v>
      </x:c>
      <x:c r="B1413" s="20" t="n">
        <x:v>46225</x:v>
      </x:c>
      <x:c r="C1413" t="str">
        <x:v>C0177</x:v>
      </x:c>
      <x:c r="D1413" t="str">
        <x:v>Classic Cafe 177</x:v>
      </x:c>
      <x:c r="E1413" t="str">
        <x:v>Supermarket</x:v>
      </x:c>
      <x:c r="F1413" t="str">
        <x:v>Bengaluru</x:v>
      </x:c>
      <x:c r="G1413" t="str">
        <x:v>Arjun</x:v>
      </x:c>
      <x:c r="H1413" t="str">
        <x:v>P050</x:v>
      </x:c>
      <x:c r="I1413" t="str">
        <x:v>Lemon 5kg</x:v>
      </x:c>
      <x:c r="J1413" t="str">
        <x:v>Fresh Produce</x:v>
      </x:c>
      <x:c r="K1413" t="str">
        <x:v>Local Market</x:v>
      </x:c>
      <x:c r="L1413" s="22" t="n">
        <x:v>360</x:v>
      </x:c>
      <x:c r="M1413" t="n">
        <x:v>27</x:v>
      </x:c>
      <x:c r="N1413" s="24" t="n">
        <x:v>0.03</x:v>
      </x:c>
      <x:c r="O1413" s="22" t="n">
        <x:f>L1413*M1413</x:f>
        <x:v>9720</x:v>
      </x:c>
      <x:c r="P1413" s="22" t="n">
        <x:f>O1413*(1-N1413)</x:f>
        <x:v>9428.4</x:v>
      </x:c>
      <x:c r="Q1413" s="22" t="n">
        <x:v>300</x:v>
      </x:c>
      <x:c r="R1413" s="22" t="n">
        <x:f>Q1413*M1413</x:f>
        <x:v>8100</x:v>
      </x:c>
      <x:c r="S1413" s="22" t="n">
        <x:f>P1413-R1413</x:f>
        <x:v>1328.3999999999996</x:v>
      </x:c>
      <x:c r="T1413" t="str">
        <x:v>UPI</x:v>
      </x:c>
      <x:c r="U1413" t="str">
        <x:v>Paid</x:v>
      </x:c>
      <x:c r="V1413" t="str">
        <x:v>Delivered</x:v>
      </x:c>
      <x:c r="W1413" t="n">
        <x:v>0</x:v>
      </x:c>
      <x:c r="X1413" t="str"/>
      <x:c r="Y1413" t="str">
        <x:v>Field Visit</x:v>
      </x:c>
    </x:row>
    <x:row r="1414">
      <x:c r="A1414" t="str">
        <x:v>O001413</x:v>
      </x:c>
      <x:c r="B1414" s="20" t="n">
        <x:v>45936</x:v>
      </x:c>
      <x:c r="C1414" t="str">
        <x:v>C0109</x:v>
      </x:c>
      <x:c r="D1414" t="str">
        <x:v>Annapurna Kitchen 109</x:v>
      </x:c>
      <x:c r="E1414" t="str">
        <x:v>Kirana</x:v>
      </x:c>
      <x:c r="F1414" t="str">
        <x:v>Mysuru</x:v>
      </x:c>
      <x:c r="G1414" t="str">
        <x:v>Kavya</x:v>
      </x:c>
      <x:c r="H1414" t="str">
        <x:v>P017</x:v>
      </x:c>
      <x:c r="I1414" t="str">
        <x:v>Butter 500g</x:v>
      </x:c>
      <x:c r="J1414" t="str">
        <x:v>Dairy</x:v>
      </x:c>
      <x:c r="K1414" t="str">
        <x:v>Amul</x:v>
      </x:c>
      <x:c r="L1414" s="22" t="n">
        <x:v>285</x:v>
      </x:c>
      <x:c r="M1414" t="n">
        <x:v>38</x:v>
      </x:c>
      <x:c r="N1414" s="24" t="n">
        <x:v>0</x:v>
      </x:c>
      <x:c r="O1414" s="22" t="n">
        <x:f>L1414*M1414</x:f>
        <x:v>10830</x:v>
      </x:c>
      <x:c r="P1414" s="22" t="n">
        <x:f>O1414*(1-N1414)</x:f>
        <x:v>10830</x:v>
      </x:c>
      <x:c r="Q1414" s="22" t="n">
        <x:v>258</x:v>
      </x:c>
      <x:c r="R1414" s="22" t="n">
        <x:f>Q1414*M1414</x:f>
        <x:v>9804</x:v>
      </x:c>
      <x:c r="S1414" s="22" t="n">
        <x:f>P1414-R1414</x:f>
        <x:v>1026</x:v>
      </x:c>
      <x:c r="T1414" t="str">
        <x:v>Credit</x:v>
      </x:c>
      <x:c r="U1414" t="str">
        <x:v>Paid</x:v>
      </x:c>
      <x:c r="V1414" t="str">
        <x:v>Delayed</x:v>
      </x:c>
      <x:c r="W1414" t="n">
        <x:v>0</x:v>
      </x:c>
      <x:c r="X1414" t="str"/>
      <x:c r="Y1414" t="str">
        <x:v>Existing Customer</x:v>
      </x:c>
    </x:row>
    <x:row r="1415">
      <x:c r="A1415" t="str">
        <x:v>O001414</x:v>
      </x:c>
      <x:c r="B1415" s="20" t="n">
        <x:v>46141</x:v>
      </x:c>
      <x:c r="C1415" t="str">
        <x:v>C0025</x:v>
      </x:c>
      <x:c r="D1415" t="str">
        <x:v>Sri Cafe 25</x:v>
      </x:c>
      <x:c r="E1415" t="str">
        <x:v>Hotel</x:v>
      </x:c>
      <x:c r="F1415" t="str">
        <x:v>Mysuru</x:v>
      </x:c>
      <x:c r="G1415" t="str">
        <x:v>Kavya</x:v>
      </x:c>
      <x:c r="H1415" t="str">
        <x:v>P025</x:v>
      </x:c>
      <x:c r="I1415" t="str">
        <x:v>Potato Chips 100g</x:v>
      </x:c>
      <x:c r="J1415" t="str">
        <x:v>Snacks</x:v>
      </x:c>
      <x:c r="K1415" t="str">
        <x:v>Lay's</x:v>
      </x:c>
      <x:c r="L1415" s="22" t="n">
        <x:v>35</x:v>
      </x:c>
      <x:c r="M1415" t="n">
        <x:v>40</x:v>
      </x:c>
      <x:c r="N1415" s="24" t="n">
        <x:v>0</x:v>
      </x:c>
      <x:c r="O1415" s="22" t="n">
        <x:f>L1415*M1415</x:f>
        <x:v>1400</x:v>
      </x:c>
      <x:c r="P1415" s="22" t="n">
        <x:f>O1415*(1-N1415)</x:f>
        <x:v>1400</x:v>
      </x:c>
      <x:c r="Q1415" s="22" t="n">
        <x:v>27</x:v>
      </x:c>
      <x:c r="R1415" s="22" t="n">
        <x:f>Q1415*M1415</x:f>
        <x:v>1080</x:v>
      </x:c>
      <x:c r="S1415" s="22" t="n">
        <x:f>P1415-R1415</x:f>
        <x:v>320</x:v>
      </x:c>
      <x:c r="T1415" t="str">
        <x:v>Bank Transfer</x:v>
      </x:c>
      <x:c r="U1415" t="str">
        <x:v>Paid</x:v>
      </x:c>
      <x:c r="V1415" t="str">
        <x:v>Delivered</x:v>
      </x:c>
      <x:c r="W1415" t="n">
        <x:v>0</x:v>
      </x:c>
      <x:c r="X1415" t="str"/>
      <x:c r="Y1415" t="str">
        <x:v>Referral</x:v>
      </x:c>
    </x:row>
    <x:row r="1416">
      <x:c r="A1416" t="str">
        <x:v>O001415</x:v>
      </x:c>
      <x:c r="B1416" s="20" t="n">
        <x:v>46099</x:v>
      </x:c>
      <x:c r="C1416" t="str">
        <x:v>C0127</x:v>
      </x:c>
      <x:c r="D1416" t="str">
        <x:v>Grand Mart 127</x:v>
      </x:c>
      <x:c r="E1416" t="str">
        <x:v>Canteen</x:v>
      </x:c>
      <x:c r="F1416" t="str">
        <x:v>Hubballi</x:v>
      </x:c>
      <x:c r="G1416" t="str">
        <x:v>Imran</x:v>
      </x:c>
      <x:c r="H1416" t="str">
        <x:v>P015</x:v>
      </x:c>
      <x:c r="I1416" t="str">
        <x:v>Milk 1L</x:v>
      </x:c>
      <x:c r="J1416" t="str">
        <x:v>Dairy</x:v>
      </x:c>
      <x:c r="K1416" t="str">
        <x:v>Nandini</x:v>
      </x:c>
      <x:c r="L1416" s="22" t="n">
        <x:v>48</x:v>
      </x:c>
      <x:c r="M1416" t="n">
        <x:v>36</x:v>
      </x:c>
      <x:c r="N1416" s="24" t="n">
        <x:v>0</x:v>
      </x:c>
      <x:c r="O1416" s="22" t="n">
        <x:f>L1416*M1416</x:f>
        <x:v>1728</x:v>
      </x:c>
      <x:c r="P1416" s="22" t="n">
        <x:f>O1416*(1-N1416)</x:f>
        <x:v>1728</x:v>
      </x:c>
      <x:c r="Q1416" s="22" t="n">
        <x:v>43</x:v>
      </x:c>
      <x:c r="R1416" s="22" t="n">
        <x:f>Q1416*M1416</x:f>
        <x:v>1548</x:v>
      </x:c>
      <x:c r="S1416" s="22" t="n">
        <x:f>P1416-R1416</x:f>
        <x:v>180</x:v>
      </x:c>
      <x:c r="T1416" t="str">
        <x:v>UPI</x:v>
      </x:c>
      <x:c r="U1416" t="str">
        <x:v>Paid</x:v>
      </x:c>
      <x:c r="V1416" t="str">
        <x:v>Delivered</x:v>
      </x:c>
      <x:c r="W1416" t="n">
        <x:v>0</x:v>
      </x:c>
      <x:c r="X1416" t="str"/>
      <x:c r="Y1416" t="str">
        <x:v>Outbound Call</x:v>
      </x:c>
    </x:row>
    <x:row r="1417">
      <x:c r="A1417" t="str">
        <x:v>O001416</x:v>
      </x:c>
      <x:c r="B1417" s="20" t="n">
        <x:v>45732</x:v>
      </x:c>
      <x:c r="C1417" t="str">
        <x:v>C0106</x:v>
      </x:c>
      <x:c r="D1417" t="str">
        <x:v>Classic Mart 106</x:v>
      </x:c>
      <x:c r="E1417" t="str">
        <x:v>Restaurant</x:v>
      </x:c>
      <x:c r="F1417" t="str">
        <x:v>Mysuru</x:v>
      </x:c>
      <x:c r="G1417" t="str">
        <x:v>Kavya</x:v>
      </x:c>
      <x:c r="H1417" t="str">
        <x:v>P035</x:v>
      </x:c>
      <x:c r="I1417" t="str">
        <x:v>Coriander Powder 1kg</x:v>
      </x:c>
      <x:c r="J1417" t="str">
        <x:v>Spices</x:v>
      </x:c>
      <x:c r="K1417" t="str">
        <x:v>Everest</x:v>
      </x:c>
      <x:c r="L1417" s="22" t="n">
        <x:v>280</x:v>
      </x:c>
      <x:c r="M1417" t="n">
        <x:v>7</x:v>
      </x:c>
      <x:c r="N1417" s="24" t="n">
        <x:v>0.05</x:v>
      </x:c>
      <x:c r="O1417" s="22" t="n">
        <x:f>L1417*M1417</x:f>
        <x:v>1960</x:v>
      </x:c>
      <x:c r="P1417" s="22" t="n">
        <x:f>O1417*(1-N1417)</x:f>
        <x:v>1862</x:v>
      </x:c>
      <x:c r="Q1417" s="22" t="n">
        <x:v>245</x:v>
      </x:c>
      <x:c r="R1417" s="22" t="n">
        <x:f>Q1417*M1417</x:f>
        <x:v>1715</x:v>
      </x:c>
      <x:c r="S1417" s="22" t="n">
        <x:f>P1417-R1417</x:f>
        <x:v>147</x:v>
      </x:c>
      <x:c r="T1417" t="str">
        <x:v>Credit</x:v>
      </x:c>
      <x:c r="U1417" t="str">
        <x:v>Paid</x:v>
      </x:c>
      <x:c r="V1417" t="str">
        <x:v>Delivered</x:v>
      </x:c>
      <x:c r="W1417" t="n">
        <x:v>0</x:v>
      </x:c>
      <x:c r="X1417" t="str"/>
      <x:c r="Y1417" t="str">
        <x:v>Referral</x:v>
      </x:c>
    </x:row>
    <x:row r="1418">
      <x:c r="A1418" t="str">
        <x:v>O001417</x:v>
      </x:c>
      <x:c r="B1418" s="20" t="n">
        <x:v>45669</x:v>
      </x:c>
      <x:c r="C1418" t="str">
        <x:v>C0010</x:v>
      </x:c>
      <x:c r="D1418" t="str">
        <x:v>Royal Hotel 10</x:v>
      </x:c>
      <x:c r="E1418" t="str">
        <x:v>Canteen</x:v>
      </x:c>
      <x:c r="F1418" t="str">
        <x:v>Davanagere</x:v>
      </x:c>
      <x:c r="G1418" t="str">
        <x:v>Ramesh</x:v>
      </x:c>
      <x:c r="H1418" t="str">
        <x:v>P017</x:v>
      </x:c>
      <x:c r="I1418" t="str">
        <x:v>Butter 500g</x:v>
      </x:c>
      <x:c r="J1418" t="str">
        <x:v>Dairy</x:v>
      </x:c>
      <x:c r="K1418" t="str">
        <x:v>Amul</x:v>
      </x:c>
      <x:c r="L1418" s="22" t="n">
        <x:v>285</x:v>
      </x:c>
      <x:c r="M1418" t="n">
        <x:v>38</x:v>
      </x:c>
      <x:c r="N1418" s="24" t="n">
        <x:v>0.03</x:v>
      </x:c>
      <x:c r="O1418" s="22" t="n">
        <x:f>L1418*M1418</x:f>
        <x:v>10830</x:v>
      </x:c>
      <x:c r="P1418" s="22" t="n">
        <x:f>O1418*(1-N1418)</x:f>
        <x:v>10505.1</x:v>
      </x:c>
      <x:c r="Q1418" s="22" t="n">
        <x:v>258</x:v>
      </x:c>
      <x:c r="R1418" s="22" t="n">
        <x:f>Q1418*M1418</x:f>
        <x:v>9804</x:v>
      </x:c>
      <x:c r="S1418" s="22" t="n">
        <x:f>P1418-R1418</x:f>
        <x:v>701.1000000000004</x:v>
      </x:c>
      <x:c r="T1418" t="str">
        <x:v>Cash</x:v>
      </x:c>
      <x:c r="U1418" t="str">
        <x:v>Paid</x:v>
      </x:c>
      <x:c r="V1418" t="str">
        <x:v>Delivered</x:v>
      </x:c>
      <x:c r="W1418" t="n">
        <x:v>0</x:v>
      </x:c>
      <x:c r="X1418" t="str"/>
      <x:c r="Y1418" t="str">
        <x:v>Outbound Call</x:v>
      </x:c>
    </x:row>
    <x:row r="1419">
      <x:c r="A1419" t="str">
        <x:v>O001418</x:v>
      </x:c>
      <x:c r="B1419" s="20" t="n">
        <x:v>45779</x:v>
      </x:c>
      <x:c r="C1419" t="str">
        <x:v>C0061</x:v>
      </x:c>
      <x:c r="D1419" t="str">
        <x:v>Spice Stores 61</x:v>
      </x:c>
      <x:c r="E1419" t="str">
        <x:v>Restaurant</x:v>
      </x:c>
      <x:c r="F1419" t="str">
        <x:v>Tumakuru</x:v>
      </x:c>
      <x:c r="G1419" t="str">
        <x:v>Ramesh</x:v>
      </x:c>
      <x:c r="H1419" t="str">
        <x:v>P040</x:v>
      </x:c>
      <x:c r="I1419" t="str">
        <x:v>Bread Loaf 400g</x:v>
      </x:c>
      <x:c r="J1419" t="str">
        <x:v>Bakery</x:v>
      </x:c>
      <x:c r="K1419" t="str">
        <x:v>Britannia</x:v>
      </x:c>
      <x:c r="L1419" s="22" t="n">
        <x:v>45</x:v>
      </x:c>
      <x:c r="M1419" t="n">
        <x:v>6</x:v>
      </x:c>
      <x:c r="N1419" s="24" t="n">
        <x:v>0.05</x:v>
      </x:c>
      <x:c r="O1419" s="22" t="n">
        <x:f>L1419*M1419</x:f>
        <x:v>270</x:v>
      </x:c>
      <x:c r="P1419" s="22" t="n">
        <x:f>O1419*(1-N1419)</x:f>
        <x:v>256.5</x:v>
      </x:c>
      <x:c r="Q1419" s="22" t="n">
        <x:v>35</x:v>
      </x:c>
      <x:c r="R1419" s="22" t="n">
        <x:f>Q1419*M1419</x:f>
        <x:v>210</x:v>
      </x:c>
      <x:c r="S1419" s="22" t="n">
        <x:f>P1419-R1419</x:f>
        <x:v>46.5</x:v>
      </x:c>
      <x:c r="T1419" t="str">
        <x:v>Bank Transfer</x:v>
      </x:c>
      <x:c r="U1419" t="str">
        <x:v>Paid</x:v>
      </x:c>
      <x:c r="V1419" t="str">
        <x:v>Cancelled</x:v>
      </x:c>
      <x:c r="W1419" t="n">
        <x:v>6</x:v>
      </x:c>
      <x:c r="X1419" t="str">
        <x:v>Cancelled Order</x:v>
      </x:c>
      <x:c r="Y1419" t="str">
        <x:v>Field Visit</x:v>
      </x:c>
    </x:row>
    <x:row r="1420">
      <x:c r="A1420" t="str">
        <x:v>O001419</x:v>
      </x:c>
      <x:c r="B1420" s="20" t="n">
        <x:v>45664</x:v>
      </x:c>
      <x:c r="C1420" t="str">
        <x:v>C0169</x:v>
      </x:c>
      <x:c r="D1420" t="str">
        <x:v>Grand Mart 169</x:v>
      </x:c>
      <x:c r="E1420" t="str">
        <x:v>Canteen</x:v>
      </x:c>
      <x:c r="F1420" t="str">
        <x:v>Mangaluru</x:v>
      </x:c>
      <x:c r="G1420" t="str">
        <x:v>Vikram</x:v>
      </x:c>
      <x:c r="H1420" t="str">
        <x:v>P049</x:v>
      </x:c>
      <x:c r="I1420" t="str">
        <x:v>Apple 10kg</x:v>
      </x:c>
      <x:c r="J1420" t="str">
        <x:v>Fresh Produce</x:v>
      </x:c>
      <x:c r="K1420" t="str">
        <x:v>Local Market</x:v>
      </x:c>
      <x:c r="L1420" s="22" t="n">
        <x:v>1450</x:v>
      </x:c>
      <x:c r="M1420" t="n">
        <x:v>4</x:v>
      </x:c>
      <x:c r="N1420" s="24" t="n">
        <x:v>0.05</x:v>
      </x:c>
      <x:c r="O1420" s="22" t="n">
        <x:f>L1420*M1420</x:f>
        <x:v>5800</x:v>
      </x:c>
      <x:c r="P1420" s="22" t="n">
        <x:f>O1420*(1-N1420)</x:f>
        <x:v>5510</x:v>
      </x:c>
      <x:c r="Q1420" s="22" t="n">
        <x:v>1280</x:v>
      </x:c>
      <x:c r="R1420" s="22" t="n">
        <x:f>Q1420*M1420</x:f>
        <x:v>5120</x:v>
      </x:c>
      <x:c r="S1420" s="22" t="n">
        <x:f>P1420-R1420</x:f>
        <x:v>390</x:v>
      </x:c>
      <x:c r="T1420" t="str">
        <x:v>Cash</x:v>
      </x:c>
      <x:c r="U1420" t="str">
        <x:v>Paid</x:v>
      </x:c>
      <x:c r="V1420" t="str">
        <x:v>Delayed</x:v>
      </x:c>
      <x:c r="W1420" t="n">
        <x:v>0</x:v>
      </x:c>
      <x:c r="X1420" t="str"/>
      <x:c r="Y1420" t="str">
        <x:v>Existing Customer</x:v>
      </x:c>
    </x:row>
    <x:row r="1421">
      <x:c r="A1421" t="str">
        <x:v>O001420</x:v>
      </x:c>
      <x:c r="B1421" s="20" t="n">
        <x:v>45658</x:v>
      </x:c>
      <x:c r="C1421" t="str">
        <x:v>C0148</x:v>
      </x:c>
      <x:c r="D1421" t="str">
        <x:v>Shree Cafe 148</x:v>
      </x:c>
      <x:c r="E1421" t="str">
        <x:v>Kirana</x:v>
      </x:c>
      <x:c r="F1421" t="str">
        <x:v>Hubballi</x:v>
      </x:c>
      <x:c r="G1421" t="str">
        <x:v>Priya</x:v>
      </x:c>
      <x:c r="H1421" t="str">
        <x:v>P018</x:v>
      </x:c>
      <x:c r="I1421" t="str">
        <x:v>Paneer 1kg</x:v>
      </x:c>
      <x:c r="J1421" t="str">
        <x:v>Dairy</x:v>
      </x:c>
      <x:c r="K1421" t="str">
        <x:v>Milky Mist</x:v>
      </x:c>
      <x:c r="L1421" s="22" t="n">
        <x:v>410</x:v>
      </x:c>
      <x:c r="M1421" t="n">
        <x:v>28</x:v>
      </x:c>
      <x:c r="N1421" s="24" t="n">
        <x:v>0.05</x:v>
      </x:c>
      <x:c r="O1421" s="22" t="n">
        <x:f>L1421*M1421</x:f>
        <x:v>11480</x:v>
      </x:c>
      <x:c r="P1421" s="22" t="n">
        <x:f>O1421*(1-N1421)</x:f>
        <x:v>10906</x:v>
      </x:c>
      <x:c r="Q1421" s="22" t="n">
        <x:v>370</x:v>
      </x:c>
      <x:c r="R1421" s="22" t="n">
        <x:f>Q1421*M1421</x:f>
        <x:v>10360</x:v>
      </x:c>
      <x:c r="S1421" s="22" t="n">
        <x:f>P1421-R1421</x:f>
        <x:v>546</x:v>
      </x:c>
      <x:c r="T1421" t="str">
        <x:v>Cash</x:v>
      </x:c>
      <x:c r="U1421" t="str">
        <x:v>Pending</x:v>
      </x:c>
      <x:c r="V1421" t="str">
        <x:v>Delayed</x:v>
      </x:c>
      <x:c r="W1421" t="n">
        <x:v>0</x:v>
      </x:c>
      <x:c r="X1421" t="str"/>
      <x:c r="Y1421" t="str">
        <x:v>Referral</x:v>
      </x:c>
    </x:row>
    <x:row r="1422">
      <x:c r="A1422" t="str">
        <x:v>O001421</x:v>
      </x:c>
      <x:c r="B1422" s="20" t="n">
        <x:v>46243</x:v>
      </x:c>
      <x:c r="C1422" t="str">
        <x:v>C0025</x:v>
      </x:c>
      <x:c r="D1422" t="str">
        <x:v>Sri Cafe 25</x:v>
      </x:c>
      <x:c r="E1422" t="str">
        <x:v>Hotel</x:v>
      </x:c>
      <x:c r="F1422" t="str">
        <x:v>Mysuru</x:v>
      </x:c>
      <x:c r="G1422" t="str">
        <x:v>Kavya</x:v>
      </x:c>
      <x:c r="H1422" t="str">
        <x:v>P041</x:v>
      </x:c>
      <x:c r="I1422" t="str">
        <x:v>Burger Bun 6pc</x:v>
      </x:c>
      <x:c r="J1422" t="str">
        <x:v>Bakery</x:v>
      </x:c>
      <x:c r="K1422" t="str">
        <x:v>Modern</x:v>
      </x:c>
      <x:c r="L1422" s="22" t="n">
        <x:v>42</x:v>
      </x:c>
      <x:c r="M1422" t="n">
        <x:v>2</x:v>
      </x:c>
      <x:c r="N1422" s="24" t="n">
        <x:v>0.05</x:v>
      </x:c>
      <x:c r="O1422" s="22" t="n">
        <x:f>L1422*M1422</x:f>
        <x:v>84</x:v>
      </x:c>
      <x:c r="P1422" s="22" t="n">
        <x:f>O1422*(1-N1422)</x:f>
        <x:v>79.8</x:v>
      </x:c>
      <x:c r="Q1422" s="22" t="n">
        <x:v>32</x:v>
      </x:c>
      <x:c r="R1422" s="22" t="n">
        <x:f>Q1422*M1422</x:f>
        <x:v>64</x:v>
      </x:c>
      <x:c r="S1422" s="22" t="n">
        <x:f>P1422-R1422</x:f>
        <x:v>15.799999999999997</x:v>
      </x:c>
      <x:c r="T1422" t="str">
        <x:v>Bank Transfer</x:v>
      </x:c>
      <x:c r="U1422" t="str">
        <x:v>Paid</x:v>
      </x:c>
      <x:c r="V1422" t="str">
        <x:v>Delivered</x:v>
      </x:c>
      <x:c r="W1422" t="n">
        <x:v>0</x:v>
      </x:c>
      <x:c r="X1422" t="str"/>
      <x:c r="Y1422" t="str">
        <x:v>Outbound Call</x:v>
      </x:c>
    </x:row>
    <x:row r="1423">
      <x:c r="A1423" t="str">
        <x:v>O001422</x:v>
      </x:c>
      <x:c r="B1423" s="20" t="n">
        <x:v>45860</x:v>
      </x:c>
      <x:c r="C1423" t="str">
        <x:v>C0051</x:v>
      </x:c>
      <x:c r="D1423" t="str">
        <x:v>Cafe Hotel 51</x:v>
      </x:c>
      <x:c r="E1423" t="str">
        <x:v>Kirana</x:v>
      </x:c>
      <x:c r="F1423" t="str">
        <x:v>Tumakuru</x:v>
      </x:c>
      <x:c r="G1423" t="str">
        <x:v>Arjun</x:v>
      </x:c>
      <x:c r="H1423" t="str">
        <x:v>P014</x:v>
      </x:c>
      <x:c r="I1423" t="str">
        <x:v>Rava 5kg</x:v>
      </x:c>
      <x:c r="J1423" t="str">
        <x:v>Flour</x:v>
      </x:c>
      <x:c r="K1423" t="str">
        <x:v>Local Select</x:v>
      </x:c>
      <x:c r="L1423" s="22" t="n">
        <x:v>245</x:v>
      </x:c>
      <x:c r="M1423" t="n">
        <x:v>9</x:v>
      </x:c>
      <x:c r="N1423" s="24" t="n">
        <x:v>0.02</x:v>
      </x:c>
      <x:c r="O1423" s="22" t="n">
        <x:f>L1423*M1423</x:f>
        <x:v>2205</x:v>
      </x:c>
      <x:c r="P1423" s="22" t="n">
        <x:f>O1423*(1-N1423)</x:f>
        <x:v>2160.9</x:v>
      </x:c>
      <x:c r="Q1423" s="22" t="n">
        <x:v>215</x:v>
      </x:c>
      <x:c r="R1423" s="22" t="n">
        <x:f>Q1423*M1423</x:f>
        <x:v>1935</x:v>
      </x:c>
      <x:c r="S1423" s="22" t="n">
        <x:f>P1423-R1423</x:f>
        <x:v>225.9000000000001</x:v>
      </x:c>
      <x:c r="T1423" t="str">
        <x:v>UPI</x:v>
      </x:c>
      <x:c r="U1423" t="str">
        <x:v>Paid</x:v>
      </x:c>
      <x:c r="V1423" t="str">
        <x:v>Delivered</x:v>
      </x:c>
      <x:c r="W1423" t="n">
        <x:v>0</x:v>
      </x:c>
      <x:c r="X1423" t="str"/>
      <x:c r="Y1423" t="str">
        <x:v>Outbound Call</x:v>
      </x:c>
    </x:row>
    <x:row r="1424">
      <x:c r="A1424" t="str">
        <x:v>O001423</x:v>
      </x:c>
      <x:c r="B1424" s="20" t="n">
        <x:v>45867</x:v>
      </x:c>
      <x:c r="C1424" t="str">
        <x:v>C0234</x:v>
      </x:c>
      <x:c r="D1424" t="str">
        <x:v>Metro Canteen 234</x:v>
      </x:c>
      <x:c r="E1424" t="str">
        <x:v>Restaurant</x:v>
      </x:c>
      <x:c r="F1424" t="str">
        <x:v>Davanagere</x:v>
      </x:c>
      <x:c r="G1424" t="str">
        <x:v>Priya</x:v>
      </x:c>
      <x:c r="H1424" t="str">
        <x:v>P047</x:v>
      </x:c>
      <x:c r="I1424" t="str">
        <x:v>Tomato 25kg</x:v>
      </x:c>
      <x:c r="J1424" t="str">
        <x:v>Fresh Produce</x:v>
      </x:c>
      <x:c r="K1424" t="str">
        <x:v>Local Market</x:v>
      </x:c>
      <x:c r="L1424" s="22" t="n">
        <x:v>950</x:v>
      </x:c>
      <x:c r="M1424" t="n">
        <x:v>24</x:v>
      </x:c>
      <x:c r="N1424" s="24" t="n">
        <x:v>0.05</x:v>
      </x:c>
      <x:c r="O1424" s="22" t="n">
        <x:f>L1424*M1424</x:f>
        <x:v>22800</x:v>
      </x:c>
      <x:c r="P1424" s="22" t="n">
        <x:f>O1424*(1-N1424)</x:f>
        <x:v>21660</x:v>
      </x:c>
      <x:c r="Q1424" s="22" t="n">
        <x:v>810</x:v>
      </x:c>
      <x:c r="R1424" s="22" t="n">
        <x:f>Q1424*M1424</x:f>
        <x:v>19440</x:v>
      </x:c>
      <x:c r="S1424" s="22" t="n">
        <x:f>P1424-R1424</x:f>
        <x:v>2220</x:v>
      </x:c>
      <x:c r="T1424" t="str">
        <x:v>Cash</x:v>
      </x:c>
      <x:c r="U1424" t="str">
        <x:v>Pending</x:v>
      </x:c>
      <x:c r="V1424" t="str">
        <x:v>Delivered</x:v>
      </x:c>
      <x:c r="W1424" t="n">
        <x:v>0</x:v>
      </x:c>
      <x:c r="X1424" t="str"/>
      <x:c r="Y1424" t="str">
        <x:v>Outbound Call</x:v>
      </x:c>
    </x:row>
    <x:row r="1425">
      <x:c r="A1425" t="str">
        <x:v>O001424</x:v>
      </x:c>
      <x:c r="B1425" s="20" t="n">
        <x:v>46045</x:v>
      </x:c>
      <x:c r="C1425" t="str">
        <x:v>C0041</x:v>
      </x:c>
      <x:c r="D1425" t="str">
        <x:v>Grand Mart 41</x:v>
      </x:c>
      <x:c r="E1425" t="str">
        <x:v>Cafe</x:v>
      </x:c>
      <x:c r="F1425" t="str">
        <x:v>Bengaluru</x:v>
      </x:c>
      <x:c r="G1425" t="str">
        <x:v>Kavya</x:v>
      </x:c>
      <x:c r="H1425" t="str">
        <x:v>P031</x:v>
      </x:c>
      <x:c r="I1425" t="str">
        <x:v>Chilli Sauce 700g</x:v>
      </x:c>
      <x:c r="J1425" t="str">
        <x:v>Condiments</x:v>
      </x:c>
      <x:c r="K1425" t="str">
        <x:v>Ching's</x:v>
      </x:c>
      <x:c r="L1425" s="22" t="n">
        <x:v>130</x:v>
      </x:c>
      <x:c r="M1425" t="n">
        <x:v>1</x:v>
      </x:c>
      <x:c r="N1425" s="24" t="n">
        <x:v>0</x:v>
      </x:c>
      <x:c r="O1425" s="22" t="n">
        <x:f>L1425*M1425</x:f>
        <x:v>130</x:v>
      </x:c>
      <x:c r="P1425" s="22" t="n">
        <x:f>O1425*(1-N1425)</x:f>
        <x:v>130</x:v>
      </x:c>
      <x:c r="Q1425" s="22" t="n">
        <x:v>112</x:v>
      </x:c>
      <x:c r="R1425" s="22" t="n">
        <x:f>Q1425*M1425</x:f>
        <x:v>112</x:v>
      </x:c>
      <x:c r="S1425" s="22" t="n">
        <x:f>P1425-R1425</x:f>
        <x:v>18</x:v>
      </x:c>
      <x:c r="T1425" t="str">
        <x:v>UPI</x:v>
      </x:c>
      <x:c r="U1425" t="str">
        <x:v>Paid</x:v>
      </x:c>
      <x:c r="V1425" t="str">
        <x:v>Cancelled</x:v>
      </x:c>
      <x:c r="W1425" t="n">
        <x:v>1</x:v>
      </x:c>
      <x:c r="X1425" t="str">
        <x:v>Cancelled Order</x:v>
      </x:c>
      <x:c r="Y1425" t="str">
        <x:v>WhatsApp</x:v>
      </x:c>
    </x:row>
    <x:row r="1426">
      <x:c r="A1426" t="str">
        <x:v>O001425</x:v>
      </x:c>
      <x:c r="B1426" s="20" t="n">
        <x:v>45874</x:v>
      </x:c>
      <x:c r="C1426" t="str">
        <x:v>C0196</x:v>
      </x:c>
      <x:c r="D1426" t="str">
        <x:v>Namma Mart 196</x:v>
      </x:c>
      <x:c r="E1426" t="str">
        <x:v>Cafe</x:v>
      </x:c>
      <x:c r="F1426" t="str">
        <x:v>Mangaluru</x:v>
      </x:c>
      <x:c r="G1426" t="str">
        <x:v>Kavya</x:v>
      </x:c>
      <x:c r="H1426" t="str">
        <x:v>P011</x:v>
      </x:c>
      <x:c r="I1426" t="str">
        <x:v>Salt 1kg</x:v>
      </x:c>
      <x:c r="J1426" t="str">
        <x:v>Staples</x:v>
      </x:c>
      <x:c r="K1426" t="str">
        <x:v>Tata</x:v>
      </x:c>
      <x:c r="L1426" s="22" t="n">
        <x:v>28</x:v>
      </x:c>
      <x:c r="M1426" t="n">
        <x:v>5</x:v>
      </x:c>
      <x:c r="N1426" s="24" t="n">
        <x:v>0</x:v>
      </x:c>
      <x:c r="O1426" s="22" t="n">
        <x:f>L1426*M1426</x:f>
        <x:v>140</x:v>
      </x:c>
      <x:c r="P1426" s="22" t="n">
        <x:f>O1426*(1-N1426)</x:f>
        <x:v>140</x:v>
      </x:c>
      <x:c r="Q1426" s="22" t="n">
        <x:v>23</x:v>
      </x:c>
      <x:c r="R1426" s="22" t="n">
        <x:f>Q1426*M1426</x:f>
        <x:v>115</x:v>
      </x:c>
      <x:c r="S1426" s="22" t="n">
        <x:f>P1426-R1426</x:f>
        <x:v>25</x:v>
      </x:c>
      <x:c r="T1426" t="str">
        <x:v>UPI</x:v>
      </x:c>
      <x:c r="U1426" t="str">
        <x:v>Paid</x:v>
      </x:c>
      <x:c r="V1426" t="str">
        <x:v>Cancelled</x:v>
      </x:c>
      <x:c r="W1426" t="n">
        <x:v>5</x:v>
      </x:c>
      <x:c r="X1426" t="str">
        <x:v>Cancelled Order</x:v>
      </x:c>
      <x:c r="Y1426" t="str">
        <x:v>Referral</x:v>
      </x:c>
    </x:row>
    <x:row r="1427">
      <x:c r="A1427" t="str">
        <x:v>O001426</x:v>
      </x:c>
      <x:c r="B1427" s="20" t="n">
        <x:v>46226</x:v>
      </x:c>
      <x:c r="C1427" t="str">
        <x:v>C0134</x:v>
      </x:c>
      <x:c r="D1427" t="str">
        <x:v>Annapurna Stores 134</x:v>
      </x:c>
      <x:c r="E1427" t="str">
        <x:v>Cafe</x:v>
      </x:c>
      <x:c r="F1427" t="str">
        <x:v>Bengaluru</x:v>
      </x:c>
      <x:c r="G1427" t="str">
        <x:v>Kavya</x:v>
      </x:c>
      <x:c r="H1427" t="str">
        <x:v>P046</x:v>
      </x:c>
      <x:c r="I1427" t="str">
        <x:v>Potato 25kg</x:v>
      </x:c>
      <x:c r="J1427" t="str">
        <x:v>Fresh Produce</x:v>
      </x:c>
      <x:c r="K1427" t="str">
        <x:v>Local Market</x:v>
      </x:c>
      <x:c r="L1427" s="22" t="n">
        <x:v>700</x:v>
      </x:c>
      <x:c r="M1427" t="n">
        <x:v>34</x:v>
      </x:c>
      <x:c r="N1427" s="24" t="n">
        <x:v>0.08</x:v>
      </x:c>
      <x:c r="O1427" s="22" t="n">
        <x:f>L1427*M1427</x:f>
        <x:v>23800</x:v>
      </x:c>
      <x:c r="P1427" s="22" t="n">
        <x:f>O1427*(1-N1427)</x:f>
        <x:v>21896</x:v>
      </x:c>
      <x:c r="Q1427" s="22" t="n">
        <x:v>610</x:v>
      </x:c>
      <x:c r="R1427" s="22" t="n">
        <x:f>Q1427*M1427</x:f>
        <x:v>20740</x:v>
      </x:c>
      <x:c r="S1427" s="22" t="n">
        <x:f>P1427-R1427</x:f>
        <x:v>1156</x:v>
      </x:c>
      <x:c r="T1427" t="str">
        <x:v>Cash</x:v>
      </x:c>
      <x:c r="U1427" t="str">
        <x:v>Pending</x:v>
      </x:c>
      <x:c r="V1427" t="str">
        <x:v>Delivered</x:v>
      </x:c>
      <x:c r="W1427" t="n">
        <x:v>0</x:v>
      </x:c>
      <x:c r="X1427" t="str"/>
      <x:c r="Y1427" t="str">
        <x:v>Existing Customer</x:v>
      </x:c>
    </x:row>
    <x:row r="1428">
      <x:c r="A1428" t="str">
        <x:v>O001427</x:v>
      </x:c>
      <x:c r="B1428" s="20" t="n">
        <x:v>46117</x:v>
      </x:c>
      <x:c r="C1428" t="str">
        <x:v>C0146</x:v>
      </x:c>
      <x:c r="D1428" t="str">
        <x:v>Annapurna Hotel 146</x:v>
      </x:c>
      <x:c r="E1428" t="str">
        <x:v>Restaurant</x:v>
      </x:c>
      <x:c r="F1428" t="str">
        <x:v>Davanagere</x:v>
      </x:c>
      <x:c r="G1428" t="str">
        <x:v>Arjun</x:v>
      </x:c>
      <x:c r="H1428" t="str">
        <x:v>P014</x:v>
      </x:c>
      <x:c r="I1428" t="str">
        <x:v>Rava 5kg</x:v>
      </x:c>
      <x:c r="J1428" t="str">
        <x:v>Flour</x:v>
      </x:c>
      <x:c r="K1428" t="str">
        <x:v>Local Select</x:v>
      </x:c>
      <x:c r="L1428" s="22" t="n">
        <x:v>245</x:v>
      </x:c>
      <x:c r="M1428" t="n">
        <x:v>28</x:v>
      </x:c>
      <x:c r="N1428" s="24" t="n">
        <x:v>0</x:v>
      </x:c>
      <x:c r="O1428" s="22" t="n">
        <x:f>L1428*M1428</x:f>
        <x:v>6860</x:v>
      </x:c>
      <x:c r="P1428" s="22" t="n">
        <x:f>O1428*(1-N1428)</x:f>
        <x:v>6860</x:v>
      </x:c>
      <x:c r="Q1428" s="22" t="n">
        <x:v>215</x:v>
      </x:c>
      <x:c r="R1428" s="22" t="n">
        <x:f>Q1428*M1428</x:f>
        <x:v>6020</x:v>
      </x:c>
      <x:c r="S1428" s="22" t="n">
        <x:f>P1428-R1428</x:f>
        <x:v>840</x:v>
      </x:c>
      <x:c r="T1428" t="str">
        <x:v>Credit</x:v>
      </x:c>
      <x:c r="U1428" t="str">
        <x:v>Paid</x:v>
      </x:c>
      <x:c r="V1428" t="str">
        <x:v>Delivered</x:v>
      </x:c>
      <x:c r="W1428" t="n">
        <x:v>0</x:v>
      </x:c>
      <x:c r="X1428" t="str"/>
      <x:c r="Y1428" t="str">
        <x:v>Outbound Call</x:v>
      </x:c>
    </x:row>
    <x:row r="1429">
      <x:c r="A1429" t="str">
        <x:v>O001428</x:v>
      </x:c>
      <x:c r="B1429" s="20" t="n">
        <x:v>46206</x:v>
      </x:c>
      <x:c r="C1429" t="str">
        <x:v>C0076</x:v>
      </x:c>
      <x:c r="D1429" t="str">
        <x:v>Sri Canteen 76</x:v>
      </x:c>
      <x:c r="E1429" t="str">
        <x:v>Canteen</x:v>
      </x:c>
      <x:c r="F1429" t="str">
        <x:v>Tumakuru</x:v>
      </x:c>
      <x:c r="G1429" t="str">
        <x:v>Priya</x:v>
      </x:c>
      <x:c r="H1429" t="str">
        <x:v>P025</x:v>
      </x:c>
      <x:c r="I1429" t="str">
        <x:v>Potato Chips 100g</x:v>
      </x:c>
      <x:c r="J1429" t="str">
        <x:v>Snacks</x:v>
      </x:c>
      <x:c r="K1429" t="str">
        <x:v>Lay's</x:v>
      </x:c>
      <x:c r="L1429" s="22" t="n">
        <x:v>35</x:v>
      </x:c>
      <x:c r="M1429" t="n">
        <x:v>30</x:v>
      </x:c>
      <x:c r="N1429" s="24" t="n">
        <x:v>0.08</x:v>
      </x:c>
      <x:c r="O1429" s="22" t="n">
        <x:f>L1429*M1429</x:f>
        <x:v>1050</x:v>
      </x:c>
      <x:c r="P1429" s="22" t="n">
        <x:f>O1429*(1-N1429)</x:f>
        <x:v>966</x:v>
      </x:c>
      <x:c r="Q1429" s="22" t="n">
        <x:v>27</x:v>
      </x:c>
      <x:c r="R1429" s="22" t="n">
        <x:f>Q1429*M1429</x:f>
        <x:v>810</x:v>
      </x:c>
      <x:c r="S1429" s="22" t="n">
        <x:f>P1429-R1429</x:f>
        <x:v>156</x:v>
      </x:c>
      <x:c r="T1429" t="str">
        <x:v>UPI</x:v>
      </x:c>
      <x:c r="U1429" t="str">
        <x:v>Pending</x:v>
      </x:c>
      <x:c r="V1429" t="str">
        <x:v>Delivered</x:v>
      </x:c>
      <x:c r="W1429" t="n">
        <x:v>0</x:v>
      </x:c>
      <x:c r="X1429" t="str"/>
      <x:c r="Y1429" t="str">
        <x:v>Referral</x:v>
      </x:c>
    </x:row>
    <x:row r="1430">
      <x:c r="A1430" t="str">
        <x:v>O001429</x:v>
      </x:c>
      <x:c r="B1430" s="20" t="n">
        <x:v>46231</x:v>
      </x:c>
      <x:c r="C1430" t="str">
        <x:v>C0137</x:v>
      </x:c>
      <x:c r="D1430" t="str">
        <x:v>Green Restaurant 137</x:v>
      </x:c>
      <x:c r="E1430" t="str">
        <x:v>Canteen</x:v>
      </x:c>
      <x:c r="F1430" t="str">
        <x:v>Mangaluru</x:v>
      </x:c>
      <x:c r="G1430" t="str">
        <x:v>Arjun</x:v>
      </x:c>
      <x:c r="H1430" t="str">
        <x:v>P008</x:v>
      </x:c>
      <x:c r="I1430" t="str">
        <x:v>Palm Oil 15L</x:v>
      </x:c>
      <x:c r="J1430" t="str">
        <x:v>Edible Oil</x:v>
      </x:c>
      <x:c r="K1430" t="str">
        <x:v>Ruchi Gold</x:v>
      </x:c>
      <x:c r="L1430" s="22" t="n">
        <x:v>1760</x:v>
      </x:c>
      <x:c r="M1430" t="n">
        <x:v>7</x:v>
      </x:c>
      <x:c r="N1430" s="24" t="n">
        <x:v>0.08</x:v>
      </x:c>
      <x:c r="O1430" s="22" t="n">
        <x:f>L1430*M1430</x:f>
        <x:v>12320</x:v>
      </x:c>
      <x:c r="P1430" s="22" t="n">
        <x:f>O1430*(1-N1430)</x:f>
        <x:v>11334.4</x:v>
      </x:c>
      <x:c r="Q1430" s="22" t="n">
        <x:v>1610</x:v>
      </x:c>
      <x:c r="R1430" s="22" t="n">
        <x:f>Q1430*M1430</x:f>
        <x:v>11270</x:v>
      </x:c>
      <x:c r="S1430" s="22" t="n">
        <x:f>P1430-R1430</x:f>
        <x:v>64.39999999999964</x:v>
      </x:c>
      <x:c r="T1430" t="str">
        <x:v>Bank Transfer</x:v>
      </x:c>
      <x:c r="U1430" t="str">
        <x:v>Paid</x:v>
      </x:c>
      <x:c r="V1430" t="str">
        <x:v>Delivered</x:v>
      </x:c>
      <x:c r="W1430" t="n">
        <x:v>0</x:v>
      </x:c>
      <x:c r="X1430" t="str"/>
      <x:c r="Y1430" t="str">
        <x:v>Referral</x:v>
      </x:c>
    </x:row>
    <x:row r="1431">
      <x:c r="A1431" t="str">
        <x:v>O001430</x:v>
      </x:c>
      <x:c r="B1431" s="20" t="n">
        <x:v>46178</x:v>
      </x:c>
      <x:c r="C1431" t="str">
        <x:v>C0062</x:v>
      </x:c>
      <x:c r="D1431" t="str">
        <x:v>Foodie Hotel 62</x:v>
      </x:c>
      <x:c r="E1431" t="str">
        <x:v>Cafe</x:v>
      </x:c>
      <x:c r="F1431" t="str">
        <x:v>Mysuru</x:v>
      </x:c>
      <x:c r="G1431" t="str">
        <x:v>Vikram</x:v>
      </x:c>
      <x:c r="H1431" t="str">
        <x:v>P004</x:v>
      </x:c>
      <x:c r="I1431" t="str">
        <x:v>Toor Dal 5kg</x:v>
      </x:c>
      <x:c r="J1431" t="str">
        <x:v>Pulses</x:v>
      </x:c>
      <x:c r="K1431" t="str">
        <x:v>Tata Sampann</x:v>
      </x:c>
      <x:c r="L1431" s="22" t="n">
        <x:v>780</x:v>
      </x:c>
      <x:c r="M1431" t="n">
        <x:v>39</x:v>
      </x:c>
      <x:c r="N1431" s="24" t="n">
        <x:v>0.03</x:v>
      </x:c>
      <x:c r="O1431" s="22" t="n">
        <x:f>L1431*M1431</x:f>
        <x:v>30420</x:v>
      </x:c>
      <x:c r="P1431" s="22" t="n">
        <x:f>O1431*(1-N1431)</x:f>
        <x:v>29507.399999999998</x:v>
      </x:c>
      <x:c r="Q1431" s="22" t="n">
        <x:v>695</x:v>
      </x:c>
      <x:c r="R1431" s="22" t="n">
        <x:f>Q1431*M1431</x:f>
        <x:v>27105</x:v>
      </x:c>
      <x:c r="S1431" s="22" t="n">
        <x:f>P1431-R1431</x:f>
        <x:v>2402.399999999998</x:v>
      </x:c>
      <x:c r="T1431" t="str">
        <x:v>UPI</x:v>
      </x:c>
      <x:c r="U1431" t="str">
        <x:v>Paid</x:v>
      </x:c>
      <x:c r="V1431" t="str">
        <x:v>Delayed</x:v>
      </x:c>
      <x:c r="W1431" t="n">
        <x:v>0</x:v>
      </x:c>
      <x:c r="X1431" t="str"/>
      <x:c r="Y1431" t="str">
        <x:v>Outbound Call</x:v>
      </x:c>
    </x:row>
    <x:row r="1432">
      <x:c r="A1432" t="str">
        <x:v>O001431</x:v>
      </x:c>
      <x:c r="B1432" s="20" t="n">
        <x:v>45923</x:v>
      </x:c>
      <x:c r="C1432" t="str">
        <x:v>C0138</x:v>
      </x:c>
      <x:c r="D1432" t="str">
        <x:v>New Mart 138</x:v>
      </x:c>
      <x:c r="E1432" t="str">
        <x:v>Restaurant</x:v>
      </x:c>
      <x:c r="F1432" t="str">
        <x:v>Bengaluru</x:v>
      </x:c>
      <x:c r="G1432" t="str">
        <x:v>Ramesh</x:v>
      </x:c>
      <x:c r="H1432" t="str">
        <x:v>P006</x:v>
      </x:c>
      <x:c r="I1432" t="str">
        <x:v>Moong Dal 5kg</x:v>
      </x:c>
      <x:c r="J1432" t="str">
        <x:v>Pulses</x:v>
      </x:c>
      <x:c r="K1432" t="str">
        <x:v>Local Select</x:v>
      </x:c>
      <x:c r="L1432" s="22" t="n">
        <x:v>610</x:v>
      </x:c>
      <x:c r="M1432" t="n">
        <x:v>17</x:v>
      </x:c>
      <x:c r="N1432" s="24" t="n">
        <x:v>0.02</x:v>
      </x:c>
      <x:c r="O1432" s="22" t="n">
        <x:f>L1432*M1432</x:f>
        <x:v>10370</x:v>
      </x:c>
      <x:c r="P1432" s="22" t="n">
        <x:f>O1432*(1-N1432)</x:f>
        <x:v>10162.6</x:v>
      </x:c>
      <x:c r="Q1432" s="22" t="n">
        <x:v>540</x:v>
      </x:c>
      <x:c r="R1432" s="22" t="n">
        <x:f>Q1432*M1432</x:f>
        <x:v>9180</x:v>
      </x:c>
      <x:c r="S1432" s="22" t="n">
        <x:f>P1432-R1432</x:f>
        <x:v>982.6000000000004</x:v>
      </x:c>
      <x:c r="T1432" t="str">
        <x:v>Bank Transfer</x:v>
      </x:c>
      <x:c r="U1432" t="str">
        <x:v>Pending</x:v>
      </x:c>
      <x:c r="V1432" t="str">
        <x:v>Delivered</x:v>
      </x:c>
      <x:c r="W1432" t="n">
        <x:v>0</x:v>
      </x:c>
      <x:c r="X1432" t="str"/>
      <x:c r="Y1432" t="str">
        <x:v>Referral</x:v>
      </x:c>
    </x:row>
    <x:row r="1433">
      <x:c r="A1433" t="str">
        <x:v>O001432</x:v>
      </x:c>
      <x:c r="B1433" s="20" t="n">
        <x:v>45749</x:v>
      </x:c>
      <x:c r="C1433" t="str">
        <x:v>C0203</x:v>
      </x:c>
      <x:c r="D1433" t="str">
        <x:v>Namma Mart 203</x:v>
      </x:c>
      <x:c r="E1433" t="str">
        <x:v>Kirana</x:v>
      </x:c>
      <x:c r="F1433" t="str">
        <x:v>Tumakuru</x:v>
      </x:c>
      <x:c r="G1433" t="str">
        <x:v>Priya</x:v>
      </x:c>
      <x:c r="H1433" t="str">
        <x:v>P015</x:v>
      </x:c>
      <x:c r="I1433" t="str">
        <x:v>Milk 1L</x:v>
      </x:c>
      <x:c r="J1433" t="str">
        <x:v>Dairy</x:v>
      </x:c>
      <x:c r="K1433" t="str">
        <x:v>Nandini</x:v>
      </x:c>
      <x:c r="L1433" s="22" t="n">
        <x:v>48</x:v>
      </x:c>
      <x:c r="M1433" t="n">
        <x:v>34</x:v>
      </x:c>
      <x:c r="N1433" s="24" t="n">
        <x:v>0</x:v>
      </x:c>
      <x:c r="O1433" s="22" t="n">
        <x:f>L1433*M1433</x:f>
        <x:v>1632</x:v>
      </x:c>
      <x:c r="P1433" s="22" t="n">
        <x:f>O1433*(1-N1433)</x:f>
        <x:v>1632</x:v>
      </x:c>
      <x:c r="Q1433" s="22" t="n">
        <x:v>43</x:v>
      </x:c>
      <x:c r="R1433" s="22" t="n">
        <x:f>Q1433*M1433</x:f>
        <x:v>1462</x:v>
      </x:c>
      <x:c r="S1433" s="22" t="n">
        <x:f>P1433-R1433</x:f>
        <x:v>170</x:v>
      </x:c>
      <x:c r="T1433" t="str">
        <x:v>Credit</x:v>
      </x:c>
      <x:c r="U1433" t="str">
        <x:v>Paid</x:v>
      </x:c>
      <x:c r="V1433" t="str">
        <x:v>Cancelled</x:v>
      </x:c>
      <x:c r="W1433" t="n">
        <x:v>34</x:v>
      </x:c>
      <x:c r="X1433" t="str">
        <x:v>Cancelled Order</x:v>
      </x:c>
      <x:c r="Y1433" t="str">
        <x:v>Existing Customer</x:v>
      </x:c>
    </x:row>
    <x:row r="1434">
      <x:c r="A1434" t="str">
        <x:v>O001433</x:v>
      </x:c>
      <x:c r="B1434" s="20" t="n">
        <x:v>46129</x:v>
      </x:c>
      <x:c r="C1434" t="str">
        <x:v>C0195</x:v>
      </x:c>
      <x:c r="D1434" t="str">
        <x:v>Classic Stores 195</x:v>
      </x:c>
      <x:c r="E1434" t="str">
        <x:v>Canteen</x:v>
      </x:c>
      <x:c r="F1434" t="str">
        <x:v>Davanagere</x:v>
      </x:c>
      <x:c r="G1434" t="str">
        <x:v>Kavya</x:v>
      </x:c>
      <x:c r="H1434" t="str">
        <x:v>P021</x:v>
      </x:c>
      <x:c r="I1434" t="str">
        <x:v>Instant Coffee 200g</x:v>
      </x:c>
      <x:c r="J1434" t="str">
        <x:v>Beverage</x:v>
      </x:c>
      <x:c r="K1434" t="str">
        <x:v>Nescafe</x:v>
      </x:c>
      <x:c r="L1434" s="22" t="n">
        <x:v>460</x:v>
      </x:c>
      <x:c r="M1434" t="n">
        <x:v>11</x:v>
      </x:c>
      <x:c r="N1434" s="24" t="n">
        <x:v>0.05</x:v>
      </x:c>
      <x:c r="O1434" s="22" t="n">
        <x:f>L1434*M1434</x:f>
        <x:v>5060</x:v>
      </x:c>
      <x:c r="P1434" s="22" t="n">
        <x:f>O1434*(1-N1434)</x:f>
        <x:v>4807</x:v>
      </x:c>
      <x:c r="Q1434" s="22" t="n">
        <x:v>410</x:v>
      </x:c>
      <x:c r="R1434" s="22" t="n">
        <x:f>Q1434*M1434</x:f>
        <x:v>4510</x:v>
      </x:c>
      <x:c r="S1434" s="22" t="n">
        <x:f>P1434-R1434</x:f>
        <x:v>297</x:v>
      </x:c>
      <x:c r="T1434" t="str">
        <x:v>Cash</x:v>
      </x:c>
      <x:c r="U1434" t="str">
        <x:v>Paid</x:v>
      </x:c>
      <x:c r="V1434" t="str">
        <x:v>Delivered</x:v>
      </x:c>
      <x:c r="W1434" t="n">
        <x:v>0</x:v>
      </x:c>
      <x:c r="X1434" t="str"/>
      <x:c r="Y1434" t="str">
        <x:v>Outbound Call</x:v>
      </x:c>
    </x:row>
    <x:row r="1435">
      <x:c r="A1435" t="str">
        <x:v>O001434</x:v>
      </x:c>
      <x:c r="B1435" s="20" t="n">
        <x:v>45743</x:v>
      </x:c>
      <x:c r="C1435" t="str">
        <x:v>C0186</x:v>
      </x:c>
      <x:c r="D1435" t="str">
        <x:v>Namma Stores 186</x:v>
      </x:c>
      <x:c r="E1435" t="str">
        <x:v>Supermarket</x:v>
      </x:c>
      <x:c r="F1435" t="str">
        <x:v>Mysuru</x:v>
      </x:c>
      <x:c r="G1435" t="str">
        <x:v>Vikram</x:v>
      </x:c>
      <x:c r="H1435" t="str">
        <x:v>P002</x:v>
      </x:c>
      <x:c r="I1435" t="str">
        <x:v>Sona Masoori Rice 25kg</x:v>
      </x:c>
      <x:c r="J1435" t="str">
        <x:v>Staples</x:v>
      </x:c>
      <x:c r="K1435" t="str">
        <x:v>Fortune</x:v>
      </x:c>
      <x:c r="L1435" s="22" t="n">
        <x:v>1320</x:v>
      </x:c>
      <x:c r="M1435" t="n">
        <x:v>3</x:v>
      </x:c>
      <x:c r="N1435" s="24" t="n">
        <x:v>0.05</x:v>
      </x:c>
      <x:c r="O1435" s="22" t="n">
        <x:f>L1435*M1435</x:f>
        <x:v>3960</x:v>
      </x:c>
      <x:c r="P1435" s="22" t="n">
        <x:f>O1435*(1-N1435)</x:f>
        <x:v>3762</x:v>
      </x:c>
      <x:c r="Q1435" s="22" t="n">
        <x:v>1160</x:v>
      </x:c>
      <x:c r="R1435" s="22" t="n">
        <x:f>Q1435*M1435</x:f>
        <x:v>3480</x:v>
      </x:c>
      <x:c r="S1435" s="22" t="n">
        <x:f>P1435-R1435</x:f>
        <x:v>282</x:v>
      </x:c>
      <x:c r="T1435" t="str">
        <x:v>UPI</x:v>
      </x:c>
      <x:c r="U1435" t="str">
        <x:v>Paid</x:v>
      </x:c>
      <x:c r="V1435" t="str">
        <x:v>Delivered</x:v>
      </x:c>
      <x:c r="W1435" t="n">
        <x:v>0</x:v>
      </x:c>
      <x:c r="X1435" t="str"/>
      <x:c r="Y1435" t="str">
        <x:v>Outbound Call</x:v>
      </x:c>
    </x:row>
    <x:row r="1436">
      <x:c r="A1436" t="str">
        <x:v>O001435</x:v>
      </x:c>
      <x:c r="B1436" s="20" t="n">
        <x:v>46038</x:v>
      </x:c>
      <x:c r="C1436" t="str">
        <x:v>C0229</x:v>
      </x:c>
      <x:c r="D1436" t="str">
        <x:v>Namma Canteen 229</x:v>
      </x:c>
      <x:c r="E1436" t="str">
        <x:v>Restaurant</x:v>
      </x:c>
      <x:c r="F1436" t="str">
        <x:v>Bengaluru</x:v>
      </x:c>
      <x:c r="G1436" t="str">
        <x:v>Arjun</x:v>
      </x:c>
      <x:c r="H1436" t="str">
        <x:v>P035</x:v>
      </x:c>
      <x:c r="I1436" t="str">
        <x:v>Coriander Powder 1kg</x:v>
      </x:c>
      <x:c r="J1436" t="str">
        <x:v>Spices</x:v>
      </x:c>
      <x:c r="K1436" t="str">
        <x:v>Everest</x:v>
      </x:c>
      <x:c r="L1436" s="22" t="n">
        <x:v>280</x:v>
      </x:c>
      <x:c r="M1436" t="n">
        <x:v>4</x:v>
      </x:c>
      <x:c r="N1436" s="24" t="n">
        <x:v>0.05</x:v>
      </x:c>
      <x:c r="O1436" s="22" t="n">
        <x:f>L1436*M1436</x:f>
        <x:v>1120</x:v>
      </x:c>
      <x:c r="P1436" s="22" t="n">
        <x:f>O1436*(1-N1436)</x:f>
        <x:v>1064</x:v>
      </x:c>
      <x:c r="Q1436" s="22" t="n">
        <x:v>245</x:v>
      </x:c>
      <x:c r="R1436" s="22" t="n">
        <x:f>Q1436*M1436</x:f>
        <x:v>980</x:v>
      </x:c>
      <x:c r="S1436" s="22" t="n">
        <x:f>P1436-R1436</x:f>
        <x:v>84</x:v>
      </x:c>
      <x:c r="T1436" t="str">
        <x:v>UPI</x:v>
      </x:c>
      <x:c r="U1436" t="str">
        <x:v>Paid</x:v>
      </x:c>
      <x:c r="V1436" t="str">
        <x:v>Delivered</x:v>
      </x:c>
      <x:c r="W1436" t="n">
        <x:v>0</x:v>
      </x:c>
      <x:c r="X1436" t="str"/>
      <x:c r="Y1436" t="str">
        <x:v>Outbound Call</x:v>
      </x:c>
    </x:row>
    <x:row r="1437">
      <x:c r="A1437" t="str">
        <x:v>O001436</x:v>
      </x:c>
      <x:c r="B1437" s="20" t="n">
        <x:v>45954</x:v>
      </x:c>
      <x:c r="C1437" t="str">
        <x:v>C0130</x:v>
      </x:c>
      <x:c r="D1437" t="str">
        <x:v>Foodie Cafe 130</x:v>
      </x:c>
      <x:c r="E1437" t="str">
        <x:v>Restaurant</x:v>
      </x:c>
      <x:c r="F1437" t="str">
        <x:v>Davanagere</x:v>
      </x:c>
      <x:c r="G1437" t="str">
        <x:v>Megha</x:v>
      </x:c>
      <x:c r="H1437" t="str">
        <x:v>P042</x:v>
      </x:c>
      <x:c r="I1437" t="str">
        <x:v>Eggs 30pc Tray</x:v>
      </x:c>
      <x:c r="J1437" t="str">
        <x:v>Protein</x:v>
      </x:c>
      <x:c r="K1437" t="str">
        <x:v>Farm Fresh</x:v>
      </x:c>
      <x:c r="L1437" s="22" t="n">
        <x:v>195</x:v>
      </x:c>
      <x:c r="M1437" t="n">
        <x:v>19</x:v>
      </x:c>
      <x:c r="N1437" s="24" t="n">
        <x:v>0.02</x:v>
      </x:c>
      <x:c r="O1437" s="22" t="n">
        <x:f>L1437*M1437</x:f>
        <x:v>3705</x:v>
      </x:c>
      <x:c r="P1437" s="22" t="n">
        <x:f>O1437*(1-N1437)</x:f>
        <x:v>3630.9</x:v>
      </x:c>
      <x:c r="Q1437" s="22" t="n">
        <x:v>170</x:v>
      </x:c>
      <x:c r="R1437" s="22" t="n">
        <x:f>Q1437*M1437</x:f>
        <x:v>3230</x:v>
      </x:c>
      <x:c r="S1437" s="22" t="n">
        <x:f>P1437-R1437</x:f>
        <x:v>400.9000000000001</x:v>
      </x:c>
      <x:c r="T1437" t="str">
        <x:v>UPI</x:v>
      </x:c>
      <x:c r="U1437" t="str">
        <x:v>Paid</x:v>
      </x:c>
      <x:c r="V1437" t="str">
        <x:v>Delivered</x:v>
      </x:c>
      <x:c r="W1437" t="n">
        <x:v>0</x:v>
      </x:c>
      <x:c r="X1437" t="str"/>
      <x:c r="Y1437" t="str">
        <x:v>Existing Customer</x:v>
      </x:c>
    </x:row>
    <x:row r="1438">
      <x:c r="A1438" t="str">
        <x:v>O001437</x:v>
      </x:c>
      <x:c r="B1438" s="20" t="n">
        <x:v>46192</x:v>
      </x:c>
      <x:c r="C1438" t="str">
        <x:v>C0074</x:v>
      </x:c>
      <x:c r="D1438" t="str">
        <x:v>Foodie Hotel 74</x:v>
      </x:c>
      <x:c r="E1438" t="str">
        <x:v>Restaurant</x:v>
      </x:c>
      <x:c r="F1438" t="str">
        <x:v>Mysuru</x:v>
      </x:c>
      <x:c r="G1438" t="str">
        <x:v>Vikram</x:v>
      </x:c>
      <x:c r="H1438" t="str">
        <x:v>P032</x:v>
      </x:c>
      <x:c r="I1438" t="str">
        <x:v>Soy Sauce 700g</x:v>
      </x:c>
      <x:c r="J1438" t="str">
        <x:v>Condiments</x:v>
      </x:c>
      <x:c r="K1438" t="str">
        <x:v>Ching's</x:v>
      </x:c>
      <x:c r="L1438" s="22" t="n">
        <x:v>118</x:v>
      </x:c>
      <x:c r="M1438" t="n">
        <x:v>5</x:v>
      </x:c>
      <x:c r="N1438" s="24" t="n">
        <x:v>0</x:v>
      </x:c>
      <x:c r="O1438" s="22" t="n">
        <x:f>L1438*M1438</x:f>
        <x:v>590</x:v>
      </x:c>
      <x:c r="P1438" s="22" t="n">
        <x:f>O1438*(1-N1438)</x:f>
        <x:v>590</x:v>
      </x:c>
      <x:c r="Q1438" s="22" t="n">
        <x:v>101</x:v>
      </x:c>
      <x:c r="R1438" s="22" t="n">
        <x:f>Q1438*M1438</x:f>
        <x:v>505</x:v>
      </x:c>
      <x:c r="S1438" s="22" t="n">
        <x:f>P1438-R1438</x:f>
        <x:v>85</x:v>
      </x:c>
      <x:c r="T1438" t="str">
        <x:v>Cash</x:v>
      </x:c>
      <x:c r="U1438" t="str">
        <x:v>Paid</x:v>
      </x:c>
      <x:c r="V1438" t="str">
        <x:v>Delivered</x:v>
      </x:c>
      <x:c r="W1438" t="n">
        <x:v>0</x:v>
      </x:c>
      <x:c r="X1438" t="str"/>
      <x:c r="Y1438" t="str">
        <x:v>WhatsApp</x:v>
      </x:c>
    </x:row>
    <x:row r="1439">
      <x:c r="A1439" t="str">
        <x:v>O001438</x:v>
      </x:c>
      <x:c r="B1439" s="20" t="n">
        <x:v>45684</x:v>
      </x:c>
      <x:c r="C1439" t="str">
        <x:v>C0112</x:v>
      </x:c>
      <x:c r="D1439" t="str">
        <x:v>Cafe Hotel 112</x:v>
      </x:c>
      <x:c r="E1439" t="str">
        <x:v>Hotel</x:v>
      </x:c>
      <x:c r="F1439" t="str">
        <x:v>Mangaluru</x:v>
      </x:c>
      <x:c r="G1439" t="str">
        <x:v>Kavya</x:v>
      </x:c>
      <x:c r="H1439" t="str">
        <x:v>P030</x:v>
      </x:c>
      <x:c r="I1439" t="str">
        <x:v>Mayonnaise 1kg</x:v>
      </x:c>
      <x:c r="J1439" t="str">
        <x:v>Condiments</x:v>
      </x:c>
      <x:c r="K1439" t="str">
        <x:v>Veeba</x:v>
      </x:c>
      <x:c r="L1439" s="22" t="n">
        <x:v>210</x:v>
      </x:c>
      <x:c r="M1439" t="n">
        <x:v>3</x:v>
      </x:c>
      <x:c r="N1439" s="24" t="n">
        <x:v>0.03</x:v>
      </x:c>
      <x:c r="O1439" s="22" t="n">
        <x:f>L1439*M1439</x:f>
        <x:v>630</x:v>
      </x:c>
      <x:c r="P1439" s="22" t="n">
        <x:f>O1439*(1-N1439)</x:f>
        <x:v>611.1</x:v>
      </x:c>
      <x:c r="Q1439" s="22" t="n">
        <x:v>185</x:v>
      </x:c>
      <x:c r="R1439" s="22" t="n">
        <x:f>Q1439*M1439</x:f>
        <x:v>555</x:v>
      </x:c>
      <x:c r="S1439" s="22" t="n">
        <x:f>P1439-R1439</x:f>
        <x:v>56.10000000000002</x:v>
      </x:c>
      <x:c r="T1439" t="str">
        <x:v>UPI</x:v>
      </x:c>
      <x:c r="U1439" t="str">
        <x:v>Paid</x:v>
      </x:c>
      <x:c r="V1439" t="str">
        <x:v>Delivered</x:v>
      </x:c>
      <x:c r="W1439" t="n">
        <x:v>0</x:v>
      </x:c>
      <x:c r="X1439" t="str"/>
      <x:c r="Y1439" t="str">
        <x:v>Field Visit</x:v>
      </x:c>
    </x:row>
    <x:row r="1440">
      <x:c r="A1440" t="str">
        <x:v>O001439</x:v>
      </x:c>
      <x:c r="B1440" s="20" t="n">
        <x:v>45939</x:v>
      </x:c>
      <x:c r="C1440" t="str">
        <x:v>C0186</x:v>
      </x:c>
      <x:c r="D1440" t="str">
        <x:v>Namma Stores 186</x:v>
      </x:c>
      <x:c r="E1440" t="str">
        <x:v>Supermarket</x:v>
      </x:c>
      <x:c r="F1440" t="str">
        <x:v>Mysuru</x:v>
      </x:c>
      <x:c r="G1440" t="str">
        <x:v>Vikram</x:v>
      </x:c>
      <x:c r="H1440" t="str">
        <x:v>P034</x:v>
      </x:c>
      <x:c r="I1440" t="str">
        <x:v>Chilli Powder 1kg</x:v>
      </x:c>
      <x:c r="J1440" t="str">
        <x:v>Spices</x:v>
      </x:c>
      <x:c r="K1440" t="str">
        <x:v>MDH</x:v>
      </x:c>
      <x:c r="L1440" s="22" t="n">
        <x:v>340</x:v>
      </x:c>
      <x:c r="M1440" t="n">
        <x:v>34</x:v>
      </x:c>
      <x:c r="N1440" s="24" t="n">
        <x:v>0</x:v>
      </x:c>
      <x:c r="O1440" s="22" t="n">
        <x:f>L1440*M1440</x:f>
        <x:v>11560</x:v>
      </x:c>
      <x:c r="P1440" s="22" t="n">
        <x:f>O1440*(1-N1440)</x:f>
        <x:v>11560</x:v>
      </x:c>
      <x:c r="Q1440" s="22" t="n">
        <x:v>295</x:v>
      </x:c>
      <x:c r="R1440" s="22" t="n">
        <x:f>Q1440*M1440</x:f>
        <x:v>10030</x:v>
      </x:c>
      <x:c r="S1440" s="22" t="n">
        <x:f>P1440-R1440</x:f>
        <x:v>1530</x:v>
      </x:c>
      <x:c r="T1440" t="str">
        <x:v>Credit</x:v>
      </x:c>
      <x:c r="U1440" t="str">
        <x:v>Paid</x:v>
      </x:c>
      <x:c r="V1440" t="str">
        <x:v>Delivered</x:v>
      </x:c>
      <x:c r="W1440" t="n">
        <x:v>0</x:v>
      </x:c>
      <x:c r="X1440" t="str"/>
      <x:c r="Y1440" t="str">
        <x:v>Field Visit</x:v>
      </x:c>
    </x:row>
    <x:row r="1441">
      <x:c r="A1441" t="str">
        <x:v>O001440</x:v>
      </x:c>
      <x:c r="B1441" s="20" t="n">
        <x:v>45708</x:v>
      </x:c>
      <x:c r="C1441" t="str">
        <x:v>C0083</x:v>
      </x:c>
      <x:c r="D1441" t="str">
        <x:v>Sri Cafe 83</x:v>
      </x:c>
      <x:c r="E1441" t="str">
        <x:v>Hotel</x:v>
      </x:c>
      <x:c r="F1441" t="str">
        <x:v>Davanagere</x:v>
      </x:c>
      <x:c r="G1441" t="str">
        <x:v>Ramesh</x:v>
      </x:c>
      <x:c r="H1441" t="str">
        <x:v>P024</x:v>
      </x:c>
      <x:c r="I1441" t="str">
        <x:v>Orange Drink 1L</x:v>
      </x:c>
      <x:c r="J1441" t="str">
        <x:v>Beverage</x:v>
      </x:c>
      <x:c r="K1441" t="str">
        <x:v>Minute Maid</x:v>
      </x:c>
      <x:c r="L1441" s="22" t="n">
        <x:v>105</x:v>
      </x:c>
      <x:c r="M1441" t="n">
        <x:v>24</x:v>
      </x:c>
      <x:c r="N1441" s="24" t="n">
        <x:v>0.02</x:v>
      </x:c>
      <x:c r="O1441" s="22" t="n">
        <x:f>L1441*M1441</x:f>
        <x:v>2520</x:v>
      </x:c>
      <x:c r="P1441" s="22" t="n">
        <x:f>O1441*(1-N1441)</x:f>
        <x:v>2469.6</x:v>
      </x:c>
      <x:c r="Q1441" s="22" t="n">
        <x:v>88</x:v>
      </x:c>
      <x:c r="R1441" s="22" t="n">
        <x:f>Q1441*M1441</x:f>
        <x:v>2112</x:v>
      </x:c>
      <x:c r="S1441" s="22" t="n">
        <x:f>P1441-R1441</x:f>
        <x:v>357.5999999999999</x:v>
      </x:c>
      <x:c r="T1441" t="str">
        <x:v>Bank Transfer</x:v>
      </x:c>
      <x:c r="U1441" t="str">
        <x:v>Pending</x:v>
      </x:c>
      <x:c r="V1441" t="str">
        <x:v>Delivered</x:v>
      </x:c>
      <x:c r="W1441" t="n">
        <x:v>0</x:v>
      </x:c>
      <x:c r="X1441" t="str"/>
      <x:c r="Y1441" t="str">
        <x:v>Existing Customer</x:v>
      </x:c>
    </x:row>
    <x:row r="1442">
      <x:c r="A1442" t="str">
        <x:v>O001441</x:v>
      </x:c>
      <x:c r="B1442" s="20" t="n">
        <x:v>45712</x:v>
      </x:c>
      <x:c r="C1442" t="str">
        <x:v>C0161</x:v>
      </x:c>
      <x:c r="D1442" t="str">
        <x:v>Hotel Kitchen 161</x:v>
      </x:c>
      <x:c r="E1442" t="str">
        <x:v>Supermarket</x:v>
      </x:c>
      <x:c r="F1442" t="str">
        <x:v>Mysuru</x:v>
      </x:c>
      <x:c r="G1442" t="str">
        <x:v>Sneha</x:v>
      </x:c>
      <x:c r="H1442" t="str">
        <x:v>P031</x:v>
      </x:c>
      <x:c r="I1442" t="str">
        <x:v>Chilli Sauce 700g</x:v>
      </x:c>
      <x:c r="J1442" t="str">
        <x:v>Condiments</x:v>
      </x:c>
      <x:c r="K1442" t="str">
        <x:v>Ching's</x:v>
      </x:c>
      <x:c r="L1442" s="22" t="n">
        <x:v>130</x:v>
      </x:c>
      <x:c r="M1442" t="n">
        <x:v>27</x:v>
      </x:c>
      <x:c r="N1442" s="24" t="n">
        <x:v>0</x:v>
      </x:c>
      <x:c r="O1442" s="22" t="n">
        <x:f>L1442*M1442</x:f>
        <x:v>3510</x:v>
      </x:c>
      <x:c r="P1442" s="22" t="n">
        <x:f>O1442*(1-N1442)</x:f>
        <x:v>3510</x:v>
      </x:c>
      <x:c r="Q1442" s="22" t="n">
        <x:v>112</x:v>
      </x:c>
      <x:c r="R1442" s="22" t="n">
        <x:f>Q1442*M1442</x:f>
        <x:v>3024</x:v>
      </x:c>
      <x:c r="S1442" s="22" t="n">
        <x:f>P1442-R1442</x:f>
        <x:v>486</x:v>
      </x:c>
      <x:c r="T1442" t="str">
        <x:v>Credit</x:v>
      </x:c>
      <x:c r="U1442" t="str">
        <x:v>Paid</x:v>
      </x:c>
      <x:c r="V1442" t="str">
        <x:v>Delayed</x:v>
      </x:c>
      <x:c r="W1442" t="n">
        <x:v>0</x:v>
      </x:c>
      <x:c r="X1442" t="str"/>
      <x:c r="Y1442" t="str">
        <x:v>Existing Customer</x:v>
      </x:c>
    </x:row>
    <x:row r="1443">
      <x:c r="A1443" t="str">
        <x:v>O001442</x:v>
      </x:c>
      <x:c r="B1443" s="20" t="n">
        <x:v>46196</x:v>
      </x:c>
      <x:c r="C1443" t="str">
        <x:v>C0091</x:v>
      </x:c>
      <x:c r="D1443" t="str">
        <x:v>Classic Mart 91</x:v>
      </x:c>
      <x:c r="E1443" t="str">
        <x:v>Cafe</x:v>
      </x:c>
      <x:c r="F1443" t="str">
        <x:v>Mangaluru</x:v>
      </x:c>
      <x:c r="G1443" t="str">
        <x:v>Kavya</x:v>
      </x:c>
      <x:c r="H1443" t="str">
        <x:v>P002</x:v>
      </x:c>
      <x:c r="I1443" t="str">
        <x:v>Sona Masoori Rice 25kg</x:v>
      </x:c>
      <x:c r="J1443" t="str">
        <x:v>Staples</x:v>
      </x:c>
      <x:c r="K1443" t="str">
        <x:v>Fortune</x:v>
      </x:c>
      <x:c r="L1443" s="22" t="n">
        <x:v>1320</x:v>
      </x:c>
      <x:c r="M1443" t="n">
        <x:v>3</x:v>
      </x:c>
      <x:c r="N1443" s="24" t="n">
        <x:v>0</x:v>
      </x:c>
      <x:c r="O1443" s="22" t="n">
        <x:f>L1443*M1443</x:f>
        <x:v>3960</x:v>
      </x:c>
      <x:c r="P1443" s="22" t="n">
        <x:f>O1443*(1-N1443)</x:f>
        <x:v>3960</x:v>
      </x:c>
      <x:c r="Q1443" s="22" t="n">
        <x:v>1160</x:v>
      </x:c>
      <x:c r="R1443" s="22" t="n">
        <x:f>Q1443*M1443</x:f>
        <x:v>3480</x:v>
      </x:c>
      <x:c r="S1443" s="22" t="n">
        <x:f>P1443-R1443</x:f>
        <x:v>480</x:v>
      </x:c>
      <x:c r="T1443" t="str">
        <x:v>Cash</x:v>
      </x:c>
      <x:c r="U1443" t="str">
        <x:v>Pending</x:v>
      </x:c>
      <x:c r="V1443" t="str">
        <x:v>Delivered</x:v>
      </x:c>
      <x:c r="W1443" t="n">
        <x:v>0</x:v>
      </x:c>
      <x:c r="X1443" t="str"/>
      <x:c r="Y1443" t="str">
        <x:v>Field Visit</x:v>
      </x:c>
    </x:row>
    <x:row r="1444">
      <x:c r="A1444" t="str">
        <x:v>O001443</x:v>
      </x:c>
      <x:c r="B1444" s="20" t="n">
        <x:v>46199</x:v>
      </x:c>
      <x:c r="C1444" t="str">
        <x:v>C0032</x:v>
      </x:c>
      <x:c r="D1444" t="str">
        <x:v>Cafe Hotel 32</x:v>
      </x:c>
      <x:c r="E1444" t="str">
        <x:v>Canteen</x:v>
      </x:c>
      <x:c r="F1444" t="str">
        <x:v>Bengaluru</x:v>
      </x:c>
      <x:c r="G1444" t="str">
        <x:v>Sneha</x:v>
      </x:c>
      <x:c r="H1444" t="str">
        <x:v>P036</x:v>
      </x:c>
      <x:c r="I1444" t="str">
        <x:v>Garam Masala 500g</x:v>
      </x:c>
      <x:c r="J1444" t="str">
        <x:v>Spices</x:v>
      </x:c>
      <x:c r="K1444" t="str">
        <x:v>MDH</x:v>
      </x:c>
      <x:c r="L1444" s="22" t="n">
        <x:v>265</x:v>
      </x:c>
      <x:c r="M1444" t="n">
        <x:v>1</x:v>
      </x:c>
      <x:c r="N1444" s="24" t="n">
        <x:v>0.02</x:v>
      </x:c>
      <x:c r="O1444" s="22" t="n">
        <x:f>L1444*M1444</x:f>
        <x:v>265</x:v>
      </x:c>
      <x:c r="P1444" s="22" t="n">
        <x:f>O1444*(1-N1444)</x:f>
        <x:v>259.7</x:v>
      </x:c>
      <x:c r="Q1444" s="22" t="n">
        <x:v>230</x:v>
      </x:c>
      <x:c r="R1444" s="22" t="n">
        <x:f>Q1444*M1444</x:f>
        <x:v>230</x:v>
      </x:c>
      <x:c r="S1444" s="22" t="n">
        <x:f>P1444-R1444</x:f>
        <x:v>29.69999999999999</x:v>
      </x:c>
      <x:c r="T1444" t="str">
        <x:v>Cash</x:v>
      </x:c>
      <x:c r="U1444" t="str">
        <x:v>Overdue</x:v>
      </x:c>
      <x:c r="V1444" t="str">
        <x:v>Cancelled</x:v>
      </x:c>
      <x:c r="W1444" t="n">
        <x:v>1</x:v>
      </x:c>
      <x:c r="X1444" t="str">
        <x:v>Cancelled Order</x:v>
      </x:c>
      <x:c r="Y1444" t="str">
        <x:v>Referral</x:v>
      </x:c>
    </x:row>
    <x:row r="1445">
      <x:c r="A1445" t="str">
        <x:v>O001444</x:v>
      </x:c>
      <x:c r="B1445" s="20" t="n">
        <x:v>45912</x:v>
      </x:c>
      <x:c r="C1445" t="str">
        <x:v>C0122</x:v>
      </x:c>
      <x:c r="D1445" t="str">
        <x:v>Namma Restaurant 122</x:v>
      </x:c>
      <x:c r="E1445" t="str">
        <x:v>Kirana</x:v>
      </x:c>
      <x:c r="F1445" t="str">
        <x:v>Hubballi</x:v>
      </x:c>
      <x:c r="G1445" t="str">
        <x:v>Sneha</x:v>
      </x:c>
      <x:c r="H1445" t="str">
        <x:v>P032</x:v>
      </x:c>
      <x:c r="I1445" t="str">
        <x:v>Soy Sauce 700g</x:v>
      </x:c>
      <x:c r="J1445" t="str">
        <x:v>Condiments</x:v>
      </x:c>
      <x:c r="K1445" t="str">
        <x:v>Ching's</x:v>
      </x:c>
      <x:c r="L1445" s="22" t="n">
        <x:v>118</x:v>
      </x:c>
      <x:c r="M1445" t="n">
        <x:v>34</x:v>
      </x:c>
      <x:c r="N1445" s="24" t="n">
        <x:v>0</x:v>
      </x:c>
      <x:c r="O1445" s="22" t="n">
        <x:f>L1445*M1445</x:f>
        <x:v>4012</x:v>
      </x:c>
      <x:c r="P1445" s="22" t="n">
        <x:f>O1445*(1-N1445)</x:f>
        <x:v>4012</x:v>
      </x:c>
      <x:c r="Q1445" s="22" t="n">
        <x:v>101</x:v>
      </x:c>
      <x:c r="R1445" s="22" t="n">
        <x:f>Q1445*M1445</x:f>
        <x:v>3434</x:v>
      </x:c>
      <x:c r="S1445" s="22" t="n">
        <x:f>P1445-R1445</x:f>
        <x:v>578</x:v>
      </x:c>
      <x:c r="T1445" t="str">
        <x:v>Bank Transfer</x:v>
      </x:c>
      <x:c r="U1445" t="str">
        <x:v>Paid</x:v>
      </x:c>
      <x:c r="V1445" t="str">
        <x:v>Delivered</x:v>
      </x:c>
      <x:c r="W1445" t="n">
        <x:v>0</x:v>
      </x:c>
      <x:c r="X1445" t="str"/>
      <x:c r="Y1445" t="str">
        <x:v>Referral</x:v>
      </x:c>
    </x:row>
    <x:row r="1446">
      <x:c r="A1446" t="str">
        <x:v>O001445</x:v>
      </x:c>
      <x:c r="B1446" s="20" t="n">
        <x:v>46067</x:v>
      </x:c>
      <x:c r="C1446" t="str">
        <x:v>C0017</x:v>
      </x:c>
      <x:c r="D1446" t="str">
        <x:v>City Foods 17</x:v>
      </x:c>
      <x:c r="E1446" t="str">
        <x:v>Restaurant</x:v>
      </x:c>
      <x:c r="F1446" t="str">
        <x:v>Tumakuru</x:v>
      </x:c>
      <x:c r="G1446" t="str">
        <x:v>Imran</x:v>
      </x:c>
      <x:c r="H1446" t="str">
        <x:v>P010</x:v>
      </x:c>
      <x:c r="I1446" t="str">
        <x:v>Sugar 25kg</x:v>
      </x:c>
      <x:c r="J1446" t="str">
        <x:v>Staples</x:v>
      </x:c>
      <x:c r="K1446" t="str">
        <x:v>Madhur</x:v>
      </x:c>
      <x:c r="L1446" s="22" t="n">
        <x:v>1190</x:v>
      </x:c>
      <x:c r="M1446" t="n">
        <x:v>11</x:v>
      </x:c>
      <x:c r="N1446" s="24" t="n">
        <x:v>0.02</x:v>
      </x:c>
      <x:c r="O1446" s="22" t="n">
        <x:f>L1446*M1446</x:f>
        <x:v>13090</x:v>
      </x:c>
      <x:c r="P1446" s="22" t="n">
        <x:f>O1446*(1-N1446)</x:f>
        <x:v>12828.199999999999</x:v>
      </x:c>
      <x:c r="Q1446" s="22" t="n">
        <x:v>1080</x:v>
      </x:c>
      <x:c r="R1446" s="22" t="n">
        <x:f>Q1446*M1446</x:f>
        <x:v>11880</x:v>
      </x:c>
      <x:c r="S1446" s="22" t="n">
        <x:f>P1446-R1446</x:f>
        <x:v>948.1999999999989</x:v>
      </x:c>
      <x:c r="T1446" t="str">
        <x:v>Bank Transfer</x:v>
      </x:c>
      <x:c r="U1446" t="str">
        <x:v>Paid</x:v>
      </x:c>
      <x:c r="V1446" t="str">
        <x:v>Cancelled</x:v>
      </x:c>
      <x:c r="W1446" t="n">
        <x:v>11</x:v>
      </x:c>
      <x:c r="X1446" t="str">
        <x:v>Cancelled Order</x:v>
      </x:c>
      <x:c r="Y1446" t="str">
        <x:v>Field Visit</x:v>
      </x:c>
    </x:row>
    <x:row r="1447">
      <x:c r="A1447" t="str">
        <x:v>O001446</x:v>
      </x:c>
      <x:c r="B1447" s="20" t="n">
        <x:v>45906</x:v>
      </x:c>
      <x:c r="C1447" t="str">
        <x:v>C0041</x:v>
      </x:c>
      <x:c r="D1447" t="str">
        <x:v>Grand Mart 41</x:v>
      </x:c>
      <x:c r="E1447" t="str">
        <x:v>Cafe</x:v>
      </x:c>
      <x:c r="F1447" t="str">
        <x:v>Bengaluru</x:v>
      </x:c>
      <x:c r="G1447" t="str">
        <x:v>Kavya</x:v>
      </x:c>
      <x:c r="H1447" t="str">
        <x:v>P002</x:v>
      </x:c>
      <x:c r="I1447" t="str">
        <x:v>Sona Masoori Rice 25kg</x:v>
      </x:c>
      <x:c r="J1447" t="str">
        <x:v>Staples</x:v>
      </x:c>
      <x:c r="K1447" t="str">
        <x:v>Fortune</x:v>
      </x:c>
      <x:c r="L1447" s="22" t="n">
        <x:v>1320</x:v>
      </x:c>
      <x:c r="M1447" t="n">
        <x:v>12</x:v>
      </x:c>
      <x:c r="N1447" s="24" t="n">
        <x:v>0</x:v>
      </x:c>
      <x:c r="O1447" s="22" t="n">
        <x:f>L1447*M1447</x:f>
        <x:v>15840</x:v>
      </x:c>
      <x:c r="P1447" s="22" t="n">
        <x:f>O1447*(1-N1447)</x:f>
        <x:v>15840</x:v>
      </x:c>
      <x:c r="Q1447" s="22" t="n">
        <x:v>1160</x:v>
      </x:c>
      <x:c r="R1447" s="22" t="n">
        <x:f>Q1447*M1447</x:f>
        <x:v>13920</x:v>
      </x:c>
      <x:c r="S1447" s="22" t="n">
        <x:f>P1447-R1447</x:f>
        <x:v>1920</x:v>
      </x:c>
      <x:c r="T1447" t="str">
        <x:v>Credit</x:v>
      </x:c>
      <x:c r="U1447" t="str">
        <x:v>Paid</x:v>
      </x:c>
      <x:c r="V1447" t="str">
        <x:v>Delivered</x:v>
      </x:c>
      <x:c r="W1447" t="n">
        <x:v>0</x:v>
      </x:c>
      <x:c r="X1447" t="str"/>
      <x:c r="Y1447" t="str">
        <x:v>Field Visit</x:v>
      </x:c>
    </x:row>
    <x:row r="1448">
      <x:c r="A1448" t="str">
        <x:v>O001447</x:v>
      </x:c>
      <x:c r="B1448" s="20" t="n">
        <x:v>46057</x:v>
      </x:c>
      <x:c r="C1448" t="str">
        <x:v>C0224</x:v>
      </x:c>
      <x:c r="D1448" t="str">
        <x:v>Royal Foods 224</x:v>
      </x:c>
      <x:c r="E1448" t="str">
        <x:v>Canteen</x:v>
      </x:c>
      <x:c r="F1448" t="str">
        <x:v>Tumakuru</x:v>
      </x:c>
      <x:c r="G1448" t="str">
        <x:v>Arjun</x:v>
      </x:c>
      <x:c r="H1448" t="str">
        <x:v>P003</x:v>
      </x:c>
      <x:c r="I1448" t="str">
        <x:v>Basmati Rice 5kg</x:v>
      </x:c>
      <x:c r="J1448" t="str">
        <x:v>Staples</x:v>
      </x:c>
      <x:c r="K1448" t="str">
        <x:v>India Gate</x:v>
      </x:c>
      <x:c r="L1448" s="22" t="n">
        <x:v>690</x:v>
      </x:c>
      <x:c r="M1448" t="n">
        <x:v>19</x:v>
      </x:c>
      <x:c r="N1448" s="24" t="n">
        <x:v>0.08</x:v>
      </x:c>
      <x:c r="O1448" s="22" t="n">
        <x:f>L1448*M1448</x:f>
        <x:v>13110</x:v>
      </x:c>
      <x:c r="P1448" s="22" t="n">
        <x:f>O1448*(1-N1448)</x:f>
        <x:v>12061.2</x:v>
      </x:c>
      <x:c r="Q1448" s="22" t="n">
        <x:v>610</x:v>
      </x:c>
      <x:c r="R1448" s="22" t="n">
        <x:f>Q1448*M1448</x:f>
        <x:v>11590</x:v>
      </x:c>
      <x:c r="S1448" s="22" t="n">
        <x:f>P1448-R1448</x:f>
        <x:v>471.2000000000007</x:v>
      </x:c>
      <x:c r="T1448" t="str">
        <x:v>Credit</x:v>
      </x:c>
      <x:c r="U1448" t="str">
        <x:v>Paid</x:v>
      </x:c>
      <x:c r="V1448" t="str">
        <x:v>Delivered</x:v>
      </x:c>
      <x:c r="W1448" t="n">
        <x:v>0</x:v>
      </x:c>
      <x:c r="X1448" t="str"/>
      <x:c r="Y1448" t="str">
        <x:v>Outbound Call</x:v>
      </x:c>
    </x:row>
    <x:row r="1449">
      <x:c r="A1449" t="str">
        <x:v>O001448</x:v>
      </x:c>
      <x:c r="B1449" s="20" t="n">
        <x:v>46035</x:v>
      </x:c>
      <x:c r="C1449" t="str">
        <x:v>C0202</x:v>
      </x:c>
      <x:c r="D1449" t="str">
        <x:v>Sagar Foods 202</x:v>
      </x:c>
      <x:c r="E1449" t="str">
        <x:v>Restaurant</x:v>
      </x:c>
      <x:c r="F1449" t="str">
        <x:v>Mangaluru</x:v>
      </x:c>
      <x:c r="G1449" t="str">
        <x:v>Kavya</x:v>
      </x:c>
      <x:c r="H1449" t="str">
        <x:v>P015</x:v>
      </x:c>
      <x:c r="I1449" t="str">
        <x:v>Milk 1L</x:v>
      </x:c>
      <x:c r="J1449" t="str">
        <x:v>Dairy</x:v>
      </x:c>
      <x:c r="K1449" t="str">
        <x:v>Nandini</x:v>
      </x:c>
      <x:c r="L1449" s="22" t="n">
        <x:v>48</x:v>
      </x:c>
      <x:c r="M1449" t="n">
        <x:v>22</x:v>
      </x:c>
      <x:c r="N1449" s="24" t="n">
        <x:v>0.03</x:v>
      </x:c>
      <x:c r="O1449" s="22" t="n">
        <x:f>L1449*M1449</x:f>
        <x:v>1056</x:v>
      </x:c>
      <x:c r="P1449" s="22" t="n">
        <x:f>O1449*(1-N1449)</x:f>
        <x:v>1024.32</x:v>
      </x:c>
      <x:c r="Q1449" s="22" t="n">
        <x:v>43</x:v>
      </x:c>
      <x:c r="R1449" s="22" t="n">
        <x:f>Q1449*M1449</x:f>
        <x:v>946</x:v>
      </x:c>
      <x:c r="S1449" s="22" t="n">
        <x:f>P1449-R1449</x:f>
        <x:v>78.31999999999994</x:v>
      </x:c>
      <x:c r="T1449" t="str">
        <x:v>Bank Transfer</x:v>
      </x:c>
      <x:c r="U1449" t="str">
        <x:v>Paid</x:v>
      </x:c>
      <x:c r="V1449" t="str">
        <x:v>Cancelled</x:v>
      </x:c>
      <x:c r="W1449" t="n">
        <x:v>22</x:v>
      </x:c>
      <x:c r="X1449" t="str">
        <x:v>Cancelled Order</x:v>
      </x:c>
      <x:c r="Y1449" t="str">
        <x:v>Outbound Call</x:v>
      </x:c>
    </x:row>
    <x:row r="1450">
      <x:c r="A1450" t="str">
        <x:v>O001449</x:v>
      </x:c>
      <x:c r="B1450" s="20" t="n">
        <x:v>45973</x:v>
      </x:c>
      <x:c r="C1450" t="str">
        <x:v>C0121</x:v>
      </x:c>
      <x:c r="D1450" t="str">
        <x:v>Mysore Restaurant 121</x:v>
      </x:c>
      <x:c r="E1450" t="str">
        <x:v>Cafe</x:v>
      </x:c>
      <x:c r="F1450" t="str">
        <x:v>Mysuru</x:v>
      </x:c>
      <x:c r="G1450" t="str">
        <x:v>Sneha</x:v>
      </x:c>
      <x:c r="H1450" t="str">
        <x:v>P025</x:v>
      </x:c>
      <x:c r="I1450" t="str">
        <x:v>Potato Chips 100g</x:v>
      </x:c>
      <x:c r="J1450" t="str">
        <x:v>Snacks</x:v>
      </x:c>
      <x:c r="K1450" t="str">
        <x:v>Lay's</x:v>
      </x:c>
      <x:c r="L1450" s="22" t="n">
        <x:v>35</x:v>
      </x:c>
      <x:c r="M1450" t="n">
        <x:v>27</x:v>
      </x:c>
      <x:c r="N1450" s="24" t="n">
        <x:v>0.05</x:v>
      </x:c>
      <x:c r="O1450" s="22" t="n">
        <x:f>L1450*M1450</x:f>
        <x:v>945</x:v>
      </x:c>
      <x:c r="P1450" s="22" t="n">
        <x:f>O1450*(1-N1450)</x:f>
        <x:v>897.75</x:v>
      </x:c>
      <x:c r="Q1450" s="22" t="n">
        <x:v>27</x:v>
      </x:c>
      <x:c r="R1450" s="22" t="n">
        <x:f>Q1450*M1450</x:f>
        <x:v>729</x:v>
      </x:c>
      <x:c r="S1450" s="22" t="n">
        <x:f>P1450-R1450</x:f>
        <x:v>168.75</x:v>
      </x:c>
      <x:c r="T1450" t="str">
        <x:v>Cash</x:v>
      </x:c>
      <x:c r="U1450" t="str">
        <x:v>Paid</x:v>
      </x:c>
      <x:c r="V1450" t="str">
        <x:v>Delayed</x:v>
      </x:c>
      <x:c r="W1450" t="n">
        <x:v>0</x:v>
      </x:c>
      <x:c r="X1450" t="str"/>
      <x:c r="Y1450" t="str">
        <x:v>Existing Customer</x:v>
      </x:c>
    </x:row>
    <x:row r="1451">
      <x:c r="A1451" t="str">
        <x:v>O001450</x:v>
      </x:c>
      <x:c r="B1451" s="20" t="n">
        <x:v>45889</x:v>
      </x:c>
      <x:c r="C1451" t="str">
        <x:v>C0006</x:v>
      </x:c>
      <x:c r="D1451" t="str">
        <x:v>New Restaurant 6</x:v>
      </x:c>
      <x:c r="E1451" t="str">
        <x:v>Kirana</x:v>
      </x:c>
      <x:c r="F1451" t="str">
        <x:v>Hubballi</x:v>
      </x:c>
      <x:c r="G1451" t="str">
        <x:v>Vikram</x:v>
      </x:c>
      <x:c r="H1451" t="str">
        <x:v>P050</x:v>
      </x:c>
      <x:c r="I1451" t="str">
        <x:v>Lemon 5kg</x:v>
      </x:c>
      <x:c r="J1451" t="str">
        <x:v>Fresh Produce</x:v>
      </x:c>
      <x:c r="K1451" t="str">
        <x:v>Local Market</x:v>
      </x:c>
      <x:c r="L1451" s="22" t="n">
        <x:v>360</x:v>
      </x:c>
      <x:c r="M1451" t="n">
        <x:v>7</x:v>
      </x:c>
      <x:c r="N1451" s="24" t="n">
        <x:v>0.02</x:v>
      </x:c>
      <x:c r="O1451" s="22" t="n">
        <x:f>L1451*M1451</x:f>
        <x:v>2520</x:v>
      </x:c>
      <x:c r="P1451" s="22" t="n">
        <x:f>O1451*(1-N1451)</x:f>
        <x:v>2469.6</x:v>
      </x:c>
      <x:c r="Q1451" s="22" t="n">
        <x:v>300</x:v>
      </x:c>
      <x:c r="R1451" s="22" t="n">
        <x:f>Q1451*M1451</x:f>
        <x:v>2100</x:v>
      </x:c>
      <x:c r="S1451" s="22" t="n">
        <x:f>P1451-R1451</x:f>
        <x:v>369.5999999999999</x:v>
      </x:c>
      <x:c r="T1451" t="str">
        <x:v>Bank Transfer</x:v>
      </x:c>
      <x:c r="U1451" t="str">
        <x:v>Pending</x:v>
      </x:c>
      <x:c r="V1451" t="str">
        <x:v>Delivered</x:v>
      </x:c>
      <x:c r="W1451" t="n">
        <x:v>0</x:v>
      </x:c>
      <x:c r="X1451" t="str"/>
      <x:c r="Y1451" t="str">
        <x:v>Referral</x:v>
      </x:c>
    </x:row>
    <x:row r="1452">
      <x:c r="A1452" t="str">
        <x:v>O001451</x:v>
      </x:c>
      <x:c r="B1452" s="20" t="n">
        <x:v>45721</x:v>
      </x:c>
      <x:c r="C1452" t="str">
        <x:v>C0213</x:v>
      </x:c>
      <x:c r="D1452" t="str">
        <x:v>Shree Cafe 213</x:v>
      </x:c>
      <x:c r="E1452" t="str">
        <x:v>Cafe</x:v>
      </x:c>
      <x:c r="F1452" t="str">
        <x:v>Tumakuru</x:v>
      </x:c>
      <x:c r="G1452" t="str">
        <x:v>Imran</x:v>
      </x:c>
      <x:c r="H1452" t="str">
        <x:v>P045</x:v>
      </x:c>
      <x:c r="I1452" t="str">
        <x:v>Onion 25kg</x:v>
      </x:c>
      <x:c r="J1452" t="str">
        <x:v>Fresh Produce</x:v>
      </x:c>
      <x:c r="K1452" t="str">
        <x:v>Local Market</x:v>
      </x:c>
      <x:c r="L1452" s="22" t="n">
        <x:v>875</x:v>
      </x:c>
      <x:c r="M1452" t="n">
        <x:v>22</x:v>
      </x:c>
      <x:c r="N1452" s="24" t="n">
        <x:v>0</x:v>
      </x:c>
      <x:c r="O1452" s="22" t="n">
        <x:f>L1452*M1452</x:f>
        <x:v>19250</x:v>
      </x:c>
      <x:c r="P1452" s="22" t="n">
        <x:f>O1452*(1-N1452)</x:f>
        <x:v>19250</x:v>
      </x:c>
      <x:c r="Q1452" s="22" t="n">
        <x:v>760</x:v>
      </x:c>
      <x:c r="R1452" s="22" t="n">
        <x:f>Q1452*M1452</x:f>
        <x:v>16720</x:v>
      </x:c>
      <x:c r="S1452" s="22" t="n">
        <x:f>P1452-R1452</x:f>
        <x:v>2530</x:v>
      </x:c>
      <x:c r="T1452" t="str">
        <x:v>UPI</x:v>
      </x:c>
      <x:c r="U1452" t="str">
        <x:v>Overdue</x:v>
      </x:c>
      <x:c r="V1452" t="str">
        <x:v>Delivered</x:v>
      </x:c>
      <x:c r="W1452" t="n">
        <x:v>0</x:v>
      </x:c>
      <x:c r="X1452" t="str"/>
      <x:c r="Y1452" t="str">
        <x:v>Referral</x:v>
      </x:c>
    </x:row>
    <x:row r="1453">
      <x:c r="A1453" t="str">
        <x:v>O001452</x:v>
      </x:c>
      <x:c r="B1453" s="20" t="n">
        <x:v>45856</x:v>
      </x:c>
      <x:c r="C1453" t="str">
        <x:v>C0196</x:v>
      </x:c>
      <x:c r="D1453" t="str">
        <x:v>Namma Mart 196</x:v>
      </x:c>
      <x:c r="E1453" t="str">
        <x:v>Cafe</x:v>
      </x:c>
      <x:c r="F1453" t="str">
        <x:v>Mangaluru</x:v>
      </x:c>
      <x:c r="G1453" t="str">
        <x:v>Kavya</x:v>
      </x:c>
      <x:c r="H1453" t="str">
        <x:v>P023</x:v>
      </x:c>
      <x:c r="I1453" t="str">
        <x:v>Cola 750ml</x:v>
      </x:c>
      <x:c r="J1453" t="str">
        <x:v>Beverage</x:v>
      </x:c>
      <x:c r="K1453" t="str">
        <x:v>Coca-Cola</x:v>
      </x:c>
      <x:c r="L1453" s="22" t="n">
        <x:v>38</x:v>
      </x:c>
      <x:c r="M1453" t="n">
        <x:v>34</x:v>
      </x:c>
      <x:c r="N1453" s="24" t="n">
        <x:v>0.02</x:v>
      </x:c>
      <x:c r="O1453" s="22" t="n">
        <x:f>L1453*M1453</x:f>
        <x:v>1292</x:v>
      </x:c>
      <x:c r="P1453" s="22" t="n">
        <x:f>O1453*(1-N1453)</x:f>
        <x:v>1266.16</x:v>
      </x:c>
      <x:c r="Q1453" s="22" t="n">
        <x:v>31</x:v>
      </x:c>
      <x:c r="R1453" s="22" t="n">
        <x:f>Q1453*M1453</x:f>
        <x:v>1054</x:v>
      </x:c>
      <x:c r="S1453" s="22" t="n">
        <x:f>P1453-R1453</x:f>
        <x:v>212.16000000000008</x:v>
      </x:c>
      <x:c r="T1453" t="str">
        <x:v>Cash</x:v>
      </x:c>
      <x:c r="U1453" t="str">
        <x:v>Pending</x:v>
      </x:c>
      <x:c r="V1453" t="str">
        <x:v>Delivered</x:v>
      </x:c>
      <x:c r="W1453" t="n">
        <x:v>0</x:v>
      </x:c>
      <x:c r="X1453" t="str"/>
      <x:c r="Y1453" t="str">
        <x:v>Referral</x:v>
      </x:c>
    </x:row>
    <x:row r="1454">
      <x:c r="A1454" t="str">
        <x:v>O001453</x:v>
      </x:c>
      <x:c r="B1454" s="20" t="n">
        <x:v>45750</x:v>
      </x:c>
      <x:c r="C1454" t="str">
        <x:v>C0207</x:v>
      </x:c>
      <x:c r="D1454" t="str">
        <x:v>Hotel Stores 207</x:v>
      </x:c>
      <x:c r="E1454" t="str">
        <x:v>Restaurant</x:v>
      </x:c>
      <x:c r="F1454" t="str">
        <x:v>Hubballi</x:v>
      </x:c>
      <x:c r="G1454" t="str">
        <x:v>Ramesh</x:v>
      </x:c>
      <x:c r="H1454" t="str">
        <x:v>P007</x:v>
      </x:c>
      <x:c r="I1454" t="str">
        <x:v>Sunflower Oil 15L</x:v>
      </x:c>
      <x:c r="J1454" t="str">
        <x:v>Edible Oil</x:v>
      </x:c>
      <x:c r="K1454" t="str">
        <x:v>Fortune</x:v>
      </x:c>
      <x:c r="L1454" s="22" t="n">
        <x:v>1980</x:v>
      </x:c>
      <x:c r="M1454" t="n">
        <x:v>12</x:v>
      </x:c>
      <x:c r="N1454" s="24" t="n">
        <x:v>0.03</x:v>
      </x:c>
      <x:c r="O1454" s="22" t="n">
        <x:f>L1454*M1454</x:f>
        <x:v>23760</x:v>
      </x:c>
      <x:c r="P1454" s="22" t="n">
        <x:f>O1454*(1-N1454)</x:f>
        <x:v>23047.2</x:v>
      </x:c>
      <x:c r="Q1454" s="22" t="n">
        <x:v>1810</x:v>
      </x:c>
      <x:c r="R1454" s="22" t="n">
        <x:f>Q1454*M1454</x:f>
        <x:v>21720</x:v>
      </x:c>
      <x:c r="S1454" s="22" t="n">
        <x:f>P1454-R1454</x:f>
        <x:v>1327.2000000000007</x:v>
      </x:c>
      <x:c r="T1454" t="str">
        <x:v>Credit</x:v>
      </x:c>
      <x:c r="U1454" t="str">
        <x:v>Pending</x:v>
      </x:c>
      <x:c r="V1454" t="str">
        <x:v>Delivered</x:v>
      </x:c>
      <x:c r="W1454" t="n">
        <x:v>0</x:v>
      </x:c>
      <x:c r="X1454" t="str"/>
      <x:c r="Y1454" t="str">
        <x:v>Existing Customer</x:v>
      </x:c>
    </x:row>
    <x:row r="1455">
      <x:c r="A1455" t="str">
        <x:v>O001454</x:v>
      </x:c>
      <x:c r="B1455" s="20" t="n">
        <x:v>45751</x:v>
      </x:c>
      <x:c r="C1455" t="str">
        <x:v>C0062</x:v>
      </x:c>
      <x:c r="D1455" t="str">
        <x:v>Foodie Hotel 62</x:v>
      </x:c>
      <x:c r="E1455" t="str">
        <x:v>Cafe</x:v>
      </x:c>
      <x:c r="F1455" t="str">
        <x:v>Mysuru</x:v>
      </x:c>
      <x:c r="G1455" t="str">
        <x:v>Vikram</x:v>
      </x:c>
      <x:c r="H1455" t="str">
        <x:v>P038</x:v>
      </x:c>
      <x:c r="I1455" t="str">
        <x:v>French Fries 2.5kg</x:v>
      </x:c>
      <x:c r="J1455" t="str">
        <x:v>Frozen</x:v>
      </x:c>
      <x:c r="K1455" t="str">
        <x:v>McCain</x:v>
      </x:c>
      <x:c r="L1455" s="22" t="n">
        <x:v>360</x:v>
      </x:c>
      <x:c r="M1455" t="n">
        <x:v>13</x:v>
      </x:c>
      <x:c r="N1455" s="24" t="n">
        <x:v>0.03</x:v>
      </x:c>
      <x:c r="O1455" s="22" t="n">
        <x:f>L1455*M1455</x:f>
        <x:v>4680</x:v>
      </x:c>
      <x:c r="P1455" s="22" t="n">
        <x:f>O1455*(1-N1455)</x:f>
        <x:v>4539.599999999999</x:v>
      </x:c>
      <x:c r="Q1455" s="22" t="n">
        <x:v>315</x:v>
      </x:c>
      <x:c r="R1455" s="22" t="n">
        <x:f>Q1455*M1455</x:f>
        <x:v>4095</x:v>
      </x:c>
      <x:c r="S1455" s="22" t="n">
        <x:f>P1455-R1455</x:f>
        <x:v>444.59999999999945</x:v>
      </x:c>
      <x:c r="T1455" t="str">
        <x:v>Bank Transfer</x:v>
      </x:c>
      <x:c r="U1455" t="str">
        <x:v>Paid</x:v>
      </x:c>
      <x:c r="V1455" t="str">
        <x:v>Delivered</x:v>
      </x:c>
      <x:c r="W1455" t="n">
        <x:v>0</x:v>
      </x:c>
      <x:c r="X1455" t="str"/>
      <x:c r="Y1455" t="str">
        <x:v>Outbound Call</x:v>
      </x:c>
    </x:row>
    <x:row r="1456">
      <x:c r="A1456" t="str">
        <x:v>O001455</x:v>
      </x:c>
      <x:c r="B1456" s="20" t="n">
        <x:v>45736</x:v>
      </x:c>
      <x:c r="C1456" t="str">
        <x:v>C0219</x:v>
      </x:c>
      <x:c r="D1456" t="str">
        <x:v>Udupi Restaurant 219</x:v>
      </x:c>
      <x:c r="E1456" t="str">
        <x:v>Kirana</x:v>
      </x:c>
      <x:c r="F1456" t="str">
        <x:v>Mangaluru</x:v>
      </x:c>
      <x:c r="G1456" t="str">
        <x:v>Kavya</x:v>
      </x:c>
      <x:c r="H1456" t="str">
        <x:v>P003</x:v>
      </x:c>
      <x:c r="I1456" t="str">
        <x:v>Basmati Rice 5kg</x:v>
      </x:c>
      <x:c r="J1456" t="str">
        <x:v>Staples</x:v>
      </x:c>
      <x:c r="K1456" t="str">
        <x:v>India Gate</x:v>
      </x:c>
      <x:c r="L1456" s="22" t="n">
        <x:v>690</x:v>
      </x:c>
      <x:c r="M1456" t="n">
        <x:v>6</x:v>
      </x:c>
      <x:c r="N1456" s="24" t="n">
        <x:v>0.08</x:v>
      </x:c>
      <x:c r="O1456" s="22" t="n">
        <x:f>L1456*M1456</x:f>
        <x:v>4140</x:v>
      </x:c>
      <x:c r="P1456" s="22" t="n">
        <x:f>O1456*(1-N1456)</x:f>
        <x:v>3808.8</x:v>
      </x:c>
      <x:c r="Q1456" s="22" t="n">
        <x:v>610</x:v>
      </x:c>
      <x:c r="R1456" s="22" t="n">
        <x:f>Q1456*M1456</x:f>
        <x:v>3660</x:v>
      </x:c>
      <x:c r="S1456" s="22" t="n">
        <x:f>P1456-R1456</x:f>
        <x:v>148.80000000000018</x:v>
      </x:c>
      <x:c r="T1456" t="str">
        <x:v>Credit</x:v>
      </x:c>
      <x:c r="U1456" t="str">
        <x:v>Pending</x:v>
      </x:c>
      <x:c r="V1456" t="str">
        <x:v>Delivered</x:v>
      </x:c>
      <x:c r="W1456" t="n">
        <x:v>0</x:v>
      </x:c>
      <x:c r="X1456" t="str"/>
      <x:c r="Y1456" t="str">
        <x:v>Outbound Call</x:v>
      </x:c>
    </x:row>
    <x:row r="1457">
      <x:c r="A1457" t="str">
        <x:v>O001456</x:v>
      </x:c>
      <x:c r="B1457" s="20" t="n">
        <x:v>46223</x:v>
      </x:c>
      <x:c r="C1457" t="str">
        <x:v>C0129</x:v>
      </x:c>
      <x:c r="D1457" t="str">
        <x:v>City Canteen 129</x:v>
      </x:c>
      <x:c r="E1457" t="str">
        <x:v>Kirana</x:v>
      </x:c>
      <x:c r="F1457" t="str">
        <x:v>Hubballi</x:v>
      </x:c>
      <x:c r="G1457" t="str">
        <x:v>Sneha</x:v>
      </x:c>
      <x:c r="H1457" t="str">
        <x:v>P027</x:v>
      </x:c>
      <x:c r="I1457" t="str">
        <x:v>Biscuits 120g</x:v>
      </x:c>
      <x:c r="J1457" t="str">
        <x:v>Snacks</x:v>
      </x:c>
      <x:c r="K1457" t="str">
        <x:v>Parle-G</x:v>
      </x:c>
      <x:c r="L1457" s="22" t="n">
        <x:v>12</x:v>
      </x:c>
      <x:c r="M1457" t="n">
        <x:v>34</x:v>
      </x:c>
      <x:c r="N1457" s="24" t="n">
        <x:v>0.08</x:v>
      </x:c>
      <x:c r="O1457" s="22" t="n">
        <x:f>L1457*M1457</x:f>
        <x:v>408</x:v>
      </x:c>
      <x:c r="P1457" s="22" t="n">
        <x:f>O1457*(1-N1457)</x:f>
        <x:v>375.36</x:v>
      </x:c>
      <x:c r="Q1457" s="22" t="n">
        <x:v>9</x:v>
      </x:c>
      <x:c r="R1457" s="22" t="n">
        <x:f>Q1457*M1457</x:f>
        <x:v>306</x:v>
      </x:c>
      <x:c r="S1457" s="22" t="n">
        <x:f>P1457-R1457</x:f>
        <x:v>69.36000000000001</x:v>
      </x:c>
      <x:c r="T1457" t="str">
        <x:v>UPI</x:v>
      </x:c>
      <x:c r="U1457" t="str">
        <x:v>Pending</x:v>
      </x:c>
      <x:c r="V1457" t="str">
        <x:v>Delivered</x:v>
      </x:c>
      <x:c r="W1457" t="n">
        <x:v>0</x:v>
      </x:c>
      <x:c r="X1457" t="str"/>
      <x:c r="Y1457" t="str">
        <x:v>Outbound Call</x:v>
      </x:c>
    </x:row>
    <x:row r="1458">
      <x:c r="A1458" t="str">
        <x:v>O001457</x:v>
      </x:c>
      <x:c r="B1458" s="20" t="n">
        <x:v>46082</x:v>
      </x:c>
      <x:c r="C1458" t="str">
        <x:v>C0086</x:v>
      </x:c>
      <x:c r="D1458" t="str">
        <x:v>Foodie Canteen 86</x:v>
      </x:c>
      <x:c r="E1458" t="str">
        <x:v>Kirana</x:v>
      </x:c>
      <x:c r="F1458" t="str">
        <x:v>Hubballi</x:v>
      </x:c>
      <x:c r="G1458" t="str">
        <x:v>Sneha</x:v>
      </x:c>
      <x:c r="H1458" t="str">
        <x:v>P050</x:v>
      </x:c>
      <x:c r="I1458" t="str">
        <x:v>Lemon 5kg</x:v>
      </x:c>
      <x:c r="J1458" t="str">
        <x:v>Fresh Produce</x:v>
      </x:c>
      <x:c r="K1458" t="str">
        <x:v>Local Market</x:v>
      </x:c>
      <x:c r="L1458" s="22" t="n">
        <x:v>360</x:v>
      </x:c>
      <x:c r="M1458" t="n">
        <x:v>8</x:v>
      </x:c>
      <x:c r="N1458" s="24" t="n">
        <x:v>0.03</x:v>
      </x:c>
      <x:c r="O1458" s="22" t="n">
        <x:f>L1458*M1458</x:f>
        <x:v>2880</x:v>
      </x:c>
      <x:c r="P1458" s="22" t="n">
        <x:f>O1458*(1-N1458)</x:f>
        <x:v>2793.6</x:v>
      </x:c>
      <x:c r="Q1458" s="22" t="n">
        <x:v>300</x:v>
      </x:c>
      <x:c r="R1458" s="22" t="n">
        <x:f>Q1458*M1458</x:f>
        <x:v>2400</x:v>
      </x:c>
      <x:c r="S1458" s="22" t="n">
        <x:f>P1458-R1458</x:f>
        <x:v>393.5999999999999</x:v>
      </x:c>
      <x:c r="T1458" t="str">
        <x:v>UPI</x:v>
      </x:c>
      <x:c r="U1458" t="str">
        <x:v>Paid</x:v>
      </x:c>
      <x:c r="V1458" t="str">
        <x:v>Delivered</x:v>
      </x:c>
      <x:c r="W1458" t="n">
        <x:v>0</x:v>
      </x:c>
      <x:c r="X1458" t="str"/>
      <x:c r="Y1458" t="str">
        <x:v>WhatsApp</x:v>
      </x:c>
    </x:row>
    <x:row r="1459">
      <x:c r="A1459" t="str">
        <x:v>O001458</x:v>
      </x:c>
      <x:c r="B1459" s="20" t="n">
        <x:v>45780</x:v>
      </x:c>
      <x:c r="C1459" t="str">
        <x:v>C0073</x:v>
      </x:c>
      <x:c r="D1459" t="str">
        <x:v>Annapurna Stores 73</x:v>
      </x:c>
      <x:c r="E1459" t="str">
        <x:v>Restaurant</x:v>
      </x:c>
      <x:c r="F1459" t="str">
        <x:v>Davanagere</x:v>
      </x:c>
      <x:c r="G1459" t="str">
        <x:v>Kavya</x:v>
      </x:c>
      <x:c r="H1459" t="str">
        <x:v>P039</x:v>
      </x:c>
      <x:c r="I1459" t="str">
        <x:v>Ice Cream 4L</x:v>
      </x:c>
      <x:c r="J1459" t="str">
        <x:v>Frozen</x:v>
      </x:c>
      <x:c r="K1459" t="str">
        <x:v>Amul</x:v>
      </x:c>
      <x:c r="L1459" s="22" t="n">
        <x:v>480</x:v>
      </x:c>
      <x:c r="M1459" t="n">
        <x:v>27</x:v>
      </x:c>
      <x:c r="N1459" s="24" t="n">
        <x:v>0.08</x:v>
      </x:c>
      <x:c r="O1459" s="22" t="n">
        <x:f>L1459*M1459</x:f>
        <x:v>12960</x:v>
      </x:c>
      <x:c r="P1459" s="22" t="n">
        <x:f>O1459*(1-N1459)</x:f>
        <x:v>11923.2</x:v>
      </x:c>
      <x:c r="Q1459" s="22" t="n">
        <x:v>420</x:v>
      </x:c>
      <x:c r="R1459" s="22" t="n">
        <x:f>Q1459*M1459</x:f>
        <x:v>11340</x:v>
      </x:c>
      <x:c r="S1459" s="22" t="n">
        <x:f>P1459-R1459</x:f>
        <x:v>583.2000000000007</x:v>
      </x:c>
      <x:c r="T1459" t="str">
        <x:v>Bank Transfer</x:v>
      </x:c>
      <x:c r="U1459" t="str">
        <x:v>Paid</x:v>
      </x:c>
      <x:c r="V1459" t="str">
        <x:v>Delayed</x:v>
      </x:c>
      <x:c r="W1459" t="n">
        <x:v>0</x:v>
      </x:c>
      <x:c r="X1459" t="str"/>
      <x:c r="Y1459" t="str">
        <x:v>Field Visit</x:v>
      </x:c>
    </x:row>
    <x:row r="1460">
      <x:c r="A1460" t="str">
        <x:v>O001459</x:v>
      </x:c>
      <x:c r="B1460" s="20" t="n">
        <x:v>45976</x:v>
      </x:c>
      <x:c r="C1460" t="str">
        <x:v>C0015</x:v>
      </x:c>
      <x:c r="D1460" t="str">
        <x:v>Royal Foods 15</x:v>
      </x:c>
      <x:c r="E1460" t="str">
        <x:v>Cafe</x:v>
      </x:c>
      <x:c r="F1460" t="str">
        <x:v>Mysuru</x:v>
      </x:c>
      <x:c r="G1460" t="str">
        <x:v>Ramesh</x:v>
      </x:c>
      <x:c r="H1460" t="str">
        <x:v>P005</x:v>
      </x:c>
      <x:c r="I1460" t="str">
        <x:v>Chana Dal 5kg</x:v>
      </x:c>
      <x:c r="J1460" t="str">
        <x:v>Pulses</x:v>
      </x:c>
      <x:c r="K1460" t="str">
        <x:v>Local Select</x:v>
      </x:c>
      <x:c r="L1460" s="22" t="n">
        <x:v>520</x:v>
      </x:c>
      <x:c r="M1460" t="n">
        <x:v>39</x:v>
      </x:c>
      <x:c r="N1460" s="24" t="n">
        <x:v>0</x:v>
      </x:c>
      <x:c r="O1460" s="22" t="n">
        <x:f>L1460*M1460</x:f>
        <x:v>20280</x:v>
      </x:c>
      <x:c r="P1460" s="22" t="n">
        <x:f>O1460*(1-N1460)</x:f>
        <x:v>20280</x:v>
      </x:c>
      <x:c r="Q1460" s="22" t="n">
        <x:v>455</x:v>
      </x:c>
      <x:c r="R1460" s="22" t="n">
        <x:f>Q1460*M1460</x:f>
        <x:v>17745</x:v>
      </x:c>
      <x:c r="S1460" s="22" t="n">
        <x:f>P1460-R1460</x:f>
        <x:v>2535</x:v>
      </x:c>
      <x:c r="T1460" t="str">
        <x:v>UPI</x:v>
      </x:c>
      <x:c r="U1460" t="str">
        <x:v>Pending</x:v>
      </x:c>
      <x:c r="V1460" t="str">
        <x:v>Cancelled</x:v>
      </x:c>
      <x:c r="W1460" t="n">
        <x:v>39</x:v>
      </x:c>
      <x:c r="X1460" t="str">
        <x:v>Cancelled Order</x:v>
      </x:c>
      <x:c r="Y1460" t="str">
        <x:v>Existing Customer</x:v>
      </x:c>
    </x:row>
    <x:row r="1461">
      <x:c r="A1461" t="str">
        <x:v>O001460</x:v>
      </x:c>
      <x:c r="B1461" s="20" t="n">
        <x:v>45889</x:v>
      </x:c>
      <x:c r="C1461" t="str">
        <x:v>C0139</x:v>
      </x:c>
      <x:c r="D1461" t="str">
        <x:v>Classic Hotel 139</x:v>
      </x:c>
      <x:c r="E1461" t="str">
        <x:v>Cafe</x:v>
      </x:c>
      <x:c r="F1461" t="str">
        <x:v>Mysuru</x:v>
      </x:c>
      <x:c r="G1461" t="str">
        <x:v>Vikram</x:v>
      </x:c>
      <x:c r="H1461" t="str">
        <x:v>P019</x:v>
      </x:c>
      <x:c r="I1461" t="str">
        <x:v>Tea 1kg</x:v>
      </x:c>
      <x:c r="J1461" t="str">
        <x:v>Beverage</x:v>
      </x:c>
      <x:c r="K1461" t="str">
        <x:v>Red Label</x:v>
      </x:c>
      <x:c r="L1461" s="22" t="n">
        <x:v>540</x:v>
      </x:c>
      <x:c r="M1461" t="n">
        <x:v>15</x:v>
      </x:c>
      <x:c r="N1461" s="24" t="n">
        <x:v>0.02</x:v>
      </x:c>
      <x:c r="O1461" s="22" t="n">
        <x:f>L1461*M1461</x:f>
        <x:v>8100</x:v>
      </x:c>
      <x:c r="P1461" s="22" t="n">
        <x:f>O1461*(1-N1461)</x:f>
        <x:v>7938</x:v>
      </x:c>
      <x:c r="Q1461" s="22" t="n">
        <x:v>485</x:v>
      </x:c>
      <x:c r="R1461" s="22" t="n">
        <x:f>Q1461*M1461</x:f>
        <x:v>7275</x:v>
      </x:c>
      <x:c r="S1461" s="22" t="n">
        <x:f>P1461-R1461</x:f>
        <x:v>663</x:v>
      </x:c>
      <x:c r="T1461" t="str">
        <x:v>Credit</x:v>
      </x:c>
      <x:c r="U1461" t="str">
        <x:v>Paid</x:v>
      </x:c>
      <x:c r="V1461" t="str">
        <x:v>Delivered</x:v>
      </x:c>
      <x:c r="W1461" t="n">
        <x:v>0</x:v>
      </x:c>
      <x:c r="X1461" t="str"/>
      <x:c r="Y1461" t="str">
        <x:v>WhatsApp</x:v>
      </x:c>
    </x:row>
    <x:row r="1462">
      <x:c r="A1462" t="str">
        <x:v>O001461</x:v>
      </x:c>
      <x:c r="B1462" s="20" t="n">
        <x:v>45819</x:v>
      </x:c>
      <x:c r="C1462" t="str">
        <x:v>C0209</x:v>
      </x:c>
      <x:c r="D1462" t="str">
        <x:v>Shree Hotel 209</x:v>
      </x:c>
      <x:c r="E1462" t="str">
        <x:v>Restaurant</x:v>
      </x:c>
      <x:c r="F1462" t="str">
        <x:v>Tumakuru</x:v>
      </x:c>
      <x:c r="G1462" t="str">
        <x:v>Ramesh</x:v>
      </x:c>
      <x:c r="H1462" t="str">
        <x:v>P047</x:v>
      </x:c>
      <x:c r="I1462" t="str">
        <x:v>Tomato 25kg</x:v>
      </x:c>
      <x:c r="J1462" t="str">
        <x:v>Fresh Produce</x:v>
      </x:c>
      <x:c r="K1462" t="str">
        <x:v>Local Market</x:v>
      </x:c>
      <x:c r="L1462" s="22" t="n">
        <x:v>950</x:v>
      </x:c>
      <x:c r="M1462" t="n">
        <x:v>14</x:v>
      </x:c>
      <x:c r="N1462" s="24" t="n">
        <x:v>0.05</x:v>
      </x:c>
      <x:c r="O1462" s="22" t="n">
        <x:f>L1462*M1462</x:f>
        <x:v>13300</x:v>
      </x:c>
      <x:c r="P1462" s="22" t="n">
        <x:f>O1462*(1-N1462)</x:f>
        <x:v>12635</x:v>
      </x:c>
      <x:c r="Q1462" s="22" t="n">
        <x:v>810</x:v>
      </x:c>
      <x:c r="R1462" s="22" t="n">
        <x:f>Q1462*M1462</x:f>
        <x:v>11340</x:v>
      </x:c>
      <x:c r="S1462" s="22" t="n">
        <x:f>P1462-R1462</x:f>
        <x:v>1295</x:v>
      </x:c>
      <x:c r="T1462" t="str">
        <x:v>Bank Transfer</x:v>
      </x:c>
      <x:c r="U1462" t="str">
        <x:v>Paid</x:v>
      </x:c>
      <x:c r="V1462" t="str">
        <x:v>Delivered</x:v>
      </x:c>
      <x:c r="W1462" t="n">
        <x:v>0</x:v>
      </x:c>
      <x:c r="X1462" t="str"/>
      <x:c r="Y1462" t="str">
        <x:v>Field Visit</x:v>
      </x:c>
    </x:row>
    <x:row r="1463">
      <x:c r="A1463" t="str">
        <x:v>O001462</x:v>
      </x:c>
      <x:c r="B1463" s="20" t="n">
        <x:v>45695</x:v>
      </x:c>
      <x:c r="C1463" t="str">
        <x:v>C0024</x:v>
      </x:c>
      <x:c r="D1463" t="str">
        <x:v>Darshini Restaurant 24</x:v>
      </x:c>
      <x:c r="E1463" t="str">
        <x:v>Restaurant</x:v>
      </x:c>
      <x:c r="F1463" t="str">
        <x:v>Davanagere</x:v>
      </x:c>
      <x:c r="G1463" t="str">
        <x:v>Sneha</x:v>
      </x:c>
      <x:c r="H1463" t="str">
        <x:v>P017</x:v>
      </x:c>
      <x:c r="I1463" t="str">
        <x:v>Butter 500g</x:v>
      </x:c>
      <x:c r="J1463" t="str">
        <x:v>Dairy</x:v>
      </x:c>
      <x:c r="K1463" t="str">
        <x:v>Amul</x:v>
      </x:c>
      <x:c r="L1463" s="22" t="n">
        <x:v>285</x:v>
      </x:c>
      <x:c r="M1463" t="n">
        <x:v>19</x:v>
      </x:c>
      <x:c r="N1463" s="24" t="n">
        <x:v>0</x:v>
      </x:c>
      <x:c r="O1463" s="22" t="n">
        <x:f>L1463*M1463</x:f>
        <x:v>5415</x:v>
      </x:c>
      <x:c r="P1463" s="22" t="n">
        <x:f>O1463*(1-N1463)</x:f>
        <x:v>5415</x:v>
      </x:c>
      <x:c r="Q1463" s="22" t="n">
        <x:v>258</x:v>
      </x:c>
      <x:c r="R1463" s="22" t="n">
        <x:f>Q1463*M1463</x:f>
        <x:v>4902</x:v>
      </x:c>
      <x:c r="S1463" s="22" t="n">
        <x:f>P1463-R1463</x:f>
        <x:v>513</x:v>
      </x:c>
      <x:c r="T1463" t="str">
        <x:v>Credit</x:v>
      </x:c>
      <x:c r="U1463" t="str">
        <x:v>Overdue</x:v>
      </x:c>
      <x:c r="V1463" t="str">
        <x:v>Delivered</x:v>
      </x:c>
      <x:c r="W1463" t="n">
        <x:v>0</x:v>
      </x:c>
      <x:c r="X1463" t="str"/>
      <x:c r="Y1463" t="str">
        <x:v>Outbound Call</x:v>
      </x:c>
    </x:row>
    <x:row r="1464">
      <x:c r="A1464" t="str">
        <x:v>O001463</x:v>
      </x:c>
      <x:c r="B1464" s="20" t="n">
        <x:v>46162</x:v>
      </x:c>
      <x:c r="C1464" t="str">
        <x:v>C0087</x:v>
      </x:c>
      <x:c r="D1464" t="str">
        <x:v>Namma Kitchen 87</x:v>
      </x:c>
      <x:c r="E1464" t="str">
        <x:v>Kirana</x:v>
      </x:c>
      <x:c r="F1464" t="str">
        <x:v>Bengaluru</x:v>
      </x:c>
      <x:c r="G1464" t="str">
        <x:v>Priya</x:v>
      </x:c>
      <x:c r="H1464" t="str">
        <x:v>P016</x:v>
      </x:c>
      <x:c r="I1464" t="str">
        <x:v>Curd 1kg</x:v>
      </x:c>
      <x:c r="J1464" t="str">
        <x:v>Dairy</x:v>
      </x:c>
      <x:c r="K1464" t="str">
        <x:v>Nandini</x:v>
      </x:c>
      <x:c r="L1464" s="22" t="n">
        <x:v>72</x:v>
      </x:c>
      <x:c r="M1464" t="n">
        <x:v>26</x:v>
      </x:c>
      <x:c r="N1464" s="24" t="n">
        <x:v>0.03</x:v>
      </x:c>
      <x:c r="O1464" s="22" t="n">
        <x:f>L1464*M1464</x:f>
        <x:v>1872</x:v>
      </x:c>
      <x:c r="P1464" s="22" t="n">
        <x:f>O1464*(1-N1464)</x:f>
        <x:v>1815.84</x:v>
      </x:c>
      <x:c r="Q1464" s="22" t="n">
        <x:v>64</x:v>
      </x:c>
      <x:c r="R1464" s="22" t="n">
        <x:f>Q1464*M1464</x:f>
        <x:v>1664</x:v>
      </x:c>
      <x:c r="S1464" s="22" t="n">
        <x:f>P1464-R1464</x:f>
        <x:v>151.83999999999992</x:v>
      </x:c>
      <x:c r="T1464" t="str">
        <x:v>UPI</x:v>
      </x:c>
      <x:c r="U1464" t="str">
        <x:v>Paid</x:v>
      </x:c>
      <x:c r="V1464" t="str">
        <x:v>Delivered</x:v>
      </x:c>
      <x:c r="W1464" t="n">
        <x:v>0</x:v>
      </x:c>
      <x:c r="X1464" t="str"/>
      <x:c r="Y1464" t="str">
        <x:v>Referral</x:v>
      </x:c>
    </x:row>
    <x:row r="1465">
      <x:c r="A1465" t="str">
        <x:v>O001464</x:v>
      </x:c>
      <x:c r="B1465" s="20" t="n">
        <x:v>45701</x:v>
      </x:c>
      <x:c r="C1465" t="str">
        <x:v>C0217</x:v>
      </x:c>
      <x:c r="D1465" t="str">
        <x:v>Darshini Cafe 217</x:v>
      </x:c>
      <x:c r="E1465" t="str">
        <x:v>Restaurant</x:v>
      </x:c>
      <x:c r="F1465" t="str">
        <x:v>Bengaluru</x:v>
      </x:c>
      <x:c r="G1465" t="str">
        <x:v>Priya</x:v>
      </x:c>
      <x:c r="H1465" t="str">
        <x:v>P002</x:v>
      </x:c>
      <x:c r="I1465" t="str">
        <x:v>Sona Masoori Rice 25kg</x:v>
      </x:c>
      <x:c r="J1465" t="str">
        <x:v>Staples</x:v>
      </x:c>
      <x:c r="K1465" t="str">
        <x:v>Fortune</x:v>
      </x:c>
      <x:c r="L1465" s="22" t="n">
        <x:v>1320</x:v>
      </x:c>
      <x:c r="M1465" t="n">
        <x:v>1</x:v>
      </x:c>
      <x:c r="N1465" s="24" t="n">
        <x:v>0.03</x:v>
      </x:c>
      <x:c r="O1465" s="22" t="n">
        <x:f>L1465*M1465</x:f>
        <x:v>1320</x:v>
      </x:c>
      <x:c r="P1465" s="22" t="n">
        <x:f>O1465*(1-N1465)</x:f>
        <x:v>1280.3999999999999</x:v>
      </x:c>
      <x:c r="Q1465" s="22" t="n">
        <x:v>1160</x:v>
      </x:c>
      <x:c r="R1465" s="22" t="n">
        <x:f>Q1465*M1465</x:f>
        <x:v>1160</x:v>
      </x:c>
      <x:c r="S1465" s="22" t="n">
        <x:f>P1465-R1465</x:f>
        <x:v>120.39999999999986</x:v>
      </x:c>
      <x:c r="T1465" t="str">
        <x:v>Bank Transfer</x:v>
      </x:c>
      <x:c r="U1465" t="str">
        <x:v>Paid</x:v>
      </x:c>
      <x:c r="V1465" t="str">
        <x:v>Delivered</x:v>
      </x:c>
      <x:c r="W1465" t="n">
        <x:v>0</x:v>
      </x:c>
      <x:c r="X1465" t="str"/>
      <x:c r="Y1465" t="str">
        <x:v>Outbound Call</x:v>
      </x:c>
    </x:row>
    <x:row r="1466">
      <x:c r="A1466" t="str">
        <x:v>O001465</x:v>
      </x:c>
      <x:c r="B1466" s="20" t="n">
        <x:v>46053</x:v>
      </x:c>
      <x:c r="C1466" t="str">
        <x:v>C0196</x:v>
      </x:c>
      <x:c r="D1466" t="str">
        <x:v>Namma Mart 196</x:v>
      </x:c>
      <x:c r="E1466" t="str">
        <x:v>Cafe</x:v>
      </x:c>
      <x:c r="F1466" t="str">
        <x:v>Mangaluru</x:v>
      </x:c>
      <x:c r="G1466" t="str">
        <x:v>Kavya</x:v>
      </x:c>
      <x:c r="H1466" t="str">
        <x:v>P002</x:v>
      </x:c>
      <x:c r="I1466" t="str">
        <x:v>Sona Masoori Rice 25kg</x:v>
      </x:c>
      <x:c r="J1466" t="str">
        <x:v>Staples</x:v>
      </x:c>
      <x:c r="K1466" t="str">
        <x:v>Fortune</x:v>
      </x:c>
      <x:c r="L1466" s="22" t="n">
        <x:v>1320</x:v>
      </x:c>
      <x:c r="M1466" t="n">
        <x:v>11</x:v>
      </x:c>
      <x:c r="N1466" s="24" t="n">
        <x:v>0.03</x:v>
      </x:c>
      <x:c r="O1466" s="22" t="n">
        <x:f>L1466*M1466</x:f>
        <x:v>14520</x:v>
      </x:c>
      <x:c r="P1466" s="22" t="n">
        <x:f>O1466*(1-N1466)</x:f>
        <x:v>14084.4</x:v>
      </x:c>
      <x:c r="Q1466" s="22" t="n">
        <x:v>1160</x:v>
      </x:c>
      <x:c r="R1466" s="22" t="n">
        <x:f>Q1466*M1466</x:f>
        <x:v>12760</x:v>
      </x:c>
      <x:c r="S1466" s="22" t="n">
        <x:f>P1466-R1466</x:f>
        <x:v>1324.3999999999996</x:v>
      </x:c>
      <x:c r="T1466" t="str">
        <x:v>Cash</x:v>
      </x:c>
      <x:c r="U1466" t="str">
        <x:v>Overdue</x:v>
      </x:c>
      <x:c r="V1466" t="str">
        <x:v>Delivered</x:v>
      </x:c>
      <x:c r="W1466" t="n">
        <x:v>0</x:v>
      </x:c>
      <x:c r="X1466" t="str"/>
      <x:c r="Y1466" t="str">
        <x:v>Referral</x:v>
      </x:c>
    </x:row>
    <x:row r="1467">
      <x:c r="A1467" t="str">
        <x:v>O001466</x:v>
      </x:c>
      <x:c r="B1467" s="20" t="n">
        <x:v>46022</x:v>
      </x:c>
      <x:c r="C1467" t="str">
        <x:v>C0066</x:v>
      </x:c>
      <x:c r="D1467" t="str">
        <x:v>Hotel Hotel 66</x:v>
      </x:c>
      <x:c r="E1467" t="str">
        <x:v>Restaurant</x:v>
      </x:c>
      <x:c r="F1467" t="str">
        <x:v>Davanagere</x:v>
      </x:c>
      <x:c r="G1467" t="str">
        <x:v>Megha</x:v>
      </x:c>
      <x:c r="H1467" t="str">
        <x:v>P022</x:v>
      </x:c>
      <x:c r="I1467" t="str">
        <x:v>Mineral Water 1L</x:v>
      </x:c>
      <x:c r="J1467" t="str">
        <x:v>Beverage</x:v>
      </x:c>
      <x:c r="K1467" t="str">
        <x:v>Bisleri</x:v>
      </x:c>
      <x:c r="L1467" s="22" t="n">
        <x:v>19</x:v>
      </x:c>
      <x:c r="M1467" t="n">
        <x:v>4</x:v>
      </x:c>
      <x:c r="N1467" s="24" t="n">
        <x:v>0.05</x:v>
      </x:c>
      <x:c r="O1467" s="22" t="n">
        <x:f>L1467*M1467</x:f>
        <x:v>76</x:v>
      </x:c>
      <x:c r="P1467" s="22" t="n">
        <x:f>O1467*(1-N1467)</x:f>
        <x:v>72.2</x:v>
      </x:c>
      <x:c r="Q1467" s="22" t="n">
        <x:v>15</x:v>
      </x:c>
      <x:c r="R1467" s="22" t="n">
        <x:f>Q1467*M1467</x:f>
        <x:v>60</x:v>
      </x:c>
      <x:c r="S1467" s="22" t="n">
        <x:f>P1467-R1467</x:f>
        <x:v>12.200000000000003</x:v>
      </x:c>
      <x:c r="T1467" t="str">
        <x:v>Bank Transfer</x:v>
      </x:c>
      <x:c r="U1467" t="str">
        <x:v>Paid</x:v>
      </x:c>
      <x:c r="V1467" t="str">
        <x:v>Delivered</x:v>
      </x:c>
      <x:c r="W1467" t="n">
        <x:v>0</x:v>
      </x:c>
      <x:c r="X1467" t="str"/>
      <x:c r="Y1467" t="str">
        <x:v>WhatsApp</x:v>
      </x:c>
    </x:row>
    <x:row r="1468">
      <x:c r="A1468" t="str">
        <x:v>O001467</x:v>
      </x:c>
      <x:c r="B1468" s="20" t="n">
        <x:v>45804</x:v>
      </x:c>
      <x:c r="C1468" t="str">
        <x:v>C0144</x:v>
      </x:c>
      <x:c r="D1468" t="str">
        <x:v>Namma Foods 144</x:v>
      </x:c>
      <x:c r="E1468" t="str">
        <x:v>Restaurant</x:v>
      </x:c>
      <x:c r="F1468" t="str">
        <x:v>Tumakuru</x:v>
      </x:c>
      <x:c r="G1468" t="str">
        <x:v>Arjun</x:v>
      </x:c>
      <x:c r="H1468" t="str">
        <x:v>P042</x:v>
      </x:c>
      <x:c r="I1468" t="str">
        <x:v>Eggs 30pc Tray</x:v>
      </x:c>
      <x:c r="J1468" t="str">
        <x:v>Protein</x:v>
      </x:c>
      <x:c r="K1468" t="str">
        <x:v>Farm Fresh</x:v>
      </x:c>
      <x:c r="L1468" s="22" t="n">
        <x:v>195</x:v>
      </x:c>
      <x:c r="M1468" t="n">
        <x:v>40</x:v>
      </x:c>
      <x:c r="N1468" s="24" t="n">
        <x:v>0</x:v>
      </x:c>
      <x:c r="O1468" s="22" t="n">
        <x:f>L1468*M1468</x:f>
        <x:v>7800</x:v>
      </x:c>
      <x:c r="P1468" s="22" t="n">
        <x:f>O1468*(1-N1468)</x:f>
        <x:v>7800</x:v>
      </x:c>
      <x:c r="Q1468" s="22" t="n">
        <x:v>170</x:v>
      </x:c>
      <x:c r="R1468" s="22" t="n">
        <x:f>Q1468*M1468</x:f>
        <x:v>6800</x:v>
      </x:c>
      <x:c r="S1468" s="22" t="n">
        <x:f>P1468-R1468</x:f>
        <x:v>1000</x:v>
      </x:c>
      <x:c r="T1468" t="str">
        <x:v>Cash</x:v>
      </x:c>
      <x:c r="U1468" t="str">
        <x:v>Paid</x:v>
      </x:c>
      <x:c r="V1468" t="str">
        <x:v>Delivered</x:v>
      </x:c>
      <x:c r="W1468" t="n">
        <x:v>0</x:v>
      </x:c>
      <x:c r="X1468" t="str"/>
      <x:c r="Y1468" t="str">
        <x:v>Field Visit</x:v>
      </x:c>
    </x:row>
    <x:row r="1469">
      <x:c r="A1469" t="str">
        <x:v>O001468</x:v>
      </x:c>
      <x:c r="B1469" s="20" t="n">
        <x:v>46116</x:v>
      </x:c>
      <x:c r="C1469" t="str">
        <x:v>C0002</x:v>
      </x:c>
      <x:c r="D1469" t="str">
        <x:v>City Kitchen 2</x:v>
      </x:c>
      <x:c r="E1469" t="str">
        <x:v>Kirana</x:v>
      </x:c>
      <x:c r="F1469" t="str">
        <x:v>Davanagere</x:v>
      </x:c>
      <x:c r="G1469" t="str">
        <x:v>Arjun</x:v>
      </x:c>
      <x:c r="H1469" t="str">
        <x:v>P034</x:v>
      </x:c>
      <x:c r="I1469" t="str">
        <x:v>Chilli Powder 1kg</x:v>
      </x:c>
      <x:c r="J1469" t="str">
        <x:v>Spices</x:v>
      </x:c>
      <x:c r="K1469" t="str">
        <x:v>MDH</x:v>
      </x:c>
      <x:c r="L1469" s="22" t="n">
        <x:v>340</x:v>
      </x:c>
      <x:c r="M1469" t="n">
        <x:v>13</x:v>
      </x:c>
      <x:c r="N1469" s="24" t="n">
        <x:v>0.02</x:v>
      </x:c>
      <x:c r="O1469" s="22" t="n">
        <x:f>L1469*M1469</x:f>
        <x:v>4420</x:v>
      </x:c>
      <x:c r="P1469" s="22" t="n">
        <x:f>O1469*(1-N1469)</x:f>
        <x:v>4331.6</x:v>
      </x:c>
      <x:c r="Q1469" s="22" t="n">
        <x:v>295</x:v>
      </x:c>
      <x:c r="R1469" s="22" t="n">
        <x:f>Q1469*M1469</x:f>
        <x:v>3835</x:v>
      </x:c>
      <x:c r="S1469" s="22" t="n">
        <x:f>P1469-R1469</x:f>
        <x:v>496.60000000000036</x:v>
      </x:c>
      <x:c r="T1469" t="str">
        <x:v>Bank Transfer</x:v>
      </x:c>
      <x:c r="U1469" t="str">
        <x:v>Paid</x:v>
      </x:c>
      <x:c r="V1469" t="str">
        <x:v>Cancelled</x:v>
      </x:c>
      <x:c r="W1469" t="n">
        <x:v>13</x:v>
      </x:c>
      <x:c r="X1469" t="str">
        <x:v>Cancelled Order</x:v>
      </x:c>
      <x:c r="Y1469" t="str">
        <x:v>Existing Customer</x:v>
      </x:c>
    </x:row>
    <x:row r="1470">
      <x:c r="A1470" t="str">
        <x:v>O001469</x:v>
      </x:c>
      <x:c r="B1470" s="20" t="n">
        <x:v>46075</x:v>
      </x:c>
      <x:c r="C1470" t="str">
        <x:v>C0136</x:v>
      </x:c>
      <x:c r="D1470" t="str">
        <x:v>Royal Cafe 136</x:v>
      </x:c>
      <x:c r="E1470" t="str">
        <x:v>Hotel</x:v>
      </x:c>
      <x:c r="F1470" t="str">
        <x:v>Tumakuru</x:v>
      </x:c>
      <x:c r="G1470" t="str">
        <x:v>Kavya</x:v>
      </x:c>
      <x:c r="H1470" t="str">
        <x:v>P009</x:v>
      </x:c>
      <x:c r="I1470" t="str">
        <x:v>Groundnut Oil 5L</x:v>
      </x:c>
      <x:c r="J1470" t="str">
        <x:v>Edible Oil</x:v>
      </x:c>
      <x:c r="K1470" t="str">
        <x:v>Dhara</x:v>
      </x:c>
      <x:c r="L1470" s="22" t="n">
        <x:v>890</x:v>
      </x:c>
      <x:c r="M1470" t="n">
        <x:v>3</x:v>
      </x:c>
      <x:c r="N1470" s="24" t="n">
        <x:v>0</x:v>
      </x:c>
      <x:c r="O1470" s="22" t="n">
        <x:f>L1470*M1470</x:f>
        <x:v>2670</x:v>
      </x:c>
      <x:c r="P1470" s="22" t="n">
        <x:f>O1470*(1-N1470)</x:f>
        <x:v>2670</x:v>
      </x:c>
      <x:c r="Q1470" s="22" t="n">
        <x:v>810</x:v>
      </x:c>
      <x:c r="R1470" s="22" t="n">
        <x:f>Q1470*M1470</x:f>
        <x:v>2430</x:v>
      </x:c>
      <x:c r="S1470" s="22" t="n">
        <x:f>P1470-R1470</x:f>
        <x:v>240</x:v>
      </x:c>
      <x:c r="T1470" t="str">
        <x:v>Cash</x:v>
      </x:c>
      <x:c r="U1470" t="str">
        <x:v>Paid</x:v>
      </x:c>
      <x:c r="V1470" t="str">
        <x:v>Delivered</x:v>
      </x:c>
      <x:c r="W1470" t="n">
        <x:v>3</x:v>
      </x:c>
      <x:c r="X1470" t="str">
        <x:v>Quality Issue</x:v>
      </x:c>
      <x:c r="Y1470" t="str">
        <x:v>WhatsApp</x:v>
      </x:c>
    </x:row>
    <x:row r="1471">
      <x:c r="A1471" t="str">
        <x:v>O001470</x:v>
      </x:c>
      <x:c r="B1471" s="20" t="n">
        <x:v>45706</x:v>
      </x:c>
      <x:c r="C1471" t="str">
        <x:v>C0005</x:v>
      </x:c>
      <x:c r="D1471" t="str">
        <x:v>Sagar Kitchen 5</x:v>
      </x:c>
      <x:c r="E1471" t="str">
        <x:v>Restaurant</x:v>
      </x:c>
      <x:c r="F1471" t="str">
        <x:v>Hubballi</x:v>
      </x:c>
      <x:c r="G1471" t="str">
        <x:v>Priya</x:v>
      </x:c>
      <x:c r="H1471" t="str">
        <x:v>P039</x:v>
      </x:c>
      <x:c r="I1471" t="str">
        <x:v>Ice Cream 4L</x:v>
      </x:c>
      <x:c r="J1471" t="str">
        <x:v>Frozen</x:v>
      </x:c>
      <x:c r="K1471" t="str">
        <x:v>Amul</x:v>
      </x:c>
      <x:c r="L1471" s="22" t="n">
        <x:v>480</x:v>
      </x:c>
      <x:c r="M1471" t="n">
        <x:v>33</x:v>
      </x:c>
      <x:c r="N1471" s="24" t="n">
        <x:v>0.02</x:v>
      </x:c>
      <x:c r="O1471" s="22" t="n">
        <x:f>L1471*M1471</x:f>
        <x:v>15840</x:v>
      </x:c>
      <x:c r="P1471" s="22" t="n">
        <x:f>O1471*(1-N1471)</x:f>
        <x:v>15523.199999999999</x:v>
      </x:c>
      <x:c r="Q1471" s="22" t="n">
        <x:v>420</x:v>
      </x:c>
      <x:c r="R1471" s="22" t="n">
        <x:f>Q1471*M1471</x:f>
        <x:v>13860</x:v>
      </x:c>
      <x:c r="S1471" s="22" t="n">
        <x:f>P1471-R1471</x:f>
        <x:v>1663.199999999999</x:v>
      </x:c>
      <x:c r="T1471" t="str">
        <x:v>UPI</x:v>
      </x:c>
      <x:c r="U1471" t="str">
        <x:v>Pending</x:v>
      </x:c>
      <x:c r="V1471" t="str">
        <x:v>Delivered</x:v>
      </x:c>
      <x:c r="W1471" t="n">
        <x:v>0</x:v>
      </x:c>
      <x:c r="X1471" t="str"/>
      <x:c r="Y1471" t="str">
        <x:v>Outbound Call</x:v>
      </x:c>
    </x:row>
    <x:row r="1472">
      <x:c r="A1472" t="str">
        <x:v>O001471</x:v>
      </x:c>
      <x:c r="B1472" s="20" t="n">
        <x:v>46254</x:v>
      </x:c>
      <x:c r="C1472" t="str">
        <x:v>C0116</x:v>
      </x:c>
      <x:c r="D1472" t="str">
        <x:v>Classic Foods 116</x:v>
      </x:c>
      <x:c r="E1472" t="str">
        <x:v>Supermarket</x:v>
      </x:c>
      <x:c r="F1472" t="str">
        <x:v>Davanagere</x:v>
      </x:c>
      <x:c r="G1472" t="str">
        <x:v>Megha</x:v>
      </x:c>
      <x:c r="H1472" t="str">
        <x:v>P017</x:v>
      </x:c>
      <x:c r="I1472" t="str">
        <x:v>Butter 500g</x:v>
      </x:c>
      <x:c r="J1472" t="str">
        <x:v>Dairy</x:v>
      </x:c>
      <x:c r="K1472" t="str">
        <x:v>Amul</x:v>
      </x:c>
      <x:c r="L1472" s="22" t="n">
        <x:v>285</x:v>
      </x:c>
      <x:c r="M1472" t="n">
        <x:v>11</x:v>
      </x:c>
      <x:c r="N1472" s="24" t="n">
        <x:v>0.03</x:v>
      </x:c>
      <x:c r="O1472" s="22" t="n">
        <x:f>L1472*M1472</x:f>
        <x:v>3135</x:v>
      </x:c>
      <x:c r="P1472" s="22" t="n">
        <x:f>O1472*(1-N1472)</x:f>
        <x:v>3040.95</x:v>
      </x:c>
      <x:c r="Q1472" s="22" t="n">
        <x:v>258</x:v>
      </x:c>
      <x:c r="R1472" s="22" t="n">
        <x:f>Q1472*M1472</x:f>
        <x:v>2838</x:v>
      </x:c>
      <x:c r="S1472" s="22" t="n">
        <x:f>P1472-R1472</x:f>
        <x:v>202.94999999999982</x:v>
      </x:c>
      <x:c r="T1472" t="str">
        <x:v>Credit</x:v>
      </x:c>
      <x:c r="U1472" t="str">
        <x:v>Pending</x:v>
      </x:c>
      <x:c r="V1472" t="str">
        <x:v>Delayed</x:v>
      </x:c>
      <x:c r="W1472" t="n">
        <x:v>0</x:v>
      </x:c>
      <x:c r="X1472" t="str"/>
      <x:c r="Y1472" t="str">
        <x:v>WhatsApp</x:v>
      </x:c>
    </x:row>
    <x:row r="1473">
      <x:c r="A1473" t="str">
        <x:v>O001472</x:v>
      </x:c>
      <x:c r="B1473" s="20" t="n">
        <x:v>46223</x:v>
      </x:c>
      <x:c r="C1473" t="str">
        <x:v>C0169</x:v>
      </x:c>
      <x:c r="D1473" t="str">
        <x:v>Grand Mart 169</x:v>
      </x:c>
      <x:c r="E1473" t="str">
        <x:v>Canteen</x:v>
      </x:c>
      <x:c r="F1473" t="str">
        <x:v>Mangaluru</x:v>
      </x:c>
      <x:c r="G1473" t="str">
        <x:v>Vikram</x:v>
      </x:c>
      <x:c r="H1473" t="str">
        <x:v>P019</x:v>
      </x:c>
      <x:c r="I1473" t="str">
        <x:v>Tea 1kg</x:v>
      </x:c>
      <x:c r="J1473" t="str">
        <x:v>Beverage</x:v>
      </x:c>
      <x:c r="K1473" t="str">
        <x:v>Red Label</x:v>
      </x:c>
      <x:c r="L1473" s="22" t="n">
        <x:v>540</x:v>
      </x:c>
      <x:c r="M1473" t="n">
        <x:v>39</x:v>
      </x:c>
      <x:c r="N1473" s="24" t="n">
        <x:v>0.05</x:v>
      </x:c>
      <x:c r="O1473" s="22" t="n">
        <x:f>L1473*M1473</x:f>
        <x:v>21060</x:v>
      </x:c>
      <x:c r="P1473" s="22" t="n">
        <x:f>O1473*(1-N1473)</x:f>
        <x:v>20007</x:v>
      </x:c>
      <x:c r="Q1473" s="22" t="n">
        <x:v>485</x:v>
      </x:c>
      <x:c r="R1473" s="22" t="n">
        <x:f>Q1473*M1473</x:f>
        <x:v>18915</x:v>
      </x:c>
      <x:c r="S1473" s="22" t="n">
        <x:f>P1473-R1473</x:f>
        <x:v>1092</x:v>
      </x:c>
      <x:c r="T1473" t="str">
        <x:v>Credit</x:v>
      </x:c>
      <x:c r="U1473" t="str">
        <x:v>Paid</x:v>
      </x:c>
      <x:c r="V1473" t="str">
        <x:v>Delayed</x:v>
      </x:c>
      <x:c r="W1473" t="n">
        <x:v>0</x:v>
      </x:c>
      <x:c r="X1473" t="str"/>
      <x:c r="Y1473" t="str">
        <x:v>Field Visit</x:v>
      </x:c>
    </x:row>
    <x:row r="1474">
      <x:c r="A1474" t="str">
        <x:v>O001473</x:v>
      </x:c>
      <x:c r="B1474" s="20" t="n">
        <x:v>46251</x:v>
      </x:c>
      <x:c r="C1474" t="str">
        <x:v>C0201</x:v>
      </x:c>
      <x:c r="D1474" t="str">
        <x:v>Metro Hotel 201</x:v>
      </x:c>
      <x:c r="E1474" t="str">
        <x:v>Kirana</x:v>
      </x:c>
      <x:c r="F1474" t="str">
        <x:v>Mysuru</x:v>
      </x:c>
      <x:c r="G1474" t="str">
        <x:v>Imran</x:v>
      </x:c>
      <x:c r="H1474" t="str">
        <x:v>P024</x:v>
      </x:c>
      <x:c r="I1474" t="str">
        <x:v>Orange Drink 1L</x:v>
      </x:c>
      <x:c r="J1474" t="str">
        <x:v>Beverage</x:v>
      </x:c>
      <x:c r="K1474" t="str">
        <x:v>Minute Maid</x:v>
      </x:c>
      <x:c r="L1474" s="22" t="n">
        <x:v>105</x:v>
      </x:c>
      <x:c r="M1474" t="n">
        <x:v>25</x:v>
      </x:c>
      <x:c r="N1474" s="24" t="n">
        <x:v>0.05</x:v>
      </x:c>
      <x:c r="O1474" s="22" t="n">
        <x:f>L1474*M1474</x:f>
        <x:v>2625</x:v>
      </x:c>
      <x:c r="P1474" s="22" t="n">
        <x:f>O1474*(1-N1474)</x:f>
        <x:v>2493.75</x:v>
      </x:c>
      <x:c r="Q1474" s="22" t="n">
        <x:v>88</x:v>
      </x:c>
      <x:c r="R1474" s="22" t="n">
        <x:f>Q1474*M1474</x:f>
        <x:v>2200</x:v>
      </x:c>
      <x:c r="S1474" s="22" t="n">
        <x:f>P1474-R1474</x:f>
        <x:v>293.75</x:v>
      </x:c>
      <x:c r="T1474" t="str">
        <x:v>Bank Transfer</x:v>
      </x:c>
      <x:c r="U1474" t="str">
        <x:v>Paid</x:v>
      </x:c>
      <x:c r="V1474" t="str">
        <x:v>Delayed</x:v>
      </x:c>
      <x:c r="W1474" t="n">
        <x:v>0</x:v>
      </x:c>
      <x:c r="X1474" t="str"/>
      <x:c r="Y1474" t="str">
        <x:v>Outbound Call</x:v>
      </x:c>
    </x:row>
    <x:row r="1475">
      <x:c r="A1475" t="str">
        <x:v>O001474</x:v>
      </x:c>
      <x:c r="B1475" s="20" t="n">
        <x:v>45975</x:v>
      </x:c>
      <x:c r="C1475" t="str">
        <x:v>C0198</x:v>
      </x:c>
      <x:c r="D1475" t="str">
        <x:v>Royal Canteen 198</x:v>
      </x:c>
      <x:c r="E1475" t="str">
        <x:v>Supermarket</x:v>
      </x:c>
      <x:c r="F1475" t="str">
        <x:v>Davanagere</x:v>
      </x:c>
      <x:c r="G1475" t="str">
        <x:v>Arjun</x:v>
      </x:c>
      <x:c r="H1475" t="str">
        <x:v>P033</x:v>
      </x:c>
      <x:c r="I1475" t="str">
        <x:v>Turmeric Powder 1kg</x:v>
      </x:c>
      <x:c r="J1475" t="str">
        <x:v>Spices</x:v>
      </x:c>
      <x:c r="K1475" t="str">
        <x:v>Everest</x:v>
      </x:c>
      <x:c r="L1475" s="22" t="n">
        <x:v>310</x:v>
      </x:c>
      <x:c r="M1475" t="n">
        <x:v>37</x:v>
      </x:c>
      <x:c r="N1475" s="24" t="n">
        <x:v>0.05</x:v>
      </x:c>
      <x:c r="O1475" s="22" t="n">
        <x:f>L1475*M1475</x:f>
        <x:v>11470</x:v>
      </x:c>
      <x:c r="P1475" s="22" t="n">
        <x:f>O1475*(1-N1475)</x:f>
        <x:v>10896.5</x:v>
      </x:c>
      <x:c r="Q1475" s="22" t="n">
        <x:v>270</x:v>
      </x:c>
      <x:c r="R1475" s="22" t="n">
        <x:f>Q1475*M1475</x:f>
        <x:v>9990</x:v>
      </x:c>
      <x:c r="S1475" s="22" t="n">
        <x:f>P1475-R1475</x:f>
        <x:v>906.5</x:v>
      </x:c>
      <x:c r="T1475" t="str">
        <x:v>Bank Transfer</x:v>
      </x:c>
      <x:c r="U1475" t="str">
        <x:v>Overdue</x:v>
      </x:c>
      <x:c r="V1475" t="str">
        <x:v>Delivered</x:v>
      </x:c>
      <x:c r="W1475" t="n">
        <x:v>0</x:v>
      </x:c>
      <x:c r="X1475" t="str"/>
      <x:c r="Y1475" t="str">
        <x:v>Referral</x:v>
      </x:c>
    </x:row>
    <x:row r="1476">
      <x:c r="A1476" t="str">
        <x:v>O001475</x:v>
      </x:c>
      <x:c r="B1476" s="20" t="n">
        <x:v>46098</x:v>
      </x:c>
      <x:c r="C1476" t="str">
        <x:v>C0037</x:v>
      </x:c>
      <x:c r="D1476" t="str">
        <x:v>Royal Cafe 37</x:v>
      </x:c>
      <x:c r="E1476" t="str">
        <x:v>Hotel</x:v>
      </x:c>
      <x:c r="F1476" t="str">
        <x:v>Mysuru</x:v>
      </x:c>
      <x:c r="G1476" t="str">
        <x:v>Sneha</x:v>
      </x:c>
      <x:c r="H1476" t="str">
        <x:v>P050</x:v>
      </x:c>
      <x:c r="I1476" t="str">
        <x:v>Lemon 5kg</x:v>
      </x:c>
      <x:c r="J1476" t="str">
        <x:v>Fresh Produce</x:v>
      </x:c>
      <x:c r="K1476" t="str">
        <x:v>Local Market</x:v>
      </x:c>
      <x:c r="L1476" s="22" t="n">
        <x:v>360</x:v>
      </x:c>
      <x:c r="M1476" t="n">
        <x:v>26</x:v>
      </x:c>
      <x:c r="N1476" s="24" t="n">
        <x:v>0.03</x:v>
      </x:c>
      <x:c r="O1476" s="22" t="n">
        <x:f>L1476*M1476</x:f>
        <x:v>9360</x:v>
      </x:c>
      <x:c r="P1476" s="22" t="n">
        <x:f>O1476*(1-N1476)</x:f>
        <x:v>9079.199999999999</x:v>
      </x:c>
      <x:c r="Q1476" s="22" t="n">
        <x:v>300</x:v>
      </x:c>
      <x:c r="R1476" s="22" t="n">
        <x:f>Q1476*M1476</x:f>
        <x:v>7800</x:v>
      </x:c>
      <x:c r="S1476" s="22" t="n">
        <x:f>P1476-R1476</x:f>
        <x:v>1279.199999999999</x:v>
      </x:c>
      <x:c r="T1476" t="str">
        <x:v>UPI</x:v>
      </x:c>
      <x:c r="U1476" t="str">
        <x:v>Paid</x:v>
      </x:c>
      <x:c r="V1476" t="str">
        <x:v>Cancelled</x:v>
      </x:c>
      <x:c r="W1476" t="n">
        <x:v>26</x:v>
      </x:c>
      <x:c r="X1476" t="str">
        <x:v>Cancelled Order</x:v>
      </x:c>
      <x:c r="Y1476" t="str">
        <x:v>Outbound Call</x:v>
      </x:c>
    </x:row>
    <x:row r="1477">
      <x:c r="A1477" t="str">
        <x:v>O001476</x:v>
      </x:c>
      <x:c r="B1477" s="20" t="n">
        <x:v>46065</x:v>
      </x:c>
      <x:c r="C1477" t="str">
        <x:v>C0122</x:v>
      </x:c>
      <x:c r="D1477" t="str">
        <x:v>Namma Restaurant 122</x:v>
      </x:c>
      <x:c r="E1477" t="str">
        <x:v>Kirana</x:v>
      </x:c>
      <x:c r="F1477" t="str">
        <x:v>Hubballi</x:v>
      </x:c>
      <x:c r="G1477" t="str">
        <x:v>Sneha</x:v>
      </x:c>
      <x:c r="H1477" t="str">
        <x:v>P010</x:v>
      </x:c>
      <x:c r="I1477" t="str">
        <x:v>Sugar 25kg</x:v>
      </x:c>
      <x:c r="J1477" t="str">
        <x:v>Staples</x:v>
      </x:c>
      <x:c r="K1477" t="str">
        <x:v>Madhur</x:v>
      </x:c>
      <x:c r="L1477" s="22" t="n">
        <x:v>1190</x:v>
      </x:c>
      <x:c r="M1477" t="n">
        <x:v>8</x:v>
      </x:c>
      <x:c r="N1477" s="24" t="n">
        <x:v>0.05</x:v>
      </x:c>
      <x:c r="O1477" s="22" t="n">
        <x:f>L1477*M1477</x:f>
        <x:v>9520</x:v>
      </x:c>
      <x:c r="P1477" s="22" t="n">
        <x:f>O1477*(1-N1477)</x:f>
        <x:v>9044</x:v>
      </x:c>
      <x:c r="Q1477" s="22" t="n">
        <x:v>1080</x:v>
      </x:c>
      <x:c r="R1477" s="22" t="n">
        <x:f>Q1477*M1477</x:f>
        <x:v>8640</x:v>
      </x:c>
      <x:c r="S1477" s="22" t="n">
        <x:f>P1477-R1477</x:f>
        <x:v>404</x:v>
      </x:c>
      <x:c r="T1477" t="str">
        <x:v>UPI</x:v>
      </x:c>
      <x:c r="U1477" t="str">
        <x:v>Paid</x:v>
      </x:c>
      <x:c r="V1477" t="str">
        <x:v>Delivered</x:v>
      </x:c>
      <x:c r="W1477" t="n">
        <x:v>0</x:v>
      </x:c>
      <x:c r="X1477" t="str"/>
      <x:c r="Y1477" t="str">
        <x:v>Field Visit</x:v>
      </x:c>
    </x:row>
    <x:row r="1478">
      <x:c r="A1478" t="str">
        <x:v>O001477</x:v>
      </x:c>
      <x:c r="B1478" s="20" t="n">
        <x:v>46190</x:v>
      </x:c>
      <x:c r="C1478" t="str">
        <x:v>C0186</x:v>
      </x:c>
      <x:c r="D1478" t="str">
        <x:v>Namma Stores 186</x:v>
      </x:c>
      <x:c r="E1478" t="str">
        <x:v>Supermarket</x:v>
      </x:c>
      <x:c r="F1478" t="str">
        <x:v>Mysuru</x:v>
      </x:c>
      <x:c r="G1478" t="str">
        <x:v>Vikram</x:v>
      </x:c>
      <x:c r="H1478" t="str">
        <x:v>P015</x:v>
      </x:c>
      <x:c r="I1478" t="str">
        <x:v>Milk 1L</x:v>
      </x:c>
      <x:c r="J1478" t="str">
        <x:v>Dairy</x:v>
      </x:c>
      <x:c r="K1478" t="str">
        <x:v>Nandini</x:v>
      </x:c>
      <x:c r="L1478" s="22" t="n">
        <x:v>48</x:v>
      </x:c>
      <x:c r="M1478" t="n">
        <x:v>39</x:v>
      </x:c>
      <x:c r="N1478" s="24" t="n">
        <x:v>0</x:v>
      </x:c>
      <x:c r="O1478" s="22" t="n">
        <x:f>L1478*M1478</x:f>
        <x:v>1872</x:v>
      </x:c>
      <x:c r="P1478" s="22" t="n">
        <x:f>O1478*(1-N1478)</x:f>
        <x:v>1872</x:v>
      </x:c>
      <x:c r="Q1478" s="22" t="n">
        <x:v>43</x:v>
      </x:c>
      <x:c r="R1478" s="22" t="n">
        <x:f>Q1478*M1478</x:f>
        <x:v>1677</x:v>
      </x:c>
      <x:c r="S1478" s="22" t="n">
        <x:f>P1478-R1478</x:f>
        <x:v>195</x:v>
      </x:c>
      <x:c r="T1478" t="str">
        <x:v>Cash</x:v>
      </x:c>
      <x:c r="U1478" t="str">
        <x:v>Paid</x:v>
      </x:c>
      <x:c r="V1478" t="str">
        <x:v>Delayed</x:v>
      </x:c>
      <x:c r="W1478" t="n">
        <x:v>0</x:v>
      </x:c>
      <x:c r="X1478" t="str"/>
      <x:c r="Y1478" t="str">
        <x:v>Referral</x:v>
      </x:c>
    </x:row>
    <x:row r="1479">
      <x:c r="A1479" t="str">
        <x:v>O001478</x:v>
      </x:c>
      <x:c r="B1479" s="20" t="n">
        <x:v>45675</x:v>
      </x:c>
      <x:c r="C1479" t="str">
        <x:v>C0144</x:v>
      </x:c>
      <x:c r="D1479" t="str">
        <x:v>Namma Foods 144</x:v>
      </x:c>
      <x:c r="E1479" t="str">
        <x:v>Restaurant</x:v>
      </x:c>
      <x:c r="F1479" t="str">
        <x:v>Tumakuru</x:v>
      </x:c>
      <x:c r="G1479" t="str">
        <x:v>Arjun</x:v>
      </x:c>
      <x:c r="H1479" t="str">
        <x:v>P049</x:v>
      </x:c>
      <x:c r="I1479" t="str">
        <x:v>Apple 10kg</x:v>
      </x:c>
      <x:c r="J1479" t="str">
        <x:v>Fresh Produce</x:v>
      </x:c>
      <x:c r="K1479" t="str">
        <x:v>Local Market</x:v>
      </x:c>
      <x:c r="L1479" s="22" t="n">
        <x:v>1450</x:v>
      </x:c>
      <x:c r="M1479" t="n">
        <x:v>1</x:v>
      </x:c>
      <x:c r="N1479" s="24" t="n">
        <x:v>0.08</x:v>
      </x:c>
      <x:c r="O1479" s="22" t="n">
        <x:f>L1479*M1479</x:f>
        <x:v>1450</x:v>
      </x:c>
      <x:c r="P1479" s="22" t="n">
        <x:f>O1479*(1-N1479)</x:f>
        <x:v>1334</x:v>
      </x:c>
      <x:c r="Q1479" s="22" t="n">
        <x:v>1280</x:v>
      </x:c>
      <x:c r="R1479" s="22" t="n">
        <x:f>Q1479*M1479</x:f>
        <x:v>1280</x:v>
      </x:c>
      <x:c r="S1479" s="22" t="n">
        <x:f>P1479-R1479</x:f>
        <x:v>54</x:v>
      </x:c>
      <x:c r="T1479" t="str">
        <x:v>Credit</x:v>
      </x:c>
      <x:c r="U1479" t="str">
        <x:v>Pending</x:v>
      </x:c>
      <x:c r="V1479" t="str">
        <x:v>Delivered</x:v>
      </x:c>
      <x:c r="W1479" t="n">
        <x:v>0</x:v>
      </x:c>
      <x:c r="X1479" t="str"/>
      <x:c r="Y1479" t="str">
        <x:v>Existing Customer</x:v>
      </x:c>
    </x:row>
    <x:row r="1480">
      <x:c r="A1480" t="str">
        <x:v>O001479</x:v>
      </x:c>
      <x:c r="B1480" s="20" t="n">
        <x:v>46220</x:v>
      </x:c>
      <x:c r="C1480" t="str">
        <x:v>C0088</x:v>
      </x:c>
      <x:c r="D1480" t="str">
        <x:v>Darshini Kitchen 88</x:v>
      </x:c>
      <x:c r="E1480" t="str">
        <x:v>Cafe</x:v>
      </x:c>
      <x:c r="F1480" t="str">
        <x:v>Tumakuru</x:v>
      </x:c>
      <x:c r="G1480" t="str">
        <x:v>Arjun</x:v>
      </x:c>
      <x:c r="H1480" t="str">
        <x:v>P002</x:v>
      </x:c>
      <x:c r="I1480" t="str">
        <x:v>Sona Masoori Rice 25kg</x:v>
      </x:c>
      <x:c r="J1480" t="str">
        <x:v>Staples</x:v>
      </x:c>
      <x:c r="K1480" t="str">
        <x:v>Fortune</x:v>
      </x:c>
      <x:c r="L1480" s="22" t="n">
        <x:v>1320</x:v>
      </x:c>
      <x:c r="M1480" t="n">
        <x:v>7</x:v>
      </x:c>
      <x:c r="N1480" s="24" t="n">
        <x:v>0.03</x:v>
      </x:c>
      <x:c r="O1480" s="22" t="n">
        <x:f>L1480*M1480</x:f>
        <x:v>9240</x:v>
      </x:c>
      <x:c r="P1480" s="22" t="n">
        <x:f>O1480*(1-N1480)</x:f>
        <x:v>8962.8</x:v>
      </x:c>
      <x:c r="Q1480" s="22" t="n">
        <x:v>1160</x:v>
      </x:c>
      <x:c r="R1480" s="22" t="n">
        <x:f>Q1480*M1480</x:f>
        <x:v>8120</x:v>
      </x:c>
      <x:c r="S1480" s="22" t="n">
        <x:f>P1480-R1480</x:f>
        <x:v>842.7999999999993</x:v>
      </x:c>
      <x:c r="T1480" t="str">
        <x:v>Cash</x:v>
      </x:c>
      <x:c r="U1480" t="str">
        <x:v>Paid</x:v>
      </x:c>
      <x:c r="V1480" t="str">
        <x:v>Delivered</x:v>
      </x:c>
      <x:c r="W1480" t="n">
        <x:v>0</x:v>
      </x:c>
      <x:c r="X1480" t="str"/>
      <x:c r="Y1480" t="str">
        <x:v>Field Visit</x:v>
      </x:c>
    </x:row>
    <x:row r="1481">
      <x:c r="A1481" t="str">
        <x:v>O001480</x:v>
      </x:c>
      <x:c r="B1481" s="20" t="n">
        <x:v>46244</x:v>
      </x:c>
      <x:c r="C1481" t="str">
        <x:v>C0141</x:v>
      </x:c>
      <x:c r="D1481" t="str">
        <x:v>Sri Restaurant 141</x:v>
      </x:c>
      <x:c r="E1481" t="str">
        <x:v>Restaurant</x:v>
      </x:c>
      <x:c r="F1481" t="str">
        <x:v>Mangaluru</x:v>
      </x:c>
      <x:c r="G1481" t="str">
        <x:v>Ramesh</x:v>
      </x:c>
      <x:c r="H1481" t="str">
        <x:v>P025</x:v>
      </x:c>
      <x:c r="I1481" t="str">
        <x:v>Potato Chips 100g</x:v>
      </x:c>
      <x:c r="J1481" t="str">
        <x:v>Snacks</x:v>
      </x:c>
      <x:c r="K1481" t="str">
        <x:v>Lay's</x:v>
      </x:c>
      <x:c r="L1481" s="22" t="n">
        <x:v>35</x:v>
      </x:c>
      <x:c r="M1481" t="n">
        <x:v>25</x:v>
      </x:c>
      <x:c r="N1481" s="24" t="n">
        <x:v>0.02</x:v>
      </x:c>
      <x:c r="O1481" s="22" t="n">
        <x:f>L1481*M1481</x:f>
        <x:v>875</x:v>
      </x:c>
      <x:c r="P1481" s="22" t="n">
        <x:f>O1481*(1-N1481)</x:f>
        <x:v>857.5</x:v>
      </x:c>
      <x:c r="Q1481" s="22" t="n">
        <x:v>27</x:v>
      </x:c>
      <x:c r="R1481" s="22" t="n">
        <x:f>Q1481*M1481</x:f>
        <x:v>675</x:v>
      </x:c>
      <x:c r="S1481" s="22" t="n">
        <x:f>P1481-R1481</x:f>
        <x:v>182.5</x:v>
      </x:c>
      <x:c r="T1481" t="str">
        <x:v>UPI</x:v>
      </x:c>
      <x:c r="U1481" t="str">
        <x:v>Overdue</x:v>
      </x:c>
      <x:c r="V1481" t="str">
        <x:v>Delivered</x:v>
      </x:c>
      <x:c r="W1481" t="n">
        <x:v>4</x:v>
      </x:c>
      <x:c r="X1481" t="str">
        <x:v>Late Delivery</x:v>
      </x:c>
      <x:c r="Y1481" t="str">
        <x:v>Outbound Call</x:v>
      </x:c>
    </x:row>
    <x:row r="1482">
      <x:c r="A1482" t="str">
        <x:v>O001481</x:v>
      </x:c>
      <x:c r="B1482" s="20" t="n">
        <x:v>45852</x:v>
      </x:c>
      <x:c r="C1482" t="str">
        <x:v>C0176</x:v>
      </x:c>
      <x:c r="D1482" t="str">
        <x:v>Cafe Kitchen 176</x:v>
      </x:c>
      <x:c r="E1482" t="str">
        <x:v>Kirana</x:v>
      </x:c>
      <x:c r="F1482" t="str">
        <x:v>Mysuru</x:v>
      </x:c>
      <x:c r="G1482" t="str">
        <x:v>Priya</x:v>
      </x:c>
      <x:c r="H1482" t="str">
        <x:v>P010</x:v>
      </x:c>
      <x:c r="I1482" t="str">
        <x:v>Sugar 25kg</x:v>
      </x:c>
      <x:c r="J1482" t="str">
        <x:v>Staples</x:v>
      </x:c>
      <x:c r="K1482" t="str">
        <x:v>Madhur</x:v>
      </x:c>
      <x:c r="L1482" s="22" t="n">
        <x:v>1190</x:v>
      </x:c>
      <x:c r="M1482" t="n">
        <x:v>6</x:v>
      </x:c>
      <x:c r="N1482" s="24" t="n">
        <x:v>0.03</x:v>
      </x:c>
      <x:c r="O1482" s="22" t="n">
        <x:f>L1482*M1482</x:f>
        <x:v>7140</x:v>
      </x:c>
      <x:c r="P1482" s="22" t="n">
        <x:f>O1482*(1-N1482)</x:f>
        <x:v>6925.8</x:v>
      </x:c>
      <x:c r="Q1482" s="22" t="n">
        <x:v>1080</x:v>
      </x:c>
      <x:c r="R1482" s="22" t="n">
        <x:f>Q1482*M1482</x:f>
        <x:v>6480</x:v>
      </x:c>
      <x:c r="S1482" s="22" t="n">
        <x:f>P1482-R1482</x:f>
        <x:v>445.8000000000002</x:v>
      </x:c>
      <x:c r="T1482" t="str">
        <x:v>UPI</x:v>
      </x:c>
      <x:c r="U1482" t="str">
        <x:v>Paid</x:v>
      </x:c>
      <x:c r="V1482" t="str">
        <x:v>Delivered</x:v>
      </x:c>
      <x:c r="W1482" t="n">
        <x:v>0</x:v>
      </x:c>
      <x:c r="X1482" t="str"/>
      <x:c r="Y1482" t="str">
        <x:v>WhatsApp</x:v>
      </x:c>
    </x:row>
    <x:row r="1483">
      <x:c r="A1483" t="str">
        <x:v>O001482</x:v>
      </x:c>
      <x:c r="B1483" s="20" t="n">
        <x:v>45976</x:v>
      </x:c>
      <x:c r="C1483" t="str">
        <x:v>C0062</x:v>
      </x:c>
      <x:c r="D1483" t="str">
        <x:v>Foodie Hotel 62</x:v>
      </x:c>
      <x:c r="E1483" t="str">
        <x:v>Cafe</x:v>
      </x:c>
      <x:c r="F1483" t="str">
        <x:v>Mysuru</x:v>
      </x:c>
      <x:c r="G1483" t="str">
        <x:v>Vikram</x:v>
      </x:c>
      <x:c r="H1483" t="str">
        <x:v>P038</x:v>
      </x:c>
      <x:c r="I1483" t="str">
        <x:v>French Fries 2.5kg</x:v>
      </x:c>
      <x:c r="J1483" t="str">
        <x:v>Frozen</x:v>
      </x:c>
      <x:c r="K1483" t="str">
        <x:v>McCain</x:v>
      </x:c>
      <x:c r="L1483" s="22" t="n">
        <x:v>360</x:v>
      </x:c>
      <x:c r="M1483" t="n">
        <x:v>33</x:v>
      </x:c>
      <x:c r="N1483" s="24" t="n">
        <x:v>0.02</x:v>
      </x:c>
      <x:c r="O1483" s="22" t="n">
        <x:f>L1483*M1483</x:f>
        <x:v>11880</x:v>
      </x:c>
      <x:c r="P1483" s="22" t="n">
        <x:f>O1483*(1-N1483)</x:f>
        <x:v>11642.4</x:v>
      </x:c>
      <x:c r="Q1483" s="22" t="n">
        <x:v>315</x:v>
      </x:c>
      <x:c r="R1483" s="22" t="n">
        <x:f>Q1483*M1483</x:f>
        <x:v>10395</x:v>
      </x:c>
      <x:c r="S1483" s="22" t="n">
        <x:f>P1483-R1483</x:f>
        <x:v>1247.3999999999996</x:v>
      </x:c>
      <x:c r="T1483" t="str">
        <x:v>UPI</x:v>
      </x:c>
      <x:c r="U1483" t="str">
        <x:v>Pending</x:v>
      </x:c>
      <x:c r="V1483" t="str">
        <x:v>Delivered</x:v>
      </x:c>
      <x:c r="W1483" t="n">
        <x:v>0</x:v>
      </x:c>
      <x:c r="X1483" t="str"/>
      <x:c r="Y1483" t="str"/>
    </x:row>
    <x:row r="1484">
      <x:c r="A1484" t="str">
        <x:v>O001483</x:v>
      </x:c>
      <x:c r="B1484" s="20" t="n">
        <x:v>46102</x:v>
      </x:c>
      <x:c r="C1484" t="str">
        <x:v>C0171</x:v>
      </x:c>
      <x:c r="D1484" t="str">
        <x:v>Metro Canteen 171</x:v>
      </x:c>
      <x:c r="E1484" t="str">
        <x:v>Restaurant</x:v>
      </x:c>
      <x:c r="F1484" t="str">
        <x:v>Mangaluru</x:v>
      </x:c>
      <x:c r="G1484" t="str">
        <x:v>Priya</x:v>
      </x:c>
      <x:c r="H1484" t="str">
        <x:v>P033</x:v>
      </x:c>
      <x:c r="I1484" t="str">
        <x:v>Turmeric Powder 1kg</x:v>
      </x:c>
      <x:c r="J1484" t="str">
        <x:v>Spices</x:v>
      </x:c>
      <x:c r="K1484" t="str">
        <x:v>Everest</x:v>
      </x:c>
      <x:c r="L1484" s="22" t="n">
        <x:v>310</x:v>
      </x:c>
      <x:c r="M1484" t="n">
        <x:v>39</x:v>
      </x:c>
      <x:c r="N1484" s="24" t="n">
        <x:v>0.02</x:v>
      </x:c>
      <x:c r="O1484" s="22" t="n">
        <x:f>L1484*M1484</x:f>
        <x:v>12090</x:v>
      </x:c>
      <x:c r="P1484" s="22" t="n">
        <x:f>O1484*(1-N1484)</x:f>
        <x:v>11848.199999999999</x:v>
      </x:c>
      <x:c r="Q1484" s="22" t="n">
        <x:v>270</x:v>
      </x:c>
      <x:c r="R1484" s="22" t="n">
        <x:f>Q1484*M1484</x:f>
        <x:v>10530</x:v>
      </x:c>
      <x:c r="S1484" s="22" t="n">
        <x:f>P1484-R1484</x:f>
        <x:v>1318.199999999999</x:v>
      </x:c>
      <x:c r="T1484" t="str">
        <x:v>Credit</x:v>
      </x:c>
      <x:c r="U1484" t="str">
        <x:v>Paid</x:v>
      </x:c>
      <x:c r="V1484" t="str">
        <x:v>Delivered</x:v>
      </x:c>
      <x:c r="W1484" t="n">
        <x:v>0</x:v>
      </x:c>
      <x:c r="X1484" t="str"/>
      <x:c r="Y1484" t="str">
        <x:v>WhatsApp</x:v>
      </x:c>
    </x:row>
    <x:row r="1485">
      <x:c r="A1485" t="str">
        <x:v>O001484</x:v>
      </x:c>
      <x:c r="B1485" s="20" t="n">
        <x:v>45855</x:v>
      </x:c>
      <x:c r="C1485" t="str">
        <x:v>C0020</x:v>
      </x:c>
      <x:c r="D1485" t="str">
        <x:v>Shree Foods 20</x:v>
      </x:c>
      <x:c r="E1485" t="str">
        <x:v>Restaurant</x:v>
      </x:c>
      <x:c r="F1485" t="str">
        <x:v>Mysuru</x:v>
      </x:c>
      <x:c r="G1485" t="str">
        <x:v>Arjun</x:v>
      </x:c>
      <x:c r="H1485" t="str">
        <x:v>P006</x:v>
      </x:c>
      <x:c r="I1485" t="str">
        <x:v>Moong Dal 5kg</x:v>
      </x:c>
      <x:c r="J1485" t="str">
        <x:v>Pulses</x:v>
      </x:c>
      <x:c r="K1485" t="str">
        <x:v>Local Select</x:v>
      </x:c>
      <x:c r="L1485" s="22" t="n">
        <x:v>610</x:v>
      </x:c>
      <x:c r="M1485" t="n">
        <x:v>40</x:v>
      </x:c>
      <x:c r="N1485" s="24" t="n">
        <x:v>0.02</x:v>
      </x:c>
      <x:c r="O1485" s="22" t="n">
        <x:f>L1485*M1485</x:f>
        <x:v>24400</x:v>
      </x:c>
      <x:c r="P1485" s="22" t="n">
        <x:f>O1485*(1-N1485)</x:f>
        <x:v>23912</x:v>
      </x:c>
      <x:c r="Q1485" s="22" t="n">
        <x:v>540</x:v>
      </x:c>
      <x:c r="R1485" s="22" t="n">
        <x:f>Q1485*M1485</x:f>
        <x:v>21600</x:v>
      </x:c>
      <x:c r="S1485" s="22" t="n">
        <x:f>P1485-R1485</x:f>
        <x:v>2312</x:v>
      </x:c>
      <x:c r="T1485" t="str">
        <x:v>UPI</x:v>
      </x:c>
      <x:c r="U1485" t="str">
        <x:v>Paid</x:v>
      </x:c>
      <x:c r="V1485" t="str">
        <x:v>Delivered</x:v>
      </x:c>
      <x:c r="W1485" t="n">
        <x:v>0</x:v>
      </x:c>
      <x:c r="X1485" t="str"/>
      <x:c r="Y1485" t="str">
        <x:v>Outbound Call</x:v>
      </x:c>
    </x:row>
    <x:row r="1486">
      <x:c r="A1486" t="str">
        <x:v>O001485</x:v>
      </x:c>
      <x:c r="B1486" s="20" t="n">
        <x:v>45958</x:v>
      </x:c>
      <x:c r="C1486" t="str">
        <x:v>C0072</x:v>
      </x:c>
      <x:c r="D1486" t="str">
        <x:v>Grand Restaurant 72</x:v>
      </x:c>
      <x:c r="E1486" t="str">
        <x:v>Restaurant</x:v>
      </x:c>
      <x:c r="F1486" t="str">
        <x:v>Davanagere</x:v>
      </x:c>
      <x:c r="G1486" t="str">
        <x:v>Kavya</x:v>
      </x:c>
      <x:c r="H1486" t="str">
        <x:v>P006</x:v>
      </x:c>
      <x:c r="I1486" t="str">
        <x:v>Moong Dal 5kg</x:v>
      </x:c>
      <x:c r="J1486" t="str">
        <x:v>Pulses</x:v>
      </x:c>
      <x:c r="K1486" t="str">
        <x:v>Local Select</x:v>
      </x:c>
      <x:c r="L1486" s="22" t="n">
        <x:v>610</x:v>
      </x:c>
      <x:c r="M1486" t="n">
        <x:v>39</x:v>
      </x:c>
      <x:c r="N1486" s="24" t="n">
        <x:v>0</x:v>
      </x:c>
      <x:c r="O1486" s="22" t="n">
        <x:f>L1486*M1486</x:f>
        <x:v>23790</x:v>
      </x:c>
      <x:c r="P1486" s="22" t="n">
        <x:f>O1486*(1-N1486)</x:f>
        <x:v>23790</x:v>
      </x:c>
      <x:c r="Q1486" s="22" t="n">
        <x:v>540</x:v>
      </x:c>
      <x:c r="R1486" s="22" t="n">
        <x:f>Q1486*M1486</x:f>
        <x:v>21060</x:v>
      </x:c>
      <x:c r="S1486" s="22" t="n">
        <x:f>P1486-R1486</x:f>
        <x:v>2730</x:v>
      </x:c>
      <x:c r="T1486" t="str">
        <x:v>Cash</x:v>
      </x:c>
      <x:c r="U1486" t="str">
        <x:v>Paid</x:v>
      </x:c>
      <x:c r="V1486" t="str">
        <x:v>Delivered</x:v>
      </x:c>
      <x:c r="W1486" t="n">
        <x:v>0</x:v>
      </x:c>
      <x:c r="X1486" t="str"/>
      <x:c r="Y1486" t="str">
        <x:v>Existing Customer</x:v>
      </x:c>
    </x:row>
    <x:row r="1487">
      <x:c r="A1487" t="str">
        <x:v>O001486</x:v>
      </x:c>
      <x:c r="B1487" s="20" t="n">
        <x:v>46079</x:v>
      </x:c>
      <x:c r="C1487" t="str">
        <x:v>C0150</x:v>
      </x:c>
      <x:c r="D1487" t="str">
        <x:v>Sagar Kitchen 150</x:v>
      </x:c>
      <x:c r="E1487" t="str">
        <x:v>Kirana</x:v>
      </x:c>
      <x:c r="F1487" t="str">
        <x:v>Hubballi</x:v>
      </x:c>
      <x:c r="G1487" t="str">
        <x:v>Ramesh</x:v>
      </x:c>
      <x:c r="H1487" t="str">
        <x:v>P029</x:v>
      </x:c>
      <x:c r="I1487" t="str">
        <x:v>Tomato Ketchup 1kg</x:v>
      </x:c>
      <x:c r="J1487" t="str">
        <x:v>Condiments</x:v>
      </x:c>
      <x:c r="K1487" t="str">
        <x:v>Kissan</x:v>
      </x:c>
      <x:c r="L1487" s="22" t="n">
        <x:v>145</x:v>
      </x:c>
      <x:c r="M1487" t="n">
        <x:v>10</x:v>
      </x:c>
      <x:c r="N1487" s="24" t="n">
        <x:v>0</x:v>
      </x:c>
      <x:c r="O1487" s="22" t="n">
        <x:f>L1487*M1487</x:f>
        <x:v>1450</x:v>
      </x:c>
      <x:c r="P1487" s="22" t="n">
        <x:f>O1487*(1-N1487)</x:f>
        <x:v>1450</x:v>
      </x:c>
      <x:c r="Q1487" s="22" t="n">
        <x:v>126</x:v>
      </x:c>
      <x:c r="R1487" s="22" t="n">
        <x:f>Q1487*M1487</x:f>
        <x:v>1260</x:v>
      </x:c>
      <x:c r="S1487" s="22" t="n">
        <x:f>P1487-R1487</x:f>
        <x:v>190</x:v>
      </x:c>
      <x:c r="T1487" t="str">
        <x:v>Cash</x:v>
      </x:c>
      <x:c r="U1487" t="str">
        <x:v>Paid</x:v>
      </x:c>
      <x:c r="V1487" t="str">
        <x:v>Delivered</x:v>
      </x:c>
      <x:c r="W1487" t="n">
        <x:v>0</x:v>
      </x:c>
      <x:c r="X1487" t="str"/>
      <x:c r="Y1487" t="str">
        <x:v>WhatsApp</x:v>
      </x:c>
    </x:row>
    <x:row r="1488">
      <x:c r="A1488" t="str">
        <x:v>O001487</x:v>
      </x:c>
      <x:c r="B1488" s="20" t="n">
        <x:v>46058</x:v>
      </x:c>
      <x:c r="C1488" t="str">
        <x:v>C0154</x:v>
      </x:c>
      <x:c r="D1488" t="str">
        <x:v>Royal Restaurant 154</x:v>
      </x:c>
      <x:c r="E1488" t="str">
        <x:v>Restaurant</x:v>
      </x:c>
      <x:c r="F1488" t="str">
        <x:v>Tumakuru</x:v>
      </x:c>
      <x:c r="G1488" t="str">
        <x:v>Kavya</x:v>
      </x:c>
      <x:c r="H1488" t="str">
        <x:v>P019</x:v>
      </x:c>
      <x:c r="I1488" t="str">
        <x:v>Tea 1kg</x:v>
      </x:c>
      <x:c r="J1488" t="str">
        <x:v>Beverage</x:v>
      </x:c>
      <x:c r="K1488" t="str">
        <x:v>Red Label</x:v>
      </x:c>
      <x:c r="L1488" s="22" t="n">
        <x:v>540</x:v>
      </x:c>
      <x:c r="M1488" t="n">
        <x:v>11</x:v>
      </x:c>
      <x:c r="N1488" s="24" t="n">
        <x:v>0</x:v>
      </x:c>
      <x:c r="O1488" s="22" t="n">
        <x:f>L1488*M1488</x:f>
        <x:v>5940</x:v>
      </x:c>
      <x:c r="P1488" s="22" t="n">
        <x:f>O1488*(1-N1488)</x:f>
        <x:v>5940</x:v>
      </x:c>
      <x:c r="Q1488" s="22" t="n">
        <x:v>485</x:v>
      </x:c>
      <x:c r="R1488" s="22" t="n">
        <x:f>Q1488*M1488</x:f>
        <x:v>5335</x:v>
      </x:c>
      <x:c r="S1488" s="22" t="n">
        <x:f>P1488-R1488</x:f>
        <x:v>605</x:v>
      </x:c>
      <x:c r="T1488" t="str">
        <x:v>Credit</x:v>
      </x:c>
      <x:c r="U1488" t="str">
        <x:v>Pending</x:v>
      </x:c>
      <x:c r="V1488" t="str">
        <x:v>Cancelled</x:v>
      </x:c>
      <x:c r="W1488" t="n">
        <x:v>11</x:v>
      </x:c>
      <x:c r="X1488" t="str">
        <x:v>Cancelled Order</x:v>
      </x:c>
      <x:c r="Y1488" t="str">
        <x:v>WhatsApp</x:v>
      </x:c>
    </x:row>
    <x:row r="1489">
      <x:c r="A1489" t="str">
        <x:v>O001488</x:v>
      </x:c>
      <x:c r="B1489" s="20" t="n">
        <x:v>45791</x:v>
      </x:c>
      <x:c r="C1489" t="str">
        <x:v>C0106</x:v>
      </x:c>
      <x:c r="D1489" t="str">
        <x:v>Classic Mart 106</x:v>
      </x:c>
      <x:c r="E1489" t="str">
        <x:v>Restaurant</x:v>
      </x:c>
      <x:c r="F1489" t="str">
        <x:v>Mysuru</x:v>
      </x:c>
      <x:c r="G1489" t="str">
        <x:v>Kavya</x:v>
      </x:c>
      <x:c r="H1489" t="str">
        <x:v>P043</x:v>
      </x:c>
      <x:c r="I1489" t="str">
        <x:v>Chicken Breast 1kg</x:v>
      </x:c>
      <x:c r="J1489" t="str">
        <x:v>Protein</x:v>
      </x:c>
      <x:c r="K1489" t="str">
        <x:v>FreshToHome</x:v>
      </x:c>
      <x:c r="L1489" s="22" t="n">
        <x:v>260</x:v>
      </x:c>
      <x:c r="M1489" t="n">
        <x:v>39</x:v>
      </x:c>
      <x:c r="N1489" s="24" t="n">
        <x:v>0</x:v>
      </x:c>
      <x:c r="O1489" s="22" t="n">
        <x:f>L1489*M1489</x:f>
        <x:v>10140</x:v>
      </x:c>
      <x:c r="P1489" s="22" t="n">
        <x:f>O1489*(1-N1489)</x:f>
        <x:v>10140</x:v>
      </x:c>
      <x:c r="Q1489" s="22" t="n">
        <x:v>235</x:v>
      </x:c>
      <x:c r="R1489" s="22" t="n">
        <x:f>Q1489*M1489</x:f>
        <x:v>9165</x:v>
      </x:c>
      <x:c r="S1489" s="22" t="n">
        <x:f>P1489-R1489</x:f>
        <x:v>975</x:v>
      </x:c>
      <x:c r="T1489" t="str">
        <x:v>UPI</x:v>
      </x:c>
      <x:c r="U1489" t="str">
        <x:v>Paid</x:v>
      </x:c>
      <x:c r="V1489" t="str">
        <x:v>Delivered</x:v>
      </x:c>
      <x:c r="W1489" t="n">
        <x:v>0</x:v>
      </x:c>
      <x:c r="X1489" t="str"/>
      <x:c r="Y1489" t="str">
        <x:v>WhatsApp</x:v>
      </x:c>
    </x:row>
    <x:row r="1490">
      <x:c r="A1490" t="str">
        <x:v>O001489</x:v>
      </x:c>
      <x:c r="B1490" s="20" t="n">
        <x:v>46051</x:v>
      </x:c>
      <x:c r="C1490" t="str">
        <x:v>C0212</x:v>
      </x:c>
      <x:c r="D1490" t="str">
        <x:v>Classic Restaurant 212</x:v>
      </x:c>
      <x:c r="E1490" t="str">
        <x:v>Restaurant</x:v>
      </x:c>
      <x:c r="F1490" t="str">
        <x:v>Mysuru</x:v>
      </x:c>
      <x:c r="G1490" t="str">
        <x:v>Vikram</x:v>
      </x:c>
      <x:c r="H1490" t="str">
        <x:v>P031</x:v>
      </x:c>
      <x:c r="I1490" t="str">
        <x:v>Chilli Sauce 700g</x:v>
      </x:c>
      <x:c r="J1490" t="str">
        <x:v>Condiments</x:v>
      </x:c>
      <x:c r="K1490" t="str">
        <x:v>Ching's</x:v>
      </x:c>
      <x:c r="L1490" s="22" t="n">
        <x:v>130</x:v>
      </x:c>
      <x:c r="M1490" t="n">
        <x:v>4</x:v>
      </x:c>
      <x:c r="N1490" s="24" t="n">
        <x:v>0.1</x:v>
      </x:c>
      <x:c r="O1490" s="22" t="n">
        <x:f>L1490*M1490</x:f>
        <x:v>520</x:v>
      </x:c>
      <x:c r="P1490" s="22" t="n">
        <x:f>O1490*(1-N1490)</x:f>
        <x:v>468</x:v>
      </x:c>
      <x:c r="Q1490" s="22" t="n">
        <x:v>112</x:v>
      </x:c>
      <x:c r="R1490" s="22" t="n">
        <x:f>Q1490*M1490</x:f>
        <x:v>448</x:v>
      </x:c>
      <x:c r="S1490" s="22" t="n">
        <x:f>P1490-R1490</x:f>
        <x:v>20</x:v>
      </x:c>
      <x:c r="T1490" t="str">
        <x:v>UPI</x:v>
      </x:c>
      <x:c r="U1490" t="str">
        <x:v>Pending</x:v>
      </x:c>
      <x:c r="V1490" t="str">
        <x:v>Delivered</x:v>
      </x:c>
      <x:c r="W1490" t="n">
        <x:v>3</x:v>
      </x:c>
      <x:c r="X1490" t="str">
        <x:v>Damaged</x:v>
      </x:c>
      <x:c r="Y1490" t="str">
        <x:v>Referral</x:v>
      </x:c>
    </x:row>
    <x:row r="1491">
      <x:c r="A1491" t="str">
        <x:v>O001490</x:v>
      </x:c>
      <x:c r="B1491" s="20" t="n">
        <x:v>45749</x:v>
      </x:c>
      <x:c r="C1491" t="str">
        <x:v>C0117</x:v>
      </x:c>
      <x:c r="D1491" t="str">
        <x:v>Classic Canteen 117</x:v>
      </x:c>
      <x:c r="E1491" t="str">
        <x:v>Restaurant</x:v>
      </x:c>
      <x:c r="F1491" t="str">
        <x:v>Hubballi</x:v>
      </x:c>
      <x:c r="G1491" t="str">
        <x:v>Megha</x:v>
      </x:c>
      <x:c r="H1491" t="str">
        <x:v>P015</x:v>
      </x:c>
      <x:c r="I1491" t="str">
        <x:v>Milk 1L</x:v>
      </x:c>
      <x:c r="J1491" t="str">
        <x:v>Dairy</x:v>
      </x:c>
      <x:c r="K1491" t="str">
        <x:v>Nandini</x:v>
      </x:c>
      <x:c r="L1491" s="22" t="n">
        <x:v>48</x:v>
      </x:c>
      <x:c r="M1491" t="n">
        <x:v>9</x:v>
      </x:c>
      <x:c r="N1491" s="24" t="n">
        <x:v>0.1</x:v>
      </x:c>
      <x:c r="O1491" s="22" t="n">
        <x:f>L1491*M1491</x:f>
        <x:v>432</x:v>
      </x:c>
      <x:c r="P1491" s="22" t="n">
        <x:f>O1491*(1-N1491)</x:f>
        <x:v>388.8</x:v>
      </x:c>
      <x:c r="Q1491" s="22" t="n">
        <x:v>43</x:v>
      </x:c>
      <x:c r="R1491" s="22" t="n">
        <x:f>Q1491*M1491</x:f>
        <x:v>387</x:v>
      </x:c>
      <x:c r="S1491" s="22" t="n">
        <x:f>P1491-R1491</x:f>
        <x:v>1.8000000000000114</x:v>
      </x:c>
      <x:c r="T1491" t="str">
        <x:v>Cash</x:v>
      </x:c>
      <x:c r="U1491" t="str">
        <x:v>Paid</x:v>
      </x:c>
      <x:c r="V1491" t="str">
        <x:v>Delivered</x:v>
      </x:c>
      <x:c r="W1491" t="n">
        <x:v>0</x:v>
      </x:c>
      <x:c r="X1491" t="str"/>
      <x:c r="Y1491" t="str">
        <x:v>WhatsApp</x:v>
      </x:c>
    </x:row>
    <x:row r="1492">
      <x:c r="A1492" t="str">
        <x:v>O001491</x:v>
      </x:c>
      <x:c r="B1492" s="20" t="n">
        <x:v>46133</x:v>
      </x:c>
      <x:c r="C1492" t="str">
        <x:v>C0140</x:v>
      </x:c>
      <x:c r="D1492" t="str">
        <x:v>Fresh Hotel 140</x:v>
      </x:c>
      <x:c r="E1492" t="str">
        <x:v>Kirana</x:v>
      </x:c>
      <x:c r="F1492" t="str">
        <x:v>Tumakuru</x:v>
      </x:c>
      <x:c r="G1492" t="str">
        <x:v>Imran</x:v>
      </x:c>
      <x:c r="H1492" t="str">
        <x:v>P006</x:v>
      </x:c>
      <x:c r="I1492" t="str">
        <x:v>Moong Dal 5kg</x:v>
      </x:c>
      <x:c r="J1492" t="str">
        <x:v>Pulses</x:v>
      </x:c>
      <x:c r="K1492" t="str">
        <x:v>Local Select</x:v>
      </x:c>
      <x:c r="L1492" s="22" t="n">
        <x:v>610</x:v>
      </x:c>
      <x:c r="M1492" t="n">
        <x:v>1</x:v>
      </x:c>
      <x:c r="N1492" s="24" t="n">
        <x:v>0</x:v>
      </x:c>
      <x:c r="O1492" s="22" t="n">
        <x:f>L1492*M1492</x:f>
        <x:v>610</x:v>
      </x:c>
      <x:c r="P1492" s="22" t="n">
        <x:f>O1492*(1-N1492)</x:f>
        <x:v>610</x:v>
      </x:c>
      <x:c r="Q1492" s="22" t="n">
        <x:v>540</x:v>
      </x:c>
      <x:c r="R1492" s="22" t="n">
        <x:f>Q1492*M1492</x:f>
        <x:v>540</x:v>
      </x:c>
      <x:c r="S1492" s="22" t="n">
        <x:f>P1492-R1492</x:f>
        <x:v>70</x:v>
      </x:c>
      <x:c r="T1492" t="str">
        <x:v>Bank Transfer</x:v>
      </x:c>
      <x:c r="U1492" t="str">
        <x:v>Paid</x:v>
      </x:c>
      <x:c r="V1492" t="str">
        <x:v>Delivered</x:v>
      </x:c>
      <x:c r="W1492" t="n">
        <x:v>0</x:v>
      </x:c>
      <x:c r="X1492" t="str"/>
      <x:c r="Y1492" t="str">
        <x:v>Outbound Call</x:v>
      </x:c>
    </x:row>
    <x:row r="1493">
      <x:c r="A1493" t="str">
        <x:v>O001492</x:v>
      </x:c>
      <x:c r="B1493" s="20" t="n">
        <x:v>46090</x:v>
      </x:c>
      <x:c r="C1493" t="str">
        <x:v>C0057</x:v>
      </x:c>
      <x:c r="D1493" t="str">
        <x:v>Annapurna Foods 57</x:v>
      </x:c>
      <x:c r="E1493" t="str">
        <x:v>Kirana</x:v>
      </x:c>
      <x:c r="F1493" t="str">
        <x:v>Mysuru</x:v>
      </x:c>
      <x:c r="G1493" t="str">
        <x:v>Priya</x:v>
      </x:c>
      <x:c r="H1493" t="str">
        <x:v>P049</x:v>
      </x:c>
      <x:c r="I1493" t="str">
        <x:v>Apple 10kg</x:v>
      </x:c>
      <x:c r="J1493" t="str">
        <x:v>Fresh Produce</x:v>
      </x:c>
      <x:c r="K1493" t="str">
        <x:v>Local Market</x:v>
      </x:c>
      <x:c r="L1493" s="22" t="n">
        <x:v>1450</x:v>
      </x:c>
      <x:c r="M1493" t="n">
        <x:v>9</x:v>
      </x:c>
      <x:c r="N1493" s="24" t="n">
        <x:v>0.1</x:v>
      </x:c>
      <x:c r="O1493" s="22" t="n">
        <x:f>L1493*M1493</x:f>
        <x:v>13050</x:v>
      </x:c>
      <x:c r="P1493" s="22" t="n">
        <x:f>O1493*(1-N1493)</x:f>
        <x:v>11745</x:v>
      </x:c>
      <x:c r="Q1493" s="22" t="n">
        <x:v>1280</x:v>
      </x:c>
      <x:c r="R1493" s="22" t="n">
        <x:f>Q1493*M1493</x:f>
        <x:v>11520</x:v>
      </x:c>
      <x:c r="S1493" s="22" t="n">
        <x:f>P1493-R1493</x:f>
        <x:v>225</x:v>
      </x:c>
      <x:c r="T1493" t="str">
        <x:v>Cash</x:v>
      </x:c>
      <x:c r="U1493" t="str">
        <x:v>Paid</x:v>
      </x:c>
      <x:c r="V1493" t="str">
        <x:v>Delivered</x:v>
      </x:c>
      <x:c r="W1493" t="n">
        <x:v>0</x:v>
      </x:c>
      <x:c r="X1493" t="str"/>
      <x:c r="Y1493" t="str">
        <x:v>Field Visit</x:v>
      </x:c>
    </x:row>
    <x:row r="1494">
      <x:c r="A1494" t="str">
        <x:v>O001493</x:v>
      </x:c>
      <x:c r="B1494" s="20" t="n">
        <x:v>46116</x:v>
      </x:c>
      <x:c r="C1494" t="str">
        <x:v>C0049</x:v>
      </x:c>
      <x:c r="D1494" t="str">
        <x:v>Namma Stores 49</x:v>
      </x:c>
      <x:c r="E1494" t="str">
        <x:v>Hotel</x:v>
      </x:c>
      <x:c r="F1494" t="str">
        <x:v>Mangaluru</x:v>
      </x:c>
      <x:c r="G1494" t="str">
        <x:v>Sneha</x:v>
      </x:c>
      <x:c r="H1494" t="str">
        <x:v>P014</x:v>
      </x:c>
      <x:c r="I1494" t="str">
        <x:v>Rava 5kg</x:v>
      </x:c>
      <x:c r="J1494" t="str">
        <x:v>Flour</x:v>
      </x:c>
      <x:c r="K1494" t="str">
        <x:v>Local Select</x:v>
      </x:c>
      <x:c r="L1494" s="22" t="n">
        <x:v>245</x:v>
      </x:c>
      <x:c r="M1494" t="n">
        <x:v>5</x:v>
      </x:c>
      <x:c r="N1494" s="24" t="n">
        <x:v>0.08</x:v>
      </x:c>
      <x:c r="O1494" s="22" t="n">
        <x:f>L1494*M1494</x:f>
        <x:v>1225</x:v>
      </x:c>
      <x:c r="P1494" s="22" t="n">
        <x:f>O1494*(1-N1494)</x:f>
        <x:v>1127</x:v>
      </x:c>
      <x:c r="Q1494" s="22" t="n">
        <x:v>215</x:v>
      </x:c>
      <x:c r="R1494" s="22" t="n">
        <x:f>Q1494*M1494</x:f>
        <x:v>1075</x:v>
      </x:c>
      <x:c r="S1494" s="22" t="n">
        <x:f>P1494-R1494</x:f>
        <x:v>52</x:v>
      </x:c>
      <x:c r="T1494" t="str">
        <x:v>Cash</x:v>
      </x:c>
      <x:c r="U1494" t="str">
        <x:v>Paid</x:v>
      </x:c>
      <x:c r="V1494" t="str">
        <x:v>Delayed</x:v>
      </x:c>
      <x:c r="W1494" t="n">
        <x:v>0</x:v>
      </x:c>
      <x:c r="X1494" t="str"/>
      <x:c r="Y1494" t="str">
        <x:v>Outbound Call</x:v>
      </x:c>
    </x:row>
    <x:row r="1495">
      <x:c r="A1495" t="str">
        <x:v>O001494</x:v>
      </x:c>
      <x:c r="B1495" s="20" t="n">
        <x:v>45988</x:v>
      </x:c>
      <x:c r="C1495" t="str">
        <x:v>C0044</x:v>
      </x:c>
      <x:c r="D1495" t="str">
        <x:v>Annapurna Mart 44</x:v>
      </x:c>
      <x:c r="E1495" t="str">
        <x:v>Kirana</x:v>
      </x:c>
      <x:c r="F1495" t="str">
        <x:v>Davanagere</x:v>
      </x:c>
      <x:c r="G1495" t="str">
        <x:v>Priya</x:v>
      </x:c>
      <x:c r="H1495" t="str">
        <x:v>P038</x:v>
      </x:c>
      <x:c r="I1495" t="str">
        <x:v>French Fries 2.5kg</x:v>
      </x:c>
      <x:c r="J1495" t="str">
        <x:v>Frozen</x:v>
      </x:c>
      <x:c r="K1495" t="str">
        <x:v>McCain</x:v>
      </x:c>
      <x:c r="L1495" s="22" t="n">
        <x:v>360</x:v>
      </x:c>
      <x:c r="M1495" t="n">
        <x:v>4</x:v>
      </x:c>
      <x:c r="N1495" s="24" t="n">
        <x:v>0</x:v>
      </x:c>
      <x:c r="O1495" s="22" t="n">
        <x:f>L1495*M1495</x:f>
        <x:v>1440</x:v>
      </x:c>
      <x:c r="P1495" s="22" t="n">
        <x:f>O1495*(1-N1495)</x:f>
        <x:v>1440</x:v>
      </x:c>
      <x:c r="Q1495" s="22" t="n">
        <x:v>315</x:v>
      </x:c>
      <x:c r="R1495" s="22" t="n">
        <x:f>Q1495*M1495</x:f>
        <x:v>1260</x:v>
      </x:c>
      <x:c r="S1495" s="22" t="n">
        <x:f>P1495-R1495</x:f>
        <x:v>180</x:v>
      </x:c>
      <x:c r="T1495" t="str">
        <x:v>Credit</x:v>
      </x:c>
      <x:c r="U1495" t="str">
        <x:v>Paid</x:v>
      </x:c>
      <x:c r="V1495" t="str">
        <x:v>Delivered</x:v>
      </x:c>
      <x:c r="W1495" t="n">
        <x:v>0</x:v>
      </x:c>
      <x:c r="X1495" t="str"/>
      <x:c r="Y1495" t="str">
        <x:v>Outbound Call</x:v>
      </x:c>
    </x:row>
    <x:row r="1496">
      <x:c r="A1496" t="str">
        <x:v>O001495</x:v>
      </x:c>
      <x:c r="B1496" s="20" t="n">
        <x:v>45900</x:v>
      </x:c>
      <x:c r="C1496" t="str">
        <x:v>C0073</x:v>
      </x:c>
      <x:c r="D1496" t="str">
        <x:v>Annapurna Stores 73</x:v>
      </x:c>
      <x:c r="E1496" t="str">
        <x:v>Restaurant</x:v>
      </x:c>
      <x:c r="F1496" t="str">
        <x:v>Davanagere</x:v>
      </x:c>
      <x:c r="G1496" t="str">
        <x:v>Kavya</x:v>
      </x:c>
      <x:c r="H1496" t="str">
        <x:v>P004</x:v>
      </x:c>
      <x:c r="I1496" t="str">
        <x:v>Toor Dal 5kg</x:v>
      </x:c>
      <x:c r="J1496" t="str">
        <x:v>Pulses</x:v>
      </x:c>
      <x:c r="K1496" t="str">
        <x:v>Tata Sampann</x:v>
      </x:c>
      <x:c r="L1496" s="22" t="n">
        <x:v>780</x:v>
      </x:c>
      <x:c r="M1496" t="n">
        <x:v>29</x:v>
      </x:c>
      <x:c r="N1496" s="24" t="n">
        <x:v>0</x:v>
      </x:c>
      <x:c r="O1496" s="22" t="n">
        <x:f>L1496*M1496</x:f>
        <x:v>22620</x:v>
      </x:c>
      <x:c r="P1496" s="22" t="n">
        <x:f>O1496*(1-N1496)</x:f>
        <x:v>22620</x:v>
      </x:c>
      <x:c r="Q1496" s="22" t="n">
        <x:v>695</x:v>
      </x:c>
      <x:c r="R1496" s="22" t="n">
        <x:f>Q1496*M1496</x:f>
        <x:v>20155</x:v>
      </x:c>
      <x:c r="S1496" s="22" t="n">
        <x:f>P1496-R1496</x:f>
        <x:v>2465</x:v>
      </x:c>
      <x:c r="T1496" t="str">
        <x:v>Cash</x:v>
      </x:c>
      <x:c r="U1496" t="str">
        <x:v>Pending</x:v>
      </x:c>
      <x:c r="V1496" t="str">
        <x:v>Delivered</x:v>
      </x:c>
      <x:c r="W1496" t="n">
        <x:v>0</x:v>
      </x:c>
      <x:c r="X1496" t="str"/>
      <x:c r="Y1496" t="str">
        <x:v>Outbound Call</x:v>
      </x:c>
    </x:row>
    <x:row r="1497">
      <x:c r="A1497" t="str">
        <x:v>O001496</x:v>
      </x:c>
      <x:c r="B1497" s="20" t="n">
        <x:v>46169</x:v>
      </x:c>
      <x:c r="C1497" t="str">
        <x:v>C0232</x:v>
      </x:c>
      <x:c r="D1497" t="str">
        <x:v>Grand Mart 232</x:v>
      </x:c>
      <x:c r="E1497" t="str">
        <x:v>Cafe</x:v>
      </x:c>
      <x:c r="F1497" t="str">
        <x:v>Davanagere</x:v>
      </x:c>
      <x:c r="G1497" t="str">
        <x:v>Kavya</x:v>
      </x:c>
      <x:c r="H1497" t="str">
        <x:v>P030</x:v>
      </x:c>
      <x:c r="I1497" t="str">
        <x:v>Mayonnaise 1kg</x:v>
      </x:c>
      <x:c r="J1497" t="str">
        <x:v>Condiments</x:v>
      </x:c>
      <x:c r="K1497" t="str">
        <x:v>Veeba</x:v>
      </x:c>
      <x:c r="L1497" s="22" t="n">
        <x:v>210</x:v>
      </x:c>
      <x:c r="M1497" t="n">
        <x:v>33</x:v>
      </x:c>
      <x:c r="N1497" s="24" t="n">
        <x:v>0</x:v>
      </x:c>
      <x:c r="O1497" s="22" t="n">
        <x:f>L1497*M1497</x:f>
        <x:v>6930</x:v>
      </x:c>
      <x:c r="P1497" s="22" t="n">
        <x:f>O1497*(1-N1497)</x:f>
        <x:v>6930</x:v>
      </x:c>
      <x:c r="Q1497" s="22" t="n">
        <x:v>185</x:v>
      </x:c>
      <x:c r="R1497" s="22" t="n">
        <x:f>Q1497*M1497</x:f>
        <x:v>6105</x:v>
      </x:c>
      <x:c r="S1497" s="22" t="n">
        <x:f>P1497-R1497</x:f>
        <x:v>825</x:v>
      </x:c>
      <x:c r="T1497" t="str">
        <x:v>Bank Transfer</x:v>
      </x:c>
      <x:c r="U1497" t="str">
        <x:v>Paid</x:v>
      </x:c>
      <x:c r="V1497" t="str">
        <x:v>Delivered</x:v>
      </x:c>
      <x:c r="W1497" t="n">
        <x:v>0</x:v>
      </x:c>
      <x:c r="X1497" t="str"/>
      <x:c r="Y1497" t="str">
        <x:v>WhatsApp</x:v>
      </x:c>
    </x:row>
    <x:row r="1498">
      <x:c r="A1498" t="str">
        <x:v>O001497</x:v>
      </x:c>
      <x:c r="B1498" s="20" t="n">
        <x:v>45844</x:v>
      </x:c>
      <x:c r="C1498" t="str">
        <x:v>C0151</x:v>
      </x:c>
      <x:c r="D1498" t="str">
        <x:v>Foodie Stores 151</x:v>
      </x:c>
      <x:c r="E1498" t="str">
        <x:v>Supermarket</x:v>
      </x:c>
      <x:c r="F1498" t="str">
        <x:v>Mysuru</x:v>
      </x:c>
      <x:c r="G1498" t="str">
        <x:v>Arjun</x:v>
      </x:c>
      <x:c r="H1498" t="str">
        <x:v>P035</x:v>
      </x:c>
      <x:c r="I1498" t="str">
        <x:v>Coriander Powder 1kg</x:v>
      </x:c>
      <x:c r="J1498" t="str">
        <x:v>Spices</x:v>
      </x:c>
      <x:c r="K1498" t="str">
        <x:v>Everest</x:v>
      </x:c>
      <x:c r="L1498" s="22" t="n">
        <x:v>280</x:v>
      </x:c>
      <x:c r="M1498" t="n">
        <x:v>7</x:v>
      </x:c>
      <x:c r="N1498" s="24" t="n">
        <x:v>0.05</x:v>
      </x:c>
      <x:c r="O1498" s="22" t="n">
        <x:f>L1498*M1498</x:f>
        <x:v>1960</x:v>
      </x:c>
      <x:c r="P1498" s="22" t="n">
        <x:f>O1498*(1-N1498)</x:f>
        <x:v>1862</x:v>
      </x:c>
      <x:c r="Q1498" s="22" t="n">
        <x:v>245</x:v>
      </x:c>
      <x:c r="R1498" s="22" t="n">
        <x:f>Q1498*M1498</x:f>
        <x:v>1715</x:v>
      </x:c>
      <x:c r="S1498" s="22" t="n">
        <x:f>P1498-R1498</x:f>
        <x:v>147</x:v>
      </x:c>
      <x:c r="T1498" t="str">
        <x:v>Cash</x:v>
      </x:c>
      <x:c r="U1498" t="str">
        <x:v>Paid</x:v>
      </x:c>
      <x:c r="V1498" t="str">
        <x:v>Delivered</x:v>
      </x:c>
      <x:c r="W1498" t="n">
        <x:v>0</x:v>
      </x:c>
      <x:c r="X1498" t="str"/>
      <x:c r="Y1498" t="str">
        <x:v>Existing Customer</x:v>
      </x:c>
    </x:row>
    <x:row r="1499">
      <x:c r="A1499" t="str">
        <x:v>O001498</x:v>
      </x:c>
      <x:c r="B1499" s="20" t="n">
        <x:v>46279</x:v>
      </x:c>
      <x:c r="C1499" t="str">
        <x:v>C0213</x:v>
      </x:c>
      <x:c r="D1499" t="str">
        <x:v>Shree Cafe 213</x:v>
      </x:c>
      <x:c r="E1499" t="str">
        <x:v>Cafe</x:v>
      </x:c>
      <x:c r="F1499" t="str">
        <x:v>Tumakuru</x:v>
      </x:c>
      <x:c r="G1499" t="str">
        <x:v>Imran</x:v>
      </x:c>
      <x:c r="H1499" t="str">
        <x:v>P032</x:v>
      </x:c>
      <x:c r="I1499" t="str">
        <x:v>Soy Sauce 700g</x:v>
      </x:c>
      <x:c r="J1499" t="str">
        <x:v>Condiments</x:v>
      </x:c>
      <x:c r="K1499" t="str">
        <x:v>Ching's</x:v>
      </x:c>
      <x:c r="L1499" s="22" t="n">
        <x:v>118</x:v>
      </x:c>
      <x:c r="M1499" t="n">
        <x:v>29</x:v>
      </x:c>
      <x:c r="N1499" s="24" t="n">
        <x:v>0</x:v>
      </x:c>
      <x:c r="O1499" s="22" t="n">
        <x:f>L1499*M1499</x:f>
        <x:v>3422</x:v>
      </x:c>
      <x:c r="P1499" s="22" t="n">
        <x:f>O1499*(1-N1499)</x:f>
        <x:v>3422</x:v>
      </x:c>
      <x:c r="Q1499" s="22" t="n">
        <x:v>101</x:v>
      </x:c>
      <x:c r="R1499" s="22" t="n">
        <x:f>Q1499*M1499</x:f>
        <x:v>2929</x:v>
      </x:c>
      <x:c r="S1499" s="22" t="n">
        <x:f>P1499-R1499</x:f>
        <x:v>493</x:v>
      </x:c>
      <x:c r="T1499" t="str">
        <x:v>Credit</x:v>
      </x:c>
      <x:c r="U1499" t="str">
        <x:v>Pending</x:v>
      </x:c>
      <x:c r="V1499" t="str">
        <x:v>Delivered</x:v>
      </x:c>
      <x:c r="W1499" t="n">
        <x:v>0</x:v>
      </x:c>
      <x:c r="X1499" t="str"/>
      <x:c r="Y1499" t="str">
        <x:v>Existing Customer</x:v>
      </x:c>
    </x:row>
    <x:row r="1500">
      <x:c r="A1500" t="str">
        <x:v>O001499</x:v>
      </x:c>
      <x:c r="B1500" s="20" t="n">
        <x:v>45839</x:v>
      </x:c>
      <x:c r="C1500" t="str">
        <x:v>C0030</x:v>
      </x:c>
      <x:c r="D1500" t="str">
        <x:v>Hotel Restaurant 30</x:v>
      </x:c>
      <x:c r="E1500" t="str">
        <x:v>Restaurant</x:v>
      </x:c>
      <x:c r="F1500" t="str">
        <x:v>Bengaluru</x:v>
      </x:c>
      <x:c r="G1500" t="str">
        <x:v>Imran</x:v>
      </x:c>
      <x:c r="H1500" t="str">
        <x:v>P033</x:v>
      </x:c>
      <x:c r="I1500" t="str">
        <x:v>Turmeric Powder 1kg</x:v>
      </x:c>
      <x:c r="J1500" t="str">
        <x:v>Spices</x:v>
      </x:c>
      <x:c r="K1500" t="str">
        <x:v>Everest</x:v>
      </x:c>
      <x:c r="L1500" s="22" t="n">
        <x:v>310</x:v>
      </x:c>
      <x:c r="M1500" t="n">
        <x:v>35</x:v>
      </x:c>
      <x:c r="N1500" s="24" t="n">
        <x:v>0.05</x:v>
      </x:c>
      <x:c r="O1500" s="22" t="n">
        <x:f>L1500*M1500</x:f>
        <x:v>10850</x:v>
      </x:c>
      <x:c r="P1500" s="22" t="n">
        <x:f>O1500*(1-N1500)</x:f>
        <x:v>10307.5</x:v>
      </x:c>
      <x:c r="Q1500" s="22" t="n">
        <x:v>270</x:v>
      </x:c>
      <x:c r="R1500" s="22" t="n">
        <x:f>Q1500*M1500</x:f>
        <x:v>9450</x:v>
      </x:c>
      <x:c r="S1500" s="22" t="n">
        <x:f>P1500-R1500</x:f>
        <x:v>857.5</x:v>
      </x:c>
      <x:c r="T1500" t="str">
        <x:v>Cash</x:v>
      </x:c>
      <x:c r="U1500" t="str">
        <x:v>Paid</x:v>
      </x:c>
      <x:c r="V1500" t="str">
        <x:v>Delivered</x:v>
      </x:c>
      <x:c r="W1500" t="n">
        <x:v>0</x:v>
      </x:c>
      <x:c r="X1500" t="str"/>
      <x:c r="Y1500" t="str">
        <x:v>WhatsApp</x:v>
      </x:c>
    </x:row>
    <x:row r="1501">
      <x:c r="A1501" t="str">
        <x:v>O001500</x:v>
      </x:c>
      <x:c r="B1501" s="20" t="n">
        <x:v>46260</x:v>
      </x:c>
      <x:c r="C1501" t="str">
        <x:v>C0006</x:v>
      </x:c>
      <x:c r="D1501" t="str">
        <x:v>New Restaurant 6</x:v>
      </x:c>
      <x:c r="E1501" t="str">
        <x:v>Kirana</x:v>
      </x:c>
      <x:c r="F1501" t="str">
        <x:v>Hubballi</x:v>
      </x:c>
      <x:c r="G1501" t="str">
        <x:v>Vikram</x:v>
      </x:c>
      <x:c r="H1501" t="str">
        <x:v>P032</x:v>
      </x:c>
      <x:c r="I1501" t="str">
        <x:v>Soy Sauce 700g</x:v>
      </x:c>
      <x:c r="J1501" t="str">
        <x:v>Condiments</x:v>
      </x:c>
      <x:c r="K1501" t="str">
        <x:v>Ching's</x:v>
      </x:c>
      <x:c r="L1501" s="22" t="n">
        <x:v>118</x:v>
      </x:c>
      <x:c r="M1501" t="n">
        <x:v>35</x:v>
      </x:c>
      <x:c r="N1501" s="24" t="n">
        <x:v>0.05</x:v>
      </x:c>
      <x:c r="O1501" s="22" t="n">
        <x:f>L1501*M1501</x:f>
        <x:v>4130</x:v>
      </x:c>
      <x:c r="P1501" s="22" t="n">
        <x:f>O1501*(1-N1501)</x:f>
        <x:v>3923.5</x:v>
      </x:c>
      <x:c r="Q1501" s="22" t="n">
        <x:v>101</x:v>
      </x:c>
      <x:c r="R1501" s="22" t="n">
        <x:f>Q1501*M1501</x:f>
        <x:v>3535</x:v>
      </x:c>
      <x:c r="S1501" s="22" t="n">
        <x:f>P1501-R1501</x:f>
        <x:v>388.5</x:v>
      </x:c>
      <x:c r="T1501" t="str">
        <x:v>Credit</x:v>
      </x:c>
      <x:c r="U1501" t="str">
        <x:v>Paid</x:v>
      </x:c>
      <x:c r="V1501" t="str">
        <x:v>Delivered</x:v>
      </x:c>
      <x:c r="W1501" t="n">
        <x:v>0</x:v>
      </x:c>
      <x:c r="X1501" t="str"/>
      <x:c r="Y1501" t="str">
        <x:v>Outbound Call</x:v>
      </x:c>
    </x:row>
    <x:row r="1502">
      <x:c r="A1502" t="str">
        <x:v>O001501</x:v>
      </x:c>
      <x:c r="B1502" s="20" t="n">
        <x:v>45899</x:v>
      </x:c>
      <x:c r="C1502" t="str">
        <x:v>C0241</x:v>
      </x:c>
      <x:c r="D1502" t="str">
        <x:v>Annapurna Restaurant 241</x:v>
      </x:c>
      <x:c r="E1502" t="str">
        <x:v>Hotel</x:v>
      </x:c>
      <x:c r="F1502" t="str">
        <x:v>Tumakuru</x:v>
      </x:c>
      <x:c r="G1502" t="str">
        <x:v>Imran</x:v>
      </x:c>
      <x:c r="H1502" t="str">
        <x:v>P032</x:v>
      </x:c>
      <x:c r="I1502" t="str">
        <x:v>Soy Sauce 700g</x:v>
      </x:c>
      <x:c r="J1502" t="str">
        <x:v>Condiments</x:v>
      </x:c>
      <x:c r="K1502" t="str">
        <x:v>Ching's</x:v>
      </x:c>
      <x:c r="L1502" s="22" t="n">
        <x:v>118</x:v>
      </x:c>
      <x:c r="M1502" t="n">
        <x:v>26</x:v>
      </x:c>
      <x:c r="N1502" s="24" t="n">
        <x:v>0.03</x:v>
      </x:c>
      <x:c r="O1502" s="22" t="n">
        <x:f>L1502*M1502</x:f>
        <x:v>3068</x:v>
      </x:c>
      <x:c r="P1502" s="22" t="n">
        <x:f>O1502*(1-N1502)</x:f>
        <x:v>2975.96</x:v>
      </x:c>
      <x:c r="Q1502" s="22" t="n">
        <x:v>101</x:v>
      </x:c>
      <x:c r="R1502" s="22" t="n">
        <x:f>Q1502*M1502</x:f>
        <x:v>2626</x:v>
      </x:c>
      <x:c r="S1502" s="22" t="n">
        <x:f>P1502-R1502</x:f>
        <x:v>349.96000000000004</x:v>
      </x:c>
      <x:c r="T1502" t="str">
        <x:v>Bank Transfer</x:v>
      </x:c>
      <x:c r="U1502" t="str">
        <x:v>Pending</x:v>
      </x:c>
      <x:c r="V1502" t="str">
        <x:v>Delivered</x:v>
      </x:c>
      <x:c r="W1502" t="n">
        <x:v>0</x:v>
      </x:c>
      <x:c r="X1502" t="str"/>
      <x:c r="Y1502" t="str">
        <x:v>Outbound Call</x:v>
      </x:c>
    </x:row>
    <x:row r="1503">
      <x:c r="A1503" t="str">
        <x:v>O001502</x:v>
      </x:c>
      <x:c r="B1503" s="20" t="n">
        <x:v>45833</x:v>
      </x:c>
      <x:c r="C1503" t="str">
        <x:v>C0037</x:v>
      </x:c>
      <x:c r="D1503" t="str">
        <x:v>Royal Cafe 37</x:v>
      </x:c>
      <x:c r="E1503" t="str">
        <x:v>Hotel</x:v>
      </x:c>
      <x:c r="F1503" t="str">
        <x:v>Mysuru</x:v>
      </x:c>
      <x:c r="G1503" t="str">
        <x:v>Sneha</x:v>
      </x:c>
      <x:c r="H1503" t="str">
        <x:v>P006</x:v>
      </x:c>
      <x:c r="I1503" t="str">
        <x:v>Moong Dal 5kg</x:v>
      </x:c>
      <x:c r="J1503" t="str">
        <x:v>Pulses</x:v>
      </x:c>
      <x:c r="K1503" t="str">
        <x:v>Local Select</x:v>
      </x:c>
      <x:c r="L1503" s="22" t="n">
        <x:v>610</x:v>
      </x:c>
      <x:c r="M1503" t="n">
        <x:v>12</x:v>
      </x:c>
      <x:c r="N1503" s="24" t="n">
        <x:v>0</x:v>
      </x:c>
      <x:c r="O1503" s="22" t="n">
        <x:f>L1503*M1503</x:f>
        <x:v>7320</x:v>
      </x:c>
      <x:c r="P1503" s="22" t="n">
        <x:f>O1503*(1-N1503)</x:f>
        <x:v>7320</x:v>
      </x:c>
      <x:c r="Q1503" s="22" t="n">
        <x:v>540</x:v>
      </x:c>
      <x:c r="R1503" s="22" t="n">
        <x:f>Q1503*M1503</x:f>
        <x:v>6480</x:v>
      </x:c>
      <x:c r="S1503" s="22" t="n">
        <x:f>P1503-R1503</x:f>
        <x:v>840</x:v>
      </x:c>
      <x:c r="T1503" t="str">
        <x:v>Cash</x:v>
      </x:c>
      <x:c r="U1503" t="str">
        <x:v>Paid</x:v>
      </x:c>
      <x:c r="V1503" t="str">
        <x:v>Delivered</x:v>
      </x:c>
      <x:c r="W1503" t="n">
        <x:v>0</x:v>
      </x:c>
      <x:c r="X1503" t="str"/>
      <x:c r="Y1503" t="str">
        <x:v>WhatsApp</x:v>
      </x:c>
    </x:row>
    <x:row r="1504">
      <x:c r="A1504" t="str">
        <x:v>O001503</x:v>
      </x:c>
      <x:c r="B1504" s="20" t="n">
        <x:v>45673</x:v>
      </x:c>
      <x:c r="C1504" t="str">
        <x:v>C0169</x:v>
      </x:c>
      <x:c r="D1504" t="str">
        <x:v>Grand Mart 169</x:v>
      </x:c>
      <x:c r="E1504" t="str">
        <x:v>Canteen</x:v>
      </x:c>
      <x:c r="F1504" t="str">
        <x:v>Mangaluru</x:v>
      </x:c>
      <x:c r="G1504" t="str">
        <x:v>Vikram</x:v>
      </x:c>
      <x:c r="H1504" t="str">
        <x:v>P024</x:v>
      </x:c>
      <x:c r="I1504" t="str">
        <x:v>Orange Drink 1L</x:v>
      </x:c>
      <x:c r="J1504" t="str">
        <x:v>Beverage</x:v>
      </x:c>
      <x:c r="K1504" t="str">
        <x:v>Minute Maid</x:v>
      </x:c>
      <x:c r="L1504" s="22" t="n">
        <x:v>105</x:v>
      </x:c>
      <x:c r="M1504" t="n">
        <x:v>22</x:v>
      </x:c>
      <x:c r="N1504" s="24" t="n">
        <x:v>0.03</x:v>
      </x:c>
      <x:c r="O1504" s="22" t="n">
        <x:f>L1504*M1504</x:f>
        <x:v>2310</x:v>
      </x:c>
      <x:c r="P1504" s="22" t="n">
        <x:f>O1504*(1-N1504)</x:f>
        <x:v>2240.7</x:v>
      </x:c>
      <x:c r="Q1504" s="22" t="n">
        <x:v>88</x:v>
      </x:c>
      <x:c r="R1504" s="22" t="n">
        <x:f>Q1504*M1504</x:f>
        <x:v>1936</x:v>
      </x:c>
      <x:c r="S1504" s="22" t="n">
        <x:f>P1504-R1504</x:f>
        <x:v>304.6999999999998</x:v>
      </x:c>
      <x:c r="T1504" t="str">
        <x:v>Credit</x:v>
      </x:c>
      <x:c r="U1504" t="str">
        <x:v>Overdue</x:v>
      </x:c>
      <x:c r="V1504" t="str">
        <x:v>Cancelled</x:v>
      </x:c>
      <x:c r="W1504" t="n">
        <x:v>22</x:v>
      </x:c>
      <x:c r="X1504" t="str">
        <x:v>Cancelled Order</x:v>
      </x:c>
      <x:c r="Y1504" t="str">
        <x:v>Field Visit</x:v>
      </x:c>
    </x:row>
    <x:row r="1505">
      <x:c r="A1505" t="str">
        <x:v>O001504</x:v>
      </x:c>
      <x:c r="B1505" s="20" t="n">
        <x:v>45732</x:v>
      </x:c>
      <x:c r="C1505" t="str">
        <x:v>C0039</x:v>
      </x:c>
      <x:c r="D1505" t="str">
        <x:v>Sagar Cafe 39</x:v>
      </x:c>
      <x:c r="E1505" t="str">
        <x:v>Restaurant</x:v>
      </x:c>
      <x:c r="F1505" t="str">
        <x:v>Hubballi</x:v>
      </x:c>
      <x:c r="G1505" t="str">
        <x:v>Imran</x:v>
      </x:c>
      <x:c r="H1505" t="str">
        <x:v>P047</x:v>
      </x:c>
      <x:c r="I1505" t="str">
        <x:v>Tomato 25kg</x:v>
      </x:c>
      <x:c r="J1505" t="str">
        <x:v>Fresh Produce</x:v>
      </x:c>
      <x:c r="K1505" t="str">
        <x:v>Local Market</x:v>
      </x:c>
      <x:c r="L1505" s="22" t="n">
        <x:v>950</x:v>
      </x:c>
      <x:c r="M1505" t="n">
        <x:v>34</x:v>
      </x:c>
      <x:c r="N1505" s="24" t="n">
        <x:v>0.05</x:v>
      </x:c>
      <x:c r="O1505" s="22" t="n">
        <x:f>L1505*M1505</x:f>
        <x:v>32300</x:v>
      </x:c>
      <x:c r="P1505" s="22" t="n">
        <x:f>O1505*(1-N1505)</x:f>
        <x:v>30685</x:v>
      </x:c>
      <x:c r="Q1505" s="22" t="n">
        <x:v>810</x:v>
      </x:c>
      <x:c r="R1505" s="22" t="n">
        <x:f>Q1505*M1505</x:f>
        <x:v>27540</x:v>
      </x:c>
      <x:c r="S1505" s="22" t="n">
        <x:f>P1505-R1505</x:f>
        <x:v>3145</x:v>
      </x:c>
      <x:c r="T1505" t="str">
        <x:v>Bank Transfer</x:v>
      </x:c>
      <x:c r="U1505" t="str">
        <x:v>Paid</x:v>
      </x:c>
      <x:c r="V1505" t="str">
        <x:v>Delayed</x:v>
      </x:c>
      <x:c r="W1505" t="n">
        <x:v>0</x:v>
      </x:c>
      <x:c r="X1505" t="str"/>
      <x:c r="Y1505" t="str">
        <x:v>Referral</x:v>
      </x:c>
    </x:row>
    <x:row r="1506">
      <x:c r="A1506" t="str">
        <x:v>O001505</x:v>
      </x:c>
      <x:c r="B1506" s="20" t="n">
        <x:v>46266</x:v>
      </x:c>
      <x:c r="C1506" t="str">
        <x:v>C0102</x:v>
      </x:c>
      <x:c r="D1506" t="str">
        <x:v>Annapurna Foods 102</x:v>
      </x:c>
      <x:c r="E1506" t="str">
        <x:v>Cafe</x:v>
      </x:c>
      <x:c r="F1506" t="str">
        <x:v>Davanagere</x:v>
      </x:c>
      <x:c r="G1506" t="str">
        <x:v>Ramesh</x:v>
      </x:c>
      <x:c r="H1506" t="str">
        <x:v>P030</x:v>
      </x:c>
      <x:c r="I1506" t="str">
        <x:v>Mayonnaise 1kg</x:v>
      </x:c>
      <x:c r="J1506" t="str">
        <x:v>Condiments</x:v>
      </x:c>
      <x:c r="K1506" t="str">
        <x:v>Veeba</x:v>
      </x:c>
      <x:c r="L1506" s="22" t="n">
        <x:v>210</x:v>
      </x:c>
      <x:c r="M1506" t="n">
        <x:v>3</x:v>
      </x:c>
      <x:c r="N1506" s="24" t="n">
        <x:v>0.03</x:v>
      </x:c>
      <x:c r="O1506" s="22" t="n">
        <x:f>L1506*M1506</x:f>
        <x:v>630</x:v>
      </x:c>
      <x:c r="P1506" s="22" t="n">
        <x:f>O1506*(1-N1506)</x:f>
        <x:v>611.1</x:v>
      </x:c>
      <x:c r="Q1506" s="22" t="n">
        <x:v>185</x:v>
      </x:c>
      <x:c r="R1506" s="22" t="n">
        <x:f>Q1506*M1506</x:f>
        <x:v>555</x:v>
      </x:c>
      <x:c r="S1506" s="22" t="n">
        <x:f>P1506-R1506</x:f>
        <x:v>56.10000000000002</x:v>
      </x:c>
      <x:c r="T1506" t="str">
        <x:v>Cash</x:v>
      </x:c>
      <x:c r="U1506" t="str">
        <x:v>Paid</x:v>
      </x:c>
      <x:c r="V1506" t="str">
        <x:v>Delayed</x:v>
      </x:c>
      <x:c r="W1506" t="n">
        <x:v>0</x:v>
      </x:c>
      <x:c r="X1506" t="str"/>
      <x:c r="Y1506" t="str">
        <x:v>Existing Customer</x:v>
      </x:c>
    </x:row>
    <x:row r="1507">
      <x:c r="A1507" t="str">
        <x:v>O001506</x:v>
      </x:c>
      <x:c r="B1507" s="20" t="n">
        <x:v>45674</x:v>
      </x:c>
      <x:c r="C1507" t="str">
        <x:v>C0201</x:v>
      </x:c>
      <x:c r="D1507" t="str">
        <x:v>Metro Hotel 201</x:v>
      </x:c>
      <x:c r="E1507" t="str">
        <x:v>Kirana</x:v>
      </x:c>
      <x:c r="F1507" t="str">
        <x:v>Mysuru</x:v>
      </x:c>
      <x:c r="G1507" t="str">
        <x:v>Imran</x:v>
      </x:c>
      <x:c r="H1507" t="str">
        <x:v>P035</x:v>
      </x:c>
      <x:c r="I1507" t="str">
        <x:v>Coriander Powder 1kg</x:v>
      </x:c>
      <x:c r="J1507" t="str">
        <x:v>Spices</x:v>
      </x:c>
      <x:c r="K1507" t="str">
        <x:v>Everest</x:v>
      </x:c>
      <x:c r="L1507" s="22" t="n">
        <x:v>280</x:v>
      </x:c>
      <x:c r="M1507" t="n">
        <x:v>11</x:v>
      </x:c>
      <x:c r="N1507" s="24" t="n">
        <x:v>0</x:v>
      </x:c>
      <x:c r="O1507" s="22" t="n">
        <x:f>L1507*M1507</x:f>
        <x:v>3080</x:v>
      </x:c>
      <x:c r="P1507" s="22" t="n">
        <x:f>O1507*(1-N1507)</x:f>
        <x:v>3080</x:v>
      </x:c>
      <x:c r="Q1507" s="22" t="n">
        <x:v>245</x:v>
      </x:c>
      <x:c r="R1507" s="22" t="n">
        <x:f>Q1507*M1507</x:f>
        <x:v>2695</x:v>
      </x:c>
      <x:c r="S1507" s="22" t="n">
        <x:f>P1507-R1507</x:f>
        <x:v>385</x:v>
      </x:c>
      <x:c r="T1507" t="str">
        <x:v>UPI</x:v>
      </x:c>
      <x:c r="U1507" t="str">
        <x:v>Pending</x:v>
      </x:c>
      <x:c r="V1507" t="str">
        <x:v>Delivered</x:v>
      </x:c>
      <x:c r="W1507" t="n">
        <x:v>0</x:v>
      </x:c>
      <x:c r="X1507" t="str"/>
      <x:c r="Y1507" t="str">
        <x:v>Referral</x:v>
      </x:c>
    </x:row>
    <x:row r="1508">
      <x:c r="A1508" t="str">
        <x:v>O001507</x:v>
      </x:c>
      <x:c r="B1508" s="20" t="n">
        <x:v>46270</x:v>
      </x:c>
      <x:c r="C1508" t="str">
        <x:v>C0139</x:v>
      </x:c>
      <x:c r="D1508" t="str">
        <x:v>Classic Hotel 139</x:v>
      </x:c>
      <x:c r="E1508" t="str">
        <x:v>Cafe</x:v>
      </x:c>
      <x:c r="F1508" t="str">
        <x:v>Mysuru</x:v>
      </x:c>
      <x:c r="G1508" t="str">
        <x:v>Vikram</x:v>
      </x:c>
      <x:c r="H1508" t="str">
        <x:v>P028</x:v>
      </x:c>
      <x:c r="I1508" t="str">
        <x:v>Cookies 200g</x:v>
      </x:c>
      <x:c r="J1508" t="str">
        <x:v>Snacks</x:v>
      </x:c>
      <x:c r="K1508" t="str">
        <x:v>Britannia</x:v>
      </x:c>
      <x:c r="L1508" s="22" t="n">
        <x:v>55</x:v>
      </x:c>
      <x:c r="M1508" t="n">
        <x:v>17</x:v>
      </x:c>
      <x:c r="N1508" s="24" t="n">
        <x:v>0.03</x:v>
      </x:c>
      <x:c r="O1508" s="22" t="n">
        <x:f>L1508*M1508</x:f>
        <x:v>935</x:v>
      </x:c>
      <x:c r="P1508" s="22" t="n">
        <x:f>O1508*(1-N1508)</x:f>
        <x:v>906.9499999999999</x:v>
      </x:c>
      <x:c r="Q1508" s="22" t="n">
        <x:v>42</x:v>
      </x:c>
      <x:c r="R1508" s="22" t="n">
        <x:f>Q1508*M1508</x:f>
        <x:v>714</x:v>
      </x:c>
      <x:c r="S1508" s="22" t="n">
        <x:f>P1508-R1508</x:f>
        <x:v>192.94999999999993</x:v>
      </x:c>
      <x:c r="T1508" t="str">
        <x:v>Cash</x:v>
      </x:c>
      <x:c r="U1508" t="str">
        <x:v>Paid</x:v>
      </x:c>
      <x:c r="V1508" t="str">
        <x:v>Delivered</x:v>
      </x:c>
      <x:c r="W1508" t="n">
        <x:v>0</x:v>
      </x:c>
      <x:c r="X1508" t="str"/>
      <x:c r="Y1508" t="str">
        <x:v>Field Visit</x:v>
      </x:c>
    </x:row>
    <x:row r="1509">
      <x:c r="A1509" t="str">
        <x:v>O001508</x:v>
      </x:c>
      <x:c r="B1509" s="20" t="n">
        <x:v>46224</x:v>
      </x:c>
      <x:c r="C1509" t="str">
        <x:v>C0157</x:v>
      </x:c>
      <x:c r="D1509" t="str">
        <x:v>Fresh Canteen 157</x:v>
      </x:c>
      <x:c r="E1509" t="str">
        <x:v>Kirana</x:v>
      </x:c>
      <x:c r="F1509" t="str">
        <x:v>Mangaluru</x:v>
      </x:c>
      <x:c r="G1509" t="str">
        <x:v>Priya</x:v>
      </x:c>
      <x:c r="H1509" t="str">
        <x:v>P033</x:v>
      </x:c>
      <x:c r="I1509" t="str">
        <x:v>Turmeric Powder 1kg</x:v>
      </x:c>
      <x:c r="J1509" t="str">
        <x:v>Spices</x:v>
      </x:c>
      <x:c r="K1509" t="str">
        <x:v>Everest</x:v>
      </x:c>
      <x:c r="L1509" s="22" t="n">
        <x:v>310</x:v>
      </x:c>
      <x:c r="M1509" t="n">
        <x:v>5</x:v>
      </x:c>
      <x:c r="N1509" s="24" t="n">
        <x:v>0.05</x:v>
      </x:c>
      <x:c r="O1509" s="22" t="n">
        <x:f>L1509*M1509</x:f>
        <x:v>1550</x:v>
      </x:c>
      <x:c r="P1509" s="22" t="n">
        <x:f>O1509*(1-N1509)</x:f>
        <x:v>1472.5</x:v>
      </x:c>
      <x:c r="Q1509" s="22" t="n">
        <x:v>270</x:v>
      </x:c>
      <x:c r="R1509" s="22" t="n">
        <x:f>Q1509*M1509</x:f>
        <x:v>1350</x:v>
      </x:c>
      <x:c r="S1509" s="22" t="n">
        <x:f>P1509-R1509</x:f>
        <x:v>122.5</x:v>
      </x:c>
      <x:c r="T1509" t="str">
        <x:v>Cash</x:v>
      </x:c>
      <x:c r="U1509" t="str">
        <x:v>Paid</x:v>
      </x:c>
      <x:c r="V1509" t="str">
        <x:v>Cancelled</x:v>
      </x:c>
      <x:c r="W1509" t="n">
        <x:v>5</x:v>
      </x:c>
      <x:c r="X1509" t="str">
        <x:v>Cancelled Order</x:v>
      </x:c>
      <x:c r="Y1509" t="str">
        <x:v>Existing Customer</x:v>
      </x:c>
    </x:row>
    <x:row r="1510">
      <x:c r="A1510" t="str">
        <x:v>O001509</x:v>
      </x:c>
      <x:c r="B1510" s="20" t="n">
        <x:v>45694</x:v>
      </x:c>
      <x:c r="C1510" t="str">
        <x:v>C0247</x:v>
      </x:c>
      <x:c r="D1510" t="str">
        <x:v>Fresh Canteen 247</x:v>
      </x:c>
      <x:c r="E1510" t="str">
        <x:v>Restaurant</x:v>
      </x:c>
      <x:c r="F1510" t="str">
        <x:v>Hubballi</x:v>
      </x:c>
      <x:c r="G1510" t="str">
        <x:v>Kavya</x:v>
      </x:c>
      <x:c r="H1510" t="str">
        <x:v>P049</x:v>
      </x:c>
      <x:c r="I1510" t="str">
        <x:v>Apple 10kg</x:v>
      </x:c>
      <x:c r="J1510" t="str">
        <x:v>Fresh Produce</x:v>
      </x:c>
      <x:c r="K1510" t="str">
        <x:v>Local Market</x:v>
      </x:c>
      <x:c r="L1510" s="22" t="n">
        <x:v>1450</x:v>
      </x:c>
      <x:c r="M1510" t="n">
        <x:v>2</x:v>
      </x:c>
      <x:c r="N1510" s="24" t="n">
        <x:v>0.02</x:v>
      </x:c>
      <x:c r="O1510" s="22" t="n">
        <x:f>L1510*M1510</x:f>
        <x:v>2900</x:v>
      </x:c>
      <x:c r="P1510" s="22" t="n">
        <x:f>O1510*(1-N1510)</x:f>
        <x:v>2842</x:v>
      </x:c>
      <x:c r="Q1510" s="22" t="n">
        <x:v>1280</x:v>
      </x:c>
      <x:c r="R1510" s="22" t="n">
        <x:f>Q1510*M1510</x:f>
        <x:v>2560</x:v>
      </x:c>
      <x:c r="S1510" s="22" t="n">
        <x:f>P1510-R1510</x:f>
        <x:v>282</x:v>
      </x:c>
      <x:c r="T1510" t="str">
        <x:v>Bank Transfer</x:v>
      </x:c>
      <x:c r="U1510" t="str">
        <x:v>Paid</x:v>
      </x:c>
      <x:c r="V1510" t="str">
        <x:v>Delayed</x:v>
      </x:c>
      <x:c r="W1510" t="n">
        <x:v>0</x:v>
      </x:c>
      <x:c r="X1510" t="str"/>
      <x:c r="Y1510" t="str">
        <x:v>WhatsApp</x:v>
      </x:c>
    </x:row>
    <x:row r="1511">
      <x:c r="A1511" t="str">
        <x:v>O001510</x:v>
      </x:c>
      <x:c r="B1511" s="20" t="n">
        <x:v>46210</x:v>
      </x:c>
      <x:c r="C1511" t="str">
        <x:v>C0123</x:v>
      </x:c>
      <x:c r="D1511" t="str">
        <x:v>City Foods 123</x:v>
      </x:c>
      <x:c r="E1511" t="str">
        <x:v>Restaurant</x:v>
      </x:c>
      <x:c r="F1511" t="str">
        <x:v>Davanagere</x:v>
      </x:c>
      <x:c r="G1511" t="str">
        <x:v>Sneha</x:v>
      </x:c>
      <x:c r="H1511" t="str">
        <x:v>P013</x:v>
      </x:c>
      <x:c r="I1511" t="str">
        <x:v>Atta 10kg</x:v>
      </x:c>
      <x:c r="J1511" t="str">
        <x:v>Flour</x:v>
      </x:c>
      <x:c r="K1511" t="str">
        <x:v>Aashirvaad</x:v>
      </x:c>
      <x:c r="L1511" s="22" t="n">
        <x:v>560</x:v>
      </x:c>
      <x:c r="M1511" t="n">
        <x:v>12</x:v>
      </x:c>
      <x:c r="N1511" s="24" t="n">
        <x:v>0</x:v>
      </x:c>
      <x:c r="O1511" s="22" t="n">
        <x:f>L1511*M1511</x:f>
        <x:v>6720</x:v>
      </x:c>
      <x:c r="P1511" s="22" t="n">
        <x:f>O1511*(1-N1511)</x:f>
        <x:v>6720</x:v>
      </x:c>
      <x:c r="Q1511" s="22" t="n">
        <x:v>495</x:v>
      </x:c>
      <x:c r="R1511" s="22" t="n">
        <x:f>Q1511*M1511</x:f>
        <x:v>5940</x:v>
      </x:c>
      <x:c r="S1511" s="22" t="n">
        <x:f>P1511-R1511</x:f>
        <x:v>780</x:v>
      </x:c>
      <x:c r="T1511" t="str">
        <x:v>Credit</x:v>
      </x:c>
      <x:c r="U1511" t="str">
        <x:v>Paid</x:v>
      </x:c>
      <x:c r="V1511" t="str">
        <x:v>Delivered</x:v>
      </x:c>
      <x:c r="W1511" t="n">
        <x:v>0</x:v>
      </x:c>
      <x:c r="X1511" t="str"/>
      <x:c r="Y1511" t="str">
        <x:v>Outbound Call</x:v>
      </x:c>
    </x:row>
    <x:row r="1512">
      <x:c r="A1512" t="str">
        <x:v>O001511</x:v>
      </x:c>
      <x:c r="B1512" s="20" t="n">
        <x:v>46164</x:v>
      </x:c>
      <x:c r="C1512" t="str">
        <x:v>C0170</x:v>
      </x:c>
      <x:c r="D1512" t="str">
        <x:v>Green Cafe 170</x:v>
      </x:c>
      <x:c r="E1512" t="str">
        <x:v>Supermarket</x:v>
      </x:c>
      <x:c r="F1512" t="str">
        <x:v>Bengaluru</x:v>
      </x:c>
      <x:c r="G1512" t="str">
        <x:v>Sneha</x:v>
      </x:c>
      <x:c r="H1512" t="str">
        <x:v>P030</x:v>
      </x:c>
      <x:c r="I1512" t="str">
        <x:v>Mayonnaise 1kg</x:v>
      </x:c>
      <x:c r="J1512" t="str">
        <x:v>Condiments</x:v>
      </x:c>
      <x:c r="K1512" t="str">
        <x:v>Veeba</x:v>
      </x:c>
      <x:c r="L1512" s="22" t="n">
        <x:v>210</x:v>
      </x:c>
      <x:c r="M1512" t="n">
        <x:v>40</x:v>
      </x:c>
      <x:c r="N1512" s="24" t="n">
        <x:v>0.03</x:v>
      </x:c>
      <x:c r="O1512" s="22" t="n">
        <x:f>L1512*M1512</x:f>
        <x:v>8400</x:v>
      </x:c>
      <x:c r="P1512" s="22" t="n">
        <x:f>O1512*(1-N1512)</x:f>
        <x:v>8148</x:v>
      </x:c>
      <x:c r="Q1512" s="22" t="n">
        <x:v>185</x:v>
      </x:c>
      <x:c r="R1512" s="22" t="n">
        <x:f>Q1512*M1512</x:f>
        <x:v>7400</x:v>
      </x:c>
      <x:c r="S1512" s="22" t="n">
        <x:f>P1512-R1512</x:f>
        <x:v>748</x:v>
      </x:c>
      <x:c r="T1512" t="str">
        <x:v>Credit</x:v>
      </x:c>
      <x:c r="U1512" t="str">
        <x:v>Paid</x:v>
      </x:c>
      <x:c r="V1512" t="str">
        <x:v>Delayed</x:v>
      </x:c>
      <x:c r="W1512" t="n">
        <x:v>0</x:v>
      </x:c>
      <x:c r="X1512" t="str"/>
      <x:c r="Y1512" t="str">
        <x:v>Existing Customer</x:v>
      </x:c>
    </x:row>
    <x:row r="1513">
      <x:c r="A1513" t="str">
        <x:v>O001512</x:v>
      </x:c>
      <x:c r="B1513" s="20" t="n">
        <x:v>45815</x:v>
      </x:c>
      <x:c r="C1513" t="str">
        <x:v>C0130</x:v>
      </x:c>
      <x:c r="D1513" t="str">
        <x:v>Foodie Cafe 130</x:v>
      </x:c>
      <x:c r="E1513" t="str">
        <x:v>Restaurant</x:v>
      </x:c>
      <x:c r="F1513" t="str">
        <x:v>Davanagere</x:v>
      </x:c>
      <x:c r="G1513" t="str">
        <x:v>Megha</x:v>
      </x:c>
      <x:c r="H1513" t="str">
        <x:v>P032</x:v>
      </x:c>
      <x:c r="I1513" t="str">
        <x:v>Soy Sauce 700g</x:v>
      </x:c>
      <x:c r="J1513" t="str">
        <x:v>Condiments</x:v>
      </x:c>
      <x:c r="K1513" t="str">
        <x:v>Ching's</x:v>
      </x:c>
      <x:c r="L1513" s="22" t="n">
        <x:v>118</x:v>
      </x:c>
      <x:c r="M1513" t="n">
        <x:v>9</x:v>
      </x:c>
      <x:c r="N1513" s="24" t="n">
        <x:v>0.02</x:v>
      </x:c>
      <x:c r="O1513" s="22" t="n">
        <x:f>L1513*M1513</x:f>
        <x:v>1062</x:v>
      </x:c>
      <x:c r="P1513" s="22" t="n">
        <x:f>O1513*(1-N1513)</x:f>
        <x:v>1040.76</x:v>
      </x:c>
      <x:c r="Q1513" s="22" t="n">
        <x:v>101</x:v>
      </x:c>
      <x:c r="R1513" s="22" t="n">
        <x:f>Q1513*M1513</x:f>
        <x:v>909</x:v>
      </x:c>
      <x:c r="S1513" s="22" t="n">
        <x:f>P1513-R1513</x:f>
        <x:v>131.76</x:v>
      </x:c>
      <x:c r="T1513" t="str">
        <x:v>Bank Transfer</x:v>
      </x:c>
      <x:c r="U1513" t="str">
        <x:v>Paid</x:v>
      </x:c>
      <x:c r="V1513" t="str">
        <x:v>Cancelled</x:v>
      </x:c>
      <x:c r="W1513" t="n">
        <x:v>9</x:v>
      </x:c>
      <x:c r="X1513" t="str">
        <x:v>Cancelled Order</x:v>
      </x:c>
      <x:c r="Y1513" t="str">
        <x:v>Outbound Call</x:v>
      </x:c>
    </x:row>
    <x:row r="1514">
      <x:c r="A1514" t="str">
        <x:v>O001513</x:v>
      </x:c>
      <x:c r="B1514" s="20" t="n">
        <x:v>46194</x:v>
      </x:c>
      <x:c r="C1514" t="str">
        <x:v>C0137</x:v>
      </x:c>
      <x:c r="D1514" t="str">
        <x:v>Green Restaurant 137</x:v>
      </x:c>
      <x:c r="E1514" t="str">
        <x:v>Canteen</x:v>
      </x:c>
      <x:c r="F1514" t="str">
        <x:v>Mangaluru</x:v>
      </x:c>
      <x:c r="G1514" t="str">
        <x:v>Arjun</x:v>
      </x:c>
      <x:c r="H1514" t="str">
        <x:v>P021</x:v>
      </x:c>
      <x:c r="I1514" t="str">
        <x:v>Instant Coffee 200g</x:v>
      </x:c>
      <x:c r="J1514" t="str">
        <x:v>Beverage</x:v>
      </x:c>
      <x:c r="K1514" t="str">
        <x:v>Nescafe</x:v>
      </x:c>
      <x:c r="L1514" s="22" t="n">
        <x:v>460</x:v>
      </x:c>
      <x:c r="M1514" t="n">
        <x:v>1</x:v>
      </x:c>
      <x:c r="N1514" s="24" t="n">
        <x:v>0.02</x:v>
      </x:c>
      <x:c r="O1514" s="22" t="n">
        <x:f>L1514*M1514</x:f>
        <x:v>460</x:v>
      </x:c>
      <x:c r="P1514" s="22" t="n">
        <x:f>O1514*(1-N1514)</x:f>
        <x:v>450.8</x:v>
      </x:c>
      <x:c r="Q1514" s="22" t="n">
        <x:v>410</x:v>
      </x:c>
      <x:c r="R1514" s="22" t="n">
        <x:f>Q1514*M1514</x:f>
        <x:v>410</x:v>
      </x:c>
      <x:c r="S1514" s="22" t="n">
        <x:f>P1514-R1514</x:f>
        <x:v>40.80000000000001</x:v>
      </x:c>
      <x:c r="T1514" t="str">
        <x:v>Bank Transfer</x:v>
      </x:c>
      <x:c r="U1514" t="str">
        <x:v>Paid</x:v>
      </x:c>
      <x:c r="V1514" t="str">
        <x:v>Delivered</x:v>
      </x:c>
      <x:c r="W1514" t="n">
        <x:v>0</x:v>
      </x:c>
      <x:c r="X1514" t="str"/>
      <x:c r="Y1514" t="str">
        <x:v>Field Visit</x:v>
      </x:c>
    </x:row>
    <x:row r="1515">
      <x:c r="A1515" t="str">
        <x:v>O001514</x:v>
      </x:c>
      <x:c r="B1515" s="20" t="n">
        <x:v>46057</x:v>
      </x:c>
      <x:c r="C1515" t="str">
        <x:v>C0170</x:v>
      </x:c>
      <x:c r="D1515" t="str">
        <x:v>Green Cafe 170</x:v>
      </x:c>
      <x:c r="E1515" t="str">
        <x:v>Supermarket</x:v>
      </x:c>
      <x:c r="F1515" t="str">
        <x:v>Bengaluru</x:v>
      </x:c>
      <x:c r="G1515" t="str">
        <x:v>Sneha</x:v>
      </x:c>
      <x:c r="H1515" t="str">
        <x:v>P024</x:v>
      </x:c>
      <x:c r="I1515" t="str">
        <x:v>Orange Drink 1L</x:v>
      </x:c>
      <x:c r="J1515" t="str">
        <x:v>Beverage</x:v>
      </x:c>
      <x:c r="K1515" t="str">
        <x:v>Minute Maid</x:v>
      </x:c>
      <x:c r="L1515" s="22" t="n">
        <x:v>105</x:v>
      </x:c>
      <x:c r="M1515" t="n">
        <x:v>25</x:v>
      </x:c>
      <x:c r="N1515" s="24" t="n">
        <x:v>0.05</x:v>
      </x:c>
      <x:c r="O1515" s="22" t="n">
        <x:f>L1515*M1515</x:f>
        <x:v>2625</x:v>
      </x:c>
      <x:c r="P1515" s="22" t="n">
        <x:f>O1515*(1-N1515)</x:f>
        <x:v>2493.75</x:v>
      </x:c>
      <x:c r="Q1515" s="22" t="n">
        <x:v>88</x:v>
      </x:c>
      <x:c r="R1515" s="22" t="n">
        <x:f>Q1515*M1515</x:f>
        <x:v>2200</x:v>
      </x:c>
      <x:c r="S1515" s="22" t="n">
        <x:f>P1515-R1515</x:f>
        <x:v>293.75</x:v>
      </x:c>
      <x:c r="T1515" t="str">
        <x:v>Cash</x:v>
      </x:c>
      <x:c r="U1515" t="str">
        <x:v>Paid</x:v>
      </x:c>
      <x:c r="V1515" t="str">
        <x:v>Delayed</x:v>
      </x:c>
      <x:c r="W1515" t="n">
        <x:v>0</x:v>
      </x:c>
      <x:c r="X1515" t="str"/>
      <x:c r="Y1515" t="str">
        <x:v>Outbound Call</x:v>
      </x:c>
    </x:row>
    <x:row r="1516">
      <x:c r="A1516" t="str">
        <x:v>O001515</x:v>
      </x:c>
      <x:c r="B1516" s="20" t="n">
        <x:v>45944</x:v>
      </x:c>
      <x:c r="C1516" t="str">
        <x:v>C0032</x:v>
      </x:c>
      <x:c r="D1516" t="str">
        <x:v>Cafe Hotel 32</x:v>
      </x:c>
      <x:c r="E1516" t="str">
        <x:v>Canteen</x:v>
      </x:c>
      <x:c r="F1516" t="str">
        <x:v>Bengaluru</x:v>
      </x:c>
      <x:c r="G1516" t="str">
        <x:v>Sneha</x:v>
      </x:c>
      <x:c r="H1516" t="str">
        <x:v>P011</x:v>
      </x:c>
      <x:c r="I1516" t="str">
        <x:v>Salt 1kg</x:v>
      </x:c>
      <x:c r="J1516" t="str">
        <x:v>Staples</x:v>
      </x:c>
      <x:c r="K1516" t="str">
        <x:v>Tata</x:v>
      </x:c>
      <x:c r="L1516" s="22" t="n">
        <x:v>28</x:v>
      </x:c>
      <x:c r="M1516" t="n">
        <x:v>35</x:v>
      </x:c>
      <x:c r="N1516" s="24" t="n">
        <x:v>0</x:v>
      </x:c>
      <x:c r="O1516" s="22" t="n">
        <x:f>L1516*M1516</x:f>
        <x:v>980</x:v>
      </x:c>
      <x:c r="P1516" s="22" t="n">
        <x:f>O1516*(1-N1516)</x:f>
        <x:v>980</x:v>
      </x:c>
      <x:c r="Q1516" s="22" t="n">
        <x:v>23</x:v>
      </x:c>
      <x:c r="R1516" s="22" t="n">
        <x:f>Q1516*M1516</x:f>
        <x:v>805</x:v>
      </x:c>
      <x:c r="S1516" s="22" t="n">
        <x:f>P1516-R1516</x:f>
        <x:v>175</x:v>
      </x:c>
      <x:c r="T1516" t="str">
        <x:v>Cash</x:v>
      </x:c>
      <x:c r="U1516" t="str">
        <x:v>Pending</x:v>
      </x:c>
      <x:c r="V1516" t="str">
        <x:v>Delivered</x:v>
      </x:c>
      <x:c r="W1516" t="n">
        <x:v>0</x:v>
      </x:c>
      <x:c r="X1516" t="str"/>
      <x:c r="Y1516" t="str">
        <x:v>Existing Customer</x:v>
      </x:c>
    </x:row>
    <x:row r="1517">
      <x:c r="A1517" t="str">
        <x:v>O001516</x:v>
      </x:c>
      <x:c r="B1517" s="20" t="n">
        <x:v>45858</x:v>
      </x:c>
      <x:c r="C1517" t="str">
        <x:v>C0152</x:v>
      </x:c>
      <x:c r="D1517" t="str">
        <x:v>Metro Stores 152</x:v>
      </x:c>
      <x:c r="E1517" t="str">
        <x:v>Cafe</x:v>
      </x:c>
      <x:c r="F1517" t="str">
        <x:v>Hubballi</x:v>
      </x:c>
      <x:c r="G1517" t="str">
        <x:v>Priya</x:v>
      </x:c>
      <x:c r="H1517" t="str">
        <x:v>P026</x:v>
      </x:c>
      <x:c r="I1517" t="str">
        <x:v>Banana Chips 80g</x:v>
      </x:c>
      <x:c r="J1517" t="str">
        <x:v>Snacks</x:v>
      </x:c>
      <x:c r="K1517" t="str">
        <x:v>SSS</x:v>
      </x:c>
      <x:c r="L1517" s="22" t="n">
        <x:v>54</x:v>
      </x:c>
      <x:c r="M1517" t="n">
        <x:v>9</x:v>
      </x:c>
      <x:c r="N1517" s="24" t="n">
        <x:v>0.02</x:v>
      </x:c>
      <x:c r="O1517" s="22" t="n">
        <x:f>L1517*M1517</x:f>
        <x:v>486</x:v>
      </x:c>
      <x:c r="P1517" s="22" t="n">
        <x:f>O1517*(1-N1517)</x:f>
        <x:v>476.28</x:v>
      </x:c>
      <x:c r="Q1517" s="22" t="n">
        <x:v>39</x:v>
      </x:c>
      <x:c r="R1517" s="22" t="n">
        <x:f>Q1517*M1517</x:f>
        <x:v>351</x:v>
      </x:c>
      <x:c r="S1517" s="22" t="n">
        <x:f>P1517-R1517</x:f>
        <x:v>125.27999999999997</x:v>
      </x:c>
      <x:c r="T1517" t="str">
        <x:v>Cash</x:v>
      </x:c>
      <x:c r="U1517" t="str">
        <x:v>Paid</x:v>
      </x:c>
      <x:c r="V1517" t="str">
        <x:v>Delivered</x:v>
      </x:c>
      <x:c r="W1517" t="n">
        <x:v>0</x:v>
      </x:c>
      <x:c r="X1517" t="str"/>
      <x:c r="Y1517" t="str">
        <x:v>Referral</x:v>
      </x:c>
    </x:row>
    <x:row r="1518">
      <x:c r="A1518" t="str">
        <x:v>O001517</x:v>
      </x:c>
      <x:c r="B1518" s="20" t="n">
        <x:v>45933</x:v>
      </x:c>
      <x:c r="C1518" t="str">
        <x:v>C0190</x:v>
      </x:c>
      <x:c r="D1518" t="str">
        <x:v>Shree Restaurant 190</x:v>
      </x:c>
      <x:c r="E1518" t="str">
        <x:v>Canteen</x:v>
      </x:c>
      <x:c r="F1518" t="str">
        <x:v>Bengaluru</x:v>
      </x:c>
      <x:c r="G1518" t="str">
        <x:v>Kavya</x:v>
      </x:c>
      <x:c r="H1518" t="str">
        <x:v>P037</x:v>
      </x:c>
      <x:c r="I1518" t="str">
        <x:v>Frozen Peas 1kg</x:v>
      </x:c>
      <x:c r="J1518" t="str">
        <x:v>Frozen</x:v>
      </x:c>
      <x:c r="K1518" t="str">
        <x:v>Safal</x:v>
      </x:c>
      <x:c r="L1518" s="22" t="n">
        <x:v>155</x:v>
      </x:c>
      <x:c r="M1518" t="n">
        <x:v>26</x:v>
      </x:c>
      <x:c r="N1518" s="24" t="n">
        <x:v>0.05</x:v>
      </x:c>
      <x:c r="O1518" s="22" t="n">
        <x:f>L1518*M1518</x:f>
        <x:v>4030</x:v>
      </x:c>
      <x:c r="P1518" s="22" t="n">
        <x:f>O1518*(1-N1518)</x:f>
        <x:v>3828.5</x:v>
      </x:c>
      <x:c r="Q1518" s="22" t="n">
        <x:v>138</x:v>
      </x:c>
      <x:c r="R1518" s="22" t="n">
        <x:f>Q1518*M1518</x:f>
        <x:v>3588</x:v>
      </x:c>
      <x:c r="S1518" s="22" t="n">
        <x:f>P1518-R1518</x:f>
        <x:v>240.5</x:v>
      </x:c>
      <x:c r="T1518" t="str">
        <x:v>Bank Transfer</x:v>
      </x:c>
      <x:c r="U1518" t="str">
        <x:v>Pending</x:v>
      </x:c>
      <x:c r="V1518" t="str">
        <x:v>Delivered</x:v>
      </x:c>
      <x:c r="W1518" t="n">
        <x:v>0</x:v>
      </x:c>
      <x:c r="X1518" t="str"/>
      <x:c r="Y1518" t="str">
        <x:v>Existing Customer</x:v>
      </x:c>
    </x:row>
    <x:row r="1519">
      <x:c r="A1519" t="str">
        <x:v>O001518</x:v>
      </x:c>
      <x:c r="B1519" s="20" t="n">
        <x:v>45826</x:v>
      </x:c>
      <x:c r="C1519" t="str">
        <x:v>C0088</x:v>
      </x:c>
      <x:c r="D1519" t="str">
        <x:v>Darshini Kitchen 88</x:v>
      </x:c>
      <x:c r="E1519" t="str">
        <x:v>Cafe</x:v>
      </x:c>
      <x:c r="F1519" t="str">
        <x:v>Tumakuru</x:v>
      </x:c>
      <x:c r="G1519" t="str">
        <x:v>Arjun</x:v>
      </x:c>
      <x:c r="H1519" t="str">
        <x:v>P026</x:v>
      </x:c>
      <x:c r="I1519" t="str">
        <x:v>Banana Chips 80g</x:v>
      </x:c>
      <x:c r="J1519" t="str">
        <x:v>Snacks</x:v>
      </x:c>
      <x:c r="K1519" t="str">
        <x:v>SSS</x:v>
      </x:c>
      <x:c r="L1519" s="22" t="n">
        <x:v>54</x:v>
      </x:c>
      <x:c r="M1519" t="n">
        <x:v>17</x:v>
      </x:c>
      <x:c r="N1519" s="24" t="n">
        <x:v>0</x:v>
      </x:c>
      <x:c r="O1519" s="22" t="n">
        <x:f>L1519*M1519</x:f>
        <x:v>918</x:v>
      </x:c>
      <x:c r="P1519" s="22" t="n">
        <x:f>O1519*(1-N1519)</x:f>
        <x:v>918</x:v>
      </x:c>
      <x:c r="Q1519" s="22" t="n">
        <x:v>39</x:v>
      </x:c>
      <x:c r="R1519" s="22" t="n">
        <x:f>Q1519*M1519</x:f>
        <x:v>663</x:v>
      </x:c>
      <x:c r="S1519" s="22" t="n">
        <x:f>P1519-R1519</x:f>
        <x:v>255</x:v>
      </x:c>
      <x:c r="T1519" t="str">
        <x:v>Cash</x:v>
      </x:c>
      <x:c r="U1519" t="str">
        <x:v>Paid</x:v>
      </x:c>
      <x:c r="V1519" t="str">
        <x:v>Delivered</x:v>
      </x:c>
      <x:c r="W1519" t="n">
        <x:v>0</x:v>
      </x:c>
      <x:c r="X1519" t="str"/>
      <x:c r="Y1519" t="str">
        <x:v>WhatsApp</x:v>
      </x:c>
    </x:row>
    <x:row r="1520">
      <x:c r="A1520" t="str">
        <x:v>O001519</x:v>
      </x:c>
      <x:c r="B1520" s="20" t="n">
        <x:v>46056</x:v>
      </x:c>
      <x:c r="C1520" t="str">
        <x:v>C0242</x:v>
      </x:c>
      <x:c r="D1520" t="str">
        <x:v>Fresh Cafe 242</x:v>
      </x:c>
      <x:c r="E1520" t="str">
        <x:v>Canteen</x:v>
      </x:c>
      <x:c r="F1520" t="str">
        <x:v>Davanagere</x:v>
      </x:c>
      <x:c r="G1520" t="str">
        <x:v>Kavya</x:v>
      </x:c>
      <x:c r="H1520" t="str">
        <x:v>P022</x:v>
      </x:c>
      <x:c r="I1520" t="str">
        <x:v>Mineral Water 1L</x:v>
      </x:c>
      <x:c r="J1520" t="str">
        <x:v>Beverage</x:v>
      </x:c>
      <x:c r="K1520" t="str">
        <x:v>Bisleri</x:v>
      </x:c>
      <x:c r="L1520" s="22" t="n">
        <x:v>19</x:v>
      </x:c>
      <x:c r="M1520" t="n">
        <x:v>11</x:v>
      </x:c>
      <x:c r="N1520" s="24" t="n">
        <x:v>0.1</x:v>
      </x:c>
      <x:c r="O1520" s="22" t="n">
        <x:f>L1520*M1520</x:f>
        <x:v>209</x:v>
      </x:c>
      <x:c r="P1520" s="22" t="n">
        <x:f>O1520*(1-N1520)</x:f>
        <x:v>188.1</x:v>
      </x:c>
      <x:c r="Q1520" s="22" t="n">
        <x:v>15</x:v>
      </x:c>
      <x:c r="R1520" s="22" t="n">
        <x:f>Q1520*M1520</x:f>
        <x:v>165</x:v>
      </x:c>
      <x:c r="S1520" s="22" t="n">
        <x:f>P1520-R1520</x:f>
        <x:v>23.099999999999994</x:v>
      </x:c>
      <x:c r="T1520" t="str">
        <x:v>Bank Transfer</x:v>
      </x:c>
      <x:c r="U1520" t="str">
        <x:v>Paid</x:v>
      </x:c>
      <x:c r="V1520" t="str">
        <x:v>Delayed</x:v>
      </x:c>
      <x:c r="W1520" t="n">
        <x:v>0</x:v>
      </x:c>
      <x:c r="X1520" t="str"/>
      <x:c r="Y1520" t="str">
        <x:v>Referral</x:v>
      </x:c>
    </x:row>
    <x:row r="1521">
      <x:c r="A1521" t="str">
        <x:v>O001520</x:v>
      </x:c>
      <x:c r="B1521" s="20" t="n">
        <x:v>46200</x:v>
      </x:c>
      <x:c r="C1521" t="str">
        <x:v>C0057</x:v>
      </x:c>
      <x:c r="D1521" t="str">
        <x:v>Annapurna Foods 57</x:v>
      </x:c>
      <x:c r="E1521" t="str">
        <x:v>Kirana</x:v>
      </x:c>
      <x:c r="F1521" t="str">
        <x:v>Mysuru</x:v>
      </x:c>
      <x:c r="G1521" t="str">
        <x:v>Priya</x:v>
      </x:c>
      <x:c r="H1521" t="str">
        <x:v>P022</x:v>
      </x:c>
      <x:c r="I1521" t="str">
        <x:v>Mineral Water 1L</x:v>
      </x:c>
      <x:c r="J1521" t="str">
        <x:v>Beverage</x:v>
      </x:c>
      <x:c r="K1521" t="str">
        <x:v>Bisleri</x:v>
      </x:c>
      <x:c r="L1521" s="22" t="n">
        <x:v>19</x:v>
      </x:c>
      <x:c r="M1521" t="n">
        <x:v>39</x:v>
      </x:c>
      <x:c r="N1521" s="24" t="n">
        <x:v>0.05</x:v>
      </x:c>
      <x:c r="O1521" s="22" t="n">
        <x:f>L1521*M1521</x:f>
        <x:v>741</x:v>
      </x:c>
      <x:c r="P1521" s="22" t="n">
        <x:f>O1521*(1-N1521)</x:f>
        <x:v>703.9499999999999</x:v>
      </x:c>
      <x:c r="Q1521" s="22" t="n">
        <x:v>15</x:v>
      </x:c>
      <x:c r="R1521" s="22" t="n">
        <x:f>Q1521*M1521</x:f>
        <x:v>585</x:v>
      </x:c>
      <x:c r="S1521" s="22" t="n">
        <x:f>P1521-R1521</x:f>
        <x:v>118.94999999999993</x:v>
      </x:c>
      <x:c r="T1521" t="str">
        <x:v>Cash</x:v>
      </x:c>
      <x:c r="U1521" t="str">
        <x:v>Paid</x:v>
      </x:c>
      <x:c r="V1521" t="str">
        <x:v>Delayed</x:v>
      </x:c>
      <x:c r="W1521" t="n">
        <x:v>0</x:v>
      </x:c>
      <x:c r="X1521" t="str"/>
      <x:c r="Y1521" t="str">
        <x:v>Outbound Call</x:v>
      </x:c>
    </x:row>
    <x:row r="1522">
      <x:c r="A1522" t="str">
        <x:v>O001521</x:v>
      </x:c>
      <x:c r="B1522" s="20" t="n">
        <x:v>46032</x:v>
      </x:c>
      <x:c r="C1522" t="str">
        <x:v>C0101</x:v>
      </x:c>
      <x:c r="D1522" t="str">
        <x:v>Namma Cafe 101</x:v>
      </x:c>
      <x:c r="E1522" t="str">
        <x:v>Supermarket</x:v>
      </x:c>
      <x:c r="F1522" t="str">
        <x:v>Bengaluru</x:v>
      </x:c>
      <x:c r="G1522" t="str">
        <x:v>Arjun</x:v>
      </x:c>
      <x:c r="H1522" t="str">
        <x:v>P024</x:v>
      </x:c>
      <x:c r="I1522" t="str">
        <x:v>Orange Drink 1L</x:v>
      </x:c>
      <x:c r="J1522" t="str">
        <x:v>Beverage</x:v>
      </x:c>
      <x:c r="K1522" t="str">
        <x:v>Minute Maid</x:v>
      </x:c>
      <x:c r="L1522" s="22" t="n">
        <x:v>105</x:v>
      </x:c>
      <x:c r="M1522" t="n">
        <x:v>2</x:v>
      </x:c>
      <x:c r="N1522" s="24" t="n">
        <x:v>0.1</x:v>
      </x:c>
      <x:c r="O1522" s="22" t="n">
        <x:f>L1522*M1522</x:f>
        <x:v>210</x:v>
      </x:c>
      <x:c r="P1522" s="22" t="n">
        <x:f>O1522*(1-N1522)</x:f>
        <x:v>189</x:v>
      </x:c>
      <x:c r="Q1522" s="22" t="n">
        <x:v>88</x:v>
      </x:c>
      <x:c r="R1522" s="22" t="n">
        <x:f>Q1522*M1522</x:f>
        <x:v>176</x:v>
      </x:c>
      <x:c r="S1522" s="22" t="n">
        <x:f>P1522-R1522</x:f>
        <x:v>13</x:v>
      </x:c>
      <x:c r="T1522" t="str">
        <x:v>Credit</x:v>
      </x:c>
      <x:c r="U1522" t="str">
        <x:v>Paid</x:v>
      </x:c>
      <x:c r="V1522" t="str">
        <x:v>Delivered</x:v>
      </x:c>
      <x:c r="W1522" t="n">
        <x:v>0</x:v>
      </x:c>
      <x:c r="X1522" t="str"/>
      <x:c r="Y1522" t="str">
        <x:v>Existing Customer</x:v>
      </x:c>
    </x:row>
    <x:row r="1523">
      <x:c r="A1523" t="str">
        <x:v>O001522</x:v>
      </x:c>
      <x:c r="B1523" s="20" t="n">
        <x:v>46157</x:v>
      </x:c>
      <x:c r="C1523" t="str">
        <x:v>C0157</x:v>
      </x:c>
      <x:c r="D1523" t="str">
        <x:v>Fresh Canteen 157</x:v>
      </x:c>
      <x:c r="E1523" t="str">
        <x:v>Kirana</x:v>
      </x:c>
      <x:c r="F1523" t="str">
        <x:v>Mangaluru</x:v>
      </x:c>
      <x:c r="G1523" t="str">
        <x:v>Priya</x:v>
      </x:c>
      <x:c r="H1523" t="str">
        <x:v>P021</x:v>
      </x:c>
      <x:c r="I1523" t="str">
        <x:v>Instant Coffee 200g</x:v>
      </x:c>
      <x:c r="J1523" t="str">
        <x:v>Beverage</x:v>
      </x:c>
      <x:c r="K1523" t="str">
        <x:v>Nescafe</x:v>
      </x:c>
      <x:c r="L1523" s="22" t="n">
        <x:v>460</x:v>
      </x:c>
      <x:c r="M1523" t="n">
        <x:v>19</x:v>
      </x:c>
      <x:c r="N1523" s="24" t="n">
        <x:v>0.05</x:v>
      </x:c>
      <x:c r="O1523" s="22" t="n">
        <x:f>L1523*M1523</x:f>
        <x:v>8740</x:v>
      </x:c>
      <x:c r="P1523" s="22" t="n">
        <x:f>O1523*(1-N1523)</x:f>
        <x:v>8303</x:v>
      </x:c>
      <x:c r="Q1523" s="22" t="n">
        <x:v>410</x:v>
      </x:c>
      <x:c r="R1523" s="22" t="n">
        <x:f>Q1523*M1523</x:f>
        <x:v>7790</x:v>
      </x:c>
      <x:c r="S1523" s="22" t="n">
        <x:f>P1523-R1523</x:f>
        <x:v>513</x:v>
      </x:c>
      <x:c r="T1523" t="str">
        <x:v>Bank Transfer</x:v>
      </x:c>
      <x:c r="U1523" t="str">
        <x:v>Paid</x:v>
      </x:c>
      <x:c r="V1523" t="str">
        <x:v>Delivered</x:v>
      </x:c>
      <x:c r="W1523" t="n">
        <x:v>0</x:v>
      </x:c>
      <x:c r="X1523" t="str"/>
      <x:c r="Y1523" t="str">
        <x:v>Outbound Call</x:v>
      </x:c>
    </x:row>
    <x:row r="1524">
      <x:c r="A1524" t="str">
        <x:v>O001523</x:v>
      </x:c>
      <x:c r="B1524" s="20" t="n">
        <x:v>46248</x:v>
      </x:c>
      <x:c r="C1524" t="str">
        <x:v>C0229</x:v>
      </x:c>
      <x:c r="D1524" t="str">
        <x:v>Namma Canteen 229</x:v>
      </x:c>
      <x:c r="E1524" t="str">
        <x:v>Restaurant</x:v>
      </x:c>
      <x:c r="F1524" t="str">
        <x:v>Bengaluru</x:v>
      </x:c>
      <x:c r="G1524" t="str">
        <x:v>Arjun</x:v>
      </x:c>
      <x:c r="H1524" t="str">
        <x:v>P033</x:v>
      </x:c>
      <x:c r="I1524" t="str">
        <x:v>Turmeric Powder 1kg</x:v>
      </x:c>
      <x:c r="J1524" t="str">
        <x:v>Spices</x:v>
      </x:c>
      <x:c r="K1524" t="str">
        <x:v>Everest</x:v>
      </x:c>
      <x:c r="L1524" s="22" t="n">
        <x:v>310</x:v>
      </x:c>
      <x:c r="M1524" t="n">
        <x:v>5</x:v>
      </x:c>
      <x:c r="N1524" s="24" t="n">
        <x:v>0.08</x:v>
      </x:c>
      <x:c r="O1524" s="22" t="n">
        <x:f>L1524*M1524</x:f>
        <x:v>1550</x:v>
      </x:c>
      <x:c r="P1524" s="22" t="n">
        <x:f>O1524*(1-N1524)</x:f>
        <x:v>1426</x:v>
      </x:c>
      <x:c r="Q1524" s="22" t="n">
        <x:v>270</x:v>
      </x:c>
      <x:c r="R1524" s="22" t="n">
        <x:f>Q1524*M1524</x:f>
        <x:v>1350</x:v>
      </x:c>
      <x:c r="S1524" s="22" t="n">
        <x:f>P1524-R1524</x:f>
        <x:v>76</x:v>
      </x:c>
      <x:c r="T1524" t="str">
        <x:v>UPI</x:v>
      </x:c>
      <x:c r="U1524" t="str">
        <x:v>Pending</x:v>
      </x:c>
      <x:c r="V1524" t="str">
        <x:v>Delayed</x:v>
      </x:c>
      <x:c r="W1524" t="n">
        <x:v>0</x:v>
      </x:c>
      <x:c r="X1524" t="str"/>
      <x:c r="Y1524" t="str">
        <x:v>WhatsApp</x:v>
      </x:c>
    </x:row>
    <x:row r="1525">
      <x:c r="A1525" t="str">
        <x:v>O001524</x:v>
      </x:c>
      <x:c r="B1525" s="20" t="n">
        <x:v>45999</x:v>
      </x:c>
      <x:c r="C1525" t="str">
        <x:v>C0051</x:v>
      </x:c>
      <x:c r="D1525" t="str">
        <x:v>Cafe Hotel 51</x:v>
      </x:c>
      <x:c r="E1525" t="str">
        <x:v>Kirana</x:v>
      </x:c>
      <x:c r="F1525" t="str">
        <x:v>Tumakuru</x:v>
      </x:c>
      <x:c r="G1525" t="str">
        <x:v>Arjun</x:v>
      </x:c>
      <x:c r="H1525" t="str">
        <x:v>P034</x:v>
      </x:c>
      <x:c r="I1525" t="str">
        <x:v>Chilli Powder 1kg</x:v>
      </x:c>
      <x:c r="J1525" t="str">
        <x:v>Spices</x:v>
      </x:c>
      <x:c r="K1525" t="str">
        <x:v>MDH</x:v>
      </x:c>
      <x:c r="L1525" s="22" t="n">
        <x:v>340</x:v>
      </x:c>
      <x:c r="M1525" t="n">
        <x:v>38</x:v>
      </x:c>
      <x:c r="N1525" s="24" t="n">
        <x:v>0</x:v>
      </x:c>
      <x:c r="O1525" s="22" t="n">
        <x:f>L1525*M1525</x:f>
        <x:v>12920</x:v>
      </x:c>
      <x:c r="P1525" s="22" t="n">
        <x:f>O1525*(1-N1525)</x:f>
        <x:v>12920</x:v>
      </x:c>
      <x:c r="Q1525" s="22" t="n">
        <x:v>295</x:v>
      </x:c>
      <x:c r="R1525" s="22" t="n">
        <x:f>Q1525*M1525</x:f>
        <x:v>11210</x:v>
      </x:c>
      <x:c r="S1525" s="22" t="n">
        <x:f>P1525-R1525</x:f>
        <x:v>1710</x:v>
      </x:c>
      <x:c r="T1525" t="str">
        <x:v>UPI</x:v>
      </x:c>
      <x:c r="U1525" t="str">
        <x:v>Paid</x:v>
      </x:c>
      <x:c r="V1525" t="str">
        <x:v>Delivered</x:v>
      </x:c>
      <x:c r="W1525" t="n">
        <x:v>0</x:v>
      </x:c>
      <x:c r="X1525" t="str"/>
      <x:c r="Y1525" t="str">
        <x:v>Field Visit</x:v>
      </x:c>
    </x:row>
    <x:row r="1526">
      <x:c r="A1526" t="str">
        <x:v>O001525</x:v>
      </x:c>
      <x:c r="B1526" s="20" t="n">
        <x:v>45768</x:v>
      </x:c>
      <x:c r="C1526" t="str">
        <x:v>C0076</x:v>
      </x:c>
      <x:c r="D1526" t="str">
        <x:v>Sri Canteen 76</x:v>
      </x:c>
      <x:c r="E1526" t="str">
        <x:v>Canteen</x:v>
      </x:c>
      <x:c r="F1526" t="str">
        <x:v>Tumakuru</x:v>
      </x:c>
      <x:c r="G1526" t="str">
        <x:v>Priya</x:v>
      </x:c>
      <x:c r="H1526" t="str">
        <x:v>P030</x:v>
      </x:c>
      <x:c r="I1526" t="str">
        <x:v>Mayonnaise 1kg</x:v>
      </x:c>
      <x:c r="J1526" t="str">
        <x:v>Condiments</x:v>
      </x:c>
      <x:c r="K1526" t="str">
        <x:v>Veeba</x:v>
      </x:c>
      <x:c r="L1526" s="22" t="n">
        <x:v>210</x:v>
      </x:c>
      <x:c r="M1526" t="n">
        <x:v>21</x:v>
      </x:c>
      <x:c r="N1526" s="24" t="n">
        <x:v>0.05</x:v>
      </x:c>
      <x:c r="O1526" s="22" t="n">
        <x:f>L1526*M1526</x:f>
        <x:v>4410</x:v>
      </x:c>
      <x:c r="P1526" s="22" t="n">
        <x:f>O1526*(1-N1526)</x:f>
        <x:v>4189.5</x:v>
      </x:c>
      <x:c r="Q1526" s="22" t="n">
        <x:v>185</x:v>
      </x:c>
      <x:c r="R1526" s="22" t="n">
        <x:f>Q1526*M1526</x:f>
        <x:v>3885</x:v>
      </x:c>
      <x:c r="S1526" s="22" t="n">
        <x:f>P1526-R1526</x:f>
        <x:v>304.5</x:v>
      </x:c>
      <x:c r="T1526" t="str">
        <x:v>Bank Transfer</x:v>
      </x:c>
      <x:c r="U1526" t="str">
        <x:v>Paid</x:v>
      </x:c>
      <x:c r="V1526" t="str">
        <x:v>Cancelled</x:v>
      </x:c>
      <x:c r="W1526" t="n">
        <x:v>21</x:v>
      </x:c>
      <x:c r="X1526" t="str">
        <x:v>Cancelled Order</x:v>
      </x:c>
      <x:c r="Y1526" t="str">
        <x:v>Referral</x:v>
      </x:c>
    </x:row>
    <x:row r="1527">
      <x:c r="A1527" t="str">
        <x:v>O001526</x:v>
      </x:c>
      <x:c r="B1527" s="20" t="n">
        <x:v>46087</x:v>
      </x:c>
      <x:c r="C1527" t="str">
        <x:v>C0227</x:v>
      </x:c>
      <x:c r="D1527" t="str">
        <x:v>Metro Restaurant 227</x:v>
      </x:c>
      <x:c r="E1527" t="str">
        <x:v>Restaurant</x:v>
      </x:c>
      <x:c r="F1527" t="str">
        <x:v>Davanagere</x:v>
      </x:c>
      <x:c r="G1527" t="str">
        <x:v>Kavya</x:v>
      </x:c>
      <x:c r="H1527" t="str">
        <x:v>P014</x:v>
      </x:c>
      <x:c r="I1527" t="str">
        <x:v>Rava 5kg</x:v>
      </x:c>
      <x:c r="J1527" t="str">
        <x:v>Flour</x:v>
      </x:c>
      <x:c r="K1527" t="str">
        <x:v>Local Select</x:v>
      </x:c>
      <x:c r="L1527" s="22" t="n">
        <x:v>245</x:v>
      </x:c>
      <x:c r="M1527" t="n">
        <x:v>31</x:v>
      </x:c>
      <x:c r="N1527" s="24" t="n">
        <x:v>0.05</x:v>
      </x:c>
      <x:c r="O1527" s="22" t="n">
        <x:f>L1527*M1527</x:f>
        <x:v>7595</x:v>
      </x:c>
      <x:c r="P1527" s="22" t="n">
        <x:f>O1527*(1-N1527)</x:f>
        <x:v>7215.25</x:v>
      </x:c>
      <x:c r="Q1527" s="22" t="n">
        <x:v>215</x:v>
      </x:c>
      <x:c r="R1527" s="22" t="n">
        <x:f>Q1527*M1527</x:f>
        <x:v>6665</x:v>
      </x:c>
      <x:c r="S1527" s="22" t="n">
        <x:f>P1527-R1527</x:f>
        <x:v>550.25</x:v>
      </x:c>
      <x:c r="T1527" t="str">
        <x:v>UPI</x:v>
      </x:c>
      <x:c r="U1527" t="str">
        <x:v>Paid</x:v>
      </x:c>
      <x:c r="V1527" t="str">
        <x:v>Delivered</x:v>
      </x:c>
      <x:c r="W1527" t="n">
        <x:v>0</x:v>
      </x:c>
      <x:c r="X1527" t="str"/>
      <x:c r="Y1527" t="str">
        <x:v>Field Visit</x:v>
      </x:c>
    </x:row>
    <x:row r="1528">
      <x:c r="A1528" t="str">
        <x:v>O001527</x:v>
      </x:c>
      <x:c r="B1528" s="20" t="n">
        <x:v>45930</x:v>
      </x:c>
      <x:c r="C1528" t="str">
        <x:v>C0246</x:v>
      </x:c>
      <x:c r="D1528" t="str">
        <x:v>City Hotel 246</x:v>
      </x:c>
      <x:c r="E1528" t="str">
        <x:v>Supermarket</x:v>
      </x:c>
      <x:c r="F1528" t="str">
        <x:v>Mangaluru</x:v>
      </x:c>
      <x:c r="G1528" t="str">
        <x:v>Kavya</x:v>
      </x:c>
      <x:c r="H1528" t="str">
        <x:v>P040</x:v>
      </x:c>
      <x:c r="I1528" t="str">
        <x:v>Bread Loaf 400g</x:v>
      </x:c>
      <x:c r="J1528" t="str">
        <x:v>Bakery</x:v>
      </x:c>
      <x:c r="K1528" t="str">
        <x:v>Britannia</x:v>
      </x:c>
      <x:c r="L1528" s="22" t="n">
        <x:v>45</x:v>
      </x:c>
      <x:c r="M1528" t="n">
        <x:v>10</x:v>
      </x:c>
      <x:c r="N1528" s="24" t="n">
        <x:v>0.05</x:v>
      </x:c>
      <x:c r="O1528" s="22" t="n">
        <x:f>L1528*M1528</x:f>
        <x:v>450</x:v>
      </x:c>
      <x:c r="P1528" s="22" t="n">
        <x:f>O1528*(1-N1528)</x:f>
        <x:v>427.5</x:v>
      </x:c>
      <x:c r="Q1528" s="22" t="n">
        <x:v>35</x:v>
      </x:c>
      <x:c r="R1528" s="22" t="n">
        <x:f>Q1528*M1528</x:f>
        <x:v>350</x:v>
      </x:c>
      <x:c r="S1528" s="22" t="n">
        <x:f>P1528-R1528</x:f>
        <x:v>77.5</x:v>
      </x:c>
      <x:c r="T1528" t="str">
        <x:v>UPI</x:v>
      </x:c>
      <x:c r="U1528" t="str">
        <x:v>Paid</x:v>
      </x:c>
      <x:c r="V1528" t="str">
        <x:v>Delivered</x:v>
      </x:c>
      <x:c r="W1528" t="n">
        <x:v>3</x:v>
      </x:c>
      <x:c r="X1528" t="str">
        <x:v>Wrong Item</x:v>
      </x:c>
      <x:c r="Y1528" t="str">
        <x:v>WhatsApp</x:v>
      </x:c>
    </x:row>
    <x:row r="1529">
      <x:c r="A1529" t="str">
        <x:v>O001528</x:v>
      </x:c>
      <x:c r="B1529" s="20" t="n">
        <x:v>46263</x:v>
      </x:c>
      <x:c r="C1529" t="str">
        <x:v>C0136</x:v>
      </x:c>
      <x:c r="D1529" t="str">
        <x:v>Royal Cafe 136</x:v>
      </x:c>
      <x:c r="E1529" t="str">
        <x:v>Hotel</x:v>
      </x:c>
      <x:c r="F1529" t="str">
        <x:v>Tumakuru</x:v>
      </x:c>
      <x:c r="G1529" t="str">
        <x:v>Kavya</x:v>
      </x:c>
      <x:c r="H1529" t="str">
        <x:v>P008</x:v>
      </x:c>
      <x:c r="I1529" t="str">
        <x:v>Palm Oil 15L</x:v>
      </x:c>
      <x:c r="J1529" t="str">
        <x:v>Edible Oil</x:v>
      </x:c>
      <x:c r="K1529" t="str">
        <x:v>Ruchi Gold</x:v>
      </x:c>
      <x:c r="L1529" s="22" t="n">
        <x:v>1760</x:v>
      </x:c>
      <x:c r="M1529" t="n">
        <x:v>8</x:v>
      </x:c>
      <x:c r="N1529" s="24" t="n">
        <x:v>0.03</x:v>
      </x:c>
      <x:c r="O1529" s="22" t="n">
        <x:f>L1529*M1529</x:f>
        <x:v>14080</x:v>
      </x:c>
      <x:c r="P1529" s="22" t="n">
        <x:f>O1529*(1-N1529)</x:f>
        <x:v>13657.6</x:v>
      </x:c>
      <x:c r="Q1529" s="22" t="n">
        <x:v>1610</x:v>
      </x:c>
      <x:c r="R1529" s="22" t="n">
        <x:f>Q1529*M1529</x:f>
        <x:v>12880</x:v>
      </x:c>
      <x:c r="S1529" s="22" t="n">
        <x:f>P1529-R1529</x:f>
        <x:v>777.6000000000004</x:v>
      </x:c>
      <x:c r="T1529" t="str">
        <x:v>Bank Transfer</x:v>
      </x:c>
      <x:c r="U1529" t="str">
        <x:v>Pending</x:v>
      </x:c>
      <x:c r="V1529" t="str">
        <x:v>Delivered</x:v>
      </x:c>
      <x:c r="W1529" t="n">
        <x:v>0</x:v>
      </x:c>
      <x:c r="X1529" t="str"/>
      <x:c r="Y1529" t="str">
        <x:v>Referral</x:v>
      </x:c>
    </x:row>
    <x:row r="1530">
      <x:c r="A1530" t="str">
        <x:v>O001529</x:v>
      </x:c>
      <x:c r="B1530" s="20" t="n">
        <x:v>46229</x:v>
      </x:c>
      <x:c r="C1530" t="str">
        <x:v>C0132</x:v>
      </x:c>
      <x:c r="D1530" t="str">
        <x:v>Classic Stores 132</x:v>
      </x:c>
      <x:c r="E1530" t="str">
        <x:v>Cafe</x:v>
      </x:c>
      <x:c r="F1530" t="str">
        <x:v>Mysuru</x:v>
      </x:c>
      <x:c r="G1530" t="str">
        <x:v>Megha</x:v>
      </x:c>
      <x:c r="H1530" t="str">
        <x:v>P034</x:v>
      </x:c>
      <x:c r="I1530" t="str">
        <x:v>Chilli Powder 1kg</x:v>
      </x:c>
      <x:c r="J1530" t="str">
        <x:v>Spices</x:v>
      </x:c>
      <x:c r="K1530" t="str">
        <x:v>MDH</x:v>
      </x:c>
      <x:c r="L1530" s="22" t="n">
        <x:v>340</x:v>
      </x:c>
      <x:c r="M1530" t="n">
        <x:v>23</x:v>
      </x:c>
      <x:c r="N1530" s="24" t="n">
        <x:v>0.03</x:v>
      </x:c>
      <x:c r="O1530" s="22" t="n">
        <x:f>L1530*M1530</x:f>
        <x:v>7820</x:v>
      </x:c>
      <x:c r="P1530" s="22" t="n">
        <x:f>O1530*(1-N1530)</x:f>
        <x:v>7585.4</x:v>
      </x:c>
      <x:c r="Q1530" s="22" t="n">
        <x:v>295</x:v>
      </x:c>
      <x:c r="R1530" s="22" t="n">
        <x:f>Q1530*M1530</x:f>
        <x:v>6785</x:v>
      </x:c>
      <x:c r="S1530" s="22" t="n">
        <x:f>P1530-R1530</x:f>
        <x:v>800.3999999999996</x:v>
      </x:c>
      <x:c r="T1530" t="str">
        <x:v>Bank Transfer</x:v>
      </x:c>
      <x:c r="U1530" t="str">
        <x:v>Overdue</x:v>
      </x:c>
      <x:c r="V1530" t="str">
        <x:v>Delayed</x:v>
      </x:c>
      <x:c r="W1530" t="n">
        <x:v>0</x:v>
      </x:c>
      <x:c r="X1530" t="str"/>
      <x:c r="Y1530" t="str">
        <x:v>WhatsApp</x:v>
      </x:c>
    </x:row>
    <x:row r="1531">
      <x:c r="A1531" t="str">
        <x:v>O001530</x:v>
      </x:c>
      <x:c r="B1531" s="20" t="n">
        <x:v>46255</x:v>
      </x:c>
      <x:c r="C1531" t="str">
        <x:v>C0245</x:v>
      </x:c>
      <x:c r="D1531" t="str">
        <x:v>Udupi Cafe 245</x:v>
      </x:c>
      <x:c r="E1531" t="str">
        <x:v>Canteen</x:v>
      </x:c>
      <x:c r="F1531" t="str">
        <x:v>Bengaluru</x:v>
      </x:c>
      <x:c r="G1531" t="str">
        <x:v>Priya</x:v>
      </x:c>
      <x:c r="H1531" t="str">
        <x:v>P021</x:v>
      </x:c>
      <x:c r="I1531" t="str">
        <x:v>Instant Coffee 200g</x:v>
      </x:c>
      <x:c r="J1531" t="str">
        <x:v>Beverage</x:v>
      </x:c>
      <x:c r="K1531" t="str">
        <x:v>Nescafe</x:v>
      </x:c>
      <x:c r="L1531" s="22" t="n">
        <x:v>460</x:v>
      </x:c>
      <x:c r="M1531" t="n">
        <x:v>33</x:v>
      </x:c>
      <x:c r="N1531" s="24" t="n">
        <x:v>0.03</x:v>
      </x:c>
      <x:c r="O1531" s="22" t="n">
        <x:f>L1531*M1531</x:f>
        <x:v>15180</x:v>
      </x:c>
      <x:c r="P1531" s="22" t="n">
        <x:f>O1531*(1-N1531)</x:f>
        <x:v>14724.6</x:v>
      </x:c>
      <x:c r="Q1531" s="22" t="n">
        <x:v>410</x:v>
      </x:c>
      <x:c r="R1531" s="22" t="n">
        <x:f>Q1531*M1531</x:f>
        <x:v>13530</x:v>
      </x:c>
      <x:c r="S1531" s="22" t="n">
        <x:f>P1531-R1531</x:f>
        <x:v>1194.6000000000004</x:v>
      </x:c>
      <x:c r="T1531" t="str">
        <x:v>Credit</x:v>
      </x:c>
      <x:c r="U1531" t="str">
        <x:v>Paid</x:v>
      </x:c>
      <x:c r="V1531" t="str">
        <x:v>Delivered</x:v>
      </x:c>
      <x:c r="W1531" t="n">
        <x:v>0</x:v>
      </x:c>
      <x:c r="X1531" t="str"/>
      <x:c r="Y1531" t="str">
        <x:v>Referral</x:v>
      </x:c>
    </x:row>
    <x:row r="1532">
      <x:c r="A1532" t="str">
        <x:v>O001531</x:v>
      </x:c>
      <x:c r="B1532" s="20" t="n">
        <x:v>46180</x:v>
      </x:c>
      <x:c r="C1532" t="str">
        <x:v>C0181</x:v>
      </x:c>
      <x:c r="D1532" t="str">
        <x:v>Darshini Mart 181</x:v>
      </x:c>
      <x:c r="E1532" t="str">
        <x:v>Restaurant</x:v>
      </x:c>
      <x:c r="F1532" t="str">
        <x:v>Mangaluru</x:v>
      </x:c>
      <x:c r="G1532" t="str">
        <x:v>Kavya</x:v>
      </x:c>
      <x:c r="H1532" t="str">
        <x:v>P022</x:v>
      </x:c>
      <x:c r="I1532" t="str">
        <x:v>Mineral Water 1L</x:v>
      </x:c>
      <x:c r="J1532" t="str">
        <x:v>Beverage</x:v>
      </x:c>
      <x:c r="K1532" t="str">
        <x:v>Bisleri</x:v>
      </x:c>
      <x:c r="L1532" s="22" t="n">
        <x:v>19</x:v>
      </x:c>
      <x:c r="M1532" t="n">
        <x:v>22</x:v>
      </x:c>
      <x:c r="N1532" s="24" t="n">
        <x:v>0.1</x:v>
      </x:c>
      <x:c r="O1532" s="22" t="n">
        <x:f>L1532*M1532</x:f>
        <x:v>418</x:v>
      </x:c>
      <x:c r="P1532" s="22" t="n">
        <x:f>O1532*(1-N1532)</x:f>
        <x:v>376.2</x:v>
      </x:c>
      <x:c r="Q1532" s="22" t="n">
        <x:v>15</x:v>
      </x:c>
      <x:c r="R1532" s="22" t="n">
        <x:f>Q1532*M1532</x:f>
        <x:v>330</x:v>
      </x:c>
      <x:c r="S1532" s="22" t="n">
        <x:f>P1532-R1532</x:f>
        <x:v>46.19999999999999</x:v>
      </x:c>
      <x:c r="T1532" t="str">
        <x:v>Cash</x:v>
      </x:c>
      <x:c r="U1532" t="str">
        <x:v>Paid</x:v>
      </x:c>
      <x:c r="V1532" t="str">
        <x:v>Delivered</x:v>
      </x:c>
      <x:c r="W1532" t="n">
        <x:v>0</x:v>
      </x:c>
      <x:c r="X1532" t="str"/>
      <x:c r="Y1532" t="str">
        <x:v>WhatsApp</x:v>
      </x:c>
    </x:row>
    <x:row r="1533">
      <x:c r="A1533" t="str">
        <x:v>O001532</x:v>
      </x:c>
      <x:c r="B1533" s="20" t="n">
        <x:v>45952</x:v>
      </x:c>
      <x:c r="C1533" t="str">
        <x:v>C0204</x:v>
      </x:c>
      <x:c r="D1533" t="str">
        <x:v>Udupi Stores 204</x:v>
      </x:c>
      <x:c r="E1533" t="str">
        <x:v>Kirana</x:v>
      </x:c>
      <x:c r="F1533" t="str">
        <x:v>Bengaluru</x:v>
      </x:c>
      <x:c r="G1533" t="str">
        <x:v>Vikram</x:v>
      </x:c>
      <x:c r="H1533" t="str">
        <x:v>P021</x:v>
      </x:c>
      <x:c r="I1533" t="str">
        <x:v>Instant Coffee 200g</x:v>
      </x:c>
      <x:c r="J1533" t="str">
        <x:v>Beverage</x:v>
      </x:c>
      <x:c r="K1533" t="str">
        <x:v>Nescafe</x:v>
      </x:c>
      <x:c r="L1533" s="22" t="n">
        <x:v>460</x:v>
      </x:c>
      <x:c r="M1533" t="n">
        <x:v>12</x:v>
      </x:c>
      <x:c r="N1533" s="24" t="n">
        <x:v>0.03</x:v>
      </x:c>
      <x:c r="O1533" s="22" t="n">
        <x:f>L1533*M1533</x:f>
        <x:v>5520</x:v>
      </x:c>
      <x:c r="P1533" s="22" t="n">
        <x:f>O1533*(1-N1533)</x:f>
        <x:v>5354.4</x:v>
      </x:c>
      <x:c r="Q1533" s="22" t="n">
        <x:v>410</x:v>
      </x:c>
      <x:c r="R1533" s="22" t="n">
        <x:f>Q1533*M1533</x:f>
        <x:v>4920</x:v>
      </x:c>
      <x:c r="S1533" s="22" t="n">
        <x:f>P1533-R1533</x:f>
        <x:v>434.39999999999964</x:v>
      </x:c>
      <x:c r="T1533" t="str">
        <x:v>Cash</x:v>
      </x:c>
      <x:c r="U1533" t="str">
        <x:v>Overdue</x:v>
      </x:c>
      <x:c r="V1533" t="str">
        <x:v>Delivered</x:v>
      </x:c>
      <x:c r="W1533" t="n">
        <x:v>0</x:v>
      </x:c>
      <x:c r="X1533" t="str"/>
      <x:c r="Y1533" t="str">
        <x:v>WhatsApp</x:v>
      </x:c>
    </x:row>
    <x:row r="1534">
      <x:c r="A1534" t="str">
        <x:v>O001533</x:v>
      </x:c>
      <x:c r="B1534" s="20" t="n">
        <x:v>45664</x:v>
      </x:c>
      <x:c r="C1534" t="str">
        <x:v>C0007</x:v>
      </x:c>
      <x:c r="D1534" t="str">
        <x:v>Mysore Stores 7</x:v>
      </x:c>
      <x:c r="E1534" t="str">
        <x:v>Kirana</x:v>
      </x:c>
      <x:c r="F1534" t="str">
        <x:v>Bengaluru</x:v>
      </x:c>
      <x:c r="G1534" t="str">
        <x:v>Kavya</x:v>
      </x:c>
      <x:c r="H1534" t="str">
        <x:v>P009</x:v>
      </x:c>
      <x:c r="I1534" t="str">
        <x:v>Groundnut Oil 5L</x:v>
      </x:c>
      <x:c r="J1534" t="str">
        <x:v>Edible Oil</x:v>
      </x:c>
      <x:c r="K1534" t="str">
        <x:v>Dhara</x:v>
      </x:c>
      <x:c r="L1534" s="22" t="n">
        <x:v>890</x:v>
      </x:c>
      <x:c r="M1534" t="n">
        <x:v>3</x:v>
      </x:c>
      <x:c r="N1534" s="24" t="n">
        <x:v>0</x:v>
      </x:c>
      <x:c r="O1534" s="22" t="n">
        <x:f>L1534*M1534</x:f>
        <x:v>2670</x:v>
      </x:c>
      <x:c r="P1534" s="22" t="n">
        <x:f>O1534*(1-N1534)</x:f>
        <x:v>2670</x:v>
      </x:c>
      <x:c r="Q1534" s="22" t="n">
        <x:v>810</x:v>
      </x:c>
      <x:c r="R1534" s="22" t="n">
        <x:f>Q1534*M1534</x:f>
        <x:v>2430</x:v>
      </x:c>
      <x:c r="S1534" s="22" t="n">
        <x:f>P1534-R1534</x:f>
        <x:v>240</x:v>
      </x:c>
      <x:c r="T1534" t="str">
        <x:v>Cash</x:v>
      </x:c>
      <x:c r="U1534" t="str">
        <x:v>Paid</x:v>
      </x:c>
      <x:c r="V1534" t="str">
        <x:v>Delivered</x:v>
      </x:c>
      <x:c r="W1534" t="n">
        <x:v>0</x:v>
      </x:c>
      <x:c r="X1534" t="str"/>
      <x:c r="Y1534" t="str">
        <x:v>Referral</x:v>
      </x:c>
    </x:row>
    <x:row r="1535">
      <x:c r="A1535" t="str">
        <x:v>O001534</x:v>
      </x:c>
      <x:c r="B1535" s="20" t="n">
        <x:v>45776</x:v>
      </x:c>
      <x:c r="C1535" t="str">
        <x:v>C0061</x:v>
      </x:c>
      <x:c r="D1535" t="str">
        <x:v>Spice Stores 61</x:v>
      </x:c>
      <x:c r="E1535" t="str">
        <x:v>Restaurant</x:v>
      </x:c>
      <x:c r="F1535" t="str">
        <x:v>Tumakuru</x:v>
      </x:c>
      <x:c r="G1535" t="str">
        <x:v>Ramesh</x:v>
      </x:c>
      <x:c r="H1535" t="str">
        <x:v>P009</x:v>
      </x:c>
      <x:c r="I1535" t="str">
        <x:v>Groundnut Oil 5L</x:v>
      </x:c>
      <x:c r="J1535" t="str">
        <x:v>Edible Oil</x:v>
      </x:c>
      <x:c r="K1535" t="str">
        <x:v>Dhara</x:v>
      </x:c>
      <x:c r="L1535" s="22" t="n">
        <x:v>890</x:v>
      </x:c>
      <x:c r="M1535" t="n">
        <x:v>21</x:v>
      </x:c>
      <x:c r="N1535" s="24" t="n">
        <x:v>0.08</x:v>
      </x:c>
      <x:c r="O1535" s="22" t="n">
        <x:f>L1535*M1535</x:f>
        <x:v>18690</x:v>
      </x:c>
      <x:c r="P1535" s="22" t="n">
        <x:f>O1535*(1-N1535)</x:f>
        <x:v>17194.8</x:v>
      </x:c>
      <x:c r="Q1535" s="22" t="n">
        <x:v>810</x:v>
      </x:c>
      <x:c r="R1535" s="22" t="n">
        <x:f>Q1535*M1535</x:f>
        <x:v>17010</x:v>
      </x:c>
      <x:c r="S1535" s="22" t="n">
        <x:f>P1535-R1535</x:f>
        <x:v>184.79999999999927</x:v>
      </x:c>
      <x:c r="T1535" t="str">
        <x:v>UPI</x:v>
      </x:c>
      <x:c r="U1535" t="str">
        <x:v>Paid</x:v>
      </x:c>
      <x:c r="V1535" t="str">
        <x:v>Delivered</x:v>
      </x:c>
      <x:c r="W1535" t="n">
        <x:v>0</x:v>
      </x:c>
      <x:c r="X1535" t="str"/>
      <x:c r="Y1535" t="str">
        <x:v>Outbound Call</x:v>
      </x:c>
    </x:row>
    <x:row r="1536">
      <x:c r="A1536" t="str">
        <x:v>O001535</x:v>
      </x:c>
      <x:c r="B1536" s="20" t="n">
        <x:v>46093</x:v>
      </x:c>
      <x:c r="C1536" t="str">
        <x:v>C0163</x:v>
      </x:c>
      <x:c r="D1536" t="str">
        <x:v>Shree Kitchen 163</x:v>
      </x:c>
      <x:c r="E1536" t="str">
        <x:v>Kirana</x:v>
      </x:c>
      <x:c r="F1536" t="str">
        <x:v>Mysuru</x:v>
      </x:c>
      <x:c r="G1536" t="str">
        <x:v>Priya</x:v>
      </x:c>
      <x:c r="H1536" t="str">
        <x:v>P041</x:v>
      </x:c>
      <x:c r="I1536" t="str">
        <x:v>Burger Bun 6pc</x:v>
      </x:c>
      <x:c r="J1536" t="str">
        <x:v>Bakery</x:v>
      </x:c>
      <x:c r="K1536" t="str">
        <x:v>Modern</x:v>
      </x:c>
      <x:c r="L1536" s="22" t="n">
        <x:v>42</x:v>
      </x:c>
      <x:c r="M1536" t="n">
        <x:v>36</x:v>
      </x:c>
      <x:c r="N1536" s="24" t="n">
        <x:v>0.05</x:v>
      </x:c>
      <x:c r="O1536" s="22" t="n">
        <x:f>L1536*M1536</x:f>
        <x:v>1512</x:v>
      </x:c>
      <x:c r="P1536" s="22" t="n">
        <x:f>O1536*(1-N1536)</x:f>
        <x:v>1436.3999999999999</x:v>
      </x:c>
      <x:c r="Q1536" s="22" t="n">
        <x:v>32</x:v>
      </x:c>
      <x:c r="R1536" s="22" t="n">
        <x:f>Q1536*M1536</x:f>
        <x:v>1152</x:v>
      </x:c>
      <x:c r="S1536" s="22" t="n">
        <x:f>P1536-R1536</x:f>
        <x:v>284.39999999999986</x:v>
      </x:c>
      <x:c r="T1536" t="str">
        <x:v>UPI</x:v>
      </x:c>
      <x:c r="U1536" t="str">
        <x:v>Paid</x:v>
      </x:c>
      <x:c r="V1536" t="str">
        <x:v>Delivered</x:v>
      </x:c>
      <x:c r="W1536" t="n">
        <x:v>0</x:v>
      </x:c>
      <x:c r="X1536" t="str"/>
      <x:c r="Y1536" t="str">
        <x:v>Existing Customer</x:v>
      </x:c>
    </x:row>
    <x:row r="1537">
      <x:c r="A1537" t="str">
        <x:v>O001536</x:v>
      </x:c>
      <x:c r="B1537" s="20" t="n">
        <x:v>46160</x:v>
      </x:c>
      <x:c r="C1537" t="str">
        <x:v>C0099</x:v>
      </x:c>
      <x:c r="D1537" t="str">
        <x:v>Green Cafe 99</x:v>
      </x:c>
      <x:c r="E1537" t="str">
        <x:v>Restaurant</x:v>
      </x:c>
      <x:c r="F1537" t="str">
        <x:v>Hubballi</x:v>
      </x:c>
      <x:c r="G1537" t="str">
        <x:v>Ramesh</x:v>
      </x:c>
      <x:c r="H1537" t="str">
        <x:v>P038</x:v>
      </x:c>
      <x:c r="I1537" t="str">
        <x:v>French Fries 2.5kg</x:v>
      </x:c>
      <x:c r="J1537" t="str">
        <x:v>Frozen</x:v>
      </x:c>
      <x:c r="K1537" t="str">
        <x:v>McCain</x:v>
      </x:c>
      <x:c r="L1537" s="22" t="n">
        <x:v>360</x:v>
      </x:c>
      <x:c r="M1537" t="n">
        <x:v>10</x:v>
      </x:c>
      <x:c r="N1537" s="24" t="n">
        <x:v>0.03</x:v>
      </x:c>
      <x:c r="O1537" s="22" t="n">
        <x:f>L1537*M1537</x:f>
        <x:v>3600</x:v>
      </x:c>
      <x:c r="P1537" s="22" t="n">
        <x:f>O1537*(1-N1537)</x:f>
        <x:v>3492</x:v>
      </x:c>
      <x:c r="Q1537" s="22" t="n">
        <x:v>315</x:v>
      </x:c>
      <x:c r="R1537" s="22" t="n">
        <x:f>Q1537*M1537</x:f>
        <x:v>3150</x:v>
      </x:c>
      <x:c r="S1537" s="22" t="n">
        <x:f>P1537-R1537</x:f>
        <x:v>342</x:v>
      </x:c>
      <x:c r="T1537" t="str">
        <x:v>Bank Transfer</x:v>
      </x:c>
      <x:c r="U1537" t="str">
        <x:v>Paid</x:v>
      </x:c>
      <x:c r="V1537" t="str">
        <x:v>Cancelled</x:v>
      </x:c>
      <x:c r="W1537" t="n">
        <x:v>10</x:v>
      </x:c>
      <x:c r="X1537" t="str">
        <x:v>Cancelled Order</x:v>
      </x:c>
      <x:c r="Y1537" t="str">
        <x:v>WhatsApp</x:v>
      </x:c>
    </x:row>
    <x:row r="1538">
      <x:c r="A1538" t="str">
        <x:v>O001537</x:v>
      </x:c>
      <x:c r="B1538" s="20" t="n">
        <x:v>46081</x:v>
      </x:c>
      <x:c r="C1538" t="str">
        <x:v>C0075</x:v>
      </x:c>
      <x:c r="D1538" t="str">
        <x:v>Spice Foods 75</x:v>
      </x:c>
      <x:c r="E1538" t="str">
        <x:v>Kirana</x:v>
      </x:c>
      <x:c r="F1538" t="str">
        <x:v>Hubballi</x:v>
      </x:c>
      <x:c r="G1538" t="str">
        <x:v>Vikram</x:v>
      </x:c>
      <x:c r="H1538" t="str">
        <x:v>P042</x:v>
      </x:c>
      <x:c r="I1538" t="str">
        <x:v>Eggs 30pc Tray</x:v>
      </x:c>
      <x:c r="J1538" t="str">
        <x:v>Protein</x:v>
      </x:c>
      <x:c r="K1538" t="str">
        <x:v>Farm Fresh</x:v>
      </x:c>
      <x:c r="L1538" s="22" t="n">
        <x:v>195</x:v>
      </x:c>
      <x:c r="M1538" t="n">
        <x:v>10</x:v>
      </x:c>
      <x:c r="N1538" s="24" t="n">
        <x:v>0.05</x:v>
      </x:c>
      <x:c r="O1538" s="22" t="n">
        <x:f>L1538*M1538</x:f>
        <x:v>1950</x:v>
      </x:c>
      <x:c r="P1538" s="22" t="n">
        <x:f>O1538*(1-N1538)</x:f>
        <x:v>1852.5</x:v>
      </x:c>
      <x:c r="Q1538" s="22" t="n">
        <x:v>170</x:v>
      </x:c>
      <x:c r="R1538" s="22" t="n">
        <x:f>Q1538*M1538</x:f>
        <x:v>1700</x:v>
      </x:c>
      <x:c r="S1538" s="22" t="n">
        <x:f>P1538-R1538</x:f>
        <x:v>152.5</x:v>
      </x:c>
      <x:c r="T1538" t="str">
        <x:v>Bank Transfer</x:v>
      </x:c>
      <x:c r="U1538" t="str">
        <x:v>Paid</x:v>
      </x:c>
      <x:c r="V1538" t="str">
        <x:v>Delayed</x:v>
      </x:c>
      <x:c r="W1538" t="n">
        <x:v>0</x:v>
      </x:c>
      <x:c r="X1538" t="str"/>
      <x:c r="Y1538" t="str">
        <x:v>Referral</x:v>
      </x:c>
    </x:row>
    <x:row r="1539">
      <x:c r="A1539" t="str">
        <x:v>O001538</x:v>
      </x:c>
      <x:c r="B1539" s="20" t="n">
        <x:v>45729</x:v>
      </x:c>
      <x:c r="C1539" t="str">
        <x:v>C0074</x:v>
      </x:c>
      <x:c r="D1539" t="str">
        <x:v>Foodie Hotel 74</x:v>
      </x:c>
      <x:c r="E1539" t="str">
        <x:v>Restaurant</x:v>
      </x:c>
      <x:c r="F1539" t="str">
        <x:v>Mysuru</x:v>
      </x:c>
      <x:c r="G1539" t="str">
        <x:v>Vikram</x:v>
      </x:c>
      <x:c r="H1539" t="str">
        <x:v>P014</x:v>
      </x:c>
      <x:c r="I1539" t="str">
        <x:v>Rava 5kg</x:v>
      </x:c>
      <x:c r="J1539" t="str">
        <x:v>Flour</x:v>
      </x:c>
      <x:c r="K1539" t="str">
        <x:v>Local Select</x:v>
      </x:c>
      <x:c r="L1539" s="22" t="n">
        <x:v>245</x:v>
      </x:c>
      <x:c r="M1539" t="n">
        <x:v>34</x:v>
      </x:c>
      <x:c r="N1539" s="24" t="n">
        <x:v>0</x:v>
      </x:c>
      <x:c r="O1539" s="22" t="n">
        <x:f>L1539*M1539</x:f>
        <x:v>8330</x:v>
      </x:c>
      <x:c r="P1539" s="22" t="n">
        <x:f>O1539*(1-N1539)</x:f>
        <x:v>8330</x:v>
      </x:c>
      <x:c r="Q1539" s="22" t="n">
        <x:v>215</x:v>
      </x:c>
      <x:c r="R1539" s="22" t="n">
        <x:f>Q1539*M1539</x:f>
        <x:v>7310</x:v>
      </x:c>
      <x:c r="S1539" s="22" t="n">
        <x:f>P1539-R1539</x:f>
        <x:v>1020</x:v>
      </x:c>
      <x:c r="T1539" t="str">
        <x:v>Bank Transfer</x:v>
      </x:c>
      <x:c r="U1539" t="str">
        <x:v>Paid</x:v>
      </x:c>
      <x:c r="V1539" t="str">
        <x:v>Delivered</x:v>
      </x:c>
      <x:c r="W1539" t="n">
        <x:v>0</x:v>
      </x:c>
      <x:c r="X1539" t="str"/>
      <x:c r="Y1539" t="str">
        <x:v>Referral</x:v>
      </x:c>
    </x:row>
    <x:row r="1540">
      <x:c r="A1540" t="str">
        <x:v>O001539</x:v>
      </x:c>
      <x:c r="B1540" s="20" t="n">
        <x:v>46279</x:v>
      </x:c>
      <x:c r="C1540" t="str">
        <x:v>C0033</x:v>
      </x:c>
      <x:c r="D1540" t="str">
        <x:v>Shree Canteen 33</x:v>
      </x:c>
      <x:c r="E1540" t="str">
        <x:v>Canteen</x:v>
      </x:c>
      <x:c r="F1540" t="str">
        <x:v>Mangaluru</x:v>
      </x:c>
      <x:c r="G1540" t="str">
        <x:v>Imran</x:v>
      </x:c>
      <x:c r="H1540" t="str">
        <x:v>P013</x:v>
      </x:c>
      <x:c r="I1540" t="str">
        <x:v>Atta 10kg</x:v>
      </x:c>
      <x:c r="J1540" t="str">
        <x:v>Flour</x:v>
      </x:c>
      <x:c r="K1540" t="str">
        <x:v>Aashirvaad</x:v>
      </x:c>
      <x:c r="L1540" s="22" t="n">
        <x:v>560</x:v>
      </x:c>
      <x:c r="M1540" t="n">
        <x:v>10</x:v>
      </x:c>
      <x:c r="N1540" s="24" t="n">
        <x:v>0.08</x:v>
      </x:c>
      <x:c r="O1540" s="22" t="n">
        <x:f>L1540*M1540</x:f>
        <x:v>5600</x:v>
      </x:c>
      <x:c r="P1540" s="22" t="n">
        <x:f>O1540*(1-N1540)</x:f>
        <x:v>5152</x:v>
      </x:c>
      <x:c r="Q1540" s="22" t="n">
        <x:v>495</x:v>
      </x:c>
      <x:c r="R1540" s="22" t="n">
        <x:f>Q1540*M1540</x:f>
        <x:v>4950</x:v>
      </x:c>
      <x:c r="S1540" s="22" t="n">
        <x:f>P1540-R1540</x:f>
        <x:v>202</x:v>
      </x:c>
      <x:c r="T1540" t="str">
        <x:v>UPI</x:v>
      </x:c>
      <x:c r="U1540" t="str">
        <x:v>Paid</x:v>
      </x:c>
      <x:c r="V1540" t="str">
        <x:v>Delayed</x:v>
      </x:c>
      <x:c r="W1540" t="n">
        <x:v>0</x:v>
      </x:c>
      <x:c r="X1540" t="str"/>
      <x:c r="Y1540" t="str">
        <x:v>Outbound Call</x:v>
      </x:c>
    </x:row>
    <x:row r="1541">
      <x:c r="A1541" t="str">
        <x:v>O001540</x:v>
      </x:c>
      <x:c r="B1541" s="20" t="n">
        <x:v>45750</x:v>
      </x:c>
      <x:c r="C1541" t="str">
        <x:v>C0190</x:v>
      </x:c>
      <x:c r="D1541" t="str">
        <x:v>Shree Restaurant 190</x:v>
      </x:c>
      <x:c r="E1541" t="str">
        <x:v>Canteen</x:v>
      </x:c>
      <x:c r="F1541" t="str">
        <x:v>Bengaluru</x:v>
      </x:c>
      <x:c r="G1541" t="str">
        <x:v>Kavya</x:v>
      </x:c>
      <x:c r="H1541" t="str">
        <x:v>P001</x:v>
      </x:c>
      <x:c r="I1541" t="str">
        <x:v>Steam Rice 25kg</x:v>
      </x:c>
      <x:c r="J1541" t="str">
        <x:v>Staples</x:v>
      </x:c>
      <x:c r="K1541" t="str">
        <x:v>Aishwarya</x:v>
      </x:c>
      <x:c r="L1541" s="22" t="n">
        <x:v>1180</x:v>
      </x:c>
      <x:c r="M1541" t="n">
        <x:v>4</x:v>
      </x:c>
      <x:c r="N1541" s="24" t="n">
        <x:v>0.03</x:v>
      </x:c>
      <x:c r="O1541" s="22" t="n">
        <x:f>L1541*M1541</x:f>
        <x:v>4720</x:v>
      </x:c>
      <x:c r="P1541" s="22" t="n">
        <x:f>O1541*(1-N1541)</x:f>
        <x:v>4578.4</x:v>
      </x:c>
      <x:c r="Q1541" s="22" t="n">
        <x:v>1040</x:v>
      </x:c>
      <x:c r="R1541" s="22" t="n">
        <x:f>Q1541*M1541</x:f>
        <x:v>4160</x:v>
      </x:c>
      <x:c r="S1541" s="22" t="n">
        <x:f>P1541-R1541</x:f>
        <x:v>418.39999999999964</x:v>
      </x:c>
      <x:c r="T1541" t="str">
        <x:v>Credit</x:v>
      </x:c>
      <x:c r="U1541" t="str">
        <x:v>Paid</x:v>
      </x:c>
      <x:c r="V1541" t="str">
        <x:v>Cancelled</x:v>
      </x:c>
      <x:c r="W1541" t="n">
        <x:v>4</x:v>
      </x:c>
      <x:c r="X1541" t="str">
        <x:v>Cancelled Order</x:v>
      </x:c>
      <x:c r="Y1541" t="str">
        <x:v>Existing Customer</x:v>
      </x:c>
    </x:row>
    <x:row r="1542">
      <x:c r="A1542" t="str">
        <x:v>O001541</x:v>
      </x:c>
      <x:c r="B1542" s="20" t="n">
        <x:v>45827</x:v>
      </x:c>
      <x:c r="C1542" t="str">
        <x:v>C0007</x:v>
      </x:c>
      <x:c r="D1542" t="str">
        <x:v>Mysore Stores 7</x:v>
      </x:c>
      <x:c r="E1542" t="str">
        <x:v>Kirana</x:v>
      </x:c>
      <x:c r="F1542" t="str">
        <x:v>Bengaluru</x:v>
      </x:c>
      <x:c r="G1542" t="str">
        <x:v>Kavya</x:v>
      </x:c>
      <x:c r="H1542" t="str">
        <x:v>P035</x:v>
      </x:c>
      <x:c r="I1542" t="str">
        <x:v>Coriander Powder 1kg</x:v>
      </x:c>
      <x:c r="J1542" t="str">
        <x:v>Spices</x:v>
      </x:c>
      <x:c r="K1542" t="str">
        <x:v>Everest</x:v>
      </x:c>
      <x:c r="L1542" s="22" t="n">
        <x:v>280</x:v>
      </x:c>
      <x:c r="M1542" t="n">
        <x:v>31</x:v>
      </x:c>
      <x:c r="N1542" s="24" t="n">
        <x:v>0.03</x:v>
      </x:c>
      <x:c r="O1542" s="22" t="n">
        <x:f>L1542*M1542</x:f>
        <x:v>8680</x:v>
      </x:c>
      <x:c r="P1542" s="22" t="n">
        <x:f>O1542*(1-N1542)</x:f>
        <x:v>8419.6</x:v>
      </x:c>
      <x:c r="Q1542" s="22" t="n">
        <x:v>245</x:v>
      </x:c>
      <x:c r="R1542" s="22" t="n">
        <x:f>Q1542*M1542</x:f>
        <x:v>7595</x:v>
      </x:c>
      <x:c r="S1542" s="22" t="n">
        <x:f>P1542-R1542</x:f>
        <x:v>824.6000000000004</x:v>
      </x:c>
      <x:c r="T1542" t="str">
        <x:v>UPI</x:v>
      </x:c>
      <x:c r="U1542" t="str">
        <x:v>Paid</x:v>
      </x:c>
      <x:c r="V1542" t="str">
        <x:v>Delivered</x:v>
      </x:c>
      <x:c r="W1542" t="n">
        <x:v>0</x:v>
      </x:c>
      <x:c r="X1542" t="str"/>
      <x:c r="Y1542" t="str">
        <x:v>Field Visit</x:v>
      </x:c>
    </x:row>
    <x:row r="1543">
      <x:c r="A1543" t="str">
        <x:v>O001542</x:v>
      </x:c>
      <x:c r="B1543" s="20" t="n">
        <x:v>46029</x:v>
      </x:c>
      <x:c r="C1543" t="str">
        <x:v>C0083</x:v>
      </x:c>
      <x:c r="D1543" t="str">
        <x:v>Sri Cafe 83</x:v>
      </x:c>
      <x:c r="E1543" t="str">
        <x:v>Hotel</x:v>
      </x:c>
      <x:c r="F1543" t="str">
        <x:v>Davanagere</x:v>
      </x:c>
      <x:c r="G1543" t="str">
        <x:v>Ramesh</x:v>
      </x:c>
      <x:c r="H1543" t="str">
        <x:v>P017</x:v>
      </x:c>
      <x:c r="I1543" t="str">
        <x:v>Butter 500g</x:v>
      </x:c>
      <x:c r="J1543" t="str">
        <x:v>Dairy</x:v>
      </x:c>
      <x:c r="K1543" t="str">
        <x:v>Amul</x:v>
      </x:c>
      <x:c r="L1543" s="22" t="n">
        <x:v>285</x:v>
      </x:c>
      <x:c r="M1543" t="n">
        <x:v>36</x:v>
      </x:c>
      <x:c r="N1543" s="24" t="n">
        <x:v>0.05</x:v>
      </x:c>
      <x:c r="O1543" s="22" t="n">
        <x:f>L1543*M1543</x:f>
        <x:v>10260</x:v>
      </x:c>
      <x:c r="P1543" s="22" t="n">
        <x:f>O1543*(1-N1543)</x:f>
        <x:v>9747</x:v>
      </x:c>
      <x:c r="Q1543" s="22" t="n">
        <x:v>258</x:v>
      </x:c>
      <x:c r="R1543" s="22" t="n">
        <x:f>Q1543*M1543</x:f>
        <x:v>9288</x:v>
      </x:c>
      <x:c r="S1543" s="22" t="n">
        <x:f>P1543-R1543</x:f>
        <x:v>459</x:v>
      </x:c>
      <x:c r="T1543" t="str">
        <x:v>Credit</x:v>
      </x:c>
      <x:c r="U1543" t="str">
        <x:v>Paid</x:v>
      </x:c>
      <x:c r="V1543" t="str">
        <x:v>Delivered</x:v>
      </x:c>
      <x:c r="W1543" t="n">
        <x:v>0</x:v>
      </x:c>
      <x:c r="X1543" t="str"/>
      <x:c r="Y1543" t="str">
        <x:v>Outbound Call</x:v>
      </x:c>
    </x:row>
    <x:row r="1544">
      <x:c r="A1544" t="str">
        <x:v>O001543</x:v>
      </x:c>
      <x:c r="B1544" s="20" t="n">
        <x:v>46181</x:v>
      </x:c>
      <x:c r="C1544" t="str">
        <x:v>C0159</x:v>
      </x:c>
      <x:c r="D1544" t="str">
        <x:v>Darshini Foods 159</x:v>
      </x:c>
      <x:c r="E1544" t="str">
        <x:v>Canteen</x:v>
      </x:c>
      <x:c r="F1544" t="str">
        <x:v>Tumakuru</x:v>
      </x:c>
      <x:c r="G1544" t="str">
        <x:v>Kavya</x:v>
      </x:c>
      <x:c r="H1544" t="str">
        <x:v>P006</x:v>
      </x:c>
      <x:c r="I1544" t="str">
        <x:v>Moong Dal 5kg</x:v>
      </x:c>
      <x:c r="J1544" t="str">
        <x:v>Pulses</x:v>
      </x:c>
      <x:c r="K1544" t="str">
        <x:v>Local Select</x:v>
      </x:c>
      <x:c r="L1544" s="22" t="n">
        <x:v>610</x:v>
      </x:c>
      <x:c r="M1544" t="n">
        <x:v>30</x:v>
      </x:c>
      <x:c r="N1544" s="24" t="n">
        <x:v>0.02</x:v>
      </x:c>
      <x:c r="O1544" s="22" t="n">
        <x:f>L1544*M1544</x:f>
        <x:v>18300</x:v>
      </x:c>
      <x:c r="P1544" s="22" t="n">
        <x:f>O1544*(1-N1544)</x:f>
        <x:v>17934</x:v>
      </x:c>
      <x:c r="Q1544" s="22" t="n">
        <x:v>540</x:v>
      </x:c>
      <x:c r="R1544" s="22" t="n">
        <x:f>Q1544*M1544</x:f>
        <x:v>16200</x:v>
      </x:c>
      <x:c r="S1544" s="22" t="n">
        <x:f>P1544-R1544</x:f>
        <x:v>1734</x:v>
      </x:c>
      <x:c r="T1544" t="str">
        <x:v>Bank Transfer</x:v>
      </x:c>
      <x:c r="U1544" t="str">
        <x:v>Pending</x:v>
      </x:c>
      <x:c r="V1544" t="str">
        <x:v>Delivered</x:v>
      </x:c>
      <x:c r="W1544" t="n">
        <x:v>2</x:v>
      </x:c>
      <x:c r="X1544" t="str">
        <x:v>Late Delivery</x:v>
      </x:c>
      <x:c r="Y1544" t="str">
        <x:v>Outbound Call</x:v>
      </x:c>
    </x:row>
    <x:row r="1545">
      <x:c r="A1545" t="str">
        <x:v>O001544</x:v>
      </x:c>
      <x:c r="B1545" s="20" t="n">
        <x:v>46126</x:v>
      </x:c>
      <x:c r="C1545" t="str">
        <x:v>C0045</x:v>
      </x:c>
      <x:c r="D1545" t="str">
        <x:v>Annapurna Restaurant 45</x:v>
      </x:c>
      <x:c r="E1545" t="str">
        <x:v>Kirana</x:v>
      </x:c>
      <x:c r="F1545" t="str">
        <x:v>Mysuru</x:v>
      </x:c>
      <x:c r="G1545" t="str">
        <x:v>Arjun</x:v>
      </x:c>
      <x:c r="H1545" t="str">
        <x:v>P005</x:v>
      </x:c>
      <x:c r="I1545" t="str">
        <x:v>Chana Dal 5kg</x:v>
      </x:c>
      <x:c r="J1545" t="str">
        <x:v>Pulses</x:v>
      </x:c>
      <x:c r="K1545" t="str">
        <x:v>Local Select</x:v>
      </x:c>
      <x:c r="L1545" s="22" t="n">
        <x:v>520</x:v>
      </x:c>
      <x:c r="M1545" t="n">
        <x:v>14</x:v>
      </x:c>
      <x:c r="N1545" s="24" t="n">
        <x:v>0</x:v>
      </x:c>
      <x:c r="O1545" s="22" t="n">
        <x:f>L1545*M1545</x:f>
        <x:v>7280</x:v>
      </x:c>
      <x:c r="P1545" s="22" t="n">
        <x:f>O1545*(1-N1545)</x:f>
        <x:v>7280</x:v>
      </x:c>
      <x:c r="Q1545" s="22" t="n">
        <x:v>455</x:v>
      </x:c>
      <x:c r="R1545" s="22" t="n">
        <x:f>Q1545*M1545</x:f>
        <x:v>6370</x:v>
      </x:c>
      <x:c r="S1545" s="22" t="n">
        <x:f>P1545-R1545</x:f>
        <x:v>910</x:v>
      </x:c>
      <x:c r="T1545" t="str">
        <x:v>Bank Transfer</x:v>
      </x:c>
      <x:c r="U1545" t="str">
        <x:v>Overdue</x:v>
      </x:c>
      <x:c r="V1545" t="str">
        <x:v>Cancelled</x:v>
      </x:c>
      <x:c r="W1545" t="n">
        <x:v>14</x:v>
      </x:c>
      <x:c r="X1545" t="str">
        <x:v>Cancelled Order</x:v>
      </x:c>
      <x:c r="Y1545" t="str">
        <x:v>Existing Customer</x:v>
      </x:c>
    </x:row>
    <x:row r="1546">
      <x:c r="A1546" t="str">
        <x:v>O001545</x:v>
      </x:c>
      <x:c r="B1546" s="20" t="n">
        <x:v>45991</x:v>
      </x:c>
      <x:c r="C1546" t="str">
        <x:v>C0245</x:v>
      </x:c>
      <x:c r="D1546" t="str">
        <x:v>Udupi Cafe 245</x:v>
      </x:c>
      <x:c r="E1546" t="str">
        <x:v>Canteen</x:v>
      </x:c>
      <x:c r="F1546" t="str">
        <x:v>Bengaluru</x:v>
      </x:c>
      <x:c r="G1546" t="str">
        <x:v>Priya</x:v>
      </x:c>
      <x:c r="H1546" t="str">
        <x:v>P002</x:v>
      </x:c>
      <x:c r="I1546" t="str">
        <x:v>Sona Masoori Rice 25kg</x:v>
      </x:c>
      <x:c r="J1546" t="str">
        <x:v>Staples</x:v>
      </x:c>
      <x:c r="K1546" t="str">
        <x:v>Fortune</x:v>
      </x:c>
      <x:c r="L1546" s="22" t="n">
        <x:v>1320</x:v>
      </x:c>
      <x:c r="M1546" t="n">
        <x:v>3</x:v>
      </x:c>
      <x:c r="N1546" s="24" t="n">
        <x:v>0</x:v>
      </x:c>
      <x:c r="O1546" s="22" t="n">
        <x:f>L1546*M1546</x:f>
        <x:v>3960</x:v>
      </x:c>
      <x:c r="P1546" s="22" t="n">
        <x:f>O1546*(1-N1546)</x:f>
        <x:v>3960</x:v>
      </x:c>
      <x:c r="Q1546" s="22" t="n">
        <x:v>1160</x:v>
      </x:c>
      <x:c r="R1546" s="22" t="n">
        <x:f>Q1546*M1546</x:f>
        <x:v>3480</x:v>
      </x:c>
      <x:c r="S1546" s="22" t="n">
        <x:f>P1546-R1546</x:f>
        <x:v>480</x:v>
      </x:c>
      <x:c r="T1546" t="str">
        <x:v>Bank Transfer</x:v>
      </x:c>
      <x:c r="U1546" t="str">
        <x:v>Pending</x:v>
      </x:c>
      <x:c r="V1546" t="str">
        <x:v>Delivered</x:v>
      </x:c>
      <x:c r="W1546" t="n">
        <x:v>0</x:v>
      </x:c>
      <x:c r="X1546" t="str"/>
      <x:c r="Y1546" t="str">
        <x:v>WhatsApp</x:v>
      </x:c>
    </x:row>
    <x:row r="1547">
      <x:c r="A1547" t="str">
        <x:v>O001546</x:v>
      </x:c>
      <x:c r="B1547" s="20" t="n">
        <x:v>45735</x:v>
      </x:c>
      <x:c r="C1547" t="str">
        <x:v>C0169</x:v>
      </x:c>
      <x:c r="D1547" t="str">
        <x:v>Grand Mart 169</x:v>
      </x:c>
      <x:c r="E1547" t="str">
        <x:v>Canteen</x:v>
      </x:c>
      <x:c r="F1547" t="str">
        <x:v>Mangaluru</x:v>
      </x:c>
      <x:c r="G1547" t="str">
        <x:v>Vikram</x:v>
      </x:c>
      <x:c r="H1547" t="str">
        <x:v>P038</x:v>
      </x:c>
      <x:c r="I1547" t="str">
        <x:v>French Fries 2.5kg</x:v>
      </x:c>
      <x:c r="J1547" t="str">
        <x:v>Frozen</x:v>
      </x:c>
      <x:c r="K1547" t="str">
        <x:v>McCain</x:v>
      </x:c>
      <x:c r="L1547" s="22" t="n">
        <x:v>360</x:v>
      </x:c>
      <x:c r="M1547" t="n">
        <x:v>20</x:v>
      </x:c>
      <x:c r="N1547" s="24" t="n">
        <x:v>0</x:v>
      </x:c>
      <x:c r="O1547" s="22" t="n">
        <x:f>L1547*M1547</x:f>
        <x:v>7200</x:v>
      </x:c>
      <x:c r="P1547" s="22" t="n">
        <x:f>O1547*(1-N1547)</x:f>
        <x:v>7200</x:v>
      </x:c>
      <x:c r="Q1547" s="22" t="n">
        <x:v>315</x:v>
      </x:c>
      <x:c r="R1547" s="22" t="n">
        <x:f>Q1547*M1547</x:f>
        <x:v>6300</x:v>
      </x:c>
      <x:c r="S1547" s="22" t="n">
        <x:f>P1547-R1547</x:f>
        <x:v>900</x:v>
      </x:c>
      <x:c r="T1547" t="str">
        <x:v>Bank Transfer</x:v>
      </x:c>
      <x:c r="U1547" t="str">
        <x:v>Paid</x:v>
      </x:c>
      <x:c r="V1547" t="str">
        <x:v>Delivered</x:v>
      </x:c>
      <x:c r="W1547" t="n">
        <x:v>0</x:v>
      </x:c>
      <x:c r="X1547" t="str"/>
      <x:c r="Y1547" t="str">
        <x:v>Field Visit</x:v>
      </x:c>
    </x:row>
    <x:row r="1548">
      <x:c r="A1548" t="str">
        <x:v>O001547</x:v>
      </x:c>
      <x:c r="B1548" s="20" t="n">
        <x:v>46211</x:v>
      </x:c>
      <x:c r="C1548" t="str">
        <x:v>C0063</x:v>
      </x:c>
      <x:c r="D1548" t="str">
        <x:v>Namma Mart 63</x:v>
      </x:c>
      <x:c r="E1548" t="str">
        <x:v>Supermarket</x:v>
      </x:c>
      <x:c r="F1548" t="str">
        <x:v>Tumakuru</x:v>
      </x:c>
      <x:c r="G1548" t="str">
        <x:v>Priya</x:v>
      </x:c>
      <x:c r="H1548" t="str">
        <x:v>P037</x:v>
      </x:c>
      <x:c r="I1548" t="str">
        <x:v>Frozen Peas 1kg</x:v>
      </x:c>
      <x:c r="J1548" t="str">
        <x:v>Frozen</x:v>
      </x:c>
      <x:c r="K1548" t="str">
        <x:v>Safal</x:v>
      </x:c>
      <x:c r="L1548" s="22" t="n">
        <x:v>155</x:v>
      </x:c>
      <x:c r="M1548" t="n">
        <x:v>14</x:v>
      </x:c>
      <x:c r="N1548" s="24" t="n">
        <x:v>0.02</x:v>
      </x:c>
      <x:c r="O1548" s="22" t="n">
        <x:f>L1548*M1548</x:f>
        <x:v>2170</x:v>
      </x:c>
      <x:c r="P1548" s="22" t="n">
        <x:f>O1548*(1-N1548)</x:f>
        <x:v>2126.6</x:v>
      </x:c>
      <x:c r="Q1548" s="22" t="n">
        <x:v>138</x:v>
      </x:c>
      <x:c r="R1548" s="22" t="n">
        <x:f>Q1548*M1548</x:f>
        <x:v>1932</x:v>
      </x:c>
      <x:c r="S1548" s="22" t="n">
        <x:f>P1548-R1548</x:f>
        <x:v>194.5999999999999</x:v>
      </x:c>
      <x:c r="T1548" t="str">
        <x:v>Cash</x:v>
      </x:c>
      <x:c r="U1548" t="str">
        <x:v>Paid</x:v>
      </x:c>
      <x:c r="V1548" t="str">
        <x:v>Delivered</x:v>
      </x:c>
      <x:c r="W1548" t="n">
        <x:v>0</x:v>
      </x:c>
      <x:c r="X1548" t="str"/>
      <x:c r="Y1548" t="str">
        <x:v>WhatsApp</x:v>
      </x:c>
    </x:row>
    <x:row r="1549">
      <x:c r="A1549" t="str">
        <x:v>O001548</x:v>
      </x:c>
      <x:c r="B1549" s="20" t="n">
        <x:v>45882</x:v>
      </x:c>
      <x:c r="C1549" t="str">
        <x:v>C0226</x:v>
      </x:c>
      <x:c r="D1549" t="str">
        <x:v>Green Stores 226</x:v>
      </x:c>
      <x:c r="E1549" t="str">
        <x:v>Restaurant</x:v>
      </x:c>
      <x:c r="F1549" t="str">
        <x:v>Hubballi</x:v>
      </x:c>
      <x:c r="G1549" t="str">
        <x:v>Priya</x:v>
      </x:c>
      <x:c r="H1549" t="str">
        <x:v>P032</x:v>
      </x:c>
      <x:c r="I1549" t="str">
        <x:v>Soy Sauce 700g</x:v>
      </x:c>
      <x:c r="J1549" t="str">
        <x:v>Condiments</x:v>
      </x:c>
      <x:c r="K1549" t="str">
        <x:v>Ching's</x:v>
      </x:c>
      <x:c r="L1549" s="22" t="n">
        <x:v>118</x:v>
      </x:c>
      <x:c r="M1549" t="n">
        <x:v>11</x:v>
      </x:c>
      <x:c r="N1549" s="24" t="n">
        <x:v>0.05</x:v>
      </x:c>
      <x:c r="O1549" s="22" t="n">
        <x:f>L1549*M1549</x:f>
        <x:v>1298</x:v>
      </x:c>
      <x:c r="P1549" s="22" t="n">
        <x:f>O1549*(1-N1549)</x:f>
        <x:v>1233.1</x:v>
      </x:c>
      <x:c r="Q1549" s="22" t="n">
        <x:v>101</x:v>
      </x:c>
      <x:c r="R1549" s="22" t="n">
        <x:f>Q1549*M1549</x:f>
        <x:v>1111</x:v>
      </x:c>
      <x:c r="S1549" s="22" t="n">
        <x:f>P1549-R1549</x:f>
        <x:v>122.09999999999991</x:v>
      </x:c>
      <x:c r="T1549" t="str">
        <x:v>Cash</x:v>
      </x:c>
      <x:c r="U1549" t="str">
        <x:v>Paid</x:v>
      </x:c>
      <x:c r="V1549" t="str">
        <x:v>Delivered</x:v>
      </x:c>
      <x:c r="W1549" t="n">
        <x:v>0</x:v>
      </x:c>
      <x:c r="X1549" t="str"/>
      <x:c r="Y1549" t="str">
        <x:v>Field Visit</x:v>
      </x:c>
    </x:row>
    <x:row r="1550">
      <x:c r="A1550" t="str">
        <x:v>O001549</x:v>
      </x:c>
      <x:c r="B1550" s="20" t="n">
        <x:v>46168</x:v>
      </x:c>
      <x:c r="C1550" t="str">
        <x:v>C0148</x:v>
      </x:c>
      <x:c r="D1550" t="str">
        <x:v>Shree Cafe 148</x:v>
      </x:c>
      <x:c r="E1550" t="str">
        <x:v>Kirana</x:v>
      </x:c>
      <x:c r="F1550" t="str">
        <x:v>Hubballi</x:v>
      </x:c>
      <x:c r="G1550" t="str">
        <x:v>Priya</x:v>
      </x:c>
      <x:c r="H1550" t="str">
        <x:v>P050</x:v>
      </x:c>
      <x:c r="I1550" t="str">
        <x:v>Lemon 5kg</x:v>
      </x:c>
      <x:c r="J1550" t="str">
        <x:v>Fresh Produce</x:v>
      </x:c>
      <x:c r="K1550" t="str">
        <x:v>Local Market</x:v>
      </x:c>
      <x:c r="L1550" s="22" t="n">
        <x:v>360</x:v>
      </x:c>
      <x:c r="M1550" t="n">
        <x:v>40</x:v>
      </x:c>
      <x:c r="N1550" s="24" t="n">
        <x:v>0.05</x:v>
      </x:c>
      <x:c r="O1550" s="22" t="n">
        <x:f>L1550*M1550</x:f>
        <x:v>14400</x:v>
      </x:c>
      <x:c r="P1550" s="22" t="n">
        <x:f>O1550*(1-N1550)</x:f>
        <x:v>13680</x:v>
      </x:c>
      <x:c r="Q1550" s="22" t="n">
        <x:v>300</x:v>
      </x:c>
      <x:c r="R1550" s="22" t="n">
        <x:f>Q1550*M1550</x:f>
        <x:v>12000</x:v>
      </x:c>
      <x:c r="S1550" s="22" t="n">
        <x:f>P1550-R1550</x:f>
        <x:v>1680</x:v>
      </x:c>
      <x:c r="T1550" t="str">
        <x:v>UPI</x:v>
      </x:c>
      <x:c r="U1550" t="str">
        <x:v>Paid</x:v>
      </x:c>
      <x:c r="V1550" t="str">
        <x:v>Delivered</x:v>
      </x:c>
      <x:c r="W1550" t="n">
        <x:v>0</x:v>
      </x:c>
      <x:c r="X1550" t="str"/>
      <x:c r="Y1550" t="str">
        <x:v>Existing Customer</x:v>
      </x:c>
    </x:row>
    <x:row r="1551">
      <x:c r="A1551" t="str">
        <x:v>O001550</x:v>
      </x:c>
      <x:c r="B1551" s="20" t="n">
        <x:v>45836</x:v>
      </x:c>
      <x:c r="C1551" t="str">
        <x:v>C0048</x:v>
      </x:c>
      <x:c r="D1551" t="str">
        <x:v>Udupi Foods 48</x:v>
      </x:c>
      <x:c r="E1551" t="str">
        <x:v>Hotel</x:v>
      </x:c>
      <x:c r="F1551" t="str">
        <x:v>Bengaluru</x:v>
      </x:c>
      <x:c r="G1551" t="str">
        <x:v>Ramesh</x:v>
      </x:c>
      <x:c r="H1551" t="str">
        <x:v>P037</x:v>
      </x:c>
      <x:c r="I1551" t="str">
        <x:v>Frozen Peas 1kg</x:v>
      </x:c>
      <x:c r="J1551" t="str">
        <x:v>Frozen</x:v>
      </x:c>
      <x:c r="K1551" t="str">
        <x:v>Safal</x:v>
      </x:c>
      <x:c r="L1551" s="22" t="n">
        <x:v>155</x:v>
      </x:c>
      <x:c r="M1551" t="n">
        <x:v>29</x:v>
      </x:c>
      <x:c r="N1551" s="24" t="n">
        <x:v>0</x:v>
      </x:c>
      <x:c r="O1551" s="22" t="n">
        <x:f>L1551*M1551</x:f>
        <x:v>4495</x:v>
      </x:c>
      <x:c r="P1551" s="22" t="n">
        <x:f>O1551*(1-N1551)</x:f>
        <x:v>4495</x:v>
      </x:c>
      <x:c r="Q1551" s="22" t="n">
        <x:v>138</x:v>
      </x:c>
      <x:c r="R1551" s="22" t="n">
        <x:f>Q1551*M1551</x:f>
        <x:v>4002</x:v>
      </x:c>
      <x:c r="S1551" s="22" t="n">
        <x:f>P1551-R1551</x:f>
        <x:v>493</x:v>
      </x:c>
      <x:c r="T1551" t="str">
        <x:v>UPI</x:v>
      </x:c>
      <x:c r="U1551" t="str">
        <x:v>Paid</x:v>
      </x:c>
      <x:c r="V1551" t="str">
        <x:v>Cancelled</x:v>
      </x:c>
      <x:c r="W1551" t="n">
        <x:v>29</x:v>
      </x:c>
      <x:c r="X1551" t="str">
        <x:v>Cancelled Order</x:v>
      </x:c>
      <x:c r="Y1551" t="str">
        <x:v>Existing Customer</x:v>
      </x:c>
    </x:row>
    <x:row r="1552">
      <x:c r="A1552" t="str">
        <x:v>O001551</x:v>
      </x:c>
      <x:c r="B1552" s="20" t="n">
        <x:v>45773</x:v>
      </x:c>
      <x:c r="C1552" t="str">
        <x:v>C0135</x:v>
      </x:c>
      <x:c r="D1552" t="str">
        <x:v>City Canteen 135</x:v>
      </x:c>
      <x:c r="E1552" t="str">
        <x:v>Supermarket</x:v>
      </x:c>
      <x:c r="F1552" t="str">
        <x:v>Hubballi</x:v>
      </x:c>
      <x:c r="G1552" t="str">
        <x:v>Megha</x:v>
      </x:c>
      <x:c r="H1552" t="str">
        <x:v>P032</x:v>
      </x:c>
      <x:c r="I1552" t="str">
        <x:v>Soy Sauce 700g</x:v>
      </x:c>
      <x:c r="J1552" t="str">
        <x:v>Condiments</x:v>
      </x:c>
      <x:c r="K1552" t="str">
        <x:v>Ching's</x:v>
      </x:c>
      <x:c r="L1552" s="22" t="n">
        <x:v>118</x:v>
      </x:c>
      <x:c r="M1552" t="n">
        <x:v>14</x:v>
      </x:c>
      <x:c r="N1552" s="24" t="n">
        <x:v>0.03</x:v>
      </x:c>
      <x:c r="O1552" s="22" t="n">
        <x:f>L1552*M1552</x:f>
        <x:v>1652</x:v>
      </x:c>
      <x:c r="P1552" s="22" t="n">
        <x:f>O1552*(1-N1552)</x:f>
        <x:v>1602.44</x:v>
      </x:c>
      <x:c r="Q1552" s="22" t="n">
        <x:v>101</x:v>
      </x:c>
      <x:c r="R1552" s="22" t="n">
        <x:f>Q1552*M1552</x:f>
        <x:v>1414</x:v>
      </x:c>
      <x:c r="S1552" s="22" t="n">
        <x:f>P1552-R1552</x:f>
        <x:v>188.44000000000005</x:v>
      </x:c>
      <x:c r="T1552" t="str">
        <x:v>Cash</x:v>
      </x:c>
      <x:c r="U1552" t="str">
        <x:v>Paid</x:v>
      </x:c>
      <x:c r="V1552" t="str">
        <x:v>Delayed</x:v>
      </x:c>
      <x:c r="W1552" t="n">
        <x:v>0</x:v>
      </x:c>
      <x:c r="X1552" t="str"/>
      <x:c r="Y1552" t="str">
        <x:v>Existing Customer</x:v>
      </x:c>
    </x:row>
    <x:row r="1553">
      <x:c r="A1553" t="str">
        <x:v>O001552</x:v>
      </x:c>
      <x:c r="B1553" s="20" t="n">
        <x:v>45758</x:v>
      </x:c>
      <x:c r="C1553" t="str">
        <x:v>C0039</x:v>
      </x:c>
      <x:c r="D1553" t="str">
        <x:v>Sagar Cafe 39</x:v>
      </x:c>
      <x:c r="E1553" t="str">
        <x:v>Restaurant</x:v>
      </x:c>
      <x:c r="F1553" t="str">
        <x:v>Hubballi</x:v>
      </x:c>
      <x:c r="G1553" t="str">
        <x:v>Imran</x:v>
      </x:c>
      <x:c r="H1553" t="str">
        <x:v>P002</x:v>
      </x:c>
      <x:c r="I1553" t="str">
        <x:v>Sona Masoori Rice 25kg</x:v>
      </x:c>
      <x:c r="J1553" t="str">
        <x:v>Staples</x:v>
      </x:c>
      <x:c r="K1553" t="str">
        <x:v>Fortune</x:v>
      </x:c>
      <x:c r="L1553" s="22" t="n">
        <x:v>1320</x:v>
      </x:c>
      <x:c r="M1553" t="n">
        <x:v>6</x:v>
      </x:c>
      <x:c r="N1553" s="24" t="n">
        <x:v>0.02</x:v>
      </x:c>
      <x:c r="O1553" s="22" t="n">
        <x:f>L1553*M1553</x:f>
        <x:v>7920</x:v>
      </x:c>
      <x:c r="P1553" s="22" t="n">
        <x:f>O1553*(1-N1553)</x:f>
        <x:v>7761.599999999999</x:v>
      </x:c>
      <x:c r="Q1553" s="22" t="n">
        <x:v>1160</x:v>
      </x:c>
      <x:c r="R1553" s="22" t="n">
        <x:f>Q1553*M1553</x:f>
        <x:v>6960</x:v>
      </x:c>
      <x:c r="S1553" s="22" t="n">
        <x:f>P1553-R1553</x:f>
        <x:v>801.5999999999995</x:v>
      </x:c>
      <x:c r="T1553" t="str">
        <x:v>UPI</x:v>
      </x:c>
      <x:c r="U1553" t="str">
        <x:v>Paid</x:v>
      </x:c>
      <x:c r="V1553" t="str">
        <x:v>Delivered</x:v>
      </x:c>
      <x:c r="W1553" t="n">
        <x:v>1</x:v>
      </x:c>
      <x:c r="X1553" t="str">
        <x:v>Quality Issue</x:v>
      </x:c>
      <x:c r="Y1553" t="str">
        <x:v>Existing Customer</x:v>
      </x:c>
    </x:row>
    <x:row r="1554">
      <x:c r="A1554" t="str">
        <x:v>O001553</x:v>
      </x:c>
      <x:c r="B1554" s="20" t="n">
        <x:v>46134</x:v>
      </x:c>
      <x:c r="C1554" t="str">
        <x:v>C0208</x:v>
      </x:c>
      <x:c r="D1554" t="str">
        <x:v>Green Foods 208</x:v>
      </x:c>
      <x:c r="E1554" t="str">
        <x:v>Hotel</x:v>
      </x:c>
      <x:c r="F1554" t="str">
        <x:v>Mysuru</x:v>
      </x:c>
      <x:c r="G1554" t="str">
        <x:v>Ramesh</x:v>
      </x:c>
      <x:c r="H1554" t="str">
        <x:v>P044</x:v>
      </x:c>
      <x:c r="I1554" t="str">
        <x:v>Chicken Curry Cut 1kg</x:v>
      </x:c>
      <x:c r="J1554" t="str">
        <x:v>Protein</x:v>
      </x:c>
      <x:c r="K1554" t="str">
        <x:v>FreshToHome</x:v>
      </x:c>
      <x:c r="L1554" s="22" t="n">
        <x:v>230</x:v>
      </x:c>
      <x:c r="M1554" t="n">
        <x:v>34</x:v>
      </x:c>
      <x:c r="N1554" s="24" t="n">
        <x:v>0.03</x:v>
      </x:c>
      <x:c r="O1554" s="22" t="n">
        <x:f>L1554*M1554</x:f>
        <x:v>7820</x:v>
      </x:c>
      <x:c r="P1554" s="22" t="n">
        <x:f>O1554*(1-N1554)</x:f>
        <x:v>7585.4</x:v>
      </x:c>
      <x:c r="Q1554" s="22" t="n">
        <x:v>205</x:v>
      </x:c>
      <x:c r="R1554" s="22" t="n">
        <x:f>Q1554*M1554</x:f>
        <x:v>6970</x:v>
      </x:c>
      <x:c r="S1554" s="22" t="n">
        <x:f>P1554-R1554</x:f>
        <x:v>615.3999999999996</x:v>
      </x:c>
      <x:c r="T1554" t="str">
        <x:v>Credit</x:v>
      </x:c>
      <x:c r="U1554" t="str">
        <x:v>Paid</x:v>
      </x:c>
      <x:c r="V1554" t="str">
        <x:v>Delivered</x:v>
      </x:c>
      <x:c r="W1554" t="n">
        <x:v>0</x:v>
      </x:c>
      <x:c r="X1554" t="str"/>
      <x:c r="Y1554" t="str">
        <x:v>Field Visit</x:v>
      </x:c>
    </x:row>
    <x:row r="1555">
      <x:c r="A1555" t="str">
        <x:v>O001554</x:v>
      </x:c>
      <x:c r="B1555" s="20" t="n">
        <x:v>45900</x:v>
      </x:c>
      <x:c r="C1555" t="str">
        <x:v>C0092</x:v>
      </x:c>
      <x:c r="D1555" t="str">
        <x:v>Cafe Restaurant 92</x:v>
      </x:c>
      <x:c r="E1555" t="str">
        <x:v>Canteen</x:v>
      </x:c>
      <x:c r="F1555" t="str">
        <x:v>Hubballi</x:v>
      </x:c>
      <x:c r="G1555" t="str">
        <x:v>Vikram</x:v>
      </x:c>
      <x:c r="H1555" t="str">
        <x:v>P012</x:v>
      </x:c>
      <x:c r="I1555" t="str">
        <x:v>Maida 10kg</x:v>
      </x:c>
      <x:c r="J1555" t="str">
        <x:v>Flour</x:v>
      </x:c>
      <x:c r="K1555" t="str">
        <x:v>Aashirvaad</x:v>
      </x:c>
      <x:c r="L1555" s="22" t="n">
        <x:v>520</x:v>
      </x:c>
      <x:c r="M1555" t="n">
        <x:v>35</x:v>
      </x:c>
      <x:c r="N1555" s="24" t="n">
        <x:v>0.02</x:v>
      </x:c>
      <x:c r="O1555" s="22" t="n">
        <x:f>L1555*M1555</x:f>
        <x:v>18200</x:v>
      </x:c>
      <x:c r="P1555" s="22" t="n">
        <x:f>O1555*(1-N1555)</x:f>
        <x:v>17836</x:v>
      </x:c>
      <x:c r="Q1555" s="22" t="n">
        <x:v>460</x:v>
      </x:c>
      <x:c r="R1555" s="22" t="n">
        <x:f>Q1555*M1555</x:f>
        <x:v>16100</x:v>
      </x:c>
      <x:c r="S1555" s="22" t="n">
        <x:f>P1555-R1555</x:f>
        <x:v>1736</x:v>
      </x:c>
      <x:c r="T1555" t="str">
        <x:v>UPI</x:v>
      </x:c>
      <x:c r="U1555" t="str">
        <x:v>Pending</x:v>
      </x:c>
      <x:c r="V1555" t="str">
        <x:v>Delivered</x:v>
      </x:c>
      <x:c r="W1555" t="n">
        <x:v>0</x:v>
      </x:c>
      <x:c r="X1555" t="str"/>
      <x:c r="Y1555" t="str">
        <x:v>Field Visit</x:v>
      </x:c>
    </x:row>
    <x:row r="1556">
      <x:c r="A1556" t="str">
        <x:v>O001555</x:v>
      </x:c>
      <x:c r="B1556" s="20" t="n">
        <x:v>45741</x:v>
      </x:c>
      <x:c r="C1556" t="str">
        <x:v>C0061</x:v>
      </x:c>
      <x:c r="D1556" t="str">
        <x:v>Spice Stores 61</x:v>
      </x:c>
      <x:c r="E1556" t="str">
        <x:v>Restaurant</x:v>
      </x:c>
      <x:c r="F1556" t="str">
        <x:v>Tumakuru</x:v>
      </x:c>
      <x:c r="G1556" t="str">
        <x:v>Ramesh</x:v>
      </x:c>
      <x:c r="H1556" t="str">
        <x:v>P025</x:v>
      </x:c>
      <x:c r="I1556" t="str">
        <x:v>Potato Chips 100g</x:v>
      </x:c>
      <x:c r="J1556" t="str">
        <x:v>Snacks</x:v>
      </x:c>
      <x:c r="K1556" t="str">
        <x:v>Lay's</x:v>
      </x:c>
      <x:c r="L1556" s="22" t="n">
        <x:v>35</x:v>
      </x:c>
      <x:c r="M1556" t="n">
        <x:v>37</x:v>
      </x:c>
      <x:c r="N1556" s="24" t="n">
        <x:v>0.08</x:v>
      </x:c>
      <x:c r="O1556" s="22" t="n">
        <x:f>L1556*M1556</x:f>
        <x:v>1295</x:v>
      </x:c>
      <x:c r="P1556" s="22" t="n">
        <x:f>O1556*(1-N1556)</x:f>
        <x:v>1191.4</x:v>
      </x:c>
      <x:c r="Q1556" s="22" t="n">
        <x:v>27</x:v>
      </x:c>
      <x:c r="R1556" s="22" t="n">
        <x:f>Q1556*M1556</x:f>
        <x:v>999</x:v>
      </x:c>
      <x:c r="S1556" s="22" t="n">
        <x:f>P1556-R1556</x:f>
        <x:v>192.4000000000001</x:v>
      </x:c>
      <x:c r="T1556" t="str">
        <x:v>Cash</x:v>
      </x:c>
      <x:c r="U1556" t="str">
        <x:v>Paid</x:v>
      </x:c>
      <x:c r="V1556" t="str">
        <x:v>Delivered</x:v>
      </x:c>
      <x:c r="W1556" t="n">
        <x:v>0</x:v>
      </x:c>
      <x:c r="X1556" t="str"/>
      <x:c r="Y1556" t="str">
        <x:v>Referral</x:v>
      </x:c>
    </x:row>
    <x:row r="1557">
      <x:c r="A1557" t="str">
        <x:v>O001556</x:v>
      </x:c>
      <x:c r="B1557" s="20" t="n">
        <x:v>46242</x:v>
      </x:c>
      <x:c r="C1557" t="str">
        <x:v>C0224</x:v>
      </x:c>
      <x:c r="D1557" t="str">
        <x:v>Royal Foods 224</x:v>
      </x:c>
      <x:c r="E1557" t="str">
        <x:v>Canteen</x:v>
      </x:c>
      <x:c r="F1557" t="str">
        <x:v>Tumakuru</x:v>
      </x:c>
      <x:c r="G1557" t="str">
        <x:v>Arjun</x:v>
      </x:c>
      <x:c r="H1557" t="str">
        <x:v>P047</x:v>
      </x:c>
      <x:c r="I1557" t="str">
        <x:v>Tomato 25kg</x:v>
      </x:c>
      <x:c r="J1557" t="str">
        <x:v>Fresh Produce</x:v>
      </x:c>
      <x:c r="K1557" t="str">
        <x:v>Local Market</x:v>
      </x:c>
      <x:c r="L1557" s="22" t="n">
        <x:v>950</x:v>
      </x:c>
      <x:c r="M1557" t="n">
        <x:v>6</x:v>
      </x:c>
      <x:c r="N1557" s="24" t="n">
        <x:v>0</x:v>
      </x:c>
      <x:c r="O1557" s="22" t="n">
        <x:f>L1557*M1557</x:f>
        <x:v>5700</x:v>
      </x:c>
      <x:c r="P1557" s="22" t="n">
        <x:f>O1557*(1-N1557)</x:f>
        <x:v>5700</x:v>
      </x:c>
      <x:c r="Q1557" s="22" t="n">
        <x:v>810</x:v>
      </x:c>
      <x:c r="R1557" s="22" t="n">
        <x:f>Q1557*M1557</x:f>
        <x:v>4860</x:v>
      </x:c>
      <x:c r="S1557" s="22" t="n">
        <x:f>P1557-R1557</x:f>
        <x:v>840</x:v>
      </x:c>
      <x:c r="T1557" t="str">
        <x:v>Bank Transfer</x:v>
      </x:c>
      <x:c r="U1557" t="str">
        <x:v>Paid</x:v>
      </x:c>
      <x:c r="V1557" t="str">
        <x:v>Delivered</x:v>
      </x:c>
      <x:c r="W1557" t="n">
        <x:v>0</x:v>
      </x:c>
      <x:c r="X1557" t="str"/>
      <x:c r="Y1557" t="str">
        <x:v>Existing Customer</x:v>
      </x:c>
    </x:row>
    <x:row r="1558">
      <x:c r="A1558" t="str">
        <x:v>O001557</x:v>
      </x:c>
      <x:c r="B1558" s="20" t="n">
        <x:v>45752</x:v>
      </x:c>
      <x:c r="C1558" t="str">
        <x:v>C0170</x:v>
      </x:c>
      <x:c r="D1558" t="str">
        <x:v>Green Cafe 170</x:v>
      </x:c>
      <x:c r="E1558" t="str">
        <x:v>Supermarket</x:v>
      </x:c>
      <x:c r="F1558" t="str">
        <x:v>Bengaluru</x:v>
      </x:c>
      <x:c r="G1558" t="str">
        <x:v>Sneha</x:v>
      </x:c>
      <x:c r="H1558" t="str">
        <x:v>P002</x:v>
      </x:c>
      <x:c r="I1558" t="str">
        <x:v>Sona Masoori Rice 25kg</x:v>
      </x:c>
      <x:c r="J1558" t="str">
        <x:v>Staples</x:v>
      </x:c>
      <x:c r="K1558" t="str">
        <x:v>Fortune</x:v>
      </x:c>
      <x:c r="L1558" s="22" t="n">
        <x:v>1320</x:v>
      </x:c>
      <x:c r="M1558" t="n">
        <x:v>4</x:v>
      </x:c>
      <x:c r="N1558" s="24" t="n">
        <x:v>0.03</x:v>
      </x:c>
      <x:c r="O1558" s="22" t="n">
        <x:f>L1558*M1558</x:f>
        <x:v>5280</x:v>
      </x:c>
      <x:c r="P1558" s="22" t="n">
        <x:f>O1558*(1-N1558)</x:f>
        <x:v>5121.599999999999</x:v>
      </x:c>
      <x:c r="Q1558" s="22" t="n">
        <x:v>1160</x:v>
      </x:c>
      <x:c r="R1558" s="22" t="n">
        <x:f>Q1558*M1558</x:f>
        <x:v>4640</x:v>
      </x:c>
      <x:c r="S1558" s="22" t="n">
        <x:f>P1558-R1558</x:f>
        <x:v>481.59999999999945</x:v>
      </x:c>
      <x:c r="T1558" t="str">
        <x:v>Bank Transfer</x:v>
      </x:c>
      <x:c r="U1558" t="str">
        <x:v>Paid</x:v>
      </x:c>
      <x:c r="V1558" t="str">
        <x:v>Delivered</x:v>
      </x:c>
      <x:c r="W1558" t="n">
        <x:v>0</x:v>
      </x:c>
      <x:c r="X1558" t="str"/>
      <x:c r="Y1558" t="str">
        <x:v>Existing Customer</x:v>
      </x:c>
    </x:row>
    <x:row r="1559">
      <x:c r="A1559" t="str">
        <x:v>O001558</x:v>
      </x:c>
      <x:c r="B1559" s="20" t="n">
        <x:v>45873</x:v>
      </x:c>
      <x:c r="C1559" t="str">
        <x:v>C0121</x:v>
      </x:c>
      <x:c r="D1559" t="str">
        <x:v>Mysore Restaurant 121</x:v>
      </x:c>
      <x:c r="E1559" t="str">
        <x:v>Cafe</x:v>
      </x:c>
      <x:c r="F1559" t="str">
        <x:v>Mysuru</x:v>
      </x:c>
      <x:c r="G1559" t="str">
        <x:v>Sneha</x:v>
      </x:c>
      <x:c r="H1559" t="str">
        <x:v>P006</x:v>
      </x:c>
      <x:c r="I1559" t="str">
        <x:v>Moong Dal 5kg</x:v>
      </x:c>
      <x:c r="J1559" t="str">
        <x:v>Pulses</x:v>
      </x:c>
      <x:c r="K1559" t="str">
        <x:v>Local Select</x:v>
      </x:c>
      <x:c r="L1559" s="22" t="n">
        <x:v>610</x:v>
      </x:c>
      <x:c r="M1559" t="n">
        <x:v>38</x:v>
      </x:c>
      <x:c r="N1559" s="24" t="n">
        <x:v>0.03</x:v>
      </x:c>
      <x:c r="O1559" s="22" t="n">
        <x:f>L1559*M1559</x:f>
        <x:v>23180</x:v>
      </x:c>
      <x:c r="P1559" s="22" t="n">
        <x:f>O1559*(1-N1559)</x:f>
        <x:v>22484.6</x:v>
      </x:c>
      <x:c r="Q1559" s="22" t="n">
        <x:v>540</x:v>
      </x:c>
      <x:c r="R1559" s="22" t="n">
        <x:f>Q1559*M1559</x:f>
        <x:v>20520</x:v>
      </x:c>
      <x:c r="S1559" s="22" t="n">
        <x:f>P1559-R1559</x:f>
        <x:v>1964.5999999999985</x:v>
      </x:c>
      <x:c r="T1559" t="str">
        <x:v>UPI</x:v>
      </x:c>
      <x:c r="U1559" t="str">
        <x:v>Paid</x:v>
      </x:c>
      <x:c r="V1559" t="str">
        <x:v>Delivered</x:v>
      </x:c>
      <x:c r="W1559" t="n">
        <x:v>0</x:v>
      </x:c>
      <x:c r="X1559" t="str"/>
      <x:c r="Y1559" t="str">
        <x:v>Referral</x:v>
      </x:c>
    </x:row>
    <x:row r="1560">
      <x:c r="A1560" t="str">
        <x:v>O001559</x:v>
      </x:c>
      <x:c r="B1560" s="20" t="n">
        <x:v>46129</x:v>
      </x:c>
      <x:c r="C1560" t="str">
        <x:v>C0041</x:v>
      </x:c>
      <x:c r="D1560" t="str">
        <x:v>Grand Mart 41</x:v>
      </x:c>
      <x:c r="E1560" t="str">
        <x:v>Cafe</x:v>
      </x:c>
      <x:c r="F1560" t="str">
        <x:v>Bengaluru</x:v>
      </x:c>
      <x:c r="G1560" t="str">
        <x:v>Kavya</x:v>
      </x:c>
      <x:c r="H1560" t="str">
        <x:v>P008</x:v>
      </x:c>
      <x:c r="I1560" t="str">
        <x:v>Palm Oil 15L</x:v>
      </x:c>
      <x:c r="J1560" t="str">
        <x:v>Edible Oil</x:v>
      </x:c>
      <x:c r="K1560" t="str">
        <x:v>Ruchi Gold</x:v>
      </x:c>
      <x:c r="L1560" s="22" t="n">
        <x:v>1760</x:v>
      </x:c>
      <x:c r="M1560" t="n">
        <x:v>8</x:v>
      </x:c>
      <x:c r="N1560" s="24" t="n">
        <x:v>0.05</x:v>
      </x:c>
      <x:c r="O1560" s="22" t="n">
        <x:f>L1560*M1560</x:f>
        <x:v>14080</x:v>
      </x:c>
      <x:c r="P1560" s="22" t="n">
        <x:f>O1560*(1-N1560)</x:f>
        <x:v>13376</x:v>
      </x:c>
      <x:c r="Q1560" s="22" t="n">
        <x:v>1610</x:v>
      </x:c>
      <x:c r="R1560" s="22" t="n">
        <x:f>Q1560*M1560</x:f>
        <x:v>12880</x:v>
      </x:c>
      <x:c r="S1560" s="22" t="n">
        <x:f>P1560-R1560</x:f>
        <x:v>496</x:v>
      </x:c>
      <x:c r="T1560" t="str">
        <x:v>Bank Transfer</x:v>
      </x:c>
      <x:c r="U1560" t="str">
        <x:v>Paid</x:v>
      </x:c>
      <x:c r="V1560" t="str">
        <x:v>Delayed</x:v>
      </x:c>
      <x:c r="W1560" t="n">
        <x:v>0</x:v>
      </x:c>
      <x:c r="X1560" t="str"/>
      <x:c r="Y1560" t="str">
        <x:v>Outbound Call</x:v>
      </x:c>
    </x:row>
    <x:row r="1561">
      <x:c r="A1561" t="str">
        <x:v>O001560</x:v>
      </x:c>
      <x:c r="B1561" s="20" t="n">
        <x:v>45765</x:v>
      </x:c>
      <x:c r="C1561" t="str">
        <x:v>C0098</x:v>
      </x:c>
      <x:c r="D1561" t="str">
        <x:v>City Stores 98</x:v>
      </x:c>
      <x:c r="E1561" t="str">
        <x:v>Canteen</x:v>
      </x:c>
      <x:c r="F1561" t="str">
        <x:v>Mangaluru</x:v>
      </x:c>
      <x:c r="G1561" t="str">
        <x:v>Imran</x:v>
      </x:c>
      <x:c r="H1561" t="str">
        <x:v>P026</x:v>
      </x:c>
      <x:c r="I1561" t="str">
        <x:v>Banana Chips 80g</x:v>
      </x:c>
      <x:c r="J1561" t="str">
        <x:v>Snacks</x:v>
      </x:c>
      <x:c r="K1561" t="str">
        <x:v>SSS</x:v>
      </x:c>
      <x:c r="L1561" s="22" t="n">
        <x:v>54</x:v>
      </x:c>
      <x:c r="M1561" t="n">
        <x:v>9</x:v>
      </x:c>
      <x:c r="N1561" s="24" t="n">
        <x:v>0.08</x:v>
      </x:c>
      <x:c r="O1561" s="22" t="n">
        <x:f>L1561*M1561</x:f>
        <x:v>486</x:v>
      </x:c>
      <x:c r="P1561" s="22" t="n">
        <x:f>O1561*(1-N1561)</x:f>
        <x:v>447.12</x:v>
      </x:c>
      <x:c r="Q1561" s="22" t="n">
        <x:v>39</x:v>
      </x:c>
      <x:c r="R1561" s="22" t="n">
        <x:f>Q1561*M1561</x:f>
        <x:v>351</x:v>
      </x:c>
      <x:c r="S1561" s="22" t="n">
        <x:f>P1561-R1561</x:f>
        <x:v>96.12</x:v>
      </x:c>
      <x:c r="T1561" t="str">
        <x:v>UPI</x:v>
      </x:c>
      <x:c r="U1561" t="str">
        <x:v>Paid</x:v>
      </x:c>
      <x:c r="V1561" t="str">
        <x:v>Cancelled</x:v>
      </x:c>
      <x:c r="W1561" t="n">
        <x:v>9</x:v>
      </x:c>
      <x:c r="X1561" t="str">
        <x:v>Cancelled Order</x:v>
      </x:c>
      <x:c r="Y1561" t="str">
        <x:v>Outbound Call</x:v>
      </x:c>
    </x:row>
    <x:row r="1562">
      <x:c r="A1562" t="str">
        <x:v>O001561</x:v>
      </x:c>
      <x:c r="B1562" s="20" t="n">
        <x:v>46199</x:v>
      </x:c>
      <x:c r="C1562" t="str">
        <x:v>C0186</x:v>
      </x:c>
      <x:c r="D1562" t="str">
        <x:v>Namma Stores 186</x:v>
      </x:c>
      <x:c r="E1562" t="str">
        <x:v>Supermarket</x:v>
      </x:c>
      <x:c r="F1562" t="str">
        <x:v>Mysuru</x:v>
      </x:c>
      <x:c r="G1562" t="str">
        <x:v>Vikram</x:v>
      </x:c>
      <x:c r="H1562" t="str">
        <x:v>P022</x:v>
      </x:c>
      <x:c r="I1562" t="str">
        <x:v>Mineral Water 1L</x:v>
      </x:c>
      <x:c r="J1562" t="str">
        <x:v>Beverage</x:v>
      </x:c>
      <x:c r="K1562" t="str">
        <x:v>Bisleri</x:v>
      </x:c>
      <x:c r="L1562" s="22" t="n">
        <x:v>19</x:v>
      </x:c>
      <x:c r="M1562" t="n">
        <x:v>29</x:v>
      </x:c>
      <x:c r="N1562" s="24" t="n">
        <x:v>0.08</x:v>
      </x:c>
      <x:c r="O1562" s="22" t="n">
        <x:f>L1562*M1562</x:f>
        <x:v>551</x:v>
      </x:c>
      <x:c r="P1562" s="22" t="n">
        <x:f>O1562*(1-N1562)</x:f>
        <x:v>506.92</x:v>
      </x:c>
      <x:c r="Q1562" s="22" t="n">
        <x:v>15</x:v>
      </x:c>
      <x:c r="R1562" s="22" t="n">
        <x:f>Q1562*M1562</x:f>
        <x:v>435</x:v>
      </x:c>
      <x:c r="S1562" s="22" t="n">
        <x:f>P1562-R1562</x:f>
        <x:v>71.92000000000002</x:v>
      </x:c>
      <x:c r="T1562" t="str">
        <x:v>Bank Transfer</x:v>
      </x:c>
      <x:c r="U1562" t="str">
        <x:v>Overdue</x:v>
      </x:c>
      <x:c r="V1562" t="str">
        <x:v>Cancelled</x:v>
      </x:c>
      <x:c r="W1562" t="n">
        <x:v>29</x:v>
      </x:c>
      <x:c r="X1562" t="str">
        <x:v>Cancelled Order</x:v>
      </x:c>
      <x:c r="Y1562" t="str">
        <x:v>Referral</x:v>
      </x:c>
    </x:row>
    <x:row r="1563">
      <x:c r="A1563" t="str">
        <x:v>O001562</x:v>
      </x:c>
      <x:c r="B1563" s="20" t="n">
        <x:v>46099</x:v>
      </x:c>
      <x:c r="C1563" t="str">
        <x:v>C0147</x:v>
      </x:c>
      <x:c r="D1563" t="str">
        <x:v>New Stores 147</x:v>
      </x:c>
      <x:c r="E1563" t="str">
        <x:v>Supermarket</x:v>
      </x:c>
      <x:c r="F1563" t="str">
        <x:v>Hubballi</x:v>
      </x:c>
      <x:c r="G1563" t="str">
        <x:v>Imran</x:v>
      </x:c>
      <x:c r="H1563" t="str">
        <x:v>P013</x:v>
      </x:c>
      <x:c r="I1563" t="str">
        <x:v>Atta 10kg</x:v>
      </x:c>
      <x:c r="J1563" t="str">
        <x:v>Flour</x:v>
      </x:c>
      <x:c r="K1563" t="str">
        <x:v>Aashirvaad</x:v>
      </x:c>
      <x:c r="L1563" s="22" t="n">
        <x:v>560</x:v>
      </x:c>
      <x:c r="M1563" t="n">
        <x:v>25</x:v>
      </x:c>
      <x:c r="N1563" s="24" t="n">
        <x:v>0.02</x:v>
      </x:c>
      <x:c r="O1563" s="22" t="n">
        <x:f>L1563*M1563</x:f>
        <x:v>14000</x:v>
      </x:c>
      <x:c r="P1563" s="22" t="n">
        <x:f>O1563*(1-N1563)</x:f>
        <x:v>13720</x:v>
      </x:c>
      <x:c r="Q1563" s="22" t="n">
        <x:v>495</x:v>
      </x:c>
      <x:c r="R1563" s="22" t="n">
        <x:f>Q1563*M1563</x:f>
        <x:v>12375</x:v>
      </x:c>
      <x:c r="S1563" s="22" t="n">
        <x:f>P1563-R1563</x:f>
        <x:v>1345</x:v>
      </x:c>
      <x:c r="T1563" t="str">
        <x:v>UPI</x:v>
      </x:c>
      <x:c r="U1563" t="str">
        <x:v>Paid</x:v>
      </x:c>
      <x:c r="V1563" t="str">
        <x:v>Delivered</x:v>
      </x:c>
      <x:c r="W1563" t="n">
        <x:v>0</x:v>
      </x:c>
      <x:c r="X1563" t="str"/>
      <x:c r="Y1563" t="str">
        <x:v>Field Visit</x:v>
      </x:c>
    </x:row>
    <x:row r="1564">
      <x:c r="A1564" t="str">
        <x:v>O001563</x:v>
      </x:c>
      <x:c r="B1564" s="20" t="n">
        <x:v>45946</x:v>
      </x:c>
      <x:c r="C1564" t="str">
        <x:v>C0027</x:v>
      </x:c>
      <x:c r="D1564" t="str">
        <x:v>Fresh Cafe 27</x:v>
      </x:c>
      <x:c r="E1564" t="str">
        <x:v>Restaurant</x:v>
      </x:c>
      <x:c r="F1564" t="str">
        <x:v>Tumakuru</x:v>
      </x:c>
      <x:c r="G1564" t="str">
        <x:v>Megha</x:v>
      </x:c>
      <x:c r="H1564" t="str">
        <x:v>P010</x:v>
      </x:c>
      <x:c r="I1564" t="str">
        <x:v>Sugar 25kg</x:v>
      </x:c>
      <x:c r="J1564" t="str">
        <x:v>Staples</x:v>
      </x:c>
      <x:c r="K1564" t="str">
        <x:v>Madhur</x:v>
      </x:c>
      <x:c r="L1564" s="22" t="n">
        <x:v>1190</x:v>
      </x:c>
      <x:c r="M1564" t="n">
        <x:v>2</x:v>
      </x:c>
      <x:c r="N1564" s="24" t="n">
        <x:v>0</x:v>
      </x:c>
      <x:c r="O1564" s="22" t="n">
        <x:f>L1564*M1564</x:f>
        <x:v>2380</x:v>
      </x:c>
      <x:c r="P1564" s="22" t="n">
        <x:f>O1564*(1-N1564)</x:f>
        <x:v>2380</x:v>
      </x:c>
      <x:c r="Q1564" s="22" t="n">
        <x:v>1080</x:v>
      </x:c>
      <x:c r="R1564" s="22" t="n">
        <x:f>Q1564*M1564</x:f>
        <x:v>2160</x:v>
      </x:c>
      <x:c r="S1564" s="22" t="n">
        <x:f>P1564-R1564</x:f>
        <x:v>220</x:v>
      </x:c>
      <x:c r="T1564" t="str">
        <x:v>UPI</x:v>
      </x:c>
      <x:c r="U1564" t="str">
        <x:v>Pending</x:v>
      </x:c>
      <x:c r="V1564" t="str">
        <x:v>Cancelled</x:v>
      </x:c>
      <x:c r="W1564" t="n">
        <x:v>2</x:v>
      </x:c>
      <x:c r="X1564" t="str">
        <x:v>Cancelled Order</x:v>
      </x:c>
      <x:c r="Y1564" t="str">
        <x:v>WhatsApp</x:v>
      </x:c>
    </x:row>
    <x:row r="1565">
      <x:c r="A1565" t="str">
        <x:v>O001564</x:v>
      </x:c>
      <x:c r="B1565" s="20" t="n">
        <x:v>45666</x:v>
      </x:c>
      <x:c r="C1565" t="str">
        <x:v>C0036</x:v>
      </x:c>
      <x:c r="D1565" t="str">
        <x:v>Grand Hotel 36</x:v>
      </x:c>
      <x:c r="E1565" t="str">
        <x:v>Canteen</x:v>
      </x:c>
      <x:c r="F1565" t="str">
        <x:v>Tumakuru</x:v>
      </x:c>
      <x:c r="G1565" t="str">
        <x:v>Kavya</x:v>
      </x:c>
      <x:c r="H1565" t="str">
        <x:v>P022</x:v>
      </x:c>
      <x:c r="I1565" t="str">
        <x:v>Mineral Water 1L</x:v>
      </x:c>
      <x:c r="J1565" t="str">
        <x:v>Beverage</x:v>
      </x:c>
      <x:c r="K1565" t="str">
        <x:v>Bisleri</x:v>
      </x:c>
      <x:c r="L1565" s="22" t="n">
        <x:v>19</x:v>
      </x:c>
      <x:c r="M1565" t="n">
        <x:v>37</x:v>
      </x:c>
      <x:c r="N1565" s="24" t="n">
        <x:v>0.05</x:v>
      </x:c>
      <x:c r="O1565" s="22" t="n">
        <x:f>L1565*M1565</x:f>
        <x:v>703</x:v>
      </x:c>
      <x:c r="P1565" s="22" t="n">
        <x:f>O1565*(1-N1565)</x:f>
        <x:v>667.85</x:v>
      </x:c>
      <x:c r="Q1565" s="22" t="n">
        <x:v>15</x:v>
      </x:c>
      <x:c r="R1565" s="22" t="n">
        <x:f>Q1565*M1565</x:f>
        <x:v>555</x:v>
      </x:c>
      <x:c r="S1565" s="22" t="n">
        <x:f>P1565-R1565</x:f>
        <x:v>112.85000000000002</x:v>
      </x:c>
      <x:c r="T1565" t="str">
        <x:v>Bank Transfer</x:v>
      </x:c>
      <x:c r="U1565" t="str">
        <x:v>Paid</x:v>
      </x:c>
      <x:c r="V1565" t="str">
        <x:v>Delivered</x:v>
      </x:c>
      <x:c r="W1565" t="n">
        <x:v>0</x:v>
      </x:c>
      <x:c r="X1565" t="str"/>
      <x:c r="Y1565" t="str">
        <x:v>Outbound Call</x:v>
      </x:c>
    </x:row>
    <x:row r="1566">
      <x:c r="A1566" t="str">
        <x:v>O001565</x:v>
      </x:c>
      <x:c r="B1566" s="20" t="n">
        <x:v>46033</x:v>
      </x:c>
      <x:c r="C1566" t="str">
        <x:v>C0152</x:v>
      </x:c>
      <x:c r="D1566" t="str">
        <x:v>Metro Stores 152</x:v>
      </x:c>
      <x:c r="E1566" t="str">
        <x:v>Cafe</x:v>
      </x:c>
      <x:c r="F1566" t="str">
        <x:v>Hubballi</x:v>
      </x:c>
      <x:c r="G1566" t="str">
        <x:v>Priya</x:v>
      </x:c>
      <x:c r="H1566" t="str">
        <x:v>P013</x:v>
      </x:c>
      <x:c r="I1566" t="str">
        <x:v>Atta 10kg</x:v>
      </x:c>
      <x:c r="J1566" t="str">
        <x:v>Flour</x:v>
      </x:c>
      <x:c r="K1566" t="str">
        <x:v>Aashirvaad</x:v>
      </x:c>
      <x:c r="L1566" s="22" t="n">
        <x:v>560</x:v>
      </x:c>
      <x:c r="M1566" t="n">
        <x:v>23</x:v>
      </x:c>
      <x:c r="N1566" s="24" t="n">
        <x:v>0.05</x:v>
      </x:c>
      <x:c r="O1566" s="22" t="n">
        <x:f>L1566*M1566</x:f>
        <x:v>12880</x:v>
      </x:c>
      <x:c r="P1566" s="22" t="n">
        <x:f>O1566*(1-N1566)</x:f>
        <x:v>12236</x:v>
      </x:c>
      <x:c r="Q1566" s="22" t="n">
        <x:v>495</x:v>
      </x:c>
      <x:c r="R1566" s="22" t="n">
        <x:f>Q1566*M1566</x:f>
        <x:v>11385</x:v>
      </x:c>
      <x:c r="S1566" s="22" t="n">
        <x:f>P1566-R1566</x:f>
        <x:v>851</x:v>
      </x:c>
      <x:c r="T1566" t="str">
        <x:v>UPI</x:v>
      </x:c>
      <x:c r="U1566" t="str">
        <x:v>Pending</x:v>
      </x:c>
      <x:c r="V1566" t="str">
        <x:v>Cancelled</x:v>
      </x:c>
      <x:c r="W1566" t="n">
        <x:v>23</x:v>
      </x:c>
      <x:c r="X1566" t="str">
        <x:v>Cancelled Order</x:v>
      </x:c>
      <x:c r="Y1566" t="str">
        <x:v>Outbound Call</x:v>
      </x:c>
    </x:row>
    <x:row r="1567">
      <x:c r="A1567" t="str">
        <x:v>O001566</x:v>
      </x:c>
      <x:c r="B1567" s="20" t="n">
        <x:v>46240</x:v>
      </x:c>
      <x:c r="C1567" t="str">
        <x:v>C0055</x:v>
      </x:c>
      <x:c r="D1567" t="str">
        <x:v>Royal Mart 55</x:v>
      </x:c>
      <x:c r="E1567" t="str">
        <x:v>Restaurant</x:v>
      </x:c>
      <x:c r="F1567" t="str">
        <x:v>Hubballi</x:v>
      </x:c>
      <x:c r="G1567" t="str">
        <x:v>Vikram</x:v>
      </x:c>
      <x:c r="H1567" t="str">
        <x:v>P046</x:v>
      </x:c>
      <x:c r="I1567" t="str">
        <x:v>Potato 25kg</x:v>
      </x:c>
      <x:c r="J1567" t="str">
        <x:v>Fresh Produce</x:v>
      </x:c>
      <x:c r="K1567" t="str">
        <x:v>Local Market</x:v>
      </x:c>
      <x:c r="L1567" s="22" t="n">
        <x:v>700</x:v>
      </x:c>
      <x:c r="M1567" t="n">
        <x:v>39</x:v>
      </x:c>
      <x:c r="N1567" s="24" t="n">
        <x:v>0.02</x:v>
      </x:c>
      <x:c r="O1567" s="22" t="n">
        <x:f>L1567*M1567</x:f>
        <x:v>27300</x:v>
      </x:c>
      <x:c r="P1567" s="22" t="n">
        <x:f>O1567*(1-N1567)</x:f>
        <x:v>26754</x:v>
      </x:c>
      <x:c r="Q1567" s="22" t="n">
        <x:v>610</x:v>
      </x:c>
      <x:c r="R1567" s="22" t="n">
        <x:f>Q1567*M1567</x:f>
        <x:v>23790</x:v>
      </x:c>
      <x:c r="S1567" s="22" t="n">
        <x:f>P1567-R1567</x:f>
        <x:v>2964</x:v>
      </x:c>
      <x:c r="T1567" t="str">
        <x:v>Credit</x:v>
      </x:c>
      <x:c r="U1567" t="str">
        <x:v>Pending</x:v>
      </x:c>
      <x:c r="V1567" t="str">
        <x:v>Delivered</x:v>
      </x:c>
      <x:c r="W1567" t="n">
        <x:v>0</x:v>
      </x:c>
      <x:c r="X1567" t="str"/>
      <x:c r="Y1567" t="str">
        <x:v>WhatsApp</x:v>
      </x:c>
    </x:row>
    <x:row r="1568">
      <x:c r="A1568" t="str">
        <x:v>O001567</x:v>
      </x:c>
      <x:c r="B1568" s="20" t="n">
        <x:v>46092</x:v>
      </x:c>
      <x:c r="C1568" t="str">
        <x:v>C0071</x:v>
      </x:c>
      <x:c r="D1568" t="str">
        <x:v>Shree Restaurant 71</x:v>
      </x:c>
      <x:c r="E1568" t="str">
        <x:v>Cafe</x:v>
      </x:c>
      <x:c r="F1568" t="str">
        <x:v>Tumakuru</x:v>
      </x:c>
      <x:c r="G1568" t="str">
        <x:v>Sneha</x:v>
      </x:c>
      <x:c r="H1568" t="str">
        <x:v>P013</x:v>
      </x:c>
      <x:c r="I1568" t="str">
        <x:v>Atta 10kg</x:v>
      </x:c>
      <x:c r="J1568" t="str">
        <x:v>Flour</x:v>
      </x:c>
      <x:c r="K1568" t="str">
        <x:v>Aashirvaad</x:v>
      </x:c>
      <x:c r="L1568" s="22" t="n">
        <x:v>560</x:v>
      </x:c>
      <x:c r="M1568" t="n">
        <x:v>23</x:v>
      </x:c>
      <x:c r="N1568" s="24" t="n">
        <x:v>0.03</x:v>
      </x:c>
      <x:c r="O1568" s="22" t="n">
        <x:f>L1568*M1568</x:f>
        <x:v>12880</x:v>
      </x:c>
      <x:c r="P1568" s="22" t="n">
        <x:f>O1568*(1-N1568)</x:f>
        <x:v>12493.6</x:v>
      </x:c>
      <x:c r="Q1568" s="22" t="n">
        <x:v>495</x:v>
      </x:c>
      <x:c r="R1568" s="22" t="n">
        <x:f>Q1568*M1568</x:f>
        <x:v>11385</x:v>
      </x:c>
      <x:c r="S1568" s="22" t="n">
        <x:f>P1568-R1568</x:f>
        <x:v>1108.6000000000004</x:v>
      </x:c>
      <x:c r="T1568" t="str">
        <x:v>Cash</x:v>
      </x:c>
      <x:c r="U1568" t="str">
        <x:v>Paid</x:v>
      </x:c>
      <x:c r="V1568" t="str">
        <x:v>Delivered</x:v>
      </x:c>
      <x:c r="W1568" t="n">
        <x:v>0</x:v>
      </x:c>
      <x:c r="X1568" t="str"/>
      <x:c r="Y1568" t="str">
        <x:v>Outbound Call</x:v>
      </x:c>
    </x:row>
    <x:row r="1569">
      <x:c r="A1569" t="str">
        <x:v>O001568</x:v>
      </x:c>
      <x:c r="B1569" s="20" t="n">
        <x:v>45817</x:v>
      </x:c>
      <x:c r="C1569" t="str">
        <x:v>C0020</x:v>
      </x:c>
      <x:c r="D1569" t="str">
        <x:v>Shree Foods 20</x:v>
      </x:c>
      <x:c r="E1569" t="str">
        <x:v>Restaurant</x:v>
      </x:c>
      <x:c r="F1569" t="str">
        <x:v>Mysuru</x:v>
      </x:c>
      <x:c r="G1569" t="str">
        <x:v>Arjun</x:v>
      </x:c>
      <x:c r="H1569" t="str">
        <x:v>P048</x:v>
      </x:c>
      <x:c r="I1569" t="str">
        <x:v>Banana 10kg</x:v>
      </x:c>
      <x:c r="J1569" t="str">
        <x:v>Fresh Produce</x:v>
      </x:c>
      <x:c r="K1569" t="str">
        <x:v>Local Market</x:v>
      </x:c>
      <x:c r="L1569" s="22" t="n">
        <x:v>420</x:v>
      </x:c>
      <x:c r="M1569" t="n">
        <x:v>2</x:v>
      </x:c>
      <x:c r="N1569" s="24" t="n">
        <x:v>0</x:v>
      </x:c>
      <x:c r="O1569" s="22" t="n">
        <x:f>L1569*M1569</x:f>
        <x:v>840</x:v>
      </x:c>
      <x:c r="P1569" s="22" t="n">
        <x:f>O1569*(1-N1569)</x:f>
        <x:v>840</x:v>
      </x:c>
      <x:c r="Q1569" s="22" t="n">
        <x:v>350</x:v>
      </x:c>
      <x:c r="R1569" s="22" t="n">
        <x:f>Q1569*M1569</x:f>
        <x:v>700</x:v>
      </x:c>
      <x:c r="S1569" s="22" t="n">
        <x:f>P1569-R1569</x:f>
        <x:v>140</x:v>
      </x:c>
      <x:c r="T1569" t="str">
        <x:v>Credit</x:v>
      </x:c>
      <x:c r="U1569" t="str">
        <x:v>Overdue</x:v>
      </x:c>
      <x:c r="V1569" t="str">
        <x:v>Delivered</x:v>
      </x:c>
      <x:c r="W1569" t="n">
        <x:v>0</x:v>
      </x:c>
      <x:c r="X1569" t="str"/>
      <x:c r="Y1569" t="str">
        <x:v>Existing Customer</x:v>
      </x:c>
    </x:row>
    <x:row r="1570">
      <x:c r="A1570" t="str">
        <x:v>O001569</x:v>
      </x:c>
      <x:c r="B1570" s="20" t="n">
        <x:v>46164</x:v>
      </x:c>
      <x:c r="C1570" t="str">
        <x:v>C0060</x:v>
      </x:c>
      <x:c r="D1570" t="str">
        <x:v>Sagar Stores 60</x:v>
      </x:c>
      <x:c r="E1570" t="str">
        <x:v>Cafe</x:v>
      </x:c>
      <x:c r="F1570" t="str">
        <x:v>Hubballi</x:v>
      </x:c>
      <x:c r="G1570" t="str">
        <x:v>Imran</x:v>
      </x:c>
      <x:c r="H1570" t="str">
        <x:v>P036</x:v>
      </x:c>
      <x:c r="I1570" t="str">
        <x:v>Garam Masala 500g</x:v>
      </x:c>
      <x:c r="J1570" t="str">
        <x:v>Spices</x:v>
      </x:c>
      <x:c r="K1570" t="str">
        <x:v>MDH</x:v>
      </x:c>
      <x:c r="L1570" s="22" t="n">
        <x:v>265</x:v>
      </x:c>
      <x:c r="M1570" t="n">
        <x:v>18</x:v>
      </x:c>
      <x:c r="N1570" s="24" t="n">
        <x:v>0</x:v>
      </x:c>
      <x:c r="O1570" s="22" t="n">
        <x:f>L1570*M1570</x:f>
        <x:v>4770</x:v>
      </x:c>
      <x:c r="P1570" s="22" t="n">
        <x:f>O1570*(1-N1570)</x:f>
        <x:v>4770</x:v>
      </x:c>
      <x:c r="Q1570" s="22" t="n">
        <x:v>230</x:v>
      </x:c>
      <x:c r="R1570" s="22" t="n">
        <x:f>Q1570*M1570</x:f>
        <x:v>4140</x:v>
      </x:c>
      <x:c r="S1570" s="22" t="n">
        <x:f>P1570-R1570</x:f>
        <x:v>630</x:v>
      </x:c>
      <x:c r="T1570" t="str">
        <x:v>UPI</x:v>
      </x:c>
      <x:c r="U1570" t="str">
        <x:v>Paid</x:v>
      </x:c>
      <x:c r="V1570" t="str">
        <x:v>Cancelled</x:v>
      </x:c>
      <x:c r="W1570" t="n">
        <x:v>18</x:v>
      </x:c>
      <x:c r="X1570" t="str">
        <x:v>Cancelled Order</x:v>
      </x:c>
      <x:c r="Y1570" t="str">
        <x:v>Outbound Call</x:v>
      </x:c>
    </x:row>
    <x:row r="1571">
      <x:c r="A1571" t="str">
        <x:v>O001570</x:v>
      </x:c>
      <x:c r="B1571" s="20" t="n">
        <x:v>45680</x:v>
      </x:c>
      <x:c r="C1571" t="str">
        <x:v>C0221</x:v>
      </x:c>
      <x:c r="D1571" t="str">
        <x:v>Cafe Canteen 221</x:v>
      </x:c>
      <x:c r="E1571" t="str">
        <x:v>Hotel</x:v>
      </x:c>
      <x:c r="F1571" t="str">
        <x:v>Hubballi</x:v>
      </x:c>
      <x:c r="G1571" t="str">
        <x:v>Kavya</x:v>
      </x:c>
      <x:c r="H1571" t="str">
        <x:v>P038</x:v>
      </x:c>
      <x:c r="I1571" t="str">
        <x:v>French Fries 2.5kg</x:v>
      </x:c>
      <x:c r="J1571" t="str">
        <x:v>Frozen</x:v>
      </x:c>
      <x:c r="K1571" t="str">
        <x:v>McCain</x:v>
      </x:c>
      <x:c r="L1571" s="22" t="n">
        <x:v>360</x:v>
      </x:c>
      <x:c r="M1571" t="n">
        <x:v>27</x:v>
      </x:c>
      <x:c r="N1571" s="24" t="n">
        <x:v>0</x:v>
      </x:c>
      <x:c r="O1571" s="22" t="n">
        <x:f>L1571*M1571</x:f>
        <x:v>9720</x:v>
      </x:c>
      <x:c r="P1571" s="22" t="n">
        <x:f>O1571*(1-N1571)</x:f>
        <x:v>9720</x:v>
      </x:c>
      <x:c r="Q1571" s="22" t="n">
        <x:v>315</x:v>
      </x:c>
      <x:c r="R1571" s="22" t="n">
        <x:f>Q1571*M1571</x:f>
        <x:v>8505</x:v>
      </x:c>
      <x:c r="S1571" s="22" t="n">
        <x:f>P1571-R1571</x:f>
        <x:v>1215</x:v>
      </x:c>
      <x:c r="T1571" t="str">
        <x:v>Bank Transfer</x:v>
      </x:c>
      <x:c r="U1571" t="str">
        <x:v>Pending</x:v>
      </x:c>
      <x:c r="V1571" t="str">
        <x:v>Delayed</x:v>
      </x:c>
      <x:c r="W1571" t="n">
        <x:v>0</x:v>
      </x:c>
      <x:c r="X1571" t="str"/>
      <x:c r="Y1571" t="str">
        <x:v>Outbound Call</x:v>
      </x:c>
    </x:row>
    <x:row r="1572">
      <x:c r="A1572" t="str">
        <x:v>O001571</x:v>
      </x:c>
      <x:c r="B1572" s="20" t="n">
        <x:v>45665</x:v>
      </x:c>
      <x:c r="C1572" t="str">
        <x:v>C0067</x:v>
      </x:c>
      <x:c r="D1572" t="str">
        <x:v>Royal Restaurant 67</x:v>
      </x:c>
      <x:c r="E1572" t="str">
        <x:v>Supermarket</x:v>
      </x:c>
      <x:c r="F1572" t="str">
        <x:v>Tumakuru</x:v>
      </x:c>
      <x:c r="G1572" t="str">
        <x:v>Sneha</x:v>
      </x:c>
      <x:c r="H1572" t="str">
        <x:v>P011</x:v>
      </x:c>
      <x:c r="I1572" t="str">
        <x:v>Salt 1kg</x:v>
      </x:c>
      <x:c r="J1572" t="str">
        <x:v>Staples</x:v>
      </x:c>
      <x:c r="K1572" t="str">
        <x:v>Tata</x:v>
      </x:c>
      <x:c r="L1572" s="22" t="n">
        <x:v>28</x:v>
      </x:c>
      <x:c r="M1572" t="n">
        <x:v>15</x:v>
      </x:c>
      <x:c r="N1572" s="24" t="n">
        <x:v>0.05</x:v>
      </x:c>
      <x:c r="O1572" s="22" t="n">
        <x:f>L1572*M1572</x:f>
        <x:v>420</x:v>
      </x:c>
      <x:c r="P1572" s="22" t="n">
        <x:f>O1572*(1-N1572)</x:f>
        <x:v>399</x:v>
      </x:c>
      <x:c r="Q1572" s="22" t="n">
        <x:v>23</x:v>
      </x:c>
      <x:c r="R1572" s="22" t="n">
        <x:f>Q1572*M1572</x:f>
        <x:v>345</x:v>
      </x:c>
      <x:c r="S1572" s="22" t="n">
        <x:f>P1572-R1572</x:f>
        <x:v>54</x:v>
      </x:c>
      <x:c r="T1572" t="str">
        <x:v>Cash</x:v>
      </x:c>
      <x:c r="U1572" t="str">
        <x:v>Paid</x:v>
      </x:c>
      <x:c r="V1572" t="str">
        <x:v>Delivered</x:v>
      </x:c>
      <x:c r="W1572" t="n">
        <x:v>0</x:v>
      </x:c>
      <x:c r="X1572" t="str"/>
      <x:c r="Y1572" t="str">
        <x:v>Existing Customer</x:v>
      </x:c>
    </x:row>
    <x:row r="1573">
      <x:c r="A1573" t="str">
        <x:v>O001572</x:v>
      </x:c>
      <x:c r="B1573" s="20" t="n">
        <x:v>46166</x:v>
      </x:c>
      <x:c r="C1573" t="str">
        <x:v>C0232</x:v>
      </x:c>
      <x:c r="D1573" t="str">
        <x:v>Grand Mart 232</x:v>
      </x:c>
      <x:c r="E1573" t="str">
        <x:v>Cafe</x:v>
      </x:c>
      <x:c r="F1573" t="str">
        <x:v>Davanagere</x:v>
      </x:c>
      <x:c r="G1573" t="str">
        <x:v>Kavya</x:v>
      </x:c>
      <x:c r="H1573" t="str">
        <x:v>P026</x:v>
      </x:c>
      <x:c r="I1573" t="str">
        <x:v>Banana Chips 80g</x:v>
      </x:c>
      <x:c r="J1573" t="str">
        <x:v>Snacks</x:v>
      </x:c>
      <x:c r="K1573" t="str">
        <x:v>SSS</x:v>
      </x:c>
      <x:c r="L1573" s="22" t="n">
        <x:v>54</x:v>
      </x:c>
      <x:c r="M1573" t="n">
        <x:v>37</x:v>
      </x:c>
      <x:c r="N1573" s="24" t="n">
        <x:v>0.08</x:v>
      </x:c>
      <x:c r="O1573" s="22" t="n">
        <x:f>L1573*M1573</x:f>
        <x:v>1998</x:v>
      </x:c>
      <x:c r="P1573" s="22" t="n">
        <x:f>O1573*(1-N1573)</x:f>
        <x:v>1838.16</x:v>
      </x:c>
      <x:c r="Q1573" s="22" t="n">
        <x:v>39</x:v>
      </x:c>
      <x:c r="R1573" s="22" t="n">
        <x:f>Q1573*M1573</x:f>
        <x:v>1443</x:v>
      </x:c>
      <x:c r="S1573" s="22" t="n">
        <x:f>P1573-R1573</x:f>
        <x:v>395.1600000000001</x:v>
      </x:c>
      <x:c r="T1573" t="str">
        <x:v>Credit</x:v>
      </x:c>
      <x:c r="U1573" t="str">
        <x:v>Paid</x:v>
      </x:c>
      <x:c r="V1573" t="str">
        <x:v>Delivered</x:v>
      </x:c>
      <x:c r="W1573" t="n">
        <x:v>0</x:v>
      </x:c>
      <x:c r="X1573" t="str"/>
      <x:c r="Y1573" t="str">
        <x:v>Field Visit</x:v>
      </x:c>
    </x:row>
    <x:row r="1574">
      <x:c r="A1574" t="str">
        <x:v>O001573</x:v>
      </x:c>
      <x:c r="B1574" s="20" t="n">
        <x:v>46014</x:v>
      </x:c>
      <x:c r="C1574" t="str">
        <x:v>C0174</x:v>
      </x:c>
      <x:c r="D1574" t="str">
        <x:v>Classic Stores 174</x:v>
      </x:c>
      <x:c r="E1574" t="str">
        <x:v>Kirana</x:v>
      </x:c>
      <x:c r="F1574" t="str">
        <x:v>Mysuru</x:v>
      </x:c>
      <x:c r="G1574" t="str">
        <x:v>Vikram</x:v>
      </x:c>
      <x:c r="H1574" t="str">
        <x:v>P050</x:v>
      </x:c>
      <x:c r="I1574" t="str">
        <x:v>Lemon 5kg</x:v>
      </x:c>
      <x:c r="J1574" t="str">
        <x:v>Fresh Produce</x:v>
      </x:c>
      <x:c r="K1574" t="str">
        <x:v>Local Market</x:v>
      </x:c>
      <x:c r="L1574" s="22" t="n">
        <x:v>360</x:v>
      </x:c>
      <x:c r="M1574" t="n">
        <x:v>24</x:v>
      </x:c>
      <x:c r="N1574" s="24" t="n">
        <x:v>0.02</x:v>
      </x:c>
      <x:c r="O1574" s="22" t="n">
        <x:f>L1574*M1574</x:f>
        <x:v>8640</x:v>
      </x:c>
      <x:c r="P1574" s="22" t="n">
        <x:f>O1574*(1-N1574)</x:f>
        <x:v>8467.2</x:v>
      </x:c>
      <x:c r="Q1574" s="22" t="n">
        <x:v>300</x:v>
      </x:c>
      <x:c r="R1574" s="22" t="n">
        <x:f>Q1574*M1574</x:f>
        <x:v>7200</x:v>
      </x:c>
      <x:c r="S1574" s="22" t="n">
        <x:f>P1574-R1574</x:f>
        <x:v>1267.2000000000007</x:v>
      </x:c>
      <x:c r="T1574" t="str">
        <x:v>Bank Transfer</x:v>
      </x:c>
      <x:c r="U1574" t="str">
        <x:v>Overdue</x:v>
      </x:c>
      <x:c r="V1574" t="str">
        <x:v>Delivered</x:v>
      </x:c>
      <x:c r="W1574" t="n">
        <x:v>0</x:v>
      </x:c>
      <x:c r="X1574" t="str"/>
      <x:c r="Y1574" t="str">
        <x:v>Outbound Call</x:v>
      </x:c>
    </x:row>
    <x:row r="1575">
      <x:c r="A1575" t="str">
        <x:v>O001574</x:v>
      </x:c>
      <x:c r="B1575" s="20" t="n">
        <x:v>46130</x:v>
      </x:c>
      <x:c r="C1575" t="str">
        <x:v>C0208</x:v>
      </x:c>
      <x:c r="D1575" t="str">
        <x:v>Green Foods 208</x:v>
      </x:c>
      <x:c r="E1575" t="str">
        <x:v>Hotel</x:v>
      </x:c>
      <x:c r="F1575" t="str">
        <x:v>Mysuru</x:v>
      </x:c>
      <x:c r="G1575" t="str">
        <x:v>Ramesh</x:v>
      </x:c>
      <x:c r="H1575" t="str">
        <x:v>P017</x:v>
      </x:c>
      <x:c r="I1575" t="str">
        <x:v>Butter 500g</x:v>
      </x:c>
      <x:c r="J1575" t="str">
        <x:v>Dairy</x:v>
      </x:c>
      <x:c r="K1575" t="str">
        <x:v>Amul</x:v>
      </x:c>
      <x:c r="L1575" s="22" t="n">
        <x:v>285</x:v>
      </x:c>
      <x:c r="M1575" t="n">
        <x:v>28</x:v>
      </x:c>
      <x:c r="N1575" s="24" t="n">
        <x:v>0</x:v>
      </x:c>
      <x:c r="O1575" s="22" t="n">
        <x:f>L1575*M1575</x:f>
        <x:v>7980</x:v>
      </x:c>
      <x:c r="P1575" s="22" t="n">
        <x:f>O1575*(1-N1575)</x:f>
        <x:v>7980</x:v>
      </x:c>
      <x:c r="Q1575" s="22" t="n">
        <x:v>258</x:v>
      </x:c>
      <x:c r="R1575" s="22" t="n">
        <x:f>Q1575*M1575</x:f>
        <x:v>7224</x:v>
      </x:c>
      <x:c r="S1575" s="22" t="n">
        <x:f>P1575-R1575</x:f>
        <x:v>756</x:v>
      </x:c>
      <x:c r="T1575" t="str">
        <x:v>UPI</x:v>
      </x:c>
      <x:c r="U1575" t="str">
        <x:v>Paid</x:v>
      </x:c>
      <x:c r="V1575" t="str">
        <x:v>Delivered</x:v>
      </x:c>
      <x:c r="W1575" t="n">
        <x:v>0</x:v>
      </x:c>
      <x:c r="X1575" t="str"/>
      <x:c r="Y1575" t="str">
        <x:v>Existing Customer</x:v>
      </x:c>
    </x:row>
    <x:row r="1576">
      <x:c r="A1576" t="str">
        <x:v>O001575</x:v>
      </x:c>
      <x:c r="B1576" s="20" t="n">
        <x:v>46080</x:v>
      </x:c>
      <x:c r="C1576" t="str">
        <x:v>C0054</x:v>
      </x:c>
      <x:c r="D1576" t="str">
        <x:v>Cafe Cafe 54</x:v>
      </x:c>
      <x:c r="E1576" t="str">
        <x:v>Restaurant</x:v>
      </x:c>
      <x:c r="F1576" t="str">
        <x:v>Hubballi</x:v>
      </x:c>
      <x:c r="G1576" t="str">
        <x:v>Vikram</x:v>
      </x:c>
      <x:c r="H1576" t="str">
        <x:v>P002</x:v>
      </x:c>
      <x:c r="I1576" t="str">
        <x:v>Sona Masoori Rice 25kg</x:v>
      </x:c>
      <x:c r="J1576" t="str">
        <x:v>Staples</x:v>
      </x:c>
      <x:c r="K1576" t="str">
        <x:v>Fortune</x:v>
      </x:c>
      <x:c r="L1576" s="22" t="n">
        <x:v>1320</x:v>
      </x:c>
      <x:c r="M1576" t="n">
        <x:v>4</x:v>
      </x:c>
      <x:c r="N1576" s="24" t="n">
        <x:v>0</x:v>
      </x:c>
      <x:c r="O1576" s="22" t="n">
        <x:f>L1576*M1576</x:f>
        <x:v>5280</x:v>
      </x:c>
      <x:c r="P1576" s="22" t="n">
        <x:f>O1576*(1-N1576)</x:f>
        <x:v>5280</x:v>
      </x:c>
      <x:c r="Q1576" s="22" t="n">
        <x:v>1160</x:v>
      </x:c>
      <x:c r="R1576" s="22" t="n">
        <x:f>Q1576*M1576</x:f>
        <x:v>4640</x:v>
      </x:c>
      <x:c r="S1576" s="22" t="n">
        <x:f>P1576-R1576</x:f>
        <x:v>640</x:v>
      </x:c>
      <x:c r="T1576" t="str">
        <x:v>Credit</x:v>
      </x:c>
      <x:c r="U1576" t="str">
        <x:v>Paid</x:v>
      </x:c>
      <x:c r="V1576" t="str">
        <x:v>Delivered</x:v>
      </x:c>
      <x:c r="W1576" t="n">
        <x:v>0</x:v>
      </x:c>
      <x:c r="X1576" t="str"/>
      <x:c r="Y1576" t="str">
        <x:v>WhatsApp</x:v>
      </x:c>
    </x:row>
    <x:row r="1577">
      <x:c r="A1577" t="str">
        <x:v>O001576</x:v>
      </x:c>
      <x:c r="B1577" s="20" t="n">
        <x:v>46187</x:v>
      </x:c>
      <x:c r="C1577" t="str">
        <x:v>C0140</x:v>
      </x:c>
      <x:c r="D1577" t="str">
        <x:v>Fresh Hotel 140</x:v>
      </x:c>
      <x:c r="E1577" t="str">
        <x:v>Kirana</x:v>
      </x:c>
      <x:c r="F1577" t="str">
        <x:v>Tumakuru</x:v>
      </x:c>
      <x:c r="G1577" t="str">
        <x:v>Imran</x:v>
      </x:c>
      <x:c r="H1577" t="str">
        <x:v>P001</x:v>
      </x:c>
      <x:c r="I1577" t="str">
        <x:v>Steam Rice 25kg</x:v>
      </x:c>
      <x:c r="J1577" t="str">
        <x:v>Staples</x:v>
      </x:c>
      <x:c r="K1577" t="str">
        <x:v>Aishwarya</x:v>
      </x:c>
      <x:c r="L1577" s="22" t="n">
        <x:v>1180</x:v>
      </x:c>
      <x:c r="M1577" t="n">
        <x:v>12</x:v>
      </x:c>
      <x:c r="N1577" s="24" t="n">
        <x:v>0.05</x:v>
      </x:c>
      <x:c r="O1577" s="22" t="n">
        <x:f>L1577*M1577</x:f>
        <x:v>14160</x:v>
      </x:c>
      <x:c r="P1577" s="22" t="n">
        <x:f>O1577*(1-N1577)</x:f>
        <x:v>13452</x:v>
      </x:c>
      <x:c r="Q1577" s="22" t="n">
        <x:v>1040</x:v>
      </x:c>
      <x:c r="R1577" s="22" t="n">
        <x:f>Q1577*M1577</x:f>
        <x:v>12480</x:v>
      </x:c>
      <x:c r="S1577" s="22" t="n">
        <x:f>P1577-R1577</x:f>
        <x:v>972</x:v>
      </x:c>
      <x:c r="T1577" t="str">
        <x:v>Credit</x:v>
      </x:c>
      <x:c r="U1577" t="str">
        <x:v>Paid</x:v>
      </x:c>
      <x:c r="V1577" t="str">
        <x:v>Delayed</x:v>
      </x:c>
      <x:c r="W1577" t="n">
        <x:v>0</x:v>
      </x:c>
      <x:c r="X1577" t="str"/>
      <x:c r="Y1577" t="str">
        <x:v>Outbound Call</x:v>
      </x:c>
    </x:row>
    <x:row r="1578">
      <x:c r="A1578" t="str">
        <x:v>O001577</x:v>
      </x:c>
      <x:c r="B1578" s="20" t="n">
        <x:v>45720</x:v>
      </x:c>
      <x:c r="C1578" t="str">
        <x:v>C0028</x:v>
      </x:c>
      <x:c r="D1578" t="str">
        <x:v>Spice Cafe 28</x:v>
      </x:c>
      <x:c r="E1578" t="str">
        <x:v>Supermarket</x:v>
      </x:c>
      <x:c r="F1578" t="str">
        <x:v>Mysuru</x:v>
      </x:c>
      <x:c r="G1578" t="str">
        <x:v>Vikram</x:v>
      </x:c>
      <x:c r="H1578" t="str">
        <x:v>P022</x:v>
      </x:c>
      <x:c r="I1578" t="str">
        <x:v>Mineral Water 1L</x:v>
      </x:c>
      <x:c r="J1578" t="str">
        <x:v>Beverage</x:v>
      </x:c>
      <x:c r="K1578" t="str">
        <x:v>Bisleri</x:v>
      </x:c>
      <x:c r="L1578" s="22" t="n">
        <x:v>19</x:v>
      </x:c>
      <x:c r="M1578" t="n">
        <x:v>30</x:v>
      </x:c>
      <x:c r="N1578" s="24" t="n">
        <x:v>0</x:v>
      </x:c>
      <x:c r="O1578" s="22" t="n">
        <x:f>L1578*M1578</x:f>
        <x:v>570</x:v>
      </x:c>
      <x:c r="P1578" s="22" t="n">
        <x:f>O1578*(1-N1578)</x:f>
        <x:v>570</x:v>
      </x:c>
      <x:c r="Q1578" s="22" t="n">
        <x:v>15</x:v>
      </x:c>
      <x:c r="R1578" s="22" t="n">
        <x:f>Q1578*M1578</x:f>
        <x:v>450</x:v>
      </x:c>
      <x:c r="S1578" s="22" t="n">
        <x:f>P1578-R1578</x:f>
        <x:v>120</x:v>
      </x:c>
      <x:c r="T1578" t="str">
        <x:v>UPI</x:v>
      </x:c>
      <x:c r="U1578" t="str">
        <x:v>Paid</x:v>
      </x:c>
      <x:c r="V1578" t="str">
        <x:v>Delivered</x:v>
      </x:c>
      <x:c r="W1578" t="n">
        <x:v>0</x:v>
      </x:c>
      <x:c r="X1578" t="str"/>
      <x:c r="Y1578" t="str">
        <x:v>WhatsApp</x:v>
      </x:c>
    </x:row>
    <x:row r="1579">
      <x:c r="A1579" t="str">
        <x:v>O001578</x:v>
      </x:c>
      <x:c r="B1579" s="20" t="n">
        <x:v>45706</x:v>
      </x:c>
      <x:c r="C1579" t="str">
        <x:v>C0086</x:v>
      </x:c>
      <x:c r="D1579" t="str">
        <x:v>Foodie Canteen 86</x:v>
      </x:c>
      <x:c r="E1579" t="str">
        <x:v>Kirana</x:v>
      </x:c>
      <x:c r="F1579" t="str">
        <x:v>Hubballi</x:v>
      </x:c>
      <x:c r="G1579" t="str">
        <x:v>Sneha</x:v>
      </x:c>
      <x:c r="H1579" t="str">
        <x:v>P006</x:v>
      </x:c>
      <x:c r="I1579" t="str">
        <x:v>Moong Dal 5kg</x:v>
      </x:c>
      <x:c r="J1579" t="str">
        <x:v>Pulses</x:v>
      </x:c>
      <x:c r="K1579" t="str">
        <x:v>Local Select</x:v>
      </x:c>
      <x:c r="L1579" s="22" t="n">
        <x:v>610</x:v>
      </x:c>
      <x:c r="M1579" t="n">
        <x:v>19</x:v>
      </x:c>
      <x:c r="N1579" s="24" t="n">
        <x:v>0.02</x:v>
      </x:c>
      <x:c r="O1579" s="22" t="n">
        <x:f>L1579*M1579</x:f>
        <x:v>11590</x:v>
      </x:c>
      <x:c r="P1579" s="22" t="n">
        <x:f>O1579*(1-N1579)</x:f>
        <x:v>11358.199999999999</x:v>
      </x:c>
      <x:c r="Q1579" s="22" t="n">
        <x:v>540</x:v>
      </x:c>
      <x:c r="R1579" s="22" t="n">
        <x:f>Q1579*M1579</x:f>
        <x:v>10260</x:v>
      </x:c>
      <x:c r="S1579" s="22" t="n">
        <x:f>P1579-R1579</x:f>
        <x:v>1098.199999999999</x:v>
      </x:c>
      <x:c r="T1579" t="str">
        <x:v>Cash</x:v>
      </x:c>
      <x:c r="U1579" t="str">
        <x:v>Paid</x:v>
      </x:c>
      <x:c r="V1579" t="str">
        <x:v>Delivered</x:v>
      </x:c>
      <x:c r="W1579" t="n">
        <x:v>0</x:v>
      </x:c>
      <x:c r="X1579" t="str"/>
      <x:c r="Y1579" t="str">
        <x:v>Referral</x:v>
      </x:c>
    </x:row>
    <x:row r="1580">
      <x:c r="A1580" t="str">
        <x:v>O001579</x:v>
      </x:c>
      <x:c r="B1580" s="20" t="n">
        <x:v>45675</x:v>
      </x:c>
      <x:c r="C1580" t="str">
        <x:v>C0051</x:v>
      </x:c>
      <x:c r="D1580" t="str">
        <x:v>Cafe Hotel 51</x:v>
      </x:c>
      <x:c r="E1580" t="str">
        <x:v>Kirana</x:v>
      </x:c>
      <x:c r="F1580" t="str">
        <x:v>Tumakuru</x:v>
      </x:c>
      <x:c r="G1580" t="str">
        <x:v>Arjun</x:v>
      </x:c>
      <x:c r="H1580" t="str">
        <x:v>P002</x:v>
      </x:c>
      <x:c r="I1580" t="str">
        <x:v>Sona Masoori Rice 25kg</x:v>
      </x:c>
      <x:c r="J1580" t="str">
        <x:v>Staples</x:v>
      </x:c>
      <x:c r="K1580" t="str">
        <x:v>Fortune</x:v>
      </x:c>
      <x:c r="L1580" s="22" t="n">
        <x:v>1320</x:v>
      </x:c>
      <x:c r="M1580" t="n">
        <x:v>7</x:v>
      </x:c>
      <x:c r="N1580" s="24" t="n">
        <x:v>0</x:v>
      </x:c>
      <x:c r="O1580" s="22" t="n">
        <x:f>L1580*M1580</x:f>
        <x:v>9240</x:v>
      </x:c>
      <x:c r="P1580" s="22" t="n">
        <x:f>O1580*(1-N1580)</x:f>
        <x:v>9240</x:v>
      </x:c>
      <x:c r="Q1580" s="22" t="n">
        <x:v>1160</x:v>
      </x:c>
      <x:c r="R1580" s="22" t="n">
        <x:f>Q1580*M1580</x:f>
        <x:v>8120</x:v>
      </x:c>
      <x:c r="S1580" s="22" t="n">
        <x:f>P1580-R1580</x:f>
        <x:v>1120</x:v>
      </x:c>
      <x:c r="T1580" t="str">
        <x:v>Cash</x:v>
      </x:c>
      <x:c r="U1580" t="str">
        <x:v>Paid</x:v>
      </x:c>
      <x:c r="V1580" t="str">
        <x:v>Cancelled</x:v>
      </x:c>
      <x:c r="W1580" t="n">
        <x:v>7</x:v>
      </x:c>
      <x:c r="X1580" t="str">
        <x:v>Cancelled Order</x:v>
      </x:c>
      <x:c r="Y1580" t="str">
        <x:v>WhatsApp</x:v>
      </x:c>
    </x:row>
    <x:row r="1581">
      <x:c r="A1581" t="str">
        <x:v>O001580</x:v>
      </x:c>
      <x:c r="B1581" s="20" t="n">
        <x:v>45867</x:v>
      </x:c>
      <x:c r="C1581" t="str">
        <x:v>C0128</x:v>
      </x:c>
      <x:c r="D1581" t="str">
        <x:v>Fresh Hotel 128</x:v>
      </x:c>
      <x:c r="E1581" t="str">
        <x:v>Kirana</x:v>
      </x:c>
      <x:c r="F1581" t="str">
        <x:v>Tumakuru</x:v>
      </x:c>
      <x:c r="G1581" t="str">
        <x:v>Priya</x:v>
      </x:c>
      <x:c r="H1581" t="str">
        <x:v>P002</x:v>
      </x:c>
      <x:c r="I1581" t="str">
        <x:v>Sona Masoori Rice 25kg</x:v>
      </x:c>
      <x:c r="J1581" t="str">
        <x:v>Staples</x:v>
      </x:c>
      <x:c r="K1581" t="str">
        <x:v>Fortune</x:v>
      </x:c>
      <x:c r="L1581" s="22" t="n">
        <x:v>1320</x:v>
      </x:c>
      <x:c r="M1581" t="n">
        <x:v>9</x:v>
      </x:c>
      <x:c r="N1581" s="24" t="n">
        <x:v>0</x:v>
      </x:c>
      <x:c r="O1581" s="22" t="n">
        <x:f>L1581*M1581</x:f>
        <x:v>11880</x:v>
      </x:c>
      <x:c r="P1581" s="22" t="n">
        <x:f>O1581*(1-N1581)</x:f>
        <x:v>11880</x:v>
      </x:c>
      <x:c r="Q1581" s="22" t="n">
        <x:v>1160</x:v>
      </x:c>
      <x:c r="R1581" s="22" t="n">
        <x:f>Q1581*M1581</x:f>
        <x:v>10440</x:v>
      </x:c>
      <x:c r="S1581" s="22" t="n">
        <x:f>P1581-R1581</x:f>
        <x:v>1440</x:v>
      </x:c>
      <x:c r="T1581" t="str">
        <x:v>Bank Transfer</x:v>
      </x:c>
      <x:c r="U1581" t="str">
        <x:v>Overdue</x:v>
      </x:c>
      <x:c r="V1581" t="str">
        <x:v>Delivered</x:v>
      </x:c>
      <x:c r="W1581" t="n">
        <x:v>0</x:v>
      </x:c>
      <x:c r="X1581" t="str"/>
      <x:c r="Y1581" t="str">
        <x:v>Referral</x:v>
      </x:c>
    </x:row>
    <x:row r="1582">
      <x:c r="A1582" t="str">
        <x:v>O001581</x:v>
      </x:c>
      <x:c r="B1582" s="20" t="n">
        <x:v>45918</x:v>
      </x:c>
      <x:c r="C1582" t="str">
        <x:v>C0236</x:v>
      </x:c>
      <x:c r="D1582" t="str">
        <x:v>Foodie Stores 236</x:v>
      </x:c>
      <x:c r="E1582" t="str">
        <x:v>Kirana</x:v>
      </x:c>
      <x:c r="F1582" t="str">
        <x:v>Bengaluru</x:v>
      </x:c>
      <x:c r="G1582" t="str">
        <x:v>Ramesh</x:v>
      </x:c>
      <x:c r="H1582" t="str">
        <x:v>P029</x:v>
      </x:c>
      <x:c r="I1582" t="str">
        <x:v>Tomato Ketchup 1kg</x:v>
      </x:c>
      <x:c r="J1582" t="str">
        <x:v>Condiments</x:v>
      </x:c>
      <x:c r="K1582" t="str">
        <x:v>Kissan</x:v>
      </x:c>
      <x:c r="L1582" s="22" t="n">
        <x:v>145</x:v>
      </x:c>
      <x:c r="M1582" t="n">
        <x:v>28</x:v>
      </x:c>
      <x:c r="N1582" s="24" t="n">
        <x:v>0.08</x:v>
      </x:c>
      <x:c r="O1582" s="22" t="n">
        <x:f>L1582*M1582</x:f>
        <x:v>4060</x:v>
      </x:c>
      <x:c r="P1582" s="22" t="n">
        <x:f>O1582*(1-N1582)</x:f>
        <x:v>3735.2000000000003</x:v>
      </x:c>
      <x:c r="Q1582" s="22" t="n">
        <x:v>126</x:v>
      </x:c>
      <x:c r="R1582" s="22" t="n">
        <x:f>Q1582*M1582</x:f>
        <x:v>3528</x:v>
      </x:c>
      <x:c r="S1582" s="22" t="n">
        <x:f>P1582-R1582</x:f>
        <x:v>207.20000000000027</x:v>
      </x:c>
      <x:c r="T1582" t="str">
        <x:v>Credit</x:v>
      </x:c>
      <x:c r="U1582" t="str">
        <x:v>Pending</x:v>
      </x:c>
      <x:c r="V1582" t="str">
        <x:v>Delivered</x:v>
      </x:c>
      <x:c r="W1582" t="n">
        <x:v>0</x:v>
      </x:c>
      <x:c r="X1582" t="str"/>
      <x:c r="Y1582" t="str">
        <x:v>Outbound Call</x:v>
      </x:c>
    </x:row>
    <x:row r="1583">
      <x:c r="A1583" t="str">
        <x:v>O001582</x:v>
      </x:c>
      <x:c r="B1583" s="20" t="n">
        <x:v>46144</x:v>
      </x:c>
      <x:c r="C1583" t="str">
        <x:v>C0213</x:v>
      </x:c>
      <x:c r="D1583" t="str">
        <x:v>Shree Cafe 213</x:v>
      </x:c>
      <x:c r="E1583" t="str">
        <x:v>Cafe</x:v>
      </x:c>
      <x:c r="F1583" t="str">
        <x:v>Tumakuru</x:v>
      </x:c>
      <x:c r="G1583" t="str">
        <x:v>Imran</x:v>
      </x:c>
      <x:c r="H1583" t="str">
        <x:v>P009</x:v>
      </x:c>
      <x:c r="I1583" t="str">
        <x:v>Groundnut Oil 5L</x:v>
      </x:c>
      <x:c r="J1583" t="str">
        <x:v>Edible Oil</x:v>
      </x:c>
      <x:c r="K1583" t="str">
        <x:v>Dhara</x:v>
      </x:c>
      <x:c r="L1583" s="22" t="n">
        <x:v>890</x:v>
      </x:c>
      <x:c r="M1583" t="n">
        <x:v>2</x:v>
      </x:c>
      <x:c r="N1583" s="24" t="n">
        <x:v>0</x:v>
      </x:c>
      <x:c r="O1583" s="22" t="n">
        <x:f>L1583*M1583</x:f>
        <x:v>1780</x:v>
      </x:c>
      <x:c r="P1583" s="22" t="n">
        <x:f>O1583*(1-N1583)</x:f>
        <x:v>1780</x:v>
      </x:c>
      <x:c r="Q1583" s="22" t="n">
        <x:v>810</x:v>
      </x:c>
      <x:c r="R1583" s="22" t="n">
        <x:f>Q1583*M1583</x:f>
        <x:v>1620</x:v>
      </x:c>
      <x:c r="S1583" s="22" t="n">
        <x:f>P1583-R1583</x:f>
        <x:v>160</x:v>
      </x:c>
      <x:c r="T1583" t="str">
        <x:v>Cash</x:v>
      </x:c>
      <x:c r="U1583" t="str">
        <x:v>Paid</x:v>
      </x:c>
      <x:c r="V1583" t="str">
        <x:v>Delivered</x:v>
      </x:c>
      <x:c r="W1583" t="n">
        <x:v>0</x:v>
      </x:c>
      <x:c r="X1583" t="str"/>
      <x:c r="Y1583" t="str">
        <x:v>Field Visit</x:v>
      </x:c>
    </x:row>
    <x:row r="1584">
      <x:c r="A1584" t="str">
        <x:v>O001583</x:v>
      </x:c>
      <x:c r="B1584" s="20" t="n">
        <x:v>45727</x:v>
      </x:c>
      <x:c r="C1584" t="str">
        <x:v>C0007</x:v>
      </x:c>
      <x:c r="D1584" t="str">
        <x:v>Mysore Stores 7</x:v>
      </x:c>
      <x:c r="E1584" t="str">
        <x:v>Kirana</x:v>
      </x:c>
      <x:c r="F1584" t="str">
        <x:v>Bengaluru</x:v>
      </x:c>
      <x:c r="G1584" t="str">
        <x:v>Kavya</x:v>
      </x:c>
      <x:c r="H1584" t="str">
        <x:v>P049</x:v>
      </x:c>
      <x:c r="I1584" t="str">
        <x:v>Apple 10kg</x:v>
      </x:c>
      <x:c r="J1584" t="str">
        <x:v>Fresh Produce</x:v>
      </x:c>
      <x:c r="K1584" t="str">
        <x:v>Local Market</x:v>
      </x:c>
      <x:c r="L1584" s="22" t="n">
        <x:v>1450</x:v>
      </x:c>
      <x:c r="M1584" t="n">
        <x:v>1</x:v>
      </x:c>
      <x:c r="N1584" s="24" t="n">
        <x:v>0.03</x:v>
      </x:c>
      <x:c r="O1584" s="22" t="n">
        <x:f>L1584*M1584</x:f>
        <x:v>1450</x:v>
      </x:c>
      <x:c r="P1584" s="22" t="n">
        <x:f>O1584*(1-N1584)</x:f>
        <x:v>1406.5</x:v>
      </x:c>
      <x:c r="Q1584" s="22" t="n">
        <x:v>1280</x:v>
      </x:c>
      <x:c r="R1584" s="22" t="n">
        <x:f>Q1584*M1584</x:f>
        <x:v>1280</x:v>
      </x:c>
      <x:c r="S1584" s="22" t="n">
        <x:f>P1584-R1584</x:f>
        <x:v>126.5</x:v>
      </x:c>
      <x:c r="T1584" t="str">
        <x:v>Credit</x:v>
      </x:c>
      <x:c r="U1584" t="str">
        <x:v>Paid</x:v>
      </x:c>
      <x:c r="V1584" t="str">
        <x:v>Delivered</x:v>
      </x:c>
      <x:c r="W1584" t="n">
        <x:v>0</x:v>
      </x:c>
      <x:c r="X1584" t="str"/>
      <x:c r="Y1584" t="str">
        <x:v>Outbound Call</x:v>
      </x:c>
    </x:row>
    <x:row r="1585">
      <x:c r="A1585" t="str">
        <x:v>O001584</x:v>
      </x:c>
      <x:c r="B1585" s="20" t="n">
        <x:v>46257</x:v>
      </x:c>
      <x:c r="C1585" t="str">
        <x:v>C0168</x:v>
      </x:c>
      <x:c r="D1585" t="str">
        <x:v>Sagar Hotel 168</x:v>
      </x:c>
      <x:c r="E1585" t="str">
        <x:v>Canteen</x:v>
      </x:c>
      <x:c r="F1585" t="str">
        <x:v>Bengaluru</x:v>
      </x:c>
      <x:c r="G1585" t="str">
        <x:v>Priya</x:v>
      </x:c>
      <x:c r="H1585" t="str">
        <x:v>P017</x:v>
      </x:c>
      <x:c r="I1585" t="str">
        <x:v>Butter 500g</x:v>
      </x:c>
      <x:c r="J1585" t="str">
        <x:v>Dairy</x:v>
      </x:c>
      <x:c r="K1585" t="str">
        <x:v>Amul</x:v>
      </x:c>
      <x:c r="L1585" s="22" t="n">
        <x:v>285</x:v>
      </x:c>
      <x:c r="M1585" t="n">
        <x:v>16</x:v>
      </x:c>
      <x:c r="N1585" s="24" t="n">
        <x:v>0.03</x:v>
      </x:c>
      <x:c r="O1585" s="22" t="n">
        <x:f>L1585*M1585</x:f>
        <x:v>4560</x:v>
      </x:c>
      <x:c r="P1585" s="22" t="n">
        <x:f>O1585*(1-N1585)</x:f>
        <x:v>4423.2</x:v>
      </x:c>
      <x:c r="Q1585" s="22" t="n">
        <x:v>258</x:v>
      </x:c>
      <x:c r="R1585" s="22" t="n">
        <x:f>Q1585*M1585</x:f>
        <x:v>4128</x:v>
      </x:c>
      <x:c r="S1585" s="22" t="n">
        <x:f>P1585-R1585</x:f>
        <x:v>295.1999999999998</x:v>
      </x:c>
      <x:c r="T1585" t="str">
        <x:v>UPI</x:v>
      </x:c>
      <x:c r="U1585" t="str">
        <x:v>Pending</x:v>
      </x:c>
      <x:c r="V1585" t="str">
        <x:v>Delayed</x:v>
      </x:c>
      <x:c r="W1585" t="n">
        <x:v>0</x:v>
      </x:c>
      <x:c r="X1585" t="str"/>
      <x:c r="Y1585" t="str">
        <x:v>Field Visit</x:v>
      </x:c>
    </x:row>
    <x:row r="1586">
      <x:c r="A1586" t="str">
        <x:v>O001585</x:v>
      </x:c>
      <x:c r="B1586" s="20" t="n">
        <x:v>45725</x:v>
      </x:c>
      <x:c r="C1586" t="str">
        <x:v>C0081</x:v>
      </x:c>
      <x:c r="D1586" t="str">
        <x:v>Foodie Mart 81</x:v>
      </x:c>
      <x:c r="E1586" t="str">
        <x:v>Supermarket</x:v>
      </x:c>
      <x:c r="F1586" t="str">
        <x:v>Hubballi</x:v>
      </x:c>
      <x:c r="G1586" t="str">
        <x:v>Kavya</x:v>
      </x:c>
      <x:c r="H1586" t="str">
        <x:v>P016</x:v>
      </x:c>
      <x:c r="I1586" t="str">
        <x:v>Curd 1kg</x:v>
      </x:c>
      <x:c r="J1586" t="str">
        <x:v>Dairy</x:v>
      </x:c>
      <x:c r="K1586" t="str">
        <x:v>Nandini</x:v>
      </x:c>
      <x:c r="L1586" s="22" t="n">
        <x:v>72</x:v>
      </x:c>
      <x:c r="M1586" t="n">
        <x:v>21</x:v>
      </x:c>
      <x:c r="N1586" s="24" t="n">
        <x:v>0.05</x:v>
      </x:c>
      <x:c r="O1586" s="22" t="n">
        <x:f>L1586*M1586</x:f>
        <x:v>1512</x:v>
      </x:c>
      <x:c r="P1586" s="22" t="n">
        <x:f>O1586*(1-N1586)</x:f>
        <x:v>1436.3999999999999</x:v>
      </x:c>
      <x:c r="Q1586" s="22" t="n">
        <x:v>64</x:v>
      </x:c>
      <x:c r="R1586" s="22" t="n">
        <x:f>Q1586*M1586</x:f>
        <x:v>1344</x:v>
      </x:c>
      <x:c r="S1586" s="22" t="n">
        <x:f>P1586-R1586</x:f>
        <x:v>92.39999999999986</x:v>
      </x:c>
      <x:c r="T1586" t="str">
        <x:v>UPI</x:v>
      </x:c>
      <x:c r="U1586" t="str">
        <x:v>Paid</x:v>
      </x:c>
      <x:c r="V1586" t="str">
        <x:v>Delayed</x:v>
      </x:c>
      <x:c r="W1586" t="n">
        <x:v>0</x:v>
      </x:c>
      <x:c r="X1586" t="str"/>
      <x:c r="Y1586" t="str">
        <x:v>Existing Customer</x:v>
      </x:c>
    </x:row>
    <x:row r="1587">
      <x:c r="A1587" t="str">
        <x:v>O001586</x:v>
      </x:c>
      <x:c r="B1587" s="20" t="n">
        <x:v>46270</x:v>
      </x:c>
      <x:c r="C1587" t="str">
        <x:v>C0151</x:v>
      </x:c>
      <x:c r="D1587" t="str">
        <x:v>Foodie Stores 151</x:v>
      </x:c>
      <x:c r="E1587" t="str">
        <x:v>Supermarket</x:v>
      </x:c>
      <x:c r="F1587" t="str">
        <x:v>Mysuru</x:v>
      </x:c>
      <x:c r="G1587" t="str">
        <x:v>Arjun</x:v>
      </x:c>
      <x:c r="H1587" t="str">
        <x:v>P020</x:v>
      </x:c>
      <x:c r="I1587" t="str">
        <x:v>Coffee 500g</x:v>
      </x:c>
      <x:c r="J1587" t="str">
        <x:v>Beverage</x:v>
      </x:c>
      <x:c r="K1587" t="str">
        <x:v>Bru</x:v>
      </x:c>
      <x:c r="L1587" s="22" t="n">
        <x:v>390</x:v>
      </x:c>
      <x:c r="M1587" t="n">
        <x:v>32</x:v>
      </x:c>
      <x:c r="N1587" s="24" t="n">
        <x:v>0.08</x:v>
      </x:c>
      <x:c r="O1587" s="22" t="n">
        <x:f>L1587*M1587</x:f>
        <x:v>12480</x:v>
      </x:c>
      <x:c r="P1587" s="22" t="n">
        <x:f>O1587*(1-N1587)</x:f>
        <x:v>11481.6</x:v>
      </x:c>
      <x:c r="Q1587" s="22" t="n">
        <x:v>350</x:v>
      </x:c>
      <x:c r="R1587" s="22" t="n">
        <x:f>Q1587*M1587</x:f>
        <x:v>11200</x:v>
      </x:c>
      <x:c r="S1587" s="22" t="n">
        <x:f>P1587-R1587</x:f>
        <x:v>281.60000000000036</x:v>
      </x:c>
      <x:c r="T1587" t="str">
        <x:v>Credit</x:v>
      </x:c>
      <x:c r="U1587" t="str">
        <x:v>Pending</x:v>
      </x:c>
      <x:c r="V1587" t="str">
        <x:v>Delayed</x:v>
      </x:c>
      <x:c r="W1587" t="n">
        <x:v>0</x:v>
      </x:c>
      <x:c r="X1587" t="str"/>
      <x:c r="Y1587" t="str">
        <x:v>WhatsApp</x:v>
      </x:c>
    </x:row>
    <x:row r="1588">
      <x:c r="A1588" t="str">
        <x:v>O001587</x:v>
      </x:c>
      <x:c r="B1588" s="20" t="n">
        <x:v>45861</x:v>
      </x:c>
      <x:c r="C1588" t="str">
        <x:v>C0166</x:v>
      </x:c>
      <x:c r="D1588" t="str">
        <x:v>Mysore Foods 166</x:v>
      </x:c>
      <x:c r="E1588" t="str">
        <x:v>Cafe</x:v>
      </x:c>
      <x:c r="F1588" t="str">
        <x:v>Mangaluru</x:v>
      </x:c>
      <x:c r="G1588" t="str">
        <x:v>Arjun</x:v>
      </x:c>
      <x:c r="H1588" t="str">
        <x:v>P005</x:v>
      </x:c>
      <x:c r="I1588" t="str">
        <x:v>Chana Dal 5kg</x:v>
      </x:c>
      <x:c r="J1588" t="str">
        <x:v>Pulses</x:v>
      </x:c>
      <x:c r="K1588" t="str">
        <x:v>Local Select</x:v>
      </x:c>
      <x:c r="L1588" s="22" t="n">
        <x:v>520</x:v>
      </x:c>
      <x:c r="M1588" t="n">
        <x:v>30</x:v>
      </x:c>
      <x:c r="N1588" s="24" t="n">
        <x:v>0.03</x:v>
      </x:c>
      <x:c r="O1588" s="22" t="n">
        <x:f>L1588*M1588</x:f>
        <x:v>15600</x:v>
      </x:c>
      <x:c r="P1588" s="22" t="n">
        <x:f>O1588*(1-N1588)</x:f>
        <x:v>15132</x:v>
      </x:c>
      <x:c r="Q1588" s="22" t="n">
        <x:v>455</x:v>
      </x:c>
      <x:c r="R1588" s="22" t="n">
        <x:f>Q1588*M1588</x:f>
        <x:v>13650</x:v>
      </x:c>
      <x:c r="S1588" s="22" t="n">
        <x:f>P1588-R1588</x:f>
        <x:v>1482</x:v>
      </x:c>
      <x:c r="T1588" t="str">
        <x:v>UPI</x:v>
      </x:c>
      <x:c r="U1588" t="str">
        <x:v>Pending</x:v>
      </x:c>
      <x:c r="V1588" t="str">
        <x:v>Delivered</x:v>
      </x:c>
      <x:c r="W1588" t="n">
        <x:v>0</x:v>
      </x:c>
      <x:c r="X1588" t="str"/>
      <x:c r="Y1588" t="str">
        <x:v>Field Visit</x:v>
      </x:c>
    </x:row>
    <x:row r="1589">
      <x:c r="A1589" t="str">
        <x:v>O001588</x:v>
      </x:c>
      <x:c r="B1589" s="20" t="n">
        <x:v>45759</x:v>
      </x:c>
      <x:c r="C1589" t="str">
        <x:v>C0233</x:v>
      </x:c>
      <x:c r="D1589" t="str">
        <x:v>Shree Mart 233</x:v>
      </x:c>
      <x:c r="E1589" t="str">
        <x:v>Kirana</x:v>
      </x:c>
      <x:c r="F1589" t="str">
        <x:v>Mangaluru</x:v>
      </x:c>
      <x:c r="G1589" t="str">
        <x:v>Priya</x:v>
      </x:c>
      <x:c r="H1589" t="str">
        <x:v>P025</x:v>
      </x:c>
      <x:c r="I1589" t="str">
        <x:v>Potato Chips 100g</x:v>
      </x:c>
      <x:c r="J1589" t="str">
        <x:v>Snacks</x:v>
      </x:c>
      <x:c r="K1589" t="str">
        <x:v>Lay's</x:v>
      </x:c>
      <x:c r="L1589" s="22" t="n">
        <x:v>35</x:v>
      </x:c>
      <x:c r="M1589" t="n">
        <x:v>10</x:v>
      </x:c>
      <x:c r="N1589" s="24" t="n">
        <x:v>0</x:v>
      </x:c>
      <x:c r="O1589" s="22" t="n">
        <x:f>L1589*M1589</x:f>
        <x:v>350</x:v>
      </x:c>
      <x:c r="P1589" s="22" t="n">
        <x:f>O1589*(1-N1589)</x:f>
        <x:v>350</x:v>
      </x:c>
      <x:c r="Q1589" s="22" t="n">
        <x:v>27</x:v>
      </x:c>
      <x:c r="R1589" s="22" t="n">
        <x:f>Q1589*M1589</x:f>
        <x:v>270</x:v>
      </x:c>
      <x:c r="S1589" s="22" t="n">
        <x:f>P1589-R1589</x:f>
        <x:v>80</x:v>
      </x:c>
      <x:c r="T1589" t="str">
        <x:v>Cash</x:v>
      </x:c>
      <x:c r="U1589" t="str">
        <x:v>Overdue</x:v>
      </x:c>
      <x:c r="V1589" t="str">
        <x:v>Delivered</x:v>
      </x:c>
      <x:c r="W1589" t="n">
        <x:v>0</x:v>
      </x:c>
      <x:c r="X1589" t="str"/>
      <x:c r="Y1589" t="str">
        <x:v>Field Visit</x:v>
      </x:c>
    </x:row>
    <x:row r="1590">
      <x:c r="A1590" t="str">
        <x:v>O001589</x:v>
      </x:c>
      <x:c r="B1590" s="20" t="n">
        <x:v>45988</x:v>
      </x:c>
      <x:c r="C1590" t="str">
        <x:v>C0213</x:v>
      </x:c>
      <x:c r="D1590" t="str">
        <x:v>Shree Cafe 213</x:v>
      </x:c>
      <x:c r="E1590" t="str">
        <x:v>Cafe</x:v>
      </x:c>
      <x:c r="F1590" t="str">
        <x:v>Tumakuru</x:v>
      </x:c>
      <x:c r="G1590" t="str">
        <x:v>Imran</x:v>
      </x:c>
      <x:c r="H1590" t="str">
        <x:v>P012</x:v>
      </x:c>
      <x:c r="I1590" t="str">
        <x:v>Maida 10kg</x:v>
      </x:c>
      <x:c r="J1590" t="str">
        <x:v>Flour</x:v>
      </x:c>
      <x:c r="K1590" t="str">
        <x:v>Aashirvaad</x:v>
      </x:c>
      <x:c r="L1590" s="22" t="n">
        <x:v>520</x:v>
      </x:c>
      <x:c r="M1590" t="n">
        <x:v>28</x:v>
      </x:c>
      <x:c r="N1590" s="24" t="n">
        <x:v>0</x:v>
      </x:c>
      <x:c r="O1590" s="22" t="n">
        <x:f>L1590*M1590</x:f>
        <x:v>14560</x:v>
      </x:c>
      <x:c r="P1590" s="22" t="n">
        <x:f>O1590*(1-N1590)</x:f>
        <x:v>14560</x:v>
      </x:c>
      <x:c r="Q1590" s="22" t="n">
        <x:v>460</x:v>
      </x:c>
      <x:c r="R1590" s="22" t="n">
        <x:f>Q1590*M1590</x:f>
        <x:v>12880</x:v>
      </x:c>
      <x:c r="S1590" s="22" t="n">
        <x:f>P1590-R1590</x:f>
        <x:v>1680</x:v>
      </x:c>
      <x:c r="T1590" t="str">
        <x:v>Cash</x:v>
      </x:c>
      <x:c r="U1590" t="str">
        <x:v>Paid</x:v>
      </x:c>
      <x:c r="V1590" t="str">
        <x:v>Delivered</x:v>
      </x:c>
      <x:c r="W1590" t="n">
        <x:v>0</x:v>
      </x:c>
      <x:c r="X1590" t="str"/>
      <x:c r="Y1590" t="str">
        <x:v>WhatsApp</x:v>
      </x:c>
    </x:row>
    <x:row r="1591">
      <x:c r="A1591" t="str">
        <x:v>O001590</x:v>
      </x:c>
      <x:c r="B1591" s="20" t="n">
        <x:v>45928</x:v>
      </x:c>
      <x:c r="C1591" t="str">
        <x:v>C0018</x:v>
      </x:c>
      <x:c r="D1591" t="str">
        <x:v>Namma Canteen 18</x:v>
      </x:c>
      <x:c r="E1591" t="str">
        <x:v>Restaurant</x:v>
      </x:c>
      <x:c r="F1591" t="str">
        <x:v>Davanagere</x:v>
      </x:c>
      <x:c r="G1591" t="str">
        <x:v>Imran</x:v>
      </x:c>
      <x:c r="H1591" t="str">
        <x:v>P046</x:v>
      </x:c>
      <x:c r="I1591" t="str">
        <x:v>Potato 25kg</x:v>
      </x:c>
      <x:c r="J1591" t="str">
        <x:v>Fresh Produce</x:v>
      </x:c>
      <x:c r="K1591" t="str">
        <x:v>Local Market</x:v>
      </x:c>
      <x:c r="L1591" s="22" t="n">
        <x:v>700</x:v>
      </x:c>
      <x:c r="M1591" t="n">
        <x:v>11</x:v>
      </x:c>
      <x:c r="N1591" s="24" t="n">
        <x:v>0.08</x:v>
      </x:c>
      <x:c r="O1591" s="22" t="n">
        <x:f>L1591*M1591</x:f>
        <x:v>7700</x:v>
      </x:c>
      <x:c r="P1591" s="22" t="n">
        <x:f>O1591*(1-N1591)</x:f>
        <x:v>7084</x:v>
      </x:c>
      <x:c r="Q1591" s="22" t="n">
        <x:v>610</x:v>
      </x:c>
      <x:c r="R1591" s="22" t="n">
        <x:f>Q1591*M1591</x:f>
        <x:v>6710</x:v>
      </x:c>
      <x:c r="S1591" s="22" t="n">
        <x:f>P1591-R1591</x:f>
        <x:v>374</x:v>
      </x:c>
      <x:c r="T1591" t="str">
        <x:v>Bank Transfer</x:v>
      </x:c>
      <x:c r="U1591" t="str">
        <x:v>Paid</x:v>
      </x:c>
      <x:c r="V1591" t="str">
        <x:v>Delivered</x:v>
      </x:c>
      <x:c r="W1591" t="n">
        <x:v>4</x:v>
      </x:c>
      <x:c r="X1591" t="str">
        <x:v>Wrong Item</x:v>
      </x:c>
      <x:c r="Y1591" t="str">
        <x:v>Outbound Call</x:v>
      </x:c>
    </x:row>
    <x:row r="1592">
      <x:c r="A1592" t="str">
        <x:v>O001591</x:v>
      </x:c>
      <x:c r="B1592" s="20" t="n">
        <x:v>45686</x:v>
      </x:c>
      <x:c r="C1592" t="str">
        <x:v>C0015</x:v>
      </x:c>
      <x:c r="D1592" t="str">
        <x:v>Royal Foods 15</x:v>
      </x:c>
      <x:c r="E1592" t="str">
        <x:v>Cafe</x:v>
      </x:c>
      <x:c r="F1592" t="str">
        <x:v>Mysuru</x:v>
      </x:c>
      <x:c r="G1592" t="str">
        <x:v>Ramesh</x:v>
      </x:c>
      <x:c r="H1592" t="str">
        <x:v>P011</x:v>
      </x:c>
      <x:c r="I1592" t="str">
        <x:v>Salt 1kg</x:v>
      </x:c>
      <x:c r="J1592" t="str">
        <x:v>Staples</x:v>
      </x:c>
      <x:c r="K1592" t="str">
        <x:v>Tata</x:v>
      </x:c>
      <x:c r="L1592" s="22" t="n">
        <x:v>28</x:v>
      </x:c>
      <x:c r="M1592" t="n">
        <x:v>17</x:v>
      </x:c>
      <x:c r="N1592" s="24" t="n">
        <x:v>0</x:v>
      </x:c>
      <x:c r="O1592" s="22" t="n">
        <x:f>L1592*M1592</x:f>
        <x:v>476</x:v>
      </x:c>
      <x:c r="P1592" s="22" t="n">
        <x:f>O1592*(1-N1592)</x:f>
        <x:v>476</x:v>
      </x:c>
      <x:c r="Q1592" s="22" t="n">
        <x:v>23</x:v>
      </x:c>
      <x:c r="R1592" s="22" t="n">
        <x:f>Q1592*M1592</x:f>
        <x:v>391</x:v>
      </x:c>
      <x:c r="S1592" s="22" t="n">
        <x:f>P1592-R1592</x:f>
        <x:v>85</x:v>
      </x:c>
      <x:c r="T1592" t="str">
        <x:v>UPI</x:v>
      </x:c>
      <x:c r="U1592" t="str">
        <x:v>Paid</x:v>
      </x:c>
      <x:c r="V1592" t="str">
        <x:v>Cancelled</x:v>
      </x:c>
      <x:c r="W1592" t="n">
        <x:v>17</x:v>
      </x:c>
      <x:c r="X1592" t="str">
        <x:v>Cancelled Order</x:v>
      </x:c>
      <x:c r="Y1592" t="str">
        <x:v>Existing Customer</x:v>
      </x:c>
    </x:row>
    <x:row r="1593">
      <x:c r="A1593" t="str">
        <x:v>O001592</x:v>
      </x:c>
      <x:c r="B1593" s="20" t="n">
        <x:v>46256</x:v>
      </x:c>
      <x:c r="C1593" t="str">
        <x:v>C0153</x:v>
      </x:c>
      <x:c r="D1593" t="str">
        <x:v>Fresh Foods 153</x:v>
      </x:c>
      <x:c r="E1593" t="str">
        <x:v>Kirana</x:v>
      </x:c>
      <x:c r="F1593" t="str">
        <x:v>Bengaluru</x:v>
      </x:c>
      <x:c r="G1593" t="str">
        <x:v>Priya</x:v>
      </x:c>
      <x:c r="H1593" t="str">
        <x:v>P033</x:v>
      </x:c>
      <x:c r="I1593" t="str">
        <x:v>Turmeric Powder 1kg</x:v>
      </x:c>
      <x:c r="J1593" t="str">
        <x:v>Spices</x:v>
      </x:c>
      <x:c r="K1593" t="str">
        <x:v>Everest</x:v>
      </x:c>
      <x:c r="L1593" s="22" t="n">
        <x:v>310</x:v>
      </x:c>
      <x:c r="M1593" t="n">
        <x:v>29</x:v>
      </x:c>
      <x:c r="N1593" s="24" t="n">
        <x:v>0.08</x:v>
      </x:c>
      <x:c r="O1593" s="22" t="n">
        <x:f>L1593*M1593</x:f>
        <x:v>8990</x:v>
      </x:c>
      <x:c r="P1593" s="22" t="n">
        <x:f>O1593*(1-N1593)</x:f>
        <x:v>8270.800000000001</x:v>
      </x:c>
      <x:c r="Q1593" s="22" t="n">
        <x:v>270</x:v>
      </x:c>
      <x:c r="R1593" s="22" t="n">
        <x:f>Q1593*M1593</x:f>
        <x:v>7830</x:v>
      </x:c>
      <x:c r="S1593" s="22" t="n">
        <x:f>P1593-R1593</x:f>
        <x:v>440.8000000000011</x:v>
      </x:c>
      <x:c r="T1593" t="str">
        <x:v>UPI</x:v>
      </x:c>
      <x:c r="U1593" t="str">
        <x:v>Paid</x:v>
      </x:c>
      <x:c r="V1593" t="str">
        <x:v>Delivered</x:v>
      </x:c>
      <x:c r="W1593" t="n">
        <x:v>0</x:v>
      </x:c>
      <x:c r="X1593" t="str"/>
      <x:c r="Y1593" t="str">
        <x:v>Existing Customer</x:v>
      </x:c>
    </x:row>
    <x:row r="1594">
      <x:c r="A1594" t="str">
        <x:v>O001593</x:v>
      </x:c>
      <x:c r="B1594" s="20" t="n">
        <x:v>46178</x:v>
      </x:c>
      <x:c r="C1594" t="str">
        <x:v>C0151</x:v>
      </x:c>
      <x:c r="D1594" t="str">
        <x:v>Foodie Stores 151</x:v>
      </x:c>
      <x:c r="E1594" t="str">
        <x:v>Supermarket</x:v>
      </x:c>
      <x:c r="F1594" t="str">
        <x:v>Mysuru</x:v>
      </x:c>
      <x:c r="G1594" t="str">
        <x:v>Arjun</x:v>
      </x:c>
      <x:c r="H1594" t="str">
        <x:v>P019</x:v>
      </x:c>
      <x:c r="I1594" t="str">
        <x:v>Tea 1kg</x:v>
      </x:c>
      <x:c r="J1594" t="str">
        <x:v>Beverage</x:v>
      </x:c>
      <x:c r="K1594" t="str">
        <x:v>Red Label</x:v>
      </x:c>
      <x:c r="L1594" s="22" t="n">
        <x:v>540</x:v>
      </x:c>
      <x:c r="M1594" t="n">
        <x:v>2</x:v>
      </x:c>
      <x:c r="N1594" s="24" t="n">
        <x:v>0.05</x:v>
      </x:c>
      <x:c r="O1594" s="22" t="n">
        <x:f>L1594*M1594</x:f>
        <x:v>1080</x:v>
      </x:c>
      <x:c r="P1594" s="22" t="n">
        <x:f>O1594*(1-N1594)</x:f>
        <x:v>1026</x:v>
      </x:c>
      <x:c r="Q1594" s="22" t="n">
        <x:v>485</x:v>
      </x:c>
      <x:c r="R1594" s="22" t="n">
        <x:f>Q1594*M1594</x:f>
        <x:v>970</x:v>
      </x:c>
      <x:c r="S1594" s="22" t="n">
        <x:f>P1594-R1594</x:f>
        <x:v>56</x:v>
      </x:c>
      <x:c r="T1594" t="str">
        <x:v>UPI</x:v>
      </x:c>
      <x:c r="U1594" t="str">
        <x:v>Overdue</x:v>
      </x:c>
      <x:c r="V1594" t="str">
        <x:v>Delivered</x:v>
      </x:c>
      <x:c r="W1594" t="n">
        <x:v>0</x:v>
      </x:c>
      <x:c r="X1594" t="str"/>
      <x:c r="Y1594" t="str">
        <x:v>Field Visit</x:v>
      </x:c>
    </x:row>
    <x:row r="1595">
      <x:c r="A1595" t="str">
        <x:v>O001594</x:v>
      </x:c>
      <x:c r="B1595" s="20" t="n">
        <x:v>45781</x:v>
      </x:c>
      <x:c r="C1595" t="str">
        <x:v>C0042</x:v>
      </x:c>
      <x:c r="D1595" t="str">
        <x:v>Shree Restaurant 42</x:v>
      </x:c>
      <x:c r="E1595" t="str">
        <x:v>Restaurant</x:v>
      </x:c>
      <x:c r="F1595" t="str">
        <x:v>Mysuru</x:v>
      </x:c>
      <x:c r="G1595" t="str">
        <x:v>Arjun</x:v>
      </x:c>
      <x:c r="H1595" t="str">
        <x:v>P049</x:v>
      </x:c>
      <x:c r="I1595" t="str">
        <x:v>Apple 10kg</x:v>
      </x:c>
      <x:c r="J1595" t="str">
        <x:v>Fresh Produce</x:v>
      </x:c>
      <x:c r="K1595" t="str">
        <x:v>Local Market</x:v>
      </x:c>
      <x:c r="L1595" s="22" t="n">
        <x:v>1450</x:v>
      </x:c>
      <x:c r="M1595" t="n">
        <x:v>6</x:v>
      </x:c>
      <x:c r="N1595" s="24" t="n">
        <x:v>0.03</x:v>
      </x:c>
      <x:c r="O1595" s="22" t="n">
        <x:f>L1595*M1595</x:f>
        <x:v>8700</x:v>
      </x:c>
      <x:c r="P1595" s="22" t="n">
        <x:f>O1595*(1-N1595)</x:f>
        <x:v>8439</x:v>
      </x:c>
      <x:c r="Q1595" s="22" t="n">
        <x:v>1280</x:v>
      </x:c>
      <x:c r="R1595" s="22" t="n">
        <x:f>Q1595*M1595</x:f>
        <x:v>7680</x:v>
      </x:c>
      <x:c r="S1595" s="22" t="n">
        <x:f>P1595-R1595</x:f>
        <x:v>759</x:v>
      </x:c>
      <x:c r="T1595" t="str">
        <x:v>Bank Transfer</x:v>
      </x:c>
      <x:c r="U1595" t="str">
        <x:v>Paid</x:v>
      </x:c>
      <x:c r="V1595" t="str">
        <x:v>Delivered</x:v>
      </x:c>
      <x:c r="W1595" t="n">
        <x:v>0</x:v>
      </x:c>
      <x:c r="X1595" t="str"/>
      <x:c r="Y1595" t="str">
        <x:v>Field Visit</x:v>
      </x:c>
    </x:row>
    <x:row r="1596">
      <x:c r="A1596" t="str">
        <x:v>O001595</x:v>
      </x:c>
      <x:c r="B1596" s="20" t="n">
        <x:v>45834</x:v>
      </x:c>
      <x:c r="C1596" t="str">
        <x:v>C0003</x:v>
      </x:c>
      <x:c r="D1596" t="str">
        <x:v>Grand Foods 3</x:v>
      </x:c>
      <x:c r="E1596" t="str">
        <x:v>Restaurant</x:v>
      </x:c>
      <x:c r="F1596" t="str">
        <x:v>Bengaluru</x:v>
      </x:c>
      <x:c r="G1596" t="str">
        <x:v>Vikram</x:v>
      </x:c>
      <x:c r="H1596" t="str">
        <x:v>P035</x:v>
      </x:c>
      <x:c r="I1596" t="str">
        <x:v>Coriander Powder 1kg</x:v>
      </x:c>
      <x:c r="J1596" t="str">
        <x:v>Spices</x:v>
      </x:c>
      <x:c r="K1596" t="str">
        <x:v>Everest</x:v>
      </x:c>
      <x:c r="L1596" s="22" t="n">
        <x:v>280</x:v>
      </x:c>
      <x:c r="M1596" t="n">
        <x:v>4</x:v>
      </x:c>
      <x:c r="N1596" s="24" t="n">
        <x:v>0.05</x:v>
      </x:c>
      <x:c r="O1596" s="22" t="n">
        <x:f>L1596*M1596</x:f>
        <x:v>1120</x:v>
      </x:c>
      <x:c r="P1596" s="22" t="n">
        <x:f>O1596*(1-N1596)</x:f>
        <x:v>1064</x:v>
      </x:c>
      <x:c r="Q1596" s="22" t="n">
        <x:v>245</x:v>
      </x:c>
      <x:c r="R1596" s="22" t="n">
        <x:f>Q1596*M1596</x:f>
        <x:v>980</x:v>
      </x:c>
      <x:c r="S1596" s="22" t="n">
        <x:f>P1596-R1596</x:f>
        <x:v>84</x:v>
      </x:c>
      <x:c r="T1596" t="str">
        <x:v>Cash</x:v>
      </x:c>
      <x:c r="U1596" t="str">
        <x:v>Paid</x:v>
      </x:c>
      <x:c r="V1596" t="str">
        <x:v>Delivered</x:v>
      </x:c>
      <x:c r="W1596" t="n">
        <x:v>0</x:v>
      </x:c>
      <x:c r="X1596" t="str"/>
      <x:c r="Y1596" t="str">
        <x:v>WhatsApp</x:v>
      </x:c>
    </x:row>
    <x:row r="1597">
      <x:c r="A1597" t="str">
        <x:v>O001596</x:v>
      </x:c>
      <x:c r="B1597" s="20" t="n">
        <x:v>45851</x:v>
      </x:c>
      <x:c r="C1597" t="str">
        <x:v>C0213</x:v>
      </x:c>
      <x:c r="D1597" t="str">
        <x:v>Shree Cafe 213</x:v>
      </x:c>
      <x:c r="E1597" t="str">
        <x:v>Cafe</x:v>
      </x:c>
      <x:c r="F1597" t="str">
        <x:v>Tumakuru</x:v>
      </x:c>
      <x:c r="G1597" t="str">
        <x:v>Imran</x:v>
      </x:c>
      <x:c r="H1597" t="str">
        <x:v>P012</x:v>
      </x:c>
      <x:c r="I1597" t="str">
        <x:v>Maida 10kg</x:v>
      </x:c>
      <x:c r="J1597" t="str">
        <x:v>Flour</x:v>
      </x:c>
      <x:c r="K1597" t="str">
        <x:v>Aashirvaad</x:v>
      </x:c>
      <x:c r="L1597" s="22" t="n">
        <x:v>520</x:v>
      </x:c>
      <x:c r="M1597" t="n">
        <x:v>25</x:v>
      </x:c>
      <x:c r="N1597" s="24" t="n">
        <x:v>0.03</x:v>
      </x:c>
      <x:c r="O1597" s="22" t="n">
        <x:f>L1597*M1597</x:f>
        <x:v>13000</x:v>
      </x:c>
      <x:c r="P1597" s="22" t="n">
        <x:f>O1597*(1-N1597)</x:f>
        <x:v>12610</x:v>
      </x:c>
      <x:c r="Q1597" s="22" t="n">
        <x:v>460</x:v>
      </x:c>
      <x:c r="R1597" s="22" t="n">
        <x:f>Q1597*M1597</x:f>
        <x:v>11500</x:v>
      </x:c>
      <x:c r="S1597" s="22" t="n">
        <x:f>P1597-R1597</x:f>
        <x:v>1110</x:v>
      </x:c>
      <x:c r="T1597" t="str">
        <x:v>Cash</x:v>
      </x:c>
      <x:c r="U1597" t="str">
        <x:v>Paid</x:v>
      </x:c>
      <x:c r="V1597" t="str">
        <x:v>Delivered</x:v>
      </x:c>
      <x:c r="W1597" t="n">
        <x:v>0</x:v>
      </x:c>
      <x:c r="X1597" t="str"/>
      <x:c r="Y1597" t="str">
        <x:v>Outbound Call</x:v>
      </x:c>
    </x:row>
    <x:row r="1598">
      <x:c r="A1598" t="str">
        <x:v>O001597</x:v>
      </x:c>
      <x:c r="B1598" s="20" t="n">
        <x:v>46262</x:v>
      </x:c>
      <x:c r="C1598" t="str">
        <x:v>C0131</x:v>
      </x:c>
      <x:c r="D1598" t="str">
        <x:v>Foodie Canteen 131</x:v>
      </x:c>
      <x:c r="E1598" t="str">
        <x:v>Canteen</x:v>
      </x:c>
      <x:c r="F1598" t="str">
        <x:v>Davanagere</x:v>
      </x:c>
      <x:c r="G1598" t="str">
        <x:v>Arjun</x:v>
      </x:c>
      <x:c r="H1598" t="str">
        <x:v>P032</x:v>
      </x:c>
      <x:c r="I1598" t="str">
        <x:v>Soy Sauce 700g</x:v>
      </x:c>
      <x:c r="J1598" t="str">
        <x:v>Condiments</x:v>
      </x:c>
      <x:c r="K1598" t="str">
        <x:v>Ching's</x:v>
      </x:c>
      <x:c r="L1598" s="22" t="n">
        <x:v>118</x:v>
      </x:c>
      <x:c r="M1598" t="n">
        <x:v>18</x:v>
      </x:c>
      <x:c r="N1598" s="24" t="n">
        <x:v>0.05</x:v>
      </x:c>
      <x:c r="O1598" s="22" t="n">
        <x:f>L1598*M1598</x:f>
        <x:v>2124</x:v>
      </x:c>
      <x:c r="P1598" s="22" t="n">
        <x:f>O1598*(1-N1598)</x:f>
        <x:v>2017.8</x:v>
      </x:c>
      <x:c r="Q1598" s="22" t="n">
        <x:v>101</x:v>
      </x:c>
      <x:c r="R1598" s="22" t="n">
        <x:f>Q1598*M1598</x:f>
        <x:v>1818</x:v>
      </x:c>
      <x:c r="S1598" s="22" t="n">
        <x:f>P1598-R1598</x:f>
        <x:v>199.79999999999995</x:v>
      </x:c>
      <x:c r="T1598" t="str">
        <x:v>Credit</x:v>
      </x:c>
      <x:c r="U1598" t="str">
        <x:v>Paid</x:v>
      </x:c>
      <x:c r="V1598" t="str">
        <x:v>Delayed</x:v>
      </x:c>
      <x:c r="W1598" t="n">
        <x:v>0</x:v>
      </x:c>
      <x:c r="X1598" t="str"/>
      <x:c r="Y1598" t="str">
        <x:v>Referral</x:v>
      </x:c>
    </x:row>
    <x:row r="1599">
      <x:c r="A1599" t="str">
        <x:v>O001598</x:v>
      </x:c>
      <x:c r="B1599" s="20" t="n">
        <x:v>46250</x:v>
      </x:c>
      <x:c r="C1599" t="str">
        <x:v>C0193</x:v>
      </x:c>
      <x:c r="D1599" t="str">
        <x:v>Udupi Cafe 193</x:v>
      </x:c>
      <x:c r="E1599" t="str">
        <x:v>Restaurant</x:v>
      </x:c>
      <x:c r="F1599" t="str">
        <x:v>Hubballi</x:v>
      </x:c>
      <x:c r="G1599" t="str">
        <x:v>Sneha</x:v>
      </x:c>
      <x:c r="H1599" t="str">
        <x:v>P026</x:v>
      </x:c>
      <x:c r="I1599" t="str">
        <x:v>Banana Chips 80g</x:v>
      </x:c>
      <x:c r="J1599" t="str">
        <x:v>Snacks</x:v>
      </x:c>
      <x:c r="K1599" t="str">
        <x:v>SSS</x:v>
      </x:c>
      <x:c r="L1599" s="22" t="n">
        <x:v>54</x:v>
      </x:c>
      <x:c r="M1599" t="n">
        <x:v>31</x:v>
      </x:c>
      <x:c r="N1599" s="24" t="n">
        <x:v>0.05</x:v>
      </x:c>
      <x:c r="O1599" s="22" t="n">
        <x:f>L1599*M1599</x:f>
        <x:v>1674</x:v>
      </x:c>
      <x:c r="P1599" s="22" t="n">
        <x:f>O1599*(1-N1599)</x:f>
        <x:v>1590.3</x:v>
      </x:c>
      <x:c r="Q1599" s="22" t="n">
        <x:v>39</x:v>
      </x:c>
      <x:c r="R1599" s="22" t="n">
        <x:f>Q1599*M1599</x:f>
        <x:v>1209</x:v>
      </x:c>
      <x:c r="S1599" s="22" t="n">
        <x:f>P1599-R1599</x:f>
        <x:v>381.29999999999995</x:v>
      </x:c>
      <x:c r="T1599" t="str">
        <x:v>UPI</x:v>
      </x:c>
      <x:c r="U1599" t="str">
        <x:v>Paid</x:v>
      </x:c>
      <x:c r="V1599" t="str">
        <x:v>Delayed</x:v>
      </x:c>
      <x:c r="W1599" t="n">
        <x:v>0</x:v>
      </x:c>
      <x:c r="X1599" t="str"/>
      <x:c r="Y1599" t="str">
        <x:v>Field Visit</x:v>
      </x:c>
    </x:row>
    <x:row r="1600">
      <x:c r="A1600" t="str">
        <x:v>O001599</x:v>
      </x:c>
      <x:c r="B1600" s="20" t="n">
        <x:v>45748</x:v>
      </x:c>
      <x:c r="C1600" t="str">
        <x:v>C0031</x:v>
      </x:c>
      <x:c r="D1600" t="str">
        <x:v>Royal Restaurant 31</x:v>
      </x:c>
      <x:c r="E1600" t="str">
        <x:v>Restaurant</x:v>
      </x:c>
      <x:c r="F1600" t="str">
        <x:v>Mangaluru</x:v>
      </x:c>
      <x:c r="G1600" t="str">
        <x:v>Arjun</x:v>
      </x:c>
      <x:c r="H1600" t="str">
        <x:v>P017</x:v>
      </x:c>
      <x:c r="I1600" t="str">
        <x:v>Butter 500g</x:v>
      </x:c>
      <x:c r="J1600" t="str">
        <x:v>Dairy</x:v>
      </x:c>
      <x:c r="K1600" t="str">
        <x:v>Amul</x:v>
      </x:c>
      <x:c r="L1600" s="22" t="n">
        <x:v>285</x:v>
      </x:c>
      <x:c r="M1600" t="n">
        <x:v>38</x:v>
      </x:c>
      <x:c r="N1600" s="24" t="n">
        <x:v>0.03</x:v>
      </x:c>
      <x:c r="O1600" s="22" t="n">
        <x:f>L1600*M1600</x:f>
        <x:v>10830</x:v>
      </x:c>
      <x:c r="P1600" s="22" t="n">
        <x:f>O1600*(1-N1600)</x:f>
        <x:v>10505.1</x:v>
      </x:c>
      <x:c r="Q1600" s="22" t="n">
        <x:v>258</x:v>
      </x:c>
      <x:c r="R1600" s="22" t="n">
        <x:f>Q1600*M1600</x:f>
        <x:v>9804</x:v>
      </x:c>
      <x:c r="S1600" s="22" t="n">
        <x:f>P1600-R1600</x:f>
        <x:v>701.1000000000004</x:v>
      </x:c>
      <x:c r="T1600" t="str">
        <x:v>Cash</x:v>
      </x:c>
      <x:c r="U1600" t="str">
        <x:v>Paid</x:v>
      </x:c>
      <x:c r="V1600" t="str">
        <x:v>Delivered</x:v>
      </x:c>
      <x:c r="W1600" t="n">
        <x:v>0</x:v>
      </x:c>
      <x:c r="X1600" t="str"/>
      <x:c r="Y1600" t="str">
        <x:v>Referral</x:v>
      </x:c>
    </x:row>
    <x:row r="1601">
      <x:c r="A1601" t="str">
        <x:v>O001600</x:v>
      </x:c>
      <x:c r="B1601" s="20" t="n">
        <x:v>46224</x:v>
      </x:c>
      <x:c r="C1601" t="str">
        <x:v>C0073</x:v>
      </x:c>
      <x:c r="D1601" t="str">
        <x:v>Annapurna Stores 73</x:v>
      </x:c>
      <x:c r="E1601" t="str">
        <x:v>Restaurant</x:v>
      </x:c>
      <x:c r="F1601" t="str">
        <x:v>Davanagere</x:v>
      </x:c>
      <x:c r="G1601" t="str">
        <x:v>Kavya</x:v>
      </x:c>
      <x:c r="H1601" t="str">
        <x:v>P044</x:v>
      </x:c>
      <x:c r="I1601" t="str">
        <x:v>Chicken Curry Cut 1kg</x:v>
      </x:c>
      <x:c r="J1601" t="str">
        <x:v>Protein</x:v>
      </x:c>
      <x:c r="K1601" t="str">
        <x:v>FreshToHome</x:v>
      </x:c>
      <x:c r="L1601" s="22" t="n">
        <x:v>230</x:v>
      </x:c>
      <x:c r="M1601" t="n">
        <x:v>36</x:v>
      </x:c>
      <x:c r="N1601" s="24" t="n">
        <x:v>0</x:v>
      </x:c>
      <x:c r="O1601" s="22" t="n">
        <x:f>L1601*M1601</x:f>
        <x:v>8280</x:v>
      </x:c>
      <x:c r="P1601" s="22" t="n">
        <x:f>O1601*(1-N1601)</x:f>
        <x:v>8280</x:v>
      </x:c>
      <x:c r="Q1601" s="22" t="n">
        <x:v>205</x:v>
      </x:c>
      <x:c r="R1601" s="22" t="n">
        <x:f>Q1601*M1601</x:f>
        <x:v>7380</x:v>
      </x:c>
      <x:c r="S1601" s="22" t="n">
        <x:f>P1601-R1601</x:f>
        <x:v>900</x:v>
      </x:c>
      <x:c r="T1601" t="str">
        <x:v>Credit</x:v>
      </x:c>
      <x:c r="U1601" t="str">
        <x:v>Paid</x:v>
      </x:c>
      <x:c r="V1601" t="str">
        <x:v>Delivered</x:v>
      </x:c>
      <x:c r="W1601" t="n">
        <x:v>0</x:v>
      </x:c>
      <x:c r="X1601" t="str"/>
      <x:c r="Y1601" t="str">
        <x:v>WhatsApp</x:v>
      </x:c>
    </x:row>
    <x:row r="1602">
      <x:c r="A1602" t="str">
        <x:v>O001601</x:v>
      </x:c>
      <x:c r="B1602" s="20" t="n">
        <x:v>46277</x:v>
      </x:c>
      <x:c r="C1602" t="str">
        <x:v>C0164</x:v>
      </x:c>
      <x:c r="D1602" t="str">
        <x:v>Sri Hotel 164</x:v>
      </x:c>
      <x:c r="E1602" t="str">
        <x:v>Kirana</x:v>
      </x:c>
      <x:c r="F1602" t="str">
        <x:v>Mysuru</x:v>
      </x:c>
      <x:c r="G1602" t="str">
        <x:v>Vikram</x:v>
      </x:c>
      <x:c r="H1602" t="str">
        <x:v>P003</x:v>
      </x:c>
      <x:c r="I1602" t="str">
        <x:v>Basmati Rice 5kg</x:v>
      </x:c>
      <x:c r="J1602" t="str">
        <x:v>Staples</x:v>
      </x:c>
      <x:c r="K1602" t="str">
        <x:v>India Gate</x:v>
      </x:c>
      <x:c r="L1602" s="22" t="n">
        <x:v>690</x:v>
      </x:c>
      <x:c r="M1602" t="n">
        <x:v>27</x:v>
      </x:c>
      <x:c r="N1602" s="24" t="n">
        <x:v>0.05</x:v>
      </x:c>
      <x:c r="O1602" s="22" t="n">
        <x:f>L1602*M1602</x:f>
        <x:v>18630</x:v>
      </x:c>
      <x:c r="P1602" s="22" t="n">
        <x:f>O1602*(1-N1602)</x:f>
        <x:v>17698.5</x:v>
      </x:c>
      <x:c r="Q1602" s="22" t="n">
        <x:v>610</x:v>
      </x:c>
      <x:c r="R1602" s="22" t="n">
        <x:f>Q1602*M1602</x:f>
        <x:v>16470</x:v>
      </x:c>
      <x:c r="S1602" s="22" t="n">
        <x:f>P1602-R1602</x:f>
        <x:v>1228.5</x:v>
      </x:c>
      <x:c r="T1602" t="str">
        <x:v>Cash</x:v>
      </x:c>
      <x:c r="U1602" t="str">
        <x:v>Pending</x:v>
      </x:c>
      <x:c r="V1602" t="str">
        <x:v>Delivered</x:v>
      </x:c>
      <x:c r="W1602" t="n">
        <x:v>0</x:v>
      </x:c>
      <x:c r="X1602" t="str"/>
      <x:c r="Y1602" t="str">
        <x:v>Referral</x:v>
      </x:c>
    </x:row>
    <x:row r="1603">
      <x:c r="A1603" t="str">
        <x:v>O001602</x:v>
      </x:c>
      <x:c r="B1603" s="20" t="n">
        <x:v>46097</x:v>
      </x:c>
      <x:c r="C1603" t="str">
        <x:v>C0240</x:v>
      </x:c>
      <x:c r="D1603" t="str">
        <x:v>Green Foods 240</x:v>
      </x:c>
      <x:c r="E1603" t="str">
        <x:v>Restaurant</x:v>
      </x:c>
      <x:c r="F1603" t="str">
        <x:v>Davanagere</x:v>
      </x:c>
      <x:c r="G1603" t="str">
        <x:v>Vikram</x:v>
      </x:c>
      <x:c r="H1603" t="str">
        <x:v>P040</x:v>
      </x:c>
      <x:c r="I1603" t="str">
        <x:v>Bread Loaf 400g</x:v>
      </x:c>
      <x:c r="J1603" t="str">
        <x:v>Bakery</x:v>
      </x:c>
      <x:c r="K1603" t="str">
        <x:v>Britannia</x:v>
      </x:c>
      <x:c r="L1603" s="22" t="n">
        <x:v>45</x:v>
      </x:c>
      <x:c r="M1603" t="n">
        <x:v>2</x:v>
      </x:c>
      <x:c r="N1603" s="24" t="n">
        <x:v>0.02</x:v>
      </x:c>
      <x:c r="O1603" s="22" t="n">
        <x:f>L1603*M1603</x:f>
        <x:v>90</x:v>
      </x:c>
      <x:c r="P1603" s="22" t="n">
        <x:f>O1603*(1-N1603)</x:f>
        <x:v>88.2</x:v>
      </x:c>
      <x:c r="Q1603" s="22" t="n">
        <x:v>35</x:v>
      </x:c>
      <x:c r="R1603" s="22" t="n">
        <x:f>Q1603*M1603</x:f>
        <x:v>70</x:v>
      </x:c>
      <x:c r="S1603" s="22" t="n">
        <x:f>P1603-R1603</x:f>
        <x:v>18.200000000000003</x:v>
      </x:c>
      <x:c r="T1603" t="str">
        <x:v>Cash</x:v>
      </x:c>
      <x:c r="U1603" t="str">
        <x:v>Paid</x:v>
      </x:c>
      <x:c r="V1603" t="str">
        <x:v>Delivered</x:v>
      </x:c>
      <x:c r="W1603" t="n">
        <x:v>2</x:v>
      </x:c>
      <x:c r="X1603" t="str">
        <x:v>Damaged</x:v>
      </x:c>
      <x:c r="Y1603" t="str">
        <x:v>WhatsApp</x:v>
      </x:c>
    </x:row>
    <x:row r="1604">
      <x:c r="A1604" t="str">
        <x:v>O001603</x:v>
      </x:c>
      <x:c r="B1604" s="20" t="n">
        <x:v>46251</x:v>
      </x:c>
      <x:c r="C1604" t="str">
        <x:v>C0239</x:v>
      </x:c>
      <x:c r="D1604" t="str">
        <x:v>Royal Hotel 239</x:v>
      </x:c>
      <x:c r="E1604" t="str">
        <x:v>Restaurant</x:v>
      </x:c>
      <x:c r="F1604" t="str">
        <x:v>Hubballi</x:v>
      </x:c>
      <x:c r="G1604" t="str">
        <x:v>Priya</x:v>
      </x:c>
      <x:c r="H1604" t="str">
        <x:v>P023</x:v>
      </x:c>
      <x:c r="I1604" t="str">
        <x:v>Cola 750ml</x:v>
      </x:c>
      <x:c r="J1604" t="str">
        <x:v>Beverage</x:v>
      </x:c>
      <x:c r="K1604" t="str">
        <x:v>Coca-Cola</x:v>
      </x:c>
      <x:c r="L1604" s="22" t="n">
        <x:v>38</x:v>
      </x:c>
      <x:c r="M1604" t="n">
        <x:v>16</x:v>
      </x:c>
      <x:c r="N1604" s="24" t="n">
        <x:v>0.05</x:v>
      </x:c>
      <x:c r="O1604" s="22" t="n">
        <x:f>L1604*M1604</x:f>
        <x:v>608</x:v>
      </x:c>
      <x:c r="P1604" s="22" t="n">
        <x:f>O1604*(1-N1604)</x:f>
        <x:v>577.6</x:v>
      </x:c>
      <x:c r="Q1604" s="22" t="n">
        <x:v>31</x:v>
      </x:c>
      <x:c r="R1604" s="22" t="n">
        <x:f>Q1604*M1604</x:f>
        <x:v>496</x:v>
      </x:c>
      <x:c r="S1604" s="22" t="n">
        <x:f>P1604-R1604</x:f>
        <x:v>81.60000000000002</x:v>
      </x:c>
      <x:c r="T1604" t="str">
        <x:v>Credit</x:v>
      </x:c>
      <x:c r="U1604" t="str">
        <x:v>Paid</x:v>
      </x:c>
      <x:c r="V1604" t="str">
        <x:v>Delayed</x:v>
      </x:c>
      <x:c r="W1604" t="n">
        <x:v>0</x:v>
      </x:c>
      <x:c r="X1604" t="str"/>
      <x:c r="Y1604" t="str"/>
    </x:row>
    <x:row r="1605">
      <x:c r="A1605" t="str">
        <x:v>O001604</x:v>
      </x:c>
      <x:c r="B1605" s="20" t="n">
        <x:v>45885</x:v>
      </x:c>
      <x:c r="C1605" t="str">
        <x:v>C0248</x:v>
      </x:c>
      <x:c r="D1605" t="str">
        <x:v>Royal Restaurant 248</x:v>
      </x:c>
      <x:c r="E1605" t="str">
        <x:v>Canteen</x:v>
      </x:c>
      <x:c r="F1605" t="str">
        <x:v>Mysuru</x:v>
      </x:c>
      <x:c r="G1605" t="str">
        <x:v>Priya</x:v>
      </x:c>
      <x:c r="H1605" t="str">
        <x:v>P037</x:v>
      </x:c>
      <x:c r="I1605" t="str">
        <x:v>Frozen Peas 1kg</x:v>
      </x:c>
      <x:c r="J1605" t="str">
        <x:v>Frozen</x:v>
      </x:c>
      <x:c r="K1605" t="str">
        <x:v>Safal</x:v>
      </x:c>
      <x:c r="L1605" s="22" t="n">
        <x:v>155</x:v>
      </x:c>
      <x:c r="M1605" t="n">
        <x:v>18</x:v>
      </x:c>
      <x:c r="N1605" s="24" t="n">
        <x:v>0.03</x:v>
      </x:c>
      <x:c r="O1605" s="22" t="n">
        <x:f>L1605*M1605</x:f>
        <x:v>2790</x:v>
      </x:c>
      <x:c r="P1605" s="22" t="n">
        <x:f>O1605*(1-N1605)</x:f>
        <x:v>2706.2999999999997</x:v>
      </x:c>
      <x:c r="Q1605" s="22" t="n">
        <x:v>138</x:v>
      </x:c>
      <x:c r="R1605" s="22" t="n">
        <x:f>Q1605*M1605</x:f>
        <x:v>2484</x:v>
      </x:c>
      <x:c r="S1605" s="22" t="n">
        <x:f>P1605-R1605</x:f>
        <x:v>222.29999999999973</x:v>
      </x:c>
      <x:c r="T1605" t="str">
        <x:v>Bank Transfer</x:v>
      </x:c>
      <x:c r="U1605" t="str">
        <x:v>Paid</x:v>
      </x:c>
      <x:c r="V1605" t="str">
        <x:v>Delivered</x:v>
      </x:c>
      <x:c r="W1605" t="n">
        <x:v>0</x:v>
      </x:c>
      <x:c r="X1605" t="str"/>
      <x:c r="Y1605" t="str">
        <x:v>Field Visit</x:v>
      </x:c>
    </x:row>
    <x:row r="1606">
      <x:c r="A1606" t="str">
        <x:v>O001605</x:v>
      </x:c>
      <x:c r="B1606" s="20" t="n">
        <x:v>46197</x:v>
      </x:c>
      <x:c r="C1606" t="str">
        <x:v>C0039</x:v>
      </x:c>
      <x:c r="D1606" t="str">
        <x:v>Sagar Cafe 39</x:v>
      </x:c>
      <x:c r="E1606" t="str">
        <x:v>Restaurant</x:v>
      </x:c>
      <x:c r="F1606" t="str">
        <x:v>Hubballi</x:v>
      </x:c>
      <x:c r="G1606" t="str">
        <x:v>Imran</x:v>
      </x:c>
      <x:c r="H1606" t="str">
        <x:v>P049</x:v>
      </x:c>
      <x:c r="I1606" t="str">
        <x:v>Apple 10kg</x:v>
      </x:c>
      <x:c r="J1606" t="str">
        <x:v>Fresh Produce</x:v>
      </x:c>
      <x:c r="K1606" t="str">
        <x:v>Local Market</x:v>
      </x:c>
      <x:c r="L1606" s="22" t="n">
        <x:v>1450</x:v>
      </x:c>
      <x:c r="M1606" t="n">
        <x:v>10</x:v>
      </x:c>
      <x:c r="N1606" s="24" t="n">
        <x:v>0.03</x:v>
      </x:c>
      <x:c r="O1606" s="22" t="n">
        <x:f>L1606*M1606</x:f>
        <x:v>14500</x:v>
      </x:c>
      <x:c r="P1606" s="22" t="n">
        <x:f>O1606*(1-N1606)</x:f>
        <x:v>14065</x:v>
      </x:c>
      <x:c r="Q1606" s="22" t="n">
        <x:v>1280</x:v>
      </x:c>
      <x:c r="R1606" s="22" t="n">
        <x:f>Q1606*M1606</x:f>
        <x:v>12800</x:v>
      </x:c>
      <x:c r="S1606" s="22" t="n">
        <x:f>P1606-R1606</x:f>
        <x:v>1265</x:v>
      </x:c>
      <x:c r="T1606" t="str">
        <x:v>Credit</x:v>
      </x:c>
      <x:c r="U1606" t="str">
        <x:v>Paid</x:v>
      </x:c>
      <x:c r="V1606" t="str">
        <x:v>Delivered</x:v>
      </x:c>
      <x:c r="W1606" t="n">
        <x:v>0</x:v>
      </x:c>
      <x:c r="X1606" t="str"/>
      <x:c r="Y1606" t="str">
        <x:v>Outbound Call</x:v>
      </x:c>
    </x:row>
    <x:row r="1607">
      <x:c r="A1607" t="str">
        <x:v>O001606</x:v>
      </x:c>
      <x:c r="B1607" s="20" t="n">
        <x:v>46258</x:v>
      </x:c>
      <x:c r="C1607" t="str">
        <x:v>C0213</x:v>
      </x:c>
      <x:c r="D1607" t="str">
        <x:v>Shree Cafe 213</x:v>
      </x:c>
      <x:c r="E1607" t="str">
        <x:v>Cafe</x:v>
      </x:c>
      <x:c r="F1607" t="str">
        <x:v>Tumakuru</x:v>
      </x:c>
      <x:c r="G1607" t="str">
        <x:v>Imran</x:v>
      </x:c>
      <x:c r="H1607" t="str">
        <x:v>P008</x:v>
      </x:c>
      <x:c r="I1607" t="str">
        <x:v>Palm Oil 15L</x:v>
      </x:c>
      <x:c r="J1607" t="str">
        <x:v>Edible Oil</x:v>
      </x:c>
      <x:c r="K1607" t="str">
        <x:v>Ruchi Gold</x:v>
      </x:c>
      <x:c r="L1607" s="22" t="n">
        <x:v>1760</x:v>
      </x:c>
      <x:c r="M1607" t="n">
        <x:v>6</x:v>
      </x:c>
      <x:c r="N1607" s="24" t="n">
        <x:v>0.05</x:v>
      </x:c>
      <x:c r="O1607" s="22" t="n">
        <x:f>L1607*M1607</x:f>
        <x:v>10560</x:v>
      </x:c>
      <x:c r="P1607" s="22" t="n">
        <x:f>O1607*(1-N1607)</x:f>
        <x:v>10032</x:v>
      </x:c>
      <x:c r="Q1607" s="22" t="n">
        <x:v>1610</x:v>
      </x:c>
      <x:c r="R1607" s="22" t="n">
        <x:f>Q1607*M1607</x:f>
        <x:v>9660</x:v>
      </x:c>
      <x:c r="S1607" s="22" t="n">
        <x:f>P1607-R1607</x:f>
        <x:v>372</x:v>
      </x:c>
      <x:c r="T1607" t="str">
        <x:v>Bank Transfer</x:v>
      </x:c>
      <x:c r="U1607" t="str">
        <x:v>Overdue</x:v>
      </x:c>
      <x:c r="V1607" t="str">
        <x:v>Delivered</x:v>
      </x:c>
      <x:c r="W1607" t="n">
        <x:v>0</x:v>
      </x:c>
      <x:c r="X1607" t="str"/>
      <x:c r="Y1607" t="str">
        <x:v>Outbound Call</x:v>
      </x:c>
    </x:row>
    <x:row r="1608">
      <x:c r="A1608" t="str">
        <x:v>O001607</x:v>
      </x:c>
      <x:c r="B1608" s="20" t="n">
        <x:v>46075</x:v>
      </x:c>
      <x:c r="C1608" t="str">
        <x:v>C0122</x:v>
      </x:c>
      <x:c r="D1608" t="str">
        <x:v>Namma Restaurant 122</x:v>
      </x:c>
      <x:c r="E1608" t="str">
        <x:v>Kirana</x:v>
      </x:c>
      <x:c r="F1608" t="str">
        <x:v>Hubballi</x:v>
      </x:c>
      <x:c r="G1608" t="str">
        <x:v>Sneha</x:v>
      </x:c>
      <x:c r="H1608" t="str">
        <x:v>P047</x:v>
      </x:c>
      <x:c r="I1608" t="str">
        <x:v>Tomato 25kg</x:v>
      </x:c>
      <x:c r="J1608" t="str">
        <x:v>Fresh Produce</x:v>
      </x:c>
      <x:c r="K1608" t="str">
        <x:v>Local Market</x:v>
      </x:c>
      <x:c r="L1608" s="22" t="n">
        <x:v>950</x:v>
      </x:c>
      <x:c r="M1608" t="n">
        <x:v>1</x:v>
      </x:c>
      <x:c r="N1608" s="24" t="n">
        <x:v>0.02</x:v>
      </x:c>
      <x:c r="O1608" s="22" t="n">
        <x:f>L1608*M1608</x:f>
        <x:v>950</x:v>
      </x:c>
      <x:c r="P1608" s="22" t="n">
        <x:f>O1608*(1-N1608)</x:f>
        <x:v>931</x:v>
      </x:c>
      <x:c r="Q1608" s="22" t="n">
        <x:v>810</x:v>
      </x:c>
      <x:c r="R1608" s="22" t="n">
        <x:f>Q1608*M1608</x:f>
        <x:v>810</x:v>
      </x:c>
      <x:c r="S1608" s="22" t="n">
        <x:f>P1608-R1608</x:f>
        <x:v>121</x:v>
      </x:c>
      <x:c r="T1608" t="str">
        <x:v>Bank Transfer</x:v>
      </x:c>
      <x:c r="U1608" t="str">
        <x:v>Paid</x:v>
      </x:c>
      <x:c r="V1608" t="str">
        <x:v>Delivered</x:v>
      </x:c>
      <x:c r="W1608" t="n">
        <x:v>0</x:v>
      </x:c>
      <x:c r="X1608" t="str"/>
      <x:c r="Y1608" t="str">
        <x:v>Existing Customer</x:v>
      </x:c>
    </x:row>
    <x:row r="1609">
      <x:c r="A1609" t="str">
        <x:v>O001608</x:v>
      </x:c>
      <x:c r="B1609" s="20" t="n">
        <x:v>45680</x:v>
      </x:c>
      <x:c r="C1609" t="str">
        <x:v>C0086</x:v>
      </x:c>
      <x:c r="D1609" t="str">
        <x:v>Foodie Canteen 86</x:v>
      </x:c>
      <x:c r="E1609" t="str">
        <x:v>Kirana</x:v>
      </x:c>
      <x:c r="F1609" t="str">
        <x:v>Hubballi</x:v>
      </x:c>
      <x:c r="G1609" t="str">
        <x:v>Sneha</x:v>
      </x:c>
      <x:c r="H1609" t="str">
        <x:v>P050</x:v>
      </x:c>
      <x:c r="I1609" t="str">
        <x:v>Lemon 5kg</x:v>
      </x:c>
      <x:c r="J1609" t="str">
        <x:v>Fresh Produce</x:v>
      </x:c>
      <x:c r="K1609" t="str">
        <x:v>Local Market</x:v>
      </x:c>
      <x:c r="L1609" s="22" t="n">
        <x:v>360</x:v>
      </x:c>
      <x:c r="M1609" t="n">
        <x:v>11</x:v>
      </x:c>
      <x:c r="N1609" s="24" t="n">
        <x:v>0.02</x:v>
      </x:c>
      <x:c r="O1609" s="22" t="n">
        <x:f>L1609*M1609</x:f>
        <x:v>3960</x:v>
      </x:c>
      <x:c r="P1609" s="22" t="n">
        <x:f>O1609*(1-N1609)</x:f>
        <x:v>3880.7999999999997</x:v>
      </x:c>
      <x:c r="Q1609" s="22" t="n">
        <x:v>300</x:v>
      </x:c>
      <x:c r="R1609" s="22" t="n">
        <x:f>Q1609*M1609</x:f>
        <x:v>3300</x:v>
      </x:c>
      <x:c r="S1609" s="22" t="n">
        <x:f>P1609-R1609</x:f>
        <x:v>580.7999999999997</x:v>
      </x:c>
      <x:c r="T1609" t="str">
        <x:v>Cash</x:v>
      </x:c>
      <x:c r="U1609" t="str">
        <x:v>Pending</x:v>
      </x:c>
      <x:c r="V1609" t="str">
        <x:v>Delivered</x:v>
      </x:c>
      <x:c r="W1609" t="n">
        <x:v>0</x:v>
      </x:c>
      <x:c r="X1609" t="str"/>
      <x:c r="Y1609" t="str">
        <x:v>Outbound Call</x:v>
      </x:c>
    </x:row>
    <x:row r="1610">
      <x:c r="A1610" t="str">
        <x:v>O001609</x:v>
      </x:c>
      <x:c r="B1610" s="20" t="n">
        <x:v>45690</x:v>
      </x:c>
      <x:c r="C1610" t="str">
        <x:v>C0110</x:v>
      </x:c>
      <x:c r="D1610" t="str">
        <x:v>Metro Restaurant 110</x:v>
      </x:c>
      <x:c r="E1610" t="str">
        <x:v>Hotel</x:v>
      </x:c>
      <x:c r="F1610" t="str">
        <x:v>Mysuru</x:v>
      </x:c>
      <x:c r="G1610" t="str">
        <x:v>Imran</x:v>
      </x:c>
      <x:c r="H1610" t="str">
        <x:v>P021</x:v>
      </x:c>
      <x:c r="I1610" t="str">
        <x:v>Instant Coffee 200g</x:v>
      </x:c>
      <x:c r="J1610" t="str">
        <x:v>Beverage</x:v>
      </x:c>
      <x:c r="K1610" t="str">
        <x:v>Nescafe</x:v>
      </x:c>
      <x:c r="L1610" s="22" t="n">
        <x:v>460</x:v>
      </x:c>
      <x:c r="M1610" t="n">
        <x:v>13</x:v>
      </x:c>
      <x:c r="N1610" s="24" t="n">
        <x:v>0.05</x:v>
      </x:c>
      <x:c r="O1610" s="22" t="n">
        <x:f>L1610*M1610</x:f>
        <x:v>5980</x:v>
      </x:c>
      <x:c r="P1610" s="22" t="n">
        <x:f>O1610*(1-N1610)</x:f>
        <x:v>5681</x:v>
      </x:c>
      <x:c r="Q1610" s="22" t="n">
        <x:v>410</x:v>
      </x:c>
      <x:c r="R1610" s="22" t="n">
        <x:f>Q1610*M1610</x:f>
        <x:v>5330</x:v>
      </x:c>
      <x:c r="S1610" s="22" t="n">
        <x:f>P1610-R1610</x:f>
        <x:v>351</x:v>
      </x:c>
      <x:c r="T1610" t="str">
        <x:v>Cash</x:v>
      </x:c>
      <x:c r="U1610" t="str">
        <x:v>Paid</x:v>
      </x:c>
      <x:c r="V1610" t="str">
        <x:v>Delayed</x:v>
      </x:c>
      <x:c r="W1610" t="n">
        <x:v>0</x:v>
      </x:c>
      <x:c r="X1610" t="str"/>
      <x:c r="Y1610" t="str">
        <x:v>WhatsApp</x:v>
      </x:c>
    </x:row>
    <x:row r="1611">
      <x:c r="A1611" t="str">
        <x:v>O001610</x:v>
      </x:c>
      <x:c r="B1611" s="20" t="n">
        <x:v>46153</x:v>
      </x:c>
      <x:c r="C1611" t="str">
        <x:v>C0017</x:v>
      </x:c>
      <x:c r="D1611" t="str">
        <x:v>City Foods 17</x:v>
      </x:c>
      <x:c r="E1611" t="str">
        <x:v>Restaurant</x:v>
      </x:c>
      <x:c r="F1611" t="str">
        <x:v>Tumakuru</x:v>
      </x:c>
      <x:c r="G1611" t="str">
        <x:v>Imran</x:v>
      </x:c>
      <x:c r="H1611" t="str">
        <x:v>P031</x:v>
      </x:c>
      <x:c r="I1611" t="str">
        <x:v>Chilli Sauce 700g</x:v>
      </x:c>
      <x:c r="J1611" t="str">
        <x:v>Condiments</x:v>
      </x:c>
      <x:c r="K1611" t="str">
        <x:v>Ching's</x:v>
      </x:c>
      <x:c r="L1611" s="22" t="n">
        <x:v>130</x:v>
      </x:c>
      <x:c r="M1611" t="n">
        <x:v>5</x:v>
      </x:c>
      <x:c r="N1611" s="24" t="n">
        <x:v>0.05</x:v>
      </x:c>
      <x:c r="O1611" s="22" t="n">
        <x:f>L1611*M1611</x:f>
        <x:v>650</x:v>
      </x:c>
      <x:c r="P1611" s="22" t="n">
        <x:f>O1611*(1-N1611)</x:f>
        <x:v>617.5</x:v>
      </x:c>
      <x:c r="Q1611" s="22" t="n">
        <x:v>112</x:v>
      </x:c>
      <x:c r="R1611" s="22" t="n">
        <x:f>Q1611*M1611</x:f>
        <x:v>560</x:v>
      </x:c>
      <x:c r="S1611" s="22" t="n">
        <x:f>P1611-R1611</x:f>
        <x:v>57.5</x:v>
      </x:c>
      <x:c r="T1611" t="str">
        <x:v>Bank Transfer</x:v>
      </x:c>
      <x:c r="U1611" t="str">
        <x:v>Paid</x:v>
      </x:c>
      <x:c r="V1611" t="str">
        <x:v>Delayed</x:v>
      </x:c>
      <x:c r="W1611" t="n">
        <x:v>0</x:v>
      </x:c>
      <x:c r="X1611" t="str"/>
      <x:c r="Y1611" t="str">
        <x:v>Existing Customer</x:v>
      </x:c>
    </x:row>
    <x:row r="1612">
      <x:c r="A1612" t="str">
        <x:v>O001611</x:v>
      </x:c>
      <x:c r="B1612" s="20" t="n">
        <x:v>45700</x:v>
      </x:c>
      <x:c r="C1612" t="str">
        <x:v>C0140</x:v>
      </x:c>
      <x:c r="D1612" t="str">
        <x:v>Fresh Hotel 140</x:v>
      </x:c>
      <x:c r="E1612" t="str">
        <x:v>Kirana</x:v>
      </x:c>
      <x:c r="F1612" t="str">
        <x:v>Tumakuru</x:v>
      </x:c>
      <x:c r="G1612" t="str">
        <x:v>Imran</x:v>
      </x:c>
      <x:c r="H1612" t="str">
        <x:v>P041</x:v>
      </x:c>
      <x:c r="I1612" t="str">
        <x:v>Burger Bun 6pc</x:v>
      </x:c>
      <x:c r="J1612" t="str">
        <x:v>Bakery</x:v>
      </x:c>
      <x:c r="K1612" t="str">
        <x:v>Modern</x:v>
      </x:c>
      <x:c r="L1612" s="22" t="n">
        <x:v>42</x:v>
      </x:c>
      <x:c r="M1612" t="n">
        <x:v>35</x:v>
      </x:c>
      <x:c r="N1612" s="24" t="n">
        <x:v>0.03</x:v>
      </x:c>
      <x:c r="O1612" s="22" t="n">
        <x:f>L1612*M1612</x:f>
        <x:v>1470</x:v>
      </x:c>
      <x:c r="P1612" s="22" t="n">
        <x:f>O1612*(1-N1612)</x:f>
        <x:v>1425.8999999999999</x:v>
      </x:c>
      <x:c r="Q1612" s="22" t="n">
        <x:v>32</x:v>
      </x:c>
      <x:c r="R1612" s="22" t="n">
        <x:f>Q1612*M1612</x:f>
        <x:v>1120</x:v>
      </x:c>
      <x:c r="S1612" s="22" t="n">
        <x:f>P1612-R1612</x:f>
        <x:v>305.89999999999986</x:v>
      </x:c>
      <x:c r="T1612" t="str">
        <x:v>UPI</x:v>
      </x:c>
      <x:c r="U1612" t="str">
        <x:v>Pending</x:v>
      </x:c>
      <x:c r="V1612" t="str">
        <x:v>Delivered</x:v>
      </x:c>
      <x:c r="W1612" t="n">
        <x:v>0</x:v>
      </x:c>
      <x:c r="X1612" t="str"/>
      <x:c r="Y1612" t="str">
        <x:v>Referral</x:v>
      </x:c>
    </x:row>
    <x:row r="1613">
      <x:c r="A1613" t="str">
        <x:v>O001612</x:v>
      </x:c>
      <x:c r="B1613" s="20" t="n">
        <x:v>45935</x:v>
      </x:c>
      <x:c r="C1613" t="str">
        <x:v>C0021</x:v>
      </x:c>
      <x:c r="D1613" t="str">
        <x:v>Namma Cafe 21</x:v>
      </x:c>
      <x:c r="E1613" t="str">
        <x:v>Canteen</x:v>
      </x:c>
      <x:c r="F1613" t="str">
        <x:v>Bengaluru</x:v>
      </x:c>
      <x:c r="G1613" t="str">
        <x:v>Kavya</x:v>
      </x:c>
      <x:c r="H1613" t="str">
        <x:v>P029</x:v>
      </x:c>
      <x:c r="I1613" t="str">
        <x:v>Tomato Ketchup 1kg</x:v>
      </x:c>
      <x:c r="J1613" t="str">
        <x:v>Condiments</x:v>
      </x:c>
      <x:c r="K1613" t="str">
        <x:v>Kissan</x:v>
      </x:c>
      <x:c r="L1613" s="22" t="n">
        <x:v>145</x:v>
      </x:c>
      <x:c r="M1613" t="n">
        <x:v>27</x:v>
      </x:c>
      <x:c r="N1613" s="24" t="n">
        <x:v>0.03</x:v>
      </x:c>
      <x:c r="O1613" s="22" t="n">
        <x:f>L1613*M1613</x:f>
        <x:v>3915</x:v>
      </x:c>
      <x:c r="P1613" s="22" t="n">
        <x:f>O1613*(1-N1613)</x:f>
        <x:v>3797.5499999999997</x:v>
      </x:c>
      <x:c r="Q1613" s="22" t="n">
        <x:v>126</x:v>
      </x:c>
      <x:c r="R1613" s="22" t="n">
        <x:f>Q1613*M1613</x:f>
        <x:v>3402</x:v>
      </x:c>
      <x:c r="S1613" s="22" t="n">
        <x:f>P1613-R1613</x:f>
        <x:v>395.5499999999997</x:v>
      </x:c>
      <x:c r="T1613" t="str">
        <x:v>UPI</x:v>
      </x:c>
      <x:c r="U1613" t="str">
        <x:v>Pending</x:v>
      </x:c>
      <x:c r="V1613" t="str">
        <x:v>Delivered</x:v>
      </x:c>
      <x:c r="W1613" t="n">
        <x:v>0</x:v>
      </x:c>
      <x:c r="X1613" t="str"/>
      <x:c r="Y1613" t="str">
        <x:v>WhatsApp</x:v>
      </x:c>
    </x:row>
    <x:row r="1614">
      <x:c r="A1614" t="str">
        <x:v>O001613</x:v>
      </x:c>
      <x:c r="B1614" s="20" t="n">
        <x:v>46217</x:v>
      </x:c>
      <x:c r="C1614" t="str">
        <x:v>C0243</x:v>
      </x:c>
      <x:c r="D1614" t="str">
        <x:v>Metro Kitchen 243</x:v>
      </x:c>
      <x:c r="E1614" t="str">
        <x:v>Restaurant</x:v>
      </x:c>
      <x:c r="F1614" t="str">
        <x:v>Mangaluru</x:v>
      </x:c>
      <x:c r="G1614" t="str">
        <x:v>Kavya</x:v>
      </x:c>
      <x:c r="H1614" t="str">
        <x:v>P017</x:v>
      </x:c>
      <x:c r="I1614" t="str">
        <x:v>Butter 500g</x:v>
      </x:c>
      <x:c r="J1614" t="str">
        <x:v>Dairy</x:v>
      </x:c>
      <x:c r="K1614" t="str">
        <x:v>Amul</x:v>
      </x:c>
      <x:c r="L1614" s="22" t="n">
        <x:v>285</x:v>
      </x:c>
      <x:c r="M1614" t="n">
        <x:v>28</x:v>
      </x:c>
      <x:c r="N1614" s="24" t="n">
        <x:v>0.05</x:v>
      </x:c>
      <x:c r="O1614" s="22" t="n">
        <x:f>L1614*M1614</x:f>
        <x:v>7980</x:v>
      </x:c>
      <x:c r="P1614" s="22" t="n">
        <x:f>O1614*(1-N1614)</x:f>
        <x:v>7581</x:v>
      </x:c>
      <x:c r="Q1614" s="22" t="n">
        <x:v>258</x:v>
      </x:c>
      <x:c r="R1614" s="22" t="n">
        <x:f>Q1614*M1614</x:f>
        <x:v>7224</x:v>
      </x:c>
      <x:c r="S1614" s="22" t="n">
        <x:f>P1614-R1614</x:f>
        <x:v>357</x:v>
      </x:c>
      <x:c r="T1614" t="str">
        <x:v>Bank Transfer</x:v>
      </x:c>
      <x:c r="U1614" t="str">
        <x:v>Paid</x:v>
      </x:c>
      <x:c r="V1614" t="str">
        <x:v>Delayed</x:v>
      </x:c>
      <x:c r="W1614" t="n">
        <x:v>0</x:v>
      </x:c>
      <x:c r="X1614" t="str"/>
      <x:c r="Y1614" t="str">
        <x:v>WhatsApp</x:v>
      </x:c>
    </x:row>
    <x:row r="1615">
      <x:c r="A1615" t="str">
        <x:v>O001614</x:v>
      </x:c>
      <x:c r="B1615" s="20" t="n">
        <x:v>45977</x:v>
      </x:c>
      <x:c r="C1615" t="str">
        <x:v>C0141</x:v>
      </x:c>
      <x:c r="D1615" t="str">
        <x:v>Sri Restaurant 141</x:v>
      </x:c>
      <x:c r="E1615" t="str">
        <x:v>Restaurant</x:v>
      </x:c>
      <x:c r="F1615" t="str">
        <x:v>Mangaluru</x:v>
      </x:c>
      <x:c r="G1615" t="str">
        <x:v>Ramesh</x:v>
      </x:c>
      <x:c r="H1615" t="str">
        <x:v>P029</x:v>
      </x:c>
      <x:c r="I1615" t="str">
        <x:v>Tomato Ketchup 1kg</x:v>
      </x:c>
      <x:c r="J1615" t="str">
        <x:v>Condiments</x:v>
      </x:c>
      <x:c r="K1615" t="str">
        <x:v>Kissan</x:v>
      </x:c>
      <x:c r="L1615" s="22" t="n">
        <x:v>145</x:v>
      </x:c>
      <x:c r="M1615" t="n">
        <x:v>33</x:v>
      </x:c>
      <x:c r="N1615" s="24" t="n">
        <x:v>0.02</x:v>
      </x:c>
      <x:c r="O1615" s="22" t="n">
        <x:f>L1615*M1615</x:f>
        <x:v>4785</x:v>
      </x:c>
      <x:c r="P1615" s="22" t="n">
        <x:f>O1615*(1-N1615)</x:f>
        <x:v>4689.3</x:v>
      </x:c>
      <x:c r="Q1615" s="22" t="n">
        <x:v>126</x:v>
      </x:c>
      <x:c r="R1615" s="22" t="n">
        <x:f>Q1615*M1615</x:f>
        <x:v>4158</x:v>
      </x:c>
      <x:c r="S1615" s="22" t="n">
        <x:f>P1615-R1615</x:f>
        <x:v>531.3000000000002</x:v>
      </x:c>
      <x:c r="T1615" t="str">
        <x:v>Cash</x:v>
      </x:c>
      <x:c r="U1615" t="str">
        <x:v>Paid</x:v>
      </x:c>
      <x:c r="V1615" t="str">
        <x:v>Delivered</x:v>
      </x:c>
      <x:c r="W1615" t="n">
        <x:v>0</x:v>
      </x:c>
      <x:c r="X1615" t="str"/>
      <x:c r="Y1615" t="str">
        <x:v>Existing Customer</x:v>
      </x:c>
    </x:row>
    <x:row r="1616">
      <x:c r="A1616" t="str">
        <x:v>O001615</x:v>
      </x:c>
      <x:c r="B1616" s="20" t="n">
        <x:v>45708</x:v>
      </x:c>
      <x:c r="C1616" t="str">
        <x:v>C0081</x:v>
      </x:c>
      <x:c r="D1616" t="str">
        <x:v>Foodie Mart 81</x:v>
      </x:c>
      <x:c r="E1616" t="str">
        <x:v>Supermarket</x:v>
      </x:c>
      <x:c r="F1616" t="str">
        <x:v>Hubballi</x:v>
      </x:c>
      <x:c r="G1616" t="str">
        <x:v>Kavya</x:v>
      </x:c>
      <x:c r="H1616" t="str">
        <x:v>P043</x:v>
      </x:c>
      <x:c r="I1616" t="str">
        <x:v>Chicken Breast 1kg</x:v>
      </x:c>
      <x:c r="J1616" t="str">
        <x:v>Protein</x:v>
      </x:c>
      <x:c r="K1616" t="str">
        <x:v>FreshToHome</x:v>
      </x:c>
      <x:c r="L1616" s="22" t="n">
        <x:v>260</x:v>
      </x:c>
      <x:c r="M1616" t="n">
        <x:v>8</x:v>
      </x:c>
      <x:c r="N1616" s="24" t="n">
        <x:v>0</x:v>
      </x:c>
      <x:c r="O1616" s="22" t="n">
        <x:f>L1616*M1616</x:f>
        <x:v>2080</x:v>
      </x:c>
      <x:c r="P1616" s="22" t="n">
        <x:f>O1616*(1-N1616)</x:f>
        <x:v>2080</x:v>
      </x:c>
      <x:c r="Q1616" s="22" t="n">
        <x:v>235</x:v>
      </x:c>
      <x:c r="R1616" s="22" t="n">
        <x:f>Q1616*M1616</x:f>
        <x:v>1880</x:v>
      </x:c>
      <x:c r="S1616" s="22" t="n">
        <x:f>P1616-R1616</x:f>
        <x:v>200</x:v>
      </x:c>
      <x:c r="T1616" t="str">
        <x:v>Bank Transfer</x:v>
      </x:c>
      <x:c r="U1616" t="str">
        <x:v>Pending</x:v>
      </x:c>
      <x:c r="V1616" t="str">
        <x:v>Cancelled</x:v>
      </x:c>
      <x:c r="W1616" t="n">
        <x:v>8</x:v>
      </x:c>
      <x:c r="X1616" t="str">
        <x:v>Cancelled Order</x:v>
      </x:c>
      <x:c r="Y1616" t="str">
        <x:v>Referral</x:v>
      </x:c>
    </x:row>
    <x:row r="1617">
      <x:c r="A1617" t="str">
        <x:v>O001616</x:v>
      </x:c>
      <x:c r="B1617" s="20" t="n">
        <x:v>46147</x:v>
      </x:c>
      <x:c r="C1617" t="str">
        <x:v>C0176</x:v>
      </x:c>
      <x:c r="D1617" t="str">
        <x:v>Cafe Kitchen 176</x:v>
      </x:c>
      <x:c r="E1617" t="str">
        <x:v>Kirana</x:v>
      </x:c>
      <x:c r="F1617" t="str">
        <x:v>Mysuru</x:v>
      </x:c>
      <x:c r="G1617" t="str">
        <x:v>Priya</x:v>
      </x:c>
      <x:c r="H1617" t="str">
        <x:v>P050</x:v>
      </x:c>
      <x:c r="I1617" t="str">
        <x:v>Lemon 5kg</x:v>
      </x:c>
      <x:c r="J1617" t="str">
        <x:v>Fresh Produce</x:v>
      </x:c>
      <x:c r="K1617" t="str">
        <x:v>Local Market</x:v>
      </x:c>
      <x:c r="L1617" s="22" t="n">
        <x:v>360</x:v>
      </x:c>
      <x:c r="M1617" t="n">
        <x:v>24</x:v>
      </x:c>
      <x:c r="N1617" s="24" t="n">
        <x:v>0</x:v>
      </x:c>
      <x:c r="O1617" s="22" t="n">
        <x:f>L1617*M1617</x:f>
        <x:v>8640</x:v>
      </x:c>
      <x:c r="P1617" s="22" t="n">
        <x:f>O1617*(1-N1617)</x:f>
        <x:v>8640</x:v>
      </x:c>
      <x:c r="Q1617" s="22" t="n">
        <x:v>300</x:v>
      </x:c>
      <x:c r="R1617" s="22" t="n">
        <x:f>Q1617*M1617</x:f>
        <x:v>7200</x:v>
      </x:c>
      <x:c r="S1617" s="22" t="n">
        <x:f>P1617-R1617</x:f>
        <x:v>1440</x:v>
      </x:c>
      <x:c r="T1617" t="str">
        <x:v>Credit</x:v>
      </x:c>
      <x:c r="U1617" t="str">
        <x:v>Pending</x:v>
      </x:c>
      <x:c r="V1617" t="str">
        <x:v>Delivered</x:v>
      </x:c>
      <x:c r="W1617" t="n">
        <x:v>0</x:v>
      </x:c>
      <x:c r="X1617" t="str"/>
      <x:c r="Y1617" t="str">
        <x:v>Outbound Call</x:v>
      </x:c>
    </x:row>
    <x:row r="1618">
      <x:c r="A1618" t="str">
        <x:v>O001617</x:v>
      </x:c>
      <x:c r="B1618" s="20" t="n">
        <x:v>45721</x:v>
      </x:c>
      <x:c r="C1618" t="str">
        <x:v>C0109</x:v>
      </x:c>
      <x:c r="D1618" t="str">
        <x:v>Annapurna Kitchen 109</x:v>
      </x:c>
      <x:c r="E1618" t="str">
        <x:v>Kirana</x:v>
      </x:c>
      <x:c r="F1618" t="str">
        <x:v>Mysuru</x:v>
      </x:c>
      <x:c r="G1618" t="str">
        <x:v>Kavya</x:v>
      </x:c>
      <x:c r="H1618" t="str">
        <x:v>P044</x:v>
      </x:c>
      <x:c r="I1618" t="str">
        <x:v>Chicken Curry Cut 1kg</x:v>
      </x:c>
      <x:c r="J1618" t="str">
        <x:v>Protein</x:v>
      </x:c>
      <x:c r="K1618" t="str">
        <x:v>FreshToHome</x:v>
      </x:c>
      <x:c r="L1618" s="22" t="n">
        <x:v>230</x:v>
      </x:c>
      <x:c r="M1618" t="n">
        <x:v>15</x:v>
      </x:c>
      <x:c r="N1618" s="24" t="n">
        <x:v>0.05</x:v>
      </x:c>
      <x:c r="O1618" s="22" t="n">
        <x:f>L1618*M1618</x:f>
        <x:v>3450</x:v>
      </x:c>
      <x:c r="P1618" s="22" t="n">
        <x:f>O1618*(1-N1618)</x:f>
        <x:v>3277.5</x:v>
      </x:c>
      <x:c r="Q1618" s="22" t="n">
        <x:v>205</x:v>
      </x:c>
      <x:c r="R1618" s="22" t="n">
        <x:f>Q1618*M1618</x:f>
        <x:v>3075</x:v>
      </x:c>
      <x:c r="S1618" s="22" t="n">
        <x:f>P1618-R1618</x:f>
        <x:v>202.5</x:v>
      </x:c>
      <x:c r="T1618" t="str">
        <x:v>Credit</x:v>
      </x:c>
      <x:c r="U1618" t="str">
        <x:v>Paid</x:v>
      </x:c>
      <x:c r="V1618" t="str">
        <x:v>Delivered</x:v>
      </x:c>
      <x:c r="W1618" t="n">
        <x:v>0</x:v>
      </x:c>
      <x:c r="X1618" t="str"/>
      <x:c r="Y1618" t="str">
        <x:v>Referral</x:v>
      </x:c>
    </x:row>
    <x:row r="1619">
      <x:c r="A1619" t="str">
        <x:v>O001618</x:v>
      </x:c>
      <x:c r="B1619" s="20" t="n">
        <x:v>45993</x:v>
      </x:c>
      <x:c r="C1619" t="str">
        <x:v>C0149</x:v>
      </x:c>
      <x:c r="D1619" t="str">
        <x:v>Annapurna Hotel 149</x:v>
      </x:c>
      <x:c r="E1619" t="str">
        <x:v>Cafe</x:v>
      </x:c>
      <x:c r="F1619" t="str">
        <x:v>Tumakuru</x:v>
      </x:c>
      <x:c r="G1619" t="str">
        <x:v>Megha</x:v>
      </x:c>
      <x:c r="H1619" t="str">
        <x:v>P017</x:v>
      </x:c>
      <x:c r="I1619" t="str">
        <x:v>Butter 500g</x:v>
      </x:c>
      <x:c r="J1619" t="str">
        <x:v>Dairy</x:v>
      </x:c>
      <x:c r="K1619" t="str">
        <x:v>Amul</x:v>
      </x:c>
      <x:c r="L1619" s="22" t="n">
        <x:v>285</x:v>
      </x:c>
      <x:c r="M1619" t="n">
        <x:v>24</x:v>
      </x:c>
      <x:c r="N1619" s="24" t="n">
        <x:v>0.03</x:v>
      </x:c>
      <x:c r="O1619" s="22" t="n">
        <x:f>L1619*M1619</x:f>
        <x:v>6840</x:v>
      </x:c>
      <x:c r="P1619" s="22" t="n">
        <x:f>O1619*(1-N1619)</x:f>
        <x:v>6634.8</x:v>
      </x:c>
      <x:c r="Q1619" s="22" t="n">
        <x:v>258</x:v>
      </x:c>
      <x:c r="R1619" s="22" t="n">
        <x:f>Q1619*M1619</x:f>
        <x:v>6192</x:v>
      </x:c>
      <x:c r="S1619" s="22" t="n">
        <x:f>P1619-R1619</x:f>
        <x:v>442.8000000000002</x:v>
      </x:c>
      <x:c r="T1619" t="str">
        <x:v>Credit</x:v>
      </x:c>
      <x:c r="U1619" t="str">
        <x:v>Paid</x:v>
      </x:c>
      <x:c r="V1619" t="str">
        <x:v>Delivered</x:v>
      </x:c>
      <x:c r="W1619" t="n">
        <x:v>3</x:v>
      </x:c>
      <x:c r="X1619" t="str">
        <x:v>Wrong Item</x:v>
      </x:c>
      <x:c r="Y1619" t="str">
        <x:v>Field Visit</x:v>
      </x:c>
    </x:row>
    <x:row r="1620">
      <x:c r="A1620" t="str">
        <x:v>O001619</x:v>
      </x:c>
      <x:c r="B1620" s="20" t="n">
        <x:v>45841</x:v>
      </x:c>
      <x:c r="C1620" t="str">
        <x:v>C0149</x:v>
      </x:c>
      <x:c r="D1620" t="str">
        <x:v>Annapurna Hotel 149</x:v>
      </x:c>
      <x:c r="E1620" t="str">
        <x:v>Cafe</x:v>
      </x:c>
      <x:c r="F1620" t="str">
        <x:v>Tumakuru</x:v>
      </x:c>
      <x:c r="G1620" t="str">
        <x:v>Megha</x:v>
      </x:c>
      <x:c r="H1620" t="str">
        <x:v>P017</x:v>
      </x:c>
      <x:c r="I1620" t="str">
        <x:v>Butter 500g</x:v>
      </x:c>
      <x:c r="J1620" t="str">
        <x:v>Dairy</x:v>
      </x:c>
      <x:c r="K1620" t="str">
        <x:v>Amul</x:v>
      </x:c>
      <x:c r="L1620" s="22" t="n">
        <x:v>285</x:v>
      </x:c>
      <x:c r="M1620" t="n">
        <x:v>4</x:v>
      </x:c>
      <x:c r="N1620" s="24" t="n">
        <x:v>0.02</x:v>
      </x:c>
      <x:c r="O1620" s="22" t="n">
        <x:f>L1620*M1620</x:f>
        <x:v>1140</x:v>
      </x:c>
      <x:c r="P1620" s="22" t="n">
        <x:f>O1620*(1-N1620)</x:f>
        <x:v>1117.2</x:v>
      </x:c>
      <x:c r="Q1620" s="22" t="n">
        <x:v>258</x:v>
      </x:c>
      <x:c r="R1620" s="22" t="n">
        <x:f>Q1620*M1620</x:f>
        <x:v>1032</x:v>
      </x:c>
      <x:c r="S1620" s="22" t="n">
        <x:f>P1620-R1620</x:f>
        <x:v>85.20000000000005</x:v>
      </x:c>
      <x:c r="T1620" t="str">
        <x:v>Credit</x:v>
      </x:c>
      <x:c r="U1620" t="str">
        <x:v>Overdue</x:v>
      </x:c>
      <x:c r="V1620" t="str">
        <x:v>Cancelled</x:v>
      </x:c>
      <x:c r="W1620" t="n">
        <x:v>4</x:v>
      </x:c>
      <x:c r="X1620" t="str">
        <x:v>Cancelled Order</x:v>
      </x:c>
      <x:c r="Y1620" t="str">
        <x:v>Field Visit</x:v>
      </x:c>
    </x:row>
    <x:row r="1621">
      <x:c r="A1621" t="str">
        <x:v>O001620</x:v>
      </x:c>
      <x:c r="B1621" s="20" t="n">
        <x:v>46103</x:v>
      </x:c>
      <x:c r="C1621" t="str">
        <x:v>C0190</x:v>
      </x:c>
      <x:c r="D1621" t="str">
        <x:v>Shree Restaurant 190</x:v>
      </x:c>
      <x:c r="E1621" t="str">
        <x:v>Canteen</x:v>
      </x:c>
      <x:c r="F1621" t="str">
        <x:v>Bengaluru</x:v>
      </x:c>
      <x:c r="G1621" t="str">
        <x:v>Kavya</x:v>
      </x:c>
      <x:c r="H1621" t="str">
        <x:v>P036</x:v>
      </x:c>
      <x:c r="I1621" t="str">
        <x:v>Garam Masala 500g</x:v>
      </x:c>
      <x:c r="J1621" t="str">
        <x:v>Spices</x:v>
      </x:c>
      <x:c r="K1621" t="str">
        <x:v>MDH</x:v>
      </x:c>
      <x:c r="L1621" s="22" t="n">
        <x:v>265</x:v>
      </x:c>
      <x:c r="M1621" t="n">
        <x:v>28</x:v>
      </x:c>
      <x:c r="N1621" s="24" t="n">
        <x:v>0.03</x:v>
      </x:c>
      <x:c r="O1621" s="22" t="n">
        <x:f>L1621*M1621</x:f>
        <x:v>7420</x:v>
      </x:c>
      <x:c r="P1621" s="22" t="n">
        <x:f>O1621*(1-N1621)</x:f>
        <x:v>7197.4</x:v>
      </x:c>
      <x:c r="Q1621" s="22" t="n">
        <x:v>230</x:v>
      </x:c>
      <x:c r="R1621" s="22" t="n">
        <x:f>Q1621*M1621</x:f>
        <x:v>6440</x:v>
      </x:c>
      <x:c r="S1621" s="22" t="n">
        <x:f>P1621-R1621</x:f>
        <x:v>757.3999999999996</x:v>
      </x:c>
      <x:c r="T1621" t="str">
        <x:v>UPI</x:v>
      </x:c>
      <x:c r="U1621" t="str">
        <x:v>Paid</x:v>
      </x:c>
      <x:c r="V1621" t="str">
        <x:v>Delivered</x:v>
      </x:c>
      <x:c r="W1621" t="n">
        <x:v>0</x:v>
      </x:c>
      <x:c r="X1621" t="str"/>
      <x:c r="Y1621" t="str">
        <x:v>Outbound Call</x:v>
      </x:c>
    </x:row>
    <x:row r="1622">
      <x:c r="A1622" t="str">
        <x:v>O001621</x:v>
      </x:c>
      <x:c r="B1622" s="20" t="n">
        <x:v>45980</x:v>
      </x:c>
      <x:c r="C1622" t="str">
        <x:v>C0239</x:v>
      </x:c>
      <x:c r="D1622" t="str">
        <x:v>Royal Hotel 239</x:v>
      </x:c>
      <x:c r="E1622" t="str">
        <x:v>Restaurant</x:v>
      </x:c>
      <x:c r="F1622" t="str">
        <x:v>Hubballi</x:v>
      </x:c>
      <x:c r="G1622" t="str">
        <x:v>Priya</x:v>
      </x:c>
      <x:c r="H1622" t="str">
        <x:v>P020</x:v>
      </x:c>
      <x:c r="I1622" t="str">
        <x:v>Coffee 500g</x:v>
      </x:c>
      <x:c r="J1622" t="str">
        <x:v>Beverage</x:v>
      </x:c>
      <x:c r="K1622" t="str">
        <x:v>Bru</x:v>
      </x:c>
      <x:c r="L1622" s="22" t="n">
        <x:v>390</x:v>
      </x:c>
      <x:c r="M1622" t="n">
        <x:v>28</x:v>
      </x:c>
      <x:c r="N1622" s="24" t="n">
        <x:v>0.08</x:v>
      </x:c>
      <x:c r="O1622" s="22" t="n">
        <x:f>L1622*M1622</x:f>
        <x:v>10920</x:v>
      </x:c>
      <x:c r="P1622" s="22" t="n">
        <x:f>O1622*(1-N1622)</x:f>
        <x:v>10046.4</x:v>
      </x:c>
      <x:c r="Q1622" s="22" t="n">
        <x:v>350</x:v>
      </x:c>
      <x:c r="R1622" s="22" t="n">
        <x:f>Q1622*M1622</x:f>
        <x:v>9800</x:v>
      </x:c>
      <x:c r="S1622" s="22" t="n">
        <x:f>P1622-R1622</x:f>
        <x:v>246.39999999999964</x:v>
      </x:c>
      <x:c r="T1622" t="str">
        <x:v>Credit</x:v>
      </x:c>
      <x:c r="U1622" t="str">
        <x:v>Pending</x:v>
      </x:c>
      <x:c r="V1622" t="str">
        <x:v>Delivered</x:v>
      </x:c>
      <x:c r="W1622" t="n">
        <x:v>0</x:v>
      </x:c>
      <x:c r="X1622" t="str"/>
      <x:c r="Y1622" t="str">
        <x:v>Outbound Call</x:v>
      </x:c>
    </x:row>
    <x:row r="1623">
      <x:c r="A1623" t="str">
        <x:v>O001622</x:v>
      </x:c>
      <x:c r="B1623" s="20" t="n">
        <x:v>45984</x:v>
      </x:c>
      <x:c r="C1623" t="str">
        <x:v>C0201</x:v>
      </x:c>
      <x:c r="D1623" t="str">
        <x:v>Metro Hotel 201</x:v>
      </x:c>
      <x:c r="E1623" t="str">
        <x:v>Kirana</x:v>
      </x:c>
      <x:c r="F1623" t="str">
        <x:v>Mysuru</x:v>
      </x:c>
      <x:c r="G1623" t="str">
        <x:v>Imran</x:v>
      </x:c>
      <x:c r="H1623" t="str">
        <x:v>P020</x:v>
      </x:c>
      <x:c r="I1623" t="str">
        <x:v>Coffee 500g</x:v>
      </x:c>
      <x:c r="J1623" t="str">
        <x:v>Beverage</x:v>
      </x:c>
      <x:c r="K1623" t="str">
        <x:v>Bru</x:v>
      </x:c>
      <x:c r="L1623" s="22" t="n">
        <x:v>390</x:v>
      </x:c>
      <x:c r="M1623" t="n">
        <x:v>15</x:v>
      </x:c>
      <x:c r="N1623" s="24" t="n">
        <x:v>0</x:v>
      </x:c>
      <x:c r="O1623" s="22" t="n">
        <x:f>L1623*M1623</x:f>
        <x:v>5850</x:v>
      </x:c>
      <x:c r="P1623" s="22" t="n">
        <x:f>O1623*(1-N1623)</x:f>
        <x:v>5850</x:v>
      </x:c>
      <x:c r="Q1623" s="22" t="n">
        <x:v>350</x:v>
      </x:c>
      <x:c r="R1623" s="22" t="n">
        <x:f>Q1623*M1623</x:f>
        <x:v>5250</x:v>
      </x:c>
      <x:c r="S1623" s="22" t="n">
        <x:f>P1623-R1623</x:f>
        <x:v>600</x:v>
      </x:c>
      <x:c r="T1623" t="str">
        <x:v>UPI</x:v>
      </x:c>
      <x:c r="U1623" t="str">
        <x:v>Paid</x:v>
      </x:c>
      <x:c r="V1623" t="str">
        <x:v>Delivered</x:v>
      </x:c>
      <x:c r="W1623" t="n">
        <x:v>0</x:v>
      </x:c>
      <x:c r="X1623" t="str"/>
      <x:c r="Y1623" t="str">
        <x:v>Field Visit</x:v>
      </x:c>
    </x:row>
    <x:row r="1624">
      <x:c r="A1624" t="str">
        <x:v>O001623</x:v>
      </x:c>
      <x:c r="B1624" s="20" t="n">
        <x:v>45791</x:v>
      </x:c>
      <x:c r="C1624" t="str">
        <x:v>C0104</x:v>
      </x:c>
      <x:c r="D1624" t="str">
        <x:v>Shree Foods 104</x:v>
      </x:c>
      <x:c r="E1624" t="str">
        <x:v>Cafe</x:v>
      </x:c>
      <x:c r="F1624" t="str">
        <x:v>Mangaluru</x:v>
      </x:c>
      <x:c r="G1624" t="str">
        <x:v>Megha</x:v>
      </x:c>
      <x:c r="H1624" t="str">
        <x:v>P025</x:v>
      </x:c>
      <x:c r="I1624" t="str">
        <x:v>Potato Chips 100g</x:v>
      </x:c>
      <x:c r="J1624" t="str">
        <x:v>Snacks</x:v>
      </x:c>
      <x:c r="K1624" t="str">
        <x:v>Lay's</x:v>
      </x:c>
      <x:c r="L1624" s="22" t="n">
        <x:v>35</x:v>
      </x:c>
      <x:c r="M1624" t="n">
        <x:v>12</x:v>
      </x:c>
      <x:c r="N1624" s="24" t="n">
        <x:v>0.05</x:v>
      </x:c>
      <x:c r="O1624" s="22" t="n">
        <x:f>L1624*M1624</x:f>
        <x:v>420</x:v>
      </x:c>
      <x:c r="P1624" s="22" t="n">
        <x:f>O1624*(1-N1624)</x:f>
        <x:v>399</x:v>
      </x:c>
      <x:c r="Q1624" s="22" t="n">
        <x:v>27</x:v>
      </x:c>
      <x:c r="R1624" s="22" t="n">
        <x:f>Q1624*M1624</x:f>
        <x:v>324</x:v>
      </x:c>
      <x:c r="S1624" s="22" t="n">
        <x:f>P1624-R1624</x:f>
        <x:v>75</x:v>
      </x:c>
      <x:c r="T1624" t="str">
        <x:v>Cash</x:v>
      </x:c>
      <x:c r="U1624" t="str">
        <x:v>Paid</x:v>
      </x:c>
      <x:c r="V1624" t="str">
        <x:v>Delivered</x:v>
      </x:c>
      <x:c r="W1624" t="n">
        <x:v>0</x:v>
      </x:c>
      <x:c r="X1624" t="str"/>
      <x:c r="Y1624" t="str">
        <x:v>Field Visit</x:v>
      </x:c>
    </x:row>
    <x:row r="1625">
      <x:c r="A1625" t="str">
        <x:v>O001624</x:v>
      </x:c>
      <x:c r="B1625" s="20" t="n">
        <x:v>45712</x:v>
      </x:c>
      <x:c r="C1625" t="str">
        <x:v>C0089</x:v>
      </x:c>
      <x:c r="D1625" t="str">
        <x:v>Green Canteen 89</x:v>
      </x:c>
      <x:c r="E1625" t="str">
        <x:v>Supermarket</x:v>
      </x:c>
      <x:c r="F1625" t="str">
        <x:v>Mangaluru</x:v>
      </x:c>
      <x:c r="G1625" t="str">
        <x:v>Megha</x:v>
      </x:c>
      <x:c r="H1625" t="str">
        <x:v>P015</x:v>
      </x:c>
      <x:c r="I1625" t="str">
        <x:v>Milk 1L</x:v>
      </x:c>
      <x:c r="J1625" t="str">
        <x:v>Dairy</x:v>
      </x:c>
      <x:c r="K1625" t="str">
        <x:v>Nandini</x:v>
      </x:c>
      <x:c r="L1625" s="22" t="n">
        <x:v>48</x:v>
      </x:c>
      <x:c r="M1625" t="n">
        <x:v>1</x:v>
      </x:c>
      <x:c r="N1625" s="24" t="n">
        <x:v>0.05</x:v>
      </x:c>
      <x:c r="O1625" s="22" t="n">
        <x:f>L1625*M1625</x:f>
        <x:v>48</x:v>
      </x:c>
      <x:c r="P1625" s="22" t="n">
        <x:f>O1625*(1-N1625)</x:f>
        <x:v>45.599999999999994</x:v>
      </x:c>
      <x:c r="Q1625" s="22" t="n">
        <x:v>43</x:v>
      </x:c>
      <x:c r="R1625" s="22" t="n">
        <x:f>Q1625*M1625</x:f>
        <x:v>43</x:v>
      </x:c>
      <x:c r="S1625" s="22" t="n">
        <x:f>P1625-R1625</x:f>
        <x:v>2.5999999999999943</x:v>
      </x:c>
      <x:c r="T1625" t="str">
        <x:v>Credit</x:v>
      </x:c>
      <x:c r="U1625" t="str">
        <x:v>Paid</x:v>
      </x:c>
      <x:c r="V1625" t="str">
        <x:v>Delivered</x:v>
      </x:c>
      <x:c r="W1625" t="n">
        <x:v>0</x:v>
      </x:c>
      <x:c r="X1625" t="str"/>
      <x:c r="Y1625" t="str">
        <x:v>Referral</x:v>
      </x:c>
    </x:row>
    <x:row r="1626">
      <x:c r="A1626" t="str">
        <x:v>O001625</x:v>
      </x:c>
      <x:c r="B1626" s="20" t="n">
        <x:v>46120</x:v>
      </x:c>
      <x:c r="C1626" t="str">
        <x:v>C0247</x:v>
      </x:c>
      <x:c r="D1626" t="str">
        <x:v>Fresh Canteen 247</x:v>
      </x:c>
      <x:c r="E1626" t="str">
        <x:v>Restaurant</x:v>
      </x:c>
      <x:c r="F1626" t="str">
        <x:v>Hubballi</x:v>
      </x:c>
      <x:c r="G1626" t="str">
        <x:v>Kavya</x:v>
      </x:c>
      <x:c r="H1626" t="str">
        <x:v>P049</x:v>
      </x:c>
      <x:c r="I1626" t="str">
        <x:v>Apple 10kg</x:v>
      </x:c>
      <x:c r="J1626" t="str">
        <x:v>Fresh Produce</x:v>
      </x:c>
      <x:c r="K1626" t="str">
        <x:v>Local Market</x:v>
      </x:c>
      <x:c r="L1626" s="22" t="n">
        <x:v>1450</x:v>
      </x:c>
      <x:c r="M1626" t="n">
        <x:v>8</x:v>
      </x:c>
      <x:c r="N1626" s="24" t="n">
        <x:v>0.05</x:v>
      </x:c>
      <x:c r="O1626" s="22" t="n">
        <x:f>L1626*M1626</x:f>
        <x:v>11600</x:v>
      </x:c>
      <x:c r="P1626" s="22" t="n">
        <x:f>O1626*(1-N1626)</x:f>
        <x:v>11020</x:v>
      </x:c>
      <x:c r="Q1626" s="22" t="n">
        <x:v>1280</x:v>
      </x:c>
      <x:c r="R1626" s="22" t="n">
        <x:f>Q1626*M1626</x:f>
        <x:v>10240</x:v>
      </x:c>
      <x:c r="S1626" s="22" t="n">
        <x:f>P1626-R1626</x:f>
        <x:v>780</x:v>
      </x:c>
      <x:c r="T1626" t="str">
        <x:v>Credit</x:v>
      </x:c>
      <x:c r="U1626" t="str">
        <x:v>Paid</x:v>
      </x:c>
      <x:c r="V1626" t="str">
        <x:v>Delivered</x:v>
      </x:c>
      <x:c r="W1626" t="n">
        <x:v>0</x:v>
      </x:c>
      <x:c r="X1626" t="str"/>
      <x:c r="Y1626" t="str">
        <x:v>Existing Customer</x:v>
      </x:c>
    </x:row>
    <x:row r="1627">
      <x:c r="A1627" t="str">
        <x:v>O001626</x:v>
      </x:c>
      <x:c r="B1627" s="20" t="n">
        <x:v>45738</x:v>
      </x:c>
      <x:c r="C1627" t="str">
        <x:v>C0008</x:v>
      </x:c>
      <x:c r="D1627" t="str">
        <x:v>Namma Kitchen 8</x:v>
      </x:c>
      <x:c r="E1627" t="str">
        <x:v>Kirana</x:v>
      </x:c>
      <x:c r="F1627" t="str">
        <x:v>Bengaluru</x:v>
      </x:c>
      <x:c r="G1627" t="str">
        <x:v>Vikram</x:v>
      </x:c>
      <x:c r="H1627" t="str">
        <x:v>P007</x:v>
      </x:c>
      <x:c r="I1627" t="str">
        <x:v>Sunflower Oil 15L</x:v>
      </x:c>
      <x:c r="J1627" t="str">
        <x:v>Edible Oil</x:v>
      </x:c>
      <x:c r="K1627" t="str">
        <x:v>Fortune</x:v>
      </x:c>
      <x:c r="L1627" s="22" t="n">
        <x:v>1980</x:v>
      </x:c>
      <x:c r="M1627" t="n">
        <x:v>5</x:v>
      </x:c>
      <x:c r="N1627" s="24" t="n">
        <x:v>0.05</x:v>
      </x:c>
      <x:c r="O1627" s="22" t="n">
        <x:f>L1627*M1627</x:f>
        <x:v>9900</x:v>
      </x:c>
      <x:c r="P1627" s="22" t="n">
        <x:f>O1627*(1-N1627)</x:f>
        <x:v>9405</x:v>
      </x:c>
      <x:c r="Q1627" s="22" t="n">
        <x:v>1810</x:v>
      </x:c>
      <x:c r="R1627" s="22" t="n">
        <x:f>Q1627*M1627</x:f>
        <x:v>9050</x:v>
      </x:c>
      <x:c r="S1627" s="22" t="n">
        <x:f>P1627-R1627</x:f>
        <x:v>355</x:v>
      </x:c>
      <x:c r="T1627" t="str">
        <x:v>UPI</x:v>
      </x:c>
      <x:c r="U1627" t="str">
        <x:v>Paid</x:v>
      </x:c>
      <x:c r="V1627" t="str">
        <x:v>Delayed</x:v>
      </x:c>
      <x:c r="W1627" t="n">
        <x:v>0</x:v>
      </x:c>
      <x:c r="X1627" t="str"/>
      <x:c r="Y1627" t="str">
        <x:v>Field Visit</x:v>
      </x:c>
    </x:row>
    <x:row r="1628">
      <x:c r="A1628" t="str">
        <x:v>O001627</x:v>
      </x:c>
      <x:c r="B1628" s="20" t="n">
        <x:v>46055</x:v>
      </x:c>
      <x:c r="C1628" t="str">
        <x:v>C0133</x:v>
      </x:c>
      <x:c r="D1628" t="str">
        <x:v>Metro Foods 133</x:v>
      </x:c>
      <x:c r="E1628" t="str">
        <x:v>Cafe</x:v>
      </x:c>
      <x:c r="F1628" t="str">
        <x:v>Bengaluru</x:v>
      </x:c>
      <x:c r="G1628" t="str">
        <x:v>Ramesh</x:v>
      </x:c>
      <x:c r="H1628" t="str">
        <x:v>P041</x:v>
      </x:c>
      <x:c r="I1628" t="str">
        <x:v>Burger Bun 6pc</x:v>
      </x:c>
      <x:c r="J1628" t="str">
        <x:v>Bakery</x:v>
      </x:c>
      <x:c r="K1628" t="str">
        <x:v>Modern</x:v>
      </x:c>
      <x:c r="L1628" s="22" t="n">
        <x:v>42</x:v>
      </x:c>
      <x:c r="M1628" t="n">
        <x:v>4</x:v>
      </x:c>
      <x:c r="N1628" s="24" t="n">
        <x:v>0</x:v>
      </x:c>
      <x:c r="O1628" s="22" t="n">
        <x:f>L1628*M1628</x:f>
        <x:v>168</x:v>
      </x:c>
      <x:c r="P1628" s="22" t="n">
        <x:f>O1628*(1-N1628)</x:f>
        <x:v>168</x:v>
      </x:c>
      <x:c r="Q1628" s="22" t="n">
        <x:v>32</x:v>
      </x:c>
      <x:c r="R1628" s="22" t="n">
        <x:f>Q1628*M1628</x:f>
        <x:v>128</x:v>
      </x:c>
      <x:c r="S1628" s="22" t="n">
        <x:f>P1628-R1628</x:f>
        <x:v>40</x:v>
      </x:c>
      <x:c r="T1628" t="str">
        <x:v>UPI</x:v>
      </x:c>
      <x:c r="U1628" t="str">
        <x:v>Paid</x:v>
      </x:c>
      <x:c r="V1628" t="str">
        <x:v>Delayed</x:v>
      </x:c>
      <x:c r="W1628" t="n">
        <x:v>0</x:v>
      </x:c>
      <x:c r="X1628" t="str"/>
      <x:c r="Y1628" t="str">
        <x:v>Existing Customer</x:v>
      </x:c>
    </x:row>
    <x:row r="1629">
      <x:c r="A1629" t="str">
        <x:v>O001628</x:v>
      </x:c>
      <x:c r="B1629" s="20" t="n">
        <x:v>46164</x:v>
      </x:c>
      <x:c r="C1629" t="str">
        <x:v>C0124</x:v>
      </x:c>
      <x:c r="D1629" t="str">
        <x:v>Green Hotel 124</x:v>
      </x:c>
      <x:c r="E1629" t="str">
        <x:v>Cafe</x:v>
      </x:c>
      <x:c r="F1629" t="str">
        <x:v>Bengaluru</x:v>
      </x:c>
      <x:c r="G1629" t="str">
        <x:v>Imran</x:v>
      </x:c>
      <x:c r="H1629" t="str">
        <x:v>P046</x:v>
      </x:c>
      <x:c r="I1629" t="str">
        <x:v>Potato 25kg</x:v>
      </x:c>
      <x:c r="J1629" t="str">
        <x:v>Fresh Produce</x:v>
      </x:c>
      <x:c r="K1629" t="str">
        <x:v>Local Market</x:v>
      </x:c>
      <x:c r="L1629" s="22" t="n">
        <x:v>700</x:v>
      </x:c>
      <x:c r="M1629" t="n">
        <x:v>36</x:v>
      </x:c>
      <x:c r="N1629" s="24" t="n">
        <x:v>0</x:v>
      </x:c>
      <x:c r="O1629" s="22" t="n">
        <x:f>L1629*M1629</x:f>
        <x:v>25200</x:v>
      </x:c>
      <x:c r="P1629" s="22" t="n">
        <x:f>O1629*(1-N1629)</x:f>
        <x:v>25200</x:v>
      </x:c>
      <x:c r="Q1629" s="22" t="n">
        <x:v>610</x:v>
      </x:c>
      <x:c r="R1629" s="22" t="n">
        <x:f>Q1629*M1629</x:f>
        <x:v>21960</x:v>
      </x:c>
      <x:c r="S1629" s="22" t="n">
        <x:f>P1629-R1629</x:f>
        <x:v>3240</x:v>
      </x:c>
      <x:c r="T1629" t="str">
        <x:v>UPI</x:v>
      </x:c>
      <x:c r="U1629" t="str">
        <x:v>Paid</x:v>
      </x:c>
      <x:c r="V1629" t="str">
        <x:v>Delayed</x:v>
      </x:c>
      <x:c r="W1629" t="n">
        <x:v>0</x:v>
      </x:c>
      <x:c r="X1629" t="str"/>
      <x:c r="Y1629" t="str">
        <x:v>Field Visit</x:v>
      </x:c>
    </x:row>
    <x:row r="1630">
      <x:c r="A1630" t="str">
        <x:v>O001629</x:v>
      </x:c>
      <x:c r="B1630" s="20" t="n">
        <x:v>45937</x:v>
      </x:c>
      <x:c r="C1630" t="str">
        <x:v>C0202</x:v>
      </x:c>
      <x:c r="D1630" t="str">
        <x:v>Sagar Foods 202</x:v>
      </x:c>
      <x:c r="E1630" t="str">
        <x:v>Restaurant</x:v>
      </x:c>
      <x:c r="F1630" t="str">
        <x:v>Mangaluru</x:v>
      </x:c>
      <x:c r="G1630" t="str">
        <x:v>Kavya</x:v>
      </x:c>
      <x:c r="H1630" t="str">
        <x:v>P001</x:v>
      </x:c>
      <x:c r="I1630" t="str">
        <x:v>Steam Rice 25kg</x:v>
      </x:c>
      <x:c r="J1630" t="str">
        <x:v>Staples</x:v>
      </x:c>
      <x:c r="K1630" t="str">
        <x:v>Aishwarya</x:v>
      </x:c>
      <x:c r="L1630" s="22" t="n">
        <x:v>1180</x:v>
      </x:c>
      <x:c r="M1630" t="n">
        <x:v>3</x:v>
      </x:c>
      <x:c r="N1630" s="24" t="n">
        <x:v>0.1</x:v>
      </x:c>
      <x:c r="O1630" s="22" t="n">
        <x:f>L1630*M1630</x:f>
        <x:v>3540</x:v>
      </x:c>
      <x:c r="P1630" s="22" t="n">
        <x:f>O1630*(1-N1630)</x:f>
        <x:v>3186</x:v>
      </x:c>
      <x:c r="Q1630" s="22" t="n">
        <x:v>1040</x:v>
      </x:c>
      <x:c r="R1630" s="22" t="n">
        <x:f>Q1630*M1630</x:f>
        <x:v>3120</x:v>
      </x:c>
      <x:c r="S1630" s="22" t="n">
        <x:f>P1630-R1630</x:f>
        <x:v>66</x:v>
      </x:c>
      <x:c r="T1630" t="str">
        <x:v>Credit</x:v>
      </x:c>
      <x:c r="U1630" t="str">
        <x:v>Pending</x:v>
      </x:c>
      <x:c r="V1630" t="str">
        <x:v>Delivered</x:v>
      </x:c>
      <x:c r="W1630" t="n">
        <x:v>0</x:v>
      </x:c>
      <x:c r="X1630" t="str"/>
      <x:c r="Y1630" t="str">
        <x:v>WhatsApp</x:v>
      </x:c>
    </x:row>
    <x:row r="1631">
      <x:c r="A1631" t="str">
        <x:v>O001630</x:v>
      </x:c>
      <x:c r="B1631" s="20" t="n">
        <x:v>45826</x:v>
      </x:c>
      <x:c r="C1631" t="str">
        <x:v>C0187</x:v>
      </x:c>
      <x:c r="D1631" t="str">
        <x:v>City Cafe 187</x:v>
      </x:c>
      <x:c r="E1631" t="str">
        <x:v>Hotel</x:v>
      </x:c>
      <x:c r="F1631" t="str">
        <x:v>Mysuru</x:v>
      </x:c>
      <x:c r="G1631" t="str">
        <x:v>Priya</x:v>
      </x:c>
      <x:c r="H1631" t="str">
        <x:v>P008</x:v>
      </x:c>
      <x:c r="I1631" t="str">
        <x:v>Palm Oil 15L</x:v>
      </x:c>
      <x:c r="J1631" t="str">
        <x:v>Edible Oil</x:v>
      </x:c>
      <x:c r="K1631" t="str">
        <x:v>Ruchi Gold</x:v>
      </x:c>
      <x:c r="L1631" s="22" t="n">
        <x:v>1760</x:v>
      </x:c>
      <x:c r="M1631" t="n">
        <x:v>4</x:v>
      </x:c>
      <x:c r="N1631" s="24" t="n">
        <x:v>0.03</x:v>
      </x:c>
      <x:c r="O1631" s="22" t="n">
        <x:f>L1631*M1631</x:f>
        <x:v>7040</x:v>
      </x:c>
      <x:c r="P1631" s="22" t="n">
        <x:f>O1631*(1-N1631)</x:f>
        <x:v>6828.8</x:v>
      </x:c>
      <x:c r="Q1631" s="22" t="n">
        <x:v>1610</x:v>
      </x:c>
      <x:c r="R1631" s="22" t="n">
        <x:f>Q1631*M1631</x:f>
        <x:v>6440</x:v>
      </x:c>
      <x:c r="S1631" s="22" t="n">
        <x:f>P1631-R1631</x:f>
        <x:v>388.8000000000002</x:v>
      </x:c>
      <x:c r="T1631" t="str">
        <x:v>Bank Transfer</x:v>
      </x:c>
      <x:c r="U1631" t="str">
        <x:v>Pending</x:v>
      </x:c>
      <x:c r="V1631" t="str">
        <x:v>Delivered</x:v>
      </x:c>
      <x:c r="W1631" t="n">
        <x:v>0</x:v>
      </x:c>
      <x:c r="X1631" t="str"/>
      <x:c r="Y1631" t="str">
        <x:v>WhatsApp</x:v>
      </x:c>
    </x:row>
    <x:row r="1632">
      <x:c r="A1632" t="str">
        <x:v>O001631</x:v>
      </x:c>
      <x:c r="B1632" s="20" t="n">
        <x:v>46053</x:v>
      </x:c>
      <x:c r="C1632" t="str">
        <x:v>C0151</x:v>
      </x:c>
      <x:c r="D1632" t="str">
        <x:v>Foodie Stores 151</x:v>
      </x:c>
      <x:c r="E1632" t="str">
        <x:v>Supermarket</x:v>
      </x:c>
      <x:c r="F1632" t="str">
        <x:v>Mysuru</x:v>
      </x:c>
      <x:c r="G1632" t="str">
        <x:v>Arjun</x:v>
      </x:c>
      <x:c r="H1632" t="str">
        <x:v>P047</x:v>
      </x:c>
      <x:c r="I1632" t="str">
        <x:v>Tomato 25kg</x:v>
      </x:c>
      <x:c r="J1632" t="str">
        <x:v>Fresh Produce</x:v>
      </x:c>
      <x:c r="K1632" t="str">
        <x:v>Local Market</x:v>
      </x:c>
      <x:c r="L1632" s="22" t="n">
        <x:v>950</x:v>
      </x:c>
      <x:c r="M1632" t="n">
        <x:v>35</x:v>
      </x:c>
      <x:c r="N1632" s="24" t="n">
        <x:v>0</x:v>
      </x:c>
      <x:c r="O1632" s="22" t="n">
        <x:f>L1632*M1632</x:f>
        <x:v>33250</x:v>
      </x:c>
      <x:c r="P1632" s="22" t="n">
        <x:f>O1632*(1-N1632)</x:f>
        <x:v>33250</x:v>
      </x:c>
      <x:c r="Q1632" s="22" t="n">
        <x:v>810</x:v>
      </x:c>
      <x:c r="R1632" s="22" t="n">
        <x:f>Q1632*M1632</x:f>
        <x:v>28350</x:v>
      </x:c>
      <x:c r="S1632" s="22" t="n">
        <x:f>P1632-R1632</x:f>
        <x:v>4900</x:v>
      </x:c>
      <x:c r="T1632" t="str">
        <x:v>Cash</x:v>
      </x:c>
      <x:c r="U1632" t="str">
        <x:v>Overdue</x:v>
      </x:c>
      <x:c r="V1632" t="str">
        <x:v>Cancelled</x:v>
      </x:c>
      <x:c r="W1632" t="n">
        <x:v>35</x:v>
      </x:c>
      <x:c r="X1632" t="str">
        <x:v>Cancelled Order</x:v>
      </x:c>
      <x:c r="Y1632" t="str">
        <x:v>Referral</x:v>
      </x:c>
    </x:row>
    <x:row r="1633">
      <x:c r="A1633" t="str">
        <x:v>O001632</x:v>
      </x:c>
      <x:c r="B1633" s="20" t="n">
        <x:v>45837</x:v>
      </x:c>
      <x:c r="C1633" t="str">
        <x:v>C0068</x:v>
      </x:c>
      <x:c r="D1633" t="str">
        <x:v>Fresh Canteen 68</x:v>
      </x:c>
      <x:c r="E1633" t="str">
        <x:v>Kirana</x:v>
      </x:c>
      <x:c r="F1633" t="str">
        <x:v>Davanagere</x:v>
      </x:c>
      <x:c r="G1633" t="str">
        <x:v>Arjun</x:v>
      </x:c>
      <x:c r="H1633" t="str">
        <x:v>P033</x:v>
      </x:c>
      <x:c r="I1633" t="str">
        <x:v>Turmeric Powder 1kg</x:v>
      </x:c>
      <x:c r="J1633" t="str">
        <x:v>Spices</x:v>
      </x:c>
      <x:c r="K1633" t="str">
        <x:v>Everest</x:v>
      </x:c>
      <x:c r="L1633" s="22" t="n">
        <x:v>310</x:v>
      </x:c>
      <x:c r="M1633" t="n">
        <x:v>20</x:v>
      </x:c>
      <x:c r="N1633" s="24" t="n">
        <x:v>0</x:v>
      </x:c>
      <x:c r="O1633" s="22" t="n">
        <x:f>L1633*M1633</x:f>
        <x:v>6200</x:v>
      </x:c>
      <x:c r="P1633" s="22" t="n">
        <x:f>O1633*(1-N1633)</x:f>
        <x:v>6200</x:v>
      </x:c>
      <x:c r="Q1633" s="22" t="n">
        <x:v>270</x:v>
      </x:c>
      <x:c r="R1633" s="22" t="n">
        <x:f>Q1633*M1633</x:f>
        <x:v>5400</x:v>
      </x:c>
      <x:c r="S1633" s="22" t="n">
        <x:f>P1633-R1633</x:f>
        <x:v>800</x:v>
      </x:c>
      <x:c r="T1633" t="str">
        <x:v>Bank Transfer</x:v>
      </x:c>
      <x:c r="U1633" t="str">
        <x:v>Paid</x:v>
      </x:c>
      <x:c r="V1633" t="str">
        <x:v>Delivered</x:v>
      </x:c>
      <x:c r="W1633" t="n">
        <x:v>0</x:v>
      </x:c>
      <x:c r="X1633" t="str"/>
      <x:c r="Y1633" t="str">
        <x:v>Field Visit</x:v>
      </x:c>
    </x:row>
    <x:row r="1634">
      <x:c r="A1634" t="str">
        <x:v>O001633</x:v>
      </x:c>
      <x:c r="B1634" s="20" t="n">
        <x:v>45918</x:v>
      </x:c>
      <x:c r="C1634" t="str">
        <x:v>C0174</x:v>
      </x:c>
      <x:c r="D1634" t="str">
        <x:v>Classic Stores 174</x:v>
      </x:c>
      <x:c r="E1634" t="str">
        <x:v>Kirana</x:v>
      </x:c>
      <x:c r="F1634" t="str">
        <x:v>Mysuru</x:v>
      </x:c>
      <x:c r="G1634" t="str">
        <x:v>Vikram</x:v>
      </x:c>
      <x:c r="H1634" t="str">
        <x:v>P028</x:v>
      </x:c>
      <x:c r="I1634" t="str">
        <x:v>Cookies 200g</x:v>
      </x:c>
      <x:c r="J1634" t="str">
        <x:v>Snacks</x:v>
      </x:c>
      <x:c r="K1634" t="str">
        <x:v>Britannia</x:v>
      </x:c>
      <x:c r="L1634" s="22" t="n">
        <x:v>55</x:v>
      </x:c>
      <x:c r="M1634" t="n">
        <x:v>20</x:v>
      </x:c>
      <x:c r="N1634" s="24" t="n">
        <x:v>0.05</x:v>
      </x:c>
      <x:c r="O1634" s="22" t="n">
        <x:f>L1634*M1634</x:f>
        <x:v>1100</x:v>
      </x:c>
      <x:c r="P1634" s="22" t="n">
        <x:f>O1634*(1-N1634)</x:f>
        <x:v>1045</x:v>
      </x:c>
      <x:c r="Q1634" s="22" t="n">
        <x:v>42</x:v>
      </x:c>
      <x:c r="R1634" s="22" t="n">
        <x:f>Q1634*M1634</x:f>
        <x:v>840</x:v>
      </x:c>
      <x:c r="S1634" s="22" t="n">
        <x:f>P1634-R1634</x:f>
        <x:v>205</x:v>
      </x:c>
      <x:c r="T1634" t="str">
        <x:v>Cash</x:v>
      </x:c>
      <x:c r="U1634" t="str">
        <x:v>Paid</x:v>
      </x:c>
      <x:c r="V1634" t="str">
        <x:v>Delivered</x:v>
      </x:c>
      <x:c r="W1634" t="n">
        <x:v>0</x:v>
      </x:c>
      <x:c r="X1634" t="str"/>
      <x:c r="Y1634" t="str">
        <x:v>Referral</x:v>
      </x:c>
    </x:row>
    <x:row r="1635">
      <x:c r="A1635" t="str">
        <x:v>O001634</x:v>
      </x:c>
      <x:c r="B1635" s="20" t="n">
        <x:v>45801</x:v>
      </x:c>
      <x:c r="C1635" t="str">
        <x:v>C0020</x:v>
      </x:c>
      <x:c r="D1635" t="str">
        <x:v>Shree Foods 20</x:v>
      </x:c>
      <x:c r="E1635" t="str">
        <x:v>Restaurant</x:v>
      </x:c>
      <x:c r="F1635" t="str">
        <x:v>Mysuru</x:v>
      </x:c>
      <x:c r="G1635" t="str">
        <x:v>Arjun</x:v>
      </x:c>
      <x:c r="H1635" t="str">
        <x:v>P008</x:v>
      </x:c>
      <x:c r="I1635" t="str">
        <x:v>Palm Oil 15L</x:v>
      </x:c>
      <x:c r="J1635" t="str">
        <x:v>Edible Oil</x:v>
      </x:c>
      <x:c r="K1635" t="str">
        <x:v>Ruchi Gold</x:v>
      </x:c>
      <x:c r="L1635" s="22" t="n">
        <x:v>1760</x:v>
      </x:c>
      <x:c r="M1635" t="n">
        <x:v>3</x:v>
      </x:c>
      <x:c r="N1635" s="24" t="n">
        <x:v>0.08</x:v>
      </x:c>
      <x:c r="O1635" s="22" t="n">
        <x:f>L1635*M1635</x:f>
        <x:v>5280</x:v>
      </x:c>
      <x:c r="P1635" s="22" t="n">
        <x:f>O1635*(1-N1635)</x:f>
        <x:v>4857.6</x:v>
      </x:c>
      <x:c r="Q1635" s="22" t="n">
        <x:v>1610</x:v>
      </x:c>
      <x:c r="R1635" s="22" t="n">
        <x:f>Q1635*M1635</x:f>
        <x:v>4830</x:v>
      </x:c>
      <x:c r="S1635" s="22" t="n">
        <x:f>P1635-R1635</x:f>
        <x:v>27.600000000000364</x:v>
      </x:c>
      <x:c r="T1635" t="str">
        <x:v>Credit</x:v>
      </x:c>
      <x:c r="U1635" t="str">
        <x:v>Paid</x:v>
      </x:c>
      <x:c r="V1635" t="str">
        <x:v>Delayed</x:v>
      </x:c>
      <x:c r="W1635" t="n">
        <x:v>0</x:v>
      </x:c>
      <x:c r="X1635" t="str"/>
      <x:c r="Y1635" t="str">
        <x:v>Existing Customer</x:v>
      </x:c>
    </x:row>
    <x:row r="1636">
      <x:c r="A1636" t="str">
        <x:v>O001635</x:v>
      </x:c>
      <x:c r="B1636" s="20" t="n">
        <x:v>45744</x:v>
      </x:c>
      <x:c r="C1636" t="str">
        <x:v>C0188</x:v>
      </x:c>
      <x:c r="D1636" t="str">
        <x:v>New Canteen 188</x:v>
      </x:c>
      <x:c r="E1636" t="str">
        <x:v>Restaurant</x:v>
      </x:c>
      <x:c r="F1636" t="str">
        <x:v>Bengaluru</x:v>
      </x:c>
      <x:c r="G1636" t="str">
        <x:v>Kavya</x:v>
      </x:c>
      <x:c r="H1636" t="str">
        <x:v>P032</x:v>
      </x:c>
      <x:c r="I1636" t="str">
        <x:v>Soy Sauce 700g</x:v>
      </x:c>
      <x:c r="J1636" t="str">
        <x:v>Condiments</x:v>
      </x:c>
      <x:c r="K1636" t="str">
        <x:v>Ching's</x:v>
      </x:c>
      <x:c r="L1636" s="22" t="n">
        <x:v>118</x:v>
      </x:c>
      <x:c r="M1636" t="n">
        <x:v>29</x:v>
      </x:c>
      <x:c r="N1636" s="24" t="n">
        <x:v>0.03</x:v>
      </x:c>
      <x:c r="O1636" s="22" t="n">
        <x:f>L1636*M1636</x:f>
        <x:v>3422</x:v>
      </x:c>
      <x:c r="P1636" s="22" t="n">
        <x:f>O1636*(1-N1636)</x:f>
        <x:v>3319.3399999999997</x:v>
      </x:c>
      <x:c r="Q1636" s="22" t="n">
        <x:v>101</x:v>
      </x:c>
      <x:c r="R1636" s="22" t="n">
        <x:f>Q1636*M1636</x:f>
        <x:v>2929</x:v>
      </x:c>
      <x:c r="S1636" s="22" t="n">
        <x:f>P1636-R1636</x:f>
        <x:v>390.3399999999997</x:v>
      </x:c>
      <x:c r="T1636" t="str">
        <x:v>Credit</x:v>
      </x:c>
      <x:c r="U1636" t="str">
        <x:v>Pending</x:v>
      </x:c>
      <x:c r="V1636" t="str">
        <x:v>Delivered</x:v>
      </x:c>
      <x:c r="W1636" t="n">
        <x:v>0</x:v>
      </x:c>
      <x:c r="X1636" t="str"/>
      <x:c r="Y1636" t="str">
        <x:v>Referral</x:v>
      </x:c>
    </x:row>
    <x:row r="1637">
      <x:c r="A1637" t="str">
        <x:v>O001636</x:v>
      </x:c>
      <x:c r="B1637" s="20" t="n">
        <x:v>46226</x:v>
      </x:c>
      <x:c r="C1637" t="str">
        <x:v>C0008</x:v>
      </x:c>
      <x:c r="D1637" t="str">
        <x:v>Namma Kitchen 8</x:v>
      </x:c>
      <x:c r="E1637" t="str">
        <x:v>Kirana</x:v>
      </x:c>
      <x:c r="F1637" t="str">
        <x:v>Bengaluru</x:v>
      </x:c>
      <x:c r="G1637" t="str">
        <x:v>Vikram</x:v>
      </x:c>
      <x:c r="H1637" t="str">
        <x:v>P013</x:v>
      </x:c>
      <x:c r="I1637" t="str">
        <x:v>Atta 10kg</x:v>
      </x:c>
      <x:c r="J1637" t="str">
        <x:v>Flour</x:v>
      </x:c>
      <x:c r="K1637" t="str">
        <x:v>Aashirvaad</x:v>
      </x:c>
      <x:c r="L1637" s="22" t="n">
        <x:v>560</x:v>
      </x:c>
      <x:c r="M1637" t="n">
        <x:v>35</x:v>
      </x:c>
      <x:c r="N1637" s="24" t="n">
        <x:v>0.02</x:v>
      </x:c>
      <x:c r="O1637" s="22" t="n">
        <x:f>L1637*M1637</x:f>
        <x:v>19600</x:v>
      </x:c>
      <x:c r="P1637" s="22" t="n">
        <x:f>O1637*(1-N1637)</x:f>
        <x:v>19208</x:v>
      </x:c>
      <x:c r="Q1637" s="22" t="n">
        <x:v>495</x:v>
      </x:c>
      <x:c r="R1637" s="22" t="n">
        <x:f>Q1637*M1637</x:f>
        <x:v>17325</x:v>
      </x:c>
      <x:c r="S1637" s="22" t="n">
        <x:f>P1637-R1637</x:f>
        <x:v>1883</x:v>
      </x:c>
      <x:c r="T1637" t="str">
        <x:v>Bank Transfer</x:v>
      </x:c>
      <x:c r="U1637" t="str">
        <x:v>Pending</x:v>
      </x:c>
      <x:c r="V1637" t="str">
        <x:v>Delivered</x:v>
      </x:c>
      <x:c r="W1637" t="n">
        <x:v>0</x:v>
      </x:c>
      <x:c r="X1637" t="str"/>
      <x:c r="Y1637" t="str">
        <x:v>Outbound Call</x:v>
      </x:c>
    </x:row>
    <x:row r="1638">
      <x:c r="A1638" t="str">
        <x:v>O001637</x:v>
      </x:c>
      <x:c r="B1638" s="20" t="n">
        <x:v>46279</x:v>
      </x:c>
      <x:c r="C1638" t="str">
        <x:v>C0016</x:v>
      </x:c>
      <x:c r="D1638" t="str">
        <x:v>Royal Canteen 16</x:v>
      </x:c>
      <x:c r="E1638" t="str">
        <x:v>Cafe</x:v>
      </x:c>
      <x:c r="F1638" t="str">
        <x:v>Davanagere</x:v>
      </x:c>
      <x:c r="G1638" t="str">
        <x:v>Megha</x:v>
      </x:c>
      <x:c r="H1638" t="str">
        <x:v>P005</x:v>
      </x:c>
      <x:c r="I1638" t="str">
        <x:v>Chana Dal 5kg</x:v>
      </x:c>
      <x:c r="J1638" t="str">
        <x:v>Pulses</x:v>
      </x:c>
      <x:c r="K1638" t="str">
        <x:v>Local Select</x:v>
      </x:c>
      <x:c r="L1638" s="22" t="n">
        <x:v>520</x:v>
      </x:c>
      <x:c r="M1638" t="n">
        <x:v>25</x:v>
      </x:c>
      <x:c r="N1638" s="24" t="n">
        <x:v>0.1</x:v>
      </x:c>
      <x:c r="O1638" s="22" t="n">
        <x:f>L1638*M1638</x:f>
        <x:v>13000</x:v>
      </x:c>
      <x:c r="P1638" s="22" t="n">
        <x:f>O1638*(1-N1638)</x:f>
        <x:v>11700</x:v>
      </x:c>
      <x:c r="Q1638" s="22" t="n">
        <x:v>455</x:v>
      </x:c>
      <x:c r="R1638" s="22" t="n">
        <x:f>Q1638*M1638</x:f>
        <x:v>11375</x:v>
      </x:c>
      <x:c r="S1638" s="22" t="n">
        <x:f>P1638-R1638</x:f>
        <x:v>325</x:v>
      </x:c>
      <x:c r="T1638" t="str">
        <x:v>UPI</x:v>
      </x:c>
      <x:c r="U1638" t="str">
        <x:v>Paid</x:v>
      </x:c>
      <x:c r="V1638" t="str">
        <x:v>Cancelled</x:v>
      </x:c>
      <x:c r="W1638" t="n">
        <x:v>25</x:v>
      </x:c>
      <x:c r="X1638" t="str">
        <x:v>Cancelled Order</x:v>
      </x:c>
      <x:c r="Y1638" t="str">
        <x:v>Referral</x:v>
      </x:c>
    </x:row>
    <x:row r="1639">
      <x:c r="A1639" t="str">
        <x:v>O001638</x:v>
      </x:c>
      <x:c r="B1639" s="20" t="n">
        <x:v>45990</x:v>
      </x:c>
      <x:c r="C1639" t="str">
        <x:v>C0156</x:v>
      </x:c>
      <x:c r="D1639" t="str">
        <x:v>Metro Stores 156</x:v>
      </x:c>
      <x:c r="E1639" t="str">
        <x:v>Hotel</x:v>
      </x:c>
      <x:c r="F1639" t="str">
        <x:v>Tumakuru</x:v>
      </x:c>
      <x:c r="G1639" t="str">
        <x:v>Ramesh</x:v>
      </x:c>
      <x:c r="H1639" t="str">
        <x:v>P015</x:v>
      </x:c>
      <x:c r="I1639" t="str">
        <x:v>Milk 1L</x:v>
      </x:c>
      <x:c r="J1639" t="str">
        <x:v>Dairy</x:v>
      </x:c>
      <x:c r="K1639" t="str">
        <x:v>Nandini</x:v>
      </x:c>
      <x:c r="L1639" s="22" t="n">
        <x:v>48</x:v>
      </x:c>
      <x:c r="M1639" t="n">
        <x:v>35</x:v>
      </x:c>
      <x:c r="N1639" s="24" t="n">
        <x:v>0.03</x:v>
      </x:c>
      <x:c r="O1639" s="22" t="n">
        <x:f>L1639*M1639</x:f>
        <x:v>1680</x:v>
      </x:c>
      <x:c r="P1639" s="22" t="n">
        <x:f>O1639*(1-N1639)</x:f>
        <x:v>1629.6</x:v>
      </x:c>
      <x:c r="Q1639" s="22" t="n">
        <x:v>43</x:v>
      </x:c>
      <x:c r="R1639" s="22" t="n">
        <x:f>Q1639*M1639</x:f>
        <x:v>1505</x:v>
      </x:c>
      <x:c r="S1639" s="22" t="n">
        <x:f>P1639-R1639</x:f>
        <x:v>124.59999999999991</x:v>
      </x:c>
      <x:c r="T1639" t="str">
        <x:v>Bank Transfer</x:v>
      </x:c>
      <x:c r="U1639" t="str">
        <x:v>Paid</x:v>
      </x:c>
      <x:c r="V1639" t="str">
        <x:v>Delivered</x:v>
      </x:c>
      <x:c r="W1639" t="n">
        <x:v>0</x:v>
      </x:c>
      <x:c r="X1639" t="str"/>
      <x:c r="Y1639" t="str">
        <x:v>Referral</x:v>
      </x:c>
    </x:row>
    <x:row r="1640">
      <x:c r="A1640" t="str">
        <x:v>O001639</x:v>
      </x:c>
      <x:c r="B1640" s="20" t="n">
        <x:v>45764</x:v>
      </x:c>
      <x:c r="C1640" t="str">
        <x:v>C0004</x:v>
      </x:c>
      <x:c r="D1640" t="str">
        <x:v>Annapurna Foods 4</x:v>
      </x:c>
      <x:c r="E1640" t="str">
        <x:v>Cafe</x:v>
      </x:c>
      <x:c r="F1640" t="str">
        <x:v>Mysuru</x:v>
      </x:c>
      <x:c r="G1640" t="str">
        <x:v>Priya</x:v>
      </x:c>
      <x:c r="H1640" t="str">
        <x:v>P003</x:v>
      </x:c>
      <x:c r="I1640" t="str">
        <x:v>Basmati Rice 5kg</x:v>
      </x:c>
      <x:c r="J1640" t="str">
        <x:v>Staples</x:v>
      </x:c>
      <x:c r="K1640" t="str">
        <x:v>India Gate</x:v>
      </x:c>
      <x:c r="L1640" s="22" t="n">
        <x:v>690</x:v>
      </x:c>
      <x:c r="M1640" t="n">
        <x:v>33</x:v>
      </x:c>
      <x:c r="N1640" s="24" t="n">
        <x:v>0</x:v>
      </x:c>
      <x:c r="O1640" s="22" t="n">
        <x:f>L1640*M1640</x:f>
        <x:v>22770</x:v>
      </x:c>
      <x:c r="P1640" s="22" t="n">
        <x:f>O1640*(1-N1640)</x:f>
        <x:v>22770</x:v>
      </x:c>
      <x:c r="Q1640" s="22" t="n">
        <x:v>610</x:v>
      </x:c>
      <x:c r="R1640" s="22" t="n">
        <x:f>Q1640*M1640</x:f>
        <x:v>20130</x:v>
      </x:c>
      <x:c r="S1640" s="22" t="n">
        <x:f>P1640-R1640</x:f>
        <x:v>2640</x:v>
      </x:c>
      <x:c r="T1640" t="str">
        <x:v>Credit</x:v>
      </x:c>
      <x:c r="U1640" t="str">
        <x:v>Paid</x:v>
      </x:c>
      <x:c r="V1640" t="str">
        <x:v>Delayed</x:v>
      </x:c>
      <x:c r="W1640" t="n">
        <x:v>0</x:v>
      </x:c>
      <x:c r="X1640" t="str"/>
      <x:c r="Y1640" t="str">
        <x:v>Field Visit</x:v>
      </x:c>
    </x:row>
    <x:row r="1641">
      <x:c r="A1641" t="str">
        <x:v>O001640</x:v>
      </x:c>
      <x:c r="B1641" s="20" t="n">
        <x:v>46011</x:v>
      </x:c>
      <x:c r="C1641" t="str">
        <x:v>C0018</x:v>
      </x:c>
      <x:c r="D1641" t="str">
        <x:v>Namma Canteen 18</x:v>
      </x:c>
      <x:c r="E1641" t="str">
        <x:v>Restaurant</x:v>
      </x:c>
      <x:c r="F1641" t="str">
        <x:v>Davanagere</x:v>
      </x:c>
      <x:c r="G1641" t="str">
        <x:v>Imran</x:v>
      </x:c>
      <x:c r="H1641" t="str">
        <x:v>P028</x:v>
      </x:c>
      <x:c r="I1641" t="str">
        <x:v>Cookies 200g</x:v>
      </x:c>
      <x:c r="J1641" t="str">
        <x:v>Snacks</x:v>
      </x:c>
      <x:c r="K1641" t="str">
        <x:v>Britannia</x:v>
      </x:c>
      <x:c r="L1641" s="22" t="n">
        <x:v>55</x:v>
      </x:c>
      <x:c r="M1641" t="n">
        <x:v>12</x:v>
      </x:c>
      <x:c r="N1641" s="24" t="n">
        <x:v>0.02</x:v>
      </x:c>
      <x:c r="O1641" s="22" t="n">
        <x:f>L1641*M1641</x:f>
        <x:v>660</x:v>
      </x:c>
      <x:c r="P1641" s="22" t="n">
        <x:f>O1641*(1-N1641)</x:f>
        <x:v>646.8</x:v>
      </x:c>
      <x:c r="Q1641" s="22" t="n">
        <x:v>42</x:v>
      </x:c>
      <x:c r="R1641" s="22" t="n">
        <x:f>Q1641*M1641</x:f>
        <x:v>504</x:v>
      </x:c>
      <x:c r="S1641" s="22" t="n">
        <x:f>P1641-R1641</x:f>
        <x:v>142.79999999999995</x:v>
      </x:c>
      <x:c r="T1641" t="str">
        <x:v>Cash</x:v>
      </x:c>
      <x:c r="U1641" t="str">
        <x:v>Pending</x:v>
      </x:c>
      <x:c r="V1641" t="str">
        <x:v>Delivered</x:v>
      </x:c>
      <x:c r="W1641" t="n">
        <x:v>0</x:v>
      </x:c>
      <x:c r="X1641" t="str"/>
      <x:c r="Y1641" t="str">
        <x:v>WhatsApp</x:v>
      </x:c>
    </x:row>
    <x:row r="1642">
      <x:c r="A1642" t="str">
        <x:v>O001641</x:v>
      </x:c>
      <x:c r="B1642" s="20" t="n">
        <x:v>46205</x:v>
      </x:c>
      <x:c r="C1642" t="str">
        <x:v>C0137</x:v>
      </x:c>
      <x:c r="D1642" t="str">
        <x:v>Green Restaurant 137</x:v>
      </x:c>
      <x:c r="E1642" t="str">
        <x:v>Canteen</x:v>
      </x:c>
      <x:c r="F1642" t="str">
        <x:v>Mangaluru</x:v>
      </x:c>
      <x:c r="G1642" t="str">
        <x:v>Arjun</x:v>
      </x:c>
      <x:c r="H1642" t="str">
        <x:v>P014</x:v>
      </x:c>
      <x:c r="I1642" t="str">
        <x:v>Rava 5kg</x:v>
      </x:c>
      <x:c r="J1642" t="str">
        <x:v>Flour</x:v>
      </x:c>
      <x:c r="K1642" t="str">
        <x:v>Local Select</x:v>
      </x:c>
      <x:c r="L1642" s="22" t="n">
        <x:v>245</x:v>
      </x:c>
      <x:c r="M1642" t="n">
        <x:v>24</x:v>
      </x:c>
      <x:c r="N1642" s="24" t="n">
        <x:v>0.05</x:v>
      </x:c>
      <x:c r="O1642" s="22" t="n">
        <x:f>L1642*M1642</x:f>
        <x:v>5880</x:v>
      </x:c>
      <x:c r="P1642" s="22" t="n">
        <x:f>O1642*(1-N1642)</x:f>
        <x:v>5586</x:v>
      </x:c>
      <x:c r="Q1642" s="22" t="n">
        <x:v>215</x:v>
      </x:c>
      <x:c r="R1642" s="22" t="n">
        <x:f>Q1642*M1642</x:f>
        <x:v>5160</x:v>
      </x:c>
      <x:c r="S1642" s="22" t="n">
        <x:f>P1642-R1642</x:f>
        <x:v>426</x:v>
      </x:c>
      <x:c r="T1642" t="str">
        <x:v>Credit</x:v>
      </x:c>
      <x:c r="U1642" t="str">
        <x:v>Paid</x:v>
      </x:c>
      <x:c r="V1642" t="str">
        <x:v>Delivered</x:v>
      </x:c>
      <x:c r="W1642" t="n">
        <x:v>0</x:v>
      </x:c>
      <x:c r="X1642" t="str"/>
      <x:c r="Y1642" t="str">
        <x:v>Existing Customer</x:v>
      </x:c>
    </x:row>
    <x:row r="1643">
      <x:c r="A1643" t="str">
        <x:v>O001642</x:v>
      </x:c>
      <x:c r="B1643" s="20" t="n">
        <x:v>45986</x:v>
      </x:c>
      <x:c r="C1643" t="str">
        <x:v>C0165</x:v>
      </x:c>
      <x:c r="D1643" t="str">
        <x:v>Royal Restaurant 165</x:v>
      </x:c>
      <x:c r="E1643" t="str">
        <x:v>Hotel</x:v>
      </x:c>
      <x:c r="F1643" t="str">
        <x:v>Tumakuru</x:v>
      </x:c>
      <x:c r="G1643" t="str">
        <x:v>Kavya</x:v>
      </x:c>
      <x:c r="H1643" t="str">
        <x:v>P044</x:v>
      </x:c>
      <x:c r="I1643" t="str">
        <x:v>Chicken Curry Cut 1kg</x:v>
      </x:c>
      <x:c r="J1643" t="str">
        <x:v>Protein</x:v>
      </x:c>
      <x:c r="K1643" t="str">
        <x:v>FreshToHome</x:v>
      </x:c>
      <x:c r="L1643" s="22" t="n">
        <x:v>230</x:v>
      </x:c>
      <x:c r="M1643" t="n">
        <x:v>16</x:v>
      </x:c>
      <x:c r="N1643" s="24" t="n">
        <x:v>0.05</x:v>
      </x:c>
      <x:c r="O1643" s="22" t="n">
        <x:f>L1643*M1643</x:f>
        <x:v>3680</x:v>
      </x:c>
      <x:c r="P1643" s="22" t="n">
        <x:f>O1643*(1-N1643)</x:f>
        <x:v>3496</x:v>
      </x:c>
      <x:c r="Q1643" s="22" t="n">
        <x:v>205</x:v>
      </x:c>
      <x:c r="R1643" s="22" t="n">
        <x:f>Q1643*M1643</x:f>
        <x:v>3280</x:v>
      </x:c>
      <x:c r="S1643" s="22" t="n">
        <x:f>P1643-R1643</x:f>
        <x:v>216</x:v>
      </x:c>
      <x:c r="T1643" t="str">
        <x:v>UPI</x:v>
      </x:c>
      <x:c r="U1643" t="str">
        <x:v>Paid</x:v>
      </x:c>
      <x:c r="V1643" t="str">
        <x:v>Delivered</x:v>
      </x:c>
      <x:c r="W1643" t="n">
        <x:v>0</x:v>
      </x:c>
      <x:c r="X1643" t="str"/>
      <x:c r="Y1643" t="str">
        <x:v>Existing Customer</x:v>
      </x:c>
    </x:row>
    <x:row r="1644">
      <x:c r="A1644" t="str">
        <x:v>O001643</x:v>
      </x:c>
      <x:c r="B1644" s="20" t="n">
        <x:v>46053</x:v>
      </x:c>
      <x:c r="C1644" t="str">
        <x:v>C0224</x:v>
      </x:c>
      <x:c r="D1644" t="str">
        <x:v>Royal Foods 224</x:v>
      </x:c>
      <x:c r="E1644" t="str">
        <x:v>Canteen</x:v>
      </x:c>
      <x:c r="F1644" t="str">
        <x:v>Tumakuru</x:v>
      </x:c>
      <x:c r="G1644" t="str">
        <x:v>Arjun</x:v>
      </x:c>
      <x:c r="H1644" t="str">
        <x:v>P035</x:v>
      </x:c>
      <x:c r="I1644" t="str">
        <x:v>Coriander Powder 1kg</x:v>
      </x:c>
      <x:c r="J1644" t="str">
        <x:v>Spices</x:v>
      </x:c>
      <x:c r="K1644" t="str">
        <x:v>Everest</x:v>
      </x:c>
      <x:c r="L1644" s="22" t="n">
        <x:v>280</x:v>
      </x:c>
      <x:c r="M1644" t="n">
        <x:v>40</x:v>
      </x:c>
      <x:c r="N1644" s="24" t="n">
        <x:v>0.03</x:v>
      </x:c>
      <x:c r="O1644" s="22" t="n">
        <x:f>L1644*M1644</x:f>
        <x:v>11200</x:v>
      </x:c>
      <x:c r="P1644" s="22" t="n">
        <x:f>O1644*(1-N1644)</x:f>
        <x:v>10864</x:v>
      </x:c>
      <x:c r="Q1644" s="22" t="n">
        <x:v>245</x:v>
      </x:c>
      <x:c r="R1644" s="22" t="n">
        <x:f>Q1644*M1644</x:f>
        <x:v>9800</x:v>
      </x:c>
      <x:c r="S1644" s="22" t="n">
        <x:f>P1644-R1644</x:f>
        <x:v>1064</x:v>
      </x:c>
      <x:c r="T1644" t="str">
        <x:v>Credit</x:v>
      </x:c>
      <x:c r="U1644" t="str">
        <x:v>Overdue</x:v>
      </x:c>
      <x:c r="V1644" t="str">
        <x:v>Delayed</x:v>
      </x:c>
      <x:c r="W1644" t="n">
        <x:v>0</x:v>
      </x:c>
      <x:c r="X1644" t="str"/>
      <x:c r="Y1644" t="str">
        <x:v>Existing Customer</x:v>
      </x:c>
    </x:row>
    <x:row r="1645">
      <x:c r="A1645" t="str">
        <x:v>O001644</x:v>
      </x:c>
      <x:c r="B1645" s="20" t="n">
        <x:v>46271</x:v>
      </x:c>
      <x:c r="C1645" t="str">
        <x:v>C0227</x:v>
      </x:c>
      <x:c r="D1645" t="str">
        <x:v>Metro Restaurant 227</x:v>
      </x:c>
      <x:c r="E1645" t="str">
        <x:v>Restaurant</x:v>
      </x:c>
      <x:c r="F1645" t="str">
        <x:v>Davanagere</x:v>
      </x:c>
      <x:c r="G1645" t="str">
        <x:v>Kavya</x:v>
      </x:c>
      <x:c r="H1645" t="str">
        <x:v>P049</x:v>
      </x:c>
      <x:c r="I1645" t="str">
        <x:v>Apple 10kg</x:v>
      </x:c>
      <x:c r="J1645" t="str">
        <x:v>Fresh Produce</x:v>
      </x:c>
      <x:c r="K1645" t="str">
        <x:v>Local Market</x:v>
      </x:c>
      <x:c r="L1645" s="22" t="n">
        <x:v>1450</x:v>
      </x:c>
      <x:c r="M1645" t="n">
        <x:v>5</x:v>
      </x:c>
      <x:c r="N1645" s="24" t="n">
        <x:v>0.1</x:v>
      </x:c>
      <x:c r="O1645" s="22" t="n">
        <x:f>L1645*M1645</x:f>
        <x:v>7250</x:v>
      </x:c>
      <x:c r="P1645" s="22" t="n">
        <x:f>O1645*(1-N1645)</x:f>
        <x:v>6525</x:v>
      </x:c>
      <x:c r="Q1645" s="22" t="n">
        <x:v>1280</x:v>
      </x:c>
      <x:c r="R1645" s="22" t="n">
        <x:f>Q1645*M1645</x:f>
        <x:v>6400</x:v>
      </x:c>
      <x:c r="S1645" s="22" t="n">
        <x:f>P1645-R1645</x:f>
        <x:v>125</x:v>
      </x:c>
      <x:c r="T1645" t="str">
        <x:v>Cash</x:v>
      </x:c>
      <x:c r="U1645" t="str">
        <x:v>Paid</x:v>
      </x:c>
      <x:c r="V1645" t="str">
        <x:v>Cancelled</x:v>
      </x:c>
      <x:c r="W1645" t="n">
        <x:v>5</x:v>
      </x:c>
      <x:c r="X1645" t="str">
        <x:v>Cancelled Order</x:v>
      </x:c>
      <x:c r="Y1645" t="str">
        <x:v>Referral</x:v>
      </x:c>
    </x:row>
    <x:row r="1646">
      <x:c r="A1646" t="str">
        <x:v>O001645</x:v>
      </x:c>
      <x:c r="B1646" s="20" t="n">
        <x:v>46118</x:v>
      </x:c>
      <x:c r="C1646" t="str">
        <x:v>C0027</x:v>
      </x:c>
      <x:c r="D1646" t="str">
        <x:v>Fresh Cafe 27</x:v>
      </x:c>
      <x:c r="E1646" t="str">
        <x:v>Restaurant</x:v>
      </x:c>
      <x:c r="F1646" t="str">
        <x:v>Tumakuru</x:v>
      </x:c>
      <x:c r="G1646" t="str">
        <x:v>Megha</x:v>
      </x:c>
      <x:c r="H1646" t="str">
        <x:v>P018</x:v>
      </x:c>
      <x:c r="I1646" t="str">
        <x:v>Paneer 1kg</x:v>
      </x:c>
      <x:c r="J1646" t="str">
        <x:v>Dairy</x:v>
      </x:c>
      <x:c r="K1646" t="str">
        <x:v>Milky Mist</x:v>
      </x:c>
      <x:c r="L1646" s="22" t="n">
        <x:v>410</x:v>
      </x:c>
      <x:c r="M1646" t="n">
        <x:v>9</x:v>
      </x:c>
      <x:c r="N1646" s="24" t="n">
        <x:v>0.02</x:v>
      </x:c>
      <x:c r="O1646" s="22" t="n">
        <x:f>L1646*M1646</x:f>
        <x:v>3690</x:v>
      </x:c>
      <x:c r="P1646" s="22" t="n">
        <x:f>O1646*(1-N1646)</x:f>
        <x:v>3616.2</x:v>
      </x:c>
      <x:c r="Q1646" s="22" t="n">
        <x:v>370</x:v>
      </x:c>
      <x:c r="R1646" s="22" t="n">
        <x:f>Q1646*M1646</x:f>
        <x:v>3330</x:v>
      </x:c>
      <x:c r="S1646" s="22" t="n">
        <x:f>P1646-R1646</x:f>
        <x:v>286.1999999999998</x:v>
      </x:c>
      <x:c r="T1646" t="str">
        <x:v>Bank Transfer</x:v>
      </x:c>
      <x:c r="U1646" t="str">
        <x:v>Paid</x:v>
      </x:c>
      <x:c r="V1646" t="str">
        <x:v>Delivered</x:v>
      </x:c>
      <x:c r="W1646" t="n">
        <x:v>0</x:v>
      </x:c>
      <x:c r="X1646" t="str"/>
      <x:c r="Y1646" t="str">
        <x:v>Existing Customer</x:v>
      </x:c>
    </x:row>
    <x:row r="1647">
      <x:c r="A1647" t="str">
        <x:v>O001646</x:v>
      </x:c>
      <x:c r="B1647" s="20" t="n">
        <x:v>45916</x:v>
      </x:c>
      <x:c r="C1647" t="str">
        <x:v>C0247</x:v>
      </x:c>
      <x:c r="D1647" t="str">
        <x:v>Fresh Canteen 247</x:v>
      </x:c>
      <x:c r="E1647" t="str">
        <x:v>Restaurant</x:v>
      </x:c>
      <x:c r="F1647" t="str">
        <x:v>Hubballi</x:v>
      </x:c>
      <x:c r="G1647" t="str">
        <x:v>Kavya</x:v>
      </x:c>
      <x:c r="H1647" t="str">
        <x:v>P025</x:v>
      </x:c>
      <x:c r="I1647" t="str">
        <x:v>Potato Chips 100g</x:v>
      </x:c>
      <x:c r="J1647" t="str">
        <x:v>Snacks</x:v>
      </x:c>
      <x:c r="K1647" t="str">
        <x:v>Lay's</x:v>
      </x:c>
      <x:c r="L1647" s="22" t="n">
        <x:v>35</x:v>
      </x:c>
      <x:c r="M1647" t="n">
        <x:v>12</x:v>
      </x:c>
      <x:c r="N1647" s="24" t="n">
        <x:v>0.02</x:v>
      </x:c>
      <x:c r="O1647" s="22" t="n">
        <x:f>L1647*M1647</x:f>
        <x:v>420</x:v>
      </x:c>
      <x:c r="P1647" s="22" t="n">
        <x:f>O1647*(1-N1647)</x:f>
        <x:v>411.59999999999997</x:v>
      </x:c>
      <x:c r="Q1647" s="22" t="n">
        <x:v>27</x:v>
      </x:c>
      <x:c r="R1647" s="22" t="n">
        <x:f>Q1647*M1647</x:f>
        <x:v>324</x:v>
      </x:c>
      <x:c r="S1647" s="22" t="n">
        <x:f>P1647-R1647</x:f>
        <x:v>87.59999999999997</x:v>
      </x:c>
      <x:c r="T1647" t="str">
        <x:v>Bank Transfer</x:v>
      </x:c>
      <x:c r="U1647" t="str">
        <x:v>Pending</x:v>
      </x:c>
      <x:c r="V1647" t="str">
        <x:v>Cancelled</x:v>
      </x:c>
      <x:c r="W1647" t="n">
        <x:v>12</x:v>
      </x:c>
      <x:c r="X1647" t="str">
        <x:v>Cancelled Order</x:v>
      </x:c>
      <x:c r="Y1647" t="str">
        <x:v>Referral</x:v>
      </x:c>
    </x:row>
    <x:row r="1648">
      <x:c r="A1648" t="str">
        <x:v>O001647</x:v>
      </x:c>
      <x:c r="B1648" s="20" t="n">
        <x:v>45899</x:v>
      </x:c>
      <x:c r="C1648" t="str">
        <x:v>C0042</x:v>
      </x:c>
      <x:c r="D1648" t="str">
        <x:v>Shree Restaurant 42</x:v>
      </x:c>
      <x:c r="E1648" t="str">
        <x:v>Restaurant</x:v>
      </x:c>
      <x:c r="F1648" t="str">
        <x:v>Mysuru</x:v>
      </x:c>
      <x:c r="G1648" t="str">
        <x:v>Arjun</x:v>
      </x:c>
      <x:c r="H1648" t="str">
        <x:v>P034</x:v>
      </x:c>
      <x:c r="I1648" t="str">
        <x:v>Chilli Powder 1kg</x:v>
      </x:c>
      <x:c r="J1648" t="str">
        <x:v>Spices</x:v>
      </x:c>
      <x:c r="K1648" t="str">
        <x:v>MDH</x:v>
      </x:c>
      <x:c r="L1648" s="22" t="n">
        <x:v>340</x:v>
      </x:c>
      <x:c r="M1648" t="n">
        <x:v>16</x:v>
      </x:c>
      <x:c r="N1648" s="24" t="n">
        <x:v>0.03</x:v>
      </x:c>
      <x:c r="O1648" s="22" t="n">
        <x:f>L1648*M1648</x:f>
        <x:v>5440</x:v>
      </x:c>
      <x:c r="P1648" s="22" t="n">
        <x:f>O1648*(1-N1648)</x:f>
        <x:v>5276.8</x:v>
      </x:c>
      <x:c r="Q1648" s="22" t="n">
        <x:v>295</x:v>
      </x:c>
      <x:c r="R1648" s="22" t="n">
        <x:f>Q1648*M1648</x:f>
        <x:v>4720</x:v>
      </x:c>
      <x:c r="S1648" s="22" t="n">
        <x:f>P1648-R1648</x:f>
        <x:v>556.8000000000002</x:v>
      </x:c>
      <x:c r="T1648" t="str">
        <x:v>UPI</x:v>
      </x:c>
      <x:c r="U1648" t="str">
        <x:v>Paid</x:v>
      </x:c>
      <x:c r="V1648" t="str">
        <x:v>Delivered</x:v>
      </x:c>
      <x:c r="W1648" t="n">
        <x:v>0</x:v>
      </x:c>
      <x:c r="X1648" t="str"/>
      <x:c r="Y1648" t="str">
        <x:v>Existing Customer</x:v>
      </x:c>
    </x:row>
    <x:row r="1649">
      <x:c r="A1649" t="str">
        <x:v>O001648</x:v>
      </x:c>
      <x:c r="B1649" s="20" t="n">
        <x:v>46238</x:v>
      </x:c>
      <x:c r="C1649" t="str">
        <x:v>C0101</x:v>
      </x:c>
      <x:c r="D1649" t="str">
        <x:v>Namma Cafe 101</x:v>
      </x:c>
      <x:c r="E1649" t="str">
        <x:v>Supermarket</x:v>
      </x:c>
      <x:c r="F1649" t="str">
        <x:v>Bengaluru</x:v>
      </x:c>
      <x:c r="G1649" t="str">
        <x:v>Arjun</x:v>
      </x:c>
      <x:c r="H1649" t="str">
        <x:v>P011</x:v>
      </x:c>
      <x:c r="I1649" t="str">
        <x:v>Salt 1kg</x:v>
      </x:c>
      <x:c r="J1649" t="str">
        <x:v>Staples</x:v>
      </x:c>
      <x:c r="K1649" t="str">
        <x:v>Tata</x:v>
      </x:c>
      <x:c r="L1649" s="22" t="n">
        <x:v>28</x:v>
      </x:c>
      <x:c r="M1649" t="n">
        <x:v>14</x:v>
      </x:c>
      <x:c r="N1649" s="24" t="n">
        <x:v>0.1</x:v>
      </x:c>
      <x:c r="O1649" s="22" t="n">
        <x:f>L1649*M1649</x:f>
        <x:v>392</x:v>
      </x:c>
      <x:c r="P1649" s="22" t="n">
        <x:f>O1649*(1-N1649)</x:f>
        <x:v>352.8</x:v>
      </x:c>
      <x:c r="Q1649" s="22" t="n">
        <x:v>23</x:v>
      </x:c>
      <x:c r="R1649" s="22" t="n">
        <x:f>Q1649*M1649</x:f>
        <x:v>322</x:v>
      </x:c>
      <x:c r="S1649" s="22" t="n">
        <x:f>P1649-R1649</x:f>
        <x:v>30.80000000000001</x:v>
      </x:c>
      <x:c r="T1649" t="str">
        <x:v>UPI</x:v>
      </x:c>
      <x:c r="U1649" t="str">
        <x:v>Paid</x:v>
      </x:c>
      <x:c r="V1649" t="str">
        <x:v>Delayed</x:v>
      </x:c>
      <x:c r="W1649" t="n">
        <x:v>0</x:v>
      </x:c>
      <x:c r="X1649" t="str"/>
      <x:c r="Y1649" t="str">
        <x:v>Referral</x:v>
      </x:c>
    </x:row>
    <x:row r="1650">
      <x:c r="A1650" t="str">
        <x:v>O001649</x:v>
      </x:c>
      <x:c r="B1650" s="20" t="n">
        <x:v>45777</x:v>
      </x:c>
      <x:c r="C1650" t="str">
        <x:v>C0032</x:v>
      </x:c>
      <x:c r="D1650" t="str">
        <x:v>Cafe Hotel 32</x:v>
      </x:c>
      <x:c r="E1650" t="str">
        <x:v>Canteen</x:v>
      </x:c>
      <x:c r="F1650" t="str">
        <x:v>Bengaluru</x:v>
      </x:c>
      <x:c r="G1650" t="str">
        <x:v>Sneha</x:v>
      </x:c>
      <x:c r="H1650" t="str">
        <x:v>P003</x:v>
      </x:c>
      <x:c r="I1650" t="str">
        <x:v>Basmati Rice 5kg</x:v>
      </x:c>
      <x:c r="J1650" t="str">
        <x:v>Staples</x:v>
      </x:c>
      <x:c r="K1650" t="str">
        <x:v>India Gate</x:v>
      </x:c>
      <x:c r="L1650" s="22" t="n">
        <x:v>690</x:v>
      </x:c>
      <x:c r="M1650" t="n">
        <x:v>1</x:v>
      </x:c>
      <x:c r="N1650" s="24" t="n">
        <x:v>0</x:v>
      </x:c>
      <x:c r="O1650" s="22" t="n">
        <x:f>L1650*M1650</x:f>
        <x:v>690</x:v>
      </x:c>
      <x:c r="P1650" s="22" t="n">
        <x:f>O1650*(1-N1650)</x:f>
        <x:v>690</x:v>
      </x:c>
      <x:c r="Q1650" s="22" t="n">
        <x:v>610</x:v>
      </x:c>
      <x:c r="R1650" s="22" t="n">
        <x:f>Q1650*M1650</x:f>
        <x:v>610</x:v>
      </x:c>
      <x:c r="S1650" s="22" t="n">
        <x:f>P1650-R1650</x:f>
        <x:v>80</x:v>
      </x:c>
      <x:c r="T1650" t="str">
        <x:v>Bank Transfer</x:v>
      </x:c>
      <x:c r="U1650" t="str">
        <x:v>Pending</x:v>
      </x:c>
      <x:c r="V1650" t="str">
        <x:v>Delivered</x:v>
      </x:c>
      <x:c r="W1650" t="n">
        <x:v>1</x:v>
      </x:c>
      <x:c r="X1650" t="str">
        <x:v>Late Delivery</x:v>
      </x:c>
      <x:c r="Y1650" t="str">
        <x:v>WhatsApp</x:v>
      </x:c>
    </x:row>
    <x:row r="1651">
      <x:c r="A1651" t="str">
        <x:v>O001650</x:v>
      </x:c>
      <x:c r="B1651" s="20" t="n">
        <x:v>46178</x:v>
      </x:c>
      <x:c r="C1651" t="str">
        <x:v>C0012</x:v>
      </x:c>
      <x:c r="D1651" t="str">
        <x:v>Sagar Canteen 12</x:v>
      </x:c>
      <x:c r="E1651" t="str">
        <x:v>Supermarket</x:v>
      </x:c>
      <x:c r="F1651" t="str">
        <x:v>Mysuru</x:v>
      </x:c>
      <x:c r="G1651" t="str">
        <x:v>Priya</x:v>
      </x:c>
      <x:c r="H1651" t="str">
        <x:v>P002</x:v>
      </x:c>
      <x:c r="I1651" t="str">
        <x:v>Sona Masoori Rice 25kg</x:v>
      </x:c>
      <x:c r="J1651" t="str">
        <x:v>Staples</x:v>
      </x:c>
      <x:c r="K1651" t="str">
        <x:v>Fortune</x:v>
      </x:c>
      <x:c r="L1651" s="22" t="n">
        <x:v>1320</x:v>
      </x:c>
      <x:c r="M1651" t="n">
        <x:v>11</x:v>
      </x:c>
      <x:c r="N1651" s="24" t="n">
        <x:v>0.08</x:v>
      </x:c>
      <x:c r="O1651" s="22" t="n">
        <x:f>L1651*M1651</x:f>
        <x:v>14520</x:v>
      </x:c>
      <x:c r="P1651" s="22" t="n">
        <x:f>O1651*(1-N1651)</x:f>
        <x:v>13358.400000000001</x:v>
      </x:c>
      <x:c r="Q1651" s="22" t="n">
        <x:v>1160</x:v>
      </x:c>
      <x:c r="R1651" s="22" t="n">
        <x:f>Q1651*M1651</x:f>
        <x:v>12760</x:v>
      </x:c>
      <x:c r="S1651" s="22" t="n">
        <x:f>P1651-R1651</x:f>
        <x:v>598.4000000000015</x:v>
      </x:c>
      <x:c r="T1651" t="str">
        <x:v>Credit</x:v>
      </x:c>
      <x:c r="U1651" t="str">
        <x:v>Paid</x:v>
      </x:c>
      <x:c r="V1651" t="str">
        <x:v>Delivered</x:v>
      </x:c>
      <x:c r="W1651" t="n">
        <x:v>1</x:v>
      </x:c>
      <x:c r="X1651" t="str">
        <x:v>Quality Issue</x:v>
      </x:c>
      <x:c r="Y1651" t="str">
        <x:v>Referral</x:v>
      </x:c>
    </x:row>
    <x:row r="1652">
      <x:c r="A1652" t="str">
        <x:v>O001651</x:v>
      </x:c>
      <x:c r="B1652" s="20" t="n">
        <x:v>45953</x:v>
      </x:c>
      <x:c r="C1652" t="str">
        <x:v>C0204</x:v>
      </x:c>
      <x:c r="D1652" t="str">
        <x:v>Udupi Stores 204</x:v>
      </x:c>
      <x:c r="E1652" t="str">
        <x:v>Kirana</x:v>
      </x:c>
      <x:c r="F1652" t="str">
        <x:v>Bengaluru</x:v>
      </x:c>
      <x:c r="G1652" t="str">
        <x:v>Vikram</x:v>
      </x:c>
      <x:c r="H1652" t="str">
        <x:v>P006</x:v>
      </x:c>
      <x:c r="I1652" t="str">
        <x:v>Moong Dal 5kg</x:v>
      </x:c>
      <x:c r="J1652" t="str">
        <x:v>Pulses</x:v>
      </x:c>
      <x:c r="K1652" t="str">
        <x:v>Local Select</x:v>
      </x:c>
      <x:c r="L1652" s="22" t="n">
        <x:v>610</x:v>
      </x:c>
      <x:c r="M1652" t="n">
        <x:v>4</x:v>
      </x:c>
      <x:c r="N1652" s="24" t="n">
        <x:v>0.08</x:v>
      </x:c>
      <x:c r="O1652" s="22" t="n">
        <x:f>L1652*M1652</x:f>
        <x:v>2440</x:v>
      </x:c>
      <x:c r="P1652" s="22" t="n">
        <x:f>O1652*(1-N1652)</x:f>
        <x:v>2244.8</x:v>
      </x:c>
      <x:c r="Q1652" s="22" t="n">
        <x:v>540</x:v>
      </x:c>
      <x:c r="R1652" s="22" t="n">
        <x:f>Q1652*M1652</x:f>
        <x:v>2160</x:v>
      </x:c>
      <x:c r="S1652" s="22" t="n">
        <x:f>P1652-R1652</x:f>
        <x:v>84.80000000000018</x:v>
      </x:c>
      <x:c r="T1652" t="str">
        <x:v>Bank Transfer</x:v>
      </x:c>
      <x:c r="U1652" t="str">
        <x:v>Pending</x:v>
      </x:c>
      <x:c r="V1652" t="str">
        <x:v>Delivered</x:v>
      </x:c>
      <x:c r="W1652" t="n">
        <x:v>0</x:v>
      </x:c>
      <x:c r="X1652" t="str"/>
      <x:c r="Y1652" t="str">
        <x:v>Referral</x:v>
      </x:c>
    </x:row>
    <x:row r="1653">
      <x:c r="A1653" t="str">
        <x:v>O001652</x:v>
      </x:c>
      <x:c r="B1653" s="20" t="n">
        <x:v>46180</x:v>
      </x:c>
      <x:c r="C1653" t="str">
        <x:v>C0022</x:v>
      </x:c>
      <x:c r="D1653" t="str">
        <x:v>Royal Hotel 22</x:v>
      </x:c>
      <x:c r="E1653" t="str">
        <x:v>Kirana</x:v>
      </x:c>
      <x:c r="F1653" t="str">
        <x:v>Bengaluru</x:v>
      </x:c>
      <x:c r="G1653" t="str">
        <x:v>Ramesh</x:v>
      </x:c>
      <x:c r="H1653" t="str">
        <x:v>P038</x:v>
      </x:c>
      <x:c r="I1653" t="str">
        <x:v>French Fries 2.5kg</x:v>
      </x:c>
      <x:c r="J1653" t="str">
        <x:v>Frozen</x:v>
      </x:c>
      <x:c r="K1653" t="str">
        <x:v>McCain</x:v>
      </x:c>
      <x:c r="L1653" s="22" t="n">
        <x:v>360</x:v>
      </x:c>
      <x:c r="M1653" t="n">
        <x:v>4</x:v>
      </x:c>
      <x:c r="N1653" s="24" t="n">
        <x:v>0.05</x:v>
      </x:c>
      <x:c r="O1653" s="22" t="n">
        <x:f>L1653*M1653</x:f>
        <x:v>1440</x:v>
      </x:c>
      <x:c r="P1653" s="22" t="n">
        <x:f>O1653*(1-N1653)</x:f>
        <x:v>1368</x:v>
      </x:c>
      <x:c r="Q1653" s="22" t="n">
        <x:v>315</x:v>
      </x:c>
      <x:c r="R1653" s="22" t="n">
        <x:f>Q1653*M1653</x:f>
        <x:v>1260</x:v>
      </x:c>
      <x:c r="S1653" s="22" t="n">
        <x:f>P1653-R1653</x:f>
        <x:v>108</x:v>
      </x:c>
      <x:c r="T1653" t="str">
        <x:v>Cash</x:v>
      </x:c>
      <x:c r="U1653" t="str">
        <x:v>Paid</x:v>
      </x:c>
      <x:c r="V1653" t="str">
        <x:v>Delayed</x:v>
      </x:c>
      <x:c r="W1653" t="n">
        <x:v>0</x:v>
      </x:c>
      <x:c r="X1653" t="str"/>
      <x:c r="Y1653" t="str">
        <x:v>Referral</x:v>
      </x:c>
    </x:row>
    <x:row r="1654">
      <x:c r="A1654" t="str">
        <x:v>O001653</x:v>
      </x:c>
      <x:c r="B1654" s="20" t="n">
        <x:v>46260</x:v>
      </x:c>
      <x:c r="C1654" t="str">
        <x:v>C0080</x:v>
      </x:c>
      <x:c r="D1654" t="str">
        <x:v>Annapurna Canteen 80</x:v>
      </x:c>
      <x:c r="E1654" t="str">
        <x:v>Restaurant</x:v>
      </x:c>
      <x:c r="F1654" t="str">
        <x:v>Mangaluru</x:v>
      </x:c>
      <x:c r="G1654" t="str">
        <x:v>Priya</x:v>
      </x:c>
      <x:c r="H1654" t="str">
        <x:v>P027</x:v>
      </x:c>
      <x:c r="I1654" t="str">
        <x:v>Biscuits 120g</x:v>
      </x:c>
      <x:c r="J1654" t="str">
        <x:v>Snacks</x:v>
      </x:c>
      <x:c r="K1654" t="str">
        <x:v>Parle-G</x:v>
      </x:c>
      <x:c r="L1654" s="22" t="n">
        <x:v>12</x:v>
      </x:c>
      <x:c r="M1654" t="n">
        <x:v>21</x:v>
      </x:c>
      <x:c r="N1654" s="24" t="n">
        <x:v>0.05</x:v>
      </x:c>
      <x:c r="O1654" s="22" t="n">
        <x:f>L1654*M1654</x:f>
        <x:v>252</x:v>
      </x:c>
      <x:c r="P1654" s="22" t="n">
        <x:f>O1654*(1-N1654)</x:f>
        <x:v>239.39999999999998</x:v>
      </x:c>
      <x:c r="Q1654" s="22" t="n">
        <x:v>9</x:v>
      </x:c>
      <x:c r="R1654" s="22" t="n">
        <x:f>Q1654*M1654</x:f>
        <x:v>189</x:v>
      </x:c>
      <x:c r="S1654" s="22" t="n">
        <x:f>P1654-R1654</x:f>
        <x:v>50.39999999999998</x:v>
      </x:c>
      <x:c r="T1654" t="str">
        <x:v>UPI</x:v>
      </x:c>
      <x:c r="U1654" t="str">
        <x:v>Paid</x:v>
      </x:c>
      <x:c r="V1654" t="str">
        <x:v>Delivered</x:v>
      </x:c>
      <x:c r="W1654" t="n">
        <x:v>0</x:v>
      </x:c>
      <x:c r="X1654" t="str"/>
      <x:c r="Y1654" t="str">
        <x:v>Outbound Call</x:v>
      </x:c>
    </x:row>
    <x:row r="1655">
      <x:c r="A1655" t="str">
        <x:v>O001654</x:v>
      </x:c>
      <x:c r="B1655" s="20" t="n">
        <x:v>45844</x:v>
      </x:c>
      <x:c r="C1655" t="str">
        <x:v>C0193</x:v>
      </x:c>
      <x:c r="D1655" t="str">
        <x:v>Udupi Cafe 193</x:v>
      </x:c>
      <x:c r="E1655" t="str">
        <x:v>Restaurant</x:v>
      </x:c>
      <x:c r="F1655" t="str">
        <x:v>Hubballi</x:v>
      </x:c>
      <x:c r="G1655" t="str">
        <x:v>Sneha</x:v>
      </x:c>
      <x:c r="H1655" t="str">
        <x:v>P026</x:v>
      </x:c>
      <x:c r="I1655" t="str">
        <x:v>Banana Chips 80g</x:v>
      </x:c>
      <x:c r="J1655" t="str">
        <x:v>Snacks</x:v>
      </x:c>
      <x:c r="K1655" t="str">
        <x:v>SSS</x:v>
      </x:c>
      <x:c r="L1655" s="22" t="n">
        <x:v>54</x:v>
      </x:c>
      <x:c r="M1655" t="n">
        <x:v>1</x:v>
      </x:c>
      <x:c r="N1655" s="24" t="n">
        <x:v>0.02</x:v>
      </x:c>
      <x:c r="O1655" s="22" t="n">
        <x:f>L1655*M1655</x:f>
        <x:v>54</x:v>
      </x:c>
      <x:c r="P1655" s="22" t="n">
        <x:f>O1655*(1-N1655)</x:f>
        <x:v>52.92</x:v>
      </x:c>
      <x:c r="Q1655" s="22" t="n">
        <x:v>39</x:v>
      </x:c>
      <x:c r="R1655" s="22" t="n">
        <x:f>Q1655*M1655</x:f>
        <x:v>39</x:v>
      </x:c>
      <x:c r="S1655" s="22" t="n">
        <x:f>P1655-R1655</x:f>
        <x:v>13.920000000000002</x:v>
      </x:c>
      <x:c r="T1655" t="str">
        <x:v>Cash</x:v>
      </x:c>
      <x:c r="U1655" t="str">
        <x:v>Overdue</x:v>
      </x:c>
      <x:c r="V1655" t="str">
        <x:v>Cancelled</x:v>
      </x:c>
      <x:c r="W1655" t="n">
        <x:v>1</x:v>
      </x:c>
      <x:c r="X1655" t="str">
        <x:v>Cancelled Order</x:v>
      </x:c>
      <x:c r="Y1655" t="str">
        <x:v>Existing Customer</x:v>
      </x:c>
    </x:row>
    <x:row r="1656">
      <x:c r="A1656" t="str">
        <x:v>O001655</x:v>
      </x:c>
      <x:c r="B1656" s="20" t="n">
        <x:v>45997</x:v>
      </x:c>
      <x:c r="C1656" t="str">
        <x:v>C0214</x:v>
      </x:c>
      <x:c r="D1656" t="str">
        <x:v>Darshini Kitchen 214</x:v>
      </x:c>
      <x:c r="E1656" t="str">
        <x:v>Kirana</x:v>
      </x:c>
      <x:c r="F1656" t="str">
        <x:v>Bengaluru</x:v>
      </x:c>
      <x:c r="G1656" t="str">
        <x:v>Imran</x:v>
      </x:c>
      <x:c r="H1656" t="str">
        <x:v>P005</x:v>
      </x:c>
      <x:c r="I1656" t="str">
        <x:v>Chana Dal 5kg</x:v>
      </x:c>
      <x:c r="J1656" t="str">
        <x:v>Pulses</x:v>
      </x:c>
      <x:c r="K1656" t="str">
        <x:v>Local Select</x:v>
      </x:c>
      <x:c r="L1656" s="22" t="n">
        <x:v>520</x:v>
      </x:c>
      <x:c r="M1656" t="n">
        <x:v>2</x:v>
      </x:c>
      <x:c r="N1656" s="24" t="n">
        <x:v>0.08</x:v>
      </x:c>
      <x:c r="O1656" s="22" t="n">
        <x:f>L1656*M1656</x:f>
        <x:v>1040</x:v>
      </x:c>
      <x:c r="P1656" s="22" t="n">
        <x:f>O1656*(1-N1656)</x:f>
        <x:v>956.8000000000001</x:v>
      </x:c>
      <x:c r="Q1656" s="22" t="n">
        <x:v>455</x:v>
      </x:c>
      <x:c r="R1656" s="22" t="n">
        <x:f>Q1656*M1656</x:f>
        <x:v>910</x:v>
      </x:c>
      <x:c r="S1656" s="22" t="n">
        <x:f>P1656-R1656</x:f>
        <x:v>46.80000000000007</x:v>
      </x:c>
      <x:c r="T1656" t="str">
        <x:v>UPI</x:v>
      </x:c>
      <x:c r="U1656" t="str">
        <x:v>Paid</x:v>
      </x:c>
      <x:c r="V1656" t="str">
        <x:v>Cancelled</x:v>
      </x:c>
      <x:c r="W1656" t="n">
        <x:v>2</x:v>
      </x:c>
      <x:c r="X1656" t="str">
        <x:v>Cancelled Order</x:v>
      </x:c>
      <x:c r="Y1656" t="str">
        <x:v>WhatsApp</x:v>
      </x:c>
    </x:row>
    <x:row r="1657">
      <x:c r="A1657" t="str">
        <x:v>O001656</x:v>
      </x:c>
      <x:c r="B1657" s="20" t="n">
        <x:v>45671</x:v>
      </x:c>
      <x:c r="C1657" t="str">
        <x:v>C0024</x:v>
      </x:c>
      <x:c r="D1657" t="str">
        <x:v>Darshini Restaurant 24</x:v>
      </x:c>
      <x:c r="E1657" t="str">
        <x:v>Restaurant</x:v>
      </x:c>
      <x:c r="F1657" t="str">
        <x:v>Davanagere</x:v>
      </x:c>
      <x:c r="G1657" t="str">
        <x:v>Sneha</x:v>
      </x:c>
      <x:c r="H1657" t="str">
        <x:v>P005</x:v>
      </x:c>
      <x:c r="I1657" t="str">
        <x:v>Chana Dal 5kg</x:v>
      </x:c>
      <x:c r="J1657" t="str">
        <x:v>Pulses</x:v>
      </x:c>
      <x:c r="K1657" t="str">
        <x:v>Local Select</x:v>
      </x:c>
      <x:c r="L1657" s="22" t="n">
        <x:v>520</x:v>
      </x:c>
      <x:c r="M1657" t="n">
        <x:v>26</x:v>
      </x:c>
      <x:c r="N1657" s="24" t="n">
        <x:v>0.08</x:v>
      </x:c>
      <x:c r="O1657" s="22" t="n">
        <x:f>L1657*M1657</x:f>
        <x:v>13520</x:v>
      </x:c>
      <x:c r="P1657" s="22" t="n">
        <x:f>O1657*(1-N1657)</x:f>
        <x:v>12438.4</x:v>
      </x:c>
      <x:c r="Q1657" s="22" t="n">
        <x:v>455</x:v>
      </x:c>
      <x:c r="R1657" s="22" t="n">
        <x:f>Q1657*M1657</x:f>
        <x:v>11830</x:v>
      </x:c>
      <x:c r="S1657" s="22" t="n">
        <x:f>P1657-R1657</x:f>
        <x:v>608.3999999999996</x:v>
      </x:c>
      <x:c r="T1657" t="str">
        <x:v>Cash</x:v>
      </x:c>
      <x:c r="U1657" t="str">
        <x:v>Pending</x:v>
      </x:c>
      <x:c r="V1657" t="str">
        <x:v>Cancelled</x:v>
      </x:c>
      <x:c r="W1657" t="n">
        <x:v>26</x:v>
      </x:c>
      <x:c r="X1657" t="str">
        <x:v>Cancelled Order</x:v>
      </x:c>
      <x:c r="Y1657" t="str">
        <x:v>Outbound Call</x:v>
      </x:c>
    </x:row>
    <x:row r="1658">
      <x:c r="A1658" t="str">
        <x:v>O001657</x:v>
      </x:c>
      <x:c r="B1658" s="20" t="n">
        <x:v>45946</x:v>
      </x:c>
      <x:c r="C1658" t="str">
        <x:v>C0229</x:v>
      </x:c>
      <x:c r="D1658" t="str">
        <x:v>Namma Canteen 229</x:v>
      </x:c>
      <x:c r="E1658" t="str">
        <x:v>Restaurant</x:v>
      </x:c>
      <x:c r="F1658" t="str">
        <x:v>Bengaluru</x:v>
      </x:c>
      <x:c r="G1658" t="str">
        <x:v>Arjun</x:v>
      </x:c>
      <x:c r="H1658" t="str">
        <x:v>P015</x:v>
      </x:c>
      <x:c r="I1658" t="str">
        <x:v>Milk 1L</x:v>
      </x:c>
      <x:c r="J1658" t="str">
        <x:v>Dairy</x:v>
      </x:c>
      <x:c r="K1658" t="str">
        <x:v>Nandini</x:v>
      </x:c>
      <x:c r="L1658" s="22" t="n">
        <x:v>48</x:v>
      </x:c>
      <x:c r="M1658" t="n">
        <x:v>1</x:v>
      </x:c>
      <x:c r="N1658" s="24" t="n">
        <x:v>0.05</x:v>
      </x:c>
      <x:c r="O1658" s="22" t="n">
        <x:f>L1658*M1658</x:f>
        <x:v>48</x:v>
      </x:c>
      <x:c r="P1658" s="22" t="n">
        <x:f>O1658*(1-N1658)</x:f>
        <x:v>45.599999999999994</x:v>
      </x:c>
      <x:c r="Q1658" s="22" t="n">
        <x:v>43</x:v>
      </x:c>
      <x:c r="R1658" s="22" t="n">
        <x:f>Q1658*M1658</x:f>
        <x:v>43</x:v>
      </x:c>
      <x:c r="S1658" s="22" t="n">
        <x:f>P1658-R1658</x:f>
        <x:v>2.5999999999999943</x:v>
      </x:c>
      <x:c r="T1658" t="str">
        <x:v>Cash</x:v>
      </x:c>
      <x:c r="U1658" t="str">
        <x:v>Paid</x:v>
      </x:c>
      <x:c r="V1658" t="str">
        <x:v>Delayed</x:v>
      </x:c>
      <x:c r="W1658" t="n">
        <x:v>0</x:v>
      </x:c>
      <x:c r="X1658" t="str"/>
      <x:c r="Y1658" t="str">
        <x:v>Existing Customer</x:v>
      </x:c>
    </x:row>
    <x:row r="1659">
      <x:c r="A1659" t="str">
        <x:v>O001658</x:v>
      </x:c>
      <x:c r="B1659" s="20" t="n">
        <x:v>45700</x:v>
      </x:c>
      <x:c r="C1659" t="str">
        <x:v>C0159</x:v>
      </x:c>
      <x:c r="D1659" t="str">
        <x:v>Darshini Foods 159</x:v>
      </x:c>
      <x:c r="E1659" t="str">
        <x:v>Canteen</x:v>
      </x:c>
      <x:c r="F1659" t="str">
        <x:v>Tumakuru</x:v>
      </x:c>
      <x:c r="G1659" t="str">
        <x:v>Kavya</x:v>
      </x:c>
      <x:c r="H1659" t="str">
        <x:v>P031</x:v>
      </x:c>
      <x:c r="I1659" t="str">
        <x:v>Chilli Sauce 700g</x:v>
      </x:c>
      <x:c r="J1659" t="str">
        <x:v>Condiments</x:v>
      </x:c>
      <x:c r="K1659" t="str">
        <x:v>Ching's</x:v>
      </x:c>
      <x:c r="L1659" s="22" t="n">
        <x:v>130</x:v>
      </x:c>
      <x:c r="M1659" t="n">
        <x:v>34</x:v>
      </x:c>
      <x:c r="N1659" s="24" t="n">
        <x:v>0.05</x:v>
      </x:c>
      <x:c r="O1659" s="22" t="n">
        <x:f>L1659*M1659</x:f>
        <x:v>4420</x:v>
      </x:c>
      <x:c r="P1659" s="22" t="n">
        <x:f>O1659*(1-N1659)</x:f>
        <x:v>4199</x:v>
      </x:c>
      <x:c r="Q1659" s="22" t="n">
        <x:v>112</x:v>
      </x:c>
      <x:c r="R1659" s="22" t="n">
        <x:f>Q1659*M1659</x:f>
        <x:v>3808</x:v>
      </x:c>
      <x:c r="S1659" s="22" t="n">
        <x:f>P1659-R1659</x:f>
        <x:v>391</x:v>
      </x:c>
      <x:c r="T1659" t="str">
        <x:v>Cash</x:v>
      </x:c>
      <x:c r="U1659" t="str">
        <x:v>Pending</x:v>
      </x:c>
      <x:c r="V1659" t="str">
        <x:v>Delivered</x:v>
      </x:c>
      <x:c r="W1659" t="n">
        <x:v>0</x:v>
      </x:c>
      <x:c r="X1659" t="str"/>
      <x:c r="Y1659" t="str">
        <x:v>Existing Customer</x:v>
      </x:c>
    </x:row>
    <x:row r="1660">
      <x:c r="A1660" t="str">
        <x:v>O001659</x:v>
      </x:c>
      <x:c r="B1660" s="20" t="n">
        <x:v>46044</x:v>
      </x:c>
      <x:c r="C1660" t="str">
        <x:v>C0142</x:v>
      </x:c>
      <x:c r="D1660" t="str">
        <x:v>Darshini Mart 142</x:v>
      </x:c>
      <x:c r="E1660" t="str">
        <x:v>Cafe</x:v>
      </x:c>
      <x:c r="F1660" t="str">
        <x:v>Bengaluru</x:v>
      </x:c>
      <x:c r="G1660" t="str">
        <x:v>Megha</x:v>
      </x:c>
      <x:c r="H1660" t="str">
        <x:v>P010</x:v>
      </x:c>
      <x:c r="I1660" t="str">
        <x:v>Sugar 25kg</x:v>
      </x:c>
      <x:c r="J1660" t="str">
        <x:v>Staples</x:v>
      </x:c>
      <x:c r="K1660" t="str">
        <x:v>Madhur</x:v>
      </x:c>
      <x:c r="L1660" s="22" t="n">
        <x:v>1190</x:v>
      </x:c>
      <x:c r="M1660" t="n">
        <x:v>12</x:v>
      </x:c>
      <x:c r="N1660" s="24" t="n">
        <x:v>0.03</x:v>
      </x:c>
      <x:c r="O1660" s="22" t="n">
        <x:f>L1660*M1660</x:f>
        <x:v>14280</x:v>
      </x:c>
      <x:c r="P1660" s="22" t="n">
        <x:f>O1660*(1-N1660)</x:f>
        <x:v>13851.6</x:v>
      </x:c>
      <x:c r="Q1660" s="22" t="n">
        <x:v>1080</x:v>
      </x:c>
      <x:c r="R1660" s="22" t="n">
        <x:f>Q1660*M1660</x:f>
        <x:v>12960</x:v>
      </x:c>
      <x:c r="S1660" s="22" t="n">
        <x:f>P1660-R1660</x:f>
        <x:v>891.6000000000004</x:v>
      </x:c>
      <x:c r="T1660" t="str">
        <x:v>Credit</x:v>
      </x:c>
      <x:c r="U1660" t="str">
        <x:v>Paid</x:v>
      </x:c>
      <x:c r="V1660" t="str">
        <x:v>Delayed</x:v>
      </x:c>
      <x:c r="W1660" t="n">
        <x:v>0</x:v>
      </x:c>
      <x:c r="X1660" t="str"/>
      <x:c r="Y1660" t="str">
        <x:v>WhatsApp</x:v>
      </x:c>
    </x:row>
    <x:row r="1661">
      <x:c r="A1661" t="str">
        <x:v>O001660</x:v>
      </x:c>
      <x:c r="B1661" s="20" t="n">
        <x:v>46210</x:v>
      </x:c>
      <x:c r="C1661" t="str">
        <x:v>C0136</x:v>
      </x:c>
      <x:c r="D1661" t="str">
        <x:v>Royal Cafe 136</x:v>
      </x:c>
      <x:c r="E1661" t="str">
        <x:v>Hotel</x:v>
      </x:c>
      <x:c r="F1661" t="str">
        <x:v>Tumakuru</x:v>
      </x:c>
      <x:c r="G1661" t="str">
        <x:v>Kavya</x:v>
      </x:c>
      <x:c r="H1661" t="str">
        <x:v>P015</x:v>
      </x:c>
      <x:c r="I1661" t="str">
        <x:v>Milk 1L</x:v>
      </x:c>
      <x:c r="J1661" t="str">
        <x:v>Dairy</x:v>
      </x:c>
      <x:c r="K1661" t="str">
        <x:v>Nandini</x:v>
      </x:c>
      <x:c r="L1661" s="22" t="n">
        <x:v>48</x:v>
      </x:c>
      <x:c r="M1661" t="n">
        <x:v>28</x:v>
      </x:c>
      <x:c r="N1661" s="24" t="n">
        <x:v>0.03</x:v>
      </x:c>
      <x:c r="O1661" s="22" t="n">
        <x:f>L1661*M1661</x:f>
        <x:v>1344</x:v>
      </x:c>
      <x:c r="P1661" s="22" t="n">
        <x:f>O1661*(1-N1661)</x:f>
        <x:v>1303.68</x:v>
      </x:c>
      <x:c r="Q1661" s="22" t="n">
        <x:v>43</x:v>
      </x:c>
      <x:c r="R1661" s="22" t="n">
        <x:f>Q1661*M1661</x:f>
        <x:v>1204</x:v>
      </x:c>
      <x:c r="S1661" s="22" t="n">
        <x:f>P1661-R1661</x:f>
        <x:v>99.68000000000006</x:v>
      </x:c>
      <x:c r="T1661" t="str">
        <x:v>UPI</x:v>
      </x:c>
      <x:c r="U1661" t="str">
        <x:v>Paid</x:v>
      </x:c>
      <x:c r="V1661" t="str">
        <x:v>Cancelled</x:v>
      </x:c>
      <x:c r="W1661" t="n">
        <x:v>28</x:v>
      </x:c>
      <x:c r="X1661" t="str">
        <x:v>Cancelled Order</x:v>
      </x:c>
      <x:c r="Y1661" t="str">
        <x:v>WhatsApp</x:v>
      </x:c>
    </x:row>
    <x:row r="1662">
      <x:c r="A1662" t="str">
        <x:v>O001661</x:v>
      </x:c>
      <x:c r="B1662" s="20" t="n">
        <x:v>45689</x:v>
      </x:c>
      <x:c r="C1662" t="str">
        <x:v>C0019</x:v>
      </x:c>
      <x:c r="D1662" t="str">
        <x:v>Grand Kitchen 19</x:v>
      </x:c>
      <x:c r="E1662" t="str">
        <x:v>Supermarket</x:v>
      </x:c>
      <x:c r="F1662" t="str">
        <x:v>Tumakuru</x:v>
      </x:c>
      <x:c r="G1662" t="str">
        <x:v>Sneha</x:v>
      </x:c>
      <x:c r="H1662" t="str">
        <x:v>P024</x:v>
      </x:c>
      <x:c r="I1662" t="str">
        <x:v>Orange Drink 1L</x:v>
      </x:c>
      <x:c r="J1662" t="str">
        <x:v>Beverage</x:v>
      </x:c>
      <x:c r="K1662" t="str">
        <x:v>Minute Maid</x:v>
      </x:c>
      <x:c r="L1662" s="22" t="n">
        <x:v>105</x:v>
      </x:c>
      <x:c r="M1662" t="n">
        <x:v>24</x:v>
      </x:c>
      <x:c r="N1662" s="24" t="n">
        <x:v>0.05</x:v>
      </x:c>
      <x:c r="O1662" s="22" t="n">
        <x:f>L1662*M1662</x:f>
        <x:v>2520</x:v>
      </x:c>
      <x:c r="P1662" s="22" t="n">
        <x:f>O1662*(1-N1662)</x:f>
        <x:v>2394</x:v>
      </x:c>
      <x:c r="Q1662" s="22" t="n">
        <x:v>88</x:v>
      </x:c>
      <x:c r="R1662" s="22" t="n">
        <x:f>Q1662*M1662</x:f>
        <x:v>2112</x:v>
      </x:c>
      <x:c r="S1662" s="22" t="n">
        <x:f>P1662-R1662</x:f>
        <x:v>282</x:v>
      </x:c>
      <x:c r="T1662" t="str">
        <x:v>Credit</x:v>
      </x:c>
      <x:c r="U1662" t="str">
        <x:v>Paid</x:v>
      </x:c>
      <x:c r="V1662" t="str">
        <x:v>Delivered</x:v>
      </x:c>
      <x:c r="W1662" t="n">
        <x:v>0</x:v>
      </x:c>
      <x:c r="X1662" t="str"/>
      <x:c r="Y1662" t="str">
        <x:v>Existing Customer</x:v>
      </x:c>
    </x:row>
    <x:row r="1663">
      <x:c r="A1663" t="str">
        <x:v>O001662</x:v>
      </x:c>
      <x:c r="B1663" s="20" t="n">
        <x:v>46266</x:v>
      </x:c>
      <x:c r="C1663" t="str">
        <x:v>C0097</x:v>
      </x:c>
      <x:c r="D1663" t="str">
        <x:v>Classic Stores 97</x:v>
      </x:c>
      <x:c r="E1663" t="str">
        <x:v>Restaurant</x:v>
      </x:c>
      <x:c r="F1663" t="str">
        <x:v>Davanagere</x:v>
      </x:c>
      <x:c r="G1663" t="str">
        <x:v>Priya</x:v>
      </x:c>
      <x:c r="H1663" t="str">
        <x:v>P002</x:v>
      </x:c>
      <x:c r="I1663" t="str">
        <x:v>Sona Masoori Rice 25kg</x:v>
      </x:c>
      <x:c r="J1663" t="str">
        <x:v>Staples</x:v>
      </x:c>
      <x:c r="K1663" t="str">
        <x:v>Fortune</x:v>
      </x:c>
      <x:c r="L1663" s="22" t="n">
        <x:v>1320</x:v>
      </x:c>
      <x:c r="M1663" t="n">
        <x:v>3</x:v>
      </x:c>
      <x:c r="N1663" s="24" t="n">
        <x:v>0</x:v>
      </x:c>
      <x:c r="O1663" s="22" t="n">
        <x:f>L1663*M1663</x:f>
        <x:v>3960</x:v>
      </x:c>
      <x:c r="P1663" s="22" t="n">
        <x:f>O1663*(1-N1663)</x:f>
        <x:v>3960</x:v>
      </x:c>
      <x:c r="Q1663" s="22" t="n">
        <x:v>1160</x:v>
      </x:c>
      <x:c r="R1663" s="22" t="n">
        <x:f>Q1663*M1663</x:f>
        <x:v>3480</x:v>
      </x:c>
      <x:c r="S1663" s="22" t="n">
        <x:f>P1663-R1663</x:f>
        <x:v>480</x:v>
      </x:c>
      <x:c r="T1663" t="str">
        <x:v>UPI</x:v>
      </x:c>
      <x:c r="U1663" t="str">
        <x:v>Paid</x:v>
      </x:c>
      <x:c r="V1663" t="str">
        <x:v>Cancelled</x:v>
      </x:c>
      <x:c r="W1663" t="n">
        <x:v>3</x:v>
      </x:c>
      <x:c r="X1663" t="str">
        <x:v>Cancelled Order</x:v>
      </x:c>
      <x:c r="Y1663" t="str">
        <x:v>Field Visit</x:v>
      </x:c>
    </x:row>
    <x:row r="1664">
      <x:c r="A1664" t="str">
        <x:v>O001663</x:v>
      </x:c>
      <x:c r="B1664" s="20" t="n">
        <x:v>46192</x:v>
      </x:c>
      <x:c r="C1664" t="str">
        <x:v>C0247</x:v>
      </x:c>
      <x:c r="D1664" t="str">
        <x:v>Fresh Canteen 247</x:v>
      </x:c>
      <x:c r="E1664" t="str">
        <x:v>Restaurant</x:v>
      </x:c>
      <x:c r="F1664" t="str">
        <x:v>Hubballi</x:v>
      </x:c>
      <x:c r="G1664" t="str">
        <x:v>Kavya</x:v>
      </x:c>
      <x:c r="H1664" t="str">
        <x:v>P041</x:v>
      </x:c>
      <x:c r="I1664" t="str">
        <x:v>Burger Bun 6pc</x:v>
      </x:c>
      <x:c r="J1664" t="str">
        <x:v>Bakery</x:v>
      </x:c>
      <x:c r="K1664" t="str">
        <x:v>Modern</x:v>
      </x:c>
      <x:c r="L1664" s="22" t="n">
        <x:v>42</x:v>
      </x:c>
      <x:c r="M1664" t="n">
        <x:v>37</x:v>
      </x:c>
      <x:c r="N1664" s="24" t="n">
        <x:v>0.03</x:v>
      </x:c>
      <x:c r="O1664" s="22" t="n">
        <x:f>L1664*M1664</x:f>
        <x:v>1554</x:v>
      </x:c>
      <x:c r="P1664" s="22" t="n">
        <x:f>O1664*(1-N1664)</x:f>
        <x:v>1507.3799999999999</x:v>
      </x:c>
      <x:c r="Q1664" s="22" t="n">
        <x:v>32</x:v>
      </x:c>
      <x:c r="R1664" s="22" t="n">
        <x:f>Q1664*M1664</x:f>
        <x:v>1184</x:v>
      </x:c>
      <x:c r="S1664" s="22" t="n">
        <x:f>P1664-R1664</x:f>
        <x:v>323.3799999999999</x:v>
      </x:c>
      <x:c r="T1664" t="str">
        <x:v>Bank Transfer</x:v>
      </x:c>
      <x:c r="U1664" t="str">
        <x:v>Paid</x:v>
      </x:c>
      <x:c r="V1664" t="str">
        <x:v>Delivered</x:v>
      </x:c>
      <x:c r="W1664" t="n">
        <x:v>0</x:v>
      </x:c>
      <x:c r="X1664" t="str"/>
      <x:c r="Y1664" t="str">
        <x:v>Existing Customer</x:v>
      </x:c>
    </x:row>
    <x:row r="1665">
      <x:c r="A1665" t="str">
        <x:v>O001664</x:v>
      </x:c>
      <x:c r="B1665" s="20" t="n">
        <x:v>46035</x:v>
      </x:c>
      <x:c r="C1665" t="str">
        <x:v>C0195</x:v>
      </x:c>
      <x:c r="D1665" t="str">
        <x:v>Classic Stores 195</x:v>
      </x:c>
      <x:c r="E1665" t="str">
        <x:v>Canteen</x:v>
      </x:c>
      <x:c r="F1665" t="str">
        <x:v>Davanagere</x:v>
      </x:c>
      <x:c r="G1665" t="str">
        <x:v>Kavya</x:v>
      </x:c>
      <x:c r="H1665" t="str">
        <x:v>P037</x:v>
      </x:c>
      <x:c r="I1665" t="str">
        <x:v>Frozen Peas 1kg</x:v>
      </x:c>
      <x:c r="J1665" t="str">
        <x:v>Frozen</x:v>
      </x:c>
      <x:c r="K1665" t="str">
        <x:v>Safal</x:v>
      </x:c>
      <x:c r="L1665" s="22" t="n">
        <x:v>155</x:v>
      </x:c>
      <x:c r="M1665" t="n">
        <x:v>9</x:v>
      </x:c>
      <x:c r="N1665" s="24" t="n">
        <x:v>0.08</x:v>
      </x:c>
      <x:c r="O1665" s="22" t="n">
        <x:f>L1665*M1665</x:f>
        <x:v>1395</x:v>
      </x:c>
      <x:c r="P1665" s="22" t="n">
        <x:f>O1665*(1-N1665)</x:f>
        <x:v>1283.4</x:v>
      </x:c>
      <x:c r="Q1665" s="22" t="n">
        <x:v>138</x:v>
      </x:c>
      <x:c r="R1665" s="22" t="n">
        <x:f>Q1665*M1665</x:f>
        <x:v>1242</x:v>
      </x:c>
      <x:c r="S1665" s="22" t="n">
        <x:f>P1665-R1665</x:f>
        <x:v>41.40000000000009</x:v>
      </x:c>
      <x:c r="T1665" t="str">
        <x:v>Credit</x:v>
      </x:c>
      <x:c r="U1665" t="str">
        <x:v>Paid</x:v>
      </x:c>
      <x:c r="V1665" t="str">
        <x:v>Delayed</x:v>
      </x:c>
      <x:c r="W1665" t="n">
        <x:v>0</x:v>
      </x:c>
      <x:c r="X1665" t="str"/>
      <x:c r="Y1665" t="str">
        <x:v>Field Visit</x:v>
      </x:c>
    </x:row>
    <x:row r="1666">
      <x:c r="A1666" t="str">
        <x:v>O001665</x:v>
      </x:c>
      <x:c r="B1666" s="20" t="n">
        <x:v>46156</x:v>
      </x:c>
      <x:c r="C1666" t="str">
        <x:v>C0031</x:v>
      </x:c>
      <x:c r="D1666" t="str">
        <x:v>Royal Restaurant 31</x:v>
      </x:c>
      <x:c r="E1666" t="str">
        <x:v>Restaurant</x:v>
      </x:c>
      <x:c r="F1666" t="str">
        <x:v>Mangaluru</x:v>
      </x:c>
      <x:c r="G1666" t="str">
        <x:v>Arjun</x:v>
      </x:c>
      <x:c r="H1666" t="str">
        <x:v>P030</x:v>
      </x:c>
      <x:c r="I1666" t="str">
        <x:v>Mayonnaise 1kg</x:v>
      </x:c>
      <x:c r="J1666" t="str">
        <x:v>Condiments</x:v>
      </x:c>
      <x:c r="K1666" t="str">
        <x:v>Veeba</x:v>
      </x:c>
      <x:c r="L1666" s="22" t="n">
        <x:v>210</x:v>
      </x:c>
      <x:c r="M1666" t="n">
        <x:v>30</x:v>
      </x:c>
      <x:c r="N1666" s="24" t="n">
        <x:v>0.02</x:v>
      </x:c>
      <x:c r="O1666" s="22" t="n">
        <x:f>L1666*M1666</x:f>
        <x:v>6300</x:v>
      </x:c>
      <x:c r="P1666" s="22" t="n">
        <x:f>O1666*(1-N1666)</x:f>
        <x:v>6174</x:v>
      </x:c>
      <x:c r="Q1666" s="22" t="n">
        <x:v>185</x:v>
      </x:c>
      <x:c r="R1666" s="22" t="n">
        <x:f>Q1666*M1666</x:f>
        <x:v>5550</x:v>
      </x:c>
      <x:c r="S1666" s="22" t="n">
        <x:f>P1666-R1666</x:f>
        <x:v>624</x:v>
      </x:c>
      <x:c r="T1666" t="str">
        <x:v>UPI</x:v>
      </x:c>
      <x:c r="U1666" t="str">
        <x:v>Paid</x:v>
      </x:c>
      <x:c r="V1666" t="str">
        <x:v>Delivered</x:v>
      </x:c>
      <x:c r="W1666" t="n">
        <x:v>0</x:v>
      </x:c>
      <x:c r="X1666" t="str"/>
      <x:c r="Y1666" t="str">
        <x:v>WhatsApp</x:v>
      </x:c>
    </x:row>
    <x:row r="1667">
      <x:c r="A1667" t="str">
        <x:v>O001666</x:v>
      </x:c>
      <x:c r="B1667" s="20" t="n">
        <x:v>45756</x:v>
      </x:c>
      <x:c r="C1667" t="str">
        <x:v>C0201</x:v>
      </x:c>
      <x:c r="D1667" t="str">
        <x:v>Metro Hotel 201</x:v>
      </x:c>
      <x:c r="E1667" t="str">
        <x:v>Kirana</x:v>
      </x:c>
      <x:c r="F1667" t="str">
        <x:v>Mysuru</x:v>
      </x:c>
      <x:c r="G1667" t="str">
        <x:v>Imran</x:v>
      </x:c>
      <x:c r="H1667" t="str">
        <x:v>P005</x:v>
      </x:c>
      <x:c r="I1667" t="str">
        <x:v>Chana Dal 5kg</x:v>
      </x:c>
      <x:c r="J1667" t="str">
        <x:v>Pulses</x:v>
      </x:c>
      <x:c r="K1667" t="str">
        <x:v>Local Select</x:v>
      </x:c>
      <x:c r="L1667" s="22" t="n">
        <x:v>520</x:v>
      </x:c>
      <x:c r="M1667" t="n">
        <x:v>35</x:v>
      </x:c>
      <x:c r="N1667" s="24" t="n">
        <x:v>0.05</x:v>
      </x:c>
      <x:c r="O1667" s="22" t="n">
        <x:f>L1667*M1667</x:f>
        <x:v>18200</x:v>
      </x:c>
      <x:c r="P1667" s="22" t="n">
        <x:f>O1667*(1-N1667)</x:f>
        <x:v>17290</x:v>
      </x:c>
      <x:c r="Q1667" s="22" t="n">
        <x:v>455</x:v>
      </x:c>
      <x:c r="R1667" s="22" t="n">
        <x:f>Q1667*M1667</x:f>
        <x:v>15925</x:v>
      </x:c>
      <x:c r="S1667" s="22" t="n">
        <x:f>P1667-R1667</x:f>
        <x:v>1365</x:v>
      </x:c>
      <x:c r="T1667" t="str">
        <x:v>Bank Transfer</x:v>
      </x:c>
      <x:c r="U1667" t="str">
        <x:v>Paid</x:v>
      </x:c>
      <x:c r="V1667" t="str">
        <x:v>Delayed</x:v>
      </x:c>
      <x:c r="W1667" t="n">
        <x:v>0</x:v>
      </x:c>
      <x:c r="X1667" t="str"/>
      <x:c r="Y1667" t="str">
        <x:v>Existing Customer</x:v>
      </x:c>
    </x:row>
    <x:row r="1668">
      <x:c r="A1668" t="str">
        <x:v>O001667</x:v>
      </x:c>
      <x:c r="B1668" s="20" t="n">
        <x:v>45930</x:v>
      </x:c>
      <x:c r="C1668" t="str">
        <x:v>C0036</x:v>
      </x:c>
      <x:c r="D1668" t="str">
        <x:v>Grand Hotel 36</x:v>
      </x:c>
      <x:c r="E1668" t="str">
        <x:v>Canteen</x:v>
      </x:c>
      <x:c r="F1668" t="str">
        <x:v>Tumakuru</x:v>
      </x:c>
      <x:c r="G1668" t="str">
        <x:v>Kavya</x:v>
      </x:c>
      <x:c r="H1668" t="str">
        <x:v>P028</x:v>
      </x:c>
      <x:c r="I1668" t="str">
        <x:v>Cookies 200g</x:v>
      </x:c>
      <x:c r="J1668" t="str">
        <x:v>Snacks</x:v>
      </x:c>
      <x:c r="K1668" t="str">
        <x:v>Britannia</x:v>
      </x:c>
      <x:c r="L1668" s="22" t="n">
        <x:v>55</x:v>
      </x:c>
      <x:c r="M1668" t="n">
        <x:v>12</x:v>
      </x:c>
      <x:c r="N1668" s="24" t="n">
        <x:v>0</x:v>
      </x:c>
      <x:c r="O1668" s="22" t="n">
        <x:f>L1668*M1668</x:f>
        <x:v>660</x:v>
      </x:c>
      <x:c r="P1668" s="22" t="n">
        <x:f>O1668*(1-N1668)</x:f>
        <x:v>660</x:v>
      </x:c>
      <x:c r="Q1668" s="22" t="n">
        <x:v>42</x:v>
      </x:c>
      <x:c r="R1668" s="22" t="n">
        <x:f>Q1668*M1668</x:f>
        <x:v>504</x:v>
      </x:c>
      <x:c r="S1668" s="22" t="n">
        <x:f>P1668-R1668</x:f>
        <x:v>156</x:v>
      </x:c>
      <x:c r="T1668" t="str">
        <x:v>Credit</x:v>
      </x:c>
      <x:c r="U1668" t="str">
        <x:v>Paid</x:v>
      </x:c>
      <x:c r="V1668" t="str">
        <x:v>Delayed</x:v>
      </x:c>
      <x:c r="W1668" t="n">
        <x:v>0</x:v>
      </x:c>
      <x:c r="X1668" t="str"/>
      <x:c r="Y1668" t="str">
        <x:v>Outbound Call</x:v>
      </x:c>
    </x:row>
    <x:row r="1669">
      <x:c r="A1669" t="str">
        <x:v>O001668</x:v>
      </x:c>
      <x:c r="B1669" s="20" t="n">
        <x:v>45928</x:v>
      </x:c>
      <x:c r="C1669" t="str">
        <x:v>C0208</x:v>
      </x:c>
      <x:c r="D1669" t="str">
        <x:v>Green Foods 208</x:v>
      </x:c>
      <x:c r="E1669" t="str">
        <x:v>Hotel</x:v>
      </x:c>
      <x:c r="F1669" t="str">
        <x:v>Mysuru</x:v>
      </x:c>
      <x:c r="G1669" t="str">
        <x:v>Ramesh</x:v>
      </x:c>
      <x:c r="H1669" t="str">
        <x:v>P046</x:v>
      </x:c>
      <x:c r="I1669" t="str">
        <x:v>Potato 25kg</x:v>
      </x:c>
      <x:c r="J1669" t="str">
        <x:v>Fresh Produce</x:v>
      </x:c>
      <x:c r="K1669" t="str">
        <x:v>Local Market</x:v>
      </x:c>
      <x:c r="L1669" s="22" t="n">
        <x:v>700</x:v>
      </x:c>
      <x:c r="M1669" t="n">
        <x:v>24</x:v>
      </x:c>
      <x:c r="N1669" s="24" t="n">
        <x:v>0.02</x:v>
      </x:c>
      <x:c r="O1669" s="22" t="n">
        <x:f>L1669*M1669</x:f>
        <x:v>16800</x:v>
      </x:c>
      <x:c r="P1669" s="22" t="n">
        <x:f>O1669*(1-N1669)</x:f>
        <x:v>16464</x:v>
      </x:c>
      <x:c r="Q1669" s="22" t="n">
        <x:v>610</x:v>
      </x:c>
      <x:c r="R1669" s="22" t="n">
        <x:f>Q1669*M1669</x:f>
        <x:v>14640</x:v>
      </x:c>
      <x:c r="S1669" s="22" t="n">
        <x:f>P1669-R1669</x:f>
        <x:v>1824</x:v>
      </x:c>
      <x:c r="T1669" t="str">
        <x:v>Bank Transfer</x:v>
      </x:c>
      <x:c r="U1669" t="str">
        <x:v>Paid</x:v>
      </x:c>
      <x:c r="V1669" t="str">
        <x:v>Delayed</x:v>
      </x:c>
      <x:c r="W1669" t="n">
        <x:v>0</x:v>
      </x:c>
      <x:c r="X1669" t="str"/>
      <x:c r="Y1669" t="str">
        <x:v>Field Visit</x:v>
      </x:c>
    </x:row>
    <x:row r="1670">
      <x:c r="A1670" t="str">
        <x:v>O001669</x:v>
      </x:c>
      <x:c r="B1670" s="20" t="n">
        <x:v>45704</x:v>
      </x:c>
      <x:c r="C1670" t="str">
        <x:v>C0096</x:v>
      </x:c>
      <x:c r="D1670" t="str">
        <x:v>Metro Foods 96</x:v>
      </x:c>
      <x:c r="E1670" t="str">
        <x:v>Kirana</x:v>
      </x:c>
      <x:c r="F1670" t="str">
        <x:v>Davanagere</x:v>
      </x:c>
      <x:c r="G1670" t="str">
        <x:v>Vikram</x:v>
      </x:c>
      <x:c r="H1670" t="str">
        <x:v>P032</x:v>
      </x:c>
      <x:c r="I1670" t="str">
        <x:v>Soy Sauce 700g</x:v>
      </x:c>
      <x:c r="J1670" t="str">
        <x:v>Condiments</x:v>
      </x:c>
      <x:c r="K1670" t="str">
        <x:v>Ching's</x:v>
      </x:c>
      <x:c r="L1670" s="22" t="n">
        <x:v>118</x:v>
      </x:c>
      <x:c r="M1670" t="n">
        <x:v>21</x:v>
      </x:c>
      <x:c r="N1670" s="24" t="n">
        <x:v>0.03</x:v>
      </x:c>
      <x:c r="O1670" s="22" t="n">
        <x:f>L1670*M1670</x:f>
        <x:v>2478</x:v>
      </x:c>
      <x:c r="P1670" s="22" t="n">
        <x:f>O1670*(1-N1670)</x:f>
        <x:v>2403.66</x:v>
      </x:c>
      <x:c r="Q1670" s="22" t="n">
        <x:v>101</x:v>
      </x:c>
      <x:c r="R1670" s="22" t="n">
        <x:f>Q1670*M1670</x:f>
        <x:v>2121</x:v>
      </x:c>
      <x:c r="S1670" s="22" t="n">
        <x:f>P1670-R1670</x:f>
        <x:v>282.65999999999985</x:v>
      </x:c>
      <x:c r="T1670" t="str">
        <x:v>Bank Transfer</x:v>
      </x:c>
      <x:c r="U1670" t="str">
        <x:v>Paid</x:v>
      </x:c>
      <x:c r="V1670" t="str">
        <x:v>Delayed</x:v>
      </x:c>
      <x:c r="W1670" t="n">
        <x:v>0</x:v>
      </x:c>
      <x:c r="X1670" t="str"/>
      <x:c r="Y1670" t="str">
        <x:v>Referral</x:v>
      </x:c>
    </x:row>
    <x:row r="1671">
      <x:c r="A1671" t="str">
        <x:v>O001670</x:v>
      </x:c>
      <x:c r="B1671" s="20" t="n">
        <x:v>46166</x:v>
      </x:c>
      <x:c r="C1671" t="str">
        <x:v>C0223</x:v>
      </x:c>
      <x:c r="D1671" t="str">
        <x:v>Classic Canteen 223</x:v>
      </x:c>
      <x:c r="E1671" t="str">
        <x:v>Restaurant</x:v>
      </x:c>
      <x:c r="F1671" t="str">
        <x:v>Tumakuru</x:v>
      </x:c>
      <x:c r="G1671" t="str">
        <x:v>Kavya</x:v>
      </x:c>
      <x:c r="H1671" t="str">
        <x:v>P024</x:v>
      </x:c>
      <x:c r="I1671" t="str">
        <x:v>Orange Drink 1L</x:v>
      </x:c>
      <x:c r="J1671" t="str">
        <x:v>Beverage</x:v>
      </x:c>
      <x:c r="K1671" t="str">
        <x:v>Minute Maid</x:v>
      </x:c>
      <x:c r="L1671" s="22" t="n">
        <x:v>105</x:v>
      </x:c>
      <x:c r="M1671" t="n">
        <x:v>1</x:v>
      </x:c>
      <x:c r="N1671" s="24" t="n">
        <x:v>0.05</x:v>
      </x:c>
      <x:c r="O1671" s="22" t="n">
        <x:f>L1671*M1671</x:f>
        <x:v>105</x:v>
      </x:c>
      <x:c r="P1671" s="22" t="n">
        <x:f>O1671*(1-N1671)</x:f>
        <x:v>99.75</x:v>
      </x:c>
      <x:c r="Q1671" s="22" t="n">
        <x:v>88</x:v>
      </x:c>
      <x:c r="R1671" s="22" t="n">
        <x:f>Q1671*M1671</x:f>
        <x:v>88</x:v>
      </x:c>
      <x:c r="S1671" s="22" t="n">
        <x:f>P1671-R1671</x:f>
        <x:v>11.75</x:v>
      </x:c>
      <x:c r="T1671" t="str">
        <x:v>UPI</x:v>
      </x:c>
      <x:c r="U1671" t="str">
        <x:v>Overdue</x:v>
      </x:c>
      <x:c r="V1671" t="str">
        <x:v>Delivered</x:v>
      </x:c>
      <x:c r="W1671" t="n">
        <x:v>1</x:v>
      </x:c>
      <x:c r="X1671" t="str">
        <x:v>Wrong Item</x:v>
      </x:c>
      <x:c r="Y1671" t="str">
        <x:v>Field Visit</x:v>
      </x:c>
    </x:row>
    <x:row r="1672">
      <x:c r="A1672" t="str">
        <x:v>O001671</x:v>
      </x:c>
      <x:c r="B1672" s="20" t="n">
        <x:v>46128</x:v>
      </x:c>
      <x:c r="C1672" t="str">
        <x:v>C0244</x:v>
      </x:c>
      <x:c r="D1672" t="str">
        <x:v>Namma Hotel 244</x:v>
      </x:c>
      <x:c r="E1672" t="str">
        <x:v>Kirana</x:v>
      </x:c>
      <x:c r="F1672" t="str">
        <x:v>Tumakuru</x:v>
      </x:c>
      <x:c r="G1672" t="str">
        <x:v>Sneha</x:v>
      </x:c>
      <x:c r="H1672" t="str">
        <x:v>P004</x:v>
      </x:c>
      <x:c r="I1672" t="str">
        <x:v>Toor Dal 5kg</x:v>
      </x:c>
      <x:c r="J1672" t="str">
        <x:v>Pulses</x:v>
      </x:c>
      <x:c r="K1672" t="str">
        <x:v>Tata Sampann</x:v>
      </x:c>
      <x:c r="L1672" s="22" t="n">
        <x:v>780</x:v>
      </x:c>
      <x:c r="M1672" t="n">
        <x:v>11</x:v>
      </x:c>
      <x:c r="N1672" s="24" t="n">
        <x:v>0</x:v>
      </x:c>
      <x:c r="O1672" s="22" t="n">
        <x:f>L1672*M1672</x:f>
        <x:v>8580</x:v>
      </x:c>
      <x:c r="P1672" s="22" t="n">
        <x:f>O1672*(1-N1672)</x:f>
        <x:v>8580</x:v>
      </x:c>
      <x:c r="Q1672" s="22" t="n">
        <x:v>695</x:v>
      </x:c>
      <x:c r="R1672" s="22" t="n">
        <x:f>Q1672*M1672</x:f>
        <x:v>7645</x:v>
      </x:c>
      <x:c r="S1672" s="22" t="n">
        <x:f>P1672-R1672</x:f>
        <x:v>935</x:v>
      </x:c>
      <x:c r="T1672" t="str">
        <x:v>Bank Transfer</x:v>
      </x:c>
      <x:c r="U1672" t="str">
        <x:v>Paid</x:v>
      </x:c>
      <x:c r="V1672" t="str">
        <x:v>Delivered</x:v>
      </x:c>
      <x:c r="W1672" t="n">
        <x:v>0</x:v>
      </x:c>
      <x:c r="X1672" t="str"/>
      <x:c r="Y1672" t="str">
        <x:v>Existing Customer</x:v>
      </x:c>
    </x:row>
    <x:row r="1673">
      <x:c r="A1673" t="str">
        <x:v>O001672</x:v>
      </x:c>
      <x:c r="B1673" s="20" t="n">
        <x:v>45993</x:v>
      </x:c>
      <x:c r="C1673" t="str">
        <x:v>C0144</x:v>
      </x:c>
      <x:c r="D1673" t="str">
        <x:v>Namma Foods 144</x:v>
      </x:c>
      <x:c r="E1673" t="str">
        <x:v>Restaurant</x:v>
      </x:c>
      <x:c r="F1673" t="str">
        <x:v>Tumakuru</x:v>
      </x:c>
      <x:c r="G1673" t="str">
        <x:v>Arjun</x:v>
      </x:c>
      <x:c r="H1673" t="str">
        <x:v>P040</x:v>
      </x:c>
      <x:c r="I1673" t="str">
        <x:v>Bread Loaf 400g</x:v>
      </x:c>
      <x:c r="J1673" t="str">
        <x:v>Bakery</x:v>
      </x:c>
      <x:c r="K1673" t="str">
        <x:v>Britannia</x:v>
      </x:c>
      <x:c r="L1673" s="22" t="n">
        <x:v>45</x:v>
      </x:c>
      <x:c r="M1673" t="n">
        <x:v>18</x:v>
      </x:c>
      <x:c r="N1673" s="24" t="n">
        <x:v>0</x:v>
      </x:c>
      <x:c r="O1673" s="22" t="n">
        <x:f>L1673*M1673</x:f>
        <x:v>810</x:v>
      </x:c>
      <x:c r="P1673" s="22" t="n">
        <x:f>O1673*(1-N1673)</x:f>
        <x:v>810</x:v>
      </x:c>
      <x:c r="Q1673" s="22" t="n">
        <x:v>35</x:v>
      </x:c>
      <x:c r="R1673" s="22" t="n">
        <x:f>Q1673*M1673</x:f>
        <x:v>630</x:v>
      </x:c>
      <x:c r="S1673" s="22" t="n">
        <x:f>P1673-R1673</x:f>
        <x:v>180</x:v>
      </x:c>
      <x:c r="T1673" t="str">
        <x:v>UPI</x:v>
      </x:c>
      <x:c r="U1673" t="str">
        <x:v>Paid</x:v>
      </x:c>
      <x:c r="V1673" t="str">
        <x:v>Cancelled</x:v>
      </x:c>
      <x:c r="W1673" t="n">
        <x:v>18</x:v>
      </x:c>
      <x:c r="X1673" t="str">
        <x:v>Cancelled Order</x:v>
      </x:c>
      <x:c r="Y1673" t="str">
        <x:v>Existing Customer</x:v>
      </x:c>
    </x:row>
    <x:row r="1674">
      <x:c r="A1674" t="str">
        <x:v>O001673</x:v>
      </x:c>
      <x:c r="B1674" s="20" t="n">
        <x:v>46121</x:v>
      </x:c>
      <x:c r="C1674" t="str">
        <x:v>C0177</x:v>
      </x:c>
      <x:c r="D1674" t="str">
        <x:v>Classic Cafe 177</x:v>
      </x:c>
      <x:c r="E1674" t="str">
        <x:v>Supermarket</x:v>
      </x:c>
      <x:c r="F1674" t="str">
        <x:v>Bengaluru</x:v>
      </x:c>
      <x:c r="G1674" t="str">
        <x:v>Arjun</x:v>
      </x:c>
      <x:c r="H1674" t="str">
        <x:v>P017</x:v>
      </x:c>
      <x:c r="I1674" t="str">
        <x:v>Butter 500g</x:v>
      </x:c>
      <x:c r="J1674" t="str">
        <x:v>Dairy</x:v>
      </x:c>
      <x:c r="K1674" t="str">
        <x:v>Amul</x:v>
      </x:c>
      <x:c r="L1674" s="22" t="n">
        <x:v>285</x:v>
      </x:c>
      <x:c r="M1674" t="n">
        <x:v>16</x:v>
      </x:c>
      <x:c r="N1674" s="24" t="n">
        <x:v>0</x:v>
      </x:c>
      <x:c r="O1674" s="22" t="n">
        <x:f>L1674*M1674</x:f>
        <x:v>4560</x:v>
      </x:c>
      <x:c r="P1674" s="22" t="n">
        <x:f>O1674*(1-N1674)</x:f>
        <x:v>4560</x:v>
      </x:c>
      <x:c r="Q1674" s="22" t="n">
        <x:v>258</x:v>
      </x:c>
      <x:c r="R1674" s="22" t="n">
        <x:f>Q1674*M1674</x:f>
        <x:v>4128</x:v>
      </x:c>
      <x:c r="S1674" s="22" t="n">
        <x:f>P1674-R1674</x:f>
        <x:v>432</x:v>
      </x:c>
      <x:c r="T1674" t="str">
        <x:v>Credit</x:v>
      </x:c>
      <x:c r="U1674" t="str">
        <x:v>Paid</x:v>
      </x:c>
      <x:c r="V1674" t="str">
        <x:v>Delayed</x:v>
      </x:c>
      <x:c r="W1674" t="n">
        <x:v>0</x:v>
      </x:c>
      <x:c r="X1674" t="str"/>
      <x:c r="Y1674" t="str"/>
    </x:row>
    <x:row r="1675">
      <x:c r="A1675" t="str">
        <x:v>O001674</x:v>
      </x:c>
      <x:c r="B1675" s="20" t="n">
        <x:v>46017</x:v>
      </x:c>
      <x:c r="C1675" t="str">
        <x:v>C0017</x:v>
      </x:c>
      <x:c r="D1675" t="str">
        <x:v>City Foods 17</x:v>
      </x:c>
      <x:c r="E1675" t="str">
        <x:v>Restaurant</x:v>
      </x:c>
      <x:c r="F1675" t="str">
        <x:v>Tumakuru</x:v>
      </x:c>
      <x:c r="G1675" t="str">
        <x:v>Imran</x:v>
      </x:c>
      <x:c r="H1675" t="str">
        <x:v>P004</x:v>
      </x:c>
      <x:c r="I1675" t="str">
        <x:v>Toor Dal 5kg</x:v>
      </x:c>
      <x:c r="J1675" t="str">
        <x:v>Pulses</x:v>
      </x:c>
      <x:c r="K1675" t="str">
        <x:v>Tata Sampann</x:v>
      </x:c>
      <x:c r="L1675" s="22" t="n">
        <x:v>780</x:v>
      </x:c>
      <x:c r="M1675" t="n">
        <x:v>36</x:v>
      </x:c>
      <x:c r="N1675" s="24" t="n">
        <x:v>0.05</x:v>
      </x:c>
      <x:c r="O1675" s="22" t="n">
        <x:f>L1675*M1675</x:f>
        <x:v>28080</x:v>
      </x:c>
      <x:c r="P1675" s="22" t="n">
        <x:f>O1675*(1-N1675)</x:f>
        <x:v>26676</x:v>
      </x:c>
      <x:c r="Q1675" s="22" t="n">
        <x:v>695</x:v>
      </x:c>
      <x:c r="R1675" s="22" t="n">
        <x:f>Q1675*M1675</x:f>
        <x:v>25020</x:v>
      </x:c>
      <x:c r="S1675" s="22" t="n">
        <x:f>P1675-R1675</x:f>
        <x:v>1656</x:v>
      </x:c>
      <x:c r="T1675" t="str">
        <x:v>UPI</x:v>
      </x:c>
      <x:c r="U1675" t="str">
        <x:v>Paid</x:v>
      </x:c>
      <x:c r="V1675" t="str">
        <x:v>Delayed</x:v>
      </x:c>
      <x:c r="W1675" t="n">
        <x:v>0</x:v>
      </x:c>
      <x:c r="X1675" t="str"/>
      <x:c r="Y1675" t="str">
        <x:v>Field Visit</x:v>
      </x:c>
    </x:row>
    <x:row r="1676">
      <x:c r="A1676" t="str">
        <x:v>O001675</x:v>
      </x:c>
      <x:c r="B1676" s="20" t="n">
        <x:v>46132</x:v>
      </x:c>
      <x:c r="C1676" t="str">
        <x:v>C0157</x:v>
      </x:c>
      <x:c r="D1676" t="str">
        <x:v>Fresh Canteen 157</x:v>
      </x:c>
      <x:c r="E1676" t="str">
        <x:v>Kirana</x:v>
      </x:c>
      <x:c r="F1676" t="str">
        <x:v>Mangaluru</x:v>
      </x:c>
      <x:c r="G1676" t="str">
        <x:v>Priya</x:v>
      </x:c>
      <x:c r="H1676" t="str">
        <x:v>P012</x:v>
      </x:c>
      <x:c r="I1676" t="str">
        <x:v>Maida 10kg</x:v>
      </x:c>
      <x:c r="J1676" t="str">
        <x:v>Flour</x:v>
      </x:c>
      <x:c r="K1676" t="str">
        <x:v>Aashirvaad</x:v>
      </x:c>
      <x:c r="L1676" s="22" t="n">
        <x:v>520</x:v>
      </x:c>
      <x:c r="M1676" t="n">
        <x:v>7</x:v>
      </x:c>
      <x:c r="N1676" s="24" t="n">
        <x:v>0.1</x:v>
      </x:c>
      <x:c r="O1676" s="22" t="n">
        <x:f>L1676*M1676</x:f>
        <x:v>3640</x:v>
      </x:c>
      <x:c r="P1676" s="22" t="n">
        <x:f>O1676*(1-N1676)</x:f>
        <x:v>3276</x:v>
      </x:c>
      <x:c r="Q1676" s="22" t="n">
        <x:v>460</x:v>
      </x:c>
      <x:c r="R1676" s="22" t="n">
        <x:f>Q1676*M1676</x:f>
        <x:v>3220</x:v>
      </x:c>
      <x:c r="S1676" s="22" t="n">
        <x:f>P1676-R1676</x:f>
        <x:v>56</x:v>
      </x:c>
      <x:c r="T1676" t="str">
        <x:v>UPI</x:v>
      </x:c>
      <x:c r="U1676" t="str">
        <x:v>Paid</x:v>
      </x:c>
      <x:c r="V1676" t="str">
        <x:v>Delivered</x:v>
      </x:c>
      <x:c r="W1676" t="n">
        <x:v>0</x:v>
      </x:c>
      <x:c r="X1676" t="str"/>
      <x:c r="Y1676" t="str">
        <x:v>Outbound Call</x:v>
      </x:c>
    </x:row>
    <x:row r="1677">
      <x:c r="A1677" t="str">
        <x:v>O001676</x:v>
      </x:c>
      <x:c r="B1677" s="20" t="n">
        <x:v>45712</x:v>
      </x:c>
      <x:c r="C1677" t="str">
        <x:v>C0059</x:v>
      </x:c>
      <x:c r="D1677" t="str">
        <x:v>Spice Foods 59</x:v>
      </x:c>
      <x:c r="E1677" t="str">
        <x:v>Hotel</x:v>
      </x:c>
      <x:c r="F1677" t="str">
        <x:v>Hubballi</x:v>
      </x:c>
      <x:c r="G1677" t="str">
        <x:v>Sneha</x:v>
      </x:c>
      <x:c r="H1677" t="str">
        <x:v>P029</x:v>
      </x:c>
      <x:c r="I1677" t="str">
        <x:v>Tomato Ketchup 1kg</x:v>
      </x:c>
      <x:c r="J1677" t="str">
        <x:v>Condiments</x:v>
      </x:c>
      <x:c r="K1677" t="str">
        <x:v>Kissan</x:v>
      </x:c>
      <x:c r="L1677" s="22" t="n">
        <x:v>145</x:v>
      </x:c>
      <x:c r="M1677" t="n">
        <x:v>37</x:v>
      </x:c>
      <x:c r="N1677" s="24" t="n">
        <x:v>0</x:v>
      </x:c>
      <x:c r="O1677" s="22" t="n">
        <x:f>L1677*M1677</x:f>
        <x:v>5365</x:v>
      </x:c>
      <x:c r="P1677" s="22" t="n">
        <x:f>O1677*(1-N1677)</x:f>
        <x:v>5365</x:v>
      </x:c>
      <x:c r="Q1677" s="22" t="n">
        <x:v>126</x:v>
      </x:c>
      <x:c r="R1677" s="22" t="n">
        <x:f>Q1677*M1677</x:f>
        <x:v>4662</x:v>
      </x:c>
      <x:c r="S1677" s="22" t="n">
        <x:f>P1677-R1677</x:f>
        <x:v>703</x:v>
      </x:c>
      <x:c r="T1677" t="str">
        <x:v>UPI</x:v>
      </x:c>
      <x:c r="U1677" t="str">
        <x:v>Paid</x:v>
      </x:c>
      <x:c r="V1677" t="str">
        <x:v>Delivered</x:v>
      </x:c>
      <x:c r="W1677" t="n">
        <x:v>0</x:v>
      </x:c>
      <x:c r="X1677" t="str"/>
      <x:c r="Y1677" t="str">
        <x:v>Existing Customer</x:v>
      </x:c>
    </x:row>
    <x:row r="1678">
      <x:c r="A1678" t="str">
        <x:v>O001677</x:v>
      </x:c>
      <x:c r="B1678" s="20" t="n">
        <x:v>46153</x:v>
      </x:c>
      <x:c r="C1678" t="str">
        <x:v>C0004</x:v>
      </x:c>
      <x:c r="D1678" t="str">
        <x:v>Annapurna Foods 4</x:v>
      </x:c>
      <x:c r="E1678" t="str">
        <x:v>Cafe</x:v>
      </x:c>
      <x:c r="F1678" t="str">
        <x:v>Mysuru</x:v>
      </x:c>
      <x:c r="G1678" t="str">
        <x:v>Priya</x:v>
      </x:c>
      <x:c r="H1678" t="str">
        <x:v>P001</x:v>
      </x:c>
      <x:c r="I1678" t="str">
        <x:v>Steam Rice 25kg</x:v>
      </x:c>
      <x:c r="J1678" t="str">
        <x:v>Staples</x:v>
      </x:c>
      <x:c r="K1678" t="str">
        <x:v>Aishwarya</x:v>
      </x:c>
      <x:c r="L1678" s="22" t="n">
        <x:v>1180</x:v>
      </x:c>
      <x:c r="M1678" t="n">
        <x:v>12</x:v>
      </x:c>
      <x:c r="N1678" s="24" t="n">
        <x:v>0.05</x:v>
      </x:c>
      <x:c r="O1678" s="22" t="n">
        <x:f>L1678*M1678</x:f>
        <x:v>14160</x:v>
      </x:c>
      <x:c r="P1678" s="22" t="n">
        <x:f>O1678*(1-N1678)</x:f>
        <x:v>13452</x:v>
      </x:c>
      <x:c r="Q1678" s="22" t="n">
        <x:v>1040</x:v>
      </x:c>
      <x:c r="R1678" s="22" t="n">
        <x:f>Q1678*M1678</x:f>
        <x:v>12480</x:v>
      </x:c>
      <x:c r="S1678" s="22" t="n">
        <x:f>P1678-R1678</x:f>
        <x:v>972</x:v>
      </x:c>
      <x:c r="T1678" t="str">
        <x:v>UPI</x:v>
      </x:c>
      <x:c r="U1678" t="str">
        <x:v>Pending</x:v>
      </x:c>
      <x:c r="V1678" t="str">
        <x:v>Delayed</x:v>
      </x:c>
      <x:c r="W1678" t="n">
        <x:v>0</x:v>
      </x:c>
      <x:c r="X1678" t="str"/>
      <x:c r="Y1678" t="str">
        <x:v>Field Visit</x:v>
      </x:c>
    </x:row>
    <x:row r="1679">
      <x:c r="A1679" t="str">
        <x:v>O001678</x:v>
      </x:c>
      <x:c r="B1679" s="20" t="n">
        <x:v>45958</x:v>
      </x:c>
      <x:c r="C1679" t="str">
        <x:v>C0084</x:v>
      </x:c>
      <x:c r="D1679" t="str">
        <x:v>Green Cafe 84</x:v>
      </x:c>
      <x:c r="E1679" t="str">
        <x:v>Hotel</x:v>
      </x:c>
      <x:c r="F1679" t="str">
        <x:v>Mysuru</x:v>
      </x:c>
      <x:c r="G1679" t="str">
        <x:v>Priya</x:v>
      </x:c>
      <x:c r="H1679" t="str">
        <x:v>P045</x:v>
      </x:c>
      <x:c r="I1679" t="str">
        <x:v>Onion 25kg</x:v>
      </x:c>
      <x:c r="J1679" t="str">
        <x:v>Fresh Produce</x:v>
      </x:c>
      <x:c r="K1679" t="str">
        <x:v>Local Market</x:v>
      </x:c>
      <x:c r="L1679" s="22" t="n">
        <x:v>875</x:v>
      </x:c>
      <x:c r="M1679" t="n">
        <x:v>15</x:v>
      </x:c>
      <x:c r="N1679" s="24" t="n">
        <x:v>0.05</x:v>
      </x:c>
      <x:c r="O1679" s="22" t="n">
        <x:f>L1679*M1679</x:f>
        <x:v>13125</x:v>
      </x:c>
      <x:c r="P1679" s="22" t="n">
        <x:f>O1679*(1-N1679)</x:f>
        <x:v>12468.75</x:v>
      </x:c>
      <x:c r="Q1679" s="22" t="n">
        <x:v>760</x:v>
      </x:c>
      <x:c r="R1679" s="22" t="n">
        <x:f>Q1679*M1679</x:f>
        <x:v>11400</x:v>
      </x:c>
      <x:c r="S1679" s="22" t="n">
        <x:f>P1679-R1679</x:f>
        <x:v>1068.75</x:v>
      </x:c>
      <x:c r="T1679" t="str">
        <x:v>Bank Transfer</x:v>
      </x:c>
      <x:c r="U1679" t="str">
        <x:v>Pending</x:v>
      </x:c>
      <x:c r="V1679" t="str">
        <x:v>Delayed</x:v>
      </x:c>
      <x:c r="W1679" t="n">
        <x:v>0</x:v>
      </x:c>
      <x:c r="X1679" t="str"/>
      <x:c r="Y1679" t="str">
        <x:v>WhatsApp</x:v>
      </x:c>
    </x:row>
    <x:row r="1680">
      <x:c r="A1680" t="str">
        <x:v>O001679</x:v>
      </x:c>
      <x:c r="B1680" s="20" t="n">
        <x:v>45876</x:v>
      </x:c>
      <x:c r="C1680" t="str">
        <x:v>C0143</x:v>
      </x:c>
      <x:c r="D1680" t="str">
        <x:v>Foodie Restaurant 143</x:v>
      </x:c>
      <x:c r="E1680" t="str">
        <x:v>Restaurant</x:v>
      </x:c>
      <x:c r="F1680" t="str">
        <x:v>Hubballi</x:v>
      </x:c>
      <x:c r="G1680" t="str">
        <x:v>Priya</x:v>
      </x:c>
      <x:c r="H1680" t="str">
        <x:v>P037</x:v>
      </x:c>
      <x:c r="I1680" t="str">
        <x:v>Frozen Peas 1kg</x:v>
      </x:c>
      <x:c r="J1680" t="str">
        <x:v>Frozen</x:v>
      </x:c>
      <x:c r="K1680" t="str">
        <x:v>Safal</x:v>
      </x:c>
      <x:c r="L1680" s="22" t="n">
        <x:v>155</x:v>
      </x:c>
      <x:c r="M1680" t="n">
        <x:v>27</x:v>
      </x:c>
      <x:c r="N1680" s="24" t="n">
        <x:v>0.02</x:v>
      </x:c>
      <x:c r="O1680" s="22" t="n">
        <x:f>L1680*M1680</x:f>
        <x:v>4185</x:v>
      </x:c>
      <x:c r="P1680" s="22" t="n">
        <x:f>O1680*(1-N1680)</x:f>
        <x:v>4101.3</x:v>
      </x:c>
      <x:c r="Q1680" s="22" t="n">
        <x:v>138</x:v>
      </x:c>
      <x:c r="R1680" s="22" t="n">
        <x:f>Q1680*M1680</x:f>
        <x:v>3726</x:v>
      </x:c>
      <x:c r="S1680" s="22" t="n">
        <x:f>P1680-R1680</x:f>
        <x:v>375.3000000000002</x:v>
      </x:c>
      <x:c r="T1680" t="str">
        <x:v>Cash</x:v>
      </x:c>
      <x:c r="U1680" t="str">
        <x:v>Paid</x:v>
      </x:c>
      <x:c r="V1680" t="str">
        <x:v>Delivered</x:v>
      </x:c>
      <x:c r="W1680" t="n">
        <x:v>0</x:v>
      </x:c>
      <x:c r="X1680" t="str"/>
      <x:c r="Y1680" t="str">
        <x:v>WhatsApp</x:v>
      </x:c>
    </x:row>
    <x:row r="1681">
      <x:c r="A1681" t="str">
        <x:v>O001680</x:v>
      </x:c>
      <x:c r="B1681" s="20" t="n">
        <x:v>46185</x:v>
      </x:c>
      <x:c r="C1681" t="str">
        <x:v>C0023</x:v>
      </x:c>
      <x:c r="D1681" t="str">
        <x:v>Mysore Canteen 23</x:v>
      </x:c>
      <x:c r="E1681" t="str">
        <x:v>Cafe</x:v>
      </x:c>
      <x:c r="F1681" t="str">
        <x:v>Hubballi</x:v>
      </x:c>
      <x:c r="G1681" t="str">
        <x:v>Sneha</x:v>
      </x:c>
      <x:c r="H1681" t="str">
        <x:v>P040</x:v>
      </x:c>
      <x:c r="I1681" t="str">
        <x:v>Bread Loaf 400g</x:v>
      </x:c>
      <x:c r="J1681" t="str">
        <x:v>Bakery</x:v>
      </x:c>
      <x:c r="K1681" t="str">
        <x:v>Britannia</x:v>
      </x:c>
      <x:c r="L1681" s="22" t="n">
        <x:v>45</x:v>
      </x:c>
      <x:c r="M1681" t="n">
        <x:v>10</x:v>
      </x:c>
      <x:c r="N1681" s="24" t="n">
        <x:v>0.1</x:v>
      </x:c>
      <x:c r="O1681" s="22" t="n">
        <x:f>L1681*M1681</x:f>
        <x:v>450</x:v>
      </x:c>
      <x:c r="P1681" s="22" t="n">
        <x:f>O1681*(1-N1681)</x:f>
        <x:v>405</x:v>
      </x:c>
      <x:c r="Q1681" s="22" t="n">
        <x:v>35</x:v>
      </x:c>
      <x:c r="R1681" s="22" t="n">
        <x:f>Q1681*M1681</x:f>
        <x:v>350</x:v>
      </x:c>
      <x:c r="S1681" s="22" t="n">
        <x:f>P1681-R1681</x:f>
        <x:v>55</x:v>
      </x:c>
      <x:c r="T1681" t="str">
        <x:v>Bank Transfer</x:v>
      </x:c>
      <x:c r="U1681" t="str">
        <x:v>Pending</x:v>
      </x:c>
      <x:c r="V1681" t="str">
        <x:v>Delayed</x:v>
      </x:c>
      <x:c r="W1681" t="n">
        <x:v>0</x:v>
      </x:c>
      <x:c r="X1681" t="str"/>
      <x:c r="Y1681" t="str">
        <x:v>Outbound Call</x:v>
      </x:c>
    </x:row>
    <x:row r="1682">
      <x:c r="A1682" t="str">
        <x:v>O001681</x:v>
      </x:c>
      <x:c r="B1682" s="20" t="n">
        <x:v>45730</x:v>
      </x:c>
      <x:c r="C1682" t="str">
        <x:v>C0198</x:v>
      </x:c>
      <x:c r="D1682" t="str">
        <x:v>Royal Canteen 198</x:v>
      </x:c>
      <x:c r="E1682" t="str">
        <x:v>Supermarket</x:v>
      </x:c>
      <x:c r="F1682" t="str">
        <x:v>Davanagere</x:v>
      </x:c>
      <x:c r="G1682" t="str">
        <x:v>Arjun</x:v>
      </x:c>
      <x:c r="H1682" t="str">
        <x:v>P047</x:v>
      </x:c>
      <x:c r="I1682" t="str">
        <x:v>Tomato 25kg</x:v>
      </x:c>
      <x:c r="J1682" t="str">
        <x:v>Fresh Produce</x:v>
      </x:c>
      <x:c r="K1682" t="str">
        <x:v>Local Market</x:v>
      </x:c>
      <x:c r="L1682" s="22" t="n">
        <x:v>950</x:v>
      </x:c>
      <x:c r="M1682" t="n">
        <x:v>3</x:v>
      </x:c>
      <x:c r="N1682" s="24" t="n">
        <x:v>0.02</x:v>
      </x:c>
      <x:c r="O1682" s="22" t="n">
        <x:f>L1682*M1682</x:f>
        <x:v>2850</x:v>
      </x:c>
      <x:c r="P1682" s="22" t="n">
        <x:f>O1682*(1-N1682)</x:f>
        <x:v>2793</x:v>
      </x:c>
      <x:c r="Q1682" s="22" t="n">
        <x:v>810</x:v>
      </x:c>
      <x:c r="R1682" s="22" t="n">
        <x:f>Q1682*M1682</x:f>
        <x:v>2430</x:v>
      </x:c>
      <x:c r="S1682" s="22" t="n">
        <x:f>P1682-R1682</x:f>
        <x:v>363</x:v>
      </x:c>
      <x:c r="T1682" t="str">
        <x:v>UPI</x:v>
      </x:c>
      <x:c r="U1682" t="str">
        <x:v>Paid</x:v>
      </x:c>
      <x:c r="V1682" t="str">
        <x:v>Delayed</x:v>
      </x:c>
      <x:c r="W1682" t="n">
        <x:v>0</x:v>
      </x:c>
      <x:c r="X1682" t="str"/>
      <x:c r="Y1682" t="str">
        <x:v>Existing Customer</x:v>
      </x:c>
    </x:row>
    <x:row r="1683">
      <x:c r="A1683" t="str">
        <x:v>O001682</x:v>
      </x:c>
      <x:c r="B1683" s="20" t="n">
        <x:v>45728</x:v>
      </x:c>
      <x:c r="C1683" t="str">
        <x:v>C0176</x:v>
      </x:c>
      <x:c r="D1683" t="str">
        <x:v>Cafe Kitchen 176</x:v>
      </x:c>
      <x:c r="E1683" t="str">
        <x:v>Kirana</x:v>
      </x:c>
      <x:c r="F1683" t="str">
        <x:v>Mysuru</x:v>
      </x:c>
      <x:c r="G1683" t="str">
        <x:v>Priya</x:v>
      </x:c>
      <x:c r="H1683" t="str">
        <x:v>P012</x:v>
      </x:c>
      <x:c r="I1683" t="str">
        <x:v>Maida 10kg</x:v>
      </x:c>
      <x:c r="J1683" t="str">
        <x:v>Flour</x:v>
      </x:c>
      <x:c r="K1683" t="str">
        <x:v>Aashirvaad</x:v>
      </x:c>
      <x:c r="L1683" s="22" t="n">
        <x:v>520</x:v>
      </x:c>
      <x:c r="M1683" t="n">
        <x:v>30</x:v>
      </x:c>
      <x:c r="N1683" s="24" t="n">
        <x:v>0.08</x:v>
      </x:c>
      <x:c r="O1683" s="22" t="n">
        <x:f>L1683*M1683</x:f>
        <x:v>15600</x:v>
      </x:c>
      <x:c r="P1683" s="22" t="n">
        <x:f>O1683*(1-N1683)</x:f>
        <x:v>14352</x:v>
      </x:c>
      <x:c r="Q1683" s="22" t="n">
        <x:v>460</x:v>
      </x:c>
      <x:c r="R1683" s="22" t="n">
        <x:f>Q1683*M1683</x:f>
        <x:v>13800</x:v>
      </x:c>
      <x:c r="S1683" s="22" t="n">
        <x:f>P1683-R1683</x:f>
        <x:v>552</x:v>
      </x:c>
      <x:c r="T1683" t="str">
        <x:v>Bank Transfer</x:v>
      </x:c>
      <x:c r="U1683" t="str">
        <x:v>Overdue</x:v>
      </x:c>
      <x:c r="V1683" t="str">
        <x:v>Cancelled</x:v>
      </x:c>
      <x:c r="W1683" t="n">
        <x:v>30</x:v>
      </x:c>
      <x:c r="X1683" t="str">
        <x:v>Cancelled Order</x:v>
      </x:c>
      <x:c r="Y1683" t="str">
        <x:v>Field Visit</x:v>
      </x:c>
    </x:row>
    <x:row r="1684">
      <x:c r="A1684" t="str">
        <x:v>O001683</x:v>
      </x:c>
      <x:c r="B1684" s="20" t="n">
        <x:v>45905</x:v>
      </x:c>
      <x:c r="C1684" t="str">
        <x:v>C0135</x:v>
      </x:c>
      <x:c r="D1684" t="str">
        <x:v>City Canteen 135</x:v>
      </x:c>
      <x:c r="E1684" t="str">
        <x:v>Supermarket</x:v>
      </x:c>
      <x:c r="F1684" t="str">
        <x:v>Hubballi</x:v>
      </x:c>
      <x:c r="G1684" t="str">
        <x:v>Megha</x:v>
      </x:c>
      <x:c r="H1684" t="str">
        <x:v>P049</x:v>
      </x:c>
      <x:c r="I1684" t="str">
        <x:v>Apple 10kg</x:v>
      </x:c>
      <x:c r="J1684" t="str">
        <x:v>Fresh Produce</x:v>
      </x:c>
      <x:c r="K1684" t="str">
        <x:v>Local Market</x:v>
      </x:c>
      <x:c r="L1684" s="22" t="n">
        <x:v>1450</x:v>
      </x:c>
      <x:c r="M1684" t="n">
        <x:v>3</x:v>
      </x:c>
      <x:c r="N1684" s="24" t="n">
        <x:v>0.03</x:v>
      </x:c>
      <x:c r="O1684" s="22" t="n">
        <x:f>L1684*M1684</x:f>
        <x:v>4350</x:v>
      </x:c>
      <x:c r="P1684" s="22" t="n">
        <x:f>O1684*(1-N1684)</x:f>
        <x:v>4219.5</x:v>
      </x:c>
      <x:c r="Q1684" s="22" t="n">
        <x:v>1280</x:v>
      </x:c>
      <x:c r="R1684" s="22" t="n">
        <x:f>Q1684*M1684</x:f>
        <x:v>3840</x:v>
      </x:c>
      <x:c r="S1684" s="22" t="n">
        <x:f>P1684-R1684</x:f>
        <x:v>379.5</x:v>
      </x:c>
      <x:c r="T1684" t="str">
        <x:v>UPI</x:v>
      </x:c>
      <x:c r="U1684" t="str">
        <x:v>Paid</x:v>
      </x:c>
      <x:c r="V1684" t="str">
        <x:v>Delivered</x:v>
      </x:c>
      <x:c r="W1684" t="n">
        <x:v>0</x:v>
      </x:c>
      <x:c r="X1684" t="str"/>
      <x:c r="Y1684" t="str">
        <x:v>WhatsApp</x:v>
      </x:c>
    </x:row>
    <x:row r="1685">
      <x:c r="A1685" t="str">
        <x:v>O001684</x:v>
      </x:c>
      <x:c r="B1685" s="20" t="n">
        <x:v>45856</x:v>
      </x:c>
      <x:c r="C1685" t="str">
        <x:v>C0110</x:v>
      </x:c>
      <x:c r="D1685" t="str">
        <x:v>Metro Restaurant 110</x:v>
      </x:c>
      <x:c r="E1685" t="str">
        <x:v>Hotel</x:v>
      </x:c>
      <x:c r="F1685" t="str">
        <x:v>Mysuru</x:v>
      </x:c>
      <x:c r="G1685" t="str">
        <x:v>Imran</x:v>
      </x:c>
      <x:c r="H1685" t="str">
        <x:v>P029</x:v>
      </x:c>
      <x:c r="I1685" t="str">
        <x:v>Tomato Ketchup 1kg</x:v>
      </x:c>
      <x:c r="J1685" t="str">
        <x:v>Condiments</x:v>
      </x:c>
      <x:c r="K1685" t="str">
        <x:v>Kissan</x:v>
      </x:c>
      <x:c r="L1685" s="22" t="n">
        <x:v>145</x:v>
      </x:c>
      <x:c r="M1685" t="n">
        <x:v>38</x:v>
      </x:c>
      <x:c r="N1685" s="24" t="n">
        <x:v>0.03</x:v>
      </x:c>
      <x:c r="O1685" s="22" t="n">
        <x:f>L1685*M1685</x:f>
        <x:v>5510</x:v>
      </x:c>
      <x:c r="P1685" s="22" t="n">
        <x:f>O1685*(1-N1685)</x:f>
        <x:v>5344.7</x:v>
      </x:c>
      <x:c r="Q1685" s="22" t="n">
        <x:v>126</x:v>
      </x:c>
      <x:c r="R1685" s="22" t="n">
        <x:f>Q1685*M1685</x:f>
        <x:v>4788</x:v>
      </x:c>
      <x:c r="S1685" s="22" t="n">
        <x:f>P1685-R1685</x:f>
        <x:v>556.6999999999998</x:v>
      </x:c>
      <x:c r="T1685" t="str">
        <x:v>Cash</x:v>
      </x:c>
      <x:c r="U1685" t="str">
        <x:v>Pending</x:v>
      </x:c>
      <x:c r="V1685" t="str">
        <x:v>Delayed</x:v>
      </x:c>
      <x:c r="W1685" t="n">
        <x:v>0</x:v>
      </x:c>
      <x:c r="X1685" t="str"/>
      <x:c r="Y1685" t="str">
        <x:v>Existing Customer</x:v>
      </x:c>
    </x:row>
    <x:row r="1686">
      <x:c r="A1686" t="str">
        <x:v>O001685</x:v>
      </x:c>
      <x:c r="B1686" s="20" t="n">
        <x:v>45983</x:v>
      </x:c>
      <x:c r="C1686" t="str">
        <x:v>C0078</x:v>
      </x:c>
      <x:c r="D1686" t="str">
        <x:v>Sagar Canteen 78</x:v>
      </x:c>
      <x:c r="E1686" t="str">
        <x:v>Hotel</x:v>
      </x:c>
      <x:c r="F1686" t="str">
        <x:v>Mangaluru</x:v>
      </x:c>
      <x:c r="G1686" t="str">
        <x:v>Ramesh</x:v>
      </x:c>
      <x:c r="H1686" t="str">
        <x:v>P012</x:v>
      </x:c>
      <x:c r="I1686" t="str">
        <x:v>Maida 10kg</x:v>
      </x:c>
      <x:c r="J1686" t="str">
        <x:v>Flour</x:v>
      </x:c>
      <x:c r="K1686" t="str">
        <x:v>Aashirvaad</x:v>
      </x:c>
      <x:c r="L1686" s="22" t="n">
        <x:v>520</x:v>
      </x:c>
      <x:c r="M1686" t="n">
        <x:v>15</x:v>
      </x:c>
      <x:c r="N1686" s="24" t="n">
        <x:v>0.02</x:v>
      </x:c>
      <x:c r="O1686" s="22" t="n">
        <x:f>L1686*M1686</x:f>
        <x:v>7800</x:v>
      </x:c>
      <x:c r="P1686" s="22" t="n">
        <x:f>O1686*(1-N1686)</x:f>
        <x:v>7644</x:v>
      </x:c>
      <x:c r="Q1686" s="22" t="n">
        <x:v>460</x:v>
      </x:c>
      <x:c r="R1686" s="22" t="n">
        <x:f>Q1686*M1686</x:f>
        <x:v>6900</x:v>
      </x:c>
      <x:c r="S1686" s="22" t="n">
        <x:f>P1686-R1686</x:f>
        <x:v>744</x:v>
      </x:c>
      <x:c r="T1686" t="str">
        <x:v>Cash</x:v>
      </x:c>
      <x:c r="U1686" t="str">
        <x:v>Paid</x:v>
      </x:c>
      <x:c r="V1686" t="str">
        <x:v>Delivered</x:v>
      </x:c>
      <x:c r="W1686" t="n">
        <x:v>0</x:v>
      </x:c>
      <x:c r="X1686" t="str"/>
      <x:c r="Y1686" t="str">
        <x:v>Field Visit</x:v>
      </x:c>
    </x:row>
    <x:row r="1687">
      <x:c r="A1687" t="str">
        <x:v>O001686</x:v>
      </x:c>
      <x:c r="B1687" s="20" t="n">
        <x:v>45941</x:v>
      </x:c>
      <x:c r="C1687" t="str">
        <x:v>C0115</x:v>
      </x:c>
      <x:c r="D1687" t="str">
        <x:v>Mysore Mart 115</x:v>
      </x:c>
      <x:c r="E1687" t="str">
        <x:v>Kirana</x:v>
      </x:c>
      <x:c r="F1687" t="str">
        <x:v>Mangaluru</x:v>
      </x:c>
      <x:c r="G1687" t="str">
        <x:v>Arjun</x:v>
      </x:c>
      <x:c r="H1687" t="str">
        <x:v>P029</x:v>
      </x:c>
      <x:c r="I1687" t="str">
        <x:v>Tomato Ketchup 1kg</x:v>
      </x:c>
      <x:c r="J1687" t="str">
        <x:v>Condiments</x:v>
      </x:c>
      <x:c r="K1687" t="str">
        <x:v>Kissan</x:v>
      </x:c>
      <x:c r="L1687" s="22" t="n">
        <x:v>145</x:v>
      </x:c>
      <x:c r="M1687" t="n">
        <x:v>4</x:v>
      </x:c>
      <x:c r="N1687" s="24" t="n">
        <x:v>0.02</x:v>
      </x:c>
      <x:c r="O1687" s="22" t="n">
        <x:f>L1687*M1687</x:f>
        <x:v>580</x:v>
      </x:c>
      <x:c r="P1687" s="22" t="n">
        <x:f>O1687*(1-N1687)</x:f>
        <x:v>568.4</x:v>
      </x:c>
      <x:c r="Q1687" s="22" t="n">
        <x:v>126</x:v>
      </x:c>
      <x:c r="R1687" s="22" t="n">
        <x:f>Q1687*M1687</x:f>
        <x:v>504</x:v>
      </x:c>
      <x:c r="S1687" s="22" t="n">
        <x:f>P1687-R1687</x:f>
        <x:v>64.39999999999998</x:v>
      </x:c>
      <x:c r="T1687" t="str">
        <x:v>Credit</x:v>
      </x:c>
      <x:c r="U1687" t="str">
        <x:v>Paid</x:v>
      </x:c>
      <x:c r="V1687" t="str">
        <x:v>Delivered</x:v>
      </x:c>
      <x:c r="W1687" t="n">
        <x:v>0</x:v>
      </x:c>
      <x:c r="X1687" t="str"/>
      <x:c r="Y1687" t="str">
        <x:v>WhatsApp</x:v>
      </x:c>
    </x:row>
    <x:row r="1688">
      <x:c r="A1688" t="str">
        <x:v>O001687</x:v>
      </x:c>
      <x:c r="B1688" s="20" t="n">
        <x:v>45667</x:v>
      </x:c>
      <x:c r="C1688" t="str">
        <x:v>C0145</x:v>
      </x:c>
      <x:c r="D1688" t="str">
        <x:v>Namma Cafe 145</x:v>
      </x:c>
      <x:c r="E1688" t="str">
        <x:v>Kirana</x:v>
      </x:c>
      <x:c r="F1688" t="str">
        <x:v>Tumakuru</x:v>
      </x:c>
      <x:c r="G1688" t="str">
        <x:v>Sneha</x:v>
      </x:c>
      <x:c r="H1688" t="str">
        <x:v>P012</x:v>
      </x:c>
      <x:c r="I1688" t="str">
        <x:v>Maida 10kg</x:v>
      </x:c>
      <x:c r="J1688" t="str">
        <x:v>Flour</x:v>
      </x:c>
      <x:c r="K1688" t="str">
        <x:v>Aashirvaad</x:v>
      </x:c>
      <x:c r="L1688" s="22" t="n">
        <x:v>520</x:v>
      </x:c>
      <x:c r="M1688" t="n">
        <x:v>39</x:v>
      </x:c>
      <x:c r="N1688" s="24" t="n">
        <x:v>0</x:v>
      </x:c>
      <x:c r="O1688" s="22" t="n">
        <x:f>L1688*M1688</x:f>
        <x:v>20280</x:v>
      </x:c>
      <x:c r="P1688" s="22" t="n">
        <x:f>O1688*(1-N1688)</x:f>
        <x:v>20280</x:v>
      </x:c>
      <x:c r="Q1688" s="22" t="n">
        <x:v>460</x:v>
      </x:c>
      <x:c r="R1688" s="22" t="n">
        <x:f>Q1688*M1688</x:f>
        <x:v>17940</x:v>
      </x:c>
      <x:c r="S1688" s="22" t="n">
        <x:f>P1688-R1688</x:f>
        <x:v>2340</x:v>
      </x:c>
      <x:c r="T1688" t="str">
        <x:v>Cash</x:v>
      </x:c>
      <x:c r="U1688" t="str">
        <x:v>Pending</x:v>
      </x:c>
      <x:c r="V1688" t="str">
        <x:v>Delivered</x:v>
      </x:c>
      <x:c r="W1688" t="n">
        <x:v>0</x:v>
      </x:c>
      <x:c r="X1688" t="str"/>
      <x:c r="Y1688" t="str">
        <x:v>WhatsApp</x:v>
      </x:c>
    </x:row>
    <x:row r="1689">
      <x:c r="A1689" t="str">
        <x:v>O001688</x:v>
      </x:c>
      <x:c r="B1689" s="20" t="n">
        <x:v>45686</x:v>
      </x:c>
      <x:c r="C1689" t="str">
        <x:v>C0080</x:v>
      </x:c>
      <x:c r="D1689" t="str">
        <x:v>Annapurna Canteen 80</x:v>
      </x:c>
      <x:c r="E1689" t="str">
        <x:v>Restaurant</x:v>
      </x:c>
      <x:c r="F1689" t="str">
        <x:v>Mangaluru</x:v>
      </x:c>
      <x:c r="G1689" t="str">
        <x:v>Priya</x:v>
      </x:c>
      <x:c r="H1689" t="str">
        <x:v>P047</x:v>
      </x:c>
      <x:c r="I1689" t="str">
        <x:v>Tomato 25kg</x:v>
      </x:c>
      <x:c r="J1689" t="str">
        <x:v>Fresh Produce</x:v>
      </x:c>
      <x:c r="K1689" t="str">
        <x:v>Local Market</x:v>
      </x:c>
      <x:c r="L1689" s="22" t="n">
        <x:v>950</x:v>
      </x:c>
      <x:c r="M1689" t="n">
        <x:v>39</x:v>
      </x:c>
      <x:c r="N1689" s="24" t="n">
        <x:v>0</x:v>
      </x:c>
      <x:c r="O1689" s="22" t="n">
        <x:f>L1689*M1689</x:f>
        <x:v>37050</x:v>
      </x:c>
      <x:c r="P1689" s="22" t="n">
        <x:f>O1689*(1-N1689)</x:f>
        <x:v>37050</x:v>
      </x:c>
      <x:c r="Q1689" s="22" t="n">
        <x:v>810</x:v>
      </x:c>
      <x:c r="R1689" s="22" t="n">
        <x:f>Q1689*M1689</x:f>
        <x:v>31590</x:v>
      </x:c>
      <x:c r="S1689" s="22" t="n">
        <x:f>P1689-R1689</x:f>
        <x:v>5460</x:v>
      </x:c>
      <x:c r="T1689" t="str">
        <x:v>Bank Transfer</x:v>
      </x:c>
      <x:c r="U1689" t="str">
        <x:v>Paid</x:v>
      </x:c>
      <x:c r="V1689" t="str">
        <x:v>Delivered</x:v>
      </x:c>
      <x:c r="W1689" t="n">
        <x:v>0</x:v>
      </x:c>
      <x:c r="X1689" t="str"/>
      <x:c r="Y1689" t="str">
        <x:v>WhatsApp</x:v>
      </x:c>
    </x:row>
    <x:row r="1690">
      <x:c r="A1690" t="str">
        <x:v>O001689</x:v>
      </x:c>
      <x:c r="B1690" s="20" t="n">
        <x:v>45755</x:v>
      </x:c>
      <x:c r="C1690" t="str">
        <x:v>C0241</x:v>
      </x:c>
      <x:c r="D1690" t="str">
        <x:v>Annapurna Restaurant 241</x:v>
      </x:c>
      <x:c r="E1690" t="str">
        <x:v>Hotel</x:v>
      </x:c>
      <x:c r="F1690" t="str">
        <x:v>Tumakuru</x:v>
      </x:c>
      <x:c r="G1690" t="str">
        <x:v>Imran</x:v>
      </x:c>
      <x:c r="H1690" t="str">
        <x:v>P025</x:v>
      </x:c>
      <x:c r="I1690" t="str">
        <x:v>Potato Chips 100g</x:v>
      </x:c>
      <x:c r="J1690" t="str">
        <x:v>Snacks</x:v>
      </x:c>
      <x:c r="K1690" t="str">
        <x:v>Lay's</x:v>
      </x:c>
      <x:c r="L1690" s="22" t="n">
        <x:v>35</x:v>
      </x:c>
      <x:c r="M1690" t="n">
        <x:v>39</x:v>
      </x:c>
      <x:c r="N1690" s="24" t="n">
        <x:v>0.1</x:v>
      </x:c>
      <x:c r="O1690" s="22" t="n">
        <x:f>L1690*M1690</x:f>
        <x:v>1365</x:v>
      </x:c>
      <x:c r="P1690" s="22" t="n">
        <x:f>O1690*(1-N1690)</x:f>
        <x:v>1228.5</x:v>
      </x:c>
      <x:c r="Q1690" s="22" t="n">
        <x:v>27</x:v>
      </x:c>
      <x:c r="R1690" s="22" t="n">
        <x:f>Q1690*M1690</x:f>
        <x:v>1053</x:v>
      </x:c>
      <x:c r="S1690" s="22" t="n">
        <x:f>P1690-R1690</x:f>
        <x:v>175.5</x:v>
      </x:c>
      <x:c r="T1690" t="str">
        <x:v>UPI</x:v>
      </x:c>
      <x:c r="U1690" t="str">
        <x:v>Paid</x:v>
      </x:c>
      <x:c r="V1690" t="str">
        <x:v>Delivered</x:v>
      </x:c>
      <x:c r="W1690" t="n">
        <x:v>0</x:v>
      </x:c>
      <x:c r="X1690" t="str"/>
      <x:c r="Y1690" t="str">
        <x:v>WhatsApp</x:v>
      </x:c>
    </x:row>
    <x:row r="1691">
      <x:c r="A1691" t="str">
        <x:v>O001690</x:v>
      </x:c>
      <x:c r="B1691" s="20" t="n">
        <x:v>45839</x:v>
      </x:c>
      <x:c r="C1691" t="str">
        <x:v>C0014</x:v>
      </x:c>
      <x:c r="D1691" t="str">
        <x:v>Annapurna Canteen 14</x:v>
      </x:c>
      <x:c r="E1691" t="str">
        <x:v>Kirana</x:v>
      </x:c>
      <x:c r="F1691" t="str">
        <x:v>Davanagere</x:v>
      </x:c>
      <x:c r="G1691" t="str">
        <x:v>Sneha</x:v>
      </x:c>
      <x:c r="H1691" t="str">
        <x:v>P044</x:v>
      </x:c>
      <x:c r="I1691" t="str">
        <x:v>Chicken Curry Cut 1kg</x:v>
      </x:c>
      <x:c r="J1691" t="str">
        <x:v>Protein</x:v>
      </x:c>
      <x:c r="K1691" t="str">
        <x:v>FreshToHome</x:v>
      </x:c>
      <x:c r="L1691" s="22" t="n">
        <x:v>230</x:v>
      </x:c>
      <x:c r="M1691" t="n">
        <x:v>11</x:v>
      </x:c>
      <x:c r="N1691" s="24" t="n">
        <x:v>0.05</x:v>
      </x:c>
      <x:c r="O1691" s="22" t="n">
        <x:f>L1691*M1691</x:f>
        <x:v>2530</x:v>
      </x:c>
      <x:c r="P1691" s="22" t="n">
        <x:f>O1691*(1-N1691)</x:f>
        <x:v>2403.5</x:v>
      </x:c>
      <x:c r="Q1691" s="22" t="n">
        <x:v>205</x:v>
      </x:c>
      <x:c r="R1691" s="22" t="n">
        <x:f>Q1691*M1691</x:f>
        <x:v>2255</x:v>
      </x:c>
      <x:c r="S1691" s="22" t="n">
        <x:f>P1691-R1691</x:f>
        <x:v>148.5</x:v>
      </x:c>
      <x:c r="T1691" t="str">
        <x:v>Credit</x:v>
      </x:c>
      <x:c r="U1691" t="str">
        <x:v>Paid</x:v>
      </x:c>
      <x:c r="V1691" t="str">
        <x:v>Delivered</x:v>
      </x:c>
      <x:c r="W1691" t="n">
        <x:v>0</x:v>
      </x:c>
      <x:c r="X1691" t="str"/>
      <x:c r="Y1691" t="str">
        <x:v>Field Visit</x:v>
      </x:c>
    </x:row>
    <x:row r="1692">
      <x:c r="A1692" t="str">
        <x:v>O001691</x:v>
      </x:c>
      <x:c r="B1692" s="20" t="n">
        <x:v>45743</x:v>
      </x:c>
      <x:c r="C1692" t="str">
        <x:v>C0239</x:v>
      </x:c>
      <x:c r="D1692" t="str">
        <x:v>Royal Hotel 239</x:v>
      </x:c>
      <x:c r="E1692" t="str">
        <x:v>Restaurant</x:v>
      </x:c>
      <x:c r="F1692" t="str">
        <x:v>Hubballi</x:v>
      </x:c>
      <x:c r="G1692" t="str">
        <x:v>Priya</x:v>
      </x:c>
      <x:c r="H1692" t="str">
        <x:v>P018</x:v>
      </x:c>
      <x:c r="I1692" t="str">
        <x:v>Paneer 1kg</x:v>
      </x:c>
      <x:c r="J1692" t="str">
        <x:v>Dairy</x:v>
      </x:c>
      <x:c r="K1692" t="str">
        <x:v>Milky Mist</x:v>
      </x:c>
      <x:c r="L1692" s="22" t="n">
        <x:v>410</x:v>
      </x:c>
      <x:c r="M1692" t="n">
        <x:v>12</x:v>
      </x:c>
      <x:c r="N1692" s="24" t="n">
        <x:v>0.1</x:v>
      </x:c>
      <x:c r="O1692" s="22" t="n">
        <x:f>L1692*M1692</x:f>
        <x:v>4920</x:v>
      </x:c>
      <x:c r="P1692" s="22" t="n">
        <x:f>O1692*(1-N1692)</x:f>
        <x:v>4428</x:v>
      </x:c>
      <x:c r="Q1692" s="22" t="n">
        <x:v>370</x:v>
      </x:c>
      <x:c r="R1692" s="22" t="n">
        <x:f>Q1692*M1692</x:f>
        <x:v>4440</x:v>
      </x:c>
      <x:c r="S1692" s="22" t="n">
        <x:f>P1692-R1692</x:f>
        <x:v>-12</x:v>
      </x:c>
      <x:c r="T1692" t="str">
        <x:v>UPI</x:v>
      </x:c>
      <x:c r="U1692" t="str">
        <x:v>Paid</x:v>
      </x:c>
      <x:c r="V1692" t="str">
        <x:v>Delivered</x:v>
      </x:c>
      <x:c r="W1692" t="n">
        <x:v>0</x:v>
      </x:c>
      <x:c r="X1692" t="str"/>
      <x:c r="Y1692" t="str">
        <x:v>Field Visit</x:v>
      </x:c>
    </x:row>
    <x:row r="1693">
      <x:c r="A1693" t="str">
        <x:v>O001692</x:v>
      </x:c>
      <x:c r="B1693" s="20" t="n">
        <x:v>46023</x:v>
      </x:c>
      <x:c r="C1693" t="str">
        <x:v>C0231</x:v>
      </x:c>
      <x:c r="D1693" t="str">
        <x:v>Metro Canteen 231</x:v>
      </x:c>
      <x:c r="E1693" t="str">
        <x:v>Canteen</x:v>
      </x:c>
      <x:c r="F1693" t="str">
        <x:v>Mangaluru</x:v>
      </x:c>
      <x:c r="G1693" t="str">
        <x:v>Megha</x:v>
      </x:c>
      <x:c r="H1693" t="str">
        <x:v>P037</x:v>
      </x:c>
      <x:c r="I1693" t="str">
        <x:v>Frozen Peas 1kg</x:v>
      </x:c>
      <x:c r="J1693" t="str">
        <x:v>Frozen</x:v>
      </x:c>
      <x:c r="K1693" t="str">
        <x:v>Safal</x:v>
      </x:c>
      <x:c r="L1693" s="22" t="n">
        <x:v>155</x:v>
      </x:c>
      <x:c r="M1693" t="n">
        <x:v>4</x:v>
      </x:c>
      <x:c r="N1693" s="24" t="n">
        <x:v>0</x:v>
      </x:c>
      <x:c r="O1693" s="22" t="n">
        <x:f>L1693*M1693</x:f>
        <x:v>620</x:v>
      </x:c>
      <x:c r="P1693" s="22" t="n">
        <x:f>O1693*(1-N1693)</x:f>
        <x:v>620</x:v>
      </x:c>
      <x:c r="Q1693" s="22" t="n">
        <x:v>138</x:v>
      </x:c>
      <x:c r="R1693" s="22" t="n">
        <x:f>Q1693*M1693</x:f>
        <x:v>552</x:v>
      </x:c>
      <x:c r="S1693" s="22" t="n">
        <x:f>P1693-R1693</x:f>
        <x:v>68</x:v>
      </x:c>
      <x:c r="T1693" t="str">
        <x:v>Credit</x:v>
      </x:c>
      <x:c r="U1693" t="str">
        <x:v>Pending</x:v>
      </x:c>
      <x:c r="V1693" t="str">
        <x:v>Cancelled</x:v>
      </x:c>
      <x:c r="W1693" t="n">
        <x:v>4</x:v>
      </x:c>
      <x:c r="X1693" t="str">
        <x:v>Cancelled Order</x:v>
      </x:c>
      <x:c r="Y1693" t="str">
        <x:v>Outbound Call</x:v>
      </x:c>
    </x:row>
    <x:row r="1694">
      <x:c r="A1694" t="str">
        <x:v>O001693</x:v>
      </x:c>
      <x:c r="B1694" s="20" t="n">
        <x:v>45877</x:v>
      </x:c>
      <x:c r="C1694" t="str">
        <x:v>C0029</x:v>
      </x:c>
      <x:c r="D1694" t="str">
        <x:v>Metro Foods 29</x:v>
      </x:c>
      <x:c r="E1694" t="str">
        <x:v>Cafe</x:v>
      </x:c>
      <x:c r="F1694" t="str">
        <x:v>Hubballi</x:v>
      </x:c>
      <x:c r="G1694" t="str">
        <x:v>Priya</x:v>
      </x:c>
      <x:c r="H1694" t="str">
        <x:v>P022</x:v>
      </x:c>
      <x:c r="I1694" t="str">
        <x:v>Mineral Water 1L</x:v>
      </x:c>
      <x:c r="J1694" t="str">
        <x:v>Beverage</x:v>
      </x:c>
      <x:c r="K1694" t="str">
        <x:v>Bisleri</x:v>
      </x:c>
      <x:c r="L1694" s="22" t="n">
        <x:v>19</x:v>
      </x:c>
      <x:c r="M1694" t="n">
        <x:v>12</x:v>
      </x:c>
      <x:c r="N1694" s="24" t="n">
        <x:v>0.08</x:v>
      </x:c>
      <x:c r="O1694" s="22" t="n">
        <x:f>L1694*M1694</x:f>
        <x:v>228</x:v>
      </x:c>
      <x:c r="P1694" s="22" t="n">
        <x:f>O1694*(1-N1694)</x:f>
        <x:v>209.76000000000002</x:v>
      </x:c>
      <x:c r="Q1694" s="22" t="n">
        <x:v>15</x:v>
      </x:c>
      <x:c r="R1694" s="22" t="n">
        <x:f>Q1694*M1694</x:f>
        <x:v>180</x:v>
      </x:c>
      <x:c r="S1694" s="22" t="n">
        <x:f>P1694-R1694</x:f>
        <x:v>29.76000000000002</x:v>
      </x:c>
      <x:c r="T1694" t="str">
        <x:v>Cash</x:v>
      </x:c>
      <x:c r="U1694" t="str">
        <x:v>Overdue</x:v>
      </x:c>
      <x:c r="V1694" t="str">
        <x:v>Cancelled</x:v>
      </x:c>
      <x:c r="W1694" t="n">
        <x:v>12</x:v>
      </x:c>
      <x:c r="X1694" t="str">
        <x:v>Cancelled Order</x:v>
      </x:c>
      <x:c r="Y1694" t="str">
        <x:v>Existing Customer</x:v>
      </x:c>
    </x:row>
    <x:row r="1695">
      <x:c r="A1695" t="str">
        <x:v>O001694</x:v>
      </x:c>
      <x:c r="B1695" s="20" t="n">
        <x:v>46005</x:v>
      </x:c>
      <x:c r="C1695" t="str">
        <x:v>C0163</x:v>
      </x:c>
      <x:c r="D1695" t="str">
        <x:v>Shree Kitchen 163</x:v>
      </x:c>
      <x:c r="E1695" t="str">
        <x:v>Kirana</x:v>
      </x:c>
      <x:c r="F1695" t="str">
        <x:v>Mysuru</x:v>
      </x:c>
      <x:c r="G1695" t="str">
        <x:v>Priya</x:v>
      </x:c>
      <x:c r="H1695" t="str">
        <x:v>P040</x:v>
      </x:c>
      <x:c r="I1695" t="str">
        <x:v>Bread Loaf 400g</x:v>
      </x:c>
      <x:c r="J1695" t="str">
        <x:v>Bakery</x:v>
      </x:c>
      <x:c r="K1695" t="str">
        <x:v>Britannia</x:v>
      </x:c>
      <x:c r="L1695" s="22" t="n">
        <x:v>45</x:v>
      </x:c>
      <x:c r="M1695" t="n">
        <x:v>3</x:v>
      </x:c>
      <x:c r="N1695" s="24" t="n">
        <x:v>0.03</x:v>
      </x:c>
      <x:c r="O1695" s="22" t="n">
        <x:f>L1695*M1695</x:f>
        <x:v>135</x:v>
      </x:c>
      <x:c r="P1695" s="22" t="n">
        <x:f>O1695*(1-N1695)</x:f>
        <x:v>130.95</x:v>
      </x:c>
      <x:c r="Q1695" s="22" t="n">
        <x:v>35</x:v>
      </x:c>
      <x:c r="R1695" s="22" t="n">
        <x:f>Q1695*M1695</x:f>
        <x:v>105</x:v>
      </x:c>
      <x:c r="S1695" s="22" t="n">
        <x:f>P1695-R1695</x:f>
        <x:v>25.94999999999999</x:v>
      </x:c>
      <x:c r="T1695" t="str">
        <x:v>UPI</x:v>
      </x:c>
      <x:c r="U1695" t="str">
        <x:v>Overdue</x:v>
      </x:c>
      <x:c r="V1695" t="str">
        <x:v>Delivered</x:v>
      </x:c>
      <x:c r="W1695" t="n">
        <x:v>0</x:v>
      </x:c>
      <x:c r="X1695" t="str"/>
      <x:c r="Y1695" t="str">
        <x:v>WhatsApp</x:v>
      </x:c>
    </x:row>
    <x:row r="1696">
      <x:c r="A1696" t="str">
        <x:v>O001695</x:v>
      </x:c>
      <x:c r="B1696" s="20" t="n">
        <x:v>46132</x:v>
      </x:c>
      <x:c r="C1696" t="str">
        <x:v>C0217</x:v>
      </x:c>
      <x:c r="D1696" t="str">
        <x:v>Darshini Cafe 217</x:v>
      </x:c>
      <x:c r="E1696" t="str">
        <x:v>Restaurant</x:v>
      </x:c>
      <x:c r="F1696" t="str">
        <x:v>Bengaluru</x:v>
      </x:c>
      <x:c r="G1696" t="str">
        <x:v>Priya</x:v>
      </x:c>
      <x:c r="H1696" t="str">
        <x:v>P009</x:v>
      </x:c>
      <x:c r="I1696" t="str">
        <x:v>Groundnut Oil 5L</x:v>
      </x:c>
      <x:c r="J1696" t="str">
        <x:v>Edible Oil</x:v>
      </x:c>
      <x:c r="K1696" t="str">
        <x:v>Dhara</x:v>
      </x:c>
      <x:c r="L1696" s="22" t="n">
        <x:v>890</x:v>
      </x:c>
      <x:c r="M1696" t="n">
        <x:v>39</x:v>
      </x:c>
      <x:c r="N1696" s="24" t="n">
        <x:v>0.03</x:v>
      </x:c>
      <x:c r="O1696" s="22" t="n">
        <x:f>L1696*M1696</x:f>
        <x:v>34710</x:v>
      </x:c>
      <x:c r="P1696" s="22" t="n">
        <x:f>O1696*(1-N1696)</x:f>
        <x:v>33668.7</x:v>
      </x:c>
      <x:c r="Q1696" s="22" t="n">
        <x:v>810</x:v>
      </x:c>
      <x:c r="R1696" s="22" t="n">
        <x:f>Q1696*M1696</x:f>
        <x:v>31590</x:v>
      </x:c>
      <x:c r="S1696" s="22" t="n">
        <x:f>P1696-R1696</x:f>
        <x:v>2078.699999999997</x:v>
      </x:c>
      <x:c r="T1696" t="str">
        <x:v>Cash</x:v>
      </x:c>
      <x:c r="U1696" t="str">
        <x:v>Paid</x:v>
      </x:c>
      <x:c r="V1696" t="str">
        <x:v>Delayed</x:v>
      </x:c>
      <x:c r="W1696" t="n">
        <x:v>0</x:v>
      </x:c>
      <x:c r="X1696" t="str"/>
      <x:c r="Y1696" t="str">
        <x:v>Field Visit</x:v>
      </x:c>
    </x:row>
    <x:row r="1697">
      <x:c r="A1697" t="str">
        <x:v>O001696</x:v>
      </x:c>
      <x:c r="B1697" s="20" t="n">
        <x:v>45725</x:v>
      </x:c>
      <x:c r="C1697" t="str">
        <x:v>C0234</x:v>
      </x:c>
      <x:c r="D1697" t="str">
        <x:v>Metro Canteen 234</x:v>
      </x:c>
      <x:c r="E1697" t="str">
        <x:v>Restaurant</x:v>
      </x:c>
      <x:c r="F1697" t="str">
        <x:v>Davanagere</x:v>
      </x:c>
      <x:c r="G1697" t="str">
        <x:v>Priya</x:v>
      </x:c>
      <x:c r="H1697" t="str">
        <x:v>P015</x:v>
      </x:c>
      <x:c r="I1697" t="str">
        <x:v>Milk 1L</x:v>
      </x:c>
      <x:c r="J1697" t="str">
        <x:v>Dairy</x:v>
      </x:c>
      <x:c r="K1697" t="str">
        <x:v>Nandini</x:v>
      </x:c>
      <x:c r="L1697" s="22" t="n">
        <x:v>48</x:v>
      </x:c>
      <x:c r="M1697" t="n">
        <x:v>4</x:v>
      </x:c>
      <x:c r="N1697" s="24" t="n">
        <x:v>0</x:v>
      </x:c>
      <x:c r="O1697" s="22" t="n">
        <x:f>L1697*M1697</x:f>
        <x:v>192</x:v>
      </x:c>
      <x:c r="P1697" s="22" t="n">
        <x:f>O1697*(1-N1697)</x:f>
        <x:v>192</x:v>
      </x:c>
      <x:c r="Q1697" s="22" t="n">
        <x:v>43</x:v>
      </x:c>
      <x:c r="R1697" s="22" t="n">
        <x:f>Q1697*M1697</x:f>
        <x:v>172</x:v>
      </x:c>
      <x:c r="S1697" s="22" t="n">
        <x:f>P1697-R1697</x:f>
        <x:v>20</x:v>
      </x:c>
      <x:c r="T1697" t="str">
        <x:v>Credit</x:v>
      </x:c>
      <x:c r="U1697" t="str">
        <x:v>Paid</x:v>
      </x:c>
      <x:c r="V1697" t="str">
        <x:v>Cancelled</x:v>
      </x:c>
      <x:c r="W1697" t="n">
        <x:v>4</x:v>
      </x:c>
      <x:c r="X1697" t="str">
        <x:v>Cancelled Order</x:v>
      </x:c>
      <x:c r="Y1697" t="str">
        <x:v>Existing Customer</x:v>
      </x:c>
    </x:row>
    <x:row r="1698">
      <x:c r="A1698" t="str">
        <x:v>O001697</x:v>
      </x:c>
      <x:c r="B1698" s="20" t="n">
        <x:v>45670</x:v>
      </x:c>
      <x:c r="C1698" t="str">
        <x:v>C0078</x:v>
      </x:c>
      <x:c r="D1698" t="str">
        <x:v>Sagar Canteen 78</x:v>
      </x:c>
      <x:c r="E1698" t="str">
        <x:v>Hotel</x:v>
      </x:c>
      <x:c r="F1698" t="str">
        <x:v>Mangaluru</x:v>
      </x:c>
      <x:c r="G1698" t="str">
        <x:v>Ramesh</x:v>
      </x:c>
      <x:c r="H1698" t="str">
        <x:v>P050</x:v>
      </x:c>
      <x:c r="I1698" t="str">
        <x:v>Lemon 5kg</x:v>
      </x:c>
      <x:c r="J1698" t="str">
        <x:v>Fresh Produce</x:v>
      </x:c>
      <x:c r="K1698" t="str">
        <x:v>Local Market</x:v>
      </x:c>
      <x:c r="L1698" s="22" t="n">
        <x:v>360</x:v>
      </x:c>
      <x:c r="M1698" t="n">
        <x:v>14</x:v>
      </x:c>
      <x:c r="N1698" s="24" t="n">
        <x:v>0.05</x:v>
      </x:c>
      <x:c r="O1698" s="22" t="n">
        <x:f>L1698*M1698</x:f>
        <x:v>5040</x:v>
      </x:c>
      <x:c r="P1698" s="22" t="n">
        <x:f>O1698*(1-N1698)</x:f>
        <x:v>4788</x:v>
      </x:c>
      <x:c r="Q1698" s="22" t="n">
        <x:v>300</x:v>
      </x:c>
      <x:c r="R1698" s="22" t="n">
        <x:f>Q1698*M1698</x:f>
        <x:v>4200</x:v>
      </x:c>
      <x:c r="S1698" s="22" t="n">
        <x:f>P1698-R1698</x:f>
        <x:v>588</x:v>
      </x:c>
      <x:c r="T1698" t="str">
        <x:v>UPI</x:v>
      </x:c>
      <x:c r="U1698" t="str">
        <x:v>Paid</x:v>
      </x:c>
      <x:c r="V1698" t="str">
        <x:v>Delivered</x:v>
      </x:c>
      <x:c r="W1698" t="n">
        <x:v>0</x:v>
      </x:c>
      <x:c r="X1698" t="str"/>
      <x:c r="Y1698" t="str">
        <x:v>Outbound Call</x:v>
      </x:c>
    </x:row>
    <x:row r="1699">
      <x:c r="A1699" t="str">
        <x:v>O001698</x:v>
      </x:c>
      <x:c r="B1699" s="20" t="n">
        <x:v>46176</x:v>
      </x:c>
      <x:c r="C1699" t="str">
        <x:v>C0110</x:v>
      </x:c>
      <x:c r="D1699" t="str">
        <x:v>Metro Restaurant 110</x:v>
      </x:c>
      <x:c r="E1699" t="str">
        <x:v>Hotel</x:v>
      </x:c>
      <x:c r="F1699" t="str">
        <x:v>Mysuru</x:v>
      </x:c>
      <x:c r="G1699" t="str">
        <x:v>Imran</x:v>
      </x:c>
      <x:c r="H1699" t="str">
        <x:v>P003</x:v>
      </x:c>
      <x:c r="I1699" t="str">
        <x:v>Basmati Rice 5kg</x:v>
      </x:c>
      <x:c r="J1699" t="str">
        <x:v>Staples</x:v>
      </x:c>
      <x:c r="K1699" t="str">
        <x:v>India Gate</x:v>
      </x:c>
      <x:c r="L1699" s="22" t="n">
        <x:v>690</x:v>
      </x:c>
      <x:c r="M1699" t="n">
        <x:v>40</x:v>
      </x:c>
      <x:c r="N1699" s="24" t="n">
        <x:v>0.05</x:v>
      </x:c>
      <x:c r="O1699" s="22" t="n">
        <x:f>L1699*M1699</x:f>
        <x:v>27600</x:v>
      </x:c>
      <x:c r="P1699" s="22" t="n">
        <x:f>O1699*(1-N1699)</x:f>
        <x:v>26220</x:v>
      </x:c>
      <x:c r="Q1699" s="22" t="n">
        <x:v>610</x:v>
      </x:c>
      <x:c r="R1699" s="22" t="n">
        <x:f>Q1699*M1699</x:f>
        <x:v>24400</x:v>
      </x:c>
      <x:c r="S1699" s="22" t="n">
        <x:f>P1699-R1699</x:f>
        <x:v>1820</x:v>
      </x:c>
      <x:c r="T1699" t="str">
        <x:v>Cash</x:v>
      </x:c>
      <x:c r="U1699" t="str">
        <x:v>Paid</x:v>
      </x:c>
      <x:c r="V1699" t="str">
        <x:v>Delayed</x:v>
      </x:c>
      <x:c r="W1699" t="n">
        <x:v>0</x:v>
      </x:c>
      <x:c r="X1699" t="str"/>
      <x:c r="Y1699" t="str">
        <x:v>Field Visit</x:v>
      </x:c>
    </x:row>
    <x:row r="1700">
      <x:c r="A1700" t="str">
        <x:v>O001699</x:v>
      </x:c>
      <x:c r="B1700" s="20" t="n">
        <x:v>45884</x:v>
      </x:c>
      <x:c r="C1700" t="str">
        <x:v>C0233</x:v>
      </x:c>
      <x:c r="D1700" t="str">
        <x:v>Shree Mart 233</x:v>
      </x:c>
      <x:c r="E1700" t="str">
        <x:v>Kirana</x:v>
      </x:c>
      <x:c r="F1700" t="str">
        <x:v>Mangaluru</x:v>
      </x:c>
      <x:c r="G1700" t="str">
        <x:v>Priya</x:v>
      </x:c>
      <x:c r="H1700" t="str">
        <x:v>P007</x:v>
      </x:c>
      <x:c r="I1700" t="str">
        <x:v>Sunflower Oil 15L</x:v>
      </x:c>
      <x:c r="J1700" t="str">
        <x:v>Edible Oil</x:v>
      </x:c>
      <x:c r="K1700" t="str">
        <x:v>Fortune</x:v>
      </x:c>
      <x:c r="L1700" s="22" t="n">
        <x:v>1980</x:v>
      </x:c>
      <x:c r="M1700" t="n">
        <x:v>10</x:v>
      </x:c>
      <x:c r="N1700" s="24" t="n">
        <x:v>0.05</x:v>
      </x:c>
      <x:c r="O1700" s="22" t="n">
        <x:f>L1700*M1700</x:f>
        <x:v>19800</x:v>
      </x:c>
      <x:c r="P1700" s="22" t="n">
        <x:f>O1700*(1-N1700)</x:f>
        <x:v>18810</x:v>
      </x:c>
      <x:c r="Q1700" s="22" t="n">
        <x:v>1810</x:v>
      </x:c>
      <x:c r="R1700" s="22" t="n">
        <x:f>Q1700*M1700</x:f>
        <x:v>18100</x:v>
      </x:c>
      <x:c r="S1700" s="22" t="n">
        <x:f>P1700-R1700</x:f>
        <x:v>710</x:v>
      </x:c>
      <x:c r="T1700" t="str">
        <x:v>Bank Transfer</x:v>
      </x:c>
      <x:c r="U1700" t="str">
        <x:v>Overdue</x:v>
      </x:c>
      <x:c r="V1700" t="str">
        <x:v>Delivered</x:v>
      </x:c>
      <x:c r="W1700" t="n">
        <x:v>0</x:v>
      </x:c>
      <x:c r="X1700" t="str"/>
      <x:c r="Y1700" t="str">
        <x:v>Referral</x:v>
      </x:c>
    </x:row>
    <x:row r="1701">
      <x:c r="A1701" t="str">
        <x:v>O001700</x:v>
      </x:c>
      <x:c r="B1701" s="20" t="n">
        <x:v>46006</x:v>
      </x:c>
      <x:c r="C1701" t="str">
        <x:v>C0176</x:v>
      </x:c>
      <x:c r="D1701" t="str">
        <x:v>Cafe Kitchen 176</x:v>
      </x:c>
      <x:c r="E1701" t="str">
        <x:v>Kirana</x:v>
      </x:c>
      <x:c r="F1701" t="str">
        <x:v>Mysuru</x:v>
      </x:c>
      <x:c r="G1701" t="str">
        <x:v>Priya</x:v>
      </x:c>
      <x:c r="H1701" t="str">
        <x:v>P037</x:v>
      </x:c>
      <x:c r="I1701" t="str">
        <x:v>Frozen Peas 1kg</x:v>
      </x:c>
      <x:c r="J1701" t="str">
        <x:v>Frozen</x:v>
      </x:c>
      <x:c r="K1701" t="str">
        <x:v>Safal</x:v>
      </x:c>
      <x:c r="L1701" s="22" t="n">
        <x:v>155</x:v>
      </x:c>
      <x:c r="M1701" t="n">
        <x:v>10</x:v>
      </x:c>
      <x:c r="N1701" s="24" t="n">
        <x:v>0</x:v>
      </x:c>
      <x:c r="O1701" s="22" t="n">
        <x:f>L1701*M1701</x:f>
        <x:v>1550</x:v>
      </x:c>
      <x:c r="P1701" s="22" t="n">
        <x:f>O1701*(1-N1701)</x:f>
        <x:v>1550</x:v>
      </x:c>
      <x:c r="Q1701" s="22" t="n">
        <x:v>138</x:v>
      </x:c>
      <x:c r="R1701" s="22" t="n">
        <x:f>Q1701*M1701</x:f>
        <x:v>1380</x:v>
      </x:c>
      <x:c r="S1701" s="22" t="n">
        <x:f>P1701-R1701</x:f>
        <x:v>170</x:v>
      </x:c>
      <x:c r="T1701" t="str">
        <x:v>Credit</x:v>
      </x:c>
      <x:c r="U1701" t="str">
        <x:v>Paid</x:v>
      </x:c>
      <x:c r="V1701" t="str">
        <x:v>Delivered</x:v>
      </x:c>
      <x:c r="W1701" t="n">
        <x:v>0</x:v>
      </x:c>
      <x:c r="X1701" t="str"/>
      <x:c r="Y1701" t="str">
        <x:v>WhatsApp</x:v>
      </x:c>
    </x:row>
    <x:row r="1702">
      <x:c r="A1702" t="str">
        <x:v>O001701</x:v>
      </x:c>
      <x:c r="B1702" s="20" t="n">
        <x:v>45677</x:v>
      </x:c>
      <x:c r="C1702" t="str">
        <x:v>C0148</x:v>
      </x:c>
      <x:c r="D1702" t="str">
        <x:v>Shree Cafe 148</x:v>
      </x:c>
      <x:c r="E1702" t="str">
        <x:v>Kirana</x:v>
      </x:c>
      <x:c r="F1702" t="str">
        <x:v>Hubballi</x:v>
      </x:c>
      <x:c r="G1702" t="str">
        <x:v>Priya</x:v>
      </x:c>
      <x:c r="H1702" t="str">
        <x:v>P001</x:v>
      </x:c>
      <x:c r="I1702" t="str">
        <x:v>Steam Rice 25kg</x:v>
      </x:c>
      <x:c r="J1702" t="str">
        <x:v>Staples</x:v>
      </x:c>
      <x:c r="K1702" t="str">
        <x:v>Aishwarya</x:v>
      </x:c>
      <x:c r="L1702" s="22" t="n">
        <x:v>1180</x:v>
      </x:c>
      <x:c r="M1702" t="n">
        <x:v>10</x:v>
      </x:c>
      <x:c r="N1702" s="24" t="n">
        <x:v>0.03</x:v>
      </x:c>
      <x:c r="O1702" s="22" t="n">
        <x:f>L1702*M1702</x:f>
        <x:v>11800</x:v>
      </x:c>
      <x:c r="P1702" s="22" t="n">
        <x:f>O1702*(1-N1702)</x:f>
        <x:v>11446</x:v>
      </x:c>
      <x:c r="Q1702" s="22" t="n">
        <x:v>1040</x:v>
      </x:c>
      <x:c r="R1702" s="22" t="n">
        <x:f>Q1702*M1702</x:f>
        <x:v>10400</x:v>
      </x:c>
      <x:c r="S1702" s="22" t="n">
        <x:f>P1702-R1702</x:f>
        <x:v>1046</x:v>
      </x:c>
      <x:c r="T1702" t="str">
        <x:v>UPI</x:v>
      </x:c>
      <x:c r="U1702" t="str">
        <x:v>Paid</x:v>
      </x:c>
      <x:c r="V1702" t="str">
        <x:v>Delivered</x:v>
      </x:c>
      <x:c r="W1702" t="n">
        <x:v>0</x:v>
      </x:c>
      <x:c r="X1702" t="str"/>
      <x:c r="Y1702" t="str">
        <x:v>WhatsApp</x:v>
      </x:c>
    </x:row>
    <x:row r="1703">
      <x:c r="A1703" t="str">
        <x:v>O001702</x:v>
      </x:c>
      <x:c r="B1703" s="20" t="n">
        <x:v>45905</x:v>
      </x:c>
      <x:c r="C1703" t="str">
        <x:v>C0200</x:v>
      </x:c>
      <x:c r="D1703" t="str">
        <x:v>Sagar Kitchen 200</x:v>
      </x:c>
      <x:c r="E1703" t="str">
        <x:v>Cafe</x:v>
      </x:c>
      <x:c r="F1703" t="str">
        <x:v>Bengaluru</x:v>
      </x:c>
      <x:c r="G1703" t="str">
        <x:v>Arjun</x:v>
      </x:c>
      <x:c r="H1703" t="str">
        <x:v>P045</x:v>
      </x:c>
      <x:c r="I1703" t="str">
        <x:v>Onion 25kg</x:v>
      </x:c>
      <x:c r="J1703" t="str">
        <x:v>Fresh Produce</x:v>
      </x:c>
      <x:c r="K1703" t="str">
        <x:v>Local Market</x:v>
      </x:c>
      <x:c r="L1703" s="22" t="n">
        <x:v>875</x:v>
      </x:c>
      <x:c r="M1703" t="n">
        <x:v>31</x:v>
      </x:c>
      <x:c r="N1703" s="24" t="n">
        <x:v>0.03</x:v>
      </x:c>
      <x:c r="O1703" s="22" t="n">
        <x:f>L1703*M1703</x:f>
        <x:v>27125</x:v>
      </x:c>
      <x:c r="P1703" s="22" t="n">
        <x:f>O1703*(1-N1703)</x:f>
        <x:v>26311.25</x:v>
      </x:c>
      <x:c r="Q1703" s="22" t="n">
        <x:v>760</x:v>
      </x:c>
      <x:c r="R1703" s="22" t="n">
        <x:f>Q1703*M1703</x:f>
        <x:v>23560</x:v>
      </x:c>
      <x:c r="S1703" s="22" t="n">
        <x:f>P1703-R1703</x:f>
        <x:v>2751.25</x:v>
      </x:c>
      <x:c r="T1703" t="str">
        <x:v>Bank Transfer</x:v>
      </x:c>
      <x:c r="U1703" t="str">
        <x:v>Paid</x:v>
      </x:c>
      <x:c r="V1703" t="str">
        <x:v>Delivered</x:v>
      </x:c>
      <x:c r="W1703" t="n">
        <x:v>0</x:v>
      </x:c>
      <x:c r="X1703" t="str"/>
      <x:c r="Y1703" t="str">
        <x:v>Existing Customer</x:v>
      </x:c>
    </x:row>
    <x:row r="1704">
      <x:c r="A1704" t="str">
        <x:v>O001703</x:v>
      </x:c>
      <x:c r="B1704" s="20" t="n">
        <x:v>46041</x:v>
      </x:c>
      <x:c r="C1704" t="str">
        <x:v>C0079</x:v>
      </x:c>
      <x:c r="D1704" t="str">
        <x:v>Foodie Foods 79</x:v>
      </x:c>
      <x:c r="E1704" t="str">
        <x:v>Cafe</x:v>
      </x:c>
      <x:c r="F1704" t="str">
        <x:v>Tumakuru</x:v>
      </x:c>
      <x:c r="G1704" t="str">
        <x:v>Ramesh</x:v>
      </x:c>
      <x:c r="H1704" t="str">
        <x:v>P038</x:v>
      </x:c>
      <x:c r="I1704" t="str">
        <x:v>French Fries 2.5kg</x:v>
      </x:c>
      <x:c r="J1704" t="str">
        <x:v>Frozen</x:v>
      </x:c>
      <x:c r="K1704" t="str">
        <x:v>McCain</x:v>
      </x:c>
      <x:c r="L1704" s="22" t="n">
        <x:v>360</x:v>
      </x:c>
      <x:c r="M1704" t="n">
        <x:v>15</x:v>
      </x:c>
      <x:c r="N1704" s="24" t="n">
        <x:v>0</x:v>
      </x:c>
      <x:c r="O1704" s="22" t="n">
        <x:f>L1704*M1704</x:f>
        <x:v>5400</x:v>
      </x:c>
      <x:c r="P1704" s="22" t="n">
        <x:f>O1704*(1-N1704)</x:f>
        <x:v>5400</x:v>
      </x:c>
      <x:c r="Q1704" s="22" t="n">
        <x:v>315</x:v>
      </x:c>
      <x:c r="R1704" s="22" t="n">
        <x:f>Q1704*M1704</x:f>
        <x:v>4725</x:v>
      </x:c>
      <x:c r="S1704" s="22" t="n">
        <x:f>P1704-R1704</x:f>
        <x:v>675</x:v>
      </x:c>
      <x:c r="T1704" t="str">
        <x:v>Credit</x:v>
      </x:c>
      <x:c r="U1704" t="str">
        <x:v>Paid</x:v>
      </x:c>
      <x:c r="V1704" t="str">
        <x:v>Delivered</x:v>
      </x:c>
      <x:c r="W1704" t="n">
        <x:v>0</x:v>
      </x:c>
      <x:c r="X1704" t="str"/>
      <x:c r="Y1704" t="str">
        <x:v>Referral</x:v>
      </x:c>
    </x:row>
    <x:row r="1705">
      <x:c r="A1705" t="str">
        <x:v>O001704</x:v>
      </x:c>
      <x:c r="B1705" s="20" t="n">
        <x:v>45822</x:v>
      </x:c>
      <x:c r="C1705" t="str">
        <x:v>C0003</x:v>
      </x:c>
      <x:c r="D1705" t="str">
        <x:v>Grand Foods 3</x:v>
      </x:c>
      <x:c r="E1705" t="str">
        <x:v>Restaurant</x:v>
      </x:c>
      <x:c r="F1705" t="str">
        <x:v>Bengaluru</x:v>
      </x:c>
      <x:c r="G1705" t="str">
        <x:v>Vikram</x:v>
      </x:c>
      <x:c r="H1705" t="str">
        <x:v>P014</x:v>
      </x:c>
      <x:c r="I1705" t="str">
        <x:v>Rava 5kg</x:v>
      </x:c>
      <x:c r="J1705" t="str">
        <x:v>Flour</x:v>
      </x:c>
      <x:c r="K1705" t="str">
        <x:v>Local Select</x:v>
      </x:c>
      <x:c r="L1705" s="22" t="n">
        <x:v>245</x:v>
      </x:c>
      <x:c r="M1705" t="n">
        <x:v>23</x:v>
      </x:c>
      <x:c r="N1705" s="24" t="n">
        <x:v>0.05</x:v>
      </x:c>
      <x:c r="O1705" s="22" t="n">
        <x:f>L1705*M1705</x:f>
        <x:v>5635</x:v>
      </x:c>
      <x:c r="P1705" s="22" t="n">
        <x:f>O1705*(1-N1705)</x:f>
        <x:v>5353.25</x:v>
      </x:c>
      <x:c r="Q1705" s="22" t="n">
        <x:v>215</x:v>
      </x:c>
      <x:c r="R1705" s="22" t="n">
        <x:f>Q1705*M1705</x:f>
        <x:v>4945</x:v>
      </x:c>
      <x:c r="S1705" s="22" t="n">
        <x:f>P1705-R1705</x:f>
        <x:v>408.25</x:v>
      </x:c>
      <x:c r="T1705" t="str">
        <x:v>UPI</x:v>
      </x:c>
      <x:c r="U1705" t="str">
        <x:v>Paid</x:v>
      </x:c>
      <x:c r="V1705" t="str">
        <x:v>Delivered</x:v>
      </x:c>
      <x:c r="W1705" t="n">
        <x:v>0</x:v>
      </x:c>
      <x:c r="X1705" t="str"/>
      <x:c r="Y1705" t="str">
        <x:v>Referral</x:v>
      </x:c>
    </x:row>
    <x:row r="1706">
      <x:c r="A1706" t="str">
        <x:v>O001705</x:v>
      </x:c>
      <x:c r="B1706" s="20" t="n">
        <x:v>45766</x:v>
      </x:c>
      <x:c r="C1706" t="str">
        <x:v>C0048</x:v>
      </x:c>
      <x:c r="D1706" t="str">
        <x:v>Udupi Foods 48</x:v>
      </x:c>
      <x:c r="E1706" t="str">
        <x:v>Hotel</x:v>
      </x:c>
      <x:c r="F1706" t="str">
        <x:v>Bengaluru</x:v>
      </x:c>
      <x:c r="G1706" t="str">
        <x:v>Ramesh</x:v>
      </x:c>
      <x:c r="H1706" t="str">
        <x:v>P019</x:v>
      </x:c>
      <x:c r="I1706" t="str">
        <x:v>Tea 1kg</x:v>
      </x:c>
      <x:c r="J1706" t="str">
        <x:v>Beverage</x:v>
      </x:c>
      <x:c r="K1706" t="str">
        <x:v>Red Label</x:v>
      </x:c>
      <x:c r="L1706" s="22" t="n">
        <x:v>540</x:v>
      </x:c>
      <x:c r="M1706" t="n">
        <x:v>30</x:v>
      </x:c>
      <x:c r="N1706" s="24" t="n">
        <x:v>0.03</x:v>
      </x:c>
      <x:c r="O1706" s="22" t="n">
        <x:f>L1706*M1706</x:f>
        <x:v>16200</x:v>
      </x:c>
      <x:c r="P1706" s="22" t="n">
        <x:f>O1706*(1-N1706)</x:f>
        <x:v>15714</x:v>
      </x:c>
      <x:c r="Q1706" s="22" t="n">
        <x:v>485</x:v>
      </x:c>
      <x:c r="R1706" s="22" t="n">
        <x:f>Q1706*M1706</x:f>
        <x:v>14550</x:v>
      </x:c>
      <x:c r="S1706" s="22" t="n">
        <x:f>P1706-R1706</x:f>
        <x:v>1164</x:v>
      </x:c>
      <x:c r="T1706" t="str">
        <x:v>Bank Transfer</x:v>
      </x:c>
      <x:c r="U1706" t="str">
        <x:v>Paid</x:v>
      </x:c>
      <x:c r="V1706" t="str">
        <x:v>Cancelled</x:v>
      </x:c>
      <x:c r="W1706" t="n">
        <x:v>30</x:v>
      </x:c>
      <x:c r="X1706" t="str">
        <x:v>Cancelled Order</x:v>
      </x:c>
      <x:c r="Y1706" t="str">
        <x:v>Referral</x:v>
      </x:c>
    </x:row>
    <x:row r="1707">
      <x:c r="A1707" t="str">
        <x:v>O001706</x:v>
      </x:c>
      <x:c r="B1707" s="20" t="n">
        <x:v>45811</x:v>
      </x:c>
      <x:c r="C1707" t="str">
        <x:v>C0147</x:v>
      </x:c>
      <x:c r="D1707" t="str">
        <x:v>New Stores 147</x:v>
      </x:c>
      <x:c r="E1707" t="str">
        <x:v>Supermarket</x:v>
      </x:c>
      <x:c r="F1707" t="str">
        <x:v>Hubballi</x:v>
      </x:c>
      <x:c r="G1707" t="str">
        <x:v>Imran</x:v>
      </x:c>
      <x:c r="H1707" t="str">
        <x:v>P045</x:v>
      </x:c>
      <x:c r="I1707" t="str">
        <x:v>Onion 25kg</x:v>
      </x:c>
      <x:c r="J1707" t="str">
        <x:v>Fresh Produce</x:v>
      </x:c>
      <x:c r="K1707" t="str">
        <x:v>Local Market</x:v>
      </x:c>
      <x:c r="L1707" s="22" t="n">
        <x:v>875</x:v>
      </x:c>
      <x:c r="M1707" t="n">
        <x:v>15</x:v>
      </x:c>
      <x:c r="N1707" s="24" t="n">
        <x:v>0.05</x:v>
      </x:c>
      <x:c r="O1707" s="22" t="n">
        <x:f>L1707*M1707</x:f>
        <x:v>13125</x:v>
      </x:c>
      <x:c r="P1707" s="22" t="n">
        <x:f>O1707*(1-N1707)</x:f>
        <x:v>12468.75</x:v>
      </x:c>
      <x:c r="Q1707" s="22" t="n">
        <x:v>760</x:v>
      </x:c>
      <x:c r="R1707" s="22" t="n">
        <x:f>Q1707*M1707</x:f>
        <x:v>11400</x:v>
      </x:c>
      <x:c r="S1707" s="22" t="n">
        <x:f>P1707-R1707</x:f>
        <x:v>1068.75</x:v>
      </x:c>
      <x:c r="T1707" t="str">
        <x:v>Cash</x:v>
      </x:c>
      <x:c r="U1707" t="str">
        <x:v>Paid</x:v>
      </x:c>
      <x:c r="V1707" t="str">
        <x:v>Delivered</x:v>
      </x:c>
      <x:c r="W1707" t="n">
        <x:v>1</x:v>
      </x:c>
      <x:c r="X1707" t="str">
        <x:v>Damaged</x:v>
      </x:c>
      <x:c r="Y1707" t="str">
        <x:v>WhatsApp</x:v>
      </x:c>
    </x:row>
    <x:row r="1708">
      <x:c r="A1708" t="str">
        <x:v>O001707</x:v>
      </x:c>
      <x:c r="B1708" s="20" t="n">
        <x:v>45908</x:v>
      </x:c>
      <x:c r="C1708" t="str">
        <x:v>C0012</x:v>
      </x:c>
      <x:c r="D1708" t="str">
        <x:v>Sagar Canteen 12</x:v>
      </x:c>
      <x:c r="E1708" t="str">
        <x:v>Supermarket</x:v>
      </x:c>
      <x:c r="F1708" t="str">
        <x:v>Mysuru</x:v>
      </x:c>
      <x:c r="G1708" t="str">
        <x:v>Priya</x:v>
      </x:c>
      <x:c r="H1708" t="str">
        <x:v>P023</x:v>
      </x:c>
      <x:c r="I1708" t="str">
        <x:v>Cola 750ml</x:v>
      </x:c>
      <x:c r="J1708" t="str">
        <x:v>Beverage</x:v>
      </x:c>
      <x:c r="K1708" t="str">
        <x:v>Coca-Cola</x:v>
      </x:c>
      <x:c r="L1708" s="22" t="n">
        <x:v>38</x:v>
      </x:c>
      <x:c r="M1708" t="n">
        <x:v>1</x:v>
      </x:c>
      <x:c r="N1708" s="24" t="n">
        <x:v>0.05</x:v>
      </x:c>
      <x:c r="O1708" s="22" t="n">
        <x:f>L1708*M1708</x:f>
        <x:v>38</x:v>
      </x:c>
      <x:c r="P1708" s="22" t="n">
        <x:f>O1708*(1-N1708)</x:f>
        <x:v>36.1</x:v>
      </x:c>
      <x:c r="Q1708" s="22" t="n">
        <x:v>31</x:v>
      </x:c>
      <x:c r="R1708" s="22" t="n">
        <x:f>Q1708*M1708</x:f>
        <x:v>31</x:v>
      </x:c>
      <x:c r="S1708" s="22" t="n">
        <x:f>P1708-R1708</x:f>
        <x:v>5.100000000000001</x:v>
      </x:c>
      <x:c r="T1708" t="str">
        <x:v>Credit</x:v>
      </x:c>
      <x:c r="U1708" t="str">
        <x:v>Paid</x:v>
      </x:c>
      <x:c r="V1708" t="str">
        <x:v>Delivered</x:v>
      </x:c>
      <x:c r="W1708" t="n">
        <x:v>1</x:v>
      </x:c>
      <x:c r="X1708" t="str">
        <x:v>Damaged</x:v>
      </x:c>
      <x:c r="Y1708" t="str">
        <x:v>WhatsApp</x:v>
      </x:c>
    </x:row>
    <x:row r="1709">
      <x:c r="A1709" t="str">
        <x:v>O001708</x:v>
      </x:c>
      <x:c r="B1709" s="20" t="n">
        <x:v>45664</x:v>
      </x:c>
      <x:c r="C1709" t="str">
        <x:v>C0057</x:v>
      </x:c>
      <x:c r="D1709" t="str">
        <x:v>Annapurna Foods 57</x:v>
      </x:c>
      <x:c r="E1709" t="str">
        <x:v>Kirana</x:v>
      </x:c>
      <x:c r="F1709" t="str">
        <x:v>Mysuru</x:v>
      </x:c>
      <x:c r="G1709" t="str">
        <x:v>Priya</x:v>
      </x:c>
      <x:c r="H1709" t="str">
        <x:v>P009</x:v>
      </x:c>
      <x:c r="I1709" t="str">
        <x:v>Groundnut Oil 5L</x:v>
      </x:c>
      <x:c r="J1709" t="str">
        <x:v>Edible Oil</x:v>
      </x:c>
      <x:c r="K1709" t="str">
        <x:v>Dhara</x:v>
      </x:c>
      <x:c r="L1709" s="22" t="n">
        <x:v>890</x:v>
      </x:c>
      <x:c r="M1709" t="n">
        <x:v>19</x:v>
      </x:c>
      <x:c r="N1709" s="24" t="n">
        <x:v>0.08</x:v>
      </x:c>
      <x:c r="O1709" s="22" t="n">
        <x:f>L1709*M1709</x:f>
        <x:v>16910</x:v>
      </x:c>
      <x:c r="P1709" s="22" t="n">
        <x:f>O1709*(1-N1709)</x:f>
        <x:v>15557.2</x:v>
      </x:c>
      <x:c r="Q1709" s="22" t="n">
        <x:v>810</x:v>
      </x:c>
      <x:c r="R1709" s="22" t="n">
        <x:f>Q1709*M1709</x:f>
        <x:v>15390</x:v>
      </x:c>
      <x:c r="S1709" s="22" t="n">
        <x:f>P1709-R1709</x:f>
        <x:v>167.20000000000073</x:v>
      </x:c>
      <x:c r="T1709" t="str">
        <x:v>Cash</x:v>
      </x:c>
      <x:c r="U1709" t="str">
        <x:v>Overdue</x:v>
      </x:c>
      <x:c r="V1709" t="str">
        <x:v>Delivered</x:v>
      </x:c>
      <x:c r="W1709" t="n">
        <x:v>0</x:v>
      </x:c>
      <x:c r="X1709" t="str"/>
      <x:c r="Y1709" t="str">
        <x:v>Existing Customer</x:v>
      </x:c>
    </x:row>
    <x:row r="1710">
      <x:c r="A1710" t="str">
        <x:v>O001709</x:v>
      </x:c>
      <x:c r="B1710" s="20" t="n">
        <x:v>45989</x:v>
      </x:c>
      <x:c r="C1710" t="str">
        <x:v>C0140</x:v>
      </x:c>
      <x:c r="D1710" t="str">
        <x:v>Fresh Hotel 140</x:v>
      </x:c>
      <x:c r="E1710" t="str">
        <x:v>Kirana</x:v>
      </x:c>
      <x:c r="F1710" t="str">
        <x:v>Tumakuru</x:v>
      </x:c>
      <x:c r="G1710" t="str">
        <x:v>Imran</x:v>
      </x:c>
      <x:c r="H1710" t="str">
        <x:v>P029</x:v>
      </x:c>
      <x:c r="I1710" t="str">
        <x:v>Tomato Ketchup 1kg</x:v>
      </x:c>
      <x:c r="J1710" t="str">
        <x:v>Condiments</x:v>
      </x:c>
      <x:c r="K1710" t="str">
        <x:v>Kissan</x:v>
      </x:c>
      <x:c r="L1710" s="22" t="n">
        <x:v>145</x:v>
      </x:c>
      <x:c r="M1710" t="n">
        <x:v>37</x:v>
      </x:c>
      <x:c r="N1710" s="24" t="n">
        <x:v>0.08</x:v>
      </x:c>
      <x:c r="O1710" s="22" t="n">
        <x:f>L1710*M1710</x:f>
        <x:v>5365</x:v>
      </x:c>
      <x:c r="P1710" s="22" t="n">
        <x:f>O1710*(1-N1710)</x:f>
        <x:v>4935.8</x:v>
      </x:c>
      <x:c r="Q1710" s="22" t="n">
        <x:v>126</x:v>
      </x:c>
      <x:c r="R1710" s="22" t="n">
        <x:f>Q1710*M1710</x:f>
        <x:v>4662</x:v>
      </x:c>
      <x:c r="S1710" s="22" t="n">
        <x:f>P1710-R1710</x:f>
        <x:v>273.8000000000002</x:v>
      </x:c>
      <x:c r="T1710" t="str">
        <x:v>UPI</x:v>
      </x:c>
      <x:c r="U1710" t="str">
        <x:v>Paid</x:v>
      </x:c>
      <x:c r="V1710" t="str">
        <x:v>Cancelled</x:v>
      </x:c>
      <x:c r="W1710" t="n">
        <x:v>37</x:v>
      </x:c>
      <x:c r="X1710" t="str">
        <x:v>Cancelled Order</x:v>
      </x:c>
      <x:c r="Y1710" t="str">
        <x:v>Existing Customer</x:v>
      </x:c>
    </x:row>
    <x:row r="1711">
      <x:c r="A1711" t="str">
        <x:v>O001710</x:v>
      </x:c>
      <x:c r="B1711" s="20" t="n">
        <x:v>46062</x:v>
      </x:c>
      <x:c r="C1711" t="str">
        <x:v>C0080</x:v>
      </x:c>
      <x:c r="D1711" t="str">
        <x:v>Annapurna Canteen 80</x:v>
      </x:c>
      <x:c r="E1711" t="str">
        <x:v>Restaurant</x:v>
      </x:c>
      <x:c r="F1711" t="str">
        <x:v>Mangaluru</x:v>
      </x:c>
      <x:c r="G1711" t="str">
        <x:v>Priya</x:v>
      </x:c>
      <x:c r="H1711" t="str">
        <x:v>P011</x:v>
      </x:c>
      <x:c r="I1711" t="str">
        <x:v>Salt 1kg</x:v>
      </x:c>
      <x:c r="J1711" t="str">
        <x:v>Staples</x:v>
      </x:c>
      <x:c r="K1711" t="str">
        <x:v>Tata</x:v>
      </x:c>
      <x:c r="L1711" s="22" t="n">
        <x:v>28</x:v>
      </x:c>
      <x:c r="M1711" t="n">
        <x:v>3</x:v>
      </x:c>
      <x:c r="N1711" s="24" t="n">
        <x:v>0</x:v>
      </x:c>
      <x:c r="O1711" s="22" t="n">
        <x:f>L1711*M1711</x:f>
        <x:v>84</x:v>
      </x:c>
      <x:c r="P1711" s="22" t="n">
        <x:f>O1711*(1-N1711)</x:f>
        <x:v>84</x:v>
      </x:c>
      <x:c r="Q1711" s="22" t="n">
        <x:v>23</x:v>
      </x:c>
      <x:c r="R1711" s="22" t="n">
        <x:f>Q1711*M1711</x:f>
        <x:v>69</x:v>
      </x:c>
      <x:c r="S1711" s="22" t="n">
        <x:f>P1711-R1711</x:f>
        <x:v>15</x:v>
      </x:c>
      <x:c r="T1711" t="str">
        <x:v>Bank Transfer</x:v>
      </x:c>
      <x:c r="U1711" t="str">
        <x:v>Paid</x:v>
      </x:c>
      <x:c r="V1711" t="str">
        <x:v>Delivered</x:v>
      </x:c>
      <x:c r="W1711" t="n">
        <x:v>0</x:v>
      </x:c>
      <x:c r="X1711" t="str"/>
      <x:c r="Y1711" t="str">
        <x:v>Referral</x:v>
      </x:c>
    </x:row>
    <x:row r="1712">
      <x:c r="A1712" t="str">
        <x:v>O001711</x:v>
      </x:c>
      <x:c r="B1712" s="20" t="n">
        <x:v>45849</x:v>
      </x:c>
      <x:c r="C1712" t="str">
        <x:v>C0091</x:v>
      </x:c>
      <x:c r="D1712" t="str">
        <x:v>Classic Mart 91</x:v>
      </x:c>
      <x:c r="E1712" t="str">
        <x:v>Cafe</x:v>
      </x:c>
      <x:c r="F1712" t="str">
        <x:v>Mangaluru</x:v>
      </x:c>
      <x:c r="G1712" t="str">
        <x:v>Kavya</x:v>
      </x:c>
      <x:c r="H1712" t="str">
        <x:v>P034</x:v>
      </x:c>
      <x:c r="I1712" t="str">
        <x:v>Chilli Powder 1kg</x:v>
      </x:c>
      <x:c r="J1712" t="str">
        <x:v>Spices</x:v>
      </x:c>
      <x:c r="K1712" t="str">
        <x:v>MDH</x:v>
      </x:c>
      <x:c r="L1712" s="22" t="n">
        <x:v>340</x:v>
      </x:c>
      <x:c r="M1712" t="n">
        <x:v>5</x:v>
      </x:c>
      <x:c r="N1712" s="24" t="n">
        <x:v>0.02</x:v>
      </x:c>
      <x:c r="O1712" s="22" t="n">
        <x:f>L1712*M1712</x:f>
        <x:v>1700</x:v>
      </x:c>
      <x:c r="P1712" s="22" t="n">
        <x:f>O1712*(1-N1712)</x:f>
        <x:v>1666</x:v>
      </x:c>
      <x:c r="Q1712" s="22" t="n">
        <x:v>295</x:v>
      </x:c>
      <x:c r="R1712" s="22" t="n">
        <x:f>Q1712*M1712</x:f>
        <x:v>1475</x:v>
      </x:c>
      <x:c r="S1712" s="22" t="n">
        <x:f>P1712-R1712</x:f>
        <x:v>191</x:v>
      </x:c>
      <x:c r="T1712" t="str">
        <x:v>Credit</x:v>
      </x:c>
      <x:c r="U1712" t="str">
        <x:v>Pending</x:v>
      </x:c>
      <x:c r="V1712" t="str">
        <x:v>Cancelled</x:v>
      </x:c>
      <x:c r="W1712" t="n">
        <x:v>5</x:v>
      </x:c>
      <x:c r="X1712" t="str">
        <x:v>Cancelled Order</x:v>
      </x:c>
      <x:c r="Y1712" t="str">
        <x:v>Existing Customer</x:v>
      </x:c>
    </x:row>
    <x:row r="1713">
      <x:c r="A1713" t="str">
        <x:v>O001712</x:v>
      </x:c>
      <x:c r="B1713" s="20" t="n">
        <x:v>45775</x:v>
      </x:c>
      <x:c r="C1713" t="str">
        <x:v>C0233</x:v>
      </x:c>
      <x:c r="D1713" t="str">
        <x:v>Shree Mart 233</x:v>
      </x:c>
      <x:c r="E1713" t="str">
        <x:v>Kirana</x:v>
      </x:c>
      <x:c r="F1713" t="str">
        <x:v>Mangaluru</x:v>
      </x:c>
      <x:c r="G1713" t="str">
        <x:v>Priya</x:v>
      </x:c>
      <x:c r="H1713" t="str">
        <x:v>P029</x:v>
      </x:c>
      <x:c r="I1713" t="str">
        <x:v>Tomato Ketchup 1kg</x:v>
      </x:c>
      <x:c r="J1713" t="str">
        <x:v>Condiments</x:v>
      </x:c>
      <x:c r="K1713" t="str">
        <x:v>Kissan</x:v>
      </x:c>
      <x:c r="L1713" s="22" t="n">
        <x:v>145</x:v>
      </x:c>
      <x:c r="M1713" t="n">
        <x:v>6</x:v>
      </x:c>
      <x:c r="N1713" s="24" t="n">
        <x:v>0.05</x:v>
      </x:c>
      <x:c r="O1713" s="22" t="n">
        <x:f>L1713*M1713</x:f>
        <x:v>870</x:v>
      </x:c>
      <x:c r="P1713" s="22" t="n">
        <x:f>O1713*(1-N1713)</x:f>
        <x:v>826.5</x:v>
      </x:c>
      <x:c r="Q1713" s="22" t="n">
        <x:v>126</x:v>
      </x:c>
      <x:c r="R1713" s="22" t="n">
        <x:f>Q1713*M1713</x:f>
        <x:v>756</x:v>
      </x:c>
      <x:c r="S1713" s="22" t="n">
        <x:f>P1713-R1713</x:f>
        <x:v>70.5</x:v>
      </x:c>
      <x:c r="T1713" t="str">
        <x:v>Bank Transfer</x:v>
      </x:c>
      <x:c r="U1713" t="str">
        <x:v>Paid</x:v>
      </x:c>
      <x:c r="V1713" t="str">
        <x:v>Delayed</x:v>
      </x:c>
      <x:c r="W1713" t="n">
        <x:v>0</x:v>
      </x:c>
      <x:c r="X1713" t="str"/>
      <x:c r="Y1713" t="str">
        <x:v>Outbound Call</x:v>
      </x:c>
    </x:row>
    <x:row r="1714">
      <x:c r="A1714" t="str">
        <x:v>O001713</x:v>
      </x:c>
      <x:c r="B1714" s="20" t="n">
        <x:v>45830</x:v>
      </x:c>
      <x:c r="C1714" t="str">
        <x:v>C0111</x:v>
      </x:c>
      <x:c r="D1714" t="str">
        <x:v>Metro Kitchen 111</x:v>
      </x:c>
      <x:c r="E1714" t="str">
        <x:v>Restaurant</x:v>
      </x:c>
      <x:c r="F1714" t="str">
        <x:v>Davanagere</x:v>
      </x:c>
      <x:c r="G1714" t="str">
        <x:v>Sneha</x:v>
      </x:c>
      <x:c r="H1714" t="str">
        <x:v>P045</x:v>
      </x:c>
      <x:c r="I1714" t="str">
        <x:v>Onion 25kg</x:v>
      </x:c>
      <x:c r="J1714" t="str">
        <x:v>Fresh Produce</x:v>
      </x:c>
      <x:c r="K1714" t="str">
        <x:v>Local Market</x:v>
      </x:c>
      <x:c r="L1714" s="22" t="n">
        <x:v>875</x:v>
      </x:c>
      <x:c r="M1714" t="n">
        <x:v>7</x:v>
      </x:c>
      <x:c r="N1714" s="24" t="n">
        <x:v>0.05</x:v>
      </x:c>
      <x:c r="O1714" s="22" t="n">
        <x:f>L1714*M1714</x:f>
        <x:v>6125</x:v>
      </x:c>
      <x:c r="P1714" s="22" t="n">
        <x:f>O1714*(1-N1714)</x:f>
        <x:v>5818.75</x:v>
      </x:c>
      <x:c r="Q1714" s="22" t="n">
        <x:v>760</x:v>
      </x:c>
      <x:c r="R1714" s="22" t="n">
        <x:f>Q1714*M1714</x:f>
        <x:v>5320</x:v>
      </x:c>
      <x:c r="S1714" s="22" t="n">
        <x:f>P1714-R1714</x:f>
        <x:v>498.75</x:v>
      </x:c>
      <x:c r="T1714" t="str">
        <x:v>Bank Transfer</x:v>
      </x:c>
      <x:c r="U1714" t="str">
        <x:v>Paid</x:v>
      </x:c>
      <x:c r="V1714" t="str">
        <x:v>Delayed</x:v>
      </x:c>
      <x:c r="W1714" t="n">
        <x:v>0</x:v>
      </x:c>
      <x:c r="X1714" t="str"/>
      <x:c r="Y1714" t="str">
        <x:v>Outbound Call</x:v>
      </x:c>
    </x:row>
    <x:row r="1715">
      <x:c r="A1715" t="str">
        <x:v>O001714</x:v>
      </x:c>
      <x:c r="B1715" s="20" t="n">
        <x:v>45662</x:v>
      </x:c>
      <x:c r="C1715" t="str">
        <x:v>C0233</x:v>
      </x:c>
      <x:c r="D1715" t="str">
        <x:v>Shree Mart 233</x:v>
      </x:c>
      <x:c r="E1715" t="str">
        <x:v>Kirana</x:v>
      </x:c>
      <x:c r="F1715" t="str">
        <x:v>Mangaluru</x:v>
      </x:c>
      <x:c r="G1715" t="str">
        <x:v>Priya</x:v>
      </x:c>
      <x:c r="H1715" t="str">
        <x:v>P032</x:v>
      </x:c>
      <x:c r="I1715" t="str">
        <x:v>Soy Sauce 700g</x:v>
      </x:c>
      <x:c r="J1715" t="str">
        <x:v>Condiments</x:v>
      </x:c>
      <x:c r="K1715" t="str">
        <x:v>Ching's</x:v>
      </x:c>
      <x:c r="L1715" s="22" t="n">
        <x:v>118</x:v>
      </x:c>
      <x:c r="M1715" t="n">
        <x:v>24</x:v>
      </x:c>
      <x:c r="N1715" s="24" t="n">
        <x:v>0.03</x:v>
      </x:c>
      <x:c r="O1715" s="22" t="n">
        <x:f>L1715*M1715</x:f>
        <x:v>2832</x:v>
      </x:c>
      <x:c r="P1715" s="22" t="n">
        <x:f>O1715*(1-N1715)</x:f>
        <x:v>2747.04</x:v>
      </x:c>
      <x:c r="Q1715" s="22" t="n">
        <x:v>101</x:v>
      </x:c>
      <x:c r="R1715" s="22" t="n">
        <x:f>Q1715*M1715</x:f>
        <x:v>2424</x:v>
      </x:c>
      <x:c r="S1715" s="22" t="n">
        <x:f>P1715-R1715</x:f>
        <x:v>323.03999999999996</x:v>
      </x:c>
      <x:c r="T1715" t="str">
        <x:v>Credit</x:v>
      </x:c>
      <x:c r="U1715" t="str">
        <x:v>Paid</x:v>
      </x:c>
      <x:c r="V1715" t="str">
        <x:v>Delivered</x:v>
      </x:c>
      <x:c r="W1715" t="n">
        <x:v>0</x:v>
      </x:c>
      <x:c r="X1715" t="str"/>
      <x:c r="Y1715" t="str">
        <x:v>Referral</x:v>
      </x:c>
    </x:row>
    <x:row r="1716">
      <x:c r="A1716" t="str">
        <x:v>O001715</x:v>
      </x:c>
      <x:c r="B1716" s="20" t="n">
        <x:v>46221</x:v>
      </x:c>
      <x:c r="C1716" t="str">
        <x:v>C0086</x:v>
      </x:c>
      <x:c r="D1716" t="str">
        <x:v>Foodie Canteen 86</x:v>
      </x:c>
      <x:c r="E1716" t="str">
        <x:v>Kirana</x:v>
      </x:c>
      <x:c r="F1716" t="str">
        <x:v>Hubballi</x:v>
      </x:c>
      <x:c r="G1716" t="str">
        <x:v>Sneha</x:v>
      </x:c>
      <x:c r="H1716" t="str">
        <x:v>P036</x:v>
      </x:c>
      <x:c r="I1716" t="str">
        <x:v>Garam Masala 500g</x:v>
      </x:c>
      <x:c r="J1716" t="str">
        <x:v>Spices</x:v>
      </x:c>
      <x:c r="K1716" t="str">
        <x:v>MDH</x:v>
      </x:c>
      <x:c r="L1716" s="22" t="n">
        <x:v>265</x:v>
      </x:c>
      <x:c r="M1716" t="n">
        <x:v>6</x:v>
      </x:c>
      <x:c r="N1716" s="24" t="n">
        <x:v>0.05</x:v>
      </x:c>
      <x:c r="O1716" s="22" t="n">
        <x:f>L1716*M1716</x:f>
        <x:v>1590</x:v>
      </x:c>
      <x:c r="P1716" s="22" t="n">
        <x:f>O1716*(1-N1716)</x:f>
        <x:v>1510.5</x:v>
      </x:c>
      <x:c r="Q1716" s="22" t="n">
        <x:v>230</x:v>
      </x:c>
      <x:c r="R1716" s="22" t="n">
        <x:f>Q1716*M1716</x:f>
        <x:v>1380</x:v>
      </x:c>
      <x:c r="S1716" s="22" t="n">
        <x:f>P1716-R1716</x:f>
        <x:v>130.5</x:v>
      </x:c>
      <x:c r="T1716" t="str">
        <x:v>Cash</x:v>
      </x:c>
      <x:c r="U1716" t="str">
        <x:v>Paid</x:v>
      </x:c>
      <x:c r="V1716" t="str">
        <x:v>Delivered</x:v>
      </x:c>
      <x:c r="W1716" t="n">
        <x:v>0</x:v>
      </x:c>
      <x:c r="X1716" t="str"/>
      <x:c r="Y1716" t="str">
        <x:v>WhatsApp</x:v>
      </x:c>
    </x:row>
    <x:row r="1717">
      <x:c r="A1717" t="str">
        <x:v>O001716</x:v>
      </x:c>
      <x:c r="B1717" s="20" t="n">
        <x:v>46048</x:v>
      </x:c>
      <x:c r="C1717" t="str">
        <x:v>C0177</x:v>
      </x:c>
      <x:c r="D1717" t="str">
        <x:v>Classic Cafe 177</x:v>
      </x:c>
      <x:c r="E1717" t="str">
        <x:v>Supermarket</x:v>
      </x:c>
      <x:c r="F1717" t="str">
        <x:v>Bengaluru</x:v>
      </x:c>
      <x:c r="G1717" t="str">
        <x:v>Arjun</x:v>
      </x:c>
      <x:c r="H1717" t="str">
        <x:v>P007</x:v>
      </x:c>
      <x:c r="I1717" t="str">
        <x:v>Sunflower Oil 15L</x:v>
      </x:c>
      <x:c r="J1717" t="str">
        <x:v>Edible Oil</x:v>
      </x:c>
      <x:c r="K1717" t="str">
        <x:v>Fortune</x:v>
      </x:c>
      <x:c r="L1717" s="22" t="n">
        <x:v>1980</x:v>
      </x:c>
      <x:c r="M1717" t="n">
        <x:v>9</x:v>
      </x:c>
      <x:c r="N1717" s="24" t="n">
        <x:v>0</x:v>
      </x:c>
      <x:c r="O1717" s="22" t="n">
        <x:f>L1717*M1717</x:f>
        <x:v>17820</x:v>
      </x:c>
      <x:c r="P1717" s="22" t="n">
        <x:f>O1717*(1-N1717)</x:f>
        <x:v>17820</x:v>
      </x:c>
      <x:c r="Q1717" s="22" t="n">
        <x:v>1810</x:v>
      </x:c>
      <x:c r="R1717" s="22" t="n">
        <x:f>Q1717*M1717</x:f>
        <x:v>16290</x:v>
      </x:c>
      <x:c r="S1717" s="22" t="n">
        <x:f>P1717-R1717</x:f>
        <x:v>1530</x:v>
      </x:c>
      <x:c r="T1717" t="str">
        <x:v>UPI</x:v>
      </x:c>
      <x:c r="U1717" t="str">
        <x:v>Pending</x:v>
      </x:c>
      <x:c r="V1717" t="str">
        <x:v>Delivered</x:v>
      </x:c>
      <x:c r="W1717" t="n">
        <x:v>0</x:v>
      </x:c>
      <x:c r="X1717" t="str"/>
      <x:c r="Y1717" t="str">
        <x:v>WhatsApp</x:v>
      </x:c>
    </x:row>
    <x:row r="1718">
      <x:c r="A1718" t="str">
        <x:v>O001717</x:v>
      </x:c>
      <x:c r="B1718" s="20" t="n">
        <x:v>46276</x:v>
      </x:c>
      <x:c r="C1718" t="str">
        <x:v>C0207</x:v>
      </x:c>
      <x:c r="D1718" t="str">
        <x:v>Hotel Stores 207</x:v>
      </x:c>
      <x:c r="E1718" t="str">
        <x:v>Restaurant</x:v>
      </x:c>
      <x:c r="F1718" t="str">
        <x:v>Hubballi</x:v>
      </x:c>
      <x:c r="G1718" t="str">
        <x:v>Ramesh</x:v>
      </x:c>
      <x:c r="H1718" t="str">
        <x:v>P045</x:v>
      </x:c>
      <x:c r="I1718" t="str">
        <x:v>Onion 25kg</x:v>
      </x:c>
      <x:c r="J1718" t="str">
        <x:v>Fresh Produce</x:v>
      </x:c>
      <x:c r="K1718" t="str">
        <x:v>Local Market</x:v>
      </x:c>
      <x:c r="L1718" s="22" t="n">
        <x:v>875</x:v>
      </x:c>
      <x:c r="M1718" t="n">
        <x:v>14</x:v>
      </x:c>
      <x:c r="N1718" s="24" t="n">
        <x:v>0</x:v>
      </x:c>
      <x:c r="O1718" s="22" t="n">
        <x:f>L1718*M1718</x:f>
        <x:v>12250</x:v>
      </x:c>
      <x:c r="P1718" s="22" t="n">
        <x:f>O1718*(1-N1718)</x:f>
        <x:v>12250</x:v>
      </x:c>
      <x:c r="Q1718" s="22" t="n">
        <x:v>760</x:v>
      </x:c>
      <x:c r="R1718" s="22" t="n">
        <x:f>Q1718*M1718</x:f>
        <x:v>10640</x:v>
      </x:c>
      <x:c r="S1718" s="22" t="n">
        <x:f>P1718-R1718</x:f>
        <x:v>1610</x:v>
      </x:c>
      <x:c r="T1718" t="str">
        <x:v>Credit</x:v>
      </x:c>
      <x:c r="U1718" t="str">
        <x:v>Paid</x:v>
      </x:c>
      <x:c r="V1718" t="str">
        <x:v>Delivered</x:v>
      </x:c>
      <x:c r="W1718" t="n">
        <x:v>0</x:v>
      </x:c>
      <x:c r="X1718" t="str"/>
      <x:c r="Y1718" t="str">
        <x:v>Existing Customer</x:v>
      </x:c>
    </x:row>
    <x:row r="1719">
      <x:c r="A1719" t="str">
        <x:v>O001718</x:v>
      </x:c>
      <x:c r="B1719" s="20" t="n">
        <x:v>45940</x:v>
      </x:c>
      <x:c r="C1719" t="str">
        <x:v>C0045</x:v>
      </x:c>
      <x:c r="D1719" t="str">
        <x:v>Annapurna Restaurant 45</x:v>
      </x:c>
      <x:c r="E1719" t="str">
        <x:v>Kirana</x:v>
      </x:c>
      <x:c r="F1719" t="str">
        <x:v>Mysuru</x:v>
      </x:c>
      <x:c r="G1719" t="str">
        <x:v>Arjun</x:v>
      </x:c>
      <x:c r="H1719" t="str">
        <x:v>P033</x:v>
      </x:c>
      <x:c r="I1719" t="str">
        <x:v>Turmeric Powder 1kg</x:v>
      </x:c>
      <x:c r="J1719" t="str">
        <x:v>Spices</x:v>
      </x:c>
      <x:c r="K1719" t="str">
        <x:v>Everest</x:v>
      </x:c>
      <x:c r="L1719" s="22" t="n">
        <x:v>310</x:v>
      </x:c>
      <x:c r="M1719" t="n">
        <x:v>22</x:v>
      </x:c>
      <x:c r="N1719" s="24" t="n">
        <x:v>0.1</x:v>
      </x:c>
      <x:c r="O1719" s="22" t="n">
        <x:f>L1719*M1719</x:f>
        <x:v>6820</x:v>
      </x:c>
      <x:c r="P1719" s="22" t="n">
        <x:f>O1719*(1-N1719)</x:f>
        <x:v>6138</x:v>
      </x:c>
      <x:c r="Q1719" s="22" t="n">
        <x:v>270</x:v>
      </x:c>
      <x:c r="R1719" s="22" t="n">
        <x:f>Q1719*M1719</x:f>
        <x:v>5940</x:v>
      </x:c>
      <x:c r="S1719" s="22" t="n">
        <x:f>P1719-R1719</x:f>
        <x:v>198</x:v>
      </x:c>
      <x:c r="T1719" t="str">
        <x:v>Cash</x:v>
      </x:c>
      <x:c r="U1719" t="str">
        <x:v>Pending</x:v>
      </x:c>
      <x:c r="V1719" t="str">
        <x:v>Cancelled</x:v>
      </x:c>
      <x:c r="W1719" t="n">
        <x:v>22</x:v>
      </x:c>
      <x:c r="X1719" t="str">
        <x:v>Cancelled Order</x:v>
      </x:c>
      <x:c r="Y1719" t="str">
        <x:v>Outbound Call</x:v>
      </x:c>
    </x:row>
    <x:row r="1720">
      <x:c r="A1720" t="str">
        <x:v>O001719</x:v>
      </x:c>
      <x:c r="B1720" s="20" t="n">
        <x:v>46146</x:v>
      </x:c>
      <x:c r="C1720" t="str">
        <x:v>C0036</x:v>
      </x:c>
      <x:c r="D1720" t="str">
        <x:v>Grand Hotel 36</x:v>
      </x:c>
      <x:c r="E1720" t="str">
        <x:v>Canteen</x:v>
      </x:c>
      <x:c r="F1720" t="str">
        <x:v>Tumakuru</x:v>
      </x:c>
      <x:c r="G1720" t="str">
        <x:v>Kavya</x:v>
      </x:c>
      <x:c r="H1720" t="str">
        <x:v>P011</x:v>
      </x:c>
      <x:c r="I1720" t="str">
        <x:v>Salt 1kg</x:v>
      </x:c>
      <x:c r="J1720" t="str">
        <x:v>Staples</x:v>
      </x:c>
      <x:c r="K1720" t="str">
        <x:v>Tata</x:v>
      </x:c>
      <x:c r="L1720" s="22" t="n">
        <x:v>28</x:v>
      </x:c>
      <x:c r="M1720" t="n">
        <x:v>11</x:v>
      </x:c>
      <x:c r="N1720" s="24" t="n">
        <x:v>0</x:v>
      </x:c>
      <x:c r="O1720" s="22" t="n">
        <x:f>L1720*M1720</x:f>
        <x:v>308</x:v>
      </x:c>
      <x:c r="P1720" s="22" t="n">
        <x:f>O1720*(1-N1720)</x:f>
        <x:v>308</x:v>
      </x:c>
      <x:c r="Q1720" s="22" t="n">
        <x:v>23</x:v>
      </x:c>
      <x:c r="R1720" s="22" t="n">
        <x:f>Q1720*M1720</x:f>
        <x:v>253</x:v>
      </x:c>
      <x:c r="S1720" s="22" t="n">
        <x:f>P1720-R1720</x:f>
        <x:v>55</x:v>
      </x:c>
      <x:c r="T1720" t="str">
        <x:v>Bank Transfer</x:v>
      </x:c>
      <x:c r="U1720" t="str">
        <x:v>Paid</x:v>
      </x:c>
      <x:c r="V1720" t="str">
        <x:v>Delayed</x:v>
      </x:c>
      <x:c r="W1720" t="n">
        <x:v>0</x:v>
      </x:c>
      <x:c r="X1720" t="str"/>
      <x:c r="Y1720" t="str">
        <x:v>Field Visit</x:v>
      </x:c>
    </x:row>
    <x:row r="1721">
      <x:c r="A1721" t="str">
        <x:v>O001720</x:v>
      </x:c>
      <x:c r="B1721" s="20" t="n">
        <x:v>45796</x:v>
      </x:c>
      <x:c r="C1721" t="str">
        <x:v>C0161</x:v>
      </x:c>
      <x:c r="D1721" t="str">
        <x:v>Hotel Kitchen 161</x:v>
      </x:c>
      <x:c r="E1721" t="str">
        <x:v>Supermarket</x:v>
      </x:c>
      <x:c r="F1721" t="str">
        <x:v>Mysuru</x:v>
      </x:c>
      <x:c r="G1721" t="str">
        <x:v>Sneha</x:v>
      </x:c>
      <x:c r="H1721" t="str">
        <x:v>P015</x:v>
      </x:c>
      <x:c r="I1721" t="str">
        <x:v>Milk 1L</x:v>
      </x:c>
      <x:c r="J1721" t="str">
        <x:v>Dairy</x:v>
      </x:c>
      <x:c r="K1721" t="str">
        <x:v>Nandini</x:v>
      </x:c>
      <x:c r="L1721" s="22" t="n">
        <x:v>48</x:v>
      </x:c>
      <x:c r="M1721" t="n">
        <x:v>10</x:v>
      </x:c>
      <x:c r="N1721" s="24" t="n">
        <x:v>0</x:v>
      </x:c>
      <x:c r="O1721" s="22" t="n">
        <x:f>L1721*M1721</x:f>
        <x:v>480</x:v>
      </x:c>
      <x:c r="P1721" s="22" t="n">
        <x:f>O1721*(1-N1721)</x:f>
        <x:v>480</x:v>
      </x:c>
      <x:c r="Q1721" s="22" t="n">
        <x:v>43</x:v>
      </x:c>
      <x:c r="R1721" s="22" t="n">
        <x:f>Q1721*M1721</x:f>
        <x:v>430</x:v>
      </x:c>
      <x:c r="S1721" s="22" t="n">
        <x:f>P1721-R1721</x:f>
        <x:v>50</x:v>
      </x:c>
      <x:c r="T1721" t="str">
        <x:v>UPI</x:v>
      </x:c>
      <x:c r="U1721" t="str">
        <x:v>Paid</x:v>
      </x:c>
      <x:c r="V1721" t="str">
        <x:v>Delivered</x:v>
      </x:c>
      <x:c r="W1721" t="n">
        <x:v>0</x:v>
      </x:c>
      <x:c r="X1721" t="str"/>
      <x:c r="Y1721" t="str">
        <x:v>Referral</x:v>
      </x:c>
    </x:row>
    <x:row r="1722">
      <x:c r="A1722" t="str">
        <x:v>O001721</x:v>
      </x:c>
      <x:c r="B1722" s="20" t="n">
        <x:v>46195</x:v>
      </x:c>
      <x:c r="C1722" t="str">
        <x:v>C0237</x:v>
      </x:c>
      <x:c r="D1722" t="str">
        <x:v>Mysore Restaurant 237</x:v>
      </x:c>
      <x:c r="E1722" t="str">
        <x:v>Restaurant</x:v>
      </x:c>
      <x:c r="F1722" t="str">
        <x:v>Bengaluru</x:v>
      </x:c>
      <x:c r="G1722" t="str">
        <x:v>Sneha</x:v>
      </x:c>
      <x:c r="H1722" t="str">
        <x:v>P048</x:v>
      </x:c>
      <x:c r="I1722" t="str">
        <x:v>Banana 10kg</x:v>
      </x:c>
      <x:c r="J1722" t="str">
        <x:v>Fresh Produce</x:v>
      </x:c>
      <x:c r="K1722" t="str">
        <x:v>Local Market</x:v>
      </x:c>
      <x:c r="L1722" s="22" t="n">
        <x:v>420</x:v>
      </x:c>
      <x:c r="M1722" t="n">
        <x:v>8</x:v>
      </x:c>
      <x:c r="N1722" s="24" t="n">
        <x:v>0</x:v>
      </x:c>
      <x:c r="O1722" s="22" t="n">
        <x:f>L1722*M1722</x:f>
        <x:v>3360</x:v>
      </x:c>
      <x:c r="P1722" s="22" t="n">
        <x:f>O1722*(1-N1722)</x:f>
        <x:v>3360</x:v>
      </x:c>
      <x:c r="Q1722" s="22" t="n">
        <x:v>350</x:v>
      </x:c>
      <x:c r="R1722" s="22" t="n">
        <x:f>Q1722*M1722</x:f>
        <x:v>2800</x:v>
      </x:c>
      <x:c r="S1722" s="22" t="n">
        <x:f>P1722-R1722</x:f>
        <x:v>560</x:v>
      </x:c>
      <x:c r="T1722" t="str">
        <x:v>Cash</x:v>
      </x:c>
      <x:c r="U1722" t="str">
        <x:v>Paid</x:v>
      </x:c>
      <x:c r="V1722" t="str">
        <x:v>Cancelled</x:v>
      </x:c>
      <x:c r="W1722" t="n">
        <x:v>8</x:v>
      </x:c>
      <x:c r="X1722" t="str">
        <x:v>Cancelled Order</x:v>
      </x:c>
      <x:c r="Y1722" t="str">
        <x:v>Referral</x:v>
      </x:c>
    </x:row>
    <x:row r="1723">
      <x:c r="A1723" t="str">
        <x:v>O001722</x:v>
      </x:c>
      <x:c r="B1723" s="20" t="n">
        <x:v>45671</x:v>
      </x:c>
      <x:c r="C1723" t="str">
        <x:v>C0173</x:v>
      </x:c>
      <x:c r="D1723" t="str">
        <x:v>Royal Kitchen 173</x:v>
      </x:c>
      <x:c r="E1723" t="str">
        <x:v>Hotel</x:v>
      </x:c>
      <x:c r="F1723" t="str">
        <x:v>Bengaluru</x:v>
      </x:c>
      <x:c r="G1723" t="str">
        <x:v>Priya</x:v>
      </x:c>
      <x:c r="H1723" t="str">
        <x:v>P009</x:v>
      </x:c>
      <x:c r="I1723" t="str">
        <x:v>Groundnut Oil 5L</x:v>
      </x:c>
      <x:c r="J1723" t="str">
        <x:v>Edible Oil</x:v>
      </x:c>
      <x:c r="K1723" t="str">
        <x:v>Dhara</x:v>
      </x:c>
      <x:c r="L1723" s="22" t="n">
        <x:v>890</x:v>
      </x:c>
      <x:c r="M1723" t="n">
        <x:v>9</x:v>
      </x:c>
      <x:c r="N1723" s="24" t="n">
        <x:v>0</x:v>
      </x:c>
      <x:c r="O1723" s="22" t="n">
        <x:f>L1723*M1723</x:f>
        <x:v>8010</x:v>
      </x:c>
      <x:c r="P1723" s="22" t="n">
        <x:f>O1723*(1-N1723)</x:f>
        <x:v>8010</x:v>
      </x:c>
      <x:c r="Q1723" s="22" t="n">
        <x:v>810</x:v>
      </x:c>
      <x:c r="R1723" s="22" t="n">
        <x:f>Q1723*M1723</x:f>
        <x:v>7290</x:v>
      </x:c>
      <x:c r="S1723" s="22" t="n">
        <x:f>P1723-R1723</x:f>
        <x:v>720</x:v>
      </x:c>
      <x:c r="T1723" t="str">
        <x:v>Bank Transfer</x:v>
      </x:c>
      <x:c r="U1723" t="str">
        <x:v>Overdue</x:v>
      </x:c>
      <x:c r="V1723" t="str">
        <x:v>Delivered</x:v>
      </x:c>
      <x:c r="W1723" t="n">
        <x:v>0</x:v>
      </x:c>
      <x:c r="X1723" t="str"/>
      <x:c r="Y1723" t="str">
        <x:v>Referral</x:v>
      </x:c>
    </x:row>
    <x:row r="1724">
      <x:c r="A1724" t="str">
        <x:v>O001723</x:v>
      </x:c>
      <x:c r="B1724" s="20" t="n">
        <x:v>46107</x:v>
      </x:c>
      <x:c r="C1724" t="str">
        <x:v>C0034</x:v>
      </x:c>
      <x:c r="D1724" t="str">
        <x:v>City Restaurant 34</x:v>
      </x:c>
      <x:c r="E1724" t="str">
        <x:v>Restaurant</x:v>
      </x:c>
      <x:c r="F1724" t="str">
        <x:v>Mangaluru</x:v>
      </x:c>
      <x:c r="G1724" t="str">
        <x:v>Sneha</x:v>
      </x:c>
      <x:c r="H1724" t="str">
        <x:v>P009</x:v>
      </x:c>
      <x:c r="I1724" t="str">
        <x:v>Groundnut Oil 5L</x:v>
      </x:c>
      <x:c r="J1724" t="str">
        <x:v>Edible Oil</x:v>
      </x:c>
      <x:c r="K1724" t="str">
        <x:v>Dhara</x:v>
      </x:c>
      <x:c r="L1724" s="22" t="n">
        <x:v>890</x:v>
      </x:c>
      <x:c r="M1724" t="n">
        <x:v>32</x:v>
      </x:c>
      <x:c r="N1724" s="24" t="n">
        <x:v>0.02</x:v>
      </x:c>
      <x:c r="O1724" s="22" t="n">
        <x:f>L1724*M1724</x:f>
        <x:v>28480</x:v>
      </x:c>
      <x:c r="P1724" s="22" t="n">
        <x:f>O1724*(1-N1724)</x:f>
        <x:v>27910.399999999998</x:v>
      </x:c>
      <x:c r="Q1724" s="22" t="n">
        <x:v>810</x:v>
      </x:c>
      <x:c r="R1724" s="22" t="n">
        <x:f>Q1724*M1724</x:f>
        <x:v>25920</x:v>
      </x:c>
      <x:c r="S1724" s="22" t="n">
        <x:f>P1724-R1724</x:f>
        <x:v>1990.3999999999978</x:v>
      </x:c>
      <x:c r="T1724" t="str">
        <x:v>Bank Transfer</x:v>
      </x:c>
      <x:c r="U1724" t="str">
        <x:v>Paid</x:v>
      </x:c>
      <x:c r="V1724" t="str">
        <x:v>Delivered</x:v>
      </x:c>
      <x:c r="W1724" t="n">
        <x:v>0</x:v>
      </x:c>
      <x:c r="X1724" t="str"/>
      <x:c r="Y1724" t="str">
        <x:v>Referral</x:v>
      </x:c>
    </x:row>
    <x:row r="1725">
      <x:c r="A1725" t="str">
        <x:v>O001724</x:v>
      </x:c>
      <x:c r="B1725" s="20" t="n">
        <x:v>45791</x:v>
      </x:c>
      <x:c r="C1725" t="str">
        <x:v>C0199</x:v>
      </x:c>
      <x:c r="D1725" t="str">
        <x:v>Classic Cafe 199</x:v>
      </x:c>
      <x:c r="E1725" t="str">
        <x:v>Canteen</x:v>
      </x:c>
      <x:c r="F1725" t="str">
        <x:v>Mangaluru</x:v>
      </x:c>
      <x:c r="G1725" t="str">
        <x:v>Ramesh</x:v>
      </x:c>
      <x:c r="H1725" t="str">
        <x:v>P049</x:v>
      </x:c>
      <x:c r="I1725" t="str">
        <x:v>Apple 10kg</x:v>
      </x:c>
      <x:c r="J1725" t="str">
        <x:v>Fresh Produce</x:v>
      </x:c>
      <x:c r="K1725" t="str">
        <x:v>Local Market</x:v>
      </x:c>
      <x:c r="L1725" s="22" t="n">
        <x:v>1450</x:v>
      </x:c>
      <x:c r="M1725" t="n">
        <x:v>2</x:v>
      </x:c>
      <x:c r="N1725" s="24" t="n">
        <x:v>0.03</x:v>
      </x:c>
      <x:c r="O1725" s="22" t="n">
        <x:f>L1725*M1725</x:f>
        <x:v>2900</x:v>
      </x:c>
      <x:c r="P1725" s="22" t="n">
        <x:f>O1725*(1-N1725)</x:f>
        <x:v>2813</x:v>
      </x:c>
      <x:c r="Q1725" s="22" t="n">
        <x:v>1280</x:v>
      </x:c>
      <x:c r="R1725" s="22" t="n">
        <x:f>Q1725*M1725</x:f>
        <x:v>2560</x:v>
      </x:c>
      <x:c r="S1725" s="22" t="n">
        <x:f>P1725-R1725</x:f>
        <x:v>253</x:v>
      </x:c>
      <x:c r="T1725" t="str">
        <x:v>UPI</x:v>
      </x:c>
      <x:c r="U1725" t="str">
        <x:v>Paid</x:v>
      </x:c>
      <x:c r="V1725" t="str">
        <x:v>Delivered</x:v>
      </x:c>
      <x:c r="W1725" t="n">
        <x:v>0</x:v>
      </x:c>
      <x:c r="X1725" t="str"/>
      <x:c r="Y1725" t="str">
        <x:v>Outbound Call</x:v>
      </x:c>
    </x:row>
    <x:row r="1726">
      <x:c r="A1726" t="str">
        <x:v>O001725</x:v>
      </x:c>
      <x:c r="B1726" s="20" t="n">
        <x:v>45894</x:v>
      </x:c>
      <x:c r="C1726" t="str">
        <x:v>C0204</x:v>
      </x:c>
      <x:c r="D1726" t="str">
        <x:v>Udupi Stores 204</x:v>
      </x:c>
      <x:c r="E1726" t="str">
        <x:v>Kirana</x:v>
      </x:c>
      <x:c r="F1726" t="str">
        <x:v>Bengaluru</x:v>
      </x:c>
      <x:c r="G1726" t="str">
        <x:v>Vikram</x:v>
      </x:c>
      <x:c r="H1726" t="str">
        <x:v>P039</x:v>
      </x:c>
      <x:c r="I1726" t="str">
        <x:v>Ice Cream 4L</x:v>
      </x:c>
      <x:c r="J1726" t="str">
        <x:v>Frozen</x:v>
      </x:c>
      <x:c r="K1726" t="str">
        <x:v>Amul</x:v>
      </x:c>
      <x:c r="L1726" s="22" t="n">
        <x:v>480</x:v>
      </x:c>
      <x:c r="M1726" t="n">
        <x:v>29</x:v>
      </x:c>
      <x:c r="N1726" s="24" t="n">
        <x:v>0.03</x:v>
      </x:c>
      <x:c r="O1726" s="22" t="n">
        <x:f>L1726*M1726</x:f>
        <x:v>13920</x:v>
      </x:c>
      <x:c r="P1726" s="22" t="n">
        <x:f>O1726*(1-N1726)</x:f>
        <x:v>13502.4</x:v>
      </x:c>
      <x:c r="Q1726" s="22" t="n">
        <x:v>420</x:v>
      </x:c>
      <x:c r="R1726" s="22" t="n">
        <x:f>Q1726*M1726</x:f>
        <x:v>12180</x:v>
      </x:c>
      <x:c r="S1726" s="22" t="n">
        <x:f>P1726-R1726</x:f>
        <x:v>1322.3999999999996</x:v>
      </x:c>
      <x:c r="T1726" t="str">
        <x:v>Cash</x:v>
      </x:c>
      <x:c r="U1726" t="str">
        <x:v>Paid</x:v>
      </x:c>
      <x:c r="V1726" t="str">
        <x:v>Delayed</x:v>
      </x:c>
      <x:c r="W1726" t="n">
        <x:v>0</x:v>
      </x:c>
      <x:c r="X1726" t="str"/>
      <x:c r="Y1726" t="str">
        <x:v>Outbound Call</x:v>
      </x:c>
    </x:row>
    <x:row r="1727">
      <x:c r="A1727" t="str">
        <x:v>O001726</x:v>
      </x:c>
      <x:c r="B1727" s="20" t="n">
        <x:v>45730</x:v>
      </x:c>
      <x:c r="C1727" t="str">
        <x:v>C0058</x:v>
      </x:c>
      <x:c r="D1727" t="str">
        <x:v>Spice Kitchen 58</x:v>
      </x:c>
      <x:c r="E1727" t="str">
        <x:v>Supermarket</x:v>
      </x:c>
      <x:c r="F1727" t="str">
        <x:v>Davanagere</x:v>
      </x:c>
      <x:c r="G1727" t="str">
        <x:v>Sneha</x:v>
      </x:c>
      <x:c r="H1727" t="str">
        <x:v>P009</x:v>
      </x:c>
      <x:c r="I1727" t="str">
        <x:v>Groundnut Oil 5L</x:v>
      </x:c>
      <x:c r="J1727" t="str">
        <x:v>Edible Oil</x:v>
      </x:c>
      <x:c r="K1727" t="str">
        <x:v>Dhara</x:v>
      </x:c>
      <x:c r="L1727" s="22" t="n">
        <x:v>890</x:v>
      </x:c>
      <x:c r="M1727" t="n">
        <x:v>2</x:v>
      </x:c>
      <x:c r="N1727" s="24" t="n">
        <x:v>0.05</x:v>
      </x:c>
      <x:c r="O1727" s="22" t="n">
        <x:f>L1727*M1727</x:f>
        <x:v>1780</x:v>
      </x:c>
      <x:c r="P1727" s="22" t="n">
        <x:f>O1727*(1-N1727)</x:f>
        <x:v>1691</x:v>
      </x:c>
      <x:c r="Q1727" s="22" t="n">
        <x:v>810</x:v>
      </x:c>
      <x:c r="R1727" s="22" t="n">
        <x:f>Q1727*M1727</x:f>
        <x:v>1620</x:v>
      </x:c>
      <x:c r="S1727" s="22" t="n">
        <x:f>P1727-R1727</x:f>
        <x:v>71</x:v>
      </x:c>
      <x:c r="T1727" t="str">
        <x:v>UPI</x:v>
      </x:c>
      <x:c r="U1727" t="str">
        <x:v>Paid</x:v>
      </x:c>
      <x:c r="V1727" t="str">
        <x:v>Cancelled</x:v>
      </x:c>
      <x:c r="W1727" t="n">
        <x:v>2</x:v>
      </x:c>
      <x:c r="X1727" t="str">
        <x:v>Cancelled Order</x:v>
      </x:c>
      <x:c r="Y1727" t="str">
        <x:v>Outbound Call</x:v>
      </x:c>
    </x:row>
    <x:row r="1728">
      <x:c r="A1728" t="str">
        <x:v>O001727</x:v>
      </x:c>
      <x:c r="B1728" s="20" t="n">
        <x:v>45699</x:v>
      </x:c>
      <x:c r="C1728" t="str">
        <x:v>C0097</x:v>
      </x:c>
      <x:c r="D1728" t="str">
        <x:v>Classic Stores 97</x:v>
      </x:c>
      <x:c r="E1728" t="str">
        <x:v>Restaurant</x:v>
      </x:c>
      <x:c r="F1728" t="str">
        <x:v>Davanagere</x:v>
      </x:c>
      <x:c r="G1728" t="str">
        <x:v>Priya</x:v>
      </x:c>
      <x:c r="H1728" t="str">
        <x:v>P039</x:v>
      </x:c>
      <x:c r="I1728" t="str">
        <x:v>Ice Cream 4L</x:v>
      </x:c>
      <x:c r="J1728" t="str">
        <x:v>Frozen</x:v>
      </x:c>
      <x:c r="K1728" t="str">
        <x:v>Amul</x:v>
      </x:c>
      <x:c r="L1728" s="22" t="n">
        <x:v>480</x:v>
      </x:c>
      <x:c r="M1728" t="n">
        <x:v>11</x:v>
      </x:c>
      <x:c r="N1728" s="24" t="n">
        <x:v>0.03</x:v>
      </x:c>
      <x:c r="O1728" s="22" t="n">
        <x:f>L1728*M1728</x:f>
        <x:v>5280</x:v>
      </x:c>
      <x:c r="P1728" s="22" t="n">
        <x:f>O1728*(1-N1728)</x:f>
        <x:v>5121.599999999999</x:v>
      </x:c>
      <x:c r="Q1728" s="22" t="n">
        <x:v>420</x:v>
      </x:c>
      <x:c r="R1728" s="22" t="n">
        <x:f>Q1728*M1728</x:f>
        <x:v>4620</x:v>
      </x:c>
      <x:c r="S1728" s="22" t="n">
        <x:f>P1728-R1728</x:f>
        <x:v>501.59999999999945</x:v>
      </x:c>
      <x:c r="T1728" t="str">
        <x:v>Bank Transfer</x:v>
      </x:c>
      <x:c r="U1728" t="str">
        <x:v>Paid</x:v>
      </x:c>
      <x:c r="V1728" t="str">
        <x:v>Delivered</x:v>
      </x:c>
      <x:c r="W1728" t="n">
        <x:v>0</x:v>
      </x:c>
      <x:c r="X1728" t="str"/>
      <x:c r="Y1728" t="str">
        <x:v>Existing Customer</x:v>
      </x:c>
    </x:row>
    <x:row r="1729">
      <x:c r="A1729" t="str">
        <x:v>O001728</x:v>
      </x:c>
      <x:c r="B1729" s="20" t="n">
        <x:v>46054</x:v>
      </x:c>
      <x:c r="C1729" t="str">
        <x:v>C0018</x:v>
      </x:c>
      <x:c r="D1729" t="str">
        <x:v>Namma Canteen 18</x:v>
      </x:c>
      <x:c r="E1729" t="str">
        <x:v>Restaurant</x:v>
      </x:c>
      <x:c r="F1729" t="str">
        <x:v>Davanagere</x:v>
      </x:c>
      <x:c r="G1729" t="str">
        <x:v>Imran</x:v>
      </x:c>
      <x:c r="H1729" t="str">
        <x:v>P040</x:v>
      </x:c>
      <x:c r="I1729" t="str">
        <x:v>Bread Loaf 400g</x:v>
      </x:c>
      <x:c r="J1729" t="str">
        <x:v>Bakery</x:v>
      </x:c>
      <x:c r="K1729" t="str">
        <x:v>Britannia</x:v>
      </x:c>
      <x:c r="L1729" s="22" t="n">
        <x:v>45</x:v>
      </x:c>
      <x:c r="M1729" t="n">
        <x:v>26</x:v>
      </x:c>
      <x:c r="N1729" s="24" t="n">
        <x:v>0</x:v>
      </x:c>
      <x:c r="O1729" s="22" t="n">
        <x:f>L1729*M1729</x:f>
        <x:v>1170</x:v>
      </x:c>
      <x:c r="P1729" s="22" t="n">
        <x:f>O1729*(1-N1729)</x:f>
        <x:v>1170</x:v>
      </x:c>
      <x:c r="Q1729" s="22" t="n">
        <x:v>35</x:v>
      </x:c>
      <x:c r="R1729" s="22" t="n">
        <x:f>Q1729*M1729</x:f>
        <x:v>910</x:v>
      </x:c>
      <x:c r="S1729" s="22" t="n">
        <x:f>P1729-R1729</x:f>
        <x:v>260</x:v>
      </x:c>
      <x:c r="T1729" t="str">
        <x:v>UPI</x:v>
      </x:c>
      <x:c r="U1729" t="str">
        <x:v>Pending</x:v>
      </x:c>
      <x:c r="V1729" t="str">
        <x:v>Delivered</x:v>
      </x:c>
      <x:c r="W1729" t="n">
        <x:v>0</x:v>
      </x:c>
      <x:c r="X1729" t="str"/>
      <x:c r="Y1729" t="str">
        <x:v>WhatsApp</x:v>
      </x:c>
    </x:row>
    <x:row r="1730">
      <x:c r="A1730" t="str">
        <x:v>O001729</x:v>
      </x:c>
      <x:c r="B1730" s="20" t="n">
        <x:v>46033</x:v>
      </x:c>
      <x:c r="C1730" t="str">
        <x:v>C0129</x:v>
      </x:c>
      <x:c r="D1730" t="str">
        <x:v>City Canteen 129</x:v>
      </x:c>
      <x:c r="E1730" t="str">
        <x:v>Kirana</x:v>
      </x:c>
      <x:c r="F1730" t="str">
        <x:v>Hubballi</x:v>
      </x:c>
      <x:c r="G1730" t="str">
        <x:v>Sneha</x:v>
      </x:c>
      <x:c r="H1730" t="str">
        <x:v>P004</x:v>
      </x:c>
      <x:c r="I1730" t="str">
        <x:v>Toor Dal 5kg</x:v>
      </x:c>
      <x:c r="J1730" t="str">
        <x:v>Pulses</x:v>
      </x:c>
      <x:c r="K1730" t="str">
        <x:v>Tata Sampann</x:v>
      </x:c>
      <x:c r="L1730" s="22" t="n">
        <x:v>780</x:v>
      </x:c>
      <x:c r="M1730" t="n">
        <x:v>26</x:v>
      </x:c>
      <x:c r="N1730" s="24" t="n">
        <x:v>0.03</x:v>
      </x:c>
      <x:c r="O1730" s="22" t="n">
        <x:f>L1730*M1730</x:f>
        <x:v>20280</x:v>
      </x:c>
      <x:c r="P1730" s="22" t="n">
        <x:f>O1730*(1-N1730)</x:f>
        <x:v>19671.6</x:v>
      </x:c>
      <x:c r="Q1730" s="22" t="n">
        <x:v>695</x:v>
      </x:c>
      <x:c r="R1730" s="22" t="n">
        <x:f>Q1730*M1730</x:f>
        <x:v>18070</x:v>
      </x:c>
      <x:c r="S1730" s="22" t="n">
        <x:f>P1730-R1730</x:f>
        <x:v>1601.5999999999985</x:v>
      </x:c>
      <x:c r="T1730" t="str">
        <x:v>Cash</x:v>
      </x:c>
      <x:c r="U1730" t="str">
        <x:v>Overdue</x:v>
      </x:c>
      <x:c r="V1730" t="str">
        <x:v>Delivered</x:v>
      </x:c>
      <x:c r="W1730" t="n">
        <x:v>0</x:v>
      </x:c>
      <x:c r="X1730" t="str"/>
      <x:c r="Y1730" t="str">
        <x:v>WhatsApp</x:v>
      </x:c>
    </x:row>
    <x:row r="1731">
      <x:c r="A1731" t="str">
        <x:v>O001730</x:v>
      </x:c>
      <x:c r="B1731" s="20" t="n">
        <x:v>46050</x:v>
      </x:c>
      <x:c r="C1731" t="str">
        <x:v>C0193</x:v>
      </x:c>
      <x:c r="D1731" t="str">
        <x:v>Udupi Cafe 193</x:v>
      </x:c>
      <x:c r="E1731" t="str">
        <x:v>Restaurant</x:v>
      </x:c>
      <x:c r="F1731" t="str">
        <x:v>Hubballi</x:v>
      </x:c>
      <x:c r="G1731" t="str">
        <x:v>Sneha</x:v>
      </x:c>
      <x:c r="H1731" t="str">
        <x:v>P003</x:v>
      </x:c>
      <x:c r="I1731" t="str">
        <x:v>Basmati Rice 5kg</x:v>
      </x:c>
      <x:c r="J1731" t="str">
        <x:v>Staples</x:v>
      </x:c>
      <x:c r="K1731" t="str">
        <x:v>India Gate</x:v>
      </x:c>
      <x:c r="L1731" s="22" t="n">
        <x:v>690</x:v>
      </x:c>
      <x:c r="M1731" t="n">
        <x:v>15</x:v>
      </x:c>
      <x:c r="N1731" s="24" t="n">
        <x:v>0.05</x:v>
      </x:c>
      <x:c r="O1731" s="22" t="n">
        <x:f>L1731*M1731</x:f>
        <x:v>10350</x:v>
      </x:c>
      <x:c r="P1731" s="22" t="n">
        <x:f>O1731*(1-N1731)</x:f>
        <x:v>9832.5</x:v>
      </x:c>
      <x:c r="Q1731" s="22" t="n">
        <x:v>610</x:v>
      </x:c>
      <x:c r="R1731" s="22" t="n">
        <x:f>Q1731*M1731</x:f>
        <x:v>9150</x:v>
      </x:c>
      <x:c r="S1731" s="22" t="n">
        <x:f>P1731-R1731</x:f>
        <x:v>682.5</x:v>
      </x:c>
      <x:c r="T1731" t="str">
        <x:v>Bank Transfer</x:v>
      </x:c>
      <x:c r="U1731" t="str">
        <x:v>Paid</x:v>
      </x:c>
      <x:c r="V1731" t="str">
        <x:v>Delayed</x:v>
      </x:c>
      <x:c r="W1731" t="n">
        <x:v>0</x:v>
      </x:c>
      <x:c r="X1731" t="str"/>
      <x:c r="Y1731" t="str">
        <x:v>WhatsApp</x:v>
      </x:c>
    </x:row>
    <x:row r="1732">
      <x:c r="A1732" t="str">
        <x:v>O001731</x:v>
      </x:c>
      <x:c r="B1732" s="20" t="n">
        <x:v>46253</x:v>
      </x:c>
      <x:c r="C1732" t="str">
        <x:v>C0016</x:v>
      </x:c>
      <x:c r="D1732" t="str">
        <x:v>Royal Canteen 16</x:v>
      </x:c>
      <x:c r="E1732" t="str">
        <x:v>Cafe</x:v>
      </x:c>
      <x:c r="F1732" t="str">
        <x:v>Davanagere</x:v>
      </x:c>
      <x:c r="G1732" t="str">
        <x:v>Megha</x:v>
      </x:c>
      <x:c r="H1732" t="str">
        <x:v>P020</x:v>
      </x:c>
      <x:c r="I1732" t="str">
        <x:v>Coffee 500g</x:v>
      </x:c>
      <x:c r="J1732" t="str">
        <x:v>Beverage</x:v>
      </x:c>
      <x:c r="K1732" t="str">
        <x:v>Bru</x:v>
      </x:c>
      <x:c r="L1732" s="22" t="n">
        <x:v>390</x:v>
      </x:c>
      <x:c r="M1732" t="n">
        <x:v>19</x:v>
      </x:c>
      <x:c r="N1732" s="24" t="n">
        <x:v>0.05</x:v>
      </x:c>
      <x:c r="O1732" s="22" t="n">
        <x:f>L1732*M1732</x:f>
        <x:v>7410</x:v>
      </x:c>
      <x:c r="P1732" s="22" t="n">
        <x:f>O1732*(1-N1732)</x:f>
        <x:v>7039.5</x:v>
      </x:c>
      <x:c r="Q1732" s="22" t="n">
        <x:v>350</x:v>
      </x:c>
      <x:c r="R1732" s="22" t="n">
        <x:f>Q1732*M1732</x:f>
        <x:v>6650</x:v>
      </x:c>
      <x:c r="S1732" s="22" t="n">
        <x:f>P1732-R1732</x:f>
        <x:v>389.5</x:v>
      </x:c>
      <x:c r="T1732" t="str">
        <x:v>Cash</x:v>
      </x:c>
      <x:c r="U1732" t="str">
        <x:v>Paid</x:v>
      </x:c>
      <x:c r="V1732" t="str">
        <x:v>Delivered</x:v>
      </x:c>
      <x:c r="W1732" t="n">
        <x:v>0</x:v>
      </x:c>
      <x:c r="X1732" t="str"/>
      <x:c r="Y1732" t="str">
        <x:v>WhatsApp</x:v>
      </x:c>
    </x:row>
    <x:row r="1733">
      <x:c r="A1733" t="str">
        <x:v>O001732</x:v>
      </x:c>
      <x:c r="B1733" s="20" t="n">
        <x:v>45971</x:v>
      </x:c>
      <x:c r="C1733" t="str">
        <x:v>C0051</x:v>
      </x:c>
      <x:c r="D1733" t="str">
        <x:v>Cafe Hotel 51</x:v>
      </x:c>
      <x:c r="E1733" t="str">
        <x:v>Kirana</x:v>
      </x:c>
      <x:c r="F1733" t="str">
        <x:v>Tumakuru</x:v>
      </x:c>
      <x:c r="G1733" t="str">
        <x:v>Arjun</x:v>
      </x:c>
      <x:c r="H1733" t="str">
        <x:v>P044</x:v>
      </x:c>
      <x:c r="I1733" t="str">
        <x:v>Chicken Curry Cut 1kg</x:v>
      </x:c>
      <x:c r="J1733" t="str">
        <x:v>Protein</x:v>
      </x:c>
      <x:c r="K1733" t="str">
        <x:v>FreshToHome</x:v>
      </x:c>
      <x:c r="L1733" s="22" t="n">
        <x:v>230</x:v>
      </x:c>
      <x:c r="M1733" t="n">
        <x:v>39</x:v>
      </x:c>
      <x:c r="N1733" s="24" t="n">
        <x:v>0.05</x:v>
      </x:c>
      <x:c r="O1733" s="22" t="n">
        <x:f>L1733*M1733</x:f>
        <x:v>8970</x:v>
      </x:c>
      <x:c r="P1733" s="22" t="n">
        <x:f>O1733*(1-N1733)</x:f>
        <x:v>8521.5</x:v>
      </x:c>
      <x:c r="Q1733" s="22" t="n">
        <x:v>205</x:v>
      </x:c>
      <x:c r="R1733" s="22" t="n">
        <x:f>Q1733*M1733</x:f>
        <x:v>7995</x:v>
      </x:c>
      <x:c r="S1733" s="22" t="n">
        <x:f>P1733-R1733</x:f>
        <x:v>526.5</x:v>
      </x:c>
      <x:c r="T1733" t="str">
        <x:v>Bank Transfer</x:v>
      </x:c>
      <x:c r="U1733" t="str">
        <x:v>Paid</x:v>
      </x:c>
      <x:c r="V1733" t="str">
        <x:v>Delivered</x:v>
      </x:c>
      <x:c r="W1733" t="n">
        <x:v>4</x:v>
      </x:c>
      <x:c r="X1733" t="str">
        <x:v>Wrong Item</x:v>
      </x:c>
      <x:c r="Y1733" t="str">
        <x:v>WhatsApp</x:v>
      </x:c>
    </x:row>
    <x:row r="1734">
      <x:c r="A1734" t="str">
        <x:v>O001733</x:v>
      </x:c>
      <x:c r="B1734" s="20" t="n">
        <x:v>46052</x:v>
      </x:c>
      <x:c r="C1734" t="str">
        <x:v>C0217</x:v>
      </x:c>
      <x:c r="D1734" t="str">
        <x:v>Darshini Cafe 217</x:v>
      </x:c>
      <x:c r="E1734" t="str">
        <x:v>Restaurant</x:v>
      </x:c>
      <x:c r="F1734" t="str">
        <x:v>Bengaluru</x:v>
      </x:c>
      <x:c r="G1734" t="str">
        <x:v>Priya</x:v>
      </x:c>
      <x:c r="H1734" t="str">
        <x:v>P011</x:v>
      </x:c>
      <x:c r="I1734" t="str">
        <x:v>Salt 1kg</x:v>
      </x:c>
      <x:c r="J1734" t="str">
        <x:v>Staples</x:v>
      </x:c>
      <x:c r="K1734" t="str">
        <x:v>Tata</x:v>
      </x:c>
      <x:c r="L1734" s="22" t="n">
        <x:v>28</x:v>
      </x:c>
      <x:c r="M1734" t="n">
        <x:v>9</x:v>
      </x:c>
      <x:c r="N1734" s="24" t="n">
        <x:v>0.03</x:v>
      </x:c>
      <x:c r="O1734" s="22" t="n">
        <x:f>L1734*M1734</x:f>
        <x:v>252</x:v>
      </x:c>
      <x:c r="P1734" s="22" t="n">
        <x:f>O1734*(1-N1734)</x:f>
        <x:v>244.44</x:v>
      </x:c>
      <x:c r="Q1734" s="22" t="n">
        <x:v>23</x:v>
      </x:c>
      <x:c r="R1734" s="22" t="n">
        <x:f>Q1734*M1734</x:f>
        <x:v>207</x:v>
      </x:c>
      <x:c r="S1734" s="22" t="n">
        <x:f>P1734-R1734</x:f>
        <x:v>37.44</x:v>
      </x:c>
      <x:c r="T1734" t="str">
        <x:v>UPI</x:v>
      </x:c>
      <x:c r="U1734" t="str">
        <x:v>Paid</x:v>
      </x:c>
      <x:c r="V1734" t="str">
        <x:v>Delivered</x:v>
      </x:c>
      <x:c r="W1734" t="n">
        <x:v>0</x:v>
      </x:c>
      <x:c r="X1734" t="str"/>
      <x:c r="Y1734" t="str">
        <x:v>WhatsApp</x:v>
      </x:c>
    </x:row>
    <x:row r="1735">
      <x:c r="A1735" t="str">
        <x:v>O001734</x:v>
      </x:c>
      <x:c r="B1735" s="20" t="n">
        <x:v>46009</x:v>
      </x:c>
      <x:c r="C1735" t="str">
        <x:v>C0236</x:v>
      </x:c>
      <x:c r="D1735" t="str">
        <x:v>Foodie Stores 236</x:v>
      </x:c>
      <x:c r="E1735" t="str">
        <x:v>Kirana</x:v>
      </x:c>
      <x:c r="F1735" t="str">
        <x:v>Bengaluru</x:v>
      </x:c>
      <x:c r="G1735" t="str">
        <x:v>Ramesh</x:v>
      </x:c>
      <x:c r="H1735" t="str">
        <x:v>P048</x:v>
      </x:c>
      <x:c r="I1735" t="str">
        <x:v>Banana 10kg</x:v>
      </x:c>
      <x:c r="J1735" t="str">
        <x:v>Fresh Produce</x:v>
      </x:c>
      <x:c r="K1735" t="str">
        <x:v>Local Market</x:v>
      </x:c>
      <x:c r="L1735" s="22" t="n">
        <x:v>420</x:v>
      </x:c>
      <x:c r="M1735" t="n">
        <x:v>36</x:v>
      </x:c>
      <x:c r="N1735" s="24" t="n">
        <x:v>0.05</x:v>
      </x:c>
      <x:c r="O1735" s="22" t="n">
        <x:f>L1735*M1735</x:f>
        <x:v>15120</x:v>
      </x:c>
      <x:c r="P1735" s="22" t="n">
        <x:f>O1735*(1-N1735)</x:f>
        <x:v>14364</x:v>
      </x:c>
      <x:c r="Q1735" s="22" t="n">
        <x:v>350</x:v>
      </x:c>
      <x:c r="R1735" s="22" t="n">
        <x:f>Q1735*M1735</x:f>
        <x:v>12600</x:v>
      </x:c>
      <x:c r="S1735" s="22" t="n">
        <x:f>P1735-R1735</x:f>
        <x:v>1764</x:v>
      </x:c>
      <x:c r="T1735" t="str">
        <x:v>Cash</x:v>
      </x:c>
      <x:c r="U1735" t="str">
        <x:v>Paid</x:v>
      </x:c>
      <x:c r="V1735" t="str">
        <x:v>Delivered</x:v>
      </x:c>
      <x:c r="W1735" t="n">
        <x:v>0</x:v>
      </x:c>
      <x:c r="X1735" t="str"/>
      <x:c r="Y1735" t="str">
        <x:v>Existing Customer</x:v>
      </x:c>
    </x:row>
    <x:row r="1736">
      <x:c r="A1736" t="str">
        <x:v>O001735</x:v>
      </x:c>
      <x:c r="B1736" s="20" t="n">
        <x:v>46204</x:v>
      </x:c>
      <x:c r="C1736" t="str">
        <x:v>C0245</x:v>
      </x:c>
      <x:c r="D1736" t="str">
        <x:v>Udupi Cafe 245</x:v>
      </x:c>
      <x:c r="E1736" t="str">
        <x:v>Canteen</x:v>
      </x:c>
      <x:c r="F1736" t="str">
        <x:v>Bengaluru</x:v>
      </x:c>
      <x:c r="G1736" t="str">
        <x:v>Priya</x:v>
      </x:c>
      <x:c r="H1736" t="str">
        <x:v>P003</x:v>
      </x:c>
      <x:c r="I1736" t="str">
        <x:v>Basmati Rice 5kg</x:v>
      </x:c>
      <x:c r="J1736" t="str">
        <x:v>Staples</x:v>
      </x:c>
      <x:c r="K1736" t="str">
        <x:v>India Gate</x:v>
      </x:c>
      <x:c r="L1736" s="22" t="n">
        <x:v>690</x:v>
      </x:c>
      <x:c r="M1736" t="n">
        <x:v>32</x:v>
      </x:c>
      <x:c r="N1736" s="24" t="n">
        <x:v>0.08</x:v>
      </x:c>
      <x:c r="O1736" s="22" t="n">
        <x:f>L1736*M1736</x:f>
        <x:v>22080</x:v>
      </x:c>
      <x:c r="P1736" s="22" t="n">
        <x:f>O1736*(1-N1736)</x:f>
        <x:v>20313.600000000002</x:v>
      </x:c>
      <x:c r="Q1736" s="22" t="n">
        <x:v>610</x:v>
      </x:c>
      <x:c r="R1736" s="22" t="n">
        <x:f>Q1736*M1736</x:f>
        <x:v>19520</x:v>
      </x:c>
      <x:c r="S1736" s="22" t="n">
        <x:f>P1736-R1736</x:f>
        <x:v>793.6000000000022</x:v>
      </x:c>
      <x:c r="T1736" t="str">
        <x:v>UPI</x:v>
      </x:c>
      <x:c r="U1736" t="str">
        <x:v>Pending</x:v>
      </x:c>
      <x:c r="V1736" t="str">
        <x:v>Delivered</x:v>
      </x:c>
      <x:c r="W1736" t="n">
        <x:v>0</x:v>
      </x:c>
      <x:c r="X1736" t="str"/>
      <x:c r="Y1736" t="str">
        <x:v>Referral</x:v>
      </x:c>
    </x:row>
    <x:row r="1737">
      <x:c r="A1737" t="str">
        <x:v>O001736</x:v>
      </x:c>
      <x:c r="B1737" s="20" t="n">
        <x:v>45744</x:v>
      </x:c>
      <x:c r="C1737" t="str">
        <x:v>C0233</x:v>
      </x:c>
      <x:c r="D1737" t="str">
        <x:v>Shree Mart 233</x:v>
      </x:c>
      <x:c r="E1737" t="str">
        <x:v>Kirana</x:v>
      </x:c>
      <x:c r="F1737" t="str">
        <x:v>Mangaluru</x:v>
      </x:c>
      <x:c r="G1737" t="str">
        <x:v>Priya</x:v>
      </x:c>
      <x:c r="H1737" t="str">
        <x:v>P046</x:v>
      </x:c>
      <x:c r="I1737" t="str">
        <x:v>Potato 25kg</x:v>
      </x:c>
      <x:c r="J1737" t="str">
        <x:v>Fresh Produce</x:v>
      </x:c>
      <x:c r="K1737" t="str">
        <x:v>Local Market</x:v>
      </x:c>
      <x:c r="L1737" s="22" t="n">
        <x:v>700</x:v>
      </x:c>
      <x:c r="M1737" t="n">
        <x:v>39</x:v>
      </x:c>
      <x:c r="N1737" s="24" t="n">
        <x:v>0.03</x:v>
      </x:c>
      <x:c r="O1737" s="22" t="n">
        <x:f>L1737*M1737</x:f>
        <x:v>27300</x:v>
      </x:c>
      <x:c r="P1737" s="22" t="n">
        <x:f>O1737*(1-N1737)</x:f>
        <x:v>26481</x:v>
      </x:c>
      <x:c r="Q1737" s="22" t="n">
        <x:v>610</x:v>
      </x:c>
      <x:c r="R1737" s="22" t="n">
        <x:f>Q1737*M1737</x:f>
        <x:v>23790</x:v>
      </x:c>
      <x:c r="S1737" s="22" t="n">
        <x:f>P1737-R1737</x:f>
        <x:v>2691</x:v>
      </x:c>
      <x:c r="T1737" t="str">
        <x:v>Credit</x:v>
      </x:c>
      <x:c r="U1737" t="str">
        <x:v>Paid</x:v>
      </x:c>
      <x:c r="V1737" t="str">
        <x:v>Delivered</x:v>
      </x:c>
      <x:c r="W1737" t="n">
        <x:v>0</x:v>
      </x:c>
      <x:c r="X1737" t="str"/>
      <x:c r="Y1737" t="str">
        <x:v>Referral</x:v>
      </x:c>
    </x:row>
    <x:row r="1738">
      <x:c r="A1738" t="str">
        <x:v>O001737</x:v>
      </x:c>
      <x:c r="B1738" s="20" t="n">
        <x:v>46129</x:v>
      </x:c>
      <x:c r="C1738" t="str">
        <x:v>C0185</x:v>
      </x:c>
      <x:c r="D1738" t="str">
        <x:v>Mysore Foods 185</x:v>
      </x:c>
      <x:c r="E1738" t="str">
        <x:v>Restaurant</x:v>
      </x:c>
      <x:c r="F1738" t="str">
        <x:v>Mysuru</x:v>
      </x:c>
      <x:c r="G1738" t="str">
        <x:v>Sneha</x:v>
      </x:c>
      <x:c r="H1738" t="str">
        <x:v>P019</x:v>
      </x:c>
      <x:c r="I1738" t="str">
        <x:v>Tea 1kg</x:v>
      </x:c>
      <x:c r="J1738" t="str">
        <x:v>Beverage</x:v>
      </x:c>
      <x:c r="K1738" t="str">
        <x:v>Red Label</x:v>
      </x:c>
      <x:c r="L1738" s="22" t="n">
        <x:v>540</x:v>
      </x:c>
      <x:c r="M1738" t="n">
        <x:v>12</x:v>
      </x:c>
      <x:c r="N1738" s="24" t="n">
        <x:v>0.08</x:v>
      </x:c>
      <x:c r="O1738" s="22" t="n">
        <x:f>L1738*M1738</x:f>
        <x:v>6480</x:v>
      </x:c>
      <x:c r="P1738" s="22" t="n">
        <x:f>O1738*(1-N1738)</x:f>
        <x:v>5961.6</x:v>
      </x:c>
      <x:c r="Q1738" s="22" t="n">
        <x:v>485</x:v>
      </x:c>
      <x:c r="R1738" s="22" t="n">
        <x:f>Q1738*M1738</x:f>
        <x:v>5820</x:v>
      </x:c>
      <x:c r="S1738" s="22" t="n">
        <x:f>P1738-R1738</x:f>
        <x:v>141.60000000000036</x:v>
      </x:c>
      <x:c r="T1738" t="str">
        <x:v>UPI</x:v>
      </x:c>
      <x:c r="U1738" t="str">
        <x:v>Paid</x:v>
      </x:c>
      <x:c r="V1738" t="str">
        <x:v>Delivered</x:v>
      </x:c>
      <x:c r="W1738" t="n">
        <x:v>0</x:v>
      </x:c>
      <x:c r="X1738" t="str"/>
      <x:c r="Y1738" t="str">
        <x:v>Field Visit</x:v>
      </x:c>
    </x:row>
    <x:row r="1739">
      <x:c r="A1739" t="str">
        <x:v>O001738</x:v>
      </x:c>
      <x:c r="B1739" s="20" t="n">
        <x:v>45904</x:v>
      </x:c>
      <x:c r="C1739" t="str">
        <x:v>C0244</x:v>
      </x:c>
      <x:c r="D1739" t="str">
        <x:v>Namma Hotel 244</x:v>
      </x:c>
      <x:c r="E1739" t="str">
        <x:v>Kirana</x:v>
      </x:c>
      <x:c r="F1739" t="str">
        <x:v>Tumakuru</x:v>
      </x:c>
      <x:c r="G1739" t="str">
        <x:v>Sneha</x:v>
      </x:c>
      <x:c r="H1739" t="str">
        <x:v>P003</x:v>
      </x:c>
      <x:c r="I1739" t="str">
        <x:v>Basmati Rice 5kg</x:v>
      </x:c>
      <x:c r="J1739" t="str">
        <x:v>Staples</x:v>
      </x:c>
      <x:c r="K1739" t="str">
        <x:v>India Gate</x:v>
      </x:c>
      <x:c r="L1739" s="22" t="n">
        <x:v>690</x:v>
      </x:c>
      <x:c r="M1739" t="n">
        <x:v>5</x:v>
      </x:c>
      <x:c r="N1739" s="24" t="n">
        <x:v>0</x:v>
      </x:c>
      <x:c r="O1739" s="22" t="n">
        <x:f>L1739*M1739</x:f>
        <x:v>3450</x:v>
      </x:c>
      <x:c r="P1739" s="22" t="n">
        <x:f>O1739*(1-N1739)</x:f>
        <x:v>3450</x:v>
      </x:c>
      <x:c r="Q1739" s="22" t="n">
        <x:v>610</x:v>
      </x:c>
      <x:c r="R1739" s="22" t="n">
        <x:f>Q1739*M1739</x:f>
        <x:v>3050</x:v>
      </x:c>
      <x:c r="S1739" s="22" t="n">
        <x:f>P1739-R1739</x:f>
        <x:v>400</x:v>
      </x:c>
      <x:c r="T1739" t="str">
        <x:v>Cash</x:v>
      </x:c>
      <x:c r="U1739" t="str">
        <x:v>Pending</x:v>
      </x:c>
      <x:c r="V1739" t="str">
        <x:v>Delayed</x:v>
      </x:c>
      <x:c r="W1739" t="n">
        <x:v>0</x:v>
      </x:c>
      <x:c r="X1739" t="str"/>
      <x:c r="Y1739" t="str">
        <x:v>WhatsApp</x:v>
      </x:c>
    </x:row>
    <x:row r="1740">
      <x:c r="A1740" t="str">
        <x:v>O001739</x:v>
      </x:c>
      <x:c r="B1740" s="20" t="n">
        <x:v>45931</x:v>
      </x:c>
      <x:c r="C1740" t="str">
        <x:v>C0096</x:v>
      </x:c>
      <x:c r="D1740" t="str">
        <x:v>Metro Foods 96</x:v>
      </x:c>
      <x:c r="E1740" t="str">
        <x:v>Kirana</x:v>
      </x:c>
      <x:c r="F1740" t="str">
        <x:v>Davanagere</x:v>
      </x:c>
      <x:c r="G1740" t="str">
        <x:v>Vikram</x:v>
      </x:c>
      <x:c r="H1740" t="str">
        <x:v>P047</x:v>
      </x:c>
      <x:c r="I1740" t="str">
        <x:v>Tomato 25kg</x:v>
      </x:c>
      <x:c r="J1740" t="str">
        <x:v>Fresh Produce</x:v>
      </x:c>
      <x:c r="K1740" t="str">
        <x:v>Local Market</x:v>
      </x:c>
      <x:c r="L1740" s="22" t="n">
        <x:v>950</x:v>
      </x:c>
      <x:c r="M1740" t="n">
        <x:v>24</x:v>
      </x:c>
      <x:c r="N1740" s="24" t="n">
        <x:v>0.08</x:v>
      </x:c>
      <x:c r="O1740" s="22" t="n">
        <x:f>L1740*M1740</x:f>
        <x:v>22800</x:v>
      </x:c>
      <x:c r="P1740" s="22" t="n">
        <x:f>O1740*(1-N1740)</x:f>
        <x:v>20976</x:v>
      </x:c>
      <x:c r="Q1740" s="22" t="n">
        <x:v>810</x:v>
      </x:c>
      <x:c r="R1740" s="22" t="n">
        <x:f>Q1740*M1740</x:f>
        <x:v>19440</x:v>
      </x:c>
      <x:c r="S1740" s="22" t="n">
        <x:f>P1740-R1740</x:f>
        <x:v>1536</x:v>
      </x:c>
      <x:c r="T1740" t="str">
        <x:v>Credit</x:v>
      </x:c>
      <x:c r="U1740" t="str">
        <x:v>Pending</x:v>
      </x:c>
      <x:c r="V1740" t="str">
        <x:v>Delayed</x:v>
      </x:c>
      <x:c r="W1740" t="n">
        <x:v>0</x:v>
      </x:c>
      <x:c r="X1740" t="str"/>
      <x:c r="Y1740" t="str">
        <x:v>Field Visit</x:v>
      </x:c>
    </x:row>
    <x:row r="1741">
      <x:c r="A1741" t="str">
        <x:v>O001740</x:v>
      </x:c>
      <x:c r="B1741" s="20" t="n">
        <x:v>46069</x:v>
      </x:c>
      <x:c r="C1741" t="str">
        <x:v>C0204</x:v>
      </x:c>
      <x:c r="D1741" t="str">
        <x:v>Udupi Stores 204</x:v>
      </x:c>
      <x:c r="E1741" t="str">
        <x:v>Kirana</x:v>
      </x:c>
      <x:c r="F1741" t="str">
        <x:v>Bengaluru</x:v>
      </x:c>
      <x:c r="G1741" t="str">
        <x:v>Vikram</x:v>
      </x:c>
      <x:c r="H1741" t="str">
        <x:v>P030</x:v>
      </x:c>
      <x:c r="I1741" t="str">
        <x:v>Mayonnaise 1kg</x:v>
      </x:c>
      <x:c r="J1741" t="str">
        <x:v>Condiments</x:v>
      </x:c>
      <x:c r="K1741" t="str">
        <x:v>Veeba</x:v>
      </x:c>
      <x:c r="L1741" s="22" t="n">
        <x:v>210</x:v>
      </x:c>
      <x:c r="M1741" t="n">
        <x:v>38</x:v>
      </x:c>
      <x:c r="N1741" s="24" t="n">
        <x:v>0.05</x:v>
      </x:c>
      <x:c r="O1741" s="22" t="n">
        <x:f>L1741*M1741</x:f>
        <x:v>7980</x:v>
      </x:c>
      <x:c r="P1741" s="22" t="n">
        <x:f>O1741*(1-N1741)</x:f>
        <x:v>7581</x:v>
      </x:c>
      <x:c r="Q1741" s="22" t="n">
        <x:v>185</x:v>
      </x:c>
      <x:c r="R1741" s="22" t="n">
        <x:f>Q1741*M1741</x:f>
        <x:v>7030</x:v>
      </x:c>
      <x:c r="S1741" s="22" t="n">
        <x:f>P1741-R1741</x:f>
        <x:v>551</x:v>
      </x:c>
      <x:c r="T1741" t="str">
        <x:v>Cash</x:v>
      </x:c>
      <x:c r="U1741" t="str">
        <x:v>Pending</x:v>
      </x:c>
      <x:c r="V1741" t="str">
        <x:v>Cancelled</x:v>
      </x:c>
      <x:c r="W1741" t="n">
        <x:v>38</x:v>
      </x:c>
      <x:c r="X1741" t="str">
        <x:v>Cancelled Order</x:v>
      </x:c>
      <x:c r="Y1741" t="str">
        <x:v>Field Visit</x:v>
      </x:c>
    </x:row>
    <x:row r="1742">
      <x:c r="A1742" t="str">
        <x:v>O001741</x:v>
      </x:c>
      <x:c r="B1742" s="20" t="n">
        <x:v>46105</x:v>
      </x:c>
      <x:c r="C1742" t="str">
        <x:v>C0093</x:v>
      </x:c>
      <x:c r="D1742" t="str">
        <x:v>Sagar Hotel 93</x:v>
      </x:c>
      <x:c r="E1742" t="str">
        <x:v>Hotel</x:v>
      </x:c>
      <x:c r="F1742" t="str">
        <x:v>Hubballi</x:v>
      </x:c>
      <x:c r="G1742" t="str">
        <x:v>Imran</x:v>
      </x:c>
      <x:c r="H1742" t="str">
        <x:v>P016</x:v>
      </x:c>
      <x:c r="I1742" t="str">
        <x:v>Curd 1kg</x:v>
      </x:c>
      <x:c r="J1742" t="str">
        <x:v>Dairy</x:v>
      </x:c>
      <x:c r="K1742" t="str">
        <x:v>Nandini</x:v>
      </x:c>
      <x:c r="L1742" s="22" t="n">
        <x:v>72</x:v>
      </x:c>
      <x:c r="M1742" t="n">
        <x:v>24</x:v>
      </x:c>
      <x:c r="N1742" s="24" t="n">
        <x:v>0.03</x:v>
      </x:c>
      <x:c r="O1742" s="22" t="n">
        <x:f>L1742*M1742</x:f>
        <x:v>1728</x:v>
      </x:c>
      <x:c r="P1742" s="22" t="n">
        <x:f>O1742*(1-N1742)</x:f>
        <x:v>1676.1599999999999</x:v>
      </x:c>
      <x:c r="Q1742" s="22" t="n">
        <x:v>64</x:v>
      </x:c>
      <x:c r="R1742" s="22" t="n">
        <x:f>Q1742*M1742</x:f>
        <x:v>1536</x:v>
      </x:c>
      <x:c r="S1742" s="22" t="n">
        <x:f>P1742-R1742</x:f>
        <x:v>140.15999999999985</x:v>
      </x:c>
      <x:c r="T1742" t="str">
        <x:v>Cash</x:v>
      </x:c>
      <x:c r="U1742" t="str">
        <x:v>Paid</x:v>
      </x:c>
      <x:c r="V1742" t="str">
        <x:v>Cancelled</x:v>
      </x:c>
      <x:c r="W1742" t="n">
        <x:v>24</x:v>
      </x:c>
      <x:c r="X1742" t="str">
        <x:v>Cancelled Order</x:v>
      </x:c>
      <x:c r="Y1742" t="str">
        <x:v>Existing Customer</x:v>
      </x:c>
    </x:row>
    <x:row r="1743">
      <x:c r="A1743" t="str">
        <x:v>O001742</x:v>
      </x:c>
      <x:c r="B1743" s="20" t="n">
        <x:v>46099</x:v>
      </x:c>
      <x:c r="C1743" t="str">
        <x:v>C0098</x:v>
      </x:c>
      <x:c r="D1743" t="str">
        <x:v>City Stores 98</x:v>
      </x:c>
      <x:c r="E1743" t="str">
        <x:v>Canteen</x:v>
      </x:c>
      <x:c r="F1743" t="str">
        <x:v>Mangaluru</x:v>
      </x:c>
      <x:c r="G1743" t="str">
        <x:v>Imran</x:v>
      </x:c>
      <x:c r="H1743" t="str">
        <x:v>P005</x:v>
      </x:c>
      <x:c r="I1743" t="str">
        <x:v>Chana Dal 5kg</x:v>
      </x:c>
      <x:c r="J1743" t="str">
        <x:v>Pulses</x:v>
      </x:c>
      <x:c r="K1743" t="str">
        <x:v>Local Select</x:v>
      </x:c>
      <x:c r="L1743" s="22" t="n">
        <x:v>520</x:v>
      </x:c>
      <x:c r="M1743" t="n">
        <x:v>14</x:v>
      </x:c>
      <x:c r="N1743" s="24" t="n">
        <x:v>0.08</x:v>
      </x:c>
      <x:c r="O1743" s="22" t="n">
        <x:f>L1743*M1743</x:f>
        <x:v>7280</x:v>
      </x:c>
      <x:c r="P1743" s="22" t="n">
        <x:f>O1743*(1-N1743)</x:f>
        <x:v>6697.6</x:v>
      </x:c>
      <x:c r="Q1743" s="22" t="n">
        <x:v>455</x:v>
      </x:c>
      <x:c r="R1743" s="22" t="n">
        <x:f>Q1743*M1743</x:f>
        <x:v>6370</x:v>
      </x:c>
      <x:c r="S1743" s="22" t="n">
        <x:f>P1743-R1743</x:f>
        <x:v>327.60000000000036</x:v>
      </x:c>
      <x:c r="T1743" t="str">
        <x:v>Bank Transfer</x:v>
      </x:c>
      <x:c r="U1743" t="str">
        <x:v>Paid</x:v>
      </x:c>
      <x:c r="V1743" t="str">
        <x:v>Delivered</x:v>
      </x:c>
      <x:c r="W1743" t="n">
        <x:v>0</x:v>
      </x:c>
      <x:c r="X1743" t="str"/>
      <x:c r="Y1743" t="str">
        <x:v>Outbound Call</x:v>
      </x:c>
    </x:row>
    <x:row r="1744">
      <x:c r="A1744" t="str">
        <x:v>O001743</x:v>
      </x:c>
      <x:c r="B1744" s="20" t="n">
        <x:v>46244</x:v>
      </x:c>
      <x:c r="C1744" t="str">
        <x:v>C0233</x:v>
      </x:c>
      <x:c r="D1744" t="str">
        <x:v>Shree Mart 233</x:v>
      </x:c>
      <x:c r="E1744" t="str">
        <x:v>Kirana</x:v>
      </x:c>
      <x:c r="F1744" t="str">
        <x:v>Mangaluru</x:v>
      </x:c>
      <x:c r="G1744" t="str">
        <x:v>Priya</x:v>
      </x:c>
      <x:c r="H1744" t="str">
        <x:v>P001</x:v>
      </x:c>
      <x:c r="I1744" t="str">
        <x:v>Steam Rice 25kg</x:v>
      </x:c>
      <x:c r="J1744" t="str">
        <x:v>Staples</x:v>
      </x:c>
      <x:c r="K1744" t="str">
        <x:v>Aishwarya</x:v>
      </x:c>
      <x:c r="L1744" s="22" t="n">
        <x:v>1180</x:v>
      </x:c>
      <x:c r="M1744" t="n">
        <x:v>10</x:v>
      </x:c>
      <x:c r="N1744" s="24" t="n">
        <x:v>0.08</x:v>
      </x:c>
      <x:c r="O1744" s="22" t="n">
        <x:f>L1744*M1744</x:f>
        <x:v>11800</x:v>
      </x:c>
      <x:c r="P1744" s="22" t="n">
        <x:f>O1744*(1-N1744)</x:f>
        <x:v>10856</x:v>
      </x:c>
      <x:c r="Q1744" s="22" t="n">
        <x:v>1040</x:v>
      </x:c>
      <x:c r="R1744" s="22" t="n">
        <x:f>Q1744*M1744</x:f>
        <x:v>10400</x:v>
      </x:c>
      <x:c r="S1744" s="22" t="n">
        <x:f>P1744-R1744</x:f>
        <x:v>456</x:v>
      </x:c>
      <x:c r="T1744" t="str">
        <x:v>Cash</x:v>
      </x:c>
      <x:c r="U1744" t="str">
        <x:v>Paid</x:v>
      </x:c>
      <x:c r="V1744" t="str">
        <x:v>Delivered</x:v>
      </x:c>
      <x:c r="W1744" t="n">
        <x:v>0</x:v>
      </x:c>
      <x:c r="X1744" t="str"/>
      <x:c r="Y1744" t="str">
        <x:v>WhatsApp</x:v>
      </x:c>
    </x:row>
    <x:row r="1745">
      <x:c r="A1745" t="str">
        <x:v>O001744</x:v>
      </x:c>
      <x:c r="B1745" s="20" t="n">
        <x:v>46247</x:v>
      </x:c>
      <x:c r="C1745" t="str">
        <x:v>C0083</x:v>
      </x:c>
      <x:c r="D1745" t="str">
        <x:v>Sri Cafe 83</x:v>
      </x:c>
      <x:c r="E1745" t="str">
        <x:v>Hotel</x:v>
      </x:c>
      <x:c r="F1745" t="str">
        <x:v>Davanagere</x:v>
      </x:c>
      <x:c r="G1745" t="str">
        <x:v>Ramesh</x:v>
      </x:c>
      <x:c r="H1745" t="str">
        <x:v>P024</x:v>
      </x:c>
      <x:c r="I1745" t="str">
        <x:v>Orange Drink 1L</x:v>
      </x:c>
      <x:c r="J1745" t="str">
        <x:v>Beverage</x:v>
      </x:c>
      <x:c r="K1745" t="str">
        <x:v>Minute Maid</x:v>
      </x:c>
      <x:c r="L1745" s="22" t="n">
        <x:v>105</x:v>
      </x:c>
      <x:c r="M1745" t="n">
        <x:v>25</x:v>
      </x:c>
      <x:c r="N1745" s="24" t="n">
        <x:v>0.02</x:v>
      </x:c>
      <x:c r="O1745" s="22" t="n">
        <x:f>L1745*M1745</x:f>
        <x:v>2625</x:v>
      </x:c>
      <x:c r="P1745" s="22" t="n">
        <x:f>O1745*(1-N1745)</x:f>
        <x:v>2572.5</x:v>
      </x:c>
      <x:c r="Q1745" s="22" t="n">
        <x:v>88</x:v>
      </x:c>
      <x:c r="R1745" s="22" t="n">
        <x:f>Q1745*M1745</x:f>
        <x:v>2200</x:v>
      </x:c>
      <x:c r="S1745" s="22" t="n">
        <x:f>P1745-R1745</x:f>
        <x:v>372.5</x:v>
      </x:c>
      <x:c r="T1745" t="str">
        <x:v>Credit</x:v>
      </x:c>
      <x:c r="U1745" t="str">
        <x:v>Paid</x:v>
      </x:c>
      <x:c r="V1745" t="str">
        <x:v>Delivered</x:v>
      </x:c>
      <x:c r="W1745" t="n">
        <x:v>3</x:v>
      </x:c>
      <x:c r="X1745" t="str">
        <x:v>Wrong Item</x:v>
      </x:c>
      <x:c r="Y1745" t="str">
        <x:v>Referral</x:v>
      </x:c>
    </x:row>
    <x:row r="1746">
      <x:c r="A1746" t="str">
        <x:v>O001745</x:v>
      </x:c>
      <x:c r="B1746" s="20" t="n">
        <x:v>45779</x:v>
      </x:c>
      <x:c r="C1746" t="str">
        <x:v>C0184</x:v>
      </x:c>
      <x:c r="D1746" t="str">
        <x:v>Namma Restaurant 184</x:v>
      </x:c>
      <x:c r="E1746" t="str">
        <x:v>Cafe</x:v>
      </x:c>
      <x:c r="F1746" t="str">
        <x:v>Hubballi</x:v>
      </x:c>
      <x:c r="G1746" t="str">
        <x:v>Arjun</x:v>
      </x:c>
      <x:c r="H1746" t="str">
        <x:v>P038</x:v>
      </x:c>
      <x:c r="I1746" t="str">
        <x:v>French Fries 2.5kg</x:v>
      </x:c>
      <x:c r="J1746" t="str">
        <x:v>Frozen</x:v>
      </x:c>
      <x:c r="K1746" t="str">
        <x:v>McCain</x:v>
      </x:c>
      <x:c r="L1746" s="22" t="n">
        <x:v>360</x:v>
      </x:c>
      <x:c r="M1746" t="n">
        <x:v>18</x:v>
      </x:c>
      <x:c r="N1746" s="24" t="n">
        <x:v>0</x:v>
      </x:c>
      <x:c r="O1746" s="22" t="n">
        <x:f>L1746*M1746</x:f>
        <x:v>6480</x:v>
      </x:c>
      <x:c r="P1746" s="22" t="n">
        <x:f>O1746*(1-N1746)</x:f>
        <x:v>6480</x:v>
      </x:c>
      <x:c r="Q1746" s="22" t="n">
        <x:v>315</x:v>
      </x:c>
      <x:c r="R1746" s="22" t="n">
        <x:f>Q1746*M1746</x:f>
        <x:v>5670</x:v>
      </x:c>
      <x:c r="S1746" s="22" t="n">
        <x:f>P1746-R1746</x:f>
        <x:v>810</x:v>
      </x:c>
      <x:c r="T1746" t="str">
        <x:v>UPI</x:v>
      </x:c>
      <x:c r="U1746" t="str">
        <x:v>Overdue</x:v>
      </x:c>
      <x:c r="V1746" t="str">
        <x:v>Delivered</x:v>
      </x:c>
      <x:c r="W1746" t="n">
        <x:v>3</x:v>
      </x:c>
      <x:c r="X1746" t="str">
        <x:v>Wrong Item</x:v>
      </x:c>
      <x:c r="Y1746" t="str">
        <x:v>Referral</x:v>
      </x:c>
    </x:row>
    <x:row r="1747">
      <x:c r="A1747" t="str">
        <x:v>O001746</x:v>
      </x:c>
      <x:c r="B1747" s="20" t="n">
        <x:v>45777</x:v>
      </x:c>
      <x:c r="C1747" t="str">
        <x:v>C0041</x:v>
      </x:c>
      <x:c r="D1747" t="str">
        <x:v>Grand Mart 41</x:v>
      </x:c>
      <x:c r="E1747" t="str">
        <x:v>Cafe</x:v>
      </x:c>
      <x:c r="F1747" t="str">
        <x:v>Bengaluru</x:v>
      </x:c>
      <x:c r="G1747" t="str">
        <x:v>Kavya</x:v>
      </x:c>
      <x:c r="H1747" t="str">
        <x:v>P027</x:v>
      </x:c>
      <x:c r="I1747" t="str">
        <x:v>Biscuits 120g</x:v>
      </x:c>
      <x:c r="J1747" t="str">
        <x:v>Snacks</x:v>
      </x:c>
      <x:c r="K1747" t="str">
        <x:v>Parle-G</x:v>
      </x:c>
      <x:c r="L1747" s="22" t="n">
        <x:v>12</x:v>
      </x:c>
      <x:c r="M1747" t="n">
        <x:v>20</x:v>
      </x:c>
      <x:c r="N1747" s="24" t="n">
        <x:v>0.05</x:v>
      </x:c>
      <x:c r="O1747" s="22" t="n">
        <x:f>L1747*M1747</x:f>
        <x:v>240</x:v>
      </x:c>
      <x:c r="P1747" s="22" t="n">
        <x:f>O1747*(1-N1747)</x:f>
        <x:v>228</x:v>
      </x:c>
      <x:c r="Q1747" s="22" t="n">
        <x:v>9</x:v>
      </x:c>
      <x:c r="R1747" s="22" t="n">
        <x:f>Q1747*M1747</x:f>
        <x:v>180</x:v>
      </x:c>
      <x:c r="S1747" s="22" t="n">
        <x:f>P1747-R1747</x:f>
        <x:v>48</x:v>
      </x:c>
      <x:c r="T1747" t="str">
        <x:v>Cash</x:v>
      </x:c>
      <x:c r="U1747" t="str">
        <x:v>Paid</x:v>
      </x:c>
      <x:c r="V1747" t="str">
        <x:v>Delivered</x:v>
      </x:c>
      <x:c r="W1747" t="n">
        <x:v>0</x:v>
      </x:c>
      <x:c r="X1747" t="str"/>
      <x:c r="Y1747" t="str">
        <x:v>WhatsApp</x:v>
      </x:c>
    </x:row>
    <x:row r="1748">
      <x:c r="A1748" t="str">
        <x:v>O001747</x:v>
      </x:c>
      <x:c r="B1748" s="20" t="n">
        <x:v>45889</x:v>
      </x:c>
      <x:c r="C1748" t="str">
        <x:v>C0198</x:v>
      </x:c>
      <x:c r="D1748" t="str">
        <x:v>Royal Canteen 198</x:v>
      </x:c>
      <x:c r="E1748" t="str">
        <x:v>Supermarket</x:v>
      </x:c>
      <x:c r="F1748" t="str">
        <x:v>Davanagere</x:v>
      </x:c>
      <x:c r="G1748" t="str">
        <x:v>Arjun</x:v>
      </x:c>
      <x:c r="H1748" t="str">
        <x:v>P030</x:v>
      </x:c>
      <x:c r="I1748" t="str">
        <x:v>Mayonnaise 1kg</x:v>
      </x:c>
      <x:c r="J1748" t="str">
        <x:v>Condiments</x:v>
      </x:c>
      <x:c r="K1748" t="str">
        <x:v>Veeba</x:v>
      </x:c>
      <x:c r="L1748" s="22" t="n">
        <x:v>210</x:v>
      </x:c>
      <x:c r="M1748" t="n">
        <x:v>7</x:v>
      </x:c>
      <x:c r="N1748" s="24" t="n">
        <x:v>0.1</x:v>
      </x:c>
      <x:c r="O1748" s="22" t="n">
        <x:f>L1748*M1748</x:f>
        <x:v>1470</x:v>
      </x:c>
      <x:c r="P1748" s="22" t="n">
        <x:f>O1748*(1-N1748)</x:f>
        <x:v>1323</x:v>
      </x:c>
      <x:c r="Q1748" s="22" t="n">
        <x:v>185</x:v>
      </x:c>
      <x:c r="R1748" s="22" t="n">
        <x:f>Q1748*M1748</x:f>
        <x:v>1295</x:v>
      </x:c>
      <x:c r="S1748" s="22" t="n">
        <x:f>P1748-R1748</x:f>
        <x:v>28</x:v>
      </x:c>
      <x:c r="T1748" t="str">
        <x:v>UPI</x:v>
      </x:c>
      <x:c r="U1748" t="str">
        <x:v>Paid</x:v>
      </x:c>
      <x:c r="V1748" t="str">
        <x:v>Cancelled</x:v>
      </x:c>
      <x:c r="W1748" t="n">
        <x:v>7</x:v>
      </x:c>
      <x:c r="X1748" t="str">
        <x:v>Cancelled Order</x:v>
      </x:c>
      <x:c r="Y1748" t="str">
        <x:v>Outbound Call</x:v>
      </x:c>
    </x:row>
    <x:row r="1749">
      <x:c r="A1749" t="str">
        <x:v>O001748</x:v>
      </x:c>
      <x:c r="B1749" s="20" t="n">
        <x:v>45829</x:v>
      </x:c>
      <x:c r="C1749" t="str">
        <x:v>C0136</x:v>
      </x:c>
      <x:c r="D1749" t="str">
        <x:v>Royal Cafe 136</x:v>
      </x:c>
      <x:c r="E1749" t="str">
        <x:v>Hotel</x:v>
      </x:c>
      <x:c r="F1749" t="str">
        <x:v>Tumakuru</x:v>
      </x:c>
      <x:c r="G1749" t="str">
        <x:v>Kavya</x:v>
      </x:c>
      <x:c r="H1749" t="str">
        <x:v>P023</x:v>
      </x:c>
      <x:c r="I1749" t="str">
        <x:v>Cola 750ml</x:v>
      </x:c>
      <x:c r="J1749" t="str">
        <x:v>Beverage</x:v>
      </x:c>
      <x:c r="K1749" t="str">
        <x:v>Coca-Cola</x:v>
      </x:c>
      <x:c r="L1749" s="22" t="n">
        <x:v>38</x:v>
      </x:c>
      <x:c r="M1749" t="n">
        <x:v>10</x:v>
      </x:c>
      <x:c r="N1749" s="24" t="n">
        <x:v>0.08</x:v>
      </x:c>
      <x:c r="O1749" s="22" t="n">
        <x:f>L1749*M1749</x:f>
        <x:v>380</x:v>
      </x:c>
      <x:c r="P1749" s="22" t="n">
        <x:f>O1749*(1-N1749)</x:f>
        <x:v>349.6</x:v>
      </x:c>
      <x:c r="Q1749" s="22" t="n">
        <x:v>31</x:v>
      </x:c>
      <x:c r="R1749" s="22" t="n">
        <x:f>Q1749*M1749</x:f>
        <x:v>310</x:v>
      </x:c>
      <x:c r="S1749" s="22" t="n">
        <x:f>P1749-R1749</x:f>
        <x:v>39.60000000000002</x:v>
      </x:c>
      <x:c r="T1749" t="str">
        <x:v>UPI</x:v>
      </x:c>
      <x:c r="U1749" t="str">
        <x:v>Paid</x:v>
      </x:c>
      <x:c r="V1749" t="str">
        <x:v>Delayed</x:v>
      </x:c>
      <x:c r="W1749" t="n">
        <x:v>0</x:v>
      </x:c>
      <x:c r="X1749" t="str"/>
      <x:c r="Y1749" t="str">
        <x:v>WhatsApp</x:v>
      </x:c>
    </x:row>
    <x:row r="1750">
      <x:c r="A1750" t="str">
        <x:v>O001749</x:v>
      </x:c>
      <x:c r="B1750" s="20" t="n">
        <x:v>45945</x:v>
      </x:c>
      <x:c r="C1750" t="str">
        <x:v>C0239</x:v>
      </x:c>
      <x:c r="D1750" t="str">
        <x:v>Royal Hotel 239</x:v>
      </x:c>
      <x:c r="E1750" t="str">
        <x:v>Restaurant</x:v>
      </x:c>
      <x:c r="F1750" t="str">
        <x:v>Hubballi</x:v>
      </x:c>
      <x:c r="G1750" t="str">
        <x:v>Priya</x:v>
      </x:c>
      <x:c r="H1750" t="str">
        <x:v>P036</x:v>
      </x:c>
      <x:c r="I1750" t="str">
        <x:v>Garam Masala 500g</x:v>
      </x:c>
      <x:c r="J1750" t="str">
        <x:v>Spices</x:v>
      </x:c>
      <x:c r="K1750" t="str">
        <x:v>MDH</x:v>
      </x:c>
      <x:c r="L1750" s="22" t="n">
        <x:v>265</x:v>
      </x:c>
      <x:c r="M1750" t="n">
        <x:v>21</x:v>
      </x:c>
      <x:c r="N1750" s="24" t="n">
        <x:v>0</x:v>
      </x:c>
      <x:c r="O1750" s="22" t="n">
        <x:f>L1750*M1750</x:f>
        <x:v>5565</x:v>
      </x:c>
      <x:c r="P1750" s="22" t="n">
        <x:f>O1750*(1-N1750)</x:f>
        <x:v>5565</x:v>
      </x:c>
      <x:c r="Q1750" s="22" t="n">
        <x:v>230</x:v>
      </x:c>
      <x:c r="R1750" s="22" t="n">
        <x:f>Q1750*M1750</x:f>
        <x:v>4830</x:v>
      </x:c>
      <x:c r="S1750" s="22" t="n">
        <x:f>P1750-R1750</x:f>
        <x:v>735</x:v>
      </x:c>
      <x:c r="T1750" t="str">
        <x:v>Cash</x:v>
      </x:c>
      <x:c r="U1750" t="str">
        <x:v>Pending</x:v>
      </x:c>
      <x:c r="V1750" t="str">
        <x:v>Cancelled</x:v>
      </x:c>
      <x:c r="W1750" t="n">
        <x:v>21</x:v>
      </x:c>
      <x:c r="X1750" t="str">
        <x:v>Cancelled Order</x:v>
      </x:c>
      <x:c r="Y1750" t="str">
        <x:v>Field Visit</x:v>
      </x:c>
    </x:row>
    <x:row r="1751">
      <x:c r="A1751" t="str">
        <x:v>O001750</x:v>
      </x:c>
      <x:c r="B1751" s="20" t="n">
        <x:v>46175</x:v>
      </x:c>
      <x:c r="C1751" t="str">
        <x:v>C0046</x:v>
      </x:c>
      <x:c r="D1751" t="str">
        <x:v>Annapurna Foods 46</x:v>
      </x:c>
      <x:c r="E1751" t="str">
        <x:v>Kirana</x:v>
      </x:c>
      <x:c r="F1751" t="str">
        <x:v>Bengaluru</x:v>
      </x:c>
      <x:c r="G1751" t="str">
        <x:v>Ramesh</x:v>
      </x:c>
      <x:c r="H1751" t="str">
        <x:v>P028</x:v>
      </x:c>
      <x:c r="I1751" t="str">
        <x:v>Cookies 200g</x:v>
      </x:c>
      <x:c r="J1751" t="str">
        <x:v>Snacks</x:v>
      </x:c>
      <x:c r="K1751" t="str">
        <x:v>Britannia</x:v>
      </x:c>
      <x:c r="L1751" s="22" t="n">
        <x:v>55</x:v>
      </x:c>
      <x:c r="M1751" t="n">
        <x:v>30</x:v>
      </x:c>
      <x:c r="N1751" s="24" t="n">
        <x:v>0.02</x:v>
      </x:c>
      <x:c r="O1751" s="22" t="n">
        <x:f>L1751*M1751</x:f>
        <x:v>1650</x:v>
      </x:c>
      <x:c r="P1751" s="22" t="n">
        <x:f>O1751*(1-N1751)</x:f>
        <x:v>1617</x:v>
      </x:c>
      <x:c r="Q1751" s="22" t="n">
        <x:v>42</x:v>
      </x:c>
      <x:c r="R1751" s="22" t="n">
        <x:f>Q1751*M1751</x:f>
        <x:v>1260</x:v>
      </x:c>
      <x:c r="S1751" s="22" t="n">
        <x:f>P1751-R1751</x:f>
        <x:v>357</x:v>
      </x:c>
      <x:c r="T1751" t="str">
        <x:v>Credit</x:v>
      </x:c>
      <x:c r="U1751" t="str">
        <x:v>Paid</x:v>
      </x:c>
      <x:c r="V1751" t="str">
        <x:v>Delivered</x:v>
      </x:c>
      <x:c r="W1751" t="n">
        <x:v>0</x:v>
      </x:c>
      <x:c r="X1751" t="str"/>
      <x:c r="Y1751" t="str">
        <x:v>Referral</x:v>
      </x:c>
    </x:row>
    <x:row r="1752">
      <x:c r="A1752" t="str">
        <x:v>O001751</x:v>
      </x:c>
      <x:c r="B1752" s="20" t="n">
        <x:v>45683</x:v>
      </x:c>
      <x:c r="C1752" t="str">
        <x:v>C0240</x:v>
      </x:c>
      <x:c r="D1752" t="str">
        <x:v>Green Foods 240</x:v>
      </x:c>
      <x:c r="E1752" t="str">
        <x:v>Restaurant</x:v>
      </x:c>
      <x:c r="F1752" t="str">
        <x:v>Davanagere</x:v>
      </x:c>
      <x:c r="G1752" t="str">
        <x:v>Vikram</x:v>
      </x:c>
      <x:c r="H1752" t="str">
        <x:v>P044</x:v>
      </x:c>
      <x:c r="I1752" t="str">
        <x:v>Chicken Curry Cut 1kg</x:v>
      </x:c>
      <x:c r="J1752" t="str">
        <x:v>Protein</x:v>
      </x:c>
      <x:c r="K1752" t="str">
        <x:v>FreshToHome</x:v>
      </x:c>
      <x:c r="L1752" s="22" t="n">
        <x:v>230</x:v>
      </x:c>
      <x:c r="M1752" t="n">
        <x:v>34</x:v>
      </x:c>
      <x:c r="N1752" s="24" t="n">
        <x:v>0.03</x:v>
      </x:c>
      <x:c r="O1752" s="22" t="n">
        <x:f>L1752*M1752</x:f>
        <x:v>7820</x:v>
      </x:c>
      <x:c r="P1752" s="22" t="n">
        <x:f>O1752*(1-N1752)</x:f>
        <x:v>7585.4</x:v>
      </x:c>
      <x:c r="Q1752" s="22" t="n">
        <x:v>205</x:v>
      </x:c>
      <x:c r="R1752" s="22" t="n">
        <x:f>Q1752*M1752</x:f>
        <x:v>6970</x:v>
      </x:c>
      <x:c r="S1752" s="22" t="n">
        <x:f>P1752-R1752</x:f>
        <x:v>615.3999999999996</x:v>
      </x:c>
      <x:c r="T1752" t="str">
        <x:v>Cash</x:v>
      </x:c>
      <x:c r="U1752" t="str">
        <x:v>Pending</x:v>
      </x:c>
      <x:c r="V1752" t="str">
        <x:v>Delivered</x:v>
      </x:c>
      <x:c r="W1752" t="n">
        <x:v>0</x:v>
      </x:c>
      <x:c r="X1752" t="str"/>
      <x:c r="Y1752" t="str">
        <x:v>WhatsApp</x:v>
      </x:c>
    </x:row>
    <x:row r="1753">
      <x:c r="A1753" t="str">
        <x:v>O001752</x:v>
      </x:c>
      <x:c r="B1753" s="20" t="n">
        <x:v>46098</x:v>
      </x:c>
      <x:c r="C1753" t="str">
        <x:v>C0034</x:v>
      </x:c>
      <x:c r="D1753" t="str">
        <x:v>City Restaurant 34</x:v>
      </x:c>
      <x:c r="E1753" t="str">
        <x:v>Restaurant</x:v>
      </x:c>
      <x:c r="F1753" t="str">
        <x:v>Mangaluru</x:v>
      </x:c>
      <x:c r="G1753" t="str">
        <x:v>Sneha</x:v>
      </x:c>
      <x:c r="H1753" t="str">
        <x:v>P037</x:v>
      </x:c>
      <x:c r="I1753" t="str">
        <x:v>Frozen Peas 1kg</x:v>
      </x:c>
      <x:c r="J1753" t="str">
        <x:v>Frozen</x:v>
      </x:c>
      <x:c r="K1753" t="str">
        <x:v>Safal</x:v>
      </x:c>
      <x:c r="L1753" s="22" t="n">
        <x:v>155</x:v>
      </x:c>
      <x:c r="M1753" t="n">
        <x:v>26</x:v>
      </x:c>
      <x:c r="N1753" s="24" t="n">
        <x:v>0.05</x:v>
      </x:c>
      <x:c r="O1753" s="22" t="n">
        <x:f>L1753*M1753</x:f>
        <x:v>4030</x:v>
      </x:c>
      <x:c r="P1753" s="22" t="n">
        <x:f>O1753*(1-N1753)</x:f>
        <x:v>3828.5</x:v>
      </x:c>
      <x:c r="Q1753" s="22" t="n">
        <x:v>138</x:v>
      </x:c>
      <x:c r="R1753" s="22" t="n">
        <x:f>Q1753*M1753</x:f>
        <x:v>3588</x:v>
      </x:c>
      <x:c r="S1753" s="22" t="n">
        <x:f>P1753-R1753</x:f>
        <x:v>240.5</x:v>
      </x:c>
      <x:c r="T1753" t="str">
        <x:v>Credit</x:v>
      </x:c>
      <x:c r="U1753" t="str">
        <x:v>Paid</x:v>
      </x:c>
      <x:c r="V1753" t="str">
        <x:v>Delivered</x:v>
      </x:c>
      <x:c r="W1753" t="n">
        <x:v>3</x:v>
      </x:c>
      <x:c r="X1753" t="str">
        <x:v>Damaged</x:v>
      </x:c>
      <x:c r="Y1753" t="str">
        <x:v>Outbound Call</x:v>
      </x:c>
    </x:row>
    <x:row r="1754">
      <x:c r="A1754" t="str">
        <x:v>O001753</x:v>
      </x:c>
      <x:c r="B1754" s="20" t="n">
        <x:v>46023</x:v>
      </x:c>
      <x:c r="C1754" t="str">
        <x:v>C0162</x:v>
      </x:c>
      <x:c r="D1754" t="str">
        <x:v>Udupi Foods 162</x:v>
      </x:c>
      <x:c r="E1754" t="str">
        <x:v>Restaurant</x:v>
      </x:c>
      <x:c r="F1754" t="str">
        <x:v>Mysuru</x:v>
      </x:c>
      <x:c r="G1754" t="str">
        <x:v>Ramesh</x:v>
      </x:c>
      <x:c r="H1754" t="str">
        <x:v>P045</x:v>
      </x:c>
      <x:c r="I1754" t="str">
        <x:v>Onion 25kg</x:v>
      </x:c>
      <x:c r="J1754" t="str">
        <x:v>Fresh Produce</x:v>
      </x:c>
      <x:c r="K1754" t="str">
        <x:v>Local Market</x:v>
      </x:c>
      <x:c r="L1754" s="22" t="n">
        <x:v>875</x:v>
      </x:c>
      <x:c r="M1754" t="n">
        <x:v>10</x:v>
      </x:c>
      <x:c r="N1754" s="24" t="n">
        <x:v>0.05</x:v>
      </x:c>
      <x:c r="O1754" s="22" t="n">
        <x:f>L1754*M1754</x:f>
        <x:v>8750</x:v>
      </x:c>
      <x:c r="P1754" s="22" t="n">
        <x:f>O1754*(1-N1754)</x:f>
        <x:v>8312.5</x:v>
      </x:c>
      <x:c r="Q1754" s="22" t="n">
        <x:v>760</x:v>
      </x:c>
      <x:c r="R1754" s="22" t="n">
        <x:f>Q1754*M1754</x:f>
        <x:v>7600</x:v>
      </x:c>
      <x:c r="S1754" s="22" t="n">
        <x:f>P1754-R1754</x:f>
        <x:v>712.5</x:v>
      </x:c>
      <x:c r="T1754" t="str">
        <x:v>UPI</x:v>
      </x:c>
      <x:c r="U1754" t="str">
        <x:v>Paid</x:v>
      </x:c>
      <x:c r="V1754" t="str">
        <x:v>Delivered</x:v>
      </x:c>
      <x:c r="W1754" t="n">
        <x:v>0</x:v>
      </x:c>
      <x:c r="X1754" t="str"/>
      <x:c r="Y1754" t="str">
        <x:v>Existing Customer</x:v>
      </x:c>
    </x:row>
    <x:row r="1755">
      <x:c r="A1755" t="str">
        <x:v>O001754</x:v>
      </x:c>
      <x:c r="B1755" s="20" t="n">
        <x:v>45683</x:v>
      </x:c>
      <x:c r="C1755" t="str">
        <x:v>C0012</x:v>
      </x:c>
      <x:c r="D1755" t="str">
        <x:v>Sagar Canteen 12</x:v>
      </x:c>
      <x:c r="E1755" t="str">
        <x:v>Supermarket</x:v>
      </x:c>
      <x:c r="F1755" t="str">
        <x:v>Mysuru</x:v>
      </x:c>
      <x:c r="G1755" t="str">
        <x:v>Priya</x:v>
      </x:c>
      <x:c r="H1755" t="str">
        <x:v>P003</x:v>
      </x:c>
      <x:c r="I1755" t="str">
        <x:v>Basmati Rice 5kg</x:v>
      </x:c>
      <x:c r="J1755" t="str">
        <x:v>Staples</x:v>
      </x:c>
      <x:c r="K1755" t="str">
        <x:v>India Gate</x:v>
      </x:c>
      <x:c r="L1755" s="22" t="n">
        <x:v>690</x:v>
      </x:c>
      <x:c r="M1755" t="n">
        <x:v>10</x:v>
      </x:c>
      <x:c r="N1755" s="24" t="n">
        <x:v>0.03</x:v>
      </x:c>
      <x:c r="O1755" s="22" t="n">
        <x:f>L1755*M1755</x:f>
        <x:v>6900</x:v>
      </x:c>
      <x:c r="P1755" s="22" t="n">
        <x:f>O1755*(1-N1755)</x:f>
        <x:v>6693</x:v>
      </x:c>
      <x:c r="Q1755" s="22" t="n">
        <x:v>610</x:v>
      </x:c>
      <x:c r="R1755" s="22" t="n">
        <x:f>Q1755*M1755</x:f>
        <x:v>6100</x:v>
      </x:c>
      <x:c r="S1755" s="22" t="n">
        <x:f>P1755-R1755</x:f>
        <x:v>593</x:v>
      </x:c>
      <x:c r="T1755" t="str">
        <x:v>Bank Transfer</x:v>
      </x:c>
      <x:c r="U1755" t="str">
        <x:v>Pending</x:v>
      </x:c>
      <x:c r="V1755" t="str">
        <x:v>Delivered</x:v>
      </x:c>
      <x:c r="W1755" t="n">
        <x:v>0</x:v>
      </x:c>
      <x:c r="X1755" t="str"/>
      <x:c r="Y1755" t="str">
        <x:v>Field Visit</x:v>
      </x:c>
    </x:row>
    <x:row r="1756">
      <x:c r="A1756" t="str">
        <x:v>O001755</x:v>
      </x:c>
      <x:c r="B1756" s="20" t="n">
        <x:v>45780</x:v>
      </x:c>
      <x:c r="C1756" t="str">
        <x:v>C0217</x:v>
      </x:c>
      <x:c r="D1756" t="str">
        <x:v>Darshini Cafe 217</x:v>
      </x:c>
      <x:c r="E1756" t="str">
        <x:v>Restaurant</x:v>
      </x:c>
      <x:c r="F1756" t="str">
        <x:v>Bengaluru</x:v>
      </x:c>
      <x:c r="G1756" t="str">
        <x:v>Priya</x:v>
      </x:c>
      <x:c r="H1756" t="str">
        <x:v>P013</x:v>
      </x:c>
      <x:c r="I1756" t="str">
        <x:v>Atta 10kg</x:v>
      </x:c>
      <x:c r="J1756" t="str">
        <x:v>Flour</x:v>
      </x:c>
      <x:c r="K1756" t="str">
        <x:v>Aashirvaad</x:v>
      </x:c>
      <x:c r="L1756" s="22" t="n">
        <x:v>560</x:v>
      </x:c>
      <x:c r="M1756" t="n">
        <x:v>28</x:v>
      </x:c>
      <x:c r="N1756" s="24" t="n">
        <x:v>0</x:v>
      </x:c>
      <x:c r="O1756" s="22" t="n">
        <x:f>L1756*M1756</x:f>
        <x:v>15680</x:v>
      </x:c>
      <x:c r="P1756" s="22" t="n">
        <x:f>O1756*(1-N1756)</x:f>
        <x:v>15680</x:v>
      </x:c>
      <x:c r="Q1756" s="22" t="n">
        <x:v>495</x:v>
      </x:c>
      <x:c r="R1756" s="22" t="n">
        <x:f>Q1756*M1756</x:f>
        <x:v>13860</x:v>
      </x:c>
      <x:c r="S1756" s="22" t="n">
        <x:f>P1756-R1756</x:f>
        <x:v>1820</x:v>
      </x:c>
      <x:c r="T1756" t="str">
        <x:v>Cash</x:v>
      </x:c>
      <x:c r="U1756" t="str">
        <x:v>Paid</x:v>
      </x:c>
      <x:c r="V1756" t="str">
        <x:v>Delayed</x:v>
      </x:c>
      <x:c r="W1756" t="n">
        <x:v>0</x:v>
      </x:c>
      <x:c r="X1756" t="str"/>
      <x:c r="Y1756" t="str">
        <x:v>Outbound Call</x:v>
      </x:c>
    </x:row>
    <x:row r="1757">
      <x:c r="A1757" t="str">
        <x:v>O001756</x:v>
      </x:c>
      <x:c r="B1757" s="20" t="n">
        <x:v>46065</x:v>
      </x:c>
      <x:c r="C1757" t="str">
        <x:v>C0056</x:v>
      </x:c>
      <x:c r="D1757" t="str">
        <x:v>City Stores 56</x:v>
      </x:c>
      <x:c r="E1757" t="str">
        <x:v>Canteen</x:v>
      </x:c>
      <x:c r="F1757" t="str">
        <x:v>Davanagere</x:v>
      </x:c>
      <x:c r="G1757" t="str">
        <x:v>Imran</x:v>
      </x:c>
      <x:c r="H1757" t="str">
        <x:v>P049</x:v>
      </x:c>
      <x:c r="I1757" t="str">
        <x:v>Apple 10kg</x:v>
      </x:c>
      <x:c r="J1757" t="str">
        <x:v>Fresh Produce</x:v>
      </x:c>
      <x:c r="K1757" t="str">
        <x:v>Local Market</x:v>
      </x:c>
      <x:c r="L1757" s="22" t="n">
        <x:v>1450</x:v>
      </x:c>
      <x:c r="M1757" t="n">
        <x:v>11</x:v>
      </x:c>
      <x:c r="N1757" s="24" t="n">
        <x:v>0.05</x:v>
      </x:c>
      <x:c r="O1757" s="22" t="n">
        <x:f>L1757*M1757</x:f>
        <x:v>15950</x:v>
      </x:c>
      <x:c r="P1757" s="22" t="n">
        <x:f>O1757*(1-N1757)</x:f>
        <x:v>15152.5</x:v>
      </x:c>
      <x:c r="Q1757" s="22" t="n">
        <x:v>1280</x:v>
      </x:c>
      <x:c r="R1757" s="22" t="n">
        <x:f>Q1757*M1757</x:f>
        <x:v>14080</x:v>
      </x:c>
      <x:c r="S1757" s="22" t="n">
        <x:f>P1757-R1757</x:f>
        <x:v>1072.5</x:v>
      </x:c>
      <x:c r="T1757" t="str">
        <x:v>Credit</x:v>
      </x:c>
      <x:c r="U1757" t="str">
        <x:v>Overdue</x:v>
      </x:c>
      <x:c r="V1757" t="str">
        <x:v>Delivered</x:v>
      </x:c>
      <x:c r="W1757" t="n">
        <x:v>0</x:v>
      </x:c>
      <x:c r="X1757" t="str"/>
      <x:c r="Y1757" t="str">
        <x:v>Referral</x:v>
      </x:c>
    </x:row>
    <x:row r="1758">
      <x:c r="A1758" t="str">
        <x:v>O001757</x:v>
      </x:c>
      <x:c r="B1758" s="20" t="n">
        <x:v>45815</x:v>
      </x:c>
      <x:c r="C1758" t="str">
        <x:v>C0089</x:v>
      </x:c>
      <x:c r="D1758" t="str">
        <x:v>Green Canteen 89</x:v>
      </x:c>
      <x:c r="E1758" t="str">
        <x:v>Supermarket</x:v>
      </x:c>
      <x:c r="F1758" t="str">
        <x:v>Mangaluru</x:v>
      </x:c>
      <x:c r="G1758" t="str">
        <x:v>Megha</x:v>
      </x:c>
      <x:c r="H1758" t="str">
        <x:v>P023</x:v>
      </x:c>
      <x:c r="I1758" t="str">
        <x:v>Cola 750ml</x:v>
      </x:c>
      <x:c r="J1758" t="str">
        <x:v>Beverage</x:v>
      </x:c>
      <x:c r="K1758" t="str">
        <x:v>Coca-Cola</x:v>
      </x:c>
      <x:c r="L1758" s="22" t="n">
        <x:v>38</x:v>
      </x:c>
      <x:c r="M1758" t="n">
        <x:v>34</x:v>
      </x:c>
      <x:c r="N1758" s="24" t="n">
        <x:v>0.05</x:v>
      </x:c>
      <x:c r="O1758" s="22" t="n">
        <x:f>L1758*M1758</x:f>
        <x:v>1292</x:v>
      </x:c>
      <x:c r="P1758" s="22" t="n">
        <x:f>O1758*(1-N1758)</x:f>
        <x:v>1227.3999999999999</x:v>
      </x:c>
      <x:c r="Q1758" s="22" t="n">
        <x:v>31</x:v>
      </x:c>
      <x:c r="R1758" s="22" t="n">
        <x:f>Q1758*M1758</x:f>
        <x:v>1054</x:v>
      </x:c>
      <x:c r="S1758" s="22" t="n">
        <x:f>P1758-R1758</x:f>
        <x:v>173.39999999999986</x:v>
      </x:c>
      <x:c r="T1758" t="str">
        <x:v>Bank Transfer</x:v>
      </x:c>
      <x:c r="U1758" t="str">
        <x:v>Pending</x:v>
      </x:c>
      <x:c r="V1758" t="str">
        <x:v>Delivered</x:v>
      </x:c>
      <x:c r="W1758" t="n">
        <x:v>0</x:v>
      </x:c>
      <x:c r="X1758" t="str"/>
      <x:c r="Y1758" t="str">
        <x:v>Referral</x:v>
      </x:c>
    </x:row>
    <x:row r="1759">
      <x:c r="A1759" t="str">
        <x:v>O001758</x:v>
      </x:c>
      <x:c r="B1759" s="20" t="n">
        <x:v>45910</x:v>
      </x:c>
      <x:c r="C1759" t="str">
        <x:v>C0162</x:v>
      </x:c>
      <x:c r="D1759" t="str">
        <x:v>Udupi Foods 162</x:v>
      </x:c>
      <x:c r="E1759" t="str">
        <x:v>Restaurant</x:v>
      </x:c>
      <x:c r="F1759" t="str">
        <x:v>Mysuru</x:v>
      </x:c>
      <x:c r="G1759" t="str">
        <x:v>Ramesh</x:v>
      </x:c>
      <x:c r="H1759" t="str">
        <x:v>P032</x:v>
      </x:c>
      <x:c r="I1759" t="str">
        <x:v>Soy Sauce 700g</x:v>
      </x:c>
      <x:c r="J1759" t="str">
        <x:v>Condiments</x:v>
      </x:c>
      <x:c r="K1759" t="str">
        <x:v>Ching's</x:v>
      </x:c>
      <x:c r="L1759" s="22" t="n">
        <x:v>118</x:v>
      </x:c>
      <x:c r="M1759" t="n">
        <x:v>23</x:v>
      </x:c>
      <x:c r="N1759" s="24" t="n">
        <x:v>0</x:v>
      </x:c>
      <x:c r="O1759" s="22" t="n">
        <x:f>L1759*M1759</x:f>
        <x:v>2714</x:v>
      </x:c>
      <x:c r="P1759" s="22" t="n">
        <x:f>O1759*(1-N1759)</x:f>
        <x:v>2714</x:v>
      </x:c>
      <x:c r="Q1759" s="22" t="n">
        <x:v>101</x:v>
      </x:c>
      <x:c r="R1759" s="22" t="n">
        <x:f>Q1759*M1759</x:f>
        <x:v>2323</x:v>
      </x:c>
      <x:c r="S1759" s="22" t="n">
        <x:f>P1759-R1759</x:f>
        <x:v>391</x:v>
      </x:c>
      <x:c r="T1759" t="str">
        <x:v>Cash</x:v>
      </x:c>
      <x:c r="U1759" t="str">
        <x:v>Overdue</x:v>
      </x:c>
      <x:c r="V1759" t="str">
        <x:v>Delivered</x:v>
      </x:c>
      <x:c r="W1759" t="n">
        <x:v>0</x:v>
      </x:c>
      <x:c r="X1759" t="str"/>
      <x:c r="Y1759" t="str">
        <x:v>Referral</x:v>
      </x:c>
    </x:row>
    <x:row r="1760">
      <x:c r="A1760" t="str">
        <x:v>O001759</x:v>
      </x:c>
      <x:c r="B1760" s="20" t="n">
        <x:v>45812</x:v>
      </x:c>
      <x:c r="C1760" t="str">
        <x:v>C0038</x:v>
      </x:c>
      <x:c r="D1760" t="str">
        <x:v>Mysore Kitchen 38</x:v>
      </x:c>
      <x:c r="E1760" t="str">
        <x:v>Kirana</x:v>
      </x:c>
      <x:c r="F1760" t="str">
        <x:v>Tumakuru</x:v>
      </x:c>
      <x:c r="G1760" t="str">
        <x:v>Priya</x:v>
      </x:c>
      <x:c r="H1760" t="str">
        <x:v>P011</x:v>
      </x:c>
      <x:c r="I1760" t="str">
        <x:v>Salt 1kg</x:v>
      </x:c>
      <x:c r="J1760" t="str">
        <x:v>Staples</x:v>
      </x:c>
      <x:c r="K1760" t="str">
        <x:v>Tata</x:v>
      </x:c>
      <x:c r="L1760" s="22" t="n">
        <x:v>28</x:v>
      </x:c>
      <x:c r="M1760" t="n">
        <x:v>29</x:v>
      </x:c>
      <x:c r="N1760" s="24" t="n">
        <x:v>0</x:v>
      </x:c>
      <x:c r="O1760" s="22" t="n">
        <x:f>L1760*M1760</x:f>
        <x:v>812</x:v>
      </x:c>
      <x:c r="P1760" s="22" t="n">
        <x:f>O1760*(1-N1760)</x:f>
        <x:v>812</x:v>
      </x:c>
      <x:c r="Q1760" s="22" t="n">
        <x:v>23</x:v>
      </x:c>
      <x:c r="R1760" s="22" t="n">
        <x:f>Q1760*M1760</x:f>
        <x:v>667</x:v>
      </x:c>
      <x:c r="S1760" s="22" t="n">
        <x:f>P1760-R1760</x:f>
        <x:v>145</x:v>
      </x:c>
      <x:c r="T1760" t="str">
        <x:v>Bank Transfer</x:v>
      </x:c>
      <x:c r="U1760" t="str">
        <x:v>Pending</x:v>
      </x:c>
      <x:c r="V1760" t="str">
        <x:v>Delayed</x:v>
      </x:c>
      <x:c r="W1760" t="n">
        <x:v>0</x:v>
      </x:c>
      <x:c r="X1760" t="str"/>
      <x:c r="Y1760" t="str">
        <x:v>Existing Customer</x:v>
      </x:c>
    </x:row>
    <x:row r="1761">
      <x:c r="A1761" t="str">
        <x:v>O001760</x:v>
      </x:c>
      <x:c r="B1761" s="20" t="n">
        <x:v>46143</x:v>
      </x:c>
      <x:c r="C1761" t="str">
        <x:v>C0074</x:v>
      </x:c>
      <x:c r="D1761" t="str">
        <x:v>Foodie Hotel 74</x:v>
      </x:c>
      <x:c r="E1761" t="str">
        <x:v>Restaurant</x:v>
      </x:c>
      <x:c r="F1761" t="str">
        <x:v>Mysuru</x:v>
      </x:c>
      <x:c r="G1761" t="str">
        <x:v>Vikram</x:v>
      </x:c>
      <x:c r="H1761" t="str">
        <x:v>P024</x:v>
      </x:c>
      <x:c r="I1761" t="str">
        <x:v>Orange Drink 1L</x:v>
      </x:c>
      <x:c r="J1761" t="str">
        <x:v>Beverage</x:v>
      </x:c>
      <x:c r="K1761" t="str">
        <x:v>Minute Maid</x:v>
      </x:c>
      <x:c r="L1761" s="22" t="n">
        <x:v>105</x:v>
      </x:c>
      <x:c r="M1761" t="n">
        <x:v>15</x:v>
      </x:c>
      <x:c r="N1761" s="24" t="n">
        <x:v>0.05</x:v>
      </x:c>
      <x:c r="O1761" s="22" t="n">
        <x:f>L1761*M1761</x:f>
        <x:v>1575</x:v>
      </x:c>
      <x:c r="P1761" s="22" t="n">
        <x:f>O1761*(1-N1761)</x:f>
        <x:v>1496.25</x:v>
      </x:c>
      <x:c r="Q1761" s="22" t="n">
        <x:v>88</x:v>
      </x:c>
      <x:c r="R1761" s="22" t="n">
        <x:f>Q1761*M1761</x:f>
        <x:v>1320</x:v>
      </x:c>
      <x:c r="S1761" s="22" t="n">
        <x:f>P1761-R1761</x:f>
        <x:v>176.25</x:v>
      </x:c>
      <x:c r="T1761" t="str">
        <x:v>Bank Transfer</x:v>
      </x:c>
      <x:c r="U1761" t="str">
        <x:v>Paid</x:v>
      </x:c>
      <x:c r="V1761" t="str">
        <x:v>Delivered</x:v>
      </x:c>
      <x:c r="W1761" t="n">
        <x:v>0</x:v>
      </x:c>
      <x:c r="X1761" t="str"/>
      <x:c r="Y1761" t="str">
        <x:v>Existing Customer</x:v>
      </x:c>
    </x:row>
    <x:row r="1762">
      <x:c r="A1762" t="str">
        <x:v>O001761</x:v>
      </x:c>
      <x:c r="B1762" s="20" t="n">
        <x:v>46064</x:v>
      </x:c>
      <x:c r="C1762" t="str">
        <x:v>C0009</x:v>
      </x:c>
      <x:c r="D1762" t="str">
        <x:v>Darshini Hotel 9</x:v>
      </x:c>
      <x:c r="E1762" t="str">
        <x:v>Cafe</x:v>
      </x:c>
      <x:c r="F1762" t="str">
        <x:v>Hubballi</x:v>
      </x:c>
      <x:c r="G1762" t="str">
        <x:v>Imran</x:v>
      </x:c>
      <x:c r="H1762" t="str">
        <x:v>P031</x:v>
      </x:c>
      <x:c r="I1762" t="str">
        <x:v>Chilli Sauce 700g</x:v>
      </x:c>
      <x:c r="J1762" t="str">
        <x:v>Condiments</x:v>
      </x:c>
      <x:c r="K1762" t="str">
        <x:v>Ching's</x:v>
      </x:c>
      <x:c r="L1762" s="22" t="n">
        <x:v>130</x:v>
      </x:c>
      <x:c r="M1762" t="n">
        <x:v>6</x:v>
      </x:c>
      <x:c r="N1762" s="24" t="n">
        <x:v>0.08</x:v>
      </x:c>
      <x:c r="O1762" s="22" t="n">
        <x:f>L1762*M1762</x:f>
        <x:v>780</x:v>
      </x:c>
      <x:c r="P1762" s="22" t="n">
        <x:f>O1762*(1-N1762)</x:f>
        <x:v>717.6</x:v>
      </x:c>
      <x:c r="Q1762" s="22" t="n">
        <x:v>112</x:v>
      </x:c>
      <x:c r="R1762" s="22" t="n">
        <x:f>Q1762*M1762</x:f>
        <x:v>672</x:v>
      </x:c>
      <x:c r="S1762" s="22" t="n">
        <x:f>P1762-R1762</x:f>
        <x:v>45.60000000000002</x:v>
      </x:c>
      <x:c r="T1762" t="str">
        <x:v>Credit</x:v>
      </x:c>
      <x:c r="U1762" t="str">
        <x:v>Paid</x:v>
      </x:c>
      <x:c r="V1762" t="str">
        <x:v>Delivered</x:v>
      </x:c>
      <x:c r="W1762" t="n">
        <x:v>0</x:v>
      </x:c>
      <x:c r="X1762" t="str"/>
      <x:c r="Y1762" t="str">
        <x:v>WhatsApp</x:v>
      </x:c>
    </x:row>
    <x:row r="1763">
      <x:c r="A1763" t="str">
        <x:v>O001762</x:v>
      </x:c>
      <x:c r="B1763" s="20" t="n">
        <x:v>46175</x:v>
      </x:c>
      <x:c r="C1763" t="str">
        <x:v>C0031</x:v>
      </x:c>
      <x:c r="D1763" t="str">
        <x:v>Royal Restaurant 31</x:v>
      </x:c>
      <x:c r="E1763" t="str">
        <x:v>Restaurant</x:v>
      </x:c>
      <x:c r="F1763" t="str">
        <x:v>Mangaluru</x:v>
      </x:c>
      <x:c r="G1763" t="str">
        <x:v>Arjun</x:v>
      </x:c>
      <x:c r="H1763" t="str">
        <x:v>P049</x:v>
      </x:c>
      <x:c r="I1763" t="str">
        <x:v>Apple 10kg</x:v>
      </x:c>
      <x:c r="J1763" t="str">
        <x:v>Fresh Produce</x:v>
      </x:c>
      <x:c r="K1763" t="str">
        <x:v>Local Market</x:v>
      </x:c>
      <x:c r="L1763" s="22" t="n">
        <x:v>1450</x:v>
      </x:c>
      <x:c r="M1763" t="n">
        <x:v>4</x:v>
      </x:c>
      <x:c r="N1763" s="24" t="n">
        <x:v>0.02</x:v>
      </x:c>
      <x:c r="O1763" s="22" t="n">
        <x:f>L1763*M1763</x:f>
        <x:v>5800</x:v>
      </x:c>
      <x:c r="P1763" s="22" t="n">
        <x:f>O1763*(1-N1763)</x:f>
        <x:v>5684</x:v>
      </x:c>
      <x:c r="Q1763" s="22" t="n">
        <x:v>1280</x:v>
      </x:c>
      <x:c r="R1763" s="22" t="n">
        <x:f>Q1763*M1763</x:f>
        <x:v>5120</x:v>
      </x:c>
      <x:c r="S1763" s="22" t="n">
        <x:f>P1763-R1763</x:f>
        <x:v>564</x:v>
      </x:c>
      <x:c r="T1763" t="str">
        <x:v>UPI</x:v>
      </x:c>
      <x:c r="U1763" t="str">
        <x:v>Paid</x:v>
      </x:c>
      <x:c r="V1763" t="str">
        <x:v>Delivered</x:v>
      </x:c>
      <x:c r="W1763" t="n">
        <x:v>0</x:v>
      </x:c>
      <x:c r="X1763" t="str"/>
      <x:c r="Y1763" t="str">
        <x:v>Outbound Call</x:v>
      </x:c>
    </x:row>
    <x:row r="1764">
      <x:c r="A1764" t="str">
        <x:v>O001763</x:v>
      </x:c>
      <x:c r="B1764" s="20" t="n">
        <x:v>45885</x:v>
      </x:c>
      <x:c r="C1764" t="str">
        <x:v>C0217</x:v>
      </x:c>
      <x:c r="D1764" t="str">
        <x:v>Darshini Cafe 217</x:v>
      </x:c>
      <x:c r="E1764" t="str">
        <x:v>Restaurant</x:v>
      </x:c>
      <x:c r="F1764" t="str">
        <x:v>Bengaluru</x:v>
      </x:c>
      <x:c r="G1764" t="str">
        <x:v>Priya</x:v>
      </x:c>
      <x:c r="H1764" t="str">
        <x:v>P036</x:v>
      </x:c>
      <x:c r="I1764" t="str">
        <x:v>Garam Masala 500g</x:v>
      </x:c>
      <x:c r="J1764" t="str">
        <x:v>Spices</x:v>
      </x:c>
      <x:c r="K1764" t="str">
        <x:v>MDH</x:v>
      </x:c>
      <x:c r="L1764" s="22" t="n">
        <x:v>265</x:v>
      </x:c>
      <x:c r="M1764" t="n">
        <x:v>36</x:v>
      </x:c>
      <x:c r="N1764" s="24" t="n">
        <x:v>0.05</x:v>
      </x:c>
      <x:c r="O1764" s="22" t="n">
        <x:f>L1764*M1764</x:f>
        <x:v>9540</x:v>
      </x:c>
      <x:c r="P1764" s="22" t="n">
        <x:f>O1764*(1-N1764)</x:f>
        <x:v>9063</x:v>
      </x:c>
      <x:c r="Q1764" s="22" t="n">
        <x:v>230</x:v>
      </x:c>
      <x:c r="R1764" s="22" t="n">
        <x:f>Q1764*M1764</x:f>
        <x:v>8280</x:v>
      </x:c>
      <x:c r="S1764" s="22" t="n">
        <x:f>P1764-R1764</x:f>
        <x:v>783</x:v>
      </x:c>
      <x:c r="T1764" t="str">
        <x:v>Bank Transfer</x:v>
      </x:c>
      <x:c r="U1764" t="str">
        <x:v>Paid</x:v>
      </x:c>
      <x:c r="V1764" t="str">
        <x:v>Delivered</x:v>
      </x:c>
      <x:c r="W1764" t="n">
        <x:v>0</x:v>
      </x:c>
      <x:c r="X1764" t="str"/>
      <x:c r="Y1764" t="str">
        <x:v>WhatsApp</x:v>
      </x:c>
    </x:row>
    <x:row r="1765">
      <x:c r="A1765" t="str">
        <x:v>O001764</x:v>
      </x:c>
      <x:c r="B1765" s="20" t="n">
        <x:v>46204</x:v>
      </x:c>
      <x:c r="C1765" t="str">
        <x:v>C0196</x:v>
      </x:c>
      <x:c r="D1765" t="str">
        <x:v>Namma Mart 196</x:v>
      </x:c>
      <x:c r="E1765" t="str">
        <x:v>Cafe</x:v>
      </x:c>
      <x:c r="F1765" t="str">
        <x:v>Mangaluru</x:v>
      </x:c>
      <x:c r="G1765" t="str">
        <x:v>Kavya</x:v>
      </x:c>
      <x:c r="H1765" t="str">
        <x:v>P017</x:v>
      </x:c>
      <x:c r="I1765" t="str">
        <x:v>Butter 500g</x:v>
      </x:c>
      <x:c r="J1765" t="str">
        <x:v>Dairy</x:v>
      </x:c>
      <x:c r="K1765" t="str">
        <x:v>Amul</x:v>
      </x:c>
      <x:c r="L1765" s="22" t="n">
        <x:v>285</x:v>
      </x:c>
      <x:c r="M1765" t="n">
        <x:v>17</x:v>
      </x:c>
      <x:c r="N1765" s="24" t="n">
        <x:v>0.05</x:v>
      </x:c>
      <x:c r="O1765" s="22" t="n">
        <x:f>L1765*M1765</x:f>
        <x:v>4845</x:v>
      </x:c>
      <x:c r="P1765" s="22" t="n">
        <x:f>O1765*(1-N1765)</x:f>
        <x:v>4602.75</x:v>
      </x:c>
      <x:c r="Q1765" s="22" t="n">
        <x:v>258</x:v>
      </x:c>
      <x:c r="R1765" s="22" t="n">
        <x:f>Q1765*M1765</x:f>
        <x:v>4386</x:v>
      </x:c>
      <x:c r="S1765" s="22" t="n">
        <x:f>P1765-R1765</x:f>
        <x:v>216.75</x:v>
      </x:c>
      <x:c r="T1765" t="str">
        <x:v>Credit</x:v>
      </x:c>
      <x:c r="U1765" t="str">
        <x:v>Paid</x:v>
      </x:c>
      <x:c r="V1765" t="str">
        <x:v>Delivered</x:v>
      </x:c>
      <x:c r="W1765" t="n">
        <x:v>0</x:v>
      </x:c>
      <x:c r="X1765" t="str"/>
      <x:c r="Y1765" t="str">
        <x:v>Referral</x:v>
      </x:c>
    </x:row>
    <x:row r="1766">
      <x:c r="A1766" t="str">
        <x:v>O001765</x:v>
      </x:c>
      <x:c r="B1766" s="20" t="n">
        <x:v>45814</x:v>
      </x:c>
      <x:c r="C1766" t="str">
        <x:v>C0249</x:v>
      </x:c>
      <x:c r="D1766" t="str">
        <x:v>City Hotel 249</x:v>
      </x:c>
      <x:c r="E1766" t="str">
        <x:v>Supermarket</x:v>
      </x:c>
      <x:c r="F1766" t="str">
        <x:v>Mysuru</x:v>
      </x:c>
      <x:c r="G1766" t="str">
        <x:v>Arjun</x:v>
      </x:c>
      <x:c r="H1766" t="str">
        <x:v>P014</x:v>
      </x:c>
      <x:c r="I1766" t="str">
        <x:v>Rava 5kg</x:v>
      </x:c>
      <x:c r="J1766" t="str">
        <x:v>Flour</x:v>
      </x:c>
      <x:c r="K1766" t="str">
        <x:v>Local Select</x:v>
      </x:c>
      <x:c r="L1766" s="22" t="n">
        <x:v>245</x:v>
      </x:c>
      <x:c r="M1766" t="n">
        <x:v>10</x:v>
      </x:c>
      <x:c r="N1766" s="24" t="n">
        <x:v>0.1</x:v>
      </x:c>
      <x:c r="O1766" s="22" t="n">
        <x:f>L1766*M1766</x:f>
        <x:v>2450</x:v>
      </x:c>
      <x:c r="P1766" s="22" t="n">
        <x:f>O1766*(1-N1766)</x:f>
        <x:v>2205</x:v>
      </x:c>
      <x:c r="Q1766" s="22" t="n">
        <x:v>215</x:v>
      </x:c>
      <x:c r="R1766" s="22" t="n">
        <x:f>Q1766*M1766</x:f>
        <x:v>2150</x:v>
      </x:c>
      <x:c r="S1766" s="22" t="n">
        <x:f>P1766-R1766</x:f>
        <x:v>55</x:v>
      </x:c>
      <x:c r="T1766" t="str">
        <x:v>UPI</x:v>
      </x:c>
      <x:c r="U1766" t="str">
        <x:v>Paid</x:v>
      </x:c>
      <x:c r="V1766" t="str">
        <x:v>Delayed</x:v>
      </x:c>
      <x:c r="W1766" t="n">
        <x:v>0</x:v>
      </x:c>
      <x:c r="X1766" t="str"/>
      <x:c r="Y1766" t="str">
        <x:v>Field Visit</x:v>
      </x:c>
    </x:row>
    <x:row r="1767">
      <x:c r="A1767" t="str">
        <x:v>O001766</x:v>
      </x:c>
      <x:c r="B1767" s="20" t="n">
        <x:v>46231</x:v>
      </x:c>
      <x:c r="C1767" t="str">
        <x:v>C0040</x:v>
      </x:c>
      <x:c r="D1767" t="str">
        <x:v>Royal Foods 40</x:v>
      </x:c>
      <x:c r="E1767" t="str">
        <x:v>Restaurant</x:v>
      </x:c>
      <x:c r="F1767" t="str">
        <x:v>Mangaluru</x:v>
      </x:c>
      <x:c r="G1767" t="str">
        <x:v>Kavya</x:v>
      </x:c>
      <x:c r="H1767" t="str">
        <x:v>P023</x:v>
      </x:c>
      <x:c r="I1767" t="str">
        <x:v>Cola 750ml</x:v>
      </x:c>
      <x:c r="J1767" t="str">
        <x:v>Beverage</x:v>
      </x:c>
      <x:c r="K1767" t="str">
        <x:v>Coca-Cola</x:v>
      </x:c>
      <x:c r="L1767" s="22" t="n">
        <x:v>38</x:v>
      </x:c>
      <x:c r="M1767" t="n">
        <x:v>37</x:v>
      </x:c>
      <x:c r="N1767" s="24" t="n">
        <x:v>0</x:v>
      </x:c>
      <x:c r="O1767" s="22" t="n">
        <x:f>L1767*M1767</x:f>
        <x:v>1406</x:v>
      </x:c>
      <x:c r="P1767" s="22" t="n">
        <x:f>O1767*(1-N1767)</x:f>
        <x:v>1406</x:v>
      </x:c>
      <x:c r="Q1767" s="22" t="n">
        <x:v>31</x:v>
      </x:c>
      <x:c r="R1767" s="22" t="n">
        <x:f>Q1767*M1767</x:f>
        <x:v>1147</x:v>
      </x:c>
      <x:c r="S1767" s="22" t="n">
        <x:f>P1767-R1767</x:f>
        <x:v>259</x:v>
      </x:c>
      <x:c r="T1767" t="str">
        <x:v>Bank Transfer</x:v>
      </x:c>
      <x:c r="U1767" t="str">
        <x:v>Paid</x:v>
      </x:c>
      <x:c r="V1767" t="str">
        <x:v>Delivered</x:v>
      </x:c>
      <x:c r="W1767" t="n">
        <x:v>0</x:v>
      </x:c>
      <x:c r="X1767" t="str"/>
      <x:c r="Y1767" t="str">
        <x:v>WhatsApp</x:v>
      </x:c>
    </x:row>
    <x:row r="1768">
      <x:c r="A1768" t="str">
        <x:v>O001767</x:v>
      </x:c>
      <x:c r="B1768" s="20" t="n">
        <x:v>46003</x:v>
      </x:c>
      <x:c r="C1768" t="str">
        <x:v>C0228</x:v>
      </x:c>
      <x:c r="D1768" t="str">
        <x:v>Metro Foods 228</x:v>
      </x:c>
      <x:c r="E1768" t="str">
        <x:v>Supermarket</x:v>
      </x:c>
      <x:c r="F1768" t="str">
        <x:v>Davanagere</x:v>
      </x:c>
      <x:c r="G1768" t="str">
        <x:v>Sneha</x:v>
      </x:c>
      <x:c r="H1768" t="str">
        <x:v>P040</x:v>
      </x:c>
      <x:c r="I1768" t="str">
        <x:v>Bread Loaf 400g</x:v>
      </x:c>
      <x:c r="J1768" t="str">
        <x:v>Bakery</x:v>
      </x:c>
      <x:c r="K1768" t="str">
        <x:v>Britannia</x:v>
      </x:c>
      <x:c r="L1768" s="22" t="n">
        <x:v>45</x:v>
      </x:c>
      <x:c r="M1768" t="n">
        <x:v>14</x:v>
      </x:c>
      <x:c r="N1768" s="24" t="n">
        <x:v>0.02</x:v>
      </x:c>
      <x:c r="O1768" s="22" t="n">
        <x:f>L1768*M1768</x:f>
        <x:v>630</x:v>
      </x:c>
      <x:c r="P1768" s="22" t="n">
        <x:f>O1768*(1-N1768)</x:f>
        <x:v>617.4</x:v>
      </x:c>
      <x:c r="Q1768" s="22" t="n">
        <x:v>35</x:v>
      </x:c>
      <x:c r="R1768" s="22" t="n">
        <x:f>Q1768*M1768</x:f>
        <x:v>490</x:v>
      </x:c>
      <x:c r="S1768" s="22" t="n">
        <x:f>P1768-R1768</x:f>
        <x:v>127.39999999999998</x:v>
      </x:c>
      <x:c r="T1768" t="str">
        <x:v>UPI</x:v>
      </x:c>
      <x:c r="U1768" t="str">
        <x:v>Pending</x:v>
      </x:c>
      <x:c r="V1768" t="str">
        <x:v>Delivered</x:v>
      </x:c>
      <x:c r="W1768" t="n">
        <x:v>0</x:v>
      </x:c>
      <x:c r="X1768" t="str"/>
      <x:c r="Y1768" t="str">
        <x:v>WhatsApp</x:v>
      </x:c>
    </x:row>
    <x:row r="1769">
      <x:c r="A1769" t="str">
        <x:v>O001768</x:v>
      </x:c>
      <x:c r="B1769" s="20" t="n">
        <x:v>45775</x:v>
      </x:c>
      <x:c r="C1769" t="str">
        <x:v>C0063</x:v>
      </x:c>
      <x:c r="D1769" t="str">
        <x:v>Namma Mart 63</x:v>
      </x:c>
      <x:c r="E1769" t="str">
        <x:v>Supermarket</x:v>
      </x:c>
      <x:c r="F1769" t="str">
        <x:v>Tumakuru</x:v>
      </x:c>
      <x:c r="G1769" t="str">
        <x:v>Priya</x:v>
      </x:c>
      <x:c r="H1769" t="str">
        <x:v>P005</x:v>
      </x:c>
      <x:c r="I1769" t="str">
        <x:v>Chana Dal 5kg</x:v>
      </x:c>
      <x:c r="J1769" t="str">
        <x:v>Pulses</x:v>
      </x:c>
      <x:c r="K1769" t="str">
        <x:v>Local Select</x:v>
      </x:c>
      <x:c r="L1769" s="22" t="n">
        <x:v>520</x:v>
      </x:c>
      <x:c r="M1769" t="n">
        <x:v>35</x:v>
      </x:c>
      <x:c r="N1769" s="24" t="n">
        <x:v>0</x:v>
      </x:c>
      <x:c r="O1769" s="22" t="n">
        <x:f>L1769*M1769</x:f>
        <x:v>18200</x:v>
      </x:c>
      <x:c r="P1769" s="22" t="n">
        <x:f>O1769*(1-N1769)</x:f>
        <x:v>18200</x:v>
      </x:c>
      <x:c r="Q1769" s="22" t="n">
        <x:v>455</x:v>
      </x:c>
      <x:c r="R1769" s="22" t="n">
        <x:f>Q1769*M1769</x:f>
        <x:v>15925</x:v>
      </x:c>
      <x:c r="S1769" s="22" t="n">
        <x:f>P1769-R1769</x:f>
        <x:v>2275</x:v>
      </x:c>
      <x:c r="T1769" t="str">
        <x:v>Credit</x:v>
      </x:c>
      <x:c r="U1769" t="str">
        <x:v>Paid</x:v>
      </x:c>
      <x:c r="V1769" t="str">
        <x:v>Delivered</x:v>
      </x:c>
      <x:c r="W1769" t="n">
        <x:v>0</x:v>
      </x:c>
      <x:c r="X1769" t="str"/>
      <x:c r="Y1769" t="str"/>
    </x:row>
    <x:row r="1770">
      <x:c r="A1770" t="str">
        <x:v>O001769</x:v>
      </x:c>
      <x:c r="B1770" s="20" t="n">
        <x:v>45892</x:v>
      </x:c>
      <x:c r="C1770" t="str">
        <x:v>C0172</x:v>
      </x:c>
      <x:c r="D1770" t="str">
        <x:v>Annapurna Stores 172</x:v>
      </x:c>
      <x:c r="E1770" t="str">
        <x:v>Restaurant</x:v>
      </x:c>
      <x:c r="F1770" t="str">
        <x:v>Mangaluru</x:v>
      </x:c>
      <x:c r="G1770" t="str">
        <x:v>Megha</x:v>
      </x:c>
      <x:c r="H1770" t="str">
        <x:v>P021</x:v>
      </x:c>
      <x:c r="I1770" t="str">
        <x:v>Instant Coffee 200g</x:v>
      </x:c>
      <x:c r="J1770" t="str">
        <x:v>Beverage</x:v>
      </x:c>
      <x:c r="K1770" t="str">
        <x:v>Nescafe</x:v>
      </x:c>
      <x:c r="L1770" s="22" t="n">
        <x:v>460</x:v>
      </x:c>
      <x:c r="M1770" t="n">
        <x:v>36</x:v>
      </x:c>
      <x:c r="N1770" s="24" t="n">
        <x:v>0.08</x:v>
      </x:c>
      <x:c r="O1770" s="22" t="n">
        <x:f>L1770*M1770</x:f>
        <x:v>16560</x:v>
      </x:c>
      <x:c r="P1770" s="22" t="n">
        <x:f>O1770*(1-N1770)</x:f>
        <x:v>15235.2</x:v>
      </x:c>
      <x:c r="Q1770" s="22" t="n">
        <x:v>410</x:v>
      </x:c>
      <x:c r="R1770" s="22" t="n">
        <x:f>Q1770*M1770</x:f>
        <x:v>14760</x:v>
      </x:c>
      <x:c r="S1770" s="22" t="n">
        <x:f>P1770-R1770</x:f>
        <x:v>475.2000000000007</x:v>
      </x:c>
      <x:c r="T1770" t="str">
        <x:v>UPI</x:v>
      </x:c>
      <x:c r="U1770" t="str">
        <x:v>Paid</x:v>
      </x:c>
      <x:c r="V1770" t="str">
        <x:v>Delivered</x:v>
      </x:c>
      <x:c r="W1770" t="n">
        <x:v>0</x:v>
      </x:c>
      <x:c r="X1770" t="str"/>
      <x:c r="Y1770" t="str">
        <x:v>Outbound Call</x:v>
      </x:c>
    </x:row>
    <x:row r="1771">
      <x:c r="A1771" t="str">
        <x:v>O001770</x:v>
      </x:c>
      <x:c r="B1771" s="20" t="n">
        <x:v>46068</x:v>
      </x:c>
      <x:c r="C1771" t="str">
        <x:v>C0099</x:v>
      </x:c>
      <x:c r="D1771" t="str">
        <x:v>Green Cafe 99</x:v>
      </x:c>
      <x:c r="E1771" t="str">
        <x:v>Restaurant</x:v>
      </x:c>
      <x:c r="F1771" t="str">
        <x:v>Hubballi</x:v>
      </x:c>
      <x:c r="G1771" t="str">
        <x:v>Ramesh</x:v>
      </x:c>
      <x:c r="H1771" t="str">
        <x:v>P012</x:v>
      </x:c>
      <x:c r="I1771" t="str">
        <x:v>Maida 10kg</x:v>
      </x:c>
      <x:c r="J1771" t="str">
        <x:v>Flour</x:v>
      </x:c>
      <x:c r="K1771" t="str">
        <x:v>Aashirvaad</x:v>
      </x:c>
      <x:c r="L1771" s="22" t="n">
        <x:v>520</x:v>
      </x:c>
      <x:c r="M1771" t="n">
        <x:v>4</x:v>
      </x:c>
      <x:c r="N1771" s="24" t="n">
        <x:v>0.03</x:v>
      </x:c>
      <x:c r="O1771" s="22" t="n">
        <x:f>L1771*M1771</x:f>
        <x:v>2080</x:v>
      </x:c>
      <x:c r="P1771" s="22" t="n">
        <x:f>O1771*(1-N1771)</x:f>
        <x:v>2017.6</x:v>
      </x:c>
      <x:c r="Q1771" s="22" t="n">
        <x:v>460</x:v>
      </x:c>
      <x:c r="R1771" s="22" t="n">
        <x:f>Q1771*M1771</x:f>
        <x:v>1840</x:v>
      </x:c>
      <x:c r="S1771" s="22" t="n">
        <x:f>P1771-R1771</x:f>
        <x:v>177.5999999999999</x:v>
      </x:c>
      <x:c r="T1771" t="str">
        <x:v>Cash</x:v>
      </x:c>
      <x:c r="U1771" t="str">
        <x:v>Paid</x:v>
      </x:c>
      <x:c r="V1771" t="str">
        <x:v>Delivered</x:v>
      </x:c>
      <x:c r="W1771" t="n">
        <x:v>0</x:v>
      </x:c>
      <x:c r="X1771" t="str"/>
      <x:c r="Y1771" t="str">
        <x:v>WhatsApp</x:v>
      </x:c>
    </x:row>
    <x:row r="1772">
      <x:c r="A1772" t="str">
        <x:v>O001771</x:v>
      </x:c>
      <x:c r="B1772" s="20" t="n">
        <x:v>45979</x:v>
      </x:c>
      <x:c r="C1772" t="str">
        <x:v>C0099</x:v>
      </x:c>
      <x:c r="D1772" t="str">
        <x:v>Green Cafe 99</x:v>
      </x:c>
      <x:c r="E1772" t="str">
        <x:v>Restaurant</x:v>
      </x:c>
      <x:c r="F1772" t="str">
        <x:v>Hubballi</x:v>
      </x:c>
      <x:c r="G1772" t="str">
        <x:v>Ramesh</x:v>
      </x:c>
      <x:c r="H1772" t="str">
        <x:v>P005</x:v>
      </x:c>
      <x:c r="I1772" t="str">
        <x:v>Chana Dal 5kg</x:v>
      </x:c>
      <x:c r="J1772" t="str">
        <x:v>Pulses</x:v>
      </x:c>
      <x:c r="K1772" t="str">
        <x:v>Local Select</x:v>
      </x:c>
      <x:c r="L1772" s="22" t="n">
        <x:v>520</x:v>
      </x:c>
      <x:c r="M1772" t="n">
        <x:v>18</x:v>
      </x:c>
      <x:c r="N1772" s="24" t="n">
        <x:v>0.05</x:v>
      </x:c>
      <x:c r="O1772" s="22" t="n">
        <x:f>L1772*M1772</x:f>
        <x:v>9360</x:v>
      </x:c>
      <x:c r="P1772" s="22" t="n">
        <x:f>O1772*(1-N1772)</x:f>
        <x:v>8892</x:v>
      </x:c>
      <x:c r="Q1772" s="22" t="n">
        <x:v>455</x:v>
      </x:c>
      <x:c r="R1772" s="22" t="n">
        <x:f>Q1772*M1772</x:f>
        <x:v>8190</x:v>
      </x:c>
      <x:c r="S1772" s="22" t="n">
        <x:f>P1772-R1772</x:f>
        <x:v>702</x:v>
      </x:c>
      <x:c r="T1772" t="str">
        <x:v>UPI</x:v>
      </x:c>
      <x:c r="U1772" t="str">
        <x:v>Paid</x:v>
      </x:c>
      <x:c r="V1772" t="str">
        <x:v>Delivered</x:v>
      </x:c>
      <x:c r="W1772" t="n">
        <x:v>0</x:v>
      </x:c>
      <x:c r="X1772" t="str"/>
      <x:c r="Y1772" t="str">
        <x:v>Referral</x:v>
      </x:c>
    </x:row>
    <x:row r="1773">
      <x:c r="A1773" t="str">
        <x:v>O001772</x:v>
      </x:c>
      <x:c r="B1773" s="20" t="n">
        <x:v>46035</x:v>
      </x:c>
      <x:c r="C1773" t="str">
        <x:v>C0169</x:v>
      </x:c>
      <x:c r="D1773" t="str">
        <x:v>Grand Mart 169</x:v>
      </x:c>
      <x:c r="E1773" t="str">
        <x:v>Canteen</x:v>
      </x:c>
      <x:c r="F1773" t="str">
        <x:v>Mangaluru</x:v>
      </x:c>
      <x:c r="G1773" t="str">
        <x:v>Vikram</x:v>
      </x:c>
      <x:c r="H1773" t="str">
        <x:v>P005</x:v>
      </x:c>
      <x:c r="I1773" t="str">
        <x:v>Chana Dal 5kg</x:v>
      </x:c>
      <x:c r="J1773" t="str">
        <x:v>Pulses</x:v>
      </x:c>
      <x:c r="K1773" t="str">
        <x:v>Local Select</x:v>
      </x:c>
      <x:c r="L1773" s="22" t="n">
        <x:v>520</x:v>
      </x:c>
      <x:c r="M1773" t="n">
        <x:v>6</x:v>
      </x:c>
      <x:c r="N1773" s="24" t="n">
        <x:v>0.03</x:v>
      </x:c>
      <x:c r="O1773" s="22" t="n">
        <x:f>L1773*M1773</x:f>
        <x:v>3120</x:v>
      </x:c>
      <x:c r="P1773" s="22" t="n">
        <x:f>O1773*(1-N1773)</x:f>
        <x:v>3026.4</x:v>
      </x:c>
      <x:c r="Q1773" s="22" t="n">
        <x:v>455</x:v>
      </x:c>
      <x:c r="R1773" s="22" t="n">
        <x:f>Q1773*M1773</x:f>
        <x:v>2730</x:v>
      </x:c>
      <x:c r="S1773" s="22" t="n">
        <x:f>P1773-R1773</x:f>
        <x:v>296.4000000000001</x:v>
      </x:c>
      <x:c r="T1773" t="str">
        <x:v>Cash</x:v>
      </x:c>
      <x:c r="U1773" t="str">
        <x:v>Paid</x:v>
      </x:c>
      <x:c r="V1773" t="str">
        <x:v>Delayed</x:v>
      </x:c>
      <x:c r="W1773" t="n">
        <x:v>0</x:v>
      </x:c>
      <x:c r="X1773" t="str"/>
      <x:c r="Y1773" t="str">
        <x:v>Field Visit</x:v>
      </x:c>
    </x:row>
    <x:row r="1774">
      <x:c r="A1774" t="str">
        <x:v>O001773</x:v>
      </x:c>
      <x:c r="B1774" s="20" t="n">
        <x:v>46241</x:v>
      </x:c>
      <x:c r="C1774" t="str">
        <x:v>C0070</x:v>
      </x:c>
      <x:c r="D1774" t="str">
        <x:v>Metro Stores 70</x:v>
      </x:c>
      <x:c r="E1774" t="str">
        <x:v>Cafe</x:v>
      </x:c>
      <x:c r="F1774" t="str">
        <x:v>Bengaluru</x:v>
      </x:c>
      <x:c r="G1774" t="str">
        <x:v>Vikram</x:v>
      </x:c>
      <x:c r="H1774" t="str">
        <x:v>P002</x:v>
      </x:c>
      <x:c r="I1774" t="str">
        <x:v>Sona Masoori Rice 25kg</x:v>
      </x:c>
      <x:c r="J1774" t="str">
        <x:v>Staples</x:v>
      </x:c>
      <x:c r="K1774" t="str">
        <x:v>Fortune</x:v>
      </x:c>
      <x:c r="L1774" s="22" t="n">
        <x:v>1320</x:v>
      </x:c>
      <x:c r="M1774" t="n">
        <x:v>10</x:v>
      </x:c>
      <x:c r="N1774" s="24" t="n">
        <x:v>0.05</x:v>
      </x:c>
      <x:c r="O1774" s="22" t="n">
        <x:f>L1774*M1774</x:f>
        <x:v>13200</x:v>
      </x:c>
      <x:c r="P1774" s="22" t="n">
        <x:f>O1774*(1-N1774)</x:f>
        <x:v>12540</x:v>
      </x:c>
      <x:c r="Q1774" s="22" t="n">
        <x:v>1160</x:v>
      </x:c>
      <x:c r="R1774" s="22" t="n">
        <x:f>Q1774*M1774</x:f>
        <x:v>11600</x:v>
      </x:c>
      <x:c r="S1774" s="22" t="n">
        <x:f>P1774-R1774</x:f>
        <x:v>940</x:v>
      </x:c>
      <x:c r="T1774" t="str">
        <x:v>Bank Transfer</x:v>
      </x:c>
      <x:c r="U1774" t="str">
        <x:v>Paid</x:v>
      </x:c>
      <x:c r="V1774" t="str">
        <x:v>Delivered</x:v>
      </x:c>
      <x:c r="W1774" t="n">
        <x:v>0</x:v>
      </x:c>
      <x:c r="X1774" t="str"/>
      <x:c r="Y1774" t="str">
        <x:v>Field Visit</x:v>
      </x:c>
    </x:row>
    <x:row r="1775">
      <x:c r="A1775" t="str">
        <x:v>O001774</x:v>
      </x:c>
      <x:c r="B1775" s="20" t="n">
        <x:v>45658</x:v>
      </x:c>
      <x:c r="C1775" t="str">
        <x:v>C0016</x:v>
      </x:c>
      <x:c r="D1775" t="str">
        <x:v>Royal Canteen 16</x:v>
      </x:c>
      <x:c r="E1775" t="str">
        <x:v>Cafe</x:v>
      </x:c>
      <x:c r="F1775" t="str">
        <x:v>Davanagere</x:v>
      </x:c>
      <x:c r="G1775" t="str">
        <x:v>Megha</x:v>
      </x:c>
      <x:c r="H1775" t="str">
        <x:v>P031</x:v>
      </x:c>
      <x:c r="I1775" t="str">
        <x:v>Chilli Sauce 700g</x:v>
      </x:c>
      <x:c r="J1775" t="str">
        <x:v>Condiments</x:v>
      </x:c>
      <x:c r="K1775" t="str">
        <x:v>Ching's</x:v>
      </x:c>
      <x:c r="L1775" s="22" t="n">
        <x:v>130</x:v>
      </x:c>
      <x:c r="M1775" t="n">
        <x:v>9</x:v>
      </x:c>
      <x:c r="N1775" s="24" t="n">
        <x:v>0</x:v>
      </x:c>
      <x:c r="O1775" s="22" t="n">
        <x:f>L1775*M1775</x:f>
        <x:v>1170</x:v>
      </x:c>
      <x:c r="P1775" s="22" t="n">
        <x:f>O1775*(1-N1775)</x:f>
        <x:v>1170</x:v>
      </x:c>
      <x:c r="Q1775" s="22" t="n">
        <x:v>112</x:v>
      </x:c>
      <x:c r="R1775" s="22" t="n">
        <x:f>Q1775*M1775</x:f>
        <x:v>1008</x:v>
      </x:c>
      <x:c r="S1775" s="22" t="n">
        <x:f>P1775-R1775</x:f>
        <x:v>162</x:v>
      </x:c>
      <x:c r="T1775" t="str">
        <x:v>Bank Transfer</x:v>
      </x:c>
      <x:c r="U1775" t="str">
        <x:v>Paid</x:v>
      </x:c>
      <x:c r="V1775" t="str">
        <x:v>Delivered</x:v>
      </x:c>
      <x:c r="W1775" t="n">
        <x:v>0</x:v>
      </x:c>
      <x:c r="X1775" t="str"/>
      <x:c r="Y1775" t="str">
        <x:v>Outbound Call</x:v>
      </x:c>
    </x:row>
    <x:row r="1776">
      <x:c r="A1776" t="str">
        <x:v>O001775</x:v>
      </x:c>
      <x:c r="B1776" s="20" t="n">
        <x:v>45756</x:v>
      </x:c>
      <x:c r="C1776" t="str">
        <x:v>C0167</x:v>
      </x:c>
      <x:c r="D1776" t="str">
        <x:v>Foodie Canteen 167</x:v>
      </x:c>
      <x:c r="E1776" t="str">
        <x:v>Canteen</x:v>
      </x:c>
      <x:c r="F1776" t="str">
        <x:v>Bengaluru</x:v>
      </x:c>
      <x:c r="G1776" t="str">
        <x:v>Megha</x:v>
      </x:c>
      <x:c r="H1776" t="str">
        <x:v>P032</x:v>
      </x:c>
      <x:c r="I1776" t="str">
        <x:v>Soy Sauce 700g</x:v>
      </x:c>
      <x:c r="J1776" t="str">
        <x:v>Condiments</x:v>
      </x:c>
      <x:c r="K1776" t="str">
        <x:v>Ching's</x:v>
      </x:c>
      <x:c r="L1776" s="22" t="n">
        <x:v>118</x:v>
      </x:c>
      <x:c r="M1776" t="n">
        <x:v>9</x:v>
      </x:c>
      <x:c r="N1776" s="24" t="n">
        <x:v>0.05</x:v>
      </x:c>
      <x:c r="O1776" s="22" t="n">
        <x:f>L1776*M1776</x:f>
        <x:v>1062</x:v>
      </x:c>
      <x:c r="P1776" s="22" t="n">
        <x:f>O1776*(1-N1776)</x:f>
        <x:v>1008.9</x:v>
      </x:c>
      <x:c r="Q1776" s="22" t="n">
        <x:v>101</x:v>
      </x:c>
      <x:c r="R1776" s="22" t="n">
        <x:f>Q1776*M1776</x:f>
        <x:v>909</x:v>
      </x:c>
      <x:c r="S1776" s="22" t="n">
        <x:f>P1776-R1776</x:f>
        <x:v>99.89999999999998</x:v>
      </x:c>
      <x:c r="T1776" t="str">
        <x:v>UPI</x:v>
      </x:c>
      <x:c r="U1776" t="str">
        <x:v>Paid</x:v>
      </x:c>
      <x:c r="V1776" t="str">
        <x:v>Delivered</x:v>
      </x:c>
      <x:c r="W1776" t="n">
        <x:v>0</x:v>
      </x:c>
      <x:c r="X1776" t="str"/>
      <x:c r="Y1776" t="str">
        <x:v>Existing Customer</x:v>
      </x:c>
    </x:row>
    <x:row r="1777">
      <x:c r="A1777" t="str">
        <x:v>O001776</x:v>
      </x:c>
      <x:c r="B1777" s="20" t="n">
        <x:v>46071</x:v>
      </x:c>
      <x:c r="C1777" t="str">
        <x:v>C0184</x:v>
      </x:c>
      <x:c r="D1777" t="str">
        <x:v>Namma Restaurant 184</x:v>
      </x:c>
      <x:c r="E1777" t="str">
        <x:v>Cafe</x:v>
      </x:c>
      <x:c r="F1777" t="str">
        <x:v>Hubballi</x:v>
      </x:c>
      <x:c r="G1777" t="str">
        <x:v>Arjun</x:v>
      </x:c>
      <x:c r="H1777" t="str">
        <x:v>P028</x:v>
      </x:c>
      <x:c r="I1777" t="str">
        <x:v>Cookies 200g</x:v>
      </x:c>
      <x:c r="J1777" t="str">
        <x:v>Snacks</x:v>
      </x:c>
      <x:c r="K1777" t="str">
        <x:v>Britannia</x:v>
      </x:c>
      <x:c r="L1777" s="22" t="n">
        <x:v>55</x:v>
      </x:c>
      <x:c r="M1777" t="n">
        <x:v>30</x:v>
      </x:c>
      <x:c r="N1777" s="24" t="n">
        <x:v>0.03</x:v>
      </x:c>
      <x:c r="O1777" s="22" t="n">
        <x:f>L1777*M1777</x:f>
        <x:v>1650</x:v>
      </x:c>
      <x:c r="P1777" s="22" t="n">
        <x:f>O1777*(1-N1777)</x:f>
        <x:v>1600.5</x:v>
      </x:c>
      <x:c r="Q1777" s="22" t="n">
        <x:v>42</x:v>
      </x:c>
      <x:c r="R1777" s="22" t="n">
        <x:f>Q1777*M1777</x:f>
        <x:v>1260</x:v>
      </x:c>
      <x:c r="S1777" s="22" t="n">
        <x:f>P1777-R1777</x:f>
        <x:v>340.5</x:v>
      </x:c>
      <x:c r="T1777" t="str">
        <x:v>Credit</x:v>
      </x:c>
      <x:c r="U1777" t="str">
        <x:v>Paid</x:v>
      </x:c>
      <x:c r="V1777" t="str">
        <x:v>Delayed</x:v>
      </x:c>
      <x:c r="W1777" t="n">
        <x:v>0</x:v>
      </x:c>
      <x:c r="X1777" t="str"/>
      <x:c r="Y1777" t="str">
        <x:v>Existing Customer</x:v>
      </x:c>
    </x:row>
    <x:row r="1778">
      <x:c r="A1778" t="str">
        <x:v>O001777</x:v>
      </x:c>
      <x:c r="B1778" s="20" t="n">
        <x:v>46094</x:v>
      </x:c>
      <x:c r="C1778" t="str">
        <x:v>C0019</x:v>
      </x:c>
      <x:c r="D1778" t="str">
        <x:v>Grand Kitchen 19</x:v>
      </x:c>
      <x:c r="E1778" t="str">
        <x:v>Supermarket</x:v>
      </x:c>
      <x:c r="F1778" t="str">
        <x:v>Tumakuru</x:v>
      </x:c>
      <x:c r="G1778" t="str">
        <x:v>Sneha</x:v>
      </x:c>
      <x:c r="H1778" t="str">
        <x:v>P011</x:v>
      </x:c>
      <x:c r="I1778" t="str">
        <x:v>Salt 1kg</x:v>
      </x:c>
      <x:c r="J1778" t="str">
        <x:v>Staples</x:v>
      </x:c>
      <x:c r="K1778" t="str">
        <x:v>Tata</x:v>
      </x:c>
      <x:c r="L1778" s="22" t="n">
        <x:v>28</x:v>
      </x:c>
      <x:c r="M1778" t="n">
        <x:v>32</x:v>
      </x:c>
      <x:c r="N1778" s="24" t="n">
        <x:v>0.08</x:v>
      </x:c>
      <x:c r="O1778" s="22" t="n">
        <x:f>L1778*M1778</x:f>
        <x:v>896</x:v>
      </x:c>
      <x:c r="P1778" s="22" t="n">
        <x:f>O1778*(1-N1778)</x:f>
        <x:v>824.32</x:v>
      </x:c>
      <x:c r="Q1778" s="22" t="n">
        <x:v>23</x:v>
      </x:c>
      <x:c r="R1778" s="22" t="n">
        <x:f>Q1778*M1778</x:f>
        <x:v>736</x:v>
      </x:c>
      <x:c r="S1778" s="22" t="n">
        <x:f>P1778-R1778</x:f>
        <x:v>88.32000000000005</x:v>
      </x:c>
      <x:c r="T1778" t="str">
        <x:v>Bank Transfer</x:v>
      </x:c>
      <x:c r="U1778" t="str">
        <x:v>Paid</x:v>
      </x:c>
      <x:c r="V1778" t="str">
        <x:v>Delayed</x:v>
      </x:c>
      <x:c r="W1778" t="n">
        <x:v>0</x:v>
      </x:c>
      <x:c r="X1778" t="str"/>
      <x:c r="Y1778" t="str">
        <x:v>Referral</x:v>
      </x:c>
    </x:row>
    <x:row r="1779">
      <x:c r="A1779" t="str">
        <x:v>O001778</x:v>
      </x:c>
      <x:c r="B1779" s="20" t="n">
        <x:v>45686</x:v>
      </x:c>
      <x:c r="C1779" t="str">
        <x:v>C0167</x:v>
      </x:c>
      <x:c r="D1779" t="str">
        <x:v>Foodie Canteen 167</x:v>
      </x:c>
      <x:c r="E1779" t="str">
        <x:v>Canteen</x:v>
      </x:c>
      <x:c r="F1779" t="str">
        <x:v>Bengaluru</x:v>
      </x:c>
      <x:c r="G1779" t="str">
        <x:v>Megha</x:v>
      </x:c>
      <x:c r="H1779" t="str">
        <x:v>P025</x:v>
      </x:c>
      <x:c r="I1779" t="str">
        <x:v>Potato Chips 100g</x:v>
      </x:c>
      <x:c r="J1779" t="str">
        <x:v>Snacks</x:v>
      </x:c>
      <x:c r="K1779" t="str">
        <x:v>Lay's</x:v>
      </x:c>
      <x:c r="L1779" s="22" t="n">
        <x:v>35</x:v>
      </x:c>
      <x:c r="M1779" t="n">
        <x:v>30</x:v>
      </x:c>
      <x:c r="N1779" s="24" t="n">
        <x:v>0.1</x:v>
      </x:c>
      <x:c r="O1779" s="22" t="n">
        <x:f>L1779*M1779</x:f>
        <x:v>1050</x:v>
      </x:c>
      <x:c r="P1779" s="22" t="n">
        <x:f>O1779*(1-N1779)</x:f>
        <x:v>945</x:v>
      </x:c>
      <x:c r="Q1779" s="22" t="n">
        <x:v>27</x:v>
      </x:c>
      <x:c r="R1779" s="22" t="n">
        <x:f>Q1779*M1779</x:f>
        <x:v>810</x:v>
      </x:c>
      <x:c r="S1779" s="22" t="n">
        <x:f>P1779-R1779</x:f>
        <x:v>135</x:v>
      </x:c>
      <x:c r="T1779" t="str">
        <x:v>Credit</x:v>
      </x:c>
      <x:c r="U1779" t="str">
        <x:v>Paid</x:v>
      </x:c>
      <x:c r="V1779" t="str">
        <x:v>Delivered</x:v>
      </x:c>
      <x:c r="W1779" t="n">
        <x:v>0</x:v>
      </x:c>
      <x:c r="X1779" t="str"/>
      <x:c r="Y1779" t="str">
        <x:v>Referral</x:v>
      </x:c>
    </x:row>
    <x:row r="1780">
      <x:c r="A1780" t="str">
        <x:v>O001779</x:v>
      </x:c>
      <x:c r="B1780" s="20" t="n">
        <x:v>45974</x:v>
      </x:c>
      <x:c r="C1780" t="str">
        <x:v>C0176</x:v>
      </x:c>
      <x:c r="D1780" t="str">
        <x:v>Cafe Kitchen 176</x:v>
      </x:c>
      <x:c r="E1780" t="str">
        <x:v>Kirana</x:v>
      </x:c>
      <x:c r="F1780" t="str">
        <x:v>Mysuru</x:v>
      </x:c>
      <x:c r="G1780" t="str">
        <x:v>Priya</x:v>
      </x:c>
      <x:c r="H1780" t="str">
        <x:v>P037</x:v>
      </x:c>
      <x:c r="I1780" t="str">
        <x:v>Frozen Peas 1kg</x:v>
      </x:c>
      <x:c r="J1780" t="str">
        <x:v>Frozen</x:v>
      </x:c>
      <x:c r="K1780" t="str">
        <x:v>Safal</x:v>
      </x:c>
      <x:c r="L1780" s="22" t="n">
        <x:v>155</x:v>
      </x:c>
      <x:c r="M1780" t="n">
        <x:v>13</x:v>
      </x:c>
      <x:c r="N1780" s="24" t="n">
        <x:v>0</x:v>
      </x:c>
      <x:c r="O1780" s="22" t="n">
        <x:f>L1780*M1780</x:f>
        <x:v>2015</x:v>
      </x:c>
      <x:c r="P1780" s="22" t="n">
        <x:f>O1780*(1-N1780)</x:f>
        <x:v>2015</x:v>
      </x:c>
      <x:c r="Q1780" s="22" t="n">
        <x:v>138</x:v>
      </x:c>
      <x:c r="R1780" s="22" t="n">
        <x:f>Q1780*M1780</x:f>
        <x:v>1794</x:v>
      </x:c>
      <x:c r="S1780" s="22" t="n">
        <x:f>P1780-R1780</x:f>
        <x:v>221</x:v>
      </x:c>
      <x:c r="T1780" t="str">
        <x:v>UPI</x:v>
      </x:c>
      <x:c r="U1780" t="str">
        <x:v>Paid</x:v>
      </x:c>
      <x:c r="V1780" t="str">
        <x:v>Delivered</x:v>
      </x:c>
      <x:c r="W1780" t="n">
        <x:v>0</x:v>
      </x:c>
      <x:c r="X1780" t="str"/>
      <x:c r="Y1780" t="str">
        <x:v>Referral</x:v>
      </x:c>
    </x:row>
    <x:row r="1781">
      <x:c r="A1781" t="str">
        <x:v>O001780</x:v>
      </x:c>
      <x:c r="B1781" s="20" t="n">
        <x:v>46250</x:v>
      </x:c>
      <x:c r="C1781" t="str">
        <x:v>C0132</x:v>
      </x:c>
      <x:c r="D1781" t="str">
        <x:v>Classic Stores 132</x:v>
      </x:c>
      <x:c r="E1781" t="str">
        <x:v>Cafe</x:v>
      </x:c>
      <x:c r="F1781" t="str">
        <x:v>Mysuru</x:v>
      </x:c>
      <x:c r="G1781" t="str">
        <x:v>Megha</x:v>
      </x:c>
      <x:c r="H1781" t="str">
        <x:v>P044</x:v>
      </x:c>
      <x:c r="I1781" t="str">
        <x:v>Chicken Curry Cut 1kg</x:v>
      </x:c>
      <x:c r="J1781" t="str">
        <x:v>Protein</x:v>
      </x:c>
      <x:c r="K1781" t="str">
        <x:v>FreshToHome</x:v>
      </x:c>
      <x:c r="L1781" s="22" t="n">
        <x:v>230</x:v>
      </x:c>
      <x:c r="M1781" t="n">
        <x:v>22</x:v>
      </x:c>
      <x:c r="N1781" s="24" t="n">
        <x:v>0</x:v>
      </x:c>
      <x:c r="O1781" s="22" t="n">
        <x:f>L1781*M1781</x:f>
        <x:v>5060</x:v>
      </x:c>
      <x:c r="P1781" s="22" t="n">
        <x:f>O1781*(1-N1781)</x:f>
        <x:v>5060</x:v>
      </x:c>
      <x:c r="Q1781" s="22" t="n">
        <x:v>205</x:v>
      </x:c>
      <x:c r="R1781" s="22" t="n">
        <x:f>Q1781*M1781</x:f>
        <x:v>4510</x:v>
      </x:c>
      <x:c r="S1781" s="22" t="n">
        <x:f>P1781-R1781</x:f>
        <x:v>550</x:v>
      </x:c>
      <x:c r="T1781" t="str">
        <x:v>UPI</x:v>
      </x:c>
      <x:c r="U1781" t="str">
        <x:v>Paid</x:v>
      </x:c>
      <x:c r="V1781" t="str">
        <x:v>Delivered</x:v>
      </x:c>
      <x:c r="W1781" t="n">
        <x:v>0</x:v>
      </x:c>
      <x:c r="X1781" t="str"/>
      <x:c r="Y1781" t="str">
        <x:v>Outbound Call</x:v>
      </x:c>
    </x:row>
    <x:row r="1782">
      <x:c r="A1782" t="str">
        <x:v>O001781</x:v>
      </x:c>
      <x:c r="B1782" s="20" t="n">
        <x:v>46015</x:v>
      </x:c>
      <x:c r="C1782" t="str">
        <x:v>C0007</x:v>
      </x:c>
      <x:c r="D1782" t="str">
        <x:v>Mysore Stores 7</x:v>
      </x:c>
      <x:c r="E1782" t="str">
        <x:v>Kirana</x:v>
      </x:c>
      <x:c r="F1782" t="str">
        <x:v>Bengaluru</x:v>
      </x:c>
      <x:c r="G1782" t="str">
        <x:v>Kavya</x:v>
      </x:c>
      <x:c r="H1782" t="str">
        <x:v>P050</x:v>
      </x:c>
      <x:c r="I1782" t="str">
        <x:v>Lemon 5kg</x:v>
      </x:c>
      <x:c r="J1782" t="str">
        <x:v>Fresh Produce</x:v>
      </x:c>
      <x:c r="K1782" t="str">
        <x:v>Local Market</x:v>
      </x:c>
      <x:c r="L1782" s="22" t="n">
        <x:v>360</x:v>
      </x:c>
      <x:c r="M1782" t="n">
        <x:v>32</x:v>
      </x:c>
      <x:c r="N1782" s="24" t="n">
        <x:v>0.05</x:v>
      </x:c>
      <x:c r="O1782" s="22" t="n">
        <x:f>L1782*M1782</x:f>
        <x:v>11520</x:v>
      </x:c>
      <x:c r="P1782" s="22" t="n">
        <x:f>O1782*(1-N1782)</x:f>
        <x:v>10944</x:v>
      </x:c>
      <x:c r="Q1782" s="22" t="n">
        <x:v>300</x:v>
      </x:c>
      <x:c r="R1782" s="22" t="n">
        <x:f>Q1782*M1782</x:f>
        <x:v>9600</x:v>
      </x:c>
      <x:c r="S1782" s="22" t="n">
        <x:f>P1782-R1782</x:f>
        <x:v>1344</x:v>
      </x:c>
      <x:c r="T1782" t="str">
        <x:v>Cash</x:v>
      </x:c>
      <x:c r="U1782" t="str">
        <x:v>Overdue</x:v>
      </x:c>
      <x:c r="V1782" t="str">
        <x:v>Delayed</x:v>
      </x:c>
      <x:c r="W1782" t="n">
        <x:v>0</x:v>
      </x:c>
      <x:c r="X1782" t="str"/>
      <x:c r="Y1782" t="str">
        <x:v>WhatsApp</x:v>
      </x:c>
    </x:row>
    <x:row r="1783">
      <x:c r="A1783" t="str">
        <x:v>O001782</x:v>
      </x:c>
      <x:c r="B1783" s="20" t="n">
        <x:v>45665</x:v>
      </x:c>
      <x:c r="C1783" t="str">
        <x:v>C0073</x:v>
      </x:c>
      <x:c r="D1783" t="str">
        <x:v>Annapurna Stores 73</x:v>
      </x:c>
      <x:c r="E1783" t="str">
        <x:v>Restaurant</x:v>
      </x:c>
      <x:c r="F1783" t="str">
        <x:v>Davanagere</x:v>
      </x:c>
      <x:c r="G1783" t="str">
        <x:v>Kavya</x:v>
      </x:c>
      <x:c r="H1783" t="str">
        <x:v>P031</x:v>
      </x:c>
      <x:c r="I1783" t="str">
        <x:v>Chilli Sauce 700g</x:v>
      </x:c>
      <x:c r="J1783" t="str">
        <x:v>Condiments</x:v>
      </x:c>
      <x:c r="K1783" t="str">
        <x:v>Ching's</x:v>
      </x:c>
      <x:c r="L1783" s="22" t="n">
        <x:v>130</x:v>
      </x:c>
      <x:c r="M1783" t="n">
        <x:v>4</x:v>
      </x:c>
      <x:c r="N1783" s="24" t="n">
        <x:v>0</x:v>
      </x:c>
      <x:c r="O1783" s="22" t="n">
        <x:f>L1783*M1783</x:f>
        <x:v>520</x:v>
      </x:c>
      <x:c r="P1783" s="22" t="n">
        <x:f>O1783*(1-N1783)</x:f>
        <x:v>520</x:v>
      </x:c>
      <x:c r="Q1783" s="22" t="n">
        <x:v>112</x:v>
      </x:c>
      <x:c r="R1783" s="22" t="n">
        <x:f>Q1783*M1783</x:f>
        <x:v>448</x:v>
      </x:c>
      <x:c r="S1783" s="22" t="n">
        <x:f>P1783-R1783</x:f>
        <x:v>72</x:v>
      </x:c>
      <x:c r="T1783" t="str">
        <x:v>Credit</x:v>
      </x:c>
      <x:c r="U1783" t="str">
        <x:v>Overdue</x:v>
      </x:c>
      <x:c r="V1783" t="str">
        <x:v>Delivered</x:v>
      </x:c>
      <x:c r="W1783" t="n">
        <x:v>0</x:v>
      </x:c>
      <x:c r="X1783" t="str"/>
      <x:c r="Y1783" t="str">
        <x:v>Field Visit</x:v>
      </x:c>
    </x:row>
    <x:row r="1784">
      <x:c r="A1784" t="str">
        <x:v>O001783</x:v>
      </x:c>
      <x:c r="B1784" s="20" t="n">
        <x:v>46166</x:v>
      </x:c>
      <x:c r="C1784" t="str">
        <x:v>C0196</x:v>
      </x:c>
      <x:c r="D1784" t="str">
        <x:v>Namma Mart 196</x:v>
      </x:c>
      <x:c r="E1784" t="str">
        <x:v>Cafe</x:v>
      </x:c>
      <x:c r="F1784" t="str">
        <x:v>Mangaluru</x:v>
      </x:c>
      <x:c r="G1784" t="str">
        <x:v>Kavya</x:v>
      </x:c>
      <x:c r="H1784" t="str">
        <x:v>P028</x:v>
      </x:c>
      <x:c r="I1784" t="str">
        <x:v>Cookies 200g</x:v>
      </x:c>
      <x:c r="J1784" t="str">
        <x:v>Snacks</x:v>
      </x:c>
      <x:c r="K1784" t="str">
        <x:v>Britannia</x:v>
      </x:c>
      <x:c r="L1784" s="22" t="n">
        <x:v>55</x:v>
      </x:c>
      <x:c r="M1784" t="n">
        <x:v>26</x:v>
      </x:c>
      <x:c r="N1784" s="24" t="n">
        <x:v>0.02</x:v>
      </x:c>
      <x:c r="O1784" s="22" t="n">
        <x:f>L1784*M1784</x:f>
        <x:v>1430</x:v>
      </x:c>
      <x:c r="P1784" s="22" t="n">
        <x:f>O1784*(1-N1784)</x:f>
        <x:v>1401.3999999999999</x:v>
      </x:c>
      <x:c r="Q1784" s="22" t="n">
        <x:v>42</x:v>
      </x:c>
      <x:c r="R1784" s="22" t="n">
        <x:f>Q1784*M1784</x:f>
        <x:v>1092</x:v>
      </x:c>
      <x:c r="S1784" s="22" t="n">
        <x:f>P1784-R1784</x:f>
        <x:v>309.39999999999986</x:v>
      </x:c>
      <x:c r="T1784" t="str">
        <x:v>Credit</x:v>
      </x:c>
      <x:c r="U1784" t="str">
        <x:v>Paid</x:v>
      </x:c>
      <x:c r="V1784" t="str">
        <x:v>Delivered</x:v>
      </x:c>
      <x:c r="W1784" t="n">
        <x:v>0</x:v>
      </x:c>
      <x:c r="X1784" t="str"/>
      <x:c r="Y1784" t="str">
        <x:v>Outbound Call</x:v>
      </x:c>
    </x:row>
    <x:row r="1785">
      <x:c r="A1785" t="str">
        <x:v>O001784</x:v>
      </x:c>
      <x:c r="B1785" s="20" t="n">
        <x:v>46013</x:v>
      </x:c>
      <x:c r="C1785" t="str">
        <x:v>C0052</x:v>
      </x:c>
      <x:c r="D1785" t="str">
        <x:v>Sagar Canteen 52</x:v>
      </x:c>
      <x:c r="E1785" t="str">
        <x:v>Kirana</x:v>
      </x:c>
      <x:c r="F1785" t="str">
        <x:v>Mysuru</x:v>
      </x:c>
      <x:c r="G1785" t="str">
        <x:v>Kavya</x:v>
      </x:c>
      <x:c r="H1785" t="str">
        <x:v>P025</x:v>
      </x:c>
      <x:c r="I1785" t="str">
        <x:v>Potato Chips 100g</x:v>
      </x:c>
      <x:c r="J1785" t="str">
        <x:v>Snacks</x:v>
      </x:c>
      <x:c r="K1785" t="str">
        <x:v>Lay's</x:v>
      </x:c>
      <x:c r="L1785" s="22" t="n">
        <x:v>35</x:v>
      </x:c>
      <x:c r="M1785" t="n">
        <x:v>28</x:v>
      </x:c>
      <x:c r="N1785" s="24" t="n">
        <x:v>0.05</x:v>
      </x:c>
      <x:c r="O1785" s="22" t="n">
        <x:f>L1785*M1785</x:f>
        <x:v>980</x:v>
      </x:c>
      <x:c r="P1785" s="22" t="n">
        <x:f>O1785*(1-N1785)</x:f>
        <x:v>931</x:v>
      </x:c>
      <x:c r="Q1785" s="22" t="n">
        <x:v>27</x:v>
      </x:c>
      <x:c r="R1785" s="22" t="n">
        <x:f>Q1785*M1785</x:f>
        <x:v>756</x:v>
      </x:c>
      <x:c r="S1785" s="22" t="n">
        <x:f>P1785-R1785</x:f>
        <x:v>175</x:v>
      </x:c>
      <x:c r="T1785" t="str">
        <x:v>UPI</x:v>
      </x:c>
      <x:c r="U1785" t="str">
        <x:v>Paid</x:v>
      </x:c>
      <x:c r="V1785" t="str">
        <x:v>Delivered</x:v>
      </x:c>
      <x:c r="W1785" t="n">
        <x:v>4</x:v>
      </x:c>
      <x:c r="X1785" t="str">
        <x:v>Wrong Item</x:v>
      </x:c>
      <x:c r="Y1785" t="str">
        <x:v>Field Visit</x:v>
      </x:c>
    </x:row>
    <x:row r="1786">
      <x:c r="A1786" t="str">
        <x:v>O001785</x:v>
      </x:c>
      <x:c r="B1786" s="20" t="n">
        <x:v>45861</x:v>
      </x:c>
      <x:c r="C1786" t="str">
        <x:v>C0057</x:v>
      </x:c>
      <x:c r="D1786" t="str">
        <x:v>Annapurna Foods 57</x:v>
      </x:c>
      <x:c r="E1786" t="str">
        <x:v>Kirana</x:v>
      </x:c>
      <x:c r="F1786" t="str">
        <x:v>Mysuru</x:v>
      </x:c>
      <x:c r="G1786" t="str">
        <x:v>Priya</x:v>
      </x:c>
      <x:c r="H1786" t="str">
        <x:v>P031</x:v>
      </x:c>
      <x:c r="I1786" t="str">
        <x:v>Chilli Sauce 700g</x:v>
      </x:c>
      <x:c r="J1786" t="str">
        <x:v>Condiments</x:v>
      </x:c>
      <x:c r="K1786" t="str">
        <x:v>Ching's</x:v>
      </x:c>
      <x:c r="L1786" s="22" t="n">
        <x:v>130</x:v>
      </x:c>
      <x:c r="M1786" t="n">
        <x:v>3</x:v>
      </x:c>
      <x:c r="N1786" s="24" t="n">
        <x:v>0.03</x:v>
      </x:c>
      <x:c r="O1786" s="22" t="n">
        <x:f>L1786*M1786</x:f>
        <x:v>390</x:v>
      </x:c>
      <x:c r="P1786" s="22" t="n">
        <x:f>O1786*(1-N1786)</x:f>
        <x:v>378.3</x:v>
      </x:c>
      <x:c r="Q1786" s="22" t="n">
        <x:v>112</x:v>
      </x:c>
      <x:c r="R1786" s="22" t="n">
        <x:f>Q1786*M1786</x:f>
        <x:v>336</x:v>
      </x:c>
      <x:c r="S1786" s="22" t="n">
        <x:f>P1786-R1786</x:f>
        <x:v>42.30000000000001</x:v>
      </x:c>
      <x:c r="T1786" t="str">
        <x:v>Credit</x:v>
      </x:c>
      <x:c r="U1786" t="str">
        <x:v>Overdue</x:v>
      </x:c>
      <x:c r="V1786" t="str">
        <x:v>Delayed</x:v>
      </x:c>
      <x:c r="W1786" t="n">
        <x:v>0</x:v>
      </x:c>
      <x:c r="X1786" t="str"/>
      <x:c r="Y1786" t="str">
        <x:v>WhatsApp</x:v>
      </x:c>
    </x:row>
    <x:row r="1787">
      <x:c r="A1787" t="str">
        <x:v>O001786</x:v>
      </x:c>
      <x:c r="B1787" s="20" t="n">
        <x:v>46109</x:v>
      </x:c>
      <x:c r="C1787" t="str">
        <x:v>C0247</x:v>
      </x:c>
      <x:c r="D1787" t="str">
        <x:v>Fresh Canteen 247</x:v>
      </x:c>
      <x:c r="E1787" t="str">
        <x:v>Restaurant</x:v>
      </x:c>
      <x:c r="F1787" t="str">
        <x:v>Hubballi</x:v>
      </x:c>
      <x:c r="G1787" t="str">
        <x:v>Kavya</x:v>
      </x:c>
      <x:c r="H1787" t="str">
        <x:v>P030</x:v>
      </x:c>
      <x:c r="I1787" t="str">
        <x:v>Mayonnaise 1kg</x:v>
      </x:c>
      <x:c r="J1787" t="str">
        <x:v>Condiments</x:v>
      </x:c>
      <x:c r="K1787" t="str">
        <x:v>Veeba</x:v>
      </x:c>
      <x:c r="L1787" s="22" t="n">
        <x:v>210</x:v>
      </x:c>
      <x:c r="M1787" t="n">
        <x:v>6</x:v>
      </x:c>
      <x:c r="N1787" s="24" t="n">
        <x:v>0</x:v>
      </x:c>
      <x:c r="O1787" s="22" t="n">
        <x:f>L1787*M1787</x:f>
        <x:v>1260</x:v>
      </x:c>
      <x:c r="P1787" s="22" t="n">
        <x:f>O1787*(1-N1787)</x:f>
        <x:v>1260</x:v>
      </x:c>
      <x:c r="Q1787" s="22" t="n">
        <x:v>185</x:v>
      </x:c>
      <x:c r="R1787" s="22" t="n">
        <x:f>Q1787*M1787</x:f>
        <x:v>1110</x:v>
      </x:c>
      <x:c r="S1787" s="22" t="n">
        <x:f>P1787-R1787</x:f>
        <x:v>150</x:v>
      </x:c>
      <x:c r="T1787" t="str">
        <x:v>Cash</x:v>
      </x:c>
      <x:c r="U1787" t="str">
        <x:v>Paid</x:v>
      </x:c>
      <x:c r="V1787" t="str">
        <x:v>Cancelled</x:v>
      </x:c>
      <x:c r="W1787" t="n">
        <x:v>6</x:v>
      </x:c>
      <x:c r="X1787" t="str">
        <x:v>Cancelled Order</x:v>
      </x:c>
      <x:c r="Y1787" t="str">
        <x:v>WhatsApp</x:v>
      </x:c>
    </x:row>
    <x:row r="1788">
      <x:c r="A1788" t="str">
        <x:v>O001787</x:v>
      </x:c>
      <x:c r="B1788" s="20" t="n">
        <x:v>46037</x:v>
      </x:c>
      <x:c r="C1788" t="str">
        <x:v>C0053</x:v>
      </x:c>
      <x:c r="D1788" t="str">
        <x:v>Fresh Cafe 53</x:v>
      </x:c>
      <x:c r="E1788" t="str">
        <x:v>Supermarket</x:v>
      </x:c>
      <x:c r="F1788" t="str">
        <x:v>Mangaluru</x:v>
      </x:c>
      <x:c r="G1788" t="str">
        <x:v>Megha</x:v>
      </x:c>
      <x:c r="H1788" t="str">
        <x:v>P004</x:v>
      </x:c>
      <x:c r="I1788" t="str">
        <x:v>Toor Dal 5kg</x:v>
      </x:c>
      <x:c r="J1788" t="str">
        <x:v>Pulses</x:v>
      </x:c>
      <x:c r="K1788" t="str">
        <x:v>Tata Sampann</x:v>
      </x:c>
      <x:c r="L1788" s="22" t="n">
        <x:v>780</x:v>
      </x:c>
      <x:c r="M1788" t="n">
        <x:v>38</x:v>
      </x:c>
      <x:c r="N1788" s="24" t="n">
        <x:v>0.03</x:v>
      </x:c>
      <x:c r="O1788" s="22" t="n">
        <x:f>L1788*M1788</x:f>
        <x:v>29640</x:v>
      </x:c>
      <x:c r="P1788" s="22" t="n">
        <x:f>O1788*(1-N1788)</x:f>
        <x:v>28750.8</x:v>
      </x:c>
      <x:c r="Q1788" s="22" t="n">
        <x:v>695</x:v>
      </x:c>
      <x:c r="R1788" s="22" t="n">
        <x:f>Q1788*M1788</x:f>
        <x:v>26410</x:v>
      </x:c>
      <x:c r="S1788" s="22" t="n">
        <x:f>P1788-R1788</x:f>
        <x:v>2340.7999999999993</x:v>
      </x:c>
      <x:c r="T1788" t="str">
        <x:v>UPI</x:v>
      </x:c>
      <x:c r="U1788" t="str">
        <x:v>Paid</x:v>
      </x:c>
      <x:c r="V1788" t="str">
        <x:v>Delivered</x:v>
      </x:c>
      <x:c r="W1788" t="n">
        <x:v>0</x:v>
      </x:c>
      <x:c r="X1788" t="str"/>
      <x:c r="Y1788" t="str">
        <x:v>Existing Customer</x:v>
      </x:c>
    </x:row>
    <x:row r="1789">
      <x:c r="A1789" t="str">
        <x:v>O001788</x:v>
      </x:c>
      <x:c r="B1789" s="20" t="n">
        <x:v>45869</x:v>
      </x:c>
      <x:c r="C1789" t="str">
        <x:v>C0106</x:v>
      </x:c>
      <x:c r="D1789" t="str">
        <x:v>Classic Mart 106</x:v>
      </x:c>
      <x:c r="E1789" t="str">
        <x:v>Restaurant</x:v>
      </x:c>
      <x:c r="F1789" t="str">
        <x:v>Mysuru</x:v>
      </x:c>
      <x:c r="G1789" t="str">
        <x:v>Kavya</x:v>
      </x:c>
      <x:c r="H1789" t="str">
        <x:v>P044</x:v>
      </x:c>
      <x:c r="I1789" t="str">
        <x:v>Chicken Curry Cut 1kg</x:v>
      </x:c>
      <x:c r="J1789" t="str">
        <x:v>Protein</x:v>
      </x:c>
      <x:c r="K1789" t="str">
        <x:v>FreshToHome</x:v>
      </x:c>
      <x:c r="L1789" s="22" t="n">
        <x:v>230</x:v>
      </x:c>
      <x:c r="M1789" t="n">
        <x:v>28</x:v>
      </x:c>
      <x:c r="N1789" s="24" t="n">
        <x:v>0.02</x:v>
      </x:c>
      <x:c r="O1789" s="22" t="n">
        <x:f>L1789*M1789</x:f>
        <x:v>6440</x:v>
      </x:c>
      <x:c r="P1789" s="22" t="n">
        <x:f>O1789*(1-N1789)</x:f>
        <x:v>6311.2</x:v>
      </x:c>
      <x:c r="Q1789" s="22" t="n">
        <x:v>205</x:v>
      </x:c>
      <x:c r="R1789" s="22" t="n">
        <x:f>Q1789*M1789</x:f>
        <x:v>5740</x:v>
      </x:c>
      <x:c r="S1789" s="22" t="n">
        <x:f>P1789-R1789</x:f>
        <x:v>571.1999999999998</x:v>
      </x:c>
      <x:c r="T1789" t="str">
        <x:v>UPI</x:v>
      </x:c>
      <x:c r="U1789" t="str">
        <x:v>Pending</x:v>
      </x:c>
      <x:c r="V1789" t="str">
        <x:v>Delayed</x:v>
      </x:c>
      <x:c r="W1789" t="n">
        <x:v>0</x:v>
      </x:c>
      <x:c r="X1789" t="str"/>
      <x:c r="Y1789" t="str">
        <x:v>Field Visit</x:v>
      </x:c>
    </x:row>
    <x:row r="1790">
      <x:c r="A1790" t="str">
        <x:v>O001789</x:v>
      </x:c>
      <x:c r="B1790" s="20" t="n">
        <x:v>46241</x:v>
      </x:c>
      <x:c r="C1790" t="str">
        <x:v>C0159</x:v>
      </x:c>
      <x:c r="D1790" t="str">
        <x:v>Darshini Foods 159</x:v>
      </x:c>
      <x:c r="E1790" t="str">
        <x:v>Canteen</x:v>
      </x:c>
      <x:c r="F1790" t="str">
        <x:v>Tumakuru</x:v>
      </x:c>
      <x:c r="G1790" t="str">
        <x:v>Kavya</x:v>
      </x:c>
      <x:c r="H1790" t="str">
        <x:v>P036</x:v>
      </x:c>
      <x:c r="I1790" t="str">
        <x:v>Garam Masala 500g</x:v>
      </x:c>
      <x:c r="J1790" t="str">
        <x:v>Spices</x:v>
      </x:c>
      <x:c r="K1790" t="str">
        <x:v>MDH</x:v>
      </x:c>
      <x:c r="L1790" s="22" t="n">
        <x:v>265</x:v>
      </x:c>
      <x:c r="M1790" t="n">
        <x:v>22</x:v>
      </x:c>
      <x:c r="N1790" s="24" t="n">
        <x:v>0.05</x:v>
      </x:c>
      <x:c r="O1790" s="22" t="n">
        <x:f>L1790*M1790</x:f>
        <x:v>5830</x:v>
      </x:c>
      <x:c r="P1790" s="22" t="n">
        <x:f>O1790*(1-N1790)</x:f>
        <x:v>5538.5</x:v>
      </x:c>
      <x:c r="Q1790" s="22" t="n">
        <x:v>230</x:v>
      </x:c>
      <x:c r="R1790" s="22" t="n">
        <x:f>Q1790*M1790</x:f>
        <x:v>5060</x:v>
      </x:c>
      <x:c r="S1790" s="22" t="n">
        <x:f>P1790-R1790</x:f>
        <x:v>478.5</x:v>
      </x:c>
      <x:c r="T1790" t="str">
        <x:v>Cash</x:v>
      </x:c>
      <x:c r="U1790" t="str">
        <x:v>Overdue</x:v>
      </x:c>
      <x:c r="V1790" t="str">
        <x:v>Delivered</x:v>
      </x:c>
      <x:c r="W1790" t="n">
        <x:v>0</x:v>
      </x:c>
      <x:c r="X1790" t="str"/>
      <x:c r="Y1790" t="str">
        <x:v>Referral</x:v>
      </x:c>
    </x:row>
    <x:row r="1791">
      <x:c r="A1791" t="str">
        <x:v>O001790</x:v>
      </x:c>
      <x:c r="B1791" s="20" t="n">
        <x:v>45926</x:v>
      </x:c>
      <x:c r="C1791" t="str">
        <x:v>C0085</x:v>
      </x:c>
      <x:c r="D1791" t="str">
        <x:v>Green Hotel 85</x:v>
      </x:c>
      <x:c r="E1791" t="str">
        <x:v>Kirana</x:v>
      </x:c>
      <x:c r="F1791" t="str">
        <x:v>Mysuru</x:v>
      </x:c>
      <x:c r="G1791" t="str">
        <x:v>Arjun</x:v>
      </x:c>
      <x:c r="H1791" t="str">
        <x:v>P049</x:v>
      </x:c>
      <x:c r="I1791" t="str">
        <x:v>Apple 10kg</x:v>
      </x:c>
      <x:c r="J1791" t="str">
        <x:v>Fresh Produce</x:v>
      </x:c>
      <x:c r="K1791" t="str">
        <x:v>Local Market</x:v>
      </x:c>
      <x:c r="L1791" s="22" t="n">
        <x:v>1450</x:v>
      </x:c>
      <x:c r="M1791" t="n">
        <x:v>12</x:v>
      </x:c>
      <x:c r="N1791" s="24" t="n">
        <x:v>0</x:v>
      </x:c>
      <x:c r="O1791" s="22" t="n">
        <x:f>L1791*M1791</x:f>
        <x:v>17400</x:v>
      </x:c>
      <x:c r="P1791" s="22" t="n">
        <x:f>O1791*(1-N1791)</x:f>
        <x:v>17400</x:v>
      </x:c>
      <x:c r="Q1791" s="22" t="n">
        <x:v>1280</x:v>
      </x:c>
      <x:c r="R1791" s="22" t="n">
        <x:f>Q1791*M1791</x:f>
        <x:v>15360</x:v>
      </x:c>
      <x:c r="S1791" s="22" t="n">
        <x:f>P1791-R1791</x:f>
        <x:v>2040</x:v>
      </x:c>
      <x:c r="T1791" t="str">
        <x:v>Cash</x:v>
      </x:c>
      <x:c r="U1791" t="str">
        <x:v>Pending</x:v>
      </x:c>
      <x:c r="V1791" t="str">
        <x:v>Delivered</x:v>
      </x:c>
      <x:c r="W1791" t="n">
        <x:v>0</x:v>
      </x:c>
      <x:c r="X1791" t="str"/>
      <x:c r="Y1791" t="str">
        <x:v>WhatsApp</x:v>
      </x:c>
    </x:row>
    <x:row r="1792">
      <x:c r="A1792" t="str">
        <x:v>O001791</x:v>
      </x:c>
      <x:c r="B1792" s="20" t="n">
        <x:v>45908</x:v>
      </x:c>
      <x:c r="C1792" t="str">
        <x:v>C0155</x:v>
      </x:c>
      <x:c r="D1792" t="str">
        <x:v>New Mart 155</x:v>
      </x:c>
      <x:c r="E1792" t="str">
        <x:v>Hotel</x:v>
      </x:c>
      <x:c r="F1792" t="str">
        <x:v>Mysuru</x:v>
      </x:c>
      <x:c r="G1792" t="str">
        <x:v>Sneha</x:v>
      </x:c>
      <x:c r="H1792" t="str">
        <x:v>P038</x:v>
      </x:c>
      <x:c r="I1792" t="str">
        <x:v>French Fries 2.5kg</x:v>
      </x:c>
      <x:c r="J1792" t="str">
        <x:v>Frozen</x:v>
      </x:c>
      <x:c r="K1792" t="str">
        <x:v>McCain</x:v>
      </x:c>
      <x:c r="L1792" s="22" t="n">
        <x:v>360</x:v>
      </x:c>
      <x:c r="M1792" t="n">
        <x:v>39</x:v>
      </x:c>
      <x:c r="N1792" s="24" t="n">
        <x:v>0</x:v>
      </x:c>
      <x:c r="O1792" s="22" t="n">
        <x:f>L1792*M1792</x:f>
        <x:v>14040</x:v>
      </x:c>
      <x:c r="P1792" s="22" t="n">
        <x:f>O1792*(1-N1792)</x:f>
        <x:v>14040</x:v>
      </x:c>
      <x:c r="Q1792" s="22" t="n">
        <x:v>315</x:v>
      </x:c>
      <x:c r="R1792" s="22" t="n">
        <x:f>Q1792*M1792</x:f>
        <x:v>12285</x:v>
      </x:c>
      <x:c r="S1792" s="22" t="n">
        <x:f>P1792-R1792</x:f>
        <x:v>1755</x:v>
      </x:c>
      <x:c r="T1792" t="str">
        <x:v>Cash</x:v>
      </x:c>
      <x:c r="U1792" t="str">
        <x:v>Paid</x:v>
      </x:c>
      <x:c r="V1792" t="str">
        <x:v>Delivered</x:v>
      </x:c>
      <x:c r="W1792" t="n">
        <x:v>0</x:v>
      </x:c>
      <x:c r="X1792" t="str"/>
      <x:c r="Y1792" t="str">
        <x:v>Existing Customer</x:v>
      </x:c>
    </x:row>
    <x:row r="1793">
      <x:c r="A1793" t="str">
        <x:v>O001792</x:v>
      </x:c>
      <x:c r="B1793" s="20" t="n">
        <x:v>45928</x:v>
      </x:c>
      <x:c r="C1793" t="str">
        <x:v>C0225</x:v>
      </x:c>
      <x:c r="D1793" t="str">
        <x:v>Darshini Mart 225</x:v>
      </x:c>
      <x:c r="E1793" t="str">
        <x:v>Restaurant</x:v>
      </x:c>
      <x:c r="F1793" t="str">
        <x:v>Davanagere</x:v>
      </x:c>
      <x:c r="G1793" t="str">
        <x:v>Kavya</x:v>
      </x:c>
      <x:c r="H1793" t="str">
        <x:v>P027</x:v>
      </x:c>
      <x:c r="I1793" t="str">
        <x:v>Biscuits 120g</x:v>
      </x:c>
      <x:c r="J1793" t="str">
        <x:v>Snacks</x:v>
      </x:c>
      <x:c r="K1793" t="str">
        <x:v>Parle-G</x:v>
      </x:c>
      <x:c r="L1793" s="22" t="n">
        <x:v>12</x:v>
      </x:c>
      <x:c r="M1793" t="n">
        <x:v>2</x:v>
      </x:c>
      <x:c r="N1793" s="24" t="n">
        <x:v>0.03</x:v>
      </x:c>
      <x:c r="O1793" s="22" t="n">
        <x:f>L1793*M1793</x:f>
        <x:v>24</x:v>
      </x:c>
      <x:c r="P1793" s="22" t="n">
        <x:f>O1793*(1-N1793)</x:f>
        <x:v>23.28</x:v>
      </x:c>
      <x:c r="Q1793" s="22" t="n">
        <x:v>9</x:v>
      </x:c>
      <x:c r="R1793" s="22" t="n">
        <x:f>Q1793*M1793</x:f>
        <x:v>18</x:v>
      </x:c>
      <x:c r="S1793" s="22" t="n">
        <x:f>P1793-R1793</x:f>
        <x:v>5.280000000000001</x:v>
      </x:c>
      <x:c r="T1793" t="str">
        <x:v>Bank Transfer</x:v>
      </x:c>
      <x:c r="U1793" t="str">
        <x:v>Paid</x:v>
      </x:c>
      <x:c r="V1793" t="str">
        <x:v>Delivered</x:v>
      </x:c>
      <x:c r="W1793" t="n">
        <x:v>0</x:v>
      </x:c>
      <x:c r="X1793" t="str"/>
      <x:c r="Y1793" t="str">
        <x:v>Existing Customer</x:v>
      </x:c>
    </x:row>
    <x:row r="1794">
      <x:c r="A1794" t="str">
        <x:v>O001793</x:v>
      </x:c>
      <x:c r="B1794" s="20" t="n">
        <x:v>46146</x:v>
      </x:c>
      <x:c r="C1794" t="str">
        <x:v>C0155</x:v>
      </x:c>
      <x:c r="D1794" t="str">
        <x:v>New Mart 155</x:v>
      </x:c>
      <x:c r="E1794" t="str">
        <x:v>Hotel</x:v>
      </x:c>
      <x:c r="F1794" t="str">
        <x:v>Mysuru</x:v>
      </x:c>
      <x:c r="G1794" t="str">
        <x:v>Sneha</x:v>
      </x:c>
      <x:c r="H1794" t="str">
        <x:v>P047</x:v>
      </x:c>
      <x:c r="I1794" t="str">
        <x:v>Tomato 25kg</x:v>
      </x:c>
      <x:c r="J1794" t="str">
        <x:v>Fresh Produce</x:v>
      </x:c>
      <x:c r="K1794" t="str">
        <x:v>Local Market</x:v>
      </x:c>
      <x:c r="L1794" s="22" t="n">
        <x:v>950</x:v>
      </x:c>
      <x:c r="M1794" t="n">
        <x:v>14</x:v>
      </x:c>
      <x:c r="N1794" s="24" t="n">
        <x:v>0.1</x:v>
      </x:c>
      <x:c r="O1794" s="22" t="n">
        <x:f>L1794*M1794</x:f>
        <x:v>13300</x:v>
      </x:c>
      <x:c r="P1794" s="22" t="n">
        <x:f>O1794*(1-N1794)</x:f>
        <x:v>11970</x:v>
      </x:c>
      <x:c r="Q1794" s="22" t="n">
        <x:v>810</x:v>
      </x:c>
      <x:c r="R1794" s="22" t="n">
        <x:f>Q1794*M1794</x:f>
        <x:v>11340</x:v>
      </x:c>
      <x:c r="S1794" s="22" t="n">
        <x:f>P1794-R1794</x:f>
        <x:v>630</x:v>
      </x:c>
      <x:c r="T1794" t="str">
        <x:v>Cash</x:v>
      </x:c>
      <x:c r="U1794" t="str">
        <x:v>Paid</x:v>
      </x:c>
      <x:c r="V1794" t="str">
        <x:v>Delivered</x:v>
      </x:c>
      <x:c r="W1794" t="n">
        <x:v>0</x:v>
      </x:c>
      <x:c r="X1794" t="str"/>
      <x:c r="Y1794" t="str">
        <x:v>Outbound Call</x:v>
      </x:c>
    </x:row>
    <x:row r="1795">
      <x:c r="A1795" t="str">
        <x:v>O001794</x:v>
      </x:c>
      <x:c r="B1795" s="20" t="n">
        <x:v>46114</x:v>
      </x:c>
      <x:c r="C1795" t="str">
        <x:v>C0195</x:v>
      </x:c>
      <x:c r="D1795" t="str">
        <x:v>Classic Stores 195</x:v>
      </x:c>
      <x:c r="E1795" t="str">
        <x:v>Canteen</x:v>
      </x:c>
      <x:c r="F1795" t="str">
        <x:v>Davanagere</x:v>
      </x:c>
      <x:c r="G1795" t="str">
        <x:v>Kavya</x:v>
      </x:c>
      <x:c r="H1795" t="str">
        <x:v>P037</x:v>
      </x:c>
      <x:c r="I1795" t="str">
        <x:v>Frozen Peas 1kg</x:v>
      </x:c>
      <x:c r="J1795" t="str">
        <x:v>Frozen</x:v>
      </x:c>
      <x:c r="K1795" t="str">
        <x:v>Safal</x:v>
      </x:c>
      <x:c r="L1795" s="22" t="n">
        <x:v>155</x:v>
      </x:c>
      <x:c r="M1795" t="n">
        <x:v>9</x:v>
      </x:c>
      <x:c r="N1795" s="24" t="n">
        <x:v>0</x:v>
      </x:c>
      <x:c r="O1795" s="22" t="n">
        <x:f>L1795*M1795</x:f>
        <x:v>1395</x:v>
      </x:c>
      <x:c r="P1795" s="22" t="n">
        <x:f>O1795*(1-N1795)</x:f>
        <x:v>1395</x:v>
      </x:c>
      <x:c r="Q1795" s="22" t="n">
        <x:v>138</x:v>
      </x:c>
      <x:c r="R1795" s="22" t="n">
        <x:f>Q1795*M1795</x:f>
        <x:v>1242</x:v>
      </x:c>
      <x:c r="S1795" s="22" t="n">
        <x:f>P1795-R1795</x:f>
        <x:v>153</x:v>
      </x:c>
      <x:c r="T1795" t="str">
        <x:v>Bank Transfer</x:v>
      </x:c>
      <x:c r="U1795" t="str">
        <x:v>Paid</x:v>
      </x:c>
      <x:c r="V1795" t="str">
        <x:v>Delivered</x:v>
      </x:c>
      <x:c r="W1795" t="n">
        <x:v>0</x:v>
      </x:c>
      <x:c r="X1795" t="str"/>
      <x:c r="Y1795" t="str">
        <x:v>WhatsApp</x:v>
      </x:c>
    </x:row>
    <x:row r="1796">
      <x:c r="A1796" t="str">
        <x:v>O001795</x:v>
      </x:c>
      <x:c r="B1796" s="20" t="n">
        <x:v>46014</x:v>
      </x:c>
      <x:c r="C1796" t="str">
        <x:v>C0231</x:v>
      </x:c>
      <x:c r="D1796" t="str">
        <x:v>Metro Canteen 231</x:v>
      </x:c>
      <x:c r="E1796" t="str">
        <x:v>Canteen</x:v>
      </x:c>
      <x:c r="F1796" t="str">
        <x:v>Mangaluru</x:v>
      </x:c>
      <x:c r="G1796" t="str">
        <x:v>Megha</x:v>
      </x:c>
      <x:c r="H1796" t="str">
        <x:v>P034</x:v>
      </x:c>
      <x:c r="I1796" t="str">
        <x:v>Chilli Powder 1kg</x:v>
      </x:c>
      <x:c r="J1796" t="str">
        <x:v>Spices</x:v>
      </x:c>
      <x:c r="K1796" t="str">
        <x:v>MDH</x:v>
      </x:c>
      <x:c r="L1796" s="22" t="n">
        <x:v>340</x:v>
      </x:c>
      <x:c r="M1796" t="n">
        <x:v>13</x:v>
      </x:c>
      <x:c r="N1796" s="24" t="n">
        <x:v>0.02</x:v>
      </x:c>
      <x:c r="O1796" s="22" t="n">
        <x:f>L1796*M1796</x:f>
        <x:v>4420</x:v>
      </x:c>
      <x:c r="P1796" s="22" t="n">
        <x:f>O1796*(1-N1796)</x:f>
        <x:v>4331.6</x:v>
      </x:c>
      <x:c r="Q1796" s="22" t="n">
        <x:v>295</x:v>
      </x:c>
      <x:c r="R1796" s="22" t="n">
        <x:f>Q1796*M1796</x:f>
        <x:v>3835</x:v>
      </x:c>
      <x:c r="S1796" s="22" t="n">
        <x:f>P1796-R1796</x:f>
        <x:v>496.60000000000036</x:v>
      </x:c>
      <x:c r="T1796" t="str">
        <x:v>Credit</x:v>
      </x:c>
      <x:c r="U1796" t="str">
        <x:v>Paid</x:v>
      </x:c>
      <x:c r="V1796" t="str">
        <x:v>Delivered</x:v>
      </x:c>
      <x:c r="W1796" t="n">
        <x:v>0</x:v>
      </x:c>
      <x:c r="X1796" t="str"/>
      <x:c r="Y1796" t="str">
        <x:v>Referral</x:v>
      </x:c>
    </x:row>
    <x:row r="1797">
      <x:c r="A1797" t="str">
        <x:v>O001796</x:v>
      </x:c>
      <x:c r="B1797" s="20" t="n">
        <x:v>45908</x:v>
      </x:c>
      <x:c r="C1797" t="str">
        <x:v>C0033</x:v>
      </x:c>
      <x:c r="D1797" t="str">
        <x:v>Shree Canteen 33</x:v>
      </x:c>
      <x:c r="E1797" t="str">
        <x:v>Canteen</x:v>
      </x:c>
      <x:c r="F1797" t="str">
        <x:v>Mangaluru</x:v>
      </x:c>
      <x:c r="G1797" t="str">
        <x:v>Imran</x:v>
      </x:c>
      <x:c r="H1797" t="str">
        <x:v>P003</x:v>
      </x:c>
      <x:c r="I1797" t="str">
        <x:v>Basmati Rice 5kg</x:v>
      </x:c>
      <x:c r="J1797" t="str">
        <x:v>Staples</x:v>
      </x:c>
      <x:c r="K1797" t="str">
        <x:v>India Gate</x:v>
      </x:c>
      <x:c r="L1797" s="22" t="n">
        <x:v>690</x:v>
      </x:c>
      <x:c r="M1797" t="n">
        <x:v>1</x:v>
      </x:c>
      <x:c r="N1797" s="24" t="n">
        <x:v>0</x:v>
      </x:c>
      <x:c r="O1797" s="22" t="n">
        <x:f>L1797*M1797</x:f>
        <x:v>690</x:v>
      </x:c>
      <x:c r="P1797" s="22" t="n">
        <x:f>O1797*(1-N1797)</x:f>
        <x:v>690</x:v>
      </x:c>
      <x:c r="Q1797" s="22" t="n">
        <x:v>610</x:v>
      </x:c>
      <x:c r="R1797" s="22" t="n">
        <x:f>Q1797*M1797</x:f>
        <x:v>610</x:v>
      </x:c>
      <x:c r="S1797" s="22" t="n">
        <x:f>P1797-R1797</x:f>
        <x:v>80</x:v>
      </x:c>
      <x:c r="T1797" t="str">
        <x:v>Cash</x:v>
      </x:c>
      <x:c r="U1797" t="str">
        <x:v>Paid</x:v>
      </x:c>
      <x:c r="V1797" t="str">
        <x:v>Delivered</x:v>
      </x:c>
      <x:c r="W1797" t="n">
        <x:v>0</x:v>
      </x:c>
      <x:c r="X1797" t="str"/>
      <x:c r="Y1797" t="str">
        <x:v>Outbound Call</x:v>
      </x:c>
    </x:row>
    <x:row r="1798">
      <x:c r="A1798" t="str">
        <x:v>O001797</x:v>
      </x:c>
      <x:c r="B1798" s="20" t="n">
        <x:v>46238</x:v>
      </x:c>
      <x:c r="C1798" t="str">
        <x:v>C0157</x:v>
      </x:c>
      <x:c r="D1798" t="str">
        <x:v>Fresh Canteen 157</x:v>
      </x:c>
      <x:c r="E1798" t="str">
        <x:v>Kirana</x:v>
      </x:c>
      <x:c r="F1798" t="str">
        <x:v>Mangaluru</x:v>
      </x:c>
      <x:c r="G1798" t="str">
        <x:v>Priya</x:v>
      </x:c>
      <x:c r="H1798" t="str">
        <x:v>P015</x:v>
      </x:c>
      <x:c r="I1798" t="str">
        <x:v>Milk 1L</x:v>
      </x:c>
      <x:c r="J1798" t="str">
        <x:v>Dairy</x:v>
      </x:c>
      <x:c r="K1798" t="str">
        <x:v>Nandini</x:v>
      </x:c>
      <x:c r="L1798" s="22" t="n">
        <x:v>48</x:v>
      </x:c>
      <x:c r="M1798" t="n">
        <x:v>4</x:v>
      </x:c>
      <x:c r="N1798" s="24" t="n">
        <x:v>0.05</x:v>
      </x:c>
      <x:c r="O1798" s="22" t="n">
        <x:f>L1798*M1798</x:f>
        <x:v>192</x:v>
      </x:c>
      <x:c r="P1798" s="22" t="n">
        <x:f>O1798*(1-N1798)</x:f>
        <x:v>182.39999999999998</x:v>
      </x:c>
      <x:c r="Q1798" s="22" t="n">
        <x:v>43</x:v>
      </x:c>
      <x:c r="R1798" s="22" t="n">
        <x:f>Q1798*M1798</x:f>
        <x:v>172</x:v>
      </x:c>
      <x:c r="S1798" s="22" t="n">
        <x:f>P1798-R1798</x:f>
        <x:v>10.399999999999977</x:v>
      </x:c>
      <x:c r="T1798" t="str">
        <x:v>Bank Transfer</x:v>
      </x:c>
      <x:c r="U1798" t="str">
        <x:v>Pending</x:v>
      </x:c>
      <x:c r="V1798" t="str">
        <x:v>Delivered</x:v>
      </x:c>
      <x:c r="W1798" t="n">
        <x:v>0</x:v>
      </x:c>
      <x:c r="X1798" t="str"/>
      <x:c r="Y1798" t="str">
        <x:v>Outbound Call</x:v>
      </x:c>
    </x:row>
    <x:row r="1799">
      <x:c r="A1799" t="str">
        <x:v>O001798</x:v>
      </x:c>
      <x:c r="B1799" s="20" t="n">
        <x:v>45999</x:v>
      </x:c>
      <x:c r="C1799" t="str">
        <x:v>C0222</x:v>
      </x:c>
      <x:c r="D1799" t="str">
        <x:v>Sri Cafe 222</x:v>
      </x:c>
      <x:c r="E1799" t="str">
        <x:v>Kirana</x:v>
      </x:c>
      <x:c r="F1799" t="str">
        <x:v>Mangaluru</x:v>
      </x:c>
      <x:c r="G1799" t="str">
        <x:v>Arjun</x:v>
      </x:c>
      <x:c r="H1799" t="str">
        <x:v>P030</x:v>
      </x:c>
      <x:c r="I1799" t="str">
        <x:v>Mayonnaise 1kg</x:v>
      </x:c>
      <x:c r="J1799" t="str">
        <x:v>Condiments</x:v>
      </x:c>
      <x:c r="K1799" t="str">
        <x:v>Veeba</x:v>
      </x:c>
      <x:c r="L1799" s="22" t="n">
        <x:v>210</x:v>
      </x:c>
      <x:c r="M1799" t="n">
        <x:v>26</x:v>
      </x:c>
      <x:c r="N1799" s="24" t="n">
        <x:v>0.08</x:v>
      </x:c>
      <x:c r="O1799" s="22" t="n">
        <x:f>L1799*M1799</x:f>
        <x:v>5460</x:v>
      </x:c>
      <x:c r="P1799" s="22" t="n">
        <x:f>O1799*(1-N1799)</x:f>
        <x:v>5023.2</x:v>
      </x:c>
      <x:c r="Q1799" s="22" t="n">
        <x:v>185</x:v>
      </x:c>
      <x:c r="R1799" s="22" t="n">
        <x:f>Q1799*M1799</x:f>
        <x:v>4810</x:v>
      </x:c>
      <x:c r="S1799" s="22" t="n">
        <x:f>P1799-R1799</x:f>
        <x:v>213.19999999999982</x:v>
      </x:c>
      <x:c r="T1799" t="str">
        <x:v>Credit</x:v>
      </x:c>
      <x:c r="U1799" t="str">
        <x:v>Paid</x:v>
      </x:c>
      <x:c r="V1799" t="str">
        <x:v>Delayed</x:v>
      </x:c>
      <x:c r="W1799" t="n">
        <x:v>0</x:v>
      </x:c>
      <x:c r="X1799" t="str"/>
      <x:c r="Y1799" t="str">
        <x:v>Field Visit</x:v>
      </x:c>
    </x:row>
    <x:row r="1800">
      <x:c r="A1800" t="str">
        <x:v>O001799</x:v>
      </x:c>
      <x:c r="B1800" s="20" t="n">
        <x:v>45660</x:v>
      </x:c>
      <x:c r="C1800" t="str">
        <x:v>C0215</x:v>
      </x:c>
      <x:c r="D1800" t="str">
        <x:v>Annapurna Restaurant 215</x:v>
      </x:c>
      <x:c r="E1800" t="str">
        <x:v>Supermarket</x:v>
      </x:c>
      <x:c r="F1800" t="str">
        <x:v>Bengaluru</x:v>
      </x:c>
      <x:c r="G1800" t="str">
        <x:v>Vikram</x:v>
      </x:c>
      <x:c r="H1800" t="str">
        <x:v>P031</x:v>
      </x:c>
      <x:c r="I1800" t="str">
        <x:v>Chilli Sauce 700g</x:v>
      </x:c>
      <x:c r="J1800" t="str">
        <x:v>Condiments</x:v>
      </x:c>
      <x:c r="K1800" t="str">
        <x:v>Ching's</x:v>
      </x:c>
      <x:c r="L1800" s="22" t="n">
        <x:v>130</x:v>
      </x:c>
      <x:c r="M1800" t="n">
        <x:v>36</x:v>
      </x:c>
      <x:c r="N1800" s="24" t="n">
        <x:v>0.08</x:v>
      </x:c>
      <x:c r="O1800" s="22" t="n">
        <x:f>L1800*M1800</x:f>
        <x:v>4680</x:v>
      </x:c>
      <x:c r="P1800" s="22" t="n">
        <x:f>O1800*(1-N1800)</x:f>
        <x:v>4305.6</x:v>
      </x:c>
      <x:c r="Q1800" s="22" t="n">
        <x:v>112</x:v>
      </x:c>
      <x:c r="R1800" s="22" t="n">
        <x:f>Q1800*M1800</x:f>
        <x:v>4032</x:v>
      </x:c>
      <x:c r="S1800" s="22" t="n">
        <x:f>P1800-R1800</x:f>
        <x:v>273.60000000000036</x:v>
      </x:c>
      <x:c r="T1800" t="str">
        <x:v>UPI</x:v>
      </x:c>
      <x:c r="U1800" t="str">
        <x:v>Overdue</x:v>
      </x:c>
      <x:c r="V1800" t="str">
        <x:v>Delayed</x:v>
      </x:c>
      <x:c r="W1800" t="n">
        <x:v>0</x:v>
      </x:c>
      <x:c r="X1800" t="str"/>
      <x:c r="Y1800" t="str">
        <x:v>Referral</x:v>
      </x:c>
    </x:row>
    <x:row r="1801">
      <x:c r="A1801" t="str">
        <x:v>O001800</x:v>
      </x:c>
      <x:c r="B1801" s="20" t="n">
        <x:v>46027</x:v>
      </x:c>
      <x:c r="C1801" t="str">
        <x:v>C0067</x:v>
      </x:c>
      <x:c r="D1801" t="str">
        <x:v>Royal Restaurant 67</x:v>
      </x:c>
      <x:c r="E1801" t="str">
        <x:v>Supermarket</x:v>
      </x:c>
      <x:c r="F1801" t="str">
        <x:v>Tumakuru</x:v>
      </x:c>
      <x:c r="G1801" t="str">
        <x:v>Sneha</x:v>
      </x:c>
      <x:c r="H1801" t="str">
        <x:v>P046</x:v>
      </x:c>
      <x:c r="I1801" t="str">
        <x:v>Potato 25kg</x:v>
      </x:c>
      <x:c r="J1801" t="str">
        <x:v>Fresh Produce</x:v>
      </x:c>
      <x:c r="K1801" t="str">
        <x:v>Local Market</x:v>
      </x:c>
      <x:c r="L1801" s="22" t="n">
        <x:v>700</x:v>
      </x:c>
      <x:c r="M1801" t="n">
        <x:v>36</x:v>
      </x:c>
      <x:c r="N1801" s="24" t="n">
        <x:v>0.02</x:v>
      </x:c>
      <x:c r="O1801" s="22" t="n">
        <x:f>L1801*M1801</x:f>
        <x:v>25200</x:v>
      </x:c>
      <x:c r="P1801" s="22" t="n">
        <x:f>O1801*(1-N1801)</x:f>
        <x:v>24696</x:v>
      </x:c>
      <x:c r="Q1801" s="22" t="n">
        <x:v>610</x:v>
      </x:c>
      <x:c r="R1801" s="22" t="n">
        <x:f>Q1801*M1801</x:f>
        <x:v>21960</x:v>
      </x:c>
      <x:c r="S1801" s="22" t="n">
        <x:f>P1801-R1801</x:f>
        <x:v>2736</x:v>
      </x:c>
      <x:c r="T1801" t="str">
        <x:v>Cash</x:v>
      </x:c>
      <x:c r="U1801" t="str">
        <x:v>Paid</x:v>
      </x:c>
      <x:c r="V1801" t="str">
        <x:v>Delivered</x:v>
      </x:c>
      <x:c r="W1801" t="n">
        <x:v>0</x:v>
      </x:c>
      <x:c r="X1801" t="str"/>
      <x:c r="Y1801" t="str">
        <x:v>Outbound Call</x:v>
      </x:c>
    </x:row>
    <x:row r="1802">
      <x:c r="A1802" t="str">
        <x:v>O001801</x:v>
      </x:c>
      <x:c r="B1802" s="20" t="n">
        <x:v>46221</x:v>
      </x:c>
      <x:c r="C1802" t="str">
        <x:v>C0240</x:v>
      </x:c>
      <x:c r="D1802" t="str">
        <x:v>Green Foods 240</x:v>
      </x:c>
      <x:c r="E1802" t="str">
        <x:v>Restaurant</x:v>
      </x:c>
      <x:c r="F1802" t="str">
        <x:v>Davanagere</x:v>
      </x:c>
      <x:c r="G1802" t="str">
        <x:v>Vikram</x:v>
      </x:c>
      <x:c r="H1802" t="str">
        <x:v>P035</x:v>
      </x:c>
      <x:c r="I1802" t="str">
        <x:v>Coriander Powder 1kg</x:v>
      </x:c>
      <x:c r="J1802" t="str">
        <x:v>Spices</x:v>
      </x:c>
      <x:c r="K1802" t="str">
        <x:v>Everest</x:v>
      </x:c>
      <x:c r="L1802" s="22" t="n">
        <x:v>280</x:v>
      </x:c>
      <x:c r="M1802" t="n">
        <x:v>24</x:v>
      </x:c>
      <x:c r="N1802" s="24" t="n">
        <x:v>0</x:v>
      </x:c>
      <x:c r="O1802" s="22" t="n">
        <x:f>L1802*M1802</x:f>
        <x:v>6720</x:v>
      </x:c>
      <x:c r="P1802" s="22" t="n">
        <x:f>O1802*(1-N1802)</x:f>
        <x:v>6720</x:v>
      </x:c>
      <x:c r="Q1802" s="22" t="n">
        <x:v>245</x:v>
      </x:c>
      <x:c r="R1802" s="22" t="n">
        <x:f>Q1802*M1802</x:f>
        <x:v>5880</x:v>
      </x:c>
      <x:c r="S1802" s="22" t="n">
        <x:f>P1802-R1802</x:f>
        <x:v>840</x:v>
      </x:c>
      <x:c r="T1802" t="str">
        <x:v>Bank Transfer</x:v>
      </x:c>
      <x:c r="U1802" t="str">
        <x:v>Paid</x:v>
      </x:c>
      <x:c r="V1802" t="str">
        <x:v>Delivered</x:v>
      </x:c>
      <x:c r="W1802" t="n">
        <x:v>0</x:v>
      </x:c>
      <x:c r="X1802" t="str"/>
      <x:c r="Y1802" t="str">
        <x:v>WhatsApp</x:v>
      </x:c>
    </x:row>
    <x:row r="1803">
      <x:c r="A1803" t="str">
        <x:v>O001802</x:v>
      </x:c>
      <x:c r="B1803" s="20" t="n">
        <x:v>45796</x:v>
      </x:c>
      <x:c r="C1803" t="str">
        <x:v>C0172</x:v>
      </x:c>
      <x:c r="D1803" t="str">
        <x:v>Annapurna Stores 172</x:v>
      </x:c>
      <x:c r="E1803" t="str">
        <x:v>Restaurant</x:v>
      </x:c>
      <x:c r="F1803" t="str">
        <x:v>Mangaluru</x:v>
      </x:c>
      <x:c r="G1803" t="str">
        <x:v>Megha</x:v>
      </x:c>
      <x:c r="H1803" t="str">
        <x:v>P048</x:v>
      </x:c>
      <x:c r="I1803" t="str">
        <x:v>Banana 10kg</x:v>
      </x:c>
      <x:c r="J1803" t="str">
        <x:v>Fresh Produce</x:v>
      </x:c>
      <x:c r="K1803" t="str">
        <x:v>Local Market</x:v>
      </x:c>
      <x:c r="L1803" s="22" t="n">
        <x:v>420</x:v>
      </x:c>
      <x:c r="M1803" t="n">
        <x:v>3</x:v>
      </x:c>
      <x:c r="N1803" s="24" t="n">
        <x:v>0.08</x:v>
      </x:c>
      <x:c r="O1803" s="22" t="n">
        <x:f>L1803*M1803</x:f>
        <x:v>1260</x:v>
      </x:c>
      <x:c r="P1803" s="22" t="n">
        <x:f>O1803*(1-N1803)</x:f>
        <x:v>1159.2</x:v>
      </x:c>
      <x:c r="Q1803" s="22" t="n">
        <x:v>350</x:v>
      </x:c>
      <x:c r="R1803" s="22" t="n">
        <x:f>Q1803*M1803</x:f>
        <x:v>1050</x:v>
      </x:c>
      <x:c r="S1803" s="22" t="n">
        <x:f>P1803-R1803</x:f>
        <x:v>109.20000000000005</x:v>
      </x:c>
      <x:c r="T1803" t="str">
        <x:v>Bank Transfer</x:v>
      </x:c>
      <x:c r="U1803" t="str">
        <x:v>Paid</x:v>
      </x:c>
      <x:c r="V1803" t="str">
        <x:v>Delivered</x:v>
      </x:c>
      <x:c r="W1803" t="n">
        <x:v>0</x:v>
      </x:c>
      <x:c r="X1803" t="str"/>
      <x:c r="Y1803" t="str">
        <x:v>WhatsApp</x:v>
      </x:c>
    </x:row>
    <x:row r="1804">
      <x:c r="A1804" t="str">
        <x:v>O001803</x:v>
      </x:c>
      <x:c r="B1804" s="20" t="n">
        <x:v>45966</x:v>
      </x:c>
      <x:c r="C1804" t="str">
        <x:v>C0028</x:v>
      </x:c>
      <x:c r="D1804" t="str">
        <x:v>Spice Cafe 28</x:v>
      </x:c>
      <x:c r="E1804" t="str">
        <x:v>Supermarket</x:v>
      </x:c>
      <x:c r="F1804" t="str">
        <x:v>Mysuru</x:v>
      </x:c>
      <x:c r="G1804" t="str">
        <x:v>Vikram</x:v>
      </x:c>
      <x:c r="H1804" t="str">
        <x:v>P002</x:v>
      </x:c>
      <x:c r="I1804" t="str">
        <x:v>Sona Masoori Rice 25kg</x:v>
      </x:c>
      <x:c r="J1804" t="str">
        <x:v>Staples</x:v>
      </x:c>
      <x:c r="K1804" t="str">
        <x:v>Fortune</x:v>
      </x:c>
      <x:c r="L1804" s="22" t="n">
        <x:v>1320</x:v>
      </x:c>
      <x:c r="M1804" t="n">
        <x:v>11</x:v>
      </x:c>
      <x:c r="N1804" s="24" t="n">
        <x:v>0.03</x:v>
      </x:c>
      <x:c r="O1804" s="22" t="n">
        <x:f>L1804*M1804</x:f>
        <x:v>14520</x:v>
      </x:c>
      <x:c r="P1804" s="22" t="n">
        <x:f>O1804*(1-N1804)</x:f>
        <x:v>14084.4</x:v>
      </x:c>
      <x:c r="Q1804" s="22" t="n">
        <x:v>1160</x:v>
      </x:c>
      <x:c r="R1804" s="22" t="n">
        <x:f>Q1804*M1804</x:f>
        <x:v>12760</x:v>
      </x:c>
      <x:c r="S1804" s="22" t="n">
        <x:f>P1804-R1804</x:f>
        <x:v>1324.3999999999996</x:v>
      </x:c>
      <x:c r="T1804" t="str">
        <x:v>Credit</x:v>
      </x:c>
      <x:c r="U1804" t="str">
        <x:v>Paid</x:v>
      </x:c>
      <x:c r="V1804" t="str">
        <x:v>Cancelled</x:v>
      </x:c>
      <x:c r="W1804" t="n">
        <x:v>11</x:v>
      </x:c>
      <x:c r="X1804" t="str">
        <x:v>Cancelled Order</x:v>
      </x:c>
      <x:c r="Y1804" t="str">
        <x:v>WhatsApp</x:v>
      </x:c>
    </x:row>
    <x:row r="1805">
      <x:c r="A1805" t="str">
        <x:v>O001804</x:v>
      </x:c>
      <x:c r="B1805" s="20" t="n">
        <x:v>45691</x:v>
      </x:c>
      <x:c r="C1805" t="str">
        <x:v>C0139</x:v>
      </x:c>
      <x:c r="D1805" t="str">
        <x:v>Classic Hotel 139</x:v>
      </x:c>
      <x:c r="E1805" t="str">
        <x:v>Cafe</x:v>
      </x:c>
      <x:c r="F1805" t="str">
        <x:v>Mysuru</x:v>
      </x:c>
      <x:c r="G1805" t="str">
        <x:v>Vikram</x:v>
      </x:c>
      <x:c r="H1805" t="str">
        <x:v>P002</x:v>
      </x:c>
      <x:c r="I1805" t="str">
        <x:v>Sona Masoori Rice 25kg</x:v>
      </x:c>
      <x:c r="J1805" t="str">
        <x:v>Staples</x:v>
      </x:c>
      <x:c r="K1805" t="str">
        <x:v>Fortune</x:v>
      </x:c>
      <x:c r="L1805" s="22" t="n">
        <x:v>1320</x:v>
      </x:c>
      <x:c r="M1805" t="n">
        <x:v>11</x:v>
      </x:c>
      <x:c r="N1805" s="24" t="n">
        <x:v>0.02</x:v>
      </x:c>
      <x:c r="O1805" s="22" t="n">
        <x:f>L1805*M1805</x:f>
        <x:v>14520</x:v>
      </x:c>
      <x:c r="P1805" s="22" t="n">
        <x:f>O1805*(1-N1805)</x:f>
        <x:v>14229.6</x:v>
      </x:c>
      <x:c r="Q1805" s="22" t="n">
        <x:v>1160</x:v>
      </x:c>
      <x:c r="R1805" s="22" t="n">
        <x:f>Q1805*M1805</x:f>
        <x:v>12760</x:v>
      </x:c>
      <x:c r="S1805" s="22" t="n">
        <x:f>P1805-R1805</x:f>
        <x:v>1469.6000000000004</x:v>
      </x:c>
      <x:c r="T1805" t="str">
        <x:v>Bank Transfer</x:v>
      </x:c>
      <x:c r="U1805" t="str">
        <x:v>Paid</x:v>
      </x:c>
      <x:c r="V1805" t="str">
        <x:v>Delivered</x:v>
      </x:c>
      <x:c r="W1805" t="n">
        <x:v>0</x:v>
      </x:c>
      <x:c r="X1805" t="str"/>
      <x:c r="Y1805" t="str">
        <x:v>Existing Customer</x:v>
      </x:c>
    </x:row>
    <x:row r="1806">
      <x:c r="A1806" t="str">
        <x:v>O001805</x:v>
      </x:c>
      <x:c r="B1806" s="20" t="n">
        <x:v>45749</x:v>
      </x:c>
      <x:c r="C1806" t="str">
        <x:v>C0040</x:v>
      </x:c>
      <x:c r="D1806" t="str">
        <x:v>Royal Foods 40</x:v>
      </x:c>
      <x:c r="E1806" t="str">
        <x:v>Restaurant</x:v>
      </x:c>
      <x:c r="F1806" t="str">
        <x:v>Mangaluru</x:v>
      </x:c>
      <x:c r="G1806" t="str">
        <x:v>Kavya</x:v>
      </x:c>
      <x:c r="H1806" t="str">
        <x:v>P042</x:v>
      </x:c>
      <x:c r="I1806" t="str">
        <x:v>Eggs 30pc Tray</x:v>
      </x:c>
      <x:c r="J1806" t="str">
        <x:v>Protein</x:v>
      </x:c>
      <x:c r="K1806" t="str">
        <x:v>Farm Fresh</x:v>
      </x:c>
      <x:c r="L1806" s="22" t="n">
        <x:v>195</x:v>
      </x:c>
      <x:c r="M1806" t="n">
        <x:v>32</x:v>
      </x:c>
      <x:c r="N1806" s="24" t="n">
        <x:v>0.03</x:v>
      </x:c>
      <x:c r="O1806" s="22" t="n">
        <x:f>L1806*M1806</x:f>
        <x:v>6240</x:v>
      </x:c>
      <x:c r="P1806" s="22" t="n">
        <x:f>O1806*(1-N1806)</x:f>
        <x:v>6052.8</x:v>
      </x:c>
      <x:c r="Q1806" s="22" t="n">
        <x:v>170</x:v>
      </x:c>
      <x:c r="R1806" s="22" t="n">
        <x:f>Q1806*M1806</x:f>
        <x:v>5440</x:v>
      </x:c>
      <x:c r="S1806" s="22" t="n">
        <x:f>P1806-R1806</x:f>
        <x:v>612.8000000000002</x:v>
      </x:c>
      <x:c r="T1806" t="str">
        <x:v>Cash</x:v>
      </x:c>
      <x:c r="U1806" t="str">
        <x:v>Paid</x:v>
      </x:c>
      <x:c r="V1806" t="str">
        <x:v>Delivered</x:v>
      </x:c>
      <x:c r="W1806" t="n">
        <x:v>0</x:v>
      </x:c>
      <x:c r="X1806" t="str"/>
      <x:c r="Y1806" t="str">
        <x:v>Outbound Call</x:v>
      </x:c>
    </x:row>
    <x:row r="1807">
      <x:c r="A1807" t="str">
        <x:v>O001806</x:v>
      </x:c>
      <x:c r="B1807" s="20" t="n">
        <x:v>45717</x:v>
      </x:c>
      <x:c r="C1807" t="str">
        <x:v>C0216</x:v>
      </x:c>
      <x:c r="D1807" t="str">
        <x:v>Cafe Restaurant 216</x:v>
      </x:c>
      <x:c r="E1807" t="str">
        <x:v>Canteen</x:v>
      </x:c>
      <x:c r="F1807" t="str">
        <x:v>Bengaluru</x:v>
      </x:c>
      <x:c r="G1807" t="str">
        <x:v>Vikram</x:v>
      </x:c>
      <x:c r="H1807" t="str">
        <x:v>P021</x:v>
      </x:c>
      <x:c r="I1807" t="str">
        <x:v>Instant Coffee 200g</x:v>
      </x:c>
      <x:c r="J1807" t="str">
        <x:v>Beverage</x:v>
      </x:c>
      <x:c r="K1807" t="str">
        <x:v>Nescafe</x:v>
      </x:c>
      <x:c r="L1807" s="22" t="n">
        <x:v>460</x:v>
      </x:c>
      <x:c r="M1807" t="n">
        <x:v>10</x:v>
      </x:c>
      <x:c r="N1807" s="24" t="n">
        <x:v>0</x:v>
      </x:c>
      <x:c r="O1807" s="22" t="n">
        <x:f>L1807*M1807</x:f>
        <x:v>4600</x:v>
      </x:c>
      <x:c r="P1807" s="22" t="n">
        <x:f>O1807*(1-N1807)</x:f>
        <x:v>4600</x:v>
      </x:c>
      <x:c r="Q1807" s="22" t="n">
        <x:v>410</x:v>
      </x:c>
      <x:c r="R1807" s="22" t="n">
        <x:f>Q1807*M1807</x:f>
        <x:v>4100</x:v>
      </x:c>
      <x:c r="S1807" s="22" t="n">
        <x:f>P1807-R1807</x:f>
        <x:v>500</x:v>
      </x:c>
      <x:c r="T1807" t="str">
        <x:v>Cash</x:v>
      </x:c>
      <x:c r="U1807" t="str">
        <x:v>Overdue</x:v>
      </x:c>
      <x:c r="V1807" t="str">
        <x:v>Delivered</x:v>
      </x:c>
      <x:c r="W1807" t="n">
        <x:v>0</x:v>
      </x:c>
      <x:c r="X1807" t="str"/>
      <x:c r="Y1807" t="str">
        <x:v>Existing Customer</x:v>
      </x:c>
    </x:row>
    <x:row r="1808">
      <x:c r="A1808" t="str">
        <x:v>O001807</x:v>
      </x:c>
      <x:c r="B1808" s="20" t="n">
        <x:v>46058</x:v>
      </x:c>
      <x:c r="C1808" t="str">
        <x:v>C0072</x:v>
      </x:c>
      <x:c r="D1808" t="str">
        <x:v>Grand Restaurant 72</x:v>
      </x:c>
      <x:c r="E1808" t="str">
        <x:v>Restaurant</x:v>
      </x:c>
      <x:c r="F1808" t="str">
        <x:v>Davanagere</x:v>
      </x:c>
      <x:c r="G1808" t="str">
        <x:v>Kavya</x:v>
      </x:c>
      <x:c r="H1808" t="str">
        <x:v>P028</x:v>
      </x:c>
      <x:c r="I1808" t="str">
        <x:v>Cookies 200g</x:v>
      </x:c>
      <x:c r="J1808" t="str">
        <x:v>Snacks</x:v>
      </x:c>
      <x:c r="K1808" t="str">
        <x:v>Britannia</x:v>
      </x:c>
      <x:c r="L1808" s="22" t="n">
        <x:v>55</x:v>
      </x:c>
      <x:c r="M1808" t="n">
        <x:v>22</x:v>
      </x:c>
      <x:c r="N1808" s="24" t="n">
        <x:v>0</x:v>
      </x:c>
      <x:c r="O1808" s="22" t="n">
        <x:f>L1808*M1808</x:f>
        <x:v>1210</x:v>
      </x:c>
      <x:c r="P1808" s="22" t="n">
        <x:f>O1808*(1-N1808)</x:f>
        <x:v>1210</x:v>
      </x:c>
      <x:c r="Q1808" s="22" t="n">
        <x:v>42</x:v>
      </x:c>
      <x:c r="R1808" s="22" t="n">
        <x:f>Q1808*M1808</x:f>
        <x:v>924</x:v>
      </x:c>
      <x:c r="S1808" s="22" t="n">
        <x:f>P1808-R1808</x:f>
        <x:v>286</x:v>
      </x:c>
      <x:c r="T1808" t="str">
        <x:v>Cash</x:v>
      </x:c>
      <x:c r="U1808" t="str">
        <x:v>Pending</x:v>
      </x:c>
      <x:c r="V1808" t="str">
        <x:v>Delivered</x:v>
      </x:c>
      <x:c r="W1808" t="n">
        <x:v>0</x:v>
      </x:c>
      <x:c r="X1808" t="str"/>
      <x:c r="Y1808" t="str">
        <x:v>Referral</x:v>
      </x:c>
    </x:row>
    <x:row r="1809">
      <x:c r="A1809" t="str">
        <x:v>O001808</x:v>
      </x:c>
      <x:c r="B1809" s="20" t="n">
        <x:v>45897</x:v>
      </x:c>
      <x:c r="C1809" t="str">
        <x:v>C0040</x:v>
      </x:c>
      <x:c r="D1809" t="str">
        <x:v>Royal Foods 40</x:v>
      </x:c>
      <x:c r="E1809" t="str">
        <x:v>Restaurant</x:v>
      </x:c>
      <x:c r="F1809" t="str">
        <x:v>Mangaluru</x:v>
      </x:c>
      <x:c r="G1809" t="str">
        <x:v>Kavya</x:v>
      </x:c>
      <x:c r="H1809" t="str">
        <x:v>P040</x:v>
      </x:c>
      <x:c r="I1809" t="str">
        <x:v>Bread Loaf 400g</x:v>
      </x:c>
      <x:c r="J1809" t="str">
        <x:v>Bakery</x:v>
      </x:c>
      <x:c r="K1809" t="str">
        <x:v>Britannia</x:v>
      </x:c>
      <x:c r="L1809" s="22" t="n">
        <x:v>45</x:v>
      </x:c>
      <x:c r="M1809" t="n">
        <x:v>1</x:v>
      </x:c>
      <x:c r="N1809" s="24" t="n">
        <x:v>0</x:v>
      </x:c>
      <x:c r="O1809" s="22" t="n">
        <x:f>L1809*M1809</x:f>
        <x:v>45</x:v>
      </x:c>
      <x:c r="P1809" s="22" t="n">
        <x:f>O1809*(1-N1809)</x:f>
        <x:v>45</x:v>
      </x:c>
      <x:c r="Q1809" s="22" t="n">
        <x:v>35</x:v>
      </x:c>
      <x:c r="R1809" s="22" t="n">
        <x:f>Q1809*M1809</x:f>
        <x:v>35</x:v>
      </x:c>
      <x:c r="S1809" s="22" t="n">
        <x:f>P1809-R1809</x:f>
        <x:v>10</x:v>
      </x:c>
      <x:c r="T1809" t="str">
        <x:v>Bank Transfer</x:v>
      </x:c>
      <x:c r="U1809" t="str">
        <x:v>Paid</x:v>
      </x:c>
      <x:c r="V1809" t="str">
        <x:v>Delayed</x:v>
      </x:c>
      <x:c r="W1809" t="n">
        <x:v>0</x:v>
      </x:c>
      <x:c r="X1809" t="str"/>
      <x:c r="Y1809" t="str">
        <x:v>Outbound Call</x:v>
      </x:c>
    </x:row>
    <x:row r="1810">
      <x:c r="A1810" t="str">
        <x:v>O001809</x:v>
      </x:c>
      <x:c r="B1810" s="20" t="n">
        <x:v>45893</x:v>
      </x:c>
      <x:c r="C1810" t="str">
        <x:v>C0225</x:v>
      </x:c>
      <x:c r="D1810" t="str">
        <x:v>Darshini Mart 225</x:v>
      </x:c>
      <x:c r="E1810" t="str">
        <x:v>Restaurant</x:v>
      </x:c>
      <x:c r="F1810" t="str">
        <x:v>Davanagere</x:v>
      </x:c>
      <x:c r="G1810" t="str">
        <x:v>Kavya</x:v>
      </x:c>
      <x:c r="H1810" t="str">
        <x:v>P001</x:v>
      </x:c>
      <x:c r="I1810" t="str">
        <x:v>Steam Rice 25kg</x:v>
      </x:c>
      <x:c r="J1810" t="str">
        <x:v>Staples</x:v>
      </x:c>
      <x:c r="K1810" t="str">
        <x:v>Aishwarya</x:v>
      </x:c>
      <x:c r="L1810" s="22" t="n">
        <x:v>1180</x:v>
      </x:c>
      <x:c r="M1810" t="n">
        <x:v>4</x:v>
      </x:c>
      <x:c r="N1810" s="24" t="n">
        <x:v>0</x:v>
      </x:c>
      <x:c r="O1810" s="22" t="n">
        <x:f>L1810*M1810</x:f>
        <x:v>4720</x:v>
      </x:c>
      <x:c r="P1810" s="22" t="n">
        <x:f>O1810*(1-N1810)</x:f>
        <x:v>4720</x:v>
      </x:c>
      <x:c r="Q1810" s="22" t="n">
        <x:v>1040</x:v>
      </x:c>
      <x:c r="R1810" s="22" t="n">
        <x:f>Q1810*M1810</x:f>
        <x:v>4160</x:v>
      </x:c>
      <x:c r="S1810" s="22" t="n">
        <x:f>P1810-R1810</x:f>
        <x:v>560</x:v>
      </x:c>
      <x:c r="T1810" t="str">
        <x:v>Credit</x:v>
      </x:c>
      <x:c r="U1810" t="str">
        <x:v>Paid</x:v>
      </x:c>
      <x:c r="V1810" t="str">
        <x:v>Delivered</x:v>
      </x:c>
      <x:c r="W1810" t="n">
        <x:v>0</x:v>
      </x:c>
      <x:c r="X1810" t="str"/>
      <x:c r="Y1810" t="str">
        <x:v>Outbound Call</x:v>
      </x:c>
    </x:row>
    <x:row r="1811">
      <x:c r="A1811" t="str">
        <x:v>O001810</x:v>
      </x:c>
      <x:c r="B1811" s="20" t="n">
        <x:v>46031</x:v>
      </x:c>
      <x:c r="C1811" t="str">
        <x:v>C0110</x:v>
      </x:c>
      <x:c r="D1811" t="str">
        <x:v>Metro Restaurant 110</x:v>
      </x:c>
      <x:c r="E1811" t="str">
        <x:v>Hotel</x:v>
      </x:c>
      <x:c r="F1811" t="str">
        <x:v>Mysuru</x:v>
      </x:c>
      <x:c r="G1811" t="str">
        <x:v>Imran</x:v>
      </x:c>
      <x:c r="H1811" t="str">
        <x:v>P030</x:v>
      </x:c>
      <x:c r="I1811" t="str">
        <x:v>Mayonnaise 1kg</x:v>
      </x:c>
      <x:c r="J1811" t="str">
        <x:v>Condiments</x:v>
      </x:c>
      <x:c r="K1811" t="str">
        <x:v>Veeba</x:v>
      </x:c>
      <x:c r="L1811" s="22" t="n">
        <x:v>210</x:v>
      </x:c>
      <x:c r="M1811" t="n">
        <x:v>1</x:v>
      </x:c>
      <x:c r="N1811" s="24" t="n">
        <x:v>0.03</x:v>
      </x:c>
      <x:c r="O1811" s="22" t="n">
        <x:f>L1811*M1811</x:f>
        <x:v>210</x:v>
      </x:c>
      <x:c r="P1811" s="22" t="n">
        <x:f>O1811*(1-N1811)</x:f>
        <x:v>203.7</x:v>
      </x:c>
      <x:c r="Q1811" s="22" t="n">
        <x:v>185</x:v>
      </x:c>
      <x:c r="R1811" s="22" t="n">
        <x:f>Q1811*M1811</x:f>
        <x:v>185</x:v>
      </x:c>
      <x:c r="S1811" s="22" t="n">
        <x:f>P1811-R1811</x:f>
        <x:v>18.69999999999999</x:v>
      </x:c>
      <x:c r="T1811" t="str">
        <x:v>Credit</x:v>
      </x:c>
      <x:c r="U1811" t="str">
        <x:v>Paid</x:v>
      </x:c>
      <x:c r="V1811" t="str">
        <x:v>Delivered</x:v>
      </x:c>
      <x:c r="W1811" t="n">
        <x:v>0</x:v>
      </x:c>
      <x:c r="X1811" t="str"/>
      <x:c r="Y1811" t="str">
        <x:v>Field Visit</x:v>
      </x:c>
    </x:row>
    <x:row r="1812">
      <x:c r="A1812" t="str">
        <x:v>O001811</x:v>
      </x:c>
      <x:c r="B1812" s="20" t="n">
        <x:v>45716</x:v>
      </x:c>
      <x:c r="C1812" t="str">
        <x:v>C0081</x:v>
      </x:c>
      <x:c r="D1812" t="str">
        <x:v>Foodie Mart 81</x:v>
      </x:c>
      <x:c r="E1812" t="str">
        <x:v>Supermarket</x:v>
      </x:c>
      <x:c r="F1812" t="str">
        <x:v>Hubballi</x:v>
      </x:c>
      <x:c r="G1812" t="str">
        <x:v>Kavya</x:v>
      </x:c>
      <x:c r="H1812" t="str">
        <x:v>P016</x:v>
      </x:c>
      <x:c r="I1812" t="str">
        <x:v>Curd 1kg</x:v>
      </x:c>
      <x:c r="J1812" t="str">
        <x:v>Dairy</x:v>
      </x:c>
      <x:c r="K1812" t="str">
        <x:v>Nandini</x:v>
      </x:c>
      <x:c r="L1812" s="22" t="n">
        <x:v>72</x:v>
      </x:c>
      <x:c r="M1812" t="n">
        <x:v>12</x:v>
      </x:c>
      <x:c r="N1812" s="24" t="n">
        <x:v>0.02</x:v>
      </x:c>
      <x:c r="O1812" s="22" t="n">
        <x:f>L1812*M1812</x:f>
        <x:v>864</x:v>
      </x:c>
      <x:c r="P1812" s="22" t="n">
        <x:f>O1812*(1-N1812)</x:f>
        <x:v>846.72</x:v>
      </x:c>
      <x:c r="Q1812" s="22" t="n">
        <x:v>64</x:v>
      </x:c>
      <x:c r="R1812" s="22" t="n">
        <x:f>Q1812*M1812</x:f>
        <x:v>768</x:v>
      </x:c>
      <x:c r="S1812" s="22" t="n">
        <x:f>P1812-R1812</x:f>
        <x:v>78.72000000000003</x:v>
      </x:c>
      <x:c r="T1812" t="str">
        <x:v>Cash</x:v>
      </x:c>
      <x:c r="U1812" t="str">
        <x:v>Paid</x:v>
      </x:c>
      <x:c r="V1812" t="str">
        <x:v>Delivered</x:v>
      </x:c>
      <x:c r="W1812" t="n">
        <x:v>0</x:v>
      </x:c>
      <x:c r="X1812" t="str"/>
      <x:c r="Y1812" t="str">
        <x:v>Referral</x:v>
      </x:c>
    </x:row>
    <x:row r="1813">
      <x:c r="A1813" t="str">
        <x:v>O001812</x:v>
      </x:c>
      <x:c r="B1813" s="20" t="n">
        <x:v>46227</x:v>
      </x:c>
      <x:c r="C1813" t="str">
        <x:v>C0189</x:v>
      </x:c>
      <x:c r="D1813" t="str">
        <x:v>Classic Canteen 189</x:v>
      </x:c>
      <x:c r="E1813" t="str">
        <x:v>Kirana</x:v>
      </x:c>
      <x:c r="F1813" t="str">
        <x:v>Hubballi</x:v>
      </x:c>
      <x:c r="G1813" t="str">
        <x:v>Vikram</x:v>
      </x:c>
      <x:c r="H1813" t="str">
        <x:v>P038</x:v>
      </x:c>
      <x:c r="I1813" t="str">
        <x:v>French Fries 2.5kg</x:v>
      </x:c>
      <x:c r="J1813" t="str">
        <x:v>Frozen</x:v>
      </x:c>
      <x:c r="K1813" t="str">
        <x:v>McCain</x:v>
      </x:c>
      <x:c r="L1813" s="22" t="n">
        <x:v>360</x:v>
      </x:c>
      <x:c r="M1813" t="n">
        <x:v>17</x:v>
      </x:c>
      <x:c r="N1813" s="24" t="n">
        <x:v>0.05</x:v>
      </x:c>
      <x:c r="O1813" s="22" t="n">
        <x:f>L1813*M1813</x:f>
        <x:v>6120</x:v>
      </x:c>
      <x:c r="P1813" s="22" t="n">
        <x:f>O1813*(1-N1813)</x:f>
        <x:v>5814</x:v>
      </x:c>
      <x:c r="Q1813" s="22" t="n">
        <x:v>315</x:v>
      </x:c>
      <x:c r="R1813" s="22" t="n">
        <x:f>Q1813*M1813</x:f>
        <x:v>5355</x:v>
      </x:c>
      <x:c r="S1813" s="22" t="n">
        <x:f>P1813-R1813</x:f>
        <x:v>459</x:v>
      </x:c>
      <x:c r="T1813" t="str">
        <x:v>Bank Transfer</x:v>
      </x:c>
      <x:c r="U1813" t="str">
        <x:v>Paid</x:v>
      </x:c>
      <x:c r="V1813" t="str">
        <x:v>Delivered</x:v>
      </x:c>
      <x:c r="W1813" t="n">
        <x:v>0</x:v>
      </x:c>
      <x:c r="X1813" t="str"/>
      <x:c r="Y1813" t="str">
        <x:v>Referral</x:v>
      </x:c>
    </x:row>
    <x:row r="1814">
      <x:c r="A1814" t="str">
        <x:v>O001813</x:v>
      </x:c>
      <x:c r="B1814" s="20" t="n">
        <x:v>46127</x:v>
      </x:c>
      <x:c r="C1814" t="str">
        <x:v>C0139</x:v>
      </x:c>
      <x:c r="D1814" t="str">
        <x:v>Classic Hotel 139</x:v>
      </x:c>
      <x:c r="E1814" t="str">
        <x:v>Cafe</x:v>
      </x:c>
      <x:c r="F1814" t="str">
        <x:v>Mysuru</x:v>
      </x:c>
      <x:c r="G1814" t="str">
        <x:v>Vikram</x:v>
      </x:c>
      <x:c r="H1814" t="str">
        <x:v>P019</x:v>
      </x:c>
      <x:c r="I1814" t="str">
        <x:v>Tea 1kg</x:v>
      </x:c>
      <x:c r="J1814" t="str">
        <x:v>Beverage</x:v>
      </x:c>
      <x:c r="K1814" t="str">
        <x:v>Red Label</x:v>
      </x:c>
      <x:c r="L1814" s="22" t="n">
        <x:v>540</x:v>
      </x:c>
      <x:c r="M1814" t="n">
        <x:v>5</x:v>
      </x:c>
      <x:c r="N1814" s="24" t="n">
        <x:v>0.08</x:v>
      </x:c>
      <x:c r="O1814" s="22" t="n">
        <x:f>L1814*M1814</x:f>
        <x:v>2700</x:v>
      </x:c>
      <x:c r="P1814" s="22" t="n">
        <x:f>O1814*(1-N1814)</x:f>
        <x:v>2484</x:v>
      </x:c>
      <x:c r="Q1814" s="22" t="n">
        <x:v>485</x:v>
      </x:c>
      <x:c r="R1814" s="22" t="n">
        <x:f>Q1814*M1814</x:f>
        <x:v>2425</x:v>
      </x:c>
      <x:c r="S1814" s="22" t="n">
        <x:f>P1814-R1814</x:f>
        <x:v>59</x:v>
      </x:c>
      <x:c r="T1814" t="str">
        <x:v>UPI</x:v>
      </x:c>
      <x:c r="U1814" t="str">
        <x:v>Paid</x:v>
      </x:c>
      <x:c r="V1814" t="str">
        <x:v>Cancelled</x:v>
      </x:c>
      <x:c r="W1814" t="n">
        <x:v>5</x:v>
      </x:c>
      <x:c r="X1814" t="str">
        <x:v>Cancelled Order</x:v>
      </x:c>
      <x:c r="Y1814" t="str">
        <x:v>Referral</x:v>
      </x:c>
    </x:row>
    <x:row r="1815">
      <x:c r="A1815" t="str">
        <x:v>O001814</x:v>
      </x:c>
      <x:c r="B1815" s="20" t="n">
        <x:v>45957</x:v>
      </x:c>
      <x:c r="C1815" t="str">
        <x:v>C0170</x:v>
      </x:c>
      <x:c r="D1815" t="str">
        <x:v>Green Cafe 170</x:v>
      </x:c>
      <x:c r="E1815" t="str">
        <x:v>Supermarket</x:v>
      </x:c>
      <x:c r="F1815" t="str">
        <x:v>Bengaluru</x:v>
      </x:c>
      <x:c r="G1815" t="str">
        <x:v>Sneha</x:v>
      </x:c>
      <x:c r="H1815" t="str">
        <x:v>P009</x:v>
      </x:c>
      <x:c r="I1815" t="str">
        <x:v>Groundnut Oil 5L</x:v>
      </x:c>
      <x:c r="J1815" t="str">
        <x:v>Edible Oil</x:v>
      </x:c>
      <x:c r="K1815" t="str">
        <x:v>Dhara</x:v>
      </x:c>
      <x:c r="L1815" s="22" t="n">
        <x:v>890</x:v>
      </x:c>
      <x:c r="M1815" t="n">
        <x:v>4</x:v>
      </x:c>
      <x:c r="N1815" s="24" t="n">
        <x:v>0.08</x:v>
      </x:c>
      <x:c r="O1815" s="22" t="n">
        <x:f>L1815*M1815</x:f>
        <x:v>3560</x:v>
      </x:c>
      <x:c r="P1815" s="22" t="n">
        <x:f>O1815*(1-N1815)</x:f>
        <x:v>3275.2000000000003</x:v>
      </x:c>
      <x:c r="Q1815" s="22" t="n">
        <x:v>810</x:v>
      </x:c>
      <x:c r="R1815" s="22" t="n">
        <x:f>Q1815*M1815</x:f>
        <x:v>3240</x:v>
      </x:c>
      <x:c r="S1815" s="22" t="n">
        <x:f>P1815-R1815</x:f>
        <x:v>35.20000000000027</x:v>
      </x:c>
      <x:c r="T1815" t="str">
        <x:v>UPI</x:v>
      </x:c>
      <x:c r="U1815" t="str">
        <x:v>Paid</x:v>
      </x:c>
      <x:c r="V1815" t="str">
        <x:v>Cancelled</x:v>
      </x:c>
      <x:c r="W1815" t="n">
        <x:v>4</x:v>
      </x:c>
      <x:c r="X1815" t="str">
        <x:v>Cancelled Order</x:v>
      </x:c>
      <x:c r="Y1815" t="str">
        <x:v>WhatsApp</x:v>
      </x:c>
    </x:row>
    <x:row r="1816">
      <x:c r="A1816" t="str">
        <x:v>O001815</x:v>
      </x:c>
      <x:c r="B1816" s="20" t="n">
        <x:v>46217</x:v>
      </x:c>
      <x:c r="C1816" t="str">
        <x:v>C0067</x:v>
      </x:c>
      <x:c r="D1816" t="str">
        <x:v>Royal Restaurant 67</x:v>
      </x:c>
      <x:c r="E1816" t="str">
        <x:v>Supermarket</x:v>
      </x:c>
      <x:c r="F1816" t="str">
        <x:v>Tumakuru</x:v>
      </x:c>
      <x:c r="G1816" t="str">
        <x:v>Sneha</x:v>
      </x:c>
      <x:c r="H1816" t="str">
        <x:v>P043</x:v>
      </x:c>
      <x:c r="I1816" t="str">
        <x:v>Chicken Breast 1kg</x:v>
      </x:c>
      <x:c r="J1816" t="str">
        <x:v>Protein</x:v>
      </x:c>
      <x:c r="K1816" t="str">
        <x:v>FreshToHome</x:v>
      </x:c>
      <x:c r="L1816" s="22" t="n">
        <x:v>260</x:v>
      </x:c>
      <x:c r="M1816" t="n">
        <x:v>30</x:v>
      </x:c>
      <x:c r="N1816" s="24" t="n">
        <x:v>0.05</x:v>
      </x:c>
      <x:c r="O1816" s="22" t="n">
        <x:f>L1816*M1816</x:f>
        <x:v>7800</x:v>
      </x:c>
      <x:c r="P1816" s="22" t="n">
        <x:f>O1816*(1-N1816)</x:f>
        <x:v>7410</x:v>
      </x:c>
      <x:c r="Q1816" s="22" t="n">
        <x:v>235</x:v>
      </x:c>
      <x:c r="R1816" s="22" t="n">
        <x:f>Q1816*M1816</x:f>
        <x:v>7050</x:v>
      </x:c>
      <x:c r="S1816" s="22" t="n">
        <x:f>P1816-R1816</x:f>
        <x:v>360</x:v>
      </x:c>
      <x:c r="T1816" t="str">
        <x:v>UPI</x:v>
      </x:c>
      <x:c r="U1816" t="str">
        <x:v>Pending</x:v>
      </x:c>
      <x:c r="V1816" t="str">
        <x:v>Delivered</x:v>
      </x:c>
      <x:c r="W1816" t="n">
        <x:v>0</x:v>
      </x:c>
      <x:c r="X1816" t="str"/>
      <x:c r="Y1816" t="str">
        <x:v>WhatsApp</x:v>
      </x:c>
    </x:row>
    <x:row r="1817">
      <x:c r="A1817" t="str">
        <x:v>O001816</x:v>
      </x:c>
      <x:c r="B1817" s="20" t="n">
        <x:v>45766</x:v>
      </x:c>
      <x:c r="C1817" t="str">
        <x:v>C0067</x:v>
      </x:c>
      <x:c r="D1817" t="str">
        <x:v>Royal Restaurant 67</x:v>
      </x:c>
      <x:c r="E1817" t="str">
        <x:v>Supermarket</x:v>
      </x:c>
      <x:c r="F1817" t="str">
        <x:v>Tumakuru</x:v>
      </x:c>
      <x:c r="G1817" t="str">
        <x:v>Sneha</x:v>
      </x:c>
      <x:c r="H1817" t="str">
        <x:v>P027</x:v>
      </x:c>
      <x:c r="I1817" t="str">
        <x:v>Biscuits 120g</x:v>
      </x:c>
      <x:c r="J1817" t="str">
        <x:v>Snacks</x:v>
      </x:c>
      <x:c r="K1817" t="str">
        <x:v>Parle-G</x:v>
      </x:c>
      <x:c r="L1817" s="22" t="n">
        <x:v>12</x:v>
      </x:c>
      <x:c r="M1817" t="n">
        <x:v>40</x:v>
      </x:c>
      <x:c r="N1817" s="24" t="n">
        <x:v>0.05</x:v>
      </x:c>
      <x:c r="O1817" s="22" t="n">
        <x:f>L1817*M1817</x:f>
        <x:v>480</x:v>
      </x:c>
      <x:c r="P1817" s="22" t="n">
        <x:f>O1817*(1-N1817)</x:f>
        <x:v>456</x:v>
      </x:c>
      <x:c r="Q1817" s="22" t="n">
        <x:v>9</x:v>
      </x:c>
      <x:c r="R1817" s="22" t="n">
        <x:f>Q1817*M1817</x:f>
        <x:v>360</x:v>
      </x:c>
      <x:c r="S1817" s="22" t="n">
        <x:f>P1817-R1817</x:f>
        <x:v>96</x:v>
      </x:c>
      <x:c r="T1817" t="str">
        <x:v>Bank Transfer</x:v>
      </x:c>
      <x:c r="U1817" t="str">
        <x:v>Overdue</x:v>
      </x:c>
      <x:c r="V1817" t="str">
        <x:v>Delivered</x:v>
      </x:c>
      <x:c r="W1817" t="n">
        <x:v>0</x:v>
      </x:c>
      <x:c r="X1817" t="str"/>
      <x:c r="Y1817" t="str">
        <x:v>Existing Customer</x:v>
      </x:c>
    </x:row>
    <x:row r="1818">
      <x:c r="A1818" t="str">
        <x:v>O001817</x:v>
      </x:c>
      <x:c r="B1818" s="20" t="n">
        <x:v>45815</x:v>
      </x:c>
      <x:c r="C1818" t="str">
        <x:v>C0224</x:v>
      </x:c>
      <x:c r="D1818" t="str">
        <x:v>Royal Foods 224</x:v>
      </x:c>
      <x:c r="E1818" t="str">
        <x:v>Canteen</x:v>
      </x:c>
      <x:c r="F1818" t="str">
        <x:v>Tumakuru</x:v>
      </x:c>
      <x:c r="G1818" t="str">
        <x:v>Arjun</x:v>
      </x:c>
      <x:c r="H1818" t="str">
        <x:v>P029</x:v>
      </x:c>
      <x:c r="I1818" t="str">
        <x:v>Tomato Ketchup 1kg</x:v>
      </x:c>
      <x:c r="J1818" t="str">
        <x:v>Condiments</x:v>
      </x:c>
      <x:c r="K1818" t="str">
        <x:v>Kissan</x:v>
      </x:c>
      <x:c r="L1818" s="22" t="n">
        <x:v>145</x:v>
      </x:c>
      <x:c r="M1818" t="n">
        <x:v>31</x:v>
      </x:c>
      <x:c r="N1818" s="24" t="n">
        <x:v>0.05</x:v>
      </x:c>
      <x:c r="O1818" s="22" t="n">
        <x:f>L1818*M1818</x:f>
        <x:v>4495</x:v>
      </x:c>
      <x:c r="P1818" s="22" t="n">
        <x:f>O1818*(1-N1818)</x:f>
        <x:v>4270.25</x:v>
      </x:c>
      <x:c r="Q1818" s="22" t="n">
        <x:v>126</x:v>
      </x:c>
      <x:c r="R1818" s="22" t="n">
        <x:f>Q1818*M1818</x:f>
        <x:v>3906</x:v>
      </x:c>
      <x:c r="S1818" s="22" t="n">
        <x:f>P1818-R1818</x:f>
        <x:v>364.25</x:v>
      </x:c>
      <x:c r="T1818" t="str">
        <x:v>Cash</x:v>
      </x:c>
      <x:c r="U1818" t="str">
        <x:v>Paid</x:v>
      </x:c>
      <x:c r="V1818" t="str">
        <x:v>Delivered</x:v>
      </x:c>
      <x:c r="W1818" t="n">
        <x:v>0</x:v>
      </x:c>
      <x:c r="X1818" t="str"/>
      <x:c r="Y1818" t="str">
        <x:v>Field Visit</x:v>
      </x:c>
    </x:row>
    <x:row r="1819">
      <x:c r="A1819" t="str">
        <x:v>O001818</x:v>
      </x:c>
      <x:c r="B1819" s="20" t="n">
        <x:v>46009</x:v>
      </x:c>
      <x:c r="C1819" t="str">
        <x:v>C0206</x:v>
      </x:c>
      <x:c r="D1819" t="str">
        <x:v>Grand Kitchen 206</x:v>
      </x:c>
      <x:c r="E1819" t="str">
        <x:v>Kirana</x:v>
      </x:c>
      <x:c r="F1819" t="str">
        <x:v>Mysuru</x:v>
      </x:c>
      <x:c r="G1819" t="str">
        <x:v>Arjun</x:v>
      </x:c>
      <x:c r="H1819" t="str">
        <x:v>P038</x:v>
      </x:c>
      <x:c r="I1819" t="str">
        <x:v>French Fries 2.5kg</x:v>
      </x:c>
      <x:c r="J1819" t="str">
        <x:v>Frozen</x:v>
      </x:c>
      <x:c r="K1819" t="str">
        <x:v>McCain</x:v>
      </x:c>
      <x:c r="L1819" s="22" t="n">
        <x:v>360</x:v>
      </x:c>
      <x:c r="M1819" t="n">
        <x:v>25</x:v>
      </x:c>
      <x:c r="N1819" s="24" t="n">
        <x:v>0.02</x:v>
      </x:c>
      <x:c r="O1819" s="22" t="n">
        <x:f>L1819*M1819</x:f>
        <x:v>9000</x:v>
      </x:c>
      <x:c r="P1819" s="22" t="n">
        <x:f>O1819*(1-N1819)</x:f>
        <x:v>8820</x:v>
      </x:c>
      <x:c r="Q1819" s="22" t="n">
        <x:v>315</x:v>
      </x:c>
      <x:c r="R1819" s="22" t="n">
        <x:f>Q1819*M1819</x:f>
        <x:v>7875</x:v>
      </x:c>
      <x:c r="S1819" s="22" t="n">
        <x:f>P1819-R1819</x:f>
        <x:v>945</x:v>
      </x:c>
      <x:c r="T1819" t="str">
        <x:v>Cash</x:v>
      </x:c>
      <x:c r="U1819" t="str">
        <x:v>Paid</x:v>
      </x:c>
      <x:c r="V1819" t="str">
        <x:v>Delayed</x:v>
      </x:c>
      <x:c r="W1819" t="n">
        <x:v>0</x:v>
      </x:c>
      <x:c r="X1819" t="str"/>
      <x:c r="Y1819" t="str">
        <x:v>Referral</x:v>
      </x:c>
    </x:row>
    <x:row r="1820">
      <x:c r="A1820" t="str">
        <x:v>O001819</x:v>
      </x:c>
      <x:c r="B1820" s="20" t="n">
        <x:v>45850</x:v>
      </x:c>
      <x:c r="C1820" t="str">
        <x:v>C0125</x:v>
      </x:c>
      <x:c r="D1820" t="str">
        <x:v>Spice Restaurant 125</x:v>
      </x:c>
      <x:c r="E1820" t="str">
        <x:v>Kirana</x:v>
      </x:c>
      <x:c r="F1820" t="str">
        <x:v>Tumakuru</x:v>
      </x:c>
      <x:c r="G1820" t="str">
        <x:v>Ramesh</x:v>
      </x:c>
      <x:c r="H1820" t="str">
        <x:v>P016</x:v>
      </x:c>
      <x:c r="I1820" t="str">
        <x:v>Curd 1kg</x:v>
      </x:c>
      <x:c r="J1820" t="str">
        <x:v>Dairy</x:v>
      </x:c>
      <x:c r="K1820" t="str">
        <x:v>Nandini</x:v>
      </x:c>
      <x:c r="L1820" s="22" t="n">
        <x:v>72</x:v>
      </x:c>
      <x:c r="M1820" t="n">
        <x:v>29</x:v>
      </x:c>
      <x:c r="N1820" s="24" t="n">
        <x:v>0.03</x:v>
      </x:c>
      <x:c r="O1820" s="22" t="n">
        <x:f>L1820*M1820</x:f>
        <x:v>2088</x:v>
      </x:c>
      <x:c r="P1820" s="22" t="n">
        <x:f>O1820*(1-N1820)</x:f>
        <x:v>2025.36</x:v>
      </x:c>
      <x:c r="Q1820" s="22" t="n">
        <x:v>64</x:v>
      </x:c>
      <x:c r="R1820" s="22" t="n">
        <x:f>Q1820*M1820</x:f>
        <x:v>1856</x:v>
      </x:c>
      <x:c r="S1820" s="22" t="n">
        <x:f>P1820-R1820</x:f>
        <x:v>169.3599999999999</x:v>
      </x:c>
      <x:c r="T1820" t="str">
        <x:v>UPI</x:v>
      </x:c>
      <x:c r="U1820" t="str">
        <x:v>Pending</x:v>
      </x:c>
      <x:c r="V1820" t="str">
        <x:v>Delivered</x:v>
      </x:c>
      <x:c r="W1820" t="n">
        <x:v>0</x:v>
      </x:c>
      <x:c r="X1820" t="str"/>
      <x:c r="Y1820" t="str">
        <x:v>Outbound Call</x:v>
      </x:c>
    </x:row>
    <x:row r="1821">
      <x:c r="A1821" t="str">
        <x:v>O001820</x:v>
      </x:c>
      <x:c r="B1821" s="20" t="n">
        <x:v>46126</x:v>
      </x:c>
      <x:c r="C1821" t="str">
        <x:v>C0031</x:v>
      </x:c>
      <x:c r="D1821" t="str">
        <x:v>Royal Restaurant 31</x:v>
      </x:c>
      <x:c r="E1821" t="str">
        <x:v>Restaurant</x:v>
      </x:c>
      <x:c r="F1821" t="str">
        <x:v>Mangaluru</x:v>
      </x:c>
      <x:c r="G1821" t="str">
        <x:v>Arjun</x:v>
      </x:c>
      <x:c r="H1821" t="str">
        <x:v>P034</x:v>
      </x:c>
      <x:c r="I1821" t="str">
        <x:v>Chilli Powder 1kg</x:v>
      </x:c>
      <x:c r="J1821" t="str">
        <x:v>Spices</x:v>
      </x:c>
      <x:c r="K1821" t="str">
        <x:v>MDH</x:v>
      </x:c>
      <x:c r="L1821" s="22" t="n">
        <x:v>340</x:v>
      </x:c>
      <x:c r="M1821" t="n">
        <x:v>33</x:v>
      </x:c>
      <x:c r="N1821" s="24" t="n">
        <x:v>0</x:v>
      </x:c>
      <x:c r="O1821" s="22" t="n">
        <x:f>L1821*M1821</x:f>
        <x:v>11220</x:v>
      </x:c>
      <x:c r="P1821" s="22" t="n">
        <x:f>O1821*(1-N1821)</x:f>
        <x:v>11220</x:v>
      </x:c>
      <x:c r="Q1821" s="22" t="n">
        <x:v>295</x:v>
      </x:c>
      <x:c r="R1821" s="22" t="n">
        <x:f>Q1821*M1821</x:f>
        <x:v>9735</x:v>
      </x:c>
      <x:c r="S1821" s="22" t="n">
        <x:f>P1821-R1821</x:f>
        <x:v>1485</x:v>
      </x:c>
      <x:c r="T1821" t="str">
        <x:v>Cash</x:v>
      </x:c>
      <x:c r="U1821" t="str">
        <x:v>Overdue</x:v>
      </x:c>
      <x:c r="V1821" t="str">
        <x:v>Delayed</x:v>
      </x:c>
      <x:c r="W1821" t="n">
        <x:v>0</x:v>
      </x:c>
      <x:c r="X1821" t="str"/>
      <x:c r="Y1821" t="str">
        <x:v>WhatsApp</x:v>
      </x:c>
    </x:row>
    <x:row r="1822">
      <x:c r="A1822" t="str">
        <x:v>O001821</x:v>
      </x:c>
      <x:c r="B1822" s="20" t="n">
        <x:v>45709</x:v>
      </x:c>
      <x:c r="C1822" t="str">
        <x:v>C0191</x:v>
      </x:c>
      <x:c r="D1822" t="str">
        <x:v>Foodie Kitchen 191</x:v>
      </x:c>
      <x:c r="E1822" t="str">
        <x:v>Cafe</x:v>
      </x:c>
      <x:c r="F1822" t="str">
        <x:v>Mysuru</x:v>
      </x:c>
      <x:c r="G1822" t="str">
        <x:v>Priya</x:v>
      </x:c>
      <x:c r="H1822" t="str">
        <x:v>P040</x:v>
      </x:c>
      <x:c r="I1822" t="str">
        <x:v>Bread Loaf 400g</x:v>
      </x:c>
      <x:c r="J1822" t="str">
        <x:v>Bakery</x:v>
      </x:c>
      <x:c r="K1822" t="str">
        <x:v>Britannia</x:v>
      </x:c>
      <x:c r="L1822" s="22" t="n">
        <x:v>45</x:v>
      </x:c>
      <x:c r="M1822" t="n">
        <x:v>5</x:v>
      </x:c>
      <x:c r="N1822" s="24" t="n">
        <x:v>0.03</x:v>
      </x:c>
      <x:c r="O1822" s="22" t="n">
        <x:f>L1822*M1822</x:f>
        <x:v>225</x:v>
      </x:c>
      <x:c r="P1822" s="22" t="n">
        <x:f>O1822*(1-N1822)</x:f>
        <x:v>218.25</x:v>
      </x:c>
      <x:c r="Q1822" s="22" t="n">
        <x:v>35</x:v>
      </x:c>
      <x:c r="R1822" s="22" t="n">
        <x:f>Q1822*M1822</x:f>
        <x:v>175</x:v>
      </x:c>
      <x:c r="S1822" s="22" t="n">
        <x:f>P1822-R1822</x:f>
        <x:v>43.25</x:v>
      </x:c>
      <x:c r="T1822" t="str">
        <x:v>UPI</x:v>
      </x:c>
      <x:c r="U1822" t="str">
        <x:v>Pending</x:v>
      </x:c>
      <x:c r="V1822" t="str">
        <x:v>Delivered</x:v>
      </x:c>
      <x:c r="W1822" t="n">
        <x:v>0</x:v>
      </x:c>
      <x:c r="X1822" t="str"/>
      <x:c r="Y1822" t="str">
        <x:v>Outbound Call</x:v>
      </x:c>
    </x:row>
    <x:row r="1823">
      <x:c r="A1823" t="str">
        <x:v>O001822</x:v>
      </x:c>
      <x:c r="B1823" s="20" t="n">
        <x:v>46270</x:v>
      </x:c>
      <x:c r="C1823" t="str">
        <x:v>C0239</x:v>
      </x:c>
      <x:c r="D1823" t="str">
        <x:v>Royal Hotel 239</x:v>
      </x:c>
      <x:c r="E1823" t="str">
        <x:v>Restaurant</x:v>
      </x:c>
      <x:c r="F1823" t="str">
        <x:v>Hubballi</x:v>
      </x:c>
      <x:c r="G1823" t="str">
        <x:v>Priya</x:v>
      </x:c>
      <x:c r="H1823" t="str">
        <x:v>P015</x:v>
      </x:c>
      <x:c r="I1823" t="str">
        <x:v>Milk 1L</x:v>
      </x:c>
      <x:c r="J1823" t="str">
        <x:v>Dairy</x:v>
      </x:c>
      <x:c r="K1823" t="str">
        <x:v>Nandini</x:v>
      </x:c>
      <x:c r="L1823" s="22" t="n">
        <x:v>48</x:v>
      </x:c>
      <x:c r="M1823" t="n">
        <x:v>10</x:v>
      </x:c>
      <x:c r="N1823" s="24" t="n">
        <x:v>0.02</x:v>
      </x:c>
      <x:c r="O1823" s="22" t="n">
        <x:f>L1823*M1823</x:f>
        <x:v>480</x:v>
      </x:c>
      <x:c r="P1823" s="22" t="n">
        <x:f>O1823*(1-N1823)</x:f>
        <x:v>470.4</x:v>
      </x:c>
      <x:c r="Q1823" s="22" t="n">
        <x:v>43</x:v>
      </x:c>
      <x:c r="R1823" s="22" t="n">
        <x:f>Q1823*M1823</x:f>
        <x:v>430</x:v>
      </x:c>
      <x:c r="S1823" s="22" t="n">
        <x:f>P1823-R1823</x:f>
        <x:v>40.39999999999998</x:v>
      </x:c>
      <x:c r="T1823" t="str">
        <x:v>Cash</x:v>
      </x:c>
      <x:c r="U1823" t="str">
        <x:v>Paid</x:v>
      </x:c>
      <x:c r="V1823" t="str">
        <x:v>Delivered</x:v>
      </x:c>
      <x:c r="W1823" t="n">
        <x:v>0</x:v>
      </x:c>
      <x:c r="X1823" t="str"/>
      <x:c r="Y1823" t="str">
        <x:v>Outbound Call</x:v>
      </x:c>
    </x:row>
    <x:row r="1824">
      <x:c r="A1824" t="str">
        <x:v>O001823</x:v>
      </x:c>
      <x:c r="B1824" s="20" t="n">
        <x:v>45803</x:v>
      </x:c>
      <x:c r="C1824" t="str">
        <x:v>C0045</x:v>
      </x:c>
      <x:c r="D1824" t="str">
        <x:v>Annapurna Restaurant 45</x:v>
      </x:c>
      <x:c r="E1824" t="str">
        <x:v>Kirana</x:v>
      </x:c>
      <x:c r="F1824" t="str">
        <x:v>Mysuru</x:v>
      </x:c>
      <x:c r="G1824" t="str">
        <x:v>Arjun</x:v>
      </x:c>
      <x:c r="H1824" t="str">
        <x:v>P012</x:v>
      </x:c>
      <x:c r="I1824" t="str">
        <x:v>Maida 10kg</x:v>
      </x:c>
      <x:c r="J1824" t="str">
        <x:v>Flour</x:v>
      </x:c>
      <x:c r="K1824" t="str">
        <x:v>Aashirvaad</x:v>
      </x:c>
      <x:c r="L1824" s="22" t="n">
        <x:v>520</x:v>
      </x:c>
      <x:c r="M1824" t="n">
        <x:v>32</x:v>
      </x:c>
      <x:c r="N1824" s="24" t="n">
        <x:v>0.08</x:v>
      </x:c>
      <x:c r="O1824" s="22" t="n">
        <x:f>L1824*M1824</x:f>
        <x:v>16640</x:v>
      </x:c>
      <x:c r="P1824" s="22" t="n">
        <x:f>O1824*(1-N1824)</x:f>
        <x:v>15308.800000000001</x:v>
      </x:c>
      <x:c r="Q1824" s="22" t="n">
        <x:v>460</x:v>
      </x:c>
      <x:c r="R1824" s="22" t="n">
        <x:f>Q1824*M1824</x:f>
        <x:v>14720</x:v>
      </x:c>
      <x:c r="S1824" s="22" t="n">
        <x:f>P1824-R1824</x:f>
        <x:v>588.8000000000011</x:v>
      </x:c>
      <x:c r="T1824" t="str">
        <x:v>Cash</x:v>
      </x:c>
      <x:c r="U1824" t="str">
        <x:v>Paid</x:v>
      </x:c>
      <x:c r="V1824" t="str">
        <x:v>Delayed</x:v>
      </x:c>
      <x:c r="W1824" t="n">
        <x:v>0</x:v>
      </x:c>
      <x:c r="X1824" t="str"/>
      <x:c r="Y1824" t="str">
        <x:v>WhatsApp</x:v>
      </x:c>
    </x:row>
    <x:row r="1825">
      <x:c r="A1825" t="str">
        <x:v>O001824</x:v>
      </x:c>
      <x:c r="B1825" s="20" t="n">
        <x:v>45954</x:v>
      </x:c>
      <x:c r="C1825" t="str">
        <x:v>C0006</x:v>
      </x:c>
      <x:c r="D1825" t="str">
        <x:v>New Restaurant 6</x:v>
      </x:c>
      <x:c r="E1825" t="str">
        <x:v>Kirana</x:v>
      </x:c>
      <x:c r="F1825" t="str">
        <x:v>Hubballi</x:v>
      </x:c>
      <x:c r="G1825" t="str">
        <x:v>Vikram</x:v>
      </x:c>
      <x:c r="H1825" t="str">
        <x:v>P024</x:v>
      </x:c>
      <x:c r="I1825" t="str">
        <x:v>Orange Drink 1L</x:v>
      </x:c>
      <x:c r="J1825" t="str">
        <x:v>Beverage</x:v>
      </x:c>
      <x:c r="K1825" t="str">
        <x:v>Minute Maid</x:v>
      </x:c>
      <x:c r="L1825" s="22" t="n">
        <x:v>105</x:v>
      </x:c>
      <x:c r="M1825" t="n">
        <x:v>10</x:v>
      </x:c>
      <x:c r="N1825" s="24" t="n">
        <x:v>0</x:v>
      </x:c>
      <x:c r="O1825" s="22" t="n">
        <x:f>L1825*M1825</x:f>
        <x:v>1050</x:v>
      </x:c>
      <x:c r="P1825" s="22" t="n">
        <x:f>O1825*(1-N1825)</x:f>
        <x:v>1050</x:v>
      </x:c>
      <x:c r="Q1825" s="22" t="n">
        <x:v>88</x:v>
      </x:c>
      <x:c r="R1825" s="22" t="n">
        <x:f>Q1825*M1825</x:f>
        <x:v>880</x:v>
      </x:c>
      <x:c r="S1825" s="22" t="n">
        <x:f>P1825-R1825</x:f>
        <x:v>170</x:v>
      </x:c>
      <x:c r="T1825" t="str">
        <x:v>Credit</x:v>
      </x:c>
      <x:c r="U1825" t="str">
        <x:v>Paid</x:v>
      </x:c>
      <x:c r="V1825" t="str">
        <x:v>Cancelled</x:v>
      </x:c>
      <x:c r="W1825" t="n">
        <x:v>10</x:v>
      </x:c>
      <x:c r="X1825" t="str">
        <x:v>Cancelled Order</x:v>
      </x:c>
      <x:c r="Y1825" t="str">
        <x:v>Field Visit</x:v>
      </x:c>
    </x:row>
    <x:row r="1826">
      <x:c r="A1826" t="str">
        <x:v>O001825</x:v>
      </x:c>
      <x:c r="B1826" s="20" t="n">
        <x:v>46049</x:v>
      </x:c>
      <x:c r="C1826" t="str">
        <x:v>C0067</x:v>
      </x:c>
      <x:c r="D1826" t="str">
        <x:v>Royal Restaurant 67</x:v>
      </x:c>
      <x:c r="E1826" t="str">
        <x:v>Supermarket</x:v>
      </x:c>
      <x:c r="F1826" t="str">
        <x:v>Tumakuru</x:v>
      </x:c>
      <x:c r="G1826" t="str">
        <x:v>Sneha</x:v>
      </x:c>
      <x:c r="H1826" t="str">
        <x:v>P038</x:v>
      </x:c>
      <x:c r="I1826" t="str">
        <x:v>French Fries 2.5kg</x:v>
      </x:c>
      <x:c r="J1826" t="str">
        <x:v>Frozen</x:v>
      </x:c>
      <x:c r="K1826" t="str">
        <x:v>McCain</x:v>
      </x:c>
      <x:c r="L1826" s="22" t="n">
        <x:v>360</x:v>
      </x:c>
      <x:c r="M1826" t="n">
        <x:v>13</x:v>
      </x:c>
      <x:c r="N1826" s="24" t="n">
        <x:v>0.08</x:v>
      </x:c>
      <x:c r="O1826" s="22" t="n">
        <x:f>L1826*M1826</x:f>
        <x:v>4680</x:v>
      </x:c>
      <x:c r="P1826" s="22" t="n">
        <x:f>O1826*(1-N1826)</x:f>
        <x:v>4305.6</x:v>
      </x:c>
      <x:c r="Q1826" s="22" t="n">
        <x:v>315</x:v>
      </x:c>
      <x:c r="R1826" s="22" t="n">
        <x:f>Q1826*M1826</x:f>
        <x:v>4095</x:v>
      </x:c>
      <x:c r="S1826" s="22" t="n">
        <x:f>P1826-R1826</x:f>
        <x:v>210.60000000000036</x:v>
      </x:c>
      <x:c r="T1826" t="str">
        <x:v>UPI</x:v>
      </x:c>
      <x:c r="U1826" t="str">
        <x:v>Paid</x:v>
      </x:c>
      <x:c r="V1826" t="str">
        <x:v>Delivered</x:v>
      </x:c>
      <x:c r="W1826" t="n">
        <x:v>0</x:v>
      </x:c>
      <x:c r="X1826" t="str"/>
      <x:c r="Y1826" t="str">
        <x:v>Field Visit</x:v>
      </x:c>
    </x:row>
    <x:row r="1827">
      <x:c r="A1827" t="str">
        <x:v>O001826</x:v>
      </x:c>
      <x:c r="B1827" s="20" t="n">
        <x:v>45970</x:v>
      </x:c>
      <x:c r="C1827" t="str">
        <x:v>C0114</x:v>
      </x:c>
      <x:c r="D1827" t="str">
        <x:v>Annapurna Restaurant 114</x:v>
      </x:c>
      <x:c r="E1827" t="str">
        <x:v>Restaurant</x:v>
      </x:c>
      <x:c r="F1827" t="str">
        <x:v>Davanagere</x:v>
      </x:c>
      <x:c r="G1827" t="str">
        <x:v>Arjun</x:v>
      </x:c>
      <x:c r="H1827" t="str">
        <x:v>P002</x:v>
      </x:c>
      <x:c r="I1827" t="str">
        <x:v>Sona Masoori Rice 25kg</x:v>
      </x:c>
      <x:c r="J1827" t="str">
        <x:v>Staples</x:v>
      </x:c>
      <x:c r="K1827" t="str">
        <x:v>Fortune</x:v>
      </x:c>
      <x:c r="L1827" s="22" t="n">
        <x:v>1320</x:v>
      </x:c>
      <x:c r="M1827" t="n">
        <x:v>9</x:v>
      </x:c>
      <x:c r="N1827" s="24" t="n">
        <x:v>0.03</x:v>
      </x:c>
      <x:c r="O1827" s="22" t="n">
        <x:f>L1827*M1827</x:f>
        <x:v>11880</x:v>
      </x:c>
      <x:c r="P1827" s="22" t="n">
        <x:f>O1827*(1-N1827)</x:f>
        <x:v>11523.6</x:v>
      </x:c>
      <x:c r="Q1827" s="22" t="n">
        <x:v>1160</x:v>
      </x:c>
      <x:c r="R1827" s="22" t="n">
        <x:f>Q1827*M1827</x:f>
        <x:v>10440</x:v>
      </x:c>
      <x:c r="S1827" s="22" t="n">
        <x:f>P1827-R1827</x:f>
        <x:v>1083.6000000000004</x:v>
      </x:c>
      <x:c r="T1827" t="str">
        <x:v>Cash</x:v>
      </x:c>
      <x:c r="U1827" t="str">
        <x:v>Paid</x:v>
      </x:c>
      <x:c r="V1827" t="str">
        <x:v>Delivered</x:v>
      </x:c>
      <x:c r="W1827" t="n">
        <x:v>2</x:v>
      </x:c>
      <x:c r="X1827" t="str">
        <x:v>Damaged</x:v>
      </x:c>
      <x:c r="Y1827" t="str">
        <x:v>Field Visit</x:v>
      </x:c>
    </x:row>
    <x:row r="1828">
      <x:c r="A1828" t="str">
        <x:v>O001827</x:v>
      </x:c>
      <x:c r="B1828" s="20" t="n">
        <x:v>46177</x:v>
      </x:c>
      <x:c r="C1828" t="str">
        <x:v>C0097</x:v>
      </x:c>
      <x:c r="D1828" t="str">
        <x:v>Classic Stores 97</x:v>
      </x:c>
      <x:c r="E1828" t="str">
        <x:v>Restaurant</x:v>
      </x:c>
      <x:c r="F1828" t="str">
        <x:v>Davanagere</x:v>
      </x:c>
      <x:c r="G1828" t="str">
        <x:v>Priya</x:v>
      </x:c>
      <x:c r="H1828" t="str">
        <x:v>P050</x:v>
      </x:c>
      <x:c r="I1828" t="str">
        <x:v>Lemon 5kg</x:v>
      </x:c>
      <x:c r="J1828" t="str">
        <x:v>Fresh Produce</x:v>
      </x:c>
      <x:c r="K1828" t="str">
        <x:v>Local Market</x:v>
      </x:c>
      <x:c r="L1828" s="22" t="n">
        <x:v>360</x:v>
      </x:c>
      <x:c r="M1828" t="n">
        <x:v>23</x:v>
      </x:c>
      <x:c r="N1828" s="24" t="n">
        <x:v>0</x:v>
      </x:c>
      <x:c r="O1828" s="22" t="n">
        <x:f>L1828*M1828</x:f>
        <x:v>8280</x:v>
      </x:c>
      <x:c r="P1828" s="22" t="n">
        <x:f>O1828*(1-N1828)</x:f>
        <x:v>8280</x:v>
      </x:c>
      <x:c r="Q1828" s="22" t="n">
        <x:v>300</x:v>
      </x:c>
      <x:c r="R1828" s="22" t="n">
        <x:f>Q1828*M1828</x:f>
        <x:v>6900</x:v>
      </x:c>
      <x:c r="S1828" s="22" t="n">
        <x:f>P1828-R1828</x:f>
        <x:v>1380</x:v>
      </x:c>
      <x:c r="T1828" t="str">
        <x:v>Cash</x:v>
      </x:c>
      <x:c r="U1828" t="str">
        <x:v>Paid</x:v>
      </x:c>
      <x:c r="V1828" t="str">
        <x:v>Cancelled</x:v>
      </x:c>
      <x:c r="W1828" t="n">
        <x:v>23</x:v>
      </x:c>
      <x:c r="X1828" t="str">
        <x:v>Cancelled Order</x:v>
      </x:c>
      <x:c r="Y1828" t="str">
        <x:v>WhatsApp</x:v>
      </x:c>
    </x:row>
    <x:row r="1829">
      <x:c r="A1829" t="str">
        <x:v>O001828</x:v>
      </x:c>
      <x:c r="B1829" s="20" t="n">
        <x:v>45844</x:v>
      </x:c>
      <x:c r="C1829" t="str">
        <x:v>C0160</x:v>
      </x:c>
      <x:c r="D1829" t="str">
        <x:v>Hotel Foods 160</x:v>
      </x:c>
      <x:c r="E1829" t="str">
        <x:v>Hotel</x:v>
      </x:c>
      <x:c r="F1829" t="str">
        <x:v>Mangaluru</x:v>
      </x:c>
      <x:c r="G1829" t="str">
        <x:v>Sneha</x:v>
      </x:c>
      <x:c r="H1829" t="str">
        <x:v>P045</x:v>
      </x:c>
      <x:c r="I1829" t="str">
        <x:v>Onion 25kg</x:v>
      </x:c>
      <x:c r="J1829" t="str">
        <x:v>Fresh Produce</x:v>
      </x:c>
      <x:c r="K1829" t="str">
        <x:v>Local Market</x:v>
      </x:c>
      <x:c r="L1829" s="22" t="n">
        <x:v>875</x:v>
      </x:c>
      <x:c r="M1829" t="n">
        <x:v>26</x:v>
      </x:c>
      <x:c r="N1829" s="24" t="n">
        <x:v>0.03</x:v>
      </x:c>
      <x:c r="O1829" s="22" t="n">
        <x:f>L1829*M1829</x:f>
        <x:v>22750</x:v>
      </x:c>
      <x:c r="P1829" s="22" t="n">
        <x:f>O1829*(1-N1829)</x:f>
        <x:v>22067.5</x:v>
      </x:c>
      <x:c r="Q1829" s="22" t="n">
        <x:v>760</x:v>
      </x:c>
      <x:c r="R1829" s="22" t="n">
        <x:f>Q1829*M1829</x:f>
        <x:v>19760</x:v>
      </x:c>
      <x:c r="S1829" s="22" t="n">
        <x:f>P1829-R1829</x:f>
        <x:v>2307.5</x:v>
      </x:c>
      <x:c r="T1829" t="str">
        <x:v>Bank Transfer</x:v>
      </x:c>
      <x:c r="U1829" t="str">
        <x:v>Paid</x:v>
      </x:c>
      <x:c r="V1829" t="str">
        <x:v>Delayed</x:v>
      </x:c>
      <x:c r="W1829" t="n">
        <x:v>0</x:v>
      </x:c>
      <x:c r="X1829" t="str"/>
      <x:c r="Y1829" t="str">
        <x:v>Field Visit</x:v>
      </x:c>
    </x:row>
    <x:row r="1830">
      <x:c r="A1830" t="str">
        <x:v>O001829</x:v>
      </x:c>
      <x:c r="B1830" s="20" t="n">
        <x:v>46121</x:v>
      </x:c>
      <x:c r="C1830" t="str">
        <x:v>C0069</x:v>
      </x:c>
      <x:c r="D1830" t="str">
        <x:v>Cafe Hotel 69</x:v>
      </x:c>
      <x:c r="E1830" t="str">
        <x:v>Supermarket</x:v>
      </x:c>
      <x:c r="F1830" t="str">
        <x:v>Bengaluru</x:v>
      </x:c>
      <x:c r="G1830" t="str">
        <x:v>Sneha</x:v>
      </x:c>
      <x:c r="H1830" t="str">
        <x:v>P012</x:v>
      </x:c>
      <x:c r="I1830" t="str">
        <x:v>Maida 10kg</x:v>
      </x:c>
      <x:c r="J1830" t="str">
        <x:v>Flour</x:v>
      </x:c>
      <x:c r="K1830" t="str">
        <x:v>Aashirvaad</x:v>
      </x:c>
      <x:c r="L1830" s="22" t="n">
        <x:v>520</x:v>
      </x:c>
      <x:c r="M1830" t="n">
        <x:v>32</x:v>
      </x:c>
      <x:c r="N1830" s="24" t="n">
        <x:v>0.03</x:v>
      </x:c>
      <x:c r="O1830" s="22" t="n">
        <x:f>L1830*M1830</x:f>
        <x:v>16640</x:v>
      </x:c>
      <x:c r="P1830" s="22" t="n">
        <x:f>O1830*(1-N1830)</x:f>
        <x:v>16140.8</x:v>
      </x:c>
      <x:c r="Q1830" s="22" t="n">
        <x:v>460</x:v>
      </x:c>
      <x:c r="R1830" s="22" t="n">
        <x:f>Q1830*M1830</x:f>
        <x:v>14720</x:v>
      </x:c>
      <x:c r="S1830" s="22" t="n">
        <x:f>P1830-R1830</x:f>
        <x:v>1420.7999999999993</x:v>
      </x:c>
      <x:c r="T1830" t="str">
        <x:v>Bank Transfer</x:v>
      </x:c>
      <x:c r="U1830" t="str">
        <x:v>Paid</x:v>
      </x:c>
      <x:c r="V1830" t="str">
        <x:v>Delivered</x:v>
      </x:c>
      <x:c r="W1830" t="n">
        <x:v>0</x:v>
      </x:c>
      <x:c r="X1830" t="str"/>
      <x:c r="Y1830" t="str">
        <x:v>Outbound Call</x:v>
      </x:c>
    </x:row>
    <x:row r="1831">
      <x:c r="A1831" t="str">
        <x:v>O001830</x:v>
      </x:c>
      <x:c r="B1831" s="20" t="n">
        <x:v>46015</x:v>
      </x:c>
      <x:c r="C1831" t="str">
        <x:v>C0227</x:v>
      </x:c>
      <x:c r="D1831" t="str">
        <x:v>Metro Restaurant 227</x:v>
      </x:c>
      <x:c r="E1831" t="str">
        <x:v>Restaurant</x:v>
      </x:c>
      <x:c r="F1831" t="str">
        <x:v>Davanagere</x:v>
      </x:c>
      <x:c r="G1831" t="str">
        <x:v>Kavya</x:v>
      </x:c>
      <x:c r="H1831" t="str">
        <x:v>P026</x:v>
      </x:c>
      <x:c r="I1831" t="str">
        <x:v>Banana Chips 80g</x:v>
      </x:c>
      <x:c r="J1831" t="str">
        <x:v>Snacks</x:v>
      </x:c>
      <x:c r="K1831" t="str">
        <x:v>SSS</x:v>
      </x:c>
      <x:c r="L1831" s="22" t="n">
        <x:v>54</x:v>
      </x:c>
      <x:c r="M1831" t="n">
        <x:v>35</x:v>
      </x:c>
      <x:c r="N1831" s="24" t="n">
        <x:v>0</x:v>
      </x:c>
      <x:c r="O1831" s="22" t="n">
        <x:f>L1831*M1831</x:f>
        <x:v>1890</x:v>
      </x:c>
      <x:c r="P1831" s="22" t="n">
        <x:f>O1831*(1-N1831)</x:f>
        <x:v>1890</x:v>
      </x:c>
      <x:c r="Q1831" s="22" t="n">
        <x:v>39</x:v>
      </x:c>
      <x:c r="R1831" s="22" t="n">
        <x:f>Q1831*M1831</x:f>
        <x:v>1365</x:v>
      </x:c>
      <x:c r="S1831" s="22" t="n">
        <x:f>P1831-R1831</x:f>
        <x:v>525</x:v>
      </x:c>
      <x:c r="T1831" t="str">
        <x:v>Bank Transfer</x:v>
      </x:c>
      <x:c r="U1831" t="str">
        <x:v>Paid</x:v>
      </x:c>
      <x:c r="V1831" t="str">
        <x:v>Delivered</x:v>
      </x:c>
      <x:c r="W1831" t="n">
        <x:v>0</x:v>
      </x:c>
      <x:c r="X1831" t="str"/>
      <x:c r="Y1831" t="str">
        <x:v>Referral</x:v>
      </x:c>
    </x:row>
    <x:row r="1832">
      <x:c r="A1832" t="str">
        <x:v>O001831</x:v>
      </x:c>
      <x:c r="B1832" s="20" t="n">
        <x:v>45731</x:v>
      </x:c>
      <x:c r="C1832" t="str">
        <x:v>C0074</x:v>
      </x:c>
      <x:c r="D1832" t="str">
        <x:v>Foodie Hotel 74</x:v>
      </x:c>
      <x:c r="E1832" t="str">
        <x:v>Restaurant</x:v>
      </x:c>
      <x:c r="F1832" t="str">
        <x:v>Mysuru</x:v>
      </x:c>
      <x:c r="G1832" t="str">
        <x:v>Vikram</x:v>
      </x:c>
      <x:c r="H1832" t="str">
        <x:v>P008</x:v>
      </x:c>
      <x:c r="I1832" t="str">
        <x:v>Palm Oil 15L</x:v>
      </x:c>
      <x:c r="J1832" t="str">
        <x:v>Edible Oil</x:v>
      </x:c>
      <x:c r="K1832" t="str">
        <x:v>Ruchi Gold</x:v>
      </x:c>
      <x:c r="L1832" s="22" t="n">
        <x:v>1760</x:v>
      </x:c>
      <x:c r="M1832" t="n">
        <x:v>7</x:v>
      </x:c>
      <x:c r="N1832" s="24" t="n">
        <x:v>0</x:v>
      </x:c>
      <x:c r="O1832" s="22" t="n">
        <x:f>L1832*M1832</x:f>
        <x:v>12320</x:v>
      </x:c>
      <x:c r="P1832" s="22" t="n">
        <x:f>O1832*(1-N1832)</x:f>
        <x:v>12320</x:v>
      </x:c>
      <x:c r="Q1832" s="22" t="n">
        <x:v>1610</x:v>
      </x:c>
      <x:c r="R1832" s="22" t="n">
        <x:f>Q1832*M1832</x:f>
        <x:v>11270</x:v>
      </x:c>
      <x:c r="S1832" s="22" t="n">
        <x:f>P1832-R1832</x:f>
        <x:v>1050</x:v>
      </x:c>
      <x:c r="T1832" t="str">
        <x:v>Bank Transfer</x:v>
      </x:c>
      <x:c r="U1832" t="str">
        <x:v>Paid</x:v>
      </x:c>
      <x:c r="V1832" t="str">
        <x:v>Delivered</x:v>
      </x:c>
      <x:c r="W1832" t="n">
        <x:v>0</x:v>
      </x:c>
      <x:c r="X1832" t="str"/>
      <x:c r="Y1832" t="str">
        <x:v>Existing Customer</x:v>
      </x:c>
    </x:row>
    <x:row r="1833">
      <x:c r="A1833" t="str">
        <x:v>O001832</x:v>
      </x:c>
      <x:c r="B1833" s="20" t="n">
        <x:v>46132</x:v>
      </x:c>
      <x:c r="C1833" t="str">
        <x:v>C0112</x:v>
      </x:c>
      <x:c r="D1833" t="str">
        <x:v>Cafe Hotel 112</x:v>
      </x:c>
      <x:c r="E1833" t="str">
        <x:v>Hotel</x:v>
      </x:c>
      <x:c r="F1833" t="str">
        <x:v>Mangaluru</x:v>
      </x:c>
      <x:c r="G1833" t="str">
        <x:v>Kavya</x:v>
      </x:c>
      <x:c r="H1833" t="str">
        <x:v>P016</x:v>
      </x:c>
      <x:c r="I1833" t="str">
        <x:v>Curd 1kg</x:v>
      </x:c>
      <x:c r="J1833" t="str">
        <x:v>Dairy</x:v>
      </x:c>
      <x:c r="K1833" t="str">
        <x:v>Nandini</x:v>
      </x:c>
      <x:c r="L1833" s="22" t="n">
        <x:v>72</x:v>
      </x:c>
      <x:c r="M1833" t="n">
        <x:v>10</x:v>
      </x:c>
      <x:c r="N1833" s="24" t="n">
        <x:v>0.05</x:v>
      </x:c>
      <x:c r="O1833" s="22" t="n">
        <x:f>L1833*M1833</x:f>
        <x:v>720</x:v>
      </x:c>
      <x:c r="P1833" s="22" t="n">
        <x:f>O1833*(1-N1833)</x:f>
        <x:v>684</x:v>
      </x:c>
      <x:c r="Q1833" s="22" t="n">
        <x:v>64</x:v>
      </x:c>
      <x:c r="R1833" s="22" t="n">
        <x:f>Q1833*M1833</x:f>
        <x:v>640</x:v>
      </x:c>
      <x:c r="S1833" s="22" t="n">
        <x:f>P1833-R1833</x:f>
        <x:v>44</x:v>
      </x:c>
      <x:c r="T1833" t="str">
        <x:v>Bank Transfer</x:v>
      </x:c>
      <x:c r="U1833" t="str">
        <x:v>Pending</x:v>
      </x:c>
      <x:c r="V1833" t="str">
        <x:v>Cancelled</x:v>
      </x:c>
      <x:c r="W1833" t="n">
        <x:v>10</x:v>
      </x:c>
      <x:c r="X1833" t="str">
        <x:v>Cancelled Order</x:v>
      </x:c>
      <x:c r="Y1833" t="str">
        <x:v>Field Visit</x:v>
      </x:c>
    </x:row>
    <x:row r="1834">
      <x:c r="A1834" t="str">
        <x:v>O001833</x:v>
      </x:c>
      <x:c r="B1834" s="20" t="n">
        <x:v>45701</x:v>
      </x:c>
      <x:c r="C1834" t="str">
        <x:v>C0245</x:v>
      </x:c>
      <x:c r="D1834" t="str">
        <x:v>Udupi Cafe 245</x:v>
      </x:c>
      <x:c r="E1834" t="str">
        <x:v>Canteen</x:v>
      </x:c>
      <x:c r="F1834" t="str">
        <x:v>Bengaluru</x:v>
      </x:c>
      <x:c r="G1834" t="str">
        <x:v>Priya</x:v>
      </x:c>
      <x:c r="H1834" t="str">
        <x:v>P012</x:v>
      </x:c>
      <x:c r="I1834" t="str">
        <x:v>Maida 10kg</x:v>
      </x:c>
      <x:c r="J1834" t="str">
        <x:v>Flour</x:v>
      </x:c>
      <x:c r="K1834" t="str">
        <x:v>Aashirvaad</x:v>
      </x:c>
      <x:c r="L1834" s="22" t="n">
        <x:v>520</x:v>
      </x:c>
      <x:c r="M1834" t="n">
        <x:v>28</x:v>
      </x:c>
      <x:c r="N1834" s="24" t="n">
        <x:v>0.02</x:v>
      </x:c>
      <x:c r="O1834" s="22" t="n">
        <x:f>L1834*M1834</x:f>
        <x:v>14560</x:v>
      </x:c>
      <x:c r="P1834" s="22" t="n">
        <x:f>O1834*(1-N1834)</x:f>
        <x:v>14268.8</x:v>
      </x:c>
      <x:c r="Q1834" s="22" t="n">
        <x:v>460</x:v>
      </x:c>
      <x:c r="R1834" s="22" t="n">
        <x:f>Q1834*M1834</x:f>
        <x:v>12880</x:v>
      </x:c>
      <x:c r="S1834" s="22" t="n">
        <x:f>P1834-R1834</x:f>
        <x:v>1388.7999999999993</x:v>
      </x:c>
      <x:c r="T1834" t="str">
        <x:v>Cash</x:v>
      </x:c>
      <x:c r="U1834" t="str">
        <x:v>Paid</x:v>
      </x:c>
      <x:c r="V1834" t="str">
        <x:v>Delayed</x:v>
      </x:c>
      <x:c r="W1834" t="n">
        <x:v>0</x:v>
      </x:c>
      <x:c r="X1834" t="str"/>
      <x:c r="Y1834" t="str">
        <x:v>Existing Customer</x:v>
      </x:c>
    </x:row>
    <x:row r="1835">
      <x:c r="A1835" t="str">
        <x:v>O001834</x:v>
      </x:c>
      <x:c r="B1835" s="20" t="n">
        <x:v>46005</x:v>
      </x:c>
      <x:c r="C1835" t="str">
        <x:v>C0172</x:v>
      </x:c>
      <x:c r="D1835" t="str">
        <x:v>Annapurna Stores 172</x:v>
      </x:c>
      <x:c r="E1835" t="str">
        <x:v>Restaurant</x:v>
      </x:c>
      <x:c r="F1835" t="str">
        <x:v>Mangaluru</x:v>
      </x:c>
      <x:c r="G1835" t="str">
        <x:v>Megha</x:v>
      </x:c>
      <x:c r="H1835" t="str">
        <x:v>P036</x:v>
      </x:c>
      <x:c r="I1835" t="str">
        <x:v>Garam Masala 500g</x:v>
      </x:c>
      <x:c r="J1835" t="str">
        <x:v>Spices</x:v>
      </x:c>
      <x:c r="K1835" t="str">
        <x:v>MDH</x:v>
      </x:c>
      <x:c r="L1835" s="22" t="n">
        <x:v>265</x:v>
      </x:c>
      <x:c r="M1835" t="n">
        <x:v>7</x:v>
      </x:c>
      <x:c r="N1835" s="24" t="n">
        <x:v>0</x:v>
      </x:c>
      <x:c r="O1835" s="22" t="n">
        <x:f>L1835*M1835</x:f>
        <x:v>1855</x:v>
      </x:c>
      <x:c r="P1835" s="22" t="n">
        <x:f>O1835*(1-N1835)</x:f>
        <x:v>1855</x:v>
      </x:c>
      <x:c r="Q1835" s="22" t="n">
        <x:v>230</x:v>
      </x:c>
      <x:c r="R1835" s="22" t="n">
        <x:f>Q1835*M1835</x:f>
        <x:v>1610</x:v>
      </x:c>
      <x:c r="S1835" s="22" t="n">
        <x:f>P1835-R1835</x:f>
        <x:v>245</x:v>
      </x:c>
      <x:c r="T1835" t="str">
        <x:v>UPI</x:v>
      </x:c>
      <x:c r="U1835" t="str">
        <x:v>Paid</x:v>
      </x:c>
      <x:c r="V1835" t="str">
        <x:v>Delayed</x:v>
      </x:c>
      <x:c r="W1835" t="n">
        <x:v>0</x:v>
      </x:c>
      <x:c r="X1835" t="str"/>
      <x:c r="Y1835" t="str">
        <x:v>Outbound Call</x:v>
      </x:c>
    </x:row>
    <x:row r="1836">
      <x:c r="A1836" t="str">
        <x:v>O001835</x:v>
      </x:c>
      <x:c r="B1836" s="20" t="n">
        <x:v>45887</x:v>
      </x:c>
      <x:c r="C1836" t="str">
        <x:v>C0147</x:v>
      </x:c>
      <x:c r="D1836" t="str">
        <x:v>New Stores 147</x:v>
      </x:c>
      <x:c r="E1836" t="str">
        <x:v>Supermarket</x:v>
      </x:c>
      <x:c r="F1836" t="str">
        <x:v>Hubballi</x:v>
      </x:c>
      <x:c r="G1836" t="str">
        <x:v>Imran</x:v>
      </x:c>
      <x:c r="H1836" t="str">
        <x:v>P035</x:v>
      </x:c>
      <x:c r="I1836" t="str">
        <x:v>Coriander Powder 1kg</x:v>
      </x:c>
      <x:c r="J1836" t="str">
        <x:v>Spices</x:v>
      </x:c>
      <x:c r="K1836" t="str">
        <x:v>Everest</x:v>
      </x:c>
      <x:c r="L1836" s="22" t="n">
        <x:v>280</x:v>
      </x:c>
      <x:c r="M1836" t="n">
        <x:v>11</x:v>
      </x:c>
      <x:c r="N1836" s="24" t="n">
        <x:v>0</x:v>
      </x:c>
      <x:c r="O1836" s="22" t="n">
        <x:f>L1836*M1836</x:f>
        <x:v>3080</x:v>
      </x:c>
      <x:c r="P1836" s="22" t="n">
        <x:f>O1836*(1-N1836)</x:f>
        <x:v>3080</x:v>
      </x:c>
      <x:c r="Q1836" s="22" t="n">
        <x:v>245</x:v>
      </x:c>
      <x:c r="R1836" s="22" t="n">
        <x:f>Q1836*M1836</x:f>
        <x:v>2695</x:v>
      </x:c>
      <x:c r="S1836" s="22" t="n">
        <x:f>P1836-R1836</x:f>
        <x:v>385</x:v>
      </x:c>
      <x:c r="T1836" t="str">
        <x:v>UPI</x:v>
      </x:c>
      <x:c r="U1836" t="str">
        <x:v>Paid</x:v>
      </x:c>
      <x:c r="V1836" t="str">
        <x:v>Delivered</x:v>
      </x:c>
      <x:c r="W1836" t="n">
        <x:v>0</x:v>
      </x:c>
      <x:c r="X1836" t="str"/>
      <x:c r="Y1836" t="str">
        <x:v>Referral</x:v>
      </x:c>
    </x:row>
    <x:row r="1837">
      <x:c r="A1837" t="str">
        <x:v>O001836</x:v>
      </x:c>
      <x:c r="B1837" s="20" t="n">
        <x:v>45961</x:v>
      </x:c>
      <x:c r="C1837" t="str">
        <x:v>C0096</x:v>
      </x:c>
      <x:c r="D1837" t="str">
        <x:v>Metro Foods 96</x:v>
      </x:c>
      <x:c r="E1837" t="str">
        <x:v>Kirana</x:v>
      </x:c>
      <x:c r="F1837" t="str">
        <x:v>Davanagere</x:v>
      </x:c>
      <x:c r="G1837" t="str">
        <x:v>Vikram</x:v>
      </x:c>
      <x:c r="H1837" t="str">
        <x:v>P048</x:v>
      </x:c>
      <x:c r="I1837" t="str">
        <x:v>Banana 10kg</x:v>
      </x:c>
      <x:c r="J1837" t="str">
        <x:v>Fresh Produce</x:v>
      </x:c>
      <x:c r="K1837" t="str">
        <x:v>Local Market</x:v>
      </x:c>
      <x:c r="L1837" s="22" t="n">
        <x:v>420</x:v>
      </x:c>
      <x:c r="M1837" t="n">
        <x:v>33</x:v>
      </x:c>
      <x:c r="N1837" s="24" t="n">
        <x:v>0.05</x:v>
      </x:c>
      <x:c r="O1837" s="22" t="n">
        <x:f>L1837*M1837</x:f>
        <x:v>13860</x:v>
      </x:c>
      <x:c r="P1837" s="22" t="n">
        <x:f>O1837*(1-N1837)</x:f>
        <x:v>13167</x:v>
      </x:c>
      <x:c r="Q1837" s="22" t="n">
        <x:v>350</x:v>
      </x:c>
      <x:c r="R1837" s="22" t="n">
        <x:f>Q1837*M1837</x:f>
        <x:v>11550</x:v>
      </x:c>
      <x:c r="S1837" s="22" t="n">
        <x:f>P1837-R1837</x:f>
        <x:v>1617</x:v>
      </x:c>
      <x:c r="T1837" t="str">
        <x:v>UPI</x:v>
      </x:c>
      <x:c r="U1837" t="str">
        <x:v>Paid</x:v>
      </x:c>
      <x:c r="V1837" t="str">
        <x:v>Delayed</x:v>
      </x:c>
      <x:c r="W1837" t="n">
        <x:v>0</x:v>
      </x:c>
      <x:c r="X1837" t="str"/>
      <x:c r="Y1837" t="str">
        <x:v>Referral</x:v>
      </x:c>
    </x:row>
    <x:row r="1838">
      <x:c r="A1838" t="str">
        <x:v>O001837</x:v>
      </x:c>
      <x:c r="B1838" s="20" t="n">
        <x:v>46206</x:v>
      </x:c>
      <x:c r="C1838" t="str">
        <x:v>C0140</x:v>
      </x:c>
      <x:c r="D1838" t="str">
        <x:v>Fresh Hotel 140</x:v>
      </x:c>
      <x:c r="E1838" t="str">
        <x:v>Kirana</x:v>
      </x:c>
      <x:c r="F1838" t="str">
        <x:v>Tumakuru</x:v>
      </x:c>
      <x:c r="G1838" t="str">
        <x:v>Imran</x:v>
      </x:c>
      <x:c r="H1838" t="str">
        <x:v>P027</x:v>
      </x:c>
      <x:c r="I1838" t="str">
        <x:v>Biscuits 120g</x:v>
      </x:c>
      <x:c r="J1838" t="str">
        <x:v>Snacks</x:v>
      </x:c>
      <x:c r="K1838" t="str">
        <x:v>Parle-G</x:v>
      </x:c>
      <x:c r="L1838" s="22" t="n">
        <x:v>12</x:v>
      </x:c>
      <x:c r="M1838" t="n">
        <x:v>32</x:v>
      </x:c>
      <x:c r="N1838" s="24" t="n">
        <x:v>0.1</x:v>
      </x:c>
      <x:c r="O1838" s="22" t="n">
        <x:f>L1838*M1838</x:f>
        <x:v>384</x:v>
      </x:c>
      <x:c r="P1838" s="22" t="n">
        <x:f>O1838*(1-N1838)</x:f>
        <x:v>345.6</x:v>
      </x:c>
      <x:c r="Q1838" s="22" t="n">
        <x:v>9</x:v>
      </x:c>
      <x:c r="R1838" s="22" t="n">
        <x:f>Q1838*M1838</x:f>
        <x:v>288</x:v>
      </x:c>
      <x:c r="S1838" s="22" t="n">
        <x:f>P1838-R1838</x:f>
        <x:v>57.60000000000002</x:v>
      </x:c>
      <x:c r="T1838" t="str">
        <x:v>Cash</x:v>
      </x:c>
      <x:c r="U1838" t="str">
        <x:v>Pending</x:v>
      </x:c>
      <x:c r="V1838" t="str">
        <x:v>Delivered</x:v>
      </x:c>
      <x:c r="W1838" t="n">
        <x:v>0</x:v>
      </x:c>
      <x:c r="X1838" t="str"/>
      <x:c r="Y1838" t="str">
        <x:v>Outbound Call</x:v>
      </x:c>
    </x:row>
    <x:row r="1839">
      <x:c r="A1839" t="str">
        <x:v>O001838</x:v>
      </x:c>
      <x:c r="B1839" s="20" t="n">
        <x:v>46208</x:v>
      </x:c>
      <x:c r="C1839" t="str">
        <x:v>C0068</x:v>
      </x:c>
      <x:c r="D1839" t="str">
        <x:v>Fresh Canteen 68</x:v>
      </x:c>
      <x:c r="E1839" t="str">
        <x:v>Kirana</x:v>
      </x:c>
      <x:c r="F1839" t="str">
        <x:v>Davanagere</x:v>
      </x:c>
      <x:c r="G1839" t="str">
        <x:v>Arjun</x:v>
      </x:c>
      <x:c r="H1839" t="str">
        <x:v>P036</x:v>
      </x:c>
      <x:c r="I1839" t="str">
        <x:v>Garam Masala 500g</x:v>
      </x:c>
      <x:c r="J1839" t="str">
        <x:v>Spices</x:v>
      </x:c>
      <x:c r="K1839" t="str">
        <x:v>MDH</x:v>
      </x:c>
      <x:c r="L1839" s="22" t="n">
        <x:v>265</x:v>
      </x:c>
      <x:c r="M1839" t="n">
        <x:v>4</x:v>
      </x:c>
      <x:c r="N1839" s="24" t="n">
        <x:v>0.02</x:v>
      </x:c>
      <x:c r="O1839" s="22" t="n">
        <x:f>L1839*M1839</x:f>
        <x:v>1060</x:v>
      </x:c>
      <x:c r="P1839" s="22" t="n">
        <x:f>O1839*(1-N1839)</x:f>
        <x:v>1038.8</x:v>
      </x:c>
      <x:c r="Q1839" s="22" t="n">
        <x:v>230</x:v>
      </x:c>
      <x:c r="R1839" s="22" t="n">
        <x:f>Q1839*M1839</x:f>
        <x:v>920</x:v>
      </x:c>
      <x:c r="S1839" s="22" t="n">
        <x:f>P1839-R1839</x:f>
        <x:v>118.79999999999995</x:v>
      </x:c>
      <x:c r="T1839" t="str">
        <x:v>Cash</x:v>
      </x:c>
      <x:c r="U1839" t="str">
        <x:v>Pending</x:v>
      </x:c>
      <x:c r="V1839" t="str">
        <x:v>Cancelled</x:v>
      </x:c>
      <x:c r="W1839" t="n">
        <x:v>4</x:v>
      </x:c>
      <x:c r="X1839" t="str">
        <x:v>Cancelled Order</x:v>
      </x:c>
      <x:c r="Y1839" t="str">
        <x:v>Outbound Call</x:v>
      </x:c>
    </x:row>
    <x:row r="1840">
      <x:c r="A1840" t="str">
        <x:v>O001839</x:v>
      </x:c>
      <x:c r="B1840" s="20" t="n">
        <x:v>46241</x:v>
      </x:c>
      <x:c r="C1840" t="str">
        <x:v>C0100</x:v>
      </x:c>
      <x:c r="D1840" t="str">
        <x:v>Fresh Mart 100</x:v>
      </x:c>
      <x:c r="E1840" t="str">
        <x:v>Restaurant</x:v>
      </x:c>
      <x:c r="F1840" t="str">
        <x:v>Mysuru</x:v>
      </x:c>
      <x:c r="G1840" t="str">
        <x:v>Imran</x:v>
      </x:c>
      <x:c r="H1840" t="str">
        <x:v>P012</x:v>
      </x:c>
      <x:c r="I1840" t="str">
        <x:v>Maida 10kg</x:v>
      </x:c>
      <x:c r="J1840" t="str">
        <x:v>Flour</x:v>
      </x:c>
      <x:c r="K1840" t="str">
        <x:v>Aashirvaad</x:v>
      </x:c>
      <x:c r="L1840" s="22" t="n">
        <x:v>520</x:v>
      </x:c>
      <x:c r="M1840" t="n">
        <x:v>33</x:v>
      </x:c>
      <x:c r="N1840" s="24" t="n">
        <x:v>0.08</x:v>
      </x:c>
      <x:c r="O1840" s="22" t="n">
        <x:f>L1840*M1840</x:f>
        <x:v>17160</x:v>
      </x:c>
      <x:c r="P1840" s="22" t="n">
        <x:f>O1840*(1-N1840)</x:f>
        <x:v>15787.2</x:v>
      </x:c>
      <x:c r="Q1840" s="22" t="n">
        <x:v>460</x:v>
      </x:c>
      <x:c r="R1840" s="22" t="n">
        <x:f>Q1840*M1840</x:f>
        <x:v>15180</x:v>
      </x:c>
      <x:c r="S1840" s="22" t="n">
        <x:f>P1840-R1840</x:f>
        <x:v>607.2000000000007</x:v>
      </x:c>
      <x:c r="T1840" t="str">
        <x:v>Credit</x:v>
      </x:c>
      <x:c r="U1840" t="str">
        <x:v>Paid</x:v>
      </x:c>
      <x:c r="V1840" t="str">
        <x:v>Delayed</x:v>
      </x:c>
      <x:c r="W1840" t="n">
        <x:v>0</x:v>
      </x:c>
      <x:c r="X1840" t="str"/>
      <x:c r="Y1840" t="str">
        <x:v>WhatsApp</x:v>
      </x:c>
    </x:row>
    <x:row r="1841">
      <x:c r="A1841" t="str">
        <x:v>O001840</x:v>
      </x:c>
      <x:c r="B1841" s="20" t="n">
        <x:v>45993</x:v>
      </x:c>
      <x:c r="C1841" t="str">
        <x:v>C0081</x:v>
      </x:c>
      <x:c r="D1841" t="str">
        <x:v>Foodie Mart 81</x:v>
      </x:c>
      <x:c r="E1841" t="str">
        <x:v>Supermarket</x:v>
      </x:c>
      <x:c r="F1841" t="str">
        <x:v>Hubballi</x:v>
      </x:c>
      <x:c r="G1841" t="str">
        <x:v>Kavya</x:v>
      </x:c>
      <x:c r="H1841" t="str">
        <x:v>P034</x:v>
      </x:c>
      <x:c r="I1841" t="str">
        <x:v>Chilli Powder 1kg</x:v>
      </x:c>
      <x:c r="J1841" t="str">
        <x:v>Spices</x:v>
      </x:c>
      <x:c r="K1841" t="str">
        <x:v>MDH</x:v>
      </x:c>
      <x:c r="L1841" s="22" t="n">
        <x:v>340</x:v>
      </x:c>
      <x:c r="M1841" t="n">
        <x:v>25</x:v>
      </x:c>
      <x:c r="N1841" s="24" t="n">
        <x:v>0.05</x:v>
      </x:c>
      <x:c r="O1841" s="22" t="n">
        <x:f>L1841*M1841</x:f>
        <x:v>8500</x:v>
      </x:c>
      <x:c r="P1841" s="22" t="n">
        <x:f>O1841*(1-N1841)</x:f>
        <x:v>8075</x:v>
      </x:c>
      <x:c r="Q1841" s="22" t="n">
        <x:v>295</x:v>
      </x:c>
      <x:c r="R1841" s="22" t="n">
        <x:f>Q1841*M1841</x:f>
        <x:v>7375</x:v>
      </x:c>
      <x:c r="S1841" s="22" t="n">
        <x:f>P1841-R1841</x:f>
        <x:v>700</x:v>
      </x:c>
      <x:c r="T1841" t="str">
        <x:v>Cash</x:v>
      </x:c>
      <x:c r="U1841" t="str">
        <x:v>Overdue</x:v>
      </x:c>
      <x:c r="V1841" t="str">
        <x:v>Delivered</x:v>
      </x:c>
      <x:c r="W1841" t="n">
        <x:v>0</x:v>
      </x:c>
      <x:c r="X1841" t="str"/>
      <x:c r="Y1841" t="str">
        <x:v>Outbound Call</x:v>
      </x:c>
    </x:row>
    <x:row r="1842">
      <x:c r="A1842" t="str">
        <x:v>O001841</x:v>
      </x:c>
      <x:c r="B1842" s="20" t="n">
        <x:v>45880</x:v>
      </x:c>
      <x:c r="C1842" t="str">
        <x:v>C0186</x:v>
      </x:c>
      <x:c r="D1842" t="str">
        <x:v>Namma Stores 186</x:v>
      </x:c>
      <x:c r="E1842" t="str">
        <x:v>Supermarket</x:v>
      </x:c>
      <x:c r="F1842" t="str">
        <x:v>Mysuru</x:v>
      </x:c>
      <x:c r="G1842" t="str">
        <x:v>Vikram</x:v>
      </x:c>
      <x:c r="H1842" t="str">
        <x:v>P009</x:v>
      </x:c>
      <x:c r="I1842" t="str">
        <x:v>Groundnut Oil 5L</x:v>
      </x:c>
      <x:c r="J1842" t="str">
        <x:v>Edible Oil</x:v>
      </x:c>
      <x:c r="K1842" t="str">
        <x:v>Dhara</x:v>
      </x:c>
      <x:c r="L1842" s="22" t="n">
        <x:v>890</x:v>
      </x:c>
      <x:c r="M1842" t="n">
        <x:v>19</x:v>
      </x:c>
      <x:c r="N1842" s="24" t="n">
        <x:v>0.05</x:v>
      </x:c>
      <x:c r="O1842" s="22" t="n">
        <x:f>L1842*M1842</x:f>
        <x:v>16910</x:v>
      </x:c>
      <x:c r="P1842" s="22" t="n">
        <x:f>O1842*(1-N1842)</x:f>
        <x:v>16064.5</x:v>
      </x:c>
      <x:c r="Q1842" s="22" t="n">
        <x:v>810</x:v>
      </x:c>
      <x:c r="R1842" s="22" t="n">
        <x:f>Q1842*M1842</x:f>
        <x:v>15390</x:v>
      </x:c>
      <x:c r="S1842" s="22" t="n">
        <x:f>P1842-R1842</x:f>
        <x:v>674.5</x:v>
      </x:c>
      <x:c r="T1842" t="str">
        <x:v>UPI</x:v>
      </x:c>
      <x:c r="U1842" t="str">
        <x:v>Paid</x:v>
      </x:c>
      <x:c r="V1842" t="str">
        <x:v>Cancelled</x:v>
      </x:c>
      <x:c r="W1842" t="n">
        <x:v>19</x:v>
      </x:c>
      <x:c r="X1842" t="str">
        <x:v>Cancelled Order</x:v>
      </x:c>
      <x:c r="Y1842" t="str">
        <x:v>WhatsApp</x:v>
      </x:c>
    </x:row>
    <x:row r="1843">
      <x:c r="A1843" t="str">
        <x:v>O001842</x:v>
      </x:c>
      <x:c r="B1843" s="20" t="n">
        <x:v>45855</x:v>
      </x:c>
      <x:c r="C1843" t="str">
        <x:v>C0046</x:v>
      </x:c>
      <x:c r="D1843" t="str">
        <x:v>Annapurna Foods 46</x:v>
      </x:c>
      <x:c r="E1843" t="str">
        <x:v>Kirana</x:v>
      </x:c>
      <x:c r="F1843" t="str">
        <x:v>Bengaluru</x:v>
      </x:c>
      <x:c r="G1843" t="str">
        <x:v>Ramesh</x:v>
      </x:c>
      <x:c r="H1843" t="str">
        <x:v>P005</x:v>
      </x:c>
      <x:c r="I1843" t="str">
        <x:v>Chana Dal 5kg</x:v>
      </x:c>
      <x:c r="J1843" t="str">
        <x:v>Pulses</x:v>
      </x:c>
      <x:c r="K1843" t="str">
        <x:v>Local Select</x:v>
      </x:c>
      <x:c r="L1843" s="22" t="n">
        <x:v>520</x:v>
      </x:c>
      <x:c r="M1843" t="n">
        <x:v>12</x:v>
      </x:c>
      <x:c r="N1843" s="24" t="n">
        <x:v>0</x:v>
      </x:c>
      <x:c r="O1843" s="22" t="n">
        <x:f>L1843*M1843</x:f>
        <x:v>6240</x:v>
      </x:c>
      <x:c r="P1843" s="22" t="n">
        <x:f>O1843*(1-N1843)</x:f>
        <x:v>6240</x:v>
      </x:c>
      <x:c r="Q1843" s="22" t="n">
        <x:v>455</x:v>
      </x:c>
      <x:c r="R1843" s="22" t="n">
        <x:f>Q1843*M1843</x:f>
        <x:v>5460</x:v>
      </x:c>
      <x:c r="S1843" s="22" t="n">
        <x:f>P1843-R1843</x:f>
        <x:v>780</x:v>
      </x:c>
      <x:c r="T1843" t="str">
        <x:v>UPI</x:v>
      </x:c>
      <x:c r="U1843" t="str">
        <x:v>Paid</x:v>
      </x:c>
      <x:c r="V1843" t="str">
        <x:v>Delivered</x:v>
      </x:c>
      <x:c r="W1843" t="n">
        <x:v>0</x:v>
      </x:c>
      <x:c r="X1843" t="str"/>
      <x:c r="Y1843" t="str">
        <x:v>Existing Customer</x:v>
      </x:c>
    </x:row>
    <x:row r="1844">
      <x:c r="A1844" t="str">
        <x:v>O001843</x:v>
      </x:c>
      <x:c r="B1844" s="20" t="n">
        <x:v>45946</x:v>
      </x:c>
      <x:c r="C1844" t="str">
        <x:v>C0249</x:v>
      </x:c>
      <x:c r="D1844" t="str">
        <x:v>City Hotel 249</x:v>
      </x:c>
      <x:c r="E1844" t="str">
        <x:v>Supermarket</x:v>
      </x:c>
      <x:c r="F1844" t="str">
        <x:v>Mysuru</x:v>
      </x:c>
      <x:c r="G1844" t="str">
        <x:v>Arjun</x:v>
      </x:c>
      <x:c r="H1844" t="str">
        <x:v>P008</x:v>
      </x:c>
      <x:c r="I1844" t="str">
        <x:v>Palm Oil 15L</x:v>
      </x:c>
      <x:c r="J1844" t="str">
        <x:v>Edible Oil</x:v>
      </x:c>
      <x:c r="K1844" t="str">
        <x:v>Ruchi Gold</x:v>
      </x:c>
      <x:c r="L1844" s="22" t="n">
        <x:v>1760</x:v>
      </x:c>
      <x:c r="M1844" t="n">
        <x:v>9</x:v>
      </x:c>
      <x:c r="N1844" s="24" t="n">
        <x:v>0.08</x:v>
      </x:c>
      <x:c r="O1844" s="22" t="n">
        <x:f>L1844*M1844</x:f>
        <x:v>15840</x:v>
      </x:c>
      <x:c r="P1844" s="22" t="n">
        <x:f>O1844*(1-N1844)</x:f>
        <x:v>14572.800000000001</x:v>
      </x:c>
      <x:c r="Q1844" s="22" t="n">
        <x:v>1610</x:v>
      </x:c>
      <x:c r="R1844" s="22" t="n">
        <x:f>Q1844*M1844</x:f>
        <x:v>14490</x:v>
      </x:c>
      <x:c r="S1844" s="22" t="n">
        <x:f>P1844-R1844</x:f>
        <x:v>82.80000000000109</x:v>
      </x:c>
      <x:c r="T1844" t="str">
        <x:v>UPI</x:v>
      </x:c>
      <x:c r="U1844" t="str">
        <x:v>Paid</x:v>
      </x:c>
      <x:c r="V1844" t="str">
        <x:v>Delayed</x:v>
      </x:c>
      <x:c r="W1844" t="n">
        <x:v>0</x:v>
      </x:c>
      <x:c r="X1844" t="str"/>
      <x:c r="Y1844" t="str">
        <x:v>WhatsApp</x:v>
      </x:c>
    </x:row>
    <x:row r="1845">
      <x:c r="A1845" t="str">
        <x:v>O001844</x:v>
      </x:c>
      <x:c r="B1845" s="20" t="n">
        <x:v>46260</x:v>
      </x:c>
      <x:c r="C1845" t="str">
        <x:v>C0195</x:v>
      </x:c>
      <x:c r="D1845" t="str">
        <x:v>Classic Stores 195</x:v>
      </x:c>
      <x:c r="E1845" t="str">
        <x:v>Canteen</x:v>
      </x:c>
      <x:c r="F1845" t="str">
        <x:v>Davanagere</x:v>
      </x:c>
      <x:c r="G1845" t="str">
        <x:v>Kavya</x:v>
      </x:c>
      <x:c r="H1845" t="str">
        <x:v>P027</x:v>
      </x:c>
      <x:c r="I1845" t="str">
        <x:v>Biscuits 120g</x:v>
      </x:c>
      <x:c r="J1845" t="str">
        <x:v>Snacks</x:v>
      </x:c>
      <x:c r="K1845" t="str">
        <x:v>Parle-G</x:v>
      </x:c>
      <x:c r="L1845" s="22" t="n">
        <x:v>12</x:v>
      </x:c>
      <x:c r="M1845" t="n">
        <x:v>40</x:v>
      </x:c>
      <x:c r="N1845" s="24" t="n">
        <x:v>0.03</x:v>
      </x:c>
      <x:c r="O1845" s="22" t="n">
        <x:f>L1845*M1845</x:f>
        <x:v>480</x:v>
      </x:c>
      <x:c r="P1845" s="22" t="n">
        <x:f>O1845*(1-N1845)</x:f>
        <x:v>465.59999999999997</x:v>
      </x:c>
      <x:c r="Q1845" s="22" t="n">
        <x:v>9</x:v>
      </x:c>
      <x:c r="R1845" s="22" t="n">
        <x:f>Q1845*M1845</x:f>
        <x:v>360</x:v>
      </x:c>
      <x:c r="S1845" s="22" t="n">
        <x:f>P1845-R1845</x:f>
        <x:v>105.59999999999997</x:v>
      </x:c>
      <x:c r="T1845" t="str">
        <x:v>Cash</x:v>
      </x:c>
      <x:c r="U1845" t="str">
        <x:v>Paid</x:v>
      </x:c>
      <x:c r="V1845" t="str">
        <x:v>Delayed</x:v>
      </x:c>
      <x:c r="W1845" t="n">
        <x:v>0</x:v>
      </x:c>
      <x:c r="X1845" t="str"/>
      <x:c r="Y1845" t="str">
        <x:v>Outbound Call</x:v>
      </x:c>
    </x:row>
    <x:row r="1846">
      <x:c r="A1846" t="str">
        <x:v>O001845</x:v>
      </x:c>
      <x:c r="B1846" s="20" t="n">
        <x:v>45861</x:v>
      </x:c>
      <x:c r="C1846" t="str">
        <x:v>C0132</x:v>
      </x:c>
      <x:c r="D1846" t="str">
        <x:v>Classic Stores 132</x:v>
      </x:c>
      <x:c r="E1846" t="str">
        <x:v>Cafe</x:v>
      </x:c>
      <x:c r="F1846" t="str">
        <x:v>Mysuru</x:v>
      </x:c>
      <x:c r="G1846" t="str">
        <x:v>Megha</x:v>
      </x:c>
      <x:c r="H1846" t="str">
        <x:v>P045</x:v>
      </x:c>
      <x:c r="I1846" t="str">
        <x:v>Onion 25kg</x:v>
      </x:c>
      <x:c r="J1846" t="str">
        <x:v>Fresh Produce</x:v>
      </x:c>
      <x:c r="K1846" t="str">
        <x:v>Local Market</x:v>
      </x:c>
      <x:c r="L1846" s="22" t="n">
        <x:v>875</x:v>
      </x:c>
      <x:c r="M1846" t="n">
        <x:v>8</x:v>
      </x:c>
      <x:c r="N1846" s="24" t="n">
        <x:v>0.05</x:v>
      </x:c>
      <x:c r="O1846" s="22" t="n">
        <x:f>L1846*M1846</x:f>
        <x:v>7000</x:v>
      </x:c>
      <x:c r="P1846" s="22" t="n">
        <x:f>O1846*(1-N1846)</x:f>
        <x:v>6650</x:v>
      </x:c>
      <x:c r="Q1846" s="22" t="n">
        <x:v>760</x:v>
      </x:c>
      <x:c r="R1846" s="22" t="n">
        <x:f>Q1846*M1846</x:f>
        <x:v>6080</x:v>
      </x:c>
      <x:c r="S1846" s="22" t="n">
        <x:f>P1846-R1846</x:f>
        <x:v>570</x:v>
      </x:c>
      <x:c r="T1846" t="str">
        <x:v>UPI</x:v>
      </x:c>
      <x:c r="U1846" t="str">
        <x:v>Paid</x:v>
      </x:c>
      <x:c r="V1846" t="str">
        <x:v>Delivered</x:v>
      </x:c>
      <x:c r="W1846" t="n">
        <x:v>0</x:v>
      </x:c>
      <x:c r="X1846" t="str"/>
      <x:c r="Y1846" t="str">
        <x:v>Outbound Call</x:v>
      </x:c>
    </x:row>
    <x:row r="1847">
      <x:c r="A1847" t="str">
        <x:v>O001846</x:v>
      </x:c>
      <x:c r="B1847" s="20" t="n">
        <x:v>45660</x:v>
      </x:c>
      <x:c r="C1847" t="str">
        <x:v>C0191</x:v>
      </x:c>
      <x:c r="D1847" t="str">
        <x:v>Foodie Kitchen 191</x:v>
      </x:c>
      <x:c r="E1847" t="str">
        <x:v>Cafe</x:v>
      </x:c>
      <x:c r="F1847" t="str">
        <x:v>Mysuru</x:v>
      </x:c>
      <x:c r="G1847" t="str">
        <x:v>Priya</x:v>
      </x:c>
      <x:c r="H1847" t="str">
        <x:v>P011</x:v>
      </x:c>
      <x:c r="I1847" t="str">
        <x:v>Salt 1kg</x:v>
      </x:c>
      <x:c r="J1847" t="str">
        <x:v>Staples</x:v>
      </x:c>
      <x:c r="K1847" t="str">
        <x:v>Tata</x:v>
      </x:c>
      <x:c r="L1847" s="22" t="n">
        <x:v>28</x:v>
      </x:c>
      <x:c r="M1847" t="n">
        <x:v>4</x:v>
      </x:c>
      <x:c r="N1847" s="24" t="n">
        <x:v>0</x:v>
      </x:c>
      <x:c r="O1847" s="22" t="n">
        <x:f>L1847*M1847</x:f>
        <x:v>112</x:v>
      </x:c>
      <x:c r="P1847" s="22" t="n">
        <x:f>O1847*(1-N1847)</x:f>
        <x:v>112</x:v>
      </x:c>
      <x:c r="Q1847" s="22" t="n">
        <x:v>23</x:v>
      </x:c>
      <x:c r="R1847" s="22" t="n">
        <x:f>Q1847*M1847</x:f>
        <x:v>92</x:v>
      </x:c>
      <x:c r="S1847" s="22" t="n">
        <x:f>P1847-R1847</x:f>
        <x:v>20</x:v>
      </x:c>
      <x:c r="T1847" t="str">
        <x:v>Bank Transfer</x:v>
      </x:c>
      <x:c r="U1847" t="str">
        <x:v>Pending</x:v>
      </x:c>
      <x:c r="V1847" t="str">
        <x:v>Delayed</x:v>
      </x:c>
      <x:c r="W1847" t="n">
        <x:v>0</x:v>
      </x:c>
      <x:c r="X1847" t="str"/>
      <x:c r="Y1847" t="str">
        <x:v>Field Visit</x:v>
      </x:c>
    </x:row>
    <x:row r="1848">
      <x:c r="A1848" t="str">
        <x:v>O001847</x:v>
      </x:c>
      <x:c r="B1848" s="20" t="n">
        <x:v>45756</x:v>
      </x:c>
      <x:c r="C1848" t="str">
        <x:v>C0102</x:v>
      </x:c>
      <x:c r="D1848" t="str">
        <x:v>Annapurna Foods 102</x:v>
      </x:c>
      <x:c r="E1848" t="str">
        <x:v>Cafe</x:v>
      </x:c>
      <x:c r="F1848" t="str">
        <x:v>Davanagere</x:v>
      </x:c>
      <x:c r="G1848" t="str">
        <x:v>Ramesh</x:v>
      </x:c>
      <x:c r="H1848" t="str">
        <x:v>P013</x:v>
      </x:c>
      <x:c r="I1848" t="str">
        <x:v>Atta 10kg</x:v>
      </x:c>
      <x:c r="J1848" t="str">
        <x:v>Flour</x:v>
      </x:c>
      <x:c r="K1848" t="str">
        <x:v>Aashirvaad</x:v>
      </x:c>
      <x:c r="L1848" s="22" t="n">
        <x:v>560</x:v>
      </x:c>
      <x:c r="M1848" t="n">
        <x:v>1</x:v>
      </x:c>
      <x:c r="N1848" s="24" t="n">
        <x:v>0.02</x:v>
      </x:c>
      <x:c r="O1848" s="22" t="n">
        <x:f>L1848*M1848</x:f>
        <x:v>560</x:v>
      </x:c>
      <x:c r="P1848" s="22" t="n">
        <x:f>O1848*(1-N1848)</x:f>
        <x:v>548.8</x:v>
      </x:c>
      <x:c r="Q1848" s="22" t="n">
        <x:v>495</x:v>
      </x:c>
      <x:c r="R1848" s="22" t="n">
        <x:f>Q1848*M1848</x:f>
        <x:v>495</x:v>
      </x:c>
      <x:c r="S1848" s="22" t="n">
        <x:f>P1848-R1848</x:f>
        <x:v>53.799999999999955</x:v>
      </x:c>
      <x:c r="T1848" t="str">
        <x:v>UPI</x:v>
      </x:c>
      <x:c r="U1848" t="str">
        <x:v>Paid</x:v>
      </x:c>
      <x:c r="V1848" t="str">
        <x:v>Delivered</x:v>
      </x:c>
      <x:c r="W1848" t="n">
        <x:v>0</x:v>
      </x:c>
      <x:c r="X1848" t="str"/>
      <x:c r="Y1848" t="str">
        <x:v>Existing Customer</x:v>
      </x:c>
    </x:row>
    <x:row r="1849">
      <x:c r="A1849" t="str">
        <x:v>O001848</x:v>
      </x:c>
      <x:c r="B1849" s="20" t="n">
        <x:v>45659</x:v>
      </x:c>
      <x:c r="C1849" t="str">
        <x:v>C0141</x:v>
      </x:c>
      <x:c r="D1849" t="str">
        <x:v>Sri Restaurant 141</x:v>
      </x:c>
      <x:c r="E1849" t="str">
        <x:v>Restaurant</x:v>
      </x:c>
      <x:c r="F1849" t="str">
        <x:v>Mangaluru</x:v>
      </x:c>
      <x:c r="G1849" t="str">
        <x:v>Ramesh</x:v>
      </x:c>
      <x:c r="H1849" t="str">
        <x:v>P046</x:v>
      </x:c>
      <x:c r="I1849" t="str">
        <x:v>Potato 25kg</x:v>
      </x:c>
      <x:c r="J1849" t="str">
        <x:v>Fresh Produce</x:v>
      </x:c>
      <x:c r="K1849" t="str">
        <x:v>Local Market</x:v>
      </x:c>
      <x:c r="L1849" s="22" t="n">
        <x:v>700</x:v>
      </x:c>
      <x:c r="M1849" t="n">
        <x:v>23</x:v>
      </x:c>
      <x:c r="N1849" s="24" t="n">
        <x:v>0.03</x:v>
      </x:c>
      <x:c r="O1849" s="22" t="n">
        <x:f>L1849*M1849</x:f>
        <x:v>16100</x:v>
      </x:c>
      <x:c r="P1849" s="22" t="n">
        <x:f>O1849*(1-N1849)</x:f>
        <x:v>15617</x:v>
      </x:c>
      <x:c r="Q1849" s="22" t="n">
        <x:v>610</x:v>
      </x:c>
      <x:c r="R1849" s="22" t="n">
        <x:f>Q1849*M1849</x:f>
        <x:v>14030</x:v>
      </x:c>
      <x:c r="S1849" s="22" t="n">
        <x:f>P1849-R1849</x:f>
        <x:v>1587</x:v>
      </x:c>
      <x:c r="T1849" t="str">
        <x:v>Bank Transfer</x:v>
      </x:c>
      <x:c r="U1849" t="str">
        <x:v>Overdue</x:v>
      </x:c>
      <x:c r="V1849" t="str">
        <x:v>Delayed</x:v>
      </x:c>
      <x:c r="W1849" t="n">
        <x:v>0</x:v>
      </x:c>
      <x:c r="X1849" t="str"/>
      <x:c r="Y1849" t="str">
        <x:v>Referral</x:v>
      </x:c>
    </x:row>
    <x:row r="1850">
      <x:c r="A1850" t="str">
        <x:v>O001849</x:v>
      </x:c>
      <x:c r="B1850" s="20" t="n">
        <x:v>46284</x:v>
      </x:c>
      <x:c r="C1850" t="str">
        <x:v>C0145</x:v>
      </x:c>
      <x:c r="D1850" t="str">
        <x:v>Namma Cafe 145</x:v>
      </x:c>
      <x:c r="E1850" t="str">
        <x:v>Kirana</x:v>
      </x:c>
      <x:c r="F1850" t="str">
        <x:v>Tumakuru</x:v>
      </x:c>
      <x:c r="G1850" t="str">
        <x:v>Sneha</x:v>
      </x:c>
      <x:c r="H1850" t="str">
        <x:v>P050</x:v>
      </x:c>
      <x:c r="I1850" t="str">
        <x:v>Lemon 5kg</x:v>
      </x:c>
      <x:c r="J1850" t="str">
        <x:v>Fresh Produce</x:v>
      </x:c>
      <x:c r="K1850" t="str">
        <x:v>Local Market</x:v>
      </x:c>
      <x:c r="L1850" s="22" t="n">
        <x:v>360</x:v>
      </x:c>
      <x:c r="M1850" t="n">
        <x:v>4</x:v>
      </x:c>
      <x:c r="N1850" s="24" t="n">
        <x:v>0</x:v>
      </x:c>
      <x:c r="O1850" s="22" t="n">
        <x:f>L1850*M1850</x:f>
        <x:v>1440</x:v>
      </x:c>
      <x:c r="P1850" s="22" t="n">
        <x:f>O1850*(1-N1850)</x:f>
        <x:v>1440</x:v>
      </x:c>
      <x:c r="Q1850" s="22" t="n">
        <x:v>300</x:v>
      </x:c>
      <x:c r="R1850" s="22" t="n">
        <x:f>Q1850*M1850</x:f>
        <x:v>1200</x:v>
      </x:c>
      <x:c r="S1850" s="22" t="n">
        <x:f>P1850-R1850</x:f>
        <x:v>240</x:v>
      </x:c>
      <x:c r="T1850" t="str">
        <x:v>Credit</x:v>
      </x:c>
      <x:c r="U1850" t="str">
        <x:v>Paid</x:v>
      </x:c>
      <x:c r="V1850" t="str">
        <x:v>Delivered</x:v>
      </x:c>
      <x:c r="W1850" t="n">
        <x:v>0</x:v>
      </x:c>
      <x:c r="X1850" t="str"/>
      <x:c r="Y1850" t="str">
        <x:v>WhatsApp</x:v>
      </x:c>
    </x:row>
    <x:row r="1851">
      <x:c r="A1851" t="str">
        <x:v>O001850</x:v>
      </x:c>
      <x:c r="B1851" s="20" t="n">
        <x:v>45890</x:v>
      </x:c>
      <x:c r="C1851" t="str">
        <x:v>C0239</x:v>
      </x:c>
      <x:c r="D1851" t="str">
        <x:v>Royal Hotel 239</x:v>
      </x:c>
      <x:c r="E1851" t="str">
        <x:v>Restaurant</x:v>
      </x:c>
      <x:c r="F1851" t="str">
        <x:v>Hubballi</x:v>
      </x:c>
      <x:c r="G1851" t="str">
        <x:v>Priya</x:v>
      </x:c>
      <x:c r="H1851" t="str">
        <x:v>P016</x:v>
      </x:c>
      <x:c r="I1851" t="str">
        <x:v>Curd 1kg</x:v>
      </x:c>
      <x:c r="J1851" t="str">
        <x:v>Dairy</x:v>
      </x:c>
      <x:c r="K1851" t="str">
        <x:v>Nandini</x:v>
      </x:c>
      <x:c r="L1851" s="22" t="n">
        <x:v>72</x:v>
      </x:c>
      <x:c r="M1851" t="n">
        <x:v>12</x:v>
      </x:c>
      <x:c r="N1851" s="24" t="n">
        <x:v>0.05</x:v>
      </x:c>
      <x:c r="O1851" s="22" t="n">
        <x:f>L1851*M1851</x:f>
        <x:v>864</x:v>
      </x:c>
      <x:c r="P1851" s="22" t="n">
        <x:f>O1851*(1-N1851)</x:f>
        <x:v>820.8</x:v>
      </x:c>
      <x:c r="Q1851" s="22" t="n">
        <x:v>64</x:v>
      </x:c>
      <x:c r="R1851" s="22" t="n">
        <x:f>Q1851*M1851</x:f>
        <x:v>768</x:v>
      </x:c>
      <x:c r="S1851" s="22" t="n">
        <x:f>P1851-R1851</x:f>
        <x:v>52.799999999999955</x:v>
      </x:c>
      <x:c r="T1851" t="str">
        <x:v>Bank Transfer</x:v>
      </x:c>
      <x:c r="U1851" t="str">
        <x:v>Pending</x:v>
      </x:c>
      <x:c r="V1851" t="str">
        <x:v>Delayed</x:v>
      </x:c>
      <x:c r="W1851" t="n">
        <x:v>0</x:v>
      </x:c>
      <x:c r="X1851" t="str"/>
      <x:c r="Y1851" t="str">
        <x:v>Existing Customer</x:v>
      </x:c>
    </x:row>
    <x:row r="1852">
      <x:c r="A1852" t="str">
        <x:v>O001851</x:v>
      </x:c>
      <x:c r="B1852" s="20" t="n">
        <x:v>45877</x:v>
      </x:c>
      <x:c r="C1852" t="str">
        <x:v>C0173</x:v>
      </x:c>
      <x:c r="D1852" t="str">
        <x:v>Royal Kitchen 173</x:v>
      </x:c>
      <x:c r="E1852" t="str">
        <x:v>Hotel</x:v>
      </x:c>
      <x:c r="F1852" t="str">
        <x:v>Bengaluru</x:v>
      </x:c>
      <x:c r="G1852" t="str">
        <x:v>Priya</x:v>
      </x:c>
      <x:c r="H1852" t="str">
        <x:v>P014</x:v>
      </x:c>
      <x:c r="I1852" t="str">
        <x:v>Rava 5kg</x:v>
      </x:c>
      <x:c r="J1852" t="str">
        <x:v>Flour</x:v>
      </x:c>
      <x:c r="K1852" t="str">
        <x:v>Local Select</x:v>
      </x:c>
      <x:c r="L1852" s="22" t="n">
        <x:v>245</x:v>
      </x:c>
      <x:c r="M1852" t="n">
        <x:v>31</x:v>
      </x:c>
      <x:c r="N1852" s="24" t="n">
        <x:v>0.03</x:v>
      </x:c>
      <x:c r="O1852" s="22" t="n">
        <x:f>L1852*M1852</x:f>
        <x:v>7595</x:v>
      </x:c>
      <x:c r="P1852" s="22" t="n">
        <x:f>O1852*(1-N1852)</x:f>
        <x:v>7367.15</x:v>
      </x:c>
      <x:c r="Q1852" s="22" t="n">
        <x:v>215</x:v>
      </x:c>
      <x:c r="R1852" s="22" t="n">
        <x:f>Q1852*M1852</x:f>
        <x:v>6665</x:v>
      </x:c>
      <x:c r="S1852" s="22" t="n">
        <x:f>P1852-R1852</x:f>
        <x:v>702.1499999999996</x:v>
      </x:c>
      <x:c r="T1852" t="str">
        <x:v>UPI</x:v>
      </x:c>
      <x:c r="U1852" t="str">
        <x:v>Paid</x:v>
      </x:c>
      <x:c r="V1852" t="str">
        <x:v>Cancelled</x:v>
      </x:c>
      <x:c r="W1852" t="n">
        <x:v>31</x:v>
      </x:c>
      <x:c r="X1852" t="str">
        <x:v>Cancelled Order</x:v>
      </x:c>
      <x:c r="Y1852" t="str">
        <x:v>Outbound Call</x:v>
      </x:c>
    </x:row>
    <x:row r="1853">
      <x:c r="A1853" t="str">
        <x:v>O001852</x:v>
      </x:c>
      <x:c r="B1853" s="20" t="n">
        <x:v>46070</x:v>
      </x:c>
      <x:c r="C1853" t="str">
        <x:v>C0247</x:v>
      </x:c>
      <x:c r="D1853" t="str">
        <x:v>Fresh Canteen 247</x:v>
      </x:c>
      <x:c r="E1853" t="str">
        <x:v>Restaurant</x:v>
      </x:c>
      <x:c r="F1853" t="str">
        <x:v>Hubballi</x:v>
      </x:c>
      <x:c r="G1853" t="str">
        <x:v>Kavya</x:v>
      </x:c>
      <x:c r="H1853" t="str">
        <x:v>P035</x:v>
      </x:c>
      <x:c r="I1853" t="str">
        <x:v>Coriander Powder 1kg</x:v>
      </x:c>
      <x:c r="J1853" t="str">
        <x:v>Spices</x:v>
      </x:c>
      <x:c r="K1853" t="str">
        <x:v>Everest</x:v>
      </x:c>
      <x:c r="L1853" s="22" t="n">
        <x:v>280</x:v>
      </x:c>
      <x:c r="M1853" t="n">
        <x:v>12</x:v>
      </x:c>
      <x:c r="N1853" s="24" t="n">
        <x:v>0.02</x:v>
      </x:c>
      <x:c r="O1853" s="22" t="n">
        <x:f>L1853*M1853</x:f>
        <x:v>3360</x:v>
      </x:c>
      <x:c r="P1853" s="22" t="n">
        <x:f>O1853*(1-N1853)</x:f>
        <x:v>3292.7999999999997</x:v>
      </x:c>
      <x:c r="Q1853" s="22" t="n">
        <x:v>245</x:v>
      </x:c>
      <x:c r="R1853" s="22" t="n">
        <x:f>Q1853*M1853</x:f>
        <x:v>2940</x:v>
      </x:c>
      <x:c r="S1853" s="22" t="n">
        <x:f>P1853-R1853</x:f>
        <x:v>352.7999999999997</x:v>
      </x:c>
      <x:c r="T1853" t="str">
        <x:v>UPI</x:v>
      </x:c>
      <x:c r="U1853" t="str">
        <x:v>Paid</x:v>
      </x:c>
      <x:c r="V1853" t="str">
        <x:v>Delayed</x:v>
      </x:c>
      <x:c r="W1853" t="n">
        <x:v>0</x:v>
      </x:c>
      <x:c r="X1853" t="str"/>
      <x:c r="Y1853" t="str">
        <x:v>Field Visit</x:v>
      </x:c>
    </x:row>
    <x:row r="1854">
      <x:c r="A1854" t="str">
        <x:v>O001853</x:v>
      </x:c>
      <x:c r="B1854" s="20" t="n">
        <x:v>45734</x:v>
      </x:c>
      <x:c r="C1854" t="str">
        <x:v>C0028</x:v>
      </x:c>
      <x:c r="D1854" t="str">
        <x:v>Spice Cafe 28</x:v>
      </x:c>
      <x:c r="E1854" t="str">
        <x:v>Supermarket</x:v>
      </x:c>
      <x:c r="F1854" t="str">
        <x:v>Mysuru</x:v>
      </x:c>
      <x:c r="G1854" t="str">
        <x:v>Vikram</x:v>
      </x:c>
      <x:c r="H1854" t="str">
        <x:v>P001</x:v>
      </x:c>
      <x:c r="I1854" t="str">
        <x:v>Steam Rice 25kg</x:v>
      </x:c>
      <x:c r="J1854" t="str">
        <x:v>Staples</x:v>
      </x:c>
      <x:c r="K1854" t="str">
        <x:v>Aishwarya</x:v>
      </x:c>
      <x:c r="L1854" s="22" t="n">
        <x:v>1180</x:v>
      </x:c>
      <x:c r="M1854" t="n">
        <x:v>3</x:v>
      </x:c>
      <x:c r="N1854" s="24" t="n">
        <x:v>0.05</x:v>
      </x:c>
      <x:c r="O1854" s="22" t="n">
        <x:f>L1854*M1854</x:f>
        <x:v>3540</x:v>
      </x:c>
      <x:c r="P1854" s="22" t="n">
        <x:f>O1854*(1-N1854)</x:f>
        <x:v>3363</x:v>
      </x:c>
      <x:c r="Q1854" s="22" t="n">
        <x:v>1040</x:v>
      </x:c>
      <x:c r="R1854" s="22" t="n">
        <x:f>Q1854*M1854</x:f>
        <x:v>3120</x:v>
      </x:c>
      <x:c r="S1854" s="22" t="n">
        <x:f>P1854-R1854</x:f>
        <x:v>243</x:v>
      </x:c>
      <x:c r="T1854" t="str">
        <x:v>Bank Transfer</x:v>
      </x:c>
      <x:c r="U1854" t="str">
        <x:v>Paid</x:v>
      </x:c>
      <x:c r="V1854" t="str">
        <x:v>Delivered</x:v>
      </x:c>
      <x:c r="W1854" t="n">
        <x:v>0</x:v>
      </x:c>
      <x:c r="X1854" t="str"/>
      <x:c r="Y1854" t="str">
        <x:v>Referral</x:v>
      </x:c>
    </x:row>
    <x:row r="1855">
      <x:c r="A1855" t="str">
        <x:v>O001854</x:v>
      </x:c>
      <x:c r="B1855" s="20" t="n">
        <x:v>45887</x:v>
      </x:c>
      <x:c r="C1855" t="str">
        <x:v>C0139</x:v>
      </x:c>
      <x:c r="D1855" t="str">
        <x:v>Classic Hotel 139</x:v>
      </x:c>
      <x:c r="E1855" t="str">
        <x:v>Cafe</x:v>
      </x:c>
      <x:c r="F1855" t="str">
        <x:v>Mysuru</x:v>
      </x:c>
      <x:c r="G1855" t="str">
        <x:v>Vikram</x:v>
      </x:c>
      <x:c r="H1855" t="str">
        <x:v>P033</x:v>
      </x:c>
      <x:c r="I1855" t="str">
        <x:v>Turmeric Powder 1kg</x:v>
      </x:c>
      <x:c r="J1855" t="str">
        <x:v>Spices</x:v>
      </x:c>
      <x:c r="K1855" t="str">
        <x:v>Everest</x:v>
      </x:c>
      <x:c r="L1855" s="22" t="n">
        <x:v>310</x:v>
      </x:c>
      <x:c r="M1855" t="n">
        <x:v>23</x:v>
      </x:c>
      <x:c r="N1855" s="24" t="n">
        <x:v>0.08</x:v>
      </x:c>
      <x:c r="O1855" s="22" t="n">
        <x:f>L1855*M1855</x:f>
        <x:v>7130</x:v>
      </x:c>
      <x:c r="P1855" s="22" t="n">
        <x:f>O1855*(1-N1855)</x:f>
        <x:v>6559.6</x:v>
      </x:c>
      <x:c r="Q1855" s="22" t="n">
        <x:v>270</x:v>
      </x:c>
      <x:c r="R1855" s="22" t="n">
        <x:f>Q1855*M1855</x:f>
        <x:v>6210</x:v>
      </x:c>
      <x:c r="S1855" s="22" t="n">
        <x:f>P1855-R1855</x:f>
        <x:v>349.60000000000036</x:v>
      </x:c>
      <x:c r="T1855" t="str">
        <x:v>Credit</x:v>
      </x:c>
      <x:c r="U1855" t="str">
        <x:v>Pending</x:v>
      </x:c>
      <x:c r="V1855" t="str">
        <x:v>Cancelled</x:v>
      </x:c>
      <x:c r="W1855" t="n">
        <x:v>23</x:v>
      </x:c>
      <x:c r="X1855" t="str">
        <x:v>Cancelled Order</x:v>
      </x:c>
      <x:c r="Y1855" t="str">
        <x:v>Outbound Call</x:v>
      </x:c>
    </x:row>
    <x:row r="1856">
      <x:c r="A1856" t="str">
        <x:v>O001855</x:v>
      </x:c>
      <x:c r="B1856" s="20" t="n">
        <x:v>45678</x:v>
      </x:c>
      <x:c r="C1856" t="str">
        <x:v>C0084</x:v>
      </x:c>
      <x:c r="D1856" t="str">
        <x:v>Green Cafe 84</x:v>
      </x:c>
      <x:c r="E1856" t="str">
        <x:v>Hotel</x:v>
      </x:c>
      <x:c r="F1856" t="str">
        <x:v>Mysuru</x:v>
      </x:c>
      <x:c r="G1856" t="str">
        <x:v>Priya</x:v>
      </x:c>
      <x:c r="H1856" t="str">
        <x:v>P046</x:v>
      </x:c>
      <x:c r="I1856" t="str">
        <x:v>Potato 25kg</x:v>
      </x:c>
      <x:c r="J1856" t="str">
        <x:v>Fresh Produce</x:v>
      </x:c>
      <x:c r="K1856" t="str">
        <x:v>Local Market</x:v>
      </x:c>
      <x:c r="L1856" s="22" t="n">
        <x:v>700</x:v>
      </x:c>
      <x:c r="M1856" t="n">
        <x:v>26</x:v>
      </x:c>
      <x:c r="N1856" s="24" t="n">
        <x:v>0.1</x:v>
      </x:c>
      <x:c r="O1856" s="22" t="n">
        <x:f>L1856*M1856</x:f>
        <x:v>18200</x:v>
      </x:c>
      <x:c r="P1856" s="22" t="n">
        <x:f>O1856*(1-N1856)</x:f>
        <x:v>16380</x:v>
      </x:c>
      <x:c r="Q1856" s="22" t="n">
        <x:v>610</x:v>
      </x:c>
      <x:c r="R1856" s="22" t="n">
        <x:f>Q1856*M1856</x:f>
        <x:v>15860</x:v>
      </x:c>
      <x:c r="S1856" s="22" t="n">
        <x:f>P1856-R1856</x:f>
        <x:v>520</x:v>
      </x:c>
      <x:c r="T1856" t="str">
        <x:v>Credit</x:v>
      </x:c>
      <x:c r="U1856" t="str">
        <x:v>Paid</x:v>
      </x:c>
      <x:c r="V1856" t="str">
        <x:v>Delivered</x:v>
      </x:c>
      <x:c r="W1856" t="n">
        <x:v>0</x:v>
      </x:c>
      <x:c r="X1856" t="str"/>
      <x:c r="Y1856" t="str">
        <x:v>WhatsApp</x:v>
      </x:c>
    </x:row>
    <x:row r="1857">
      <x:c r="A1857" t="str">
        <x:v>O001856</x:v>
      </x:c>
      <x:c r="B1857" s="20" t="n">
        <x:v>46253</x:v>
      </x:c>
      <x:c r="C1857" t="str">
        <x:v>C0186</x:v>
      </x:c>
      <x:c r="D1857" t="str">
        <x:v>Namma Stores 186</x:v>
      </x:c>
      <x:c r="E1857" t="str">
        <x:v>Supermarket</x:v>
      </x:c>
      <x:c r="F1857" t="str">
        <x:v>Mysuru</x:v>
      </x:c>
      <x:c r="G1857" t="str">
        <x:v>Vikram</x:v>
      </x:c>
      <x:c r="H1857" t="str">
        <x:v>P024</x:v>
      </x:c>
      <x:c r="I1857" t="str">
        <x:v>Orange Drink 1L</x:v>
      </x:c>
      <x:c r="J1857" t="str">
        <x:v>Beverage</x:v>
      </x:c>
      <x:c r="K1857" t="str">
        <x:v>Minute Maid</x:v>
      </x:c>
      <x:c r="L1857" s="22" t="n">
        <x:v>105</x:v>
      </x:c>
      <x:c r="M1857" t="n">
        <x:v>11</x:v>
      </x:c>
      <x:c r="N1857" s="24" t="n">
        <x:v>0</x:v>
      </x:c>
      <x:c r="O1857" s="22" t="n">
        <x:f>L1857*M1857</x:f>
        <x:v>1155</x:v>
      </x:c>
      <x:c r="P1857" s="22" t="n">
        <x:f>O1857*(1-N1857)</x:f>
        <x:v>1155</x:v>
      </x:c>
      <x:c r="Q1857" s="22" t="n">
        <x:v>88</x:v>
      </x:c>
      <x:c r="R1857" s="22" t="n">
        <x:f>Q1857*M1857</x:f>
        <x:v>968</x:v>
      </x:c>
      <x:c r="S1857" s="22" t="n">
        <x:f>P1857-R1857</x:f>
        <x:v>187</x:v>
      </x:c>
      <x:c r="T1857" t="str">
        <x:v>UPI</x:v>
      </x:c>
      <x:c r="U1857" t="str">
        <x:v>Pending</x:v>
      </x:c>
      <x:c r="V1857" t="str">
        <x:v>Delivered</x:v>
      </x:c>
      <x:c r="W1857" t="n">
        <x:v>0</x:v>
      </x:c>
      <x:c r="X1857" t="str"/>
      <x:c r="Y1857" t="str">
        <x:v>Outbound Call</x:v>
      </x:c>
    </x:row>
    <x:row r="1858">
      <x:c r="A1858" t="str">
        <x:v>O001857</x:v>
      </x:c>
      <x:c r="B1858" s="20" t="n">
        <x:v>46113</x:v>
      </x:c>
      <x:c r="C1858" t="str">
        <x:v>C0120</x:v>
      </x:c>
      <x:c r="D1858" t="str">
        <x:v>Foodie Foods 120</x:v>
      </x:c>
      <x:c r="E1858" t="str">
        <x:v>Hotel</x:v>
      </x:c>
      <x:c r="F1858" t="str">
        <x:v>Hubballi</x:v>
      </x:c>
      <x:c r="G1858" t="str">
        <x:v>Arjun</x:v>
      </x:c>
      <x:c r="H1858" t="str">
        <x:v>P039</x:v>
      </x:c>
      <x:c r="I1858" t="str">
        <x:v>Ice Cream 4L</x:v>
      </x:c>
      <x:c r="J1858" t="str">
        <x:v>Frozen</x:v>
      </x:c>
      <x:c r="K1858" t="str">
        <x:v>Amul</x:v>
      </x:c>
      <x:c r="L1858" s="22" t="n">
        <x:v>480</x:v>
      </x:c>
      <x:c r="M1858" t="n">
        <x:v>27</x:v>
      </x:c>
      <x:c r="N1858" s="24" t="n">
        <x:v>0</x:v>
      </x:c>
      <x:c r="O1858" s="22" t="n">
        <x:f>L1858*M1858</x:f>
        <x:v>12960</x:v>
      </x:c>
      <x:c r="P1858" s="22" t="n">
        <x:f>O1858*(1-N1858)</x:f>
        <x:v>12960</x:v>
      </x:c>
      <x:c r="Q1858" s="22" t="n">
        <x:v>420</x:v>
      </x:c>
      <x:c r="R1858" s="22" t="n">
        <x:f>Q1858*M1858</x:f>
        <x:v>11340</x:v>
      </x:c>
      <x:c r="S1858" s="22" t="n">
        <x:f>P1858-R1858</x:f>
        <x:v>1620</x:v>
      </x:c>
      <x:c r="T1858" t="str">
        <x:v>UPI</x:v>
      </x:c>
      <x:c r="U1858" t="str">
        <x:v>Paid</x:v>
      </x:c>
      <x:c r="V1858" t="str">
        <x:v>Delayed</x:v>
      </x:c>
      <x:c r="W1858" t="n">
        <x:v>0</x:v>
      </x:c>
      <x:c r="X1858" t="str"/>
      <x:c r="Y1858" t="str">
        <x:v>WhatsApp</x:v>
      </x:c>
    </x:row>
    <x:row r="1859">
      <x:c r="A1859" t="str">
        <x:v>O001858</x:v>
      </x:c>
      <x:c r="B1859" s="20" t="n">
        <x:v>45910</x:v>
      </x:c>
      <x:c r="C1859" t="str">
        <x:v>C0137</x:v>
      </x:c>
      <x:c r="D1859" t="str">
        <x:v>Green Restaurant 137</x:v>
      </x:c>
      <x:c r="E1859" t="str">
        <x:v>Canteen</x:v>
      </x:c>
      <x:c r="F1859" t="str">
        <x:v>Mangaluru</x:v>
      </x:c>
      <x:c r="G1859" t="str">
        <x:v>Arjun</x:v>
      </x:c>
      <x:c r="H1859" t="str">
        <x:v>P042</x:v>
      </x:c>
      <x:c r="I1859" t="str">
        <x:v>Eggs 30pc Tray</x:v>
      </x:c>
      <x:c r="J1859" t="str">
        <x:v>Protein</x:v>
      </x:c>
      <x:c r="K1859" t="str">
        <x:v>Farm Fresh</x:v>
      </x:c>
      <x:c r="L1859" s="22" t="n">
        <x:v>195</x:v>
      </x:c>
      <x:c r="M1859" t="n">
        <x:v>35</x:v>
      </x:c>
      <x:c r="N1859" s="24" t="n">
        <x:v>0.05</x:v>
      </x:c>
      <x:c r="O1859" s="22" t="n">
        <x:f>L1859*M1859</x:f>
        <x:v>6825</x:v>
      </x:c>
      <x:c r="P1859" s="22" t="n">
        <x:f>O1859*(1-N1859)</x:f>
        <x:v>6483.75</x:v>
      </x:c>
      <x:c r="Q1859" s="22" t="n">
        <x:v>170</x:v>
      </x:c>
      <x:c r="R1859" s="22" t="n">
        <x:f>Q1859*M1859</x:f>
        <x:v>5950</x:v>
      </x:c>
      <x:c r="S1859" s="22" t="n">
        <x:f>P1859-R1859</x:f>
        <x:v>533.75</x:v>
      </x:c>
      <x:c r="T1859" t="str">
        <x:v>Cash</x:v>
      </x:c>
      <x:c r="U1859" t="str">
        <x:v>Paid</x:v>
      </x:c>
      <x:c r="V1859" t="str">
        <x:v>Delivered</x:v>
      </x:c>
      <x:c r="W1859" t="n">
        <x:v>0</x:v>
      </x:c>
      <x:c r="X1859" t="str"/>
      <x:c r="Y1859" t="str">
        <x:v>Outbound Call</x:v>
      </x:c>
    </x:row>
    <x:row r="1860">
      <x:c r="A1860" t="str">
        <x:v>O001859</x:v>
      </x:c>
      <x:c r="B1860" s="20" t="n">
        <x:v>45812</x:v>
      </x:c>
      <x:c r="C1860" t="str">
        <x:v>C0211</x:v>
      </x:c>
      <x:c r="D1860" t="str">
        <x:v>Cafe Cafe 211</x:v>
      </x:c>
      <x:c r="E1860" t="str">
        <x:v>Supermarket</x:v>
      </x:c>
      <x:c r="F1860" t="str">
        <x:v>Davanagere</x:v>
      </x:c>
      <x:c r="G1860" t="str">
        <x:v>Megha</x:v>
      </x:c>
      <x:c r="H1860" t="str">
        <x:v>P047</x:v>
      </x:c>
      <x:c r="I1860" t="str">
        <x:v>Tomato 25kg</x:v>
      </x:c>
      <x:c r="J1860" t="str">
        <x:v>Fresh Produce</x:v>
      </x:c>
      <x:c r="K1860" t="str">
        <x:v>Local Market</x:v>
      </x:c>
      <x:c r="L1860" s="22" t="n">
        <x:v>950</x:v>
      </x:c>
      <x:c r="M1860" t="n">
        <x:v>26</x:v>
      </x:c>
      <x:c r="N1860" s="24" t="n">
        <x:v>0.02</x:v>
      </x:c>
      <x:c r="O1860" s="22" t="n">
        <x:f>L1860*M1860</x:f>
        <x:v>24700</x:v>
      </x:c>
      <x:c r="P1860" s="22" t="n">
        <x:f>O1860*(1-N1860)</x:f>
        <x:v>24206</x:v>
      </x:c>
      <x:c r="Q1860" s="22" t="n">
        <x:v>810</x:v>
      </x:c>
      <x:c r="R1860" s="22" t="n">
        <x:f>Q1860*M1860</x:f>
        <x:v>21060</x:v>
      </x:c>
      <x:c r="S1860" s="22" t="n">
        <x:f>P1860-R1860</x:f>
        <x:v>3146</x:v>
      </x:c>
      <x:c r="T1860" t="str">
        <x:v>Credit</x:v>
      </x:c>
      <x:c r="U1860" t="str">
        <x:v>Paid</x:v>
      </x:c>
      <x:c r="V1860" t="str">
        <x:v>Delivered</x:v>
      </x:c>
      <x:c r="W1860" t="n">
        <x:v>0</x:v>
      </x:c>
      <x:c r="X1860" t="str"/>
      <x:c r="Y1860" t="str">
        <x:v>Field Visit</x:v>
      </x:c>
    </x:row>
    <x:row r="1861">
      <x:c r="A1861" t="str">
        <x:v>O001860</x:v>
      </x:c>
      <x:c r="B1861" s="20" t="n">
        <x:v>45989</x:v>
      </x:c>
      <x:c r="C1861" t="str">
        <x:v>C0025</x:v>
      </x:c>
      <x:c r="D1861" t="str">
        <x:v>Sri Cafe 25</x:v>
      </x:c>
      <x:c r="E1861" t="str">
        <x:v>Hotel</x:v>
      </x:c>
      <x:c r="F1861" t="str">
        <x:v>Mysuru</x:v>
      </x:c>
      <x:c r="G1861" t="str">
        <x:v>Kavya</x:v>
      </x:c>
      <x:c r="H1861" t="str">
        <x:v>P009</x:v>
      </x:c>
      <x:c r="I1861" t="str">
        <x:v>Groundnut Oil 5L</x:v>
      </x:c>
      <x:c r="J1861" t="str">
        <x:v>Edible Oil</x:v>
      </x:c>
      <x:c r="K1861" t="str">
        <x:v>Dhara</x:v>
      </x:c>
      <x:c r="L1861" s="22" t="n">
        <x:v>890</x:v>
      </x:c>
      <x:c r="M1861" t="n">
        <x:v>29</x:v>
      </x:c>
      <x:c r="N1861" s="24" t="n">
        <x:v>0</x:v>
      </x:c>
      <x:c r="O1861" s="22" t="n">
        <x:f>L1861*M1861</x:f>
        <x:v>25810</x:v>
      </x:c>
      <x:c r="P1861" s="22" t="n">
        <x:f>O1861*(1-N1861)</x:f>
        <x:v>25810</x:v>
      </x:c>
      <x:c r="Q1861" s="22" t="n">
        <x:v>810</x:v>
      </x:c>
      <x:c r="R1861" s="22" t="n">
        <x:f>Q1861*M1861</x:f>
        <x:v>23490</x:v>
      </x:c>
      <x:c r="S1861" s="22" t="n">
        <x:f>P1861-R1861</x:f>
        <x:v>2320</x:v>
      </x:c>
      <x:c r="T1861" t="str">
        <x:v>Bank Transfer</x:v>
      </x:c>
      <x:c r="U1861" t="str">
        <x:v>Paid</x:v>
      </x:c>
      <x:c r="V1861" t="str">
        <x:v>Delivered</x:v>
      </x:c>
      <x:c r="W1861" t="n">
        <x:v>0</x:v>
      </x:c>
      <x:c r="X1861" t="str"/>
      <x:c r="Y1861" t="str">
        <x:v>WhatsApp</x:v>
      </x:c>
    </x:row>
    <x:row r="1862">
      <x:c r="A1862" t="str">
        <x:v>O001861</x:v>
      </x:c>
      <x:c r="B1862" s="20" t="n">
        <x:v>46113</x:v>
      </x:c>
      <x:c r="C1862" t="str">
        <x:v>C0003</x:v>
      </x:c>
      <x:c r="D1862" t="str">
        <x:v>Grand Foods 3</x:v>
      </x:c>
      <x:c r="E1862" t="str">
        <x:v>Restaurant</x:v>
      </x:c>
      <x:c r="F1862" t="str">
        <x:v>Bengaluru</x:v>
      </x:c>
      <x:c r="G1862" t="str">
        <x:v>Vikram</x:v>
      </x:c>
      <x:c r="H1862" t="str">
        <x:v>P049</x:v>
      </x:c>
      <x:c r="I1862" t="str">
        <x:v>Apple 10kg</x:v>
      </x:c>
      <x:c r="J1862" t="str">
        <x:v>Fresh Produce</x:v>
      </x:c>
      <x:c r="K1862" t="str">
        <x:v>Local Market</x:v>
      </x:c>
      <x:c r="L1862" s="22" t="n">
        <x:v>1450</x:v>
      </x:c>
      <x:c r="M1862" t="n">
        <x:v>3</x:v>
      </x:c>
      <x:c r="N1862" s="24" t="n">
        <x:v>0.03</x:v>
      </x:c>
      <x:c r="O1862" s="22" t="n">
        <x:f>L1862*M1862</x:f>
        <x:v>4350</x:v>
      </x:c>
      <x:c r="P1862" s="22" t="n">
        <x:f>O1862*(1-N1862)</x:f>
        <x:v>4219.5</x:v>
      </x:c>
      <x:c r="Q1862" s="22" t="n">
        <x:v>1280</x:v>
      </x:c>
      <x:c r="R1862" s="22" t="n">
        <x:f>Q1862*M1862</x:f>
        <x:v>3840</x:v>
      </x:c>
      <x:c r="S1862" s="22" t="n">
        <x:f>P1862-R1862</x:f>
        <x:v>379.5</x:v>
      </x:c>
      <x:c r="T1862" t="str">
        <x:v>UPI</x:v>
      </x:c>
      <x:c r="U1862" t="str">
        <x:v>Paid</x:v>
      </x:c>
      <x:c r="V1862" t="str">
        <x:v>Cancelled</x:v>
      </x:c>
      <x:c r="W1862" t="n">
        <x:v>3</x:v>
      </x:c>
      <x:c r="X1862" t="str">
        <x:v>Cancelled Order</x:v>
      </x:c>
      <x:c r="Y1862" t="str">
        <x:v>WhatsApp</x:v>
      </x:c>
    </x:row>
    <x:row r="1863">
      <x:c r="A1863" t="str">
        <x:v>O001862</x:v>
      </x:c>
      <x:c r="B1863" s="20" t="n">
        <x:v>46091</x:v>
      </x:c>
      <x:c r="C1863" t="str">
        <x:v>C0159</x:v>
      </x:c>
      <x:c r="D1863" t="str">
        <x:v>Darshini Foods 159</x:v>
      </x:c>
      <x:c r="E1863" t="str">
        <x:v>Canteen</x:v>
      </x:c>
      <x:c r="F1863" t="str">
        <x:v>Tumakuru</x:v>
      </x:c>
      <x:c r="G1863" t="str">
        <x:v>Kavya</x:v>
      </x:c>
      <x:c r="H1863" t="str">
        <x:v>P027</x:v>
      </x:c>
      <x:c r="I1863" t="str">
        <x:v>Biscuits 120g</x:v>
      </x:c>
      <x:c r="J1863" t="str">
        <x:v>Snacks</x:v>
      </x:c>
      <x:c r="K1863" t="str">
        <x:v>Parle-G</x:v>
      </x:c>
      <x:c r="L1863" s="22" t="n">
        <x:v>12</x:v>
      </x:c>
      <x:c r="M1863" t="n">
        <x:v>38</x:v>
      </x:c>
      <x:c r="N1863" s="24" t="n">
        <x:v>0.1</x:v>
      </x:c>
      <x:c r="O1863" s="22" t="n">
        <x:f>L1863*M1863</x:f>
        <x:v>456</x:v>
      </x:c>
      <x:c r="P1863" s="22" t="n">
        <x:f>O1863*(1-N1863)</x:f>
        <x:v>410.40000000000003</x:v>
      </x:c>
      <x:c r="Q1863" s="22" t="n">
        <x:v>9</x:v>
      </x:c>
      <x:c r="R1863" s="22" t="n">
        <x:f>Q1863*M1863</x:f>
        <x:v>342</x:v>
      </x:c>
      <x:c r="S1863" s="22" t="n">
        <x:f>P1863-R1863</x:f>
        <x:v>68.40000000000003</x:v>
      </x:c>
      <x:c r="T1863" t="str">
        <x:v>Cash</x:v>
      </x:c>
      <x:c r="U1863" t="str">
        <x:v>Paid</x:v>
      </x:c>
      <x:c r="V1863" t="str">
        <x:v>Delivered</x:v>
      </x:c>
      <x:c r="W1863" t="n">
        <x:v>0</x:v>
      </x:c>
      <x:c r="X1863" t="str"/>
      <x:c r="Y1863" t="str">
        <x:v>WhatsApp</x:v>
      </x:c>
    </x:row>
    <x:row r="1864">
      <x:c r="A1864" t="str">
        <x:v>O001863</x:v>
      </x:c>
      <x:c r="B1864" s="20" t="n">
        <x:v>46224</x:v>
      </x:c>
      <x:c r="C1864" t="str">
        <x:v>C0144</x:v>
      </x:c>
      <x:c r="D1864" t="str">
        <x:v>Namma Foods 144</x:v>
      </x:c>
      <x:c r="E1864" t="str">
        <x:v>Restaurant</x:v>
      </x:c>
      <x:c r="F1864" t="str">
        <x:v>Tumakuru</x:v>
      </x:c>
      <x:c r="G1864" t="str">
        <x:v>Arjun</x:v>
      </x:c>
      <x:c r="H1864" t="str">
        <x:v>P001</x:v>
      </x:c>
      <x:c r="I1864" t="str">
        <x:v>Steam Rice 25kg</x:v>
      </x:c>
      <x:c r="J1864" t="str">
        <x:v>Staples</x:v>
      </x:c>
      <x:c r="K1864" t="str">
        <x:v>Aishwarya</x:v>
      </x:c>
      <x:c r="L1864" s="22" t="n">
        <x:v>1180</x:v>
      </x:c>
      <x:c r="M1864" t="n">
        <x:v>8</x:v>
      </x:c>
      <x:c r="N1864" s="24" t="n">
        <x:v>0.02</x:v>
      </x:c>
      <x:c r="O1864" s="22" t="n">
        <x:f>L1864*M1864</x:f>
        <x:v>9440</x:v>
      </x:c>
      <x:c r="P1864" s="22" t="n">
        <x:f>O1864*(1-N1864)</x:f>
        <x:v>9251.2</x:v>
      </x:c>
      <x:c r="Q1864" s="22" t="n">
        <x:v>1040</x:v>
      </x:c>
      <x:c r="R1864" s="22" t="n">
        <x:f>Q1864*M1864</x:f>
        <x:v>8320</x:v>
      </x:c>
      <x:c r="S1864" s="22" t="n">
        <x:f>P1864-R1864</x:f>
        <x:v>931.2000000000007</x:v>
      </x:c>
      <x:c r="T1864" t="str">
        <x:v>Credit</x:v>
      </x:c>
      <x:c r="U1864" t="str">
        <x:v>Paid</x:v>
      </x:c>
      <x:c r="V1864" t="str">
        <x:v>Delivered</x:v>
      </x:c>
      <x:c r="W1864" t="n">
        <x:v>0</x:v>
      </x:c>
      <x:c r="X1864" t="str"/>
      <x:c r="Y1864" t="str">
        <x:v>Existing Customer</x:v>
      </x:c>
    </x:row>
    <x:row r="1865">
      <x:c r="A1865" t="str">
        <x:v>O001864</x:v>
      </x:c>
      <x:c r="B1865" s="20" t="n">
        <x:v>46179</x:v>
      </x:c>
      <x:c r="C1865" t="str">
        <x:v>C0071</x:v>
      </x:c>
      <x:c r="D1865" t="str">
        <x:v>Shree Restaurant 71</x:v>
      </x:c>
      <x:c r="E1865" t="str">
        <x:v>Cafe</x:v>
      </x:c>
      <x:c r="F1865" t="str">
        <x:v>Tumakuru</x:v>
      </x:c>
      <x:c r="G1865" t="str">
        <x:v>Sneha</x:v>
      </x:c>
      <x:c r="H1865" t="str">
        <x:v>P005</x:v>
      </x:c>
      <x:c r="I1865" t="str">
        <x:v>Chana Dal 5kg</x:v>
      </x:c>
      <x:c r="J1865" t="str">
        <x:v>Pulses</x:v>
      </x:c>
      <x:c r="K1865" t="str">
        <x:v>Local Select</x:v>
      </x:c>
      <x:c r="L1865" s="22" t="n">
        <x:v>520</x:v>
      </x:c>
      <x:c r="M1865" t="n">
        <x:v>13</x:v>
      </x:c>
      <x:c r="N1865" s="24" t="n">
        <x:v>0.05</x:v>
      </x:c>
      <x:c r="O1865" s="22" t="n">
        <x:f>L1865*M1865</x:f>
        <x:v>6760</x:v>
      </x:c>
      <x:c r="P1865" s="22" t="n">
        <x:f>O1865*(1-N1865)</x:f>
        <x:v>6422</x:v>
      </x:c>
      <x:c r="Q1865" s="22" t="n">
        <x:v>455</x:v>
      </x:c>
      <x:c r="R1865" s="22" t="n">
        <x:f>Q1865*M1865</x:f>
        <x:v>5915</x:v>
      </x:c>
      <x:c r="S1865" s="22" t="n">
        <x:f>P1865-R1865</x:f>
        <x:v>507</x:v>
      </x:c>
      <x:c r="T1865" t="str">
        <x:v>Cash</x:v>
      </x:c>
      <x:c r="U1865" t="str">
        <x:v>Paid</x:v>
      </x:c>
      <x:c r="V1865" t="str">
        <x:v>Delivered</x:v>
      </x:c>
      <x:c r="W1865" t="n">
        <x:v>0</x:v>
      </x:c>
      <x:c r="X1865" t="str"/>
      <x:c r="Y1865" t="str">
        <x:v>WhatsApp</x:v>
      </x:c>
    </x:row>
    <x:row r="1866">
      <x:c r="A1866" t="str">
        <x:v>O001865</x:v>
      </x:c>
      <x:c r="B1866" s="20" t="n">
        <x:v>45869</x:v>
      </x:c>
      <x:c r="C1866" t="str">
        <x:v>C0162</x:v>
      </x:c>
      <x:c r="D1866" t="str">
        <x:v>Udupi Foods 162</x:v>
      </x:c>
      <x:c r="E1866" t="str">
        <x:v>Restaurant</x:v>
      </x:c>
      <x:c r="F1866" t="str">
        <x:v>Mysuru</x:v>
      </x:c>
      <x:c r="G1866" t="str">
        <x:v>Ramesh</x:v>
      </x:c>
      <x:c r="H1866" t="str">
        <x:v>P022</x:v>
      </x:c>
      <x:c r="I1866" t="str">
        <x:v>Mineral Water 1L</x:v>
      </x:c>
      <x:c r="J1866" t="str">
        <x:v>Beverage</x:v>
      </x:c>
      <x:c r="K1866" t="str">
        <x:v>Bisleri</x:v>
      </x:c>
      <x:c r="L1866" s="22" t="n">
        <x:v>19</x:v>
      </x:c>
      <x:c r="M1866" t="n">
        <x:v>26</x:v>
      </x:c>
      <x:c r="N1866" s="24" t="n">
        <x:v>0.05</x:v>
      </x:c>
      <x:c r="O1866" s="22" t="n">
        <x:f>L1866*M1866</x:f>
        <x:v>494</x:v>
      </x:c>
      <x:c r="P1866" s="22" t="n">
        <x:f>O1866*(1-N1866)</x:f>
        <x:v>469.29999999999995</x:v>
      </x:c>
      <x:c r="Q1866" s="22" t="n">
        <x:v>15</x:v>
      </x:c>
      <x:c r="R1866" s="22" t="n">
        <x:f>Q1866*M1866</x:f>
        <x:v>390</x:v>
      </x:c>
      <x:c r="S1866" s="22" t="n">
        <x:f>P1866-R1866</x:f>
        <x:v>79.29999999999995</x:v>
      </x:c>
      <x:c r="T1866" t="str">
        <x:v>UPI</x:v>
      </x:c>
      <x:c r="U1866" t="str">
        <x:v>Overdue</x:v>
      </x:c>
      <x:c r="V1866" t="str">
        <x:v>Delivered</x:v>
      </x:c>
      <x:c r="W1866" t="n">
        <x:v>0</x:v>
      </x:c>
      <x:c r="X1866" t="str"/>
      <x:c r="Y1866" t="str">
        <x:v>Existing Customer</x:v>
      </x:c>
    </x:row>
    <x:row r="1867">
      <x:c r="A1867" t="str">
        <x:v>O001866</x:v>
      </x:c>
      <x:c r="B1867" s="20" t="n">
        <x:v>45668</x:v>
      </x:c>
      <x:c r="C1867" t="str">
        <x:v>C0075</x:v>
      </x:c>
      <x:c r="D1867" t="str">
        <x:v>Spice Foods 75</x:v>
      </x:c>
      <x:c r="E1867" t="str">
        <x:v>Kirana</x:v>
      </x:c>
      <x:c r="F1867" t="str">
        <x:v>Hubballi</x:v>
      </x:c>
      <x:c r="G1867" t="str">
        <x:v>Vikram</x:v>
      </x:c>
      <x:c r="H1867" t="str">
        <x:v>P021</x:v>
      </x:c>
      <x:c r="I1867" t="str">
        <x:v>Instant Coffee 200g</x:v>
      </x:c>
      <x:c r="J1867" t="str">
        <x:v>Beverage</x:v>
      </x:c>
      <x:c r="K1867" t="str">
        <x:v>Nescafe</x:v>
      </x:c>
      <x:c r="L1867" s="22" t="n">
        <x:v>460</x:v>
      </x:c>
      <x:c r="M1867" t="n">
        <x:v>39</x:v>
      </x:c>
      <x:c r="N1867" s="24" t="n">
        <x:v>0</x:v>
      </x:c>
      <x:c r="O1867" s="22" t="n">
        <x:f>L1867*M1867</x:f>
        <x:v>17940</x:v>
      </x:c>
      <x:c r="P1867" s="22" t="n">
        <x:f>O1867*(1-N1867)</x:f>
        <x:v>17940</x:v>
      </x:c>
      <x:c r="Q1867" s="22" t="n">
        <x:v>410</x:v>
      </x:c>
      <x:c r="R1867" s="22" t="n">
        <x:f>Q1867*M1867</x:f>
        <x:v>15990</x:v>
      </x:c>
      <x:c r="S1867" s="22" t="n">
        <x:f>P1867-R1867</x:f>
        <x:v>1950</x:v>
      </x:c>
      <x:c r="T1867" t="str">
        <x:v>Credit</x:v>
      </x:c>
      <x:c r="U1867" t="str">
        <x:v>Pending</x:v>
      </x:c>
      <x:c r="V1867" t="str">
        <x:v>Delivered</x:v>
      </x:c>
      <x:c r="W1867" t="n">
        <x:v>0</x:v>
      </x:c>
      <x:c r="X1867" t="str"/>
      <x:c r="Y1867" t="str">
        <x:v>Outbound Call</x:v>
      </x:c>
    </x:row>
    <x:row r="1868">
      <x:c r="A1868" t="str">
        <x:v>O001867</x:v>
      </x:c>
      <x:c r="B1868" s="20" t="n">
        <x:v>46066</x:v>
      </x:c>
      <x:c r="C1868" t="str">
        <x:v>C0009</x:v>
      </x:c>
      <x:c r="D1868" t="str">
        <x:v>Darshini Hotel 9</x:v>
      </x:c>
      <x:c r="E1868" t="str">
        <x:v>Cafe</x:v>
      </x:c>
      <x:c r="F1868" t="str">
        <x:v>Hubballi</x:v>
      </x:c>
      <x:c r="G1868" t="str">
        <x:v>Imran</x:v>
      </x:c>
      <x:c r="H1868" t="str">
        <x:v>P011</x:v>
      </x:c>
      <x:c r="I1868" t="str">
        <x:v>Salt 1kg</x:v>
      </x:c>
      <x:c r="J1868" t="str">
        <x:v>Staples</x:v>
      </x:c>
      <x:c r="K1868" t="str">
        <x:v>Tata</x:v>
      </x:c>
      <x:c r="L1868" s="22" t="n">
        <x:v>28</x:v>
      </x:c>
      <x:c r="M1868" t="n">
        <x:v>9</x:v>
      </x:c>
      <x:c r="N1868" s="24" t="n">
        <x:v>0.1</x:v>
      </x:c>
      <x:c r="O1868" s="22" t="n">
        <x:f>L1868*M1868</x:f>
        <x:v>252</x:v>
      </x:c>
      <x:c r="P1868" s="22" t="n">
        <x:f>O1868*(1-N1868)</x:f>
        <x:v>226.8</x:v>
      </x:c>
      <x:c r="Q1868" s="22" t="n">
        <x:v>23</x:v>
      </x:c>
      <x:c r="R1868" s="22" t="n">
        <x:f>Q1868*M1868</x:f>
        <x:v>207</x:v>
      </x:c>
      <x:c r="S1868" s="22" t="n">
        <x:f>P1868-R1868</x:f>
        <x:v>19.80000000000001</x:v>
      </x:c>
      <x:c r="T1868" t="str">
        <x:v>UPI</x:v>
      </x:c>
      <x:c r="U1868" t="str">
        <x:v>Paid</x:v>
      </x:c>
      <x:c r="V1868" t="str">
        <x:v>Delivered</x:v>
      </x:c>
      <x:c r="W1868" t="n">
        <x:v>0</x:v>
      </x:c>
      <x:c r="X1868" t="str"/>
      <x:c r="Y1868" t="str">
        <x:v>Outbound Call</x:v>
      </x:c>
    </x:row>
    <x:row r="1869">
      <x:c r="A1869" t="str">
        <x:v>O001868</x:v>
      </x:c>
      <x:c r="B1869" s="20" t="n">
        <x:v>45935</x:v>
      </x:c>
      <x:c r="C1869" t="str">
        <x:v>C0140</x:v>
      </x:c>
      <x:c r="D1869" t="str">
        <x:v>Fresh Hotel 140</x:v>
      </x:c>
      <x:c r="E1869" t="str">
        <x:v>Kirana</x:v>
      </x:c>
      <x:c r="F1869" t="str">
        <x:v>Tumakuru</x:v>
      </x:c>
      <x:c r="G1869" t="str">
        <x:v>Imran</x:v>
      </x:c>
      <x:c r="H1869" t="str">
        <x:v>P012</x:v>
      </x:c>
      <x:c r="I1869" t="str">
        <x:v>Maida 10kg</x:v>
      </x:c>
      <x:c r="J1869" t="str">
        <x:v>Flour</x:v>
      </x:c>
      <x:c r="K1869" t="str">
        <x:v>Aashirvaad</x:v>
      </x:c>
      <x:c r="L1869" s="22" t="n">
        <x:v>520</x:v>
      </x:c>
      <x:c r="M1869" t="n">
        <x:v>35</x:v>
      </x:c>
      <x:c r="N1869" s="24" t="n">
        <x:v>0.05</x:v>
      </x:c>
      <x:c r="O1869" s="22" t="n">
        <x:f>L1869*M1869</x:f>
        <x:v>18200</x:v>
      </x:c>
      <x:c r="P1869" s="22" t="n">
        <x:f>O1869*(1-N1869)</x:f>
        <x:v>17290</x:v>
      </x:c>
      <x:c r="Q1869" s="22" t="n">
        <x:v>460</x:v>
      </x:c>
      <x:c r="R1869" s="22" t="n">
        <x:f>Q1869*M1869</x:f>
        <x:v>16100</x:v>
      </x:c>
      <x:c r="S1869" s="22" t="n">
        <x:f>P1869-R1869</x:f>
        <x:v>1190</x:v>
      </x:c>
      <x:c r="T1869" t="str">
        <x:v>Cash</x:v>
      </x:c>
      <x:c r="U1869" t="str">
        <x:v>Paid</x:v>
      </x:c>
      <x:c r="V1869" t="str">
        <x:v>Delivered</x:v>
      </x:c>
      <x:c r="W1869" t="n">
        <x:v>2</x:v>
      </x:c>
      <x:c r="X1869" t="str">
        <x:v>Damaged</x:v>
      </x:c>
      <x:c r="Y1869" t="str">
        <x:v>Field Visit</x:v>
      </x:c>
    </x:row>
    <x:row r="1870">
      <x:c r="A1870" t="str">
        <x:v>O001869</x:v>
      </x:c>
      <x:c r="B1870" s="20" t="n">
        <x:v>46222</x:v>
      </x:c>
      <x:c r="C1870" t="str">
        <x:v>C0171</x:v>
      </x:c>
      <x:c r="D1870" t="str">
        <x:v>Metro Canteen 171</x:v>
      </x:c>
      <x:c r="E1870" t="str">
        <x:v>Restaurant</x:v>
      </x:c>
      <x:c r="F1870" t="str">
        <x:v>Mangaluru</x:v>
      </x:c>
      <x:c r="G1870" t="str">
        <x:v>Priya</x:v>
      </x:c>
      <x:c r="H1870" t="str">
        <x:v>P035</x:v>
      </x:c>
      <x:c r="I1870" t="str">
        <x:v>Coriander Powder 1kg</x:v>
      </x:c>
      <x:c r="J1870" t="str">
        <x:v>Spices</x:v>
      </x:c>
      <x:c r="K1870" t="str">
        <x:v>Everest</x:v>
      </x:c>
      <x:c r="L1870" s="22" t="n">
        <x:v>280</x:v>
      </x:c>
      <x:c r="M1870" t="n">
        <x:v>16</x:v>
      </x:c>
      <x:c r="N1870" s="24" t="n">
        <x:v>0.05</x:v>
      </x:c>
      <x:c r="O1870" s="22" t="n">
        <x:f>L1870*M1870</x:f>
        <x:v>4480</x:v>
      </x:c>
      <x:c r="P1870" s="22" t="n">
        <x:f>O1870*(1-N1870)</x:f>
        <x:v>4256</x:v>
      </x:c>
      <x:c r="Q1870" s="22" t="n">
        <x:v>245</x:v>
      </x:c>
      <x:c r="R1870" s="22" t="n">
        <x:f>Q1870*M1870</x:f>
        <x:v>3920</x:v>
      </x:c>
      <x:c r="S1870" s="22" t="n">
        <x:f>P1870-R1870</x:f>
        <x:v>336</x:v>
      </x:c>
      <x:c r="T1870" t="str">
        <x:v>Credit</x:v>
      </x:c>
      <x:c r="U1870" t="str">
        <x:v>Paid</x:v>
      </x:c>
      <x:c r="V1870" t="str">
        <x:v>Cancelled</x:v>
      </x:c>
      <x:c r="W1870" t="n">
        <x:v>16</x:v>
      </x:c>
      <x:c r="X1870" t="str">
        <x:v>Cancelled Order</x:v>
      </x:c>
      <x:c r="Y1870" t="str">
        <x:v>Outbound Call</x:v>
      </x:c>
    </x:row>
    <x:row r="1871">
      <x:c r="A1871" t="str">
        <x:v>O001870</x:v>
      </x:c>
      <x:c r="B1871" s="20" t="n">
        <x:v>45672</x:v>
      </x:c>
      <x:c r="C1871" t="str">
        <x:v>C0107</x:v>
      </x:c>
      <x:c r="D1871" t="str">
        <x:v>Mysore Cafe 107</x:v>
      </x:c>
      <x:c r="E1871" t="str">
        <x:v>Supermarket</x:v>
      </x:c>
      <x:c r="F1871" t="str">
        <x:v>Tumakuru</x:v>
      </x:c>
      <x:c r="G1871" t="str">
        <x:v>Megha</x:v>
      </x:c>
      <x:c r="H1871" t="str">
        <x:v>P016</x:v>
      </x:c>
      <x:c r="I1871" t="str">
        <x:v>Curd 1kg</x:v>
      </x:c>
      <x:c r="J1871" t="str">
        <x:v>Dairy</x:v>
      </x:c>
      <x:c r="K1871" t="str">
        <x:v>Nandini</x:v>
      </x:c>
      <x:c r="L1871" s="22" t="n">
        <x:v>72</x:v>
      </x:c>
      <x:c r="M1871" t="n">
        <x:v>10</x:v>
      </x:c>
      <x:c r="N1871" s="24" t="n">
        <x:v>0.08</x:v>
      </x:c>
      <x:c r="O1871" s="22" t="n">
        <x:f>L1871*M1871</x:f>
        <x:v>720</x:v>
      </x:c>
      <x:c r="P1871" s="22" t="n">
        <x:f>O1871*(1-N1871)</x:f>
        <x:v>662.4</x:v>
      </x:c>
      <x:c r="Q1871" s="22" t="n">
        <x:v>64</x:v>
      </x:c>
      <x:c r="R1871" s="22" t="n">
        <x:f>Q1871*M1871</x:f>
        <x:v>640</x:v>
      </x:c>
      <x:c r="S1871" s="22" t="n">
        <x:f>P1871-R1871</x:f>
        <x:v>22.399999999999977</x:v>
      </x:c>
      <x:c r="T1871" t="str">
        <x:v>Credit</x:v>
      </x:c>
      <x:c r="U1871" t="str">
        <x:v>Pending</x:v>
      </x:c>
      <x:c r="V1871" t="str">
        <x:v>Delivered</x:v>
      </x:c>
      <x:c r="W1871" t="n">
        <x:v>2</x:v>
      </x:c>
      <x:c r="X1871" t="str">
        <x:v>Damaged</x:v>
      </x:c>
      <x:c r="Y1871" t="str">
        <x:v>Field Visit</x:v>
      </x:c>
    </x:row>
    <x:row r="1872">
      <x:c r="A1872" t="str">
        <x:v>O001871</x:v>
      </x:c>
      <x:c r="B1872" s="20" t="n">
        <x:v>46070</x:v>
      </x:c>
      <x:c r="C1872" t="str">
        <x:v>C0195</x:v>
      </x:c>
      <x:c r="D1872" t="str">
        <x:v>Classic Stores 195</x:v>
      </x:c>
      <x:c r="E1872" t="str">
        <x:v>Canteen</x:v>
      </x:c>
      <x:c r="F1872" t="str">
        <x:v>Davanagere</x:v>
      </x:c>
      <x:c r="G1872" t="str">
        <x:v>Kavya</x:v>
      </x:c>
      <x:c r="H1872" t="str">
        <x:v>P044</x:v>
      </x:c>
      <x:c r="I1872" t="str">
        <x:v>Chicken Curry Cut 1kg</x:v>
      </x:c>
      <x:c r="J1872" t="str">
        <x:v>Protein</x:v>
      </x:c>
      <x:c r="K1872" t="str">
        <x:v>FreshToHome</x:v>
      </x:c>
      <x:c r="L1872" s="22" t="n">
        <x:v>230</x:v>
      </x:c>
      <x:c r="M1872" t="n">
        <x:v>7</x:v>
      </x:c>
      <x:c r="N1872" s="24" t="n">
        <x:v>0.03</x:v>
      </x:c>
      <x:c r="O1872" s="22" t="n">
        <x:f>L1872*M1872</x:f>
        <x:v>1610</x:v>
      </x:c>
      <x:c r="P1872" s="22" t="n">
        <x:f>O1872*(1-N1872)</x:f>
        <x:v>1561.7</x:v>
      </x:c>
      <x:c r="Q1872" s="22" t="n">
        <x:v>205</x:v>
      </x:c>
      <x:c r="R1872" s="22" t="n">
        <x:f>Q1872*M1872</x:f>
        <x:v>1435</x:v>
      </x:c>
      <x:c r="S1872" s="22" t="n">
        <x:f>P1872-R1872</x:f>
        <x:v>126.70000000000005</x:v>
      </x:c>
      <x:c r="T1872" t="str">
        <x:v>Cash</x:v>
      </x:c>
      <x:c r="U1872" t="str">
        <x:v>Paid</x:v>
      </x:c>
      <x:c r="V1872" t="str">
        <x:v>Delivered</x:v>
      </x:c>
      <x:c r="W1872" t="n">
        <x:v>0</x:v>
      </x:c>
      <x:c r="X1872" t="str"/>
      <x:c r="Y1872" t="str">
        <x:v>Field Visit</x:v>
      </x:c>
    </x:row>
    <x:row r="1873">
      <x:c r="A1873" t="str">
        <x:v>O001872</x:v>
      </x:c>
      <x:c r="B1873" s="20" t="n">
        <x:v>45925</x:v>
      </x:c>
      <x:c r="C1873" t="str">
        <x:v>C0025</x:v>
      </x:c>
      <x:c r="D1873" t="str">
        <x:v>Sri Cafe 25</x:v>
      </x:c>
      <x:c r="E1873" t="str">
        <x:v>Hotel</x:v>
      </x:c>
      <x:c r="F1873" t="str">
        <x:v>Mysuru</x:v>
      </x:c>
      <x:c r="G1873" t="str">
        <x:v>Kavya</x:v>
      </x:c>
      <x:c r="H1873" t="str">
        <x:v>P036</x:v>
      </x:c>
      <x:c r="I1873" t="str">
        <x:v>Garam Masala 500g</x:v>
      </x:c>
      <x:c r="J1873" t="str">
        <x:v>Spices</x:v>
      </x:c>
      <x:c r="K1873" t="str">
        <x:v>MDH</x:v>
      </x:c>
      <x:c r="L1873" s="22" t="n">
        <x:v>265</x:v>
      </x:c>
      <x:c r="M1873" t="n">
        <x:v>37</x:v>
      </x:c>
      <x:c r="N1873" s="24" t="n">
        <x:v>0</x:v>
      </x:c>
      <x:c r="O1873" s="22" t="n">
        <x:f>L1873*M1873</x:f>
        <x:v>9805</x:v>
      </x:c>
      <x:c r="P1873" s="22" t="n">
        <x:f>O1873*(1-N1873)</x:f>
        <x:v>9805</x:v>
      </x:c>
      <x:c r="Q1873" s="22" t="n">
        <x:v>230</x:v>
      </x:c>
      <x:c r="R1873" s="22" t="n">
        <x:f>Q1873*M1873</x:f>
        <x:v>8510</x:v>
      </x:c>
      <x:c r="S1873" s="22" t="n">
        <x:f>P1873-R1873</x:f>
        <x:v>1295</x:v>
      </x:c>
      <x:c r="T1873" t="str">
        <x:v>Credit</x:v>
      </x:c>
      <x:c r="U1873" t="str">
        <x:v>Overdue</x:v>
      </x:c>
      <x:c r="V1873" t="str">
        <x:v>Cancelled</x:v>
      </x:c>
      <x:c r="W1873" t="n">
        <x:v>37</x:v>
      </x:c>
      <x:c r="X1873" t="str">
        <x:v>Cancelled Order</x:v>
      </x:c>
      <x:c r="Y1873" t="str">
        <x:v>Field Visit</x:v>
      </x:c>
    </x:row>
    <x:row r="1874">
      <x:c r="A1874" t="str">
        <x:v>O001873</x:v>
      </x:c>
      <x:c r="B1874" s="20" t="n">
        <x:v>46172</x:v>
      </x:c>
      <x:c r="C1874" t="str">
        <x:v>C0146</x:v>
      </x:c>
      <x:c r="D1874" t="str">
        <x:v>Annapurna Hotel 146</x:v>
      </x:c>
      <x:c r="E1874" t="str">
        <x:v>Restaurant</x:v>
      </x:c>
      <x:c r="F1874" t="str">
        <x:v>Davanagere</x:v>
      </x:c>
      <x:c r="G1874" t="str">
        <x:v>Arjun</x:v>
      </x:c>
      <x:c r="H1874" t="str">
        <x:v>P004</x:v>
      </x:c>
      <x:c r="I1874" t="str">
        <x:v>Toor Dal 5kg</x:v>
      </x:c>
      <x:c r="J1874" t="str">
        <x:v>Pulses</x:v>
      </x:c>
      <x:c r="K1874" t="str">
        <x:v>Tata Sampann</x:v>
      </x:c>
      <x:c r="L1874" s="22" t="n">
        <x:v>780</x:v>
      </x:c>
      <x:c r="M1874" t="n">
        <x:v>31</x:v>
      </x:c>
      <x:c r="N1874" s="24" t="n">
        <x:v>0.08</x:v>
      </x:c>
      <x:c r="O1874" s="22" t="n">
        <x:f>L1874*M1874</x:f>
        <x:v>24180</x:v>
      </x:c>
      <x:c r="P1874" s="22" t="n">
        <x:f>O1874*(1-N1874)</x:f>
        <x:v>22245.600000000002</x:v>
      </x:c>
      <x:c r="Q1874" s="22" t="n">
        <x:v>695</x:v>
      </x:c>
      <x:c r="R1874" s="22" t="n">
        <x:f>Q1874*M1874</x:f>
        <x:v>21545</x:v>
      </x:c>
      <x:c r="S1874" s="22" t="n">
        <x:f>P1874-R1874</x:f>
        <x:v>700.6000000000022</x:v>
      </x:c>
      <x:c r="T1874" t="str">
        <x:v>UPI</x:v>
      </x:c>
      <x:c r="U1874" t="str">
        <x:v>Paid</x:v>
      </x:c>
      <x:c r="V1874" t="str">
        <x:v>Delayed</x:v>
      </x:c>
      <x:c r="W1874" t="n">
        <x:v>0</x:v>
      </x:c>
      <x:c r="X1874" t="str"/>
      <x:c r="Y1874" t="str">
        <x:v>WhatsApp</x:v>
      </x:c>
    </x:row>
    <x:row r="1875">
      <x:c r="A1875" t="str">
        <x:v>O001874</x:v>
      </x:c>
      <x:c r="B1875" s="20" t="n">
        <x:v>45693</x:v>
      </x:c>
      <x:c r="C1875" t="str">
        <x:v>C0225</x:v>
      </x:c>
      <x:c r="D1875" t="str">
        <x:v>Darshini Mart 225</x:v>
      </x:c>
      <x:c r="E1875" t="str">
        <x:v>Restaurant</x:v>
      </x:c>
      <x:c r="F1875" t="str">
        <x:v>Davanagere</x:v>
      </x:c>
      <x:c r="G1875" t="str">
        <x:v>Kavya</x:v>
      </x:c>
      <x:c r="H1875" t="str">
        <x:v>P042</x:v>
      </x:c>
      <x:c r="I1875" t="str">
        <x:v>Eggs 30pc Tray</x:v>
      </x:c>
      <x:c r="J1875" t="str">
        <x:v>Protein</x:v>
      </x:c>
      <x:c r="K1875" t="str">
        <x:v>Farm Fresh</x:v>
      </x:c>
      <x:c r="L1875" s="22" t="n">
        <x:v>195</x:v>
      </x:c>
      <x:c r="M1875" t="n">
        <x:v>2</x:v>
      </x:c>
      <x:c r="N1875" s="24" t="n">
        <x:v>0</x:v>
      </x:c>
      <x:c r="O1875" s="22" t="n">
        <x:f>L1875*M1875</x:f>
        <x:v>390</x:v>
      </x:c>
      <x:c r="P1875" s="22" t="n">
        <x:f>O1875*(1-N1875)</x:f>
        <x:v>390</x:v>
      </x:c>
      <x:c r="Q1875" s="22" t="n">
        <x:v>170</x:v>
      </x:c>
      <x:c r="R1875" s="22" t="n">
        <x:f>Q1875*M1875</x:f>
        <x:v>340</x:v>
      </x:c>
      <x:c r="S1875" s="22" t="n">
        <x:f>P1875-R1875</x:f>
        <x:v>50</x:v>
      </x:c>
      <x:c r="T1875" t="str">
        <x:v>Bank Transfer</x:v>
      </x:c>
      <x:c r="U1875" t="str">
        <x:v>Paid</x:v>
      </x:c>
      <x:c r="V1875" t="str">
        <x:v>Cancelled</x:v>
      </x:c>
      <x:c r="W1875" t="n">
        <x:v>2</x:v>
      </x:c>
      <x:c r="X1875" t="str">
        <x:v>Cancelled Order</x:v>
      </x:c>
      <x:c r="Y1875" t="str">
        <x:v>Outbound Call</x:v>
      </x:c>
    </x:row>
    <x:row r="1876">
      <x:c r="A1876" t="str">
        <x:v>O001875</x:v>
      </x:c>
      <x:c r="B1876" s="20" t="n">
        <x:v>45968</x:v>
      </x:c>
      <x:c r="C1876" t="str">
        <x:v>C0070</x:v>
      </x:c>
      <x:c r="D1876" t="str">
        <x:v>Metro Stores 70</x:v>
      </x:c>
      <x:c r="E1876" t="str">
        <x:v>Cafe</x:v>
      </x:c>
      <x:c r="F1876" t="str">
        <x:v>Bengaluru</x:v>
      </x:c>
      <x:c r="G1876" t="str">
        <x:v>Vikram</x:v>
      </x:c>
      <x:c r="H1876" t="str">
        <x:v>P019</x:v>
      </x:c>
      <x:c r="I1876" t="str">
        <x:v>Tea 1kg</x:v>
      </x:c>
      <x:c r="J1876" t="str">
        <x:v>Beverage</x:v>
      </x:c>
      <x:c r="K1876" t="str">
        <x:v>Red Label</x:v>
      </x:c>
      <x:c r="L1876" s="22" t="n">
        <x:v>540</x:v>
      </x:c>
      <x:c r="M1876" t="n">
        <x:v>17</x:v>
      </x:c>
      <x:c r="N1876" s="24" t="n">
        <x:v>0</x:v>
      </x:c>
      <x:c r="O1876" s="22" t="n">
        <x:f>L1876*M1876</x:f>
        <x:v>9180</x:v>
      </x:c>
      <x:c r="P1876" s="22" t="n">
        <x:f>O1876*(1-N1876)</x:f>
        <x:v>9180</x:v>
      </x:c>
      <x:c r="Q1876" s="22" t="n">
        <x:v>485</x:v>
      </x:c>
      <x:c r="R1876" s="22" t="n">
        <x:f>Q1876*M1876</x:f>
        <x:v>8245</x:v>
      </x:c>
      <x:c r="S1876" s="22" t="n">
        <x:f>P1876-R1876</x:f>
        <x:v>935</x:v>
      </x:c>
      <x:c r="T1876" t="str">
        <x:v>UPI</x:v>
      </x:c>
      <x:c r="U1876" t="str">
        <x:v>Paid</x:v>
      </x:c>
      <x:c r="V1876" t="str">
        <x:v>Delivered</x:v>
      </x:c>
      <x:c r="W1876" t="n">
        <x:v>0</x:v>
      </x:c>
      <x:c r="X1876" t="str"/>
      <x:c r="Y1876" t="str">
        <x:v>WhatsApp</x:v>
      </x:c>
    </x:row>
    <x:row r="1877">
      <x:c r="A1877" t="str">
        <x:v>O001876</x:v>
      </x:c>
      <x:c r="B1877" s="20" t="n">
        <x:v>46041</x:v>
      </x:c>
      <x:c r="C1877" t="str">
        <x:v>C0238</x:v>
      </x:c>
      <x:c r="D1877" t="str">
        <x:v>Foodie Foods 238</x:v>
      </x:c>
      <x:c r="E1877" t="str">
        <x:v>Restaurant</x:v>
      </x:c>
      <x:c r="F1877" t="str">
        <x:v>Davanagere</x:v>
      </x:c>
      <x:c r="G1877" t="str">
        <x:v>Megha</x:v>
      </x:c>
      <x:c r="H1877" t="str">
        <x:v>P026</x:v>
      </x:c>
      <x:c r="I1877" t="str">
        <x:v>Banana Chips 80g</x:v>
      </x:c>
      <x:c r="J1877" t="str">
        <x:v>Snacks</x:v>
      </x:c>
      <x:c r="K1877" t="str">
        <x:v>SSS</x:v>
      </x:c>
      <x:c r="L1877" s="22" t="n">
        <x:v>54</x:v>
      </x:c>
      <x:c r="M1877" t="n">
        <x:v>11</x:v>
      </x:c>
      <x:c r="N1877" s="24" t="n">
        <x:v>0.02</x:v>
      </x:c>
      <x:c r="O1877" s="22" t="n">
        <x:f>L1877*M1877</x:f>
        <x:v>594</x:v>
      </x:c>
      <x:c r="P1877" s="22" t="n">
        <x:f>O1877*(1-N1877)</x:f>
        <x:v>582.12</x:v>
      </x:c>
      <x:c r="Q1877" s="22" t="n">
        <x:v>39</x:v>
      </x:c>
      <x:c r="R1877" s="22" t="n">
        <x:f>Q1877*M1877</x:f>
        <x:v>429</x:v>
      </x:c>
      <x:c r="S1877" s="22" t="n">
        <x:f>P1877-R1877</x:f>
        <x:v>153.12</x:v>
      </x:c>
      <x:c r="T1877" t="str">
        <x:v>UPI</x:v>
      </x:c>
      <x:c r="U1877" t="str">
        <x:v>Paid</x:v>
      </x:c>
      <x:c r="V1877" t="str">
        <x:v>Delivered</x:v>
      </x:c>
      <x:c r="W1877" t="n">
        <x:v>0</x:v>
      </x:c>
      <x:c r="X1877" t="str"/>
      <x:c r="Y1877" t="str">
        <x:v>Field Visit</x:v>
      </x:c>
    </x:row>
    <x:row r="1878">
      <x:c r="A1878" t="str">
        <x:v>O001877</x:v>
      </x:c>
      <x:c r="B1878" s="20" t="n">
        <x:v>45798</x:v>
      </x:c>
      <x:c r="C1878" t="str">
        <x:v>C0112</x:v>
      </x:c>
      <x:c r="D1878" t="str">
        <x:v>Cafe Hotel 112</x:v>
      </x:c>
      <x:c r="E1878" t="str">
        <x:v>Hotel</x:v>
      </x:c>
      <x:c r="F1878" t="str">
        <x:v>Mangaluru</x:v>
      </x:c>
      <x:c r="G1878" t="str">
        <x:v>Kavya</x:v>
      </x:c>
      <x:c r="H1878" t="str">
        <x:v>P031</x:v>
      </x:c>
      <x:c r="I1878" t="str">
        <x:v>Chilli Sauce 700g</x:v>
      </x:c>
      <x:c r="J1878" t="str">
        <x:v>Condiments</x:v>
      </x:c>
      <x:c r="K1878" t="str">
        <x:v>Ching's</x:v>
      </x:c>
      <x:c r="L1878" s="22" t="n">
        <x:v>130</x:v>
      </x:c>
      <x:c r="M1878" t="n">
        <x:v>21</x:v>
      </x:c>
      <x:c r="N1878" s="24" t="n">
        <x:v>0.08</x:v>
      </x:c>
      <x:c r="O1878" s="22" t="n">
        <x:f>L1878*M1878</x:f>
        <x:v>2730</x:v>
      </x:c>
      <x:c r="P1878" s="22" t="n">
        <x:f>O1878*(1-N1878)</x:f>
        <x:v>2511.6</x:v>
      </x:c>
      <x:c r="Q1878" s="22" t="n">
        <x:v>112</x:v>
      </x:c>
      <x:c r="R1878" s="22" t="n">
        <x:f>Q1878*M1878</x:f>
        <x:v>2352</x:v>
      </x:c>
      <x:c r="S1878" s="22" t="n">
        <x:f>P1878-R1878</x:f>
        <x:v>159.5999999999999</x:v>
      </x:c>
      <x:c r="T1878" t="str">
        <x:v>Bank Transfer</x:v>
      </x:c>
      <x:c r="U1878" t="str">
        <x:v>Paid</x:v>
      </x:c>
      <x:c r="V1878" t="str">
        <x:v>Delivered</x:v>
      </x:c>
      <x:c r="W1878" t="n">
        <x:v>0</x:v>
      </x:c>
      <x:c r="X1878" t="str"/>
      <x:c r="Y1878" t="str">
        <x:v>Outbound Call</x:v>
      </x:c>
    </x:row>
    <x:row r="1879">
      <x:c r="A1879" t="str">
        <x:v>O001878</x:v>
      </x:c>
      <x:c r="B1879" s="20" t="n">
        <x:v>45959</x:v>
      </x:c>
      <x:c r="C1879" t="str">
        <x:v>C0056</x:v>
      </x:c>
      <x:c r="D1879" t="str">
        <x:v>City Stores 56</x:v>
      </x:c>
      <x:c r="E1879" t="str">
        <x:v>Canteen</x:v>
      </x:c>
      <x:c r="F1879" t="str">
        <x:v>Davanagere</x:v>
      </x:c>
      <x:c r="G1879" t="str">
        <x:v>Imran</x:v>
      </x:c>
      <x:c r="H1879" t="str">
        <x:v>P041</x:v>
      </x:c>
      <x:c r="I1879" t="str">
        <x:v>Burger Bun 6pc</x:v>
      </x:c>
      <x:c r="J1879" t="str">
        <x:v>Bakery</x:v>
      </x:c>
      <x:c r="K1879" t="str">
        <x:v>Modern</x:v>
      </x:c>
      <x:c r="L1879" s="22" t="n">
        <x:v>42</x:v>
      </x:c>
      <x:c r="M1879" t="n">
        <x:v>29</x:v>
      </x:c>
      <x:c r="N1879" s="24" t="n">
        <x:v>0.05</x:v>
      </x:c>
      <x:c r="O1879" s="22" t="n">
        <x:f>L1879*M1879</x:f>
        <x:v>1218</x:v>
      </x:c>
      <x:c r="P1879" s="22" t="n">
        <x:f>O1879*(1-N1879)</x:f>
        <x:v>1157.1</x:v>
      </x:c>
      <x:c r="Q1879" s="22" t="n">
        <x:v>32</x:v>
      </x:c>
      <x:c r="R1879" s="22" t="n">
        <x:f>Q1879*M1879</x:f>
        <x:v>928</x:v>
      </x:c>
      <x:c r="S1879" s="22" t="n">
        <x:f>P1879-R1879</x:f>
        <x:v>229.0999999999999</x:v>
      </x:c>
      <x:c r="T1879" t="str">
        <x:v>Cash</x:v>
      </x:c>
      <x:c r="U1879" t="str">
        <x:v>Paid</x:v>
      </x:c>
      <x:c r="V1879" t="str">
        <x:v>Delivered</x:v>
      </x:c>
      <x:c r="W1879" t="n">
        <x:v>0</x:v>
      </x:c>
      <x:c r="X1879" t="str"/>
      <x:c r="Y1879" t="str">
        <x:v>Field Visit</x:v>
      </x:c>
    </x:row>
    <x:row r="1880">
      <x:c r="A1880" t="str">
        <x:v>O001879</x:v>
      </x:c>
      <x:c r="B1880" s="20" t="n">
        <x:v>46039</x:v>
      </x:c>
      <x:c r="C1880" t="str">
        <x:v>C0176</x:v>
      </x:c>
      <x:c r="D1880" t="str">
        <x:v>Cafe Kitchen 176</x:v>
      </x:c>
      <x:c r="E1880" t="str">
        <x:v>Kirana</x:v>
      </x:c>
      <x:c r="F1880" t="str">
        <x:v>Mysuru</x:v>
      </x:c>
      <x:c r="G1880" t="str">
        <x:v>Priya</x:v>
      </x:c>
      <x:c r="H1880" t="str">
        <x:v>P021</x:v>
      </x:c>
      <x:c r="I1880" t="str">
        <x:v>Instant Coffee 200g</x:v>
      </x:c>
      <x:c r="J1880" t="str">
        <x:v>Beverage</x:v>
      </x:c>
      <x:c r="K1880" t="str">
        <x:v>Nescafe</x:v>
      </x:c>
      <x:c r="L1880" s="22" t="n">
        <x:v>460</x:v>
      </x:c>
      <x:c r="M1880" t="n">
        <x:v>39</x:v>
      </x:c>
      <x:c r="N1880" s="24" t="n">
        <x:v>0</x:v>
      </x:c>
      <x:c r="O1880" s="22" t="n">
        <x:f>L1880*M1880</x:f>
        <x:v>17940</x:v>
      </x:c>
      <x:c r="P1880" s="22" t="n">
        <x:f>O1880*(1-N1880)</x:f>
        <x:v>17940</x:v>
      </x:c>
      <x:c r="Q1880" s="22" t="n">
        <x:v>410</x:v>
      </x:c>
      <x:c r="R1880" s="22" t="n">
        <x:f>Q1880*M1880</x:f>
        <x:v>15990</x:v>
      </x:c>
      <x:c r="S1880" s="22" t="n">
        <x:f>P1880-R1880</x:f>
        <x:v>1950</x:v>
      </x:c>
      <x:c r="T1880" t="str">
        <x:v>Credit</x:v>
      </x:c>
      <x:c r="U1880" t="str">
        <x:v>Paid</x:v>
      </x:c>
      <x:c r="V1880" t="str">
        <x:v>Delivered</x:v>
      </x:c>
      <x:c r="W1880" t="n">
        <x:v>0</x:v>
      </x:c>
      <x:c r="X1880" t="str"/>
      <x:c r="Y1880" t="str">
        <x:v>Referral</x:v>
      </x:c>
    </x:row>
    <x:row r="1881">
      <x:c r="A1881" t="str">
        <x:v>O001880</x:v>
      </x:c>
      <x:c r="B1881" s="20" t="n">
        <x:v>46158</x:v>
      </x:c>
      <x:c r="C1881" t="str">
        <x:v>C0081</x:v>
      </x:c>
      <x:c r="D1881" t="str">
        <x:v>Foodie Mart 81</x:v>
      </x:c>
      <x:c r="E1881" t="str">
        <x:v>Supermarket</x:v>
      </x:c>
      <x:c r="F1881" t="str">
        <x:v>Hubballi</x:v>
      </x:c>
      <x:c r="G1881" t="str">
        <x:v>Kavya</x:v>
      </x:c>
      <x:c r="H1881" t="str">
        <x:v>P001</x:v>
      </x:c>
      <x:c r="I1881" t="str">
        <x:v>Steam Rice 25kg</x:v>
      </x:c>
      <x:c r="J1881" t="str">
        <x:v>Staples</x:v>
      </x:c>
      <x:c r="K1881" t="str">
        <x:v>Aishwarya</x:v>
      </x:c>
      <x:c r="L1881" s="22" t="n">
        <x:v>1180</x:v>
      </x:c>
      <x:c r="M1881" t="n">
        <x:v>3</x:v>
      </x:c>
      <x:c r="N1881" s="24" t="n">
        <x:v>0.02</x:v>
      </x:c>
      <x:c r="O1881" s="22" t="n">
        <x:f>L1881*M1881</x:f>
        <x:v>3540</x:v>
      </x:c>
      <x:c r="P1881" s="22" t="n">
        <x:f>O1881*(1-N1881)</x:f>
        <x:v>3469.2</x:v>
      </x:c>
      <x:c r="Q1881" s="22" t="n">
        <x:v>1040</x:v>
      </x:c>
      <x:c r="R1881" s="22" t="n">
        <x:f>Q1881*M1881</x:f>
        <x:v>3120</x:v>
      </x:c>
      <x:c r="S1881" s="22" t="n">
        <x:f>P1881-R1881</x:f>
        <x:v>349.1999999999998</x:v>
      </x:c>
      <x:c r="T1881" t="str">
        <x:v>Cash</x:v>
      </x:c>
      <x:c r="U1881" t="str">
        <x:v>Paid</x:v>
      </x:c>
      <x:c r="V1881" t="str">
        <x:v>Delivered</x:v>
      </x:c>
      <x:c r="W1881" t="n">
        <x:v>0</x:v>
      </x:c>
      <x:c r="X1881" t="str"/>
      <x:c r="Y1881" t="str">
        <x:v>Existing Customer</x:v>
      </x:c>
    </x:row>
    <x:row r="1882">
      <x:c r="A1882" t="str">
        <x:v>O001881</x:v>
      </x:c>
      <x:c r="B1882" s="20" t="n">
        <x:v>46061</x:v>
      </x:c>
      <x:c r="C1882" t="str">
        <x:v>C0190</x:v>
      </x:c>
      <x:c r="D1882" t="str">
        <x:v>Shree Restaurant 190</x:v>
      </x:c>
      <x:c r="E1882" t="str">
        <x:v>Canteen</x:v>
      </x:c>
      <x:c r="F1882" t="str">
        <x:v>Bengaluru</x:v>
      </x:c>
      <x:c r="G1882" t="str">
        <x:v>Kavya</x:v>
      </x:c>
      <x:c r="H1882" t="str">
        <x:v>P016</x:v>
      </x:c>
      <x:c r="I1882" t="str">
        <x:v>Curd 1kg</x:v>
      </x:c>
      <x:c r="J1882" t="str">
        <x:v>Dairy</x:v>
      </x:c>
      <x:c r="K1882" t="str">
        <x:v>Nandini</x:v>
      </x:c>
      <x:c r="L1882" s="22" t="n">
        <x:v>72</x:v>
      </x:c>
      <x:c r="M1882" t="n">
        <x:v>9</x:v>
      </x:c>
      <x:c r="N1882" s="24" t="n">
        <x:v>0.05</x:v>
      </x:c>
      <x:c r="O1882" s="22" t="n">
        <x:f>L1882*M1882</x:f>
        <x:v>648</x:v>
      </x:c>
      <x:c r="P1882" s="22" t="n">
        <x:f>O1882*(1-N1882)</x:f>
        <x:v>615.6</x:v>
      </x:c>
      <x:c r="Q1882" s="22" t="n">
        <x:v>64</x:v>
      </x:c>
      <x:c r="R1882" s="22" t="n">
        <x:f>Q1882*M1882</x:f>
        <x:v>576</x:v>
      </x:c>
      <x:c r="S1882" s="22" t="n">
        <x:f>P1882-R1882</x:f>
        <x:v>39.60000000000002</x:v>
      </x:c>
      <x:c r="T1882" t="str">
        <x:v>UPI</x:v>
      </x:c>
      <x:c r="U1882" t="str">
        <x:v>Overdue</x:v>
      </x:c>
      <x:c r="V1882" t="str">
        <x:v>Delivered</x:v>
      </x:c>
      <x:c r="W1882" t="n">
        <x:v>0</x:v>
      </x:c>
      <x:c r="X1882" t="str"/>
      <x:c r="Y1882" t="str">
        <x:v>WhatsApp</x:v>
      </x:c>
    </x:row>
    <x:row r="1883">
      <x:c r="A1883" t="str">
        <x:v>O001882</x:v>
      </x:c>
      <x:c r="B1883" s="20" t="n">
        <x:v>45804</x:v>
      </x:c>
      <x:c r="C1883" t="str">
        <x:v>C0200</x:v>
      </x:c>
      <x:c r="D1883" t="str">
        <x:v>Sagar Kitchen 200</x:v>
      </x:c>
      <x:c r="E1883" t="str">
        <x:v>Cafe</x:v>
      </x:c>
      <x:c r="F1883" t="str">
        <x:v>Bengaluru</x:v>
      </x:c>
      <x:c r="G1883" t="str">
        <x:v>Arjun</x:v>
      </x:c>
      <x:c r="H1883" t="str">
        <x:v>P041</x:v>
      </x:c>
      <x:c r="I1883" t="str">
        <x:v>Burger Bun 6pc</x:v>
      </x:c>
      <x:c r="J1883" t="str">
        <x:v>Bakery</x:v>
      </x:c>
      <x:c r="K1883" t="str">
        <x:v>Modern</x:v>
      </x:c>
      <x:c r="L1883" s="22" t="n">
        <x:v>42</x:v>
      </x:c>
      <x:c r="M1883" t="n">
        <x:v>30</x:v>
      </x:c>
      <x:c r="N1883" s="24" t="n">
        <x:v>0.03</x:v>
      </x:c>
      <x:c r="O1883" s="22" t="n">
        <x:f>L1883*M1883</x:f>
        <x:v>1260</x:v>
      </x:c>
      <x:c r="P1883" s="22" t="n">
        <x:f>O1883*(1-N1883)</x:f>
        <x:v>1222.2</x:v>
      </x:c>
      <x:c r="Q1883" s="22" t="n">
        <x:v>32</x:v>
      </x:c>
      <x:c r="R1883" s="22" t="n">
        <x:f>Q1883*M1883</x:f>
        <x:v>960</x:v>
      </x:c>
      <x:c r="S1883" s="22" t="n">
        <x:f>P1883-R1883</x:f>
        <x:v>262.20000000000005</x:v>
      </x:c>
      <x:c r="T1883" t="str">
        <x:v>Credit</x:v>
      </x:c>
      <x:c r="U1883" t="str">
        <x:v>Pending</x:v>
      </x:c>
      <x:c r="V1883" t="str">
        <x:v>Delayed</x:v>
      </x:c>
      <x:c r="W1883" t="n">
        <x:v>0</x:v>
      </x:c>
      <x:c r="X1883" t="str"/>
      <x:c r="Y1883" t="str">
        <x:v>Existing Customer</x:v>
      </x:c>
    </x:row>
    <x:row r="1884">
      <x:c r="A1884" t="str">
        <x:v>O001883</x:v>
      </x:c>
      <x:c r="B1884" s="20" t="n">
        <x:v>46227</x:v>
      </x:c>
      <x:c r="C1884" t="str">
        <x:v>C0159</x:v>
      </x:c>
      <x:c r="D1884" t="str">
        <x:v>Darshini Foods 159</x:v>
      </x:c>
      <x:c r="E1884" t="str">
        <x:v>Canteen</x:v>
      </x:c>
      <x:c r="F1884" t="str">
        <x:v>Tumakuru</x:v>
      </x:c>
      <x:c r="G1884" t="str">
        <x:v>Kavya</x:v>
      </x:c>
      <x:c r="H1884" t="str">
        <x:v>P023</x:v>
      </x:c>
      <x:c r="I1884" t="str">
        <x:v>Cola 750ml</x:v>
      </x:c>
      <x:c r="J1884" t="str">
        <x:v>Beverage</x:v>
      </x:c>
      <x:c r="K1884" t="str">
        <x:v>Coca-Cola</x:v>
      </x:c>
      <x:c r="L1884" s="22" t="n">
        <x:v>38</x:v>
      </x:c>
      <x:c r="M1884" t="n">
        <x:v>21</x:v>
      </x:c>
      <x:c r="N1884" s="24" t="n">
        <x:v>0.05</x:v>
      </x:c>
      <x:c r="O1884" s="22" t="n">
        <x:f>L1884*M1884</x:f>
        <x:v>798</x:v>
      </x:c>
      <x:c r="P1884" s="22" t="n">
        <x:f>O1884*(1-N1884)</x:f>
        <x:v>758.0999999999999</x:v>
      </x:c>
      <x:c r="Q1884" s="22" t="n">
        <x:v>31</x:v>
      </x:c>
      <x:c r="R1884" s="22" t="n">
        <x:f>Q1884*M1884</x:f>
        <x:v>651</x:v>
      </x:c>
      <x:c r="S1884" s="22" t="n">
        <x:f>P1884-R1884</x:f>
        <x:v>107.09999999999991</x:v>
      </x:c>
      <x:c r="T1884" t="str">
        <x:v>Cash</x:v>
      </x:c>
      <x:c r="U1884" t="str">
        <x:v>Paid</x:v>
      </x:c>
      <x:c r="V1884" t="str">
        <x:v>Delivered</x:v>
      </x:c>
      <x:c r="W1884" t="n">
        <x:v>0</x:v>
      </x:c>
      <x:c r="X1884" t="str"/>
      <x:c r="Y1884" t="str">
        <x:v>Field Visit</x:v>
      </x:c>
    </x:row>
    <x:row r="1885">
      <x:c r="A1885" t="str">
        <x:v>O001884</x:v>
      </x:c>
      <x:c r="B1885" s="20" t="n">
        <x:v>45801</x:v>
      </x:c>
      <x:c r="C1885" t="str">
        <x:v>C0216</x:v>
      </x:c>
      <x:c r="D1885" t="str">
        <x:v>Cafe Restaurant 216</x:v>
      </x:c>
      <x:c r="E1885" t="str">
        <x:v>Canteen</x:v>
      </x:c>
      <x:c r="F1885" t="str">
        <x:v>Bengaluru</x:v>
      </x:c>
      <x:c r="G1885" t="str">
        <x:v>Vikram</x:v>
      </x:c>
      <x:c r="H1885" t="str">
        <x:v>P023</x:v>
      </x:c>
      <x:c r="I1885" t="str">
        <x:v>Cola 750ml</x:v>
      </x:c>
      <x:c r="J1885" t="str">
        <x:v>Beverage</x:v>
      </x:c>
      <x:c r="K1885" t="str">
        <x:v>Coca-Cola</x:v>
      </x:c>
      <x:c r="L1885" s="22" t="n">
        <x:v>38</x:v>
      </x:c>
      <x:c r="M1885" t="n">
        <x:v>21</x:v>
      </x:c>
      <x:c r="N1885" s="24" t="n">
        <x:v>0</x:v>
      </x:c>
      <x:c r="O1885" s="22" t="n">
        <x:f>L1885*M1885</x:f>
        <x:v>798</x:v>
      </x:c>
      <x:c r="P1885" s="22" t="n">
        <x:f>O1885*(1-N1885)</x:f>
        <x:v>798</x:v>
      </x:c>
      <x:c r="Q1885" s="22" t="n">
        <x:v>31</x:v>
      </x:c>
      <x:c r="R1885" s="22" t="n">
        <x:f>Q1885*M1885</x:f>
        <x:v>651</x:v>
      </x:c>
      <x:c r="S1885" s="22" t="n">
        <x:f>P1885-R1885</x:f>
        <x:v>147</x:v>
      </x:c>
      <x:c r="T1885" t="str">
        <x:v>UPI</x:v>
      </x:c>
      <x:c r="U1885" t="str">
        <x:v>Overdue</x:v>
      </x:c>
      <x:c r="V1885" t="str">
        <x:v>Delivered</x:v>
      </x:c>
      <x:c r="W1885" t="n">
        <x:v>0</x:v>
      </x:c>
      <x:c r="X1885" t="str"/>
      <x:c r="Y1885" t="str">
        <x:v>Existing Customer</x:v>
      </x:c>
    </x:row>
    <x:row r="1886">
      <x:c r="A1886" t="str">
        <x:v>O001885</x:v>
      </x:c>
      <x:c r="B1886" s="20" t="n">
        <x:v>46002</x:v>
      </x:c>
      <x:c r="C1886" t="str">
        <x:v>C0018</x:v>
      </x:c>
      <x:c r="D1886" t="str">
        <x:v>Namma Canteen 18</x:v>
      </x:c>
      <x:c r="E1886" t="str">
        <x:v>Restaurant</x:v>
      </x:c>
      <x:c r="F1886" t="str">
        <x:v>Davanagere</x:v>
      </x:c>
      <x:c r="G1886" t="str">
        <x:v>Imran</x:v>
      </x:c>
      <x:c r="H1886" t="str">
        <x:v>P004</x:v>
      </x:c>
      <x:c r="I1886" t="str">
        <x:v>Toor Dal 5kg</x:v>
      </x:c>
      <x:c r="J1886" t="str">
        <x:v>Pulses</x:v>
      </x:c>
      <x:c r="K1886" t="str">
        <x:v>Tata Sampann</x:v>
      </x:c>
      <x:c r="L1886" s="22" t="n">
        <x:v>780</x:v>
      </x:c>
      <x:c r="M1886" t="n">
        <x:v>4</x:v>
      </x:c>
      <x:c r="N1886" s="24" t="n">
        <x:v>0.03</x:v>
      </x:c>
      <x:c r="O1886" s="22" t="n">
        <x:f>L1886*M1886</x:f>
        <x:v>3120</x:v>
      </x:c>
      <x:c r="P1886" s="22" t="n">
        <x:f>O1886*(1-N1886)</x:f>
        <x:v>3026.4</x:v>
      </x:c>
      <x:c r="Q1886" s="22" t="n">
        <x:v>695</x:v>
      </x:c>
      <x:c r="R1886" s="22" t="n">
        <x:f>Q1886*M1886</x:f>
        <x:v>2780</x:v>
      </x:c>
      <x:c r="S1886" s="22" t="n">
        <x:f>P1886-R1886</x:f>
        <x:v>246.4000000000001</x:v>
      </x:c>
      <x:c r="T1886" t="str">
        <x:v>UPI</x:v>
      </x:c>
      <x:c r="U1886" t="str">
        <x:v>Paid</x:v>
      </x:c>
      <x:c r="V1886" t="str">
        <x:v>Delayed</x:v>
      </x:c>
      <x:c r="W1886" t="n">
        <x:v>0</x:v>
      </x:c>
      <x:c r="X1886" t="str"/>
      <x:c r="Y1886" t="str">
        <x:v>Outbound Call</x:v>
      </x:c>
    </x:row>
    <x:row r="1887">
      <x:c r="A1887" t="str">
        <x:v>O001886</x:v>
      </x:c>
      <x:c r="B1887" s="20" t="n">
        <x:v>45933</x:v>
      </x:c>
      <x:c r="C1887" t="str">
        <x:v>C0117</x:v>
      </x:c>
      <x:c r="D1887" t="str">
        <x:v>Classic Canteen 117</x:v>
      </x:c>
      <x:c r="E1887" t="str">
        <x:v>Restaurant</x:v>
      </x:c>
      <x:c r="F1887" t="str">
        <x:v>Hubballi</x:v>
      </x:c>
      <x:c r="G1887" t="str">
        <x:v>Megha</x:v>
      </x:c>
      <x:c r="H1887" t="str">
        <x:v>P020</x:v>
      </x:c>
      <x:c r="I1887" t="str">
        <x:v>Coffee 500g</x:v>
      </x:c>
      <x:c r="J1887" t="str">
        <x:v>Beverage</x:v>
      </x:c>
      <x:c r="K1887" t="str">
        <x:v>Bru</x:v>
      </x:c>
      <x:c r="L1887" s="22" t="n">
        <x:v>390</x:v>
      </x:c>
      <x:c r="M1887" t="n">
        <x:v>31</x:v>
      </x:c>
      <x:c r="N1887" s="24" t="n">
        <x:v>0</x:v>
      </x:c>
      <x:c r="O1887" s="22" t="n">
        <x:f>L1887*M1887</x:f>
        <x:v>12090</x:v>
      </x:c>
      <x:c r="P1887" s="22" t="n">
        <x:f>O1887*(1-N1887)</x:f>
        <x:v>12090</x:v>
      </x:c>
      <x:c r="Q1887" s="22" t="n">
        <x:v>350</x:v>
      </x:c>
      <x:c r="R1887" s="22" t="n">
        <x:f>Q1887*M1887</x:f>
        <x:v>10850</x:v>
      </x:c>
      <x:c r="S1887" s="22" t="n">
        <x:f>P1887-R1887</x:f>
        <x:v>1240</x:v>
      </x:c>
      <x:c r="T1887" t="str">
        <x:v>Cash</x:v>
      </x:c>
      <x:c r="U1887" t="str">
        <x:v>Paid</x:v>
      </x:c>
      <x:c r="V1887" t="str">
        <x:v>Delivered</x:v>
      </x:c>
      <x:c r="W1887" t="n">
        <x:v>0</x:v>
      </x:c>
      <x:c r="X1887" t="str"/>
      <x:c r="Y1887" t="str">
        <x:v>Field Visit</x:v>
      </x:c>
    </x:row>
    <x:row r="1888">
      <x:c r="A1888" t="str">
        <x:v>O001887</x:v>
      </x:c>
      <x:c r="B1888" s="20" t="n">
        <x:v>45960</x:v>
      </x:c>
      <x:c r="C1888" t="str">
        <x:v>C0136</x:v>
      </x:c>
      <x:c r="D1888" t="str">
        <x:v>Royal Cafe 136</x:v>
      </x:c>
      <x:c r="E1888" t="str">
        <x:v>Hotel</x:v>
      </x:c>
      <x:c r="F1888" t="str">
        <x:v>Tumakuru</x:v>
      </x:c>
      <x:c r="G1888" t="str">
        <x:v>Kavya</x:v>
      </x:c>
      <x:c r="H1888" t="str">
        <x:v>P047</x:v>
      </x:c>
      <x:c r="I1888" t="str">
        <x:v>Tomato 25kg</x:v>
      </x:c>
      <x:c r="J1888" t="str">
        <x:v>Fresh Produce</x:v>
      </x:c>
      <x:c r="K1888" t="str">
        <x:v>Local Market</x:v>
      </x:c>
      <x:c r="L1888" s="22" t="n">
        <x:v>950</x:v>
      </x:c>
      <x:c r="M1888" t="n">
        <x:v>8</x:v>
      </x:c>
      <x:c r="N1888" s="24" t="n">
        <x:v>0.05</x:v>
      </x:c>
      <x:c r="O1888" s="22" t="n">
        <x:f>L1888*M1888</x:f>
        <x:v>7600</x:v>
      </x:c>
      <x:c r="P1888" s="22" t="n">
        <x:f>O1888*(1-N1888)</x:f>
        <x:v>7220</x:v>
      </x:c>
      <x:c r="Q1888" s="22" t="n">
        <x:v>810</x:v>
      </x:c>
      <x:c r="R1888" s="22" t="n">
        <x:f>Q1888*M1888</x:f>
        <x:v>6480</x:v>
      </x:c>
      <x:c r="S1888" s="22" t="n">
        <x:f>P1888-R1888</x:f>
        <x:v>740</x:v>
      </x:c>
      <x:c r="T1888" t="str">
        <x:v>Credit</x:v>
      </x:c>
      <x:c r="U1888" t="str">
        <x:v>Paid</x:v>
      </x:c>
      <x:c r="V1888" t="str">
        <x:v>Delayed</x:v>
      </x:c>
      <x:c r="W1888" t="n">
        <x:v>0</x:v>
      </x:c>
      <x:c r="X1888" t="str"/>
      <x:c r="Y1888" t="str">
        <x:v>Field Visit</x:v>
      </x:c>
    </x:row>
    <x:row r="1889">
      <x:c r="A1889" t="str">
        <x:v>O001888</x:v>
      </x:c>
      <x:c r="B1889" s="20" t="n">
        <x:v>45862</x:v>
      </x:c>
      <x:c r="C1889" t="str">
        <x:v>C0147</x:v>
      </x:c>
      <x:c r="D1889" t="str">
        <x:v>New Stores 147</x:v>
      </x:c>
      <x:c r="E1889" t="str">
        <x:v>Supermarket</x:v>
      </x:c>
      <x:c r="F1889" t="str">
        <x:v>Hubballi</x:v>
      </x:c>
      <x:c r="G1889" t="str">
        <x:v>Imran</x:v>
      </x:c>
      <x:c r="H1889" t="str">
        <x:v>P030</x:v>
      </x:c>
      <x:c r="I1889" t="str">
        <x:v>Mayonnaise 1kg</x:v>
      </x:c>
      <x:c r="J1889" t="str">
        <x:v>Condiments</x:v>
      </x:c>
      <x:c r="K1889" t="str">
        <x:v>Veeba</x:v>
      </x:c>
      <x:c r="L1889" s="22" t="n">
        <x:v>210</x:v>
      </x:c>
      <x:c r="M1889" t="n">
        <x:v>17</x:v>
      </x:c>
      <x:c r="N1889" s="24" t="n">
        <x:v>0.02</x:v>
      </x:c>
      <x:c r="O1889" s="22" t="n">
        <x:f>L1889*M1889</x:f>
        <x:v>3570</x:v>
      </x:c>
      <x:c r="P1889" s="22" t="n">
        <x:f>O1889*(1-N1889)</x:f>
        <x:v>3498.6</x:v>
      </x:c>
      <x:c r="Q1889" s="22" t="n">
        <x:v>185</x:v>
      </x:c>
      <x:c r="R1889" s="22" t="n">
        <x:f>Q1889*M1889</x:f>
        <x:v>3145</x:v>
      </x:c>
      <x:c r="S1889" s="22" t="n">
        <x:f>P1889-R1889</x:f>
        <x:v>353.5999999999999</x:v>
      </x:c>
      <x:c r="T1889" t="str">
        <x:v>Bank Transfer</x:v>
      </x:c>
      <x:c r="U1889" t="str">
        <x:v>Paid</x:v>
      </x:c>
      <x:c r="V1889" t="str">
        <x:v>Delivered</x:v>
      </x:c>
      <x:c r="W1889" t="n">
        <x:v>0</x:v>
      </x:c>
      <x:c r="X1889" t="str"/>
      <x:c r="Y1889" t="str">
        <x:v>Existing Customer</x:v>
      </x:c>
    </x:row>
    <x:row r="1890">
      <x:c r="A1890" t="str">
        <x:v>O001889</x:v>
      </x:c>
      <x:c r="B1890" s="20" t="n">
        <x:v>46200</x:v>
      </x:c>
      <x:c r="C1890" t="str">
        <x:v>C0050</x:v>
      </x:c>
      <x:c r="D1890" t="str">
        <x:v>Green Stores 50</x:v>
      </x:c>
      <x:c r="E1890" t="str">
        <x:v>Restaurant</x:v>
      </x:c>
      <x:c r="F1890" t="str">
        <x:v>Davanagere</x:v>
      </x:c>
      <x:c r="G1890" t="str">
        <x:v>Vikram</x:v>
      </x:c>
      <x:c r="H1890" t="str">
        <x:v>P008</x:v>
      </x:c>
      <x:c r="I1890" t="str">
        <x:v>Palm Oil 15L</x:v>
      </x:c>
      <x:c r="J1890" t="str">
        <x:v>Edible Oil</x:v>
      </x:c>
      <x:c r="K1890" t="str">
        <x:v>Ruchi Gold</x:v>
      </x:c>
      <x:c r="L1890" s="22" t="n">
        <x:v>1760</x:v>
      </x:c>
      <x:c r="M1890" t="n">
        <x:v>7</x:v>
      </x:c>
      <x:c r="N1890" s="24" t="n">
        <x:v>0</x:v>
      </x:c>
      <x:c r="O1890" s="22" t="n">
        <x:f>L1890*M1890</x:f>
        <x:v>12320</x:v>
      </x:c>
      <x:c r="P1890" s="22" t="n">
        <x:f>O1890*(1-N1890)</x:f>
        <x:v>12320</x:v>
      </x:c>
      <x:c r="Q1890" s="22" t="n">
        <x:v>1610</x:v>
      </x:c>
      <x:c r="R1890" s="22" t="n">
        <x:f>Q1890*M1890</x:f>
        <x:v>11270</x:v>
      </x:c>
      <x:c r="S1890" s="22" t="n">
        <x:f>P1890-R1890</x:f>
        <x:v>1050</x:v>
      </x:c>
      <x:c r="T1890" t="str">
        <x:v>UPI</x:v>
      </x:c>
      <x:c r="U1890" t="str">
        <x:v>Paid</x:v>
      </x:c>
      <x:c r="V1890" t="str">
        <x:v>Delivered</x:v>
      </x:c>
      <x:c r="W1890" t="n">
        <x:v>0</x:v>
      </x:c>
      <x:c r="X1890" t="str"/>
      <x:c r="Y1890" t="str">
        <x:v>Existing Customer</x:v>
      </x:c>
    </x:row>
    <x:row r="1891">
      <x:c r="A1891" t="str">
        <x:v>O001890</x:v>
      </x:c>
      <x:c r="B1891" s="20" t="n">
        <x:v>45696</x:v>
      </x:c>
      <x:c r="C1891" t="str">
        <x:v>C0047</x:v>
      </x:c>
      <x:c r="D1891" t="str">
        <x:v>Shree Restaurant 47</x:v>
      </x:c>
      <x:c r="E1891" t="str">
        <x:v>Canteen</x:v>
      </x:c>
      <x:c r="F1891" t="str">
        <x:v>Davanagere</x:v>
      </x:c>
      <x:c r="G1891" t="str">
        <x:v>Arjun</x:v>
      </x:c>
      <x:c r="H1891" t="str">
        <x:v>P028</x:v>
      </x:c>
      <x:c r="I1891" t="str">
        <x:v>Cookies 200g</x:v>
      </x:c>
      <x:c r="J1891" t="str">
        <x:v>Snacks</x:v>
      </x:c>
      <x:c r="K1891" t="str">
        <x:v>Britannia</x:v>
      </x:c>
      <x:c r="L1891" s="22" t="n">
        <x:v>55</x:v>
      </x:c>
      <x:c r="M1891" t="n">
        <x:v>33</x:v>
      </x:c>
      <x:c r="N1891" s="24" t="n">
        <x:v>0.03</x:v>
      </x:c>
      <x:c r="O1891" s="22" t="n">
        <x:f>L1891*M1891</x:f>
        <x:v>1815</x:v>
      </x:c>
      <x:c r="P1891" s="22" t="n">
        <x:f>O1891*(1-N1891)</x:f>
        <x:v>1760.55</x:v>
      </x:c>
      <x:c r="Q1891" s="22" t="n">
        <x:v>42</x:v>
      </x:c>
      <x:c r="R1891" s="22" t="n">
        <x:f>Q1891*M1891</x:f>
        <x:v>1386</x:v>
      </x:c>
      <x:c r="S1891" s="22" t="n">
        <x:f>P1891-R1891</x:f>
        <x:v>374.54999999999995</x:v>
      </x:c>
      <x:c r="T1891" t="str">
        <x:v>Bank Transfer</x:v>
      </x:c>
      <x:c r="U1891" t="str">
        <x:v>Pending</x:v>
      </x:c>
      <x:c r="V1891" t="str">
        <x:v>Delayed</x:v>
      </x:c>
      <x:c r="W1891" t="n">
        <x:v>0</x:v>
      </x:c>
      <x:c r="X1891" t="str"/>
      <x:c r="Y1891" t="str">
        <x:v>Outbound Call</x:v>
      </x:c>
    </x:row>
    <x:row r="1892">
      <x:c r="A1892" t="str">
        <x:v>O001891</x:v>
      </x:c>
      <x:c r="B1892" s="20" t="n">
        <x:v>46214</x:v>
      </x:c>
      <x:c r="C1892" t="str">
        <x:v>C0045</x:v>
      </x:c>
      <x:c r="D1892" t="str">
        <x:v>Annapurna Restaurant 45</x:v>
      </x:c>
      <x:c r="E1892" t="str">
        <x:v>Kirana</x:v>
      </x:c>
      <x:c r="F1892" t="str">
        <x:v>Mysuru</x:v>
      </x:c>
      <x:c r="G1892" t="str">
        <x:v>Arjun</x:v>
      </x:c>
      <x:c r="H1892" t="str">
        <x:v>P031</x:v>
      </x:c>
      <x:c r="I1892" t="str">
        <x:v>Chilli Sauce 700g</x:v>
      </x:c>
      <x:c r="J1892" t="str">
        <x:v>Condiments</x:v>
      </x:c>
      <x:c r="K1892" t="str">
        <x:v>Ching's</x:v>
      </x:c>
      <x:c r="L1892" s="22" t="n">
        <x:v>130</x:v>
      </x:c>
      <x:c r="M1892" t="n">
        <x:v>31</x:v>
      </x:c>
      <x:c r="N1892" s="24" t="n">
        <x:v>0</x:v>
      </x:c>
      <x:c r="O1892" s="22" t="n">
        <x:f>L1892*M1892</x:f>
        <x:v>4030</x:v>
      </x:c>
      <x:c r="P1892" s="22" t="n">
        <x:f>O1892*(1-N1892)</x:f>
        <x:v>4030</x:v>
      </x:c>
      <x:c r="Q1892" s="22" t="n">
        <x:v>112</x:v>
      </x:c>
      <x:c r="R1892" s="22" t="n">
        <x:f>Q1892*M1892</x:f>
        <x:v>3472</x:v>
      </x:c>
      <x:c r="S1892" s="22" t="n">
        <x:f>P1892-R1892</x:f>
        <x:v>558</x:v>
      </x:c>
      <x:c r="T1892" t="str">
        <x:v>Cash</x:v>
      </x:c>
      <x:c r="U1892" t="str">
        <x:v>Pending</x:v>
      </x:c>
      <x:c r="V1892" t="str">
        <x:v>Delivered</x:v>
      </x:c>
      <x:c r="W1892" t="n">
        <x:v>0</x:v>
      </x:c>
      <x:c r="X1892" t="str"/>
      <x:c r="Y1892" t="str">
        <x:v>Outbound Call</x:v>
      </x:c>
    </x:row>
    <x:row r="1893">
      <x:c r="A1893" t="str">
        <x:v>O001892</x:v>
      </x:c>
      <x:c r="B1893" s="20" t="n">
        <x:v>45971</x:v>
      </x:c>
      <x:c r="C1893" t="str">
        <x:v>C0032</x:v>
      </x:c>
      <x:c r="D1893" t="str">
        <x:v>Cafe Hotel 32</x:v>
      </x:c>
      <x:c r="E1893" t="str">
        <x:v>Canteen</x:v>
      </x:c>
      <x:c r="F1893" t="str">
        <x:v>Bengaluru</x:v>
      </x:c>
      <x:c r="G1893" t="str">
        <x:v>Sneha</x:v>
      </x:c>
      <x:c r="H1893" t="str">
        <x:v>P029</x:v>
      </x:c>
      <x:c r="I1893" t="str">
        <x:v>Tomato Ketchup 1kg</x:v>
      </x:c>
      <x:c r="J1893" t="str">
        <x:v>Condiments</x:v>
      </x:c>
      <x:c r="K1893" t="str">
        <x:v>Kissan</x:v>
      </x:c>
      <x:c r="L1893" s="22" t="n">
        <x:v>145</x:v>
      </x:c>
      <x:c r="M1893" t="n">
        <x:v>27</x:v>
      </x:c>
      <x:c r="N1893" s="24" t="n">
        <x:v>0.02</x:v>
      </x:c>
      <x:c r="O1893" s="22" t="n">
        <x:f>L1893*M1893</x:f>
        <x:v>3915</x:v>
      </x:c>
      <x:c r="P1893" s="22" t="n">
        <x:f>O1893*(1-N1893)</x:f>
        <x:v>3836.7</x:v>
      </x:c>
      <x:c r="Q1893" s="22" t="n">
        <x:v>126</x:v>
      </x:c>
      <x:c r="R1893" s="22" t="n">
        <x:f>Q1893*M1893</x:f>
        <x:v>3402</x:v>
      </x:c>
      <x:c r="S1893" s="22" t="n">
        <x:f>P1893-R1893</x:f>
        <x:v>434.6999999999998</x:v>
      </x:c>
      <x:c r="T1893" t="str">
        <x:v>Bank Transfer</x:v>
      </x:c>
      <x:c r="U1893" t="str">
        <x:v>Overdue</x:v>
      </x:c>
      <x:c r="V1893" t="str">
        <x:v>Cancelled</x:v>
      </x:c>
      <x:c r="W1893" t="n">
        <x:v>27</x:v>
      </x:c>
      <x:c r="X1893" t="str">
        <x:v>Cancelled Order</x:v>
      </x:c>
      <x:c r="Y1893" t="str">
        <x:v>Referral</x:v>
      </x:c>
    </x:row>
    <x:row r="1894">
      <x:c r="A1894" t="str">
        <x:v>O001893</x:v>
      </x:c>
      <x:c r="B1894" s="20" t="n">
        <x:v>45709</x:v>
      </x:c>
      <x:c r="C1894" t="str">
        <x:v>C0207</x:v>
      </x:c>
      <x:c r="D1894" t="str">
        <x:v>Hotel Stores 207</x:v>
      </x:c>
      <x:c r="E1894" t="str">
        <x:v>Restaurant</x:v>
      </x:c>
      <x:c r="F1894" t="str">
        <x:v>Hubballi</x:v>
      </x:c>
      <x:c r="G1894" t="str">
        <x:v>Ramesh</x:v>
      </x:c>
      <x:c r="H1894" t="str">
        <x:v>P033</x:v>
      </x:c>
      <x:c r="I1894" t="str">
        <x:v>Turmeric Powder 1kg</x:v>
      </x:c>
      <x:c r="J1894" t="str">
        <x:v>Spices</x:v>
      </x:c>
      <x:c r="K1894" t="str">
        <x:v>Everest</x:v>
      </x:c>
      <x:c r="L1894" s="22" t="n">
        <x:v>310</x:v>
      </x:c>
      <x:c r="M1894" t="n">
        <x:v>7</x:v>
      </x:c>
      <x:c r="N1894" s="24" t="n">
        <x:v>0.03</x:v>
      </x:c>
      <x:c r="O1894" s="22" t="n">
        <x:f>L1894*M1894</x:f>
        <x:v>2170</x:v>
      </x:c>
      <x:c r="P1894" s="22" t="n">
        <x:f>O1894*(1-N1894)</x:f>
        <x:v>2104.9</x:v>
      </x:c>
      <x:c r="Q1894" s="22" t="n">
        <x:v>270</x:v>
      </x:c>
      <x:c r="R1894" s="22" t="n">
        <x:f>Q1894*M1894</x:f>
        <x:v>1890</x:v>
      </x:c>
      <x:c r="S1894" s="22" t="n">
        <x:f>P1894-R1894</x:f>
        <x:v>214.9000000000001</x:v>
      </x:c>
      <x:c r="T1894" t="str">
        <x:v>UPI</x:v>
      </x:c>
      <x:c r="U1894" t="str">
        <x:v>Paid</x:v>
      </x:c>
      <x:c r="V1894" t="str">
        <x:v>Cancelled</x:v>
      </x:c>
      <x:c r="W1894" t="n">
        <x:v>7</x:v>
      </x:c>
      <x:c r="X1894" t="str">
        <x:v>Cancelled Order</x:v>
      </x:c>
      <x:c r="Y1894" t="str">
        <x:v>WhatsApp</x:v>
      </x:c>
    </x:row>
    <x:row r="1895">
      <x:c r="A1895" t="str">
        <x:v>O001894</x:v>
      </x:c>
      <x:c r="B1895" s="20" t="n">
        <x:v>46166</x:v>
      </x:c>
      <x:c r="C1895" t="str">
        <x:v>C0072</x:v>
      </x:c>
      <x:c r="D1895" t="str">
        <x:v>Grand Restaurant 72</x:v>
      </x:c>
      <x:c r="E1895" t="str">
        <x:v>Restaurant</x:v>
      </x:c>
      <x:c r="F1895" t="str">
        <x:v>Davanagere</x:v>
      </x:c>
      <x:c r="G1895" t="str">
        <x:v>Kavya</x:v>
      </x:c>
      <x:c r="H1895" t="str">
        <x:v>P025</x:v>
      </x:c>
      <x:c r="I1895" t="str">
        <x:v>Potato Chips 100g</x:v>
      </x:c>
      <x:c r="J1895" t="str">
        <x:v>Snacks</x:v>
      </x:c>
      <x:c r="K1895" t="str">
        <x:v>Lay's</x:v>
      </x:c>
      <x:c r="L1895" s="22" t="n">
        <x:v>35</x:v>
      </x:c>
      <x:c r="M1895" t="n">
        <x:v>6</x:v>
      </x:c>
      <x:c r="N1895" s="24" t="n">
        <x:v>0.05</x:v>
      </x:c>
      <x:c r="O1895" s="22" t="n">
        <x:f>L1895*M1895</x:f>
        <x:v>210</x:v>
      </x:c>
      <x:c r="P1895" s="22" t="n">
        <x:f>O1895*(1-N1895)</x:f>
        <x:v>199.5</x:v>
      </x:c>
      <x:c r="Q1895" s="22" t="n">
        <x:v>27</x:v>
      </x:c>
      <x:c r="R1895" s="22" t="n">
        <x:f>Q1895*M1895</x:f>
        <x:v>162</x:v>
      </x:c>
      <x:c r="S1895" s="22" t="n">
        <x:f>P1895-R1895</x:f>
        <x:v>37.5</x:v>
      </x:c>
      <x:c r="T1895" t="str">
        <x:v>Credit</x:v>
      </x:c>
      <x:c r="U1895" t="str">
        <x:v>Pending</x:v>
      </x:c>
      <x:c r="V1895" t="str">
        <x:v>Delivered</x:v>
      </x:c>
      <x:c r="W1895" t="n">
        <x:v>0</x:v>
      </x:c>
      <x:c r="X1895" t="str"/>
      <x:c r="Y1895" t="str">
        <x:v>WhatsApp</x:v>
      </x:c>
    </x:row>
    <x:row r="1896">
      <x:c r="A1896" t="str">
        <x:v>O001895</x:v>
      </x:c>
      <x:c r="B1896" s="20" t="n">
        <x:v>45887</x:v>
      </x:c>
      <x:c r="C1896" t="str">
        <x:v>C0017</x:v>
      </x:c>
      <x:c r="D1896" t="str">
        <x:v>City Foods 17</x:v>
      </x:c>
      <x:c r="E1896" t="str">
        <x:v>Restaurant</x:v>
      </x:c>
      <x:c r="F1896" t="str">
        <x:v>Tumakuru</x:v>
      </x:c>
      <x:c r="G1896" t="str">
        <x:v>Imran</x:v>
      </x:c>
      <x:c r="H1896" t="str">
        <x:v>P020</x:v>
      </x:c>
      <x:c r="I1896" t="str">
        <x:v>Coffee 500g</x:v>
      </x:c>
      <x:c r="J1896" t="str">
        <x:v>Beverage</x:v>
      </x:c>
      <x:c r="K1896" t="str">
        <x:v>Bru</x:v>
      </x:c>
      <x:c r="L1896" s="22" t="n">
        <x:v>390</x:v>
      </x:c>
      <x:c r="M1896" t="n">
        <x:v>14</x:v>
      </x:c>
      <x:c r="N1896" s="24" t="n">
        <x:v>0.05</x:v>
      </x:c>
      <x:c r="O1896" s="22" t="n">
        <x:f>L1896*M1896</x:f>
        <x:v>5460</x:v>
      </x:c>
      <x:c r="P1896" s="22" t="n">
        <x:f>O1896*(1-N1896)</x:f>
        <x:v>5187</x:v>
      </x:c>
      <x:c r="Q1896" s="22" t="n">
        <x:v>350</x:v>
      </x:c>
      <x:c r="R1896" s="22" t="n">
        <x:f>Q1896*M1896</x:f>
        <x:v>4900</x:v>
      </x:c>
      <x:c r="S1896" s="22" t="n">
        <x:f>P1896-R1896</x:f>
        <x:v>287</x:v>
      </x:c>
      <x:c r="T1896" t="str">
        <x:v>Bank Transfer</x:v>
      </x:c>
      <x:c r="U1896" t="str">
        <x:v>Paid</x:v>
      </x:c>
      <x:c r="V1896" t="str">
        <x:v>Delayed</x:v>
      </x:c>
      <x:c r="W1896" t="n">
        <x:v>0</x:v>
      </x:c>
      <x:c r="X1896" t="str"/>
      <x:c r="Y1896" t="str">
        <x:v>Field Visit</x:v>
      </x:c>
    </x:row>
    <x:row r="1897">
      <x:c r="A1897" t="str">
        <x:v>O001896</x:v>
      </x:c>
      <x:c r="B1897" s="20" t="n">
        <x:v>45926</x:v>
      </x:c>
      <x:c r="C1897" t="str">
        <x:v>C0162</x:v>
      </x:c>
      <x:c r="D1897" t="str">
        <x:v>Udupi Foods 162</x:v>
      </x:c>
      <x:c r="E1897" t="str">
        <x:v>Restaurant</x:v>
      </x:c>
      <x:c r="F1897" t="str">
        <x:v>Mysuru</x:v>
      </x:c>
      <x:c r="G1897" t="str">
        <x:v>Ramesh</x:v>
      </x:c>
      <x:c r="H1897" t="str">
        <x:v>P028</x:v>
      </x:c>
      <x:c r="I1897" t="str">
        <x:v>Cookies 200g</x:v>
      </x:c>
      <x:c r="J1897" t="str">
        <x:v>Snacks</x:v>
      </x:c>
      <x:c r="K1897" t="str">
        <x:v>Britannia</x:v>
      </x:c>
      <x:c r="L1897" s="22" t="n">
        <x:v>55</x:v>
      </x:c>
      <x:c r="M1897" t="n">
        <x:v>22</x:v>
      </x:c>
      <x:c r="N1897" s="24" t="n">
        <x:v>0</x:v>
      </x:c>
      <x:c r="O1897" s="22" t="n">
        <x:f>L1897*M1897</x:f>
        <x:v>1210</x:v>
      </x:c>
      <x:c r="P1897" s="22" t="n">
        <x:f>O1897*(1-N1897)</x:f>
        <x:v>1210</x:v>
      </x:c>
      <x:c r="Q1897" s="22" t="n">
        <x:v>42</x:v>
      </x:c>
      <x:c r="R1897" s="22" t="n">
        <x:f>Q1897*M1897</x:f>
        <x:v>924</x:v>
      </x:c>
      <x:c r="S1897" s="22" t="n">
        <x:f>P1897-R1897</x:f>
        <x:v>286</x:v>
      </x:c>
      <x:c r="T1897" t="str">
        <x:v>UPI</x:v>
      </x:c>
      <x:c r="U1897" t="str">
        <x:v>Paid</x:v>
      </x:c>
      <x:c r="V1897" t="str">
        <x:v>Delivered</x:v>
      </x:c>
      <x:c r="W1897" t="n">
        <x:v>3</x:v>
      </x:c>
      <x:c r="X1897" t="str">
        <x:v>Late Delivery</x:v>
      </x:c>
      <x:c r="Y1897" t="str">
        <x:v>Referral</x:v>
      </x:c>
    </x:row>
    <x:row r="1898">
      <x:c r="A1898" t="str">
        <x:v>O001897</x:v>
      </x:c>
      <x:c r="B1898" s="20" t="n">
        <x:v>46006</x:v>
      </x:c>
      <x:c r="C1898" t="str">
        <x:v>C0137</x:v>
      </x:c>
      <x:c r="D1898" t="str">
        <x:v>Green Restaurant 137</x:v>
      </x:c>
      <x:c r="E1898" t="str">
        <x:v>Canteen</x:v>
      </x:c>
      <x:c r="F1898" t="str">
        <x:v>Mangaluru</x:v>
      </x:c>
      <x:c r="G1898" t="str">
        <x:v>Arjun</x:v>
      </x:c>
      <x:c r="H1898" t="str">
        <x:v>P015</x:v>
      </x:c>
      <x:c r="I1898" t="str">
        <x:v>Milk 1L</x:v>
      </x:c>
      <x:c r="J1898" t="str">
        <x:v>Dairy</x:v>
      </x:c>
      <x:c r="K1898" t="str">
        <x:v>Nandini</x:v>
      </x:c>
      <x:c r="L1898" s="22" t="n">
        <x:v>48</x:v>
      </x:c>
      <x:c r="M1898" t="n">
        <x:v>11</x:v>
      </x:c>
      <x:c r="N1898" s="24" t="n">
        <x:v>0</x:v>
      </x:c>
      <x:c r="O1898" s="22" t="n">
        <x:f>L1898*M1898</x:f>
        <x:v>528</x:v>
      </x:c>
      <x:c r="P1898" s="22" t="n">
        <x:f>O1898*(1-N1898)</x:f>
        <x:v>528</x:v>
      </x:c>
      <x:c r="Q1898" s="22" t="n">
        <x:v>43</x:v>
      </x:c>
      <x:c r="R1898" s="22" t="n">
        <x:f>Q1898*M1898</x:f>
        <x:v>473</x:v>
      </x:c>
      <x:c r="S1898" s="22" t="n">
        <x:f>P1898-R1898</x:f>
        <x:v>55</x:v>
      </x:c>
      <x:c r="T1898" t="str">
        <x:v>UPI</x:v>
      </x:c>
      <x:c r="U1898" t="str">
        <x:v>Paid</x:v>
      </x:c>
      <x:c r="V1898" t="str">
        <x:v>Delivered</x:v>
      </x:c>
      <x:c r="W1898" t="n">
        <x:v>0</x:v>
      </x:c>
      <x:c r="X1898" t="str"/>
      <x:c r="Y1898" t="str">
        <x:v>Field Visit</x:v>
      </x:c>
    </x:row>
    <x:row r="1899">
      <x:c r="A1899" t="str">
        <x:v>O001898</x:v>
      </x:c>
      <x:c r="B1899" s="20" t="n">
        <x:v>45959</x:v>
      </x:c>
      <x:c r="C1899" t="str">
        <x:v>C0044</x:v>
      </x:c>
      <x:c r="D1899" t="str">
        <x:v>Annapurna Mart 44</x:v>
      </x:c>
      <x:c r="E1899" t="str">
        <x:v>Kirana</x:v>
      </x:c>
      <x:c r="F1899" t="str">
        <x:v>Davanagere</x:v>
      </x:c>
      <x:c r="G1899" t="str">
        <x:v>Priya</x:v>
      </x:c>
      <x:c r="H1899" t="str">
        <x:v>P042</x:v>
      </x:c>
      <x:c r="I1899" t="str">
        <x:v>Eggs 30pc Tray</x:v>
      </x:c>
      <x:c r="J1899" t="str">
        <x:v>Protein</x:v>
      </x:c>
      <x:c r="K1899" t="str">
        <x:v>Farm Fresh</x:v>
      </x:c>
      <x:c r="L1899" s="22" t="n">
        <x:v>195</x:v>
      </x:c>
      <x:c r="M1899" t="n">
        <x:v>25</x:v>
      </x:c>
      <x:c r="N1899" s="24" t="n">
        <x:v>0.02</x:v>
      </x:c>
      <x:c r="O1899" s="22" t="n">
        <x:f>L1899*M1899</x:f>
        <x:v>4875</x:v>
      </x:c>
      <x:c r="P1899" s="22" t="n">
        <x:f>O1899*(1-N1899)</x:f>
        <x:v>4777.5</x:v>
      </x:c>
      <x:c r="Q1899" s="22" t="n">
        <x:v>170</x:v>
      </x:c>
      <x:c r="R1899" s="22" t="n">
        <x:f>Q1899*M1899</x:f>
        <x:v>4250</x:v>
      </x:c>
      <x:c r="S1899" s="22" t="n">
        <x:f>P1899-R1899</x:f>
        <x:v>527.5</x:v>
      </x:c>
      <x:c r="T1899" t="str">
        <x:v>Cash</x:v>
      </x:c>
      <x:c r="U1899" t="str">
        <x:v>Paid</x:v>
      </x:c>
      <x:c r="V1899" t="str">
        <x:v>Cancelled</x:v>
      </x:c>
      <x:c r="W1899" t="n">
        <x:v>25</x:v>
      </x:c>
      <x:c r="X1899" t="str">
        <x:v>Cancelled Order</x:v>
      </x:c>
      <x:c r="Y1899" t="str">
        <x:v>Existing Customer</x:v>
      </x:c>
    </x:row>
    <x:row r="1900">
      <x:c r="A1900" t="str">
        <x:v>O001899</x:v>
      </x:c>
      <x:c r="B1900" s="20" t="n">
        <x:v>46106</x:v>
      </x:c>
      <x:c r="C1900" t="str">
        <x:v>C0150</x:v>
      </x:c>
      <x:c r="D1900" t="str">
        <x:v>Sagar Kitchen 150</x:v>
      </x:c>
      <x:c r="E1900" t="str">
        <x:v>Kirana</x:v>
      </x:c>
      <x:c r="F1900" t="str">
        <x:v>Hubballi</x:v>
      </x:c>
      <x:c r="G1900" t="str">
        <x:v>Ramesh</x:v>
      </x:c>
      <x:c r="H1900" t="str">
        <x:v>P024</x:v>
      </x:c>
      <x:c r="I1900" t="str">
        <x:v>Orange Drink 1L</x:v>
      </x:c>
      <x:c r="J1900" t="str">
        <x:v>Beverage</x:v>
      </x:c>
      <x:c r="K1900" t="str">
        <x:v>Minute Maid</x:v>
      </x:c>
      <x:c r="L1900" s="22" t="n">
        <x:v>105</x:v>
      </x:c>
      <x:c r="M1900" t="n">
        <x:v>11</x:v>
      </x:c>
      <x:c r="N1900" s="24" t="n">
        <x:v>0.03</x:v>
      </x:c>
      <x:c r="O1900" s="22" t="n">
        <x:f>L1900*M1900</x:f>
        <x:v>1155</x:v>
      </x:c>
      <x:c r="P1900" s="22" t="n">
        <x:f>O1900*(1-N1900)</x:f>
        <x:v>1120.35</x:v>
      </x:c>
      <x:c r="Q1900" s="22" t="n">
        <x:v>88</x:v>
      </x:c>
      <x:c r="R1900" s="22" t="n">
        <x:f>Q1900*M1900</x:f>
        <x:v>968</x:v>
      </x:c>
      <x:c r="S1900" s="22" t="n">
        <x:f>P1900-R1900</x:f>
        <x:v>152.3499999999999</x:v>
      </x:c>
      <x:c r="T1900" t="str">
        <x:v>Cash</x:v>
      </x:c>
      <x:c r="U1900" t="str">
        <x:v>Pending</x:v>
      </x:c>
      <x:c r="V1900" t="str">
        <x:v>Delivered</x:v>
      </x:c>
      <x:c r="W1900" t="n">
        <x:v>0</x:v>
      </x:c>
      <x:c r="X1900" t="str"/>
      <x:c r="Y1900" t="str">
        <x:v>Existing Customer</x:v>
      </x:c>
    </x:row>
    <x:row r="1901">
      <x:c r="A1901" t="str">
        <x:v>O001900</x:v>
      </x:c>
      <x:c r="B1901" s="20" t="n">
        <x:v>46188</x:v>
      </x:c>
      <x:c r="C1901" t="str">
        <x:v>C0134</x:v>
      </x:c>
      <x:c r="D1901" t="str">
        <x:v>Annapurna Stores 134</x:v>
      </x:c>
      <x:c r="E1901" t="str">
        <x:v>Cafe</x:v>
      </x:c>
      <x:c r="F1901" t="str">
        <x:v>Bengaluru</x:v>
      </x:c>
      <x:c r="G1901" t="str">
        <x:v>Kavya</x:v>
      </x:c>
      <x:c r="H1901" t="str">
        <x:v>P009</x:v>
      </x:c>
      <x:c r="I1901" t="str">
        <x:v>Groundnut Oil 5L</x:v>
      </x:c>
      <x:c r="J1901" t="str">
        <x:v>Edible Oil</x:v>
      </x:c>
      <x:c r="K1901" t="str">
        <x:v>Dhara</x:v>
      </x:c>
      <x:c r="L1901" s="22" t="n">
        <x:v>890</x:v>
      </x:c>
      <x:c r="M1901" t="n">
        <x:v>8</x:v>
      </x:c>
      <x:c r="N1901" s="24" t="n">
        <x:v>0.05</x:v>
      </x:c>
      <x:c r="O1901" s="22" t="n">
        <x:f>L1901*M1901</x:f>
        <x:v>7120</x:v>
      </x:c>
      <x:c r="P1901" s="22" t="n">
        <x:f>O1901*(1-N1901)</x:f>
        <x:v>6764</x:v>
      </x:c>
      <x:c r="Q1901" s="22" t="n">
        <x:v>810</x:v>
      </x:c>
      <x:c r="R1901" s="22" t="n">
        <x:f>Q1901*M1901</x:f>
        <x:v>6480</x:v>
      </x:c>
      <x:c r="S1901" s="22" t="n">
        <x:f>P1901-R1901</x:f>
        <x:v>284</x:v>
      </x:c>
      <x:c r="T1901" t="str">
        <x:v>UPI</x:v>
      </x:c>
      <x:c r="U1901" t="str">
        <x:v>Paid</x:v>
      </x:c>
      <x:c r="V1901" t="str">
        <x:v>Delivered</x:v>
      </x:c>
      <x:c r="W1901" t="n">
        <x:v>0</x:v>
      </x:c>
      <x:c r="X1901" t="str"/>
      <x:c r="Y1901" t="str">
        <x:v>Existing Customer</x:v>
      </x:c>
    </x:row>
    <x:row r="1902">
      <x:c r="A1902" t="str">
        <x:v>O001901</x:v>
      </x:c>
      <x:c r="B1902" s="20" t="n">
        <x:v>45733</x:v>
      </x:c>
      <x:c r="C1902" t="str">
        <x:v>C0138</x:v>
      </x:c>
      <x:c r="D1902" t="str">
        <x:v>New Mart 138</x:v>
      </x:c>
      <x:c r="E1902" t="str">
        <x:v>Restaurant</x:v>
      </x:c>
      <x:c r="F1902" t="str">
        <x:v>Bengaluru</x:v>
      </x:c>
      <x:c r="G1902" t="str">
        <x:v>Ramesh</x:v>
      </x:c>
      <x:c r="H1902" t="str">
        <x:v>P039</x:v>
      </x:c>
      <x:c r="I1902" t="str">
        <x:v>Ice Cream 4L</x:v>
      </x:c>
      <x:c r="J1902" t="str">
        <x:v>Frozen</x:v>
      </x:c>
      <x:c r="K1902" t="str">
        <x:v>Amul</x:v>
      </x:c>
      <x:c r="L1902" s="22" t="n">
        <x:v>480</x:v>
      </x:c>
      <x:c r="M1902" t="n">
        <x:v>9</x:v>
      </x:c>
      <x:c r="N1902" s="24" t="n">
        <x:v>0.02</x:v>
      </x:c>
      <x:c r="O1902" s="22" t="n">
        <x:f>L1902*M1902</x:f>
        <x:v>4320</x:v>
      </x:c>
      <x:c r="P1902" s="22" t="n">
        <x:f>O1902*(1-N1902)</x:f>
        <x:v>4233.6</x:v>
      </x:c>
      <x:c r="Q1902" s="22" t="n">
        <x:v>420</x:v>
      </x:c>
      <x:c r="R1902" s="22" t="n">
        <x:f>Q1902*M1902</x:f>
        <x:v>3780</x:v>
      </x:c>
      <x:c r="S1902" s="22" t="n">
        <x:f>P1902-R1902</x:f>
        <x:v>453.60000000000036</x:v>
      </x:c>
      <x:c r="T1902" t="str">
        <x:v>Bank Transfer</x:v>
      </x:c>
      <x:c r="U1902" t="str">
        <x:v>Paid</x:v>
      </x:c>
      <x:c r="V1902" t="str">
        <x:v>Delivered</x:v>
      </x:c>
      <x:c r="W1902" t="n">
        <x:v>0</x:v>
      </x:c>
      <x:c r="X1902" t="str"/>
      <x:c r="Y1902" t="str"/>
    </x:row>
    <x:row r="1903">
      <x:c r="A1903" t="str">
        <x:v>O001902</x:v>
      </x:c>
      <x:c r="B1903" s="20" t="n">
        <x:v>46252</x:v>
      </x:c>
      <x:c r="C1903" t="str">
        <x:v>C0085</x:v>
      </x:c>
      <x:c r="D1903" t="str">
        <x:v>Green Hotel 85</x:v>
      </x:c>
      <x:c r="E1903" t="str">
        <x:v>Kirana</x:v>
      </x:c>
      <x:c r="F1903" t="str">
        <x:v>Mysuru</x:v>
      </x:c>
      <x:c r="G1903" t="str">
        <x:v>Arjun</x:v>
      </x:c>
      <x:c r="H1903" t="str">
        <x:v>P049</x:v>
      </x:c>
      <x:c r="I1903" t="str">
        <x:v>Apple 10kg</x:v>
      </x:c>
      <x:c r="J1903" t="str">
        <x:v>Fresh Produce</x:v>
      </x:c>
      <x:c r="K1903" t="str">
        <x:v>Local Market</x:v>
      </x:c>
      <x:c r="L1903" s="22" t="n">
        <x:v>1450</x:v>
      </x:c>
      <x:c r="M1903" t="n">
        <x:v>5</x:v>
      </x:c>
      <x:c r="N1903" s="24" t="n">
        <x:v>0.08</x:v>
      </x:c>
      <x:c r="O1903" s="22" t="n">
        <x:f>L1903*M1903</x:f>
        <x:v>7250</x:v>
      </x:c>
      <x:c r="P1903" s="22" t="n">
        <x:f>O1903*(1-N1903)</x:f>
        <x:v>6670</x:v>
      </x:c>
      <x:c r="Q1903" s="22" t="n">
        <x:v>1280</x:v>
      </x:c>
      <x:c r="R1903" s="22" t="n">
        <x:f>Q1903*M1903</x:f>
        <x:v>6400</x:v>
      </x:c>
      <x:c r="S1903" s="22" t="n">
        <x:f>P1903-R1903</x:f>
        <x:v>270</x:v>
      </x:c>
      <x:c r="T1903" t="str">
        <x:v>Cash</x:v>
      </x:c>
      <x:c r="U1903" t="str">
        <x:v>Overdue</x:v>
      </x:c>
      <x:c r="V1903" t="str">
        <x:v>Delivered</x:v>
      </x:c>
      <x:c r="W1903" t="n">
        <x:v>0</x:v>
      </x:c>
      <x:c r="X1903" t="str"/>
      <x:c r="Y1903" t="str">
        <x:v>Referral</x:v>
      </x:c>
    </x:row>
    <x:row r="1904">
      <x:c r="A1904" t="str">
        <x:v>O001903</x:v>
      </x:c>
      <x:c r="B1904" s="20" t="n">
        <x:v>46193</x:v>
      </x:c>
      <x:c r="C1904" t="str">
        <x:v>C0195</x:v>
      </x:c>
      <x:c r="D1904" t="str">
        <x:v>Classic Stores 195</x:v>
      </x:c>
      <x:c r="E1904" t="str">
        <x:v>Canteen</x:v>
      </x:c>
      <x:c r="F1904" t="str">
        <x:v>Davanagere</x:v>
      </x:c>
      <x:c r="G1904" t="str">
        <x:v>Kavya</x:v>
      </x:c>
      <x:c r="H1904" t="str">
        <x:v>P011</x:v>
      </x:c>
      <x:c r="I1904" t="str">
        <x:v>Salt 1kg</x:v>
      </x:c>
      <x:c r="J1904" t="str">
        <x:v>Staples</x:v>
      </x:c>
      <x:c r="K1904" t="str">
        <x:v>Tata</x:v>
      </x:c>
      <x:c r="L1904" s="22" t="n">
        <x:v>28</x:v>
      </x:c>
      <x:c r="M1904" t="n">
        <x:v>26</x:v>
      </x:c>
      <x:c r="N1904" s="24" t="n">
        <x:v>0.1</x:v>
      </x:c>
      <x:c r="O1904" s="22" t="n">
        <x:f>L1904*M1904</x:f>
        <x:v>728</x:v>
      </x:c>
      <x:c r="P1904" s="22" t="n">
        <x:f>O1904*(1-N1904)</x:f>
        <x:v>655.2</x:v>
      </x:c>
      <x:c r="Q1904" s="22" t="n">
        <x:v>23</x:v>
      </x:c>
      <x:c r="R1904" s="22" t="n">
        <x:f>Q1904*M1904</x:f>
        <x:v>598</x:v>
      </x:c>
      <x:c r="S1904" s="22" t="n">
        <x:f>P1904-R1904</x:f>
        <x:v>57.200000000000045</x:v>
      </x:c>
      <x:c r="T1904" t="str">
        <x:v>UPI</x:v>
      </x:c>
      <x:c r="U1904" t="str">
        <x:v>Paid</x:v>
      </x:c>
      <x:c r="V1904" t="str">
        <x:v>Cancelled</x:v>
      </x:c>
      <x:c r="W1904" t="n">
        <x:v>26</x:v>
      </x:c>
      <x:c r="X1904" t="str">
        <x:v>Cancelled Order</x:v>
      </x:c>
      <x:c r="Y1904" t="str">
        <x:v>Referral</x:v>
      </x:c>
    </x:row>
    <x:row r="1905">
      <x:c r="A1905" t="str">
        <x:v>O001904</x:v>
      </x:c>
      <x:c r="B1905" s="20" t="n">
        <x:v>46172</x:v>
      </x:c>
      <x:c r="C1905" t="str">
        <x:v>C0054</x:v>
      </x:c>
      <x:c r="D1905" t="str">
        <x:v>Cafe Cafe 54</x:v>
      </x:c>
      <x:c r="E1905" t="str">
        <x:v>Restaurant</x:v>
      </x:c>
      <x:c r="F1905" t="str">
        <x:v>Hubballi</x:v>
      </x:c>
      <x:c r="G1905" t="str">
        <x:v>Vikram</x:v>
      </x:c>
      <x:c r="H1905" t="str">
        <x:v>P034</x:v>
      </x:c>
      <x:c r="I1905" t="str">
        <x:v>Chilli Powder 1kg</x:v>
      </x:c>
      <x:c r="J1905" t="str">
        <x:v>Spices</x:v>
      </x:c>
      <x:c r="K1905" t="str">
        <x:v>MDH</x:v>
      </x:c>
      <x:c r="L1905" s="22" t="n">
        <x:v>340</x:v>
      </x:c>
      <x:c r="M1905" t="n">
        <x:v>22</x:v>
      </x:c>
      <x:c r="N1905" s="24" t="n">
        <x:v>0.05</x:v>
      </x:c>
      <x:c r="O1905" s="22" t="n">
        <x:f>L1905*M1905</x:f>
        <x:v>7480</x:v>
      </x:c>
      <x:c r="P1905" s="22" t="n">
        <x:f>O1905*(1-N1905)</x:f>
        <x:v>7106</x:v>
      </x:c>
      <x:c r="Q1905" s="22" t="n">
        <x:v>295</x:v>
      </x:c>
      <x:c r="R1905" s="22" t="n">
        <x:f>Q1905*M1905</x:f>
        <x:v>6490</x:v>
      </x:c>
      <x:c r="S1905" s="22" t="n">
        <x:f>P1905-R1905</x:f>
        <x:v>616</x:v>
      </x:c>
      <x:c r="T1905" t="str">
        <x:v>UPI</x:v>
      </x:c>
      <x:c r="U1905" t="str">
        <x:v>Pending</x:v>
      </x:c>
      <x:c r="V1905" t="str">
        <x:v>Delayed</x:v>
      </x:c>
      <x:c r="W1905" t="n">
        <x:v>0</x:v>
      </x:c>
      <x:c r="X1905" t="str"/>
      <x:c r="Y1905" t="str">
        <x:v>Referral</x:v>
      </x:c>
    </x:row>
    <x:row r="1906">
      <x:c r="A1906" t="str">
        <x:v>O001905</x:v>
      </x:c>
      <x:c r="B1906" s="20" t="n">
        <x:v>45739</x:v>
      </x:c>
      <x:c r="C1906" t="str">
        <x:v>C0126</x:v>
      </x:c>
      <x:c r="D1906" t="str">
        <x:v>Mysore Hotel 126</x:v>
      </x:c>
      <x:c r="E1906" t="str">
        <x:v>Restaurant</x:v>
      </x:c>
      <x:c r="F1906" t="str">
        <x:v>Mangaluru</x:v>
      </x:c>
      <x:c r="G1906" t="str">
        <x:v>Vikram</x:v>
      </x:c>
      <x:c r="H1906" t="str">
        <x:v>P035</x:v>
      </x:c>
      <x:c r="I1906" t="str">
        <x:v>Coriander Powder 1kg</x:v>
      </x:c>
      <x:c r="J1906" t="str">
        <x:v>Spices</x:v>
      </x:c>
      <x:c r="K1906" t="str">
        <x:v>Everest</x:v>
      </x:c>
      <x:c r="L1906" s="22" t="n">
        <x:v>280</x:v>
      </x:c>
      <x:c r="M1906" t="n">
        <x:v>18</x:v>
      </x:c>
      <x:c r="N1906" s="24" t="n">
        <x:v>0.08</x:v>
      </x:c>
      <x:c r="O1906" s="22" t="n">
        <x:f>L1906*M1906</x:f>
        <x:v>5040</x:v>
      </x:c>
      <x:c r="P1906" s="22" t="n">
        <x:f>O1906*(1-N1906)</x:f>
        <x:v>4636.8</x:v>
      </x:c>
      <x:c r="Q1906" s="22" t="n">
        <x:v>245</x:v>
      </x:c>
      <x:c r="R1906" s="22" t="n">
        <x:f>Q1906*M1906</x:f>
        <x:v>4410</x:v>
      </x:c>
      <x:c r="S1906" s="22" t="n">
        <x:f>P1906-R1906</x:f>
        <x:v>226.80000000000018</x:v>
      </x:c>
      <x:c r="T1906" t="str">
        <x:v>Cash</x:v>
      </x:c>
      <x:c r="U1906" t="str">
        <x:v>Paid</x:v>
      </x:c>
      <x:c r="V1906" t="str">
        <x:v>Delivered</x:v>
      </x:c>
      <x:c r="W1906" t="n">
        <x:v>0</x:v>
      </x:c>
      <x:c r="X1906" t="str"/>
      <x:c r="Y1906" t="str">
        <x:v>Existing Customer</x:v>
      </x:c>
    </x:row>
    <x:row r="1907">
      <x:c r="A1907" t="str">
        <x:v>O001906</x:v>
      </x:c>
      <x:c r="B1907" s="20" t="n">
        <x:v>46244</x:v>
      </x:c>
      <x:c r="C1907" t="str">
        <x:v>C0222</x:v>
      </x:c>
      <x:c r="D1907" t="str">
        <x:v>Sri Cafe 222</x:v>
      </x:c>
      <x:c r="E1907" t="str">
        <x:v>Kirana</x:v>
      </x:c>
      <x:c r="F1907" t="str">
        <x:v>Mangaluru</x:v>
      </x:c>
      <x:c r="G1907" t="str">
        <x:v>Arjun</x:v>
      </x:c>
      <x:c r="H1907" t="str">
        <x:v>P047</x:v>
      </x:c>
      <x:c r="I1907" t="str">
        <x:v>Tomato 25kg</x:v>
      </x:c>
      <x:c r="J1907" t="str">
        <x:v>Fresh Produce</x:v>
      </x:c>
      <x:c r="K1907" t="str">
        <x:v>Local Market</x:v>
      </x:c>
      <x:c r="L1907" s="22" t="n">
        <x:v>950</x:v>
      </x:c>
      <x:c r="M1907" t="n">
        <x:v>11</x:v>
      </x:c>
      <x:c r="N1907" s="24" t="n">
        <x:v>0.05</x:v>
      </x:c>
      <x:c r="O1907" s="22" t="n">
        <x:f>L1907*M1907</x:f>
        <x:v>10450</x:v>
      </x:c>
      <x:c r="P1907" s="22" t="n">
        <x:f>O1907*(1-N1907)</x:f>
        <x:v>9927.5</x:v>
      </x:c>
      <x:c r="Q1907" s="22" t="n">
        <x:v>810</x:v>
      </x:c>
      <x:c r="R1907" s="22" t="n">
        <x:f>Q1907*M1907</x:f>
        <x:v>8910</x:v>
      </x:c>
      <x:c r="S1907" s="22" t="n">
        <x:f>P1907-R1907</x:f>
        <x:v>1017.5</x:v>
      </x:c>
      <x:c r="T1907" t="str">
        <x:v>Credit</x:v>
      </x:c>
      <x:c r="U1907" t="str">
        <x:v>Paid</x:v>
      </x:c>
      <x:c r="V1907" t="str">
        <x:v>Delivered</x:v>
      </x:c>
      <x:c r="W1907" t="n">
        <x:v>0</x:v>
      </x:c>
      <x:c r="X1907" t="str"/>
      <x:c r="Y1907" t="str">
        <x:v>Referral</x:v>
      </x:c>
    </x:row>
    <x:row r="1908">
      <x:c r="A1908" t="str">
        <x:v>O001907</x:v>
      </x:c>
      <x:c r="B1908" s="20" t="n">
        <x:v>46257</x:v>
      </x:c>
      <x:c r="C1908" t="str">
        <x:v>C0109</x:v>
      </x:c>
      <x:c r="D1908" t="str">
        <x:v>Annapurna Kitchen 109</x:v>
      </x:c>
      <x:c r="E1908" t="str">
        <x:v>Kirana</x:v>
      </x:c>
      <x:c r="F1908" t="str">
        <x:v>Mysuru</x:v>
      </x:c>
      <x:c r="G1908" t="str">
        <x:v>Kavya</x:v>
      </x:c>
      <x:c r="H1908" t="str">
        <x:v>P028</x:v>
      </x:c>
      <x:c r="I1908" t="str">
        <x:v>Cookies 200g</x:v>
      </x:c>
      <x:c r="J1908" t="str">
        <x:v>Snacks</x:v>
      </x:c>
      <x:c r="K1908" t="str">
        <x:v>Britannia</x:v>
      </x:c>
      <x:c r="L1908" s="22" t="n">
        <x:v>55</x:v>
      </x:c>
      <x:c r="M1908" t="n">
        <x:v>14</x:v>
      </x:c>
      <x:c r="N1908" s="24" t="n">
        <x:v>0</x:v>
      </x:c>
      <x:c r="O1908" s="22" t="n">
        <x:f>L1908*M1908</x:f>
        <x:v>770</x:v>
      </x:c>
      <x:c r="P1908" s="22" t="n">
        <x:f>O1908*(1-N1908)</x:f>
        <x:v>770</x:v>
      </x:c>
      <x:c r="Q1908" s="22" t="n">
        <x:v>42</x:v>
      </x:c>
      <x:c r="R1908" s="22" t="n">
        <x:f>Q1908*M1908</x:f>
        <x:v>588</x:v>
      </x:c>
      <x:c r="S1908" s="22" t="n">
        <x:f>P1908-R1908</x:f>
        <x:v>182</x:v>
      </x:c>
      <x:c r="T1908" t="str">
        <x:v>Cash</x:v>
      </x:c>
      <x:c r="U1908" t="str">
        <x:v>Paid</x:v>
      </x:c>
      <x:c r="V1908" t="str">
        <x:v>Cancelled</x:v>
      </x:c>
      <x:c r="W1908" t="n">
        <x:v>14</x:v>
      </x:c>
      <x:c r="X1908" t="str">
        <x:v>Cancelled Order</x:v>
      </x:c>
      <x:c r="Y1908" t="str">
        <x:v>Field Visit</x:v>
      </x:c>
    </x:row>
    <x:row r="1909">
      <x:c r="A1909" t="str">
        <x:v>O001908</x:v>
      </x:c>
      <x:c r="B1909" s="20" t="n">
        <x:v>45679</x:v>
      </x:c>
      <x:c r="C1909" t="str">
        <x:v>C0138</x:v>
      </x:c>
      <x:c r="D1909" t="str">
        <x:v>New Mart 138</x:v>
      </x:c>
      <x:c r="E1909" t="str">
        <x:v>Restaurant</x:v>
      </x:c>
      <x:c r="F1909" t="str">
        <x:v>Bengaluru</x:v>
      </x:c>
      <x:c r="G1909" t="str">
        <x:v>Ramesh</x:v>
      </x:c>
      <x:c r="H1909" t="str">
        <x:v>P049</x:v>
      </x:c>
      <x:c r="I1909" t="str">
        <x:v>Apple 10kg</x:v>
      </x:c>
      <x:c r="J1909" t="str">
        <x:v>Fresh Produce</x:v>
      </x:c>
      <x:c r="K1909" t="str">
        <x:v>Local Market</x:v>
      </x:c>
      <x:c r="L1909" s="22" t="n">
        <x:v>1450</x:v>
      </x:c>
      <x:c r="M1909" t="n">
        <x:v>12</x:v>
      </x:c>
      <x:c r="N1909" s="24" t="n">
        <x:v>0</x:v>
      </x:c>
      <x:c r="O1909" s="22" t="n">
        <x:f>L1909*M1909</x:f>
        <x:v>17400</x:v>
      </x:c>
      <x:c r="P1909" s="22" t="n">
        <x:f>O1909*(1-N1909)</x:f>
        <x:v>17400</x:v>
      </x:c>
      <x:c r="Q1909" s="22" t="n">
        <x:v>1280</x:v>
      </x:c>
      <x:c r="R1909" s="22" t="n">
        <x:f>Q1909*M1909</x:f>
        <x:v>15360</x:v>
      </x:c>
      <x:c r="S1909" s="22" t="n">
        <x:f>P1909-R1909</x:f>
        <x:v>2040</x:v>
      </x:c>
      <x:c r="T1909" t="str">
        <x:v>Cash</x:v>
      </x:c>
      <x:c r="U1909" t="str">
        <x:v>Paid</x:v>
      </x:c>
      <x:c r="V1909" t="str">
        <x:v>Cancelled</x:v>
      </x:c>
      <x:c r="W1909" t="n">
        <x:v>12</x:v>
      </x:c>
      <x:c r="X1909" t="str">
        <x:v>Cancelled Order</x:v>
      </x:c>
      <x:c r="Y1909" t="str">
        <x:v>WhatsApp</x:v>
      </x:c>
    </x:row>
    <x:row r="1910">
      <x:c r="A1910" t="str">
        <x:v>O001909</x:v>
      </x:c>
      <x:c r="B1910" s="20" t="n">
        <x:v>45782</x:v>
      </x:c>
      <x:c r="C1910" t="str">
        <x:v>C0191</x:v>
      </x:c>
      <x:c r="D1910" t="str">
        <x:v>Foodie Kitchen 191</x:v>
      </x:c>
      <x:c r="E1910" t="str">
        <x:v>Cafe</x:v>
      </x:c>
      <x:c r="F1910" t="str">
        <x:v>Mysuru</x:v>
      </x:c>
      <x:c r="G1910" t="str">
        <x:v>Priya</x:v>
      </x:c>
      <x:c r="H1910" t="str">
        <x:v>P008</x:v>
      </x:c>
      <x:c r="I1910" t="str">
        <x:v>Palm Oil 15L</x:v>
      </x:c>
      <x:c r="J1910" t="str">
        <x:v>Edible Oil</x:v>
      </x:c>
      <x:c r="K1910" t="str">
        <x:v>Ruchi Gold</x:v>
      </x:c>
      <x:c r="L1910" s="22" t="n">
        <x:v>1760</x:v>
      </x:c>
      <x:c r="M1910" t="n">
        <x:v>4</x:v>
      </x:c>
      <x:c r="N1910" s="24" t="n">
        <x:v>0.05</x:v>
      </x:c>
      <x:c r="O1910" s="22" t="n">
        <x:f>L1910*M1910</x:f>
        <x:v>7040</x:v>
      </x:c>
      <x:c r="P1910" s="22" t="n">
        <x:f>O1910*(1-N1910)</x:f>
        <x:v>6688</x:v>
      </x:c>
      <x:c r="Q1910" s="22" t="n">
        <x:v>1610</x:v>
      </x:c>
      <x:c r="R1910" s="22" t="n">
        <x:f>Q1910*M1910</x:f>
        <x:v>6440</x:v>
      </x:c>
      <x:c r="S1910" s="22" t="n">
        <x:f>P1910-R1910</x:f>
        <x:v>248</x:v>
      </x:c>
      <x:c r="T1910" t="str">
        <x:v>UPI</x:v>
      </x:c>
      <x:c r="U1910" t="str">
        <x:v>Paid</x:v>
      </x:c>
      <x:c r="V1910" t="str">
        <x:v>Delayed</x:v>
      </x:c>
      <x:c r="W1910" t="n">
        <x:v>0</x:v>
      </x:c>
      <x:c r="X1910" t="str"/>
      <x:c r="Y1910" t="str">
        <x:v>Referral</x:v>
      </x:c>
    </x:row>
    <x:row r="1911">
      <x:c r="A1911" t="str">
        <x:v>O001910</x:v>
      </x:c>
      <x:c r="B1911" s="20" t="n">
        <x:v>45795</x:v>
      </x:c>
      <x:c r="C1911" t="str">
        <x:v>C0122</x:v>
      </x:c>
      <x:c r="D1911" t="str">
        <x:v>Namma Restaurant 122</x:v>
      </x:c>
      <x:c r="E1911" t="str">
        <x:v>Kirana</x:v>
      </x:c>
      <x:c r="F1911" t="str">
        <x:v>Hubballi</x:v>
      </x:c>
      <x:c r="G1911" t="str">
        <x:v>Sneha</x:v>
      </x:c>
      <x:c r="H1911" t="str">
        <x:v>P020</x:v>
      </x:c>
      <x:c r="I1911" t="str">
        <x:v>Coffee 500g</x:v>
      </x:c>
      <x:c r="J1911" t="str">
        <x:v>Beverage</x:v>
      </x:c>
      <x:c r="K1911" t="str">
        <x:v>Bru</x:v>
      </x:c>
      <x:c r="L1911" s="22" t="n">
        <x:v>390</x:v>
      </x:c>
      <x:c r="M1911" t="n">
        <x:v>21</x:v>
      </x:c>
      <x:c r="N1911" s="24" t="n">
        <x:v>0.02</x:v>
      </x:c>
      <x:c r="O1911" s="22" t="n">
        <x:f>L1911*M1911</x:f>
        <x:v>8190</x:v>
      </x:c>
      <x:c r="P1911" s="22" t="n">
        <x:f>O1911*(1-N1911)</x:f>
        <x:v>8026.2</x:v>
      </x:c>
      <x:c r="Q1911" s="22" t="n">
        <x:v>350</x:v>
      </x:c>
      <x:c r="R1911" s="22" t="n">
        <x:f>Q1911*M1911</x:f>
        <x:v>7350</x:v>
      </x:c>
      <x:c r="S1911" s="22" t="n">
        <x:f>P1911-R1911</x:f>
        <x:v>676.1999999999998</x:v>
      </x:c>
      <x:c r="T1911" t="str">
        <x:v>Bank Transfer</x:v>
      </x:c>
      <x:c r="U1911" t="str">
        <x:v>Pending</x:v>
      </x:c>
      <x:c r="V1911" t="str">
        <x:v>Delivered</x:v>
      </x:c>
      <x:c r="W1911" t="n">
        <x:v>0</x:v>
      </x:c>
      <x:c r="X1911" t="str"/>
      <x:c r="Y1911" t="str">
        <x:v>Existing Customer</x:v>
      </x:c>
    </x:row>
    <x:row r="1912">
      <x:c r="A1912" t="str">
        <x:v>O001911</x:v>
      </x:c>
      <x:c r="B1912" s="20" t="n">
        <x:v>46172</x:v>
      </x:c>
      <x:c r="C1912" t="str">
        <x:v>C0137</x:v>
      </x:c>
      <x:c r="D1912" t="str">
        <x:v>Green Restaurant 137</x:v>
      </x:c>
      <x:c r="E1912" t="str">
        <x:v>Canteen</x:v>
      </x:c>
      <x:c r="F1912" t="str">
        <x:v>Mangaluru</x:v>
      </x:c>
      <x:c r="G1912" t="str">
        <x:v>Arjun</x:v>
      </x:c>
      <x:c r="H1912" t="str">
        <x:v>P007</x:v>
      </x:c>
      <x:c r="I1912" t="str">
        <x:v>Sunflower Oil 15L</x:v>
      </x:c>
      <x:c r="J1912" t="str">
        <x:v>Edible Oil</x:v>
      </x:c>
      <x:c r="K1912" t="str">
        <x:v>Fortune</x:v>
      </x:c>
      <x:c r="L1912" s="22" t="n">
        <x:v>1980</x:v>
      </x:c>
      <x:c r="M1912" t="n">
        <x:v>1</x:v>
      </x:c>
      <x:c r="N1912" s="24" t="n">
        <x:v>0.02</x:v>
      </x:c>
      <x:c r="O1912" s="22" t="n">
        <x:f>L1912*M1912</x:f>
        <x:v>1980</x:v>
      </x:c>
      <x:c r="P1912" s="22" t="n">
        <x:f>O1912*(1-N1912)</x:f>
        <x:v>1940.3999999999999</x:v>
      </x:c>
      <x:c r="Q1912" s="22" t="n">
        <x:v>1810</x:v>
      </x:c>
      <x:c r="R1912" s="22" t="n">
        <x:f>Q1912*M1912</x:f>
        <x:v>1810</x:v>
      </x:c>
      <x:c r="S1912" s="22" t="n">
        <x:f>P1912-R1912</x:f>
        <x:v>130.39999999999986</x:v>
      </x:c>
      <x:c r="T1912" t="str">
        <x:v>UPI</x:v>
      </x:c>
      <x:c r="U1912" t="str">
        <x:v>Pending</x:v>
      </x:c>
      <x:c r="V1912" t="str">
        <x:v>Delivered</x:v>
      </x:c>
      <x:c r="W1912" t="n">
        <x:v>0</x:v>
      </x:c>
      <x:c r="X1912" t="str"/>
      <x:c r="Y1912" t="str">
        <x:v>WhatsApp</x:v>
      </x:c>
    </x:row>
    <x:row r="1913">
      <x:c r="A1913" t="str">
        <x:v>O001912</x:v>
      </x:c>
      <x:c r="B1913" s="20" t="n">
        <x:v>46201</x:v>
      </x:c>
      <x:c r="C1913" t="str">
        <x:v>C0018</x:v>
      </x:c>
      <x:c r="D1913" t="str">
        <x:v>Namma Canteen 18</x:v>
      </x:c>
      <x:c r="E1913" t="str">
        <x:v>Restaurant</x:v>
      </x:c>
      <x:c r="F1913" t="str">
        <x:v>Davanagere</x:v>
      </x:c>
      <x:c r="G1913" t="str">
        <x:v>Imran</x:v>
      </x:c>
      <x:c r="H1913" t="str">
        <x:v>P022</x:v>
      </x:c>
      <x:c r="I1913" t="str">
        <x:v>Mineral Water 1L</x:v>
      </x:c>
      <x:c r="J1913" t="str">
        <x:v>Beverage</x:v>
      </x:c>
      <x:c r="K1913" t="str">
        <x:v>Bisleri</x:v>
      </x:c>
      <x:c r="L1913" s="22" t="n">
        <x:v>19</x:v>
      </x:c>
      <x:c r="M1913" t="n">
        <x:v>32</x:v>
      </x:c>
      <x:c r="N1913" s="24" t="n">
        <x:v>0</x:v>
      </x:c>
      <x:c r="O1913" s="22" t="n">
        <x:f>L1913*M1913</x:f>
        <x:v>608</x:v>
      </x:c>
      <x:c r="P1913" s="22" t="n">
        <x:f>O1913*(1-N1913)</x:f>
        <x:v>608</x:v>
      </x:c>
      <x:c r="Q1913" s="22" t="n">
        <x:v>15</x:v>
      </x:c>
      <x:c r="R1913" s="22" t="n">
        <x:f>Q1913*M1913</x:f>
        <x:v>480</x:v>
      </x:c>
      <x:c r="S1913" s="22" t="n">
        <x:f>P1913-R1913</x:f>
        <x:v>128</x:v>
      </x:c>
      <x:c r="T1913" t="str">
        <x:v>Credit</x:v>
      </x:c>
      <x:c r="U1913" t="str">
        <x:v>Paid</x:v>
      </x:c>
      <x:c r="V1913" t="str">
        <x:v>Delivered</x:v>
      </x:c>
      <x:c r="W1913" t="n">
        <x:v>0</x:v>
      </x:c>
      <x:c r="X1913" t="str"/>
      <x:c r="Y1913" t="str">
        <x:v>Field Visit</x:v>
      </x:c>
    </x:row>
    <x:row r="1914">
      <x:c r="A1914" t="str">
        <x:v>O001913</x:v>
      </x:c>
      <x:c r="B1914" s="20" t="n">
        <x:v>46239</x:v>
      </x:c>
      <x:c r="C1914" t="str">
        <x:v>C0154</x:v>
      </x:c>
      <x:c r="D1914" t="str">
        <x:v>Royal Restaurant 154</x:v>
      </x:c>
      <x:c r="E1914" t="str">
        <x:v>Restaurant</x:v>
      </x:c>
      <x:c r="F1914" t="str">
        <x:v>Tumakuru</x:v>
      </x:c>
      <x:c r="G1914" t="str">
        <x:v>Kavya</x:v>
      </x:c>
      <x:c r="H1914" t="str">
        <x:v>P026</x:v>
      </x:c>
      <x:c r="I1914" t="str">
        <x:v>Banana Chips 80g</x:v>
      </x:c>
      <x:c r="J1914" t="str">
        <x:v>Snacks</x:v>
      </x:c>
      <x:c r="K1914" t="str">
        <x:v>SSS</x:v>
      </x:c>
      <x:c r="L1914" s="22" t="n">
        <x:v>54</x:v>
      </x:c>
      <x:c r="M1914" t="n">
        <x:v>16</x:v>
      </x:c>
      <x:c r="N1914" s="24" t="n">
        <x:v>0</x:v>
      </x:c>
      <x:c r="O1914" s="22" t="n">
        <x:f>L1914*M1914</x:f>
        <x:v>864</x:v>
      </x:c>
      <x:c r="P1914" s="22" t="n">
        <x:f>O1914*(1-N1914)</x:f>
        <x:v>864</x:v>
      </x:c>
      <x:c r="Q1914" s="22" t="n">
        <x:v>39</x:v>
      </x:c>
      <x:c r="R1914" s="22" t="n">
        <x:f>Q1914*M1914</x:f>
        <x:v>624</x:v>
      </x:c>
      <x:c r="S1914" s="22" t="n">
        <x:f>P1914-R1914</x:f>
        <x:v>240</x:v>
      </x:c>
      <x:c r="T1914" t="str">
        <x:v>Bank Transfer</x:v>
      </x:c>
      <x:c r="U1914" t="str">
        <x:v>Pending</x:v>
      </x:c>
      <x:c r="V1914" t="str">
        <x:v>Delivered</x:v>
      </x:c>
      <x:c r="W1914" t="n">
        <x:v>0</x:v>
      </x:c>
      <x:c r="X1914" t="str"/>
      <x:c r="Y1914" t="str">
        <x:v>Field Visit</x:v>
      </x:c>
    </x:row>
    <x:row r="1915">
      <x:c r="A1915" t="str">
        <x:v>O001914</x:v>
      </x:c>
      <x:c r="B1915" s="20" t="n">
        <x:v>46098</x:v>
      </x:c>
      <x:c r="C1915" t="str">
        <x:v>C0250</x:v>
      </x:c>
      <x:c r="D1915" t="str">
        <x:v>Namma Hotel 250</x:v>
      </x:c>
      <x:c r="E1915" t="str">
        <x:v>Cafe</x:v>
      </x:c>
      <x:c r="F1915" t="str">
        <x:v>Bengaluru</x:v>
      </x:c>
      <x:c r="G1915" t="str">
        <x:v>Sneha</x:v>
      </x:c>
      <x:c r="H1915" t="str">
        <x:v>P049</x:v>
      </x:c>
      <x:c r="I1915" t="str">
        <x:v>Apple 10kg</x:v>
      </x:c>
      <x:c r="J1915" t="str">
        <x:v>Fresh Produce</x:v>
      </x:c>
      <x:c r="K1915" t="str">
        <x:v>Local Market</x:v>
      </x:c>
      <x:c r="L1915" s="22" t="n">
        <x:v>1450</x:v>
      </x:c>
      <x:c r="M1915" t="n">
        <x:v>6</x:v>
      </x:c>
      <x:c r="N1915" s="24" t="n">
        <x:v>0.05</x:v>
      </x:c>
      <x:c r="O1915" s="22" t="n">
        <x:f>L1915*M1915</x:f>
        <x:v>8700</x:v>
      </x:c>
      <x:c r="P1915" s="22" t="n">
        <x:f>O1915*(1-N1915)</x:f>
        <x:v>8265</x:v>
      </x:c>
      <x:c r="Q1915" s="22" t="n">
        <x:v>1280</x:v>
      </x:c>
      <x:c r="R1915" s="22" t="n">
        <x:f>Q1915*M1915</x:f>
        <x:v>7680</x:v>
      </x:c>
      <x:c r="S1915" s="22" t="n">
        <x:f>P1915-R1915</x:f>
        <x:v>585</x:v>
      </x:c>
      <x:c r="T1915" t="str">
        <x:v>Cash</x:v>
      </x:c>
      <x:c r="U1915" t="str">
        <x:v>Paid</x:v>
      </x:c>
      <x:c r="V1915" t="str">
        <x:v>Delivered</x:v>
      </x:c>
      <x:c r="W1915" t="n">
        <x:v>0</x:v>
      </x:c>
      <x:c r="X1915" t="str"/>
      <x:c r="Y1915" t="str">
        <x:v>Field Visit</x:v>
      </x:c>
    </x:row>
    <x:row r="1916">
      <x:c r="A1916" t="str">
        <x:v>O001915</x:v>
      </x:c>
      <x:c r="B1916" s="20" t="n">
        <x:v>45903</x:v>
      </x:c>
      <x:c r="C1916" t="str">
        <x:v>C0211</x:v>
      </x:c>
      <x:c r="D1916" t="str">
        <x:v>Cafe Cafe 211</x:v>
      </x:c>
      <x:c r="E1916" t="str">
        <x:v>Supermarket</x:v>
      </x:c>
      <x:c r="F1916" t="str">
        <x:v>Davanagere</x:v>
      </x:c>
      <x:c r="G1916" t="str">
        <x:v>Megha</x:v>
      </x:c>
      <x:c r="H1916" t="str">
        <x:v>P025</x:v>
      </x:c>
      <x:c r="I1916" t="str">
        <x:v>Potato Chips 100g</x:v>
      </x:c>
      <x:c r="J1916" t="str">
        <x:v>Snacks</x:v>
      </x:c>
      <x:c r="K1916" t="str">
        <x:v>Lay's</x:v>
      </x:c>
      <x:c r="L1916" s="22" t="n">
        <x:v>35</x:v>
      </x:c>
      <x:c r="M1916" t="n">
        <x:v>38</x:v>
      </x:c>
      <x:c r="N1916" s="24" t="n">
        <x:v>0.03</x:v>
      </x:c>
      <x:c r="O1916" s="22" t="n">
        <x:f>L1916*M1916</x:f>
        <x:v>1330</x:v>
      </x:c>
      <x:c r="P1916" s="22" t="n">
        <x:f>O1916*(1-N1916)</x:f>
        <x:v>1290.1</x:v>
      </x:c>
      <x:c r="Q1916" s="22" t="n">
        <x:v>27</x:v>
      </x:c>
      <x:c r="R1916" s="22" t="n">
        <x:f>Q1916*M1916</x:f>
        <x:v>1026</x:v>
      </x:c>
      <x:c r="S1916" s="22" t="n">
        <x:f>P1916-R1916</x:f>
        <x:v>264.0999999999999</x:v>
      </x:c>
      <x:c r="T1916" t="str">
        <x:v>Bank Transfer</x:v>
      </x:c>
      <x:c r="U1916" t="str">
        <x:v>Paid</x:v>
      </x:c>
      <x:c r="V1916" t="str">
        <x:v>Delivered</x:v>
      </x:c>
      <x:c r="W1916" t="n">
        <x:v>0</x:v>
      </x:c>
      <x:c r="X1916" t="str"/>
      <x:c r="Y1916" t="str">
        <x:v>Field Visit</x:v>
      </x:c>
    </x:row>
    <x:row r="1917">
      <x:c r="A1917" t="str">
        <x:v>O001916</x:v>
      </x:c>
      <x:c r="B1917" s="20" t="n">
        <x:v>45701</x:v>
      </x:c>
      <x:c r="C1917" t="str">
        <x:v>C0245</x:v>
      </x:c>
      <x:c r="D1917" t="str">
        <x:v>Udupi Cafe 245</x:v>
      </x:c>
      <x:c r="E1917" t="str">
        <x:v>Canteen</x:v>
      </x:c>
      <x:c r="F1917" t="str">
        <x:v>Bengaluru</x:v>
      </x:c>
      <x:c r="G1917" t="str">
        <x:v>Priya</x:v>
      </x:c>
      <x:c r="H1917" t="str">
        <x:v>P044</x:v>
      </x:c>
      <x:c r="I1917" t="str">
        <x:v>Chicken Curry Cut 1kg</x:v>
      </x:c>
      <x:c r="J1917" t="str">
        <x:v>Protein</x:v>
      </x:c>
      <x:c r="K1917" t="str">
        <x:v>FreshToHome</x:v>
      </x:c>
      <x:c r="L1917" s="22" t="n">
        <x:v>230</x:v>
      </x:c>
      <x:c r="M1917" t="n">
        <x:v>9</x:v>
      </x:c>
      <x:c r="N1917" s="24" t="n">
        <x:v>0.05</x:v>
      </x:c>
      <x:c r="O1917" s="22" t="n">
        <x:f>L1917*M1917</x:f>
        <x:v>2070</x:v>
      </x:c>
      <x:c r="P1917" s="22" t="n">
        <x:f>O1917*(1-N1917)</x:f>
        <x:v>1966.5</x:v>
      </x:c>
      <x:c r="Q1917" s="22" t="n">
        <x:v>205</x:v>
      </x:c>
      <x:c r="R1917" s="22" t="n">
        <x:f>Q1917*M1917</x:f>
        <x:v>1845</x:v>
      </x:c>
      <x:c r="S1917" s="22" t="n">
        <x:f>P1917-R1917</x:f>
        <x:v>121.5</x:v>
      </x:c>
      <x:c r="T1917" t="str">
        <x:v>Bank Transfer</x:v>
      </x:c>
      <x:c r="U1917" t="str">
        <x:v>Paid</x:v>
      </x:c>
      <x:c r="V1917" t="str">
        <x:v>Delivered</x:v>
      </x:c>
      <x:c r="W1917" t="n">
        <x:v>0</x:v>
      </x:c>
      <x:c r="X1917" t="str"/>
      <x:c r="Y1917" t="str">
        <x:v>Referral</x:v>
      </x:c>
    </x:row>
    <x:row r="1918">
      <x:c r="A1918" t="str">
        <x:v>O001917</x:v>
      </x:c>
      <x:c r="B1918" s="20" t="n">
        <x:v>46045</x:v>
      </x:c>
      <x:c r="C1918" t="str">
        <x:v>C0108</x:v>
      </x:c>
      <x:c r="D1918" t="str">
        <x:v>Spice Mart 108</x:v>
      </x:c>
      <x:c r="E1918" t="str">
        <x:v>Supermarket</x:v>
      </x:c>
      <x:c r="F1918" t="str">
        <x:v>Hubballi</x:v>
      </x:c>
      <x:c r="G1918" t="str">
        <x:v>Kavya</x:v>
      </x:c>
      <x:c r="H1918" t="str">
        <x:v>P050</x:v>
      </x:c>
      <x:c r="I1918" t="str">
        <x:v>Lemon 5kg</x:v>
      </x:c>
      <x:c r="J1918" t="str">
        <x:v>Fresh Produce</x:v>
      </x:c>
      <x:c r="K1918" t="str">
        <x:v>Local Market</x:v>
      </x:c>
      <x:c r="L1918" s="22" t="n">
        <x:v>360</x:v>
      </x:c>
      <x:c r="M1918" t="n">
        <x:v>27</x:v>
      </x:c>
      <x:c r="N1918" s="24" t="n">
        <x:v>0</x:v>
      </x:c>
      <x:c r="O1918" s="22" t="n">
        <x:f>L1918*M1918</x:f>
        <x:v>9720</x:v>
      </x:c>
      <x:c r="P1918" s="22" t="n">
        <x:f>O1918*(1-N1918)</x:f>
        <x:v>9720</x:v>
      </x:c>
      <x:c r="Q1918" s="22" t="n">
        <x:v>300</x:v>
      </x:c>
      <x:c r="R1918" s="22" t="n">
        <x:f>Q1918*M1918</x:f>
        <x:v>8100</x:v>
      </x:c>
      <x:c r="S1918" s="22" t="n">
        <x:f>P1918-R1918</x:f>
        <x:v>1620</x:v>
      </x:c>
      <x:c r="T1918" t="str">
        <x:v>Bank Transfer</x:v>
      </x:c>
      <x:c r="U1918" t="str">
        <x:v>Paid</x:v>
      </x:c>
      <x:c r="V1918" t="str">
        <x:v>Delayed</x:v>
      </x:c>
      <x:c r="W1918" t="n">
        <x:v>0</x:v>
      </x:c>
      <x:c r="X1918" t="str"/>
      <x:c r="Y1918" t="str">
        <x:v>Outbound Call</x:v>
      </x:c>
    </x:row>
    <x:row r="1919">
      <x:c r="A1919" t="str">
        <x:v>O001918</x:v>
      </x:c>
      <x:c r="B1919" s="20" t="n">
        <x:v>45728</x:v>
      </x:c>
      <x:c r="C1919" t="str">
        <x:v>C0066</x:v>
      </x:c>
      <x:c r="D1919" t="str">
        <x:v>Hotel Hotel 66</x:v>
      </x:c>
      <x:c r="E1919" t="str">
        <x:v>Restaurant</x:v>
      </x:c>
      <x:c r="F1919" t="str">
        <x:v>Davanagere</x:v>
      </x:c>
      <x:c r="G1919" t="str">
        <x:v>Megha</x:v>
      </x:c>
      <x:c r="H1919" t="str">
        <x:v>P017</x:v>
      </x:c>
      <x:c r="I1919" t="str">
        <x:v>Butter 500g</x:v>
      </x:c>
      <x:c r="J1919" t="str">
        <x:v>Dairy</x:v>
      </x:c>
      <x:c r="K1919" t="str">
        <x:v>Amul</x:v>
      </x:c>
      <x:c r="L1919" s="22" t="n">
        <x:v>285</x:v>
      </x:c>
      <x:c r="M1919" t="n">
        <x:v>27</x:v>
      </x:c>
      <x:c r="N1919" s="24" t="n">
        <x:v>0</x:v>
      </x:c>
      <x:c r="O1919" s="22" t="n">
        <x:f>L1919*M1919</x:f>
        <x:v>7695</x:v>
      </x:c>
      <x:c r="P1919" s="22" t="n">
        <x:f>O1919*(1-N1919)</x:f>
        <x:v>7695</x:v>
      </x:c>
      <x:c r="Q1919" s="22" t="n">
        <x:v>258</x:v>
      </x:c>
      <x:c r="R1919" s="22" t="n">
        <x:f>Q1919*M1919</x:f>
        <x:v>6966</x:v>
      </x:c>
      <x:c r="S1919" s="22" t="n">
        <x:f>P1919-R1919</x:f>
        <x:v>729</x:v>
      </x:c>
      <x:c r="T1919" t="str">
        <x:v>UPI</x:v>
      </x:c>
      <x:c r="U1919" t="str">
        <x:v>Paid</x:v>
      </x:c>
      <x:c r="V1919" t="str">
        <x:v>Cancelled</x:v>
      </x:c>
      <x:c r="W1919" t="n">
        <x:v>27</x:v>
      </x:c>
      <x:c r="X1919" t="str">
        <x:v>Cancelled Order</x:v>
      </x:c>
      <x:c r="Y1919" t="str">
        <x:v>WhatsApp</x:v>
      </x:c>
    </x:row>
    <x:row r="1920">
      <x:c r="A1920" t="str">
        <x:v>O001919</x:v>
      </x:c>
      <x:c r="B1920" s="20" t="n">
        <x:v>45867</x:v>
      </x:c>
      <x:c r="C1920" t="str">
        <x:v>C0083</x:v>
      </x:c>
      <x:c r="D1920" t="str">
        <x:v>Sri Cafe 83</x:v>
      </x:c>
      <x:c r="E1920" t="str">
        <x:v>Hotel</x:v>
      </x:c>
      <x:c r="F1920" t="str">
        <x:v>Davanagere</x:v>
      </x:c>
      <x:c r="G1920" t="str">
        <x:v>Ramesh</x:v>
      </x:c>
      <x:c r="H1920" t="str">
        <x:v>P041</x:v>
      </x:c>
      <x:c r="I1920" t="str">
        <x:v>Burger Bun 6pc</x:v>
      </x:c>
      <x:c r="J1920" t="str">
        <x:v>Bakery</x:v>
      </x:c>
      <x:c r="K1920" t="str">
        <x:v>Modern</x:v>
      </x:c>
      <x:c r="L1920" s="22" t="n">
        <x:v>42</x:v>
      </x:c>
      <x:c r="M1920" t="n">
        <x:v>22</x:v>
      </x:c>
      <x:c r="N1920" s="24" t="n">
        <x:v>0.03</x:v>
      </x:c>
      <x:c r="O1920" s="22" t="n">
        <x:f>L1920*M1920</x:f>
        <x:v>924</x:v>
      </x:c>
      <x:c r="P1920" s="22" t="n">
        <x:f>O1920*(1-N1920)</x:f>
        <x:v>896.28</x:v>
      </x:c>
      <x:c r="Q1920" s="22" t="n">
        <x:v>32</x:v>
      </x:c>
      <x:c r="R1920" s="22" t="n">
        <x:f>Q1920*M1920</x:f>
        <x:v>704</x:v>
      </x:c>
      <x:c r="S1920" s="22" t="n">
        <x:f>P1920-R1920</x:f>
        <x:v>192.27999999999997</x:v>
      </x:c>
      <x:c r="T1920" t="str">
        <x:v>Cash</x:v>
      </x:c>
      <x:c r="U1920" t="str">
        <x:v>Paid</x:v>
      </x:c>
      <x:c r="V1920" t="str">
        <x:v>Delivered</x:v>
      </x:c>
      <x:c r="W1920" t="n">
        <x:v>3</x:v>
      </x:c>
      <x:c r="X1920" t="str">
        <x:v>Damaged</x:v>
      </x:c>
      <x:c r="Y1920" t="str">
        <x:v>Outbound Call</x:v>
      </x:c>
    </x:row>
    <x:row r="1921">
      <x:c r="A1921" t="str">
        <x:v>O001920</x:v>
      </x:c>
      <x:c r="B1921" s="20" t="n">
        <x:v>45659</x:v>
      </x:c>
      <x:c r="C1921" t="str">
        <x:v>C0144</x:v>
      </x:c>
      <x:c r="D1921" t="str">
        <x:v>Namma Foods 144</x:v>
      </x:c>
      <x:c r="E1921" t="str">
        <x:v>Restaurant</x:v>
      </x:c>
      <x:c r="F1921" t="str">
        <x:v>Tumakuru</x:v>
      </x:c>
      <x:c r="G1921" t="str">
        <x:v>Arjun</x:v>
      </x:c>
      <x:c r="H1921" t="str">
        <x:v>P035</x:v>
      </x:c>
      <x:c r="I1921" t="str">
        <x:v>Coriander Powder 1kg</x:v>
      </x:c>
      <x:c r="J1921" t="str">
        <x:v>Spices</x:v>
      </x:c>
      <x:c r="K1921" t="str">
        <x:v>Everest</x:v>
      </x:c>
      <x:c r="L1921" s="22" t="n">
        <x:v>280</x:v>
      </x:c>
      <x:c r="M1921" t="n">
        <x:v>9</x:v>
      </x:c>
      <x:c r="N1921" s="24" t="n">
        <x:v>0.03</x:v>
      </x:c>
      <x:c r="O1921" s="22" t="n">
        <x:f>L1921*M1921</x:f>
        <x:v>2520</x:v>
      </x:c>
      <x:c r="P1921" s="22" t="n">
        <x:f>O1921*(1-N1921)</x:f>
        <x:v>2444.4</x:v>
      </x:c>
      <x:c r="Q1921" s="22" t="n">
        <x:v>245</x:v>
      </x:c>
      <x:c r="R1921" s="22" t="n">
        <x:f>Q1921*M1921</x:f>
        <x:v>2205</x:v>
      </x:c>
      <x:c r="S1921" s="22" t="n">
        <x:f>P1921-R1921</x:f>
        <x:v>239.4000000000001</x:v>
      </x:c>
      <x:c r="T1921" t="str">
        <x:v>Bank Transfer</x:v>
      </x:c>
      <x:c r="U1921" t="str">
        <x:v>Paid</x:v>
      </x:c>
      <x:c r="V1921" t="str">
        <x:v>Delivered</x:v>
      </x:c>
      <x:c r="W1921" t="n">
        <x:v>0</x:v>
      </x:c>
      <x:c r="X1921" t="str"/>
      <x:c r="Y1921" t="str">
        <x:v>Referral</x:v>
      </x:c>
    </x:row>
    <x:row r="1922">
      <x:c r="A1922" t="str">
        <x:v>O001921</x:v>
      </x:c>
      <x:c r="B1922" s="20" t="n">
        <x:v>45762</x:v>
      </x:c>
      <x:c r="C1922" t="str">
        <x:v>C0240</x:v>
      </x:c>
      <x:c r="D1922" t="str">
        <x:v>Green Foods 240</x:v>
      </x:c>
      <x:c r="E1922" t="str">
        <x:v>Restaurant</x:v>
      </x:c>
      <x:c r="F1922" t="str">
        <x:v>Davanagere</x:v>
      </x:c>
      <x:c r="G1922" t="str">
        <x:v>Vikram</x:v>
      </x:c>
      <x:c r="H1922" t="str">
        <x:v>P033</x:v>
      </x:c>
      <x:c r="I1922" t="str">
        <x:v>Turmeric Powder 1kg</x:v>
      </x:c>
      <x:c r="J1922" t="str">
        <x:v>Spices</x:v>
      </x:c>
      <x:c r="K1922" t="str">
        <x:v>Everest</x:v>
      </x:c>
      <x:c r="L1922" s="22" t="n">
        <x:v>310</x:v>
      </x:c>
      <x:c r="M1922" t="n">
        <x:v>17</x:v>
      </x:c>
      <x:c r="N1922" s="24" t="n">
        <x:v>0.05</x:v>
      </x:c>
      <x:c r="O1922" s="22" t="n">
        <x:f>L1922*M1922</x:f>
        <x:v>5270</x:v>
      </x:c>
      <x:c r="P1922" s="22" t="n">
        <x:f>O1922*(1-N1922)</x:f>
        <x:v>5006.5</x:v>
      </x:c>
      <x:c r="Q1922" s="22" t="n">
        <x:v>270</x:v>
      </x:c>
      <x:c r="R1922" s="22" t="n">
        <x:f>Q1922*M1922</x:f>
        <x:v>4590</x:v>
      </x:c>
      <x:c r="S1922" s="22" t="n">
        <x:f>P1922-R1922</x:f>
        <x:v>416.5</x:v>
      </x:c>
      <x:c r="T1922" t="str">
        <x:v>Cash</x:v>
      </x:c>
      <x:c r="U1922" t="str">
        <x:v>Paid</x:v>
      </x:c>
      <x:c r="V1922" t="str">
        <x:v>Delayed</x:v>
      </x:c>
      <x:c r="W1922" t="n">
        <x:v>0</x:v>
      </x:c>
      <x:c r="X1922" t="str"/>
      <x:c r="Y1922" t="str">
        <x:v>Existing Customer</x:v>
      </x:c>
    </x:row>
    <x:row r="1923">
      <x:c r="A1923" t="str">
        <x:v>O001922</x:v>
      </x:c>
      <x:c r="B1923" s="20" t="n">
        <x:v>45680</x:v>
      </x:c>
      <x:c r="C1923" t="str">
        <x:v>C0082</x:v>
      </x:c>
      <x:c r="D1923" t="str">
        <x:v>City Foods 82</x:v>
      </x:c>
      <x:c r="E1923" t="str">
        <x:v>Hotel</x:v>
      </x:c>
      <x:c r="F1923" t="str">
        <x:v>Mangaluru</x:v>
      </x:c>
      <x:c r="G1923" t="str">
        <x:v>Kavya</x:v>
      </x:c>
      <x:c r="H1923" t="str">
        <x:v>P014</x:v>
      </x:c>
      <x:c r="I1923" t="str">
        <x:v>Rava 5kg</x:v>
      </x:c>
      <x:c r="J1923" t="str">
        <x:v>Flour</x:v>
      </x:c>
      <x:c r="K1923" t="str">
        <x:v>Local Select</x:v>
      </x:c>
      <x:c r="L1923" s="22" t="n">
        <x:v>245</x:v>
      </x:c>
      <x:c r="M1923" t="n">
        <x:v>37</x:v>
      </x:c>
      <x:c r="N1923" s="24" t="n">
        <x:v>0.03</x:v>
      </x:c>
      <x:c r="O1923" s="22" t="n">
        <x:f>L1923*M1923</x:f>
        <x:v>9065</x:v>
      </x:c>
      <x:c r="P1923" s="22" t="n">
        <x:f>O1923*(1-N1923)</x:f>
        <x:v>8793.05</x:v>
      </x:c>
      <x:c r="Q1923" s="22" t="n">
        <x:v>215</x:v>
      </x:c>
      <x:c r="R1923" s="22" t="n">
        <x:f>Q1923*M1923</x:f>
        <x:v>7955</x:v>
      </x:c>
      <x:c r="S1923" s="22" t="n">
        <x:f>P1923-R1923</x:f>
        <x:v>838.0499999999993</x:v>
      </x:c>
      <x:c r="T1923" t="str">
        <x:v>UPI</x:v>
      </x:c>
      <x:c r="U1923" t="str">
        <x:v>Paid</x:v>
      </x:c>
      <x:c r="V1923" t="str">
        <x:v>Delivered</x:v>
      </x:c>
      <x:c r="W1923" t="n">
        <x:v>0</x:v>
      </x:c>
      <x:c r="X1923" t="str"/>
      <x:c r="Y1923" t="str">
        <x:v>Existing Customer</x:v>
      </x:c>
    </x:row>
    <x:row r="1924">
      <x:c r="A1924" t="str">
        <x:v>O001923</x:v>
      </x:c>
      <x:c r="B1924" s="20" t="n">
        <x:v>46241</x:v>
      </x:c>
      <x:c r="C1924" t="str">
        <x:v>C0178</x:v>
      </x:c>
      <x:c r="D1924" t="str">
        <x:v>Annapurna Foods 178</x:v>
      </x:c>
      <x:c r="E1924" t="str">
        <x:v>Canteen</x:v>
      </x:c>
      <x:c r="F1924" t="str">
        <x:v>Tumakuru</x:v>
      </x:c>
      <x:c r="G1924" t="str">
        <x:v>Imran</x:v>
      </x:c>
      <x:c r="H1924" t="str">
        <x:v>P001</x:v>
      </x:c>
      <x:c r="I1924" t="str">
        <x:v>Steam Rice 25kg</x:v>
      </x:c>
      <x:c r="J1924" t="str">
        <x:v>Staples</x:v>
      </x:c>
      <x:c r="K1924" t="str">
        <x:v>Aishwarya</x:v>
      </x:c>
      <x:c r="L1924" s="22" t="n">
        <x:v>1180</x:v>
      </x:c>
      <x:c r="M1924" t="n">
        <x:v>3</x:v>
      </x:c>
      <x:c r="N1924" s="24" t="n">
        <x:v>0.03</x:v>
      </x:c>
      <x:c r="O1924" s="22" t="n">
        <x:f>L1924*M1924</x:f>
        <x:v>3540</x:v>
      </x:c>
      <x:c r="P1924" s="22" t="n">
        <x:f>O1924*(1-N1924)</x:f>
        <x:v>3433.7999999999997</x:v>
      </x:c>
      <x:c r="Q1924" s="22" t="n">
        <x:v>1040</x:v>
      </x:c>
      <x:c r="R1924" s="22" t="n">
        <x:f>Q1924*M1924</x:f>
        <x:v>3120</x:v>
      </x:c>
      <x:c r="S1924" s="22" t="n">
        <x:f>P1924-R1924</x:f>
        <x:v>313.7999999999997</x:v>
      </x:c>
      <x:c r="T1924" t="str">
        <x:v>Cash</x:v>
      </x:c>
      <x:c r="U1924" t="str">
        <x:v>Overdue</x:v>
      </x:c>
      <x:c r="V1924" t="str">
        <x:v>Delayed</x:v>
      </x:c>
      <x:c r="W1924" t="n">
        <x:v>0</x:v>
      </x:c>
      <x:c r="X1924" t="str"/>
      <x:c r="Y1924" t="str">
        <x:v>WhatsApp</x:v>
      </x:c>
    </x:row>
    <x:row r="1925">
      <x:c r="A1925" t="str">
        <x:v>O001924</x:v>
      </x:c>
      <x:c r="B1925" s="20" t="n">
        <x:v>46017</x:v>
      </x:c>
      <x:c r="C1925" t="str">
        <x:v>C0224</x:v>
      </x:c>
      <x:c r="D1925" t="str">
        <x:v>Royal Foods 224</x:v>
      </x:c>
      <x:c r="E1925" t="str">
        <x:v>Canteen</x:v>
      </x:c>
      <x:c r="F1925" t="str">
        <x:v>Tumakuru</x:v>
      </x:c>
      <x:c r="G1925" t="str">
        <x:v>Arjun</x:v>
      </x:c>
      <x:c r="H1925" t="str">
        <x:v>P021</x:v>
      </x:c>
      <x:c r="I1925" t="str">
        <x:v>Instant Coffee 200g</x:v>
      </x:c>
      <x:c r="J1925" t="str">
        <x:v>Beverage</x:v>
      </x:c>
      <x:c r="K1925" t="str">
        <x:v>Nescafe</x:v>
      </x:c>
      <x:c r="L1925" s="22" t="n">
        <x:v>460</x:v>
      </x:c>
      <x:c r="M1925" t="n">
        <x:v>8</x:v>
      </x:c>
      <x:c r="N1925" s="24" t="n">
        <x:v>0.08</x:v>
      </x:c>
      <x:c r="O1925" s="22" t="n">
        <x:f>L1925*M1925</x:f>
        <x:v>3680</x:v>
      </x:c>
      <x:c r="P1925" s="22" t="n">
        <x:f>O1925*(1-N1925)</x:f>
        <x:v>3385.6000000000004</x:v>
      </x:c>
      <x:c r="Q1925" s="22" t="n">
        <x:v>410</x:v>
      </x:c>
      <x:c r="R1925" s="22" t="n">
        <x:f>Q1925*M1925</x:f>
        <x:v>3280</x:v>
      </x:c>
      <x:c r="S1925" s="22" t="n">
        <x:f>P1925-R1925</x:f>
        <x:v>105.60000000000036</x:v>
      </x:c>
      <x:c r="T1925" t="str">
        <x:v>Bank Transfer</x:v>
      </x:c>
      <x:c r="U1925" t="str">
        <x:v>Pending</x:v>
      </x:c>
      <x:c r="V1925" t="str">
        <x:v>Delivered</x:v>
      </x:c>
      <x:c r="W1925" t="n">
        <x:v>0</x:v>
      </x:c>
      <x:c r="X1925" t="str"/>
      <x:c r="Y1925" t="str">
        <x:v>WhatsApp</x:v>
      </x:c>
    </x:row>
    <x:row r="1926">
      <x:c r="A1926" t="str">
        <x:v>O001925</x:v>
      </x:c>
      <x:c r="B1926" s="20" t="n">
        <x:v>46122</x:v>
      </x:c>
      <x:c r="C1926" t="str">
        <x:v>C0126</x:v>
      </x:c>
      <x:c r="D1926" t="str">
        <x:v>Mysore Hotel 126</x:v>
      </x:c>
      <x:c r="E1926" t="str">
        <x:v>Restaurant</x:v>
      </x:c>
      <x:c r="F1926" t="str">
        <x:v>Mangaluru</x:v>
      </x:c>
      <x:c r="G1926" t="str">
        <x:v>Vikram</x:v>
      </x:c>
      <x:c r="H1926" t="str">
        <x:v>P008</x:v>
      </x:c>
      <x:c r="I1926" t="str">
        <x:v>Palm Oil 15L</x:v>
      </x:c>
      <x:c r="J1926" t="str">
        <x:v>Edible Oil</x:v>
      </x:c>
      <x:c r="K1926" t="str">
        <x:v>Ruchi Gold</x:v>
      </x:c>
      <x:c r="L1926" s="22" t="n">
        <x:v>1760</x:v>
      </x:c>
      <x:c r="M1926" t="n">
        <x:v>4</x:v>
      </x:c>
      <x:c r="N1926" s="24" t="n">
        <x:v>0</x:v>
      </x:c>
      <x:c r="O1926" s="22" t="n">
        <x:f>L1926*M1926</x:f>
        <x:v>7040</x:v>
      </x:c>
      <x:c r="P1926" s="22" t="n">
        <x:f>O1926*(1-N1926)</x:f>
        <x:v>7040</x:v>
      </x:c>
      <x:c r="Q1926" s="22" t="n">
        <x:v>1610</x:v>
      </x:c>
      <x:c r="R1926" s="22" t="n">
        <x:f>Q1926*M1926</x:f>
        <x:v>6440</x:v>
      </x:c>
      <x:c r="S1926" s="22" t="n">
        <x:f>P1926-R1926</x:f>
        <x:v>600</x:v>
      </x:c>
      <x:c r="T1926" t="str">
        <x:v>Credit</x:v>
      </x:c>
      <x:c r="U1926" t="str">
        <x:v>Pending</x:v>
      </x:c>
      <x:c r="V1926" t="str">
        <x:v>Delayed</x:v>
      </x:c>
      <x:c r="W1926" t="n">
        <x:v>0</x:v>
      </x:c>
      <x:c r="X1926" t="str"/>
      <x:c r="Y1926" t="str">
        <x:v>Outbound Call</x:v>
      </x:c>
    </x:row>
    <x:row r="1927">
      <x:c r="A1927" t="str">
        <x:v>O001926</x:v>
      </x:c>
      <x:c r="B1927" s="20" t="n">
        <x:v>45935</x:v>
      </x:c>
      <x:c r="C1927" t="str">
        <x:v>C0194</x:v>
      </x:c>
      <x:c r="D1927" t="str">
        <x:v>Royal Hotel 194</x:v>
      </x:c>
      <x:c r="E1927" t="str">
        <x:v>Kirana</x:v>
      </x:c>
      <x:c r="F1927" t="str">
        <x:v>Mysuru</x:v>
      </x:c>
      <x:c r="G1927" t="str">
        <x:v>Megha</x:v>
      </x:c>
      <x:c r="H1927" t="str">
        <x:v>P025</x:v>
      </x:c>
      <x:c r="I1927" t="str">
        <x:v>Potato Chips 100g</x:v>
      </x:c>
      <x:c r="J1927" t="str">
        <x:v>Snacks</x:v>
      </x:c>
      <x:c r="K1927" t="str">
        <x:v>Lay's</x:v>
      </x:c>
      <x:c r="L1927" s="22" t="n">
        <x:v>35</x:v>
      </x:c>
      <x:c r="M1927" t="n">
        <x:v>3</x:v>
      </x:c>
      <x:c r="N1927" s="24" t="n">
        <x:v>0</x:v>
      </x:c>
      <x:c r="O1927" s="22" t="n">
        <x:f>L1927*M1927</x:f>
        <x:v>105</x:v>
      </x:c>
      <x:c r="P1927" s="22" t="n">
        <x:f>O1927*(1-N1927)</x:f>
        <x:v>105</x:v>
      </x:c>
      <x:c r="Q1927" s="22" t="n">
        <x:v>27</x:v>
      </x:c>
      <x:c r="R1927" s="22" t="n">
        <x:f>Q1927*M1927</x:f>
        <x:v>81</x:v>
      </x:c>
      <x:c r="S1927" s="22" t="n">
        <x:f>P1927-R1927</x:f>
        <x:v>24</x:v>
      </x:c>
      <x:c r="T1927" t="str">
        <x:v>Bank Transfer</x:v>
      </x:c>
      <x:c r="U1927" t="str">
        <x:v>Paid</x:v>
      </x:c>
      <x:c r="V1927" t="str">
        <x:v>Delayed</x:v>
      </x:c>
      <x:c r="W1927" t="n">
        <x:v>0</x:v>
      </x:c>
      <x:c r="X1927" t="str"/>
      <x:c r="Y1927" t="str">
        <x:v>Outbound Call</x:v>
      </x:c>
    </x:row>
    <x:row r="1928">
      <x:c r="A1928" t="str">
        <x:v>O001927</x:v>
      </x:c>
      <x:c r="B1928" s="20" t="n">
        <x:v>46139</x:v>
      </x:c>
      <x:c r="C1928" t="str">
        <x:v>C0053</x:v>
      </x:c>
      <x:c r="D1928" t="str">
        <x:v>Fresh Cafe 53</x:v>
      </x:c>
      <x:c r="E1928" t="str">
        <x:v>Supermarket</x:v>
      </x:c>
      <x:c r="F1928" t="str">
        <x:v>Mangaluru</x:v>
      </x:c>
      <x:c r="G1928" t="str">
        <x:v>Megha</x:v>
      </x:c>
      <x:c r="H1928" t="str">
        <x:v>P036</x:v>
      </x:c>
      <x:c r="I1928" t="str">
        <x:v>Garam Masala 500g</x:v>
      </x:c>
      <x:c r="J1928" t="str">
        <x:v>Spices</x:v>
      </x:c>
      <x:c r="K1928" t="str">
        <x:v>MDH</x:v>
      </x:c>
      <x:c r="L1928" s="22" t="n">
        <x:v>265</x:v>
      </x:c>
      <x:c r="M1928" t="n">
        <x:v>29</x:v>
      </x:c>
      <x:c r="N1928" s="24" t="n">
        <x:v>0.05</x:v>
      </x:c>
      <x:c r="O1928" s="22" t="n">
        <x:f>L1928*M1928</x:f>
        <x:v>7685</x:v>
      </x:c>
      <x:c r="P1928" s="22" t="n">
        <x:f>O1928*(1-N1928)</x:f>
        <x:v>7300.75</x:v>
      </x:c>
      <x:c r="Q1928" s="22" t="n">
        <x:v>230</x:v>
      </x:c>
      <x:c r="R1928" s="22" t="n">
        <x:f>Q1928*M1928</x:f>
        <x:v>6670</x:v>
      </x:c>
      <x:c r="S1928" s="22" t="n">
        <x:f>P1928-R1928</x:f>
        <x:v>630.75</x:v>
      </x:c>
      <x:c r="T1928" t="str">
        <x:v>Cash</x:v>
      </x:c>
      <x:c r="U1928" t="str">
        <x:v>Overdue</x:v>
      </x:c>
      <x:c r="V1928" t="str">
        <x:v>Delivered</x:v>
      </x:c>
      <x:c r="W1928" t="n">
        <x:v>0</x:v>
      </x:c>
      <x:c r="X1928" t="str"/>
      <x:c r="Y1928" t="str">
        <x:v>Referral</x:v>
      </x:c>
    </x:row>
    <x:row r="1929">
      <x:c r="A1929" t="str">
        <x:v>O001928</x:v>
      </x:c>
      <x:c r="B1929" s="20" t="n">
        <x:v>46118</x:v>
      </x:c>
      <x:c r="C1929" t="str">
        <x:v>C0195</x:v>
      </x:c>
      <x:c r="D1929" t="str">
        <x:v>Classic Stores 195</x:v>
      </x:c>
      <x:c r="E1929" t="str">
        <x:v>Canteen</x:v>
      </x:c>
      <x:c r="F1929" t="str">
        <x:v>Davanagere</x:v>
      </x:c>
      <x:c r="G1929" t="str">
        <x:v>Kavya</x:v>
      </x:c>
      <x:c r="H1929" t="str">
        <x:v>P031</x:v>
      </x:c>
      <x:c r="I1929" t="str">
        <x:v>Chilli Sauce 700g</x:v>
      </x:c>
      <x:c r="J1929" t="str">
        <x:v>Condiments</x:v>
      </x:c>
      <x:c r="K1929" t="str">
        <x:v>Ching's</x:v>
      </x:c>
      <x:c r="L1929" s="22" t="n">
        <x:v>130</x:v>
      </x:c>
      <x:c r="M1929" t="n">
        <x:v>1</x:v>
      </x:c>
      <x:c r="N1929" s="24" t="n">
        <x:v>0.05</x:v>
      </x:c>
      <x:c r="O1929" s="22" t="n">
        <x:f>L1929*M1929</x:f>
        <x:v>130</x:v>
      </x:c>
      <x:c r="P1929" s="22" t="n">
        <x:f>O1929*(1-N1929)</x:f>
        <x:v>123.5</x:v>
      </x:c>
      <x:c r="Q1929" s="22" t="n">
        <x:v>112</x:v>
      </x:c>
      <x:c r="R1929" s="22" t="n">
        <x:f>Q1929*M1929</x:f>
        <x:v>112</x:v>
      </x:c>
      <x:c r="S1929" s="22" t="n">
        <x:f>P1929-R1929</x:f>
        <x:v>11.5</x:v>
      </x:c>
      <x:c r="T1929" t="str">
        <x:v>UPI</x:v>
      </x:c>
      <x:c r="U1929" t="str">
        <x:v>Paid</x:v>
      </x:c>
      <x:c r="V1929" t="str">
        <x:v>Delivered</x:v>
      </x:c>
      <x:c r="W1929" t="n">
        <x:v>0</x:v>
      </x:c>
      <x:c r="X1929" t="str"/>
      <x:c r="Y1929" t="str">
        <x:v>Existing Customer</x:v>
      </x:c>
    </x:row>
    <x:row r="1930">
      <x:c r="A1930" t="str">
        <x:v>O001929</x:v>
      </x:c>
      <x:c r="B1930" s="20" t="n">
        <x:v>45855</x:v>
      </x:c>
      <x:c r="C1930" t="str">
        <x:v>C0242</x:v>
      </x:c>
      <x:c r="D1930" t="str">
        <x:v>Fresh Cafe 242</x:v>
      </x:c>
      <x:c r="E1930" t="str">
        <x:v>Canteen</x:v>
      </x:c>
      <x:c r="F1930" t="str">
        <x:v>Davanagere</x:v>
      </x:c>
      <x:c r="G1930" t="str">
        <x:v>Kavya</x:v>
      </x:c>
      <x:c r="H1930" t="str">
        <x:v>P023</x:v>
      </x:c>
      <x:c r="I1930" t="str">
        <x:v>Cola 750ml</x:v>
      </x:c>
      <x:c r="J1930" t="str">
        <x:v>Beverage</x:v>
      </x:c>
      <x:c r="K1930" t="str">
        <x:v>Coca-Cola</x:v>
      </x:c>
      <x:c r="L1930" s="22" t="n">
        <x:v>38</x:v>
      </x:c>
      <x:c r="M1930" t="n">
        <x:v>33</x:v>
      </x:c>
      <x:c r="N1930" s="24" t="n">
        <x:v>0.05</x:v>
      </x:c>
      <x:c r="O1930" s="22" t="n">
        <x:f>L1930*M1930</x:f>
        <x:v>1254</x:v>
      </x:c>
      <x:c r="P1930" s="22" t="n">
        <x:f>O1930*(1-N1930)</x:f>
        <x:v>1191.3</x:v>
      </x:c>
      <x:c r="Q1930" s="22" t="n">
        <x:v>31</x:v>
      </x:c>
      <x:c r="R1930" s="22" t="n">
        <x:f>Q1930*M1930</x:f>
        <x:v>1023</x:v>
      </x:c>
      <x:c r="S1930" s="22" t="n">
        <x:f>P1930-R1930</x:f>
        <x:v>168.29999999999995</x:v>
      </x:c>
      <x:c r="T1930" t="str">
        <x:v>Credit</x:v>
      </x:c>
      <x:c r="U1930" t="str">
        <x:v>Overdue</x:v>
      </x:c>
      <x:c r="V1930" t="str">
        <x:v>Delivered</x:v>
      </x:c>
      <x:c r="W1930" t="n">
        <x:v>0</x:v>
      </x:c>
      <x:c r="X1930" t="str"/>
      <x:c r="Y1930" t="str">
        <x:v>WhatsApp</x:v>
      </x:c>
    </x:row>
    <x:row r="1931">
      <x:c r="A1931" t="str">
        <x:v>O001930</x:v>
      </x:c>
      <x:c r="B1931" s="20" t="n">
        <x:v>45698</x:v>
      </x:c>
      <x:c r="C1931" t="str">
        <x:v>C0068</x:v>
      </x:c>
      <x:c r="D1931" t="str">
        <x:v>Fresh Canteen 68</x:v>
      </x:c>
      <x:c r="E1931" t="str">
        <x:v>Kirana</x:v>
      </x:c>
      <x:c r="F1931" t="str">
        <x:v>Davanagere</x:v>
      </x:c>
      <x:c r="G1931" t="str">
        <x:v>Arjun</x:v>
      </x:c>
      <x:c r="H1931" t="str">
        <x:v>P011</x:v>
      </x:c>
      <x:c r="I1931" t="str">
        <x:v>Salt 1kg</x:v>
      </x:c>
      <x:c r="J1931" t="str">
        <x:v>Staples</x:v>
      </x:c>
      <x:c r="K1931" t="str">
        <x:v>Tata</x:v>
      </x:c>
      <x:c r="L1931" s="22" t="n">
        <x:v>28</x:v>
      </x:c>
      <x:c r="M1931" t="n">
        <x:v>17</x:v>
      </x:c>
      <x:c r="N1931" s="24" t="n">
        <x:v>0</x:v>
      </x:c>
      <x:c r="O1931" s="22" t="n">
        <x:f>L1931*M1931</x:f>
        <x:v>476</x:v>
      </x:c>
      <x:c r="P1931" s="22" t="n">
        <x:f>O1931*(1-N1931)</x:f>
        <x:v>476</x:v>
      </x:c>
      <x:c r="Q1931" s="22" t="n">
        <x:v>23</x:v>
      </x:c>
      <x:c r="R1931" s="22" t="n">
        <x:f>Q1931*M1931</x:f>
        <x:v>391</x:v>
      </x:c>
      <x:c r="S1931" s="22" t="n">
        <x:f>P1931-R1931</x:f>
        <x:v>85</x:v>
      </x:c>
      <x:c r="T1931" t="str">
        <x:v>Bank Transfer</x:v>
      </x:c>
      <x:c r="U1931" t="str">
        <x:v>Pending</x:v>
      </x:c>
      <x:c r="V1931" t="str">
        <x:v>Delivered</x:v>
      </x:c>
      <x:c r="W1931" t="n">
        <x:v>0</x:v>
      </x:c>
      <x:c r="X1931" t="str"/>
      <x:c r="Y1931" t="str">
        <x:v>Existing Customer</x:v>
      </x:c>
    </x:row>
    <x:row r="1932">
      <x:c r="A1932" t="str">
        <x:v>O001931</x:v>
      </x:c>
      <x:c r="B1932" s="20" t="n">
        <x:v>46119</x:v>
      </x:c>
      <x:c r="C1932" t="str">
        <x:v>C0168</x:v>
      </x:c>
      <x:c r="D1932" t="str">
        <x:v>Sagar Hotel 168</x:v>
      </x:c>
      <x:c r="E1932" t="str">
        <x:v>Canteen</x:v>
      </x:c>
      <x:c r="F1932" t="str">
        <x:v>Bengaluru</x:v>
      </x:c>
      <x:c r="G1932" t="str">
        <x:v>Priya</x:v>
      </x:c>
      <x:c r="H1932" t="str">
        <x:v>P023</x:v>
      </x:c>
      <x:c r="I1932" t="str">
        <x:v>Cola 750ml</x:v>
      </x:c>
      <x:c r="J1932" t="str">
        <x:v>Beverage</x:v>
      </x:c>
      <x:c r="K1932" t="str">
        <x:v>Coca-Cola</x:v>
      </x:c>
      <x:c r="L1932" s="22" t="n">
        <x:v>38</x:v>
      </x:c>
      <x:c r="M1932" t="n">
        <x:v>30</x:v>
      </x:c>
      <x:c r="N1932" s="24" t="n">
        <x:v>0</x:v>
      </x:c>
      <x:c r="O1932" s="22" t="n">
        <x:f>L1932*M1932</x:f>
        <x:v>1140</x:v>
      </x:c>
      <x:c r="P1932" s="22" t="n">
        <x:f>O1932*(1-N1932)</x:f>
        <x:v>1140</x:v>
      </x:c>
      <x:c r="Q1932" s="22" t="n">
        <x:v>31</x:v>
      </x:c>
      <x:c r="R1932" s="22" t="n">
        <x:f>Q1932*M1932</x:f>
        <x:v>930</x:v>
      </x:c>
      <x:c r="S1932" s="22" t="n">
        <x:f>P1932-R1932</x:f>
        <x:v>210</x:v>
      </x:c>
      <x:c r="T1932" t="str">
        <x:v>Cash</x:v>
      </x:c>
      <x:c r="U1932" t="str">
        <x:v>Pending</x:v>
      </x:c>
      <x:c r="V1932" t="str">
        <x:v>Delivered</x:v>
      </x:c>
      <x:c r="W1932" t="n">
        <x:v>4</x:v>
      </x:c>
      <x:c r="X1932" t="str">
        <x:v>Quality Issue</x:v>
      </x:c>
      <x:c r="Y1932" t="str">
        <x:v>Outbound Call</x:v>
      </x:c>
    </x:row>
    <x:row r="1933">
      <x:c r="A1933" t="str">
        <x:v>O001932</x:v>
      </x:c>
      <x:c r="B1933" s="20" t="n">
        <x:v>46038</x:v>
      </x:c>
      <x:c r="C1933" t="str">
        <x:v>C0041</x:v>
      </x:c>
      <x:c r="D1933" t="str">
        <x:v>Grand Mart 41</x:v>
      </x:c>
      <x:c r="E1933" t="str">
        <x:v>Cafe</x:v>
      </x:c>
      <x:c r="F1933" t="str">
        <x:v>Bengaluru</x:v>
      </x:c>
      <x:c r="G1933" t="str">
        <x:v>Kavya</x:v>
      </x:c>
      <x:c r="H1933" t="str">
        <x:v>P018</x:v>
      </x:c>
      <x:c r="I1933" t="str">
        <x:v>Paneer 1kg</x:v>
      </x:c>
      <x:c r="J1933" t="str">
        <x:v>Dairy</x:v>
      </x:c>
      <x:c r="K1933" t="str">
        <x:v>Milky Mist</x:v>
      </x:c>
      <x:c r="L1933" s="22" t="n">
        <x:v>410</x:v>
      </x:c>
      <x:c r="M1933" t="n">
        <x:v>16</x:v>
      </x:c>
      <x:c r="N1933" s="24" t="n">
        <x:v>0.05</x:v>
      </x:c>
      <x:c r="O1933" s="22" t="n">
        <x:f>L1933*M1933</x:f>
        <x:v>6560</x:v>
      </x:c>
      <x:c r="P1933" s="22" t="n">
        <x:f>O1933*(1-N1933)</x:f>
        <x:v>6232</x:v>
      </x:c>
      <x:c r="Q1933" s="22" t="n">
        <x:v>370</x:v>
      </x:c>
      <x:c r="R1933" s="22" t="n">
        <x:f>Q1933*M1933</x:f>
        <x:v>5920</x:v>
      </x:c>
      <x:c r="S1933" s="22" t="n">
        <x:f>P1933-R1933</x:f>
        <x:v>312</x:v>
      </x:c>
      <x:c r="T1933" t="str">
        <x:v>UPI</x:v>
      </x:c>
      <x:c r="U1933" t="str">
        <x:v>Paid</x:v>
      </x:c>
      <x:c r="V1933" t="str">
        <x:v>Delivered</x:v>
      </x:c>
      <x:c r="W1933" t="n">
        <x:v>0</x:v>
      </x:c>
      <x:c r="X1933" t="str"/>
      <x:c r="Y1933" t="str">
        <x:v>Field Visit</x:v>
      </x:c>
    </x:row>
    <x:row r="1934">
      <x:c r="A1934" t="str">
        <x:v>O001933</x:v>
      </x:c>
      <x:c r="B1934" s="20" t="n">
        <x:v>45805</x:v>
      </x:c>
      <x:c r="C1934" t="str">
        <x:v>C0163</x:v>
      </x:c>
      <x:c r="D1934" t="str">
        <x:v>Shree Kitchen 163</x:v>
      </x:c>
      <x:c r="E1934" t="str">
        <x:v>Kirana</x:v>
      </x:c>
      <x:c r="F1934" t="str">
        <x:v>Mysuru</x:v>
      </x:c>
      <x:c r="G1934" t="str">
        <x:v>Priya</x:v>
      </x:c>
      <x:c r="H1934" t="str">
        <x:v>P010</x:v>
      </x:c>
      <x:c r="I1934" t="str">
        <x:v>Sugar 25kg</x:v>
      </x:c>
      <x:c r="J1934" t="str">
        <x:v>Staples</x:v>
      </x:c>
      <x:c r="K1934" t="str">
        <x:v>Madhur</x:v>
      </x:c>
      <x:c r="L1934" s="22" t="n">
        <x:v>1190</x:v>
      </x:c>
      <x:c r="M1934" t="n">
        <x:v>9</x:v>
      </x:c>
      <x:c r="N1934" s="24" t="n">
        <x:v>0.1</x:v>
      </x:c>
      <x:c r="O1934" s="22" t="n">
        <x:f>L1934*M1934</x:f>
        <x:v>10710</x:v>
      </x:c>
      <x:c r="P1934" s="22" t="n">
        <x:f>O1934*(1-N1934)</x:f>
        <x:v>9639</x:v>
      </x:c>
      <x:c r="Q1934" s="22" t="n">
        <x:v>1080</x:v>
      </x:c>
      <x:c r="R1934" s="22" t="n">
        <x:f>Q1934*M1934</x:f>
        <x:v>9720</x:v>
      </x:c>
      <x:c r="S1934" s="22" t="n">
        <x:f>P1934-R1934</x:f>
        <x:v>-81</x:v>
      </x:c>
      <x:c r="T1934" t="str">
        <x:v>UPI</x:v>
      </x:c>
      <x:c r="U1934" t="str">
        <x:v>Paid</x:v>
      </x:c>
      <x:c r="V1934" t="str">
        <x:v>Cancelled</x:v>
      </x:c>
      <x:c r="W1934" t="n">
        <x:v>9</x:v>
      </x:c>
      <x:c r="X1934" t="str">
        <x:v>Cancelled Order</x:v>
      </x:c>
      <x:c r="Y1934" t="str">
        <x:v>Existing Customer</x:v>
      </x:c>
    </x:row>
    <x:row r="1935">
      <x:c r="A1935" t="str">
        <x:v>O001934</x:v>
      </x:c>
      <x:c r="B1935" s="20" t="n">
        <x:v>45919</x:v>
      </x:c>
      <x:c r="C1935" t="str">
        <x:v>C0191</x:v>
      </x:c>
      <x:c r="D1935" t="str">
        <x:v>Foodie Kitchen 191</x:v>
      </x:c>
      <x:c r="E1935" t="str">
        <x:v>Cafe</x:v>
      </x:c>
      <x:c r="F1935" t="str">
        <x:v>Mysuru</x:v>
      </x:c>
      <x:c r="G1935" t="str">
        <x:v>Priya</x:v>
      </x:c>
      <x:c r="H1935" t="str">
        <x:v>P025</x:v>
      </x:c>
      <x:c r="I1935" t="str">
        <x:v>Potato Chips 100g</x:v>
      </x:c>
      <x:c r="J1935" t="str">
        <x:v>Snacks</x:v>
      </x:c>
      <x:c r="K1935" t="str">
        <x:v>Lay's</x:v>
      </x:c>
      <x:c r="L1935" s="22" t="n">
        <x:v>35</x:v>
      </x:c>
      <x:c r="M1935" t="n">
        <x:v>37</x:v>
      </x:c>
      <x:c r="N1935" s="24" t="n">
        <x:v>0.03</x:v>
      </x:c>
      <x:c r="O1935" s="22" t="n">
        <x:f>L1935*M1935</x:f>
        <x:v>1295</x:v>
      </x:c>
      <x:c r="P1935" s="22" t="n">
        <x:f>O1935*(1-N1935)</x:f>
        <x:v>1256.1499999999999</x:v>
      </x:c>
      <x:c r="Q1935" s="22" t="n">
        <x:v>27</x:v>
      </x:c>
      <x:c r="R1935" s="22" t="n">
        <x:f>Q1935*M1935</x:f>
        <x:v>999</x:v>
      </x:c>
      <x:c r="S1935" s="22" t="n">
        <x:f>P1935-R1935</x:f>
        <x:v>257.14999999999986</x:v>
      </x:c>
      <x:c r="T1935" t="str">
        <x:v>Bank Transfer</x:v>
      </x:c>
      <x:c r="U1935" t="str">
        <x:v>Paid</x:v>
      </x:c>
      <x:c r="V1935" t="str">
        <x:v>Delivered</x:v>
      </x:c>
      <x:c r="W1935" t="n">
        <x:v>0</x:v>
      </x:c>
      <x:c r="X1935" t="str"/>
      <x:c r="Y1935" t="str">
        <x:v>Field Visit</x:v>
      </x:c>
    </x:row>
    <x:row r="1936">
      <x:c r="A1936" t="str">
        <x:v>O001935</x:v>
      </x:c>
      <x:c r="B1936" s="20" t="n">
        <x:v>45672</x:v>
      </x:c>
      <x:c r="C1936" t="str">
        <x:v>C0048</x:v>
      </x:c>
      <x:c r="D1936" t="str">
        <x:v>Udupi Foods 48</x:v>
      </x:c>
      <x:c r="E1936" t="str">
        <x:v>Hotel</x:v>
      </x:c>
      <x:c r="F1936" t="str">
        <x:v>Bengaluru</x:v>
      </x:c>
      <x:c r="G1936" t="str">
        <x:v>Ramesh</x:v>
      </x:c>
      <x:c r="H1936" t="str">
        <x:v>P019</x:v>
      </x:c>
      <x:c r="I1936" t="str">
        <x:v>Tea 1kg</x:v>
      </x:c>
      <x:c r="J1936" t="str">
        <x:v>Beverage</x:v>
      </x:c>
      <x:c r="K1936" t="str">
        <x:v>Red Label</x:v>
      </x:c>
      <x:c r="L1936" s="22" t="n">
        <x:v>540</x:v>
      </x:c>
      <x:c r="M1936" t="n">
        <x:v>17</x:v>
      </x:c>
      <x:c r="N1936" s="24" t="n">
        <x:v>0.05</x:v>
      </x:c>
      <x:c r="O1936" s="22" t="n">
        <x:f>L1936*M1936</x:f>
        <x:v>9180</x:v>
      </x:c>
      <x:c r="P1936" s="22" t="n">
        <x:f>O1936*(1-N1936)</x:f>
        <x:v>8721</x:v>
      </x:c>
      <x:c r="Q1936" s="22" t="n">
        <x:v>485</x:v>
      </x:c>
      <x:c r="R1936" s="22" t="n">
        <x:f>Q1936*M1936</x:f>
        <x:v>8245</x:v>
      </x:c>
      <x:c r="S1936" s="22" t="n">
        <x:f>P1936-R1936</x:f>
        <x:v>476</x:v>
      </x:c>
      <x:c r="T1936" t="str">
        <x:v>Bank Transfer</x:v>
      </x:c>
      <x:c r="U1936" t="str">
        <x:v>Paid</x:v>
      </x:c>
      <x:c r="V1936" t="str">
        <x:v>Delivered</x:v>
      </x:c>
      <x:c r="W1936" t="n">
        <x:v>0</x:v>
      </x:c>
      <x:c r="X1936" t="str"/>
      <x:c r="Y1936" t="str">
        <x:v>Existing Customer</x:v>
      </x:c>
    </x:row>
    <x:row r="1937">
      <x:c r="A1937" t="str">
        <x:v>O001936</x:v>
      </x:c>
      <x:c r="B1937" s="20" t="n">
        <x:v>46049</x:v>
      </x:c>
      <x:c r="C1937" t="str">
        <x:v>C0050</x:v>
      </x:c>
      <x:c r="D1937" t="str">
        <x:v>Green Stores 50</x:v>
      </x:c>
      <x:c r="E1937" t="str">
        <x:v>Restaurant</x:v>
      </x:c>
      <x:c r="F1937" t="str">
        <x:v>Davanagere</x:v>
      </x:c>
      <x:c r="G1937" t="str">
        <x:v>Vikram</x:v>
      </x:c>
      <x:c r="H1937" t="str">
        <x:v>P020</x:v>
      </x:c>
      <x:c r="I1937" t="str">
        <x:v>Coffee 500g</x:v>
      </x:c>
      <x:c r="J1937" t="str">
        <x:v>Beverage</x:v>
      </x:c>
      <x:c r="K1937" t="str">
        <x:v>Bru</x:v>
      </x:c>
      <x:c r="L1937" s="22" t="n">
        <x:v>390</x:v>
      </x:c>
      <x:c r="M1937" t="n">
        <x:v>34</x:v>
      </x:c>
      <x:c r="N1937" s="24" t="n">
        <x:v>0.03</x:v>
      </x:c>
      <x:c r="O1937" s="22" t="n">
        <x:f>L1937*M1937</x:f>
        <x:v>13260</x:v>
      </x:c>
      <x:c r="P1937" s="22" t="n">
        <x:f>O1937*(1-N1937)</x:f>
        <x:v>12862.199999999999</x:v>
      </x:c>
      <x:c r="Q1937" s="22" t="n">
        <x:v>350</x:v>
      </x:c>
      <x:c r="R1937" s="22" t="n">
        <x:f>Q1937*M1937</x:f>
        <x:v>11900</x:v>
      </x:c>
      <x:c r="S1937" s="22" t="n">
        <x:f>P1937-R1937</x:f>
        <x:v>962.1999999999989</x:v>
      </x:c>
      <x:c r="T1937" t="str">
        <x:v>Credit</x:v>
      </x:c>
      <x:c r="U1937" t="str">
        <x:v>Paid</x:v>
      </x:c>
      <x:c r="V1937" t="str">
        <x:v>Delivered</x:v>
      </x:c>
      <x:c r="W1937" t="n">
        <x:v>4</x:v>
      </x:c>
      <x:c r="X1937" t="str">
        <x:v>Late Delivery</x:v>
      </x:c>
      <x:c r="Y1937" t="str">
        <x:v>Referral</x:v>
      </x:c>
    </x:row>
    <x:row r="1938">
      <x:c r="A1938" t="str">
        <x:v>O001937</x:v>
      </x:c>
      <x:c r="B1938" s="20" t="n">
        <x:v>45693</x:v>
      </x:c>
      <x:c r="C1938" t="str">
        <x:v>C0239</x:v>
      </x:c>
      <x:c r="D1938" t="str">
        <x:v>Royal Hotel 239</x:v>
      </x:c>
      <x:c r="E1938" t="str">
        <x:v>Restaurant</x:v>
      </x:c>
      <x:c r="F1938" t="str">
        <x:v>Hubballi</x:v>
      </x:c>
      <x:c r="G1938" t="str">
        <x:v>Priya</x:v>
      </x:c>
      <x:c r="H1938" t="str">
        <x:v>P010</x:v>
      </x:c>
      <x:c r="I1938" t="str">
        <x:v>Sugar 25kg</x:v>
      </x:c>
      <x:c r="J1938" t="str">
        <x:v>Staples</x:v>
      </x:c>
      <x:c r="K1938" t="str">
        <x:v>Madhur</x:v>
      </x:c>
      <x:c r="L1938" s="22" t="n">
        <x:v>1190</x:v>
      </x:c>
      <x:c r="M1938" t="n">
        <x:v>10</x:v>
      </x:c>
      <x:c r="N1938" s="24" t="n">
        <x:v>0.02</x:v>
      </x:c>
      <x:c r="O1938" s="22" t="n">
        <x:f>L1938*M1938</x:f>
        <x:v>11900</x:v>
      </x:c>
      <x:c r="P1938" s="22" t="n">
        <x:f>O1938*(1-N1938)</x:f>
        <x:v>11662</x:v>
      </x:c>
      <x:c r="Q1938" s="22" t="n">
        <x:v>1080</x:v>
      </x:c>
      <x:c r="R1938" s="22" t="n">
        <x:f>Q1938*M1938</x:f>
        <x:v>10800</x:v>
      </x:c>
      <x:c r="S1938" s="22" t="n">
        <x:f>P1938-R1938</x:f>
        <x:v>862</x:v>
      </x:c>
      <x:c r="T1938" t="str">
        <x:v>Bank Transfer</x:v>
      </x:c>
      <x:c r="U1938" t="str">
        <x:v>Paid</x:v>
      </x:c>
      <x:c r="V1938" t="str">
        <x:v>Delivered</x:v>
      </x:c>
      <x:c r="W1938" t="n">
        <x:v>0</x:v>
      </x:c>
      <x:c r="X1938" t="str"/>
      <x:c r="Y1938" t="str">
        <x:v>Outbound Call</x:v>
      </x:c>
    </x:row>
    <x:row r="1939">
      <x:c r="A1939" t="str">
        <x:v>O001938</x:v>
      </x:c>
      <x:c r="B1939" s="20" t="n">
        <x:v>46214</x:v>
      </x:c>
      <x:c r="C1939" t="str">
        <x:v>C0051</x:v>
      </x:c>
      <x:c r="D1939" t="str">
        <x:v>Cafe Hotel 51</x:v>
      </x:c>
      <x:c r="E1939" t="str">
        <x:v>Kirana</x:v>
      </x:c>
      <x:c r="F1939" t="str">
        <x:v>Tumakuru</x:v>
      </x:c>
      <x:c r="G1939" t="str">
        <x:v>Arjun</x:v>
      </x:c>
      <x:c r="H1939" t="str">
        <x:v>P027</x:v>
      </x:c>
      <x:c r="I1939" t="str">
        <x:v>Biscuits 120g</x:v>
      </x:c>
      <x:c r="J1939" t="str">
        <x:v>Snacks</x:v>
      </x:c>
      <x:c r="K1939" t="str">
        <x:v>Parle-G</x:v>
      </x:c>
      <x:c r="L1939" s="22" t="n">
        <x:v>12</x:v>
      </x:c>
      <x:c r="M1939" t="n">
        <x:v>38</x:v>
      </x:c>
      <x:c r="N1939" s="24" t="n">
        <x:v>0</x:v>
      </x:c>
      <x:c r="O1939" s="22" t="n">
        <x:f>L1939*M1939</x:f>
        <x:v>456</x:v>
      </x:c>
      <x:c r="P1939" s="22" t="n">
        <x:f>O1939*(1-N1939)</x:f>
        <x:v>456</x:v>
      </x:c>
      <x:c r="Q1939" s="22" t="n">
        <x:v>9</x:v>
      </x:c>
      <x:c r="R1939" s="22" t="n">
        <x:f>Q1939*M1939</x:f>
        <x:v>342</x:v>
      </x:c>
      <x:c r="S1939" s="22" t="n">
        <x:f>P1939-R1939</x:f>
        <x:v>114</x:v>
      </x:c>
      <x:c r="T1939" t="str">
        <x:v>Cash</x:v>
      </x:c>
      <x:c r="U1939" t="str">
        <x:v>Paid</x:v>
      </x:c>
      <x:c r="V1939" t="str">
        <x:v>Delayed</x:v>
      </x:c>
      <x:c r="W1939" t="n">
        <x:v>0</x:v>
      </x:c>
      <x:c r="X1939" t="str"/>
      <x:c r="Y1939" t="str">
        <x:v>Field Visit</x:v>
      </x:c>
    </x:row>
    <x:row r="1940">
      <x:c r="A1940" t="str">
        <x:v>O001939</x:v>
      </x:c>
      <x:c r="B1940" s="20" t="n">
        <x:v>45907</x:v>
      </x:c>
      <x:c r="C1940" t="str">
        <x:v>C0025</x:v>
      </x:c>
      <x:c r="D1940" t="str">
        <x:v>Sri Cafe 25</x:v>
      </x:c>
      <x:c r="E1940" t="str">
        <x:v>Hotel</x:v>
      </x:c>
      <x:c r="F1940" t="str">
        <x:v>Mysuru</x:v>
      </x:c>
      <x:c r="G1940" t="str">
        <x:v>Kavya</x:v>
      </x:c>
      <x:c r="H1940" t="str">
        <x:v>P032</x:v>
      </x:c>
      <x:c r="I1940" t="str">
        <x:v>Soy Sauce 700g</x:v>
      </x:c>
      <x:c r="J1940" t="str">
        <x:v>Condiments</x:v>
      </x:c>
      <x:c r="K1940" t="str">
        <x:v>Ching's</x:v>
      </x:c>
      <x:c r="L1940" s="22" t="n">
        <x:v>118</x:v>
      </x:c>
      <x:c r="M1940" t="n">
        <x:v>9</x:v>
      </x:c>
      <x:c r="N1940" s="24" t="n">
        <x:v>0.02</x:v>
      </x:c>
      <x:c r="O1940" s="22" t="n">
        <x:f>L1940*M1940</x:f>
        <x:v>1062</x:v>
      </x:c>
      <x:c r="P1940" s="22" t="n">
        <x:f>O1940*(1-N1940)</x:f>
        <x:v>1040.76</x:v>
      </x:c>
      <x:c r="Q1940" s="22" t="n">
        <x:v>101</x:v>
      </x:c>
      <x:c r="R1940" s="22" t="n">
        <x:f>Q1940*M1940</x:f>
        <x:v>909</x:v>
      </x:c>
      <x:c r="S1940" s="22" t="n">
        <x:f>P1940-R1940</x:f>
        <x:v>131.76</x:v>
      </x:c>
      <x:c r="T1940" t="str">
        <x:v>UPI</x:v>
      </x:c>
      <x:c r="U1940" t="str">
        <x:v>Paid</x:v>
      </x:c>
      <x:c r="V1940" t="str">
        <x:v>Delivered</x:v>
      </x:c>
      <x:c r="W1940" t="n">
        <x:v>0</x:v>
      </x:c>
      <x:c r="X1940" t="str"/>
      <x:c r="Y1940" t="str">
        <x:v>WhatsApp</x:v>
      </x:c>
    </x:row>
    <x:row r="1941">
      <x:c r="A1941" t="str">
        <x:v>O001940</x:v>
      </x:c>
      <x:c r="B1941" s="20" t="n">
        <x:v>45693</x:v>
      </x:c>
      <x:c r="C1941" t="str">
        <x:v>C0193</x:v>
      </x:c>
      <x:c r="D1941" t="str">
        <x:v>Udupi Cafe 193</x:v>
      </x:c>
      <x:c r="E1941" t="str">
        <x:v>Restaurant</x:v>
      </x:c>
      <x:c r="F1941" t="str">
        <x:v>Hubballi</x:v>
      </x:c>
      <x:c r="G1941" t="str">
        <x:v>Sneha</x:v>
      </x:c>
      <x:c r="H1941" t="str">
        <x:v>P050</x:v>
      </x:c>
      <x:c r="I1941" t="str">
        <x:v>Lemon 5kg</x:v>
      </x:c>
      <x:c r="J1941" t="str">
        <x:v>Fresh Produce</x:v>
      </x:c>
      <x:c r="K1941" t="str">
        <x:v>Local Market</x:v>
      </x:c>
      <x:c r="L1941" s="22" t="n">
        <x:v>360</x:v>
      </x:c>
      <x:c r="M1941" t="n">
        <x:v>29</x:v>
      </x:c>
      <x:c r="N1941" s="24" t="n">
        <x:v>0</x:v>
      </x:c>
      <x:c r="O1941" s="22" t="n">
        <x:f>L1941*M1941</x:f>
        <x:v>10440</x:v>
      </x:c>
      <x:c r="P1941" s="22" t="n">
        <x:f>O1941*(1-N1941)</x:f>
        <x:v>10440</x:v>
      </x:c>
      <x:c r="Q1941" s="22" t="n">
        <x:v>300</x:v>
      </x:c>
      <x:c r="R1941" s="22" t="n">
        <x:f>Q1941*M1941</x:f>
        <x:v>8700</x:v>
      </x:c>
      <x:c r="S1941" s="22" t="n">
        <x:f>P1941-R1941</x:f>
        <x:v>1740</x:v>
      </x:c>
      <x:c r="T1941" t="str">
        <x:v>UPI</x:v>
      </x:c>
      <x:c r="U1941" t="str">
        <x:v>Paid</x:v>
      </x:c>
      <x:c r="V1941" t="str">
        <x:v>Delayed</x:v>
      </x:c>
      <x:c r="W1941" t="n">
        <x:v>0</x:v>
      </x:c>
      <x:c r="X1941" t="str"/>
      <x:c r="Y1941" t="str">
        <x:v>WhatsApp</x:v>
      </x:c>
    </x:row>
    <x:row r="1942">
      <x:c r="A1942" t="str">
        <x:v>O001941</x:v>
      </x:c>
      <x:c r="B1942" s="20" t="n">
        <x:v>46141</x:v>
      </x:c>
      <x:c r="C1942" t="str">
        <x:v>C0191</x:v>
      </x:c>
      <x:c r="D1942" t="str">
        <x:v>Foodie Kitchen 191</x:v>
      </x:c>
      <x:c r="E1942" t="str">
        <x:v>Cafe</x:v>
      </x:c>
      <x:c r="F1942" t="str">
        <x:v>Mysuru</x:v>
      </x:c>
      <x:c r="G1942" t="str">
        <x:v>Priya</x:v>
      </x:c>
      <x:c r="H1942" t="str">
        <x:v>P033</x:v>
      </x:c>
      <x:c r="I1942" t="str">
        <x:v>Turmeric Powder 1kg</x:v>
      </x:c>
      <x:c r="J1942" t="str">
        <x:v>Spices</x:v>
      </x:c>
      <x:c r="K1942" t="str">
        <x:v>Everest</x:v>
      </x:c>
      <x:c r="L1942" s="22" t="n">
        <x:v>310</x:v>
      </x:c>
      <x:c r="M1942" t="n">
        <x:v>5</x:v>
      </x:c>
      <x:c r="N1942" s="24" t="n">
        <x:v>0.05</x:v>
      </x:c>
      <x:c r="O1942" s="22" t="n">
        <x:f>L1942*M1942</x:f>
        <x:v>1550</x:v>
      </x:c>
      <x:c r="P1942" s="22" t="n">
        <x:f>O1942*(1-N1942)</x:f>
        <x:v>1472.5</x:v>
      </x:c>
      <x:c r="Q1942" s="22" t="n">
        <x:v>270</x:v>
      </x:c>
      <x:c r="R1942" s="22" t="n">
        <x:f>Q1942*M1942</x:f>
        <x:v>1350</x:v>
      </x:c>
      <x:c r="S1942" s="22" t="n">
        <x:f>P1942-R1942</x:f>
        <x:v>122.5</x:v>
      </x:c>
      <x:c r="T1942" t="str">
        <x:v>Credit</x:v>
      </x:c>
      <x:c r="U1942" t="str">
        <x:v>Paid</x:v>
      </x:c>
      <x:c r="V1942" t="str">
        <x:v>Delivered</x:v>
      </x:c>
      <x:c r="W1942" t="n">
        <x:v>3</x:v>
      </x:c>
      <x:c r="X1942" t="str">
        <x:v>Quality Issue</x:v>
      </x:c>
      <x:c r="Y1942" t="str">
        <x:v>Field Visit</x:v>
      </x:c>
    </x:row>
    <x:row r="1943">
      <x:c r="A1943" t="str">
        <x:v>O001942</x:v>
      </x:c>
      <x:c r="B1943" s="20" t="n">
        <x:v>46165</x:v>
      </x:c>
      <x:c r="C1943" t="str">
        <x:v>C0203</x:v>
      </x:c>
      <x:c r="D1943" t="str">
        <x:v>Namma Mart 203</x:v>
      </x:c>
      <x:c r="E1943" t="str">
        <x:v>Kirana</x:v>
      </x:c>
      <x:c r="F1943" t="str">
        <x:v>Tumakuru</x:v>
      </x:c>
      <x:c r="G1943" t="str">
        <x:v>Priya</x:v>
      </x:c>
      <x:c r="H1943" t="str">
        <x:v>P008</x:v>
      </x:c>
      <x:c r="I1943" t="str">
        <x:v>Palm Oil 15L</x:v>
      </x:c>
      <x:c r="J1943" t="str">
        <x:v>Edible Oil</x:v>
      </x:c>
      <x:c r="K1943" t="str">
        <x:v>Ruchi Gold</x:v>
      </x:c>
      <x:c r="L1943" s="22" t="n">
        <x:v>1760</x:v>
      </x:c>
      <x:c r="M1943" t="n">
        <x:v>10</x:v>
      </x:c>
      <x:c r="N1943" s="24" t="n">
        <x:v>0</x:v>
      </x:c>
      <x:c r="O1943" s="22" t="n">
        <x:f>L1943*M1943</x:f>
        <x:v>17600</x:v>
      </x:c>
      <x:c r="P1943" s="22" t="n">
        <x:f>O1943*(1-N1943)</x:f>
        <x:v>17600</x:v>
      </x:c>
      <x:c r="Q1943" s="22" t="n">
        <x:v>1610</x:v>
      </x:c>
      <x:c r="R1943" s="22" t="n">
        <x:f>Q1943*M1943</x:f>
        <x:v>16100</x:v>
      </x:c>
      <x:c r="S1943" s="22" t="n">
        <x:f>P1943-R1943</x:f>
        <x:v>1500</x:v>
      </x:c>
      <x:c r="T1943" t="str">
        <x:v>UPI</x:v>
      </x:c>
      <x:c r="U1943" t="str">
        <x:v>Paid</x:v>
      </x:c>
      <x:c r="V1943" t="str">
        <x:v>Delivered</x:v>
      </x:c>
      <x:c r="W1943" t="n">
        <x:v>0</x:v>
      </x:c>
      <x:c r="X1943" t="str"/>
      <x:c r="Y1943" t="str">
        <x:v>Field Visit</x:v>
      </x:c>
    </x:row>
    <x:row r="1944">
      <x:c r="A1944" t="str">
        <x:v>O001943</x:v>
      </x:c>
      <x:c r="B1944" s="20" t="n">
        <x:v>45888</x:v>
      </x:c>
      <x:c r="C1944" t="str">
        <x:v>C0014</x:v>
      </x:c>
      <x:c r="D1944" t="str">
        <x:v>Annapurna Canteen 14</x:v>
      </x:c>
      <x:c r="E1944" t="str">
        <x:v>Kirana</x:v>
      </x:c>
      <x:c r="F1944" t="str">
        <x:v>Davanagere</x:v>
      </x:c>
      <x:c r="G1944" t="str">
        <x:v>Sneha</x:v>
      </x:c>
      <x:c r="H1944" t="str">
        <x:v>P010</x:v>
      </x:c>
      <x:c r="I1944" t="str">
        <x:v>Sugar 25kg</x:v>
      </x:c>
      <x:c r="J1944" t="str">
        <x:v>Staples</x:v>
      </x:c>
      <x:c r="K1944" t="str">
        <x:v>Madhur</x:v>
      </x:c>
      <x:c r="L1944" s="22" t="n">
        <x:v>1190</x:v>
      </x:c>
      <x:c r="M1944" t="n">
        <x:v>5</x:v>
      </x:c>
      <x:c r="N1944" s="24" t="n">
        <x:v>0.08</x:v>
      </x:c>
      <x:c r="O1944" s="22" t="n">
        <x:f>L1944*M1944</x:f>
        <x:v>5950</x:v>
      </x:c>
      <x:c r="P1944" s="22" t="n">
        <x:f>O1944*(1-N1944)</x:f>
        <x:v>5474</x:v>
      </x:c>
      <x:c r="Q1944" s="22" t="n">
        <x:v>1080</x:v>
      </x:c>
      <x:c r="R1944" s="22" t="n">
        <x:f>Q1944*M1944</x:f>
        <x:v>5400</x:v>
      </x:c>
      <x:c r="S1944" s="22" t="n">
        <x:f>P1944-R1944</x:f>
        <x:v>74</x:v>
      </x:c>
      <x:c r="T1944" t="str">
        <x:v>Bank Transfer</x:v>
      </x:c>
      <x:c r="U1944" t="str">
        <x:v>Paid</x:v>
      </x:c>
      <x:c r="V1944" t="str">
        <x:v>Delivered</x:v>
      </x:c>
      <x:c r="W1944" t="n">
        <x:v>0</x:v>
      </x:c>
      <x:c r="X1944" t="str"/>
      <x:c r="Y1944" t="str">
        <x:v>WhatsApp</x:v>
      </x:c>
    </x:row>
    <x:row r="1945">
      <x:c r="A1945" t="str">
        <x:v>O001944</x:v>
      </x:c>
      <x:c r="B1945" s="20" t="n">
        <x:v>45877</x:v>
      </x:c>
      <x:c r="C1945" t="str">
        <x:v>C0088</x:v>
      </x:c>
      <x:c r="D1945" t="str">
        <x:v>Darshini Kitchen 88</x:v>
      </x:c>
      <x:c r="E1945" t="str">
        <x:v>Cafe</x:v>
      </x:c>
      <x:c r="F1945" t="str">
        <x:v>Tumakuru</x:v>
      </x:c>
      <x:c r="G1945" t="str">
        <x:v>Arjun</x:v>
      </x:c>
      <x:c r="H1945" t="str">
        <x:v>P012</x:v>
      </x:c>
      <x:c r="I1945" t="str">
        <x:v>Maida 10kg</x:v>
      </x:c>
      <x:c r="J1945" t="str">
        <x:v>Flour</x:v>
      </x:c>
      <x:c r="K1945" t="str">
        <x:v>Aashirvaad</x:v>
      </x:c>
      <x:c r="L1945" s="22" t="n">
        <x:v>520</x:v>
      </x:c>
      <x:c r="M1945" t="n">
        <x:v>38</x:v>
      </x:c>
      <x:c r="N1945" s="24" t="n">
        <x:v>0.02</x:v>
      </x:c>
      <x:c r="O1945" s="22" t="n">
        <x:f>L1945*M1945</x:f>
        <x:v>19760</x:v>
      </x:c>
      <x:c r="P1945" s="22" t="n">
        <x:f>O1945*(1-N1945)</x:f>
        <x:v>19364.8</x:v>
      </x:c>
      <x:c r="Q1945" s="22" t="n">
        <x:v>460</x:v>
      </x:c>
      <x:c r="R1945" s="22" t="n">
        <x:f>Q1945*M1945</x:f>
        <x:v>17480</x:v>
      </x:c>
      <x:c r="S1945" s="22" t="n">
        <x:f>P1945-R1945</x:f>
        <x:v>1884.7999999999993</x:v>
      </x:c>
      <x:c r="T1945" t="str">
        <x:v>UPI</x:v>
      </x:c>
      <x:c r="U1945" t="str">
        <x:v>Paid</x:v>
      </x:c>
      <x:c r="V1945" t="str">
        <x:v>Cancelled</x:v>
      </x:c>
      <x:c r="W1945" t="n">
        <x:v>38</x:v>
      </x:c>
      <x:c r="X1945" t="str">
        <x:v>Cancelled Order</x:v>
      </x:c>
      <x:c r="Y1945" t="str">
        <x:v>Outbound Call</x:v>
      </x:c>
    </x:row>
    <x:row r="1946">
      <x:c r="A1946" t="str">
        <x:v>O001945</x:v>
      </x:c>
      <x:c r="B1946" s="20" t="n">
        <x:v>46114</x:v>
      </x:c>
      <x:c r="C1946" t="str">
        <x:v>C0079</x:v>
      </x:c>
      <x:c r="D1946" t="str">
        <x:v>Foodie Foods 79</x:v>
      </x:c>
      <x:c r="E1946" t="str">
        <x:v>Cafe</x:v>
      </x:c>
      <x:c r="F1946" t="str">
        <x:v>Tumakuru</x:v>
      </x:c>
      <x:c r="G1946" t="str">
        <x:v>Ramesh</x:v>
      </x:c>
      <x:c r="H1946" t="str">
        <x:v>P048</x:v>
      </x:c>
      <x:c r="I1946" t="str">
        <x:v>Banana 10kg</x:v>
      </x:c>
      <x:c r="J1946" t="str">
        <x:v>Fresh Produce</x:v>
      </x:c>
      <x:c r="K1946" t="str">
        <x:v>Local Market</x:v>
      </x:c>
      <x:c r="L1946" s="22" t="n">
        <x:v>420</x:v>
      </x:c>
      <x:c r="M1946" t="n">
        <x:v>31</x:v>
      </x:c>
      <x:c r="N1946" s="24" t="n">
        <x:v>0.08</x:v>
      </x:c>
      <x:c r="O1946" s="22" t="n">
        <x:f>L1946*M1946</x:f>
        <x:v>13020</x:v>
      </x:c>
      <x:c r="P1946" s="22" t="n">
        <x:f>O1946*(1-N1946)</x:f>
        <x:v>11978.4</x:v>
      </x:c>
      <x:c r="Q1946" s="22" t="n">
        <x:v>350</x:v>
      </x:c>
      <x:c r="R1946" s="22" t="n">
        <x:f>Q1946*M1946</x:f>
        <x:v>10850</x:v>
      </x:c>
      <x:c r="S1946" s="22" t="n">
        <x:f>P1946-R1946</x:f>
        <x:v>1128.3999999999996</x:v>
      </x:c>
      <x:c r="T1946" t="str">
        <x:v>Credit</x:v>
      </x:c>
      <x:c r="U1946" t="str">
        <x:v>Paid</x:v>
      </x:c>
      <x:c r="V1946" t="str">
        <x:v>Delivered</x:v>
      </x:c>
      <x:c r="W1946" t="n">
        <x:v>0</x:v>
      </x:c>
      <x:c r="X1946" t="str"/>
      <x:c r="Y1946" t="str">
        <x:v>WhatsApp</x:v>
      </x:c>
    </x:row>
    <x:row r="1947">
      <x:c r="A1947" t="str">
        <x:v>O001946</x:v>
      </x:c>
      <x:c r="B1947" s="20" t="n">
        <x:v>45754</x:v>
      </x:c>
      <x:c r="C1947" t="str">
        <x:v>C0091</x:v>
      </x:c>
      <x:c r="D1947" t="str">
        <x:v>Classic Mart 91</x:v>
      </x:c>
      <x:c r="E1947" t="str">
        <x:v>Cafe</x:v>
      </x:c>
      <x:c r="F1947" t="str">
        <x:v>Mangaluru</x:v>
      </x:c>
      <x:c r="G1947" t="str">
        <x:v>Kavya</x:v>
      </x:c>
      <x:c r="H1947" t="str">
        <x:v>P021</x:v>
      </x:c>
      <x:c r="I1947" t="str">
        <x:v>Instant Coffee 200g</x:v>
      </x:c>
      <x:c r="J1947" t="str">
        <x:v>Beverage</x:v>
      </x:c>
      <x:c r="K1947" t="str">
        <x:v>Nescafe</x:v>
      </x:c>
      <x:c r="L1947" s="22" t="n">
        <x:v>460</x:v>
      </x:c>
      <x:c r="M1947" t="n">
        <x:v>15</x:v>
      </x:c>
      <x:c r="N1947" s="24" t="n">
        <x:v>0.08</x:v>
      </x:c>
      <x:c r="O1947" s="22" t="n">
        <x:f>L1947*M1947</x:f>
        <x:v>6900</x:v>
      </x:c>
      <x:c r="P1947" s="22" t="n">
        <x:f>O1947*(1-N1947)</x:f>
        <x:v>6348</x:v>
      </x:c>
      <x:c r="Q1947" s="22" t="n">
        <x:v>410</x:v>
      </x:c>
      <x:c r="R1947" s="22" t="n">
        <x:f>Q1947*M1947</x:f>
        <x:v>6150</x:v>
      </x:c>
      <x:c r="S1947" s="22" t="n">
        <x:f>P1947-R1947</x:f>
        <x:v>198</x:v>
      </x:c>
      <x:c r="T1947" t="str">
        <x:v>Credit</x:v>
      </x:c>
      <x:c r="U1947" t="str">
        <x:v>Paid</x:v>
      </x:c>
      <x:c r="V1947" t="str">
        <x:v>Cancelled</x:v>
      </x:c>
      <x:c r="W1947" t="n">
        <x:v>15</x:v>
      </x:c>
      <x:c r="X1947" t="str">
        <x:v>Cancelled Order</x:v>
      </x:c>
      <x:c r="Y1947" t="str">
        <x:v>WhatsApp</x:v>
      </x:c>
    </x:row>
    <x:row r="1948">
      <x:c r="A1948" t="str">
        <x:v>O001947</x:v>
      </x:c>
      <x:c r="B1948" s="20" t="n">
        <x:v>46228</x:v>
      </x:c>
      <x:c r="C1948" t="str">
        <x:v>C0077</x:v>
      </x:c>
      <x:c r="D1948" t="str">
        <x:v>Spice Cafe 77</x:v>
      </x:c>
      <x:c r="E1948" t="str">
        <x:v>Kirana</x:v>
      </x:c>
      <x:c r="F1948" t="str">
        <x:v>Hubballi</x:v>
      </x:c>
      <x:c r="G1948" t="str">
        <x:v>Vikram</x:v>
      </x:c>
      <x:c r="H1948" t="str">
        <x:v>P047</x:v>
      </x:c>
      <x:c r="I1948" t="str">
        <x:v>Tomato 25kg</x:v>
      </x:c>
      <x:c r="J1948" t="str">
        <x:v>Fresh Produce</x:v>
      </x:c>
      <x:c r="K1948" t="str">
        <x:v>Local Market</x:v>
      </x:c>
      <x:c r="L1948" s="22" t="n">
        <x:v>950</x:v>
      </x:c>
      <x:c r="M1948" t="n">
        <x:v>2</x:v>
      </x:c>
      <x:c r="N1948" s="24" t="n">
        <x:v>0.1</x:v>
      </x:c>
      <x:c r="O1948" s="22" t="n">
        <x:f>L1948*M1948</x:f>
        <x:v>1900</x:v>
      </x:c>
      <x:c r="P1948" s="22" t="n">
        <x:f>O1948*(1-N1948)</x:f>
        <x:v>1710</x:v>
      </x:c>
      <x:c r="Q1948" s="22" t="n">
        <x:v>810</x:v>
      </x:c>
      <x:c r="R1948" s="22" t="n">
        <x:f>Q1948*M1948</x:f>
        <x:v>1620</x:v>
      </x:c>
      <x:c r="S1948" s="22" t="n">
        <x:f>P1948-R1948</x:f>
        <x:v>90</x:v>
      </x:c>
      <x:c r="T1948" t="str">
        <x:v>Bank Transfer</x:v>
      </x:c>
      <x:c r="U1948" t="str">
        <x:v>Paid</x:v>
      </x:c>
      <x:c r="V1948" t="str">
        <x:v>Delivered</x:v>
      </x:c>
      <x:c r="W1948" t="n">
        <x:v>0</x:v>
      </x:c>
      <x:c r="X1948" t="str"/>
      <x:c r="Y1948" t="str">
        <x:v>Field Visit</x:v>
      </x:c>
    </x:row>
    <x:row r="1949">
      <x:c r="A1949" t="str">
        <x:v>O001948</x:v>
      </x:c>
      <x:c r="B1949" s="20" t="n">
        <x:v>46049</x:v>
      </x:c>
      <x:c r="C1949" t="str">
        <x:v>C0090</x:v>
      </x:c>
      <x:c r="D1949" t="str">
        <x:v>Shree Mart 90</x:v>
      </x:c>
      <x:c r="E1949" t="str">
        <x:v>Restaurant</x:v>
      </x:c>
      <x:c r="F1949" t="str">
        <x:v>Davanagere</x:v>
      </x:c>
      <x:c r="G1949" t="str">
        <x:v>Megha</x:v>
      </x:c>
      <x:c r="H1949" t="str">
        <x:v>P008</x:v>
      </x:c>
      <x:c r="I1949" t="str">
        <x:v>Palm Oil 15L</x:v>
      </x:c>
      <x:c r="J1949" t="str">
        <x:v>Edible Oil</x:v>
      </x:c>
      <x:c r="K1949" t="str">
        <x:v>Ruchi Gold</x:v>
      </x:c>
      <x:c r="L1949" s="22" t="n">
        <x:v>1760</x:v>
      </x:c>
      <x:c r="M1949" t="n">
        <x:v>3</x:v>
      </x:c>
      <x:c r="N1949" s="24" t="n">
        <x:v>0</x:v>
      </x:c>
      <x:c r="O1949" s="22" t="n">
        <x:f>L1949*M1949</x:f>
        <x:v>5280</x:v>
      </x:c>
      <x:c r="P1949" s="22" t="n">
        <x:f>O1949*(1-N1949)</x:f>
        <x:v>5280</x:v>
      </x:c>
      <x:c r="Q1949" s="22" t="n">
        <x:v>1610</x:v>
      </x:c>
      <x:c r="R1949" s="22" t="n">
        <x:f>Q1949*M1949</x:f>
        <x:v>4830</x:v>
      </x:c>
      <x:c r="S1949" s="22" t="n">
        <x:f>P1949-R1949</x:f>
        <x:v>450</x:v>
      </x:c>
      <x:c r="T1949" t="str">
        <x:v>UPI</x:v>
      </x:c>
      <x:c r="U1949" t="str">
        <x:v>Paid</x:v>
      </x:c>
      <x:c r="V1949" t="str">
        <x:v>Delayed</x:v>
      </x:c>
      <x:c r="W1949" t="n">
        <x:v>0</x:v>
      </x:c>
      <x:c r="X1949" t="str"/>
      <x:c r="Y1949" t="str">
        <x:v>Existing Customer</x:v>
      </x:c>
    </x:row>
    <x:row r="1950">
      <x:c r="A1950" t="str">
        <x:v>O001949</x:v>
      </x:c>
      <x:c r="B1950" s="20" t="n">
        <x:v>46098</x:v>
      </x:c>
      <x:c r="C1950" t="str">
        <x:v>C0024</x:v>
      </x:c>
      <x:c r="D1950" t="str">
        <x:v>Darshini Restaurant 24</x:v>
      </x:c>
      <x:c r="E1950" t="str">
        <x:v>Restaurant</x:v>
      </x:c>
      <x:c r="F1950" t="str">
        <x:v>Davanagere</x:v>
      </x:c>
      <x:c r="G1950" t="str">
        <x:v>Sneha</x:v>
      </x:c>
      <x:c r="H1950" t="str">
        <x:v>P011</x:v>
      </x:c>
      <x:c r="I1950" t="str">
        <x:v>Salt 1kg</x:v>
      </x:c>
      <x:c r="J1950" t="str">
        <x:v>Staples</x:v>
      </x:c>
      <x:c r="K1950" t="str">
        <x:v>Tata</x:v>
      </x:c>
      <x:c r="L1950" s="22" t="n">
        <x:v>28</x:v>
      </x:c>
      <x:c r="M1950" t="n">
        <x:v>35</x:v>
      </x:c>
      <x:c r="N1950" s="24" t="n">
        <x:v>0.08</x:v>
      </x:c>
      <x:c r="O1950" s="22" t="n">
        <x:f>L1950*M1950</x:f>
        <x:v>980</x:v>
      </x:c>
      <x:c r="P1950" s="22" t="n">
        <x:f>O1950*(1-N1950)</x:f>
        <x:v>901.6</x:v>
      </x:c>
      <x:c r="Q1950" s="22" t="n">
        <x:v>23</x:v>
      </x:c>
      <x:c r="R1950" s="22" t="n">
        <x:f>Q1950*M1950</x:f>
        <x:v>805</x:v>
      </x:c>
      <x:c r="S1950" s="22" t="n">
        <x:f>P1950-R1950</x:f>
        <x:v>96.60000000000002</x:v>
      </x:c>
      <x:c r="T1950" t="str">
        <x:v>Cash</x:v>
      </x:c>
      <x:c r="U1950" t="str">
        <x:v>Pending</x:v>
      </x:c>
      <x:c r="V1950" t="str">
        <x:v>Delayed</x:v>
      </x:c>
      <x:c r="W1950" t="n">
        <x:v>0</x:v>
      </x:c>
      <x:c r="X1950" t="str"/>
      <x:c r="Y1950" t="str">
        <x:v>WhatsApp</x:v>
      </x:c>
    </x:row>
    <x:row r="1951">
      <x:c r="A1951" t="str">
        <x:v>O001950</x:v>
      </x:c>
      <x:c r="B1951" s="20" t="n">
        <x:v>46184</x:v>
      </x:c>
      <x:c r="C1951" t="str">
        <x:v>C0143</x:v>
      </x:c>
      <x:c r="D1951" t="str">
        <x:v>Foodie Restaurant 143</x:v>
      </x:c>
      <x:c r="E1951" t="str">
        <x:v>Restaurant</x:v>
      </x:c>
      <x:c r="F1951" t="str">
        <x:v>Hubballi</x:v>
      </x:c>
      <x:c r="G1951" t="str">
        <x:v>Priya</x:v>
      </x:c>
      <x:c r="H1951" t="str">
        <x:v>P028</x:v>
      </x:c>
      <x:c r="I1951" t="str">
        <x:v>Cookies 200g</x:v>
      </x:c>
      <x:c r="J1951" t="str">
        <x:v>Snacks</x:v>
      </x:c>
      <x:c r="K1951" t="str">
        <x:v>Britannia</x:v>
      </x:c>
      <x:c r="L1951" s="22" t="n">
        <x:v>55</x:v>
      </x:c>
      <x:c r="M1951" t="n">
        <x:v>27</x:v>
      </x:c>
      <x:c r="N1951" s="24" t="n">
        <x:v>0</x:v>
      </x:c>
      <x:c r="O1951" s="22" t="n">
        <x:f>L1951*M1951</x:f>
        <x:v>1485</x:v>
      </x:c>
      <x:c r="P1951" s="22" t="n">
        <x:f>O1951*(1-N1951)</x:f>
        <x:v>1485</x:v>
      </x:c>
      <x:c r="Q1951" s="22" t="n">
        <x:v>42</x:v>
      </x:c>
      <x:c r="R1951" s="22" t="n">
        <x:f>Q1951*M1951</x:f>
        <x:v>1134</x:v>
      </x:c>
      <x:c r="S1951" s="22" t="n">
        <x:f>P1951-R1951</x:f>
        <x:v>351</x:v>
      </x:c>
      <x:c r="T1951" t="str">
        <x:v>Credit</x:v>
      </x:c>
      <x:c r="U1951" t="str">
        <x:v>Paid</x:v>
      </x:c>
      <x:c r="V1951" t="str">
        <x:v>Delivered</x:v>
      </x:c>
      <x:c r="W1951" t="n">
        <x:v>0</x:v>
      </x:c>
      <x:c r="X1951" t="str"/>
      <x:c r="Y1951" t="str">
        <x:v>Existing Customer</x:v>
      </x:c>
    </x:row>
    <x:row r="1952">
      <x:c r="A1952" t="str">
        <x:v>O001951</x:v>
      </x:c>
      <x:c r="B1952" s="20" t="n">
        <x:v>45923</x:v>
      </x:c>
      <x:c r="C1952" t="str">
        <x:v>C0080</x:v>
      </x:c>
      <x:c r="D1952" t="str">
        <x:v>Annapurna Canteen 80</x:v>
      </x:c>
      <x:c r="E1952" t="str">
        <x:v>Restaurant</x:v>
      </x:c>
      <x:c r="F1952" t="str">
        <x:v>Mangaluru</x:v>
      </x:c>
      <x:c r="G1952" t="str">
        <x:v>Priya</x:v>
      </x:c>
      <x:c r="H1952" t="str">
        <x:v>P030</x:v>
      </x:c>
      <x:c r="I1952" t="str">
        <x:v>Mayonnaise 1kg</x:v>
      </x:c>
      <x:c r="J1952" t="str">
        <x:v>Condiments</x:v>
      </x:c>
      <x:c r="K1952" t="str">
        <x:v>Veeba</x:v>
      </x:c>
      <x:c r="L1952" s="22" t="n">
        <x:v>210</x:v>
      </x:c>
      <x:c r="M1952" t="n">
        <x:v>2</x:v>
      </x:c>
      <x:c r="N1952" s="24" t="n">
        <x:v>0.03</x:v>
      </x:c>
      <x:c r="O1952" s="22" t="n">
        <x:f>L1952*M1952</x:f>
        <x:v>420</x:v>
      </x:c>
      <x:c r="P1952" s="22" t="n">
        <x:f>O1952*(1-N1952)</x:f>
        <x:v>407.4</x:v>
      </x:c>
      <x:c r="Q1952" s="22" t="n">
        <x:v>185</x:v>
      </x:c>
      <x:c r="R1952" s="22" t="n">
        <x:f>Q1952*M1952</x:f>
        <x:v>370</x:v>
      </x:c>
      <x:c r="S1952" s="22" t="n">
        <x:f>P1952-R1952</x:f>
        <x:v>37.39999999999998</x:v>
      </x:c>
      <x:c r="T1952" t="str">
        <x:v>Bank Transfer</x:v>
      </x:c>
      <x:c r="U1952" t="str">
        <x:v>Paid</x:v>
      </x:c>
      <x:c r="V1952" t="str">
        <x:v>Cancelled</x:v>
      </x:c>
      <x:c r="W1952" t="n">
        <x:v>2</x:v>
      </x:c>
      <x:c r="X1952" t="str">
        <x:v>Cancelled Order</x:v>
      </x:c>
      <x:c r="Y1952" t="str">
        <x:v>Existing Customer</x:v>
      </x:c>
    </x:row>
    <x:row r="1953">
      <x:c r="A1953" t="str">
        <x:v>O001952</x:v>
      </x:c>
      <x:c r="B1953" s="20" t="n">
        <x:v>46243</x:v>
      </x:c>
      <x:c r="C1953" t="str">
        <x:v>C0145</x:v>
      </x:c>
      <x:c r="D1953" t="str">
        <x:v>Namma Cafe 145</x:v>
      </x:c>
      <x:c r="E1953" t="str">
        <x:v>Kirana</x:v>
      </x:c>
      <x:c r="F1953" t="str">
        <x:v>Tumakuru</x:v>
      </x:c>
      <x:c r="G1953" t="str">
        <x:v>Sneha</x:v>
      </x:c>
      <x:c r="H1953" t="str">
        <x:v>P008</x:v>
      </x:c>
      <x:c r="I1953" t="str">
        <x:v>Palm Oil 15L</x:v>
      </x:c>
      <x:c r="J1953" t="str">
        <x:v>Edible Oil</x:v>
      </x:c>
      <x:c r="K1953" t="str">
        <x:v>Ruchi Gold</x:v>
      </x:c>
      <x:c r="L1953" s="22" t="n">
        <x:v>1760</x:v>
      </x:c>
      <x:c r="M1953" t="n">
        <x:v>8</x:v>
      </x:c>
      <x:c r="N1953" s="24" t="n">
        <x:v>0.02</x:v>
      </x:c>
      <x:c r="O1953" s="22" t="n">
        <x:f>L1953*M1953</x:f>
        <x:v>14080</x:v>
      </x:c>
      <x:c r="P1953" s="22" t="n">
        <x:f>O1953*(1-N1953)</x:f>
        <x:v>13798.4</x:v>
      </x:c>
      <x:c r="Q1953" s="22" t="n">
        <x:v>1610</x:v>
      </x:c>
      <x:c r="R1953" s="22" t="n">
        <x:f>Q1953*M1953</x:f>
        <x:v>12880</x:v>
      </x:c>
      <x:c r="S1953" s="22" t="n">
        <x:f>P1953-R1953</x:f>
        <x:v>918.3999999999996</x:v>
      </x:c>
      <x:c r="T1953" t="str">
        <x:v>Bank Transfer</x:v>
      </x:c>
      <x:c r="U1953" t="str">
        <x:v>Paid</x:v>
      </x:c>
      <x:c r="V1953" t="str">
        <x:v>Delivered</x:v>
      </x:c>
      <x:c r="W1953" t="n">
        <x:v>4</x:v>
      </x:c>
      <x:c r="X1953" t="str">
        <x:v>Wrong Item</x:v>
      </x:c>
      <x:c r="Y1953" t="str">
        <x:v>WhatsApp</x:v>
      </x:c>
    </x:row>
    <x:row r="1954">
      <x:c r="A1954" t="str">
        <x:v>O001953</x:v>
      </x:c>
      <x:c r="B1954" s="20" t="n">
        <x:v>45788</x:v>
      </x:c>
      <x:c r="C1954" t="str">
        <x:v>C0187</x:v>
      </x:c>
      <x:c r="D1954" t="str">
        <x:v>City Cafe 187</x:v>
      </x:c>
      <x:c r="E1954" t="str">
        <x:v>Hotel</x:v>
      </x:c>
      <x:c r="F1954" t="str">
        <x:v>Mysuru</x:v>
      </x:c>
      <x:c r="G1954" t="str">
        <x:v>Priya</x:v>
      </x:c>
      <x:c r="H1954" t="str">
        <x:v>P041</x:v>
      </x:c>
      <x:c r="I1954" t="str">
        <x:v>Burger Bun 6pc</x:v>
      </x:c>
      <x:c r="J1954" t="str">
        <x:v>Bakery</x:v>
      </x:c>
      <x:c r="K1954" t="str">
        <x:v>Modern</x:v>
      </x:c>
      <x:c r="L1954" s="22" t="n">
        <x:v>42</x:v>
      </x:c>
      <x:c r="M1954" t="n">
        <x:v>13</x:v>
      </x:c>
      <x:c r="N1954" s="24" t="n">
        <x:v>0.05</x:v>
      </x:c>
      <x:c r="O1954" s="22" t="n">
        <x:f>L1954*M1954</x:f>
        <x:v>546</x:v>
      </x:c>
      <x:c r="P1954" s="22" t="n">
        <x:f>O1954*(1-N1954)</x:f>
        <x:v>518.6999999999999</x:v>
      </x:c>
      <x:c r="Q1954" s="22" t="n">
        <x:v>32</x:v>
      </x:c>
      <x:c r="R1954" s="22" t="n">
        <x:f>Q1954*M1954</x:f>
        <x:v>416</x:v>
      </x:c>
      <x:c r="S1954" s="22" t="n">
        <x:f>P1954-R1954</x:f>
        <x:v>102.69999999999993</x:v>
      </x:c>
      <x:c r="T1954" t="str">
        <x:v>Bank Transfer</x:v>
      </x:c>
      <x:c r="U1954" t="str">
        <x:v>Paid</x:v>
      </x:c>
      <x:c r="V1954" t="str">
        <x:v>Delivered</x:v>
      </x:c>
      <x:c r="W1954" t="n">
        <x:v>0</x:v>
      </x:c>
      <x:c r="X1954" t="str"/>
      <x:c r="Y1954" t="str">
        <x:v>Field Visit</x:v>
      </x:c>
    </x:row>
    <x:row r="1955">
      <x:c r="A1955" t="str">
        <x:v>O001954</x:v>
      </x:c>
      <x:c r="B1955" s="20" t="n">
        <x:v>46174</x:v>
      </x:c>
      <x:c r="C1955" t="str">
        <x:v>C0244</x:v>
      </x:c>
      <x:c r="D1955" t="str">
        <x:v>Namma Hotel 244</x:v>
      </x:c>
      <x:c r="E1955" t="str">
        <x:v>Kirana</x:v>
      </x:c>
      <x:c r="F1955" t="str">
        <x:v>Tumakuru</x:v>
      </x:c>
      <x:c r="G1955" t="str">
        <x:v>Sneha</x:v>
      </x:c>
      <x:c r="H1955" t="str">
        <x:v>P003</x:v>
      </x:c>
      <x:c r="I1955" t="str">
        <x:v>Basmati Rice 5kg</x:v>
      </x:c>
      <x:c r="J1955" t="str">
        <x:v>Staples</x:v>
      </x:c>
      <x:c r="K1955" t="str">
        <x:v>India Gate</x:v>
      </x:c>
      <x:c r="L1955" s="22" t="n">
        <x:v>690</x:v>
      </x:c>
      <x:c r="M1955" t="n">
        <x:v>11</x:v>
      </x:c>
      <x:c r="N1955" s="24" t="n">
        <x:v>0</x:v>
      </x:c>
      <x:c r="O1955" s="22" t="n">
        <x:f>L1955*M1955</x:f>
        <x:v>7590</x:v>
      </x:c>
      <x:c r="P1955" s="22" t="n">
        <x:f>O1955*(1-N1955)</x:f>
        <x:v>7590</x:v>
      </x:c>
      <x:c r="Q1955" s="22" t="n">
        <x:v>610</x:v>
      </x:c>
      <x:c r="R1955" s="22" t="n">
        <x:f>Q1955*M1955</x:f>
        <x:v>6710</x:v>
      </x:c>
      <x:c r="S1955" s="22" t="n">
        <x:f>P1955-R1955</x:f>
        <x:v>880</x:v>
      </x:c>
      <x:c r="T1955" t="str">
        <x:v>Credit</x:v>
      </x:c>
      <x:c r="U1955" t="str">
        <x:v>Paid</x:v>
      </x:c>
      <x:c r="V1955" t="str">
        <x:v>Delivered</x:v>
      </x:c>
      <x:c r="W1955" t="n">
        <x:v>0</x:v>
      </x:c>
      <x:c r="X1955" t="str"/>
      <x:c r="Y1955" t="str">
        <x:v>Outbound Call</x:v>
      </x:c>
    </x:row>
    <x:row r="1956">
      <x:c r="A1956" t="str">
        <x:v>O001955</x:v>
      </x:c>
      <x:c r="B1956" s="20" t="n">
        <x:v>46161</x:v>
      </x:c>
      <x:c r="C1956" t="str">
        <x:v>C0043</x:v>
      </x:c>
      <x:c r="D1956" t="str">
        <x:v>Namma Kitchen 43</x:v>
      </x:c>
      <x:c r="E1956" t="str">
        <x:v>Supermarket</x:v>
      </x:c>
      <x:c r="F1956" t="str">
        <x:v>Davanagere</x:v>
      </x:c>
      <x:c r="G1956" t="str">
        <x:v>Kavya</x:v>
      </x:c>
      <x:c r="H1956" t="str">
        <x:v>P013</x:v>
      </x:c>
      <x:c r="I1956" t="str">
        <x:v>Atta 10kg</x:v>
      </x:c>
      <x:c r="J1956" t="str">
        <x:v>Flour</x:v>
      </x:c>
      <x:c r="K1956" t="str">
        <x:v>Aashirvaad</x:v>
      </x:c>
      <x:c r="L1956" s="22" t="n">
        <x:v>560</x:v>
      </x:c>
      <x:c r="M1956" t="n">
        <x:v>10</x:v>
      </x:c>
      <x:c r="N1956" s="24" t="n">
        <x:v>0.08</x:v>
      </x:c>
      <x:c r="O1956" s="22" t="n">
        <x:f>L1956*M1956</x:f>
        <x:v>5600</x:v>
      </x:c>
      <x:c r="P1956" s="22" t="n">
        <x:f>O1956*(1-N1956)</x:f>
        <x:v>5152</x:v>
      </x:c>
      <x:c r="Q1956" s="22" t="n">
        <x:v>495</x:v>
      </x:c>
      <x:c r="R1956" s="22" t="n">
        <x:f>Q1956*M1956</x:f>
        <x:v>4950</x:v>
      </x:c>
      <x:c r="S1956" s="22" t="n">
        <x:f>P1956-R1956</x:f>
        <x:v>202</x:v>
      </x:c>
      <x:c r="T1956" t="str">
        <x:v>Cash</x:v>
      </x:c>
      <x:c r="U1956" t="str">
        <x:v>Pending</x:v>
      </x:c>
      <x:c r="V1956" t="str">
        <x:v>Delivered</x:v>
      </x:c>
      <x:c r="W1956" t="n">
        <x:v>0</x:v>
      </x:c>
      <x:c r="X1956" t="str"/>
      <x:c r="Y1956" t="str"/>
    </x:row>
    <x:row r="1957">
      <x:c r="A1957" t="str">
        <x:v>O001956</x:v>
      </x:c>
      <x:c r="B1957" s="20" t="n">
        <x:v>46219</x:v>
      </x:c>
      <x:c r="C1957" t="str">
        <x:v>C0006</x:v>
      </x:c>
      <x:c r="D1957" t="str">
        <x:v>New Restaurant 6</x:v>
      </x:c>
      <x:c r="E1957" t="str">
        <x:v>Kirana</x:v>
      </x:c>
      <x:c r="F1957" t="str">
        <x:v>Hubballi</x:v>
      </x:c>
      <x:c r="G1957" t="str">
        <x:v>Vikram</x:v>
      </x:c>
      <x:c r="H1957" t="str">
        <x:v>P002</x:v>
      </x:c>
      <x:c r="I1957" t="str">
        <x:v>Sona Masoori Rice 25kg</x:v>
      </x:c>
      <x:c r="J1957" t="str">
        <x:v>Staples</x:v>
      </x:c>
      <x:c r="K1957" t="str">
        <x:v>Fortune</x:v>
      </x:c>
      <x:c r="L1957" s="22" t="n">
        <x:v>1320</x:v>
      </x:c>
      <x:c r="M1957" t="n">
        <x:v>7</x:v>
      </x:c>
      <x:c r="N1957" s="24" t="n">
        <x:v>0</x:v>
      </x:c>
      <x:c r="O1957" s="22" t="n">
        <x:f>L1957*M1957</x:f>
        <x:v>9240</x:v>
      </x:c>
      <x:c r="P1957" s="22" t="n">
        <x:f>O1957*(1-N1957)</x:f>
        <x:v>9240</x:v>
      </x:c>
      <x:c r="Q1957" s="22" t="n">
        <x:v>1160</x:v>
      </x:c>
      <x:c r="R1957" s="22" t="n">
        <x:f>Q1957*M1957</x:f>
        <x:v>8120</x:v>
      </x:c>
      <x:c r="S1957" s="22" t="n">
        <x:f>P1957-R1957</x:f>
        <x:v>1120</x:v>
      </x:c>
      <x:c r="T1957" t="str">
        <x:v>Cash</x:v>
      </x:c>
      <x:c r="U1957" t="str">
        <x:v>Pending</x:v>
      </x:c>
      <x:c r="V1957" t="str">
        <x:v>Delivered</x:v>
      </x:c>
      <x:c r="W1957" t="n">
        <x:v>0</x:v>
      </x:c>
      <x:c r="X1957" t="str"/>
      <x:c r="Y1957" t="str">
        <x:v>Existing Customer</x:v>
      </x:c>
    </x:row>
    <x:row r="1958">
      <x:c r="A1958" t="str">
        <x:v>O001957</x:v>
      </x:c>
      <x:c r="B1958" s="20" t="n">
        <x:v>46186</x:v>
      </x:c>
      <x:c r="C1958" t="str">
        <x:v>C0002</x:v>
      </x:c>
      <x:c r="D1958" t="str">
        <x:v>City Kitchen 2</x:v>
      </x:c>
      <x:c r="E1958" t="str">
        <x:v>Kirana</x:v>
      </x:c>
      <x:c r="F1958" t="str">
        <x:v>Davanagere</x:v>
      </x:c>
      <x:c r="G1958" t="str">
        <x:v>Arjun</x:v>
      </x:c>
      <x:c r="H1958" t="str">
        <x:v>P001</x:v>
      </x:c>
      <x:c r="I1958" t="str">
        <x:v>Steam Rice 25kg</x:v>
      </x:c>
      <x:c r="J1958" t="str">
        <x:v>Staples</x:v>
      </x:c>
      <x:c r="K1958" t="str">
        <x:v>Aishwarya</x:v>
      </x:c>
      <x:c r="L1958" s="22" t="n">
        <x:v>1180</x:v>
      </x:c>
      <x:c r="M1958" t="n">
        <x:v>10</x:v>
      </x:c>
      <x:c r="N1958" s="24" t="n">
        <x:v>0.05</x:v>
      </x:c>
      <x:c r="O1958" s="22" t="n">
        <x:f>L1958*M1958</x:f>
        <x:v>11800</x:v>
      </x:c>
      <x:c r="P1958" s="22" t="n">
        <x:f>O1958*(1-N1958)</x:f>
        <x:v>11210</x:v>
      </x:c>
      <x:c r="Q1958" s="22" t="n">
        <x:v>1040</x:v>
      </x:c>
      <x:c r="R1958" s="22" t="n">
        <x:f>Q1958*M1958</x:f>
        <x:v>10400</x:v>
      </x:c>
      <x:c r="S1958" s="22" t="n">
        <x:f>P1958-R1958</x:f>
        <x:v>810</x:v>
      </x:c>
      <x:c r="T1958" t="str">
        <x:v>UPI</x:v>
      </x:c>
      <x:c r="U1958" t="str">
        <x:v>Paid</x:v>
      </x:c>
      <x:c r="V1958" t="str">
        <x:v>Delivered</x:v>
      </x:c>
      <x:c r="W1958" t="n">
        <x:v>0</x:v>
      </x:c>
      <x:c r="X1958" t="str"/>
      <x:c r="Y1958" t="str">
        <x:v>Outbound Call</x:v>
      </x:c>
    </x:row>
    <x:row r="1959">
      <x:c r="A1959" t="str">
        <x:v>O001958</x:v>
      </x:c>
      <x:c r="B1959" s="20" t="n">
        <x:v>46051</x:v>
      </x:c>
      <x:c r="C1959" t="str">
        <x:v>C0245</x:v>
      </x:c>
      <x:c r="D1959" t="str">
        <x:v>Udupi Cafe 245</x:v>
      </x:c>
      <x:c r="E1959" t="str">
        <x:v>Canteen</x:v>
      </x:c>
      <x:c r="F1959" t="str">
        <x:v>Bengaluru</x:v>
      </x:c>
      <x:c r="G1959" t="str">
        <x:v>Priya</x:v>
      </x:c>
      <x:c r="H1959" t="str">
        <x:v>P006</x:v>
      </x:c>
      <x:c r="I1959" t="str">
        <x:v>Moong Dal 5kg</x:v>
      </x:c>
      <x:c r="J1959" t="str">
        <x:v>Pulses</x:v>
      </x:c>
      <x:c r="K1959" t="str">
        <x:v>Local Select</x:v>
      </x:c>
      <x:c r="L1959" s="22" t="n">
        <x:v>610</x:v>
      </x:c>
      <x:c r="M1959" t="n">
        <x:v>37</x:v>
      </x:c>
      <x:c r="N1959" s="24" t="n">
        <x:v>0.05</x:v>
      </x:c>
      <x:c r="O1959" s="22" t="n">
        <x:f>L1959*M1959</x:f>
        <x:v>22570</x:v>
      </x:c>
      <x:c r="P1959" s="22" t="n">
        <x:f>O1959*(1-N1959)</x:f>
        <x:v>21441.5</x:v>
      </x:c>
      <x:c r="Q1959" s="22" t="n">
        <x:v>540</x:v>
      </x:c>
      <x:c r="R1959" s="22" t="n">
        <x:f>Q1959*M1959</x:f>
        <x:v>19980</x:v>
      </x:c>
      <x:c r="S1959" s="22" t="n">
        <x:f>P1959-R1959</x:f>
        <x:v>1461.5</x:v>
      </x:c>
      <x:c r="T1959" t="str">
        <x:v>Bank Transfer</x:v>
      </x:c>
      <x:c r="U1959" t="str">
        <x:v>Pending</x:v>
      </x:c>
      <x:c r="V1959" t="str">
        <x:v>Delivered</x:v>
      </x:c>
      <x:c r="W1959" t="n">
        <x:v>0</x:v>
      </x:c>
      <x:c r="X1959" t="str"/>
      <x:c r="Y1959" t="str">
        <x:v>Referral</x:v>
      </x:c>
    </x:row>
    <x:row r="1960">
      <x:c r="A1960" t="str">
        <x:v>O001959</x:v>
      </x:c>
      <x:c r="B1960" s="20" t="n">
        <x:v>46202</x:v>
      </x:c>
      <x:c r="C1960" t="str">
        <x:v>C0190</x:v>
      </x:c>
      <x:c r="D1960" t="str">
        <x:v>Shree Restaurant 190</x:v>
      </x:c>
      <x:c r="E1960" t="str">
        <x:v>Canteen</x:v>
      </x:c>
      <x:c r="F1960" t="str">
        <x:v>Bengaluru</x:v>
      </x:c>
      <x:c r="G1960" t="str">
        <x:v>Kavya</x:v>
      </x:c>
      <x:c r="H1960" t="str">
        <x:v>P038</x:v>
      </x:c>
      <x:c r="I1960" t="str">
        <x:v>French Fries 2.5kg</x:v>
      </x:c>
      <x:c r="J1960" t="str">
        <x:v>Frozen</x:v>
      </x:c>
      <x:c r="K1960" t="str">
        <x:v>McCain</x:v>
      </x:c>
      <x:c r="L1960" s="22" t="n">
        <x:v>360</x:v>
      </x:c>
      <x:c r="M1960" t="n">
        <x:v>37</x:v>
      </x:c>
      <x:c r="N1960" s="24" t="n">
        <x:v>0.05</x:v>
      </x:c>
      <x:c r="O1960" s="22" t="n">
        <x:f>L1960*M1960</x:f>
        <x:v>13320</x:v>
      </x:c>
      <x:c r="P1960" s="22" t="n">
        <x:f>O1960*(1-N1960)</x:f>
        <x:v>12654</x:v>
      </x:c>
      <x:c r="Q1960" s="22" t="n">
        <x:v>315</x:v>
      </x:c>
      <x:c r="R1960" s="22" t="n">
        <x:f>Q1960*M1960</x:f>
        <x:v>11655</x:v>
      </x:c>
      <x:c r="S1960" s="22" t="n">
        <x:f>P1960-R1960</x:f>
        <x:v>999</x:v>
      </x:c>
      <x:c r="T1960" t="str">
        <x:v>UPI</x:v>
      </x:c>
      <x:c r="U1960" t="str">
        <x:v>Paid</x:v>
      </x:c>
      <x:c r="V1960" t="str">
        <x:v>Delayed</x:v>
      </x:c>
      <x:c r="W1960" t="n">
        <x:v>0</x:v>
      </x:c>
      <x:c r="X1960" t="str"/>
      <x:c r="Y1960" t="str">
        <x:v>Field Visit</x:v>
      </x:c>
    </x:row>
    <x:row r="1961">
      <x:c r="A1961" t="str">
        <x:v>O001960</x:v>
      </x:c>
      <x:c r="B1961" s="20" t="n">
        <x:v>46218</x:v>
      </x:c>
      <x:c r="C1961" t="str">
        <x:v>C0216</x:v>
      </x:c>
      <x:c r="D1961" t="str">
        <x:v>Cafe Restaurant 216</x:v>
      </x:c>
      <x:c r="E1961" t="str">
        <x:v>Canteen</x:v>
      </x:c>
      <x:c r="F1961" t="str">
        <x:v>Bengaluru</x:v>
      </x:c>
      <x:c r="G1961" t="str">
        <x:v>Vikram</x:v>
      </x:c>
      <x:c r="H1961" t="str">
        <x:v>P006</x:v>
      </x:c>
      <x:c r="I1961" t="str">
        <x:v>Moong Dal 5kg</x:v>
      </x:c>
      <x:c r="J1961" t="str">
        <x:v>Pulses</x:v>
      </x:c>
      <x:c r="K1961" t="str">
        <x:v>Local Select</x:v>
      </x:c>
      <x:c r="L1961" s="22" t="n">
        <x:v>610</x:v>
      </x:c>
      <x:c r="M1961" t="n">
        <x:v>28</x:v>
      </x:c>
      <x:c r="N1961" s="24" t="n">
        <x:v>0.03</x:v>
      </x:c>
      <x:c r="O1961" s="22" t="n">
        <x:f>L1961*M1961</x:f>
        <x:v>17080</x:v>
      </x:c>
      <x:c r="P1961" s="22" t="n">
        <x:f>O1961*(1-N1961)</x:f>
        <x:v>16567.6</x:v>
      </x:c>
      <x:c r="Q1961" s="22" t="n">
        <x:v>540</x:v>
      </x:c>
      <x:c r="R1961" s="22" t="n">
        <x:f>Q1961*M1961</x:f>
        <x:v>15120</x:v>
      </x:c>
      <x:c r="S1961" s="22" t="n">
        <x:f>P1961-R1961</x:f>
        <x:v>1447.5999999999985</x:v>
      </x:c>
      <x:c r="T1961" t="str">
        <x:v>Cash</x:v>
      </x:c>
      <x:c r="U1961" t="str">
        <x:v>Paid</x:v>
      </x:c>
      <x:c r="V1961" t="str">
        <x:v>Delivered</x:v>
      </x:c>
      <x:c r="W1961" t="n">
        <x:v>3</x:v>
      </x:c>
      <x:c r="X1961" t="str">
        <x:v>Wrong Item</x:v>
      </x:c>
      <x:c r="Y1961" t="str">
        <x:v>Referral</x:v>
      </x:c>
    </x:row>
    <x:row r="1962">
      <x:c r="A1962" t="str">
        <x:v>O001961</x:v>
      </x:c>
      <x:c r="B1962" s="20" t="n">
        <x:v>45908</x:v>
      </x:c>
      <x:c r="C1962" t="str">
        <x:v>C0228</x:v>
      </x:c>
      <x:c r="D1962" t="str">
        <x:v>Metro Foods 228</x:v>
      </x:c>
      <x:c r="E1962" t="str">
        <x:v>Supermarket</x:v>
      </x:c>
      <x:c r="F1962" t="str">
        <x:v>Davanagere</x:v>
      </x:c>
      <x:c r="G1962" t="str">
        <x:v>Sneha</x:v>
      </x:c>
      <x:c r="H1962" t="str">
        <x:v>P007</x:v>
      </x:c>
      <x:c r="I1962" t="str">
        <x:v>Sunflower Oil 15L</x:v>
      </x:c>
      <x:c r="J1962" t="str">
        <x:v>Edible Oil</x:v>
      </x:c>
      <x:c r="K1962" t="str">
        <x:v>Fortune</x:v>
      </x:c>
      <x:c r="L1962" s="22" t="n">
        <x:v>1980</x:v>
      </x:c>
      <x:c r="M1962" t="n">
        <x:v>2</x:v>
      </x:c>
      <x:c r="N1962" s="24" t="n">
        <x:v>0.08</x:v>
      </x:c>
      <x:c r="O1962" s="22" t="n">
        <x:f>L1962*M1962</x:f>
        <x:v>3960</x:v>
      </x:c>
      <x:c r="P1962" s="22" t="n">
        <x:f>O1962*(1-N1962)</x:f>
        <x:v>3643.2000000000003</x:v>
      </x:c>
      <x:c r="Q1962" s="22" t="n">
        <x:v>1810</x:v>
      </x:c>
      <x:c r="R1962" s="22" t="n">
        <x:f>Q1962*M1962</x:f>
        <x:v>3620</x:v>
      </x:c>
      <x:c r="S1962" s="22" t="n">
        <x:f>P1962-R1962</x:f>
        <x:v>23.200000000000273</x:v>
      </x:c>
      <x:c r="T1962" t="str">
        <x:v>UPI</x:v>
      </x:c>
      <x:c r="U1962" t="str">
        <x:v>Paid</x:v>
      </x:c>
      <x:c r="V1962" t="str">
        <x:v>Cancelled</x:v>
      </x:c>
      <x:c r="W1962" t="n">
        <x:v>2</x:v>
      </x:c>
      <x:c r="X1962" t="str">
        <x:v>Cancelled Order</x:v>
      </x:c>
      <x:c r="Y1962" t="str">
        <x:v>Existing Customer</x:v>
      </x:c>
    </x:row>
    <x:row r="1963">
      <x:c r="A1963" t="str">
        <x:v>O001962</x:v>
      </x:c>
      <x:c r="B1963" s="20" t="n">
        <x:v>45923</x:v>
      </x:c>
      <x:c r="C1963" t="str">
        <x:v>C0095</x:v>
      </x:c>
      <x:c r="D1963" t="str">
        <x:v>Spice Restaurant 95</x:v>
      </x:c>
      <x:c r="E1963" t="str">
        <x:v>Restaurant</x:v>
      </x:c>
      <x:c r="F1963" t="str">
        <x:v>Bengaluru</x:v>
      </x:c>
      <x:c r="G1963" t="str">
        <x:v>Megha</x:v>
      </x:c>
      <x:c r="H1963" t="str">
        <x:v>P045</x:v>
      </x:c>
      <x:c r="I1963" t="str">
        <x:v>Onion 25kg</x:v>
      </x:c>
      <x:c r="J1963" t="str">
        <x:v>Fresh Produce</x:v>
      </x:c>
      <x:c r="K1963" t="str">
        <x:v>Local Market</x:v>
      </x:c>
      <x:c r="L1963" s="22" t="n">
        <x:v>875</x:v>
      </x:c>
      <x:c r="M1963" t="n">
        <x:v>22</x:v>
      </x:c>
      <x:c r="N1963" s="24" t="n">
        <x:v>0.03</x:v>
      </x:c>
      <x:c r="O1963" s="22" t="n">
        <x:f>L1963*M1963</x:f>
        <x:v>19250</x:v>
      </x:c>
      <x:c r="P1963" s="22" t="n">
        <x:f>O1963*(1-N1963)</x:f>
        <x:v>18672.5</x:v>
      </x:c>
      <x:c r="Q1963" s="22" t="n">
        <x:v>760</x:v>
      </x:c>
      <x:c r="R1963" s="22" t="n">
        <x:f>Q1963*M1963</x:f>
        <x:v>16720</x:v>
      </x:c>
      <x:c r="S1963" s="22" t="n">
        <x:f>P1963-R1963</x:f>
        <x:v>1952.5</x:v>
      </x:c>
      <x:c r="T1963" t="str">
        <x:v>Cash</x:v>
      </x:c>
      <x:c r="U1963" t="str">
        <x:v>Paid</x:v>
      </x:c>
      <x:c r="V1963" t="str">
        <x:v>Delivered</x:v>
      </x:c>
      <x:c r="W1963" t="n">
        <x:v>0</x:v>
      </x:c>
      <x:c r="X1963" t="str"/>
      <x:c r="Y1963" t="str">
        <x:v>Field Visit</x:v>
      </x:c>
    </x:row>
    <x:row r="1964">
      <x:c r="A1964" t="str">
        <x:v>O001963</x:v>
      </x:c>
      <x:c r="B1964" s="20" t="n">
        <x:v>45728</x:v>
      </x:c>
      <x:c r="C1964" t="str">
        <x:v>C0171</x:v>
      </x:c>
      <x:c r="D1964" t="str">
        <x:v>Metro Canteen 171</x:v>
      </x:c>
      <x:c r="E1964" t="str">
        <x:v>Restaurant</x:v>
      </x:c>
      <x:c r="F1964" t="str">
        <x:v>Mangaluru</x:v>
      </x:c>
      <x:c r="G1964" t="str">
        <x:v>Priya</x:v>
      </x:c>
      <x:c r="H1964" t="str">
        <x:v>P001</x:v>
      </x:c>
      <x:c r="I1964" t="str">
        <x:v>Steam Rice 25kg</x:v>
      </x:c>
      <x:c r="J1964" t="str">
        <x:v>Staples</x:v>
      </x:c>
      <x:c r="K1964" t="str">
        <x:v>Aishwarya</x:v>
      </x:c>
      <x:c r="L1964" s="22" t="n">
        <x:v>1180</x:v>
      </x:c>
      <x:c r="M1964" t="n">
        <x:v>4</x:v>
      </x:c>
      <x:c r="N1964" s="24" t="n">
        <x:v>0.02</x:v>
      </x:c>
      <x:c r="O1964" s="22" t="n">
        <x:f>L1964*M1964</x:f>
        <x:v>4720</x:v>
      </x:c>
      <x:c r="P1964" s="22" t="n">
        <x:f>O1964*(1-N1964)</x:f>
        <x:v>4625.6</x:v>
      </x:c>
      <x:c r="Q1964" s="22" t="n">
        <x:v>1040</x:v>
      </x:c>
      <x:c r="R1964" s="22" t="n">
        <x:f>Q1964*M1964</x:f>
        <x:v>4160</x:v>
      </x:c>
      <x:c r="S1964" s="22" t="n">
        <x:f>P1964-R1964</x:f>
        <x:v>465.60000000000036</x:v>
      </x:c>
      <x:c r="T1964" t="str">
        <x:v>Bank Transfer</x:v>
      </x:c>
      <x:c r="U1964" t="str">
        <x:v>Paid</x:v>
      </x:c>
      <x:c r="V1964" t="str">
        <x:v>Delivered</x:v>
      </x:c>
      <x:c r="W1964" t="n">
        <x:v>3</x:v>
      </x:c>
      <x:c r="X1964" t="str">
        <x:v>Late Delivery</x:v>
      </x:c>
      <x:c r="Y1964" t="str">
        <x:v>Existing Customer</x:v>
      </x:c>
    </x:row>
    <x:row r="1965">
      <x:c r="A1965" t="str">
        <x:v>O001964</x:v>
      </x:c>
      <x:c r="B1965" s="20" t="n">
        <x:v>46253</x:v>
      </x:c>
      <x:c r="C1965" t="str">
        <x:v>C0065</x:v>
      </x:c>
      <x:c r="D1965" t="str">
        <x:v>Mysore Stores 65</x:v>
      </x:c>
      <x:c r="E1965" t="str">
        <x:v>Kirana</x:v>
      </x:c>
      <x:c r="F1965" t="str">
        <x:v>Tumakuru</x:v>
      </x:c>
      <x:c r="G1965" t="str">
        <x:v>Sneha</x:v>
      </x:c>
      <x:c r="H1965" t="str">
        <x:v>P019</x:v>
      </x:c>
      <x:c r="I1965" t="str">
        <x:v>Tea 1kg</x:v>
      </x:c>
      <x:c r="J1965" t="str">
        <x:v>Beverage</x:v>
      </x:c>
      <x:c r="K1965" t="str">
        <x:v>Red Label</x:v>
      </x:c>
      <x:c r="L1965" s="22" t="n">
        <x:v>540</x:v>
      </x:c>
      <x:c r="M1965" t="n">
        <x:v>18</x:v>
      </x:c>
      <x:c r="N1965" s="24" t="n">
        <x:v>0.08</x:v>
      </x:c>
      <x:c r="O1965" s="22" t="n">
        <x:f>L1965*M1965</x:f>
        <x:v>9720</x:v>
      </x:c>
      <x:c r="P1965" s="22" t="n">
        <x:f>O1965*(1-N1965)</x:f>
        <x:v>8942.4</x:v>
      </x:c>
      <x:c r="Q1965" s="22" t="n">
        <x:v>485</x:v>
      </x:c>
      <x:c r="R1965" s="22" t="n">
        <x:f>Q1965*M1965</x:f>
        <x:v>8730</x:v>
      </x:c>
      <x:c r="S1965" s="22" t="n">
        <x:f>P1965-R1965</x:f>
        <x:v>212.39999999999964</x:v>
      </x:c>
      <x:c r="T1965" t="str">
        <x:v>Credit</x:v>
      </x:c>
      <x:c r="U1965" t="str">
        <x:v>Paid</x:v>
      </x:c>
      <x:c r="V1965" t="str">
        <x:v>Cancelled</x:v>
      </x:c>
      <x:c r="W1965" t="n">
        <x:v>18</x:v>
      </x:c>
      <x:c r="X1965" t="str">
        <x:v>Cancelled Order</x:v>
      </x:c>
      <x:c r="Y1965" t="str">
        <x:v>Outbound Call</x:v>
      </x:c>
    </x:row>
    <x:row r="1966">
      <x:c r="A1966" t="str">
        <x:v>O001965</x:v>
      </x:c>
      <x:c r="B1966" s="20" t="n">
        <x:v>45931</x:v>
      </x:c>
      <x:c r="C1966" t="str">
        <x:v>C0141</x:v>
      </x:c>
      <x:c r="D1966" t="str">
        <x:v>Sri Restaurant 141</x:v>
      </x:c>
      <x:c r="E1966" t="str">
        <x:v>Restaurant</x:v>
      </x:c>
      <x:c r="F1966" t="str">
        <x:v>Mangaluru</x:v>
      </x:c>
      <x:c r="G1966" t="str">
        <x:v>Ramesh</x:v>
      </x:c>
      <x:c r="H1966" t="str">
        <x:v>P009</x:v>
      </x:c>
      <x:c r="I1966" t="str">
        <x:v>Groundnut Oil 5L</x:v>
      </x:c>
      <x:c r="J1966" t="str">
        <x:v>Edible Oil</x:v>
      </x:c>
      <x:c r="K1966" t="str">
        <x:v>Dhara</x:v>
      </x:c>
      <x:c r="L1966" s="22" t="n">
        <x:v>890</x:v>
      </x:c>
      <x:c r="M1966" t="n">
        <x:v>2</x:v>
      </x:c>
      <x:c r="N1966" s="24" t="n">
        <x:v>0.05</x:v>
      </x:c>
      <x:c r="O1966" s="22" t="n">
        <x:f>L1966*M1966</x:f>
        <x:v>1780</x:v>
      </x:c>
      <x:c r="P1966" s="22" t="n">
        <x:f>O1966*(1-N1966)</x:f>
        <x:v>1691</x:v>
      </x:c>
      <x:c r="Q1966" s="22" t="n">
        <x:v>810</x:v>
      </x:c>
      <x:c r="R1966" s="22" t="n">
        <x:f>Q1966*M1966</x:f>
        <x:v>1620</x:v>
      </x:c>
      <x:c r="S1966" s="22" t="n">
        <x:f>P1966-R1966</x:f>
        <x:v>71</x:v>
      </x:c>
      <x:c r="T1966" t="str">
        <x:v>UPI</x:v>
      </x:c>
      <x:c r="U1966" t="str">
        <x:v>Paid</x:v>
      </x:c>
      <x:c r="V1966" t="str">
        <x:v>Delivered</x:v>
      </x:c>
      <x:c r="W1966" t="n">
        <x:v>0</x:v>
      </x:c>
      <x:c r="X1966" t="str"/>
      <x:c r="Y1966" t="str">
        <x:v>Referral</x:v>
      </x:c>
    </x:row>
    <x:row r="1967">
      <x:c r="A1967" t="str">
        <x:v>O001966</x:v>
      </x:c>
      <x:c r="B1967" s="20" t="n">
        <x:v>45953</x:v>
      </x:c>
      <x:c r="C1967" t="str">
        <x:v>C0153</x:v>
      </x:c>
      <x:c r="D1967" t="str">
        <x:v>Fresh Foods 153</x:v>
      </x:c>
      <x:c r="E1967" t="str">
        <x:v>Kirana</x:v>
      </x:c>
      <x:c r="F1967" t="str">
        <x:v>Bengaluru</x:v>
      </x:c>
      <x:c r="G1967" t="str">
        <x:v>Priya</x:v>
      </x:c>
      <x:c r="H1967" t="str">
        <x:v>P050</x:v>
      </x:c>
      <x:c r="I1967" t="str">
        <x:v>Lemon 5kg</x:v>
      </x:c>
      <x:c r="J1967" t="str">
        <x:v>Fresh Produce</x:v>
      </x:c>
      <x:c r="K1967" t="str">
        <x:v>Local Market</x:v>
      </x:c>
      <x:c r="L1967" s="22" t="n">
        <x:v>360</x:v>
      </x:c>
      <x:c r="M1967" t="n">
        <x:v>1</x:v>
      </x:c>
      <x:c r="N1967" s="24" t="n">
        <x:v>0</x:v>
      </x:c>
      <x:c r="O1967" s="22" t="n">
        <x:f>L1967*M1967</x:f>
        <x:v>360</x:v>
      </x:c>
      <x:c r="P1967" s="22" t="n">
        <x:f>O1967*(1-N1967)</x:f>
        <x:v>360</x:v>
      </x:c>
      <x:c r="Q1967" s="22" t="n">
        <x:v>300</x:v>
      </x:c>
      <x:c r="R1967" s="22" t="n">
        <x:f>Q1967*M1967</x:f>
        <x:v>300</x:v>
      </x:c>
      <x:c r="S1967" s="22" t="n">
        <x:f>P1967-R1967</x:f>
        <x:v>60</x:v>
      </x:c>
      <x:c r="T1967" t="str">
        <x:v>Credit</x:v>
      </x:c>
      <x:c r="U1967" t="str">
        <x:v>Paid</x:v>
      </x:c>
      <x:c r="V1967" t="str">
        <x:v>Delayed</x:v>
      </x:c>
      <x:c r="W1967" t="n">
        <x:v>0</x:v>
      </x:c>
      <x:c r="X1967" t="str"/>
      <x:c r="Y1967" t="str">
        <x:v>Field Visit</x:v>
      </x:c>
    </x:row>
    <x:row r="1968">
      <x:c r="A1968" t="str">
        <x:v>O001967</x:v>
      </x:c>
      <x:c r="B1968" s="20" t="n">
        <x:v>45926</x:v>
      </x:c>
      <x:c r="C1968" t="str">
        <x:v>C0018</x:v>
      </x:c>
      <x:c r="D1968" t="str">
        <x:v>Namma Canteen 18</x:v>
      </x:c>
      <x:c r="E1968" t="str">
        <x:v>Restaurant</x:v>
      </x:c>
      <x:c r="F1968" t="str">
        <x:v>Davanagere</x:v>
      </x:c>
      <x:c r="G1968" t="str">
        <x:v>Imran</x:v>
      </x:c>
      <x:c r="H1968" t="str">
        <x:v>P032</x:v>
      </x:c>
      <x:c r="I1968" t="str">
        <x:v>Soy Sauce 700g</x:v>
      </x:c>
      <x:c r="J1968" t="str">
        <x:v>Condiments</x:v>
      </x:c>
      <x:c r="K1968" t="str">
        <x:v>Ching's</x:v>
      </x:c>
      <x:c r="L1968" s="22" t="n">
        <x:v>118</x:v>
      </x:c>
      <x:c r="M1968" t="n">
        <x:v>21</x:v>
      </x:c>
      <x:c r="N1968" s="24" t="n">
        <x:v>0.08</x:v>
      </x:c>
      <x:c r="O1968" s="22" t="n">
        <x:f>L1968*M1968</x:f>
        <x:v>2478</x:v>
      </x:c>
      <x:c r="P1968" s="22" t="n">
        <x:f>O1968*(1-N1968)</x:f>
        <x:v>2279.76</x:v>
      </x:c>
      <x:c r="Q1968" s="22" t="n">
        <x:v>101</x:v>
      </x:c>
      <x:c r="R1968" s="22" t="n">
        <x:f>Q1968*M1968</x:f>
        <x:v>2121</x:v>
      </x:c>
      <x:c r="S1968" s="22" t="n">
        <x:f>P1968-R1968</x:f>
        <x:v>158.76000000000022</x:v>
      </x:c>
      <x:c r="T1968" t="str">
        <x:v>Credit</x:v>
      </x:c>
      <x:c r="U1968" t="str">
        <x:v>Paid</x:v>
      </x:c>
      <x:c r="V1968" t="str">
        <x:v>Delivered</x:v>
      </x:c>
      <x:c r="W1968" t="n">
        <x:v>0</x:v>
      </x:c>
      <x:c r="X1968" t="str"/>
      <x:c r="Y1968" t="str">
        <x:v>Referral</x:v>
      </x:c>
    </x:row>
    <x:row r="1969">
      <x:c r="A1969" t="str">
        <x:v>O001968</x:v>
      </x:c>
      <x:c r="B1969" s="20" t="n">
        <x:v>46010</x:v>
      </x:c>
      <x:c r="C1969" t="str">
        <x:v>C0041</x:v>
      </x:c>
      <x:c r="D1969" t="str">
        <x:v>Grand Mart 41</x:v>
      </x:c>
      <x:c r="E1969" t="str">
        <x:v>Cafe</x:v>
      </x:c>
      <x:c r="F1969" t="str">
        <x:v>Bengaluru</x:v>
      </x:c>
      <x:c r="G1969" t="str">
        <x:v>Kavya</x:v>
      </x:c>
      <x:c r="H1969" t="str">
        <x:v>P015</x:v>
      </x:c>
      <x:c r="I1969" t="str">
        <x:v>Milk 1L</x:v>
      </x:c>
      <x:c r="J1969" t="str">
        <x:v>Dairy</x:v>
      </x:c>
      <x:c r="K1969" t="str">
        <x:v>Nandini</x:v>
      </x:c>
      <x:c r="L1969" s="22" t="n">
        <x:v>48</x:v>
      </x:c>
      <x:c r="M1969" t="n">
        <x:v>30</x:v>
      </x:c>
      <x:c r="N1969" s="24" t="n">
        <x:v>0</x:v>
      </x:c>
      <x:c r="O1969" s="22" t="n">
        <x:f>L1969*M1969</x:f>
        <x:v>1440</x:v>
      </x:c>
      <x:c r="P1969" s="22" t="n">
        <x:f>O1969*(1-N1969)</x:f>
        <x:v>1440</x:v>
      </x:c>
      <x:c r="Q1969" s="22" t="n">
        <x:v>43</x:v>
      </x:c>
      <x:c r="R1969" s="22" t="n">
        <x:f>Q1969*M1969</x:f>
        <x:v>1290</x:v>
      </x:c>
      <x:c r="S1969" s="22" t="n">
        <x:f>P1969-R1969</x:f>
        <x:v>150</x:v>
      </x:c>
      <x:c r="T1969" t="str">
        <x:v>Cash</x:v>
      </x:c>
      <x:c r="U1969" t="str">
        <x:v>Paid</x:v>
      </x:c>
      <x:c r="V1969" t="str">
        <x:v>Delayed</x:v>
      </x:c>
      <x:c r="W1969" t="n">
        <x:v>0</x:v>
      </x:c>
      <x:c r="X1969" t="str"/>
      <x:c r="Y1969" t="str">
        <x:v>Outbound Call</x:v>
      </x:c>
    </x:row>
    <x:row r="1970">
      <x:c r="A1970" t="str">
        <x:v>O001969</x:v>
      </x:c>
      <x:c r="B1970" s="20" t="n">
        <x:v>46222</x:v>
      </x:c>
      <x:c r="C1970" t="str">
        <x:v>C0144</x:v>
      </x:c>
      <x:c r="D1970" t="str">
        <x:v>Namma Foods 144</x:v>
      </x:c>
      <x:c r="E1970" t="str">
        <x:v>Restaurant</x:v>
      </x:c>
      <x:c r="F1970" t="str">
        <x:v>Tumakuru</x:v>
      </x:c>
      <x:c r="G1970" t="str">
        <x:v>Arjun</x:v>
      </x:c>
      <x:c r="H1970" t="str">
        <x:v>P009</x:v>
      </x:c>
      <x:c r="I1970" t="str">
        <x:v>Groundnut Oil 5L</x:v>
      </x:c>
      <x:c r="J1970" t="str">
        <x:v>Edible Oil</x:v>
      </x:c>
      <x:c r="K1970" t="str">
        <x:v>Dhara</x:v>
      </x:c>
      <x:c r="L1970" s="22" t="n">
        <x:v>890</x:v>
      </x:c>
      <x:c r="M1970" t="n">
        <x:v>22</x:v>
      </x:c>
      <x:c r="N1970" s="24" t="n">
        <x:v>0</x:v>
      </x:c>
      <x:c r="O1970" s="22" t="n">
        <x:f>L1970*M1970</x:f>
        <x:v>19580</x:v>
      </x:c>
      <x:c r="P1970" s="22" t="n">
        <x:f>O1970*(1-N1970)</x:f>
        <x:v>19580</x:v>
      </x:c>
      <x:c r="Q1970" s="22" t="n">
        <x:v>810</x:v>
      </x:c>
      <x:c r="R1970" s="22" t="n">
        <x:f>Q1970*M1970</x:f>
        <x:v>17820</x:v>
      </x:c>
      <x:c r="S1970" s="22" t="n">
        <x:f>P1970-R1970</x:f>
        <x:v>1760</x:v>
      </x:c>
      <x:c r="T1970" t="str">
        <x:v>UPI</x:v>
      </x:c>
      <x:c r="U1970" t="str">
        <x:v>Paid</x:v>
      </x:c>
      <x:c r="V1970" t="str">
        <x:v>Delivered</x:v>
      </x:c>
      <x:c r="W1970" t="n">
        <x:v>0</x:v>
      </x:c>
      <x:c r="X1970" t="str"/>
      <x:c r="Y1970" t="str">
        <x:v>Field Visit</x:v>
      </x:c>
    </x:row>
    <x:row r="1971">
      <x:c r="A1971" t="str">
        <x:v>O001970</x:v>
      </x:c>
      <x:c r="B1971" s="20" t="n">
        <x:v>46065</x:v>
      </x:c>
      <x:c r="C1971" t="str">
        <x:v>C0005</x:v>
      </x:c>
      <x:c r="D1971" t="str">
        <x:v>Sagar Kitchen 5</x:v>
      </x:c>
      <x:c r="E1971" t="str">
        <x:v>Restaurant</x:v>
      </x:c>
      <x:c r="F1971" t="str">
        <x:v>Hubballi</x:v>
      </x:c>
      <x:c r="G1971" t="str">
        <x:v>Priya</x:v>
      </x:c>
      <x:c r="H1971" t="str">
        <x:v>P019</x:v>
      </x:c>
      <x:c r="I1971" t="str">
        <x:v>Tea 1kg</x:v>
      </x:c>
      <x:c r="J1971" t="str">
        <x:v>Beverage</x:v>
      </x:c>
      <x:c r="K1971" t="str">
        <x:v>Red Label</x:v>
      </x:c>
      <x:c r="L1971" s="22" t="n">
        <x:v>540</x:v>
      </x:c>
      <x:c r="M1971" t="n">
        <x:v>8</x:v>
      </x:c>
      <x:c r="N1971" s="24" t="n">
        <x:v>0.08</x:v>
      </x:c>
      <x:c r="O1971" s="22" t="n">
        <x:f>L1971*M1971</x:f>
        <x:v>4320</x:v>
      </x:c>
      <x:c r="P1971" s="22" t="n">
        <x:f>O1971*(1-N1971)</x:f>
        <x:v>3974.4</x:v>
      </x:c>
      <x:c r="Q1971" s="22" t="n">
        <x:v>485</x:v>
      </x:c>
      <x:c r="R1971" s="22" t="n">
        <x:f>Q1971*M1971</x:f>
        <x:v>3880</x:v>
      </x:c>
      <x:c r="S1971" s="22" t="n">
        <x:f>P1971-R1971</x:f>
        <x:v>94.40000000000009</x:v>
      </x:c>
      <x:c r="T1971" t="str">
        <x:v>UPI</x:v>
      </x:c>
      <x:c r="U1971" t="str">
        <x:v>Paid</x:v>
      </x:c>
      <x:c r="V1971" t="str">
        <x:v>Delivered</x:v>
      </x:c>
      <x:c r="W1971" t="n">
        <x:v>0</x:v>
      </x:c>
      <x:c r="X1971" t="str"/>
      <x:c r="Y1971" t="str">
        <x:v>Field Visit</x:v>
      </x:c>
    </x:row>
    <x:row r="1972">
      <x:c r="A1972" t="str">
        <x:v>O001971</x:v>
      </x:c>
      <x:c r="B1972" s="20" t="n">
        <x:v>45745</x:v>
      </x:c>
      <x:c r="C1972" t="str">
        <x:v>C0007</x:v>
      </x:c>
      <x:c r="D1972" t="str">
        <x:v>Mysore Stores 7</x:v>
      </x:c>
      <x:c r="E1972" t="str">
        <x:v>Kirana</x:v>
      </x:c>
      <x:c r="F1972" t="str">
        <x:v>Bengaluru</x:v>
      </x:c>
      <x:c r="G1972" t="str">
        <x:v>Kavya</x:v>
      </x:c>
      <x:c r="H1972" t="str">
        <x:v>P004</x:v>
      </x:c>
      <x:c r="I1972" t="str">
        <x:v>Toor Dal 5kg</x:v>
      </x:c>
      <x:c r="J1972" t="str">
        <x:v>Pulses</x:v>
      </x:c>
      <x:c r="K1972" t="str">
        <x:v>Tata Sampann</x:v>
      </x:c>
      <x:c r="L1972" s="22" t="n">
        <x:v>780</x:v>
      </x:c>
      <x:c r="M1972" t="n">
        <x:v>9</x:v>
      </x:c>
      <x:c r="N1972" s="24" t="n">
        <x:v>0.03</x:v>
      </x:c>
      <x:c r="O1972" s="22" t="n">
        <x:f>L1972*M1972</x:f>
        <x:v>7020</x:v>
      </x:c>
      <x:c r="P1972" s="22" t="n">
        <x:f>O1972*(1-N1972)</x:f>
        <x:v>6809.4</x:v>
      </x:c>
      <x:c r="Q1972" s="22" t="n">
        <x:v>695</x:v>
      </x:c>
      <x:c r="R1972" s="22" t="n">
        <x:f>Q1972*M1972</x:f>
        <x:v>6255</x:v>
      </x:c>
      <x:c r="S1972" s="22" t="n">
        <x:f>P1972-R1972</x:f>
        <x:v>554.3999999999996</x:v>
      </x:c>
      <x:c r="T1972" t="str">
        <x:v>Bank Transfer</x:v>
      </x:c>
      <x:c r="U1972" t="str">
        <x:v>Paid</x:v>
      </x:c>
      <x:c r="V1972" t="str">
        <x:v>Delivered</x:v>
      </x:c>
      <x:c r="W1972" t="n">
        <x:v>0</x:v>
      </x:c>
      <x:c r="X1972" t="str"/>
      <x:c r="Y1972" t="str">
        <x:v>Referral</x:v>
      </x:c>
    </x:row>
    <x:row r="1973">
      <x:c r="A1973" t="str">
        <x:v>O001972</x:v>
      </x:c>
      <x:c r="B1973" s="20" t="n">
        <x:v>46239</x:v>
      </x:c>
      <x:c r="C1973" t="str">
        <x:v>C0232</x:v>
      </x:c>
      <x:c r="D1973" t="str">
        <x:v>Grand Mart 232</x:v>
      </x:c>
      <x:c r="E1973" t="str">
        <x:v>Cafe</x:v>
      </x:c>
      <x:c r="F1973" t="str">
        <x:v>Davanagere</x:v>
      </x:c>
      <x:c r="G1973" t="str">
        <x:v>Kavya</x:v>
      </x:c>
      <x:c r="H1973" t="str">
        <x:v>P009</x:v>
      </x:c>
      <x:c r="I1973" t="str">
        <x:v>Groundnut Oil 5L</x:v>
      </x:c>
      <x:c r="J1973" t="str">
        <x:v>Edible Oil</x:v>
      </x:c>
      <x:c r="K1973" t="str">
        <x:v>Dhara</x:v>
      </x:c>
      <x:c r="L1973" s="22" t="n">
        <x:v>890</x:v>
      </x:c>
      <x:c r="M1973" t="n">
        <x:v>28</x:v>
      </x:c>
      <x:c r="N1973" s="24" t="n">
        <x:v>0</x:v>
      </x:c>
      <x:c r="O1973" s="22" t="n">
        <x:f>L1973*M1973</x:f>
        <x:v>24920</x:v>
      </x:c>
      <x:c r="P1973" s="22" t="n">
        <x:f>O1973*(1-N1973)</x:f>
        <x:v>24920</x:v>
      </x:c>
      <x:c r="Q1973" s="22" t="n">
        <x:v>810</x:v>
      </x:c>
      <x:c r="R1973" s="22" t="n">
        <x:f>Q1973*M1973</x:f>
        <x:v>22680</x:v>
      </x:c>
      <x:c r="S1973" s="22" t="n">
        <x:f>P1973-R1973</x:f>
        <x:v>2240</x:v>
      </x:c>
      <x:c r="T1973" t="str">
        <x:v>UPI</x:v>
      </x:c>
      <x:c r="U1973" t="str">
        <x:v>Paid</x:v>
      </x:c>
      <x:c r="V1973" t="str">
        <x:v>Cancelled</x:v>
      </x:c>
      <x:c r="W1973" t="n">
        <x:v>28</x:v>
      </x:c>
      <x:c r="X1973" t="str">
        <x:v>Cancelled Order</x:v>
      </x:c>
      <x:c r="Y1973" t="str">
        <x:v>Field Visit</x:v>
      </x:c>
    </x:row>
    <x:row r="1974">
      <x:c r="A1974" t="str">
        <x:v>O001973</x:v>
      </x:c>
      <x:c r="B1974" s="20" t="n">
        <x:v>45669</x:v>
      </x:c>
      <x:c r="C1974" t="str">
        <x:v>C0184</x:v>
      </x:c>
      <x:c r="D1974" t="str">
        <x:v>Namma Restaurant 184</x:v>
      </x:c>
      <x:c r="E1974" t="str">
        <x:v>Cafe</x:v>
      </x:c>
      <x:c r="F1974" t="str">
        <x:v>Hubballi</x:v>
      </x:c>
      <x:c r="G1974" t="str">
        <x:v>Arjun</x:v>
      </x:c>
      <x:c r="H1974" t="str">
        <x:v>P024</x:v>
      </x:c>
      <x:c r="I1974" t="str">
        <x:v>Orange Drink 1L</x:v>
      </x:c>
      <x:c r="J1974" t="str">
        <x:v>Beverage</x:v>
      </x:c>
      <x:c r="K1974" t="str">
        <x:v>Minute Maid</x:v>
      </x:c>
      <x:c r="L1974" s="22" t="n">
        <x:v>105</x:v>
      </x:c>
      <x:c r="M1974" t="n">
        <x:v>32</x:v>
      </x:c>
      <x:c r="N1974" s="24" t="n">
        <x:v>0.05</x:v>
      </x:c>
      <x:c r="O1974" s="22" t="n">
        <x:f>L1974*M1974</x:f>
        <x:v>3360</x:v>
      </x:c>
      <x:c r="P1974" s="22" t="n">
        <x:f>O1974*(1-N1974)</x:f>
        <x:v>3192</x:v>
      </x:c>
      <x:c r="Q1974" s="22" t="n">
        <x:v>88</x:v>
      </x:c>
      <x:c r="R1974" s="22" t="n">
        <x:f>Q1974*M1974</x:f>
        <x:v>2816</x:v>
      </x:c>
      <x:c r="S1974" s="22" t="n">
        <x:f>P1974-R1974</x:f>
        <x:v>376</x:v>
      </x:c>
      <x:c r="T1974" t="str">
        <x:v>Credit</x:v>
      </x:c>
      <x:c r="U1974" t="str">
        <x:v>Pending</x:v>
      </x:c>
      <x:c r="V1974" t="str">
        <x:v>Delivered</x:v>
      </x:c>
      <x:c r="W1974" t="n">
        <x:v>0</x:v>
      </x:c>
      <x:c r="X1974" t="str"/>
      <x:c r="Y1974" t="str">
        <x:v>Field Visit</x:v>
      </x:c>
    </x:row>
    <x:row r="1975">
      <x:c r="A1975" t="str">
        <x:v>O001974</x:v>
      </x:c>
      <x:c r="B1975" s="20" t="n">
        <x:v>45970</x:v>
      </x:c>
      <x:c r="C1975" t="str">
        <x:v>C0186</x:v>
      </x:c>
      <x:c r="D1975" t="str">
        <x:v>Namma Stores 186</x:v>
      </x:c>
      <x:c r="E1975" t="str">
        <x:v>Supermarket</x:v>
      </x:c>
      <x:c r="F1975" t="str">
        <x:v>Mysuru</x:v>
      </x:c>
      <x:c r="G1975" t="str">
        <x:v>Vikram</x:v>
      </x:c>
      <x:c r="H1975" t="str">
        <x:v>P003</x:v>
      </x:c>
      <x:c r="I1975" t="str">
        <x:v>Basmati Rice 5kg</x:v>
      </x:c>
      <x:c r="J1975" t="str">
        <x:v>Staples</x:v>
      </x:c>
      <x:c r="K1975" t="str">
        <x:v>India Gate</x:v>
      </x:c>
      <x:c r="L1975" s="22" t="n">
        <x:v>690</x:v>
      </x:c>
      <x:c r="M1975" t="n">
        <x:v>12</x:v>
      </x:c>
      <x:c r="N1975" s="24" t="n">
        <x:v>0.08</x:v>
      </x:c>
      <x:c r="O1975" s="22" t="n">
        <x:f>L1975*M1975</x:f>
        <x:v>8280</x:v>
      </x:c>
      <x:c r="P1975" s="22" t="n">
        <x:f>O1975*(1-N1975)</x:f>
        <x:v>7617.6</x:v>
      </x:c>
      <x:c r="Q1975" s="22" t="n">
        <x:v>610</x:v>
      </x:c>
      <x:c r="R1975" s="22" t="n">
        <x:f>Q1975*M1975</x:f>
        <x:v>7320</x:v>
      </x:c>
      <x:c r="S1975" s="22" t="n">
        <x:f>P1975-R1975</x:f>
        <x:v>297.60000000000036</x:v>
      </x:c>
      <x:c r="T1975" t="str">
        <x:v>Credit</x:v>
      </x:c>
      <x:c r="U1975" t="str">
        <x:v>Paid</x:v>
      </x:c>
      <x:c r="V1975" t="str">
        <x:v>Delivered</x:v>
      </x:c>
      <x:c r="W1975" t="n">
        <x:v>0</x:v>
      </x:c>
      <x:c r="X1975" t="str"/>
      <x:c r="Y1975" t="str">
        <x:v>Field Visit</x:v>
      </x:c>
    </x:row>
    <x:row r="1976">
      <x:c r="A1976" t="str">
        <x:v>O001975</x:v>
      </x:c>
      <x:c r="B1976" s="20" t="n">
        <x:v>45767</x:v>
      </x:c>
      <x:c r="C1976" t="str">
        <x:v>C0248</x:v>
      </x:c>
      <x:c r="D1976" t="str">
        <x:v>Royal Restaurant 248</x:v>
      </x:c>
      <x:c r="E1976" t="str">
        <x:v>Canteen</x:v>
      </x:c>
      <x:c r="F1976" t="str">
        <x:v>Mysuru</x:v>
      </x:c>
      <x:c r="G1976" t="str">
        <x:v>Priya</x:v>
      </x:c>
      <x:c r="H1976" t="str">
        <x:v>P002</x:v>
      </x:c>
      <x:c r="I1976" t="str">
        <x:v>Sona Masoori Rice 25kg</x:v>
      </x:c>
      <x:c r="J1976" t="str">
        <x:v>Staples</x:v>
      </x:c>
      <x:c r="K1976" t="str">
        <x:v>Fortune</x:v>
      </x:c>
      <x:c r="L1976" s="22" t="n">
        <x:v>1320</x:v>
      </x:c>
      <x:c r="M1976" t="n">
        <x:v>2</x:v>
      </x:c>
      <x:c r="N1976" s="24" t="n">
        <x:v>0.02</x:v>
      </x:c>
      <x:c r="O1976" s="22" t="n">
        <x:f>L1976*M1976</x:f>
        <x:v>2640</x:v>
      </x:c>
      <x:c r="P1976" s="22" t="n">
        <x:f>O1976*(1-N1976)</x:f>
        <x:v>2587.2</x:v>
      </x:c>
      <x:c r="Q1976" s="22" t="n">
        <x:v>1160</x:v>
      </x:c>
      <x:c r="R1976" s="22" t="n">
        <x:f>Q1976*M1976</x:f>
        <x:v>2320</x:v>
      </x:c>
      <x:c r="S1976" s="22" t="n">
        <x:f>P1976-R1976</x:f>
        <x:v>267.1999999999998</x:v>
      </x:c>
      <x:c r="T1976" t="str">
        <x:v>UPI</x:v>
      </x:c>
      <x:c r="U1976" t="str">
        <x:v>Paid</x:v>
      </x:c>
      <x:c r="V1976" t="str">
        <x:v>Cancelled</x:v>
      </x:c>
      <x:c r="W1976" t="n">
        <x:v>2</x:v>
      </x:c>
      <x:c r="X1976" t="str">
        <x:v>Cancelled Order</x:v>
      </x:c>
      <x:c r="Y1976" t="str">
        <x:v>Referral</x:v>
      </x:c>
    </x:row>
    <x:row r="1977">
      <x:c r="A1977" t="str">
        <x:v>O001976</x:v>
      </x:c>
      <x:c r="B1977" s="20" t="n">
        <x:v>45810</x:v>
      </x:c>
      <x:c r="C1977" t="str">
        <x:v>C0080</x:v>
      </x:c>
      <x:c r="D1977" t="str">
        <x:v>Annapurna Canteen 80</x:v>
      </x:c>
      <x:c r="E1977" t="str">
        <x:v>Restaurant</x:v>
      </x:c>
      <x:c r="F1977" t="str">
        <x:v>Mangaluru</x:v>
      </x:c>
      <x:c r="G1977" t="str">
        <x:v>Priya</x:v>
      </x:c>
      <x:c r="H1977" t="str">
        <x:v>P032</x:v>
      </x:c>
      <x:c r="I1977" t="str">
        <x:v>Soy Sauce 700g</x:v>
      </x:c>
      <x:c r="J1977" t="str">
        <x:v>Condiments</x:v>
      </x:c>
      <x:c r="K1977" t="str">
        <x:v>Ching's</x:v>
      </x:c>
      <x:c r="L1977" s="22" t="n">
        <x:v>118</x:v>
      </x:c>
      <x:c r="M1977" t="n">
        <x:v>17</x:v>
      </x:c>
      <x:c r="N1977" s="24" t="n">
        <x:v>0</x:v>
      </x:c>
      <x:c r="O1977" s="22" t="n">
        <x:f>L1977*M1977</x:f>
        <x:v>2006</x:v>
      </x:c>
      <x:c r="P1977" s="22" t="n">
        <x:f>O1977*(1-N1977)</x:f>
        <x:v>2006</x:v>
      </x:c>
      <x:c r="Q1977" s="22" t="n">
        <x:v>101</x:v>
      </x:c>
      <x:c r="R1977" s="22" t="n">
        <x:f>Q1977*M1977</x:f>
        <x:v>1717</x:v>
      </x:c>
      <x:c r="S1977" s="22" t="n">
        <x:f>P1977-R1977</x:f>
        <x:v>289</x:v>
      </x:c>
      <x:c r="T1977" t="str">
        <x:v>Credit</x:v>
      </x:c>
      <x:c r="U1977" t="str">
        <x:v>Paid</x:v>
      </x:c>
      <x:c r="V1977" t="str">
        <x:v>Delivered</x:v>
      </x:c>
      <x:c r="W1977" t="n">
        <x:v>0</x:v>
      </x:c>
      <x:c r="X1977" t="str"/>
      <x:c r="Y1977" t="str">
        <x:v>Referral</x:v>
      </x:c>
    </x:row>
    <x:row r="1978">
      <x:c r="A1978" t="str">
        <x:v>O001977</x:v>
      </x:c>
      <x:c r="B1978" s="20" t="n">
        <x:v>45787</x:v>
      </x:c>
      <x:c r="C1978" t="str">
        <x:v>C0194</x:v>
      </x:c>
      <x:c r="D1978" t="str">
        <x:v>Royal Hotel 194</x:v>
      </x:c>
      <x:c r="E1978" t="str">
        <x:v>Kirana</x:v>
      </x:c>
      <x:c r="F1978" t="str">
        <x:v>Mysuru</x:v>
      </x:c>
      <x:c r="G1978" t="str">
        <x:v>Megha</x:v>
      </x:c>
      <x:c r="H1978" t="str">
        <x:v>P007</x:v>
      </x:c>
      <x:c r="I1978" t="str">
        <x:v>Sunflower Oil 15L</x:v>
      </x:c>
      <x:c r="J1978" t="str">
        <x:v>Edible Oil</x:v>
      </x:c>
      <x:c r="K1978" t="str">
        <x:v>Fortune</x:v>
      </x:c>
      <x:c r="L1978" s="22" t="n">
        <x:v>1980</x:v>
      </x:c>
      <x:c r="M1978" t="n">
        <x:v>11</x:v>
      </x:c>
      <x:c r="N1978" s="24" t="n">
        <x:v>0.1</x:v>
      </x:c>
      <x:c r="O1978" s="22" t="n">
        <x:f>L1978*M1978</x:f>
        <x:v>21780</x:v>
      </x:c>
      <x:c r="P1978" s="22" t="n">
        <x:f>O1978*(1-N1978)</x:f>
        <x:v>19602</x:v>
      </x:c>
      <x:c r="Q1978" s="22" t="n">
        <x:v>1810</x:v>
      </x:c>
      <x:c r="R1978" s="22" t="n">
        <x:f>Q1978*M1978</x:f>
        <x:v>19910</x:v>
      </x:c>
      <x:c r="S1978" s="22" t="n">
        <x:f>P1978-R1978</x:f>
        <x:v>-308</x:v>
      </x:c>
      <x:c r="T1978" t="str">
        <x:v>Credit</x:v>
      </x:c>
      <x:c r="U1978" t="str">
        <x:v>Paid</x:v>
      </x:c>
      <x:c r="V1978" t="str">
        <x:v>Delivered</x:v>
      </x:c>
      <x:c r="W1978" t="n">
        <x:v>0</x:v>
      </x:c>
      <x:c r="X1978" t="str"/>
      <x:c r="Y1978" t="str">
        <x:v>WhatsApp</x:v>
      </x:c>
    </x:row>
    <x:row r="1979">
      <x:c r="A1979" t="str">
        <x:v>O001978</x:v>
      </x:c>
      <x:c r="B1979" s="20" t="n">
        <x:v>46067</x:v>
      </x:c>
      <x:c r="C1979" t="str">
        <x:v>C0100</x:v>
      </x:c>
      <x:c r="D1979" t="str">
        <x:v>Fresh Mart 100</x:v>
      </x:c>
      <x:c r="E1979" t="str">
        <x:v>Restaurant</x:v>
      </x:c>
      <x:c r="F1979" t="str">
        <x:v>Mysuru</x:v>
      </x:c>
      <x:c r="G1979" t="str">
        <x:v>Imran</x:v>
      </x:c>
      <x:c r="H1979" t="str">
        <x:v>P023</x:v>
      </x:c>
      <x:c r="I1979" t="str">
        <x:v>Cola 750ml</x:v>
      </x:c>
      <x:c r="J1979" t="str">
        <x:v>Beverage</x:v>
      </x:c>
      <x:c r="K1979" t="str">
        <x:v>Coca-Cola</x:v>
      </x:c>
      <x:c r="L1979" s="22" t="n">
        <x:v>38</x:v>
      </x:c>
      <x:c r="M1979" t="n">
        <x:v>10</x:v>
      </x:c>
      <x:c r="N1979" s="24" t="n">
        <x:v>0.08</x:v>
      </x:c>
      <x:c r="O1979" s="22" t="n">
        <x:f>L1979*M1979</x:f>
        <x:v>380</x:v>
      </x:c>
      <x:c r="P1979" s="22" t="n">
        <x:f>O1979*(1-N1979)</x:f>
        <x:v>349.6</x:v>
      </x:c>
      <x:c r="Q1979" s="22" t="n">
        <x:v>31</x:v>
      </x:c>
      <x:c r="R1979" s="22" t="n">
        <x:f>Q1979*M1979</x:f>
        <x:v>310</x:v>
      </x:c>
      <x:c r="S1979" s="22" t="n">
        <x:f>P1979-R1979</x:f>
        <x:v>39.60000000000002</x:v>
      </x:c>
      <x:c r="T1979" t="str">
        <x:v>Cash</x:v>
      </x:c>
      <x:c r="U1979" t="str">
        <x:v>Overdue</x:v>
      </x:c>
      <x:c r="V1979" t="str">
        <x:v>Delayed</x:v>
      </x:c>
      <x:c r="W1979" t="n">
        <x:v>0</x:v>
      </x:c>
      <x:c r="X1979" t="str"/>
      <x:c r="Y1979" t="str">
        <x:v>WhatsApp</x:v>
      </x:c>
    </x:row>
    <x:row r="1980">
      <x:c r="A1980" t="str">
        <x:v>O001979</x:v>
      </x:c>
      <x:c r="B1980" s="20" t="n">
        <x:v>46110</x:v>
      </x:c>
      <x:c r="C1980" t="str">
        <x:v>C0105</x:v>
      </x:c>
      <x:c r="D1980" t="str">
        <x:v>Foodie Restaurant 105</x:v>
      </x:c>
      <x:c r="E1980" t="str">
        <x:v>Supermarket</x:v>
      </x:c>
      <x:c r="F1980" t="str">
        <x:v>Bengaluru</x:v>
      </x:c>
      <x:c r="G1980" t="str">
        <x:v>Arjun</x:v>
      </x:c>
      <x:c r="H1980" t="str">
        <x:v>P035</x:v>
      </x:c>
      <x:c r="I1980" t="str">
        <x:v>Coriander Powder 1kg</x:v>
      </x:c>
      <x:c r="J1980" t="str">
        <x:v>Spices</x:v>
      </x:c>
      <x:c r="K1980" t="str">
        <x:v>Everest</x:v>
      </x:c>
      <x:c r="L1980" s="22" t="n">
        <x:v>280</x:v>
      </x:c>
      <x:c r="M1980" t="n">
        <x:v>33</x:v>
      </x:c>
      <x:c r="N1980" s="24" t="n">
        <x:v>0.08</x:v>
      </x:c>
      <x:c r="O1980" s="22" t="n">
        <x:f>L1980*M1980</x:f>
        <x:v>9240</x:v>
      </x:c>
      <x:c r="P1980" s="22" t="n">
        <x:f>O1980*(1-N1980)</x:f>
        <x:v>8500.800000000001</x:v>
      </x:c>
      <x:c r="Q1980" s="22" t="n">
        <x:v>245</x:v>
      </x:c>
      <x:c r="R1980" s="22" t="n">
        <x:f>Q1980*M1980</x:f>
        <x:v>8085</x:v>
      </x:c>
      <x:c r="S1980" s="22" t="n">
        <x:f>P1980-R1980</x:f>
        <x:v>415.8000000000011</x:v>
      </x:c>
      <x:c r="T1980" t="str">
        <x:v>Cash</x:v>
      </x:c>
      <x:c r="U1980" t="str">
        <x:v>Pending</x:v>
      </x:c>
      <x:c r="V1980" t="str">
        <x:v>Delivered</x:v>
      </x:c>
      <x:c r="W1980" t="n">
        <x:v>0</x:v>
      </x:c>
      <x:c r="X1980" t="str"/>
      <x:c r="Y1980" t="str">
        <x:v>Outbound Call</x:v>
      </x:c>
    </x:row>
    <x:row r="1981">
      <x:c r="A1981" t="str">
        <x:v>O001980</x:v>
      </x:c>
      <x:c r="B1981" s="20" t="n">
        <x:v>45870</x:v>
      </x:c>
      <x:c r="C1981" t="str">
        <x:v>C0149</x:v>
      </x:c>
      <x:c r="D1981" t="str">
        <x:v>Annapurna Hotel 149</x:v>
      </x:c>
      <x:c r="E1981" t="str">
        <x:v>Cafe</x:v>
      </x:c>
      <x:c r="F1981" t="str">
        <x:v>Tumakuru</x:v>
      </x:c>
      <x:c r="G1981" t="str">
        <x:v>Megha</x:v>
      </x:c>
      <x:c r="H1981" t="str">
        <x:v>P004</x:v>
      </x:c>
      <x:c r="I1981" t="str">
        <x:v>Toor Dal 5kg</x:v>
      </x:c>
      <x:c r="J1981" t="str">
        <x:v>Pulses</x:v>
      </x:c>
      <x:c r="K1981" t="str">
        <x:v>Tata Sampann</x:v>
      </x:c>
      <x:c r="L1981" s="22" t="n">
        <x:v>780</x:v>
      </x:c>
      <x:c r="M1981" t="n">
        <x:v>24</x:v>
      </x:c>
      <x:c r="N1981" s="24" t="n">
        <x:v>0</x:v>
      </x:c>
      <x:c r="O1981" s="22" t="n">
        <x:f>L1981*M1981</x:f>
        <x:v>18720</x:v>
      </x:c>
      <x:c r="P1981" s="22" t="n">
        <x:f>O1981*(1-N1981)</x:f>
        <x:v>18720</x:v>
      </x:c>
      <x:c r="Q1981" s="22" t="n">
        <x:v>695</x:v>
      </x:c>
      <x:c r="R1981" s="22" t="n">
        <x:f>Q1981*M1981</x:f>
        <x:v>16680</x:v>
      </x:c>
      <x:c r="S1981" s="22" t="n">
        <x:f>P1981-R1981</x:f>
        <x:v>2040</x:v>
      </x:c>
      <x:c r="T1981" t="str">
        <x:v>Credit</x:v>
      </x:c>
      <x:c r="U1981" t="str">
        <x:v>Overdue</x:v>
      </x:c>
      <x:c r="V1981" t="str">
        <x:v>Delivered</x:v>
      </x:c>
      <x:c r="W1981" t="n">
        <x:v>0</x:v>
      </x:c>
      <x:c r="X1981" t="str"/>
      <x:c r="Y1981" t="str">
        <x:v>Field Visit</x:v>
      </x:c>
    </x:row>
    <x:row r="1982">
      <x:c r="A1982" t="str">
        <x:v>O001981</x:v>
      </x:c>
      <x:c r="B1982" s="20" t="n">
        <x:v>45807</x:v>
      </x:c>
      <x:c r="C1982" t="str">
        <x:v>C0124</x:v>
      </x:c>
      <x:c r="D1982" t="str">
        <x:v>Green Hotel 124</x:v>
      </x:c>
      <x:c r="E1982" t="str">
        <x:v>Cafe</x:v>
      </x:c>
      <x:c r="F1982" t="str">
        <x:v>Bengaluru</x:v>
      </x:c>
      <x:c r="G1982" t="str">
        <x:v>Imran</x:v>
      </x:c>
      <x:c r="H1982" t="str">
        <x:v>P020</x:v>
      </x:c>
      <x:c r="I1982" t="str">
        <x:v>Coffee 500g</x:v>
      </x:c>
      <x:c r="J1982" t="str">
        <x:v>Beverage</x:v>
      </x:c>
      <x:c r="K1982" t="str">
        <x:v>Bru</x:v>
      </x:c>
      <x:c r="L1982" s="22" t="n">
        <x:v>390</x:v>
      </x:c>
      <x:c r="M1982" t="n">
        <x:v>9</x:v>
      </x:c>
      <x:c r="N1982" s="24" t="n">
        <x:v>0</x:v>
      </x:c>
      <x:c r="O1982" s="22" t="n">
        <x:f>L1982*M1982</x:f>
        <x:v>3510</x:v>
      </x:c>
      <x:c r="P1982" s="22" t="n">
        <x:f>O1982*(1-N1982)</x:f>
        <x:v>3510</x:v>
      </x:c>
      <x:c r="Q1982" s="22" t="n">
        <x:v>350</x:v>
      </x:c>
      <x:c r="R1982" s="22" t="n">
        <x:f>Q1982*M1982</x:f>
        <x:v>3150</x:v>
      </x:c>
      <x:c r="S1982" s="22" t="n">
        <x:f>P1982-R1982</x:f>
        <x:v>360</x:v>
      </x:c>
      <x:c r="T1982" t="str">
        <x:v>Cash</x:v>
      </x:c>
      <x:c r="U1982" t="str">
        <x:v>Pending</x:v>
      </x:c>
      <x:c r="V1982" t="str">
        <x:v>Delivered</x:v>
      </x:c>
      <x:c r="W1982" t="n">
        <x:v>4</x:v>
      </x:c>
      <x:c r="X1982" t="str">
        <x:v>Late Delivery</x:v>
      </x:c>
      <x:c r="Y1982" t="str">
        <x:v>Existing Customer</x:v>
      </x:c>
    </x:row>
    <x:row r="1983">
      <x:c r="A1983" t="str">
        <x:v>O001982</x:v>
      </x:c>
      <x:c r="B1983" s="20" t="n">
        <x:v>45746</x:v>
      </x:c>
      <x:c r="C1983" t="str">
        <x:v>C0029</x:v>
      </x:c>
      <x:c r="D1983" t="str">
        <x:v>Metro Foods 29</x:v>
      </x:c>
      <x:c r="E1983" t="str">
        <x:v>Cafe</x:v>
      </x:c>
      <x:c r="F1983" t="str">
        <x:v>Hubballi</x:v>
      </x:c>
      <x:c r="G1983" t="str">
        <x:v>Priya</x:v>
      </x:c>
      <x:c r="H1983" t="str">
        <x:v>P010</x:v>
      </x:c>
      <x:c r="I1983" t="str">
        <x:v>Sugar 25kg</x:v>
      </x:c>
      <x:c r="J1983" t="str">
        <x:v>Staples</x:v>
      </x:c>
      <x:c r="K1983" t="str">
        <x:v>Madhur</x:v>
      </x:c>
      <x:c r="L1983" s="22" t="n">
        <x:v>1190</x:v>
      </x:c>
      <x:c r="M1983" t="n">
        <x:v>11</x:v>
      </x:c>
      <x:c r="N1983" s="24" t="n">
        <x:v>0.03</x:v>
      </x:c>
      <x:c r="O1983" s="22" t="n">
        <x:f>L1983*M1983</x:f>
        <x:v>13090</x:v>
      </x:c>
      <x:c r="P1983" s="22" t="n">
        <x:f>O1983*(1-N1983)</x:f>
        <x:v>12697.3</x:v>
      </x:c>
      <x:c r="Q1983" s="22" t="n">
        <x:v>1080</x:v>
      </x:c>
      <x:c r="R1983" s="22" t="n">
        <x:f>Q1983*M1983</x:f>
        <x:v>11880</x:v>
      </x:c>
      <x:c r="S1983" s="22" t="n">
        <x:f>P1983-R1983</x:f>
        <x:v>817.2999999999993</x:v>
      </x:c>
      <x:c r="T1983" t="str">
        <x:v>Cash</x:v>
      </x:c>
      <x:c r="U1983" t="str">
        <x:v>Paid</x:v>
      </x:c>
      <x:c r="V1983" t="str">
        <x:v>Delivered</x:v>
      </x:c>
      <x:c r="W1983" t="n">
        <x:v>0</x:v>
      </x:c>
      <x:c r="X1983" t="str"/>
      <x:c r="Y1983" t="str">
        <x:v>Field Visit</x:v>
      </x:c>
    </x:row>
    <x:row r="1984">
      <x:c r="A1984" t="str">
        <x:v>O001983</x:v>
      </x:c>
      <x:c r="B1984" s="20" t="n">
        <x:v>46067</x:v>
      </x:c>
      <x:c r="C1984" t="str">
        <x:v>C0045</x:v>
      </x:c>
      <x:c r="D1984" t="str">
        <x:v>Annapurna Restaurant 45</x:v>
      </x:c>
      <x:c r="E1984" t="str">
        <x:v>Kirana</x:v>
      </x:c>
      <x:c r="F1984" t="str">
        <x:v>Mysuru</x:v>
      </x:c>
      <x:c r="G1984" t="str">
        <x:v>Arjun</x:v>
      </x:c>
      <x:c r="H1984" t="str">
        <x:v>P002</x:v>
      </x:c>
      <x:c r="I1984" t="str">
        <x:v>Sona Masoori Rice 25kg</x:v>
      </x:c>
      <x:c r="J1984" t="str">
        <x:v>Staples</x:v>
      </x:c>
      <x:c r="K1984" t="str">
        <x:v>Fortune</x:v>
      </x:c>
      <x:c r="L1984" s="22" t="n">
        <x:v>1320</x:v>
      </x:c>
      <x:c r="M1984" t="n">
        <x:v>5</x:v>
      </x:c>
      <x:c r="N1984" s="24" t="n">
        <x:v>0.05</x:v>
      </x:c>
      <x:c r="O1984" s="22" t="n">
        <x:f>L1984*M1984</x:f>
        <x:v>6600</x:v>
      </x:c>
      <x:c r="P1984" s="22" t="n">
        <x:f>O1984*(1-N1984)</x:f>
        <x:v>6270</x:v>
      </x:c>
      <x:c r="Q1984" s="22" t="n">
        <x:v>1160</x:v>
      </x:c>
      <x:c r="R1984" s="22" t="n">
        <x:f>Q1984*M1984</x:f>
        <x:v>5800</x:v>
      </x:c>
      <x:c r="S1984" s="22" t="n">
        <x:f>P1984-R1984</x:f>
        <x:v>470</x:v>
      </x:c>
      <x:c r="T1984" t="str">
        <x:v>UPI</x:v>
      </x:c>
      <x:c r="U1984" t="str">
        <x:v>Pending</x:v>
      </x:c>
      <x:c r="V1984" t="str">
        <x:v>Delivered</x:v>
      </x:c>
      <x:c r="W1984" t="n">
        <x:v>0</x:v>
      </x:c>
      <x:c r="X1984" t="str"/>
      <x:c r="Y1984" t="str">
        <x:v>Existing Customer</x:v>
      </x:c>
    </x:row>
    <x:row r="1985">
      <x:c r="A1985" t="str">
        <x:v>O001984</x:v>
      </x:c>
      <x:c r="B1985" s="20" t="n">
        <x:v>46221</x:v>
      </x:c>
      <x:c r="C1985" t="str">
        <x:v>C0051</x:v>
      </x:c>
      <x:c r="D1985" t="str">
        <x:v>Cafe Hotel 51</x:v>
      </x:c>
      <x:c r="E1985" t="str">
        <x:v>Kirana</x:v>
      </x:c>
      <x:c r="F1985" t="str">
        <x:v>Tumakuru</x:v>
      </x:c>
      <x:c r="G1985" t="str">
        <x:v>Arjun</x:v>
      </x:c>
      <x:c r="H1985" t="str">
        <x:v>P035</x:v>
      </x:c>
      <x:c r="I1985" t="str">
        <x:v>Coriander Powder 1kg</x:v>
      </x:c>
      <x:c r="J1985" t="str">
        <x:v>Spices</x:v>
      </x:c>
      <x:c r="K1985" t="str">
        <x:v>Everest</x:v>
      </x:c>
      <x:c r="L1985" s="22" t="n">
        <x:v>280</x:v>
      </x:c>
      <x:c r="M1985" t="n">
        <x:v>6</x:v>
      </x:c>
      <x:c r="N1985" s="24" t="n">
        <x:v>0.03</x:v>
      </x:c>
      <x:c r="O1985" s="22" t="n">
        <x:f>L1985*M1985</x:f>
        <x:v>1680</x:v>
      </x:c>
      <x:c r="P1985" s="22" t="n">
        <x:f>O1985*(1-N1985)</x:f>
        <x:v>1629.6</x:v>
      </x:c>
      <x:c r="Q1985" s="22" t="n">
        <x:v>245</x:v>
      </x:c>
      <x:c r="R1985" s="22" t="n">
        <x:f>Q1985*M1985</x:f>
        <x:v>1470</x:v>
      </x:c>
      <x:c r="S1985" s="22" t="n">
        <x:f>P1985-R1985</x:f>
        <x:v>159.5999999999999</x:v>
      </x:c>
      <x:c r="T1985" t="str">
        <x:v>Credit</x:v>
      </x:c>
      <x:c r="U1985" t="str">
        <x:v>Paid</x:v>
      </x:c>
      <x:c r="V1985" t="str">
        <x:v>Cancelled</x:v>
      </x:c>
      <x:c r="W1985" t="n">
        <x:v>6</x:v>
      </x:c>
      <x:c r="X1985" t="str">
        <x:v>Cancelled Order</x:v>
      </x:c>
      <x:c r="Y1985" t="str">
        <x:v>WhatsApp</x:v>
      </x:c>
    </x:row>
    <x:row r="1986">
      <x:c r="A1986" t="str">
        <x:v>O001985</x:v>
      </x:c>
      <x:c r="B1986" s="20" t="n">
        <x:v>46258</x:v>
      </x:c>
      <x:c r="C1986" t="str">
        <x:v>C0058</x:v>
      </x:c>
      <x:c r="D1986" t="str">
        <x:v>Spice Kitchen 58</x:v>
      </x:c>
      <x:c r="E1986" t="str">
        <x:v>Supermarket</x:v>
      </x:c>
      <x:c r="F1986" t="str">
        <x:v>Davanagere</x:v>
      </x:c>
      <x:c r="G1986" t="str">
        <x:v>Sneha</x:v>
      </x:c>
      <x:c r="H1986" t="str">
        <x:v>P022</x:v>
      </x:c>
      <x:c r="I1986" t="str">
        <x:v>Mineral Water 1L</x:v>
      </x:c>
      <x:c r="J1986" t="str">
        <x:v>Beverage</x:v>
      </x:c>
      <x:c r="K1986" t="str">
        <x:v>Bisleri</x:v>
      </x:c>
      <x:c r="L1986" s="22" t="n">
        <x:v>19</x:v>
      </x:c>
      <x:c r="M1986" t="n">
        <x:v>19</x:v>
      </x:c>
      <x:c r="N1986" s="24" t="n">
        <x:v>0.03</x:v>
      </x:c>
      <x:c r="O1986" s="22" t="n">
        <x:f>L1986*M1986</x:f>
        <x:v>361</x:v>
      </x:c>
      <x:c r="P1986" s="22" t="n">
        <x:f>O1986*(1-N1986)</x:f>
        <x:v>350.17</x:v>
      </x:c>
      <x:c r="Q1986" s="22" t="n">
        <x:v>15</x:v>
      </x:c>
      <x:c r="R1986" s="22" t="n">
        <x:f>Q1986*M1986</x:f>
        <x:v>285</x:v>
      </x:c>
      <x:c r="S1986" s="22" t="n">
        <x:f>P1986-R1986</x:f>
        <x:v>65.17000000000002</x:v>
      </x:c>
      <x:c r="T1986" t="str">
        <x:v>Bank Transfer</x:v>
      </x:c>
      <x:c r="U1986" t="str">
        <x:v>Pending</x:v>
      </x:c>
      <x:c r="V1986" t="str">
        <x:v>Delayed</x:v>
      </x:c>
      <x:c r="W1986" t="n">
        <x:v>0</x:v>
      </x:c>
      <x:c r="X1986" t="str"/>
      <x:c r="Y1986" t="str">
        <x:v>Existing Customer</x:v>
      </x:c>
    </x:row>
    <x:row r="1987">
      <x:c r="A1987" t="str">
        <x:v>O001986</x:v>
      </x:c>
      <x:c r="B1987" s="20" t="n">
        <x:v>46207</x:v>
      </x:c>
      <x:c r="C1987" t="str">
        <x:v>C0206</x:v>
      </x:c>
      <x:c r="D1987" t="str">
        <x:v>Grand Kitchen 206</x:v>
      </x:c>
      <x:c r="E1987" t="str">
        <x:v>Kirana</x:v>
      </x:c>
      <x:c r="F1987" t="str">
        <x:v>Mysuru</x:v>
      </x:c>
      <x:c r="G1987" t="str">
        <x:v>Arjun</x:v>
      </x:c>
      <x:c r="H1987" t="str">
        <x:v>P027</x:v>
      </x:c>
      <x:c r="I1987" t="str">
        <x:v>Biscuits 120g</x:v>
      </x:c>
      <x:c r="J1987" t="str">
        <x:v>Snacks</x:v>
      </x:c>
      <x:c r="K1987" t="str">
        <x:v>Parle-G</x:v>
      </x:c>
      <x:c r="L1987" s="22" t="n">
        <x:v>12</x:v>
      </x:c>
      <x:c r="M1987" t="n">
        <x:v>2</x:v>
      </x:c>
      <x:c r="N1987" s="24" t="n">
        <x:v>0.1</x:v>
      </x:c>
      <x:c r="O1987" s="22" t="n">
        <x:f>L1987*M1987</x:f>
        <x:v>24</x:v>
      </x:c>
      <x:c r="P1987" s="22" t="n">
        <x:f>O1987*(1-N1987)</x:f>
        <x:v>21.6</x:v>
      </x:c>
      <x:c r="Q1987" s="22" t="n">
        <x:v>9</x:v>
      </x:c>
      <x:c r="R1987" s="22" t="n">
        <x:f>Q1987*M1987</x:f>
        <x:v>18</x:v>
      </x:c>
      <x:c r="S1987" s="22" t="n">
        <x:f>P1987-R1987</x:f>
        <x:v>3.6000000000000014</x:v>
      </x:c>
      <x:c r="T1987" t="str">
        <x:v>Credit</x:v>
      </x:c>
      <x:c r="U1987" t="str">
        <x:v>Paid</x:v>
      </x:c>
      <x:c r="V1987" t="str">
        <x:v>Delivered</x:v>
      </x:c>
      <x:c r="W1987" t="n">
        <x:v>0</x:v>
      </x:c>
      <x:c r="X1987" t="str"/>
      <x:c r="Y1987" t="str">
        <x:v>Outbound Call</x:v>
      </x:c>
    </x:row>
    <x:row r="1988">
      <x:c r="A1988" t="str">
        <x:v>O001987</x:v>
      </x:c>
      <x:c r="B1988" s="20" t="n">
        <x:v>45751</x:v>
      </x:c>
      <x:c r="C1988" t="str">
        <x:v>C0012</x:v>
      </x:c>
      <x:c r="D1988" t="str">
        <x:v>Sagar Canteen 12</x:v>
      </x:c>
      <x:c r="E1988" t="str">
        <x:v>Supermarket</x:v>
      </x:c>
      <x:c r="F1988" t="str">
        <x:v>Mysuru</x:v>
      </x:c>
      <x:c r="G1988" t="str">
        <x:v>Priya</x:v>
      </x:c>
      <x:c r="H1988" t="str">
        <x:v>P012</x:v>
      </x:c>
      <x:c r="I1988" t="str">
        <x:v>Maida 10kg</x:v>
      </x:c>
      <x:c r="J1988" t="str">
        <x:v>Flour</x:v>
      </x:c>
      <x:c r="K1988" t="str">
        <x:v>Aashirvaad</x:v>
      </x:c>
      <x:c r="L1988" s="22" t="n">
        <x:v>520</x:v>
      </x:c>
      <x:c r="M1988" t="n">
        <x:v>11</x:v>
      </x:c>
      <x:c r="N1988" s="24" t="n">
        <x:v>0.05</x:v>
      </x:c>
      <x:c r="O1988" s="22" t="n">
        <x:f>L1988*M1988</x:f>
        <x:v>5720</x:v>
      </x:c>
      <x:c r="P1988" s="22" t="n">
        <x:f>O1988*(1-N1988)</x:f>
        <x:v>5434</x:v>
      </x:c>
      <x:c r="Q1988" s="22" t="n">
        <x:v>460</x:v>
      </x:c>
      <x:c r="R1988" s="22" t="n">
        <x:f>Q1988*M1988</x:f>
        <x:v>5060</x:v>
      </x:c>
      <x:c r="S1988" s="22" t="n">
        <x:f>P1988-R1988</x:f>
        <x:v>374</x:v>
      </x:c>
      <x:c r="T1988" t="str">
        <x:v>Cash</x:v>
      </x:c>
      <x:c r="U1988" t="str">
        <x:v>Paid</x:v>
      </x:c>
      <x:c r="V1988" t="str">
        <x:v>Cancelled</x:v>
      </x:c>
      <x:c r="W1988" t="n">
        <x:v>11</x:v>
      </x:c>
      <x:c r="X1988" t="str">
        <x:v>Cancelled Order</x:v>
      </x:c>
      <x:c r="Y1988" t="str">
        <x:v>Field Visit</x:v>
      </x:c>
    </x:row>
    <x:row r="1989">
      <x:c r="A1989" t="str">
        <x:v>O001988</x:v>
      </x:c>
      <x:c r="B1989" s="20" t="n">
        <x:v>45911</x:v>
      </x:c>
      <x:c r="C1989" t="str">
        <x:v>C0186</x:v>
      </x:c>
      <x:c r="D1989" t="str">
        <x:v>Namma Stores 186</x:v>
      </x:c>
      <x:c r="E1989" t="str">
        <x:v>Supermarket</x:v>
      </x:c>
      <x:c r="F1989" t="str">
        <x:v>Mysuru</x:v>
      </x:c>
      <x:c r="G1989" t="str">
        <x:v>Vikram</x:v>
      </x:c>
      <x:c r="H1989" t="str">
        <x:v>P012</x:v>
      </x:c>
      <x:c r="I1989" t="str">
        <x:v>Maida 10kg</x:v>
      </x:c>
      <x:c r="J1989" t="str">
        <x:v>Flour</x:v>
      </x:c>
      <x:c r="K1989" t="str">
        <x:v>Aashirvaad</x:v>
      </x:c>
      <x:c r="L1989" s="22" t="n">
        <x:v>520</x:v>
      </x:c>
      <x:c r="M1989" t="n">
        <x:v>2</x:v>
      </x:c>
      <x:c r="N1989" s="24" t="n">
        <x:v>0</x:v>
      </x:c>
      <x:c r="O1989" s="22" t="n">
        <x:f>L1989*M1989</x:f>
        <x:v>1040</x:v>
      </x:c>
      <x:c r="P1989" s="22" t="n">
        <x:f>O1989*(1-N1989)</x:f>
        <x:v>1040</x:v>
      </x:c>
      <x:c r="Q1989" s="22" t="n">
        <x:v>460</x:v>
      </x:c>
      <x:c r="R1989" s="22" t="n">
        <x:f>Q1989*M1989</x:f>
        <x:v>920</x:v>
      </x:c>
      <x:c r="S1989" s="22" t="n">
        <x:f>P1989-R1989</x:f>
        <x:v>120</x:v>
      </x:c>
      <x:c r="T1989" t="str">
        <x:v>Credit</x:v>
      </x:c>
      <x:c r="U1989" t="str">
        <x:v>Paid</x:v>
      </x:c>
      <x:c r="V1989" t="str">
        <x:v>Delayed</x:v>
      </x:c>
      <x:c r="W1989" t="n">
        <x:v>0</x:v>
      </x:c>
      <x:c r="X1989" t="str"/>
      <x:c r="Y1989" t="str">
        <x:v>Existing Customer</x:v>
      </x:c>
    </x:row>
    <x:row r="1990">
      <x:c r="A1990" t="str">
        <x:v>O001989</x:v>
      </x:c>
      <x:c r="B1990" s="20" t="n">
        <x:v>46166</x:v>
      </x:c>
      <x:c r="C1990" t="str">
        <x:v>C0211</x:v>
      </x:c>
      <x:c r="D1990" t="str">
        <x:v>Cafe Cafe 211</x:v>
      </x:c>
      <x:c r="E1990" t="str">
        <x:v>Supermarket</x:v>
      </x:c>
      <x:c r="F1990" t="str">
        <x:v>Davanagere</x:v>
      </x:c>
      <x:c r="G1990" t="str">
        <x:v>Megha</x:v>
      </x:c>
      <x:c r="H1990" t="str">
        <x:v>P016</x:v>
      </x:c>
      <x:c r="I1990" t="str">
        <x:v>Curd 1kg</x:v>
      </x:c>
      <x:c r="J1990" t="str">
        <x:v>Dairy</x:v>
      </x:c>
      <x:c r="K1990" t="str">
        <x:v>Nandini</x:v>
      </x:c>
      <x:c r="L1990" s="22" t="n">
        <x:v>72</x:v>
      </x:c>
      <x:c r="M1990" t="n">
        <x:v>10</x:v>
      </x:c>
      <x:c r="N1990" s="24" t="n">
        <x:v>0</x:v>
      </x:c>
      <x:c r="O1990" s="22" t="n">
        <x:f>L1990*M1990</x:f>
        <x:v>720</x:v>
      </x:c>
      <x:c r="P1990" s="22" t="n">
        <x:f>O1990*(1-N1990)</x:f>
        <x:v>720</x:v>
      </x:c>
      <x:c r="Q1990" s="22" t="n">
        <x:v>64</x:v>
      </x:c>
      <x:c r="R1990" s="22" t="n">
        <x:f>Q1990*M1990</x:f>
        <x:v>640</x:v>
      </x:c>
      <x:c r="S1990" s="22" t="n">
        <x:f>P1990-R1990</x:f>
        <x:v>80</x:v>
      </x:c>
      <x:c r="T1990" t="str">
        <x:v>Credit</x:v>
      </x:c>
      <x:c r="U1990" t="str">
        <x:v>Paid</x:v>
      </x:c>
      <x:c r="V1990" t="str">
        <x:v>Delivered</x:v>
      </x:c>
      <x:c r="W1990" t="n">
        <x:v>0</x:v>
      </x:c>
      <x:c r="X1990" t="str"/>
      <x:c r="Y1990" t="str">
        <x:v>Outbound Call</x:v>
      </x:c>
    </x:row>
    <x:row r="1991">
      <x:c r="A1991" t="str">
        <x:v>O001990</x:v>
      </x:c>
      <x:c r="B1991" s="20" t="n">
        <x:v>46266</x:v>
      </x:c>
      <x:c r="C1991" t="str">
        <x:v>C0052</x:v>
      </x:c>
      <x:c r="D1991" t="str">
        <x:v>Sagar Canteen 52</x:v>
      </x:c>
      <x:c r="E1991" t="str">
        <x:v>Kirana</x:v>
      </x:c>
      <x:c r="F1991" t="str">
        <x:v>Mysuru</x:v>
      </x:c>
      <x:c r="G1991" t="str">
        <x:v>Kavya</x:v>
      </x:c>
      <x:c r="H1991" t="str">
        <x:v>P007</x:v>
      </x:c>
      <x:c r="I1991" t="str">
        <x:v>Sunflower Oil 15L</x:v>
      </x:c>
      <x:c r="J1991" t="str">
        <x:v>Edible Oil</x:v>
      </x:c>
      <x:c r="K1991" t="str">
        <x:v>Fortune</x:v>
      </x:c>
      <x:c r="L1991" s="22" t="n">
        <x:v>1980</x:v>
      </x:c>
      <x:c r="M1991" t="n">
        <x:v>9</x:v>
      </x:c>
      <x:c r="N1991" s="24" t="n">
        <x:v>0.05</x:v>
      </x:c>
      <x:c r="O1991" s="22" t="n">
        <x:f>L1991*M1991</x:f>
        <x:v>17820</x:v>
      </x:c>
      <x:c r="P1991" s="22" t="n">
        <x:f>O1991*(1-N1991)</x:f>
        <x:v>16929</x:v>
      </x:c>
      <x:c r="Q1991" s="22" t="n">
        <x:v>1810</x:v>
      </x:c>
      <x:c r="R1991" s="22" t="n">
        <x:f>Q1991*M1991</x:f>
        <x:v>16290</x:v>
      </x:c>
      <x:c r="S1991" s="22" t="n">
        <x:f>P1991-R1991</x:f>
        <x:v>639</x:v>
      </x:c>
      <x:c r="T1991" t="str">
        <x:v>UPI</x:v>
      </x:c>
      <x:c r="U1991" t="str">
        <x:v>Paid</x:v>
      </x:c>
      <x:c r="V1991" t="str">
        <x:v>Delivered</x:v>
      </x:c>
      <x:c r="W1991" t="n">
        <x:v>1</x:v>
      </x:c>
      <x:c r="X1991" t="str">
        <x:v>Wrong Item</x:v>
      </x:c>
      <x:c r="Y1991" t="str">
        <x:v>Field Visit</x:v>
      </x:c>
    </x:row>
    <x:row r="1992">
      <x:c r="A1992" t="str">
        <x:v>O001991</x:v>
      </x:c>
      <x:c r="B1992" s="20" t="n">
        <x:v>45904</x:v>
      </x:c>
      <x:c r="C1992" t="str">
        <x:v>C0122</x:v>
      </x:c>
      <x:c r="D1992" t="str">
        <x:v>Namma Restaurant 122</x:v>
      </x:c>
      <x:c r="E1992" t="str">
        <x:v>Kirana</x:v>
      </x:c>
      <x:c r="F1992" t="str">
        <x:v>Hubballi</x:v>
      </x:c>
      <x:c r="G1992" t="str">
        <x:v>Sneha</x:v>
      </x:c>
      <x:c r="H1992" t="str">
        <x:v>P008</x:v>
      </x:c>
      <x:c r="I1992" t="str">
        <x:v>Palm Oil 15L</x:v>
      </x:c>
      <x:c r="J1992" t="str">
        <x:v>Edible Oil</x:v>
      </x:c>
      <x:c r="K1992" t="str">
        <x:v>Ruchi Gold</x:v>
      </x:c>
      <x:c r="L1992" s="22" t="n">
        <x:v>1760</x:v>
      </x:c>
      <x:c r="M1992" t="n">
        <x:v>12</x:v>
      </x:c>
      <x:c r="N1992" s="24" t="n">
        <x:v>0.03</x:v>
      </x:c>
      <x:c r="O1992" s="22" t="n">
        <x:f>L1992*M1992</x:f>
        <x:v>21120</x:v>
      </x:c>
      <x:c r="P1992" s="22" t="n">
        <x:f>O1992*(1-N1992)</x:f>
        <x:v>20486.399999999998</x:v>
      </x:c>
      <x:c r="Q1992" s="22" t="n">
        <x:v>1610</x:v>
      </x:c>
      <x:c r="R1992" s="22" t="n">
        <x:f>Q1992*M1992</x:f>
        <x:v>19320</x:v>
      </x:c>
      <x:c r="S1992" s="22" t="n">
        <x:f>P1992-R1992</x:f>
        <x:v>1166.3999999999978</x:v>
      </x:c>
      <x:c r="T1992" t="str">
        <x:v>UPI</x:v>
      </x:c>
      <x:c r="U1992" t="str">
        <x:v>Paid</x:v>
      </x:c>
      <x:c r="V1992" t="str">
        <x:v>Delivered</x:v>
      </x:c>
      <x:c r="W1992" t="n">
        <x:v>0</x:v>
      </x:c>
      <x:c r="X1992" t="str"/>
      <x:c r="Y1992" t="str">
        <x:v>Existing Customer</x:v>
      </x:c>
    </x:row>
    <x:row r="1993">
      <x:c r="A1993" t="str">
        <x:v>O001992</x:v>
      </x:c>
      <x:c r="B1993" s="20" t="n">
        <x:v>45765</x:v>
      </x:c>
      <x:c r="C1993" t="str">
        <x:v>C0200</x:v>
      </x:c>
      <x:c r="D1993" t="str">
        <x:v>Sagar Kitchen 200</x:v>
      </x:c>
      <x:c r="E1993" t="str">
        <x:v>Cafe</x:v>
      </x:c>
      <x:c r="F1993" t="str">
        <x:v>Bengaluru</x:v>
      </x:c>
      <x:c r="G1993" t="str">
        <x:v>Arjun</x:v>
      </x:c>
      <x:c r="H1993" t="str">
        <x:v>P048</x:v>
      </x:c>
      <x:c r="I1993" t="str">
        <x:v>Banana 10kg</x:v>
      </x:c>
      <x:c r="J1993" t="str">
        <x:v>Fresh Produce</x:v>
      </x:c>
      <x:c r="K1993" t="str">
        <x:v>Local Market</x:v>
      </x:c>
      <x:c r="L1993" s="22" t="n">
        <x:v>420</x:v>
      </x:c>
      <x:c r="M1993" t="n">
        <x:v>25</x:v>
      </x:c>
      <x:c r="N1993" s="24" t="n">
        <x:v>0.08</x:v>
      </x:c>
      <x:c r="O1993" s="22" t="n">
        <x:f>L1993*M1993</x:f>
        <x:v>10500</x:v>
      </x:c>
      <x:c r="P1993" s="22" t="n">
        <x:f>O1993*(1-N1993)</x:f>
        <x:v>9660</x:v>
      </x:c>
      <x:c r="Q1993" s="22" t="n">
        <x:v>350</x:v>
      </x:c>
      <x:c r="R1993" s="22" t="n">
        <x:f>Q1993*M1993</x:f>
        <x:v>8750</x:v>
      </x:c>
      <x:c r="S1993" s="22" t="n">
        <x:f>P1993-R1993</x:f>
        <x:v>910</x:v>
      </x:c>
      <x:c r="T1993" t="str">
        <x:v>Bank Transfer</x:v>
      </x:c>
      <x:c r="U1993" t="str">
        <x:v>Pending</x:v>
      </x:c>
      <x:c r="V1993" t="str">
        <x:v>Delivered</x:v>
      </x:c>
      <x:c r="W1993" t="n">
        <x:v>0</x:v>
      </x:c>
      <x:c r="X1993" t="str"/>
      <x:c r="Y1993" t="str">
        <x:v>Existing Customer</x:v>
      </x:c>
    </x:row>
    <x:row r="1994">
      <x:c r="A1994" t="str">
        <x:v>O001993</x:v>
      </x:c>
      <x:c r="B1994" s="20" t="n">
        <x:v>46177</x:v>
      </x:c>
      <x:c r="C1994" t="str">
        <x:v>C0014</x:v>
      </x:c>
      <x:c r="D1994" t="str">
        <x:v>Annapurna Canteen 14</x:v>
      </x:c>
      <x:c r="E1994" t="str">
        <x:v>Kirana</x:v>
      </x:c>
      <x:c r="F1994" t="str">
        <x:v>Davanagere</x:v>
      </x:c>
      <x:c r="G1994" t="str">
        <x:v>Sneha</x:v>
      </x:c>
      <x:c r="H1994" t="str">
        <x:v>P047</x:v>
      </x:c>
      <x:c r="I1994" t="str">
        <x:v>Tomato 25kg</x:v>
      </x:c>
      <x:c r="J1994" t="str">
        <x:v>Fresh Produce</x:v>
      </x:c>
      <x:c r="K1994" t="str">
        <x:v>Local Market</x:v>
      </x:c>
      <x:c r="L1994" s="22" t="n">
        <x:v>950</x:v>
      </x:c>
      <x:c r="M1994" t="n">
        <x:v>17</x:v>
      </x:c>
      <x:c r="N1994" s="24" t="n">
        <x:v>0</x:v>
      </x:c>
      <x:c r="O1994" s="22" t="n">
        <x:f>L1994*M1994</x:f>
        <x:v>16150</x:v>
      </x:c>
      <x:c r="P1994" s="22" t="n">
        <x:f>O1994*(1-N1994)</x:f>
        <x:v>16150</x:v>
      </x:c>
      <x:c r="Q1994" s="22" t="n">
        <x:v>810</x:v>
      </x:c>
      <x:c r="R1994" s="22" t="n">
        <x:f>Q1994*M1994</x:f>
        <x:v>13770</x:v>
      </x:c>
      <x:c r="S1994" s="22" t="n">
        <x:f>P1994-R1994</x:f>
        <x:v>2380</x:v>
      </x:c>
      <x:c r="T1994" t="str">
        <x:v>Cash</x:v>
      </x:c>
      <x:c r="U1994" t="str">
        <x:v>Pending</x:v>
      </x:c>
      <x:c r="V1994" t="str">
        <x:v>Cancelled</x:v>
      </x:c>
      <x:c r="W1994" t="n">
        <x:v>17</x:v>
      </x:c>
      <x:c r="X1994" t="str">
        <x:v>Cancelled Order</x:v>
      </x:c>
      <x:c r="Y1994" t="str">
        <x:v>WhatsApp</x:v>
      </x:c>
    </x:row>
    <x:row r="1995">
      <x:c r="A1995" t="str">
        <x:v>O001994</x:v>
      </x:c>
      <x:c r="B1995" s="20" t="n">
        <x:v>45667</x:v>
      </x:c>
      <x:c r="C1995" t="str">
        <x:v>C0085</x:v>
      </x:c>
      <x:c r="D1995" t="str">
        <x:v>Green Hotel 85</x:v>
      </x:c>
      <x:c r="E1995" t="str">
        <x:v>Kirana</x:v>
      </x:c>
      <x:c r="F1995" t="str">
        <x:v>Mysuru</x:v>
      </x:c>
      <x:c r="G1995" t="str">
        <x:v>Arjun</x:v>
      </x:c>
      <x:c r="H1995" t="str">
        <x:v>P024</x:v>
      </x:c>
      <x:c r="I1995" t="str">
        <x:v>Orange Drink 1L</x:v>
      </x:c>
      <x:c r="J1995" t="str">
        <x:v>Beverage</x:v>
      </x:c>
      <x:c r="K1995" t="str">
        <x:v>Minute Maid</x:v>
      </x:c>
      <x:c r="L1995" s="22" t="n">
        <x:v>105</x:v>
      </x:c>
      <x:c r="M1995" t="n">
        <x:v>8</x:v>
      </x:c>
      <x:c r="N1995" s="24" t="n">
        <x:v>0</x:v>
      </x:c>
      <x:c r="O1995" s="22" t="n">
        <x:f>L1995*M1995</x:f>
        <x:v>840</x:v>
      </x:c>
      <x:c r="P1995" s="22" t="n">
        <x:f>O1995*(1-N1995)</x:f>
        <x:v>840</x:v>
      </x:c>
      <x:c r="Q1995" s="22" t="n">
        <x:v>88</x:v>
      </x:c>
      <x:c r="R1995" s="22" t="n">
        <x:f>Q1995*M1995</x:f>
        <x:v>704</x:v>
      </x:c>
      <x:c r="S1995" s="22" t="n">
        <x:f>P1995-R1995</x:f>
        <x:v>136</x:v>
      </x:c>
      <x:c r="T1995" t="str">
        <x:v>Credit</x:v>
      </x:c>
      <x:c r="U1995" t="str">
        <x:v>Paid</x:v>
      </x:c>
      <x:c r="V1995" t="str">
        <x:v>Delivered</x:v>
      </x:c>
      <x:c r="W1995" t="n">
        <x:v>0</x:v>
      </x:c>
      <x:c r="X1995" t="str"/>
      <x:c r="Y1995" t="str">
        <x:v>Outbound Call</x:v>
      </x:c>
    </x:row>
    <x:row r="1996">
      <x:c r="A1996" t="str">
        <x:v>O001995</x:v>
      </x:c>
      <x:c r="B1996" s="20" t="n">
        <x:v>46229</x:v>
      </x:c>
      <x:c r="C1996" t="str">
        <x:v>C0237</x:v>
      </x:c>
      <x:c r="D1996" t="str">
        <x:v>Mysore Restaurant 237</x:v>
      </x:c>
      <x:c r="E1996" t="str">
        <x:v>Restaurant</x:v>
      </x:c>
      <x:c r="F1996" t="str">
        <x:v>Bengaluru</x:v>
      </x:c>
      <x:c r="G1996" t="str">
        <x:v>Sneha</x:v>
      </x:c>
      <x:c r="H1996" t="str">
        <x:v>P011</x:v>
      </x:c>
      <x:c r="I1996" t="str">
        <x:v>Salt 1kg</x:v>
      </x:c>
      <x:c r="J1996" t="str">
        <x:v>Staples</x:v>
      </x:c>
      <x:c r="K1996" t="str">
        <x:v>Tata</x:v>
      </x:c>
      <x:c r="L1996" s="22" t="n">
        <x:v>28</x:v>
      </x:c>
      <x:c r="M1996" t="n">
        <x:v>34</x:v>
      </x:c>
      <x:c r="N1996" s="24" t="n">
        <x:v>0.05</x:v>
      </x:c>
      <x:c r="O1996" s="22" t="n">
        <x:f>L1996*M1996</x:f>
        <x:v>952</x:v>
      </x:c>
      <x:c r="P1996" s="22" t="n">
        <x:f>O1996*(1-N1996)</x:f>
        <x:v>904.4</x:v>
      </x:c>
      <x:c r="Q1996" s="22" t="n">
        <x:v>23</x:v>
      </x:c>
      <x:c r="R1996" s="22" t="n">
        <x:f>Q1996*M1996</x:f>
        <x:v>782</x:v>
      </x:c>
      <x:c r="S1996" s="22" t="n">
        <x:f>P1996-R1996</x:f>
        <x:v>122.39999999999998</x:v>
      </x:c>
      <x:c r="T1996" t="str">
        <x:v>Credit</x:v>
      </x:c>
      <x:c r="U1996" t="str">
        <x:v>Paid</x:v>
      </x:c>
      <x:c r="V1996" t="str">
        <x:v>Delivered</x:v>
      </x:c>
      <x:c r="W1996" t="n">
        <x:v>0</x:v>
      </x:c>
      <x:c r="X1996" t="str"/>
      <x:c r="Y1996" t="str">
        <x:v>WhatsApp</x:v>
      </x:c>
    </x:row>
    <x:row r="1997">
      <x:c r="A1997" t="str">
        <x:v>O001996</x:v>
      </x:c>
      <x:c r="B1997" s="20" t="n">
        <x:v>45890</x:v>
      </x:c>
      <x:c r="C1997" t="str">
        <x:v>C0015</x:v>
      </x:c>
      <x:c r="D1997" t="str">
        <x:v>Royal Foods 15</x:v>
      </x:c>
      <x:c r="E1997" t="str">
        <x:v>Cafe</x:v>
      </x:c>
      <x:c r="F1997" t="str">
        <x:v>Mysuru</x:v>
      </x:c>
      <x:c r="G1997" t="str">
        <x:v>Ramesh</x:v>
      </x:c>
      <x:c r="H1997" t="str">
        <x:v>P046</x:v>
      </x:c>
      <x:c r="I1997" t="str">
        <x:v>Potato 25kg</x:v>
      </x:c>
      <x:c r="J1997" t="str">
        <x:v>Fresh Produce</x:v>
      </x:c>
      <x:c r="K1997" t="str">
        <x:v>Local Market</x:v>
      </x:c>
      <x:c r="L1997" s="22" t="n">
        <x:v>700</x:v>
      </x:c>
      <x:c r="M1997" t="n">
        <x:v>30</x:v>
      </x:c>
      <x:c r="N1997" s="24" t="n">
        <x:v>0</x:v>
      </x:c>
      <x:c r="O1997" s="22" t="n">
        <x:f>L1997*M1997</x:f>
        <x:v>21000</x:v>
      </x:c>
      <x:c r="P1997" s="22" t="n">
        <x:f>O1997*(1-N1997)</x:f>
        <x:v>21000</x:v>
      </x:c>
      <x:c r="Q1997" s="22" t="n">
        <x:v>610</x:v>
      </x:c>
      <x:c r="R1997" s="22" t="n">
        <x:f>Q1997*M1997</x:f>
        <x:v>18300</x:v>
      </x:c>
      <x:c r="S1997" s="22" t="n">
        <x:f>P1997-R1997</x:f>
        <x:v>2700</x:v>
      </x:c>
      <x:c r="T1997" t="str">
        <x:v>Credit</x:v>
      </x:c>
      <x:c r="U1997" t="str">
        <x:v>Paid</x:v>
      </x:c>
      <x:c r="V1997" t="str">
        <x:v>Delivered</x:v>
      </x:c>
      <x:c r="W1997" t="n">
        <x:v>0</x:v>
      </x:c>
      <x:c r="X1997" t="str"/>
      <x:c r="Y1997" t="str">
        <x:v>Existing Customer</x:v>
      </x:c>
    </x:row>
    <x:row r="1998">
      <x:c r="A1998" t="str">
        <x:v>O001997</x:v>
      </x:c>
      <x:c r="B1998" s="20" t="n">
        <x:v>45816</x:v>
      </x:c>
      <x:c r="C1998" t="str">
        <x:v>C0158</x:v>
      </x:c>
      <x:c r="D1998" t="str">
        <x:v>Cafe Stores 158</x:v>
      </x:c>
      <x:c r="E1998" t="str">
        <x:v>Cafe</x:v>
      </x:c>
      <x:c r="F1998" t="str">
        <x:v>Mysuru</x:v>
      </x:c>
      <x:c r="G1998" t="str">
        <x:v>Priya</x:v>
      </x:c>
      <x:c r="H1998" t="str">
        <x:v>P031</x:v>
      </x:c>
      <x:c r="I1998" t="str">
        <x:v>Chilli Sauce 700g</x:v>
      </x:c>
      <x:c r="J1998" t="str">
        <x:v>Condiments</x:v>
      </x:c>
      <x:c r="K1998" t="str">
        <x:v>Ching's</x:v>
      </x:c>
      <x:c r="L1998" s="22" t="n">
        <x:v>130</x:v>
      </x:c>
      <x:c r="M1998" t="n">
        <x:v>9</x:v>
      </x:c>
      <x:c r="N1998" s="24" t="n">
        <x:v>0.08</x:v>
      </x:c>
      <x:c r="O1998" s="22" t="n">
        <x:f>L1998*M1998</x:f>
        <x:v>1170</x:v>
      </x:c>
      <x:c r="P1998" s="22" t="n">
        <x:f>O1998*(1-N1998)</x:f>
        <x:v>1076.4</x:v>
      </x:c>
      <x:c r="Q1998" s="22" t="n">
        <x:v>112</x:v>
      </x:c>
      <x:c r="R1998" s="22" t="n">
        <x:f>Q1998*M1998</x:f>
        <x:v>1008</x:v>
      </x:c>
      <x:c r="S1998" s="22" t="n">
        <x:f>P1998-R1998</x:f>
        <x:v>68.40000000000009</x:v>
      </x:c>
      <x:c r="T1998" t="str">
        <x:v>Credit</x:v>
      </x:c>
      <x:c r="U1998" t="str">
        <x:v>Paid</x:v>
      </x:c>
      <x:c r="V1998" t="str">
        <x:v>Delivered</x:v>
      </x:c>
      <x:c r="W1998" t="n">
        <x:v>0</x:v>
      </x:c>
      <x:c r="X1998" t="str"/>
      <x:c r="Y1998" t="str">
        <x:v>Existing Customer</x:v>
      </x:c>
    </x:row>
    <x:row r="1999">
      <x:c r="A1999" t="str">
        <x:v>O001998</x:v>
      </x:c>
      <x:c r="B1999" s="20" t="n">
        <x:v>45699</x:v>
      </x:c>
      <x:c r="C1999" t="str">
        <x:v>C0087</x:v>
      </x:c>
      <x:c r="D1999" t="str">
        <x:v>Namma Kitchen 87</x:v>
      </x:c>
      <x:c r="E1999" t="str">
        <x:v>Kirana</x:v>
      </x:c>
      <x:c r="F1999" t="str">
        <x:v>Bengaluru</x:v>
      </x:c>
      <x:c r="G1999" t="str">
        <x:v>Priya</x:v>
      </x:c>
      <x:c r="H1999" t="str">
        <x:v>P015</x:v>
      </x:c>
      <x:c r="I1999" t="str">
        <x:v>Milk 1L</x:v>
      </x:c>
      <x:c r="J1999" t="str">
        <x:v>Dairy</x:v>
      </x:c>
      <x:c r="K1999" t="str">
        <x:v>Nandini</x:v>
      </x:c>
      <x:c r="L1999" s="22" t="n">
        <x:v>48</x:v>
      </x:c>
      <x:c r="M1999" t="n">
        <x:v>29</x:v>
      </x:c>
      <x:c r="N1999" s="24" t="n">
        <x:v>0.08</x:v>
      </x:c>
      <x:c r="O1999" s="22" t="n">
        <x:f>L1999*M1999</x:f>
        <x:v>1392</x:v>
      </x:c>
      <x:c r="P1999" s="22" t="n">
        <x:f>O1999*(1-N1999)</x:f>
        <x:v>1280.64</x:v>
      </x:c>
      <x:c r="Q1999" s="22" t="n">
        <x:v>43</x:v>
      </x:c>
      <x:c r="R1999" s="22" t="n">
        <x:f>Q1999*M1999</x:f>
        <x:v>1247</x:v>
      </x:c>
      <x:c r="S1999" s="22" t="n">
        <x:f>P1999-R1999</x:f>
        <x:v>33.6400000000001</x:v>
      </x:c>
      <x:c r="T1999" t="str">
        <x:v>UPI</x:v>
      </x:c>
      <x:c r="U1999" t="str">
        <x:v>Pending</x:v>
      </x:c>
      <x:c r="V1999" t="str">
        <x:v>Delivered</x:v>
      </x:c>
      <x:c r="W1999" t="n">
        <x:v>0</x:v>
      </x:c>
      <x:c r="X1999" t="str"/>
      <x:c r="Y1999" t="str">
        <x:v>Field Visit</x:v>
      </x:c>
    </x:row>
    <x:row r="2000">
      <x:c r="A2000" t="str">
        <x:v>O001999</x:v>
      </x:c>
      <x:c r="B2000" s="20" t="n">
        <x:v>46220</x:v>
      </x:c>
      <x:c r="C2000" t="str">
        <x:v>C0173</x:v>
      </x:c>
      <x:c r="D2000" t="str">
        <x:v>Royal Kitchen 173</x:v>
      </x:c>
      <x:c r="E2000" t="str">
        <x:v>Hotel</x:v>
      </x:c>
      <x:c r="F2000" t="str">
        <x:v>Bengaluru</x:v>
      </x:c>
      <x:c r="G2000" t="str">
        <x:v>Priya</x:v>
      </x:c>
      <x:c r="H2000" t="str">
        <x:v>P047</x:v>
      </x:c>
      <x:c r="I2000" t="str">
        <x:v>Tomato 25kg</x:v>
      </x:c>
      <x:c r="J2000" t="str">
        <x:v>Fresh Produce</x:v>
      </x:c>
      <x:c r="K2000" t="str">
        <x:v>Local Market</x:v>
      </x:c>
      <x:c r="L2000" s="22" t="n">
        <x:v>950</x:v>
      </x:c>
      <x:c r="M2000" t="n">
        <x:v>24</x:v>
      </x:c>
      <x:c r="N2000" s="24" t="n">
        <x:v>0.05</x:v>
      </x:c>
      <x:c r="O2000" s="22" t="n">
        <x:f>L2000*M2000</x:f>
        <x:v>22800</x:v>
      </x:c>
      <x:c r="P2000" s="22" t="n">
        <x:f>O2000*(1-N2000)</x:f>
        <x:v>21660</x:v>
      </x:c>
      <x:c r="Q2000" s="22" t="n">
        <x:v>810</x:v>
      </x:c>
      <x:c r="R2000" s="22" t="n">
        <x:f>Q2000*M2000</x:f>
        <x:v>19440</x:v>
      </x:c>
      <x:c r="S2000" s="22" t="n">
        <x:f>P2000-R2000</x:f>
        <x:v>2220</x:v>
      </x:c>
      <x:c r="T2000" t="str">
        <x:v>Credit</x:v>
      </x:c>
      <x:c r="U2000" t="str">
        <x:v>Pending</x:v>
      </x:c>
      <x:c r="V2000" t="str">
        <x:v>Delayed</x:v>
      </x:c>
      <x:c r="W2000" t="n">
        <x:v>0</x:v>
      </x:c>
      <x:c r="X2000" t="str"/>
      <x:c r="Y2000" t="str"/>
    </x:row>
    <x:row r="2001">
      <x:c r="A2001" t="str">
        <x:v>O002000</x:v>
      </x:c>
      <x:c r="B2001" s="20" t="n">
        <x:v>45958</x:v>
      </x:c>
      <x:c r="C2001" t="str">
        <x:v>C0167</x:v>
      </x:c>
      <x:c r="D2001" t="str">
        <x:v>Foodie Canteen 167</x:v>
      </x:c>
      <x:c r="E2001" t="str">
        <x:v>Canteen</x:v>
      </x:c>
      <x:c r="F2001" t="str">
        <x:v>Bengaluru</x:v>
      </x:c>
      <x:c r="G2001" t="str">
        <x:v>Megha</x:v>
      </x:c>
      <x:c r="H2001" t="str">
        <x:v>P017</x:v>
      </x:c>
      <x:c r="I2001" t="str">
        <x:v>Butter 500g</x:v>
      </x:c>
      <x:c r="J2001" t="str">
        <x:v>Dairy</x:v>
      </x:c>
      <x:c r="K2001" t="str">
        <x:v>Amul</x:v>
      </x:c>
      <x:c r="L2001" s="22" t="n">
        <x:v>285</x:v>
      </x:c>
      <x:c r="M2001" t="n">
        <x:v>13</x:v>
      </x:c>
      <x:c r="N2001" s="24" t="n">
        <x:v>0.05</x:v>
      </x:c>
      <x:c r="O2001" s="22" t="n">
        <x:f>L2001*M2001</x:f>
        <x:v>3705</x:v>
      </x:c>
      <x:c r="P2001" s="22" t="n">
        <x:f>O2001*(1-N2001)</x:f>
        <x:v>3519.75</x:v>
      </x:c>
      <x:c r="Q2001" s="22" t="n">
        <x:v>258</x:v>
      </x:c>
      <x:c r="R2001" s="22" t="n">
        <x:f>Q2001*M2001</x:f>
        <x:v>3354</x:v>
      </x:c>
      <x:c r="S2001" s="22" t="n">
        <x:f>P2001-R2001</x:f>
        <x:v>165.75</x:v>
      </x:c>
      <x:c r="T2001" t="str">
        <x:v>Bank Transfer</x:v>
      </x:c>
      <x:c r="U2001" t="str">
        <x:v>Paid</x:v>
      </x:c>
      <x:c r="V2001" t="str">
        <x:v>Delivered</x:v>
      </x:c>
      <x:c r="W2001" t="n">
        <x:v>0</x:v>
      </x:c>
      <x:c r="X2001" t="str"/>
      <x:c r="Y2001" t="str">
        <x:v>Referral</x:v>
      </x:c>
    </x:row>
    <x:row r="2002">
      <x:c r="A2002" t="str">
        <x:v>O002001</x:v>
      </x:c>
      <x:c r="B2002" s="20" t="n">
        <x:v>46257</x:v>
      </x:c>
      <x:c r="C2002" t="str">
        <x:v>C0032</x:v>
      </x:c>
      <x:c r="D2002" t="str">
        <x:v>Cafe Hotel 32</x:v>
      </x:c>
      <x:c r="E2002" t="str">
        <x:v>Canteen</x:v>
      </x:c>
      <x:c r="F2002" t="str">
        <x:v>Bengaluru</x:v>
      </x:c>
      <x:c r="G2002" t="str">
        <x:v>Sneha</x:v>
      </x:c>
      <x:c r="H2002" t="str">
        <x:v>P026</x:v>
      </x:c>
      <x:c r="I2002" t="str">
        <x:v>Banana Chips 80g</x:v>
      </x:c>
      <x:c r="J2002" t="str">
        <x:v>Snacks</x:v>
      </x:c>
      <x:c r="K2002" t="str">
        <x:v>SSS</x:v>
      </x:c>
      <x:c r="L2002" s="22" t="n">
        <x:v>54</x:v>
      </x:c>
      <x:c r="M2002" t="n">
        <x:v>3</x:v>
      </x:c>
      <x:c r="N2002" s="24" t="n">
        <x:v>0.05</x:v>
      </x:c>
      <x:c r="O2002" s="22" t="n">
        <x:f>L2002*M2002</x:f>
        <x:v>162</x:v>
      </x:c>
      <x:c r="P2002" s="22" t="n">
        <x:f>O2002*(1-N2002)</x:f>
        <x:v>153.9</x:v>
      </x:c>
      <x:c r="Q2002" s="22" t="n">
        <x:v>39</x:v>
      </x:c>
      <x:c r="R2002" s="22" t="n">
        <x:f>Q2002*M2002</x:f>
        <x:v>117</x:v>
      </x:c>
      <x:c r="S2002" s="22" t="n">
        <x:f>P2002-R2002</x:f>
        <x:v>36.900000000000006</x:v>
      </x:c>
      <x:c r="T2002" t="str">
        <x:v>Credit</x:v>
      </x:c>
      <x:c r="U2002" t="str">
        <x:v>Paid</x:v>
      </x:c>
      <x:c r="V2002" t="str">
        <x:v>Delivered</x:v>
      </x:c>
      <x:c r="W2002" t="n">
        <x:v>0</x:v>
      </x:c>
      <x:c r="X2002" t="str"/>
      <x:c r="Y2002" t="str">
        <x:v>WhatsApp</x:v>
      </x:c>
    </x:row>
    <x:row r="2003">
      <x:c r="A2003" t="str">
        <x:v>O002002</x:v>
      </x:c>
      <x:c r="B2003" s="20" t="n">
        <x:v>45678</x:v>
      </x:c>
      <x:c r="C2003" t="str">
        <x:v>C0171</x:v>
      </x:c>
      <x:c r="D2003" t="str">
        <x:v>Metro Canteen 171</x:v>
      </x:c>
      <x:c r="E2003" t="str">
        <x:v>Restaurant</x:v>
      </x:c>
      <x:c r="F2003" t="str">
        <x:v>Mangaluru</x:v>
      </x:c>
      <x:c r="G2003" t="str">
        <x:v>Priya</x:v>
      </x:c>
      <x:c r="H2003" t="str">
        <x:v>P031</x:v>
      </x:c>
      <x:c r="I2003" t="str">
        <x:v>Chilli Sauce 700g</x:v>
      </x:c>
      <x:c r="J2003" t="str">
        <x:v>Condiments</x:v>
      </x:c>
      <x:c r="K2003" t="str">
        <x:v>Ching's</x:v>
      </x:c>
      <x:c r="L2003" s="22" t="n">
        <x:v>130</x:v>
      </x:c>
      <x:c r="M2003" t="n">
        <x:v>25</x:v>
      </x:c>
      <x:c r="N2003" s="24" t="n">
        <x:v>0.05</x:v>
      </x:c>
      <x:c r="O2003" s="22" t="n">
        <x:f>L2003*M2003</x:f>
        <x:v>3250</x:v>
      </x:c>
      <x:c r="P2003" s="22" t="n">
        <x:f>O2003*(1-N2003)</x:f>
        <x:v>3087.5</x:v>
      </x:c>
      <x:c r="Q2003" s="22" t="n">
        <x:v>112</x:v>
      </x:c>
      <x:c r="R2003" s="22" t="n">
        <x:f>Q2003*M2003</x:f>
        <x:v>2800</x:v>
      </x:c>
      <x:c r="S2003" s="22" t="n">
        <x:f>P2003-R2003</x:f>
        <x:v>287.5</x:v>
      </x:c>
      <x:c r="T2003" t="str">
        <x:v>Cash</x:v>
      </x:c>
      <x:c r="U2003" t="str">
        <x:v>Paid</x:v>
      </x:c>
      <x:c r="V2003" t="str">
        <x:v>Delayed</x:v>
      </x:c>
      <x:c r="W2003" t="n">
        <x:v>0</x:v>
      </x:c>
      <x:c r="X2003" t="str"/>
      <x:c r="Y2003" t="str">
        <x:v>Outbound Call</x:v>
      </x:c>
    </x:row>
    <x:row r="2004">
      <x:c r="A2004" t="str">
        <x:v>O002003</x:v>
      </x:c>
      <x:c r="B2004" s="20" t="n">
        <x:v>45803</x:v>
      </x:c>
      <x:c r="C2004" t="str">
        <x:v>C0218</x:v>
      </x:c>
      <x:c r="D2004" t="str">
        <x:v>Green Stores 218</x:v>
      </x:c>
      <x:c r="E2004" t="str">
        <x:v>Hotel</x:v>
      </x:c>
      <x:c r="F2004" t="str">
        <x:v>Mysuru</x:v>
      </x:c>
      <x:c r="G2004" t="str">
        <x:v>Imran</x:v>
      </x:c>
      <x:c r="H2004" t="str">
        <x:v>P024</x:v>
      </x:c>
      <x:c r="I2004" t="str">
        <x:v>Orange Drink 1L</x:v>
      </x:c>
      <x:c r="J2004" t="str">
        <x:v>Beverage</x:v>
      </x:c>
      <x:c r="K2004" t="str">
        <x:v>Minute Maid</x:v>
      </x:c>
      <x:c r="L2004" s="22" t="n">
        <x:v>105</x:v>
      </x:c>
      <x:c r="M2004" t="n">
        <x:v>6</x:v>
      </x:c>
      <x:c r="N2004" s="24" t="n">
        <x:v>0.02</x:v>
      </x:c>
      <x:c r="O2004" s="22" t="n">
        <x:f>L2004*M2004</x:f>
        <x:v>630</x:v>
      </x:c>
      <x:c r="P2004" s="22" t="n">
        <x:f>O2004*(1-N2004)</x:f>
        <x:v>617.4</x:v>
      </x:c>
      <x:c r="Q2004" s="22" t="n">
        <x:v>88</x:v>
      </x:c>
      <x:c r="R2004" s="22" t="n">
        <x:f>Q2004*M2004</x:f>
        <x:v>528</x:v>
      </x:c>
      <x:c r="S2004" s="22" t="n">
        <x:f>P2004-R2004</x:f>
        <x:v>89.39999999999998</x:v>
      </x:c>
      <x:c r="T2004" t="str">
        <x:v>UPI</x:v>
      </x:c>
      <x:c r="U2004" t="str">
        <x:v>Pending</x:v>
      </x:c>
      <x:c r="V2004" t="str">
        <x:v>Delivered</x:v>
      </x:c>
      <x:c r="W2004" t="n">
        <x:v>0</x:v>
      </x:c>
      <x:c r="X2004" t="str"/>
      <x:c r="Y2004" t="str">
        <x:v>WhatsApp</x:v>
      </x:c>
    </x:row>
    <x:row r="2005">
      <x:c r="A2005" t="str">
        <x:v>O002004</x:v>
      </x:c>
      <x:c r="B2005" s="20" t="n">
        <x:v>45880</x:v>
      </x:c>
      <x:c r="C2005" t="str">
        <x:v>C0123</x:v>
      </x:c>
      <x:c r="D2005" t="str">
        <x:v>City Foods 123</x:v>
      </x:c>
      <x:c r="E2005" t="str">
        <x:v>Restaurant</x:v>
      </x:c>
      <x:c r="F2005" t="str">
        <x:v>Davanagere</x:v>
      </x:c>
      <x:c r="G2005" t="str">
        <x:v>Sneha</x:v>
      </x:c>
      <x:c r="H2005" t="str">
        <x:v>P001</x:v>
      </x:c>
      <x:c r="I2005" t="str">
        <x:v>Steam Rice 25kg</x:v>
      </x:c>
      <x:c r="J2005" t="str">
        <x:v>Staples</x:v>
      </x:c>
      <x:c r="K2005" t="str">
        <x:v>Aishwarya</x:v>
      </x:c>
      <x:c r="L2005" s="22" t="n">
        <x:v>1180</x:v>
      </x:c>
      <x:c r="M2005" t="n">
        <x:v>6</x:v>
      </x:c>
      <x:c r="N2005" s="24" t="n">
        <x:v>0</x:v>
      </x:c>
      <x:c r="O2005" s="22" t="n">
        <x:f>L2005*M2005</x:f>
        <x:v>7080</x:v>
      </x:c>
      <x:c r="P2005" s="22" t="n">
        <x:f>O2005*(1-N2005)</x:f>
        <x:v>7080</x:v>
      </x:c>
      <x:c r="Q2005" s="22" t="n">
        <x:v>1040</x:v>
      </x:c>
      <x:c r="R2005" s="22" t="n">
        <x:f>Q2005*M2005</x:f>
        <x:v>6240</x:v>
      </x:c>
      <x:c r="S2005" s="22" t="n">
        <x:f>P2005-R2005</x:f>
        <x:v>840</x:v>
      </x:c>
      <x:c r="T2005" t="str">
        <x:v>Cash</x:v>
      </x:c>
      <x:c r="U2005" t="str">
        <x:v>Pending</x:v>
      </x:c>
      <x:c r="V2005" t="str">
        <x:v>Delivered</x:v>
      </x:c>
      <x:c r="W2005" t="n">
        <x:v>0</x:v>
      </x:c>
      <x:c r="X2005" t="str"/>
      <x:c r="Y2005" t="str">
        <x:v>Referral</x:v>
      </x:c>
    </x:row>
    <x:row r="2006">
      <x:c r="A2006" t="str">
        <x:v>O002005</x:v>
      </x:c>
      <x:c r="B2006" s="20" t="n">
        <x:v>46209</x:v>
      </x:c>
      <x:c r="C2006" t="str">
        <x:v>C0178</x:v>
      </x:c>
      <x:c r="D2006" t="str">
        <x:v>Annapurna Foods 178</x:v>
      </x:c>
      <x:c r="E2006" t="str">
        <x:v>Canteen</x:v>
      </x:c>
      <x:c r="F2006" t="str">
        <x:v>Tumakuru</x:v>
      </x:c>
      <x:c r="G2006" t="str">
        <x:v>Imran</x:v>
      </x:c>
      <x:c r="H2006" t="str">
        <x:v>P008</x:v>
      </x:c>
      <x:c r="I2006" t="str">
        <x:v>Palm Oil 15L</x:v>
      </x:c>
      <x:c r="J2006" t="str">
        <x:v>Edible Oil</x:v>
      </x:c>
      <x:c r="K2006" t="str">
        <x:v>Ruchi Gold</x:v>
      </x:c>
      <x:c r="L2006" s="22" t="n">
        <x:v>1760</x:v>
      </x:c>
      <x:c r="M2006" t="n">
        <x:v>10</x:v>
      </x:c>
      <x:c r="N2006" s="24" t="n">
        <x:v>0</x:v>
      </x:c>
      <x:c r="O2006" s="22" t="n">
        <x:f>L2006*M2006</x:f>
        <x:v>17600</x:v>
      </x:c>
      <x:c r="P2006" s="22" t="n">
        <x:f>O2006*(1-N2006)</x:f>
        <x:v>17600</x:v>
      </x:c>
      <x:c r="Q2006" s="22" t="n">
        <x:v>1610</x:v>
      </x:c>
      <x:c r="R2006" s="22" t="n">
        <x:f>Q2006*M2006</x:f>
        <x:v>16100</x:v>
      </x:c>
      <x:c r="S2006" s="22" t="n">
        <x:f>P2006-R2006</x:f>
        <x:v>1500</x:v>
      </x:c>
      <x:c r="T2006" t="str">
        <x:v>Cash</x:v>
      </x:c>
      <x:c r="U2006" t="str">
        <x:v>Paid</x:v>
      </x:c>
      <x:c r="V2006" t="str">
        <x:v>Delivered</x:v>
      </x:c>
      <x:c r="W2006" t="n">
        <x:v>3</x:v>
      </x:c>
      <x:c r="X2006" t="str">
        <x:v>Damaged</x:v>
      </x:c>
      <x:c r="Y2006" t="str">
        <x:v>WhatsApp</x:v>
      </x:c>
    </x:row>
    <x:row r="2007">
      <x:c r="A2007" t="str">
        <x:v>O002006</x:v>
      </x:c>
      <x:c r="B2007" s="20" t="n">
        <x:v>45673</x:v>
      </x:c>
      <x:c r="C2007" t="str">
        <x:v>C0208</x:v>
      </x:c>
      <x:c r="D2007" t="str">
        <x:v>Green Foods 208</x:v>
      </x:c>
      <x:c r="E2007" t="str">
        <x:v>Hotel</x:v>
      </x:c>
      <x:c r="F2007" t="str">
        <x:v>Mysuru</x:v>
      </x:c>
      <x:c r="G2007" t="str">
        <x:v>Ramesh</x:v>
      </x:c>
      <x:c r="H2007" t="str">
        <x:v>P005</x:v>
      </x:c>
      <x:c r="I2007" t="str">
        <x:v>Chana Dal 5kg</x:v>
      </x:c>
      <x:c r="J2007" t="str">
        <x:v>Pulses</x:v>
      </x:c>
      <x:c r="K2007" t="str">
        <x:v>Local Select</x:v>
      </x:c>
      <x:c r="L2007" s="22" t="n">
        <x:v>520</x:v>
      </x:c>
      <x:c r="M2007" t="n">
        <x:v>21</x:v>
      </x:c>
      <x:c r="N2007" s="24" t="n">
        <x:v>0.08</x:v>
      </x:c>
      <x:c r="O2007" s="22" t="n">
        <x:f>L2007*M2007</x:f>
        <x:v>10920</x:v>
      </x:c>
      <x:c r="P2007" s="22" t="n">
        <x:f>O2007*(1-N2007)</x:f>
        <x:v>10046.4</x:v>
      </x:c>
      <x:c r="Q2007" s="22" t="n">
        <x:v>455</x:v>
      </x:c>
      <x:c r="R2007" s="22" t="n">
        <x:f>Q2007*M2007</x:f>
        <x:v>9555</x:v>
      </x:c>
      <x:c r="S2007" s="22" t="n">
        <x:f>P2007-R2007</x:f>
        <x:v>491.39999999999964</x:v>
      </x:c>
      <x:c r="T2007" t="str">
        <x:v>UPI</x:v>
      </x:c>
      <x:c r="U2007" t="str">
        <x:v>Paid</x:v>
      </x:c>
      <x:c r="V2007" t="str">
        <x:v>Delivered</x:v>
      </x:c>
      <x:c r="W2007" t="n">
        <x:v>0</x:v>
      </x:c>
      <x:c r="X2007" t="str"/>
      <x:c r="Y2007" t="str">
        <x:v>WhatsApp</x:v>
      </x:c>
    </x:row>
    <x:row r="2008">
      <x:c r="A2008" t="str">
        <x:v>O002007</x:v>
      </x:c>
      <x:c r="B2008" s="20" t="n">
        <x:v>46221</x:v>
      </x:c>
      <x:c r="C2008" t="str">
        <x:v>C0094</x:v>
      </x:c>
      <x:c r="D2008" t="str">
        <x:v>Mysore Mart 94</x:v>
      </x:c>
      <x:c r="E2008" t="str">
        <x:v>Restaurant</x:v>
      </x:c>
      <x:c r="F2008" t="str">
        <x:v>Hubballi</x:v>
      </x:c>
      <x:c r="G2008" t="str">
        <x:v>Sneha</x:v>
      </x:c>
      <x:c r="H2008" t="str">
        <x:v>P049</x:v>
      </x:c>
      <x:c r="I2008" t="str">
        <x:v>Apple 10kg</x:v>
      </x:c>
      <x:c r="J2008" t="str">
        <x:v>Fresh Produce</x:v>
      </x:c>
      <x:c r="K2008" t="str">
        <x:v>Local Market</x:v>
      </x:c>
      <x:c r="L2008" s="22" t="n">
        <x:v>1450</x:v>
      </x:c>
      <x:c r="M2008" t="n">
        <x:v>12</x:v>
      </x:c>
      <x:c r="N2008" s="24" t="n">
        <x:v>0.02</x:v>
      </x:c>
      <x:c r="O2008" s="22" t="n">
        <x:f>L2008*M2008</x:f>
        <x:v>17400</x:v>
      </x:c>
      <x:c r="P2008" s="22" t="n">
        <x:f>O2008*(1-N2008)</x:f>
        <x:v>17052</x:v>
      </x:c>
      <x:c r="Q2008" s="22" t="n">
        <x:v>1280</x:v>
      </x:c>
      <x:c r="R2008" s="22" t="n">
        <x:f>Q2008*M2008</x:f>
        <x:v>15360</x:v>
      </x:c>
      <x:c r="S2008" s="22" t="n">
        <x:f>P2008-R2008</x:f>
        <x:v>1692</x:v>
      </x:c>
      <x:c r="T2008" t="str">
        <x:v>Bank Transfer</x:v>
      </x:c>
      <x:c r="U2008" t="str">
        <x:v>Paid</x:v>
      </x:c>
      <x:c r="V2008" t="str">
        <x:v>Delayed</x:v>
      </x:c>
      <x:c r="W2008" t="n">
        <x:v>0</x:v>
      </x:c>
      <x:c r="X2008" t="str"/>
      <x:c r="Y2008" t="str">
        <x:v>Field Visit</x:v>
      </x:c>
    </x:row>
    <x:row r="2009">
      <x:c r="A2009" t="str">
        <x:v>O002008</x:v>
      </x:c>
      <x:c r="B2009" s="20" t="n">
        <x:v>45753</x:v>
      </x:c>
      <x:c r="C2009" t="str">
        <x:v>C0141</x:v>
      </x:c>
      <x:c r="D2009" t="str">
        <x:v>Sri Restaurant 141</x:v>
      </x:c>
      <x:c r="E2009" t="str">
        <x:v>Restaurant</x:v>
      </x:c>
      <x:c r="F2009" t="str">
        <x:v>Mangaluru</x:v>
      </x:c>
      <x:c r="G2009" t="str">
        <x:v>Ramesh</x:v>
      </x:c>
      <x:c r="H2009" t="str">
        <x:v>P006</x:v>
      </x:c>
      <x:c r="I2009" t="str">
        <x:v>Moong Dal 5kg</x:v>
      </x:c>
      <x:c r="J2009" t="str">
        <x:v>Pulses</x:v>
      </x:c>
      <x:c r="K2009" t="str">
        <x:v>Local Select</x:v>
      </x:c>
      <x:c r="L2009" s="22" t="n">
        <x:v>610</x:v>
      </x:c>
      <x:c r="M2009" t="n">
        <x:v>1</x:v>
      </x:c>
      <x:c r="N2009" s="24" t="n">
        <x:v>0.02</x:v>
      </x:c>
      <x:c r="O2009" s="22" t="n">
        <x:f>L2009*M2009</x:f>
        <x:v>610</x:v>
      </x:c>
      <x:c r="P2009" s="22" t="n">
        <x:f>O2009*(1-N2009)</x:f>
        <x:v>597.8</x:v>
      </x:c>
      <x:c r="Q2009" s="22" t="n">
        <x:v>540</x:v>
      </x:c>
      <x:c r="R2009" s="22" t="n">
        <x:f>Q2009*M2009</x:f>
        <x:v>540</x:v>
      </x:c>
      <x:c r="S2009" s="22" t="n">
        <x:f>P2009-R2009</x:f>
        <x:v>57.799999999999955</x:v>
      </x:c>
      <x:c r="T2009" t="str">
        <x:v>UPI</x:v>
      </x:c>
      <x:c r="U2009" t="str">
        <x:v>Pending</x:v>
      </x:c>
      <x:c r="V2009" t="str">
        <x:v>Delivered</x:v>
      </x:c>
      <x:c r="W2009" t="n">
        <x:v>0</x:v>
      </x:c>
      <x:c r="X2009" t="str"/>
      <x:c r="Y2009" t="str">
        <x:v>WhatsApp</x:v>
      </x:c>
    </x:row>
    <x:row r="2010">
      <x:c r="A2010" t="str">
        <x:v>O002009</x:v>
      </x:c>
      <x:c r="B2010" s="20" t="n">
        <x:v>46175</x:v>
      </x:c>
      <x:c r="C2010" t="str">
        <x:v>C0040</x:v>
      </x:c>
      <x:c r="D2010" t="str">
        <x:v>Royal Foods 40</x:v>
      </x:c>
      <x:c r="E2010" t="str">
        <x:v>Restaurant</x:v>
      </x:c>
      <x:c r="F2010" t="str">
        <x:v>Mangaluru</x:v>
      </x:c>
      <x:c r="G2010" t="str">
        <x:v>Kavya</x:v>
      </x:c>
      <x:c r="H2010" t="str">
        <x:v>P032</x:v>
      </x:c>
      <x:c r="I2010" t="str">
        <x:v>Soy Sauce 700g</x:v>
      </x:c>
      <x:c r="J2010" t="str">
        <x:v>Condiments</x:v>
      </x:c>
      <x:c r="K2010" t="str">
        <x:v>Ching's</x:v>
      </x:c>
      <x:c r="L2010" s="22" t="n">
        <x:v>118</x:v>
      </x:c>
      <x:c r="M2010" t="n">
        <x:v>38</x:v>
      </x:c>
      <x:c r="N2010" s="24" t="n">
        <x:v>0.05</x:v>
      </x:c>
      <x:c r="O2010" s="22" t="n">
        <x:f>L2010*M2010</x:f>
        <x:v>4484</x:v>
      </x:c>
      <x:c r="P2010" s="22" t="n">
        <x:f>O2010*(1-N2010)</x:f>
        <x:v>4259.8</x:v>
      </x:c>
      <x:c r="Q2010" s="22" t="n">
        <x:v>101</x:v>
      </x:c>
      <x:c r="R2010" s="22" t="n">
        <x:f>Q2010*M2010</x:f>
        <x:v>3838</x:v>
      </x:c>
      <x:c r="S2010" s="22" t="n">
        <x:f>P2010-R2010</x:f>
        <x:v>421.8000000000002</x:v>
      </x:c>
      <x:c r="T2010" t="str">
        <x:v>UPI</x:v>
      </x:c>
      <x:c r="U2010" t="str">
        <x:v>Paid</x:v>
      </x:c>
      <x:c r="V2010" t="str">
        <x:v>Delivered</x:v>
      </x:c>
      <x:c r="W2010" t="n">
        <x:v>0</x:v>
      </x:c>
      <x:c r="X2010" t="str"/>
      <x:c r="Y2010" t="str">
        <x:v>Field Visit</x:v>
      </x:c>
    </x:row>
    <x:row r="2011">
      <x:c r="A2011" t="str">
        <x:v>O002010</x:v>
      </x:c>
      <x:c r="B2011" s="20" t="n">
        <x:v>45798</x:v>
      </x:c>
      <x:c r="C2011" t="str">
        <x:v>C0235</x:v>
      </x:c>
      <x:c r="D2011" t="str">
        <x:v>Darshini Canteen 235</x:v>
      </x:c>
      <x:c r="E2011" t="str">
        <x:v>Hotel</x:v>
      </x:c>
      <x:c r="F2011" t="str">
        <x:v>Mangaluru</x:v>
      </x:c>
      <x:c r="G2011" t="str">
        <x:v>Arjun</x:v>
      </x:c>
      <x:c r="H2011" t="str">
        <x:v>P008</x:v>
      </x:c>
      <x:c r="I2011" t="str">
        <x:v>Palm Oil 15L</x:v>
      </x:c>
      <x:c r="J2011" t="str">
        <x:v>Edible Oil</x:v>
      </x:c>
      <x:c r="K2011" t="str">
        <x:v>Ruchi Gold</x:v>
      </x:c>
      <x:c r="L2011" s="22" t="n">
        <x:v>1760</x:v>
      </x:c>
      <x:c r="M2011" t="n">
        <x:v>2</x:v>
      </x:c>
      <x:c r="N2011" s="24" t="n">
        <x:v>0.08</x:v>
      </x:c>
      <x:c r="O2011" s="22" t="n">
        <x:f>L2011*M2011</x:f>
        <x:v>3520</x:v>
      </x:c>
      <x:c r="P2011" s="22" t="n">
        <x:f>O2011*(1-N2011)</x:f>
        <x:v>3238.4</x:v>
      </x:c>
      <x:c r="Q2011" s="22" t="n">
        <x:v>1610</x:v>
      </x:c>
      <x:c r="R2011" s="22" t="n">
        <x:f>Q2011*M2011</x:f>
        <x:v>3220</x:v>
      </x:c>
      <x:c r="S2011" s="22" t="n">
        <x:f>P2011-R2011</x:f>
        <x:v>18.40000000000009</x:v>
      </x:c>
      <x:c r="T2011" t="str">
        <x:v>Credit</x:v>
      </x:c>
      <x:c r="U2011" t="str">
        <x:v>Paid</x:v>
      </x:c>
      <x:c r="V2011" t="str">
        <x:v>Delivered</x:v>
      </x:c>
      <x:c r="W2011" t="n">
        <x:v>0</x:v>
      </x:c>
      <x:c r="X2011" t="str"/>
      <x:c r="Y2011" t="str">
        <x:v>Existing Customer</x:v>
      </x:c>
    </x:row>
    <x:row r="2012">
      <x:c r="A2012" t="str">
        <x:v>O002011</x:v>
      </x:c>
      <x:c r="B2012" s="20" t="n">
        <x:v>46176</x:v>
      </x:c>
      <x:c r="C2012" t="str">
        <x:v>C0145</x:v>
      </x:c>
      <x:c r="D2012" t="str">
        <x:v>Namma Cafe 145</x:v>
      </x:c>
      <x:c r="E2012" t="str">
        <x:v>Kirana</x:v>
      </x:c>
      <x:c r="F2012" t="str">
        <x:v>Tumakuru</x:v>
      </x:c>
      <x:c r="G2012" t="str">
        <x:v>Sneha</x:v>
      </x:c>
      <x:c r="H2012" t="str">
        <x:v>P032</x:v>
      </x:c>
      <x:c r="I2012" t="str">
        <x:v>Soy Sauce 700g</x:v>
      </x:c>
      <x:c r="J2012" t="str">
        <x:v>Condiments</x:v>
      </x:c>
      <x:c r="K2012" t="str">
        <x:v>Ching's</x:v>
      </x:c>
      <x:c r="L2012" s="22" t="n">
        <x:v>118</x:v>
      </x:c>
      <x:c r="M2012" t="n">
        <x:v>7</x:v>
      </x:c>
      <x:c r="N2012" s="24" t="n">
        <x:v>0.02</x:v>
      </x:c>
      <x:c r="O2012" s="22" t="n">
        <x:f>L2012*M2012</x:f>
        <x:v>826</x:v>
      </x:c>
      <x:c r="P2012" s="22" t="n">
        <x:f>O2012*(1-N2012)</x:f>
        <x:v>809.48</x:v>
      </x:c>
      <x:c r="Q2012" s="22" t="n">
        <x:v>101</x:v>
      </x:c>
      <x:c r="R2012" s="22" t="n">
        <x:f>Q2012*M2012</x:f>
        <x:v>707</x:v>
      </x:c>
      <x:c r="S2012" s="22" t="n">
        <x:f>P2012-R2012</x:f>
        <x:v>102.48000000000002</x:v>
      </x:c>
      <x:c r="T2012" t="str">
        <x:v>Cash</x:v>
      </x:c>
      <x:c r="U2012" t="str">
        <x:v>Paid</x:v>
      </x:c>
      <x:c r="V2012" t="str">
        <x:v>Cancelled</x:v>
      </x:c>
      <x:c r="W2012" t="n">
        <x:v>7</x:v>
      </x:c>
      <x:c r="X2012" t="str">
        <x:v>Cancelled Order</x:v>
      </x:c>
      <x:c r="Y2012" t="str">
        <x:v>Outbound Call</x:v>
      </x:c>
    </x:row>
    <x:row r="2013">
      <x:c r="A2013" t="str">
        <x:v>O002012</x:v>
      </x:c>
      <x:c r="B2013" s="20" t="n">
        <x:v>46130</x:v>
      </x:c>
      <x:c r="C2013" t="str">
        <x:v>C0208</x:v>
      </x:c>
      <x:c r="D2013" t="str">
        <x:v>Green Foods 208</x:v>
      </x:c>
      <x:c r="E2013" t="str">
        <x:v>Hotel</x:v>
      </x:c>
      <x:c r="F2013" t="str">
        <x:v>Mysuru</x:v>
      </x:c>
      <x:c r="G2013" t="str">
        <x:v>Ramesh</x:v>
      </x:c>
      <x:c r="H2013" t="str">
        <x:v>P039</x:v>
      </x:c>
      <x:c r="I2013" t="str">
        <x:v>Ice Cream 4L</x:v>
      </x:c>
      <x:c r="J2013" t="str">
        <x:v>Frozen</x:v>
      </x:c>
      <x:c r="K2013" t="str">
        <x:v>Amul</x:v>
      </x:c>
      <x:c r="L2013" s="22" t="n">
        <x:v>480</x:v>
      </x:c>
      <x:c r="M2013" t="n">
        <x:v>11</x:v>
      </x:c>
      <x:c r="N2013" s="24" t="n">
        <x:v>0</x:v>
      </x:c>
      <x:c r="O2013" s="22" t="n">
        <x:f>L2013*M2013</x:f>
        <x:v>5280</x:v>
      </x:c>
      <x:c r="P2013" s="22" t="n">
        <x:f>O2013*(1-N2013)</x:f>
        <x:v>5280</x:v>
      </x:c>
      <x:c r="Q2013" s="22" t="n">
        <x:v>420</x:v>
      </x:c>
      <x:c r="R2013" s="22" t="n">
        <x:f>Q2013*M2013</x:f>
        <x:v>4620</x:v>
      </x:c>
      <x:c r="S2013" s="22" t="n">
        <x:f>P2013-R2013</x:f>
        <x:v>660</x:v>
      </x:c>
      <x:c r="T2013" t="str">
        <x:v>Credit</x:v>
      </x:c>
      <x:c r="U2013" t="str">
        <x:v>Paid</x:v>
      </x:c>
      <x:c r="V2013" t="str">
        <x:v>Delivered</x:v>
      </x:c>
      <x:c r="W2013" t="n">
        <x:v>0</x:v>
      </x:c>
      <x:c r="X2013" t="str"/>
      <x:c r="Y2013" t="str">
        <x:v>WhatsApp</x:v>
      </x:c>
    </x:row>
    <x:row r="2014">
      <x:c r="A2014" t="str">
        <x:v>O002013</x:v>
      </x:c>
      <x:c r="B2014" s="20" t="n">
        <x:v>45944</x:v>
      </x:c>
      <x:c r="C2014" t="str">
        <x:v>C0216</x:v>
      </x:c>
      <x:c r="D2014" t="str">
        <x:v>Cafe Restaurant 216</x:v>
      </x:c>
      <x:c r="E2014" t="str">
        <x:v>Canteen</x:v>
      </x:c>
      <x:c r="F2014" t="str">
        <x:v>Bengaluru</x:v>
      </x:c>
      <x:c r="G2014" t="str">
        <x:v>Vikram</x:v>
      </x:c>
      <x:c r="H2014" t="str">
        <x:v>P024</x:v>
      </x:c>
      <x:c r="I2014" t="str">
        <x:v>Orange Drink 1L</x:v>
      </x:c>
      <x:c r="J2014" t="str">
        <x:v>Beverage</x:v>
      </x:c>
      <x:c r="K2014" t="str">
        <x:v>Minute Maid</x:v>
      </x:c>
      <x:c r="L2014" s="22" t="n">
        <x:v>105</x:v>
      </x:c>
      <x:c r="M2014" t="n">
        <x:v>28</x:v>
      </x:c>
      <x:c r="N2014" s="24" t="n">
        <x:v>0.05</x:v>
      </x:c>
      <x:c r="O2014" s="22" t="n">
        <x:f>L2014*M2014</x:f>
        <x:v>2940</x:v>
      </x:c>
      <x:c r="P2014" s="22" t="n">
        <x:f>O2014*(1-N2014)</x:f>
        <x:v>2793</x:v>
      </x:c>
      <x:c r="Q2014" s="22" t="n">
        <x:v>88</x:v>
      </x:c>
      <x:c r="R2014" s="22" t="n">
        <x:f>Q2014*M2014</x:f>
        <x:v>2464</x:v>
      </x:c>
      <x:c r="S2014" s="22" t="n">
        <x:f>P2014-R2014</x:f>
        <x:v>329</x:v>
      </x:c>
      <x:c r="T2014" t="str">
        <x:v>Credit</x:v>
      </x:c>
      <x:c r="U2014" t="str">
        <x:v>Paid</x:v>
      </x:c>
      <x:c r="V2014" t="str">
        <x:v>Delivered</x:v>
      </x:c>
      <x:c r="W2014" t="n">
        <x:v>1</x:v>
      </x:c>
      <x:c r="X2014" t="str">
        <x:v>Damaged</x:v>
      </x:c>
      <x:c r="Y2014" t="str">
        <x:v>WhatsApp</x:v>
      </x:c>
    </x:row>
    <x:row r="2015">
      <x:c r="A2015" t="str">
        <x:v>O002014</x:v>
      </x:c>
      <x:c r="B2015" s="20" t="n">
        <x:v>46132</x:v>
      </x:c>
      <x:c r="C2015" t="str">
        <x:v>C0212</x:v>
      </x:c>
      <x:c r="D2015" t="str">
        <x:v>Classic Restaurant 212</x:v>
      </x:c>
      <x:c r="E2015" t="str">
        <x:v>Restaurant</x:v>
      </x:c>
      <x:c r="F2015" t="str">
        <x:v>Mysuru</x:v>
      </x:c>
      <x:c r="G2015" t="str">
        <x:v>Vikram</x:v>
      </x:c>
      <x:c r="H2015" t="str">
        <x:v>P033</x:v>
      </x:c>
      <x:c r="I2015" t="str">
        <x:v>Turmeric Powder 1kg</x:v>
      </x:c>
      <x:c r="J2015" t="str">
        <x:v>Spices</x:v>
      </x:c>
      <x:c r="K2015" t="str">
        <x:v>Everest</x:v>
      </x:c>
      <x:c r="L2015" s="22" t="n">
        <x:v>310</x:v>
      </x:c>
      <x:c r="M2015" t="n">
        <x:v>8</x:v>
      </x:c>
      <x:c r="N2015" s="24" t="n">
        <x:v>0.02</x:v>
      </x:c>
      <x:c r="O2015" s="22" t="n">
        <x:f>L2015*M2015</x:f>
        <x:v>2480</x:v>
      </x:c>
      <x:c r="P2015" s="22" t="n">
        <x:f>O2015*(1-N2015)</x:f>
        <x:v>2430.4</x:v>
      </x:c>
      <x:c r="Q2015" s="22" t="n">
        <x:v>270</x:v>
      </x:c>
      <x:c r="R2015" s="22" t="n">
        <x:f>Q2015*M2015</x:f>
        <x:v>2160</x:v>
      </x:c>
      <x:c r="S2015" s="22" t="n">
        <x:f>P2015-R2015</x:f>
        <x:v>270.4000000000001</x:v>
      </x:c>
      <x:c r="T2015" t="str">
        <x:v>Cash</x:v>
      </x:c>
      <x:c r="U2015" t="str">
        <x:v>Pending</x:v>
      </x:c>
      <x:c r="V2015" t="str">
        <x:v>Delivered</x:v>
      </x:c>
      <x:c r="W2015" t="n">
        <x:v>0</x:v>
      </x:c>
      <x:c r="X2015" t="str"/>
      <x:c r="Y2015" t="str">
        <x:v>Referral</x:v>
      </x:c>
    </x:row>
    <x:row r="2016">
      <x:c r="A2016" t="str">
        <x:v>O002015</x:v>
      </x:c>
      <x:c r="B2016" s="20" t="n">
        <x:v>45879</x:v>
      </x:c>
      <x:c r="C2016" t="str">
        <x:v>C0186</x:v>
      </x:c>
      <x:c r="D2016" t="str">
        <x:v>Namma Stores 186</x:v>
      </x:c>
      <x:c r="E2016" t="str">
        <x:v>Supermarket</x:v>
      </x:c>
      <x:c r="F2016" t="str">
        <x:v>Mysuru</x:v>
      </x:c>
      <x:c r="G2016" t="str">
        <x:v>Vikram</x:v>
      </x:c>
      <x:c r="H2016" t="str">
        <x:v>P004</x:v>
      </x:c>
      <x:c r="I2016" t="str">
        <x:v>Toor Dal 5kg</x:v>
      </x:c>
      <x:c r="J2016" t="str">
        <x:v>Pulses</x:v>
      </x:c>
      <x:c r="K2016" t="str">
        <x:v>Tata Sampann</x:v>
      </x:c>
      <x:c r="L2016" s="22" t="n">
        <x:v>780</x:v>
      </x:c>
      <x:c r="M2016" t="n">
        <x:v>7</x:v>
      </x:c>
      <x:c r="N2016" s="24" t="n">
        <x:v>0.03</x:v>
      </x:c>
      <x:c r="O2016" s="22" t="n">
        <x:f>L2016*M2016</x:f>
        <x:v>5460</x:v>
      </x:c>
      <x:c r="P2016" s="22" t="n">
        <x:f>O2016*(1-N2016)</x:f>
        <x:v>5296.2</x:v>
      </x:c>
      <x:c r="Q2016" s="22" t="n">
        <x:v>695</x:v>
      </x:c>
      <x:c r="R2016" s="22" t="n">
        <x:f>Q2016*M2016</x:f>
        <x:v>4865</x:v>
      </x:c>
      <x:c r="S2016" s="22" t="n">
        <x:f>P2016-R2016</x:f>
        <x:v>431.1999999999998</x:v>
      </x:c>
      <x:c r="T2016" t="str">
        <x:v>Cash</x:v>
      </x:c>
      <x:c r="U2016" t="str">
        <x:v>Overdue</x:v>
      </x:c>
      <x:c r="V2016" t="str">
        <x:v>Delayed</x:v>
      </x:c>
      <x:c r="W2016" t="n">
        <x:v>0</x:v>
      </x:c>
      <x:c r="X2016" t="str"/>
      <x:c r="Y2016" t="str">
        <x:v>Outbound Call</x:v>
      </x:c>
    </x:row>
    <x:row r="2017">
      <x:c r="A2017" t="str">
        <x:v>O002016</x:v>
      </x:c>
      <x:c r="B2017" s="20" t="n">
        <x:v>45961</x:v>
      </x:c>
      <x:c r="C2017" t="str">
        <x:v>C0228</x:v>
      </x:c>
      <x:c r="D2017" t="str">
        <x:v>Metro Foods 228</x:v>
      </x:c>
      <x:c r="E2017" t="str">
        <x:v>Supermarket</x:v>
      </x:c>
      <x:c r="F2017" t="str">
        <x:v>Davanagere</x:v>
      </x:c>
      <x:c r="G2017" t="str">
        <x:v>Sneha</x:v>
      </x:c>
      <x:c r="H2017" t="str">
        <x:v>P029</x:v>
      </x:c>
      <x:c r="I2017" t="str">
        <x:v>Tomato Ketchup 1kg</x:v>
      </x:c>
      <x:c r="J2017" t="str">
        <x:v>Condiments</x:v>
      </x:c>
      <x:c r="K2017" t="str">
        <x:v>Kissan</x:v>
      </x:c>
      <x:c r="L2017" s="22" t="n">
        <x:v>145</x:v>
      </x:c>
      <x:c r="M2017" t="n">
        <x:v>5</x:v>
      </x:c>
      <x:c r="N2017" s="24" t="n">
        <x:v>0.05</x:v>
      </x:c>
      <x:c r="O2017" s="22" t="n">
        <x:f>L2017*M2017</x:f>
        <x:v>725</x:v>
      </x:c>
      <x:c r="P2017" s="22" t="n">
        <x:f>O2017*(1-N2017)</x:f>
        <x:v>688.75</x:v>
      </x:c>
      <x:c r="Q2017" s="22" t="n">
        <x:v>126</x:v>
      </x:c>
      <x:c r="R2017" s="22" t="n">
        <x:f>Q2017*M2017</x:f>
        <x:v>630</x:v>
      </x:c>
      <x:c r="S2017" s="22" t="n">
        <x:f>P2017-R2017</x:f>
        <x:v>58.75</x:v>
      </x:c>
      <x:c r="T2017" t="str">
        <x:v>Cash</x:v>
      </x:c>
      <x:c r="U2017" t="str">
        <x:v>Paid</x:v>
      </x:c>
      <x:c r="V2017" t="str">
        <x:v>Cancelled</x:v>
      </x:c>
      <x:c r="W2017" t="n">
        <x:v>5</x:v>
      </x:c>
      <x:c r="X2017" t="str">
        <x:v>Cancelled Order</x:v>
      </x:c>
      <x:c r="Y2017" t="str">
        <x:v>Referral</x:v>
      </x:c>
    </x:row>
    <x:row r="2018">
      <x:c r="A2018" t="str">
        <x:v>O002017</x:v>
      </x:c>
      <x:c r="B2018" s="20" t="n">
        <x:v>45834</x:v>
      </x:c>
      <x:c r="C2018" t="str">
        <x:v>C0042</x:v>
      </x:c>
      <x:c r="D2018" t="str">
        <x:v>Shree Restaurant 42</x:v>
      </x:c>
      <x:c r="E2018" t="str">
        <x:v>Restaurant</x:v>
      </x:c>
      <x:c r="F2018" t="str">
        <x:v>Mysuru</x:v>
      </x:c>
      <x:c r="G2018" t="str">
        <x:v>Arjun</x:v>
      </x:c>
      <x:c r="H2018" t="str">
        <x:v>P037</x:v>
      </x:c>
      <x:c r="I2018" t="str">
        <x:v>Frozen Peas 1kg</x:v>
      </x:c>
      <x:c r="J2018" t="str">
        <x:v>Frozen</x:v>
      </x:c>
      <x:c r="K2018" t="str">
        <x:v>Safal</x:v>
      </x:c>
      <x:c r="L2018" s="22" t="n">
        <x:v>155</x:v>
      </x:c>
      <x:c r="M2018" t="n">
        <x:v>22</x:v>
      </x:c>
      <x:c r="N2018" s="24" t="n">
        <x:v>0.02</x:v>
      </x:c>
      <x:c r="O2018" s="22" t="n">
        <x:f>L2018*M2018</x:f>
        <x:v>3410</x:v>
      </x:c>
      <x:c r="P2018" s="22" t="n">
        <x:f>O2018*(1-N2018)</x:f>
        <x:v>3341.7999999999997</x:v>
      </x:c>
      <x:c r="Q2018" s="22" t="n">
        <x:v>138</x:v>
      </x:c>
      <x:c r="R2018" s="22" t="n">
        <x:f>Q2018*M2018</x:f>
        <x:v>3036</x:v>
      </x:c>
      <x:c r="S2018" s="22" t="n">
        <x:f>P2018-R2018</x:f>
        <x:v>305.7999999999997</x:v>
      </x:c>
      <x:c r="T2018" t="str">
        <x:v>Credit</x:v>
      </x:c>
      <x:c r="U2018" t="str">
        <x:v>Paid</x:v>
      </x:c>
      <x:c r="V2018" t="str">
        <x:v>Delivered</x:v>
      </x:c>
      <x:c r="W2018" t="n">
        <x:v>0</x:v>
      </x:c>
      <x:c r="X2018" t="str"/>
      <x:c r="Y2018" t="str">
        <x:v>WhatsApp</x:v>
      </x:c>
    </x:row>
    <x:row r="2019">
      <x:c r="A2019" t="str">
        <x:v>O002018</x:v>
      </x:c>
      <x:c r="B2019" s="20" t="n">
        <x:v>45704</x:v>
      </x:c>
      <x:c r="C2019" t="str">
        <x:v>C0133</x:v>
      </x:c>
      <x:c r="D2019" t="str">
        <x:v>Metro Foods 133</x:v>
      </x:c>
      <x:c r="E2019" t="str">
        <x:v>Cafe</x:v>
      </x:c>
      <x:c r="F2019" t="str">
        <x:v>Bengaluru</x:v>
      </x:c>
      <x:c r="G2019" t="str">
        <x:v>Ramesh</x:v>
      </x:c>
      <x:c r="H2019" t="str">
        <x:v>P020</x:v>
      </x:c>
      <x:c r="I2019" t="str">
        <x:v>Coffee 500g</x:v>
      </x:c>
      <x:c r="J2019" t="str">
        <x:v>Beverage</x:v>
      </x:c>
      <x:c r="K2019" t="str">
        <x:v>Bru</x:v>
      </x:c>
      <x:c r="L2019" s="22" t="n">
        <x:v>390</x:v>
      </x:c>
      <x:c r="M2019" t="n">
        <x:v>29</x:v>
      </x:c>
      <x:c r="N2019" s="24" t="n">
        <x:v>0.03</x:v>
      </x:c>
      <x:c r="O2019" s="22" t="n">
        <x:f>L2019*M2019</x:f>
        <x:v>11310</x:v>
      </x:c>
      <x:c r="P2019" s="22" t="n">
        <x:f>O2019*(1-N2019)</x:f>
        <x:v>10970.699999999999</x:v>
      </x:c>
      <x:c r="Q2019" s="22" t="n">
        <x:v>350</x:v>
      </x:c>
      <x:c r="R2019" s="22" t="n">
        <x:f>Q2019*M2019</x:f>
        <x:v>10150</x:v>
      </x:c>
      <x:c r="S2019" s="22" t="n">
        <x:f>P2019-R2019</x:f>
        <x:v>820.6999999999989</x:v>
      </x:c>
      <x:c r="T2019" t="str">
        <x:v>Cash</x:v>
      </x:c>
      <x:c r="U2019" t="str">
        <x:v>Paid</x:v>
      </x:c>
      <x:c r="V2019" t="str">
        <x:v>Delivered</x:v>
      </x:c>
      <x:c r="W2019" t="n">
        <x:v>0</x:v>
      </x:c>
      <x:c r="X2019" t="str"/>
      <x:c r="Y2019" t="str">
        <x:v>WhatsApp</x:v>
      </x:c>
    </x:row>
    <x:row r="2020">
      <x:c r="A2020" t="str">
        <x:v>O002019</x:v>
      </x:c>
      <x:c r="B2020" s="20" t="n">
        <x:v>45727</x:v>
      </x:c>
      <x:c r="C2020" t="str">
        <x:v>C0037</x:v>
      </x:c>
      <x:c r="D2020" t="str">
        <x:v>Royal Cafe 37</x:v>
      </x:c>
      <x:c r="E2020" t="str">
        <x:v>Hotel</x:v>
      </x:c>
      <x:c r="F2020" t="str">
        <x:v>Mysuru</x:v>
      </x:c>
      <x:c r="G2020" t="str">
        <x:v>Sneha</x:v>
      </x:c>
      <x:c r="H2020" t="str">
        <x:v>P031</x:v>
      </x:c>
      <x:c r="I2020" t="str">
        <x:v>Chilli Sauce 700g</x:v>
      </x:c>
      <x:c r="J2020" t="str">
        <x:v>Condiments</x:v>
      </x:c>
      <x:c r="K2020" t="str">
        <x:v>Ching's</x:v>
      </x:c>
      <x:c r="L2020" s="22" t="n">
        <x:v>130</x:v>
      </x:c>
      <x:c r="M2020" t="n">
        <x:v>14</x:v>
      </x:c>
      <x:c r="N2020" s="24" t="n">
        <x:v>0.08</x:v>
      </x:c>
      <x:c r="O2020" s="22" t="n">
        <x:f>L2020*M2020</x:f>
        <x:v>1820</x:v>
      </x:c>
      <x:c r="P2020" s="22" t="n">
        <x:f>O2020*(1-N2020)</x:f>
        <x:v>1674.4</x:v>
      </x:c>
      <x:c r="Q2020" s="22" t="n">
        <x:v>112</x:v>
      </x:c>
      <x:c r="R2020" s="22" t="n">
        <x:f>Q2020*M2020</x:f>
        <x:v>1568</x:v>
      </x:c>
      <x:c r="S2020" s="22" t="n">
        <x:f>P2020-R2020</x:f>
        <x:v>106.40000000000009</x:v>
      </x:c>
      <x:c r="T2020" t="str">
        <x:v>Bank Transfer</x:v>
      </x:c>
      <x:c r="U2020" t="str">
        <x:v>Pending</x:v>
      </x:c>
      <x:c r="V2020" t="str">
        <x:v>Delivered</x:v>
      </x:c>
      <x:c r="W2020" t="n">
        <x:v>0</x:v>
      </x:c>
      <x:c r="X2020" t="str"/>
      <x:c r="Y2020" t="str">
        <x:v>Referral</x:v>
      </x:c>
    </x:row>
    <x:row r="2021">
      <x:c r="A2021" t="str">
        <x:v>O002020</x:v>
      </x:c>
      <x:c r="B2021" s="20" t="n">
        <x:v>46199</x:v>
      </x:c>
      <x:c r="C2021" t="str">
        <x:v>C0033</x:v>
      </x:c>
      <x:c r="D2021" t="str">
        <x:v>Shree Canteen 33</x:v>
      </x:c>
      <x:c r="E2021" t="str">
        <x:v>Canteen</x:v>
      </x:c>
      <x:c r="F2021" t="str">
        <x:v>Mangaluru</x:v>
      </x:c>
      <x:c r="G2021" t="str">
        <x:v>Imran</x:v>
      </x:c>
      <x:c r="H2021" t="str">
        <x:v>P014</x:v>
      </x:c>
      <x:c r="I2021" t="str">
        <x:v>Rava 5kg</x:v>
      </x:c>
      <x:c r="J2021" t="str">
        <x:v>Flour</x:v>
      </x:c>
      <x:c r="K2021" t="str">
        <x:v>Local Select</x:v>
      </x:c>
      <x:c r="L2021" s="22" t="n">
        <x:v>245</x:v>
      </x:c>
      <x:c r="M2021" t="n">
        <x:v>28</x:v>
      </x:c>
      <x:c r="N2021" s="24" t="n">
        <x:v>0.05</x:v>
      </x:c>
      <x:c r="O2021" s="22" t="n">
        <x:f>L2021*M2021</x:f>
        <x:v>6860</x:v>
      </x:c>
      <x:c r="P2021" s="22" t="n">
        <x:f>O2021*(1-N2021)</x:f>
        <x:v>6517</x:v>
      </x:c>
      <x:c r="Q2021" s="22" t="n">
        <x:v>215</x:v>
      </x:c>
      <x:c r="R2021" s="22" t="n">
        <x:f>Q2021*M2021</x:f>
        <x:v>6020</x:v>
      </x:c>
      <x:c r="S2021" s="22" t="n">
        <x:f>P2021-R2021</x:f>
        <x:v>497</x:v>
      </x:c>
      <x:c r="T2021" t="str">
        <x:v>Credit</x:v>
      </x:c>
      <x:c r="U2021" t="str">
        <x:v>Paid</x:v>
      </x:c>
      <x:c r="V2021" t="str">
        <x:v>Delivered</x:v>
      </x:c>
      <x:c r="W2021" t="n">
        <x:v>0</x:v>
      </x:c>
      <x:c r="X2021" t="str"/>
      <x:c r="Y2021" t="str">
        <x:v>Outbound Call</x:v>
      </x:c>
    </x:row>
    <x:row r="2022">
      <x:c r="A2022" t="str">
        <x:v>O002021</x:v>
      </x:c>
      <x:c r="B2022" s="20" t="n">
        <x:v>46060</x:v>
      </x:c>
      <x:c r="C2022" t="str">
        <x:v>C0133</x:v>
      </x:c>
      <x:c r="D2022" t="str">
        <x:v>Metro Foods 133</x:v>
      </x:c>
      <x:c r="E2022" t="str">
        <x:v>Cafe</x:v>
      </x:c>
      <x:c r="F2022" t="str">
        <x:v>Bengaluru</x:v>
      </x:c>
      <x:c r="G2022" t="str">
        <x:v>Ramesh</x:v>
      </x:c>
      <x:c r="H2022" t="str">
        <x:v>P034</x:v>
      </x:c>
      <x:c r="I2022" t="str">
        <x:v>Chilli Powder 1kg</x:v>
      </x:c>
      <x:c r="J2022" t="str">
        <x:v>Spices</x:v>
      </x:c>
      <x:c r="K2022" t="str">
        <x:v>MDH</x:v>
      </x:c>
      <x:c r="L2022" s="22" t="n">
        <x:v>340</x:v>
      </x:c>
      <x:c r="M2022" t="n">
        <x:v>38</x:v>
      </x:c>
      <x:c r="N2022" s="24" t="n">
        <x:v>0.05</x:v>
      </x:c>
      <x:c r="O2022" s="22" t="n">
        <x:f>L2022*M2022</x:f>
        <x:v>12920</x:v>
      </x:c>
      <x:c r="P2022" s="22" t="n">
        <x:f>O2022*(1-N2022)</x:f>
        <x:v>12274</x:v>
      </x:c>
      <x:c r="Q2022" s="22" t="n">
        <x:v>295</x:v>
      </x:c>
      <x:c r="R2022" s="22" t="n">
        <x:f>Q2022*M2022</x:f>
        <x:v>11210</x:v>
      </x:c>
      <x:c r="S2022" s="22" t="n">
        <x:f>P2022-R2022</x:f>
        <x:v>1064</x:v>
      </x:c>
      <x:c r="T2022" t="str">
        <x:v>Bank Transfer</x:v>
      </x:c>
      <x:c r="U2022" t="str">
        <x:v>Paid</x:v>
      </x:c>
      <x:c r="V2022" t="str">
        <x:v>Delivered</x:v>
      </x:c>
      <x:c r="W2022" t="n">
        <x:v>0</x:v>
      </x:c>
      <x:c r="X2022" t="str"/>
      <x:c r="Y2022" t="str">
        <x:v>Referral</x:v>
      </x:c>
    </x:row>
    <x:row r="2023">
      <x:c r="A2023" t="str">
        <x:v>O002022</x:v>
      </x:c>
      <x:c r="B2023" s="20" t="n">
        <x:v>46195</x:v>
      </x:c>
      <x:c r="C2023" t="str">
        <x:v>C0089</x:v>
      </x:c>
      <x:c r="D2023" t="str">
        <x:v>Green Canteen 89</x:v>
      </x:c>
      <x:c r="E2023" t="str">
        <x:v>Supermarket</x:v>
      </x:c>
      <x:c r="F2023" t="str">
        <x:v>Mangaluru</x:v>
      </x:c>
      <x:c r="G2023" t="str">
        <x:v>Megha</x:v>
      </x:c>
      <x:c r="H2023" t="str">
        <x:v>P002</x:v>
      </x:c>
      <x:c r="I2023" t="str">
        <x:v>Sona Masoori Rice 25kg</x:v>
      </x:c>
      <x:c r="J2023" t="str">
        <x:v>Staples</x:v>
      </x:c>
      <x:c r="K2023" t="str">
        <x:v>Fortune</x:v>
      </x:c>
      <x:c r="L2023" s="22" t="n">
        <x:v>1320</x:v>
      </x:c>
      <x:c r="M2023" t="n">
        <x:v>3</x:v>
      </x:c>
      <x:c r="N2023" s="24" t="n">
        <x:v>0.03</x:v>
      </x:c>
      <x:c r="O2023" s="22" t="n">
        <x:f>L2023*M2023</x:f>
        <x:v>3960</x:v>
      </x:c>
      <x:c r="P2023" s="22" t="n">
        <x:f>O2023*(1-N2023)</x:f>
        <x:v>3841.2</x:v>
      </x:c>
      <x:c r="Q2023" s="22" t="n">
        <x:v>1160</x:v>
      </x:c>
      <x:c r="R2023" s="22" t="n">
        <x:f>Q2023*M2023</x:f>
        <x:v>3480</x:v>
      </x:c>
      <x:c r="S2023" s="22" t="n">
        <x:f>P2023-R2023</x:f>
        <x:v>361.1999999999998</x:v>
      </x:c>
      <x:c r="T2023" t="str">
        <x:v>Credit</x:v>
      </x:c>
      <x:c r="U2023" t="str">
        <x:v>Pending</x:v>
      </x:c>
      <x:c r="V2023" t="str">
        <x:v>Delivered</x:v>
      </x:c>
      <x:c r="W2023" t="n">
        <x:v>0</x:v>
      </x:c>
      <x:c r="X2023" t="str"/>
      <x:c r="Y2023" t="str">
        <x:v>WhatsApp</x:v>
      </x:c>
    </x:row>
    <x:row r="2024">
      <x:c r="A2024" t="str">
        <x:v>O002023</x:v>
      </x:c>
      <x:c r="B2024" s="20" t="n">
        <x:v>45667</x:v>
      </x:c>
      <x:c r="C2024" t="str">
        <x:v>C0066</x:v>
      </x:c>
      <x:c r="D2024" t="str">
        <x:v>Hotel Hotel 66</x:v>
      </x:c>
      <x:c r="E2024" t="str">
        <x:v>Restaurant</x:v>
      </x:c>
      <x:c r="F2024" t="str">
        <x:v>Davanagere</x:v>
      </x:c>
      <x:c r="G2024" t="str">
        <x:v>Megha</x:v>
      </x:c>
      <x:c r="H2024" t="str">
        <x:v>P050</x:v>
      </x:c>
      <x:c r="I2024" t="str">
        <x:v>Lemon 5kg</x:v>
      </x:c>
      <x:c r="J2024" t="str">
        <x:v>Fresh Produce</x:v>
      </x:c>
      <x:c r="K2024" t="str">
        <x:v>Local Market</x:v>
      </x:c>
      <x:c r="L2024" s="22" t="n">
        <x:v>360</x:v>
      </x:c>
      <x:c r="M2024" t="n">
        <x:v>21</x:v>
      </x:c>
      <x:c r="N2024" s="24" t="n">
        <x:v>0</x:v>
      </x:c>
      <x:c r="O2024" s="22" t="n">
        <x:f>L2024*M2024</x:f>
        <x:v>7560</x:v>
      </x:c>
      <x:c r="P2024" s="22" t="n">
        <x:f>O2024*(1-N2024)</x:f>
        <x:v>7560</x:v>
      </x:c>
      <x:c r="Q2024" s="22" t="n">
        <x:v>300</x:v>
      </x:c>
      <x:c r="R2024" s="22" t="n">
        <x:f>Q2024*M2024</x:f>
        <x:v>6300</x:v>
      </x:c>
      <x:c r="S2024" s="22" t="n">
        <x:f>P2024-R2024</x:f>
        <x:v>1260</x:v>
      </x:c>
      <x:c r="T2024" t="str">
        <x:v>Cash</x:v>
      </x:c>
      <x:c r="U2024" t="str">
        <x:v>Paid</x:v>
      </x:c>
      <x:c r="V2024" t="str">
        <x:v>Delivered</x:v>
      </x:c>
      <x:c r="W2024" t="n">
        <x:v>0</x:v>
      </x:c>
      <x:c r="X2024" t="str"/>
      <x:c r="Y2024" t="str">
        <x:v>Existing Customer</x:v>
      </x:c>
    </x:row>
    <x:row r="2025">
      <x:c r="A2025" t="str">
        <x:v>O002024</x:v>
      </x:c>
      <x:c r="B2025" s="20" t="n">
        <x:v>46005</x:v>
      </x:c>
      <x:c r="C2025" t="str">
        <x:v>C0119</x:v>
      </x:c>
      <x:c r="D2025" t="str">
        <x:v>Foodie Foods 119</x:v>
      </x:c>
      <x:c r="E2025" t="str">
        <x:v>Kirana</x:v>
      </x:c>
      <x:c r="F2025" t="str">
        <x:v>Hubballi</x:v>
      </x:c>
      <x:c r="G2025" t="str">
        <x:v>Imran</x:v>
      </x:c>
      <x:c r="H2025" t="str">
        <x:v>P032</x:v>
      </x:c>
      <x:c r="I2025" t="str">
        <x:v>Soy Sauce 700g</x:v>
      </x:c>
      <x:c r="J2025" t="str">
        <x:v>Condiments</x:v>
      </x:c>
      <x:c r="K2025" t="str">
        <x:v>Ching's</x:v>
      </x:c>
      <x:c r="L2025" s="22" t="n">
        <x:v>118</x:v>
      </x:c>
      <x:c r="M2025" t="n">
        <x:v>23</x:v>
      </x:c>
      <x:c r="N2025" s="24" t="n">
        <x:v>0.02</x:v>
      </x:c>
      <x:c r="O2025" s="22" t="n">
        <x:f>L2025*M2025</x:f>
        <x:v>2714</x:v>
      </x:c>
      <x:c r="P2025" s="22" t="n">
        <x:f>O2025*(1-N2025)</x:f>
        <x:v>2659.72</x:v>
      </x:c>
      <x:c r="Q2025" s="22" t="n">
        <x:v>101</x:v>
      </x:c>
      <x:c r="R2025" s="22" t="n">
        <x:f>Q2025*M2025</x:f>
        <x:v>2323</x:v>
      </x:c>
      <x:c r="S2025" s="22" t="n">
        <x:f>P2025-R2025</x:f>
        <x:v>336.7199999999998</x:v>
      </x:c>
      <x:c r="T2025" t="str">
        <x:v>Credit</x:v>
      </x:c>
      <x:c r="U2025" t="str">
        <x:v>Pending</x:v>
      </x:c>
      <x:c r="V2025" t="str">
        <x:v>Delayed</x:v>
      </x:c>
      <x:c r="W2025" t="n">
        <x:v>0</x:v>
      </x:c>
      <x:c r="X2025" t="str"/>
      <x:c r="Y2025" t="str">
        <x:v>Outbound Call</x:v>
      </x:c>
    </x:row>
    <x:row r="2026">
      <x:c r="A2026" t="str">
        <x:v>O002025</x:v>
      </x:c>
      <x:c r="B2026" s="20" t="n">
        <x:v>45923</x:v>
      </x:c>
      <x:c r="C2026" t="str">
        <x:v>C0201</x:v>
      </x:c>
      <x:c r="D2026" t="str">
        <x:v>Metro Hotel 201</x:v>
      </x:c>
      <x:c r="E2026" t="str">
        <x:v>Kirana</x:v>
      </x:c>
      <x:c r="F2026" t="str">
        <x:v>Mysuru</x:v>
      </x:c>
      <x:c r="G2026" t="str">
        <x:v>Imran</x:v>
      </x:c>
      <x:c r="H2026" t="str">
        <x:v>P034</x:v>
      </x:c>
      <x:c r="I2026" t="str">
        <x:v>Chilli Powder 1kg</x:v>
      </x:c>
      <x:c r="J2026" t="str">
        <x:v>Spices</x:v>
      </x:c>
      <x:c r="K2026" t="str">
        <x:v>MDH</x:v>
      </x:c>
      <x:c r="L2026" s="22" t="n">
        <x:v>340</x:v>
      </x:c>
      <x:c r="M2026" t="n">
        <x:v>10</x:v>
      </x:c>
      <x:c r="N2026" s="24" t="n">
        <x:v>0.05</x:v>
      </x:c>
      <x:c r="O2026" s="22" t="n">
        <x:f>L2026*M2026</x:f>
        <x:v>3400</x:v>
      </x:c>
      <x:c r="P2026" s="22" t="n">
        <x:f>O2026*(1-N2026)</x:f>
        <x:v>3230</x:v>
      </x:c>
      <x:c r="Q2026" s="22" t="n">
        <x:v>295</x:v>
      </x:c>
      <x:c r="R2026" s="22" t="n">
        <x:f>Q2026*M2026</x:f>
        <x:v>2950</x:v>
      </x:c>
      <x:c r="S2026" s="22" t="n">
        <x:f>P2026-R2026</x:f>
        <x:v>280</x:v>
      </x:c>
      <x:c r="T2026" t="str">
        <x:v>Credit</x:v>
      </x:c>
      <x:c r="U2026" t="str">
        <x:v>Paid</x:v>
      </x:c>
      <x:c r="V2026" t="str">
        <x:v>Delivered</x:v>
      </x:c>
      <x:c r="W2026" t="n">
        <x:v>0</x:v>
      </x:c>
      <x:c r="X2026" t="str"/>
      <x:c r="Y2026" t="str">
        <x:v>Referral</x:v>
      </x:c>
    </x:row>
    <x:row r="2027">
      <x:c r="A2027" t="str">
        <x:v>O002026</x:v>
      </x:c>
      <x:c r="B2027" s="20" t="n">
        <x:v>45719</x:v>
      </x:c>
      <x:c r="C2027" t="str">
        <x:v>C0053</x:v>
      </x:c>
      <x:c r="D2027" t="str">
        <x:v>Fresh Cafe 53</x:v>
      </x:c>
      <x:c r="E2027" t="str">
        <x:v>Supermarket</x:v>
      </x:c>
      <x:c r="F2027" t="str">
        <x:v>Mangaluru</x:v>
      </x:c>
      <x:c r="G2027" t="str">
        <x:v>Megha</x:v>
      </x:c>
      <x:c r="H2027" t="str">
        <x:v>P012</x:v>
      </x:c>
      <x:c r="I2027" t="str">
        <x:v>Maida 10kg</x:v>
      </x:c>
      <x:c r="J2027" t="str">
        <x:v>Flour</x:v>
      </x:c>
      <x:c r="K2027" t="str">
        <x:v>Aashirvaad</x:v>
      </x:c>
      <x:c r="L2027" s="22" t="n">
        <x:v>520</x:v>
      </x:c>
      <x:c r="M2027" t="n">
        <x:v>12</x:v>
      </x:c>
      <x:c r="N2027" s="24" t="n">
        <x:v>0</x:v>
      </x:c>
      <x:c r="O2027" s="22" t="n">
        <x:f>L2027*M2027</x:f>
        <x:v>6240</x:v>
      </x:c>
      <x:c r="P2027" s="22" t="n">
        <x:f>O2027*(1-N2027)</x:f>
        <x:v>6240</x:v>
      </x:c>
      <x:c r="Q2027" s="22" t="n">
        <x:v>460</x:v>
      </x:c>
      <x:c r="R2027" s="22" t="n">
        <x:f>Q2027*M2027</x:f>
        <x:v>5520</x:v>
      </x:c>
      <x:c r="S2027" s="22" t="n">
        <x:f>P2027-R2027</x:f>
        <x:v>720</x:v>
      </x:c>
      <x:c r="T2027" t="str">
        <x:v>Bank Transfer</x:v>
      </x:c>
      <x:c r="U2027" t="str">
        <x:v>Paid</x:v>
      </x:c>
      <x:c r="V2027" t="str">
        <x:v>Delivered</x:v>
      </x:c>
      <x:c r="W2027" t="n">
        <x:v>0</x:v>
      </x:c>
      <x:c r="X2027" t="str"/>
      <x:c r="Y2027" t="str">
        <x:v>WhatsApp</x:v>
      </x:c>
    </x:row>
    <x:row r="2028">
      <x:c r="A2028" t="str">
        <x:v>O002027</x:v>
      </x:c>
      <x:c r="B2028" s="20" t="n">
        <x:v>46094</x:v>
      </x:c>
      <x:c r="C2028" t="str">
        <x:v>C0167</x:v>
      </x:c>
      <x:c r="D2028" t="str">
        <x:v>Foodie Canteen 167</x:v>
      </x:c>
      <x:c r="E2028" t="str">
        <x:v>Canteen</x:v>
      </x:c>
      <x:c r="F2028" t="str">
        <x:v>Bengaluru</x:v>
      </x:c>
      <x:c r="G2028" t="str">
        <x:v>Megha</x:v>
      </x:c>
      <x:c r="H2028" t="str">
        <x:v>P032</x:v>
      </x:c>
      <x:c r="I2028" t="str">
        <x:v>Soy Sauce 700g</x:v>
      </x:c>
      <x:c r="J2028" t="str">
        <x:v>Condiments</x:v>
      </x:c>
      <x:c r="K2028" t="str">
        <x:v>Ching's</x:v>
      </x:c>
      <x:c r="L2028" s="22" t="n">
        <x:v>118</x:v>
      </x:c>
      <x:c r="M2028" t="n">
        <x:v>39</x:v>
      </x:c>
      <x:c r="N2028" s="24" t="n">
        <x:v>0</x:v>
      </x:c>
      <x:c r="O2028" s="22" t="n">
        <x:f>L2028*M2028</x:f>
        <x:v>4602</x:v>
      </x:c>
      <x:c r="P2028" s="22" t="n">
        <x:f>O2028*(1-N2028)</x:f>
        <x:v>4602</x:v>
      </x:c>
      <x:c r="Q2028" s="22" t="n">
        <x:v>101</x:v>
      </x:c>
      <x:c r="R2028" s="22" t="n">
        <x:f>Q2028*M2028</x:f>
        <x:v>3939</x:v>
      </x:c>
      <x:c r="S2028" s="22" t="n">
        <x:f>P2028-R2028</x:f>
        <x:v>663</x:v>
      </x:c>
      <x:c r="T2028" t="str">
        <x:v>Credit</x:v>
      </x:c>
      <x:c r="U2028" t="str">
        <x:v>Paid</x:v>
      </x:c>
      <x:c r="V2028" t="str">
        <x:v>Delivered</x:v>
      </x:c>
      <x:c r="W2028" t="n">
        <x:v>3</x:v>
      </x:c>
      <x:c r="X2028" t="str">
        <x:v>Wrong Item</x:v>
      </x:c>
      <x:c r="Y2028" t="str">
        <x:v>Existing Customer</x:v>
      </x:c>
    </x:row>
    <x:row r="2029">
      <x:c r="A2029" t="str">
        <x:v>O002028</x:v>
      </x:c>
      <x:c r="B2029" s="20" t="n">
        <x:v>45953</x:v>
      </x:c>
      <x:c r="C2029" t="str">
        <x:v>C0096</x:v>
      </x:c>
      <x:c r="D2029" t="str">
        <x:v>Metro Foods 96</x:v>
      </x:c>
      <x:c r="E2029" t="str">
        <x:v>Kirana</x:v>
      </x:c>
      <x:c r="F2029" t="str">
        <x:v>Davanagere</x:v>
      </x:c>
      <x:c r="G2029" t="str">
        <x:v>Vikram</x:v>
      </x:c>
      <x:c r="H2029" t="str">
        <x:v>P008</x:v>
      </x:c>
      <x:c r="I2029" t="str">
        <x:v>Palm Oil 15L</x:v>
      </x:c>
      <x:c r="J2029" t="str">
        <x:v>Edible Oil</x:v>
      </x:c>
      <x:c r="K2029" t="str">
        <x:v>Ruchi Gold</x:v>
      </x:c>
      <x:c r="L2029" s="22" t="n">
        <x:v>1760</x:v>
      </x:c>
      <x:c r="M2029" t="n">
        <x:v>9</x:v>
      </x:c>
      <x:c r="N2029" s="24" t="n">
        <x:v>0.03</x:v>
      </x:c>
      <x:c r="O2029" s="22" t="n">
        <x:f>L2029*M2029</x:f>
        <x:v>15840</x:v>
      </x:c>
      <x:c r="P2029" s="22" t="n">
        <x:f>O2029*(1-N2029)</x:f>
        <x:v>15364.8</x:v>
      </x:c>
      <x:c r="Q2029" s="22" t="n">
        <x:v>1610</x:v>
      </x:c>
      <x:c r="R2029" s="22" t="n">
        <x:f>Q2029*M2029</x:f>
        <x:v>14490</x:v>
      </x:c>
      <x:c r="S2029" s="22" t="n">
        <x:f>P2029-R2029</x:f>
        <x:v>874.7999999999993</x:v>
      </x:c>
      <x:c r="T2029" t="str">
        <x:v>Bank Transfer</x:v>
      </x:c>
      <x:c r="U2029" t="str">
        <x:v>Paid</x:v>
      </x:c>
      <x:c r="V2029" t="str">
        <x:v>Delivered</x:v>
      </x:c>
      <x:c r="W2029" t="n">
        <x:v>0</x:v>
      </x:c>
      <x:c r="X2029" t="str"/>
      <x:c r="Y2029" t="str">
        <x:v>WhatsApp</x:v>
      </x:c>
    </x:row>
    <x:row r="2030">
      <x:c r="A2030" t="str">
        <x:v>O002029</x:v>
      </x:c>
      <x:c r="B2030" s="20" t="n">
        <x:v>46256</x:v>
      </x:c>
      <x:c r="C2030" t="str">
        <x:v>C0003</x:v>
      </x:c>
      <x:c r="D2030" t="str">
        <x:v>Grand Foods 3</x:v>
      </x:c>
      <x:c r="E2030" t="str">
        <x:v>Restaurant</x:v>
      </x:c>
      <x:c r="F2030" t="str">
        <x:v>Bengaluru</x:v>
      </x:c>
      <x:c r="G2030" t="str">
        <x:v>Vikram</x:v>
      </x:c>
      <x:c r="H2030" t="str">
        <x:v>P014</x:v>
      </x:c>
      <x:c r="I2030" t="str">
        <x:v>Rava 5kg</x:v>
      </x:c>
      <x:c r="J2030" t="str">
        <x:v>Flour</x:v>
      </x:c>
      <x:c r="K2030" t="str">
        <x:v>Local Select</x:v>
      </x:c>
      <x:c r="L2030" s="22" t="n">
        <x:v>245</x:v>
      </x:c>
      <x:c r="M2030" t="n">
        <x:v>12</x:v>
      </x:c>
      <x:c r="N2030" s="24" t="n">
        <x:v>0</x:v>
      </x:c>
      <x:c r="O2030" s="22" t="n">
        <x:f>L2030*M2030</x:f>
        <x:v>2940</x:v>
      </x:c>
      <x:c r="P2030" s="22" t="n">
        <x:f>O2030*(1-N2030)</x:f>
        <x:v>2940</x:v>
      </x:c>
      <x:c r="Q2030" s="22" t="n">
        <x:v>215</x:v>
      </x:c>
      <x:c r="R2030" s="22" t="n">
        <x:f>Q2030*M2030</x:f>
        <x:v>2580</x:v>
      </x:c>
      <x:c r="S2030" s="22" t="n">
        <x:f>P2030-R2030</x:f>
        <x:v>360</x:v>
      </x:c>
      <x:c r="T2030" t="str">
        <x:v>Bank Transfer</x:v>
      </x:c>
      <x:c r="U2030" t="str">
        <x:v>Pending</x:v>
      </x:c>
      <x:c r="V2030" t="str">
        <x:v>Delayed</x:v>
      </x:c>
      <x:c r="W2030" t="n">
        <x:v>0</x:v>
      </x:c>
      <x:c r="X2030" t="str"/>
      <x:c r="Y2030" t="str"/>
    </x:row>
    <x:row r="2031">
      <x:c r="A2031" t="str">
        <x:v>O002030</x:v>
      </x:c>
      <x:c r="B2031" s="20" t="n">
        <x:v>45846</x:v>
      </x:c>
      <x:c r="C2031" t="str">
        <x:v>C0228</x:v>
      </x:c>
      <x:c r="D2031" t="str">
        <x:v>Metro Foods 228</x:v>
      </x:c>
      <x:c r="E2031" t="str">
        <x:v>Supermarket</x:v>
      </x:c>
      <x:c r="F2031" t="str">
        <x:v>Davanagere</x:v>
      </x:c>
      <x:c r="G2031" t="str">
        <x:v>Sneha</x:v>
      </x:c>
      <x:c r="H2031" t="str">
        <x:v>P018</x:v>
      </x:c>
      <x:c r="I2031" t="str">
        <x:v>Paneer 1kg</x:v>
      </x:c>
      <x:c r="J2031" t="str">
        <x:v>Dairy</x:v>
      </x:c>
      <x:c r="K2031" t="str">
        <x:v>Milky Mist</x:v>
      </x:c>
      <x:c r="L2031" s="22" t="n">
        <x:v>410</x:v>
      </x:c>
      <x:c r="M2031" t="n">
        <x:v>26</x:v>
      </x:c>
      <x:c r="N2031" s="24" t="n">
        <x:v>0.02</x:v>
      </x:c>
      <x:c r="O2031" s="22" t="n">
        <x:f>L2031*M2031</x:f>
        <x:v>10660</x:v>
      </x:c>
      <x:c r="P2031" s="22" t="n">
        <x:f>O2031*(1-N2031)</x:f>
        <x:v>10446.8</x:v>
      </x:c>
      <x:c r="Q2031" s="22" t="n">
        <x:v>370</x:v>
      </x:c>
      <x:c r="R2031" s="22" t="n">
        <x:f>Q2031*M2031</x:f>
        <x:v>9620</x:v>
      </x:c>
      <x:c r="S2031" s="22" t="n">
        <x:f>P2031-R2031</x:f>
        <x:v>826.7999999999993</x:v>
      </x:c>
      <x:c r="T2031" t="str">
        <x:v>UPI</x:v>
      </x:c>
      <x:c r="U2031" t="str">
        <x:v>Paid</x:v>
      </x:c>
      <x:c r="V2031" t="str">
        <x:v>Delayed</x:v>
      </x:c>
      <x:c r="W2031" t="n">
        <x:v>0</x:v>
      </x:c>
      <x:c r="X2031" t="str"/>
      <x:c r="Y2031" t="str">
        <x:v>Outbound Call</x:v>
      </x:c>
    </x:row>
    <x:row r="2032">
      <x:c r="A2032" t="str">
        <x:v>O002031</x:v>
      </x:c>
      <x:c r="B2032" s="20" t="n">
        <x:v>45677</x:v>
      </x:c>
      <x:c r="C2032" t="str">
        <x:v>C0116</x:v>
      </x:c>
      <x:c r="D2032" t="str">
        <x:v>Classic Foods 116</x:v>
      </x:c>
      <x:c r="E2032" t="str">
        <x:v>Supermarket</x:v>
      </x:c>
      <x:c r="F2032" t="str">
        <x:v>Davanagere</x:v>
      </x:c>
      <x:c r="G2032" t="str">
        <x:v>Megha</x:v>
      </x:c>
      <x:c r="H2032" t="str">
        <x:v>P030</x:v>
      </x:c>
      <x:c r="I2032" t="str">
        <x:v>Mayonnaise 1kg</x:v>
      </x:c>
      <x:c r="J2032" t="str">
        <x:v>Condiments</x:v>
      </x:c>
      <x:c r="K2032" t="str">
        <x:v>Veeba</x:v>
      </x:c>
      <x:c r="L2032" s="22" t="n">
        <x:v>210</x:v>
      </x:c>
      <x:c r="M2032" t="n">
        <x:v>14</x:v>
      </x:c>
      <x:c r="N2032" s="24" t="n">
        <x:v>0.05</x:v>
      </x:c>
      <x:c r="O2032" s="22" t="n">
        <x:f>L2032*M2032</x:f>
        <x:v>2940</x:v>
      </x:c>
      <x:c r="P2032" s="22" t="n">
        <x:f>O2032*(1-N2032)</x:f>
        <x:v>2793</x:v>
      </x:c>
      <x:c r="Q2032" s="22" t="n">
        <x:v>185</x:v>
      </x:c>
      <x:c r="R2032" s="22" t="n">
        <x:f>Q2032*M2032</x:f>
        <x:v>2590</x:v>
      </x:c>
      <x:c r="S2032" s="22" t="n">
        <x:f>P2032-R2032</x:f>
        <x:v>203</x:v>
      </x:c>
      <x:c r="T2032" t="str">
        <x:v>UPI</x:v>
      </x:c>
      <x:c r="U2032" t="str">
        <x:v>Paid</x:v>
      </x:c>
      <x:c r="V2032" t="str">
        <x:v>Delivered</x:v>
      </x:c>
      <x:c r="W2032" t="n">
        <x:v>0</x:v>
      </x:c>
      <x:c r="X2032" t="str"/>
      <x:c r="Y2032" t="str">
        <x:v>Outbound Call</x:v>
      </x:c>
    </x:row>
    <x:row r="2033">
      <x:c r="A2033" t="str">
        <x:v>O002032</x:v>
      </x:c>
      <x:c r="B2033" s="20" t="n">
        <x:v>45691</x:v>
      </x:c>
      <x:c r="C2033" t="str">
        <x:v>C0176</x:v>
      </x:c>
      <x:c r="D2033" t="str">
        <x:v>Cafe Kitchen 176</x:v>
      </x:c>
      <x:c r="E2033" t="str">
        <x:v>Kirana</x:v>
      </x:c>
      <x:c r="F2033" t="str">
        <x:v>Mysuru</x:v>
      </x:c>
      <x:c r="G2033" t="str">
        <x:v>Priya</x:v>
      </x:c>
      <x:c r="H2033" t="str">
        <x:v>P001</x:v>
      </x:c>
      <x:c r="I2033" t="str">
        <x:v>Steam Rice 25kg</x:v>
      </x:c>
      <x:c r="J2033" t="str">
        <x:v>Staples</x:v>
      </x:c>
      <x:c r="K2033" t="str">
        <x:v>Aishwarya</x:v>
      </x:c>
      <x:c r="L2033" s="22" t="n">
        <x:v>1180</x:v>
      </x:c>
      <x:c r="M2033" t="n">
        <x:v>10</x:v>
      </x:c>
      <x:c r="N2033" s="24" t="n">
        <x:v>0</x:v>
      </x:c>
      <x:c r="O2033" s="22" t="n">
        <x:f>L2033*M2033</x:f>
        <x:v>11800</x:v>
      </x:c>
      <x:c r="P2033" s="22" t="n">
        <x:f>O2033*(1-N2033)</x:f>
        <x:v>11800</x:v>
      </x:c>
      <x:c r="Q2033" s="22" t="n">
        <x:v>1040</x:v>
      </x:c>
      <x:c r="R2033" s="22" t="n">
        <x:f>Q2033*M2033</x:f>
        <x:v>10400</x:v>
      </x:c>
      <x:c r="S2033" s="22" t="n">
        <x:f>P2033-R2033</x:f>
        <x:v>1400</x:v>
      </x:c>
      <x:c r="T2033" t="str">
        <x:v>Bank Transfer</x:v>
      </x:c>
      <x:c r="U2033" t="str">
        <x:v>Paid</x:v>
      </x:c>
      <x:c r="V2033" t="str">
        <x:v>Delivered</x:v>
      </x:c>
      <x:c r="W2033" t="n">
        <x:v>0</x:v>
      </x:c>
      <x:c r="X2033" t="str"/>
      <x:c r="Y2033" t="str">
        <x:v>Field Visit</x:v>
      </x:c>
    </x:row>
    <x:row r="2034">
      <x:c r="A2034" t="str">
        <x:v>O002033</x:v>
      </x:c>
      <x:c r="B2034" s="20" t="n">
        <x:v>46109</x:v>
      </x:c>
      <x:c r="C2034" t="str">
        <x:v>C0058</x:v>
      </x:c>
      <x:c r="D2034" t="str">
        <x:v>Spice Kitchen 58</x:v>
      </x:c>
      <x:c r="E2034" t="str">
        <x:v>Supermarket</x:v>
      </x:c>
      <x:c r="F2034" t="str">
        <x:v>Davanagere</x:v>
      </x:c>
      <x:c r="G2034" t="str">
        <x:v>Sneha</x:v>
      </x:c>
      <x:c r="H2034" t="str">
        <x:v>P008</x:v>
      </x:c>
      <x:c r="I2034" t="str">
        <x:v>Palm Oil 15L</x:v>
      </x:c>
      <x:c r="J2034" t="str">
        <x:v>Edible Oil</x:v>
      </x:c>
      <x:c r="K2034" t="str">
        <x:v>Ruchi Gold</x:v>
      </x:c>
      <x:c r="L2034" s="22" t="n">
        <x:v>1760</x:v>
      </x:c>
      <x:c r="M2034" t="n">
        <x:v>10</x:v>
      </x:c>
      <x:c r="N2034" s="24" t="n">
        <x:v>0.02</x:v>
      </x:c>
      <x:c r="O2034" s="22" t="n">
        <x:f>L2034*M2034</x:f>
        <x:v>17600</x:v>
      </x:c>
      <x:c r="P2034" s="22" t="n">
        <x:f>O2034*(1-N2034)</x:f>
        <x:v>17248</x:v>
      </x:c>
      <x:c r="Q2034" s="22" t="n">
        <x:v>1610</x:v>
      </x:c>
      <x:c r="R2034" s="22" t="n">
        <x:f>Q2034*M2034</x:f>
        <x:v>16100</x:v>
      </x:c>
      <x:c r="S2034" s="22" t="n">
        <x:f>P2034-R2034</x:f>
        <x:v>1148</x:v>
      </x:c>
      <x:c r="T2034" t="str">
        <x:v>Credit</x:v>
      </x:c>
      <x:c r="U2034" t="str">
        <x:v>Paid</x:v>
      </x:c>
      <x:c r="V2034" t="str">
        <x:v>Delivered</x:v>
      </x:c>
      <x:c r="W2034" t="n">
        <x:v>0</x:v>
      </x:c>
      <x:c r="X2034" t="str"/>
      <x:c r="Y2034" t="str">
        <x:v>Outbound Call</x:v>
      </x:c>
    </x:row>
    <x:row r="2035">
      <x:c r="A2035" t="str">
        <x:v>O002034</x:v>
      </x:c>
      <x:c r="B2035" s="20" t="n">
        <x:v>45691</x:v>
      </x:c>
      <x:c r="C2035" t="str">
        <x:v>C0246</x:v>
      </x:c>
      <x:c r="D2035" t="str">
        <x:v>City Hotel 246</x:v>
      </x:c>
      <x:c r="E2035" t="str">
        <x:v>Supermarket</x:v>
      </x:c>
      <x:c r="F2035" t="str">
        <x:v>Mangaluru</x:v>
      </x:c>
      <x:c r="G2035" t="str">
        <x:v>Kavya</x:v>
      </x:c>
      <x:c r="H2035" t="str">
        <x:v>P037</x:v>
      </x:c>
      <x:c r="I2035" t="str">
        <x:v>Frozen Peas 1kg</x:v>
      </x:c>
      <x:c r="J2035" t="str">
        <x:v>Frozen</x:v>
      </x:c>
      <x:c r="K2035" t="str">
        <x:v>Safal</x:v>
      </x:c>
      <x:c r="L2035" s="22" t="n">
        <x:v>155</x:v>
      </x:c>
      <x:c r="M2035" t="n">
        <x:v>26</x:v>
      </x:c>
      <x:c r="N2035" s="24" t="n">
        <x:v>0.05</x:v>
      </x:c>
      <x:c r="O2035" s="22" t="n">
        <x:f>L2035*M2035</x:f>
        <x:v>4030</x:v>
      </x:c>
      <x:c r="P2035" s="22" t="n">
        <x:f>O2035*(1-N2035)</x:f>
        <x:v>3828.5</x:v>
      </x:c>
      <x:c r="Q2035" s="22" t="n">
        <x:v>138</x:v>
      </x:c>
      <x:c r="R2035" s="22" t="n">
        <x:f>Q2035*M2035</x:f>
        <x:v>3588</x:v>
      </x:c>
      <x:c r="S2035" s="22" t="n">
        <x:f>P2035-R2035</x:f>
        <x:v>240.5</x:v>
      </x:c>
      <x:c r="T2035" t="str">
        <x:v>Cash</x:v>
      </x:c>
      <x:c r="U2035" t="str">
        <x:v>Paid</x:v>
      </x:c>
      <x:c r="V2035" t="str">
        <x:v>Delivered</x:v>
      </x:c>
      <x:c r="W2035" t="n">
        <x:v>0</x:v>
      </x:c>
      <x:c r="X2035" t="str"/>
      <x:c r="Y2035" t="str">
        <x:v>Existing Customer</x:v>
      </x:c>
    </x:row>
    <x:row r="2036">
      <x:c r="A2036" t="str">
        <x:v>O002035</x:v>
      </x:c>
      <x:c r="B2036" s="20" t="n">
        <x:v>45990</x:v>
      </x:c>
      <x:c r="C2036" t="str">
        <x:v>C0210</x:v>
      </x:c>
      <x:c r="D2036" t="str">
        <x:v>Spice Stores 210</x:v>
      </x:c>
      <x:c r="E2036" t="str">
        <x:v>Cafe</x:v>
      </x:c>
      <x:c r="F2036" t="str">
        <x:v>Davanagere</x:v>
      </x:c>
      <x:c r="G2036" t="str">
        <x:v>Imran</x:v>
      </x:c>
      <x:c r="H2036" t="str">
        <x:v>P036</x:v>
      </x:c>
      <x:c r="I2036" t="str">
        <x:v>Garam Masala 500g</x:v>
      </x:c>
      <x:c r="J2036" t="str">
        <x:v>Spices</x:v>
      </x:c>
      <x:c r="K2036" t="str">
        <x:v>MDH</x:v>
      </x:c>
      <x:c r="L2036" s="22" t="n">
        <x:v>265</x:v>
      </x:c>
      <x:c r="M2036" t="n">
        <x:v>7</x:v>
      </x:c>
      <x:c r="N2036" s="24" t="n">
        <x:v>0.05</x:v>
      </x:c>
      <x:c r="O2036" s="22" t="n">
        <x:f>L2036*M2036</x:f>
        <x:v>1855</x:v>
      </x:c>
      <x:c r="P2036" s="22" t="n">
        <x:f>O2036*(1-N2036)</x:f>
        <x:v>1762.25</x:v>
      </x:c>
      <x:c r="Q2036" s="22" t="n">
        <x:v>230</x:v>
      </x:c>
      <x:c r="R2036" s="22" t="n">
        <x:f>Q2036*M2036</x:f>
        <x:v>1610</x:v>
      </x:c>
      <x:c r="S2036" s="22" t="n">
        <x:f>P2036-R2036</x:f>
        <x:v>152.25</x:v>
      </x:c>
      <x:c r="T2036" t="str">
        <x:v>Bank Transfer</x:v>
      </x:c>
      <x:c r="U2036" t="str">
        <x:v>Pending</x:v>
      </x:c>
      <x:c r="V2036" t="str">
        <x:v>Delivered</x:v>
      </x:c>
      <x:c r="W2036" t="n">
        <x:v>0</x:v>
      </x:c>
      <x:c r="X2036" t="str"/>
      <x:c r="Y2036" t="str">
        <x:v>Referral</x:v>
      </x:c>
    </x:row>
    <x:row r="2037">
      <x:c r="A2037" t="str">
        <x:v>O002036</x:v>
      </x:c>
      <x:c r="B2037" s="20" t="n">
        <x:v>46211</x:v>
      </x:c>
      <x:c r="C2037" t="str">
        <x:v>C0127</x:v>
      </x:c>
      <x:c r="D2037" t="str">
        <x:v>Grand Mart 127</x:v>
      </x:c>
      <x:c r="E2037" t="str">
        <x:v>Canteen</x:v>
      </x:c>
      <x:c r="F2037" t="str">
        <x:v>Hubballi</x:v>
      </x:c>
      <x:c r="G2037" t="str">
        <x:v>Imran</x:v>
      </x:c>
      <x:c r="H2037" t="str">
        <x:v>P012</x:v>
      </x:c>
      <x:c r="I2037" t="str">
        <x:v>Maida 10kg</x:v>
      </x:c>
      <x:c r="J2037" t="str">
        <x:v>Flour</x:v>
      </x:c>
      <x:c r="K2037" t="str">
        <x:v>Aashirvaad</x:v>
      </x:c>
      <x:c r="L2037" s="22" t="n">
        <x:v>520</x:v>
      </x:c>
      <x:c r="M2037" t="n">
        <x:v>6</x:v>
      </x:c>
      <x:c r="N2037" s="24" t="n">
        <x:v>0</x:v>
      </x:c>
      <x:c r="O2037" s="22" t="n">
        <x:f>L2037*M2037</x:f>
        <x:v>3120</x:v>
      </x:c>
      <x:c r="P2037" s="22" t="n">
        <x:f>O2037*(1-N2037)</x:f>
        <x:v>3120</x:v>
      </x:c>
      <x:c r="Q2037" s="22" t="n">
        <x:v>460</x:v>
      </x:c>
      <x:c r="R2037" s="22" t="n">
        <x:f>Q2037*M2037</x:f>
        <x:v>2760</x:v>
      </x:c>
      <x:c r="S2037" s="22" t="n">
        <x:f>P2037-R2037</x:f>
        <x:v>360</x:v>
      </x:c>
      <x:c r="T2037" t="str">
        <x:v>UPI</x:v>
      </x:c>
      <x:c r="U2037" t="str">
        <x:v>Pending</x:v>
      </x:c>
      <x:c r="V2037" t="str">
        <x:v>Delivered</x:v>
      </x:c>
      <x:c r="W2037" t="n">
        <x:v>0</x:v>
      </x:c>
      <x:c r="X2037" t="str"/>
      <x:c r="Y2037" t="str">
        <x:v>Outbound Call</x:v>
      </x:c>
    </x:row>
    <x:row r="2038">
      <x:c r="A2038" t="str">
        <x:v>O002037</x:v>
      </x:c>
      <x:c r="B2038" s="20" t="n">
        <x:v>46097</x:v>
      </x:c>
      <x:c r="C2038" t="str">
        <x:v>C0198</x:v>
      </x:c>
      <x:c r="D2038" t="str">
        <x:v>Royal Canteen 198</x:v>
      </x:c>
      <x:c r="E2038" t="str">
        <x:v>Supermarket</x:v>
      </x:c>
      <x:c r="F2038" t="str">
        <x:v>Davanagere</x:v>
      </x:c>
      <x:c r="G2038" t="str">
        <x:v>Arjun</x:v>
      </x:c>
      <x:c r="H2038" t="str">
        <x:v>P037</x:v>
      </x:c>
      <x:c r="I2038" t="str">
        <x:v>Frozen Peas 1kg</x:v>
      </x:c>
      <x:c r="J2038" t="str">
        <x:v>Frozen</x:v>
      </x:c>
      <x:c r="K2038" t="str">
        <x:v>Safal</x:v>
      </x:c>
      <x:c r="L2038" s="22" t="n">
        <x:v>155</x:v>
      </x:c>
      <x:c r="M2038" t="n">
        <x:v>4</x:v>
      </x:c>
      <x:c r="N2038" s="24" t="n">
        <x:v>0</x:v>
      </x:c>
      <x:c r="O2038" s="22" t="n">
        <x:f>L2038*M2038</x:f>
        <x:v>620</x:v>
      </x:c>
      <x:c r="P2038" s="22" t="n">
        <x:f>O2038*(1-N2038)</x:f>
        <x:v>620</x:v>
      </x:c>
      <x:c r="Q2038" s="22" t="n">
        <x:v>138</x:v>
      </x:c>
      <x:c r="R2038" s="22" t="n">
        <x:f>Q2038*M2038</x:f>
        <x:v>552</x:v>
      </x:c>
      <x:c r="S2038" s="22" t="n">
        <x:f>P2038-R2038</x:f>
        <x:v>68</x:v>
      </x:c>
      <x:c r="T2038" t="str">
        <x:v>Credit</x:v>
      </x:c>
      <x:c r="U2038" t="str">
        <x:v>Paid</x:v>
      </x:c>
      <x:c r="V2038" t="str">
        <x:v>Delivered</x:v>
      </x:c>
      <x:c r="W2038" t="n">
        <x:v>0</x:v>
      </x:c>
      <x:c r="X2038" t="str"/>
      <x:c r="Y2038" t="str">
        <x:v>Field Visit</x:v>
      </x:c>
    </x:row>
    <x:row r="2039">
      <x:c r="A2039" t="str">
        <x:v>O002038</x:v>
      </x:c>
      <x:c r="B2039" s="20" t="n">
        <x:v>46224</x:v>
      </x:c>
      <x:c r="C2039" t="str">
        <x:v>C0117</x:v>
      </x:c>
      <x:c r="D2039" t="str">
        <x:v>Classic Canteen 117</x:v>
      </x:c>
      <x:c r="E2039" t="str">
        <x:v>Restaurant</x:v>
      </x:c>
      <x:c r="F2039" t="str">
        <x:v>Hubballi</x:v>
      </x:c>
      <x:c r="G2039" t="str">
        <x:v>Megha</x:v>
      </x:c>
      <x:c r="H2039" t="str">
        <x:v>P011</x:v>
      </x:c>
      <x:c r="I2039" t="str">
        <x:v>Salt 1kg</x:v>
      </x:c>
      <x:c r="J2039" t="str">
        <x:v>Staples</x:v>
      </x:c>
      <x:c r="K2039" t="str">
        <x:v>Tata</x:v>
      </x:c>
      <x:c r="L2039" s="22" t="n">
        <x:v>28</x:v>
      </x:c>
      <x:c r="M2039" t="n">
        <x:v>20</x:v>
      </x:c>
      <x:c r="N2039" s="24" t="n">
        <x:v>0.02</x:v>
      </x:c>
      <x:c r="O2039" s="22" t="n">
        <x:f>L2039*M2039</x:f>
        <x:v>560</x:v>
      </x:c>
      <x:c r="P2039" s="22" t="n">
        <x:f>O2039*(1-N2039)</x:f>
        <x:v>548.8</x:v>
      </x:c>
      <x:c r="Q2039" s="22" t="n">
        <x:v>23</x:v>
      </x:c>
      <x:c r="R2039" s="22" t="n">
        <x:f>Q2039*M2039</x:f>
        <x:v>460</x:v>
      </x:c>
      <x:c r="S2039" s="22" t="n">
        <x:f>P2039-R2039</x:f>
        <x:v>88.79999999999995</x:v>
      </x:c>
      <x:c r="T2039" t="str">
        <x:v>Bank Transfer</x:v>
      </x:c>
      <x:c r="U2039" t="str">
        <x:v>Paid</x:v>
      </x:c>
      <x:c r="V2039" t="str">
        <x:v>Delivered</x:v>
      </x:c>
      <x:c r="W2039" t="n">
        <x:v>0</x:v>
      </x:c>
      <x:c r="X2039" t="str"/>
      <x:c r="Y2039" t="str">
        <x:v>Existing Customer</x:v>
      </x:c>
    </x:row>
    <x:row r="2040">
      <x:c r="A2040" t="str">
        <x:v>O002039</x:v>
      </x:c>
      <x:c r="B2040" s="20" t="n">
        <x:v>45658</x:v>
      </x:c>
      <x:c r="C2040" t="str">
        <x:v>C0116</x:v>
      </x:c>
      <x:c r="D2040" t="str">
        <x:v>Classic Foods 116</x:v>
      </x:c>
      <x:c r="E2040" t="str">
        <x:v>Supermarket</x:v>
      </x:c>
      <x:c r="F2040" t="str">
        <x:v>Davanagere</x:v>
      </x:c>
      <x:c r="G2040" t="str">
        <x:v>Megha</x:v>
      </x:c>
      <x:c r="H2040" t="str">
        <x:v>P047</x:v>
      </x:c>
      <x:c r="I2040" t="str">
        <x:v>Tomato 25kg</x:v>
      </x:c>
      <x:c r="J2040" t="str">
        <x:v>Fresh Produce</x:v>
      </x:c>
      <x:c r="K2040" t="str">
        <x:v>Local Market</x:v>
      </x:c>
      <x:c r="L2040" s="22" t="n">
        <x:v>950</x:v>
      </x:c>
      <x:c r="M2040" t="n">
        <x:v>33</x:v>
      </x:c>
      <x:c r="N2040" s="24" t="n">
        <x:v>0.08</x:v>
      </x:c>
      <x:c r="O2040" s="22" t="n">
        <x:f>L2040*M2040</x:f>
        <x:v>31350</x:v>
      </x:c>
      <x:c r="P2040" s="22" t="n">
        <x:f>O2040*(1-N2040)</x:f>
        <x:v>28842</x:v>
      </x:c>
      <x:c r="Q2040" s="22" t="n">
        <x:v>810</x:v>
      </x:c>
      <x:c r="R2040" s="22" t="n">
        <x:f>Q2040*M2040</x:f>
        <x:v>26730</x:v>
      </x:c>
      <x:c r="S2040" s="22" t="n">
        <x:f>P2040-R2040</x:f>
        <x:v>2112</x:v>
      </x:c>
      <x:c r="T2040" t="str">
        <x:v>Credit</x:v>
      </x:c>
      <x:c r="U2040" t="str">
        <x:v>Paid</x:v>
      </x:c>
      <x:c r="V2040" t="str">
        <x:v>Delivered</x:v>
      </x:c>
      <x:c r="W2040" t="n">
        <x:v>0</x:v>
      </x:c>
      <x:c r="X2040" t="str"/>
      <x:c r="Y2040" t="str">
        <x:v>WhatsApp</x:v>
      </x:c>
    </x:row>
    <x:row r="2041">
      <x:c r="A2041" t="str">
        <x:v>O002040</x:v>
      </x:c>
      <x:c r="B2041" s="20" t="n">
        <x:v>45680</x:v>
      </x:c>
      <x:c r="C2041" t="str">
        <x:v>C0193</x:v>
      </x:c>
      <x:c r="D2041" t="str">
        <x:v>Udupi Cafe 193</x:v>
      </x:c>
      <x:c r="E2041" t="str">
        <x:v>Restaurant</x:v>
      </x:c>
      <x:c r="F2041" t="str">
        <x:v>Hubballi</x:v>
      </x:c>
      <x:c r="G2041" t="str">
        <x:v>Sneha</x:v>
      </x:c>
      <x:c r="H2041" t="str">
        <x:v>P027</x:v>
      </x:c>
      <x:c r="I2041" t="str">
        <x:v>Biscuits 120g</x:v>
      </x:c>
      <x:c r="J2041" t="str">
        <x:v>Snacks</x:v>
      </x:c>
      <x:c r="K2041" t="str">
        <x:v>Parle-G</x:v>
      </x:c>
      <x:c r="L2041" s="22" t="n">
        <x:v>12</x:v>
      </x:c>
      <x:c r="M2041" t="n">
        <x:v>11</x:v>
      </x:c>
      <x:c r="N2041" s="24" t="n">
        <x:v>0</x:v>
      </x:c>
      <x:c r="O2041" s="22" t="n">
        <x:f>L2041*M2041</x:f>
        <x:v>132</x:v>
      </x:c>
      <x:c r="P2041" s="22" t="n">
        <x:f>O2041*(1-N2041)</x:f>
        <x:v>132</x:v>
      </x:c>
      <x:c r="Q2041" s="22" t="n">
        <x:v>9</x:v>
      </x:c>
      <x:c r="R2041" s="22" t="n">
        <x:f>Q2041*M2041</x:f>
        <x:v>99</x:v>
      </x:c>
      <x:c r="S2041" s="22" t="n">
        <x:f>P2041-R2041</x:f>
        <x:v>33</x:v>
      </x:c>
      <x:c r="T2041" t="str">
        <x:v>UPI</x:v>
      </x:c>
      <x:c r="U2041" t="str">
        <x:v>Paid</x:v>
      </x:c>
      <x:c r="V2041" t="str">
        <x:v>Delivered</x:v>
      </x:c>
      <x:c r="W2041" t="n">
        <x:v>0</x:v>
      </x:c>
      <x:c r="X2041" t="str"/>
      <x:c r="Y2041" t="str">
        <x:v>Referral</x:v>
      </x:c>
    </x:row>
    <x:row r="2042">
      <x:c r="A2042" t="str">
        <x:v>O002041</x:v>
      </x:c>
      <x:c r="B2042" s="20" t="n">
        <x:v>45737</x:v>
      </x:c>
      <x:c r="C2042" t="str">
        <x:v>C0043</x:v>
      </x:c>
      <x:c r="D2042" t="str">
        <x:v>Namma Kitchen 43</x:v>
      </x:c>
      <x:c r="E2042" t="str">
        <x:v>Supermarket</x:v>
      </x:c>
      <x:c r="F2042" t="str">
        <x:v>Davanagere</x:v>
      </x:c>
      <x:c r="G2042" t="str">
        <x:v>Kavya</x:v>
      </x:c>
      <x:c r="H2042" t="str">
        <x:v>P012</x:v>
      </x:c>
      <x:c r="I2042" t="str">
        <x:v>Maida 10kg</x:v>
      </x:c>
      <x:c r="J2042" t="str">
        <x:v>Flour</x:v>
      </x:c>
      <x:c r="K2042" t="str">
        <x:v>Aashirvaad</x:v>
      </x:c>
      <x:c r="L2042" s="22" t="n">
        <x:v>520</x:v>
      </x:c>
      <x:c r="M2042" t="n">
        <x:v>24</x:v>
      </x:c>
      <x:c r="N2042" s="24" t="n">
        <x:v>0.05</x:v>
      </x:c>
      <x:c r="O2042" s="22" t="n">
        <x:f>L2042*M2042</x:f>
        <x:v>12480</x:v>
      </x:c>
      <x:c r="P2042" s="22" t="n">
        <x:f>O2042*(1-N2042)</x:f>
        <x:v>11856</x:v>
      </x:c>
      <x:c r="Q2042" s="22" t="n">
        <x:v>460</x:v>
      </x:c>
      <x:c r="R2042" s="22" t="n">
        <x:f>Q2042*M2042</x:f>
        <x:v>11040</x:v>
      </x:c>
      <x:c r="S2042" s="22" t="n">
        <x:f>P2042-R2042</x:f>
        <x:v>816</x:v>
      </x:c>
      <x:c r="T2042" t="str">
        <x:v>Cash</x:v>
      </x:c>
      <x:c r="U2042" t="str">
        <x:v>Pending</x:v>
      </x:c>
      <x:c r="V2042" t="str">
        <x:v>Delivered</x:v>
      </x:c>
      <x:c r="W2042" t="n">
        <x:v>0</x:v>
      </x:c>
      <x:c r="X2042" t="str"/>
      <x:c r="Y2042" t="str">
        <x:v>Field Visit</x:v>
      </x:c>
    </x:row>
    <x:row r="2043">
      <x:c r="A2043" t="str">
        <x:v>O002042</x:v>
      </x:c>
      <x:c r="B2043" s="20" t="n">
        <x:v>46256</x:v>
      </x:c>
      <x:c r="C2043" t="str">
        <x:v>C0147</x:v>
      </x:c>
      <x:c r="D2043" t="str">
        <x:v>New Stores 147</x:v>
      </x:c>
      <x:c r="E2043" t="str">
        <x:v>Supermarket</x:v>
      </x:c>
      <x:c r="F2043" t="str">
        <x:v>Hubballi</x:v>
      </x:c>
      <x:c r="G2043" t="str">
        <x:v>Imran</x:v>
      </x:c>
      <x:c r="H2043" t="str">
        <x:v>P003</x:v>
      </x:c>
      <x:c r="I2043" t="str">
        <x:v>Basmati Rice 5kg</x:v>
      </x:c>
      <x:c r="J2043" t="str">
        <x:v>Staples</x:v>
      </x:c>
      <x:c r="K2043" t="str">
        <x:v>India Gate</x:v>
      </x:c>
      <x:c r="L2043" s="22" t="n">
        <x:v>690</x:v>
      </x:c>
      <x:c r="M2043" t="n">
        <x:v>15</x:v>
      </x:c>
      <x:c r="N2043" s="24" t="n">
        <x:v>0</x:v>
      </x:c>
      <x:c r="O2043" s="22" t="n">
        <x:f>L2043*M2043</x:f>
        <x:v>10350</x:v>
      </x:c>
      <x:c r="P2043" s="22" t="n">
        <x:f>O2043*(1-N2043)</x:f>
        <x:v>10350</x:v>
      </x:c>
      <x:c r="Q2043" s="22" t="n">
        <x:v>610</x:v>
      </x:c>
      <x:c r="R2043" s="22" t="n">
        <x:f>Q2043*M2043</x:f>
        <x:v>9150</x:v>
      </x:c>
      <x:c r="S2043" s="22" t="n">
        <x:f>P2043-R2043</x:f>
        <x:v>1200</x:v>
      </x:c>
      <x:c r="T2043" t="str">
        <x:v>Bank Transfer</x:v>
      </x:c>
      <x:c r="U2043" t="str">
        <x:v>Paid</x:v>
      </x:c>
      <x:c r="V2043" t="str">
        <x:v>Delivered</x:v>
      </x:c>
      <x:c r="W2043" t="n">
        <x:v>0</x:v>
      </x:c>
      <x:c r="X2043" t="str"/>
      <x:c r="Y2043" t="str"/>
    </x:row>
    <x:row r="2044">
      <x:c r="A2044" t="str">
        <x:v>O002043</x:v>
      </x:c>
      <x:c r="B2044" s="20" t="n">
        <x:v>46024</x:v>
      </x:c>
      <x:c r="C2044" t="str">
        <x:v>C0043</x:v>
      </x:c>
      <x:c r="D2044" t="str">
        <x:v>Namma Kitchen 43</x:v>
      </x:c>
      <x:c r="E2044" t="str">
        <x:v>Supermarket</x:v>
      </x:c>
      <x:c r="F2044" t="str">
        <x:v>Davanagere</x:v>
      </x:c>
      <x:c r="G2044" t="str">
        <x:v>Kavya</x:v>
      </x:c>
      <x:c r="H2044" t="str">
        <x:v>P016</x:v>
      </x:c>
      <x:c r="I2044" t="str">
        <x:v>Curd 1kg</x:v>
      </x:c>
      <x:c r="J2044" t="str">
        <x:v>Dairy</x:v>
      </x:c>
      <x:c r="K2044" t="str">
        <x:v>Nandini</x:v>
      </x:c>
      <x:c r="L2044" s="22" t="n">
        <x:v>72</x:v>
      </x:c>
      <x:c r="M2044" t="n">
        <x:v>5</x:v>
      </x:c>
      <x:c r="N2044" s="24" t="n">
        <x:v>0</x:v>
      </x:c>
      <x:c r="O2044" s="22" t="n">
        <x:f>L2044*M2044</x:f>
        <x:v>360</x:v>
      </x:c>
      <x:c r="P2044" s="22" t="n">
        <x:f>O2044*(1-N2044)</x:f>
        <x:v>360</x:v>
      </x:c>
      <x:c r="Q2044" s="22" t="n">
        <x:v>64</x:v>
      </x:c>
      <x:c r="R2044" s="22" t="n">
        <x:f>Q2044*M2044</x:f>
        <x:v>320</x:v>
      </x:c>
      <x:c r="S2044" s="22" t="n">
        <x:f>P2044-R2044</x:f>
        <x:v>40</x:v>
      </x:c>
      <x:c r="T2044" t="str">
        <x:v>Cash</x:v>
      </x:c>
      <x:c r="U2044" t="str">
        <x:v>Pending</x:v>
      </x:c>
      <x:c r="V2044" t="str">
        <x:v>Delivered</x:v>
      </x:c>
      <x:c r="W2044" t="n">
        <x:v>0</x:v>
      </x:c>
      <x:c r="X2044" t="str"/>
      <x:c r="Y2044" t="str">
        <x:v>Outbound Call</x:v>
      </x:c>
    </x:row>
    <x:row r="2045">
      <x:c r="A2045" t="str">
        <x:v>O002044</x:v>
      </x:c>
      <x:c r="B2045" s="20" t="n">
        <x:v>45889</x:v>
      </x:c>
      <x:c r="C2045" t="str">
        <x:v>C0227</x:v>
      </x:c>
      <x:c r="D2045" t="str">
        <x:v>Metro Restaurant 227</x:v>
      </x:c>
      <x:c r="E2045" t="str">
        <x:v>Restaurant</x:v>
      </x:c>
      <x:c r="F2045" t="str">
        <x:v>Davanagere</x:v>
      </x:c>
      <x:c r="G2045" t="str">
        <x:v>Kavya</x:v>
      </x:c>
      <x:c r="H2045" t="str">
        <x:v>P047</x:v>
      </x:c>
      <x:c r="I2045" t="str">
        <x:v>Tomato 25kg</x:v>
      </x:c>
      <x:c r="J2045" t="str">
        <x:v>Fresh Produce</x:v>
      </x:c>
      <x:c r="K2045" t="str">
        <x:v>Local Market</x:v>
      </x:c>
      <x:c r="L2045" s="22" t="n">
        <x:v>950</x:v>
      </x:c>
      <x:c r="M2045" t="n">
        <x:v>22</x:v>
      </x:c>
      <x:c r="N2045" s="24" t="n">
        <x:v>0.02</x:v>
      </x:c>
      <x:c r="O2045" s="22" t="n">
        <x:f>L2045*M2045</x:f>
        <x:v>20900</x:v>
      </x:c>
      <x:c r="P2045" s="22" t="n">
        <x:f>O2045*(1-N2045)</x:f>
        <x:v>20482</x:v>
      </x:c>
      <x:c r="Q2045" s="22" t="n">
        <x:v>810</x:v>
      </x:c>
      <x:c r="R2045" s="22" t="n">
        <x:f>Q2045*M2045</x:f>
        <x:v>17820</x:v>
      </x:c>
      <x:c r="S2045" s="22" t="n">
        <x:f>P2045-R2045</x:f>
        <x:v>2662</x:v>
      </x:c>
      <x:c r="T2045" t="str">
        <x:v>UPI</x:v>
      </x:c>
      <x:c r="U2045" t="str">
        <x:v>Paid</x:v>
      </x:c>
      <x:c r="V2045" t="str">
        <x:v>Delivered</x:v>
      </x:c>
      <x:c r="W2045" t="n">
        <x:v>0</x:v>
      </x:c>
      <x:c r="X2045" t="str"/>
      <x:c r="Y2045" t="str">
        <x:v>Existing Customer</x:v>
      </x:c>
    </x:row>
    <x:row r="2046">
      <x:c r="A2046" t="str">
        <x:v>O002045</x:v>
      </x:c>
      <x:c r="B2046" s="20" t="n">
        <x:v>45871</x:v>
      </x:c>
      <x:c r="C2046" t="str">
        <x:v>C0073</x:v>
      </x:c>
      <x:c r="D2046" t="str">
        <x:v>Annapurna Stores 73</x:v>
      </x:c>
      <x:c r="E2046" t="str">
        <x:v>Restaurant</x:v>
      </x:c>
      <x:c r="F2046" t="str">
        <x:v>Davanagere</x:v>
      </x:c>
      <x:c r="G2046" t="str">
        <x:v>Kavya</x:v>
      </x:c>
      <x:c r="H2046" t="str">
        <x:v>P045</x:v>
      </x:c>
      <x:c r="I2046" t="str">
        <x:v>Onion 25kg</x:v>
      </x:c>
      <x:c r="J2046" t="str">
        <x:v>Fresh Produce</x:v>
      </x:c>
      <x:c r="K2046" t="str">
        <x:v>Local Market</x:v>
      </x:c>
      <x:c r="L2046" s="22" t="n">
        <x:v>875</x:v>
      </x:c>
      <x:c r="M2046" t="n">
        <x:v>40</x:v>
      </x:c>
      <x:c r="N2046" s="24" t="n">
        <x:v>0</x:v>
      </x:c>
      <x:c r="O2046" s="22" t="n">
        <x:f>L2046*M2046</x:f>
        <x:v>35000</x:v>
      </x:c>
      <x:c r="P2046" s="22" t="n">
        <x:f>O2046*(1-N2046)</x:f>
        <x:v>35000</x:v>
      </x:c>
      <x:c r="Q2046" s="22" t="n">
        <x:v>760</x:v>
      </x:c>
      <x:c r="R2046" s="22" t="n">
        <x:f>Q2046*M2046</x:f>
        <x:v>30400</x:v>
      </x:c>
      <x:c r="S2046" s="22" t="n">
        <x:f>P2046-R2046</x:f>
        <x:v>4600</x:v>
      </x:c>
      <x:c r="T2046" t="str">
        <x:v>Bank Transfer</x:v>
      </x:c>
      <x:c r="U2046" t="str">
        <x:v>Paid</x:v>
      </x:c>
      <x:c r="V2046" t="str">
        <x:v>Delivered</x:v>
      </x:c>
      <x:c r="W2046" t="n">
        <x:v>0</x:v>
      </x:c>
      <x:c r="X2046" t="str"/>
      <x:c r="Y2046" t="str">
        <x:v>Referral</x:v>
      </x:c>
    </x:row>
    <x:row r="2047">
      <x:c r="A2047" t="str">
        <x:v>O002046</x:v>
      </x:c>
      <x:c r="B2047" s="20" t="n">
        <x:v>46094</x:v>
      </x:c>
      <x:c r="C2047" t="str">
        <x:v>C0042</x:v>
      </x:c>
      <x:c r="D2047" t="str">
        <x:v>Shree Restaurant 42</x:v>
      </x:c>
      <x:c r="E2047" t="str">
        <x:v>Restaurant</x:v>
      </x:c>
      <x:c r="F2047" t="str">
        <x:v>Mysuru</x:v>
      </x:c>
      <x:c r="G2047" t="str">
        <x:v>Arjun</x:v>
      </x:c>
      <x:c r="H2047" t="str">
        <x:v>P038</x:v>
      </x:c>
      <x:c r="I2047" t="str">
        <x:v>French Fries 2.5kg</x:v>
      </x:c>
      <x:c r="J2047" t="str">
        <x:v>Frozen</x:v>
      </x:c>
      <x:c r="K2047" t="str">
        <x:v>McCain</x:v>
      </x:c>
      <x:c r="L2047" s="22" t="n">
        <x:v>360</x:v>
      </x:c>
      <x:c r="M2047" t="n">
        <x:v>9</x:v>
      </x:c>
      <x:c r="N2047" s="24" t="n">
        <x:v>0</x:v>
      </x:c>
      <x:c r="O2047" s="22" t="n">
        <x:f>L2047*M2047</x:f>
        <x:v>3240</x:v>
      </x:c>
      <x:c r="P2047" s="22" t="n">
        <x:f>O2047*(1-N2047)</x:f>
        <x:v>3240</x:v>
      </x:c>
      <x:c r="Q2047" s="22" t="n">
        <x:v>315</x:v>
      </x:c>
      <x:c r="R2047" s="22" t="n">
        <x:f>Q2047*M2047</x:f>
        <x:v>2835</x:v>
      </x:c>
      <x:c r="S2047" s="22" t="n">
        <x:f>P2047-R2047</x:f>
        <x:v>405</x:v>
      </x:c>
      <x:c r="T2047" t="str">
        <x:v>UPI</x:v>
      </x:c>
      <x:c r="U2047" t="str">
        <x:v>Paid</x:v>
      </x:c>
      <x:c r="V2047" t="str">
        <x:v>Cancelled</x:v>
      </x:c>
      <x:c r="W2047" t="n">
        <x:v>9</x:v>
      </x:c>
      <x:c r="X2047" t="str">
        <x:v>Cancelled Order</x:v>
      </x:c>
      <x:c r="Y2047" t="str">
        <x:v>Existing Customer</x:v>
      </x:c>
    </x:row>
    <x:row r="2048">
      <x:c r="A2048" t="str">
        <x:v>O002047</x:v>
      </x:c>
      <x:c r="B2048" s="20" t="n">
        <x:v>45787</x:v>
      </x:c>
      <x:c r="C2048" t="str">
        <x:v>C0060</x:v>
      </x:c>
      <x:c r="D2048" t="str">
        <x:v>Sagar Stores 60</x:v>
      </x:c>
      <x:c r="E2048" t="str">
        <x:v>Cafe</x:v>
      </x:c>
      <x:c r="F2048" t="str">
        <x:v>Hubballi</x:v>
      </x:c>
      <x:c r="G2048" t="str">
        <x:v>Imran</x:v>
      </x:c>
      <x:c r="H2048" t="str">
        <x:v>P008</x:v>
      </x:c>
      <x:c r="I2048" t="str">
        <x:v>Palm Oil 15L</x:v>
      </x:c>
      <x:c r="J2048" t="str">
        <x:v>Edible Oil</x:v>
      </x:c>
      <x:c r="K2048" t="str">
        <x:v>Ruchi Gold</x:v>
      </x:c>
      <x:c r="L2048" s="22" t="n">
        <x:v>1760</x:v>
      </x:c>
      <x:c r="M2048" t="n">
        <x:v>5</x:v>
      </x:c>
      <x:c r="N2048" s="24" t="n">
        <x:v>0</x:v>
      </x:c>
      <x:c r="O2048" s="22" t="n">
        <x:f>L2048*M2048</x:f>
        <x:v>8800</x:v>
      </x:c>
      <x:c r="P2048" s="22" t="n">
        <x:f>O2048*(1-N2048)</x:f>
        <x:v>8800</x:v>
      </x:c>
      <x:c r="Q2048" s="22" t="n">
        <x:v>1610</x:v>
      </x:c>
      <x:c r="R2048" s="22" t="n">
        <x:f>Q2048*M2048</x:f>
        <x:v>8050</x:v>
      </x:c>
      <x:c r="S2048" s="22" t="n">
        <x:f>P2048-R2048</x:f>
        <x:v>750</x:v>
      </x:c>
      <x:c r="T2048" t="str">
        <x:v>UPI</x:v>
      </x:c>
      <x:c r="U2048" t="str">
        <x:v>Paid</x:v>
      </x:c>
      <x:c r="V2048" t="str">
        <x:v>Delivered</x:v>
      </x:c>
      <x:c r="W2048" t="n">
        <x:v>0</x:v>
      </x:c>
      <x:c r="X2048" t="str"/>
      <x:c r="Y2048" t="str">
        <x:v>WhatsApp</x:v>
      </x:c>
    </x:row>
    <x:row r="2049">
      <x:c r="A2049" t="str">
        <x:v>O002048</x:v>
      </x:c>
      <x:c r="B2049" s="20" t="n">
        <x:v>46273</x:v>
      </x:c>
      <x:c r="C2049" t="str">
        <x:v>C0224</x:v>
      </x:c>
      <x:c r="D2049" t="str">
        <x:v>Royal Foods 224</x:v>
      </x:c>
      <x:c r="E2049" t="str">
        <x:v>Canteen</x:v>
      </x:c>
      <x:c r="F2049" t="str">
        <x:v>Tumakuru</x:v>
      </x:c>
      <x:c r="G2049" t="str">
        <x:v>Arjun</x:v>
      </x:c>
      <x:c r="H2049" t="str">
        <x:v>P040</x:v>
      </x:c>
      <x:c r="I2049" t="str">
        <x:v>Bread Loaf 400g</x:v>
      </x:c>
      <x:c r="J2049" t="str">
        <x:v>Bakery</x:v>
      </x:c>
      <x:c r="K2049" t="str">
        <x:v>Britannia</x:v>
      </x:c>
      <x:c r="L2049" s="22" t="n">
        <x:v>45</x:v>
      </x:c>
      <x:c r="M2049" t="n">
        <x:v>40</x:v>
      </x:c>
      <x:c r="N2049" s="24" t="n">
        <x:v>0</x:v>
      </x:c>
      <x:c r="O2049" s="22" t="n">
        <x:f>L2049*M2049</x:f>
        <x:v>1800</x:v>
      </x:c>
      <x:c r="P2049" s="22" t="n">
        <x:f>O2049*(1-N2049)</x:f>
        <x:v>1800</x:v>
      </x:c>
      <x:c r="Q2049" s="22" t="n">
        <x:v>35</x:v>
      </x:c>
      <x:c r="R2049" s="22" t="n">
        <x:f>Q2049*M2049</x:f>
        <x:v>1400</x:v>
      </x:c>
      <x:c r="S2049" s="22" t="n">
        <x:f>P2049-R2049</x:f>
        <x:v>400</x:v>
      </x:c>
      <x:c r="T2049" t="str">
        <x:v>UPI</x:v>
      </x:c>
      <x:c r="U2049" t="str">
        <x:v>Paid</x:v>
      </x:c>
      <x:c r="V2049" t="str">
        <x:v>Delivered</x:v>
      </x:c>
      <x:c r="W2049" t="n">
        <x:v>0</x:v>
      </x:c>
      <x:c r="X2049" t="str"/>
      <x:c r="Y2049" t="str">
        <x:v>WhatsApp</x:v>
      </x:c>
    </x:row>
    <x:row r="2050">
      <x:c r="A2050" t="str">
        <x:v>O002049</x:v>
      </x:c>
      <x:c r="B2050" s="20" t="n">
        <x:v>45974</x:v>
      </x:c>
      <x:c r="C2050" t="str">
        <x:v>C0124</x:v>
      </x:c>
      <x:c r="D2050" t="str">
        <x:v>Green Hotel 124</x:v>
      </x:c>
      <x:c r="E2050" t="str">
        <x:v>Cafe</x:v>
      </x:c>
      <x:c r="F2050" t="str">
        <x:v>Bengaluru</x:v>
      </x:c>
      <x:c r="G2050" t="str">
        <x:v>Imran</x:v>
      </x:c>
      <x:c r="H2050" t="str">
        <x:v>P030</x:v>
      </x:c>
      <x:c r="I2050" t="str">
        <x:v>Mayonnaise 1kg</x:v>
      </x:c>
      <x:c r="J2050" t="str">
        <x:v>Condiments</x:v>
      </x:c>
      <x:c r="K2050" t="str">
        <x:v>Veeba</x:v>
      </x:c>
      <x:c r="L2050" s="22" t="n">
        <x:v>210</x:v>
      </x:c>
      <x:c r="M2050" t="n">
        <x:v>38</x:v>
      </x:c>
      <x:c r="N2050" s="24" t="n">
        <x:v>0.02</x:v>
      </x:c>
      <x:c r="O2050" s="22" t="n">
        <x:f>L2050*M2050</x:f>
        <x:v>7980</x:v>
      </x:c>
      <x:c r="P2050" s="22" t="n">
        <x:f>O2050*(1-N2050)</x:f>
        <x:v>7820.4</x:v>
      </x:c>
      <x:c r="Q2050" s="22" t="n">
        <x:v>185</x:v>
      </x:c>
      <x:c r="R2050" s="22" t="n">
        <x:f>Q2050*M2050</x:f>
        <x:v>7030</x:v>
      </x:c>
      <x:c r="S2050" s="22" t="n">
        <x:f>P2050-R2050</x:f>
        <x:v>790.3999999999996</x:v>
      </x:c>
      <x:c r="T2050" t="str">
        <x:v>Bank Transfer</x:v>
      </x:c>
      <x:c r="U2050" t="str">
        <x:v>Paid</x:v>
      </x:c>
      <x:c r="V2050" t="str">
        <x:v>Delivered</x:v>
      </x:c>
      <x:c r="W2050" t="n">
        <x:v>0</x:v>
      </x:c>
      <x:c r="X2050" t="str"/>
      <x:c r="Y2050" t="str">
        <x:v>Existing Customer</x:v>
      </x:c>
    </x:row>
    <x:row r="2051">
      <x:c r="A2051" t="str">
        <x:v>O002050</x:v>
      </x:c>
      <x:c r="B2051" s="20" t="n">
        <x:v>45753</x:v>
      </x:c>
      <x:c r="C2051" t="str">
        <x:v>C0069</x:v>
      </x:c>
      <x:c r="D2051" t="str">
        <x:v>Cafe Hotel 69</x:v>
      </x:c>
      <x:c r="E2051" t="str">
        <x:v>Supermarket</x:v>
      </x:c>
      <x:c r="F2051" t="str">
        <x:v>Bengaluru</x:v>
      </x:c>
      <x:c r="G2051" t="str">
        <x:v>Sneha</x:v>
      </x:c>
      <x:c r="H2051" t="str">
        <x:v>P042</x:v>
      </x:c>
      <x:c r="I2051" t="str">
        <x:v>Eggs 30pc Tray</x:v>
      </x:c>
      <x:c r="J2051" t="str">
        <x:v>Protein</x:v>
      </x:c>
      <x:c r="K2051" t="str">
        <x:v>Farm Fresh</x:v>
      </x:c>
      <x:c r="L2051" s="22" t="n">
        <x:v>195</x:v>
      </x:c>
      <x:c r="M2051" t="n">
        <x:v>37</x:v>
      </x:c>
      <x:c r="N2051" s="24" t="n">
        <x:v>0</x:v>
      </x:c>
      <x:c r="O2051" s="22" t="n">
        <x:f>L2051*M2051</x:f>
        <x:v>7215</x:v>
      </x:c>
      <x:c r="P2051" s="22" t="n">
        <x:f>O2051*(1-N2051)</x:f>
        <x:v>7215</x:v>
      </x:c>
      <x:c r="Q2051" s="22" t="n">
        <x:v>170</x:v>
      </x:c>
      <x:c r="R2051" s="22" t="n">
        <x:f>Q2051*M2051</x:f>
        <x:v>6290</x:v>
      </x:c>
      <x:c r="S2051" s="22" t="n">
        <x:f>P2051-R2051</x:f>
        <x:v>925</x:v>
      </x:c>
      <x:c r="T2051" t="str">
        <x:v>Credit</x:v>
      </x:c>
      <x:c r="U2051" t="str">
        <x:v>Paid</x:v>
      </x:c>
      <x:c r="V2051" t="str">
        <x:v>Delivered</x:v>
      </x:c>
      <x:c r="W2051" t="n">
        <x:v>0</x:v>
      </x:c>
      <x:c r="X2051" t="str"/>
      <x:c r="Y2051" t="str">
        <x:v>Referral</x:v>
      </x:c>
    </x:row>
    <x:row r="2052">
      <x:c r="A2052" t="str">
        <x:v>O002051</x:v>
      </x:c>
      <x:c r="B2052" s="20" t="n">
        <x:v>45892</x:v>
      </x:c>
      <x:c r="C2052" t="str">
        <x:v>C0020</x:v>
      </x:c>
      <x:c r="D2052" t="str">
        <x:v>Shree Foods 20</x:v>
      </x:c>
      <x:c r="E2052" t="str">
        <x:v>Restaurant</x:v>
      </x:c>
      <x:c r="F2052" t="str">
        <x:v>Mysuru</x:v>
      </x:c>
      <x:c r="G2052" t="str">
        <x:v>Arjun</x:v>
      </x:c>
      <x:c r="H2052" t="str">
        <x:v>P045</x:v>
      </x:c>
      <x:c r="I2052" t="str">
        <x:v>Onion 25kg</x:v>
      </x:c>
      <x:c r="J2052" t="str">
        <x:v>Fresh Produce</x:v>
      </x:c>
      <x:c r="K2052" t="str">
        <x:v>Local Market</x:v>
      </x:c>
      <x:c r="L2052" s="22" t="n">
        <x:v>875</x:v>
      </x:c>
      <x:c r="M2052" t="n">
        <x:v>7</x:v>
      </x:c>
      <x:c r="N2052" s="24" t="n">
        <x:v>0.03</x:v>
      </x:c>
      <x:c r="O2052" s="22" t="n">
        <x:f>L2052*M2052</x:f>
        <x:v>6125</x:v>
      </x:c>
      <x:c r="P2052" s="22" t="n">
        <x:f>O2052*(1-N2052)</x:f>
        <x:v>5941.25</x:v>
      </x:c>
      <x:c r="Q2052" s="22" t="n">
        <x:v>760</x:v>
      </x:c>
      <x:c r="R2052" s="22" t="n">
        <x:f>Q2052*M2052</x:f>
        <x:v>5320</x:v>
      </x:c>
      <x:c r="S2052" s="22" t="n">
        <x:f>P2052-R2052</x:f>
        <x:v>621.25</x:v>
      </x:c>
      <x:c r="T2052" t="str">
        <x:v>Bank Transfer</x:v>
      </x:c>
      <x:c r="U2052" t="str">
        <x:v>Pending</x:v>
      </x:c>
      <x:c r="V2052" t="str">
        <x:v>Delivered</x:v>
      </x:c>
      <x:c r="W2052" t="n">
        <x:v>0</x:v>
      </x:c>
      <x:c r="X2052" t="str"/>
      <x:c r="Y2052" t="str">
        <x:v>Field Visit</x:v>
      </x:c>
    </x:row>
    <x:row r="2053">
      <x:c r="A2053" t="str">
        <x:v>O002052</x:v>
      </x:c>
      <x:c r="B2053" s="20" t="n">
        <x:v>46178</x:v>
      </x:c>
      <x:c r="C2053" t="str">
        <x:v>C0039</x:v>
      </x:c>
      <x:c r="D2053" t="str">
        <x:v>Sagar Cafe 39</x:v>
      </x:c>
      <x:c r="E2053" t="str">
        <x:v>Restaurant</x:v>
      </x:c>
      <x:c r="F2053" t="str">
        <x:v>Hubballi</x:v>
      </x:c>
      <x:c r="G2053" t="str">
        <x:v>Imran</x:v>
      </x:c>
      <x:c r="H2053" t="str">
        <x:v>P043</x:v>
      </x:c>
      <x:c r="I2053" t="str">
        <x:v>Chicken Breast 1kg</x:v>
      </x:c>
      <x:c r="J2053" t="str">
        <x:v>Protein</x:v>
      </x:c>
      <x:c r="K2053" t="str">
        <x:v>FreshToHome</x:v>
      </x:c>
      <x:c r="L2053" s="22" t="n">
        <x:v>260</x:v>
      </x:c>
      <x:c r="M2053" t="n">
        <x:v>26</x:v>
      </x:c>
      <x:c r="N2053" s="24" t="n">
        <x:v>0.02</x:v>
      </x:c>
      <x:c r="O2053" s="22" t="n">
        <x:f>L2053*M2053</x:f>
        <x:v>6760</x:v>
      </x:c>
      <x:c r="P2053" s="22" t="n">
        <x:f>O2053*(1-N2053)</x:f>
        <x:v>6624.8</x:v>
      </x:c>
      <x:c r="Q2053" s="22" t="n">
        <x:v>235</x:v>
      </x:c>
      <x:c r="R2053" s="22" t="n">
        <x:f>Q2053*M2053</x:f>
        <x:v>6110</x:v>
      </x:c>
      <x:c r="S2053" s="22" t="n">
        <x:f>P2053-R2053</x:f>
        <x:v>514.8000000000002</x:v>
      </x:c>
      <x:c r="T2053" t="str">
        <x:v>UPI</x:v>
      </x:c>
      <x:c r="U2053" t="str">
        <x:v>Pending</x:v>
      </x:c>
      <x:c r="V2053" t="str">
        <x:v>Delivered</x:v>
      </x:c>
      <x:c r="W2053" t="n">
        <x:v>0</x:v>
      </x:c>
      <x:c r="X2053" t="str"/>
      <x:c r="Y2053" t="str">
        <x:v>Existing Customer</x:v>
      </x:c>
    </x:row>
    <x:row r="2054">
      <x:c r="A2054" t="str">
        <x:v>O002053</x:v>
      </x:c>
      <x:c r="B2054" s="20" t="n">
        <x:v>45892</x:v>
      </x:c>
      <x:c r="C2054" t="str">
        <x:v>C0115</x:v>
      </x:c>
      <x:c r="D2054" t="str">
        <x:v>Mysore Mart 115</x:v>
      </x:c>
      <x:c r="E2054" t="str">
        <x:v>Kirana</x:v>
      </x:c>
      <x:c r="F2054" t="str">
        <x:v>Mangaluru</x:v>
      </x:c>
      <x:c r="G2054" t="str">
        <x:v>Arjun</x:v>
      </x:c>
      <x:c r="H2054" t="str">
        <x:v>P050</x:v>
      </x:c>
      <x:c r="I2054" t="str">
        <x:v>Lemon 5kg</x:v>
      </x:c>
      <x:c r="J2054" t="str">
        <x:v>Fresh Produce</x:v>
      </x:c>
      <x:c r="K2054" t="str">
        <x:v>Local Market</x:v>
      </x:c>
      <x:c r="L2054" s="22" t="n">
        <x:v>360</x:v>
      </x:c>
      <x:c r="M2054" t="n">
        <x:v>2</x:v>
      </x:c>
      <x:c r="N2054" s="24" t="n">
        <x:v>0</x:v>
      </x:c>
      <x:c r="O2054" s="22" t="n">
        <x:f>L2054*M2054</x:f>
        <x:v>720</x:v>
      </x:c>
      <x:c r="P2054" s="22" t="n">
        <x:f>O2054*(1-N2054)</x:f>
        <x:v>720</x:v>
      </x:c>
      <x:c r="Q2054" s="22" t="n">
        <x:v>300</x:v>
      </x:c>
      <x:c r="R2054" s="22" t="n">
        <x:f>Q2054*M2054</x:f>
        <x:v>600</x:v>
      </x:c>
      <x:c r="S2054" s="22" t="n">
        <x:f>P2054-R2054</x:f>
        <x:v>120</x:v>
      </x:c>
      <x:c r="T2054" t="str">
        <x:v>Bank Transfer</x:v>
      </x:c>
      <x:c r="U2054" t="str">
        <x:v>Paid</x:v>
      </x:c>
      <x:c r="V2054" t="str">
        <x:v>Delayed</x:v>
      </x:c>
      <x:c r="W2054" t="n">
        <x:v>0</x:v>
      </x:c>
      <x:c r="X2054" t="str"/>
      <x:c r="Y2054" t="str">
        <x:v>Field Visit</x:v>
      </x:c>
    </x:row>
    <x:row r="2055">
      <x:c r="A2055" t="str">
        <x:v>O002054</x:v>
      </x:c>
      <x:c r="B2055" s="20" t="n">
        <x:v>45720</x:v>
      </x:c>
      <x:c r="C2055" t="str">
        <x:v>C0036</x:v>
      </x:c>
      <x:c r="D2055" t="str">
        <x:v>Grand Hotel 36</x:v>
      </x:c>
      <x:c r="E2055" t="str">
        <x:v>Canteen</x:v>
      </x:c>
      <x:c r="F2055" t="str">
        <x:v>Tumakuru</x:v>
      </x:c>
      <x:c r="G2055" t="str">
        <x:v>Kavya</x:v>
      </x:c>
      <x:c r="H2055" t="str">
        <x:v>P018</x:v>
      </x:c>
      <x:c r="I2055" t="str">
        <x:v>Paneer 1kg</x:v>
      </x:c>
      <x:c r="J2055" t="str">
        <x:v>Dairy</x:v>
      </x:c>
      <x:c r="K2055" t="str">
        <x:v>Milky Mist</x:v>
      </x:c>
      <x:c r="L2055" s="22" t="n">
        <x:v>410</x:v>
      </x:c>
      <x:c r="M2055" t="n">
        <x:v>13</x:v>
      </x:c>
      <x:c r="N2055" s="24" t="n">
        <x:v>0</x:v>
      </x:c>
      <x:c r="O2055" s="22" t="n">
        <x:f>L2055*M2055</x:f>
        <x:v>5330</x:v>
      </x:c>
      <x:c r="P2055" s="22" t="n">
        <x:f>O2055*(1-N2055)</x:f>
        <x:v>5330</x:v>
      </x:c>
      <x:c r="Q2055" s="22" t="n">
        <x:v>370</x:v>
      </x:c>
      <x:c r="R2055" s="22" t="n">
        <x:f>Q2055*M2055</x:f>
        <x:v>4810</x:v>
      </x:c>
      <x:c r="S2055" s="22" t="n">
        <x:f>P2055-R2055</x:f>
        <x:v>520</x:v>
      </x:c>
      <x:c r="T2055" t="str">
        <x:v>UPI</x:v>
      </x:c>
      <x:c r="U2055" t="str">
        <x:v>Paid</x:v>
      </x:c>
      <x:c r="V2055" t="str">
        <x:v>Cancelled</x:v>
      </x:c>
      <x:c r="W2055" t="n">
        <x:v>13</x:v>
      </x:c>
      <x:c r="X2055" t="str">
        <x:v>Cancelled Order</x:v>
      </x:c>
      <x:c r="Y2055" t="str">
        <x:v>Referral</x:v>
      </x:c>
    </x:row>
    <x:row r="2056">
      <x:c r="A2056" t="str">
        <x:v>O002055</x:v>
      </x:c>
      <x:c r="B2056" s="20" t="n">
        <x:v>45983</x:v>
      </x:c>
      <x:c r="C2056" t="str">
        <x:v>C0091</x:v>
      </x:c>
      <x:c r="D2056" t="str">
        <x:v>Classic Mart 91</x:v>
      </x:c>
      <x:c r="E2056" t="str">
        <x:v>Cafe</x:v>
      </x:c>
      <x:c r="F2056" t="str">
        <x:v>Mangaluru</x:v>
      </x:c>
      <x:c r="G2056" t="str">
        <x:v>Kavya</x:v>
      </x:c>
      <x:c r="H2056" t="str">
        <x:v>P001</x:v>
      </x:c>
      <x:c r="I2056" t="str">
        <x:v>Steam Rice 25kg</x:v>
      </x:c>
      <x:c r="J2056" t="str">
        <x:v>Staples</x:v>
      </x:c>
      <x:c r="K2056" t="str">
        <x:v>Aishwarya</x:v>
      </x:c>
      <x:c r="L2056" s="22" t="n">
        <x:v>1180</x:v>
      </x:c>
      <x:c r="M2056" t="n">
        <x:v>5</x:v>
      </x:c>
      <x:c r="N2056" s="24" t="n">
        <x:v>0</x:v>
      </x:c>
      <x:c r="O2056" s="22" t="n">
        <x:f>L2056*M2056</x:f>
        <x:v>5900</x:v>
      </x:c>
      <x:c r="P2056" s="22" t="n">
        <x:f>O2056*(1-N2056)</x:f>
        <x:v>5900</x:v>
      </x:c>
      <x:c r="Q2056" s="22" t="n">
        <x:v>1040</x:v>
      </x:c>
      <x:c r="R2056" s="22" t="n">
        <x:f>Q2056*M2056</x:f>
        <x:v>5200</x:v>
      </x:c>
      <x:c r="S2056" s="22" t="n">
        <x:f>P2056-R2056</x:f>
        <x:v>700</x:v>
      </x:c>
      <x:c r="T2056" t="str">
        <x:v>Bank Transfer</x:v>
      </x:c>
      <x:c r="U2056" t="str">
        <x:v>Paid</x:v>
      </x:c>
      <x:c r="V2056" t="str">
        <x:v>Cancelled</x:v>
      </x:c>
      <x:c r="W2056" t="n">
        <x:v>5</x:v>
      </x:c>
      <x:c r="X2056" t="str">
        <x:v>Cancelled Order</x:v>
      </x:c>
      <x:c r="Y2056" t="str">
        <x:v>Outbound Call</x:v>
      </x:c>
    </x:row>
    <x:row r="2057">
      <x:c r="A2057" t="str">
        <x:v>O002056</x:v>
      </x:c>
      <x:c r="B2057" s="20" t="n">
        <x:v>46187</x:v>
      </x:c>
      <x:c r="C2057" t="str">
        <x:v>C0171</x:v>
      </x:c>
      <x:c r="D2057" t="str">
        <x:v>Metro Canteen 171</x:v>
      </x:c>
      <x:c r="E2057" t="str">
        <x:v>Restaurant</x:v>
      </x:c>
      <x:c r="F2057" t="str">
        <x:v>Mangaluru</x:v>
      </x:c>
      <x:c r="G2057" t="str">
        <x:v>Priya</x:v>
      </x:c>
      <x:c r="H2057" t="str">
        <x:v>P004</x:v>
      </x:c>
      <x:c r="I2057" t="str">
        <x:v>Toor Dal 5kg</x:v>
      </x:c>
      <x:c r="J2057" t="str">
        <x:v>Pulses</x:v>
      </x:c>
      <x:c r="K2057" t="str">
        <x:v>Tata Sampann</x:v>
      </x:c>
      <x:c r="L2057" s="22" t="n">
        <x:v>780</x:v>
      </x:c>
      <x:c r="M2057" t="n">
        <x:v>29</x:v>
      </x:c>
      <x:c r="N2057" s="24" t="n">
        <x:v>0.03</x:v>
      </x:c>
      <x:c r="O2057" s="22" t="n">
        <x:f>L2057*M2057</x:f>
        <x:v>22620</x:v>
      </x:c>
      <x:c r="P2057" s="22" t="n">
        <x:f>O2057*(1-N2057)</x:f>
        <x:v>21941.399999999998</x:v>
      </x:c>
      <x:c r="Q2057" s="22" t="n">
        <x:v>695</x:v>
      </x:c>
      <x:c r="R2057" s="22" t="n">
        <x:f>Q2057*M2057</x:f>
        <x:v>20155</x:v>
      </x:c>
      <x:c r="S2057" s="22" t="n">
        <x:f>P2057-R2057</x:f>
        <x:v>1786.3999999999978</x:v>
      </x:c>
      <x:c r="T2057" t="str">
        <x:v>Credit</x:v>
      </x:c>
      <x:c r="U2057" t="str">
        <x:v>Paid</x:v>
      </x:c>
      <x:c r="V2057" t="str">
        <x:v>Delivered</x:v>
      </x:c>
      <x:c r="W2057" t="n">
        <x:v>0</x:v>
      </x:c>
      <x:c r="X2057" t="str"/>
      <x:c r="Y2057" t="str">
        <x:v>Referral</x:v>
      </x:c>
    </x:row>
    <x:row r="2058">
      <x:c r="A2058" t="str">
        <x:v>O002057</x:v>
      </x:c>
      <x:c r="B2058" s="20" t="n">
        <x:v>45792</x:v>
      </x:c>
      <x:c r="C2058" t="str">
        <x:v>C0190</x:v>
      </x:c>
      <x:c r="D2058" t="str">
        <x:v>Shree Restaurant 190</x:v>
      </x:c>
      <x:c r="E2058" t="str">
        <x:v>Canteen</x:v>
      </x:c>
      <x:c r="F2058" t="str">
        <x:v>Bengaluru</x:v>
      </x:c>
      <x:c r="G2058" t="str">
        <x:v>Kavya</x:v>
      </x:c>
      <x:c r="H2058" t="str">
        <x:v>P017</x:v>
      </x:c>
      <x:c r="I2058" t="str">
        <x:v>Butter 500g</x:v>
      </x:c>
      <x:c r="J2058" t="str">
        <x:v>Dairy</x:v>
      </x:c>
      <x:c r="K2058" t="str">
        <x:v>Amul</x:v>
      </x:c>
      <x:c r="L2058" s="22" t="n">
        <x:v>285</x:v>
      </x:c>
      <x:c r="M2058" t="n">
        <x:v>10</x:v>
      </x:c>
      <x:c r="N2058" s="24" t="n">
        <x:v>0.1</x:v>
      </x:c>
      <x:c r="O2058" s="22" t="n">
        <x:f>L2058*M2058</x:f>
        <x:v>2850</x:v>
      </x:c>
      <x:c r="P2058" s="22" t="n">
        <x:f>O2058*(1-N2058)</x:f>
        <x:v>2565</x:v>
      </x:c>
      <x:c r="Q2058" s="22" t="n">
        <x:v>258</x:v>
      </x:c>
      <x:c r="R2058" s="22" t="n">
        <x:f>Q2058*M2058</x:f>
        <x:v>2580</x:v>
      </x:c>
      <x:c r="S2058" s="22" t="n">
        <x:f>P2058-R2058</x:f>
        <x:v>-15</x:v>
      </x:c>
      <x:c r="T2058" t="str">
        <x:v>Bank Transfer</x:v>
      </x:c>
      <x:c r="U2058" t="str">
        <x:v>Paid</x:v>
      </x:c>
      <x:c r="V2058" t="str">
        <x:v>Delivered</x:v>
      </x:c>
      <x:c r="W2058" t="n">
        <x:v>0</x:v>
      </x:c>
      <x:c r="X2058" t="str"/>
      <x:c r="Y2058" t="str">
        <x:v>Field Visit</x:v>
      </x:c>
    </x:row>
    <x:row r="2059">
      <x:c r="A2059" t="str">
        <x:v>O002058</x:v>
      </x:c>
      <x:c r="B2059" s="20" t="n">
        <x:v>46262</x:v>
      </x:c>
      <x:c r="C2059" t="str">
        <x:v>C0139</x:v>
      </x:c>
      <x:c r="D2059" t="str">
        <x:v>Classic Hotel 139</x:v>
      </x:c>
      <x:c r="E2059" t="str">
        <x:v>Cafe</x:v>
      </x:c>
      <x:c r="F2059" t="str">
        <x:v>Mysuru</x:v>
      </x:c>
      <x:c r="G2059" t="str">
        <x:v>Vikram</x:v>
      </x:c>
      <x:c r="H2059" t="str">
        <x:v>P008</x:v>
      </x:c>
      <x:c r="I2059" t="str">
        <x:v>Palm Oil 15L</x:v>
      </x:c>
      <x:c r="J2059" t="str">
        <x:v>Edible Oil</x:v>
      </x:c>
      <x:c r="K2059" t="str">
        <x:v>Ruchi Gold</x:v>
      </x:c>
      <x:c r="L2059" s="22" t="n">
        <x:v>1760</x:v>
      </x:c>
      <x:c r="M2059" t="n">
        <x:v>12</x:v>
      </x:c>
      <x:c r="N2059" s="24" t="n">
        <x:v>0.08</x:v>
      </x:c>
      <x:c r="O2059" s="22" t="n">
        <x:f>L2059*M2059</x:f>
        <x:v>21120</x:v>
      </x:c>
      <x:c r="P2059" s="22" t="n">
        <x:f>O2059*(1-N2059)</x:f>
        <x:v>19430.4</x:v>
      </x:c>
      <x:c r="Q2059" s="22" t="n">
        <x:v>1610</x:v>
      </x:c>
      <x:c r="R2059" s="22" t="n">
        <x:f>Q2059*M2059</x:f>
        <x:v>19320</x:v>
      </x:c>
      <x:c r="S2059" s="22" t="n">
        <x:f>P2059-R2059</x:f>
        <x:v>110.40000000000146</x:v>
      </x:c>
      <x:c r="T2059" t="str">
        <x:v>UPI</x:v>
      </x:c>
      <x:c r="U2059" t="str">
        <x:v>Paid</x:v>
      </x:c>
      <x:c r="V2059" t="str">
        <x:v>Delayed</x:v>
      </x:c>
      <x:c r="W2059" t="n">
        <x:v>0</x:v>
      </x:c>
      <x:c r="X2059" t="str"/>
      <x:c r="Y2059" t="str">
        <x:v>WhatsApp</x:v>
      </x:c>
    </x:row>
    <x:row r="2060">
      <x:c r="A2060" t="str">
        <x:v>O002059</x:v>
      </x:c>
      <x:c r="B2060" s="20" t="n">
        <x:v>46049</x:v>
      </x:c>
      <x:c r="C2060" t="str">
        <x:v>C0111</x:v>
      </x:c>
      <x:c r="D2060" t="str">
        <x:v>Metro Kitchen 111</x:v>
      </x:c>
      <x:c r="E2060" t="str">
        <x:v>Restaurant</x:v>
      </x:c>
      <x:c r="F2060" t="str">
        <x:v>Davanagere</x:v>
      </x:c>
      <x:c r="G2060" t="str">
        <x:v>Sneha</x:v>
      </x:c>
      <x:c r="H2060" t="str">
        <x:v>P032</x:v>
      </x:c>
      <x:c r="I2060" t="str">
        <x:v>Soy Sauce 700g</x:v>
      </x:c>
      <x:c r="J2060" t="str">
        <x:v>Condiments</x:v>
      </x:c>
      <x:c r="K2060" t="str">
        <x:v>Ching's</x:v>
      </x:c>
      <x:c r="L2060" s="22" t="n">
        <x:v>118</x:v>
      </x:c>
      <x:c r="M2060" t="n">
        <x:v>37</x:v>
      </x:c>
      <x:c r="N2060" s="24" t="n">
        <x:v>0</x:v>
      </x:c>
      <x:c r="O2060" s="22" t="n">
        <x:f>L2060*M2060</x:f>
        <x:v>4366</x:v>
      </x:c>
      <x:c r="P2060" s="22" t="n">
        <x:f>O2060*(1-N2060)</x:f>
        <x:v>4366</x:v>
      </x:c>
      <x:c r="Q2060" s="22" t="n">
        <x:v>101</x:v>
      </x:c>
      <x:c r="R2060" s="22" t="n">
        <x:f>Q2060*M2060</x:f>
        <x:v>3737</x:v>
      </x:c>
      <x:c r="S2060" s="22" t="n">
        <x:f>P2060-R2060</x:f>
        <x:v>629</x:v>
      </x:c>
      <x:c r="T2060" t="str">
        <x:v>Bank Transfer</x:v>
      </x:c>
      <x:c r="U2060" t="str">
        <x:v>Pending</x:v>
      </x:c>
      <x:c r="V2060" t="str">
        <x:v>Delivered</x:v>
      </x:c>
      <x:c r="W2060" t="n">
        <x:v>0</x:v>
      </x:c>
      <x:c r="X2060" t="str"/>
      <x:c r="Y2060" t="str">
        <x:v>Existing Customer</x:v>
      </x:c>
    </x:row>
    <x:row r="2061">
      <x:c r="A2061" t="str">
        <x:v>O002060</x:v>
      </x:c>
      <x:c r="B2061" s="20" t="n">
        <x:v>45716</x:v>
      </x:c>
      <x:c r="C2061" t="str">
        <x:v>C0025</x:v>
      </x:c>
      <x:c r="D2061" t="str">
        <x:v>Sri Cafe 25</x:v>
      </x:c>
      <x:c r="E2061" t="str">
        <x:v>Hotel</x:v>
      </x:c>
      <x:c r="F2061" t="str">
        <x:v>Mysuru</x:v>
      </x:c>
      <x:c r="G2061" t="str">
        <x:v>Kavya</x:v>
      </x:c>
      <x:c r="H2061" t="str">
        <x:v>P023</x:v>
      </x:c>
      <x:c r="I2061" t="str">
        <x:v>Cola 750ml</x:v>
      </x:c>
      <x:c r="J2061" t="str">
        <x:v>Beverage</x:v>
      </x:c>
      <x:c r="K2061" t="str">
        <x:v>Coca-Cola</x:v>
      </x:c>
      <x:c r="L2061" s="22" t="n">
        <x:v>38</x:v>
      </x:c>
      <x:c r="M2061" t="n">
        <x:v>11</x:v>
      </x:c>
      <x:c r="N2061" s="24" t="n">
        <x:v>0.02</x:v>
      </x:c>
      <x:c r="O2061" s="22" t="n">
        <x:f>L2061*M2061</x:f>
        <x:v>418</x:v>
      </x:c>
      <x:c r="P2061" s="22" t="n">
        <x:f>O2061*(1-N2061)</x:f>
        <x:v>409.64</x:v>
      </x:c>
      <x:c r="Q2061" s="22" t="n">
        <x:v>31</x:v>
      </x:c>
      <x:c r="R2061" s="22" t="n">
        <x:f>Q2061*M2061</x:f>
        <x:v>341</x:v>
      </x:c>
      <x:c r="S2061" s="22" t="n">
        <x:f>P2061-R2061</x:f>
        <x:v>68.63999999999999</x:v>
      </x:c>
      <x:c r="T2061" t="str">
        <x:v>Cash</x:v>
      </x:c>
      <x:c r="U2061" t="str">
        <x:v>Overdue</x:v>
      </x:c>
      <x:c r="V2061" t="str">
        <x:v>Delivered</x:v>
      </x:c>
      <x:c r="W2061" t="n">
        <x:v>3</x:v>
      </x:c>
      <x:c r="X2061" t="str">
        <x:v>Quality Issue</x:v>
      </x:c>
      <x:c r="Y2061" t="str">
        <x:v>Existing Customer</x:v>
      </x:c>
    </x:row>
    <x:row r="2062">
      <x:c r="A2062" t="str">
        <x:v>O002061</x:v>
      </x:c>
      <x:c r="B2062" s="20" t="n">
        <x:v>46212</x:v>
      </x:c>
      <x:c r="C2062" t="str">
        <x:v>C0213</x:v>
      </x:c>
      <x:c r="D2062" t="str">
        <x:v>Shree Cafe 213</x:v>
      </x:c>
      <x:c r="E2062" t="str">
        <x:v>Cafe</x:v>
      </x:c>
      <x:c r="F2062" t="str">
        <x:v>Tumakuru</x:v>
      </x:c>
      <x:c r="G2062" t="str">
        <x:v>Imran</x:v>
      </x:c>
      <x:c r="H2062" t="str">
        <x:v>P048</x:v>
      </x:c>
      <x:c r="I2062" t="str">
        <x:v>Banana 10kg</x:v>
      </x:c>
      <x:c r="J2062" t="str">
        <x:v>Fresh Produce</x:v>
      </x:c>
      <x:c r="K2062" t="str">
        <x:v>Local Market</x:v>
      </x:c>
      <x:c r="L2062" s="22" t="n">
        <x:v>420</x:v>
      </x:c>
      <x:c r="M2062" t="n">
        <x:v>11</x:v>
      </x:c>
      <x:c r="N2062" s="24" t="n">
        <x:v>0.1</x:v>
      </x:c>
      <x:c r="O2062" s="22" t="n">
        <x:f>L2062*M2062</x:f>
        <x:v>4620</x:v>
      </x:c>
      <x:c r="P2062" s="22" t="n">
        <x:f>O2062*(1-N2062)</x:f>
        <x:v>4158</x:v>
      </x:c>
      <x:c r="Q2062" s="22" t="n">
        <x:v>350</x:v>
      </x:c>
      <x:c r="R2062" s="22" t="n">
        <x:f>Q2062*M2062</x:f>
        <x:v>3850</x:v>
      </x:c>
      <x:c r="S2062" s="22" t="n">
        <x:f>P2062-R2062</x:f>
        <x:v>308</x:v>
      </x:c>
      <x:c r="T2062" t="str">
        <x:v>Cash</x:v>
      </x:c>
      <x:c r="U2062" t="str">
        <x:v>Paid</x:v>
      </x:c>
      <x:c r="V2062" t="str">
        <x:v>Cancelled</x:v>
      </x:c>
      <x:c r="W2062" t="n">
        <x:v>11</x:v>
      </x:c>
      <x:c r="X2062" t="str">
        <x:v>Cancelled Order</x:v>
      </x:c>
      <x:c r="Y2062" t="str">
        <x:v>WhatsApp</x:v>
      </x:c>
    </x:row>
    <x:row r="2063">
      <x:c r="A2063" t="str">
        <x:v>O002062</x:v>
      </x:c>
      <x:c r="B2063" s="20" t="n">
        <x:v>45676</x:v>
      </x:c>
      <x:c r="C2063" t="str">
        <x:v>C0202</x:v>
      </x:c>
      <x:c r="D2063" t="str">
        <x:v>Sagar Foods 202</x:v>
      </x:c>
      <x:c r="E2063" t="str">
        <x:v>Restaurant</x:v>
      </x:c>
      <x:c r="F2063" t="str">
        <x:v>Mangaluru</x:v>
      </x:c>
      <x:c r="G2063" t="str">
        <x:v>Kavya</x:v>
      </x:c>
      <x:c r="H2063" t="str">
        <x:v>P012</x:v>
      </x:c>
      <x:c r="I2063" t="str">
        <x:v>Maida 10kg</x:v>
      </x:c>
      <x:c r="J2063" t="str">
        <x:v>Flour</x:v>
      </x:c>
      <x:c r="K2063" t="str">
        <x:v>Aashirvaad</x:v>
      </x:c>
      <x:c r="L2063" s="22" t="n">
        <x:v>520</x:v>
      </x:c>
      <x:c r="M2063" t="n">
        <x:v>33</x:v>
      </x:c>
      <x:c r="N2063" s="24" t="n">
        <x:v>0.02</x:v>
      </x:c>
      <x:c r="O2063" s="22" t="n">
        <x:f>L2063*M2063</x:f>
        <x:v>17160</x:v>
      </x:c>
      <x:c r="P2063" s="22" t="n">
        <x:f>O2063*(1-N2063)</x:f>
        <x:v>16816.8</x:v>
      </x:c>
      <x:c r="Q2063" s="22" t="n">
        <x:v>460</x:v>
      </x:c>
      <x:c r="R2063" s="22" t="n">
        <x:f>Q2063*M2063</x:f>
        <x:v>15180</x:v>
      </x:c>
      <x:c r="S2063" s="22" t="n">
        <x:f>P2063-R2063</x:f>
        <x:v>1636.7999999999993</x:v>
      </x:c>
      <x:c r="T2063" t="str">
        <x:v>Credit</x:v>
      </x:c>
      <x:c r="U2063" t="str">
        <x:v>Paid</x:v>
      </x:c>
      <x:c r="V2063" t="str">
        <x:v>Delayed</x:v>
      </x:c>
      <x:c r="W2063" t="n">
        <x:v>0</x:v>
      </x:c>
      <x:c r="X2063" t="str"/>
      <x:c r="Y2063" t="str">
        <x:v>Referral</x:v>
      </x:c>
    </x:row>
    <x:row r="2064">
      <x:c r="A2064" t="str">
        <x:v>O002063</x:v>
      </x:c>
      <x:c r="B2064" s="20" t="n">
        <x:v>45984</x:v>
      </x:c>
      <x:c r="C2064" t="str">
        <x:v>C0237</x:v>
      </x:c>
      <x:c r="D2064" t="str">
        <x:v>Mysore Restaurant 237</x:v>
      </x:c>
      <x:c r="E2064" t="str">
        <x:v>Restaurant</x:v>
      </x:c>
      <x:c r="F2064" t="str">
        <x:v>Bengaluru</x:v>
      </x:c>
      <x:c r="G2064" t="str">
        <x:v>Sneha</x:v>
      </x:c>
      <x:c r="H2064" t="str">
        <x:v>P014</x:v>
      </x:c>
      <x:c r="I2064" t="str">
        <x:v>Rava 5kg</x:v>
      </x:c>
      <x:c r="J2064" t="str">
        <x:v>Flour</x:v>
      </x:c>
      <x:c r="K2064" t="str">
        <x:v>Local Select</x:v>
      </x:c>
      <x:c r="L2064" s="22" t="n">
        <x:v>245</x:v>
      </x:c>
      <x:c r="M2064" t="n">
        <x:v>24</x:v>
      </x:c>
      <x:c r="N2064" s="24" t="n">
        <x:v>0</x:v>
      </x:c>
      <x:c r="O2064" s="22" t="n">
        <x:f>L2064*M2064</x:f>
        <x:v>5880</x:v>
      </x:c>
      <x:c r="P2064" s="22" t="n">
        <x:f>O2064*(1-N2064)</x:f>
        <x:v>5880</x:v>
      </x:c>
      <x:c r="Q2064" s="22" t="n">
        <x:v>215</x:v>
      </x:c>
      <x:c r="R2064" s="22" t="n">
        <x:f>Q2064*M2064</x:f>
        <x:v>5160</x:v>
      </x:c>
      <x:c r="S2064" s="22" t="n">
        <x:f>P2064-R2064</x:f>
        <x:v>720</x:v>
      </x:c>
      <x:c r="T2064" t="str">
        <x:v>Credit</x:v>
      </x:c>
      <x:c r="U2064" t="str">
        <x:v>Paid</x:v>
      </x:c>
      <x:c r="V2064" t="str">
        <x:v>Delivered</x:v>
      </x:c>
      <x:c r="W2064" t="n">
        <x:v>0</x:v>
      </x:c>
      <x:c r="X2064" t="str"/>
      <x:c r="Y2064" t="str"/>
    </x:row>
    <x:row r="2065">
      <x:c r="A2065" t="str">
        <x:v>O002064</x:v>
      </x:c>
      <x:c r="B2065" s="20" t="n">
        <x:v>45845</x:v>
      </x:c>
      <x:c r="C2065" t="str">
        <x:v>C0028</x:v>
      </x:c>
      <x:c r="D2065" t="str">
        <x:v>Spice Cafe 28</x:v>
      </x:c>
      <x:c r="E2065" t="str">
        <x:v>Supermarket</x:v>
      </x:c>
      <x:c r="F2065" t="str">
        <x:v>Mysuru</x:v>
      </x:c>
      <x:c r="G2065" t="str">
        <x:v>Vikram</x:v>
      </x:c>
      <x:c r="H2065" t="str">
        <x:v>P035</x:v>
      </x:c>
      <x:c r="I2065" t="str">
        <x:v>Coriander Powder 1kg</x:v>
      </x:c>
      <x:c r="J2065" t="str">
        <x:v>Spices</x:v>
      </x:c>
      <x:c r="K2065" t="str">
        <x:v>Everest</x:v>
      </x:c>
      <x:c r="L2065" s="22" t="n">
        <x:v>280</x:v>
      </x:c>
      <x:c r="M2065" t="n">
        <x:v>23</x:v>
      </x:c>
      <x:c r="N2065" s="24" t="n">
        <x:v>0.05</x:v>
      </x:c>
      <x:c r="O2065" s="22" t="n">
        <x:f>L2065*M2065</x:f>
        <x:v>6440</x:v>
      </x:c>
      <x:c r="P2065" s="22" t="n">
        <x:f>O2065*(1-N2065)</x:f>
        <x:v>6118</x:v>
      </x:c>
      <x:c r="Q2065" s="22" t="n">
        <x:v>245</x:v>
      </x:c>
      <x:c r="R2065" s="22" t="n">
        <x:f>Q2065*M2065</x:f>
        <x:v>5635</x:v>
      </x:c>
      <x:c r="S2065" s="22" t="n">
        <x:f>P2065-R2065</x:f>
        <x:v>483</x:v>
      </x:c>
      <x:c r="T2065" t="str">
        <x:v>Credit</x:v>
      </x:c>
      <x:c r="U2065" t="str">
        <x:v>Paid</x:v>
      </x:c>
      <x:c r="V2065" t="str">
        <x:v>Delivered</x:v>
      </x:c>
      <x:c r="W2065" t="n">
        <x:v>0</x:v>
      </x:c>
      <x:c r="X2065" t="str"/>
      <x:c r="Y2065" t="str">
        <x:v>Existing Customer</x:v>
      </x:c>
    </x:row>
    <x:row r="2066">
      <x:c r="A2066" t="str">
        <x:v>O002065</x:v>
      </x:c>
      <x:c r="B2066" s="20" t="n">
        <x:v>45915</x:v>
      </x:c>
      <x:c r="C2066" t="str">
        <x:v>C0151</x:v>
      </x:c>
      <x:c r="D2066" t="str">
        <x:v>Foodie Stores 151</x:v>
      </x:c>
      <x:c r="E2066" t="str">
        <x:v>Supermarket</x:v>
      </x:c>
      <x:c r="F2066" t="str">
        <x:v>Mysuru</x:v>
      </x:c>
      <x:c r="G2066" t="str">
        <x:v>Arjun</x:v>
      </x:c>
      <x:c r="H2066" t="str">
        <x:v>P049</x:v>
      </x:c>
      <x:c r="I2066" t="str">
        <x:v>Apple 10kg</x:v>
      </x:c>
      <x:c r="J2066" t="str">
        <x:v>Fresh Produce</x:v>
      </x:c>
      <x:c r="K2066" t="str">
        <x:v>Local Market</x:v>
      </x:c>
      <x:c r="L2066" s="22" t="n">
        <x:v>1450</x:v>
      </x:c>
      <x:c r="M2066" t="n">
        <x:v>11</x:v>
      </x:c>
      <x:c r="N2066" s="24" t="n">
        <x:v>0</x:v>
      </x:c>
      <x:c r="O2066" s="22" t="n">
        <x:f>L2066*M2066</x:f>
        <x:v>15950</x:v>
      </x:c>
      <x:c r="P2066" s="22" t="n">
        <x:f>O2066*(1-N2066)</x:f>
        <x:v>15950</x:v>
      </x:c>
      <x:c r="Q2066" s="22" t="n">
        <x:v>1280</x:v>
      </x:c>
      <x:c r="R2066" s="22" t="n">
        <x:f>Q2066*M2066</x:f>
        <x:v>14080</x:v>
      </x:c>
      <x:c r="S2066" s="22" t="n">
        <x:f>P2066-R2066</x:f>
        <x:v>1870</x:v>
      </x:c>
      <x:c r="T2066" t="str">
        <x:v>Bank Transfer</x:v>
      </x:c>
      <x:c r="U2066" t="str">
        <x:v>Pending</x:v>
      </x:c>
      <x:c r="V2066" t="str">
        <x:v>Delivered</x:v>
      </x:c>
      <x:c r="W2066" t="n">
        <x:v>0</x:v>
      </x:c>
      <x:c r="X2066" t="str"/>
      <x:c r="Y2066" t="str">
        <x:v>Outbound Call</x:v>
      </x:c>
    </x:row>
    <x:row r="2067">
      <x:c r="A2067" t="str">
        <x:v>O002066</x:v>
      </x:c>
      <x:c r="B2067" s="20" t="n">
        <x:v>46266</x:v>
      </x:c>
      <x:c r="C2067" t="str">
        <x:v>C0147</x:v>
      </x:c>
      <x:c r="D2067" t="str">
        <x:v>New Stores 147</x:v>
      </x:c>
      <x:c r="E2067" t="str">
        <x:v>Supermarket</x:v>
      </x:c>
      <x:c r="F2067" t="str">
        <x:v>Hubballi</x:v>
      </x:c>
      <x:c r="G2067" t="str">
        <x:v>Imran</x:v>
      </x:c>
      <x:c r="H2067" t="str">
        <x:v>P012</x:v>
      </x:c>
      <x:c r="I2067" t="str">
        <x:v>Maida 10kg</x:v>
      </x:c>
      <x:c r="J2067" t="str">
        <x:v>Flour</x:v>
      </x:c>
      <x:c r="K2067" t="str">
        <x:v>Aashirvaad</x:v>
      </x:c>
      <x:c r="L2067" s="22" t="n">
        <x:v>520</x:v>
      </x:c>
      <x:c r="M2067" t="n">
        <x:v>1</x:v>
      </x:c>
      <x:c r="N2067" s="24" t="n">
        <x:v>0.05</x:v>
      </x:c>
      <x:c r="O2067" s="22" t="n">
        <x:f>L2067*M2067</x:f>
        <x:v>520</x:v>
      </x:c>
      <x:c r="P2067" s="22" t="n">
        <x:f>O2067*(1-N2067)</x:f>
        <x:v>494</x:v>
      </x:c>
      <x:c r="Q2067" s="22" t="n">
        <x:v>460</x:v>
      </x:c>
      <x:c r="R2067" s="22" t="n">
        <x:f>Q2067*M2067</x:f>
        <x:v>460</x:v>
      </x:c>
      <x:c r="S2067" s="22" t="n">
        <x:f>P2067-R2067</x:f>
        <x:v>34</x:v>
      </x:c>
      <x:c r="T2067" t="str">
        <x:v>Credit</x:v>
      </x:c>
      <x:c r="U2067" t="str">
        <x:v>Paid</x:v>
      </x:c>
      <x:c r="V2067" t="str">
        <x:v>Cancelled</x:v>
      </x:c>
      <x:c r="W2067" t="n">
        <x:v>1</x:v>
      </x:c>
      <x:c r="X2067" t="str">
        <x:v>Cancelled Order</x:v>
      </x:c>
      <x:c r="Y2067" t="str">
        <x:v>WhatsApp</x:v>
      </x:c>
    </x:row>
    <x:row r="2068">
      <x:c r="A2068" t="str">
        <x:v>O002067</x:v>
      </x:c>
      <x:c r="B2068" s="20" t="n">
        <x:v>45658</x:v>
      </x:c>
      <x:c r="C2068" t="str">
        <x:v>C0105</x:v>
      </x:c>
      <x:c r="D2068" t="str">
        <x:v>Foodie Restaurant 105</x:v>
      </x:c>
      <x:c r="E2068" t="str">
        <x:v>Supermarket</x:v>
      </x:c>
      <x:c r="F2068" t="str">
        <x:v>Bengaluru</x:v>
      </x:c>
      <x:c r="G2068" t="str">
        <x:v>Arjun</x:v>
      </x:c>
      <x:c r="H2068" t="str">
        <x:v>P026</x:v>
      </x:c>
      <x:c r="I2068" t="str">
        <x:v>Banana Chips 80g</x:v>
      </x:c>
      <x:c r="J2068" t="str">
        <x:v>Snacks</x:v>
      </x:c>
      <x:c r="K2068" t="str">
        <x:v>SSS</x:v>
      </x:c>
      <x:c r="L2068" s="22" t="n">
        <x:v>54</x:v>
      </x:c>
      <x:c r="M2068" t="n">
        <x:v>17</x:v>
      </x:c>
      <x:c r="N2068" s="24" t="n">
        <x:v>0.08</x:v>
      </x:c>
      <x:c r="O2068" s="22" t="n">
        <x:f>L2068*M2068</x:f>
        <x:v>918</x:v>
      </x:c>
      <x:c r="P2068" s="22" t="n">
        <x:f>O2068*(1-N2068)</x:f>
        <x:v>844.5600000000001</x:v>
      </x:c>
      <x:c r="Q2068" s="22" t="n">
        <x:v>39</x:v>
      </x:c>
      <x:c r="R2068" s="22" t="n">
        <x:f>Q2068*M2068</x:f>
        <x:v>663</x:v>
      </x:c>
      <x:c r="S2068" s="22" t="n">
        <x:f>P2068-R2068</x:f>
        <x:v>181.56000000000006</x:v>
      </x:c>
      <x:c r="T2068" t="str">
        <x:v>Cash</x:v>
      </x:c>
      <x:c r="U2068" t="str">
        <x:v>Pending</x:v>
      </x:c>
      <x:c r="V2068" t="str">
        <x:v>Delivered</x:v>
      </x:c>
      <x:c r="W2068" t="n">
        <x:v>0</x:v>
      </x:c>
      <x:c r="X2068" t="str"/>
      <x:c r="Y2068" t="str">
        <x:v>Field Visit</x:v>
      </x:c>
    </x:row>
    <x:row r="2069">
      <x:c r="A2069" t="str">
        <x:v>O002068</x:v>
      </x:c>
      <x:c r="B2069" s="20" t="n">
        <x:v>46146</x:v>
      </x:c>
      <x:c r="C2069" t="str">
        <x:v>C0048</x:v>
      </x:c>
      <x:c r="D2069" t="str">
        <x:v>Udupi Foods 48</x:v>
      </x:c>
      <x:c r="E2069" t="str">
        <x:v>Hotel</x:v>
      </x:c>
      <x:c r="F2069" t="str">
        <x:v>Bengaluru</x:v>
      </x:c>
      <x:c r="G2069" t="str">
        <x:v>Ramesh</x:v>
      </x:c>
      <x:c r="H2069" t="str">
        <x:v>P005</x:v>
      </x:c>
      <x:c r="I2069" t="str">
        <x:v>Chana Dal 5kg</x:v>
      </x:c>
      <x:c r="J2069" t="str">
        <x:v>Pulses</x:v>
      </x:c>
      <x:c r="K2069" t="str">
        <x:v>Local Select</x:v>
      </x:c>
      <x:c r="L2069" s="22" t="n">
        <x:v>520</x:v>
      </x:c>
      <x:c r="M2069" t="n">
        <x:v>19</x:v>
      </x:c>
      <x:c r="N2069" s="24" t="n">
        <x:v>0.05</x:v>
      </x:c>
      <x:c r="O2069" s="22" t="n">
        <x:f>L2069*M2069</x:f>
        <x:v>9880</x:v>
      </x:c>
      <x:c r="P2069" s="22" t="n">
        <x:f>O2069*(1-N2069)</x:f>
        <x:v>9386</x:v>
      </x:c>
      <x:c r="Q2069" s="22" t="n">
        <x:v>455</x:v>
      </x:c>
      <x:c r="R2069" s="22" t="n">
        <x:f>Q2069*M2069</x:f>
        <x:v>8645</x:v>
      </x:c>
      <x:c r="S2069" s="22" t="n">
        <x:f>P2069-R2069</x:f>
        <x:v>741</x:v>
      </x:c>
      <x:c r="T2069" t="str">
        <x:v>UPI</x:v>
      </x:c>
      <x:c r="U2069" t="str">
        <x:v>Paid</x:v>
      </x:c>
      <x:c r="V2069" t="str">
        <x:v>Delayed</x:v>
      </x:c>
      <x:c r="W2069" t="n">
        <x:v>0</x:v>
      </x:c>
      <x:c r="X2069" t="str"/>
      <x:c r="Y2069" t="str">
        <x:v>Outbound Call</x:v>
      </x:c>
    </x:row>
    <x:row r="2070">
      <x:c r="A2070" t="str">
        <x:v>O002069</x:v>
      </x:c>
      <x:c r="B2070" s="20" t="n">
        <x:v>46246</x:v>
      </x:c>
      <x:c r="C2070" t="str">
        <x:v>C0195</x:v>
      </x:c>
      <x:c r="D2070" t="str">
        <x:v>Classic Stores 195</x:v>
      </x:c>
      <x:c r="E2070" t="str">
        <x:v>Canteen</x:v>
      </x:c>
      <x:c r="F2070" t="str">
        <x:v>Davanagere</x:v>
      </x:c>
      <x:c r="G2070" t="str">
        <x:v>Kavya</x:v>
      </x:c>
      <x:c r="H2070" t="str">
        <x:v>P006</x:v>
      </x:c>
      <x:c r="I2070" t="str">
        <x:v>Moong Dal 5kg</x:v>
      </x:c>
      <x:c r="J2070" t="str">
        <x:v>Pulses</x:v>
      </x:c>
      <x:c r="K2070" t="str">
        <x:v>Local Select</x:v>
      </x:c>
      <x:c r="L2070" s="22" t="n">
        <x:v>610</x:v>
      </x:c>
      <x:c r="M2070" t="n">
        <x:v>15</x:v>
      </x:c>
      <x:c r="N2070" s="24" t="n">
        <x:v>0</x:v>
      </x:c>
      <x:c r="O2070" s="22" t="n">
        <x:f>L2070*M2070</x:f>
        <x:v>9150</x:v>
      </x:c>
      <x:c r="P2070" s="22" t="n">
        <x:f>O2070*(1-N2070)</x:f>
        <x:v>9150</x:v>
      </x:c>
      <x:c r="Q2070" s="22" t="n">
        <x:v>540</x:v>
      </x:c>
      <x:c r="R2070" s="22" t="n">
        <x:f>Q2070*M2070</x:f>
        <x:v>8100</x:v>
      </x:c>
      <x:c r="S2070" s="22" t="n">
        <x:f>P2070-R2070</x:f>
        <x:v>1050</x:v>
      </x:c>
      <x:c r="T2070" t="str">
        <x:v>Bank Transfer</x:v>
      </x:c>
      <x:c r="U2070" t="str">
        <x:v>Paid</x:v>
      </x:c>
      <x:c r="V2070" t="str">
        <x:v>Delivered</x:v>
      </x:c>
      <x:c r="W2070" t="n">
        <x:v>0</x:v>
      </x:c>
      <x:c r="X2070" t="str"/>
      <x:c r="Y2070" t="str">
        <x:v>Field Visit</x:v>
      </x:c>
    </x:row>
    <x:row r="2071">
      <x:c r="A2071" t="str">
        <x:v>O002070</x:v>
      </x:c>
      <x:c r="B2071" s="20" t="n">
        <x:v>46264</x:v>
      </x:c>
      <x:c r="C2071" t="str">
        <x:v>C0024</x:v>
      </x:c>
      <x:c r="D2071" t="str">
        <x:v>Darshini Restaurant 24</x:v>
      </x:c>
      <x:c r="E2071" t="str">
        <x:v>Restaurant</x:v>
      </x:c>
      <x:c r="F2071" t="str">
        <x:v>Davanagere</x:v>
      </x:c>
      <x:c r="G2071" t="str">
        <x:v>Sneha</x:v>
      </x:c>
      <x:c r="H2071" t="str">
        <x:v>P006</x:v>
      </x:c>
      <x:c r="I2071" t="str">
        <x:v>Moong Dal 5kg</x:v>
      </x:c>
      <x:c r="J2071" t="str">
        <x:v>Pulses</x:v>
      </x:c>
      <x:c r="K2071" t="str">
        <x:v>Local Select</x:v>
      </x:c>
      <x:c r="L2071" s="22" t="n">
        <x:v>610</x:v>
      </x:c>
      <x:c r="M2071" t="n">
        <x:v>15</x:v>
      </x:c>
      <x:c r="N2071" s="24" t="n">
        <x:v>0.02</x:v>
      </x:c>
      <x:c r="O2071" s="22" t="n">
        <x:f>L2071*M2071</x:f>
        <x:v>9150</x:v>
      </x:c>
      <x:c r="P2071" s="22" t="n">
        <x:f>O2071*(1-N2071)</x:f>
        <x:v>8967</x:v>
      </x:c>
      <x:c r="Q2071" s="22" t="n">
        <x:v>540</x:v>
      </x:c>
      <x:c r="R2071" s="22" t="n">
        <x:f>Q2071*M2071</x:f>
        <x:v>8100</x:v>
      </x:c>
      <x:c r="S2071" s="22" t="n">
        <x:f>P2071-R2071</x:f>
        <x:v>867</x:v>
      </x:c>
      <x:c r="T2071" t="str">
        <x:v>UPI</x:v>
      </x:c>
      <x:c r="U2071" t="str">
        <x:v>Paid</x:v>
      </x:c>
      <x:c r="V2071" t="str">
        <x:v>Delivered</x:v>
      </x:c>
      <x:c r="W2071" t="n">
        <x:v>0</x:v>
      </x:c>
      <x:c r="X2071" t="str"/>
      <x:c r="Y2071" t="str">
        <x:v>Existing Customer</x:v>
      </x:c>
    </x:row>
    <x:row r="2072">
      <x:c r="A2072" t="str">
        <x:v>O002071</x:v>
      </x:c>
      <x:c r="B2072" s="20" t="n">
        <x:v>45696</x:v>
      </x:c>
      <x:c r="C2072" t="str">
        <x:v>C0125</x:v>
      </x:c>
      <x:c r="D2072" t="str">
        <x:v>Spice Restaurant 125</x:v>
      </x:c>
      <x:c r="E2072" t="str">
        <x:v>Kirana</x:v>
      </x:c>
      <x:c r="F2072" t="str">
        <x:v>Tumakuru</x:v>
      </x:c>
      <x:c r="G2072" t="str">
        <x:v>Ramesh</x:v>
      </x:c>
      <x:c r="H2072" t="str">
        <x:v>P043</x:v>
      </x:c>
      <x:c r="I2072" t="str">
        <x:v>Chicken Breast 1kg</x:v>
      </x:c>
      <x:c r="J2072" t="str">
        <x:v>Protein</x:v>
      </x:c>
      <x:c r="K2072" t="str">
        <x:v>FreshToHome</x:v>
      </x:c>
      <x:c r="L2072" s="22" t="n">
        <x:v>260</x:v>
      </x:c>
      <x:c r="M2072" t="n">
        <x:v>21</x:v>
      </x:c>
      <x:c r="N2072" s="24" t="n">
        <x:v>0.02</x:v>
      </x:c>
      <x:c r="O2072" s="22" t="n">
        <x:f>L2072*M2072</x:f>
        <x:v>5460</x:v>
      </x:c>
      <x:c r="P2072" s="22" t="n">
        <x:f>O2072*(1-N2072)</x:f>
        <x:v>5350.8</x:v>
      </x:c>
      <x:c r="Q2072" s="22" t="n">
        <x:v>235</x:v>
      </x:c>
      <x:c r="R2072" s="22" t="n">
        <x:f>Q2072*M2072</x:f>
        <x:v>4935</x:v>
      </x:c>
      <x:c r="S2072" s="22" t="n">
        <x:f>P2072-R2072</x:f>
        <x:v>415.8000000000002</x:v>
      </x:c>
      <x:c r="T2072" t="str">
        <x:v>Credit</x:v>
      </x:c>
      <x:c r="U2072" t="str">
        <x:v>Paid</x:v>
      </x:c>
      <x:c r="V2072" t="str">
        <x:v>Cancelled</x:v>
      </x:c>
      <x:c r="W2072" t="n">
        <x:v>21</x:v>
      </x:c>
      <x:c r="X2072" t="str">
        <x:v>Cancelled Order</x:v>
      </x:c>
      <x:c r="Y2072" t="str">
        <x:v>WhatsApp</x:v>
      </x:c>
    </x:row>
    <x:row r="2073">
      <x:c r="A2073" t="str">
        <x:v>O002072</x:v>
      </x:c>
      <x:c r="B2073" s="20" t="n">
        <x:v>46104</x:v>
      </x:c>
      <x:c r="C2073" t="str">
        <x:v>C0015</x:v>
      </x:c>
      <x:c r="D2073" t="str">
        <x:v>Royal Foods 15</x:v>
      </x:c>
      <x:c r="E2073" t="str">
        <x:v>Cafe</x:v>
      </x:c>
      <x:c r="F2073" t="str">
        <x:v>Mysuru</x:v>
      </x:c>
      <x:c r="G2073" t="str">
        <x:v>Ramesh</x:v>
      </x:c>
      <x:c r="H2073" t="str">
        <x:v>P031</x:v>
      </x:c>
      <x:c r="I2073" t="str">
        <x:v>Chilli Sauce 700g</x:v>
      </x:c>
      <x:c r="J2073" t="str">
        <x:v>Condiments</x:v>
      </x:c>
      <x:c r="K2073" t="str">
        <x:v>Ching's</x:v>
      </x:c>
      <x:c r="L2073" s="22" t="n">
        <x:v>130</x:v>
      </x:c>
      <x:c r="M2073" t="n">
        <x:v>9</x:v>
      </x:c>
      <x:c r="N2073" s="24" t="n">
        <x:v>0.02</x:v>
      </x:c>
      <x:c r="O2073" s="22" t="n">
        <x:f>L2073*M2073</x:f>
        <x:v>1170</x:v>
      </x:c>
      <x:c r="P2073" s="22" t="n">
        <x:f>O2073*(1-N2073)</x:f>
        <x:v>1146.6</x:v>
      </x:c>
      <x:c r="Q2073" s="22" t="n">
        <x:v>112</x:v>
      </x:c>
      <x:c r="R2073" s="22" t="n">
        <x:f>Q2073*M2073</x:f>
        <x:v>1008</x:v>
      </x:c>
      <x:c r="S2073" s="22" t="n">
        <x:f>P2073-R2073</x:f>
        <x:v>138.5999999999999</x:v>
      </x:c>
      <x:c r="T2073" t="str">
        <x:v>Bank Transfer</x:v>
      </x:c>
      <x:c r="U2073" t="str">
        <x:v>Paid</x:v>
      </x:c>
      <x:c r="V2073" t="str">
        <x:v>Cancelled</x:v>
      </x:c>
      <x:c r="W2073" t="n">
        <x:v>9</x:v>
      </x:c>
      <x:c r="X2073" t="str">
        <x:v>Cancelled Order</x:v>
      </x:c>
      <x:c r="Y2073" t="str"/>
    </x:row>
    <x:row r="2074">
      <x:c r="A2074" t="str">
        <x:v>O002073</x:v>
      </x:c>
      <x:c r="B2074" s="20" t="n">
        <x:v>45891</x:v>
      </x:c>
      <x:c r="C2074" t="str">
        <x:v>C0147</x:v>
      </x:c>
      <x:c r="D2074" t="str">
        <x:v>New Stores 147</x:v>
      </x:c>
      <x:c r="E2074" t="str">
        <x:v>Supermarket</x:v>
      </x:c>
      <x:c r="F2074" t="str">
        <x:v>Hubballi</x:v>
      </x:c>
      <x:c r="G2074" t="str">
        <x:v>Imran</x:v>
      </x:c>
      <x:c r="H2074" t="str">
        <x:v>P021</x:v>
      </x:c>
      <x:c r="I2074" t="str">
        <x:v>Instant Coffee 200g</x:v>
      </x:c>
      <x:c r="J2074" t="str">
        <x:v>Beverage</x:v>
      </x:c>
      <x:c r="K2074" t="str">
        <x:v>Nescafe</x:v>
      </x:c>
      <x:c r="L2074" s="22" t="n">
        <x:v>460</x:v>
      </x:c>
      <x:c r="M2074" t="n">
        <x:v>30</x:v>
      </x:c>
      <x:c r="N2074" s="24" t="n">
        <x:v>0</x:v>
      </x:c>
      <x:c r="O2074" s="22" t="n">
        <x:f>L2074*M2074</x:f>
        <x:v>13800</x:v>
      </x:c>
      <x:c r="P2074" s="22" t="n">
        <x:f>O2074*(1-N2074)</x:f>
        <x:v>13800</x:v>
      </x:c>
      <x:c r="Q2074" s="22" t="n">
        <x:v>410</x:v>
      </x:c>
      <x:c r="R2074" s="22" t="n">
        <x:f>Q2074*M2074</x:f>
        <x:v>12300</x:v>
      </x:c>
      <x:c r="S2074" s="22" t="n">
        <x:f>P2074-R2074</x:f>
        <x:v>1500</x:v>
      </x:c>
      <x:c r="T2074" t="str">
        <x:v>Cash</x:v>
      </x:c>
      <x:c r="U2074" t="str">
        <x:v>Paid</x:v>
      </x:c>
      <x:c r="V2074" t="str">
        <x:v>Delivered</x:v>
      </x:c>
      <x:c r="W2074" t="n">
        <x:v>0</x:v>
      </x:c>
      <x:c r="X2074" t="str"/>
      <x:c r="Y2074" t="str">
        <x:v>Referral</x:v>
      </x:c>
    </x:row>
    <x:row r="2075">
      <x:c r="A2075" t="str">
        <x:v>O002074</x:v>
      </x:c>
      <x:c r="B2075" s="20" t="n">
        <x:v>45868</x:v>
      </x:c>
      <x:c r="C2075" t="str">
        <x:v>C0173</x:v>
      </x:c>
      <x:c r="D2075" t="str">
        <x:v>Royal Kitchen 173</x:v>
      </x:c>
      <x:c r="E2075" t="str">
        <x:v>Hotel</x:v>
      </x:c>
      <x:c r="F2075" t="str">
        <x:v>Bengaluru</x:v>
      </x:c>
      <x:c r="G2075" t="str">
        <x:v>Priya</x:v>
      </x:c>
      <x:c r="H2075" t="str">
        <x:v>P008</x:v>
      </x:c>
      <x:c r="I2075" t="str">
        <x:v>Palm Oil 15L</x:v>
      </x:c>
      <x:c r="J2075" t="str">
        <x:v>Edible Oil</x:v>
      </x:c>
      <x:c r="K2075" t="str">
        <x:v>Ruchi Gold</x:v>
      </x:c>
      <x:c r="L2075" s="22" t="n">
        <x:v>1760</x:v>
      </x:c>
      <x:c r="M2075" t="n">
        <x:v>7</x:v>
      </x:c>
      <x:c r="N2075" s="24" t="n">
        <x:v>0</x:v>
      </x:c>
      <x:c r="O2075" s="22" t="n">
        <x:f>L2075*M2075</x:f>
        <x:v>12320</x:v>
      </x:c>
      <x:c r="P2075" s="22" t="n">
        <x:f>O2075*(1-N2075)</x:f>
        <x:v>12320</x:v>
      </x:c>
      <x:c r="Q2075" s="22" t="n">
        <x:v>1610</x:v>
      </x:c>
      <x:c r="R2075" s="22" t="n">
        <x:f>Q2075*M2075</x:f>
        <x:v>11270</x:v>
      </x:c>
      <x:c r="S2075" s="22" t="n">
        <x:f>P2075-R2075</x:f>
        <x:v>1050</x:v>
      </x:c>
      <x:c r="T2075" t="str">
        <x:v>Cash</x:v>
      </x:c>
      <x:c r="U2075" t="str">
        <x:v>Paid</x:v>
      </x:c>
      <x:c r="V2075" t="str">
        <x:v>Delivered</x:v>
      </x:c>
      <x:c r="W2075" t="n">
        <x:v>0</x:v>
      </x:c>
      <x:c r="X2075" t="str"/>
      <x:c r="Y2075" t="str">
        <x:v>Field Visit</x:v>
      </x:c>
    </x:row>
    <x:row r="2076">
      <x:c r="A2076" t="str">
        <x:v>O002075</x:v>
      </x:c>
      <x:c r="B2076" s="20" t="n">
        <x:v>45759</x:v>
      </x:c>
      <x:c r="C2076" t="str">
        <x:v>C0052</x:v>
      </x:c>
      <x:c r="D2076" t="str">
        <x:v>Sagar Canteen 52</x:v>
      </x:c>
      <x:c r="E2076" t="str">
        <x:v>Kirana</x:v>
      </x:c>
      <x:c r="F2076" t="str">
        <x:v>Mysuru</x:v>
      </x:c>
      <x:c r="G2076" t="str">
        <x:v>Kavya</x:v>
      </x:c>
      <x:c r="H2076" t="str">
        <x:v>P046</x:v>
      </x:c>
      <x:c r="I2076" t="str">
        <x:v>Potato 25kg</x:v>
      </x:c>
      <x:c r="J2076" t="str">
        <x:v>Fresh Produce</x:v>
      </x:c>
      <x:c r="K2076" t="str">
        <x:v>Local Market</x:v>
      </x:c>
      <x:c r="L2076" s="22" t="n">
        <x:v>700</x:v>
      </x:c>
      <x:c r="M2076" t="n">
        <x:v>25</x:v>
      </x:c>
      <x:c r="N2076" s="24" t="n">
        <x:v>0.02</x:v>
      </x:c>
      <x:c r="O2076" s="22" t="n">
        <x:f>L2076*M2076</x:f>
        <x:v>17500</x:v>
      </x:c>
      <x:c r="P2076" s="22" t="n">
        <x:f>O2076*(1-N2076)</x:f>
        <x:v>17150</x:v>
      </x:c>
      <x:c r="Q2076" s="22" t="n">
        <x:v>610</x:v>
      </x:c>
      <x:c r="R2076" s="22" t="n">
        <x:f>Q2076*M2076</x:f>
        <x:v>15250</x:v>
      </x:c>
      <x:c r="S2076" s="22" t="n">
        <x:f>P2076-R2076</x:f>
        <x:v>1900</x:v>
      </x:c>
      <x:c r="T2076" t="str">
        <x:v>Cash</x:v>
      </x:c>
      <x:c r="U2076" t="str">
        <x:v>Paid</x:v>
      </x:c>
      <x:c r="V2076" t="str">
        <x:v>Cancelled</x:v>
      </x:c>
      <x:c r="W2076" t="n">
        <x:v>25</x:v>
      </x:c>
      <x:c r="X2076" t="str">
        <x:v>Cancelled Order</x:v>
      </x:c>
      <x:c r="Y2076" t="str">
        <x:v>Referral</x:v>
      </x:c>
    </x:row>
    <x:row r="2077">
      <x:c r="A2077" t="str">
        <x:v>O002076</x:v>
      </x:c>
      <x:c r="B2077" s="20" t="n">
        <x:v>46055</x:v>
      </x:c>
      <x:c r="C2077" t="str">
        <x:v>C0119</x:v>
      </x:c>
      <x:c r="D2077" t="str">
        <x:v>Foodie Foods 119</x:v>
      </x:c>
      <x:c r="E2077" t="str">
        <x:v>Kirana</x:v>
      </x:c>
      <x:c r="F2077" t="str">
        <x:v>Hubballi</x:v>
      </x:c>
      <x:c r="G2077" t="str">
        <x:v>Imran</x:v>
      </x:c>
      <x:c r="H2077" t="str">
        <x:v>P031</x:v>
      </x:c>
      <x:c r="I2077" t="str">
        <x:v>Chilli Sauce 700g</x:v>
      </x:c>
      <x:c r="J2077" t="str">
        <x:v>Condiments</x:v>
      </x:c>
      <x:c r="K2077" t="str">
        <x:v>Ching's</x:v>
      </x:c>
      <x:c r="L2077" s="22" t="n">
        <x:v>130</x:v>
      </x:c>
      <x:c r="M2077" t="n">
        <x:v>34</x:v>
      </x:c>
      <x:c r="N2077" s="24" t="n">
        <x:v>0.02</x:v>
      </x:c>
      <x:c r="O2077" s="22" t="n">
        <x:f>L2077*M2077</x:f>
        <x:v>4420</x:v>
      </x:c>
      <x:c r="P2077" s="22" t="n">
        <x:f>O2077*(1-N2077)</x:f>
        <x:v>4331.6</x:v>
      </x:c>
      <x:c r="Q2077" s="22" t="n">
        <x:v>112</x:v>
      </x:c>
      <x:c r="R2077" s="22" t="n">
        <x:f>Q2077*M2077</x:f>
        <x:v>3808</x:v>
      </x:c>
      <x:c r="S2077" s="22" t="n">
        <x:f>P2077-R2077</x:f>
        <x:v>523.6000000000004</x:v>
      </x:c>
      <x:c r="T2077" t="str">
        <x:v>Credit</x:v>
      </x:c>
      <x:c r="U2077" t="str">
        <x:v>Pending</x:v>
      </x:c>
      <x:c r="V2077" t="str">
        <x:v>Delivered</x:v>
      </x:c>
      <x:c r="W2077" t="n">
        <x:v>0</x:v>
      </x:c>
      <x:c r="X2077" t="str"/>
      <x:c r="Y2077" t="str">
        <x:v>Referral</x:v>
      </x:c>
    </x:row>
    <x:row r="2078">
      <x:c r="A2078" t="str">
        <x:v>O002077</x:v>
      </x:c>
      <x:c r="B2078" s="20" t="n">
        <x:v>45842</x:v>
      </x:c>
      <x:c r="C2078" t="str">
        <x:v>C0155</x:v>
      </x:c>
      <x:c r="D2078" t="str">
        <x:v>New Mart 155</x:v>
      </x:c>
      <x:c r="E2078" t="str">
        <x:v>Hotel</x:v>
      </x:c>
      <x:c r="F2078" t="str">
        <x:v>Mysuru</x:v>
      </x:c>
      <x:c r="G2078" t="str">
        <x:v>Sneha</x:v>
      </x:c>
      <x:c r="H2078" t="str">
        <x:v>P019</x:v>
      </x:c>
      <x:c r="I2078" t="str">
        <x:v>Tea 1kg</x:v>
      </x:c>
      <x:c r="J2078" t="str">
        <x:v>Beverage</x:v>
      </x:c>
      <x:c r="K2078" t="str">
        <x:v>Red Label</x:v>
      </x:c>
      <x:c r="L2078" s="22" t="n">
        <x:v>540</x:v>
      </x:c>
      <x:c r="M2078" t="n">
        <x:v>40</x:v>
      </x:c>
      <x:c r="N2078" s="24" t="n">
        <x:v>0.1</x:v>
      </x:c>
      <x:c r="O2078" s="22" t="n">
        <x:f>L2078*M2078</x:f>
        <x:v>21600</x:v>
      </x:c>
      <x:c r="P2078" s="22" t="n">
        <x:f>O2078*(1-N2078)</x:f>
        <x:v>19440</x:v>
      </x:c>
      <x:c r="Q2078" s="22" t="n">
        <x:v>485</x:v>
      </x:c>
      <x:c r="R2078" s="22" t="n">
        <x:f>Q2078*M2078</x:f>
        <x:v>19400</x:v>
      </x:c>
      <x:c r="S2078" s="22" t="n">
        <x:f>P2078-R2078</x:f>
        <x:v>40</x:v>
      </x:c>
      <x:c r="T2078" t="str">
        <x:v>Cash</x:v>
      </x:c>
      <x:c r="U2078" t="str">
        <x:v>Pending</x:v>
      </x:c>
      <x:c r="V2078" t="str">
        <x:v>Delivered</x:v>
      </x:c>
      <x:c r="W2078" t="n">
        <x:v>0</x:v>
      </x:c>
      <x:c r="X2078" t="str"/>
      <x:c r="Y2078" t="str">
        <x:v>Field Visit</x:v>
      </x:c>
    </x:row>
    <x:row r="2079">
      <x:c r="A2079" t="str">
        <x:v>O002078</x:v>
      </x:c>
      <x:c r="B2079" s="20" t="n">
        <x:v>45678</x:v>
      </x:c>
      <x:c r="C2079" t="str">
        <x:v>C0141</x:v>
      </x:c>
      <x:c r="D2079" t="str">
        <x:v>Sri Restaurant 141</x:v>
      </x:c>
      <x:c r="E2079" t="str">
        <x:v>Restaurant</x:v>
      </x:c>
      <x:c r="F2079" t="str">
        <x:v>Mangaluru</x:v>
      </x:c>
      <x:c r="G2079" t="str">
        <x:v>Ramesh</x:v>
      </x:c>
      <x:c r="H2079" t="str">
        <x:v>P029</x:v>
      </x:c>
      <x:c r="I2079" t="str">
        <x:v>Tomato Ketchup 1kg</x:v>
      </x:c>
      <x:c r="J2079" t="str">
        <x:v>Condiments</x:v>
      </x:c>
      <x:c r="K2079" t="str">
        <x:v>Kissan</x:v>
      </x:c>
      <x:c r="L2079" s="22" t="n">
        <x:v>145</x:v>
      </x:c>
      <x:c r="M2079" t="n">
        <x:v>6</x:v>
      </x:c>
      <x:c r="N2079" s="24" t="n">
        <x:v>0.05</x:v>
      </x:c>
      <x:c r="O2079" s="22" t="n">
        <x:f>L2079*M2079</x:f>
        <x:v>870</x:v>
      </x:c>
      <x:c r="P2079" s="22" t="n">
        <x:f>O2079*(1-N2079)</x:f>
        <x:v>826.5</x:v>
      </x:c>
      <x:c r="Q2079" s="22" t="n">
        <x:v>126</x:v>
      </x:c>
      <x:c r="R2079" s="22" t="n">
        <x:f>Q2079*M2079</x:f>
        <x:v>756</x:v>
      </x:c>
      <x:c r="S2079" s="22" t="n">
        <x:f>P2079-R2079</x:f>
        <x:v>70.5</x:v>
      </x:c>
      <x:c r="T2079" t="str">
        <x:v>Credit</x:v>
      </x:c>
      <x:c r="U2079" t="str">
        <x:v>Paid</x:v>
      </x:c>
      <x:c r="V2079" t="str">
        <x:v>Delayed</x:v>
      </x:c>
      <x:c r="W2079" t="n">
        <x:v>0</x:v>
      </x:c>
      <x:c r="X2079" t="str"/>
      <x:c r="Y2079" t="str">
        <x:v>Referral</x:v>
      </x:c>
    </x:row>
    <x:row r="2080">
      <x:c r="A2080" t="str">
        <x:v>O002079</x:v>
      </x:c>
      <x:c r="B2080" s="20" t="n">
        <x:v>45700</x:v>
      </x:c>
      <x:c r="C2080" t="str">
        <x:v>C0179</x:v>
      </x:c>
      <x:c r="D2080" t="str">
        <x:v>Shree Hotel 179</x:v>
      </x:c>
      <x:c r="E2080" t="str">
        <x:v>Restaurant</x:v>
      </x:c>
      <x:c r="F2080" t="str">
        <x:v>Hubballi</x:v>
      </x:c>
      <x:c r="G2080" t="str">
        <x:v>Kavya</x:v>
      </x:c>
      <x:c r="H2080" t="str">
        <x:v>P012</x:v>
      </x:c>
      <x:c r="I2080" t="str">
        <x:v>Maida 10kg</x:v>
      </x:c>
      <x:c r="J2080" t="str">
        <x:v>Flour</x:v>
      </x:c>
      <x:c r="K2080" t="str">
        <x:v>Aashirvaad</x:v>
      </x:c>
      <x:c r="L2080" s="22" t="n">
        <x:v>520</x:v>
      </x:c>
      <x:c r="M2080" t="n">
        <x:v>11</x:v>
      </x:c>
      <x:c r="N2080" s="24" t="n">
        <x:v>0.02</x:v>
      </x:c>
      <x:c r="O2080" s="22" t="n">
        <x:f>L2080*M2080</x:f>
        <x:v>5720</x:v>
      </x:c>
      <x:c r="P2080" s="22" t="n">
        <x:f>O2080*(1-N2080)</x:f>
        <x:v>5605.599999999999</x:v>
      </x:c>
      <x:c r="Q2080" s="22" t="n">
        <x:v>460</x:v>
      </x:c>
      <x:c r="R2080" s="22" t="n">
        <x:f>Q2080*M2080</x:f>
        <x:v>5060</x:v>
      </x:c>
      <x:c r="S2080" s="22" t="n">
        <x:f>P2080-R2080</x:f>
        <x:v>545.5999999999995</x:v>
      </x:c>
      <x:c r="T2080" t="str">
        <x:v>Bank Transfer</x:v>
      </x:c>
      <x:c r="U2080" t="str">
        <x:v>Paid</x:v>
      </x:c>
      <x:c r="V2080" t="str">
        <x:v>Delivered</x:v>
      </x:c>
      <x:c r="W2080" t="n">
        <x:v>0</x:v>
      </x:c>
      <x:c r="X2080" t="str"/>
      <x:c r="Y2080" t="str">
        <x:v>Outbound Call</x:v>
      </x:c>
    </x:row>
    <x:row r="2081">
      <x:c r="A2081" t="str">
        <x:v>O002080</x:v>
      </x:c>
      <x:c r="B2081" s="20" t="n">
        <x:v>45933</x:v>
      </x:c>
      <x:c r="C2081" t="str">
        <x:v>C0044</x:v>
      </x:c>
      <x:c r="D2081" t="str">
        <x:v>Annapurna Mart 44</x:v>
      </x:c>
      <x:c r="E2081" t="str">
        <x:v>Kirana</x:v>
      </x:c>
      <x:c r="F2081" t="str">
        <x:v>Davanagere</x:v>
      </x:c>
      <x:c r="G2081" t="str">
        <x:v>Priya</x:v>
      </x:c>
      <x:c r="H2081" t="str">
        <x:v>P015</x:v>
      </x:c>
      <x:c r="I2081" t="str">
        <x:v>Milk 1L</x:v>
      </x:c>
      <x:c r="J2081" t="str">
        <x:v>Dairy</x:v>
      </x:c>
      <x:c r="K2081" t="str">
        <x:v>Nandini</x:v>
      </x:c>
      <x:c r="L2081" s="22" t="n">
        <x:v>48</x:v>
      </x:c>
      <x:c r="M2081" t="n">
        <x:v>23</x:v>
      </x:c>
      <x:c r="N2081" s="24" t="n">
        <x:v>0.03</x:v>
      </x:c>
      <x:c r="O2081" s="22" t="n">
        <x:f>L2081*M2081</x:f>
        <x:v>1104</x:v>
      </x:c>
      <x:c r="P2081" s="22" t="n">
        <x:f>O2081*(1-N2081)</x:f>
        <x:v>1070.8799999999999</x:v>
      </x:c>
      <x:c r="Q2081" s="22" t="n">
        <x:v>43</x:v>
      </x:c>
      <x:c r="R2081" s="22" t="n">
        <x:f>Q2081*M2081</x:f>
        <x:v>989</x:v>
      </x:c>
      <x:c r="S2081" s="22" t="n">
        <x:f>P2081-R2081</x:f>
        <x:v>81.87999999999988</x:v>
      </x:c>
      <x:c r="T2081" t="str">
        <x:v>Cash</x:v>
      </x:c>
      <x:c r="U2081" t="str">
        <x:v>Pending</x:v>
      </x:c>
      <x:c r="V2081" t="str">
        <x:v>Delayed</x:v>
      </x:c>
      <x:c r="W2081" t="n">
        <x:v>0</x:v>
      </x:c>
      <x:c r="X2081" t="str"/>
      <x:c r="Y2081" t="str">
        <x:v>WhatsApp</x:v>
      </x:c>
    </x:row>
    <x:row r="2082">
      <x:c r="A2082" t="str">
        <x:v>O002081</x:v>
      </x:c>
      <x:c r="B2082" s="20" t="n">
        <x:v>45669</x:v>
      </x:c>
      <x:c r="C2082" t="str">
        <x:v>C0115</x:v>
      </x:c>
      <x:c r="D2082" t="str">
        <x:v>Mysore Mart 115</x:v>
      </x:c>
      <x:c r="E2082" t="str">
        <x:v>Kirana</x:v>
      </x:c>
      <x:c r="F2082" t="str">
        <x:v>Mangaluru</x:v>
      </x:c>
      <x:c r="G2082" t="str">
        <x:v>Arjun</x:v>
      </x:c>
      <x:c r="H2082" t="str">
        <x:v>P037</x:v>
      </x:c>
      <x:c r="I2082" t="str">
        <x:v>Frozen Peas 1kg</x:v>
      </x:c>
      <x:c r="J2082" t="str">
        <x:v>Frozen</x:v>
      </x:c>
      <x:c r="K2082" t="str">
        <x:v>Safal</x:v>
      </x:c>
      <x:c r="L2082" s="22" t="n">
        <x:v>155</x:v>
      </x:c>
      <x:c r="M2082" t="n">
        <x:v>11</x:v>
      </x:c>
      <x:c r="N2082" s="24" t="n">
        <x:v>0.02</x:v>
      </x:c>
      <x:c r="O2082" s="22" t="n">
        <x:f>L2082*M2082</x:f>
        <x:v>1705</x:v>
      </x:c>
      <x:c r="P2082" s="22" t="n">
        <x:f>O2082*(1-N2082)</x:f>
        <x:v>1670.8999999999999</x:v>
      </x:c>
      <x:c r="Q2082" s="22" t="n">
        <x:v>138</x:v>
      </x:c>
      <x:c r="R2082" s="22" t="n">
        <x:f>Q2082*M2082</x:f>
        <x:v>1518</x:v>
      </x:c>
      <x:c r="S2082" s="22" t="n">
        <x:f>P2082-R2082</x:f>
        <x:v>152.89999999999986</x:v>
      </x:c>
      <x:c r="T2082" t="str">
        <x:v>Cash</x:v>
      </x:c>
      <x:c r="U2082" t="str">
        <x:v>Pending</x:v>
      </x:c>
      <x:c r="V2082" t="str">
        <x:v>Delivered</x:v>
      </x:c>
      <x:c r="W2082" t="n">
        <x:v>0</x:v>
      </x:c>
      <x:c r="X2082" t="str"/>
      <x:c r="Y2082" t="str">
        <x:v>WhatsApp</x:v>
      </x:c>
    </x:row>
    <x:row r="2083">
      <x:c r="A2083" t="str">
        <x:v>O002082</x:v>
      </x:c>
      <x:c r="B2083" s="20" t="n">
        <x:v>46230</x:v>
      </x:c>
      <x:c r="C2083" t="str">
        <x:v>C0036</x:v>
      </x:c>
      <x:c r="D2083" t="str">
        <x:v>Grand Hotel 36</x:v>
      </x:c>
      <x:c r="E2083" t="str">
        <x:v>Canteen</x:v>
      </x:c>
      <x:c r="F2083" t="str">
        <x:v>Tumakuru</x:v>
      </x:c>
      <x:c r="G2083" t="str">
        <x:v>Kavya</x:v>
      </x:c>
      <x:c r="H2083" t="str">
        <x:v>P027</x:v>
      </x:c>
      <x:c r="I2083" t="str">
        <x:v>Biscuits 120g</x:v>
      </x:c>
      <x:c r="J2083" t="str">
        <x:v>Snacks</x:v>
      </x:c>
      <x:c r="K2083" t="str">
        <x:v>Parle-G</x:v>
      </x:c>
      <x:c r="L2083" s="22" t="n">
        <x:v>12</x:v>
      </x:c>
      <x:c r="M2083" t="n">
        <x:v>37</x:v>
      </x:c>
      <x:c r="N2083" s="24" t="n">
        <x:v>0</x:v>
      </x:c>
      <x:c r="O2083" s="22" t="n">
        <x:f>L2083*M2083</x:f>
        <x:v>444</x:v>
      </x:c>
      <x:c r="P2083" s="22" t="n">
        <x:f>O2083*(1-N2083)</x:f>
        <x:v>444</x:v>
      </x:c>
      <x:c r="Q2083" s="22" t="n">
        <x:v>9</x:v>
      </x:c>
      <x:c r="R2083" s="22" t="n">
        <x:f>Q2083*M2083</x:f>
        <x:v>333</x:v>
      </x:c>
      <x:c r="S2083" s="22" t="n">
        <x:f>P2083-R2083</x:f>
        <x:v>111</x:v>
      </x:c>
      <x:c r="T2083" t="str">
        <x:v>Credit</x:v>
      </x:c>
      <x:c r="U2083" t="str">
        <x:v>Paid</x:v>
      </x:c>
      <x:c r="V2083" t="str">
        <x:v>Delayed</x:v>
      </x:c>
      <x:c r="W2083" t="n">
        <x:v>0</x:v>
      </x:c>
      <x:c r="X2083" t="str"/>
      <x:c r="Y2083" t="str">
        <x:v>WhatsApp</x:v>
      </x:c>
    </x:row>
    <x:row r="2084">
      <x:c r="A2084" t="str">
        <x:v>O002083</x:v>
      </x:c>
      <x:c r="B2084" s="20" t="n">
        <x:v>45670</x:v>
      </x:c>
      <x:c r="C2084" t="str">
        <x:v>C0069</x:v>
      </x:c>
      <x:c r="D2084" t="str">
        <x:v>Cafe Hotel 69</x:v>
      </x:c>
      <x:c r="E2084" t="str">
        <x:v>Supermarket</x:v>
      </x:c>
      <x:c r="F2084" t="str">
        <x:v>Bengaluru</x:v>
      </x:c>
      <x:c r="G2084" t="str">
        <x:v>Sneha</x:v>
      </x:c>
      <x:c r="H2084" t="str">
        <x:v>P005</x:v>
      </x:c>
      <x:c r="I2084" t="str">
        <x:v>Chana Dal 5kg</x:v>
      </x:c>
      <x:c r="J2084" t="str">
        <x:v>Pulses</x:v>
      </x:c>
      <x:c r="K2084" t="str">
        <x:v>Local Select</x:v>
      </x:c>
      <x:c r="L2084" s="22" t="n">
        <x:v>520</x:v>
      </x:c>
      <x:c r="M2084" t="n">
        <x:v>1</x:v>
      </x:c>
      <x:c r="N2084" s="24" t="n">
        <x:v>0.03</x:v>
      </x:c>
      <x:c r="O2084" s="22" t="n">
        <x:f>L2084*M2084</x:f>
        <x:v>520</x:v>
      </x:c>
      <x:c r="P2084" s="22" t="n">
        <x:f>O2084*(1-N2084)</x:f>
        <x:v>504.4</x:v>
      </x:c>
      <x:c r="Q2084" s="22" t="n">
        <x:v>455</x:v>
      </x:c>
      <x:c r="R2084" s="22" t="n">
        <x:f>Q2084*M2084</x:f>
        <x:v>455</x:v>
      </x:c>
      <x:c r="S2084" s="22" t="n">
        <x:f>P2084-R2084</x:f>
        <x:v>49.39999999999998</x:v>
      </x:c>
      <x:c r="T2084" t="str">
        <x:v>Bank Transfer</x:v>
      </x:c>
      <x:c r="U2084" t="str">
        <x:v>Paid</x:v>
      </x:c>
      <x:c r="V2084" t="str">
        <x:v>Delivered</x:v>
      </x:c>
      <x:c r="W2084" t="n">
        <x:v>0</x:v>
      </x:c>
      <x:c r="X2084" t="str"/>
      <x:c r="Y2084" t="str">
        <x:v>Field Visit</x:v>
      </x:c>
    </x:row>
    <x:row r="2085">
      <x:c r="A2085" t="str">
        <x:v>O002084</x:v>
      </x:c>
      <x:c r="B2085" s="20" t="n">
        <x:v>45836</x:v>
      </x:c>
      <x:c r="C2085" t="str">
        <x:v>C0242</x:v>
      </x:c>
      <x:c r="D2085" t="str">
        <x:v>Fresh Cafe 242</x:v>
      </x:c>
      <x:c r="E2085" t="str">
        <x:v>Canteen</x:v>
      </x:c>
      <x:c r="F2085" t="str">
        <x:v>Davanagere</x:v>
      </x:c>
      <x:c r="G2085" t="str">
        <x:v>Kavya</x:v>
      </x:c>
      <x:c r="H2085" t="str">
        <x:v>P018</x:v>
      </x:c>
      <x:c r="I2085" t="str">
        <x:v>Paneer 1kg</x:v>
      </x:c>
      <x:c r="J2085" t="str">
        <x:v>Dairy</x:v>
      </x:c>
      <x:c r="K2085" t="str">
        <x:v>Milky Mist</x:v>
      </x:c>
      <x:c r="L2085" s="22" t="n">
        <x:v>410</x:v>
      </x:c>
      <x:c r="M2085" t="n">
        <x:v>6</x:v>
      </x:c>
      <x:c r="N2085" s="24" t="n">
        <x:v>0.02</x:v>
      </x:c>
      <x:c r="O2085" s="22" t="n">
        <x:f>L2085*M2085</x:f>
        <x:v>2460</x:v>
      </x:c>
      <x:c r="P2085" s="22" t="n">
        <x:f>O2085*(1-N2085)</x:f>
        <x:v>2410.8</x:v>
      </x:c>
      <x:c r="Q2085" s="22" t="n">
        <x:v>370</x:v>
      </x:c>
      <x:c r="R2085" s="22" t="n">
        <x:f>Q2085*M2085</x:f>
        <x:v>2220</x:v>
      </x:c>
      <x:c r="S2085" s="22" t="n">
        <x:f>P2085-R2085</x:f>
        <x:v>190.80000000000018</x:v>
      </x:c>
      <x:c r="T2085" t="str">
        <x:v>Cash</x:v>
      </x:c>
      <x:c r="U2085" t="str">
        <x:v>Paid</x:v>
      </x:c>
      <x:c r="V2085" t="str">
        <x:v>Delayed</x:v>
      </x:c>
      <x:c r="W2085" t="n">
        <x:v>0</x:v>
      </x:c>
      <x:c r="X2085" t="str"/>
      <x:c r="Y2085" t="str">
        <x:v>Existing Customer</x:v>
      </x:c>
    </x:row>
    <x:row r="2086">
      <x:c r="A2086" t="str">
        <x:v>O002085</x:v>
      </x:c>
      <x:c r="B2086" s="20" t="n">
        <x:v>46253</x:v>
      </x:c>
      <x:c r="C2086" t="str">
        <x:v>C0205</x:v>
      </x:c>
      <x:c r="D2086" t="str">
        <x:v>Royal Mart 205</x:v>
      </x:c>
      <x:c r="E2086" t="str">
        <x:v>Kirana</x:v>
      </x:c>
      <x:c r="F2086" t="str">
        <x:v>Mysuru</x:v>
      </x:c>
      <x:c r="G2086" t="str">
        <x:v>Priya</x:v>
      </x:c>
      <x:c r="H2086" t="str">
        <x:v>P003</x:v>
      </x:c>
      <x:c r="I2086" t="str">
        <x:v>Basmati Rice 5kg</x:v>
      </x:c>
      <x:c r="J2086" t="str">
        <x:v>Staples</x:v>
      </x:c>
      <x:c r="K2086" t="str">
        <x:v>India Gate</x:v>
      </x:c>
      <x:c r="L2086" s="22" t="n">
        <x:v>690</x:v>
      </x:c>
      <x:c r="M2086" t="n">
        <x:v>15</x:v>
      </x:c>
      <x:c r="N2086" s="24" t="n">
        <x:v>0.03</x:v>
      </x:c>
      <x:c r="O2086" s="22" t="n">
        <x:f>L2086*M2086</x:f>
        <x:v>10350</x:v>
      </x:c>
      <x:c r="P2086" s="22" t="n">
        <x:f>O2086*(1-N2086)</x:f>
        <x:v>10039.5</x:v>
      </x:c>
      <x:c r="Q2086" s="22" t="n">
        <x:v>610</x:v>
      </x:c>
      <x:c r="R2086" s="22" t="n">
        <x:f>Q2086*M2086</x:f>
        <x:v>9150</x:v>
      </x:c>
      <x:c r="S2086" s="22" t="n">
        <x:f>P2086-R2086</x:f>
        <x:v>889.5</x:v>
      </x:c>
      <x:c r="T2086" t="str">
        <x:v>UPI</x:v>
      </x:c>
      <x:c r="U2086" t="str">
        <x:v>Paid</x:v>
      </x:c>
      <x:c r="V2086" t="str">
        <x:v>Delivered</x:v>
      </x:c>
      <x:c r="W2086" t="n">
        <x:v>4</x:v>
      </x:c>
      <x:c r="X2086" t="str">
        <x:v>Late Delivery</x:v>
      </x:c>
      <x:c r="Y2086" t="str">
        <x:v>Outbound Call</x:v>
      </x:c>
    </x:row>
    <x:row r="2087">
      <x:c r="A2087" t="str">
        <x:v>O002086</x:v>
      </x:c>
      <x:c r="B2087" s="20" t="n">
        <x:v>46193</x:v>
      </x:c>
      <x:c r="C2087" t="str">
        <x:v>C0117</x:v>
      </x:c>
      <x:c r="D2087" t="str">
        <x:v>Classic Canteen 117</x:v>
      </x:c>
      <x:c r="E2087" t="str">
        <x:v>Restaurant</x:v>
      </x:c>
      <x:c r="F2087" t="str">
        <x:v>Hubballi</x:v>
      </x:c>
      <x:c r="G2087" t="str">
        <x:v>Megha</x:v>
      </x:c>
      <x:c r="H2087" t="str">
        <x:v>P033</x:v>
      </x:c>
      <x:c r="I2087" t="str">
        <x:v>Turmeric Powder 1kg</x:v>
      </x:c>
      <x:c r="J2087" t="str">
        <x:v>Spices</x:v>
      </x:c>
      <x:c r="K2087" t="str">
        <x:v>Everest</x:v>
      </x:c>
      <x:c r="L2087" s="22" t="n">
        <x:v>310</x:v>
      </x:c>
      <x:c r="M2087" t="n">
        <x:v>17</x:v>
      </x:c>
      <x:c r="N2087" s="24" t="n">
        <x:v>0.02</x:v>
      </x:c>
      <x:c r="O2087" s="22" t="n">
        <x:f>L2087*M2087</x:f>
        <x:v>5270</x:v>
      </x:c>
      <x:c r="P2087" s="22" t="n">
        <x:f>O2087*(1-N2087)</x:f>
        <x:v>5164.599999999999</x:v>
      </x:c>
      <x:c r="Q2087" s="22" t="n">
        <x:v>270</x:v>
      </x:c>
      <x:c r="R2087" s="22" t="n">
        <x:f>Q2087*M2087</x:f>
        <x:v>4590</x:v>
      </x:c>
      <x:c r="S2087" s="22" t="n">
        <x:f>P2087-R2087</x:f>
        <x:v>574.5999999999995</x:v>
      </x:c>
      <x:c r="T2087" t="str">
        <x:v>Credit</x:v>
      </x:c>
      <x:c r="U2087" t="str">
        <x:v>Paid</x:v>
      </x:c>
      <x:c r="V2087" t="str">
        <x:v>Cancelled</x:v>
      </x:c>
      <x:c r="W2087" t="n">
        <x:v>17</x:v>
      </x:c>
      <x:c r="X2087" t="str">
        <x:v>Cancelled Order</x:v>
      </x:c>
      <x:c r="Y2087" t="str">
        <x:v>WhatsApp</x:v>
      </x:c>
    </x:row>
    <x:row r="2088">
      <x:c r="A2088" t="str">
        <x:v>O002087</x:v>
      </x:c>
      <x:c r="B2088" s="20" t="n">
        <x:v>46017</x:v>
      </x:c>
      <x:c r="C2088" t="str">
        <x:v>C0193</x:v>
      </x:c>
      <x:c r="D2088" t="str">
        <x:v>Udupi Cafe 193</x:v>
      </x:c>
      <x:c r="E2088" t="str">
        <x:v>Restaurant</x:v>
      </x:c>
      <x:c r="F2088" t="str">
        <x:v>Hubballi</x:v>
      </x:c>
      <x:c r="G2088" t="str">
        <x:v>Sneha</x:v>
      </x:c>
      <x:c r="H2088" t="str">
        <x:v>P029</x:v>
      </x:c>
      <x:c r="I2088" t="str">
        <x:v>Tomato Ketchup 1kg</x:v>
      </x:c>
      <x:c r="J2088" t="str">
        <x:v>Condiments</x:v>
      </x:c>
      <x:c r="K2088" t="str">
        <x:v>Kissan</x:v>
      </x:c>
      <x:c r="L2088" s="22" t="n">
        <x:v>145</x:v>
      </x:c>
      <x:c r="M2088" t="n">
        <x:v>27</x:v>
      </x:c>
      <x:c r="N2088" s="24" t="n">
        <x:v>0.02</x:v>
      </x:c>
      <x:c r="O2088" s="22" t="n">
        <x:f>L2088*M2088</x:f>
        <x:v>3915</x:v>
      </x:c>
      <x:c r="P2088" s="22" t="n">
        <x:f>O2088*(1-N2088)</x:f>
        <x:v>3836.7</x:v>
      </x:c>
      <x:c r="Q2088" s="22" t="n">
        <x:v>126</x:v>
      </x:c>
      <x:c r="R2088" s="22" t="n">
        <x:f>Q2088*M2088</x:f>
        <x:v>3402</x:v>
      </x:c>
      <x:c r="S2088" s="22" t="n">
        <x:f>P2088-R2088</x:f>
        <x:v>434.6999999999998</x:v>
      </x:c>
      <x:c r="T2088" t="str">
        <x:v>Credit</x:v>
      </x:c>
      <x:c r="U2088" t="str">
        <x:v>Pending</x:v>
      </x:c>
      <x:c r="V2088" t="str">
        <x:v>Delivered</x:v>
      </x:c>
      <x:c r="W2088" t="n">
        <x:v>0</x:v>
      </x:c>
      <x:c r="X2088" t="str"/>
      <x:c r="Y2088" t="str">
        <x:v>WhatsApp</x:v>
      </x:c>
    </x:row>
    <x:row r="2089">
      <x:c r="A2089" t="str">
        <x:v>O002088</x:v>
      </x:c>
      <x:c r="B2089" s="20" t="n">
        <x:v>45726</x:v>
      </x:c>
      <x:c r="C2089" t="str">
        <x:v>C0104</x:v>
      </x:c>
      <x:c r="D2089" t="str">
        <x:v>Shree Foods 104</x:v>
      </x:c>
      <x:c r="E2089" t="str">
        <x:v>Cafe</x:v>
      </x:c>
      <x:c r="F2089" t="str">
        <x:v>Mangaluru</x:v>
      </x:c>
      <x:c r="G2089" t="str">
        <x:v>Megha</x:v>
      </x:c>
      <x:c r="H2089" t="str">
        <x:v>P036</x:v>
      </x:c>
      <x:c r="I2089" t="str">
        <x:v>Garam Masala 500g</x:v>
      </x:c>
      <x:c r="J2089" t="str">
        <x:v>Spices</x:v>
      </x:c>
      <x:c r="K2089" t="str">
        <x:v>MDH</x:v>
      </x:c>
      <x:c r="L2089" s="22" t="n">
        <x:v>265</x:v>
      </x:c>
      <x:c r="M2089" t="n">
        <x:v>24</x:v>
      </x:c>
      <x:c r="N2089" s="24" t="n">
        <x:v>0.05</x:v>
      </x:c>
      <x:c r="O2089" s="22" t="n">
        <x:f>L2089*M2089</x:f>
        <x:v>6360</x:v>
      </x:c>
      <x:c r="P2089" s="22" t="n">
        <x:f>O2089*(1-N2089)</x:f>
        <x:v>6042</x:v>
      </x:c>
      <x:c r="Q2089" s="22" t="n">
        <x:v>230</x:v>
      </x:c>
      <x:c r="R2089" s="22" t="n">
        <x:f>Q2089*M2089</x:f>
        <x:v>5520</x:v>
      </x:c>
      <x:c r="S2089" s="22" t="n">
        <x:f>P2089-R2089</x:f>
        <x:v>522</x:v>
      </x:c>
      <x:c r="T2089" t="str">
        <x:v>UPI</x:v>
      </x:c>
      <x:c r="U2089" t="str">
        <x:v>Paid</x:v>
      </x:c>
      <x:c r="V2089" t="str">
        <x:v>Delayed</x:v>
      </x:c>
      <x:c r="W2089" t="n">
        <x:v>0</x:v>
      </x:c>
      <x:c r="X2089" t="str"/>
      <x:c r="Y2089" t="str">
        <x:v>Existing Customer</x:v>
      </x:c>
    </x:row>
    <x:row r="2090">
      <x:c r="A2090" t="str">
        <x:v>O002089</x:v>
      </x:c>
      <x:c r="B2090" s="20" t="n">
        <x:v>45810</x:v>
      </x:c>
      <x:c r="C2090" t="str">
        <x:v>C0241</x:v>
      </x:c>
      <x:c r="D2090" t="str">
        <x:v>Annapurna Restaurant 241</x:v>
      </x:c>
      <x:c r="E2090" t="str">
        <x:v>Hotel</x:v>
      </x:c>
      <x:c r="F2090" t="str">
        <x:v>Tumakuru</x:v>
      </x:c>
      <x:c r="G2090" t="str">
        <x:v>Imran</x:v>
      </x:c>
      <x:c r="H2090" t="str">
        <x:v>P004</x:v>
      </x:c>
      <x:c r="I2090" t="str">
        <x:v>Toor Dal 5kg</x:v>
      </x:c>
      <x:c r="J2090" t="str">
        <x:v>Pulses</x:v>
      </x:c>
      <x:c r="K2090" t="str">
        <x:v>Tata Sampann</x:v>
      </x:c>
      <x:c r="L2090" s="22" t="n">
        <x:v>780</x:v>
      </x:c>
      <x:c r="M2090" t="n">
        <x:v>29</x:v>
      </x:c>
      <x:c r="N2090" s="24" t="n">
        <x:v>0.03</x:v>
      </x:c>
      <x:c r="O2090" s="22" t="n">
        <x:f>L2090*M2090</x:f>
        <x:v>22620</x:v>
      </x:c>
      <x:c r="P2090" s="22" t="n">
        <x:f>O2090*(1-N2090)</x:f>
        <x:v>21941.399999999998</x:v>
      </x:c>
      <x:c r="Q2090" s="22" t="n">
        <x:v>695</x:v>
      </x:c>
      <x:c r="R2090" s="22" t="n">
        <x:f>Q2090*M2090</x:f>
        <x:v>20155</x:v>
      </x:c>
      <x:c r="S2090" s="22" t="n">
        <x:f>P2090-R2090</x:f>
        <x:v>1786.3999999999978</x:v>
      </x:c>
      <x:c r="T2090" t="str">
        <x:v>Bank Transfer</x:v>
      </x:c>
      <x:c r="U2090" t="str">
        <x:v>Paid</x:v>
      </x:c>
      <x:c r="V2090" t="str">
        <x:v>Delivered</x:v>
      </x:c>
      <x:c r="W2090" t="n">
        <x:v>3</x:v>
      </x:c>
      <x:c r="X2090" t="str">
        <x:v>Quality Issue</x:v>
      </x:c>
      <x:c r="Y2090" t="str">
        <x:v>Outbound Call</x:v>
      </x:c>
    </x:row>
    <x:row r="2091">
      <x:c r="A2091" t="str">
        <x:v>O002090</x:v>
      </x:c>
      <x:c r="B2091" s="20" t="n">
        <x:v>46052</x:v>
      </x:c>
      <x:c r="C2091" t="str">
        <x:v>C0167</x:v>
      </x:c>
      <x:c r="D2091" t="str">
        <x:v>Foodie Canteen 167</x:v>
      </x:c>
      <x:c r="E2091" t="str">
        <x:v>Canteen</x:v>
      </x:c>
      <x:c r="F2091" t="str">
        <x:v>Bengaluru</x:v>
      </x:c>
      <x:c r="G2091" t="str">
        <x:v>Megha</x:v>
      </x:c>
      <x:c r="H2091" t="str">
        <x:v>P036</x:v>
      </x:c>
      <x:c r="I2091" t="str">
        <x:v>Garam Masala 500g</x:v>
      </x:c>
      <x:c r="J2091" t="str">
        <x:v>Spices</x:v>
      </x:c>
      <x:c r="K2091" t="str">
        <x:v>MDH</x:v>
      </x:c>
      <x:c r="L2091" s="22" t="n">
        <x:v>265</x:v>
      </x:c>
      <x:c r="M2091" t="n">
        <x:v>2</x:v>
      </x:c>
      <x:c r="N2091" s="24" t="n">
        <x:v>0.02</x:v>
      </x:c>
      <x:c r="O2091" s="22" t="n">
        <x:f>L2091*M2091</x:f>
        <x:v>530</x:v>
      </x:c>
      <x:c r="P2091" s="22" t="n">
        <x:f>O2091*(1-N2091)</x:f>
        <x:v>519.4</x:v>
      </x:c>
      <x:c r="Q2091" s="22" t="n">
        <x:v>230</x:v>
      </x:c>
      <x:c r="R2091" s="22" t="n">
        <x:f>Q2091*M2091</x:f>
        <x:v>460</x:v>
      </x:c>
      <x:c r="S2091" s="22" t="n">
        <x:f>P2091-R2091</x:f>
        <x:v>59.39999999999998</x:v>
      </x:c>
      <x:c r="T2091" t="str">
        <x:v>Bank Transfer</x:v>
      </x:c>
      <x:c r="U2091" t="str">
        <x:v>Paid</x:v>
      </x:c>
      <x:c r="V2091" t="str">
        <x:v>Delivered</x:v>
      </x:c>
      <x:c r="W2091" t="n">
        <x:v>1</x:v>
      </x:c>
      <x:c r="X2091" t="str">
        <x:v>Wrong Item</x:v>
      </x:c>
      <x:c r="Y2091" t="str">
        <x:v>Referral</x:v>
      </x:c>
    </x:row>
    <x:row r="2092">
      <x:c r="A2092" t="str">
        <x:v>O002091</x:v>
      </x:c>
      <x:c r="B2092" s="20" t="n">
        <x:v>46264</x:v>
      </x:c>
      <x:c r="C2092" t="str">
        <x:v>C0235</x:v>
      </x:c>
      <x:c r="D2092" t="str">
        <x:v>Darshini Canteen 235</x:v>
      </x:c>
      <x:c r="E2092" t="str">
        <x:v>Hotel</x:v>
      </x:c>
      <x:c r="F2092" t="str">
        <x:v>Mangaluru</x:v>
      </x:c>
      <x:c r="G2092" t="str">
        <x:v>Arjun</x:v>
      </x:c>
      <x:c r="H2092" t="str">
        <x:v>P028</x:v>
      </x:c>
      <x:c r="I2092" t="str">
        <x:v>Cookies 200g</x:v>
      </x:c>
      <x:c r="J2092" t="str">
        <x:v>Snacks</x:v>
      </x:c>
      <x:c r="K2092" t="str">
        <x:v>Britannia</x:v>
      </x:c>
      <x:c r="L2092" s="22" t="n">
        <x:v>55</x:v>
      </x:c>
      <x:c r="M2092" t="n">
        <x:v>33</x:v>
      </x:c>
      <x:c r="N2092" s="24" t="n">
        <x:v>0</x:v>
      </x:c>
      <x:c r="O2092" s="22" t="n">
        <x:f>L2092*M2092</x:f>
        <x:v>1815</x:v>
      </x:c>
      <x:c r="P2092" s="22" t="n">
        <x:f>O2092*(1-N2092)</x:f>
        <x:v>1815</x:v>
      </x:c>
      <x:c r="Q2092" s="22" t="n">
        <x:v>42</x:v>
      </x:c>
      <x:c r="R2092" s="22" t="n">
        <x:f>Q2092*M2092</x:f>
        <x:v>1386</x:v>
      </x:c>
      <x:c r="S2092" s="22" t="n">
        <x:f>P2092-R2092</x:f>
        <x:v>429</x:v>
      </x:c>
      <x:c r="T2092" t="str">
        <x:v>UPI</x:v>
      </x:c>
      <x:c r="U2092" t="str">
        <x:v>Paid</x:v>
      </x:c>
      <x:c r="V2092" t="str">
        <x:v>Cancelled</x:v>
      </x:c>
      <x:c r="W2092" t="n">
        <x:v>33</x:v>
      </x:c>
      <x:c r="X2092" t="str">
        <x:v>Cancelled Order</x:v>
      </x:c>
      <x:c r="Y2092" t="str">
        <x:v>WhatsApp</x:v>
      </x:c>
    </x:row>
    <x:row r="2093">
      <x:c r="A2093" t="str">
        <x:v>O002092</x:v>
      </x:c>
      <x:c r="B2093" s="20" t="n">
        <x:v>46140</x:v>
      </x:c>
      <x:c r="C2093" t="str">
        <x:v>C0006</x:v>
      </x:c>
      <x:c r="D2093" t="str">
        <x:v>New Restaurant 6</x:v>
      </x:c>
      <x:c r="E2093" t="str">
        <x:v>Kirana</x:v>
      </x:c>
      <x:c r="F2093" t="str">
        <x:v>Hubballi</x:v>
      </x:c>
      <x:c r="G2093" t="str">
        <x:v>Vikram</x:v>
      </x:c>
      <x:c r="H2093" t="str">
        <x:v>P026</x:v>
      </x:c>
      <x:c r="I2093" t="str">
        <x:v>Banana Chips 80g</x:v>
      </x:c>
      <x:c r="J2093" t="str">
        <x:v>Snacks</x:v>
      </x:c>
      <x:c r="K2093" t="str">
        <x:v>SSS</x:v>
      </x:c>
      <x:c r="L2093" s="22" t="n">
        <x:v>54</x:v>
      </x:c>
      <x:c r="M2093" t="n">
        <x:v>8</x:v>
      </x:c>
      <x:c r="N2093" s="24" t="n">
        <x:v>0.03</x:v>
      </x:c>
      <x:c r="O2093" s="22" t="n">
        <x:f>L2093*M2093</x:f>
        <x:v>432</x:v>
      </x:c>
      <x:c r="P2093" s="22" t="n">
        <x:f>O2093*(1-N2093)</x:f>
        <x:v>419.03999999999996</x:v>
      </x:c>
      <x:c r="Q2093" s="22" t="n">
        <x:v>39</x:v>
      </x:c>
      <x:c r="R2093" s="22" t="n">
        <x:f>Q2093*M2093</x:f>
        <x:v>312</x:v>
      </x:c>
      <x:c r="S2093" s="22" t="n">
        <x:f>P2093-R2093</x:f>
        <x:v>107.03999999999996</x:v>
      </x:c>
      <x:c r="T2093" t="str">
        <x:v>Bank Transfer</x:v>
      </x:c>
      <x:c r="U2093" t="str">
        <x:v>Paid</x:v>
      </x:c>
      <x:c r="V2093" t="str">
        <x:v>Delivered</x:v>
      </x:c>
      <x:c r="W2093" t="n">
        <x:v>0</x:v>
      </x:c>
      <x:c r="X2093" t="str"/>
      <x:c r="Y2093" t="str">
        <x:v>WhatsApp</x:v>
      </x:c>
    </x:row>
    <x:row r="2094">
      <x:c r="A2094" t="str">
        <x:v>O002093</x:v>
      </x:c>
      <x:c r="B2094" s="20" t="n">
        <x:v>45741</x:v>
      </x:c>
      <x:c r="C2094" t="str">
        <x:v>C0165</x:v>
      </x:c>
      <x:c r="D2094" t="str">
        <x:v>Royal Restaurant 165</x:v>
      </x:c>
      <x:c r="E2094" t="str">
        <x:v>Hotel</x:v>
      </x:c>
      <x:c r="F2094" t="str">
        <x:v>Tumakuru</x:v>
      </x:c>
      <x:c r="G2094" t="str">
        <x:v>Kavya</x:v>
      </x:c>
      <x:c r="H2094" t="str">
        <x:v>P018</x:v>
      </x:c>
      <x:c r="I2094" t="str">
        <x:v>Paneer 1kg</x:v>
      </x:c>
      <x:c r="J2094" t="str">
        <x:v>Dairy</x:v>
      </x:c>
      <x:c r="K2094" t="str">
        <x:v>Milky Mist</x:v>
      </x:c>
      <x:c r="L2094" s="22" t="n">
        <x:v>410</x:v>
      </x:c>
      <x:c r="M2094" t="n">
        <x:v>40</x:v>
      </x:c>
      <x:c r="N2094" s="24" t="n">
        <x:v>0</x:v>
      </x:c>
      <x:c r="O2094" s="22" t="n">
        <x:f>L2094*M2094</x:f>
        <x:v>16400</x:v>
      </x:c>
      <x:c r="P2094" s="22" t="n">
        <x:f>O2094*(1-N2094)</x:f>
        <x:v>16400</x:v>
      </x:c>
      <x:c r="Q2094" s="22" t="n">
        <x:v>370</x:v>
      </x:c>
      <x:c r="R2094" s="22" t="n">
        <x:f>Q2094*M2094</x:f>
        <x:v>14800</x:v>
      </x:c>
      <x:c r="S2094" s="22" t="n">
        <x:f>P2094-R2094</x:f>
        <x:v>1600</x:v>
      </x:c>
      <x:c r="T2094" t="str">
        <x:v>Credit</x:v>
      </x:c>
      <x:c r="U2094" t="str">
        <x:v>Paid</x:v>
      </x:c>
      <x:c r="V2094" t="str">
        <x:v>Delayed</x:v>
      </x:c>
      <x:c r="W2094" t="n">
        <x:v>0</x:v>
      </x:c>
      <x:c r="X2094" t="str"/>
      <x:c r="Y2094" t="str">
        <x:v>WhatsApp</x:v>
      </x:c>
    </x:row>
    <x:row r="2095">
      <x:c r="A2095" t="str">
        <x:v>O002094</x:v>
      </x:c>
      <x:c r="B2095" s="20" t="n">
        <x:v>45995</x:v>
      </x:c>
      <x:c r="C2095" t="str">
        <x:v>C0129</x:v>
      </x:c>
      <x:c r="D2095" t="str">
        <x:v>City Canteen 129</x:v>
      </x:c>
      <x:c r="E2095" t="str">
        <x:v>Kirana</x:v>
      </x:c>
      <x:c r="F2095" t="str">
        <x:v>Hubballi</x:v>
      </x:c>
      <x:c r="G2095" t="str">
        <x:v>Sneha</x:v>
      </x:c>
      <x:c r="H2095" t="str">
        <x:v>P049</x:v>
      </x:c>
      <x:c r="I2095" t="str">
        <x:v>Apple 10kg</x:v>
      </x:c>
      <x:c r="J2095" t="str">
        <x:v>Fresh Produce</x:v>
      </x:c>
      <x:c r="K2095" t="str">
        <x:v>Local Market</x:v>
      </x:c>
      <x:c r="L2095" s="22" t="n">
        <x:v>1450</x:v>
      </x:c>
      <x:c r="M2095" t="n">
        <x:v>1</x:v>
      </x:c>
      <x:c r="N2095" s="24" t="n">
        <x:v>0.02</x:v>
      </x:c>
      <x:c r="O2095" s="22" t="n">
        <x:f>L2095*M2095</x:f>
        <x:v>1450</x:v>
      </x:c>
      <x:c r="P2095" s="22" t="n">
        <x:f>O2095*(1-N2095)</x:f>
        <x:v>1421</x:v>
      </x:c>
      <x:c r="Q2095" s="22" t="n">
        <x:v>1280</x:v>
      </x:c>
      <x:c r="R2095" s="22" t="n">
        <x:f>Q2095*M2095</x:f>
        <x:v>1280</x:v>
      </x:c>
      <x:c r="S2095" s="22" t="n">
        <x:f>P2095-R2095</x:f>
        <x:v>141</x:v>
      </x:c>
      <x:c r="T2095" t="str">
        <x:v>Bank Transfer</x:v>
      </x:c>
      <x:c r="U2095" t="str">
        <x:v>Paid</x:v>
      </x:c>
      <x:c r="V2095" t="str">
        <x:v>Delivered</x:v>
      </x:c>
      <x:c r="W2095" t="n">
        <x:v>0</x:v>
      </x:c>
      <x:c r="X2095" t="str"/>
      <x:c r="Y2095" t="str">
        <x:v>Referral</x:v>
      </x:c>
    </x:row>
    <x:row r="2096">
      <x:c r="A2096" t="str">
        <x:v>O002095</x:v>
      </x:c>
      <x:c r="B2096" s="20" t="n">
        <x:v>46173</x:v>
      </x:c>
      <x:c r="C2096" t="str">
        <x:v>C0178</x:v>
      </x:c>
      <x:c r="D2096" t="str">
        <x:v>Annapurna Foods 178</x:v>
      </x:c>
      <x:c r="E2096" t="str">
        <x:v>Canteen</x:v>
      </x:c>
      <x:c r="F2096" t="str">
        <x:v>Tumakuru</x:v>
      </x:c>
      <x:c r="G2096" t="str">
        <x:v>Imran</x:v>
      </x:c>
      <x:c r="H2096" t="str">
        <x:v>P040</x:v>
      </x:c>
      <x:c r="I2096" t="str">
        <x:v>Bread Loaf 400g</x:v>
      </x:c>
      <x:c r="J2096" t="str">
        <x:v>Bakery</x:v>
      </x:c>
      <x:c r="K2096" t="str">
        <x:v>Britannia</x:v>
      </x:c>
      <x:c r="L2096" s="22" t="n">
        <x:v>45</x:v>
      </x:c>
      <x:c r="M2096" t="n">
        <x:v>31</x:v>
      </x:c>
      <x:c r="N2096" s="24" t="n">
        <x:v>0.1</x:v>
      </x:c>
      <x:c r="O2096" s="22" t="n">
        <x:f>L2096*M2096</x:f>
        <x:v>1395</x:v>
      </x:c>
      <x:c r="P2096" s="22" t="n">
        <x:f>O2096*(1-N2096)</x:f>
        <x:v>1255.5</x:v>
      </x:c>
      <x:c r="Q2096" s="22" t="n">
        <x:v>35</x:v>
      </x:c>
      <x:c r="R2096" s="22" t="n">
        <x:f>Q2096*M2096</x:f>
        <x:v>1085</x:v>
      </x:c>
      <x:c r="S2096" s="22" t="n">
        <x:f>P2096-R2096</x:f>
        <x:v>170.5</x:v>
      </x:c>
      <x:c r="T2096" t="str">
        <x:v>UPI</x:v>
      </x:c>
      <x:c r="U2096" t="str">
        <x:v>Pending</x:v>
      </x:c>
      <x:c r="V2096" t="str">
        <x:v>Delivered</x:v>
      </x:c>
      <x:c r="W2096" t="n">
        <x:v>0</x:v>
      </x:c>
      <x:c r="X2096" t="str"/>
      <x:c r="Y2096" t="str">
        <x:v>Field Visit</x:v>
      </x:c>
    </x:row>
    <x:row r="2097">
      <x:c r="A2097" t="str">
        <x:v>O002096</x:v>
      </x:c>
      <x:c r="B2097" s="20" t="n">
        <x:v>45967</x:v>
      </x:c>
      <x:c r="C2097" t="str">
        <x:v>C0217</x:v>
      </x:c>
      <x:c r="D2097" t="str">
        <x:v>Darshini Cafe 217</x:v>
      </x:c>
      <x:c r="E2097" t="str">
        <x:v>Restaurant</x:v>
      </x:c>
      <x:c r="F2097" t="str">
        <x:v>Bengaluru</x:v>
      </x:c>
      <x:c r="G2097" t="str">
        <x:v>Priya</x:v>
      </x:c>
      <x:c r="H2097" t="str">
        <x:v>P043</x:v>
      </x:c>
      <x:c r="I2097" t="str">
        <x:v>Chicken Breast 1kg</x:v>
      </x:c>
      <x:c r="J2097" t="str">
        <x:v>Protein</x:v>
      </x:c>
      <x:c r="K2097" t="str">
        <x:v>FreshToHome</x:v>
      </x:c>
      <x:c r="L2097" s="22" t="n">
        <x:v>260</x:v>
      </x:c>
      <x:c r="M2097" t="n">
        <x:v>37</x:v>
      </x:c>
      <x:c r="N2097" s="24" t="n">
        <x:v>0</x:v>
      </x:c>
      <x:c r="O2097" s="22" t="n">
        <x:f>L2097*M2097</x:f>
        <x:v>9620</x:v>
      </x:c>
      <x:c r="P2097" s="22" t="n">
        <x:f>O2097*(1-N2097)</x:f>
        <x:v>9620</x:v>
      </x:c>
      <x:c r="Q2097" s="22" t="n">
        <x:v>235</x:v>
      </x:c>
      <x:c r="R2097" s="22" t="n">
        <x:f>Q2097*M2097</x:f>
        <x:v>8695</x:v>
      </x:c>
      <x:c r="S2097" s="22" t="n">
        <x:f>P2097-R2097</x:f>
        <x:v>925</x:v>
      </x:c>
      <x:c r="T2097" t="str">
        <x:v>UPI</x:v>
      </x:c>
      <x:c r="U2097" t="str">
        <x:v>Paid</x:v>
      </x:c>
      <x:c r="V2097" t="str">
        <x:v>Delivered</x:v>
      </x:c>
      <x:c r="W2097" t="n">
        <x:v>0</x:v>
      </x:c>
      <x:c r="X2097" t="str"/>
      <x:c r="Y2097" t="str">
        <x:v>Existing Customer</x:v>
      </x:c>
    </x:row>
    <x:row r="2098">
      <x:c r="A2098" t="str">
        <x:v>O002097</x:v>
      </x:c>
      <x:c r="B2098" s="20" t="n">
        <x:v>45737</x:v>
      </x:c>
      <x:c r="C2098" t="str">
        <x:v>C0180</x:v>
      </x:c>
      <x:c r="D2098" t="str">
        <x:v>Sri Kitchen 180</x:v>
      </x:c>
      <x:c r="E2098" t="str">
        <x:v>Kirana</x:v>
      </x:c>
      <x:c r="F2098" t="str">
        <x:v>Mysuru</x:v>
      </x:c>
      <x:c r="G2098" t="str">
        <x:v>Vikram</x:v>
      </x:c>
      <x:c r="H2098" t="str">
        <x:v>P049</x:v>
      </x:c>
      <x:c r="I2098" t="str">
        <x:v>Apple 10kg</x:v>
      </x:c>
      <x:c r="J2098" t="str">
        <x:v>Fresh Produce</x:v>
      </x:c>
      <x:c r="K2098" t="str">
        <x:v>Local Market</x:v>
      </x:c>
      <x:c r="L2098" s="22" t="n">
        <x:v>1450</x:v>
      </x:c>
      <x:c r="M2098" t="n">
        <x:v>7</x:v>
      </x:c>
      <x:c r="N2098" s="24" t="n">
        <x:v>0.05</x:v>
      </x:c>
      <x:c r="O2098" s="22" t="n">
        <x:f>L2098*M2098</x:f>
        <x:v>10150</x:v>
      </x:c>
      <x:c r="P2098" s="22" t="n">
        <x:f>O2098*(1-N2098)</x:f>
        <x:v>9642.5</x:v>
      </x:c>
      <x:c r="Q2098" s="22" t="n">
        <x:v>1280</x:v>
      </x:c>
      <x:c r="R2098" s="22" t="n">
        <x:f>Q2098*M2098</x:f>
        <x:v>8960</x:v>
      </x:c>
      <x:c r="S2098" s="22" t="n">
        <x:f>P2098-R2098</x:f>
        <x:v>682.5</x:v>
      </x:c>
      <x:c r="T2098" t="str">
        <x:v>Credit</x:v>
      </x:c>
      <x:c r="U2098" t="str">
        <x:v>Paid</x:v>
      </x:c>
      <x:c r="V2098" t="str">
        <x:v>Delivered</x:v>
      </x:c>
      <x:c r="W2098" t="n">
        <x:v>0</x:v>
      </x:c>
      <x:c r="X2098" t="str"/>
      <x:c r="Y2098" t="str">
        <x:v>Outbound Call</x:v>
      </x:c>
    </x:row>
    <x:row r="2099">
      <x:c r="A2099" t="str">
        <x:v>O002098</x:v>
      </x:c>
      <x:c r="B2099" s="20" t="n">
        <x:v>45824</x:v>
      </x:c>
      <x:c r="C2099" t="str">
        <x:v>C0103</x:v>
      </x:c>
      <x:c r="D2099" t="str">
        <x:v>Fresh Kitchen 103</x:v>
      </x:c>
      <x:c r="E2099" t="str">
        <x:v>Supermarket</x:v>
      </x:c>
      <x:c r="F2099" t="str">
        <x:v>Davanagere</x:v>
      </x:c>
      <x:c r="G2099" t="str">
        <x:v>Megha</x:v>
      </x:c>
      <x:c r="H2099" t="str">
        <x:v>P049</x:v>
      </x:c>
      <x:c r="I2099" t="str">
        <x:v>Apple 10kg</x:v>
      </x:c>
      <x:c r="J2099" t="str">
        <x:v>Fresh Produce</x:v>
      </x:c>
      <x:c r="K2099" t="str">
        <x:v>Local Market</x:v>
      </x:c>
      <x:c r="L2099" s="22" t="n">
        <x:v>1450</x:v>
      </x:c>
      <x:c r="M2099" t="n">
        <x:v>11</x:v>
      </x:c>
      <x:c r="N2099" s="24" t="n">
        <x:v>0.08</x:v>
      </x:c>
      <x:c r="O2099" s="22" t="n">
        <x:f>L2099*M2099</x:f>
        <x:v>15950</x:v>
      </x:c>
      <x:c r="P2099" s="22" t="n">
        <x:f>O2099*(1-N2099)</x:f>
        <x:v>14674</x:v>
      </x:c>
      <x:c r="Q2099" s="22" t="n">
        <x:v>1280</x:v>
      </x:c>
      <x:c r="R2099" s="22" t="n">
        <x:f>Q2099*M2099</x:f>
        <x:v>14080</x:v>
      </x:c>
      <x:c r="S2099" s="22" t="n">
        <x:f>P2099-R2099</x:f>
        <x:v>594</x:v>
      </x:c>
      <x:c r="T2099" t="str">
        <x:v>UPI</x:v>
      </x:c>
      <x:c r="U2099" t="str">
        <x:v>Paid</x:v>
      </x:c>
      <x:c r="V2099" t="str">
        <x:v>Delayed</x:v>
      </x:c>
      <x:c r="W2099" t="n">
        <x:v>0</x:v>
      </x:c>
      <x:c r="X2099" t="str"/>
      <x:c r="Y2099" t="str">
        <x:v>Existing Customer</x:v>
      </x:c>
    </x:row>
    <x:row r="2100">
      <x:c r="A2100" t="str">
        <x:v>O002099</x:v>
      </x:c>
      <x:c r="B2100" s="20" t="n">
        <x:v>45740</x:v>
      </x:c>
      <x:c r="C2100" t="str">
        <x:v>C0215</x:v>
      </x:c>
      <x:c r="D2100" t="str">
        <x:v>Annapurna Restaurant 215</x:v>
      </x:c>
      <x:c r="E2100" t="str">
        <x:v>Supermarket</x:v>
      </x:c>
      <x:c r="F2100" t="str">
        <x:v>Bengaluru</x:v>
      </x:c>
      <x:c r="G2100" t="str">
        <x:v>Vikram</x:v>
      </x:c>
      <x:c r="H2100" t="str">
        <x:v>P033</x:v>
      </x:c>
      <x:c r="I2100" t="str">
        <x:v>Turmeric Powder 1kg</x:v>
      </x:c>
      <x:c r="J2100" t="str">
        <x:v>Spices</x:v>
      </x:c>
      <x:c r="K2100" t="str">
        <x:v>Everest</x:v>
      </x:c>
      <x:c r="L2100" s="22" t="n">
        <x:v>310</x:v>
      </x:c>
      <x:c r="M2100" t="n">
        <x:v>37</x:v>
      </x:c>
      <x:c r="N2100" s="24" t="n">
        <x:v>0.05</x:v>
      </x:c>
      <x:c r="O2100" s="22" t="n">
        <x:f>L2100*M2100</x:f>
        <x:v>11470</x:v>
      </x:c>
      <x:c r="P2100" s="22" t="n">
        <x:f>O2100*(1-N2100)</x:f>
        <x:v>10896.5</x:v>
      </x:c>
      <x:c r="Q2100" s="22" t="n">
        <x:v>270</x:v>
      </x:c>
      <x:c r="R2100" s="22" t="n">
        <x:f>Q2100*M2100</x:f>
        <x:v>9990</x:v>
      </x:c>
      <x:c r="S2100" s="22" t="n">
        <x:f>P2100-R2100</x:f>
        <x:v>906.5</x:v>
      </x:c>
      <x:c r="T2100" t="str">
        <x:v>Bank Transfer</x:v>
      </x:c>
      <x:c r="U2100" t="str">
        <x:v>Paid</x:v>
      </x:c>
      <x:c r="V2100" t="str">
        <x:v>Delayed</x:v>
      </x:c>
      <x:c r="W2100" t="n">
        <x:v>0</x:v>
      </x:c>
      <x:c r="X2100" t="str"/>
      <x:c r="Y2100" t="str">
        <x:v>Referral</x:v>
      </x:c>
    </x:row>
    <x:row r="2101">
      <x:c r="A2101" t="str">
        <x:v>O002100</x:v>
      </x:c>
      <x:c r="B2101" s="20" t="n">
        <x:v>45866</x:v>
      </x:c>
      <x:c r="C2101" t="str">
        <x:v>C0083</x:v>
      </x:c>
      <x:c r="D2101" t="str">
        <x:v>Sri Cafe 83</x:v>
      </x:c>
      <x:c r="E2101" t="str">
        <x:v>Hotel</x:v>
      </x:c>
      <x:c r="F2101" t="str">
        <x:v>Davanagere</x:v>
      </x:c>
      <x:c r="G2101" t="str">
        <x:v>Ramesh</x:v>
      </x:c>
      <x:c r="H2101" t="str">
        <x:v>P050</x:v>
      </x:c>
      <x:c r="I2101" t="str">
        <x:v>Lemon 5kg</x:v>
      </x:c>
      <x:c r="J2101" t="str">
        <x:v>Fresh Produce</x:v>
      </x:c>
      <x:c r="K2101" t="str">
        <x:v>Local Market</x:v>
      </x:c>
      <x:c r="L2101" s="22" t="n">
        <x:v>360</x:v>
      </x:c>
      <x:c r="M2101" t="n">
        <x:v>15</x:v>
      </x:c>
      <x:c r="N2101" s="24" t="n">
        <x:v>0.03</x:v>
      </x:c>
      <x:c r="O2101" s="22" t="n">
        <x:f>L2101*M2101</x:f>
        <x:v>5400</x:v>
      </x:c>
      <x:c r="P2101" s="22" t="n">
        <x:f>O2101*(1-N2101)</x:f>
        <x:v>5238</x:v>
      </x:c>
      <x:c r="Q2101" s="22" t="n">
        <x:v>300</x:v>
      </x:c>
      <x:c r="R2101" s="22" t="n">
        <x:f>Q2101*M2101</x:f>
        <x:v>4500</x:v>
      </x:c>
      <x:c r="S2101" s="22" t="n">
        <x:f>P2101-R2101</x:f>
        <x:v>738</x:v>
      </x:c>
      <x:c r="T2101" t="str">
        <x:v>Credit</x:v>
      </x:c>
      <x:c r="U2101" t="str">
        <x:v>Pending</x:v>
      </x:c>
      <x:c r="V2101" t="str">
        <x:v>Delivered</x:v>
      </x:c>
      <x:c r="W2101" t="n">
        <x:v>0</x:v>
      </x:c>
      <x:c r="X2101" t="str"/>
      <x:c r="Y2101" t="str">
        <x:v>Field Visit</x:v>
      </x:c>
    </x:row>
    <x:row r="2102">
      <x:c r="A2102" t="str">
        <x:v>O002101</x:v>
      </x:c>
      <x:c r="B2102" s="20" t="n">
        <x:v>46259</x:v>
      </x:c>
      <x:c r="C2102" t="str">
        <x:v>C0044</x:v>
      </x:c>
      <x:c r="D2102" t="str">
        <x:v>Annapurna Mart 44</x:v>
      </x:c>
      <x:c r="E2102" t="str">
        <x:v>Kirana</x:v>
      </x:c>
      <x:c r="F2102" t="str">
        <x:v>Davanagere</x:v>
      </x:c>
      <x:c r="G2102" t="str">
        <x:v>Priya</x:v>
      </x:c>
      <x:c r="H2102" t="str">
        <x:v>P026</x:v>
      </x:c>
      <x:c r="I2102" t="str">
        <x:v>Banana Chips 80g</x:v>
      </x:c>
      <x:c r="J2102" t="str">
        <x:v>Snacks</x:v>
      </x:c>
      <x:c r="K2102" t="str">
        <x:v>SSS</x:v>
      </x:c>
      <x:c r="L2102" s="22" t="n">
        <x:v>54</x:v>
      </x:c>
      <x:c r="M2102" t="n">
        <x:v>19</x:v>
      </x:c>
      <x:c r="N2102" s="24" t="n">
        <x:v>0</x:v>
      </x:c>
      <x:c r="O2102" s="22" t="n">
        <x:f>L2102*M2102</x:f>
        <x:v>1026</x:v>
      </x:c>
      <x:c r="P2102" s="22" t="n">
        <x:f>O2102*(1-N2102)</x:f>
        <x:v>1026</x:v>
      </x:c>
      <x:c r="Q2102" s="22" t="n">
        <x:v>39</x:v>
      </x:c>
      <x:c r="R2102" s="22" t="n">
        <x:f>Q2102*M2102</x:f>
        <x:v>741</x:v>
      </x:c>
      <x:c r="S2102" s="22" t="n">
        <x:f>P2102-R2102</x:f>
        <x:v>285</x:v>
      </x:c>
      <x:c r="T2102" t="str">
        <x:v>Bank Transfer</x:v>
      </x:c>
      <x:c r="U2102" t="str">
        <x:v>Paid</x:v>
      </x:c>
      <x:c r="V2102" t="str">
        <x:v>Delayed</x:v>
      </x:c>
      <x:c r="W2102" t="n">
        <x:v>0</x:v>
      </x:c>
      <x:c r="X2102" t="str"/>
      <x:c r="Y2102" t="str">
        <x:v>Existing Customer</x:v>
      </x:c>
    </x:row>
    <x:row r="2103">
      <x:c r="A2103" t="str">
        <x:v>O002102</x:v>
      </x:c>
      <x:c r="B2103" s="20" t="n">
        <x:v>45747</x:v>
      </x:c>
      <x:c r="C2103" t="str">
        <x:v>C0171</x:v>
      </x:c>
      <x:c r="D2103" t="str">
        <x:v>Metro Canteen 171</x:v>
      </x:c>
      <x:c r="E2103" t="str">
        <x:v>Restaurant</x:v>
      </x:c>
      <x:c r="F2103" t="str">
        <x:v>Mangaluru</x:v>
      </x:c>
      <x:c r="G2103" t="str">
        <x:v>Priya</x:v>
      </x:c>
      <x:c r="H2103" t="str">
        <x:v>P016</x:v>
      </x:c>
      <x:c r="I2103" t="str">
        <x:v>Curd 1kg</x:v>
      </x:c>
      <x:c r="J2103" t="str">
        <x:v>Dairy</x:v>
      </x:c>
      <x:c r="K2103" t="str">
        <x:v>Nandini</x:v>
      </x:c>
      <x:c r="L2103" s="22" t="n">
        <x:v>72</x:v>
      </x:c>
      <x:c r="M2103" t="n">
        <x:v>16</x:v>
      </x:c>
      <x:c r="N2103" s="24" t="n">
        <x:v>0.1</x:v>
      </x:c>
      <x:c r="O2103" s="22" t="n">
        <x:f>L2103*M2103</x:f>
        <x:v>1152</x:v>
      </x:c>
      <x:c r="P2103" s="22" t="n">
        <x:f>O2103*(1-N2103)</x:f>
        <x:v>1036.8</x:v>
      </x:c>
      <x:c r="Q2103" s="22" t="n">
        <x:v>64</x:v>
      </x:c>
      <x:c r="R2103" s="22" t="n">
        <x:f>Q2103*M2103</x:f>
        <x:v>1024</x:v>
      </x:c>
      <x:c r="S2103" s="22" t="n">
        <x:f>P2103-R2103</x:f>
        <x:v>12.799999999999955</x:v>
      </x:c>
      <x:c r="T2103" t="str">
        <x:v>Cash</x:v>
      </x:c>
      <x:c r="U2103" t="str">
        <x:v>Paid</x:v>
      </x:c>
      <x:c r="V2103" t="str">
        <x:v>Cancelled</x:v>
      </x:c>
      <x:c r="W2103" t="n">
        <x:v>16</x:v>
      </x:c>
      <x:c r="X2103" t="str">
        <x:v>Cancelled Order</x:v>
      </x:c>
      <x:c r="Y2103" t="str">
        <x:v>Existing Customer</x:v>
      </x:c>
    </x:row>
    <x:row r="2104">
      <x:c r="A2104" t="str">
        <x:v>O002103</x:v>
      </x:c>
      <x:c r="B2104" s="20" t="n">
        <x:v>46025</x:v>
      </x:c>
      <x:c r="C2104" t="str">
        <x:v>C0029</x:v>
      </x:c>
      <x:c r="D2104" t="str">
        <x:v>Metro Foods 29</x:v>
      </x:c>
      <x:c r="E2104" t="str">
        <x:v>Cafe</x:v>
      </x:c>
      <x:c r="F2104" t="str">
        <x:v>Hubballi</x:v>
      </x:c>
      <x:c r="G2104" t="str">
        <x:v>Priya</x:v>
      </x:c>
      <x:c r="H2104" t="str">
        <x:v>P019</x:v>
      </x:c>
      <x:c r="I2104" t="str">
        <x:v>Tea 1kg</x:v>
      </x:c>
      <x:c r="J2104" t="str">
        <x:v>Beverage</x:v>
      </x:c>
      <x:c r="K2104" t="str">
        <x:v>Red Label</x:v>
      </x:c>
      <x:c r="L2104" s="22" t="n">
        <x:v>540</x:v>
      </x:c>
      <x:c r="M2104" t="n">
        <x:v>37</x:v>
      </x:c>
      <x:c r="N2104" s="24" t="n">
        <x:v>0.05</x:v>
      </x:c>
      <x:c r="O2104" s="22" t="n">
        <x:f>L2104*M2104</x:f>
        <x:v>19980</x:v>
      </x:c>
      <x:c r="P2104" s="22" t="n">
        <x:f>O2104*(1-N2104)</x:f>
        <x:v>18981</x:v>
      </x:c>
      <x:c r="Q2104" s="22" t="n">
        <x:v>485</x:v>
      </x:c>
      <x:c r="R2104" s="22" t="n">
        <x:f>Q2104*M2104</x:f>
        <x:v>17945</x:v>
      </x:c>
      <x:c r="S2104" s="22" t="n">
        <x:f>P2104-R2104</x:f>
        <x:v>1036</x:v>
      </x:c>
      <x:c r="T2104" t="str">
        <x:v>Credit</x:v>
      </x:c>
      <x:c r="U2104" t="str">
        <x:v>Paid</x:v>
      </x:c>
      <x:c r="V2104" t="str">
        <x:v>Delivered</x:v>
      </x:c>
      <x:c r="W2104" t="n">
        <x:v>0</x:v>
      </x:c>
      <x:c r="X2104" t="str"/>
      <x:c r="Y2104" t="str">
        <x:v>Outbound Call</x:v>
      </x:c>
    </x:row>
    <x:row r="2105">
      <x:c r="A2105" t="str">
        <x:v>O002104</x:v>
      </x:c>
      <x:c r="B2105" s="20" t="n">
        <x:v>46107</x:v>
      </x:c>
      <x:c r="C2105" t="str">
        <x:v>C0210</x:v>
      </x:c>
      <x:c r="D2105" t="str">
        <x:v>Spice Stores 210</x:v>
      </x:c>
      <x:c r="E2105" t="str">
        <x:v>Cafe</x:v>
      </x:c>
      <x:c r="F2105" t="str">
        <x:v>Davanagere</x:v>
      </x:c>
      <x:c r="G2105" t="str">
        <x:v>Imran</x:v>
      </x:c>
      <x:c r="H2105" t="str">
        <x:v>P035</x:v>
      </x:c>
      <x:c r="I2105" t="str">
        <x:v>Coriander Powder 1kg</x:v>
      </x:c>
      <x:c r="J2105" t="str">
        <x:v>Spices</x:v>
      </x:c>
      <x:c r="K2105" t="str">
        <x:v>Everest</x:v>
      </x:c>
      <x:c r="L2105" s="22" t="n">
        <x:v>280</x:v>
      </x:c>
      <x:c r="M2105" t="n">
        <x:v>13</x:v>
      </x:c>
      <x:c r="N2105" s="24" t="n">
        <x:v>0</x:v>
      </x:c>
      <x:c r="O2105" s="22" t="n">
        <x:f>L2105*M2105</x:f>
        <x:v>3640</x:v>
      </x:c>
      <x:c r="P2105" s="22" t="n">
        <x:f>O2105*(1-N2105)</x:f>
        <x:v>3640</x:v>
      </x:c>
      <x:c r="Q2105" s="22" t="n">
        <x:v>245</x:v>
      </x:c>
      <x:c r="R2105" s="22" t="n">
        <x:f>Q2105*M2105</x:f>
        <x:v>3185</x:v>
      </x:c>
      <x:c r="S2105" s="22" t="n">
        <x:f>P2105-R2105</x:f>
        <x:v>455</x:v>
      </x:c>
      <x:c r="T2105" t="str">
        <x:v>Cash</x:v>
      </x:c>
      <x:c r="U2105" t="str">
        <x:v>Overdue</x:v>
      </x:c>
      <x:c r="V2105" t="str">
        <x:v>Delayed</x:v>
      </x:c>
      <x:c r="W2105" t="n">
        <x:v>0</x:v>
      </x:c>
      <x:c r="X2105" t="str"/>
      <x:c r="Y2105" t="str">
        <x:v>Referral</x:v>
      </x:c>
    </x:row>
    <x:row r="2106">
      <x:c r="A2106" t="str">
        <x:v>O002105</x:v>
      </x:c>
      <x:c r="B2106" s="20" t="n">
        <x:v>46232</x:v>
      </x:c>
      <x:c r="C2106" t="str">
        <x:v>C0070</x:v>
      </x:c>
      <x:c r="D2106" t="str">
        <x:v>Metro Stores 70</x:v>
      </x:c>
      <x:c r="E2106" t="str">
        <x:v>Cafe</x:v>
      </x:c>
      <x:c r="F2106" t="str">
        <x:v>Bengaluru</x:v>
      </x:c>
      <x:c r="G2106" t="str">
        <x:v>Vikram</x:v>
      </x:c>
      <x:c r="H2106" t="str">
        <x:v>P015</x:v>
      </x:c>
      <x:c r="I2106" t="str">
        <x:v>Milk 1L</x:v>
      </x:c>
      <x:c r="J2106" t="str">
        <x:v>Dairy</x:v>
      </x:c>
      <x:c r="K2106" t="str">
        <x:v>Nandini</x:v>
      </x:c>
      <x:c r="L2106" s="22" t="n">
        <x:v>48</x:v>
      </x:c>
      <x:c r="M2106" t="n">
        <x:v>33</x:v>
      </x:c>
      <x:c r="N2106" s="24" t="n">
        <x:v>0.05</x:v>
      </x:c>
      <x:c r="O2106" s="22" t="n">
        <x:f>L2106*M2106</x:f>
        <x:v>1584</x:v>
      </x:c>
      <x:c r="P2106" s="22" t="n">
        <x:f>O2106*(1-N2106)</x:f>
        <x:v>1504.8</x:v>
      </x:c>
      <x:c r="Q2106" s="22" t="n">
        <x:v>43</x:v>
      </x:c>
      <x:c r="R2106" s="22" t="n">
        <x:f>Q2106*M2106</x:f>
        <x:v>1419</x:v>
      </x:c>
      <x:c r="S2106" s="22" t="n">
        <x:f>P2106-R2106</x:f>
        <x:v>85.79999999999995</x:v>
      </x:c>
      <x:c r="T2106" t="str">
        <x:v>Cash</x:v>
      </x:c>
      <x:c r="U2106" t="str">
        <x:v>Paid</x:v>
      </x:c>
      <x:c r="V2106" t="str">
        <x:v>Delivered</x:v>
      </x:c>
      <x:c r="W2106" t="n">
        <x:v>0</x:v>
      </x:c>
      <x:c r="X2106" t="str"/>
      <x:c r="Y2106" t="str">
        <x:v>Referral</x:v>
      </x:c>
    </x:row>
    <x:row r="2107">
      <x:c r="A2107" t="str">
        <x:v>O002106</x:v>
      </x:c>
      <x:c r="B2107" s="20" t="n">
        <x:v>45735</x:v>
      </x:c>
      <x:c r="C2107" t="str">
        <x:v>C0178</x:v>
      </x:c>
      <x:c r="D2107" t="str">
        <x:v>Annapurna Foods 178</x:v>
      </x:c>
      <x:c r="E2107" t="str">
        <x:v>Canteen</x:v>
      </x:c>
      <x:c r="F2107" t="str">
        <x:v>Tumakuru</x:v>
      </x:c>
      <x:c r="G2107" t="str">
        <x:v>Imran</x:v>
      </x:c>
      <x:c r="H2107" t="str">
        <x:v>P044</x:v>
      </x:c>
      <x:c r="I2107" t="str">
        <x:v>Chicken Curry Cut 1kg</x:v>
      </x:c>
      <x:c r="J2107" t="str">
        <x:v>Protein</x:v>
      </x:c>
      <x:c r="K2107" t="str">
        <x:v>FreshToHome</x:v>
      </x:c>
      <x:c r="L2107" s="22" t="n">
        <x:v>230</x:v>
      </x:c>
      <x:c r="M2107" t="n">
        <x:v>30</x:v>
      </x:c>
      <x:c r="N2107" s="24" t="n">
        <x:v>0.05</x:v>
      </x:c>
      <x:c r="O2107" s="22" t="n">
        <x:f>L2107*M2107</x:f>
        <x:v>6900</x:v>
      </x:c>
      <x:c r="P2107" s="22" t="n">
        <x:f>O2107*(1-N2107)</x:f>
        <x:v>6555</x:v>
      </x:c>
      <x:c r="Q2107" s="22" t="n">
        <x:v>205</x:v>
      </x:c>
      <x:c r="R2107" s="22" t="n">
        <x:f>Q2107*M2107</x:f>
        <x:v>6150</x:v>
      </x:c>
      <x:c r="S2107" s="22" t="n">
        <x:f>P2107-R2107</x:f>
        <x:v>405</x:v>
      </x:c>
      <x:c r="T2107" t="str">
        <x:v>UPI</x:v>
      </x:c>
      <x:c r="U2107" t="str">
        <x:v>Paid</x:v>
      </x:c>
      <x:c r="V2107" t="str">
        <x:v>Delayed</x:v>
      </x:c>
      <x:c r="W2107" t="n">
        <x:v>0</x:v>
      </x:c>
      <x:c r="X2107" t="str"/>
      <x:c r="Y2107" t="str">
        <x:v>Outbound Call</x:v>
      </x:c>
    </x:row>
    <x:row r="2108">
      <x:c r="A2108" t="str">
        <x:v>O002107</x:v>
      </x:c>
      <x:c r="B2108" s="20" t="n">
        <x:v>45935</x:v>
      </x:c>
      <x:c r="C2108" t="str">
        <x:v>C0097</x:v>
      </x:c>
      <x:c r="D2108" t="str">
        <x:v>Classic Stores 97</x:v>
      </x:c>
      <x:c r="E2108" t="str">
        <x:v>Restaurant</x:v>
      </x:c>
      <x:c r="F2108" t="str">
        <x:v>Davanagere</x:v>
      </x:c>
      <x:c r="G2108" t="str">
        <x:v>Priya</x:v>
      </x:c>
      <x:c r="H2108" t="str">
        <x:v>P042</x:v>
      </x:c>
      <x:c r="I2108" t="str">
        <x:v>Eggs 30pc Tray</x:v>
      </x:c>
      <x:c r="J2108" t="str">
        <x:v>Protein</x:v>
      </x:c>
      <x:c r="K2108" t="str">
        <x:v>Farm Fresh</x:v>
      </x:c>
      <x:c r="L2108" s="22" t="n">
        <x:v>195</x:v>
      </x:c>
      <x:c r="M2108" t="n">
        <x:v>15</x:v>
      </x:c>
      <x:c r="N2108" s="24" t="n">
        <x:v>0.05</x:v>
      </x:c>
      <x:c r="O2108" s="22" t="n">
        <x:f>L2108*M2108</x:f>
        <x:v>2925</x:v>
      </x:c>
      <x:c r="P2108" s="22" t="n">
        <x:f>O2108*(1-N2108)</x:f>
        <x:v>2778.75</x:v>
      </x:c>
      <x:c r="Q2108" s="22" t="n">
        <x:v>170</x:v>
      </x:c>
      <x:c r="R2108" s="22" t="n">
        <x:f>Q2108*M2108</x:f>
        <x:v>2550</x:v>
      </x:c>
      <x:c r="S2108" s="22" t="n">
        <x:f>P2108-R2108</x:f>
        <x:v>228.75</x:v>
      </x:c>
      <x:c r="T2108" t="str">
        <x:v>Cash</x:v>
      </x:c>
      <x:c r="U2108" t="str">
        <x:v>Pending</x:v>
      </x:c>
      <x:c r="V2108" t="str">
        <x:v>Delayed</x:v>
      </x:c>
      <x:c r="W2108" t="n">
        <x:v>0</x:v>
      </x:c>
      <x:c r="X2108" t="str"/>
      <x:c r="Y2108" t="str">
        <x:v>Existing Customer</x:v>
      </x:c>
    </x:row>
    <x:row r="2109">
      <x:c r="A2109" t="str">
        <x:v>O002108</x:v>
      </x:c>
      <x:c r="B2109" s="20" t="n">
        <x:v>45763</x:v>
      </x:c>
      <x:c r="C2109" t="str">
        <x:v>C0195</x:v>
      </x:c>
      <x:c r="D2109" t="str">
        <x:v>Classic Stores 195</x:v>
      </x:c>
      <x:c r="E2109" t="str">
        <x:v>Canteen</x:v>
      </x:c>
      <x:c r="F2109" t="str">
        <x:v>Davanagere</x:v>
      </x:c>
      <x:c r="G2109" t="str">
        <x:v>Kavya</x:v>
      </x:c>
      <x:c r="H2109" t="str">
        <x:v>P004</x:v>
      </x:c>
      <x:c r="I2109" t="str">
        <x:v>Toor Dal 5kg</x:v>
      </x:c>
      <x:c r="J2109" t="str">
        <x:v>Pulses</x:v>
      </x:c>
      <x:c r="K2109" t="str">
        <x:v>Tata Sampann</x:v>
      </x:c>
      <x:c r="L2109" s="22" t="n">
        <x:v>780</x:v>
      </x:c>
      <x:c r="M2109" t="n">
        <x:v>25</x:v>
      </x:c>
      <x:c r="N2109" s="24" t="n">
        <x:v>0.05</x:v>
      </x:c>
      <x:c r="O2109" s="22" t="n">
        <x:f>L2109*M2109</x:f>
        <x:v>19500</x:v>
      </x:c>
      <x:c r="P2109" s="22" t="n">
        <x:f>O2109*(1-N2109)</x:f>
        <x:v>18525</x:v>
      </x:c>
      <x:c r="Q2109" s="22" t="n">
        <x:v>695</x:v>
      </x:c>
      <x:c r="R2109" s="22" t="n">
        <x:f>Q2109*M2109</x:f>
        <x:v>17375</x:v>
      </x:c>
      <x:c r="S2109" s="22" t="n">
        <x:f>P2109-R2109</x:f>
        <x:v>1150</x:v>
      </x:c>
      <x:c r="T2109" t="str">
        <x:v>Cash</x:v>
      </x:c>
      <x:c r="U2109" t="str">
        <x:v>Pending</x:v>
      </x:c>
      <x:c r="V2109" t="str">
        <x:v>Delayed</x:v>
      </x:c>
      <x:c r="W2109" t="n">
        <x:v>0</x:v>
      </x:c>
      <x:c r="X2109" t="str"/>
      <x:c r="Y2109" t="str">
        <x:v>Referral</x:v>
      </x:c>
    </x:row>
    <x:row r="2110">
      <x:c r="A2110" t="str">
        <x:v>O002109</x:v>
      </x:c>
      <x:c r="B2110" s="20" t="n">
        <x:v>45753</x:v>
      </x:c>
      <x:c r="C2110" t="str">
        <x:v>C0168</x:v>
      </x:c>
      <x:c r="D2110" t="str">
        <x:v>Sagar Hotel 168</x:v>
      </x:c>
      <x:c r="E2110" t="str">
        <x:v>Canteen</x:v>
      </x:c>
      <x:c r="F2110" t="str">
        <x:v>Bengaluru</x:v>
      </x:c>
      <x:c r="G2110" t="str">
        <x:v>Priya</x:v>
      </x:c>
      <x:c r="H2110" t="str">
        <x:v>P033</x:v>
      </x:c>
      <x:c r="I2110" t="str">
        <x:v>Turmeric Powder 1kg</x:v>
      </x:c>
      <x:c r="J2110" t="str">
        <x:v>Spices</x:v>
      </x:c>
      <x:c r="K2110" t="str">
        <x:v>Everest</x:v>
      </x:c>
      <x:c r="L2110" s="22" t="n">
        <x:v>310</x:v>
      </x:c>
      <x:c r="M2110" t="n">
        <x:v>22</x:v>
      </x:c>
      <x:c r="N2110" s="24" t="n">
        <x:v>0</x:v>
      </x:c>
      <x:c r="O2110" s="22" t="n">
        <x:f>L2110*M2110</x:f>
        <x:v>6820</x:v>
      </x:c>
      <x:c r="P2110" s="22" t="n">
        <x:f>O2110*(1-N2110)</x:f>
        <x:v>6820</x:v>
      </x:c>
      <x:c r="Q2110" s="22" t="n">
        <x:v>270</x:v>
      </x:c>
      <x:c r="R2110" s="22" t="n">
        <x:f>Q2110*M2110</x:f>
        <x:v>5940</x:v>
      </x:c>
      <x:c r="S2110" s="22" t="n">
        <x:f>P2110-R2110</x:f>
        <x:v>880</x:v>
      </x:c>
      <x:c r="T2110" t="str">
        <x:v>Credit</x:v>
      </x:c>
      <x:c r="U2110" t="str">
        <x:v>Pending</x:v>
      </x:c>
      <x:c r="V2110" t="str">
        <x:v>Delivered</x:v>
      </x:c>
      <x:c r="W2110" t="n">
        <x:v>0</x:v>
      </x:c>
      <x:c r="X2110" t="str"/>
      <x:c r="Y2110" t="str">
        <x:v>Existing Customer</x:v>
      </x:c>
    </x:row>
    <x:row r="2111">
      <x:c r="A2111" t="str">
        <x:v>O002110</x:v>
      </x:c>
      <x:c r="B2111" s="20" t="n">
        <x:v>45963</x:v>
      </x:c>
      <x:c r="C2111" t="str">
        <x:v>C0106</x:v>
      </x:c>
      <x:c r="D2111" t="str">
        <x:v>Classic Mart 106</x:v>
      </x:c>
      <x:c r="E2111" t="str">
        <x:v>Restaurant</x:v>
      </x:c>
      <x:c r="F2111" t="str">
        <x:v>Mysuru</x:v>
      </x:c>
      <x:c r="G2111" t="str">
        <x:v>Kavya</x:v>
      </x:c>
      <x:c r="H2111" t="str">
        <x:v>P041</x:v>
      </x:c>
      <x:c r="I2111" t="str">
        <x:v>Burger Bun 6pc</x:v>
      </x:c>
      <x:c r="J2111" t="str">
        <x:v>Bakery</x:v>
      </x:c>
      <x:c r="K2111" t="str">
        <x:v>Modern</x:v>
      </x:c>
      <x:c r="L2111" s="22" t="n">
        <x:v>42</x:v>
      </x:c>
      <x:c r="M2111" t="n">
        <x:v>3</x:v>
      </x:c>
      <x:c r="N2111" s="24" t="n">
        <x:v>0.03</x:v>
      </x:c>
      <x:c r="O2111" s="22" t="n">
        <x:f>L2111*M2111</x:f>
        <x:v>126</x:v>
      </x:c>
      <x:c r="P2111" s="22" t="n">
        <x:f>O2111*(1-N2111)</x:f>
        <x:v>122.22</x:v>
      </x:c>
      <x:c r="Q2111" s="22" t="n">
        <x:v>32</x:v>
      </x:c>
      <x:c r="R2111" s="22" t="n">
        <x:f>Q2111*M2111</x:f>
        <x:v>96</x:v>
      </x:c>
      <x:c r="S2111" s="22" t="n">
        <x:f>P2111-R2111</x:f>
        <x:v>26.22</x:v>
      </x:c>
      <x:c r="T2111" t="str">
        <x:v>UPI</x:v>
      </x:c>
      <x:c r="U2111" t="str">
        <x:v>Paid</x:v>
      </x:c>
      <x:c r="V2111" t="str">
        <x:v>Delayed</x:v>
      </x:c>
      <x:c r="W2111" t="n">
        <x:v>0</x:v>
      </x:c>
      <x:c r="X2111" t="str"/>
      <x:c r="Y2111" t="str">
        <x:v>Existing Customer</x:v>
      </x:c>
    </x:row>
    <x:row r="2112">
      <x:c r="A2112" t="str">
        <x:v>O002111</x:v>
      </x:c>
      <x:c r="B2112" s="20" t="n">
        <x:v>46123</x:v>
      </x:c>
      <x:c r="C2112" t="str">
        <x:v>C0164</x:v>
      </x:c>
      <x:c r="D2112" t="str">
        <x:v>Sri Hotel 164</x:v>
      </x:c>
      <x:c r="E2112" t="str">
        <x:v>Kirana</x:v>
      </x:c>
      <x:c r="F2112" t="str">
        <x:v>Mysuru</x:v>
      </x:c>
      <x:c r="G2112" t="str">
        <x:v>Vikram</x:v>
      </x:c>
      <x:c r="H2112" t="str">
        <x:v>P005</x:v>
      </x:c>
      <x:c r="I2112" t="str">
        <x:v>Chana Dal 5kg</x:v>
      </x:c>
      <x:c r="J2112" t="str">
        <x:v>Pulses</x:v>
      </x:c>
      <x:c r="K2112" t="str">
        <x:v>Local Select</x:v>
      </x:c>
      <x:c r="L2112" s="22" t="n">
        <x:v>520</x:v>
      </x:c>
      <x:c r="M2112" t="n">
        <x:v>11</x:v>
      </x:c>
      <x:c r="N2112" s="24" t="n">
        <x:v>0.03</x:v>
      </x:c>
      <x:c r="O2112" s="22" t="n">
        <x:f>L2112*M2112</x:f>
        <x:v>5720</x:v>
      </x:c>
      <x:c r="P2112" s="22" t="n">
        <x:f>O2112*(1-N2112)</x:f>
        <x:v>5548.4</x:v>
      </x:c>
      <x:c r="Q2112" s="22" t="n">
        <x:v>455</x:v>
      </x:c>
      <x:c r="R2112" s="22" t="n">
        <x:f>Q2112*M2112</x:f>
        <x:v>5005</x:v>
      </x:c>
      <x:c r="S2112" s="22" t="n">
        <x:f>P2112-R2112</x:f>
        <x:v>543.3999999999996</x:v>
      </x:c>
      <x:c r="T2112" t="str">
        <x:v>Bank Transfer</x:v>
      </x:c>
      <x:c r="U2112" t="str">
        <x:v>Paid</x:v>
      </x:c>
      <x:c r="V2112" t="str">
        <x:v>Delivered</x:v>
      </x:c>
      <x:c r="W2112" t="n">
        <x:v>0</x:v>
      </x:c>
      <x:c r="X2112" t="str"/>
      <x:c r="Y2112" t="str">
        <x:v>Field Visit</x:v>
      </x:c>
    </x:row>
    <x:row r="2113">
      <x:c r="A2113" t="str">
        <x:v>O002112</x:v>
      </x:c>
      <x:c r="B2113" s="20" t="n">
        <x:v>45992</x:v>
      </x:c>
      <x:c r="C2113" t="str">
        <x:v>C0216</x:v>
      </x:c>
      <x:c r="D2113" t="str">
        <x:v>Cafe Restaurant 216</x:v>
      </x:c>
      <x:c r="E2113" t="str">
        <x:v>Canteen</x:v>
      </x:c>
      <x:c r="F2113" t="str">
        <x:v>Bengaluru</x:v>
      </x:c>
      <x:c r="G2113" t="str">
        <x:v>Vikram</x:v>
      </x:c>
      <x:c r="H2113" t="str">
        <x:v>P034</x:v>
      </x:c>
      <x:c r="I2113" t="str">
        <x:v>Chilli Powder 1kg</x:v>
      </x:c>
      <x:c r="J2113" t="str">
        <x:v>Spices</x:v>
      </x:c>
      <x:c r="K2113" t="str">
        <x:v>MDH</x:v>
      </x:c>
      <x:c r="L2113" s="22" t="n">
        <x:v>340</x:v>
      </x:c>
      <x:c r="M2113" t="n">
        <x:v>2</x:v>
      </x:c>
      <x:c r="N2113" s="24" t="n">
        <x:v>0.05</x:v>
      </x:c>
      <x:c r="O2113" s="22" t="n">
        <x:f>L2113*M2113</x:f>
        <x:v>680</x:v>
      </x:c>
      <x:c r="P2113" s="22" t="n">
        <x:f>O2113*(1-N2113)</x:f>
        <x:v>646</x:v>
      </x:c>
      <x:c r="Q2113" s="22" t="n">
        <x:v>295</x:v>
      </x:c>
      <x:c r="R2113" s="22" t="n">
        <x:f>Q2113*M2113</x:f>
        <x:v>590</x:v>
      </x:c>
      <x:c r="S2113" s="22" t="n">
        <x:f>P2113-R2113</x:f>
        <x:v>56</x:v>
      </x:c>
      <x:c r="T2113" t="str">
        <x:v>UPI</x:v>
      </x:c>
      <x:c r="U2113" t="str">
        <x:v>Paid</x:v>
      </x:c>
      <x:c r="V2113" t="str">
        <x:v>Delayed</x:v>
      </x:c>
      <x:c r="W2113" t="n">
        <x:v>0</x:v>
      </x:c>
      <x:c r="X2113" t="str"/>
      <x:c r="Y2113" t="str">
        <x:v>Existing Customer</x:v>
      </x:c>
    </x:row>
    <x:row r="2114">
      <x:c r="A2114" t="str">
        <x:v>O002113</x:v>
      </x:c>
      <x:c r="B2114" s="20" t="n">
        <x:v>46236</x:v>
      </x:c>
      <x:c r="C2114" t="str">
        <x:v>C0248</x:v>
      </x:c>
      <x:c r="D2114" t="str">
        <x:v>Royal Restaurant 248</x:v>
      </x:c>
      <x:c r="E2114" t="str">
        <x:v>Canteen</x:v>
      </x:c>
      <x:c r="F2114" t="str">
        <x:v>Mysuru</x:v>
      </x:c>
      <x:c r="G2114" t="str">
        <x:v>Priya</x:v>
      </x:c>
      <x:c r="H2114" t="str">
        <x:v>P022</x:v>
      </x:c>
      <x:c r="I2114" t="str">
        <x:v>Mineral Water 1L</x:v>
      </x:c>
      <x:c r="J2114" t="str">
        <x:v>Beverage</x:v>
      </x:c>
      <x:c r="K2114" t="str">
        <x:v>Bisleri</x:v>
      </x:c>
      <x:c r="L2114" s="22" t="n">
        <x:v>19</x:v>
      </x:c>
      <x:c r="M2114" t="n">
        <x:v>12</x:v>
      </x:c>
      <x:c r="N2114" s="24" t="n">
        <x:v>0.05</x:v>
      </x:c>
      <x:c r="O2114" s="22" t="n">
        <x:f>L2114*M2114</x:f>
        <x:v>228</x:v>
      </x:c>
      <x:c r="P2114" s="22" t="n">
        <x:f>O2114*(1-N2114)</x:f>
        <x:v>216.6</x:v>
      </x:c>
      <x:c r="Q2114" s="22" t="n">
        <x:v>15</x:v>
      </x:c>
      <x:c r="R2114" s="22" t="n">
        <x:f>Q2114*M2114</x:f>
        <x:v>180</x:v>
      </x:c>
      <x:c r="S2114" s="22" t="n">
        <x:f>P2114-R2114</x:f>
        <x:v>36.599999999999994</x:v>
      </x:c>
      <x:c r="T2114" t="str">
        <x:v>Credit</x:v>
      </x:c>
      <x:c r="U2114" t="str">
        <x:v>Paid</x:v>
      </x:c>
      <x:c r="V2114" t="str">
        <x:v>Delivered</x:v>
      </x:c>
      <x:c r="W2114" t="n">
        <x:v>0</x:v>
      </x:c>
      <x:c r="X2114" t="str"/>
      <x:c r="Y2114" t="str"/>
    </x:row>
    <x:row r="2115">
      <x:c r="A2115" t="str">
        <x:v>O002114</x:v>
      </x:c>
      <x:c r="B2115" s="20" t="n">
        <x:v>45773</x:v>
      </x:c>
      <x:c r="C2115" t="str">
        <x:v>C0240</x:v>
      </x:c>
      <x:c r="D2115" t="str">
        <x:v>Green Foods 240</x:v>
      </x:c>
      <x:c r="E2115" t="str">
        <x:v>Restaurant</x:v>
      </x:c>
      <x:c r="F2115" t="str">
        <x:v>Davanagere</x:v>
      </x:c>
      <x:c r="G2115" t="str">
        <x:v>Vikram</x:v>
      </x:c>
      <x:c r="H2115" t="str">
        <x:v>P038</x:v>
      </x:c>
      <x:c r="I2115" t="str">
        <x:v>French Fries 2.5kg</x:v>
      </x:c>
      <x:c r="J2115" t="str">
        <x:v>Frozen</x:v>
      </x:c>
      <x:c r="K2115" t="str">
        <x:v>McCain</x:v>
      </x:c>
      <x:c r="L2115" s="22" t="n">
        <x:v>360</x:v>
      </x:c>
      <x:c r="M2115" t="n">
        <x:v>39</x:v>
      </x:c>
      <x:c r="N2115" s="24" t="n">
        <x:v>0.08</x:v>
      </x:c>
      <x:c r="O2115" s="22" t="n">
        <x:f>L2115*M2115</x:f>
        <x:v>14040</x:v>
      </x:c>
      <x:c r="P2115" s="22" t="n">
        <x:f>O2115*(1-N2115)</x:f>
        <x:v>12916.800000000001</x:v>
      </x:c>
      <x:c r="Q2115" s="22" t="n">
        <x:v>315</x:v>
      </x:c>
      <x:c r="R2115" s="22" t="n">
        <x:f>Q2115*M2115</x:f>
        <x:v>12285</x:v>
      </x:c>
      <x:c r="S2115" s="22" t="n">
        <x:f>P2115-R2115</x:f>
        <x:v>631.8000000000011</x:v>
      </x:c>
      <x:c r="T2115" t="str">
        <x:v>Credit</x:v>
      </x:c>
      <x:c r="U2115" t="str">
        <x:v>Pending</x:v>
      </x:c>
      <x:c r="V2115" t="str">
        <x:v>Delivered</x:v>
      </x:c>
      <x:c r="W2115" t="n">
        <x:v>0</x:v>
      </x:c>
      <x:c r="X2115" t="str"/>
      <x:c r="Y2115" t="str">
        <x:v>WhatsApp</x:v>
      </x:c>
    </x:row>
    <x:row r="2116">
      <x:c r="A2116" t="str">
        <x:v>O002115</x:v>
      </x:c>
      <x:c r="B2116" s="20" t="n">
        <x:v>45691</x:v>
      </x:c>
      <x:c r="C2116" t="str">
        <x:v>C0004</x:v>
      </x:c>
      <x:c r="D2116" t="str">
        <x:v>Annapurna Foods 4</x:v>
      </x:c>
      <x:c r="E2116" t="str">
        <x:v>Cafe</x:v>
      </x:c>
      <x:c r="F2116" t="str">
        <x:v>Mysuru</x:v>
      </x:c>
      <x:c r="G2116" t="str">
        <x:v>Priya</x:v>
      </x:c>
      <x:c r="H2116" t="str">
        <x:v>P036</x:v>
      </x:c>
      <x:c r="I2116" t="str">
        <x:v>Garam Masala 500g</x:v>
      </x:c>
      <x:c r="J2116" t="str">
        <x:v>Spices</x:v>
      </x:c>
      <x:c r="K2116" t="str">
        <x:v>MDH</x:v>
      </x:c>
      <x:c r="L2116" s="22" t="n">
        <x:v>265</x:v>
      </x:c>
      <x:c r="M2116" t="n">
        <x:v>34</x:v>
      </x:c>
      <x:c r="N2116" s="24" t="n">
        <x:v>0</x:v>
      </x:c>
      <x:c r="O2116" s="22" t="n">
        <x:f>L2116*M2116</x:f>
        <x:v>9010</x:v>
      </x:c>
      <x:c r="P2116" s="22" t="n">
        <x:f>O2116*(1-N2116)</x:f>
        <x:v>9010</x:v>
      </x:c>
      <x:c r="Q2116" s="22" t="n">
        <x:v>230</x:v>
      </x:c>
      <x:c r="R2116" s="22" t="n">
        <x:f>Q2116*M2116</x:f>
        <x:v>7820</x:v>
      </x:c>
      <x:c r="S2116" s="22" t="n">
        <x:f>P2116-R2116</x:f>
        <x:v>1190</x:v>
      </x:c>
      <x:c r="T2116" t="str">
        <x:v>UPI</x:v>
      </x:c>
      <x:c r="U2116" t="str">
        <x:v>Paid</x:v>
      </x:c>
      <x:c r="V2116" t="str">
        <x:v>Delivered</x:v>
      </x:c>
      <x:c r="W2116" t="n">
        <x:v>0</x:v>
      </x:c>
      <x:c r="X2116" t="str"/>
      <x:c r="Y2116" t="str">
        <x:v>Referral</x:v>
      </x:c>
    </x:row>
    <x:row r="2117">
      <x:c r="A2117" t="str">
        <x:v>O002116</x:v>
      </x:c>
      <x:c r="B2117" s="20" t="n">
        <x:v>45928</x:v>
      </x:c>
      <x:c r="C2117" t="str">
        <x:v>C0108</x:v>
      </x:c>
      <x:c r="D2117" t="str">
        <x:v>Spice Mart 108</x:v>
      </x:c>
      <x:c r="E2117" t="str">
        <x:v>Supermarket</x:v>
      </x:c>
      <x:c r="F2117" t="str">
        <x:v>Hubballi</x:v>
      </x:c>
      <x:c r="G2117" t="str">
        <x:v>Kavya</x:v>
      </x:c>
      <x:c r="H2117" t="str">
        <x:v>P013</x:v>
      </x:c>
      <x:c r="I2117" t="str">
        <x:v>Atta 10kg</x:v>
      </x:c>
      <x:c r="J2117" t="str">
        <x:v>Flour</x:v>
      </x:c>
      <x:c r="K2117" t="str">
        <x:v>Aashirvaad</x:v>
      </x:c>
      <x:c r="L2117" s="22" t="n">
        <x:v>560</x:v>
      </x:c>
      <x:c r="M2117" t="n">
        <x:v>18</x:v>
      </x:c>
      <x:c r="N2117" s="24" t="n">
        <x:v>0.02</x:v>
      </x:c>
      <x:c r="O2117" s="22" t="n">
        <x:f>L2117*M2117</x:f>
        <x:v>10080</x:v>
      </x:c>
      <x:c r="P2117" s="22" t="n">
        <x:f>O2117*(1-N2117)</x:f>
        <x:v>9878.4</x:v>
      </x:c>
      <x:c r="Q2117" s="22" t="n">
        <x:v>495</x:v>
      </x:c>
      <x:c r="R2117" s="22" t="n">
        <x:f>Q2117*M2117</x:f>
        <x:v>8910</x:v>
      </x:c>
      <x:c r="S2117" s="22" t="n">
        <x:f>P2117-R2117</x:f>
        <x:v>968.3999999999996</x:v>
      </x:c>
      <x:c r="T2117" t="str">
        <x:v>Cash</x:v>
      </x:c>
      <x:c r="U2117" t="str">
        <x:v>Pending</x:v>
      </x:c>
      <x:c r="V2117" t="str">
        <x:v>Delivered</x:v>
      </x:c>
      <x:c r="W2117" t="n">
        <x:v>0</x:v>
      </x:c>
      <x:c r="X2117" t="str"/>
      <x:c r="Y2117" t="str">
        <x:v>Referral</x:v>
      </x:c>
    </x:row>
    <x:row r="2118">
      <x:c r="A2118" t="str">
        <x:v>O002117</x:v>
      </x:c>
      <x:c r="B2118" s="20" t="n">
        <x:v>46154</x:v>
      </x:c>
      <x:c r="C2118" t="str">
        <x:v>C0086</x:v>
      </x:c>
      <x:c r="D2118" t="str">
        <x:v>Foodie Canteen 86</x:v>
      </x:c>
      <x:c r="E2118" t="str">
        <x:v>Kirana</x:v>
      </x:c>
      <x:c r="F2118" t="str">
        <x:v>Hubballi</x:v>
      </x:c>
      <x:c r="G2118" t="str">
        <x:v>Sneha</x:v>
      </x:c>
      <x:c r="H2118" t="str">
        <x:v>P034</x:v>
      </x:c>
      <x:c r="I2118" t="str">
        <x:v>Chilli Powder 1kg</x:v>
      </x:c>
      <x:c r="J2118" t="str">
        <x:v>Spices</x:v>
      </x:c>
      <x:c r="K2118" t="str">
        <x:v>MDH</x:v>
      </x:c>
      <x:c r="L2118" s="22" t="n">
        <x:v>340</x:v>
      </x:c>
      <x:c r="M2118" t="n">
        <x:v>1</x:v>
      </x:c>
      <x:c r="N2118" s="24" t="n">
        <x:v>0</x:v>
      </x:c>
      <x:c r="O2118" s="22" t="n">
        <x:f>L2118*M2118</x:f>
        <x:v>340</x:v>
      </x:c>
      <x:c r="P2118" s="22" t="n">
        <x:f>O2118*(1-N2118)</x:f>
        <x:v>340</x:v>
      </x:c>
      <x:c r="Q2118" s="22" t="n">
        <x:v>295</x:v>
      </x:c>
      <x:c r="R2118" s="22" t="n">
        <x:f>Q2118*M2118</x:f>
        <x:v>295</x:v>
      </x:c>
      <x:c r="S2118" s="22" t="n">
        <x:f>P2118-R2118</x:f>
        <x:v>45</x:v>
      </x:c>
      <x:c r="T2118" t="str">
        <x:v>UPI</x:v>
      </x:c>
      <x:c r="U2118" t="str">
        <x:v>Pending</x:v>
      </x:c>
      <x:c r="V2118" t="str">
        <x:v>Delivered</x:v>
      </x:c>
      <x:c r="W2118" t="n">
        <x:v>0</x:v>
      </x:c>
      <x:c r="X2118" t="str"/>
      <x:c r="Y2118" t="str">
        <x:v>Referral</x:v>
      </x:c>
    </x:row>
    <x:row r="2119">
      <x:c r="A2119" t="str">
        <x:v>O002118</x:v>
      </x:c>
      <x:c r="B2119" s="20" t="n">
        <x:v>45878</x:v>
      </x:c>
      <x:c r="C2119" t="str">
        <x:v>C0169</x:v>
      </x:c>
      <x:c r="D2119" t="str">
        <x:v>Grand Mart 169</x:v>
      </x:c>
      <x:c r="E2119" t="str">
        <x:v>Canteen</x:v>
      </x:c>
      <x:c r="F2119" t="str">
        <x:v>Mangaluru</x:v>
      </x:c>
      <x:c r="G2119" t="str">
        <x:v>Vikram</x:v>
      </x:c>
      <x:c r="H2119" t="str">
        <x:v>P024</x:v>
      </x:c>
      <x:c r="I2119" t="str">
        <x:v>Orange Drink 1L</x:v>
      </x:c>
      <x:c r="J2119" t="str">
        <x:v>Beverage</x:v>
      </x:c>
      <x:c r="K2119" t="str">
        <x:v>Minute Maid</x:v>
      </x:c>
      <x:c r="L2119" s="22" t="n">
        <x:v>105</x:v>
      </x:c>
      <x:c r="M2119" t="n">
        <x:v>27</x:v>
      </x:c>
      <x:c r="N2119" s="24" t="n">
        <x:v>0.03</x:v>
      </x:c>
      <x:c r="O2119" s="22" t="n">
        <x:f>L2119*M2119</x:f>
        <x:v>2835</x:v>
      </x:c>
      <x:c r="P2119" s="22" t="n">
        <x:f>O2119*(1-N2119)</x:f>
        <x:v>2749.95</x:v>
      </x:c>
      <x:c r="Q2119" s="22" t="n">
        <x:v>88</x:v>
      </x:c>
      <x:c r="R2119" s="22" t="n">
        <x:f>Q2119*M2119</x:f>
        <x:v>2376</x:v>
      </x:c>
      <x:c r="S2119" s="22" t="n">
        <x:f>P2119-R2119</x:f>
        <x:v>373.9499999999998</x:v>
      </x:c>
      <x:c r="T2119" t="str">
        <x:v>UPI</x:v>
      </x:c>
      <x:c r="U2119" t="str">
        <x:v>Overdue</x:v>
      </x:c>
      <x:c r="V2119" t="str">
        <x:v>Delivered</x:v>
      </x:c>
      <x:c r="W2119" t="n">
        <x:v>0</x:v>
      </x:c>
      <x:c r="X2119" t="str"/>
      <x:c r="Y2119" t="str">
        <x:v>WhatsApp</x:v>
      </x:c>
    </x:row>
    <x:row r="2120">
      <x:c r="A2120" t="str">
        <x:v>O002119</x:v>
      </x:c>
      <x:c r="B2120" s="20" t="n">
        <x:v>46222</x:v>
      </x:c>
      <x:c r="C2120" t="str">
        <x:v>C0003</x:v>
      </x:c>
      <x:c r="D2120" t="str">
        <x:v>Grand Foods 3</x:v>
      </x:c>
      <x:c r="E2120" t="str">
        <x:v>Restaurant</x:v>
      </x:c>
      <x:c r="F2120" t="str">
        <x:v>Bengaluru</x:v>
      </x:c>
      <x:c r="G2120" t="str">
        <x:v>Vikram</x:v>
      </x:c>
      <x:c r="H2120" t="str">
        <x:v>P012</x:v>
      </x:c>
      <x:c r="I2120" t="str">
        <x:v>Maida 10kg</x:v>
      </x:c>
      <x:c r="J2120" t="str">
        <x:v>Flour</x:v>
      </x:c>
      <x:c r="K2120" t="str">
        <x:v>Aashirvaad</x:v>
      </x:c>
      <x:c r="L2120" s="22" t="n">
        <x:v>520</x:v>
      </x:c>
      <x:c r="M2120" t="n">
        <x:v>18</x:v>
      </x:c>
      <x:c r="N2120" s="24" t="n">
        <x:v>0.03</x:v>
      </x:c>
      <x:c r="O2120" s="22" t="n">
        <x:f>L2120*M2120</x:f>
        <x:v>9360</x:v>
      </x:c>
      <x:c r="P2120" s="22" t="n">
        <x:f>O2120*(1-N2120)</x:f>
        <x:v>9079.199999999999</x:v>
      </x:c>
      <x:c r="Q2120" s="22" t="n">
        <x:v>460</x:v>
      </x:c>
      <x:c r="R2120" s="22" t="n">
        <x:f>Q2120*M2120</x:f>
        <x:v>8280</x:v>
      </x:c>
      <x:c r="S2120" s="22" t="n">
        <x:f>P2120-R2120</x:f>
        <x:v>799.1999999999989</x:v>
      </x:c>
      <x:c r="T2120" t="str">
        <x:v>Credit</x:v>
      </x:c>
      <x:c r="U2120" t="str">
        <x:v>Pending</x:v>
      </x:c>
      <x:c r="V2120" t="str">
        <x:v>Cancelled</x:v>
      </x:c>
      <x:c r="W2120" t="n">
        <x:v>18</x:v>
      </x:c>
      <x:c r="X2120" t="str">
        <x:v>Cancelled Order</x:v>
      </x:c>
      <x:c r="Y2120" t="str">
        <x:v>Outbound Call</x:v>
      </x:c>
    </x:row>
    <x:row r="2121">
      <x:c r="A2121" t="str">
        <x:v>O002120</x:v>
      </x:c>
      <x:c r="B2121" s="20" t="n">
        <x:v>46117</x:v>
      </x:c>
      <x:c r="C2121" t="str">
        <x:v>C0097</x:v>
      </x:c>
      <x:c r="D2121" t="str">
        <x:v>Classic Stores 97</x:v>
      </x:c>
      <x:c r="E2121" t="str">
        <x:v>Restaurant</x:v>
      </x:c>
      <x:c r="F2121" t="str">
        <x:v>Davanagere</x:v>
      </x:c>
      <x:c r="G2121" t="str">
        <x:v>Priya</x:v>
      </x:c>
      <x:c r="H2121" t="str">
        <x:v>P042</x:v>
      </x:c>
      <x:c r="I2121" t="str">
        <x:v>Eggs 30pc Tray</x:v>
      </x:c>
      <x:c r="J2121" t="str">
        <x:v>Protein</x:v>
      </x:c>
      <x:c r="K2121" t="str">
        <x:v>Farm Fresh</x:v>
      </x:c>
      <x:c r="L2121" s="22" t="n">
        <x:v>195</x:v>
      </x:c>
      <x:c r="M2121" t="n">
        <x:v>1</x:v>
      </x:c>
      <x:c r="N2121" s="24" t="n">
        <x:v>0</x:v>
      </x:c>
      <x:c r="O2121" s="22" t="n">
        <x:f>L2121*M2121</x:f>
        <x:v>195</x:v>
      </x:c>
      <x:c r="P2121" s="22" t="n">
        <x:f>O2121*(1-N2121)</x:f>
        <x:v>195</x:v>
      </x:c>
      <x:c r="Q2121" s="22" t="n">
        <x:v>170</x:v>
      </x:c>
      <x:c r="R2121" s="22" t="n">
        <x:f>Q2121*M2121</x:f>
        <x:v>170</x:v>
      </x:c>
      <x:c r="S2121" s="22" t="n">
        <x:f>P2121-R2121</x:f>
        <x:v>25</x:v>
      </x:c>
      <x:c r="T2121" t="str">
        <x:v>Cash</x:v>
      </x:c>
      <x:c r="U2121" t="str">
        <x:v>Paid</x:v>
      </x:c>
      <x:c r="V2121" t="str">
        <x:v>Delivered</x:v>
      </x:c>
      <x:c r="W2121" t="n">
        <x:v>0</x:v>
      </x:c>
      <x:c r="X2121" t="str"/>
      <x:c r="Y2121" t="str">
        <x:v>Field Visit</x:v>
      </x:c>
    </x:row>
    <x:row r="2122">
      <x:c r="A2122" t="str">
        <x:v>O002121</x:v>
      </x:c>
      <x:c r="B2122" s="20" t="n">
        <x:v>46093</x:v>
      </x:c>
      <x:c r="C2122" t="str">
        <x:v>C0091</x:v>
      </x:c>
      <x:c r="D2122" t="str">
        <x:v>Classic Mart 91</x:v>
      </x:c>
      <x:c r="E2122" t="str">
        <x:v>Cafe</x:v>
      </x:c>
      <x:c r="F2122" t="str">
        <x:v>Mangaluru</x:v>
      </x:c>
      <x:c r="G2122" t="str">
        <x:v>Kavya</x:v>
      </x:c>
      <x:c r="H2122" t="str">
        <x:v>P015</x:v>
      </x:c>
      <x:c r="I2122" t="str">
        <x:v>Milk 1L</x:v>
      </x:c>
      <x:c r="J2122" t="str">
        <x:v>Dairy</x:v>
      </x:c>
      <x:c r="K2122" t="str">
        <x:v>Nandini</x:v>
      </x:c>
      <x:c r="L2122" s="22" t="n">
        <x:v>48</x:v>
      </x:c>
      <x:c r="M2122" t="n">
        <x:v>17</x:v>
      </x:c>
      <x:c r="N2122" s="24" t="n">
        <x:v>0.03</x:v>
      </x:c>
      <x:c r="O2122" s="22" t="n">
        <x:f>L2122*M2122</x:f>
        <x:v>816</x:v>
      </x:c>
      <x:c r="P2122" s="22" t="n">
        <x:f>O2122*(1-N2122)</x:f>
        <x:v>791.52</x:v>
      </x:c>
      <x:c r="Q2122" s="22" t="n">
        <x:v>43</x:v>
      </x:c>
      <x:c r="R2122" s="22" t="n">
        <x:f>Q2122*M2122</x:f>
        <x:v>731</x:v>
      </x:c>
      <x:c r="S2122" s="22" t="n">
        <x:f>P2122-R2122</x:f>
        <x:v>60.51999999999998</x:v>
      </x:c>
      <x:c r="T2122" t="str">
        <x:v>UPI</x:v>
      </x:c>
      <x:c r="U2122" t="str">
        <x:v>Paid</x:v>
      </x:c>
      <x:c r="V2122" t="str">
        <x:v>Delivered</x:v>
      </x:c>
      <x:c r="W2122" t="n">
        <x:v>0</x:v>
      </x:c>
      <x:c r="X2122" t="str"/>
      <x:c r="Y2122" t="str">
        <x:v>Field Visit</x:v>
      </x:c>
    </x:row>
    <x:row r="2123">
      <x:c r="A2123" t="str">
        <x:v>O002122</x:v>
      </x:c>
      <x:c r="B2123" s="20" t="n">
        <x:v>46067</x:v>
      </x:c>
      <x:c r="C2123" t="str">
        <x:v>C0249</x:v>
      </x:c>
      <x:c r="D2123" t="str">
        <x:v>City Hotel 249</x:v>
      </x:c>
      <x:c r="E2123" t="str">
        <x:v>Supermarket</x:v>
      </x:c>
      <x:c r="F2123" t="str">
        <x:v>Mysuru</x:v>
      </x:c>
      <x:c r="G2123" t="str">
        <x:v>Arjun</x:v>
      </x:c>
      <x:c r="H2123" t="str">
        <x:v>P016</x:v>
      </x:c>
      <x:c r="I2123" t="str">
        <x:v>Curd 1kg</x:v>
      </x:c>
      <x:c r="J2123" t="str">
        <x:v>Dairy</x:v>
      </x:c>
      <x:c r="K2123" t="str">
        <x:v>Nandini</x:v>
      </x:c>
      <x:c r="L2123" s="22" t="n">
        <x:v>72</x:v>
      </x:c>
      <x:c r="M2123" t="n">
        <x:v>18</x:v>
      </x:c>
      <x:c r="N2123" s="24" t="n">
        <x:v>0.05</x:v>
      </x:c>
      <x:c r="O2123" s="22" t="n">
        <x:f>L2123*M2123</x:f>
        <x:v>1296</x:v>
      </x:c>
      <x:c r="P2123" s="22" t="n">
        <x:f>O2123*(1-N2123)</x:f>
        <x:v>1231.2</x:v>
      </x:c>
      <x:c r="Q2123" s="22" t="n">
        <x:v>64</x:v>
      </x:c>
      <x:c r="R2123" s="22" t="n">
        <x:f>Q2123*M2123</x:f>
        <x:v>1152</x:v>
      </x:c>
      <x:c r="S2123" s="22" t="n">
        <x:f>P2123-R2123</x:f>
        <x:v>79.20000000000005</x:v>
      </x:c>
      <x:c r="T2123" t="str">
        <x:v>Bank Transfer</x:v>
      </x:c>
      <x:c r="U2123" t="str">
        <x:v>Paid</x:v>
      </x:c>
      <x:c r="V2123" t="str">
        <x:v>Cancelled</x:v>
      </x:c>
      <x:c r="W2123" t="n">
        <x:v>18</x:v>
      </x:c>
      <x:c r="X2123" t="str">
        <x:v>Cancelled Order</x:v>
      </x:c>
      <x:c r="Y2123" t="str">
        <x:v>Existing Customer</x:v>
      </x:c>
    </x:row>
    <x:row r="2124">
      <x:c r="A2124" t="str">
        <x:v>O002123</x:v>
      </x:c>
      <x:c r="B2124" s="20" t="n">
        <x:v>46188</x:v>
      </x:c>
      <x:c r="C2124" t="str">
        <x:v>C0128</x:v>
      </x:c>
      <x:c r="D2124" t="str">
        <x:v>Fresh Hotel 128</x:v>
      </x:c>
      <x:c r="E2124" t="str">
        <x:v>Kirana</x:v>
      </x:c>
      <x:c r="F2124" t="str">
        <x:v>Tumakuru</x:v>
      </x:c>
      <x:c r="G2124" t="str">
        <x:v>Priya</x:v>
      </x:c>
      <x:c r="H2124" t="str">
        <x:v>P016</x:v>
      </x:c>
      <x:c r="I2124" t="str">
        <x:v>Curd 1kg</x:v>
      </x:c>
      <x:c r="J2124" t="str">
        <x:v>Dairy</x:v>
      </x:c>
      <x:c r="K2124" t="str">
        <x:v>Nandini</x:v>
      </x:c>
      <x:c r="L2124" s="22" t="n">
        <x:v>72</x:v>
      </x:c>
      <x:c r="M2124" t="n">
        <x:v>24</x:v>
      </x:c>
      <x:c r="N2124" s="24" t="n">
        <x:v>0.02</x:v>
      </x:c>
      <x:c r="O2124" s="22" t="n">
        <x:f>L2124*M2124</x:f>
        <x:v>1728</x:v>
      </x:c>
      <x:c r="P2124" s="22" t="n">
        <x:f>O2124*(1-N2124)</x:f>
        <x:v>1693.44</x:v>
      </x:c>
      <x:c r="Q2124" s="22" t="n">
        <x:v>64</x:v>
      </x:c>
      <x:c r="R2124" s="22" t="n">
        <x:f>Q2124*M2124</x:f>
        <x:v>1536</x:v>
      </x:c>
      <x:c r="S2124" s="22" t="n">
        <x:f>P2124-R2124</x:f>
        <x:v>157.44000000000005</x:v>
      </x:c>
      <x:c r="T2124" t="str">
        <x:v>Credit</x:v>
      </x:c>
      <x:c r="U2124" t="str">
        <x:v>Paid</x:v>
      </x:c>
      <x:c r="V2124" t="str">
        <x:v>Delivered</x:v>
      </x:c>
      <x:c r="W2124" t="n">
        <x:v>0</x:v>
      </x:c>
      <x:c r="X2124" t="str"/>
      <x:c r="Y2124" t="str">
        <x:v>Referral</x:v>
      </x:c>
    </x:row>
    <x:row r="2125">
      <x:c r="A2125" t="str">
        <x:v>O002124</x:v>
      </x:c>
      <x:c r="B2125" s="20" t="n">
        <x:v>46132</x:v>
      </x:c>
      <x:c r="C2125" t="str">
        <x:v>C0098</x:v>
      </x:c>
      <x:c r="D2125" t="str">
        <x:v>City Stores 98</x:v>
      </x:c>
      <x:c r="E2125" t="str">
        <x:v>Canteen</x:v>
      </x:c>
      <x:c r="F2125" t="str">
        <x:v>Mangaluru</x:v>
      </x:c>
      <x:c r="G2125" t="str">
        <x:v>Imran</x:v>
      </x:c>
      <x:c r="H2125" t="str">
        <x:v>P026</x:v>
      </x:c>
      <x:c r="I2125" t="str">
        <x:v>Banana Chips 80g</x:v>
      </x:c>
      <x:c r="J2125" t="str">
        <x:v>Snacks</x:v>
      </x:c>
      <x:c r="K2125" t="str">
        <x:v>SSS</x:v>
      </x:c>
      <x:c r="L2125" s="22" t="n">
        <x:v>54</x:v>
      </x:c>
      <x:c r="M2125" t="n">
        <x:v>39</x:v>
      </x:c>
      <x:c r="N2125" s="24" t="n">
        <x:v>0.05</x:v>
      </x:c>
      <x:c r="O2125" s="22" t="n">
        <x:f>L2125*M2125</x:f>
        <x:v>2106</x:v>
      </x:c>
      <x:c r="P2125" s="22" t="n">
        <x:f>O2125*(1-N2125)</x:f>
        <x:v>2000.6999999999998</x:v>
      </x:c>
      <x:c r="Q2125" s="22" t="n">
        <x:v>39</x:v>
      </x:c>
      <x:c r="R2125" s="22" t="n">
        <x:f>Q2125*M2125</x:f>
        <x:v>1521</x:v>
      </x:c>
      <x:c r="S2125" s="22" t="n">
        <x:f>P2125-R2125</x:f>
        <x:v>479.6999999999998</x:v>
      </x:c>
      <x:c r="T2125" t="str">
        <x:v>Credit</x:v>
      </x:c>
      <x:c r="U2125" t="str">
        <x:v>Paid</x:v>
      </x:c>
      <x:c r="V2125" t="str">
        <x:v>Delivered</x:v>
      </x:c>
      <x:c r="W2125" t="n">
        <x:v>0</x:v>
      </x:c>
      <x:c r="X2125" t="str"/>
      <x:c r="Y2125" t="str">
        <x:v>Existing Customer</x:v>
      </x:c>
    </x:row>
    <x:row r="2126">
      <x:c r="A2126" t="str">
        <x:v>O002125</x:v>
      </x:c>
      <x:c r="B2126" s="20" t="n">
        <x:v>45836</x:v>
      </x:c>
      <x:c r="C2126" t="str">
        <x:v>C0210</x:v>
      </x:c>
      <x:c r="D2126" t="str">
        <x:v>Spice Stores 210</x:v>
      </x:c>
      <x:c r="E2126" t="str">
        <x:v>Cafe</x:v>
      </x:c>
      <x:c r="F2126" t="str">
        <x:v>Davanagere</x:v>
      </x:c>
      <x:c r="G2126" t="str">
        <x:v>Imran</x:v>
      </x:c>
      <x:c r="H2126" t="str">
        <x:v>P032</x:v>
      </x:c>
      <x:c r="I2126" t="str">
        <x:v>Soy Sauce 700g</x:v>
      </x:c>
      <x:c r="J2126" t="str">
        <x:v>Condiments</x:v>
      </x:c>
      <x:c r="K2126" t="str">
        <x:v>Ching's</x:v>
      </x:c>
      <x:c r="L2126" s="22" t="n">
        <x:v>118</x:v>
      </x:c>
      <x:c r="M2126" t="n">
        <x:v>9</x:v>
      </x:c>
      <x:c r="N2126" s="24" t="n">
        <x:v>0.05</x:v>
      </x:c>
      <x:c r="O2126" s="22" t="n">
        <x:f>L2126*M2126</x:f>
        <x:v>1062</x:v>
      </x:c>
      <x:c r="P2126" s="22" t="n">
        <x:f>O2126*(1-N2126)</x:f>
        <x:v>1008.9</x:v>
      </x:c>
      <x:c r="Q2126" s="22" t="n">
        <x:v>101</x:v>
      </x:c>
      <x:c r="R2126" s="22" t="n">
        <x:f>Q2126*M2126</x:f>
        <x:v>909</x:v>
      </x:c>
      <x:c r="S2126" s="22" t="n">
        <x:f>P2126-R2126</x:f>
        <x:v>99.89999999999998</x:v>
      </x:c>
      <x:c r="T2126" t="str">
        <x:v>Cash</x:v>
      </x:c>
      <x:c r="U2126" t="str">
        <x:v>Paid</x:v>
      </x:c>
      <x:c r="V2126" t="str">
        <x:v>Delayed</x:v>
      </x:c>
      <x:c r="W2126" t="n">
        <x:v>0</x:v>
      </x:c>
      <x:c r="X2126" t="str"/>
      <x:c r="Y2126" t="str">
        <x:v>WhatsApp</x:v>
      </x:c>
    </x:row>
    <x:row r="2127">
      <x:c r="A2127" t="str">
        <x:v>O002126</x:v>
      </x:c>
      <x:c r="B2127" s="20" t="n">
        <x:v>46235</x:v>
      </x:c>
      <x:c r="C2127" t="str">
        <x:v>C0247</x:v>
      </x:c>
      <x:c r="D2127" t="str">
        <x:v>Fresh Canteen 247</x:v>
      </x:c>
      <x:c r="E2127" t="str">
        <x:v>Restaurant</x:v>
      </x:c>
      <x:c r="F2127" t="str">
        <x:v>Hubballi</x:v>
      </x:c>
      <x:c r="G2127" t="str">
        <x:v>Kavya</x:v>
      </x:c>
      <x:c r="H2127" t="str">
        <x:v>P027</x:v>
      </x:c>
      <x:c r="I2127" t="str">
        <x:v>Biscuits 120g</x:v>
      </x:c>
      <x:c r="J2127" t="str">
        <x:v>Snacks</x:v>
      </x:c>
      <x:c r="K2127" t="str">
        <x:v>Parle-G</x:v>
      </x:c>
      <x:c r="L2127" s="22" t="n">
        <x:v>12</x:v>
      </x:c>
      <x:c r="M2127" t="n">
        <x:v>40</x:v>
      </x:c>
      <x:c r="N2127" s="24" t="n">
        <x:v>0</x:v>
      </x:c>
      <x:c r="O2127" s="22" t="n">
        <x:f>L2127*M2127</x:f>
        <x:v>480</x:v>
      </x:c>
      <x:c r="P2127" s="22" t="n">
        <x:f>O2127*(1-N2127)</x:f>
        <x:v>480</x:v>
      </x:c>
      <x:c r="Q2127" s="22" t="n">
        <x:v>9</x:v>
      </x:c>
      <x:c r="R2127" s="22" t="n">
        <x:f>Q2127*M2127</x:f>
        <x:v>360</x:v>
      </x:c>
      <x:c r="S2127" s="22" t="n">
        <x:f>P2127-R2127</x:f>
        <x:v>120</x:v>
      </x:c>
      <x:c r="T2127" t="str">
        <x:v>Credit</x:v>
      </x:c>
      <x:c r="U2127" t="str">
        <x:v>Paid</x:v>
      </x:c>
      <x:c r="V2127" t="str">
        <x:v>Delivered</x:v>
      </x:c>
      <x:c r="W2127" t="n">
        <x:v>0</x:v>
      </x:c>
      <x:c r="X2127" t="str"/>
      <x:c r="Y2127" t="str">
        <x:v>Existing Customer</x:v>
      </x:c>
    </x:row>
    <x:row r="2128">
      <x:c r="A2128" t="str">
        <x:v>O002127</x:v>
      </x:c>
      <x:c r="B2128" s="20" t="n">
        <x:v>46011</x:v>
      </x:c>
      <x:c r="C2128" t="str">
        <x:v>C0046</x:v>
      </x:c>
      <x:c r="D2128" t="str">
        <x:v>Annapurna Foods 46</x:v>
      </x:c>
      <x:c r="E2128" t="str">
        <x:v>Kirana</x:v>
      </x:c>
      <x:c r="F2128" t="str">
        <x:v>Bengaluru</x:v>
      </x:c>
      <x:c r="G2128" t="str">
        <x:v>Ramesh</x:v>
      </x:c>
      <x:c r="H2128" t="str">
        <x:v>P013</x:v>
      </x:c>
      <x:c r="I2128" t="str">
        <x:v>Atta 10kg</x:v>
      </x:c>
      <x:c r="J2128" t="str">
        <x:v>Flour</x:v>
      </x:c>
      <x:c r="K2128" t="str">
        <x:v>Aashirvaad</x:v>
      </x:c>
      <x:c r="L2128" s="22" t="n">
        <x:v>560</x:v>
      </x:c>
      <x:c r="M2128" t="n">
        <x:v>25</x:v>
      </x:c>
      <x:c r="N2128" s="24" t="n">
        <x:v>0.05</x:v>
      </x:c>
      <x:c r="O2128" s="22" t="n">
        <x:f>L2128*M2128</x:f>
        <x:v>14000</x:v>
      </x:c>
      <x:c r="P2128" s="22" t="n">
        <x:f>O2128*(1-N2128)</x:f>
        <x:v>13300</x:v>
      </x:c>
      <x:c r="Q2128" s="22" t="n">
        <x:v>495</x:v>
      </x:c>
      <x:c r="R2128" s="22" t="n">
        <x:f>Q2128*M2128</x:f>
        <x:v>12375</x:v>
      </x:c>
      <x:c r="S2128" s="22" t="n">
        <x:f>P2128-R2128</x:f>
        <x:v>925</x:v>
      </x:c>
      <x:c r="T2128" t="str">
        <x:v>Bank Transfer</x:v>
      </x:c>
      <x:c r="U2128" t="str">
        <x:v>Paid</x:v>
      </x:c>
      <x:c r="V2128" t="str">
        <x:v>Cancelled</x:v>
      </x:c>
      <x:c r="W2128" t="n">
        <x:v>25</x:v>
      </x:c>
      <x:c r="X2128" t="str">
        <x:v>Cancelled Order</x:v>
      </x:c>
      <x:c r="Y2128" t="str">
        <x:v>Existing Customer</x:v>
      </x:c>
    </x:row>
    <x:row r="2129">
      <x:c r="A2129" t="str">
        <x:v>O002128</x:v>
      </x:c>
      <x:c r="B2129" s="20" t="n">
        <x:v>45911</x:v>
      </x:c>
      <x:c r="C2129" t="str">
        <x:v>C0188</x:v>
      </x:c>
      <x:c r="D2129" t="str">
        <x:v>New Canteen 188</x:v>
      </x:c>
      <x:c r="E2129" t="str">
        <x:v>Restaurant</x:v>
      </x:c>
      <x:c r="F2129" t="str">
        <x:v>Bengaluru</x:v>
      </x:c>
      <x:c r="G2129" t="str">
        <x:v>Kavya</x:v>
      </x:c>
      <x:c r="H2129" t="str">
        <x:v>P036</x:v>
      </x:c>
      <x:c r="I2129" t="str">
        <x:v>Garam Masala 500g</x:v>
      </x:c>
      <x:c r="J2129" t="str">
        <x:v>Spices</x:v>
      </x:c>
      <x:c r="K2129" t="str">
        <x:v>MDH</x:v>
      </x:c>
      <x:c r="L2129" s="22" t="n">
        <x:v>265</x:v>
      </x:c>
      <x:c r="M2129" t="n">
        <x:v>14</x:v>
      </x:c>
      <x:c r="N2129" s="24" t="n">
        <x:v>0.02</x:v>
      </x:c>
      <x:c r="O2129" s="22" t="n">
        <x:f>L2129*M2129</x:f>
        <x:v>3710</x:v>
      </x:c>
      <x:c r="P2129" s="22" t="n">
        <x:f>O2129*(1-N2129)</x:f>
        <x:v>3635.7999999999997</x:v>
      </x:c>
      <x:c r="Q2129" s="22" t="n">
        <x:v>230</x:v>
      </x:c>
      <x:c r="R2129" s="22" t="n">
        <x:f>Q2129*M2129</x:f>
        <x:v>3220</x:v>
      </x:c>
      <x:c r="S2129" s="22" t="n">
        <x:f>P2129-R2129</x:f>
        <x:v>415.7999999999997</x:v>
      </x:c>
      <x:c r="T2129" t="str">
        <x:v>Credit</x:v>
      </x:c>
      <x:c r="U2129" t="str">
        <x:v>Pending</x:v>
      </x:c>
      <x:c r="V2129" t="str">
        <x:v>Delivered</x:v>
      </x:c>
      <x:c r="W2129" t="n">
        <x:v>0</x:v>
      </x:c>
      <x:c r="X2129" t="str"/>
      <x:c r="Y2129" t="str">
        <x:v>WhatsApp</x:v>
      </x:c>
    </x:row>
    <x:row r="2130">
      <x:c r="A2130" t="str">
        <x:v>O002129</x:v>
      </x:c>
      <x:c r="B2130" s="20" t="n">
        <x:v>45849</x:v>
      </x:c>
      <x:c r="C2130" t="str">
        <x:v>C0116</x:v>
      </x:c>
      <x:c r="D2130" t="str">
        <x:v>Classic Foods 116</x:v>
      </x:c>
      <x:c r="E2130" t="str">
        <x:v>Supermarket</x:v>
      </x:c>
      <x:c r="F2130" t="str">
        <x:v>Davanagere</x:v>
      </x:c>
      <x:c r="G2130" t="str">
        <x:v>Megha</x:v>
      </x:c>
      <x:c r="H2130" t="str">
        <x:v>P040</x:v>
      </x:c>
      <x:c r="I2130" t="str">
        <x:v>Bread Loaf 400g</x:v>
      </x:c>
      <x:c r="J2130" t="str">
        <x:v>Bakery</x:v>
      </x:c>
      <x:c r="K2130" t="str">
        <x:v>Britannia</x:v>
      </x:c>
      <x:c r="L2130" s="22" t="n">
        <x:v>45</x:v>
      </x:c>
      <x:c r="M2130" t="n">
        <x:v>24</x:v>
      </x:c>
      <x:c r="N2130" s="24" t="n">
        <x:v>0.08</x:v>
      </x:c>
      <x:c r="O2130" s="22" t="n">
        <x:f>L2130*M2130</x:f>
        <x:v>1080</x:v>
      </x:c>
      <x:c r="P2130" s="22" t="n">
        <x:f>O2130*(1-N2130)</x:f>
        <x:v>993.6</x:v>
      </x:c>
      <x:c r="Q2130" s="22" t="n">
        <x:v>35</x:v>
      </x:c>
      <x:c r="R2130" s="22" t="n">
        <x:f>Q2130*M2130</x:f>
        <x:v>840</x:v>
      </x:c>
      <x:c r="S2130" s="22" t="n">
        <x:f>P2130-R2130</x:f>
        <x:v>153.60000000000002</x:v>
      </x:c>
      <x:c r="T2130" t="str">
        <x:v>Credit</x:v>
      </x:c>
      <x:c r="U2130" t="str">
        <x:v>Paid</x:v>
      </x:c>
      <x:c r="V2130" t="str">
        <x:v>Delivered</x:v>
      </x:c>
      <x:c r="W2130" t="n">
        <x:v>0</x:v>
      </x:c>
      <x:c r="X2130" t="str"/>
      <x:c r="Y2130" t="str">
        <x:v>Existing Customer</x:v>
      </x:c>
    </x:row>
    <x:row r="2131">
      <x:c r="A2131" t="str">
        <x:v>O002130</x:v>
      </x:c>
      <x:c r="B2131" s="20" t="n">
        <x:v>46280</x:v>
      </x:c>
      <x:c r="C2131" t="str">
        <x:v>C0134</x:v>
      </x:c>
      <x:c r="D2131" t="str">
        <x:v>Annapurna Stores 134</x:v>
      </x:c>
      <x:c r="E2131" t="str">
        <x:v>Cafe</x:v>
      </x:c>
      <x:c r="F2131" t="str">
        <x:v>Bengaluru</x:v>
      </x:c>
      <x:c r="G2131" t="str">
        <x:v>Kavya</x:v>
      </x:c>
      <x:c r="H2131" t="str">
        <x:v>P017</x:v>
      </x:c>
      <x:c r="I2131" t="str">
        <x:v>Butter 500g</x:v>
      </x:c>
      <x:c r="J2131" t="str">
        <x:v>Dairy</x:v>
      </x:c>
      <x:c r="K2131" t="str">
        <x:v>Amul</x:v>
      </x:c>
      <x:c r="L2131" s="22" t="n">
        <x:v>285</x:v>
      </x:c>
      <x:c r="M2131" t="n">
        <x:v>16</x:v>
      </x:c>
      <x:c r="N2131" s="24" t="n">
        <x:v>0</x:v>
      </x:c>
      <x:c r="O2131" s="22" t="n">
        <x:f>L2131*M2131</x:f>
        <x:v>4560</x:v>
      </x:c>
      <x:c r="P2131" s="22" t="n">
        <x:f>O2131*(1-N2131)</x:f>
        <x:v>4560</x:v>
      </x:c>
      <x:c r="Q2131" s="22" t="n">
        <x:v>258</x:v>
      </x:c>
      <x:c r="R2131" s="22" t="n">
        <x:f>Q2131*M2131</x:f>
        <x:v>4128</x:v>
      </x:c>
      <x:c r="S2131" s="22" t="n">
        <x:f>P2131-R2131</x:f>
        <x:v>432</x:v>
      </x:c>
      <x:c r="T2131" t="str">
        <x:v>Bank Transfer</x:v>
      </x:c>
      <x:c r="U2131" t="str">
        <x:v>Paid</x:v>
      </x:c>
      <x:c r="V2131" t="str">
        <x:v>Cancelled</x:v>
      </x:c>
      <x:c r="W2131" t="n">
        <x:v>16</x:v>
      </x:c>
      <x:c r="X2131" t="str">
        <x:v>Cancelled Order</x:v>
      </x:c>
      <x:c r="Y2131" t="str">
        <x:v>Referral</x:v>
      </x:c>
    </x:row>
    <x:row r="2132">
      <x:c r="A2132" t="str">
        <x:v>O002131</x:v>
      </x:c>
      <x:c r="B2132" s="20" t="n">
        <x:v>45816</x:v>
      </x:c>
      <x:c r="C2132" t="str">
        <x:v>C0154</x:v>
      </x:c>
      <x:c r="D2132" t="str">
        <x:v>Royal Restaurant 154</x:v>
      </x:c>
      <x:c r="E2132" t="str">
        <x:v>Restaurant</x:v>
      </x:c>
      <x:c r="F2132" t="str">
        <x:v>Tumakuru</x:v>
      </x:c>
      <x:c r="G2132" t="str">
        <x:v>Kavya</x:v>
      </x:c>
      <x:c r="H2132" t="str">
        <x:v>P006</x:v>
      </x:c>
      <x:c r="I2132" t="str">
        <x:v>Moong Dal 5kg</x:v>
      </x:c>
      <x:c r="J2132" t="str">
        <x:v>Pulses</x:v>
      </x:c>
      <x:c r="K2132" t="str">
        <x:v>Local Select</x:v>
      </x:c>
      <x:c r="L2132" s="22" t="n">
        <x:v>610</x:v>
      </x:c>
      <x:c r="M2132" t="n">
        <x:v>9</x:v>
      </x:c>
      <x:c r="N2132" s="24" t="n">
        <x:v>0.03</x:v>
      </x:c>
      <x:c r="O2132" s="22" t="n">
        <x:f>L2132*M2132</x:f>
        <x:v>5490</x:v>
      </x:c>
      <x:c r="P2132" s="22" t="n">
        <x:f>O2132*(1-N2132)</x:f>
        <x:v>5325.3</x:v>
      </x:c>
      <x:c r="Q2132" s="22" t="n">
        <x:v>540</x:v>
      </x:c>
      <x:c r="R2132" s="22" t="n">
        <x:f>Q2132*M2132</x:f>
        <x:v>4860</x:v>
      </x:c>
      <x:c r="S2132" s="22" t="n">
        <x:f>P2132-R2132</x:f>
        <x:v>465.3000000000002</x:v>
      </x:c>
      <x:c r="T2132" t="str">
        <x:v>UPI</x:v>
      </x:c>
      <x:c r="U2132" t="str">
        <x:v>Paid</x:v>
      </x:c>
      <x:c r="V2132" t="str">
        <x:v>Delivered</x:v>
      </x:c>
      <x:c r="W2132" t="n">
        <x:v>0</x:v>
      </x:c>
      <x:c r="X2132" t="str"/>
      <x:c r="Y2132" t="str">
        <x:v>Outbound Call</x:v>
      </x:c>
    </x:row>
    <x:row r="2133">
      <x:c r="A2133" t="str">
        <x:v>O002132</x:v>
      </x:c>
      <x:c r="B2133" s="20" t="n">
        <x:v>46135</x:v>
      </x:c>
      <x:c r="C2133" t="str">
        <x:v>C0169</x:v>
      </x:c>
      <x:c r="D2133" t="str">
        <x:v>Grand Mart 169</x:v>
      </x:c>
      <x:c r="E2133" t="str">
        <x:v>Canteen</x:v>
      </x:c>
      <x:c r="F2133" t="str">
        <x:v>Mangaluru</x:v>
      </x:c>
      <x:c r="G2133" t="str">
        <x:v>Vikram</x:v>
      </x:c>
      <x:c r="H2133" t="str">
        <x:v>P045</x:v>
      </x:c>
      <x:c r="I2133" t="str">
        <x:v>Onion 25kg</x:v>
      </x:c>
      <x:c r="J2133" t="str">
        <x:v>Fresh Produce</x:v>
      </x:c>
      <x:c r="K2133" t="str">
        <x:v>Local Market</x:v>
      </x:c>
      <x:c r="L2133" s="22" t="n">
        <x:v>875</x:v>
      </x:c>
      <x:c r="M2133" t="n">
        <x:v>26</x:v>
      </x:c>
      <x:c r="N2133" s="24" t="n">
        <x:v>0</x:v>
      </x:c>
      <x:c r="O2133" s="22" t="n">
        <x:f>L2133*M2133</x:f>
        <x:v>22750</x:v>
      </x:c>
      <x:c r="P2133" s="22" t="n">
        <x:f>O2133*(1-N2133)</x:f>
        <x:v>22750</x:v>
      </x:c>
      <x:c r="Q2133" s="22" t="n">
        <x:v>760</x:v>
      </x:c>
      <x:c r="R2133" s="22" t="n">
        <x:f>Q2133*M2133</x:f>
        <x:v>19760</x:v>
      </x:c>
      <x:c r="S2133" s="22" t="n">
        <x:f>P2133-R2133</x:f>
        <x:v>2990</x:v>
      </x:c>
      <x:c r="T2133" t="str">
        <x:v>UPI</x:v>
      </x:c>
      <x:c r="U2133" t="str">
        <x:v>Overdue</x:v>
      </x:c>
      <x:c r="V2133" t="str">
        <x:v>Delivered</x:v>
      </x:c>
      <x:c r="W2133" t="n">
        <x:v>0</x:v>
      </x:c>
      <x:c r="X2133" t="str"/>
      <x:c r="Y2133" t="str">
        <x:v>Referral</x:v>
      </x:c>
    </x:row>
    <x:row r="2134">
      <x:c r="A2134" t="str">
        <x:v>O002133</x:v>
      </x:c>
      <x:c r="B2134" s="20" t="n">
        <x:v>46235</x:v>
      </x:c>
      <x:c r="C2134" t="str">
        <x:v>C0223</x:v>
      </x:c>
      <x:c r="D2134" t="str">
        <x:v>Classic Canteen 223</x:v>
      </x:c>
      <x:c r="E2134" t="str">
        <x:v>Restaurant</x:v>
      </x:c>
      <x:c r="F2134" t="str">
        <x:v>Tumakuru</x:v>
      </x:c>
      <x:c r="G2134" t="str">
        <x:v>Kavya</x:v>
      </x:c>
      <x:c r="H2134" t="str">
        <x:v>P019</x:v>
      </x:c>
      <x:c r="I2134" t="str">
        <x:v>Tea 1kg</x:v>
      </x:c>
      <x:c r="J2134" t="str">
        <x:v>Beverage</x:v>
      </x:c>
      <x:c r="K2134" t="str">
        <x:v>Red Label</x:v>
      </x:c>
      <x:c r="L2134" s="22" t="n">
        <x:v>540</x:v>
      </x:c>
      <x:c r="M2134" t="n">
        <x:v>5</x:v>
      </x:c>
      <x:c r="N2134" s="24" t="n">
        <x:v>0</x:v>
      </x:c>
      <x:c r="O2134" s="22" t="n">
        <x:f>L2134*M2134</x:f>
        <x:v>2700</x:v>
      </x:c>
      <x:c r="P2134" s="22" t="n">
        <x:f>O2134*(1-N2134)</x:f>
        <x:v>2700</x:v>
      </x:c>
      <x:c r="Q2134" s="22" t="n">
        <x:v>485</x:v>
      </x:c>
      <x:c r="R2134" s="22" t="n">
        <x:f>Q2134*M2134</x:f>
        <x:v>2425</x:v>
      </x:c>
      <x:c r="S2134" s="22" t="n">
        <x:f>P2134-R2134</x:f>
        <x:v>275</x:v>
      </x:c>
      <x:c r="T2134" t="str">
        <x:v>UPI</x:v>
      </x:c>
      <x:c r="U2134" t="str">
        <x:v>Paid</x:v>
      </x:c>
      <x:c r="V2134" t="str">
        <x:v>Delayed</x:v>
      </x:c>
      <x:c r="W2134" t="n">
        <x:v>0</x:v>
      </x:c>
      <x:c r="X2134" t="str"/>
      <x:c r="Y2134" t="str">
        <x:v>Existing Customer</x:v>
      </x:c>
    </x:row>
    <x:row r="2135">
      <x:c r="A2135" t="str">
        <x:v>O002134</x:v>
      </x:c>
      <x:c r="B2135" s="20" t="n">
        <x:v>46214</x:v>
      </x:c>
      <x:c r="C2135" t="str">
        <x:v>C0039</x:v>
      </x:c>
      <x:c r="D2135" t="str">
        <x:v>Sagar Cafe 39</x:v>
      </x:c>
      <x:c r="E2135" t="str">
        <x:v>Restaurant</x:v>
      </x:c>
      <x:c r="F2135" t="str">
        <x:v>Hubballi</x:v>
      </x:c>
      <x:c r="G2135" t="str">
        <x:v>Imran</x:v>
      </x:c>
      <x:c r="H2135" t="str">
        <x:v>P041</x:v>
      </x:c>
      <x:c r="I2135" t="str">
        <x:v>Burger Bun 6pc</x:v>
      </x:c>
      <x:c r="J2135" t="str">
        <x:v>Bakery</x:v>
      </x:c>
      <x:c r="K2135" t="str">
        <x:v>Modern</x:v>
      </x:c>
      <x:c r="L2135" s="22" t="n">
        <x:v>42</x:v>
      </x:c>
      <x:c r="M2135" t="n">
        <x:v>31</x:v>
      </x:c>
      <x:c r="N2135" s="24" t="n">
        <x:v>0</x:v>
      </x:c>
      <x:c r="O2135" s="22" t="n">
        <x:f>L2135*M2135</x:f>
        <x:v>1302</x:v>
      </x:c>
      <x:c r="P2135" s="22" t="n">
        <x:f>O2135*(1-N2135)</x:f>
        <x:v>1302</x:v>
      </x:c>
      <x:c r="Q2135" s="22" t="n">
        <x:v>32</x:v>
      </x:c>
      <x:c r="R2135" s="22" t="n">
        <x:f>Q2135*M2135</x:f>
        <x:v>992</x:v>
      </x:c>
      <x:c r="S2135" s="22" t="n">
        <x:f>P2135-R2135</x:f>
        <x:v>310</x:v>
      </x:c>
      <x:c r="T2135" t="str">
        <x:v>Credit</x:v>
      </x:c>
      <x:c r="U2135" t="str">
        <x:v>Paid</x:v>
      </x:c>
      <x:c r="V2135" t="str">
        <x:v>Cancelled</x:v>
      </x:c>
      <x:c r="W2135" t="n">
        <x:v>31</x:v>
      </x:c>
      <x:c r="X2135" t="str">
        <x:v>Cancelled Order</x:v>
      </x:c>
      <x:c r="Y2135" t="str">
        <x:v>WhatsApp</x:v>
      </x:c>
    </x:row>
    <x:row r="2136">
      <x:c r="A2136" t="str">
        <x:v>O002135</x:v>
      </x:c>
      <x:c r="B2136" s="20" t="n">
        <x:v>45796</x:v>
      </x:c>
      <x:c r="C2136" t="str">
        <x:v>C0191</x:v>
      </x:c>
      <x:c r="D2136" t="str">
        <x:v>Foodie Kitchen 191</x:v>
      </x:c>
      <x:c r="E2136" t="str">
        <x:v>Cafe</x:v>
      </x:c>
      <x:c r="F2136" t="str">
        <x:v>Mysuru</x:v>
      </x:c>
      <x:c r="G2136" t="str">
        <x:v>Priya</x:v>
      </x:c>
      <x:c r="H2136" t="str">
        <x:v>P043</x:v>
      </x:c>
      <x:c r="I2136" t="str">
        <x:v>Chicken Breast 1kg</x:v>
      </x:c>
      <x:c r="J2136" t="str">
        <x:v>Protein</x:v>
      </x:c>
      <x:c r="K2136" t="str">
        <x:v>FreshToHome</x:v>
      </x:c>
      <x:c r="L2136" s="22" t="n">
        <x:v>260</x:v>
      </x:c>
      <x:c r="M2136" t="n">
        <x:v>19</x:v>
      </x:c>
      <x:c r="N2136" s="24" t="n">
        <x:v>0.08</x:v>
      </x:c>
      <x:c r="O2136" s="22" t="n">
        <x:f>L2136*M2136</x:f>
        <x:v>4940</x:v>
      </x:c>
      <x:c r="P2136" s="22" t="n">
        <x:f>O2136*(1-N2136)</x:f>
        <x:v>4544.8</x:v>
      </x:c>
      <x:c r="Q2136" s="22" t="n">
        <x:v>235</x:v>
      </x:c>
      <x:c r="R2136" s="22" t="n">
        <x:f>Q2136*M2136</x:f>
        <x:v>4465</x:v>
      </x:c>
      <x:c r="S2136" s="22" t="n">
        <x:f>P2136-R2136</x:f>
        <x:v>79.80000000000018</x:v>
      </x:c>
      <x:c r="T2136" t="str">
        <x:v>Cash</x:v>
      </x:c>
      <x:c r="U2136" t="str">
        <x:v>Paid</x:v>
      </x:c>
      <x:c r="V2136" t="str">
        <x:v>Cancelled</x:v>
      </x:c>
      <x:c r="W2136" t="n">
        <x:v>19</x:v>
      </x:c>
      <x:c r="X2136" t="str">
        <x:v>Cancelled Order</x:v>
      </x:c>
      <x:c r="Y2136" t="str">
        <x:v>Referral</x:v>
      </x:c>
    </x:row>
    <x:row r="2137">
      <x:c r="A2137" t="str">
        <x:v>O002136</x:v>
      </x:c>
      <x:c r="B2137" s="20" t="n">
        <x:v>46002</x:v>
      </x:c>
      <x:c r="C2137" t="str">
        <x:v>C0047</x:v>
      </x:c>
      <x:c r="D2137" t="str">
        <x:v>Shree Restaurant 47</x:v>
      </x:c>
      <x:c r="E2137" t="str">
        <x:v>Canteen</x:v>
      </x:c>
      <x:c r="F2137" t="str">
        <x:v>Davanagere</x:v>
      </x:c>
      <x:c r="G2137" t="str">
        <x:v>Arjun</x:v>
      </x:c>
      <x:c r="H2137" t="str">
        <x:v>P015</x:v>
      </x:c>
      <x:c r="I2137" t="str">
        <x:v>Milk 1L</x:v>
      </x:c>
      <x:c r="J2137" t="str">
        <x:v>Dairy</x:v>
      </x:c>
      <x:c r="K2137" t="str">
        <x:v>Nandini</x:v>
      </x:c>
      <x:c r="L2137" s="22" t="n">
        <x:v>48</x:v>
      </x:c>
      <x:c r="M2137" t="n">
        <x:v>15</x:v>
      </x:c>
      <x:c r="N2137" s="24" t="n">
        <x:v>0</x:v>
      </x:c>
      <x:c r="O2137" s="22" t="n">
        <x:f>L2137*M2137</x:f>
        <x:v>720</x:v>
      </x:c>
      <x:c r="P2137" s="22" t="n">
        <x:f>O2137*(1-N2137)</x:f>
        <x:v>720</x:v>
      </x:c>
      <x:c r="Q2137" s="22" t="n">
        <x:v>43</x:v>
      </x:c>
      <x:c r="R2137" s="22" t="n">
        <x:f>Q2137*M2137</x:f>
        <x:v>645</x:v>
      </x:c>
      <x:c r="S2137" s="22" t="n">
        <x:f>P2137-R2137</x:f>
        <x:v>75</x:v>
      </x:c>
      <x:c r="T2137" t="str">
        <x:v>Credit</x:v>
      </x:c>
      <x:c r="U2137" t="str">
        <x:v>Overdue</x:v>
      </x:c>
      <x:c r="V2137" t="str">
        <x:v>Delivered</x:v>
      </x:c>
      <x:c r="W2137" t="n">
        <x:v>0</x:v>
      </x:c>
      <x:c r="X2137" t="str"/>
      <x:c r="Y2137" t="str">
        <x:v>Outbound Call</x:v>
      </x:c>
    </x:row>
    <x:row r="2138">
      <x:c r="A2138" t="str">
        <x:v>O002137</x:v>
      </x:c>
      <x:c r="B2138" s="20" t="n">
        <x:v>46068</x:v>
      </x:c>
      <x:c r="C2138" t="str">
        <x:v>C0067</x:v>
      </x:c>
      <x:c r="D2138" t="str">
        <x:v>Royal Restaurant 67</x:v>
      </x:c>
      <x:c r="E2138" t="str">
        <x:v>Supermarket</x:v>
      </x:c>
      <x:c r="F2138" t="str">
        <x:v>Tumakuru</x:v>
      </x:c>
      <x:c r="G2138" t="str">
        <x:v>Sneha</x:v>
      </x:c>
      <x:c r="H2138" t="str">
        <x:v>P036</x:v>
      </x:c>
      <x:c r="I2138" t="str">
        <x:v>Garam Masala 500g</x:v>
      </x:c>
      <x:c r="J2138" t="str">
        <x:v>Spices</x:v>
      </x:c>
      <x:c r="K2138" t="str">
        <x:v>MDH</x:v>
      </x:c>
      <x:c r="L2138" s="22" t="n">
        <x:v>265</x:v>
      </x:c>
      <x:c r="M2138" t="n">
        <x:v>9</x:v>
      </x:c>
      <x:c r="N2138" s="24" t="n">
        <x:v>0.08</x:v>
      </x:c>
      <x:c r="O2138" s="22" t="n">
        <x:f>L2138*M2138</x:f>
        <x:v>2385</x:v>
      </x:c>
      <x:c r="P2138" s="22" t="n">
        <x:f>O2138*(1-N2138)</x:f>
        <x:v>2194.2000000000003</x:v>
      </x:c>
      <x:c r="Q2138" s="22" t="n">
        <x:v>230</x:v>
      </x:c>
      <x:c r="R2138" s="22" t="n">
        <x:f>Q2138*M2138</x:f>
        <x:v>2070</x:v>
      </x:c>
      <x:c r="S2138" s="22" t="n">
        <x:f>P2138-R2138</x:f>
        <x:v>124.20000000000027</x:v>
      </x:c>
      <x:c r="T2138" t="str">
        <x:v>UPI</x:v>
      </x:c>
      <x:c r="U2138" t="str">
        <x:v>Paid</x:v>
      </x:c>
      <x:c r="V2138" t="str">
        <x:v>Delivered</x:v>
      </x:c>
      <x:c r="W2138" t="n">
        <x:v>0</x:v>
      </x:c>
      <x:c r="X2138" t="str"/>
      <x:c r="Y2138" t="str">
        <x:v>Referral</x:v>
      </x:c>
    </x:row>
    <x:row r="2139">
      <x:c r="A2139" t="str">
        <x:v>O002138</x:v>
      </x:c>
      <x:c r="B2139" s="20" t="n">
        <x:v>46031</x:v>
      </x:c>
      <x:c r="C2139" t="str">
        <x:v>C0022</x:v>
      </x:c>
      <x:c r="D2139" t="str">
        <x:v>Royal Hotel 22</x:v>
      </x:c>
      <x:c r="E2139" t="str">
        <x:v>Kirana</x:v>
      </x:c>
      <x:c r="F2139" t="str">
        <x:v>Bengaluru</x:v>
      </x:c>
      <x:c r="G2139" t="str">
        <x:v>Ramesh</x:v>
      </x:c>
      <x:c r="H2139" t="str">
        <x:v>P031</x:v>
      </x:c>
      <x:c r="I2139" t="str">
        <x:v>Chilli Sauce 700g</x:v>
      </x:c>
      <x:c r="J2139" t="str">
        <x:v>Condiments</x:v>
      </x:c>
      <x:c r="K2139" t="str">
        <x:v>Ching's</x:v>
      </x:c>
      <x:c r="L2139" s="22" t="n">
        <x:v>130</x:v>
      </x:c>
      <x:c r="M2139" t="n">
        <x:v>16</x:v>
      </x:c>
      <x:c r="N2139" s="24" t="n">
        <x:v>0.05</x:v>
      </x:c>
      <x:c r="O2139" s="22" t="n">
        <x:f>L2139*M2139</x:f>
        <x:v>2080</x:v>
      </x:c>
      <x:c r="P2139" s="22" t="n">
        <x:f>O2139*(1-N2139)</x:f>
        <x:v>1976</x:v>
      </x:c>
      <x:c r="Q2139" s="22" t="n">
        <x:v>112</x:v>
      </x:c>
      <x:c r="R2139" s="22" t="n">
        <x:f>Q2139*M2139</x:f>
        <x:v>1792</x:v>
      </x:c>
      <x:c r="S2139" s="22" t="n">
        <x:f>P2139-R2139</x:f>
        <x:v>184</x:v>
      </x:c>
      <x:c r="T2139" t="str">
        <x:v>UPI</x:v>
      </x:c>
      <x:c r="U2139" t="str">
        <x:v>Paid</x:v>
      </x:c>
      <x:c r="V2139" t="str">
        <x:v>Delivered</x:v>
      </x:c>
      <x:c r="W2139" t="n">
        <x:v>0</x:v>
      </x:c>
      <x:c r="X2139" t="str"/>
      <x:c r="Y2139" t="str">
        <x:v>Existing Customer</x:v>
      </x:c>
    </x:row>
    <x:row r="2140">
      <x:c r="A2140" t="str">
        <x:v>O002139</x:v>
      </x:c>
      <x:c r="B2140" s="20" t="n">
        <x:v>45814</x:v>
      </x:c>
      <x:c r="C2140" t="str">
        <x:v>C0086</x:v>
      </x:c>
      <x:c r="D2140" t="str">
        <x:v>Foodie Canteen 86</x:v>
      </x:c>
      <x:c r="E2140" t="str">
        <x:v>Kirana</x:v>
      </x:c>
      <x:c r="F2140" t="str">
        <x:v>Hubballi</x:v>
      </x:c>
      <x:c r="G2140" t="str">
        <x:v>Sneha</x:v>
      </x:c>
      <x:c r="H2140" t="str">
        <x:v>P031</x:v>
      </x:c>
      <x:c r="I2140" t="str">
        <x:v>Chilli Sauce 700g</x:v>
      </x:c>
      <x:c r="J2140" t="str">
        <x:v>Condiments</x:v>
      </x:c>
      <x:c r="K2140" t="str">
        <x:v>Ching's</x:v>
      </x:c>
      <x:c r="L2140" s="22" t="n">
        <x:v>130</x:v>
      </x:c>
      <x:c r="M2140" t="n">
        <x:v>19</x:v>
      </x:c>
      <x:c r="N2140" s="24" t="n">
        <x:v>0.05</x:v>
      </x:c>
      <x:c r="O2140" s="22" t="n">
        <x:f>L2140*M2140</x:f>
        <x:v>2470</x:v>
      </x:c>
      <x:c r="P2140" s="22" t="n">
        <x:f>O2140*(1-N2140)</x:f>
        <x:v>2346.5</x:v>
      </x:c>
      <x:c r="Q2140" s="22" t="n">
        <x:v>112</x:v>
      </x:c>
      <x:c r="R2140" s="22" t="n">
        <x:f>Q2140*M2140</x:f>
        <x:v>2128</x:v>
      </x:c>
      <x:c r="S2140" s="22" t="n">
        <x:f>P2140-R2140</x:f>
        <x:v>218.5</x:v>
      </x:c>
      <x:c r="T2140" t="str">
        <x:v>UPI</x:v>
      </x:c>
      <x:c r="U2140" t="str">
        <x:v>Paid</x:v>
      </x:c>
      <x:c r="V2140" t="str">
        <x:v>Delivered</x:v>
      </x:c>
      <x:c r="W2140" t="n">
        <x:v>0</x:v>
      </x:c>
      <x:c r="X2140" t="str"/>
      <x:c r="Y2140" t="str">
        <x:v>Outbound Call</x:v>
      </x:c>
    </x:row>
    <x:row r="2141">
      <x:c r="A2141" t="str">
        <x:v>O002140</x:v>
      </x:c>
      <x:c r="B2141" s="20" t="n">
        <x:v>45732</x:v>
      </x:c>
      <x:c r="C2141" t="str">
        <x:v>C0082</x:v>
      </x:c>
      <x:c r="D2141" t="str">
        <x:v>City Foods 82</x:v>
      </x:c>
      <x:c r="E2141" t="str">
        <x:v>Hotel</x:v>
      </x:c>
      <x:c r="F2141" t="str">
        <x:v>Mangaluru</x:v>
      </x:c>
      <x:c r="G2141" t="str">
        <x:v>Kavya</x:v>
      </x:c>
      <x:c r="H2141" t="str">
        <x:v>P015</x:v>
      </x:c>
      <x:c r="I2141" t="str">
        <x:v>Milk 1L</x:v>
      </x:c>
      <x:c r="J2141" t="str">
        <x:v>Dairy</x:v>
      </x:c>
      <x:c r="K2141" t="str">
        <x:v>Nandini</x:v>
      </x:c>
      <x:c r="L2141" s="22" t="n">
        <x:v>48</x:v>
      </x:c>
      <x:c r="M2141" t="n">
        <x:v>13</x:v>
      </x:c>
      <x:c r="N2141" s="24" t="n">
        <x:v>0.03</x:v>
      </x:c>
      <x:c r="O2141" s="22" t="n">
        <x:f>L2141*M2141</x:f>
        <x:v>624</x:v>
      </x:c>
      <x:c r="P2141" s="22" t="n">
        <x:f>O2141*(1-N2141)</x:f>
        <x:v>605.28</x:v>
      </x:c>
      <x:c r="Q2141" s="22" t="n">
        <x:v>43</x:v>
      </x:c>
      <x:c r="R2141" s="22" t="n">
        <x:f>Q2141*M2141</x:f>
        <x:v>559</x:v>
      </x:c>
      <x:c r="S2141" s="22" t="n">
        <x:f>P2141-R2141</x:f>
        <x:v>46.27999999999997</x:v>
      </x:c>
      <x:c r="T2141" t="str">
        <x:v>Cash</x:v>
      </x:c>
      <x:c r="U2141" t="str">
        <x:v>Pending</x:v>
      </x:c>
      <x:c r="V2141" t="str">
        <x:v>Delivered</x:v>
      </x:c>
      <x:c r="W2141" t="n">
        <x:v>4</x:v>
      </x:c>
      <x:c r="X2141" t="str">
        <x:v>Late Delivery</x:v>
      </x:c>
      <x:c r="Y2141" t="str">
        <x:v>WhatsApp</x:v>
      </x:c>
    </x:row>
    <x:row r="2142">
      <x:c r="A2142" t="str">
        <x:v>O002141</x:v>
      </x:c>
      <x:c r="B2142" s="20" t="n">
        <x:v>46166</x:v>
      </x:c>
      <x:c r="C2142" t="str">
        <x:v>C0044</x:v>
      </x:c>
      <x:c r="D2142" t="str">
        <x:v>Annapurna Mart 44</x:v>
      </x:c>
      <x:c r="E2142" t="str">
        <x:v>Kirana</x:v>
      </x:c>
      <x:c r="F2142" t="str">
        <x:v>Davanagere</x:v>
      </x:c>
      <x:c r="G2142" t="str">
        <x:v>Priya</x:v>
      </x:c>
      <x:c r="H2142" t="str">
        <x:v>P005</x:v>
      </x:c>
      <x:c r="I2142" t="str">
        <x:v>Chana Dal 5kg</x:v>
      </x:c>
      <x:c r="J2142" t="str">
        <x:v>Pulses</x:v>
      </x:c>
      <x:c r="K2142" t="str">
        <x:v>Local Select</x:v>
      </x:c>
      <x:c r="L2142" s="22" t="n">
        <x:v>520</x:v>
      </x:c>
      <x:c r="M2142" t="n">
        <x:v>23</x:v>
      </x:c>
      <x:c r="N2142" s="24" t="n">
        <x:v>0</x:v>
      </x:c>
      <x:c r="O2142" s="22" t="n">
        <x:f>L2142*M2142</x:f>
        <x:v>11960</x:v>
      </x:c>
      <x:c r="P2142" s="22" t="n">
        <x:f>O2142*(1-N2142)</x:f>
        <x:v>11960</x:v>
      </x:c>
      <x:c r="Q2142" s="22" t="n">
        <x:v>455</x:v>
      </x:c>
      <x:c r="R2142" s="22" t="n">
        <x:f>Q2142*M2142</x:f>
        <x:v>10465</x:v>
      </x:c>
      <x:c r="S2142" s="22" t="n">
        <x:f>P2142-R2142</x:f>
        <x:v>1495</x:v>
      </x:c>
      <x:c r="T2142" t="str">
        <x:v>Credit</x:v>
      </x:c>
      <x:c r="U2142" t="str">
        <x:v>Paid</x:v>
      </x:c>
      <x:c r="V2142" t="str">
        <x:v>Delayed</x:v>
      </x:c>
      <x:c r="W2142" t="n">
        <x:v>0</x:v>
      </x:c>
      <x:c r="X2142" t="str"/>
      <x:c r="Y2142" t="str">
        <x:v>Referral</x:v>
      </x:c>
    </x:row>
    <x:row r="2143">
      <x:c r="A2143" t="str">
        <x:v>O002142</x:v>
      </x:c>
      <x:c r="B2143" s="20" t="n">
        <x:v>45999</x:v>
      </x:c>
      <x:c r="C2143" t="str">
        <x:v>C0038</x:v>
      </x:c>
      <x:c r="D2143" t="str">
        <x:v>Mysore Kitchen 38</x:v>
      </x:c>
      <x:c r="E2143" t="str">
        <x:v>Kirana</x:v>
      </x:c>
      <x:c r="F2143" t="str">
        <x:v>Tumakuru</x:v>
      </x:c>
      <x:c r="G2143" t="str">
        <x:v>Priya</x:v>
      </x:c>
      <x:c r="H2143" t="str">
        <x:v>P045</x:v>
      </x:c>
      <x:c r="I2143" t="str">
        <x:v>Onion 25kg</x:v>
      </x:c>
      <x:c r="J2143" t="str">
        <x:v>Fresh Produce</x:v>
      </x:c>
      <x:c r="K2143" t="str">
        <x:v>Local Market</x:v>
      </x:c>
      <x:c r="L2143" s="22" t="n">
        <x:v>875</x:v>
      </x:c>
      <x:c r="M2143" t="n">
        <x:v>40</x:v>
      </x:c>
      <x:c r="N2143" s="24" t="n">
        <x:v>0.05</x:v>
      </x:c>
      <x:c r="O2143" s="22" t="n">
        <x:f>L2143*M2143</x:f>
        <x:v>35000</x:v>
      </x:c>
      <x:c r="P2143" s="22" t="n">
        <x:f>O2143*(1-N2143)</x:f>
        <x:v>33250</x:v>
      </x:c>
      <x:c r="Q2143" s="22" t="n">
        <x:v>760</x:v>
      </x:c>
      <x:c r="R2143" s="22" t="n">
        <x:f>Q2143*M2143</x:f>
        <x:v>30400</x:v>
      </x:c>
      <x:c r="S2143" s="22" t="n">
        <x:f>P2143-R2143</x:f>
        <x:v>2850</x:v>
      </x:c>
      <x:c r="T2143" t="str">
        <x:v>UPI</x:v>
      </x:c>
      <x:c r="U2143" t="str">
        <x:v>Paid</x:v>
      </x:c>
      <x:c r="V2143" t="str">
        <x:v>Delayed</x:v>
      </x:c>
      <x:c r="W2143" t="n">
        <x:v>0</x:v>
      </x:c>
      <x:c r="X2143" t="str"/>
      <x:c r="Y2143" t="str">
        <x:v>WhatsApp</x:v>
      </x:c>
    </x:row>
    <x:row r="2144">
      <x:c r="A2144" t="str">
        <x:v>O002143</x:v>
      </x:c>
      <x:c r="B2144" s="20" t="n">
        <x:v>45852</x:v>
      </x:c>
      <x:c r="C2144" t="str">
        <x:v>C0118</x:v>
      </x:c>
      <x:c r="D2144" t="str">
        <x:v>Sagar Kitchen 118</x:v>
      </x:c>
      <x:c r="E2144" t="str">
        <x:v>Restaurant</x:v>
      </x:c>
      <x:c r="F2144" t="str">
        <x:v>Hubballi</x:v>
      </x:c>
      <x:c r="G2144" t="str">
        <x:v>Megha</x:v>
      </x:c>
      <x:c r="H2144" t="str">
        <x:v>P003</x:v>
      </x:c>
      <x:c r="I2144" t="str">
        <x:v>Basmati Rice 5kg</x:v>
      </x:c>
      <x:c r="J2144" t="str">
        <x:v>Staples</x:v>
      </x:c>
      <x:c r="K2144" t="str">
        <x:v>India Gate</x:v>
      </x:c>
      <x:c r="L2144" s="22" t="n">
        <x:v>690</x:v>
      </x:c>
      <x:c r="M2144" t="n">
        <x:v>20</x:v>
      </x:c>
      <x:c r="N2144" s="24" t="n">
        <x:v>0.05</x:v>
      </x:c>
      <x:c r="O2144" s="22" t="n">
        <x:f>L2144*M2144</x:f>
        <x:v>13800</x:v>
      </x:c>
      <x:c r="P2144" s="22" t="n">
        <x:f>O2144*(1-N2144)</x:f>
        <x:v>13110</x:v>
      </x:c>
      <x:c r="Q2144" s="22" t="n">
        <x:v>610</x:v>
      </x:c>
      <x:c r="R2144" s="22" t="n">
        <x:f>Q2144*M2144</x:f>
        <x:v>12200</x:v>
      </x:c>
      <x:c r="S2144" s="22" t="n">
        <x:f>P2144-R2144</x:f>
        <x:v>910</x:v>
      </x:c>
      <x:c r="T2144" t="str">
        <x:v>Cash</x:v>
      </x:c>
      <x:c r="U2144" t="str">
        <x:v>Pending</x:v>
      </x:c>
      <x:c r="V2144" t="str">
        <x:v>Delivered</x:v>
      </x:c>
      <x:c r="W2144" t="n">
        <x:v>0</x:v>
      </x:c>
      <x:c r="X2144" t="str"/>
      <x:c r="Y2144" t="str">
        <x:v>WhatsApp</x:v>
      </x:c>
    </x:row>
    <x:row r="2145">
      <x:c r="A2145" t="str">
        <x:v>O002144</x:v>
      </x:c>
      <x:c r="B2145" s="20" t="n">
        <x:v>45935</x:v>
      </x:c>
      <x:c r="C2145" t="str">
        <x:v>C0156</x:v>
      </x:c>
      <x:c r="D2145" t="str">
        <x:v>Metro Stores 156</x:v>
      </x:c>
      <x:c r="E2145" t="str">
        <x:v>Hotel</x:v>
      </x:c>
      <x:c r="F2145" t="str">
        <x:v>Tumakuru</x:v>
      </x:c>
      <x:c r="G2145" t="str">
        <x:v>Ramesh</x:v>
      </x:c>
      <x:c r="H2145" t="str">
        <x:v>P001</x:v>
      </x:c>
      <x:c r="I2145" t="str">
        <x:v>Steam Rice 25kg</x:v>
      </x:c>
      <x:c r="J2145" t="str">
        <x:v>Staples</x:v>
      </x:c>
      <x:c r="K2145" t="str">
        <x:v>Aishwarya</x:v>
      </x:c>
      <x:c r="L2145" s="22" t="n">
        <x:v>1180</x:v>
      </x:c>
      <x:c r="M2145" t="n">
        <x:v>7</x:v>
      </x:c>
      <x:c r="N2145" s="24" t="n">
        <x:v>0</x:v>
      </x:c>
      <x:c r="O2145" s="22" t="n">
        <x:f>L2145*M2145</x:f>
        <x:v>8260</x:v>
      </x:c>
      <x:c r="P2145" s="22" t="n">
        <x:f>O2145*(1-N2145)</x:f>
        <x:v>8260</x:v>
      </x:c>
      <x:c r="Q2145" s="22" t="n">
        <x:v>1040</x:v>
      </x:c>
      <x:c r="R2145" s="22" t="n">
        <x:f>Q2145*M2145</x:f>
        <x:v>7280</x:v>
      </x:c>
      <x:c r="S2145" s="22" t="n">
        <x:f>P2145-R2145</x:f>
        <x:v>980</x:v>
      </x:c>
      <x:c r="T2145" t="str">
        <x:v>Credit</x:v>
      </x:c>
      <x:c r="U2145" t="str">
        <x:v>Pending</x:v>
      </x:c>
      <x:c r="V2145" t="str">
        <x:v>Delivered</x:v>
      </x:c>
      <x:c r="W2145" t="n">
        <x:v>0</x:v>
      </x:c>
      <x:c r="X2145" t="str"/>
      <x:c r="Y2145" t="str">
        <x:v>Outbound Call</x:v>
      </x:c>
    </x:row>
    <x:row r="2146">
      <x:c r="A2146" t="str">
        <x:v>O002145</x:v>
      </x:c>
      <x:c r="B2146" s="20" t="n">
        <x:v>46139</x:v>
      </x:c>
      <x:c r="C2146" t="str">
        <x:v>C0227</x:v>
      </x:c>
      <x:c r="D2146" t="str">
        <x:v>Metro Restaurant 227</x:v>
      </x:c>
      <x:c r="E2146" t="str">
        <x:v>Restaurant</x:v>
      </x:c>
      <x:c r="F2146" t="str">
        <x:v>Davanagere</x:v>
      </x:c>
      <x:c r="G2146" t="str">
        <x:v>Kavya</x:v>
      </x:c>
      <x:c r="H2146" t="str">
        <x:v>P001</x:v>
      </x:c>
      <x:c r="I2146" t="str">
        <x:v>Steam Rice 25kg</x:v>
      </x:c>
      <x:c r="J2146" t="str">
        <x:v>Staples</x:v>
      </x:c>
      <x:c r="K2146" t="str">
        <x:v>Aishwarya</x:v>
      </x:c>
      <x:c r="L2146" s="22" t="n">
        <x:v>1180</x:v>
      </x:c>
      <x:c r="M2146" t="n">
        <x:v>6</x:v>
      </x:c>
      <x:c r="N2146" s="24" t="n">
        <x:v>0</x:v>
      </x:c>
      <x:c r="O2146" s="22" t="n">
        <x:f>L2146*M2146</x:f>
        <x:v>7080</x:v>
      </x:c>
      <x:c r="P2146" s="22" t="n">
        <x:f>O2146*(1-N2146)</x:f>
        <x:v>7080</x:v>
      </x:c>
      <x:c r="Q2146" s="22" t="n">
        <x:v>1040</x:v>
      </x:c>
      <x:c r="R2146" s="22" t="n">
        <x:f>Q2146*M2146</x:f>
        <x:v>6240</x:v>
      </x:c>
      <x:c r="S2146" s="22" t="n">
        <x:f>P2146-R2146</x:f>
        <x:v>840</x:v>
      </x:c>
      <x:c r="T2146" t="str">
        <x:v>UPI</x:v>
      </x:c>
      <x:c r="U2146" t="str">
        <x:v>Pending</x:v>
      </x:c>
      <x:c r="V2146" t="str">
        <x:v>Cancelled</x:v>
      </x:c>
      <x:c r="W2146" t="n">
        <x:v>6</x:v>
      </x:c>
      <x:c r="X2146" t="str">
        <x:v>Cancelled Order</x:v>
      </x:c>
      <x:c r="Y2146" t="str">
        <x:v>Outbound Call</x:v>
      </x:c>
    </x:row>
    <x:row r="2147">
      <x:c r="A2147" t="str">
        <x:v>O002146</x:v>
      </x:c>
      <x:c r="B2147" s="20" t="n">
        <x:v>46023</x:v>
      </x:c>
      <x:c r="C2147" t="str">
        <x:v>C0177</x:v>
      </x:c>
      <x:c r="D2147" t="str">
        <x:v>Classic Cafe 177</x:v>
      </x:c>
      <x:c r="E2147" t="str">
        <x:v>Supermarket</x:v>
      </x:c>
      <x:c r="F2147" t="str">
        <x:v>Bengaluru</x:v>
      </x:c>
      <x:c r="G2147" t="str">
        <x:v>Arjun</x:v>
      </x:c>
      <x:c r="H2147" t="str">
        <x:v>P036</x:v>
      </x:c>
      <x:c r="I2147" t="str">
        <x:v>Garam Masala 500g</x:v>
      </x:c>
      <x:c r="J2147" t="str">
        <x:v>Spices</x:v>
      </x:c>
      <x:c r="K2147" t="str">
        <x:v>MDH</x:v>
      </x:c>
      <x:c r="L2147" s="22" t="n">
        <x:v>265</x:v>
      </x:c>
      <x:c r="M2147" t="n">
        <x:v>6</x:v>
      </x:c>
      <x:c r="N2147" s="24" t="n">
        <x:v>0.03</x:v>
      </x:c>
      <x:c r="O2147" s="22" t="n">
        <x:f>L2147*M2147</x:f>
        <x:v>1590</x:v>
      </x:c>
      <x:c r="P2147" s="22" t="n">
        <x:f>O2147*(1-N2147)</x:f>
        <x:v>1542.3</x:v>
      </x:c>
      <x:c r="Q2147" s="22" t="n">
        <x:v>230</x:v>
      </x:c>
      <x:c r="R2147" s="22" t="n">
        <x:f>Q2147*M2147</x:f>
        <x:v>1380</x:v>
      </x:c>
      <x:c r="S2147" s="22" t="n">
        <x:f>P2147-R2147</x:f>
        <x:v>162.29999999999995</x:v>
      </x:c>
      <x:c r="T2147" t="str">
        <x:v>Bank Transfer</x:v>
      </x:c>
      <x:c r="U2147" t="str">
        <x:v>Overdue</x:v>
      </x:c>
      <x:c r="V2147" t="str">
        <x:v>Delivered</x:v>
      </x:c>
      <x:c r="W2147" t="n">
        <x:v>0</x:v>
      </x:c>
      <x:c r="X2147" t="str"/>
      <x:c r="Y2147" t="str">
        <x:v>Existing Customer</x:v>
      </x:c>
    </x:row>
    <x:row r="2148">
      <x:c r="A2148" t="str">
        <x:v>O002147</x:v>
      </x:c>
      <x:c r="B2148" s="20" t="n">
        <x:v>46050</x:v>
      </x:c>
      <x:c r="C2148" t="str">
        <x:v>C0069</x:v>
      </x:c>
      <x:c r="D2148" t="str">
        <x:v>Cafe Hotel 69</x:v>
      </x:c>
      <x:c r="E2148" t="str">
        <x:v>Supermarket</x:v>
      </x:c>
      <x:c r="F2148" t="str">
        <x:v>Bengaluru</x:v>
      </x:c>
      <x:c r="G2148" t="str">
        <x:v>Sneha</x:v>
      </x:c>
      <x:c r="H2148" t="str">
        <x:v>P023</x:v>
      </x:c>
      <x:c r="I2148" t="str">
        <x:v>Cola 750ml</x:v>
      </x:c>
      <x:c r="J2148" t="str">
        <x:v>Beverage</x:v>
      </x:c>
      <x:c r="K2148" t="str">
        <x:v>Coca-Cola</x:v>
      </x:c>
      <x:c r="L2148" s="22" t="n">
        <x:v>38</x:v>
      </x:c>
      <x:c r="M2148" t="n">
        <x:v>13</x:v>
      </x:c>
      <x:c r="N2148" s="24" t="n">
        <x:v>0.1</x:v>
      </x:c>
      <x:c r="O2148" s="22" t="n">
        <x:f>L2148*M2148</x:f>
        <x:v>494</x:v>
      </x:c>
      <x:c r="P2148" s="22" t="n">
        <x:f>O2148*(1-N2148)</x:f>
        <x:v>444.6</x:v>
      </x:c>
      <x:c r="Q2148" s="22" t="n">
        <x:v>31</x:v>
      </x:c>
      <x:c r="R2148" s="22" t="n">
        <x:f>Q2148*M2148</x:f>
        <x:v>403</x:v>
      </x:c>
      <x:c r="S2148" s="22" t="n">
        <x:f>P2148-R2148</x:f>
        <x:v>41.60000000000002</x:v>
      </x:c>
      <x:c r="T2148" t="str">
        <x:v>UPI</x:v>
      </x:c>
      <x:c r="U2148" t="str">
        <x:v>Paid</x:v>
      </x:c>
      <x:c r="V2148" t="str">
        <x:v>Delivered</x:v>
      </x:c>
      <x:c r="W2148" t="n">
        <x:v>0</x:v>
      </x:c>
      <x:c r="X2148" t="str"/>
      <x:c r="Y2148" t="str">
        <x:v>Field Visit</x:v>
      </x:c>
    </x:row>
    <x:row r="2149">
      <x:c r="A2149" t="str">
        <x:v>O002148</x:v>
      </x:c>
      <x:c r="B2149" s="20" t="n">
        <x:v>46215</x:v>
      </x:c>
      <x:c r="C2149" t="str">
        <x:v>C0089</x:v>
      </x:c>
      <x:c r="D2149" t="str">
        <x:v>Green Canteen 89</x:v>
      </x:c>
      <x:c r="E2149" t="str">
        <x:v>Supermarket</x:v>
      </x:c>
      <x:c r="F2149" t="str">
        <x:v>Mangaluru</x:v>
      </x:c>
      <x:c r="G2149" t="str">
        <x:v>Megha</x:v>
      </x:c>
      <x:c r="H2149" t="str">
        <x:v>P023</x:v>
      </x:c>
      <x:c r="I2149" t="str">
        <x:v>Cola 750ml</x:v>
      </x:c>
      <x:c r="J2149" t="str">
        <x:v>Beverage</x:v>
      </x:c>
      <x:c r="K2149" t="str">
        <x:v>Coca-Cola</x:v>
      </x:c>
      <x:c r="L2149" s="22" t="n">
        <x:v>38</x:v>
      </x:c>
      <x:c r="M2149" t="n">
        <x:v>6</x:v>
      </x:c>
      <x:c r="N2149" s="24" t="n">
        <x:v>0.05</x:v>
      </x:c>
      <x:c r="O2149" s="22" t="n">
        <x:f>L2149*M2149</x:f>
        <x:v>228</x:v>
      </x:c>
      <x:c r="P2149" s="22" t="n">
        <x:f>O2149*(1-N2149)</x:f>
        <x:v>216.6</x:v>
      </x:c>
      <x:c r="Q2149" s="22" t="n">
        <x:v>31</x:v>
      </x:c>
      <x:c r="R2149" s="22" t="n">
        <x:f>Q2149*M2149</x:f>
        <x:v>186</x:v>
      </x:c>
      <x:c r="S2149" s="22" t="n">
        <x:f>P2149-R2149</x:f>
        <x:v>30.599999999999994</x:v>
      </x:c>
      <x:c r="T2149" t="str">
        <x:v>UPI</x:v>
      </x:c>
      <x:c r="U2149" t="str">
        <x:v>Paid</x:v>
      </x:c>
      <x:c r="V2149" t="str">
        <x:v>Delivered</x:v>
      </x:c>
      <x:c r="W2149" t="n">
        <x:v>0</x:v>
      </x:c>
      <x:c r="X2149" t="str"/>
      <x:c r="Y2149" t="str">
        <x:v>Existing Customer</x:v>
      </x:c>
    </x:row>
    <x:row r="2150">
      <x:c r="A2150" t="str">
        <x:v>O002149</x:v>
      </x:c>
      <x:c r="B2150" s="20" t="n">
        <x:v>46274</x:v>
      </x:c>
      <x:c r="C2150" t="str">
        <x:v>C0094</x:v>
      </x:c>
      <x:c r="D2150" t="str">
        <x:v>Mysore Mart 94</x:v>
      </x:c>
      <x:c r="E2150" t="str">
        <x:v>Restaurant</x:v>
      </x:c>
      <x:c r="F2150" t="str">
        <x:v>Hubballi</x:v>
      </x:c>
      <x:c r="G2150" t="str">
        <x:v>Sneha</x:v>
      </x:c>
      <x:c r="H2150" t="str">
        <x:v>P016</x:v>
      </x:c>
      <x:c r="I2150" t="str">
        <x:v>Curd 1kg</x:v>
      </x:c>
      <x:c r="J2150" t="str">
        <x:v>Dairy</x:v>
      </x:c>
      <x:c r="K2150" t="str">
        <x:v>Nandini</x:v>
      </x:c>
      <x:c r="L2150" s="22" t="n">
        <x:v>72</x:v>
      </x:c>
      <x:c r="M2150" t="n">
        <x:v>8</x:v>
      </x:c>
      <x:c r="N2150" s="24" t="n">
        <x:v>0.08</x:v>
      </x:c>
      <x:c r="O2150" s="22" t="n">
        <x:f>L2150*M2150</x:f>
        <x:v>576</x:v>
      </x:c>
      <x:c r="P2150" s="22" t="n">
        <x:f>O2150*(1-N2150)</x:f>
        <x:v>529.9200000000001</x:v>
      </x:c>
      <x:c r="Q2150" s="22" t="n">
        <x:v>64</x:v>
      </x:c>
      <x:c r="R2150" s="22" t="n">
        <x:f>Q2150*M2150</x:f>
        <x:v>512</x:v>
      </x:c>
      <x:c r="S2150" s="22" t="n">
        <x:f>P2150-R2150</x:f>
        <x:v>17.920000000000073</x:v>
      </x:c>
      <x:c r="T2150" t="str">
        <x:v>UPI</x:v>
      </x:c>
      <x:c r="U2150" t="str">
        <x:v>Paid</x:v>
      </x:c>
      <x:c r="V2150" t="str">
        <x:v>Delivered</x:v>
      </x:c>
      <x:c r="W2150" t="n">
        <x:v>3</x:v>
      </x:c>
      <x:c r="X2150" t="str">
        <x:v>Damaged</x:v>
      </x:c>
      <x:c r="Y2150" t="str">
        <x:v>Existing Customer</x:v>
      </x:c>
    </x:row>
    <x:row r="2151">
      <x:c r="A2151" t="str">
        <x:v>O002150</x:v>
      </x:c>
      <x:c r="B2151" s="20" t="n">
        <x:v>45976</x:v>
      </x:c>
      <x:c r="C2151" t="str">
        <x:v>C0213</x:v>
      </x:c>
      <x:c r="D2151" t="str">
        <x:v>Shree Cafe 213</x:v>
      </x:c>
      <x:c r="E2151" t="str">
        <x:v>Cafe</x:v>
      </x:c>
      <x:c r="F2151" t="str">
        <x:v>Tumakuru</x:v>
      </x:c>
      <x:c r="G2151" t="str">
        <x:v>Imran</x:v>
      </x:c>
      <x:c r="H2151" t="str">
        <x:v>P001</x:v>
      </x:c>
      <x:c r="I2151" t="str">
        <x:v>Steam Rice 25kg</x:v>
      </x:c>
      <x:c r="J2151" t="str">
        <x:v>Staples</x:v>
      </x:c>
      <x:c r="K2151" t="str">
        <x:v>Aishwarya</x:v>
      </x:c>
      <x:c r="L2151" s="22" t="n">
        <x:v>1180</x:v>
      </x:c>
      <x:c r="M2151" t="n">
        <x:v>5</x:v>
      </x:c>
      <x:c r="N2151" s="24" t="n">
        <x:v>0</x:v>
      </x:c>
      <x:c r="O2151" s="22" t="n">
        <x:f>L2151*M2151</x:f>
        <x:v>5900</x:v>
      </x:c>
      <x:c r="P2151" s="22" t="n">
        <x:f>O2151*(1-N2151)</x:f>
        <x:v>5900</x:v>
      </x:c>
      <x:c r="Q2151" s="22" t="n">
        <x:v>1040</x:v>
      </x:c>
      <x:c r="R2151" s="22" t="n">
        <x:f>Q2151*M2151</x:f>
        <x:v>5200</x:v>
      </x:c>
      <x:c r="S2151" s="22" t="n">
        <x:f>P2151-R2151</x:f>
        <x:v>700</x:v>
      </x:c>
      <x:c r="T2151" t="str">
        <x:v>Cash</x:v>
      </x:c>
      <x:c r="U2151" t="str">
        <x:v>Overdue</x:v>
      </x:c>
      <x:c r="V2151" t="str">
        <x:v>Delivered</x:v>
      </x:c>
      <x:c r="W2151" t="n">
        <x:v>0</x:v>
      </x:c>
      <x:c r="X2151" t="str"/>
      <x:c r="Y2151" t="str">
        <x:v>Existing Customer</x:v>
      </x:c>
    </x:row>
    <x:row r="2152">
      <x:c r="A2152" t="str">
        <x:v>O002151</x:v>
      </x:c>
      <x:c r="B2152" s="20" t="n">
        <x:v>45682</x:v>
      </x:c>
      <x:c r="C2152" t="str">
        <x:v>C0021</x:v>
      </x:c>
      <x:c r="D2152" t="str">
        <x:v>Namma Cafe 21</x:v>
      </x:c>
      <x:c r="E2152" t="str">
        <x:v>Canteen</x:v>
      </x:c>
      <x:c r="F2152" t="str">
        <x:v>Bengaluru</x:v>
      </x:c>
      <x:c r="G2152" t="str">
        <x:v>Kavya</x:v>
      </x:c>
      <x:c r="H2152" t="str">
        <x:v>P035</x:v>
      </x:c>
      <x:c r="I2152" t="str">
        <x:v>Coriander Powder 1kg</x:v>
      </x:c>
      <x:c r="J2152" t="str">
        <x:v>Spices</x:v>
      </x:c>
      <x:c r="K2152" t="str">
        <x:v>Everest</x:v>
      </x:c>
      <x:c r="L2152" s="22" t="n">
        <x:v>280</x:v>
      </x:c>
      <x:c r="M2152" t="n">
        <x:v>14</x:v>
      </x:c>
      <x:c r="N2152" s="24" t="n">
        <x:v>0.03</x:v>
      </x:c>
      <x:c r="O2152" s="22" t="n">
        <x:f>L2152*M2152</x:f>
        <x:v>3920</x:v>
      </x:c>
      <x:c r="P2152" s="22" t="n">
        <x:f>O2152*(1-N2152)</x:f>
        <x:v>3802.4</x:v>
      </x:c>
      <x:c r="Q2152" s="22" t="n">
        <x:v>245</x:v>
      </x:c>
      <x:c r="R2152" s="22" t="n">
        <x:f>Q2152*M2152</x:f>
        <x:v>3430</x:v>
      </x:c>
      <x:c r="S2152" s="22" t="n">
        <x:f>P2152-R2152</x:f>
        <x:v>372.4000000000001</x:v>
      </x:c>
      <x:c r="T2152" t="str">
        <x:v>Credit</x:v>
      </x:c>
      <x:c r="U2152" t="str">
        <x:v>Pending</x:v>
      </x:c>
      <x:c r="V2152" t="str">
        <x:v>Cancelled</x:v>
      </x:c>
      <x:c r="W2152" t="n">
        <x:v>14</x:v>
      </x:c>
      <x:c r="X2152" t="str">
        <x:v>Cancelled Order</x:v>
      </x:c>
      <x:c r="Y2152" t="str">
        <x:v>Outbound Call</x:v>
      </x:c>
    </x:row>
    <x:row r="2153">
      <x:c r="A2153" t="str">
        <x:v>O002152</x:v>
      </x:c>
      <x:c r="B2153" s="20" t="n">
        <x:v>46225</x:v>
      </x:c>
      <x:c r="C2153" t="str">
        <x:v>C0096</x:v>
      </x:c>
      <x:c r="D2153" t="str">
        <x:v>Metro Foods 96</x:v>
      </x:c>
      <x:c r="E2153" t="str">
        <x:v>Kirana</x:v>
      </x:c>
      <x:c r="F2153" t="str">
        <x:v>Davanagere</x:v>
      </x:c>
      <x:c r="G2153" t="str">
        <x:v>Vikram</x:v>
      </x:c>
      <x:c r="H2153" t="str">
        <x:v>P035</x:v>
      </x:c>
      <x:c r="I2153" t="str">
        <x:v>Coriander Powder 1kg</x:v>
      </x:c>
      <x:c r="J2153" t="str">
        <x:v>Spices</x:v>
      </x:c>
      <x:c r="K2153" t="str">
        <x:v>Everest</x:v>
      </x:c>
      <x:c r="L2153" s="22" t="n">
        <x:v>280</x:v>
      </x:c>
      <x:c r="M2153" t="n">
        <x:v>26</x:v>
      </x:c>
      <x:c r="N2153" s="24" t="n">
        <x:v>0.05</x:v>
      </x:c>
      <x:c r="O2153" s="22" t="n">
        <x:f>L2153*M2153</x:f>
        <x:v>7280</x:v>
      </x:c>
      <x:c r="P2153" s="22" t="n">
        <x:f>O2153*(1-N2153)</x:f>
        <x:v>6916</x:v>
      </x:c>
      <x:c r="Q2153" s="22" t="n">
        <x:v>245</x:v>
      </x:c>
      <x:c r="R2153" s="22" t="n">
        <x:f>Q2153*M2153</x:f>
        <x:v>6370</x:v>
      </x:c>
      <x:c r="S2153" s="22" t="n">
        <x:f>P2153-R2153</x:f>
        <x:v>546</x:v>
      </x:c>
      <x:c r="T2153" t="str">
        <x:v>Cash</x:v>
      </x:c>
      <x:c r="U2153" t="str">
        <x:v>Paid</x:v>
      </x:c>
      <x:c r="V2153" t="str">
        <x:v>Cancelled</x:v>
      </x:c>
      <x:c r="W2153" t="n">
        <x:v>26</x:v>
      </x:c>
      <x:c r="X2153" t="str">
        <x:v>Cancelled Order</x:v>
      </x:c>
      <x:c r="Y2153" t="str">
        <x:v>Outbound Call</x:v>
      </x:c>
    </x:row>
    <x:row r="2154">
      <x:c r="A2154" t="str">
        <x:v>O002153</x:v>
      </x:c>
      <x:c r="B2154" s="20" t="n">
        <x:v>45670</x:v>
      </x:c>
      <x:c r="C2154" t="str">
        <x:v>C0137</x:v>
      </x:c>
      <x:c r="D2154" t="str">
        <x:v>Green Restaurant 137</x:v>
      </x:c>
      <x:c r="E2154" t="str">
        <x:v>Canteen</x:v>
      </x:c>
      <x:c r="F2154" t="str">
        <x:v>Mangaluru</x:v>
      </x:c>
      <x:c r="G2154" t="str">
        <x:v>Arjun</x:v>
      </x:c>
      <x:c r="H2154" t="str">
        <x:v>P035</x:v>
      </x:c>
      <x:c r="I2154" t="str">
        <x:v>Coriander Powder 1kg</x:v>
      </x:c>
      <x:c r="J2154" t="str">
        <x:v>Spices</x:v>
      </x:c>
      <x:c r="K2154" t="str">
        <x:v>Everest</x:v>
      </x:c>
      <x:c r="L2154" s="22" t="n">
        <x:v>280</x:v>
      </x:c>
      <x:c r="M2154" t="n">
        <x:v>10</x:v>
      </x:c>
      <x:c r="N2154" s="24" t="n">
        <x:v>0.02</x:v>
      </x:c>
      <x:c r="O2154" s="22" t="n">
        <x:f>L2154*M2154</x:f>
        <x:v>2800</x:v>
      </x:c>
      <x:c r="P2154" s="22" t="n">
        <x:f>O2154*(1-N2154)</x:f>
        <x:v>2744</x:v>
      </x:c>
      <x:c r="Q2154" s="22" t="n">
        <x:v>245</x:v>
      </x:c>
      <x:c r="R2154" s="22" t="n">
        <x:f>Q2154*M2154</x:f>
        <x:v>2450</x:v>
      </x:c>
      <x:c r="S2154" s="22" t="n">
        <x:f>P2154-R2154</x:f>
        <x:v>294</x:v>
      </x:c>
      <x:c r="T2154" t="str">
        <x:v>Bank Transfer</x:v>
      </x:c>
      <x:c r="U2154" t="str">
        <x:v>Paid</x:v>
      </x:c>
      <x:c r="V2154" t="str">
        <x:v>Delivered</x:v>
      </x:c>
      <x:c r="W2154" t="n">
        <x:v>0</x:v>
      </x:c>
      <x:c r="X2154" t="str"/>
      <x:c r="Y2154" t="str">
        <x:v>WhatsApp</x:v>
      </x:c>
    </x:row>
    <x:row r="2155">
      <x:c r="A2155" t="str">
        <x:v>O002154</x:v>
      </x:c>
      <x:c r="B2155" s="20" t="n">
        <x:v>46272</x:v>
      </x:c>
      <x:c r="C2155" t="str">
        <x:v>C0112</x:v>
      </x:c>
      <x:c r="D2155" t="str">
        <x:v>Cafe Hotel 112</x:v>
      </x:c>
      <x:c r="E2155" t="str">
        <x:v>Hotel</x:v>
      </x:c>
      <x:c r="F2155" t="str">
        <x:v>Mangaluru</x:v>
      </x:c>
      <x:c r="G2155" t="str">
        <x:v>Kavya</x:v>
      </x:c>
      <x:c r="H2155" t="str">
        <x:v>P046</x:v>
      </x:c>
      <x:c r="I2155" t="str">
        <x:v>Potato 25kg</x:v>
      </x:c>
      <x:c r="J2155" t="str">
        <x:v>Fresh Produce</x:v>
      </x:c>
      <x:c r="K2155" t="str">
        <x:v>Local Market</x:v>
      </x:c>
      <x:c r="L2155" s="22" t="n">
        <x:v>700</x:v>
      </x:c>
      <x:c r="M2155" t="n">
        <x:v>14</x:v>
      </x:c>
      <x:c r="N2155" s="24" t="n">
        <x:v>0.08</x:v>
      </x:c>
      <x:c r="O2155" s="22" t="n">
        <x:f>L2155*M2155</x:f>
        <x:v>9800</x:v>
      </x:c>
      <x:c r="P2155" s="22" t="n">
        <x:f>O2155*(1-N2155)</x:f>
        <x:v>9016</x:v>
      </x:c>
      <x:c r="Q2155" s="22" t="n">
        <x:v>610</x:v>
      </x:c>
      <x:c r="R2155" s="22" t="n">
        <x:f>Q2155*M2155</x:f>
        <x:v>8540</x:v>
      </x:c>
      <x:c r="S2155" s="22" t="n">
        <x:f>P2155-R2155</x:f>
        <x:v>476</x:v>
      </x:c>
      <x:c r="T2155" t="str">
        <x:v>Bank Transfer</x:v>
      </x:c>
      <x:c r="U2155" t="str">
        <x:v>Paid</x:v>
      </x:c>
      <x:c r="V2155" t="str">
        <x:v>Delivered</x:v>
      </x:c>
      <x:c r="W2155" t="n">
        <x:v>0</x:v>
      </x:c>
      <x:c r="X2155" t="str"/>
      <x:c r="Y2155" t="str">
        <x:v>Outbound Call</x:v>
      </x:c>
    </x:row>
    <x:row r="2156">
      <x:c r="A2156" t="str">
        <x:v>O002155</x:v>
      </x:c>
      <x:c r="B2156" s="20" t="n">
        <x:v>45965</x:v>
      </x:c>
      <x:c r="C2156" t="str">
        <x:v>C0155</x:v>
      </x:c>
      <x:c r="D2156" t="str">
        <x:v>New Mart 155</x:v>
      </x:c>
      <x:c r="E2156" t="str">
        <x:v>Hotel</x:v>
      </x:c>
      <x:c r="F2156" t="str">
        <x:v>Mysuru</x:v>
      </x:c>
      <x:c r="G2156" t="str">
        <x:v>Sneha</x:v>
      </x:c>
      <x:c r="H2156" t="str">
        <x:v>P030</x:v>
      </x:c>
      <x:c r="I2156" t="str">
        <x:v>Mayonnaise 1kg</x:v>
      </x:c>
      <x:c r="J2156" t="str">
        <x:v>Condiments</x:v>
      </x:c>
      <x:c r="K2156" t="str">
        <x:v>Veeba</x:v>
      </x:c>
      <x:c r="L2156" s="22" t="n">
        <x:v>210</x:v>
      </x:c>
      <x:c r="M2156" t="n">
        <x:v>17</x:v>
      </x:c>
      <x:c r="N2156" s="24" t="n">
        <x:v>0.08</x:v>
      </x:c>
      <x:c r="O2156" s="22" t="n">
        <x:f>L2156*M2156</x:f>
        <x:v>3570</x:v>
      </x:c>
      <x:c r="P2156" s="22" t="n">
        <x:f>O2156*(1-N2156)</x:f>
        <x:v>3284.4</x:v>
      </x:c>
      <x:c r="Q2156" s="22" t="n">
        <x:v>185</x:v>
      </x:c>
      <x:c r="R2156" s="22" t="n">
        <x:f>Q2156*M2156</x:f>
        <x:v>3145</x:v>
      </x:c>
      <x:c r="S2156" s="22" t="n">
        <x:f>P2156-R2156</x:f>
        <x:v>139.4000000000001</x:v>
      </x:c>
      <x:c r="T2156" t="str">
        <x:v>UPI</x:v>
      </x:c>
      <x:c r="U2156" t="str">
        <x:v>Pending</x:v>
      </x:c>
      <x:c r="V2156" t="str">
        <x:v>Delivered</x:v>
      </x:c>
      <x:c r="W2156" t="n">
        <x:v>0</x:v>
      </x:c>
      <x:c r="X2156" t="str"/>
      <x:c r="Y2156" t="str">
        <x:v>Existing Customer</x:v>
      </x:c>
    </x:row>
    <x:row r="2157">
      <x:c r="A2157" t="str">
        <x:v>O002156</x:v>
      </x:c>
      <x:c r="B2157" s="20" t="n">
        <x:v>46152</x:v>
      </x:c>
      <x:c r="C2157" t="str">
        <x:v>C0155</x:v>
      </x:c>
      <x:c r="D2157" t="str">
        <x:v>New Mart 155</x:v>
      </x:c>
      <x:c r="E2157" t="str">
        <x:v>Hotel</x:v>
      </x:c>
      <x:c r="F2157" t="str">
        <x:v>Mysuru</x:v>
      </x:c>
      <x:c r="G2157" t="str">
        <x:v>Sneha</x:v>
      </x:c>
      <x:c r="H2157" t="str">
        <x:v>P036</x:v>
      </x:c>
      <x:c r="I2157" t="str">
        <x:v>Garam Masala 500g</x:v>
      </x:c>
      <x:c r="J2157" t="str">
        <x:v>Spices</x:v>
      </x:c>
      <x:c r="K2157" t="str">
        <x:v>MDH</x:v>
      </x:c>
      <x:c r="L2157" s="22" t="n">
        <x:v>265</x:v>
      </x:c>
      <x:c r="M2157" t="n">
        <x:v>3</x:v>
      </x:c>
      <x:c r="N2157" s="24" t="n">
        <x:v>0.03</x:v>
      </x:c>
      <x:c r="O2157" s="22" t="n">
        <x:f>L2157*M2157</x:f>
        <x:v>795</x:v>
      </x:c>
      <x:c r="P2157" s="22" t="n">
        <x:f>O2157*(1-N2157)</x:f>
        <x:v>771.15</x:v>
      </x:c>
      <x:c r="Q2157" s="22" t="n">
        <x:v>230</x:v>
      </x:c>
      <x:c r="R2157" s="22" t="n">
        <x:f>Q2157*M2157</x:f>
        <x:v>690</x:v>
      </x:c>
      <x:c r="S2157" s="22" t="n">
        <x:f>P2157-R2157</x:f>
        <x:v>81.14999999999998</x:v>
      </x:c>
      <x:c r="T2157" t="str">
        <x:v>UPI</x:v>
      </x:c>
      <x:c r="U2157" t="str">
        <x:v>Overdue</x:v>
      </x:c>
      <x:c r="V2157" t="str">
        <x:v>Cancelled</x:v>
      </x:c>
      <x:c r="W2157" t="n">
        <x:v>3</x:v>
      </x:c>
      <x:c r="X2157" t="str">
        <x:v>Cancelled Order</x:v>
      </x:c>
      <x:c r="Y2157" t="str">
        <x:v>Outbound Call</x:v>
      </x:c>
    </x:row>
    <x:row r="2158">
      <x:c r="A2158" t="str">
        <x:v>O002157</x:v>
      </x:c>
      <x:c r="B2158" s="20" t="n">
        <x:v>46211</x:v>
      </x:c>
      <x:c r="C2158" t="str">
        <x:v>C0158</x:v>
      </x:c>
      <x:c r="D2158" t="str">
        <x:v>Cafe Stores 158</x:v>
      </x:c>
      <x:c r="E2158" t="str">
        <x:v>Cafe</x:v>
      </x:c>
      <x:c r="F2158" t="str">
        <x:v>Mysuru</x:v>
      </x:c>
      <x:c r="G2158" t="str">
        <x:v>Priya</x:v>
      </x:c>
      <x:c r="H2158" t="str">
        <x:v>P006</x:v>
      </x:c>
      <x:c r="I2158" t="str">
        <x:v>Moong Dal 5kg</x:v>
      </x:c>
      <x:c r="J2158" t="str">
        <x:v>Pulses</x:v>
      </x:c>
      <x:c r="K2158" t="str">
        <x:v>Local Select</x:v>
      </x:c>
      <x:c r="L2158" s="22" t="n">
        <x:v>610</x:v>
      </x:c>
      <x:c r="M2158" t="n">
        <x:v>19</x:v>
      </x:c>
      <x:c r="N2158" s="24" t="n">
        <x:v>0.08</x:v>
      </x:c>
      <x:c r="O2158" s="22" t="n">
        <x:f>L2158*M2158</x:f>
        <x:v>11590</x:v>
      </x:c>
      <x:c r="P2158" s="22" t="n">
        <x:f>O2158*(1-N2158)</x:f>
        <x:v>10662.800000000001</x:v>
      </x:c>
      <x:c r="Q2158" s="22" t="n">
        <x:v>540</x:v>
      </x:c>
      <x:c r="R2158" s="22" t="n">
        <x:f>Q2158*M2158</x:f>
        <x:v>10260</x:v>
      </x:c>
      <x:c r="S2158" s="22" t="n">
        <x:f>P2158-R2158</x:f>
        <x:v>402.8000000000011</x:v>
      </x:c>
      <x:c r="T2158" t="str">
        <x:v>UPI</x:v>
      </x:c>
      <x:c r="U2158" t="str">
        <x:v>Paid</x:v>
      </x:c>
      <x:c r="V2158" t="str">
        <x:v>Cancelled</x:v>
      </x:c>
      <x:c r="W2158" t="n">
        <x:v>19</x:v>
      </x:c>
      <x:c r="X2158" t="str">
        <x:v>Cancelled Order</x:v>
      </x:c>
      <x:c r="Y2158" t="str">
        <x:v>Referral</x:v>
      </x:c>
    </x:row>
    <x:row r="2159">
      <x:c r="A2159" t="str">
        <x:v>O002158</x:v>
      </x:c>
      <x:c r="B2159" s="20" t="n">
        <x:v>45756</x:v>
      </x:c>
      <x:c r="C2159" t="str">
        <x:v>C0097</x:v>
      </x:c>
      <x:c r="D2159" t="str">
        <x:v>Classic Stores 97</x:v>
      </x:c>
      <x:c r="E2159" t="str">
        <x:v>Restaurant</x:v>
      </x:c>
      <x:c r="F2159" t="str">
        <x:v>Davanagere</x:v>
      </x:c>
      <x:c r="G2159" t="str">
        <x:v>Priya</x:v>
      </x:c>
      <x:c r="H2159" t="str">
        <x:v>P007</x:v>
      </x:c>
      <x:c r="I2159" t="str">
        <x:v>Sunflower Oil 15L</x:v>
      </x:c>
      <x:c r="J2159" t="str">
        <x:v>Edible Oil</x:v>
      </x:c>
      <x:c r="K2159" t="str">
        <x:v>Fortune</x:v>
      </x:c>
      <x:c r="L2159" s="22" t="n">
        <x:v>1980</x:v>
      </x:c>
      <x:c r="M2159" t="n">
        <x:v>9</x:v>
      </x:c>
      <x:c r="N2159" s="24" t="n">
        <x:v>0.02</x:v>
      </x:c>
      <x:c r="O2159" s="22" t="n">
        <x:f>L2159*M2159</x:f>
        <x:v>17820</x:v>
      </x:c>
      <x:c r="P2159" s="22" t="n">
        <x:f>O2159*(1-N2159)</x:f>
        <x:v>17463.6</x:v>
      </x:c>
      <x:c r="Q2159" s="22" t="n">
        <x:v>1810</x:v>
      </x:c>
      <x:c r="R2159" s="22" t="n">
        <x:f>Q2159*M2159</x:f>
        <x:v>16290</x:v>
      </x:c>
      <x:c r="S2159" s="22" t="n">
        <x:f>P2159-R2159</x:f>
        <x:v>1173.5999999999985</x:v>
      </x:c>
      <x:c r="T2159" t="str">
        <x:v>Cash</x:v>
      </x:c>
      <x:c r="U2159" t="str">
        <x:v>Paid</x:v>
      </x:c>
      <x:c r="V2159" t="str">
        <x:v>Delivered</x:v>
      </x:c>
      <x:c r="W2159" t="n">
        <x:v>0</x:v>
      </x:c>
      <x:c r="X2159" t="str"/>
      <x:c r="Y2159" t="str">
        <x:v>WhatsApp</x:v>
      </x:c>
    </x:row>
    <x:row r="2160">
      <x:c r="A2160" t="str">
        <x:v>O002159</x:v>
      </x:c>
      <x:c r="B2160" s="20" t="n">
        <x:v>45772</x:v>
      </x:c>
      <x:c r="C2160" t="str">
        <x:v>C0169</x:v>
      </x:c>
      <x:c r="D2160" t="str">
        <x:v>Grand Mart 169</x:v>
      </x:c>
      <x:c r="E2160" t="str">
        <x:v>Canteen</x:v>
      </x:c>
      <x:c r="F2160" t="str">
        <x:v>Mangaluru</x:v>
      </x:c>
      <x:c r="G2160" t="str">
        <x:v>Vikram</x:v>
      </x:c>
      <x:c r="H2160" t="str">
        <x:v>P008</x:v>
      </x:c>
      <x:c r="I2160" t="str">
        <x:v>Palm Oil 15L</x:v>
      </x:c>
      <x:c r="J2160" t="str">
        <x:v>Edible Oil</x:v>
      </x:c>
      <x:c r="K2160" t="str">
        <x:v>Ruchi Gold</x:v>
      </x:c>
      <x:c r="L2160" s="22" t="n">
        <x:v>1760</x:v>
      </x:c>
      <x:c r="M2160" t="n">
        <x:v>11</x:v>
      </x:c>
      <x:c r="N2160" s="24" t="n">
        <x:v>0.03</x:v>
      </x:c>
      <x:c r="O2160" s="22" t="n">
        <x:f>L2160*M2160</x:f>
        <x:v>19360</x:v>
      </x:c>
      <x:c r="P2160" s="22" t="n">
        <x:f>O2160*(1-N2160)</x:f>
        <x:v>18779.2</x:v>
      </x:c>
      <x:c r="Q2160" s="22" t="n">
        <x:v>1610</x:v>
      </x:c>
      <x:c r="R2160" s="22" t="n">
        <x:f>Q2160*M2160</x:f>
        <x:v>17710</x:v>
      </x:c>
      <x:c r="S2160" s="22" t="n">
        <x:f>P2160-R2160</x:f>
        <x:v>1069.2000000000007</x:v>
      </x:c>
      <x:c r="T2160" t="str">
        <x:v>Cash</x:v>
      </x:c>
      <x:c r="U2160" t="str">
        <x:v>Overdue</x:v>
      </x:c>
      <x:c r="V2160" t="str">
        <x:v>Cancelled</x:v>
      </x:c>
      <x:c r="W2160" t="n">
        <x:v>11</x:v>
      </x:c>
      <x:c r="X2160" t="str">
        <x:v>Cancelled Order</x:v>
      </x:c>
      <x:c r="Y2160" t="str">
        <x:v>Referral</x:v>
      </x:c>
    </x:row>
    <x:row r="2161">
      <x:c r="A2161" t="str">
        <x:v>O002160</x:v>
      </x:c>
      <x:c r="B2161" s="20" t="n">
        <x:v>46273</x:v>
      </x:c>
      <x:c r="C2161" t="str">
        <x:v>C0081</x:v>
      </x:c>
      <x:c r="D2161" t="str">
        <x:v>Foodie Mart 81</x:v>
      </x:c>
      <x:c r="E2161" t="str">
        <x:v>Supermarket</x:v>
      </x:c>
      <x:c r="F2161" t="str">
        <x:v>Hubballi</x:v>
      </x:c>
      <x:c r="G2161" t="str">
        <x:v>Kavya</x:v>
      </x:c>
      <x:c r="H2161" t="str">
        <x:v>P015</x:v>
      </x:c>
      <x:c r="I2161" t="str">
        <x:v>Milk 1L</x:v>
      </x:c>
      <x:c r="J2161" t="str">
        <x:v>Dairy</x:v>
      </x:c>
      <x:c r="K2161" t="str">
        <x:v>Nandini</x:v>
      </x:c>
      <x:c r="L2161" s="22" t="n">
        <x:v>48</x:v>
      </x:c>
      <x:c r="M2161" t="n">
        <x:v>31</x:v>
      </x:c>
      <x:c r="N2161" s="24" t="n">
        <x:v>0.05</x:v>
      </x:c>
      <x:c r="O2161" s="22" t="n">
        <x:f>L2161*M2161</x:f>
        <x:v>1488</x:v>
      </x:c>
      <x:c r="P2161" s="22" t="n">
        <x:f>O2161*(1-N2161)</x:f>
        <x:v>1413.6</x:v>
      </x:c>
      <x:c r="Q2161" s="22" t="n">
        <x:v>43</x:v>
      </x:c>
      <x:c r="R2161" s="22" t="n">
        <x:f>Q2161*M2161</x:f>
        <x:v>1333</x:v>
      </x:c>
      <x:c r="S2161" s="22" t="n">
        <x:f>P2161-R2161</x:f>
        <x:v>80.59999999999991</x:v>
      </x:c>
      <x:c r="T2161" t="str">
        <x:v>Credit</x:v>
      </x:c>
      <x:c r="U2161" t="str">
        <x:v>Paid</x:v>
      </x:c>
      <x:c r="V2161" t="str">
        <x:v>Delivered</x:v>
      </x:c>
      <x:c r="W2161" t="n">
        <x:v>0</x:v>
      </x:c>
      <x:c r="X2161" t="str"/>
      <x:c r="Y2161" t="str">
        <x:v>Field Visit</x:v>
      </x:c>
    </x:row>
    <x:row r="2162">
      <x:c r="A2162" t="str">
        <x:v>O002161</x:v>
      </x:c>
      <x:c r="B2162" s="20" t="n">
        <x:v>45716</x:v>
      </x:c>
      <x:c r="C2162" t="str">
        <x:v>C0186</x:v>
      </x:c>
      <x:c r="D2162" t="str">
        <x:v>Namma Stores 186</x:v>
      </x:c>
      <x:c r="E2162" t="str">
        <x:v>Supermarket</x:v>
      </x:c>
      <x:c r="F2162" t="str">
        <x:v>Mysuru</x:v>
      </x:c>
      <x:c r="G2162" t="str">
        <x:v>Vikram</x:v>
      </x:c>
      <x:c r="H2162" t="str">
        <x:v>P045</x:v>
      </x:c>
      <x:c r="I2162" t="str">
        <x:v>Onion 25kg</x:v>
      </x:c>
      <x:c r="J2162" t="str">
        <x:v>Fresh Produce</x:v>
      </x:c>
      <x:c r="K2162" t="str">
        <x:v>Local Market</x:v>
      </x:c>
      <x:c r="L2162" s="22" t="n">
        <x:v>875</x:v>
      </x:c>
      <x:c r="M2162" t="n">
        <x:v>35</x:v>
      </x:c>
      <x:c r="N2162" s="24" t="n">
        <x:v>0.05</x:v>
      </x:c>
      <x:c r="O2162" s="22" t="n">
        <x:f>L2162*M2162</x:f>
        <x:v>30625</x:v>
      </x:c>
      <x:c r="P2162" s="22" t="n">
        <x:f>O2162*(1-N2162)</x:f>
        <x:v>29093.75</x:v>
      </x:c>
      <x:c r="Q2162" s="22" t="n">
        <x:v>760</x:v>
      </x:c>
      <x:c r="R2162" s="22" t="n">
        <x:f>Q2162*M2162</x:f>
        <x:v>26600</x:v>
      </x:c>
      <x:c r="S2162" s="22" t="n">
        <x:f>P2162-R2162</x:f>
        <x:v>2493.75</x:v>
      </x:c>
      <x:c r="T2162" t="str">
        <x:v>Bank Transfer</x:v>
      </x:c>
      <x:c r="U2162" t="str">
        <x:v>Pending</x:v>
      </x:c>
      <x:c r="V2162" t="str">
        <x:v>Delivered</x:v>
      </x:c>
      <x:c r="W2162" t="n">
        <x:v>0</x:v>
      </x:c>
      <x:c r="X2162" t="str"/>
      <x:c r="Y2162" t="str">
        <x:v>Outbound Call</x:v>
      </x:c>
    </x:row>
    <x:row r="2163">
      <x:c r="A2163" t="str">
        <x:v>O002162</x:v>
      </x:c>
      <x:c r="B2163" s="20" t="n">
        <x:v>46244</x:v>
      </x:c>
      <x:c r="C2163" t="str">
        <x:v>C0191</x:v>
      </x:c>
      <x:c r="D2163" t="str">
        <x:v>Foodie Kitchen 191</x:v>
      </x:c>
      <x:c r="E2163" t="str">
        <x:v>Cafe</x:v>
      </x:c>
      <x:c r="F2163" t="str">
        <x:v>Mysuru</x:v>
      </x:c>
      <x:c r="G2163" t="str">
        <x:v>Priya</x:v>
      </x:c>
      <x:c r="H2163" t="str">
        <x:v>P005</x:v>
      </x:c>
      <x:c r="I2163" t="str">
        <x:v>Chana Dal 5kg</x:v>
      </x:c>
      <x:c r="J2163" t="str">
        <x:v>Pulses</x:v>
      </x:c>
      <x:c r="K2163" t="str">
        <x:v>Local Select</x:v>
      </x:c>
      <x:c r="L2163" s="22" t="n">
        <x:v>520</x:v>
      </x:c>
      <x:c r="M2163" t="n">
        <x:v>22</x:v>
      </x:c>
      <x:c r="N2163" s="24" t="n">
        <x:v>0.05</x:v>
      </x:c>
      <x:c r="O2163" s="22" t="n">
        <x:f>L2163*M2163</x:f>
        <x:v>11440</x:v>
      </x:c>
      <x:c r="P2163" s="22" t="n">
        <x:f>O2163*(1-N2163)</x:f>
        <x:v>10868</x:v>
      </x:c>
      <x:c r="Q2163" s="22" t="n">
        <x:v>455</x:v>
      </x:c>
      <x:c r="R2163" s="22" t="n">
        <x:f>Q2163*M2163</x:f>
        <x:v>10010</x:v>
      </x:c>
      <x:c r="S2163" s="22" t="n">
        <x:f>P2163-R2163</x:f>
        <x:v>858</x:v>
      </x:c>
      <x:c r="T2163" t="str">
        <x:v>Cash</x:v>
      </x:c>
      <x:c r="U2163" t="str">
        <x:v>Paid</x:v>
      </x:c>
      <x:c r="V2163" t="str">
        <x:v>Delivered</x:v>
      </x:c>
      <x:c r="W2163" t="n">
        <x:v>0</x:v>
      </x:c>
      <x:c r="X2163" t="str"/>
      <x:c r="Y2163" t="str">
        <x:v>WhatsApp</x:v>
      </x:c>
    </x:row>
    <x:row r="2164">
      <x:c r="A2164" t="str">
        <x:v>O002163</x:v>
      </x:c>
      <x:c r="B2164" s="20" t="n">
        <x:v>45912</x:v>
      </x:c>
      <x:c r="C2164" t="str">
        <x:v>C0105</x:v>
      </x:c>
      <x:c r="D2164" t="str">
        <x:v>Foodie Restaurant 105</x:v>
      </x:c>
      <x:c r="E2164" t="str">
        <x:v>Supermarket</x:v>
      </x:c>
      <x:c r="F2164" t="str">
        <x:v>Bengaluru</x:v>
      </x:c>
      <x:c r="G2164" t="str">
        <x:v>Arjun</x:v>
      </x:c>
      <x:c r="H2164" t="str">
        <x:v>P012</x:v>
      </x:c>
      <x:c r="I2164" t="str">
        <x:v>Maida 10kg</x:v>
      </x:c>
      <x:c r="J2164" t="str">
        <x:v>Flour</x:v>
      </x:c>
      <x:c r="K2164" t="str">
        <x:v>Aashirvaad</x:v>
      </x:c>
      <x:c r="L2164" s="22" t="n">
        <x:v>520</x:v>
      </x:c>
      <x:c r="M2164" t="n">
        <x:v>21</x:v>
      </x:c>
      <x:c r="N2164" s="24" t="n">
        <x:v>0.05</x:v>
      </x:c>
      <x:c r="O2164" s="22" t="n">
        <x:f>L2164*M2164</x:f>
        <x:v>10920</x:v>
      </x:c>
      <x:c r="P2164" s="22" t="n">
        <x:f>O2164*(1-N2164)</x:f>
        <x:v>10374</x:v>
      </x:c>
      <x:c r="Q2164" s="22" t="n">
        <x:v>460</x:v>
      </x:c>
      <x:c r="R2164" s="22" t="n">
        <x:f>Q2164*M2164</x:f>
        <x:v>9660</x:v>
      </x:c>
      <x:c r="S2164" s="22" t="n">
        <x:f>P2164-R2164</x:f>
        <x:v>714</x:v>
      </x:c>
      <x:c r="T2164" t="str">
        <x:v>Credit</x:v>
      </x:c>
      <x:c r="U2164" t="str">
        <x:v>Overdue</x:v>
      </x:c>
      <x:c r="V2164" t="str">
        <x:v>Delivered</x:v>
      </x:c>
      <x:c r="W2164" t="n">
        <x:v>0</x:v>
      </x:c>
      <x:c r="X2164" t="str"/>
      <x:c r="Y2164" t="str">
        <x:v>Outbound Call</x:v>
      </x:c>
    </x:row>
    <x:row r="2165">
      <x:c r="A2165" t="str">
        <x:v>O002164</x:v>
      </x:c>
      <x:c r="B2165" s="20" t="n">
        <x:v>46205</x:v>
      </x:c>
      <x:c r="C2165" t="str">
        <x:v>C0099</x:v>
      </x:c>
      <x:c r="D2165" t="str">
        <x:v>Green Cafe 99</x:v>
      </x:c>
      <x:c r="E2165" t="str">
        <x:v>Restaurant</x:v>
      </x:c>
      <x:c r="F2165" t="str">
        <x:v>Hubballi</x:v>
      </x:c>
      <x:c r="G2165" t="str">
        <x:v>Ramesh</x:v>
      </x:c>
      <x:c r="H2165" t="str">
        <x:v>P005</x:v>
      </x:c>
      <x:c r="I2165" t="str">
        <x:v>Chana Dal 5kg</x:v>
      </x:c>
      <x:c r="J2165" t="str">
        <x:v>Pulses</x:v>
      </x:c>
      <x:c r="K2165" t="str">
        <x:v>Local Select</x:v>
      </x:c>
      <x:c r="L2165" s="22" t="n">
        <x:v>520</x:v>
      </x:c>
      <x:c r="M2165" t="n">
        <x:v>20</x:v>
      </x:c>
      <x:c r="N2165" s="24" t="n">
        <x:v>0</x:v>
      </x:c>
      <x:c r="O2165" s="22" t="n">
        <x:f>L2165*M2165</x:f>
        <x:v>10400</x:v>
      </x:c>
      <x:c r="P2165" s="22" t="n">
        <x:f>O2165*(1-N2165)</x:f>
        <x:v>10400</x:v>
      </x:c>
      <x:c r="Q2165" s="22" t="n">
        <x:v>455</x:v>
      </x:c>
      <x:c r="R2165" s="22" t="n">
        <x:f>Q2165*M2165</x:f>
        <x:v>9100</x:v>
      </x:c>
      <x:c r="S2165" s="22" t="n">
        <x:f>P2165-R2165</x:f>
        <x:v>1300</x:v>
      </x:c>
      <x:c r="T2165" t="str">
        <x:v>Cash</x:v>
      </x:c>
      <x:c r="U2165" t="str">
        <x:v>Paid</x:v>
      </x:c>
      <x:c r="V2165" t="str">
        <x:v>Delayed</x:v>
      </x:c>
      <x:c r="W2165" t="n">
        <x:v>0</x:v>
      </x:c>
      <x:c r="X2165" t="str"/>
      <x:c r="Y2165" t="str"/>
    </x:row>
    <x:row r="2166">
      <x:c r="A2166" t="str">
        <x:v>O002165</x:v>
      </x:c>
      <x:c r="B2166" s="20" t="n">
        <x:v>46187</x:v>
      </x:c>
      <x:c r="C2166" t="str">
        <x:v>C0233</x:v>
      </x:c>
      <x:c r="D2166" t="str">
        <x:v>Shree Mart 233</x:v>
      </x:c>
      <x:c r="E2166" t="str">
        <x:v>Kirana</x:v>
      </x:c>
      <x:c r="F2166" t="str">
        <x:v>Mangaluru</x:v>
      </x:c>
      <x:c r="G2166" t="str">
        <x:v>Priya</x:v>
      </x:c>
      <x:c r="H2166" t="str">
        <x:v>P025</x:v>
      </x:c>
      <x:c r="I2166" t="str">
        <x:v>Potato Chips 100g</x:v>
      </x:c>
      <x:c r="J2166" t="str">
        <x:v>Snacks</x:v>
      </x:c>
      <x:c r="K2166" t="str">
        <x:v>Lay's</x:v>
      </x:c>
      <x:c r="L2166" s="22" t="n">
        <x:v>35</x:v>
      </x:c>
      <x:c r="M2166" t="n">
        <x:v>26</x:v>
      </x:c>
      <x:c r="N2166" s="24" t="n">
        <x:v>0</x:v>
      </x:c>
      <x:c r="O2166" s="22" t="n">
        <x:f>L2166*M2166</x:f>
        <x:v>910</x:v>
      </x:c>
      <x:c r="P2166" s="22" t="n">
        <x:f>O2166*(1-N2166)</x:f>
        <x:v>910</x:v>
      </x:c>
      <x:c r="Q2166" s="22" t="n">
        <x:v>27</x:v>
      </x:c>
      <x:c r="R2166" s="22" t="n">
        <x:f>Q2166*M2166</x:f>
        <x:v>702</x:v>
      </x:c>
      <x:c r="S2166" s="22" t="n">
        <x:f>P2166-R2166</x:f>
        <x:v>208</x:v>
      </x:c>
      <x:c r="T2166" t="str">
        <x:v>UPI</x:v>
      </x:c>
      <x:c r="U2166" t="str">
        <x:v>Paid</x:v>
      </x:c>
      <x:c r="V2166" t="str">
        <x:v>Delivered</x:v>
      </x:c>
      <x:c r="W2166" t="n">
        <x:v>0</x:v>
      </x:c>
      <x:c r="X2166" t="str"/>
      <x:c r="Y2166" t="str">
        <x:v>Referral</x:v>
      </x:c>
    </x:row>
    <x:row r="2167">
      <x:c r="A2167" t="str">
        <x:v>O002166</x:v>
      </x:c>
      <x:c r="B2167" s="20" t="n">
        <x:v>45703</x:v>
      </x:c>
      <x:c r="C2167" t="str">
        <x:v>C0003</x:v>
      </x:c>
      <x:c r="D2167" t="str">
        <x:v>Grand Foods 3</x:v>
      </x:c>
      <x:c r="E2167" t="str">
        <x:v>Restaurant</x:v>
      </x:c>
      <x:c r="F2167" t="str">
        <x:v>Bengaluru</x:v>
      </x:c>
      <x:c r="G2167" t="str">
        <x:v>Vikram</x:v>
      </x:c>
      <x:c r="H2167" t="str">
        <x:v>P024</x:v>
      </x:c>
      <x:c r="I2167" t="str">
        <x:v>Orange Drink 1L</x:v>
      </x:c>
      <x:c r="J2167" t="str">
        <x:v>Beverage</x:v>
      </x:c>
      <x:c r="K2167" t="str">
        <x:v>Minute Maid</x:v>
      </x:c>
      <x:c r="L2167" s="22" t="n">
        <x:v>105</x:v>
      </x:c>
      <x:c r="M2167" t="n">
        <x:v>9</x:v>
      </x:c>
      <x:c r="N2167" s="24" t="n">
        <x:v>0.05</x:v>
      </x:c>
      <x:c r="O2167" s="22" t="n">
        <x:f>L2167*M2167</x:f>
        <x:v>945</x:v>
      </x:c>
      <x:c r="P2167" s="22" t="n">
        <x:f>O2167*(1-N2167)</x:f>
        <x:v>897.75</x:v>
      </x:c>
      <x:c r="Q2167" s="22" t="n">
        <x:v>88</x:v>
      </x:c>
      <x:c r="R2167" s="22" t="n">
        <x:f>Q2167*M2167</x:f>
        <x:v>792</x:v>
      </x:c>
      <x:c r="S2167" s="22" t="n">
        <x:f>P2167-R2167</x:f>
        <x:v>105.75</x:v>
      </x:c>
      <x:c r="T2167" t="str">
        <x:v>UPI</x:v>
      </x:c>
      <x:c r="U2167" t="str">
        <x:v>Paid</x:v>
      </x:c>
      <x:c r="V2167" t="str">
        <x:v>Delivered</x:v>
      </x:c>
      <x:c r="W2167" t="n">
        <x:v>0</x:v>
      </x:c>
      <x:c r="X2167" t="str"/>
      <x:c r="Y2167" t="str">
        <x:v>Outbound Call</x:v>
      </x:c>
    </x:row>
    <x:row r="2168">
      <x:c r="A2168" t="str">
        <x:v>O002167</x:v>
      </x:c>
      <x:c r="B2168" s="20" t="n">
        <x:v>45669</x:v>
      </x:c>
      <x:c r="C2168" t="str">
        <x:v>C0151</x:v>
      </x:c>
      <x:c r="D2168" t="str">
        <x:v>Foodie Stores 151</x:v>
      </x:c>
      <x:c r="E2168" t="str">
        <x:v>Supermarket</x:v>
      </x:c>
      <x:c r="F2168" t="str">
        <x:v>Mysuru</x:v>
      </x:c>
      <x:c r="G2168" t="str">
        <x:v>Arjun</x:v>
      </x:c>
      <x:c r="H2168" t="str">
        <x:v>P008</x:v>
      </x:c>
      <x:c r="I2168" t="str">
        <x:v>Palm Oil 15L</x:v>
      </x:c>
      <x:c r="J2168" t="str">
        <x:v>Edible Oil</x:v>
      </x:c>
      <x:c r="K2168" t="str">
        <x:v>Ruchi Gold</x:v>
      </x:c>
      <x:c r="L2168" s="22" t="n">
        <x:v>1760</x:v>
      </x:c>
      <x:c r="M2168" t="n">
        <x:v>10</x:v>
      </x:c>
      <x:c r="N2168" s="24" t="n">
        <x:v>0</x:v>
      </x:c>
      <x:c r="O2168" s="22" t="n">
        <x:f>L2168*M2168</x:f>
        <x:v>17600</x:v>
      </x:c>
      <x:c r="P2168" s="22" t="n">
        <x:f>O2168*(1-N2168)</x:f>
        <x:v>17600</x:v>
      </x:c>
      <x:c r="Q2168" s="22" t="n">
        <x:v>1610</x:v>
      </x:c>
      <x:c r="R2168" s="22" t="n">
        <x:f>Q2168*M2168</x:f>
        <x:v>16100</x:v>
      </x:c>
      <x:c r="S2168" s="22" t="n">
        <x:f>P2168-R2168</x:f>
        <x:v>1500</x:v>
      </x:c>
      <x:c r="T2168" t="str">
        <x:v>UPI</x:v>
      </x:c>
      <x:c r="U2168" t="str">
        <x:v>Overdue</x:v>
      </x:c>
      <x:c r="V2168" t="str">
        <x:v>Delivered</x:v>
      </x:c>
      <x:c r="W2168" t="n">
        <x:v>0</x:v>
      </x:c>
      <x:c r="X2168" t="str"/>
      <x:c r="Y2168" t="str">
        <x:v>Referral</x:v>
      </x:c>
    </x:row>
    <x:row r="2169">
      <x:c r="A2169" t="str">
        <x:v>O002168</x:v>
      </x:c>
      <x:c r="B2169" s="20" t="n">
        <x:v>45796</x:v>
      </x:c>
      <x:c r="C2169" t="str">
        <x:v>C0037</x:v>
      </x:c>
      <x:c r="D2169" t="str">
        <x:v>Royal Cafe 37</x:v>
      </x:c>
      <x:c r="E2169" t="str">
        <x:v>Hotel</x:v>
      </x:c>
      <x:c r="F2169" t="str">
        <x:v>Mysuru</x:v>
      </x:c>
      <x:c r="G2169" t="str">
        <x:v>Sneha</x:v>
      </x:c>
      <x:c r="H2169" t="str">
        <x:v>P024</x:v>
      </x:c>
      <x:c r="I2169" t="str">
        <x:v>Orange Drink 1L</x:v>
      </x:c>
      <x:c r="J2169" t="str">
        <x:v>Beverage</x:v>
      </x:c>
      <x:c r="K2169" t="str">
        <x:v>Minute Maid</x:v>
      </x:c>
      <x:c r="L2169" s="22" t="n">
        <x:v>105</x:v>
      </x:c>
      <x:c r="M2169" t="n">
        <x:v>2</x:v>
      </x:c>
      <x:c r="N2169" s="24" t="n">
        <x:v>0.05</x:v>
      </x:c>
      <x:c r="O2169" s="22" t="n">
        <x:f>L2169*M2169</x:f>
        <x:v>210</x:v>
      </x:c>
      <x:c r="P2169" s="22" t="n">
        <x:f>O2169*(1-N2169)</x:f>
        <x:v>199.5</x:v>
      </x:c>
      <x:c r="Q2169" s="22" t="n">
        <x:v>88</x:v>
      </x:c>
      <x:c r="R2169" s="22" t="n">
        <x:f>Q2169*M2169</x:f>
        <x:v>176</x:v>
      </x:c>
      <x:c r="S2169" s="22" t="n">
        <x:f>P2169-R2169</x:f>
        <x:v>23.5</x:v>
      </x:c>
      <x:c r="T2169" t="str">
        <x:v>Cash</x:v>
      </x:c>
      <x:c r="U2169" t="str">
        <x:v>Paid</x:v>
      </x:c>
      <x:c r="V2169" t="str">
        <x:v>Delivered</x:v>
      </x:c>
      <x:c r="W2169" t="n">
        <x:v>0</x:v>
      </x:c>
      <x:c r="X2169" t="str"/>
      <x:c r="Y2169" t="str">
        <x:v>WhatsApp</x:v>
      </x:c>
    </x:row>
    <x:row r="2170">
      <x:c r="A2170" t="str">
        <x:v>O002169</x:v>
      </x:c>
      <x:c r="B2170" s="20" t="n">
        <x:v>46269</x:v>
      </x:c>
      <x:c r="C2170" t="str">
        <x:v>C0146</x:v>
      </x:c>
      <x:c r="D2170" t="str">
        <x:v>Annapurna Hotel 146</x:v>
      </x:c>
      <x:c r="E2170" t="str">
        <x:v>Restaurant</x:v>
      </x:c>
      <x:c r="F2170" t="str">
        <x:v>Davanagere</x:v>
      </x:c>
      <x:c r="G2170" t="str">
        <x:v>Arjun</x:v>
      </x:c>
      <x:c r="H2170" t="str">
        <x:v>P030</x:v>
      </x:c>
      <x:c r="I2170" t="str">
        <x:v>Mayonnaise 1kg</x:v>
      </x:c>
      <x:c r="J2170" t="str">
        <x:v>Condiments</x:v>
      </x:c>
      <x:c r="K2170" t="str">
        <x:v>Veeba</x:v>
      </x:c>
      <x:c r="L2170" s="22" t="n">
        <x:v>210</x:v>
      </x:c>
      <x:c r="M2170" t="n">
        <x:v>24</x:v>
      </x:c>
      <x:c r="N2170" s="24" t="n">
        <x:v>0</x:v>
      </x:c>
      <x:c r="O2170" s="22" t="n">
        <x:f>L2170*M2170</x:f>
        <x:v>5040</x:v>
      </x:c>
      <x:c r="P2170" s="22" t="n">
        <x:f>O2170*(1-N2170)</x:f>
        <x:v>5040</x:v>
      </x:c>
      <x:c r="Q2170" s="22" t="n">
        <x:v>185</x:v>
      </x:c>
      <x:c r="R2170" s="22" t="n">
        <x:f>Q2170*M2170</x:f>
        <x:v>4440</x:v>
      </x:c>
      <x:c r="S2170" s="22" t="n">
        <x:f>P2170-R2170</x:f>
        <x:v>600</x:v>
      </x:c>
      <x:c r="T2170" t="str">
        <x:v>UPI</x:v>
      </x:c>
      <x:c r="U2170" t="str">
        <x:v>Paid</x:v>
      </x:c>
      <x:c r="V2170" t="str">
        <x:v>Delivered</x:v>
      </x:c>
      <x:c r="W2170" t="n">
        <x:v>0</x:v>
      </x:c>
      <x:c r="X2170" t="str"/>
      <x:c r="Y2170" t="str">
        <x:v>Outbound Call</x:v>
      </x:c>
    </x:row>
    <x:row r="2171">
      <x:c r="A2171" t="str">
        <x:v>O002170</x:v>
      </x:c>
      <x:c r="B2171" s="20" t="n">
        <x:v>46098</x:v>
      </x:c>
      <x:c r="C2171" t="str">
        <x:v>C0184</x:v>
      </x:c>
      <x:c r="D2171" t="str">
        <x:v>Namma Restaurant 184</x:v>
      </x:c>
      <x:c r="E2171" t="str">
        <x:v>Cafe</x:v>
      </x:c>
      <x:c r="F2171" t="str">
        <x:v>Hubballi</x:v>
      </x:c>
      <x:c r="G2171" t="str">
        <x:v>Arjun</x:v>
      </x:c>
      <x:c r="H2171" t="str">
        <x:v>P035</x:v>
      </x:c>
      <x:c r="I2171" t="str">
        <x:v>Coriander Powder 1kg</x:v>
      </x:c>
      <x:c r="J2171" t="str">
        <x:v>Spices</x:v>
      </x:c>
      <x:c r="K2171" t="str">
        <x:v>Everest</x:v>
      </x:c>
      <x:c r="L2171" s="22" t="n">
        <x:v>280</x:v>
      </x:c>
      <x:c r="M2171" t="n">
        <x:v>3</x:v>
      </x:c>
      <x:c r="N2171" s="24" t="n">
        <x:v>0</x:v>
      </x:c>
      <x:c r="O2171" s="22" t="n">
        <x:f>L2171*M2171</x:f>
        <x:v>840</x:v>
      </x:c>
      <x:c r="P2171" s="22" t="n">
        <x:f>O2171*(1-N2171)</x:f>
        <x:v>840</x:v>
      </x:c>
      <x:c r="Q2171" s="22" t="n">
        <x:v>245</x:v>
      </x:c>
      <x:c r="R2171" s="22" t="n">
        <x:f>Q2171*M2171</x:f>
        <x:v>735</x:v>
      </x:c>
      <x:c r="S2171" s="22" t="n">
        <x:f>P2171-R2171</x:f>
        <x:v>105</x:v>
      </x:c>
      <x:c r="T2171" t="str">
        <x:v>Credit</x:v>
      </x:c>
      <x:c r="U2171" t="str">
        <x:v>Paid</x:v>
      </x:c>
      <x:c r="V2171" t="str">
        <x:v>Delivered</x:v>
      </x:c>
      <x:c r="W2171" t="n">
        <x:v>0</x:v>
      </x:c>
      <x:c r="X2171" t="str"/>
      <x:c r="Y2171" t="str">
        <x:v>Field Visit</x:v>
      </x:c>
    </x:row>
    <x:row r="2172">
      <x:c r="A2172" t="str">
        <x:v>O002171</x:v>
      </x:c>
      <x:c r="B2172" s="20" t="n">
        <x:v>46262</x:v>
      </x:c>
      <x:c r="C2172" t="str">
        <x:v>C0070</x:v>
      </x:c>
      <x:c r="D2172" t="str">
        <x:v>Metro Stores 70</x:v>
      </x:c>
      <x:c r="E2172" t="str">
        <x:v>Cafe</x:v>
      </x:c>
      <x:c r="F2172" t="str">
        <x:v>Bengaluru</x:v>
      </x:c>
      <x:c r="G2172" t="str">
        <x:v>Vikram</x:v>
      </x:c>
      <x:c r="H2172" t="str">
        <x:v>P041</x:v>
      </x:c>
      <x:c r="I2172" t="str">
        <x:v>Burger Bun 6pc</x:v>
      </x:c>
      <x:c r="J2172" t="str">
        <x:v>Bakery</x:v>
      </x:c>
      <x:c r="K2172" t="str">
        <x:v>Modern</x:v>
      </x:c>
      <x:c r="L2172" s="22" t="n">
        <x:v>42</x:v>
      </x:c>
      <x:c r="M2172" t="n">
        <x:v>9</x:v>
      </x:c>
      <x:c r="N2172" s="24" t="n">
        <x:v>0</x:v>
      </x:c>
      <x:c r="O2172" s="22" t="n">
        <x:f>L2172*M2172</x:f>
        <x:v>378</x:v>
      </x:c>
      <x:c r="P2172" s="22" t="n">
        <x:f>O2172*(1-N2172)</x:f>
        <x:v>378</x:v>
      </x:c>
      <x:c r="Q2172" s="22" t="n">
        <x:v>32</x:v>
      </x:c>
      <x:c r="R2172" s="22" t="n">
        <x:f>Q2172*M2172</x:f>
        <x:v>288</x:v>
      </x:c>
      <x:c r="S2172" s="22" t="n">
        <x:f>P2172-R2172</x:f>
        <x:v>90</x:v>
      </x:c>
      <x:c r="T2172" t="str">
        <x:v>Cash</x:v>
      </x:c>
      <x:c r="U2172" t="str">
        <x:v>Pending</x:v>
      </x:c>
      <x:c r="V2172" t="str">
        <x:v>Delayed</x:v>
      </x:c>
      <x:c r="W2172" t="n">
        <x:v>0</x:v>
      </x:c>
      <x:c r="X2172" t="str"/>
      <x:c r="Y2172" t="str">
        <x:v>Field Visit</x:v>
      </x:c>
    </x:row>
    <x:row r="2173">
      <x:c r="A2173" t="str">
        <x:v>O002172</x:v>
      </x:c>
      <x:c r="B2173" s="20" t="n">
        <x:v>45888</x:v>
      </x:c>
      <x:c r="C2173" t="str">
        <x:v>C0237</x:v>
      </x:c>
      <x:c r="D2173" t="str">
        <x:v>Mysore Restaurant 237</x:v>
      </x:c>
      <x:c r="E2173" t="str">
        <x:v>Restaurant</x:v>
      </x:c>
      <x:c r="F2173" t="str">
        <x:v>Bengaluru</x:v>
      </x:c>
      <x:c r="G2173" t="str">
        <x:v>Sneha</x:v>
      </x:c>
      <x:c r="H2173" t="str">
        <x:v>P022</x:v>
      </x:c>
      <x:c r="I2173" t="str">
        <x:v>Mineral Water 1L</x:v>
      </x:c>
      <x:c r="J2173" t="str">
        <x:v>Beverage</x:v>
      </x:c>
      <x:c r="K2173" t="str">
        <x:v>Bisleri</x:v>
      </x:c>
      <x:c r="L2173" s="22" t="n">
        <x:v>19</x:v>
      </x:c>
      <x:c r="M2173" t="n">
        <x:v>33</x:v>
      </x:c>
      <x:c r="N2173" s="24" t="n">
        <x:v>0</x:v>
      </x:c>
      <x:c r="O2173" s="22" t="n">
        <x:f>L2173*M2173</x:f>
        <x:v>627</x:v>
      </x:c>
      <x:c r="P2173" s="22" t="n">
        <x:f>O2173*(1-N2173)</x:f>
        <x:v>627</x:v>
      </x:c>
      <x:c r="Q2173" s="22" t="n">
        <x:v>15</x:v>
      </x:c>
      <x:c r="R2173" s="22" t="n">
        <x:f>Q2173*M2173</x:f>
        <x:v>495</x:v>
      </x:c>
      <x:c r="S2173" s="22" t="n">
        <x:f>P2173-R2173</x:f>
        <x:v>132</x:v>
      </x:c>
      <x:c r="T2173" t="str">
        <x:v>UPI</x:v>
      </x:c>
      <x:c r="U2173" t="str">
        <x:v>Paid</x:v>
      </x:c>
      <x:c r="V2173" t="str">
        <x:v>Delivered</x:v>
      </x:c>
      <x:c r="W2173" t="n">
        <x:v>0</x:v>
      </x:c>
      <x:c r="X2173" t="str"/>
      <x:c r="Y2173" t="str">
        <x:v>Existing Customer</x:v>
      </x:c>
    </x:row>
    <x:row r="2174">
      <x:c r="A2174" t="str">
        <x:v>O002173</x:v>
      </x:c>
      <x:c r="B2174" s="20" t="n">
        <x:v>46200</x:v>
      </x:c>
      <x:c r="C2174" t="str">
        <x:v>C0162</x:v>
      </x:c>
      <x:c r="D2174" t="str">
        <x:v>Udupi Foods 162</x:v>
      </x:c>
      <x:c r="E2174" t="str">
        <x:v>Restaurant</x:v>
      </x:c>
      <x:c r="F2174" t="str">
        <x:v>Mysuru</x:v>
      </x:c>
      <x:c r="G2174" t="str">
        <x:v>Ramesh</x:v>
      </x:c>
      <x:c r="H2174" t="str">
        <x:v>P023</x:v>
      </x:c>
      <x:c r="I2174" t="str">
        <x:v>Cola 750ml</x:v>
      </x:c>
      <x:c r="J2174" t="str">
        <x:v>Beverage</x:v>
      </x:c>
      <x:c r="K2174" t="str">
        <x:v>Coca-Cola</x:v>
      </x:c>
      <x:c r="L2174" s="22" t="n">
        <x:v>38</x:v>
      </x:c>
      <x:c r="M2174" t="n">
        <x:v>14</x:v>
      </x:c>
      <x:c r="N2174" s="24" t="n">
        <x:v>0.02</x:v>
      </x:c>
      <x:c r="O2174" s="22" t="n">
        <x:f>L2174*M2174</x:f>
        <x:v>532</x:v>
      </x:c>
      <x:c r="P2174" s="22" t="n">
        <x:f>O2174*(1-N2174)</x:f>
        <x:v>521.36</x:v>
      </x:c>
      <x:c r="Q2174" s="22" t="n">
        <x:v>31</x:v>
      </x:c>
      <x:c r="R2174" s="22" t="n">
        <x:f>Q2174*M2174</x:f>
        <x:v>434</x:v>
      </x:c>
      <x:c r="S2174" s="22" t="n">
        <x:f>P2174-R2174</x:f>
        <x:v>87.36000000000001</x:v>
      </x:c>
      <x:c r="T2174" t="str">
        <x:v>Cash</x:v>
      </x:c>
      <x:c r="U2174" t="str">
        <x:v>Pending</x:v>
      </x:c>
      <x:c r="V2174" t="str">
        <x:v>Delivered</x:v>
      </x:c>
      <x:c r="W2174" t="n">
        <x:v>0</x:v>
      </x:c>
      <x:c r="X2174" t="str"/>
      <x:c r="Y2174" t="str">
        <x:v>Referral</x:v>
      </x:c>
    </x:row>
    <x:row r="2175">
      <x:c r="A2175" t="str">
        <x:v>O002174</x:v>
      </x:c>
      <x:c r="B2175" s="20" t="n">
        <x:v>46037</x:v>
      </x:c>
      <x:c r="C2175" t="str">
        <x:v>C0153</x:v>
      </x:c>
      <x:c r="D2175" t="str">
        <x:v>Fresh Foods 153</x:v>
      </x:c>
      <x:c r="E2175" t="str">
        <x:v>Kirana</x:v>
      </x:c>
      <x:c r="F2175" t="str">
        <x:v>Bengaluru</x:v>
      </x:c>
      <x:c r="G2175" t="str">
        <x:v>Priya</x:v>
      </x:c>
      <x:c r="H2175" t="str">
        <x:v>P044</x:v>
      </x:c>
      <x:c r="I2175" t="str">
        <x:v>Chicken Curry Cut 1kg</x:v>
      </x:c>
      <x:c r="J2175" t="str">
        <x:v>Protein</x:v>
      </x:c>
      <x:c r="K2175" t="str">
        <x:v>FreshToHome</x:v>
      </x:c>
      <x:c r="L2175" s="22" t="n">
        <x:v>230</x:v>
      </x:c>
      <x:c r="M2175" t="n">
        <x:v>10</x:v>
      </x:c>
      <x:c r="N2175" s="24" t="n">
        <x:v>0</x:v>
      </x:c>
      <x:c r="O2175" s="22" t="n">
        <x:f>L2175*M2175</x:f>
        <x:v>2300</x:v>
      </x:c>
      <x:c r="P2175" s="22" t="n">
        <x:f>O2175*(1-N2175)</x:f>
        <x:v>2300</x:v>
      </x:c>
      <x:c r="Q2175" s="22" t="n">
        <x:v>205</x:v>
      </x:c>
      <x:c r="R2175" s="22" t="n">
        <x:f>Q2175*M2175</x:f>
        <x:v>2050</x:v>
      </x:c>
      <x:c r="S2175" s="22" t="n">
        <x:f>P2175-R2175</x:f>
        <x:v>250</x:v>
      </x:c>
      <x:c r="T2175" t="str">
        <x:v>Credit</x:v>
      </x:c>
      <x:c r="U2175" t="str">
        <x:v>Paid</x:v>
      </x:c>
      <x:c r="V2175" t="str">
        <x:v>Cancelled</x:v>
      </x:c>
      <x:c r="W2175" t="n">
        <x:v>10</x:v>
      </x:c>
      <x:c r="X2175" t="str">
        <x:v>Cancelled Order</x:v>
      </x:c>
      <x:c r="Y2175" t="str">
        <x:v>WhatsApp</x:v>
      </x:c>
    </x:row>
    <x:row r="2176">
      <x:c r="A2176" t="str">
        <x:v>O002175</x:v>
      </x:c>
      <x:c r="B2176" s="20" t="n">
        <x:v>45763</x:v>
      </x:c>
      <x:c r="C2176" t="str">
        <x:v>C0061</x:v>
      </x:c>
      <x:c r="D2176" t="str">
        <x:v>Spice Stores 61</x:v>
      </x:c>
      <x:c r="E2176" t="str">
        <x:v>Restaurant</x:v>
      </x:c>
      <x:c r="F2176" t="str">
        <x:v>Tumakuru</x:v>
      </x:c>
      <x:c r="G2176" t="str">
        <x:v>Ramesh</x:v>
      </x:c>
      <x:c r="H2176" t="str">
        <x:v>P027</x:v>
      </x:c>
      <x:c r="I2176" t="str">
        <x:v>Biscuits 120g</x:v>
      </x:c>
      <x:c r="J2176" t="str">
        <x:v>Snacks</x:v>
      </x:c>
      <x:c r="K2176" t="str">
        <x:v>Parle-G</x:v>
      </x:c>
      <x:c r="L2176" s="22" t="n">
        <x:v>12</x:v>
      </x:c>
      <x:c r="M2176" t="n">
        <x:v>27</x:v>
      </x:c>
      <x:c r="N2176" s="24" t="n">
        <x:v>0.05</x:v>
      </x:c>
      <x:c r="O2176" s="22" t="n">
        <x:f>L2176*M2176</x:f>
        <x:v>324</x:v>
      </x:c>
      <x:c r="P2176" s="22" t="n">
        <x:f>O2176*(1-N2176)</x:f>
        <x:v>307.8</x:v>
      </x:c>
      <x:c r="Q2176" s="22" t="n">
        <x:v>9</x:v>
      </x:c>
      <x:c r="R2176" s="22" t="n">
        <x:f>Q2176*M2176</x:f>
        <x:v>243</x:v>
      </x:c>
      <x:c r="S2176" s="22" t="n">
        <x:f>P2176-R2176</x:f>
        <x:v>64.80000000000001</x:v>
      </x:c>
      <x:c r="T2176" t="str">
        <x:v>Cash</x:v>
      </x:c>
      <x:c r="U2176" t="str">
        <x:v>Paid</x:v>
      </x:c>
      <x:c r="V2176" t="str">
        <x:v>Delivered</x:v>
      </x:c>
      <x:c r="W2176" t="n">
        <x:v>0</x:v>
      </x:c>
      <x:c r="X2176" t="str"/>
      <x:c r="Y2176" t="str">
        <x:v>Field Visit</x:v>
      </x:c>
    </x:row>
    <x:row r="2177">
      <x:c r="A2177" t="str">
        <x:v>O002176</x:v>
      </x:c>
      <x:c r="B2177" s="20" t="n">
        <x:v>46089</x:v>
      </x:c>
      <x:c r="C2177" t="str">
        <x:v>C0164</x:v>
      </x:c>
      <x:c r="D2177" t="str">
        <x:v>Sri Hotel 164</x:v>
      </x:c>
      <x:c r="E2177" t="str">
        <x:v>Kirana</x:v>
      </x:c>
      <x:c r="F2177" t="str">
        <x:v>Mysuru</x:v>
      </x:c>
      <x:c r="G2177" t="str">
        <x:v>Vikram</x:v>
      </x:c>
      <x:c r="H2177" t="str">
        <x:v>P010</x:v>
      </x:c>
      <x:c r="I2177" t="str">
        <x:v>Sugar 25kg</x:v>
      </x:c>
      <x:c r="J2177" t="str">
        <x:v>Staples</x:v>
      </x:c>
      <x:c r="K2177" t="str">
        <x:v>Madhur</x:v>
      </x:c>
      <x:c r="L2177" s="22" t="n">
        <x:v>1190</x:v>
      </x:c>
      <x:c r="M2177" t="n">
        <x:v>1</x:v>
      </x:c>
      <x:c r="N2177" s="24" t="n">
        <x:v>0</x:v>
      </x:c>
      <x:c r="O2177" s="22" t="n">
        <x:f>L2177*M2177</x:f>
        <x:v>1190</x:v>
      </x:c>
      <x:c r="P2177" s="22" t="n">
        <x:f>O2177*(1-N2177)</x:f>
        <x:v>1190</x:v>
      </x:c>
      <x:c r="Q2177" s="22" t="n">
        <x:v>1080</x:v>
      </x:c>
      <x:c r="R2177" s="22" t="n">
        <x:f>Q2177*M2177</x:f>
        <x:v>1080</x:v>
      </x:c>
      <x:c r="S2177" s="22" t="n">
        <x:f>P2177-R2177</x:f>
        <x:v>110</x:v>
      </x:c>
      <x:c r="T2177" t="str">
        <x:v>Cash</x:v>
      </x:c>
      <x:c r="U2177" t="str">
        <x:v>Pending</x:v>
      </x:c>
      <x:c r="V2177" t="str">
        <x:v>Delivered</x:v>
      </x:c>
      <x:c r="W2177" t="n">
        <x:v>0</x:v>
      </x:c>
      <x:c r="X2177" t="str"/>
      <x:c r="Y2177" t="str">
        <x:v>Field Visit</x:v>
      </x:c>
    </x:row>
    <x:row r="2178">
      <x:c r="A2178" t="str">
        <x:v>O002177</x:v>
      </x:c>
      <x:c r="B2178" s="20" t="n">
        <x:v>45662</x:v>
      </x:c>
      <x:c r="C2178" t="str">
        <x:v>C0096</x:v>
      </x:c>
      <x:c r="D2178" t="str">
        <x:v>Metro Foods 96</x:v>
      </x:c>
      <x:c r="E2178" t="str">
        <x:v>Kirana</x:v>
      </x:c>
      <x:c r="F2178" t="str">
        <x:v>Davanagere</x:v>
      </x:c>
      <x:c r="G2178" t="str">
        <x:v>Vikram</x:v>
      </x:c>
      <x:c r="H2178" t="str">
        <x:v>P013</x:v>
      </x:c>
      <x:c r="I2178" t="str">
        <x:v>Atta 10kg</x:v>
      </x:c>
      <x:c r="J2178" t="str">
        <x:v>Flour</x:v>
      </x:c>
      <x:c r="K2178" t="str">
        <x:v>Aashirvaad</x:v>
      </x:c>
      <x:c r="L2178" s="22" t="n">
        <x:v>560</x:v>
      </x:c>
      <x:c r="M2178" t="n">
        <x:v>5</x:v>
      </x:c>
      <x:c r="N2178" s="24" t="n">
        <x:v>0.03</x:v>
      </x:c>
      <x:c r="O2178" s="22" t="n">
        <x:f>L2178*M2178</x:f>
        <x:v>2800</x:v>
      </x:c>
      <x:c r="P2178" s="22" t="n">
        <x:f>O2178*(1-N2178)</x:f>
        <x:v>2716</x:v>
      </x:c>
      <x:c r="Q2178" s="22" t="n">
        <x:v>495</x:v>
      </x:c>
      <x:c r="R2178" s="22" t="n">
        <x:f>Q2178*M2178</x:f>
        <x:v>2475</x:v>
      </x:c>
      <x:c r="S2178" s="22" t="n">
        <x:f>P2178-R2178</x:f>
        <x:v>241</x:v>
      </x:c>
      <x:c r="T2178" t="str">
        <x:v>UPI</x:v>
      </x:c>
      <x:c r="U2178" t="str">
        <x:v>Paid</x:v>
      </x:c>
      <x:c r="V2178" t="str">
        <x:v>Delivered</x:v>
      </x:c>
      <x:c r="W2178" t="n">
        <x:v>0</x:v>
      </x:c>
      <x:c r="X2178" t="str"/>
      <x:c r="Y2178" t="str">
        <x:v>Outbound Call</x:v>
      </x:c>
    </x:row>
    <x:row r="2179">
      <x:c r="A2179" t="str">
        <x:v>O002178</x:v>
      </x:c>
      <x:c r="B2179" s="20" t="n">
        <x:v>45721</x:v>
      </x:c>
      <x:c r="C2179" t="str">
        <x:v>C0113</x:v>
      </x:c>
      <x:c r="D2179" t="str">
        <x:v>Namma Mart 113</x:v>
      </x:c>
      <x:c r="E2179" t="str">
        <x:v>Restaurant</x:v>
      </x:c>
      <x:c r="F2179" t="str">
        <x:v>Bengaluru</x:v>
      </x:c>
      <x:c r="G2179" t="str">
        <x:v>Imran</x:v>
      </x:c>
      <x:c r="H2179" t="str">
        <x:v>P037</x:v>
      </x:c>
      <x:c r="I2179" t="str">
        <x:v>Frozen Peas 1kg</x:v>
      </x:c>
      <x:c r="J2179" t="str">
        <x:v>Frozen</x:v>
      </x:c>
      <x:c r="K2179" t="str">
        <x:v>Safal</x:v>
      </x:c>
      <x:c r="L2179" s="22" t="n">
        <x:v>155</x:v>
      </x:c>
      <x:c r="M2179" t="n">
        <x:v>24</x:v>
      </x:c>
      <x:c r="N2179" s="24" t="n">
        <x:v>0</x:v>
      </x:c>
      <x:c r="O2179" s="22" t="n">
        <x:f>L2179*M2179</x:f>
        <x:v>3720</x:v>
      </x:c>
      <x:c r="P2179" s="22" t="n">
        <x:f>O2179*(1-N2179)</x:f>
        <x:v>3720</x:v>
      </x:c>
      <x:c r="Q2179" s="22" t="n">
        <x:v>138</x:v>
      </x:c>
      <x:c r="R2179" s="22" t="n">
        <x:f>Q2179*M2179</x:f>
        <x:v>3312</x:v>
      </x:c>
      <x:c r="S2179" s="22" t="n">
        <x:f>P2179-R2179</x:f>
        <x:v>408</x:v>
      </x:c>
      <x:c r="T2179" t="str">
        <x:v>Cash</x:v>
      </x:c>
      <x:c r="U2179" t="str">
        <x:v>Paid</x:v>
      </x:c>
      <x:c r="V2179" t="str">
        <x:v>Delivered</x:v>
      </x:c>
      <x:c r="W2179" t="n">
        <x:v>0</x:v>
      </x:c>
      <x:c r="X2179" t="str"/>
      <x:c r="Y2179" t="str">
        <x:v>Field Visit</x:v>
      </x:c>
    </x:row>
    <x:row r="2180">
      <x:c r="A2180" t="str">
        <x:v>O002179</x:v>
      </x:c>
      <x:c r="B2180" s="20" t="n">
        <x:v>45715</x:v>
      </x:c>
      <x:c r="C2180" t="str">
        <x:v>C0146</x:v>
      </x:c>
      <x:c r="D2180" t="str">
        <x:v>Annapurna Hotel 146</x:v>
      </x:c>
      <x:c r="E2180" t="str">
        <x:v>Restaurant</x:v>
      </x:c>
      <x:c r="F2180" t="str">
        <x:v>Davanagere</x:v>
      </x:c>
      <x:c r="G2180" t="str">
        <x:v>Arjun</x:v>
      </x:c>
      <x:c r="H2180" t="str">
        <x:v>P017</x:v>
      </x:c>
      <x:c r="I2180" t="str">
        <x:v>Butter 500g</x:v>
      </x:c>
      <x:c r="J2180" t="str">
        <x:v>Dairy</x:v>
      </x:c>
      <x:c r="K2180" t="str">
        <x:v>Amul</x:v>
      </x:c>
      <x:c r="L2180" s="22" t="n">
        <x:v>285</x:v>
      </x:c>
      <x:c r="M2180" t="n">
        <x:v>25</x:v>
      </x:c>
      <x:c r="N2180" s="24" t="n">
        <x:v>0.1</x:v>
      </x:c>
      <x:c r="O2180" s="22" t="n">
        <x:f>L2180*M2180</x:f>
        <x:v>7125</x:v>
      </x:c>
      <x:c r="P2180" s="22" t="n">
        <x:f>O2180*(1-N2180)</x:f>
        <x:v>6412.5</x:v>
      </x:c>
      <x:c r="Q2180" s="22" t="n">
        <x:v>258</x:v>
      </x:c>
      <x:c r="R2180" s="22" t="n">
        <x:f>Q2180*M2180</x:f>
        <x:v>6450</x:v>
      </x:c>
      <x:c r="S2180" s="22" t="n">
        <x:f>P2180-R2180</x:f>
        <x:v>-37.5</x:v>
      </x:c>
      <x:c r="T2180" t="str">
        <x:v>Cash</x:v>
      </x:c>
      <x:c r="U2180" t="str">
        <x:v>Paid</x:v>
      </x:c>
      <x:c r="V2180" t="str">
        <x:v>Cancelled</x:v>
      </x:c>
      <x:c r="W2180" t="n">
        <x:v>25</x:v>
      </x:c>
      <x:c r="X2180" t="str">
        <x:v>Cancelled Order</x:v>
      </x:c>
      <x:c r="Y2180" t="str">
        <x:v>Field Visit</x:v>
      </x:c>
    </x:row>
    <x:row r="2181">
      <x:c r="A2181" t="str">
        <x:v>O002180</x:v>
      </x:c>
      <x:c r="B2181" s="20" t="n">
        <x:v>46255</x:v>
      </x:c>
      <x:c r="C2181" t="str">
        <x:v>C0235</x:v>
      </x:c>
      <x:c r="D2181" t="str">
        <x:v>Darshini Canteen 235</x:v>
      </x:c>
      <x:c r="E2181" t="str">
        <x:v>Hotel</x:v>
      </x:c>
      <x:c r="F2181" t="str">
        <x:v>Mangaluru</x:v>
      </x:c>
      <x:c r="G2181" t="str">
        <x:v>Arjun</x:v>
      </x:c>
      <x:c r="H2181" t="str">
        <x:v>P030</x:v>
      </x:c>
      <x:c r="I2181" t="str">
        <x:v>Mayonnaise 1kg</x:v>
      </x:c>
      <x:c r="J2181" t="str">
        <x:v>Condiments</x:v>
      </x:c>
      <x:c r="K2181" t="str">
        <x:v>Veeba</x:v>
      </x:c>
      <x:c r="L2181" s="22" t="n">
        <x:v>210</x:v>
      </x:c>
      <x:c r="M2181" t="n">
        <x:v>4</x:v>
      </x:c>
      <x:c r="N2181" s="24" t="n">
        <x:v>0.02</x:v>
      </x:c>
      <x:c r="O2181" s="22" t="n">
        <x:f>L2181*M2181</x:f>
        <x:v>840</x:v>
      </x:c>
      <x:c r="P2181" s="22" t="n">
        <x:f>O2181*(1-N2181)</x:f>
        <x:v>823.1999999999999</x:v>
      </x:c>
      <x:c r="Q2181" s="22" t="n">
        <x:v>185</x:v>
      </x:c>
      <x:c r="R2181" s="22" t="n">
        <x:f>Q2181*M2181</x:f>
        <x:v>740</x:v>
      </x:c>
      <x:c r="S2181" s="22" t="n">
        <x:f>P2181-R2181</x:f>
        <x:v>83.19999999999993</x:v>
      </x:c>
      <x:c r="T2181" t="str">
        <x:v>Credit</x:v>
      </x:c>
      <x:c r="U2181" t="str">
        <x:v>Paid</x:v>
      </x:c>
      <x:c r="V2181" t="str">
        <x:v>Cancelled</x:v>
      </x:c>
      <x:c r="W2181" t="n">
        <x:v>4</x:v>
      </x:c>
      <x:c r="X2181" t="str">
        <x:v>Cancelled Order</x:v>
      </x:c>
      <x:c r="Y2181" t="str">
        <x:v>Outbound Call</x:v>
      </x:c>
    </x:row>
    <x:row r="2182">
      <x:c r="A2182" t="str">
        <x:v>O002181</x:v>
      </x:c>
      <x:c r="B2182" s="20" t="n">
        <x:v>46247</x:v>
      </x:c>
      <x:c r="C2182" t="str">
        <x:v>C0239</x:v>
      </x:c>
      <x:c r="D2182" t="str">
        <x:v>Royal Hotel 239</x:v>
      </x:c>
      <x:c r="E2182" t="str">
        <x:v>Restaurant</x:v>
      </x:c>
      <x:c r="F2182" t="str">
        <x:v>Hubballi</x:v>
      </x:c>
      <x:c r="G2182" t="str">
        <x:v>Priya</x:v>
      </x:c>
      <x:c r="H2182" t="str">
        <x:v>P034</x:v>
      </x:c>
      <x:c r="I2182" t="str">
        <x:v>Chilli Powder 1kg</x:v>
      </x:c>
      <x:c r="J2182" t="str">
        <x:v>Spices</x:v>
      </x:c>
      <x:c r="K2182" t="str">
        <x:v>MDH</x:v>
      </x:c>
      <x:c r="L2182" s="22" t="n">
        <x:v>340</x:v>
      </x:c>
      <x:c r="M2182" t="n">
        <x:v>35</x:v>
      </x:c>
      <x:c r="N2182" s="24" t="n">
        <x:v>0.02</x:v>
      </x:c>
      <x:c r="O2182" s="22" t="n">
        <x:f>L2182*M2182</x:f>
        <x:v>11900</x:v>
      </x:c>
      <x:c r="P2182" s="22" t="n">
        <x:f>O2182*(1-N2182)</x:f>
        <x:v>11662</x:v>
      </x:c>
      <x:c r="Q2182" s="22" t="n">
        <x:v>295</x:v>
      </x:c>
      <x:c r="R2182" s="22" t="n">
        <x:f>Q2182*M2182</x:f>
        <x:v>10325</x:v>
      </x:c>
      <x:c r="S2182" s="22" t="n">
        <x:f>P2182-R2182</x:f>
        <x:v>1337</x:v>
      </x:c>
      <x:c r="T2182" t="str">
        <x:v>Cash</x:v>
      </x:c>
      <x:c r="U2182" t="str">
        <x:v>Pending</x:v>
      </x:c>
      <x:c r="V2182" t="str">
        <x:v>Delivered</x:v>
      </x:c>
      <x:c r="W2182" t="n">
        <x:v>0</x:v>
      </x:c>
      <x:c r="X2182" t="str"/>
      <x:c r="Y2182" t="str">
        <x:v>WhatsApp</x:v>
      </x:c>
    </x:row>
    <x:row r="2183">
      <x:c r="A2183" t="str">
        <x:v>O002182</x:v>
      </x:c>
      <x:c r="B2183" s="20" t="n">
        <x:v>46225</x:v>
      </x:c>
      <x:c r="C2183" t="str">
        <x:v>C0227</x:v>
      </x:c>
      <x:c r="D2183" t="str">
        <x:v>Metro Restaurant 227</x:v>
      </x:c>
      <x:c r="E2183" t="str">
        <x:v>Restaurant</x:v>
      </x:c>
      <x:c r="F2183" t="str">
        <x:v>Davanagere</x:v>
      </x:c>
      <x:c r="G2183" t="str">
        <x:v>Kavya</x:v>
      </x:c>
      <x:c r="H2183" t="str">
        <x:v>P008</x:v>
      </x:c>
      <x:c r="I2183" t="str">
        <x:v>Palm Oil 15L</x:v>
      </x:c>
      <x:c r="J2183" t="str">
        <x:v>Edible Oil</x:v>
      </x:c>
      <x:c r="K2183" t="str">
        <x:v>Ruchi Gold</x:v>
      </x:c>
      <x:c r="L2183" s="22" t="n">
        <x:v>1760</x:v>
      </x:c>
      <x:c r="M2183" t="n">
        <x:v>4</x:v>
      </x:c>
      <x:c r="N2183" s="24" t="n">
        <x:v>0.08</x:v>
      </x:c>
      <x:c r="O2183" s="22" t="n">
        <x:f>L2183*M2183</x:f>
        <x:v>7040</x:v>
      </x:c>
      <x:c r="P2183" s="22" t="n">
        <x:f>O2183*(1-N2183)</x:f>
        <x:v>6476.8</x:v>
      </x:c>
      <x:c r="Q2183" s="22" t="n">
        <x:v>1610</x:v>
      </x:c>
      <x:c r="R2183" s="22" t="n">
        <x:f>Q2183*M2183</x:f>
        <x:v>6440</x:v>
      </x:c>
      <x:c r="S2183" s="22" t="n">
        <x:f>P2183-R2183</x:f>
        <x:v>36.80000000000018</x:v>
      </x:c>
      <x:c r="T2183" t="str">
        <x:v>Credit</x:v>
      </x:c>
      <x:c r="U2183" t="str">
        <x:v>Paid</x:v>
      </x:c>
      <x:c r="V2183" t="str">
        <x:v>Cancelled</x:v>
      </x:c>
      <x:c r="W2183" t="n">
        <x:v>4</x:v>
      </x:c>
      <x:c r="X2183" t="str">
        <x:v>Cancelled Order</x:v>
      </x:c>
      <x:c r="Y2183" t="str">
        <x:v>Existing Customer</x:v>
      </x:c>
    </x:row>
    <x:row r="2184">
      <x:c r="A2184" t="str">
        <x:v>O002183</x:v>
      </x:c>
      <x:c r="B2184" s="20" t="n">
        <x:v>46041</x:v>
      </x:c>
      <x:c r="C2184" t="str">
        <x:v>C0141</x:v>
      </x:c>
      <x:c r="D2184" t="str">
        <x:v>Sri Restaurant 141</x:v>
      </x:c>
      <x:c r="E2184" t="str">
        <x:v>Restaurant</x:v>
      </x:c>
      <x:c r="F2184" t="str">
        <x:v>Mangaluru</x:v>
      </x:c>
      <x:c r="G2184" t="str">
        <x:v>Ramesh</x:v>
      </x:c>
      <x:c r="H2184" t="str">
        <x:v>P001</x:v>
      </x:c>
      <x:c r="I2184" t="str">
        <x:v>Steam Rice 25kg</x:v>
      </x:c>
      <x:c r="J2184" t="str">
        <x:v>Staples</x:v>
      </x:c>
      <x:c r="K2184" t="str">
        <x:v>Aishwarya</x:v>
      </x:c>
      <x:c r="L2184" s="22" t="n">
        <x:v>1180</x:v>
      </x:c>
      <x:c r="M2184" t="n">
        <x:v>1</x:v>
      </x:c>
      <x:c r="N2184" s="24" t="n">
        <x:v>0.05</x:v>
      </x:c>
      <x:c r="O2184" s="22" t="n">
        <x:f>L2184*M2184</x:f>
        <x:v>1180</x:v>
      </x:c>
      <x:c r="P2184" s="22" t="n">
        <x:f>O2184*(1-N2184)</x:f>
        <x:v>1121</x:v>
      </x:c>
      <x:c r="Q2184" s="22" t="n">
        <x:v>1040</x:v>
      </x:c>
      <x:c r="R2184" s="22" t="n">
        <x:f>Q2184*M2184</x:f>
        <x:v>1040</x:v>
      </x:c>
      <x:c r="S2184" s="22" t="n">
        <x:f>P2184-R2184</x:f>
        <x:v>81</x:v>
      </x:c>
      <x:c r="T2184" t="str">
        <x:v>Bank Transfer</x:v>
      </x:c>
      <x:c r="U2184" t="str">
        <x:v>Overdue</x:v>
      </x:c>
      <x:c r="V2184" t="str">
        <x:v>Cancelled</x:v>
      </x:c>
      <x:c r="W2184" t="n">
        <x:v>1</x:v>
      </x:c>
      <x:c r="X2184" t="str">
        <x:v>Cancelled Order</x:v>
      </x:c>
      <x:c r="Y2184" t="str">
        <x:v>WhatsApp</x:v>
      </x:c>
    </x:row>
    <x:row r="2185">
      <x:c r="A2185" t="str">
        <x:v>O002184</x:v>
      </x:c>
      <x:c r="B2185" s="20" t="n">
        <x:v>45748</x:v>
      </x:c>
      <x:c r="C2185" t="str">
        <x:v>C0206</x:v>
      </x:c>
      <x:c r="D2185" t="str">
        <x:v>Grand Kitchen 206</x:v>
      </x:c>
      <x:c r="E2185" t="str">
        <x:v>Kirana</x:v>
      </x:c>
      <x:c r="F2185" t="str">
        <x:v>Mysuru</x:v>
      </x:c>
      <x:c r="G2185" t="str">
        <x:v>Arjun</x:v>
      </x:c>
      <x:c r="H2185" t="str">
        <x:v>P047</x:v>
      </x:c>
      <x:c r="I2185" t="str">
        <x:v>Tomato 25kg</x:v>
      </x:c>
      <x:c r="J2185" t="str">
        <x:v>Fresh Produce</x:v>
      </x:c>
      <x:c r="K2185" t="str">
        <x:v>Local Market</x:v>
      </x:c>
      <x:c r="L2185" s="22" t="n">
        <x:v>950</x:v>
      </x:c>
      <x:c r="M2185" t="n">
        <x:v>35</x:v>
      </x:c>
      <x:c r="N2185" s="24" t="n">
        <x:v>0.02</x:v>
      </x:c>
      <x:c r="O2185" s="22" t="n">
        <x:f>L2185*M2185</x:f>
        <x:v>33250</x:v>
      </x:c>
      <x:c r="P2185" s="22" t="n">
        <x:f>O2185*(1-N2185)</x:f>
        <x:v>32585</x:v>
      </x:c>
      <x:c r="Q2185" s="22" t="n">
        <x:v>810</x:v>
      </x:c>
      <x:c r="R2185" s="22" t="n">
        <x:f>Q2185*M2185</x:f>
        <x:v>28350</x:v>
      </x:c>
      <x:c r="S2185" s="22" t="n">
        <x:f>P2185-R2185</x:f>
        <x:v>4235</x:v>
      </x:c>
      <x:c r="T2185" t="str">
        <x:v>UPI</x:v>
      </x:c>
      <x:c r="U2185" t="str">
        <x:v>Pending</x:v>
      </x:c>
      <x:c r="V2185" t="str">
        <x:v>Delivered</x:v>
      </x:c>
      <x:c r="W2185" t="n">
        <x:v>0</x:v>
      </x:c>
      <x:c r="X2185" t="str"/>
      <x:c r="Y2185" t="str">
        <x:v>Referral</x:v>
      </x:c>
    </x:row>
    <x:row r="2186">
      <x:c r="A2186" t="str">
        <x:v>O002185</x:v>
      </x:c>
      <x:c r="B2186" s="20" t="n">
        <x:v>46158</x:v>
      </x:c>
      <x:c r="C2186" t="str">
        <x:v>C0093</x:v>
      </x:c>
      <x:c r="D2186" t="str">
        <x:v>Sagar Hotel 93</x:v>
      </x:c>
      <x:c r="E2186" t="str">
        <x:v>Hotel</x:v>
      </x:c>
      <x:c r="F2186" t="str">
        <x:v>Hubballi</x:v>
      </x:c>
      <x:c r="G2186" t="str">
        <x:v>Imran</x:v>
      </x:c>
      <x:c r="H2186" t="str">
        <x:v>P028</x:v>
      </x:c>
      <x:c r="I2186" t="str">
        <x:v>Cookies 200g</x:v>
      </x:c>
      <x:c r="J2186" t="str">
        <x:v>Snacks</x:v>
      </x:c>
      <x:c r="K2186" t="str">
        <x:v>Britannia</x:v>
      </x:c>
      <x:c r="L2186" s="22" t="n">
        <x:v>55</x:v>
      </x:c>
      <x:c r="M2186" t="n">
        <x:v>16</x:v>
      </x:c>
      <x:c r="N2186" s="24" t="n">
        <x:v>0</x:v>
      </x:c>
      <x:c r="O2186" s="22" t="n">
        <x:f>L2186*M2186</x:f>
        <x:v>880</x:v>
      </x:c>
      <x:c r="P2186" s="22" t="n">
        <x:f>O2186*(1-N2186)</x:f>
        <x:v>880</x:v>
      </x:c>
      <x:c r="Q2186" s="22" t="n">
        <x:v>42</x:v>
      </x:c>
      <x:c r="R2186" s="22" t="n">
        <x:f>Q2186*M2186</x:f>
        <x:v>672</x:v>
      </x:c>
      <x:c r="S2186" s="22" t="n">
        <x:f>P2186-R2186</x:f>
        <x:v>208</x:v>
      </x:c>
      <x:c r="T2186" t="str">
        <x:v>Bank Transfer</x:v>
      </x:c>
      <x:c r="U2186" t="str">
        <x:v>Paid</x:v>
      </x:c>
      <x:c r="V2186" t="str">
        <x:v>Delayed</x:v>
      </x:c>
      <x:c r="W2186" t="n">
        <x:v>0</x:v>
      </x:c>
      <x:c r="X2186" t="str"/>
      <x:c r="Y2186" t="str">
        <x:v>WhatsApp</x:v>
      </x:c>
    </x:row>
    <x:row r="2187">
      <x:c r="A2187" t="str">
        <x:v>O002186</x:v>
      </x:c>
      <x:c r="B2187" s="20" t="n">
        <x:v>45873</x:v>
      </x:c>
      <x:c r="C2187" t="str">
        <x:v>C0175</x:v>
      </x:c>
      <x:c r="D2187" t="str">
        <x:v>Namma Mart 175</x:v>
      </x:c>
      <x:c r="E2187" t="str">
        <x:v>Hotel</x:v>
      </x:c>
      <x:c r="F2187" t="str">
        <x:v>Davanagere</x:v>
      </x:c>
      <x:c r="G2187" t="str">
        <x:v>Sneha</x:v>
      </x:c>
      <x:c r="H2187" t="str">
        <x:v>P009</x:v>
      </x:c>
      <x:c r="I2187" t="str">
        <x:v>Groundnut Oil 5L</x:v>
      </x:c>
      <x:c r="J2187" t="str">
        <x:v>Edible Oil</x:v>
      </x:c>
      <x:c r="K2187" t="str">
        <x:v>Dhara</x:v>
      </x:c>
      <x:c r="L2187" s="22" t="n">
        <x:v>890</x:v>
      </x:c>
      <x:c r="M2187" t="n">
        <x:v>37</x:v>
      </x:c>
      <x:c r="N2187" s="24" t="n">
        <x:v>0.1</x:v>
      </x:c>
      <x:c r="O2187" s="22" t="n">
        <x:f>L2187*M2187</x:f>
        <x:v>32930</x:v>
      </x:c>
      <x:c r="P2187" s="22" t="n">
        <x:f>O2187*(1-N2187)</x:f>
        <x:v>29637</x:v>
      </x:c>
      <x:c r="Q2187" s="22" t="n">
        <x:v>810</x:v>
      </x:c>
      <x:c r="R2187" s="22" t="n">
        <x:f>Q2187*M2187</x:f>
        <x:v>29970</x:v>
      </x:c>
      <x:c r="S2187" s="22" t="n">
        <x:f>P2187-R2187</x:f>
        <x:v>-333</x:v>
      </x:c>
      <x:c r="T2187" t="str">
        <x:v>Credit</x:v>
      </x:c>
      <x:c r="U2187" t="str">
        <x:v>Paid</x:v>
      </x:c>
      <x:c r="V2187" t="str">
        <x:v>Delivered</x:v>
      </x:c>
      <x:c r="W2187" t="n">
        <x:v>0</x:v>
      </x:c>
      <x:c r="X2187" t="str"/>
      <x:c r="Y2187" t="str">
        <x:v>Existing Customer</x:v>
      </x:c>
    </x:row>
    <x:row r="2188">
      <x:c r="A2188" t="str">
        <x:v>O002187</x:v>
      </x:c>
      <x:c r="B2188" s="20" t="n">
        <x:v>45825</x:v>
      </x:c>
      <x:c r="C2188" t="str">
        <x:v>C0083</x:v>
      </x:c>
      <x:c r="D2188" t="str">
        <x:v>Sri Cafe 83</x:v>
      </x:c>
      <x:c r="E2188" t="str">
        <x:v>Hotel</x:v>
      </x:c>
      <x:c r="F2188" t="str">
        <x:v>Davanagere</x:v>
      </x:c>
      <x:c r="G2188" t="str">
        <x:v>Ramesh</x:v>
      </x:c>
      <x:c r="H2188" t="str">
        <x:v>P016</x:v>
      </x:c>
      <x:c r="I2188" t="str">
        <x:v>Curd 1kg</x:v>
      </x:c>
      <x:c r="J2188" t="str">
        <x:v>Dairy</x:v>
      </x:c>
      <x:c r="K2188" t="str">
        <x:v>Nandini</x:v>
      </x:c>
      <x:c r="L2188" s="22" t="n">
        <x:v>72</x:v>
      </x:c>
      <x:c r="M2188" t="n">
        <x:v>26</x:v>
      </x:c>
      <x:c r="N2188" s="24" t="n">
        <x:v>0.08</x:v>
      </x:c>
      <x:c r="O2188" s="22" t="n">
        <x:f>L2188*M2188</x:f>
        <x:v>1872</x:v>
      </x:c>
      <x:c r="P2188" s="22" t="n">
        <x:f>O2188*(1-N2188)</x:f>
        <x:v>1722.24</x:v>
      </x:c>
      <x:c r="Q2188" s="22" t="n">
        <x:v>64</x:v>
      </x:c>
      <x:c r="R2188" s="22" t="n">
        <x:f>Q2188*M2188</x:f>
        <x:v>1664</x:v>
      </x:c>
      <x:c r="S2188" s="22" t="n">
        <x:f>P2188-R2188</x:f>
        <x:v>58.24000000000001</x:v>
      </x:c>
      <x:c r="T2188" t="str">
        <x:v>Credit</x:v>
      </x:c>
      <x:c r="U2188" t="str">
        <x:v>Paid</x:v>
      </x:c>
      <x:c r="V2188" t="str">
        <x:v>Delayed</x:v>
      </x:c>
      <x:c r="W2188" t="n">
        <x:v>0</x:v>
      </x:c>
      <x:c r="X2188" t="str"/>
      <x:c r="Y2188" t="str">
        <x:v>Referral</x:v>
      </x:c>
    </x:row>
    <x:row r="2189">
      <x:c r="A2189" t="str">
        <x:v>O002188</x:v>
      </x:c>
      <x:c r="B2189" s="20" t="n">
        <x:v>45900</x:v>
      </x:c>
      <x:c r="C2189" t="str">
        <x:v>C0113</x:v>
      </x:c>
      <x:c r="D2189" t="str">
        <x:v>Namma Mart 113</x:v>
      </x:c>
      <x:c r="E2189" t="str">
        <x:v>Restaurant</x:v>
      </x:c>
      <x:c r="F2189" t="str">
        <x:v>Bengaluru</x:v>
      </x:c>
      <x:c r="G2189" t="str">
        <x:v>Imran</x:v>
      </x:c>
      <x:c r="H2189" t="str">
        <x:v>P031</x:v>
      </x:c>
      <x:c r="I2189" t="str">
        <x:v>Chilli Sauce 700g</x:v>
      </x:c>
      <x:c r="J2189" t="str">
        <x:v>Condiments</x:v>
      </x:c>
      <x:c r="K2189" t="str">
        <x:v>Ching's</x:v>
      </x:c>
      <x:c r="L2189" s="22" t="n">
        <x:v>130</x:v>
      </x:c>
      <x:c r="M2189" t="n">
        <x:v>40</x:v>
      </x:c>
      <x:c r="N2189" s="24" t="n">
        <x:v>0.08</x:v>
      </x:c>
      <x:c r="O2189" s="22" t="n">
        <x:f>L2189*M2189</x:f>
        <x:v>5200</x:v>
      </x:c>
      <x:c r="P2189" s="22" t="n">
        <x:f>O2189*(1-N2189)</x:f>
        <x:v>4784</x:v>
      </x:c>
      <x:c r="Q2189" s="22" t="n">
        <x:v>112</x:v>
      </x:c>
      <x:c r="R2189" s="22" t="n">
        <x:f>Q2189*M2189</x:f>
        <x:v>4480</x:v>
      </x:c>
      <x:c r="S2189" s="22" t="n">
        <x:f>P2189-R2189</x:f>
        <x:v>304</x:v>
      </x:c>
      <x:c r="T2189" t="str">
        <x:v>Bank Transfer</x:v>
      </x:c>
      <x:c r="U2189" t="str">
        <x:v>Paid</x:v>
      </x:c>
      <x:c r="V2189" t="str">
        <x:v>Delayed</x:v>
      </x:c>
      <x:c r="W2189" t="n">
        <x:v>0</x:v>
      </x:c>
      <x:c r="X2189" t="str"/>
      <x:c r="Y2189" t="str">
        <x:v>Field Visit</x:v>
      </x:c>
    </x:row>
    <x:row r="2190">
      <x:c r="A2190" t="str">
        <x:v>O002189</x:v>
      </x:c>
      <x:c r="B2190" s="20" t="n">
        <x:v>45902</x:v>
      </x:c>
      <x:c r="C2190" t="str">
        <x:v>C0012</x:v>
      </x:c>
      <x:c r="D2190" t="str">
        <x:v>Sagar Canteen 12</x:v>
      </x:c>
      <x:c r="E2190" t="str">
        <x:v>Supermarket</x:v>
      </x:c>
      <x:c r="F2190" t="str">
        <x:v>Mysuru</x:v>
      </x:c>
      <x:c r="G2190" t="str">
        <x:v>Priya</x:v>
      </x:c>
      <x:c r="H2190" t="str">
        <x:v>P009</x:v>
      </x:c>
      <x:c r="I2190" t="str">
        <x:v>Groundnut Oil 5L</x:v>
      </x:c>
      <x:c r="J2190" t="str">
        <x:v>Edible Oil</x:v>
      </x:c>
      <x:c r="K2190" t="str">
        <x:v>Dhara</x:v>
      </x:c>
      <x:c r="L2190" s="22" t="n">
        <x:v>890</x:v>
      </x:c>
      <x:c r="M2190" t="n">
        <x:v>12</x:v>
      </x:c>
      <x:c r="N2190" s="24" t="n">
        <x:v>0</x:v>
      </x:c>
      <x:c r="O2190" s="22" t="n">
        <x:f>L2190*M2190</x:f>
        <x:v>10680</x:v>
      </x:c>
      <x:c r="P2190" s="22" t="n">
        <x:f>O2190*(1-N2190)</x:f>
        <x:v>10680</x:v>
      </x:c>
      <x:c r="Q2190" s="22" t="n">
        <x:v>810</x:v>
      </x:c>
      <x:c r="R2190" s="22" t="n">
        <x:f>Q2190*M2190</x:f>
        <x:v>9720</x:v>
      </x:c>
      <x:c r="S2190" s="22" t="n">
        <x:f>P2190-R2190</x:f>
        <x:v>960</x:v>
      </x:c>
      <x:c r="T2190" t="str">
        <x:v>UPI</x:v>
      </x:c>
      <x:c r="U2190" t="str">
        <x:v>Paid</x:v>
      </x:c>
      <x:c r="V2190" t="str">
        <x:v>Delivered</x:v>
      </x:c>
      <x:c r="W2190" t="n">
        <x:v>2</x:v>
      </x:c>
      <x:c r="X2190" t="str">
        <x:v>Wrong Item</x:v>
      </x:c>
      <x:c r="Y2190" t="str">
        <x:v>Referral</x:v>
      </x:c>
    </x:row>
    <x:row r="2191">
      <x:c r="A2191" t="str">
        <x:v>O002190</x:v>
      </x:c>
      <x:c r="B2191" s="20" t="n">
        <x:v>45875</x:v>
      </x:c>
      <x:c r="C2191" t="str">
        <x:v>C0076</x:v>
      </x:c>
      <x:c r="D2191" t="str">
        <x:v>Sri Canteen 76</x:v>
      </x:c>
      <x:c r="E2191" t="str">
        <x:v>Canteen</x:v>
      </x:c>
      <x:c r="F2191" t="str">
        <x:v>Tumakuru</x:v>
      </x:c>
      <x:c r="G2191" t="str">
        <x:v>Priya</x:v>
      </x:c>
      <x:c r="H2191" t="str">
        <x:v>P009</x:v>
      </x:c>
      <x:c r="I2191" t="str">
        <x:v>Groundnut Oil 5L</x:v>
      </x:c>
      <x:c r="J2191" t="str">
        <x:v>Edible Oil</x:v>
      </x:c>
      <x:c r="K2191" t="str">
        <x:v>Dhara</x:v>
      </x:c>
      <x:c r="L2191" s="22" t="n">
        <x:v>890</x:v>
      </x:c>
      <x:c r="M2191" t="n">
        <x:v>20</x:v>
      </x:c>
      <x:c r="N2191" s="24" t="n">
        <x:v>0.03</x:v>
      </x:c>
      <x:c r="O2191" s="22" t="n">
        <x:f>L2191*M2191</x:f>
        <x:v>17800</x:v>
      </x:c>
      <x:c r="P2191" s="22" t="n">
        <x:f>O2191*(1-N2191)</x:f>
        <x:v>17266</x:v>
      </x:c>
      <x:c r="Q2191" s="22" t="n">
        <x:v>810</x:v>
      </x:c>
      <x:c r="R2191" s="22" t="n">
        <x:f>Q2191*M2191</x:f>
        <x:v>16200</x:v>
      </x:c>
      <x:c r="S2191" s="22" t="n">
        <x:f>P2191-R2191</x:f>
        <x:v>1066</x:v>
      </x:c>
      <x:c r="T2191" t="str">
        <x:v>UPI</x:v>
      </x:c>
      <x:c r="U2191" t="str">
        <x:v>Paid</x:v>
      </x:c>
      <x:c r="V2191" t="str">
        <x:v>Delayed</x:v>
      </x:c>
      <x:c r="W2191" t="n">
        <x:v>0</x:v>
      </x:c>
      <x:c r="X2191" t="str"/>
      <x:c r="Y2191" t="str">
        <x:v>Referral</x:v>
      </x:c>
    </x:row>
    <x:row r="2192">
      <x:c r="A2192" t="str">
        <x:v>O002191</x:v>
      </x:c>
      <x:c r="B2192" s="20" t="n">
        <x:v>46152</x:v>
      </x:c>
      <x:c r="C2192" t="str">
        <x:v>C0003</x:v>
      </x:c>
      <x:c r="D2192" t="str">
        <x:v>Grand Foods 3</x:v>
      </x:c>
      <x:c r="E2192" t="str">
        <x:v>Restaurant</x:v>
      </x:c>
      <x:c r="F2192" t="str">
        <x:v>Bengaluru</x:v>
      </x:c>
      <x:c r="G2192" t="str">
        <x:v>Vikram</x:v>
      </x:c>
      <x:c r="H2192" t="str">
        <x:v>P044</x:v>
      </x:c>
      <x:c r="I2192" t="str">
        <x:v>Chicken Curry Cut 1kg</x:v>
      </x:c>
      <x:c r="J2192" t="str">
        <x:v>Protein</x:v>
      </x:c>
      <x:c r="K2192" t="str">
        <x:v>FreshToHome</x:v>
      </x:c>
      <x:c r="L2192" s="22" t="n">
        <x:v>230</x:v>
      </x:c>
      <x:c r="M2192" t="n">
        <x:v>22</x:v>
      </x:c>
      <x:c r="N2192" s="24" t="n">
        <x:v>0.05</x:v>
      </x:c>
      <x:c r="O2192" s="22" t="n">
        <x:f>L2192*M2192</x:f>
        <x:v>5060</x:v>
      </x:c>
      <x:c r="P2192" s="22" t="n">
        <x:f>O2192*(1-N2192)</x:f>
        <x:v>4807</x:v>
      </x:c>
      <x:c r="Q2192" s="22" t="n">
        <x:v>205</x:v>
      </x:c>
      <x:c r="R2192" s="22" t="n">
        <x:f>Q2192*M2192</x:f>
        <x:v>4510</x:v>
      </x:c>
      <x:c r="S2192" s="22" t="n">
        <x:f>P2192-R2192</x:f>
        <x:v>297</x:v>
      </x:c>
      <x:c r="T2192" t="str">
        <x:v>UPI</x:v>
      </x:c>
      <x:c r="U2192" t="str">
        <x:v>Paid</x:v>
      </x:c>
      <x:c r="V2192" t="str">
        <x:v>Delivered</x:v>
      </x:c>
      <x:c r="W2192" t="n">
        <x:v>0</x:v>
      </x:c>
      <x:c r="X2192" t="str"/>
      <x:c r="Y2192" t="str">
        <x:v>Referral</x:v>
      </x:c>
    </x:row>
    <x:row r="2193">
      <x:c r="A2193" t="str">
        <x:v>O002192</x:v>
      </x:c>
      <x:c r="B2193" s="20" t="n">
        <x:v>45989</x:v>
      </x:c>
      <x:c r="C2193" t="str">
        <x:v>C0015</x:v>
      </x:c>
      <x:c r="D2193" t="str">
        <x:v>Royal Foods 15</x:v>
      </x:c>
      <x:c r="E2193" t="str">
        <x:v>Cafe</x:v>
      </x:c>
      <x:c r="F2193" t="str">
        <x:v>Mysuru</x:v>
      </x:c>
      <x:c r="G2193" t="str">
        <x:v>Ramesh</x:v>
      </x:c>
      <x:c r="H2193" t="str">
        <x:v>P029</x:v>
      </x:c>
      <x:c r="I2193" t="str">
        <x:v>Tomato Ketchup 1kg</x:v>
      </x:c>
      <x:c r="J2193" t="str">
        <x:v>Condiments</x:v>
      </x:c>
      <x:c r="K2193" t="str">
        <x:v>Kissan</x:v>
      </x:c>
      <x:c r="L2193" s="22" t="n">
        <x:v>145</x:v>
      </x:c>
      <x:c r="M2193" t="n">
        <x:v>28</x:v>
      </x:c>
      <x:c r="N2193" s="24" t="n">
        <x:v>0.03</x:v>
      </x:c>
      <x:c r="O2193" s="22" t="n">
        <x:f>L2193*M2193</x:f>
        <x:v>4060</x:v>
      </x:c>
      <x:c r="P2193" s="22" t="n">
        <x:f>O2193*(1-N2193)</x:f>
        <x:v>3938.2</x:v>
      </x:c>
      <x:c r="Q2193" s="22" t="n">
        <x:v>126</x:v>
      </x:c>
      <x:c r="R2193" s="22" t="n">
        <x:f>Q2193*M2193</x:f>
        <x:v>3528</x:v>
      </x:c>
      <x:c r="S2193" s="22" t="n">
        <x:f>P2193-R2193</x:f>
        <x:v>410.1999999999998</x:v>
      </x:c>
      <x:c r="T2193" t="str">
        <x:v>UPI</x:v>
      </x:c>
      <x:c r="U2193" t="str">
        <x:v>Paid</x:v>
      </x:c>
      <x:c r="V2193" t="str">
        <x:v>Delivered</x:v>
      </x:c>
      <x:c r="W2193" t="n">
        <x:v>0</x:v>
      </x:c>
      <x:c r="X2193" t="str"/>
      <x:c r="Y2193" t="str">
        <x:v>Outbound Call</x:v>
      </x:c>
    </x:row>
    <x:row r="2194">
      <x:c r="A2194" t="str">
        <x:v>O002193</x:v>
      </x:c>
      <x:c r="B2194" s="20" t="n">
        <x:v>45909</x:v>
      </x:c>
      <x:c r="C2194" t="str">
        <x:v>C0101</x:v>
      </x:c>
      <x:c r="D2194" t="str">
        <x:v>Namma Cafe 101</x:v>
      </x:c>
      <x:c r="E2194" t="str">
        <x:v>Supermarket</x:v>
      </x:c>
      <x:c r="F2194" t="str">
        <x:v>Bengaluru</x:v>
      </x:c>
      <x:c r="G2194" t="str">
        <x:v>Arjun</x:v>
      </x:c>
      <x:c r="H2194" t="str">
        <x:v>P019</x:v>
      </x:c>
      <x:c r="I2194" t="str">
        <x:v>Tea 1kg</x:v>
      </x:c>
      <x:c r="J2194" t="str">
        <x:v>Beverage</x:v>
      </x:c>
      <x:c r="K2194" t="str">
        <x:v>Red Label</x:v>
      </x:c>
      <x:c r="L2194" s="22" t="n">
        <x:v>540</x:v>
      </x:c>
      <x:c r="M2194" t="n">
        <x:v>14</x:v>
      </x:c>
      <x:c r="N2194" s="24" t="n">
        <x:v>0.05</x:v>
      </x:c>
      <x:c r="O2194" s="22" t="n">
        <x:f>L2194*M2194</x:f>
        <x:v>7560</x:v>
      </x:c>
      <x:c r="P2194" s="22" t="n">
        <x:f>O2194*(1-N2194)</x:f>
        <x:v>7182</x:v>
      </x:c>
      <x:c r="Q2194" s="22" t="n">
        <x:v>485</x:v>
      </x:c>
      <x:c r="R2194" s="22" t="n">
        <x:f>Q2194*M2194</x:f>
        <x:v>6790</x:v>
      </x:c>
      <x:c r="S2194" s="22" t="n">
        <x:f>P2194-R2194</x:f>
        <x:v>392</x:v>
      </x:c>
      <x:c r="T2194" t="str">
        <x:v>Bank Transfer</x:v>
      </x:c>
      <x:c r="U2194" t="str">
        <x:v>Pending</x:v>
      </x:c>
      <x:c r="V2194" t="str">
        <x:v>Delivered</x:v>
      </x:c>
      <x:c r="W2194" t="n">
        <x:v>0</x:v>
      </x:c>
      <x:c r="X2194" t="str"/>
      <x:c r="Y2194" t="str">
        <x:v>Referral</x:v>
      </x:c>
    </x:row>
    <x:row r="2195">
      <x:c r="A2195" t="str">
        <x:v>O002194</x:v>
      </x:c>
      <x:c r="B2195" s="20" t="n">
        <x:v>46136</x:v>
      </x:c>
      <x:c r="C2195" t="str">
        <x:v>C0127</x:v>
      </x:c>
      <x:c r="D2195" t="str">
        <x:v>Grand Mart 127</x:v>
      </x:c>
      <x:c r="E2195" t="str">
        <x:v>Canteen</x:v>
      </x:c>
      <x:c r="F2195" t="str">
        <x:v>Hubballi</x:v>
      </x:c>
      <x:c r="G2195" t="str">
        <x:v>Imran</x:v>
      </x:c>
      <x:c r="H2195" t="str">
        <x:v>P029</x:v>
      </x:c>
      <x:c r="I2195" t="str">
        <x:v>Tomato Ketchup 1kg</x:v>
      </x:c>
      <x:c r="J2195" t="str">
        <x:v>Condiments</x:v>
      </x:c>
      <x:c r="K2195" t="str">
        <x:v>Kissan</x:v>
      </x:c>
      <x:c r="L2195" s="22" t="n">
        <x:v>145</x:v>
      </x:c>
      <x:c r="M2195" t="n">
        <x:v>30</x:v>
      </x:c>
      <x:c r="N2195" s="24" t="n">
        <x:v>0</x:v>
      </x:c>
      <x:c r="O2195" s="22" t="n">
        <x:f>L2195*M2195</x:f>
        <x:v>4350</x:v>
      </x:c>
      <x:c r="P2195" s="22" t="n">
        <x:f>O2195*(1-N2195)</x:f>
        <x:v>4350</x:v>
      </x:c>
      <x:c r="Q2195" s="22" t="n">
        <x:v>126</x:v>
      </x:c>
      <x:c r="R2195" s="22" t="n">
        <x:f>Q2195*M2195</x:f>
        <x:v>3780</x:v>
      </x:c>
      <x:c r="S2195" s="22" t="n">
        <x:f>P2195-R2195</x:f>
        <x:v>570</x:v>
      </x:c>
      <x:c r="T2195" t="str">
        <x:v>UPI</x:v>
      </x:c>
      <x:c r="U2195" t="str">
        <x:v>Paid</x:v>
      </x:c>
      <x:c r="V2195" t="str">
        <x:v>Cancelled</x:v>
      </x:c>
      <x:c r="W2195" t="n">
        <x:v>30</x:v>
      </x:c>
      <x:c r="X2195" t="str">
        <x:v>Cancelled Order</x:v>
      </x:c>
      <x:c r="Y2195" t="str">
        <x:v>Existing Customer</x:v>
      </x:c>
    </x:row>
    <x:row r="2196">
      <x:c r="A2196" t="str">
        <x:v>O002195</x:v>
      </x:c>
      <x:c r="B2196" s="20" t="n">
        <x:v>46069</x:v>
      </x:c>
      <x:c r="C2196" t="str">
        <x:v>C0009</x:v>
      </x:c>
      <x:c r="D2196" t="str">
        <x:v>Darshini Hotel 9</x:v>
      </x:c>
      <x:c r="E2196" t="str">
        <x:v>Cafe</x:v>
      </x:c>
      <x:c r="F2196" t="str">
        <x:v>Hubballi</x:v>
      </x:c>
      <x:c r="G2196" t="str">
        <x:v>Imran</x:v>
      </x:c>
      <x:c r="H2196" t="str">
        <x:v>P026</x:v>
      </x:c>
      <x:c r="I2196" t="str">
        <x:v>Banana Chips 80g</x:v>
      </x:c>
      <x:c r="J2196" t="str">
        <x:v>Snacks</x:v>
      </x:c>
      <x:c r="K2196" t="str">
        <x:v>SSS</x:v>
      </x:c>
      <x:c r="L2196" s="22" t="n">
        <x:v>54</x:v>
      </x:c>
      <x:c r="M2196" t="n">
        <x:v>20</x:v>
      </x:c>
      <x:c r="N2196" s="24" t="n">
        <x:v>0.05</x:v>
      </x:c>
      <x:c r="O2196" s="22" t="n">
        <x:f>L2196*M2196</x:f>
        <x:v>1080</x:v>
      </x:c>
      <x:c r="P2196" s="22" t="n">
        <x:f>O2196*(1-N2196)</x:f>
        <x:v>1026</x:v>
      </x:c>
      <x:c r="Q2196" s="22" t="n">
        <x:v>39</x:v>
      </x:c>
      <x:c r="R2196" s="22" t="n">
        <x:f>Q2196*M2196</x:f>
        <x:v>780</x:v>
      </x:c>
      <x:c r="S2196" s="22" t="n">
        <x:f>P2196-R2196</x:f>
        <x:v>246</x:v>
      </x:c>
      <x:c r="T2196" t="str">
        <x:v>UPI</x:v>
      </x:c>
      <x:c r="U2196" t="str">
        <x:v>Overdue</x:v>
      </x:c>
      <x:c r="V2196" t="str">
        <x:v>Delivered</x:v>
      </x:c>
      <x:c r="W2196" t="n">
        <x:v>3</x:v>
      </x:c>
      <x:c r="X2196" t="str">
        <x:v>Damaged</x:v>
      </x:c>
      <x:c r="Y2196" t="str">
        <x:v>Referral</x:v>
      </x:c>
    </x:row>
    <x:row r="2197">
      <x:c r="A2197" t="str">
        <x:v>O002196</x:v>
      </x:c>
      <x:c r="B2197" s="20" t="n">
        <x:v>45978</x:v>
      </x:c>
      <x:c r="C2197" t="str">
        <x:v>C0009</x:v>
      </x:c>
      <x:c r="D2197" t="str">
        <x:v>Darshini Hotel 9</x:v>
      </x:c>
      <x:c r="E2197" t="str">
        <x:v>Cafe</x:v>
      </x:c>
      <x:c r="F2197" t="str">
        <x:v>Hubballi</x:v>
      </x:c>
      <x:c r="G2197" t="str">
        <x:v>Imran</x:v>
      </x:c>
      <x:c r="H2197" t="str">
        <x:v>P022</x:v>
      </x:c>
      <x:c r="I2197" t="str">
        <x:v>Mineral Water 1L</x:v>
      </x:c>
      <x:c r="J2197" t="str">
        <x:v>Beverage</x:v>
      </x:c>
      <x:c r="K2197" t="str">
        <x:v>Bisleri</x:v>
      </x:c>
      <x:c r="L2197" s="22" t="n">
        <x:v>19</x:v>
      </x:c>
      <x:c r="M2197" t="n">
        <x:v>11</x:v>
      </x:c>
      <x:c r="N2197" s="24" t="n">
        <x:v>0.05</x:v>
      </x:c>
      <x:c r="O2197" s="22" t="n">
        <x:f>L2197*M2197</x:f>
        <x:v>209</x:v>
      </x:c>
      <x:c r="P2197" s="22" t="n">
        <x:f>O2197*(1-N2197)</x:f>
        <x:v>198.54999999999998</x:v>
      </x:c>
      <x:c r="Q2197" s="22" t="n">
        <x:v>15</x:v>
      </x:c>
      <x:c r="R2197" s="22" t="n">
        <x:f>Q2197*M2197</x:f>
        <x:v>165</x:v>
      </x:c>
      <x:c r="S2197" s="22" t="n">
        <x:f>P2197-R2197</x:f>
        <x:v>33.54999999999998</x:v>
      </x:c>
      <x:c r="T2197" t="str">
        <x:v>Cash</x:v>
      </x:c>
      <x:c r="U2197" t="str">
        <x:v>Paid</x:v>
      </x:c>
      <x:c r="V2197" t="str">
        <x:v>Delivered</x:v>
      </x:c>
      <x:c r="W2197" t="n">
        <x:v>0</x:v>
      </x:c>
      <x:c r="X2197" t="str"/>
      <x:c r="Y2197" t="str">
        <x:v>Outbound Call</x:v>
      </x:c>
    </x:row>
    <x:row r="2198">
      <x:c r="A2198" t="str">
        <x:v>O002197</x:v>
      </x:c>
      <x:c r="B2198" s="20" t="n">
        <x:v>45962</x:v>
      </x:c>
      <x:c r="C2198" t="str">
        <x:v>C0203</x:v>
      </x:c>
      <x:c r="D2198" t="str">
        <x:v>Namma Mart 203</x:v>
      </x:c>
      <x:c r="E2198" t="str">
        <x:v>Kirana</x:v>
      </x:c>
      <x:c r="F2198" t="str">
        <x:v>Tumakuru</x:v>
      </x:c>
      <x:c r="G2198" t="str">
        <x:v>Priya</x:v>
      </x:c>
      <x:c r="H2198" t="str">
        <x:v>P046</x:v>
      </x:c>
      <x:c r="I2198" t="str">
        <x:v>Potato 25kg</x:v>
      </x:c>
      <x:c r="J2198" t="str">
        <x:v>Fresh Produce</x:v>
      </x:c>
      <x:c r="K2198" t="str">
        <x:v>Local Market</x:v>
      </x:c>
      <x:c r="L2198" s="22" t="n">
        <x:v>700</x:v>
      </x:c>
      <x:c r="M2198" t="n">
        <x:v>4</x:v>
      </x:c>
      <x:c r="N2198" s="24" t="n">
        <x:v>0</x:v>
      </x:c>
      <x:c r="O2198" s="22" t="n">
        <x:f>L2198*M2198</x:f>
        <x:v>2800</x:v>
      </x:c>
      <x:c r="P2198" s="22" t="n">
        <x:f>O2198*(1-N2198)</x:f>
        <x:v>2800</x:v>
      </x:c>
      <x:c r="Q2198" s="22" t="n">
        <x:v>610</x:v>
      </x:c>
      <x:c r="R2198" s="22" t="n">
        <x:f>Q2198*M2198</x:f>
        <x:v>2440</x:v>
      </x:c>
      <x:c r="S2198" s="22" t="n">
        <x:f>P2198-R2198</x:f>
        <x:v>360</x:v>
      </x:c>
      <x:c r="T2198" t="str">
        <x:v>Credit</x:v>
      </x:c>
      <x:c r="U2198" t="str">
        <x:v>Paid</x:v>
      </x:c>
      <x:c r="V2198" t="str">
        <x:v>Cancelled</x:v>
      </x:c>
      <x:c r="W2198" t="n">
        <x:v>4</x:v>
      </x:c>
      <x:c r="X2198" t="str">
        <x:v>Cancelled Order</x:v>
      </x:c>
      <x:c r="Y2198" t="str">
        <x:v>WhatsApp</x:v>
      </x:c>
    </x:row>
    <x:row r="2199">
      <x:c r="A2199" t="str">
        <x:v>O002198</x:v>
      </x:c>
      <x:c r="B2199" s="20" t="n">
        <x:v>46176</x:v>
      </x:c>
      <x:c r="C2199" t="str">
        <x:v>C0195</x:v>
      </x:c>
      <x:c r="D2199" t="str">
        <x:v>Classic Stores 195</x:v>
      </x:c>
      <x:c r="E2199" t="str">
        <x:v>Canteen</x:v>
      </x:c>
      <x:c r="F2199" t="str">
        <x:v>Davanagere</x:v>
      </x:c>
      <x:c r="G2199" t="str">
        <x:v>Kavya</x:v>
      </x:c>
      <x:c r="H2199" t="str">
        <x:v>P024</x:v>
      </x:c>
      <x:c r="I2199" t="str">
        <x:v>Orange Drink 1L</x:v>
      </x:c>
      <x:c r="J2199" t="str">
        <x:v>Beverage</x:v>
      </x:c>
      <x:c r="K2199" t="str">
        <x:v>Minute Maid</x:v>
      </x:c>
      <x:c r="L2199" s="22" t="n">
        <x:v>105</x:v>
      </x:c>
      <x:c r="M2199" t="n">
        <x:v>11</x:v>
      </x:c>
      <x:c r="N2199" s="24" t="n">
        <x:v>0.03</x:v>
      </x:c>
      <x:c r="O2199" s="22" t="n">
        <x:f>L2199*M2199</x:f>
        <x:v>1155</x:v>
      </x:c>
      <x:c r="P2199" s="22" t="n">
        <x:f>O2199*(1-N2199)</x:f>
        <x:v>1120.35</x:v>
      </x:c>
      <x:c r="Q2199" s="22" t="n">
        <x:v>88</x:v>
      </x:c>
      <x:c r="R2199" s="22" t="n">
        <x:f>Q2199*M2199</x:f>
        <x:v>968</x:v>
      </x:c>
      <x:c r="S2199" s="22" t="n">
        <x:f>P2199-R2199</x:f>
        <x:v>152.3499999999999</x:v>
      </x:c>
      <x:c r="T2199" t="str">
        <x:v>Credit</x:v>
      </x:c>
      <x:c r="U2199" t="str">
        <x:v>Paid</x:v>
      </x:c>
      <x:c r="V2199" t="str">
        <x:v>Delayed</x:v>
      </x:c>
      <x:c r="W2199" t="n">
        <x:v>0</x:v>
      </x:c>
      <x:c r="X2199" t="str"/>
      <x:c r="Y2199" t="str">
        <x:v>Outbound Call</x:v>
      </x:c>
    </x:row>
    <x:row r="2200">
      <x:c r="A2200" t="str">
        <x:v>O002199</x:v>
      </x:c>
      <x:c r="B2200" s="20" t="n">
        <x:v>45672</x:v>
      </x:c>
      <x:c r="C2200" t="str">
        <x:v>C0111</x:v>
      </x:c>
      <x:c r="D2200" t="str">
        <x:v>Metro Kitchen 111</x:v>
      </x:c>
      <x:c r="E2200" t="str">
        <x:v>Restaurant</x:v>
      </x:c>
      <x:c r="F2200" t="str">
        <x:v>Davanagere</x:v>
      </x:c>
      <x:c r="G2200" t="str">
        <x:v>Sneha</x:v>
      </x:c>
      <x:c r="H2200" t="str">
        <x:v>P011</x:v>
      </x:c>
      <x:c r="I2200" t="str">
        <x:v>Salt 1kg</x:v>
      </x:c>
      <x:c r="J2200" t="str">
        <x:v>Staples</x:v>
      </x:c>
      <x:c r="K2200" t="str">
        <x:v>Tata</x:v>
      </x:c>
      <x:c r="L2200" s="22" t="n">
        <x:v>28</x:v>
      </x:c>
      <x:c r="M2200" t="n">
        <x:v>3</x:v>
      </x:c>
      <x:c r="N2200" s="24" t="n">
        <x:v>0</x:v>
      </x:c>
      <x:c r="O2200" s="22" t="n">
        <x:f>L2200*M2200</x:f>
        <x:v>84</x:v>
      </x:c>
      <x:c r="P2200" s="22" t="n">
        <x:f>O2200*(1-N2200)</x:f>
        <x:v>84</x:v>
      </x:c>
      <x:c r="Q2200" s="22" t="n">
        <x:v>23</x:v>
      </x:c>
      <x:c r="R2200" s="22" t="n">
        <x:f>Q2200*M2200</x:f>
        <x:v>69</x:v>
      </x:c>
      <x:c r="S2200" s="22" t="n">
        <x:f>P2200-R2200</x:f>
        <x:v>15</x:v>
      </x:c>
      <x:c r="T2200" t="str">
        <x:v>Credit</x:v>
      </x:c>
      <x:c r="U2200" t="str">
        <x:v>Paid</x:v>
      </x:c>
      <x:c r="V2200" t="str">
        <x:v>Delayed</x:v>
      </x:c>
      <x:c r="W2200" t="n">
        <x:v>0</x:v>
      </x:c>
      <x:c r="X2200" t="str"/>
      <x:c r="Y2200" t="str">
        <x:v>Field Visit</x:v>
      </x:c>
    </x:row>
    <x:row r="2201">
      <x:c r="A2201" t="str">
        <x:v>O002200</x:v>
      </x:c>
      <x:c r="B2201" s="20" t="n">
        <x:v>45926</x:v>
      </x:c>
      <x:c r="C2201" t="str">
        <x:v>C0204</x:v>
      </x:c>
      <x:c r="D2201" t="str">
        <x:v>Udupi Stores 204</x:v>
      </x:c>
      <x:c r="E2201" t="str">
        <x:v>Kirana</x:v>
      </x:c>
      <x:c r="F2201" t="str">
        <x:v>Bengaluru</x:v>
      </x:c>
      <x:c r="G2201" t="str">
        <x:v>Vikram</x:v>
      </x:c>
      <x:c r="H2201" t="str">
        <x:v>P026</x:v>
      </x:c>
      <x:c r="I2201" t="str">
        <x:v>Banana Chips 80g</x:v>
      </x:c>
      <x:c r="J2201" t="str">
        <x:v>Snacks</x:v>
      </x:c>
      <x:c r="K2201" t="str">
        <x:v>SSS</x:v>
      </x:c>
      <x:c r="L2201" s="22" t="n">
        <x:v>54</x:v>
      </x:c>
      <x:c r="M2201" t="n">
        <x:v>27</x:v>
      </x:c>
      <x:c r="N2201" s="24" t="n">
        <x:v>0.05</x:v>
      </x:c>
      <x:c r="O2201" s="22" t="n">
        <x:f>L2201*M2201</x:f>
        <x:v>1458</x:v>
      </x:c>
      <x:c r="P2201" s="22" t="n">
        <x:f>O2201*(1-N2201)</x:f>
        <x:v>1385.1</x:v>
      </x:c>
      <x:c r="Q2201" s="22" t="n">
        <x:v>39</x:v>
      </x:c>
      <x:c r="R2201" s="22" t="n">
        <x:f>Q2201*M2201</x:f>
        <x:v>1053</x:v>
      </x:c>
      <x:c r="S2201" s="22" t="n">
        <x:f>P2201-R2201</x:f>
        <x:v>332.0999999999999</x:v>
      </x:c>
      <x:c r="T2201" t="str">
        <x:v>Cash</x:v>
      </x:c>
      <x:c r="U2201" t="str">
        <x:v>Paid</x:v>
      </x:c>
      <x:c r="V2201" t="str">
        <x:v>Delivered</x:v>
      </x:c>
      <x:c r="W2201" t="n">
        <x:v>0</x:v>
      </x:c>
      <x:c r="X2201" t="str"/>
      <x:c r="Y2201" t="str">
        <x:v>WhatsApp</x:v>
      </x:c>
    </x:row>
    <x:row r="2202">
      <x:c r="A2202" t="str">
        <x:v>O002201</x:v>
      </x:c>
      <x:c r="B2202" s="20" t="n">
        <x:v>46193</x:v>
      </x:c>
      <x:c r="C2202" t="str">
        <x:v>C0054</x:v>
      </x:c>
      <x:c r="D2202" t="str">
        <x:v>Cafe Cafe 54</x:v>
      </x:c>
      <x:c r="E2202" t="str">
        <x:v>Restaurant</x:v>
      </x:c>
      <x:c r="F2202" t="str">
        <x:v>Hubballi</x:v>
      </x:c>
      <x:c r="G2202" t="str">
        <x:v>Vikram</x:v>
      </x:c>
      <x:c r="H2202" t="str">
        <x:v>P007</x:v>
      </x:c>
      <x:c r="I2202" t="str">
        <x:v>Sunflower Oil 15L</x:v>
      </x:c>
      <x:c r="J2202" t="str">
        <x:v>Edible Oil</x:v>
      </x:c>
      <x:c r="K2202" t="str">
        <x:v>Fortune</x:v>
      </x:c>
      <x:c r="L2202" s="22" t="n">
        <x:v>1980</x:v>
      </x:c>
      <x:c r="M2202" t="n">
        <x:v>10</x:v>
      </x:c>
      <x:c r="N2202" s="24" t="n">
        <x:v>0.05</x:v>
      </x:c>
      <x:c r="O2202" s="22" t="n">
        <x:f>L2202*M2202</x:f>
        <x:v>19800</x:v>
      </x:c>
      <x:c r="P2202" s="22" t="n">
        <x:f>O2202*(1-N2202)</x:f>
        <x:v>18810</x:v>
      </x:c>
      <x:c r="Q2202" s="22" t="n">
        <x:v>1810</x:v>
      </x:c>
      <x:c r="R2202" s="22" t="n">
        <x:f>Q2202*M2202</x:f>
        <x:v>18100</x:v>
      </x:c>
      <x:c r="S2202" s="22" t="n">
        <x:f>P2202-R2202</x:f>
        <x:v>710</x:v>
      </x:c>
      <x:c r="T2202" t="str">
        <x:v>Credit</x:v>
      </x:c>
      <x:c r="U2202" t="str">
        <x:v>Pending</x:v>
      </x:c>
      <x:c r="V2202" t="str">
        <x:v>Delayed</x:v>
      </x:c>
      <x:c r="W2202" t="n">
        <x:v>0</x:v>
      </x:c>
      <x:c r="X2202" t="str"/>
      <x:c r="Y2202" t="str">
        <x:v>Field Visit</x:v>
      </x:c>
    </x:row>
    <x:row r="2203">
      <x:c r="A2203" t="str">
        <x:v>O002202</x:v>
      </x:c>
      <x:c r="B2203" s="20" t="n">
        <x:v>45921</x:v>
      </x:c>
      <x:c r="C2203" t="str">
        <x:v>C0154</x:v>
      </x:c>
      <x:c r="D2203" t="str">
        <x:v>Royal Restaurant 154</x:v>
      </x:c>
      <x:c r="E2203" t="str">
        <x:v>Restaurant</x:v>
      </x:c>
      <x:c r="F2203" t="str">
        <x:v>Tumakuru</x:v>
      </x:c>
      <x:c r="G2203" t="str">
        <x:v>Kavya</x:v>
      </x:c>
      <x:c r="H2203" t="str">
        <x:v>P005</x:v>
      </x:c>
      <x:c r="I2203" t="str">
        <x:v>Chana Dal 5kg</x:v>
      </x:c>
      <x:c r="J2203" t="str">
        <x:v>Pulses</x:v>
      </x:c>
      <x:c r="K2203" t="str">
        <x:v>Local Select</x:v>
      </x:c>
      <x:c r="L2203" s="22" t="n">
        <x:v>520</x:v>
      </x:c>
      <x:c r="M2203" t="n">
        <x:v>39</x:v>
      </x:c>
      <x:c r="N2203" s="24" t="n">
        <x:v>0.08</x:v>
      </x:c>
      <x:c r="O2203" s="22" t="n">
        <x:f>L2203*M2203</x:f>
        <x:v>20280</x:v>
      </x:c>
      <x:c r="P2203" s="22" t="n">
        <x:f>O2203*(1-N2203)</x:f>
        <x:v>18657.600000000002</x:v>
      </x:c>
      <x:c r="Q2203" s="22" t="n">
        <x:v>455</x:v>
      </x:c>
      <x:c r="R2203" s="22" t="n">
        <x:f>Q2203*M2203</x:f>
        <x:v>17745</x:v>
      </x:c>
      <x:c r="S2203" s="22" t="n">
        <x:f>P2203-R2203</x:f>
        <x:v>912.6000000000022</x:v>
      </x:c>
      <x:c r="T2203" t="str">
        <x:v>Credit</x:v>
      </x:c>
      <x:c r="U2203" t="str">
        <x:v>Paid</x:v>
      </x:c>
      <x:c r="V2203" t="str">
        <x:v>Cancelled</x:v>
      </x:c>
      <x:c r="W2203" t="n">
        <x:v>39</x:v>
      </x:c>
      <x:c r="X2203" t="str">
        <x:v>Cancelled Order</x:v>
      </x:c>
      <x:c r="Y2203" t="str">
        <x:v>Existing Customer</x:v>
      </x:c>
    </x:row>
    <x:row r="2204">
      <x:c r="A2204" t="str">
        <x:v>O002203</x:v>
      </x:c>
      <x:c r="B2204" s="20" t="n">
        <x:v>45672</x:v>
      </x:c>
      <x:c r="C2204" t="str">
        <x:v>C0209</x:v>
      </x:c>
      <x:c r="D2204" t="str">
        <x:v>Shree Hotel 209</x:v>
      </x:c>
      <x:c r="E2204" t="str">
        <x:v>Restaurant</x:v>
      </x:c>
      <x:c r="F2204" t="str">
        <x:v>Tumakuru</x:v>
      </x:c>
      <x:c r="G2204" t="str">
        <x:v>Ramesh</x:v>
      </x:c>
      <x:c r="H2204" t="str">
        <x:v>P021</x:v>
      </x:c>
      <x:c r="I2204" t="str">
        <x:v>Instant Coffee 200g</x:v>
      </x:c>
      <x:c r="J2204" t="str">
        <x:v>Beverage</x:v>
      </x:c>
      <x:c r="K2204" t="str">
        <x:v>Nescafe</x:v>
      </x:c>
      <x:c r="L2204" s="22" t="n">
        <x:v>460</x:v>
      </x:c>
      <x:c r="M2204" t="n">
        <x:v>19</x:v>
      </x:c>
      <x:c r="N2204" s="24" t="n">
        <x:v>0.03</x:v>
      </x:c>
      <x:c r="O2204" s="22" t="n">
        <x:f>L2204*M2204</x:f>
        <x:v>8740</x:v>
      </x:c>
      <x:c r="P2204" s="22" t="n">
        <x:f>O2204*(1-N2204)</x:f>
        <x:v>8477.8</x:v>
      </x:c>
      <x:c r="Q2204" s="22" t="n">
        <x:v>410</x:v>
      </x:c>
      <x:c r="R2204" s="22" t="n">
        <x:f>Q2204*M2204</x:f>
        <x:v>7790</x:v>
      </x:c>
      <x:c r="S2204" s="22" t="n">
        <x:f>P2204-R2204</x:f>
        <x:v>687.7999999999993</x:v>
      </x:c>
      <x:c r="T2204" t="str">
        <x:v>Bank Transfer</x:v>
      </x:c>
      <x:c r="U2204" t="str">
        <x:v>Paid</x:v>
      </x:c>
      <x:c r="V2204" t="str">
        <x:v>Delivered</x:v>
      </x:c>
      <x:c r="W2204" t="n">
        <x:v>0</x:v>
      </x:c>
      <x:c r="X2204" t="str"/>
      <x:c r="Y2204" t="str">
        <x:v>WhatsApp</x:v>
      </x:c>
    </x:row>
    <x:row r="2205">
      <x:c r="A2205" t="str">
        <x:v>O002204</x:v>
      </x:c>
      <x:c r="B2205" s="20" t="n">
        <x:v>45885</x:v>
      </x:c>
      <x:c r="C2205" t="str">
        <x:v>C0033</x:v>
      </x:c>
      <x:c r="D2205" t="str">
        <x:v>Shree Canteen 33</x:v>
      </x:c>
      <x:c r="E2205" t="str">
        <x:v>Canteen</x:v>
      </x:c>
      <x:c r="F2205" t="str">
        <x:v>Mangaluru</x:v>
      </x:c>
      <x:c r="G2205" t="str">
        <x:v>Imran</x:v>
      </x:c>
      <x:c r="H2205" t="str">
        <x:v>P009</x:v>
      </x:c>
      <x:c r="I2205" t="str">
        <x:v>Groundnut Oil 5L</x:v>
      </x:c>
      <x:c r="J2205" t="str">
        <x:v>Edible Oil</x:v>
      </x:c>
      <x:c r="K2205" t="str">
        <x:v>Dhara</x:v>
      </x:c>
      <x:c r="L2205" s="22" t="n">
        <x:v>890</x:v>
      </x:c>
      <x:c r="M2205" t="n">
        <x:v>38</x:v>
      </x:c>
      <x:c r="N2205" s="24" t="n">
        <x:v>0.02</x:v>
      </x:c>
      <x:c r="O2205" s="22" t="n">
        <x:f>L2205*M2205</x:f>
        <x:v>33820</x:v>
      </x:c>
      <x:c r="P2205" s="22" t="n">
        <x:f>O2205*(1-N2205)</x:f>
        <x:v>33143.6</x:v>
      </x:c>
      <x:c r="Q2205" s="22" t="n">
        <x:v>810</x:v>
      </x:c>
      <x:c r="R2205" s="22" t="n">
        <x:f>Q2205*M2205</x:f>
        <x:v>30780</x:v>
      </x:c>
      <x:c r="S2205" s="22" t="n">
        <x:f>P2205-R2205</x:f>
        <x:v>2363.5999999999985</x:v>
      </x:c>
      <x:c r="T2205" t="str">
        <x:v>Credit</x:v>
      </x:c>
      <x:c r="U2205" t="str">
        <x:v>Paid</x:v>
      </x:c>
      <x:c r="V2205" t="str">
        <x:v>Delivered</x:v>
      </x:c>
      <x:c r="W2205" t="n">
        <x:v>0</x:v>
      </x:c>
      <x:c r="X2205" t="str"/>
      <x:c r="Y2205" t="str">
        <x:v>Existing Customer</x:v>
      </x:c>
    </x:row>
    <x:row r="2206">
      <x:c r="A2206" t="str">
        <x:v>O002205</x:v>
      </x:c>
      <x:c r="B2206" s="20" t="n">
        <x:v>45734</x:v>
      </x:c>
      <x:c r="C2206" t="str">
        <x:v>C0240</x:v>
      </x:c>
      <x:c r="D2206" t="str">
        <x:v>Green Foods 240</x:v>
      </x:c>
      <x:c r="E2206" t="str">
        <x:v>Restaurant</x:v>
      </x:c>
      <x:c r="F2206" t="str">
        <x:v>Davanagere</x:v>
      </x:c>
      <x:c r="G2206" t="str">
        <x:v>Vikram</x:v>
      </x:c>
      <x:c r="H2206" t="str">
        <x:v>P035</x:v>
      </x:c>
      <x:c r="I2206" t="str">
        <x:v>Coriander Powder 1kg</x:v>
      </x:c>
      <x:c r="J2206" t="str">
        <x:v>Spices</x:v>
      </x:c>
      <x:c r="K2206" t="str">
        <x:v>Everest</x:v>
      </x:c>
      <x:c r="L2206" s="22" t="n">
        <x:v>280</x:v>
      </x:c>
      <x:c r="M2206" t="n">
        <x:v>7</x:v>
      </x:c>
      <x:c r="N2206" s="24" t="n">
        <x:v>0.02</x:v>
      </x:c>
      <x:c r="O2206" s="22" t="n">
        <x:f>L2206*M2206</x:f>
        <x:v>1960</x:v>
      </x:c>
      <x:c r="P2206" s="22" t="n">
        <x:f>O2206*(1-N2206)</x:f>
        <x:v>1920.8</x:v>
      </x:c>
      <x:c r="Q2206" s="22" t="n">
        <x:v>245</x:v>
      </x:c>
      <x:c r="R2206" s="22" t="n">
        <x:f>Q2206*M2206</x:f>
        <x:v>1715</x:v>
      </x:c>
      <x:c r="S2206" s="22" t="n">
        <x:f>P2206-R2206</x:f>
        <x:v>205.79999999999995</x:v>
      </x:c>
      <x:c r="T2206" t="str">
        <x:v>Cash</x:v>
      </x:c>
      <x:c r="U2206" t="str">
        <x:v>Paid</x:v>
      </x:c>
      <x:c r="V2206" t="str">
        <x:v>Delivered</x:v>
      </x:c>
      <x:c r="W2206" t="n">
        <x:v>0</x:v>
      </x:c>
      <x:c r="X2206" t="str"/>
      <x:c r="Y2206" t="str"/>
    </x:row>
    <x:row r="2207">
      <x:c r="A2207" t="str">
        <x:v>O002206</x:v>
      </x:c>
      <x:c r="B2207" s="20" t="n">
        <x:v>46119</x:v>
      </x:c>
      <x:c r="C2207" t="str">
        <x:v>C0019</x:v>
      </x:c>
      <x:c r="D2207" t="str">
        <x:v>Grand Kitchen 19</x:v>
      </x:c>
      <x:c r="E2207" t="str">
        <x:v>Supermarket</x:v>
      </x:c>
      <x:c r="F2207" t="str">
        <x:v>Tumakuru</x:v>
      </x:c>
      <x:c r="G2207" t="str">
        <x:v>Sneha</x:v>
      </x:c>
      <x:c r="H2207" t="str">
        <x:v>P012</x:v>
      </x:c>
      <x:c r="I2207" t="str">
        <x:v>Maida 10kg</x:v>
      </x:c>
      <x:c r="J2207" t="str">
        <x:v>Flour</x:v>
      </x:c>
      <x:c r="K2207" t="str">
        <x:v>Aashirvaad</x:v>
      </x:c>
      <x:c r="L2207" s="22" t="n">
        <x:v>520</x:v>
      </x:c>
      <x:c r="M2207" t="n">
        <x:v>28</x:v>
      </x:c>
      <x:c r="N2207" s="24" t="n">
        <x:v>0.05</x:v>
      </x:c>
      <x:c r="O2207" s="22" t="n">
        <x:f>L2207*M2207</x:f>
        <x:v>14560</x:v>
      </x:c>
      <x:c r="P2207" s="22" t="n">
        <x:f>O2207*(1-N2207)</x:f>
        <x:v>13832</x:v>
      </x:c>
      <x:c r="Q2207" s="22" t="n">
        <x:v>460</x:v>
      </x:c>
      <x:c r="R2207" s="22" t="n">
        <x:f>Q2207*M2207</x:f>
        <x:v>12880</x:v>
      </x:c>
      <x:c r="S2207" s="22" t="n">
        <x:f>P2207-R2207</x:f>
        <x:v>952</x:v>
      </x:c>
      <x:c r="T2207" t="str">
        <x:v>Bank Transfer</x:v>
      </x:c>
      <x:c r="U2207" t="str">
        <x:v>Paid</x:v>
      </x:c>
      <x:c r="V2207" t="str">
        <x:v>Delivered</x:v>
      </x:c>
      <x:c r="W2207" t="n">
        <x:v>0</x:v>
      </x:c>
      <x:c r="X2207" t="str"/>
      <x:c r="Y2207" t="str">
        <x:v>Existing Customer</x:v>
      </x:c>
    </x:row>
    <x:row r="2208">
      <x:c r="A2208" t="str">
        <x:v>O002207</x:v>
      </x:c>
      <x:c r="B2208" s="20" t="n">
        <x:v>45965</x:v>
      </x:c>
      <x:c r="C2208" t="str">
        <x:v>C0078</x:v>
      </x:c>
      <x:c r="D2208" t="str">
        <x:v>Sagar Canteen 78</x:v>
      </x:c>
      <x:c r="E2208" t="str">
        <x:v>Hotel</x:v>
      </x:c>
      <x:c r="F2208" t="str">
        <x:v>Mangaluru</x:v>
      </x:c>
      <x:c r="G2208" t="str">
        <x:v>Ramesh</x:v>
      </x:c>
      <x:c r="H2208" t="str">
        <x:v>P032</x:v>
      </x:c>
      <x:c r="I2208" t="str">
        <x:v>Soy Sauce 700g</x:v>
      </x:c>
      <x:c r="J2208" t="str">
        <x:v>Condiments</x:v>
      </x:c>
      <x:c r="K2208" t="str">
        <x:v>Ching's</x:v>
      </x:c>
      <x:c r="L2208" s="22" t="n">
        <x:v>118</x:v>
      </x:c>
      <x:c r="M2208" t="n">
        <x:v>12</x:v>
      </x:c>
      <x:c r="N2208" s="24" t="n">
        <x:v>0.05</x:v>
      </x:c>
      <x:c r="O2208" s="22" t="n">
        <x:f>L2208*M2208</x:f>
        <x:v>1416</x:v>
      </x:c>
      <x:c r="P2208" s="22" t="n">
        <x:f>O2208*(1-N2208)</x:f>
        <x:v>1345.2</x:v>
      </x:c>
      <x:c r="Q2208" s="22" t="n">
        <x:v>101</x:v>
      </x:c>
      <x:c r="R2208" s="22" t="n">
        <x:f>Q2208*M2208</x:f>
        <x:v>1212</x:v>
      </x:c>
      <x:c r="S2208" s="22" t="n">
        <x:f>P2208-R2208</x:f>
        <x:v>133.20000000000005</x:v>
      </x:c>
      <x:c r="T2208" t="str">
        <x:v>Bank Transfer</x:v>
      </x:c>
      <x:c r="U2208" t="str">
        <x:v>Paid</x:v>
      </x:c>
      <x:c r="V2208" t="str">
        <x:v>Cancelled</x:v>
      </x:c>
      <x:c r="W2208" t="n">
        <x:v>12</x:v>
      </x:c>
      <x:c r="X2208" t="str">
        <x:v>Cancelled Order</x:v>
      </x:c>
      <x:c r="Y2208" t="str">
        <x:v>WhatsApp</x:v>
      </x:c>
    </x:row>
    <x:row r="2209">
      <x:c r="A2209" t="str">
        <x:v>O002208</x:v>
      </x:c>
      <x:c r="B2209" s="20" t="n">
        <x:v>45723</x:v>
      </x:c>
      <x:c r="C2209" t="str">
        <x:v>C0179</x:v>
      </x:c>
      <x:c r="D2209" t="str">
        <x:v>Shree Hotel 179</x:v>
      </x:c>
      <x:c r="E2209" t="str">
        <x:v>Restaurant</x:v>
      </x:c>
      <x:c r="F2209" t="str">
        <x:v>Hubballi</x:v>
      </x:c>
      <x:c r="G2209" t="str">
        <x:v>Kavya</x:v>
      </x:c>
      <x:c r="H2209" t="str">
        <x:v>P032</x:v>
      </x:c>
      <x:c r="I2209" t="str">
        <x:v>Soy Sauce 700g</x:v>
      </x:c>
      <x:c r="J2209" t="str">
        <x:v>Condiments</x:v>
      </x:c>
      <x:c r="K2209" t="str">
        <x:v>Ching's</x:v>
      </x:c>
      <x:c r="L2209" s="22" t="n">
        <x:v>118</x:v>
      </x:c>
      <x:c r="M2209" t="n">
        <x:v>33</x:v>
      </x:c>
      <x:c r="N2209" s="24" t="n">
        <x:v>0.05</x:v>
      </x:c>
      <x:c r="O2209" s="22" t="n">
        <x:f>L2209*M2209</x:f>
        <x:v>3894</x:v>
      </x:c>
      <x:c r="P2209" s="22" t="n">
        <x:f>O2209*(1-N2209)</x:f>
        <x:v>3699.2999999999997</x:v>
      </x:c>
      <x:c r="Q2209" s="22" t="n">
        <x:v>101</x:v>
      </x:c>
      <x:c r="R2209" s="22" t="n">
        <x:f>Q2209*M2209</x:f>
        <x:v>3333</x:v>
      </x:c>
      <x:c r="S2209" s="22" t="n">
        <x:f>P2209-R2209</x:f>
        <x:v>366.2999999999997</x:v>
      </x:c>
      <x:c r="T2209" t="str">
        <x:v>Bank Transfer</x:v>
      </x:c>
      <x:c r="U2209" t="str">
        <x:v>Pending</x:v>
      </x:c>
      <x:c r="V2209" t="str">
        <x:v>Delivered</x:v>
      </x:c>
      <x:c r="W2209" t="n">
        <x:v>0</x:v>
      </x:c>
      <x:c r="X2209" t="str"/>
      <x:c r="Y2209" t="str">
        <x:v>Existing Customer</x:v>
      </x:c>
    </x:row>
    <x:row r="2210">
      <x:c r="A2210" t="str">
        <x:v>O002209</x:v>
      </x:c>
      <x:c r="B2210" s="20" t="n">
        <x:v>45717</x:v>
      </x:c>
      <x:c r="C2210" t="str">
        <x:v>C0167</x:v>
      </x:c>
      <x:c r="D2210" t="str">
        <x:v>Foodie Canteen 167</x:v>
      </x:c>
      <x:c r="E2210" t="str">
        <x:v>Canteen</x:v>
      </x:c>
      <x:c r="F2210" t="str">
        <x:v>Bengaluru</x:v>
      </x:c>
      <x:c r="G2210" t="str">
        <x:v>Megha</x:v>
      </x:c>
      <x:c r="H2210" t="str">
        <x:v>P031</x:v>
      </x:c>
      <x:c r="I2210" t="str">
        <x:v>Chilli Sauce 700g</x:v>
      </x:c>
      <x:c r="J2210" t="str">
        <x:v>Condiments</x:v>
      </x:c>
      <x:c r="K2210" t="str">
        <x:v>Ching's</x:v>
      </x:c>
      <x:c r="L2210" s="22" t="n">
        <x:v>130</x:v>
      </x:c>
      <x:c r="M2210" t="n">
        <x:v>22</x:v>
      </x:c>
      <x:c r="N2210" s="24" t="n">
        <x:v>0.05</x:v>
      </x:c>
      <x:c r="O2210" s="22" t="n">
        <x:f>L2210*M2210</x:f>
        <x:v>2860</x:v>
      </x:c>
      <x:c r="P2210" s="22" t="n">
        <x:f>O2210*(1-N2210)</x:f>
        <x:v>2717</x:v>
      </x:c>
      <x:c r="Q2210" s="22" t="n">
        <x:v>112</x:v>
      </x:c>
      <x:c r="R2210" s="22" t="n">
        <x:f>Q2210*M2210</x:f>
        <x:v>2464</x:v>
      </x:c>
      <x:c r="S2210" s="22" t="n">
        <x:f>P2210-R2210</x:f>
        <x:v>253</x:v>
      </x:c>
      <x:c r="T2210" t="str">
        <x:v>Cash</x:v>
      </x:c>
      <x:c r="U2210" t="str">
        <x:v>Paid</x:v>
      </x:c>
      <x:c r="V2210" t="str">
        <x:v>Delayed</x:v>
      </x:c>
      <x:c r="W2210" t="n">
        <x:v>0</x:v>
      </x:c>
      <x:c r="X2210" t="str"/>
      <x:c r="Y2210" t="str">
        <x:v>Outbound Call</x:v>
      </x:c>
    </x:row>
    <x:row r="2211">
      <x:c r="A2211" t="str">
        <x:v>O002210</x:v>
      </x:c>
      <x:c r="B2211" s="20" t="n">
        <x:v>45862</x:v>
      </x:c>
      <x:c r="C2211" t="str">
        <x:v>C0020</x:v>
      </x:c>
      <x:c r="D2211" t="str">
        <x:v>Shree Foods 20</x:v>
      </x:c>
      <x:c r="E2211" t="str">
        <x:v>Restaurant</x:v>
      </x:c>
      <x:c r="F2211" t="str">
        <x:v>Mysuru</x:v>
      </x:c>
      <x:c r="G2211" t="str">
        <x:v>Arjun</x:v>
      </x:c>
      <x:c r="H2211" t="str">
        <x:v>P047</x:v>
      </x:c>
      <x:c r="I2211" t="str">
        <x:v>Tomato 25kg</x:v>
      </x:c>
      <x:c r="J2211" t="str">
        <x:v>Fresh Produce</x:v>
      </x:c>
      <x:c r="K2211" t="str">
        <x:v>Local Market</x:v>
      </x:c>
      <x:c r="L2211" s="22" t="n">
        <x:v>950</x:v>
      </x:c>
      <x:c r="M2211" t="n">
        <x:v>17</x:v>
      </x:c>
      <x:c r="N2211" s="24" t="n">
        <x:v>0.03</x:v>
      </x:c>
      <x:c r="O2211" s="22" t="n">
        <x:f>L2211*M2211</x:f>
        <x:v>16150</x:v>
      </x:c>
      <x:c r="P2211" s="22" t="n">
        <x:f>O2211*(1-N2211)</x:f>
        <x:v>15665.5</x:v>
      </x:c>
      <x:c r="Q2211" s="22" t="n">
        <x:v>810</x:v>
      </x:c>
      <x:c r="R2211" s="22" t="n">
        <x:f>Q2211*M2211</x:f>
        <x:v>13770</x:v>
      </x:c>
      <x:c r="S2211" s="22" t="n">
        <x:f>P2211-R2211</x:f>
        <x:v>1895.5</x:v>
      </x:c>
      <x:c r="T2211" t="str">
        <x:v>Cash</x:v>
      </x:c>
      <x:c r="U2211" t="str">
        <x:v>Paid</x:v>
      </x:c>
      <x:c r="V2211" t="str">
        <x:v>Delivered</x:v>
      </x:c>
      <x:c r="W2211" t="n">
        <x:v>0</x:v>
      </x:c>
      <x:c r="X2211" t="str"/>
      <x:c r="Y2211" t="str">
        <x:v>Existing Customer</x:v>
      </x:c>
    </x:row>
    <x:row r="2212">
      <x:c r="A2212" t="str">
        <x:v>O002211</x:v>
      </x:c>
      <x:c r="B2212" s="20" t="n">
        <x:v>46058</x:v>
      </x:c>
      <x:c r="C2212" t="str">
        <x:v>C0249</x:v>
      </x:c>
      <x:c r="D2212" t="str">
        <x:v>City Hotel 249</x:v>
      </x:c>
      <x:c r="E2212" t="str">
        <x:v>Supermarket</x:v>
      </x:c>
      <x:c r="F2212" t="str">
        <x:v>Mysuru</x:v>
      </x:c>
      <x:c r="G2212" t="str">
        <x:v>Arjun</x:v>
      </x:c>
      <x:c r="H2212" t="str">
        <x:v>P018</x:v>
      </x:c>
      <x:c r="I2212" t="str">
        <x:v>Paneer 1kg</x:v>
      </x:c>
      <x:c r="J2212" t="str">
        <x:v>Dairy</x:v>
      </x:c>
      <x:c r="K2212" t="str">
        <x:v>Milky Mist</x:v>
      </x:c>
      <x:c r="L2212" s="22" t="n">
        <x:v>410</x:v>
      </x:c>
      <x:c r="M2212" t="n">
        <x:v>2</x:v>
      </x:c>
      <x:c r="N2212" s="24" t="n">
        <x:v>0.05</x:v>
      </x:c>
      <x:c r="O2212" s="22" t="n">
        <x:f>L2212*M2212</x:f>
        <x:v>820</x:v>
      </x:c>
      <x:c r="P2212" s="22" t="n">
        <x:f>O2212*(1-N2212)</x:f>
        <x:v>779</x:v>
      </x:c>
      <x:c r="Q2212" s="22" t="n">
        <x:v>370</x:v>
      </x:c>
      <x:c r="R2212" s="22" t="n">
        <x:f>Q2212*M2212</x:f>
        <x:v>740</x:v>
      </x:c>
      <x:c r="S2212" s="22" t="n">
        <x:f>P2212-R2212</x:f>
        <x:v>39</x:v>
      </x:c>
      <x:c r="T2212" t="str">
        <x:v>Cash</x:v>
      </x:c>
      <x:c r="U2212" t="str">
        <x:v>Paid</x:v>
      </x:c>
      <x:c r="V2212" t="str">
        <x:v>Cancelled</x:v>
      </x:c>
      <x:c r="W2212" t="n">
        <x:v>2</x:v>
      </x:c>
      <x:c r="X2212" t="str">
        <x:v>Cancelled Order</x:v>
      </x:c>
      <x:c r="Y2212" t="str">
        <x:v>WhatsApp</x:v>
      </x:c>
    </x:row>
    <x:row r="2213">
      <x:c r="A2213" t="str">
        <x:v>O002212</x:v>
      </x:c>
      <x:c r="B2213" s="20" t="n">
        <x:v>46054</x:v>
      </x:c>
      <x:c r="C2213" t="str">
        <x:v>C0146</x:v>
      </x:c>
      <x:c r="D2213" t="str">
        <x:v>Annapurna Hotel 146</x:v>
      </x:c>
      <x:c r="E2213" t="str">
        <x:v>Restaurant</x:v>
      </x:c>
      <x:c r="F2213" t="str">
        <x:v>Davanagere</x:v>
      </x:c>
      <x:c r="G2213" t="str">
        <x:v>Arjun</x:v>
      </x:c>
      <x:c r="H2213" t="str">
        <x:v>P050</x:v>
      </x:c>
      <x:c r="I2213" t="str">
        <x:v>Lemon 5kg</x:v>
      </x:c>
      <x:c r="J2213" t="str">
        <x:v>Fresh Produce</x:v>
      </x:c>
      <x:c r="K2213" t="str">
        <x:v>Local Market</x:v>
      </x:c>
      <x:c r="L2213" s="22" t="n">
        <x:v>360</x:v>
      </x:c>
      <x:c r="M2213" t="n">
        <x:v>13</x:v>
      </x:c>
      <x:c r="N2213" s="24" t="n">
        <x:v>0.08</x:v>
      </x:c>
      <x:c r="O2213" s="22" t="n">
        <x:f>L2213*M2213</x:f>
        <x:v>4680</x:v>
      </x:c>
      <x:c r="P2213" s="22" t="n">
        <x:f>O2213*(1-N2213)</x:f>
        <x:v>4305.6</x:v>
      </x:c>
      <x:c r="Q2213" s="22" t="n">
        <x:v>300</x:v>
      </x:c>
      <x:c r="R2213" s="22" t="n">
        <x:f>Q2213*M2213</x:f>
        <x:v>3900</x:v>
      </x:c>
      <x:c r="S2213" s="22" t="n">
        <x:f>P2213-R2213</x:f>
        <x:v>405.60000000000036</x:v>
      </x:c>
      <x:c r="T2213" t="str">
        <x:v>Bank Transfer</x:v>
      </x:c>
      <x:c r="U2213" t="str">
        <x:v>Overdue</x:v>
      </x:c>
      <x:c r="V2213" t="str">
        <x:v>Delayed</x:v>
      </x:c>
      <x:c r="W2213" t="n">
        <x:v>0</x:v>
      </x:c>
      <x:c r="X2213" t="str"/>
      <x:c r="Y2213" t="str">
        <x:v>WhatsApp</x:v>
      </x:c>
    </x:row>
    <x:row r="2214">
      <x:c r="A2214" t="str">
        <x:v>O002213</x:v>
      </x:c>
      <x:c r="B2214" s="20" t="n">
        <x:v>45709</x:v>
      </x:c>
      <x:c r="C2214" t="str">
        <x:v>C0102</x:v>
      </x:c>
      <x:c r="D2214" t="str">
        <x:v>Annapurna Foods 102</x:v>
      </x:c>
      <x:c r="E2214" t="str">
        <x:v>Cafe</x:v>
      </x:c>
      <x:c r="F2214" t="str">
        <x:v>Davanagere</x:v>
      </x:c>
      <x:c r="G2214" t="str">
        <x:v>Ramesh</x:v>
      </x:c>
      <x:c r="H2214" t="str">
        <x:v>P008</x:v>
      </x:c>
      <x:c r="I2214" t="str">
        <x:v>Palm Oil 15L</x:v>
      </x:c>
      <x:c r="J2214" t="str">
        <x:v>Edible Oil</x:v>
      </x:c>
      <x:c r="K2214" t="str">
        <x:v>Ruchi Gold</x:v>
      </x:c>
      <x:c r="L2214" s="22" t="n">
        <x:v>1760</x:v>
      </x:c>
      <x:c r="M2214" t="n">
        <x:v>1</x:v>
      </x:c>
      <x:c r="N2214" s="24" t="n">
        <x:v>0.03</x:v>
      </x:c>
      <x:c r="O2214" s="22" t="n">
        <x:f>L2214*M2214</x:f>
        <x:v>1760</x:v>
      </x:c>
      <x:c r="P2214" s="22" t="n">
        <x:f>O2214*(1-N2214)</x:f>
        <x:v>1707.2</x:v>
      </x:c>
      <x:c r="Q2214" s="22" t="n">
        <x:v>1610</x:v>
      </x:c>
      <x:c r="R2214" s="22" t="n">
        <x:f>Q2214*M2214</x:f>
        <x:v>1610</x:v>
      </x:c>
      <x:c r="S2214" s="22" t="n">
        <x:f>P2214-R2214</x:f>
        <x:v>97.20000000000005</x:v>
      </x:c>
      <x:c r="T2214" t="str">
        <x:v>Bank Transfer</x:v>
      </x:c>
      <x:c r="U2214" t="str">
        <x:v>Paid</x:v>
      </x:c>
      <x:c r="V2214" t="str">
        <x:v>Delivered</x:v>
      </x:c>
      <x:c r="W2214" t="n">
        <x:v>0</x:v>
      </x:c>
      <x:c r="X2214" t="str"/>
      <x:c r="Y2214" t="str">
        <x:v>Outbound Call</x:v>
      </x:c>
    </x:row>
    <x:row r="2215">
      <x:c r="A2215" t="str">
        <x:v>O002214</x:v>
      </x:c>
      <x:c r="B2215" s="20" t="n">
        <x:v>45984</x:v>
      </x:c>
      <x:c r="C2215" t="str">
        <x:v>C0083</x:v>
      </x:c>
      <x:c r="D2215" t="str">
        <x:v>Sri Cafe 83</x:v>
      </x:c>
      <x:c r="E2215" t="str">
        <x:v>Hotel</x:v>
      </x:c>
      <x:c r="F2215" t="str">
        <x:v>Davanagere</x:v>
      </x:c>
      <x:c r="G2215" t="str">
        <x:v>Ramesh</x:v>
      </x:c>
      <x:c r="H2215" t="str">
        <x:v>P023</x:v>
      </x:c>
      <x:c r="I2215" t="str">
        <x:v>Cola 750ml</x:v>
      </x:c>
      <x:c r="J2215" t="str">
        <x:v>Beverage</x:v>
      </x:c>
      <x:c r="K2215" t="str">
        <x:v>Coca-Cola</x:v>
      </x:c>
      <x:c r="L2215" s="22" t="n">
        <x:v>38</x:v>
      </x:c>
      <x:c r="M2215" t="n">
        <x:v>29</x:v>
      </x:c>
      <x:c r="N2215" s="24" t="n">
        <x:v>0.05</x:v>
      </x:c>
      <x:c r="O2215" s="22" t="n">
        <x:f>L2215*M2215</x:f>
        <x:v>1102</x:v>
      </x:c>
      <x:c r="P2215" s="22" t="n">
        <x:f>O2215*(1-N2215)</x:f>
        <x:v>1046.8999999999999</x:v>
      </x:c>
      <x:c r="Q2215" s="22" t="n">
        <x:v>31</x:v>
      </x:c>
      <x:c r="R2215" s="22" t="n">
        <x:f>Q2215*M2215</x:f>
        <x:v>899</x:v>
      </x:c>
      <x:c r="S2215" s="22" t="n">
        <x:f>P2215-R2215</x:f>
        <x:v>147.89999999999986</x:v>
      </x:c>
      <x:c r="T2215" t="str">
        <x:v>Credit</x:v>
      </x:c>
      <x:c r="U2215" t="str">
        <x:v>Overdue</x:v>
      </x:c>
      <x:c r="V2215" t="str">
        <x:v>Delivered</x:v>
      </x:c>
      <x:c r="W2215" t="n">
        <x:v>0</x:v>
      </x:c>
      <x:c r="X2215" t="str"/>
      <x:c r="Y2215" t="str">
        <x:v>Existing Customer</x:v>
      </x:c>
    </x:row>
    <x:row r="2216">
      <x:c r="A2216" t="str">
        <x:v>O002215</x:v>
      </x:c>
      <x:c r="B2216" s="20" t="n">
        <x:v>46025</x:v>
      </x:c>
      <x:c r="C2216" t="str">
        <x:v>C0083</x:v>
      </x:c>
      <x:c r="D2216" t="str">
        <x:v>Sri Cafe 83</x:v>
      </x:c>
      <x:c r="E2216" t="str">
        <x:v>Hotel</x:v>
      </x:c>
      <x:c r="F2216" t="str">
        <x:v>Davanagere</x:v>
      </x:c>
      <x:c r="G2216" t="str">
        <x:v>Ramesh</x:v>
      </x:c>
      <x:c r="H2216" t="str">
        <x:v>P021</x:v>
      </x:c>
      <x:c r="I2216" t="str">
        <x:v>Instant Coffee 200g</x:v>
      </x:c>
      <x:c r="J2216" t="str">
        <x:v>Beverage</x:v>
      </x:c>
      <x:c r="K2216" t="str">
        <x:v>Nescafe</x:v>
      </x:c>
      <x:c r="L2216" s="22" t="n">
        <x:v>460</x:v>
      </x:c>
      <x:c r="M2216" t="n">
        <x:v>32</x:v>
      </x:c>
      <x:c r="N2216" s="24" t="n">
        <x:v>0.02</x:v>
      </x:c>
      <x:c r="O2216" s="22" t="n">
        <x:f>L2216*M2216</x:f>
        <x:v>14720</x:v>
      </x:c>
      <x:c r="P2216" s="22" t="n">
        <x:f>O2216*(1-N2216)</x:f>
        <x:v>14425.6</x:v>
      </x:c>
      <x:c r="Q2216" s="22" t="n">
        <x:v>410</x:v>
      </x:c>
      <x:c r="R2216" s="22" t="n">
        <x:f>Q2216*M2216</x:f>
        <x:v>13120</x:v>
      </x:c>
      <x:c r="S2216" s="22" t="n">
        <x:f>P2216-R2216</x:f>
        <x:v>1305.6000000000004</x:v>
      </x:c>
      <x:c r="T2216" t="str">
        <x:v>Bank Transfer</x:v>
      </x:c>
      <x:c r="U2216" t="str">
        <x:v>Paid</x:v>
      </x:c>
      <x:c r="V2216" t="str">
        <x:v>Delivered</x:v>
      </x:c>
      <x:c r="W2216" t="n">
        <x:v>0</x:v>
      </x:c>
      <x:c r="X2216" t="str"/>
      <x:c r="Y2216" t="str">
        <x:v>Outbound Call</x:v>
      </x:c>
    </x:row>
    <x:row r="2217">
      <x:c r="A2217" t="str">
        <x:v>O002216</x:v>
      </x:c>
      <x:c r="B2217" s="20" t="n">
        <x:v>46003</x:v>
      </x:c>
      <x:c r="C2217" t="str">
        <x:v>C0135</x:v>
      </x:c>
      <x:c r="D2217" t="str">
        <x:v>City Canteen 135</x:v>
      </x:c>
      <x:c r="E2217" t="str">
        <x:v>Supermarket</x:v>
      </x:c>
      <x:c r="F2217" t="str">
        <x:v>Hubballi</x:v>
      </x:c>
      <x:c r="G2217" t="str">
        <x:v>Megha</x:v>
      </x:c>
      <x:c r="H2217" t="str">
        <x:v>P029</x:v>
      </x:c>
      <x:c r="I2217" t="str">
        <x:v>Tomato Ketchup 1kg</x:v>
      </x:c>
      <x:c r="J2217" t="str">
        <x:v>Condiments</x:v>
      </x:c>
      <x:c r="K2217" t="str">
        <x:v>Kissan</x:v>
      </x:c>
      <x:c r="L2217" s="22" t="n">
        <x:v>145</x:v>
      </x:c>
      <x:c r="M2217" t="n">
        <x:v>34</x:v>
      </x:c>
      <x:c r="N2217" s="24" t="n">
        <x:v>0.05</x:v>
      </x:c>
      <x:c r="O2217" s="22" t="n">
        <x:f>L2217*M2217</x:f>
        <x:v>4930</x:v>
      </x:c>
      <x:c r="P2217" s="22" t="n">
        <x:f>O2217*(1-N2217)</x:f>
        <x:v>4683.5</x:v>
      </x:c>
      <x:c r="Q2217" s="22" t="n">
        <x:v>126</x:v>
      </x:c>
      <x:c r="R2217" s="22" t="n">
        <x:f>Q2217*M2217</x:f>
        <x:v>4284</x:v>
      </x:c>
      <x:c r="S2217" s="22" t="n">
        <x:f>P2217-R2217</x:f>
        <x:v>399.5</x:v>
      </x:c>
      <x:c r="T2217" t="str">
        <x:v>Credit</x:v>
      </x:c>
      <x:c r="U2217" t="str">
        <x:v>Pending</x:v>
      </x:c>
      <x:c r="V2217" t="str">
        <x:v>Delivered</x:v>
      </x:c>
      <x:c r="W2217" t="n">
        <x:v>0</x:v>
      </x:c>
      <x:c r="X2217" t="str"/>
      <x:c r="Y2217" t="str">
        <x:v>Outbound Call</x:v>
      </x:c>
    </x:row>
    <x:row r="2218">
      <x:c r="A2218" t="str">
        <x:v>O002217</x:v>
      </x:c>
      <x:c r="B2218" s="20" t="n">
        <x:v>46019</x:v>
      </x:c>
      <x:c r="C2218" t="str">
        <x:v>C0107</x:v>
      </x:c>
      <x:c r="D2218" t="str">
        <x:v>Mysore Cafe 107</x:v>
      </x:c>
      <x:c r="E2218" t="str">
        <x:v>Supermarket</x:v>
      </x:c>
      <x:c r="F2218" t="str">
        <x:v>Tumakuru</x:v>
      </x:c>
      <x:c r="G2218" t="str">
        <x:v>Megha</x:v>
      </x:c>
      <x:c r="H2218" t="str">
        <x:v>P025</x:v>
      </x:c>
      <x:c r="I2218" t="str">
        <x:v>Potato Chips 100g</x:v>
      </x:c>
      <x:c r="J2218" t="str">
        <x:v>Snacks</x:v>
      </x:c>
      <x:c r="K2218" t="str">
        <x:v>Lay's</x:v>
      </x:c>
      <x:c r="L2218" s="22" t="n">
        <x:v>35</x:v>
      </x:c>
      <x:c r="M2218" t="n">
        <x:v>17</x:v>
      </x:c>
      <x:c r="N2218" s="24" t="n">
        <x:v>0.02</x:v>
      </x:c>
      <x:c r="O2218" s="22" t="n">
        <x:f>L2218*M2218</x:f>
        <x:v>595</x:v>
      </x:c>
      <x:c r="P2218" s="22" t="n">
        <x:f>O2218*(1-N2218)</x:f>
        <x:v>583.1</x:v>
      </x:c>
      <x:c r="Q2218" s="22" t="n">
        <x:v>27</x:v>
      </x:c>
      <x:c r="R2218" s="22" t="n">
        <x:f>Q2218*M2218</x:f>
        <x:v>459</x:v>
      </x:c>
      <x:c r="S2218" s="22" t="n">
        <x:f>P2218-R2218</x:f>
        <x:v>124.10000000000002</x:v>
      </x:c>
      <x:c r="T2218" t="str">
        <x:v>Bank Transfer</x:v>
      </x:c>
      <x:c r="U2218" t="str">
        <x:v>Paid</x:v>
      </x:c>
      <x:c r="V2218" t="str">
        <x:v>Delivered</x:v>
      </x:c>
      <x:c r="W2218" t="n">
        <x:v>0</x:v>
      </x:c>
      <x:c r="X2218" t="str"/>
      <x:c r="Y2218" t="str">
        <x:v>Field Visit</x:v>
      </x:c>
    </x:row>
    <x:row r="2219">
      <x:c r="A2219" t="str">
        <x:v>O002218</x:v>
      </x:c>
      <x:c r="B2219" s="20" t="n">
        <x:v>46284</x:v>
      </x:c>
      <x:c r="C2219" t="str">
        <x:v>C0132</x:v>
      </x:c>
      <x:c r="D2219" t="str">
        <x:v>Classic Stores 132</x:v>
      </x:c>
      <x:c r="E2219" t="str">
        <x:v>Cafe</x:v>
      </x:c>
      <x:c r="F2219" t="str">
        <x:v>Mysuru</x:v>
      </x:c>
      <x:c r="G2219" t="str">
        <x:v>Megha</x:v>
      </x:c>
      <x:c r="H2219" t="str">
        <x:v>P038</x:v>
      </x:c>
      <x:c r="I2219" t="str">
        <x:v>French Fries 2.5kg</x:v>
      </x:c>
      <x:c r="J2219" t="str">
        <x:v>Frozen</x:v>
      </x:c>
      <x:c r="K2219" t="str">
        <x:v>McCain</x:v>
      </x:c>
      <x:c r="L2219" s="22" t="n">
        <x:v>360</x:v>
      </x:c>
      <x:c r="M2219" t="n">
        <x:v>31</x:v>
      </x:c>
      <x:c r="N2219" s="24" t="n">
        <x:v>0.08</x:v>
      </x:c>
      <x:c r="O2219" s="22" t="n">
        <x:f>L2219*M2219</x:f>
        <x:v>11160</x:v>
      </x:c>
      <x:c r="P2219" s="22" t="n">
        <x:f>O2219*(1-N2219)</x:f>
        <x:v>10267.2</x:v>
      </x:c>
      <x:c r="Q2219" s="22" t="n">
        <x:v>315</x:v>
      </x:c>
      <x:c r="R2219" s="22" t="n">
        <x:f>Q2219*M2219</x:f>
        <x:v>9765</x:v>
      </x:c>
      <x:c r="S2219" s="22" t="n">
        <x:f>P2219-R2219</x:f>
        <x:v>502.2000000000007</x:v>
      </x:c>
      <x:c r="T2219" t="str">
        <x:v>UPI</x:v>
      </x:c>
      <x:c r="U2219" t="str">
        <x:v>Paid</x:v>
      </x:c>
      <x:c r="V2219" t="str">
        <x:v>Delivered</x:v>
      </x:c>
      <x:c r="W2219" t="n">
        <x:v>0</x:v>
      </x:c>
      <x:c r="X2219" t="str"/>
      <x:c r="Y2219" t="str">
        <x:v>WhatsApp</x:v>
      </x:c>
    </x:row>
    <x:row r="2220">
      <x:c r="A2220" t="str">
        <x:v>O002219</x:v>
      </x:c>
      <x:c r="B2220" s="20" t="n">
        <x:v>46182</x:v>
      </x:c>
      <x:c r="C2220" t="str">
        <x:v>C0110</x:v>
      </x:c>
      <x:c r="D2220" t="str">
        <x:v>Metro Restaurant 110</x:v>
      </x:c>
      <x:c r="E2220" t="str">
        <x:v>Hotel</x:v>
      </x:c>
      <x:c r="F2220" t="str">
        <x:v>Mysuru</x:v>
      </x:c>
      <x:c r="G2220" t="str">
        <x:v>Imran</x:v>
      </x:c>
      <x:c r="H2220" t="str">
        <x:v>P002</x:v>
      </x:c>
      <x:c r="I2220" t="str">
        <x:v>Sona Masoori Rice 25kg</x:v>
      </x:c>
      <x:c r="J2220" t="str">
        <x:v>Staples</x:v>
      </x:c>
      <x:c r="K2220" t="str">
        <x:v>Fortune</x:v>
      </x:c>
      <x:c r="L2220" s="22" t="n">
        <x:v>1320</x:v>
      </x:c>
      <x:c r="M2220" t="n">
        <x:v>6</x:v>
      </x:c>
      <x:c r="N2220" s="24" t="n">
        <x:v>0.05</x:v>
      </x:c>
      <x:c r="O2220" s="22" t="n">
        <x:f>L2220*M2220</x:f>
        <x:v>7920</x:v>
      </x:c>
      <x:c r="P2220" s="22" t="n">
        <x:f>O2220*(1-N2220)</x:f>
        <x:v>7524</x:v>
      </x:c>
      <x:c r="Q2220" s="22" t="n">
        <x:v>1160</x:v>
      </x:c>
      <x:c r="R2220" s="22" t="n">
        <x:f>Q2220*M2220</x:f>
        <x:v>6960</x:v>
      </x:c>
      <x:c r="S2220" s="22" t="n">
        <x:f>P2220-R2220</x:f>
        <x:v>564</x:v>
      </x:c>
      <x:c r="T2220" t="str">
        <x:v>UPI</x:v>
      </x:c>
      <x:c r="U2220" t="str">
        <x:v>Pending</x:v>
      </x:c>
      <x:c r="V2220" t="str">
        <x:v>Delivered</x:v>
      </x:c>
      <x:c r="W2220" t="n">
        <x:v>2</x:v>
      </x:c>
      <x:c r="X2220" t="str">
        <x:v>Late Delivery</x:v>
      </x:c>
      <x:c r="Y2220" t="str">
        <x:v>Referral</x:v>
      </x:c>
    </x:row>
    <x:row r="2221">
      <x:c r="A2221" t="str">
        <x:v>O002220</x:v>
      </x:c>
      <x:c r="B2221" s="20" t="n">
        <x:v>45932</x:v>
      </x:c>
      <x:c r="C2221" t="str">
        <x:v>C0160</x:v>
      </x:c>
      <x:c r="D2221" t="str">
        <x:v>Hotel Foods 160</x:v>
      </x:c>
      <x:c r="E2221" t="str">
        <x:v>Hotel</x:v>
      </x:c>
      <x:c r="F2221" t="str">
        <x:v>Mangaluru</x:v>
      </x:c>
      <x:c r="G2221" t="str">
        <x:v>Sneha</x:v>
      </x:c>
      <x:c r="H2221" t="str">
        <x:v>P020</x:v>
      </x:c>
      <x:c r="I2221" t="str">
        <x:v>Coffee 500g</x:v>
      </x:c>
      <x:c r="J2221" t="str">
        <x:v>Beverage</x:v>
      </x:c>
      <x:c r="K2221" t="str">
        <x:v>Bru</x:v>
      </x:c>
      <x:c r="L2221" s="22" t="n">
        <x:v>390</x:v>
      </x:c>
      <x:c r="M2221" t="n">
        <x:v>10</x:v>
      </x:c>
      <x:c r="N2221" s="24" t="n">
        <x:v>0.08</x:v>
      </x:c>
      <x:c r="O2221" s="22" t="n">
        <x:f>L2221*M2221</x:f>
        <x:v>3900</x:v>
      </x:c>
      <x:c r="P2221" s="22" t="n">
        <x:f>O2221*(1-N2221)</x:f>
        <x:v>3588</x:v>
      </x:c>
      <x:c r="Q2221" s="22" t="n">
        <x:v>350</x:v>
      </x:c>
      <x:c r="R2221" s="22" t="n">
        <x:f>Q2221*M2221</x:f>
        <x:v>3500</x:v>
      </x:c>
      <x:c r="S2221" s="22" t="n">
        <x:f>P2221-R2221</x:f>
        <x:v>88</x:v>
      </x:c>
      <x:c r="T2221" t="str">
        <x:v>Credit</x:v>
      </x:c>
      <x:c r="U2221" t="str">
        <x:v>Paid</x:v>
      </x:c>
      <x:c r="V2221" t="str">
        <x:v>Delivered</x:v>
      </x:c>
      <x:c r="W2221" t="n">
        <x:v>0</x:v>
      </x:c>
      <x:c r="X2221" t="str"/>
      <x:c r="Y2221" t="str">
        <x:v>Field Visit</x:v>
      </x:c>
    </x:row>
    <x:row r="2222">
      <x:c r="A2222" t="str">
        <x:v>O002221</x:v>
      </x:c>
      <x:c r="B2222" s="20" t="n">
        <x:v>46205</x:v>
      </x:c>
      <x:c r="C2222" t="str">
        <x:v>C0139</x:v>
      </x:c>
      <x:c r="D2222" t="str">
        <x:v>Classic Hotel 139</x:v>
      </x:c>
      <x:c r="E2222" t="str">
        <x:v>Cafe</x:v>
      </x:c>
      <x:c r="F2222" t="str">
        <x:v>Mysuru</x:v>
      </x:c>
      <x:c r="G2222" t="str">
        <x:v>Vikram</x:v>
      </x:c>
      <x:c r="H2222" t="str">
        <x:v>P040</x:v>
      </x:c>
      <x:c r="I2222" t="str">
        <x:v>Bread Loaf 400g</x:v>
      </x:c>
      <x:c r="J2222" t="str">
        <x:v>Bakery</x:v>
      </x:c>
      <x:c r="K2222" t="str">
        <x:v>Britannia</x:v>
      </x:c>
      <x:c r="L2222" s="22" t="n">
        <x:v>45</x:v>
      </x:c>
      <x:c r="M2222" t="n">
        <x:v>15</x:v>
      </x:c>
      <x:c r="N2222" s="24" t="n">
        <x:v>0</x:v>
      </x:c>
      <x:c r="O2222" s="22" t="n">
        <x:f>L2222*M2222</x:f>
        <x:v>675</x:v>
      </x:c>
      <x:c r="P2222" s="22" t="n">
        <x:f>O2222*(1-N2222)</x:f>
        <x:v>675</x:v>
      </x:c>
      <x:c r="Q2222" s="22" t="n">
        <x:v>35</x:v>
      </x:c>
      <x:c r="R2222" s="22" t="n">
        <x:f>Q2222*M2222</x:f>
        <x:v>525</x:v>
      </x:c>
      <x:c r="S2222" s="22" t="n">
        <x:f>P2222-R2222</x:f>
        <x:v>150</x:v>
      </x:c>
      <x:c r="T2222" t="str">
        <x:v>Cash</x:v>
      </x:c>
      <x:c r="U2222" t="str">
        <x:v>Pending</x:v>
      </x:c>
      <x:c r="V2222" t="str">
        <x:v>Delivered</x:v>
      </x:c>
      <x:c r="W2222" t="n">
        <x:v>0</x:v>
      </x:c>
      <x:c r="X2222" t="str"/>
      <x:c r="Y2222" t="str"/>
    </x:row>
    <x:row r="2223">
      <x:c r="A2223" t="str">
        <x:v>O002222</x:v>
      </x:c>
      <x:c r="B2223" s="20" t="n">
        <x:v>45725</x:v>
      </x:c>
      <x:c r="C2223" t="str">
        <x:v>C0198</x:v>
      </x:c>
      <x:c r="D2223" t="str">
        <x:v>Royal Canteen 198</x:v>
      </x:c>
      <x:c r="E2223" t="str">
        <x:v>Supermarket</x:v>
      </x:c>
      <x:c r="F2223" t="str">
        <x:v>Davanagere</x:v>
      </x:c>
      <x:c r="G2223" t="str">
        <x:v>Arjun</x:v>
      </x:c>
      <x:c r="H2223" t="str">
        <x:v>P028</x:v>
      </x:c>
      <x:c r="I2223" t="str">
        <x:v>Cookies 200g</x:v>
      </x:c>
      <x:c r="J2223" t="str">
        <x:v>Snacks</x:v>
      </x:c>
      <x:c r="K2223" t="str">
        <x:v>Britannia</x:v>
      </x:c>
      <x:c r="L2223" s="22" t="n">
        <x:v>55</x:v>
      </x:c>
      <x:c r="M2223" t="n">
        <x:v>39</x:v>
      </x:c>
      <x:c r="N2223" s="24" t="n">
        <x:v>0.03</x:v>
      </x:c>
      <x:c r="O2223" s="22" t="n">
        <x:f>L2223*M2223</x:f>
        <x:v>2145</x:v>
      </x:c>
      <x:c r="P2223" s="22" t="n">
        <x:f>O2223*(1-N2223)</x:f>
        <x:v>2080.65</x:v>
      </x:c>
      <x:c r="Q2223" s="22" t="n">
        <x:v>42</x:v>
      </x:c>
      <x:c r="R2223" s="22" t="n">
        <x:f>Q2223*M2223</x:f>
        <x:v>1638</x:v>
      </x:c>
      <x:c r="S2223" s="22" t="n">
        <x:f>P2223-R2223</x:f>
        <x:v>442.6500000000001</x:v>
      </x:c>
      <x:c r="T2223" t="str">
        <x:v>Credit</x:v>
      </x:c>
      <x:c r="U2223" t="str">
        <x:v>Pending</x:v>
      </x:c>
      <x:c r="V2223" t="str">
        <x:v>Delayed</x:v>
      </x:c>
      <x:c r="W2223" t="n">
        <x:v>0</x:v>
      </x:c>
      <x:c r="X2223" t="str"/>
      <x:c r="Y2223" t="str">
        <x:v>WhatsApp</x:v>
      </x:c>
    </x:row>
    <x:row r="2224">
      <x:c r="A2224" t="str">
        <x:v>O002223</x:v>
      </x:c>
      <x:c r="B2224" s="20" t="n">
        <x:v>45814</x:v>
      </x:c>
      <x:c r="C2224" t="str">
        <x:v>C0070</x:v>
      </x:c>
      <x:c r="D2224" t="str">
        <x:v>Metro Stores 70</x:v>
      </x:c>
      <x:c r="E2224" t="str">
        <x:v>Cafe</x:v>
      </x:c>
      <x:c r="F2224" t="str">
        <x:v>Bengaluru</x:v>
      </x:c>
      <x:c r="G2224" t="str">
        <x:v>Vikram</x:v>
      </x:c>
      <x:c r="H2224" t="str">
        <x:v>P022</x:v>
      </x:c>
      <x:c r="I2224" t="str">
        <x:v>Mineral Water 1L</x:v>
      </x:c>
      <x:c r="J2224" t="str">
        <x:v>Beverage</x:v>
      </x:c>
      <x:c r="K2224" t="str">
        <x:v>Bisleri</x:v>
      </x:c>
      <x:c r="L2224" s="22" t="n">
        <x:v>19</x:v>
      </x:c>
      <x:c r="M2224" t="n">
        <x:v>36</x:v>
      </x:c>
      <x:c r="N2224" s="24" t="n">
        <x:v>0.02</x:v>
      </x:c>
      <x:c r="O2224" s="22" t="n">
        <x:f>L2224*M2224</x:f>
        <x:v>684</x:v>
      </x:c>
      <x:c r="P2224" s="22" t="n">
        <x:f>O2224*(1-N2224)</x:f>
        <x:v>670.3199999999999</x:v>
      </x:c>
      <x:c r="Q2224" s="22" t="n">
        <x:v>15</x:v>
      </x:c>
      <x:c r="R2224" s="22" t="n">
        <x:f>Q2224*M2224</x:f>
        <x:v>540</x:v>
      </x:c>
      <x:c r="S2224" s="22" t="n">
        <x:f>P2224-R2224</x:f>
        <x:v>130.31999999999994</x:v>
      </x:c>
      <x:c r="T2224" t="str">
        <x:v>Bank Transfer</x:v>
      </x:c>
      <x:c r="U2224" t="str">
        <x:v>Paid</x:v>
      </x:c>
      <x:c r="V2224" t="str">
        <x:v>Delayed</x:v>
      </x:c>
      <x:c r="W2224" t="n">
        <x:v>0</x:v>
      </x:c>
      <x:c r="X2224" t="str"/>
      <x:c r="Y2224" t="str">
        <x:v>Field Visit</x:v>
      </x:c>
    </x:row>
    <x:row r="2225">
      <x:c r="A2225" t="str">
        <x:v>O002224</x:v>
      </x:c>
      <x:c r="B2225" s="20" t="n">
        <x:v>45701</x:v>
      </x:c>
      <x:c r="C2225" t="str">
        <x:v>C0077</x:v>
      </x:c>
      <x:c r="D2225" t="str">
        <x:v>Spice Cafe 77</x:v>
      </x:c>
      <x:c r="E2225" t="str">
        <x:v>Kirana</x:v>
      </x:c>
      <x:c r="F2225" t="str">
        <x:v>Hubballi</x:v>
      </x:c>
      <x:c r="G2225" t="str">
        <x:v>Vikram</x:v>
      </x:c>
      <x:c r="H2225" t="str">
        <x:v>P021</x:v>
      </x:c>
      <x:c r="I2225" t="str">
        <x:v>Instant Coffee 200g</x:v>
      </x:c>
      <x:c r="J2225" t="str">
        <x:v>Beverage</x:v>
      </x:c>
      <x:c r="K2225" t="str">
        <x:v>Nescafe</x:v>
      </x:c>
      <x:c r="L2225" s="22" t="n">
        <x:v>460</x:v>
      </x:c>
      <x:c r="M2225" t="n">
        <x:v>30</x:v>
      </x:c>
      <x:c r="N2225" s="24" t="n">
        <x:v>0</x:v>
      </x:c>
      <x:c r="O2225" s="22" t="n">
        <x:f>L2225*M2225</x:f>
        <x:v>13800</x:v>
      </x:c>
      <x:c r="P2225" s="22" t="n">
        <x:f>O2225*(1-N2225)</x:f>
        <x:v>13800</x:v>
      </x:c>
      <x:c r="Q2225" s="22" t="n">
        <x:v>410</x:v>
      </x:c>
      <x:c r="R2225" s="22" t="n">
        <x:f>Q2225*M2225</x:f>
        <x:v>12300</x:v>
      </x:c>
      <x:c r="S2225" s="22" t="n">
        <x:f>P2225-R2225</x:f>
        <x:v>1500</x:v>
      </x:c>
      <x:c r="T2225" t="str">
        <x:v>Credit</x:v>
      </x:c>
      <x:c r="U2225" t="str">
        <x:v>Pending</x:v>
      </x:c>
      <x:c r="V2225" t="str">
        <x:v>Delivered</x:v>
      </x:c>
      <x:c r="W2225" t="n">
        <x:v>0</x:v>
      </x:c>
      <x:c r="X2225" t="str"/>
      <x:c r="Y2225" t="str">
        <x:v>Existing Customer</x:v>
      </x:c>
    </x:row>
    <x:row r="2226">
      <x:c r="A2226" t="str">
        <x:v>O002225</x:v>
      </x:c>
      <x:c r="B2226" s="20" t="n">
        <x:v>45987</x:v>
      </x:c>
      <x:c r="C2226" t="str">
        <x:v>C0004</x:v>
      </x:c>
      <x:c r="D2226" t="str">
        <x:v>Annapurna Foods 4</x:v>
      </x:c>
      <x:c r="E2226" t="str">
        <x:v>Cafe</x:v>
      </x:c>
      <x:c r="F2226" t="str">
        <x:v>Mysuru</x:v>
      </x:c>
      <x:c r="G2226" t="str">
        <x:v>Priya</x:v>
      </x:c>
      <x:c r="H2226" t="str">
        <x:v>P037</x:v>
      </x:c>
      <x:c r="I2226" t="str">
        <x:v>Frozen Peas 1kg</x:v>
      </x:c>
      <x:c r="J2226" t="str">
        <x:v>Frozen</x:v>
      </x:c>
      <x:c r="K2226" t="str">
        <x:v>Safal</x:v>
      </x:c>
      <x:c r="L2226" s="22" t="n">
        <x:v>155</x:v>
      </x:c>
      <x:c r="M2226" t="n">
        <x:v>32</x:v>
      </x:c>
      <x:c r="N2226" s="24" t="n">
        <x:v>0.05</x:v>
      </x:c>
      <x:c r="O2226" s="22" t="n">
        <x:f>L2226*M2226</x:f>
        <x:v>4960</x:v>
      </x:c>
      <x:c r="P2226" s="22" t="n">
        <x:f>O2226*(1-N2226)</x:f>
        <x:v>4712</x:v>
      </x:c>
      <x:c r="Q2226" s="22" t="n">
        <x:v>138</x:v>
      </x:c>
      <x:c r="R2226" s="22" t="n">
        <x:f>Q2226*M2226</x:f>
        <x:v>4416</x:v>
      </x:c>
      <x:c r="S2226" s="22" t="n">
        <x:f>P2226-R2226</x:f>
        <x:v>296</x:v>
      </x:c>
      <x:c r="T2226" t="str">
        <x:v>Bank Transfer</x:v>
      </x:c>
      <x:c r="U2226" t="str">
        <x:v>Paid</x:v>
      </x:c>
      <x:c r="V2226" t="str">
        <x:v>Cancelled</x:v>
      </x:c>
      <x:c r="W2226" t="n">
        <x:v>32</x:v>
      </x:c>
      <x:c r="X2226" t="str">
        <x:v>Cancelled Order</x:v>
      </x:c>
      <x:c r="Y2226" t="str">
        <x:v>Outbound Call</x:v>
      </x:c>
    </x:row>
    <x:row r="2227">
      <x:c r="A2227" t="str">
        <x:v>O002226</x:v>
      </x:c>
      <x:c r="B2227" s="20" t="n">
        <x:v>46219</x:v>
      </x:c>
      <x:c r="C2227" t="str">
        <x:v>C0150</x:v>
      </x:c>
      <x:c r="D2227" t="str">
        <x:v>Sagar Kitchen 150</x:v>
      </x:c>
      <x:c r="E2227" t="str">
        <x:v>Kirana</x:v>
      </x:c>
      <x:c r="F2227" t="str">
        <x:v>Hubballi</x:v>
      </x:c>
      <x:c r="G2227" t="str">
        <x:v>Ramesh</x:v>
      </x:c>
      <x:c r="H2227" t="str">
        <x:v>P041</x:v>
      </x:c>
      <x:c r="I2227" t="str">
        <x:v>Burger Bun 6pc</x:v>
      </x:c>
      <x:c r="J2227" t="str">
        <x:v>Bakery</x:v>
      </x:c>
      <x:c r="K2227" t="str">
        <x:v>Modern</x:v>
      </x:c>
      <x:c r="L2227" s="22" t="n">
        <x:v>42</x:v>
      </x:c>
      <x:c r="M2227" t="n">
        <x:v>3</x:v>
      </x:c>
      <x:c r="N2227" s="24" t="n">
        <x:v>0</x:v>
      </x:c>
      <x:c r="O2227" s="22" t="n">
        <x:f>L2227*M2227</x:f>
        <x:v>126</x:v>
      </x:c>
      <x:c r="P2227" s="22" t="n">
        <x:f>O2227*(1-N2227)</x:f>
        <x:v>126</x:v>
      </x:c>
      <x:c r="Q2227" s="22" t="n">
        <x:v>32</x:v>
      </x:c>
      <x:c r="R2227" s="22" t="n">
        <x:f>Q2227*M2227</x:f>
        <x:v>96</x:v>
      </x:c>
      <x:c r="S2227" s="22" t="n">
        <x:f>P2227-R2227</x:f>
        <x:v>30</x:v>
      </x:c>
      <x:c r="T2227" t="str">
        <x:v>Credit</x:v>
      </x:c>
      <x:c r="U2227" t="str">
        <x:v>Paid</x:v>
      </x:c>
      <x:c r="V2227" t="str">
        <x:v>Cancelled</x:v>
      </x:c>
      <x:c r="W2227" t="n">
        <x:v>3</x:v>
      </x:c>
      <x:c r="X2227" t="str">
        <x:v>Cancelled Order</x:v>
      </x:c>
      <x:c r="Y2227" t="str">
        <x:v>Existing Customer</x:v>
      </x:c>
    </x:row>
    <x:row r="2228">
      <x:c r="A2228" t="str">
        <x:v>O002227</x:v>
      </x:c>
      <x:c r="B2228" s="20" t="n">
        <x:v>45703</x:v>
      </x:c>
      <x:c r="C2228" t="str">
        <x:v>C0038</x:v>
      </x:c>
      <x:c r="D2228" t="str">
        <x:v>Mysore Kitchen 38</x:v>
      </x:c>
      <x:c r="E2228" t="str">
        <x:v>Kirana</x:v>
      </x:c>
      <x:c r="F2228" t="str">
        <x:v>Tumakuru</x:v>
      </x:c>
      <x:c r="G2228" t="str">
        <x:v>Priya</x:v>
      </x:c>
      <x:c r="H2228" t="str">
        <x:v>P042</x:v>
      </x:c>
      <x:c r="I2228" t="str">
        <x:v>Eggs 30pc Tray</x:v>
      </x:c>
      <x:c r="J2228" t="str">
        <x:v>Protein</x:v>
      </x:c>
      <x:c r="K2228" t="str">
        <x:v>Farm Fresh</x:v>
      </x:c>
      <x:c r="L2228" s="22" t="n">
        <x:v>195</x:v>
      </x:c>
      <x:c r="M2228" t="n">
        <x:v>15</x:v>
      </x:c>
      <x:c r="N2228" s="24" t="n">
        <x:v>0.1</x:v>
      </x:c>
      <x:c r="O2228" s="22" t="n">
        <x:f>L2228*M2228</x:f>
        <x:v>2925</x:v>
      </x:c>
      <x:c r="P2228" s="22" t="n">
        <x:f>O2228*(1-N2228)</x:f>
        <x:v>2632.5</x:v>
      </x:c>
      <x:c r="Q2228" s="22" t="n">
        <x:v>170</x:v>
      </x:c>
      <x:c r="R2228" s="22" t="n">
        <x:f>Q2228*M2228</x:f>
        <x:v>2550</x:v>
      </x:c>
      <x:c r="S2228" s="22" t="n">
        <x:f>P2228-R2228</x:f>
        <x:v>82.5</x:v>
      </x:c>
      <x:c r="T2228" t="str">
        <x:v>Cash</x:v>
      </x:c>
      <x:c r="U2228" t="str">
        <x:v>Pending</x:v>
      </x:c>
      <x:c r="V2228" t="str">
        <x:v>Delayed</x:v>
      </x:c>
      <x:c r="W2228" t="n">
        <x:v>0</x:v>
      </x:c>
      <x:c r="X2228" t="str"/>
      <x:c r="Y2228" t="str">
        <x:v>Referral</x:v>
      </x:c>
    </x:row>
    <x:row r="2229">
      <x:c r="A2229" t="str">
        <x:v>O002228</x:v>
      </x:c>
      <x:c r="B2229" s="20" t="n">
        <x:v>45675</x:v>
      </x:c>
      <x:c r="C2229" t="str">
        <x:v>C0072</x:v>
      </x:c>
      <x:c r="D2229" t="str">
        <x:v>Grand Restaurant 72</x:v>
      </x:c>
      <x:c r="E2229" t="str">
        <x:v>Restaurant</x:v>
      </x:c>
      <x:c r="F2229" t="str">
        <x:v>Davanagere</x:v>
      </x:c>
      <x:c r="G2229" t="str">
        <x:v>Kavya</x:v>
      </x:c>
      <x:c r="H2229" t="str">
        <x:v>P040</x:v>
      </x:c>
      <x:c r="I2229" t="str">
        <x:v>Bread Loaf 400g</x:v>
      </x:c>
      <x:c r="J2229" t="str">
        <x:v>Bakery</x:v>
      </x:c>
      <x:c r="K2229" t="str">
        <x:v>Britannia</x:v>
      </x:c>
      <x:c r="L2229" s="22" t="n">
        <x:v>45</x:v>
      </x:c>
      <x:c r="M2229" t="n">
        <x:v>30</x:v>
      </x:c>
      <x:c r="N2229" s="24" t="n">
        <x:v>0</x:v>
      </x:c>
      <x:c r="O2229" s="22" t="n">
        <x:f>L2229*M2229</x:f>
        <x:v>1350</x:v>
      </x:c>
      <x:c r="P2229" s="22" t="n">
        <x:f>O2229*(1-N2229)</x:f>
        <x:v>1350</x:v>
      </x:c>
      <x:c r="Q2229" s="22" t="n">
        <x:v>35</x:v>
      </x:c>
      <x:c r="R2229" s="22" t="n">
        <x:f>Q2229*M2229</x:f>
        <x:v>1050</x:v>
      </x:c>
      <x:c r="S2229" s="22" t="n">
        <x:f>P2229-R2229</x:f>
        <x:v>300</x:v>
      </x:c>
      <x:c r="T2229" t="str">
        <x:v>Cash</x:v>
      </x:c>
      <x:c r="U2229" t="str">
        <x:v>Paid</x:v>
      </x:c>
      <x:c r="V2229" t="str">
        <x:v>Delivered</x:v>
      </x:c>
      <x:c r="W2229" t="n">
        <x:v>0</x:v>
      </x:c>
      <x:c r="X2229" t="str"/>
      <x:c r="Y2229" t="str">
        <x:v>WhatsApp</x:v>
      </x:c>
    </x:row>
    <x:row r="2230">
      <x:c r="A2230" t="str">
        <x:v>O002229</x:v>
      </x:c>
      <x:c r="B2230" s="20" t="n">
        <x:v>46203</x:v>
      </x:c>
      <x:c r="C2230" t="str">
        <x:v>C0121</x:v>
      </x:c>
      <x:c r="D2230" t="str">
        <x:v>Mysore Restaurant 121</x:v>
      </x:c>
      <x:c r="E2230" t="str">
        <x:v>Cafe</x:v>
      </x:c>
      <x:c r="F2230" t="str">
        <x:v>Mysuru</x:v>
      </x:c>
      <x:c r="G2230" t="str">
        <x:v>Sneha</x:v>
      </x:c>
      <x:c r="H2230" t="str">
        <x:v>P019</x:v>
      </x:c>
      <x:c r="I2230" t="str">
        <x:v>Tea 1kg</x:v>
      </x:c>
      <x:c r="J2230" t="str">
        <x:v>Beverage</x:v>
      </x:c>
      <x:c r="K2230" t="str">
        <x:v>Red Label</x:v>
      </x:c>
      <x:c r="L2230" s="22" t="n">
        <x:v>540</x:v>
      </x:c>
      <x:c r="M2230" t="n">
        <x:v>28</x:v>
      </x:c>
      <x:c r="N2230" s="24" t="n">
        <x:v>0.03</x:v>
      </x:c>
      <x:c r="O2230" s="22" t="n">
        <x:f>L2230*M2230</x:f>
        <x:v>15120</x:v>
      </x:c>
      <x:c r="P2230" s="22" t="n">
        <x:f>O2230*(1-N2230)</x:f>
        <x:v>14666.4</x:v>
      </x:c>
      <x:c r="Q2230" s="22" t="n">
        <x:v>485</x:v>
      </x:c>
      <x:c r="R2230" s="22" t="n">
        <x:f>Q2230*M2230</x:f>
        <x:v>13580</x:v>
      </x:c>
      <x:c r="S2230" s="22" t="n">
        <x:f>P2230-R2230</x:f>
        <x:v>1086.3999999999996</x:v>
      </x:c>
      <x:c r="T2230" t="str">
        <x:v>Cash</x:v>
      </x:c>
      <x:c r="U2230" t="str">
        <x:v>Overdue</x:v>
      </x:c>
      <x:c r="V2230" t="str">
        <x:v>Delivered</x:v>
      </x:c>
      <x:c r="W2230" t="n">
        <x:v>0</x:v>
      </x:c>
      <x:c r="X2230" t="str"/>
      <x:c r="Y2230" t="str">
        <x:v>Outbound Call</x:v>
      </x:c>
    </x:row>
    <x:row r="2231">
      <x:c r="A2231" t="str">
        <x:v>O002230</x:v>
      </x:c>
      <x:c r="B2231" s="20" t="n">
        <x:v>45931</x:v>
      </x:c>
      <x:c r="C2231" t="str">
        <x:v>C0109</x:v>
      </x:c>
      <x:c r="D2231" t="str">
        <x:v>Annapurna Kitchen 109</x:v>
      </x:c>
      <x:c r="E2231" t="str">
        <x:v>Kirana</x:v>
      </x:c>
      <x:c r="F2231" t="str">
        <x:v>Mysuru</x:v>
      </x:c>
      <x:c r="G2231" t="str">
        <x:v>Kavya</x:v>
      </x:c>
      <x:c r="H2231" t="str">
        <x:v>P048</x:v>
      </x:c>
      <x:c r="I2231" t="str">
        <x:v>Banana 10kg</x:v>
      </x:c>
      <x:c r="J2231" t="str">
        <x:v>Fresh Produce</x:v>
      </x:c>
      <x:c r="K2231" t="str">
        <x:v>Local Market</x:v>
      </x:c>
      <x:c r="L2231" s="22" t="n">
        <x:v>420</x:v>
      </x:c>
      <x:c r="M2231" t="n">
        <x:v>34</x:v>
      </x:c>
      <x:c r="N2231" s="24" t="n">
        <x:v>0.05</x:v>
      </x:c>
      <x:c r="O2231" s="22" t="n">
        <x:f>L2231*M2231</x:f>
        <x:v>14280</x:v>
      </x:c>
      <x:c r="P2231" s="22" t="n">
        <x:f>O2231*(1-N2231)</x:f>
        <x:v>13566</x:v>
      </x:c>
      <x:c r="Q2231" s="22" t="n">
        <x:v>350</x:v>
      </x:c>
      <x:c r="R2231" s="22" t="n">
        <x:f>Q2231*M2231</x:f>
        <x:v>11900</x:v>
      </x:c>
      <x:c r="S2231" s="22" t="n">
        <x:f>P2231-R2231</x:f>
        <x:v>1666</x:v>
      </x:c>
      <x:c r="T2231" t="str">
        <x:v>Bank Transfer</x:v>
      </x:c>
      <x:c r="U2231" t="str">
        <x:v>Paid</x:v>
      </x:c>
      <x:c r="V2231" t="str">
        <x:v>Delayed</x:v>
      </x:c>
      <x:c r="W2231" t="n">
        <x:v>0</x:v>
      </x:c>
      <x:c r="X2231" t="str"/>
      <x:c r="Y2231" t="str">
        <x:v>Referral</x:v>
      </x:c>
    </x:row>
    <x:row r="2232">
      <x:c r="A2232" t="str">
        <x:v>O002231</x:v>
      </x:c>
      <x:c r="B2232" s="20" t="n">
        <x:v>46190</x:v>
      </x:c>
      <x:c r="C2232" t="str">
        <x:v>C0082</x:v>
      </x:c>
      <x:c r="D2232" t="str">
        <x:v>City Foods 82</x:v>
      </x:c>
      <x:c r="E2232" t="str">
        <x:v>Hotel</x:v>
      </x:c>
      <x:c r="F2232" t="str">
        <x:v>Mangaluru</x:v>
      </x:c>
      <x:c r="G2232" t="str">
        <x:v>Kavya</x:v>
      </x:c>
      <x:c r="H2232" t="str">
        <x:v>P042</x:v>
      </x:c>
      <x:c r="I2232" t="str">
        <x:v>Eggs 30pc Tray</x:v>
      </x:c>
      <x:c r="J2232" t="str">
        <x:v>Protein</x:v>
      </x:c>
      <x:c r="K2232" t="str">
        <x:v>Farm Fresh</x:v>
      </x:c>
      <x:c r="L2232" s="22" t="n">
        <x:v>195</x:v>
      </x:c>
      <x:c r="M2232" t="n">
        <x:v>26</x:v>
      </x:c>
      <x:c r="N2232" s="24" t="n">
        <x:v>0.05</x:v>
      </x:c>
      <x:c r="O2232" s="22" t="n">
        <x:f>L2232*M2232</x:f>
        <x:v>5070</x:v>
      </x:c>
      <x:c r="P2232" s="22" t="n">
        <x:f>O2232*(1-N2232)</x:f>
        <x:v>4816.5</x:v>
      </x:c>
      <x:c r="Q2232" s="22" t="n">
        <x:v>170</x:v>
      </x:c>
      <x:c r="R2232" s="22" t="n">
        <x:f>Q2232*M2232</x:f>
        <x:v>4420</x:v>
      </x:c>
      <x:c r="S2232" s="22" t="n">
        <x:f>P2232-R2232</x:f>
        <x:v>396.5</x:v>
      </x:c>
      <x:c r="T2232" t="str">
        <x:v>Cash</x:v>
      </x:c>
      <x:c r="U2232" t="str">
        <x:v>Paid</x:v>
      </x:c>
      <x:c r="V2232" t="str">
        <x:v>Delivered</x:v>
      </x:c>
      <x:c r="W2232" t="n">
        <x:v>0</x:v>
      </x:c>
      <x:c r="X2232" t="str"/>
      <x:c r="Y2232" t="str">
        <x:v>Referral</x:v>
      </x:c>
    </x:row>
    <x:row r="2233">
      <x:c r="A2233" t="str">
        <x:v>O002232</x:v>
      </x:c>
      <x:c r="B2233" s="20" t="n">
        <x:v>45689</x:v>
      </x:c>
      <x:c r="C2233" t="str">
        <x:v>C0229</x:v>
      </x:c>
      <x:c r="D2233" t="str">
        <x:v>Namma Canteen 229</x:v>
      </x:c>
      <x:c r="E2233" t="str">
        <x:v>Restaurant</x:v>
      </x:c>
      <x:c r="F2233" t="str">
        <x:v>Bengaluru</x:v>
      </x:c>
      <x:c r="G2233" t="str">
        <x:v>Arjun</x:v>
      </x:c>
      <x:c r="H2233" t="str">
        <x:v>P028</x:v>
      </x:c>
      <x:c r="I2233" t="str">
        <x:v>Cookies 200g</x:v>
      </x:c>
      <x:c r="J2233" t="str">
        <x:v>Snacks</x:v>
      </x:c>
      <x:c r="K2233" t="str">
        <x:v>Britannia</x:v>
      </x:c>
      <x:c r="L2233" s="22" t="n">
        <x:v>55</x:v>
      </x:c>
      <x:c r="M2233" t="n">
        <x:v>24</x:v>
      </x:c>
      <x:c r="N2233" s="24" t="n">
        <x:v>0.05</x:v>
      </x:c>
      <x:c r="O2233" s="22" t="n">
        <x:f>L2233*M2233</x:f>
        <x:v>1320</x:v>
      </x:c>
      <x:c r="P2233" s="22" t="n">
        <x:f>O2233*(1-N2233)</x:f>
        <x:v>1254</x:v>
      </x:c>
      <x:c r="Q2233" s="22" t="n">
        <x:v>42</x:v>
      </x:c>
      <x:c r="R2233" s="22" t="n">
        <x:f>Q2233*M2233</x:f>
        <x:v>1008</x:v>
      </x:c>
      <x:c r="S2233" s="22" t="n">
        <x:f>P2233-R2233</x:f>
        <x:v>246</x:v>
      </x:c>
      <x:c r="T2233" t="str">
        <x:v>Credit</x:v>
      </x:c>
      <x:c r="U2233" t="str">
        <x:v>Paid</x:v>
      </x:c>
      <x:c r="V2233" t="str">
        <x:v>Delivered</x:v>
      </x:c>
      <x:c r="W2233" t="n">
        <x:v>0</x:v>
      </x:c>
      <x:c r="X2233" t="str"/>
      <x:c r="Y2233" t="str">
        <x:v>WhatsApp</x:v>
      </x:c>
    </x:row>
    <x:row r="2234">
      <x:c r="A2234" t="str">
        <x:v>O002233</x:v>
      </x:c>
      <x:c r="B2234" s="20" t="n">
        <x:v>45872</x:v>
      </x:c>
      <x:c r="C2234" t="str">
        <x:v>C0075</x:v>
      </x:c>
      <x:c r="D2234" t="str">
        <x:v>Spice Foods 75</x:v>
      </x:c>
      <x:c r="E2234" t="str">
        <x:v>Kirana</x:v>
      </x:c>
      <x:c r="F2234" t="str">
        <x:v>Hubballi</x:v>
      </x:c>
      <x:c r="G2234" t="str">
        <x:v>Vikram</x:v>
      </x:c>
      <x:c r="H2234" t="str">
        <x:v>P034</x:v>
      </x:c>
      <x:c r="I2234" t="str">
        <x:v>Chilli Powder 1kg</x:v>
      </x:c>
      <x:c r="J2234" t="str">
        <x:v>Spices</x:v>
      </x:c>
      <x:c r="K2234" t="str">
        <x:v>MDH</x:v>
      </x:c>
      <x:c r="L2234" s="22" t="n">
        <x:v>340</x:v>
      </x:c>
      <x:c r="M2234" t="n">
        <x:v>7</x:v>
      </x:c>
      <x:c r="N2234" s="24" t="n">
        <x:v>0.05</x:v>
      </x:c>
      <x:c r="O2234" s="22" t="n">
        <x:f>L2234*M2234</x:f>
        <x:v>2380</x:v>
      </x:c>
      <x:c r="P2234" s="22" t="n">
        <x:f>O2234*(1-N2234)</x:f>
        <x:v>2261</x:v>
      </x:c>
      <x:c r="Q2234" s="22" t="n">
        <x:v>295</x:v>
      </x:c>
      <x:c r="R2234" s="22" t="n">
        <x:f>Q2234*M2234</x:f>
        <x:v>2065</x:v>
      </x:c>
      <x:c r="S2234" s="22" t="n">
        <x:f>P2234-R2234</x:f>
        <x:v>196</x:v>
      </x:c>
      <x:c r="T2234" t="str">
        <x:v>Credit</x:v>
      </x:c>
      <x:c r="U2234" t="str">
        <x:v>Paid</x:v>
      </x:c>
      <x:c r="V2234" t="str">
        <x:v>Delivered</x:v>
      </x:c>
      <x:c r="W2234" t="n">
        <x:v>0</x:v>
      </x:c>
      <x:c r="X2234" t="str"/>
      <x:c r="Y2234" t="str">
        <x:v>Referral</x:v>
      </x:c>
    </x:row>
    <x:row r="2235">
      <x:c r="A2235" t="str">
        <x:v>O002234</x:v>
      </x:c>
      <x:c r="B2235" s="20" t="n">
        <x:v>45746</x:v>
      </x:c>
      <x:c r="C2235" t="str">
        <x:v>C0055</x:v>
      </x:c>
      <x:c r="D2235" t="str">
        <x:v>Royal Mart 55</x:v>
      </x:c>
      <x:c r="E2235" t="str">
        <x:v>Restaurant</x:v>
      </x:c>
      <x:c r="F2235" t="str">
        <x:v>Hubballi</x:v>
      </x:c>
      <x:c r="G2235" t="str">
        <x:v>Vikram</x:v>
      </x:c>
      <x:c r="H2235" t="str">
        <x:v>P043</x:v>
      </x:c>
      <x:c r="I2235" t="str">
        <x:v>Chicken Breast 1kg</x:v>
      </x:c>
      <x:c r="J2235" t="str">
        <x:v>Protein</x:v>
      </x:c>
      <x:c r="K2235" t="str">
        <x:v>FreshToHome</x:v>
      </x:c>
      <x:c r="L2235" s="22" t="n">
        <x:v>260</x:v>
      </x:c>
      <x:c r="M2235" t="n">
        <x:v>24</x:v>
      </x:c>
      <x:c r="N2235" s="24" t="n">
        <x:v>0</x:v>
      </x:c>
      <x:c r="O2235" s="22" t="n">
        <x:f>L2235*M2235</x:f>
        <x:v>6240</x:v>
      </x:c>
      <x:c r="P2235" s="22" t="n">
        <x:f>O2235*(1-N2235)</x:f>
        <x:v>6240</x:v>
      </x:c>
      <x:c r="Q2235" s="22" t="n">
        <x:v>235</x:v>
      </x:c>
      <x:c r="R2235" s="22" t="n">
        <x:f>Q2235*M2235</x:f>
        <x:v>5640</x:v>
      </x:c>
      <x:c r="S2235" s="22" t="n">
        <x:f>P2235-R2235</x:f>
        <x:v>600</x:v>
      </x:c>
      <x:c r="T2235" t="str">
        <x:v>UPI</x:v>
      </x:c>
      <x:c r="U2235" t="str">
        <x:v>Paid</x:v>
      </x:c>
      <x:c r="V2235" t="str">
        <x:v>Delayed</x:v>
      </x:c>
      <x:c r="W2235" t="n">
        <x:v>0</x:v>
      </x:c>
      <x:c r="X2235" t="str"/>
      <x:c r="Y2235" t="str">
        <x:v>Referral</x:v>
      </x:c>
    </x:row>
    <x:row r="2236">
      <x:c r="A2236" t="str">
        <x:v>O002235</x:v>
      </x:c>
      <x:c r="B2236" s="20" t="n">
        <x:v>46028</x:v>
      </x:c>
      <x:c r="C2236" t="str">
        <x:v>C0038</x:v>
      </x:c>
      <x:c r="D2236" t="str">
        <x:v>Mysore Kitchen 38</x:v>
      </x:c>
      <x:c r="E2236" t="str">
        <x:v>Kirana</x:v>
      </x:c>
      <x:c r="F2236" t="str">
        <x:v>Tumakuru</x:v>
      </x:c>
      <x:c r="G2236" t="str">
        <x:v>Priya</x:v>
      </x:c>
      <x:c r="H2236" t="str">
        <x:v>P025</x:v>
      </x:c>
      <x:c r="I2236" t="str">
        <x:v>Potato Chips 100g</x:v>
      </x:c>
      <x:c r="J2236" t="str">
        <x:v>Snacks</x:v>
      </x:c>
      <x:c r="K2236" t="str">
        <x:v>Lay's</x:v>
      </x:c>
      <x:c r="L2236" s="22" t="n">
        <x:v>35</x:v>
      </x:c>
      <x:c r="M2236" t="n">
        <x:v>22</x:v>
      </x:c>
      <x:c r="N2236" s="24" t="n">
        <x:v>0.03</x:v>
      </x:c>
      <x:c r="O2236" s="22" t="n">
        <x:f>L2236*M2236</x:f>
        <x:v>770</x:v>
      </x:c>
      <x:c r="P2236" s="22" t="n">
        <x:f>O2236*(1-N2236)</x:f>
        <x:v>746.9</x:v>
      </x:c>
      <x:c r="Q2236" s="22" t="n">
        <x:v>27</x:v>
      </x:c>
      <x:c r="R2236" s="22" t="n">
        <x:f>Q2236*M2236</x:f>
        <x:v>594</x:v>
      </x:c>
      <x:c r="S2236" s="22" t="n">
        <x:f>P2236-R2236</x:f>
        <x:v>152.89999999999998</x:v>
      </x:c>
      <x:c r="T2236" t="str">
        <x:v>Credit</x:v>
      </x:c>
      <x:c r="U2236" t="str">
        <x:v>Paid</x:v>
      </x:c>
      <x:c r="V2236" t="str">
        <x:v>Delayed</x:v>
      </x:c>
      <x:c r="W2236" t="n">
        <x:v>0</x:v>
      </x:c>
      <x:c r="X2236" t="str"/>
      <x:c r="Y2236" t="str">
        <x:v>Outbound Call</x:v>
      </x:c>
    </x:row>
    <x:row r="2237">
      <x:c r="A2237" t="str">
        <x:v>O002236</x:v>
      </x:c>
      <x:c r="B2237" s="20" t="n">
        <x:v>45899</x:v>
      </x:c>
      <x:c r="C2237" t="str">
        <x:v>C0238</x:v>
      </x:c>
      <x:c r="D2237" t="str">
        <x:v>Foodie Foods 238</x:v>
      </x:c>
      <x:c r="E2237" t="str">
        <x:v>Restaurant</x:v>
      </x:c>
      <x:c r="F2237" t="str">
        <x:v>Davanagere</x:v>
      </x:c>
      <x:c r="G2237" t="str">
        <x:v>Megha</x:v>
      </x:c>
      <x:c r="H2237" t="str">
        <x:v>P010</x:v>
      </x:c>
      <x:c r="I2237" t="str">
        <x:v>Sugar 25kg</x:v>
      </x:c>
      <x:c r="J2237" t="str">
        <x:v>Staples</x:v>
      </x:c>
      <x:c r="K2237" t="str">
        <x:v>Madhur</x:v>
      </x:c>
      <x:c r="L2237" s="22" t="n">
        <x:v>1190</x:v>
      </x:c>
      <x:c r="M2237" t="n">
        <x:v>8</x:v>
      </x:c>
      <x:c r="N2237" s="24" t="n">
        <x:v>0.05</x:v>
      </x:c>
      <x:c r="O2237" s="22" t="n">
        <x:f>L2237*M2237</x:f>
        <x:v>9520</x:v>
      </x:c>
      <x:c r="P2237" s="22" t="n">
        <x:f>O2237*(1-N2237)</x:f>
        <x:v>9044</x:v>
      </x:c>
      <x:c r="Q2237" s="22" t="n">
        <x:v>1080</x:v>
      </x:c>
      <x:c r="R2237" s="22" t="n">
        <x:f>Q2237*M2237</x:f>
        <x:v>8640</x:v>
      </x:c>
      <x:c r="S2237" s="22" t="n">
        <x:f>P2237-R2237</x:f>
        <x:v>404</x:v>
      </x:c>
      <x:c r="T2237" t="str">
        <x:v>Bank Transfer</x:v>
      </x:c>
      <x:c r="U2237" t="str">
        <x:v>Paid</x:v>
      </x:c>
      <x:c r="V2237" t="str">
        <x:v>Delivered</x:v>
      </x:c>
      <x:c r="W2237" t="n">
        <x:v>0</x:v>
      </x:c>
      <x:c r="X2237" t="str"/>
      <x:c r="Y2237" t="str">
        <x:v>Existing Customer</x:v>
      </x:c>
    </x:row>
    <x:row r="2238">
      <x:c r="A2238" t="str">
        <x:v>O002237</x:v>
      </x:c>
      <x:c r="B2238" s="20" t="n">
        <x:v>45833</x:v>
      </x:c>
      <x:c r="C2238" t="str">
        <x:v>C0007</x:v>
      </x:c>
      <x:c r="D2238" t="str">
        <x:v>Mysore Stores 7</x:v>
      </x:c>
      <x:c r="E2238" t="str">
        <x:v>Kirana</x:v>
      </x:c>
      <x:c r="F2238" t="str">
        <x:v>Bengaluru</x:v>
      </x:c>
      <x:c r="G2238" t="str">
        <x:v>Kavya</x:v>
      </x:c>
      <x:c r="H2238" t="str">
        <x:v>P010</x:v>
      </x:c>
      <x:c r="I2238" t="str">
        <x:v>Sugar 25kg</x:v>
      </x:c>
      <x:c r="J2238" t="str">
        <x:v>Staples</x:v>
      </x:c>
      <x:c r="K2238" t="str">
        <x:v>Madhur</x:v>
      </x:c>
      <x:c r="L2238" s="22" t="n">
        <x:v>1190</x:v>
      </x:c>
      <x:c r="M2238" t="n">
        <x:v>8</x:v>
      </x:c>
      <x:c r="N2238" s="24" t="n">
        <x:v>0.05</x:v>
      </x:c>
      <x:c r="O2238" s="22" t="n">
        <x:f>L2238*M2238</x:f>
        <x:v>9520</x:v>
      </x:c>
      <x:c r="P2238" s="22" t="n">
        <x:f>O2238*(1-N2238)</x:f>
        <x:v>9044</x:v>
      </x:c>
      <x:c r="Q2238" s="22" t="n">
        <x:v>1080</x:v>
      </x:c>
      <x:c r="R2238" s="22" t="n">
        <x:f>Q2238*M2238</x:f>
        <x:v>8640</x:v>
      </x:c>
      <x:c r="S2238" s="22" t="n">
        <x:f>P2238-R2238</x:f>
        <x:v>404</x:v>
      </x:c>
      <x:c r="T2238" t="str">
        <x:v>UPI</x:v>
      </x:c>
      <x:c r="U2238" t="str">
        <x:v>Paid</x:v>
      </x:c>
      <x:c r="V2238" t="str">
        <x:v>Delivered</x:v>
      </x:c>
      <x:c r="W2238" t="n">
        <x:v>0</x:v>
      </x:c>
      <x:c r="X2238" t="str"/>
      <x:c r="Y2238" t="str">
        <x:v>Field Visit</x:v>
      </x:c>
    </x:row>
    <x:row r="2239">
      <x:c r="A2239" t="str">
        <x:v>O002238</x:v>
      </x:c>
      <x:c r="B2239" s="20" t="n">
        <x:v>46116</x:v>
      </x:c>
      <x:c r="C2239" t="str">
        <x:v>C0183</x:v>
      </x:c>
      <x:c r="D2239" t="str">
        <x:v>Spice Mart 183</x:v>
      </x:c>
      <x:c r="E2239" t="str">
        <x:v>Kirana</x:v>
      </x:c>
      <x:c r="F2239" t="str">
        <x:v>Mangaluru</x:v>
      </x:c>
      <x:c r="G2239" t="str">
        <x:v>Kavya</x:v>
      </x:c>
      <x:c r="H2239" t="str">
        <x:v>P035</x:v>
      </x:c>
      <x:c r="I2239" t="str">
        <x:v>Coriander Powder 1kg</x:v>
      </x:c>
      <x:c r="J2239" t="str">
        <x:v>Spices</x:v>
      </x:c>
      <x:c r="K2239" t="str">
        <x:v>Everest</x:v>
      </x:c>
      <x:c r="L2239" s="22" t="n">
        <x:v>280</x:v>
      </x:c>
      <x:c r="M2239" t="n">
        <x:v>4</x:v>
      </x:c>
      <x:c r="N2239" s="24" t="n">
        <x:v>0.05</x:v>
      </x:c>
      <x:c r="O2239" s="22" t="n">
        <x:f>L2239*M2239</x:f>
        <x:v>1120</x:v>
      </x:c>
      <x:c r="P2239" s="22" t="n">
        <x:f>O2239*(1-N2239)</x:f>
        <x:v>1064</x:v>
      </x:c>
      <x:c r="Q2239" s="22" t="n">
        <x:v>245</x:v>
      </x:c>
      <x:c r="R2239" s="22" t="n">
        <x:f>Q2239*M2239</x:f>
        <x:v>980</x:v>
      </x:c>
      <x:c r="S2239" s="22" t="n">
        <x:f>P2239-R2239</x:f>
        <x:v>84</x:v>
      </x:c>
      <x:c r="T2239" t="str">
        <x:v>Cash</x:v>
      </x:c>
      <x:c r="U2239" t="str">
        <x:v>Pending</x:v>
      </x:c>
      <x:c r="V2239" t="str">
        <x:v>Delivered</x:v>
      </x:c>
      <x:c r="W2239" t="n">
        <x:v>0</x:v>
      </x:c>
      <x:c r="X2239" t="str"/>
      <x:c r="Y2239" t="str">
        <x:v>Field Visit</x:v>
      </x:c>
    </x:row>
    <x:row r="2240">
      <x:c r="A2240" t="str">
        <x:v>O002239</x:v>
      </x:c>
      <x:c r="B2240" s="20" t="n">
        <x:v>46088</x:v>
      </x:c>
      <x:c r="C2240" t="str">
        <x:v>C0203</x:v>
      </x:c>
      <x:c r="D2240" t="str">
        <x:v>Namma Mart 203</x:v>
      </x:c>
      <x:c r="E2240" t="str">
        <x:v>Kirana</x:v>
      </x:c>
      <x:c r="F2240" t="str">
        <x:v>Tumakuru</x:v>
      </x:c>
      <x:c r="G2240" t="str">
        <x:v>Priya</x:v>
      </x:c>
      <x:c r="H2240" t="str">
        <x:v>P029</x:v>
      </x:c>
      <x:c r="I2240" t="str">
        <x:v>Tomato Ketchup 1kg</x:v>
      </x:c>
      <x:c r="J2240" t="str">
        <x:v>Condiments</x:v>
      </x:c>
      <x:c r="K2240" t="str">
        <x:v>Kissan</x:v>
      </x:c>
      <x:c r="L2240" s="22" t="n">
        <x:v>145</x:v>
      </x:c>
      <x:c r="M2240" t="n">
        <x:v>32</x:v>
      </x:c>
      <x:c r="N2240" s="24" t="n">
        <x:v>0.02</x:v>
      </x:c>
      <x:c r="O2240" s="22" t="n">
        <x:f>L2240*M2240</x:f>
        <x:v>4640</x:v>
      </x:c>
      <x:c r="P2240" s="22" t="n">
        <x:f>O2240*(1-N2240)</x:f>
        <x:v>4547.2</x:v>
      </x:c>
      <x:c r="Q2240" s="22" t="n">
        <x:v>126</x:v>
      </x:c>
      <x:c r="R2240" s="22" t="n">
        <x:f>Q2240*M2240</x:f>
        <x:v>4032</x:v>
      </x:c>
      <x:c r="S2240" s="22" t="n">
        <x:f>P2240-R2240</x:f>
        <x:v>515.1999999999998</x:v>
      </x:c>
      <x:c r="T2240" t="str">
        <x:v>Bank Transfer</x:v>
      </x:c>
      <x:c r="U2240" t="str">
        <x:v>Paid</x:v>
      </x:c>
      <x:c r="V2240" t="str">
        <x:v>Delivered</x:v>
      </x:c>
      <x:c r="W2240" t="n">
        <x:v>0</x:v>
      </x:c>
      <x:c r="X2240" t="str"/>
      <x:c r="Y2240" t="str">
        <x:v>Existing Customer</x:v>
      </x:c>
    </x:row>
    <x:row r="2241">
      <x:c r="A2241" t="str">
        <x:v>O002240</x:v>
      </x:c>
      <x:c r="B2241" s="20" t="n">
        <x:v>46121</x:v>
      </x:c>
      <x:c r="C2241" t="str">
        <x:v>C0176</x:v>
      </x:c>
      <x:c r="D2241" t="str">
        <x:v>Cafe Kitchen 176</x:v>
      </x:c>
      <x:c r="E2241" t="str">
        <x:v>Kirana</x:v>
      </x:c>
      <x:c r="F2241" t="str">
        <x:v>Mysuru</x:v>
      </x:c>
      <x:c r="G2241" t="str">
        <x:v>Priya</x:v>
      </x:c>
      <x:c r="H2241" t="str">
        <x:v>P003</x:v>
      </x:c>
      <x:c r="I2241" t="str">
        <x:v>Basmati Rice 5kg</x:v>
      </x:c>
      <x:c r="J2241" t="str">
        <x:v>Staples</x:v>
      </x:c>
      <x:c r="K2241" t="str">
        <x:v>India Gate</x:v>
      </x:c>
      <x:c r="L2241" s="22" t="n">
        <x:v>690</x:v>
      </x:c>
      <x:c r="M2241" t="n">
        <x:v>14</x:v>
      </x:c>
      <x:c r="N2241" s="24" t="n">
        <x:v>0.03</x:v>
      </x:c>
      <x:c r="O2241" s="22" t="n">
        <x:f>L2241*M2241</x:f>
        <x:v>9660</x:v>
      </x:c>
      <x:c r="P2241" s="22" t="n">
        <x:f>O2241*(1-N2241)</x:f>
        <x:v>9370.199999999999</x:v>
      </x:c>
      <x:c r="Q2241" s="22" t="n">
        <x:v>610</x:v>
      </x:c>
      <x:c r="R2241" s="22" t="n">
        <x:f>Q2241*M2241</x:f>
        <x:v>8540</x:v>
      </x:c>
      <x:c r="S2241" s="22" t="n">
        <x:f>P2241-R2241</x:f>
        <x:v>830.1999999999989</x:v>
      </x:c>
      <x:c r="T2241" t="str">
        <x:v>UPI</x:v>
      </x:c>
      <x:c r="U2241" t="str">
        <x:v>Paid</x:v>
      </x:c>
      <x:c r="V2241" t="str">
        <x:v>Delivered</x:v>
      </x:c>
      <x:c r="W2241" t="n">
        <x:v>0</x:v>
      </x:c>
      <x:c r="X2241" t="str"/>
      <x:c r="Y2241" t="str">
        <x:v>Existing Customer</x:v>
      </x:c>
    </x:row>
    <x:row r="2242">
      <x:c r="A2242" t="str">
        <x:v>O002241</x:v>
      </x:c>
      <x:c r="B2242" s="20" t="n">
        <x:v>46036</x:v>
      </x:c>
      <x:c r="C2242" t="str">
        <x:v>C0149</x:v>
      </x:c>
      <x:c r="D2242" t="str">
        <x:v>Annapurna Hotel 149</x:v>
      </x:c>
      <x:c r="E2242" t="str">
        <x:v>Cafe</x:v>
      </x:c>
      <x:c r="F2242" t="str">
        <x:v>Tumakuru</x:v>
      </x:c>
      <x:c r="G2242" t="str">
        <x:v>Megha</x:v>
      </x:c>
      <x:c r="H2242" t="str">
        <x:v>P020</x:v>
      </x:c>
      <x:c r="I2242" t="str">
        <x:v>Coffee 500g</x:v>
      </x:c>
      <x:c r="J2242" t="str">
        <x:v>Beverage</x:v>
      </x:c>
      <x:c r="K2242" t="str">
        <x:v>Bru</x:v>
      </x:c>
      <x:c r="L2242" s="22" t="n">
        <x:v>390</x:v>
      </x:c>
      <x:c r="M2242" t="n">
        <x:v>33</x:v>
      </x:c>
      <x:c r="N2242" s="24" t="n">
        <x:v>0.1</x:v>
      </x:c>
      <x:c r="O2242" s="22" t="n">
        <x:f>L2242*M2242</x:f>
        <x:v>12870</x:v>
      </x:c>
      <x:c r="P2242" s="22" t="n">
        <x:f>O2242*(1-N2242)</x:f>
        <x:v>11583</x:v>
      </x:c>
      <x:c r="Q2242" s="22" t="n">
        <x:v>350</x:v>
      </x:c>
      <x:c r="R2242" s="22" t="n">
        <x:f>Q2242*M2242</x:f>
        <x:v>11550</x:v>
      </x:c>
      <x:c r="S2242" s="22" t="n">
        <x:f>P2242-R2242</x:f>
        <x:v>33</x:v>
      </x:c>
      <x:c r="T2242" t="str">
        <x:v>Credit</x:v>
      </x:c>
      <x:c r="U2242" t="str">
        <x:v>Paid</x:v>
      </x:c>
      <x:c r="V2242" t="str">
        <x:v>Delayed</x:v>
      </x:c>
      <x:c r="W2242" t="n">
        <x:v>0</x:v>
      </x:c>
      <x:c r="X2242" t="str"/>
      <x:c r="Y2242" t="str">
        <x:v>Referral</x:v>
      </x:c>
    </x:row>
    <x:row r="2243">
      <x:c r="A2243" t="str">
        <x:v>O002242</x:v>
      </x:c>
      <x:c r="B2243" s="20" t="n">
        <x:v>46111</x:v>
      </x:c>
      <x:c r="C2243" t="str">
        <x:v>C0141</x:v>
      </x:c>
      <x:c r="D2243" t="str">
        <x:v>Sri Restaurant 141</x:v>
      </x:c>
      <x:c r="E2243" t="str">
        <x:v>Restaurant</x:v>
      </x:c>
      <x:c r="F2243" t="str">
        <x:v>Mangaluru</x:v>
      </x:c>
      <x:c r="G2243" t="str">
        <x:v>Ramesh</x:v>
      </x:c>
      <x:c r="H2243" t="str">
        <x:v>P033</x:v>
      </x:c>
      <x:c r="I2243" t="str">
        <x:v>Turmeric Powder 1kg</x:v>
      </x:c>
      <x:c r="J2243" t="str">
        <x:v>Spices</x:v>
      </x:c>
      <x:c r="K2243" t="str">
        <x:v>Everest</x:v>
      </x:c>
      <x:c r="L2243" s="22" t="n">
        <x:v>310</x:v>
      </x:c>
      <x:c r="M2243" t="n">
        <x:v>27</x:v>
      </x:c>
      <x:c r="N2243" s="24" t="n">
        <x:v>0</x:v>
      </x:c>
      <x:c r="O2243" s="22" t="n">
        <x:f>L2243*M2243</x:f>
        <x:v>8370</x:v>
      </x:c>
      <x:c r="P2243" s="22" t="n">
        <x:f>O2243*(1-N2243)</x:f>
        <x:v>8370</x:v>
      </x:c>
      <x:c r="Q2243" s="22" t="n">
        <x:v>270</x:v>
      </x:c>
      <x:c r="R2243" s="22" t="n">
        <x:f>Q2243*M2243</x:f>
        <x:v>7290</x:v>
      </x:c>
      <x:c r="S2243" s="22" t="n">
        <x:f>P2243-R2243</x:f>
        <x:v>1080</x:v>
      </x:c>
      <x:c r="T2243" t="str">
        <x:v>UPI</x:v>
      </x:c>
      <x:c r="U2243" t="str">
        <x:v>Pending</x:v>
      </x:c>
      <x:c r="V2243" t="str">
        <x:v>Delivered</x:v>
      </x:c>
      <x:c r="W2243" t="n">
        <x:v>0</x:v>
      </x:c>
      <x:c r="X2243" t="str"/>
      <x:c r="Y2243" t="str">
        <x:v>WhatsApp</x:v>
      </x:c>
    </x:row>
    <x:row r="2244">
      <x:c r="A2244" t="str">
        <x:v>O002243</x:v>
      </x:c>
      <x:c r="B2244" s="20" t="n">
        <x:v>46066</x:v>
      </x:c>
      <x:c r="C2244" t="str">
        <x:v>C0061</x:v>
      </x:c>
      <x:c r="D2244" t="str">
        <x:v>Spice Stores 61</x:v>
      </x:c>
      <x:c r="E2244" t="str">
        <x:v>Restaurant</x:v>
      </x:c>
      <x:c r="F2244" t="str">
        <x:v>Tumakuru</x:v>
      </x:c>
      <x:c r="G2244" t="str">
        <x:v>Ramesh</x:v>
      </x:c>
      <x:c r="H2244" t="str">
        <x:v>P038</x:v>
      </x:c>
      <x:c r="I2244" t="str">
        <x:v>French Fries 2.5kg</x:v>
      </x:c>
      <x:c r="J2244" t="str">
        <x:v>Frozen</x:v>
      </x:c>
      <x:c r="K2244" t="str">
        <x:v>McCain</x:v>
      </x:c>
      <x:c r="L2244" s="22" t="n">
        <x:v>360</x:v>
      </x:c>
      <x:c r="M2244" t="n">
        <x:v>7</x:v>
      </x:c>
      <x:c r="N2244" s="24" t="n">
        <x:v>0</x:v>
      </x:c>
      <x:c r="O2244" s="22" t="n">
        <x:f>L2244*M2244</x:f>
        <x:v>2520</x:v>
      </x:c>
      <x:c r="P2244" s="22" t="n">
        <x:f>O2244*(1-N2244)</x:f>
        <x:v>2520</x:v>
      </x:c>
      <x:c r="Q2244" s="22" t="n">
        <x:v>315</x:v>
      </x:c>
      <x:c r="R2244" s="22" t="n">
        <x:f>Q2244*M2244</x:f>
        <x:v>2205</x:v>
      </x:c>
      <x:c r="S2244" s="22" t="n">
        <x:f>P2244-R2244</x:f>
        <x:v>315</x:v>
      </x:c>
      <x:c r="T2244" t="str">
        <x:v>UPI</x:v>
      </x:c>
      <x:c r="U2244" t="str">
        <x:v>Paid</x:v>
      </x:c>
      <x:c r="V2244" t="str">
        <x:v>Delivered</x:v>
      </x:c>
      <x:c r="W2244" t="n">
        <x:v>0</x:v>
      </x:c>
      <x:c r="X2244" t="str"/>
      <x:c r="Y2244" t="str">
        <x:v>Existing Customer</x:v>
      </x:c>
    </x:row>
    <x:row r="2245">
      <x:c r="A2245" t="str">
        <x:v>O002244</x:v>
      </x:c>
      <x:c r="B2245" s="20" t="n">
        <x:v>45816</x:v>
      </x:c>
      <x:c r="C2245" t="str">
        <x:v>C0140</x:v>
      </x:c>
      <x:c r="D2245" t="str">
        <x:v>Fresh Hotel 140</x:v>
      </x:c>
      <x:c r="E2245" t="str">
        <x:v>Kirana</x:v>
      </x:c>
      <x:c r="F2245" t="str">
        <x:v>Tumakuru</x:v>
      </x:c>
      <x:c r="G2245" t="str">
        <x:v>Imran</x:v>
      </x:c>
      <x:c r="H2245" t="str">
        <x:v>P007</x:v>
      </x:c>
      <x:c r="I2245" t="str">
        <x:v>Sunflower Oil 15L</x:v>
      </x:c>
      <x:c r="J2245" t="str">
        <x:v>Edible Oil</x:v>
      </x:c>
      <x:c r="K2245" t="str">
        <x:v>Fortune</x:v>
      </x:c>
      <x:c r="L2245" s="22" t="n">
        <x:v>1980</x:v>
      </x:c>
      <x:c r="M2245" t="n">
        <x:v>11</x:v>
      </x:c>
      <x:c r="N2245" s="24" t="n">
        <x:v>0.05</x:v>
      </x:c>
      <x:c r="O2245" s="22" t="n">
        <x:f>L2245*M2245</x:f>
        <x:v>21780</x:v>
      </x:c>
      <x:c r="P2245" s="22" t="n">
        <x:f>O2245*(1-N2245)</x:f>
        <x:v>20691</x:v>
      </x:c>
      <x:c r="Q2245" s="22" t="n">
        <x:v>1810</x:v>
      </x:c>
      <x:c r="R2245" s="22" t="n">
        <x:f>Q2245*M2245</x:f>
        <x:v>19910</x:v>
      </x:c>
      <x:c r="S2245" s="22" t="n">
        <x:f>P2245-R2245</x:f>
        <x:v>781</x:v>
      </x:c>
      <x:c r="T2245" t="str">
        <x:v>Credit</x:v>
      </x:c>
      <x:c r="U2245" t="str">
        <x:v>Pending</x:v>
      </x:c>
      <x:c r="V2245" t="str">
        <x:v>Delivered</x:v>
      </x:c>
      <x:c r="W2245" t="n">
        <x:v>0</x:v>
      </x:c>
      <x:c r="X2245" t="str"/>
      <x:c r="Y2245" t="str">
        <x:v>Referral</x:v>
      </x:c>
    </x:row>
    <x:row r="2246">
      <x:c r="A2246" t="str">
        <x:v>O002245</x:v>
      </x:c>
      <x:c r="B2246" s="20" t="n">
        <x:v>46158</x:v>
      </x:c>
      <x:c r="C2246" t="str">
        <x:v>C0007</x:v>
      </x:c>
      <x:c r="D2246" t="str">
        <x:v>Mysore Stores 7</x:v>
      </x:c>
      <x:c r="E2246" t="str">
        <x:v>Kirana</x:v>
      </x:c>
      <x:c r="F2246" t="str">
        <x:v>Bengaluru</x:v>
      </x:c>
      <x:c r="G2246" t="str">
        <x:v>Kavya</x:v>
      </x:c>
      <x:c r="H2246" t="str">
        <x:v>P042</x:v>
      </x:c>
      <x:c r="I2246" t="str">
        <x:v>Eggs 30pc Tray</x:v>
      </x:c>
      <x:c r="J2246" t="str">
        <x:v>Protein</x:v>
      </x:c>
      <x:c r="K2246" t="str">
        <x:v>Farm Fresh</x:v>
      </x:c>
      <x:c r="L2246" s="22" t="n">
        <x:v>195</x:v>
      </x:c>
      <x:c r="M2246" t="n">
        <x:v>1</x:v>
      </x:c>
      <x:c r="N2246" s="24" t="n">
        <x:v>0.08</x:v>
      </x:c>
      <x:c r="O2246" s="22" t="n">
        <x:f>L2246*M2246</x:f>
        <x:v>195</x:v>
      </x:c>
      <x:c r="P2246" s="22" t="n">
        <x:f>O2246*(1-N2246)</x:f>
        <x:v>179.4</x:v>
      </x:c>
      <x:c r="Q2246" s="22" t="n">
        <x:v>170</x:v>
      </x:c>
      <x:c r="R2246" s="22" t="n">
        <x:f>Q2246*M2246</x:f>
        <x:v>170</x:v>
      </x:c>
      <x:c r="S2246" s="22" t="n">
        <x:f>P2246-R2246</x:f>
        <x:v>9.400000000000006</x:v>
      </x:c>
      <x:c r="T2246" t="str">
        <x:v>Credit</x:v>
      </x:c>
      <x:c r="U2246" t="str">
        <x:v>Paid</x:v>
      </x:c>
      <x:c r="V2246" t="str">
        <x:v>Delayed</x:v>
      </x:c>
      <x:c r="W2246" t="n">
        <x:v>0</x:v>
      </x:c>
      <x:c r="X2246" t="str"/>
      <x:c r="Y2246" t="str">
        <x:v>Outbound Call</x:v>
      </x:c>
    </x:row>
    <x:row r="2247">
      <x:c r="A2247" t="str">
        <x:v>O002246</x:v>
      </x:c>
      <x:c r="B2247" s="20" t="n">
        <x:v>46258</x:v>
      </x:c>
      <x:c r="C2247" t="str">
        <x:v>C0013</x:v>
      </x:c>
      <x:c r="D2247" t="str">
        <x:v>Foodie Restaurant 13</x:v>
      </x:c>
      <x:c r="E2247" t="str">
        <x:v>Kirana</x:v>
      </x:c>
      <x:c r="F2247" t="str">
        <x:v>Mysuru</x:v>
      </x:c>
      <x:c r="G2247" t="str">
        <x:v>Sneha</x:v>
      </x:c>
      <x:c r="H2247" t="str">
        <x:v>P030</x:v>
      </x:c>
      <x:c r="I2247" t="str">
        <x:v>Mayonnaise 1kg</x:v>
      </x:c>
      <x:c r="J2247" t="str">
        <x:v>Condiments</x:v>
      </x:c>
      <x:c r="K2247" t="str">
        <x:v>Veeba</x:v>
      </x:c>
      <x:c r="L2247" s="22" t="n">
        <x:v>210</x:v>
      </x:c>
      <x:c r="M2247" t="n">
        <x:v>9</x:v>
      </x:c>
      <x:c r="N2247" s="24" t="n">
        <x:v>0</x:v>
      </x:c>
      <x:c r="O2247" s="22" t="n">
        <x:f>L2247*M2247</x:f>
        <x:v>1890</x:v>
      </x:c>
      <x:c r="P2247" s="22" t="n">
        <x:f>O2247*(1-N2247)</x:f>
        <x:v>1890</x:v>
      </x:c>
      <x:c r="Q2247" s="22" t="n">
        <x:v>185</x:v>
      </x:c>
      <x:c r="R2247" s="22" t="n">
        <x:f>Q2247*M2247</x:f>
        <x:v>1665</x:v>
      </x:c>
      <x:c r="S2247" s="22" t="n">
        <x:f>P2247-R2247</x:f>
        <x:v>225</x:v>
      </x:c>
      <x:c r="T2247" t="str">
        <x:v>Bank Transfer</x:v>
      </x:c>
      <x:c r="U2247" t="str">
        <x:v>Paid</x:v>
      </x:c>
      <x:c r="V2247" t="str">
        <x:v>Delivered</x:v>
      </x:c>
      <x:c r="W2247" t="n">
        <x:v>0</x:v>
      </x:c>
      <x:c r="X2247" t="str"/>
      <x:c r="Y2247" t="str">
        <x:v>Existing Customer</x:v>
      </x:c>
    </x:row>
    <x:row r="2248">
      <x:c r="A2248" t="str">
        <x:v>O002247</x:v>
      </x:c>
      <x:c r="B2248" s="20" t="n">
        <x:v>46181</x:v>
      </x:c>
      <x:c r="C2248" t="str">
        <x:v>C0058</x:v>
      </x:c>
      <x:c r="D2248" t="str">
        <x:v>Spice Kitchen 58</x:v>
      </x:c>
      <x:c r="E2248" t="str">
        <x:v>Supermarket</x:v>
      </x:c>
      <x:c r="F2248" t="str">
        <x:v>Davanagere</x:v>
      </x:c>
      <x:c r="G2248" t="str">
        <x:v>Sneha</x:v>
      </x:c>
      <x:c r="H2248" t="str">
        <x:v>P018</x:v>
      </x:c>
      <x:c r="I2248" t="str">
        <x:v>Paneer 1kg</x:v>
      </x:c>
      <x:c r="J2248" t="str">
        <x:v>Dairy</x:v>
      </x:c>
      <x:c r="K2248" t="str">
        <x:v>Milky Mist</x:v>
      </x:c>
      <x:c r="L2248" s="22" t="n">
        <x:v>410</x:v>
      </x:c>
      <x:c r="M2248" t="n">
        <x:v>28</x:v>
      </x:c>
      <x:c r="N2248" s="24" t="n">
        <x:v>0.05</x:v>
      </x:c>
      <x:c r="O2248" s="22" t="n">
        <x:f>L2248*M2248</x:f>
        <x:v>11480</x:v>
      </x:c>
      <x:c r="P2248" s="22" t="n">
        <x:f>O2248*(1-N2248)</x:f>
        <x:v>10906</x:v>
      </x:c>
      <x:c r="Q2248" s="22" t="n">
        <x:v>370</x:v>
      </x:c>
      <x:c r="R2248" s="22" t="n">
        <x:f>Q2248*M2248</x:f>
        <x:v>10360</x:v>
      </x:c>
      <x:c r="S2248" s="22" t="n">
        <x:f>P2248-R2248</x:f>
        <x:v>546</x:v>
      </x:c>
      <x:c r="T2248" t="str">
        <x:v>Credit</x:v>
      </x:c>
      <x:c r="U2248" t="str">
        <x:v>Overdue</x:v>
      </x:c>
      <x:c r="V2248" t="str">
        <x:v>Delivered</x:v>
      </x:c>
      <x:c r="W2248" t="n">
        <x:v>0</x:v>
      </x:c>
      <x:c r="X2248" t="str"/>
      <x:c r="Y2248" t="str">
        <x:v>Outbound Call</x:v>
      </x:c>
    </x:row>
    <x:row r="2249">
      <x:c r="A2249" t="str">
        <x:v>O002248</x:v>
      </x:c>
      <x:c r="B2249" s="20" t="n">
        <x:v>46181</x:v>
      </x:c>
      <x:c r="C2249" t="str">
        <x:v>C0084</x:v>
      </x:c>
      <x:c r="D2249" t="str">
        <x:v>Green Cafe 84</x:v>
      </x:c>
      <x:c r="E2249" t="str">
        <x:v>Hotel</x:v>
      </x:c>
      <x:c r="F2249" t="str">
        <x:v>Mysuru</x:v>
      </x:c>
      <x:c r="G2249" t="str">
        <x:v>Priya</x:v>
      </x:c>
      <x:c r="H2249" t="str">
        <x:v>P030</x:v>
      </x:c>
      <x:c r="I2249" t="str">
        <x:v>Mayonnaise 1kg</x:v>
      </x:c>
      <x:c r="J2249" t="str">
        <x:v>Condiments</x:v>
      </x:c>
      <x:c r="K2249" t="str">
        <x:v>Veeba</x:v>
      </x:c>
      <x:c r="L2249" s="22" t="n">
        <x:v>210</x:v>
      </x:c>
      <x:c r="M2249" t="n">
        <x:v>40</x:v>
      </x:c>
      <x:c r="N2249" s="24" t="n">
        <x:v>0.03</x:v>
      </x:c>
      <x:c r="O2249" s="22" t="n">
        <x:f>L2249*M2249</x:f>
        <x:v>8400</x:v>
      </x:c>
      <x:c r="P2249" s="22" t="n">
        <x:f>O2249*(1-N2249)</x:f>
        <x:v>8148</x:v>
      </x:c>
      <x:c r="Q2249" s="22" t="n">
        <x:v>185</x:v>
      </x:c>
      <x:c r="R2249" s="22" t="n">
        <x:f>Q2249*M2249</x:f>
        <x:v>7400</x:v>
      </x:c>
      <x:c r="S2249" s="22" t="n">
        <x:f>P2249-R2249</x:f>
        <x:v>748</x:v>
      </x:c>
      <x:c r="T2249" t="str">
        <x:v>Bank Transfer</x:v>
      </x:c>
      <x:c r="U2249" t="str">
        <x:v>Overdue</x:v>
      </x:c>
      <x:c r="V2249" t="str">
        <x:v>Delivered</x:v>
      </x:c>
      <x:c r="W2249" t="n">
        <x:v>0</x:v>
      </x:c>
      <x:c r="X2249" t="str"/>
      <x:c r="Y2249" t="str"/>
    </x:row>
    <x:row r="2250">
      <x:c r="A2250" t="str">
        <x:v>O002249</x:v>
      </x:c>
      <x:c r="B2250" s="20" t="n">
        <x:v>45899</x:v>
      </x:c>
      <x:c r="C2250" t="str">
        <x:v>C0125</x:v>
      </x:c>
      <x:c r="D2250" t="str">
        <x:v>Spice Restaurant 125</x:v>
      </x:c>
      <x:c r="E2250" t="str">
        <x:v>Kirana</x:v>
      </x:c>
      <x:c r="F2250" t="str">
        <x:v>Tumakuru</x:v>
      </x:c>
      <x:c r="G2250" t="str">
        <x:v>Ramesh</x:v>
      </x:c>
      <x:c r="H2250" t="str">
        <x:v>P029</x:v>
      </x:c>
      <x:c r="I2250" t="str">
        <x:v>Tomato Ketchup 1kg</x:v>
      </x:c>
      <x:c r="J2250" t="str">
        <x:v>Condiments</x:v>
      </x:c>
      <x:c r="K2250" t="str">
        <x:v>Kissan</x:v>
      </x:c>
      <x:c r="L2250" s="22" t="n">
        <x:v>145</x:v>
      </x:c>
      <x:c r="M2250" t="n">
        <x:v>7</x:v>
      </x:c>
      <x:c r="N2250" s="24" t="n">
        <x:v>0.05</x:v>
      </x:c>
      <x:c r="O2250" s="22" t="n">
        <x:f>L2250*M2250</x:f>
        <x:v>1015</x:v>
      </x:c>
      <x:c r="P2250" s="22" t="n">
        <x:f>O2250*(1-N2250)</x:f>
        <x:v>964.25</x:v>
      </x:c>
      <x:c r="Q2250" s="22" t="n">
        <x:v>126</x:v>
      </x:c>
      <x:c r="R2250" s="22" t="n">
        <x:f>Q2250*M2250</x:f>
        <x:v>882</x:v>
      </x:c>
      <x:c r="S2250" s="22" t="n">
        <x:f>P2250-R2250</x:f>
        <x:v>82.25</x:v>
      </x:c>
      <x:c r="T2250" t="str">
        <x:v>Bank Transfer</x:v>
      </x:c>
      <x:c r="U2250" t="str">
        <x:v>Paid</x:v>
      </x:c>
      <x:c r="V2250" t="str">
        <x:v>Delivered</x:v>
      </x:c>
      <x:c r="W2250" t="n">
        <x:v>0</x:v>
      </x:c>
      <x:c r="X2250" t="str"/>
      <x:c r="Y2250" t="str">
        <x:v>Outbound Call</x:v>
      </x:c>
    </x:row>
    <x:row r="2251">
      <x:c r="A2251" t="str">
        <x:v>O002250</x:v>
      </x:c>
      <x:c r="B2251" s="20" t="n">
        <x:v>46108</x:v>
      </x:c>
      <x:c r="C2251" t="str">
        <x:v>C0197</x:v>
      </x:c>
      <x:c r="D2251" t="str">
        <x:v>New Foods 197</x:v>
      </x:c>
      <x:c r="E2251" t="str">
        <x:v>Cafe</x:v>
      </x:c>
      <x:c r="F2251" t="str">
        <x:v>Hubballi</x:v>
      </x:c>
      <x:c r="G2251" t="str">
        <x:v>Kavya</x:v>
      </x:c>
      <x:c r="H2251" t="str">
        <x:v>P021</x:v>
      </x:c>
      <x:c r="I2251" t="str">
        <x:v>Instant Coffee 200g</x:v>
      </x:c>
      <x:c r="J2251" t="str">
        <x:v>Beverage</x:v>
      </x:c>
      <x:c r="K2251" t="str">
        <x:v>Nescafe</x:v>
      </x:c>
      <x:c r="L2251" s="22" t="n">
        <x:v>460</x:v>
      </x:c>
      <x:c r="M2251" t="n">
        <x:v>3</x:v>
      </x:c>
      <x:c r="N2251" s="24" t="n">
        <x:v>0.02</x:v>
      </x:c>
      <x:c r="O2251" s="22" t="n">
        <x:f>L2251*M2251</x:f>
        <x:v>1380</x:v>
      </x:c>
      <x:c r="P2251" s="22" t="n">
        <x:f>O2251*(1-N2251)</x:f>
        <x:v>1352.3999999999999</x:v>
      </x:c>
      <x:c r="Q2251" s="22" t="n">
        <x:v>410</x:v>
      </x:c>
      <x:c r="R2251" s="22" t="n">
        <x:f>Q2251*M2251</x:f>
        <x:v>1230</x:v>
      </x:c>
      <x:c r="S2251" s="22" t="n">
        <x:f>P2251-R2251</x:f>
        <x:v>122.39999999999986</x:v>
      </x:c>
      <x:c r="T2251" t="str">
        <x:v>UPI</x:v>
      </x:c>
      <x:c r="U2251" t="str">
        <x:v>Paid</x:v>
      </x:c>
      <x:c r="V2251" t="str">
        <x:v>Delayed</x:v>
      </x:c>
      <x:c r="W2251" t="n">
        <x:v>0</x:v>
      </x:c>
      <x:c r="X2251" t="str"/>
      <x:c r="Y2251" t="str">
        <x:v>Existing Customer</x:v>
      </x:c>
    </x:row>
    <x:row r="2252">
      <x:c r="A2252" t="str">
        <x:v>O002251</x:v>
      </x:c>
      <x:c r="B2252" s="20" t="n">
        <x:v>46186</x:v>
      </x:c>
      <x:c r="C2252" t="str">
        <x:v>C0190</x:v>
      </x:c>
      <x:c r="D2252" t="str">
        <x:v>Shree Restaurant 190</x:v>
      </x:c>
      <x:c r="E2252" t="str">
        <x:v>Canteen</x:v>
      </x:c>
      <x:c r="F2252" t="str">
        <x:v>Bengaluru</x:v>
      </x:c>
      <x:c r="G2252" t="str">
        <x:v>Kavya</x:v>
      </x:c>
      <x:c r="H2252" t="str">
        <x:v>P015</x:v>
      </x:c>
      <x:c r="I2252" t="str">
        <x:v>Milk 1L</x:v>
      </x:c>
      <x:c r="J2252" t="str">
        <x:v>Dairy</x:v>
      </x:c>
      <x:c r="K2252" t="str">
        <x:v>Nandini</x:v>
      </x:c>
      <x:c r="L2252" s="22" t="n">
        <x:v>48</x:v>
      </x:c>
      <x:c r="M2252" t="n">
        <x:v>18</x:v>
      </x:c>
      <x:c r="N2252" s="24" t="n">
        <x:v>0.05</x:v>
      </x:c>
      <x:c r="O2252" s="22" t="n">
        <x:f>L2252*M2252</x:f>
        <x:v>864</x:v>
      </x:c>
      <x:c r="P2252" s="22" t="n">
        <x:f>O2252*(1-N2252)</x:f>
        <x:v>820.8</x:v>
      </x:c>
      <x:c r="Q2252" s="22" t="n">
        <x:v>43</x:v>
      </x:c>
      <x:c r="R2252" s="22" t="n">
        <x:f>Q2252*M2252</x:f>
        <x:v>774</x:v>
      </x:c>
      <x:c r="S2252" s="22" t="n">
        <x:f>P2252-R2252</x:f>
        <x:v>46.799999999999955</x:v>
      </x:c>
      <x:c r="T2252" t="str">
        <x:v>Cash</x:v>
      </x:c>
      <x:c r="U2252" t="str">
        <x:v>Paid</x:v>
      </x:c>
      <x:c r="V2252" t="str">
        <x:v>Delivered</x:v>
      </x:c>
      <x:c r="W2252" t="n">
        <x:v>0</x:v>
      </x:c>
      <x:c r="X2252" t="str"/>
      <x:c r="Y2252" t="str">
        <x:v>Existing Customer</x:v>
      </x:c>
    </x:row>
    <x:row r="2253">
      <x:c r="A2253" t="str">
        <x:v>O002252</x:v>
      </x:c>
      <x:c r="B2253" s="20" t="n">
        <x:v>45976</x:v>
      </x:c>
      <x:c r="C2253" t="str">
        <x:v>C0027</x:v>
      </x:c>
      <x:c r="D2253" t="str">
        <x:v>Fresh Cafe 27</x:v>
      </x:c>
      <x:c r="E2253" t="str">
        <x:v>Restaurant</x:v>
      </x:c>
      <x:c r="F2253" t="str">
        <x:v>Tumakuru</x:v>
      </x:c>
      <x:c r="G2253" t="str">
        <x:v>Megha</x:v>
      </x:c>
      <x:c r="H2253" t="str">
        <x:v>P005</x:v>
      </x:c>
      <x:c r="I2253" t="str">
        <x:v>Chana Dal 5kg</x:v>
      </x:c>
      <x:c r="J2253" t="str">
        <x:v>Pulses</x:v>
      </x:c>
      <x:c r="K2253" t="str">
        <x:v>Local Select</x:v>
      </x:c>
      <x:c r="L2253" s="22" t="n">
        <x:v>520</x:v>
      </x:c>
      <x:c r="M2253" t="n">
        <x:v>5</x:v>
      </x:c>
      <x:c r="N2253" s="24" t="n">
        <x:v>0.02</x:v>
      </x:c>
      <x:c r="O2253" s="22" t="n">
        <x:f>L2253*M2253</x:f>
        <x:v>2600</x:v>
      </x:c>
      <x:c r="P2253" s="22" t="n">
        <x:f>O2253*(1-N2253)</x:f>
        <x:v>2548</x:v>
      </x:c>
      <x:c r="Q2253" s="22" t="n">
        <x:v>455</x:v>
      </x:c>
      <x:c r="R2253" s="22" t="n">
        <x:f>Q2253*M2253</x:f>
        <x:v>2275</x:v>
      </x:c>
      <x:c r="S2253" s="22" t="n">
        <x:f>P2253-R2253</x:f>
        <x:v>273</x:v>
      </x:c>
      <x:c r="T2253" t="str">
        <x:v>Credit</x:v>
      </x:c>
      <x:c r="U2253" t="str">
        <x:v>Overdue</x:v>
      </x:c>
      <x:c r="V2253" t="str">
        <x:v>Cancelled</x:v>
      </x:c>
      <x:c r="W2253" t="n">
        <x:v>5</x:v>
      </x:c>
      <x:c r="X2253" t="str">
        <x:v>Cancelled Order</x:v>
      </x:c>
      <x:c r="Y2253" t="str">
        <x:v>Outbound Call</x:v>
      </x:c>
    </x:row>
    <x:row r="2254">
      <x:c r="A2254" t="str">
        <x:v>O002253</x:v>
      </x:c>
      <x:c r="B2254" s="20" t="n">
        <x:v>45988</x:v>
      </x:c>
      <x:c r="C2254" t="str">
        <x:v>C0240</x:v>
      </x:c>
      <x:c r="D2254" t="str">
        <x:v>Green Foods 240</x:v>
      </x:c>
      <x:c r="E2254" t="str">
        <x:v>Restaurant</x:v>
      </x:c>
      <x:c r="F2254" t="str">
        <x:v>Davanagere</x:v>
      </x:c>
      <x:c r="G2254" t="str">
        <x:v>Vikram</x:v>
      </x:c>
      <x:c r="H2254" t="str">
        <x:v>P015</x:v>
      </x:c>
      <x:c r="I2254" t="str">
        <x:v>Milk 1L</x:v>
      </x:c>
      <x:c r="J2254" t="str">
        <x:v>Dairy</x:v>
      </x:c>
      <x:c r="K2254" t="str">
        <x:v>Nandini</x:v>
      </x:c>
      <x:c r="L2254" s="22" t="n">
        <x:v>48</x:v>
      </x:c>
      <x:c r="M2254" t="n">
        <x:v>4</x:v>
      </x:c>
      <x:c r="N2254" s="24" t="n">
        <x:v>0</x:v>
      </x:c>
      <x:c r="O2254" s="22" t="n">
        <x:f>L2254*M2254</x:f>
        <x:v>192</x:v>
      </x:c>
      <x:c r="P2254" s="22" t="n">
        <x:f>O2254*(1-N2254)</x:f>
        <x:v>192</x:v>
      </x:c>
      <x:c r="Q2254" s="22" t="n">
        <x:v>43</x:v>
      </x:c>
      <x:c r="R2254" s="22" t="n">
        <x:f>Q2254*M2254</x:f>
        <x:v>172</x:v>
      </x:c>
      <x:c r="S2254" s="22" t="n">
        <x:f>P2254-R2254</x:f>
        <x:v>20</x:v>
      </x:c>
      <x:c r="T2254" t="str">
        <x:v>Credit</x:v>
      </x:c>
      <x:c r="U2254" t="str">
        <x:v>Paid</x:v>
      </x:c>
      <x:c r="V2254" t="str">
        <x:v>Cancelled</x:v>
      </x:c>
      <x:c r="W2254" t="n">
        <x:v>4</x:v>
      </x:c>
      <x:c r="X2254" t="str">
        <x:v>Cancelled Order</x:v>
      </x:c>
      <x:c r="Y2254" t="str">
        <x:v>WhatsApp</x:v>
      </x:c>
    </x:row>
    <x:row r="2255">
      <x:c r="A2255" t="str">
        <x:v>O002254</x:v>
      </x:c>
      <x:c r="B2255" s="20" t="n">
        <x:v>46274</x:v>
      </x:c>
      <x:c r="C2255" t="str">
        <x:v>C0199</x:v>
      </x:c>
      <x:c r="D2255" t="str">
        <x:v>Classic Cafe 199</x:v>
      </x:c>
      <x:c r="E2255" t="str">
        <x:v>Canteen</x:v>
      </x:c>
      <x:c r="F2255" t="str">
        <x:v>Mangaluru</x:v>
      </x:c>
      <x:c r="G2255" t="str">
        <x:v>Ramesh</x:v>
      </x:c>
      <x:c r="H2255" t="str">
        <x:v>P035</x:v>
      </x:c>
      <x:c r="I2255" t="str">
        <x:v>Coriander Powder 1kg</x:v>
      </x:c>
      <x:c r="J2255" t="str">
        <x:v>Spices</x:v>
      </x:c>
      <x:c r="K2255" t="str">
        <x:v>Everest</x:v>
      </x:c>
      <x:c r="L2255" s="22" t="n">
        <x:v>280</x:v>
      </x:c>
      <x:c r="M2255" t="n">
        <x:v>5</x:v>
      </x:c>
      <x:c r="N2255" s="24" t="n">
        <x:v>0.05</x:v>
      </x:c>
      <x:c r="O2255" s="22" t="n">
        <x:f>L2255*M2255</x:f>
        <x:v>1400</x:v>
      </x:c>
      <x:c r="P2255" s="22" t="n">
        <x:f>O2255*(1-N2255)</x:f>
        <x:v>1330</x:v>
      </x:c>
      <x:c r="Q2255" s="22" t="n">
        <x:v>245</x:v>
      </x:c>
      <x:c r="R2255" s="22" t="n">
        <x:f>Q2255*M2255</x:f>
        <x:v>1225</x:v>
      </x:c>
      <x:c r="S2255" s="22" t="n">
        <x:f>P2255-R2255</x:f>
        <x:v>105</x:v>
      </x:c>
      <x:c r="T2255" t="str">
        <x:v>Credit</x:v>
      </x:c>
      <x:c r="U2255" t="str">
        <x:v>Pending</x:v>
      </x:c>
      <x:c r="V2255" t="str">
        <x:v>Delivered</x:v>
      </x:c>
      <x:c r="W2255" t="n">
        <x:v>0</x:v>
      </x:c>
      <x:c r="X2255" t="str"/>
      <x:c r="Y2255" t="str">
        <x:v>Existing Customer</x:v>
      </x:c>
    </x:row>
    <x:row r="2256">
      <x:c r="A2256" t="str">
        <x:v>O002255</x:v>
      </x:c>
      <x:c r="B2256" s="20" t="n">
        <x:v>45895</x:v>
      </x:c>
      <x:c r="C2256" t="str">
        <x:v>C0226</x:v>
      </x:c>
      <x:c r="D2256" t="str">
        <x:v>Green Stores 226</x:v>
      </x:c>
      <x:c r="E2256" t="str">
        <x:v>Restaurant</x:v>
      </x:c>
      <x:c r="F2256" t="str">
        <x:v>Hubballi</x:v>
      </x:c>
      <x:c r="G2256" t="str">
        <x:v>Priya</x:v>
      </x:c>
      <x:c r="H2256" t="str">
        <x:v>P010</x:v>
      </x:c>
      <x:c r="I2256" t="str">
        <x:v>Sugar 25kg</x:v>
      </x:c>
      <x:c r="J2256" t="str">
        <x:v>Staples</x:v>
      </x:c>
      <x:c r="K2256" t="str">
        <x:v>Madhur</x:v>
      </x:c>
      <x:c r="L2256" s="22" t="n">
        <x:v>1190</x:v>
      </x:c>
      <x:c r="M2256" t="n">
        <x:v>11</x:v>
      </x:c>
      <x:c r="N2256" s="24" t="n">
        <x:v>0.02</x:v>
      </x:c>
      <x:c r="O2256" s="22" t="n">
        <x:f>L2256*M2256</x:f>
        <x:v>13090</x:v>
      </x:c>
      <x:c r="P2256" s="22" t="n">
        <x:f>O2256*(1-N2256)</x:f>
        <x:v>12828.199999999999</x:v>
      </x:c>
      <x:c r="Q2256" s="22" t="n">
        <x:v>1080</x:v>
      </x:c>
      <x:c r="R2256" s="22" t="n">
        <x:f>Q2256*M2256</x:f>
        <x:v>11880</x:v>
      </x:c>
      <x:c r="S2256" s="22" t="n">
        <x:f>P2256-R2256</x:f>
        <x:v>948.1999999999989</x:v>
      </x:c>
      <x:c r="T2256" t="str">
        <x:v>Credit</x:v>
      </x:c>
      <x:c r="U2256" t="str">
        <x:v>Paid</x:v>
      </x:c>
      <x:c r="V2256" t="str">
        <x:v>Delivered</x:v>
      </x:c>
      <x:c r="W2256" t="n">
        <x:v>0</x:v>
      </x:c>
      <x:c r="X2256" t="str"/>
      <x:c r="Y2256" t="str">
        <x:v>WhatsApp</x:v>
      </x:c>
    </x:row>
    <x:row r="2257">
      <x:c r="A2257" t="str">
        <x:v>O002256</x:v>
      </x:c>
      <x:c r="B2257" s="20" t="n">
        <x:v>45895</x:v>
      </x:c>
      <x:c r="C2257" t="str">
        <x:v>C0076</x:v>
      </x:c>
      <x:c r="D2257" t="str">
        <x:v>Sri Canteen 76</x:v>
      </x:c>
      <x:c r="E2257" t="str">
        <x:v>Canteen</x:v>
      </x:c>
      <x:c r="F2257" t="str">
        <x:v>Tumakuru</x:v>
      </x:c>
      <x:c r="G2257" t="str">
        <x:v>Priya</x:v>
      </x:c>
      <x:c r="H2257" t="str">
        <x:v>P002</x:v>
      </x:c>
      <x:c r="I2257" t="str">
        <x:v>Sona Masoori Rice 25kg</x:v>
      </x:c>
      <x:c r="J2257" t="str">
        <x:v>Staples</x:v>
      </x:c>
      <x:c r="K2257" t="str">
        <x:v>Fortune</x:v>
      </x:c>
      <x:c r="L2257" s="22" t="n">
        <x:v>1320</x:v>
      </x:c>
      <x:c r="M2257" t="n">
        <x:v>12</x:v>
      </x:c>
      <x:c r="N2257" s="24" t="n">
        <x:v>0.08</x:v>
      </x:c>
      <x:c r="O2257" s="22" t="n">
        <x:f>L2257*M2257</x:f>
        <x:v>15840</x:v>
      </x:c>
      <x:c r="P2257" s="22" t="n">
        <x:f>O2257*(1-N2257)</x:f>
        <x:v>14572.800000000001</x:v>
      </x:c>
      <x:c r="Q2257" s="22" t="n">
        <x:v>1160</x:v>
      </x:c>
      <x:c r="R2257" s="22" t="n">
        <x:f>Q2257*M2257</x:f>
        <x:v>13920</x:v>
      </x:c>
      <x:c r="S2257" s="22" t="n">
        <x:f>P2257-R2257</x:f>
        <x:v>652.8000000000011</x:v>
      </x:c>
      <x:c r="T2257" t="str">
        <x:v>Cash</x:v>
      </x:c>
      <x:c r="U2257" t="str">
        <x:v>Pending</x:v>
      </x:c>
      <x:c r="V2257" t="str">
        <x:v>Delivered</x:v>
      </x:c>
      <x:c r="W2257" t="n">
        <x:v>0</x:v>
      </x:c>
      <x:c r="X2257" t="str"/>
      <x:c r="Y2257" t="str">
        <x:v>Referral</x:v>
      </x:c>
    </x:row>
    <x:row r="2258">
      <x:c r="A2258" t="str">
        <x:v>O002257</x:v>
      </x:c>
      <x:c r="B2258" s="20" t="n">
        <x:v>46168</x:v>
      </x:c>
      <x:c r="C2258" t="str">
        <x:v>C0123</x:v>
      </x:c>
      <x:c r="D2258" t="str">
        <x:v>City Foods 123</x:v>
      </x:c>
      <x:c r="E2258" t="str">
        <x:v>Restaurant</x:v>
      </x:c>
      <x:c r="F2258" t="str">
        <x:v>Davanagere</x:v>
      </x:c>
      <x:c r="G2258" t="str">
        <x:v>Sneha</x:v>
      </x:c>
      <x:c r="H2258" t="str">
        <x:v>P014</x:v>
      </x:c>
      <x:c r="I2258" t="str">
        <x:v>Rava 5kg</x:v>
      </x:c>
      <x:c r="J2258" t="str">
        <x:v>Flour</x:v>
      </x:c>
      <x:c r="K2258" t="str">
        <x:v>Local Select</x:v>
      </x:c>
      <x:c r="L2258" s="22" t="n">
        <x:v>245</x:v>
      </x:c>
      <x:c r="M2258" t="n">
        <x:v>33</x:v>
      </x:c>
      <x:c r="N2258" s="24" t="n">
        <x:v>0.05</x:v>
      </x:c>
      <x:c r="O2258" s="22" t="n">
        <x:f>L2258*M2258</x:f>
        <x:v>8085</x:v>
      </x:c>
      <x:c r="P2258" s="22" t="n">
        <x:f>O2258*(1-N2258)</x:f>
        <x:v>7680.75</x:v>
      </x:c>
      <x:c r="Q2258" s="22" t="n">
        <x:v>215</x:v>
      </x:c>
      <x:c r="R2258" s="22" t="n">
        <x:f>Q2258*M2258</x:f>
        <x:v>7095</x:v>
      </x:c>
      <x:c r="S2258" s="22" t="n">
        <x:f>P2258-R2258</x:f>
        <x:v>585.75</x:v>
      </x:c>
      <x:c r="T2258" t="str">
        <x:v>UPI</x:v>
      </x:c>
      <x:c r="U2258" t="str">
        <x:v>Paid</x:v>
      </x:c>
      <x:c r="V2258" t="str">
        <x:v>Delivered</x:v>
      </x:c>
      <x:c r="W2258" t="n">
        <x:v>0</x:v>
      </x:c>
      <x:c r="X2258" t="str"/>
      <x:c r="Y2258" t="str">
        <x:v>Referral</x:v>
      </x:c>
    </x:row>
    <x:row r="2259">
      <x:c r="A2259" t="str">
        <x:v>O002258</x:v>
      </x:c>
      <x:c r="B2259" s="20" t="n">
        <x:v>45808</x:v>
      </x:c>
      <x:c r="C2259" t="str">
        <x:v>C0181</x:v>
      </x:c>
      <x:c r="D2259" t="str">
        <x:v>Darshini Mart 181</x:v>
      </x:c>
      <x:c r="E2259" t="str">
        <x:v>Restaurant</x:v>
      </x:c>
      <x:c r="F2259" t="str">
        <x:v>Mangaluru</x:v>
      </x:c>
      <x:c r="G2259" t="str">
        <x:v>Kavya</x:v>
      </x:c>
      <x:c r="H2259" t="str">
        <x:v>P043</x:v>
      </x:c>
      <x:c r="I2259" t="str">
        <x:v>Chicken Breast 1kg</x:v>
      </x:c>
      <x:c r="J2259" t="str">
        <x:v>Protein</x:v>
      </x:c>
      <x:c r="K2259" t="str">
        <x:v>FreshToHome</x:v>
      </x:c>
      <x:c r="L2259" s="22" t="n">
        <x:v>260</x:v>
      </x:c>
      <x:c r="M2259" t="n">
        <x:v>29</x:v>
      </x:c>
      <x:c r="N2259" s="24" t="n">
        <x:v>0</x:v>
      </x:c>
      <x:c r="O2259" s="22" t="n">
        <x:f>L2259*M2259</x:f>
        <x:v>7540</x:v>
      </x:c>
      <x:c r="P2259" s="22" t="n">
        <x:f>O2259*(1-N2259)</x:f>
        <x:v>7540</x:v>
      </x:c>
      <x:c r="Q2259" s="22" t="n">
        <x:v>235</x:v>
      </x:c>
      <x:c r="R2259" s="22" t="n">
        <x:f>Q2259*M2259</x:f>
        <x:v>6815</x:v>
      </x:c>
      <x:c r="S2259" s="22" t="n">
        <x:f>P2259-R2259</x:f>
        <x:v>725</x:v>
      </x:c>
      <x:c r="T2259" t="str">
        <x:v>Credit</x:v>
      </x:c>
      <x:c r="U2259" t="str">
        <x:v>Overdue</x:v>
      </x:c>
      <x:c r="V2259" t="str">
        <x:v>Cancelled</x:v>
      </x:c>
      <x:c r="W2259" t="n">
        <x:v>29</x:v>
      </x:c>
      <x:c r="X2259" t="str">
        <x:v>Cancelled Order</x:v>
      </x:c>
      <x:c r="Y2259" t="str">
        <x:v>Referral</x:v>
      </x:c>
    </x:row>
    <x:row r="2260">
      <x:c r="A2260" t="str">
        <x:v>O002259</x:v>
      </x:c>
      <x:c r="B2260" s="20" t="n">
        <x:v>45748</x:v>
      </x:c>
      <x:c r="C2260" t="str">
        <x:v>C0035</x:v>
      </x:c>
      <x:c r="D2260" t="str">
        <x:v>City Foods 35</x:v>
      </x:c>
      <x:c r="E2260" t="str">
        <x:v>Kirana</x:v>
      </x:c>
      <x:c r="F2260" t="str">
        <x:v>Bengaluru</x:v>
      </x:c>
      <x:c r="G2260" t="str">
        <x:v>Megha</x:v>
      </x:c>
      <x:c r="H2260" t="str">
        <x:v>P037</x:v>
      </x:c>
      <x:c r="I2260" t="str">
        <x:v>Frozen Peas 1kg</x:v>
      </x:c>
      <x:c r="J2260" t="str">
        <x:v>Frozen</x:v>
      </x:c>
      <x:c r="K2260" t="str">
        <x:v>Safal</x:v>
      </x:c>
      <x:c r="L2260" s="22" t="n">
        <x:v>155</x:v>
      </x:c>
      <x:c r="M2260" t="n">
        <x:v>22</x:v>
      </x:c>
      <x:c r="N2260" s="24" t="n">
        <x:v>0.03</x:v>
      </x:c>
      <x:c r="O2260" s="22" t="n">
        <x:f>L2260*M2260</x:f>
        <x:v>3410</x:v>
      </x:c>
      <x:c r="P2260" s="22" t="n">
        <x:f>O2260*(1-N2260)</x:f>
        <x:v>3307.7</x:v>
      </x:c>
      <x:c r="Q2260" s="22" t="n">
        <x:v>138</x:v>
      </x:c>
      <x:c r="R2260" s="22" t="n">
        <x:f>Q2260*M2260</x:f>
        <x:v>3036</x:v>
      </x:c>
      <x:c r="S2260" s="22" t="n">
        <x:f>P2260-R2260</x:f>
        <x:v>271.6999999999998</x:v>
      </x:c>
      <x:c r="T2260" t="str">
        <x:v>Cash</x:v>
      </x:c>
      <x:c r="U2260" t="str">
        <x:v>Paid</x:v>
      </x:c>
      <x:c r="V2260" t="str">
        <x:v>Delivered</x:v>
      </x:c>
      <x:c r="W2260" t="n">
        <x:v>0</x:v>
      </x:c>
      <x:c r="X2260" t="str"/>
      <x:c r="Y2260" t="str">
        <x:v>Field Visit</x:v>
      </x:c>
    </x:row>
    <x:row r="2261">
      <x:c r="A2261" t="str">
        <x:v>O002260</x:v>
      </x:c>
      <x:c r="B2261" s="20" t="n">
        <x:v>46039</x:v>
      </x:c>
      <x:c r="C2261" t="str">
        <x:v>C0219</x:v>
      </x:c>
      <x:c r="D2261" t="str">
        <x:v>Udupi Restaurant 219</x:v>
      </x:c>
      <x:c r="E2261" t="str">
        <x:v>Kirana</x:v>
      </x:c>
      <x:c r="F2261" t="str">
        <x:v>Mangaluru</x:v>
      </x:c>
      <x:c r="G2261" t="str">
        <x:v>Kavya</x:v>
      </x:c>
      <x:c r="H2261" t="str">
        <x:v>P048</x:v>
      </x:c>
      <x:c r="I2261" t="str">
        <x:v>Banana 10kg</x:v>
      </x:c>
      <x:c r="J2261" t="str">
        <x:v>Fresh Produce</x:v>
      </x:c>
      <x:c r="K2261" t="str">
        <x:v>Local Market</x:v>
      </x:c>
      <x:c r="L2261" s="22" t="n">
        <x:v>420</x:v>
      </x:c>
      <x:c r="M2261" t="n">
        <x:v>5</x:v>
      </x:c>
      <x:c r="N2261" s="24" t="n">
        <x:v>0.03</x:v>
      </x:c>
      <x:c r="O2261" s="22" t="n">
        <x:f>L2261*M2261</x:f>
        <x:v>2100</x:v>
      </x:c>
      <x:c r="P2261" s="22" t="n">
        <x:f>O2261*(1-N2261)</x:f>
        <x:v>2037</x:v>
      </x:c>
      <x:c r="Q2261" s="22" t="n">
        <x:v>350</x:v>
      </x:c>
      <x:c r="R2261" s="22" t="n">
        <x:f>Q2261*M2261</x:f>
        <x:v>1750</x:v>
      </x:c>
      <x:c r="S2261" s="22" t="n">
        <x:f>P2261-R2261</x:f>
        <x:v>287</x:v>
      </x:c>
      <x:c r="T2261" t="str">
        <x:v>Cash</x:v>
      </x:c>
      <x:c r="U2261" t="str">
        <x:v>Paid</x:v>
      </x:c>
      <x:c r="V2261" t="str">
        <x:v>Delayed</x:v>
      </x:c>
      <x:c r="W2261" t="n">
        <x:v>0</x:v>
      </x:c>
      <x:c r="X2261" t="str"/>
      <x:c r="Y2261" t="str">
        <x:v>WhatsApp</x:v>
      </x:c>
    </x:row>
    <x:row r="2262">
      <x:c r="A2262" t="str">
        <x:v>O002261</x:v>
      </x:c>
      <x:c r="B2262" s="20" t="n">
        <x:v>45870</x:v>
      </x:c>
      <x:c r="C2262" t="str">
        <x:v>C0007</x:v>
      </x:c>
      <x:c r="D2262" t="str">
        <x:v>Mysore Stores 7</x:v>
      </x:c>
      <x:c r="E2262" t="str">
        <x:v>Kirana</x:v>
      </x:c>
      <x:c r="F2262" t="str">
        <x:v>Bengaluru</x:v>
      </x:c>
      <x:c r="G2262" t="str">
        <x:v>Kavya</x:v>
      </x:c>
      <x:c r="H2262" t="str">
        <x:v>P030</x:v>
      </x:c>
      <x:c r="I2262" t="str">
        <x:v>Mayonnaise 1kg</x:v>
      </x:c>
      <x:c r="J2262" t="str">
        <x:v>Condiments</x:v>
      </x:c>
      <x:c r="K2262" t="str">
        <x:v>Veeba</x:v>
      </x:c>
      <x:c r="L2262" s="22" t="n">
        <x:v>210</x:v>
      </x:c>
      <x:c r="M2262" t="n">
        <x:v>20</x:v>
      </x:c>
      <x:c r="N2262" s="24" t="n">
        <x:v>0.02</x:v>
      </x:c>
      <x:c r="O2262" s="22" t="n">
        <x:f>L2262*M2262</x:f>
        <x:v>4200</x:v>
      </x:c>
      <x:c r="P2262" s="22" t="n">
        <x:f>O2262*(1-N2262)</x:f>
        <x:v>4116</x:v>
      </x:c>
      <x:c r="Q2262" s="22" t="n">
        <x:v>185</x:v>
      </x:c>
      <x:c r="R2262" s="22" t="n">
        <x:f>Q2262*M2262</x:f>
        <x:v>3700</x:v>
      </x:c>
      <x:c r="S2262" s="22" t="n">
        <x:f>P2262-R2262</x:f>
        <x:v>416</x:v>
      </x:c>
      <x:c r="T2262" t="str">
        <x:v>Credit</x:v>
      </x:c>
      <x:c r="U2262" t="str">
        <x:v>Pending</x:v>
      </x:c>
      <x:c r="V2262" t="str">
        <x:v>Cancelled</x:v>
      </x:c>
      <x:c r="W2262" t="n">
        <x:v>20</x:v>
      </x:c>
      <x:c r="X2262" t="str">
        <x:v>Cancelled Order</x:v>
      </x:c>
      <x:c r="Y2262" t="str">
        <x:v>Field Visit</x:v>
      </x:c>
    </x:row>
    <x:row r="2263">
      <x:c r="A2263" t="str">
        <x:v>O002262</x:v>
      </x:c>
      <x:c r="B2263" s="20" t="n">
        <x:v>46011</x:v>
      </x:c>
      <x:c r="C2263" t="str">
        <x:v>C0187</x:v>
      </x:c>
      <x:c r="D2263" t="str">
        <x:v>City Cafe 187</x:v>
      </x:c>
      <x:c r="E2263" t="str">
        <x:v>Hotel</x:v>
      </x:c>
      <x:c r="F2263" t="str">
        <x:v>Mysuru</x:v>
      </x:c>
      <x:c r="G2263" t="str">
        <x:v>Priya</x:v>
      </x:c>
      <x:c r="H2263" t="str">
        <x:v>P008</x:v>
      </x:c>
      <x:c r="I2263" t="str">
        <x:v>Palm Oil 15L</x:v>
      </x:c>
      <x:c r="J2263" t="str">
        <x:v>Edible Oil</x:v>
      </x:c>
      <x:c r="K2263" t="str">
        <x:v>Ruchi Gold</x:v>
      </x:c>
      <x:c r="L2263" s="22" t="n">
        <x:v>1760</x:v>
      </x:c>
      <x:c r="M2263" t="n">
        <x:v>6</x:v>
      </x:c>
      <x:c r="N2263" s="24" t="n">
        <x:v>0.03</x:v>
      </x:c>
      <x:c r="O2263" s="22" t="n">
        <x:f>L2263*M2263</x:f>
        <x:v>10560</x:v>
      </x:c>
      <x:c r="P2263" s="22" t="n">
        <x:f>O2263*(1-N2263)</x:f>
        <x:v>10243.199999999999</x:v>
      </x:c>
      <x:c r="Q2263" s="22" t="n">
        <x:v>1610</x:v>
      </x:c>
      <x:c r="R2263" s="22" t="n">
        <x:f>Q2263*M2263</x:f>
        <x:v>9660</x:v>
      </x:c>
      <x:c r="S2263" s="22" t="n">
        <x:f>P2263-R2263</x:f>
        <x:v>583.1999999999989</x:v>
      </x:c>
      <x:c r="T2263" t="str">
        <x:v>UPI</x:v>
      </x:c>
      <x:c r="U2263" t="str">
        <x:v>Overdue</x:v>
      </x:c>
      <x:c r="V2263" t="str">
        <x:v>Delivered</x:v>
      </x:c>
      <x:c r="W2263" t="n">
        <x:v>0</x:v>
      </x:c>
      <x:c r="X2263" t="str"/>
      <x:c r="Y2263" t="str">
        <x:v>Existing Customer</x:v>
      </x:c>
    </x:row>
    <x:row r="2264">
      <x:c r="A2264" t="str">
        <x:v>O002263</x:v>
      </x:c>
      <x:c r="B2264" s="20" t="n">
        <x:v>45661</x:v>
      </x:c>
      <x:c r="C2264" t="str">
        <x:v>C0017</x:v>
      </x:c>
      <x:c r="D2264" t="str">
        <x:v>City Foods 17</x:v>
      </x:c>
      <x:c r="E2264" t="str">
        <x:v>Restaurant</x:v>
      </x:c>
      <x:c r="F2264" t="str">
        <x:v>Tumakuru</x:v>
      </x:c>
      <x:c r="G2264" t="str">
        <x:v>Imran</x:v>
      </x:c>
      <x:c r="H2264" t="str">
        <x:v>P029</x:v>
      </x:c>
      <x:c r="I2264" t="str">
        <x:v>Tomato Ketchup 1kg</x:v>
      </x:c>
      <x:c r="J2264" t="str">
        <x:v>Condiments</x:v>
      </x:c>
      <x:c r="K2264" t="str">
        <x:v>Kissan</x:v>
      </x:c>
      <x:c r="L2264" s="22" t="n">
        <x:v>145</x:v>
      </x:c>
      <x:c r="M2264" t="n">
        <x:v>22</x:v>
      </x:c>
      <x:c r="N2264" s="24" t="n">
        <x:v>0</x:v>
      </x:c>
      <x:c r="O2264" s="22" t="n">
        <x:f>L2264*M2264</x:f>
        <x:v>3190</x:v>
      </x:c>
      <x:c r="P2264" s="22" t="n">
        <x:f>O2264*(1-N2264)</x:f>
        <x:v>3190</x:v>
      </x:c>
      <x:c r="Q2264" s="22" t="n">
        <x:v>126</x:v>
      </x:c>
      <x:c r="R2264" s="22" t="n">
        <x:f>Q2264*M2264</x:f>
        <x:v>2772</x:v>
      </x:c>
      <x:c r="S2264" s="22" t="n">
        <x:f>P2264-R2264</x:f>
        <x:v>418</x:v>
      </x:c>
      <x:c r="T2264" t="str">
        <x:v>Bank Transfer</x:v>
      </x:c>
      <x:c r="U2264" t="str">
        <x:v>Pending</x:v>
      </x:c>
      <x:c r="V2264" t="str">
        <x:v>Delivered</x:v>
      </x:c>
      <x:c r="W2264" t="n">
        <x:v>0</x:v>
      </x:c>
      <x:c r="X2264" t="str"/>
      <x:c r="Y2264" t="str">
        <x:v>Outbound Call</x:v>
      </x:c>
    </x:row>
    <x:row r="2265">
      <x:c r="A2265" t="str">
        <x:v>O002264</x:v>
      </x:c>
      <x:c r="B2265" s="20" t="n">
        <x:v>45951</x:v>
      </x:c>
      <x:c r="C2265" t="str">
        <x:v>C0142</x:v>
      </x:c>
      <x:c r="D2265" t="str">
        <x:v>Darshini Mart 142</x:v>
      </x:c>
      <x:c r="E2265" t="str">
        <x:v>Cafe</x:v>
      </x:c>
      <x:c r="F2265" t="str">
        <x:v>Bengaluru</x:v>
      </x:c>
      <x:c r="G2265" t="str">
        <x:v>Megha</x:v>
      </x:c>
      <x:c r="H2265" t="str">
        <x:v>P005</x:v>
      </x:c>
      <x:c r="I2265" t="str">
        <x:v>Chana Dal 5kg</x:v>
      </x:c>
      <x:c r="J2265" t="str">
        <x:v>Pulses</x:v>
      </x:c>
      <x:c r="K2265" t="str">
        <x:v>Local Select</x:v>
      </x:c>
      <x:c r="L2265" s="22" t="n">
        <x:v>520</x:v>
      </x:c>
      <x:c r="M2265" t="n">
        <x:v>7</x:v>
      </x:c>
      <x:c r="N2265" s="24" t="n">
        <x:v>0</x:v>
      </x:c>
      <x:c r="O2265" s="22" t="n">
        <x:f>L2265*M2265</x:f>
        <x:v>3640</x:v>
      </x:c>
      <x:c r="P2265" s="22" t="n">
        <x:f>O2265*(1-N2265)</x:f>
        <x:v>3640</x:v>
      </x:c>
      <x:c r="Q2265" s="22" t="n">
        <x:v>455</x:v>
      </x:c>
      <x:c r="R2265" s="22" t="n">
        <x:f>Q2265*M2265</x:f>
        <x:v>3185</x:v>
      </x:c>
      <x:c r="S2265" s="22" t="n">
        <x:f>P2265-R2265</x:f>
        <x:v>455</x:v>
      </x:c>
      <x:c r="T2265" t="str">
        <x:v>Cash</x:v>
      </x:c>
      <x:c r="U2265" t="str">
        <x:v>Pending</x:v>
      </x:c>
      <x:c r="V2265" t="str">
        <x:v>Cancelled</x:v>
      </x:c>
      <x:c r="W2265" t="n">
        <x:v>7</x:v>
      </x:c>
      <x:c r="X2265" t="str">
        <x:v>Cancelled Order</x:v>
      </x:c>
      <x:c r="Y2265" t="str">
        <x:v>WhatsApp</x:v>
      </x:c>
    </x:row>
    <x:row r="2266">
      <x:c r="A2266" t="str">
        <x:v>O002265</x:v>
      </x:c>
      <x:c r="B2266" s="20" t="n">
        <x:v>46262</x:v>
      </x:c>
      <x:c r="C2266" t="str">
        <x:v>C0228</x:v>
      </x:c>
      <x:c r="D2266" t="str">
        <x:v>Metro Foods 228</x:v>
      </x:c>
      <x:c r="E2266" t="str">
        <x:v>Supermarket</x:v>
      </x:c>
      <x:c r="F2266" t="str">
        <x:v>Davanagere</x:v>
      </x:c>
      <x:c r="G2266" t="str">
        <x:v>Sneha</x:v>
      </x:c>
      <x:c r="H2266" t="str">
        <x:v>P004</x:v>
      </x:c>
      <x:c r="I2266" t="str">
        <x:v>Toor Dal 5kg</x:v>
      </x:c>
      <x:c r="J2266" t="str">
        <x:v>Pulses</x:v>
      </x:c>
      <x:c r="K2266" t="str">
        <x:v>Tata Sampann</x:v>
      </x:c>
      <x:c r="L2266" s="22" t="n">
        <x:v>780</x:v>
      </x:c>
      <x:c r="M2266" t="n">
        <x:v>17</x:v>
      </x:c>
      <x:c r="N2266" s="24" t="n">
        <x:v>0.05</x:v>
      </x:c>
      <x:c r="O2266" s="22" t="n">
        <x:f>L2266*M2266</x:f>
        <x:v>13260</x:v>
      </x:c>
      <x:c r="P2266" s="22" t="n">
        <x:f>O2266*(1-N2266)</x:f>
        <x:v>12597</x:v>
      </x:c>
      <x:c r="Q2266" s="22" t="n">
        <x:v>695</x:v>
      </x:c>
      <x:c r="R2266" s="22" t="n">
        <x:f>Q2266*M2266</x:f>
        <x:v>11815</x:v>
      </x:c>
      <x:c r="S2266" s="22" t="n">
        <x:f>P2266-R2266</x:f>
        <x:v>782</x:v>
      </x:c>
      <x:c r="T2266" t="str">
        <x:v>Bank Transfer</x:v>
      </x:c>
      <x:c r="U2266" t="str">
        <x:v>Paid</x:v>
      </x:c>
      <x:c r="V2266" t="str">
        <x:v>Delivered</x:v>
      </x:c>
      <x:c r="W2266" t="n">
        <x:v>0</x:v>
      </x:c>
      <x:c r="X2266" t="str"/>
      <x:c r="Y2266" t="str">
        <x:v>Referral</x:v>
      </x:c>
    </x:row>
    <x:row r="2267">
      <x:c r="A2267" t="str">
        <x:v>O002266</x:v>
      </x:c>
      <x:c r="B2267" s="20" t="n">
        <x:v>46206</x:v>
      </x:c>
      <x:c r="C2267" t="str">
        <x:v>C0185</x:v>
      </x:c>
      <x:c r="D2267" t="str">
        <x:v>Mysore Foods 185</x:v>
      </x:c>
      <x:c r="E2267" t="str">
        <x:v>Restaurant</x:v>
      </x:c>
      <x:c r="F2267" t="str">
        <x:v>Mysuru</x:v>
      </x:c>
      <x:c r="G2267" t="str">
        <x:v>Sneha</x:v>
      </x:c>
      <x:c r="H2267" t="str">
        <x:v>P009</x:v>
      </x:c>
      <x:c r="I2267" t="str">
        <x:v>Groundnut Oil 5L</x:v>
      </x:c>
      <x:c r="J2267" t="str">
        <x:v>Edible Oil</x:v>
      </x:c>
      <x:c r="K2267" t="str">
        <x:v>Dhara</x:v>
      </x:c>
      <x:c r="L2267" s="22" t="n">
        <x:v>890</x:v>
      </x:c>
      <x:c r="M2267" t="n">
        <x:v>26</x:v>
      </x:c>
      <x:c r="N2267" s="24" t="n">
        <x:v>0.02</x:v>
      </x:c>
      <x:c r="O2267" s="22" t="n">
        <x:f>L2267*M2267</x:f>
        <x:v>23140</x:v>
      </x:c>
      <x:c r="P2267" s="22" t="n">
        <x:f>O2267*(1-N2267)</x:f>
        <x:v>22677.2</x:v>
      </x:c>
      <x:c r="Q2267" s="22" t="n">
        <x:v>810</x:v>
      </x:c>
      <x:c r="R2267" s="22" t="n">
        <x:f>Q2267*M2267</x:f>
        <x:v>21060</x:v>
      </x:c>
      <x:c r="S2267" s="22" t="n">
        <x:f>P2267-R2267</x:f>
        <x:v>1617.2000000000007</x:v>
      </x:c>
      <x:c r="T2267" t="str">
        <x:v>Bank Transfer</x:v>
      </x:c>
      <x:c r="U2267" t="str">
        <x:v>Overdue</x:v>
      </x:c>
      <x:c r="V2267" t="str">
        <x:v>Delivered</x:v>
      </x:c>
      <x:c r="W2267" t="n">
        <x:v>0</x:v>
      </x:c>
      <x:c r="X2267" t="str"/>
      <x:c r="Y2267" t="str">
        <x:v>WhatsApp</x:v>
      </x:c>
    </x:row>
    <x:row r="2268">
      <x:c r="A2268" t="str">
        <x:v>O002267</x:v>
      </x:c>
      <x:c r="B2268" s="20" t="n">
        <x:v>45688</x:v>
      </x:c>
      <x:c r="C2268" t="str">
        <x:v>C0163</x:v>
      </x:c>
      <x:c r="D2268" t="str">
        <x:v>Shree Kitchen 163</x:v>
      </x:c>
      <x:c r="E2268" t="str">
        <x:v>Kirana</x:v>
      </x:c>
      <x:c r="F2268" t="str">
        <x:v>Mysuru</x:v>
      </x:c>
      <x:c r="G2268" t="str">
        <x:v>Priya</x:v>
      </x:c>
      <x:c r="H2268" t="str">
        <x:v>P023</x:v>
      </x:c>
      <x:c r="I2268" t="str">
        <x:v>Cola 750ml</x:v>
      </x:c>
      <x:c r="J2268" t="str">
        <x:v>Beverage</x:v>
      </x:c>
      <x:c r="K2268" t="str">
        <x:v>Coca-Cola</x:v>
      </x:c>
      <x:c r="L2268" s="22" t="n">
        <x:v>38</x:v>
      </x:c>
      <x:c r="M2268" t="n">
        <x:v>37</x:v>
      </x:c>
      <x:c r="N2268" s="24" t="n">
        <x:v>0.05</x:v>
      </x:c>
      <x:c r="O2268" s="22" t="n">
        <x:f>L2268*M2268</x:f>
        <x:v>1406</x:v>
      </x:c>
      <x:c r="P2268" s="22" t="n">
        <x:f>O2268*(1-N2268)</x:f>
        <x:v>1335.7</x:v>
      </x:c>
      <x:c r="Q2268" s="22" t="n">
        <x:v>31</x:v>
      </x:c>
      <x:c r="R2268" s="22" t="n">
        <x:f>Q2268*M2268</x:f>
        <x:v>1147</x:v>
      </x:c>
      <x:c r="S2268" s="22" t="n">
        <x:f>P2268-R2268</x:f>
        <x:v>188.70000000000005</x:v>
      </x:c>
      <x:c r="T2268" t="str">
        <x:v>Credit</x:v>
      </x:c>
      <x:c r="U2268" t="str">
        <x:v>Paid</x:v>
      </x:c>
      <x:c r="V2268" t="str">
        <x:v>Delivered</x:v>
      </x:c>
      <x:c r="W2268" t="n">
        <x:v>0</x:v>
      </x:c>
      <x:c r="X2268" t="str"/>
      <x:c r="Y2268" t="str">
        <x:v>Referral</x:v>
      </x:c>
    </x:row>
    <x:row r="2269">
      <x:c r="A2269" t="str">
        <x:v>O002268</x:v>
      </x:c>
      <x:c r="B2269" s="20" t="n">
        <x:v>45784</x:v>
      </x:c>
      <x:c r="C2269" t="str">
        <x:v>C0116</x:v>
      </x:c>
      <x:c r="D2269" t="str">
        <x:v>Classic Foods 116</x:v>
      </x:c>
      <x:c r="E2269" t="str">
        <x:v>Supermarket</x:v>
      </x:c>
      <x:c r="F2269" t="str">
        <x:v>Davanagere</x:v>
      </x:c>
      <x:c r="G2269" t="str">
        <x:v>Megha</x:v>
      </x:c>
      <x:c r="H2269" t="str">
        <x:v>P030</x:v>
      </x:c>
      <x:c r="I2269" t="str">
        <x:v>Mayonnaise 1kg</x:v>
      </x:c>
      <x:c r="J2269" t="str">
        <x:v>Condiments</x:v>
      </x:c>
      <x:c r="K2269" t="str">
        <x:v>Veeba</x:v>
      </x:c>
      <x:c r="L2269" s="22" t="n">
        <x:v>210</x:v>
      </x:c>
      <x:c r="M2269" t="n">
        <x:v>39</x:v>
      </x:c>
      <x:c r="N2269" s="24" t="n">
        <x:v>0.05</x:v>
      </x:c>
      <x:c r="O2269" s="22" t="n">
        <x:f>L2269*M2269</x:f>
        <x:v>8190</x:v>
      </x:c>
      <x:c r="P2269" s="22" t="n">
        <x:f>O2269*(1-N2269)</x:f>
        <x:v>7780.5</x:v>
      </x:c>
      <x:c r="Q2269" s="22" t="n">
        <x:v>185</x:v>
      </x:c>
      <x:c r="R2269" s="22" t="n">
        <x:f>Q2269*M2269</x:f>
        <x:v>7215</x:v>
      </x:c>
      <x:c r="S2269" s="22" t="n">
        <x:f>P2269-R2269</x:f>
        <x:v>565.5</x:v>
      </x:c>
      <x:c r="T2269" t="str">
        <x:v>Credit</x:v>
      </x:c>
      <x:c r="U2269" t="str">
        <x:v>Paid</x:v>
      </x:c>
      <x:c r="V2269" t="str">
        <x:v>Delivered</x:v>
      </x:c>
      <x:c r="W2269" t="n">
        <x:v>3</x:v>
      </x:c>
      <x:c r="X2269" t="str">
        <x:v>Late Delivery</x:v>
      </x:c>
      <x:c r="Y2269" t="str">
        <x:v>Referral</x:v>
      </x:c>
    </x:row>
    <x:row r="2270">
      <x:c r="A2270" t="str">
        <x:v>O002269</x:v>
      </x:c>
      <x:c r="B2270" s="20" t="n">
        <x:v>45795</x:v>
      </x:c>
      <x:c r="C2270" t="str">
        <x:v>C0208</x:v>
      </x:c>
      <x:c r="D2270" t="str">
        <x:v>Green Foods 208</x:v>
      </x:c>
      <x:c r="E2270" t="str">
        <x:v>Hotel</x:v>
      </x:c>
      <x:c r="F2270" t="str">
        <x:v>Mysuru</x:v>
      </x:c>
      <x:c r="G2270" t="str">
        <x:v>Ramesh</x:v>
      </x:c>
      <x:c r="H2270" t="str">
        <x:v>P003</x:v>
      </x:c>
      <x:c r="I2270" t="str">
        <x:v>Basmati Rice 5kg</x:v>
      </x:c>
      <x:c r="J2270" t="str">
        <x:v>Staples</x:v>
      </x:c>
      <x:c r="K2270" t="str">
        <x:v>India Gate</x:v>
      </x:c>
      <x:c r="L2270" s="22" t="n">
        <x:v>690</x:v>
      </x:c>
      <x:c r="M2270" t="n">
        <x:v>9</x:v>
      </x:c>
      <x:c r="N2270" s="24" t="n">
        <x:v>0</x:v>
      </x:c>
      <x:c r="O2270" s="22" t="n">
        <x:f>L2270*M2270</x:f>
        <x:v>6210</x:v>
      </x:c>
      <x:c r="P2270" s="22" t="n">
        <x:f>O2270*(1-N2270)</x:f>
        <x:v>6210</x:v>
      </x:c>
      <x:c r="Q2270" s="22" t="n">
        <x:v>610</x:v>
      </x:c>
      <x:c r="R2270" s="22" t="n">
        <x:f>Q2270*M2270</x:f>
        <x:v>5490</x:v>
      </x:c>
      <x:c r="S2270" s="22" t="n">
        <x:f>P2270-R2270</x:f>
        <x:v>720</x:v>
      </x:c>
      <x:c r="T2270" t="str">
        <x:v>Bank Transfer</x:v>
      </x:c>
      <x:c r="U2270" t="str">
        <x:v>Paid</x:v>
      </x:c>
      <x:c r="V2270" t="str">
        <x:v>Delayed</x:v>
      </x:c>
      <x:c r="W2270" t="n">
        <x:v>0</x:v>
      </x:c>
      <x:c r="X2270" t="str"/>
      <x:c r="Y2270" t="str">
        <x:v>Existing Customer</x:v>
      </x:c>
    </x:row>
    <x:row r="2271">
      <x:c r="A2271" t="str">
        <x:v>O002270</x:v>
      </x:c>
      <x:c r="B2271" s="20" t="n">
        <x:v>46106</x:v>
      </x:c>
      <x:c r="C2271" t="str">
        <x:v>C0231</x:v>
      </x:c>
      <x:c r="D2271" t="str">
        <x:v>Metro Canteen 231</x:v>
      </x:c>
      <x:c r="E2271" t="str">
        <x:v>Canteen</x:v>
      </x:c>
      <x:c r="F2271" t="str">
        <x:v>Mangaluru</x:v>
      </x:c>
      <x:c r="G2271" t="str">
        <x:v>Megha</x:v>
      </x:c>
      <x:c r="H2271" t="str">
        <x:v>P014</x:v>
      </x:c>
      <x:c r="I2271" t="str">
        <x:v>Rava 5kg</x:v>
      </x:c>
      <x:c r="J2271" t="str">
        <x:v>Flour</x:v>
      </x:c>
      <x:c r="K2271" t="str">
        <x:v>Local Select</x:v>
      </x:c>
      <x:c r="L2271" s="22" t="n">
        <x:v>245</x:v>
      </x:c>
      <x:c r="M2271" t="n">
        <x:v>28</x:v>
      </x:c>
      <x:c r="N2271" s="24" t="n">
        <x:v>0.03</x:v>
      </x:c>
      <x:c r="O2271" s="22" t="n">
        <x:f>L2271*M2271</x:f>
        <x:v>6860</x:v>
      </x:c>
      <x:c r="P2271" s="22" t="n">
        <x:f>O2271*(1-N2271)</x:f>
        <x:v>6654.2</x:v>
      </x:c>
      <x:c r="Q2271" s="22" t="n">
        <x:v>215</x:v>
      </x:c>
      <x:c r="R2271" s="22" t="n">
        <x:f>Q2271*M2271</x:f>
        <x:v>6020</x:v>
      </x:c>
      <x:c r="S2271" s="22" t="n">
        <x:f>P2271-R2271</x:f>
        <x:v>634.1999999999998</x:v>
      </x:c>
      <x:c r="T2271" t="str">
        <x:v>Credit</x:v>
      </x:c>
      <x:c r="U2271" t="str">
        <x:v>Paid</x:v>
      </x:c>
      <x:c r="V2271" t="str">
        <x:v>Delayed</x:v>
      </x:c>
      <x:c r="W2271" t="n">
        <x:v>0</x:v>
      </x:c>
      <x:c r="X2271" t="str"/>
      <x:c r="Y2271" t="str">
        <x:v>Outbound Call</x:v>
      </x:c>
    </x:row>
    <x:row r="2272">
      <x:c r="A2272" t="str">
        <x:v>O002271</x:v>
      </x:c>
      <x:c r="B2272" s="20" t="n">
        <x:v>45731</x:v>
      </x:c>
      <x:c r="C2272" t="str">
        <x:v>C0222</x:v>
      </x:c>
      <x:c r="D2272" t="str">
        <x:v>Sri Cafe 222</x:v>
      </x:c>
      <x:c r="E2272" t="str">
        <x:v>Kirana</x:v>
      </x:c>
      <x:c r="F2272" t="str">
        <x:v>Mangaluru</x:v>
      </x:c>
      <x:c r="G2272" t="str">
        <x:v>Arjun</x:v>
      </x:c>
      <x:c r="H2272" t="str">
        <x:v>P029</x:v>
      </x:c>
      <x:c r="I2272" t="str">
        <x:v>Tomato Ketchup 1kg</x:v>
      </x:c>
      <x:c r="J2272" t="str">
        <x:v>Condiments</x:v>
      </x:c>
      <x:c r="K2272" t="str">
        <x:v>Kissan</x:v>
      </x:c>
      <x:c r="L2272" s="22" t="n">
        <x:v>145</x:v>
      </x:c>
      <x:c r="M2272" t="n">
        <x:v>21</x:v>
      </x:c>
      <x:c r="N2272" s="24" t="n">
        <x:v>0</x:v>
      </x:c>
      <x:c r="O2272" s="22" t="n">
        <x:f>L2272*M2272</x:f>
        <x:v>3045</x:v>
      </x:c>
      <x:c r="P2272" s="22" t="n">
        <x:f>O2272*(1-N2272)</x:f>
        <x:v>3045</x:v>
      </x:c>
      <x:c r="Q2272" s="22" t="n">
        <x:v>126</x:v>
      </x:c>
      <x:c r="R2272" s="22" t="n">
        <x:f>Q2272*M2272</x:f>
        <x:v>2646</x:v>
      </x:c>
      <x:c r="S2272" s="22" t="n">
        <x:f>P2272-R2272</x:f>
        <x:v>399</x:v>
      </x:c>
      <x:c r="T2272" t="str">
        <x:v>Cash</x:v>
      </x:c>
      <x:c r="U2272" t="str">
        <x:v>Paid</x:v>
      </x:c>
      <x:c r="V2272" t="str">
        <x:v>Delivered</x:v>
      </x:c>
      <x:c r="W2272" t="n">
        <x:v>0</x:v>
      </x:c>
      <x:c r="X2272" t="str"/>
      <x:c r="Y2272" t="str">
        <x:v>Field Visit</x:v>
      </x:c>
    </x:row>
    <x:row r="2273">
      <x:c r="A2273" t="str">
        <x:v>O002272</x:v>
      </x:c>
      <x:c r="B2273" s="20" t="n">
        <x:v>45909</x:v>
      </x:c>
      <x:c r="C2273" t="str">
        <x:v>C0043</x:v>
      </x:c>
      <x:c r="D2273" t="str">
        <x:v>Namma Kitchen 43</x:v>
      </x:c>
      <x:c r="E2273" t="str">
        <x:v>Supermarket</x:v>
      </x:c>
      <x:c r="F2273" t="str">
        <x:v>Davanagere</x:v>
      </x:c>
      <x:c r="G2273" t="str">
        <x:v>Kavya</x:v>
      </x:c>
      <x:c r="H2273" t="str">
        <x:v>P014</x:v>
      </x:c>
      <x:c r="I2273" t="str">
        <x:v>Rava 5kg</x:v>
      </x:c>
      <x:c r="J2273" t="str">
        <x:v>Flour</x:v>
      </x:c>
      <x:c r="K2273" t="str">
        <x:v>Local Select</x:v>
      </x:c>
      <x:c r="L2273" s="22" t="n">
        <x:v>245</x:v>
      </x:c>
      <x:c r="M2273" t="n">
        <x:v>23</x:v>
      </x:c>
      <x:c r="N2273" s="24" t="n">
        <x:v>0</x:v>
      </x:c>
      <x:c r="O2273" s="22" t="n">
        <x:f>L2273*M2273</x:f>
        <x:v>5635</x:v>
      </x:c>
      <x:c r="P2273" s="22" t="n">
        <x:f>O2273*(1-N2273)</x:f>
        <x:v>5635</x:v>
      </x:c>
      <x:c r="Q2273" s="22" t="n">
        <x:v>215</x:v>
      </x:c>
      <x:c r="R2273" s="22" t="n">
        <x:f>Q2273*M2273</x:f>
        <x:v>4945</x:v>
      </x:c>
      <x:c r="S2273" s="22" t="n">
        <x:f>P2273-R2273</x:f>
        <x:v>690</x:v>
      </x:c>
      <x:c r="T2273" t="str">
        <x:v>Cash</x:v>
      </x:c>
      <x:c r="U2273" t="str">
        <x:v>Pending</x:v>
      </x:c>
      <x:c r="V2273" t="str">
        <x:v>Delivered</x:v>
      </x:c>
      <x:c r="W2273" t="n">
        <x:v>0</x:v>
      </x:c>
      <x:c r="X2273" t="str"/>
      <x:c r="Y2273" t="str">
        <x:v>Field Visit</x:v>
      </x:c>
    </x:row>
    <x:row r="2274">
      <x:c r="A2274" t="str">
        <x:v>O002273</x:v>
      </x:c>
      <x:c r="B2274" s="20" t="n">
        <x:v>45711</x:v>
      </x:c>
      <x:c r="C2274" t="str">
        <x:v>C0208</x:v>
      </x:c>
      <x:c r="D2274" t="str">
        <x:v>Green Foods 208</x:v>
      </x:c>
      <x:c r="E2274" t="str">
        <x:v>Hotel</x:v>
      </x:c>
      <x:c r="F2274" t="str">
        <x:v>Mysuru</x:v>
      </x:c>
      <x:c r="G2274" t="str">
        <x:v>Ramesh</x:v>
      </x:c>
      <x:c r="H2274" t="str">
        <x:v>P025</x:v>
      </x:c>
      <x:c r="I2274" t="str">
        <x:v>Potato Chips 100g</x:v>
      </x:c>
      <x:c r="J2274" t="str">
        <x:v>Snacks</x:v>
      </x:c>
      <x:c r="K2274" t="str">
        <x:v>Lay's</x:v>
      </x:c>
      <x:c r="L2274" s="22" t="n">
        <x:v>35</x:v>
      </x:c>
      <x:c r="M2274" t="n">
        <x:v>8</x:v>
      </x:c>
      <x:c r="N2274" s="24" t="n">
        <x:v>0.03</x:v>
      </x:c>
      <x:c r="O2274" s="22" t="n">
        <x:f>L2274*M2274</x:f>
        <x:v>280</x:v>
      </x:c>
      <x:c r="P2274" s="22" t="n">
        <x:f>O2274*(1-N2274)</x:f>
        <x:v>271.59999999999997</x:v>
      </x:c>
      <x:c r="Q2274" s="22" t="n">
        <x:v>27</x:v>
      </x:c>
      <x:c r="R2274" s="22" t="n">
        <x:f>Q2274*M2274</x:f>
        <x:v>216</x:v>
      </x:c>
      <x:c r="S2274" s="22" t="n">
        <x:f>P2274-R2274</x:f>
        <x:v>55.599999999999966</x:v>
      </x:c>
      <x:c r="T2274" t="str">
        <x:v>Bank Transfer</x:v>
      </x:c>
      <x:c r="U2274" t="str">
        <x:v>Paid</x:v>
      </x:c>
      <x:c r="V2274" t="str">
        <x:v>Delivered</x:v>
      </x:c>
      <x:c r="W2274" t="n">
        <x:v>0</x:v>
      </x:c>
      <x:c r="X2274" t="str"/>
      <x:c r="Y2274" t="str">
        <x:v>Outbound Call</x:v>
      </x:c>
    </x:row>
    <x:row r="2275">
      <x:c r="A2275" t="str">
        <x:v>O002274</x:v>
      </x:c>
      <x:c r="B2275" s="20" t="n">
        <x:v>46023</x:v>
      </x:c>
      <x:c r="C2275" t="str">
        <x:v>C0201</x:v>
      </x:c>
      <x:c r="D2275" t="str">
        <x:v>Metro Hotel 201</x:v>
      </x:c>
      <x:c r="E2275" t="str">
        <x:v>Kirana</x:v>
      </x:c>
      <x:c r="F2275" t="str">
        <x:v>Mysuru</x:v>
      </x:c>
      <x:c r="G2275" t="str">
        <x:v>Imran</x:v>
      </x:c>
      <x:c r="H2275" t="str">
        <x:v>P049</x:v>
      </x:c>
      <x:c r="I2275" t="str">
        <x:v>Apple 10kg</x:v>
      </x:c>
      <x:c r="J2275" t="str">
        <x:v>Fresh Produce</x:v>
      </x:c>
      <x:c r="K2275" t="str">
        <x:v>Local Market</x:v>
      </x:c>
      <x:c r="L2275" s="22" t="n">
        <x:v>1450</x:v>
      </x:c>
      <x:c r="M2275" t="n">
        <x:v>10</x:v>
      </x:c>
      <x:c r="N2275" s="24" t="n">
        <x:v>0.05</x:v>
      </x:c>
      <x:c r="O2275" s="22" t="n">
        <x:f>L2275*M2275</x:f>
        <x:v>14500</x:v>
      </x:c>
      <x:c r="P2275" s="22" t="n">
        <x:f>O2275*(1-N2275)</x:f>
        <x:v>13775</x:v>
      </x:c>
      <x:c r="Q2275" s="22" t="n">
        <x:v>1280</x:v>
      </x:c>
      <x:c r="R2275" s="22" t="n">
        <x:f>Q2275*M2275</x:f>
        <x:v>12800</x:v>
      </x:c>
      <x:c r="S2275" s="22" t="n">
        <x:f>P2275-R2275</x:f>
        <x:v>975</x:v>
      </x:c>
      <x:c r="T2275" t="str">
        <x:v>Cash</x:v>
      </x:c>
      <x:c r="U2275" t="str">
        <x:v>Paid</x:v>
      </x:c>
      <x:c r="V2275" t="str">
        <x:v>Delivered</x:v>
      </x:c>
      <x:c r="W2275" t="n">
        <x:v>0</x:v>
      </x:c>
      <x:c r="X2275" t="str"/>
      <x:c r="Y2275" t="str">
        <x:v>WhatsApp</x:v>
      </x:c>
    </x:row>
    <x:row r="2276">
      <x:c r="A2276" t="str">
        <x:v>O002275</x:v>
      </x:c>
      <x:c r="B2276" s="20" t="n">
        <x:v>45752</x:v>
      </x:c>
      <x:c r="C2276" t="str">
        <x:v>C0097</x:v>
      </x:c>
      <x:c r="D2276" t="str">
        <x:v>Classic Stores 97</x:v>
      </x:c>
      <x:c r="E2276" t="str">
        <x:v>Restaurant</x:v>
      </x:c>
      <x:c r="F2276" t="str">
        <x:v>Davanagere</x:v>
      </x:c>
      <x:c r="G2276" t="str">
        <x:v>Priya</x:v>
      </x:c>
      <x:c r="H2276" t="str">
        <x:v>P017</x:v>
      </x:c>
      <x:c r="I2276" t="str">
        <x:v>Butter 500g</x:v>
      </x:c>
      <x:c r="J2276" t="str">
        <x:v>Dairy</x:v>
      </x:c>
      <x:c r="K2276" t="str">
        <x:v>Amul</x:v>
      </x:c>
      <x:c r="L2276" s="22" t="n">
        <x:v>285</x:v>
      </x:c>
      <x:c r="M2276" t="n">
        <x:v>20</x:v>
      </x:c>
      <x:c r="N2276" s="24" t="n">
        <x:v>0.05</x:v>
      </x:c>
      <x:c r="O2276" s="22" t="n">
        <x:f>L2276*M2276</x:f>
        <x:v>5700</x:v>
      </x:c>
      <x:c r="P2276" s="22" t="n">
        <x:f>O2276*(1-N2276)</x:f>
        <x:v>5415</x:v>
      </x:c>
      <x:c r="Q2276" s="22" t="n">
        <x:v>258</x:v>
      </x:c>
      <x:c r="R2276" s="22" t="n">
        <x:f>Q2276*M2276</x:f>
        <x:v>5160</x:v>
      </x:c>
      <x:c r="S2276" s="22" t="n">
        <x:f>P2276-R2276</x:f>
        <x:v>255</x:v>
      </x:c>
      <x:c r="T2276" t="str">
        <x:v>UPI</x:v>
      </x:c>
      <x:c r="U2276" t="str">
        <x:v>Paid</x:v>
      </x:c>
      <x:c r="V2276" t="str">
        <x:v>Delayed</x:v>
      </x:c>
      <x:c r="W2276" t="n">
        <x:v>0</x:v>
      </x:c>
      <x:c r="X2276" t="str"/>
      <x:c r="Y2276" t="str"/>
    </x:row>
    <x:row r="2277">
      <x:c r="A2277" t="str">
        <x:v>O002276</x:v>
      </x:c>
      <x:c r="B2277" s="20" t="n">
        <x:v>46000</x:v>
      </x:c>
      <x:c r="C2277" t="str">
        <x:v>C0046</x:v>
      </x:c>
      <x:c r="D2277" t="str">
        <x:v>Annapurna Foods 46</x:v>
      </x:c>
      <x:c r="E2277" t="str">
        <x:v>Kirana</x:v>
      </x:c>
      <x:c r="F2277" t="str">
        <x:v>Bengaluru</x:v>
      </x:c>
      <x:c r="G2277" t="str">
        <x:v>Ramesh</x:v>
      </x:c>
      <x:c r="H2277" t="str">
        <x:v>P048</x:v>
      </x:c>
      <x:c r="I2277" t="str">
        <x:v>Banana 10kg</x:v>
      </x:c>
      <x:c r="J2277" t="str">
        <x:v>Fresh Produce</x:v>
      </x:c>
      <x:c r="K2277" t="str">
        <x:v>Local Market</x:v>
      </x:c>
      <x:c r="L2277" s="22" t="n">
        <x:v>420</x:v>
      </x:c>
      <x:c r="M2277" t="n">
        <x:v>22</x:v>
      </x:c>
      <x:c r="N2277" s="24" t="n">
        <x:v>0</x:v>
      </x:c>
      <x:c r="O2277" s="22" t="n">
        <x:f>L2277*M2277</x:f>
        <x:v>9240</x:v>
      </x:c>
      <x:c r="P2277" s="22" t="n">
        <x:f>O2277*(1-N2277)</x:f>
        <x:v>9240</x:v>
      </x:c>
      <x:c r="Q2277" s="22" t="n">
        <x:v>350</x:v>
      </x:c>
      <x:c r="R2277" s="22" t="n">
        <x:f>Q2277*M2277</x:f>
        <x:v>7700</x:v>
      </x:c>
      <x:c r="S2277" s="22" t="n">
        <x:f>P2277-R2277</x:f>
        <x:v>1540</x:v>
      </x:c>
      <x:c r="T2277" t="str">
        <x:v>Bank Transfer</x:v>
      </x:c>
      <x:c r="U2277" t="str">
        <x:v>Pending</x:v>
      </x:c>
      <x:c r="V2277" t="str">
        <x:v>Delivered</x:v>
      </x:c>
      <x:c r="W2277" t="n">
        <x:v>0</x:v>
      </x:c>
      <x:c r="X2277" t="str"/>
      <x:c r="Y2277" t="str">
        <x:v>Field Visit</x:v>
      </x:c>
    </x:row>
    <x:row r="2278">
      <x:c r="A2278" t="str">
        <x:v>O002277</x:v>
      </x:c>
      <x:c r="B2278" s="20" t="n">
        <x:v>45802</x:v>
      </x:c>
      <x:c r="C2278" t="str">
        <x:v>C0103</x:v>
      </x:c>
      <x:c r="D2278" t="str">
        <x:v>Fresh Kitchen 103</x:v>
      </x:c>
      <x:c r="E2278" t="str">
        <x:v>Supermarket</x:v>
      </x:c>
      <x:c r="F2278" t="str">
        <x:v>Davanagere</x:v>
      </x:c>
      <x:c r="G2278" t="str">
        <x:v>Megha</x:v>
      </x:c>
      <x:c r="H2278" t="str">
        <x:v>P031</x:v>
      </x:c>
      <x:c r="I2278" t="str">
        <x:v>Chilli Sauce 700g</x:v>
      </x:c>
      <x:c r="J2278" t="str">
        <x:v>Condiments</x:v>
      </x:c>
      <x:c r="K2278" t="str">
        <x:v>Ching's</x:v>
      </x:c>
      <x:c r="L2278" s="22" t="n">
        <x:v>130</x:v>
      </x:c>
      <x:c r="M2278" t="n">
        <x:v>12</x:v>
      </x:c>
      <x:c r="N2278" s="24" t="n">
        <x:v>0.03</x:v>
      </x:c>
      <x:c r="O2278" s="22" t="n">
        <x:f>L2278*M2278</x:f>
        <x:v>1560</x:v>
      </x:c>
      <x:c r="P2278" s="22" t="n">
        <x:f>O2278*(1-N2278)</x:f>
        <x:v>1513.2</x:v>
      </x:c>
      <x:c r="Q2278" s="22" t="n">
        <x:v>112</x:v>
      </x:c>
      <x:c r="R2278" s="22" t="n">
        <x:f>Q2278*M2278</x:f>
        <x:v>1344</x:v>
      </x:c>
      <x:c r="S2278" s="22" t="n">
        <x:f>P2278-R2278</x:f>
        <x:v>169.20000000000005</x:v>
      </x:c>
      <x:c r="T2278" t="str">
        <x:v>Bank Transfer</x:v>
      </x:c>
      <x:c r="U2278" t="str">
        <x:v>Paid</x:v>
      </x:c>
      <x:c r="V2278" t="str">
        <x:v>Delivered</x:v>
      </x:c>
      <x:c r="W2278" t="n">
        <x:v>0</x:v>
      </x:c>
      <x:c r="X2278" t="str"/>
      <x:c r="Y2278" t="str">
        <x:v>Referral</x:v>
      </x:c>
    </x:row>
    <x:row r="2279">
      <x:c r="A2279" t="str">
        <x:v>O002278</x:v>
      </x:c>
      <x:c r="B2279" s="20" t="n">
        <x:v>46027</x:v>
      </x:c>
      <x:c r="C2279" t="str">
        <x:v>C0017</x:v>
      </x:c>
      <x:c r="D2279" t="str">
        <x:v>City Foods 17</x:v>
      </x:c>
      <x:c r="E2279" t="str">
        <x:v>Restaurant</x:v>
      </x:c>
      <x:c r="F2279" t="str">
        <x:v>Tumakuru</x:v>
      </x:c>
      <x:c r="G2279" t="str">
        <x:v>Imran</x:v>
      </x:c>
      <x:c r="H2279" t="str">
        <x:v>P017</x:v>
      </x:c>
      <x:c r="I2279" t="str">
        <x:v>Butter 500g</x:v>
      </x:c>
      <x:c r="J2279" t="str">
        <x:v>Dairy</x:v>
      </x:c>
      <x:c r="K2279" t="str">
        <x:v>Amul</x:v>
      </x:c>
      <x:c r="L2279" s="22" t="n">
        <x:v>285</x:v>
      </x:c>
      <x:c r="M2279" t="n">
        <x:v>18</x:v>
      </x:c>
      <x:c r="N2279" s="24" t="n">
        <x:v>0.02</x:v>
      </x:c>
      <x:c r="O2279" s="22" t="n">
        <x:f>L2279*M2279</x:f>
        <x:v>5130</x:v>
      </x:c>
      <x:c r="P2279" s="22" t="n">
        <x:f>O2279*(1-N2279)</x:f>
        <x:v>5027.4</x:v>
      </x:c>
      <x:c r="Q2279" s="22" t="n">
        <x:v>258</x:v>
      </x:c>
      <x:c r="R2279" s="22" t="n">
        <x:f>Q2279*M2279</x:f>
        <x:v>4644</x:v>
      </x:c>
      <x:c r="S2279" s="22" t="n">
        <x:f>P2279-R2279</x:f>
        <x:v>383.39999999999964</x:v>
      </x:c>
      <x:c r="T2279" t="str">
        <x:v>UPI</x:v>
      </x:c>
      <x:c r="U2279" t="str">
        <x:v>Paid</x:v>
      </x:c>
      <x:c r="V2279" t="str">
        <x:v>Delivered</x:v>
      </x:c>
      <x:c r="W2279" t="n">
        <x:v>0</x:v>
      </x:c>
      <x:c r="X2279" t="str"/>
      <x:c r="Y2279" t="str">
        <x:v>Referral</x:v>
      </x:c>
    </x:row>
    <x:row r="2280">
      <x:c r="A2280" t="str">
        <x:v>O002279</x:v>
      </x:c>
      <x:c r="B2280" s="20" t="n">
        <x:v>45924</x:v>
      </x:c>
      <x:c r="C2280" t="str">
        <x:v>C0024</x:v>
      </x:c>
      <x:c r="D2280" t="str">
        <x:v>Darshini Restaurant 24</x:v>
      </x:c>
      <x:c r="E2280" t="str">
        <x:v>Restaurant</x:v>
      </x:c>
      <x:c r="F2280" t="str">
        <x:v>Davanagere</x:v>
      </x:c>
      <x:c r="G2280" t="str">
        <x:v>Sneha</x:v>
      </x:c>
      <x:c r="H2280" t="str">
        <x:v>P008</x:v>
      </x:c>
      <x:c r="I2280" t="str">
        <x:v>Palm Oil 15L</x:v>
      </x:c>
      <x:c r="J2280" t="str">
        <x:v>Edible Oil</x:v>
      </x:c>
      <x:c r="K2280" t="str">
        <x:v>Ruchi Gold</x:v>
      </x:c>
      <x:c r="L2280" s="22" t="n">
        <x:v>1760</x:v>
      </x:c>
      <x:c r="M2280" t="n">
        <x:v>8</x:v>
      </x:c>
      <x:c r="N2280" s="24" t="n">
        <x:v>0.03</x:v>
      </x:c>
      <x:c r="O2280" s="22" t="n">
        <x:f>L2280*M2280</x:f>
        <x:v>14080</x:v>
      </x:c>
      <x:c r="P2280" s="22" t="n">
        <x:f>O2280*(1-N2280)</x:f>
        <x:v>13657.6</x:v>
      </x:c>
      <x:c r="Q2280" s="22" t="n">
        <x:v>1610</x:v>
      </x:c>
      <x:c r="R2280" s="22" t="n">
        <x:f>Q2280*M2280</x:f>
        <x:v>12880</x:v>
      </x:c>
      <x:c r="S2280" s="22" t="n">
        <x:f>P2280-R2280</x:f>
        <x:v>777.6000000000004</x:v>
      </x:c>
      <x:c r="T2280" t="str">
        <x:v>Credit</x:v>
      </x:c>
      <x:c r="U2280" t="str">
        <x:v>Paid</x:v>
      </x:c>
      <x:c r="V2280" t="str">
        <x:v>Delivered</x:v>
      </x:c>
      <x:c r="W2280" t="n">
        <x:v>0</x:v>
      </x:c>
      <x:c r="X2280" t="str"/>
      <x:c r="Y2280" t="str">
        <x:v>Referral</x:v>
      </x:c>
    </x:row>
    <x:row r="2281">
      <x:c r="A2281" t="str">
        <x:v>O002280</x:v>
      </x:c>
      <x:c r="B2281" s="20" t="n">
        <x:v>45672</x:v>
      </x:c>
      <x:c r="C2281" t="str">
        <x:v>C0003</x:v>
      </x:c>
      <x:c r="D2281" t="str">
        <x:v>Grand Foods 3</x:v>
      </x:c>
      <x:c r="E2281" t="str">
        <x:v>Restaurant</x:v>
      </x:c>
      <x:c r="F2281" t="str">
        <x:v>Bengaluru</x:v>
      </x:c>
      <x:c r="G2281" t="str">
        <x:v>Vikram</x:v>
      </x:c>
      <x:c r="H2281" t="str">
        <x:v>P019</x:v>
      </x:c>
      <x:c r="I2281" t="str">
        <x:v>Tea 1kg</x:v>
      </x:c>
      <x:c r="J2281" t="str">
        <x:v>Beverage</x:v>
      </x:c>
      <x:c r="K2281" t="str">
        <x:v>Red Label</x:v>
      </x:c>
      <x:c r="L2281" s="22" t="n">
        <x:v>540</x:v>
      </x:c>
      <x:c r="M2281" t="n">
        <x:v>38</x:v>
      </x:c>
      <x:c r="N2281" s="24" t="n">
        <x:v>0.02</x:v>
      </x:c>
      <x:c r="O2281" s="22" t="n">
        <x:f>L2281*M2281</x:f>
        <x:v>20520</x:v>
      </x:c>
      <x:c r="P2281" s="22" t="n">
        <x:f>O2281*(1-N2281)</x:f>
        <x:v>20109.6</x:v>
      </x:c>
      <x:c r="Q2281" s="22" t="n">
        <x:v>485</x:v>
      </x:c>
      <x:c r="R2281" s="22" t="n">
        <x:f>Q2281*M2281</x:f>
        <x:v>18430</x:v>
      </x:c>
      <x:c r="S2281" s="22" t="n">
        <x:f>P2281-R2281</x:f>
        <x:v>1679.5999999999985</x:v>
      </x:c>
      <x:c r="T2281" t="str">
        <x:v>Bank Transfer</x:v>
      </x:c>
      <x:c r="U2281" t="str">
        <x:v>Paid</x:v>
      </x:c>
      <x:c r="V2281" t="str">
        <x:v>Cancelled</x:v>
      </x:c>
      <x:c r="W2281" t="n">
        <x:v>38</x:v>
      </x:c>
      <x:c r="X2281" t="str">
        <x:v>Cancelled Order</x:v>
      </x:c>
      <x:c r="Y2281" t="str">
        <x:v>WhatsApp</x:v>
      </x:c>
    </x:row>
    <x:row r="2282">
      <x:c r="A2282" t="str">
        <x:v>O002281</x:v>
      </x:c>
      <x:c r="B2282" s="20" t="n">
        <x:v>45711</x:v>
      </x:c>
      <x:c r="C2282" t="str">
        <x:v>C0132</x:v>
      </x:c>
      <x:c r="D2282" t="str">
        <x:v>Classic Stores 132</x:v>
      </x:c>
      <x:c r="E2282" t="str">
        <x:v>Cafe</x:v>
      </x:c>
      <x:c r="F2282" t="str">
        <x:v>Mysuru</x:v>
      </x:c>
      <x:c r="G2282" t="str">
        <x:v>Megha</x:v>
      </x:c>
      <x:c r="H2282" t="str">
        <x:v>P013</x:v>
      </x:c>
      <x:c r="I2282" t="str">
        <x:v>Atta 10kg</x:v>
      </x:c>
      <x:c r="J2282" t="str">
        <x:v>Flour</x:v>
      </x:c>
      <x:c r="K2282" t="str">
        <x:v>Aashirvaad</x:v>
      </x:c>
      <x:c r="L2282" s="22" t="n">
        <x:v>560</x:v>
      </x:c>
      <x:c r="M2282" t="n">
        <x:v>34</x:v>
      </x:c>
      <x:c r="N2282" s="24" t="n">
        <x:v>0.05</x:v>
      </x:c>
      <x:c r="O2282" s="22" t="n">
        <x:f>L2282*M2282</x:f>
        <x:v>19040</x:v>
      </x:c>
      <x:c r="P2282" s="22" t="n">
        <x:f>O2282*(1-N2282)</x:f>
        <x:v>18088</x:v>
      </x:c>
      <x:c r="Q2282" s="22" t="n">
        <x:v>495</x:v>
      </x:c>
      <x:c r="R2282" s="22" t="n">
        <x:f>Q2282*M2282</x:f>
        <x:v>16830</x:v>
      </x:c>
      <x:c r="S2282" s="22" t="n">
        <x:f>P2282-R2282</x:f>
        <x:v>1258</x:v>
      </x:c>
      <x:c r="T2282" t="str">
        <x:v>UPI</x:v>
      </x:c>
      <x:c r="U2282" t="str">
        <x:v>Paid</x:v>
      </x:c>
      <x:c r="V2282" t="str">
        <x:v>Cancelled</x:v>
      </x:c>
      <x:c r="W2282" t="n">
        <x:v>34</x:v>
      </x:c>
      <x:c r="X2282" t="str">
        <x:v>Cancelled Order</x:v>
      </x:c>
      <x:c r="Y2282" t="str">
        <x:v>Existing Customer</x:v>
      </x:c>
    </x:row>
    <x:row r="2283">
      <x:c r="A2283" t="str">
        <x:v>O002282</x:v>
      </x:c>
      <x:c r="B2283" s="20" t="n">
        <x:v>45977</x:v>
      </x:c>
      <x:c r="C2283" t="str">
        <x:v>C0063</x:v>
      </x:c>
      <x:c r="D2283" t="str">
        <x:v>Namma Mart 63</x:v>
      </x:c>
      <x:c r="E2283" t="str">
        <x:v>Supermarket</x:v>
      </x:c>
      <x:c r="F2283" t="str">
        <x:v>Tumakuru</x:v>
      </x:c>
      <x:c r="G2283" t="str">
        <x:v>Priya</x:v>
      </x:c>
      <x:c r="H2283" t="str">
        <x:v>P006</x:v>
      </x:c>
      <x:c r="I2283" t="str">
        <x:v>Moong Dal 5kg</x:v>
      </x:c>
      <x:c r="J2283" t="str">
        <x:v>Pulses</x:v>
      </x:c>
      <x:c r="K2283" t="str">
        <x:v>Local Select</x:v>
      </x:c>
      <x:c r="L2283" s="22" t="n">
        <x:v>610</x:v>
      </x:c>
      <x:c r="M2283" t="n">
        <x:v>14</x:v>
      </x:c>
      <x:c r="N2283" s="24" t="n">
        <x:v>0.03</x:v>
      </x:c>
      <x:c r="O2283" s="22" t="n">
        <x:f>L2283*M2283</x:f>
        <x:v>8540</x:v>
      </x:c>
      <x:c r="P2283" s="22" t="n">
        <x:f>O2283*(1-N2283)</x:f>
        <x:v>8283.8</x:v>
      </x:c>
      <x:c r="Q2283" s="22" t="n">
        <x:v>540</x:v>
      </x:c>
      <x:c r="R2283" s="22" t="n">
        <x:f>Q2283*M2283</x:f>
        <x:v>7560</x:v>
      </x:c>
      <x:c r="S2283" s="22" t="n">
        <x:f>P2283-R2283</x:f>
        <x:v>723.7999999999993</x:v>
      </x:c>
      <x:c r="T2283" t="str">
        <x:v>Cash</x:v>
      </x:c>
      <x:c r="U2283" t="str">
        <x:v>Paid</x:v>
      </x:c>
      <x:c r="V2283" t="str">
        <x:v>Delivered</x:v>
      </x:c>
      <x:c r="W2283" t="n">
        <x:v>0</x:v>
      </x:c>
      <x:c r="X2283" t="str"/>
      <x:c r="Y2283" t="str">
        <x:v>WhatsApp</x:v>
      </x:c>
    </x:row>
    <x:row r="2284">
      <x:c r="A2284" t="str">
        <x:v>O002283</x:v>
      </x:c>
      <x:c r="B2284" s="20" t="n">
        <x:v>45764</x:v>
      </x:c>
      <x:c r="C2284" t="str">
        <x:v>C0106</x:v>
      </x:c>
      <x:c r="D2284" t="str">
        <x:v>Classic Mart 106</x:v>
      </x:c>
      <x:c r="E2284" t="str">
        <x:v>Restaurant</x:v>
      </x:c>
      <x:c r="F2284" t="str">
        <x:v>Mysuru</x:v>
      </x:c>
      <x:c r="G2284" t="str">
        <x:v>Kavya</x:v>
      </x:c>
      <x:c r="H2284" t="str">
        <x:v>P011</x:v>
      </x:c>
      <x:c r="I2284" t="str">
        <x:v>Salt 1kg</x:v>
      </x:c>
      <x:c r="J2284" t="str">
        <x:v>Staples</x:v>
      </x:c>
      <x:c r="K2284" t="str">
        <x:v>Tata</x:v>
      </x:c>
      <x:c r="L2284" s="22" t="n">
        <x:v>28</x:v>
      </x:c>
      <x:c r="M2284" t="n">
        <x:v>1</x:v>
      </x:c>
      <x:c r="N2284" s="24" t="n">
        <x:v>0.03</x:v>
      </x:c>
      <x:c r="O2284" s="22" t="n">
        <x:f>L2284*M2284</x:f>
        <x:v>28</x:v>
      </x:c>
      <x:c r="P2284" s="22" t="n">
        <x:f>O2284*(1-N2284)</x:f>
        <x:v>27.16</x:v>
      </x:c>
      <x:c r="Q2284" s="22" t="n">
        <x:v>23</x:v>
      </x:c>
      <x:c r="R2284" s="22" t="n">
        <x:f>Q2284*M2284</x:f>
        <x:v>23</x:v>
      </x:c>
      <x:c r="S2284" s="22" t="n">
        <x:f>P2284-R2284</x:f>
        <x:v>4.16</x:v>
      </x:c>
      <x:c r="T2284" t="str">
        <x:v>UPI</x:v>
      </x:c>
      <x:c r="U2284" t="str">
        <x:v>Paid</x:v>
      </x:c>
      <x:c r="V2284" t="str">
        <x:v>Delivered</x:v>
      </x:c>
      <x:c r="W2284" t="n">
        <x:v>1</x:v>
      </x:c>
      <x:c r="X2284" t="str">
        <x:v>Quality Issue</x:v>
      </x:c>
      <x:c r="Y2284" t="str">
        <x:v>WhatsApp</x:v>
      </x:c>
    </x:row>
    <x:row r="2285">
      <x:c r="A2285" t="str">
        <x:v>O002284</x:v>
      </x:c>
      <x:c r="B2285" s="20" t="n">
        <x:v>46123</x:v>
      </x:c>
      <x:c r="C2285" t="str">
        <x:v>C0085</x:v>
      </x:c>
      <x:c r="D2285" t="str">
        <x:v>Green Hotel 85</x:v>
      </x:c>
      <x:c r="E2285" t="str">
        <x:v>Kirana</x:v>
      </x:c>
      <x:c r="F2285" t="str">
        <x:v>Mysuru</x:v>
      </x:c>
      <x:c r="G2285" t="str">
        <x:v>Arjun</x:v>
      </x:c>
      <x:c r="H2285" t="str">
        <x:v>P049</x:v>
      </x:c>
      <x:c r="I2285" t="str">
        <x:v>Apple 10kg</x:v>
      </x:c>
      <x:c r="J2285" t="str">
        <x:v>Fresh Produce</x:v>
      </x:c>
      <x:c r="K2285" t="str">
        <x:v>Local Market</x:v>
      </x:c>
      <x:c r="L2285" s="22" t="n">
        <x:v>1450</x:v>
      </x:c>
      <x:c r="M2285" t="n">
        <x:v>7</x:v>
      </x:c>
      <x:c r="N2285" s="24" t="n">
        <x:v>0.05</x:v>
      </x:c>
      <x:c r="O2285" s="22" t="n">
        <x:f>L2285*M2285</x:f>
        <x:v>10150</x:v>
      </x:c>
      <x:c r="P2285" s="22" t="n">
        <x:f>O2285*(1-N2285)</x:f>
        <x:v>9642.5</x:v>
      </x:c>
      <x:c r="Q2285" s="22" t="n">
        <x:v>1280</x:v>
      </x:c>
      <x:c r="R2285" s="22" t="n">
        <x:f>Q2285*M2285</x:f>
        <x:v>8960</x:v>
      </x:c>
      <x:c r="S2285" s="22" t="n">
        <x:f>P2285-R2285</x:f>
        <x:v>682.5</x:v>
      </x:c>
      <x:c r="T2285" t="str">
        <x:v>UPI</x:v>
      </x:c>
      <x:c r="U2285" t="str">
        <x:v>Paid</x:v>
      </x:c>
      <x:c r="V2285" t="str">
        <x:v>Delivered</x:v>
      </x:c>
      <x:c r="W2285" t="n">
        <x:v>0</x:v>
      </x:c>
      <x:c r="X2285" t="str"/>
      <x:c r="Y2285" t="str">
        <x:v>Referral</x:v>
      </x:c>
    </x:row>
    <x:row r="2286">
      <x:c r="A2286" t="str">
        <x:v>O002285</x:v>
      </x:c>
      <x:c r="B2286" s="20" t="n">
        <x:v>45731</x:v>
      </x:c>
      <x:c r="C2286" t="str">
        <x:v>C0208</x:v>
      </x:c>
      <x:c r="D2286" t="str">
        <x:v>Green Foods 208</x:v>
      </x:c>
      <x:c r="E2286" t="str">
        <x:v>Hotel</x:v>
      </x:c>
      <x:c r="F2286" t="str">
        <x:v>Mysuru</x:v>
      </x:c>
      <x:c r="G2286" t="str">
        <x:v>Ramesh</x:v>
      </x:c>
      <x:c r="H2286" t="str">
        <x:v>P047</x:v>
      </x:c>
      <x:c r="I2286" t="str">
        <x:v>Tomato 25kg</x:v>
      </x:c>
      <x:c r="J2286" t="str">
        <x:v>Fresh Produce</x:v>
      </x:c>
      <x:c r="K2286" t="str">
        <x:v>Local Market</x:v>
      </x:c>
      <x:c r="L2286" s="22" t="n">
        <x:v>950</x:v>
      </x:c>
      <x:c r="M2286" t="n">
        <x:v>24</x:v>
      </x:c>
      <x:c r="N2286" s="24" t="n">
        <x:v>0.08</x:v>
      </x:c>
      <x:c r="O2286" s="22" t="n">
        <x:f>L2286*M2286</x:f>
        <x:v>22800</x:v>
      </x:c>
      <x:c r="P2286" s="22" t="n">
        <x:f>O2286*(1-N2286)</x:f>
        <x:v>20976</x:v>
      </x:c>
      <x:c r="Q2286" s="22" t="n">
        <x:v>810</x:v>
      </x:c>
      <x:c r="R2286" s="22" t="n">
        <x:f>Q2286*M2286</x:f>
        <x:v>19440</x:v>
      </x:c>
      <x:c r="S2286" s="22" t="n">
        <x:f>P2286-R2286</x:f>
        <x:v>1536</x:v>
      </x:c>
      <x:c r="T2286" t="str">
        <x:v>Bank Transfer</x:v>
      </x:c>
      <x:c r="U2286" t="str">
        <x:v>Paid</x:v>
      </x:c>
      <x:c r="V2286" t="str">
        <x:v>Delivered</x:v>
      </x:c>
      <x:c r="W2286" t="n">
        <x:v>1</x:v>
      </x:c>
      <x:c r="X2286" t="str">
        <x:v>Damaged</x:v>
      </x:c>
      <x:c r="Y2286" t="str">
        <x:v>Referral</x:v>
      </x:c>
    </x:row>
    <x:row r="2287">
      <x:c r="A2287" t="str">
        <x:v>O002286</x:v>
      </x:c>
      <x:c r="B2287" s="20" t="n">
        <x:v>46100</x:v>
      </x:c>
      <x:c r="C2287" t="str">
        <x:v>C0048</x:v>
      </x:c>
      <x:c r="D2287" t="str">
        <x:v>Udupi Foods 48</x:v>
      </x:c>
      <x:c r="E2287" t="str">
        <x:v>Hotel</x:v>
      </x:c>
      <x:c r="F2287" t="str">
        <x:v>Bengaluru</x:v>
      </x:c>
      <x:c r="G2287" t="str">
        <x:v>Ramesh</x:v>
      </x:c>
      <x:c r="H2287" t="str">
        <x:v>P033</x:v>
      </x:c>
      <x:c r="I2287" t="str">
        <x:v>Turmeric Powder 1kg</x:v>
      </x:c>
      <x:c r="J2287" t="str">
        <x:v>Spices</x:v>
      </x:c>
      <x:c r="K2287" t="str">
        <x:v>Everest</x:v>
      </x:c>
      <x:c r="L2287" s="22" t="n">
        <x:v>310</x:v>
      </x:c>
      <x:c r="M2287" t="n">
        <x:v>22</x:v>
      </x:c>
      <x:c r="N2287" s="24" t="n">
        <x:v>0.1</x:v>
      </x:c>
      <x:c r="O2287" s="22" t="n">
        <x:f>L2287*M2287</x:f>
        <x:v>6820</x:v>
      </x:c>
      <x:c r="P2287" s="22" t="n">
        <x:f>O2287*(1-N2287)</x:f>
        <x:v>6138</x:v>
      </x:c>
      <x:c r="Q2287" s="22" t="n">
        <x:v>270</x:v>
      </x:c>
      <x:c r="R2287" s="22" t="n">
        <x:f>Q2287*M2287</x:f>
        <x:v>5940</x:v>
      </x:c>
      <x:c r="S2287" s="22" t="n">
        <x:f>P2287-R2287</x:f>
        <x:v>198</x:v>
      </x:c>
      <x:c r="T2287" t="str">
        <x:v>Cash</x:v>
      </x:c>
      <x:c r="U2287" t="str">
        <x:v>Pending</x:v>
      </x:c>
      <x:c r="V2287" t="str">
        <x:v>Delivered</x:v>
      </x:c>
      <x:c r="W2287" t="n">
        <x:v>0</x:v>
      </x:c>
      <x:c r="X2287" t="str"/>
      <x:c r="Y2287" t="str">
        <x:v>Referral</x:v>
      </x:c>
    </x:row>
    <x:row r="2288">
      <x:c r="A2288" t="str">
        <x:v>O002287</x:v>
      </x:c>
      <x:c r="B2288" s="20" t="n">
        <x:v>45756</x:v>
      </x:c>
      <x:c r="C2288" t="str">
        <x:v>C0190</x:v>
      </x:c>
      <x:c r="D2288" t="str">
        <x:v>Shree Restaurant 190</x:v>
      </x:c>
      <x:c r="E2288" t="str">
        <x:v>Canteen</x:v>
      </x:c>
      <x:c r="F2288" t="str">
        <x:v>Bengaluru</x:v>
      </x:c>
      <x:c r="G2288" t="str">
        <x:v>Kavya</x:v>
      </x:c>
      <x:c r="H2288" t="str">
        <x:v>P007</x:v>
      </x:c>
      <x:c r="I2288" t="str">
        <x:v>Sunflower Oil 15L</x:v>
      </x:c>
      <x:c r="J2288" t="str">
        <x:v>Edible Oil</x:v>
      </x:c>
      <x:c r="K2288" t="str">
        <x:v>Fortune</x:v>
      </x:c>
      <x:c r="L2288" s="22" t="n">
        <x:v>1980</x:v>
      </x:c>
      <x:c r="M2288" t="n">
        <x:v>3</x:v>
      </x:c>
      <x:c r="N2288" s="24" t="n">
        <x:v>0</x:v>
      </x:c>
      <x:c r="O2288" s="22" t="n">
        <x:f>L2288*M2288</x:f>
        <x:v>5940</x:v>
      </x:c>
      <x:c r="P2288" s="22" t="n">
        <x:f>O2288*(1-N2288)</x:f>
        <x:v>5940</x:v>
      </x:c>
      <x:c r="Q2288" s="22" t="n">
        <x:v>1810</x:v>
      </x:c>
      <x:c r="R2288" s="22" t="n">
        <x:f>Q2288*M2288</x:f>
        <x:v>5430</x:v>
      </x:c>
      <x:c r="S2288" s="22" t="n">
        <x:f>P2288-R2288</x:f>
        <x:v>510</x:v>
      </x:c>
      <x:c r="T2288" t="str">
        <x:v>Credit</x:v>
      </x:c>
      <x:c r="U2288" t="str">
        <x:v>Paid</x:v>
      </x:c>
      <x:c r="V2288" t="str">
        <x:v>Delivered</x:v>
      </x:c>
      <x:c r="W2288" t="n">
        <x:v>0</x:v>
      </x:c>
      <x:c r="X2288" t="str"/>
      <x:c r="Y2288" t="str">
        <x:v>Field Visit</x:v>
      </x:c>
    </x:row>
    <x:row r="2289">
      <x:c r="A2289" t="str">
        <x:v>O002288</x:v>
      </x:c>
      <x:c r="B2289" s="20" t="n">
        <x:v>45803</x:v>
      </x:c>
      <x:c r="C2289" t="str">
        <x:v>C0151</x:v>
      </x:c>
      <x:c r="D2289" t="str">
        <x:v>Foodie Stores 151</x:v>
      </x:c>
      <x:c r="E2289" t="str">
        <x:v>Supermarket</x:v>
      </x:c>
      <x:c r="F2289" t="str">
        <x:v>Mysuru</x:v>
      </x:c>
      <x:c r="G2289" t="str">
        <x:v>Arjun</x:v>
      </x:c>
      <x:c r="H2289" t="str">
        <x:v>P037</x:v>
      </x:c>
      <x:c r="I2289" t="str">
        <x:v>Frozen Peas 1kg</x:v>
      </x:c>
      <x:c r="J2289" t="str">
        <x:v>Frozen</x:v>
      </x:c>
      <x:c r="K2289" t="str">
        <x:v>Safal</x:v>
      </x:c>
      <x:c r="L2289" s="22" t="n">
        <x:v>155</x:v>
      </x:c>
      <x:c r="M2289" t="n">
        <x:v>2</x:v>
      </x:c>
      <x:c r="N2289" s="24" t="n">
        <x:v>0</x:v>
      </x:c>
      <x:c r="O2289" s="22" t="n">
        <x:f>L2289*M2289</x:f>
        <x:v>310</x:v>
      </x:c>
      <x:c r="P2289" s="22" t="n">
        <x:f>O2289*(1-N2289)</x:f>
        <x:v>310</x:v>
      </x:c>
      <x:c r="Q2289" s="22" t="n">
        <x:v>138</x:v>
      </x:c>
      <x:c r="R2289" s="22" t="n">
        <x:f>Q2289*M2289</x:f>
        <x:v>276</x:v>
      </x:c>
      <x:c r="S2289" s="22" t="n">
        <x:f>P2289-R2289</x:f>
        <x:v>34</x:v>
      </x:c>
      <x:c r="T2289" t="str">
        <x:v>Credit</x:v>
      </x:c>
      <x:c r="U2289" t="str">
        <x:v>Paid</x:v>
      </x:c>
      <x:c r="V2289" t="str">
        <x:v>Delivered</x:v>
      </x:c>
      <x:c r="W2289" t="n">
        <x:v>0</x:v>
      </x:c>
      <x:c r="X2289" t="str"/>
      <x:c r="Y2289" t="str">
        <x:v>Existing Customer</x:v>
      </x:c>
    </x:row>
    <x:row r="2290">
      <x:c r="A2290" t="str">
        <x:v>O002289</x:v>
      </x:c>
      <x:c r="B2290" s="20" t="n">
        <x:v>45942</x:v>
      </x:c>
      <x:c r="C2290" t="str">
        <x:v>C0035</x:v>
      </x:c>
      <x:c r="D2290" t="str">
        <x:v>City Foods 35</x:v>
      </x:c>
      <x:c r="E2290" t="str">
        <x:v>Kirana</x:v>
      </x:c>
      <x:c r="F2290" t="str">
        <x:v>Bengaluru</x:v>
      </x:c>
      <x:c r="G2290" t="str">
        <x:v>Megha</x:v>
      </x:c>
      <x:c r="H2290" t="str">
        <x:v>P009</x:v>
      </x:c>
      <x:c r="I2290" t="str">
        <x:v>Groundnut Oil 5L</x:v>
      </x:c>
      <x:c r="J2290" t="str">
        <x:v>Edible Oil</x:v>
      </x:c>
      <x:c r="K2290" t="str">
        <x:v>Dhara</x:v>
      </x:c>
      <x:c r="L2290" s="22" t="n">
        <x:v>890</x:v>
      </x:c>
      <x:c r="M2290" t="n">
        <x:v>3</x:v>
      </x:c>
      <x:c r="N2290" s="24" t="n">
        <x:v>0</x:v>
      </x:c>
      <x:c r="O2290" s="22" t="n">
        <x:f>L2290*M2290</x:f>
        <x:v>2670</x:v>
      </x:c>
      <x:c r="P2290" s="22" t="n">
        <x:f>O2290*(1-N2290)</x:f>
        <x:v>2670</x:v>
      </x:c>
      <x:c r="Q2290" s="22" t="n">
        <x:v>810</x:v>
      </x:c>
      <x:c r="R2290" s="22" t="n">
        <x:f>Q2290*M2290</x:f>
        <x:v>2430</x:v>
      </x:c>
      <x:c r="S2290" s="22" t="n">
        <x:f>P2290-R2290</x:f>
        <x:v>240</x:v>
      </x:c>
      <x:c r="T2290" t="str">
        <x:v>Cash</x:v>
      </x:c>
      <x:c r="U2290" t="str">
        <x:v>Paid</x:v>
      </x:c>
      <x:c r="V2290" t="str">
        <x:v>Delayed</x:v>
      </x:c>
      <x:c r="W2290" t="n">
        <x:v>0</x:v>
      </x:c>
      <x:c r="X2290" t="str"/>
      <x:c r="Y2290" t="str">
        <x:v>Referral</x:v>
      </x:c>
    </x:row>
    <x:row r="2291">
      <x:c r="A2291" t="str">
        <x:v>O002290</x:v>
      </x:c>
      <x:c r="B2291" s="20" t="n">
        <x:v>46039</x:v>
      </x:c>
      <x:c r="C2291" t="str">
        <x:v>C0046</x:v>
      </x:c>
      <x:c r="D2291" t="str">
        <x:v>Annapurna Foods 46</x:v>
      </x:c>
      <x:c r="E2291" t="str">
        <x:v>Kirana</x:v>
      </x:c>
      <x:c r="F2291" t="str">
        <x:v>Bengaluru</x:v>
      </x:c>
      <x:c r="G2291" t="str">
        <x:v>Ramesh</x:v>
      </x:c>
      <x:c r="H2291" t="str">
        <x:v>P004</x:v>
      </x:c>
      <x:c r="I2291" t="str">
        <x:v>Toor Dal 5kg</x:v>
      </x:c>
      <x:c r="J2291" t="str">
        <x:v>Pulses</x:v>
      </x:c>
      <x:c r="K2291" t="str">
        <x:v>Tata Sampann</x:v>
      </x:c>
      <x:c r="L2291" s="22" t="n">
        <x:v>780</x:v>
      </x:c>
      <x:c r="M2291" t="n">
        <x:v>25</x:v>
      </x:c>
      <x:c r="N2291" s="24" t="n">
        <x:v>0</x:v>
      </x:c>
      <x:c r="O2291" s="22" t="n">
        <x:f>L2291*M2291</x:f>
        <x:v>19500</x:v>
      </x:c>
      <x:c r="P2291" s="22" t="n">
        <x:f>O2291*(1-N2291)</x:f>
        <x:v>19500</x:v>
      </x:c>
      <x:c r="Q2291" s="22" t="n">
        <x:v>695</x:v>
      </x:c>
      <x:c r="R2291" s="22" t="n">
        <x:f>Q2291*M2291</x:f>
        <x:v>17375</x:v>
      </x:c>
      <x:c r="S2291" s="22" t="n">
        <x:f>P2291-R2291</x:f>
        <x:v>2125</x:v>
      </x:c>
      <x:c r="T2291" t="str">
        <x:v>UPI</x:v>
      </x:c>
      <x:c r="U2291" t="str">
        <x:v>Paid</x:v>
      </x:c>
      <x:c r="V2291" t="str">
        <x:v>Cancelled</x:v>
      </x:c>
      <x:c r="W2291" t="n">
        <x:v>25</x:v>
      </x:c>
      <x:c r="X2291" t="str">
        <x:v>Cancelled Order</x:v>
      </x:c>
      <x:c r="Y2291" t="str">
        <x:v>Existing Customer</x:v>
      </x:c>
    </x:row>
    <x:row r="2292">
      <x:c r="A2292" t="str">
        <x:v>O002291</x:v>
      </x:c>
      <x:c r="B2292" s="20" t="n">
        <x:v>45774</x:v>
      </x:c>
      <x:c r="C2292" t="str">
        <x:v>C0218</x:v>
      </x:c>
      <x:c r="D2292" t="str">
        <x:v>Green Stores 218</x:v>
      </x:c>
      <x:c r="E2292" t="str">
        <x:v>Hotel</x:v>
      </x:c>
      <x:c r="F2292" t="str">
        <x:v>Mysuru</x:v>
      </x:c>
      <x:c r="G2292" t="str">
        <x:v>Imran</x:v>
      </x:c>
      <x:c r="H2292" t="str">
        <x:v>P005</x:v>
      </x:c>
      <x:c r="I2292" t="str">
        <x:v>Chana Dal 5kg</x:v>
      </x:c>
      <x:c r="J2292" t="str">
        <x:v>Pulses</x:v>
      </x:c>
      <x:c r="K2292" t="str">
        <x:v>Local Select</x:v>
      </x:c>
      <x:c r="L2292" s="22" t="n">
        <x:v>520</x:v>
      </x:c>
      <x:c r="M2292" t="n">
        <x:v>14</x:v>
      </x:c>
      <x:c r="N2292" s="24" t="n">
        <x:v>0.02</x:v>
      </x:c>
      <x:c r="O2292" s="22" t="n">
        <x:f>L2292*M2292</x:f>
        <x:v>7280</x:v>
      </x:c>
      <x:c r="P2292" s="22" t="n">
        <x:f>O2292*(1-N2292)</x:f>
        <x:v>7134.4</x:v>
      </x:c>
      <x:c r="Q2292" s="22" t="n">
        <x:v>455</x:v>
      </x:c>
      <x:c r="R2292" s="22" t="n">
        <x:f>Q2292*M2292</x:f>
        <x:v>6370</x:v>
      </x:c>
      <x:c r="S2292" s="22" t="n">
        <x:f>P2292-R2292</x:f>
        <x:v>764.3999999999996</x:v>
      </x:c>
      <x:c r="T2292" t="str">
        <x:v>Cash</x:v>
      </x:c>
      <x:c r="U2292" t="str">
        <x:v>Paid</x:v>
      </x:c>
      <x:c r="V2292" t="str">
        <x:v>Delayed</x:v>
      </x:c>
      <x:c r="W2292" t="n">
        <x:v>0</x:v>
      </x:c>
      <x:c r="X2292" t="str"/>
      <x:c r="Y2292" t="str">
        <x:v>Outbound Call</x:v>
      </x:c>
    </x:row>
    <x:row r="2293">
      <x:c r="A2293" t="str">
        <x:v>O002292</x:v>
      </x:c>
      <x:c r="B2293" s="20" t="n">
        <x:v>46030</x:v>
      </x:c>
      <x:c r="C2293" t="str">
        <x:v>C0165</x:v>
      </x:c>
      <x:c r="D2293" t="str">
        <x:v>Royal Restaurant 165</x:v>
      </x:c>
      <x:c r="E2293" t="str">
        <x:v>Hotel</x:v>
      </x:c>
      <x:c r="F2293" t="str">
        <x:v>Tumakuru</x:v>
      </x:c>
      <x:c r="G2293" t="str">
        <x:v>Kavya</x:v>
      </x:c>
      <x:c r="H2293" t="str">
        <x:v>P012</x:v>
      </x:c>
      <x:c r="I2293" t="str">
        <x:v>Maida 10kg</x:v>
      </x:c>
      <x:c r="J2293" t="str">
        <x:v>Flour</x:v>
      </x:c>
      <x:c r="K2293" t="str">
        <x:v>Aashirvaad</x:v>
      </x:c>
      <x:c r="L2293" s="22" t="n">
        <x:v>520</x:v>
      </x:c>
      <x:c r="M2293" t="n">
        <x:v>12</x:v>
      </x:c>
      <x:c r="N2293" s="24" t="n">
        <x:v>0.03</x:v>
      </x:c>
      <x:c r="O2293" s="22" t="n">
        <x:f>L2293*M2293</x:f>
        <x:v>6240</x:v>
      </x:c>
      <x:c r="P2293" s="22" t="n">
        <x:f>O2293*(1-N2293)</x:f>
        <x:v>6052.8</x:v>
      </x:c>
      <x:c r="Q2293" s="22" t="n">
        <x:v>460</x:v>
      </x:c>
      <x:c r="R2293" s="22" t="n">
        <x:f>Q2293*M2293</x:f>
        <x:v>5520</x:v>
      </x:c>
      <x:c r="S2293" s="22" t="n">
        <x:f>P2293-R2293</x:f>
        <x:v>532.8000000000002</x:v>
      </x:c>
      <x:c r="T2293" t="str">
        <x:v>UPI</x:v>
      </x:c>
      <x:c r="U2293" t="str">
        <x:v>Pending</x:v>
      </x:c>
      <x:c r="V2293" t="str">
        <x:v>Delivered</x:v>
      </x:c>
      <x:c r="W2293" t="n">
        <x:v>0</x:v>
      </x:c>
      <x:c r="X2293" t="str"/>
      <x:c r="Y2293" t="str">
        <x:v>Existing Customer</x:v>
      </x:c>
    </x:row>
    <x:row r="2294">
      <x:c r="A2294" t="str">
        <x:v>O002293</x:v>
      </x:c>
      <x:c r="B2294" s="20" t="n">
        <x:v>45948</x:v>
      </x:c>
      <x:c r="C2294" t="str">
        <x:v>C0214</x:v>
      </x:c>
      <x:c r="D2294" t="str">
        <x:v>Darshini Kitchen 214</x:v>
      </x:c>
      <x:c r="E2294" t="str">
        <x:v>Kirana</x:v>
      </x:c>
      <x:c r="F2294" t="str">
        <x:v>Bengaluru</x:v>
      </x:c>
      <x:c r="G2294" t="str">
        <x:v>Imran</x:v>
      </x:c>
      <x:c r="H2294" t="str">
        <x:v>P027</x:v>
      </x:c>
      <x:c r="I2294" t="str">
        <x:v>Biscuits 120g</x:v>
      </x:c>
      <x:c r="J2294" t="str">
        <x:v>Snacks</x:v>
      </x:c>
      <x:c r="K2294" t="str">
        <x:v>Parle-G</x:v>
      </x:c>
      <x:c r="L2294" s="22" t="n">
        <x:v>12</x:v>
      </x:c>
      <x:c r="M2294" t="n">
        <x:v>22</x:v>
      </x:c>
      <x:c r="N2294" s="24" t="n">
        <x:v>0</x:v>
      </x:c>
      <x:c r="O2294" s="22" t="n">
        <x:f>L2294*M2294</x:f>
        <x:v>264</x:v>
      </x:c>
      <x:c r="P2294" s="22" t="n">
        <x:f>O2294*(1-N2294)</x:f>
        <x:v>264</x:v>
      </x:c>
      <x:c r="Q2294" s="22" t="n">
        <x:v>9</x:v>
      </x:c>
      <x:c r="R2294" s="22" t="n">
        <x:f>Q2294*M2294</x:f>
        <x:v>198</x:v>
      </x:c>
      <x:c r="S2294" s="22" t="n">
        <x:f>P2294-R2294</x:f>
        <x:v>66</x:v>
      </x:c>
      <x:c r="T2294" t="str">
        <x:v>Cash</x:v>
      </x:c>
      <x:c r="U2294" t="str">
        <x:v>Paid</x:v>
      </x:c>
      <x:c r="V2294" t="str">
        <x:v>Delivered</x:v>
      </x:c>
      <x:c r="W2294" t="n">
        <x:v>0</x:v>
      </x:c>
      <x:c r="X2294" t="str"/>
      <x:c r="Y2294" t="str">
        <x:v>Field Visit</x:v>
      </x:c>
    </x:row>
    <x:row r="2295">
      <x:c r="A2295" t="str">
        <x:v>O002294</x:v>
      </x:c>
      <x:c r="B2295" s="20" t="n">
        <x:v>45835</x:v>
      </x:c>
      <x:c r="C2295" t="str">
        <x:v>C0110</x:v>
      </x:c>
      <x:c r="D2295" t="str">
        <x:v>Metro Restaurant 110</x:v>
      </x:c>
      <x:c r="E2295" t="str">
        <x:v>Hotel</x:v>
      </x:c>
      <x:c r="F2295" t="str">
        <x:v>Mysuru</x:v>
      </x:c>
      <x:c r="G2295" t="str">
        <x:v>Imran</x:v>
      </x:c>
      <x:c r="H2295" t="str">
        <x:v>P001</x:v>
      </x:c>
      <x:c r="I2295" t="str">
        <x:v>Steam Rice 25kg</x:v>
      </x:c>
      <x:c r="J2295" t="str">
        <x:v>Staples</x:v>
      </x:c>
      <x:c r="K2295" t="str">
        <x:v>Aishwarya</x:v>
      </x:c>
      <x:c r="L2295" s="22" t="n">
        <x:v>1180</x:v>
      </x:c>
      <x:c r="M2295" t="n">
        <x:v>10</x:v>
      </x:c>
      <x:c r="N2295" s="24" t="n">
        <x:v>0.03</x:v>
      </x:c>
      <x:c r="O2295" s="22" t="n">
        <x:f>L2295*M2295</x:f>
        <x:v>11800</x:v>
      </x:c>
      <x:c r="P2295" s="22" t="n">
        <x:f>O2295*(1-N2295)</x:f>
        <x:v>11446</x:v>
      </x:c>
      <x:c r="Q2295" s="22" t="n">
        <x:v>1040</x:v>
      </x:c>
      <x:c r="R2295" s="22" t="n">
        <x:f>Q2295*M2295</x:f>
        <x:v>10400</x:v>
      </x:c>
      <x:c r="S2295" s="22" t="n">
        <x:f>P2295-R2295</x:f>
        <x:v>1046</x:v>
      </x:c>
      <x:c r="T2295" t="str">
        <x:v>Credit</x:v>
      </x:c>
      <x:c r="U2295" t="str">
        <x:v>Paid</x:v>
      </x:c>
      <x:c r="V2295" t="str">
        <x:v>Delivered</x:v>
      </x:c>
      <x:c r="W2295" t="n">
        <x:v>0</x:v>
      </x:c>
      <x:c r="X2295" t="str"/>
      <x:c r="Y2295" t="str">
        <x:v>Existing Customer</x:v>
      </x:c>
    </x:row>
    <x:row r="2296">
      <x:c r="A2296" t="str">
        <x:v>O002295</x:v>
      </x:c>
      <x:c r="B2296" s="20" t="n">
        <x:v>46122</x:v>
      </x:c>
      <x:c r="C2296" t="str">
        <x:v>C0064</x:v>
      </x:c>
      <x:c r="D2296" t="str">
        <x:v>Hotel Restaurant 64</x:v>
      </x:c>
      <x:c r="E2296" t="str">
        <x:v>Cafe</x:v>
      </x:c>
      <x:c r="F2296" t="str">
        <x:v>Mangaluru</x:v>
      </x:c>
      <x:c r="G2296" t="str">
        <x:v>Imran</x:v>
      </x:c>
      <x:c r="H2296" t="str">
        <x:v>P028</x:v>
      </x:c>
      <x:c r="I2296" t="str">
        <x:v>Cookies 200g</x:v>
      </x:c>
      <x:c r="J2296" t="str">
        <x:v>Snacks</x:v>
      </x:c>
      <x:c r="K2296" t="str">
        <x:v>Britannia</x:v>
      </x:c>
      <x:c r="L2296" s="22" t="n">
        <x:v>55</x:v>
      </x:c>
      <x:c r="M2296" t="n">
        <x:v>31</x:v>
      </x:c>
      <x:c r="N2296" s="24" t="n">
        <x:v>0.05</x:v>
      </x:c>
      <x:c r="O2296" s="22" t="n">
        <x:f>L2296*M2296</x:f>
        <x:v>1705</x:v>
      </x:c>
      <x:c r="P2296" s="22" t="n">
        <x:f>O2296*(1-N2296)</x:f>
        <x:v>1619.75</x:v>
      </x:c>
      <x:c r="Q2296" s="22" t="n">
        <x:v>42</x:v>
      </x:c>
      <x:c r="R2296" s="22" t="n">
        <x:f>Q2296*M2296</x:f>
        <x:v>1302</x:v>
      </x:c>
      <x:c r="S2296" s="22" t="n">
        <x:f>P2296-R2296</x:f>
        <x:v>317.75</x:v>
      </x:c>
      <x:c r="T2296" t="str">
        <x:v>Bank Transfer</x:v>
      </x:c>
      <x:c r="U2296" t="str">
        <x:v>Paid</x:v>
      </x:c>
      <x:c r="V2296" t="str">
        <x:v>Delayed</x:v>
      </x:c>
      <x:c r="W2296" t="n">
        <x:v>0</x:v>
      </x:c>
      <x:c r="X2296" t="str"/>
      <x:c r="Y2296" t="str">
        <x:v>Existing Customer</x:v>
      </x:c>
    </x:row>
    <x:row r="2297">
      <x:c r="A2297" t="str">
        <x:v>O002296</x:v>
      </x:c>
      <x:c r="B2297" s="20" t="n">
        <x:v>46141</x:v>
      </x:c>
      <x:c r="C2297" t="str">
        <x:v>C0093</x:v>
      </x:c>
      <x:c r="D2297" t="str">
        <x:v>Sagar Hotel 93</x:v>
      </x:c>
      <x:c r="E2297" t="str">
        <x:v>Hotel</x:v>
      </x:c>
      <x:c r="F2297" t="str">
        <x:v>Hubballi</x:v>
      </x:c>
      <x:c r="G2297" t="str">
        <x:v>Imran</x:v>
      </x:c>
      <x:c r="H2297" t="str">
        <x:v>P012</x:v>
      </x:c>
      <x:c r="I2297" t="str">
        <x:v>Maida 10kg</x:v>
      </x:c>
      <x:c r="J2297" t="str">
        <x:v>Flour</x:v>
      </x:c>
      <x:c r="K2297" t="str">
        <x:v>Aashirvaad</x:v>
      </x:c>
      <x:c r="L2297" s="22" t="n">
        <x:v>520</x:v>
      </x:c>
      <x:c r="M2297" t="n">
        <x:v>15</x:v>
      </x:c>
      <x:c r="N2297" s="24" t="n">
        <x:v>0.02</x:v>
      </x:c>
      <x:c r="O2297" s="22" t="n">
        <x:f>L2297*M2297</x:f>
        <x:v>7800</x:v>
      </x:c>
      <x:c r="P2297" s="22" t="n">
        <x:f>O2297*(1-N2297)</x:f>
        <x:v>7644</x:v>
      </x:c>
      <x:c r="Q2297" s="22" t="n">
        <x:v>460</x:v>
      </x:c>
      <x:c r="R2297" s="22" t="n">
        <x:f>Q2297*M2297</x:f>
        <x:v>6900</x:v>
      </x:c>
      <x:c r="S2297" s="22" t="n">
        <x:f>P2297-R2297</x:f>
        <x:v>744</x:v>
      </x:c>
      <x:c r="T2297" t="str">
        <x:v>UPI</x:v>
      </x:c>
      <x:c r="U2297" t="str">
        <x:v>Paid</x:v>
      </x:c>
      <x:c r="V2297" t="str">
        <x:v>Delivered</x:v>
      </x:c>
      <x:c r="W2297" t="n">
        <x:v>0</x:v>
      </x:c>
      <x:c r="X2297" t="str"/>
      <x:c r="Y2297" t="str">
        <x:v>WhatsApp</x:v>
      </x:c>
    </x:row>
    <x:row r="2298">
      <x:c r="A2298" t="str">
        <x:v>O002297</x:v>
      </x:c>
      <x:c r="B2298" s="20" t="n">
        <x:v>45725</x:v>
      </x:c>
      <x:c r="C2298" t="str">
        <x:v>C0086</x:v>
      </x:c>
      <x:c r="D2298" t="str">
        <x:v>Foodie Canteen 86</x:v>
      </x:c>
      <x:c r="E2298" t="str">
        <x:v>Kirana</x:v>
      </x:c>
      <x:c r="F2298" t="str">
        <x:v>Hubballi</x:v>
      </x:c>
      <x:c r="G2298" t="str">
        <x:v>Sneha</x:v>
      </x:c>
      <x:c r="H2298" t="str">
        <x:v>P037</x:v>
      </x:c>
      <x:c r="I2298" t="str">
        <x:v>Frozen Peas 1kg</x:v>
      </x:c>
      <x:c r="J2298" t="str">
        <x:v>Frozen</x:v>
      </x:c>
      <x:c r="K2298" t="str">
        <x:v>Safal</x:v>
      </x:c>
      <x:c r="L2298" s="22" t="n">
        <x:v>155</x:v>
      </x:c>
      <x:c r="M2298" t="n">
        <x:v>18</x:v>
      </x:c>
      <x:c r="N2298" s="24" t="n">
        <x:v>0.03</x:v>
      </x:c>
      <x:c r="O2298" s="22" t="n">
        <x:f>L2298*M2298</x:f>
        <x:v>2790</x:v>
      </x:c>
      <x:c r="P2298" s="22" t="n">
        <x:f>O2298*(1-N2298)</x:f>
        <x:v>2706.2999999999997</x:v>
      </x:c>
      <x:c r="Q2298" s="22" t="n">
        <x:v>138</x:v>
      </x:c>
      <x:c r="R2298" s="22" t="n">
        <x:f>Q2298*M2298</x:f>
        <x:v>2484</x:v>
      </x:c>
      <x:c r="S2298" s="22" t="n">
        <x:f>P2298-R2298</x:f>
        <x:v>222.29999999999973</x:v>
      </x:c>
      <x:c r="T2298" t="str">
        <x:v>Credit</x:v>
      </x:c>
      <x:c r="U2298" t="str">
        <x:v>Overdue</x:v>
      </x:c>
      <x:c r="V2298" t="str">
        <x:v>Delivered</x:v>
      </x:c>
      <x:c r="W2298" t="n">
        <x:v>0</x:v>
      </x:c>
      <x:c r="X2298" t="str"/>
      <x:c r="Y2298" t="str">
        <x:v>Existing Customer</x:v>
      </x:c>
    </x:row>
    <x:row r="2299">
      <x:c r="A2299" t="str">
        <x:v>O002298</x:v>
      </x:c>
      <x:c r="B2299" s="20" t="n">
        <x:v>46084</x:v>
      </x:c>
      <x:c r="C2299" t="str">
        <x:v>C0235</x:v>
      </x:c>
      <x:c r="D2299" t="str">
        <x:v>Darshini Canteen 235</x:v>
      </x:c>
      <x:c r="E2299" t="str">
        <x:v>Hotel</x:v>
      </x:c>
      <x:c r="F2299" t="str">
        <x:v>Mangaluru</x:v>
      </x:c>
      <x:c r="G2299" t="str">
        <x:v>Arjun</x:v>
      </x:c>
      <x:c r="H2299" t="str">
        <x:v>P027</x:v>
      </x:c>
      <x:c r="I2299" t="str">
        <x:v>Biscuits 120g</x:v>
      </x:c>
      <x:c r="J2299" t="str">
        <x:v>Snacks</x:v>
      </x:c>
      <x:c r="K2299" t="str">
        <x:v>Parle-G</x:v>
      </x:c>
      <x:c r="L2299" s="22" t="n">
        <x:v>12</x:v>
      </x:c>
      <x:c r="M2299" t="n">
        <x:v>20</x:v>
      </x:c>
      <x:c r="N2299" s="24" t="n">
        <x:v>0</x:v>
      </x:c>
      <x:c r="O2299" s="22" t="n">
        <x:f>L2299*M2299</x:f>
        <x:v>240</x:v>
      </x:c>
      <x:c r="P2299" s="22" t="n">
        <x:f>O2299*(1-N2299)</x:f>
        <x:v>240</x:v>
      </x:c>
      <x:c r="Q2299" s="22" t="n">
        <x:v>9</x:v>
      </x:c>
      <x:c r="R2299" s="22" t="n">
        <x:f>Q2299*M2299</x:f>
        <x:v>180</x:v>
      </x:c>
      <x:c r="S2299" s="22" t="n">
        <x:f>P2299-R2299</x:f>
        <x:v>60</x:v>
      </x:c>
      <x:c r="T2299" t="str">
        <x:v>Credit</x:v>
      </x:c>
      <x:c r="U2299" t="str">
        <x:v>Pending</x:v>
      </x:c>
      <x:c r="V2299" t="str">
        <x:v>Delivered</x:v>
      </x:c>
      <x:c r="W2299" t="n">
        <x:v>0</x:v>
      </x:c>
      <x:c r="X2299" t="str"/>
      <x:c r="Y2299" t="str">
        <x:v>WhatsApp</x:v>
      </x:c>
    </x:row>
    <x:row r="2300">
      <x:c r="A2300" t="str">
        <x:v>O002299</x:v>
      </x:c>
      <x:c r="B2300" s="20" t="n">
        <x:v>45821</x:v>
      </x:c>
      <x:c r="C2300" t="str">
        <x:v>C0179</x:v>
      </x:c>
      <x:c r="D2300" t="str">
        <x:v>Shree Hotel 179</x:v>
      </x:c>
      <x:c r="E2300" t="str">
        <x:v>Restaurant</x:v>
      </x:c>
      <x:c r="F2300" t="str">
        <x:v>Hubballi</x:v>
      </x:c>
      <x:c r="G2300" t="str">
        <x:v>Kavya</x:v>
      </x:c>
      <x:c r="H2300" t="str">
        <x:v>P024</x:v>
      </x:c>
      <x:c r="I2300" t="str">
        <x:v>Orange Drink 1L</x:v>
      </x:c>
      <x:c r="J2300" t="str">
        <x:v>Beverage</x:v>
      </x:c>
      <x:c r="K2300" t="str">
        <x:v>Minute Maid</x:v>
      </x:c>
      <x:c r="L2300" s="22" t="n">
        <x:v>105</x:v>
      </x:c>
      <x:c r="M2300" t="n">
        <x:v>19</x:v>
      </x:c>
      <x:c r="N2300" s="24" t="n">
        <x:v>0.08</x:v>
      </x:c>
      <x:c r="O2300" s="22" t="n">
        <x:f>L2300*M2300</x:f>
        <x:v>1995</x:v>
      </x:c>
      <x:c r="P2300" s="22" t="n">
        <x:f>O2300*(1-N2300)</x:f>
        <x:v>1835.4</x:v>
      </x:c>
      <x:c r="Q2300" s="22" t="n">
        <x:v>88</x:v>
      </x:c>
      <x:c r="R2300" s="22" t="n">
        <x:f>Q2300*M2300</x:f>
        <x:v>1672</x:v>
      </x:c>
      <x:c r="S2300" s="22" t="n">
        <x:f>P2300-R2300</x:f>
        <x:v>163.4000000000001</x:v>
      </x:c>
      <x:c r="T2300" t="str">
        <x:v>Cash</x:v>
      </x:c>
      <x:c r="U2300" t="str">
        <x:v>Overdue</x:v>
      </x:c>
      <x:c r="V2300" t="str">
        <x:v>Delivered</x:v>
      </x:c>
      <x:c r="W2300" t="n">
        <x:v>0</x:v>
      </x:c>
      <x:c r="X2300" t="str"/>
      <x:c r="Y2300" t="str">
        <x:v>Field Visit</x:v>
      </x:c>
    </x:row>
    <x:row r="2301">
      <x:c r="A2301" t="str">
        <x:v>O002300</x:v>
      </x:c>
      <x:c r="B2301" s="20" t="n">
        <x:v>46232</x:v>
      </x:c>
      <x:c r="C2301" t="str">
        <x:v>C0087</x:v>
      </x:c>
      <x:c r="D2301" t="str">
        <x:v>Namma Kitchen 87</x:v>
      </x:c>
      <x:c r="E2301" t="str">
        <x:v>Kirana</x:v>
      </x:c>
      <x:c r="F2301" t="str">
        <x:v>Bengaluru</x:v>
      </x:c>
      <x:c r="G2301" t="str">
        <x:v>Priya</x:v>
      </x:c>
      <x:c r="H2301" t="str">
        <x:v>P014</x:v>
      </x:c>
      <x:c r="I2301" t="str">
        <x:v>Rava 5kg</x:v>
      </x:c>
      <x:c r="J2301" t="str">
        <x:v>Flour</x:v>
      </x:c>
      <x:c r="K2301" t="str">
        <x:v>Local Select</x:v>
      </x:c>
      <x:c r="L2301" s="22" t="n">
        <x:v>245</x:v>
      </x:c>
      <x:c r="M2301" t="n">
        <x:v>38</x:v>
      </x:c>
      <x:c r="N2301" s="24" t="n">
        <x:v>0.05</x:v>
      </x:c>
      <x:c r="O2301" s="22" t="n">
        <x:f>L2301*M2301</x:f>
        <x:v>9310</x:v>
      </x:c>
      <x:c r="P2301" s="22" t="n">
        <x:f>O2301*(1-N2301)</x:f>
        <x:v>8844.5</x:v>
      </x:c>
      <x:c r="Q2301" s="22" t="n">
        <x:v>215</x:v>
      </x:c>
      <x:c r="R2301" s="22" t="n">
        <x:f>Q2301*M2301</x:f>
        <x:v>8170</x:v>
      </x:c>
      <x:c r="S2301" s="22" t="n">
        <x:f>P2301-R2301</x:f>
        <x:v>674.5</x:v>
      </x:c>
      <x:c r="T2301" t="str">
        <x:v>Credit</x:v>
      </x:c>
      <x:c r="U2301" t="str">
        <x:v>Paid</x:v>
      </x:c>
      <x:c r="V2301" t="str">
        <x:v>Cancelled</x:v>
      </x:c>
      <x:c r="W2301" t="n">
        <x:v>38</x:v>
      </x:c>
      <x:c r="X2301" t="str">
        <x:v>Cancelled Order</x:v>
      </x:c>
      <x:c r="Y2301" t="str">
        <x:v>Existing Customer</x:v>
      </x:c>
    </x:row>
    <x:row r="2302">
      <x:c r="A2302" t="str">
        <x:v>O002301</x:v>
      </x:c>
      <x:c r="B2302" s="20" t="n">
        <x:v>45913</x:v>
      </x:c>
      <x:c r="C2302" t="str">
        <x:v>C0087</x:v>
      </x:c>
      <x:c r="D2302" t="str">
        <x:v>Namma Kitchen 87</x:v>
      </x:c>
      <x:c r="E2302" t="str">
        <x:v>Kirana</x:v>
      </x:c>
      <x:c r="F2302" t="str">
        <x:v>Bengaluru</x:v>
      </x:c>
      <x:c r="G2302" t="str">
        <x:v>Priya</x:v>
      </x:c>
      <x:c r="H2302" t="str">
        <x:v>P048</x:v>
      </x:c>
      <x:c r="I2302" t="str">
        <x:v>Banana 10kg</x:v>
      </x:c>
      <x:c r="J2302" t="str">
        <x:v>Fresh Produce</x:v>
      </x:c>
      <x:c r="K2302" t="str">
        <x:v>Local Market</x:v>
      </x:c>
      <x:c r="L2302" s="22" t="n">
        <x:v>420</x:v>
      </x:c>
      <x:c r="M2302" t="n">
        <x:v>10</x:v>
      </x:c>
      <x:c r="N2302" s="24" t="n">
        <x:v>0.02</x:v>
      </x:c>
      <x:c r="O2302" s="22" t="n">
        <x:f>L2302*M2302</x:f>
        <x:v>4200</x:v>
      </x:c>
      <x:c r="P2302" s="22" t="n">
        <x:f>O2302*(1-N2302)</x:f>
        <x:v>4116</x:v>
      </x:c>
      <x:c r="Q2302" s="22" t="n">
        <x:v>350</x:v>
      </x:c>
      <x:c r="R2302" s="22" t="n">
        <x:f>Q2302*M2302</x:f>
        <x:v>3500</x:v>
      </x:c>
      <x:c r="S2302" s="22" t="n">
        <x:f>P2302-R2302</x:f>
        <x:v>616</x:v>
      </x:c>
      <x:c r="T2302" t="str">
        <x:v>Credit</x:v>
      </x:c>
      <x:c r="U2302" t="str">
        <x:v>Paid</x:v>
      </x:c>
      <x:c r="V2302" t="str">
        <x:v>Delayed</x:v>
      </x:c>
      <x:c r="W2302" t="n">
        <x:v>0</x:v>
      </x:c>
      <x:c r="X2302" t="str"/>
      <x:c r="Y2302" t="str">
        <x:v>Referral</x:v>
      </x:c>
    </x:row>
    <x:row r="2303">
      <x:c r="A2303" t="str">
        <x:v>O002302</x:v>
      </x:c>
      <x:c r="B2303" s="20" t="n">
        <x:v>45741</x:v>
      </x:c>
      <x:c r="C2303" t="str">
        <x:v>C0087</x:v>
      </x:c>
      <x:c r="D2303" t="str">
        <x:v>Namma Kitchen 87</x:v>
      </x:c>
      <x:c r="E2303" t="str">
        <x:v>Kirana</x:v>
      </x:c>
      <x:c r="F2303" t="str">
        <x:v>Bengaluru</x:v>
      </x:c>
      <x:c r="G2303" t="str">
        <x:v>Priya</x:v>
      </x:c>
      <x:c r="H2303" t="str">
        <x:v>P031</x:v>
      </x:c>
      <x:c r="I2303" t="str">
        <x:v>Chilli Sauce 700g</x:v>
      </x:c>
      <x:c r="J2303" t="str">
        <x:v>Condiments</x:v>
      </x:c>
      <x:c r="K2303" t="str">
        <x:v>Ching's</x:v>
      </x:c>
      <x:c r="L2303" s="22" t="n">
        <x:v>130</x:v>
      </x:c>
      <x:c r="M2303" t="n">
        <x:v>11</x:v>
      </x:c>
      <x:c r="N2303" s="24" t="n">
        <x:v>0.05</x:v>
      </x:c>
      <x:c r="O2303" s="22" t="n">
        <x:f>L2303*M2303</x:f>
        <x:v>1430</x:v>
      </x:c>
      <x:c r="P2303" s="22" t="n">
        <x:f>O2303*(1-N2303)</x:f>
        <x:v>1358.5</x:v>
      </x:c>
      <x:c r="Q2303" s="22" t="n">
        <x:v>112</x:v>
      </x:c>
      <x:c r="R2303" s="22" t="n">
        <x:f>Q2303*M2303</x:f>
        <x:v>1232</x:v>
      </x:c>
      <x:c r="S2303" s="22" t="n">
        <x:f>P2303-R2303</x:f>
        <x:v>126.5</x:v>
      </x:c>
      <x:c r="T2303" t="str">
        <x:v>Credit</x:v>
      </x:c>
      <x:c r="U2303" t="str">
        <x:v>Overdue</x:v>
      </x:c>
      <x:c r="V2303" t="str">
        <x:v>Cancelled</x:v>
      </x:c>
      <x:c r="W2303" t="n">
        <x:v>11</x:v>
      </x:c>
      <x:c r="X2303" t="str">
        <x:v>Cancelled Order</x:v>
      </x:c>
      <x:c r="Y2303" t="str">
        <x:v>Existing Customer</x:v>
      </x:c>
    </x:row>
    <x:row r="2304">
      <x:c r="A2304" t="str">
        <x:v>O002303</x:v>
      </x:c>
      <x:c r="B2304" s="20" t="n">
        <x:v>45875</x:v>
      </x:c>
      <x:c r="C2304" t="str">
        <x:v>C0083</x:v>
      </x:c>
      <x:c r="D2304" t="str">
        <x:v>Sri Cafe 83</x:v>
      </x:c>
      <x:c r="E2304" t="str">
        <x:v>Hotel</x:v>
      </x:c>
      <x:c r="F2304" t="str">
        <x:v>Davanagere</x:v>
      </x:c>
      <x:c r="G2304" t="str">
        <x:v>Ramesh</x:v>
      </x:c>
      <x:c r="H2304" t="str">
        <x:v>P018</x:v>
      </x:c>
      <x:c r="I2304" t="str">
        <x:v>Paneer 1kg</x:v>
      </x:c>
      <x:c r="J2304" t="str">
        <x:v>Dairy</x:v>
      </x:c>
      <x:c r="K2304" t="str">
        <x:v>Milky Mist</x:v>
      </x:c>
      <x:c r="L2304" s="22" t="n">
        <x:v>410</x:v>
      </x:c>
      <x:c r="M2304" t="n">
        <x:v>19</x:v>
      </x:c>
      <x:c r="N2304" s="24" t="n">
        <x:v>0.03</x:v>
      </x:c>
      <x:c r="O2304" s="22" t="n">
        <x:f>L2304*M2304</x:f>
        <x:v>7790</x:v>
      </x:c>
      <x:c r="P2304" s="22" t="n">
        <x:f>O2304*(1-N2304)</x:f>
        <x:v>7556.3</x:v>
      </x:c>
      <x:c r="Q2304" s="22" t="n">
        <x:v>370</x:v>
      </x:c>
      <x:c r="R2304" s="22" t="n">
        <x:f>Q2304*M2304</x:f>
        <x:v>7030</x:v>
      </x:c>
      <x:c r="S2304" s="22" t="n">
        <x:f>P2304-R2304</x:f>
        <x:v>526.3000000000002</x:v>
      </x:c>
      <x:c r="T2304" t="str">
        <x:v>Cash</x:v>
      </x:c>
      <x:c r="U2304" t="str">
        <x:v>Paid</x:v>
      </x:c>
      <x:c r="V2304" t="str">
        <x:v>Delivered</x:v>
      </x:c>
      <x:c r="W2304" t="n">
        <x:v>0</x:v>
      </x:c>
      <x:c r="X2304" t="str"/>
      <x:c r="Y2304" t="str">
        <x:v>Existing Customer</x:v>
      </x:c>
    </x:row>
    <x:row r="2305">
      <x:c r="A2305" t="str">
        <x:v>O002304</x:v>
      </x:c>
      <x:c r="B2305" s="20" t="n">
        <x:v>46060</x:v>
      </x:c>
      <x:c r="C2305" t="str">
        <x:v>C0201</x:v>
      </x:c>
      <x:c r="D2305" t="str">
        <x:v>Metro Hotel 201</x:v>
      </x:c>
      <x:c r="E2305" t="str">
        <x:v>Kirana</x:v>
      </x:c>
      <x:c r="F2305" t="str">
        <x:v>Mysuru</x:v>
      </x:c>
      <x:c r="G2305" t="str">
        <x:v>Imran</x:v>
      </x:c>
      <x:c r="H2305" t="str">
        <x:v>P007</x:v>
      </x:c>
      <x:c r="I2305" t="str">
        <x:v>Sunflower Oil 15L</x:v>
      </x:c>
      <x:c r="J2305" t="str">
        <x:v>Edible Oil</x:v>
      </x:c>
      <x:c r="K2305" t="str">
        <x:v>Fortune</x:v>
      </x:c>
      <x:c r="L2305" s="22" t="n">
        <x:v>1980</x:v>
      </x:c>
      <x:c r="M2305" t="n">
        <x:v>3</x:v>
      </x:c>
      <x:c r="N2305" s="24" t="n">
        <x:v>0.02</x:v>
      </x:c>
      <x:c r="O2305" s="22" t="n">
        <x:f>L2305*M2305</x:f>
        <x:v>5940</x:v>
      </x:c>
      <x:c r="P2305" s="22" t="n">
        <x:f>O2305*(1-N2305)</x:f>
        <x:v>5821.2</x:v>
      </x:c>
      <x:c r="Q2305" s="22" t="n">
        <x:v>1810</x:v>
      </x:c>
      <x:c r="R2305" s="22" t="n">
        <x:f>Q2305*M2305</x:f>
        <x:v>5430</x:v>
      </x:c>
      <x:c r="S2305" s="22" t="n">
        <x:f>P2305-R2305</x:f>
        <x:v>391.1999999999998</x:v>
      </x:c>
      <x:c r="T2305" t="str">
        <x:v>Credit</x:v>
      </x:c>
      <x:c r="U2305" t="str">
        <x:v>Paid</x:v>
      </x:c>
      <x:c r="V2305" t="str">
        <x:v>Delivered</x:v>
      </x:c>
      <x:c r="W2305" t="n">
        <x:v>0</x:v>
      </x:c>
      <x:c r="X2305" t="str"/>
      <x:c r="Y2305" t="str">
        <x:v>Existing Customer</x:v>
      </x:c>
    </x:row>
    <x:row r="2306">
      <x:c r="A2306" t="str">
        <x:v>O002305</x:v>
      </x:c>
      <x:c r="B2306" s="20" t="n">
        <x:v>45756</x:v>
      </x:c>
      <x:c r="C2306" t="str">
        <x:v>C0020</x:v>
      </x:c>
      <x:c r="D2306" t="str">
        <x:v>Shree Foods 20</x:v>
      </x:c>
      <x:c r="E2306" t="str">
        <x:v>Restaurant</x:v>
      </x:c>
      <x:c r="F2306" t="str">
        <x:v>Mysuru</x:v>
      </x:c>
      <x:c r="G2306" t="str">
        <x:v>Arjun</x:v>
      </x:c>
      <x:c r="H2306" t="str">
        <x:v>P027</x:v>
      </x:c>
      <x:c r="I2306" t="str">
        <x:v>Biscuits 120g</x:v>
      </x:c>
      <x:c r="J2306" t="str">
        <x:v>Snacks</x:v>
      </x:c>
      <x:c r="K2306" t="str">
        <x:v>Parle-G</x:v>
      </x:c>
      <x:c r="L2306" s="22" t="n">
        <x:v>12</x:v>
      </x:c>
      <x:c r="M2306" t="n">
        <x:v>23</x:v>
      </x:c>
      <x:c r="N2306" s="24" t="n">
        <x:v>0.08</x:v>
      </x:c>
      <x:c r="O2306" s="22" t="n">
        <x:f>L2306*M2306</x:f>
        <x:v>276</x:v>
      </x:c>
      <x:c r="P2306" s="22" t="n">
        <x:f>O2306*(1-N2306)</x:f>
        <x:v>253.92000000000002</x:v>
      </x:c>
      <x:c r="Q2306" s="22" t="n">
        <x:v>9</x:v>
      </x:c>
      <x:c r="R2306" s="22" t="n">
        <x:f>Q2306*M2306</x:f>
        <x:v>207</x:v>
      </x:c>
      <x:c r="S2306" s="22" t="n">
        <x:f>P2306-R2306</x:f>
        <x:v>46.920000000000016</x:v>
      </x:c>
      <x:c r="T2306" t="str">
        <x:v>UPI</x:v>
      </x:c>
      <x:c r="U2306" t="str">
        <x:v>Paid</x:v>
      </x:c>
      <x:c r="V2306" t="str">
        <x:v>Delayed</x:v>
      </x:c>
      <x:c r="W2306" t="n">
        <x:v>0</x:v>
      </x:c>
      <x:c r="X2306" t="str"/>
      <x:c r="Y2306" t="str">
        <x:v>Referral</x:v>
      </x:c>
    </x:row>
    <x:row r="2307">
      <x:c r="A2307" t="str">
        <x:v>O002306</x:v>
      </x:c>
      <x:c r="B2307" s="20" t="n">
        <x:v>45908</x:v>
      </x:c>
      <x:c r="C2307" t="str">
        <x:v>C0023</x:v>
      </x:c>
      <x:c r="D2307" t="str">
        <x:v>Mysore Canteen 23</x:v>
      </x:c>
      <x:c r="E2307" t="str">
        <x:v>Cafe</x:v>
      </x:c>
      <x:c r="F2307" t="str">
        <x:v>Hubballi</x:v>
      </x:c>
      <x:c r="G2307" t="str">
        <x:v>Sneha</x:v>
      </x:c>
      <x:c r="H2307" t="str">
        <x:v>P002</x:v>
      </x:c>
      <x:c r="I2307" t="str">
        <x:v>Sona Masoori Rice 25kg</x:v>
      </x:c>
      <x:c r="J2307" t="str">
        <x:v>Staples</x:v>
      </x:c>
      <x:c r="K2307" t="str">
        <x:v>Fortune</x:v>
      </x:c>
      <x:c r="L2307" s="22" t="n">
        <x:v>1320</x:v>
      </x:c>
      <x:c r="M2307" t="n">
        <x:v>8</x:v>
      </x:c>
      <x:c r="N2307" s="24" t="n">
        <x:v>0.05</x:v>
      </x:c>
      <x:c r="O2307" s="22" t="n">
        <x:f>L2307*M2307</x:f>
        <x:v>10560</x:v>
      </x:c>
      <x:c r="P2307" s="22" t="n">
        <x:f>O2307*(1-N2307)</x:f>
        <x:v>10032</x:v>
      </x:c>
      <x:c r="Q2307" s="22" t="n">
        <x:v>1160</x:v>
      </x:c>
      <x:c r="R2307" s="22" t="n">
        <x:f>Q2307*M2307</x:f>
        <x:v>9280</x:v>
      </x:c>
      <x:c r="S2307" s="22" t="n">
        <x:f>P2307-R2307</x:f>
        <x:v>752</x:v>
      </x:c>
      <x:c r="T2307" t="str">
        <x:v>Credit</x:v>
      </x:c>
      <x:c r="U2307" t="str">
        <x:v>Paid</x:v>
      </x:c>
      <x:c r="V2307" t="str">
        <x:v>Delivered</x:v>
      </x:c>
      <x:c r="W2307" t="n">
        <x:v>0</x:v>
      </x:c>
      <x:c r="X2307" t="str"/>
      <x:c r="Y2307" t="str">
        <x:v>Referral</x:v>
      </x:c>
    </x:row>
    <x:row r="2308">
      <x:c r="A2308" t="str">
        <x:v>O002307</x:v>
      </x:c>
      <x:c r="B2308" s="20" t="n">
        <x:v>45755</x:v>
      </x:c>
      <x:c r="C2308" t="str">
        <x:v>C0198</x:v>
      </x:c>
      <x:c r="D2308" t="str">
        <x:v>Royal Canteen 198</x:v>
      </x:c>
      <x:c r="E2308" t="str">
        <x:v>Supermarket</x:v>
      </x:c>
      <x:c r="F2308" t="str">
        <x:v>Davanagere</x:v>
      </x:c>
      <x:c r="G2308" t="str">
        <x:v>Arjun</x:v>
      </x:c>
      <x:c r="H2308" t="str">
        <x:v>P001</x:v>
      </x:c>
      <x:c r="I2308" t="str">
        <x:v>Steam Rice 25kg</x:v>
      </x:c>
      <x:c r="J2308" t="str">
        <x:v>Staples</x:v>
      </x:c>
      <x:c r="K2308" t="str">
        <x:v>Aishwarya</x:v>
      </x:c>
      <x:c r="L2308" s="22" t="n">
        <x:v>1180</x:v>
      </x:c>
      <x:c r="M2308" t="n">
        <x:v>9</x:v>
      </x:c>
      <x:c r="N2308" s="24" t="n">
        <x:v>0.05</x:v>
      </x:c>
      <x:c r="O2308" s="22" t="n">
        <x:f>L2308*M2308</x:f>
        <x:v>10620</x:v>
      </x:c>
      <x:c r="P2308" s="22" t="n">
        <x:f>O2308*(1-N2308)</x:f>
        <x:v>10089</x:v>
      </x:c>
      <x:c r="Q2308" s="22" t="n">
        <x:v>1040</x:v>
      </x:c>
      <x:c r="R2308" s="22" t="n">
        <x:f>Q2308*M2308</x:f>
        <x:v>9360</x:v>
      </x:c>
      <x:c r="S2308" s="22" t="n">
        <x:f>P2308-R2308</x:f>
        <x:v>729</x:v>
      </x:c>
      <x:c r="T2308" t="str">
        <x:v>Credit</x:v>
      </x:c>
      <x:c r="U2308" t="str">
        <x:v>Overdue</x:v>
      </x:c>
      <x:c r="V2308" t="str">
        <x:v>Cancelled</x:v>
      </x:c>
      <x:c r="W2308" t="n">
        <x:v>9</x:v>
      </x:c>
      <x:c r="X2308" t="str">
        <x:v>Cancelled Order</x:v>
      </x:c>
      <x:c r="Y2308" t="str">
        <x:v>Outbound Call</x:v>
      </x:c>
    </x:row>
    <x:row r="2309">
      <x:c r="A2309" t="str">
        <x:v>O002308</x:v>
      </x:c>
      <x:c r="B2309" s="20" t="n">
        <x:v>45939</x:v>
      </x:c>
      <x:c r="C2309" t="str">
        <x:v>C0036</x:v>
      </x:c>
      <x:c r="D2309" t="str">
        <x:v>Grand Hotel 36</x:v>
      </x:c>
      <x:c r="E2309" t="str">
        <x:v>Canteen</x:v>
      </x:c>
      <x:c r="F2309" t="str">
        <x:v>Tumakuru</x:v>
      </x:c>
      <x:c r="G2309" t="str">
        <x:v>Kavya</x:v>
      </x:c>
      <x:c r="H2309" t="str">
        <x:v>P025</x:v>
      </x:c>
      <x:c r="I2309" t="str">
        <x:v>Potato Chips 100g</x:v>
      </x:c>
      <x:c r="J2309" t="str">
        <x:v>Snacks</x:v>
      </x:c>
      <x:c r="K2309" t="str">
        <x:v>Lay's</x:v>
      </x:c>
      <x:c r="L2309" s="22" t="n">
        <x:v>35</x:v>
      </x:c>
      <x:c r="M2309" t="n">
        <x:v>37</x:v>
      </x:c>
      <x:c r="N2309" s="24" t="n">
        <x:v>0</x:v>
      </x:c>
      <x:c r="O2309" s="22" t="n">
        <x:f>L2309*M2309</x:f>
        <x:v>1295</x:v>
      </x:c>
      <x:c r="P2309" s="22" t="n">
        <x:f>O2309*(1-N2309)</x:f>
        <x:v>1295</x:v>
      </x:c>
      <x:c r="Q2309" s="22" t="n">
        <x:v>27</x:v>
      </x:c>
      <x:c r="R2309" s="22" t="n">
        <x:f>Q2309*M2309</x:f>
        <x:v>999</x:v>
      </x:c>
      <x:c r="S2309" s="22" t="n">
        <x:f>P2309-R2309</x:f>
        <x:v>296</x:v>
      </x:c>
      <x:c r="T2309" t="str">
        <x:v>Bank Transfer</x:v>
      </x:c>
      <x:c r="U2309" t="str">
        <x:v>Overdue</x:v>
      </x:c>
      <x:c r="V2309" t="str">
        <x:v>Delivered</x:v>
      </x:c>
      <x:c r="W2309" t="n">
        <x:v>0</x:v>
      </x:c>
      <x:c r="X2309" t="str"/>
      <x:c r="Y2309" t="str">
        <x:v>Referral</x:v>
      </x:c>
    </x:row>
    <x:row r="2310">
      <x:c r="A2310" t="str">
        <x:v>O002309</x:v>
      </x:c>
      <x:c r="B2310" s="20" t="n">
        <x:v>46110</x:v>
      </x:c>
      <x:c r="C2310" t="str">
        <x:v>C0077</x:v>
      </x:c>
      <x:c r="D2310" t="str">
        <x:v>Spice Cafe 77</x:v>
      </x:c>
      <x:c r="E2310" t="str">
        <x:v>Kirana</x:v>
      </x:c>
      <x:c r="F2310" t="str">
        <x:v>Hubballi</x:v>
      </x:c>
      <x:c r="G2310" t="str">
        <x:v>Vikram</x:v>
      </x:c>
      <x:c r="H2310" t="str">
        <x:v>P050</x:v>
      </x:c>
      <x:c r="I2310" t="str">
        <x:v>Lemon 5kg</x:v>
      </x:c>
      <x:c r="J2310" t="str">
        <x:v>Fresh Produce</x:v>
      </x:c>
      <x:c r="K2310" t="str">
        <x:v>Local Market</x:v>
      </x:c>
      <x:c r="L2310" s="22" t="n">
        <x:v>360</x:v>
      </x:c>
      <x:c r="M2310" t="n">
        <x:v>26</x:v>
      </x:c>
      <x:c r="N2310" s="24" t="n">
        <x:v>0</x:v>
      </x:c>
      <x:c r="O2310" s="22" t="n">
        <x:f>L2310*M2310</x:f>
        <x:v>9360</x:v>
      </x:c>
      <x:c r="P2310" s="22" t="n">
        <x:f>O2310*(1-N2310)</x:f>
        <x:v>9360</x:v>
      </x:c>
      <x:c r="Q2310" s="22" t="n">
        <x:v>300</x:v>
      </x:c>
      <x:c r="R2310" s="22" t="n">
        <x:f>Q2310*M2310</x:f>
        <x:v>7800</x:v>
      </x:c>
      <x:c r="S2310" s="22" t="n">
        <x:f>P2310-R2310</x:f>
        <x:v>1560</x:v>
      </x:c>
      <x:c r="T2310" t="str">
        <x:v>Cash</x:v>
      </x:c>
      <x:c r="U2310" t="str">
        <x:v>Pending</x:v>
      </x:c>
      <x:c r="V2310" t="str">
        <x:v>Cancelled</x:v>
      </x:c>
      <x:c r="W2310" t="n">
        <x:v>26</x:v>
      </x:c>
      <x:c r="X2310" t="str">
        <x:v>Cancelled Order</x:v>
      </x:c>
      <x:c r="Y2310" t="str">
        <x:v>Existing Customer</x:v>
      </x:c>
    </x:row>
    <x:row r="2311">
      <x:c r="A2311" t="str">
        <x:v>O002310</x:v>
      </x:c>
      <x:c r="B2311" s="20" t="n">
        <x:v>46055</x:v>
      </x:c>
      <x:c r="C2311" t="str">
        <x:v>C0163</x:v>
      </x:c>
      <x:c r="D2311" t="str">
        <x:v>Shree Kitchen 163</x:v>
      </x:c>
      <x:c r="E2311" t="str">
        <x:v>Kirana</x:v>
      </x:c>
      <x:c r="F2311" t="str">
        <x:v>Mysuru</x:v>
      </x:c>
      <x:c r="G2311" t="str">
        <x:v>Priya</x:v>
      </x:c>
      <x:c r="H2311" t="str">
        <x:v>P011</x:v>
      </x:c>
      <x:c r="I2311" t="str">
        <x:v>Salt 1kg</x:v>
      </x:c>
      <x:c r="J2311" t="str">
        <x:v>Staples</x:v>
      </x:c>
      <x:c r="K2311" t="str">
        <x:v>Tata</x:v>
      </x:c>
      <x:c r="L2311" s="22" t="n">
        <x:v>28</x:v>
      </x:c>
      <x:c r="M2311" t="n">
        <x:v>19</x:v>
      </x:c>
      <x:c r="N2311" s="24" t="n">
        <x:v>0.02</x:v>
      </x:c>
      <x:c r="O2311" s="22" t="n">
        <x:f>L2311*M2311</x:f>
        <x:v>532</x:v>
      </x:c>
      <x:c r="P2311" s="22" t="n">
        <x:f>O2311*(1-N2311)</x:f>
        <x:v>521.36</x:v>
      </x:c>
      <x:c r="Q2311" s="22" t="n">
        <x:v>23</x:v>
      </x:c>
      <x:c r="R2311" s="22" t="n">
        <x:f>Q2311*M2311</x:f>
        <x:v>437</x:v>
      </x:c>
      <x:c r="S2311" s="22" t="n">
        <x:f>P2311-R2311</x:f>
        <x:v>84.36000000000001</x:v>
      </x:c>
      <x:c r="T2311" t="str">
        <x:v>Credit</x:v>
      </x:c>
      <x:c r="U2311" t="str">
        <x:v>Paid</x:v>
      </x:c>
      <x:c r="V2311" t="str">
        <x:v>Delivered</x:v>
      </x:c>
      <x:c r="W2311" t="n">
        <x:v>0</x:v>
      </x:c>
      <x:c r="X2311" t="str"/>
      <x:c r="Y2311" t="str">
        <x:v>WhatsApp</x:v>
      </x:c>
    </x:row>
    <x:row r="2312">
      <x:c r="A2312" t="str">
        <x:v>O002311</x:v>
      </x:c>
      <x:c r="B2312" s="20" t="n">
        <x:v>46260</x:v>
      </x:c>
      <x:c r="C2312" t="str">
        <x:v>C0239</x:v>
      </x:c>
      <x:c r="D2312" t="str">
        <x:v>Royal Hotel 239</x:v>
      </x:c>
      <x:c r="E2312" t="str">
        <x:v>Restaurant</x:v>
      </x:c>
      <x:c r="F2312" t="str">
        <x:v>Hubballi</x:v>
      </x:c>
      <x:c r="G2312" t="str">
        <x:v>Priya</x:v>
      </x:c>
      <x:c r="H2312" t="str">
        <x:v>P038</x:v>
      </x:c>
      <x:c r="I2312" t="str">
        <x:v>French Fries 2.5kg</x:v>
      </x:c>
      <x:c r="J2312" t="str">
        <x:v>Frozen</x:v>
      </x:c>
      <x:c r="K2312" t="str">
        <x:v>McCain</x:v>
      </x:c>
      <x:c r="L2312" s="22" t="n">
        <x:v>360</x:v>
      </x:c>
      <x:c r="M2312" t="n">
        <x:v>20</x:v>
      </x:c>
      <x:c r="N2312" s="24" t="n">
        <x:v>0</x:v>
      </x:c>
      <x:c r="O2312" s="22" t="n">
        <x:f>L2312*M2312</x:f>
        <x:v>7200</x:v>
      </x:c>
      <x:c r="P2312" s="22" t="n">
        <x:f>O2312*(1-N2312)</x:f>
        <x:v>7200</x:v>
      </x:c>
      <x:c r="Q2312" s="22" t="n">
        <x:v>315</x:v>
      </x:c>
      <x:c r="R2312" s="22" t="n">
        <x:f>Q2312*M2312</x:f>
        <x:v>6300</x:v>
      </x:c>
      <x:c r="S2312" s="22" t="n">
        <x:f>P2312-R2312</x:f>
        <x:v>900</x:v>
      </x:c>
      <x:c r="T2312" t="str">
        <x:v>Credit</x:v>
      </x:c>
      <x:c r="U2312" t="str">
        <x:v>Pending</x:v>
      </x:c>
      <x:c r="V2312" t="str">
        <x:v>Delivered</x:v>
      </x:c>
      <x:c r="W2312" t="n">
        <x:v>0</x:v>
      </x:c>
      <x:c r="X2312" t="str"/>
      <x:c r="Y2312" t="str">
        <x:v>Outbound Call</x:v>
      </x:c>
    </x:row>
    <x:row r="2313">
      <x:c r="A2313" t="str">
        <x:v>O002312</x:v>
      </x:c>
      <x:c r="B2313" s="20" t="n">
        <x:v>46081</x:v>
      </x:c>
      <x:c r="C2313" t="str">
        <x:v>C0029</x:v>
      </x:c>
      <x:c r="D2313" t="str">
        <x:v>Metro Foods 29</x:v>
      </x:c>
      <x:c r="E2313" t="str">
        <x:v>Cafe</x:v>
      </x:c>
      <x:c r="F2313" t="str">
        <x:v>Hubballi</x:v>
      </x:c>
      <x:c r="G2313" t="str">
        <x:v>Priya</x:v>
      </x:c>
      <x:c r="H2313" t="str">
        <x:v>P012</x:v>
      </x:c>
      <x:c r="I2313" t="str">
        <x:v>Maida 10kg</x:v>
      </x:c>
      <x:c r="J2313" t="str">
        <x:v>Flour</x:v>
      </x:c>
      <x:c r="K2313" t="str">
        <x:v>Aashirvaad</x:v>
      </x:c>
      <x:c r="L2313" s="22" t="n">
        <x:v>520</x:v>
      </x:c>
      <x:c r="M2313" t="n">
        <x:v>25</x:v>
      </x:c>
      <x:c r="N2313" s="24" t="n">
        <x:v>0.05</x:v>
      </x:c>
      <x:c r="O2313" s="22" t="n">
        <x:f>L2313*M2313</x:f>
        <x:v>13000</x:v>
      </x:c>
      <x:c r="P2313" s="22" t="n">
        <x:f>O2313*(1-N2313)</x:f>
        <x:v>12350</x:v>
      </x:c>
      <x:c r="Q2313" s="22" t="n">
        <x:v>460</x:v>
      </x:c>
      <x:c r="R2313" s="22" t="n">
        <x:f>Q2313*M2313</x:f>
        <x:v>11500</x:v>
      </x:c>
      <x:c r="S2313" s="22" t="n">
        <x:f>P2313-R2313</x:f>
        <x:v>850</x:v>
      </x:c>
      <x:c r="T2313" t="str">
        <x:v>Credit</x:v>
      </x:c>
      <x:c r="U2313" t="str">
        <x:v>Paid</x:v>
      </x:c>
      <x:c r="V2313" t="str">
        <x:v>Delivered</x:v>
      </x:c>
      <x:c r="W2313" t="n">
        <x:v>0</x:v>
      </x:c>
      <x:c r="X2313" t="str"/>
      <x:c r="Y2313" t="str">
        <x:v>Outbound Call</x:v>
      </x:c>
    </x:row>
    <x:row r="2314">
      <x:c r="A2314" t="str">
        <x:v>O002313</x:v>
      </x:c>
      <x:c r="B2314" s="20" t="n">
        <x:v>45887</x:v>
      </x:c>
      <x:c r="C2314" t="str">
        <x:v>C0228</x:v>
      </x:c>
      <x:c r="D2314" t="str">
        <x:v>Metro Foods 228</x:v>
      </x:c>
      <x:c r="E2314" t="str">
        <x:v>Supermarket</x:v>
      </x:c>
      <x:c r="F2314" t="str">
        <x:v>Davanagere</x:v>
      </x:c>
      <x:c r="G2314" t="str">
        <x:v>Sneha</x:v>
      </x:c>
      <x:c r="H2314" t="str">
        <x:v>P036</x:v>
      </x:c>
      <x:c r="I2314" t="str">
        <x:v>Garam Masala 500g</x:v>
      </x:c>
      <x:c r="J2314" t="str">
        <x:v>Spices</x:v>
      </x:c>
      <x:c r="K2314" t="str">
        <x:v>MDH</x:v>
      </x:c>
      <x:c r="L2314" s="22" t="n">
        <x:v>265</x:v>
      </x:c>
      <x:c r="M2314" t="n">
        <x:v>14</x:v>
      </x:c>
      <x:c r="N2314" s="24" t="n">
        <x:v>0.02</x:v>
      </x:c>
      <x:c r="O2314" s="22" t="n">
        <x:f>L2314*M2314</x:f>
        <x:v>3710</x:v>
      </x:c>
      <x:c r="P2314" s="22" t="n">
        <x:f>O2314*(1-N2314)</x:f>
        <x:v>3635.7999999999997</x:v>
      </x:c>
      <x:c r="Q2314" s="22" t="n">
        <x:v>230</x:v>
      </x:c>
      <x:c r="R2314" s="22" t="n">
        <x:f>Q2314*M2314</x:f>
        <x:v>3220</x:v>
      </x:c>
      <x:c r="S2314" s="22" t="n">
        <x:f>P2314-R2314</x:f>
        <x:v>415.7999999999997</x:v>
      </x:c>
      <x:c r="T2314" t="str">
        <x:v>UPI</x:v>
      </x:c>
      <x:c r="U2314" t="str">
        <x:v>Paid</x:v>
      </x:c>
      <x:c r="V2314" t="str">
        <x:v>Delivered</x:v>
      </x:c>
      <x:c r="W2314" t="n">
        <x:v>0</x:v>
      </x:c>
      <x:c r="X2314" t="str"/>
      <x:c r="Y2314" t="str">
        <x:v>Field Visit</x:v>
      </x:c>
    </x:row>
    <x:row r="2315">
      <x:c r="A2315" t="str">
        <x:v>O002314</x:v>
      </x:c>
      <x:c r="B2315" s="20" t="n">
        <x:v>45774</x:v>
      </x:c>
      <x:c r="C2315" t="str">
        <x:v>C0147</x:v>
      </x:c>
      <x:c r="D2315" t="str">
        <x:v>New Stores 147</x:v>
      </x:c>
      <x:c r="E2315" t="str">
        <x:v>Supermarket</x:v>
      </x:c>
      <x:c r="F2315" t="str">
        <x:v>Hubballi</x:v>
      </x:c>
      <x:c r="G2315" t="str">
        <x:v>Imran</x:v>
      </x:c>
      <x:c r="H2315" t="str">
        <x:v>P002</x:v>
      </x:c>
      <x:c r="I2315" t="str">
        <x:v>Sona Masoori Rice 25kg</x:v>
      </x:c>
      <x:c r="J2315" t="str">
        <x:v>Staples</x:v>
      </x:c>
      <x:c r="K2315" t="str">
        <x:v>Fortune</x:v>
      </x:c>
      <x:c r="L2315" s="22" t="n">
        <x:v>1320</x:v>
      </x:c>
      <x:c r="M2315" t="n">
        <x:v>12</x:v>
      </x:c>
      <x:c r="N2315" s="24" t="n">
        <x:v>0</x:v>
      </x:c>
      <x:c r="O2315" s="22" t="n">
        <x:f>L2315*M2315</x:f>
        <x:v>15840</x:v>
      </x:c>
      <x:c r="P2315" s="22" t="n">
        <x:f>O2315*(1-N2315)</x:f>
        <x:v>15840</x:v>
      </x:c>
      <x:c r="Q2315" s="22" t="n">
        <x:v>1160</x:v>
      </x:c>
      <x:c r="R2315" s="22" t="n">
        <x:f>Q2315*M2315</x:f>
        <x:v>13920</x:v>
      </x:c>
      <x:c r="S2315" s="22" t="n">
        <x:f>P2315-R2315</x:f>
        <x:v>1920</x:v>
      </x:c>
      <x:c r="T2315" t="str">
        <x:v>Cash</x:v>
      </x:c>
      <x:c r="U2315" t="str">
        <x:v>Pending</x:v>
      </x:c>
      <x:c r="V2315" t="str">
        <x:v>Delivered</x:v>
      </x:c>
      <x:c r="W2315" t="n">
        <x:v>0</x:v>
      </x:c>
      <x:c r="X2315" t="str"/>
      <x:c r="Y2315" t="str">
        <x:v>Outbound Call</x:v>
      </x:c>
    </x:row>
    <x:row r="2316">
      <x:c r="A2316" t="str">
        <x:v>O002315</x:v>
      </x:c>
      <x:c r="B2316" s="20" t="n">
        <x:v>45936</x:v>
      </x:c>
      <x:c r="C2316" t="str">
        <x:v>C0060</x:v>
      </x:c>
      <x:c r="D2316" t="str">
        <x:v>Sagar Stores 60</x:v>
      </x:c>
      <x:c r="E2316" t="str">
        <x:v>Cafe</x:v>
      </x:c>
      <x:c r="F2316" t="str">
        <x:v>Hubballi</x:v>
      </x:c>
      <x:c r="G2316" t="str">
        <x:v>Imran</x:v>
      </x:c>
      <x:c r="H2316" t="str">
        <x:v>P018</x:v>
      </x:c>
      <x:c r="I2316" t="str">
        <x:v>Paneer 1kg</x:v>
      </x:c>
      <x:c r="J2316" t="str">
        <x:v>Dairy</x:v>
      </x:c>
      <x:c r="K2316" t="str">
        <x:v>Milky Mist</x:v>
      </x:c>
      <x:c r="L2316" s="22" t="n">
        <x:v>410</x:v>
      </x:c>
      <x:c r="M2316" t="n">
        <x:v>14</x:v>
      </x:c>
      <x:c r="N2316" s="24" t="n">
        <x:v>0.03</x:v>
      </x:c>
      <x:c r="O2316" s="22" t="n">
        <x:f>L2316*M2316</x:f>
        <x:v>5740</x:v>
      </x:c>
      <x:c r="P2316" s="22" t="n">
        <x:f>O2316*(1-N2316)</x:f>
        <x:v>5567.8</x:v>
      </x:c>
      <x:c r="Q2316" s="22" t="n">
        <x:v>370</x:v>
      </x:c>
      <x:c r="R2316" s="22" t="n">
        <x:f>Q2316*M2316</x:f>
        <x:v>5180</x:v>
      </x:c>
      <x:c r="S2316" s="22" t="n">
        <x:f>P2316-R2316</x:f>
        <x:v>387.8000000000002</x:v>
      </x:c>
      <x:c r="T2316" t="str">
        <x:v>Credit</x:v>
      </x:c>
      <x:c r="U2316" t="str">
        <x:v>Pending</x:v>
      </x:c>
      <x:c r="V2316" t="str">
        <x:v>Cancelled</x:v>
      </x:c>
      <x:c r="W2316" t="n">
        <x:v>14</x:v>
      </x:c>
      <x:c r="X2316" t="str">
        <x:v>Cancelled Order</x:v>
      </x:c>
      <x:c r="Y2316" t="str">
        <x:v>Referral</x:v>
      </x:c>
    </x:row>
    <x:row r="2317">
      <x:c r="A2317" t="str">
        <x:v>O002316</x:v>
      </x:c>
      <x:c r="B2317" s="20" t="n">
        <x:v>45760</x:v>
      </x:c>
      <x:c r="C2317" t="str">
        <x:v>C0071</x:v>
      </x:c>
      <x:c r="D2317" t="str">
        <x:v>Shree Restaurant 71</x:v>
      </x:c>
      <x:c r="E2317" t="str">
        <x:v>Cafe</x:v>
      </x:c>
      <x:c r="F2317" t="str">
        <x:v>Tumakuru</x:v>
      </x:c>
      <x:c r="G2317" t="str">
        <x:v>Sneha</x:v>
      </x:c>
      <x:c r="H2317" t="str">
        <x:v>P035</x:v>
      </x:c>
      <x:c r="I2317" t="str">
        <x:v>Coriander Powder 1kg</x:v>
      </x:c>
      <x:c r="J2317" t="str">
        <x:v>Spices</x:v>
      </x:c>
      <x:c r="K2317" t="str">
        <x:v>Everest</x:v>
      </x:c>
      <x:c r="L2317" s="22" t="n">
        <x:v>280</x:v>
      </x:c>
      <x:c r="M2317" t="n">
        <x:v>19</x:v>
      </x:c>
      <x:c r="N2317" s="24" t="n">
        <x:v>0</x:v>
      </x:c>
      <x:c r="O2317" s="22" t="n">
        <x:f>L2317*M2317</x:f>
        <x:v>5320</x:v>
      </x:c>
      <x:c r="P2317" s="22" t="n">
        <x:f>O2317*(1-N2317)</x:f>
        <x:v>5320</x:v>
      </x:c>
      <x:c r="Q2317" s="22" t="n">
        <x:v>245</x:v>
      </x:c>
      <x:c r="R2317" s="22" t="n">
        <x:f>Q2317*M2317</x:f>
        <x:v>4655</x:v>
      </x:c>
      <x:c r="S2317" s="22" t="n">
        <x:f>P2317-R2317</x:f>
        <x:v>665</x:v>
      </x:c>
      <x:c r="T2317" t="str">
        <x:v>Cash</x:v>
      </x:c>
      <x:c r="U2317" t="str">
        <x:v>Paid</x:v>
      </x:c>
      <x:c r="V2317" t="str">
        <x:v>Delivered</x:v>
      </x:c>
      <x:c r="W2317" t="n">
        <x:v>0</x:v>
      </x:c>
      <x:c r="X2317" t="str"/>
      <x:c r="Y2317" t="str">
        <x:v>WhatsApp</x:v>
      </x:c>
    </x:row>
    <x:row r="2318">
      <x:c r="A2318" t="str">
        <x:v>O002317</x:v>
      </x:c>
      <x:c r="B2318" s="20" t="n">
        <x:v>45733</x:v>
      </x:c>
      <x:c r="C2318" t="str">
        <x:v>C0056</x:v>
      </x:c>
      <x:c r="D2318" t="str">
        <x:v>City Stores 56</x:v>
      </x:c>
      <x:c r="E2318" t="str">
        <x:v>Canteen</x:v>
      </x:c>
      <x:c r="F2318" t="str">
        <x:v>Davanagere</x:v>
      </x:c>
      <x:c r="G2318" t="str">
        <x:v>Imran</x:v>
      </x:c>
      <x:c r="H2318" t="str">
        <x:v>P003</x:v>
      </x:c>
      <x:c r="I2318" t="str">
        <x:v>Basmati Rice 5kg</x:v>
      </x:c>
      <x:c r="J2318" t="str">
        <x:v>Staples</x:v>
      </x:c>
      <x:c r="K2318" t="str">
        <x:v>India Gate</x:v>
      </x:c>
      <x:c r="L2318" s="22" t="n">
        <x:v>690</x:v>
      </x:c>
      <x:c r="M2318" t="n">
        <x:v>17</x:v>
      </x:c>
      <x:c r="N2318" s="24" t="n">
        <x:v>0.08</x:v>
      </x:c>
      <x:c r="O2318" s="22" t="n">
        <x:f>L2318*M2318</x:f>
        <x:v>11730</x:v>
      </x:c>
      <x:c r="P2318" s="22" t="n">
        <x:f>O2318*(1-N2318)</x:f>
        <x:v>10791.6</x:v>
      </x:c>
      <x:c r="Q2318" s="22" t="n">
        <x:v>610</x:v>
      </x:c>
      <x:c r="R2318" s="22" t="n">
        <x:f>Q2318*M2318</x:f>
        <x:v>10370</x:v>
      </x:c>
      <x:c r="S2318" s="22" t="n">
        <x:f>P2318-R2318</x:f>
        <x:v>421.60000000000036</x:v>
      </x:c>
      <x:c r="T2318" t="str">
        <x:v>UPI</x:v>
      </x:c>
      <x:c r="U2318" t="str">
        <x:v>Paid</x:v>
      </x:c>
      <x:c r="V2318" t="str">
        <x:v>Delivered</x:v>
      </x:c>
      <x:c r="W2318" t="n">
        <x:v>0</x:v>
      </x:c>
      <x:c r="X2318" t="str"/>
      <x:c r="Y2318" t="str">
        <x:v>Existing Customer</x:v>
      </x:c>
    </x:row>
    <x:row r="2319">
      <x:c r="A2319" t="str">
        <x:v>O002318</x:v>
      </x:c>
      <x:c r="B2319" s="20" t="n">
        <x:v>45743</x:v>
      </x:c>
      <x:c r="C2319" t="str">
        <x:v>C0152</x:v>
      </x:c>
      <x:c r="D2319" t="str">
        <x:v>Metro Stores 152</x:v>
      </x:c>
      <x:c r="E2319" t="str">
        <x:v>Cafe</x:v>
      </x:c>
      <x:c r="F2319" t="str">
        <x:v>Hubballi</x:v>
      </x:c>
      <x:c r="G2319" t="str">
        <x:v>Priya</x:v>
      </x:c>
      <x:c r="H2319" t="str">
        <x:v>P043</x:v>
      </x:c>
      <x:c r="I2319" t="str">
        <x:v>Chicken Breast 1kg</x:v>
      </x:c>
      <x:c r="J2319" t="str">
        <x:v>Protein</x:v>
      </x:c>
      <x:c r="K2319" t="str">
        <x:v>FreshToHome</x:v>
      </x:c>
      <x:c r="L2319" s="22" t="n">
        <x:v>260</x:v>
      </x:c>
      <x:c r="M2319" t="n">
        <x:v>2</x:v>
      </x:c>
      <x:c r="N2319" s="24" t="n">
        <x:v>0</x:v>
      </x:c>
      <x:c r="O2319" s="22" t="n">
        <x:f>L2319*M2319</x:f>
        <x:v>520</x:v>
      </x:c>
      <x:c r="P2319" s="22" t="n">
        <x:f>O2319*(1-N2319)</x:f>
        <x:v>520</x:v>
      </x:c>
      <x:c r="Q2319" s="22" t="n">
        <x:v>235</x:v>
      </x:c>
      <x:c r="R2319" s="22" t="n">
        <x:f>Q2319*M2319</x:f>
        <x:v>470</x:v>
      </x:c>
      <x:c r="S2319" s="22" t="n">
        <x:f>P2319-R2319</x:f>
        <x:v>50</x:v>
      </x:c>
      <x:c r="T2319" t="str">
        <x:v>Cash</x:v>
      </x:c>
      <x:c r="U2319" t="str">
        <x:v>Paid</x:v>
      </x:c>
      <x:c r="V2319" t="str">
        <x:v>Delivered</x:v>
      </x:c>
      <x:c r="W2319" t="n">
        <x:v>0</x:v>
      </x:c>
      <x:c r="X2319" t="str"/>
      <x:c r="Y2319" t="str">
        <x:v>Outbound Call</x:v>
      </x:c>
    </x:row>
    <x:row r="2320">
      <x:c r="A2320" t="str">
        <x:v>O002319</x:v>
      </x:c>
      <x:c r="B2320" s="20" t="n">
        <x:v>46085</x:v>
      </x:c>
      <x:c r="C2320" t="str">
        <x:v>C0144</x:v>
      </x:c>
      <x:c r="D2320" t="str">
        <x:v>Namma Foods 144</x:v>
      </x:c>
      <x:c r="E2320" t="str">
        <x:v>Restaurant</x:v>
      </x:c>
      <x:c r="F2320" t="str">
        <x:v>Tumakuru</x:v>
      </x:c>
      <x:c r="G2320" t="str">
        <x:v>Arjun</x:v>
      </x:c>
      <x:c r="H2320" t="str">
        <x:v>P027</x:v>
      </x:c>
      <x:c r="I2320" t="str">
        <x:v>Biscuits 120g</x:v>
      </x:c>
      <x:c r="J2320" t="str">
        <x:v>Snacks</x:v>
      </x:c>
      <x:c r="K2320" t="str">
        <x:v>Parle-G</x:v>
      </x:c>
      <x:c r="L2320" s="22" t="n">
        <x:v>12</x:v>
      </x:c>
      <x:c r="M2320" t="n">
        <x:v>8</x:v>
      </x:c>
      <x:c r="N2320" s="24" t="n">
        <x:v>0.03</x:v>
      </x:c>
      <x:c r="O2320" s="22" t="n">
        <x:f>L2320*M2320</x:f>
        <x:v>96</x:v>
      </x:c>
      <x:c r="P2320" s="22" t="n">
        <x:f>O2320*(1-N2320)</x:f>
        <x:v>93.12</x:v>
      </x:c>
      <x:c r="Q2320" s="22" t="n">
        <x:v>9</x:v>
      </x:c>
      <x:c r="R2320" s="22" t="n">
        <x:f>Q2320*M2320</x:f>
        <x:v>72</x:v>
      </x:c>
      <x:c r="S2320" s="22" t="n">
        <x:f>P2320-R2320</x:f>
        <x:v>21.120000000000005</x:v>
      </x:c>
      <x:c r="T2320" t="str">
        <x:v>UPI</x:v>
      </x:c>
      <x:c r="U2320" t="str">
        <x:v>Pending</x:v>
      </x:c>
      <x:c r="V2320" t="str">
        <x:v>Delivered</x:v>
      </x:c>
      <x:c r="W2320" t="n">
        <x:v>0</x:v>
      </x:c>
      <x:c r="X2320" t="str"/>
      <x:c r="Y2320" t="str">
        <x:v>Existing Customer</x:v>
      </x:c>
    </x:row>
    <x:row r="2321">
      <x:c r="A2321" t="str">
        <x:v>O002320</x:v>
      </x:c>
      <x:c r="B2321" s="20" t="n">
        <x:v>45782</x:v>
      </x:c>
      <x:c r="C2321" t="str">
        <x:v>C0075</x:v>
      </x:c>
      <x:c r="D2321" t="str">
        <x:v>Spice Foods 75</x:v>
      </x:c>
      <x:c r="E2321" t="str">
        <x:v>Kirana</x:v>
      </x:c>
      <x:c r="F2321" t="str">
        <x:v>Hubballi</x:v>
      </x:c>
      <x:c r="G2321" t="str">
        <x:v>Vikram</x:v>
      </x:c>
      <x:c r="H2321" t="str">
        <x:v>P010</x:v>
      </x:c>
      <x:c r="I2321" t="str">
        <x:v>Sugar 25kg</x:v>
      </x:c>
      <x:c r="J2321" t="str">
        <x:v>Staples</x:v>
      </x:c>
      <x:c r="K2321" t="str">
        <x:v>Madhur</x:v>
      </x:c>
      <x:c r="L2321" s="22" t="n">
        <x:v>1190</x:v>
      </x:c>
      <x:c r="M2321" t="n">
        <x:v>5</x:v>
      </x:c>
      <x:c r="N2321" s="24" t="n">
        <x:v>0.03</x:v>
      </x:c>
      <x:c r="O2321" s="22" t="n">
        <x:f>L2321*M2321</x:f>
        <x:v>5950</x:v>
      </x:c>
      <x:c r="P2321" s="22" t="n">
        <x:f>O2321*(1-N2321)</x:f>
        <x:v>5771.5</x:v>
      </x:c>
      <x:c r="Q2321" s="22" t="n">
        <x:v>1080</x:v>
      </x:c>
      <x:c r="R2321" s="22" t="n">
        <x:f>Q2321*M2321</x:f>
        <x:v>5400</x:v>
      </x:c>
      <x:c r="S2321" s="22" t="n">
        <x:f>P2321-R2321</x:f>
        <x:v>371.5</x:v>
      </x:c>
      <x:c r="T2321" t="str">
        <x:v>Cash</x:v>
      </x:c>
      <x:c r="U2321" t="str">
        <x:v>Paid</x:v>
      </x:c>
      <x:c r="V2321" t="str">
        <x:v>Delivered</x:v>
      </x:c>
      <x:c r="W2321" t="n">
        <x:v>0</x:v>
      </x:c>
      <x:c r="X2321" t="str"/>
      <x:c r="Y2321" t="str">
        <x:v>Outbound Call</x:v>
      </x:c>
    </x:row>
    <x:row r="2322">
      <x:c r="A2322" t="str">
        <x:v>O002321</x:v>
      </x:c>
      <x:c r="B2322" s="20" t="n">
        <x:v>46093</x:v>
      </x:c>
      <x:c r="C2322" t="str">
        <x:v>C0051</x:v>
      </x:c>
      <x:c r="D2322" t="str">
        <x:v>Cafe Hotel 51</x:v>
      </x:c>
      <x:c r="E2322" t="str">
        <x:v>Kirana</x:v>
      </x:c>
      <x:c r="F2322" t="str">
        <x:v>Tumakuru</x:v>
      </x:c>
      <x:c r="G2322" t="str">
        <x:v>Arjun</x:v>
      </x:c>
      <x:c r="H2322" t="str">
        <x:v>P005</x:v>
      </x:c>
      <x:c r="I2322" t="str">
        <x:v>Chana Dal 5kg</x:v>
      </x:c>
      <x:c r="J2322" t="str">
        <x:v>Pulses</x:v>
      </x:c>
      <x:c r="K2322" t="str">
        <x:v>Local Select</x:v>
      </x:c>
      <x:c r="L2322" s="22" t="n">
        <x:v>520</x:v>
      </x:c>
      <x:c r="M2322" t="n">
        <x:v>4</x:v>
      </x:c>
      <x:c r="N2322" s="24" t="n">
        <x:v>0.05</x:v>
      </x:c>
      <x:c r="O2322" s="22" t="n">
        <x:f>L2322*M2322</x:f>
        <x:v>2080</x:v>
      </x:c>
      <x:c r="P2322" s="22" t="n">
        <x:f>O2322*(1-N2322)</x:f>
        <x:v>1976</x:v>
      </x:c>
      <x:c r="Q2322" s="22" t="n">
        <x:v>455</x:v>
      </x:c>
      <x:c r="R2322" s="22" t="n">
        <x:f>Q2322*M2322</x:f>
        <x:v>1820</x:v>
      </x:c>
      <x:c r="S2322" s="22" t="n">
        <x:f>P2322-R2322</x:f>
        <x:v>156</x:v>
      </x:c>
      <x:c r="T2322" t="str">
        <x:v>UPI</x:v>
      </x:c>
      <x:c r="U2322" t="str">
        <x:v>Paid</x:v>
      </x:c>
      <x:c r="V2322" t="str">
        <x:v>Delayed</x:v>
      </x:c>
      <x:c r="W2322" t="n">
        <x:v>0</x:v>
      </x:c>
      <x:c r="X2322" t="str"/>
      <x:c r="Y2322" t="str">
        <x:v>Outbound Call</x:v>
      </x:c>
    </x:row>
    <x:row r="2323">
      <x:c r="A2323" t="str">
        <x:v>O002322</x:v>
      </x:c>
      <x:c r="B2323" s="20" t="n">
        <x:v>45718</x:v>
      </x:c>
      <x:c r="C2323" t="str">
        <x:v>C0140</x:v>
      </x:c>
      <x:c r="D2323" t="str">
        <x:v>Fresh Hotel 140</x:v>
      </x:c>
      <x:c r="E2323" t="str">
        <x:v>Kirana</x:v>
      </x:c>
      <x:c r="F2323" t="str">
        <x:v>Tumakuru</x:v>
      </x:c>
      <x:c r="G2323" t="str">
        <x:v>Imran</x:v>
      </x:c>
      <x:c r="H2323" t="str">
        <x:v>P025</x:v>
      </x:c>
      <x:c r="I2323" t="str">
        <x:v>Potato Chips 100g</x:v>
      </x:c>
      <x:c r="J2323" t="str">
        <x:v>Snacks</x:v>
      </x:c>
      <x:c r="K2323" t="str">
        <x:v>Lay's</x:v>
      </x:c>
      <x:c r="L2323" s="22" t="n">
        <x:v>35</x:v>
      </x:c>
      <x:c r="M2323" t="n">
        <x:v>6</x:v>
      </x:c>
      <x:c r="N2323" s="24" t="n">
        <x:v>0.02</x:v>
      </x:c>
      <x:c r="O2323" s="22" t="n">
        <x:f>L2323*M2323</x:f>
        <x:v>210</x:v>
      </x:c>
      <x:c r="P2323" s="22" t="n">
        <x:f>O2323*(1-N2323)</x:f>
        <x:v>205.79999999999998</x:v>
      </x:c>
      <x:c r="Q2323" s="22" t="n">
        <x:v>27</x:v>
      </x:c>
      <x:c r="R2323" s="22" t="n">
        <x:f>Q2323*M2323</x:f>
        <x:v>162</x:v>
      </x:c>
      <x:c r="S2323" s="22" t="n">
        <x:f>P2323-R2323</x:f>
        <x:v>43.79999999999998</x:v>
      </x:c>
      <x:c r="T2323" t="str">
        <x:v>Credit</x:v>
      </x:c>
      <x:c r="U2323" t="str">
        <x:v>Paid</x:v>
      </x:c>
      <x:c r="V2323" t="str">
        <x:v>Cancelled</x:v>
      </x:c>
      <x:c r="W2323" t="n">
        <x:v>6</x:v>
      </x:c>
      <x:c r="X2323" t="str">
        <x:v>Cancelled Order</x:v>
      </x:c>
      <x:c r="Y2323" t="str">
        <x:v>Outbound Call</x:v>
      </x:c>
    </x:row>
    <x:row r="2324">
      <x:c r="A2324" t="str">
        <x:v>O002323</x:v>
      </x:c>
      <x:c r="B2324" s="20" t="n">
        <x:v>45796</x:v>
      </x:c>
      <x:c r="C2324" t="str">
        <x:v>C0030</x:v>
      </x:c>
      <x:c r="D2324" t="str">
        <x:v>Hotel Restaurant 30</x:v>
      </x:c>
      <x:c r="E2324" t="str">
        <x:v>Restaurant</x:v>
      </x:c>
      <x:c r="F2324" t="str">
        <x:v>Bengaluru</x:v>
      </x:c>
      <x:c r="G2324" t="str">
        <x:v>Imran</x:v>
      </x:c>
      <x:c r="H2324" t="str">
        <x:v>P014</x:v>
      </x:c>
      <x:c r="I2324" t="str">
        <x:v>Rava 5kg</x:v>
      </x:c>
      <x:c r="J2324" t="str">
        <x:v>Flour</x:v>
      </x:c>
      <x:c r="K2324" t="str">
        <x:v>Local Select</x:v>
      </x:c>
      <x:c r="L2324" s="22" t="n">
        <x:v>245</x:v>
      </x:c>
      <x:c r="M2324" t="n">
        <x:v>7</x:v>
      </x:c>
      <x:c r="N2324" s="24" t="n">
        <x:v>0.03</x:v>
      </x:c>
      <x:c r="O2324" s="22" t="n">
        <x:f>L2324*M2324</x:f>
        <x:v>1715</x:v>
      </x:c>
      <x:c r="P2324" s="22" t="n">
        <x:f>O2324*(1-N2324)</x:f>
        <x:v>1663.55</x:v>
      </x:c>
      <x:c r="Q2324" s="22" t="n">
        <x:v>215</x:v>
      </x:c>
      <x:c r="R2324" s="22" t="n">
        <x:f>Q2324*M2324</x:f>
        <x:v>1505</x:v>
      </x:c>
      <x:c r="S2324" s="22" t="n">
        <x:f>P2324-R2324</x:f>
        <x:v>158.54999999999995</x:v>
      </x:c>
      <x:c r="T2324" t="str">
        <x:v>Cash</x:v>
      </x:c>
      <x:c r="U2324" t="str">
        <x:v>Overdue</x:v>
      </x:c>
      <x:c r="V2324" t="str">
        <x:v>Delivered</x:v>
      </x:c>
      <x:c r="W2324" t="n">
        <x:v>0</x:v>
      </x:c>
      <x:c r="X2324" t="str"/>
      <x:c r="Y2324" t="str">
        <x:v>Field Visit</x:v>
      </x:c>
    </x:row>
    <x:row r="2325">
      <x:c r="A2325" t="str">
        <x:v>O002324</x:v>
      </x:c>
      <x:c r="B2325" s="20" t="n">
        <x:v>45823</x:v>
      </x:c>
      <x:c r="C2325" t="str">
        <x:v>C0172</x:v>
      </x:c>
      <x:c r="D2325" t="str">
        <x:v>Annapurna Stores 172</x:v>
      </x:c>
      <x:c r="E2325" t="str">
        <x:v>Restaurant</x:v>
      </x:c>
      <x:c r="F2325" t="str">
        <x:v>Mangaluru</x:v>
      </x:c>
      <x:c r="G2325" t="str">
        <x:v>Megha</x:v>
      </x:c>
      <x:c r="H2325" t="str">
        <x:v>P001</x:v>
      </x:c>
      <x:c r="I2325" t="str">
        <x:v>Steam Rice 25kg</x:v>
      </x:c>
      <x:c r="J2325" t="str">
        <x:v>Staples</x:v>
      </x:c>
      <x:c r="K2325" t="str">
        <x:v>Aishwarya</x:v>
      </x:c>
      <x:c r="L2325" s="22" t="n">
        <x:v>1180</x:v>
      </x:c>
      <x:c r="M2325" t="n">
        <x:v>9</x:v>
      </x:c>
      <x:c r="N2325" s="24" t="n">
        <x:v>0.05</x:v>
      </x:c>
      <x:c r="O2325" s="22" t="n">
        <x:f>L2325*M2325</x:f>
        <x:v>10620</x:v>
      </x:c>
      <x:c r="P2325" s="22" t="n">
        <x:f>O2325*(1-N2325)</x:f>
        <x:v>10089</x:v>
      </x:c>
      <x:c r="Q2325" s="22" t="n">
        <x:v>1040</x:v>
      </x:c>
      <x:c r="R2325" s="22" t="n">
        <x:f>Q2325*M2325</x:f>
        <x:v>9360</x:v>
      </x:c>
      <x:c r="S2325" s="22" t="n">
        <x:f>P2325-R2325</x:f>
        <x:v>729</x:v>
      </x:c>
      <x:c r="T2325" t="str">
        <x:v>UPI</x:v>
      </x:c>
      <x:c r="U2325" t="str">
        <x:v>Paid</x:v>
      </x:c>
      <x:c r="V2325" t="str">
        <x:v>Delivered</x:v>
      </x:c>
      <x:c r="W2325" t="n">
        <x:v>0</x:v>
      </x:c>
      <x:c r="X2325" t="str"/>
      <x:c r="Y2325" t="str">
        <x:v>Existing Customer</x:v>
      </x:c>
    </x:row>
    <x:row r="2326">
      <x:c r="A2326" t="str">
        <x:v>O002325</x:v>
      </x:c>
      <x:c r="B2326" s="20" t="n">
        <x:v>45982</x:v>
      </x:c>
      <x:c r="C2326" t="str">
        <x:v>C0162</x:v>
      </x:c>
      <x:c r="D2326" t="str">
        <x:v>Udupi Foods 162</x:v>
      </x:c>
      <x:c r="E2326" t="str">
        <x:v>Restaurant</x:v>
      </x:c>
      <x:c r="F2326" t="str">
        <x:v>Mysuru</x:v>
      </x:c>
      <x:c r="G2326" t="str">
        <x:v>Ramesh</x:v>
      </x:c>
      <x:c r="H2326" t="str">
        <x:v>P020</x:v>
      </x:c>
      <x:c r="I2326" t="str">
        <x:v>Coffee 500g</x:v>
      </x:c>
      <x:c r="J2326" t="str">
        <x:v>Beverage</x:v>
      </x:c>
      <x:c r="K2326" t="str">
        <x:v>Bru</x:v>
      </x:c>
      <x:c r="L2326" s="22" t="n">
        <x:v>390</x:v>
      </x:c>
      <x:c r="M2326" t="n">
        <x:v>9</x:v>
      </x:c>
      <x:c r="N2326" s="24" t="n">
        <x:v>0.08</x:v>
      </x:c>
      <x:c r="O2326" s="22" t="n">
        <x:f>L2326*M2326</x:f>
        <x:v>3510</x:v>
      </x:c>
      <x:c r="P2326" s="22" t="n">
        <x:f>O2326*(1-N2326)</x:f>
        <x:v>3229.2000000000003</x:v>
      </x:c>
      <x:c r="Q2326" s="22" t="n">
        <x:v>350</x:v>
      </x:c>
      <x:c r="R2326" s="22" t="n">
        <x:f>Q2326*M2326</x:f>
        <x:v>3150</x:v>
      </x:c>
      <x:c r="S2326" s="22" t="n">
        <x:f>P2326-R2326</x:f>
        <x:v>79.20000000000027</x:v>
      </x:c>
      <x:c r="T2326" t="str">
        <x:v>UPI</x:v>
      </x:c>
      <x:c r="U2326" t="str">
        <x:v>Pending</x:v>
      </x:c>
      <x:c r="V2326" t="str">
        <x:v>Delayed</x:v>
      </x:c>
      <x:c r="W2326" t="n">
        <x:v>0</x:v>
      </x:c>
      <x:c r="X2326" t="str"/>
      <x:c r="Y2326" t="str">
        <x:v>Referral</x:v>
      </x:c>
    </x:row>
    <x:row r="2327">
      <x:c r="A2327" t="str">
        <x:v>O002326</x:v>
      </x:c>
      <x:c r="B2327" s="20" t="n">
        <x:v>46035</x:v>
      </x:c>
      <x:c r="C2327" t="str">
        <x:v>C0122</x:v>
      </x:c>
      <x:c r="D2327" t="str">
        <x:v>Namma Restaurant 122</x:v>
      </x:c>
      <x:c r="E2327" t="str">
        <x:v>Kirana</x:v>
      </x:c>
      <x:c r="F2327" t="str">
        <x:v>Hubballi</x:v>
      </x:c>
      <x:c r="G2327" t="str">
        <x:v>Sneha</x:v>
      </x:c>
      <x:c r="H2327" t="str">
        <x:v>P033</x:v>
      </x:c>
      <x:c r="I2327" t="str">
        <x:v>Turmeric Powder 1kg</x:v>
      </x:c>
      <x:c r="J2327" t="str">
        <x:v>Spices</x:v>
      </x:c>
      <x:c r="K2327" t="str">
        <x:v>Everest</x:v>
      </x:c>
      <x:c r="L2327" s="22" t="n">
        <x:v>310</x:v>
      </x:c>
      <x:c r="M2327" t="n">
        <x:v>32</x:v>
      </x:c>
      <x:c r="N2327" s="24" t="n">
        <x:v>0.02</x:v>
      </x:c>
      <x:c r="O2327" s="22" t="n">
        <x:f>L2327*M2327</x:f>
        <x:v>9920</x:v>
      </x:c>
      <x:c r="P2327" s="22" t="n">
        <x:f>O2327*(1-N2327)</x:f>
        <x:v>9721.6</x:v>
      </x:c>
      <x:c r="Q2327" s="22" t="n">
        <x:v>270</x:v>
      </x:c>
      <x:c r="R2327" s="22" t="n">
        <x:f>Q2327*M2327</x:f>
        <x:v>8640</x:v>
      </x:c>
      <x:c r="S2327" s="22" t="n">
        <x:f>P2327-R2327</x:f>
        <x:v>1081.6000000000004</x:v>
      </x:c>
      <x:c r="T2327" t="str">
        <x:v>Credit</x:v>
      </x:c>
      <x:c r="U2327" t="str">
        <x:v>Paid</x:v>
      </x:c>
      <x:c r="V2327" t="str">
        <x:v>Delivered</x:v>
      </x:c>
      <x:c r="W2327" t="n">
        <x:v>0</x:v>
      </x:c>
      <x:c r="X2327" t="str"/>
      <x:c r="Y2327" t="str">
        <x:v>Outbound Call</x:v>
      </x:c>
    </x:row>
    <x:row r="2328">
      <x:c r="A2328" t="str">
        <x:v>O002327</x:v>
      </x:c>
      <x:c r="B2328" s="20" t="n">
        <x:v>45966</x:v>
      </x:c>
      <x:c r="C2328" t="str">
        <x:v>C0164</x:v>
      </x:c>
      <x:c r="D2328" t="str">
        <x:v>Sri Hotel 164</x:v>
      </x:c>
      <x:c r="E2328" t="str">
        <x:v>Kirana</x:v>
      </x:c>
      <x:c r="F2328" t="str">
        <x:v>Mysuru</x:v>
      </x:c>
      <x:c r="G2328" t="str">
        <x:v>Vikram</x:v>
      </x:c>
      <x:c r="H2328" t="str">
        <x:v>P032</x:v>
      </x:c>
      <x:c r="I2328" t="str">
        <x:v>Soy Sauce 700g</x:v>
      </x:c>
      <x:c r="J2328" t="str">
        <x:v>Condiments</x:v>
      </x:c>
      <x:c r="K2328" t="str">
        <x:v>Ching's</x:v>
      </x:c>
      <x:c r="L2328" s="22" t="n">
        <x:v>118</x:v>
      </x:c>
      <x:c r="M2328" t="n">
        <x:v>40</x:v>
      </x:c>
      <x:c r="N2328" s="24" t="n">
        <x:v>0.1</x:v>
      </x:c>
      <x:c r="O2328" s="22" t="n">
        <x:f>L2328*M2328</x:f>
        <x:v>4720</x:v>
      </x:c>
      <x:c r="P2328" s="22" t="n">
        <x:f>O2328*(1-N2328)</x:f>
        <x:v>4248</x:v>
      </x:c>
      <x:c r="Q2328" s="22" t="n">
        <x:v>101</x:v>
      </x:c>
      <x:c r="R2328" s="22" t="n">
        <x:f>Q2328*M2328</x:f>
        <x:v>4040</x:v>
      </x:c>
      <x:c r="S2328" s="22" t="n">
        <x:f>P2328-R2328</x:f>
        <x:v>208</x:v>
      </x:c>
      <x:c r="T2328" t="str">
        <x:v>Credit</x:v>
      </x:c>
      <x:c r="U2328" t="str">
        <x:v>Paid</x:v>
      </x:c>
      <x:c r="V2328" t="str">
        <x:v>Delayed</x:v>
      </x:c>
      <x:c r="W2328" t="n">
        <x:v>0</x:v>
      </x:c>
      <x:c r="X2328" t="str"/>
      <x:c r="Y2328" t="str">
        <x:v>Field Visit</x:v>
      </x:c>
    </x:row>
    <x:row r="2329">
      <x:c r="A2329" t="str">
        <x:v>O002328</x:v>
      </x:c>
      <x:c r="B2329" s="20" t="n">
        <x:v>45779</x:v>
      </x:c>
      <x:c r="C2329" t="str">
        <x:v>C0165</x:v>
      </x:c>
      <x:c r="D2329" t="str">
        <x:v>Royal Restaurant 165</x:v>
      </x:c>
      <x:c r="E2329" t="str">
        <x:v>Hotel</x:v>
      </x:c>
      <x:c r="F2329" t="str">
        <x:v>Tumakuru</x:v>
      </x:c>
      <x:c r="G2329" t="str">
        <x:v>Kavya</x:v>
      </x:c>
      <x:c r="H2329" t="str">
        <x:v>P010</x:v>
      </x:c>
      <x:c r="I2329" t="str">
        <x:v>Sugar 25kg</x:v>
      </x:c>
      <x:c r="J2329" t="str">
        <x:v>Staples</x:v>
      </x:c>
      <x:c r="K2329" t="str">
        <x:v>Madhur</x:v>
      </x:c>
      <x:c r="L2329" s="22" t="n">
        <x:v>1190</x:v>
      </x:c>
      <x:c r="M2329" t="n">
        <x:v>5</x:v>
      </x:c>
      <x:c r="N2329" s="24" t="n">
        <x:v>0.08</x:v>
      </x:c>
      <x:c r="O2329" s="22" t="n">
        <x:f>L2329*M2329</x:f>
        <x:v>5950</x:v>
      </x:c>
      <x:c r="P2329" s="22" t="n">
        <x:f>O2329*(1-N2329)</x:f>
        <x:v>5474</x:v>
      </x:c>
      <x:c r="Q2329" s="22" t="n">
        <x:v>1080</x:v>
      </x:c>
      <x:c r="R2329" s="22" t="n">
        <x:f>Q2329*M2329</x:f>
        <x:v>5400</x:v>
      </x:c>
      <x:c r="S2329" s="22" t="n">
        <x:f>P2329-R2329</x:f>
        <x:v>74</x:v>
      </x:c>
      <x:c r="T2329" t="str">
        <x:v>UPI</x:v>
      </x:c>
      <x:c r="U2329" t="str">
        <x:v>Paid</x:v>
      </x:c>
      <x:c r="V2329" t="str">
        <x:v>Delivered</x:v>
      </x:c>
      <x:c r="W2329" t="n">
        <x:v>0</x:v>
      </x:c>
      <x:c r="X2329" t="str"/>
      <x:c r="Y2329" t="str">
        <x:v>Referral</x:v>
      </x:c>
    </x:row>
    <x:row r="2330">
      <x:c r="A2330" t="str">
        <x:v>O002329</x:v>
      </x:c>
      <x:c r="B2330" s="20" t="n">
        <x:v>46101</x:v>
      </x:c>
      <x:c r="C2330" t="str">
        <x:v>C0106</x:v>
      </x:c>
      <x:c r="D2330" t="str">
        <x:v>Classic Mart 106</x:v>
      </x:c>
      <x:c r="E2330" t="str">
        <x:v>Restaurant</x:v>
      </x:c>
      <x:c r="F2330" t="str">
        <x:v>Mysuru</x:v>
      </x:c>
      <x:c r="G2330" t="str">
        <x:v>Kavya</x:v>
      </x:c>
      <x:c r="H2330" t="str">
        <x:v>P039</x:v>
      </x:c>
      <x:c r="I2330" t="str">
        <x:v>Ice Cream 4L</x:v>
      </x:c>
      <x:c r="J2330" t="str">
        <x:v>Frozen</x:v>
      </x:c>
      <x:c r="K2330" t="str">
        <x:v>Amul</x:v>
      </x:c>
      <x:c r="L2330" s="22" t="n">
        <x:v>480</x:v>
      </x:c>
      <x:c r="M2330" t="n">
        <x:v>12</x:v>
      </x:c>
      <x:c r="N2330" s="24" t="n">
        <x:v>0.02</x:v>
      </x:c>
      <x:c r="O2330" s="22" t="n">
        <x:f>L2330*M2330</x:f>
        <x:v>5760</x:v>
      </x:c>
      <x:c r="P2330" s="22" t="n">
        <x:f>O2330*(1-N2330)</x:f>
        <x:v>5644.8</x:v>
      </x:c>
      <x:c r="Q2330" s="22" t="n">
        <x:v>420</x:v>
      </x:c>
      <x:c r="R2330" s="22" t="n">
        <x:f>Q2330*M2330</x:f>
        <x:v>5040</x:v>
      </x:c>
      <x:c r="S2330" s="22" t="n">
        <x:f>P2330-R2330</x:f>
        <x:v>604.8000000000002</x:v>
      </x:c>
      <x:c r="T2330" t="str">
        <x:v>Credit</x:v>
      </x:c>
      <x:c r="U2330" t="str">
        <x:v>Paid</x:v>
      </x:c>
      <x:c r="V2330" t="str">
        <x:v>Delivered</x:v>
      </x:c>
      <x:c r="W2330" t="n">
        <x:v>0</x:v>
      </x:c>
      <x:c r="X2330" t="str"/>
      <x:c r="Y2330" t="str">
        <x:v>Field Visit</x:v>
      </x:c>
    </x:row>
    <x:row r="2331">
      <x:c r="A2331" t="str">
        <x:v>O002330</x:v>
      </x:c>
      <x:c r="B2331" s="20" t="n">
        <x:v>45977</x:v>
      </x:c>
      <x:c r="C2331" t="str">
        <x:v>C0168</x:v>
      </x:c>
      <x:c r="D2331" t="str">
        <x:v>Sagar Hotel 168</x:v>
      </x:c>
      <x:c r="E2331" t="str">
        <x:v>Canteen</x:v>
      </x:c>
      <x:c r="F2331" t="str">
        <x:v>Bengaluru</x:v>
      </x:c>
      <x:c r="G2331" t="str">
        <x:v>Priya</x:v>
      </x:c>
      <x:c r="H2331" t="str">
        <x:v>P032</x:v>
      </x:c>
      <x:c r="I2331" t="str">
        <x:v>Soy Sauce 700g</x:v>
      </x:c>
      <x:c r="J2331" t="str">
        <x:v>Condiments</x:v>
      </x:c>
      <x:c r="K2331" t="str">
        <x:v>Ching's</x:v>
      </x:c>
      <x:c r="L2331" s="22" t="n">
        <x:v>118</x:v>
      </x:c>
      <x:c r="M2331" t="n">
        <x:v>5</x:v>
      </x:c>
      <x:c r="N2331" s="24" t="n">
        <x:v>0</x:v>
      </x:c>
      <x:c r="O2331" s="22" t="n">
        <x:f>L2331*M2331</x:f>
        <x:v>590</x:v>
      </x:c>
      <x:c r="P2331" s="22" t="n">
        <x:f>O2331*(1-N2331)</x:f>
        <x:v>590</x:v>
      </x:c>
      <x:c r="Q2331" s="22" t="n">
        <x:v>101</x:v>
      </x:c>
      <x:c r="R2331" s="22" t="n">
        <x:f>Q2331*M2331</x:f>
        <x:v>505</x:v>
      </x:c>
      <x:c r="S2331" s="22" t="n">
        <x:f>P2331-R2331</x:f>
        <x:v>85</x:v>
      </x:c>
      <x:c r="T2331" t="str">
        <x:v>Cash</x:v>
      </x:c>
      <x:c r="U2331" t="str">
        <x:v>Paid</x:v>
      </x:c>
      <x:c r="V2331" t="str">
        <x:v>Cancelled</x:v>
      </x:c>
      <x:c r="W2331" t="n">
        <x:v>5</x:v>
      </x:c>
      <x:c r="X2331" t="str">
        <x:v>Cancelled Order</x:v>
      </x:c>
      <x:c r="Y2331" t="str">
        <x:v>Outbound Call</x:v>
      </x:c>
    </x:row>
    <x:row r="2332">
      <x:c r="A2332" t="str">
        <x:v>O002331</x:v>
      </x:c>
      <x:c r="B2332" s="20" t="n">
        <x:v>46213</x:v>
      </x:c>
      <x:c r="C2332" t="str">
        <x:v>C0120</x:v>
      </x:c>
      <x:c r="D2332" t="str">
        <x:v>Foodie Foods 120</x:v>
      </x:c>
      <x:c r="E2332" t="str">
        <x:v>Hotel</x:v>
      </x:c>
      <x:c r="F2332" t="str">
        <x:v>Hubballi</x:v>
      </x:c>
      <x:c r="G2332" t="str">
        <x:v>Arjun</x:v>
      </x:c>
      <x:c r="H2332" t="str">
        <x:v>P038</x:v>
      </x:c>
      <x:c r="I2332" t="str">
        <x:v>French Fries 2.5kg</x:v>
      </x:c>
      <x:c r="J2332" t="str">
        <x:v>Frozen</x:v>
      </x:c>
      <x:c r="K2332" t="str">
        <x:v>McCain</x:v>
      </x:c>
      <x:c r="L2332" s="22" t="n">
        <x:v>360</x:v>
      </x:c>
      <x:c r="M2332" t="n">
        <x:v>39</x:v>
      </x:c>
      <x:c r="N2332" s="24" t="n">
        <x:v>0.05</x:v>
      </x:c>
      <x:c r="O2332" s="22" t="n">
        <x:f>L2332*M2332</x:f>
        <x:v>14040</x:v>
      </x:c>
      <x:c r="P2332" s="22" t="n">
        <x:f>O2332*(1-N2332)</x:f>
        <x:v>13338</x:v>
      </x:c>
      <x:c r="Q2332" s="22" t="n">
        <x:v>315</x:v>
      </x:c>
      <x:c r="R2332" s="22" t="n">
        <x:f>Q2332*M2332</x:f>
        <x:v>12285</x:v>
      </x:c>
      <x:c r="S2332" s="22" t="n">
        <x:f>P2332-R2332</x:f>
        <x:v>1053</x:v>
      </x:c>
      <x:c r="T2332" t="str">
        <x:v>Cash</x:v>
      </x:c>
      <x:c r="U2332" t="str">
        <x:v>Paid</x:v>
      </x:c>
      <x:c r="V2332" t="str">
        <x:v>Delivered</x:v>
      </x:c>
      <x:c r="W2332" t="n">
        <x:v>0</x:v>
      </x:c>
      <x:c r="X2332" t="str"/>
      <x:c r="Y2332" t="str">
        <x:v>Existing Customer</x:v>
      </x:c>
    </x:row>
    <x:row r="2333">
      <x:c r="A2333" t="str">
        <x:v>O002332</x:v>
      </x:c>
      <x:c r="B2333" s="20" t="n">
        <x:v>45884</x:v>
      </x:c>
      <x:c r="C2333" t="str">
        <x:v>C0146</x:v>
      </x:c>
      <x:c r="D2333" t="str">
        <x:v>Annapurna Hotel 146</x:v>
      </x:c>
      <x:c r="E2333" t="str">
        <x:v>Restaurant</x:v>
      </x:c>
      <x:c r="F2333" t="str">
        <x:v>Davanagere</x:v>
      </x:c>
      <x:c r="G2333" t="str">
        <x:v>Arjun</x:v>
      </x:c>
      <x:c r="H2333" t="str">
        <x:v>P039</x:v>
      </x:c>
      <x:c r="I2333" t="str">
        <x:v>Ice Cream 4L</x:v>
      </x:c>
      <x:c r="J2333" t="str">
        <x:v>Frozen</x:v>
      </x:c>
      <x:c r="K2333" t="str">
        <x:v>Amul</x:v>
      </x:c>
      <x:c r="L2333" s="22" t="n">
        <x:v>480</x:v>
      </x:c>
      <x:c r="M2333" t="n">
        <x:v>4</x:v>
      </x:c>
      <x:c r="N2333" s="24" t="n">
        <x:v>0</x:v>
      </x:c>
      <x:c r="O2333" s="22" t="n">
        <x:f>L2333*M2333</x:f>
        <x:v>1920</x:v>
      </x:c>
      <x:c r="P2333" s="22" t="n">
        <x:f>O2333*(1-N2333)</x:f>
        <x:v>1920</x:v>
      </x:c>
      <x:c r="Q2333" s="22" t="n">
        <x:v>420</x:v>
      </x:c>
      <x:c r="R2333" s="22" t="n">
        <x:f>Q2333*M2333</x:f>
        <x:v>1680</x:v>
      </x:c>
      <x:c r="S2333" s="22" t="n">
        <x:f>P2333-R2333</x:f>
        <x:v>240</x:v>
      </x:c>
      <x:c r="T2333" t="str">
        <x:v>UPI</x:v>
      </x:c>
      <x:c r="U2333" t="str">
        <x:v>Paid</x:v>
      </x:c>
      <x:c r="V2333" t="str">
        <x:v>Cancelled</x:v>
      </x:c>
      <x:c r="W2333" t="n">
        <x:v>4</x:v>
      </x:c>
      <x:c r="X2333" t="str">
        <x:v>Cancelled Order</x:v>
      </x:c>
      <x:c r="Y2333" t="str">
        <x:v>Field Visit</x:v>
      </x:c>
    </x:row>
    <x:row r="2334">
      <x:c r="A2334" t="str">
        <x:v>O002333</x:v>
      </x:c>
      <x:c r="B2334" s="20" t="n">
        <x:v>46069</x:v>
      </x:c>
      <x:c r="C2334" t="str">
        <x:v>C0090</x:v>
      </x:c>
      <x:c r="D2334" t="str">
        <x:v>Shree Mart 90</x:v>
      </x:c>
      <x:c r="E2334" t="str">
        <x:v>Restaurant</x:v>
      </x:c>
      <x:c r="F2334" t="str">
        <x:v>Davanagere</x:v>
      </x:c>
      <x:c r="G2334" t="str">
        <x:v>Megha</x:v>
      </x:c>
      <x:c r="H2334" t="str">
        <x:v>P043</x:v>
      </x:c>
      <x:c r="I2334" t="str">
        <x:v>Chicken Breast 1kg</x:v>
      </x:c>
      <x:c r="J2334" t="str">
        <x:v>Protein</x:v>
      </x:c>
      <x:c r="K2334" t="str">
        <x:v>FreshToHome</x:v>
      </x:c>
      <x:c r="L2334" s="22" t="n">
        <x:v>260</x:v>
      </x:c>
      <x:c r="M2334" t="n">
        <x:v>14</x:v>
      </x:c>
      <x:c r="N2334" s="24" t="n">
        <x:v>0.02</x:v>
      </x:c>
      <x:c r="O2334" s="22" t="n">
        <x:f>L2334*M2334</x:f>
        <x:v>3640</x:v>
      </x:c>
      <x:c r="P2334" s="22" t="n">
        <x:f>O2334*(1-N2334)</x:f>
        <x:v>3567.2</x:v>
      </x:c>
      <x:c r="Q2334" s="22" t="n">
        <x:v>235</x:v>
      </x:c>
      <x:c r="R2334" s="22" t="n">
        <x:f>Q2334*M2334</x:f>
        <x:v>3290</x:v>
      </x:c>
      <x:c r="S2334" s="22" t="n">
        <x:f>P2334-R2334</x:f>
        <x:v>277.1999999999998</x:v>
      </x:c>
      <x:c r="T2334" t="str">
        <x:v>Cash</x:v>
      </x:c>
      <x:c r="U2334" t="str">
        <x:v>Pending</x:v>
      </x:c>
      <x:c r="V2334" t="str">
        <x:v>Delivered</x:v>
      </x:c>
      <x:c r="W2334" t="n">
        <x:v>0</x:v>
      </x:c>
      <x:c r="X2334" t="str"/>
      <x:c r="Y2334" t="str">
        <x:v>Outbound Call</x:v>
      </x:c>
    </x:row>
    <x:row r="2335">
      <x:c r="A2335" t="str">
        <x:v>O002334</x:v>
      </x:c>
      <x:c r="B2335" s="20" t="n">
        <x:v>45794</x:v>
      </x:c>
      <x:c r="C2335" t="str">
        <x:v>C0100</x:v>
      </x:c>
      <x:c r="D2335" t="str">
        <x:v>Fresh Mart 100</x:v>
      </x:c>
      <x:c r="E2335" t="str">
        <x:v>Restaurant</x:v>
      </x:c>
      <x:c r="F2335" t="str">
        <x:v>Mysuru</x:v>
      </x:c>
      <x:c r="G2335" t="str">
        <x:v>Imran</x:v>
      </x:c>
      <x:c r="H2335" t="str">
        <x:v>P026</x:v>
      </x:c>
      <x:c r="I2335" t="str">
        <x:v>Banana Chips 80g</x:v>
      </x:c>
      <x:c r="J2335" t="str">
        <x:v>Snacks</x:v>
      </x:c>
      <x:c r="K2335" t="str">
        <x:v>SSS</x:v>
      </x:c>
      <x:c r="L2335" s="22" t="n">
        <x:v>54</x:v>
      </x:c>
      <x:c r="M2335" t="n">
        <x:v>24</x:v>
      </x:c>
      <x:c r="N2335" s="24" t="n">
        <x:v>0.03</x:v>
      </x:c>
      <x:c r="O2335" s="22" t="n">
        <x:f>L2335*M2335</x:f>
        <x:v>1296</x:v>
      </x:c>
      <x:c r="P2335" s="22" t="n">
        <x:f>O2335*(1-N2335)</x:f>
        <x:v>1257.12</x:v>
      </x:c>
      <x:c r="Q2335" s="22" t="n">
        <x:v>39</x:v>
      </x:c>
      <x:c r="R2335" s="22" t="n">
        <x:f>Q2335*M2335</x:f>
        <x:v>936</x:v>
      </x:c>
      <x:c r="S2335" s="22" t="n">
        <x:f>P2335-R2335</x:f>
        <x:v>321.1199999999999</x:v>
      </x:c>
      <x:c r="T2335" t="str">
        <x:v>UPI</x:v>
      </x:c>
      <x:c r="U2335" t="str">
        <x:v>Paid</x:v>
      </x:c>
      <x:c r="V2335" t="str">
        <x:v>Delivered</x:v>
      </x:c>
      <x:c r="W2335" t="n">
        <x:v>0</x:v>
      </x:c>
      <x:c r="X2335" t="str"/>
      <x:c r="Y2335" t="str">
        <x:v>Outbound Call</x:v>
      </x:c>
    </x:row>
    <x:row r="2336">
      <x:c r="A2336" t="str">
        <x:v>O002335</x:v>
      </x:c>
      <x:c r="B2336" s="20" t="n">
        <x:v>45939</x:v>
      </x:c>
      <x:c r="C2336" t="str">
        <x:v>C0220</x:v>
      </x:c>
      <x:c r="D2336" t="str">
        <x:v>Udupi Canteen 220</x:v>
      </x:c>
      <x:c r="E2336" t="str">
        <x:v>Restaurant</x:v>
      </x:c>
      <x:c r="F2336" t="str">
        <x:v>Bengaluru</x:v>
      </x:c>
      <x:c r="G2336" t="str">
        <x:v>Sneha</x:v>
      </x:c>
      <x:c r="H2336" t="str">
        <x:v>P042</x:v>
      </x:c>
      <x:c r="I2336" t="str">
        <x:v>Eggs 30pc Tray</x:v>
      </x:c>
      <x:c r="J2336" t="str">
        <x:v>Protein</x:v>
      </x:c>
      <x:c r="K2336" t="str">
        <x:v>Farm Fresh</x:v>
      </x:c>
      <x:c r="L2336" s="22" t="n">
        <x:v>195</x:v>
      </x:c>
      <x:c r="M2336" t="n">
        <x:v>8</x:v>
      </x:c>
      <x:c r="N2336" s="24" t="n">
        <x:v>0.05</x:v>
      </x:c>
      <x:c r="O2336" s="22" t="n">
        <x:f>L2336*M2336</x:f>
        <x:v>1560</x:v>
      </x:c>
      <x:c r="P2336" s="22" t="n">
        <x:f>O2336*(1-N2336)</x:f>
        <x:v>1482</x:v>
      </x:c>
      <x:c r="Q2336" s="22" t="n">
        <x:v>170</x:v>
      </x:c>
      <x:c r="R2336" s="22" t="n">
        <x:f>Q2336*M2336</x:f>
        <x:v>1360</x:v>
      </x:c>
      <x:c r="S2336" s="22" t="n">
        <x:f>P2336-R2336</x:f>
        <x:v>122</x:v>
      </x:c>
      <x:c r="T2336" t="str">
        <x:v>UPI</x:v>
      </x:c>
      <x:c r="U2336" t="str">
        <x:v>Overdue</x:v>
      </x:c>
      <x:c r="V2336" t="str">
        <x:v>Delivered</x:v>
      </x:c>
      <x:c r="W2336" t="n">
        <x:v>0</x:v>
      </x:c>
      <x:c r="X2336" t="str"/>
      <x:c r="Y2336" t="str">
        <x:v>WhatsApp</x:v>
      </x:c>
    </x:row>
    <x:row r="2337">
      <x:c r="A2337" t="str">
        <x:v>O002336</x:v>
      </x:c>
      <x:c r="B2337" s="20" t="n">
        <x:v>46182</x:v>
      </x:c>
      <x:c r="C2337" t="str">
        <x:v>C0067</x:v>
      </x:c>
      <x:c r="D2337" t="str">
        <x:v>Royal Restaurant 67</x:v>
      </x:c>
      <x:c r="E2337" t="str">
        <x:v>Supermarket</x:v>
      </x:c>
      <x:c r="F2337" t="str">
        <x:v>Tumakuru</x:v>
      </x:c>
      <x:c r="G2337" t="str">
        <x:v>Sneha</x:v>
      </x:c>
      <x:c r="H2337" t="str">
        <x:v>P003</x:v>
      </x:c>
      <x:c r="I2337" t="str">
        <x:v>Basmati Rice 5kg</x:v>
      </x:c>
      <x:c r="J2337" t="str">
        <x:v>Staples</x:v>
      </x:c>
      <x:c r="K2337" t="str">
        <x:v>India Gate</x:v>
      </x:c>
      <x:c r="L2337" s="22" t="n">
        <x:v>690</x:v>
      </x:c>
      <x:c r="M2337" t="n">
        <x:v>29</x:v>
      </x:c>
      <x:c r="N2337" s="24" t="n">
        <x:v>0.05</x:v>
      </x:c>
      <x:c r="O2337" s="22" t="n">
        <x:f>L2337*M2337</x:f>
        <x:v>20010</x:v>
      </x:c>
      <x:c r="P2337" s="22" t="n">
        <x:f>O2337*(1-N2337)</x:f>
        <x:v>19009.5</x:v>
      </x:c>
      <x:c r="Q2337" s="22" t="n">
        <x:v>610</x:v>
      </x:c>
      <x:c r="R2337" s="22" t="n">
        <x:f>Q2337*M2337</x:f>
        <x:v>17690</x:v>
      </x:c>
      <x:c r="S2337" s="22" t="n">
        <x:f>P2337-R2337</x:f>
        <x:v>1319.5</x:v>
      </x:c>
      <x:c r="T2337" t="str">
        <x:v>UPI</x:v>
      </x:c>
      <x:c r="U2337" t="str">
        <x:v>Pending</x:v>
      </x:c>
      <x:c r="V2337" t="str">
        <x:v>Delivered</x:v>
      </x:c>
      <x:c r="W2337" t="n">
        <x:v>0</x:v>
      </x:c>
      <x:c r="X2337" t="str"/>
      <x:c r="Y2337" t="str">
        <x:v>WhatsApp</x:v>
      </x:c>
    </x:row>
    <x:row r="2338">
      <x:c r="A2338" t="str">
        <x:v>O002337</x:v>
      </x:c>
      <x:c r="B2338" s="20" t="n">
        <x:v>45936</x:v>
      </x:c>
      <x:c r="C2338" t="str">
        <x:v>C0154</x:v>
      </x:c>
      <x:c r="D2338" t="str">
        <x:v>Royal Restaurant 154</x:v>
      </x:c>
      <x:c r="E2338" t="str">
        <x:v>Restaurant</x:v>
      </x:c>
      <x:c r="F2338" t="str">
        <x:v>Tumakuru</x:v>
      </x:c>
      <x:c r="G2338" t="str">
        <x:v>Kavya</x:v>
      </x:c>
      <x:c r="H2338" t="str">
        <x:v>P004</x:v>
      </x:c>
      <x:c r="I2338" t="str">
        <x:v>Toor Dal 5kg</x:v>
      </x:c>
      <x:c r="J2338" t="str">
        <x:v>Pulses</x:v>
      </x:c>
      <x:c r="K2338" t="str">
        <x:v>Tata Sampann</x:v>
      </x:c>
      <x:c r="L2338" s="22" t="n">
        <x:v>780</x:v>
      </x:c>
      <x:c r="M2338" t="n">
        <x:v>7</x:v>
      </x:c>
      <x:c r="N2338" s="24" t="n">
        <x:v>0.03</x:v>
      </x:c>
      <x:c r="O2338" s="22" t="n">
        <x:f>L2338*M2338</x:f>
        <x:v>5460</x:v>
      </x:c>
      <x:c r="P2338" s="22" t="n">
        <x:f>O2338*(1-N2338)</x:f>
        <x:v>5296.2</x:v>
      </x:c>
      <x:c r="Q2338" s="22" t="n">
        <x:v>695</x:v>
      </x:c>
      <x:c r="R2338" s="22" t="n">
        <x:f>Q2338*M2338</x:f>
        <x:v>4865</x:v>
      </x:c>
      <x:c r="S2338" s="22" t="n">
        <x:f>P2338-R2338</x:f>
        <x:v>431.1999999999998</x:v>
      </x:c>
      <x:c r="T2338" t="str">
        <x:v>Bank Transfer</x:v>
      </x:c>
      <x:c r="U2338" t="str">
        <x:v>Paid</x:v>
      </x:c>
      <x:c r="V2338" t="str">
        <x:v>Delivered</x:v>
      </x:c>
      <x:c r="W2338" t="n">
        <x:v>0</x:v>
      </x:c>
      <x:c r="X2338" t="str"/>
      <x:c r="Y2338" t="str">
        <x:v>Existing Customer</x:v>
      </x:c>
    </x:row>
    <x:row r="2339">
      <x:c r="A2339" t="str">
        <x:v>O002338</x:v>
      </x:c>
      <x:c r="B2339" s="20" t="n">
        <x:v>45823</x:v>
      </x:c>
      <x:c r="C2339" t="str">
        <x:v>C0032</x:v>
      </x:c>
      <x:c r="D2339" t="str">
        <x:v>Cafe Hotel 32</x:v>
      </x:c>
      <x:c r="E2339" t="str">
        <x:v>Canteen</x:v>
      </x:c>
      <x:c r="F2339" t="str">
        <x:v>Bengaluru</x:v>
      </x:c>
      <x:c r="G2339" t="str">
        <x:v>Sneha</x:v>
      </x:c>
      <x:c r="H2339" t="str">
        <x:v>P023</x:v>
      </x:c>
      <x:c r="I2339" t="str">
        <x:v>Cola 750ml</x:v>
      </x:c>
      <x:c r="J2339" t="str">
        <x:v>Beverage</x:v>
      </x:c>
      <x:c r="K2339" t="str">
        <x:v>Coca-Cola</x:v>
      </x:c>
      <x:c r="L2339" s="22" t="n">
        <x:v>38</x:v>
      </x:c>
      <x:c r="M2339" t="n">
        <x:v>9</x:v>
      </x:c>
      <x:c r="N2339" s="24" t="n">
        <x:v>0</x:v>
      </x:c>
      <x:c r="O2339" s="22" t="n">
        <x:f>L2339*M2339</x:f>
        <x:v>342</x:v>
      </x:c>
      <x:c r="P2339" s="22" t="n">
        <x:f>O2339*(1-N2339)</x:f>
        <x:v>342</x:v>
      </x:c>
      <x:c r="Q2339" s="22" t="n">
        <x:v>31</x:v>
      </x:c>
      <x:c r="R2339" s="22" t="n">
        <x:f>Q2339*M2339</x:f>
        <x:v>279</x:v>
      </x:c>
      <x:c r="S2339" s="22" t="n">
        <x:f>P2339-R2339</x:f>
        <x:v>63</x:v>
      </x:c>
      <x:c r="T2339" t="str">
        <x:v>Bank Transfer</x:v>
      </x:c>
      <x:c r="U2339" t="str">
        <x:v>Paid</x:v>
      </x:c>
      <x:c r="V2339" t="str">
        <x:v>Delayed</x:v>
      </x:c>
      <x:c r="W2339" t="n">
        <x:v>0</x:v>
      </x:c>
      <x:c r="X2339" t="str"/>
      <x:c r="Y2339" t="str">
        <x:v>Referral</x:v>
      </x:c>
    </x:row>
    <x:row r="2340">
      <x:c r="A2340" t="str">
        <x:v>O002339</x:v>
      </x:c>
      <x:c r="B2340" s="20" t="n">
        <x:v>46140</x:v>
      </x:c>
      <x:c r="C2340" t="str">
        <x:v>C0138</x:v>
      </x:c>
      <x:c r="D2340" t="str">
        <x:v>New Mart 138</x:v>
      </x:c>
      <x:c r="E2340" t="str">
        <x:v>Restaurant</x:v>
      </x:c>
      <x:c r="F2340" t="str">
        <x:v>Bengaluru</x:v>
      </x:c>
      <x:c r="G2340" t="str">
        <x:v>Ramesh</x:v>
      </x:c>
      <x:c r="H2340" t="str">
        <x:v>P018</x:v>
      </x:c>
      <x:c r="I2340" t="str">
        <x:v>Paneer 1kg</x:v>
      </x:c>
      <x:c r="J2340" t="str">
        <x:v>Dairy</x:v>
      </x:c>
      <x:c r="K2340" t="str">
        <x:v>Milky Mist</x:v>
      </x:c>
      <x:c r="L2340" s="22" t="n">
        <x:v>410</x:v>
      </x:c>
      <x:c r="M2340" t="n">
        <x:v>21</x:v>
      </x:c>
      <x:c r="N2340" s="24" t="n">
        <x:v>0.08</x:v>
      </x:c>
      <x:c r="O2340" s="22" t="n">
        <x:f>L2340*M2340</x:f>
        <x:v>8610</x:v>
      </x:c>
      <x:c r="P2340" s="22" t="n">
        <x:f>O2340*(1-N2340)</x:f>
        <x:v>7921.200000000001</x:v>
      </x:c>
      <x:c r="Q2340" s="22" t="n">
        <x:v>370</x:v>
      </x:c>
      <x:c r="R2340" s="22" t="n">
        <x:f>Q2340*M2340</x:f>
        <x:v>7770</x:v>
      </x:c>
      <x:c r="S2340" s="22" t="n">
        <x:f>P2340-R2340</x:f>
        <x:v>151.20000000000073</x:v>
      </x:c>
      <x:c r="T2340" t="str">
        <x:v>Bank Transfer</x:v>
      </x:c>
      <x:c r="U2340" t="str">
        <x:v>Paid</x:v>
      </x:c>
      <x:c r="V2340" t="str">
        <x:v>Delayed</x:v>
      </x:c>
      <x:c r="W2340" t="n">
        <x:v>0</x:v>
      </x:c>
      <x:c r="X2340" t="str"/>
      <x:c r="Y2340" t="str">
        <x:v>Existing Customer</x:v>
      </x:c>
    </x:row>
    <x:row r="2341">
      <x:c r="A2341" t="str">
        <x:v>O002340</x:v>
      </x:c>
      <x:c r="B2341" s="20" t="n">
        <x:v>45937</x:v>
      </x:c>
      <x:c r="C2341" t="str">
        <x:v>C0009</x:v>
      </x:c>
      <x:c r="D2341" t="str">
        <x:v>Darshini Hotel 9</x:v>
      </x:c>
      <x:c r="E2341" t="str">
        <x:v>Cafe</x:v>
      </x:c>
      <x:c r="F2341" t="str">
        <x:v>Hubballi</x:v>
      </x:c>
      <x:c r="G2341" t="str">
        <x:v>Imran</x:v>
      </x:c>
      <x:c r="H2341" t="str">
        <x:v>P001</x:v>
      </x:c>
      <x:c r="I2341" t="str">
        <x:v>Steam Rice 25kg</x:v>
      </x:c>
      <x:c r="J2341" t="str">
        <x:v>Staples</x:v>
      </x:c>
      <x:c r="K2341" t="str">
        <x:v>Aishwarya</x:v>
      </x:c>
      <x:c r="L2341" s="22" t="n">
        <x:v>1180</x:v>
      </x:c>
      <x:c r="M2341" t="n">
        <x:v>1</x:v>
      </x:c>
      <x:c r="N2341" s="24" t="n">
        <x:v>0.05</x:v>
      </x:c>
      <x:c r="O2341" s="22" t="n">
        <x:f>L2341*M2341</x:f>
        <x:v>1180</x:v>
      </x:c>
      <x:c r="P2341" s="22" t="n">
        <x:f>O2341*(1-N2341)</x:f>
        <x:v>1121</x:v>
      </x:c>
      <x:c r="Q2341" s="22" t="n">
        <x:v>1040</x:v>
      </x:c>
      <x:c r="R2341" s="22" t="n">
        <x:f>Q2341*M2341</x:f>
        <x:v>1040</x:v>
      </x:c>
      <x:c r="S2341" s="22" t="n">
        <x:f>P2341-R2341</x:f>
        <x:v>81</x:v>
      </x:c>
      <x:c r="T2341" t="str">
        <x:v>Cash</x:v>
      </x:c>
      <x:c r="U2341" t="str">
        <x:v>Paid</x:v>
      </x:c>
      <x:c r="V2341" t="str">
        <x:v>Delivered</x:v>
      </x:c>
      <x:c r="W2341" t="n">
        <x:v>0</x:v>
      </x:c>
      <x:c r="X2341" t="str"/>
      <x:c r="Y2341" t="str">
        <x:v>Outbound Call</x:v>
      </x:c>
    </x:row>
    <x:row r="2342">
      <x:c r="A2342" t="str">
        <x:v>O002341</x:v>
      </x:c>
      <x:c r="B2342" s="20" t="n">
        <x:v>46013</x:v>
      </x:c>
      <x:c r="C2342" t="str">
        <x:v>C0240</x:v>
      </x:c>
      <x:c r="D2342" t="str">
        <x:v>Green Foods 240</x:v>
      </x:c>
      <x:c r="E2342" t="str">
        <x:v>Restaurant</x:v>
      </x:c>
      <x:c r="F2342" t="str">
        <x:v>Davanagere</x:v>
      </x:c>
      <x:c r="G2342" t="str">
        <x:v>Vikram</x:v>
      </x:c>
      <x:c r="H2342" t="str">
        <x:v>P016</x:v>
      </x:c>
      <x:c r="I2342" t="str">
        <x:v>Curd 1kg</x:v>
      </x:c>
      <x:c r="J2342" t="str">
        <x:v>Dairy</x:v>
      </x:c>
      <x:c r="K2342" t="str">
        <x:v>Nandini</x:v>
      </x:c>
      <x:c r="L2342" s="22" t="n">
        <x:v>72</x:v>
      </x:c>
      <x:c r="M2342" t="n">
        <x:v>2</x:v>
      </x:c>
      <x:c r="N2342" s="24" t="n">
        <x:v>0.05</x:v>
      </x:c>
      <x:c r="O2342" s="22" t="n">
        <x:f>L2342*M2342</x:f>
        <x:v>144</x:v>
      </x:c>
      <x:c r="P2342" s="22" t="n">
        <x:f>O2342*(1-N2342)</x:f>
        <x:v>136.79999999999998</x:v>
      </x:c>
      <x:c r="Q2342" s="22" t="n">
        <x:v>64</x:v>
      </x:c>
      <x:c r="R2342" s="22" t="n">
        <x:f>Q2342*M2342</x:f>
        <x:v>128</x:v>
      </x:c>
      <x:c r="S2342" s="22" t="n">
        <x:f>P2342-R2342</x:f>
        <x:v>8.799999999999983</x:v>
      </x:c>
      <x:c r="T2342" t="str">
        <x:v>Cash</x:v>
      </x:c>
      <x:c r="U2342" t="str">
        <x:v>Paid</x:v>
      </x:c>
      <x:c r="V2342" t="str">
        <x:v>Delivered</x:v>
      </x:c>
      <x:c r="W2342" t="n">
        <x:v>0</x:v>
      </x:c>
      <x:c r="X2342" t="str"/>
      <x:c r="Y2342" t="str">
        <x:v>Referral</x:v>
      </x:c>
    </x:row>
    <x:row r="2343">
      <x:c r="A2343" t="str">
        <x:v>O002342</x:v>
      </x:c>
      <x:c r="B2343" s="20" t="n">
        <x:v>45792</x:v>
      </x:c>
      <x:c r="C2343" t="str">
        <x:v>C0136</x:v>
      </x:c>
      <x:c r="D2343" t="str">
        <x:v>Royal Cafe 136</x:v>
      </x:c>
      <x:c r="E2343" t="str">
        <x:v>Hotel</x:v>
      </x:c>
      <x:c r="F2343" t="str">
        <x:v>Tumakuru</x:v>
      </x:c>
      <x:c r="G2343" t="str">
        <x:v>Kavya</x:v>
      </x:c>
      <x:c r="H2343" t="str">
        <x:v>P038</x:v>
      </x:c>
      <x:c r="I2343" t="str">
        <x:v>French Fries 2.5kg</x:v>
      </x:c>
      <x:c r="J2343" t="str">
        <x:v>Frozen</x:v>
      </x:c>
      <x:c r="K2343" t="str">
        <x:v>McCain</x:v>
      </x:c>
      <x:c r="L2343" s="22" t="n">
        <x:v>360</x:v>
      </x:c>
      <x:c r="M2343" t="n">
        <x:v>1</x:v>
      </x:c>
      <x:c r="N2343" s="24" t="n">
        <x:v>0.05</x:v>
      </x:c>
      <x:c r="O2343" s="22" t="n">
        <x:f>L2343*M2343</x:f>
        <x:v>360</x:v>
      </x:c>
      <x:c r="P2343" s="22" t="n">
        <x:f>O2343*(1-N2343)</x:f>
        <x:v>342</x:v>
      </x:c>
      <x:c r="Q2343" s="22" t="n">
        <x:v>315</x:v>
      </x:c>
      <x:c r="R2343" s="22" t="n">
        <x:f>Q2343*M2343</x:f>
        <x:v>315</x:v>
      </x:c>
      <x:c r="S2343" s="22" t="n">
        <x:f>P2343-R2343</x:f>
        <x:v>27</x:v>
      </x:c>
      <x:c r="T2343" t="str">
        <x:v>Credit</x:v>
      </x:c>
      <x:c r="U2343" t="str">
        <x:v>Paid</x:v>
      </x:c>
      <x:c r="V2343" t="str">
        <x:v>Cancelled</x:v>
      </x:c>
      <x:c r="W2343" t="n">
        <x:v>1</x:v>
      </x:c>
      <x:c r="X2343" t="str">
        <x:v>Cancelled Order</x:v>
      </x:c>
      <x:c r="Y2343" t="str">
        <x:v>Field Visit</x:v>
      </x:c>
    </x:row>
    <x:row r="2344">
      <x:c r="A2344" t="str">
        <x:v>O002343</x:v>
      </x:c>
      <x:c r="B2344" s="20" t="n">
        <x:v>46271</x:v>
      </x:c>
      <x:c r="C2344" t="str">
        <x:v>C0143</x:v>
      </x:c>
      <x:c r="D2344" t="str">
        <x:v>Foodie Restaurant 143</x:v>
      </x:c>
      <x:c r="E2344" t="str">
        <x:v>Restaurant</x:v>
      </x:c>
      <x:c r="F2344" t="str">
        <x:v>Hubballi</x:v>
      </x:c>
      <x:c r="G2344" t="str">
        <x:v>Priya</x:v>
      </x:c>
      <x:c r="H2344" t="str">
        <x:v>P003</x:v>
      </x:c>
      <x:c r="I2344" t="str">
        <x:v>Basmati Rice 5kg</x:v>
      </x:c>
      <x:c r="J2344" t="str">
        <x:v>Staples</x:v>
      </x:c>
      <x:c r="K2344" t="str">
        <x:v>India Gate</x:v>
      </x:c>
      <x:c r="L2344" s="22" t="n">
        <x:v>690</x:v>
      </x:c>
      <x:c r="M2344" t="n">
        <x:v>30</x:v>
      </x:c>
      <x:c r="N2344" s="24" t="n">
        <x:v>0.03</x:v>
      </x:c>
      <x:c r="O2344" s="22" t="n">
        <x:f>L2344*M2344</x:f>
        <x:v>20700</x:v>
      </x:c>
      <x:c r="P2344" s="22" t="n">
        <x:f>O2344*(1-N2344)</x:f>
        <x:v>20079</x:v>
      </x:c>
      <x:c r="Q2344" s="22" t="n">
        <x:v>610</x:v>
      </x:c>
      <x:c r="R2344" s="22" t="n">
        <x:f>Q2344*M2344</x:f>
        <x:v>18300</x:v>
      </x:c>
      <x:c r="S2344" s="22" t="n">
        <x:f>P2344-R2344</x:f>
        <x:v>1779</x:v>
      </x:c>
      <x:c r="T2344" t="str">
        <x:v>UPI</x:v>
      </x:c>
      <x:c r="U2344" t="str">
        <x:v>Paid</x:v>
      </x:c>
      <x:c r="V2344" t="str">
        <x:v>Delayed</x:v>
      </x:c>
      <x:c r="W2344" t="n">
        <x:v>0</x:v>
      </x:c>
      <x:c r="X2344" t="str"/>
      <x:c r="Y2344" t="str">
        <x:v>Outbound Call</x:v>
      </x:c>
    </x:row>
    <x:row r="2345">
      <x:c r="A2345" t="str">
        <x:v>O002344</x:v>
      </x:c>
      <x:c r="B2345" s="20" t="n">
        <x:v>45762</x:v>
      </x:c>
      <x:c r="C2345" t="str">
        <x:v>C0007</x:v>
      </x:c>
      <x:c r="D2345" t="str">
        <x:v>Mysore Stores 7</x:v>
      </x:c>
      <x:c r="E2345" t="str">
        <x:v>Kirana</x:v>
      </x:c>
      <x:c r="F2345" t="str">
        <x:v>Bengaluru</x:v>
      </x:c>
      <x:c r="G2345" t="str">
        <x:v>Kavya</x:v>
      </x:c>
      <x:c r="H2345" t="str">
        <x:v>P020</x:v>
      </x:c>
      <x:c r="I2345" t="str">
        <x:v>Coffee 500g</x:v>
      </x:c>
      <x:c r="J2345" t="str">
        <x:v>Beverage</x:v>
      </x:c>
      <x:c r="K2345" t="str">
        <x:v>Bru</x:v>
      </x:c>
      <x:c r="L2345" s="22" t="n">
        <x:v>390</x:v>
      </x:c>
      <x:c r="M2345" t="n">
        <x:v>40</x:v>
      </x:c>
      <x:c r="N2345" s="24" t="n">
        <x:v>0.02</x:v>
      </x:c>
      <x:c r="O2345" s="22" t="n">
        <x:f>L2345*M2345</x:f>
        <x:v>15600</x:v>
      </x:c>
      <x:c r="P2345" s="22" t="n">
        <x:f>O2345*(1-N2345)</x:f>
        <x:v>15288</x:v>
      </x:c>
      <x:c r="Q2345" s="22" t="n">
        <x:v>350</x:v>
      </x:c>
      <x:c r="R2345" s="22" t="n">
        <x:f>Q2345*M2345</x:f>
        <x:v>14000</x:v>
      </x:c>
      <x:c r="S2345" s="22" t="n">
        <x:f>P2345-R2345</x:f>
        <x:v>1288</x:v>
      </x:c>
      <x:c r="T2345" t="str">
        <x:v>Cash</x:v>
      </x:c>
      <x:c r="U2345" t="str">
        <x:v>Paid</x:v>
      </x:c>
      <x:c r="V2345" t="str">
        <x:v>Delivered</x:v>
      </x:c>
      <x:c r="W2345" t="n">
        <x:v>0</x:v>
      </x:c>
      <x:c r="X2345" t="str"/>
      <x:c r="Y2345" t="str">
        <x:v>Referral</x:v>
      </x:c>
    </x:row>
    <x:row r="2346">
      <x:c r="A2346" t="str">
        <x:v>O002345</x:v>
      </x:c>
      <x:c r="B2346" s="20" t="n">
        <x:v>45755</x:v>
      </x:c>
      <x:c r="C2346" t="str">
        <x:v>C0131</x:v>
      </x:c>
      <x:c r="D2346" t="str">
        <x:v>Foodie Canteen 131</x:v>
      </x:c>
      <x:c r="E2346" t="str">
        <x:v>Canteen</x:v>
      </x:c>
      <x:c r="F2346" t="str">
        <x:v>Davanagere</x:v>
      </x:c>
      <x:c r="G2346" t="str">
        <x:v>Arjun</x:v>
      </x:c>
      <x:c r="H2346" t="str">
        <x:v>P049</x:v>
      </x:c>
      <x:c r="I2346" t="str">
        <x:v>Apple 10kg</x:v>
      </x:c>
      <x:c r="J2346" t="str">
        <x:v>Fresh Produce</x:v>
      </x:c>
      <x:c r="K2346" t="str">
        <x:v>Local Market</x:v>
      </x:c>
      <x:c r="L2346" s="22" t="n">
        <x:v>1450</x:v>
      </x:c>
      <x:c r="M2346" t="n">
        <x:v>5</x:v>
      </x:c>
      <x:c r="N2346" s="24" t="n">
        <x:v>0.03</x:v>
      </x:c>
      <x:c r="O2346" s="22" t="n">
        <x:f>L2346*M2346</x:f>
        <x:v>7250</x:v>
      </x:c>
      <x:c r="P2346" s="22" t="n">
        <x:f>O2346*(1-N2346)</x:f>
        <x:v>7032.5</x:v>
      </x:c>
      <x:c r="Q2346" s="22" t="n">
        <x:v>1280</x:v>
      </x:c>
      <x:c r="R2346" s="22" t="n">
        <x:f>Q2346*M2346</x:f>
        <x:v>6400</x:v>
      </x:c>
      <x:c r="S2346" s="22" t="n">
        <x:f>P2346-R2346</x:f>
        <x:v>632.5</x:v>
      </x:c>
      <x:c r="T2346" t="str">
        <x:v>Credit</x:v>
      </x:c>
      <x:c r="U2346" t="str">
        <x:v>Pending</x:v>
      </x:c>
      <x:c r="V2346" t="str">
        <x:v>Delivered</x:v>
      </x:c>
      <x:c r="W2346" t="n">
        <x:v>0</x:v>
      </x:c>
      <x:c r="X2346" t="str"/>
      <x:c r="Y2346" t="str">
        <x:v>Referral</x:v>
      </x:c>
    </x:row>
    <x:row r="2347">
      <x:c r="A2347" t="str">
        <x:v>O002346</x:v>
      </x:c>
      <x:c r="B2347" s="20" t="n">
        <x:v>46180</x:v>
      </x:c>
      <x:c r="C2347" t="str">
        <x:v>C0045</x:v>
      </x:c>
      <x:c r="D2347" t="str">
        <x:v>Annapurna Restaurant 45</x:v>
      </x:c>
      <x:c r="E2347" t="str">
        <x:v>Kirana</x:v>
      </x:c>
      <x:c r="F2347" t="str">
        <x:v>Mysuru</x:v>
      </x:c>
      <x:c r="G2347" t="str">
        <x:v>Arjun</x:v>
      </x:c>
      <x:c r="H2347" t="str">
        <x:v>P006</x:v>
      </x:c>
      <x:c r="I2347" t="str">
        <x:v>Moong Dal 5kg</x:v>
      </x:c>
      <x:c r="J2347" t="str">
        <x:v>Pulses</x:v>
      </x:c>
      <x:c r="K2347" t="str">
        <x:v>Local Select</x:v>
      </x:c>
      <x:c r="L2347" s="22" t="n">
        <x:v>610</x:v>
      </x:c>
      <x:c r="M2347" t="n">
        <x:v>36</x:v>
      </x:c>
      <x:c r="N2347" s="24" t="n">
        <x:v>0.08</x:v>
      </x:c>
      <x:c r="O2347" s="22" t="n">
        <x:f>L2347*M2347</x:f>
        <x:v>21960</x:v>
      </x:c>
      <x:c r="P2347" s="22" t="n">
        <x:f>O2347*(1-N2347)</x:f>
        <x:v>20203.2</x:v>
      </x:c>
      <x:c r="Q2347" s="22" t="n">
        <x:v>540</x:v>
      </x:c>
      <x:c r="R2347" s="22" t="n">
        <x:f>Q2347*M2347</x:f>
        <x:v>19440</x:v>
      </x:c>
      <x:c r="S2347" s="22" t="n">
        <x:f>P2347-R2347</x:f>
        <x:v>763.2000000000007</x:v>
      </x:c>
      <x:c r="T2347" t="str">
        <x:v>Bank Transfer</x:v>
      </x:c>
      <x:c r="U2347" t="str">
        <x:v>Paid</x:v>
      </x:c>
      <x:c r="V2347" t="str">
        <x:v>Delivered</x:v>
      </x:c>
      <x:c r="W2347" t="n">
        <x:v>0</x:v>
      </x:c>
      <x:c r="X2347" t="str"/>
      <x:c r="Y2347" t="str">
        <x:v>WhatsApp</x:v>
      </x:c>
    </x:row>
    <x:row r="2348">
      <x:c r="A2348" t="str">
        <x:v>O002347</x:v>
      </x:c>
      <x:c r="B2348" s="20" t="n">
        <x:v>45683</x:v>
      </x:c>
      <x:c r="C2348" t="str">
        <x:v>C0144</x:v>
      </x:c>
      <x:c r="D2348" t="str">
        <x:v>Namma Foods 144</x:v>
      </x:c>
      <x:c r="E2348" t="str">
        <x:v>Restaurant</x:v>
      </x:c>
      <x:c r="F2348" t="str">
        <x:v>Tumakuru</x:v>
      </x:c>
      <x:c r="G2348" t="str">
        <x:v>Arjun</x:v>
      </x:c>
      <x:c r="H2348" t="str">
        <x:v>P042</x:v>
      </x:c>
      <x:c r="I2348" t="str">
        <x:v>Eggs 30pc Tray</x:v>
      </x:c>
      <x:c r="J2348" t="str">
        <x:v>Protein</x:v>
      </x:c>
      <x:c r="K2348" t="str">
        <x:v>Farm Fresh</x:v>
      </x:c>
      <x:c r="L2348" s="22" t="n">
        <x:v>195</x:v>
      </x:c>
      <x:c r="M2348" t="n">
        <x:v>15</x:v>
      </x:c>
      <x:c r="N2348" s="24" t="n">
        <x:v>0.03</x:v>
      </x:c>
      <x:c r="O2348" s="22" t="n">
        <x:f>L2348*M2348</x:f>
        <x:v>2925</x:v>
      </x:c>
      <x:c r="P2348" s="22" t="n">
        <x:f>O2348*(1-N2348)</x:f>
        <x:v>2837.25</x:v>
      </x:c>
      <x:c r="Q2348" s="22" t="n">
        <x:v>170</x:v>
      </x:c>
      <x:c r="R2348" s="22" t="n">
        <x:f>Q2348*M2348</x:f>
        <x:v>2550</x:v>
      </x:c>
      <x:c r="S2348" s="22" t="n">
        <x:f>P2348-R2348</x:f>
        <x:v>287.25</x:v>
      </x:c>
      <x:c r="T2348" t="str">
        <x:v>UPI</x:v>
      </x:c>
      <x:c r="U2348" t="str">
        <x:v>Paid</x:v>
      </x:c>
      <x:c r="V2348" t="str">
        <x:v>Delivered</x:v>
      </x:c>
      <x:c r="W2348" t="n">
        <x:v>0</x:v>
      </x:c>
      <x:c r="X2348" t="str"/>
      <x:c r="Y2348" t="str">
        <x:v>Existing Customer</x:v>
      </x:c>
    </x:row>
    <x:row r="2349">
      <x:c r="A2349" t="str">
        <x:v>O002348</x:v>
      </x:c>
      <x:c r="B2349" s="20" t="n">
        <x:v>45914</x:v>
      </x:c>
      <x:c r="C2349" t="str">
        <x:v>C0184</x:v>
      </x:c>
      <x:c r="D2349" t="str">
        <x:v>Namma Restaurant 184</x:v>
      </x:c>
      <x:c r="E2349" t="str">
        <x:v>Cafe</x:v>
      </x:c>
      <x:c r="F2349" t="str">
        <x:v>Hubballi</x:v>
      </x:c>
      <x:c r="G2349" t="str">
        <x:v>Arjun</x:v>
      </x:c>
      <x:c r="H2349" t="str">
        <x:v>P029</x:v>
      </x:c>
      <x:c r="I2349" t="str">
        <x:v>Tomato Ketchup 1kg</x:v>
      </x:c>
      <x:c r="J2349" t="str">
        <x:v>Condiments</x:v>
      </x:c>
      <x:c r="K2349" t="str">
        <x:v>Kissan</x:v>
      </x:c>
      <x:c r="L2349" s="22" t="n">
        <x:v>145</x:v>
      </x:c>
      <x:c r="M2349" t="n">
        <x:v>16</x:v>
      </x:c>
      <x:c r="N2349" s="24" t="n">
        <x:v>0.05</x:v>
      </x:c>
      <x:c r="O2349" s="22" t="n">
        <x:f>L2349*M2349</x:f>
        <x:v>2320</x:v>
      </x:c>
      <x:c r="P2349" s="22" t="n">
        <x:f>O2349*(1-N2349)</x:f>
        <x:v>2204</x:v>
      </x:c>
      <x:c r="Q2349" s="22" t="n">
        <x:v>126</x:v>
      </x:c>
      <x:c r="R2349" s="22" t="n">
        <x:f>Q2349*M2349</x:f>
        <x:v>2016</x:v>
      </x:c>
      <x:c r="S2349" s="22" t="n">
        <x:f>P2349-R2349</x:f>
        <x:v>188</x:v>
      </x:c>
      <x:c r="T2349" t="str">
        <x:v>Credit</x:v>
      </x:c>
      <x:c r="U2349" t="str">
        <x:v>Paid</x:v>
      </x:c>
      <x:c r="V2349" t="str">
        <x:v>Delivered</x:v>
      </x:c>
      <x:c r="W2349" t="n">
        <x:v>0</x:v>
      </x:c>
      <x:c r="X2349" t="str"/>
      <x:c r="Y2349" t="str">
        <x:v>Field Visit</x:v>
      </x:c>
    </x:row>
    <x:row r="2350">
      <x:c r="A2350" t="str">
        <x:v>O002349</x:v>
      </x:c>
      <x:c r="B2350" s="20" t="n">
        <x:v>46162</x:v>
      </x:c>
      <x:c r="C2350" t="str">
        <x:v>C0246</x:v>
      </x:c>
      <x:c r="D2350" t="str">
        <x:v>City Hotel 246</x:v>
      </x:c>
      <x:c r="E2350" t="str">
        <x:v>Supermarket</x:v>
      </x:c>
      <x:c r="F2350" t="str">
        <x:v>Mangaluru</x:v>
      </x:c>
      <x:c r="G2350" t="str">
        <x:v>Kavya</x:v>
      </x:c>
      <x:c r="H2350" t="str">
        <x:v>P023</x:v>
      </x:c>
      <x:c r="I2350" t="str">
        <x:v>Cola 750ml</x:v>
      </x:c>
      <x:c r="J2350" t="str">
        <x:v>Beverage</x:v>
      </x:c>
      <x:c r="K2350" t="str">
        <x:v>Coca-Cola</x:v>
      </x:c>
      <x:c r="L2350" s="22" t="n">
        <x:v>38</x:v>
      </x:c>
      <x:c r="M2350" t="n">
        <x:v>24</x:v>
      </x:c>
      <x:c r="N2350" s="24" t="n">
        <x:v>0.03</x:v>
      </x:c>
      <x:c r="O2350" s="22" t="n">
        <x:f>L2350*M2350</x:f>
        <x:v>912</x:v>
      </x:c>
      <x:c r="P2350" s="22" t="n">
        <x:f>O2350*(1-N2350)</x:f>
        <x:v>884.64</x:v>
      </x:c>
      <x:c r="Q2350" s="22" t="n">
        <x:v>31</x:v>
      </x:c>
      <x:c r="R2350" s="22" t="n">
        <x:f>Q2350*M2350</x:f>
        <x:v>744</x:v>
      </x:c>
      <x:c r="S2350" s="22" t="n">
        <x:f>P2350-R2350</x:f>
        <x:v>140.64</x:v>
      </x:c>
      <x:c r="T2350" t="str">
        <x:v>Cash</x:v>
      </x:c>
      <x:c r="U2350" t="str">
        <x:v>Paid</x:v>
      </x:c>
      <x:c r="V2350" t="str">
        <x:v>Delivered</x:v>
      </x:c>
      <x:c r="W2350" t="n">
        <x:v>0</x:v>
      </x:c>
      <x:c r="X2350" t="str"/>
      <x:c r="Y2350" t="str">
        <x:v>Field Visit</x:v>
      </x:c>
    </x:row>
    <x:row r="2351">
      <x:c r="A2351" t="str">
        <x:v>O002350</x:v>
      </x:c>
      <x:c r="B2351" s="20" t="n">
        <x:v>45658</x:v>
      </x:c>
      <x:c r="C2351" t="str">
        <x:v>C0230</x:v>
      </x:c>
      <x:c r="D2351" t="str">
        <x:v>Darshini Foods 230</x:v>
      </x:c>
      <x:c r="E2351" t="str">
        <x:v>Restaurant</x:v>
      </x:c>
      <x:c r="F2351" t="str">
        <x:v>Davanagere</x:v>
      </x:c>
      <x:c r="G2351" t="str">
        <x:v>Priya</x:v>
      </x:c>
      <x:c r="H2351" t="str">
        <x:v>P048</x:v>
      </x:c>
      <x:c r="I2351" t="str">
        <x:v>Banana 10kg</x:v>
      </x:c>
      <x:c r="J2351" t="str">
        <x:v>Fresh Produce</x:v>
      </x:c>
      <x:c r="K2351" t="str">
        <x:v>Local Market</x:v>
      </x:c>
      <x:c r="L2351" s="22" t="n">
        <x:v>420</x:v>
      </x:c>
      <x:c r="M2351" t="n">
        <x:v>27</x:v>
      </x:c>
      <x:c r="N2351" s="24" t="n">
        <x:v>0.05</x:v>
      </x:c>
      <x:c r="O2351" s="22" t="n">
        <x:f>L2351*M2351</x:f>
        <x:v>11340</x:v>
      </x:c>
      <x:c r="P2351" s="22" t="n">
        <x:f>O2351*(1-N2351)</x:f>
        <x:v>10773</x:v>
      </x:c>
      <x:c r="Q2351" s="22" t="n">
        <x:v>350</x:v>
      </x:c>
      <x:c r="R2351" s="22" t="n">
        <x:f>Q2351*M2351</x:f>
        <x:v>9450</x:v>
      </x:c>
      <x:c r="S2351" s="22" t="n">
        <x:f>P2351-R2351</x:f>
        <x:v>1323</x:v>
      </x:c>
      <x:c r="T2351" t="str">
        <x:v>Credit</x:v>
      </x:c>
      <x:c r="U2351" t="str">
        <x:v>Paid</x:v>
      </x:c>
      <x:c r="V2351" t="str">
        <x:v>Delivered</x:v>
      </x:c>
      <x:c r="W2351" t="n">
        <x:v>0</x:v>
      </x:c>
      <x:c r="X2351" t="str"/>
      <x:c r="Y2351" t="str">
        <x:v>Field Visit</x:v>
      </x:c>
    </x:row>
    <x:row r="2352">
      <x:c r="A2352" t="str">
        <x:v>O002351</x:v>
      </x:c>
      <x:c r="B2352" s="20" t="n">
        <x:v>46214</x:v>
      </x:c>
      <x:c r="C2352" t="str">
        <x:v>C0134</x:v>
      </x:c>
      <x:c r="D2352" t="str">
        <x:v>Annapurna Stores 134</x:v>
      </x:c>
      <x:c r="E2352" t="str">
        <x:v>Cafe</x:v>
      </x:c>
      <x:c r="F2352" t="str">
        <x:v>Bengaluru</x:v>
      </x:c>
      <x:c r="G2352" t="str">
        <x:v>Kavya</x:v>
      </x:c>
      <x:c r="H2352" t="str">
        <x:v>P039</x:v>
      </x:c>
      <x:c r="I2352" t="str">
        <x:v>Ice Cream 4L</x:v>
      </x:c>
      <x:c r="J2352" t="str">
        <x:v>Frozen</x:v>
      </x:c>
      <x:c r="K2352" t="str">
        <x:v>Amul</x:v>
      </x:c>
      <x:c r="L2352" s="22" t="n">
        <x:v>480</x:v>
      </x:c>
      <x:c r="M2352" t="n">
        <x:v>28</x:v>
      </x:c>
      <x:c r="N2352" s="24" t="n">
        <x:v>0</x:v>
      </x:c>
      <x:c r="O2352" s="22" t="n">
        <x:f>L2352*M2352</x:f>
        <x:v>13440</x:v>
      </x:c>
      <x:c r="P2352" s="22" t="n">
        <x:f>O2352*(1-N2352)</x:f>
        <x:v>13440</x:v>
      </x:c>
      <x:c r="Q2352" s="22" t="n">
        <x:v>420</x:v>
      </x:c>
      <x:c r="R2352" s="22" t="n">
        <x:f>Q2352*M2352</x:f>
        <x:v>11760</x:v>
      </x:c>
      <x:c r="S2352" s="22" t="n">
        <x:f>P2352-R2352</x:f>
        <x:v>1680</x:v>
      </x:c>
      <x:c r="T2352" t="str">
        <x:v>UPI</x:v>
      </x:c>
      <x:c r="U2352" t="str">
        <x:v>Pending</x:v>
      </x:c>
      <x:c r="V2352" t="str">
        <x:v>Delivered</x:v>
      </x:c>
      <x:c r="W2352" t="n">
        <x:v>0</x:v>
      </x:c>
      <x:c r="X2352" t="str"/>
      <x:c r="Y2352" t="str">
        <x:v>WhatsApp</x:v>
      </x:c>
    </x:row>
    <x:row r="2353">
      <x:c r="A2353" t="str">
        <x:v>O002352</x:v>
      </x:c>
      <x:c r="B2353" s="20" t="n">
        <x:v>45937</x:v>
      </x:c>
      <x:c r="C2353" t="str">
        <x:v>C0116</x:v>
      </x:c>
      <x:c r="D2353" t="str">
        <x:v>Classic Foods 116</x:v>
      </x:c>
      <x:c r="E2353" t="str">
        <x:v>Supermarket</x:v>
      </x:c>
      <x:c r="F2353" t="str">
        <x:v>Davanagere</x:v>
      </x:c>
      <x:c r="G2353" t="str">
        <x:v>Megha</x:v>
      </x:c>
      <x:c r="H2353" t="str">
        <x:v>P049</x:v>
      </x:c>
      <x:c r="I2353" t="str">
        <x:v>Apple 10kg</x:v>
      </x:c>
      <x:c r="J2353" t="str">
        <x:v>Fresh Produce</x:v>
      </x:c>
      <x:c r="K2353" t="str">
        <x:v>Local Market</x:v>
      </x:c>
      <x:c r="L2353" s="22" t="n">
        <x:v>1450</x:v>
      </x:c>
      <x:c r="M2353" t="n">
        <x:v>8</x:v>
      </x:c>
      <x:c r="N2353" s="24" t="n">
        <x:v>0.08</x:v>
      </x:c>
      <x:c r="O2353" s="22" t="n">
        <x:f>L2353*M2353</x:f>
        <x:v>11600</x:v>
      </x:c>
      <x:c r="P2353" s="22" t="n">
        <x:f>O2353*(1-N2353)</x:f>
        <x:v>10672</x:v>
      </x:c>
      <x:c r="Q2353" s="22" t="n">
        <x:v>1280</x:v>
      </x:c>
      <x:c r="R2353" s="22" t="n">
        <x:f>Q2353*M2353</x:f>
        <x:v>10240</x:v>
      </x:c>
      <x:c r="S2353" s="22" t="n">
        <x:f>P2353-R2353</x:f>
        <x:v>432</x:v>
      </x:c>
      <x:c r="T2353" t="str">
        <x:v>UPI</x:v>
      </x:c>
      <x:c r="U2353" t="str">
        <x:v>Paid</x:v>
      </x:c>
      <x:c r="V2353" t="str">
        <x:v>Delivered</x:v>
      </x:c>
      <x:c r="W2353" t="n">
        <x:v>0</x:v>
      </x:c>
      <x:c r="X2353" t="str"/>
      <x:c r="Y2353" t="str">
        <x:v>Outbound Call</x:v>
      </x:c>
    </x:row>
    <x:row r="2354">
      <x:c r="A2354" t="str">
        <x:v>O002353</x:v>
      </x:c>
      <x:c r="B2354" s="20" t="n">
        <x:v>46231</x:v>
      </x:c>
      <x:c r="C2354" t="str">
        <x:v>C0108</x:v>
      </x:c>
      <x:c r="D2354" t="str">
        <x:v>Spice Mart 108</x:v>
      </x:c>
      <x:c r="E2354" t="str">
        <x:v>Supermarket</x:v>
      </x:c>
      <x:c r="F2354" t="str">
        <x:v>Hubballi</x:v>
      </x:c>
      <x:c r="G2354" t="str">
        <x:v>Kavya</x:v>
      </x:c>
      <x:c r="H2354" t="str">
        <x:v>P043</x:v>
      </x:c>
      <x:c r="I2354" t="str">
        <x:v>Chicken Breast 1kg</x:v>
      </x:c>
      <x:c r="J2354" t="str">
        <x:v>Protein</x:v>
      </x:c>
      <x:c r="K2354" t="str">
        <x:v>FreshToHome</x:v>
      </x:c>
      <x:c r="L2354" s="22" t="n">
        <x:v>260</x:v>
      </x:c>
      <x:c r="M2354" t="n">
        <x:v>5</x:v>
      </x:c>
      <x:c r="N2354" s="24" t="n">
        <x:v>0.02</x:v>
      </x:c>
      <x:c r="O2354" s="22" t="n">
        <x:f>L2354*M2354</x:f>
        <x:v>1300</x:v>
      </x:c>
      <x:c r="P2354" s="22" t="n">
        <x:f>O2354*(1-N2354)</x:f>
        <x:v>1274</x:v>
      </x:c>
      <x:c r="Q2354" s="22" t="n">
        <x:v>235</x:v>
      </x:c>
      <x:c r="R2354" s="22" t="n">
        <x:f>Q2354*M2354</x:f>
        <x:v>1175</x:v>
      </x:c>
      <x:c r="S2354" s="22" t="n">
        <x:f>P2354-R2354</x:f>
        <x:v>99</x:v>
      </x:c>
      <x:c r="T2354" t="str">
        <x:v>UPI</x:v>
      </x:c>
      <x:c r="U2354" t="str">
        <x:v>Paid</x:v>
      </x:c>
      <x:c r="V2354" t="str">
        <x:v>Delivered</x:v>
      </x:c>
      <x:c r="W2354" t="n">
        <x:v>0</x:v>
      </x:c>
      <x:c r="X2354" t="str"/>
      <x:c r="Y2354" t="str">
        <x:v>Existing Customer</x:v>
      </x:c>
    </x:row>
    <x:row r="2355">
      <x:c r="A2355" t="str">
        <x:v>O002354</x:v>
      </x:c>
      <x:c r="B2355" s="20" t="n">
        <x:v>46066</x:v>
      </x:c>
      <x:c r="C2355" t="str">
        <x:v>C0123</x:v>
      </x:c>
      <x:c r="D2355" t="str">
        <x:v>City Foods 123</x:v>
      </x:c>
      <x:c r="E2355" t="str">
        <x:v>Restaurant</x:v>
      </x:c>
      <x:c r="F2355" t="str">
        <x:v>Davanagere</x:v>
      </x:c>
      <x:c r="G2355" t="str">
        <x:v>Sneha</x:v>
      </x:c>
      <x:c r="H2355" t="str">
        <x:v>P047</x:v>
      </x:c>
      <x:c r="I2355" t="str">
        <x:v>Tomato 25kg</x:v>
      </x:c>
      <x:c r="J2355" t="str">
        <x:v>Fresh Produce</x:v>
      </x:c>
      <x:c r="K2355" t="str">
        <x:v>Local Market</x:v>
      </x:c>
      <x:c r="L2355" s="22" t="n">
        <x:v>950</x:v>
      </x:c>
      <x:c r="M2355" t="n">
        <x:v>40</x:v>
      </x:c>
      <x:c r="N2355" s="24" t="n">
        <x:v>0.05</x:v>
      </x:c>
      <x:c r="O2355" s="22" t="n">
        <x:f>L2355*M2355</x:f>
        <x:v>38000</x:v>
      </x:c>
      <x:c r="P2355" s="22" t="n">
        <x:f>O2355*(1-N2355)</x:f>
        <x:v>36100</x:v>
      </x:c>
      <x:c r="Q2355" s="22" t="n">
        <x:v>810</x:v>
      </x:c>
      <x:c r="R2355" s="22" t="n">
        <x:f>Q2355*M2355</x:f>
        <x:v>32400</x:v>
      </x:c>
      <x:c r="S2355" s="22" t="n">
        <x:f>P2355-R2355</x:f>
        <x:v>3700</x:v>
      </x:c>
      <x:c r="T2355" t="str">
        <x:v>Credit</x:v>
      </x:c>
      <x:c r="U2355" t="str">
        <x:v>Paid</x:v>
      </x:c>
      <x:c r="V2355" t="str">
        <x:v>Delivered</x:v>
      </x:c>
      <x:c r="W2355" t="n">
        <x:v>0</x:v>
      </x:c>
      <x:c r="X2355" t="str"/>
      <x:c r="Y2355" t="str">
        <x:v>WhatsApp</x:v>
      </x:c>
    </x:row>
    <x:row r="2356">
      <x:c r="A2356" t="str">
        <x:v>O002355</x:v>
      </x:c>
      <x:c r="B2356" s="20" t="n">
        <x:v>45667</x:v>
      </x:c>
      <x:c r="C2356" t="str">
        <x:v>C0047</x:v>
      </x:c>
      <x:c r="D2356" t="str">
        <x:v>Shree Restaurant 47</x:v>
      </x:c>
      <x:c r="E2356" t="str">
        <x:v>Canteen</x:v>
      </x:c>
      <x:c r="F2356" t="str">
        <x:v>Davanagere</x:v>
      </x:c>
      <x:c r="G2356" t="str">
        <x:v>Arjun</x:v>
      </x:c>
      <x:c r="H2356" t="str">
        <x:v>P021</x:v>
      </x:c>
      <x:c r="I2356" t="str">
        <x:v>Instant Coffee 200g</x:v>
      </x:c>
      <x:c r="J2356" t="str">
        <x:v>Beverage</x:v>
      </x:c>
      <x:c r="K2356" t="str">
        <x:v>Nescafe</x:v>
      </x:c>
      <x:c r="L2356" s="22" t="n">
        <x:v>460</x:v>
      </x:c>
      <x:c r="M2356" t="n">
        <x:v>35</x:v>
      </x:c>
      <x:c r="N2356" s="24" t="n">
        <x:v>0.02</x:v>
      </x:c>
      <x:c r="O2356" s="22" t="n">
        <x:f>L2356*M2356</x:f>
        <x:v>16100</x:v>
      </x:c>
      <x:c r="P2356" s="22" t="n">
        <x:f>O2356*(1-N2356)</x:f>
        <x:v>15778</x:v>
      </x:c>
      <x:c r="Q2356" s="22" t="n">
        <x:v>410</x:v>
      </x:c>
      <x:c r="R2356" s="22" t="n">
        <x:f>Q2356*M2356</x:f>
        <x:v>14350</x:v>
      </x:c>
      <x:c r="S2356" s="22" t="n">
        <x:f>P2356-R2356</x:f>
        <x:v>1428</x:v>
      </x:c>
      <x:c r="T2356" t="str">
        <x:v>Bank Transfer</x:v>
      </x:c>
      <x:c r="U2356" t="str">
        <x:v>Paid</x:v>
      </x:c>
      <x:c r="V2356" t="str">
        <x:v>Delivered</x:v>
      </x:c>
      <x:c r="W2356" t="n">
        <x:v>0</x:v>
      </x:c>
      <x:c r="X2356" t="str"/>
      <x:c r="Y2356" t="str">
        <x:v>Referral</x:v>
      </x:c>
    </x:row>
    <x:row r="2357">
      <x:c r="A2357" t="str">
        <x:v>O002356</x:v>
      </x:c>
      <x:c r="B2357" s="20" t="n">
        <x:v>45690</x:v>
      </x:c>
      <x:c r="C2357" t="str">
        <x:v>C0132</x:v>
      </x:c>
      <x:c r="D2357" t="str">
        <x:v>Classic Stores 132</x:v>
      </x:c>
      <x:c r="E2357" t="str">
        <x:v>Cafe</x:v>
      </x:c>
      <x:c r="F2357" t="str">
        <x:v>Mysuru</x:v>
      </x:c>
      <x:c r="G2357" t="str">
        <x:v>Megha</x:v>
      </x:c>
      <x:c r="H2357" t="str">
        <x:v>P001</x:v>
      </x:c>
      <x:c r="I2357" t="str">
        <x:v>Steam Rice 25kg</x:v>
      </x:c>
      <x:c r="J2357" t="str">
        <x:v>Staples</x:v>
      </x:c>
      <x:c r="K2357" t="str">
        <x:v>Aishwarya</x:v>
      </x:c>
      <x:c r="L2357" s="22" t="n">
        <x:v>1180</x:v>
      </x:c>
      <x:c r="M2357" t="n">
        <x:v>2</x:v>
      </x:c>
      <x:c r="N2357" s="24" t="n">
        <x:v>0.03</x:v>
      </x:c>
      <x:c r="O2357" s="22" t="n">
        <x:f>L2357*M2357</x:f>
        <x:v>2360</x:v>
      </x:c>
      <x:c r="P2357" s="22" t="n">
        <x:f>O2357*(1-N2357)</x:f>
        <x:v>2289.2</x:v>
      </x:c>
      <x:c r="Q2357" s="22" t="n">
        <x:v>1040</x:v>
      </x:c>
      <x:c r="R2357" s="22" t="n">
        <x:f>Q2357*M2357</x:f>
        <x:v>2080</x:v>
      </x:c>
      <x:c r="S2357" s="22" t="n">
        <x:f>P2357-R2357</x:f>
        <x:v>209.19999999999982</x:v>
      </x:c>
      <x:c r="T2357" t="str">
        <x:v>Bank Transfer</x:v>
      </x:c>
      <x:c r="U2357" t="str">
        <x:v>Paid</x:v>
      </x:c>
      <x:c r="V2357" t="str">
        <x:v>Cancelled</x:v>
      </x:c>
      <x:c r="W2357" t="n">
        <x:v>2</x:v>
      </x:c>
      <x:c r="X2357" t="str">
        <x:v>Cancelled Order</x:v>
      </x:c>
      <x:c r="Y2357" t="str">
        <x:v>Field Visit</x:v>
      </x:c>
    </x:row>
    <x:row r="2358">
      <x:c r="A2358" t="str">
        <x:v>O002357</x:v>
      </x:c>
      <x:c r="B2358" s="20" t="n">
        <x:v>46272</x:v>
      </x:c>
      <x:c r="C2358" t="str">
        <x:v>C0242</x:v>
      </x:c>
      <x:c r="D2358" t="str">
        <x:v>Fresh Cafe 242</x:v>
      </x:c>
      <x:c r="E2358" t="str">
        <x:v>Canteen</x:v>
      </x:c>
      <x:c r="F2358" t="str">
        <x:v>Davanagere</x:v>
      </x:c>
      <x:c r="G2358" t="str">
        <x:v>Kavya</x:v>
      </x:c>
      <x:c r="H2358" t="str">
        <x:v>P026</x:v>
      </x:c>
      <x:c r="I2358" t="str">
        <x:v>Banana Chips 80g</x:v>
      </x:c>
      <x:c r="J2358" t="str">
        <x:v>Snacks</x:v>
      </x:c>
      <x:c r="K2358" t="str">
        <x:v>SSS</x:v>
      </x:c>
      <x:c r="L2358" s="22" t="n">
        <x:v>54</x:v>
      </x:c>
      <x:c r="M2358" t="n">
        <x:v>7</x:v>
      </x:c>
      <x:c r="N2358" s="24" t="n">
        <x:v>0.02</x:v>
      </x:c>
      <x:c r="O2358" s="22" t="n">
        <x:f>L2358*M2358</x:f>
        <x:v>378</x:v>
      </x:c>
      <x:c r="P2358" s="22" t="n">
        <x:f>O2358*(1-N2358)</x:f>
        <x:v>370.44</x:v>
      </x:c>
      <x:c r="Q2358" s="22" t="n">
        <x:v>39</x:v>
      </x:c>
      <x:c r="R2358" s="22" t="n">
        <x:f>Q2358*M2358</x:f>
        <x:v>273</x:v>
      </x:c>
      <x:c r="S2358" s="22" t="n">
        <x:f>P2358-R2358</x:f>
        <x:v>97.44</x:v>
      </x:c>
      <x:c r="T2358" t="str">
        <x:v>Cash</x:v>
      </x:c>
      <x:c r="U2358" t="str">
        <x:v>Paid</x:v>
      </x:c>
      <x:c r="V2358" t="str">
        <x:v>Delivered</x:v>
      </x:c>
      <x:c r="W2358" t="n">
        <x:v>0</x:v>
      </x:c>
      <x:c r="X2358" t="str"/>
      <x:c r="Y2358" t="str">
        <x:v>Existing Customer</x:v>
      </x:c>
    </x:row>
    <x:row r="2359">
      <x:c r="A2359" t="str">
        <x:v>O002358</x:v>
      </x:c>
      <x:c r="B2359" s="20" t="n">
        <x:v>46168</x:v>
      </x:c>
      <x:c r="C2359" t="str">
        <x:v>C0099</x:v>
      </x:c>
      <x:c r="D2359" t="str">
        <x:v>Green Cafe 99</x:v>
      </x:c>
      <x:c r="E2359" t="str">
        <x:v>Restaurant</x:v>
      </x:c>
      <x:c r="F2359" t="str">
        <x:v>Hubballi</x:v>
      </x:c>
      <x:c r="G2359" t="str">
        <x:v>Ramesh</x:v>
      </x:c>
      <x:c r="H2359" t="str">
        <x:v>P012</x:v>
      </x:c>
      <x:c r="I2359" t="str">
        <x:v>Maida 10kg</x:v>
      </x:c>
      <x:c r="J2359" t="str">
        <x:v>Flour</x:v>
      </x:c>
      <x:c r="K2359" t="str">
        <x:v>Aashirvaad</x:v>
      </x:c>
      <x:c r="L2359" s="22" t="n">
        <x:v>520</x:v>
      </x:c>
      <x:c r="M2359" t="n">
        <x:v>37</x:v>
      </x:c>
      <x:c r="N2359" s="24" t="n">
        <x:v>0.05</x:v>
      </x:c>
      <x:c r="O2359" s="22" t="n">
        <x:f>L2359*M2359</x:f>
        <x:v>19240</x:v>
      </x:c>
      <x:c r="P2359" s="22" t="n">
        <x:f>O2359*(1-N2359)</x:f>
        <x:v>18278</x:v>
      </x:c>
      <x:c r="Q2359" s="22" t="n">
        <x:v>460</x:v>
      </x:c>
      <x:c r="R2359" s="22" t="n">
        <x:f>Q2359*M2359</x:f>
        <x:v>17020</x:v>
      </x:c>
      <x:c r="S2359" s="22" t="n">
        <x:f>P2359-R2359</x:f>
        <x:v>1258</x:v>
      </x:c>
      <x:c r="T2359" t="str">
        <x:v>UPI</x:v>
      </x:c>
      <x:c r="U2359" t="str">
        <x:v>Paid</x:v>
      </x:c>
      <x:c r="V2359" t="str">
        <x:v>Delivered</x:v>
      </x:c>
      <x:c r="W2359" t="n">
        <x:v>0</x:v>
      </x:c>
      <x:c r="X2359" t="str"/>
      <x:c r="Y2359" t="str">
        <x:v>Outbound Call</x:v>
      </x:c>
    </x:row>
    <x:row r="2360">
      <x:c r="A2360" t="str">
        <x:v>O002359</x:v>
      </x:c>
      <x:c r="B2360" s="20" t="n">
        <x:v>45884</x:v>
      </x:c>
      <x:c r="C2360" t="str">
        <x:v>C0196</x:v>
      </x:c>
      <x:c r="D2360" t="str">
        <x:v>Namma Mart 196</x:v>
      </x:c>
      <x:c r="E2360" t="str">
        <x:v>Cafe</x:v>
      </x:c>
      <x:c r="F2360" t="str">
        <x:v>Mangaluru</x:v>
      </x:c>
      <x:c r="G2360" t="str">
        <x:v>Kavya</x:v>
      </x:c>
      <x:c r="H2360" t="str">
        <x:v>P014</x:v>
      </x:c>
      <x:c r="I2360" t="str">
        <x:v>Rava 5kg</x:v>
      </x:c>
      <x:c r="J2360" t="str">
        <x:v>Flour</x:v>
      </x:c>
      <x:c r="K2360" t="str">
        <x:v>Local Select</x:v>
      </x:c>
      <x:c r="L2360" s="22" t="n">
        <x:v>245</x:v>
      </x:c>
      <x:c r="M2360" t="n">
        <x:v>10</x:v>
      </x:c>
      <x:c r="N2360" s="24" t="n">
        <x:v>0.05</x:v>
      </x:c>
      <x:c r="O2360" s="22" t="n">
        <x:f>L2360*M2360</x:f>
        <x:v>2450</x:v>
      </x:c>
      <x:c r="P2360" s="22" t="n">
        <x:f>O2360*(1-N2360)</x:f>
        <x:v>2327.5</x:v>
      </x:c>
      <x:c r="Q2360" s="22" t="n">
        <x:v>215</x:v>
      </x:c>
      <x:c r="R2360" s="22" t="n">
        <x:f>Q2360*M2360</x:f>
        <x:v>2150</x:v>
      </x:c>
      <x:c r="S2360" s="22" t="n">
        <x:f>P2360-R2360</x:f>
        <x:v>177.5</x:v>
      </x:c>
      <x:c r="T2360" t="str">
        <x:v>Cash</x:v>
      </x:c>
      <x:c r="U2360" t="str">
        <x:v>Paid</x:v>
      </x:c>
      <x:c r="V2360" t="str">
        <x:v>Delivered</x:v>
      </x:c>
      <x:c r="W2360" t="n">
        <x:v>0</x:v>
      </x:c>
      <x:c r="X2360" t="str"/>
      <x:c r="Y2360" t="str">
        <x:v>Referral</x:v>
      </x:c>
    </x:row>
    <x:row r="2361">
      <x:c r="A2361" t="str">
        <x:v>O002360</x:v>
      </x:c>
      <x:c r="B2361" s="20" t="n">
        <x:v>46208</x:v>
      </x:c>
      <x:c r="C2361" t="str">
        <x:v>C0083</x:v>
      </x:c>
      <x:c r="D2361" t="str">
        <x:v>Sri Cafe 83</x:v>
      </x:c>
      <x:c r="E2361" t="str">
        <x:v>Hotel</x:v>
      </x:c>
      <x:c r="F2361" t="str">
        <x:v>Davanagere</x:v>
      </x:c>
      <x:c r="G2361" t="str">
        <x:v>Ramesh</x:v>
      </x:c>
      <x:c r="H2361" t="str">
        <x:v>P041</x:v>
      </x:c>
      <x:c r="I2361" t="str">
        <x:v>Burger Bun 6pc</x:v>
      </x:c>
      <x:c r="J2361" t="str">
        <x:v>Bakery</x:v>
      </x:c>
      <x:c r="K2361" t="str">
        <x:v>Modern</x:v>
      </x:c>
      <x:c r="L2361" s="22" t="n">
        <x:v>42</x:v>
      </x:c>
      <x:c r="M2361" t="n">
        <x:v>9</x:v>
      </x:c>
      <x:c r="N2361" s="24" t="n">
        <x:v>0.03</x:v>
      </x:c>
      <x:c r="O2361" s="22" t="n">
        <x:f>L2361*M2361</x:f>
        <x:v>378</x:v>
      </x:c>
      <x:c r="P2361" s="22" t="n">
        <x:f>O2361*(1-N2361)</x:f>
        <x:v>366.65999999999997</x:v>
      </x:c>
      <x:c r="Q2361" s="22" t="n">
        <x:v>32</x:v>
      </x:c>
      <x:c r="R2361" s="22" t="n">
        <x:f>Q2361*M2361</x:f>
        <x:v>288</x:v>
      </x:c>
      <x:c r="S2361" s="22" t="n">
        <x:f>P2361-R2361</x:f>
        <x:v>78.65999999999997</x:v>
      </x:c>
      <x:c r="T2361" t="str">
        <x:v>Bank Transfer</x:v>
      </x:c>
      <x:c r="U2361" t="str">
        <x:v>Paid</x:v>
      </x:c>
      <x:c r="V2361" t="str">
        <x:v>Delivered</x:v>
      </x:c>
      <x:c r="W2361" t="n">
        <x:v>0</x:v>
      </x:c>
      <x:c r="X2361" t="str"/>
      <x:c r="Y2361" t="str">
        <x:v>Referral</x:v>
      </x:c>
    </x:row>
    <x:row r="2362">
      <x:c r="A2362" t="str">
        <x:v>O002361</x:v>
      </x:c>
      <x:c r="B2362" s="20" t="n">
        <x:v>46272</x:v>
      </x:c>
      <x:c r="C2362" t="str">
        <x:v>C0101</x:v>
      </x:c>
      <x:c r="D2362" t="str">
        <x:v>Namma Cafe 101</x:v>
      </x:c>
      <x:c r="E2362" t="str">
        <x:v>Supermarket</x:v>
      </x:c>
      <x:c r="F2362" t="str">
        <x:v>Bengaluru</x:v>
      </x:c>
      <x:c r="G2362" t="str">
        <x:v>Arjun</x:v>
      </x:c>
      <x:c r="H2362" t="str">
        <x:v>P012</x:v>
      </x:c>
      <x:c r="I2362" t="str">
        <x:v>Maida 10kg</x:v>
      </x:c>
      <x:c r="J2362" t="str">
        <x:v>Flour</x:v>
      </x:c>
      <x:c r="K2362" t="str">
        <x:v>Aashirvaad</x:v>
      </x:c>
      <x:c r="L2362" s="22" t="n">
        <x:v>520</x:v>
      </x:c>
      <x:c r="M2362" t="n">
        <x:v>6</x:v>
      </x:c>
      <x:c r="N2362" s="24" t="n">
        <x:v>0.03</x:v>
      </x:c>
      <x:c r="O2362" s="22" t="n">
        <x:f>L2362*M2362</x:f>
        <x:v>3120</x:v>
      </x:c>
      <x:c r="P2362" s="22" t="n">
        <x:f>O2362*(1-N2362)</x:f>
        <x:v>3026.4</x:v>
      </x:c>
      <x:c r="Q2362" s="22" t="n">
        <x:v>460</x:v>
      </x:c>
      <x:c r="R2362" s="22" t="n">
        <x:f>Q2362*M2362</x:f>
        <x:v>2760</x:v>
      </x:c>
      <x:c r="S2362" s="22" t="n">
        <x:f>P2362-R2362</x:f>
        <x:v>266.4000000000001</x:v>
      </x:c>
      <x:c r="T2362" t="str">
        <x:v>UPI</x:v>
      </x:c>
      <x:c r="U2362" t="str">
        <x:v>Paid</x:v>
      </x:c>
      <x:c r="V2362" t="str">
        <x:v>Delivered</x:v>
      </x:c>
      <x:c r="W2362" t="n">
        <x:v>0</x:v>
      </x:c>
      <x:c r="X2362" t="str"/>
      <x:c r="Y2362" t="str">
        <x:v>Referral</x:v>
      </x:c>
    </x:row>
    <x:row r="2363">
      <x:c r="A2363" t="str">
        <x:v>O002362</x:v>
      </x:c>
      <x:c r="B2363" s="20" t="n">
        <x:v>46133</x:v>
      </x:c>
      <x:c r="C2363" t="str">
        <x:v>C0023</x:v>
      </x:c>
      <x:c r="D2363" t="str">
        <x:v>Mysore Canteen 23</x:v>
      </x:c>
      <x:c r="E2363" t="str">
        <x:v>Cafe</x:v>
      </x:c>
      <x:c r="F2363" t="str">
        <x:v>Hubballi</x:v>
      </x:c>
      <x:c r="G2363" t="str">
        <x:v>Sneha</x:v>
      </x:c>
      <x:c r="H2363" t="str">
        <x:v>P027</x:v>
      </x:c>
      <x:c r="I2363" t="str">
        <x:v>Biscuits 120g</x:v>
      </x:c>
      <x:c r="J2363" t="str">
        <x:v>Snacks</x:v>
      </x:c>
      <x:c r="K2363" t="str">
        <x:v>Parle-G</x:v>
      </x:c>
      <x:c r="L2363" s="22" t="n">
        <x:v>12</x:v>
      </x:c>
      <x:c r="M2363" t="n">
        <x:v>35</x:v>
      </x:c>
      <x:c r="N2363" s="24" t="n">
        <x:v>0.08</x:v>
      </x:c>
      <x:c r="O2363" s="22" t="n">
        <x:f>L2363*M2363</x:f>
        <x:v>420</x:v>
      </x:c>
      <x:c r="P2363" s="22" t="n">
        <x:f>O2363*(1-N2363)</x:f>
        <x:v>386.40000000000003</x:v>
      </x:c>
      <x:c r="Q2363" s="22" t="n">
        <x:v>9</x:v>
      </x:c>
      <x:c r="R2363" s="22" t="n">
        <x:f>Q2363*M2363</x:f>
        <x:v>315</x:v>
      </x:c>
      <x:c r="S2363" s="22" t="n">
        <x:f>P2363-R2363</x:f>
        <x:v>71.40000000000003</x:v>
      </x:c>
      <x:c r="T2363" t="str">
        <x:v>Bank Transfer</x:v>
      </x:c>
      <x:c r="U2363" t="str">
        <x:v>Pending</x:v>
      </x:c>
      <x:c r="V2363" t="str">
        <x:v>Delivered</x:v>
      </x:c>
      <x:c r="W2363" t="n">
        <x:v>0</x:v>
      </x:c>
      <x:c r="X2363" t="str"/>
      <x:c r="Y2363" t="str">
        <x:v>Existing Customer</x:v>
      </x:c>
    </x:row>
    <x:row r="2364">
      <x:c r="A2364" t="str">
        <x:v>O002363</x:v>
      </x:c>
      <x:c r="B2364" s="20" t="n">
        <x:v>46276</x:v>
      </x:c>
      <x:c r="C2364" t="str">
        <x:v>C0104</x:v>
      </x:c>
      <x:c r="D2364" t="str">
        <x:v>Shree Foods 104</x:v>
      </x:c>
      <x:c r="E2364" t="str">
        <x:v>Cafe</x:v>
      </x:c>
      <x:c r="F2364" t="str">
        <x:v>Mangaluru</x:v>
      </x:c>
      <x:c r="G2364" t="str">
        <x:v>Megha</x:v>
      </x:c>
      <x:c r="H2364" t="str">
        <x:v>P025</x:v>
      </x:c>
      <x:c r="I2364" t="str">
        <x:v>Potato Chips 100g</x:v>
      </x:c>
      <x:c r="J2364" t="str">
        <x:v>Snacks</x:v>
      </x:c>
      <x:c r="K2364" t="str">
        <x:v>Lay's</x:v>
      </x:c>
      <x:c r="L2364" s="22" t="n">
        <x:v>35</x:v>
      </x:c>
      <x:c r="M2364" t="n">
        <x:v>14</x:v>
      </x:c>
      <x:c r="N2364" s="24" t="n">
        <x:v>0.03</x:v>
      </x:c>
      <x:c r="O2364" s="22" t="n">
        <x:f>L2364*M2364</x:f>
        <x:v>490</x:v>
      </x:c>
      <x:c r="P2364" s="22" t="n">
        <x:f>O2364*(1-N2364)</x:f>
        <x:v>475.3</x:v>
      </x:c>
      <x:c r="Q2364" s="22" t="n">
        <x:v>27</x:v>
      </x:c>
      <x:c r="R2364" s="22" t="n">
        <x:f>Q2364*M2364</x:f>
        <x:v>378</x:v>
      </x:c>
      <x:c r="S2364" s="22" t="n">
        <x:f>P2364-R2364</x:f>
        <x:v>97.30000000000001</x:v>
      </x:c>
      <x:c r="T2364" t="str">
        <x:v>UPI</x:v>
      </x:c>
      <x:c r="U2364" t="str">
        <x:v>Paid</x:v>
      </x:c>
      <x:c r="V2364" t="str">
        <x:v>Delivered</x:v>
      </x:c>
      <x:c r="W2364" t="n">
        <x:v>0</x:v>
      </x:c>
      <x:c r="X2364" t="str"/>
      <x:c r="Y2364" t="str">
        <x:v>Outbound Call</x:v>
      </x:c>
    </x:row>
    <x:row r="2365">
      <x:c r="A2365" t="str">
        <x:v>O002364</x:v>
      </x:c>
      <x:c r="B2365" s="20" t="n">
        <x:v>46258</x:v>
      </x:c>
      <x:c r="C2365" t="str">
        <x:v>C0032</x:v>
      </x:c>
      <x:c r="D2365" t="str">
        <x:v>Cafe Hotel 32</x:v>
      </x:c>
      <x:c r="E2365" t="str">
        <x:v>Canteen</x:v>
      </x:c>
      <x:c r="F2365" t="str">
        <x:v>Bengaluru</x:v>
      </x:c>
      <x:c r="G2365" t="str">
        <x:v>Sneha</x:v>
      </x:c>
      <x:c r="H2365" t="str">
        <x:v>P015</x:v>
      </x:c>
      <x:c r="I2365" t="str">
        <x:v>Milk 1L</x:v>
      </x:c>
      <x:c r="J2365" t="str">
        <x:v>Dairy</x:v>
      </x:c>
      <x:c r="K2365" t="str">
        <x:v>Nandini</x:v>
      </x:c>
      <x:c r="L2365" s="22" t="n">
        <x:v>48</x:v>
      </x:c>
      <x:c r="M2365" t="n">
        <x:v>11</x:v>
      </x:c>
      <x:c r="N2365" s="24" t="n">
        <x:v>0.03</x:v>
      </x:c>
      <x:c r="O2365" s="22" t="n">
        <x:f>L2365*M2365</x:f>
        <x:v>528</x:v>
      </x:c>
      <x:c r="P2365" s="22" t="n">
        <x:f>O2365*(1-N2365)</x:f>
        <x:v>512.16</x:v>
      </x:c>
      <x:c r="Q2365" s="22" t="n">
        <x:v>43</x:v>
      </x:c>
      <x:c r="R2365" s="22" t="n">
        <x:f>Q2365*M2365</x:f>
        <x:v>473</x:v>
      </x:c>
      <x:c r="S2365" s="22" t="n">
        <x:f>P2365-R2365</x:f>
        <x:v>39.15999999999997</x:v>
      </x:c>
      <x:c r="T2365" t="str">
        <x:v>Cash</x:v>
      </x:c>
      <x:c r="U2365" t="str">
        <x:v>Paid</x:v>
      </x:c>
      <x:c r="V2365" t="str">
        <x:v>Delivered</x:v>
      </x:c>
      <x:c r="W2365" t="n">
        <x:v>2</x:v>
      </x:c>
      <x:c r="X2365" t="str">
        <x:v>Damaged</x:v>
      </x:c>
      <x:c r="Y2365" t="str">
        <x:v>WhatsApp</x:v>
      </x:c>
    </x:row>
    <x:row r="2366">
      <x:c r="A2366" t="str">
        <x:v>O002365</x:v>
      </x:c>
      <x:c r="B2366" s="20" t="n">
        <x:v>45766</x:v>
      </x:c>
      <x:c r="C2366" t="str">
        <x:v>C0150</x:v>
      </x:c>
      <x:c r="D2366" t="str">
        <x:v>Sagar Kitchen 150</x:v>
      </x:c>
      <x:c r="E2366" t="str">
        <x:v>Kirana</x:v>
      </x:c>
      <x:c r="F2366" t="str">
        <x:v>Hubballi</x:v>
      </x:c>
      <x:c r="G2366" t="str">
        <x:v>Ramesh</x:v>
      </x:c>
      <x:c r="H2366" t="str">
        <x:v>P004</x:v>
      </x:c>
      <x:c r="I2366" t="str">
        <x:v>Toor Dal 5kg</x:v>
      </x:c>
      <x:c r="J2366" t="str">
        <x:v>Pulses</x:v>
      </x:c>
      <x:c r="K2366" t="str">
        <x:v>Tata Sampann</x:v>
      </x:c>
      <x:c r="L2366" s="22" t="n">
        <x:v>780</x:v>
      </x:c>
      <x:c r="M2366" t="n">
        <x:v>37</x:v>
      </x:c>
      <x:c r="N2366" s="24" t="n">
        <x:v>0</x:v>
      </x:c>
      <x:c r="O2366" s="22" t="n">
        <x:f>L2366*M2366</x:f>
        <x:v>28860</x:v>
      </x:c>
      <x:c r="P2366" s="22" t="n">
        <x:f>O2366*(1-N2366)</x:f>
        <x:v>28860</x:v>
      </x:c>
      <x:c r="Q2366" s="22" t="n">
        <x:v>695</x:v>
      </x:c>
      <x:c r="R2366" s="22" t="n">
        <x:f>Q2366*M2366</x:f>
        <x:v>25715</x:v>
      </x:c>
      <x:c r="S2366" s="22" t="n">
        <x:f>P2366-R2366</x:f>
        <x:v>3145</x:v>
      </x:c>
      <x:c r="T2366" t="str">
        <x:v>Bank Transfer</x:v>
      </x:c>
      <x:c r="U2366" t="str">
        <x:v>Paid</x:v>
      </x:c>
      <x:c r="V2366" t="str">
        <x:v>Delayed</x:v>
      </x:c>
      <x:c r="W2366" t="n">
        <x:v>0</x:v>
      </x:c>
      <x:c r="X2366" t="str"/>
      <x:c r="Y2366" t="str">
        <x:v>Referral</x:v>
      </x:c>
    </x:row>
    <x:row r="2367">
      <x:c r="A2367" t="str">
        <x:v>O002366</x:v>
      </x:c>
      <x:c r="B2367" s="20" t="n">
        <x:v>46276</x:v>
      </x:c>
      <x:c r="C2367" t="str">
        <x:v>C0125</x:v>
      </x:c>
      <x:c r="D2367" t="str">
        <x:v>Spice Restaurant 125</x:v>
      </x:c>
      <x:c r="E2367" t="str">
        <x:v>Kirana</x:v>
      </x:c>
      <x:c r="F2367" t="str">
        <x:v>Tumakuru</x:v>
      </x:c>
      <x:c r="G2367" t="str">
        <x:v>Ramesh</x:v>
      </x:c>
      <x:c r="H2367" t="str">
        <x:v>P006</x:v>
      </x:c>
      <x:c r="I2367" t="str">
        <x:v>Moong Dal 5kg</x:v>
      </x:c>
      <x:c r="J2367" t="str">
        <x:v>Pulses</x:v>
      </x:c>
      <x:c r="K2367" t="str">
        <x:v>Local Select</x:v>
      </x:c>
      <x:c r="L2367" s="22" t="n">
        <x:v>610</x:v>
      </x:c>
      <x:c r="M2367" t="n">
        <x:v>4</x:v>
      </x:c>
      <x:c r="N2367" s="24" t="n">
        <x:v>0</x:v>
      </x:c>
      <x:c r="O2367" s="22" t="n">
        <x:f>L2367*M2367</x:f>
        <x:v>2440</x:v>
      </x:c>
      <x:c r="P2367" s="22" t="n">
        <x:f>O2367*(1-N2367)</x:f>
        <x:v>2440</x:v>
      </x:c>
      <x:c r="Q2367" s="22" t="n">
        <x:v>540</x:v>
      </x:c>
      <x:c r="R2367" s="22" t="n">
        <x:f>Q2367*M2367</x:f>
        <x:v>2160</x:v>
      </x:c>
      <x:c r="S2367" s="22" t="n">
        <x:f>P2367-R2367</x:f>
        <x:v>280</x:v>
      </x:c>
      <x:c r="T2367" t="str">
        <x:v>UPI</x:v>
      </x:c>
      <x:c r="U2367" t="str">
        <x:v>Paid</x:v>
      </x:c>
      <x:c r="V2367" t="str">
        <x:v>Delayed</x:v>
      </x:c>
      <x:c r="W2367" t="n">
        <x:v>0</x:v>
      </x:c>
      <x:c r="X2367" t="str"/>
      <x:c r="Y2367" t="str">
        <x:v>Field Visit</x:v>
      </x:c>
    </x:row>
    <x:row r="2368">
      <x:c r="A2368" t="str">
        <x:v>O002367</x:v>
      </x:c>
      <x:c r="B2368" s="20" t="n">
        <x:v>45846</x:v>
      </x:c>
      <x:c r="C2368" t="str">
        <x:v>C0097</x:v>
      </x:c>
      <x:c r="D2368" t="str">
        <x:v>Classic Stores 97</x:v>
      </x:c>
      <x:c r="E2368" t="str">
        <x:v>Restaurant</x:v>
      </x:c>
      <x:c r="F2368" t="str">
        <x:v>Davanagere</x:v>
      </x:c>
      <x:c r="G2368" t="str">
        <x:v>Priya</x:v>
      </x:c>
      <x:c r="H2368" t="str">
        <x:v>P010</x:v>
      </x:c>
      <x:c r="I2368" t="str">
        <x:v>Sugar 25kg</x:v>
      </x:c>
      <x:c r="J2368" t="str">
        <x:v>Staples</x:v>
      </x:c>
      <x:c r="K2368" t="str">
        <x:v>Madhur</x:v>
      </x:c>
      <x:c r="L2368" s="22" t="n">
        <x:v>1190</x:v>
      </x:c>
      <x:c r="M2368" t="n">
        <x:v>7</x:v>
      </x:c>
      <x:c r="N2368" s="24" t="n">
        <x:v>0.05</x:v>
      </x:c>
      <x:c r="O2368" s="22" t="n">
        <x:f>L2368*M2368</x:f>
        <x:v>8330</x:v>
      </x:c>
      <x:c r="P2368" s="22" t="n">
        <x:f>O2368*(1-N2368)</x:f>
        <x:v>7913.5</x:v>
      </x:c>
      <x:c r="Q2368" s="22" t="n">
        <x:v>1080</x:v>
      </x:c>
      <x:c r="R2368" s="22" t="n">
        <x:f>Q2368*M2368</x:f>
        <x:v>7560</x:v>
      </x:c>
      <x:c r="S2368" s="22" t="n">
        <x:f>P2368-R2368</x:f>
        <x:v>353.5</x:v>
      </x:c>
      <x:c r="T2368" t="str">
        <x:v>Cash</x:v>
      </x:c>
      <x:c r="U2368" t="str">
        <x:v>Paid</x:v>
      </x:c>
      <x:c r="V2368" t="str">
        <x:v>Delivered</x:v>
      </x:c>
      <x:c r="W2368" t="n">
        <x:v>0</x:v>
      </x:c>
      <x:c r="X2368" t="str"/>
      <x:c r="Y2368" t="str">
        <x:v>Field Visit</x:v>
      </x:c>
    </x:row>
    <x:row r="2369">
      <x:c r="A2369" t="str">
        <x:v>O002368</x:v>
      </x:c>
      <x:c r="B2369" s="20" t="n">
        <x:v>45660</x:v>
      </x:c>
      <x:c r="C2369" t="str">
        <x:v>C0154</x:v>
      </x:c>
      <x:c r="D2369" t="str">
        <x:v>Royal Restaurant 154</x:v>
      </x:c>
      <x:c r="E2369" t="str">
        <x:v>Restaurant</x:v>
      </x:c>
      <x:c r="F2369" t="str">
        <x:v>Tumakuru</x:v>
      </x:c>
      <x:c r="G2369" t="str">
        <x:v>Kavya</x:v>
      </x:c>
      <x:c r="H2369" t="str">
        <x:v>P020</x:v>
      </x:c>
      <x:c r="I2369" t="str">
        <x:v>Coffee 500g</x:v>
      </x:c>
      <x:c r="J2369" t="str">
        <x:v>Beverage</x:v>
      </x:c>
      <x:c r="K2369" t="str">
        <x:v>Bru</x:v>
      </x:c>
      <x:c r="L2369" s="22" t="n">
        <x:v>390</x:v>
      </x:c>
      <x:c r="M2369" t="n">
        <x:v>29</x:v>
      </x:c>
      <x:c r="N2369" s="24" t="n">
        <x:v>0.03</x:v>
      </x:c>
      <x:c r="O2369" s="22" t="n">
        <x:f>L2369*M2369</x:f>
        <x:v>11310</x:v>
      </x:c>
      <x:c r="P2369" s="22" t="n">
        <x:f>O2369*(1-N2369)</x:f>
        <x:v>10970.699999999999</x:v>
      </x:c>
      <x:c r="Q2369" s="22" t="n">
        <x:v>350</x:v>
      </x:c>
      <x:c r="R2369" s="22" t="n">
        <x:f>Q2369*M2369</x:f>
        <x:v>10150</x:v>
      </x:c>
      <x:c r="S2369" s="22" t="n">
        <x:f>P2369-R2369</x:f>
        <x:v>820.6999999999989</x:v>
      </x:c>
      <x:c r="T2369" t="str">
        <x:v>Bank Transfer</x:v>
      </x:c>
      <x:c r="U2369" t="str">
        <x:v>Paid</x:v>
      </x:c>
      <x:c r="V2369" t="str">
        <x:v>Delivered</x:v>
      </x:c>
      <x:c r="W2369" t="n">
        <x:v>0</x:v>
      </x:c>
      <x:c r="X2369" t="str"/>
      <x:c r="Y2369" t="str">
        <x:v>Field Visit</x:v>
      </x:c>
    </x:row>
    <x:row r="2370">
      <x:c r="A2370" t="str">
        <x:v>O002369</x:v>
      </x:c>
      <x:c r="B2370" s="20" t="n">
        <x:v>45897</x:v>
      </x:c>
      <x:c r="C2370" t="str">
        <x:v>C0056</x:v>
      </x:c>
      <x:c r="D2370" t="str">
        <x:v>City Stores 56</x:v>
      </x:c>
      <x:c r="E2370" t="str">
        <x:v>Canteen</x:v>
      </x:c>
      <x:c r="F2370" t="str">
        <x:v>Davanagere</x:v>
      </x:c>
      <x:c r="G2370" t="str">
        <x:v>Imran</x:v>
      </x:c>
      <x:c r="H2370" t="str">
        <x:v>P009</x:v>
      </x:c>
      <x:c r="I2370" t="str">
        <x:v>Groundnut Oil 5L</x:v>
      </x:c>
      <x:c r="J2370" t="str">
        <x:v>Edible Oil</x:v>
      </x:c>
      <x:c r="K2370" t="str">
        <x:v>Dhara</x:v>
      </x:c>
      <x:c r="L2370" s="22" t="n">
        <x:v>890</x:v>
      </x:c>
      <x:c r="M2370" t="n">
        <x:v>6</x:v>
      </x:c>
      <x:c r="N2370" s="24" t="n">
        <x:v>0.1</x:v>
      </x:c>
      <x:c r="O2370" s="22" t="n">
        <x:f>L2370*M2370</x:f>
        <x:v>5340</x:v>
      </x:c>
      <x:c r="P2370" s="22" t="n">
        <x:f>O2370*(1-N2370)</x:f>
        <x:v>4806</x:v>
      </x:c>
      <x:c r="Q2370" s="22" t="n">
        <x:v>810</x:v>
      </x:c>
      <x:c r="R2370" s="22" t="n">
        <x:f>Q2370*M2370</x:f>
        <x:v>4860</x:v>
      </x:c>
      <x:c r="S2370" s="22" t="n">
        <x:f>P2370-R2370</x:f>
        <x:v>-54</x:v>
      </x:c>
      <x:c r="T2370" t="str">
        <x:v>Credit</x:v>
      </x:c>
      <x:c r="U2370" t="str">
        <x:v>Paid</x:v>
      </x:c>
      <x:c r="V2370" t="str">
        <x:v>Delayed</x:v>
      </x:c>
      <x:c r="W2370" t="n">
        <x:v>0</x:v>
      </x:c>
      <x:c r="X2370" t="str"/>
      <x:c r="Y2370" t="str">
        <x:v>Outbound Call</x:v>
      </x:c>
    </x:row>
    <x:row r="2371">
      <x:c r="A2371" t="str">
        <x:v>O002370</x:v>
      </x:c>
      <x:c r="B2371" s="20" t="n">
        <x:v>46109</x:v>
      </x:c>
      <x:c r="C2371" t="str">
        <x:v>C0097</x:v>
      </x:c>
      <x:c r="D2371" t="str">
        <x:v>Classic Stores 97</x:v>
      </x:c>
      <x:c r="E2371" t="str">
        <x:v>Restaurant</x:v>
      </x:c>
      <x:c r="F2371" t="str">
        <x:v>Davanagere</x:v>
      </x:c>
      <x:c r="G2371" t="str">
        <x:v>Priya</x:v>
      </x:c>
      <x:c r="H2371" t="str">
        <x:v>P019</x:v>
      </x:c>
      <x:c r="I2371" t="str">
        <x:v>Tea 1kg</x:v>
      </x:c>
      <x:c r="J2371" t="str">
        <x:v>Beverage</x:v>
      </x:c>
      <x:c r="K2371" t="str">
        <x:v>Red Label</x:v>
      </x:c>
      <x:c r="L2371" s="22" t="n">
        <x:v>540</x:v>
      </x:c>
      <x:c r="M2371" t="n">
        <x:v>19</x:v>
      </x:c>
      <x:c r="N2371" s="24" t="n">
        <x:v>0.05</x:v>
      </x:c>
      <x:c r="O2371" s="22" t="n">
        <x:f>L2371*M2371</x:f>
        <x:v>10260</x:v>
      </x:c>
      <x:c r="P2371" s="22" t="n">
        <x:f>O2371*(1-N2371)</x:f>
        <x:v>9747</x:v>
      </x:c>
      <x:c r="Q2371" s="22" t="n">
        <x:v>485</x:v>
      </x:c>
      <x:c r="R2371" s="22" t="n">
        <x:f>Q2371*M2371</x:f>
        <x:v>9215</x:v>
      </x:c>
      <x:c r="S2371" s="22" t="n">
        <x:f>P2371-R2371</x:f>
        <x:v>532</x:v>
      </x:c>
      <x:c r="T2371" t="str">
        <x:v>Credit</x:v>
      </x:c>
      <x:c r="U2371" t="str">
        <x:v>Paid</x:v>
      </x:c>
      <x:c r="V2371" t="str">
        <x:v>Cancelled</x:v>
      </x:c>
      <x:c r="W2371" t="n">
        <x:v>19</x:v>
      </x:c>
      <x:c r="X2371" t="str">
        <x:v>Cancelled Order</x:v>
      </x:c>
      <x:c r="Y2371" t="str">
        <x:v>Outbound Call</x:v>
      </x:c>
    </x:row>
    <x:row r="2372">
      <x:c r="A2372" t="str">
        <x:v>O002371</x:v>
      </x:c>
      <x:c r="B2372" s="20" t="n">
        <x:v>46019</x:v>
      </x:c>
      <x:c r="C2372" t="str">
        <x:v>C0242</x:v>
      </x:c>
      <x:c r="D2372" t="str">
        <x:v>Fresh Cafe 242</x:v>
      </x:c>
      <x:c r="E2372" t="str">
        <x:v>Canteen</x:v>
      </x:c>
      <x:c r="F2372" t="str">
        <x:v>Davanagere</x:v>
      </x:c>
      <x:c r="G2372" t="str">
        <x:v>Kavya</x:v>
      </x:c>
      <x:c r="H2372" t="str">
        <x:v>P049</x:v>
      </x:c>
      <x:c r="I2372" t="str">
        <x:v>Apple 10kg</x:v>
      </x:c>
      <x:c r="J2372" t="str">
        <x:v>Fresh Produce</x:v>
      </x:c>
      <x:c r="K2372" t="str">
        <x:v>Local Market</x:v>
      </x:c>
      <x:c r="L2372" s="22" t="n">
        <x:v>1450</x:v>
      </x:c>
      <x:c r="M2372" t="n">
        <x:v>11</x:v>
      </x:c>
      <x:c r="N2372" s="24" t="n">
        <x:v>0.05</x:v>
      </x:c>
      <x:c r="O2372" s="22" t="n">
        <x:f>L2372*M2372</x:f>
        <x:v>15950</x:v>
      </x:c>
      <x:c r="P2372" s="22" t="n">
        <x:f>O2372*(1-N2372)</x:f>
        <x:v>15152.5</x:v>
      </x:c>
      <x:c r="Q2372" s="22" t="n">
        <x:v>1280</x:v>
      </x:c>
      <x:c r="R2372" s="22" t="n">
        <x:f>Q2372*M2372</x:f>
        <x:v>14080</x:v>
      </x:c>
      <x:c r="S2372" s="22" t="n">
        <x:f>P2372-R2372</x:f>
        <x:v>1072.5</x:v>
      </x:c>
      <x:c r="T2372" t="str">
        <x:v>UPI</x:v>
      </x:c>
      <x:c r="U2372" t="str">
        <x:v>Pending</x:v>
      </x:c>
      <x:c r="V2372" t="str">
        <x:v>Cancelled</x:v>
      </x:c>
      <x:c r="W2372" t="n">
        <x:v>11</x:v>
      </x:c>
      <x:c r="X2372" t="str">
        <x:v>Cancelled Order</x:v>
      </x:c>
      <x:c r="Y2372" t="str">
        <x:v>WhatsApp</x:v>
      </x:c>
    </x:row>
    <x:row r="2373">
      <x:c r="A2373" t="str">
        <x:v>O002372</x:v>
      </x:c>
      <x:c r="B2373" s="20" t="n">
        <x:v>46096</x:v>
      </x:c>
      <x:c r="C2373" t="str">
        <x:v>C0110</x:v>
      </x:c>
      <x:c r="D2373" t="str">
        <x:v>Metro Restaurant 110</x:v>
      </x:c>
      <x:c r="E2373" t="str">
        <x:v>Hotel</x:v>
      </x:c>
      <x:c r="F2373" t="str">
        <x:v>Mysuru</x:v>
      </x:c>
      <x:c r="G2373" t="str">
        <x:v>Imran</x:v>
      </x:c>
      <x:c r="H2373" t="str">
        <x:v>P027</x:v>
      </x:c>
      <x:c r="I2373" t="str">
        <x:v>Biscuits 120g</x:v>
      </x:c>
      <x:c r="J2373" t="str">
        <x:v>Snacks</x:v>
      </x:c>
      <x:c r="K2373" t="str">
        <x:v>Parle-G</x:v>
      </x:c>
      <x:c r="L2373" s="22" t="n">
        <x:v>12</x:v>
      </x:c>
      <x:c r="M2373" t="n">
        <x:v>22</x:v>
      </x:c>
      <x:c r="N2373" s="24" t="n">
        <x:v>0</x:v>
      </x:c>
      <x:c r="O2373" s="22" t="n">
        <x:f>L2373*M2373</x:f>
        <x:v>264</x:v>
      </x:c>
      <x:c r="P2373" s="22" t="n">
        <x:f>O2373*(1-N2373)</x:f>
        <x:v>264</x:v>
      </x:c>
      <x:c r="Q2373" s="22" t="n">
        <x:v>9</x:v>
      </x:c>
      <x:c r="R2373" s="22" t="n">
        <x:f>Q2373*M2373</x:f>
        <x:v>198</x:v>
      </x:c>
      <x:c r="S2373" s="22" t="n">
        <x:f>P2373-R2373</x:f>
        <x:v>66</x:v>
      </x:c>
      <x:c r="T2373" t="str">
        <x:v>Bank Transfer</x:v>
      </x:c>
      <x:c r="U2373" t="str">
        <x:v>Paid</x:v>
      </x:c>
      <x:c r="V2373" t="str">
        <x:v>Cancelled</x:v>
      </x:c>
      <x:c r="W2373" t="n">
        <x:v>22</x:v>
      </x:c>
      <x:c r="X2373" t="str">
        <x:v>Cancelled Order</x:v>
      </x:c>
      <x:c r="Y2373" t="str">
        <x:v>WhatsApp</x:v>
      </x:c>
    </x:row>
    <x:row r="2374">
      <x:c r="A2374" t="str">
        <x:v>O002373</x:v>
      </x:c>
      <x:c r="B2374" s="20" t="n">
        <x:v>45821</x:v>
      </x:c>
      <x:c r="C2374" t="str">
        <x:v>C0007</x:v>
      </x:c>
      <x:c r="D2374" t="str">
        <x:v>Mysore Stores 7</x:v>
      </x:c>
      <x:c r="E2374" t="str">
        <x:v>Kirana</x:v>
      </x:c>
      <x:c r="F2374" t="str">
        <x:v>Bengaluru</x:v>
      </x:c>
      <x:c r="G2374" t="str">
        <x:v>Kavya</x:v>
      </x:c>
      <x:c r="H2374" t="str">
        <x:v>P037</x:v>
      </x:c>
      <x:c r="I2374" t="str">
        <x:v>Frozen Peas 1kg</x:v>
      </x:c>
      <x:c r="J2374" t="str">
        <x:v>Frozen</x:v>
      </x:c>
      <x:c r="K2374" t="str">
        <x:v>Safal</x:v>
      </x:c>
      <x:c r="L2374" s="22" t="n">
        <x:v>155</x:v>
      </x:c>
      <x:c r="M2374" t="n">
        <x:v>36</x:v>
      </x:c>
      <x:c r="N2374" s="24" t="n">
        <x:v>0</x:v>
      </x:c>
      <x:c r="O2374" s="22" t="n">
        <x:f>L2374*M2374</x:f>
        <x:v>5580</x:v>
      </x:c>
      <x:c r="P2374" s="22" t="n">
        <x:f>O2374*(1-N2374)</x:f>
        <x:v>5580</x:v>
      </x:c>
      <x:c r="Q2374" s="22" t="n">
        <x:v>138</x:v>
      </x:c>
      <x:c r="R2374" s="22" t="n">
        <x:f>Q2374*M2374</x:f>
        <x:v>4968</x:v>
      </x:c>
      <x:c r="S2374" s="22" t="n">
        <x:f>P2374-R2374</x:f>
        <x:v>612</x:v>
      </x:c>
      <x:c r="T2374" t="str">
        <x:v>Cash</x:v>
      </x:c>
      <x:c r="U2374" t="str">
        <x:v>Paid</x:v>
      </x:c>
      <x:c r="V2374" t="str">
        <x:v>Delivered</x:v>
      </x:c>
      <x:c r="W2374" t="n">
        <x:v>0</x:v>
      </x:c>
      <x:c r="X2374" t="str"/>
      <x:c r="Y2374" t="str">
        <x:v>Outbound Call</x:v>
      </x:c>
    </x:row>
    <x:row r="2375">
      <x:c r="A2375" t="str">
        <x:v>O002374</x:v>
      </x:c>
      <x:c r="B2375" s="20" t="n">
        <x:v>45817</x:v>
      </x:c>
      <x:c r="C2375" t="str">
        <x:v>C0160</x:v>
      </x:c>
      <x:c r="D2375" t="str">
        <x:v>Hotel Foods 160</x:v>
      </x:c>
      <x:c r="E2375" t="str">
        <x:v>Hotel</x:v>
      </x:c>
      <x:c r="F2375" t="str">
        <x:v>Mangaluru</x:v>
      </x:c>
      <x:c r="G2375" t="str">
        <x:v>Sneha</x:v>
      </x:c>
      <x:c r="H2375" t="str">
        <x:v>P004</x:v>
      </x:c>
      <x:c r="I2375" t="str">
        <x:v>Toor Dal 5kg</x:v>
      </x:c>
      <x:c r="J2375" t="str">
        <x:v>Pulses</x:v>
      </x:c>
      <x:c r="K2375" t="str">
        <x:v>Tata Sampann</x:v>
      </x:c>
      <x:c r="L2375" s="22" t="n">
        <x:v>780</x:v>
      </x:c>
      <x:c r="M2375" t="n">
        <x:v>9</x:v>
      </x:c>
      <x:c r="N2375" s="24" t="n">
        <x:v>0</x:v>
      </x:c>
      <x:c r="O2375" s="22" t="n">
        <x:f>L2375*M2375</x:f>
        <x:v>7020</x:v>
      </x:c>
      <x:c r="P2375" s="22" t="n">
        <x:f>O2375*(1-N2375)</x:f>
        <x:v>7020</x:v>
      </x:c>
      <x:c r="Q2375" s="22" t="n">
        <x:v>695</x:v>
      </x:c>
      <x:c r="R2375" s="22" t="n">
        <x:f>Q2375*M2375</x:f>
        <x:v>6255</x:v>
      </x:c>
      <x:c r="S2375" s="22" t="n">
        <x:f>P2375-R2375</x:f>
        <x:v>765</x:v>
      </x:c>
      <x:c r="T2375" t="str">
        <x:v>UPI</x:v>
      </x:c>
      <x:c r="U2375" t="str">
        <x:v>Paid</x:v>
      </x:c>
      <x:c r="V2375" t="str">
        <x:v>Cancelled</x:v>
      </x:c>
      <x:c r="W2375" t="n">
        <x:v>9</x:v>
      </x:c>
      <x:c r="X2375" t="str">
        <x:v>Cancelled Order</x:v>
      </x:c>
      <x:c r="Y2375" t="str">
        <x:v>Existing Customer</x:v>
      </x:c>
    </x:row>
    <x:row r="2376">
      <x:c r="A2376" t="str">
        <x:v>O002375</x:v>
      </x:c>
      <x:c r="B2376" s="20" t="n">
        <x:v>46053</x:v>
      </x:c>
      <x:c r="C2376" t="str">
        <x:v>C0114</x:v>
      </x:c>
      <x:c r="D2376" t="str">
        <x:v>Annapurna Restaurant 114</x:v>
      </x:c>
      <x:c r="E2376" t="str">
        <x:v>Restaurant</x:v>
      </x:c>
      <x:c r="F2376" t="str">
        <x:v>Davanagere</x:v>
      </x:c>
      <x:c r="G2376" t="str">
        <x:v>Arjun</x:v>
      </x:c>
      <x:c r="H2376" t="str">
        <x:v>P002</x:v>
      </x:c>
      <x:c r="I2376" t="str">
        <x:v>Sona Masoori Rice 25kg</x:v>
      </x:c>
      <x:c r="J2376" t="str">
        <x:v>Staples</x:v>
      </x:c>
      <x:c r="K2376" t="str">
        <x:v>Fortune</x:v>
      </x:c>
      <x:c r="L2376" s="22" t="n">
        <x:v>1320</x:v>
      </x:c>
      <x:c r="M2376" t="n">
        <x:v>11</x:v>
      </x:c>
      <x:c r="N2376" s="24" t="n">
        <x:v>0.03</x:v>
      </x:c>
      <x:c r="O2376" s="22" t="n">
        <x:f>L2376*M2376</x:f>
        <x:v>14520</x:v>
      </x:c>
      <x:c r="P2376" s="22" t="n">
        <x:f>O2376*(1-N2376)</x:f>
        <x:v>14084.4</x:v>
      </x:c>
      <x:c r="Q2376" s="22" t="n">
        <x:v>1160</x:v>
      </x:c>
      <x:c r="R2376" s="22" t="n">
        <x:f>Q2376*M2376</x:f>
        <x:v>12760</x:v>
      </x:c>
      <x:c r="S2376" s="22" t="n">
        <x:f>P2376-R2376</x:f>
        <x:v>1324.3999999999996</x:v>
      </x:c>
      <x:c r="T2376" t="str">
        <x:v>Cash</x:v>
      </x:c>
      <x:c r="U2376" t="str">
        <x:v>Paid</x:v>
      </x:c>
      <x:c r="V2376" t="str">
        <x:v>Delivered</x:v>
      </x:c>
      <x:c r="W2376" t="n">
        <x:v>0</x:v>
      </x:c>
      <x:c r="X2376" t="str"/>
      <x:c r="Y2376" t="str">
        <x:v>WhatsApp</x:v>
      </x:c>
    </x:row>
    <x:row r="2377">
      <x:c r="A2377" t="str">
        <x:v>O002376</x:v>
      </x:c>
      <x:c r="B2377" s="20" t="n">
        <x:v>45817</x:v>
      </x:c>
      <x:c r="C2377" t="str">
        <x:v>C0092</x:v>
      </x:c>
      <x:c r="D2377" t="str">
        <x:v>Cafe Restaurant 92</x:v>
      </x:c>
      <x:c r="E2377" t="str">
        <x:v>Canteen</x:v>
      </x:c>
      <x:c r="F2377" t="str">
        <x:v>Hubballi</x:v>
      </x:c>
      <x:c r="G2377" t="str">
        <x:v>Vikram</x:v>
      </x:c>
      <x:c r="H2377" t="str">
        <x:v>P038</x:v>
      </x:c>
      <x:c r="I2377" t="str">
        <x:v>French Fries 2.5kg</x:v>
      </x:c>
      <x:c r="J2377" t="str">
        <x:v>Frozen</x:v>
      </x:c>
      <x:c r="K2377" t="str">
        <x:v>McCain</x:v>
      </x:c>
      <x:c r="L2377" s="22" t="n">
        <x:v>360</x:v>
      </x:c>
      <x:c r="M2377" t="n">
        <x:v>5</x:v>
      </x:c>
      <x:c r="N2377" s="24" t="n">
        <x:v>0.08</x:v>
      </x:c>
      <x:c r="O2377" s="22" t="n">
        <x:f>L2377*M2377</x:f>
        <x:v>1800</x:v>
      </x:c>
      <x:c r="P2377" s="22" t="n">
        <x:f>O2377*(1-N2377)</x:f>
        <x:v>1656</x:v>
      </x:c>
      <x:c r="Q2377" s="22" t="n">
        <x:v>315</x:v>
      </x:c>
      <x:c r="R2377" s="22" t="n">
        <x:f>Q2377*M2377</x:f>
        <x:v>1575</x:v>
      </x:c>
      <x:c r="S2377" s="22" t="n">
        <x:f>P2377-R2377</x:f>
        <x:v>81</x:v>
      </x:c>
      <x:c r="T2377" t="str">
        <x:v>Credit</x:v>
      </x:c>
      <x:c r="U2377" t="str">
        <x:v>Pending</x:v>
      </x:c>
      <x:c r="V2377" t="str">
        <x:v>Delayed</x:v>
      </x:c>
      <x:c r="W2377" t="n">
        <x:v>0</x:v>
      </x:c>
      <x:c r="X2377" t="str"/>
      <x:c r="Y2377" t="str">
        <x:v>Field Visit</x:v>
      </x:c>
    </x:row>
    <x:row r="2378">
      <x:c r="A2378" t="str">
        <x:v>O002377</x:v>
      </x:c>
      <x:c r="B2378" s="20" t="n">
        <x:v>45883</x:v>
      </x:c>
      <x:c r="C2378" t="str">
        <x:v>C0095</x:v>
      </x:c>
      <x:c r="D2378" t="str">
        <x:v>Spice Restaurant 95</x:v>
      </x:c>
      <x:c r="E2378" t="str">
        <x:v>Restaurant</x:v>
      </x:c>
      <x:c r="F2378" t="str">
        <x:v>Bengaluru</x:v>
      </x:c>
      <x:c r="G2378" t="str">
        <x:v>Megha</x:v>
      </x:c>
      <x:c r="H2378" t="str">
        <x:v>P027</x:v>
      </x:c>
      <x:c r="I2378" t="str">
        <x:v>Biscuits 120g</x:v>
      </x:c>
      <x:c r="J2378" t="str">
        <x:v>Snacks</x:v>
      </x:c>
      <x:c r="K2378" t="str">
        <x:v>Parle-G</x:v>
      </x:c>
      <x:c r="L2378" s="22" t="n">
        <x:v>12</x:v>
      </x:c>
      <x:c r="M2378" t="n">
        <x:v>32</x:v>
      </x:c>
      <x:c r="N2378" s="24" t="n">
        <x:v>0</x:v>
      </x:c>
      <x:c r="O2378" s="22" t="n">
        <x:f>L2378*M2378</x:f>
        <x:v>384</x:v>
      </x:c>
      <x:c r="P2378" s="22" t="n">
        <x:f>O2378*(1-N2378)</x:f>
        <x:v>384</x:v>
      </x:c>
      <x:c r="Q2378" s="22" t="n">
        <x:v>9</x:v>
      </x:c>
      <x:c r="R2378" s="22" t="n">
        <x:f>Q2378*M2378</x:f>
        <x:v>288</x:v>
      </x:c>
      <x:c r="S2378" s="22" t="n">
        <x:f>P2378-R2378</x:f>
        <x:v>96</x:v>
      </x:c>
      <x:c r="T2378" t="str">
        <x:v>Cash</x:v>
      </x:c>
      <x:c r="U2378" t="str">
        <x:v>Pending</x:v>
      </x:c>
      <x:c r="V2378" t="str">
        <x:v>Delayed</x:v>
      </x:c>
      <x:c r="W2378" t="n">
        <x:v>0</x:v>
      </x:c>
      <x:c r="X2378" t="str"/>
      <x:c r="Y2378" t="str">
        <x:v>Field Visit</x:v>
      </x:c>
    </x:row>
    <x:row r="2379">
      <x:c r="A2379" t="str">
        <x:v>O002378</x:v>
      </x:c>
      <x:c r="B2379" s="20" t="n">
        <x:v>45908</x:v>
      </x:c>
      <x:c r="C2379" t="str">
        <x:v>C0011</x:v>
      </x:c>
      <x:c r="D2379" t="str">
        <x:v>City Cafe 11</x:v>
      </x:c>
      <x:c r="E2379" t="str">
        <x:v>Restaurant</x:v>
      </x:c>
      <x:c r="F2379" t="str">
        <x:v>Mangaluru</x:v>
      </x:c>
      <x:c r="G2379" t="str">
        <x:v>Arjun</x:v>
      </x:c>
      <x:c r="H2379" t="str">
        <x:v>P002</x:v>
      </x:c>
      <x:c r="I2379" t="str">
        <x:v>Sona Masoori Rice 25kg</x:v>
      </x:c>
      <x:c r="J2379" t="str">
        <x:v>Staples</x:v>
      </x:c>
      <x:c r="K2379" t="str">
        <x:v>Fortune</x:v>
      </x:c>
      <x:c r="L2379" s="22" t="n">
        <x:v>1320</x:v>
      </x:c>
      <x:c r="M2379" t="n">
        <x:v>6</x:v>
      </x:c>
      <x:c r="N2379" s="24" t="n">
        <x:v>0.05</x:v>
      </x:c>
      <x:c r="O2379" s="22" t="n">
        <x:f>L2379*M2379</x:f>
        <x:v>7920</x:v>
      </x:c>
      <x:c r="P2379" s="22" t="n">
        <x:f>O2379*(1-N2379)</x:f>
        <x:v>7524</x:v>
      </x:c>
      <x:c r="Q2379" s="22" t="n">
        <x:v>1160</x:v>
      </x:c>
      <x:c r="R2379" s="22" t="n">
        <x:f>Q2379*M2379</x:f>
        <x:v>6960</x:v>
      </x:c>
      <x:c r="S2379" s="22" t="n">
        <x:f>P2379-R2379</x:f>
        <x:v>564</x:v>
      </x:c>
      <x:c r="T2379" t="str">
        <x:v>Bank Transfer</x:v>
      </x:c>
      <x:c r="U2379" t="str">
        <x:v>Paid</x:v>
      </x:c>
      <x:c r="V2379" t="str">
        <x:v>Delayed</x:v>
      </x:c>
      <x:c r="W2379" t="n">
        <x:v>0</x:v>
      </x:c>
      <x:c r="X2379" t="str"/>
      <x:c r="Y2379" t="str">
        <x:v>Existing Customer</x:v>
      </x:c>
    </x:row>
    <x:row r="2380">
      <x:c r="A2380" t="str">
        <x:v>O002379</x:v>
      </x:c>
      <x:c r="B2380" s="20" t="n">
        <x:v>45732</x:v>
      </x:c>
      <x:c r="C2380" t="str">
        <x:v>C0039</x:v>
      </x:c>
      <x:c r="D2380" t="str">
        <x:v>Sagar Cafe 39</x:v>
      </x:c>
      <x:c r="E2380" t="str">
        <x:v>Restaurant</x:v>
      </x:c>
      <x:c r="F2380" t="str">
        <x:v>Hubballi</x:v>
      </x:c>
      <x:c r="G2380" t="str">
        <x:v>Imran</x:v>
      </x:c>
      <x:c r="H2380" t="str">
        <x:v>P016</x:v>
      </x:c>
      <x:c r="I2380" t="str">
        <x:v>Curd 1kg</x:v>
      </x:c>
      <x:c r="J2380" t="str">
        <x:v>Dairy</x:v>
      </x:c>
      <x:c r="K2380" t="str">
        <x:v>Nandini</x:v>
      </x:c>
      <x:c r="L2380" s="22" t="n">
        <x:v>72</x:v>
      </x:c>
      <x:c r="M2380" t="n">
        <x:v>14</x:v>
      </x:c>
      <x:c r="N2380" s="24" t="n">
        <x:v>0</x:v>
      </x:c>
      <x:c r="O2380" s="22" t="n">
        <x:f>L2380*M2380</x:f>
        <x:v>1008</x:v>
      </x:c>
      <x:c r="P2380" s="22" t="n">
        <x:f>O2380*(1-N2380)</x:f>
        <x:v>1008</x:v>
      </x:c>
      <x:c r="Q2380" s="22" t="n">
        <x:v>64</x:v>
      </x:c>
      <x:c r="R2380" s="22" t="n">
        <x:f>Q2380*M2380</x:f>
        <x:v>896</x:v>
      </x:c>
      <x:c r="S2380" s="22" t="n">
        <x:f>P2380-R2380</x:f>
        <x:v>112</x:v>
      </x:c>
      <x:c r="T2380" t="str">
        <x:v>Credit</x:v>
      </x:c>
      <x:c r="U2380" t="str">
        <x:v>Paid</x:v>
      </x:c>
      <x:c r="V2380" t="str">
        <x:v>Cancelled</x:v>
      </x:c>
      <x:c r="W2380" t="n">
        <x:v>14</x:v>
      </x:c>
      <x:c r="X2380" t="str">
        <x:v>Cancelled Order</x:v>
      </x:c>
      <x:c r="Y2380" t="str">
        <x:v>Existing Customer</x:v>
      </x:c>
    </x:row>
    <x:row r="2381">
      <x:c r="A2381" t="str">
        <x:v>O002380</x:v>
      </x:c>
      <x:c r="B2381" s="20" t="n">
        <x:v>45871</x:v>
      </x:c>
      <x:c r="C2381" t="str">
        <x:v>C0098</x:v>
      </x:c>
      <x:c r="D2381" t="str">
        <x:v>City Stores 98</x:v>
      </x:c>
      <x:c r="E2381" t="str">
        <x:v>Canteen</x:v>
      </x:c>
      <x:c r="F2381" t="str">
        <x:v>Mangaluru</x:v>
      </x:c>
      <x:c r="G2381" t="str">
        <x:v>Imran</x:v>
      </x:c>
      <x:c r="H2381" t="str">
        <x:v>P040</x:v>
      </x:c>
      <x:c r="I2381" t="str">
        <x:v>Bread Loaf 400g</x:v>
      </x:c>
      <x:c r="J2381" t="str">
        <x:v>Bakery</x:v>
      </x:c>
      <x:c r="K2381" t="str">
        <x:v>Britannia</x:v>
      </x:c>
      <x:c r="L2381" s="22" t="n">
        <x:v>45</x:v>
      </x:c>
      <x:c r="M2381" t="n">
        <x:v>9</x:v>
      </x:c>
      <x:c r="N2381" s="24" t="n">
        <x:v>0.1</x:v>
      </x:c>
      <x:c r="O2381" s="22" t="n">
        <x:f>L2381*M2381</x:f>
        <x:v>405</x:v>
      </x:c>
      <x:c r="P2381" s="22" t="n">
        <x:f>O2381*(1-N2381)</x:f>
        <x:v>364.5</x:v>
      </x:c>
      <x:c r="Q2381" s="22" t="n">
        <x:v>35</x:v>
      </x:c>
      <x:c r="R2381" s="22" t="n">
        <x:f>Q2381*M2381</x:f>
        <x:v>315</x:v>
      </x:c>
      <x:c r="S2381" s="22" t="n">
        <x:f>P2381-R2381</x:f>
        <x:v>49.5</x:v>
      </x:c>
      <x:c r="T2381" t="str">
        <x:v>Cash</x:v>
      </x:c>
      <x:c r="U2381" t="str">
        <x:v>Paid</x:v>
      </x:c>
      <x:c r="V2381" t="str">
        <x:v>Cancelled</x:v>
      </x:c>
      <x:c r="W2381" t="n">
        <x:v>9</x:v>
      </x:c>
      <x:c r="X2381" t="str">
        <x:v>Cancelled Order</x:v>
      </x:c>
      <x:c r="Y2381" t="str">
        <x:v>Existing Customer</x:v>
      </x:c>
    </x:row>
    <x:row r="2382">
      <x:c r="A2382" t="str">
        <x:v>O002381</x:v>
      </x:c>
      <x:c r="B2382" s="20" t="n">
        <x:v>46080</x:v>
      </x:c>
      <x:c r="C2382" t="str">
        <x:v>C0175</x:v>
      </x:c>
      <x:c r="D2382" t="str">
        <x:v>Namma Mart 175</x:v>
      </x:c>
      <x:c r="E2382" t="str">
        <x:v>Hotel</x:v>
      </x:c>
      <x:c r="F2382" t="str">
        <x:v>Davanagere</x:v>
      </x:c>
      <x:c r="G2382" t="str">
        <x:v>Sneha</x:v>
      </x:c>
      <x:c r="H2382" t="str">
        <x:v>P032</x:v>
      </x:c>
      <x:c r="I2382" t="str">
        <x:v>Soy Sauce 700g</x:v>
      </x:c>
      <x:c r="J2382" t="str">
        <x:v>Condiments</x:v>
      </x:c>
      <x:c r="K2382" t="str">
        <x:v>Ching's</x:v>
      </x:c>
      <x:c r="L2382" s="22" t="n">
        <x:v>118</x:v>
      </x:c>
      <x:c r="M2382" t="n">
        <x:v>22</x:v>
      </x:c>
      <x:c r="N2382" s="24" t="n">
        <x:v>0.03</x:v>
      </x:c>
      <x:c r="O2382" s="22" t="n">
        <x:f>L2382*M2382</x:f>
        <x:v>2596</x:v>
      </x:c>
      <x:c r="P2382" s="22" t="n">
        <x:f>O2382*(1-N2382)</x:f>
        <x:v>2518.12</x:v>
      </x:c>
      <x:c r="Q2382" s="22" t="n">
        <x:v>101</x:v>
      </x:c>
      <x:c r="R2382" s="22" t="n">
        <x:f>Q2382*M2382</x:f>
        <x:v>2222</x:v>
      </x:c>
      <x:c r="S2382" s="22" t="n">
        <x:f>P2382-R2382</x:f>
        <x:v>296.1199999999999</x:v>
      </x:c>
      <x:c r="T2382" t="str">
        <x:v>Cash</x:v>
      </x:c>
      <x:c r="U2382" t="str">
        <x:v>Pending</x:v>
      </x:c>
      <x:c r="V2382" t="str">
        <x:v>Delayed</x:v>
      </x:c>
      <x:c r="W2382" t="n">
        <x:v>0</x:v>
      </x:c>
      <x:c r="X2382" t="str"/>
      <x:c r="Y2382" t="str">
        <x:v>Referral</x:v>
      </x:c>
    </x:row>
    <x:row r="2383">
      <x:c r="A2383" t="str">
        <x:v>O002382</x:v>
      </x:c>
      <x:c r="B2383" s="20" t="n">
        <x:v>45939</x:v>
      </x:c>
      <x:c r="C2383" t="str">
        <x:v>C0026</x:v>
      </x:c>
      <x:c r="D2383" t="str">
        <x:v>Cafe Kitchen 26</x:v>
      </x:c>
      <x:c r="E2383" t="str">
        <x:v>Kirana</x:v>
      </x:c>
      <x:c r="F2383" t="str">
        <x:v>Davanagere</x:v>
      </x:c>
      <x:c r="G2383" t="str">
        <x:v>Kavya</x:v>
      </x:c>
      <x:c r="H2383" t="str">
        <x:v>P050</x:v>
      </x:c>
      <x:c r="I2383" t="str">
        <x:v>Lemon 5kg</x:v>
      </x:c>
      <x:c r="J2383" t="str">
        <x:v>Fresh Produce</x:v>
      </x:c>
      <x:c r="K2383" t="str">
        <x:v>Local Market</x:v>
      </x:c>
      <x:c r="L2383" s="22" t="n">
        <x:v>360</x:v>
      </x:c>
      <x:c r="M2383" t="n">
        <x:v>2</x:v>
      </x:c>
      <x:c r="N2383" s="24" t="n">
        <x:v>0.05</x:v>
      </x:c>
      <x:c r="O2383" s="22" t="n">
        <x:f>L2383*M2383</x:f>
        <x:v>720</x:v>
      </x:c>
      <x:c r="P2383" s="22" t="n">
        <x:f>O2383*(1-N2383)</x:f>
        <x:v>684</x:v>
      </x:c>
      <x:c r="Q2383" s="22" t="n">
        <x:v>300</x:v>
      </x:c>
      <x:c r="R2383" s="22" t="n">
        <x:f>Q2383*M2383</x:f>
        <x:v>600</x:v>
      </x:c>
      <x:c r="S2383" s="22" t="n">
        <x:f>P2383-R2383</x:f>
        <x:v>84</x:v>
      </x:c>
      <x:c r="T2383" t="str">
        <x:v>Cash</x:v>
      </x:c>
      <x:c r="U2383" t="str">
        <x:v>Paid</x:v>
      </x:c>
      <x:c r="V2383" t="str">
        <x:v>Delivered</x:v>
      </x:c>
      <x:c r="W2383" t="n">
        <x:v>0</x:v>
      </x:c>
      <x:c r="X2383" t="str"/>
      <x:c r="Y2383" t="str">
        <x:v>Referral</x:v>
      </x:c>
    </x:row>
    <x:row r="2384">
      <x:c r="A2384" t="str">
        <x:v>O002383</x:v>
      </x:c>
      <x:c r="B2384" s="20" t="n">
        <x:v>46035</x:v>
      </x:c>
      <x:c r="C2384" t="str">
        <x:v>C0222</x:v>
      </x:c>
      <x:c r="D2384" t="str">
        <x:v>Sri Cafe 222</x:v>
      </x:c>
      <x:c r="E2384" t="str">
        <x:v>Kirana</x:v>
      </x:c>
      <x:c r="F2384" t="str">
        <x:v>Mangaluru</x:v>
      </x:c>
      <x:c r="G2384" t="str">
        <x:v>Arjun</x:v>
      </x:c>
      <x:c r="H2384" t="str">
        <x:v>P015</x:v>
      </x:c>
      <x:c r="I2384" t="str">
        <x:v>Milk 1L</x:v>
      </x:c>
      <x:c r="J2384" t="str">
        <x:v>Dairy</x:v>
      </x:c>
      <x:c r="K2384" t="str">
        <x:v>Nandini</x:v>
      </x:c>
      <x:c r="L2384" s="22" t="n">
        <x:v>48</x:v>
      </x:c>
      <x:c r="M2384" t="n">
        <x:v>5</x:v>
      </x:c>
      <x:c r="N2384" s="24" t="n">
        <x:v>0.05</x:v>
      </x:c>
      <x:c r="O2384" s="22" t="n">
        <x:f>L2384*M2384</x:f>
        <x:v>240</x:v>
      </x:c>
      <x:c r="P2384" s="22" t="n">
        <x:f>O2384*(1-N2384)</x:f>
        <x:v>228</x:v>
      </x:c>
      <x:c r="Q2384" s="22" t="n">
        <x:v>43</x:v>
      </x:c>
      <x:c r="R2384" s="22" t="n">
        <x:f>Q2384*M2384</x:f>
        <x:v>215</x:v>
      </x:c>
      <x:c r="S2384" s="22" t="n">
        <x:f>P2384-R2384</x:f>
        <x:v>13</x:v>
      </x:c>
      <x:c r="T2384" t="str">
        <x:v>Credit</x:v>
      </x:c>
      <x:c r="U2384" t="str">
        <x:v>Paid</x:v>
      </x:c>
      <x:c r="V2384" t="str">
        <x:v>Delivered</x:v>
      </x:c>
      <x:c r="W2384" t="n">
        <x:v>0</x:v>
      </x:c>
      <x:c r="X2384" t="str"/>
      <x:c r="Y2384" t="str">
        <x:v>Field Visit</x:v>
      </x:c>
    </x:row>
    <x:row r="2385">
      <x:c r="A2385" t="str">
        <x:v>O002384</x:v>
      </x:c>
      <x:c r="B2385" s="20" t="n">
        <x:v>46158</x:v>
      </x:c>
      <x:c r="C2385" t="str">
        <x:v>C0207</x:v>
      </x:c>
      <x:c r="D2385" t="str">
        <x:v>Hotel Stores 207</x:v>
      </x:c>
      <x:c r="E2385" t="str">
        <x:v>Restaurant</x:v>
      </x:c>
      <x:c r="F2385" t="str">
        <x:v>Hubballi</x:v>
      </x:c>
      <x:c r="G2385" t="str">
        <x:v>Ramesh</x:v>
      </x:c>
      <x:c r="H2385" t="str">
        <x:v>P016</x:v>
      </x:c>
      <x:c r="I2385" t="str">
        <x:v>Curd 1kg</x:v>
      </x:c>
      <x:c r="J2385" t="str">
        <x:v>Dairy</x:v>
      </x:c>
      <x:c r="K2385" t="str">
        <x:v>Nandini</x:v>
      </x:c>
      <x:c r="L2385" s="22" t="n">
        <x:v>72</x:v>
      </x:c>
      <x:c r="M2385" t="n">
        <x:v>24</x:v>
      </x:c>
      <x:c r="N2385" s="24" t="n">
        <x:v>0.05</x:v>
      </x:c>
      <x:c r="O2385" s="22" t="n">
        <x:f>L2385*M2385</x:f>
        <x:v>1728</x:v>
      </x:c>
      <x:c r="P2385" s="22" t="n">
        <x:f>O2385*(1-N2385)</x:f>
        <x:v>1641.6</x:v>
      </x:c>
      <x:c r="Q2385" s="22" t="n">
        <x:v>64</x:v>
      </x:c>
      <x:c r="R2385" s="22" t="n">
        <x:f>Q2385*M2385</x:f>
        <x:v>1536</x:v>
      </x:c>
      <x:c r="S2385" s="22" t="n">
        <x:f>P2385-R2385</x:f>
        <x:v>105.59999999999991</x:v>
      </x:c>
      <x:c r="T2385" t="str">
        <x:v>Cash</x:v>
      </x:c>
      <x:c r="U2385" t="str">
        <x:v>Overdue</x:v>
      </x:c>
      <x:c r="V2385" t="str">
        <x:v>Delivered</x:v>
      </x:c>
      <x:c r="W2385" t="n">
        <x:v>0</x:v>
      </x:c>
      <x:c r="X2385" t="str"/>
      <x:c r="Y2385" t="str">
        <x:v>WhatsApp</x:v>
      </x:c>
    </x:row>
    <x:row r="2386">
      <x:c r="A2386" t="str">
        <x:v>O002385</x:v>
      </x:c>
      <x:c r="B2386" s="20" t="n">
        <x:v>45958</x:v>
      </x:c>
      <x:c r="C2386" t="str">
        <x:v>C0113</x:v>
      </x:c>
      <x:c r="D2386" t="str">
        <x:v>Namma Mart 113</x:v>
      </x:c>
      <x:c r="E2386" t="str">
        <x:v>Restaurant</x:v>
      </x:c>
      <x:c r="F2386" t="str">
        <x:v>Bengaluru</x:v>
      </x:c>
      <x:c r="G2386" t="str">
        <x:v>Imran</x:v>
      </x:c>
      <x:c r="H2386" t="str">
        <x:v>P033</x:v>
      </x:c>
      <x:c r="I2386" t="str">
        <x:v>Turmeric Powder 1kg</x:v>
      </x:c>
      <x:c r="J2386" t="str">
        <x:v>Spices</x:v>
      </x:c>
      <x:c r="K2386" t="str">
        <x:v>Everest</x:v>
      </x:c>
      <x:c r="L2386" s="22" t="n">
        <x:v>310</x:v>
      </x:c>
      <x:c r="M2386" t="n">
        <x:v>38</x:v>
      </x:c>
      <x:c r="N2386" s="24" t="n">
        <x:v>0.03</x:v>
      </x:c>
      <x:c r="O2386" s="22" t="n">
        <x:f>L2386*M2386</x:f>
        <x:v>11780</x:v>
      </x:c>
      <x:c r="P2386" s="22" t="n">
        <x:f>O2386*(1-N2386)</x:f>
        <x:v>11426.6</x:v>
      </x:c>
      <x:c r="Q2386" s="22" t="n">
        <x:v>270</x:v>
      </x:c>
      <x:c r="R2386" s="22" t="n">
        <x:f>Q2386*M2386</x:f>
        <x:v>10260</x:v>
      </x:c>
      <x:c r="S2386" s="22" t="n">
        <x:f>P2386-R2386</x:f>
        <x:v>1166.6000000000004</x:v>
      </x:c>
      <x:c r="T2386" t="str">
        <x:v>Bank Transfer</x:v>
      </x:c>
      <x:c r="U2386" t="str">
        <x:v>Paid</x:v>
      </x:c>
      <x:c r="V2386" t="str">
        <x:v>Delayed</x:v>
      </x:c>
      <x:c r="W2386" t="n">
        <x:v>0</x:v>
      </x:c>
      <x:c r="X2386" t="str"/>
      <x:c r="Y2386" t="str">
        <x:v>Field Visit</x:v>
      </x:c>
    </x:row>
    <x:row r="2387">
      <x:c r="A2387" t="str">
        <x:v>O002386</x:v>
      </x:c>
      <x:c r="B2387" s="20" t="n">
        <x:v>45680</x:v>
      </x:c>
      <x:c r="C2387" t="str">
        <x:v>C0213</x:v>
      </x:c>
      <x:c r="D2387" t="str">
        <x:v>Shree Cafe 213</x:v>
      </x:c>
      <x:c r="E2387" t="str">
        <x:v>Cafe</x:v>
      </x:c>
      <x:c r="F2387" t="str">
        <x:v>Tumakuru</x:v>
      </x:c>
      <x:c r="G2387" t="str">
        <x:v>Imran</x:v>
      </x:c>
      <x:c r="H2387" t="str">
        <x:v>P008</x:v>
      </x:c>
      <x:c r="I2387" t="str">
        <x:v>Palm Oil 15L</x:v>
      </x:c>
      <x:c r="J2387" t="str">
        <x:v>Edible Oil</x:v>
      </x:c>
      <x:c r="K2387" t="str">
        <x:v>Ruchi Gold</x:v>
      </x:c>
      <x:c r="L2387" s="22" t="n">
        <x:v>1760</x:v>
      </x:c>
      <x:c r="M2387" t="n">
        <x:v>7</x:v>
      </x:c>
      <x:c r="N2387" s="24" t="n">
        <x:v>0.05</x:v>
      </x:c>
      <x:c r="O2387" s="22" t="n">
        <x:f>L2387*M2387</x:f>
        <x:v>12320</x:v>
      </x:c>
      <x:c r="P2387" s="22" t="n">
        <x:f>O2387*(1-N2387)</x:f>
        <x:v>11704</x:v>
      </x:c>
      <x:c r="Q2387" s="22" t="n">
        <x:v>1610</x:v>
      </x:c>
      <x:c r="R2387" s="22" t="n">
        <x:f>Q2387*M2387</x:f>
        <x:v>11270</x:v>
      </x:c>
      <x:c r="S2387" s="22" t="n">
        <x:f>P2387-R2387</x:f>
        <x:v>434</x:v>
      </x:c>
      <x:c r="T2387" t="str">
        <x:v>Cash</x:v>
      </x:c>
      <x:c r="U2387" t="str">
        <x:v>Paid</x:v>
      </x:c>
      <x:c r="V2387" t="str">
        <x:v>Delivered</x:v>
      </x:c>
      <x:c r="W2387" t="n">
        <x:v>0</x:v>
      </x:c>
      <x:c r="X2387" t="str"/>
      <x:c r="Y2387" t="str">
        <x:v>Existing Customer</x:v>
      </x:c>
    </x:row>
    <x:row r="2388">
      <x:c r="A2388" t="str">
        <x:v>O002387</x:v>
      </x:c>
      <x:c r="B2388" s="20" t="n">
        <x:v>45999</x:v>
      </x:c>
      <x:c r="C2388" t="str">
        <x:v>C0099</x:v>
      </x:c>
      <x:c r="D2388" t="str">
        <x:v>Green Cafe 99</x:v>
      </x:c>
      <x:c r="E2388" t="str">
        <x:v>Restaurant</x:v>
      </x:c>
      <x:c r="F2388" t="str">
        <x:v>Hubballi</x:v>
      </x:c>
      <x:c r="G2388" t="str">
        <x:v>Ramesh</x:v>
      </x:c>
      <x:c r="H2388" t="str">
        <x:v>P035</x:v>
      </x:c>
      <x:c r="I2388" t="str">
        <x:v>Coriander Powder 1kg</x:v>
      </x:c>
      <x:c r="J2388" t="str">
        <x:v>Spices</x:v>
      </x:c>
      <x:c r="K2388" t="str">
        <x:v>Everest</x:v>
      </x:c>
      <x:c r="L2388" s="22" t="n">
        <x:v>280</x:v>
      </x:c>
      <x:c r="M2388" t="n">
        <x:v>8</x:v>
      </x:c>
      <x:c r="N2388" s="24" t="n">
        <x:v>0</x:v>
      </x:c>
      <x:c r="O2388" s="22" t="n">
        <x:f>L2388*M2388</x:f>
        <x:v>2240</x:v>
      </x:c>
      <x:c r="P2388" s="22" t="n">
        <x:f>O2388*(1-N2388)</x:f>
        <x:v>2240</x:v>
      </x:c>
      <x:c r="Q2388" s="22" t="n">
        <x:v>245</x:v>
      </x:c>
      <x:c r="R2388" s="22" t="n">
        <x:f>Q2388*M2388</x:f>
        <x:v>1960</x:v>
      </x:c>
      <x:c r="S2388" s="22" t="n">
        <x:f>P2388-R2388</x:f>
        <x:v>280</x:v>
      </x:c>
      <x:c r="T2388" t="str">
        <x:v>UPI</x:v>
      </x:c>
      <x:c r="U2388" t="str">
        <x:v>Pending</x:v>
      </x:c>
      <x:c r="V2388" t="str">
        <x:v>Delivered</x:v>
      </x:c>
      <x:c r="W2388" t="n">
        <x:v>0</x:v>
      </x:c>
      <x:c r="X2388" t="str"/>
      <x:c r="Y2388" t="str">
        <x:v>WhatsApp</x:v>
      </x:c>
    </x:row>
    <x:row r="2389">
      <x:c r="A2389" t="str">
        <x:v>O002388</x:v>
      </x:c>
      <x:c r="B2389" s="20" t="n">
        <x:v>45894</x:v>
      </x:c>
      <x:c r="C2389" t="str">
        <x:v>C0046</x:v>
      </x:c>
      <x:c r="D2389" t="str">
        <x:v>Annapurna Foods 46</x:v>
      </x:c>
      <x:c r="E2389" t="str">
        <x:v>Kirana</x:v>
      </x:c>
      <x:c r="F2389" t="str">
        <x:v>Bengaluru</x:v>
      </x:c>
      <x:c r="G2389" t="str">
        <x:v>Ramesh</x:v>
      </x:c>
      <x:c r="H2389" t="str">
        <x:v>P039</x:v>
      </x:c>
      <x:c r="I2389" t="str">
        <x:v>Ice Cream 4L</x:v>
      </x:c>
      <x:c r="J2389" t="str">
        <x:v>Frozen</x:v>
      </x:c>
      <x:c r="K2389" t="str">
        <x:v>Amul</x:v>
      </x:c>
      <x:c r="L2389" s="22" t="n">
        <x:v>480</x:v>
      </x:c>
      <x:c r="M2389" t="n">
        <x:v>21</x:v>
      </x:c>
      <x:c r="N2389" s="24" t="n">
        <x:v>0.05</x:v>
      </x:c>
      <x:c r="O2389" s="22" t="n">
        <x:f>L2389*M2389</x:f>
        <x:v>10080</x:v>
      </x:c>
      <x:c r="P2389" s="22" t="n">
        <x:f>O2389*(1-N2389)</x:f>
        <x:v>9576</x:v>
      </x:c>
      <x:c r="Q2389" s="22" t="n">
        <x:v>420</x:v>
      </x:c>
      <x:c r="R2389" s="22" t="n">
        <x:f>Q2389*M2389</x:f>
        <x:v>8820</x:v>
      </x:c>
      <x:c r="S2389" s="22" t="n">
        <x:f>P2389-R2389</x:f>
        <x:v>756</x:v>
      </x:c>
      <x:c r="T2389" t="str">
        <x:v>Credit</x:v>
      </x:c>
      <x:c r="U2389" t="str">
        <x:v>Paid</x:v>
      </x:c>
      <x:c r="V2389" t="str">
        <x:v>Delivered</x:v>
      </x:c>
      <x:c r="W2389" t="n">
        <x:v>0</x:v>
      </x:c>
      <x:c r="X2389" t="str"/>
      <x:c r="Y2389" t="str">
        <x:v>Field Visit</x:v>
      </x:c>
    </x:row>
    <x:row r="2390">
      <x:c r="A2390" t="str">
        <x:v>O002389</x:v>
      </x:c>
      <x:c r="B2390" s="20" t="n">
        <x:v>46247</x:v>
      </x:c>
      <x:c r="C2390" t="str">
        <x:v>C0019</x:v>
      </x:c>
      <x:c r="D2390" t="str">
        <x:v>Grand Kitchen 19</x:v>
      </x:c>
      <x:c r="E2390" t="str">
        <x:v>Supermarket</x:v>
      </x:c>
      <x:c r="F2390" t="str">
        <x:v>Tumakuru</x:v>
      </x:c>
      <x:c r="G2390" t="str">
        <x:v>Sneha</x:v>
      </x:c>
      <x:c r="H2390" t="str">
        <x:v>P009</x:v>
      </x:c>
      <x:c r="I2390" t="str">
        <x:v>Groundnut Oil 5L</x:v>
      </x:c>
      <x:c r="J2390" t="str">
        <x:v>Edible Oil</x:v>
      </x:c>
      <x:c r="K2390" t="str">
        <x:v>Dhara</x:v>
      </x:c>
      <x:c r="L2390" s="22" t="n">
        <x:v>890</x:v>
      </x:c>
      <x:c r="M2390" t="n">
        <x:v>8</x:v>
      </x:c>
      <x:c r="N2390" s="24" t="n">
        <x:v>0.02</x:v>
      </x:c>
      <x:c r="O2390" s="22" t="n">
        <x:f>L2390*M2390</x:f>
        <x:v>7120</x:v>
      </x:c>
      <x:c r="P2390" s="22" t="n">
        <x:f>O2390*(1-N2390)</x:f>
        <x:v>6977.599999999999</x:v>
      </x:c>
      <x:c r="Q2390" s="22" t="n">
        <x:v>810</x:v>
      </x:c>
      <x:c r="R2390" s="22" t="n">
        <x:f>Q2390*M2390</x:f>
        <x:v>6480</x:v>
      </x:c>
      <x:c r="S2390" s="22" t="n">
        <x:f>P2390-R2390</x:f>
        <x:v>497.59999999999945</x:v>
      </x:c>
      <x:c r="T2390" t="str">
        <x:v>Cash</x:v>
      </x:c>
      <x:c r="U2390" t="str">
        <x:v>Pending</x:v>
      </x:c>
      <x:c r="V2390" t="str">
        <x:v>Delivered</x:v>
      </x:c>
      <x:c r="W2390" t="n">
        <x:v>0</x:v>
      </x:c>
      <x:c r="X2390" t="str"/>
      <x:c r="Y2390" t="str">
        <x:v>Referral</x:v>
      </x:c>
    </x:row>
    <x:row r="2391">
      <x:c r="A2391" t="str">
        <x:v>O002390</x:v>
      </x:c>
      <x:c r="B2391" s="20" t="n">
        <x:v>46221</x:v>
      </x:c>
      <x:c r="C2391" t="str">
        <x:v>C0127</x:v>
      </x:c>
      <x:c r="D2391" t="str">
        <x:v>Grand Mart 127</x:v>
      </x:c>
      <x:c r="E2391" t="str">
        <x:v>Canteen</x:v>
      </x:c>
      <x:c r="F2391" t="str">
        <x:v>Hubballi</x:v>
      </x:c>
      <x:c r="G2391" t="str">
        <x:v>Imran</x:v>
      </x:c>
      <x:c r="H2391" t="str">
        <x:v>P030</x:v>
      </x:c>
      <x:c r="I2391" t="str">
        <x:v>Mayonnaise 1kg</x:v>
      </x:c>
      <x:c r="J2391" t="str">
        <x:v>Condiments</x:v>
      </x:c>
      <x:c r="K2391" t="str">
        <x:v>Veeba</x:v>
      </x:c>
      <x:c r="L2391" s="22" t="n">
        <x:v>210</x:v>
      </x:c>
      <x:c r="M2391" t="n">
        <x:v>1</x:v>
      </x:c>
      <x:c r="N2391" s="24" t="n">
        <x:v>0.02</x:v>
      </x:c>
      <x:c r="O2391" s="22" t="n">
        <x:f>L2391*M2391</x:f>
        <x:v>210</x:v>
      </x:c>
      <x:c r="P2391" s="22" t="n">
        <x:f>O2391*(1-N2391)</x:f>
        <x:v>205.79999999999998</x:v>
      </x:c>
      <x:c r="Q2391" s="22" t="n">
        <x:v>185</x:v>
      </x:c>
      <x:c r="R2391" s="22" t="n">
        <x:f>Q2391*M2391</x:f>
        <x:v>185</x:v>
      </x:c>
      <x:c r="S2391" s="22" t="n">
        <x:f>P2391-R2391</x:f>
        <x:v>20.799999999999983</x:v>
      </x:c>
      <x:c r="T2391" t="str">
        <x:v>Cash</x:v>
      </x:c>
      <x:c r="U2391" t="str">
        <x:v>Overdue</x:v>
      </x:c>
      <x:c r="V2391" t="str">
        <x:v>Cancelled</x:v>
      </x:c>
      <x:c r="W2391" t="n">
        <x:v>1</x:v>
      </x:c>
      <x:c r="X2391" t="str">
        <x:v>Cancelled Order</x:v>
      </x:c>
      <x:c r="Y2391" t="str">
        <x:v>Existing Customer</x:v>
      </x:c>
    </x:row>
    <x:row r="2392">
      <x:c r="A2392" t="str">
        <x:v>O002391</x:v>
      </x:c>
      <x:c r="B2392" s="20" t="n">
        <x:v>46040</x:v>
      </x:c>
      <x:c r="C2392" t="str">
        <x:v>C0225</x:v>
      </x:c>
      <x:c r="D2392" t="str">
        <x:v>Darshini Mart 225</x:v>
      </x:c>
      <x:c r="E2392" t="str">
        <x:v>Restaurant</x:v>
      </x:c>
      <x:c r="F2392" t="str">
        <x:v>Davanagere</x:v>
      </x:c>
      <x:c r="G2392" t="str">
        <x:v>Kavya</x:v>
      </x:c>
      <x:c r="H2392" t="str">
        <x:v>P009</x:v>
      </x:c>
      <x:c r="I2392" t="str">
        <x:v>Groundnut Oil 5L</x:v>
      </x:c>
      <x:c r="J2392" t="str">
        <x:v>Edible Oil</x:v>
      </x:c>
      <x:c r="K2392" t="str">
        <x:v>Dhara</x:v>
      </x:c>
      <x:c r="L2392" s="22" t="n">
        <x:v>890</x:v>
      </x:c>
      <x:c r="M2392" t="n">
        <x:v>8</x:v>
      </x:c>
      <x:c r="N2392" s="24" t="n">
        <x:v>0.08</x:v>
      </x:c>
      <x:c r="O2392" s="22" t="n">
        <x:f>L2392*M2392</x:f>
        <x:v>7120</x:v>
      </x:c>
      <x:c r="P2392" s="22" t="n">
        <x:f>O2392*(1-N2392)</x:f>
        <x:v>6550.400000000001</x:v>
      </x:c>
      <x:c r="Q2392" s="22" t="n">
        <x:v>810</x:v>
      </x:c>
      <x:c r="R2392" s="22" t="n">
        <x:f>Q2392*M2392</x:f>
        <x:v>6480</x:v>
      </x:c>
      <x:c r="S2392" s="22" t="n">
        <x:f>P2392-R2392</x:f>
        <x:v>70.40000000000055</x:v>
      </x:c>
      <x:c r="T2392" t="str">
        <x:v>Cash</x:v>
      </x:c>
      <x:c r="U2392" t="str">
        <x:v>Paid</x:v>
      </x:c>
      <x:c r="V2392" t="str">
        <x:v>Delivered</x:v>
      </x:c>
      <x:c r="W2392" t="n">
        <x:v>0</x:v>
      </x:c>
      <x:c r="X2392" t="str"/>
      <x:c r="Y2392" t="str">
        <x:v>Referral</x:v>
      </x:c>
    </x:row>
    <x:row r="2393">
      <x:c r="A2393" t="str">
        <x:v>O002392</x:v>
      </x:c>
      <x:c r="B2393" s="20" t="n">
        <x:v>45795</x:v>
      </x:c>
      <x:c r="C2393" t="str">
        <x:v>C0157</x:v>
      </x:c>
      <x:c r="D2393" t="str">
        <x:v>Fresh Canteen 157</x:v>
      </x:c>
      <x:c r="E2393" t="str">
        <x:v>Kirana</x:v>
      </x:c>
      <x:c r="F2393" t="str">
        <x:v>Mangaluru</x:v>
      </x:c>
      <x:c r="G2393" t="str">
        <x:v>Priya</x:v>
      </x:c>
      <x:c r="H2393" t="str">
        <x:v>P034</x:v>
      </x:c>
      <x:c r="I2393" t="str">
        <x:v>Chilli Powder 1kg</x:v>
      </x:c>
      <x:c r="J2393" t="str">
        <x:v>Spices</x:v>
      </x:c>
      <x:c r="K2393" t="str">
        <x:v>MDH</x:v>
      </x:c>
      <x:c r="L2393" s="22" t="n">
        <x:v>340</x:v>
      </x:c>
      <x:c r="M2393" t="n">
        <x:v>6</x:v>
      </x:c>
      <x:c r="N2393" s="24" t="n">
        <x:v>0.02</x:v>
      </x:c>
      <x:c r="O2393" s="22" t="n">
        <x:f>L2393*M2393</x:f>
        <x:v>2040</x:v>
      </x:c>
      <x:c r="P2393" s="22" t="n">
        <x:f>O2393*(1-N2393)</x:f>
        <x:v>1999.2</x:v>
      </x:c>
      <x:c r="Q2393" s="22" t="n">
        <x:v>295</x:v>
      </x:c>
      <x:c r="R2393" s="22" t="n">
        <x:f>Q2393*M2393</x:f>
        <x:v>1770</x:v>
      </x:c>
      <x:c r="S2393" s="22" t="n">
        <x:f>P2393-R2393</x:f>
        <x:v>229.20000000000005</x:v>
      </x:c>
      <x:c r="T2393" t="str">
        <x:v>Bank Transfer</x:v>
      </x:c>
      <x:c r="U2393" t="str">
        <x:v>Pending</x:v>
      </x:c>
      <x:c r="V2393" t="str">
        <x:v>Delivered</x:v>
      </x:c>
      <x:c r="W2393" t="n">
        <x:v>0</x:v>
      </x:c>
      <x:c r="X2393" t="str"/>
      <x:c r="Y2393" t="str">
        <x:v>Referral</x:v>
      </x:c>
    </x:row>
    <x:row r="2394">
      <x:c r="A2394" t="str">
        <x:v>O002393</x:v>
      </x:c>
      <x:c r="B2394" s="20" t="n">
        <x:v>45934</x:v>
      </x:c>
      <x:c r="C2394" t="str">
        <x:v>C0238</x:v>
      </x:c>
      <x:c r="D2394" t="str">
        <x:v>Foodie Foods 238</x:v>
      </x:c>
      <x:c r="E2394" t="str">
        <x:v>Restaurant</x:v>
      </x:c>
      <x:c r="F2394" t="str">
        <x:v>Davanagere</x:v>
      </x:c>
      <x:c r="G2394" t="str">
        <x:v>Megha</x:v>
      </x:c>
      <x:c r="H2394" t="str">
        <x:v>P037</x:v>
      </x:c>
      <x:c r="I2394" t="str">
        <x:v>Frozen Peas 1kg</x:v>
      </x:c>
      <x:c r="J2394" t="str">
        <x:v>Frozen</x:v>
      </x:c>
      <x:c r="K2394" t="str">
        <x:v>Safal</x:v>
      </x:c>
      <x:c r="L2394" s="22" t="n">
        <x:v>155</x:v>
      </x:c>
      <x:c r="M2394" t="n">
        <x:v>21</x:v>
      </x:c>
      <x:c r="N2394" s="24" t="n">
        <x:v>0</x:v>
      </x:c>
      <x:c r="O2394" s="22" t="n">
        <x:f>L2394*M2394</x:f>
        <x:v>3255</x:v>
      </x:c>
      <x:c r="P2394" s="22" t="n">
        <x:f>O2394*(1-N2394)</x:f>
        <x:v>3255</x:v>
      </x:c>
      <x:c r="Q2394" s="22" t="n">
        <x:v>138</x:v>
      </x:c>
      <x:c r="R2394" s="22" t="n">
        <x:f>Q2394*M2394</x:f>
        <x:v>2898</x:v>
      </x:c>
      <x:c r="S2394" s="22" t="n">
        <x:f>P2394-R2394</x:f>
        <x:v>357</x:v>
      </x:c>
      <x:c r="T2394" t="str">
        <x:v>Credit</x:v>
      </x:c>
      <x:c r="U2394" t="str">
        <x:v>Paid</x:v>
      </x:c>
      <x:c r="V2394" t="str">
        <x:v>Cancelled</x:v>
      </x:c>
      <x:c r="W2394" t="n">
        <x:v>21</x:v>
      </x:c>
      <x:c r="X2394" t="str">
        <x:v>Cancelled Order</x:v>
      </x:c>
      <x:c r="Y2394" t="str"/>
    </x:row>
    <x:row r="2395">
      <x:c r="A2395" t="str">
        <x:v>O002394</x:v>
      </x:c>
      <x:c r="B2395" s="20" t="n">
        <x:v>45882</x:v>
      </x:c>
      <x:c r="C2395" t="str">
        <x:v>C0051</x:v>
      </x:c>
      <x:c r="D2395" t="str">
        <x:v>Cafe Hotel 51</x:v>
      </x:c>
      <x:c r="E2395" t="str">
        <x:v>Kirana</x:v>
      </x:c>
      <x:c r="F2395" t="str">
        <x:v>Tumakuru</x:v>
      </x:c>
      <x:c r="G2395" t="str">
        <x:v>Arjun</x:v>
      </x:c>
      <x:c r="H2395" t="str">
        <x:v>P027</x:v>
      </x:c>
      <x:c r="I2395" t="str">
        <x:v>Biscuits 120g</x:v>
      </x:c>
      <x:c r="J2395" t="str">
        <x:v>Snacks</x:v>
      </x:c>
      <x:c r="K2395" t="str">
        <x:v>Parle-G</x:v>
      </x:c>
      <x:c r="L2395" s="22" t="n">
        <x:v>12</x:v>
      </x:c>
      <x:c r="M2395" t="n">
        <x:v>9</x:v>
      </x:c>
      <x:c r="N2395" s="24" t="n">
        <x:v>0.05</x:v>
      </x:c>
      <x:c r="O2395" s="22" t="n">
        <x:f>L2395*M2395</x:f>
        <x:v>108</x:v>
      </x:c>
      <x:c r="P2395" s="22" t="n">
        <x:f>O2395*(1-N2395)</x:f>
        <x:v>102.6</x:v>
      </x:c>
      <x:c r="Q2395" s="22" t="n">
        <x:v>9</x:v>
      </x:c>
      <x:c r="R2395" s="22" t="n">
        <x:f>Q2395*M2395</x:f>
        <x:v>81</x:v>
      </x:c>
      <x:c r="S2395" s="22" t="n">
        <x:f>P2395-R2395</x:f>
        <x:v>21.599999999999994</x:v>
      </x:c>
      <x:c r="T2395" t="str">
        <x:v>Credit</x:v>
      </x:c>
      <x:c r="U2395" t="str">
        <x:v>Paid</x:v>
      </x:c>
      <x:c r="V2395" t="str">
        <x:v>Delivered</x:v>
      </x:c>
      <x:c r="W2395" t="n">
        <x:v>2</x:v>
      </x:c>
      <x:c r="X2395" t="str">
        <x:v>Wrong Item</x:v>
      </x:c>
      <x:c r="Y2395" t="str">
        <x:v>Outbound Call</x:v>
      </x:c>
    </x:row>
    <x:row r="2396">
      <x:c r="A2396" t="str">
        <x:v>O002395</x:v>
      </x:c>
      <x:c r="B2396" s="20" t="n">
        <x:v>46188</x:v>
      </x:c>
      <x:c r="C2396" t="str">
        <x:v>C0216</x:v>
      </x:c>
      <x:c r="D2396" t="str">
        <x:v>Cafe Restaurant 216</x:v>
      </x:c>
      <x:c r="E2396" t="str">
        <x:v>Canteen</x:v>
      </x:c>
      <x:c r="F2396" t="str">
        <x:v>Bengaluru</x:v>
      </x:c>
      <x:c r="G2396" t="str">
        <x:v>Vikram</x:v>
      </x:c>
      <x:c r="H2396" t="str">
        <x:v>P004</x:v>
      </x:c>
      <x:c r="I2396" t="str">
        <x:v>Toor Dal 5kg</x:v>
      </x:c>
      <x:c r="J2396" t="str">
        <x:v>Pulses</x:v>
      </x:c>
      <x:c r="K2396" t="str">
        <x:v>Tata Sampann</x:v>
      </x:c>
      <x:c r="L2396" s="22" t="n">
        <x:v>780</x:v>
      </x:c>
      <x:c r="M2396" t="n">
        <x:v>19</x:v>
      </x:c>
      <x:c r="N2396" s="24" t="n">
        <x:v>0.03</x:v>
      </x:c>
      <x:c r="O2396" s="22" t="n">
        <x:f>L2396*M2396</x:f>
        <x:v>14820</x:v>
      </x:c>
      <x:c r="P2396" s="22" t="n">
        <x:f>O2396*(1-N2396)</x:f>
        <x:v>14375.4</x:v>
      </x:c>
      <x:c r="Q2396" s="22" t="n">
        <x:v>695</x:v>
      </x:c>
      <x:c r="R2396" s="22" t="n">
        <x:f>Q2396*M2396</x:f>
        <x:v>13205</x:v>
      </x:c>
      <x:c r="S2396" s="22" t="n">
        <x:f>P2396-R2396</x:f>
        <x:v>1170.3999999999996</x:v>
      </x:c>
      <x:c r="T2396" t="str">
        <x:v>Cash</x:v>
      </x:c>
      <x:c r="U2396" t="str">
        <x:v>Paid</x:v>
      </x:c>
      <x:c r="V2396" t="str">
        <x:v>Delivered</x:v>
      </x:c>
      <x:c r="W2396" t="n">
        <x:v>0</x:v>
      </x:c>
      <x:c r="X2396" t="str"/>
      <x:c r="Y2396" t="str">
        <x:v>Existing Customer</x:v>
      </x:c>
    </x:row>
    <x:row r="2397">
      <x:c r="A2397" t="str">
        <x:v>O002396</x:v>
      </x:c>
      <x:c r="B2397" s="20" t="n">
        <x:v>46091</x:v>
      </x:c>
      <x:c r="C2397" t="str">
        <x:v>C0193</x:v>
      </x:c>
      <x:c r="D2397" t="str">
        <x:v>Udupi Cafe 193</x:v>
      </x:c>
      <x:c r="E2397" t="str">
        <x:v>Restaurant</x:v>
      </x:c>
      <x:c r="F2397" t="str">
        <x:v>Hubballi</x:v>
      </x:c>
      <x:c r="G2397" t="str">
        <x:v>Sneha</x:v>
      </x:c>
      <x:c r="H2397" t="str">
        <x:v>P014</x:v>
      </x:c>
      <x:c r="I2397" t="str">
        <x:v>Rava 5kg</x:v>
      </x:c>
      <x:c r="J2397" t="str">
        <x:v>Flour</x:v>
      </x:c>
      <x:c r="K2397" t="str">
        <x:v>Local Select</x:v>
      </x:c>
      <x:c r="L2397" s="22" t="n">
        <x:v>245</x:v>
      </x:c>
      <x:c r="M2397" t="n">
        <x:v>29</x:v>
      </x:c>
      <x:c r="N2397" s="24" t="n">
        <x:v>0.05</x:v>
      </x:c>
      <x:c r="O2397" s="22" t="n">
        <x:f>L2397*M2397</x:f>
        <x:v>7105</x:v>
      </x:c>
      <x:c r="P2397" s="22" t="n">
        <x:f>O2397*(1-N2397)</x:f>
        <x:v>6749.75</x:v>
      </x:c>
      <x:c r="Q2397" s="22" t="n">
        <x:v>215</x:v>
      </x:c>
      <x:c r="R2397" s="22" t="n">
        <x:f>Q2397*M2397</x:f>
        <x:v>6235</x:v>
      </x:c>
      <x:c r="S2397" s="22" t="n">
        <x:f>P2397-R2397</x:f>
        <x:v>514.75</x:v>
      </x:c>
      <x:c r="T2397" t="str">
        <x:v>Credit</x:v>
      </x:c>
      <x:c r="U2397" t="str">
        <x:v>Paid</x:v>
      </x:c>
      <x:c r="V2397" t="str">
        <x:v>Delayed</x:v>
      </x:c>
      <x:c r="W2397" t="n">
        <x:v>0</x:v>
      </x:c>
      <x:c r="X2397" t="str"/>
      <x:c r="Y2397" t="str">
        <x:v>Referral</x:v>
      </x:c>
    </x:row>
    <x:row r="2398">
      <x:c r="A2398" t="str">
        <x:v>O002397</x:v>
      </x:c>
      <x:c r="B2398" s="20" t="n">
        <x:v>46277</x:v>
      </x:c>
      <x:c r="C2398" t="str">
        <x:v>C0177</x:v>
      </x:c>
      <x:c r="D2398" t="str">
        <x:v>Classic Cafe 177</x:v>
      </x:c>
      <x:c r="E2398" t="str">
        <x:v>Supermarket</x:v>
      </x:c>
      <x:c r="F2398" t="str">
        <x:v>Bengaluru</x:v>
      </x:c>
      <x:c r="G2398" t="str">
        <x:v>Arjun</x:v>
      </x:c>
      <x:c r="H2398" t="str">
        <x:v>P035</x:v>
      </x:c>
      <x:c r="I2398" t="str">
        <x:v>Coriander Powder 1kg</x:v>
      </x:c>
      <x:c r="J2398" t="str">
        <x:v>Spices</x:v>
      </x:c>
      <x:c r="K2398" t="str">
        <x:v>Everest</x:v>
      </x:c>
      <x:c r="L2398" s="22" t="n">
        <x:v>280</x:v>
      </x:c>
      <x:c r="M2398" t="n">
        <x:v>26</x:v>
      </x:c>
      <x:c r="N2398" s="24" t="n">
        <x:v>0.03</x:v>
      </x:c>
      <x:c r="O2398" s="22" t="n">
        <x:f>L2398*M2398</x:f>
        <x:v>7280</x:v>
      </x:c>
      <x:c r="P2398" s="22" t="n">
        <x:f>O2398*(1-N2398)</x:f>
        <x:v>7061.599999999999</x:v>
      </x:c>
      <x:c r="Q2398" s="22" t="n">
        <x:v>245</x:v>
      </x:c>
      <x:c r="R2398" s="22" t="n">
        <x:f>Q2398*M2398</x:f>
        <x:v>6370</x:v>
      </x:c>
      <x:c r="S2398" s="22" t="n">
        <x:f>P2398-R2398</x:f>
        <x:v>691.5999999999995</x:v>
      </x:c>
      <x:c r="T2398" t="str">
        <x:v>UPI</x:v>
      </x:c>
      <x:c r="U2398" t="str">
        <x:v>Paid</x:v>
      </x:c>
      <x:c r="V2398" t="str">
        <x:v>Delivered</x:v>
      </x:c>
      <x:c r="W2398" t="n">
        <x:v>3</x:v>
      </x:c>
      <x:c r="X2398" t="str">
        <x:v>Quality Issue</x:v>
      </x:c>
      <x:c r="Y2398" t="str">
        <x:v>Existing Customer</x:v>
      </x:c>
    </x:row>
    <x:row r="2399">
      <x:c r="A2399" t="str">
        <x:v>O002398</x:v>
      </x:c>
      <x:c r="B2399" s="20" t="n">
        <x:v>46271</x:v>
      </x:c>
      <x:c r="C2399" t="str">
        <x:v>C0229</x:v>
      </x:c>
      <x:c r="D2399" t="str">
        <x:v>Namma Canteen 229</x:v>
      </x:c>
      <x:c r="E2399" t="str">
        <x:v>Restaurant</x:v>
      </x:c>
      <x:c r="F2399" t="str">
        <x:v>Bengaluru</x:v>
      </x:c>
      <x:c r="G2399" t="str">
        <x:v>Arjun</x:v>
      </x:c>
      <x:c r="H2399" t="str">
        <x:v>P028</x:v>
      </x:c>
      <x:c r="I2399" t="str">
        <x:v>Cookies 200g</x:v>
      </x:c>
      <x:c r="J2399" t="str">
        <x:v>Snacks</x:v>
      </x:c>
      <x:c r="K2399" t="str">
        <x:v>Britannia</x:v>
      </x:c>
      <x:c r="L2399" s="22" t="n">
        <x:v>55</x:v>
      </x:c>
      <x:c r="M2399" t="n">
        <x:v>9</x:v>
      </x:c>
      <x:c r="N2399" s="24" t="n">
        <x:v>0</x:v>
      </x:c>
      <x:c r="O2399" s="22" t="n">
        <x:f>L2399*M2399</x:f>
        <x:v>495</x:v>
      </x:c>
      <x:c r="P2399" s="22" t="n">
        <x:f>O2399*(1-N2399)</x:f>
        <x:v>495</x:v>
      </x:c>
      <x:c r="Q2399" s="22" t="n">
        <x:v>42</x:v>
      </x:c>
      <x:c r="R2399" s="22" t="n">
        <x:f>Q2399*M2399</x:f>
        <x:v>378</x:v>
      </x:c>
      <x:c r="S2399" s="22" t="n">
        <x:f>P2399-R2399</x:f>
        <x:v>117</x:v>
      </x:c>
      <x:c r="T2399" t="str">
        <x:v>Cash</x:v>
      </x:c>
      <x:c r="U2399" t="str">
        <x:v>Pending</x:v>
      </x:c>
      <x:c r="V2399" t="str">
        <x:v>Delivered</x:v>
      </x:c>
      <x:c r="W2399" t="n">
        <x:v>0</x:v>
      </x:c>
      <x:c r="X2399" t="str"/>
      <x:c r="Y2399" t="str">
        <x:v>Outbound Call</x:v>
      </x:c>
    </x:row>
    <x:row r="2400">
      <x:c r="A2400" t="str">
        <x:v>O002399</x:v>
      </x:c>
      <x:c r="B2400" s="20" t="n">
        <x:v>45925</x:v>
      </x:c>
      <x:c r="C2400" t="str">
        <x:v>C0049</x:v>
      </x:c>
      <x:c r="D2400" t="str">
        <x:v>Namma Stores 49</x:v>
      </x:c>
      <x:c r="E2400" t="str">
        <x:v>Hotel</x:v>
      </x:c>
      <x:c r="F2400" t="str">
        <x:v>Mangaluru</x:v>
      </x:c>
      <x:c r="G2400" t="str">
        <x:v>Sneha</x:v>
      </x:c>
      <x:c r="H2400" t="str">
        <x:v>P010</x:v>
      </x:c>
      <x:c r="I2400" t="str">
        <x:v>Sugar 25kg</x:v>
      </x:c>
      <x:c r="J2400" t="str">
        <x:v>Staples</x:v>
      </x:c>
      <x:c r="K2400" t="str">
        <x:v>Madhur</x:v>
      </x:c>
      <x:c r="L2400" s="22" t="n">
        <x:v>1190</x:v>
      </x:c>
      <x:c r="M2400" t="n">
        <x:v>6</x:v>
      </x:c>
      <x:c r="N2400" s="24" t="n">
        <x:v>0.05</x:v>
      </x:c>
      <x:c r="O2400" s="22" t="n">
        <x:f>L2400*M2400</x:f>
        <x:v>7140</x:v>
      </x:c>
      <x:c r="P2400" s="22" t="n">
        <x:f>O2400*(1-N2400)</x:f>
        <x:v>6783</x:v>
      </x:c>
      <x:c r="Q2400" s="22" t="n">
        <x:v>1080</x:v>
      </x:c>
      <x:c r="R2400" s="22" t="n">
        <x:f>Q2400*M2400</x:f>
        <x:v>6480</x:v>
      </x:c>
      <x:c r="S2400" s="22" t="n">
        <x:f>P2400-R2400</x:f>
        <x:v>303</x:v>
      </x:c>
      <x:c r="T2400" t="str">
        <x:v>UPI</x:v>
      </x:c>
      <x:c r="U2400" t="str">
        <x:v>Pending</x:v>
      </x:c>
      <x:c r="V2400" t="str">
        <x:v>Delivered</x:v>
      </x:c>
      <x:c r="W2400" t="n">
        <x:v>0</x:v>
      </x:c>
      <x:c r="X2400" t="str"/>
      <x:c r="Y2400" t="str">
        <x:v>Outbound Call</x:v>
      </x:c>
    </x:row>
    <x:row r="2401">
      <x:c r="A2401" t="str">
        <x:v>O002400</x:v>
      </x:c>
      <x:c r="B2401" s="20" t="n">
        <x:v>45956</x:v>
      </x:c>
      <x:c r="C2401" t="str">
        <x:v>C0231</x:v>
      </x:c>
      <x:c r="D2401" t="str">
        <x:v>Metro Canteen 231</x:v>
      </x:c>
      <x:c r="E2401" t="str">
        <x:v>Canteen</x:v>
      </x:c>
      <x:c r="F2401" t="str">
        <x:v>Mangaluru</x:v>
      </x:c>
      <x:c r="G2401" t="str">
        <x:v>Megha</x:v>
      </x:c>
      <x:c r="H2401" t="str">
        <x:v>P022</x:v>
      </x:c>
      <x:c r="I2401" t="str">
        <x:v>Mineral Water 1L</x:v>
      </x:c>
      <x:c r="J2401" t="str">
        <x:v>Beverage</x:v>
      </x:c>
      <x:c r="K2401" t="str">
        <x:v>Bisleri</x:v>
      </x:c>
      <x:c r="L2401" s="22" t="n">
        <x:v>19</x:v>
      </x:c>
      <x:c r="M2401" t="n">
        <x:v>26</x:v>
      </x:c>
      <x:c r="N2401" s="24" t="n">
        <x:v>0</x:v>
      </x:c>
      <x:c r="O2401" s="22" t="n">
        <x:f>L2401*M2401</x:f>
        <x:v>494</x:v>
      </x:c>
      <x:c r="P2401" s="22" t="n">
        <x:f>O2401*(1-N2401)</x:f>
        <x:v>494</x:v>
      </x:c>
      <x:c r="Q2401" s="22" t="n">
        <x:v>15</x:v>
      </x:c>
      <x:c r="R2401" s="22" t="n">
        <x:f>Q2401*M2401</x:f>
        <x:v>390</x:v>
      </x:c>
      <x:c r="S2401" s="22" t="n">
        <x:f>P2401-R2401</x:f>
        <x:v>104</x:v>
      </x:c>
      <x:c r="T2401" t="str">
        <x:v>Cash</x:v>
      </x:c>
      <x:c r="U2401" t="str">
        <x:v>Pending</x:v>
      </x:c>
      <x:c r="V2401" t="str">
        <x:v>Delayed</x:v>
      </x:c>
      <x:c r="W2401" t="n">
        <x:v>0</x:v>
      </x:c>
      <x:c r="X2401" t="str"/>
      <x:c r="Y2401" t="str">
        <x:v>Outbound Call</x:v>
      </x:c>
    </x:row>
    <x:row r="2402">
      <x:c r="A2402" t="str">
        <x:v>O002401</x:v>
      </x:c>
      <x:c r="B2402" s="20" t="n">
        <x:v>46194</x:v>
      </x:c>
      <x:c r="C2402" t="str">
        <x:v>C0013</x:v>
      </x:c>
      <x:c r="D2402" t="str">
        <x:v>Foodie Restaurant 13</x:v>
      </x:c>
      <x:c r="E2402" t="str">
        <x:v>Kirana</x:v>
      </x:c>
      <x:c r="F2402" t="str">
        <x:v>Mysuru</x:v>
      </x:c>
      <x:c r="G2402" t="str">
        <x:v>Sneha</x:v>
      </x:c>
      <x:c r="H2402" t="str">
        <x:v>P014</x:v>
      </x:c>
      <x:c r="I2402" t="str">
        <x:v>Rava 5kg</x:v>
      </x:c>
      <x:c r="J2402" t="str">
        <x:v>Flour</x:v>
      </x:c>
      <x:c r="K2402" t="str">
        <x:v>Local Select</x:v>
      </x:c>
      <x:c r="L2402" s="22" t="n">
        <x:v>245</x:v>
      </x:c>
      <x:c r="M2402" t="n">
        <x:v>33</x:v>
      </x:c>
      <x:c r="N2402" s="24" t="n">
        <x:v>0.03</x:v>
      </x:c>
      <x:c r="O2402" s="22" t="n">
        <x:f>L2402*M2402</x:f>
        <x:v>8085</x:v>
      </x:c>
      <x:c r="P2402" s="22" t="n">
        <x:f>O2402*(1-N2402)</x:f>
        <x:v>7842.45</x:v>
      </x:c>
      <x:c r="Q2402" s="22" t="n">
        <x:v>215</x:v>
      </x:c>
      <x:c r="R2402" s="22" t="n">
        <x:f>Q2402*M2402</x:f>
        <x:v>7095</x:v>
      </x:c>
      <x:c r="S2402" s="22" t="n">
        <x:f>P2402-R2402</x:f>
        <x:v>747.4499999999998</x:v>
      </x:c>
      <x:c r="T2402" t="str">
        <x:v>UPI</x:v>
      </x:c>
      <x:c r="U2402" t="str">
        <x:v>Paid</x:v>
      </x:c>
      <x:c r="V2402" t="str">
        <x:v>Cancelled</x:v>
      </x:c>
      <x:c r="W2402" t="n">
        <x:v>33</x:v>
      </x:c>
      <x:c r="X2402" t="str">
        <x:v>Cancelled Order</x:v>
      </x:c>
      <x:c r="Y2402" t="str">
        <x:v>Outbound Call</x:v>
      </x:c>
    </x:row>
    <x:row r="2403">
      <x:c r="A2403" t="str">
        <x:v>O002402</x:v>
      </x:c>
      <x:c r="B2403" s="20" t="n">
        <x:v>45905</x:v>
      </x:c>
      <x:c r="C2403" t="str">
        <x:v>C0016</x:v>
      </x:c>
      <x:c r="D2403" t="str">
        <x:v>Royal Canteen 16</x:v>
      </x:c>
      <x:c r="E2403" t="str">
        <x:v>Cafe</x:v>
      </x:c>
      <x:c r="F2403" t="str">
        <x:v>Davanagere</x:v>
      </x:c>
      <x:c r="G2403" t="str">
        <x:v>Megha</x:v>
      </x:c>
      <x:c r="H2403" t="str">
        <x:v>P018</x:v>
      </x:c>
      <x:c r="I2403" t="str">
        <x:v>Paneer 1kg</x:v>
      </x:c>
      <x:c r="J2403" t="str">
        <x:v>Dairy</x:v>
      </x:c>
      <x:c r="K2403" t="str">
        <x:v>Milky Mist</x:v>
      </x:c>
      <x:c r="L2403" s="22" t="n">
        <x:v>410</x:v>
      </x:c>
      <x:c r="M2403" t="n">
        <x:v>5</x:v>
      </x:c>
      <x:c r="N2403" s="24" t="n">
        <x:v>0.02</x:v>
      </x:c>
      <x:c r="O2403" s="22" t="n">
        <x:f>L2403*M2403</x:f>
        <x:v>2050</x:v>
      </x:c>
      <x:c r="P2403" s="22" t="n">
        <x:f>O2403*(1-N2403)</x:f>
        <x:v>2009</x:v>
      </x:c>
      <x:c r="Q2403" s="22" t="n">
        <x:v>370</x:v>
      </x:c>
      <x:c r="R2403" s="22" t="n">
        <x:f>Q2403*M2403</x:f>
        <x:v>1850</x:v>
      </x:c>
      <x:c r="S2403" s="22" t="n">
        <x:f>P2403-R2403</x:f>
        <x:v>159</x:v>
      </x:c>
      <x:c r="T2403" t="str">
        <x:v>Credit</x:v>
      </x:c>
      <x:c r="U2403" t="str">
        <x:v>Pending</x:v>
      </x:c>
      <x:c r="V2403" t="str">
        <x:v>Delivered</x:v>
      </x:c>
      <x:c r="W2403" t="n">
        <x:v>0</x:v>
      </x:c>
      <x:c r="X2403" t="str"/>
      <x:c r="Y2403" t="str">
        <x:v>Referral</x:v>
      </x:c>
    </x:row>
    <x:row r="2404">
      <x:c r="A2404" t="str">
        <x:v>O002403</x:v>
      </x:c>
      <x:c r="B2404" s="20" t="n">
        <x:v>45763</x:v>
      </x:c>
      <x:c r="C2404" t="str">
        <x:v>C0049</x:v>
      </x:c>
      <x:c r="D2404" t="str">
        <x:v>Namma Stores 49</x:v>
      </x:c>
      <x:c r="E2404" t="str">
        <x:v>Hotel</x:v>
      </x:c>
      <x:c r="F2404" t="str">
        <x:v>Mangaluru</x:v>
      </x:c>
      <x:c r="G2404" t="str">
        <x:v>Sneha</x:v>
      </x:c>
      <x:c r="H2404" t="str">
        <x:v>P034</x:v>
      </x:c>
      <x:c r="I2404" t="str">
        <x:v>Chilli Powder 1kg</x:v>
      </x:c>
      <x:c r="J2404" t="str">
        <x:v>Spices</x:v>
      </x:c>
      <x:c r="K2404" t="str">
        <x:v>MDH</x:v>
      </x:c>
      <x:c r="L2404" s="22" t="n">
        <x:v>340</x:v>
      </x:c>
      <x:c r="M2404" t="n">
        <x:v>18</x:v>
      </x:c>
      <x:c r="N2404" s="24" t="n">
        <x:v>0.03</x:v>
      </x:c>
      <x:c r="O2404" s="22" t="n">
        <x:f>L2404*M2404</x:f>
        <x:v>6120</x:v>
      </x:c>
      <x:c r="P2404" s="22" t="n">
        <x:f>O2404*(1-N2404)</x:f>
        <x:v>5936.4</x:v>
      </x:c>
      <x:c r="Q2404" s="22" t="n">
        <x:v>295</x:v>
      </x:c>
      <x:c r="R2404" s="22" t="n">
        <x:f>Q2404*M2404</x:f>
        <x:v>5310</x:v>
      </x:c>
      <x:c r="S2404" s="22" t="n">
        <x:f>P2404-R2404</x:f>
        <x:v>626.3999999999996</x:v>
      </x:c>
      <x:c r="T2404" t="str">
        <x:v>Bank Transfer</x:v>
      </x:c>
      <x:c r="U2404" t="str">
        <x:v>Paid</x:v>
      </x:c>
      <x:c r="V2404" t="str">
        <x:v>Delivered</x:v>
      </x:c>
      <x:c r="W2404" t="n">
        <x:v>0</x:v>
      </x:c>
      <x:c r="X2404" t="str"/>
      <x:c r="Y2404" t="str">
        <x:v>Existing Customer</x:v>
      </x:c>
    </x:row>
    <x:row r="2405">
      <x:c r="A2405" t="str">
        <x:v>O002404</x:v>
      </x:c>
      <x:c r="B2405" s="20" t="n">
        <x:v>45670</x:v>
      </x:c>
      <x:c r="C2405" t="str">
        <x:v>C0011</x:v>
      </x:c>
      <x:c r="D2405" t="str">
        <x:v>City Cafe 11</x:v>
      </x:c>
      <x:c r="E2405" t="str">
        <x:v>Restaurant</x:v>
      </x:c>
      <x:c r="F2405" t="str">
        <x:v>Mangaluru</x:v>
      </x:c>
      <x:c r="G2405" t="str">
        <x:v>Arjun</x:v>
      </x:c>
      <x:c r="H2405" t="str">
        <x:v>P040</x:v>
      </x:c>
      <x:c r="I2405" t="str">
        <x:v>Bread Loaf 400g</x:v>
      </x:c>
      <x:c r="J2405" t="str">
        <x:v>Bakery</x:v>
      </x:c>
      <x:c r="K2405" t="str">
        <x:v>Britannia</x:v>
      </x:c>
      <x:c r="L2405" s="22" t="n">
        <x:v>45</x:v>
      </x:c>
      <x:c r="M2405" t="n">
        <x:v>7</x:v>
      </x:c>
      <x:c r="N2405" s="24" t="n">
        <x:v>0.08</x:v>
      </x:c>
      <x:c r="O2405" s="22" t="n">
        <x:f>L2405*M2405</x:f>
        <x:v>315</x:v>
      </x:c>
      <x:c r="P2405" s="22" t="n">
        <x:f>O2405*(1-N2405)</x:f>
        <x:v>289.8</x:v>
      </x:c>
      <x:c r="Q2405" s="22" t="n">
        <x:v>35</x:v>
      </x:c>
      <x:c r="R2405" s="22" t="n">
        <x:f>Q2405*M2405</x:f>
        <x:v>245</x:v>
      </x:c>
      <x:c r="S2405" s="22" t="n">
        <x:f>P2405-R2405</x:f>
        <x:v>44.80000000000001</x:v>
      </x:c>
      <x:c r="T2405" t="str">
        <x:v>Cash</x:v>
      </x:c>
      <x:c r="U2405" t="str">
        <x:v>Paid</x:v>
      </x:c>
      <x:c r="V2405" t="str">
        <x:v>Delivered</x:v>
      </x:c>
      <x:c r="W2405" t="n">
        <x:v>0</x:v>
      </x:c>
      <x:c r="X2405" t="str"/>
      <x:c r="Y2405" t="str">
        <x:v>WhatsApp</x:v>
      </x:c>
    </x:row>
    <x:row r="2406">
      <x:c r="A2406" t="str">
        <x:v>O002405</x:v>
      </x:c>
      <x:c r="B2406" s="20" t="n">
        <x:v>46280</x:v>
      </x:c>
      <x:c r="C2406" t="str">
        <x:v>C0010</x:v>
      </x:c>
      <x:c r="D2406" t="str">
        <x:v>Royal Hotel 10</x:v>
      </x:c>
      <x:c r="E2406" t="str">
        <x:v>Canteen</x:v>
      </x:c>
      <x:c r="F2406" t="str">
        <x:v>Davanagere</x:v>
      </x:c>
      <x:c r="G2406" t="str">
        <x:v>Ramesh</x:v>
      </x:c>
      <x:c r="H2406" t="str">
        <x:v>P006</x:v>
      </x:c>
      <x:c r="I2406" t="str">
        <x:v>Moong Dal 5kg</x:v>
      </x:c>
      <x:c r="J2406" t="str">
        <x:v>Pulses</x:v>
      </x:c>
      <x:c r="K2406" t="str">
        <x:v>Local Select</x:v>
      </x:c>
      <x:c r="L2406" s="22" t="n">
        <x:v>610</x:v>
      </x:c>
      <x:c r="M2406" t="n">
        <x:v>3</x:v>
      </x:c>
      <x:c r="N2406" s="24" t="n">
        <x:v>0</x:v>
      </x:c>
      <x:c r="O2406" s="22" t="n">
        <x:f>L2406*M2406</x:f>
        <x:v>1830</x:v>
      </x:c>
      <x:c r="P2406" s="22" t="n">
        <x:f>O2406*(1-N2406)</x:f>
        <x:v>1830</x:v>
      </x:c>
      <x:c r="Q2406" s="22" t="n">
        <x:v>540</x:v>
      </x:c>
      <x:c r="R2406" s="22" t="n">
        <x:f>Q2406*M2406</x:f>
        <x:v>1620</x:v>
      </x:c>
      <x:c r="S2406" s="22" t="n">
        <x:f>P2406-R2406</x:f>
        <x:v>210</x:v>
      </x:c>
      <x:c r="T2406" t="str">
        <x:v>Credit</x:v>
      </x:c>
      <x:c r="U2406" t="str">
        <x:v>Pending</x:v>
      </x:c>
      <x:c r="V2406" t="str">
        <x:v>Cancelled</x:v>
      </x:c>
      <x:c r="W2406" t="n">
        <x:v>3</x:v>
      </x:c>
      <x:c r="X2406" t="str">
        <x:v>Cancelled Order</x:v>
      </x:c>
      <x:c r="Y2406" t="str">
        <x:v>Outbound Call</x:v>
      </x:c>
    </x:row>
    <x:row r="2407">
      <x:c r="A2407" t="str">
        <x:v>O002406</x:v>
      </x:c>
      <x:c r="B2407" s="20" t="n">
        <x:v>46230</x:v>
      </x:c>
      <x:c r="C2407" t="str">
        <x:v>C0156</x:v>
      </x:c>
      <x:c r="D2407" t="str">
        <x:v>Metro Stores 156</x:v>
      </x:c>
      <x:c r="E2407" t="str">
        <x:v>Hotel</x:v>
      </x:c>
      <x:c r="F2407" t="str">
        <x:v>Tumakuru</x:v>
      </x:c>
      <x:c r="G2407" t="str">
        <x:v>Ramesh</x:v>
      </x:c>
      <x:c r="H2407" t="str">
        <x:v>P034</x:v>
      </x:c>
      <x:c r="I2407" t="str">
        <x:v>Chilli Powder 1kg</x:v>
      </x:c>
      <x:c r="J2407" t="str">
        <x:v>Spices</x:v>
      </x:c>
      <x:c r="K2407" t="str">
        <x:v>MDH</x:v>
      </x:c>
      <x:c r="L2407" s="22" t="n">
        <x:v>340</x:v>
      </x:c>
      <x:c r="M2407" t="n">
        <x:v>14</x:v>
      </x:c>
      <x:c r="N2407" s="24" t="n">
        <x:v>0.03</x:v>
      </x:c>
      <x:c r="O2407" s="22" t="n">
        <x:f>L2407*M2407</x:f>
        <x:v>4760</x:v>
      </x:c>
      <x:c r="P2407" s="22" t="n">
        <x:f>O2407*(1-N2407)</x:f>
        <x:v>4617.2</x:v>
      </x:c>
      <x:c r="Q2407" s="22" t="n">
        <x:v>295</x:v>
      </x:c>
      <x:c r="R2407" s="22" t="n">
        <x:f>Q2407*M2407</x:f>
        <x:v>4130</x:v>
      </x:c>
      <x:c r="S2407" s="22" t="n">
        <x:f>P2407-R2407</x:f>
        <x:v>487.1999999999998</x:v>
      </x:c>
      <x:c r="T2407" t="str">
        <x:v>UPI</x:v>
      </x:c>
      <x:c r="U2407" t="str">
        <x:v>Paid</x:v>
      </x:c>
      <x:c r="V2407" t="str">
        <x:v>Delivered</x:v>
      </x:c>
      <x:c r="W2407" t="n">
        <x:v>0</x:v>
      </x:c>
      <x:c r="X2407" t="str"/>
      <x:c r="Y2407" t="str">
        <x:v>WhatsApp</x:v>
      </x:c>
    </x:row>
    <x:row r="2408">
      <x:c r="A2408" t="str">
        <x:v>O002407</x:v>
      </x:c>
      <x:c r="B2408" s="20" t="n">
        <x:v>46090</x:v>
      </x:c>
      <x:c r="C2408" t="str">
        <x:v>C0205</x:v>
      </x:c>
      <x:c r="D2408" t="str">
        <x:v>Royal Mart 205</x:v>
      </x:c>
      <x:c r="E2408" t="str">
        <x:v>Kirana</x:v>
      </x:c>
      <x:c r="F2408" t="str">
        <x:v>Mysuru</x:v>
      </x:c>
      <x:c r="G2408" t="str">
        <x:v>Priya</x:v>
      </x:c>
      <x:c r="H2408" t="str">
        <x:v>P034</x:v>
      </x:c>
      <x:c r="I2408" t="str">
        <x:v>Chilli Powder 1kg</x:v>
      </x:c>
      <x:c r="J2408" t="str">
        <x:v>Spices</x:v>
      </x:c>
      <x:c r="K2408" t="str">
        <x:v>MDH</x:v>
      </x:c>
      <x:c r="L2408" s="22" t="n">
        <x:v>340</x:v>
      </x:c>
      <x:c r="M2408" t="n">
        <x:v>8</x:v>
      </x:c>
      <x:c r="N2408" s="24" t="n">
        <x:v>0</x:v>
      </x:c>
      <x:c r="O2408" s="22" t="n">
        <x:f>L2408*M2408</x:f>
        <x:v>2720</x:v>
      </x:c>
      <x:c r="P2408" s="22" t="n">
        <x:f>O2408*(1-N2408)</x:f>
        <x:v>2720</x:v>
      </x:c>
      <x:c r="Q2408" s="22" t="n">
        <x:v>295</x:v>
      </x:c>
      <x:c r="R2408" s="22" t="n">
        <x:f>Q2408*M2408</x:f>
        <x:v>2360</x:v>
      </x:c>
      <x:c r="S2408" s="22" t="n">
        <x:f>P2408-R2408</x:f>
        <x:v>360</x:v>
      </x:c>
      <x:c r="T2408" t="str">
        <x:v>Credit</x:v>
      </x:c>
      <x:c r="U2408" t="str">
        <x:v>Pending</x:v>
      </x:c>
      <x:c r="V2408" t="str">
        <x:v>Delivered</x:v>
      </x:c>
      <x:c r="W2408" t="n">
        <x:v>0</x:v>
      </x:c>
      <x:c r="X2408" t="str"/>
      <x:c r="Y2408" t="str">
        <x:v>Existing Customer</x:v>
      </x:c>
    </x:row>
    <x:row r="2409">
      <x:c r="A2409" t="str">
        <x:v>O002408</x:v>
      </x:c>
      <x:c r="B2409" s="20" t="n">
        <x:v>45861</x:v>
      </x:c>
      <x:c r="C2409" t="str">
        <x:v>C0134</x:v>
      </x:c>
      <x:c r="D2409" t="str">
        <x:v>Annapurna Stores 134</x:v>
      </x:c>
      <x:c r="E2409" t="str">
        <x:v>Cafe</x:v>
      </x:c>
      <x:c r="F2409" t="str">
        <x:v>Bengaluru</x:v>
      </x:c>
      <x:c r="G2409" t="str">
        <x:v>Kavya</x:v>
      </x:c>
      <x:c r="H2409" t="str">
        <x:v>P013</x:v>
      </x:c>
      <x:c r="I2409" t="str">
        <x:v>Atta 10kg</x:v>
      </x:c>
      <x:c r="J2409" t="str">
        <x:v>Flour</x:v>
      </x:c>
      <x:c r="K2409" t="str">
        <x:v>Aashirvaad</x:v>
      </x:c>
      <x:c r="L2409" s="22" t="n">
        <x:v>560</x:v>
      </x:c>
      <x:c r="M2409" t="n">
        <x:v>11</x:v>
      </x:c>
      <x:c r="N2409" s="24" t="n">
        <x:v>0.03</x:v>
      </x:c>
      <x:c r="O2409" s="22" t="n">
        <x:f>L2409*M2409</x:f>
        <x:v>6160</x:v>
      </x:c>
      <x:c r="P2409" s="22" t="n">
        <x:f>O2409*(1-N2409)</x:f>
        <x:v>5975.2</x:v>
      </x:c>
      <x:c r="Q2409" s="22" t="n">
        <x:v>495</x:v>
      </x:c>
      <x:c r="R2409" s="22" t="n">
        <x:f>Q2409*M2409</x:f>
        <x:v>5445</x:v>
      </x:c>
      <x:c r="S2409" s="22" t="n">
        <x:f>P2409-R2409</x:f>
        <x:v>530.1999999999998</x:v>
      </x:c>
      <x:c r="T2409" t="str">
        <x:v>Credit</x:v>
      </x:c>
      <x:c r="U2409" t="str">
        <x:v>Pending</x:v>
      </x:c>
      <x:c r="V2409" t="str">
        <x:v>Cancelled</x:v>
      </x:c>
      <x:c r="W2409" t="n">
        <x:v>11</x:v>
      </x:c>
      <x:c r="X2409" t="str">
        <x:v>Cancelled Order</x:v>
      </x:c>
      <x:c r="Y2409" t="str">
        <x:v>Field Visit</x:v>
      </x:c>
    </x:row>
    <x:row r="2410">
      <x:c r="A2410" t="str">
        <x:v>O002409</x:v>
      </x:c>
      <x:c r="B2410" s="20" t="n">
        <x:v>45870</x:v>
      </x:c>
      <x:c r="C2410" t="str">
        <x:v>C0086</x:v>
      </x:c>
      <x:c r="D2410" t="str">
        <x:v>Foodie Canteen 86</x:v>
      </x:c>
      <x:c r="E2410" t="str">
        <x:v>Kirana</x:v>
      </x:c>
      <x:c r="F2410" t="str">
        <x:v>Hubballi</x:v>
      </x:c>
      <x:c r="G2410" t="str">
        <x:v>Sneha</x:v>
      </x:c>
      <x:c r="H2410" t="str">
        <x:v>P035</x:v>
      </x:c>
      <x:c r="I2410" t="str">
        <x:v>Coriander Powder 1kg</x:v>
      </x:c>
      <x:c r="J2410" t="str">
        <x:v>Spices</x:v>
      </x:c>
      <x:c r="K2410" t="str">
        <x:v>Everest</x:v>
      </x:c>
      <x:c r="L2410" s="22" t="n">
        <x:v>280</x:v>
      </x:c>
      <x:c r="M2410" t="n">
        <x:v>24</x:v>
      </x:c>
      <x:c r="N2410" s="24" t="n">
        <x:v>0</x:v>
      </x:c>
      <x:c r="O2410" s="22" t="n">
        <x:f>L2410*M2410</x:f>
        <x:v>6720</x:v>
      </x:c>
      <x:c r="P2410" s="22" t="n">
        <x:f>O2410*(1-N2410)</x:f>
        <x:v>6720</x:v>
      </x:c>
      <x:c r="Q2410" s="22" t="n">
        <x:v>245</x:v>
      </x:c>
      <x:c r="R2410" s="22" t="n">
        <x:f>Q2410*M2410</x:f>
        <x:v>5880</x:v>
      </x:c>
      <x:c r="S2410" s="22" t="n">
        <x:f>P2410-R2410</x:f>
        <x:v>840</x:v>
      </x:c>
      <x:c r="T2410" t="str">
        <x:v>Cash</x:v>
      </x:c>
      <x:c r="U2410" t="str">
        <x:v>Paid</x:v>
      </x:c>
      <x:c r="V2410" t="str">
        <x:v>Delivered</x:v>
      </x:c>
      <x:c r="W2410" t="n">
        <x:v>0</x:v>
      </x:c>
      <x:c r="X2410" t="str"/>
      <x:c r="Y2410" t="str">
        <x:v>WhatsApp</x:v>
      </x:c>
    </x:row>
    <x:row r="2411">
      <x:c r="A2411" t="str">
        <x:v>O002410</x:v>
      </x:c>
      <x:c r="B2411" s="20" t="n">
        <x:v>46216</x:v>
      </x:c>
      <x:c r="C2411" t="str">
        <x:v>C0181</x:v>
      </x:c>
      <x:c r="D2411" t="str">
        <x:v>Darshini Mart 181</x:v>
      </x:c>
      <x:c r="E2411" t="str">
        <x:v>Restaurant</x:v>
      </x:c>
      <x:c r="F2411" t="str">
        <x:v>Mangaluru</x:v>
      </x:c>
      <x:c r="G2411" t="str">
        <x:v>Kavya</x:v>
      </x:c>
      <x:c r="H2411" t="str">
        <x:v>P010</x:v>
      </x:c>
      <x:c r="I2411" t="str">
        <x:v>Sugar 25kg</x:v>
      </x:c>
      <x:c r="J2411" t="str">
        <x:v>Staples</x:v>
      </x:c>
      <x:c r="K2411" t="str">
        <x:v>Madhur</x:v>
      </x:c>
      <x:c r="L2411" s="22" t="n">
        <x:v>1190</x:v>
      </x:c>
      <x:c r="M2411" t="n">
        <x:v>4</x:v>
      </x:c>
      <x:c r="N2411" s="24" t="n">
        <x:v>0.02</x:v>
      </x:c>
      <x:c r="O2411" s="22" t="n">
        <x:f>L2411*M2411</x:f>
        <x:v>4760</x:v>
      </x:c>
      <x:c r="P2411" s="22" t="n">
        <x:f>O2411*(1-N2411)</x:f>
        <x:v>4664.8</x:v>
      </x:c>
      <x:c r="Q2411" s="22" t="n">
        <x:v>1080</x:v>
      </x:c>
      <x:c r="R2411" s="22" t="n">
        <x:f>Q2411*M2411</x:f>
        <x:v>4320</x:v>
      </x:c>
      <x:c r="S2411" s="22" t="n">
        <x:f>P2411-R2411</x:f>
        <x:v>344.8000000000002</x:v>
      </x:c>
      <x:c r="T2411" t="str">
        <x:v>Bank Transfer</x:v>
      </x:c>
      <x:c r="U2411" t="str">
        <x:v>Overdue</x:v>
      </x:c>
      <x:c r="V2411" t="str">
        <x:v>Delayed</x:v>
      </x:c>
      <x:c r="W2411" t="n">
        <x:v>0</x:v>
      </x:c>
      <x:c r="X2411" t="str"/>
      <x:c r="Y2411" t="str">
        <x:v>Existing Customer</x:v>
      </x:c>
    </x:row>
    <x:row r="2412">
      <x:c r="A2412" t="str">
        <x:v>O002411</x:v>
      </x:c>
      <x:c r="B2412" s="20" t="n">
        <x:v>45947</x:v>
      </x:c>
      <x:c r="C2412" t="str">
        <x:v>C0131</x:v>
      </x:c>
      <x:c r="D2412" t="str">
        <x:v>Foodie Canteen 131</x:v>
      </x:c>
      <x:c r="E2412" t="str">
        <x:v>Canteen</x:v>
      </x:c>
      <x:c r="F2412" t="str">
        <x:v>Davanagere</x:v>
      </x:c>
      <x:c r="G2412" t="str">
        <x:v>Arjun</x:v>
      </x:c>
      <x:c r="H2412" t="str">
        <x:v>P011</x:v>
      </x:c>
      <x:c r="I2412" t="str">
        <x:v>Salt 1kg</x:v>
      </x:c>
      <x:c r="J2412" t="str">
        <x:v>Staples</x:v>
      </x:c>
      <x:c r="K2412" t="str">
        <x:v>Tata</x:v>
      </x:c>
      <x:c r="L2412" s="22" t="n">
        <x:v>28</x:v>
      </x:c>
      <x:c r="M2412" t="n">
        <x:v>11</x:v>
      </x:c>
      <x:c r="N2412" s="24" t="n">
        <x:v>0.02</x:v>
      </x:c>
      <x:c r="O2412" s="22" t="n">
        <x:f>L2412*M2412</x:f>
        <x:v>308</x:v>
      </x:c>
      <x:c r="P2412" s="22" t="n">
        <x:f>O2412*(1-N2412)</x:f>
        <x:v>301.84</x:v>
      </x:c>
      <x:c r="Q2412" s="22" t="n">
        <x:v>23</x:v>
      </x:c>
      <x:c r="R2412" s="22" t="n">
        <x:f>Q2412*M2412</x:f>
        <x:v>253</x:v>
      </x:c>
      <x:c r="S2412" s="22" t="n">
        <x:f>P2412-R2412</x:f>
        <x:v>48.839999999999975</x:v>
      </x:c>
      <x:c r="T2412" t="str">
        <x:v>Bank Transfer</x:v>
      </x:c>
      <x:c r="U2412" t="str">
        <x:v>Paid</x:v>
      </x:c>
      <x:c r="V2412" t="str">
        <x:v>Cancelled</x:v>
      </x:c>
      <x:c r="W2412" t="n">
        <x:v>11</x:v>
      </x:c>
      <x:c r="X2412" t="str">
        <x:v>Cancelled Order</x:v>
      </x:c>
      <x:c r="Y2412" t="str">
        <x:v>WhatsApp</x:v>
      </x:c>
    </x:row>
    <x:row r="2413">
      <x:c r="A2413" t="str">
        <x:v>O002412</x:v>
      </x:c>
      <x:c r="B2413" s="20" t="n">
        <x:v>45996</x:v>
      </x:c>
      <x:c r="C2413" t="str">
        <x:v>C0012</x:v>
      </x:c>
      <x:c r="D2413" t="str">
        <x:v>Sagar Canteen 12</x:v>
      </x:c>
      <x:c r="E2413" t="str">
        <x:v>Supermarket</x:v>
      </x:c>
      <x:c r="F2413" t="str">
        <x:v>Mysuru</x:v>
      </x:c>
      <x:c r="G2413" t="str">
        <x:v>Priya</x:v>
      </x:c>
      <x:c r="H2413" t="str">
        <x:v>P005</x:v>
      </x:c>
      <x:c r="I2413" t="str">
        <x:v>Chana Dal 5kg</x:v>
      </x:c>
      <x:c r="J2413" t="str">
        <x:v>Pulses</x:v>
      </x:c>
      <x:c r="K2413" t="str">
        <x:v>Local Select</x:v>
      </x:c>
      <x:c r="L2413" s="22" t="n">
        <x:v>520</x:v>
      </x:c>
      <x:c r="M2413" t="n">
        <x:v>35</x:v>
      </x:c>
      <x:c r="N2413" s="24" t="n">
        <x:v>0.05</x:v>
      </x:c>
      <x:c r="O2413" s="22" t="n">
        <x:f>L2413*M2413</x:f>
        <x:v>18200</x:v>
      </x:c>
      <x:c r="P2413" s="22" t="n">
        <x:f>O2413*(1-N2413)</x:f>
        <x:v>17290</x:v>
      </x:c>
      <x:c r="Q2413" s="22" t="n">
        <x:v>455</x:v>
      </x:c>
      <x:c r="R2413" s="22" t="n">
        <x:f>Q2413*M2413</x:f>
        <x:v>15925</x:v>
      </x:c>
      <x:c r="S2413" s="22" t="n">
        <x:f>P2413-R2413</x:f>
        <x:v>1365</x:v>
      </x:c>
      <x:c r="T2413" t="str">
        <x:v>Credit</x:v>
      </x:c>
      <x:c r="U2413" t="str">
        <x:v>Paid</x:v>
      </x:c>
      <x:c r="V2413" t="str">
        <x:v>Delivered</x:v>
      </x:c>
      <x:c r="W2413" t="n">
        <x:v>0</x:v>
      </x:c>
      <x:c r="X2413" t="str"/>
      <x:c r="Y2413" t="str"/>
    </x:row>
    <x:row r="2414">
      <x:c r="A2414" t="str">
        <x:v>O002413</x:v>
      </x:c>
      <x:c r="B2414" s="20" t="n">
        <x:v>45865</x:v>
      </x:c>
      <x:c r="C2414" t="str">
        <x:v>C0224</x:v>
      </x:c>
      <x:c r="D2414" t="str">
        <x:v>Royal Foods 224</x:v>
      </x:c>
      <x:c r="E2414" t="str">
        <x:v>Canteen</x:v>
      </x:c>
      <x:c r="F2414" t="str">
        <x:v>Tumakuru</x:v>
      </x:c>
      <x:c r="G2414" t="str">
        <x:v>Arjun</x:v>
      </x:c>
      <x:c r="H2414" t="str">
        <x:v>P050</x:v>
      </x:c>
      <x:c r="I2414" t="str">
        <x:v>Lemon 5kg</x:v>
      </x:c>
      <x:c r="J2414" t="str">
        <x:v>Fresh Produce</x:v>
      </x:c>
      <x:c r="K2414" t="str">
        <x:v>Local Market</x:v>
      </x:c>
      <x:c r="L2414" s="22" t="n">
        <x:v>360</x:v>
      </x:c>
      <x:c r="M2414" t="n">
        <x:v>1</x:v>
      </x:c>
      <x:c r="N2414" s="24" t="n">
        <x:v>0</x:v>
      </x:c>
      <x:c r="O2414" s="22" t="n">
        <x:f>L2414*M2414</x:f>
        <x:v>360</x:v>
      </x:c>
      <x:c r="P2414" s="22" t="n">
        <x:f>O2414*(1-N2414)</x:f>
        <x:v>360</x:v>
      </x:c>
      <x:c r="Q2414" s="22" t="n">
        <x:v>300</x:v>
      </x:c>
      <x:c r="R2414" s="22" t="n">
        <x:f>Q2414*M2414</x:f>
        <x:v>300</x:v>
      </x:c>
      <x:c r="S2414" s="22" t="n">
        <x:f>P2414-R2414</x:f>
        <x:v>60</x:v>
      </x:c>
      <x:c r="T2414" t="str">
        <x:v>Cash</x:v>
      </x:c>
      <x:c r="U2414" t="str">
        <x:v>Paid</x:v>
      </x:c>
      <x:c r="V2414" t="str">
        <x:v>Delivered</x:v>
      </x:c>
      <x:c r="W2414" t="n">
        <x:v>0</x:v>
      </x:c>
      <x:c r="X2414" t="str"/>
      <x:c r="Y2414" t="str">
        <x:v>WhatsApp</x:v>
      </x:c>
    </x:row>
    <x:row r="2415">
      <x:c r="A2415" t="str">
        <x:v>O002414</x:v>
      </x:c>
      <x:c r="B2415" s="20" t="n">
        <x:v>45885</x:v>
      </x:c>
      <x:c r="C2415" t="str">
        <x:v>C0144</x:v>
      </x:c>
      <x:c r="D2415" t="str">
        <x:v>Namma Foods 144</x:v>
      </x:c>
      <x:c r="E2415" t="str">
        <x:v>Restaurant</x:v>
      </x:c>
      <x:c r="F2415" t="str">
        <x:v>Tumakuru</x:v>
      </x:c>
      <x:c r="G2415" t="str">
        <x:v>Arjun</x:v>
      </x:c>
      <x:c r="H2415" t="str">
        <x:v>P042</x:v>
      </x:c>
      <x:c r="I2415" t="str">
        <x:v>Eggs 30pc Tray</x:v>
      </x:c>
      <x:c r="J2415" t="str">
        <x:v>Protein</x:v>
      </x:c>
      <x:c r="K2415" t="str">
        <x:v>Farm Fresh</x:v>
      </x:c>
      <x:c r="L2415" s="22" t="n">
        <x:v>195</x:v>
      </x:c>
      <x:c r="M2415" t="n">
        <x:v>17</x:v>
      </x:c>
      <x:c r="N2415" s="24" t="n">
        <x:v>0.02</x:v>
      </x:c>
      <x:c r="O2415" s="22" t="n">
        <x:f>L2415*M2415</x:f>
        <x:v>3315</x:v>
      </x:c>
      <x:c r="P2415" s="22" t="n">
        <x:f>O2415*(1-N2415)</x:f>
        <x:v>3248.7</x:v>
      </x:c>
      <x:c r="Q2415" s="22" t="n">
        <x:v>170</x:v>
      </x:c>
      <x:c r="R2415" s="22" t="n">
        <x:f>Q2415*M2415</x:f>
        <x:v>2890</x:v>
      </x:c>
      <x:c r="S2415" s="22" t="n">
        <x:f>P2415-R2415</x:f>
        <x:v>358.6999999999998</x:v>
      </x:c>
      <x:c r="T2415" t="str">
        <x:v>Cash</x:v>
      </x:c>
      <x:c r="U2415" t="str">
        <x:v>Pending</x:v>
      </x:c>
      <x:c r="V2415" t="str">
        <x:v>Cancelled</x:v>
      </x:c>
      <x:c r="W2415" t="n">
        <x:v>17</x:v>
      </x:c>
      <x:c r="X2415" t="str">
        <x:v>Cancelled Order</x:v>
      </x:c>
      <x:c r="Y2415" t="str">
        <x:v>Outbound Call</x:v>
      </x:c>
    </x:row>
    <x:row r="2416">
      <x:c r="A2416" t="str">
        <x:v>O002415</x:v>
      </x:c>
      <x:c r="B2416" s="20" t="n">
        <x:v>46037</x:v>
      </x:c>
      <x:c r="C2416" t="str">
        <x:v>C0033</x:v>
      </x:c>
      <x:c r="D2416" t="str">
        <x:v>Shree Canteen 33</x:v>
      </x:c>
      <x:c r="E2416" t="str">
        <x:v>Canteen</x:v>
      </x:c>
      <x:c r="F2416" t="str">
        <x:v>Mangaluru</x:v>
      </x:c>
      <x:c r="G2416" t="str">
        <x:v>Imran</x:v>
      </x:c>
      <x:c r="H2416" t="str">
        <x:v>P034</x:v>
      </x:c>
      <x:c r="I2416" t="str">
        <x:v>Chilli Powder 1kg</x:v>
      </x:c>
      <x:c r="J2416" t="str">
        <x:v>Spices</x:v>
      </x:c>
      <x:c r="K2416" t="str">
        <x:v>MDH</x:v>
      </x:c>
      <x:c r="L2416" s="22" t="n">
        <x:v>340</x:v>
      </x:c>
      <x:c r="M2416" t="n">
        <x:v>20</x:v>
      </x:c>
      <x:c r="N2416" s="24" t="n">
        <x:v>0.03</x:v>
      </x:c>
      <x:c r="O2416" s="22" t="n">
        <x:f>L2416*M2416</x:f>
        <x:v>6800</x:v>
      </x:c>
      <x:c r="P2416" s="22" t="n">
        <x:f>O2416*(1-N2416)</x:f>
        <x:v>6596</x:v>
      </x:c>
      <x:c r="Q2416" s="22" t="n">
        <x:v>295</x:v>
      </x:c>
      <x:c r="R2416" s="22" t="n">
        <x:f>Q2416*M2416</x:f>
        <x:v>5900</x:v>
      </x:c>
      <x:c r="S2416" s="22" t="n">
        <x:f>P2416-R2416</x:f>
        <x:v>696</x:v>
      </x:c>
      <x:c r="T2416" t="str">
        <x:v>Bank Transfer</x:v>
      </x:c>
      <x:c r="U2416" t="str">
        <x:v>Paid</x:v>
      </x:c>
      <x:c r="V2416" t="str">
        <x:v>Delayed</x:v>
      </x:c>
      <x:c r="W2416" t="n">
        <x:v>0</x:v>
      </x:c>
      <x:c r="X2416" t="str"/>
      <x:c r="Y2416" t="str">
        <x:v>WhatsApp</x:v>
      </x:c>
    </x:row>
    <x:row r="2417">
      <x:c r="A2417" t="str">
        <x:v>O002416</x:v>
      </x:c>
      <x:c r="B2417" s="20" t="n">
        <x:v>46206</x:v>
      </x:c>
      <x:c r="C2417" t="str">
        <x:v>C0241</x:v>
      </x:c>
      <x:c r="D2417" t="str">
        <x:v>Annapurna Restaurant 241</x:v>
      </x:c>
      <x:c r="E2417" t="str">
        <x:v>Hotel</x:v>
      </x:c>
      <x:c r="F2417" t="str">
        <x:v>Tumakuru</x:v>
      </x:c>
      <x:c r="G2417" t="str">
        <x:v>Imran</x:v>
      </x:c>
      <x:c r="H2417" t="str">
        <x:v>P001</x:v>
      </x:c>
      <x:c r="I2417" t="str">
        <x:v>Steam Rice 25kg</x:v>
      </x:c>
      <x:c r="J2417" t="str">
        <x:v>Staples</x:v>
      </x:c>
      <x:c r="K2417" t="str">
        <x:v>Aishwarya</x:v>
      </x:c>
      <x:c r="L2417" s="22" t="n">
        <x:v>1180</x:v>
      </x:c>
      <x:c r="M2417" t="n">
        <x:v>8</x:v>
      </x:c>
      <x:c r="N2417" s="24" t="n">
        <x:v>0</x:v>
      </x:c>
      <x:c r="O2417" s="22" t="n">
        <x:f>L2417*M2417</x:f>
        <x:v>9440</x:v>
      </x:c>
      <x:c r="P2417" s="22" t="n">
        <x:f>O2417*(1-N2417)</x:f>
        <x:v>9440</x:v>
      </x:c>
      <x:c r="Q2417" s="22" t="n">
        <x:v>1040</x:v>
      </x:c>
      <x:c r="R2417" s="22" t="n">
        <x:f>Q2417*M2417</x:f>
        <x:v>8320</x:v>
      </x:c>
      <x:c r="S2417" s="22" t="n">
        <x:f>P2417-R2417</x:f>
        <x:v>1120</x:v>
      </x:c>
      <x:c r="T2417" t="str">
        <x:v>UPI</x:v>
      </x:c>
      <x:c r="U2417" t="str">
        <x:v>Paid</x:v>
      </x:c>
      <x:c r="V2417" t="str">
        <x:v>Delivered</x:v>
      </x:c>
      <x:c r="W2417" t="n">
        <x:v>0</x:v>
      </x:c>
      <x:c r="X2417" t="str"/>
      <x:c r="Y2417" t="str">
        <x:v>Referral</x:v>
      </x:c>
    </x:row>
    <x:row r="2418">
      <x:c r="A2418" t="str">
        <x:v>O002417</x:v>
      </x:c>
      <x:c r="B2418" s="20" t="n">
        <x:v>46138</x:v>
      </x:c>
      <x:c r="C2418" t="str">
        <x:v>C0204</x:v>
      </x:c>
      <x:c r="D2418" t="str">
        <x:v>Udupi Stores 204</x:v>
      </x:c>
      <x:c r="E2418" t="str">
        <x:v>Kirana</x:v>
      </x:c>
      <x:c r="F2418" t="str">
        <x:v>Bengaluru</x:v>
      </x:c>
      <x:c r="G2418" t="str">
        <x:v>Vikram</x:v>
      </x:c>
      <x:c r="H2418" t="str">
        <x:v>P031</x:v>
      </x:c>
      <x:c r="I2418" t="str">
        <x:v>Chilli Sauce 700g</x:v>
      </x:c>
      <x:c r="J2418" t="str">
        <x:v>Condiments</x:v>
      </x:c>
      <x:c r="K2418" t="str">
        <x:v>Ching's</x:v>
      </x:c>
      <x:c r="L2418" s="22" t="n">
        <x:v>130</x:v>
      </x:c>
      <x:c r="M2418" t="n">
        <x:v>30</x:v>
      </x:c>
      <x:c r="N2418" s="24" t="n">
        <x:v>0.08</x:v>
      </x:c>
      <x:c r="O2418" s="22" t="n">
        <x:f>L2418*M2418</x:f>
        <x:v>3900</x:v>
      </x:c>
      <x:c r="P2418" s="22" t="n">
        <x:f>O2418*(1-N2418)</x:f>
        <x:v>3588</x:v>
      </x:c>
      <x:c r="Q2418" s="22" t="n">
        <x:v>112</x:v>
      </x:c>
      <x:c r="R2418" s="22" t="n">
        <x:f>Q2418*M2418</x:f>
        <x:v>3360</x:v>
      </x:c>
      <x:c r="S2418" s="22" t="n">
        <x:f>P2418-R2418</x:f>
        <x:v>228</x:v>
      </x:c>
      <x:c r="T2418" t="str">
        <x:v>UPI</x:v>
      </x:c>
      <x:c r="U2418" t="str">
        <x:v>Paid</x:v>
      </x:c>
      <x:c r="V2418" t="str">
        <x:v>Delayed</x:v>
      </x:c>
      <x:c r="W2418" t="n">
        <x:v>0</x:v>
      </x:c>
      <x:c r="X2418" t="str"/>
      <x:c r="Y2418" t="str">
        <x:v>Field Visit</x:v>
      </x:c>
    </x:row>
    <x:row r="2419">
      <x:c r="A2419" t="str">
        <x:v>O002418</x:v>
      </x:c>
      <x:c r="B2419" s="20" t="n">
        <x:v>46150</x:v>
      </x:c>
      <x:c r="C2419" t="str">
        <x:v>C0033</x:v>
      </x:c>
      <x:c r="D2419" t="str">
        <x:v>Shree Canteen 33</x:v>
      </x:c>
      <x:c r="E2419" t="str">
        <x:v>Canteen</x:v>
      </x:c>
      <x:c r="F2419" t="str">
        <x:v>Mangaluru</x:v>
      </x:c>
      <x:c r="G2419" t="str">
        <x:v>Imran</x:v>
      </x:c>
      <x:c r="H2419" t="str">
        <x:v>P045</x:v>
      </x:c>
      <x:c r="I2419" t="str">
        <x:v>Onion 25kg</x:v>
      </x:c>
      <x:c r="J2419" t="str">
        <x:v>Fresh Produce</x:v>
      </x:c>
      <x:c r="K2419" t="str">
        <x:v>Local Market</x:v>
      </x:c>
      <x:c r="L2419" s="22" t="n">
        <x:v>875</x:v>
      </x:c>
      <x:c r="M2419" t="n">
        <x:v>33</x:v>
      </x:c>
      <x:c r="N2419" s="24" t="n">
        <x:v>0.08</x:v>
      </x:c>
      <x:c r="O2419" s="22" t="n">
        <x:f>L2419*M2419</x:f>
        <x:v>28875</x:v>
      </x:c>
      <x:c r="P2419" s="22" t="n">
        <x:f>O2419*(1-N2419)</x:f>
        <x:v>26565</x:v>
      </x:c>
      <x:c r="Q2419" s="22" t="n">
        <x:v>760</x:v>
      </x:c>
      <x:c r="R2419" s="22" t="n">
        <x:f>Q2419*M2419</x:f>
        <x:v>25080</x:v>
      </x:c>
      <x:c r="S2419" s="22" t="n">
        <x:f>P2419-R2419</x:f>
        <x:v>1485</x:v>
      </x:c>
      <x:c r="T2419" t="str">
        <x:v>Bank Transfer</x:v>
      </x:c>
      <x:c r="U2419" t="str">
        <x:v>Paid</x:v>
      </x:c>
      <x:c r="V2419" t="str">
        <x:v>Delayed</x:v>
      </x:c>
      <x:c r="W2419" t="n">
        <x:v>0</x:v>
      </x:c>
      <x:c r="X2419" t="str"/>
      <x:c r="Y2419" t="str"/>
    </x:row>
    <x:row r="2420">
      <x:c r="A2420" t="str">
        <x:v>O002419</x:v>
      </x:c>
      <x:c r="B2420" s="20" t="n">
        <x:v>45807</x:v>
      </x:c>
      <x:c r="C2420" t="str">
        <x:v>C0233</x:v>
      </x:c>
      <x:c r="D2420" t="str">
        <x:v>Shree Mart 233</x:v>
      </x:c>
      <x:c r="E2420" t="str">
        <x:v>Kirana</x:v>
      </x:c>
      <x:c r="F2420" t="str">
        <x:v>Mangaluru</x:v>
      </x:c>
      <x:c r="G2420" t="str">
        <x:v>Priya</x:v>
      </x:c>
      <x:c r="H2420" t="str">
        <x:v>P006</x:v>
      </x:c>
      <x:c r="I2420" t="str">
        <x:v>Moong Dal 5kg</x:v>
      </x:c>
      <x:c r="J2420" t="str">
        <x:v>Pulses</x:v>
      </x:c>
      <x:c r="K2420" t="str">
        <x:v>Local Select</x:v>
      </x:c>
      <x:c r="L2420" s="22" t="n">
        <x:v>610</x:v>
      </x:c>
      <x:c r="M2420" t="n">
        <x:v>5</x:v>
      </x:c>
      <x:c r="N2420" s="24" t="n">
        <x:v>0</x:v>
      </x:c>
      <x:c r="O2420" s="22" t="n">
        <x:f>L2420*M2420</x:f>
        <x:v>3050</x:v>
      </x:c>
      <x:c r="P2420" s="22" t="n">
        <x:f>O2420*(1-N2420)</x:f>
        <x:v>3050</x:v>
      </x:c>
      <x:c r="Q2420" s="22" t="n">
        <x:v>540</x:v>
      </x:c>
      <x:c r="R2420" s="22" t="n">
        <x:f>Q2420*M2420</x:f>
        <x:v>2700</x:v>
      </x:c>
      <x:c r="S2420" s="22" t="n">
        <x:f>P2420-R2420</x:f>
        <x:v>350</x:v>
      </x:c>
      <x:c r="T2420" t="str">
        <x:v>Bank Transfer</x:v>
      </x:c>
      <x:c r="U2420" t="str">
        <x:v>Paid</x:v>
      </x:c>
      <x:c r="V2420" t="str">
        <x:v>Delivered</x:v>
      </x:c>
      <x:c r="W2420" t="n">
        <x:v>0</x:v>
      </x:c>
      <x:c r="X2420" t="str"/>
      <x:c r="Y2420" t="str">
        <x:v>Field Visit</x:v>
      </x:c>
    </x:row>
    <x:row r="2421">
      <x:c r="A2421" t="str">
        <x:v>O002420</x:v>
      </x:c>
      <x:c r="B2421" s="20" t="n">
        <x:v>45711</x:v>
      </x:c>
      <x:c r="C2421" t="str">
        <x:v>C0126</x:v>
      </x:c>
      <x:c r="D2421" t="str">
        <x:v>Mysore Hotel 126</x:v>
      </x:c>
      <x:c r="E2421" t="str">
        <x:v>Restaurant</x:v>
      </x:c>
      <x:c r="F2421" t="str">
        <x:v>Mangaluru</x:v>
      </x:c>
      <x:c r="G2421" t="str">
        <x:v>Vikram</x:v>
      </x:c>
      <x:c r="H2421" t="str">
        <x:v>P014</x:v>
      </x:c>
      <x:c r="I2421" t="str">
        <x:v>Rava 5kg</x:v>
      </x:c>
      <x:c r="J2421" t="str">
        <x:v>Flour</x:v>
      </x:c>
      <x:c r="K2421" t="str">
        <x:v>Local Select</x:v>
      </x:c>
      <x:c r="L2421" s="22" t="n">
        <x:v>245</x:v>
      </x:c>
      <x:c r="M2421" t="n">
        <x:v>23</x:v>
      </x:c>
      <x:c r="N2421" s="24" t="n">
        <x:v>0.05</x:v>
      </x:c>
      <x:c r="O2421" s="22" t="n">
        <x:f>L2421*M2421</x:f>
        <x:v>5635</x:v>
      </x:c>
      <x:c r="P2421" s="22" t="n">
        <x:f>O2421*(1-N2421)</x:f>
        <x:v>5353.25</x:v>
      </x:c>
      <x:c r="Q2421" s="22" t="n">
        <x:v>215</x:v>
      </x:c>
      <x:c r="R2421" s="22" t="n">
        <x:f>Q2421*M2421</x:f>
        <x:v>4945</x:v>
      </x:c>
      <x:c r="S2421" s="22" t="n">
        <x:f>P2421-R2421</x:f>
        <x:v>408.25</x:v>
      </x:c>
      <x:c r="T2421" t="str">
        <x:v>Credit</x:v>
      </x:c>
      <x:c r="U2421" t="str">
        <x:v>Pending</x:v>
      </x:c>
      <x:c r="V2421" t="str">
        <x:v>Cancelled</x:v>
      </x:c>
      <x:c r="W2421" t="n">
        <x:v>23</x:v>
      </x:c>
      <x:c r="X2421" t="str">
        <x:v>Cancelled Order</x:v>
      </x:c>
      <x:c r="Y2421" t="str">
        <x:v>WhatsApp</x:v>
      </x:c>
    </x:row>
    <x:row r="2422">
      <x:c r="A2422" t="str">
        <x:v>O002421</x:v>
      </x:c>
      <x:c r="B2422" s="20" t="n">
        <x:v>46095</x:v>
      </x:c>
      <x:c r="C2422" t="str">
        <x:v>C0025</x:v>
      </x:c>
      <x:c r="D2422" t="str">
        <x:v>Sri Cafe 25</x:v>
      </x:c>
      <x:c r="E2422" t="str">
        <x:v>Hotel</x:v>
      </x:c>
      <x:c r="F2422" t="str">
        <x:v>Mysuru</x:v>
      </x:c>
      <x:c r="G2422" t="str">
        <x:v>Kavya</x:v>
      </x:c>
      <x:c r="H2422" t="str">
        <x:v>P049</x:v>
      </x:c>
      <x:c r="I2422" t="str">
        <x:v>Apple 10kg</x:v>
      </x:c>
      <x:c r="J2422" t="str">
        <x:v>Fresh Produce</x:v>
      </x:c>
      <x:c r="K2422" t="str">
        <x:v>Local Market</x:v>
      </x:c>
      <x:c r="L2422" s="22" t="n">
        <x:v>1450</x:v>
      </x:c>
      <x:c r="M2422" t="n">
        <x:v>11</x:v>
      </x:c>
      <x:c r="N2422" s="24" t="n">
        <x:v>0.03</x:v>
      </x:c>
      <x:c r="O2422" s="22" t="n">
        <x:f>L2422*M2422</x:f>
        <x:v>15950</x:v>
      </x:c>
      <x:c r="P2422" s="22" t="n">
        <x:f>O2422*(1-N2422)</x:f>
        <x:v>15471.5</x:v>
      </x:c>
      <x:c r="Q2422" s="22" t="n">
        <x:v>1280</x:v>
      </x:c>
      <x:c r="R2422" s="22" t="n">
        <x:f>Q2422*M2422</x:f>
        <x:v>14080</x:v>
      </x:c>
      <x:c r="S2422" s="22" t="n">
        <x:f>P2422-R2422</x:f>
        <x:v>1391.5</x:v>
      </x:c>
      <x:c r="T2422" t="str">
        <x:v>Credit</x:v>
      </x:c>
      <x:c r="U2422" t="str">
        <x:v>Paid</x:v>
      </x:c>
      <x:c r="V2422" t="str">
        <x:v>Delivered</x:v>
      </x:c>
      <x:c r="W2422" t="n">
        <x:v>0</x:v>
      </x:c>
      <x:c r="X2422" t="str"/>
      <x:c r="Y2422" t="str">
        <x:v>WhatsApp</x:v>
      </x:c>
    </x:row>
    <x:row r="2423">
      <x:c r="A2423" t="str">
        <x:v>O002422</x:v>
      </x:c>
      <x:c r="B2423" s="20" t="n">
        <x:v>46124</x:v>
      </x:c>
      <x:c r="C2423" t="str">
        <x:v>C0103</x:v>
      </x:c>
      <x:c r="D2423" t="str">
        <x:v>Fresh Kitchen 103</x:v>
      </x:c>
      <x:c r="E2423" t="str">
        <x:v>Supermarket</x:v>
      </x:c>
      <x:c r="F2423" t="str">
        <x:v>Davanagere</x:v>
      </x:c>
      <x:c r="G2423" t="str">
        <x:v>Megha</x:v>
      </x:c>
      <x:c r="H2423" t="str">
        <x:v>P026</x:v>
      </x:c>
      <x:c r="I2423" t="str">
        <x:v>Banana Chips 80g</x:v>
      </x:c>
      <x:c r="J2423" t="str">
        <x:v>Snacks</x:v>
      </x:c>
      <x:c r="K2423" t="str">
        <x:v>SSS</x:v>
      </x:c>
      <x:c r="L2423" s="22" t="n">
        <x:v>54</x:v>
      </x:c>
      <x:c r="M2423" t="n">
        <x:v>27</x:v>
      </x:c>
      <x:c r="N2423" s="24" t="n">
        <x:v>0.02</x:v>
      </x:c>
      <x:c r="O2423" s="22" t="n">
        <x:f>L2423*M2423</x:f>
        <x:v>1458</x:v>
      </x:c>
      <x:c r="P2423" s="22" t="n">
        <x:f>O2423*(1-N2423)</x:f>
        <x:v>1428.84</x:v>
      </x:c>
      <x:c r="Q2423" s="22" t="n">
        <x:v>39</x:v>
      </x:c>
      <x:c r="R2423" s="22" t="n">
        <x:f>Q2423*M2423</x:f>
        <x:v>1053</x:v>
      </x:c>
      <x:c r="S2423" s="22" t="n">
        <x:f>P2423-R2423</x:f>
        <x:v>375.8399999999999</x:v>
      </x:c>
      <x:c r="T2423" t="str">
        <x:v>Credit</x:v>
      </x:c>
      <x:c r="U2423" t="str">
        <x:v>Paid</x:v>
      </x:c>
      <x:c r="V2423" t="str">
        <x:v>Delivered</x:v>
      </x:c>
      <x:c r="W2423" t="n">
        <x:v>0</x:v>
      </x:c>
      <x:c r="X2423" t="str"/>
      <x:c r="Y2423" t="str">
        <x:v>Field Visit</x:v>
      </x:c>
    </x:row>
    <x:row r="2424">
      <x:c r="A2424" t="str">
        <x:v>O002423</x:v>
      </x:c>
      <x:c r="B2424" s="20" t="n">
        <x:v>46033</x:v>
      </x:c>
      <x:c r="C2424" t="str">
        <x:v>C0158</x:v>
      </x:c>
      <x:c r="D2424" t="str">
        <x:v>Cafe Stores 158</x:v>
      </x:c>
      <x:c r="E2424" t="str">
        <x:v>Cafe</x:v>
      </x:c>
      <x:c r="F2424" t="str">
        <x:v>Mysuru</x:v>
      </x:c>
      <x:c r="G2424" t="str">
        <x:v>Priya</x:v>
      </x:c>
      <x:c r="H2424" t="str">
        <x:v>P046</x:v>
      </x:c>
      <x:c r="I2424" t="str">
        <x:v>Potato 25kg</x:v>
      </x:c>
      <x:c r="J2424" t="str">
        <x:v>Fresh Produce</x:v>
      </x:c>
      <x:c r="K2424" t="str">
        <x:v>Local Market</x:v>
      </x:c>
      <x:c r="L2424" s="22" t="n">
        <x:v>700</x:v>
      </x:c>
      <x:c r="M2424" t="n">
        <x:v>10</x:v>
      </x:c>
      <x:c r="N2424" s="24" t="n">
        <x:v>0</x:v>
      </x:c>
      <x:c r="O2424" s="22" t="n">
        <x:f>L2424*M2424</x:f>
        <x:v>7000</x:v>
      </x:c>
      <x:c r="P2424" s="22" t="n">
        <x:f>O2424*(1-N2424)</x:f>
        <x:v>7000</x:v>
      </x:c>
      <x:c r="Q2424" s="22" t="n">
        <x:v>610</x:v>
      </x:c>
      <x:c r="R2424" s="22" t="n">
        <x:f>Q2424*M2424</x:f>
        <x:v>6100</x:v>
      </x:c>
      <x:c r="S2424" s="22" t="n">
        <x:f>P2424-R2424</x:f>
        <x:v>900</x:v>
      </x:c>
      <x:c r="T2424" t="str">
        <x:v>Cash</x:v>
      </x:c>
      <x:c r="U2424" t="str">
        <x:v>Overdue</x:v>
      </x:c>
      <x:c r="V2424" t="str">
        <x:v>Cancelled</x:v>
      </x:c>
      <x:c r="W2424" t="n">
        <x:v>10</x:v>
      </x:c>
      <x:c r="X2424" t="str">
        <x:v>Cancelled Order</x:v>
      </x:c>
      <x:c r="Y2424" t="str">
        <x:v>WhatsApp</x:v>
      </x:c>
    </x:row>
    <x:row r="2425">
      <x:c r="A2425" t="str">
        <x:v>O002424</x:v>
      </x:c>
      <x:c r="B2425" s="20" t="n">
        <x:v>46127</x:v>
      </x:c>
      <x:c r="C2425" t="str">
        <x:v>C0094</x:v>
      </x:c>
      <x:c r="D2425" t="str">
        <x:v>Mysore Mart 94</x:v>
      </x:c>
      <x:c r="E2425" t="str">
        <x:v>Restaurant</x:v>
      </x:c>
      <x:c r="F2425" t="str">
        <x:v>Hubballi</x:v>
      </x:c>
      <x:c r="G2425" t="str">
        <x:v>Sneha</x:v>
      </x:c>
      <x:c r="H2425" t="str">
        <x:v>P013</x:v>
      </x:c>
      <x:c r="I2425" t="str">
        <x:v>Atta 10kg</x:v>
      </x:c>
      <x:c r="J2425" t="str">
        <x:v>Flour</x:v>
      </x:c>
      <x:c r="K2425" t="str">
        <x:v>Aashirvaad</x:v>
      </x:c>
      <x:c r="L2425" s="22" t="n">
        <x:v>560</x:v>
      </x:c>
      <x:c r="M2425" t="n">
        <x:v>40</x:v>
      </x:c>
      <x:c r="N2425" s="24" t="n">
        <x:v>0</x:v>
      </x:c>
      <x:c r="O2425" s="22" t="n">
        <x:f>L2425*M2425</x:f>
        <x:v>22400</x:v>
      </x:c>
      <x:c r="P2425" s="22" t="n">
        <x:f>O2425*(1-N2425)</x:f>
        <x:v>22400</x:v>
      </x:c>
      <x:c r="Q2425" s="22" t="n">
        <x:v>495</x:v>
      </x:c>
      <x:c r="R2425" s="22" t="n">
        <x:f>Q2425*M2425</x:f>
        <x:v>19800</x:v>
      </x:c>
      <x:c r="S2425" s="22" t="n">
        <x:f>P2425-R2425</x:f>
        <x:v>2600</x:v>
      </x:c>
      <x:c r="T2425" t="str">
        <x:v>Bank Transfer</x:v>
      </x:c>
      <x:c r="U2425" t="str">
        <x:v>Paid</x:v>
      </x:c>
      <x:c r="V2425" t="str">
        <x:v>Delivered</x:v>
      </x:c>
      <x:c r="W2425" t="n">
        <x:v>0</x:v>
      </x:c>
      <x:c r="X2425" t="str"/>
      <x:c r="Y2425" t="str">
        <x:v>Field Visit</x:v>
      </x:c>
    </x:row>
    <x:row r="2426">
      <x:c r="A2426" t="str">
        <x:v>O002425</x:v>
      </x:c>
      <x:c r="B2426" s="20" t="n">
        <x:v>45671</x:v>
      </x:c>
      <x:c r="C2426" t="str">
        <x:v>C0160</x:v>
      </x:c>
      <x:c r="D2426" t="str">
        <x:v>Hotel Foods 160</x:v>
      </x:c>
      <x:c r="E2426" t="str">
        <x:v>Hotel</x:v>
      </x:c>
      <x:c r="F2426" t="str">
        <x:v>Mangaluru</x:v>
      </x:c>
      <x:c r="G2426" t="str">
        <x:v>Sneha</x:v>
      </x:c>
      <x:c r="H2426" t="str">
        <x:v>P046</x:v>
      </x:c>
      <x:c r="I2426" t="str">
        <x:v>Potato 25kg</x:v>
      </x:c>
      <x:c r="J2426" t="str">
        <x:v>Fresh Produce</x:v>
      </x:c>
      <x:c r="K2426" t="str">
        <x:v>Local Market</x:v>
      </x:c>
      <x:c r="L2426" s="22" t="n">
        <x:v>700</x:v>
      </x:c>
      <x:c r="M2426" t="n">
        <x:v>30</x:v>
      </x:c>
      <x:c r="N2426" s="24" t="n">
        <x:v>0</x:v>
      </x:c>
      <x:c r="O2426" s="22" t="n">
        <x:f>L2426*M2426</x:f>
        <x:v>21000</x:v>
      </x:c>
      <x:c r="P2426" s="22" t="n">
        <x:f>O2426*(1-N2426)</x:f>
        <x:v>21000</x:v>
      </x:c>
      <x:c r="Q2426" s="22" t="n">
        <x:v>610</x:v>
      </x:c>
      <x:c r="R2426" s="22" t="n">
        <x:f>Q2426*M2426</x:f>
        <x:v>18300</x:v>
      </x:c>
      <x:c r="S2426" s="22" t="n">
        <x:f>P2426-R2426</x:f>
        <x:v>2700</x:v>
      </x:c>
      <x:c r="T2426" t="str">
        <x:v>Cash</x:v>
      </x:c>
      <x:c r="U2426" t="str">
        <x:v>Paid</x:v>
      </x:c>
      <x:c r="V2426" t="str">
        <x:v>Delivered</x:v>
      </x:c>
      <x:c r="W2426" t="n">
        <x:v>0</x:v>
      </x:c>
      <x:c r="X2426" t="str"/>
      <x:c r="Y2426" t="str">
        <x:v>Outbound Call</x:v>
      </x:c>
    </x:row>
    <x:row r="2427">
      <x:c r="A2427" t="str">
        <x:v>O002426</x:v>
      </x:c>
      <x:c r="B2427" s="20" t="n">
        <x:v>46258</x:v>
      </x:c>
      <x:c r="C2427" t="str">
        <x:v>C0202</x:v>
      </x:c>
      <x:c r="D2427" t="str">
        <x:v>Sagar Foods 202</x:v>
      </x:c>
      <x:c r="E2427" t="str">
        <x:v>Restaurant</x:v>
      </x:c>
      <x:c r="F2427" t="str">
        <x:v>Mangaluru</x:v>
      </x:c>
      <x:c r="G2427" t="str">
        <x:v>Kavya</x:v>
      </x:c>
      <x:c r="H2427" t="str">
        <x:v>P041</x:v>
      </x:c>
      <x:c r="I2427" t="str">
        <x:v>Burger Bun 6pc</x:v>
      </x:c>
      <x:c r="J2427" t="str">
        <x:v>Bakery</x:v>
      </x:c>
      <x:c r="K2427" t="str">
        <x:v>Modern</x:v>
      </x:c>
      <x:c r="L2427" s="22" t="n">
        <x:v>42</x:v>
      </x:c>
      <x:c r="M2427" t="n">
        <x:v>8</x:v>
      </x:c>
      <x:c r="N2427" s="24" t="n">
        <x:v>0</x:v>
      </x:c>
      <x:c r="O2427" s="22" t="n">
        <x:f>L2427*M2427</x:f>
        <x:v>336</x:v>
      </x:c>
      <x:c r="P2427" s="22" t="n">
        <x:f>O2427*(1-N2427)</x:f>
        <x:v>336</x:v>
      </x:c>
      <x:c r="Q2427" s="22" t="n">
        <x:v>32</x:v>
      </x:c>
      <x:c r="R2427" s="22" t="n">
        <x:f>Q2427*M2427</x:f>
        <x:v>256</x:v>
      </x:c>
      <x:c r="S2427" s="22" t="n">
        <x:f>P2427-R2427</x:f>
        <x:v>80</x:v>
      </x:c>
      <x:c r="T2427" t="str">
        <x:v>Cash</x:v>
      </x:c>
      <x:c r="U2427" t="str">
        <x:v>Paid</x:v>
      </x:c>
      <x:c r="V2427" t="str">
        <x:v>Cancelled</x:v>
      </x:c>
      <x:c r="W2427" t="n">
        <x:v>8</x:v>
      </x:c>
      <x:c r="X2427" t="str">
        <x:v>Cancelled Order</x:v>
      </x:c>
      <x:c r="Y2427" t="str">
        <x:v>Outbound Call</x:v>
      </x:c>
    </x:row>
    <x:row r="2428">
      <x:c r="A2428" t="str">
        <x:v>O002427</x:v>
      </x:c>
      <x:c r="B2428" s="20" t="n">
        <x:v>45813</x:v>
      </x:c>
      <x:c r="C2428" t="str">
        <x:v>C0102</x:v>
      </x:c>
      <x:c r="D2428" t="str">
        <x:v>Annapurna Foods 102</x:v>
      </x:c>
      <x:c r="E2428" t="str">
        <x:v>Cafe</x:v>
      </x:c>
      <x:c r="F2428" t="str">
        <x:v>Davanagere</x:v>
      </x:c>
      <x:c r="G2428" t="str">
        <x:v>Ramesh</x:v>
      </x:c>
      <x:c r="H2428" t="str">
        <x:v>P046</x:v>
      </x:c>
      <x:c r="I2428" t="str">
        <x:v>Potato 25kg</x:v>
      </x:c>
      <x:c r="J2428" t="str">
        <x:v>Fresh Produce</x:v>
      </x:c>
      <x:c r="K2428" t="str">
        <x:v>Local Market</x:v>
      </x:c>
      <x:c r="L2428" s="22" t="n">
        <x:v>700</x:v>
      </x:c>
      <x:c r="M2428" t="n">
        <x:v>27</x:v>
      </x:c>
      <x:c r="N2428" s="24" t="n">
        <x:v>0</x:v>
      </x:c>
      <x:c r="O2428" s="22" t="n">
        <x:f>L2428*M2428</x:f>
        <x:v>18900</x:v>
      </x:c>
      <x:c r="P2428" s="22" t="n">
        <x:f>O2428*(1-N2428)</x:f>
        <x:v>18900</x:v>
      </x:c>
      <x:c r="Q2428" s="22" t="n">
        <x:v>610</x:v>
      </x:c>
      <x:c r="R2428" s="22" t="n">
        <x:f>Q2428*M2428</x:f>
        <x:v>16470</x:v>
      </x:c>
      <x:c r="S2428" s="22" t="n">
        <x:f>P2428-R2428</x:f>
        <x:v>2430</x:v>
      </x:c>
      <x:c r="T2428" t="str">
        <x:v>UPI</x:v>
      </x:c>
      <x:c r="U2428" t="str">
        <x:v>Paid</x:v>
      </x:c>
      <x:c r="V2428" t="str">
        <x:v>Delivered</x:v>
      </x:c>
      <x:c r="W2428" t="n">
        <x:v>0</x:v>
      </x:c>
      <x:c r="X2428" t="str"/>
      <x:c r="Y2428" t="str">
        <x:v>Referral</x:v>
      </x:c>
    </x:row>
    <x:row r="2429">
      <x:c r="A2429" t="str">
        <x:v>O002428</x:v>
      </x:c>
      <x:c r="B2429" s="20" t="n">
        <x:v>46002</x:v>
      </x:c>
      <x:c r="C2429" t="str">
        <x:v>C0217</x:v>
      </x:c>
      <x:c r="D2429" t="str">
        <x:v>Darshini Cafe 217</x:v>
      </x:c>
      <x:c r="E2429" t="str">
        <x:v>Restaurant</x:v>
      </x:c>
      <x:c r="F2429" t="str">
        <x:v>Bengaluru</x:v>
      </x:c>
      <x:c r="G2429" t="str">
        <x:v>Priya</x:v>
      </x:c>
      <x:c r="H2429" t="str">
        <x:v>P030</x:v>
      </x:c>
      <x:c r="I2429" t="str">
        <x:v>Mayonnaise 1kg</x:v>
      </x:c>
      <x:c r="J2429" t="str">
        <x:v>Condiments</x:v>
      </x:c>
      <x:c r="K2429" t="str">
        <x:v>Veeba</x:v>
      </x:c>
      <x:c r="L2429" s="22" t="n">
        <x:v>210</x:v>
      </x:c>
      <x:c r="M2429" t="n">
        <x:v>39</x:v>
      </x:c>
      <x:c r="N2429" s="24" t="n">
        <x:v>0.03</x:v>
      </x:c>
      <x:c r="O2429" s="22" t="n">
        <x:f>L2429*M2429</x:f>
        <x:v>8190</x:v>
      </x:c>
      <x:c r="P2429" s="22" t="n">
        <x:f>O2429*(1-N2429)</x:f>
        <x:v>7944.3</x:v>
      </x:c>
      <x:c r="Q2429" s="22" t="n">
        <x:v>185</x:v>
      </x:c>
      <x:c r="R2429" s="22" t="n">
        <x:f>Q2429*M2429</x:f>
        <x:v>7215</x:v>
      </x:c>
      <x:c r="S2429" s="22" t="n">
        <x:f>P2429-R2429</x:f>
        <x:v>729.3000000000002</x:v>
      </x:c>
      <x:c r="T2429" t="str">
        <x:v>Bank Transfer</x:v>
      </x:c>
      <x:c r="U2429" t="str">
        <x:v>Paid</x:v>
      </x:c>
      <x:c r="V2429" t="str">
        <x:v>Delivered</x:v>
      </x:c>
      <x:c r="W2429" t="n">
        <x:v>0</x:v>
      </x:c>
      <x:c r="X2429" t="str"/>
      <x:c r="Y2429" t="str">
        <x:v>Referral</x:v>
      </x:c>
    </x:row>
    <x:row r="2430">
      <x:c r="A2430" t="str">
        <x:v>O002429</x:v>
      </x:c>
      <x:c r="B2430" s="20" t="n">
        <x:v>46272</x:v>
      </x:c>
      <x:c r="C2430" t="str">
        <x:v>C0229</x:v>
      </x:c>
      <x:c r="D2430" t="str">
        <x:v>Namma Canteen 229</x:v>
      </x:c>
      <x:c r="E2430" t="str">
        <x:v>Restaurant</x:v>
      </x:c>
      <x:c r="F2430" t="str">
        <x:v>Bengaluru</x:v>
      </x:c>
      <x:c r="G2430" t="str">
        <x:v>Arjun</x:v>
      </x:c>
      <x:c r="H2430" t="str">
        <x:v>P006</x:v>
      </x:c>
      <x:c r="I2430" t="str">
        <x:v>Moong Dal 5kg</x:v>
      </x:c>
      <x:c r="J2430" t="str">
        <x:v>Pulses</x:v>
      </x:c>
      <x:c r="K2430" t="str">
        <x:v>Local Select</x:v>
      </x:c>
      <x:c r="L2430" s="22" t="n">
        <x:v>610</x:v>
      </x:c>
      <x:c r="M2430" t="n">
        <x:v>12</x:v>
      </x:c>
      <x:c r="N2430" s="24" t="n">
        <x:v>0</x:v>
      </x:c>
      <x:c r="O2430" s="22" t="n">
        <x:f>L2430*M2430</x:f>
        <x:v>7320</x:v>
      </x:c>
      <x:c r="P2430" s="22" t="n">
        <x:f>O2430*(1-N2430)</x:f>
        <x:v>7320</x:v>
      </x:c>
      <x:c r="Q2430" s="22" t="n">
        <x:v>540</x:v>
      </x:c>
      <x:c r="R2430" s="22" t="n">
        <x:f>Q2430*M2430</x:f>
        <x:v>6480</x:v>
      </x:c>
      <x:c r="S2430" s="22" t="n">
        <x:f>P2430-R2430</x:f>
        <x:v>840</x:v>
      </x:c>
      <x:c r="T2430" t="str">
        <x:v>Credit</x:v>
      </x:c>
      <x:c r="U2430" t="str">
        <x:v>Paid</x:v>
      </x:c>
      <x:c r="V2430" t="str">
        <x:v>Delivered</x:v>
      </x:c>
      <x:c r="W2430" t="n">
        <x:v>0</x:v>
      </x:c>
      <x:c r="X2430" t="str"/>
      <x:c r="Y2430" t="str">
        <x:v>WhatsApp</x:v>
      </x:c>
    </x:row>
    <x:row r="2431">
      <x:c r="A2431" t="str">
        <x:v>O002430</x:v>
      </x:c>
      <x:c r="B2431" s="20" t="n">
        <x:v>46175</x:v>
      </x:c>
      <x:c r="C2431" t="str">
        <x:v>C0230</x:v>
      </x:c>
      <x:c r="D2431" t="str">
        <x:v>Darshini Foods 230</x:v>
      </x:c>
      <x:c r="E2431" t="str">
        <x:v>Restaurant</x:v>
      </x:c>
      <x:c r="F2431" t="str">
        <x:v>Davanagere</x:v>
      </x:c>
      <x:c r="G2431" t="str">
        <x:v>Priya</x:v>
      </x:c>
      <x:c r="H2431" t="str">
        <x:v>P046</x:v>
      </x:c>
      <x:c r="I2431" t="str">
        <x:v>Potato 25kg</x:v>
      </x:c>
      <x:c r="J2431" t="str">
        <x:v>Fresh Produce</x:v>
      </x:c>
      <x:c r="K2431" t="str">
        <x:v>Local Market</x:v>
      </x:c>
      <x:c r="L2431" s="22" t="n">
        <x:v>700</x:v>
      </x:c>
      <x:c r="M2431" t="n">
        <x:v>27</x:v>
      </x:c>
      <x:c r="N2431" s="24" t="n">
        <x:v>0.1</x:v>
      </x:c>
      <x:c r="O2431" s="22" t="n">
        <x:f>L2431*M2431</x:f>
        <x:v>18900</x:v>
      </x:c>
      <x:c r="P2431" s="22" t="n">
        <x:f>O2431*(1-N2431)</x:f>
        <x:v>17010</x:v>
      </x:c>
      <x:c r="Q2431" s="22" t="n">
        <x:v>610</x:v>
      </x:c>
      <x:c r="R2431" s="22" t="n">
        <x:f>Q2431*M2431</x:f>
        <x:v>16470</x:v>
      </x:c>
      <x:c r="S2431" s="22" t="n">
        <x:f>P2431-R2431</x:f>
        <x:v>540</x:v>
      </x:c>
      <x:c r="T2431" t="str">
        <x:v>Credit</x:v>
      </x:c>
      <x:c r="U2431" t="str">
        <x:v>Pending</x:v>
      </x:c>
      <x:c r="V2431" t="str">
        <x:v>Cancelled</x:v>
      </x:c>
      <x:c r="W2431" t="n">
        <x:v>27</x:v>
      </x:c>
      <x:c r="X2431" t="str">
        <x:v>Cancelled Order</x:v>
      </x:c>
      <x:c r="Y2431" t="str">
        <x:v>Referral</x:v>
      </x:c>
    </x:row>
    <x:row r="2432">
      <x:c r="A2432" t="str">
        <x:v>O002431</x:v>
      </x:c>
      <x:c r="B2432" s="20" t="n">
        <x:v>45751</x:v>
      </x:c>
      <x:c r="C2432" t="str">
        <x:v>C0006</x:v>
      </x:c>
      <x:c r="D2432" t="str">
        <x:v>New Restaurant 6</x:v>
      </x:c>
      <x:c r="E2432" t="str">
        <x:v>Kirana</x:v>
      </x:c>
      <x:c r="F2432" t="str">
        <x:v>Hubballi</x:v>
      </x:c>
      <x:c r="G2432" t="str">
        <x:v>Vikram</x:v>
      </x:c>
      <x:c r="H2432" t="str">
        <x:v>P014</x:v>
      </x:c>
      <x:c r="I2432" t="str">
        <x:v>Rava 5kg</x:v>
      </x:c>
      <x:c r="J2432" t="str">
        <x:v>Flour</x:v>
      </x:c>
      <x:c r="K2432" t="str">
        <x:v>Local Select</x:v>
      </x:c>
      <x:c r="L2432" s="22" t="n">
        <x:v>245</x:v>
      </x:c>
      <x:c r="M2432" t="n">
        <x:v>32</x:v>
      </x:c>
      <x:c r="N2432" s="24" t="n">
        <x:v>0.05</x:v>
      </x:c>
      <x:c r="O2432" s="22" t="n">
        <x:f>L2432*M2432</x:f>
        <x:v>7840</x:v>
      </x:c>
      <x:c r="P2432" s="22" t="n">
        <x:f>O2432*(1-N2432)</x:f>
        <x:v>7448</x:v>
      </x:c>
      <x:c r="Q2432" s="22" t="n">
        <x:v>215</x:v>
      </x:c>
      <x:c r="R2432" s="22" t="n">
        <x:f>Q2432*M2432</x:f>
        <x:v>6880</x:v>
      </x:c>
      <x:c r="S2432" s="22" t="n">
        <x:f>P2432-R2432</x:f>
        <x:v>568</x:v>
      </x:c>
      <x:c r="T2432" t="str">
        <x:v>Credit</x:v>
      </x:c>
      <x:c r="U2432" t="str">
        <x:v>Paid</x:v>
      </x:c>
      <x:c r="V2432" t="str">
        <x:v>Delivered</x:v>
      </x:c>
      <x:c r="W2432" t="n">
        <x:v>0</x:v>
      </x:c>
      <x:c r="X2432" t="str"/>
      <x:c r="Y2432" t="str">
        <x:v>Referral</x:v>
      </x:c>
    </x:row>
    <x:row r="2433">
      <x:c r="A2433" t="str">
        <x:v>O002432</x:v>
      </x:c>
      <x:c r="B2433" s="20" t="n">
        <x:v>45928</x:v>
      </x:c>
      <x:c r="C2433" t="str">
        <x:v>C0138</x:v>
      </x:c>
      <x:c r="D2433" t="str">
        <x:v>New Mart 138</x:v>
      </x:c>
      <x:c r="E2433" t="str">
        <x:v>Restaurant</x:v>
      </x:c>
      <x:c r="F2433" t="str">
        <x:v>Bengaluru</x:v>
      </x:c>
      <x:c r="G2433" t="str">
        <x:v>Ramesh</x:v>
      </x:c>
      <x:c r="H2433" t="str">
        <x:v>P022</x:v>
      </x:c>
      <x:c r="I2433" t="str">
        <x:v>Mineral Water 1L</x:v>
      </x:c>
      <x:c r="J2433" t="str">
        <x:v>Beverage</x:v>
      </x:c>
      <x:c r="K2433" t="str">
        <x:v>Bisleri</x:v>
      </x:c>
      <x:c r="L2433" s="22" t="n">
        <x:v>19</x:v>
      </x:c>
      <x:c r="M2433" t="n">
        <x:v>38</x:v>
      </x:c>
      <x:c r="N2433" s="24" t="n">
        <x:v>0.08</x:v>
      </x:c>
      <x:c r="O2433" s="22" t="n">
        <x:f>L2433*M2433</x:f>
        <x:v>722</x:v>
      </x:c>
      <x:c r="P2433" s="22" t="n">
        <x:f>O2433*(1-N2433)</x:f>
        <x:v>664.24</x:v>
      </x:c>
      <x:c r="Q2433" s="22" t="n">
        <x:v>15</x:v>
      </x:c>
      <x:c r="R2433" s="22" t="n">
        <x:f>Q2433*M2433</x:f>
        <x:v>570</x:v>
      </x:c>
      <x:c r="S2433" s="22" t="n">
        <x:f>P2433-R2433</x:f>
        <x:v>94.24000000000001</x:v>
      </x:c>
      <x:c r="T2433" t="str">
        <x:v>Credit</x:v>
      </x:c>
      <x:c r="U2433" t="str">
        <x:v>Paid</x:v>
      </x:c>
      <x:c r="V2433" t="str">
        <x:v>Delivered</x:v>
      </x:c>
      <x:c r="W2433" t="n">
        <x:v>1</x:v>
      </x:c>
      <x:c r="X2433" t="str">
        <x:v>Wrong Item</x:v>
      </x:c>
      <x:c r="Y2433" t="str">
        <x:v>Outbound Call</x:v>
      </x:c>
    </x:row>
    <x:row r="2434">
      <x:c r="A2434" t="str">
        <x:v>O002433</x:v>
      </x:c>
      <x:c r="B2434" s="20" t="n">
        <x:v>45746</x:v>
      </x:c>
      <x:c r="C2434" t="str">
        <x:v>C0171</x:v>
      </x:c>
      <x:c r="D2434" t="str">
        <x:v>Metro Canteen 171</x:v>
      </x:c>
      <x:c r="E2434" t="str">
        <x:v>Restaurant</x:v>
      </x:c>
      <x:c r="F2434" t="str">
        <x:v>Mangaluru</x:v>
      </x:c>
      <x:c r="G2434" t="str">
        <x:v>Priya</x:v>
      </x:c>
      <x:c r="H2434" t="str">
        <x:v>P004</x:v>
      </x:c>
      <x:c r="I2434" t="str">
        <x:v>Toor Dal 5kg</x:v>
      </x:c>
      <x:c r="J2434" t="str">
        <x:v>Pulses</x:v>
      </x:c>
      <x:c r="K2434" t="str">
        <x:v>Tata Sampann</x:v>
      </x:c>
      <x:c r="L2434" s="22" t="n">
        <x:v>780</x:v>
      </x:c>
      <x:c r="M2434" t="n">
        <x:v>20</x:v>
      </x:c>
      <x:c r="N2434" s="24" t="n">
        <x:v>0.05</x:v>
      </x:c>
      <x:c r="O2434" s="22" t="n">
        <x:f>L2434*M2434</x:f>
        <x:v>15600</x:v>
      </x:c>
      <x:c r="P2434" s="22" t="n">
        <x:f>O2434*(1-N2434)</x:f>
        <x:v>14820</x:v>
      </x:c>
      <x:c r="Q2434" s="22" t="n">
        <x:v>695</x:v>
      </x:c>
      <x:c r="R2434" s="22" t="n">
        <x:f>Q2434*M2434</x:f>
        <x:v>13900</x:v>
      </x:c>
      <x:c r="S2434" s="22" t="n">
        <x:f>P2434-R2434</x:f>
        <x:v>920</x:v>
      </x:c>
      <x:c r="T2434" t="str">
        <x:v>Credit</x:v>
      </x:c>
      <x:c r="U2434" t="str">
        <x:v>Pending</x:v>
      </x:c>
      <x:c r="V2434" t="str">
        <x:v>Delivered</x:v>
      </x:c>
      <x:c r="W2434" t="n">
        <x:v>0</x:v>
      </x:c>
      <x:c r="X2434" t="str"/>
      <x:c r="Y2434" t="str">
        <x:v>Outbound Call</x:v>
      </x:c>
    </x:row>
    <x:row r="2435">
      <x:c r="A2435" t="str">
        <x:v>O002434</x:v>
      </x:c>
      <x:c r="B2435" s="20" t="n">
        <x:v>45871</x:v>
      </x:c>
      <x:c r="C2435" t="str">
        <x:v>C0087</x:v>
      </x:c>
      <x:c r="D2435" t="str">
        <x:v>Namma Kitchen 87</x:v>
      </x:c>
      <x:c r="E2435" t="str">
        <x:v>Kirana</x:v>
      </x:c>
      <x:c r="F2435" t="str">
        <x:v>Bengaluru</x:v>
      </x:c>
      <x:c r="G2435" t="str">
        <x:v>Priya</x:v>
      </x:c>
      <x:c r="H2435" t="str">
        <x:v>P018</x:v>
      </x:c>
      <x:c r="I2435" t="str">
        <x:v>Paneer 1kg</x:v>
      </x:c>
      <x:c r="J2435" t="str">
        <x:v>Dairy</x:v>
      </x:c>
      <x:c r="K2435" t="str">
        <x:v>Milky Mist</x:v>
      </x:c>
      <x:c r="L2435" s="22" t="n">
        <x:v>410</x:v>
      </x:c>
      <x:c r="M2435" t="n">
        <x:v>10</x:v>
      </x:c>
      <x:c r="N2435" s="24" t="n">
        <x:v>0.03</x:v>
      </x:c>
      <x:c r="O2435" s="22" t="n">
        <x:f>L2435*M2435</x:f>
        <x:v>4100</x:v>
      </x:c>
      <x:c r="P2435" s="22" t="n">
        <x:f>O2435*(1-N2435)</x:f>
        <x:v>3977</x:v>
      </x:c>
      <x:c r="Q2435" s="22" t="n">
        <x:v>370</x:v>
      </x:c>
      <x:c r="R2435" s="22" t="n">
        <x:f>Q2435*M2435</x:f>
        <x:v>3700</x:v>
      </x:c>
      <x:c r="S2435" s="22" t="n">
        <x:f>P2435-R2435</x:f>
        <x:v>277</x:v>
      </x:c>
      <x:c r="T2435" t="str">
        <x:v>UPI</x:v>
      </x:c>
      <x:c r="U2435" t="str">
        <x:v>Paid</x:v>
      </x:c>
      <x:c r="V2435" t="str">
        <x:v>Cancelled</x:v>
      </x:c>
      <x:c r="W2435" t="n">
        <x:v>10</x:v>
      </x:c>
      <x:c r="X2435" t="str">
        <x:v>Cancelled Order</x:v>
      </x:c>
      <x:c r="Y2435" t="str">
        <x:v>Referral</x:v>
      </x:c>
    </x:row>
    <x:row r="2436">
      <x:c r="A2436" t="str">
        <x:v>O002435</x:v>
      </x:c>
      <x:c r="B2436" s="20" t="n">
        <x:v>45860</x:v>
      </x:c>
      <x:c r="C2436" t="str">
        <x:v>C0226</x:v>
      </x:c>
      <x:c r="D2436" t="str">
        <x:v>Green Stores 226</x:v>
      </x:c>
      <x:c r="E2436" t="str">
        <x:v>Restaurant</x:v>
      </x:c>
      <x:c r="F2436" t="str">
        <x:v>Hubballi</x:v>
      </x:c>
      <x:c r="G2436" t="str">
        <x:v>Priya</x:v>
      </x:c>
      <x:c r="H2436" t="str">
        <x:v>P042</x:v>
      </x:c>
      <x:c r="I2436" t="str">
        <x:v>Eggs 30pc Tray</x:v>
      </x:c>
      <x:c r="J2436" t="str">
        <x:v>Protein</x:v>
      </x:c>
      <x:c r="K2436" t="str">
        <x:v>Farm Fresh</x:v>
      </x:c>
      <x:c r="L2436" s="22" t="n">
        <x:v>195</x:v>
      </x:c>
      <x:c r="M2436" t="n">
        <x:v>16</x:v>
      </x:c>
      <x:c r="N2436" s="24" t="n">
        <x:v>0.02</x:v>
      </x:c>
      <x:c r="O2436" s="22" t="n">
        <x:f>L2436*M2436</x:f>
        <x:v>3120</x:v>
      </x:c>
      <x:c r="P2436" s="22" t="n">
        <x:f>O2436*(1-N2436)</x:f>
        <x:v>3057.6</x:v>
      </x:c>
      <x:c r="Q2436" s="22" t="n">
        <x:v>170</x:v>
      </x:c>
      <x:c r="R2436" s="22" t="n">
        <x:f>Q2436*M2436</x:f>
        <x:v>2720</x:v>
      </x:c>
      <x:c r="S2436" s="22" t="n">
        <x:f>P2436-R2436</x:f>
        <x:v>337.5999999999999</x:v>
      </x:c>
      <x:c r="T2436" t="str">
        <x:v>Credit</x:v>
      </x:c>
      <x:c r="U2436" t="str">
        <x:v>Pending</x:v>
      </x:c>
      <x:c r="V2436" t="str">
        <x:v>Delivered</x:v>
      </x:c>
      <x:c r="W2436" t="n">
        <x:v>0</x:v>
      </x:c>
      <x:c r="X2436" t="str"/>
      <x:c r="Y2436" t="str">
        <x:v>Referral</x:v>
      </x:c>
    </x:row>
    <x:row r="2437">
      <x:c r="A2437" t="str">
        <x:v>O002436</x:v>
      </x:c>
      <x:c r="B2437" s="20" t="n">
        <x:v>45716</x:v>
      </x:c>
      <x:c r="C2437" t="str">
        <x:v>C0023</x:v>
      </x:c>
      <x:c r="D2437" t="str">
        <x:v>Mysore Canteen 23</x:v>
      </x:c>
      <x:c r="E2437" t="str">
        <x:v>Cafe</x:v>
      </x:c>
      <x:c r="F2437" t="str">
        <x:v>Hubballi</x:v>
      </x:c>
      <x:c r="G2437" t="str">
        <x:v>Sneha</x:v>
      </x:c>
      <x:c r="H2437" t="str">
        <x:v>P004</x:v>
      </x:c>
      <x:c r="I2437" t="str">
        <x:v>Toor Dal 5kg</x:v>
      </x:c>
      <x:c r="J2437" t="str">
        <x:v>Pulses</x:v>
      </x:c>
      <x:c r="K2437" t="str">
        <x:v>Tata Sampann</x:v>
      </x:c>
      <x:c r="L2437" s="22" t="n">
        <x:v>780</x:v>
      </x:c>
      <x:c r="M2437" t="n">
        <x:v>3</x:v>
      </x:c>
      <x:c r="N2437" s="24" t="n">
        <x:v>0.03</x:v>
      </x:c>
      <x:c r="O2437" s="22" t="n">
        <x:f>L2437*M2437</x:f>
        <x:v>2340</x:v>
      </x:c>
      <x:c r="P2437" s="22" t="n">
        <x:f>O2437*(1-N2437)</x:f>
        <x:v>2269.7999999999997</x:v>
      </x:c>
      <x:c r="Q2437" s="22" t="n">
        <x:v>695</x:v>
      </x:c>
      <x:c r="R2437" s="22" t="n">
        <x:f>Q2437*M2437</x:f>
        <x:v>2085</x:v>
      </x:c>
      <x:c r="S2437" s="22" t="n">
        <x:f>P2437-R2437</x:f>
        <x:v>184.79999999999973</x:v>
      </x:c>
      <x:c r="T2437" t="str">
        <x:v>Bank Transfer</x:v>
      </x:c>
      <x:c r="U2437" t="str">
        <x:v>Paid</x:v>
      </x:c>
      <x:c r="V2437" t="str">
        <x:v>Delivered</x:v>
      </x:c>
      <x:c r="W2437" t="n">
        <x:v>0</x:v>
      </x:c>
      <x:c r="X2437" t="str"/>
      <x:c r="Y2437" t="str">
        <x:v>Outbound Call</x:v>
      </x:c>
    </x:row>
    <x:row r="2438">
      <x:c r="A2438" t="str">
        <x:v>O002437</x:v>
      </x:c>
      <x:c r="B2438" s="20" t="n">
        <x:v>45703</x:v>
      </x:c>
      <x:c r="C2438" t="str">
        <x:v>C0080</x:v>
      </x:c>
      <x:c r="D2438" t="str">
        <x:v>Annapurna Canteen 80</x:v>
      </x:c>
      <x:c r="E2438" t="str">
        <x:v>Restaurant</x:v>
      </x:c>
      <x:c r="F2438" t="str">
        <x:v>Mangaluru</x:v>
      </x:c>
      <x:c r="G2438" t="str">
        <x:v>Priya</x:v>
      </x:c>
      <x:c r="H2438" t="str">
        <x:v>P035</x:v>
      </x:c>
      <x:c r="I2438" t="str">
        <x:v>Coriander Powder 1kg</x:v>
      </x:c>
      <x:c r="J2438" t="str">
        <x:v>Spices</x:v>
      </x:c>
      <x:c r="K2438" t="str">
        <x:v>Everest</x:v>
      </x:c>
      <x:c r="L2438" s="22" t="n">
        <x:v>280</x:v>
      </x:c>
      <x:c r="M2438" t="n">
        <x:v>12</x:v>
      </x:c>
      <x:c r="N2438" s="24" t="n">
        <x:v>0.03</x:v>
      </x:c>
      <x:c r="O2438" s="22" t="n">
        <x:f>L2438*M2438</x:f>
        <x:v>3360</x:v>
      </x:c>
      <x:c r="P2438" s="22" t="n">
        <x:f>O2438*(1-N2438)</x:f>
        <x:v>3259.2</x:v>
      </x:c>
      <x:c r="Q2438" s="22" t="n">
        <x:v>245</x:v>
      </x:c>
      <x:c r="R2438" s="22" t="n">
        <x:f>Q2438*M2438</x:f>
        <x:v>2940</x:v>
      </x:c>
      <x:c r="S2438" s="22" t="n">
        <x:f>P2438-R2438</x:f>
        <x:v>319.1999999999998</x:v>
      </x:c>
      <x:c r="T2438" t="str">
        <x:v>Bank Transfer</x:v>
      </x:c>
      <x:c r="U2438" t="str">
        <x:v>Paid</x:v>
      </x:c>
      <x:c r="V2438" t="str">
        <x:v>Delivered</x:v>
      </x:c>
      <x:c r="W2438" t="n">
        <x:v>2</x:v>
      </x:c>
      <x:c r="X2438" t="str">
        <x:v>Damaged</x:v>
      </x:c>
      <x:c r="Y2438" t="str">
        <x:v>Existing Customer</x:v>
      </x:c>
    </x:row>
    <x:row r="2439">
      <x:c r="A2439" t="str">
        <x:v>O002438</x:v>
      </x:c>
      <x:c r="B2439" s="20" t="n">
        <x:v>45883</x:v>
      </x:c>
      <x:c r="C2439" t="str">
        <x:v>C0013</x:v>
      </x:c>
      <x:c r="D2439" t="str">
        <x:v>Foodie Restaurant 13</x:v>
      </x:c>
      <x:c r="E2439" t="str">
        <x:v>Kirana</x:v>
      </x:c>
      <x:c r="F2439" t="str">
        <x:v>Mysuru</x:v>
      </x:c>
      <x:c r="G2439" t="str">
        <x:v>Sneha</x:v>
      </x:c>
      <x:c r="H2439" t="str">
        <x:v>P017</x:v>
      </x:c>
      <x:c r="I2439" t="str">
        <x:v>Butter 500g</x:v>
      </x:c>
      <x:c r="J2439" t="str">
        <x:v>Dairy</x:v>
      </x:c>
      <x:c r="K2439" t="str">
        <x:v>Amul</x:v>
      </x:c>
      <x:c r="L2439" s="22" t="n">
        <x:v>285</x:v>
      </x:c>
      <x:c r="M2439" t="n">
        <x:v>29</x:v>
      </x:c>
      <x:c r="N2439" s="24" t="n">
        <x:v>0.03</x:v>
      </x:c>
      <x:c r="O2439" s="22" t="n">
        <x:f>L2439*M2439</x:f>
        <x:v>8265</x:v>
      </x:c>
      <x:c r="P2439" s="22" t="n">
        <x:f>O2439*(1-N2439)</x:f>
        <x:v>8017.05</x:v>
      </x:c>
      <x:c r="Q2439" s="22" t="n">
        <x:v>258</x:v>
      </x:c>
      <x:c r="R2439" s="22" t="n">
        <x:f>Q2439*M2439</x:f>
        <x:v>7482</x:v>
      </x:c>
      <x:c r="S2439" s="22" t="n">
        <x:f>P2439-R2439</x:f>
        <x:v>535.0500000000002</x:v>
      </x:c>
      <x:c r="T2439" t="str">
        <x:v>UPI</x:v>
      </x:c>
      <x:c r="U2439" t="str">
        <x:v>Paid</x:v>
      </x:c>
      <x:c r="V2439" t="str">
        <x:v>Delivered</x:v>
      </x:c>
      <x:c r="W2439" t="n">
        <x:v>0</x:v>
      </x:c>
      <x:c r="X2439" t="str"/>
      <x:c r="Y2439" t="str">
        <x:v>Existing Customer</x:v>
      </x:c>
    </x:row>
    <x:row r="2440">
      <x:c r="A2440" t="str">
        <x:v>O002439</x:v>
      </x:c>
      <x:c r="B2440" s="20" t="n">
        <x:v>45742</x:v>
      </x:c>
      <x:c r="C2440" t="str">
        <x:v>C0007</x:v>
      </x:c>
      <x:c r="D2440" t="str">
        <x:v>Mysore Stores 7</x:v>
      </x:c>
      <x:c r="E2440" t="str">
        <x:v>Kirana</x:v>
      </x:c>
      <x:c r="F2440" t="str">
        <x:v>Bengaluru</x:v>
      </x:c>
      <x:c r="G2440" t="str">
        <x:v>Kavya</x:v>
      </x:c>
      <x:c r="H2440" t="str">
        <x:v>P033</x:v>
      </x:c>
      <x:c r="I2440" t="str">
        <x:v>Turmeric Powder 1kg</x:v>
      </x:c>
      <x:c r="J2440" t="str">
        <x:v>Spices</x:v>
      </x:c>
      <x:c r="K2440" t="str">
        <x:v>Everest</x:v>
      </x:c>
      <x:c r="L2440" s="22" t="n">
        <x:v>310</x:v>
      </x:c>
      <x:c r="M2440" t="n">
        <x:v>9</x:v>
      </x:c>
      <x:c r="N2440" s="24" t="n">
        <x:v>0.1</x:v>
      </x:c>
      <x:c r="O2440" s="22" t="n">
        <x:f>L2440*M2440</x:f>
        <x:v>2790</x:v>
      </x:c>
      <x:c r="P2440" s="22" t="n">
        <x:f>O2440*(1-N2440)</x:f>
        <x:v>2511</x:v>
      </x:c>
      <x:c r="Q2440" s="22" t="n">
        <x:v>270</x:v>
      </x:c>
      <x:c r="R2440" s="22" t="n">
        <x:f>Q2440*M2440</x:f>
        <x:v>2430</x:v>
      </x:c>
      <x:c r="S2440" s="22" t="n">
        <x:f>P2440-R2440</x:f>
        <x:v>81</x:v>
      </x:c>
      <x:c r="T2440" t="str">
        <x:v>Credit</x:v>
      </x:c>
      <x:c r="U2440" t="str">
        <x:v>Paid</x:v>
      </x:c>
      <x:c r="V2440" t="str">
        <x:v>Delivered</x:v>
      </x:c>
      <x:c r="W2440" t="n">
        <x:v>0</x:v>
      </x:c>
      <x:c r="X2440" t="str"/>
      <x:c r="Y2440" t="str">
        <x:v>Existing Customer</x:v>
      </x:c>
    </x:row>
    <x:row r="2441">
      <x:c r="A2441" t="str">
        <x:v>O002440</x:v>
      </x:c>
      <x:c r="B2441" s="20" t="n">
        <x:v>45920</x:v>
      </x:c>
      <x:c r="C2441" t="str">
        <x:v>C0118</x:v>
      </x:c>
      <x:c r="D2441" t="str">
        <x:v>Sagar Kitchen 118</x:v>
      </x:c>
      <x:c r="E2441" t="str">
        <x:v>Restaurant</x:v>
      </x:c>
      <x:c r="F2441" t="str">
        <x:v>Hubballi</x:v>
      </x:c>
      <x:c r="G2441" t="str">
        <x:v>Megha</x:v>
      </x:c>
      <x:c r="H2441" t="str">
        <x:v>P045</x:v>
      </x:c>
      <x:c r="I2441" t="str">
        <x:v>Onion 25kg</x:v>
      </x:c>
      <x:c r="J2441" t="str">
        <x:v>Fresh Produce</x:v>
      </x:c>
      <x:c r="K2441" t="str">
        <x:v>Local Market</x:v>
      </x:c>
      <x:c r="L2441" s="22" t="n">
        <x:v>875</x:v>
      </x:c>
      <x:c r="M2441" t="n">
        <x:v>30</x:v>
      </x:c>
      <x:c r="N2441" s="24" t="n">
        <x:v>0.05</x:v>
      </x:c>
      <x:c r="O2441" s="22" t="n">
        <x:f>L2441*M2441</x:f>
        <x:v>26250</x:v>
      </x:c>
      <x:c r="P2441" s="22" t="n">
        <x:f>O2441*(1-N2441)</x:f>
        <x:v>24937.5</x:v>
      </x:c>
      <x:c r="Q2441" s="22" t="n">
        <x:v>760</x:v>
      </x:c>
      <x:c r="R2441" s="22" t="n">
        <x:f>Q2441*M2441</x:f>
        <x:v>22800</x:v>
      </x:c>
      <x:c r="S2441" s="22" t="n">
        <x:f>P2441-R2441</x:f>
        <x:v>2137.5</x:v>
      </x:c>
      <x:c r="T2441" t="str">
        <x:v>Cash</x:v>
      </x:c>
      <x:c r="U2441" t="str">
        <x:v>Pending</x:v>
      </x:c>
      <x:c r="V2441" t="str">
        <x:v>Delivered</x:v>
      </x:c>
      <x:c r="W2441" t="n">
        <x:v>0</x:v>
      </x:c>
      <x:c r="X2441" t="str"/>
      <x:c r="Y2441" t="str">
        <x:v>Outbound Call</x:v>
      </x:c>
    </x:row>
    <x:row r="2442">
      <x:c r="A2442" t="str">
        <x:v>O002441</x:v>
      </x:c>
      <x:c r="B2442" s="20" t="n">
        <x:v>46219</x:v>
      </x:c>
      <x:c r="C2442" t="str">
        <x:v>C0090</x:v>
      </x:c>
      <x:c r="D2442" t="str">
        <x:v>Shree Mart 90</x:v>
      </x:c>
      <x:c r="E2442" t="str">
        <x:v>Restaurant</x:v>
      </x:c>
      <x:c r="F2442" t="str">
        <x:v>Davanagere</x:v>
      </x:c>
      <x:c r="G2442" t="str">
        <x:v>Megha</x:v>
      </x:c>
      <x:c r="H2442" t="str">
        <x:v>P044</x:v>
      </x:c>
      <x:c r="I2442" t="str">
        <x:v>Chicken Curry Cut 1kg</x:v>
      </x:c>
      <x:c r="J2442" t="str">
        <x:v>Protein</x:v>
      </x:c>
      <x:c r="K2442" t="str">
        <x:v>FreshToHome</x:v>
      </x:c>
      <x:c r="L2442" s="22" t="n">
        <x:v>230</x:v>
      </x:c>
      <x:c r="M2442" t="n">
        <x:v>14</x:v>
      </x:c>
      <x:c r="N2442" s="24" t="n">
        <x:v>0.05</x:v>
      </x:c>
      <x:c r="O2442" s="22" t="n">
        <x:f>L2442*M2442</x:f>
        <x:v>3220</x:v>
      </x:c>
      <x:c r="P2442" s="22" t="n">
        <x:f>O2442*(1-N2442)</x:f>
        <x:v>3059</x:v>
      </x:c>
      <x:c r="Q2442" s="22" t="n">
        <x:v>205</x:v>
      </x:c>
      <x:c r="R2442" s="22" t="n">
        <x:f>Q2442*M2442</x:f>
        <x:v>2870</x:v>
      </x:c>
      <x:c r="S2442" s="22" t="n">
        <x:f>P2442-R2442</x:f>
        <x:v>189</x:v>
      </x:c>
      <x:c r="T2442" t="str">
        <x:v>Bank Transfer</x:v>
      </x:c>
      <x:c r="U2442" t="str">
        <x:v>Paid</x:v>
      </x:c>
      <x:c r="V2442" t="str">
        <x:v>Delayed</x:v>
      </x:c>
      <x:c r="W2442" t="n">
        <x:v>0</x:v>
      </x:c>
      <x:c r="X2442" t="str"/>
      <x:c r="Y2442" t="str">
        <x:v>WhatsApp</x:v>
      </x:c>
    </x:row>
    <x:row r="2443">
      <x:c r="A2443" t="str">
        <x:v>O002442</x:v>
      </x:c>
      <x:c r="B2443" s="20" t="n">
        <x:v>46116</x:v>
      </x:c>
      <x:c r="C2443" t="str">
        <x:v>C0052</x:v>
      </x:c>
      <x:c r="D2443" t="str">
        <x:v>Sagar Canteen 52</x:v>
      </x:c>
      <x:c r="E2443" t="str">
        <x:v>Kirana</x:v>
      </x:c>
      <x:c r="F2443" t="str">
        <x:v>Mysuru</x:v>
      </x:c>
      <x:c r="G2443" t="str">
        <x:v>Kavya</x:v>
      </x:c>
      <x:c r="H2443" t="str">
        <x:v>P039</x:v>
      </x:c>
      <x:c r="I2443" t="str">
        <x:v>Ice Cream 4L</x:v>
      </x:c>
      <x:c r="J2443" t="str">
        <x:v>Frozen</x:v>
      </x:c>
      <x:c r="K2443" t="str">
        <x:v>Amul</x:v>
      </x:c>
      <x:c r="L2443" s="22" t="n">
        <x:v>480</x:v>
      </x:c>
      <x:c r="M2443" t="n">
        <x:v>40</x:v>
      </x:c>
      <x:c r="N2443" s="24" t="n">
        <x:v>0.03</x:v>
      </x:c>
      <x:c r="O2443" s="22" t="n">
        <x:f>L2443*M2443</x:f>
        <x:v>19200</x:v>
      </x:c>
      <x:c r="P2443" s="22" t="n">
        <x:f>O2443*(1-N2443)</x:f>
        <x:v>18624</x:v>
      </x:c>
      <x:c r="Q2443" s="22" t="n">
        <x:v>420</x:v>
      </x:c>
      <x:c r="R2443" s="22" t="n">
        <x:f>Q2443*M2443</x:f>
        <x:v>16800</x:v>
      </x:c>
      <x:c r="S2443" s="22" t="n">
        <x:f>P2443-R2443</x:f>
        <x:v>1824</x:v>
      </x:c>
      <x:c r="T2443" t="str">
        <x:v>Bank Transfer</x:v>
      </x:c>
      <x:c r="U2443" t="str">
        <x:v>Paid</x:v>
      </x:c>
      <x:c r="V2443" t="str">
        <x:v>Delayed</x:v>
      </x:c>
      <x:c r="W2443" t="n">
        <x:v>0</x:v>
      </x:c>
      <x:c r="X2443" t="str"/>
      <x:c r="Y2443" t="str">
        <x:v>Outbound Call</x:v>
      </x:c>
    </x:row>
    <x:row r="2444">
      <x:c r="A2444" t="str">
        <x:v>O002443</x:v>
      </x:c>
      <x:c r="B2444" s="20" t="n">
        <x:v>46090</x:v>
      </x:c>
      <x:c r="C2444" t="str">
        <x:v>C0036</x:v>
      </x:c>
      <x:c r="D2444" t="str">
        <x:v>Grand Hotel 36</x:v>
      </x:c>
      <x:c r="E2444" t="str">
        <x:v>Canteen</x:v>
      </x:c>
      <x:c r="F2444" t="str">
        <x:v>Tumakuru</x:v>
      </x:c>
      <x:c r="G2444" t="str">
        <x:v>Kavya</x:v>
      </x:c>
      <x:c r="H2444" t="str">
        <x:v>P043</x:v>
      </x:c>
      <x:c r="I2444" t="str">
        <x:v>Chicken Breast 1kg</x:v>
      </x:c>
      <x:c r="J2444" t="str">
        <x:v>Protein</x:v>
      </x:c>
      <x:c r="K2444" t="str">
        <x:v>FreshToHome</x:v>
      </x:c>
      <x:c r="L2444" s="22" t="n">
        <x:v>260</x:v>
      </x:c>
      <x:c r="M2444" t="n">
        <x:v>39</x:v>
      </x:c>
      <x:c r="N2444" s="24" t="n">
        <x:v>0</x:v>
      </x:c>
      <x:c r="O2444" s="22" t="n">
        <x:f>L2444*M2444</x:f>
        <x:v>10140</x:v>
      </x:c>
      <x:c r="P2444" s="22" t="n">
        <x:f>O2444*(1-N2444)</x:f>
        <x:v>10140</x:v>
      </x:c>
      <x:c r="Q2444" s="22" t="n">
        <x:v>235</x:v>
      </x:c>
      <x:c r="R2444" s="22" t="n">
        <x:f>Q2444*M2444</x:f>
        <x:v>9165</x:v>
      </x:c>
      <x:c r="S2444" s="22" t="n">
        <x:f>P2444-R2444</x:f>
        <x:v>975</x:v>
      </x:c>
      <x:c r="T2444" t="str">
        <x:v>Credit</x:v>
      </x:c>
      <x:c r="U2444" t="str">
        <x:v>Pending</x:v>
      </x:c>
      <x:c r="V2444" t="str">
        <x:v>Delivered</x:v>
      </x:c>
      <x:c r="W2444" t="n">
        <x:v>0</x:v>
      </x:c>
      <x:c r="X2444" t="str"/>
      <x:c r="Y2444" t="str">
        <x:v>Outbound Call</x:v>
      </x:c>
    </x:row>
    <x:row r="2445">
      <x:c r="A2445" t="str">
        <x:v>O002444</x:v>
      </x:c>
      <x:c r="B2445" s="20" t="n">
        <x:v>46148</x:v>
      </x:c>
      <x:c r="C2445" t="str">
        <x:v>C0125</x:v>
      </x:c>
      <x:c r="D2445" t="str">
        <x:v>Spice Restaurant 125</x:v>
      </x:c>
      <x:c r="E2445" t="str">
        <x:v>Kirana</x:v>
      </x:c>
      <x:c r="F2445" t="str">
        <x:v>Tumakuru</x:v>
      </x:c>
      <x:c r="G2445" t="str">
        <x:v>Ramesh</x:v>
      </x:c>
      <x:c r="H2445" t="str">
        <x:v>P028</x:v>
      </x:c>
      <x:c r="I2445" t="str">
        <x:v>Cookies 200g</x:v>
      </x:c>
      <x:c r="J2445" t="str">
        <x:v>Snacks</x:v>
      </x:c>
      <x:c r="K2445" t="str">
        <x:v>Britannia</x:v>
      </x:c>
      <x:c r="L2445" s="22" t="n">
        <x:v>55</x:v>
      </x:c>
      <x:c r="M2445" t="n">
        <x:v>7</x:v>
      </x:c>
      <x:c r="N2445" s="24" t="n">
        <x:v>0.03</x:v>
      </x:c>
      <x:c r="O2445" s="22" t="n">
        <x:f>L2445*M2445</x:f>
        <x:v>385</x:v>
      </x:c>
      <x:c r="P2445" s="22" t="n">
        <x:f>O2445*(1-N2445)</x:f>
        <x:v>373.45</x:v>
      </x:c>
      <x:c r="Q2445" s="22" t="n">
        <x:v>42</x:v>
      </x:c>
      <x:c r="R2445" s="22" t="n">
        <x:f>Q2445*M2445</x:f>
        <x:v>294</x:v>
      </x:c>
      <x:c r="S2445" s="22" t="n">
        <x:f>P2445-R2445</x:f>
        <x:v>79.44999999999999</x:v>
      </x:c>
      <x:c r="T2445" t="str">
        <x:v>Credit</x:v>
      </x:c>
      <x:c r="U2445" t="str">
        <x:v>Paid</x:v>
      </x:c>
      <x:c r="V2445" t="str">
        <x:v>Delivered</x:v>
      </x:c>
      <x:c r="W2445" t="n">
        <x:v>0</x:v>
      </x:c>
      <x:c r="X2445" t="str"/>
      <x:c r="Y2445" t="str">
        <x:v>Existing Customer</x:v>
      </x:c>
    </x:row>
    <x:row r="2446">
      <x:c r="A2446" t="str">
        <x:v>O002445</x:v>
      </x:c>
      <x:c r="B2446" s="20" t="n">
        <x:v>45899</x:v>
      </x:c>
      <x:c r="C2446" t="str">
        <x:v>C0056</x:v>
      </x:c>
      <x:c r="D2446" t="str">
        <x:v>City Stores 56</x:v>
      </x:c>
      <x:c r="E2446" t="str">
        <x:v>Canteen</x:v>
      </x:c>
      <x:c r="F2446" t="str">
        <x:v>Davanagere</x:v>
      </x:c>
      <x:c r="G2446" t="str">
        <x:v>Imran</x:v>
      </x:c>
      <x:c r="H2446" t="str">
        <x:v>P027</x:v>
      </x:c>
      <x:c r="I2446" t="str">
        <x:v>Biscuits 120g</x:v>
      </x:c>
      <x:c r="J2446" t="str">
        <x:v>Snacks</x:v>
      </x:c>
      <x:c r="K2446" t="str">
        <x:v>Parle-G</x:v>
      </x:c>
      <x:c r="L2446" s="22" t="n">
        <x:v>12</x:v>
      </x:c>
      <x:c r="M2446" t="n">
        <x:v>28</x:v>
      </x:c>
      <x:c r="N2446" s="24" t="n">
        <x:v>0.03</x:v>
      </x:c>
      <x:c r="O2446" s="22" t="n">
        <x:f>L2446*M2446</x:f>
        <x:v>336</x:v>
      </x:c>
      <x:c r="P2446" s="22" t="n">
        <x:f>O2446*(1-N2446)</x:f>
        <x:v>325.92</x:v>
      </x:c>
      <x:c r="Q2446" s="22" t="n">
        <x:v>9</x:v>
      </x:c>
      <x:c r="R2446" s="22" t="n">
        <x:f>Q2446*M2446</x:f>
        <x:v>252</x:v>
      </x:c>
      <x:c r="S2446" s="22" t="n">
        <x:f>P2446-R2446</x:f>
        <x:v>73.92000000000002</x:v>
      </x:c>
      <x:c r="T2446" t="str">
        <x:v>Cash</x:v>
      </x:c>
      <x:c r="U2446" t="str">
        <x:v>Paid</x:v>
      </x:c>
      <x:c r="V2446" t="str">
        <x:v>Cancelled</x:v>
      </x:c>
      <x:c r="W2446" t="n">
        <x:v>28</x:v>
      </x:c>
      <x:c r="X2446" t="str">
        <x:v>Cancelled Order</x:v>
      </x:c>
      <x:c r="Y2446" t="str">
        <x:v>WhatsApp</x:v>
      </x:c>
    </x:row>
    <x:row r="2447">
      <x:c r="A2447" t="str">
        <x:v>O002446</x:v>
      </x:c>
      <x:c r="B2447" s="20" t="n">
        <x:v>45823</x:v>
      </x:c>
      <x:c r="C2447" t="str">
        <x:v>C0201</x:v>
      </x:c>
      <x:c r="D2447" t="str">
        <x:v>Metro Hotel 201</x:v>
      </x:c>
      <x:c r="E2447" t="str">
        <x:v>Kirana</x:v>
      </x:c>
      <x:c r="F2447" t="str">
        <x:v>Mysuru</x:v>
      </x:c>
      <x:c r="G2447" t="str">
        <x:v>Imran</x:v>
      </x:c>
      <x:c r="H2447" t="str">
        <x:v>P041</x:v>
      </x:c>
      <x:c r="I2447" t="str">
        <x:v>Burger Bun 6pc</x:v>
      </x:c>
      <x:c r="J2447" t="str">
        <x:v>Bakery</x:v>
      </x:c>
      <x:c r="K2447" t="str">
        <x:v>Modern</x:v>
      </x:c>
      <x:c r="L2447" s="22" t="n">
        <x:v>42</x:v>
      </x:c>
      <x:c r="M2447" t="n">
        <x:v>30</x:v>
      </x:c>
      <x:c r="N2447" s="24" t="n">
        <x:v>0.08</x:v>
      </x:c>
      <x:c r="O2447" s="22" t="n">
        <x:f>L2447*M2447</x:f>
        <x:v>1260</x:v>
      </x:c>
      <x:c r="P2447" s="22" t="n">
        <x:f>O2447*(1-N2447)</x:f>
        <x:v>1159.2</x:v>
      </x:c>
      <x:c r="Q2447" s="22" t="n">
        <x:v>32</x:v>
      </x:c>
      <x:c r="R2447" s="22" t="n">
        <x:f>Q2447*M2447</x:f>
        <x:v>960</x:v>
      </x:c>
      <x:c r="S2447" s="22" t="n">
        <x:f>P2447-R2447</x:f>
        <x:v>199.20000000000005</x:v>
      </x:c>
      <x:c r="T2447" t="str">
        <x:v>Bank Transfer</x:v>
      </x:c>
      <x:c r="U2447" t="str">
        <x:v>Paid</x:v>
      </x:c>
      <x:c r="V2447" t="str">
        <x:v>Delivered</x:v>
      </x:c>
      <x:c r="W2447" t="n">
        <x:v>0</x:v>
      </x:c>
      <x:c r="X2447" t="str"/>
      <x:c r="Y2447" t="str">
        <x:v>WhatsApp</x:v>
      </x:c>
    </x:row>
    <x:row r="2448">
      <x:c r="A2448" t="str">
        <x:v>O002447</x:v>
      </x:c>
      <x:c r="B2448" s="20" t="n">
        <x:v>46185</x:v>
      </x:c>
      <x:c r="C2448" t="str">
        <x:v>C0213</x:v>
      </x:c>
      <x:c r="D2448" t="str">
        <x:v>Shree Cafe 213</x:v>
      </x:c>
      <x:c r="E2448" t="str">
        <x:v>Cafe</x:v>
      </x:c>
      <x:c r="F2448" t="str">
        <x:v>Tumakuru</x:v>
      </x:c>
      <x:c r="G2448" t="str">
        <x:v>Imran</x:v>
      </x:c>
      <x:c r="H2448" t="str">
        <x:v>P045</x:v>
      </x:c>
      <x:c r="I2448" t="str">
        <x:v>Onion 25kg</x:v>
      </x:c>
      <x:c r="J2448" t="str">
        <x:v>Fresh Produce</x:v>
      </x:c>
      <x:c r="K2448" t="str">
        <x:v>Local Market</x:v>
      </x:c>
      <x:c r="L2448" s="22" t="n">
        <x:v>875</x:v>
      </x:c>
      <x:c r="M2448" t="n">
        <x:v>1</x:v>
      </x:c>
      <x:c r="N2448" s="24" t="n">
        <x:v>0.03</x:v>
      </x:c>
      <x:c r="O2448" s="22" t="n">
        <x:f>L2448*M2448</x:f>
        <x:v>875</x:v>
      </x:c>
      <x:c r="P2448" s="22" t="n">
        <x:f>O2448*(1-N2448)</x:f>
        <x:v>848.75</x:v>
      </x:c>
      <x:c r="Q2448" s="22" t="n">
        <x:v>760</x:v>
      </x:c>
      <x:c r="R2448" s="22" t="n">
        <x:f>Q2448*M2448</x:f>
        <x:v>760</x:v>
      </x:c>
      <x:c r="S2448" s="22" t="n">
        <x:f>P2448-R2448</x:f>
        <x:v>88.75</x:v>
      </x:c>
      <x:c r="T2448" t="str">
        <x:v>Bank Transfer</x:v>
      </x:c>
      <x:c r="U2448" t="str">
        <x:v>Paid</x:v>
      </x:c>
      <x:c r="V2448" t="str">
        <x:v>Delivered</x:v>
      </x:c>
      <x:c r="W2448" t="n">
        <x:v>0</x:v>
      </x:c>
      <x:c r="X2448" t="str"/>
      <x:c r="Y2448" t="str">
        <x:v>WhatsApp</x:v>
      </x:c>
    </x:row>
    <x:row r="2449">
      <x:c r="A2449" t="str">
        <x:v>O002448</x:v>
      </x:c>
      <x:c r="B2449" s="20" t="n">
        <x:v>45849</x:v>
      </x:c>
      <x:c r="C2449" t="str">
        <x:v>C0084</x:v>
      </x:c>
      <x:c r="D2449" t="str">
        <x:v>Green Cafe 84</x:v>
      </x:c>
      <x:c r="E2449" t="str">
        <x:v>Hotel</x:v>
      </x:c>
      <x:c r="F2449" t="str">
        <x:v>Mysuru</x:v>
      </x:c>
      <x:c r="G2449" t="str">
        <x:v>Priya</x:v>
      </x:c>
      <x:c r="H2449" t="str">
        <x:v>P011</x:v>
      </x:c>
      <x:c r="I2449" t="str">
        <x:v>Salt 1kg</x:v>
      </x:c>
      <x:c r="J2449" t="str">
        <x:v>Staples</x:v>
      </x:c>
      <x:c r="K2449" t="str">
        <x:v>Tata</x:v>
      </x:c>
      <x:c r="L2449" s="22" t="n">
        <x:v>28</x:v>
      </x:c>
      <x:c r="M2449" t="n">
        <x:v>36</x:v>
      </x:c>
      <x:c r="N2449" s="24" t="n">
        <x:v>0.08</x:v>
      </x:c>
      <x:c r="O2449" s="22" t="n">
        <x:f>L2449*M2449</x:f>
        <x:v>1008</x:v>
      </x:c>
      <x:c r="P2449" s="22" t="n">
        <x:f>O2449*(1-N2449)</x:f>
        <x:v>927.36</x:v>
      </x:c>
      <x:c r="Q2449" s="22" t="n">
        <x:v>23</x:v>
      </x:c>
      <x:c r="R2449" s="22" t="n">
        <x:f>Q2449*M2449</x:f>
        <x:v>828</x:v>
      </x:c>
      <x:c r="S2449" s="22" t="n">
        <x:f>P2449-R2449</x:f>
        <x:v>99.36000000000001</x:v>
      </x:c>
      <x:c r="T2449" t="str">
        <x:v>UPI</x:v>
      </x:c>
      <x:c r="U2449" t="str">
        <x:v>Paid</x:v>
      </x:c>
      <x:c r="V2449" t="str">
        <x:v>Delayed</x:v>
      </x:c>
      <x:c r="W2449" t="n">
        <x:v>0</x:v>
      </x:c>
      <x:c r="X2449" t="str"/>
      <x:c r="Y2449" t="str">
        <x:v>Existing Customer</x:v>
      </x:c>
    </x:row>
    <x:row r="2450">
      <x:c r="A2450" t="str">
        <x:v>O002449</x:v>
      </x:c>
      <x:c r="B2450" s="20" t="n">
        <x:v>46206</x:v>
      </x:c>
      <x:c r="C2450" t="str">
        <x:v>C0082</x:v>
      </x:c>
      <x:c r="D2450" t="str">
        <x:v>City Foods 82</x:v>
      </x:c>
      <x:c r="E2450" t="str">
        <x:v>Hotel</x:v>
      </x:c>
      <x:c r="F2450" t="str">
        <x:v>Mangaluru</x:v>
      </x:c>
      <x:c r="G2450" t="str">
        <x:v>Kavya</x:v>
      </x:c>
      <x:c r="H2450" t="str">
        <x:v>P037</x:v>
      </x:c>
      <x:c r="I2450" t="str">
        <x:v>Frozen Peas 1kg</x:v>
      </x:c>
      <x:c r="J2450" t="str">
        <x:v>Frozen</x:v>
      </x:c>
      <x:c r="K2450" t="str">
        <x:v>Safal</x:v>
      </x:c>
      <x:c r="L2450" s="22" t="n">
        <x:v>155</x:v>
      </x:c>
      <x:c r="M2450" t="n">
        <x:v>7</x:v>
      </x:c>
      <x:c r="N2450" s="24" t="n">
        <x:v>0</x:v>
      </x:c>
      <x:c r="O2450" s="22" t="n">
        <x:f>L2450*M2450</x:f>
        <x:v>1085</x:v>
      </x:c>
      <x:c r="P2450" s="22" t="n">
        <x:f>O2450*(1-N2450)</x:f>
        <x:v>1085</x:v>
      </x:c>
      <x:c r="Q2450" s="22" t="n">
        <x:v>138</x:v>
      </x:c>
      <x:c r="R2450" s="22" t="n">
        <x:f>Q2450*M2450</x:f>
        <x:v>966</x:v>
      </x:c>
      <x:c r="S2450" s="22" t="n">
        <x:f>P2450-R2450</x:f>
        <x:v>119</x:v>
      </x:c>
      <x:c r="T2450" t="str">
        <x:v>Cash</x:v>
      </x:c>
      <x:c r="U2450" t="str">
        <x:v>Paid</x:v>
      </x:c>
      <x:c r="V2450" t="str">
        <x:v>Delivered</x:v>
      </x:c>
      <x:c r="W2450" t="n">
        <x:v>0</x:v>
      </x:c>
      <x:c r="X2450" t="str"/>
      <x:c r="Y2450" t="str">
        <x:v>WhatsApp</x:v>
      </x:c>
    </x:row>
    <x:row r="2451">
      <x:c r="A2451" t="str">
        <x:v>O002450</x:v>
      </x:c>
      <x:c r="B2451" s="20" t="n">
        <x:v>46047</x:v>
      </x:c>
      <x:c r="C2451" t="str">
        <x:v>C0155</x:v>
      </x:c>
      <x:c r="D2451" t="str">
        <x:v>New Mart 155</x:v>
      </x:c>
      <x:c r="E2451" t="str">
        <x:v>Hotel</x:v>
      </x:c>
      <x:c r="F2451" t="str">
        <x:v>Mysuru</x:v>
      </x:c>
      <x:c r="G2451" t="str">
        <x:v>Sneha</x:v>
      </x:c>
      <x:c r="H2451" t="str">
        <x:v>P032</x:v>
      </x:c>
      <x:c r="I2451" t="str">
        <x:v>Soy Sauce 700g</x:v>
      </x:c>
      <x:c r="J2451" t="str">
        <x:v>Condiments</x:v>
      </x:c>
      <x:c r="K2451" t="str">
        <x:v>Ching's</x:v>
      </x:c>
      <x:c r="L2451" s="22" t="n">
        <x:v>118</x:v>
      </x:c>
      <x:c r="M2451" t="n">
        <x:v>19</x:v>
      </x:c>
      <x:c r="N2451" s="24" t="n">
        <x:v>0</x:v>
      </x:c>
      <x:c r="O2451" s="22" t="n">
        <x:f>L2451*M2451</x:f>
        <x:v>2242</x:v>
      </x:c>
      <x:c r="P2451" s="22" t="n">
        <x:f>O2451*(1-N2451)</x:f>
        <x:v>2242</x:v>
      </x:c>
      <x:c r="Q2451" s="22" t="n">
        <x:v>101</x:v>
      </x:c>
      <x:c r="R2451" s="22" t="n">
        <x:f>Q2451*M2451</x:f>
        <x:v>1919</x:v>
      </x:c>
      <x:c r="S2451" s="22" t="n">
        <x:f>P2451-R2451</x:f>
        <x:v>323</x:v>
      </x:c>
      <x:c r="T2451" t="str">
        <x:v>Bank Transfer</x:v>
      </x:c>
      <x:c r="U2451" t="str">
        <x:v>Pending</x:v>
      </x:c>
      <x:c r="V2451" t="str">
        <x:v>Delivered</x:v>
      </x:c>
      <x:c r="W2451" t="n">
        <x:v>0</x:v>
      </x:c>
      <x:c r="X2451" t="str"/>
      <x:c r="Y2451" t="str">
        <x:v>Existing Customer</x:v>
      </x:c>
    </x:row>
    <x:row r="2452">
      <x:c r="A2452" t="str">
        <x:v>O002451</x:v>
      </x:c>
      <x:c r="B2452" s="20" t="n">
        <x:v>45955</x:v>
      </x:c>
      <x:c r="C2452" t="str">
        <x:v>C0008</x:v>
      </x:c>
      <x:c r="D2452" t="str">
        <x:v>Namma Kitchen 8</x:v>
      </x:c>
      <x:c r="E2452" t="str">
        <x:v>Kirana</x:v>
      </x:c>
      <x:c r="F2452" t="str">
        <x:v>Bengaluru</x:v>
      </x:c>
      <x:c r="G2452" t="str">
        <x:v>Vikram</x:v>
      </x:c>
      <x:c r="H2452" t="str">
        <x:v>P005</x:v>
      </x:c>
      <x:c r="I2452" t="str">
        <x:v>Chana Dal 5kg</x:v>
      </x:c>
      <x:c r="J2452" t="str">
        <x:v>Pulses</x:v>
      </x:c>
      <x:c r="K2452" t="str">
        <x:v>Local Select</x:v>
      </x:c>
      <x:c r="L2452" s="22" t="n">
        <x:v>520</x:v>
      </x:c>
      <x:c r="M2452" t="n">
        <x:v>8</x:v>
      </x:c>
      <x:c r="N2452" s="24" t="n">
        <x:v>0.05</x:v>
      </x:c>
      <x:c r="O2452" s="22" t="n">
        <x:f>L2452*M2452</x:f>
        <x:v>4160</x:v>
      </x:c>
      <x:c r="P2452" s="22" t="n">
        <x:f>O2452*(1-N2452)</x:f>
        <x:v>3952</x:v>
      </x:c>
      <x:c r="Q2452" s="22" t="n">
        <x:v>455</x:v>
      </x:c>
      <x:c r="R2452" s="22" t="n">
        <x:f>Q2452*M2452</x:f>
        <x:v>3640</x:v>
      </x:c>
      <x:c r="S2452" s="22" t="n">
        <x:f>P2452-R2452</x:f>
        <x:v>312</x:v>
      </x:c>
      <x:c r="T2452" t="str">
        <x:v>UPI</x:v>
      </x:c>
      <x:c r="U2452" t="str">
        <x:v>Pending</x:v>
      </x:c>
      <x:c r="V2452" t="str">
        <x:v>Delivered</x:v>
      </x:c>
      <x:c r="W2452" t="n">
        <x:v>0</x:v>
      </x:c>
      <x:c r="X2452" t="str"/>
      <x:c r="Y2452" t="str">
        <x:v>Existing Customer</x:v>
      </x:c>
    </x:row>
    <x:row r="2453">
      <x:c r="A2453" t="str">
        <x:v>O002452</x:v>
      </x:c>
      <x:c r="B2453" s="20" t="n">
        <x:v>45800</x:v>
      </x:c>
      <x:c r="C2453" t="str">
        <x:v>C0147</x:v>
      </x:c>
      <x:c r="D2453" t="str">
        <x:v>New Stores 147</x:v>
      </x:c>
      <x:c r="E2453" t="str">
        <x:v>Supermarket</x:v>
      </x:c>
      <x:c r="F2453" t="str">
        <x:v>Hubballi</x:v>
      </x:c>
      <x:c r="G2453" t="str">
        <x:v>Imran</x:v>
      </x:c>
      <x:c r="H2453" t="str">
        <x:v>P005</x:v>
      </x:c>
      <x:c r="I2453" t="str">
        <x:v>Chana Dal 5kg</x:v>
      </x:c>
      <x:c r="J2453" t="str">
        <x:v>Pulses</x:v>
      </x:c>
      <x:c r="K2453" t="str">
        <x:v>Local Select</x:v>
      </x:c>
      <x:c r="L2453" s="22" t="n">
        <x:v>520</x:v>
      </x:c>
      <x:c r="M2453" t="n">
        <x:v>38</x:v>
      </x:c>
      <x:c r="N2453" s="24" t="n">
        <x:v>0.1</x:v>
      </x:c>
      <x:c r="O2453" s="22" t="n">
        <x:f>L2453*M2453</x:f>
        <x:v>19760</x:v>
      </x:c>
      <x:c r="P2453" s="22" t="n">
        <x:f>O2453*(1-N2453)</x:f>
        <x:v>17784</x:v>
      </x:c>
      <x:c r="Q2453" s="22" t="n">
        <x:v>455</x:v>
      </x:c>
      <x:c r="R2453" s="22" t="n">
        <x:f>Q2453*M2453</x:f>
        <x:v>17290</x:v>
      </x:c>
      <x:c r="S2453" s="22" t="n">
        <x:f>P2453-R2453</x:f>
        <x:v>494</x:v>
      </x:c>
      <x:c r="T2453" t="str">
        <x:v>Cash</x:v>
      </x:c>
      <x:c r="U2453" t="str">
        <x:v>Pending</x:v>
      </x:c>
      <x:c r="V2453" t="str">
        <x:v>Delivered</x:v>
      </x:c>
      <x:c r="W2453" t="n">
        <x:v>0</x:v>
      </x:c>
      <x:c r="X2453" t="str"/>
      <x:c r="Y2453" t="str">
        <x:v>Existing Customer</x:v>
      </x:c>
    </x:row>
    <x:row r="2454">
      <x:c r="A2454" t="str">
        <x:v>O002453</x:v>
      </x:c>
      <x:c r="B2454" s="20" t="n">
        <x:v>45774</x:v>
      </x:c>
      <x:c r="C2454" t="str">
        <x:v>C0021</x:v>
      </x:c>
      <x:c r="D2454" t="str">
        <x:v>Namma Cafe 21</x:v>
      </x:c>
      <x:c r="E2454" t="str">
        <x:v>Canteen</x:v>
      </x:c>
      <x:c r="F2454" t="str">
        <x:v>Bengaluru</x:v>
      </x:c>
      <x:c r="G2454" t="str">
        <x:v>Kavya</x:v>
      </x:c>
      <x:c r="H2454" t="str">
        <x:v>P042</x:v>
      </x:c>
      <x:c r="I2454" t="str">
        <x:v>Eggs 30pc Tray</x:v>
      </x:c>
      <x:c r="J2454" t="str">
        <x:v>Protein</x:v>
      </x:c>
      <x:c r="K2454" t="str">
        <x:v>Farm Fresh</x:v>
      </x:c>
      <x:c r="L2454" s="22" t="n">
        <x:v>195</x:v>
      </x:c>
      <x:c r="M2454" t="n">
        <x:v>20</x:v>
      </x:c>
      <x:c r="N2454" s="24" t="n">
        <x:v>0.03</x:v>
      </x:c>
      <x:c r="O2454" s="22" t="n">
        <x:f>L2454*M2454</x:f>
        <x:v>3900</x:v>
      </x:c>
      <x:c r="P2454" s="22" t="n">
        <x:f>O2454*(1-N2454)</x:f>
        <x:v>3783</x:v>
      </x:c>
      <x:c r="Q2454" s="22" t="n">
        <x:v>170</x:v>
      </x:c>
      <x:c r="R2454" s="22" t="n">
        <x:f>Q2454*M2454</x:f>
        <x:v>3400</x:v>
      </x:c>
      <x:c r="S2454" s="22" t="n">
        <x:f>P2454-R2454</x:f>
        <x:v>383</x:v>
      </x:c>
      <x:c r="T2454" t="str">
        <x:v>UPI</x:v>
      </x:c>
      <x:c r="U2454" t="str">
        <x:v>Paid</x:v>
      </x:c>
      <x:c r="V2454" t="str">
        <x:v>Cancelled</x:v>
      </x:c>
      <x:c r="W2454" t="n">
        <x:v>20</x:v>
      </x:c>
      <x:c r="X2454" t="str">
        <x:v>Cancelled Order</x:v>
      </x:c>
      <x:c r="Y2454" t="str">
        <x:v>Field Visit</x:v>
      </x:c>
    </x:row>
    <x:row r="2455">
      <x:c r="A2455" t="str">
        <x:v>O002454</x:v>
      </x:c>
      <x:c r="B2455" s="20" t="n">
        <x:v>46275</x:v>
      </x:c>
      <x:c r="C2455" t="str">
        <x:v>C0002</x:v>
      </x:c>
      <x:c r="D2455" t="str">
        <x:v>City Kitchen 2</x:v>
      </x:c>
      <x:c r="E2455" t="str">
        <x:v>Kirana</x:v>
      </x:c>
      <x:c r="F2455" t="str">
        <x:v>Davanagere</x:v>
      </x:c>
      <x:c r="G2455" t="str">
        <x:v>Arjun</x:v>
      </x:c>
      <x:c r="H2455" t="str">
        <x:v>P046</x:v>
      </x:c>
      <x:c r="I2455" t="str">
        <x:v>Potato 25kg</x:v>
      </x:c>
      <x:c r="J2455" t="str">
        <x:v>Fresh Produce</x:v>
      </x:c>
      <x:c r="K2455" t="str">
        <x:v>Local Market</x:v>
      </x:c>
      <x:c r="L2455" s="22" t="n">
        <x:v>700</x:v>
      </x:c>
      <x:c r="M2455" t="n">
        <x:v>12</x:v>
      </x:c>
      <x:c r="N2455" s="24" t="n">
        <x:v>0.02</x:v>
      </x:c>
      <x:c r="O2455" s="22" t="n">
        <x:f>L2455*M2455</x:f>
        <x:v>8400</x:v>
      </x:c>
      <x:c r="P2455" s="22" t="n">
        <x:f>O2455*(1-N2455)</x:f>
        <x:v>8232</x:v>
      </x:c>
      <x:c r="Q2455" s="22" t="n">
        <x:v>610</x:v>
      </x:c>
      <x:c r="R2455" s="22" t="n">
        <x:f>Q2455*M2455</x:f>
        <x:v>7320</x:v>
      </x:c>
      <x:c r="S2455" s="22" t="n">
        <x:f>P2455-R2455</x:f>
        <x:v>912</x:v>
      </x:c>
      <x:c r="T2455" t="str">
        <x:v>Bank Transfer</x:v>
      </x:c>
      <x:c r="U2455" t="str">
        <x:v>Paid</x:v>
      </x:c>
      <x:c r="V2455" t="str">
        <x:v>Delivered</x:v>
      </x:c>
      <x:c r="W2455" t="n">
        <x:v>0</x:v>
      </x:c>
      <x:c r="X2455" t="str"/>
      <x:c r="Y2455" t="str">
        <x:v>WhatsApp</x:v>
      </x:c>
    </x:row>
    <x:row r="2456">
      <x:c r="A2456" t="str">
        <x:v>O002455</x:v>
      </x:c>
      <x:c r="B2456" s="20" t="n">
        <x:v>45896</x:v>
      </x:c>
      <x:c r="C2456" t="str">
        <x:v>C0119</x:v>
      </x:c>
      <x:c r="D2456" t="str">
        <x:v>Foodie Foods 119</x:v>
      </x:c>
      <x:c r="E2456" t="str">
        <x:v>Kirana</x:v>
      </x:c>
      <x:c r="F2456" t="str">
        <x:v>Hubballi</x:v>
      </x:c>
      <x:c r="G2456" t="str">
        <x:v>Imran</x:v>
      </x:c>
      <x:c r="H2456" t="str">
        <x:v>P004</x:v>
      </x:c>
      <x:c r="I2456" t="str">
        <x:v>Toor Dal 5kg</x:v>
      </x:c>
      <x:c r="J2456" t="str">
        <x:v>Pulses</x:v>
      </x:c>
      <x:c r="K2456" t="str">
        <x:v>Tata Sampann</x:v>
      </x:c>
      <x:c r="L2456" s="22" t="n">
        <x:v>780</x:v>
      </x:c>
      <x:c r="M2456" t="n">
        <x:v>2</x:v>
      </x:c>
      <x:c r="N2456" s="24" t="n">
        <x:v>0.05</x:v>
      </x:c>
      <x:c r="O2456" s="22" t="n">
        <x:f>L2456*M2456</x:f>
        <x:v>1560</x:v>
      </x:c>
      <x:c r="P2456" s="22" t="n">
        <x:f>O2456*(1-N2456)</x:f>
        <x:v>1482</x:v>
      </x:c>
      <x:c r="Q2456" s="22" t="n">
        <x:v>695</x:v>
      </x:c>
      <x:c r="R2456" s="22" t="n">
        <x:f>Q2456*M2456</x:f>
        <x:v>1390</x:v>
      </x:c>
      <x:c r="S2456" s="22" t="n">
        <x:f>P2456-R2456</x:f>
        <x:v>92</x:v>
      </x:c>
      <x:c r="T2456" t="str">
        <x:v>Bank Transfer</x:v>
      </x:c>
      <x:c r="U2456" t="str">
        <x:v>Paid</x:v>
      </x:c>
      <x:c r="V2456" t="str">
        <x:v>Delivered</x:v>
      </x:c>
      <x:c r="W2456" t="n">
        <x:v>0</x:v>
      </x:c>
      <x:c r="X2456" t="str"/>
      <x:c r="Y2456" t="str">
        <x:v>Referral</x:v>
      </x:c>
    </x:row>
    <x:row r="2457">
      <x:c r="A2457" t="str">
        <x:v>O002456</x:v>
      </x:c>
      <x:c r="B2457" s="20" t="n">
        <x:v>46177</x:v>
      </x:c>
      <x:c r="C2457" t="str">
        <x:v>C0004</x:v>
      </x:c>
      <x:c r="D2457" t="str">
        <x:v>Annapurna Foods 4</x:v>
      </x:c>
      <x:c r="E2457" t="str">
        <x:v>Cafe</x:v>
      </x:c>
      <x:c r="F2457" t="str">
        <x:v>Mysuru</x:v>
      </x:c>
      <x:c r="G2457" t="str">
        <x:v>Priya</x:v>
      </x:c>
      <x:c r="H2457" t="str">
        <x:v>P005</x:v>
      </x:c>
      <x:c r="I2457" t="str">
        <x:v>Chana Dal 5kg</x:v>
      </x:c>
      <x:c r="J2457" t="str">
        <x:v>Pulses</x:v>
      </x:c>
      <x:c r="K2457" t="str">
        <x:v>Local Select</x:v>
      </x:c>
      <x:c r="L2457" s="22" t="n">
        <x:v>520</x:v>
      </x:c>
      <x:c r="M2457" t="n">
        <x:v>26</x:v>
      </x:c>
      <x:c r="N2457" s="24" t="n">
        <x:v>0.05</x:v>
      </x:c>
      <x:c r="O2457" s="22" t="n">
        <x:f>L2457*M2457</x:f>
        <x:v>13520</x:v>
      </x:c>
      <x:c r="P2457" s="22" t="n">
        <x:f>O2457*(1-N2457)</x:f>
        <x:v>12844</x:v>
      </x:c>
      <x:c r="Q2457" s="22" t="n">
        <x:v>455</x:v>
      </x:c>
      <x:c r="R2457" s="22" t="n">
        <x:f>Q2457*M2457</x:f>
        <x:v>11830</x:v>
      </x:c>
      <x:c r="S2457" s="22" t="n">
        <x:f>P2457-R2457</x:f>
        <x:v>1014</x:v>
      </x:c>
      <x:c r="T2457" t="str">
        <x:v>UPI</x:v>
      </x:c>
      <x:c r="U2457" t="str">
        <x:v>Paid</x:v>
      </x:c>
      <x:c r="V2457" t="str">
        <x:v>Delivered</x:v>
      </x:c>
      <x:c r="W2457" t="n">
        <x:v>0</x:v>
      </x:c>
      <x:c r="X2457" t="str"/>
      <x:c r="Y2457" t="str">
        <x:v>Outbound Call</x:v>
      </x:c>
    </x:row>
    <x:row r="2458">
      <x:c r="A2458" t="str">
        <x:v>O002457</x:v>
      </x:c>
      <x:c r="B2458" s="20" t="n">
        <x:v>46010</x:v>
      </x:c>
      <x:c r="C2458" t="str">
        <x:v>C0165</x:v>
      </x:c>
      <x:c r="D2458" t="str">
        <x:v>Royal Restaurant 165</x:v>
      </x:c>
      <x:c r="E2458" t="str">
        <x:v>Hotel</x:v>
      </x:c>
      <x:c r="F2458" t="str">
        <x:v>Tumakuru</x:v>
      </x:c>
      <x:c r="G2458" t="str">
        <x:v>Kavya</x:v>
      </x:c>
      <x:c r="H2458" t="str">
        <x:v>P039</x:v>
      </x:c>
      <x:c r="I2458" t="str">
        <x:v>Ice Cream 4L</x:v>
      </x:c>
      <x:c r="J2458" t="str">
        <x:v>Frozen</x:v>
      </x:c>
      <x:c r="K2458" t="str">
        <x:v>Amul</x:v>
      </x:c>
      <x:c r="L2458" s="22" t="n">
        <x:v>480</x:v>
      </x:c>
      <x:c r="M2458" t="n">
        <x:v>10</x:v>
      </x:c>
      <x:c r="N2458" s="24" t="n">
        <x:v>0.1</x:v>
      </x:c>
      <x:c r="O2458" s="22" t="n">
        <x:f>L2458*M2458</x:f>
        <x:v>4800</x:v>
      </x:c>
      <x:c r="P2458" s="22" t="n">
        <x:f>O2458*(1-N2458)</x:f>
        <x:v>4320</x:v>
      </x:c>
      <x:c r="Q2458" s="22" t="n">
        <x:v>420</x:v>
      </x:c>
      <x:c r="R2458" s="22" t="n">
        <x:f>Q2458*M2458</x:f>
        <x:v>4200</x:v>
      </x:c>
      <x:c r="S2458" s="22" t="n">
        <x:f>P2458-R2458</x:f>
        <x:v>120</x:v>
      </x:c>
      <x:c r="T2458" t="str">
        <x:v>Bank Transfer</x:v>
      </x:c>
      <x:c r="U2458" t="str">
        <x:v>Paid</x:v>
      </x:c>
      <x:c r="V2458" t="str">
        <x:v>Delivered</x:v>
      </x:c>
      <x:c r="W2458" t="n">
        <x:v>0</x:v>
      </x:c>
      <x:c r="X2458" t="str"/>
      <x:c r="Y2458" t="str">
        <x:v>Referral</x:v>
      </x:c>
    </x:row>
    <x:row r="2459">
      <x:c r="A2459" t="str">
        <x:v>O002458</x:v>
      </x:c>
      <x:c r="B2459" s="20" t="n">
        <x:v>45674</x:v>
      </x:c>
      <x:c r="C2459" t="str">
        <x:v>C0163</x:v>
      </x:c>
      <x:c r="D2459" t="str">
        <x:v>Shree Kitchen 163</x:v>
      </x:c>
      <x:c r="E2459" t="str">
        <x:v>Kirana</x:v>
      </x:c>
      <x:c r="F2459" t="str">
        <x:v>Mysuru</x:v>
      </x:c>
      <x:c r="G2459" t="str">
        <x:v>Priya</x:v>
      </x:c>
      <x:c r="H2459" t="str">
        <x:v>P036</x:v>
      </x:c>
      <x:c r="I2459" t="str">
        <x:v>Garam Masala 500g</x:v>
      </x:c>
      <x:c r="J2459" t="str">
        <x:v>Spices</x:v>
      </x:c>
      <x:c r="K2459" t="str">
        <x:v>MDH</x:v>
      </x:c>
      <x:c r="L2459" s="22" t="n">
        <x:v>265</x:v>
      </x:c>
      <x:c r="M2459" t="n">
        <x:v>25</x:v>
      </x:c>
      <x:c r="N2459" s="24" t="n">
        <x:v>0</x:v>
      </x:c>
      <x:c r="O2459" s="22" t="n">
        <x:f>L2459*M2459</x:f>
        <x:v>6625</x:v>
      </x:c>
      <x:c r="P2459" s="22" t="n">
        <x:f>O2459*(1-N2459)</x:f>
        <x:v>6625</x:v>
      </x:c>
      <x:c r="Q2459" s="22" t="n">
        <x:v>230</x:v>
      </x:c>
      <x:c r="R2459" s="22" t="n">
        <x:f>Q2459*M2459</x:f>
        <x:v>5750</x:v>
      </x:c>
      <x:c r="S2459" s="22" t="n">
        <x:f>P2459-R2459</x:f>
        <x:v>875</x:v>
      </x:c>
      <x:c r="T2459" t="str">
        <x:v>UPI</x:v>
      </x:c>
      <x:c r="U2459" t="str">
        <x:v>Paid</x:v>
      </x:c>
      <x:c r="V2459" t="str">
        <x:v>Delivered</x:v>
      </x:c>
      <x:c r="W2459" t="n">
        <x:v>0</x:v>
      </x:c>
      <x:c r="X2459" t="str"/>
      <x:c r="Y2459" t="str">
        <x:v>Outbound Call</x:v>
      </x:c>
    </x:row>
    <x:row r="2460">
      <x:c r="A2460" t="str">
        <x:v>O002459</x:v>
      </x:c>
      <x:c r="B2460" s="20" t="n">
        <x:v>45834</x:v>
      </x:c>
      <x:c r="C2460" t="str">
        <x:v>C0208</x:v>
      </x:c>
      <x:c r="D2460" t="str">
        <x:v>Green Foods 208</x:v>
      </x:c>
      <x:c r="E2460" t="str">
        <x:v>Hotel</x:v>
      </x:c>
      <x:c r="F2460" t="str">
        <x:v>Mysuru</x:v>
      </x:c>
      <x:c r="G2460" t="str">
        <x:v>Ramesh</x:v>
      </x:c>
      <x:c r="H2460" t="str">
        <x:v>P017</x:v>
      </x:c>
      <x:c r="I2460" t="str">
        <x:v>Butter 500g</x:v>
      </x:c>
      <x:c r="J2460" t="str">
        <x:v>Dairy</x:v>
      </x:c>
      <x:c r="K2460" t="str">
        <x:v>Amul</x:v>
      </x:c>
      <x:c r="L2460" s="22" t="n">
        <x:v>285</x:v>
      </x:c>
      <x:c r="M2460" t="n">
        <x:v>25</x:v>
      </x:c>
      <x:c r="N2460" s="24" t="n">
        <x:v>0.05</x:v>
      </x:c>
      <x:c r="O2460" s="22" t="n">
        <x:f>L2460*M2460</x:f>
        <x:v>7125</x:v>
      </x:c>
      <x:c r="P2460" s="22" t="n">
        <x:f>O2460*(1-N2460)</x:f>
        <x:v>6768.75</x:v>
      </x:c>
      <x:c r="Q2460" s="22" t="n">
        <x:v>258</x:v>
      </x:c>
      <x:c r="R2460" s="22" t="n">
        <x:f>Q2460*M2460</x:f>
        <x:v>6450</x:v>
      </x:c>
      <x:c r="S2460" s="22" t="n">
        <x:f>P2460-R2460</x:f>
        <x:v>318.75</x:v>
      </x:c>
      <x:c r="T2460" t="str">
        <x:v>Credit</x:v>
      </x:c>
      <x:c r="U2460" t="str">
        <x:v>Paid</x:v>
      </x:c>
      <x:c r="V2460" t="str">
        <x:v>Cancelled</x:v>
      </x:c>
      <x:c r="W2460" t="n">
        <x:v>25</x:v>
      </x:c>
      <x:c r="X2460" t="str">
        <x:v>Cancelled Order</x:v>
      </x:c>
      <x:c r="Y2460" t="str">
        <x:v>Existing Customer</x:v>
      </x:c>
    </x:row>
    <x:row r="2461">
      <x:c r="A2461" t="str">
        <x:v>O002460</x:v>
      </x:c>
      <x:c r="B2461" s="20" t="n">
        <x:v>45953</x:v>
      </x:c>
      <x:c r="C2461" t="str">
        <x:v>C0062</x:v>
      </x:c>
      <x:c r="D2461" t="str">
        <x:v>Foodie Hotel 62</x:v>
      </x:c>
      <x:c r="E2461" t="str">
        <x:v>Cafe</x:v>
      </x:c>
      <x:c r="F2461" t="str">
        <x:v>Mysuru</x:v>
      </x:c>
      <x:c r="G2461" t="str">
        <x:v>Vikram</x:v>
      </x:c>
      <x:c r="H2461" t="str">
        <x:v>P031</x:v>
      </x:c>
      <x:c r="I2461" t="str">
        <x:v>Chilli Sauce 700g</x:v>
      </x:c>
      <x:c r="J2461" t="str">
        <x:v>Condiments</x:v>
      </x:c>
      <x:c r="K2461" t="str">
        <x:v>Ching's</x:v>
      </x:c>
      <x:c r="L2461" s="22" t="n">
        <x:v>130</x:v>
      </x:c>
      <x:c r="M2461" t="n">
        <x:v>2</x:v>
      </x:c>
      <x:c r="N2461" s="24" t="n">
        <x:v>0.05</x:v>
      </x:c>
      <x:c r="O2461" s="22" t="n">
        <x:f>L2461*M2461</x:f>
        <x:v>260</x:v>
      </x:c>
      <x:c r="P2461" s="22" t="n">
        <x:f>O2461*(1-N2461)</x:f>
        <x:v>247</x:v>
      </x:c>
      <x:c r="Q2461" s="22" t="n">
        <x:v>112</x:v>
      </x:c>
      <x:c r="R2461" s="22" t="n">
        <x:f>Q2461*M2461</x:f>
        <x:v>224</x:v>
      </x:c>
      <x:c r="S2461" s="22" t="n">
        <x:f>P2461-R2461</x:f>
        <x:v>23</x:v>
      </x:c>
      <x:c r="T2461" t="str">
        <x:v>Cash</x:v>
      </x:c>
      <x:c r="U2461" t="str">
        <x:v>Paid</x:v>
      </x:c>
      <x:c r="V2461" t="str">
        <x:v>Cancelled</x:v>
      </x:c>
      <x:c r="W2461" t="n">
        <x:v>2</x:v>
      </x:c>
      <x:c r="X2461" t="str">
        <x:v>Cancelled Order</x:v>
      </x:c>
      <x:c r="Y2461" t="str">
        <x:v>Outbound Call</x:v>
      </x:c>
    </x:row>
    <x:row r="2462">
      <x:c r="A2462" t="str">
        <x:v>O002461</x:v>
      </x:c>
      <x:c r="B2462" s="20" t="n">
        <x:v>45970</x:v>
      </x:c>
      <x:c r="C2462" t="str">
        <x:v>C0196</x:v>
      </x:c>
      <x:c r="D2462" t="str">
        <x:v>Namma Mart 196</x:v>
      </x:c>
      <x:c r="E2462" t="str">
        <x:v>Cafe</x:v>
      </x:c>
      <x:c r="F2462" t="str">
        <x:v>Mangaluru</x:v>
      </x:c>
      <x:c r="G2462" t="str">
        <x:v>Kavya</x:v>
      </x:c>
      <x:c r="H2462" t="str">
        <x:v>P018</x:v>
      </x:c>
      <x:c r="I2462" t="str">
        <x:v>Paneer 1kg</x:v>
      </x:c>
      <x:c r="J2462" t="str">
        <x:v>Dairy</x:v>
      </x:c>
      <x:c r="K2462" t="str">
        <x:v>Milky Mist</x:v>
      </x:c>
      <x:c r="L2462" s="22" t="n">
        <x:v>410</x:v>
      </x:c>
      <x:c r="M2462" t="n">
        <x:v>26</x:v>
      </x:c>
      <x:c r="N2462" s="24" t="n">
        <x:v>0.08</x:v>
      </x:c>
      <x:c r="O2462" s="22" t="n">
        <x:f>L2462*M2462</x:f>
        <x:v>10660</x:v>
      </x:c>
      <x:c r="P2462" s="22" t="n">
        <x:f>O2462*(1-N2462)</x:f>
        <x:v>9807.2</x:v>
      </x:c>
      <x:c r="Q2462" s="22" t="n">
        <x:v>370</x:v>
      </x:c>
      <x:c r="R2462" s="22" t="n">
        <x:f>Q2462*M2462</x:f>
        <x:v>9620</x:v>
      </x:c>
      <x:c r="S2462" s="22" t="n">
        <x:f>P2462-R2462</x:f>
        <x:v>187.20000000000073</x:v>
      </x:c>
      <x:c r="T2462" t="str">
        <x:v>Cash</x:v>
      </x:c>
      <x:c r="U2462" t="str">
        <x:v>Pending</x:v>
      </x:c>
      <x:c r="V2462" t="str">
        <x:v>Cancelled</x:v>
      </x:c>
      <x:c r="W2462" t="n">
        <x:v>26</x:v>
      </x:c>
      <x:c r="X2462" t="str">
        <x:v>Cancelled Order</x:v>
      </x:c>
      <x:c r="Y2462" t="str">
        <x:v>WhatsApp</x:v>
      </x:c>
    </x:row>
    <x:row r="2463">
      <x:c r="A2463" t="str">
        <x:v>O002462</x:v>
      </x:c>
      <x:c r="B2463" s="20" t="n">
        <x:v>46213</x:v>
      </x:c>
      <x:c r="C2463" t="str">
        <x:v>C0185</x:v>
      </x:c>
      <x:c r="D2463" t="str">
        <x:v>Mysore Foods 185</x:v>
      </x:c>
      <x:c r="E2463" t="str">
        <x:v>Restaurant</x:v>
      </x:c>
      <x:c r="F2463" t="str">
        <x:v>Mysuru</x:v>
      </x:c>
      <x:c r="G2463" t="str">
        <x:v>Sneha</x:v>
      </x:c>
      <x:c r="H2463" t="str">
        <x:v>P025</x:v>
      </x:c>
      <x:c r="I2463" t="str">
        <x:v>Potato Chips 100g</x:v>
      </x:c>
      <x:c r="J2463" t="str">
        <x:v>Snacks</x:v>
      </x:c>
      <x:c r="K2463" t="str">
        <x:v>Lay's</x:v>
      </x:c>
      <x:c r="L2463" s="22" t="n">
        <x:v>35</x:v>
      </x:c>
      <x:c r="M2463" t="n">
        <x:v>32</x:v>
      </x:c>
      <x:c r="N2463" s="24" t="n">
        <x:v>0.05</x:v>
      </x:c>
      <x:c r="O2463" s="22" t="n">
        <x:f>L2463*M2463</x:f>
        <x:v>1120</x:v>
      </x:c>
      <x:c r="P2463" s="22" t="n">
        <x:f>O2463*(1-N2463)</x:f>
        <x:v>1064</x:v>
      </x:c>
      <x:c r="Q2463" s="22" t="n">
        <x:v>27</x:v>
      </x:c>
      <x:c r="R2463" s="22" t="n">
        <x:f>Q2463*M2463</x:f>
        <x:v>864</x:v>
      </x:c>
      <x:c r="S2463" s="22" t="n">
        <x:f>P2463-R2463</x:f>
        <x:v>200</x:v>
      </x:c>
      <x:c r="T2463" t="str">
        <x:v>Cash</x:v>
      </x:c>
      <x:c r="U2463" t="str">
        <x:v>Paid</x:v>
      </x:c>
      <x:c r="V2463" t="str">
        <x:v>Delivered</x:v>
      </x:c>
      <x:c r="W2463" t="n">
        <x:v>0</x:v>
      </x:c>
      <x:c r="X2463" t="str"/>
      <x:c r="Y2463" t="str">
        <x:v>Referral</x:v>
      </x:c>
    </x:row>
    <x:row r="2464">
      <x:c r="A2464" t="str">
        <x:v>O002463</x:v>
      </x:c>
      <x:c r="B2464" s="20" t="n">
        <x:v>45945</x:v>
      </x:c>
      <x:c r="C2464" t="str">
        <x:v>C0186</x:v>
      </x:c>
      <x:c r="D2464" t="str">
        <x:v>Namma Stores 186</x:v>
      </x:c>
      <x:c r="E2464" t="str">
        <x:v>Supermarket</x:v>
      </x:c>
      <x:c r="F2464" t="str">
        <x:v>Mysuru</x:v>
      </x:c>
      <x:c r="G2464" t="str">
        <x:v>Vikram</x:v>
      </x:c>
      <x:c r="H2464" t="str">
        <x:v>P005</x:v>
      </x:c>
      <x:c r="I2464" t="str">
        <x:v>Chana Dal 5kg</x:v>
      </x:c>
      <x:c r="J2464" t="str">
        <x:v>Pulses</x:v>
      </x:c>
      <x:c r="K2464" t="str">
        <x:v>Local Select</x:v>
      </x:c>
      <x:c r="L2464" s="22" t="n">
        <x:v>520</x:v>
      </x:c>
      <x:c r="M2464" t="n">
        <x:v>25</x:v>
      </x:c>
      <x:c r="N2464" s="24" t="n">
        <x:v>0.05</x:v>
      </x:c>
      <x:c r="O2464" s="22" t="n">
        <x:f>L2464*M2464</x:f>
        <x:v>13000</x:v>
      </x:c>
      <x:c r="P2464" s="22" t="n">
        <x:f>O2464*(1-N2464)</x:f>
        <x:v>12350</x:v>
      </x:c>
      <x:c r="Q2464" s="22" t="n">
        <x:v>455</x:v>
      </x:c>
      <x:c r="R2464" s="22" t="n">
        <x:f>Q2464*M2464</x:f>
        <x:v>11375</x:v>
      </x:c>
      <x:c r="S2464" s="22" t="n">
        <x:f>P2464-R2464</x:f>
        <x:v>975</x:v>
      </x:c>
      <x:c r="T2464" t="str">
        <x:v>Credit</x:v>
      </x:c>
      <x:c r="U2464" t="str">
        <x:v>Paid</x:v>
      </x:c>
      <x:c r="V2464" t="str">
        <x:v>Delayed</x:v>
      </x:c>
      <x:c r="W2464" t="n">
        <x:v>0</x:v>
      </x:c>
      <x:c r="X2464" t="str"/>
      <x:c r="Y2464" t="str">
        <x:v>Referral</x:v>
      </x:c>
    </x:row>
    <x:row r="2465">
      <x:c r="A2465" t="str">
        <x:v>O002464</x:v>
      </x:c>
      <x:c r="B2465" s="20" t="n">
        <x:v>46176</x:v>
      </x:c>
      <x:c r="C2465" t="str">
        <x:v>C0224</x:v>
      </x:c>
      <x:c r="D2465" t="str">
        <x:v>Royal Foods 224</x:v>
      </x:c>
      <x:c r="E2465" t="str">
        <x:v>Canteen</x:v>
      </x:c>
      <x:c r="F2465" t="str">
        <x:v>Tumakuru</x:v>
      </x:c>
      <x:c r="G2465" t="str">
        <x:v>Arjun</x:v>
      </x:c>
      <x:c r="H2465" t="str">
        <x:v>P018</x:v>
      </x:c>
      <x:c r="I2465" t="str">
        <x:v>Paneer 1kg</x:v>
      </x:c>
      <x:c r="J2465" t="str">
        <x:v>Dairy</x:v>
      </x:c>
      <x:c r="K2465" t="str">
        <x:v>Milky Mist</x:v>
      </x:c>
      <x:c r="L2465" s="22" t="n">
        <x:v>410</x:v>
      </x:c>
      <x:c r="M2465" t="n">
        <x:v>13</x:v>
      </x:c>
      <x:c r="N2465" s="24" t="n">
        <x:v>0.05</x:v>
      </x:c>
      <x:c r="O2465" s="22" t="n">
        <x:f>L2465*M2465</x:f>
        <x:v>5330</x:v>
      </x:c>
      <x:c r="P2465" s="22" t="n">
        <x:f>O2465*(1-N2465)</x:f>
        <x:v>5063.5</x:v>
      </x:c>
      <x:c r="Q2465" s="22" t="n">
        <x:v>370</x:v>
      </x:c>
      <x:c r="R2465" s="22" t="n">
        <x:f>Q2465*M2465</x:f>
        <x:v>4810</x:v>
      </x:c>
      <x:c r="S2465" s="22" t="n">
        <x:f>P2465-R2465</x:f>
        <x:v>253.5</x:v>
      </x:c>
      <x:c r="T2465" t="str">
        <x:v>Bank Transfer</x:v>
      </x:c>
      <x:c r="U2465" t="str">
        <x:v>Paid</x:v>
      </x:c>
      <x:c r="V2465" t="str">
        <x:v>Delivered</x:v>
      </x:c>
      <x:c r="W2465" t="n">
        <x:v>0</x:v>
      </x:c>
      <x:c r="X2465" t="str"/>
      <x:c r="Y2465" t="str">
        <x:v>WhatsApp</x:v>
      </x:c>
    </x:row>
    <x:row r="2466">
      <x:c r="A2466" t="str">
        <x:v>O002465</x:v>
      </x:c>
      <x:c r="B2466" s="20" t="n">
        <x:v>46164</x:v>
      </x:c>
      <x:c r="C2466" t="str">
        <x:v>C0219</x:v>
      </x:c>
      <x:c r="D2466" t="str">
        <x:v>Udupi Restaurant 219</x:v>
      </x:c>
      <x:c r="E2466" t="str">
        <x:v>Kirana</x:v>
      </x:c>
      <x:c r="F2466" t="str">
        <x:v>Mangaluru</x:v>
      </x:c>
      <x:c r="G2466" t="str">
        <x:v>Kavya</x:v>
      </x:c>
      <x:c r="H2466" t="str">
        <x:v>P027</x:v>
      </x:c>
      <x:c r="I2466" t="str">
        <x:v>Biscuits 120g</x:v>
      </x:c>
      <x:c r="J2466" t="str">
        <x:v>Snacks</x:v>
      </x:c>
      <x:c r="K2466" t="str">
        <x:v>Parle-G</x:v>
      </x:c>
      <x:c r="L2466" s="22" t="n">
        <x:v>12</x:v>
      </x:c>
      <x:c r="M2466" t="n">
        <x:v>14</x:v>
      </x:c>
      <x:c r="N2466" s="24" t="n">
        <x:v>0.03</x:v>
      </x:c>
      <x:c r="O2466" s="22" t="n">
        <x:f>L2466*M2466</x:f>
        <x:v>168</x:v>
      </x:c>
      <x:c r="P2466" s="22" t="n">
        <x:f>O2466*(1-N2466)</x:f>
        <x:v>162.96</x:v>
      </x:c>
      <x:c r="Q2466" s="22" t="n">
        <x:v>9</x:v>
      </x:c>
      <x:c r="R2466" s="22" t="n">
        <x:f>Q2466*M2466</x:f>
        <x:v>126</x:v>
      </x:c>
      <x:c r="S2466" s="22" t="n">
        <x:f>P2466-R2466</x:f>
        <x:v>36.96000000000001</x:v>
      </x:c>
      <x:c r="T2466" t="str">
        <x:v>Credit</x:v>
      </x:c>
      <x:c r="U2466" t="str">
        <x:v>Pending</x:v>
      </x:c>
      <x:c r="V2466" t="str">
        <x:v>Delayed</x:v>
      </x:c>
      <x:c r="W2466" t="n">
        <x:v>0</x:v>
      </x:c>
      <x:c r="X2466" t="str"/>
      <x:c r="Y2466" t="str">
        <x:v>Field Visit</x:v>
      </x:c>
    </x:row>
    <x:row r="2467">
      <x:c r="A2467" t="str">
        <x:v>O002466</x:v>
      </x:c>
      <x:c r="B2467" s="20" t="n">
        <x:v>46129</x:v>
      </x:c>
      <x:c r="C2467" t="str">
        <x:v>C0008</x:v>
      </x:c>
      <x:c r="D2467" t="str">
        <x:v>Namma Kitchen 8</x:v>
      </x:c>
      <x:c r="E2467" t="str">
        <x:v>Kirana</x:v>
      </x:c>
      <x:c r="F2467" t="str">
        <x:v>Bengaluru</x:v>
      </x:c>
      <x:c r="G2467" t="str">
        <x:v>Vikram</x:v>
      </x:c>
      <x:c r="H2467" t="str">
        <x:v>P043</x:v>
      </x:c>
      <x:c r="I2467" t="str">
        <x:v>Chicken Breast 1kg</x:v>
      </x:c>
      <x:c r="J2467" t="str">
        <x:v>Protein</x:v>
      </x:c>
      <x:c r="K2467" t="str">
        <x:v>FreshToHome</x:v>
      </x:c>
      <x:c r="L2467" s="22" t="n">
        <x:v>260</x:v>
      </x:c>
      <x:c r="M2467" t="n">
        <x:v>31</x:v>
      </x:c>
      <x:c r="N2467" s="24" t="n">
        <x:v>0.02</x:v>
      </x:c>
      <x:c r="O2467" s="22" t="n">
        <x:f>L2467*M2467</x:f>
        <x:v>8060</x:v>
      </x:c>
      <x:c r="P2467" s="22" t="n">
        <x:f>O2467*(1-N2467)</x:f>
        <x:v>7898.8</x:v>
      </x:c>
      <x:c r="Q2467" s="22" t="n">
        <x:v>235</x:v>
      </x:c>
      <x:c r="R2467" s="22" t="n">
        <x:f>Q2467*M2467</x:f>
        <x:v>7285</x:v>
      </x:c>
      <x:c r="S2467" s="22" t="n">
        <x:f>P2467-R2467</x:f>
        <x:v>613.8000000000002</x:v>
      </x:c>
      <x:c r="T2467" t="str">
        <x:v>Credit</x:v>
      </x:c>
      <x:c r="U2467" t="str">
        <x:v>Paid</x:v>
      </x:c>
      <x:c r="V2467" t="str">
        <x:v>Delayed</x:v>
      </x:c>
      <x:c r="W2467" t="n">
        <x:v>0</x:v>
      </x:c>
      <x:c r="X2467" t="str"/>
      <x:c r="Y2467" t="str">
        <x:v>Existing Customer</x:v>
      </x:c>
    </x:row>
    <x:row r="2468">
      <x:c r="A2468" t="str">
        <x:v>O002467</x:v>
      </x:c>
      <x:c r="B2468" s="20" t="n">
        <x:v>46076</x:v>
      </x:c>
      <x:c r="C2468" t="str">
        <x:v>C0041</x:v>
      </x:c>
      <x:c r="D2468" t="str">
        <x:v>Grand Mart 41</x:v>
      </x:c>
      <x:c r="E2468" t="str">
        <x:v>Cafe</x:v>
      </x:c>
      <x:c r="F2468" t="str">
        <x:v>Bengaluru</x:v>
      </x:c>
      <x:c r="G2468" t="str">
        <x:v>Kavya</x:v>
      </x:c>
      <x:c r="H2468" t="str">
        <x:v>P050</x:v>
      </x:c>
      <x:c r="I2468" t="str">
        <x:v>Lemon 5kg</x:v>
      </x:c>
      <x:c r="J2468" t="str">
        <x:v>Fresh Produce</x:v>
      </x:c>
      <x:c r="K2468" t="str">
        <x:v>Local Market</x:v>
      </x:c>
      <x:c r="L2468" s="22" t="n">
        <x:v>360</x:v>
      </x:c>
      <x:c r="M2468" t="n">
        <x:v>40</x:v>
      </x:c>
      <x:c r="N2468" s="24" t="n">
        <x:v>0.03</x:v>
      </x:c>
      <x:c r="O2468" s="22" t="n">
        <x:f>L2468*M2468</x:f>
        <x:v>14400</x:v>
      </x:c>
      <x:c r="P2468" s="22" t="n">
        <x:f>O2468*(1-N2468)</x:f>
        <x:v>13968</x:v>
      </x:c>
      <x:c r="Q2468" s="22" t="n">
        <x:v>300</x:v>
      </x:c>
      <x:c r="R2468" s="22" t="n">
        <x:f>Q2468*M2468</x:f>
        <x:v>12000</x:v>
      </x:c>
      <x:c r="S2468" s="22" t="n">
        <x:f>P2468-R2468</x:f>
        <x:v>1968</x:v>
      </x:c>
      <x:c r="T2468" t="str">
        <x:v>Cash</x:v>
      </x:c>
      <x:c r="U2468" t="str">
        <x:v>Paid</x:v>
      </x:c>
      <x:c r="V2468" t="str">
        <x:v>Cancelled</x:v>
      </x:c>
      <x:c r="W2468" t="n">
        <x:v>40</x:v>
      </x:c>
      <x:c r="X2468" t="str">
        <x:v>Cancelled Order</x:v>
      </x:c>
      <x:c r="Y2468" t="str">
        <x:v>WhatsApp</x:v>
      </x:c>
    </x:row>
    <x:row r="2469">
      <x:c r="A2469" t="str">
        <x:v>O002468</x:v>
      </x:c>
      <x:c r="B2469" s="20" t="n">
        <x:v>46206</x:v>
      </x:c>
      <x:c r="C2469" t="str">
        <x:v>C0177</x:v>
      </x:c>
      <x:c r="D2469" t="str">
        <x:v>Classic Cafe 177</x:v>
      </x:c>
      <x:c r="E2469" t="str">
        <x:v>Supermarket</x:v>
      </x:c>
      <x:c r="F2469" t="str">
        <x:v>Bengaluru</x:v>
      </x:c>
      <x:c r="G2469" t="str">
        <x:v>Arjun</x:v>
      </x:c>
      <x:c r="H2469" t="str">
        <x:v>P022</x:v>
      </x:c>
      <x:c r="I2469" t="str">
        <x:v>Mineral Water 1L</x:v>
      </x:c>
      <x:c r="J2469" t="str">
        <x:v>Beverage</x:v>
      </x:c>
      <x:c r="K2469" t="str">
        <x:v>Bisleri</x:v>
      </x:c>
      <x:c r="L2469" s="22" t="n">
        <x:v>19</x:v>
      </x:c>
      <x:c r="M2469" t="n">
        <x:v>3</x:v>
      </x:c>
      <x:c r="N2469" s="24" t="n">
        <x:v>0.02</x:v>
      </x:c>
      <x:c r="O2469" s="22" t="n">
        <x:f>L2469*M2469</x:f>
        <x:v>57</x:v>
      </x:c>
      <x:c r="P2469" s="22" t="n">
        <x:f>O2469*(1-N2469)</x:f>
        <x:v>55.86</x:v>
      </x:c>
      <x:c r="Q2469" s="22" t="n">
        <x:v>15</x:v>
      </x:c>
      <x:c r="R2469" s="22" t="n">
        <x:f>Q2469*M2469</x:f>
        <x:v>45</x:v>
      </x:c>
      <x:c r="S2469" s="22" t="n">
        <x:f>P2469-R2469</x:f>
        <x:v>10.86</x:v>
      </x:c>
      <x:c r="T2469" t="str">
        <x:v>Cash</x:v>
      </x:c>
      <x:c r="U2469" t="str">
        <x:v>Paid</x:v>
      </x:c>
      <x:c r="V2469" t="str">
        <x:v>Delivered</x:v>
      </x:c>
      <x:c r="W2469" t="n">
        <x:v>0</x:v>
      </x:c>
      <x:c r="X2469" t="str"/>
      <x:c r="Y2469" t="str">
        <x:v>Outbound Call</x:v>
      </x:c>
    </x:row>
    <x:row r="2470">
      <x:c r="A2470" t="str">
        <x:v>O002469</x:v>
      </x:c>
      <x:c r="B2470" s="20" t="n">
        <x:v>46068</x:v>
      </x:c>
      <x:c r="C2470" t="str">
        <x:v>C0137</x:v>
      </x:c>
      <x:c r="D2470" t="str">
        <x:v>Green Restaurant 137</x:v>
      </x:c>
      <x:c r="E2470" t="str">
        <x:v>Canteen</x:v>
      </x:c>
      <x:c r="F2470" t="str">
        <x:v>Mangaluru</x:v>
      </x:c>
      <x:c r="G2470" t="str">
        <x:v>Arjun</x:v>
      </x:c>
      <x:c r="H2470" t="str">
        <x:v>P018</x:v>
      </x:c>
      <x:c r="I2470" t="str">
        <x:v>Paneer 1kg</x:v>
      </x:c>
      <x:c r="J2470" t="str">
        <x:v>Dairy</x:v>
      </x:c>
      <x:c r="K2470" t="str">
        <x:v>Milky Mist</x:v>
      </x:c>
      <x:c r="L2470" s="22" t="n">
        <x:v>410</x:v>
      </x:c>
      <x:c r="M2470" t="n">
        <x:v>30</x:v>
      </x:c>
      <x:c r="N2470" s="24" t="n">
        <x:v>0</x:v>
      </x:c>
      <x:c r="O2470" s="22" t="n">
        <x:f>L2470*M2470</x:f>
        <x:v>12300</x:v>
      </x:c>
      <x:c r="P2470" s="22" t="n">
        <x:f>O2470*(1-N2470)</x:f>
        <x:v>12300</x:v>
      </x:c>
      <x:c r="Q2470" s="22" t="n">
        <x:v>370</x:v>
      </x:c>
      <x:c r="R2470" s="22" t="n">
        <x:f>Q2470*M2470</x:f>
        <x:v>11100</x:v>
      </x:c>
      <x:c r="S2470" s="22" t="n">
        <x:f>P2470-R2470</x:f>
        <x:v>1200</x:v>
      </x:c>
      <x:c r="T2470" t="str">
        <x:v>UPI</x:v>
      </x:c>
      <x:c r="U2470" t="str">
        <x:v>Paid</x:v>
      </x:c>
      <x:c r="V2470" t="str">
        <x:v>Delivered</x:v>
      </x:c>
      <x:c r="W2470" t="n">
        <x:v>0</x:v>
      </x:c>
      <x:c r="X2470" t="str"/>
      <x:c r="Y2470" t="str">
        <x:v>Existing Customer</x:v>
      </x:c>
    </x:row>
    <x:row r="2471">
      <x:c r="A2471" t="str">
        <x:v>O002470</x:v>
      </x:c>
      <x:c r="B2471" s="20" t="n">
        <x:v>46136</x:v>
      </x:c>
      <x:c r="C2471" t="str">
        <x:v>C0146</x:v>
      </x:c>
      <x:c r="D2471" t="str">
        <x:v>Annapurna Hotel 146</x:v>
      </x:c>
      <x:c r="E2471" t="str">
        <x:v>Restaurant</x:v>
      </x:c>
      <x:c r="F2471" t="str">
        <x:v>Davanagere</x:v>
      </x:c>
      <x:c r="G2471" t="str">
        <x:v>Arjun</x:v>
      </x:c>
      <x:c r="H2471" t="str">
        <x:v>P003</x:v>
      </x:c>
      <x:c r="I2471" t="str">
        <x:v>Basmati Rice 5kg</x:v>
      </x:c>
      <x:c r="J2471" t="str">
        <x:v>Staples</x:v>
      </x:c>
      <x:c r="K2471" t="str">
        <x:v>India Gate</x:v>
      </x:c>
      <x:c r="L2471" s="22" t="n">
        <x:v>690</x:v>
      </x:c>
      <x:c r="M2471" t="n">
        <x:v>29</x:v>
      </x:c>
      <x:c r="N2471" s="24" t="n">
        <x:v>0</x:v>
      </x:c>
      <x:c r="O2471" s="22" t="n">
        <x:f>L2471*M2471</x:f>
        <x:v>20010</x:v>
      </x:c>
      <x:c r="P2471" s="22" t="n">
        <x:f>O2471*(1-N2471)</x:f>
        <x:v>20010</x:v>
      </x:c>
      <x:c r="Q2471" s="22" t="n">
        <x:v>610</x:v>
      </x:c>
      <x:c r="R2471" s="22" t="n">
        <x:f>Q2471*M2471</x:f>
        <x:v>17690</x:v>
      </x:c>
      <x:c r="S2471" s="22" t="n">
        <x:f>P2471-R2471</x:f>
        <x:v>2320</x:v>
      </x:c>
      <x:c r="T2471" t="str">
        <x:v>Credit</x:v>
      </x:c>
      <x:c r="U2471" t="str">
        <x:v>Pending</x:v>
      </x:c>
      <x:c r="V2471" t="str">
        <x:v>Delayed</x:v>
      </x:c>
      <x:c r="W2471" t="n">
        <x:v>0</x:v>
      </x:c>
      <x:c r="X2471" t="str"/>
      <x:c r="Y2471" t="str">
        <x:v>Field Visit</x:v>
      </x:c>
    </x:row>
    <x:row r="2472">
      <x:c r="A2472" t="str">
        <x:v>O002471</x:v>
      </x:c>
      <x:c r="B2472" s="20" t="n">
        <x:v>45662</x:v>
      </x:c>
      <x:c r="C2472" t="str">
        <x:v>C0202</x:v>
      </x:c>
      <x:c r="D2472" t="str">
        <x:v>Sagar Foods 202</x:v>
      </x:c>
      <x:c r="E2472" t="str">
        <x:v>Restaurant</x:v>
      </x:c>
      <x:c r="F2472" t="str">
        <x:v>Mangaluru</x:v>
      </x:c>
      <x:c r="G2472" t="str">
        <x:v>Kavya</x:v>
      </x:c>
      <x:c r="H2472" t="str">
        <x:v>P023</x:v>
      </x:c>
      <x:c r="I2472" t="str">
        <x:v>Cola 750ml</x:v>
      </x:c>
      <x:c r="J2472" t="str">
        <x:v>Beverage</x:v>
      </x:c>
      <x:c r="K2472" t="str">
        <x:v>Coca-Cola</x:v>
      </x:c>
      <x:c r="L2472" s="22" t="n">
        <x:v>38</x:v>
      </x:c>
      <x:c r="M2472" t="n">
        <x:v>16</x:v>
      </x:c>
      <x:c r="N2472" s="24" t="n">
        <x:v>0.03</x:v>
      </x:c>
      <x:c r="O2472" s="22" t="n">
        <x:f>L2472*M2472</x:f>
        <x:v>608</x:v>
      </x:c>
      <x:c r="P2472" s="22" t="n">
        <x:f>O2472*(1-N2472)</x:f>
        <x:v>589.76</x:v>
      </x:c>
      <x:c r="Q2472" s="22" t="n">
        <x:v>31</x:v>
      </x:c>
      <x:c r="R2472" s="22" t="n">
        <x:f>Q2472*M2472</x:f>
        <x:v>496</x:v>
      </x:c>
      <x:c r="S2472" s="22" t="n">
        <x:f>P2472-R2472</x:f>
        <x:v>93.75999999999999</x:v>
      </x:c>
      <x:c r="T2472" t="str">
        <x:v>UPI</x:v>
      </x:c>
      <x:c r="U2472" t="str">
        <x:v>Paid</x:v>
      </x:c>
      <x:c r="V2472" t="str">
        <x:v>Delivered</x:v>
      </x:c>
      <x:c r="W2472" t="n">
        <x:v>0</x:v>
      </x:c>
      <x:c r="X2472" t="str"/>
      <x:c r="Y2472" t="str">
        <x:v>Field Visit</x:v>
      </x:c>
    </x:row>
    <x:row r="2473">
      <x:c r="A2473" t="str">
        <x:v>O002472</x:v>
      </x:c>
      <x:c r="B2473" s="20" t="n">
        <x:v>45793</x:v>
      </x:c>
      <x:c r="C2473" t="str">
        <x:v>C0010</x:v>
      </x:c>
      <x:c r="D2473" t="str">
        <x:v>Royal Hotel 10</x:v>
      </x:c>
      <x:c r="E2473" t="str">
        <x:v>Canteen</x:v>
      </x:c>
      <x:c r="F2473" t="str">
        <x:v>Davanagere</x:v>
      </x:c>
      <x:c r="G2473" t="str">
        <x:v>Ramesh</x:v>
      </x:c>
      <x:c r="H2473" t="str">
        <x:v>P044</x:v>
      </x:c>
      <x:c r="I2473" t="str">
        <x:v>Chicken Curry Cut 1kg</x:v>
      </x:c>
      <x:c r="J2473" t="str">
        <x:v>Protein</x:v>
      </x:c>
      <x:c r="K2473" t="str">
        <x:v>FreshToHome</x:v>
      </x:c>
      <x:c r="L2473" s="22" t="n">
        <x:v>230</x:v>
      </x:c>
      <x:c r="M2473" t="n">
        <x:v>1</x:v>
      </x:c>
      <x:c r="N2473" s="24" t="n">
        <x:v>0.02</x:v>
      </x:c>
      <x:c r="O2473" s="22" t="n">
        <x:f>L2473*M2473</x:f>
        <x:v>230</x:v>
      </x:c>
      <x:c r="P2473" s="22" t="n">
        <x:f>O2473*(1-N2473)</x:f>
        <x:v>225.4</x:v>
      </x:c>
      <x:c r="Q2473" s="22" t="n">
        <x:v>205</x:v>
      </x:c>
      <x:c r="R2473" s="22" t="n">
        <x:f>Q2473*M2473</x:f>
        <x:v>205</x:v>
      </x:c>
      <x:c r="S2473" s="22" t="n">
        <x:f>P2473-R2473</x:f>
        <x:v>20.400000000000006</x:v>
      </x:c>
      <x:c r="T2473" t="str">
        <x:v>Cash</x:v>
      </x:c>
      <x:c r="U2473" t="str">
        <x:v>Paid</x:v>
      </x:c>
      <x:c r="V2473" t="str">
        <x:v>Delivered</x:v>
      </x:c>
      <x:c r="W2473" t="n">
        <x:v>0</x:v>
      </x:c>
      <x:c r="X2473" t="str"/>
      <x:c r="Y2473" t="str">
        <x:v>Outbound Call</x:v>
      </x:c>
    </x:row>
    <x:row r="2474">
      <x:c r="A2474" t="str">
        <x:v>O002473</x:v>
      </x:c>
      <x:c r="B2474" s="20" t="n">
        <x:v>45724</x:v>
      </x:c>
      <x:c r="C2474" t="str">
        <x:v>C0088</x:v>
      </x:c>
      <x:c r="D2474" t="str">
        <x:v>Darshini Kitchen 88</x:v>
      </x:c>
      <x:c r="E2474" t="str">
        <x:v>Cafe</x:v>
      </x:c>
      <x:c r="F2474" t="str">
        <x:v>Tumakuru</x:v>
      </x:c>
      <x:c r="G2474" t="str">
        <x:v>Arjun</x:v>
      </x:c>
      <x:c r="H2474" t="str">
        <x:v>P015</x:v>
      </x:c>
      <x:c r="I2474" t="str">
        <x:v>Milk 1L</x:v>
      </x:c>
      <x:c r="J2474" t="str">
        <x:v>Dairy</x:v>
      </x:c>
      <x:c r="K2474" t="str">
        <x:v>Nandini</x:v>
      </x:c>
      <x:c r="L2474" s="22" t="n">
        <x:v>48</x:v>
      </x:c>
      <x:c r="M2474" t="n">
        <x:v>9</x:v>
      </x:c>
      <x:c r="N2474" s="24" t="n">
        <x:v>0.08</x:v>
      </x:c>
      <x:c r="O2474" s="22" t="n">
        <x:f>L2474*M2474</x:f>
        <x:v>432</x:v>
      </x:c>
      <x:c r="P2474" s="22" t="n">
        <x:f>O2474*(1-N2474)</x:f>
        <x:v>397.44</x:v>
      </x:c>
      <x:c r="Q2474" s="22" t="n">
        <x:v>43</x:v>
      </x:c>
      <x:c r="R2474" s="22" t="n">
        <x:f>Q2474*M2474</x:f>
        <x:v>387</x:v>
      </x:c>
      <x:c r="S2474" s="22" t="n">
        <x:f>P2474-R2474</x:f>
        <x:v>10.439999999999998</x:v>
      </x:c>
      <x:c r="T2474" t="str">
        <x:v>Cash</x:v>
      </x:c>
      <x:c r="U2474" t="str">
        <x:v>Pending</x:v>
      </x:c>
      <x:c r="V2474" t="str">
        <x:v>Cancelled</x:v>
      </x:c>
      <x:c r="W2474" t="n">
        <x:v>9</x:v>
      </x:c>
      <x:c r="X2474" t="str">
        <x:v>Cancelled Order</x:v>
      </x:c>
      <x:c r="Y2474" t="str">
        <x:v>Referral</x:v>
      </x:c>
    </x:row>
    <x:row r="2475">
      <x:c r="A2475" t="str">
        <x:v>O002474</x:v>
      </x:c>
      <x:c r="B2475" s="20" t="n">
        <x:v>45996</x:v>
      </x:c>
      <x:c r="C2475" t="str">
        <x:v>C0193</x:v>
      </x:c>
      <x:c r="D2475" t="str">
        <x:v>Udupi Cafe 193</x:v>
      </x:c>
      <x:c r="E2475" t="str">
        <x:v>Restaurant</x:v>
      </x:c>
      <x:c r="F2475" t="str">
        <x:v>Hubballi</x:v>
      </x:c>
      <x:c r="G2475" t="str">
        <x:v>Sneha</x:v>
      </x:c>
      <x:c r="H2475" t="str">
        <x:v>P032</x:v>
      </x:c>
      <x:c r="I2475" t="str">
        <x:v>Soy Sauce 700g</x:v>
      </x:c>
      <x:c r="J2475" t="str">
        <x:v>Condiments</x:v>
      </x:c>
      <x:c r="K2475" t="str">
        <x:v>Ching's</x:v>
      </x:c>
      <x:c r="L2475" s="22" t="n">
        <x:v>118</x:v>
      </x:c>
      <x:c r="M2475" t="n">
        <x:v>13</x:v>
      </x:c>
      <x:c r="N2475" s="24" t="n">
        <x:v>0</x:v>
      </x:c>
      <x:c r="O2475" s="22" t="n">
        <x:f>L2475*M2475</x:f>
        <x:v>1534</x:v>
      </x:c>
      <x:c r="P2475" s="22" t="n">
        <x:f>O2475*(1-N2475)</x:f>
        <x:v>1534</x:v>
      </x:c>
      <x:c r="Q2475" s="22" t="n">
        <x:v>101</x:v>
      </x:c>
      <x:c r="R2475" s="22" t="n">
        <x:f>Q2475*M2475</x:f>
        <x:v>1313</x:v>
      </x:c>
      <x:c r="S2475" s="22" t="n">
        <x:f>P2475-R2475</x:f>
        <x:v>221</x:v>
      </x:c>
      <x:c r="T2475" t="str">
        <x:v>UPI</x:v>
      </x:c>
      <x:c r="U2475" t="str">
        <x:v>Paid</x:v>
      </x:c>
      <x:c r="V2475" t="str">
        <x:v>Delivered</x:v>
      </x:c>
      <x:c r="W2475" t="n">
        <x:v>0</x:v>
      </x:c>
      <x:c r="X2475" t="str"/>
      <x:c r="Y2475" t="str">
        <x:v>Existing Customer</x:v>
      </x:c>
    </x:row>
    <x:row r="2476">
      <x:c r="A2476" t="str">
        <x:v>O002475</x:v>
      </x:c>
      <x:c r="B2476" s="20" t="n">
        <x:v>46068</x:v>
      </x:c>
      <x:c r="C2476" t="str">
        <x:v>C0223</x:v>
      </x:c>
      <x:c r="D2476" t="str">
        <x:v>Classic Canteen 223</x:v>
      </x:c>
      <x:c r="E2476" t="str">
        <x:v>Restaurant</x:v>
      </x:c>
      <x:c r="F2476" t="str">
        <x:v>Tumakuru</x:v>
      </x:c>
      <x:c r="G2476" t="str">
        <x:v>Kavya</x:v>
      </x:c>
      <x:c r="H2476" t="str">
        <x:v>P011</x:v>
      </x:c>
      <x:c r="I2476" t="str">
        <x:v>Salt 1kg</x:v>
      </x:c>
      <x:c r="J2476" t="str">
        <x:v>Staples</x:v>
      </x:c>
      <x:c r="K2476" t="str">
        <x:v>Tata</x:v>
      </x:c>
      <x:c r="L2476" s="22" t="n">
        <x:v>28</x:v>
      </x:c>
      <x:c r="M2476" t="n">
        <x:v>23</x:v>
      </x:c>
      <x:c r="N2476" s="24" t="n">
        <x:v>0</x:v>
      </x:c>
      <x:c r="O2476" s="22" t="n">
        <x:f>L2476*M2476</x:f>
        <x:v>644</x:v>
      </x:c>
      <x:c r="P2476" s="22" t="n">
        <x:f>O2476*(1-N2476)</x:f>
        <x:v>644</x:v>
      </x:c>
      <x:c r="Q2476" s="22" t="n">
        <x:v>23</x:v>
      </x:c>
      <x:c r="R2476" s="22" t="n">
        <x:f>Q2476*M2476</x:f>
        <x:v>529</x:v>
      </x:c>
      <x:c r="S2476" s="22" t="n">
        <x:f>P2476-R2476</x:f>
        <x:v>115</x:v>
      </x:c>
      <x:c r="T2476" t="str">
        <x:v>Credit</x:v>
      </x:c>
      <x:c r="U2476" t="str">
        <x:v>Pending</x:v>
      </x:c>
      <x:c r="V2476" t="str">
        <x:v>Delivered</x:v>
      </x:c>
      <x:c r="W2476" t="n">
        <x:v>0</x:v>
      </x:c>
      <x:c r="X2476" t="str"/>
      <x:c r="Y2476" t="str">
        <x:v>WhatsApp</x:v>
      </x:c>
    </x:row>
    <x:row r="2477">
      <x:c r="A2477" t="str">
        <x:v>O002476</x:v>
      </x:c>
      <x:c r="B2477" s="20" t="n">
        <x:v>46010</x:v>
      </x:c>
      <x:c r="C2477" t="str">
        <x:v>C0207</x:v>
      </x:c>
      <x:c r="D2477" t="str">
        <x:v>Hotel Stores 207</x:v>
      </x:c>
      <x:c r="E2477" t="str">
        <x:v>Restaurant</x:v>
      </x:c>
      <x:c r="F2477" t="str">
        <x:v>Hubballi</x:v>
      </x:c>
      <x:c r="G2477" t="str">
        <x:v>Ramesh</x:v>
      </x:c>
      <x:c r="H2477" t="str">
        <x:v>P043</x:v>
      </x:c>
      <x:c r="I2477" t="str">
        <x:v>Chicken Breast 1kg</x:v>
      </x:c>
      <x:c r="J2477" t="str">
        <x:v>Protein</x:v>
      </x:c>
      <x:c r="K2477" t="str">
        <x:v>FreshToHome</x:v>
      </x:c>
      <x:c r="L2477" s="22" t="n">
        <x:v>260</x:v>
      </x:c>
      <x:c r="M2477" t="n">
        <x:v>8</x:v>
      </x:c>
      <x:c r="N2477" s="24" t="n">
        <x:v>0.05</x:v>
      </x:c>
      <x:c r="O2477" s="22" t="n">
        <x:f>L2477*M2477</x:f>
        <x:v>2080</x:v>
      </x:c>
      <x:c r="P2477" s="22" t="n">
        <x:f>O2477*(1-N2477)</x:f>
        <x:v>1976</x:v>
      </x:c>
      <x:c r="Q2477" s="22" t="n">
        <x:v>235</x:v>
      </x:c>
      <x:c r="R2477" s="22" t="n">
        <x:f>Q2477*M2477</x:f>
        <x:v>1880</x:v>
      </x:c>
      <x:c r="S2477" s="22" t="n">
        <x:f>P2477-R2477</x:f>
        <x:v>96</x:v>
      </x:c>
      <x:c r="T2477" t="str">
        <x:v>Cash</x:v>
      </x:c>
      <x:c r="U2477" t="str">
        <x:v>Paid</x:v>
      </x:c>
      <x:c r="V2477" t="str">
        <x:v>Delayed</x:v>
      </x:c>
      <x:c r="W2477" t="n">
        <x:v>0</x:v>
      </x:c>
      <x:c r="X2477" t="str"/>
      <x:c r="Y2477" t="str">
        <x:v>Referral</x:v>
      </x:c>
    </x:row>
    <x:row r="2478">
      <x:c r="A2478" t="str">
        <x:v>O002477</x:v>
      </x:c>
      <x:c r="B2478" s="20" t="n">
        <x:v>46014</x:v>
      </x:c>
      <x:c r="C2478" t="str">
        <x:v>C0174</x:v>
      </x:c>
      <x:c r="D2478" t="str">
        <x:v>Classic Stores 174</x:v>
      </x:c>
      <x:c r="E2478" t="str">
        <x:v>Kirana</x:v>
      </x:c>
      <x:c r="F2478" t="str">
        <x:v>Mysuru</x:v>
      </x:c>
      <x:c r="G2478" t="str">
        <x:v>Vikram</x:v>
      </x:c>
      <x:c r="H2478" t="str">
        <x:v>P023</x:v>
      </x:c>
      <x:c r="I2478" t="str">
        <x:v>Cola 750ml</x:v>
      </x:c>
      <x:c r="J2478" t="str">
        <x:v>Beverage</x:v>
      </x:c>
      <x:c r="K2478" t="str">
        <x:v>Coca-Cola</x:v>
      </x:c>
      <x:c r="L2478" s="22" t="n">
        <x:v>38</x:v>
      </x:c>
      <x:c r="M2478" t="n">
        <x:v>19</x:v>
      </x:c>
      <x:c r="N2478" s="24" t="n">
        <x:v>0.02</x:v>
      </x:c>
      <x:c r="O2478" s="22" t="n">
        <x:f>L2478*M2478</x:f>
        <x:v>722</x:v>
      </x:c>
      <x:c r="P2478" s="22" t="n">
        <x:f>O2478*(1-N2478)</x:f>
        <x:v>707.56</x:v>
      </x:c>
      <x:c r="Q2478" s="22" t="n">
        <x:v>31</x:v>
      </x:c>
      <x:c r="R2478" s="22" t="n">
        <x:f>Q2478*M2478</x:f>
        <x:v>589</x:v>
      </x:c>
      <x:c r="S2478" s="22" t="n">
        <x:f>P2478-R2478</x:f>
        <x:v>118.55999999999995</x:v>
      </x:c>
      <x:c r="T2478" t="str">
        <x:v>UPI</x:v>
      </x:c>
      <x:c r="U2478" t="str">
        <x:v>Paid</x:v>
      </x:c>
      <x:c r="V2478" t="str">
        <x:v>Delivered</x:v>
      </x:c>
      <x:c r="W2478" t="n">
        <x:v>0</x:v>
      </x:c>
      <x:c r="X2478" t="str"/>
      <x:c r="Y2478" t="str">
        <x:v>Existing Customer</x:v>
      </x:c>
    </x:row>
    <x:row r="2479">
      <x:c r="A2479" t="str">
        <x:v>O002478</x:v>
      </x:c>
      <x:c r="B2479" s="20" t="n">
        <x:v>46256</x:v>
      </x:c>
      <x:c r="C2479" t="str">
        <x:v>C0161</x:v>
      </x:c>
      <x:c r="D2479" t="str">
        <x:v>Hotel Kitchen 161</x:v>
      </x:c>
      <x:c r="E2479" t="str">
        <x:v>Supermarket</x:v>
      </x:c>
      <x:c r="F2479" t="str">
        <x:v>Mysuru</x:v>
      </x:c>
      <x:c r="G2479" t="str">
        <x:v>Sneha</x:v>
      </x:c>
      <x:c r="H2479" t="str">
        <x:v>P006</x:v>
      </x:c>
      <x:c r="I2479" t="str">
        <x:v>Moong Dal 5kg</x:v>
      </x:c>
      <x:c r="J2479" t="str">
        <x:v>Pulses</x:v>
      </x:c>
      <x:c r="K2479" t="str">
        <x:v>Local Select</x:v>
      </x:c>
      <x:c r="L2479" s="22" t="n">
        <x:v>610</x:v>
      </x:c>
      <x:c r="M2479" t="n">
        <x:v>15</x:v>
      </x:c>
      <x:c r="N2479" s="24" t="n">
        <x:v>0.02</x:v>
      </x:c>
      <x:c r="O2479" s="22" t="n">
        <x:f>L2479*M2479</x:f>
        <x:v>9150</x:v>
      </x:c>
      <x:c r="P2479" s="22" t="n">
        <x:f>O2479*(1-N2479)</x:f>
        <x:v>8967</x:v>
      </x:c>
      <x:c r="Q2479" s="22" t="n">
        <x:v>540</x:v>
      </x:c>
      <x:c r="R2479" s="22" t="n">
        <x:f>Q2479*M2479</x:f>
        <x:v>8100</x:v>
      </x:c>
      <x:c r="S2479" s="22" t="n">
        <x:f>P2479-R2479</x:f>
        <x:v>867</x:v>
      </x:c>
      <x:c r="T2479" t="str">
        <x:v>UPI</x:v>
      </x:c>
      <x:c r="U2479" t="str">
        <x:v>Paid</x:v>
      </x:c>
      <x:c r="V2479" t="str">
        <x:v>Delivered</x:v>
      </x:c>
      <x:c r="W2479" t="n">
        <x:v>0</x:v>
      </x:c>
      <x:c r="X2479" t="str"/>
      <x:c r="Y2479" t="str">
        <x:v>Field Visit</x:v>
      </x:c>
    </x:row>
    <x:row r="2480">
      <x:c r="A2480" t="str">
        <x:v>O002479</x:v>
      </x:c>
      <x:c r="B2480" s="20" t="n">
        <x:v>46122</x:v>
      </x:c>
      <x:c r="C2480" t="str">
        <x:v>C0176</x:v>
      </x:c>
      <x:c r="D2480" t="str">
        <x:v>Cafe Kitchen 176</x:v>
      </x:c>
      <x:c r="E2480" t="str">
        <x:v>Kirana</x:v>
      </x:c>
      <x:c r="F2480" t="str">
        <x:v>Mysuru</x:v>
      </x:c>
      <x:c r="G2480" t="str">
        <x:v>Priya</x:v>
      </x:c>
      <x:c r="H2480" t="str">
        <x:v>P015</x:v>
      </x:c>
      <x:c r="I2480" t="str">
        <x:v>Milk 1L</x:v>
      </x:c>
      <x:c r="J2480" t="str">
        <x:v>Dairy</x:v>
      </x:c>
      <x:c r="K2480" t="str">
        <x:v>Nandini</x:v>
      </x:c>
      <x:c r="L2480" s="22" t="n">
        <x:v>48</x:v>
      </x:c>
      <x:c r="M2480" t="n">
        <x:v>3</x:v>
      </x:c>
      <x:c r="N2480" s="24" t="n">
        <x:v>0.08</x:v>
      </x:c>
      <x:c r="O2480" s="22" t="n">
        <x:f>L2480*M2480</x:f>
        <x:v>144</x:v>
      </x:c>
      <x:c r="P2480" s="22" t="n">
        <x:f>O2480*(1-N2480)</x:f>
        <x:v>132.48000000000002</x:v>
      </x:c>
      <x:c r="Q2480" s="22" t="n">
        <x:v>43</x:v>
      </x:c>
      <x:c r="R2480" s="22" t="n">
        <x:f>Q2480*M2480</x:f>
        <x:v>129</x:v>
      </x:c>
      <x:c r="S2480" s="22" t="n">
        <x:f>P2480-R2480</x:f>
        <x:v>3.480000000000018</x:v>
      </x:c>
      <x:c r="T2480" t="str">
        <x:v>Credit</x:v>
      </x:c>
      <x:c r="U2480" t="str">
        <x:v>Paid</x:v>
      </x:c>
      <x:c r="V2480" t="str">
        <x:v>Delivered</x:v>
      </x:c>
      <x:c r="W2480" t="n">
        <x:v>0</x:v>
      </x:c>
      <x:c r="X2480" t="str"/>
      <x:c r="Y2480" t="str">
        <x:v>Outbound Call</x:v>
      </x:c>
    </x:row>
    <x:row r="2481">
      <x:c r="A2481" t="str">
        <x:v>O002480</x:v>
      </x:c>
      <x:c r="B2481" s="20" t="n">
        <x:v>46110</x:v>
      </x:c>
      <x:c r="C2481" t="str">
        <x:v>C0052</x:v>
      </x:c>
      <x:c r="D2481" t="str">
        <x:v>Sagar Canteen 52</x:v>
      </x:c>
      <x:c r="E2481" t="str">
        <x:v>Kirana</x:v>
      </x:c>
      <x:c r="F2481" t="str">
        <x:v>Mysuru</x:v>
      </x:c>
      <x:c r="G2481" t="str">
        <x:v>Kavya</x:v>
      </x:c>
      <x:c r="H2481" t="str">
        <x:v>P016</x:v>
      </x:c>
      <x:c r="I2481" t="str">
        <x:v>Curd 1kg</x:v>
      </x:c>
      <x:c r="J2481" t="str">
        <x:v>Dairy</x:v>
      </x:c>
      <x:c r="K2481" t="str">
        <x:v>Nandini</x:v>
      </x:c>
      <x:c r="L2481" s="22" t="n">
        <x:v>72</x:v>
      </x:c>
      <x:c r="M2481" t="n">
        <x:v>17</x:v>
      </x:c>
      <x:c r="N2481" s="24" t="n">
        <x:v>0.02</x:v>
      </x:c>
      <x:c r="O2481" s="22" t="n">
        <x:f>L2481*M2481</x:f>
        <x:v>1224</x:v>
      </x:c>
      <x:c r="P2481" s="22" t="n">
        <x:f>O2481*(1-N2481)</x:f>
        <x:v>1199.52</x:v>
      </x:c>
      <x:c r="Q2481" s="22" t="n">
        <x:v>64</x:v>
      </x:c>
      <x:c r="R2481" s="22" t="n">
        <x:f>Q2481*M2481</x:f>
        <x:v>1088</x:v>
      </x:c>
      <x:c r="S2481" s="22" t="n">
        <x:f>P2481-R2481</x:f>
        <x:v>111.51999999999998</x:v>
      </x:c>
      <x:c r="T2481" t="str">
        <x:v>Bank Transfer</x:v>
      </x:c>
      <x:c r="U2481" t="str">
        <x:v>Pending</x:v>
      </x:c>
      <x:c r="V2481" t="str">
        <x:v>Cancelled</x:v>
      </x:c>
      <x:c r="W2481" t="n">
        <x:v>17</x:v>
      </x:c>
      <x:c r="X2481" t="str">
        <x:v>Cancelled Order</x:v>
      </x:c>
      <x:c r="Y2481" t="str">
        <x:v>Field Visit</x:v>
      </x:c>
    </x:row>
    <x:row r="2482">
      <x:c r="A2482" t="str">
        <x:v>O002481</x:v>
      </x:c>
      <x:c r="B2482" s="20" t="n">
        <x:v>45828</x:v>
      </x:c>
      <x:c r="C2482" t="str">
        <x:v>C0096</x:v>
      </x:c>
      <x:c r="D2482" t="str">
        <x:v>Metro Foods 96</x:v>
      </x:c>
      <x:c r="E2482" t="str">
        <x:v>Kirana</x:v>
      </x:c>
      <x:c r="F2482" t="str">
        <x:v>Davanagere</x:v>
      </x:c>
      <x:c r="G2482" t="str">
        <x:v>Vikram</x:v>
      </x:c>
      <x:c r="H2482" t="str">
        <x:v>P028</x:v>
      </x:c>
      <x:c r="I2482" t="str">
        <x:v>Cookies 200g</x:v>
      </x:c>
      <x:c r="J2482" t="str">
        <x:v>Snacks</x:v>
      </x:c>
      <x:c r="K2482" t="str">
        <x:v>Britannia</x:v>
      </x:c>
      <x:c r="L2482" s="22" t="n">
        <x:v>55</x:v>
      </x:c>
      <x:c r="M2482" t="n">
        <x:v>28</x:v>
      </x:c>
      <x:c r="N2482" s="24" t="n">
        <x:v>0.02</x:v>
      </x:c>
      <x:c r="O2482" s="22" t="n">
        <x:f>L2482*M2482</x:f>
        <x:v>1540</x:v>
      </x:c>
      <x:c r="P2482" s="22" t="n">
        <x:f>O2482*(1-N2482)</x:f>
        <x:v>1509.2</x:v>
      </x:c>
      <x:c r="Q2482" s="22" t="n">
        <x:v>42</x:v>
      </x:c>
      <x:c r="R2482" s="22" t="n">
        <x:f>Q2482*M2482</x:f>
        <x:v>1176</x:v>
      </x:c>
      <x:c r="S2482" s="22" t="n">
        <x:f>P2482-R2482</x:f>
        <x:v>333.20000000000005</x:v>
      </x:c>
      <x:c r="T2482" t="str">
        <x:v>UPI</x:v>
      </x:c>
      <x:c r="U2482" t="str">
        <x:v>Paid</x:v>
      </x:c>
      <x:c r="V2482" t="str">
        <x:v>Delivered</x:v>
      </x:c>
      <x:c r="W2482" t="n">
        <x:v>3</x:v>
      </x:c>
      <x:c r="X2482" t="str">
        <x:v>Damaged</x:v>
      </x:c>
      <x:c r="Y2482" t="str">
        <x:v>Existing Customer</x:v>
      </x:c>
    </x:row>
    <x:row r="2483">
      <x:c r="A2483" t="str">
        <x:v>O002482</x:v>
      </x:c>
      <x:c r="B2483" s="20" t="n">
        <x:v>46059</x:v>
      </x:c>
      <x:c r="C2483" t="str">
        <x:v>C0168</x:v>
      </x:c>
      <x:c r="D2483" t="str">
        <x:v>Sagar Hotel 168</x:v>
      </x:c>
      <x:c r="E2483" t="str">
        <x:v>Canteen</x:v>
      </x:c>
      <x:c r="F2483" t="str">
        <x:v>Bengaluru</x:v>
      </x:c>
      <x:c r="G2483" t="str">
        <x:v>Priya</x:v>
      </x:c>
      <x:c r="H2483" t="str">
        <x:v>P029</x:v>
      </x:c>
      <x:c r="I2483" t="str">
        <x:v>Tomato Ketchup 1kg</x:v>
      </x:c>
      <x:c r="J2483" t="str">
        <x:v>Condiments</x:v>
      </x:c>
      <x:c r="K2483" t="str">
        <x:v>Kissan</x:v>
      </x:c>
      <x:c r="L2483" s="22" t="n">
        <x:v>145</x:v>
      </x:c>
      <x:c r="M2483" t="n">
        <x:v>11</x:v>
      </x:c>
      <x:c r="N2483" s="24" t="n">
        <x:v>0</x:v>
      </x:c>
      <x:c r="O2483" s="22" t="n">
        <x:f>L2483*M2483</x:f>
        <x:v>1595</x:v>
      </x:c>
      <x:c r="P2483" s="22" t="n">
        <x:f>O2483*(1-N2483)</x:f>
        <x:v>1595</x:v>
      </x:c>
      <x:c r="Q2483" s="22" t="n">
        <x:v>126</x:v>
      </x:c>
      <x:c r="R2483" s="22" t="n">
        <x:f>Q2483*M2483</x:f>
        <x:v>1386</x:v>
      </x:c>
      <x:c r="S2483" s="22" t="n">
        <x:f>P2483-R2483</x:f>
        <x:v>209</x:v>
      </x:c>
      <x:c r="T2483" t="str">
        <x:v>UPI</x:v>
      </x:c>
      <x:c r="U2483" t="str">
        <x:v>Paid</x:v>
      </x:c>
      <x:c r="V2483" t="str">
        <x:v>Delivered</x:v>
      </x:c>
      <x:c r="W2483" t="n">
        <x:v>0</x:v>
      </x:c>
      <x:c r="X2483" t="str"/>
      <x:c r="Y2483" t="str">
        <x:v>WhatsApp</x:v>
      </x:c>
    </x:row>
    <x:row r="2484">
      <x:c r="A2484" t="str">
        <x:v>O002483</x:v>
      </x:c>
      <x:c r="B2484" s="20" t="n">
        <x:v>46270</x:v>
      </x:c>
      <x:c r="C2484" t="str">
        <x:v>C0203</x:v>
      </x:c>
      <x:c r="D2484" t="str">
        <x:v>Namma Mart 203</x:v>
      </x:c>
      <x:c r="E2484" t="str">
        <x:v>Kirana</x:v>
      </x:c>
      <x:c r="F2484" t="str">
        <x:v>Tumakuru</x:v>
      </x:c>
      <x:c r="G2484" t="str">
        <x:v>Priya</x:v>
      </x:c>
      <x:c r="H2484" t="str">
        <x:v>P016</x:v>
      </x:c>
      <x:c r="I2484" t="str">
        <x:v>Curd 1kg</x:v>
      </x:c>
      <x:c r="J2484" t="str">
        <x:v>Dairy</x:v>
      </x:c>
      <x:c r="K2484" t="str">
        <x:v>Nandini</x:v>
      </x:c>
      <x:c r="L2484" s="22" t="n">
        <x:v>72</x:v>
      </x:c>
      <x:c r="M2484" t="n">
        <x:v>22</x:v>
      </x:c>
      <x:c r="N2484" s="24" t="n">
        <x:v>0.08</x:v>
      </x:c>
      <x:c r="O2484" s="22" t="n">
        <x:f>L2484*M2484</x:f>
        <x:v>1584</x:v>
      </x:c>
      <x:c r="P2484" s="22" t="n">
        <x:f>O2484*(1-N2484)</x:f>
        <x:v>1457.28</x:v>
      </x:c>
      <x:c r="Q2484" s="22" t="n">
        <x:v>64</x:v>
      </x:c>
      <x:c r="R2484" s="22" t="n">
        <x:f>Q2484*M2484</x:f>
        <x:v>1408</x:v>
      </x:c>
      <x:c r="S2484" s="22" t="n">
        <x:f>P2484-R2484</x:f>
        <x:v>49.27999999999997</x:v>
      </x:c>
      <x:c r="T2484" t="str">
        <x:v>Credit</x:v>
      </x:c>
      <x:c r="U2484" t="str">
        <x:v>Pending</x:v>
      </x:c>
      <x:c r="V2484" t="str">
        <x:v>Delivered</x:v>
      </x:c>
      <x:c r="W2484" t="n">
        <x:v>0</x:v>
      </x:c>
      <x:c r="X2484" t="str"/>
      <x:c r="Y2484" t="str">
        <x:v>Outbound Call</x:v>
      </x:c>
    </x:row>
    <x:row r="2485">
      <x:c r="A2485" t="str">
        <x:v>O002484</x:v>
      </x:c>
      <x:c r="B2485" s="20" t="n">
        <x:v>46262</x:v>
      </x:c>
      <x:c r="C2485" t="str">
        <x:v>C0185</x:v>
      </x:c>
      <x:c r="D2485" t="str">
        <x:v>Mysore Foods 185</x:v>
      </x:c>
      <x:c r="E2485" t="str">
        <x:v>Restaurant</x:v>
      </x:c>
      <x:c r="F2485" t="str">
        <x:v>Mysuru</x:v>
      </x:c>
      <x:c r="G2485" t="str">
        <x:v>Sneha</x:v>
      </x:c>
      <x:c r="H2485" t="str">
        <x:v>P040</x:v>
      </x:c>
      <x:c r="I2485" t="str">
        <x:v>Bread Loaf 400g</x:v>
      </x:c>
      <x:c r="J2485" t="str">
        <x:v>Bakery</x:v>
      </x:c>
      <x:c r="K2485" t="str">
        <x:v>Britannia</x:v>
      </x:c>
      <x:c r="L2485" s="22" t="n">
        <x:v>45</x:v>
      </x:c>
      <x:c r="M2485" t="n">
        <x:v>35</x:v>
      </x:c>
      <x:c r="N2485" s="24" t="n">
        <x:v>0</x:v>
      </x:c>
      <x:c r="O2485" s="22" t="n">
        <x:f>L2485*M2485</x:f>
        <x:v>1575</x:v>
      </x:c>
      <x:c r="P2485" s="22" t="n">
        <x:f>O2485*(1-N2485)</x:f>
        <x:v>1575</x:v>
      </x:c>
      <x:c r="Q2485" s="22" t="n">
        <x:v>35</x:v>
      </x:c>
      <x:c r="R2485" s="22" t="n">
        <x:f>Q2485*M2485</x:f>
        <x:v>1225</x:v>
      </x:c>
      <x:c r="S2485" s="22" t="n">
        <x:f>P2485-R2485</x:f>
        <x:v>350</x:v>
      </x:c>
      <x:c r="T2485" t="str">
        <x:v>Bank Transfer</x:v>
      </x:c>
      <x:c r="U2485" t="str">
        <x:v>Pending</x:v>
      </x:c>
      <x:c r="V2485" t="str">
        <x:v>Cancelled</x:v>
      </x:c>
      <x:c r="W2485" t="n">
        <x:v>35</x:v>
      </x:c>
      <x:c r="X2485" t="str">
        <x:v>Cancelled Order</x:v>
      </x:c>
      <x:c r="Y2485" t="str">
        <x:v>WhatsApp</x:v>
      </x:c>
    </x:row>
    <x:row r="2486">
      <x:c r="A2486" t="str">
        <x:v>O002485</x:v>
      </x:c>
      <x:c r="B2486" s="20" t="n">
        <x:v>45835</x:v>
      </x:c>
      <x:c r="C2486" t="str">
        <x:v>C0174</x:v>
      </x:c>
      <x:c r="D2486" t="str">
        <x:v>Classic Stores 174</x:v>
      </x:c>
      <x:c r="E2486" t="str">
        <x:v>Kirana</x:v>
      </x:c>
      <x:c r="F2486" t="str">
        <x:v>Mysuru</x:v>
      </x:c>
      <x:c r="G2486" t="str">
        <x:v>Vikram</x:v>
      </x:c>
      <x:c r="H2486" t="str">
        <x:v>P007</x:v>
      </x:c>
      <x:c r="I2486" t="str">
        <x:v>Sunflower Oil 15L</x:v>
      </x:c>
      <x:c r="J2486" t="str">
        <x:v>Edible Oil</x:v>
      </x:c>
      <x:c r="K2486" t="str">
        <x:v>Fortune</x:v>
      </x:c>
      <x:c r="L2486" s="22" t="n">
        <x:v>1980</x:v>
      </x:c>
      <x:c r="M2486" t="n">
        <x:v>5</x:v>
      </x:c>
      <x:c r="N2486" s="24" t="n">
        <x:v>0.05</x:v>
      </x:c>
      <x:c r="O2486" s="22" t="n">
        <x:f>L2486*M2486</x:f>
        <x:v>9900</x:v>
      </x:c>
      <x:c r="P2486" s="22" t="n">
        <x:f>O2486*(1-N2486)</x:f>
        <x:v>9405</x:v>
      </x:c>
      <x:c r="Q2486" s="22" t="n">
        <x:v>1810</x:v>
      </x:c>
      <x:c r="R2486" s="22" t="n">
        <x:f>Q2486*M2486</x:f>
        <x:v>9050</x:v>
      </x:c>
      <x:c r="S2486" s="22" t="n">
        <x:f>P2486-R2486</x:f>
        <x:v>355</x:v>
      </x:c>
      <x:c r="T2486" t="str">
        <x:v>UPI</x:v>
      </x:c>
      <x:c r="U2486" t="str">
        <x:v>Paid</x:v>
      </x:c>
      <x:c r="V2486" t="str">
        <x:v>Delivered</x:v>
      </x:c>
      <x:c r="W2486" t="n">
        <x:v>0</x:v>
      </x:c>
      <x:c r="X2486" t="str"/>
      <x:c r="Y2486" t="str">
        <x:v>Outbound Call</x:v>
      </x:c>
    </x:row>
    <x:row r="2487">
      <x:c r="A2487" t="str">
        <x:v>O002486</x:v>
      </x:c>
      <x:c r="B2487" s="20" t="n">
        <x:v>45716</x:v>
      </x:c>
      <x:c r="C2487" t="str">
        <x:v>C0167</x:v>
      </x:c>
      <x:c r="D2487" t="str">
        <x:v>Foodie Canteen 167</x:v>
      </x:c>
      <x:c r="E2487" t="str">
        <x:v>Canteen</x:v>
      </x:c>
      <x:c r="F2487" t="str">
        <x:v>Bengaluru</x:v>
      </x:c>
      <x:c r="G2487" t="str">
        <x:v>Megha</x:v>
      </x:c>
      <x:c r="H2487" t="str">
        <x:v>P010</x:v>
      </x:c>
      <x:c r="I2487" t="str">
        <x:v>Sugar 25kg</x:v>
      </x:c>
      <x:c r="J2487" t="str">
        <x:v>Staples</x:v>
      </x:c>
      <x:c r="K2487" t="str">
        <x:v>Madhur</x:v>
      </x:c>
      <x:c r="L2487" s="22" t="n">
        <x:v>1190</x:v>
      </x:c>
      <x:c r="M2487" t="n">
        <x:v>6</x:v>
      </x:c>
      <x:c r="N2487" s="24" t="n">
        <x:v>0.05</x:v>
      </x:c>
      <x:c r="O2487" s="22" t="n">
        <x:f>L2487*M2487</x:f>
        <x:v>7140</x:v>
      </x:c>
      <x:c r="P2487" s="22" t="n">
        <x:f>O2487*(1-N2487)</x:f>
        <x:v>6783</x:v>
      </x:c>
      <x:c r="Q2487" s="22" t="n">
        <x:v>1080</x:v>
      </x:c>
      <x:c r="R2487" s="22" t="n">
        <x:f>Q2487*M2487</x:f>
        <x:v>6480</x:v>
      </x:c>
      <x:c r="S2487" s="22" t="n">
        <x:f>P2487-R2487</x:f>
        <x:v>303</x:v>
      </x:c>
      <x:c r="T2487" t="str">
        <x:v>Bank Transfer</x:v>
      </x:c>
      <x:c r="U2487" t="str">
        <x:v>Paid</x:v>
      </x:c>
      <x:c r="V2487" t="str">
        <x:v>Delivered</x:v>
      </x:c>
      <x:c r="W2487" t="n">
        <x:v>2</x:v>
      </x:c>
      <x:c r="X2487" t="str">
        <x:v>Wrong Item</x:v>
      </x:c>
      <x:c r="Y2487" t="str">
        <x:v>Referral</x:v>
      </x:c>
    </x:row>
    <x:row r="2488">
      <x:c r="A2488" t="str">
        <x:v>O002487</x:v>
      </x:c>
      <x:c r="B2488" s="20" t="n">
        <x:v>46140</x:v>
      </x:c>
      <x:c r="C2488" t="str">
        <x:v>C0066</x:v>
      </x:c>
      <x:c r="D2488" t="str">
        <x:v>Hotel Hotel 66</x:v>
      </x:c>
      <x:c r="E2488" t="str">
        <x:v>Restaurant</x:v>
      </x:c>
      <x:c r="F2488" t="str">
        <x:v>Davanagere</x:v>
      </x:c>
      <x:c r="G2488" t="str">
        <x:v>Megha</x:v>
      </x:c>
      <x:c r="H2488" t="str">
        <x:v>P009</x:v>
      </x:c>
      <x:c r="I2488" t="str">
        <x:v>Groundnut Oil 5L</x:v>
      </x:c>
      <x:c r="J2488" t="str">
        <x:v>Edible Oil</x:v>
      </x:c>
      <x:c r="K2488" t="str">
        <x:v>Dhara</x:v>
      </x:c>
      <x:c r="L2488" s="22" t="n">
        <x:v>890</x:v>
      </x:c>
      <x:c r="M2488" t="n">
        <x:v>24</x:v>
      </x:c>
      <x:c r="N2488" s="24" t="n">
        <x:v>0.05</x:v>
      </x:c>
      <x:c r="O2488" s="22" t="n">
        <x:f>L2488*M2488</x:f>
        <x:v>21360</x:v>
      </x:c>
      <x:c r="P2488" s="22" t="n">
        <x:f>O2488*(1-N2488)</x:f>
        <x:v>20292</x:v>
      </x:c>
      <x:c r="Q2488" s="22" t="n">
        <x:v>810</x:v>
      </x:c>
      <x:c r="R2488" s="22" t="n">
        <x:f>Q2488*M2488</x:f>
        <x:v>19440</x:v>
      </x:c>
      <x:c r="S2488" s="22" t="n">
        <x:f>P2488-R2488</x:f>
        <x:v>852</x:v>
      </x:c>
      <x:c r="T2488" t="str">
        <x:v>Credit</x:v>
      </x:c>
      <x:c r="U2488" t="str">
        <x:v>Paid</x:v>
      </x:c>
      <x:c r="V2488" t="str">
        <x:v>Delivered</x:v>
      </x:c>
      <x:c r="W2488" t="n">
        <x:v>0</x:v>
      </x:c>
      <x:c r="X2488" t="str"/>
      <x:c r="Y2488" t="str">
        <x:v>Outbound Call</x:v>
      </x:c>
    </x:row>
    <x:row r="2489">
      <x:c r="A2489" t="str">
        <x:v>O002488</x:v>
      </x:c>
      <x:c r="B2489" s="20" t="n">
        <x:v>46262</x:v>
      </x:c>
      <x:c r="C2489" t="str">
        <x:v>C0085</x:v>
      </x:c>
      <x:c r="D2489" t="str">
        <x:v>Green Hotel 85</x:v>
      </x:c>
      <x:c r="E2489" t="str">
        <x:v>Kirana</x:v>
      </x:c>
      <x:c r="F2489" t="str">
        <x:v>Mysuru</x:v>
      </x:c>
      <x:c r="G2489" t="str">
        <x:v>Arjun</x:v>
      </x:c>
      <x:c r="H2489" t="str">
        <x:v>P019</x:v>
      </x:c>
      <x:c r="I2489" t="str">
        <x:v>Tea 1kg</x:v>
      </x:c>
      <x:c r="J2489" t="str">
        <x:v>Beverage</x:v>
      </x:c>
      <x:c r="K2489" t="str">
        <x:v>Red Label</x:v>
      </x:c>
      <x:c r="L2489" s="22" t="n">
        <x:v>540</x:v>
      </x:c>
      <x:c r="M2489" t="n">
        <x:v>2</x:v>
      </x:c>
      <x:c r="N2489" s="24" t="n">
        <x:v>0.05</x:v>
      </x:c>
      <x:c r="O2489" s="22" t="n">
        <x:f>L2489*M2489</x:f>
        <x:v>1080</x:v>
      </x:c>
      <x:c r="P2489" s="22" t="n">
        <x:f>O2489*(1-N2489)</x:f>
        <x:v>1026</x:v>
      </x:c>
      <x:c r="Q2489" s="22" t="n">
        <x:v>485</x:v>
      </x:c>
      <x:c r="R2489" s="22" t="n">
        <x:f>Q2489*M2489</x:f>
        <x:v>970</x:v>
      </x:c>
      <x:c r="S2489" s="22" t="n">
        <x:f>P2489-R2489</x:f>
        <x:v>56</x:v>
      </x:c>
      <x:c r="T2489" t="str">
        <x:v>Cash</x:v>
      </x:c>
      <x:c r="U2489" t="str">
        <x:v>Paid</x:v>
      </x:c>
      <x:c r="V2489" t="str">
        <x:v>Delivered</x:v>
      </x:c>
      <x:c r="W2489" t="n">
        <x:v>0</x:v>
      </x:c>
      <x:c r="X2489" t="str"/>
      <x:c r="Y2489" t="str">
        <x:v>Referral</x:v>
      </x:c>
    </x:row>
    <x:row r="2490">
      <x:c r="A2490" t="str">
        <x:v>O002489</x:v>
      </x:c>
      <x:c r="B2490" s="20" t="n">
        <x:v>46039</x:v>
      </x:c>
      <x:c r="C2490" t="str">
        <x:v>C0064</x:v>
      </x:c>
      <x:c r="D2490" t="str">
        <x:v>Hotel Restaurant 64</x:v>
      </x:c>
      <x:c r="E2490" t="str">
        <x:v>Cafe</x:v>
      </x:c>
      <x:c r="F2490" t="str">
        <x:v>Mangaluru</x:v>
      </x:c>
      <x:c r="G2490" t="str">
        <x:v>Imran</x:v>
      </x:c>
      <x:c r="H2490" t="str">
        <x:v>P028</x:v>
      </x:c>
      <x:c r="I2490" t="str">
        <x:v>Cookies 200g</x:v>
      </x:c>
      <x:c r="J2490" t="str">
        <x:v>Snacks</x:v>
      </x:c>
      <x:c r="K2490" t="str">
        <x:v>Britannia</x:v>
      </x:c>
      <x:c r="L2490" s="22" t="n">
        <x:v>55</x:v>
      </x:c>
      <x:c r="M2490" t="n">
        <x:v>15</x:v>
      </x:c>
      <x:c r="N2490" s="24" t="n">
        <x:v>0.08</x:v>
      </x:c>
      <x:c r="O2490" s="22" t="n">
        <x:f>L2490*M2490</x:f>
        <x:v>825</x:v>
      </x:c>
      <x:c r="P2490" s="22" t="n">
        <x:f>O2490*(1-N2490)</x:f>
        <x:v>759</x:v>
      </x:c>
      <x:c r="Q2490" s="22" t="n">
        <x:v>42</x:v>
      </x:c>
      <x:c r="R2490" s="22" t="n">
        <x:f>Q2490*M2490</x:f>
        <x:v>630</x:v>
      </x:c>
      <x:c r="S2490" s="22" t="n">
        <x:f>P2490-R2490</x:f>
        <x:v>129</x:v>
      </x:c>
      <x:c r="T2490" t="str">
        <x:v>UPI</x:v>
      </x:c>
      <x:c r="U2490" t="str">
        <x:v>Pending</x:v>
      </x:c>
      <x:c r="V2490" t="str">
        <x:v>Cancelled</x:v>
      </x:c>
      <x:c r="W2490" t="n">
        <x:v>15</x:v>
      </x:c>
      <x:c r="X2490" t="str">
        <x:v>Cancelled Order</x:v>
      </x:c>
      <x:c r="Y2490" t="str">
        <x:v>Referral</x:v>
      </x:c>
    </x:row>
    <x:row r="2491">
      <x:c r="A2491" t="str">
        <x:v>O002490</x:v>
      </x:c>
      <x:c r="B2491" s="20" t="n">
        <x:v>46153</x:v>
      </x:c>
      <x:c r="C2491" t="str">
        <x:v>C0150</x:v>
      </x:c>
      <x:c r="D2491" t="str">
        <x:v>Sagar Kitchen 150</x:v>
      </x:c>
      <x:c r="E2491" t="str">
        <x:v>Kirana</x:v>
      </x:c>
      <x:c r="F2491" t="str">
        <x:v>Hubballi</x:v>
      </x:c>
      <x:c r="G2491" t="str">
        <x:v>Ramesh</x:v>
      </x:c>
      <x:c r="H2491" t="str">
        <x:v>P031</x:v>
      </x:c>
      <x:c r="I2491" t="str">
        <x:v>Chilli Sauce 700g</x:v>
      </x:c>
      <x:c r="J2491" t="str">
        <x:v>Condiments</x:v>
      </x:c>
      <x:c r="K2491" t="str">
        <x:v>Ching's</x:v>
      </x:c>
      <x:c r="L2491" s="22" t="n">
        <x:v>130</x:v>
      </x:c>
      <x:c r="M2491" t="n">
        <x:v>8</x:v>
      </x:c>
      <x:c r="N2491" s="24" t="n">
        <x:v>0.05</x:v>
      </x:c>
      <x:c r="O2491" s="22" t="n">
        <x:f>L2491*M2491</x:f>
        <x:v>1040</x:v>
      </x:c>
      <x:c r="P2491" s="22" t="n">
        <x:f>O2491*(1-N2491)</x:f>
        <x:v>988</x:v>
      </x:c>
      <x:c r="Q2491" s="22" t="n">
        <x:v>112</x:v>
      </x:c>
      <x:c r="R2491" s="22" t="n">
        <x:f>Q2491*M2491</x:f>
        <x:v>896</x:v>
      </x:c>
      <x:c r="S2491" s="22" t="n">
        <x:f>P2491-R2491</x:f>
        <x:v>92</x:v>
      </x:c>
      <x:c r="T2491" t="str">
        <x:v>UPI</x:v>
      </x:c>
      <x:c r="U2491" t="str">
        <x:v>Paid</x:v>
      </x:c>
      <x:c r="V2491" t="str">
        <x:v>Delivered</x:v>
      </x:c>
      <x:c r="W2491" t="n">
        <x:v>0</x:v>
      </x:c>
      <x:c r="X2491" t="str"/>
      <x:c r="Y2491" t="str">
        <x:v>Existing Customer</x:v>
      </x:c>
    </x:row>
    <x:row r="2492">
      <x:c r="A2492" t="str">
        <x:v>O002491</x:v>
      </x:c>
      <x:c r="B2492" s="20" t="n">
        <x:v>46277</x:v>
      </x:c>
      <x:c r="C2492" t="str">
        <x:v>C0173</x:v>
      </x:c>
      <x:c r="D2492" t="str">
        <x:v>Royal Kitchen 173</x:v>
      </x:c>
      <x:c r="E2492" t="str">
        <x:v>Hotel</x:v>
      </x:c>
      <x:c r="F2492" t="str">
        <x:v>Bengaluru</x:v>
      </x:c>
      <x:c r="G2492" t="str">
        <x:v>Priya</x:v>
      </x:c>
      <x:c r="H2492" t="str">
        <x:v>P030</x:v>
      </x:c>
      <x:c r="I2492" t="str">
        <x:v>Mayonnaise 1kg</x:v>
      </x:c>
      <x:c r="J2492" t="str">
        <x:v>Condiments</x:v>
      </x:c>
      <x:c r="K2492" t="str">
        <x:v>Veeba</x:v>
      </x:c>
      <x:c r="L2492" s="22" t="n">
        <x:v>210</x:v>
      </x:c>
      <x:c r="M2492" t="n">
        <x:v>9</x:v>
      </x:c>
      <x:c r="N2492" s="24" t="n">
        <x:v>0.02</x:v>
      </x:c>
      <x:c r="O2492" s="22" t="n">
        <x:f>L2492*M2492</x:f>
        <x:v>1890</x:v>
      </x:c>
      <x:c r="P2492" s="22" t="n">
        <x:f>O2492*(1-N2492)</x:f>
        <x:v>1852.2</x:v>
      </x:c>
      <x:c r="Q2492" s="22" t="n">
        <x:v>185</x:v>
      </x:c>
      <x:c r="R2492" s="22" t="n">
        <x:f>Q2492*M2492</x:f>
        <x:v>1665</x:v>
      </x:c>
      <x:c r="S2492" s="22" t="n">
        <x:f>P2492-R2492</x:f>
        <x:v>187.20000000000005</x:v>
      </x:c>
      <x:c r="T2492" t="str">
        <x:v>Cash</x:v>
      </x:c>
      <x:c r="U2492" t="str">
        <x:v>Pending</x:v>
      </x:c>
      <x:c r="V2492" t="str">
        <x:v>Delivered</x:v>
      </x:c>
      <x:c r="W2492" t="n">
        <x:v>0</x:v>
      </x:c>
      <x:c r="X2492" t="str"/>
      <x:c r="Y2492" t="str">
        <x:v>Referral</x:v>
      </x:c>
    </x:row>
    <x:row r="2493">
      <x:c r="A2493" t="str">
        <x:v>O002492</x:v>
      </x:c>
      <x:c r="B2493" s="20" t="n">
        <x:v>45802</x:v>
      </x:c>
      <x:c r="C2493" t="str">
        <x:v>C0216</x:v>
      </x:c>
      <x:c r="D2493" t="str">
        <x:v>Cafe Restaurant 216</x:v>
      </x:c>
      <x:c r="E2493" t="str">
        <x:v>Canteen</x:v>
      </x:c>
      <x:c r="F2493" t="str">
        <x:v>Bengaluru</x:v>
      </x:c>
      <x:c r="G2493" t="str">
        <x:v>Vikram</x:v>
      </x:c>
      <x:c r="H2493" t="str">
        <x:v>P028</x:v>
      </x:c>
      <x:c r="I2493" t="str">
        <x:v>Cookies 200g</x:v>
      </x:c>
      <x:c r="J2493" t="str">
        <x:v>Snacks</x:v>
      </x:c>
      <x:c r="K2493" t="str">
        <x:v>Britannia</x:v>
      </x:c>
      <x:c r="L2493" s="22" t="n">
        <x:v>55</x:v>
      </x:c>
      <x:c r="M2493" t="n">
        <x:v>40</x:v>
      </x:c>
      <x:c r="N2493" s="24" t="n">
        <x:v>0</x:v>
      </x:c>
      <x:c r="O2493" s="22" t="n">
        <x:f>L2493*M2493</x:f>
        <x:v>2200</x:v>
      </x:c>
      <x:c r="P2493" s="22" t="n">
        <x:f>O2493*(1-N2493)</x:f>
        <x:v>2200</x:v>
      </x:c>
      <x:c r="Q2493" s="22" t="n">
        <x:v>42</x:v>
      </x:c>
      <x:c r="R2493" s="22" t="n">
        <x:f>Q2493*M2493</x:f>
        <x:v>1680</x:v>
      </x:c>
      <x:c r="S2493" s="22" t="n">
        <x:f>P2493-R2493</x:f>
        <x:v>520</x:v>
      </x:c>
      <x:c r="T2493" t="str">
        <x:v>UPI</x:v>
      </x:c>
      <x:c r="U2493" t="str">
        <x:v>Pending</x:v>
      </x:c>
      <x:c r="V2493" t="str">
        <x:v>Delivered</x:v>
      </x:c>
      <x:c r="W2493" t="n">
        <x:v>0</x:v>
      </x:c>
      <x:c r="X2493" t="str"/>
      <x:c r="Y2493" t="str">
        <x:v>Existing Customer</x:v>
      </x:c>
    </x:row>
    <x:row r="2494">
      <x:c r="A2494" t="str">
        <x:v>O002493</x:v>
      </x:c>
      <x:c r="B2494" s="20" t="n">
        <x:v>46221</x:v>
      </x:c>
      <x:c r="C2494" t="str">
        <x:v>C0026</x:v>
      </x:c>
      <x:c r="D2494" t="str">
        <x:v>Cafe Kitchen 26</x:v>
      </x:c>
      <x:c r="E2494" t="str">
        <x:v>Kirana</x:v>
      </x:c>
      <x:c r="F2494" t="str">
        <x:v>Davanagere</x:v>
      </x:c>
      <x:c r="G2494" t="str">
        <x:v>Kavya</x:v>
      </x:c>
      <x:c r="H2494" t="str">
        <x:v>P038</x:v>
      </x:c>
      <x:c r="I2494" t="str">
        <x:v>French Fries 2.5kg</x:v>
      </x:c>
      <x:c r="J2494" t="str">
        <x:v>Frozen</x:v>
      </x:c>
      <x:c r="K2494" t="str">
        <x:v>McCain</x:v>
      </x:c>
      <x:c r="L2494" s="22" t="n">
        <x:v>360</x:v>
      </x:c>
      <x:c r="M2494" t="n">
        <x:v>16</x:v>
      </x:c>
      <x:c r="N2494" s="24" t="n">
        <x:v>0.02</x:v>
      </x:c>
      <x:c r="O2494" s="22" t="n">
        <x:f>L2494*M2494</x:f>
        <x:v>5760</x:v>
      </x:c>
      <x:c r="P2494" s="22" t="n">
        <x:f>O2494*(1-N2494)</x:f>
        <x:v>5644.8</x:v>
      </x:c>
      <x:c r="Q2494" s="22" t="n">
        <x:v>315</x:v>
      </x:c>
      <x:c r="R2494" s="22" t="n">
        <x:f>Q2494*M2494</x:f>
        <x:v>5040</x:v>
      </x:c>
      <x:c r="S2494" s="22" t="n">
        <x:f>P2494-R2494</x:f>
        <x:v>604.8000000000002</x:v>
      </x:c>
      <x:c r="T2494" t="str">
        <x:v>UPI</x:v>
      </x:c>
      <x:c r="U2494" t="str">
        <x:v>Pending</x:v>
      </x:c>
      <x:c r="V2494" t="str">
        <x:v>Delivered</x:v>
      </x:c>
      <x:c r="W2494" t="n">
        <x:v>0</x:v>
      </x:c>
      <x:c r="X2494" t="str"/>
      <x:c r="Y2494" t="str">
        <x:v>WhatsApp</x:v>
      </x:c>
    </x:row>
    <x:row r="2495">
      <x:c r="A2495" t="str">
        <x:v>O002494</x:v>
      </x:c>
      <x:c r="B2495" s="20" t="n">
        <x:v>45685</x:v>
      </x:c>
      <x:c r="C2495" t="str">
        <x:v>C0124</x:v>
      </x:c>
      <x:c r="D2495" t="str">
        <x:v>Green Hotel 124</x:v>
      </x:c>
      <x:c r="E2495" t="str">
        <x:v>Cafe</x:v>
      </x:c>
      <x:c r="F2495" t="str">
        <x:v>Bengaluru</x:v>
      </x:c>
      <x:c r="G2495" t="str">
        <x:v>Imran</x:v>
      </x:c>
      <x:c r="H2495" t="str">
        <x:v>P008</x:v>
      </x:c>
      <x:c r="I2495" t="str">
        <x:v>Palm Oil 15L</x:v>
      </x:c>
      <x:c r="J2495" t="str">
        <x:v>Edible Oil</x:v>
      </x:c>
      <x:c r="K2495" t="str">
        <x:v>Ruchi Gold</x:v>
      </x:c>
      <x:c r="L2495" s="22" t="n">
        <x:v>1760</x:v>
      </x:c>
      <x:c r="M2495" t="n">
        <x:v>3</x:v>
      </x:c>
      <x:c r="N2495" s="24" t="n">
        <x:v>0.03</x:v>
      </x:c>
      <x:c r="O2495" s="22" t="n">
        <x:f>L2495*M2495</x:f>
        <x:v>5280</x:v>
      </x:c>
      <x:c r="P2495" s="22" t="n">
        <x:f>O2495*(1-N2495)</x:f>
        <x:v>5121.599999999999</x:v>
      </x:c>
      <x:c r="Q2495" s="22" t="n">
        <x:v>1610</x:v>
      </x:c>
      <x:c r="R2495" s="22" t="n">
        <x:f>Q2495*M2495</x:f>
        <x:v>4830</x:v>
      </x:c>
      <x:c r="S2495" s="22" t="n">
        <x:f>P2495-R2495</x:f>
        <x:v>291.59999999999945</x:v>
      </x:c>
      <x:c r="T2495" t="str">
        <x:v>Credit</x:v>
      </x:c>
      <x:c r="U2495" t="str">
        <x:v>Paid</x:v>
      </x:c>
      <x:c r="V2495" t="str">
        <x:v>Delivered</x:v>
      </x:c>
      <x:c r="W2495" t="n">
        <x:v>0</x:v>
      </x:c>
      <x:c r="X2495" t="str"/>
      <x:c r="Y2495" t="str">
        <x:v>Field Visit</x:v>
      </x:c>
    </x:row>
    <x:row r="2496">
      <x:c r="A2496" t="str">
        <x:v>O002495</x:v>
      </x:c>
      <x:c r="B2496" s="20" t="n">
        <x:v>45740</x:v>
      </x:c>
      <x:c r="C2496" t="str">
        <x:v>C0190</x:v>
      </x:c>
      <x:c r="D2496" t="str">
        <x:v>Shree Restaurant 190</x:v>
      </x:c>
      <x:c r="E2496" t="str">
        <x:v>Canteen</x:v>
      </x:c>
      <x:c r="F2496" t="str">
        <x:v>Bengaluru</x:v>
      </x:c>
      <x:c r="G2496" t="str">
        <x:v>Kavya</x:v>
      </x:c>
      <x:c r="H2496" t="str">
        <x:v>P040</x:v>
      </x:c>
      <x:c r="I2496" t="str">
        <x:v>Bread Loaf 400g</x:v>
      </x:c>
      <x:c r="J2496" t="str">
        <x:v>Bakery</x:v>
      </x:c>
      <x:c r="K2496" t="str">
        <x:v>Britannia</x:v>
      </x:c>
      <x:c r="L2496" s="22" t="n">
        <x:v>45</x:v>
      </x:c>
      <x:c r="M2496" t="n">
        <x:v>24</x:v>
      </x:c>
      <x:c r="N2496" s="24" t="n">
        <x:v>0.08</x:v>
      </x:c>
      <x:c r="O2496" s="22" t="n">
        <x:f>L2496*M2496</x:f>
        <x:v>1080</x:v>
      </x:c>
      <x:c r="P2496" s="22" t="n">
        <x:f>O2496*(1-N2496)</x:f>
        <x:v>993.6</x:v>
      </x:c>
      <x:c r="Q2496" s="22" t="n">
        <x:v>35</x:v>
      </x:c>
      <x:c r="R2496" s="22" t="n">
        <x:f>Q2496*M2496</x:f>
        <x:v>840</x:v>
      </x:c>
      <x:c r="S2496" s="22" t="n">
        <x:f>P2496-R2496</x:f>
        <x:v>153.60000000000002</x:v>
      </x:c>
      <x:c r="T2496" t="str">
        <x:v>UPI</x:v>
      </x:c>
      <x:c r="U2496" t="str">
        <x:v>Paid</x:v>
      </x:c>
      <x:c r="V2496" t="str">
        <x:v>Delivered</x:v>
      </x:c>
      <x:c r="W2496" t="n">
        <x:v>2</x:v>
      </x:c>
      <x:c r="X2496" t="str">
        <x:v>Damaged</x:v>
      </x:c>
      <x:c r="Y2496" t="str">
        <x:v>Referral</x:v>
      </x:c>
    </x:row>
    <x:row r="2497">
      <x:c r="A2497" t="str">
        <x:v>O002496</x:v>
      </x:c>
      <x:c r="B2497" s="20" t="n">
        <x:v>46191</x:v>
      </x:c>
      <x:c r="C2497" t="str">
        <x:v>C0097</x:v>
      </x:c>
      <x:c r="D2497" t="str">
        <x:v>Classic Stores 97</x:v>
      </x:c>
      <x:c r="E2497" t="str">
        <x:v>Restaurant</x:v>
      </x:c>
      <x:c r="F2497" t="str">
        <x:v>Davanagere</x:v>
      </x:c>
      <x:c r="G2497" t="str">
        <x:v>Priya</x:v>
      </x:c>
      <x:c r="H2497" t="str">
        <x:v>P048</x:v>
      </x:c>
      <x:c r="I2497" t="str">
        <x:v>Banana 10kg</x:v>
      </x:c>
      <x:c r="J2497" t="str">
        <x:v>Fresh Produce</x:v>
      </x:c>
      <x:c r="K2497" t="str">
        <x:v>Local Market</x:v>
      </x:c>
      <x:c r="L2497" s="22" t="n">
        <x:v>420</x:v>
      </x:c>
      <x:c r="M2497" t="n">
        <x:v>16</x:v>
      </x:c>
      <x:c r="N2497" s="24" t="n">
        <x:v>0.03</x:v>
      </x:c>
      <x:c r="O2497" s="22" t="n">
        <x:f>L2497*M2497</x:f>
        <x:v>6720</x:v>
      </x:c>
      <x:c r="P2497" s="22" t="n">
        <x:f>O2497*(1-N2497)</x:f>
        <x:v>6518.4</x:v>
      </x:c>
      <x:c r="Q2497" s="22" t="n">
        <x:v>350</x:v>
      </x:c>
      <x:c r="R2497" s="22" t="n">
        <x:f>Q2497*M2497</x:f>
        <x:v>5600</x:v>
      </x:c>
      <x:c r="S2497" s="22" t="n">
        <x:f>P2497-R2497</x:f>
        <x:v>918.3999999999996</x:v>
      </x:c>
      <x:c r="T2497" t="str">
        <x:v>UPI</x:v>
      </x:c>
      <x:c r="U2497" t="str">
        <x:v>Pending</x:v>
      </x:c>
      <x:c r="V2497" t="str">
        <x:v>Cancelled</x:v>
      </x:c>
      <x:c r="W2497" t="n">
        <x:v>16</x:v>
      </x:c>
      <x:c r="X2497" t="str">
        <x:v>Cancelled Order</x:v>
      </x:c>
      <x:c r="Y2497" t="str">
        <x:v>Field Visit</x:v>
      </x:c>
    </x:row>
    <x:row r="2498">
      <x:c r="A2498" t="str">
        <x:v>O002497</x:v>
      </x:c>
      <x:c r="B2498" s="20" t="n">
        <x:v>45832</x:v>
      </x:c>
      <x:c r="C2498" t="str">
        <x:v>C0226</x:v>
      </x:c>
      <x:c r="D2498" t="str">
        <x:v>Green Stores 226</x:v>
      </x:c>
      <x:c r="E2498" t="str">
        <x:v>Restaurant</x:v>
      </x:c>
      <x:c r="F2498" t="str">
        <x:v>Hubballi</x:v>
      </x:c>
      <x:c r="G2498" t="str">
        <x:v>Priya</x:v>
      </x:c>
      <x:c r="H2498" t="str">
        <x:v>P004</x:v>
      </x:c>
      <x:c r="I2498" t="str">
        <x:v>Toor Dal 5kg</x:v>
      </x:c>
      <x:c r="J2498" t="str">
        <x:v>Pulses</x:v>
      </x:c>
      <x:c r="K2498" t="str">
        <x:v>Tata Sampann</x:v>
      </x:c>
      <x:c r="L2498" s="22" t="n">
        <x:v>780</x:v>
      </x:c>
      <x:c r="M2498" t="n">
        <x:v>39</x:v>
      </x:c>
      <x:c r="N2498" s="24" t="n">
        <x:v>0.02</x:v>
      </x:c>
      <x:c r="O2498" s="22" t="n">
        <x:f>L2498*M2498</x:f>
        <x:v>30420</x:v>
      </x:c>
      <x:c r="P2498" s="22" t="n">
        <x:f>O2498*(1-N2498)</x:f>
        <x:v>29811.6</x:v>
      </x:c>
      <x:c r="Q2498" s="22" t="n">
        <x:v>695</x:v>
      </x:c>
      <x:c r="R2498" s="22" t="n">
        <x:f>Q2498*M2498</x:f>
        <x:v>27105</x:v>
      </x:c>
      <x:c r="S2498" s="22" t="n">
        <x:f>P2498-R2498</x:f>
        <x:v>2706.5999999999985</x:v>
      </x:c>
      <x:c r="T2498" t="str">
        <x:v>Credit</x:v>
      </x:c>
      <x:c r="U2498" t="str">
        <x:v>Paid</x:v>
      </x:c>
      <x:c r="V2498" t="str">
        <x:v>Delivered</x:v>
      </x:c>
      <x:c r="W2498" t="n">
        <x:v>1</x:v>
      </x:c>
      <x:c r="X2498" t="str">
        <x:v>Quality Issue</x:v>
      </x:c>
      <x:c r="Y2498" t="str">
        <x:v>Outbound Call</x:v>
      </x:c>
    </x:row>
    <x:row r="2499">
      <x:c r="A2499" t="str">
        <x:v>O002498</x:v>
      </x:c>
      <x:c r="B2499" s="20" t="n">
        <x:v>45937</x:v>
      </x:c>
      <x:c r="C2499" t="str">
        <x:v>C0185</x:v>
      </x:c>
      <x:c r="D2499" t="str">
        <x:v>Mysore Foods 185</x:v>
      </x:c>
      <x:c r="E2499" t="str">
        <x:v>Restaurant</x:v>
      </x:c>
      <x:c r="F2499" t="str">
        <x:v>Mysuru</x:v>
      </x:c>
      <x:c r="G2499" t="str">
        <x:v>Sneha</x:v>
      </x:c>
      <x:c r="H2499" t="str">
        <x:v>P014</x:v>
      </x:c>
      <x:c r="I2499" t="str">
        <x:v>Rava 5kg</x:v>
      </x:c>
      <x:c r="J2499" t="str">
        <x:v>Flour</x:v>
      </x:c>
      <x:c r="K2499" t="str">
        <x:v>Local Select</x:v>
      </x:c>
      <x:c r="L2499" s="22" t="n">
        <x:v>245</x:v>
      </x:c>
      <x:c r="M2499" t="n">
        <x:v>27</x:v>
      </x:c>
      <x:c r="N2499" s="24" t="n">
        <x:v>0.05</x:v>
      </x:c>
      <x:c r="O2499" s="22" t="n">
        <x:f>L2499*M2499</x:f>
        <x:v>6615</x:v>
      </x:c>
      <x:c r="P2499" s="22" t="n">
        <x:f>O2499*(1-N2499)</x:f>
        <x:v>6284.25</x:v>
      </x:c>
      <x:c r="Q2499" s="22" t="n">
        <x:v>215</x:v>
      </x:c>
      <x:c r="R2499" s="22" t="n">
        <x:f>Q2499*M2499</x:f>
        <x:v>5805</x:v>
      </x:c>
      <x:c r="S2499" s="22" t="n">
        <x:f>P2499-R2499</x:f>
        <x:v>479.25</x:v>
      </x:c>
      <x:c r="T2499" t="str">
        <x:v>Credit</x:v>
      </x:c>
      <x:c r="U2499" t="str">
        <x:v>Paid</x:v>
      </x:c>
      <x:c r="V2499" t="str">
        <x:v>Delivered</x:v>
      </x:c>
      <x:c r="W2499" t="n">
        <x:v>0</x:v>
      </x:c>
      <x:c r="X2499" t="str"/>
      <x:c r="Y2499" t="str">
        <x:v>Existing Customer</x:v>
      </x:c>
    </x:row>
    <x:row r="2500">
      <x:c r="A2500" t="str">
        <x:v>O002499</x:v>
      </x:c>
      <x:c r="B2500" s="20" t="n">
        <x:v>46092</x:v>
      </x:c>
      <x:c r="C2500" t="str">
        <x:v>C0038</x:v>
      </x:c>
      <x:c r="D2500" t="str">
        <x:v>Mysore Kitchen 38</x:v>
      </x:c>
      <x:c r="E2500" t="str">
        <x:v>Kirana</x:v>
      </x:c>
      <x:c r="F2500" t="str">
        <x:v>Tumakuru</x:v>
      </x:c>
      <x:c r="G2500" t="str">
        <x:v>Priya</x:v>
      </x:c>
      <x:c r="H2500" t="str">
        <x:v>P016</x:v>
      </x:c>
      <x:c r="I2500" t="str">
        <x:v>Curd 1kg</x:v>
      </x:c>
      <x:c r="J2500" t="str">
        <x:v>Dairy</x:v>
      </x:c>
      <x:c r="K2500" t="str">
        <x:v>Nandini</x:v>
      </x:c>
      <x:c r="L2500" s="22" t="n">
        <x:v>72</x:v>
      </x:c>
      <x:c r="M2500" t="n">
        <x:v>35</x:v>
      </x:c>
      <x:c r="N2500" s="24" t="n">
        <x:v>0.03</x:v>
      </x:c>
      <x:c r="O2500" s="22" t="n">
        <x:f>L2500*M2500</x:f>
        <x:v>2520</x:v>
      </x:c>
      <x:c r="P2500" s="22" t="n">
        <x:f>O2500*(1-N2500)</x:f>
        <x:v>2444.4</x:v>
      </x:c>
      <x:c r="Q2500" s="22" t="n">
        <x:v>64</x:v>
      </x:c>
      <x:c r="R2500" s="22" t="n">
        <x:f>Q2500*M2500</x:f>
        <x:v>2240</x:v>
      </x:c>
      <x:c r="S2500" s="22" t="n">
        <x:f>P2500-R2500</x:f>
        <x:v>204.4000000000001</x:v>
      </x:c>
      <x:c r="T2500" t="str">
        <x:v>UPI</x:v>
      </x:c>
      <x:c r="U2500" t="str">
        <x:v>Paid</x:v>
      </x:c>
      <x:c r="V2500" t="str">
        <x:v>Delivered</x:v>
      </x:c>
      <x:c r="W2500" t="n">
        <x:v>0</x:v>
      </x:c>
      <x:c r="X2500" t="str"/>
      <x:c r="Y2500" t="str">
        <x:v>Referral</x:v>
      </x:c>
    </x:row>
    <x:row r="2501">
      <x:c r="A2501" t="str">
        <x:v>O002500</x:v>
      </x:c>
      <x:c r="B2501" s="20" t="n">
        <x:v>45979</x:v>
      </x:c>
      <x:c r="C2501" t="str">
        <x:v>C0019</x:v>
      </x:c>
      <x:c r="D2501" t="str">
        <x:v>Grand Kitchen 19</x:v>
      </x:c>
      <x:c r="E2501" t="str">
        <x:v>Supermarket</x:v>
      </x:c>
      <x:c r="F2501" t="str">
        <x:v>Tumakuru</x:v>
      </x:c>
      <x:c r="G2501" t="str">
        <x:v>Sneha</x:v>
      </x:c>
      <x:c r="H2501" t="str">
        <x:v>P004</x:v>
      </x:c>
      <x:c r="I2501" t="str">
        <x:v>Toor Dal 5kg</x:v>
      </x:c>
      <x:c r="J2501" t="str">
        <x:v>Pulses</x:v>
      </x:c>
      <x:c r="K2501" t="str">
        <x:v>Tata Sampann</x:v>
      </x:c>
      <x:c r="L2501" s="22" t="n">
        <x:v>780</x:v>
      </x:c>
      <x:c r="M2501" t="n">
        <x:v>7</x:v>
      </x:c>
      <x:c r="N2501" s="24" t="n">
        <x:v>0</x:v>
      </x:c>
      <x:c r="O2501" s="22" t="n">
        <x:f>L2501*M2501</x:f>
        <x:v>5460</x:v>
      </x:c>
      <x:c r="P2501" s="22" t="n">
        <x:f>O2501*(1-N2501)</x:f>
        <x:v>5460</x:v>
      </x:c>
      <x:c r="Q2501" s="22" t="n">
        <x:v>695</x:v>
      </x:c>
      <x:c r="R2501" s="22" t="n">
        <x:f>Q2501*M2501</x:f>
        <x:v>4865</x:v>
      </x:c>
      <x:c r="S2501" s="22" t="n">
        <x:f>P2501-R2501</x:f>
        <x:v>595</x:v>
      </x:c>
      <x:c r="T2501" t="str">
        <x:v>Cash</x:v>
      </x:c>
      <x:c r="U2501" t="str">
        <x:v>Paid</x:v>
      </x:c>
      <x:c r="V2501" t="str">
        <x:v>Delivered</x:v>
      </x:c>
      <x:c r="W2501" t="n">
        <x:v>0</x:v>
      </x:c>
      <x:c r="X2501" t="str"/>
      <x:c r="Y2501" t="str">
        <x:v>Referral</x:v>
      </x:c>
    </x:row>
    <x:row r="2502">
      <x:c r="A2502" t="str">
        <x:v>O002501</x:v>
      </x:c>
      <x:c r="B2502" s="20" t="n">
        <x:v>46206</x:v>
      </x:c>
      <x:c r="C2502" t="str">
        <x:v>C0026</x:v>
      </x:c>
      <x:c r="D2502" t="str">
        <x:v>Cafe Kitchen 26</x:v>
      </x:c>
      <x:c r="E2502" t="str">
        <x:v>Kirana</x:v>
      </x:c>
      <x:c r="F2502" t="str">
        <x:v>Davanagere</x:v>
      </x:c>
      <x:c r="G2502" t="str">
        <x:v>Kavya</x:v>
      </x:c>
      <x:c r="H2502" t="str">
        <x:v>P016</x:v>
      </x:c>
      <x:c r="I2502" t="str">
        <x:v>Curd 1kg</x:v>
      </x:c>
      <x:c r="J2502" t="str">
        <x:v>Dairy</x:v>
      </x:c>
      <x:c r="K2502" t="str">
        <x:v>Nandini</x:v>
      </x:c>
      <x:c r="L2502" s="22" t="n">
        <x:v>72</x:v>
      </x:c>
      <x:c r="M2502" t="n">
        <x:v>36</x:v>
      </x:c>
      <x:c r="N2502" s="24" t="n">
        <x:v>0</x:v>
      </x:c>
      <x:c r="O2502" s="22" t="n">
        <x:f>L2502*M2502</x:f>
        <x:v>2592</x:v>
      </x:c>
      <x:c r="P2502" s="22" t="n">
        <x:f>O2502*(1-N2502)</x:f>
        <x:v>2592</x:v>
      </x:c>
      <x:c r="Q2502" s="22" t="n">
        <x:v>64</x:v>
      </x:c>
      <x:c r="R2502" s="22" t="n">
        <x:f>Q2502*M2502</x:f>
        <x:v>2304</x:v>
      </x:c>
      <x:c r="S2502" s="22" t="n">
        <x:f>P2502-R2502</x:f>
        <x:v>288</x:v>
      </x:c>
      <x:c r="T2502" t="str">
        <x:v>Bank Transfer</x:v>
      </x:c>
      <x:c r="U2502" t="str">
        <x:v>Paid</x:v>
      </x:c>
      <x:c r="V2502" t="str">
        <x:v>Delayed</x:v>
      </x:c>
      <x:c r="W2502" t="n">
        <x:v>0</x:v>
      </x:c>
      <x:c r="X2502" t="str"/>
      <x:c r="Y2502" t="str">
        <x:v>Referral</x:v>
      </x:c>
    </x:row>
    <x:row r="2503">
      <x:c r="A2503" t="str">
        <x:v>O002502</x:v>
      </x:c>
      <x:c r="B2503" s="20" t="n">
        <x:v>46054</x:v>
      </x:c>
      <x:c r="C2503" t="str">
        <x:v>C0020</x:v>
      </x:c>
      <x:c r="D2503" t="str">
        <x:v>Shree Foods 20</x:v>
      </x:c>
      <x:c r="E2503" t="str">
        <x:v>Restaurant</x:v>
      </x:c>
      <x:c r="F2503" t="str">
        <x:v>Mysuru</x:v>
      </x:c>
      <x:c r="G2503" t="str">
        <x:v>Arjun</x:v>
      </x:c>
      <x:c r="H2503" t="str">
        <x:v>P049</x:v>
      </x:c>
      <x:c r="I2503" t="str">
        <x:v>Apple 10kg</x:v>
      </x:c>
      <x:c r="J2503" t="str">
        <x:v>Fresh Produce</x:v>
      </x:c>
      <x:c r="K2503" t="str">
        <x:v>Local Market</x:v>
      </x:c>
      <x:c r="L2503" s="22" t="n">
        <x:v>1450</x:v>
      </x:c>
      <x:c r="M2503" t="n">
        <x:v>2</x:v>
      </x:c>
      <x:c r="N2503" s="24" t="n">
        <x:v>0.05</x:v>
      </x:c>
      <x:c r="O2503" s="22" t="n">
        <x:f>L2503*M2503</x:f>
        <x:v>2900</x:v>
      </x:c>
      <x:c r="P2503" s="22" t="n">
        <x:f>O2503*(1-N2503)</x:f>
        <x:v>2755</x:v>
      </x:c>
      <x:c r="Q2503" s="22" t="n">
        <x:v>1280</x:v>
      </x:c>
      <x:c r="R2503" s="22" t="n">
        <x:f>Q2503*M2503</x:f>
        <x:v>2560</x:v>
      </x:c>
      <x:c r="S2503" s="22" t="n">
        <x:f>P2503-R2503</x:f>
        <x:v>195</x:v>
      </x:c>
      <x:c r="T2503" t="str">
        <x:v>Credit</x:v>
      </x:c>
      <x:c r="U2503" t="str">
        <x:v>Paid</x:v>
      </x:c>
      <x:c r="V2503" t="str">
        <x:v>Delivered</x:v>
      </x:c>
      <x:c r="W2503" t="n">
        <x:v>0</x:v>
      </x:c>
      <x:c r="X2503" t="str"/>
      <x:c r="Y2503" t="str">
        <x:v>Existing Customer</x:v>
      </x:c>
    </x:row>
    <x:row r="2504">
      <x:c r="A2504" t="str">
        <x:v>O002503</x:v>
      </x:c>
      <x:c r="B2504" s="20" t="n">
        <x:v>46148</x:v>
      </x:c>
      <x:c r="C2504" t="str">
        <x:v>C0175</x:v>
      </x:c>
      <x:c r="D2504" t="str">
        <x:v>Namma Mart 175</x:v>
      </x:c>
      <x:c r="E2504" t="str">
        <x:v>Hotel</x:v>
      </x:c>
      <x:c r="F2504" t="str">
        <x:v>Davanagere</x:v>
      </x:c>
      <x:c r="G2504" t="str">
        <x:v>Sneha</x:v>
      </x:c>
      <x:c r="H2504" t="str">
        <x:v>P006</x:v>
      </x:c>
      <x:c r="I2504" t="str">
        <x:v>Moong Dal 5kg</x:v>
      </x:c>
      <x:c r="J2504" t="str">
        <x:v>Pulses</x:v>
      </x:c>
      <x:c r="K2504" t="str">
        <x:v>Local Select</x:v>
      </x:c>
      <x:c r="L2504" s="22" t="n">
        <x:v>610</x:v>
      </x:c>
      <x:c r="M2504" t="n">
        <x:v>16</x:v>
      </x:c>
      <x:c r="N2504" s="24" t="n">
        <x:v>0.05</x:v>
      </x:c>
      <x:c r="O2504" s="22" t="n">
        <x:f>L2504*M2504</x:f>
        <x:v>9760</x:v>
      </x:c>
      <x:c r="P2504" s="22" t="n">
        <x:f>O2504*(1-N2504)</x:f>
        <x:v>9272</x:v>
      </x:c>
      <x:c r="Q2504" s="22" t="n">
        <x:v>540</x:v>
      </x:c>
      <x:c r="R2504" s="22" t="n">
        <x:f>Q2504*M2504</x:f>
        <x:v>8640</x:v>
      </x:c>
      <x:c r="S2504" s="22" t="n">
        <x:f>P2504-R2504</x:f>
        <x:v>632</x:v>
      </x:c>
      <x:c r="T2504" t="str">
        <x:v>UPI</x:v>
      </x:c>
      <x:c r="U2504" t="str">
        <x:v>Paid</x:v>
      </x:c>
      <x:c r="V2504" t="str">
        <x:v>Delayed</x:v>
      </x:c>
      <x:c r="W2504" t="n">
        <x:v>0</x:v>
      </x:c>
      <x:c r="X2504" t="str"/>
      <x:c r="Y2504" t="str">
        <x:v>Existing Customer</x:v>
      </x:c>
    </x:row>
    <x:row r="2505">
      <x:c r="A2505" t="str">
        <x:v>O002504</x:v>
      </x:c>
      <x:c r="B2505" s="20" t="n">
        <x:v>46096</x:v>
      </x:c>
      <x:c r="C2505" t="str">
        <x:v>C0166</x:v>
      </x:c>
      <x:c r="D2505" t="str">
        <x:v>Mysore Foods 166</x:v>
      </x:c>
      <x:c r="E2505" t="str">
        <x:v>Cafe</x:v>
      </x:c>
      <x:c r="F2505" t="str">
        <x:v>Mangaluru</x:v>
      </x:c>
      <x:c r="G2505" t="str">
        <x:v>Arjun</x:v>
      </x:c>
      <x:c r="H2505" t="str">
        <x:v>P032</x:v>
      </x:c>
      <x:c r="I2505" t="str">
        <x:v>Soy Sauce 700g</x:v>
      </x:c>
      <x:c r="J2505" t="str">
        <x:v>Condiments</x:v>
      </x:c>
      <x:c r="K2505" t="str">
        <x:v>Ching's</x:v>
      </x:c>
      <x:c r="L2505" s="22" t="n">
        <x:v>118</x:v>
      </x:c>
      <x:c r="M2505" t="n">
        <x:v>31</x:v>
      </x:c>
      <x:c r="N2505" s="24" t="n">
        <x:v>0</x:v>
      </x:c>
      <x:c r="O2505" s="22" t="n">
        <x:f>L2505*M2505</x:f>
        <x:v>3658</x:v>
      </x:c>
      <x:c r="P2505" s="22" t="n">
        <x:f>O2505*(1-N2505)</x:f>
        <x:v>3658</x:v>
      </x:c>
      <x:c r="Q2505" s="22" t="n">
        <x:v>101</x:v>
      </x:c>
      <x:c r="R2505" s="22" t="n">
        <x:f>Q2505*M2505</x:f>
        <x:v>3131</x:v>
      </x:c>
      <x:c r="S2505" s="22" t="n">
        <x:f>P2505-R2505</x:f>
        <x:v>527</x:v>
      </x:c>
      <x:c r="T2505" t="str">
        <x:v>UPI</x:v>
      </x:c>
      <x:c r="U2505" t="str">
        <x:v>Paid</x:v>
      </x:c>
      <x:c r="V2505" t="str">
        <x:v>Delivered</x:v>
      </x:c>
      <x:c r="W2505" t="n">
        <x:v>0</x:v>
      </x:c>
      <x:c r="X2505" t="str"/>
      <x:c r="Y2505" t="str">
        <x:v>Outbound Call</x:v>
      </x:c>
    </x:row>
    <x:row r="2506">
      <x:c r="A2506" t="str">
        <x:v>O002505</x:v>
      </x:c>
      <x:c r="B2506" s="20" t="n">
        <x:v>45667</x:v>
      </x:c>
      <x:c r="C2506" t="str">
        <x:v>C0248</x:v>
      </x:c>
      <x:c r="D2506" t="str">
        <x:v>Royal Restaurant 248</x:v>
      </x:c>
      <x:c r="E2506" t="str">
        <x:v>Canteen</x:v>
      </x:c>
      <x:c r="F2506" t="str">
        <x:v>Mysuru</x:v>
      </x:c>
      <x:c r="G2506" t="str">
        <x:v>Priya</x:v>
      </x:c>
      <x:c r="H2506" t="str">
        <x:v>P031</x:v>
      </x:c>
      <x:c r="I2506" t="str">
        <x:v>Chilli Sauce 700g</x:v>
      </x:c>
      <x:c r="J2506" t="str">
        <x:v>Condiments</x:v>
      </x:c>
      <x:c r="K2506" t="str">
        <x:v>Ching's</x:v>
      </x:c>
      <x:c r="L2506" s="22" t="n">
        <x:v>130</x:v>
      </x:c>
      <x:c r="M2506" t="n">
        <x:v>30</x:v>
      </x:c>
      <x:c r="N2506" s="24" t="n">
        <x:v>0</x:v>
      </x:c>
      <x:c r="O2506" s="22" t="n">
        <x:f>L2506*M2506</x:f>
        <x:v>3900</x:v>
      </x:c>
      <x:c r="P2506" s="22" t="n">
        <x:f>O2506*(1-N2506)</x:f>
        <x:v>3900</x:v>
      </x:c>
      <x:c r="Q2506" s="22" t="n">
        <x:v>112</x:v>
      </x:c>
      <x:c r="R2506" s="22" t="n">
        <x:f>Q2506*M2506</x:f>
        <x:v>3360</x:v>
      </x:c>
      <x:c r="S2506" s="22" t="n">
        <x:f>P2506-R2506</x:f>
        <x:v>540</x:v>
      </x:c>
      <x:c r="T2506" t="str">
        <x:v>Bank Transfer</x:v>
      </x:c>
      <x:c r="U2506" t="str">
        <x:v>Paid</x:v>
      </x:c>
      <x:c r="V2506" t="str">
        <x:v>Delivered</x:v>
      </x:c>
      <x:c r="W2506" t="n">
        <x:v>0</x:v>
      </x:c>
      <x:c r="X2506" t="str"/>
      <x:c r="Y2506" t="str">
        <x:v>Outbound Call</x:v>
      </x:c>
    </x:row>
    <x:row r="2507">
      <x:c r="A2507" t="str">
        <x:v>O002506</x:v>
      </x:c>
      <x:c r="B2507" s="20" t="n">
        <x:v>46279</x:v>
      </x:c>
      <x:c r="C2507" t="str">
        <x:v>C0172</x:v>
      </x:c>
      <x:c r="D2507" t="str">
        <x:v>Annapurna Stores 172</x:v>
      </x:c>
      <x:c r="E2507" t="str">
        <x:v>Restaurant</x:v>
      </x:c>
      <x:c r="F2507" t="str">
        <x:v>Mangaluru</x:v>
      </x:c>
      <x:c r="G2507" t="str">
        <x:v>Megha</x:v>
      </x:c>
      <x:c r="H2507" t="str">
        <x:v>P035</x:v>
      </x:c>
      <x:c r="I2507" t="str">
        <x:v>Coriander Powder 1kg</x:v>
      </x:c>
      <x:c r="J2507" t="str">
        <x:v>Spices</x:v>
      </x:c>
      <x:c r="K2507" t="str">
        <x:v>Everest</x:v>
      </x:c>
      <x:c r="L2507" s="22" t="n">
        <x:v>280</x:v>
      </x:c>
      <x:c r="M2507" t="n">
        <x:v>21</x:v>
      </x:c>
      <x:c r="N2507" s="24" t="n">
        <x:v>0</x:v>
      </x:c>
      <x:c r="O2507" s="22" t="n">
        <x:f>L2507*M2507</x:f>
        <x:v>5880</x:v>
      </x:c>
      <x:c r="P2507" s="22" t="n">
        <x:f>O2507*(1-N2507)</x:f>
        <x:v>5880</x:v>
      </x:c>
      <x:c r="Q2507" s="22" t="n">
        <x:v>245</x:v>
      </x:c>
      <x:c r="R2507" s="22" t="n">
        <x:f>Q2507*M2507</x:f>
        <x:v>5145</x:v>
      </x:c>
      <x:c r="S2507" s="22" t="n">
        <x:f>P2507-R2507</x:f>
        <x:v>735</x:v>
      </x:c>
      <x:c r="T2507" t="str">
        <x:v>Bank Transfer</x:v>
      </x:c>
      <x:c r="U2507" t="str">
        <x:v>Paid</x:v>
      </x:c>
      <x:c r="V2507" t="str">
        <x:v>Delayed</x:v>
      </x:c>
      <x:c r="W2507" t="n">
        <x:v>0</x:v>
      </x:c>
      <x:c r="X2507" t="str"/>
      <x:c r="Y2507" t="str">
        <x:v>Field Visit</x:v>
      </x:c>
    </x:row>
    <x:row r="2508">
      <x:c r="A2508" t="str">
        <x:v>O002507</x:v>
      </x:c>
      <x:c r="B2508" s="20" t="n">
        <x:v>46256</x:v>
      </x:c>
      <x:c r="C2508" t="str">
        <x:v>C0029</x:v>
      </x:c>
      <x:c r="D2508" t="str">
        <x:v>Metro Foods 29</x:v>
      </x:c>
      <x:c r="E2508" t="str">
        <x:v>Cafe</x:v>
      </x:c>
      <x:c r="F2508" t="str">
        <x:v>Hubballi</x:v>
      </x:c>
      <x:c r="G2508" t="str">
        <x:v>Priya</x:v>
      </x:c>
      <x:c r="H2508" t="str">
        <x:v>P050</x:v>
      </x:c>
      <x:c r="I2508" t="str">
        <x:v>Lemon 5kg</x:v>
      </x:c>
      <x:c r="J2508" t="str">
        <x:v>Fresh Produce</x:v>
      </x:c>
      <x:c r="K2508" t="str">
        <x:v>Local Market</x:v>
      </x:c>
      <x:c r="L2508" s="22" t="n">
        <x:v>360</x:v>
      </x:c>
      <x:c r="M2508" t="n">
        <x:v>6</x:v>
      </x:c>
      <x:c r="N2508" s="24" t="n">
        <x:v>0.05</x:v>
      </x:c>
      <x:c r="O2508" s="22" t="n">
        <x:f>L2508*M2508</x:f>
        <x:v>2160</x:v>
      </x:c>
      <x:c r="P2508" s="22" t="n">
        <x:f>O2508*(1-N2508)</x:f>
        <x:v>2052</x:v>
      </x:c>
      <x:c r="Q2508" s="22" t="n">
        <x:v>300</x:v>
      </x:c>
      <x:c r="R2508" s="22" t="n">
        <x:f>Q2508*M2508</x:f>
        <x:v>1800</x:v>
      </x:c>
      <x:c r="S2508" s="22" t="n">
        <x:f>P2508-R2508</x:f>
        <x:v>252</x:v>
      </x:c>
      <x:c r="T2508" t="str">
        <x:v>Cash</x:v>
      </x:c>
      <x:c r="U2508" t="str">
        <x:v>Paid</x:v>
      </x:c>
      <x:c r="V2508" t="str">
        <x:v>Delivered</x:v>
      </x:c>
      <x:c r="W2508" t="n">
        <x:v>0</x:v>
      </x:c>
      <x:c r="X2508" t="str"/>
      <x:c r="Y2508" t="str">
        <x:v>WhatsApp</x:v>
      </x:c>
    </x:row>
    <x:row r="2509">
      <x:c r="A2509" t="str">
        <x:v>O002508</x:v>
      </x:c>
      <x:c r="B2509" s="20" t="n">
        <x:v>46004</x:v>
      </x:c>
      <x:c r="C2509" t="str">
        <x:v>C0102</x:v>
      </x:c>
      <x:c r="D2509" t="str">
        <x:v>Annapurna Foods 102</x:v>
      </x:c>
      <x:c r="E2509" t="str">
        <x:v>Cafe</x:v>
      </x:c>
      <x:c r="F2509" t="str">
        <x:v>Davanagere</x:v>
      </x:c>
      <x:c r="G2509" t="str">
        <x:v>Ramesh</x:v>
      </x:c>
      <x:c r="H2509" t="str">
        <x:v>P023</x:v>
      </x:c>
      <x:c r="I2509" t="str">
        <x:v>Cola 750ml</x:v>
      </x:c>
      <x:c r="J2509" t="str">
        <x:v>Beverage</x:v>
      </x:c>
      <x:c r="K2509" t="str">
        <x:v>Coca-Cola</x:v>
      </x:c>
      <x:c r="L2509" s="22" t="n">
        <x:v>38</x:v>
      </x:c>
      <x:c r="M2509" t="n">
        <x:v>25</x:v>
      </x:c>
      <x:c r="N2509" s="24" t="n">
        <x:v>0.05</x:v>
      </x:c>
      <x:c r="O2509" s="22" t="n">
        <x:f>L2509*M2509</x:f>
        <x:v>950</x:v>
      </x:c>
      <x:c r="P2509" s="22" t="n">
        <x:f>O2509*(1-N2509)</x:f>
        <x:v>902.5</x:v>
      </x:c>
      <x:c r="Q2509" s="22" t="n">
        <x:v>31</x:v>
      </x:c>
      <x:c r="R2509" s="22" t="n">
        <x:f>Q2509*M2509</x:f>
        <x:v>775</x:v>
      </x:c>
      <x:c r="S2509" s="22" t="n">
        <x:f>P2509-R2509</x:f>
        <x:v>127.5</x:v>
      </x:c>
      <x:c r="T2509" t="str">
        <x:v>Bank Transfer</x:v>
      </x:c>
      <x:c r="U2509" t="str">
        <x:v>Paid</x:v>
      </x:c>
      <x:c r="V2509" t="str">
        <x:v>Delivered</x:v>
      </x:c>
      <x:c r="W2509" t="n">
        <x:v>0</x:v>
      </x:c>
      <x:c r="X2509" t="str"/>
      <x:c r="Y2509" t="str">
        <x:v>WhatsApp</x:v>
      </x:c>
    </x:row>
    <x:row r="2510">
      <x:c r="A2510" t="str">
        <x:v>O002509</x:v>
      </x:c>
      <x:c r="B2510" s="20" t="n">
        <x:v>46171</x:v>
      </x:c>
      <x:c r="C2510" t="str">
        <x:v>C0176</x:v>
      </x:c>
      <x:c r="D2510" t="str">
        <x:v>Cafe Kitchen 176</x:v>
      </x:c>
      <x:c r="E2510" t="str">
        <x:v>Kirana</x:v>
      </x:c>
      <x:c r="F2510" t="str">
        <x:v>Mysuru</x:v>
      </x:c>
      <x:c r="G2510" t="str">
        <x:v>Priya</x:v>
      </x:c>
      <x:c r="H2510" t="str">
        <x:v>P008</x:v>
      </x:c>
      <x:c r="I2510" t="str">
        <x:v>Palm Oil 15L</x:v>
      </x:c>
      <x:c r="J2510" t="str">
        <x:v>Edible Oil</x:v>
      </x:c>
      <x:c r="K2510" t="str">
        <x:v>Ruchi Gold</x:v>
      </x:c>
      <x:c r="L2510" s="22" t="n">
        <x:v>1760</x:v>
      </x:c>
      <x:c r="M2510" t="n">
        <x:v>7</x:v>
      </x:c>
      <x:c r="N2510" s="24" t="n">
        <x:v>0.05</x:v>
      </x:c>
      <x:c r="O2510" s="22" t="n">
        <x:f>L2510*M2510</x:f>
        <x:v>12320</x:v>
      </x:c>
      <x:c r="P2510" s="22" t="n">
        <x:f>O2510*(1-N2510)</x:f>
        <x:v>11704</x:v>
      </x:c>
      <x:c r="Q2510" s="22" t="n">
        <x:v>1610</x:v>
      </x:c>
      <x:c r="R2510" s="22" t="n">
        <x:f>Q2510*M2510</x:f>
        <x:v>11270</x:v>
      </x:c>
      <x:c r="S2510" s="22" t="n">
        <x:f>P2510-R2510</x:f>
        <x:v>434</x:v>
      </x:c>
      <x:c r="T2510" t="str">
        <x:v>Credit</x:v>
      </x:c>
      <x:c r="U2510" t="str">
        <x:v>Paid</x:v>
      </x:c>
      <x:c r="V2510" t="str">
        <x:v>Delivered</x:v>
      </x:c>
      <x:c r="W2510" t="n">
        <x:v>0</x:v>
      </x:c>
      <x:c r="X2510" t="str"/>
      <x:c r="Y2510" t="str">
        <x:v>Referral</x:v>
      </x:c>
    </x:row>
    <x:row r="2511">
      <x:c r="A2511" t="str">
        <x:v>O002510</x:v>
      </x:c>
      <x:c r="B2511" s="20" t="n">
        <x:v>46109</x:v>
      </x:c>
      <x:c r="C2511" t="str">
        <x:v>C0196</x:v>
      </x:c>
      <x:c r="D2511" t="str">
        <x:v>Namma Mart 196</x:v>
      </x:c>
      <x:c r="E2511" t="str">
        <x:v>Cafe</x:v>
      </x:c>
      <x:c r="F2511" t="str">
        <x:v>Mangaluru</x:v>
      </x:c>
      <x:c r="G2511" t="str">
        <x:v>Kavya</x:v>
      </x:c>
      <x:c r="H2511" t="str">
        <x:v>P025</x:v>
      </x:c>
      <x:c r="I2511" t="str">
        <x:v>Potato Chips 100g</x:v>
      </x:c>
      <x:c r="J2511" t="str">
        <x:v>Snacks</x:v>
      </x:c>
      <x:c r="K2511" t="str">
        <x:v>Lay's</x:v>
      </x:c>
      <x:c r="L2511" s="22" t="n">
        <x:v>35</x:v>
      </x:c>
      <x:c r="M2511" t="n">
        <x:v>35</x:v>
      </x:c>
      <x:c r="N2511" s="24" t="n">
        <x:v>0</x:v>
      </x:c>
      <x:c r="O2511" s="22" t="n">
        <x:f>L2511*M2511</x:f>
        <x:v>1225</x:v>
      </x:c>
      <x:c r="P2511" s="22" t="n">
        <x:f>O2511*(1-N2511)</x:f>
        <x:v>1225</x:v>
      </x:c>
      <x:c r="Q2511" s="22" t="n">
        <x:v>27</x:v>
      </x:c>
      <x:c r="R2511" s="22" t="n">
        <x:f>Q2511*M2511</x:f>
        <x:v>945</x:v>
      </x:c>
      <x:c r="S2511" s="22" t="n">
        <x:f>P2511-R2511</x:f>
        <x:v>280</x:v>
      </x:c>
      <x:c r="T2511" t="str">
        <x:v>UPI</x:v>
      </x:c>
      <x:c r="U2511" t="str">
        <x:v>Paid</x:v>
      </x:c>
      <x:c r="V2511" t="str">
        <x:v>Delivered</x:v>
      </x:c>
      <x:c r="W2511" t="n">
        <x:v>0</x:v>
      </x:c>
      <x:c r="X2511" t="str"/>
      <x:c r="Y2511" t="str">
        <x:v>Outbound Call</x:v>
      </x:c>
    </x:row>
    <x:row r="2512">
      <x:c r="A2512" t="str">
        <x:v>O002511</x:v>
      </x:c>
      <x:c r="B2512" s="20" t="n">
        <x:v>46147</x:v>
      </x:c>
      <x:c r="C2512" t="str">
        <x:v>C0217</x:v>
      </x:c>
      <x:c r="D2512" t="str">
        <x:v>Darshini Cafe 217</x:v>
      </x:c>
      <x:c r="E2512" t="str">
        <x:v>Restaurant</x:v>
      </x:c>
      <x:c r="F2512" t="str">
        <x:v>Bengaluru</x:v>
      </x:c>
      <x:c r="G2512" t="str">
        <x:v>Priya</x:v>
      </x:c>
      <x:c r="H2512" t="str">
        <x:v>P034</x:v>
      </x:c>
      <x:c r="I2512" t="str">
        <x:v>Chilli Powder 1kg</x:v>
      </x:c>
      <x:c r="J2512" t="str">
        <x:v>Spices</x:v>
      </x:c>
      <x:c r="K2512" t="str">
        <x:v>MDH</x:v>
      </x:c>
      <x:c r="L2512" s="22" t="n">
        <x:v>340</x:v>
      </x:c>
      <x:c r="M2512" t="n">
        <x:v>19</x:v>
      </x:c>
      <x:c r="N2512" s="24" t="n">
        <x:v>0.05</x:v>
      </x:c>
      <x:c r="O2512" s="22" t="n">
        <x:f>L2512*M2512</x:f>
        <x:v>6460</x:v>
      </x:c>
      <x:c r="P2512" s="22" t="n">
        <x:f>O2512*(1-N2512)</x:f>
        <x:v>6137</x:v>
      </x:c>
      <x:c r="Q2512" s="22" t="n">
        <x:v>295</x:v>
      </x:c>
      <x:c r="R2512" s="22" t="n">
        <x:f>Q2512*M2512</x:f>
        <x:v>5605</x:v>
      </x:c>
      <x:c r="S2512" s="22" t="n">
        <x:f>P2512-R2512</x:f>
        <x:v>532</x:v>
      </x:c>
      <x:c r="T2512" t="str">
        <x:v>UPI</x:v>
      </x:c>
      <x:c r="U2512" t="str">
        <x:v>Paid</x:v>
      </x:c>
      <x:c r="V2512" t="str">
        <x:v>Delivered</x:v>
      </x:c>
      <x:c r="W2512" t="n">
        <x:v>0</x:v>
      </x:c>
      <x:c r="X2512" t="str"/>
      <x:c r="Y2512" t="str">
        <x:v>Field Visit</x:v>
      </x:c>
    </x:row>
    <x:row r="2513">
      <x:c r="A2513" t="str">
        <x:v>O002512</x:v>
      </x:c>
      <x:c r="B2513" s="20" t="n">
        <x:v>45967</x:v>
      </x:c>
      <x:c r="C2513" t="str">
        <x:v>C0247</x:v>
      </x:c>
      <x:c r="D2513" t="str">
        <x:v>Fresh Canteen 247</x:v>
      </x:c>
      <x:c r="E2513" t="str">
        <x:v>Restaurant</x:v>
      </x:c>
      <x:c r="F2513" t="str">
        <x:v>Hubballi</x:v>
      </x:c>
      <x:c r="G2513" t="str">
        <x:v>Kavya</x:v>
      </x:c>
      <x:c r="H2513" t="str">
        <x:v>P005</x:v>
      </x:c>
      <x:c r="I2513" t="str">
        <x:v>Chana Dal 5kg</x:v>
      </x:c>
      <x:c r="J2513" t="str">
        <x:v>Pulses</x:v>
      </x:c>
      <x:c r="K2513" t="str">
        <x:v>Local Select</x:v>
      </x:c>
      <x:c r="L2513" s="22" t="n">
        <x:v>520</x:v>
      </x:c>
      <x:c r="M2513" t="n">
        <x:v>20</x:v>
      </x:c>
      <x:c r="N2513" s="24" t="n">
        <x:v>0.05</x:v>
      </x:c>
      <x:c r="O2513" s="22" t="n">
        <x:f>L2513*M2513</x:f>
        <x:v>10400</x:v>
      </x:c>
      <x:c r="P2513" s="22" t="n">
        <x:f>O2513*(1-N2513)</x:f>
        <x:v>9880</x:v>
      </x:c>
      <x:c r="Q2513" s="22" t="n">
        <x:v>455</x:v>
      </x:c>
      <x:c r="R2513" s="22" t="n">
        <x:f>Q2513*M2513</x:f>
        <x:v>9100</x:v>
      </x:c>
      <x:c r="S2513" s="22" t="n">
        <x:f>P2513-R2513</x:f>
        <x:v>780</x:v>
      </x:c>
      <x:c r="T2513" t="str">
        <x:v>Credit</x:v>
      </x:c>
      <x:c r="U2513" t="str">
        <x:v>Paid</x:v>
      </x:c>
      <x:c r="V2513" t="str">
        <x:v>Delivered</x:v>
      </x:c>
      <x:c r="W2513" t="n">
        <x:v>0</x:v>
      </x:c>
      <x:c r="X2513" t="str"/>
      <x:c r="Y2513" t="str"/>
    </x:row>
    <x:row r="2514">
      <x:c r="A2514" t="str">
        <x:v>O002513</x:v>
      </x:c>
      <x:c r="B2514" s="20" t="n">
        <x:v>45771</x:v>
      </x:c>
      <x:c r="C2514" t="str">
        <x:v>C0244</x:v>
      </x:c>
      <x:c r="D2514" t="str">
        <x:v>Namma Hotel 244</x:v>
      </x:c>
      <x:c r="E2514" t="str">
        <x:v>Kirana</x:v>
      </x:c>
      <x:c r="F2514" t="str">
        <x:v>Tumakuru</x:v>
      </x:c>
      <x:c r="G2514" t="str">
        <x:v>Sneha</x:v>
      </x:c>
      <x:c r="H2514" t="str">
        <x:v>P044</x:v>
      </x:c>
      <x:c r="I2514" t="str">
        <x:v>Chicken Curry Cut 1kg</x:v>
      </x:c>
      <x:c r="J2514" t="str">
        <x:v>Protein</x:v>
      </x:c>
      <x:c r="K2514" t="str">
        <x:v>FreshToHome</x:v>
      </x:c>
      <x:c r="L2514" s="22" t="n">
        <x:v>230</x:v>
      </x:c>
      <x:c r="M2514" t="n">
        <x:v>5</x:v>
      </x:c>
      <x:c r="N2514" s="24" t="n">
        <x:v>0.05</x:v>
      </x:c>
      <x:c r="O2514" s="22" t="n">
        <x:f>L2514*M2514</x:f>
        <x:v>1150</x:v>
      </x:c>
      <x:c r="P2514" s="22" t="n">
        <x:f>O2514*(1-N2514)</x:f>
        <x:v>1092.5</x:v>
      </x:c>
      <x:c r="Q2514" s="22" t="n">
        <x:v>205</x:v>
      </x:c>
      <x:c r="R2514" s="22" t="n">
        <x:f>Q2514*M2514</x:f>
        <x:v>1025</x:v>
      </x:c>
      <x:c r="S2514" s="22" t="n">
        <x:f>P2514-R2514</x:f>
        <x:v>67.5</x:v>
      </x:c>
      <x:c r="T2514" t="str">
        <x:v>Credit</x:v>
      </x:c>
      <x:c r="U2514" t="str">
        <x:v>Pending</x:v>
      </x:c>
      <x:c r="V2514" t="str">
        <x:v>Cancelled</x:v>
      </x:c>
      <x:c r="W2514" t="n">
        <x:v>5</x:v>
      </x:c>
      <x:c r="X2514" t="str">
        <x:v>Cancelled Order</x:v>
      </x:c>
      <x:c r="Y2514" t="str">
        <x:v>Field Visit</x:v>
      </x:c>
    </x:row>
    <x:row r="2515">
      <x:c r="A2515" t="str">
        <x:v>O002514</x:v>
      </x:c>
      <x:c r="B2515" s="20" t="n">
        <x:v>46041</x:v>
      </x:c>
      <x:c r="C2515" t="str">
        <x:v>C0172</x:v>
      </x:c>
      <x:c r="D2515" t="str">
        <x:v>Annapurna Stores 172</x:v>
      </x:c>
      <x:c r="E2515" t="str">
        <x:v>Restaurant</x:v>
      </x:c>
      <x:c r="F2515" t="str">
        <x:v>Mangaluru</x:v>
      </x:c>
      <x:c r="G2515" t="str">
        <x:v>Megha</x:v>
      </x:c>
      <x:c r="H2515" t="str">
        <x:v>P007</x:v>
      </x:c>
      <x:c r="I2515" t="str">
        <x:v>Sunflower Oil 15L</x:v>
      </x:c>
      <x:c r="J2515" t="str">
        <x:v>Edible Oil</x:v>
      </x:c>
      <x:c r="K2515" t="str">
        <x:v>Fortune</x:v>
      </x:c>
      <x:c r="L2515" s="22" t="n">
        <x:v>1980</x:v>
      </x:c>
      <x:c r="M2515" t="n">
        <x:v>5</x:v>
      </x:c>
      <x:c r="N2515" s="24" t="n">
        <x:v>0.03</x:v>
      </x:c>
      <x:c r="O2515" s="22" t="n">
        <x:f>L2515*M2515</x:f>
        <x:v>9900</x:v>
      </x:c>
      <x:c r="P2515" s="22" t="n">
        <x:f>O2515*(1-N2515)</x:f>
        <x:v>9603</x:v>
      </x:c>
      <x:c r="Q2515" s="22" t="n">
        <x:v>1810</x:v>
      </x:c>
      <x:c r="R2515" s="22" t="n">
        <x:f>Q2515*M2515</x:f>
        <x:v>9050</x:v>
      </x:c>
      <x:c r="S2515" s="22" t="n">
        <x:f>P2515-R2515</x:f>
        <x:v>553</x:v>
      </x:c>
      <x:c r="T2515" t="str">
        <x:v>UPI</x:v>
      </x:c>
      <x:c r="U2515" t="str">
        <x:v>Paid</x:v>
      </x:c>
      <x:c r="V2515" t="str">
        <x:v>Delayed</x:v>
      </x:c>
      <x:c r="W2515" t="n">
        <x:v>0</x:v>
      </x:c>
      <x:c r="X2515" t="str"/>
      <x:c r="Y2515" t="str">
        <x:v>WhatsApp</x:v>
      </x:c>
    </x:row>
    <x:row r="2516">
      <x:c r="A2516" t="str">
        <x:v>O002515</x:v>
      </x:c>
      <x:c r="B2516" s="20" t="n">
        <x:v>45926</x:v>
      </x:c>
      <x:c r="C2516" t="str">
        <x:v>C0237</x:v>
      </x:c>
      <x:c r="D2516" t="str">
        <x:v>Mysore Restaurant 237</x:v>
      </x:c>
      <x:c r="E2516" t="str">
        <x:v>Restaurant</x:v>
      </x:c>
      <x:c r="F2516" t="str">
        <x:v>Bengaluru</x:v>
      </x:c>
      <x:c r="G2516" t="str">
        <x:v>Sneha</x:v>
      </x:c>
      <x:c r="H2516" t="str">
        <x:v>P027</x:v>
      </x:c>
      <x:c r="I2516" t="str">
        <x:v>Biscuits 120g</x:v>
      </x:c>
      <x:c r="J2516" t="str">
        <x:v>Snacks</x:v>
      </x:c>
      <x:c r="K2516" t="str">
        <x:v>Parle-G</x:v>
      </x:c>
      <x:c r="L2516" s="22" t="n">
        <x:v>12</x:v>
      </x:c>
      <x:c r="M2516" t="n">
        <x:v>31</x:v>
      </x:c>
      <x:c r="N2516" s="24" t="n">
        <x:v>0</x:v>
      </x:c>
      <x:c r="O2516" s="22" t="n">
        <x:f>L2516*M2516</x:f>
        <x:v>372</x:v>
      </x:c>
      <x:c r="P2516" s="22" t="n">
        <x:f>O2516*(1-N2516)</x:f>
        <x:v>372</x:v>
      </x:c>
      <x:c r="Q2516" s="22" t="n">
        <x:v>9</x:v>
      </x:c>
      <x:c r="R2516" s="22" t="n">
        <x:f>Q2516*M2516</x:f>
        <x:v>279</x:v>
      </x:c>
      <x:c r="S2516" s="22" t="n">
        <x:f>P2516-R2516</x:f>
        <x:v>93</x:v>
      </x:c>
      <x:c r="T2516" t="str">
        <x:v>Cash</x:v>
      </x:c>
      <x:c r="U2516" t="str">
        <x:v>Paid</x:v>
      </x:c>
      <x:c r="V2516" t="str">
        <x:v>Delivered</x:v>
      </x:c>
      <x:c r="W2516" t="n">
        <x:v>0</x:v>
      </x:c>
      <x:c r="X2516" t="str"/>
      <x:c r="Y2516" t="str">
        <x:v>Existing Customer</x:v>
      </x:c>
    </x:row>
    <x:row r="2517">
      <x:c r="A2517" t="str">
        <x:v>O002516</x:v>
      </x:c>
      <x:c r="B2517" s="20" t="n">
        <x:v>45680</x:v>
      </x:c>
      <x:c r="C2517" t="str">
        <x:v>C0131</x:v>
      </x:c>
      <x:c r="D2517" t="str">
        <x:v>Foodie Canteen 131</x:v>
      </x:c>
      <x:c r="E2517" t="str">
        <x:v>Canteen</x:v>
      </x:c>
      <x:c r="F2517" t="str">
        <x:v>Davanagere</x:v>
      </x:c>
      <x:c r="G2517" t="str">
        <x:v>Arjun</x:v>
      </x:c>
      <x:c r="H2517" t="str">
        <x:v>P031</x:v>
      </x:c>
      <x:c r="I2517" t="str">
        <x:v>Chilli Sauce 700g</x:v>
      </x:c>
      <x:c r="J2517" t="str">
        <x:v>Condiments</x:v>
      </x:c>
      <x:c r="K2517" t="str">
        <x:v>Ching's</x:v>
      </x:c>
      <x:c r="L2517" s="22" t="n">
        <x:v>130</x:v>
      </x:c>
      <x:c r="M2517" t="n">
        <x:v>14</x:v>
      </x:c>
      <x:c r="N2517" s="24" t="n">
        <x:v>0.02</x:v>
      </x:c>
      <x:c r="O2517" s="22" t="n">
        <x:f>L2517*M2517</x:f>
        <x:v>1820</x:v>
      </x:c>
      <x:c r="P2517" s="22" t="n">
        <x:f>O2517*(1-N2517)</x:f>
        <x:v>1783.6</x:v>
      </x:c>
      <x:c r="Q2517" s="22" t="n">
        <x:v>112</x:v>
      </x:c>
      <x:c r="R2517" s="22" t="n">
        <x:f>Q2517*M2517</x:f>
        <x:v>1568</x:v>
      </x:c>
      <x:c r="S2517" s="22" t="n">
        <x:f>P2517-R2517</x:f>
        <x:v>215.5999999999999</x:v>
      </x:c>
      <x:c r="T2517" t="str">
        <x:v>Bank Transfer</x:v>
      </x:c>
      <x:c r="U2517" t="str">
        <x:v>Paid</x:v>
      </x:c>
      <x:c r="V2517" t="str">
        <x:v>Delivered</x:v>
      </x:c>
      <x:c r="W2517" t="n">
        <x:v>0</x:v>
      </x:c>
      <x:c r="X2517" t="str"/>
      <x:c r="Y2517" t="str">
        <x:v>WhatsApp</x:v>
      </x:c>
    </x:row>
    <x:row r="2518">
      <x:c r="A2518" t="str">
        <x:v>O002517</x:v>
      </x:c>
      <x:c r="B2518" s="20" t="n">
        <x:v>45891</x:v>
      </x:c>
      <x:c r="C2518" t="str">
        <x:v>C0236</x:v>
      </x:c>
      <x:c r="D2518" t="str">
        <x:v>Foodie Stores 236</x:v>
      </x:c>
      <x:c r="E2518" t="str">
        <x:v>Kirana</x:v>
      </x:c>
      <x:c r="F2518" t="str">
        <x:v>Bengaluru</x:v>
      </x:c>
      <x:c r="G2518" t="str">
        <x:v>Ramesh</x:v>
      </x:c>
      <x:c r="H2518" t="str">
        <x:v>P042</x:v>
      </x:c>
      <x:c r="I2518" t="str">
        <x:v>Eggs 30pc Tray</x:v>
      </x:c>
      <x:c r="J2518" t="str">
        <x:v>Protein</x:v>
      </x:c>
      <x:c r="K2518" t="str">
        <x:v>Farm Fresh</x:v>
      </x:c>
      <x:c r="L2518" s="22" t="n">
        <x:v>195</x:v>
      </x:c>
      <x:c r="M2518" t="n">
        <x:v>26</x:v>
      </x:c>
      <x:c r="N2518" s="24" t="n">
        <x:v>0.05</x:v>
      </x:c>
      <x:c r="O2518" s="22" t="n">
        <x:f>L2518*M2518</x:f>
        <x:v>5070</x:v>
      </x:c>
      <x:c r="P2518" s="22" t="n">
        <x:f>O2518*(1-N2518)</x:f>
        <x:v>4816.5</x:v>
      </x:c>
      <x:c r="Q2518" s="22" t="n">
        <x:v>170</x:v>
      </x:c>
      <x:c r="R2518" s="22" t="n">
        <x:f>Q2518*M2518</x:f>
        <x:v>4420</x:v>
      </x:c>
      <x:c r="S2518" s="22" t="n">
        <x:f>P2518-R2518</x:f>
        <x:v>396.5</x:v>
      </x:c>
      <x:c r="T2518" t="str">
        <x:v>UPI</x:v>
      </x:c>
      <x:c r="U2518" t="str">
        <x:v>Pending</x:v>
      </x:c>
      <x:c r="V2518" t="str">
        <x:v>Delayed</x:v>
      </x:c>
      <x:c r="W2518" t="n">
        <x:v>0</x:v>
      </x:c>
      <x:c r="X2518" t="str"/>
      <x:c r="Y2518" t="str">
        <x:v>Referral</x:v>
      </x:c>
    </x:row>
    <x:row r="2519">
      <x:c r="A2519" t="str">
        <x:v>O002518</x:v>
      </x:c>
      <x:c r="B2519" s="20" t="n">
        <x:v>46266</x:v>
      </x:c>
      <x:c r="C2519" t="str">
        <x:v>C0038</x:v>
      </x:c>
      <x:c r="D2519" t="str">
        <x:v>Mysore Kitchen 38</x:v>
      </x:c>
      <x:c r="E2519" t="str">
        <x:v>Kirana</x:v>
      </x:c>
      <x:c r="F2519" t="str">
        <x:v>Tumakuru</x:v>
      </x:c>
      <x:c r="G2519" t="str">
        <x:v>Priya</x:v>
      </x:c>
      <x:c r="H2519" t="str">
        <x:v>P050</x:v>
      </x:c>
      <x:c r="I2519" t="str">
        <x:v>Lemon 5kg</x:v>
      </x:c>
      <x:c r="J2519" t="str">
        <x:v>Fresh Produce</x:v>
      </x:c>
      <x:c r="K2519" t="str">
        <x:v>Local Market</x:v>
      </x:c>
      <x:c r="L2519" s="22" t="n">
        <x:v>360</x:v>
      </x:c>
      <x:c r="M2519" t="n">
        <x:v>8</x:v>
      </x:c>
      <x:c r="N2519" s="24" t="n">
        <x:v>0.05</x:v>
      </x:c>
      <x:c r="O2519" s="22" t="n">
        <x:f>L2519*M2519</x:f>
        <x:v>2880</x:v>
      </x:c>
      <x:c r="P2519" s="22" t="n">
        <x:f>O2519*(1-N2519)</x:f>
        <x:v>2736</x:v>
      </x:c>
      <x:c r="Q2519" s="22" t="n">
        <x:v>300</x:v>
      </x:c>
      <x:c r="R2519" s="22" t="n">
        <x:f>Q2519*M2519</x:f>
        <x:v>2400</x:v>
      </x:c>
      <x:c r="S2519" s="22" t="n">
        <x:f>P2519-R2519</x:f>
        <x:v>336</x:v>
      </x:c>
      <x:c r="T2519" t="str">
        <x:v>Bank Transfer</x:v>
      </x:c>
      <x:c r="U2519" t="str">
        <x:v>Paid</x:v>
      </x:c>
      <x:c r="V2519" t="str">
        <x:v>Delivered</x:v>
      </x:c>
      <x:c r="W2519" t="n">
        <x:v>0</x:v>
      </x:c>
      <x:c r="X2519" t="str"/>
      <x:c r="Y2519" t="str">
        <x:v>Existing Customer</x:v>
      </x:c>
    </x:row>
    <x:row r="2520">
      <x:c r="A2520" t="str">
        <x:v>O002519</x:v>
      </x:c>
      <x:c r="B2520" s="20" t="n">
        <x:v>45928</x:v>
      </x:c>
      <x:c r="C2520" t="str">
        <x:v>C0017</x:v>
      </x:c>
      <x:c r="D2520" t="str">
        <x:v>City Foods 17</x:v>
      </x:c>
      <x:c r="E2520" t="str">
        <x:v>Restaurant</x:v>
      </x:c>
      <x:c r="F2520" t="str">
        <x:v>Tumakuru</x:v>
      </x:c>
      <x:c r="G2520" t="str">
        <x:v>Imran</x:v>
      </x:c>
      <x:c r="H2520" t="str">
        <x:v>P003</x:v>
      </x:c>
      <x:c r="I2520" t="str">
        <x:v>Basmati Rice 5kg</x:v>
      </x:c>
      <x:c r="J2520" t="str">
        <x:v>Staples</x:v>
      </x:c>
      <x:c r="K2520" t="str">
        <x:v>India Gate</x:v>
      </x:c>
      <x:c r="L2520" s="22" t="n">
        <x:v>690</x:v>
      </x:c>
      <x:c r="M2520" t="n">
        <x:v>4</x:v>
      </x:c>
      <x:c r="N2520" s="24" t="n">
        <x:v>0.02</x:v>
      </x:c>
      <x:c r="O2520" s="22" t="n">
        <x:f>L2520*M2520</x:f>
        <x:v>2760</x:v>
      </x:c>
      <x:c r="P2520" s="22" t="n">
        <x:f>O2520*(1-N2520)</x:f>
        <x:v>2704.7999999999997</x:v>
      </x:c>
      <x:c r="Q2520" s="22" t="n">
        <x:v>610</x:v>
      </x:c>
      <x:c r="R2520" s="22" t="n">
        <x:f>Q2520*M2520</x:f>
        <x:v>2440</x:v>
      </x:c>
      <x:c r="S2520" s="22" t="n">
        <x:f>P2520-R2520</x:f>
        <x:v>264.7999999999997</x:v>
      </x:c>
      <x:c r="T2520" t="str">
        <x:v>Bank Transfer</x:v>
      </x:c>
      <x:c r="U2520" t="str">
        <x:v>Paid</x:v>
      </x:c>
      <x:c r="V2520" t="str">
        <x:v>Delivered</x:v>
      </x:c>
      <x:c r="W2520" t="n">
        <x:v>0</x:v>
      </x:c>
      <x:c r="X2520" t="str"/>
      <x:c r="Y2520" t="str">
        <x:v>Referral</x:v>
      </x:c>
    </x:row>
    <x:row r="2521">
      <x:c r="A2521" t="str">
        <x:v>O002520</x:v>
      </x:c>
      <x:c r="B2521" s="20" t="n">
        <x:v>46149</x:v>
      </x:c>
      <x:c r="C2521" t="str">
        <x:v>C0041</x:v>
      </x:c>
      <x:c r="D2521" t="str">
        <x:v>Grand Mart 41</x:v>
      </x:c>
      <x:c r="E2521" t="str">
        <x:v>Cafe</x:v>
      </x:c>
      <x:c r="F2521" t="str">
        <x:v>Bengaluru</x:v>
      </x:c>
      <x:c r="G2521" t="str">
        <x:v>Kavya</x:v>
      </x:c>
      <x:c r="H2521" t="str">
        <x:v>P018</x:v>
      </x:c>
      <x:c r="I2521" t="str">
        <x:v>Paneer 1kg</x:v>
      </x:c>
      <x:c r="J2521" t="str">
        <x:v>Dairy</x:v>
      </x:c>
      <x:c r="K2521" t="str">
        <x:v>Milky Mist</x:v>
      </x:c>
      <x:c r="L2521" s="22" t="n">
        <x:v>410</x:v>
      </x:c>
      <x:c r="M2521" t="n">
        <x:v>8</x:v>
      </x:c>
      <x:c r="N2521" s="24" t="n">
        <x:v>0.03</x:v>
      </x:c>
      <x:c r="O2521" s="22" t="n">
        <x:f>L2521*M2521</x:f>
        <x:v>3280</x:v>
      </x:c>
      <x:c r="P2521" s="22" t="n">
        <x:f>O2521*(1-N2521)</x:f>
        <x:v>3181.6</x:v>
      </x:c>
      <x:c r="Q2521" s="22" t="n">
        <x:v>370</x:v>
      </x:c>
      <x:c r="R2521" s="22" t="n">
        <x:f>Q2521*M2521</x:f>
        <x:v>2960</x:v>
      </x:c>
      <x:c r="S2521" s="22" t="n">
        <x:f>P2521-R2521</x:f>
        <x:v>221.5999999999999</x:v>
      </x:c>
      <x:c r="T2521" t="str">
        <x:v>UPI</x:v>
      </x:c>
      <x:c r="U2521" t="str">
        <x:v>Paid</x:v>
      </x:c>
      <x:c r="V2521" t="str">
        <x:v>Delivered</x:v>
      </x:c>
      <x:c r="W2521" t="n">
        <x:v>0</x:v>
      </x:c>
      <x:c r="X2521" t="str"/>
      <x:c r="Y2521" t="str">
        <x:v>Existing Customer</x:v>
      </x:c>
    </x:row>
    <x:row r="2522">
      <x:c r="A2522" t="str">
        <x:v>O002521</x:v>
      </x:c>
      <x:c r="B2522" s="20" t="n">
        <x:v>45712</x:v>
      </x:c>
      <x:c r="C2522" t="str">
        <x:v>C0243</x:v>
      </x:c>
      <x:c r="D2522" t="str">
        <x:v>Metro Kitchen 243</x:v>
      </x:c>
      <x:c r="E2522" t="str">
        <x:v>Restaurant</x:v>
      </x:c>
      <x:c r="F2522" t="str">
        <x:v>Mangaluru</x:v>
      </x:c>
      <x:c r="G2522" t="str">
        <x:v>Kavya</x:v>
      </x:c>
      <x:c r="H2522" t="str">
        <x:v>P026</x:v>
      </x:c>
      <x:c r="I2522" t="str">
        <x:v>Banana Chips 80g</x:v>
      </x:c>
      <x:c r="J2522" t="str">
        <x:v>Snacks</x:v>
      </x:c>
      <x:c r="K2522" t="str">
        <x:v>SSS</x:v>
      </x:c>
      <x:c r="L2522" s="22" t="n">
        <x:v>54</x:v>
      </x:c>
      <x:c r="M2522" t="n">
        <x:v>31</x:v>
      </x:c>
      <x:c r="N2522" s="24" t="n">
        <x:v>0.02</x:v>
      </x:c>
      <x:c r="O2522" s="22" t="n">
        <x:f>L2522*M2522</x:f>
        <x:v>1674</x:v>
      </x:c>
      <x:c r="P2522" s="22" t="n">
        <x:f>O2522*(1-N2522)</x:f>
        <x:v>1640.52</x:v>
      </x:c>
      <x:c r="Q2522" s="22" t="n">
        <x:v>39</x:v>
      </x:c>
      <x:c r="R2522" s="22" t="n">
        <x:f>Q2522*M2522</x:f>
        <x:v>1209</x:v>
      </x:c>
      <x:c r="S2522" s="22" t="n">
        <x:f>P2522-R2522</x:f>
        <x:v>431.52</x:v>
      </x:c>
      <x:c r="T2522" t="str">
        <x:v>Credit</x:v>
      </x:c>
      <x:c r="U2522" t="str">
        <x:v>Paid</x:v>
      </x:c>
      <x:c r="V2522" t="str">
        <x:v>Cancelled</x:v>
      </x:c>
      <x:c r="W2522" t="n">
        <x:v>31</x:v>
      </x:c>
      <x:c r="X2522" t="str">
        <x:v>Cancelled Order</x:v>
      </x:c>
      <x:c r="Y2522" t="str">
        <x:v>Existing Customer</x:v>
      </x:c>
    </x:row>
    <x:row r="2523">
      <x:c r="A2523" t="str">
        <x:v>O002522</x:v>
      </x:c>
      <x:c r="B2523" s="20" t="n">
        <x:v>46146</x:v>
      </x:c>
      <x:c r="C2523" t="str">
        <x:v>C0214</x:v>
      </x:c>
      <x:c r="D2523" t="str">
        <x:v>Darshini Kitchen 214</x:v>
      </x:c>
      <x:c r="E2523" t="str">
        <x:v>Kirana</x:v>
      </x:c>
      <x:c r="F2523" t="str">
        <x:v>Bengaluru</x:v>
      </x:c>
      <x:c r="G2523" t="str">
        <x:v>Imran</x:v>
      </x:c>
      <x:c r="H2523" t="str">
        <x:v>P037</x:v>
      </x:c>
      <x:c r="I2523" t="str">
        <x:v>Frozen Peas 1kg</x:v>
      </x:c>
      <x:c r="J2523" t="str">
        <x:v>Frozen</x:v>
      </x:c>
      <x:c r="K2523" t="str">
        <x:v>Safal</x:v>
      </x:c>
      <x:c r="L2523" s="22" t="n">
        <x:v>155</x:v>
      </x:c>
      <x:c r="M2523" t="n">
        <x:v>19</x:v>
      </x:c>
      <x:c r="N2523" s="24" t="n">
        <x:v>0.03</x:v>
      </x:c>
      <x:c r="O2523" s="22" t="n">
        <x:f>L2523*M2523</x:f>
        <x:v>2945</x:v>
      </x:c>
      <x:c r="P2523" s="22" t="n">
        <x:f>O2523*(1-N2523)</x:f>
        <x:v>2856.65</x:v>
      </x:c>
      <x:c r="Q2523" s="22" t="n">
        <x:v>138</x:v>
      </x:c>
      <x:c r="R2523" s="22" t="n">
        <x:f>Q2523*M2523</x:f>
        <x:v>2622</x:v>
      </x:c>
      <x:c r="S2523" s="22" t="n">
        <x:f>P2523-R2523</x:f>
        <x:v>234.6500000000001</x:v>
      </x:c>
      <x:c r="T2523" t="str">
        <x:v>Credit</x:v>
      </x:c>
      <x:c r="U2523" t="str">
        <x:v>Paid</x:v>
      </x:c>
      <x:c r="V2523" t="str">
        <x:v>Delivered</x:v>
      </x:c>
      <x:c r="W2523" t="n">
        <x:v>0</x:v>
      </x:c>
      <x:c r="X2523" t="str"/>
      <x:c r="Y2523" t="str">
        <x:v>Referral</x:v>
      </x:c>
    </x:row>
    <x:row r="2524">
      <x:c r="A2524" t="str">
        <x:v>O002523</x:v>
      </x:c>
      <x:c r="B2524" s="20" t="n">
        <x:v>45943</x:v>
      </x:c>
      <x:c r="C2524" t="str">
        <x:v>C0032</x:v>
      </x:c>
      <x:c r="D2524" t="str">
        <x:v>Cafe Hotel 32</x:v>
      </x:c>
      <x:c r="E2524" t="str">
        <x:v>Canteen</x:v>
      </x:c>
      <x:c r="F2524" t="str">
        <x:v>Bengaluru</x:v>
      </x:c>
      <x:c r="G2524" t="str">
        <x:v>Sneha</x:v>
      </x:c>
      <x:c r="H2524" t="str">
        <x:v>P008</x:v>
      </x:c>
      <x:c r="I2524" t="str">
        <x:v>Palm Oil 15L</x:v>
      </x:c>
      <x:c r="J2524" t="str">
        <x:v>Edible Oil</x:v>
      </x:c>
      <x:c r="K2524" t="str">
        <x:v>Ruchi Gold</x:v>
      </x:c>
      <x:c r="L2524" s="22" t="n">
        <x:v>1760</x:v>
      </x:c>
      <x:c r="M2524" t="n">
        <x:v>7</x:v>
      </x:c>
      <x:c r="N2524" s="24" t="n">
        <x:v>0.05</x:v>
      </x:c>
      <x:c r="O2524" s="22" t="n">
        <x:f>L2524*M2524</x:f>
        <x:v>12320</x:v>
      </x:c>
      <x:c r="P2524" s="22" t="n">
        <x:f>O2524*(1-N2524)</x:f>
        <x:v>11704</x:v>
      </x:c>
      <x:c r="Q2524" s="22" t="n">
        <x:v>1610</x:v>
      </x:c>
      <x:c r="R2524" s="22" t="n">
        <x:f>Q2524*M2524</x:f>
        <x:v>11270</x:v>
      </x:c>
      <x:c r="S2524" s="22" t="n">
        <x:f>P2524-R2524</x:f>
        <x:v>434</x:v>
      </x:c>
      <x:c r="T2524" t="str">
        <x:v>Credit</x:v>
      </x:c>
      <x:c r="U2524" t="str">
        <x:v>Paid</x:v>
      </x:c>
      <x:c r="V2524" t="str">
        <x:v>Cancelled</x:v>
      </x:c>
      <x:c r="W2524" t="n">
        <x:v>7</x:v>
      </x:c>
      <x:c r="X2524" t="str">
        <x:v>Cancelled Order</x:v>
      </x:c>
      <x:c r="Y2524" t="str">
        <x:v>Outbound Call</x:v>
      </x:c>
    </x:row>
    <x:row r="2525">
      <x:c r="A2525" t="str">
        <x:v>O002524</x:v>
      </x:c>
      <x:c r="B2525" s="20" t="n">
        <x:v>45762</x:v>
      </x:c>
      <x:c r="C2525" t="str">
        <x:v>C0137</x:v>
      </x:c>
      <x:c r="D2525" t="str">
        <x:v>Green Restaurant 137</x:v>
      </x:c>
      <x:c r="E2525" t="str">
        <x:v>Canteen</x:v>
      </x:c>
      <x:c r="F2525" t="str">
        <x:v>Mangaluru</x:v>
      </x:c>
      <x:c r="G2525" t="str">
        <x:v>Arjun</x:v>
      </x:c>
      <x:c r="H2525" t="str">
        <x:v>P043</x:v>
      </x:c>
      <x:c r="I2525" t="str">
        <x:v>Chicken Breast 1kg</x:v>
      </x:c>
      <x:c r="J2525" t="str">
        <x:v>Protein</x:v>
      </x:c>
      <x:c r="K2525" t="str">
        <x:v>FreshToHome</x:v>
      </x:c>
      <x:c r="L2525" s="22" t="n">
        <x:v>260</x:v>
      </x:c>
      <x:c r="M2525" t="n">
        <x:v>1</x:v>
      </x:c>
      <x:c r="N2525" s="24" t="n">
        <x:v>0.03</x:v>
      </x:c>
      <x:c r="O2525" s="22" t="n">
        <x:f>L2525*M2525</x:f>
        <x:v>260</x:v>
      </x:c>
      <x:c r="P2525" s="22" t="n">
        <x:f>O2525*(1-N2525)</x:f>
        <x:v>252.2</x:v>
      </x:c>
      <x:c r="Q2525" s="22" t="n">
        <x:v>235</x:v>
      </x:c>
      <x:c r="R2525" s="22" t="n">
        <x:f>Q2525*M2525</x:f>
        <x:v>235</x:v>
      </x:c>
      <x:c r="S2525" s="22" t="n">
        <x:f>P2525-R2525</x:f>
        <x:v>17.19999999999999</x:v>
      </x:c>
      <x:c r="T2525" t="str">
        <x:v>Credit</x:v>
      </x:c>
      <x:c r="U2525" t="str">
        <x:v>Paid</x:v>
      </x:c>
      <x:c r="V2525" t="str">
        <x:v>Cancelled</x:v>
      </x:c>
      <x:c r="W2525" t="n">
        <x:v>1</x:v>
      </x:c>
      <x:c r="X2525" t="str">
        <x:v>Cancelled Order</x:v>
      </x:c>
      <x:c r="Y2525" t="str">
        <x:v>Field Visit</x:v>
      </x:c>
    </x:row>
    <x:row r="2526">
      <x:c r="A2526" t="str">
        <x:v>O002525</x:v>
      </x:c>
      <x:c r="B2526" s="20" t="n">
        <x:v>46075</x:v>
      </x:c>
      <x:c r="C2526" t="str">
        <x:v>C0063</x:v>
      </x:c>
      <x:c r="D2526" t="str">
        <x:v>Namma Mart 63</x:v>
      </x:c>
      <x:c r="E2526" t="str">
        <x:v>Supermarket</x:v>
      </x:c>
      <x:c r="F2526" t="str">
        <x:v>Tumakuru</x:v>
      </x:c>
      <x:c r="G2526" t="str">
        <x:v>Priya</x:v>
      </x:c>
      <x:c r="H2526" t="str">
        <x:v>P007</x:v>
      </x:c>
      <x:c r="I2526" t="str">
        <x:v>Sunflower Oil 15L</x:v>
      </x:c>
      <x:c r="J2526" t="str">
        <x:v>Edible Oil</x:v>
      </x:c>
      <x:c r="K2526" t="str">
        <x:v>Fortune</x:v>
      </x:c>
      <x:c r="L2526" s="22" t="n">
        <x:v>1980</x:v>
      </x:c>
      <x:c r="M2526" t="n">
        <x:v>2</x:v>
      </x:c>
      <x:c r="N2526" s="24" t="n">
        <x:v>0</x:v>
      </x:c>
      <x:c r="O2526" s="22" t="n">
        <x:f>L2526*M2526</x:f>
        <x:v>3960</x:v>
      </x:c>
      <x:c r="P2526" s="22" t="n">
        <x:f>O2526*(1-N2526)</x:f>
        <x:v>3960</x:v>
      </x:c>
      <x:c r="Q2526" s="22" t="n">
        <x:v>1810</x:v>
      </x:c>
      <x:c r="R2526" s="22" t="n">
        <x:f>Q2526*M2526</x:f>
        <x:v>3620</x:v>
      </x:c>
      <x:c r="S2526" s="22" t="n">
        <x:f>P2526-R2526</x:f>
        <x:v>340</x:v>
      </x:c>
      <x:c r="T2526" t="str">
        <x:v>Credit</x:v>
      </x:c>
      <x:c r="U2526" t="str">
        <x:v>Overdue</x:v>
      </x:c>
      <x:c r="V2526" t="str">
        <x:v>Delivered</x:v>
      </x:c>
      <x:c r="W2526" t="n">
        <x:v>0</x:v>
      </x:c>
      <x:c r="X2526" t="str"/>
      <x:c r="Y2526" t="str">
        <x:v>WhatsApp</x:v>
      </x:c>
    </x:row>
    <x:row r="2527">
      <x:c r="A2527" t="str">
        <x:v>O002526</x:v>
      </x:c>
      <x:c r="B2527" s="20" t="n">
        <x:v>46082</x:v>
      </x:c>
      <x:c r="C2527" t="str">
        <x:v>C0191</x:v>
      </x:c>
      <x:c r="D2527" t="str">
        <x:v>Foodie Kitchen 191</x:v>
      </x:c>
      <x:c r="E2527" t="str">
        <x:v>Cafe</x:v>
      </x:c>
      <x:c r="F2527" t="str">
        <x:v>Mysuru</x:v>
      </x:c>
      <x:c r="G2527" t="str">
        <x:v>Priya</x:v>
      </x:c>
      <x:c r="H2527" t="str">
        <x:v>P049</x:v>
      </x:c>
      <x:c r="I2527" t="str">
        <x:v>Apple 10kg</x:v>
      </x:c>
      <x:c r="J2527" t="str">
        <x:v>Fresh Produce</x:v>
      </x:c>
      <x:c r="K2527" t="str">
        <x:v>Local Market</x:v>
      </x:c>
      <x:c r="L2527" s="22" t="n">
        <x:v>1450</x:v>
      </x:c>
      <x:c r="M2527" t="n">
        <x:v>7</x:v>
      </x:c>
      <x:c r="N2527" s="24" t="n">
        <x:v>0.03</x:v>
      </x:c>
      <x:c r="O2527" s="22" t="n">
        <x:f>L2527*M2527</x:f>
        <x:v>10150</x:v>
      </x:c>
      <x:c r="P2527" s="22" t="n">
        <x:f>O2527*(1-N2527)</x:f>
        <x:v>9845.5</x:v>
      </x:c>
      <x:c r="Q2527" s="22" t="n">
        <x:v>1280</x:v>
      </x:c>
      <x:c r="R2527" s="22" t="n">
        <x:f>Q2527*M2527</x:f>
        <x:v>8960</x:v>
      </x:c>
      <x:c r="S2527" s="22" t="n">
        <x:f>P2527-R2527</x:f>
        <x:v>885.5</x:v>
      </x:c>
      <x:c r="T2527" t="str">
        <x:v>Credit</x:v>
      </x:c>
      <x:c r="U2527" t="str">
        <x:v>Paid</x:v>
      </x:c>
      <x:c r="V2527" t="str">
        <x:v>Delayed</x:v>
      </x:c>
      <x:c r="W2527" t="n">
        <x:v>0</x:v>
      </x:c>
      <x:c r="X2527" t="str"/>
      <x:c r="Y2527" t="str">
        <x:v>Existing Customer</x:v>
      </x:c>
    </x:row>
    <x:row r="2528">
      <x:c r="A2528" t="str">
        <x:v>O002527</x:v>
      </x:c>
      <x:c r="B2528" s="20" t="n">
        <x:v>46196</x:v>
      </x:c>
      <x:c r="C2528" t="str">
        <x:v>C0147</x:v>
      </x:c>
      <x:c r="D2528" t="str">
        <x:v>New Stores 147</x:v>
      </x:c>
      <x:c r="E2528" t="str">
        <x:v>Supermarket</x:v>
      </x:c>
      <x:c r="F2528" t="str">
        <x:v>Hubballi</x:v>
      </x:c>
      <x:c r="G2528" t="str">
        <x:v>Imran</x:v>
      </x:c>
      <x:c r="H2528" t="str">
        <x:v>P014</x:v>
      </x:c>
      <x:c r="I2528" t="str">
        <x:v>Rava 5kg</x:v>
      </x:c>
      <x:c r="J2528" t="str">
        <x:v>Flour</x:v>
      </x:c>
      <x:c r="K2528" t="str">
        <x:v>Local Select</x:v>
      </x:c>
      <x:c r="L2528" s="22" t="n">
        <x:v>245</x:v>
      </x:c>
      <x:c r="M2528" t="n">
        <x:v>38</x:v>
      </x:c>
      <x:c r="N2528" s="24" t="n">
        <x:v>0.05</x:v>
      </x:c>
      <x:c r="O2528" s="22" t="n">
        <x:f>L2528*M2528</x:f>
        <x:v>9310</x:v>
      </x:c>
      <x:c r="P2528" s="22" t="n">
        <x:f>O2528*(1-N2528)</x:f>
        <x:v>8844.5</x:v>
      </x:c>
      <x:c r="Q2528" s="22" t="n">
        <x:v>215</x:v>
      </x:c>
      <x:c r="R2528" s="22" t="n">
        <x:f>Q2528*M2528</x:f>
        <x:v>8170</x:v>
      </x:c>
      <x:c r="S2528" s="22" t="n">
        <x:f>P2528-R2528</x:f>
        <x:v>674.5</x:v>
      </x:c>
      <x:c r="T2528" t="str">
        <x:v>UPI</x:v>
      </x:c>
      <x:c r="U2528" t="str">
        <x:v>Paid</x:v>
      </x:c>
      <x:c r="V2528" t="str">
        <x:v>Delivered</x:v>
      </x:c>
      <x:c r="W2528" t="n">
        <x:v>0</x:v>
      </x:c>
      <x:c r="X2528" t="str"/>
      <x:c r="Y2528" t="str">
        <x:v>Outbound Call</x:v>
      </x:c>
    </x:row>
    <x:row r="2529">
      <x:c r="A2529" t="str">
        <x:v>O002528</x:v>
      </x:c>
      <x:c r="B2529" s="20" t="n">
        <x:v>46169</x:v>
      </x:c>
      <x:c r="C2529" t="str">
        <x:v>C0165</x:v>
      </x:c>
      <x:c r="D2529" t="str">
        <x:v>Royal Restaurant 165</x:v>
      </x:c>
      <x:c r="E2529" t="str">
        <x:v>Hotel</x:v>
      </x:c>
      <x:c r="F2529" t="str">
        <x:v>Tumakuru</x:v>
      </x:c>
      <x:c r="G2529" t="str">
        <x:v>Kavya</x:v>
      </x:c>
      <x:c r="H2529" t="str">
        <x:v>P001</x:v>
      </x:c>
      <x:c r="I2529" t="str">
        <x:v>Steam Rice 25kg</x:v>
      </x:c>
      <x:c r="J2529" t="str">
        <x:v>Staples</x:v>
      </x:c>
      <x:c r="K2529" t="str">
        <x:v>Aishwarya</x:v>
      </x:c>
      <x:c r="L2529" s="22" t="n">
        <x:v>1180</x:v>
      </x:c>
      <x:c r="M2529" t="n">
        <x:v>7</x:v>
      </x:c>
      <x:c r="N2529" s="24" t="n">
        <x:v>0.1</x:v>
      </x:c>
      <x:c r="O2529" s="22" t="n">
        <x:f>L2529*M2529</x:f>
        <x:v>8260</x:v>
      </x:c>
      <x:c r="P2529" s="22" t="n">
        <x:f>O2529*(1-N2529)</x:f>
        <x:v>7434</x:v>
      </x:c>
      <x:c r="Q2529" s="22" t="n">
        <x:v>1040</x:v>
      </x:c>
      <x:c r="R2529" s="22" t="n">
        <x:f>Q2529*M2529</x:f>
        <x:v>7280</x:v>
      </x:c>
      <x:c r="S2529" s="22" t="n">
        <x:f>P2529-R2529</x:f>
        <x:v>154</x:v>
      </x:c>
      <x:c r="T2529" t="str">
        <x:v>Cash</x:v>
      </x:c>
      <x:c r="U2529" t="str">
        <x:v>Paid</x:v>
      </x:c>
      <x:c r="V2529" t="str">
        <x:v>Cancelled</x:v>
      </x:c>
      <x:c r="W2529" t="n">
        <x:v>7</x:v>
      </x:c>
      <x:c r="X2529" t="str">
        <x:v>Cancelled Order</x:v>
      </x:c>
      <x:c r="Y2529" t="str">
        <x:v>Referral</x:v>
      </x:c>
    </x:row>
    <x:row r="2530">
      <x:c r="A2530" t="str">
        <x:v>O002529</x:v>
      </x:c>
      <x:c r="B2530" s="20" t="n">
        <x:v>45857</x:v>
      </x:c>
      <x:c r="C2530" t="str">
        <x:v>C0057</x:v>
      </x:c>
      <x:c r="D2530" t="str">
        <x:v>Annapurna Foods 57</x:v>
      </x:c>
      <x:c r="E2530" t="str">
        <x:v>Kirana</x:v>
      </x:c>
      <x:c r="F2530" t="str">
        <x:v>Mysuru</x:v>
      </x:c>
      <x:c r="G2530" t="str">
        <x:v>Priya</x:v>
      </x:c>
      <x:c r="H2530" t="str">
        <x:v>P045</x:v>
      </x:c>
      <x:c r="I2530" t="str">
        <x:v>Onion 25kg</x:v>
      </x:c>
      <x:c r="J2530" t="str">
        <x:v>Fresh Produce</x:v>
      </x:c>
      <x:c r="K2530" t="str">
        <x:v>Local Market</x:v>
      </x:c>
      <x:c r="L2530" s="22" t="n">
        <x:v>875</x:v>
      </x:c>
      <x:c r="M2530" t="n">
        <x:v>27</x:v>
      </x:c>
      <x:c r="N2530" s="24" t="n">
        <x:v>0.08</x:v>
      </x:c>
      <x:c r="O2530" s="22" t="n">
        <x:f>L2530*M2530</x:f>
        <x:v>23625</x:v>
      </x:c>
      <x:c r="P2530" s="22" t="n">
        <x:f>O2530*(1-N2530)</x:f>
        <x:v>21735</x:v>
      </x:c>
      <x:c r="Q2530" s="22" t="n">
        <x:v>760</x:v>
      </x:c>
      <x:c r="R2530" s="22" t="n">
        <x:f>Q2530*M2530</x:f>
        <x:v>20520</x:v>
      </x:c>
      <x:c r="S2530" s="22" t="n">
        <x:f>P2530-R2530</x:f>
        <x:v>1215</x:v>
      </x:c>
      <x:c r="T2530" t="str">
        <x:v>Bank Transfer</x:v>
      </x:c>
      <x:c r="U2530" t="str">
        <x:v>Paid</x:v>
      </x:c>
      <x:c r="V2530" t="str">
        <x:v>Delayed</x:v>
      </x:c>
      <x:c r="W2530" t="n">
        <x:v>0</x:v>
      </x:c>
      <x:c r="X2530" t="str"/>
      <x:c r="Y2530" t="str">
        <x:v>Existing Customer</x:v>
      </x:c>
    </x:row>
    <x:row r="2531">
      <x:c r="A2531" t="str">
        <x:v>O002530</x:v>
      </x:c>
      <x:c r="B2531" s="20" t="n">
        <x:v>45704</x:v>
      </x:c>
      <x:c r="C2531" t="str">
        <x:v>C0149</x:v>
      </x:c>
      <x:c r="D2531" t="str">
        <x:v>Annapurna Hotel 149</x:v>
      </x:c>
      <x:c r="E2531" t="str">
        <x:v>Cafe</x:v>
      </x:c>
      <x:c r="F2531" t="str">
        <x:v>Tumakuru</x:v>
      </x:c>
      <x:c r="G2531" t="str">
        <x:v>Megha</x:v>
      </x:c>
      <x:c r="H2531" t="str">
        <x:v>P003</x:v>
      </x:c>
      <x:c r="I2531" t="str">
        <x:v>Basmati Rice 5kg</x:v>
      </x:c>
      <x:c r="J2531" t="str">
        <x:v>Staples</x:v>
      </x:c>
      <x:c r="K2531" t="str">
        <x:v>India Gate</x:v>
      </x:c>
      <x:c r="L2531" s="22" t="n">
        <x:v>690</x:v>
      </x:c>
      <x:c r="M2531" t="n">
        <x:v>20</x:v>
      </x:c>
      <x:c r="N2531" s="24" t="n">
        <x:v>0.05</x:v>
      </x:c>
      <x:c r="O2531" s="22" t="n">
        <x:f>L2531*M2531</x:f>
        <x:v>13800</x:v>
      </x:c>
      <x:c r="P2531" s="22" t="n">
        <x:f>O2531*(1-N2531)</x:f>
        <x:v>13110</x:v>
      </x:c>
      <x:c r="Q2531" s="22" t="n">
        <x:v>610</x:v>
      </x:c>
      <x:c r="R2531" s="22" t="n">
        <x:f>Q2531*M2531</x:f>
        <x:v>12200</x:v>
      </x:c>
      <x:c r="S2531" s="22" t="n">
        <x:f>P2531-R2531</x:f>
        <x:v>910</x:v>
      </x:c>
      <x:c r="T2531" t="str">
        <x:v>UPI</x:v>
      </x:c>
      <x:c r="U2531" t="str">
        <x:v>Paid</x:v>
      </x:c>
      <x:c r="V2531" t="str">
        <x:v>Cancelled</x:v>
      </x:c>
      <x:c r="W2531" t="n">
        <x:v>20</x:v>
      </x:c>
      <x:c r="X2531" t="str">
        <x:v>Cancelled Order</x:v>
      </x:c>
      <x:c r="Y2531" t="str">
        <x:v>Referral</x:v>
      </x:c>
    </x:row>
    <x:row r="2532">
      <x:c r="A2532" t="str">
        <x:v>O002531</x:v>
      </x:c>
      <x:c r="B2532" s="20" t="n">
        <x:v>46038</x:v>
      </x:c>
      <x:c r="C2532" t="str">
        <x:v>C0192</x:v>
      </x:c>
      <x:c r="D2532" t="str">
        <x:v>Shree Kitchen 192</x:v>
      </x:c>
      <x:c r="E2532" t="str">
        <x:v>Restaurant</x:v>
      </x:c>
      <x:c r="F2532" t="str">
        <x:v>Mysuru</x:v>
      </x:c>
      <x:c r="G2532" t="str">
        <x:v>Sneha</x:v>
      </x:c>
      <x:c r="H2532" t="str">
        <x:v>P019</x:v>
      </x:c>
      <x:c r="I2532" t="str">
        <x:v>Tea 1kg</x:v>
      </x:c>
      <x:c r="J2532" t="str">
        <x:v>Beverage</x:v>
      </x:c>
      <x:c r="K2532" t="str">
        <x:v>Red Label</x:v>
      </x:c>
      <x:c r="L2532" s="22" t="n">
        <x:v>540</x:v>
      </x:c>
      <x:c r="M2532" t="n">
        <x:v>34</x:v>
      </x:c>
      <x:c r="N2532" s="24" t="n">
        <x:v>0.05</x:v>
      </x:c>
      <x:c r="O2532" s="22" t="n">
        <x:f>L2532*M2532</x:f>
        <x:v>18360</x:v>
      </x:c>
      <x:c r="P2532" s="22" t="n">
        <x:f>O2532*(1-N2532)</x:f>
        <x:v>17442</x:v>
      </x:c>
      <x:c r="Q2532" s="22" t="n">
        <x:v>485</x:v>
      </x:c>
      <x:c r="R2532" s="22" t="n">
        <x:f>Q2532*M2532</x:f>
        <x:v>16490</x:v>
      </x:c>
      <x:c r="S2532" s="22" t="n">
        <x:f>P2532-R2532</x:f>
        <x:v>952</x:v>
      </x:c>
      <x:c r="T2532" t="str">
        <x:v>Bank Transfer</x:v>
      </x:c>
      <x:c r="U2532" t="str">
        <x:v>Paid</x:v>
      </x:c>
      <x:c r="V2532" t="str">
        <x:v>Delivered</x:v>
      </x:c>
      <x:c r="W2532" t="n">
        <x:v>0</x:v>
      </x:c>
      <x:c r="X2532" t="str"/>
      <x:c r="Y2532" t="str">
        <x:v>Referral</x:v>
      </x:c>
    </x:row>
    <x:row r="2533">
      <x:c r="A2533" t="str">
        <x:v>O002532</x:v>
      </x:c>
      <x:c r="B2533" s="20" t="n">
        <x:v>46219</x:v>
      </x:c>
      <x:c r="C2533" t="str">
        <x:v>C0235</x:v>
      </x:c>
      <x:c r="D2533" t="str">
        <x:v>Darshini Canteen 235</x:v>
      </x:c>
      <x:c r="E2533" t="str">
        <x:v>Hotel</x:v>
      </x:c>
      <x:c r="F2533" t="str">
        <x:v>Mangaluru</x:v>
      </x:c>
      <x:c r="G2533" t="str">
        <x:v>Arjun</x:v>
      </x:c>
      <x:c r="H2533" t="str">
        <x:v>P038</x:v>
      </x:c>
      <x:c r="I2533" t="str">
        <x:v>French Fries 2.5kg</x:v>
      </x:c>
      <x:c r="J2533" t="str">
        <x:v>Frozen</x:v>
      </x:c>
      <x:c r="K2533" t="str">
        <x:v>McCain</x:v>
      </x:c>
      <x:c r="L2533" s="22" t="n">
        <x:v>360</x:v>
      </x:c>
      <x:c r="M2533" t="n">
        <x:v>8</x:v>
      </x:c>
      <x:c r="N2533" s="24" t="n">
        <x:v>0</x:v>
      </x:c>
      <x:c r="O2533" s="22" t="n">
        <x:f>L2533*M2533</x:f>
        <x:v>2880</x:v>
      </x:c>
      <x:c r="P2533" s="22" t="n">
        <x:f>O2533*(1-N2533)</x:f>
        <x:v>2880</x:v>
      </x:c>
      <x:c r="Q2533" s="22" t="n">
        <x:v>315</x:v>
      </x:c>
      <x:c r="R2533" s="22" t="n">
        <x:f>Q2533*M2533</x:f>
        <x:v>2520</x:v>
      </x:c>
      <x:c r="S2533" s="22" t="n">
        <x:f>P2533-R2533</x:f>
        <x:v>360</x:v>
      </x:c>
      <x:c r="T2533" t="str">
        <x:v>Cash</x:v>
      </x:c>
      <x:c r="U2533" t="str">
        <x:v>Overdue</x:v>
      </x:c>
      <x:c r="V2533" t="str">
        <x:v>Delivered</x:v>
      </x:c>
      <x:c r="W2533" t="n">
        <x:v>0</x:v>
      </x:c>
      <x:c r="X2533" t="str"/>
      <x:c r="Y2533" t="str">
        <x:v>Referral</x:v>
      </x:c>
    </x:row>
    <x:row r="2534">
      <x:c r="A2534" t="str">
        <x:v>O002533</x:v>
      </x:c>
      <x:c r="B2534" s="20" t="n">
        <x:v>46008</x:v>
      </x:c>
      <x:c r="C2534" t="str">
        <x:v>C0083</x:v>
      </x:c>
      <x:c r="D2534" t="str">
        <x:v>Sri Cafe 83</x:v>
      </x:c>
      <x:c r="E2534" t="str">
        <x:v>Hotel</x:v>
      </x:c>
      <x:c r="F2534" t="str">
        <x:v>Davanagere</x:v>
      </x:c>
      <x:c r="G2534" t="str">
        <x:v>Ramesh</x:v>
      </x:c>
      <x:c r="H2534" t="str">
        <x:v>P050</x:v>
      </x:c>
      <x:c r="I2534" t="str">
        <x:v>Lemon 5kg</x:v>
      </x:c>
      <x:c r="J2534" t="str">
        <x:v>Fresh Produce</x:v>
      </x:c>
      <x:c r="K2534" t="str">
        <x:v>Local Market</x:v>
      </x:c>
      <x:c r="L2534" s="22" t="n">
        <x:v>360</x:v>
      </x:c>
      <x:c r="M2534" t="n">
        <x:v>7</x:v>
      </x:c>
      <x:c r="N2534" s="24" t="n">
        <x:v>0.03</x:v>
      </x:c>
      <x:c r="O2534" s="22" t="n">
        <x:f>L2534*M2534</x:f>
        <x:v>2520</x:v>
      </x:c>
      <x:c r="P2534" s="22" t="n">
        <x:f>O2534*(1-N2534)</x:f>
        <x:v>2444.4</x:v>
      </x:c>
      <x:c r="Q2534" s="22" t="n">
        <x:v>300</x:v>
      </x:c>
      <x:c r="R2534" s="22" t="n">
        <x:f>Q2534*M2534</x:f>
        <x:v>2100</x:v>
      </x:c>
      <x:c r="S2534" s="22" t="n">
        <x:f>P2534-R2534</x:f>
        <x:v>344.4000000000001</x:v>
      </x:c>
      <x:c r="T2534" t="str">
        <x:v>Cash</x:v>
      </x:c>
      <x:c r="U2534" t="str">
        <x:v>Paid</x:v>
      </x:c>
      <x:c r="V2534" t="str">
        <x:v>Delayed</x:v>
      </x:c>
      <x:c r="W2534" t="n">
        <x:v>0</x:v>
      </x:c>
      <x:c r="X2534" t="str"/>
      <x:c r="Y2534" t="str">
        <x:v>Referral</x:v>
      </x:c>
    </x:row>
    <x:row r="2535">
      <x:c r="A2535" t="str">
        <x:v>O002534</x:v>
      </x:c>
      <x:c r="B2535" s="20" t="n">
        <x:v>45918</x:v>
      </x:c>
      <x:c r="C2535" t="str">
        <x:v>C0226</x:v>
      </x:c>
      <x:c r="D2535" t="str">
        <x:v>Green Stores 226</x:v>
      </x:c>
      <x:c r="E2535" t="str">
        <x:v>Restaurant</x:v>
      </x:c>
      <x:c r="F2535" t="str">
        <x:v>Hubballi</x:v>
      </x:c>
      <x:c r="G2535" t="str">
        <x:v>Priya</x:v>
      </x:c>
      <x:c r="H2535" t="str">
        <x:v>P005</x:v>
      </x:c>
      <x:c r="I2535" t="str">
        <x:v>Chana Dal 5kg</x:v>
      </x:c>
      <x:c r="J2535" t="str">
        <x:v>Pulses</x:v>
      </x:c>
      <x:c r="K2535" t="str">
        <x:v>Local Select</x:v>
      </x:c>
      <x:c r="L2535" s="22" t="n">
        <x:v>520</x:v>
      </x:c>
      <x:c r="M2535" t="n">
        <x:v>32</x:v>
      </x:c>
      <x:c r="N2535" s="24" t="n">
        <x:v>0.08</x:v>
      </x:c>
      <x:c r="O2535" s="22" t="n">
        <x:f>L2535*M2535</x:f>
        <x:v>16640</x:v>
      </x:c>
      <x:c r="P2535" s="22" t="n">
        <x:f>O2535*(1-N2535)</x:f>
        <x:v>15308.800000000001</x:v>
      </x:c>
      <x:c r="Q2535" s="22" t="n">
        <x:v>455</x:v>
      </x:c>
      <x:c r="R2535" s="22" t="n">
        <x:f>Q2535*M2535</x:f>
        <x:v>14560</x:v>
      </x:c>
      <x:c r="S2535" s="22" t="n">
        <x:f>P2535-R2535</x:f>
        <x:v>748.8000000000011</x:v>
      </x:c>
      <x:c r="T2535" t="str">
        <x:v>Bank Transfer</x:v>
      </x:c>
      <x:c r="U2535" t="str">
        <x:v>Pending</x:v>
      </x:c>
      <x:c r="V2535" t="str">
        <x:v>Delivered</x:v>
      </x:c>
      <x:c r="W2535" t="n">
        <x:v>0</x:v>
      </x:c>
      <x:c r="X2535" t="str"/>
      <x:c r="Y2535" t="str">
        <x:v>Referral</x:v>
      </x:c>
    </x:row>
    <x:row r="2536">
      <x:c r="A2536" t="str">
        <x:v>O002535</x:v>
      </x:c>
      <x:c r="B2536" s="20" t="n">
        <x:v>45782</x:v>
      </x:c>
      <x:c r="C2536" t="str">
        <x:v>C0104</x:v>
      </x:c>
      <x:c r="D2536" t="str">
        <x:v>Shree Foods 104</x:v>
      </x:c>
      <x:c r="E2536" t="str">
        <x:v>Cafe</x:v>
      </x:c>
      <x:c r="F2536" t="str">
        <x:v>Mangaluru</x:v>
      </x:c>
      <x:c r="G2536" t="str">
        <x:v>Megha</x:v>
      </x:c>
      <x:c r="H2536" t="str">
        <x:v>P003</x:v>
      </x:c>
      <x:c r="I2536" t="str">
        <x:v>Basmati Rice 5kg</x:v>
      </x:c>
      <x:c r="J2536" t="str">
        <x:v>Staples</x:v>
      </x:c>
      <x:c r="K2536" t="str">
        <x:v>India Gate</x:v>
      </x:c>
      <x:c r="L2536" s="22" t="n">
        <x:v>690</x:v>
      </x:c>
      <x:c r="M2536" t="n">
        <x:v>35</x:v>
      </x:c>
      <x:c r="N2536" s="24" t="n">
        <x:v>0.02</x:v>
      </x:c>
      <x:c r="O2536" s="22" t="n">
        <x:f>L2536*M2536</x:f>
        <x:v>24150</x:v>
      </x:c>
      <x:c r="P2536" s="22" t="n">
        <x:f>O2536*(1-N2536)</x:f>
        <x:v>23667</x:v>
      </x:c>
      <x:c r="Q2536" s="22" t="n">
        <x:v>610</x:v>
      </x:c>
      <x:c r="R2536" s="22" t="n">
        <x:f>Q2536*M2536</x:f>
        <x:v>21350</x:v>
      </x:c>
      <x:c r="S2536" s="22" t="n">
        <x:f>P2536-R2536</x:f>
        <x:v>2317</x:v>
      </x:c>
      <x:c r="T2536" t="str">
        <x:v>Cash</x:v>
      </x:c>
      <x:c r="U2536" t="str">
        <x:v>Paid</x:v>
      </x:c>
      <x:c r="V2536" t="str">
        <x:v>Delivered</x:v>
      </x:c>
      <x:c r="W2536" t="n">
        <x:v>0</x:v>
      </x:c>
      <x:c r="X2536" t="str"/>
      <x:c r="Y2536" t="str">
        <x:v>Existing Customer</x:v>
      </x:c>
    </x:row>
    <x:row r="2537">
      <x:c r="A2537" t="str">
        <x:v>O002536</x:v>
      </x:c>
      <x:c r="B2537" s="20" t="n">
        <x:v>45979</x:v>
      </x:c>
      <x:c r="C2537" t="str">
        <x:v>C0060</x:v>
      </x:c>
      <x:c r="D2537" t="str">
        <x:v>Sagar Stores 60</x:v>
      </x:c>
      <x:c r="E2537" t="str">
        <x:v>Cafe</x:v>
      </x:c>
      <x:c r="F2537" t="str">
        <x:v>Hubballi</x:v>
      </x:c>
      <x:c r="G2537" t="str">
        <x:v>Imran</x:v>
      </x:c>
      <x:c r="H2537" t="str">
        <x:v>P007</x:v>
      </x:c>
      <x:c r="I2537" t="str">
        <x:v>Sunflower Oil 15L</x:v>
      </x:c>
      <x:c r="J2537" t="str">
        <x:v>Edible Oil</x:v>
      </x:c>
      <x:c r="K2537" t="str">
        <x:v>Fortune</x:v>
      </x:c>
      <x:c r="L2537" s="22" t="n">
        <x:v>1980</x:v>
      </x:c>
      <x:c r="M2537" t="n">
        <x:v>4</x:v>
      </x:c>
      <x:c r="N2537" s="24" t="n">
        <x:v>0.05</x:v>
      </x:c>
      <x:c r="O2537" s="22" t="n">
        <x:f>L2537*M2537</x:f>
        <x:v>7920</x:v>
      </x:c>
      <x:c r="P2537" s="22" t="n">
        <x:f>O2537*(1-N2537)</x:f>
        <x:v>7524</x:v>
      </x:c>
      <x:c r="Q2537" s="22" t="n">
        <x:v>1810</x:v>
      </x:c>
      <x:c r="R2537" s="22" t="n">
        <x:f>Q2537*M2537</x:f>
        <x:v>7240</x:v>
      </x:c>
      <x:c r="S2537" s="22" t="n">
        <x:f>P2537-R2537</x:f>
        <x:v>284</x:v>
      </x:c>
      <x:c r="T2537" t="str">
        <x:v>Bank Transfer</x:v>
      </x:c>
      <x:c r="U2537" t="str">
        <x:v>Paid</x:v>
      </x:c>
      <x:c r="V2537" t="str">
        <x:v>Delivered</x:v>
      </x:c>
      <x:c r="W2537" t="n">
        <x:v>0</x:v>
      </x:c>
      <x:c r="X2537" t="str"/>
      <x:c r="Y2537" t="str">
        <x:v>Existing Customer</x:v>
      </x:c>
    </x:row>
    <x:row r="2538">
      <x:c r="A2538" t="str">
        <x:v>O002537</x:v>
      </x:c>
      <x:c r="B2538" s="20" t="n">
        <x:v>45705</x:v>
      </x:c>
      <x:c r="C2538" t="str">
        <x:v>C0087</x:v>
      </x:c>
      <x:c r="D2538" t="str">
        <x:v>Namma Kitchen 87</x:v>
      </x:c>
      <x:c r="E2538" t="str">
        <x:v>Kirana</x:v>
      </x:c>
      <x:c r="F2538" t="str">
        <x:v>Bengaluru</x:v>
      </x:c>
      <x:c r="G2538" t="str">
        <x:v>Priya</x:v>
      </x:c>
      <x:c r="H2538" t="str">
        <x:v>P050</x:v>
      </x:c>
      <x:c r="I2538" t="str">
        <x:v>Lemon 5kg</x:v>
      </x:c>
      <x:c r="J2538" t="str">
        <x:v>Fresh Produce</x:v>
      </x:c>
      <x:c r="K2538" t="str">
        <x:v>Local Market</x:v>
      </x:c>
      <x:c r="L2538" s="22" t="n">
        <x:v>360</x:v>
      </x:c>
      <x:c r="M2538" t="n">
        <x:v>38</x:v>
      </x:c>
      <x:c r="N2538" s="24" t="n">
        <x:v>0.03</x:v>
      </x:c>
      <x:c r="O2538" s="22" t="n">
        <x:f>L2538*M2538</x:f>
        <x:v>13680</x:v>
      </x:c>
      <x:c r="P2538" s="22" t="n">
        <x:f>O2538*(1-N2538)</x:f>
        <x:v>13269.6</x:v>
      </x:c>
      <x:c r="Q2538" s="22" t="n">
        <x:v>300</x:v>
      </x:c>
      <x:c r="R2538" s="22" t="n">
        <x:f>Q2538*M2538</x:f>
        <x:v>11400</x:v>
      </x:c>
      <x:c r="S2538" s="22" t="n">
        <x:f>P2538-R2538</x:f>
        <x:v>1869.6000000000004</x:v>
      </x:c>
      <x:c r="T2538" t="str">
        <x:v>Cash</x:v>
      </x:c>
      <x:c r="U2538" t="str">
        <x:v>Paid</x:v>
      </x:c>
      <x:c r="V2538" t="str">
        <x:v>Delayed</x:v>
      </x:c>
      <x:c r="W2538" t="n">
        <x:v>0</x:v>
      </x:c>
      <x:c r="X2538" t="str"/>
      <x:c r="Y2538" t="str">
        <x:v>Existing Customer</x:v>
      </x:c>
    </x:row>
    <x:row r="2539">
      <x:c r="A2539" t="str">
        <x:v>O002538</x:v>
      </x:c>
      <x:c r="B2539" s="20" t="n">
        <x:v>45690</x:v>
      </x:c>
      <x:c r="C2539" t="str">
        <x:v>C0162</x:v>
      </x:c>
      <x:c r="D2539" t="str">
        <x:v>Udupi Foods 162</x:v>
      </x:c>
      <x:c r="E2539" t="str">
        <x:v>Restaurant</x:v>
      </x:c>
      <x:c r="F2539" t="str">
        <x:v>Mysuru</x:v>
      </x:c>
      <x:c r="G2539" t="str">
        <x:v>Ramesh</x:v>
      </x:c>
      <x:c r="H2539" t="str">
        <x:v>P018</x:v>
      </x:c>
      <x:c r="I2539" t="str">
        <x:v>Paneer 1kg</x:v>
      </x:c>
      <x:c r="J2539" t="str">
        <x:v>Dairy</x:v>
      </x:c>
      <x:c r="K2539" t="str">
        <x:v>Milky Mist</x:v>
      </x:c>
      <x:c r="L2539" s="22" t="n">
        <x:v>410</x:v>
      </x:c>
      <x:c r="M2539" t="n">
        <x:v>36</x:v>
      </x:c>
      <x:c r="N2539" s="24" t="n">
        <x:v>0.1</x:v>
      </x:c>
      <x:c r="O2539" s="22" t="n">
        <x:f>L2539*M2539</x:f>
        <x:v>14760</x:v>
      </x:c>
      <x:c r="P2539" s="22" t="n">
        <x:f>O2539*(1-N2539)</x:f>
        <x:v>13284</x:v>
      </x:c>
      <x:c r="Q2539" s="22" t="n">
        <x:v>370</x:v>
      </x:c>
      <x:c r="R2539" s="22" t="n">
        <x:f>Q2539*M2539</x:f>
        <x:v>13320</x:v>
      </x:c>
      <x:c r="S2539" s="22" t="n">
        <x:f>P2539-R2539</x:f>
        <x:v>-36</x:v>
      </x:c>
      <x:c r="T2539" t="str">
        <x:v>Bank Transfer</x:v>
      </x:c>
      <x:c r="U2539" t="str">
        <x:v>Paid</x:v>
      </x:c>
      <x:c r="V2539" t="str">
        <x:v>Delivered</x:v>
      </x:c>
      <x:c r="W2539" t="n">
        <x:v>0</x:v>
      </x:c>
      <x:c r="X2539" t="str"/>
      <x:c r="Y2539" t="str">
        <x:v>Referral</x:v>
      </x:c>
    </x:row>
    <x:row r="2540">
      <x:c r="A2540" t="str">
        <x:v>O002539</x:v>
      </x:c>
      <x:c r="B2540" s="20" t="n">
        <x:v>45753</x:v>
      </x:c>
      <x:c r="C2540" t="str">
        <x:v>C0243</x:v>
      </x:c>
      <x:c r="D2540" t="str">
        <x:v>Metro Kitchen 243</x:v>
      </x:c>
      <x:c r="E2540" t="str">
        <x:v>Restaurant</x:v>
      </x:c>
      <x:c r="F2540" t="str">
        <x:v>Mangaluru</x:v>
      </x:c>
      <x:c r="G2540" t="str">
        <x:v>Kavya</x:v>
      </x:c>
      <x:c r="H2540" t="str">
        <x:v>P049</x:v>
      </x:c>
      <x:c r="I2540" t="str">
        <x:v>Apple 10kg</x:v>
      </x:c>
      <x:c r="J2540" t="str">
        <x:v>Fresh Produce</x:v>
      </x:c>
      <x:c r="K2540" t="str">
        <x:v>Local Market</x:v>
      </x:c>
      <x:c r="L2540" s="22" t="n">
        <x:v>1450</x:v>
      </x:c>
      <x:c r="M2540" t="n">
        <x:v>7</x:v>
      </x:c>
      <x:c r="N2540" s="24" t="n">
        <x:v>0.03</x:v>
      </x:c>
      <x:c r="O2540" s="22" t="n">
        <x:f>L2540*M2540</x:f>
        <x:v>10150</x:v>
      </x:c>
      <x:c r="P2540" s="22" t="n">
        <x:f>O2540*(1-N2540)</x:f>
        <x:v>9845.5</x:v>
      </x:c>
      <x:c r="Q2540" s="22" t="n">
        <x:v>1280</x:v>
      </x:c>
      <x:c r="R2540" s="22" t="n">
        <x:f>Q2540*M2540</x:f>
        <x:v>8960</x:v>
      </x:c>
      <x:c r="S2540" s="22" t="n">
        <x:f>P2540-R2540</x:f>
        <x:v>885.5</x:v>
      </x:c>
      <x:c r="T2540" t="str">
        <x:v>UPI</x:v>
      </x:c>
      <x:c r="U2540" t="str">
        <x:v>Pending</x:v>
      </x:c>
      <x:c r="V2540" t="str">
        <x:v>Delivered</x:v>
      </x:c>
      <x:c r="W2540" t="n">
        <x:v>0</x:v>
      </x:c>
      <x:c r="X2540" t="str"/>
      <x:c r="Y2540" t="str">
        <x:v>WhatsApp</x:v>
      </x:c>
    </x:row>
    <x:row r="2541">
      <x:c r="A2541" t="str">
        <x:v>O002540</x:v>
      </x:c>
      <x:c r="B2541" s="20" t="n">
        <x:v>45687</x:v>
      </x:c>
      <x:c r="C2541" t="str">
        <x:v>C0110</x:v>
      </x:c>
      <x:c r="D2541" t="str">
        <x:v>Metro Restaurant 110</x:v>
      </x:c>
      <x:c r="E2541" t="str">
        <x:v>Hotel</x:v>
      </x:c>
      <x:c r="F2541" t="str">
        <x:v>Mysuru</x:v>
      </x:c>
      <x:c r="G2541" t="str">
        <x:v>Imran</x:v>
      </x:c>
      <x:c r="H2541" t="str">
        <x:v>P029</x:v>
      </x:c>
      <x:c r="I2541" t="str">
        <x:v>Tomato Ketchup 1kg</x:v>
      </x:c>
      <x:c r="J2541" t="str">
        <x:v>Condiments</x:v>
      </x:c>
      <x:c r="K2541" t="str">
        <x:v>Kissan</x:v>
      </x:c>
      <x:c r="L2541" s="22" t="n">
        <x:v>145</x:v>
      </x:c>
      <x:c r="M2541" t="n">
        <x:v>31</x:v>
      </x:c>
      <x:c r="N2541" s="24" t="n">
        <x:v>0.05</x:v>
      </x:c>
      <x:c r="O2541" s="22" t="n">
        <x:f>L2541*M2541</x:f>
        <x:v>4495</x:v>
      </x:c>
      <x:c r="P2541" s="22" t="n">
        <x:f>O2541*(1-N2541)</x:f>
        <x:v>4270.25</x:v>
      </x:c>
      <x:c r="Q2541" s="22" t="n">
        <x:v>126</x:v>
      </x:c>
      <x:c r="R2541" s="22" t="n">
        <x:f>Q2541*M2541</x:f>
        <x:v>3906</x:v>
      </x:c>
      <x:c r="S2541" s="22" t="n">
        <x:f>P2541-R2541</x:f>
        <x:v>364.25</x:v>
      </x:c>
      <x:c r="T2541" t="str">
        <x:v>UPI</x:v>
      </x:c>
      <x:c r="U2541" t="str">
        <x:v>Paid</x:v>
      </x:c>
      <x:c r="V2541" t="str">
        <x:v>Delivered</x:v>
      </x:c>
      <x:c r="W2541" t="n">
        <x:v>0</x:v>
      </x:c>
      <x:c r="X2541" t="str"/>
      <x:c r="Y2541" t="str">
        <x:v>Outbound Call</x:v>
      </x:c>
    </x:row>
    <x:row r="2542">
      <x:c r="A2542" t="str">
        <x:v>O002541</x:v>
      </x:c>
      <x:c r="B2542" s="20" t="n">
        <x:v>45793</x:v>
      </x:c>
      <x:c r="C2542" t="str">
        <x:v>C0047</x:v>
      </x:c>
      <x:c r="D2542" t="str">
        <x:v>Shree Restaurant 47</x:v>
      </x:c>
      <x:c r="E2542" t="str">
        <x:v>Canteen</x:v>
      </x:c>
      <x:c r="F2542" t="str">
        <x:v>Davanagere</x:v>
      </x:c>
      <x:c r="G2542" t="str">
        <x:v>Arjun</x:v>
      </x:c>
      <x:c r="H2542" t="str">
        <x:v>P020</x:v>
      </x:c>
      <x:c r="I2542" t="str">
        <x:v>Coffee 500g</x:v>
      </x:c>
      <x:c r="J2542" t="str">
        <x:v>Beverage</x:v>
      </x:c>
      <x:c r="K2542" t="str">
        <x:v>Bru</x:v>
      </x:c>
      <x:c r="L2542" s="22" t="n">
        <x:v>390</x:v>
      </x:c>
      <x:c r="M2542" t="n">
        <x:v>11</x:v>
      </x:c>
      <x:c r="N2542" s="24" t="n">
        <x:v>0.05</x:v>
      </x:c>
      <x:c r="O2542" s="22" t="n">
        <x:f>L2542*M2542</x:f>
        <x:v>4290</x:v>
      </x:c>
      <x:c r="P2542" s="22" t="n">
        <x:f>O2542*(1-N2542)</x:f>
        <x:v>4075.5</x:v>
      </x:c>
      <x:c r="Q2542" s="22" t="n">
        <x:v>350</x:v>
      </x:c>
      <x:c r="R2542" s="22" t="n">
        <x:f>Q2542*M2542</x:f>
        <x:v>3850</x:v>
      </x:c>
      <x:c r="S2542" s="22" t="n">
        <x:f>P2542-R2542</x:f>
        <x:v>225.5</x:v>
      </x:c>
      <x:c r="T2542" t="str">
        <x:v>Cash</x:v>
      </x:c>
      <x:c r="U2542" t="str">
        <x:v>Paid</x:v>
      </x:c>
      <x:c r="V2542" t="str">
        <x:v>Delayed</x:v>
      </x:c>
      <x:c r="W2542" t="n">
        <x:v>0</x:v>
      </x:c>
      <x:c r="X2542" t="str"/>
      <x:c r="Y2542" t="str">
        <x:v>Existing Customer</x:v>
      </x:c>
    </x:row>
    <x:row r="2543">
      <x:c r="A2543" t="str">
        <x:v>O002542</x:v>
      </x:c>
      <x:c r="B2543" s="20" t="n">
        <x:v>45893</x:v>
      </x:c>
      <x:c r="C2543" t="str">
        <x:v>C0215</x:v>
      </x:c>
      <x:c r="D2543" t="str">
        <x:v>Annapurna Restaurant 215</x:v>
      </x:c>
      <x:c r="E2543" t="str">
        <x:v>Supermarket</x:v>
      </x:c>
      <x:c r="F2543" t="str">
        <x:v>Bengaluru</x:v>
      </x:c>
      <x:c r="G2543" t="str">
        <x:v>Vikram</x:v>
      </x:c>
      <x:c r="H2543" t="str">
        <x:v>P047</x:v>
      </x:c>
      <x:c r="I2543" t="str">
        <x:v>Tomato 25kg</x:v>
      </x:c>
      <x:c r="J2543" t="str">
        <x:v>Fresh Produce</x:v>
      </x:c>
      <x:c r="K2543" t="str">
        <x:v>Local Market</x:v>
      </x:c>
      <x:c r="L2543" s="22" t="n">
        <x:v>950</x:v>
      </x:c>
      <x:c r="M2543" t="n">
        <x:v>4</x:v>
      </x:c>
      <x:c r="N2543" s="24" t="n">
        <x:v>0.03</x:v>
      </x:c>
      <x:c r="O2543" s="22" t="n">
        <x:f>L2543*M2543</x:f>
        <x:v>3800</x:v>
      </x:c>
      <x:c r="P2543" s="22" t="n">
        <x:f>O2543*(1-N2543)</x:f>
        <x:v>3686</x:v>
      </x:c>
      <x:c r="Q2543" s="22" t="n">
        <x:v>810</x:v>
      </x:c>
      <x:c r="R2543" s="22" t="n">
        <x:f>Q2543*M2543</x:f>
        <x:v>3240</x:v>
      </x:c>
      <x:c r="S2543" s="22" t="n">
        <x:f>P2543-R2543</x:f>
        <x:v>446</x:v>
      </x:c>
      <x:c r="T2543" t="str">
        <x:v>Bank Transfer</x:v>
      </x:c>
      <x:c r="U2543" t="str">
        <x:v>Paid</x:v>
      </x:c>
      <x:c r="V2543" t="str">
        <x:v>Delivered</x:v>
      </x:c>
      <x:c r="W2543" t="n">
        <x:v>0</x:v>
      </x:c>
      <x:c r="X2543" t="str"/>
      <x:c r="Y2543" t="str">
        <x:v>Field Visit</x:v>
      </x:c>
    </x:row>
    <x:row r="2544">
      <x:c r="A2544" t="str">
        <x:v>O002543</x:v>
      </x:c>
      <x:c r="B2544" s="20" t="n">
        <x:v>45760</x:v>
      </x:c>
      <x:c r="C2544" t="str">
        <x:v>C0025</x:v>
      </x:c>
      <x:c r="D2544" t="str">
        <x:v>Sri Cafe 25</x:v>
      </x:c>
      <x:c r="E2544" t="str">
        <x:v>Hotel</x:v>
      </x:c>
      <x:c r="F2544" t="str">
        <x:v>Mysuru</x:v>
      </x:c>
      <x:c r="G2544" t="str">
        <x:v>Kavya</x:v>
      </x:c>
      <x:c r="H2544" t="str">
        <x:v>P035</x:v>
      </x:c>
      <x:c r="I2544" t="str">
        <x:v>Coriander Powder 1kg</x:v>
      </x:c>
      <x:c r="J2544" t="str">
        <x:v>Spices</x:v>
      </x:c>
      <x:c r="K2544" t="str">
        <x:v>Everest</x:v>
      </x:c>
      <x:c r="L2544" s="22" t="n">
        <x:v>280</x:v>
      </x:c>
      <x:c r="M2544" t="n">
        <x:v>20</x:v>
      </x:c>
      <x:c r="N2544" s="24" t="n">
        <x:v>0.02</x:v>
      </x:c>
      <x:c r="O2544" s="22" t="n">
        <x:f>L2544*M2544</x:f>
        <x:v>5600</x:v>
      </x:c>
      <x:c r="P2544" s="22" t="n">
        <x:f>O2544*(1-N2544)</x:f>
        <x:v>5488</x:v>
      </x:c>
      <x:c r="Q2544" s="22" t="n">
        <x:v>245</x:v>
      </x:c>
      <x:c r="R2544" s="22" t="n">
        <x:f>Q2544*M2544</x:f>
        <x:v>4900</x:v>
      </x:c>
      <x:c r="S2544" s="22" t="n">
        <x:f>P2544-R2544</x:f>
        <x:v>588</x:v>
      </x:c>
      <x:c r="T2544" t="str">
        <x:v>Bank Transfer</x:v>
      </x:c>
      <x:c r="U2544" t="str">
        <x:v>Paid</x:v>
      </x:c>
      <x:c r="V2544" t="str">
        <x:v>Delayed</x:v>
      </x:c>
      <x:c r="W2544" t="n">
        <x:v>0</x:v>
      </x:c>
      <x:c r="X2544" t="str"/>
      <x:c r="Y2544" t="str">
        <x:v>Field Visit</x:v>
      </x:c>
    </x:row>
    <x:row r="2545">
      <x:c r="A2545" t="str">
        <x:v>O002544</x:v>
      </x:c>
      <x:c r="B2545" s="20" t="n">
        <x:v>45819</x:v>
      </x:c>
      <x:c r="C2545" t="str">
        <x:v>C0172</x:v>
      </x:c>
      <x:c r="D2545" t="str">
        <x:v>Annapurna Stores 172</x:v>
      </x:c>
      <x:c r="E2545" t="str">
        <x:v>Restaurant</x:v>
      </x:c>
      <x:c r="F2545" t="str">
        <x:v>Mangaluru</x:v>
      </x:c>
      <x:c r="G2545" t="str">
        <x:v>Megha</x:v>
      </x:c>
      <x:c r="H2545" t="str">
        <x:v>P002</x:v>
      </x:c>
      <x:c r="I2545" t="str">
        <x:v>Sona Masoori Rice 25kg</x:v>
      </x:c>
      <x:c r="J2545" t="str">
        <x:v>Staples</x:v>
      </x:c>
      <x:c r="K2545" t="str">
        <x:v>Fortune</x:v>
      </x:c>
      <x:c r="L2545" s="22" t="n">
        <x:v>1320</x:v>
      </x:c>
      <x:c r="M2545" t="n">
        <x:v>4</x:v>
      </x:c>
      <x:c r="N2545" s="24" t="n">
        <x:v>0.05</x:v>
      </x:c>
      <x:c r="O2545" s="22" t="n">
        <x:f>L2545*M2545</x:f>
        <x:v>5280</x:v>
      </x:c>
      <x:c r="P2545" s="22" t="n">
        <x:f>O2545*(1-N2545)</x:f>
        <x:v>5016</x:v>
      </x:c>
      <x:c r="Q2545" s="22" t="n">
        <x:v>1160</x:v>
      </x:c>
      <x:c r="R2545" s="22" t="n">
        <x:f>Q2545*M2545</x:f>
        <x:v>4640</x:v>
      </x:c>
      <x:c r="S2545" s="22" t="n">
        <x:f>P2545-R2545</x:f>
        <x:v>376</x:v>
      </x:c>
      <x:c r="T2545" t="str">
        <x:v>Cash</x:v>
      </x:c>
      <x:c r="U2545" t="str">
        <x:v>Paid</x:v>
      </x:c>
      <x:c r="V2545" t="str">
        <x:v>Delayed</x:v>
      </x:c>
      <x:c r="W2545" t="n">
        <x:v>0</x:v>
      </x:c>
      <x:c r="X2545" t="str"/>
      <x:c r="Y2545" t="str">
        <x:v>Field Visit</x:v>
      </x:c>
    </x:row>
    <x:row r="2546">
      <x:c r="A2546" t="str">
        <x:v>O002545</x:v>
      </x:c>
      <x:c r="B2546" s="20" t="n">
        <x:v>45751</x:v>
      </x:c>
      <x:c r="C2546" t="str">
        <x:v>C0090</x:v>
      </x:c>
      <x:c r="D2546" t="str">
        <x:v>Shree Mart 90</x:v>
      </x:c>
      <x:c r="E2546" t="str">
        <x:v>Restaurant</x:v>
      </x:c>
      <x:c r="F2546" t="str">
        <x:v>Davanagere</x:v>
      </x:c>
      <x:c r="G2546" t="str">
        <x:v>Megha</x:v>
      </x:c>
      <x:c r="H2546" t="str">
        <x:v>P045</x:v>
      </x:c>
      <x:c r="I2546" t="str">
        <x:v>Onion 25kg</x:v>
      </x:c>
      <x:c r="J2546" t="str">
        <x:v>Fresh Produce</x:v>
      </x:c>
      <x:c r="K2546" t="str">
        <x:v>Local Market</x:v>
      </x:c>
      <x:c r="L2546" s="22" t="n">
        <x:v>875</x:v>
      </x:c>
      <x:c r="M2546" t="n">
        <x:v>8</x:v>
      </x:c>
      <x:c r="N2546" s="24" t="n">
        <x:v>0.05</x:v>
      </x:c>
      <x:c r="O2546" s="22" t="n">
        <x:f>L2546*M2546</x:f>
        <x:v>7000</x:v>
      </x:c>
      <x:c r="P2546" s="22" t="n">
        <x:f>O2546*(1-N2546)</x:f>
        <x:v>6650</x:v>
      </x:c>
      <x:c r="Q2546" s="22" t="n">
        <x:v>760</x:v>
      </x:c>
      <x:c r="R2546" s="22" t="n">
        <x:f>Q2546*M2546</x:f>
        <x:v>6080</x:v>
      </x:c>
      <x:c r="S2546" s="22" t="n">
        <x:f>P2546-R2546</x:f>
        <x:v>570</x:v>
      </x:c>
      <x:c r="T2546" t="str">
        <x:v>Credit</x:v>
      </x:c>
      <x:c r="U2546" t="str">
        <x:v>Paid</x:v>
      </x:c>
      <x:c r="V2546" t="str">
        <x:v>Delivered</x:v>
      </x:c>
      <x:c r="W2546" t="n">
        <x:v>0</x:v>
      </x:c>
      <x:c r="X2546" t="str"/>
      <x:c r="Y2546" t="str"/>
    </x:row>
    <x:row r="2547">
      <x:c r="A2547" t="str">
        <x:v>O002546</x:v>
      </x:c>
      <x:c r="B2547" s="20" t="n">
        <x:v>45949</x:v>
      </x:c>
      <x:c r="C2547" t="str">
        <x:v>C0206</x:v>
      </x:c>
      <x:c r="D2547" t="str">
        <x:v>Grand Kitchen 206</x:v>
      </x:c>
      <x:c r="E2547" t="str">
        <x:v>Kirana</x:v>
      </x:c>
      <x:c r="F2547" t="str">
        <x:v>Mysuru</x:v>
      </x:c>
      <x:c r="G2547" t="str">
        <x:v>Arjun</x:v>
      </x:c>
      <x:c r="H2547" t="str">
        <x:v>P037</x:v>
      </x:c>
      <x:c r="I2547" t="str">
        <x:v>Frozen Peas 1kg</x:v>
      </x:c>
      <x:c r="J2547" t="str">
        <x:v>Frozen</x:v>
      </x:c>
      <x:c r="K2547" t="str">
        <x:v>Safal</x:v>
      </x:c>
      <x:c r="L2547" s="22" t="n">
        <x:v>155</x:v>
      </x:c>
      <x:c r="M2547" t="n">
        <x:v>7</x:v>
      </x:c>
      <x:c r="N2547" s="24" t="n">
        <x:v>0.02</x:v>
      </x:c>
      <x:c r="O2547" s="22" t="n">
        <x:f>L2547*M2547</x:f>
        <x:v>1085</x:v>
      </x:c>
      <x:c r="P2547" s="22" t="n">
        <x:f>O2547*(1-N2547)</x:f>
        <x:v>1063.3</x:v>
      </x:c>
      <x:c r="Q2547" s="22" t="n">
        <x:v>138</x:v>
      </x:c>
      <x:c r="R2547" s="22" t="n">
        <x:f>Q2547*M2547</x:f>
        <x:v>966</x:v>
      </x:c>
      <x:c r="S2547" s="22" t="n">
        <x:f>P2547-R2547</x:f>
        <x:v>97.29999999999995</x:v>
      </x:c>
      <x:c r="T2547" t="str">
        <x:v>Cash</x:v>
      </x:c>
      <x:c r="U2547" t="str">
        <x:v>Paid</x:v>
      </x:c>
      <x:c r="V2547" t="str">
        <x:v>Delayed</x:v>
      </x:c>
      <x:c r="W2547" t="n">
        <x:v>0</x:v>
      </x:c>
      <x:c r="X2547" t="str"/>
      <x:c r="Y2547" t="str">
        <x:v>Existing Customer</x:v>
      </x:c>
    </x:row>
    <x:row r="2548">
      <x:c r="A2548" t="str">
        <x:v>O002547</x:v>
      </x:c>
      <x:c r="B2548" s="20" t="n">
        <x:v>46136</x:v>
      </x:c>
      <x:c r="C2548" t="str">
        <x:v>C0230</x:v>
      </x:c>
      <x:c r="D2548" t="str">
        <x:v>Darshini Foods 230</x:v>
      </x:c>
      <x:c r="E2548" t="str">
        <x:v>Restaurant</x:v>
      </x:c>
      <x:c r="F2548" t="str">
        <x:v>Davanagere</x:v>
      </x:c>
      <x:c r="G2548" t="str">
        <x:v>Priya</x:v>
      </x:c>
      <x:c r="H2548" t="str">
        <x:v>P013</x:v>
      </x:c>
      <x:c r="I2548" t="str">
        <x:v>Atta 10kg</x:v>
      </x:c>
      <x:c r="J2548" t="str">
        <x:v>Flour</x:v>
      </x:c>
      <x:c r="K2548" t="str">
        <x:v>Aashirvaad</x:v>
      </x:c>
      <x:c r="L2548" s="22" t="n">
        <x:v>560</x:v>
      </x:c>
      <x:c r="M2548" t="n">
        <x:v>3</x:v>
      </x:c>
      <x:c r="N2548" s="24" t="n">
        <x:v>0.02</x:v>
      </x:c>
      <x:c r="O2548" s="22" t="n">
        <x:f>L2548*M2548</x:f>
        <x:v>1680</x:v>
      </x:c>
      <x:c r="P2548" s="22" t="n">
        <x:f>O2548*(1-N2548)</x:f>
        <x:v>1646.3999999999999</x:v>
      </x:c>
      <x:c r="Q2548" s="22" t="n">
        <x:v>495</x:v>
      </x:c>
      <x:c r="R2548" s="22" t="n">
        <x:f>Q2548*M2548</x:f>
        <x:v>1485</x:v>
      </x:c>
      <x:c r="S2548" s="22" t="n">
        <x:f>P2548-R2548</x:f>
        <x:v>161.39999999999986</x:v>
      </x:c>
      <x:c r="T2548" t="str">
        <x:v>Bank Transfer</x:v>
      </x:c>
      <x:c r="U2548" t="str">
        <x:v>Paid</x:v>
      </x:c>
      <x:c r="V2548" t="str">
        <x:v>Delivered</x:v>
      </x:c>
      <x:c r="W2548" t="n">
        <x:v>0</x:v>
      </x:c>
      <x:c r="X2548" t="str"/>
      <x:c r="Y2548" t="str">
        <x:v>Existing Customer</x:v>
      </x:c>
    </x:row>
    <x:row r="2549">
      <x:c r="A2549" t="str">
        <x:v>O002548</x:v>
      </x:c>
      <x:c r="B2549" s="20" t="n">
        <x:v>46052</x:v>
      </x:c>
      <x:c r="C2549" t="str">
        <x:v>C0233</x:v>
      </x:c>
      <x:c r="D2549" t="str">
        <x:v>Shree Mart 233</x:v>
      </x:c>
      <x:c r="E2549" t="str">
        <x:v>Kirana</x:v>
      </x:c>
      <x:c r="F2549" t="str">
        <x:v>Mangaluru</x:v>
      </x:c>
      <x:c r="G2549" t="str">
        <x:v>Priya</x:v>
      </x:c>
      <x:c r="H2549" t="str">
        <x:v>P012</x:v>
      </x:c>
      <x:c r="I2549" t="str">
        <x:v>Maida 10kg</x:v>
      </x:c>
      <x:c r="J2549" t="str">
        <x:v>Flour</x:v>
      </x:c>
      <x:c r="K2549" t="str">
        <x:v>Aashirvaad</x:v>
      </x:c>
      <x:c r="L2549" s="22" t="n">
        <x:v>520</x:v>
      </x:c>
      <x:c r="M2549" t="n">
        <x:v>5</x:v>
      </x:c>
      <x:c r="N2549" s="24" t="n">
        <x:v>0.05</x:v>
      </x:c>
      <x:c r="O2549" s="22" t="n">
        <x:f>L2549*M2549</x:f>
        <x:v>2600</x:v>
      </x:c>
      <x:c r="P2549" s="22" t="n">
        <x:f>O2549*(1-N2549)</x:f>
        <x:v>2470</x:v>
      </x:c>
      <x:c r="Q2549" s="22" t="n">
        <x:v>460</x:v>
      </x:c>
      <x:c r="R2549" s="22" t="n">
        <x:f>Q2549*M2549</x:f>
        <x:v>2300</x:v>
      </x:c>
      <x:c r="S2549" s="22" t="n">
        <x:f>P2549-R2549</x:f>
        <x:v>170</x:v>
      </x:c>
      <x:c r="T2549" t="str">
        <x:v>UPI</x:v>
      </x:c>
      <x:c r="U2549" t="str">
        <x:v>Paid</x:v>
      </x:c>
      <x:c r="V2549" t="str">
        <x:v>Delivered</x:v>
      </x:c>
      <x:c r="W2549" t="n">
        <x:v>0</x:v>
      </x:c>
      <x:c r="X2549" t="str"/>
      <x:c r="Y2549" t="str">
        <x:v>Field Visit</x:v>
      </x:c>
    </x:row>
    <x:row r="2550">
      <x:c r="A2550" t="str">
        <x:v>O002549</x:v>
      </x:c>
      <x:c r="B2550" s="20" t="n">
        <x:v>46249</x:v>
      </x:c>
      <x:c r="C2550" t="str">
        <x:v>C0047</x:v>
      </x:c>
      <x:c r="D2550" t="str">
        <x:v>Shree Restaurant 47</x:v>
      </x:c>
      <x:c r="E2550" t="str">
        <x:v>Canteen</x:v>
      </x:c>
      <x:c r="F2550" t="str">
        <x:v>Davanagere</x:v>
      </x:c>
      <x:c r="G2550" t="str">
        <x:v>Arjun</x:v>
      </x:c>
      <x:c r="H2550" t="str">
        <x:v>P048</x:v>
      </x:c>
      <x:c r="I2550" t="str">
        <x:v>Banana 10kg</x:v>
      </x:c>
      <x:c r="J2550" t="str">
        <x:v>Fresh Produce</x:v>
      </x:c>
      <x:c r="K2550" t="str">
        <x:v>Local Market</x:v>
      </x:c>
      <x:c r="L2550" s="22" t="n">
        <x:v>420</x:v>
      </x:c>
      <x:c r="M2550" t="n">
        <x:v>38</x:v>
      </x:c>
      <x:c r="N2550" s="24" t="n">
        <x:v>0.1</x:v>
      </x:c>
      <x:c r="O2550" s="22" t="n">
        <x:f>L2550*M2550</x:f>
        <x:v>15960</x:v>
      </x:c>
      <x:c r="P2550" s="22" t="n">
        <x:f>O2550*(1-N2550)</x:f>
        <x:v>14364</x:v>
      </x:c>
      <x:c r="Q2550" s="22" t="n">
        <x:v>350</x:v>
      </x:c>
      <x:c r="R2550" s="22" t="n">
        <x:f>Q2550*M2550</x:f>
        <x:v>13300</x:v>
      </x:c>
      <x:c r="S2550" s="22" t="n">
        <x:f>P2550-R2550</x:f>
        <x:v>1064</x:v>
      </x:c>
      <x:c r="T2550" t="str">
        <x:v>UPI</x:v>
      </x:c>
      <x:c r="U2550" t="str">
        <x:v>Paid</x:v>
      </x:c>
      <x:c r="V2550" t="str">
        <x:v>Delivered</x:v>
      </x:c>
      <x:c r="W2550" t="n">
        <x:v>0</x:v>
      </x:c>
      <x:c r="X2550" t="str"/>
      <x:c r="Y2550" t="str">
        <x:v>WhatsApp</x:v>
      </x:c>
    </x:row>
    <x:row r="2551">
      <x:c r="A2551" t="str">
        <x:v>O002550</x:v>
      </x:c>
      <x:c r="B2551" s="20" t="n">
        <x:v>46091</x:v>
      </x:c>
      <x:c r="C2551" t="str">
        <x:v>C0111</x:v>
      </x:c>
      <x:c r="D2551" t="str">
        <x:v>Metro Kitchen 111</x:v>
      </x:c>
      <x:c r="E2551" t="str">
        <x:v>Restaurant</x:v>
      </x:c>
      <x:c r="F2551" t="str">
        <x:v>Davanagere</x:v>
      </x:c>
      <x:c r="G2551" t="str">
        <x:v>Sneha</x:v>
      </x:c>
      <x:c r="H2551" t="str">
        <x:v>P038</x:v>
      </x:c>
      <x:c r="I2551" t="str">
        <x:v>French Fries 2.5kg</x:v>
      </x:c>
      <x:c r="J2551" t="str">
        <x:v>Frozen</x:v>
      </x:c>
      <x:c r="K2551" t="str">
        <x:v>McCain</x:v>
      </x:c>
      <x:c r="L2551" s="22" t="n">
        <x:v>360</x:v>
      </x:c>
      <x:c r="M2551" t="n">
        <x:v>39</x:v>
      </x:c>
      <x:c r="N2551" s="24" t="n">
        <x:v>0</x:v>
      </x:c>
      <x:c r="O2551" s="22" t="n">
        <x:f>L2551*M2551</x:f>
        <x:v>14040</x:v>
      </x:c>
      <x:c r="P2551" s="22" t="n">
        <x:f>O2551*(1-N2551)</x:f>
        <x:v>14040</x:v>
      </x:c>
      <x:c r="Q2551" s="22" t="n">
        <x:v>315</x:v>
      </x:c>
      <x:c r="R2551" s="22" t="n">
        <x:f>Q2551*M2551</x:f>
        <x:v>12285</x:v>
      </x:c>
      <x:c r="S2551" s="22" t="n">
        <x:f>P2551-R2551</x:f>
        <x:v>1755</x:v>
      </x:c>
      <x:c r="T2551" t="str">
        <x:v>Bank Transfer</x:v>
      </x:c>
      <x:c r="U2551" t="str">
        <x:v>Paid</x:v>
      </x:c>
      <x:c r="V2551" t="str">
        <x:v>Delivered</x:v>
      </x:c>
      <x:c r="W2551" t="n">
        <x:v>0</x:v>
      </x:c>
      <x:c r="X2551" t="str"/>
      <x:c r="Y2551" t="str">
        <x:v>WhatsApp</x:v>
      </x:c>
    </x:row>
    <x:row r="2552">
      <x:c r="A2552" t="str">
        <x:v>O002551</x:v>
      </x:c>
      <x:c r="B2552" s="20" t="n">
        <x:v>45724</x:v>
      </x:c>
      <x:c r="C2552" t="str">
        <x:v>C0065</x:v>
      </x:c>
      <x:c r="D2552" t="str">
        <x:v>Mysore Stores 65</x:v>
      </x:c>
      <x:c r="E2552" t="str">
        <x:v>Kirana</x:v>
      </x:c>
      <x:c r="F2552" t="str">
        <x:v>Tumakuru</x:v>
      </x:c>
      <x:c r="G2552" t="str">
        <x:v>Sneha</x:v>
      </x:c>
      <x:c r="H2552" t="str">
        <x:v>P006</x:v>
      </x:c>
      <x:c r="I2552" t="str">
        <x:v>Moong Dal 5kg</x:v>
      </x:c>
      <x:c r="J2552" t="str">
        <x:v>Pulses</x:v>
      </x:c>
      <x:c r="K2552" t="str">
        <x:v>Local Select</x:v>
      </x:c>
      <x:c r="L2552" s="22" t="n">
        <x:v>610</x:v>
      </x:c>
      <x:c r="M2552" t="n">
        <x:v>35</x:v>
      </x:c>
      <x:c r="N2552" s="24" t="n">
        <x:v>0.05</x:v>
      </x:c>
      <x:c r="O2552" s="22" t="n">
        <x:f>L2552*M2552</x:f>
        <x:v>21350</x:v>
      </x:c>
      <x:c r="P2552" s="22" t="n">
        <x:f>O2552*(1-N2552)</x:f>
        <x:v>20282.5</x:v>
      </x:c>
      <x:c r="Q2552" s="22" t="n">
        <x:v>540</x:v>
      </x:c>
      <x:c r="R2552" s="22" t="n">
        <x:f>Q2552*M2552</x:f>
        <x:v>18900</x:v>
      </x:c>
      <x:c r="S2552" s="22" t="n">
        <x:f>P2552-R2552</x:f>
        <x:v>1382.5</x:v>
      </x:c>
      <x:c r="T2552" t="str">
        <x:v>Bank Transfer</x:v>
      </x:c>
      <x:c r="U2552" t="str">
        <x:v>Paid</x:v>
      </x:c>
      <x:c r="V2552" t="str">
        <x:v>Delivered</x:v>
      </x:c>
      <x:c r="W2552" t="n">
        <x:v>0</x:v>
      </x:c>
      <x:c r="X2552" t="str"/>
      <x:c r="Y2552" t="str">
        <x:v>Referral</x:v>
      </x:c>
    </x:row>
    <x:row r="2553">
      <x:c r="A2553" t="str">
        <x:v>O002552</x:v>
      </x:c>
      <x:c r="B2553" s="20" t="n">
        <x:v>45945</x:v>
      </x:c>
      <x:c r="C2553" t="str">
        <x:v>C0079</x:v>
      </x:c>
      <x:c r="D2553" t="str">
        <x:v>Foodie Foods 79</x:v>
      </x:c>
      <x:c r="E2553" t="str">
        <x:v>Cafe</x:v>
      </x:c>
      <x:c r="F2553" t="str">
        <x:v>Tumakuru</x:v>
      </x:c>
      <x:c r="G2553" t="str">
        <x:v>Ramesh</x:v>
      </x:c>
      <x:c r="H2553" t="str">
        <x:v>P009</x:v>
      </x:c>
      <x:c r="I2553" t="str">
        <x:v>Groundnut Oil 5L</x:v>
      </x:c>
      <x:c r="J2553" t="str">
        <x:v>Edible Oil</x:v>
      </x:c>
      <x:c r="K2553" t="str">
        <x:v>Dhara</x:v>
      </x:c>
      <x:c r="L2553" s="22" t="n">
        <x:v>890</x:v>
      </x:c>
      <x:c r="M2553" t="n">
        <x:v>10</x:v>
      </x:c>
      <x:c r="N2553" s="24" t="n">
        <x:v>0.02</x:v>
      </x:c>
      <x:c r="O2553" s="22" t="n">
        <x:f>L2553*M2553</x:f>
        <x:v>8900</x:v>
      </x:c>
      <x:c r="P2553" s="22" t="n">
        <x:f>O2553*(1-N2553)</x:f>
        <x:v>8722</x:v>
      </x:c>
      <x:c r="Q2553" s="22" t="n">
        <x:v>810</x:v>
      </x:c>
      <x:c r="R2553" s="22" t="n">
        <x:f>Q2553*M2553</x:f>
        <x:v>8100</x:v>
      </x:c>
      <x:c r="S2553" s="22" t="n">
        <x:f>P2553-R2553</x:f>
        <x:v>622</x:v>
      </x:c>
      <x:c r="T2553" t="str">
        <x:v>Credit</x:v>
      </x:c>
      <x:c r="U2553" t="str">
        <x:v>Paid</x:v>
      </x:c>
      <x:c r="V2553" t="str">
        <x:v>Delivered</x:v>
      </x:c>
      <x:c r="W2553" t="n">
        <x:v>0</x:v>
      </x:c>
      <x:c r="X2553" t="str"/>
      <x:c r="Y2553" t="str">
        <x:v>Referral</x:v>
      </x:c>
    </x:row>
    <x:row r="2554">
      <x:c r="A2554" t="str">
        <x:v>O002553</x:v>
      </x:c>
      <x:c r="B2554" s="20" t="n">
        <x:v>45965</x:v>
      </x:c>
      <x:c r="C2554" t="str">
        <x:v>C0049</x:v>
      </x:c>
      <x:c r="D2554" t="str">
        <x:v>Namma Stores 49</x:v>
      </x:c>
      <x:c r="E2554" t="str">
        <x:v>Hotel</x:v>
      </x:c>
      <x:c r="F2554" t="str">
        <x:v>Mangaluru</x:v>
      </x:c>
      <x:c r="G2554" t="str">
        <x:v>Sneha</x:v>
      </x:c>
      <x:c r="H2554" t="str">
        <x:v>P013</x:v>
      </x:c>
      <x:c r="I2554" t="str">
        <x:v>Atta 10kg</x:v>
      </x:c>
      <x:c r="J2554" t="str">
        <x:v>Flour</x:v>
      </x:c>
      <x:c r="K2554" t="str">
        <x:v>Aashirvaad</x:v>
      </x:c>
      <x:c r="L2554" s="22" t="n">
        <x:v>560</x:v>
      </x:c>
      <x:c r="M2554" t="n">
        <x:v>34</x:v>
      </x:c>
      <x:c r="N2554" s="24" t="n">
        <x:v>0.03</x:v>
      </x:c>
      <x:c r="O2554" s="22" t="n">
        <x:f>L2554*M2554</x:f>
        <x:v>19040</x:v>
      </x:c>
      <x:c r="P2554" s="22" t="n">
        <x:f>O2554*(1-N2554)</x:f>
        <x:v>18468.8</x:v>
      </x:c>
      <x:c r="Q2554" s="22" t="n">
        <x:v>495</x:v>
      </x:c>
      <x:c r="R2554" s="22" t="n">
        <x:f>Q2554*M2554</x:f>
        <x:v>16830</x:v>
      </x:c>
      <x:c r="S2554" s="22" t="n">
        <x:f>P2554-R2554</x:f>
        <x:v>1638.7999999999993</x:v>
      </x:c>
      <x:c r="T2554" t="str">
        <x:v>Bank Transfer</x:v>
      </x:c>
      <x:c r="U2554" t="str">
        <x:v>Overdue</x:v>
      </x:c>
      <x:c r="V2554" t="str">
        <x:v>Delivered</x:v>
      </x:c>
      <x:c r="W2554" t="n">
        <x:v>0</x:v>
      </x:c>
      <x:c r="X2554" t="str"/>
      <x:c r="Y2554" t="str">
        <x:v>Field Visit</x:v>
      </x:c>
    </x:row>
    <x:row r="2555">
      <x:c r="A2555" t="str">
        <x:v>O002554</x:v>
      </x:c>
      <x:c r="B2555" s="20" t="n">
        <x:v>46197</x:v>
      </x:c>
      <x:c r="C2555" t="str">
        <x:v>C0246</x:v>
      </x:c>
      <x:c r="D2555" t="str">
        <x:v>City Hotel 246</x:v>
      </x:c>
      <x:c r="E2555" t="str">
        <x:v>Supermarket</x:v>
      </x:c>
      <x:c r="F2555" t="str">
        <x:v>Mangaluru</x:v>
      </x:c>
      <x:c r="G2555" t="str">
        <x:v>Kavya</x:v>
      </x:c>
      <x:c r="H2555" t="str">
        <x:v>P048</x:v>
      </x:c>
      <x:c r="I2555" t="str">
        <x:v>Banana 10kg</x:v>
      </x:c>
      <x:c r="J2555" t="str">
        <x:v>Fresh Produce</x:v>
      </x:c>
      <x:c r="K2555" t="str">
        <x:v>Local Market</x:v>
      </x:c>
      <x:c r="L2555" s="22" t="n">
        <x:v>420</x:v>
      </x:c>
      <x:c r="M2555" t="n">
        <x:v>25</x:v>
      </x:c>
      <x:c r="N2555" s="24" t="n">
        <x:v>0.03</x:v>
      </x:c>
      <x:c r="O2555" s="22" t="n">
        <x:f>L2555*M2555</x:f>
        <x:v>10500</x:v>
      </x:c>
      <x:c r="P2555" s="22" t="n">
        <x:f>O2555*(1-N2555)</x:f>
        <x:v>10185</x:v>
      </x:c>
      <x:c r="Q2555" s="22" t="n">
        <x:v>350</x:v>
      </x:c>
      <x:c r="R2555" s="22" t="n">
        <x:f>Q2555*M2555</x:f>
        <x:v>8750</x:v>
      </x:c>
      <x:c r="S2555" s="22" t="n">
        <x:f>P2555-R2555</x:f>
        <x:v>1435</x:v>
      </x:c>
      <x:c r="T2555" t="str">
        <x:v>Cash</x:v>
      </x:c>
      <x:c r="U2555" t="str">
        <x:v>Pending</x:v>
      </x:c>
      <x:c r="V2555" t="str">
        <x:v>Delayed</x:v>
      </x:c>
      <x:c r="W2555" t="n">
        <x:v>0</x:v>
      </x:c>
      <x:c r="X2555" t="str"/>
      <x:c r="Y2555" t="str">
        <x:v>WhatsApp</x:v>
      </x:c>
    </x:row>
    <x:row r="2556">
      <x:c r="A2556" t="str">
        <x:v>O002555</x:v>
      </x:c>
      <x:c r="B2556" s="20" t="n">
        <x:v>45837</x:v>
      </x:c>
      <x:c r="C2556" t="str">
        <x:v>C0093</x:v>
      </x:c>
      <x:c r="D2556" t="str">
        <x:v>Sagar Hotel 93</x:v>
      </x:c>
      <x:c r="E2556" t="str">
        <x:v>Hotel</x:v>
      </x:c>
      <x:c r="F2556" t="str">
        <x:v>Hubballi</x:v>
      </x:c>
      <x:c r="G2556" t="str">
        <x:v>Imran</x:v>
      </x:c>
      <x:c r="H2556" t="str">
        <x:v>P019</x:v>
      </x:c>
      <x:c r="I2556" t="str">
        <x:v>Tea 1kg</x:v>
      </x:c>
      <x:c r="J2556" t="str">
        <x:v>Beverage</x:v>
      </x:c>
      <x:c r="K2556" t="str">
        <x:v>Red Label</x:v>
      </x:c>
      <x:c r="L2556" s="22" t="n">
        <x:v>540</x:v>
      </x:c>
      <x:c r="M2556" t="n">
        <x:v>19</x:v>
      </x:c>
      <x:c r="N2556" s="24" t="n">
        <x:v>0</x:v>
      </x:c>
      <x:c r="O2556" s="22" t="n">
        <x:f>L2556*M2556</x:f>
        <x:v>10260</x:v>
      </x:c>
      <x:c r="P2556" s="22" t="n">
        <x:f>O2556*(1-N2556)</x:f>
        <x:v>10260</x:v>
      </x:c>
      <x:c r="Q2556" s="22" t="n">
        <x:v>485</x:v>
      </x:c>
      <x:c r="R2556" s="22" t="n">
        <x:f>Q2556*M2556</x:f>
        <x:v>9215</x:v>
      </x:c>
      <x:c r="S2556" s="22" t="n">
        <x:f>P2556-R2556</x:f>
        <x:v>1045</x:v>
      </x:c>
      <x:c r="T2556" t="str">
        <x:v>Bank Transfer</x:v>
      </x:c>
      <x:c r="U2556" t="str">
        <x:v>Paid</x:v>
      </x:c>
      <x:c r="V2556" t="str">
        <x:v>Delayed</x:v>
      </x:c>
      <x:c r="W2556" t="n">
        <x:v>0</x:v>
      </x:c>
      <x:c r="X2556" t="str"/>
      <x:c r="Y2556" t="str">
        <x:v>Referral</x:v>
      </x:c>
    </x:row>
    <x:row r="2557">
      <x:c r="A2557" t="str">
        <x:v>O002556</x:v>
      </x:c>
      <x:c r="B2557" s="20" t="n">
        <x:v>46118</x:v>
      </x:c>
      <x:c r="C2557" t="str">
        <x:v>C0088</x:v>
      </x:c>
      <x:c r="D2557" t="str">
        <x:v>Darshini Kitchen 88</x:v>
      </x:c>
      <x:c r="E2557" t="str">
        <x:v>Cafe</x:v>
      </x:c>
      <x:c r="F2557" t="str">
        <x:v>Tumakuru</x:v>
      </x:c>
      <x:c r="G2557" t="str">
        <x:v>Arjun</x:v>
      </x:c>
      <x:c r="H2557" t="str">
        <x:v>P002</x:v>
      </x:c>
      <x:c r="I2557" t="str">
        <x:v>Sona Masoori Rice 25kg</x:v>
      </x:c>
      <x:c r="J2557" t="str">
        <x:v>Staples</x:v>
      </x:c>
      <x:c r="K2557" t="str">
        <x:v>Fortune</x:v>
      </x:c>
      <x:c r="L2557" s="22" t="n">
        <x:v>1320</x:v>
      </x:c>
      <x:c r="M2557" t="n">
        <x:v>4</x:v>
      </x:c>
      <x:c r="N2557" s="24" t="n">
        <x:v>0.02</x:v>
      </x:c>
      <x:c r="O2557" s="22" t="n">
        <x:f>L2557*M2557</x:f>
        <x:v>5280</x:v>
      </x:c>
      <x:c r="P2557" s="22" t="n">
        <x:f>O2557*(1-N2557)</x:f>
        <x:v>5174.4</x:v>
      </x:c>
      <x:c r="Q2557" s="22" t="n">
        <x:v>1160</x:v>
      </x:c>
      <x:c r="R2557" s="22" t="n">
        <x:f>Q2557*M2557</x:f>
        <x:v>4640</x:v>
      </x:c>
      <x:c r="S2557" s="22" t="n">
        <x:f>P2557-R2557</x:f>
        <x:v>534.3999999999996</x:v>
      </x:c>
      <x:c r="T2557" t="str">
        <x:v>UPI</x:v>
      </x:c>
      <x:c r="U2557" t="str">
        <x:v>Paid</x:v>
      </x:c>
      <x:c r="V2557" t="str">
        <x:v>Delivered</x:v>
      </x:c>
      <x:c r="W2557" t="n">
        <x:v>0</x:v>
      </x:c>
      <x:c r="X2557" t="str"/>
      <x:c r="Y2557" t="str">
        <x:v>Existing Customer</x:v>
      </x:c>
    </x:row>
    <x:row r="2558">
      <x:c r="A2558" t="str">
        <x:v>O002557</x:v>
      </x:c>
      <x:c r="B2558" s="20" t="n">
        <x:v>46040</x:v>
      </x:c>
      <x:c r="C2558" t="str">
        <x:v>C0240</x:v>
      </x:c>
      <x:c r="D2558" t="str">
        <x:v>Green Foods 240</x:v>
      </x:c>
      <x:c r="E2558" t="str">
        <x:v>Restaurant</x:v>
      </x:c>
      <x:c r="F2558" t="str">
        <x:v>Davanagere</x:v>
      </x:c>
      <x:c r="G2558" t="str">
        <x:v>Vikram</x:v>
      </x:c>
      <x:c r="H2558" t="str">
        <x:v>P034</x:v>
      </x:c>
      <x:c r="I2558" t="str">
        <x:v>Chilli Powder 1kg</x:v>
      </x:c>
      <x:c r="J2558" t="str">
        <x:v>Spices</x:v>
      </x:c>
      <x:c r="K2558" t="str">
        <x:v>MDH</x:v>
      </x:c>
      <x:c r="L2558" s="22" t="n">
        <x:v>340</x:v>
      </x:c>
      <x:c r="M2558" t="n">
        <x:v>39</x:v>
      </x:c>
      <x:c r="N2558" s="24" t="n">
        <x:v>0.02</x:v>
      </x:c>
      <x:c r="O2558" s="22" t="n">
        <x:f>L2558*M2558</x:f>
        <x:v>13260</x:v>
      </x:c>
      <x:c r="P2558" s="22" t="n">
        <x:f>O2558*(1-N2558)</x:f>
        <x:v>12994.8</x:v>
      </x:c>
      <x:c r="Q2558" s="22" t="n">
        <x:v>295</x:v>
      </x:c>
      <x:c r="R2558" s="22" t="n">
        <x:f>Q2558*M2558</x:f>
        <x:v>11505</x:v>
      </x:c>
      <x:c r="S2558" s="22" t="n">
        <x:f>P2558-R2558</x:f>
        <x:v>1489.7999999999993</x:v>
      </x:c>
      <x:c r="T2558" t="str">
        <x:v>Credit</x:v>
      </x:c>
      <x:c r="U2558" t="str">
        <x:v>Pending</x:v>
      </x:c>
      <x:c r="V2558" t="str">
        <x:v>Delivered</x:v>
      </x:c>
      <x:c r="W2558" t="n">
        <x:v>0</x:v>
      </x:c>
      <x:c r="X2558" t="str"/>
      <x:c r="Y2558" t="str">
        <x:v>WhatsApp</x:v>
      </x:c>
    </x:row>
    <x:row r="2559">
      <x:c r="A2559" t="str">
        <x:v>O002558</x:v>
      </x:c>
      <x:c r="B2559" s="20" t="n">
        <x:v>45948</x:v>
      </x:c>
      <x:c r="C2559" t="str">
        <x:v>C0155</x:v>
      </x:c>
      <x:c r="D2559" t="str">
        <x:v>New Mart 155</x:v>
      </x:c>
      <x:c r="E2559" t="str">
        <x:v>Hotel</x:v>
      </x:c>
      <x:c r="F2559" t="str">
        <x:v>Mysuru</x:v>
      </x:c>
      <x:c r="G2559" t="str">
        <x:v>Sneha</x:v>
      </x:c>
      <x:c r="H2559" t="str">
        <x:v>P028</x:v>
      </x:c>
      <x:c r="I2559" t="str">
        <x:v>Cookies 200g</x:v>
      </x:c>
      <x:c r="J2559" t="str">
        <x:v>Snacks</x:v>
      </x:c>
      <x:c r="K2559" t="str">
        <x:v>Britannia</x:v>
      </x:c>
      <x:c r="L2559" s="22" t="n">
        <x:v>55</x:v>
      </x:c>
      <x:c r="M2559" t="n">
        <x:v>21</x:v>
      </x:c>
      <x:c r="N2559" s="24" t="n">
        <x:v>0</x:v>
      </x:c>
      <x:c r="O2559" s="22" t="n">
        <x:f>L2559*M2559</x:f>
        <x:v>1155</x:v>
      </x:c>
      <x:c r="P2559" s="22" t="n">
        <x:f>O2559*(1-N2559)</x:f>
        <x:v>1155</x:v>
      </x:c>
      <x:c r="Q2559" s="22" t="n">
        <x:v>42</x:v>
      </x:c>
      <x:c r="R2559" s="22" t="n">
        <x:f>Q2559*M2559</x:f>
        <x:v>882</x:v>
      </x:c>
      <x:c r="S2559" s="22" t="n">
        <x:f>P2559-R2559</x:f>
        <x:v>273</x:v>
      </x:c>
      <x:c r="T2559" t="str">
        <x:v>UPI</x:v>
      </x:c>
      <x:c r="U2559" t="str">
        <x:v>Pending</x:v>
      </x:c>
      <x:c r="V2559" t="str">
        <x:v>Delivered</x:v>
      </x:c>
      <x:c r="W2559" t="n">
        <x:v>0</x:v>
      </x:c>
      <x:c r="X2559" t="str"/>
      <x:c r="Y2559" t="str">
        <x:v>Outbound Call</x:v>
      </x:c>
    </x:row>
    <x:row r="2560">
      <x:c r="A2560" t="str">
        <x:v>O002559</x:v>
      </x:c>
      <x:c r="B2560" s="20" t="n">
        <x:v>46193</x:v>
      </x:c>
      <x:c r="C2560" t="str">
        <x:v>C0032</x:v>
      </x:c>
      <x:c r="D2560" t="str">
        <x:v>Cafe Hotel 32</x:v>
      </x:c>
      <x:c r="E2560" t="str">
        <x:v>Canteen</x:v>
      </x:c>
      <x:c r="F2560" t="str">
        <x:v>Bengaluru</x:v>
      </x:c>
      <x:c r="G2560" t="str">
        <x:v>Sneha</x:v>
      </x:c>
      <x:c r="H2560" t="str">
        <x:v>P036</x:v>
      </x:c>
      <x:c r="I2560" t="str">
        <x:v>Garam Masala 500g</x:v>
      </x:c>
      <x:c r="J2560" t="str">
        <x:v>Spices</x:v>
      </x:c>
      <x:c r="K2560" t="str">
        <x:v>MDH</x:v>
      </x:c>
      <x:c r="L2560" s="22" t="n">
        <x:v>265</x:v>
      </x:c>
      <x:c r="M2560" t="n">
        <x:v>13</x:v>
      </x:c>
      <x:c r="N2560" s="24" t="n">
        <x:v>0</x:v>
      </x:c>
      <x:c r="O2560" s="22" t="n">
        <x:f>L2560*M2560</x:f>
        <x:v>3445</x:v>
      </x:c>
      <x:c r="P2560" s="22" t="n">
        <x:f>O2560*(1-N2560)</x:f>
        <x:v>3445</x:v>
      </x:c>
      <x:c r="Q2560" s="22" t="n">
        <x:v>230</x:v>
      </x:c>
      <x:c r="R2560" s="22" t="n">
        <x:f>Q2560*M2560</x:f>
        <x:v>2990</x:v>
      </x:c>
      <x:c r="S2560" s="22" t="n">
        <x:f>P2560-R2560</x:f>
        <x:v>455</x:v>
      </x:c>
      <x:c r="T2560" t="str">
        <x:v>Cash</x:v>
      </x:c>
      <x:c r="U2560" t="str">
        <x:v>Paid</x:v>
      </x:c>
      <x:c r="V2560" t="str">
        <x:v>Delayed</x:v>
      </x:c>
      <x:c r="W2560" t="n">
        <x:v>0</x:v>
      </x:c>
      <x:c r="X2560" t="str"/>
      <x:c r="Y2560" t="str">
        <x:v>Existing Customer</x:v>
      </x:c>
    </x:row>
    <x:row r="2561">
      <x:c r="A2561" t="str">
        <x:v>O002560</x:v>
      </x:c>
      <x:c r="B2561" s="20" t="n">
        <x:v>45949</x:v>
      </x:c>
      <x:c r="C2561" t="str">
        <x:v>C0055</x:v>
      </x:c>
      <x:c r="D2561" t="str">
        <x:v>Royal Mart 55</x:v>
      </x:c>
      <x:c r="E2561" t="str">
        <x:v>Restaurant</x:v>
      </x:c>
      <x:c r="F2561" t="str">
        <x:v>Hubballi</x:v>
      </x:c>
      <x:c r="G2561" t="str">
        <x:v>Vikram</x:v>
      </x:c>
      <x:c r="H2561" t="str">
        <x:v>P018</x:v>
      </x:c>
      <x:c r="I2561" t="str">
        <x:v>Paneer 1kg</x:v>
      </x:c>
      <x:c r="J2561" t="str">
        <x:v>Dairy</x:v>
      </x:c>
      <x:c r="K2561" t="str">
        <x:v>Milky Mist</x:v>
      </x:c>
      <x:c r="L2561" s="22" t="n">
        <x:v>410</x:v>
      </x:c>
      <x:c r="M2561" t="n">
        <x:v>40</x:v>
      </x:c>
      <x:c r="N2561" s="24" t="n">
        <x:v>0.05</x:v>
      </x:c>
      <x:c r="O2561" s="22" t="n">
        <x:f>L2561*M2561</x:f>
        <x:v>16400</x:v>
      </x:c>
      <x:c r="P2561" s="22" t="n">
        <x:f>O2561*(1-N2561)</x:f>
        <x:v>15580</x:v>
      </x:c>
      <x:c r="Q2561" s="22" t="n">
        <x:v>370</x:v>
      </x:c>
      <x:c r="R2561" s="22" t="n">
        <x:f>Q2561*M2561</x:f>
        <x:v>14800</x:v>
      </x:c>
      <x:c r="S2561" s="22" t="n">
        <x:f>P2561-R2561</x:f>
        <x:v>780</x:v>
      </x:c>
      <x:c r="T2561" t="str">
        <x:v>Credit</x:v>
      </x:c>
      <x:c r="U2561" t="str">
        <x:v>Paid</x:v>
      </x:c>
      <x:c r="V2561" t="str">
        <x:v>Delivered</x:v>
      </x:c>
      <x:c r="W2561" t="n">
        <x:v>0</x:v>
      </x:c>
      <x:c r="X2561" t="str"/>
      <x:c r="Y2561" t="str">
        <x:v>Existing Customer</x:v>
      </x:c>
    </x:row>
    <x:row r="2562">
      <x:c r="A2562" t="str">
        <x:v>O002561</x:v>
      </x:c>
      <x:c r="B2562" s="20" t="n">
        <x:v>46125</x:v>
      </x:c>
      <x:c r="C2562" t="str">
        <x:v>C0149</x:v>
      </x:c>
      <x:c r="D2562" t="str">
        <x:v>Annapurna Hotel 149</x:v>
      </x:c>
      <x:c r="E2562" t="str">
        <x:v>Cafe</x:v>
      </x:c>
      <x:c r="F2562" t="str">
        <x:v>Tumakuru</x:v>
      </x:c>
      <x:c r="G2562" t="str">
        <x:v>Megha</x:v>
      </x:c>
      <x:c r="H2562" t="str">
        <x:v>P017</x:v>
      </x:c>
      <x:c r="I2562" t="str">
        <x:v>Butter 500g</x:v>
      </x:c>
      <x:c r="J2562" t="str">
        <x:v>Dairy</x:v>
      </x:c>
      <x:c r="K2562" t="str">
        <x:v>Amul</x:v>
      </x:c>
      <x:c r="L2562" s="22" t="n">
        <x:v>285</x:v>
      </x:c>
      <x:c r="M2562" t="n">
        <x:v>2</x:v>
      </x:c>
      <x:c r="N2562" s="24" t="n">
        <x:v>0.03</x:v>
      </x:c>
      <x:c r="O2562" s="22" t="n">
        <x:f>L2562*M2562</x:f>
        <x:v>570</x:v>
      </x:c>
      <x:c r="P2562" s="22" t="n">
        <x:f>O2562*(1-N2562)</x:f>
        <x:v>552.9</x:v>
      </x:c>
      <x:c r="Q2562" s="22" t="n">
        <x:v>258</x:v>
      </x:c>
      <x:c r="R2562" s="22" t="n">
        <x:f>Q2562*M2562</x:f>
        <x:v>516</x:v>
      </x:c>
      <x:c r="S2562" s="22" t="n">
        <x:f>P2562-R2562</x:f>
        <x:v>36.89999999999998</x:v>
      </x:c>
      <x:c r="T2562" t="str">
        <x:v>UPI</x:v>
      </x:c>
      <x:c r="U2562" t="str">
        <x:v>Paid</x:v>
      </x:c>
      <x:c r="V2562" t="str">
        <x:v>Cancelled</x:v>
      </x:c>
      <x:c r="W2562" t="n">
        <x:v>2</x:v>
      </x:c>
      <x:c r="X2562" t="str">
        <x:v>Cancelled Order</x:v>
      </x:c>
      <x:c r="Y2562" t="str">
        <x:v>Outbound Call</x:v>
      </x:c>
    </x:row>
    <x:row r="2563">
      <x:c r="A2563" t="str">
        <x:v>O002562</x:v>
      </x:c>
      <x:c r="B2563" s="20" t="n">
        <x:v>46256</x:v>
      </x:c>
      <x:c r="C2563" t="str">
        <x:v>C0222</x:v>
      </x:c>
      <x:c r="D2563" t="str">
        <x:v>Sri Cafe 222</x:v>
      </x:c>
      <x:c r="E2563" t="str">
        <x:v>Kirana</x:v>
      </x:c>
      <x:c r="F2563" t="str">
        <x:v>Mangaluru</x:v>
      </x:c>
      <x:c r="G2563" t="str">
        <x:v>Arjun</x:v>
      </x:c>
      <x:c r="H2563" t="str">
        <x:v>P028</x:v>
      </x:c>
      <x:c r="I2563" t="str">
        <x:v>Cookies 200g</x:v>
      </x:c>
      <x:c r="J2563" t="str">
        <x:v>Snacks</x:v>
      </x:c>
      <x:c r="K2563" t="str">
        <x:v>Britannia</x:v>
      </x:c>
      <x:c r="L2563" s="22" t="n">
        <x:v>55</x:v>
      </x:c>
      <x:c r="M2563" t="n">
        <x:v>4</x:v>
      </x:c>
      <x:c r="N2563" s="24" t="n">
        <x:v>0</x:v>
      </x:c>
      <x:c r="O2563" s="22" t="n">
        <x:f>L2563*M2563</x:f>
        <x:v>220</x:v>
      </x:c>
      <x:c r="P2563" s="22" t="n">
        <x:f>O2563*(1-N2563)</x:f>
        <x:v>220</x:v>
      </x:c>
      <x:c r="Q2563" s="22" t="n">
        <x:v>42</x:v>
      </x:c>
      <x:c r="R2563" s="22" t="n">
        <x:f>Q2563*M2563</x:f>
        <x:v>168</x:v>
      </x:c>
      <x:c r="S2563" s="22" t="n">
        <x:f>P2563-R2563</x:f>
        <x:v>52</x:v>
      </x:c>
      <x:c r="T2563" t="str">
        <x:v>Cash</x:v>
      </x:c>
      <x:c r="U2563" t="str">
        <x:v>Paid</x:v>
      </x:c>
      <x:c r="V2563" t="str">
        <x:v>Delivered</x:v>
      </x:c>
      <x:c r="W2563" t="n">
        <x:v>0</x:v>
      </x:c>
      <x:c r="X2563" t="str"/>
      <x:c r="Y2563" t="str">
        <x:v>Referral</x:v>
      </x:c>
    </x:row>
    <x:row r="2564">
      <x:c r="A2564" t="str">
        <x:v>O002563</x:v>
      </x:c>
      <x:c r="B2564" s="20" t="n">
        <x:v>46116</x:v>
      </x:c>
      <x:c r="C2564" t="str">
        <x:v>C0067</x:v>
      </x:c>
      <x:c r="D2564" t="str">
        <x:v>Royal Restaurant 67</x:v>
      </x:c>
      <x:c r="E2564" t="str">
        <x:v>Supermarket</x:v>
      </x:c>
      <x:c r="F2564" t="str">
        <x:v>Tumakuru</x:v>
      </x:c>
      <x:c r="G2564" t="str">
        <x:v>Sneha</x:v>
      </x:c>
      <x:c r="H2564" t="str">
        <x:v>P046</x:v>
      </x:c>
      <x:c r="I2564" t="str">
        <x:v>Potato 25kg</x:v>
      </x:c>
      <x:c r="J2564" t="str">
        <x:v>Fresh Produce</x:v>
      </x:c>
      <x:c r="K2564" t="str">
        <x:v>Local Market</x:v>
      </x:c>
      <x:c r="L2564" s="22" t="n">
        <x:v>700</x:v>
      </x:c>
      <x:c r="M2564" t="n">
        <x:v>7</x:v>
      </x:c>
      <x:c r="N2564" s="24" t="n">
        <x:v>0.02</x:v>
      </x:c>
      <x:c r="O2564" s="22" t="n">
        <x:f>L2564*M2564</x:f>
        <x:v>4900</x:v>
      </x:c>
      <x:c r="P2564" s="22" t="n">
        <x:f>O2564*(1-N2564)</x:f>
        <x:v>4802</x:v>
      </x:c>
      <x:c r="Q2564" s="22" t="n">
        <x:v>610</x:v>
      </x:c>
      <x:c r="R2564" s="22" t="n">
        <x:f>Q2564*M2564</x:f>
        <x:v>4270</x:v>
      </x:c>
      <x:c r="S2564" s="22" t="n">
        <x:f>P2564-R2564</x:f>
        <x:v>532</x:v>
      </x:c>
      <x:c r="T2564" t="str">
        <x:v>Credit</x:v>
      </x:c>
      <x:c r="U2564" t="str">
        <x:v>Pending</x:v>
      </x:c>
      <x:c r="V2564" t="str">
        <x:v>Delivered</x:v>
      </x:c>
      <x:c r="W2564" t="n">
        <x:v>0</x:v>
      </x:c>
      <x:c r="X2564" t="str"/>
      <x:c r="Y2564" t="str"/>
    </x:row>
    <x:row r="2565">
      <x:c r="A2565" t="str">
        <x:v>O002564</x:v>
      </x:c>
      <x:c r="B2565" s="20" t="n">
        <x:v>46213</x:v>
      </x:c>
      <x:c r="C2565" t="str">
        <x:v>C0087</x:v>
      </x:c>
      <x:c r="D2565" t="str">
        <x:v>Namma Kitchen 87</x:v>
      </x:c>
      <x:c r="E2565" t="str">
        <x:v>Kirana</x:v>
      </x:c>
      <x:c r="F2565" t="str">
        <x:v>Bengaluru</x:v>
      </x:c>
      <x:c r="G2565" t="str">
        <x:v>Priya</x:v>
      </x:c>
      <x:c r="H2565" t="str">
        <x:v>P005</x:v>
      </x:c>
      <x:c r="I2565" t="str">
        <x:v>Chana Dal 5kg</x:v>
      </x:c>
      <x:c r="J2565" t="str">
        <x:v>Pulses</x:v>
      </x:c>
      <x:c r="K2565" t="str">
        <x:v>Local Select</x:v>
      </x:c>
      <x:c r="L2565" s="22" t="n">
        <x:v>520</x:v>
      </x:c>
      <x:c r="M2565" t="n">
        <x:v>33</x:v>
      </x:c>
      <x:c r="N2565" s="24" t="n">
        <x:v>0.03</x:v>
      </x:c>
      <x:c r="O2565" s="22" t="n">
        <x:f>L2565*M2565</x:f>
        <x:v>17160</x:v>
      </x:c>
      <x:c r="P2565" s="22" t="n">
        <x:f>O2565*(1-N2565)</x:f>
        <x:v>16645.2</x:v>
      </x:c>
      <x:c r="Q2565" s="22" t="n">
        <x:v>455</x:v>
      </x:c>
      <x:c r="R2565" s="22" t="n">
        <x:f>Q2565*M2565</x:f>
        <x:v>15015</x:v>
      </x:c>
      <x:c r="S2565" s="22" t="n">
        <x:f>P2565-R2565</x:f>
        <x:v>1630.2000000000007</x:v>
      </x:c>
      <x:c r="T2565" t="str">
        <x:v>UPI</x:v>
      </x:c>
      <x:c r="U2565" t="str">
        <x:v>Paid</x:v>
      </x:c>
      <x:c r="V2565" t="str">
        <x:v>Delivered</x:v>
      </x:c>
      <x:c r="W2565" t="n">
        <x:v>0</x:v>
      </x:c>
      <x:c r="X2565" t="str"/>
      <x:c r="Y2565" t="str">
        <x:v>Field Visit</x:v>
      </x:c>
    </x:row>
    <x:row r="2566">
      <x:c r="A2566" t="str">
        <x:v>O002565</x:v>
      </x:c>
      <x:c r="B2566" s="20" t="n">
        <x:v>45843</x:v>
      </x:c>
      <x:c r="C2566" t="str">
        <x:v>C0228</x:v>
      </x:c>
      <x:c r="D2566" t="str">
        <x:v>Metro Foods 228</x:v>
      </x:c>
      <x:c r="E2566" t="str">
        <x:v>Supermarket</x:v>
      </x:c>
      <x:c r="F2566" t="str">
        <x:v>Davanagere</x:v>
      </x:c>
      <x:c r="G2566" t="str">
        <x:v>Sneha</x:v>
      </x:c>
      <x:c r="H2566" t="str">
        <x:v>P047</x:v>
      </x:c>
      <x:c r="I2566" t="str">
        <x:v>Tomato 25kg</x:v>
      </x:c>
      <x:c r="J2566" t="str">
        <x:v>Fresh Produce</x:v>
      </x:c>
      <x:c r="K2566" t="str">
        <x:v>Local Market</x:v>
      </x:c>
      <x:c r="L2566" s="22" t="n">
        <x:v>950</x:v>
      </x:c>
      <x:c r="M2566" t="n">
        <x:v>14</x:v>
      </x:c>
      <x:c r="N2566" s="24" t="n">
        <x:v>0.02</x:v>
      </x:c>
      <x:c r="O2566" s="22" t="n">
        <x:f>L2566*M2566</x:f>
        <x:v>13300</x:v>
      </x:c>
      <x:c r="P2566" s="22" t="n">
        <x:f>O2566*(1-N2566)</x:f>
        <x:v>13034</x:v>
      </x:c>
      <x:c r="Q2566" s="22" t="n">
        <x:v>810</x:v>
      </x:c>
      <x:c r="R2566" s="22" t="n">
        <x:f>Q2566*M2566</x:f>
        <x:v>11340</x:v>
      </x:c>
      <x:c r="S2566" s="22" t="n">
        <x:f>P2566-R2566</x:f>
        <x:v>1694</x:v>
      </x:c>
      <x:c r="T2566" t="str">
        <x:v>Bank Transfer</x:v>
      </x:c>
      <x:c r="U2566" t="str">
        <x:v>Overdue</x:v>
      </x:c>
      <x:c r="V2566" t="str">
        <x:v>Delivered</x:v>
      </x:c>
      <x:c r="W2566" t="n">
        <x:v>0</x:v>
      </x:c>
      <x:c r="X2566" t="str"/>
      <x:c r="Y2566" t="str">
        <x:v>WhatsApp</x:v>
      </x:c>
    </x:row>
    <x:row r="2567">
      <x:c r="A2567" t="str">
        <x:v>O002566</x:v>
      </x:c>
      <x:c r="B2567" s="20" t="n">
        <x:v>45942</x:v>
      </x:c>
      <x:c r="C2567" t="str">
        <x:v>C0084</x:v>
      </x:c>
      <x:c r="D2567" t="str">
        <x:v>Green Cafe 84</x:v>
      </x:c>
      <x:c r="E2567" t="str">
        <x:v>Hotel</x:v>
      </x:c>
      <x:c r="F2567" t="str">
        <x:v>Mysuru</x:v>
      </x:c>
      <x:c r="G2567" t="str">
        <x:v>Priya</x:v>
      </x:c>
      <x:c r="H2567" t="str">
        <x:v>P002</x:v>
      </x:c>
      <x:c r="I2567" t="str">
        <x:v>Sona Masoori Rice 25kg</x:v>
      </x:c>
      <x:c r="J2567" t="str">
        <x:v>Staples</x:v>
      </x:c>
      <x:c r="K2567" t="str">
        <x:v>Fortune</x:v>
      </x:c>
      <x:c r="L2567" s="22" t="n">
        <x:v>1320</x:v>
      </x:c>
      <x:c r="M2567" t="n">
        <x:v>1</x:v>
      </x:c>
      <x:c r="N2567" s="24" t="n">
        <x:v>0.05</x:v>
      </x:c>
      <x:c r="O2567" s="22" t="n">
        <x:f>L2567*M2567</x:f>
        <x:v>1320</x:v>
      </x:c>
      <x:c r="P2567" s="22" t="n">
        <x:f>O2567*(1-N2567)</x:f>
        <x:v>1254</x:v>
      </x:c>
      <x:c r="Q2567" s="22" t="n">
        <x:v>1160</x:v>
      </x:c>
      <x:c r="R2567" s="22" t="n">
        <x:f>Q2567*M2567</x:f>
        <x:v>1160</x:v>
      </x:c>
      <x:c r="S2567" s="22" t="n">
        <x:f>P2567-R2567</x:f>
        <x:v>94</x:v>
      </x:c>
      <x:c r="T2567" t="str">
        <x:v>Credit</x:v>
      </x:c>
      <x:c r="U2567" t="str">
        <x:v>Paid</x:v>
      </x:c>
      <x:c r="V2567" t="str">
        <x:v>Cancelled</x:v>
      </x:c>
      <x:c r="W2567" t="n">
        <x:v>1</x:v>
      </x:c>
      <x:c r="X2567" t="str">
        <x:v>Cancelled Order</x:v>
      </x:c>
      <x:c r="Y2567" t="str">
        <x:v>Existing Customer</x:v>
      </x:c>
    </x:row>
    <x:row r="2568">
      <x:c r="A2568" t="str">
        <x:v>O002567</x:v>
      </x:c>
      <x:c r="B2568" s="20" t="n">
        <x:v>46009</x:v>
      </x:c>
      <x:c r="C2568" t="str">
        <x:v>C0059</x:v>
      </x:c>
      <x:c r="D2568" t="str">
        <x:v>Spice Foods 59</x:v>
      </x:c>
      <x:c r="E2568" t="str">
        <x:v>Hotel</x:v>
      </x:c>
      <x:c r="F2568" t="str">
        <x:v>Hubballi</x:v>
      </x:c>
      <x:c r="G2568" t="str">
        <x:v>Sneha</x:v>
      </x:c>
      <x:c r="H2568" t="str">
        <x:v>P032</x:v>
      </x:c>
      <x:c r="I2568" t="str">
        <x:v>Soy Sauce 700g</x:v>
      </x:c>
      <x:c r="J2568" t="str">
        <x:v>Condiments</x:v>
      </x:c>
      <x:c r="K2568" t="str">
        <x:v>Ching's</x:v>
      </x:c>
      <x:c r="L2568" s="22" t="n">
        <x:v>118</x:v>
      </x:c>
      <x:c r="M2568" t="n">
        <x:v>20</x:v>
      </x:c>
      <x:c r="N2568" s="24" t="n">
        <x:v>0</x:v>
      </x:c>
      <x:c r="O2568" s="22" t="n">
        <x:f>L2568*M2568</x:f>
        <x:v>2360</x:v>
      </x:c>
      <x:c r="P2568" s="22" t="n">
        <x:f>O2568*(1-N2568)</x:f>
        <x:v>2360</x:v>
      </x:c>
      <x:c r="Q2568" s="22" t="n">
        <x:v>101</x:v>
      </x:c>
      <x:c r="R2568" s="22" t="n">
        <x:f>Q2568*M2568</x:f>
        <x:v>2020</x:v>
      </x:c>
      <x:c r="S2568" s="22" t="n">
        <x:f>P2568-R2568</x:f>
        <x:v>340</x:v>
      </x:c>
      <x:c r="T2568" t="str">
        <x:v>Cash</x:v>
      </x:c>
      <x:c r="U2568" t="str">
        <x:v>Pending</x:v>
      </x:c>
      <x:c r="V2568" t="str">
        <x:v>Delayed</x:v>
      </x:c>
      <x:c r="W2568" t="n">
        <x:v>0</x:v>
      </x:c>
      <x:c r="X2568" t="str"/>
      <x:c r="Y2568" t="str">
        <x:v>WhatsApp</x:v>
      </x:c>
    </x:row>
    <x:row r="2569">
      <x:c r="A2569" t="str">
        <x:v>O002568</x:v>
      </x:c>
      <x:c r="B2569" s="20" t="n">
        <x:v>46207</x:v>
      </x:c>
      <x:c r="C2569" t="str">
        <x:v>C0213</x:v>
      </x:c>
      <x:c r="D2569" t="str">
        <x:v>Shree Cafe 213</x:v>
      </x:c>
      <x:c r="E2569" t="str">
        <x:v>Cafe</x:v>
      </x:c>
      <x:c r="F2569" t="str">
        <x:v>Tumakuru</x:v>
      </x:c>
      <x:c r="G2569" t="str">
        <x:v>Imran</x:v>
      </x:c>
      <x:c r="H2569" t="str">
        <x:v>P045</x:v>
      </x:c>
      <x:c r="I2569" t="str">
        <x:v>Onion 25kg</x:v>
      </x:c>
      <x:c r="J2569" t="str">
        <x:v>Fresh Produce</x:v>
      </x:c>
      <x:c r="K2569" t="str">
        <x:v>Local Market</x:v>
      </x:c>
      <x:c r="L2569" s="22" t="n">
        <x:v>875</x:v>
      </x:c>
      <x:c r="M2569" t="n">
        <x:v>38</x:v>
      </x:c>
      <x:c r="N2569" s="24" t="n">
        <x:v>0</x:v>
      </x:c>
      <x:c r="O2569" s="22" t="n">
        <x:f>L2569*M2569</x:f>
        <x:v>33250</x:v>
      </x:c>
      <x:c r="P2569" s="22" t="n">
        <x:f>O2569*(1-N2569)</x:f>
        <x:v>33250</x:v>
      </x:c>
      <x:c r="Q2569" s="22" t="n">
        <x:v>760</x:v>
      </x:c>
      <x:c r="R2569" s="22" t="n">
        <x:f>Q2569*M2569</x:f>
        <x:v>28880</x:v>
      </x:c>
      <x:c r="S2569" s="22" t="n">
        <x:f>P2569-R2569</x:f>
        <x:v>4370</x:v>
      </x:c>
      <x:c r="T2569" t="str">
        <x:v>Cash</x:v>
      </x:c>
      <x:c r="U2569" t="str">
        <x:v>Pending</x:v>
      </x:c>
      <x:c r="V2569" t="str">
        <x:v>Delivered</x:v>
      </x:c>
      <x:c r="W2569" t="n">
        <x:v>0</x:v>
      </x:c>
      <x:c r="X2569" t="str"/>
      <x:c r="Y2569" t="str">
        <x:v>Outbound Call</x:v>
      </x:c>
    </x:row>
    <x:row r="2570">
      <x:c r="A2570" t="str">
        <x:v>O002569</x:v>
      </x:c>
      <x:c r="B2570" s="20" t="n">
        <x:v>45904</x:v>
      </x:c>
      <x:c r="C2570" t="str">
        <x:v>C0085</x:v>
      </x:c>
      <x:c r="D2570" t="str">
        <x:v>Green Hotel 85</x:v>
      </x:c>
      <x:c r="E2570" t="str">
        <x:v>Kirana</x:v>
      </x:c>
      <x:c r="F2570" t="str">
        <x:v>Mysuru</x:v>
      </x:c>
      <x:c r="G2570" t="str">
        <x:v>Arjun</x:v>
      </x:c>
      <x:c r="H2570" t="str">
        <x:v>P004</x:v>
      </x:c>
      <x:c r="I2570" t="str">
        <x:v>Toor Dal 5kg</x:v>
      </x:c>
      <x:c r="J2570" t="str">
        <x:v>Pulses</x:v>
      </x:c>
      <x:c r="K2570" t="str">
        <x:v>Tata Sampann</x:v>
      </x:c>
      <x:c r="L2570" s="22" t="n">
        <x:v>780</x:v>
      </x:c>
      <x:c r="M2570" t="n">
        <x:v>35</x:v>
      </x:c>
      <x:c r="N2570" s="24" t="n">
        <x:v>0.02</x:v>
      </x:c>
      <x:c r="O2570" s="22" t="n">
        <x:f>L2570*M2570</x:f>
        <x:v>27300</x:v>
      </x:c>
      <x:c r="P2570" s="22" t="n">
        <x:f>O2570*(1-N2570)</x:f>
        <x:v>26754</x:v>
      </x:c>
      <x:c r="Q2570" s="22" t="n">
        <x:v>695</x:v>
      </x:c>
      <x:c r="R2570" s="22" t="n">
        <x:f>Q2570*M2570</x:f>
        <x:v>24325</x:v>
      </x:c>
      <x:c r="S2570" s="22" t="n">
        <x:f>P2570-R2570</x:f>
        <x:v>2429</x:v>
      </x:c>
      <x:c r="T2570" t="str">
        <x:v>Credit</x:v>
      </x:c>
      <x:c r="U2570" t="str">
        <x:v>Paid</x:v>
      </x:c>
      <x:c r="V2570" t="str">
        <x:v>Delivered</x:v>
      </x:c>
      <x:c r="W2570" t="n">
        <x:v>0</x:v>
      </x:c>
      <x:c r="X2570" t="str"/>
      <x:c r="Y2570" t="str">
        <x:v>Field Visit</x:v>
      </x:c>
    </x:row>
    <x:row r="2571">
      <x:c r="A2571" t="str">
        <x:v>O002570</x:v>
      </x:c>
      <x:c r="B2571" s="20" t="n">
        <x:v>46079</x:v>
      </x:c>
      <x:c r="C2571" t="str">
        <x:v>C0203</x:v>
      </x:c>
      <x:c r="D2571" t="str">
        <x:v>Namma Mart 203</x:v>
      </x:c>
      <x:c r="E2571" t="str">
        <x:v>Kirana</x:v>
      </x:c>
      <x:c r="F2571" t="str">
        <x:v>Tumakuru</x:v>
      </x:c>
      <x:c r="G2571" t="str">
        <x:v>Priya</x:v>
      </x:c>
      <x:c r="H2571" t="str">
        <x:v>P005</x:v>
      </x:c>
      <x:c r="I2571" t="str">
        <x:v>Chana Dal 5kg</x:v>
      </x:c>
      <x:c r="J2571" t="str">
        <x:v>Pulses</x:v>
      </x:c>
      <x:c r="K2571" t="str">
        <x:v>Local Select</x:v>
      </x:c>
      <x:c r="L2571" s="22" t="n">
        <x:v>520</x:v>
      </x:c>
      <x:c r="M2571" t="n">
        <x:v>16</x:v>
      </x:c>
      <x:c r="N2571" s="24" t="n">
        <x:v>0.03</x:v>
      </x:c>
      <x:c r="O2571" s="22" t="n">
        <x:f>L2571*M2571</x:f>
        <x:v>8320</x:v>
      </x:c>
      <x:c r="P2571" s="22" t="n">
        <x:f>O2571*(1-N2571)</x:f>
        <x:v>8070.4</x:v>
      </x:c>
      <x:c r="Q2571" s="22" t="n">
        <x:v>455</x:v>
      </x:c>
      <x:c r="R2571" s="22" t="n">
        <x:f>Q2571*M2571</x:f>
        <x:v>7280</x:v>
      </x:c>
      <x:c r="S2571" s="22" t="n">
        <x:f>P2571-R2571</x:f>
        <x:v>790.3999999999996</x:v>
      </x:c>
      <x:c r="T2571" t="str">
        <x:v>Cash</x:v>
      </x:c>
      <x:c r="U2571" t="str">
        <x:v>Paid</x:v>
      </x:c>
      <x:c r="V2571" t="str">
        <x:v>Cancelled</x:v>
      </x:c>
      <x:c r="W2571" t="n">
        <x:v>16</x:v>
      </x:c>
      <x:c r="X2571" t="str">
        <x:v>Cancelled Order</x:v>
      </x:c>
      <x:c r="Y2571" t="str">
        <x:v>WhatsApp</x:v>
      </x:c>
    </x:row>
    <x:row r="2572">
      <x:c r="A2572" t="str">
        <x:v>O002571</x:v>
      </x:c>
      <x:c r="B2572" s="20" t="n">
        <x:v>46052</x:v>
      </x:c>
      <x:c r="C2572" t="str">
        <x:v>C0223</x:v>
      </x:c>
      <x:c r="D2572" t="str">
        <x:v>Classic Canteen 223</x:v>
      </x:c>
      <x:c r="E2572" t="str">
        <x:v>Restaurant</x:v>
      </x:c>
      <x:c r="F2572" t="str">
        <x:v>Tumakuru</x:v>
      </x:c>
      <x:c r="G2572" t="str">
        <x:v>Kavya</x:v>
      </x:c>
      <x:c r="H2572" t="str">
        <x:v>P004</x:v>
      </x:c>
      <x:c r="I2572" t="str">
        <x:v>Toor Dal 5kg</x:v>
      </x:c>
      <x:c r="J2572" t="str">
        <x:v>Pulses</x:v>
      </x:c>
      <x:c r="K2572" t="str">
        <x:v>Tata Sampann</x:v>
      </x:c>
      <x:c r="L2572" s="22" t="n">
        <x:v>780</x:v>
      </x:c>
      <x:c r="M2572" t="n">
        <x:v>13</x:v>
      </x:c>
      <x:c r="N2572" s="24" t="n">
        <x:v>0.02</x:v>
      </x:c>
      <x:c r="O2572" s="22" t="n">
        <x:f>L2572*M2572</x:f>
        <x:v>10140</x:v>
      </x:c>
      <x:c r="P2572" s="22" t="n">
        <x:f>O2572*(1-N2572)</x:f>
        <x:v>9937.2</x:v>
      </x:c>
      <x:c r="Q2572" s="22" t="n">
        <x:v>695</x:v>
      </x:c>
      <x:c r="R2572" s="22" t="n">
        <x:f>Q2572*M2572</x:f>
        <x:v>9035</x:v>
      </x:c>
      <x:c r="S2572" s="22" t="n">
        <x:f>P2572-R2572</x:f>
        <x:v>902.2000000000007</x:v>
      </x:c>
      <x:c r="T2572" t="str">
        <x:v>Cash</x:v>
      </x:c>
      <x:c r="U2572" t="str">
        <x:v>Paid</x:v>
      </x:c>
      <x:c r="V2572" t="str">
        <x:v>Cancelled</x:v>
      </x:c>
      <x:c r="W2572" t="n">
        <x:v>13</x:v>
      </x:c>
      <x:c r="X2572" t="str">
        <x:v>Cancelled Order</x:v>
      </x:c>
      <x:c r="Y2572" t="str">
        <x:v>Outbound Call</x:v>
      </x:c>
    </x:row>
    <x:row r="2573">
      <x:c r="A2573" t="str">
        <x:v>O002572</x:v>
      </x:c>
      <x:c r="B2573" s="20" t="n">
        <x:v>45802</x:v>
      </x:c>
      <x:c r="C2573" t="str">
        <x:v>C0021</x:v>
      </x:c>
      <x:c r="D2573" t="str">
        <x:v>Namma Cafe 21</x:v>
      </x:c>
      <x:c r="E2573" t="str">
        <x:v>Canteen</x:v>
      </x:c>
      <x:c r="F2573" t="str">
        <x:v>Bengaluru</x:v>
      </x:c>
      <x:c r="G2573" t="str">
        <x:v>Kavya</x:v>
      </x:c>
      <x:c r="H2573" t="str">
        <x:v>P049</x:v>
      </x:c>
      <x:c r="I2573" t="str">
        <x:v>Apple 10kg</x:v>
      </x:c>
      <x:c r="J2573" t="str">
        <x:v>Fresh Produce</x:v>
      </x:c>
      <x:c r="K2573" t="str">
        <x:v>Local Market</x:v>
      </x:c>
      <x:c r="L2573" s="22" t="n">
        <x:v>1450</x:v>
      </x:c>
      <x:c r="M2573" t="n">
        <x:v>9</x:v>
      </x:c>
      <x:c r="N2573" s="24" t="n">
        <x:v>0.03</x:v>
      </x:c>
      <x:c r="O2573" s="22" t="n">
        <x:f>L2573*M2573</x:f>
        <x:v>13050</x:v>
      </x:c>
      <x:c r="P2573" s="22" t="n">
        <x:f>O2573*(1-N2573)</x:f>
        <x:v>12658.5</x:v>
      </x:c>
      <x:c r="Q2573" s="22" t="n">
        <x:v>1280</x:v>
      </x:c>
      <x:c r="R2573" s="22" t="n">
        <x:f>Q2573*M2573</x:f>
        <x:v>11520</x:v>
      </x:c>
      <x:c r="S2573" s="22" t="n">
        <x:f>P2573-R2573</x:f>
        <x:v>1138.5</x:v>
      </x:c>
      <x:c r="T2573" t="str">
        <x:v>Cash</x:v>
      </x:c>
      <x:c r="U2573" t="str">
        <x:v>Paid</x:v>
      </x:c>
      <x:c r="V2573" t="str">
        <x:v>Delayed</x:v>
      </x:c>
      <x:c r="W2573" t="n">
        <x:v>0</x:v>
      </x:c>
      <x:c r="X2573" t="str"/>
      <x:c r="Y2573" t="str"/>
    </x:row>
    <x:row r="2574">
      <x:c r="A2574" t="str">
        <x:v>O002573</x:v>
      </x:c>
      <x:c r="B2574" s="20" t="n">
        <x:v>46173</x:v>
      </x:c>
      <x:c r="C2574" t="str">
        <x:v>C0076</x:v>
      </x:c>
      <x:c r="D2574" t="str">
        <x:v>Sri Canteen 76</x:v>
      </x:c>
      <x:c r="E2574" t="str">
        <x:v>Canteen</x:v>
      </x:c>
      <x:c r="F2574" t="str">
        <x:v>Tumakuru</x:v>
      </x:c>
      <x:c r="G2574" t="str">
        <x:v>Priya</x:v>
      </x:c>
      <x:c r="H2574" t="str">
        <x:v>P042</x:v>
      </x:c>
      <x:c r="I2574" t="str">
        <x:v>Eggs 30pc Tray</x:v>
      </x:c>
      <x:c r="J2574" t="str">
        <x:v>Protein</x:v>
      </x:c>
      <x:c r="K2574" t="str">
        <x:v>Farm Fresh</x:v>
      </x:c>
      <x:c r="L2574" s="22" t="n">
        <x:v>195</x:v>
      </x:c>
      <x:c r="M2574" t="n">
        <x:v>24</x:v>
      </x:c>
      <x:c r="N2574" s="24" t="n">
        <x:v>0</x:v>
      </x:c>
      <x:c r="O2574" s="22" t="n">
        <x:f>L2574*M2574</x:f>
        <x:v>4680</x:v>
      </x:c>
      <x:c r="P2574" s="22" t="n">
        <x:f>O2574*(1-N2574)</x:f>
        <x:v>4680</x:v>
      </x:c>
      <x:c r="Q2574" s="22" t="n">
        <x:v>170</x:v>
      </x:c>
      <x:c r="R2574" s="22" t="n">
        <x:f>Q2574*M2574</x:f>
        <x:v>4080</x:v>
      </x:c>
      <x:c r="S2574" s="22" t="n">
        <x:f>P2574-R2574</x:f>
        <x:v>600</x:v>
      </x:c>
      <x:c r="T2574" t="str">
        <x:v>Credit</x:v>
      </x:c>
      <x:c r="U2574" t="str">
        <x:v>Paid</x:v>
      </x:c>
      <x:c r="V2574" t="str">
        <x:v>Delayed</x:v>
      </x:c>
      <x:c r="W2574" t="n">
        <x:v>0</x:v>
      </x:c>
      <x:c r="X2574" t="str"/>
      <x:c r="Y2574" t="str">
        <x:v>WhatsApp</x:v>
      </x:c>
    </x:row>
    <x:row r="2575">
      <x:c r="A2575" t="str">
        <x:v>O002574</x:v>
      </x:c>
      <x:c r="B2575" s="20" t="n">
        <x:v>46054</x:v>
      </x:c>
      <x:c r="C2575" t="str">
        <x:v>C0013</x:v>
      </x:c>
      <x:c r="D2575" t="str">
        <x:v>Foodie Restaurant 13</x:v>
      </x:c>
      <x:c r="E2575" t="str">
        <x:v>Kirana</x:v>
      </x:c>
      <x:c r="F2575" t="str">
        <x:v>Mysuru</x:v>
      </x:c>
      <x:c r="G2575" t="str">
        <x:v>Sneha</x:v>
      </x:c>
      <x:c r="H2575" t="str">
        <x:v>P014</x:v>
      </x:c>
      <x:c r="I2575" t="str">
        <x:v>Rava 5kg</x:v>
      </x:c>
      <x:c r="J2575" t="str">
        <x:v>Flour</x:v>
      </x:c>
      <x:c r="K2575" t="str">
        <x:v>Local Select</x:v>
      </x:c>
      <x:c r="L2575" s="22" t="n">
        <x:v>245</x:v>
      </x:c>
      <x:c r="M2575" t="n">
        <x:v>21</x:v>
      </x:c>
      <x:c r="N2575" s="24" t="n">
        <x:v>0.03</x:v>
      </x:c>
      <x:c r="O2575" s="22" t="n">
        <x:f>L2575*M2575</x:f>
        <x:v>5145</x:v>
      </x:c>
      <x:c r="P2575" s="22" t="n">
        <x:f>O2575*(1-N2575)</x:f>
        <x:v>4990.65</x:v>
      </x:c>
      <x:c r="Q2575" s="22" t="n">
        <x:v>215</x:v>
      </x:c>
      <x:c r="R2575" s="22" t="n">
        <x:f>Q2575*M2575</x:f>
        <x:v>4515</x:v>
      </x:c>
      <x:c r="S2575" s="22" t="n">
        <x:f>P2575-R2575</x:f>
        <x:v>475.64999999999964</x:v>
      </x:c>
      <x:c r="T2575" t="str">
        <x:v>UPI</x:v>
      </x:c>
      <x:c r="U2575" t="str">
        <x:v>Overdue</x:v>
      </x:c>
      <x:c r="V2575" t="str">
        <x:v>Cancelled</x:v>
      </x:c>
      <x:c r="W2575" t="n">
        <x:v>21</x:v>
      </x:c>
      <x:c r="X2575" t="str">
        <x:v>Cancelled Order</x:v>
      </x:c>
      <x:c r="Y2575" t="str">
        <x:v>WhatsApp</x:v>
      </x:c>
    </x:row>
    <x:row r="2576">
      <x:c r="A2576" t="str">
        <x:v>O002575</x:v>
      </x:c>
      <x:c r="B2576" s="20" t="n">
        <x:v>45946</x:v>
      </x:c>
      <x:c r="C2576" t="str">
        <x:v>C0078</x:v>
      </x:c>
      <x:c r="D2576" t="str">
        <x:v>Sagar Canteen 78</x:v>
      </x:c>
      <x:c r="E2576" t="str">
        <x:v>Hotel</x:v>
      </x:c>
      <x:c r="F2576" t="str">
        <x:v>Mangaluru</x:v>
      </x:c>
      <x:c r="G2576" t="str">
        <x:v>Ramesh</x:v>
      </x:c>
      <x:c r="H2576" t="str">
        <x:v>P044</x:v>
      </x:c>
      <x:c r="I2576" t="str">
        <x:v>Chicken Curry Cut 1kg</x:v>
      </x:c>
      <x:c r="J2576" t="str">
        <x:v>Protein</x:v>
      </x:c>
      <x:c r="K2576" t="str">
        <x:v>FreshToHome</x:v>
      </x:c>
      <x:c r="L2576" s="22" t="n">
        <x:v>230</x:v>
      </x:c>
      <x:c r="M2576" t="n">
        <x:v>14</x:v>
      </x:c>
      <x:c r="N2576" s="24" t="n">
        <x:v>0.05</x:v>
      </x:c>
      <x:c r="O2576" s="22" t="n">
        <x:f>L2576*M2576</x:f>
        <x:v>3220</x:v>
      </x:c>
      <x:c r="P2576" s="22" t="n">
        <x:f>O2576*(1-N2576)</x:f>
        <x:v>3059</x:v>
      </x:c>
      <x:c r="Q2576" s="22" t="n">
        <x:v>205</x:v>
      </x:c>
      <x:c r="R2576" s="22" t="n">
        <x:f>Q2576*M2576</x:f>
        <x:v>2870</x:v>
      </x:c>
      <x:c r="S2576" s="22" t="n">
        <x:f>P2576-R2576</x:f>
        <x:v>189</x:v>
      </x:c>
      <x:c r="T2576" t="str">
        <x:v>Cash</x:v>
      </x:c>
      <x:c r="U2576" t="str">
        <x:v>Paid</x:v>
      </x:c>
      <x:c r="V2576" t="str">
        <x:v>Delayed</x:v>
      </x:c>
      <x:c r="W2576" t="n">
        <x:v>0</x:v>
      </x:c>
      <x:c r="X2576" t="str"/>
      <x:c r="Y2576" t="str">
        <x:v>WhatsApp</x:v>
      </x:c>
    </x:row>
    <x:row r="2577">
      <x:c r="A2577" t="str">
        <x:v>O002576</x:v>
      </x:c>
      <x:c r="B2577" s="20" t="n">
        <x:v>45896</x:v>
      </x:c>
      <x:c r="C2577" t="str">
        <x:v>C0184</x:v>
      </x:c>
      <x:c r="D2577" t="str">
        <x:v>Namma Restaurant 184</x:v>
      </x:c>
      <x:c r="E2577" t="str">
        <x:v>Cafe</x:v>
      </x:c>
      <x:c r="F2577" t="str">
        <x:v>Hubballi</x:v>
      </x:c>
      <x:c r="G2577" t="str">
        <x:v>Arjun</x:v>
      </x:c>
      <x:c r="H2577" t="str">
        <x:v>P016</x:v>
      </x:c>
      <x:c r="I2577" t="str">
        <x:v>Curd 1kg</x:v>
      </x:c>
      <x:c r="J2577" t="str">
        <x:v>Dairy</x:v>
      </x:c>
      <x:c r="K2577" t="str">
        <x:v>Nandini</x:v>
      </x:c>
      <x:c r="L2577" s="22" t="n">
        <x:v>72</x:v>
      </x:c>
      <x:c r="M2577" t="n">
        <x:v>7</x:v>
      </x:c>
      <x:c r="N2577" s="24" t="n">
        <x:v>0.03</x:v>
      </x:c>
      <x:c r="O2577" s="22" t="n">
        <x:f>L2577*M2577</x:f>
        <x:v>504</x:v>
      </x:c>
      <x:c r="P2577" s="22" t="n">
        <x:f>O2577*(1-N2577)</x:f>
        <x:v>488.88</x:v>
      </x:c>
      <x:c r="Q2577" s="22" t="n">
        <x:v>64</x:v>
      </x:c>
      <x:c r="R2577" s="22" t="n">
        <x:f>Q2577*M2577</x:f>
        <x:v>448</x:v>
      </x:c>
      <x:c r="S2577" s="22" t="n">
        <x:f>P2577-R2577</x:f>
        <x:v>40.879999999999995</x:v>
      </x:c>
      <x:c r="T2577" t="str">
        <x:v>Bank Transfer</x:v>
      </x:c>
      <x:c r="U2577" t="str">
        <x:v>Paid</x:v>
      </x:c>
      <x:c r="V2577" t="str">
        <x:v>Delivered</x:v>
      </x:c>
      <x:c r="W2577" t="n">
        <x:v>0</x:v>
      </x:c>
      <x:c r="X2577" t="str"/>
      <x:c r="Y2577" t="str">
        <x:v>WhatsApp</x:v>
      </x:c>
    </x:row>
    <x:row r="2578">
      <x:c r="A2578" t="str">
        <x:v>O002577</x:v>
      </x:c>
      <x:c r="B2578" s="20" t="n">
        <x:v>45706</x:v>
      </x:c>
      <x:c r="C2578" t="str">
        <x:v>C0183</x:v>
      </x:c>
      <x:c r="D2578" t="str">
        <x:v>Spice Mart 183</x:v>
      </x:c>
      <x:c r="E2578" t="str">
        <x:v>Kirana</x:v>
      </x:c>
      <x:c r="F2578" t="str">
        <x:v>Mangaluru</x:v>
      </x:c>
      <x:c r="G2578" t="str">
        <x:v>Kavya</x:v>
      </x:c>
      <x:c r="H2578" t="str">
        <x:v>P048</x:v>
      </x:c>
      <x:c r="I2578" t="str">
        <x:v>Banana 10kg</x:v>
      </x:c>
      <x:c r="J2578" t="str">
        <x:v>Fresh Produce</x:v>
      </x:c>
      <x:c r="K2578" t="str">
        <x:v>Local Market</x:v>
      </x:c>
      <x:c r="L2578" s="22" t="n">
        <x:v>420</x:v>
      </x:c>
      <x:c r="M2578" t="n">
        <x:v>29</x:v>
      </x:c>
      <x:c r="N2578" s="24" t="n">
        <x:v>0.08</x:v>
      </x:c>
      <x:c r="O2578" s="22" t="n">
        <x:f>L2578*M2578</x:f>
        <x:v>12180</x:v>
      </x:c>
      <x:c r="P2578" s="22" t="n">
        <x:f>O2578*(1-N2578)</x:f>
        <x:v>11205.6</x:v>
      </x:c>
      <x:c r="Q2578" s="22" t="n">
        <x:v>350</x:v>
      </x:c>
      <x:c r="R2578" s="22" t="n">
        <x:f>Q2578*M2578</x:f>
        <x:v>10150</x:v>
      </x:c>
      <x:c r="S2578" s="22" t="n">
        <x:f>P2578-R2578</x:f>
        <x:v>1055.6000000000004</x:v>
      </x:c>
      <x:c r="T2578" t="str">
        <x:v>UPI</x:v>
      </x:c>
      <x:c r="U2578" t="str">
        <x:v>Pending</x:v>
      </x:c>
      <x:c r="V2578" t="str">
        <x:v>Delivered</x:v>
      </x:c>
      <x:c r="W2578" t="n">
        <x:v>0</x:v>
      </x:c>
      <x:c r="X2578" t="str"/>
      <x:c r="Y2578" t="str">
        <x:v>Field Visit</x:v>
      </x:c>
    </x:row>
    <x:row r="2579">
      <x:c r="A2579" t="str">
        <x:v>O002578</x:v>
      </x:c>
      <x:c r="B2579" s="20" t="n">
        <x:v>45835</x:v>
      </x:c>
      <x:c r="C2579" t="str">
        <x:v>C0227</x:v>
      </x:c>
      <x:c r="D2579" t="str">
        <x:v>Metro Restaurant 227</x:v>
      </x:c>
      <x:c r="E2579" t="str">
        <x:v>Restaurant</x:v>
      </x:c>
      <x:c r="F2579" t="str">
        <x:v>Davanagere</x:v>
      </x:c>
      <x:c r="G2579" t="str">
        <x:v>Kavya</x:v>
      </x:c>
      <x:c r="H2579" t="str">
        <x:v>P028</x:v>
      </x:c>
      <x:c r="I2579" t="str">
        <x:v>Cookies 200g</x:v>
      </x:c>
      <x:c r="J2579" t="str">
        <x:v>Snacks</x:v>
      </x:c>
      <x:c r="K2579" t="str">
        <x:v>Britannia</x:v>
      </x:c>
      <x:c r="L2579" s="22" t="n">
        <x:v>55</x:v>
      </x:c>
      <x:c r="M2579" t="n">
        <x:v>27</x:v>
      </x:c>
      <x:c r="N2579" s="24" t="n">
        <x:v>0.08</x:v>
      </x:c>
      <x:c r="O2579" s="22" t="n">
        <x:f>L2579*M2579</x:f>
        <x:v>1485</x:v>
      </x:c>
      <x:c r="P2579" s="22" t="n">
        <x:f>O2579*(1-N2579)</x:f>
        <x:v>1366.2</x:v>
      </x:c>
      <x:c r="Q2579" s="22" t="n">
        <x:v>42</x:v>
      </x:c>
      <x:c r="R2579" s="22" t="n">
        <x:f>Q2579*M2579</x:f>
        <x:v>1134</x:v>
      </x:c>
      <x:c r="S2579" s="22" t="n">
        <x:f>P2579-R2579</x:f>
        <x:v>232.20000000000005</x:v>
      </x:c>
      <x:c r="T2579" t="str">
        <x:v>Credit</x:v>
      </x:c>
      <x:c r="U2579" t="str">
        <x:v>Paid</x:v>
      </x:c>
      <x:c r="V2579" t="str">
        <x:v>Delivered</x:v>
      </x:c>
      <x:c r="W2579" t="n">
        <x:v>0</x:v>
      </x:c>
      <x:c r="X2579" t="str"/>
      <x:c r="Y2579" t="str">
        <x:v>Field Visit</x:v>
      </x:c>
    </x:row>
    <x:row r="2580">
      <x:c r="A2580" t="str">
        <x:v>O002579</x:v>
      </x:c>
      <x:c r="B2580" s="20" t="n">
        <x:v>46225</x:v>
      </x:c>
      <x:c r="C2580" t="str">
        <x:v>C0131</x:v>
      </x:c>
      <x:c r="D2580" t="str">
        <x:v>Foodie Canteen 131</x:v>
      </x:c>
      <x:c r="E2580" t="str">
        <x:v>Canteen</x:v>
      </x:c>
      <x:c r="F2580" t="str">
        <x:v>Davanagere</x:v>
      </x:c>
      <x:c r="G2580" t="str">
        <x:v>Arjun</x:v>
      </x:c>
      <x:c r="H2580" t="str">
        <x:v>P040</x:v>
      </x:c>
      <x:c r="I2580" t="str">
        <x:v>Bread Loaf 400g</x:v>
      </x:c>
      <x:c r="J2580" t="str">
        <x:v>Bakery</x:v>
      </x:c>
      <x:c r="K2580" t="str">
        <x:v>Britannia</x:v>
      </x:c>
      <x:c r="L2580" s="22" t="n">
        <x:v>45</x:v>
      </x:c>
      <x:c r="M2580" t="n">
        <x:v>39</x:v>
      </x:c>
      <x:c r="N2580" s="24" t="n">
        <x:v>0.03</x:v>
      </x:c>
      <x:c r="O2580" s="22" t="n">
        <x:f>L2580*M2580</x:f>
        <x:v>1755</x:v>
      </x:c>
      <x:c r="P2580" s="22" t="n">
        <x:f>O2580*(1-N2580)</x:f>
        <x:v>1702.35</x:v>
      </x:c>
      <x:c r="Q2580" s="22" t="n">
        <x:v>35</x:v>
      </x:c>
      <x:c r="R2580" s="22" t="n">
        <x:f>Q2580*M2580</x:f>
        <x:v>1365</x:v>
      </x:c>
      <x:c r="S2580" s="22" t="n">
        <x:f>P2580-R2580</x:f>
        <x:v>337.3499999999999</x:v>
      </x:c>
      <x:c r="T2580" t="str">
        <x:v>Credit</x:v>
      </x:c>
      <x:c r="U2580" t="str">
        <x:v>Paid</x:v>
      </x:c>
      <x:c r="V2580" t="str">
        <x:v>Delivered</x:v>
      </x:c>
      <x:c r="W2580" t="n">
        <x:v>0</x:v>
      </x:c>
      <x:c r="X2580" t="str"/>
      <x:c r="Y2580" t="str">
        <x:v>Field Visit</x:v>
      </x:c>
    </x:row>
    <x:row r="2581">
      <x:c r="A2581" t="str">
        <x:v>O002580</x:v>
      </x:c>
      <x:c r="B2581" s="20" t="n">
        <x:v>45903</x:v>
      </x:c>
      <x:c r="C2581" t="str">
        <x:v>C0176</x:v>
      </x:c>
      <x:c r="D2581" t="str">
        <x:v>Cafe Kitchen 176</x:v>
      </x:c>
      <x:c r="E2581" t="str">
        <x:v>Kirana</x:v>
      </x:c>
      <x:c r="F2581" t="str">
        <x:v>Mysuru</x:v>
      </x:c>
      <x:c r="G2581" t="str">
        <x:v>Priya</x:v>
      </x:c>
      <x:c r="H2581" t="str">
        <x:v>P019</x:v>
      </x:c>
      <x:c r="I2581" t="str">
        <x:v>Tea 1kg</x:v>
      </x:c>
      <x:c r="J2581" t="str">
        <x:v>Beverage</x:v>
      </x:c>
      <x:c r="K2581" t="str">
        <x:v>Red Label</x:v>
      </x:c>
      <x:c r="L2581" s="22" t="n">
        <x:v>540</x:v>
      </x:c>
      <x:c r="M2581" t="n">
        <x:v>19</x:v>
      </x:c>
      <x:c r="N2581" s="24" t="n">
        <x:v>0.05</x:v>
      </x:c>
      <x:c r="O2581" s="22" t="n">
        <x:f>L2581*M2581</x:f>
        <x:v>10260</x:v>
      </x:c>
      <x:c r="P2581" s="22" t="n">
        <x:f>O2581*(1-N2581)</x:f>
        <x:v>9747</x:v>
      </x:c>
      <x:c r="Q2581" s="22" t="n">
        <x:v>485</x:v>
      </x:c>
      <x:c r="R2581" s="22" t="n">
        <x:f>Q2581*M2581</x:f>
        <x:v>9215</x:v>
      </x:c>
      <x:c r="S2581" s="22" t="n">
        <x:f>P2581-R2581</x:f>
        <x:v>532</x:v>
      </x:c>
      <x:c r="T2581" t="str">
        <x:v>Cash</x:v>
      </x:c>
      <x:c r="U2581" t="str">
        <x:v>Paid</x:v>
      </x:c>
      <x:c r="V2581" t="str">
        <x:v>Delivered</x:v>
      </x:c>
      <x:c r="W2581" t="n">
        <x:v>0</x:v>
      </x:c>
      <x:c r="X2581" t="str"/>
      <x:c r="Y2581" t="str">
        <x:v>WhatsApp</x:v>
      </x:c>
    </x:row>
    <x:row r="2582">
      <x:c r="A2582" t="str">
        <x:v>O002581</x:v>
      </x:c>
      <x:c r="B2582" s="20" t="n">
        <x:v>45686</x:v>
      </x:c>
      <x:c r="C2582" t="str">
        <x:v>C0202</x:v>
      </x:c>
      <x:c r="D2582" t="str">
        <x:v>Sagar Foods 202</x:v>
      </x:c>
      <x:c r="E2582" t="str">
        <x:v>Restaurant</x:v>
      </x:c>
      <x:c r="F2582" t="str">
        <x:v>Mangaluru</x:v>
      </x:c>
      <x:c r="G2582" t="str">
        <x:v>Kavya</x:v>
      </x:c>
      <x:c r="H2582" t="str">
        <x:v>P017</x:v>
      </x:c>
      <x:c r="I2582" t="str">
        <x:v>Butter 500g</x:v>
      </x:c>
      <x:c r="J2582" t="str">
        <x:v>Dairy</x:v>
      </x:c>
      <x:c r="K2582" t="str">
        <x:v>Amul</x:v>
      </x:c>
      <x:c r="L2582" s="22" t="n">
        <x:v>285</x:v>
      </x:c>
      <x:c r="M2582" t="n">
        <x:v>16</x:v>
      </x:c>
      <x:c r="N2582" s="24" t="n">
        <x:v>0.03</x:v>
      </x:c>
      <x:c r="O2582" s="22" t="n">
        <x:f>L2582*M2582</x:f>
        <x:v>4560</x:v>
      </x:c>
      <x:c r="P2582" s="22" t="n">
        <x:f>O2582*(1-N2582)</x:f>
        <x:v>4423.2</x:v>
      </x:c>
      <x:c r="Q2582" s="22" t="n">
        <x:v>258</x:v>
      </x:c>
      <x:c r="R2582" s="22" t="n">
        <x:f>Q2582*M2582</x:f>
        <x:v>4128</x:v>
      </x:c>
      <x:c r="S2582" s="22" t="n">
        <x:f>P2582-R2582</x:f>
        <x:v>295.1999999999998</x:v>
      </x:c>
      <x:c r="T2582" t="str">
        <x:v>Credit</x:v>
      </x:c>
      <x:c r="U2582" t="str">
        <x:v>Paid</x:v>
      </x:c>
      <x:c r="V2582" t="str">
        <x:v>Delivered</x:v>
      </x:c>
      <x:c r="W2582" t="n">
        <x:v>0</x:v>
      </x:c>
      <x:c r="X2582" t="str"/>
      <x:c r="Y2582" t="str">
        <x:v>Field Visit</x:v>
      </x:c>
    </x:row>
    <x:row r="2583">
      <x:c r="A2583" t="str">
        <x:v>O002582</x:v>
      </x:c>
      <x:c r="B2583" s="20" t="n">
        <x:v>46089</x:v>
      </x:c>
      <x:c r="C2583" t="str">
        <x:v>C0006</x:v>
      </x:c>
      <x:c r="D2583" t="str">
        <x:v>New Restaurant 6</x:v>
      </x:c>
      <x:c r="E2583" t="str">
        <x:v>Kirana</x:v>
      </x:c>
      <x:c r="F2583" t="str">
        <x:v>Hubballi</x:v>
      </x:c>
      <x:c r="G2583" t="str">
        <x:v>Vikram</x:v>
      </x:c>
      <x:c r="H2583" t="str">
        <x:v>P031</x:v>
      </x:c>
      <x:c r="I2583" t="str">
        <x:v>Chilli Sauce 700g</x:v>
      </x:c>
      <x:c r="J2583" t="str">
        <x:v>Condiments</x:v>
      </x:c>
      <x:c r="K2583" t="str">
        <x:v>Ching's</x:v>
      </x:c>
      <x:c r="L2583" s="22" t="n">
        <x:v>130</x:v>
      </x:c>
      <x:c r="M2583" t="n">
        <x:v>30</x:v>
      </x:c>
      <x:c r="N2583" s="24" t="n">
        <x:v>0.02</x:v>
      </x:c>
      <x:c r="O2583" s="22" t="n">
        <x:f>L2583*M2583</x:f>
        <x:v>3900</x:v>
      </x:c>
      <x:c r="P2583" s="22" t="n">
        <x:f>O2583*(1-N2583)</x:f>
        <x:v>3822</x:v>
      </x:c>
      <x:c r="Q2583" s="22" t="n">
        <x:v>112</x:v>
      </x:c>
      <x:c r="R2583" s="22" t="n">
        <x:f>Q2583*M2583</x:f>
        <x:v>3360</x:v>
      </x:c>
      <x:c r="S2583" s="22" t="n">
        <x:f>P2583-R2583</x:f>
        <x:v>462</x:v>
      </x:c>
      <x:c r="T2583" t="str">
        <x:v>Cash</x:v>
      </x:c>
      <x:c r="U2583" t="str">
        <x:v>Paid</x:v>
      </x:c>
      <x:c r="V2583" t="str">
        <x:v>Delivered</x:v>
      </x:c>
      <x:c r="W2583" t="n">
        <x:v>0</x:v>
      </x:c>
      <x:c r="X2583" t="str"/>
      <x:c r="Y2583" t="str">
        <x:v>Outbound Call</x:v>
      </x:c>
    </x:row>
    <x:row r="2584">
      <x:c r="A2584" t="str">
        <x:v>O002583</x:v>
      </x:c>
      <x:c r="B2584" s="20" t="n">
        <x:v>45870</x:v>
      </x:c>
      <x:c r="C2584" t="str">
        <x:v>C0194</x:v>
      </x:c>
      <x:c r="D2584" t="str">
        <x:v>Royal Hotel 194</x:v>
      </x:c>
      <x:c r="E2584" t="str">
        <x:v>Kirana</x:v>
      </x:c>
      <x:c r="F2584" t="str">
        <x:v>Mysuru</x:v>
      </x:c>
      <x:c r="G2584" t="str">
        <x:v>Megha</x:v>
      </x:c>
      <x:c r="H2584" t="str">
        <x:v>P031</x:v>
      </x:c>
      <x:c r="I2584" t="str">
        <x:v>Chilli Sauce 700g</x:v>
      </x:c>
      <x:c r="J2584" t="str">
        <x:v>Condiments</x:v>
      </x:c>
      <x:c r="K2584" t="str">
        <x:v>Ching's</x:v>
      </x:c>
      <x:c r="L2584" s="22" t="n">
        <x:v>130</x:v>
      </x:c>
      <x:c r="M2584" t="n">
        <x:v>14</x:v>
      </x:c>
      <x:c r="N2584" s="24" t="n">
        <x:v>0</x:v>
      </x:c>
      <x:c r="O2584" s="22" t="n">
        <x:f>L2584*M2584</x:f>
        <x:v>1820</x:v>
      </x:c>
      <x:c r="P2584" s="22" t="n">
        <x:f>O2584*(1-N2584)</x:f>
        <x:v>1820</x:v>
      </x:c>
      <x:c r="Q2584" s="22" t="n">
        <x:v>112</x:v>
      </x:c>
      <x:c r="R2584" s="22" t="n">
        <x:f>Q2584*M2584</x:f>
        <x:v>1568</x:v>
      </x:c>
      <x:c r="S2584" s="22" t="n">
        <x:f>P2584-R2584</x:f>
        <x:v>252</x:v>
      </x:c>
      <x:c r="T2584" t="str">
        <x:v>UPI</x:v>
      </x:c>
      <x:c r="U2584" t="str">
        <x:v>Pending</x:v>
      </x:c>
      <x:c r="V2584" t="str">
        <x:v>Cancelled</x:v>
      </x:c>
      <x:c r="W2584" t="n">
        <x:v>14</x:v>
      </x:c>
      <x:c r="X2584" t="str">
        <x:v>Cancelled Order</x:v>
      </x:c>
      <x:c r="Y2584" t="str">
        <x:v>Outbound Call</x:v>
      </x:c>
    </x:row>
    <x:row r="2585">
      <x:c r="A2585" t="str">
        <x:v>O002584</x:v>
      </x:c>
      <x:c r="B2585" s="20" t="n">
        <x:v>45692</x:v>
      </x:c>
      <x:c r="C2585" t="str">
        <x:v>C0072</x:v>
      </x:c>
      <x:c r="D2585" t="str">
        <x:v>Grand Restaurant 72</x:v>
      </x:c>
      <x:c r="E2585" t="str">
        <x:v>Restaurant</x:v>
      </x:c>
      <x:c r="F2585" t="str">
        <x:v>Davanagere</x:v>
      </x:c>
      <x:c r="G2585" t="str">
        <x:v>Kavya</x:v>
      </x:c>
      <x:c r="H2585" t="str">
        <x:v>P048</x:v>
      </x:c>
      <x:c r="I2585" t="str">
        <x:v>Banana 10kg</x:v>
      </x:c>
      <x:c r="J2585" t="str">
        <x:v>Fresh Produce</x:v>
      </x:c>
      <x:c r="K2585" t="str">
        <x:v>Local Market</x:v>
      </x:c>
      <x:c r="L2585" s="22" t="n">
        <x:v>420</x:v>
      </x:c>
      <x:c r="M2585" t="n">
        <x:v>27</x:v>
      </x:c>
      <x:c r="N2585" s="24" t="n">
        <x:v>0.02</x:v>
      </x:c>
      <x:c r="O2585" s="22" t="n">
        <x:f>L2585*M2585</x:f>
        <x:v>11340</x:v>
      </x:c>
      <x:c r="P2585" s="22" t="n">
        <x:f>O2585*(1-N2585)</x:f>
        <x:v>11113.199999999999</x:v>
      </x:c>
      <x:c r="Q2585" s="22" t="n">
        <x:v>350</x:v>
      </x:c>
      <x:c r="R2585" s="22" t="n">
        <x:f>Q2585*M2585</x:f>
        <x:v>9450</x:v>
      </x:c>
      <x:c r="S2585" s="22" t="n">
        <x:f>P2585-R2585</x:f>
        <x:v>1663.199999999999</x:v>
      </x:c>
      <x:c r="T2585" t="str">
        <x:v>Cash</x:v>
      </x:c>
      <x:c r="U2585" t="str">
        <x:v>Pending</x:v>
      </x:c>
      <x:c r="V2585" t="str">
        <x:v>Delivered</x:v>
      </x:c>
      <x:c r="W2585" t="n">
        <x:v>0</x:v>
      </x:c>
      <x:c r="X2585" t="str"/>
      <x:c r="Y2585" t="str">
        <x:v>Field Visit</x:v>
      </x:c>
    </x:row>
    <x:row r="2586">
      <x:c r="A2586" t="str">
        <x:v>O002585</x:v>
      </x:c>
      <x:c r="B2586" s="20" t="n">
        <x:v>46195</x:v>
      </x:c>
      <x:c r="C2586" t="str">
        <x:v>C0088</x:v>
      </x:c>
      <x:c r="D2586" t="str">
        <x:v>Darshini Kitchen 88</x:v>
      </x:c>
      <x:c r="E2586" t="str">
        <x:v>Cafe</x:v>
      </x:c>
      <x:c r="F2586" t="str">
        <x:v>Tumakuru</x:v>
      </x:c>
      <x:c r="G2586" t="str">
        <x:v>Arjun</x:v>
      </x:c>
      <x:c r="H2586" t="str">
        <x:v>P016</x:v>
      </x:c>
      <x:c r="I2586" t="str">
        <x:v>Curd 1kg</x:v>
      </x:c>
      <x:c r="J2586" t="str">
        <x:v>Dairy</x:v>
      </x:c>
      <x:c r="K2586" t="str">
        <x:v>Nandini</x:v>
      </x:c>
      <x:c r="L2586" s="22" t="n">
        <x:v>72</x:v>
      </x:c>
      <x:c r="M2586" t="n">
        <x:v>22</x:v>
      </x:c>
      <x:c r="N2586" s="24" t="n">
        <x:v>0.05</x:v>
      </x:c>
      <x:c r="O2586" s="22" t="n">
        <x:f>L2586*M2586</x:f>
        <x:v>1584</x:v>
      </x:c>
      <x:c r="P2586" s="22" t="n">
        <x:f>O2586*(1-N2586)</x:f>
        <x:v>1504.8</x:v>
      </x:c>
      <x:c r="Q2586" s="22" t="n">
        <x:v>64</x:v>
      </x:c>
      <x:c r="R2586" s="22" t="n">
        <x:f>Q2586*M2586</x:f>
        <x:v>1408</x:v>
      </x:c>
      <x:c r="S2586" s="22" t="n">
        <x:f>P2586-R2586</x:f>
        <x:v>96.79999999999995</x:v>
      </x:c>
      <x:c r="T2586" t="str">
        <x:v>Credit</x:v>
      </x:c>
      <x:c r="U2586" t="str">
        <x:v>Paid</x:v>
      </x:c>
      <x:c r="V2586" t="str">
        <x:v>Delivered</x:v>
      </x:c>
      <x:c r="W2586" t="n">
        <x:v>0</x:v>
      </x:c>
      <x:c r="X2586" t="str"/>
      <x:c r="Y2586" t="str">
        <x:v>Referral</x:v>
      </x:c>
    </x:row>
    <x:row r="2587">
      <x:c r="A2587" t="str">
        <x:v>O002586</x:v>
      </x:c>
      <x:c r="B2587" s="20" t="n">
        <x:v>46098</x:v>
      </x:c>
      <x:c r="C2587" t="str">
        <x:v>C0034</x:v>
      </x:c>
      <x:c r="D2587" t="str">
        <x:v>City Restaurant 34</x:v>
      </x:c>
      <x:c r="E2587" t="str">
        <x:v>Restaurant</x:v>
      </x:c>
      <x:c r="F2587" t="str">
        <x:v>Mangaluru</x:v>
      </x:c>
      <x:c r="G2587" t="str">
        <x:v>Sneha</x:v>
      </x:c>
      <x:c r="H2587" t="str">
        <x:v>P027</x:v>
      </x:c>
      <x:c r="I2587" t="str">
        <x:v>Biscuits 120g</x:v>
      </x:c>
      <x:c r="J2587" t="str">
        <x:v>Snacks</x:v>
      </x:c>
      <x:c r="K2587" t="str">
        <x:v>Parle-G</x:v>
      </x:c>
      <x:c r="L2587" s="22" t="n">
        <x:v>12</x:v>
      </x:c>
      <x:c r="M2587" t="n">
        <x:v>3</x:v>
      </x:c>
      <x:c r="N2587" s="24" t="n">
        <x:v>0.05</x:v>
      </x:c>
      <x:c r="O2587" s="22" t="n">
        <x:f>L2587*M2587</x:f>
        <x:v>36</x:v>
      </x:c>
      <x:c r="P2587" s="22" t="n">
        <x:f>O2587*(1-N2587)</x:f>
        <x:v>34.199999999999996</x:v>
      </x:c>
      <x:c r="Q2587" s="22" t="n">
        <x:v>9</x:v>
      </x:c>
      <x:c r="R2587" s="22" t="n">
        <x:f>Q2587*M2587</x:f>
        <x:v>27</x:v>
      </x:c>
      <x:c r="S2587" s="22" t="n">
        <x:f>P2587-R2587</x:f>
        <x:v>7.199999999999996</x:v>
      </x:c>
      <x:c r="T2587" t="str">
        <x:v>UPI</x:v>
      </x:c>
      <x:c r="U2587" t="str">
        <x:v>Pending</x:v>
      </x:c>
      <x:c r="V2587" t="str">
        <x:v>Delivered</x:v>
      </x:c>
      <x:c r="W2587" t="n">
        <x:v>0</x:v>
      </x:c>
      <x:c r="X2587" t="str"/>
      <x:c r="Y2587" t="str">
        <x:v>Outbound Call</x:v>
      </x:c>
    </x:row>
    <x:row r="2588">
      <x:c r="A2588" t="str">
        <x:v>O002587</x:v>
      </x:c>
      <x:c r="B2588" s="20" t="n">
        <x:v>45738</x:v>
      </x:c>
      <x:c r="C2588" t="str">
        <x:v>C0147</x:v>
      </x:c>
      <x:c r="D2588" t="str">
        <x:v>New Stores 147</x:v>
      </x:c>
      <x:c r="E2588" t="str">
        <x:v>Supermarket</x:v>
      </x:c>
      <x:c r="F2588" t="str">
        <x:v>Hubballi</x:v>
      </x:c>
      <x:c r="G2588" t="str">
        <x:v>Imran</x:v>
      </x:c>
      <x:c r="H2588" t="str">
        <x:v>P048</x:v>
      </x:c>
      <x:c r="I2588" t="str">
        <x:v>Banana 10kg</x:v>
      </x:c>
      <x:c r="J2588" t="str">
        <x:v>Fresh Produce</x:v>
      </x:c>
      <x:c r="K2588" t="str">
        <x:v>Local Market</x:v>
      </x:c>
      <x:c r="L2588" s="22" t="n">
        <x:v>420</x:v>
      </x:c>
      <x:c r="M2588" t="n">
        <x:v>5</x:v>
      </x:c>
      <x:c r="N2588" s="24" t="n">
        <x:v>0</x:v>
      </x:c>
      <x:c r="O2588" s="22" t="n">
        <x:f>L2588*M2588</x:f>
        <x:v>2100</x:v>
      </x:c>
      <x:c r="P2588" s="22" t="n">
        <x:f>O2588*(1-N2588)</x:f>
        <x:v>2100</x:v>
      </x:c>
      <x:c r="Q2588" s="22" t="n">
        <x:v>350</x:v>
      </x:c>
      <x:c r="R2588" s="22" t="n">
        <x:f>Q2588*M2588</x:f>
        <x:v>1750</x:v>
      </x:c>
      <x:c r="S2588" s="22" t="n">
        <x:f>P2588-R2588</x:f>
        <x:v>350</x:v>
      </x:c>
      <x:c r="T2588" t="str">
        <x:v>Bank Transfer</x:v>
      </x:c>
      <x:c r="U2588" t="str">
        <x:v>Pending</x:v>
      </x:c>
      <x:c r="V2588" t="str">
        <x:v>Delayed</x:v>
      </x:c>
      <x:c r="W2588" t="n">
        <x:v>0</x:v>
      </x:c>
      <x:c r="X2588" t="str"/>
      <x:c r="Y2588" t="str">
        <x:v>Field Visit</x:v>
      </x:c>
    </x:row>
    <x:row r="2589">
      <x:c r="A2589" t="str">
        <x:v>O002588</x:v>
      </x:c>
      <x:c r="B2589" s="20" t="n">
        <x:v>46272</x:v>
      </x:c>
      <x:c r="C2589" t="str">
        <x:v>C0020</x:v>
      </x:c>
      <x:c r="D2589" t="str">
        <x:v>Shree Foods 20</x:v>
      </x:c>
      <x:c r="E2589" t="str">
        <x:v>Restaurant</x:v>
      </x:c>
      <x:c r="F2589" t="str">
        <x:v>Mysuru</x:v>
      </x:c>
      <x:c r="G2589" t="str">
        <x:v>Arjun</x:v>
      </x:c>
      <x:c r="H2589" t="str">
        <x:v>P006</x:v>
      </x:c>
      <x:c r="I2589" t="str">
        <x:v>Moong Dal 5kg</x:v>
      </x:c>
      <x:c r="J2589" t="str">
        <x:v>Pulses</x:v>
      </x:c>
      <x:c r="K2589" t="str">
        <x:v>Local Select</x:v>
      </x:c>
      <x:c r="L2589" s="22" t="n">
        <x:v>610</x:v>
      </x:c>
      <x:c r="M2589" t="n">
        <x:v>39</x:v>
      </x:c>
      <x:c r="N2589" s="24" t="n">
        <x:v>0.03</x:v>
      </x:c>
      <x:c r="O2589" s="22" t="n">
        <x:f>L2589*M2589</x:f>
        <x:v>23790</x:v>
      </x:c>
      <x:c r="P2589" s="22" t="n">
        <x:f>O2589*(1-N2589)</x:f>
        <x:v>23076.3</x:v>
      </x:c>
      <x:c r="Q2589" s="22" t="n">
        <x:v>540</x:v>
      </x:c>
      <x:c r="R2589" s="22" t="n">
        <x:f>Q2589*M2589</x:f>
        <x:v>21060</x:v>
      </x:c>
      <x:c r="S2589" s="22" t="n">
        <x:f>P2589-R2589</x:f>
        <x:v>2016.2999999999993</x:v>
      </x:c>
      <x:c r="T2589" t="str">
        <x:v>Credit</x:v>
      </x:c>
      <x:c r="U2589" t="str">
        <x:v>Pending</x:v>
      </x:c>
      <x:c r="V2589" t="str">
        <x:v>Delivered</x:v>
      </x:c>
      <x:c r="W2589" t="n">
        <x:v>0</x:v>
      </x:c>
      <x:c r="X2589" t="str"/>
      <x:c r="Y2589" t="str">
        <x:v>Outbound Call</x:v>
      </x:c>
    </x:row>
    <x:row r="2590">
      <x:c r="A2590" t="str">
        <x:v>O002589</x:v>
      </x:c>
      <x:c r="B2590" s="20" t="n">
        <x:v>45878</x:v>
      </x:c>
      <x:c r="C2590" t="str">
        <x:v>C0082</x:v>
      </x:c>
      <x:c r="D2590" t="str">
        <x:v>City Foods 82</x:v>
      </x:c>
      <x:c r="E2590" t="str">
        <x:v>Hotel</x:v>
      </x:c>
      <x:c r="F2590" t="str">
        <x:v>Mangaluru</x:v>
      </x:c>
      <x:c r="G2590" t="str">
        <x:v>Kavya</x:v>
      </x:c>
      <x:c r="H2590" t="str">
        <x:v>P033</x:v>
      </x:c>
      <x:c r="I2590" t="str">
        <x:v>Turmeric Powder 1kg</x:v>
      </x:c>
      <x:c r="J2590" t="str">
        <x:v>Spices</x:v>
      </x:c>
      <x:c r="K2590" t="str">
        <x:v>Everest</x:v>
      </x:c>
      <x:c r="L2590" s="22" t="n">
        <x:v>310</x:v>
      </x:c>
      <x:c r="M2590" t="n">
        <x:v>29</x:v>
      </x:c>
      <x:c r="N2590" s="24" t="n">
        <x:v>0.05</x:v>
      </x:c>
      <x:c r="O2590" s="22" t="n">
        <x:f>L2590*M2590</x:f>
        <x:v>8990</x:v>
      </x:c>
      <x:c r="P2590" s="22" t="n">
        <x:f>O2590*(1-N2590)</x:f>
        <x:v>8540.5</x:v>
      </x:c>
      <x:c r="Q2590" s="22" t="n">
        <x:v>270</x:v>
      </x:c>
      <x:c r="R2590" s="22" t="n">
        <x:f>Q2590*M2590</x:f>
        <x:v>7830</x:v>
      </x:c>
      <x:c r="S2590" s="22" t="n">
        <x:f>P2590-R2590</x:f>
        <x:v>710.5</x:v>
      </x:c>
      <x:c r="T2590" t="str">
        <x:v>Cash</x:v>
      </x:c>
      <x:c r="U2590" t="str">
        <x:v>Paid</x:v>
      </x:c>
      <x:c r="V2590" t="str">
        <x:v>Delivered</x:v>
      </x:c>
      <x:c r="W2590" t="n">
        <x:v>0</x:v>
      </x:c>
      <x:c r="X2590" t="str"/>
      <x:c r="Y2590" t="str">
        <x:v>Field Visit</x:v>
      </x:c>
    </x:row>
    <x:row r="2591">
      <x:c r="A2591" t="str">
        <x:v>O002590</x:v>
      </x:c>
      <x:c r="B2591" s="20" t="n">
        <x:v>46180</x:v>
      </x:c>
      <x:c r="C2591" t="str">
        <x:v>C0109</x:v>
      </x:c>
      <x:c r="D2591" t="str">
        <x:v>Annapurna Kitchen 109</x:v>
      </x:c>
      <x:c r="E2591" t="str">
        <x:v>Kirana</x:v>
      </x:c>
      <x:c r="F2591" t="str">
        <x:v>Mysuru</x:v>
      </x:c>
      <x:c r="G2591" t="str">
        <x:v>Kavya</x:v>
      </x:c>
      <x:c r="H2591" t="str">
        <x:v>P006</x:v>
      </x:c>
      <x:c r="I2591" t="str">
        <x:v>Moong Dal 5kg</x:v>
      </x:c>
      <x:c r="J2591" t="str">
        <x:v>Pulses</x:v>
      </x:c>
      <x:c r="K2591" t="str">
        <x:v>Local Select</x:v>
      </x:c>
      <x:c r="L2591" s="22" t="n">
        <x:v>610</x:v>
      </x:c>
      <x:c r="M2591" t="n">
        <x:v>27</x:v>
      </x:c>
      <x:c r="N2591" s="24" t="n">
        <x:v>0.03</x:v>
      </x:c>
      <x:c r="O2591" s="22" t="n">
        <x:f>L2591*M2591</x:f>
        <x:v>16470</x:v>
      </x:c>
      <x:c r="P2591" s="22" t="n">
        <x:f>O2591*(1-N2591)</x:f>
        <x:v>15975.9</x:v>
      </x:c>
      <x:c r="Q2591" s="22" t="n">
        <x:v>540</x:v>
      </x:c>
      <x:c r="R2591" s="22" t="n">
        <x:f>Q2591*M2591</x:f>
        <x:v>14580</x:v>
      </x:c>
      <x:c r="S2591" s="22" t="n">
        <x:f>P2591-R2591</x:f>
        <x:v>1395.8999999999996</x:v>
      </x:c>
      <x:c r="T2591" t="str">
        <x:v>UPI</x:v>
      </x:c>
      <x:c r="U2591" t="str">
        <x:v>Paid</x:v>
      </x:c>
      <x:c r="V2591" t="str">
        <x:v>Delivered</x:v>
      </x:c>
      <x:c r="W2591" t="n">
        <x:v>0</x:v>
      </x:c>
      <x:c r="X2591" t="str"/>
      <x:c r="Y2591" t="str">
        <x:v>WhatsApp</x:v>
      </x:c>
    </x:row>
    <x:row r="2592">
      <x:c r="A2592" t="str">
        <x:v>O002591</x:v>
      </x:c>
      <x:c r="B2592" s="20" t="n">
        <x:v>46218</x:v>
      </x:c>
      <x:c r="C2592" t="str">
        <x:v>C0167</x:v>
      </x:c>
      <x:c r="D2592" t="str">
        <x:v>Foodie Canteen 167</x:v>
      </x:c>
      <x:c r="E2592" t="str">
        <x:v>Canteen</x:v>
      </x:c>
      <x:c r="F2592" t="str">
        <x:v>Bengaluru</x:v>
      </x:c>
      <x:c r="G2592" t="str">
        <x:v>Megha</x:v>
      </x:c>
      <x:c r="H2592" t="str">
        <x:v>P025</x:v>
      </x:c>
      <x:c r="I2592" t="str">
        <x:v>Potato Chips 100g</x:v>
      </x:c>
      <x:c r="J2592" t="str">
        <x:v>Snacks</x:v>
      </x:c>
      <x:c r="K2592" t="str">
        <x:v>Lay's</x:v>
      </x:c>
      <x:c r="L2592" s="22" t="n">
        <x:v>35</x:v>
      </x:c>
      <x:c r="M2592" t="n">
        <x:v>10</x:v>
      </x:c>
      <x:c r="N2592" s="24" t="n">
        <x:v>0.05</x:v>
      </x:c>
      <x:c r="O2592" s="22" t="n">
        <x:f>L2592*M2592</x:f>
        <x:v>350</x:v>
      </x:c>
      <x:c r="P2592" s="22" t="n">
        <x:f>O2592*(1-N2592)</x:f>
        <x:v>332.5</x:v>
      </x:c>
      <x:c r="Q2592" s="22" t="n">
        <x:v>27</x:v>
      </x:c>
      <x:c r="R2592" s="22" t="n">
        <x:f>Q2592*M2592</x:f>
        <x:v>270</x:v>
      </x:c>
      <x:c r="S2592" s="22" t="n">
        <x:f>P2592-R2592</x:f>
        <x:v>62.5</x:v>
      </x:c>
      <x:c r="T2592" t="str">
        <x:v>UPI</x:v>
      </x:c>
      <x:c r="U2592" t="str">
        <x:v>Pending</x:v>
      </x:c>
      <x:c r="V2592" t="str">
        <x:v>Cancelled</x:v>
      </x:c>
      <x:c r="W2592" t="n">
        <x:v>10</x:v>
      </x:c>
      <x:c r="X2592" t="str">
        <x:v>Cancelled Order</x:v>
      </x:c>
      <x:c r="Y2592" t="str">
        <x:v>Referral</x:v>
      </x:c>
    </x:row>
    <x:row r="2593">
      <x:c r="A2593" t="str">
        <x:v>O002592</x:v>
      </x:c>
      <x:c r="B2593" s="20" t="n">
        <x:v>46258</x:v>
      </x:c>
      <x:c r="C2593" t="str">
        <x:v>C0088</x:v>
      </x:c>
      <x:c r="D2593" t="str">
        <x:v>Darshini Kitchen 88</x:v>
      </x:c>
      <x:c r="E2593" t="str">
        <x:v>Cafe</x:v>
      </x:c>
      <x:c r="F2593" t="str">
        <x:v>Tumakuru</x:v>
      </x:c>
      <x:c r="G2593" t="str">
        <x:v>Arjun</x:v>
      </x:c>
      <x:c r="H2593" t="str">
        <x:v>P039</x:v>
      </x:c>
      <x:c r="I2593" t="str">
        <x:v>Ice Cream 4L</x:v>
      </x:c>
      <x:c r="J2593" t="str">
        <x:v>Frozen</x:v>
      </x:c>
      <x:c r="K2593" t="str">
        <x:v>Amul</x:v>
      </x:c>
      <x:c r="L2593" s="22" t="n">
        <x:v>480</x:v>
      </x:c>
      <x:c r="M2593" t="n">
        <x:v>24</x:v>
      </x:c>
      <x:c r="N2593" s="24" t="n">
        <x:v>0</x:v>
      </x:c>
      <x:c r="O2593" s="22" t="n">
        <x:f>L2593*M2593</x:f>
        <x:v>11520</x:v>
      </x:c>
      <x:c r="P2593" s="22" t="n">
        <x:f>O2593*(1-N2593)</x:f>
        <x:v>11520</x:v>
      </x:c>
      <x:c r="Q2593" s="22" t="n">
        <x:v>420</x:v>
      </x:c>
      <x:c r="R2593" s="22" t="n">
        <x:f>Q2593*M2593</x:f>
        <x:v>10080</x:v>
      </x:c>
      <x:c r="S2593" s="22" t="n">
        <x:f>P2593-R2593</x:f>
        <x:v>1440</x:v>
      </x:c>
      <x:c r="T2593" t="str">
        <x:v>UPI</x:v>
      </x:c>
      <x:c r="U2593" t="str">
        <x:v>Paid</x:v>
      </x:c>
      <x:c r="V2593" t="str">
        <x:v>Delivered</x:v>
      </x:c>
      <x:c r="W2593" t="n">
        <x:v>0</x:v>
      </x:c>
      <x:c r="X2593" t="str"/>
      <x:c r="Y2593" t="str"/>
    </x:row>
    <x:row r="2594">
      <x:c r="A2594" t="str">
        <x:v>O002593</x:v>
      </x:c>
      <x:c r="B2594" s="20" t="n">
        <x:v>45848</x:v>
      </x:c>
      <x:c r="C2594" t="str">
        <x:v>C0047</x:v>
      </x:c>
      <x:c r="D2594" t="str">
        <x:v>Shree Restaurant 47</x:v>
      </x:c>
      <x:c r="E2594" t="str">
        <x:v>Canteen</x:v>
      </x:c>
      <x:c r="F2594" t="str">
        <x:v>Davanagere</x:v>
      </x:c>
      <x:c r="G2594" t="str">
        <x:v>Arjun</x:v>
      </x:c>
      <x:c r="H2594" t="str">
        <x:v>P037</x:v>
      </x:c>
      <x:c r="I2594" t="str">
        <x:v>Frozen Peas 1kg</x:v>
      </x:c>
      <x:c r="J2594" t="str">
        <x:v>Frozen</x:v>
      </x:c>
      <x:c r="K2594" t="str">
        <x:v>Safal</x:v>
      </x:c>
      <x:c r="L2594" s="22" t="n">
        <x:v>155</x:v>
      </x:c>
      <x:c r="M2594" t="n">
        <x:v>32</x:v>
      </x:c>
      <x:c r="N2594" s="24" t="n">
        <x:v>0.03</x:v>
      </x:c>
      <x:c r="O2594" s="22" t="n">
        <x:f>L2594*M2594</x:f>
        <x:v>4960</x:v>
      </x:c>
      <x:c r="P2594" s="22" t="n">
        <x:f>O2594*(1-N2594)</x:f>
        <x:v>4811.2</x:v>
      </x:c>
      <x:c r="Q2594" s="22" t="n">
        <x:v>138</x:v>
      </x:c>
      <x:c r="R2594" s="22" t="n">
        <x:f>Q2594*M2594</x:f>
        <x:v>4416</x:v>
      </x:c>
      <x:c r="S2594" s="22" t="n">
        <x:f>P2594-R2594</x:f>
        <x:v>395.1999999999998</x:v>
      </x:c>
      <x:c r="T2594" t="str">
        <x:v>Cash</x:v>
      </x:c>
      <x:c r="U2594" t="str">
        <x:v>Pending</x:v>
      </x:c>
      <x:c r="V2594" t="str">
        <x:v>Delivered</x:v>
      </x:c>
      <x:c r="W2594" t="n">
        <x:v>0</x:v>
      </x:c>
      <x:c r="X2594" t="str"/>
      <x:c r="Y2594" t="str">
        <x:v>WhatsApp</x:v>
      </x:c>
    </x:row>
    <x:row r="2595">
      <x:c r="A2595" t="str">
        <x:v>O002594</x:v>
      </x:c>
      <x:c r="B2595" s="20" t="n">
        <x:v>46090</x:v>
      </x:c>
      <x:c r="C2595" t="str">
        <x:v>C0160</x:v>
      </x:c>
      <x:c r="D2595" t="str">
        <x:v>Hotel Foods 160</x:v>
      </x:c>
      <x:c r="E2595" t="str">
        <x:v>Hotel</x:v>
      </x:c>
      <x:c r="F2595" t="str">
        <x:v>Mangaluru</x:v>
      </x:c>
      <x:c r="G2595" t="str">
        <x:v>Sneha</x:v>
      </x:c>
      <x:c r="H2595" t="str">
        <x:v>P035</x:v>
      </x:c>
      <x:c r="I2595" t="str">
        <x:v>Coriander Powder 1kg</x:v>
      </x:c>
      <x:c r="J2595" t="str">
        <x:v>Spices</x:v>
      </x:c>
      <x:c r="K2595" t="str">
        <x:v>Everest</x:v>
      </x:c>
      <x:c r="L2595" s="22" t="n">
        <x:v>280</x:v>
      </x:c>
      <x:c r="M2595" t="n">
        <x:v>12</x:v>
      </x:c>
      <x:c r="N2595" s="24" t="n">
        <x:v>0.08</x:v>
      </x:c>
      <x:c r="O2595" s="22" t="n">
        <x:f>L2595*M2595</x:f>
        <x:v>3360</x:v>
      </x:c>
      <x:c r="P2595" s="22" t="n">
        <x:f>O2595*(1-N2595)</x:f>
        <x:v>3091.2000000000003</x:v>
      </x:c>
      <x:c r="Q2595" s="22" t="n">
        <x:v>245</x:v>
      </x:c>
      <x:c r="R2595" s="22" t="n">
        <x:f>Q2595*M2595</x:f>
        <x:v>2940</x:v>
      </x:c>
      <x:c r="S2595" s="22" t="n">
        <x:f>P2595-R2595</x:f>
        <x:v>151.20000000000027</x:v>
      </x:c>
      <x:c r="T2595" t="str">
        <x:v>UPI</x:v>
      </x:c>
      <x:c r="U2595" t="str">
        <x:v>Paid</x:v>
      </x:c>
      <x:c r="V2595" t="str">
        <x:v>Delivered</x:v>
      </x:c>
      <x:c r="W2595" t="n">
        <x:v>1</x:v>
      </x:c>
      <x:c r="X2595" t="str">
        <x:v>Late Delivery</x:v>
      </x:c>
      <x:c r="Y2595" t="str">
        <x:v>WhatsApp</x:v>
      </x:c>
    </x:row>
    <x:row r="2596">
      <x:c r="A2596" t="str">
        <x:v>O002595</x:v>
      </x:c>
      <x:c r="B2596" s="20" t="n">
        <x:v>46119</x:v>
      </x:c>
      <x:c r="C2596" t="str">
        <x:v>C0125</x:v>
      </x:c>
      <x:c r="D2596" t="str">
        <x:v>Spice Restaurant 125</x:v>
      </x:c>
      <x:c r="E2596" t="str">
        <x:v>Kirana</x:v>
      </x:c>
      <x:c r="F2596" t="str">
        <x:v>Tumakuru</x:v>
      </x:c>
      <x:c r="G2596" t="str">
        <x:v>Ramesh</x:v>
      </x:c>
      <x:c r="H2596" t="str">
        <x:v>P020</x:v>
      </x:c>
      <x:c r="I2596" t="str">
        <x:v>Coffee 500g</x:v>
      </x:c>
      <x:c r="J2596" t="str">
        <x:v>Beverage</x:v>
      </x:c>
      <x:c r="K2596" t="str">
        <x:v>Bru</x:v>
      </x:c>
      <x:c r="L2596" s="22" t="n">
        <x:v>390</x:v>
      </x:c>
      <x:c r="M2596" t="n">
        <x:v>16</x:v>
      </x:c>
      <x:c r="N2596" s="24" t="n">
        <x:v>0</x:v>
      </x:c>
      <x:c r="O2596" s="22" t="n">
        <x:f>L2596*M2596</x:f>
        <x:v>6240</x:v>
      </x:c>
      <x:c r="P2596" s="22" t="n">
        <x:f>O2596*(1-N2596)</x:f>
        <x:v>6240</x:v>
      </x:c>
      <x:c r="Q2596" s="22" t="n">
        <x:v>350</x:v>
      </x:c>
      <x:c r="R2596" s="22" t="n">
        <x:f>Q2596*M2596</x:f>
        <x:v>5600</x:v>
      </x:c>
      <x:c r="S2596" s="22" t="n">
        <x:f>P2596-R2596</x:f>
        <x:v>640</x:v>
      </x:c>
      <x:c r="T2596" t="str">
        <x:v>UPI</x:v>
      </x:c>
      <x:c r="U2596" t="str">
        <x:v>Paid</x:v>
      </x:c>
      <x:c r="V2596" t="str">
        <x:v>Cancelled</x:v>
      </x:c>
      <x:c r="W2596" t="n">
        <x:v>16</x:v>
      </x:c>
      <x:c r="X2596" t="str">
        <x:v>Cancelled Order</x:v>
      </x:c>
      <x:c r="Y2596" t="str">
        <x:v>Existing Customer</x:v>
      </x:c>
    </x:row>
    <x:row r="2597">
      <x:c r="A2597" t="str">
        <x:v>O002596</x:v>
      </x:c>
      <x:c r="B2597" s="20" t="n">
        <x:v>45964</x:v>
      </x:c>
      <x:c r="C2597" t="str">
        <x:v>C0067</x:v>
      </x:c>
      <x:c r="D2597" t="str">
        <x:v>Royal Restaurant 67</x:v>
      </x:c>
      <x:c r="E2597" t="str">
        <x:v>Supermarket</x:v>
      </x:c>
      <x:c r="F2597" t="str">
        <x:v>Tumakuru</x:v>
      </x:c>
      <x:c r="G2597" t="str">
        <x:v>Sneha</x:v>
      </x:c>
      <x:c r="H2597" t="str">
        <x:v>P030</x:v>
      </x:c>
      <x:c r="I2597" t="str">
        <x:v>Mayonnaise 1kg</x:v>
      </x:c>
      <x:c r="J2597" t="str">
        <x:v>Condiments</x:v>
      </x:c>
      <x:c r="K2597" t="str">
        <x:v>Veeba</x:v>
      </x:c>
      <x:c r="L2597" s="22" t="n">
        <x:v>210</x:v>
      </x:c>
      <x:c r="M2597" t="n">
        <x:v>20</x:v>
      </x:c>
      <x:c r="N2597" s="24" t="n">
        <x:v>0.05</x:v>
      </x:c>
      <x:c r="O2597" s="22" t="n">
        <x:f>L2597*M2597</x:f>
        <x:v>4200</x:v>
      </x:c>
      <x:c r="P2597" s="22" t="n">
        <x:f>O2597*(1-N2597)</x:f>
        <x:v>3990</x:v>
      </x:c>
      <x:c r="Q2597" s="22" t="n">
        <x:v>185</x:v>
      </x:c>
      <x:c r="R2597" s="22" t="n">
        <x:f>Q2597*M2597</x:f>
        <x:v>3700</x:v>
      </x:c>
      <x:c r="S2597" s="22" t="n">
        <x:f>P2597-R2597</x:f>
        <x:v>290</x:v>
      </x:c>
      <x:c r="T2597" t="str">
        <x:v>UPI</x:v>
      </x:c>
      <x:c r="U2597" t="str">
        <x:v>Paid</x:v>
      </x:c>
      <x:c r="V2597" t="str">
        <x:v>Delayed</x:v>
      </x:c>
      <x:c r="W2597" t="n">
        <x:v>0</x:v>
      </x:c>
      <x:c r="X2597" t="str"/>
      <x:c r="Y2597" t="str">
        <x:v>Field Visit</x:v>
      </x:c>
    </x:row>
    <x:row r="2598">
      <x:c r="A2598" t="str">
        <x:v>O002597</x:v>
      </x:c>
      <x:c r="B2598" s="20" t="n">
        <x:v>45828</x:v>
      </x:c>
      <x:c r="C2598" t="str">
        <x:v>C0005</x:v>
      </x:c>
      <x:c r="D2598" t="str">
        <x:v>Sagar Kitchen 5</x:v>
      </x:c>
      <x:c r="E2598" t="str">
        <x:v>Restaurant</x:v>
      </x:c>
      <x:c r="F2598" t="str">
        <x:v>Hubballi</x:v>
      </x:c>
      <x:c r="G2598" t="str">
        <x:v>Priya</x:v>
      </x:c>
      <x:c r="H2598" t="str">
        <x:v>P048</x:v>
      </x:c>
      <x:c r="I2598" t="str">
        <x:v>Banana 10kg</x:v>
      </x:c>
      <x:c r="J2598" t="str">
        <x:v>Fresh Produce</x:v>
      </x:c>
      <x:c r="K2598" t="str">
        <x:v>Local Market</x:v>
      </x:c>
      <x:c r="L2598" s="22" t="n">
        <x:v>420</x:v>
      </x:c>
      <x:c r="M2598" t="n">
        <x:v>15</x:v>
      </x:c>
      <x:c r="N2598" s="24" t="n">
        <x:v>0.05</x:v>
      </x:c>
      <x:c r="O2598" s="22" t="n">
        <x:f>L2598*M2598</x:f>
        <x:v>6300</x:v>
      </x:c>
      <x:c r="P2598" s="22" t="n">
        <x:f>O2598*(1-N2598)</x:f>
        <x:v>5985</x:v>
      </x:c>
      <x:c r="Q2598" s="22" t="n">
        <x:v>350</x:v>
      </x:c>
      <x:c r="R2598" s="22" t="n">
        <x:f>Q2598*M2598</x:f>
        <x:v>5250</x:v>
      </x:c>
      <x:c r="S2598" s="22" t="n">
        <x:f>P2598-R2598</x:f>
        <x:v>735</x:v>
      </x:c>
      <x:c r="T2598" t="str">
        <x:v>Credit</x:v>
      </x:c>
      <x:c r="U2598" t="str">
        <x:v>Paid</x:v>
      </x:c>
      <x:c r="V2598" t="str">
        <x:v>Delivered</x:v>
      </x:c>
      <x:c r="W2598" t="n">
        <x:v>0</x:v>
      </x:c>
      <x:c r="X2598" t="str"/>
      <x:c r="Y2598" t="str">
        <x:v>Existing Customer</x:v>
      </x:c>
    </x:row>
    <x:row r="2599">
      <x:c r="A2599" t="str">
        <x:v>O002598</x:v>
      </x:c>
      <x:c r="B2599" s="20" t="n">
        <x:v>46074</x:v>
      </x:c>
      <x:c r="C2599" t="str">
        <x:v>C0175</x:v>
      </x:c>
      <x:c r="D2599" t="str">
        <x:v>Namma Mart 175</x:v>
      </x:c>
      <x:c r="E2599" t="str">
        <x:v>Hotel</x:v>
      </x:c>
      <x:c r="F2599" t="str">
        <x:v>Davanagere</x:v>
      </x:c>
      <x:c r="G2599" t="str">
        <x:v>Sneha</x:v>
      </x:c>
      <x:c r="H2599" t="str">
        <x:v>P045</x:v>
      </x:c>
      <x:c r="I2599" t="str">
        <x:v>Onion 25kg</x:v>
      </x:c>
      <x:c r="J2599" t="str">
        <x:v>Fresh Produce</x:v>
      </x:c>
      <x:c r="K2599" t="str">
        <x:v>Local Market</x:v>
      </x:c>
      <x:c r="L2599" s="22" t="n">
        <x:v>875</x:v>
      </x:c>
      <x:c r="M2599" t="n">
        <x:v>27</x:v>
      </x:c>
      <x:c r="N2599" s="24" t="n">
        <x:v>0.02</x:v>
      </x:c>
      <x:c r="O2599" s="22" t="n">
        <x:f>L2599*M2599</x:f>
        <x:v>23625</x:v>
      </x:c>
      <x:c r="P2599" s="22" t="n">
        <x:f>O2599*(1-N2599)</x:f>
        <x:v>23152.5</x:v>
      </x:c>
      <x:c r="Q2599" s="22" t="n">
        <x:v>760</x:v>
      </x:c>
      <x:c r="R2599" s="22" t="n">
        <x:f>Q2599*M2599</x:f>
        <x:v>20520</x:v>
      </x:c>
      <x:c r="S2599" s="22" t="n">
        <x:f>P2599-R2599</x:f>
        <x:v>2632.5</x:v>
      </x:c>
      <x:c r="T2599" t="str">
        <x:v>Credit</x:v>
      </x:c>
      <x:c r="U2599" t="str">
        <x:v>Paid</x:v>
      </x:c>
      <x:c r="V2599" t="str">
        <x:v>Delivered</x:v>
      </x:c>
      <x:c r="W2599" t="n">
        <x:v>0</x:v>
      </x:c>
      <x:c r="X2599" t="str"/>
      <x:c r="Y2599" t="str">
        <x:v>Referral</x:v>
      </x:c>
    </x:row>
    <x:row r="2600">
      <x:c r="A2600" t="str">
        <x:v>O002599</x:v>
      </x:c>
      <x:c r="B2600" s="20" t="n">
        <x:v>45850</x:v>
      </x:c>
      <x:c r="C2600" t="str">
        <x:v>C0020</x:v>
      </x:c>
      <x:c r="D2600" t="str">
        <x:v>Shree Foods 20</x:v>
      </x:c>
      <x:c r="E2600" t="str">
        <x:v>Restaurant</x:v>
      </x:c>
      <x:c r="F2600" t="str">
        <x:v>Mysuru</x:v>
      </x:c>
      <x:c r="G2600" t="str">
        <x:v>Arjun</x:v>
      </x:c>
      <x:c r="H2600" t="str">
        <x:v>P033</x:v>
      </x:c>
      <x:c r="I2600" t="str">
        <x:v>Turmeric Powder 1kg</x:v>
      </x:c>
      <x:c r="J2600" t="str">
        <x:v>Spices</x:v>
      </x:c>
      <x:c r="K2600" t="str">
        <x:v>Everest</x:v>
      </x:c>
      <x:c r="L2600" s="22" t="n">
        <x:v>310</x:v>
      </x:c>
      <x:c r="M2600" t="n">
        <x:v>1</x:v>
      </x:c>
      <x:c r="N2600" s="24" t="n">
        <x:v>0</x:v>
      </x:c>
      <x:c r="O2600" s="22" t="n">
        <x:f>L2600*M2600</x:f>
        <x:v>310</x:v>
      </x:c>
      <x:c r="P2600" s="22" t="n">
        <x:f>O2600*(1-N2600)</x:f>
        <x:v>310</x:v>
      </x:c>
      <x:c r="Q2600" s="22" t="n">
        <x:v>270</x:v>
      </x:c>
      <x:c r="R2600" s="22" t="n">
        <x:f>Q2600*M2600</x:f>
        <x:v>270</x:v>
      </x:c>
      <x:c r="S2600" s="22" t="n">
        <x:f>P2600-R2600</x:f>
        <x:v>40</x:v>
      </x:c>
      <x:c r="T2600" t="str">
        <x:v>Cash</x:v>
      </x:c>
      <x:c r="U2600" t="str">
        <x:v>Paid</x:v>
      </x:c>
      <x:c r="V2600" t="str">
        <x:v>Delivered</x:v>
      </x:c>
      <x:c r="W2600" t="n">
        <x:v>0</x:v>
      </x:c>
      <x:c r="X2600" t="str"/>
      <x:c r="Y2600" t="str">
        <x:v>Existing Customer</x:v>
      </x:c>
    </x:row>
    <x:row r="2601">
      <x:c r="A2601" t="str">
        <x:v>O002600</x:v>
      </x:c>
      <x:c r="B2601" s="20" t="n">
        <x:v>46197</x:v>
      </x:c>
      <x:c r="C2601" t="str">
        <x:v>C0090</x:v>
      </x:c>
      <x:c r="D2601" t="str">
        <x:v>Shree Mart 90</x:v>
      </x:c>
      <x:c r="E2601" t="str">
        <x:v>Restaurant</x:v>
      </x:c>
      <x:c r="F2601" t="str">
        <x:v>Davanagere</x:v>
      </x:c>
      <x:c r="G2601" t="str">
        <x:v>Megha</x:v>
      </x:c>
      <x:c r="H2601" t="str">
        <x:v>P014</x:v>
      </x:c>
      <x:c r="I2601" t="str">
        <x:v>Rava 5kg</x:v>
      </x:c>
      <x:c r="J2601" t="str">
        <x:v>Flour</x:v>
      </x:c>
      <x:c r="K2601" t="str">
        <x:v>Local Select</x:v>
      </x:c>
      <x:c r="L2601" s="22" t="n">
        <x:v>245</x:v>
      </x:c>
      <x:c r="M2601" t="n">
        <x:v>35</x:v>
      </x:c>
      <x:c r="N2601" s="24" t="n">
        <x:v>0.02</x:v>
      </x:c>
      <x:c r="O2601" s="22" t="n">
        <x:f>L2601*M2601</x:f>
        <x:v>8575</x:v>
      </x:c>
      <x:c r="P2601" s="22" t="n">
        <x:f>O2601*(1-N2601)</x:f>
        <x:v>8403.5</x:v>
      </x:c>
      <x:c r="Q2601" s="22" t="n">
        <x:v>215</x:v>
      </x:c>
      <x:c r="R2601" s="22" t="n">
        <x:f>Q2601*M2601</x:f>
        <x:v>7525</x:v>
      </x:c>
      <x:c r="S2601" s="22" t="n">
        <x:f>P2601-R2601</x:f>
        <x:v>878.5</x:v>
      </x:c>
      <x:c r="T2601" t="str">
        <x:v>Bank Transfer</x:v>
      </x:c>
      <x:c r="U2601" t="str">
        <x:v>Paid</x:v>
      </x:c>
      <x:c r="V2601" t="str">
        <x:v>Delivered</x:v>
      </x:c>
      <x:c r="W2601" t="n">
        <x:v>0</x:v>
      </x:c>
      <x:c r="X2601" t="str"/>
      <x:c r="Y2601" t="str">
        <x:v>Field Visit</x:v>
      </x:c>
    </x:row>
    <x:row r="2602">
      <x:c r="A2602" t="str">
        <x:v>O002601</x:v>
      </x:c>
      <x:c r="B2602" s="20" t="n">
        <x:v>45717</x:v>
      </x:c>
      <x:c r="C2602" t="str">
        <x:v>C0160</x:v>
      </x:c>
      <x:c r="D2602" t="str">
        <x:v>Hotel Foods 160</x:v>
      </x:c>
      <x:c r="E2602" t="str">
        <x:v>Hotel</x:v>
      </x:c>
      <x:c r="F2602" t="str">
        <x:v>Mangaluru</x:v>
      </x:c>
      <x:c r="G2602" t="str">
        <x:v>Sneha</x:v>
      </x:c>
      <x:c r="H2602" t="str">
        <x:v>P040</x:v>
      </x:c>
      <x:c r="I2602" t="str">
        <x:v>Bread Loaf 400g</x:v>
      </x:c>
      <x:c r="J2602" t="str">
        <x:v>Bakery</x:v>
      </x:c>
      <x:c r="K2602" t="str">
        <x:v>Britannia</x:v>
      </x:c>
      <x:c r="L2602" s="22" t="n">
        <x:v>45</x:v>
      </x:c>
      <x:c r="M2602" t="n">
        <x:v>37</x:v>
      </x:c>
      <x:c r="N2602" s="24" t="n">
        <x:v>0.03</x:v>
      </x:c>
      <x:c r="O2602" s="22" t="n">
        <x:f>L2602*M2602</x:f>
        <x:v>1665</x:v>
      </x:c>
      <x:c r="P2602" s="22" t="n">
        <x:f>O2602*(1-N2602)</x:f>
        <x:v>1615.05</x:v>
      </x:c>
      <x:c r="Q2602" s="22" t="n">
        <x:v>35</x:v>
      </x:c>
      <x:c r="R2602" s="22" t="n">
        <x:f>Q2602*M2602</x:f>
        <x:v>1295</x:v>
      </x:c>
      <x:c r="S2602" s="22" t="n">
        <x:f>P2602-R2602</x:f>
        <x:v>320.04999999999995</x:v>
      </x:c>
      <x:c r="T2602" t="str">
        <x:v>UPI</x:v>
      </x:c>
      <x:c r="U2602" t="str">
        <x:v>Pending</x:v>
      </x:c>
      <x:c r="V2602" t="str">
        <x:v>Delayed</x:v>
      </x:c>
      <x:c r="W2602" t="n">
        <x:v>0</x:v>
      </x:c>
      <x:c r="X2602" t="str"/>
      <x:c r="Y2602" t="str">
        <x:v>WhatsApp</x:v>
      </x:c>
    </x:row>
    <x:row r="2603">
      <x:c r="A2603" t="str">
        <x:v>O002602</x:v>
      </x:c>
      <x:c r="B2603" s="20" t="n">
        <x:v>45771</x:v>
      </x:c>
      <x:c r="C2603" t="str">
        <x:v>C0207</x:v>
      </x:c>
      <x:c r="D2603" t="str">
        <x:v>Hotel Stores 207</x:v>
      </x:c>
      <x:c r="E2603" t="str">
        <x:v>Restaurant</x:v>
      </x:c>
      <x:c r="F2603" t="str">
        <x:v>Hubballi</x:v>
      </x:c>
      <x:c r="G2603" t="str">
        <x:v>Ramesh</x:v>
      </x:c>
      <x:c r="H2603" t="str">
        <x:v>P034</x:v>
      </x:c>
      <x:c r="I2603" t="str">
        <x:v>Chilli Powder 1kg</x:v>
      </x:c>
      <x:c r="J2603" t="str">
        <x:v>Spices</x:v>
      </x:c>
      <x:c r="K2603" t="str">
        <x:v>MDH</x:v>
      </x:c>
      <x:c r="L2603" s="22" t="n">
        <x:v>340</x:v>
      </x:c>
      <x:c r="M2603" t="n">
        <x:v>25</x:v>
      </x:c>
      <x:c r="N2603" s="24" t="n">
        <x:v>0.03</x:v>
      </x:c>
      <x:c r="O2603" s="22" t="n">
        <x:f>L2603*M2603</x:f>
        <x:v>8500</x:v>
      </x:c>
      <x:c r="P2603" s="22" t="n">
        <x:f>O2603*(1-N2603)</x:f>
        <x:v>8245</x:v>
      </x:c>
      <x:c r="Q2603" s="22" t="n">
        <x:v>295</x:v>
      </x:c>
      <x:c r="R2603" s="22" t="n">
        <x:f>Q2603*M2603</x:f>
        <x:v>7375</x:v>
      </x:c>
      <x:c r="S2603" s="22" t="n">
        <x:f>P2603-R2603</x:f>
        <x:v>870</x:v>
      </x:c>
      <x:c r="T2603" t="str">
        <x:v>Bank Transfer</x:v>
      </x:c>
      <x:c r="U2603" t="str">
        <x:v>Paid</x:v>
      </x:c>
      <x:c r="V2603" t="str">
        <x:v>Delivered</x:v>
      </x:c>
      <x:c r="W2603" t="n">
        <x:v>0</x:v>
      </x:c>
      <x:c r="X2603" t="str"/>
      <x:c r="Y2603" t="str">
        <x:v>Outbound Call</x:v>
      </x:c>
    </x:row>
    <x:row r="2604">
      <x:c r="A2604" t="str">
        <x:v>O002603</x:v>
      </x:c>
      <x:c r="B2604" s="20" t="n">
        <x:v>46243</x:v>
      </x:c>
      <x:c r="C2604" t="str">
        <x:v>C0080</x:v>
      </x:c>
      <x:c r="D2604" t="str">
        <x:v>Annapurna Canteen 80</x:v>
      </x:c>
      <x:c r="E2604" t="str">
        <x:v>Restaurant</x:v>
      </x:c>
      <x:c r="F2604" t="str">
        <x:v>Mangaluru</x:v>
      </x:c>
      <x:c r="G2604" t="str">
        <x:v>Priya</x:v>
      </x:c>
      <x:c r="H2604" t="str">
        <x:v>P035</x:v>
      </x:c>
      <x:c r="I2604" t="str">
        <x:v>Coriander Powder 1kg</x:v>
      </x:c>
      <x:c r="J2604" t="str">
        <x:v>Spices</x:v>
      </x:c>
      <x:c r="K2604" t="str">
        <x:v>Everest</x:v>
      </x:c>
      <x:c r="L2604" s="22" t="n">
        <x:v>280</x:v>
      </x:c>
      <x:c r="M2604" t="n">
        <x:v>6</x:v>
      </x:c>
      <x:c r="N2604" s="24" t="n">
        <x:v>0.03</x:v>
      </x:c>
      <x:c r="O2604" s="22" t="n">
        <x:f>L2604*M2604</x:f>
        <x:v>1680</x:v>
      </x:c>
      <x:c r="P2604" s="22" t="n">
        <x:f>O2604*(1-N2604)</x:f>
        <x:v>1629.6</x:v>
      </x:c>
      <x:c r="Q2604" s="22" t="n">
        <x:v>245</x:v>
      </x:c>
      <x:c r="R2604" s="22" t="n">
        <x:f>Q2604*M2604</x:f>
        <x:v>1470</x:v>
      </x:c>
      <x:c r="S2604" s="22" t="n">
        <x:f>P2604-R2604</x:f>
        <x:v>159.5999999999999</x:v>
      </x:c>
      <x:c r="T2604" t="str">
        <x:v>UPI</x:v>
      </x:c>
      <x:c r="U2604" t="str">
        <x:v>Pending</x:v>
      </x:c>
      <x:c r="V2604" t="str">
        <x:v>Delivered</x:v>
      </x:c>
      <x:c r="W2604" t="n">
        <x:v>0</x:v>
      </x:c>
      <x:c r="X2604" t="str"/>
      <x:c r="Y2604" t="str">
        <x:v>Outbound Call</x:v>
      </x:c>
    </x:row>
    <x:row r="2605">
      <x:c r="A2605" t="str">
        <x:v>O002604</x:v>
      </x:c>
      <x:c r="B2605" s="20" t="n">
        <x:v>45851</x:v>
      </x:c>
      <x:c r="C2605" t="str">
        <x:v>C0222</x:v>
      </x:c>
      <x:c r="D2605" t="str">
        <x:v>Sri Cafe 222</x:v>
      </x:c>
      <x:c r="E2605" t="str">
        <x:v>Kirana</x:v>
      </x:c>
      <x:c r="F2605" t="str">
        <x:v>Mangaluru</x:v>
      </x:c>
      <x:c r="G2605" t="str">
        <x:v>Arjun</x:v>
      </x:c>
      <x:c r="H2605" t="str">
        <x:v>P025</x:v>
      </x:c>
      <x:c r="I2605" t="str">
        <x:v>Potato Chips 100g</x:v>
      </x:c>
      <x:c r="J2605" t="str">
        <x:v>Snacks</x:v>
      </x:c>
      <x:c r="K2605" t="str">
        <x:v>Lay's</x:v>
      </x:c>
      <x:c r="L2605" s="22" t="n">
        <x:v>35</x:v>
      </x:c>
      <x:c r="M2605" t="n">
        <x:v>17</x:v>
      </x:c>
      <x:c r="N2605" s="24" t="n">
        <x:v>0</x:v>
      </x:c>
      <x:c r="O2605" s="22" t="n">
        <x:f>L2605*M2605</x:f>
        <x:v>595</x:v>
      </x:c>
      <x:c r="P2605" s="22" t="n">
        <x:f>O2605*(1-N2605)</x:f>
        <x:v>595</x:v>
      </x:c>
      <x:c r="Q2605" s="22" t="n">
        <x:v>27</x:v>
      </x:c>
      <x:c r="R2605" s="22" t="n">
        <x:f>Q2605*M2605</x:f>
        <x:v>459</x:v>
      </x:c>
      <x:c r="S2605" s="22" t="n">
        <x:f>P2605-R2605</x:f>
        <x:v>136</x:v>
      </x:c>
      <x:c r="T2605" t="str">
        <x:v>Bank Transfer</x:v>
      </x:c>
      <x:c r="U2605" t="str">
        <x:v>Paid</x:v>
      </x:c>
      <x:c r="V2605" t="str">
        <x:v>Delivered</x:v>
      </x:c>
      <x:c r="W2605" t="n">
        <x:v>0</x:v>
      </x:c>
      <x:c r="X2605" t="str"/>
      <x:c r="Y2605" t="str">
        <x:v>Existing Customer</x:v>
      </x:c>
    </x:row>
    <x:row r="2606">
      <x:c r="A2606" t="str">
        <x:v>O002605</x:v>
      </x:c>
      <x:c r="B2606" s="20" t="n">
        <x:v>45905</x:v>
      </x:c>
      <x:c r="C2606" t="str">
        <x:v>C0148</x:v>
      </x:c>
      <x:c r="D2606" t="str">
        <x:v>Shree Cafe 148</x:v>
      </x:c>
      <x:c r="E2606" t="str">
        <x:v>Kirana</x:v>
      </x:c>
      <x:c r="F2606" t="str">
        <x:v>Hubballi</x:v>
      </x:c>
      <x:c r="G2606" t="str">
        <x:v>Priya</x:v>
      </x:c>
      <x:c r="H2606" t="str">
        <x:v>P030</x:v>
      </x:c>
      <x:c r="I2606" t="str">
        <x:v>Mayonnaise 1kg</x:v>
      </x:c>
      <x:c r="J2606" t="str">
        <x:v>Condiments</x:v>
      </x:c>
      <x:c r="K2606" t="str">
        <x:v>Veeba</x:v>
      </x:c>
      <x:c r="L2606" s="22" t="n">
        <x:v>210</x:v>
      </x:c>
      <x:c r="M2606" t="n">
        <x:v>4</x:v>
      </x:c>
      <x:c r="N2606" s="24" t="n">
        <x:v>0.05</x:v>
      </x:c>
      <x:c r="O2606" s="22" t="n">
        <x:f>L2606*M2606</x:f>
        <x:v>840</x:v>
      </x:c>
      <x:c r="P2606" s="22" t="n">
        <x:f>O2606*(1-N2606)</x:f>
        <x:v>798</x:v>
      </x:c>
      <x:c r="Q2606" s="22" t="n">
        <x:v>185</x:v>
      </x:c>
      <x:c r="R2606" s="22" t="n">
        <x:f>Q2606*M2606</x:f>
        <x:v>740</x:v>
      </x:c>
      <x:c r="S2606" s="22" t="n">
        <x:f>P2606-R2606</x:f>
        <x:v>58</x:v>
      </x:c>
      <x:c r="T2606" t="str">
        <x:v>UPI</x:v>
      </x:c>
      <x:c r="U2606" t="str">
        <x:v>Paid</x:v>
      </x:c>
      <x:c r="V2606" t="str">
        <x:v>Delayed</x:v>
      </x:c>
      <x:c r="W2606" t="n">
        <x:v>0</x:v>
      </x:c>
      <x:c r="X2606" t="str"/>
      <x:c r="Y2606" t="str">
        <x:v>Field Visit</x:v>
      </x:c>
    </x:row>
    <x:row r="2607">
      <x:c r="A2607" t="str">
        <x:v>O002606</x:v>
      </x:c>
      <x:c r="B2607" s="20" t="n">
        <x:v>45960</x:v>
      </x:c>
      <x:c r="C2607" t="str">
        <x:v>C0232</x:v>
      </x:c>
      <x:c r="D2607" t="str">
        <x:v>Grand Mart 232</x:v>
      </x:c>
      <x:c r="E2607" t="str">
        <x:v>Cafe</x:v>
      </x:c>
      <x:c r="F2607" t="str">
        <x:v>Davanagere</x:v>
      </x:c>
      <x:c r="G2607" t="str">
        <x:v>Kavya</x:v>
      </x:c>
      <x:c r="H2607" t="str">
        <x:v>P013</x:v>
      </x:c>
      <x:c r="I2607" t="str">
        <x:v>Atta 10kg</x:v>
      </x:c>
      <x:c r="J2607" t="str">
        <x:v>Flour</x:v>
      </x:c>
      <x:c r="K2607" t="str">
        <x:v>Aashirvaad</x:v>
      </x:c>
      <x:c r="L2607" s="22" t="n">
        <x:v>560</x:v>
      </x:c>
      <x:c r="M2607" t="n">
        <x:v>6</x:v>
      </x:c>
      <x:c r="N2607" s="24" t="n">
        <x:v>0.1</x:v>
      </x:c>
      <x:c r="O2607" s="22" t="n">
        <x:f>L2607*M2607</x:f>
        <x:v>3360</x:v>
      </x:c>
      <x:c r="P2607" s="22" t="n">
        <x:f>O2607*(1-N2607)</x:f>
        <x:v>3024</x:v>
      </x:c>
      <x:c r="Q2607" s="22" t="n">
        <x:v>495</x:v>
      </x:c>
      <x:c r="R2607" s="22" t="n">
        <x:f>Q2607*M2607</x:f>
        <x:v>2970</x:v>
      </x:c>
      <x:c r="S2607" s="22" t="n">
        <x:f>P2607-R2607</x:f>
        <x:v>54</x:v>
      </x:c>
      <x:c r="T2607" t="str">
        <x:v>Cash</x:v>
      </x:c>
      <x:c r="U2607" t="str">
        <x:v>Pending</x:v>
      </x:c>
      <x:c r="V2607" t="str">
        <x:v>Delivered</x:v>
      </x:c>
      <x:c r="W2607" t="n">
        <x:v>0</x:v>
      </x:c>
      <x:c r="X2607" t="str"/>
      <x:c r="Y2607" t="str">
        <x:v>Outbound Call</x:v>
      </x:c>
    </x:row>
    <x:row r="2608">
      <x:c r="A2608" t="str">
        <x:v>O002607</x:v>
      </x:c>
      <x:c r="B2608" s="20" t="n">
        <x:v>46029</x:v>
      </x:c>
      <x:c r="C2608" t="str">
        <x:v>C0165</x:v>
      </x:c>
      <x:c r="D2608" t="str">
        <x:v>Royal Restaurant 165</x:v>
      </x:c>
      <x:c r="E2608" t="str">
        <x:v>Hotel</x:v>
      </x:c>
      <x:c r="F2608" t="str">
        <x:v>Tumakuru</x:v>
      </x:c>
      <x:c r="G2608" t="str">
        <x:v>Kavya</x:v>
      </x:c>
      <x:c r="H2608" t="str">
        <x:v>P023</x:v>
      </x:c>
      <x:c r="I2608" t="str">
        <x:v>Cola 750ml</x:v>
      </x:c>
      <x:c r="J2608" t="str">
        <x:v>Beverage</x:v>
      </x:c>
      <x:c r="K2608" t="str">
        <x:v>Coca-Cola</x:v>
      </x:c>
      <x:c r="L2608" s="22" t="n">
        <x:v>38</x:v>
      </x:c>
      <x:c r="M2608" t="n">
        <x:v>13</x:v>
      </x:c>
      <x:c r="N2608" s="24" t="n">
        <x:v>0.05</x:v>
      </x:c>
      <x:c r="O2608" s="22" t="n">
        <x:f>L2608*M2608</x:f>
        <x:v>494</x:v>
      </x:c>
      <x:c r="P2608" s="22" t="n">
        <x:f>O2608*(1-N2608)</x:f>
        <x:v>469.29999999999995</x:v>
      </x:c>
      <x:c r="Q2608" s="22" t="n">
        <x:v>31</x:v>
      </x:c>
      <x:c r="R2608" s="22" t="n">
        <x:f>Q2608*M2608</x:f>
        <x:v>403</x:v>
      </x:c>
      <x:c r="S2608" s="22" t="n">
        <x:f>P2608-R2608</x:f>
        <x:v>66.29999999999995</x:v>
      </x:c>
      <x:c r="T2608" t="str">
        <x:v>UPI</x:v>
      </x:c>
      <x:c r="U2608" t="str">
        <x:v>Paid</x:v>
      </x:c>
      <x:c r="V2608" t="str">
        <x:v>Delivered</x:v>
      </x:c>
      <x:c r="W2608" t="n">
        <x:v>0</x:v>
      </x:c>
      <x:c r="X2608" t="str"/>
      <x:c r="Y2608" t="str">
        <x:v>Field Visit</x:v>
      </x:c>
    </x:row>
    <x:row r="2609">
      <x:c r="A2609" t="str">
        <x:v>O002608</x:v>
      </x:c>
      <x:c r="B2609" s="20" t="n">
        <x:v>46203</x:v>
      </x:c>
      <x:c r="C2609" t="str">
        <x:v>C0116</x:v>
      </x:c>
      <x:c r="D2609" t="str">
        <x:v>Classic Foods 116</x:v>
      </x:c>
      <x:c r="E2609" t="str">
        <x:v>Supermarket</x:v>
      </x:c>
      <x:c r="F2609" t="str">
        <x:v>Davanagere</x:v>
      </x:c>
      <x:c r="G2609" t="str">
        <x:v>Megha</x:v>
      </x:c>
      <x:c r="H2609" t="str">
        <x:v>P029</x:v>
      </x:c>
      <x:c r="I2609" t="str">
        <x:v>Tomato Ketchup 1kg</x:v>
      </x:c>
      <x:c r="J2609" t="str">
        <x:v>Condiments</x:v>
      </x:c>
      <x:c r="K2609" t="str">
        <x:v>Kissan</x:v>
      </x:c>
      <x:c r="L2609" s="22" t="n">
        <x:v>145</x:v>
      </x:c>
      <x:c r="M2609" t="n">
        <x:v>6</x:v>
      </x:c>
      <x:c r="N2609" s="24" t="n">
        <x:v>0.05</x:v>
      </x:c>
      <x:c r="O2609" s="22" t="n">
        <x:f>L2609*M2609</x:f>
        <x:v>870</x:v>
      </x:c>
      <x:c r="P2609" s="22" t="n">
        <x:f>O2609*(1-N2609)</x:f>
        <x:v>826.5</x:v>
      </x:c>
      <x:c r="Q2609" s="22" t="n">
        <x:v>126</x:v>
      </x:c>
      <x:c r="R2609" s="22" t="n">
        <x:f>Q2609*M2609</x:f>
        <x:v>756</x:v>
      </x:c>
      <x:c r="S2609" s="22" t="n">
        <x:f>P2609-R2609</x:f>
        <x:v>70.5</x:v>
      </x:c>
      <x:c r="T2609" t="str">
        <x:v>UPI</x:v>
      </x:c>
      <x:c r="U2609" t="str">
        <x:v>Pending</x:v>
      </x:c>
      <x:c r="V2609" t="str">
        <x:v>Delayed</x:v>
      </x:c>
      <x:c r="W2609" t="n">
        <x:v>0</x:v>
      </x:c>
      <x:c r="X2609" t="str"/>
      <x:c r="Y2609" t="str">
        <x:v>WhatsApp</x:v>
      </x:c>
    </x:row>
    <x:row r="2610">
      <x:c r="A2610" t="str">
        <x:v>O002609</x:v>
      </x:c>
      <x:c r="B2610" s="20" t="n">
        <x:v>45978</x:v>
      </x:c>
      <x:c r="C2610" t="str">
        <x:v>C0141</x:v>
      </x:c>
      <x:c r="D2610" t="str">
        <x:v>Sri Restaurant 141</x:v>
      </x:c>
      <x:c r="E2610" t="str">
        <x:v>Restaurant</x:v>
      </x:c>
      <x:c r="F2610" t="str">
        <x:v>Mangaluru</x:v>
      </x:c>
      <x:c r="G2610" t="str">
        <x:v>Ramesh</x:v>
      </x:c>
      <x:c r="H2610" t="str">
        <x:v>P020</x:v>
      </x:c>
      <x:c r="I2610" t="str">
        <x:v>Coffee 500g</x:v>
      </x:c>
      <x:c r="J2610" t="str">
        <x:v>Beverage</x:v>
      </x:c>
      <x:c r="K2610" t="str">
        <x:v>Bru</x:v>
      </x:c>
      <x:c r="L2610" s="22" t="n">
        <x:v>390</x:v>
      </x:c>
      <x:c r="M2610" t="n">
        <x:v>21</x:v>
      </x:c>
      <x:c r="N2610" s="24" t="n">
        <x:v>0.03</x:v>
      </x:c>
      <x:c r="O2610" s="22" t="n">
        <x:f>L2610*M2610</x:f>
        <x:v>8190</x:v>
      </x:c>
      <x:c r="P2610" s="22" t="n">
        <x:f>O2610*(1-N2610)</x:f>
        <x:v>7944.3</x:v>
      </x:c>
      <x:c r="Q2610" s="22" t="n">
        <x:v>350</x:v>
      </x:c>
      <x:c r="R2610" s="22" t="n">
        <x:f>Q2610*M2610</x:f>
        <x:v>7350</x:v>
      </x:c>
      <x:c r="S2610" s="22" t="n">
        <x:f>P2610-R2610</x:f>
        <x:v>594.3000000000002</x:v>
      </x:c>
      <x:c r="T2610" t="str">
        <x:v>Credit</x:v>
      </x:c>
      <x:c r="U2610" t="str">
        <x:v>Paid</x:v>
      </x:c>
      <x:c r="V2610" t="str">
        <x:v>Delivered</x:v>
      </x:c>
      <x:c r="W2610" t="n">
        <x:v>0</x:v>
      </x:c>
      <x:c r="X2610" t="str"/>
      <x:c r="Y2610" t="str">
        <x:v>Field Visit</x:v>
      </x:c>
    </x:row>
    <x:row r="2611">
      <x:c r="A2611" t="str">
        <x:v>O002610</x:v>
      </x:c>
      <x:c r="B2611" s="20" t="n">
        <x:v>45846</x:v>
      </x:c>
      <x:c r="C2611" t="str">
        <x:v>C0143</x:v>
      </x:c>
      <x:c r="D2611" t="str">
        <x:v>Foodie Restaurant 143</x:v>
      </x:c>
      <x:c r="E2611" t="str">
        <x:v>Restaurant</x:v>
      </x:c>
      <x:c r="F2611" t="str">
        <x:v>Hubballi</x:v>
      </x:c>
      <x:c r="G2611" t="str">
        <x:v>Priya</x:v>
      </x:c>
      <x:c r="H2611" t="str">
        <x:v>P048</x:v>
      </x:c>
      <x:c r="I2611" t="str">
        <x:v>Banana 10kg</x:v>
      </x:c>
      <x:c r="J2611" t="str">
        <x:v>Fresh Produce</x:v>
      </x:c>
      <x:c r="K2611" t="str">
        <x:v>Local Market</x:v>
      </x:c>
      <x:c r="L2611" s="22" t="n">
        <x:v>420</x:v>
      </x:c>
      <x:c r="M2611" t="n">
        <x:v>39</x:v>
      </x:c>
      <x:c r="N2611" s="24" t="n">
        <x:v>0.03</x:v>
      </x:c>
      <x:c r="O2611" s="22" t="n">
        <x:f>L2611*M2611</x:f>
        <x:v>16380</x:v>
      </x:c>
      <x:c r="P2611" s="22" t="n">
        <x:f>O2611*(1-N2611)</x:f>
        <x:v>15888.6</x:v>
      </x:c>
      <x:c r="Q2611" s="22" t="n">
        <x:v>350</x:v>
      </x:c>
      <x:c r="R2611" s="22" t="n">
        <x:f>Q2611*M2611</x:f>
        <x:v>13650</x:v>
      </x:c>
      <x:c r="S2611" s="22" t="n">
        <x:f>P2611-R2611</x:f>
        <x:v>2238.6000000000004</x:v>
      </x:c>
      <x:c r="T2611" t="str">
        <x:v>Bank Transfer</x:v>
      </x:c>
      <x:c r="U2611" t="str">
        <x:v>Paid</x:v>
      </x:c>
      <x:c r="V2611" t="str">
        <x:v>Delayed</x:v>
      </x:c>
      <x:c r="W2611" t="n">
        <x:v>0</x:v>
      </x:c>
      <x:c r="X2611" t="str"/>
      <x:c r="Y2611" t="str">
        <x:v>Existing Customer</x:v>
      </x:c>
    </x:row>
    <x:row r="2612">
      <x:c r="A2612" t="str">
        <x:v>O002611</x:v>
      </x:c>
      <x:c r="B2612" s="20" t="n">
        <x:v>46084</x:v>
      </x:c>
      <x:c r="C2612" t="str">
        <x:v>C0040</x:v>
      </x:c>
      <x:c r="D2612" t="str">
        <x:v>Royal Foods 40</x:v>
      </x:c>
      <x:c r="E2612" t="str">
        <x:v>Restaurant</x:v>
      </x:c>
      <x:c r="F2612" t="str">
        <x:v>Mangaluru</x:v>
      </x:c>
      <x:c r="G2612" t="str">
        <x:v>Kavya</x:v>
      </x:c>
      <x:c r="H2612" t="str">
        <x:v>P004</x:v>
      </x:c>
      <x:c r="I2612" t="str">
        <x:v>Toor Dal 5kg</x:v>
      </x:c>
      <x:c r="J2612" t="str">
        <x:v>Pulses</x:v>
      </x:c>
      <x:c r="K2612" t="str">
        <x:v>Tata Sampann</x:v>
      </x:c>
      <x:c r="L2612" s="22" t="n">
        <x:v>780</x:v>
      </x:c>
      <x:c r="M2612" t="n">
        <x:v>20</x:v>
      </x:c>
      <x:c r="N2612" s="24" t="n">
        <x:v>0.05</x:v>
      </x:c>
      <x:c r="O2612" s="22" t="n">
        <x:f>L2612*M2612</x:f>
        <x:v>15600</x:v>
      </x:c>
      <x:c r="P2612" s="22" t="n">
        <x:f>O2612*(1-N2612)</x:f>
        <x:v>14820</x:v>
      </x:c>
      <x:c r="Q2612" s="22" t="n">
        <x:v>695</x:v>
      </x:c>
      <x:c r="R2612" s="22" t="n">
        <x:f>Q2612*M2612</x:f>
        <x:v>13900</x:v>
      </x:c>
      <x:c r="S2612" s="22" t="n">
        <x:f>P2612-R2612</x:f>
        <x:v>920</x:v>
      </x:c>
      <x:c r="T2612" t="str">
        <x:v>UPI</x:v>
      </x:c>
      <x:c r="U2612" t="str">
        <x:v>Paid</x:v>
      </x:c>
      <x:c r="V2612" t="str">
        <x:v>Delivered</x:v>
      </x:c>
      <x:c r="W2612" t="n">
        <x:v>0</x:v>
      </x:c>
      <x:c r="X2612" t="str"/>
      <x:c r="Y2612" t="str">
        <x:v>WhatsApp</x:v>
      </x:c>
    </x:row>
    <x:row r="2613">
      <x:c r="A2613" t="str">
        <x:v>O002612</x:v>
      </x:c>
      <x:c r="B2613" s="20" t="n">
        <x:v>45753</x:v>
      </x:c>
      <x:c r="C2613" t="str">
        <x:v>C0098</x:v>
      </x:c>
      <x:c r="D2613" t="str">
        <x:v>City Stores 98</x:v>
      </x:c>
      <x:c r="E2613" t="str">
        <x:v>Canteen</x:v>
      </x:c>
      <x:c r="F2613" t="str">
        <x:v>Mangaluru</x:v>
      </x:c>
      <x:c r="G2613" t="str">
        <x:v>Imran</x:v>
      </x:c>
      <x:c r="H2613" t="str">
        <x:v>P045</x:v>
      </x:c>
      <x:c r="I2613" t="str">
        <x:v>Onion 25kg</x:v>
      </x:c>
      <x:c r="J2613" t="str">
        <x:v>Fresh Produce</x:v>
      </x:c>
      <x:c r="K2613" t="str">
        <x:v>Local Market</x:v>
      </x:c>
      <x:c r="L2613" s="22" t="n">
        <x:v>875</x:v>
      </x:c>
      <x:c r="M2613" t="n">
        <x:v>2</x:v>
      </x:c>
      <x:c r="N2613" s="24" t="n">
        <x:v>0</x:v>
      </x:c>
      <x:c r="O2613" s="22" t="n">
        <x:f>L2613*M2613</x:f>
        <x:v>1750</x:v>
      </x:c>
      <x:c r="P2613" s="22" t="n">
        <x:f>O2613*(1-N2613)</x:f>
        <x:v>1750</x:v>
      </x:c>
      <x:c r="Q2613" s="22" t="n">
        <x:v>760</x:v>
      </x:c>
      <x:c r="R2613" s="22" t="n">
        <x:f>Q2613*M2613</x:f>
        <x:v>1520</x:v>
      </x:c>
      <x:c r="S2613" s="22" t="n">
        <x:f>P2613-R2613</x:f>
        <x:v>230</x:v>
      </x:c>
      <x:c r="T2613" t="str">
        <x:v>Bank Transfer</x:v>
      </x:c>
      <x:c r="U2613" t="str">
        <x:v>Paid</x:v>
      </x:c>
      <x:c r="V2613" t="str">
        <x:v>Delivered</x:v>
      </x:c>
      <x:c r="W2613" t="n">
        <x:v>0</x:v>
      </x:c>
      <x:c r="X2613" t="str"/>
      <x:c r="Y2613" t="str">
        <x:v>Outbound Call</x:v>
      </x:c>
    </x:row>
    <x:row r="2614">
      <x:c r="A2614" t="str">
        <x:v>O002613</x:v>
      </x:c>
      <x:c r="B2614" s="20" t="n">
        <x:v>46173</x:v>
      </x:c>
      <x:c r="C2614" t="str">
        <x:v>C0037</x:v>
      </x:c>
      <x:c r="D2614" t="str">
        <x:v>Royal Cafe 37</x:v>
      </x:c>
      <x:c r="E2614" t="str">
        <x:v>Hotel</x:v>
      </x:c>
      <x:c r="F2614" t="str">
        <x:v>Mysuru</x:v>
      </x:c>
      <x:c r="G2614" t="str">
        <x:v>Sneha</x:v>
      </x:c>
      <x:c r="H2614" t="str">
        <x:v>P027</x:v>
      </x:c>
      <x:c r="I2614" t="str">
        <x:v>Biscuits 120g</x:v>
      </x:c>
      <x:c r="J2614" t="str">
        <x:v>Snacks</x:v>
      </x:c>
      <x:c r="K2614" t="str">
        <x:v>Parle-G</x:v>
      </x:c>
      <x:c r="L2614" s="22" t="n">
        <x:v>12</x:v>
      </x:c>
      <x:c r="M2614" t="n">
        <x:v>9</x:v>
      </x:c>
      <x:c r="N2614" s="24" t="n">
        <x:v>0</x:v>
      </x:c>
      <x:c r="O2614" s="22" t="n">
        <x:f>L2614*M2614</x:f>
        <x:v>108</x:v>
      </x:c>
      <x:c r="P2614" s="22" t="n">
        <x:f>O2614*(1-N2614)</x:f>
        <x:v>108</x:v>
      </x:c>
      <x:c r="Q2614" s="22" t="n">
        <x:v>9</x:v>
      </x:c>
      <x:c r="R2614" s="22" t="n">
        <x:f>Q2614*M2614</x:f>
        <x:v>81</x:v>
      </x:c>
      <x:c r="S2614" s="22" t="n">
        <x:f>P2614-R2614</x:f>
        <x:v>27</x:v>
      </x:c>
      <x:c r="T2614" t="str">
        <x:v>UPI</x:v>
      </x:c>
      <x:c r="U2614" t="str">
        <x:v>Paid</x:v>
      </x:c>
      <x:c r="V2614" t="str">
        <x:v>Delivered</x:v>
      </x:c>
      <x:c r="W2614" t="n">
        <x:v>0</x:v>
      </x:c>
      <x:c r="X2614" t="str"/>
      <x:c r="Y2614" t="str">
        <x:v>WhatsApp</x:v>
      </x:c>
    </x:row>
    <x:row r="2615">
      <x:c r="A2615" t="str">
        <x:v>O002614</x:v>
      </x:c>
      <x:c r="B2615" s="20" t="n">
        <x:v>46240</x:v>
      </x:c>
      <x:c r="C2615" t="str">
        <x:v>C0201</x:v>
      </x:c>
      <x:c r="D2615" t="str">
        <x:v>Metro Hotel 201</x:v>
      </x:c>
      <x:c r="E2615" t="str">
        <x:v>Kirana</x:v>
      </x:c>
      <x:c r="F2615" t="str">
        <x:v>Mysuru</x:v>
      </x:c>
      <x:c r="G2615" t="str">
        <x:v>Imran</x:v>
      </x:c>
      <x:c r="H2615" t="str">
        <x:v>P025</x:v>
      </x:c>
      <x:c r="I2615" t="str">
        <x:v>Potato Chips 100g</x:v>
      </x:c>
      <x:c r="J2615" t="str">
        <x:v>Snacks</x:v>
      </x:c>
      <x:c r="K2615" t="str">
        <x:v>Lay's</x:v>
      </x:c>
      <x:c r="L2615" s="22" t="n">
        <x:v>35</x:v>
      </x:c>
      <x:c r="M2615" t="n">
        <x:v>25</x:v>
      </x:c>
      <x:c r="N2615" s="24" t="n">
        <x:v>0.1</x:v>
      </x:c>
      <x:c r="O2615" s="22" t="n">
        <x:f>L2615*M2615</x:f>
        <x:v>875</x:v>
      </x:c>
      <x:c r="P2615" s="22" t="n">
        <x:f>O2615*(1-N2615)</x:f>
        <x:v>787.5</x:v>
      </x:c>
      <x:c r="Q2615" s="22" t="n">
        <x:v>27</x:v>
      </x:c>
      <x:c r="R2615" s="22" t="n">
        <x:f>Q2615*M2615</x:f>
        <x:v>675</x:v>
      </x:c>
      <x:c r="S2615" s="22" t="n">
        <x:f>P2615-R2615</x:f>
        <x:v>112.5</x:v>
      </x:c>
      <x:c r="T2615" t="str">
        <x:v>UPI</x:v>
      </x:c>
      <x:c r="U2615" t="str">
        <x:v>Paid</x:v>
      </x:c>
      <x:c r="V2615" t="str">
        <x:v>Cancelled</x:v>
      </x:c>
      <x:c r="W2615" t="n">
        <x:v>25</x:v>
      </x:c>
      <x:c r="X2615" t="str">
        <x:v>Cancelled Order</x:v>
      </x:c>
      <x:c r="Y2615" t="str">
        <x:v>Field Visit</x:v>
      </x:c>
    </x:row>
    <x:row r="2616">
      <x:c r="A2616" t="str">
        <x:v>O002615</x:v>
      </x:c>
      <x:c r="B2616" s="20" t="n">
        <x:v>45746</x:v>
      </x:c>
      <x:c r="C2616" t="str">
        <x:v>C0205</x:v>
      </x:c>
      <x:c r="D2616" t="str">
        <x:v>Royal Mart 205</x:v>
      </x:c>
      <x:c r="E2616" t="str">
        <x:v>Kirana</x:v>
      </x:c>
      <x:c r="F2616" t="str">
        <x:v>Mysuru</x:v>
      </x:c>
      <x:c r="G2616" t="str">
        <x:v>Priya</x:v>
      </x:c>
      <x:c r="H2616" t="str">
        <x:v>P046</x:v>
      </x:c>
      <x:c r="I2616" t="str">
        <x:v>Potato 25kg</x:v>
      </x:c>
      <x:c r="J2616" t="str">
        <x:v>Fresh Produce</x:v>
      </x:c>
      <x:c r="K2616" t="str">
        <x:v>Local Market</x:v>
      </x:c>
      <x:c r="L2616" s="22" t="n">
        <x:v>700</x:v>
      </x:c>
      <x:c r="M2616" t="n">
        <x:v>1</x:v>
      </x:c>
      <x:c r="N2616" s="24" t="n">
        <x:v>0</x:v>
      </x:c>
      <x:c r="O2616" s="22" t="n">
        <x:f>L2616*M2616</x:f>
        <x:v>700</x:v>
      </x:c>
      <x:c r="P2616" s="22" t="n">
        <x:f>O2616*(1-N2616)</x:f>
        <x:v>700</x:v>
      </x:c>
      <x:c r="Q2616" s="22" t="n">
        <x:v>610</x:v>
      </x:c>
      <x:c r="R2616" s="22" t="n">
        <x:f>Q2616*M2616</x:f>
        <x:v>610</x:v>
      </x:c>
      <x:c r="S2616" s="22" t="n">
        <x:f>P2616-R2616</x:f>
        <x:v>90</x:v>
      </x:c>
      <x:c r="T2616" t="str">
        <x:v>Bank Transfer</x:v>
      </x:c>
      <x:c r="U2616" t="str">
        <x:v>Paid</x:v>
      </x:c>
      <x:c r="V2616" t="str">
        <x:v>Cancelled</x:v>
      </x:c>
      <x:c r="W2616" t="n">
        <x:v>1</x:v>
      </x:c>
      <x:c r="X2616" t="str">
        <x:v>Cancelled Order</x:v>
      </x:c>
      <x:c r="Y2616" t="str">
        <x:v>Field Visit</x:v>
      </x:c>
    </x:row>
    <x:row r="2617">
      <x:c r="A2617" t="str">
        <x:v>O002616</x:v>
      </x:c>
      <x:c r="B2617" s="20" t="n">
        <x:v>46222</x:v>
      </x:c>
      <x:c r="C2617" t="str">
        <x:v>C0195</x:v>
      </x:c>
      <x:c r="D2617" t="str">
        <x:v>Classic Stores 195</x:v>
      </x:c>
      <x:c r="E2617" t="str">
        <x:v>Canteen</x:v>
      </x:c>
      <x:c r="F2617" t="str">
        <x:v>Davanagere</x:v>
      </x:c>
      <x:c r="G2617" t="str">
        <x:v>Kavya</x:v>
      </x:c>
      <x:c r="H2617" t="str">
        <x:v>P009</x:v>
      </x:c>
      <x:c r="I2617" t="str">
        <x:v>Groundnut Oil 5L</x:v>
      </x:c>
      <x:c r="J2617" t="str">
        <x:v>Edible Oil</x:v>
      </x:c>
      <x:c r="K2617" t="str">
        <x:v>Dhara</x:v>
      </x:c>
      <x:c r="L2617" s="22" t="n">
        <x:v>890</x:v>
      </x:c>
      <x:c r="M2617" t="n">
        <x:v>30</x:v>
      </x:c>
      <x:c r="N2617" s="24" t="n">
        <x:v>0</x:v>
      </x:c>
      <x:c r="O2617" s="22" t="n">
        <x:f>L2617*M2617</x:f>
        <x:v>26700</x:v>
      </x:c>
      <x:c r="P2617" s="22" t="n">
        <x:f>O2617*(1-N2617)</x:f>
        <x:v>26700</x:v>
      </x:c>
      <x:c r="Q2617" s="22" t="n">
        <x:v>810</x:v>
      </x:c>
      <x:c r="R2617" s="22" t="n">
        <x:f>Q2617*M2617</x:f>
        <x:v>24300</x:v>
      </x:c>
      <x:c r="S2617" s="22" t="n">
        <x:f>P2617-R2617</x:f>
        <x:v>2400</x:v>
      </x:c>
      <x:c r="T2617" t="str">
        <x:v>Bank Transfer</x:v>
      </x:c>
      <x:c r="U2617" t="str">
        <x:v>Paid</x:v>
      </x:c>
      <x:c r="V2617" t="str">
        <x:v>Delivered</x:v>
      </x:c>
      <x:c r="W2617" t="n">
        <x:v>4</x:v>
      </x:c>
      <x:c r="X2617" t="str">
        <x:v>Quality Issue</x:v>
      </x:c>
      <x:c r="Y2617" t="str">
        <x:v>Existing Customer</x:v>
      </x:c>
    </x:row>
    <x:row r="2618">
      <x:c r="A2618" t="str">
        <x:v>O002617</x:v>
      </x:c>
      <x:c r="B2618" s="20" t="n">
        <x:v>45789</x:v>
      </x:c>
      <x:c r="C2618" t="str">
        <x:v>C0127</x:v>
      </x:c>
      <x:c r="D2618" t="str">
        <x:v>Grand Mart 127</x:v>
      </x:c>
      <x:c r="E2618" t="str">
        <x:v>Canteen</x:v>
      </x:c>
      <x:c r="F2618" t="str">
        <x:v>Hubballi</x:v>
      </x:c>
      <x:c r="G2618" t="str">
        <x:v>Imran</x:v>
      </x:c>
      <x:c r="H2618" t="str">
        <x:v>P048</x:v>
      </x:c>
      <x:c r="I2618" t="str">
        <x:v>Banana 10kg</x:v>
      </x:c>
      <x:c r="J2618" t="str">
        <x:v>Fresh Produce</x:v>
      </x:c>
      <x:c r="K2618" t="str">
        <x:v>Local Market</x:v>
      </x:c>
      <x:c r="L2618" s="22" t="n">
        <x:v>420</x:v>
      </x:c>
      <x:c r="M2618" t="n">
        <x:v>17</x:v>
      </x:c>
      <x:c r="N2618" s="24" t="n">
        <x:v>0.05</x:v>
      </x:c>
      <x:c r="O2618" s="22" t="n">
        <x:f>L2618*M2618</x:f>
        <x:v>7140</x:v>
      </x:c>
      <x:c r="P2618" s="22" t="n">
        <x:f>O2618*(1-N2618)</x:f>
        <x:v>6783</x:v>
      </x:c>
      <x:c r="Q2618" s="22" t="n">
        <x:v>350</x:v>
      </x:c>
      <x:c r="R2618" s="22" t="n">
        <x:f>Q2618*M2618</x:f>
        <x:v>5950</x:v>
      </x:c>
      <x:c r="S2618" s="22" t="n">
        <x:f>P2618-R2618</x:f>
        <x:v>833</x:v>
      </x:c>
      <x:c r="T2618" t="str">
        <x:v>Credit</x:v>
      </x:c>
      <x:c r="U2618" t="str">
        <x:v>Overdue</x:v>
      </x:c>
      <x:c r="V2618" t="str">
        <x:v>Delivered</x:v>
      </x:c>
      <x:c r="W2618" t="n">
        <x:v>0</x:v>
      </x:c>
      <x:c r="X2618" t="str"/>
      <x:c r="Y2618" t="str">
        <x:v>Outbound Call</x:v>
      </x:c>
    </x:row>
    <x:row r="2619">
      <x:c r="A2619" t="str">
        <x:v>O002618</x:v>
      </x:c>
      <x:c r="B2619" s="20" t="n">
        <x:v>45703</x:v>
      </x:c>
      <x:c r="C2619" t="str">
        <x:v>C0048</x:v>
      </x:c>
      <x:c r="D2619" t="str">
        <x:v>Udupi Foods 48</x:v>
      </x:c>
      <x:c r="E2619" t="str">
        <x:v>Hotel</x:v>
      </x:c>
      <x:c r="F2619" t="str">
        <x:v>Bengaluru</x:v>
      </x:c>
      <x:c r="G2619" t="str">
        <x:v>Ramesh</x:v>
      </x:c>
      <x:c r="H2619" t="str">
        <x:v>P046</x:v>
      </x:c>
      <x:c r="I2619" t="str">
        <x:v>Potato 25kg</x:v>
      </x:c>
      <x:c r="J2619" t="str">
        <x:v>Fresh Produce</x:v>
      </x:c>
      <x:c r="K2619" t="str">
        <x:v>Local Market</x:v>
      </x:c>
      <x:c r="L2619" s="22" t="n">
        <x:v>700</x:v>
      </x:c>
      <x:c r="M2619" t="n">
        <x:v>22</x:v>
      </x:c>
      <x:c r="N2619" s="24" t="n">
        <x:v>0.05</x:v>
      </x:c>
      <x:c r="O2619" s="22" t="n">
        <x:f>L2619*M2619</x:f>
        <x:v>15400</x:v>
      </x:c>
      <x:c r="P2619" s="22" t="n">
        <x:f>O2619*(1-N2619)</x:f>
        <x:v>14630</x:v>
      </x:c>
      <x:c r="Q2619" s="22" t="n">
        <x:v>610</x:v>
      </x:c>
      <x:c r="R2619" s="22" t="n">
        <x:f>Q2619*M2619</x:f>
        <x:v>13420</x:v>
      </x:c>
      <x:c r="S2619" s="22" t="n">
        <x:f>P2619-R2619</x:f>
        <x:v>1210</x:v>
      </x:c>
      <x:c r="T2619" t="str">
        <x:v>UPI</x:v>
      </x:c>
      <x:c r="U2619" t="str">
        <x:v>Paid</x:v>
      </x:c>
      <x:c r="V2619" t="str">
        <x:v>Delivered</x:v>
      </x:c>
      <x:c r="W2619" t="n">
        <x:v>0</x:v>
      </x:c>
      <x:c r="X2619" t="str"/>
      <x:c r="Y2619" t="str">
        <x:v>Existing Customer</x:v>
      </x:c>
    </x:row>
    <x:row r="2620">
      <x:c r="A2620" t="str">
        <x:v>O002619</x:v>
      </x:c>
      <x:c r="B2620" s="20" t="n">
        <x:v>45702</x:v>
      </x:c>
      <x:c r="C2620" t="str">
        <x:v>C0207</x:v>
      </x:c>
      <x:c r="D2620" t="str">
        <x:v>Hotel Stores 207</x:v>
      </x:c>
      <x:c r="E2620" t="str">
        <x:v>Restaurant</x:v>
      </x:c>
      <x:c r="F2620" t="str">
        <x:v>Hubballi</x:v>
      </x:c>
      <x:c r="G2620" t="str">
        <x:v>Ramesh</x:v>
      </x:c>
      <x:c r="H2620" t="str">
        <x:v>P025</x:v>
      </x:c>
      <x:c r="I2620" t="str">
        <x:v>Potato Chips 100g</x:v>
      </x:c>
      <x:c r="J2620" t="str">
        <x:v>Snacks</x:v>
      </x:c>
      <x:c r="K2620" t="str">
        <x:v>Lay's</x:v>
      </x:c>
      <x:c r="L2620" s="22" t="n">
        <x:v>35</x:v>
      </x:c>
      <x:c r="M2620" t="n">
        <x:v>19</x:v>
      </x:c>
      <x:c r="N2620" s="24" t="n">
        <x:v>0.03</x:v>
      </x:c>
      <x:c r="O2620" s="22" t="n">
        <x:f>L2620*M2620</x:f>
        <x:v>665</x:v>
      </x:c>
      <x:c r="P2620" s="22" t="n">
        <x:f>O2620*(1-N2620)</x:f>
        <x:v>645.05</x:v>
      </x:c>
      <x:c r="Q2620" s="22" t="n">
        <x:v>27</x:v>
      </x:c>
      <x:c r="R2620" s="22" t="n">
        <x:f>Q2620*M2620</x:f>
        <x:v>513</x:v>
      </x:c>
      <x:c r="S2620" s="22" t="n">
        <x:f>P2620-R2620</x:f>
        <x:v>132.04999999999995</x:v>
      </x:c>
      <x:c r="T2620" t="str">
        <x:v>Bank Transfer</x:v>
      </x:c>
      <x:c r="U2620" t="str">
        <x:v>Pending</x:v>
      </x:c>
      <x:c r="V2620" t="str">
        <x:v>Delivered</x:v>
      </x:c>
      <x:c r="W2620" t="n">
        <x:v>0</x:v>
      </x:c>
      <x:c r="X2620" t="str"/>
      <x:c r="Y2620" t="str">
        <x:v>WhatsApp</x:v>
      </x:c>
    </x:row>
    <x:row r="2621">
      <x:c r="A2621" t="str">
        <x:v>O002620</x:v>
      </x:c>
      <x:c r="B2621" s="20" t="n">
        <x:v>46146</x:v>
      </x:c>
      <x:c r="C2621" t="str">
        <x:v>C0217</x:v>
      </x:c>
      <x:c r="D2621" t="str">
        <x:v>Darshini Cafe 217</x:v>
      </x:c>
      <x:c r="E2621" t="str">
        <x:v>Restaurant</x:v>
      </x:c>
      <x:c r="F2621" t="str">
        <x:v>Bengaluru</x:v>
      </x:c>
      <x:c r="G2621" t="str">
        <x:v>Priya</x:v>
      </x:c>
      <x:c r="H2621" t="str">
        <x:v>P020</x:v>
      </x:c>
      <x:c r="I2621" t="str">
        <x:v>Coffee 500g</x:v>
      </x:c>
      <x:c r="J2621" t="str">
        <x:v>Beverage</x:v>
      </x:c>
      <x:c r="K2621" t="str">
        <x:v>Bru</x:v>
      </x:c>
      <x:c r="L2621" s="22" t="n">
        <x:v>390</x:v>
      </x:c>
      <x:c r="M2621" t="n">
        <x:v>17</x:v>
      </x:c>
      <x:c r="N2621" s="24" t="n">
        <x:v>0.03</x:v>
      </x:c>
      <x:c r="O2621" s="22" t="n">
        <x:f>L2621*M2621</x:f>
        <x:v>6630</x:v>
      </x:c>
      <x:c r="P2621" s="22" t="n">
        <x:f>O2621*(1-N2621)</x:f>
        <x:v>6431.099999999999</x:v>
      </x:c>
      <x:c r="Q2621" s="22" t="n">
        <x:v>350</x:v>
      </x:c>
      <x:c r="R2621" s="22" t="n">
        <x:f>Q2621*M2621</x:f>
        <x:v>5950</x:v>
      </x:c>
      <x:c r="S2621" s="22" t="n">
        <x:f>P2621-R2621</x:f>
        <x:v>481.09999999999945</x:v>
      </x:c>
      <x:c r="T2621" t="str">
        <x:v>Credit</x:v>
      </x:c>
      <x:c r="U2621" t="str">
        <x:v>Paid</x:v>
      </x:c>
      <x:c r="V2621" t="str">
        <x:v>Delayed</x:v>
      </x:c>
      <x:c r="W2621" t="n">
        <x:v>0</x:v>
      </x:c>
      <x:c r="X2621" t="str"/>
      <x:c r="Y2621" t="str">
        <x:v>Field Visit</x:v>
      </x:c>
    </x:row>
    <x:row r="2622">
      <x:c r="A2622" t="str">
        <x:v>O002621</x:v>
      </x:c>
      <x:c r="B2622" s="20" t="n">
        <x:v>45921</x:v>
      </x:c>
      <x:c r="C2622" t="str">
        <x:v>C0149</x:v>
      </x:c>
      <x:c r="D2622" t="str">
        <x:v>Annapurna Hotel 149</x:v>
      </x:c>
      <x:c r="E2622" t="str">
        <x:v>Cafe</x:v>
      </x:c>
      <x:c r="F2622" t="str">
        <x:v>Tumakuru</x:v>
      </x:c>
      <x:c r="G2622" t="str">
        <x:v>Megha</x:v>
      </x:c>
      <x:c r="H2622" t="str">
        <x:v>P002</x:v>
      </x:c>
      <x:c r="I2622" t="str">
        <x:v>Sona Masoori Rice 25kg</x:v>
      </x:c>
      <x:c r="J2622" t="str">
        <x:v>Staples</x:v>
      </x:c>
      <x:c r="K2622" t="str">
        <x:v>Fortune</x:v>
      </x:c>
      <x:c r="L2622" s="22" t="n">
        <x:v>1320</x:v>
      </x:c>
      <x:c r="M2622" t="n">
        <x:v>11</x:v>
      </x:c>
      <x:c r="N2622" s="24" t="n">
        <x:v>0.03</x:v>
      </x:c>
      <x:c r="O2622" s="22" t="n">
        <x:f>L2622*M2622</x:f>
        <x:v>14520</x:v>
      </x:c>
      <x:c r="P2622" s="22" t="n">
        <x:f>O2622*(1-N2622)</x:f>
        <x:v>14084.4</x:v>
      </x:c>
      <x:c r="Q2622" s="22" t="n">
        <x:v>1160</x:v>
      </x:c>
      <x:c r="R2622" s="22" t="n">
        <x:f>Q2622*M2622</x:f>
        <x:v>12760</x:v>
      </x:c>
      <x:c r="S2622" s="22" t="n">
        <x:f>P2622-R2622</x:f>
        <x:v>1324.3999999999996</x:v>
      </x:c>
      <x:c r="T2622" t="str">
        <x:v>Cash</x:v>
      </x:c>
      <x:c r="U2622" t="str">
        <x:v>Paid</x:v>
      </x:c>
      <x:c r="V2622" t="str">
        <x:v>Cancelled</x:v>
      </x:c>
      <x:c r="W2622" t="n">
        <x:v>11</x:v>
      </x:c>
      <x:c r="X2622" t="str">
        <x:v>Cancelled Order</x:v>
      </x:c>
      <x:c r="Y2622" t="str">
        <x:v>Field Visit</x:v>
      </x:c>
    </x:row>
    <x:row r="2623">
      <x:c r="A2623" t="str">
        <x:v>O002622</x:v>
      </x:c>
      <x:c r="B2623" s="20" t="n">
        <x:v>45995</x:v>
      </x:c>
      <x:c r="C2623" t="str">
        <x:v>C0025</x:v>
      </x:c>
      <x:c r="D2623" t="str">
        <x:v>Sri Cafe 25</x:v>
      </x:c>
      <x:c r="E2623" t="str">
        <x:v>Hotel</x:v>
      </x:c>
      <x:c r="F2623" t="str">
        <x:v>Mysuru</x:v>
      </x:c>
      <x:c r="G2623" t="str">
        <x:v>Kavya</x:v>
      </x:c>
      <x:c r="H2623" t="str">
        <x:v>P025</x:v>
      </x:c>
      <x:c r="I2623" t="str">
        <x:v>Potato Chips 100g</x:v>
      </x:c>
      <x:c r="J2623" t="str">
        <x:v>Snacks</x:v>
      </x:c>
      <x:c r="K2623" t="str">
        <x:v>Lay's</x:v>
      </x:c>
      <x:c r="L2623" s="22" t="n">
        <x:v>35</x:v>
      </x:c>
      <x:c r="M2623" t="n">
        <x:v>23</x:v>
      </x:c>
      <x:c r="N2623" s="24" t="n">
        <x:v>0.03</x:v>
      </x:c>
      <x:c r="O2623" s="22" t="n">
        <x:f>L2623*M2623</x:f>
        <x:v>805</x:v>
      </x:c>
      <x:c r="P2623" s="22" t="n">
        <x:f>O2623*(1-N2623)</x:f>
        <x:v>780.85</x:v>
      </x:c>
      <x:c r="Q2623" s="22" t="n">
        <x:v>27</x:v>
      </x:c>
      <x:c r="R2623" s="22" t="n">
        <x:f>Q2623*M2623</x:f>
        <x:v>621</x:v>
      </x:c>
      <x:c r="S2623" s="22" t="n">
        <x:f>P2623-R2623</x:f>
        <x:v>159.85000000000002</x:v>
      </x:c>
      <x:c r="T2623" t="str">
        <x:v>Bank Transfer</x:v>
      </x:c>
      <x:c r="U2623" t="str">
        <x:v>Paid</x:v>
      </x:c>
      <x:c r="V2623" t="str">
        <x:v>Delayed</x:v>
      </x:c>
      <x:c r="W2623" t="n">
        <x:v>0</x:v>
      </x:c>
      <x:c r="X2623" t="str"/>
      <x:c r="Y2623" t="str">
        <x:v>WhatsApp</x:v>
      </x:c>
    </x:row>
    <x:row r="2624">
      <x:c r="A2624" t="str">
        <x:v>O002623</x:v>
      </x:c>
      <x:c r="B2624" s="20" t="n">
        <x:v>46111</x:v>
      </x:c>
      <x:c r="C2624" t="str">
        <x:v>C0238</x:v>
      </x:c>
      <x:c r="D2624" t="str">
        <x:v>Foodie Foods 238</x:v>
      </x:c>
      <x:c r="E2624" t="str">
        <x:v>Restaurant</x:v>
      </x:c>
      <x:c r="F2624" t="str">
        <x:v>Davanagere</x:v>
      </x:c>
      <x:c r="G2624" t="str">
        <x:v>Megha</x:v>
      </x:c>
      <x:c r="H2624" t="str">
        <x:v>P033</x:v>
      </x:c>
      <x:c r="I2624" t="str">
        <x:v>Turmeric Powder 1kg</x:v>
      </x:c>
      <x:c r="J2624" t="str">
        <x:v>Spices</x:v>
      </x:c>
      <x:c r="K2624" t="str">
        <x:v>Everest</x:v>
      </x:c>
      <x:c r="L2624" s="22" t="n">
        <x:v>310</x:v>
      </x:c>
      <x:c r="M2624" t="n">
        <x:v>25</x:v>
      </x:c>
      <x:c r="N2624" s="24" t="n">
        <x:v>0.02</x:v>
      </x:c>
      <x:c r="O2624" s="22" t="n">
        <x:f>L2624*M2624</x:f>
        <x:v>7750</x:v>
      </x:c>
      <x:c r="P2624" s="22" t="n">
        <x:f>O2624*(1-N2624)</x:f>
        <x:v>7595</x:v>
      </x:c>
      <x:c r="Q2624" s="22" t="n">
        <x:v>270</x:v>
      </x:c>
      <x:c r="R2624" s="22" t="n">
        <x:f>Q2624*M2624</x:f>
        <x:v>6750</x:v>
      </x:c>
      <x:c r="S2624" s="22" t="n">
        <x:f>P2624-R2624</x:f>
        <x:v>845</x:v>
      </x:c>
      <x:c r="T2624" t="str">
        <x:v>Bank Transfer</x:v>
      </x:c>
      <x:c r="U2624" t="str">
        <x:v>Paid</x:v>
      </x:c>
      <x:c r="V2624" t="str">
        <x:v>Delivered</x:v>
      </x:c>
      <x:c r="W2624" t="n">
        <x:v>0</x:v>
      </x:c>
      <x:c r="X2624" t="str"/>
      <x:c r="Y2624" t="str">
        <x:v>Outbound Call</x:v>
      </x:c>
    </x:row>
    <x:row r="2625">
      <x:c r="A2625" t="str">
        <x:v>O002624</x:v>
      </x:c>
      <x:c r="B2625" s="20" t="n">
        <x:v>46263</x:v>
      </x:c>
      <x:c r="C2625" t="str">
        <x:v>C0033</x:v>
      </x:c>
      <x:c r="D2625" t="str">
        <x:v>Shree Canteen 33</x:v>
      </x:c>
      <x:c r="E2625" t="str">
        <x:v>Canteen</x:v>
      </x:c>
      <x:c r="F2625" t="str">
        <x:v>Mangaluru</x:v>
      </x:c>
      <x:c r="G2625" t="str">
        <x:v>Imran</x:v>
      </x:c>
      <x:c r="H2625" t="str">
        <x:v>P009</x:v>
      </x:c>
      <x:c r="I2625" t="str">
        <x:v>Groundnut Oil 5L</x:v>
      </x:c>
      <x:c r="J2625" t="str">
        <x:v>Edible Oil</x:v>
      </x:c>
      <x:c r="K2625" t="str">
        <x:v>Dhara</x:v>
      </x:c>
      <x:c r="L2625" s="22" t="n">
        <x:v>890</x:v>
      </x:c>
      <x:c r="M2625" t="n">
        <x:v>2</x:v>
      </x:c>
      <x:c r="N2625" s="24" t="n">
        <x:v>0.08</x:v>
      </x:c>
      <x:c r="O2625" s="22" t="n">
        <x:f>L2625*M2625</x:f>
        <x:v>1780</x:v>
      </x:c>
      <x:c r="P2625" s="22" t="n">
        <x:f>O2625*(1-N2625)</x:f>
        <x:v>1637.6000000000001</x:v>
      </x:c>
      <x:c r="Q2625" s="22" t="n">
        <x:v>810</x:v>
      </x:c>
      <x:c r="R2625" s="22" t="n">
        <x:f>Q2625*M2625</x:f>
        <x:v>1620</x:v>
      </x:c>
      <x:c r="S2625" s="22" t="n">
        <x:f>P2625-R2625</x:f>
        <x:v>17.600000000000136</x:v>
      </x:c>
      <x:c r="T2625" t="str">
        <x:v>UPI</x:v>
      </x:c>
      <x:c r="U2625" t="str">
        <x:v>Pending</x:v>
      </x:c>
      <x:c r="V2625" t="str">
        <x:v>Delivered</x:v>
      </x:c>
      <x:c r="W2625" t="n">
        <x:v>0</x:v>
      </x:c>
      <x:c r="X2625" t="str"/>
      <x:c r="Y2625" t="str">
        <x:v>Outbound Call</x:v>
      </x:c>
    </x:row>
    <x:row r="2626">
      <x:c r="A2626" t="str">
        <x:v>O002625</x:v>
      </x:c>
      <x:c r="B2626" s="20" t="n">
        <x:v>45941</x:v>
      </x:c>
      <x:c r="C2626" t="str">
        <x:v>C0124</x:v>
      </x:c>
      <x:c r="D2626" t="str">
        <x:v>Green Hotel 124</x:v>
      </x:c>
      <x:c r="E2626" t="str">
        <x:v>Cafe</x:v>
      </x:c>
      <x:c r="F2626" t="str">
        <x:v>Bengaluru</x:v>
      </x:c>
      <x:c r="G2626" t="str">
        <x:v>Imran</x:v>
      </x:c>
      <x:c r="H2626" t="str">
        <x:v>P038</x:v>
      </x:c>
      <x:c r="I2626" t="str">
        <x:v>French Fries 2.5kg</x:v>
      </x:c>
      <x:c r="J2626" t="str">
        <x:v>Frozen</x:v>
      </x:c>
      <x:c r="K2626" t="str">
        <x:v>McCain</x:v>
      </x:c>
      <x:c r="L2626" s="22" t="n">
        <x:v>360</x:v>
      </x:c>
      <x:c r="M2626" t="n">
        <x:v>29</x:v>
      </x:c>
      <x:c r="N2626" s="24" t="n">
        <x:v>0.08</x:v>
      </x:c>
      <x:c r="O2626" s="22" t="n">
        <x:f>L2626*M2626</x:f>
        <x:v>10440</x:v>
      </x:c>
      <x:c r="P2626" s="22" t="n">
        <x:f>O2626*(1-N2626)</x:f>
        <x:v>9604.800000000001</x:v>
      </x:c>
      <x:c r="Q2626" s="22" t="n">
        <x:v>315</x:v>
      </x:c>
      <x:c r="R2626" s="22" t="n">
        <x:f>Q2626*M2626</x:f>
        <x:v>9135</x:v>
      </x:c>
      <x:c r="S2626" s="22" t="n">
        <x:f>P2626-R2626</x:f>
        <x:v>469.8000000000011</x:v>
      </x:c>
      <x:c r="T2626" t="str">
        <x:v>UPI</x:v>
      </x:c>
      <x:c r="U2626" t="str">
        <x:v>Pending</x:v>
      </x:c>
      <x:c r="V2626" t="str">
        <x:v>Delayed</x:v>
      </x:c>
      <x:c r="W2626" t="n">
        <x:v>0</x:v>
      </x:c>
      <x:c r="X2626" t="str"/>
      <x:c r="Y2626" t="str">
        <x:v>Outbound Call</x:v>
      </x:c>
    </x:row>
    <x:row r="2627">
      <x:c r="A2627" t="str">
        <x:v>O002626</x:v>
      </x:c>
      <x:c r="B2627" s="20" t="n">
        <x:v>45995</x:v>
      </x:c>
      <x:c r="C2627" t="str">
        <x:v>C0005</x:v>
      </x:c>
      <x:c r="D2627" t="str">
        <x:v>Sagar Kitchen 5</x:v>
      </x:c>
      <x:c r="E2627" t="str">
        <x:v>Restaurant</x:v>
      </x:c>
      <x:c r="F2627" t="str">
        <x:v>Hubballi</x:v>
      </x:c>
      <x:c r="G2627" t="str">
        <x:v>Priya</x:v>
      </x:c>
      <x:c r="H2627" t="str">
        <x:v>P014</x:v>
      </x:c>
      <x:c r="I2627" t="str">
        <x:v>Rava 5kg</x:v>
      </x:c>
      <x:c r="J2627" t="str">
        <x:v>Flour</x:v>
      </x:c>
      <x:c r="K2627" t="str">
        <x:v>Local Select</x:v>
      </x:c>
      <x:c r="L2627" s="22" t="n">
        <x:v>245</x:v>
      </x:c>
      <x:c r="M2627" t="n">
        <x:v>8</x:v>
      </x:c>
      <x:c r="N2627" s="24" t="n">
        <x:v>0.05</x:v>
      </x:c>
      <x:c r="O2627" s="22" t="n">
        <x:f>L2627*M2627</x:f>
        <x:v>1960</x:v>
      </x:c>
      <x:c r="P2627" s="22" t="n">
        <x:f>O2627*(1-N2627)</x:f>
        <x:v>1862</x:v>
      </x:c>
      <x:c r="Q2627" s="22" t="n">
        <x:v>215</x:v>
      </x:c>
      <x:c r="R2627" s="22" t="n">
        <x:f>Q2627*M2627</x:f>
        <x:v>1720</x:v>
      </x:c>
      <x:c r="S2627" s="22" t="n">
        <x:f>P2627-R2627</x:f>
        <x:v>142</x:v>
      </x:c>
      <x:c r="T2627" t="str">
        <x:v>Cash</x:v>
      </x:c>
      <x:c r="U2627" t="str">
        <x:v>Pending</x:v>
      </x:c>
      <x:c r="V2627" t="str">
        <x:v>Delayed</x:v>
      </x:c>
      <x:c r="W2627" t="n">
        <x:v>0</x:v>
      </x:c>
      <x:c r="X2627" t="str"/>
      <x:c r="Y2627" t="str">
        <x:v>Existing Customer</x:v>
      </x:c>
    </x:row>
    <x:row r="2628">
      <x:c r="A2628" t="str">
        <x:v>O002627</x:v>
      </x:c>
      <x:c r="B2628" s="20" t="n">
        <x:v>45909</x:v>
      </x:c>
      <x:c r="C2628" t="str">
        <x:v>C0196</x:v>
      </x:c>
      <x:c r="D2628" t="str">
        <x:v>Namma Mart 196</x:v>
      </x:c>
      <x:c r="E2628" t="str">
        <x:v>Cafe</x:v>
      </x:c>
      <x:c r="F2628" t="str">
        <x:v>Mangaluru</x:v>
      </x:c>
      <x:c r="G2628" t="str">
        <x:v>Kavya</x:v>
      </x:c>
      <x:c r="H2628" t="str">
        <x:v>P021</x:v>
      </x:c>
      <x:c r="I2628" t="str">
        <x:v>Instant Coffee 200g</x:v>
      </x:c>
      <x:c r="J2628" t="str">
        <x:v>Beverage</x:v>
      </x:c>
      <x:c r="K2628" t="str">
        <x:v>Nescafe</x:v>
      </x:c>
      <x:c r="L2628" s="22" t="n">
        <x:v>460</x:v>
      </x:c>
      <x:c r="M2628" t="n">
        <x:v>36</x:v>
      </x:c>
      <x:c r="N2628" s="24" t="n">
        <x:v>0</x:v>
      </x:c>
      <x:c r="O2628" s="22" t="n">
        <x:f>L2628*M2628</x:f>
        <x:v>16560</x:v>
      </x:c>
      <x:c r="P2628" s="22" t="n">
        <x:f>O2628*(1-N2628)</x:f>
        <x:v>16560</x:v>
      </x:c>
      <x:c r="Q2628" s="22" t="n">
        <x:v>410</x:v>
      </x:c>
      <x:c r="R2628" s="22" t="n">
        <x:f>Q2628*M2628</x:f>
        <x:v>14760</x:v>
      </x:c>
      <x:c r="S2628" s="22" t="n">
        <x:f>P2628-R2628</x:f>
        <x:v>1800</x:v>
      </x:c>
      <x:c r="T2628" t="str">
        <x:v>Cash</x:v>
      </x:c>
      <x:c r="U2628" t="str">
        <x:v>Paid</x:v>
      </x:c>
      <x:c r="V2628" t="str">
        <x:v>Delayed</x:v>
      </x:c>
      <x:c r="W2628" t="n">
        <x:v>0</x:v>
      </x:c>
      <x:c r="X2628" t="str"/>
      <x:c r="Y2628" t="str">
        <x:v>Outbound Call</x:v>
      </x:c>
    </x:row>
    <x:row r="2629">
      <x:c r="A2629" t="str">
        <x:v>O002628</x:v>
      </x:c>
      <x:c r="B2629" s="20" t="n">
        <x:v>45706</x:v>
      </x:c>
      <x:c r="C2629" t="str">
        <x:v>C0208</x:v>
      </x:c>
      <x:c r="D2629" t="str">
        <x:v>Green Foods 208</x:v>
      </x:c>
      <x:c r="E2629" t="str">
        <x:v>Hotel</x:v>
      </x:c>
      <x:c r="F2629" t="str">
        <x:v>Mysuru</x:v>
      </x:c>
      <x:c r="G2629" t="str">
        <x:v>Ramesh</x:v>
      </x:c>
      <x:c r="H2629" t="str">
        <x:v>P037</x:v>
      </x:c>
      <x:c r="I2629" t="str">
        <x:v>Frozen Peas 1kg</x:v>
      </x:c>
      <x:c r="J2629" t="str">
        <x:v>Frozen</x:v>
      </x:c>
      <x:c r="K2629" t="str">
        <x:v>Safal</x:v>
      </x:c>
      <x:c r="L2629" s="22" t="n">
        <x:v>155</x:v>
      </x:c>
      <x:c r="M2629" t="n">
        <x:v>24</x:v>
      </x:c>
      <x:c r="N2629" s="24" t="n">
        <x:v>0</x:v>
      </x:c>
      <x:c r="O2629" s="22" t="n">
        <x:f>L2629*M2629</x:f>
        <x:v>3720</x:v>
      </x:c>
      <x:c r="P2629" s="22" t="n">
        <x:f>O2629*(1-N2629)</x:f>
        <x:v>3720</x:v>
      </x:c>
      <x:c r="Q2629" s="22" t="n">
        <x:v>138</x:v>
      </x:c>
      <x:c r="R2629" s="22" t="n">
        <x:f>Q2629*M2629</x:f>
        <x:v>3312</x:v>
      </x:c>
      <x:c r="S2629" s="22" t="n">
        <x:f>P2629-R2629</x:f>
        <x:v>408</x:v>
      </x:c>
      <x:c r="T2629" t="str">
        <x:v>Credit</x:v>
      </x:c>
      <x:c r="U2629" t="str">
        <x:v>Paid</x:v>
      </x:c>
      <x:c r="V2629" t="str">
        <x:v>Delivered</x:v>
      </x:c>
      <x:c r="W2629" t="n">
        <x:v>0</x:v>
      </x:c>
      <x:c r="X2629" t="str"/>
      <x:c r="Y2629" t="str">
        <x:v>Outbound Call</x:v>
      </x:c>
    </x:row>
    <x:row r="2630">
      <x:c r="A2630" t="str">
        <x:v>O002629</x:v>
      </x:c>
      <x:c r="B2630" s="20" t="n">
        <x:v>45878</x:v>
      </x:c>
      <x:c r="C2630" t="str">
        <x:v>C0105</x:v>
      </x:c>
      <x:c r="D2630" t="str">
        <x:v>Foodie Restaurant 105</x:v>
      </x:c>
      <x:c r="E2630" t="str">
        <x:v>Supermarket</x:v>
      </x:c>
      <x:c r="F2630" t="str">
        <x:v>Bengaluru</x:v>
      </x:c>
      <x:c r="G2630" t="str">
        <x:v>Arjun</x:v>
      </x:c>
      <x:c r="H2630" t="str">
        <x:v>P031</x:v>
      </x:c>
      <x:c r="I2630" t="str">
        <x:v>Chilli Sauce 700g</x:v>
      </x:c>
      <x:c r="J2630" t="str">
        <x:v>Condiments</x:v>
      </x:c>
      <x:c r="K2630" t="str">
        <x:v>Ching's</x:v>
      </x:c>
      <x:c r="L2630" s="22" t="n">
        <x:v>130</x:v>
      </x:c>
      <x:c r="M2630" t="n">
        <x:v>4</x:v>
      </x:c>
      <x:c r="N2630" s="24" t="n">
        <x:v>0.05</x:v>
      </x:c>
      <x:c r="O2630" s="22" t="n">
        <x:f>L2630*M2630</x:f>
        <x:v>520</x:v>
      </x:c>
      <x:c r="P2630" s="22" t="n">
        <x:f>O2630*(1-N2630)</x:f>
        <x:v>494</x:v>
      </x:c>
      <x:c r="Q2630" s="22" t="n">
        <x:v>112</x:v>
      </x:c>
      <x:c r="R2630" s="22" t="n">
        <x:f>Q2630*M2630</x:f>
        <x:v>448</x:v>
      </x:c>
      <x:c r="S2630" s="22" t="n">
        <x:f>P2630-R2630</x:f>
        <x:v>46</x:v>
      </x:c>
      <x:c r="T2630" t="str">
        <x:v>Cash</x:v>
      </x:c>
      <x:c r="U2630" t="str">
        <x:v>Pending</x:v>
      </x:c>
      <x:c r="V2630" t="str">
        <x:v>Delivered</x:v>
      </x:c>
      <x:c r="W2630" t="n">
        <x:v>0</x:v>
      </x:c>
      <x:c r="X2630" t="str"/>
      <x:c r="Y2630" t="str">
        <x:v>WhatsApp</x:v>
      </x:c>
    </x:row>
    <x:row r="2631">
      <x:c r="A2631" t="str">
        <x:v>O002630</x:v>
      </x:c>
      <x:c r="B2631" s="20" t="n">
        <x:v>45919</x:v>
      </x:c>
      <x:c r="C2631" t="str">
        <x:v>C0207</x:v>
      </x:c>
      <x:c r="D2631" t="str">
        <x:v>Hotel Stores 207</x:v>
      </x:c>
      <x:c r="E2631" t="str">
        <x:v>Restaurant</x:v>
      </x:c>
      <x:c r="F2631" t="str">
        <x:v>Hubballi</x:v>
      </x:c>
      <x:c r="G2631" t="str">
        <x:v>Ramesh</x:v>
      </x:c>
      <x:c r="H2631" t="str">
        <x:v>P036</x:v>
      </x:c>
      <x:c r="I2631" t="str">
        <x:v>Garam Masala 500g</x:v>
      </x:c>
      <x:c r="J2631" t="str">
        <x:v>Spices</x:v>
      </x:c>
      <x:c r="K2631" t="str">
        <x:v>MDH</x:v>
      </x:c>
      <x:c r="L2631" s="22" t="n">
        <x:v>265</x:v>
      </x:c>
      <x:c r="M2631" t="n">
        <x:v>33</x:v>
      </x:c>
      <x:c r="N2631" s="24" t="n">
        <x:v>0.05</x:v>
      </x:c>
      <x:c r="O2631" s="22" t="n">
        <x:f>L2631*M2631</x:f>
        <x:v>8745</x:v>
      </x:c>
      <x:c r="P2631" s="22" t="n">
        <x:f>O2631*(1-N2631)</x:f>
        <x:v>8307.75</x:v>
      </x:c>
      <x:c r="Q2631" s="22" t="n">
        <x:v>230</x:v>
      </x:c>
      <x:c r="R2631" s="22" t="n">
        <x:f>Q2631*M2631</x:f>
        <x:v>7590</x:v>
      </x:c>
      <x:c r="S2631" s="22" t="n">
        <x:f>P2631-R2631</x:f>
        <x:v>717.75</x:v>
      </x:c>
      <x:c r="T2631" t="str">
        <x:v>Credit</x:v>
      </x:c>
      <x:c r="U2631" t="str">
        <x:v>Pending</x:v>
      </x:c>
      <x:c r="V2631" t="str">
        <x:v>Delayed</x:v>
      </x:c>
      <x:c r="W2631" t="n">
        <x:v>0</x:v>
      </x:c>
      <x:c r="X2631" t="str"/>
      <x:c r="Y2631" t="str">
        <x:v>WhatsApp</x:v>
      </x:c>
    </x:row>
    <x:row r="2632">
      <x:c r="A2632" t="str">
        <x:v>O002631</x:v>
      </x:c>
      <x:c r="B2632" s="20" t="n">
        <x:v>45810</x:v>
      </x:c>
      <x:c r="C2632" t="str">
        <x:v>C0085</x:v>
      </x:c>
      <x:c r="D2632" t="str">
        <x:v>Green Hotel 85</x:v>
      </x:c>
      <x:c r="E2632" t="str">
        <x:v>Kirana</x:v>
      </x:c>
      <x:c r="F2632" t="str">
        <x:v>Mysuru</x:v>
      </x:c>
      <x:c r="G2632" t="str">
        <x:v>Arjun</x:v>
      </x:c>
      <x:c r="H2632" t="str">
        <x:v>P025</x:v>
      </x:c>
      <x:c r="I2632" t="str">
        <x:v>Potato Chips 100g</x:v>
      </x:c>
      <x:c r="J2632" t="str">
        <x:v>Snacks</x:v>
      </x:c>
      <x:c r="K2632" t="str">
        <x:v>Lay's</x:v>
      </x:c>
      <x:c r="L2632" s="22" t="n">
        <x:v>35</x:v>
      </x:c>
      <x:c r="M2632" t="n">
        <x:v>38</x:v>
      </x:c>
      <x:c r="N2632" s="24" t="n">
        <x:v>0.08</x:v>
      </x:c>
      <x:c r="O2632" s="22" t="n">
        <x:f>L2632*M2632</x:f>
        <x:v>1330</x:v>
      </x:c>
      <x:c r="P2632" s="22" t="n">
        <x:f>O2632*(1-N2632)</x:f>
        <x:v>1223.6000000000001</x:v>
      </x:c>
      <x:c r="Q2632" s="22" t="n">
        <x:v>27</x:v>
      </x:c>
      <x:c r="R2632" s="22" t="n">
        <x:f>Q2632*M2632</x:f>
        <x:v>1026</x:v>
      </x:c>
      <x:c r="S2632" s="22" t="n">
        <x:f>P2632-R2632</x:f>
        <x:v>197.60000000000014</x:v>
      </x:c>
      <x:c r="T2632" t="str">
        <x:v>Cash</x:v>
      </x:c>
      <x:c r="U2632" t="str">
        <x:v>Pending</x:v>
      </x:c>
      <x:c r="V2632" t="str">
        <x:v>Cancelled</x:v>
      </x:c>
      <x:c r="W2632" t="n">
        <x:v>38</x:v>
      </x:c>
      <x:c r="X2632" t="str">
        <x:v>Cancelled Order</x:v>
      </x:c>
      <x:c r="Y2632" t="str">
        <x:v>Existing Customer</x:v>
      </x:c>
    </x:row>
    <x:row r="2633">
      <x:c r="A2633" t="str">
        <x:v>O002632</x:v>
      </x:c>
      <x:c r="B2633" s="20" t="n">
        <x:v>46196</x:v>
      </x:c>
      <x:c r="C2633" t="str">
        <x:v>C0224</x:v>
      </x:c>
      <x:c r="D2633" t="str">
        <x:v>Royal Foods 224</x:v>
      </x:c>
      <x:c r="E2633" t="str">
        <x:v>Canteen</x:v>
      </x:c>
      <x:c r="F2633" t="str">
        <x:v>Tumakuru</x:v>
      </x:c>
      <x:c r="G2633" t="str">
        <x:v>Arjun</x:v>
      </x:c>
      <x:c r="H2633" t="str">
        <x:v>P011</x:v>
      </x:c>
      <x:c r="I2633" t="str">
        <x:v>Salt 1kg</x:v>
      </x:c>
      <x:c r="J2633" t="str">
        <x:v>Staples</x:v>
      </x:c>
      <x:c r="K2633" t="str">
        <x:v>Tata</x:v>
      </x:c>
      <x:c r="L2633" s="22" t="n">
        <x:v>28</x:v>
      </x:c>
      <x:c r="M2633" t="n">
        <x:v>11</x:v>
      </x:c>
      <x:c r="N2633" s="24" t="n">
        <x:v>0.05</x:v>
      </x:c>
      <x:c r="O2633" s="22" t="n">
        <x:f>L2633*M2633</x:f>
        <x:v>308</x:v>
      </x:c>
      <x:c r="P2633" s="22" t="n">
        <x:f>O2633*(1-N2633)</x:f>
        <x:v>292.59999999999997</x:v>
      </x:c>
      <x:c r="Q2633" s="22" t="n">
        <x:v>23</x:v>
      </x:c>
      <x:c r="R2633" s="22" t="n">
        <x:f>Q2633*M2633</x:f>
        <x:v>253</x:v>
      </x:c>
      <x:c r="S2633" s="22" t="n">
        <x:f>P2633-R2633</x:f>
        <x:v>39.599999999999966</x:v>
      </x:c>
      <x:c r="T2633" t="str">
        <x:v>UPI</x:v>
      </x:c>
      <x:c r="U2633" t="str">
        <x:v>Pending</x:v>
      </x:c>
      <x:c r="V2633" t="str">
        <x:v>Delivered</x:v>
      </x:c>
      <x:c r="W2633" t="n">
        <x:v>0</x:v>
      </x:c>
      <x:c r="X2633" t="str"/>
      <x:c r="Y2633" t="str">
        <x:v>Referral</x:v>
      </x:c>
    </x:row>
    <x:row r="2634">
      <x:c r="A2634" t="str">
        <x:v>O002633</x:v>
      </x:c>
      <x:c r="B2634" s="20" t="n">
        <x:v>46105</x:v>
      </x:c>
      <x:c r="C2634" t="str">
        <x:v>C0054</x:v>
      </x:c>
      <x:c r="D2634" t="str">
        <x:v>Cafe Cafe 54</x:v>
      </x:c>
      <x:c r="E2634" t="str">
        <x:v>Restaurant</x:v>
      </x:c>
      <x:c r="F2634" t="str">
        <x:v>Hubballi</x:v>
      </x:c>
      <x:c r="G2634" t="str">
        <x:v>Vikram</x:v>
      </x:c>
      <x:c r="H2634" t="str">
        <x:v>P003</x:v>
      </x:c>
      <x:c r="I2634" t="str">
        <x:v>Basmati Rice 5kg</x:v>
      </x:c>
      <x:c r="J2634" t="str">
        <x:v>Staples</x:v>
      </x:c>
      <x:c r="K2634" t="str">
        <x:v>India Gate</x:v>
      </x:c>
      <x:c r="L2634" s="22" t="n">
        <x:v>690</x:v>
      </x:c>
      <x:c r="M2634" t="n">
        <x:v>33</x:v>
      </x:c>
      <x:c r="N2634" s="24" t="n">
        <x:v>0.03</x:v>
      </x:c>
      <x:c r="O2634" s="22" t="n">
        <x:f>L2634*M2634</x:f>
        <x:v>22770</x:v>
      </x:c>
      <x:c r="P2634" s="22" t="n">
        <x:f>O2634*(1-N2634)</x:f>
        <x:v>22086.899999999998</x:v>
      </x:c>
      <x:c r="Q2634" s="22" t="n">
        <x:v>610</x:v>
      </x:c>
      <x:c r="R2634" s="22" t="n">
        <x:f>Q2634*M2634</x:f>
        <x:v>20130</x:v>
      </x:c>
      <x:c r="S2634" s="22" t="n">
        <x:f>P2634-R2634</x:f>
        <x:v>1956.8999999999978</x:v>
      </x:c>
      <x:c r="T2634" t="str">
        <x:v>Credit</x:v>
      </x:c>
      <x:c r="U2634" t="str">
        <x:v>Paid</x:v>
      </x:c>
      <x:c r="V2634" t="str">
        <x:v>Delivered</x:v>
      </x:c>
      <x:c r="W2634" t="n">
        <x:v>0</x:v>
      </x:c>
      <x:c r="X2634" t="str"/>
      <x:c r="Y2634" t="str">
        <x:v>WhatsApp</x:v>
      </x:c>
    </x:row>
    <x:row r="2635">
      <x:c r="A2635" t="str">
        <x:v>O002634</x:v>
      </x:c>
      <x:c r="B2635" s="20" t="n">
        <x:v>46165</x:v>
      </x:c>
      <x:c r="C2635" t="str">
        <x:v>C0105</x:v>
      </x:c>
      <x:c r="D2635" t="str">
        <x:v>Foodie Restaurant 105</x:v>
      </x:c>
      <x:c r="E2635" t="str">
        <x:v>Supermarket</x:v>
      </x:c>
      <x:c r="F2635" t="str">
        <x:v>Bengaluru</x:v>
      </x:c>
      <x:c r="G2635" t="str">
        <x:v>Arjun</x:v>
      </x:c>
      <x:c r="H2635" t="str">
        <x:v>P041</x:v>
      </x:c>
      <x:c r="I2635" t="str">
        <x:v>Burger Bun 6pc</x:v>
      </x:c>
      <x:c r="J2635" t="str">
        <x:v>Bakery</x:v>
      </x:c>
      <x:c r="K2635" t="str">
        <x:v>Modern</x:v>
      </x:c>
      <x:c r="L2635" s="22" t="n">
        <x:v>42</x:v>
      </x:c>
      <x:c r="M2635" t="n">
        <x:v>33</x:v>
      </x:c>
      <x:c r="N2635" s="24" t="n">
        <x:v>0</x:v>
      </x:c>
      <x:c r="O2635" s="22" t="n">
        <x:f>L2635*M2635</x:f>
        <x:v>1386</x:v>
      </x:c>
      <x:c r="P2635" s="22" t="n">
        <x:f>O2635*(1-N2635)</x:f>
        <x:v>1386</x:v>
      </x:c>
      <x:c r="Q2635" s="22" t="n">
        <x:v>32</x:v>
      </x:c>
      <x:c r="R2635" s="22" t="n">
        <x:f>Q2635*M2635</x:f>
        <x:v>1056</x:v>
      </x:c>
      <x:c r="S2635" s="22" t="n">
        <x:f>P2635-R2635</x:f>
        <x:v>330</x:v>
      </x:c>
      <x:c r="T2635" t="str">
        <x:v>Credit</x:v>
      </x:c>
      <x:c r="U2635" t="str">
        <x:v>Paid</x:v>
      </x:c>
      <x:c r="V2635" t="str">
        <x:v>Delayed</x:v>
      </x:c>
      <x:c r="W2635" t="n">
        <x:v>0</x:v>
      </x:c>
      <x:c r="X2635" t="str"/>
      <x:c r="Y2635" t="str">
        <x:v>Referral</x:v>
      </x:c>
    </x:row>
    <x:row r="2636">
      <x:c r="A2636" t="str">
        <x:v>O002635</x:v>
      </x:c>
      <x:c r="B2636" s="20" t="n">
        <x:v>45945</x:v>
      </x:c>
      <x:c r="C2636" t="str">
        <x:v>C0069</x:v>
      </x:c>
      <x:c r="D2636" t="str">
        <x:v>Cafe Hotel 69</x:v>
      </x:c>
      <x:c r="E2636" t="str">
        <x:v>Supermarket</x:v>
      </x:c>
      <x:c r="F2636" t="str">
        <x:v>Bengaluru</x:v>
      </x:c>
      <x:c r="G2636" t="str">
        <x:v>Sneha</x:v>
      </x:c>
      <x:c r="H2636" t="str">
        <x:v>P047</x:v>
      </x:c>
      <x:c r="I2636" t="str">
        <x:v>Tomato 25kg</x:v>
      </x:c>
      <x:c r="J2636" t="str">
        <x:v>Fresh Produce</x:v>
      </x:c>
      <x:c r="K2636" t="str">
        <x:v>Local Market</x:v>
      </x:c>
      <x:c r="L2636" s="22" t="n">
        <x:v>950</x:v>
      </x:c>
      <x:c r="M2636" t="n">
        <x:v>37</x:v>
      </x:c>
      <x:c r="N2636" s="24" t="n">
        <x:v>0.02</x:v>
      </x:c>
      <x:c r="O2636" s="22" t="n">
        <x:f>L2636*M2636</x:f>
        <x:v>35150</x:v>
      </x:c>
      <x:c r="P2636" s="22" t="n">
        <x:f>O2636*(1-N2636)</x:f>
        <x:v>34447</x:v>
      </x:c>
      <x:c r="Q2636" s="22" t="n">
        <x:v>810</x:v>
      </x:c>
      <x:c r="R2636" s="22" t="n">
        <x:f>Q2636*M2636</x:f>
        <x:v>29970</x:v>
      </x:c>
      <x:c r="S2636" s="22" t="n">
        <x:f>P2636-R2636</x:f>
        <x:v>4477</x:v>
      </x:c>
      <x:c r="T2636" t="str">
        <x:v>Credit</x:v>
      </x:c>
      <x:c r="U2636" t="str">
        <x:v>Paid</x:v>
      </x:c>
      <x:c r="V2636" t="str">
        <x:v>Delivered</x:v>
      </x:c>
      <x:c r="W2636" t="n">
        <x:v>0</x:v>
      </x:c>
      <x:c r="X2636" t="str"/>
      <x:c r="Y2636" t="str">
        <x:v>Referral</x:v>
      </x:c>
    </x:row>
    <x:row r="2637">
      <x:c r="A2637" t="str">
        <x:v>O002636</x:v>
      </x:c>
      <x:c r="B2637" s="20" t="n">
        <x:v>46010</x:v>
      </x:c>
      <x:c r="C2637" t="str">
        <x:v>C0123</x:v>
      </x:c>
      <x:c r="D2637" t="str">
        <x:v>City Foods 123</x:v>
      </x:c>
      <x:c r="E2637" t="str">
        <x:v>Restaurant</x:v>
      </x:c>
      <x:c r="F2637" t="str">
        <x:v>Davanagere</x:v>
      </x:c>
      <x:c r="G2637" t="str">
        <x:v>Sneha</x:v>
      </x:c>
      <x:c r="H2637" t="str">
        <x:v>P021</x:v>
      </x:c>
      <x:c r="I2637" t="str">
        <x:v>Instant Coffee 200g</x:v>
      </x:c>
      <x:c r="J2637" t="str">
        <x:v>Beverage</x:v>
      </x:c>
      <x:c r="K2637" t="str">
        <x:v>Nescafe</x:v>
      </x:c>
      <x:c r="L2637" s="22" t="n">
        <x:v>460</x:v>
      </x:c>
      <x:c r="M2637" t="n">
        <x:v>22</x:v>
      </x:c>
      <x:c r="N2637" s="24" t="n">
        <x:v>0.03</x:v>
      </x:c>
      <x:c r="O2637" s="22" t="n">
        <x:f>L2637*M2637</x:f>
        <x:v>10120</x:v>
      </x:c>
      <x:c r="P2637" s="22" t="n">
        <x:f>O2637*(1-N2637)</x:f>
        <x:v>9816.4</x:v>
      </x:c>
      <x:c r="Q2637" s="22" t="n">
        <x:v>410</x:v>
      </x:c>
      <x:c r="R2637" s="22" t="n">
        <x:f>Q2637*M2637</x:f>
        <x:v>9020</x:v>
      </x:c>
      <x:c r="S2637" s="22" t="n">
        <x:f>P2637-R2637</x:f>
        <x:v>796.3999999999996</x:v>
      </x:c>
      <x:c r="T2637" t="str">
        <x:v>Bank Transfer</x:v>
      </x:c>
      <x:c r="U2637" t="str">
        <x:v>Overdue</x:v>
      </x:c>
      <x:c r="V2637" t="str">
        <x:v>Cancelled</x:v>
      </x:c>
      <x:c r="W2637" t="n">
        <x:v>22</x:v>
      </x:c>
      <x:c r="X2637" t="str">
        <x:v>Cancelled Order</x:v>
      </x:c>
      <x:c r="Y2637" t="str">
        <x:v>Existing Customer</x:v>
      </x:c>
    </x:row>
    <x:row r="2638">
      <x:c r="A2638" t="str">
        <x:v>O002637</x:v>
      </x:c>
      <x:c r="B2638" s="20" t="n">
        <x:v>46126</x:v>
      </x:c>
      <x:c r="C2638" t="str">
        <x:v>C0138</x:v>
      </x:c>
      <x:c r="D2638" t="str">
        <x:v>New Mart 138</x:v>
      </x:c>
      <x:c r="E2638" t="str">
        <x:v>Restaurant</x:v>
      </x:c>
      <x:c r="F2638" t="str">
        <x:v>Bengaluru</x:v>
      </x:c>
      <x:c r="G2638" t="str">
        <x:v>Ramesh</x:v>
      </x:c>
      <x:c r="H2638" t="str">
        <x:v>P046</x:v>
      </x:c>
      <x:c r="I2638" t="str">
        <x:v>Potato 25kg</x:v>
      </x:c>
      <x:c r="J2638" t="str">
        <x:v>Fresh Produce</x:v>
      </x:c>
      <x:c r="K2638" t="str">
        <x:v>Local Market</x:v>
      </x:c>
      <x:c r="L2638" s="22" t="n">
        <x:v>700</x:v>
      </x:c>
      <x:c r="M2638" t="n">
        <x:v>18</x:v>
      </x:c>
      <x:c r="N2638" s="24" t="n">
        <x:v>0</x:v>
      </x:c>
      <x:c r="O2638" s="22" t="n">
        <x:f>L2638*M2638</x:f>
        <x:v>12600</x:v>
      </x:c>
      <x:c r="P2638" s="22" t="n">
        <x:f>O2638*(1-N2638)</x:f>
        <x:v>12600</x:v>
      </x:c>
      <x:c r="Q2638" s="22" t="n">
        <x:v>610</x:v>
      </x:c>
      <x:c r="R2638" s="22" t="n">
        <x:f>Q2638*M2638</x:f>
        <x:v>10980</x:v>
      </x:c>
      <x:c r="S2638" s="22" t="n">
        <x:f>P2638-R2638</x:f>
        <x:v>1620</x:v>
      </x:c>
      <x:c r="T2638" t="str">
        <x:v>UPI</x:v>
      </x:c>
      <x:c r="U2638" t="str">
        <x:v>Paid</x:v>
      </x:c>
      <x:c r="V2638" t="str">
        <x:v>Delivered</x:v>
      </x:c>
      <x:c r="W2638" t="n">
        <x:v>0</x:v>
      </x:c>
      <x:c r="X2638" t="str"/>
      <x:c r="Y2638" t="str">
        <x:v>WhatsApp</x:v>
      </x:c>
    </x:row>
    <x:row r="2639">
      <x:c r="A2639" t="str">
        <x:v>O002638</x:v>
      </x:c>
      <x:c r="B2639" s="20" t="n">
        <x:v>46096</x:v>
      </x:c>
      <x:c r="C2639" t="str">
        <x:v>C0238</x:v>
      </x:c>
      <x:c r="D2639" t="str">
        <x:v>Foodie Foods 238</x:v>
      </x:c>
      <x:c r="E2639" t="str">
        <x:v>Restaurant</x:v>
      </x:c>
      <x:c r="F2639" t="str">
        <x:v>Davanagere</x:v>
      </x:c>
      <x:c r="G2639" t="str">
        <x:v>Megha</x:v>
      </x:c>
      <x:c r="H2639" t="str">
        <x:v>P011</x:v>
      </x:c>
      <x:c r="I2639" t="str">
        <x:v>Salt 1kg</x:v>
      </x:c>
      <x:c r="J2639" t="str">
        <x:v>Staples</x:v>
      </x:c>
      <x:c r="K2639" t="str">
        <x:v>Tata</x:v>
      </x:c>
      <x:c r="L2639" s="22" t="n">
        <x:v>28</x:v>
      </x:c>
      <x:c r="M2639" t="n">
        <x:v>29</x:v>
      </x:c>
      <x:c r="N2639" s="24" t="n">
        <x:v>0.02</x:v>
      </x:c>
      <x:c r="O2639" s="22" t="n">
        <x:f>L2639*M2639</x:f>
        <x:v>812</x:v>
      </x:c>
      <x:c r="P2639" s="22" t="n">
        <x:f>O2639*(1-N2639)</x:f>
        <x:v>795.76</x:v>
      </x:c>
      <x:c r="Q2639" s="22" t="n">
        <x:v>23</x:v>
      </x:c>
      <x:c r="R2639" s="22" t="n">
        <x:f>Q2639*M2639</x:f>
        <x:v>667</x:v>
      </x:c>
      <x:c r="S2639" s="22" t="n">
        <x:f>P2639-R2639</x:f>
        <x:v>128.76</x:v>
      </x:c>
      <x:c r="T2639" t="str">
        <x:v>UPI</x:v>
      </x:c>
      <x:c r="U2639" t="str">
        <x:v>Pending</x:v>
      </x:c>
      <x:c r="V2639" t="str">
        <x:v>Cancelled</x:v>
      </x:c>
      <x:c r="W2639" t="n">
        <x:v>29</x:v>
      </x:c>
      <x:c r="X2639" t="str">
        <x:v>Cancelled Order</x:v>
      </x:c>
      <x:c r="Y2639" t="str">
        <x:v>Outbound Call</x:v>
      </x:c>
    </x:row>
    <x:row r="2640">
      <x:c r="A2640" t="str">
        <x:v>O002639</x:v>
      </x:c>
      <x:c r="B2640" s="20" t="n">
        <x:v>46092</x:v>
      </x:c>
      <x:c r="C2640" t="str">
        <x:v>C0159</x:v>
      </x:c>
      <x:c r="D2640" t="str">
        <x:v>Darshini Foods 159</x:v>
      </x:c>
      <x:c r="E2640" t="str">
        <x:v>Canteen</x:v>
      </x:c>
      <x:c r="F2640" t="str">
        <x:v>Tumakuru</x:v>
      </x:c>
      <x:c r="G2640" t="str">
        <x:v>Kavya</x:v>
      </x:c>
      <x:c r="H2640" t="str">
        <x:v>P032</x:v>
      </x:c>
      <x:c r="I2640" t="str">
        <x:v>Soy Sauce 700g</x:v>
      </x:c>
      <x:c r="J2640" t="str">
        <x:v>Condiments</x:v>
      </x:c>
      <x:c r="K2640" t="str">
        <x:v>Ching's</x:v>
      </x:c>
      <x:c r="L2640" s="22" t="n">
        <x:v>118</x:v>
      </x:c>
      <x:c r="M2640" t="n">
        <x:v>17</x:v>
      </x:c>
      <x:c r="N2640" s="24" t="n">
        <x:v>0.02</x:v>
      </x:c>
      <x:c r="O2640" s="22" t="n">
        <x:f>L2640*M2640</x:f>
        <x:v>2006</x:v>
      </x:c>
      <x:c r="P2640" s="22" t="n">
        <x:f>O2640*(1-N2640)</x:f>
        <x:v>1965.8799999999999</x:v>
      </x:c>
      <x:c r="Q2640" s="22" t="n">
        <x:v>101</x:v>
      </x:c>
      <x:c r="R2640" s="22" t="n">
        <x:f>Q2640*M2640</x:f>
        <x:v>1717</x:v>
      </x:c>
      <x:c r="S2640" s="22" t="n">
        <x:f>P2640-R2640</x:f>
        <x:v>248.87999999999988</x:v>
      </x:c>
      <x:c r="T2640" t="str">
        <x:v>Cash</x:v>
      </x:c>
      <x:c r="U2640" t="str">
        <x:v>Paid</x:v>
      </x:c>
      <x:c r="V2640" t="str">
        <x:v>Delivered</x:v>
      </x:c>
      <x:c r="W2640" t="n">
        <x:v>0</x:v>
      </x:c>
      <x:c r="X2640" t="str"/>
      <x:c r="Y2640" t="str">
        <x:v>Outbound Call</x:v>
      </x:c>
    </x:row>
    <x:row r="2641">
      <x:c r="A2641" t="str">
        <x:v>O002640</x:v>
      </x:c>
      <x:c r="B2641" s="20" t="n">
        <x:v>46104</x:v>
      </x:c>
      <x:c r="C2641" t="str">
        <x:v>C0200</x:v>
      </x:c>
      <x:c r="D2641" t="str">
        <x:v>Sagar Kitchen 200</x:v>
      </x:c>
      <x:c r="E2641" t="str">
        <x:v>Cafe</x:v>
      </x:c>
      <x:c r="F2641" t="str">
        <x:v>Bengaluru</x:v>
      </x:c>
      <x:c r="G2641" t="str">
        <x:v>Arjun</x:v>
      </x:c>
      <x:c r="H2641" t="str">
        <x:v>P042</x:v>
      </x:c>
      <x:c r="I2641" t="str">
        <x:v>Eggs 30pc Tray</x:v>
      </x:c>
      <x:c r="J2641" t="str">
        <x:v>Protein</x:v>
      </x:c>
      <x:c r="K2641" t="str">
        <x:v>Farm Fresh</x:v>
      </x:c>
      <x:c r="L2641" s="22" t="n">
        <x:v>195</x:v>
      </x:c>
      <x:c r="M2641" t="n">
        <x:v>20</x:v>
      </x:c>
      <x:c r="N2641" s="24" t="n">
        <x:v>0.08</x:v>
      </x:c>
      <x:c r="O2641" s="22" t="n">
        <x:f>L2641*M2641</x:f>
        <x:v>3900</x:v>
      </x:c>
      <x:c r="P2641" s="22" t="n">
        <x:f>O2641*(1-N2641)</x:f>
        <x:v>3588</x:v>
      </x:c>
      <x:c r="Q2641" s="22" t="n">
        <x:v>170</x:v>
      </x:c>
      <x:c r="R2641" s="22" t="n">
        <x:f>Q2641*M2641</x:f>
        <x:v>3400</x:v>
      </x:c>
      <x:c r="S2641" s="22" t="n">
        <x:f>P2641-R2641</x:f>
        <x:v>188</x:v>
      </x:c>
      <x:c r="T2641" t="str">
        <x:v>Credit</x:v>
      </x:c>
      <x:c r="U2641" t="str">
        <x:v>Paid</x:v>
      </x:c>
      <x:c r="V2641" t="str">
        <x:v>Delayed</x:v>
      </x:c>
      <x:c r="W2641" t="n">
        <x:v>0</x:v>
      </x:c>
      <x:c r="X2641" t="str"/>
      <x:c r="Y2641" t="str">
        <x:v>WhatsApp</x:v>
      </x:c>
    </x:row>
    <x:row r="2642">
      <x:c r="A2642" t="str">
        <x:v>O002641</x:v>
      </x:c>
      <x:c r="B2642" s="20" t="n">
        <x:v>45709</x:v>
      </x:c>
      <x:c r="C2642" t="str">
        <x:v>C0185</x:v>
      </x:c>
      <x:c r="D2642" t="str">
        <x:v>Mysore Foods 185</x:v>
      </x:c>
      <x:c r="E2642" t="str">
        <x:v>Restaurant</x:v>
      </x:c>
      <x:c r="F2642" t="str">
        <x:v>Mysuru</x:v>
      </x:c>
      <x:c r="G2642" t="str">
        <x:v>Sneha</x:v>
      </x:c>
      <x:c r="H2642" t="str">
        <x:v>P001</x:v>
      </x:c>
      <x:c r="I2642" t="str">
        <x:v>Steam Rice 25kg</x:v>
      </x:c>
      <x:c r="J2642" t="str">
        <x:v>Staples</x:v>
      </x:c>
      <x:c r="K2642" t="str">
        <x:v>Aishwarya</x:v>
      </x:c>
      <x:c r="L2642" s="22" t="n">
        <x:v>1180</x:v>
      </x:c>
      <x:c r="M2642" t="n">
        <x:v>4</x:v>
      </x:c>
      <x:c r="N2642" s="24" t="n">
        <x:v>0.02</x:v>
      </x:c>
      <x:c r="O2642" s="22" t="n">
        <x:f>L2642*M2642</x:f>
        <x:v>4720</x:v>
      </x:c>
      <x:c r="P2642" s="22" t="n">
        <x:f>O2642*(1-N2642)</x:f>
        <x:v>4625.6</x:v>
      </x:c>
      <x:c r="Q2642" s="22" t="n">
        <x:v>1040</x:v>
      </x:c>
      <x:c r="R2642" s="22" t="n">
        <x:f>Q2642*M2642</x:f>
        <x:v>4160</x:v>
      </x:c>
      <x:c r="S2642" s="22" t="n">
        <x:f>P2642-R2642</x:f>
        <x:v>465.60000000000036</x:v>
      </x:c>
      <x:c r="T2642" t="str">
        <x:v>Bank Transfer</x:v>
      </x:c>
      <x:c r="U2642" t="str">
        <x:v>Paid</x:v>
      </x:c>
      <x:c r="V2642" t="str">
        <x:v>Delivered</x:v>
      </x:c>
      <x:c r="W2642" t="n">
        <x:v>0</x:v>
      </x:c>
      <x:c r="X2642" t="str"/>
      <x:c r="Y2642" t="str">
        <x:v>Referral</x:v>
      </x:c>
    </x:row>
    <x:row r="2643">
      <x:c r="A2643" t="str">
        <x:v>O002642</x:v>
      </x:c>
      <x:c r="B2643" s="20" t="n">
        <x:v>45993</x:v>
      </x:c>
      <x:c r="C2643" t="str">
        <x:v>C0022</x:v>
      </x:c>
      <x:c r="D2643" t="str">
        <x:v>Royal Hotel 22</x:v>
      </x:c>
      <x:c r="E2643" t="str">
        <x:v>Kirana</x:v>
      </x:c>
      <x:c r="F2643" t="str">
        <x:v>Bengaluru</x:v>
      </x:c>
      <x:c r="G2643" t="str">
        <x:v>Ramesh</x:v>
      </x:c>
      <x:c r="H2643" t="str">
        <x:v>P049</x:v>
      </x:c>
      <x:c r="I2643" t="str">
        <x:v>Apple 10kg</x:v>
      </x:c>
      <x:c r="J2643" t="str">
        <x:v>Fresh Produce</x:v>
      </x:c>
      <x:c r="K2643" t="str">
        <x:v>Local Market</x:v>
      </x:c>
      <x:c r="L2643" s="22" t="n">
        <x:v>1450</x:v>
      </x:c>
      <x:c r="M2643" t="n">
        <x:v>8</x:v>
      </x:c>
      <x:c r="N2643" s="24" t="n">
        <x:v>0.05</x:v>
      </x:c>
      <x:c r="O2643" s="22" t="n">
        <x:f>L2643*M2643</x:f>
        <x:v>11600</x:v>
      </x:c>
      <x:c r="P2643" s="22" t="n">
        <x:f>O2643*(1-N2643)</x:f>
        <x:v>11020</x:v>
      </x:c>
      <x:c r="Q2643" s="22" t="n">
        <x:v>1280</x:v>
      </x:c>
      <x:c r="R2643" s="22" t="n">
        <x:f>Q2643*M2643</x:f>
        <x:v>10240</x:v>
      </x:c>
      <x:c r="S2643" s="22" t="n">
        <x:f>P2643-R2643</x:f>
        <x:v>780</x:v>
      </x:c>
      <x:c r="T2643" t="str">
        <x:v>Bank Transfer</x:v>
      </x:c>
      <x:c r="U2643" t="str">
        <x:v>Paid</x:v>
      </x:c>
      <x:c r="V2643" t="str">
        <x:v>Delivered</x:v>
      </x:c>
      <x:c r="W2643" t="n">
        <x:v>0</x:v>
      </x:c>
      <x:c r="X2643" t="str"/>
      <x:c r="Y2643" t="str">
        <x:v>Existing Customer</x:v>
      </x:c>
    </x:row>
    <x:row r="2644">
      <x:c r="A2644" t="str">
        <x:v>O002643</x:v>
      </x:c>
      <x:c r="B2644" s="20" t="n">
        <x:v>45878</x:v>
      </x:c>
      <x:c r="C2644" t="str">
        <x:v>C0139</x:v>
      </x:c>
      <x:c r="D2644" t="str">
        <x:v>Classic Hotel 139</x:v>
      </x:c>
      <x:c r="E2644" t="str">
        <x:v>Cafe</x:v>
      </x:c>
      <x:c r="F2644" t="str">
        <x:v>Mysuru</x:v>
      </x:c>
      <x:c r="G2644" t="str">
        <x:v>Vikram</x:v>
      </x:c>
      <x:c r="H2644" t="str">
        <x:v>P048</x:v>
      </x:c>
      <x:c r="I2644" t="str">
        <x:v>Banana 10kg</x:v>
      </x:c>
      <x:c r="J2644" t="str">
        <x:v>Fresh Produce</x:v>
      </x:c>
      <x:c r="K2644" t="str">
        <x:v>Local Market</x:v>
      </x:c>
      <x:c r="L2644" s="22" t="n">
        <x:v>420</x:v>
      </x:c>
      <x:c r="M2644" t="n">
        <x:v>20</x:v>
      </x:c>
      <x:c r="N2644" s="24" t="n">
        <x:v>0.05</x:v>
      </x:c>
      <x:c r="O2644" s="22" t="n">
        <x:f>L2644*M2644</x:f>
        <x:v>8400</x:v>
      </x:c>
      <x:c r="P2644" s="22" t="n">
        <x:f>O2644*(1-N2644)</x:f>
        <x:v>7980</x:v>
      </x:c>
      <x:c r="Q2644" s="22" t="n">
        <x:v>350</x:v>
      </x:c>
      <x:c r="R2644" s="22" t="n">
        <x:f>Q2644*M2644</x:f>
        <x:v>7000</x:v>
      </x:c>
      <x:c r="S2644" s="22" t="n">
        <x:f>P2644-R2644</x:f>
        <x:v>980</x:v>
      </x:c>
      <x:c r="T2644" t="str">
        <x:v>Bank Transfer</x:v>
      </x:c>
      <x:c r="U2644" t="str">
        <x:v>Paid</x:v>
      </x:c>
      <x:c r="V2644" t="str">
        <x:v>Delivered</x:v>
      </x:c>
      <x:c r="W2644" t="n">
        <x:v>0</x:v>
      </x:c>
      <x:c r="X2644" t="str"/>
      <x:c r="Y2644" t="str">
        <x:v>Existing Customer</x:v>
      </x:c>
    </x:row>
    <x:row r="2645">
      <x:c r="A2645" t="str">
        <x:v>O002644</x:v>
      </x:c>
      <x:c r="B2645" s="20" t="n">
        <x:v>46104</x:v>
      </x:c>
      <x:c r="C2645" t="str">
        <x:v>C0197</x:v>
      </x:c>
      <x:c r="D2645" t="str">
        <x:v>New Foods 197</x:v>
      </x:c>
      <x:c r="E2645" t="str">
        <x:v>Cafe</x:v>
      </x:c>
      <x:c r="F2645" t="str">
        <x:v>Hubballi</x:v>
      </x:c>
      <x:c r="G2645" t="str">
        <x:v>Kavya</x:v>
      </x:c>
      <x:c r="H2645" t="str">
        <x:v>P017</x:v>
      </x:c>
      <x:c r="I2645" t="str">
        <x:v>Butter 500g</x:v>
      </x:c>
      <x:c r="J2645" t="str">
        <x:v>Dairy</x:v>
      </x:c>
      <x:c r="K2645" t="str">
        <x:v>Amul</x:v>
      </x:c>
      <x:c r="L2645" s="22" t="n">
        <x:v>285</x:v>
      </x:c>
      <x:c r="M2645" t="n">
        <x:v>4</x:v>
      </x:c>
      <x:c r="N2645" s="24" t="n">
        <x:v>0.1</x:v>
      </x:c>
      <x:c r="O2645" s="22" t="n">
        <x:f>L2645*M2645</x:f>
        <x:v>1140</x:v>
      </x:c>
      <x:c r="P2645" s="22" t="n">
        <x:f>O2645*(1-N2645)</x:f>
        <x:v>1026</x:v>
      </x:c>
      <x:c r="Q2645" s="22" t="n">
        <x:v>258</x:v>
      </x:c>
      <x:c r="R2645" s="22" t="n">
        <x:f>Q2645*M2645</x:f>
        <x:v>1032</x:v>
      </x:c>
      <x:c r="S2645" s="22" t="n">
        <x:f>P2645-R2645</x:f>
        <x:v>-6</x:v>
      </x:c>
      <x:c r="T2645" t="str">
        <x:v>UPI</x:v>
      </x:c>
      <x:c r="U2645" t="str">
        <x:v>Paid</x:v>
      </x:c>
      <x:c r="V2645" t="str">
        <x:v>Delivered</x:v>
      </x:c>
      <x:c r="W2645" t="n">
        <x:v>0</x:v>
      </x:c>
      <x:c r="X2645" t="str"/>
      <x:c r="Y2645" t="str">
        <x:v>Field Visit</x:v>
      </x:c>
    </x:row>
    <x:row r="2646">
      <x:c r="A2646" t="str">
        <x:v>O002645</x:v>
      </x:c>
      <x:c r="B2646" s="20" t="n">
        <x:v>45882</x:v>
      </x:c>
      <x:c r="C2646" t="str">
        <x:v>C0019</x:v>
      </x:c>
      <x:c r="D2646" t="str">
        <x:v>Grand Kitchen 19</x:v>
      </x:c>
      <x:c r="E2646" t="str">
        <x:v>Supermarket</x:v>
      </x:c>
      <x:c r="F2646" t="str">
        <x:v>Tumakuru</x:v>
      </x:c>
      <x:c r="G2646" t="str">
        <x:v>Sneha</x:v>
      </x:c>
      <x:c r="H2646" t="str">
        <x:v>P022</x:v>
      </x:c>
      <x:c r="I2646" t="str">
        <x:v>Mineral Water 1L</x:v>
      </x:c>
      <x:c r="J2646" t="str">
        <x:v>Beverage</x:v>
      </x:c>
      <x:c r="K2646" t="str">
        <x:v>Bisleri</x:v>
      </x:c>
      <x:c r="L2646" s="22" t="n">
        <x:v>19</x:v>
      </x:c>
      <x:c r="M2646" t="n">
        <x:v>29</x:v>
      </x:c>
      <x:c r="N2646" s="24" t="n">
        <x:v>0.05</x:v>
      </x:c>
      <x:c r="O2646" s="22" t="n">
        <x:f>L2646*M2646</x:f>
        <x:v>551</x:v>
      </x:c>
      <x:c r="P2646" s="22" t="n">
        <x:f>O2646*(1-N2646)</x:f>
        <x:v>523.4499999999999</x:v>
      </x:c>
      <x:c r="Q2646" s="22" t="n">
        <x:v>15</x:v>
      </x:c>
      <x:c r="R2646" s="22" t="n">
        <x:f>Q2646*M2646</x:f>
        <x:v>435</x:v>
      </x:c>
      <x:c r="S2646" s="22" t="n">
        <x:f>P2646-R2646</x:f>
        <x:v>88.44999999999993</x:v>
      </x:c>
      <x:c r="T2646" t="str">
        <x:v>Cash</x:v>
      </x:c>
      <x:c r="U2646" t="str">
        <x:v>Pending</x:v>
      </x:c>
      <x:c r="V2646" t="str">
        <x:v>Delayed</x:v>
      </x:c>
      <x:c r="W2646" t="n">
        <x:v>0</x:v>
      </x:c>
      <x:c r="X2646" t="str"/>
      <x:c r="Y2646" t="str">
        <x:v>WhatsApp</x:v>
      </x:c>
    </x:row>
    <x:row r="2647">
      <x:c r="A2647" t="str">
        <x:v>O002646</x:v>
      </x:c>
      <x:c r="B2647" s="20" t="n">
        <x:v>45764</x:v>
      </x:c>
      <x:c r="C2647" t="str">
        <x:v>C0192</x:v>
      </x:c>
      <x:c r="D2647" t="str">
        <x:v>Shree Kitchen 192</x:v>
      </x:c>
      <x:c r="E2647" t="str">
        <x:v>Restaurant</x:v>
      </x:c>
      <x:c r="F2647" t="str">
        <x:v>Mysuru</x:v>
      </x:c>
      <x:c r="G2647" t="str">
        <x:v>Sneha</x:v>
      </x:c>
      <x:c r="H2647" t="str">
        <x:v>P032</x:v>
      </x:c>
      <x:c r="I2647" t="str">
        <x:v>Soy Sauce 700g</x:v>
      </x:c>
      <x:c r="J2647" t="str">
        <x:v>Condiments</x:v>
      </x:c>
      <x:c r="K2647" t="str">
        <x:v>Ching's</x:v>
      </x:c>
      <x:c r="L2647" s="22" t="n">
        <x:v>118</x:v>
      </x:c>
      <x:c r="M2647" t="n">
        <x:v>23</x:v>
      </x:c>
      <x:c r="N2647" s="24" t="n">
        <x:v>0.02</x:v>
      </x:c>
      <x:c r="O2647" s="22" t="n">
        <x:f>L2647*M2647</x:f>
        <x:v>2714</x:v>
      </x:c>
      <x:c r="P2647" s="22" t="n">
        <x:f>O2647*(1-N2647)</x:f>
        <x:v>2659.72</x:v>
      </x:c>
      <x:c r="Q2647" s="22" t="n">
        <x:v>101</x:v>
      </x:c>
      <x:c r="R2647" s="22" t="n">
        <x:f>Q2647*M2647</x:f>
        <x:v>2323</x:v>
      </x:c>
      <x:c r="S2647" s="22" t="n">
        <x:f>P2647-R2647</x:f>
        <x:v>336.7199999999998</x:v>
      </x:c>
      <x:c r="T2647" t="str">
        <x:v>Cash</x:v>
      </x:c>
      <x:c r="U2647" t="str">
        <x:v>Paid</x:v>
      </x:c>
      <x:c r="V2647" t="str">
        <x:v>Delivered</x:v>
      </x:c>
      <x:c r="W2647" t="n">
        <x:v>0</x:v>
      </x:c>
      <x:c r="X2647" t="str"/>
      <x:c r="Y2647" t="str">
        <x:v>Existing Customer</x:v>
      </x:c>
    </x:row>
    <x:row r="2648">
      <x:c r="A2648" t="str">
        <x:v>O002647</x:v>
      </x:c>
      <x:c r="B2648" s="20" t="n">
        <x:v>46105</x:v>
      </x:c>
      <x:c r="C2648" t="str">
        <x:v>C0101</x:v>
      </x:c>
      <x:c r="D2648" t="str">
        <x:v>Namma Cafe 101</x:v>
      </x:c>
      <x:c r="E2648" t="str">
        <x:v>Supermarket</x:v>
      </x:c>
      <x:c r="F2648" t="str">
        <x:v>Bengaluru</x:v>
      </x:c>
      <x:c r="G2648" t="str">
        <x:v>Arjun</x:v>
      </x:c>
      <x:c r="H2648" t="str">
        <x:v>P003</x:v>
      </x:c>
      <x:c r="I2648" t="str">
        <x:v>Basmati Rice 5kg</x:v>
      </x:c>
      <x:c r="J2648" t="str">
        <x:v>Staples</x:v>
      </x:c>
      <x:c r="K2648" t="str">
        <x:v>India Gate</x:v>
      </x:c>
      <x:c r="L2648" s="22" t="n">
        <x:v>690</x:v>
      </x:c>
      <x:c r="M2648" t="n">
        <x:v>32</x:v>
      </x:c>
      <x:c r="N2648" s="24" t="n">
        <x:v>0.08</x:v>
      </x:c>
      <x:c r="O2648" s="22" t="n">
        <x:f>L2648*M2648</x:f>
        <x:v>22080</x:v>
      </x:c>
      <x:c r="P2648" s="22" t="n">
        <x:f>O2648*(1-N2648)</x:f>
        <x:v>20313.600000000002</x:v>
      </x:c>
      <x:c r="Q2648" s="22" t="n">
        <x:v>610</x:v>
      </x:c>
      <x:c r="R2648" s="22" t="n">
        <x:f>Q2648*M2648</x:f>
        <x:v>19520</x:v>
      </x:c>
      <x:c r="S2648" s="22" t="n">
        <x:f>P2648-R2648</x:f>
        <x:v>793.6000000000022</x:v>
      </x:c>
      <x:c r="T2648" t="str">
        <x:v>Credit</x:v>
      </x:c>
      <x:c r="U2648" t="str">
        <x:v>Paid</x:v>
      </x:c>
      <x:c r="V2648" t="str">
        <x:v>Delivered</x:v>
      </x:c>
      <x:c r="W2648" t="n">
        <x:v>0</x:v>
      </x:c>
      <x:c r="X2648" t="str"/>
      <x:c r="Y2648" t="str">
        <x:v>Outbound Call</x:v>
      </x:c>
    </x:row>
    <x:row r="2649">
      <x:c r="A2649" t="str">
        <x:v>O002648</x:v>
      </x:c>
      <x:c r="B2649" s="20" t="n">
        <x:v>46062</x:v>
      </x:c>
      <x:c r="C2649" t="str">
        <x:v>C0192</x:v>
      </x:c>
      <x:c r="D2649" t="str">
        <x:v>Shree Kitchen 192</x:v>
      </x:c>
      <x:c r="E2649" t="str">
        <x:v>Restaurant</x:v>
      </x:c>
      <x:c r="F2649" t="str">
        <x:v>Mysuru</x:v>
      </x:c>
      <x:c r="G2649" t="str">
        <x:v>Sneha</x:v>
      </x:c>
      <x:c r="H2649" t="str">
        <x:v>P014</x:v>
      </x:c>
      <x:c r="I2649" t="str">
        <x:v>Rava 5kg</x:v>
      </x:c>
      <x:c r="J2649" t="str">
        <x:v>Flour</x:v>
      </x:c>
      <x:c r="K2649" t="str">
        <x:v>Local Select</x:v>
      </x:c>
      <x:c r="L2649" s="22" t="n">
        <x:v>245</x:v>
      </x:c>
      <x:c r="M2649" t="n">
        <x:v>20</x:v>
      </x:c>
      <x:c r="N2649" s="24" t="n">
        <x:v>0.05</x:v>
      </x:c>
      <x:c r="O2649" s="22" t="n">
        <x:f>L2649*M2649</x:f>
        <x:v>4900</x:v>
      </x:c>
      <x:c r="P2649" s="22" t="n">
        <x:f>O2649*(1-N2649)</x:f>
        <x:v>4655</x:v>
      </x:c>
      <x:c r="Q2649" s="22" t="n">
        <x:v>215</x:v>
      </x:c>
      <x:c r="R2649" s="22" t="n">
        <x:f>Q2649*M2649</x:f>
        <x:v>4300</x:v>
      </x:c>
      <x:c r="S2649" s="22" t="n">
        <x:f>P2649-R2649</x:f>
        <x:v>355</x:v>
      </x:c>
      <x:c r="T2649" t="str">
        <x:v>UPI</x:v>
      </x:c>
      <x:c r="U2649" t="str">
        <x:v>Paid</x:v>
      </x:c>
      <x:c r="V2649" t="str">
        <x:v>Cancelled</x:v>
      </x:c>
      <x:c r="W2649" t="n">
        <x:v>20</x:v>
      </x:c>
      <x:c r="X2649" t="str">
        <x:v>Cancelled Order</x:v>
      </x:c>
      <x:c r="Y2649" t="str">
        <x:v>Referral</x:v>
      </x:c>
    </x:row>
    <x:row r="2650">
      <x:c r="A2650" t="str">
        <x:v>O002649</x:v>
      </x:c>
      <x:c r="B2650" s="20" t="n">
        <x:v>46076</x:v>
      </x:c>
      <x:c r="C2650" t="str">
        <x:v>C0211</x:v>
      </x:c>
      <x:c r="D2650" t="str">
        <x:v>Cafe Cafe 211</x:v>
      </x:c>
      <x:c r="E2650" t="str">
        <x:v>Supermarket</x:v>
      </x:c>
      <x:c r="F2650" t="str">
        <x:v>Davanagere</x:v>
      </x:c>
      <x:c r="G2650" t="str">
        <x:v>Megha</x:v>
      </x:c>
      <x:c r="H2650" t="str">
        <x:v>P023</x:v>
      </x:c>
      <x:c r="I2650" t="str">
        <x:v>Cola 750ml</x:v>
      </x:c>
      <x:c r="J2650" t="str">
        <x:v>Beverage</x:v>
      </x:c>
      <x:c r="K2650" t="str">
        <x:v>Coca-Cola</x:v>
      </x:c>
      <x:c r="L2650" s="22" t="n">
        <x:v>38</x:v>
      </x:c>
      <x:c r="M2650" t="n">
        <x:v>29</x:v>
      </x:c>
      <x:c r="N2650" s="24" t="n">
        <x:v>0.05</x:v>
      </x:c>
      <x:c r="O2650" s="22" t="n">
        <x:f>L2650*M2650</x:f>
        <x:v>1102</x:v>
      </x:c>
      <x:c r="P2650" s="22" t="n">
        <x:f>O2650*(1-N2650)</x:f>
        <x:v>1046.8999999999999</x:v>
      </x:c>
      <x:c r="Q2650" s="22" t="n">
        <x:v>31</x:v>
      </x:c>
      <x:c r="R2650" s="22" t="n">
        <x:f>Q2650*M2650</x:f>
        <x:v>899</x:v>
      </x:c>
      <x:c r="S2650" s="22" t="n">
        <x:f>P2650-R2650</x:f>
        <x:v>147.89999999999986</x:v>
      </x:c>
      <x:c r="T2650" t="str">
        <x:v>Bank Transfer</x:v>
      </x:c>
      <x:c r="U2650" t="str">
        <x:v>Pending</x:v>
      </x:c>
      <x:c r="V2650" t="str">
        <x:v>Delivered</x:v>
      </x:c>
      <x:c r="W2650" t="n">
        <x:v>0</x:v>
      </x:c>
      <x:c r="X2650" t="str"/>
      <x:c r="Y2650" t="str">
        <x:v>Referral</x:v>
      </x:c>
    </x:row>
    <x:row r="2651">
      <x:c r="A2651" t="str">
        <x:v>O002650</x:v>
      </x:c>
      <x:c r="B2651" s="20" t="n">
        <x:v>45986</x:v>
      </x:c>
      <x:c r="C2651" t="str">
        <x:v>C0226</x:v>
      </x:c>
      <x:c r="D2651" t="str">
        <x:v>Green Stores 226</x:v>
      </x:c>
      <x:c r="E2651" t="str">
        <x:v>Restaurant</x:v>
      </x:c>
      <x:c r="F2651" t="str">
        <x:v>Hubballi</x:v>
      </x:c>
      <x:c r="G2651" t="str">
        <x:v>Priya</x:v>
      </x:c>
      <x:c r="H2651" t="str">
        <x:v>P023</x:v>
      </x:c>
      <x:c r="I2651" t="str">
        <x:v>Cola 750ml</x:v>
      </x:c>
      <x:c r="J2651" t="str">
        <x:v>Beverage</x:v>
      </x:c>
      <x:c r="K2651" t="str">
        <x:v>Coca-Cola</x:v>
      </x:c>
      <x:c r="L2651" s="22" t="n">
        <x:v>38</x:v>
      </x:c>
      <x:c r="M2651" t="n">
        <x:v>14</x:v>
      </x:c>
      <x:c r="N2651" s="24" t="n">
        <x:v>0.03</x:v>
      </x:c>
      <x:c r="O2651" s="22" t="n">
        <x:f>L2651*M2651</x:f>
        <x:v>532</x:v>
      </x:c>
      <x:c r="P2651" s="22" t="n">
        <x:f>O2651*(1-N2651)</x:f>
        <x:v>516.04</x:v>
      </x:c>
      <x:c r="Q2651" s="22" t="n">
        <x:v>31</x:v>
      </x:c>
      <x:c r="R2651" s="22" t="n">
        <x:f>Q2651*M2651</x:f>
        <x:v>434</x:v>
      </x:c>
      <x:c r="S2651" s="22" t="n">
        <x:f>P2651-R2651</x:f>
        <x:v>82.03999999999996</x:v>
      </x:c>
      <x:c r="T2651" t="str">
        <x:v>UPI</x:v>
      </x:c>
      <x:c r="U2651" t="str">
        <x:v>Paid</x:v>
      </x:c>
      <x:c r="V2651" t="str">
        <x:v>Delivered</x:v>
      </x:c>
      <x:c r="W2651" t="n">
        <x:v>0</x:v>
      </x:c>
      <x:c r="X2651" t="str"/>
      <x:c r="Y2651" t="str">
        <x:v>Field Visit</x:v>
      </x:c>
    </x:row>
    <x:row r="2652">
      <x:c r="A2652" t="str">
        <x:v>O002651</x:v>
      </x:c>
      <x:c r="B2652" s="20" t="n">
        <x:v>46053</x:v>
      </x:c>
      <x:c r="C2652" t="str">
        <x:v>C0023</x:v>
      </x:c>
      <x:c r="D2652" t="str">
        <x:v>Mysore Canteen 23</x:v>
      </x:c>
      <x:c r="E2652" t="str">
        <x:v>Cafe</x:v>
      </x:c>
      <x:c r="F2652" t="str">
        <x:v>Hubballi</x:v>
      </x:c>
      <x:c r="G2652" t="str">
        <x:v>Sneha</x:v>
      </x:c>
      <x:c r="H2652" t="str">
        <x:v>P011</x:v>
      </x:c>
      <x:c r="I2652" t="str">
        <x:v>Salt 1kg</x:v>
      </x:c>
      <x:c r="J2652" t="str">
        <x:v>Staples</x:v>
      </x:c>
      <x:c r="K2652" t="str">
        <x:v>Tata</x:v>
      </x:c>
      <x:c r="L2652" s="22" t="n">
        <x:v>28</x:v>
      </x:c>
      <x:c r="M2652" t="n">
        <x:v>12</x:v>
      </x:c>
      <x:c r="N2652" s="24" t="n">
        <x:v>0.03</x:v>
      </x:c>
      <x:c r="O2652" s="22" t="n">
        <x:f>L2652*M2652</x:f>
        <x:v>336</x:v>
      </x:c>
      <x:c r="P2652" s="22" t="n">
        <x:f>O2652*(1-N2652)</x:f>
        <x:v>325.92</x:v>
      </x:c>
      <x:c r="Q2652" s="22" t="n">
        <x:v>23</x:v>
      </x:c>
      <x:c r="R2652" s="22" t="n">
        <x:f>Q2652*M2652</x:f>
        <x:v>276</x:v>
      </x:c>
      <x:c r="S2652" s="22" t="n">
        <x:f>P2652-R2652</x:f>
        <x:v>49.920000000000016</x:v>
      </x:c>
      <x:c r="T2652" t="str">
        <x:v>Bank Transfer</x:v>
      </x:c>
      <x:c r="U2652" t="str">
        <x:v>Overdue</x:v>
      </x:c>
      <x:c r="V2652" t="str">
        <x:v>Delivered</x:v>
      </x:c>
      <x:c r="W2652" t="n">
        <x:v>0</x:v>
      </x:c>
      <x:c r="X2652" t="str"/>
      <x:c r="Y2652" t="str">
        <x:v>Existing Customer</x:v>
      </x:c>
    </x:row>
    <x:row r="2653">
      <x:c r="A2653" t="str">
        <x:v>O002652</x:v>
      </x:c>
      <x:c r="B2653" s="20" t="n">
        <x:v>45660</x:v>
      </x:c>
      <x:c r="C2653" t="str">
        <x:v>C0192</x:v>
      </x:c>
      <x:c r="D2653" t="str">
        <x:v>Shree Kitchen 192</x:v>
      </x:c>
      <x:c r="E2653" t="str">
        <x:v>Restaurant</x:v>
      </x:c>
      <x:c r="F2653" t="str">
        <x:v>Mysuru</x:v>
      </x:c>
      <x:c r="G2653" t="str">
        <x:v>Sneha</x:v>
      </x:c>
      <x:c r="H2653" t="str">
        <x:v>P026</x:v>
      </x:c>
      <x:c r="I2653" t="str">
        <x:v>Banana Chips 80g</x:v>
      </x:c>
      <x:c r="J2653" t="str">
        <x:v>Snacks</x:v>
      </x:c>
      <x:c r="K2653" t="str">
        <x:v>SSS</x:v>
      </x:c>
      <x:c r="L2653" s="22" t="n">
        <x:v>54</x:v>
      </x:c>
      <x:c r="M2653" t="n">
        <x:v>29</x:v>
      </x:c>
      <x:c r="N2653" s="24" t="n">
        <x:v>0.03</x:v>
      </x:c>
      <x:c r="O2653" s="22" t="n">
        <x:f>L2653*M2653</x:f>
        <x:v>1566</x:v>
      </x:c>
      <x:c r="P2653" s="22" t="n">
        <x:f>O2653*(1-N2653)</x:f>
        <x:v>1519.02</x:v>
      </x:c>
      <x:c r="Q2653" s="22" t="n">
        <x:v>39</x:v>
      </x:c>
      <x:c r="R2653" s="22" t="n">
        <x:f>Q2653*M2653</x:f>
        <x:v>1131</x:v>
      </x:c>
      <x:c r="S2653" s="22" t="n">
        <x:f>P2653-R2653</x:f>
        <x:v>388.02</x:v>
      </x:c>
      <x:c r="T2653" t="str">
        <x:v>UPI</x:v>
      </x:c>
      <x:c r="U2653" t="str">
        <x:v>Pending</x:v>
      </x:c>
      <x:c r="V2653" t="str">
        <x:v>Delivered</x:v>
      </x:c>
      <x:c r="W2653" t="n">
        <x:v>0</x:v>
      </x:c>
      <x:c r="X2653" t="str"/>
      <x:c r="Y2653" t="str">
        <x:v>Existing Customer</x:v>
      </x:c>
    </x:row>
    <x:row r="2654">
      <x:c r="A2654" t="str">
        <x:v>O002653</x:v>
      </x:c>
      <x:c r="B2654" s="20" t="n">
        <x:v>46279</x:v>
      </x:c>
      <x:c r="C2654" t="str">
        <x:v>C0241</x:v>
      </x:c>
      <x:c r="D2654" t="str">
        <x:v>Annapurna Restaurant 241</x:v>
      </x:c>
      <x:c r="E2654" t="str">
        <x:v>Hotel</x:v>
      </x:c>
      <x:c r="F2654" t="str">
        <x:v>Tumakuru</x:v>
      </x:c>
      <x:c r="G2654" t="str">
        <x:v>Imran</x:v>
      </x:c>
      <x:c r="H2654" t="str">
        <x:v>P007</x:v>
      </x:c>
      <x:c r="I2654" t="str">
        <x:v>Sunflower Oil 15L</x:v>
      </x:c>
      <x:c r="J2654" t="str">
        <x:v>Edible Oil</x:v>
      </x:c>
      <x:c r="K2654" t="str">
        <x:v>Fortune</x:v>
      </x:c>
      <x:c r="L2654" s="22" t="n">
        <x:v>1980</x:v>
      </x:c>
      <x:c r="M2654" t="n">
        <x:v>2</x:v>
      </x:c>
      <x:c r="N2654" s="24" t="n">
        <x:v>0.03</x:v>
      </x:c>
      <x:c r="O2654" s="22" t="n">
        <x:f>L2654*M2654</x:f>
        <x:v>3960</x:v>
      </x:c>
      <x:c r="P2654" s="22" t="n">
        <x:f>O2654*(1-N2654)</x:f>
        <x:v>3841.2</x:v>
      </x:c>
      <x:c r="Q2654" s="22" t="n">
        <x:v>1810</x:v>
      </x:c>
      <x:c r="R2654" s="22" t="n">
        <x:f>Q2654*M2654</x:f>
        <x:v>3620</x:v>
      </x:c>
      <x:c r="S2654" s="22" t="n">
        <x:f>P2654-R2654</x:f>
        <x:v>221.19999999999982</x:v>
      </x:c>
      <x:c r="T2654" t="str">
        <x:v>Cash</x:v>
      </x:c>
      <x:c r="U2654" t="str">
        <x:v>Paid</x:v>
      </x:c>
      <x:c r="V2654" t="str">
        <x:v>Delivered</x:v>
      </x:c>
      <x:c r="W2654" t="n">
        <x:v>0</x:v>
      </x:c>
      <x:c r="X2654" t="str"/>
      <x:c r="Y2654" t="str">
        <x:v>Field Visit</x:v>
      </x:c>
    </x:row>
    <x:row r="2655">
      <x:c r="A2655" t="str">
        <x:v>O002654</x:v>
      </x:c>
      <x:c r="B2655" s="20" t="n">
        <x:v>46276</x:v>
      </x:c>
      <x:c r="C2655" t="str">
        <x:v>C0204</x:v>
      </x:c>
      <x:c r="D2655" t="str">
        <x:v>Udupi Stores 204</x:v>
      </x:c>
      <x:c r="E2655" t="str">
        <x:v>Kirana</x:v>
      </x:c>
      <x:c r="F2655" t="str">
        <x:v>Bengaluru</x:v>
      </x:c>
      <x:c r="G2655" t="str">
        <x:v>Vikram</x:v>
      </x:c>
      <x:c r="H2655" t="str">
        <x:v>P020</x:v>
      </x:c>
      <x:c r="I2655" t="str">
        <x:v>Coffee 500g</x:v>
      </x:c>
      <x:c r="J2655" t="str">
        <x:v>Beverage</x:v>
      </x:c>
      <x:c r="K2655" t="str">
        <x:v>Bru</x:v>
      </x:c>
      <x:c r="L2655" s="22" t="n">
        <x:v>390</x:v>
      </x:c>
      <x:c r="M2655" t="n">
        <x:v>11</x:v>
      </x:c>
      <x:c r="N2655" s="24" t="n">
        <x:v>0.02</x:v>
      </x:c>
      <x:c r="O2655" s="22" t="n">
        <x:f>L2655*M2655</x:f>
        <x:v>4290</x:v>
      </x:c>
      <x:c r="P2655" s="22" t="n">
        <x:f>O2655*(1-N2655)</x:f>
        <x:v>4204.2</x:v>
      </x:c>
      <x:c r="Q2655" s="22" t="n">
        <x:v>350</x:v>
      </x:c>
      <x:c r="R2655" s="22" t="n">
        <x:f>Q2655*M2655</x:f>
        <x:v>3850</x:v>
      </x:c>
      <x:c r="S2655" s="22" t="n">
        <x:f>P2655-R2655</x:f>
        <x:v>354.1999999999998</x:v>
      </x:c>
      <x:c r="T2655" t="str">
        <x:v>UPI</x:v>
      </x:c>
      <x:c r="U2655" t="str">
        <x:v>Paid</x:v>
      </x:c>
      <x:c r="V2655" t="str">
        <x:v>Delivered</x:v>
      </x:c>
      <x:c r="W2655" t="n">
        <x:v>0</x:v>
      </x:c>
      <x:c r="X2655" t="str"/>
      <x:c r="Y2655" t="str">
        <x:v>Referral</x:v>
      </x:c>
    </x:row>
    <x:row r="2656">
      <x:c r="A2656" t="str">
        <x:v>O002655</x:v>
      </x:c>
      <x:c r="B2656" s="20" t="n">
        <x:v>45908</x:v>
      </x:c>
      <x:c r="C2656" t="str">
        <x:v>C0173</x:v>
      </x:c>
      <x:c r="D2656" t="str">
        <x:v>Royal Kitchen 173</x:v>
      </x:c>
      <x:c r="E2656" t="str">
        <x:v>Hotel</x:v>
      </x:c>
      <x:c r="F2656" t="str">
        <x:v>Bengaluru</x:v>
      </x:c>
      <x:c r="G2656" t="str">
        <x:v>Priya</x:v>
      </x:c>
      <x:c r="H2656" t="str">
        <x:v>P049</x:v>
      </x:c>
      <x:c r="I2656" t="str">
        <x:v>Apple 10kg</x:v>
      </x:c>
      <x:c r="J2656" t="str">
        <x:v>Fresh Produce</x:v>
      </x:c>
      <x:c r="K2656" t="str">
        <x:v>Local Market</x:v>
      </x:c>
      <x:c r="L2656" s="22" t="n">
        <x:v>1450</x:v>
      </x:c>
      <x:c r="M2656" t="n">
        <x:v>11</x:v>
      </x:c>
      <x:c r="N2656" s="24" t="n">
        <x:v>0.02</x:v>
      </x:c>
      <x:c r="O2656" s="22" t="n">
        <x:f>L2656*M2656</x:f>
        <x:v>15950</x:v>
      </x:c>
      <x:c r="P2656" s="22" t="n">
        <x:f>O2656*(1-N2656)</x:f>
        <x:v>15631</x:v>
      </x:c>
      <x:c r="Q2656" s="22" t="n">
        <x:v>1280</x:v>
      </x:c>
      <x:c r="R2656" s="22" t="n">
        <x:f>Q2656*M2656</x:f>
        <x:v>14080</x:v>
      </x:c>
      <x:c r="S2656" s="22" t="n">
        <x:f>P2656-R2656</x:f>
        <x:v>1551</x:v>
      </x:c>
      <x:c r="T2656" t="str">
        <x:v>Credit</x:v>
      </x:c>
      <x:c r="U2656" t="str">
        <x:v>Paid</x:v>
      </x:c>
      <x:c r="V2656" t="str">
        <x:v>Delivered</x:v>
      </x:c>
      <x:c r="W2656" t="n">
        <x:v>0</x:v>
      </x:c>
      <x:c r="X2656" t="str"/>
      <x:c r="Y2656" t="str">
        <x:v>WhatsApp</x:v>
      </x:c>
    </x:row>
    <x:row r="2657">
      <x:c r="A2657" t="str">
        <x:v>O002656</x:v>
      </x:c>
      <x:c r="B2657" s="20" t="n">
        <x:v>46150</x:v>
      </x:c>
      <x:c r="C2657" t="str">
        <x:v>C0150</x:v>
      </x:c>
      <x:c r="D2657" t="str">
        <x:v>Sagar Kitchen 150</x:v>
      </x:c>
      <x:c r="E2657" t="str">
        <x:v>Kirana</x:v>
      </x:c>
      <x:c r="F2657" t="str">
        <x:v>Hubballi</x:v>
      </x:c>
      <x:c r="G2657" t="str">
        <x:v>Ramesh</x:v>
      </x:c>
      <x:c r="H2657" t="str">
        <x:v>P003</x:v>
      </x:c>
      <x:c r="I2657" t="str">
        <x:v>Basmati Rice 5kg</x:v>
      </x:c>
      <x:c r="J2657" t="str">
        <x:v>Staples</x:v>
      </x:c>
      <x:c r="K2657" t="str">
        <x:v>India Gate</x:v>
      </x:c>
      <x:c r="L2657" s="22" t="n">
        <x:v>690</x:v>
      </x:c>
      <x:c r="M2657" t="n">
        <x:v>2</x:v>
      </x:c>
      <x:c r="N2657" s="24" t="n">
        <x:v>0.02</x:v>
      </x:c>
      <x:c r="O2657" s="22" t="n">
        <x:f>L2657*M2657</x:f>
        <x:v>1380</x:v>
      </x:c>
      <x:c r="P2657" s="22" t="n">
        <x:f>O2657*(1-N2657)</x:f>
        <x:v>1352.3999999999999</x:v>
      </x:c>
      <x:c r="Q2657" s="22" t="n">
        <x:v>610</x:v>
      </x:c>
      <x:c r="R2657" s="22" t="n">
        <x:f>Q2657*M2657</x:f>
        <x:v>1220</x:v>
      </x:c>
      <x:c r="S2657" s="22" t="n">
        <x:f>P2657-R2657</x:f>
        <x:v>132.39999999999986</x:v>
      </x:c>
      <x:c r="T2657" t="str">
        <x:v>Cash</x:v>
      </x:c>
      <x:c r="U2657" t="str">
        <x:v>Pending</x:v>
      </x:c>
      <x:c r="V2657" t="str">
        <x:v>Delivered</x:v>
      </x:c>
      <x:c r="W2657" t="n">
        <x:v>0</x:v>
      </x:c>
      <x:c r="X2657" t="str"/>
      <x:c r="Y2657" t="str">
        <x:v>Referral</x:v>
      </x:c>
    </x:row>
    <x:row r="2658">
      <x:c r="A2658" t="str">
        <x:v>O002657</x:v>
      </x:c>
      <x:c r="B2658" s="20" t="n">
        <x:v>46100</x:v>
      </x:c>
      <x:c r="C2658" t="str">
        <x:v>C0079</x:v>
      </x:c>
      <x:c r="D2658" t="str">
        <x:v>Foodie Foods 79</x:v>
      </x:c>
      <x:c r="E2658" t="str">
        <x:v>Cafe</x:v>
      </x:c>
      <x:c r="F2658" t="str">
        <x:v>Tumakuru</x:v>
      </x:c>
      <x:c r="G2658" t="str">
        <x:v>Ramesh</x:v>
      </x:c>
      <x:c r="H2658" t="str">
        <x:v>P015</x:v>
      </x:c>
      <x:c r="I2658" t="str">
        <x:v>Milk 1L</x:v>
      </x:c>
      <x:c r="J2658" t="str">
        <x:v>Dairy</x:v>
      </x:c>
      <x:c r="K2658" t="str">
        <x:v>Nandini</x:v>
      </x:c>
      <x:c r="L2658" s="22" t="n">
        <x:v>48</x:v>
      </x:c>
      <x:c r="M2658" t="n">
        <x:v>35</x:v>
      </x:c>
      <x:c r="N2658" s="24" t="n">
        <x:v>0.03</x:v>
      </x:c>
      <x:c r="O2658" s="22" t="n">
        <x:f>L2658*M2658</x:f>
        <x:v>1680</x:v>
      </x:c>
      <x:c r="P2658" s="22" t="n">
        <x:f>O2658*(1-N2658)</x:f>
        <x:v>1629.6</x:v>
      </x:c>
      <x:c r="Q2658" s="22" t="n">
        <x:v>43</x:v>
      </x:c>
      <x:c r="R2658" s="22" t="n">
        <x:f>Q2658*M2658</x:f>
        <x:v>1505</x:v>
      </x:c>
      <x:c r="S2658" s="22" t="n">
        <x:f>P2658-R2658</x:f>
        <x:v>124.59999999999991</x:v>
      </x:c>
      <x:c r="T2658" t="str">
        <x:v>Credit</x:v>
      </x:c>
      <x:c r="U2658" t="str">
        <x:v>Paid</x:v>
      </x:c>
      <x:c r="V2658" t="str">
        <x:v>Delivered</x:v>
      </x:c>
      <x:c r="W2658" t="n">
        <x:v>0</x:v>
      </x:c>
      <x:c r="X2658" t="str"/>
      <x:c r="Y2658" t="str">
        <x:v>Referral</x:v>
      </x:c>
    </x:row>
    <x:row r="2659">
      <x:c r="A2659" t="str">
        <x:v>O002658</x:v>
      </x:c>
      <x:c r="B2659" s="20" t="n">
        <x:v>46254</x:v>
      </x:c>
      <x:c r="C2659" t="str">
        <x:v>C0186</x:v>
      </x:c>
      <x:c r="D2659" t="str">
        <x:v>Namma Stores 186</x:v>
      </x:c>
      <x:c r="E2659" t="str">
        <x:v>Supermarket</x:v>
      </x:c>
      <x:c r="F2659" t="str">
        <x:v>Mysuru</x:v>
      </x:c>
      <x:c r="G2659" t="str">
        <x:v>Vikram</x:v>
      </x:c>
      <x:c r="H2659" t="str">
        <x:v>P001</x:v>
      </x:c>
      <x:c r="I2659" t="str">
        <x:v>Steam Rice 25kg</x:v>
      </x:c>
      <x:c r="J2659" t="str">
        <x:v>Staples</x:v>
      </x:c>
      <x:c r="K2659" t="str">
        <x:v>Aishwarya</x:v>
      </x:c>
      <x:c r="L2659" s="22" t="n">
        <x:v>1180</x:v>
      </x:c>
      <x:c r="M2659" t="n">
        <x:v>10</x:v>
      </x:c>
      <x:c r="N2659" s="24" t="n">
        <x:v>0.08</x:v>
      </x:c>
      <x:c r="O2659" s="22" t="n">
        <x:f>L2659*M2659</x:f>
        <x:v>11800</x:v>
      </x:c>
      <x:c r="P2659" s="22" t="n">
        <x:f>O2659*(1-N2659)</x:f>
        <x:v>10856</x:v>
      </x:c>
      <x:c r="Q2659" s="22" t="n">
        <x:v>1040</x:v>
      </x:c>
      <x:c r="R2659" s="22" t="n">
        <x:f>Q2659*M2659</x:f>
        <x:v>10400</x:v>
      </x:c>
      <x:c r="S2659" s="22" t="n">
        <x:f>P2659-R2659</x:f>
        <x:v>456</x:v>
      </x:c>
      <x:c r="T2659" t="str">
        <x:v>UPI</x:v>
      </x:c>
      <x:c r="U2659" t="str">
        <x:v>Paid</x:v>
      </x:c>
      <x:c r="V2659" t="str">
        <x:v>Cancelled</x:v>
      </x:c>
      <x:c r="W2659" t="n">
        <x:v>10</x:v>
      </x:c>
      <x:c r="X2659" t="str">
        <x:v>Cancelled Order</x:v>
      </x:c>
      <x:c r="Y2659" t="str">
        <x:v>Referral</x:v>
      </x:c>
    </x:row>
    <x:row r="2660">
      <x:c r="A2660" t="str">
        <x:v>O002659</x:v>
      </x:c>
      <x:c r="B2660" s="20" t="n">
        <x:v>45873</x:v>
      </x:c>
      <x:c r="C2660" t="str">
        <x:v>C0029</x:v>
      </x:c>
      <x:c r="D2660" t="str">
        <x:v>Metro Foods 29</x:v>
      </x:c>
      <x:c r="E2660" t="str">
        <x:v>Cafe</x:v>
      </x:c>
      <x:c r="F2660" t="str">
        <x:v>Hubballi</x:v>
      </x:c>
      <x:c r="G2660" t="str">
        <x:v>Priya</x:v>
      </x:c>
      <x:c r="H2660" t="str">
        <x:v>P023</x:v>
      </x:c>
      <x:c r="I2660" t="str">
        <x:v>Cola 750ml</x:v>
      </x:c>
      <x:c r="J2660" t="str">
        <x:v>Beverage</x:v>
      </x:c>
      <x:c r="K2660" t="str">
        <x:v>Coca-Cola</x:v>
      </x:c>
      <x:c r="L2660" s="22" t="n">
        <x:v>38</x:v>
      </x:c>
      <x:c r="M2660" t="n">
        <x:v>24</x:v>
      </x:c>
      <x:c r="N2660" s="24" t="n">
        <x:v>0.03</x:v>
      </x:c>
      <x:c r="O2660" s="22" t="n">
        <x:f>L2660*M2660</x:f>
        <x:v>912</x:v>
      </x:c>
      <x:c r="P2660" s="22" t="n">
        <x:f>O2660*(1-N2660)</x:f>
        <x:v>884.64</x:v>
      </x:c>
      <x:c r="Q2660" s="22" t="n">
        <x:v>31</x:v>
      </x:c>
      <x:c r="R2660" s="22" t="n">
        <x:f>Q2660*M2660</x:f>
        <x:v>744</x:v>
      </x:c>
      <x:c r="S2660" s="22" t="n">
        <x:f>P2660-R2660</x:f>
        <x:v>140.64</x:v>
      </x:c>
      <x:c r="T2660" t="str">
        <x:v>Credit</x:v>
      </x:c>
      <x:c r="U2660" t="str">
        <x:v>Paid</x:v>
      </x:c>
      <x:c r="V2660" t="str">
        <x:v>Delivered</x:v>
      </x:c>
      <x:c r="W2660" t="n">
        <x:v>0</x:v>
      </x:c>
      <x:c r="X2660" t="str"/>
      <x:c r="Y2660" t="str">
        <x:v>Outbound Call</x:v>
      </x:c>
    </x:row>
    <x:row r="2661">
      <x:c r="A2661" t="str">
        <x:v>O002660</x:v>
      </x:c>
      <x:c r="B2661" s="20" t="n">
        <x:v>45916</x:v>
      </x:c>
      <x:c r="C2661" t="str">
        <x:v>C0086</x:v>
      </x:c>
      <x:c r="D2661" t="str">
        <x:v>Foodie Canteen 86</x:v>
      </x:c>
      <x:c r="E2661" t="str">
        <x:v>Kirana</x:v>
      </x:c>
      <x:c r="F2661" t="str">
        <x:v>Hubballi</x:v>
      </x:c>
      <x:c r="G2661" t="str">
        <x:v>Sneha</x:v>
      </x:c>
      <x:c r="H2661" t="str">
        <x:v>P042</x:v>
      </x:c>
      <x:c r="I2661" t="str">
        <x:v>Eggs 30pc Tray</x:v>
      </x:c>
      <x:c r="J2661" t="str">
        <x:v>Protein</x:v>
      </x:c>
      <x:c r="K2661" t="str">
        <x:v>Farm Fresh</x:v>
      </x:c>
      <x:c r="L2661" s="22" t="n">
        <x:v>195</x:v>
      </x:c>
      <x:c r="M2661" t="n">
        <x:v>30</x:v>
      </x:c>
      <x:c r="N2661" s="24" t="n">
        <x:v>0.03</x:v>
      </x:c>
      <x:c r="O2661" s="22" t="n">
        <x:f>L2661*M2661</x:f>
        <x:v>5850</x:v>
      </x:c>
      <x:c r="P2661" s="22" t="n">
        <x:f>O2661*(1-N2661)</x:f>
        <x:v>5674.5</x:v>
      </x:c>
      <x:c r="Q2661" s="22" t="n">
        <x:v>170</x:v>
      </x:c>
      <x:c r="R2661" s="22" t="n">
        <x:f>Q2661*M2661</x:f>
        <x:v>5100</x:v>
      </x:c>
      <x:c r="S2661" s="22" t="n">
        <x:f>P2661-R2661</x:f>
        <x:v>574.5</x:v>
      </x:c>
      <x:c r="T2661" t="str">
        <x:v>Bank Transfer</x:v>
      </x:c>
      <x:c r="U2661" t="str">
        <x:v>Pending</x:v>
      </x:c>
      <x:c r="V2661" t="str">
        <x:v>Delayed</x:v>
      </x:c>
      <x:c r="W2661" t="n">
        <x:v>0</x:v>
      </x:c>
      <x:c r="X2661" t="str"/>
      <x:c r="Y2661" t="str">
        <x:v>Field Visit</x:v>
      </x:c>
    </x:row>
    <x:row r="2662">
      <x:c r="A2662" t="str">
        <x:v>O002661</x:v>
      </x:c>
      <x:c r="B2662" s="20" t="n">
        <x:v>45926</x:v>
      </x:c>
      <x:c r="C2662" t="str">
        <x:v>C0019</x:v>
      </x:c>
      <x:c r="D2662" t="str">
        <x:v>Grand Kitchen 19</x:v>
      </x:c>
      <x:c r="E2662" t="str">
        <x:v>Supermarket</x:v>
      </x:c>
      <x:c r="F2662" t="str">
        <x:v>Tumakuru</x:v>
      </x:c>
      <x:c r="G2662" t="str">
        <x:v>Sneha</x:v>
      </x:c>
      <x:c r="H2662" t="str">
        <x:v>P043</x:v>
      </x:c>
      <x:c r="I2662" t="str">
        <x:v>Chicken Breast 1kg</x:v>
      </x:c>
      <x:c r="J2662" t="str">
        <x:v>Protein</x:v>
      </x:c>
      <x:c r="K2662" t="str">
        <x:v>FreshToHome</x:v>
      </x:c>
      <x:c r="L2662" s="22" t="n">
        <x:v>260</x:v>
      </x:c>
      <x:c r="M2662" t="n">
        <x:v>35</x:v>
      </x:c>
      <x:c r="N2662" s="24" t="n">
        <x:v>0.03</x:v>
      </x:c>
      <x:c r="O2662" s="22" t="n">
        <x:f>L2662*M2662</x:f>
        <x:v>9100</x:v>
      </x:c>
      <x:c r="P2662" s="22" t="n">
        <x:f>O2662*(1-N2662)</x:f>
        <x:v>8827</x:v>
      </x:c>
      <x:c r="Q2662" s="22" t="n">
        <x:v>235</x:v>
      </x:c>
      <x:c r="R2662" s="22" t="n">
        <x:f>Q2662*M2662</x:f>
        <x:v>8225</x:v>
      </x:c>
      <x:c r="S2662" s="22" t="n">
        <x:f>P2662-R2662</x:f>
        <x:v>602</x:v>
      </x:c>
      <x:c r="T2662" t="str">
        <x:v>Bank Transfer</x:v>
      </x:c>
      <x:c r="U2662" t="str">
        <x:v>Paid</x:v>
      </x:c>
      <x:c r="V2662" t="str">
        <x:v>Delivered</x:v>
      </x:c>
      <x:c r="W2662" t="n">
        <x:v>0</x:v>
      </x:c>
      <x:c r="X2662" t="str"/>
      <x:c r="Y2662" t="str">
        <x:v>Existing Customer</x:v>
      </x:c>
    </x:row>
    <x:row r="2663">
      <x:c r="A2663" t="str">
        <x:v>O002662</x:v>
      </x:c>
      <x:c r="B2663" s="20" t="n">
        <x:v>45886</x:v>
      </x:c>
      <x:c r="C2663" t="str">
        <x:v>C0066</x:v>
      </x:c>
      <x:c r="D2663" t="str">
        <x:v>Hotel Hotel 66</x:v>
      </x:c>
      <x:c r="E2663" t="str">
        <x:v>Restaurant</x:v>
      </x:c>
      <x:c r="F2663" t="str">
        <x:v>Davanagere</x:v>
      </x:c>
      <x:c r="G2663" t="str">
        <x:v>Megha</x:v>
      </x:c>
      <x:c r="H2663" t="str">
        <x:v>P007</x:v>
      </x:c>
      <x:c r="I2663" t="str">
        <x:v>Sunflower Oil 15L</x:v>
      </x:c>
      <x:c r="J2663" t="str">
        <x:v>Edible Oil</x:v>
      </x:c>
      <x:c r="K2663" t="str">
        <x:v>Fortune</x:v>
      </x:c>
      <x:c r="L2663" s="22" t="n">
        <x:v>1980</x:v>
      </x:c>
      <x:c r="M2663" t="n">
        <x:v>5</x:v>
      </x:c>
      <x:c r="N2663" s="24" t="n">
        <x:v>0.05</x:v>
      </x:c>
      <x:c r="O2663" s="22" t="n">
        <x:f>L2663*M2663</x:f>
        <x:v>9900</x:v>
      </x:c>
      <x:c r="P2663" s="22" t="n">
        <x:f>O2663*(1-N2663)</x:f>
        <x:v>9405</x:v>
      </x:c>
      <x:c r="Q2663" s="22" t="n">
        <x:v>1810</x:v>
      </x:c>
      <x:c r="R2663" s="22" t="n">
        <x:f>Q2663*M2663</x:f>
        <x:v>9050</x:v>
      </x:c>
      <x:c r="S2663" s="22" t="n">
        <x:f>P2663-R2663</x:f>
        <x:v>355</x:v>
      </x:c>
      <x:c r="T2663" t="str">
        <x:v>Credit</x:v>
      </x:c>
      <x:c r="U2663" t="str">
        <x:v>Paid</x:v>
      </x:c>
      <x:c r="V2663" t="str">
        <x:v>Delivered</x:v>
      </x:c>
      <x:c r="W2663" t="n">
        <x:v>0</x:v>
      </x:c>
      <x:c r="X2663" t="str"/>
      <x:c r="Y2663" t="str">
        <x:v>Field Visit</x:v>
      </x:c>
    </x:row>
    <x:row r="2664">
      <x:c r="A2664" t="str">
        <x:v>O002663</x:v>
      </x:c>
      <x:c r="B2664" s="20" t="n">
        <x:v>45979</x:v>
      </x:c>
      <x:c r="C2664" t="str">
        <x:v>C0159</x:v>
      </x:c>
      <x:c r="D2664" t="str">
        <x:v>Darshini Foods 159</x:v>
      </x:c>
      <x:c r="E2664" t="str">
        <x:v>Canteen</x:v>
      </x:c>
      <x:c r="F2664" t="str">
        <x:v>Tumakuru</x:v>
      </x:c>
      <x:c r="G2664" t="str">
        <x:v>Kavya</x:v>
      </x:c>
      <x:c r="H2664" t="str">
        <x:v>P043</x:v>
      </x:c>
      <x:c r="I2664" t="str">
        <x:v>Chicken Breast 1kg</x:v>
      </x:c>
      <x:c r="J2664" t="str">
        <x:v>Protein</x:v>
      </x:c>
      <x:c r="K2664" t="str">
        <x:v>FreshToHome</x:v>
      </x:c>
      <x:c r="L2664" s="22" t="n">
        <x:v>260</x:v>
      </x:c>
      <x:c r="M2664" t="n">
        <x:v>10</x:v>
      </x:c>
      <x:c r="N2664" s="24" t="n">
        <x:v>0</x:v>
      </x:c>
      <x:c r="O2664" s="22" t="n">
        <x:f>L2664*M2664</x:f>
        <x:v>2600</x:v>
      </x:c>
      <x:c r="P2664" s="22" t="n">
        <x:f>O2664*(1-N2664)</x:f>
        <x:v>2600</x:v>
      </x:c>
      <x:c r="Q2664" s="22" t="n">
        <x:v>235</x:v>
      </x:c>
      <x:c r="R2664" s="22" t="n">
        <x:f>Q2664*M2664</x:f>
        <x:v>2350</x:v>
      </x:c>
      <x:c r="S2664" s="22" t="n">
        <x:f>P2664-R2664</x:f>
        <x:v>250</x:v>
      </x:c>
      <x:c r="T2664" t="str">
        <x:v>Bank Transfer</x:v>
      </x:c>
      <x:c r="U2664" t="str">
        <x:v>Paid</x:v>
      </x:c>
      <x:c r="V2664" t="str">
        <x:v>Delivered</x:v>
      </x:c>
      <x:c r="W2664" t="n">
        <x:v>0</x:v>
      </x:c>
      <x:c r="X2664" t="str"/>
      <x:c r="Y2664" t="str">
        <x:v>Outbound Call</x:v>
      </x:c>
    </x:row>
    <x:row r="2665">
      <x:c r="A2665" t="str">
        <x:v>O002664</x:v>
      </x:c>
      <x:c r="B2665" s="20" t="n">
        <x:v>46254</x:v>
      </x:c>
      <x:c r="C2665" t="str">
        <x:v>C0173</x:v>
      </x:c>
      <x:c r="D2665" t="str">
        <x:v>Royal Kitchen 173</x:v>
      </x:c>
      <x:c r="E2665" t="str">
        <x:v>Hotel</x:v>
      </x:c>
      <x:c r="F2665" t="str">
        <x:v>Bengaluru</x:v>
      </x:c>
      <x:c r="G2665" t="str">
        <x:v>Priya</x:v>
      </x:c>
      <x:c r="H2665" t="str">
        <x:v>P048</x:v>
      </x:c>
      <x:c r="I2665" t="str">
        <x:v>Banana 10kg</x:v>
      </x:c>
      <x:c r="J2665" t="str">
        <x:v>Fresh Produce</x:v>
      </x:c>
      <x:c r="K2665" t="str">
        <x:v>Local Market</x:v>
      </x:c>
      <x:c r="L2665" s="22" t="n">
        <x:v>420</x:v>
      </x:c>
      <x:c r="M2665" t="n">
        <x:v>23</x:v>
      </x:c>
      <x:c r="N2665" s="24" t="n">
        <x:v>0.03</x:v>
      </x:c>
      <x:c r="O2665" s="22" t="n">
        <x:f>L2665*M2665</x:f>
        <x:v>9660</x:v>
      </x:c>
      <x:c r="P2665" s="22" t="n">
        <x:f>O2665*(1-N2665)</x:f>
        <x:v>9370.199999999999</x:v>
      </x:c>
      <x:c r="Q2665" s="22" t="n">
        <x:v>350</x:v>
      </x:c>
      <x:c r="R2665" s="22" t="n">
        <x:f>Q2665*M2665</x:f>
        <x:v>8050</x:v>
      </x:c>
      <x:c r="S2665" s="22" t="n">
        <x:f>P2665-R2665</x:f>
        <x:v>1320.199999999999</x:v>
      </x:c>
      <x:c r="T2665" t="str">
        <x:v>Cash</x:v>
      </x:c>
      <x:c r="U2665" t="str">
        <x:v>Pending</x:v>
      </x:c>
      <x:c r="V2665" t="str">
        <x:v>Delivered</x:v>
      </x:c>
      <x:c r="W2665" t="n">
        <x:v>0</x:v>
      </x:c>
      <x:c r="X2665" t="str"/>
      <x:c r="Y2665" t="str">
        <x:v>Outbound Call</x:v>
      </x:c>
    </x:row>
    <x:row r="2666">
      <x:c r="A2666" t="str">
        <x:v>O002665</x:v>
      </x:c>
      <x:c r="B2666" s="20" t="n">
        <x:v>45817</x:v>
      </x:c>
      <x:c r="C2666" t="str">
        <x:v>C0104</x:v>
      </x:c>
      <x:c r="D2666" t="str">
        <x:v>Shree Foods 104</x:v>
      </x:c>
      <x:c r="E2666" t="str">
        <x:v>Cafe</x:v>
      </x:c>
      <x:c r="F2666" t="str">
        <x:v>Mangaluru</x:v>
      </x:c>
      <x:c r="G2666" t="str">
        <x:v>Megha</x:v>
      </x:c>
      <x:c r="H2666" t="str">
        <x:v>P003</x:v>
      </x:c>
      <x:c r="I2666" t="str">
        <x:v>Basmati Rice 5kg</x:v>
      </x:c>
      <x:c r="J2666" t="str">
        <x:v>Staples</x:v>
      </x:c>
      <x:c r="K2666" t="str">
        <x:v>India Gate</x:v>
      </x:c>
      <x:c r="L2666" s="22" t="n">
        <x:v>690</x:v>
      </x:c>
      <x:c r="M2666" t="n">
        <x:v>34</x:v>
      </x:c>
      <x:c r="N2666" s="24" t="n">
        <x:v>0.05</x:v>
      </x:c>
      <x:c r="O2666" s="22" t="n">
        <x:f>L2666*M2666</x:f>
        <x:v>23460</x:v>
      </x:c>
      <x:c r="P2666" s="22" t="n">
        <x:f>O2666*(1-N2666)</x:f>
        <x:v>22287</x:v>
      </x:c>
      <x:c r="Q2666" s="22" t="n">
        <x:v>610</x:v>
      </x:c>
      <x:c r="R2666" s="22" t="n">
        <x:f>Q2666*M2666</x:f>
        <x:v>20740</x:v>
      </x:c>
      <x:c r="S2666" s="22" t="n">
        <x:f>P2666-R2666</x:f>
        <x:v>1547</x:v>
      </x:c>
      <x:c r="T2666" t="str">
        <x:v>Cash</x:v>
      </x:c>
      <x:c r="U2666" t="str">
        <x:v>Paid</x:v>
      </x:c>
      <x:c r="V2666" t="str">
        <x:v>Delivered</x:v>
      </x:c>
      <x:c r="W2666" t="n">
        <x:v>0</x:v>
      </x:c>
      <x:c r="X2666" t="str"/>
      <x:c r="Y2666" t="str">
        <x:v>WhatsApp</x:v>
      </x:c>
    </x:row>
    <x:row r="2667">
      <x:c r="A2667" t="str">
        <x:v>O002666</x:v>
      </x:c>
      <x:c r="B2667" s="20" t="n">
        <x:v>45967</x:v>
      </x:c>
      <x:c r="C2667" t="str">
        <x:v>C0055</x:v>
      </x:c>
      <x:c r="D2667" t="str">
        <x:v>Royal Mart 55</x:v>
      </x:c>
      <x:c r="E2667" t="str">
        <x:v>Restaurant</x:v>
      </x:c>
      <x:c r="F2667" t="str">
        <x:v>Hubballi</x:v>
      </x:c>
      <x:c r="G2667" t="str">
        <x:v>Vikram</x:v>
      </x:c>
      <x:c r="H2667" t="str">
        <x:v>P048</x:v>
      </x:c>
      <x:c r="I2667" t="str">
        <x:v>Banana 10kg</x:v>
      </x:c>
      <x:c r="J2667" t="str">
        <x:v>Fresh Produce</x:v>
      </x:c>
      <x:c r="K2667" t="str">
        <x:v>Local Market</x:v>
      </x:c>
      <x:c r="L2667" s="22" t="n">
        <x:v>420</x:v>
      </x:c>
      <x:c r="M2667" t="n">
        <x:v>29</x:v>
      </x:c>
      <x:c r="N2667" s="24" t="n">
        <x:v>0</x:v>
      </x:c>
      <x:c r="O2667" s="22" t="n">
        <x:f>L2667*M2667</x:f>
        <x:v>12180</x:v>
      </x:c>
      <x:c r="P2667" s="22" t="n">
        <x:f>O2667*(1-N2667)</x:f>
        <x:v>12180</x:v>
      </x:c>
      <x:c r="Q2667" s="22" t="n">
        <x:v>350</x:v>
      </x:c>
      <x:c r="R2667" s="22" t="n">
        <x:f>Q2667*M2667</x:f>
        <x:v>10150</x:v>
      </x:c>
      <x:c r="S2667" s="22" t="n">
        <x:f>P2667-R2667</x:f>
        <x:v>2030</x:v>
      </x:c>
      <x:c r="T2667" t="str">
        <x:v>UPI</x:v>
      </x:c>
      <x:c r="U2667" t="str">
        <x:v>Paid</x:v>
      </x:c>
      <x:c r="V2667" t="str">
        <x:v>Delivered</x:v>
      </x:c>
      <x:c r="W2667" t="n">
        <x:v>0</x:v>
      </x:c>
      <x:c r="X2667" t="str"/>
      <x:c r="Y2667" t="str">
        <x:v>Existing Customer</x:v>
      </x:c>
    </x:row>
    <x:row r="2668">
      <x:c r="A2668" t="str">
        <x:v>O002667</x:v>
      </x:c>
      <x:c r="B2668" s="20" t="n">
        <x:v>45756</x:v>
      </x:c>
      <x:c r="C2668" t="str">
        <x:v>C0114</x:v>
      </x:c>
      <x:c r="D2668" t="str">
        <x:v>Annapurna Restaurant 114</x:v>
      </x:c>
      <x:c r="E2668" t="str">
        <x:v>Restaurant</x:v>
      </x:c>
      <x:c r="F2668" t="str">
        <x:v>Davanagere</x:v>
      </x:c>
      <x:c r="G2668" t="str">
        <x:v>Arjun</x:v>
      </x:c>
      <x:c r="H2668" t="str">
        <x:v>P041</x:v>
      </x:c>
      <x:c r="I2668" t="str">
        <x:v>Burger Bun 6pc</x:v>
      </x:c>
      <x:c r="J2668" t="str">
        <x:v>Bakery</x:v>
      </x:c>
      <x:c r="K2668" t="str">
        <x:v>Modern</x:v>
      </x:c>
      <x:c r="L2668" s="22" t="n">
        <x:v>42</x:v>
      </x:c>
      <x:c r="M2668" t="n">
        <x:v>17</x:v>
      </x:c>
      <x:c r="N2668" s="24" t="n">
        <x:v>0.05</x:v>
      </x:c>
      <x:c r="O2668" s="22" t="n">
        <x:f>L2668*M2668</x:f>
        <x:v>714</x:v>
      </x:c>
      <x:c r="P2668" s="22" t="n">
        <x:f>O2668*(1-N2668)</x:f>
        <x:v>678.3</x:v>
      </x:c>
      <x:c r="Q2668" s="22" t="n">
        <x:v>32</x:v>
      </x:c>
      <x:c r="R2668" s="22" t="n">
        <x:f>Q2668*M2668</x:f>
        <x:v>544</x:v>
      </x:c>
      <x:c r="S2668" s="22" t="n">
        <x:f>P2668-R2668</x:f>
        <x:v>134.29999999999995</x:v>
      </x:c>
      <x:c r="T2668" t="str">
        <x:v>Credit</x:v>
      </x:c>
      <x:c r="U2668" t="str">
        <x:v>Paid</x:v>
      </x:c>
      <x:c r="V2668" t="str">
        <x:v>Delivered</x:v>
      </x:c>
      <x:c r="W2668" t="n">
        <x:v>0</x:v>
      </x:c>
      <x:c r="X2668" t="str"/>
      <x:c r="Y2668" t="str">
        <x:v>Referral</x:v>
      </x:c>
    </x:row>
    <x:row r="2669">
      <x:c r="A2669" t="str">
        <x:v>O002668</x:v>
      </x:c>
      <x:c r="B2669" s="20" t="n">
        <x:v>46015</x:v>
      </x:c>
      <x:c r="C2669" t="str">
        <x:v>C0032</x:v>
      </x:c>
      <x:c r="D2669" t="str">
        <x:v>Cafe Hotel 32</x:v>
      </x:c>
      <x:c r="E2669" t="str">
        <x:v>Canteen</x:v>
      </x:c>
      <x:c r="F2669" t="str">
        <x:v>Bengaluru</x:v>
      </x:c>
      <x:c r="G2669" t="str">
        <x:v>Sneha</x:v>
      </x:c>
      <x:c r="H2669" t="str">
        <x:v>P036</x:v>
      </x:c>
      <x:c r="I2669" t="str">
        <x:v>Garam Masala 500g</x:v>
      </x:c>
      <x:c r="J2669" t="str">
        <x:v>Spices</x:v>
      </x:c>
      <x:c r="K2669" t="str">
        <x:v>MDH</x:v>
      </x:c>
      <x:c r="L2669" s="22" t="n">
        <x:v>265</x:v>
      </x:c>
      <x:c r="M2669" t="n">
        <x:v>21</x:v>
      </x:c>
      <x:c r="N2669" s="24" t="n">
        <x:v>0.03</x:v>
      </x:c>
      <x:c r="O2669" s="22" t="n">
        <x:f>L2669*M2669</x:f>
        <x:v>5565</x:v>
      </x:c>
      <x:c r="P2669" s="22" t="n">
        <x:f>O2669*(1-N2669)</x:f>
        <x:v>5398.05</x:v>
      </x:c>
      <x:c r="Q2669" s="22" t="n">
        <x:v>230</x:v>
      </x:c>
      <x:c r="R2669" s="22" t="n">
        <x:f>Q2669*M2669</x:f>
        <x:v>4830</x:v>
      </x:c>
      <x:c r="S2669" s="22" t="n">
        <x:f>P2669-R2669</x:f>
        <x:v>568.0500000000002</x:v>
      </x:c>
      <x:c r="T2669" t="str">
        <x:v>UPI</x:v>
      </x:c>
      <x:c r="U2669" t="str">
        <x:v>Paid</x:v>
      </x:c>
      <x:c r="V2669" t="str">
        <x:v>Delivered</x:v>
      </x:c>
      <x:c r="W2669" t="n">
        <x:v>0</x:v>
      </x:c>
      <x:c r="X2669" t="str"/>
      <x:c r="Y2669" t="str">
        <x:v>Field Visit</x:v>
      </x:c>
    </x:row>
    <x:row r="2670">
      <x:c r="A2670" t="str">
        <x:v>O002669</x:v>
      </x:c>
      <x:c r="B2670" s="20" t="n">
        <x:v>45695</x:v>
      </x:c>
      <x:c r="C2670" t="str">
        <x:v>C0197</x:v>
      </x:c>
      <x:c r="D2670" t="str">
        <x:v>New Foods 197</x:v>
      </x:c>
      <x:c r="E2670" t="str">
        <x:v>Cafe</x:v>
      </x:c>
      <x:c r="F2670" t="str">
        <x:v>Hubballi</x:v>
      </x:c>
      <x:c r="G2670" t="str">
        <x:v>Kavya</x:v>
      </x:c>
      <x:c r="H2670" t="str">
        <x:v>P026</x:v>
      </x:c>
      <x:c r="I2670" t="str">
        <x:v>Banana Chips 80g</x:v>
      </x:c>
      <x:c r="J2670" t="str">
        <x:v>Snacks</x:v>
      </x:c>
      <x:c r="K2670" t="str">
        <x:v>SSS</x:v>
      </x:c>
      <x:c r="L2670" s="22" t="n">
        <x:v>54</x:v>
      </x:c>
      <x:c r="M2670" t="n">
        <x:v>8</x:v>
      </x:c>
      <x:c r="N2670" s="24" t="n">
        <x:v>0.03</x:v>
      </x:c>
      <x:c r="O2670" s="22" t="n">
        <x:f>L2670*M2670</x:f>
        <x:v>432</x:v>
      </x:c>
      <x:c r="P2670" s="22" t="n">
        <x:f>O2670*(1-N2670)</x:f>
        <x:v>419.03999999999996</x:v>
      </x:c>
      <x:c r="Q2670" s="22" t="n">
        <x:v>39</x:v>
      </x:c>
      <x:c r="R2670" s="22" t="n">
        <x:f>Q2670*M2670</x:f>
        <x:v>312</x:v>
      </x:c>
      <x:c r="S2670" s="22" t="n">
        <x:f>P2670-R2670</x:f>
        <x:v>107.03999999999996</x:v>
      </x:c>
      <x:c r="T2670" t="str">
        <x:v>Bank Transfer</x:v>
      </x:c>
      <x:c r="U2670" t="str">
        <x:v>Paid</x:v>
      </x:c>
      <x:c r="V2670" t="str">
        <x:v>Delivered</x:v>
      </x:c>
      <x:c r="W2670" t="n">
        <x:v>0</x:v>
      </x:c>
      <x:c r="X2670" t="str"/>
      <x:c r="Y2670" t="str">
        <x:v>Outbound Call</x:v>
      </x:c>
    </x:row>
    <x:row r="2671">
      <x:c r="A2671" t="str">
        <x:v>O002670</x:v>
      </x:c>
      <x:c r="B2671" s="20" t="n">
        <x:v>45689</x:v>
      </x:c>
      <x:c r="C2671" t="str">
        <x:v>C0158</x:v>
      </x:c>
      <x:c r="D2671" t="str">
        <x:v>Cafe Stores 158</x:v>
      </x:c>
      <x:c r="E2671" t="str">
        <x:v>Cafe</x:v>
      </x:c>
      <x:c r="F2671" t="str">
        <x:v>Mysuru</x:v>
      </x:c>
      <x:c r="G2671" t="str">
        <x:v>Priya</x:v>
      </x:c>
      <x:c r="H2671" t="str">
        <x:v>P044</x:v>
      </x:c>
      <x:c r="I2671" t="str">
        <x:v>Chicken Curry Cut 1kg</x:v>
      </x:c>
      <x:c r="J2671" t="str">
        <x:v>Protein</x:v>
      </x:c>
      <x:c r="K2671" t="str">
        <x:v>FreshToHome</x:v>
      </x:c>
      <x:c r="L2671" s="22" t="n">
        <x:v>230</x:v>
      </x:c>
      <x:c r="M2671" t="n">
        <x:v>3</x:v>
      </x:c>
      <x:c r="N2671" s="24" t="n">
        <x:v>0.05</x:v>
      </x:c>
      <x:c r="O2671" s="22" t="n">
        <x:f>L2671*M2671</x:f>
        <x:v>690</x:v>
      </x:c>
      <x:c r="P2671" s="22" t="n">
        <x:f>O2671*(1-N2671)</x:f>
        <x:v>655.5</x:v>
      </x:c>
      <x:c r="Q2671" s="22" t="n">
        <x:v>205</x:v>
      </x:c>
      <x:c r="R2671" s="22" t="n">
        <x:f>Q2671*M2671</x:f>
        <x:v>615</x:v>
      </x:c>
      <x:c r="S2671" s="22" t="n">
        <x:f>P2671-R2671</x:f>
        <x:v>40.5</x:v>
      </x:c>
      <x:c r="T2671" t="str">
        <x:v>Credit</x:v>
      </x:c>
      <x:c r="U2671" t="str">
        <x:v>Pending</x:v>
      </x:c>
      <x:c r="V2671" t="str">
        <x:v>Delivered</x:v>
      </x:c>
      <x:c r="W2671" t="n">
        <x:v>0</x:v>
      </x:c>
      <x:c r="X2671" t="str"/>
      <x:c r="Y2671" t="str">
        <x:v>Field Visit</x:v>
      </x:c>
    </x:row>
    <x:row r="2672">
      <x:c r="A2672" t="str">
        <x:v>O002671</x:v>
      </x:c>
      <x:c r="B2672" s="20" t="n">
        <x:v>46100</x:v>
      </x:c>
      <x:c r="C2672" t="str">
        <x:v>C0126</x:v>
      </x:c>
      <x:c r="D2672" t="str">
        <x:v>Mysore Hotel 126</x:v>
      </x:c>
      <x:c r="E2672" t="str">
        <x:v>Restaurant</x:v>
      </x:c>
      <x:c r="F2672" t="str">
        <x:v>Mangaluru</x:v>
      </x:c>
      <x:c r="G2672" t="str">
        <x:v>Vikram</x:v>
      </x:c>
      <x:c r="H2672" t="str">
        <x:v>P035</x:v>
      </x:c>
      <x:c r="I2672" t="str">
        <x:v>Coriander Powder 1kg</x:v>
      </x:c>
      <x:c r="J2672" t="str">
        <x:v>Spices</x:v>
      </x:c>
      <x:c r="K2672" t="str">
        <x:v>Everest</x:v>
      </x:c>
      <x:c r="L2672" s="22" t="n">
        <x:v>280</x:v>
      </x:c>
      <x:c r="M2672" t="n">
        <x:v>39</x:v>
      </x:c>
      <x:c r="N2672" s="24" t="n">
        <x:v>0</x:v>
      </x:c>
      <x:c r="O2672" s="22" t="n">
        <x:f>L2672*M2672</x:f>
        <x:v>10920</x:v>
      </x:c>
      <x:c r="P2672" s="22" t="n">
        <x:f>O2672*(1-N2672)</x:f>
        <x:v>10920</x:v>
      </x:c>
      <x:c r="Q2672" s="22" t="n">
        <x:v>245</x:v>
      </x:c>
      <x:c r="R2672" s="22" t="n">
        <x:f>Q2672*M2672</x:f>
        <x:v>9555</x:v>
      </x:c>
      <x:c r="S2672" s="22" t="n">
        <x:f>P2672-R2672</x:f>
        <x:v>1365</x:v>
      </x:c>
      <x:c r="T2672" t="str">
        <x:v>Cash</x:v>
      </x:c>
      <x:c r="U2672" t="str">
        <x:v>Paid</x:v>
      </x:c>
      <x:c r="V2672" t="str">
        <x:v>Delivered</x:v>
      </x:c>
      <x:c r="W2672" t="n">
        <x:v>0</x:v>
      </x:c>
      <x:c r="X2672" t="str"/>
      <x:c r="Y2672" t="str">
        <x:v>Referral</x:v>
      </x:c>
    </x:row>
    <x:row r="2673">
      <x:c r="A2673" t="str">
        <x:v>O002672</x:v>
      </x:c>
      <x:c r="B2673" s="20" t="n">
        <x:v>46250</x:v>
      </x:c>
      <x:c r="C2673" t="str">
        <x:v>C0205</x:v>
      </x:c>
      <x:c r="D2673" t="str">
        <x:v>Royal Mart 205</x:v>
      </x:c>
      <x:c r="E2673" t="str">
        <x:v>Kirana</x:v>
      </x:c>
      <x:c r="F2673" t="str">
        <x:v>Mysuru</x:v>
      </x:c>
      <x:c r="G2673" t="str">
        <x:v>Priya</x:v>
      </x:c>
      <x:c r="H2673" t="str">
        <x:v>P024</x:v>
      </x:c>
      <x:c r="I2673" t="str">
        <x:v>Orange Drink 1L</x:v>
      </x:c>
      <x:c r="J2673" t="str">
        <x:v>Beverage</x:v>
      </x:c>
      <x:c r="K2673" t="str">
        <x:v>Minute Maid</x:v>
      </x:c>
      <x:c r="L2673" s="22" t="n">
        <x:v>105</x:v>
      </x:c>
      <x:c r="M2673" t="n">
        <x:v>16</x:v>
      </x:c>
      <x:c r="N2673" s="24" t="n">
        <x:v>0.05</x:v>
      </x:c>
      <x:c r="O2673" s="22" t="n">
        <x:f>L2673*M2673</x:f>
        <x:v>1680</x:v>
      </x:c>
      <x:c r="P2673" s="22" t="n">
        <x:f>O2673*(1-N2673)</x:f>
        <x:v>1596</x:v>
      </x:c>
      <x:c r="Q2673" s="22" t="n">
        <x:v>88</x:v>
      </x:c>
      <x:c r="R2673" s="22" t="n">
        <x:f>Q2673*M2673</x:f>
        <x:v>1408</x:v>
      </x:c>
      <x:c r="S2673" s="22" t="n">
        <x:f>P2673-R2673</x:f>
        <x:v>188</x:v>
      </x:c>
      <x:c r="T2673" t="str">
        <x:v>Credit</x:v>
      </x:c>
      <x:c r="U2673" t="str">
        <x:v>Paid</x:v>
      </x:c>
      <x:c r="V2673" t="str">
        <x:v>Cancelled</x:v>
      </x:c>
      <x:c r="W2673" t="n">
        <x:v>16</x:v>
      </x:c>
      <x:c r="X2673" t="str">
        <x:v>Cancelled Order</x:v>
      </x:c>
      <x:c r="Y2673" t="str">
        <x:v>Referral</x:v>
      </x:c>
    </x:row>
    <x:row r="2674">
      <x:c r="A2674" t="str">
        <x:v>O002673</x:v>
      </x:c>
      <x:c r="B2674" s="20" t="n">
        <x:v>46156</x:v>
      </x:c>
      <x:c r="C2674" t="str">
        <x:v>C0051</x:v>
      </x:c>
      <x:c r="D2674" t="str">
        <x:v>Cafe Hotel 51</x:v>
      </x:c>
      <x:c r="E2674" t="str">
        <x:v>Kirana</x:v>
      </x:c>
      <x:c r="F2674" t="str">
        <x:v>Tumakuru</x:v>
      </x:c>
      <x:c r="G2674" t="str">
        <x:v>Arjun</x:v>
      </x:c>
      <x:c r="H2674" t="str">
        <x:v>P028</x:v>
      </x:c>
      <x:c r="I2674" t="str">
        <x:v>Cookies 200g</x:v>
      </x:c>
      <x:c r="J2674" t="str">
        <x:v>Snacks</x:v>
      </x:c>
      <x:c r="K2674" t="str">
        <x:v>Britannia</x:v>
      </x:c>
      <x:c r="L2674" s="22" t="n">
        <x:v>55</x:v>
      </x:c>
      <x:c r="M2674" t="n">
        <x:v>16</x:v>
      </x:c>
      <x:c r="N2674" s="24" t="n">
        <x:v>0.02</x:v>
      </x:c>
      <x:c r="O2674" s="22" t="n">
        <x:f>L2674*M2674</x:f>
        <x:v>880</x:v>
      </x:c>
      <x:c r="P2674" s="22" t="n">
        <x:f>O2674*(1-N2674)</x:f>
        <x:v>862.4</x:v>
      </x:c>
      <x:c r="Q2674" s="22" t="n">
        <x:v>42</x:v>
      </x:c>
      <x:c r="R2674" s="22" t="n">
        <x:f>Q2674*M2674</x:f>
        <x:v>672</x:v>
      </x:c>
      <x:c r="S2674" s="22" t="n">
        <x:f>P2674-R2674</x:f>
        <x:v>190.39999999999998</x:v>
      </x:c>
      <x:c r="T2674" t="str">
        <x:v>Cash</x:v>
      </x:c>
      <x:c r="U2674" t="str">
        <x:v>Paid</x:v>
      </x:c>
      <x:c r="V2674" t="str">
        <x:v>Delayed</x:v>
      </x:c>
      <x:c r="W2674" t="n">
        <x:v>0</x:v>
      </x:c>
      <x:c r="X2674" t="str"/>
      <x:c r="Y2674" t="str">
        <x:v>WhatsApp</x:v>
      </x:c>
    </x:row>
    <x:row r="2675">
      <x:c r="A2675" t="str">
        <x:v>O002674</x:v>
      </x:c>
      <x:c r="B2675" s="20" t="n">
        <x:v>45789</x:v>
      </x:c>
      <x:c r="C2675" t="str">
        <x:v>C0015</x:v>
      </x:c>
      <x:c r="D2675" t="str">
        <x:v>Royal Foods 15</x:v>
      </x:c>
      <x:c r="E2675" t="str">
        <x:v>Cafe</x:v>
      </x:c>
      <x:c r="F2675" t="str">
        <x:v>Mysuru</x:v>
      </x:c>
      <x:c r="G2675" t="str">
        <x:v>Ramesh</x:v>
      </x:c>
      <x:c r="H2675" t="str">
        <x:v>P030</x:v>
      </x:c>
      <x:c r="I2675" t="str">
        <x:v>Mayonnaise 1kg</x:v>
      </x:c>
      <x:c r="J2675" t="str">
        <x:v>Condiments</x:v>
      </x:c>
      <x:c r="K2675" t="str">
        <x:v>Veeba</x:v>
      </x:c>
      <x:c r="L2675" s="22" t="n">
        <x:v>210</x:v>
      </x:c>
      <x:c r="M2675" t="n">
        <x:v>9</x:v>
      </x:c>
      <x:c r="N2675" s="24" t="n">
        <x:v>0.03</x:v>
      </x:c>
      <x:c r="O2675" s="22" t="n">
        <x:f>L2675*M2675</x:f>
        <x:v>1890</x:v>
      </x:c>
      <x:c r="P2675" s="22" t="n">
        <x:f>O2675*(1-N2675)</x:f>
        <x:v>1833.3</x:v>
      </x:c>
      <x:c r="Q2675" s="22" t="n">
        <x:v>185</x:v>
      </x:c>
      <x:c r="R2675" s="22" t="n">
        <x:f>Q2675*M2675</x:f>
        <x:v>1665</x:v>
      </x:c>
      <x:c r="S2675" s="22" t="n">
        <x:f>P2675-R2675</x:f>
        <x:v>168.29999999999995</x:v>
      </x:c>
      <x:c r="T2675" t="str">
        <x:v>Bank Transfer</x:v>
      </x:c>
      <x:c r="U2675" t="str">
        <x:v>Paid</x:v>
      </x:c>
      <x:c r="V2675" t="str">
        <x:v>Delivered</x:v>
      </x:c>
      <x:c r="W2675" t="n">
        <x:v>0</x:v>
      </x:c>
      <x:c r="X2675" t="str"/>
      <x:c r="Y2675" t="str">
        <x:v>Referral</x:v>
      </x:c>
    </x:row>
    <x:row r="2676">
      <x:c r="A2676" t="str">
        <x:v>O002675</x:v>
      </x:c>
      <x:c r="B2676" s="20" t="n">
        <x:v>45856</x:v>
      </x:c>
      <x:c r="C2676" t="str">
        <x:v>C0210</x:v>
      </x:c>
      <x:c r="D2676" t="str">
        <x:v>Spice Stores 210</x:v>
      </x:c>
      <x:c r="E2676" t="str">
        <x:v>Cafe</x:v>
      </x:c>
      <x:c r="F2676" t="str">
        <x:v>Davanagere</x:v>
      </x:c>
      <x:c r="G2676" t="str">
        <x:v>Imran</x:v>
      </x:c>
      <x:c r="H2676" t="str">
        <x:v>P007</x:v>
      </x:c>
      <x:c r="I2676" t="str">
        <x:v>Sunflower Oil 15L</x:v>
      </x:c>
      <x:c r="J2676" t="str">
        <x:v>Edible Oil</x:v>
      </x:c>
      <x:c r="K2676" t="str">
        <x:v>Fortune</x:v>
      </x:c>
      <x:c r="L2676" s="22" t="n">
        <x:v>1980</x:v>
      </x:c>
      <x:c r="M2676" t="n">
        <x:v>1</x:v>
      </x:c>
      <x:c r="N2676" s="24" t="n">
        <x:v>0</x:v>
      </x:c>
      <x:c r="O2676" s="22" t="n">
        <x:f>L2676*M2676</x:f>
        <x:v>1980</x:v>
      </x:c>
      <x:c r="P2676" s="22" t="n">
        <x:f>O2676*(1-N2676)</x:f>
        <x:v>1980</x:v>
      </x:c>
      <x:c r="Q2676" s="22" t="n">
        <x:v>1810</x:v>
      </x:c>
      <x:c r="R2676" s="22" t="n">
        <x:f>Q2676*M2676</x:f>
        <x:v>1810</x:v>
      </x:c>
      <x:c r="S2676" s="22" t="n">
        <x:f>P2676-R2676</x:f>
        <x:v>170</x:v>
      </x:c>
      <x:c r="T2676" t="str">
        <x:v>Bank Transfer</x:v>
      </x:c>
      <x:c r="U2676" t="str">
        <x:v>Paid</x:v>
      </x:c>
      <x:c r="V2676" t="str">
        <x:v>Delivered</x:v>
      </x:c>
      <x:c r="W2676" t="n">
        <x:v>0</x:v>
      </x:c>
      <x:c r="X2676" t="str"/>
      <x:c r="Y2676" t="str">
        <x:v>Field Visit</x:v>
      </x:c>
    </x:row>
    <x:row r="2677">
      <x:c r="A2677" t="str">
        <x:v>O002676</x:v>
      </x:c>
      <x:c r="B2677" s="20" t="n">
        <x:v>45890</x:v>
      </x:c>
      <x:c r="C2677" t="str">
        <x:v>C0163</x:v>
      </x:c>
      <x:c r="D2677" t="str">
        <x:v>Shree Kitchen 163</x:v>
      </x:c>
      <x:c r="E2677" t="str">
        <x:v>Kirana</x:v>
      </x:c>
      <x:c r="F2677" t="str">
        <x:v>Mysuru</x:v>
      </x:c>
      <x:c r="G2677" t="str">
        <x:v>Priya</x:v>
      </x:c>
      <x:c r="H2677" t="str">
        <x:v>P020</x:v>
      </x:c>
      <x:c r="I2677" t="str">
        <x:v>Coffee 500g</x:v>
      </x:c>
      <x:c r="J2677" t="str">
        <x:v>Beverage</x:v>
      </x:c>
      <x:c r="K2677" t="str">
        <x:v>Bru</x:v>
      </x:c>
      <x:c r="L2677" s="22" t="n">
        <x:v>390</x:v>
      </x:c>
      <x:c r="M2677" t="n">
        <x:v>28</x:v>
      </x:c>
      <x:c r="N2677" s="24" t="n">
        <x:v>0.03</x:v>
      </x:c>
      <x:c r="O2677" s="22" t="n">
        <x:f>L2677*M2677</x:f>
        <x:v>10920</x:v>
      </x:c>
      <x:c r="P2677" s="22" t="n">
        <x:f>O2677*(1-N2677)</x:f>
        <x:v>10592.4</x:v>
      </x:c>
      <x:c r="Q2677" s="22" t="n">
        <x:v>350</x:v>
      </x:c>
      <x:c r="R2677" s="22" t="n">
        <x:f>Q2677*M2677</x:f>
        <x:v>9800</x:v>
      </x:c>
      <x:c r="S2677" s="22" t="n">
        <x:f>P2677-R2677</x:f>
        <x:v>792.3999999999996</x:v>
      </x:c>
      <x:c r="T2677" t="str">
        <x:v>Bank Transfer</x:v>
      </x:c>
      <x:c r="U2677" t="str">
        <x:v>Paid</x:v>
      </x:c>
      <x:c r="V2677" t="str">
        <x:v>Cancelled</x:v>
      </x:c>
      <x:c r="W2677" t="n">
        <x:v>28</x:v>
      </x:c>
      <x:c r="X2677" t="str">
        <x:v>Cancelled Order</x:v>
      </x:c>
      <x:c r="Y2677" t="str">
        <x:v>Existing Customer</x:v>
      </x:c>
    </x:row>
    <x:row r="2678">
      <x:c r="A2678" t="str">
        <x:v>O002677</x:v>
      </x:c>
      <x:c r="B2678" s="20" t="n">
        <x:v>45932</x:v>
      </x:c>
      <x:c r="C2678" t="str">
        <x:v>C0197</x:v>
      </x:c>
      <x:c r="D2678" t="str">
        <x:v>New Foods 197</x:v>
      </x:c>
      <x:c r="E2678" t="str">
        <x:v>Cafe</x:v>
      </x:c>
      <x:c r="F2678" t="str">
        <x:v>Hubballi</x:v>
      </x:c>
      <x:c r="G2678" t="str">
        <x:v>Kavya</x:v>
      </x:c>
      <x:c r="H2678" t="str">
        <x:v>P005</x:v>
      </x:c>
      <x:c r="I2678" t="str">
        <x:v>Chana Dal 5kg</x:v>
      </x:c>
      <x:c r="J2678" t="str">
        <x:v>Pulses</x:v>
      </x:c>
      <x:c r="K2678" t="str">
        <x:v>Local Select</x:v>
      </x:c>
      <x:c r="L2678" s="22" t="n">
        <x:v>520</x:v>
      </x:c>
      <x:c r="M2678" t="n">
        <x:v>34</x:v>
      </x:c>
      <x:c r="N2678" s="24" t="n">
        <x:v>0.1</x:v>
      </x:c>
      <x:c r="O2678" s="22" t="n">
        <x:f>L2678*M2678</x:f>
        <x:v>17680</x:v>
      </x:c>
      <x:c r="P2678" s="22" t="n">
        <x:f>O2678*(1-N2678)</x:f>
        <x:v>15912</x:v>
      </x:c>
      <x:c r="Q2678" s="22" t="n">
        <x:v>455</x:v>
      </x:c>
      <x:c r="R2678" s="22" t="n">
        <x:f>Q2678*M2678</x:f>
        <x:v>15470</x:v>
      </x:c>
      <x:c r="S2678" s="22" t="n">
        <x:f>P2678-R2678</x:f>
        <x:v>442</x:v>
      </x:c>
      <x:c r="T2678" t="str">
        <x:v>Bank Transfer</x:v>
      </x:c>
      <x:c r="U2678" t="str">
        <x:v>Paid</x:v>
      </x:c>
      <x:c r="V2678" t="str">
        <x:v>Cancelled</x:v>
      </x:c>
      <x:c r="W2678" t="n">
        <x:v>34</x:v>
      </x:c>
      <x:c r="X2678" t="str">
        <x:v>Cancelled Order</x:v>
      </x:c>
      <x:c r="Y2678" t="str">
        <x:v>Outbound Call</x:v>
      </x:c>
    </x:row>
    <x:row r="2679">
      <x:c r="A2679" t="str">
        <x:v>O002678</x:v>
      </x:c>
      <x:c r="B2679" s="20" t="n">
        <x:v>45891</x:v>
      </x:c>
      <x:c r="C2679" t="str">
        <x:v>C0235</x:v>
      </x:c>
      <x:c r="D2679" t="str">
        <x:v>Darshini Canteen 235</x:v>
      </x:c>
      <x:c r="E2679" t="str">
        <x:v>Hotel</x:v>
      </x:c>
      <x:c r="F2679" t="str">
        <x:v>Mangaluru</x:v>
      </x:c>
      <x:c r="G2679" t="str">
        <x:v>Arjun</x:v>
      </x:c>
      <x:c r="H2679" t="str">
        <x:v>P030</x:v>
      </x:c>
      <x:c r="I2679" t="str">
        <x:v>Mayonnaise 1kg</x:v>
      </x:c>
      <x:c r="J2679" t="str">
        <x:v>Condiments</x:v>
      </x:c>
      <x:c r="K2679" t="str">
        <x:v>Veeba</x:v>
      </x:c>
      <x:c r="L2679" s="22" t="n">
        <x:v>210</x:v>
      </x:c>
      <x:c r="M2679" t="n">
        <x:v>24</x:v>
      </x:c>
      <x:c r="N2679" s="24" t="n">
        <x:v>0.05</x:v>
      </x:c>
      <x:c r="O2679" s="22" t="n">
        <x:f>L2679*M2679</x:f>
        <x:v>5040</x:v>
      </x:c>
      <x:c r="P2679" s="22" t="n">
        <x:f>O2679*(1-N2679)</x:f>
        <x:v>4788</x:v>
      </x:c>
      <x:c r="Q2679" s="22" t="n">
        <x:v>185</x:v>
      </x:c>
      <x:c r="R2679" s="22" t="n">
        <x:f>Q2679*M2679</x:f>
        <x:v>4440</x:v>
      </x:c>
      <x:c r="S2679" s="22" t="n">
        <x:f>P2679-R2679</x:f>
        <x:v>348</x:v>
      </x:c>
      <x:c r="T2679" t="str">
        <x:v>Credit</x:v>
      </x:c>
      <x:c r="U2679" t="str">
        <x:v>Pending</x:v>
      </x:c>
      <x:c r="V2679" t="str">
        <x:v>Delayed</x:v>
      </x:c>
      <x:c r="W2679" t="n">
        <x:v>0</x:v>
      </x:c>
      <x:c r="X2679" t="str"/>
      <x:c r="Y2679" t="str">
        <x:v>Referral</x:v>
      </x:c>
    </x:row>
    <x:row r="2680">
      <x:c r="A2680" t="str">
        <x:v>O002679</x:v>
      </x:c>
      <x:c r="B2680" s="20" t="n">
        <x:v>45836</x:v>
      </x:c>
      <x:c r="C2680" t="str">
        <x:v>C0007</x:v>
      </x:c>
      <x:c r="D2680" t="str">
        <x:v>Mysore Stores 7</x:v>
      </x:c>
      <x:c r="E2680" t="str">
        <x:v>Kirana</x:v>
      </x:c>
      <x:c r="F2680" t="str">
        <x:v>Bengaluru</x:v>
      </x:c>
      <x:c r="G2680" t="str">
        <x:v>Kavya</x:v>
      </x:c>
      <x:c r="H2680" t="str">
        <x:v>P033</x:v>
      </x:c>
      <x:c r="I2680" t="str">
        <x:v>Turmeric Powder 1kg</x:v>
      </x:c>
      <x:c r="J2680" t="str">
        <x:v>Spices</x:v>
      </x:c>
      <x:c r="K2680" t="str">
        <x:v>Everest</x:v>
      </x:c>
      <x:c r="L2680" s="22" t="n">
        <x:v>310</x:v>
      </x:c>
      <x:c r="M2680" t="n">
        <x:v>22</x:v>
      </x:c>
      <x:c r="N2680" s="24" t="n">
        <x:v>0</x:v>
      </x:c>
      <x:c r="O2680" s="22" t="n">
        <x:f>L2680*M2680</x:f>
        <x:v>6820</x:v>
      </x:c>
      <x:c r="P2680" s="22" t="n">
        <x:f>O2680*(1-N2680)</x:f>
        <x:v>6820</x:v>
      </x:c>
      <x:c r="Q2680" s="22" t="n">
        <x:v>270</x:v>
      </x:c>
      <x:c r="R2680" s="22" t="n">
        <x:f>Q2680*M2680</x:f>
        <x:v>5940</x:v>
      </x:c>
      <x:c r="S2680" s="22" t="n">
        <x:f>P2680-R2680</x:f>
        <x:v>880</x:v>
      </x:c>
      <x:c r="T2680" t="str">
        <x:v>Credit</x:v>
      </x:c>
      <x:c r="U2680" t="str">
        <x:v>Paid</x:v>
      </x:c>
      <x:c r="V2680" t="str">
        <x:v>Cancelled</x:v>
      </x:c>
      <x:c r="W2680" t="n">
        <x:v>22</x:v>
      </x:c>
      <x:c r="X2680" t="str">
        <x:v>Cancelled Order</x:v>
      </x:c>
      <x:c r="Y2680" t="str">
        <x:v>WhatsApp</x:v>
      </x:c>
    </x:row>
    <x:row r="2681">
      <x:c r="A2681" t="str">
        <x:v>O002680</x:v>
      </x:c>
      <x:c r="B2681" s="20" t="n">
        <x:v>45727</x:v>
      </x:c>
      <x:c r="C2681" t="str">
        <x:v>C0243</x:v>
      </x:c>
      <x:c r="D2681" t="str">
        <x:v>Metro Kitchen 243</x:v>
      </x:c>
      <x:c r="E2681" t="str">
        <x:v>Restaurant</x:v>
      </x:c>
      <x:c r="F2681" t="str">
        <x:v>Mangaluru</x:v>
      </x:c>
      <x:c r="G2681" t="str">
        <x:v>Kavya</x:v>
      </x:c>
      <x:c r="H2681" t="str">
        <x:v>P017</x:v>
      </x:c>
      <x:c r="I2681" t="str">
        <x:v>Butter 500g</x:v>
      </x:c>
      <x:c r="J2681" t="str">
        <x:v>Dairy</x:v>
      </x:c>
      <x:c r="K2681" t="str">
        <x:v>Amul</x:v>
      </x:c>
      <x:c r="L2681" s="22" t="n">
        <x:v>285</x:v>
      </x:c>
      <x:c r="M2681" t="n">
        <x:v>10</x:v>
      </x:c>
      <x:c r="N2681" s="24" t="n">
        <x:v>0.08</x:v>
      </x:c>
      <x:c r="O2681" s="22" t="n">
        <x:f>L2681*M2681</x:f>
        <x:v>2850</x:v>
      </x:c>
      <x:c r="P2681" s="22" t="n">
        <x:f>O2681*(1-N2681)</x:f>
        <x:v>2622</x:v>
      </x:c>
      <x:c r="Q2681" s="22" t="n">
        <x:v>258</x:v>
      </x:c>
      <x:c r="R2681" s="22" t="n">
        <x:f>Q2681*M2681</x:f>
        <x:v>2580</x:v>
      </x:c>
      <x:c r="S2681" s="22" t="n">
        <x:f>P2681-R2681</x:f>
        <x:v>42</x:v>
      </x:c>
      <x:c r="T2681" t="str">
        <x:v>Credit</x:v>
      </x:c>
      <x:c r="U2681" t="str">
        <x:v>Paid</x:v>
      </x:c>
      <x:c r="V2681" t="str">
        <x:v>Delayed</x:v>
      </x:c>
      <x:c r="W2681" t="n">
        <x:v>0</x:v>
      </x:c>
      <x:c r="X2681" t="str"/>
      <x:c r="Y2681" t="str">
        <x:v>Outbound Call</x:v>
      </x:c>
    </x:row>
    <x:row r="2682">
      <x:c r="A2682" t="str">
        <x:v>O002681</x:v>
      </x:c>
      <x:c r="B2682" s="20" t="n">
        <x:v>45789</x:v>
      </x:c>
      <x:c r="C2682" t="str">
        <x:v>C0033</x:v>
      </x:c>
      <x:c r="D2682" t="str">
        <x:v>Shree Canteen 33</x:v>
      </x:c>
      <x:c r="E2682" t="str">
        <x:v>Canteen</x:v>
      </x:c>
      <x:c r="F2682" t="str">
        <x:v>Mangaluru</x:v>
      </x:c>
      <x:c r="G2682" t="str">
        <x:v>Imran</x:v>
      </x:c>
      <x:c r="H2682" t="str">
        <x:v>P044</x:v>
      </x:c>
      <x:c r="I2682" t="str">
        <x:v>Chicken Curry Cut 1kg</x:v>
      </x:c>
      <x:c r="J2682" t="str">
        <x:v>Protein</x:v>
      </x:c>
      <x:c r="K2682" t="str">
        <x:v>FreshToHome</x:v>
      </x:c>
      <x:c r="L2682" s="22" t="n">
        <x:v>230</x:v>
      </x:c>
      <x:c r="M2682" t="n">
        <x:v>13</x:v>
      </x:c>
      <x:c r="N2682" s="24" t="n">
        <x:v>0.05</x:v>
      </x:c>
      <x:c r="O2682" s="22" t="n">
        <x:f>L2682*M2682</x:f>
        <x:v>2990</x:v>
      </x:c>
      <x:c r="P2682" s="22" t="n">
        <x:f>O2682*(1-N2682)</x:f>
        <x:v>2840.5</x:v>
      </x:c>
      <x:c r="Q2682" s="22" t="n">
        <x:v>205</x:v>
      </x:c>
      <x:c r="R2682" s="22" t="n">
        <x:f>Q2682*M2682</x:f>
        <x:v>2665</x:v>
      </x:c>
      <x:c r="S2682" s="22" t="n">
        <x:f>P2682-R2682</x:f>
        <x:v>175.5</x:v>
      </x:c>
      <x:c r="T2682" t="str">
        <x:v>Bank Transfer</x:v>
      </x:c>
      <x:c r="U2682" t="str">
        <x:v>Paid</x:v>
      </x:c>
      <x:c r="V2682" t="str">
        <x:v>Cancelled</x:v>
      </x:c>
      <x:c r="W2682" t="n">
        <x:v>13</x:v>
      </x:c>
      <x:c r="X2682" t="str">
        <x:v>Cancelled Order</x:v>
      </x:c>
      <x:c r="Y2682" t="str">
        <x:v>Referral</x:v>
      </x:c>
    </x:row>
    <x:row r="2683">
      <x:c r="A2683" t="str">
        <x:v>O002682</x:v>
      </x:c>
      <x:c r="B2683" s="20" t="n">
        <x:v>45742</x:v>
      </x:c>
      <x:c r="C2683" t="str">
        <x:v>C0041</x:v>
      </x:c>
      <x:c r="D2683" t="str">
        <x:v>Grand Mart 41</x:v>
      </x:c>
      <x:c r="E2683" t="str">
        <x:v>Cafe</x:v>
      </x:c>
      <x:c r="F2683" t="str">
        <x:v>Bengaluru</x:v>
      </x:c>
      <x:c r="G2683" t="str">
        <x:v>Kavya</x:v>
      </x:c>
      <x:c r="H2683" t="str">
        <x:v>P025</x:v>
      </x:c>
      <x:c r="I2683" t="str">
        <x:v>Potato Chips 100g</x:v>
      </x:c>
      <x:c r="J2683" t="str">
        <x:v>Snacks</x:v>
      </x:c>
      <x:c r="K2683" t="str">
        <x:v>Lay's</x:v>
      </x:c>
      <x:c r="L2683" s="22" t="n">
        <x:v>35</x:v>
      </x:c>
      <x:c r="M2683" t="n">
        <x:v>7</x:v>
      </x:c>
      <x:c r="N2683" s="24" t="n">
        <x:v>0.03</x:v>
      </x:c>
      <x:c r="O2683" s="22" t="n">
        <x:f>L2683*M2683</x:f>
        <x:v>245</x:v>
      </x:c>
      <x:c r="P2683" s="22" t="n">
        <x:f>O2683*(1-N2683)</x:f>
        <x:v>237.65</x:v>
      </x:c>
      <x:c r="Q2683" s="22" t="n">
        <x:v>27</x:v>
      </x:c>
      <x:c r="R2683" s="22" t="n">
        <x:f>Q2683*M2683</x:f>
        <x:v>189</x:v>
      </x:c>
      <x:c r="S2683" s="22" t="n">
        <x:f>P2683-R2683</x:f>
        <x:v>48.650000000000006</x:v>
      </x:c>
      <x:c r="T2683" t="str">
        <x:v>Bank Transfer</x:v>
      </x:c>
      <x:c r="U2683" t="str">
        <x:v>Pending</x:v>
      </x:c>
      <x:c r="V2683" t="str">
        <x:v>Delayed</x:v>
      </x:c>
      <x:c r="W2683" t="n">
        <x:v>0</x:v>
      </x:c>
      <x:c r="X2683" t="str"/>
      <x:c r="Y2683" t="str">
        <x:v>Field Visit</x:v>
      </x:c>
    </x:row>
    <x:row r="2684">
      <x:c r="A2684" t="str">
        <x:v>O002683</x:v>
      </x:c>
      <x:c r="B2684" s="20" t="n">
        <x:v>45984</x:v>
      </x:c>
      <x:c r="C2684" t="str">
        <x:v>C0195</x:v>
      </x:c>
      <x:c r="D2684" t="str">
        <x:v>Classic Stores 195</x:v>
      </x:c>
      <x:c r="E2684" t="str">
        <x:v>Canteen</x:v>
      </x:c>
      <x:c r="F2684" t="str">
        <x:v>Davanagere</x:v>
      </x:c>
      <x:c r="G2684" t="str">
        <x:v>Kavya</x:v>
      </x:c>
      <x:c r="H2684" t="str">
        <x:v>P049</x:v>
      </x:c>
      <x:c r="I2684" t="str">
        <x:v>Apple 10kg</x:v>
      </x:c>
      <x:c r="J2684" t="str">
        <x:v>Fresh Produce</x:v>
      </x:c>
      <x:c r="K2684" t="str">
        <x:v>Local Market</x:v>
      </x:c>
      <x:c r="L2684" s="22" t="n">
        <x:v>1450</x:v>
      </x:c>
      <x:c r="M2684" t="n">
        <x:v>5</x:v>
      </x:c>
      <x:c r="N2684" s="24" t="n">
        <x:v>0.05</x:v>
      </x:c>
      <x:c r="O2684" s="22" t="n">
        <x:f>L2684*M2684</x:f>
        <x:v>7250</x:v>
      </x:c>
      <x:c r="P2684" s="22" t="n">
        <x:f>O2684*(1-N2684)</x:f>
        <x:v>6887.5</x:v>
      </x:c>
      <x:c r="Q2684" s="22" t="n">
        <x:v>1280</x:v>
      </x:c>
      <x:c r="R2684" s="22" t="n">
        <x:f>Q2684*M2684</x:f>
        <x:v>6400</x:v>
      </x:c>
      <x:c r="S2684" s="22" t="n">
        <x:f>P2684-R2684</x:f>
        <x:v>487.5</x:v>
      </x:c>
      <x:c r="T2684" t="str">
        <x:v>Cash</x:v>
      </x:c>
      <x:c r="U2684" t="str">
        <x:v>Paid</x:v>
      </x:c>
      <x:c r="V2684" t="str">
        <x:v>Delivered</x:v>
      </x:c>
      <x:c r="W2684" t="n">
        <x:v>0</x:v>
      </x:c>
      <x:c r="X2684" t="str"/>
      <x:c r="Y2684" t="str">
        <x:v>Referral</x:v>
      </x:c>
    </x:row>
    <x:row r="2685">
      <x:c r="A2685" t="str">
        <x:v>O002684</x:v>
      </x:c>
      <x:c r="B2685" s="20" t="n">
        <x:v>45944</x:v>
      </x:c>
      <x:c r="C2685" t="str">
        <x:v>C0210</x:v>
      </x:c>
      <x:c r="D2685" t="str">
        <x:v>Spice Stores 210</x:v>
      </x:c>
      <x:c r="E2685" t="str">
        <x:v>Cafe</x:v>
      </x:c>
      <x:c r="F2685" t="str">
        <x:v>Davanagere</x:v>
      </x:c>
      <x:c r="G2685" t="str">
        <x:v>Imran</x:v>
      </x:c>
      <x:c r="H2685" t="str">
        <x:v>P021</x:v>
      </x:c>
      <x:c r="I2685" t="str">
        <x:v>Instant Coffee 200g</x:v>
      </x:c>
      <x:c r="J2685" t="str">
        <x:v>Beverage</x:v>
      </x:c>
      <x:c r="K2685" t="str">
        <x:v>Nescafe</x:v>
      </x:c>
      <x:c r="L2685" s="22" t="n">
        <x:v>460</x:v>
      </x:c>
      <x:c r="M2685" t="n">
        <x:v>19</x:v>
      </x:c>
      <x:c r="N2685" s="24" t="n">
        <x:v>0.08</x:v>
      </x:c>
      <x:c r="O2685" s="22" t="n">
        <x:f>L2685*M2685</x:f>
        <x:v>8740</x:v>
      </x:c>
      <x:c r="P2685" s="22" t="n">
        <x:f>O2685*(1-N2685)</x:f>
        <x:v>8040.8</x:v>
      </x:c>
      <x:c r="Q2685" s="22" t="n">
        <x:v>410</x:v>
      </x:c>
      <x:c r="R2685" s="22" t="n">
        <x:f>Q2685*M2685</x:f>
        <x:v>7790</x:v>
      </x:c>
      <x:c r="S2685" s="22" t="n">
        <x:f>P2685-R2685</x:f>
        <x:v>250.80000000000018</x:v>
      </x:c>
      <x:c r="T2685" t="str">
        <x:v>UPI</x:v>
      </x:c>
      <x:c r="U2685" t="str">
        <x:v>Paid</x:v>
      </x:c>
      <x:c r="V2685" t="str">
        <x:v>Cancelled</x:v>
      </x:c>
      <x:c r="W2685" t="n">
        <x:v>19</x:v>
      </x:c>
      <x:c r="X2685" t="str">
        <x:v>Cancelled Order</x:v>
      </x:c>
      <x:c r="Y2685" t="str">
        <x:v>Existing Customer</x:v>
      </x:c>
    </x:row>
    <x:row r="2686">
      <x:c r="A2686" t="str">
        <x:v>O002685</x:v>
      </x:c>
      <x:c r="B2686" s="20" t="n">
        <x:v>46008</x:v>
      </x:c>
      <x:c r="C2686" t="str">
        <x:v>C0196</x:v>
      </x:c>
      <x:c r="D2686" t="str">
        <x:v>Namma Mart 196</x:v>
      </x:c>
      <x:c r="E2686" t="str">
        <x:v>Cafe</x:v>
      </x:c>
      <x:c r="F2686" t="str">
        <x:v>Mangaluru</x:v>
      </x:c>
      <x:c r="G2686" t="str">
        <x:v>Kavya</x:v>
      </x:c>
      <x:c r="H2686" t="str">
        <x:v>P045</x:v>
      </x:c>
      <x:c r="I2686" t="str">
        <x:v>Onion 25kg</x:v>
      </x:c>
      <x:c r="J2686" t="str">
        <x:v>Fresh Produce</x:v>
      </x:c>
      <x:c r="K2686" t="str">
        <x:v>Local Market</x:v>
      </x:c>
      <x:c r="L2686" s="22" t="n">
        <x:v>875</x:v>
      </x:c>
      <x:c r="M2686" t="n">
        <x:v>6</x:v>
      </x:c>
      <x:c r="N2686" s="24" t="n">
        <x:v>0</x:v>
      </x:c>
      <x:c r="O2686" s="22" t="n">
        <x:f>L2686*M2686</x:f>
        <x:v>5250</x:v>
      </x:c>
      <x:c r="P2686" s="22" t="n">
        <x:f>O2686*(1-N2686)</x:f>
        <x:v>5250</x:v>
      </x:c>
      <x:c r="Q2686" s="22" t="n">
        <x:v>760</x:v>
      </x:c>
      <x:c r="R2686" s="22" t="n">
        <x:f>Q2686*M2686</x:f>
        <x:v>4560</x:v>
      </x:c>
      <x:c r="S2686" s="22" t="n">
        <x:f>P2686-R2686</x:f>
        <x:v>690</x:v>
      </x:c>
      <x:c r="T2686" t="str">
        <x:v>Credit</x:v>
      </x:c>
      <x:c r="U2686" t="str">
        <x:v>Paid</x:v>
      </x:c>
      <x:c r="V2686" t="str">
        <x:v>Delivered</x:v>
      </x:c>
      <x:c r="W2686" t="n">
        <x:v>0</x:v>
      </x:c>
      <x:c r="X2686" t="str"/>
      <x:c r="Y2686" t="str">
        <x:v>Referral</x:v>
      </x:c>
    </x:row>
    <x:row r="2687">
      <x:c r="A2687" t="str">
        <x:v>O002686</x:v>
      </x:c>
      <x:c r="B2687" s="20" t="n">
        <x:v>46210</x:v>
      </x:c>
      <x:c r="C2687" t="str">
        <x:v>C0142</x:v>
      </x:c>
      <x:c r="D2687" t="str">
        <x:v>Darshini Mart 142</x:v>
      </x:c>
      <x:c r="E2687" t="str">
        <x:v>Cafe</x:v>
      </x:c>
      <x:c r="F2687" t="str">
        <x:v>Bengaluru</x:v>
      </x:c>
      <x:c r="G2687" t="str">
        <x:v>Megha</x:v>
      </x:c>
      <x:c r="H2687" t="str">
        <x:v>P042</x:v>
      </x:c>
      <x:c r="I2687" t="str">
        <x:v>Eggs 30pc Tray</x:v>
      </x:c>
      <x:c r="J2687" t="str">
        <x:v>Protein</x:v>
      </x:c>
      <x:c r="K2687" t="str">
        <x:v>Farm Fresh</x:v>
      </x:c>
      <x:c r="L2687" s="22" t="n">
        <x:v>195</x:v>
      </x:c>
      <x:c r="M2687" t="n">
        <x:v>7</x:v>
      </x:c>
      <x:c r="N2687" s="24" t="n">
        <x:v>0.05</x:v>
      </x:c>
      <x:c r="O2687" s="22" t="n">
        <x:f>L2687*M2687</x:f>
        <x:v>1365</x:v>
      </x:c>
      <x:c r="P2687" s="22" t="n">
        <x:f>O2687*(1-N2687)</x:f>
        <x:v>1296.75</x:v>
      </x:c>
      <x:c r="Q2687" s="22" t="n">
        <x:v>170</x:v>
      </x:c>
      <x:c r="R2687" s="22" t="n">
        <x:f>Q2687*M2687</x:f>
        <x:v>1190</x:v>
      </x:c>
      <x:c r="S2687" s="22" t="n">
        <x:f>P2687-R2687</x:f>
        <x:v>106.75</x:v>
      </x:c>
      <x:c r="T2687" t="str">
        <x:v>Bank Transfer</x:v>
      </x:c>
      <x:c r="U2687" t="str">
        <x:v>Paid</x:v>
      </x:c>
      <x:c r="V2687" t="str">
        <x:v>Cancelled</x:v>
      </x:c>
      <x:c r="W2687" t="n">
        <x:v>7</x:v>
      </x:c>
      <x:c r="X2687" t="str">
        <x:v>Cancelled Order</x:v>
      </x:c>
      <x:c r="Y2687" t="str">
        <x:v>WhatsApp</x:v>
      </x:c>
    </x:row>
    <x:row r="2688">
      <x:c r="A2688" t="str">
        <x:v>O002687</x:v>
      </x:c>
      <x:c r="B2688" s="20" t="n">
        <x:v>46207</x:v>
      </x:c>
      <x:c r="C2688" t="str">
        <x:v>C0200</x:v>
      </x:c>
      <x:c r="D2688" t="str">
        <x:v>Sagar Kitchen 200</x:v>
      </x:c>
      <x:c r="E2688" t="str">
        <x:v>Cafe</x:v>
      </x:c>
      <x:c r="F2688" t="str">
        <x:v>Bengaluru</x:v>
      </x:c>
      <x:c r="G2688" t="str">
        <x:v>Arjun</x:v>
      </x:c>
      <x:c r="H2688" t="str">
        <x:v>P007</x:v>
      </x:c>
      <x:c r="I2688" t="str">
        <x:v>Sunflower Oil 15L</x:v>
      </x:c>
      <x:c r="J2688" t="str">
        <x:v>Edible Oil</x:v>
      </x:c>
      <x:c r="K2688" t="str">
        <x:v>Fortune</x:v>
      </x:c>
      <x:c r="L2688" s="22" t="n">
        <x:v>1980</x:v>
      </x:c>
      <x:c r="M2688" t="n">
        <x:v>8</x:v>
      </x:c>
      <x:c r="N2688" s="24" t="n">
        <x:v>0.08</x:v>
      </x:c>
      <x:c r="O2688" s="22" t="n">
        <x:f>L2688*M2688</x:f>
        <x:v>15840</x:v>
      </x:c>
      <x:c r="P2688" s="22" t="n">
        <x:f>O2688*(1-N2688)</x:f>
        <x:v>14572.800000000001</x:v>
      </x:c>
      <x:c r="Q2688" s="22" t="n">
        <x:v>1810</x:v>
      </x:c>
      <x:c r="R2688" s="22" t="n">
        <x:f>Q2688*M2688</x:f>
        <x:v>14480</x:v>
      </x:c>
      <x:c r="S2688" s="22" t="n">
        <x:f>P2688-R2688</x:f>
        <x:v>92.80000000000109</x:v>
      </x:c>
      <x:c r="T2688" t="str">
        <x:v>Cash</x:v>
      </x:c>
      <x:c r="U2688" t="str">
        <x:v>Paid</x:v>
      </x:c>
      <x:c r="V2688" t="str">
        <x:v>Delivered</x:v>
      </x:c>
      <x:c r="W2688" t="n">
        <x:v>0</x:v>
      </x:c>
      <x:c r="X2688" t="str"/>
      <x:c r="Y2688" t="str">
        <x:v>Outbound Call</x:v>
      </x:c>
    </x:row>
    <x:row r="2689">
      <x:c r="A2689" t="str">
        <x:v>O002688</x:v>
      </x:c>
      <x:c r="B2689" s="20" t="n">
        <x:v>45861</x:v>
      </x:c>
      <x:c r="C2689" t="str">
        <x:v>C0134</x:v>
      </x:c>
      <x:c r="D2689" t="str">
        <x:v>Annapurna Stores 134</x:v>
      </x:c>
      <x:c r="E2689" t="str">
        <x:v>Cafe</x:v>
      </x:c>
      <x:c r="F2689" t="str">
        <x:v>Bengaluru</x:v>
      </x:c>
      <x:c r="G2689" t="str">
        <x:v>Kavya</x:v>
      </x:c>
      <x:c r="H2689" t="str">
        <x:v>P016</x:v>
      </x:c>
      <x:c r="I2689" t="str">
        <x:v>Curd 1kg</x:v>
      </x:c>
      <x:c r="J2689" t="str">
        <x:v>Dairy</x:v>
      </x:c>
      <x:c r="K2689" t="str">
        <x:v>Nandini</x:v>
      </x:c>
      <x:c r="L2689" s="22" t="n">
        <x:v>72</x:v>
      </x:c>
      <x:c r="M2689" t="n">
        <x:v>16</x:v>
      </x:c>
      <x:c r="N2689" s="24" t="n">
        <x:v>0.02</x:v>
      </x:c>
      <x:c r="O2689" s="22" t="n">
        <x:f>L2689*M2689</x:f>
        <x:v>1152</x:v>
      </x:c>
      <x:c r="P2689" s="22" t="n">
        <x:f>O2689*(1-N2689)</x:f>
        <x:v>1128.96</x:v>
      </x:c>
      <x:c r="Q2689" s="22" t="n">
        <x:v>64</x:v>
      </x:c>
      <x:c r="R2689" s="22" t="n">
        <x:f>Q2689*M2689</x:f>
        <x:v>1024</x:v>
      </x:c>
      <x:c r="S2689" s="22" t="n">
        <x:f>P2689-R2689</x:f>
        <x:v>104.96000000000004</x:v>
      </x:c>
      <x:c r="T2689" t="str">
        <x:v>UPI</x:v>
      </x:c>
      <x:c r="U2689" t="str">
        <x:v>Pending</x:v>
      </x:c>
      <x:c r="V2689" t="str">
        <x:v>Delivered</x:v>
      </x:c>
      <x:c r="W2689" t="n">
        <x:v>0</x:v>
      </x:c>
      <x:c r="X2689" t="str"/>
      <x:c r="Y2689" t="str">
        <x:v>Referral</x:v>
      </x:c>
    </x:row>
    <x:row r="2690">
      <x:c r="A2690" t="str">
        <x:v>O002689</x:v>
      </x:c>
      <x:c r="B2690" s="20" t="n">
        <x:v>45669</x:v>
      </x:c>
      <x:c r="C2690" t="str">
        <x:v>C0234</x:v>
      </x:c>
      <x:c r="D2690" t="str">
        <x:v>Metro Canteen 234</x:v>
      </x:c>
      <x:c r="E2690" t="str">
        <x:v>Restaurant</x:v>
      </x:c>
      <x:c r="F2690" t="str">
        <x:v>Davanagere</x:v>
      </x:c>
      <x:c r="G2690" t="str">
        <x:v>Priya</x:v>
      </x:c>
      <x:c r="H2690" t="str">
        <x:v>P025</x:v>
      </x:c>
      <x:c r="I2690" t="str">
        <x:v>Potato Chips 100g</x:v>
      </x:c>
      <x:c r="J2690" t="str">
        <x:v>Snacks</x:v>
      </x:c>
      <x:c r="K2690" t="str">
        <x:v>Lay's</x:v>
      </x:c>
      <x:c r="L2690" s="22" t="n">
        <x:v>35</x:v>
      </x:c>
      <x:c r="M2690" t="n">
        <x:v>13</x:v>
      </x:c>
      <x:c r="N2690" s="24" t="n">
        <x:v>0</x:v>
      </x:c>
      <x:c r="O2690" s="22" t="n">
        <x:f>L2690*M2690</x:f>
        <x:v>455</x:v>
      </x:c>
      <x:c r="P2690" s="22" t="n">
        <x:f>O2690*(1-N2690)</x:f>
        <x:v>455</x:v>
      </x:c>
      <x:c r="Q2690" s="22" t="n">
        <x:v>27</x:v>
      </x:c>
      <x:c r="R2690" s="22" t="n">
        <x:f>Q2690*M2690</x:f>
        <x:v>351</x:v>
      </x:c>
      <x:c r="S2690" s="22" t="n">
        <x:f>P2690-R2690</x:f>
        <x:v>104</x:v>
      </x:c>
      <x:c r="T2690" t="str">
        <x:v>Credit</x:v>
      </x:c>
      <x:c r="U2690" t="str">
        <x:v>Pending</x:v>
      </x:c>
      <x:c r="V2690" t="str">
        <x:v>Delivered</x:v>
      </x:c>
      <x:c r="W2690" t="n">
        <x:v>0</x:v>
      </x:c>
      <x:c r="X2690" t="str"/>
      <x:c r="Y2690" t="str">
        <x:v>WhatsApp</x:v>
      </x:c>
    </x:row>
    <x:row r="2691">
      <x:c r="A2691" t="str">
        <x:v>O002690</x:v>
      </x:c>
      <x:c r="B2691" s="20" t="n">
        <x:v>46244</x:v>
      </x:c>
      <x:c r="C2691" t="str">
        <x:v>C0012</x:v>
      </x:c>
      <x:c r="D2691" t="str">
        <x:v>Sagar Canteen 12</x:v>
      </x:c>
      <x:c r="E2691" t="str">
        <x:v>Supermarket</x:v>
      </x:c>
      <x:c r="F2691" t="str">
        <x:v>Mysuru</x:v>
      </x:c>
      <x:c r="G2691" t="str">
        <x:v>Priya</x:v>
      </x:c>
      <x:c r="H2691" t="str">
        <x:v>P047</x:v>
      </x:c>
      <x:c r="I2691" t="str">
        <x:v>Tomato 25kg</x:v>
      </x:c>
      <x:c r="J2691" t="str">
        <x:v>Fresh Produce</x:v>
      </x:c>
      <x:c r="K2691" t="str">
        <x:v>Local Market</x:v>
      </x:c>
      <x:c r="L2691" s="22" t="n">
        <x:v>950</x:v>
      </x:c>
      <x:c r="M2691" t="n">
        <x:v>1</x:v>
      </x:c>
      <x:c r="N2691" s="24" t="n">
        <x:v>0.1</x:v>
      </x:c>
      <x:c r="O2691" s="22" t="n">
        <x:f>L2691*M2691</x:f>
        <x:v>950</x:v>
      </x:c>
      <x:c r="P2691" s="22" t="n">
        <x:f>O2691*(1-N2691)</x:f>
        <x:v>855</x:v>
      </x:c>
      <x:c r="Q2691" s="22" t="n">
        <x:v>810</x:v>
      </x:c>
      <x:c r="R2691" s="22" t="n">
        <x:f>Q2691*M2691</x:f>
        <x:v>810</x:v>
      </x:c>
      <x:c r="S2691" s="22" t="n">
        <x:f>P2691-R2691</x:f>
        <x:v>45</x:v>
      </x:c>
      <x:c r="T2691" t="str">
        <x:v>Credit</x:v>
      </x:c>
      <x:c r="U2691" t="str">
        <x:v>Paid</x:v>
      </x:c>
      <x:c r="V2691" t="str">
        <x:v>Delayed</x:v>
      </x:c>
      <x:c r="W2691" t="n">
        <x:v>0</x:v>
      </x:c>
      <x:c r="X2691" t="str"/>
      <x:c r="Y2691" t="str">
        <x:v>Referral</x:v>
      </x:c>
    </x:row>
    <x:row r="2692">
      <x:c r="A2692" t="str">
        <x:v>O002691</x:v>
      </x:c>
      <x:c r="B2692" s="20" t="n">
        <x:v>46276</x:v>
      </x:c>
      <x:c r="C2692" t="str">
        <x:v>C0097</x:v>
      </x:c>
      <x:c r="D2692" t="str">
        <x:v>Classic Stores 97</x:v>
      </x:c>
      <x:c r="E2692" t="str">
        <x:v>Restaurant</x:v>
      </x:c>
      <x:c r="F2692" t="str">
        <x:v>Davanagere</x:v>
      </x:c>
      <x:c r="G2692" t="str">
        <x:v>Priya</x:v>
      </x:c>
      <x:c r="H2692" t="str">
        <x:v>P010</x:v>
      </x:c>
      <x:c r="I2692" t="str">
        <x:v>Sugar 25kg</x:v>
      </x:c>
      <x:c r="J2692" t="str">
        <x:v>Staples</x:v>
      </x:c>
      <x:c r="K2692" t="str">
        <x:v>Madhur</x:v>
      </x:c>
      <x:c r="L2692" s="22" t="n">
        <x:v>1190</x:v>
      </x:c>
      <x:c r="M2692" t="n">
        <x:v>1</x:v>
      </x:c>
      <x:c r="N2692" s="24" t="n">
        <x:v>0.03</x:v>
      </x:c>
      <x:c r="O2692" s="22" t="n">
        <x:f>L2692*M2692</x:f>
        <x:v>1190</x:v>
      </x:c>
      <x:c r="P2692" s="22" t="n">
        <x:f>O2692*(1-N2692)</x:f>
        <x:v>1154.3</x:v>
      </x:c>
      <x:c r="Q2692" s="22" t="n">
        <x:v>1080</x:v>
      </x:c>
      <x:c r="R2692" s="22" t="n">
        <x:f>Q2692*M2692</x:f>
        <x:v>1080</x:v>
      </x:c>
      <x:c r="S2692" s="22" t="n">
        <x:f>P2692-R2692</x:f>
        <x:v>74.29999999999995</x:v>
      </x:c>
      <x:c r="T2692" t="str">
        <x:v>Credit</x:v>
      </x:c>
      <x:c r="U2692" t="str">
        <x:v>Paid</x:v>
      </x:c>
      <x:c r="V2692" t="str">
        <x:v>Delivered</x:v>
      </x:c>
      <x:c r="W2692" t="n">
        <x:v>0</x:v>
      </x:c>
      <x:c r="X2692" t="str"/>
      <x:c r="Y2692" t="str">
        <x:v>Referral</x:v>
      </x:c>
    </x:row>
    <x:row r="2693">
      <x:c r="A2693" t="str">
        <x:v>O002692</x:v>
      </x:c>
      <x:c r="B2693" s="20" t="n">
        <x:v>45700</x:v>
      </x:c>
      <x:c r="C2693" t="str">
        <x:v>C0128</x:v>
      </x:c>
      <x:c r="D2693" t="str">
        <x:v>Fresh Hotel 128</x:v>
      </x:c>
      <x:c r="E2693" t="str">
        <x:v>Kirana</x:v>
      </x:c>
      <x:c r="F2693" t="str">
        <x:v>Tumakuru</x:v>
      </x:c>
      <x:c r="G2693" t="str">
        <x:v>Priya</x:v>
      </x:c>
      <x:c r="H2693" t="str">
        <x:v>P010</x:v>
      </x:c>
      <x:c r="I2693" t="str">
        <x:v>Sugar 25kg</x:v>
      </x:c>
      <x:c r="J2693" t="str">
        <x:v>Staples</x:v>
      </x:c>
      <x:c r="K2693" t="str">
        <x:v>Madhur</x:v>
      </x:c>
      <x:c r="L2693" s="22" t="n">
        <x:v>1190</x:v>
      </x:c>
      <x:c r="M2693" t="n">
        <x:v>9</x:v>
      </x:c>
      <x:c r="N2693" s="24" t="n">
        <x:v>0.03</x:v>
      </x:c>
      <x:c r="O2693" s="22" t="n">
        <x:f>L2693*M2693</x:f>
        <x:v>10710</x:v>
      </x:c>
      <x:c r="P2693" s="22" t="n">
        <x:f>O2693*(1-N2693)</x:f>
        <x:v>10388.699999999999</x:v>
      </x:c>
      <x:c r="Q2693" s="22" t="n">
        <x:v>1080</x:v>
      </x:c>
      <x:c r="R2693" s="22" t="n">
        <x:f>Q2693*M2693</x:f>
        <x:v>9720</x:v>
      </x:c>
      <x:c r="S2693" s="22" t="n">
        <x:f>P2693-R2693</x:f>
        <x:v>668.6999999999989</x:v>
      </x:c>
      <x:c r="T2693" t="str">
        <x:v>Credit</x:v>
      </x:c>
      <x:c r="U2693" t="str">
        <x:v>Paid</x:v>
      </x:c>
      <x:c r="V2693" t="str">
        <x:v>Cancelled</x:v>
      </x:c>
      <x:c r="W2693" t="n">
        <x:v>9</x:v>
      </x:c>
      <x:c r="X2693" t="str">
        <x:v>Cancelled Order</x:v>
      </x:c>
      <x:c r="Y2693" t="str">
        <x:v>Field Visit</x:v>
      </x:c>
    </x:row>
    <x:row r="2694">
      <x:c r="A2694" t="str">
        <x:v>O002693</x:v>
      </x:c>
      <x:c r="B2694" s="20" t="n">
        <x:v>45885</x:v>
      </x:c>
      <x:c r="C2694" t="str">
        <x:v>C0100</x:v>
      </x:c>
      <x:c r="D2694" t="str">
        <x:v>Fresh Mart 100</x:v>
      </x:c>
      <x:c r="E2694" t="str">
        <x:v>Restaurant</x:v>
      </x:c>
      <x:c r="F2694" t="str">
        <x:v>Mysuru</x:v>
      </x:c>
      <x:c r="G2694" t="str">
        <x:v>Imran</x:v>
      </x:c>
      <x:c r="H2694" t="str">
        <x:v>P037</x:v>
      </x:c>
      <x:c r="I2694" t="str">
        <x:v>Frozen Peas 1kg</x:v>
      </x:c>
      <x:c r="J2694" t="str">
        <x:v>Frozen</x:v>
      </x:c>
      <x:c r="K2694" t="str">
        <x:v>Safal</x:v>
      </x:c>
      <x:c r="L2694" s="22" t="n">
        <x:v>155</x:v>
      </x:c>
      <x:c r="M2694" t="n">
        <x:v>3</x:v>
      </x:c>
      <x:c r="N2694" s="24" t="n">
        <x:v>0</x:v>
      </x:c>
      <x:c r="O2694" s="22" t="n">
        <x:f>L2694*M2694</x:f>
        <x:v>465</x:v>
      </x:c>
      <x:c r="P2694" s="22" t="n">
        <x:f>O2694*(1-N2694)</x:f>
        <x:v>465</x:v>
      </x:c>
      <x:c r="Q2694" s="22" t="n">
        <x:v>138</x:v>
      </x:c>
      <x:c r="R2694" s="22" t="n">
        <x:f>Q2694*M2694</x:f>
        <x:v>414</x:v>
      </x:c>
      <x:c r="S2694" s="22" t="n">
        <x:f>P2694-R2694</x:f>
        <x:v>51</x:v>
      </x:c>
      <x:c r="T2694" t="str">
        <x:v>Bank Transfer</x:v>
      </x:c>
      <x:c r="U2694" t="str">
        <x:v>Paid</x:v>
      </x:c>
      <x:c r="V2694" t="str">
        <x:v>Delivered</x:v>
      </x:c>
      <x:c r="W2694" t="n">
        <x:v>0</x:v>
      </x:c>
      <x:c r="X2694" t="str"/>
      <x:c r="Y2694" t="str">
        <x:v>WhatsApp</x:v>
      </x:c>
    </x:row>
    <x:row r="2695">
      <x:c r="A2695" t="str">
        <x:v>O002694</x:v>
      </x:c>
      <x:c r="B2695" s="20" t="n">
        <x:v>45963</x:v>
      </x:c>
      <x:c r="C2695" t="str">
        <x:v>C0110</x:v>
      </x:c>
      <x:c r="D2695" t="str">
        <x:v>Metro Restaurant 110</x:v>
      </x:c>
      <x:c r="E2695" t="str">
        <x:v>Hotel</x:v>
      </x:c>
      <x:c r="F2695" t="str">
        <x:v>Mysuru</x:v>
      </x:c>
      <x:c r="G2695" t="str">
        <x:v>Imran</x:v>
      </x:c>
      <x:c r="H2695" t="str">
        <x:v>P030</x:v>
      </x:c>
      <x:c r="I2695" t="str">
        <x:v>Mayonnaise 1kg</x:v>
      </x:c>
      <x:c r="J2695" t="str">
        <x:v>Condiments</x:v>
      </x:c>
      <x:c r="K2695" t="str">
        <x:v>Veeba</x:v>
      </x:c>
      <x:c r="L2695" s="22" t="n">
        <x:v>210</x:v>
      </x:c>
      <x:c r="M2695" t="n">
        <x:v>7</x:v>
      </x:c>
      <x:c r="N2695" s="24" t="n">
        <x:v>0.03</x:v>
      </x:c>
      <x:c r="O2695" s="22" t="n">
        <x:f>L2695*M2695</x:f>
        <x:v>1470</x:v>
      </x:c>
      <x:c r="P2695" s="22" t="n">
        <x:f>O2695*(1-N2695)</x:f>
        <x:v>1425.8999999999999</x:v>
      </x:c>
      <x:c r="Q2695" s="22" t="n">
        <x:v>185</x:v>
      </x:c>
      <x:c r="R2695" s="22" t="n">
        <x:f>Q2695*M2695</x:f>
        <x:v>1295</x:v>
      </x:c>
      <x:c r="S2695" s="22" t="n">
        <x:f>P2695-R2695</x:f>
        <x:v>130.89999999999986</x:v>
      </x:c>
      <x:c r="T2695" t="str">
        <x:v>UPI</x:v>
      </x:c>
      <x:c r="U2695" t="str">
        <x:v>Paid</x:v>
      </x:c>
      <x:c r="V2695" t="str">
        <x:v>Delivered</x:v>
      </x:c>
      <x:c r="W2695" t="n">
        <x:v>0</x:v>
      </x:c>
      <x:c r="X2695" t="str"/>
      <x:c r="Y2695" t="str">
        <x:v>Referral</x:v>
      </x:c>
    </x:row>
    <x:row r="2696">
      <x:c r="A2696" t="str">
        <x:v>O002695</x:v>
      </x:c>
      <x:c r="B2696" s="20" t="n">
        <x:v>45914</x:v>
      </x:c>
      <x:c r="C2696" t="str">
        <x:v>C0006</x:v>
      </x:c>
      <x:c r="D2696" t="str">
        <x:v>New Restaurant 6</x:v>
      </x:c>
      <x:c r="E2696" t="str">
        <x:v>Kirana</x:v>
      </x:c>
      <x:c r="F2696" t="str">
        <x:v>Hubballi</x:v>
      </x:c>
      <x:c r="G2696" t="str">
        <x:v>Vikram</x:v>
      </x:c>
      <x:c r="H2696" t="str">
        <x:v>P025</x:v>
      </x:c>
      <x:c r="I2696" t="str">
        <x:v>Potato Chips 100g</x:v>
      </x:c>
      <x:c r="J2696" t="str">
        <x:v>Snacks</x:v>
      </x:c>
      <x:c r="K2696" t="str">
        <x:v>Lay's</x:v>
      </x:c>
      <x:c r="L2696" s="22" t="n">
        <x:v>35</x:v>
      </x:c>
      <x:c r="M2696" t="n">
        <x:v>37</x:v>
      </x:c>
      <x:c r="N2696" s="24" t="n">
        <x:v>0</x:v>
      </x:c>
      <x:c r="O2696" s="22" t="n">
        <x:f>L2696*M2696</x:f>
        <x:v>1295</x:v>
      </x:c>
      <x:c r="P2696" s="22" t="n">
        <x:f>O2696*(1-N2696)</x:f>
        <x:v>1295</x:v>
      </x:c>
      <x:c r="Q2696" s="22" t="n">
        <x:v>27</x:v>
      </x:c>
      <x:c r="R2696" s="22" t="n">
        <x:f>Q2696*M2696</x:f>
        <x:v>999</x:v>
      </x:c>
      <x:c r="S2696" s="22" t="n">
        <x:f>P2696-R2696</x:f>
        <x:v>296</x:v>
      </x:c>
      <x:c r="T2696" t="str">
        <x:v>Credit</x:v>
      </x:c>
      <x:c r="U2696" t="str">
        <x:v>Paid</x:v>
      </x:c>
      <x:c r="V2696" t="str">
        <x:v>Delivered</x:v>
      </x:c>
      <x:c r="W2696" t="n">
        <x:v>0</x:v>
      </x:c>
      <x:c r="X2696" t="str"/>
      <x:c r="Y2696" t="str">
        <x:v>Field Visit</x:v>
      </x:c>
    </x:row>
    <x:row r="2697">
      <x:c r="A2697" t="str">
        <x:v>O002696</x:v>
      </x:c>
      <x:c r="B2697" s="20" t="n">
        <x:v>46268</x:v>
      </x:c>
      <x:c r="C2697" t="str">
        <x:v>C0030</x:v>
      </x:c>
      <x:c r="D2697" t="str">
        <x:v>Hotel Restaurant 30</x:v>
      </x:c>
      <x:c r="E2697" t="str">
        <x:v>Restaurant</x:v>
      </x:c>
      <x:c r="F2697" t="str">
        <x:v>Bengaluru</x:v>
      </x:c>
      <x:c r="G2697" t="str">
        <x:v>Imran</x:v>
      </x:c>
      <x:c r="H2697" t="str">
        <x:v>P046</x:v>
      </x:c>
      <x:c r="I2697" t="str">
        <x:v>Potato 25kg</x:v>
      </x:c>
      <x:c r="J2697" t="str">
        <x:v>Fresh Produce</x:v>
      </x:c>
      <x:c r="K2697" t="str">
        <x:v>Local Market</x:v>
      </x:c>
      <x:c r="L2697" s="22" t="n">
        <x:v>700</x:v>
      </x:c>
      <x:c r="M2697" t="n">
        <x:v>29</x:v>
      </x:c>
      <x:c r="N2697" s="24" t="n">
        <x:v>0.05</x:v>
      </x:c>
      <x:c r="O2697" s="22" t="n">
        <x:f>L2697*M2697</x:f>
        <x:v>20300</x:v>
      </x:c>
      <x:c r="P2697" s="22" t="n">
        <x:f>O2697*(1-N2697)</x:f>
        <x:v>19285</x:v>
      </x:c>
      <x:c r="Q2697" s="22" t="n">
        <x:v>610</x:v>
      </x:c>
      <x:c r="R2697" s="22" t="n">
        <x:f>Q2697*M2697</x:f>
        <x:v>17690</x:v>
      </x:c>
      <x:c r="S2697" s="22" t="n">
        <x:f>P2697-R2697</x:f>
        <x:v>1595</x:v>
      </x:c>
      <x:c r="T2697" t="str">
        <x:v>UPI</x:v>
      </x:c>
      <x:c r="U2697" t="str">
        <x:v>Paid</x:v>
      </x:c>
      <x:c r="V2697" t="str">
        <x:v>Cancelled</x:v>
      </x:c>
      <x:c r="W2697" t="n">
        <x:v>29</x:v>
      </x:c>
      <x:c r="X2697" t="str">
        <x:v>Cancelled Order</x:v>
      </x:c>
      <x:c r="Y2697" t="str">
        <x:v>Field Visit</x:v>
      </x:c>
    </x:row>
    <x:row r="2698">
      <x:c r="A2698" t="str">
        <x:v>O002697</x:v>
      </x:c>
      <x:c r="B2698" s="20" t="n">
        <x:v>46064</x:v>
      </x:c>
      <x:c r="C2698" t="str">
        <x:v>C0026</x:v>
      </x:c>
      <x:c r="D2698" t="str">
        <x:v>Cafe Kitchen 26</x:v>
      </x:c>
      <x:c r="E2698" t="str">
        <x:v>Kirana</x:v>
      </x:c>
      <x:c r="F2698" t="str">
        <x:v>Davanagere</x:v>
      </x:c>
      <x:c r="G2698" t="str">
        <x:v>Kavya</x:v>
      </x:c>
      <x:c r="H2698" t="str">
        <x:v>P013</x:v>
      </x:c>
      <x:c r="I2698" t="str">
        <x:v>Atta 10kg</x:v>
      </x:c>
      <x:c r="J2698" t="str">
        <x:v>Flour</x:v>
      </x:c>
      <x:c r="K2698" t="str">
        <x:v>Aashirvaad</x:v>
      </x:c>
      <x:c r="L2698" s="22" t="n">
        <x:v>560</x:v>
      </x:c>
      <x:c r="M2698" t="n">
        <x:v>35</x:v>
      </x:c>
      <x:c r="N2698" s="24" t="n">
        <x:v>0</x:v>
      </x:c>
      <x:c r="O2698" s="22" t="n">
        <x:f>L2698*M2698</x:f>
        <x:v>19600</x:v>
      </x:c>
      <x:c r="P2698" s="22" t="n">
        <x:f>O2698*(1-N2698)</x:f>
        <x:v>19600</x:v>
      </x:c>
      <x:c r="Q2698" s="22" t="n">
        <x:v>495</x:v>
      </x:c>
      <x:c r="R2698" s="22" t="n">
        <x:f>Q2698*M2698</x:f>
        <x:v>17325</x:v>
      </x:c>
      <x:c r="S2698" s="22" t="n">
        <x:f>P2698-R2698</x:f>
        <x:v>2275</x:v>
      </x:c>
      <x:c r="T2698" t="str">
        <x:v>Credit</x:v>
      </x:c>
      <x:c r="U2698" t="str">
        <x:v>Paid</x:v>
      </x:c>
      <x:c r="V2698" t="str">
        <x:v>Delivered</x:v>
      </x:c>
      <x:c r="W2698" t="n">
        <x:v>0</x:v>
      </x:c>
      <x:c r="X2698" t="str"/>
      <x:c r="Y2698" t="str">
        <x:v>Referral</x:v>
      </x:c>
    </x:row>
    <x:row r="2699">
      <x:c r="A2699" t="str">
        <x:v>O002698</x:v>
      </x:c>
      <x:c r="B2699" s="20" t="n">
        <x:v>45726</x:v>
      </x:c>
      <x:c r="C2699" t="str">
        <x:v>C0086</x:v>
      </x:c>
      <x:c r="D2699" t="str">
        <x:v>Foodie Canteen 86</x:v>
      </x:c>
      <x:c r="E2699" t="str">
        <x:v>Kirana</x:v>
      </x:c>
      <x:c r="F2699" t="str">
        <x:v>Hubballi</x:v>
      </x:c>
      <x:c r="G2699" t="str">
        <x:v>Sneha</x:v>
      </x:c>
      <x:c r="H2699" t="str">
        <x:v>P016</x:v>
      </x:c>
      <x:c r="I2699" t="str">
        <x:v>Curd 1kg</x:v>
      </x:c>
      <x:c r="J2699" t="str">
        <x:v>Dairy</x:v>
      </x:c>
      <x:c r="K2699" t="str">
        <x:v>Nandini</x:v>
      </x:c>
      <x:c r="L2699" s="22" t="n">
        <x:v>72</x:v>
      </x:c>
      <x:c r="M2699" t="n">
        <x:v>39</x:v>
      </x:c>
      <x:c r="N2699" s="24" t="n">
        <x:v>0</x:v>
      </x:c>
      <x:c r="O2699" s="22" t="n">
        <x:f>L2699*M2699</x:f>
        <x:v>2808</x:v>
      </x:c>
      <x:c r="P2699" s="22" t="n">
        <x:f>O2699*(1-N2699)</x:f>
        <x:v>2808</x:v>
      </x:c>
      <x:c r="Q2699" s="22" t="n">
        <x:v>64</x:v>
      </x:c>
      <x:c r="R2699" s="22" t="n">
        <x:f>Q2699*M2699</x:f>
        <x:v>2496</x:v>
      </x:c>
      <x:c r="S2699" s="22" t="n">
        <x:f>P2699-R2699</x:f>
        <x:v>312</x:v>
      </x:c>
      <x:c r="T2699" t="str">
        <x:v>Credit</x:v>
      </x:c>
      <x:c r="U2699" t="str">
        <x:v>Pending</x:v>
      </x:c>
      <x:c r="V2699" t="str">
        <x:v>Delivered</x:v>
      </x:c>
      <x:c r="W2699" t="n">
        <x:v>0</x:v>
      </x:c>
      <x:c r="X2699" t="str"/>
      <x:c r="Y2699" t="str">
        <x:v>WhatsApp</x:v>
      </x:c>
    </x:row>
    <x:row r="2700">
      <x:c r="A2700" t="str">
        <x:v>O002699</x:v>
      </x:c>
      <x:c r="B2700" s="20" t="n">
        <x:v>45773</x:v>
      </x:c>
      <x:c r="C2700" t="str">
        <x:v>C0036</x:v>
      </x:c>
      <x:c r="D2700" t="str">
        <x:v>Grand Hotel 36</x:v>
      </x:c>
      <x:c r="E2700" t="str">
        <x:v>Canteen</x:v>
      </x:c>
      <x:c r="F2700" t="str">
        <x:v>Tumakuru</x:v>
      </x:c>
      <x:c r="G2700" t="str">
        <x:v>Kavya</x:v>
      </x:c>
      <x:c r="H2700" t="str">
        <x:v>P012</x:v>
      </x:c>
      <x:c r="I2700" t="str">
        <x:v>Maida 10kg</x:v>
      </x:c>
      <x:c r="J2700" t="str">
        <x:v>Flour</x:v>
      </x:c>
      <x:c r="K2700" t="str">
        <x:v>Aashirvaad</x:v>
      </x:c>
      <x:c r="L2700" s="22" t="n">
        <x:v>520</x:v>
      </x:c>
      <x:c r="M2700" t="n">
        <x:v>28</x:v>
      </x:c>
      <x:c r="N2700" s="24" t="n">
        <x:v>0.03</x:v>
      </x:c>
      <x:c r="O2700" s="22" t="n">
        <x:f>L2700*M2700</x:f>
        <x:v>14560</x:v>
      </x:c>
      <x:c r="P2700" s="22" t="n">
        <x:f>O2700*(1-N2700)</x:f>
        <x:v>14123.199999999999</x:v>
      </x:c>
      <x:c r="Q2700" s="22" t="n">
        <x:v>460</x:v>
      </x:c>
      <x:c r="R2700" s="22" t="n">
        <x:f>Q2700*M2700</x:f>
        <x:v>12880</x:v>
      </x:c>
      <x:c r="S2700" s="22" t="n">
        <x:f>P2700-R2700</x:f>
        <x:v>1243.199999999999</x:v>
      </x:c>
      <x:c r="T2700" t="str">
        <x:v>UPI</x:v>
      </x:c>
      <x:c r="U2700" t="str">
        <x:v>Paid</x:v>
      </x:c>
      <x:c r="V2700" t="str">
        <x:v>Delayed</x:v>
      </x:c>
      <x:c r="W2700" t="n">
        <x:v>0</x:v>
      </x:c>
      <x:c r="X2700" t="str"/>
      <x:c r="Y2700" t="str">
        <x:v>WhatsApp</x:v>
      </x:c>
    </x:row>
    <x:row r="2701">
      <x:c r="A2701" t="str">
        <x:v>O002700</x:v>
      </x:c>
      <x:c r="B2701" s="20" t="n">
        <x:v>45668</x:v>
      </x:c>
      <x:c r="C2701" t="str">
        <x:v>C0071</x:v>
      </x:c>
      <x:c r="D2701" t="str">
        <x:v>Shree Restaurant 71</x:v>
      </x:c>
      <x:c r="E2701" t="str">
        <x:v>Cafe</x:v>
      </x:c>
      <x:c r="F2701" t="str">
        <x:v>Tumakuru</x:v>
      </x:c>
      <x:c r="G2701" t="str">
        <x:v>Sneha</x:v>
      </x:c>
      <x:c r="H2701" t="str">
        <x:v>P033</x:v>
      </x:c>
      <x:c r="I2701" t="str">
        <x:v>Turmeric Powder 1kg</x:v>
      </x:c>
      <x:c r="J2701" t="str">
        <x:v>Spices</x:v>
      </x:c>
      <x:c r="K2701" t="str">
        <x:v>Everest</x:v>
      </x:c>
      <x:c r="L2701" s="22" t="n">
        <x:v>310</x:v>
      </x:c>
      <x:c r="M2701" t="n">
        <x:v>10</x:v>
      </x:c>
      <x:c r="N2701" s="24" t="n">
        <x:v>0.08</x:v>
      </x:c>
      <x:c r="O2701" s="22" t="n">
        <x:f>L2701*M2701</x:f>
        <x:v>3100</x:v>
      </x:c>
      <x:c r="P2701" s="22" t="n">
        <x:f>O2701*(1-N2701)</x:f>
        <x:v>2852</x:v>
      </x:c>
      <x:c r="Q2701" s="22" t="n">
        <x:v>270</x:v>
      </x:c>
      <x:c r="R2701" s="22" t="n">
        <x:f>Q2701*M2701</x:f>
        <x:v>2700</x:v>
      </x:c>
      <x:c r="S2701" s="22" t="n">
        <x:f>P2701-R2701</x:f>
        <x:v>152</x:v>
      </x:c>
      <x:c r="T2701" t="str">
        <x:v>Bank Transfer</x:v>
      </x:c>
      <x:c r="U2701" t="str">
        <x:v>Paid</x:v>
      </x:c>
      <x:c r="V2701" t="str">
        <x:v>Delivered</x:v>
      </x:c>
      <x:c r="W2701" t="n">
        <x:v>0</x:v>
      </x:c>
      <x:c r="X2701" t="str"/>
      <x:c r="Y2701" t="str">
        <x:v>Existing Customer</x:v>
      </x:c>
    </x:row>
    <x:row r="2702">
      <x:c r="A2702" t="str">
        <x:v>O002701</x:v>
      </x:c>
      <x:c r="B2702" s="20" t="n">
        <x:v>45742</x:v>
      </x:c>
      <x:c r="C2702" t="str">
        <x:v>C0050</x:v>
      </x:c>
      <x:c r="D2702" t="str">
        <x:v>Green Stores 50</x:v>
      </x:c>
      <x:c r="E2702" t="str">
        <x:v>Restaurant</x:v>
      </x:c>
      <x:c r="F2702" t="str">
        <x:v>Davanagere</x:v>
      </x:c>
      <x:c r="G2702" t="str">
        <x:v>Vikram</x:v>
      </x:c>
      <x:c r="H2702" t="str">
        <x:v>P044</x:v>
      </x:c>
      <x:c r="I2702" t="str">
        <x:v>Chicken Curry Cut 1kg</x:v>
      </x:c>
      <x:c r="J2702" t="str">
        <x:v>Protein</x:v>
      </x:c>
      <x:c r="K2702" t="str">
        <x:v>FreshToHome</x:v>
      </x:c>
      <x:c r="L2702" s="22" t="n">
        <x:v>230</x:v>
      </x:c>
      <x:c r="M2702" t="n">
        <x:v>1</x:v>
      </x:c>
      <x:c r="N2702" s="24" t="n">
        <x:v>0.03</x:v>
      </x:c>
      <x:c r="O2702" s="22" t="n">
        <x:f>L2702*M2702</x:f>
        <x:v>230</x:v>
      </x:c>
      <x:c r="P2702" s="22" t="n">
        <x:f>O2702*(1-N2702)</x:f>
        <x:v>223.1</x:v>
      </x:c>
      <x:c r="Q2702" s="22" t="n">
        <x:v>205</x:v>
      </x:c>
      <x:c r="R2702" s="22" t="n">
        <x:f>Q2702*M2702</x:f>
        <x:v>205</x:v>
      </x:c>
      <x:c r="S2702" s="22" t="n">
        <x:f>P2702-R2702</x:f>
        <x:v>18.099999999999994</x:v>
      </x:c>
      <x:c r="T2702" t="str">
        <x:v>Credit</x:v>
      </x:c>
      <x:c r="U2702" t="str">
        <x:v>Paid</x:v>
      </x:c>
      <x:c r="V2702" t="str">
        <x:v>Delivered</x:v>
      </x:c>
      <x:c r="W2702" t="n">
        <x:v>0</x:v>
      </x:c>
      <x:c r="X2702" t="str"/>
      <x:c r="Y2702" t="str">
        <x:v>WhatsApp</x:v>
      </x:c>
    </x:row>
    <x:row r="2703">
      <x:c r="A2703" t="str">
        <x:v>O002702</x:v>
      </x:c>
      <x:c r="B2703" s="20" t="n">
        <x:v>46044</x:v>
      </x:c>
      <x:c r="C2703" t="str">
        <x:v>C0236</x:v>
      </x:c>
      <x:c r="D2703" t="str">
        <x:v>Foodie Stores 236</x:v>
      </x:c>
      <x:c r="E2703" t="str">
        <x:v>Kirana</x:v>
      </x:c>
      <x:c r="F2703" t="str">
        <x:v>Bengaluru</x:v>
      </x:c>
      <x:c r="G2703" t="str">
        <x:v>Ramesh</x:v>
      </x:c>
      <x:c r="H2703" t="str">
        <x:v>P017</x:v>
      </x:c>
      <x:c r="I2703" t="str">
        <x:v>Butter 500g</x:v>
      </x:c>
      <x:c r="J2703" t="str">
        <x:v>Dairy</x:v>
      </x:c>
      <x:c r="K2703" t="str">
        <x:v>Amul</x:v>
      </x:c>
      <x:c r="L2703" s="22" t="n">
        <x:v>285</x:v>
      </x:c>
      <x:c r="M2703" t="n">
        <x:v>37</x:v>
      </x:c>
      <x:c r="N2703" s="24" t="n">
        <x:v>0</x:v>
      </x:c>
      <x:c r="O2703" s="22" t="n">
        <x:f>L2703*M2703</x:f>
        <x:v>10545</x:v>
      </x:c>
      <x:c r="P2703" s="22" t="n">
        <x:f>O2703*(1-N2703)</x:f>
        <x:v>10545</x:v>
      </x:c>
      <x:c r="Q2703" s="22" t="n">
        <x:v>258</x:v>
      </x:c>
      <x:c r="R2703" s="22" t="n">
        <x:f>Q2703*M2703</x:f>
        <x:v>9546</x:v>
      </x:c>
      <x:c r="S2703" s="22" t="n">
        <x:f>P2703-R2703</x:f>
        <x:v>999</x:v>
      </x:c>
      <x:c r="T2703" t="str">
        <x:v>Cash</x:v>
      </x:c>
      <x:c r="U2703" t="str">
        <x:v>Paid</x:v>
      </x:c>
      <x:c r="V2703" t="str">
        <x:v>Delivered</x:v>
      </x:c>
      <x:c r="W2703" t="n">
        <x:v>0</x:v>
      </x:c>
      <x:c r="X2703" t="str"/>
      <x:c r="Y2703" t="str">
        <x:v>Field Visit</x:v>
      </x:c>
    </x:row>
    <x:row r="2704">
      <x:c r="A2704" t="str">
        <x:v>O002703</x:v>
      </x:c>
      <x:c r="B2704" s="20" t="n">
        <x:v>45748</x:v>
      </x:c>
      <x:c r="C2704" t="str">
        <x:v>C0207</x:v>
      </x:c>
      <x:c r="D2704" t="str">
        <x:v>Hotel Stores 207</x:v>
      </x:c>
      <x:c r="E2704" t="str">
        <x:v>Restaurant</x:v>
      </x:c>
      <x:c r="F2704" t="str">
        <x:v>Hubballi</x:v>
      </x:c>
      <x:c r="G2704" t="str">
        <x:v>Ramesh</x:v>
      </x:c>
      <x:c r="H2704" t="str">
        <x:v>P049</x:v>
      </x:c>
      <x:c r="I2704" t="str">
        <x:v>Apple 10kg</x:v>
      </x:c>
      <x:c r="J2704" t="str">
        <x:v>Fresh Produce</x:v>
      </x:c>
      <x:c r="K2704" t="str">
        <x:v>Local Market</x:v>
      </x:c>
      <x:c r="L2704" s="22" t="n">
        <x:v>1450</x:v>
      </x:c>
      <x:c r="M2704" t="n">
        <x:v>9</x:v>
      </x:c>
      <x:c r="N2704" s="24" t="n">
        <x:v>0</x:v>
      </x:c>
      <x:c r="O2704" s="22" t="n">
        <x:f>L2704*M2704</x:f>
        <x:v>13050</x:v>
      </x:c>
      <x:c r="P2704" s="22" t="n">
        <x:f>O2704*(1-N2704)</x:f>
        <x:v>13050</x:v>
      </x:c>
      <x:c r="Q2704" s="22" t="n">
        <x:v>1280</x:v>
      </x:c>
      <x:c r="R2704" s="22" t="n">
        <x:f>Q2704*M2704</x:f>
        <x:v>11520</x:v>
      </x:c>
      <x:c r="S2704" s="22" t="n">
        <x:f>P2704-R2704</x:f>
        <x:v>1530</x:v>
      </x:c>
      <x:c r="T2704" t="str">
        <x:v>UPI</x:v>
      </x:c>
      <x:c r="U2704" t="str">
        <x:v>Paid</x:v>
      </x:c>
      <x:c r="V2704" t="str">
        <x:v>Delivered</x:v>
      </x:c>
      <x:c r="W2704" t="n">
        <x:v>0</x:v>
      </x:c>
      <x:c r="X2704" t="str"/>
      <x:c r="Y2704" t="str">
        <x:v>Existing Customer</x:v>
      </x:c>
    </x:row>
    <x:row r="2705">
      <x:c r="A2705" t="str">
        <x:v>O002704</x:v>
      </x:c>
      <x:c r="B2705" s="20" t="n">
        <x:v>45670</x:v>
      </x:c>
      <x:c r="C2705" t="str">
        <x:v>C0145</x:v>
      </x:c>
      <x:c r="D2705" t="str">
        <x:v>Namma Cafe 145</x:v>
      </x:c>
      <x:c r="E2705" t="str">
        <x:v>Kirana</x:v>
      </x:c>
      <x:c r="F2705" t="str">
        <x:v>Tumakuru</x:v>
      </x:c>
      <x:c r="G2705" t="str">
        <x:v>Sneha</x:v>
      </x:c>
      <x:c r="H2705" t="str">
        <x:v>P038</x:v>
      </x:c>
      <x:c r="I2705" t="str">
        <x:v>French Fries 2.5kg</x:v>
      </x:c>
      <x:c r="J2705" t="str">
        <x:v>Frozen</x:v>
      </x:c>
      <x:c r="K2705" t="str">
        <x:v>McCain</x:v>
      </x:c>
      <x:c r="L2705" s="22" t="n">
        <x:v>360</x:v>
      </x:c>
      <x:c r="M2705" t="n">
        <x:v>15</x:v>
      </x:c>
      <x:c r="N2705" s="24" t="n">
        <x:v>0.02</x:v>
      </x:c>
      <x:c r="O2705" s="22" t="n">
        <x:f>L2705*M2705</x:f>
        <x:v>5400</x:v>
      </x:c>
      <x:c r="P2705" s="22" t="n">
        <x:f>O2705*(1-N2705)</x:f>
        <x:v>5292</x:v>
      </x:c>
      <x:c r="Q2705" s="22" t="n">
        <x:v>315</x:v>
      </x:c>
      <x:c r="R2705" s="22" t="n">
        <x:f>Q2705*M2705</x:f>
        <x:v>4725</x:v>
      </x:c>
      <x:c r="S2705" s="22" t="n">
        <x:f>P2705-R2705</x:f>
        <x:v>567</x:v>
      </x:c>
      <x:c r="T2705" t="str">
        <x:v>Credit</x:v>
      </x:c>
      <x:c r="U2705" t="str">
        <x:v>Paid</x:v>
      </x:c>
      <x:c r="V2705" t="str">
        <x:v>Delivered</x:v>
      </x:c>
      <x:c r="W2705" t="n">
        <x:v>0</x:v>
      </x:c>
      <x:c r="X2705" t="str"/>
      <x:c r="Y2705" t="str">
        <x:v>WhatsApp</x:v>
      </x:c>
    </x:row>
    <x:row r="2706">
      <x:c r="A2706" t="str">
        <x:v>O002705</x:v>
      </x:c>
      <x:c r="B2706" s="20" t="n">
        <x:v>46011</x:v>
      </x:c>
      <x:c r="C2706" t="str">
        <x:v>C0050</x:v>
      </x:c>
      <x:c r="D2706" t="str">
        <x:v>Green Stores 50</x:v>
      </x:c>
      <x:c r="E2706" t="str">
        <x:v>Restaurant</x:v>
      </x:c>
      <x:c r="F2706" t="str">
        <x:v>Davanagere</x:v>
      </x:c>
      <x:c r="G2706" t="str">
        <x:v>Vikram</x:v>
      </x:c>
      <x:c r="H2706" t="str">
        <x:v>P003</x:v>
      </x:c>
      <x:c r="I2706" t="str">
        <x:v>Basmati Rice 5kg</x:v>
      </x:c>
      <x:c r="J2706" t="str">
        <x:v>Staples</x:v>
      </x:c>
      <x:c r="K2706" t="str">
        <x:v>India Gate</x:v>
      </x:c>
      <x:c r="L2706" s="22" t="n">
        <x:v>690</x:v>
      </x:c>
      <x:c r="M2706" t="n">
        <x:v>27</x:v>
      </x:c>
      <x:c r="N2706" s="24" t="n">
        <x:v>0.03</x:v>
      </x:c>
      <x:c r="O2706" s="22" t="n">
        <x:f>L2706*M2706</x:f>
        <x:v>18630</x:v>
      </x:c>
      <x:c r="P2706" s="22" t="n">
        <x:f>O2706*(1-N2706)</x:f>
        <x:v>18071.1</x:v>
      </x:c>
      <x:c r="Q2706" s="22" t="n">
        <x:v>610</x:v>
      </x:c>
      <x:c r="R2706" s="22" t="n">
        <x:f>Q2706*M2706</x:f>
        <x:v>16470</x:v>
      </x:c>
      <x:c r="S2706" s="22" t="n">
        <x:f>P2706-R2706</x:f>
        <x:v>1601.0999999999985</x:v>
      </x:c>
      <x:c r="T2706" t="str">
        <x:v>UPI</x:v>
      </x:c>
      <x:c r="U2706" t="str">
        <x:v>Pending</x:v>
      </x:c>
      <x:c r="V2706" t="str">
        <x:v>Delivered</x:v>
      </x:c>
      <x:c r="W2706" t="n">
        <x:v>0</x:v>
      </x:c>
      <x:c r="X2706" t="str"/>
      <x:c r="Y2706" t="str">
        <x:v>Field Visit</x:v>
      </x:c>
    </x:row>
    <x:row r="2707">
      <x:c r="A2707" t="str">
        <x:v>O002706</x:v>
      </x:c>
      <x:c r="B2707" s="20" t="n">
        <x:v>45662</x:v>
      </x:c>
      <x:c r="C2707" t="str">
        <x:v>C0179</x:v>
      </x:c>
      <x:c r="D2707" t="str">
        <x:v>Shree Hotel 179</x:v>
      </x:c>
      <x:c r="E2707" t="str">
        <x:v>Restaurant</x:v>
      </x:c>
      <x:c r="F2707" t="str">
        <x:v>Hubballi</x:v>
      </x:c>
      <x:c r="G2707" t="str">
        <x:v>Kavya</x:v>
      </x:c>
      <x:c r="H2707" t="str">
        <x:v>P025</x:v>
      </x:c>
      <x:c r="I2707" t="str">
        <x:v>Potato Chips 100g</x:v>
      </x:c>
      <x:c r="J2707" t="str">
        <x:v>Snacks</x:v>
      </x:c>
      <x:c r="K2707" t="str">
        <x:v>Lay's</x:v>
      </x:c>
      <x:c r="L2707" s="22" t="n">
        <x:v>35</x:v>
      </x:c>
      <x:c r="M2707" t="n">
        <x:v>22</x:v>
      </x:c>
      <x:c r="N2707" s="24" t="n">
        <x:v>0</x:v>
      </x:c>
      <x:c r="O2707" s="22" t="n">
        <x:f>L2707*M2707</x:f>
        <x:v>770</x:v>
      </x:c>
      <x:c r="P2707" s="22" t="n">
        <x:f>O2707*(1-N2707)</x:f>
        <x:v>770</x:v>
      </x:c>
      <x:c r="Q2707" s="22" t="n">
        <x:v>27</x:v>
      </x:c>
      <x:c r="R2707" s="22" t="n">
        <x:f>Q2707*M2707</x:f>
        <x:v>594</x:v>
      </x:c>
      <x:c r="S2707" s="22" t="n">
        <x:f>P2707-R2707</x:f>
        <x:v>176</x:v>
      </x:c>
      <x:c r="T2707" t="str">
        <x:v>Credit</x:v>
      </x:c>
      <x:c r="U2707" t="str">
        <x:v>Paid</x:v>
      </x:c>
      <x:c r="V2707" t="str">
        <x:v>Delivered</x:v>
      </x:c>
      <x:c r="W2707" t="n">
        <x:v>0</x:v>
      </x:c>
      <x:c r="X2707" t="str"/>
      <x:c r="Y2707" t="str">
        <x:v>Existing Customer</x:v>
      </x:c>
    </x:row>
    <x:row r="2708">
      <x:c r="A2708" t="str">
        <x:v>O002707</x:v>
      </x:c>
      <x:c r="B2708" s="20" t="n">
        <x:v>46116</x:v>
      </x:c>
      <x:c r="C2708" t="str">
        <x:v>C0054</x:v>
      </x:c>
      <x:c r="D2708" t="str">
        <x:v>Cafe Cafe 54</x:v>
      </x:c>
      <x:c r="E2708" t="str">
        <x:v>Restaurant</x:v>
      </x:c>
      <x:c r="F2708" t="str">
        <x:v>Hubballi</x:v>
      </x:c>
      <x:c r="G2708" t="str">
        <x:v>Vikram</x:v>
      </x:c>
      <x:c r="H2708" t="str">
        <x:v>P016</x:v>
      </x:c>
      <x:c r="I2708" t="str">
        <x:v>Curd 1kg</x:v>
      </x:c>
      <x:c r="J2708" t="str">
        <x:v>Dairy</x:v>
      </x:c>
      <x:c r="K2708" t="str">
        <x:v>Nandini</x:v>
      </x:c>
      <x:c r="L2708" s="22" t="n">
        <x:v>72</x:v>
      </x:c>
      <x:c r="M2708" t="n">
        <x:v>25</x:v>
      </x:c>
      <x:c r="N2708" s="24" t="n">
        <x:v>0.03</x:v>
      </x:c>
      <x:c r="O2708" s="22" t="n">
        <x:f>L2708*M2708</x:f>
        <x:v>1800</x:v>
      </x:c>
      <x:c r="P2708" s="22" t="n">
        <x:f>O2708*(1-N2708)</x:f>
        <x:v>1746</x:v>
      </x:c>
      <x:c r="Q2708" s="22" t="n">
        <x:v>64</x:v>
      </x:c>
      <x:c r="R2708" s="22" t="n">
        <x:f>Q2708*M2708</x:f>
        <x:v>1600</x:v>
      </x:c>
      <x:c r="S2708" s="22" t="n">
        <x:f>P2708-R2708</x:f>
        <x:v>146</x:v>
      </x:c>
      <x:c r="T2708" t="str">
        <x:v>UPI</x:v>
      </x:c>
      <x:c r="U2708" t="str">
        <x:v>Pending</x:v>
      </x:c>
      <x:c r="V2708" t="str">
        <x:v>Delivered</x:v>
      </x:c>
      <x:c r="W2708" t="n">
        <x:v>0</x:v>
      </x:c>
      <x:c r="X2708" t="str"/>
      <x:c r="Y2708" t="str">
        <x:v>WhatsApp</x:v>
      </x:c>
    </x:row>
    <x:row r="2709">
      <x:c r="A2709" t="str">
        <x:v>O002708</x:v>
      </x:c>
      <x:c r="B2709" s="20" t="n">
        <x:v>46104</x:v>
      </x:c>
      <x:c r="C2709" t="str">
        <x:v>C0222</x:v>
      </x:c>
      <x:c r="D2709" t="str">
        <x:v>Sri Cafe 222</x:v>
      </x:c>
      <x:c r="E2709" t="str">
        <x:v>Kirana</x:v>
      </x:c>
      <x:c r="F2709" t="str">
        <x:v>Mangaluru</x:v>
      </x:c>
      <x:c r="G2709" t="str">
        <x:v>Arjun</x:v>
      </x:c>
      <x:c r="H2709" t="str">
        <x:v>P043</x:v>
      </x:c>
      <x:c r="I2709" t="str">
        <x:v>Chicken Breast 1kg</x:v>
      </x:c>
      <x:c r="J2709" t="str">
        <x:v>Protein</x:v>
      </x:c>
      <x:c r="K2709" t="str">
        <x:v>FreshToHome</x:v>
      </x:c>
      <x:c r="L2709" s="22" t="n">
        <x:v>260</x:v>
      </x:c>
      <x:c r="M2709" t="n">
        <x:v>4</x:v>
      </x:c>
      <x:c r="N2709" s="24" t="n">
        <x:v>0</x:v>
      </x:c>
      <x:c r="O2709" s="22" t="n">
        <x:f>L2709*M2709</x:f>
        <x:v>1040</x:v>
      </x:c>
      <x:c r="P2709" s="22" t="n">
        <x:f>O2709*(1-N2709)</x:f>
        <x:v>1040</x:v>
      </x:c>
      <x:c r="Q2709" s="22" t="n">
        <x:v>235</x:v>
      </x:c>
      <x:c r="R2709" s="22" t="n">
        <x:f>Q2709*M2709</x:f>
        <x:v>940</x:v>
      </x:c>
      <x:c r="S2709" s="22" t="n">
        <x:f>P2709-R2709</x:f>
        <x:v>100</x:v>
      </x:c>
      <x:c r="T2709" t="str">
        <x:v>Cash</x:v>
      </x:c>
      <x:c r="U2709" t="str">
        <x:v>Paid</x:v>
      </x:c>
      <x:c r="V2709" t="str">
        <x:v>Delivered</x:v>
      </x:c>
      <x:c r="W2709" t="n">
        <x:v>0</x:v>
      </x:c>
      <x:c r="X2709" t="str"/>
      <x:c r="Y2709" t="str">
        <x:v>Existing Customer</x:v>
      </x:c>
    </x:row>
    <x:row r="2710">
      <x:c r="A2710" t="str">
        <x:v>O002709</x:v>
      </x:c>
      <x:c r="B2710" s="20" t="n">
        <x:v>45896</x:v>
      </x:c>
      <x:c r="C2710" t="str">
        <x:v>C0117</x:v>
      </x:c>
      <x:c r="D2710" t="str">
        <x:v>Classic Canteen 117</x:v>
      </x:c>
      <x:c r="E2710" t="str">
        <x:v>Restaurant</x:v>
      </x:c>
      <x:c r="F2710" t="str">
        <x:v>Hubballi</x:v>
      </x:c>
      <x:c r="G2710" t="str">
        <x:v>Megha</x:v>
      </x:c>
      <x:c r="H2710" t="str">
        <x:v>P044</x:v>
      </x:c>
      <x:c r="I2710" t="str">
        <x:v>Chicken Curry Cut 1kg</x:v>
      </x:c>
      <x:c r="J2710" t="str">
        <x:v>Protein</x:v>
      </x:c>
      <x:c r="K2710" t="str">
        <x:v>FreshToHome</x:v>
      </x:c>
      <x:c r="L2710" s="22" t="n">
        <x:v>230</x:v>
      </x:c>
      <x:c r="M2710" t="n">
        <x:v>6</x:v>
      </x:c>
      <x:c r="N2710" s="24" t="n">
        <x:v>0.05</x:v>
      </x:c>
      <x:c r="O2710" s="22" t="n">
        <x:f>L2710*M2710</x:f>
        <x:v>1380</x:v>
      </x:c>
      <x:c r="P2710" s="22" t="n">
        <x:f>O2710*(1-N2710)</x:f>
        <x:v>1311</x:v>
      </x:c>
      <x:c r="Q2710" s="22" t="n">
        <x:v>205</x:v>
      </x:c>
      <x:c r="R2710" s="22" t="n">
        <x:f>Q2710*M2710</x:f>
        <x:v>1230</x:v>
      </x:c>
      <x:c r="S2710" s="22" t="n">
        <x:f>P2710-R2710</x:f>
        <x:v>81</x:v>
      </x:c>
      <x:c r="T2710" t="str">
        <x:v>Credit</x:v>
      </x:c>
      <x:c r="U2710" t="str">
        <x:v>Pending</x:v>
      </x:c>
      <x:c r="V2710" t="str">
        <x:v>Delivered</x:v>
      </x:c>
      <x:c r="W2710" t="n">
        <x:v>0</x:v>
      </x:c>
      <x:c r="X2710" t="str"/>
      <x:c r="Y2710" t="str">
        <x:v>Referral</x:v>
      </x:c>
    </x:row>
    <x:row r="2711">
      <x:c r="A2711" t="str">
        <x:v>O002710</x:v>
      </x:c>
      <x:c r="B2711" s="20" t="n">
        <x:v>46120</x:v>
      </x:c>
      <x:c r="C2711" t="str">
        <x:v>C0203</x:v>
      </x:c>
      <x:c r="D2711" t="str">
        <x:v>Namma Mart 203</x:v>
      </x:c>
      <x:c r="E2711" t="str">
        <x:v>Kirana</x:v>
      </x:c>
      <x:c r="F2711" t="str">
        <x:v>Tumakuru</x:v>
      </x:c>
      <x:c r="G2711" t="str">
        <x:v>Priya</x:v>
      </x:c>
      <x:c r="H2711" t="str">
        <x:v>P027</x:v>
      </x:c>
      <x:c r="I2711" t="str">
        <x:v>Biscuits 120g</x:v>
      </x:c>
      <x:c r="J2711" t="str">
        <x:v>Snacks</x:v>
      </x:c>
      <x:c r="K2711" t="str">
        <x:v>Parle-G</x:v>
      </x:c>
      <x:c r="L2711" s="22" t="n">
        <x:v>12</x:v>
      </x:c>
      <x:c r="M2711" t="n">
        <x:v>22</x:v>
      </x:c>
      <x:c r="N2711" s="24" t="n">
        <x:v>0.08</x:v>
      </x:c>
      <x:c r="O2711" s="22" t="n">
        <x:f>L2711*M2711</x:f>
        <x:v>264</x:v>
      </x:c>
      <x:c r="P2711" s="22" t="n">
        <x:f>O2711*(1-N2711)</x:f>
        <x:v>242.88000000000002</x:v>
      </x:c>
      <x:c r="Q2711" s="22" t="n">
        <x:v>9</x:v>
      </x:c>
      <x:c r="R2711" s="22" t="n">
        <x:f>Q2711*M2711</x:f>
        <x:v>198</x:v>
      </x:c>
      <x:c r="S2711" s="22" t="n">
        <x:f>P2711-R2711</x:f>
        <x:v>44.880000000000024</x:v>
      </x:c>
      <x:c r="T2711" t="str">
        <x:v>Credit</x:v>
      </x:c>
      <x:c r="U2711" t="str">
        <x:v>Pending</x:v>
      </x:c>
      <x:c r="V2711" t="str">
        <x:v>Delivered</x:v>
      </x:c>
      <x:c r="W2711" t="n">
        <x:v>0</x:v>
      </x:c>
      <x:c r="X2711" t="str"/>
      <x:c r="Y2711" t="str">
        <x:v>Field Visit</x:v>
      </x:c>
    </x:row>
    <x:row r="2712">
      <x:c r="A2712" t="str">
        <x:v>O002711</x:v>
      </x:c>
      <x:c r="B2712" s="20" t="n">
        <x:v>46213</x:v>
      </x:c>
      <x:c r="C2712" t="str">
        <x:v>C0001</x:v>
      </x:c>
      <x:c r="D2712" t="str">
        <x:v>Annapurna Cafe 1</x:v>
      </x:c>
      <x:c r="E2712" t="str">
        <x:v>Hotel</x:v>
      </x:c>
      <x:c r="F2712" t="str">
        <x:v>Davanagere</x:v>
      </x:c>
      <x:c r="G2712" t="str">
        <x:v>Kavya</x:v>
      </x:c>
      <x:c r="H2712" t="str">
        <x:v>P020</x:v>
      </x:c>
      <x:c r="I2712" t="str">
        <x:v>Coffee 500g</x:v>
      </x:c>
      <x:c r="J2712" t="str">
        <x:v>Beverage</x:v>
      </x:c>
      <x:c r="K2712" t="str">
        <x:v>Bru</x:v>
      </x:c>
      <x:c r="L2712" s="22" t="n">
        <x:v>390</x:v>
      </x:c>
      <x:c r="M2712" t="n">
        <x:v>18</x:v>
      </x:c>
      <x:c r="N2712" s="24" t="n">
        <x:v>0.08</x:v>
      </x:c>
      <x:c r="O2712" s="22" t="n">
        <x:f>L2712*M2712</x:f>
        <x:v>7020</x:v>
      </x:c>
      <x:c r="P2712" s="22" t="n">
        <x:f>O2712*(1-N2712)</x:f>
        <x:v>6458.400000000001</x:v>
      </x:c>
      <x:c r="Q2712" s="22" t="n">
        <x:v>350</x:v>
      </x:c>
      <x:c r="R2712" s="22" t="n">
        <x:f>Q2712*M2712</x:f>
        <x:v>6300</x:v>
      </x:c>
      <x:c r="S2712" s="22" t="n">
        <x:f>P2712-R2712</x:f>
        <x:v>158.40000000000055</x:v>
      </x:c>
      <x:c r="T2712" t="str">
        <x:v>UPI</x:v>
      </x:c>
      <x:c r="U2712" t="str">
        <x:v>Paid</x:v>
      </x:c>
      <x:c r="V2712" t="str">
        <x:v>Cancelled</x:v>
      </x:c>
      <x:c r="W2712" t="n">
        <x:v>18</x:v>
      </x:c>
      <x:c r="X2712" t="str">
        <x:v>Cancelled Order</x:v>
      </x:c>
      <x:c r="Y2712" t="str">
        <x:v>WhatsApp</x:v>
      </x:c>
    </x:row>
    <x:row r="2713">
      <x:c r="A2713" t="str">
        <x:v>O002712</x:v>
      </x:c>
      <x:c r="B2713" s="20" t="n">
        <x:v>46212</x:v>
      </x:c>
      <x:c r="C2713" t="str">
        <x:v>C0056</x:v>
      </x:c>
      <x:c r="D2713" t="str">
        <x:v>City Stores 56</x:v>
      </x:c>
      <x:c r="E2713" t="str">
        <x:v>Canteen</x:v>
      </x:c>
      <x:c r="F2713" t="str">
        <x:v>Davanagere</x:v>
      </x:c>
      <x:c r="G2713" t="str">
        <x:v>Imran</x:v>
      </x:c>
      <x:c r="H2713" t="str">
        <x:v>P008</x:v>
      </x:c>
      <x:c r="I2713" t="str">
        <x:v>Palm Oil 15L</x:v>
      </x:c>
      <x:c r="J2713" t="str">
        <x:v>Edible Oil</x:v>
      </x:c>
      <x:c r="K2713" t="str">
        <x:v>Ruchi Gold</x:v>
      </x:c>
      <x:c r="L2713" s="22" t="n">
        <x:v>1760</x:v>
      </x:c>
      <x:c r="M2713" t="n">
        <x:v>6</x:v>
      </x:c>
      <x:c r="N2713" s="24" t="n">
        <x:v>0.02</x:v>
      </x:c>
      <x:c r="O2713" s="22" t="n">
        <x:f>L2713*M2713</x:f>
        <x:v>10560</x:v>
      </x:c>
      <x:c r="P2713" s="22" t="n">
        <x:f>O2713*(1-N2713)</x:f>
        <x:v>10348.8</x:v>
      </x:c>
      <x:c r="Q2713" s="22" t="n">
        <x:v>1610</x:v>
      </x:c>
      <x:c r="R2713" s="22" t="n">
        <x:f>Q2713*M2713</x:f>
        <x:v>9660</x:v>
      </x:c>
      <x:c r="S2713" s="22" t="n">
        <x:f>P2713-R2713</x:f>
        <x:v>688.7999999999993</x:v>
      </x:c>
      <x:c r="T2713" t="str">
        <x:v>Cash</x:v>
      </x:c>
      <x:c r="U2713" t="str">
        <x:v>Pending</x:v>
      </x:c>
      <x:c r="V2713" t="str">
        <x:v>Delivered</x:v>
      </x:c>
      <x:c r="W2713" t="n">
        <x:v>0</x:v>
      </x:c>
      <x:c r="X2713" t="str"/>
      <x:c r="Y2713" t="str">
        <x:v>WhatsApp</x:v>
      </x:c>
    </x:row>
    <x:row r="2714">
      <x:c r="A2714" t="str">
        <x:v>O002713</x:v>
      </x:c>
      <x:c r="B2714" s="20" t="n">
        <x:v>46026</x:v>
      </x:c>
      <x:c r="C2714" t="str">
        <x:v>C0218</x:v>
      </x:c>
      <x:c r="D2714" t="str">
        <x:v>Green Stores 218</x:v>
      </x:c>
      <x:c r="E2714" t="str">
        <x:v>Hotel</x:v>
      </x:c>
      <x:c r="F2714" t="str">
        <x:v>Mysuru</x:v>
      </x:c>
      <x:c r="G2714" t="str">
        <x:v>Imran</x:v>
      </x:c>
      <x:c r="H2714" t="str">
        <x:v>P038</x:v>
      </x:c>
      <x:c r="I2714" t="str">
        <x:v>French Fries 2.5kg</x:v>
      </x:c>
      <x:c r="J2714" t="str">
        <x:v>Frozen</x:v>
      </x:c>
      <x:c r="K2714" t="str">
        <x:v>McCain</x:v>
      </x:c>
      <x:c r="L2714" s="22" t="n">
        <x:v>360</x:v>
      </x:c>
      <x:c r="M2714" t="n">
        <x:v>38</x:v>
      </x:c>
      <x:c r="N2714" s="24" t="n">
        <x:v>0.05</x:v>
      </x:c>
      <x:c r="O2714" s="22" t="n">
        <x:f>L2714*M2714</x:f>
        <x:v>13680</x:v>
      </x:c>
      <x:c r="P2714" s="22" t="n">
        <x:f>O2714*(1-N2714)</x:f>
        <x:v>12996</x:v>
      </x:c>
      <x:c r="Q2714" s="22" t="n">
        <x:v>315</x:v>
      </x:c>
      <x:c r="R2714" s="22" t="n">
        <x:f>Q2714*M2714</x:f>
        <x:v>11970</x:v>
      </x:c>
      <x:c r="S2714" s="22" t="n">
        <x:f>P2714-R2714</x:f>
        <x:v>1026</x:v>
      </x:c>
      <x:c r="T2714" t="str">
        <x:v>Cash</x:v>
      </x:c>
      <x:c r="U2714" t="str">
        <x:v>Pending</x:v>
      </x:c>
      <x:c r="V2714" t="str">
        <x:v>Delivered</x:v>
      </x:c>
      <x:c r="W2714" t="n">
        <x:v>0</x:v>
      </x:c>
      <x:c r="X2714" t="str"/>
      <x:c r="Y2714" t="str">
        <x:v>Outbound Call</x:v>
      </x:c>
    </x:row>
    <x:row r="2715">
      <x:c r="A2715" t="str">
        <x:v>O002714</x:v>
      </x:c>
      <x:c r="B2715" s="20" t="n">
        <x:v>46142</x:v>
      </x:c>
      <x:c r="C2715" t="str">
        <x:v>C0124</x:v>
      </x:c>
      <x:c r="D2715" t="str">
        <x:v>Green Hotel 124</x:v>
      </x:c>
      <x:c r="E2715" t="str">
        <x:v>Cafe</x:v>
      </x:c>
      <x:c r="F2715" t="str">
        <x:v>Bengaluru</x:v>
      </x:c>
      <x:c r="G2715" t="str">
        <x:v>Imran</x:v>
      </x:c>
      <x:c r="H2715" t="str">
        <x:v>P037</x:v>
      </x:c>
      <x:c r="I2715" t="str">
        <x:v>Frozen Peas 1kg</x:v>
      </x:c>
      <x:c r="J2715" t="str">
        <x:v>Frozen</x:v>
      </x:c>
      <x:c r="K2715" t="str">
        <x:v>Safal</x:v>
      </x:c>
      <x:c r="L2715" s="22" t="n">
        <x:v>155</x:v>
      </x:c>
      <x:c r="M2715" t="n">
        <x:v>26</x:v>
      </x:c>
      <x:c r="N2715" s="24" t="n">
        <x:v>0.02</x:v>
      </x:c>
      <x:c r="O2715" s="22" t="n">
        <x:f>L2715*M2715</x:f>
        <x:v>4030</x:v>
      </x:c>
      <x:c r="P2715" s="22" t="n">
        <x:f>O2715*(1-N2715)</x:f>
        <x:v>3949.4</x:v>
      </x:c>
      <x:c r="Q2715" s="22" t="n">
        <x:v>138</x:v>
      </x:c>
      <x:c r="R2715" s="22" t="n">
        <x:f>Q2715*M2715</x:f>
        <x:v>3588</x:v>
      </x:c>
      <x:c r="S2715" s="22" t="n">
        <x:f>P2715-R2715</x:f>
        <x:v>361.4000000000001</x:v>
      </x:c>
      <x:c r="T2715" t="str">
        <x:v>Credit</x:v>
      </x:c>
      <x:c r="U2715" t="str">
        <x:v>Paid</x:v>
      </x:c>
      <x:c r="V2715" t="str">
        <x:v>Cancelled</x:v>
      </x:c>
      <x:c r="W2715" t="n">
        <x:v>26</x:v>
      </x:c>
      <x:c r="X2715" t="str">
        <x:v>Cancelled Order</x:v>
      </x:c>
      <x:c r="Y2715" t="str">
        <x:v>Field Visit</x:v>
      </x:c>
    </x:row>
    <x:row r="2716">
      <x:c r="A2716" t="str">
        <x:v>O002715</x:v>
      </x:c>
      <x:c r="B2716" s="20" t="n">
        <x:v>46182</x:v>
      </x:c>
      <x:c r="C2716" t="str">
        <x:v>C0119</x:v>
      </x:c>
      <x:c r="D2716" t="str">
        <x:v>Foodie Foods 119</x:v>
      </x:c>
      <x:c r="E2716" t="str">
        <x:v>Kirana</x:v>
      </x:c>
      <x:c r="F2716" t="str">
        <x:v>Hubballi</x:v>
      </x:c>
      <x:c r="G2716" t="str">
        <x:v>Imran</x:v>
      </x:c>
      <x:c r="H2716" t="str">
        <x:v>P010</x:v>
      </x:c>
      <x:c r="I2716" t="str">
        <x:v>Sugar 25kg</x:v>
      </x:c>
      <x:c r="J2716" t="str">
        <x:v>Staples</x:v>
      </x:c>
      <x:c r="K2716" t="str">
        <x:v>Madhur</x:v>
      </x:c>
      <x:c r="L2716" s="22" t="n">
        <x:v>1190</x:v>
      </x:c>
      <x:c r="M2716" t="n">
        <x:v>8</x:v>
      </x:c>
      <x:c r="N2716" s="24" t="n">
        <x:v>0</x:v>
      </x:c>
      <x:c r="O2716" s="22" t="n">
        <x:f>L2716*M2716</x:f>
        <x:v>9520</x:v>
      </x:c>
      <x:c r="P2716" s="22" t="n">
        <x:f>O2716*(1-N2716)</x:f>
        <x:v>9520</x:v>
      </x:c>
      <x:c r="Q2716" s="22" t="n">
        <x:v>1080</x:v>
      </x:c>
      <x:c r="R2716" s="22" t="n">
        <x:f>Q2716*M2716</x:f>
        <x:v>8640</x:v>
      </x:c>
      <x:c r="S2716" s="22" t="n">
        <x:f>P2716-R2716</x:f>
        <x:v>880</x:v>
      </x:c>
      <x:c r="T2716" t="str">
        <x:v>Credit</x:v>
      </x:c>
      <x:c r="U2716" t="str">
        <x:v>Paid</x:v>
      </x:c>
      <x:c r="V2716" t="str">
        <x:v>Delivered</x:v>
      </x:c>
      <x:c r="W2716" t="n">
        <x:v>0</x:v>
      </x:c>
      <x:c r="X2716" t="str"/>
      <x:c r="Y2716" t="str">
        <x:v>Field Visit</x:v>
      </x:c>
    </x:row>
    <x:row r="2717">
      <x:c r="A2717" t="str">
        <x:v>O002716</x:v>
      </x:c>
      <x:c r="B2717" s="20" t="n">
        <x:v>45866</x:v>
      </x:c>
      <x:c r="C2717" t="str">
        <x:v>C0175</x:v>
      </x:c>
      <x:c r="D2717" t="str">
        <x:v>Namma Mart 175</x:v>
      </x:c>
      <x:c r="E2717" t="str">
        <x:v>Hotel</x:v>
      </x:c>
      <x:c r="F2717" t="str">
        <x:v>Davanagere</x:v>
      </x:c>
      <x:c r="G2717" t="str">
        <x:v>Sneha</x:v>
      </x:c>
      <x:c r="H2717" t="str">
        <x:v>P002</x:v>
      </x:c>
      <x:c r="I2717" t="str">
        <x:v>Sona Masoori Rice 25kg</x:v>
      </x:c>
      <x:c r="J2717" t="str">
        <x:v>Staples</x:v>
      </x:c>
      <x:c r="K2717" t="str">
        <x:v>Fortune</x:v>
      </x:c>
      <x:c r="L2717" s="22" t="n">
        <x:v>1320</x:v>
      </x:c>
      <x:c r="M2717" t="n">
        <x:v>1</x:v>
      </x:c>
      <x:c r="N2717" s="24" t="n">
        <x:v>0.05</x:v>
      </x:c>
      <x:c r="O2717" s="22" t="n">
        <x:f>L2717*M2717</x:f>
        <x:v>1320</x:v>
      </x:c>
      <x:c r="P2717" s="22" t="n">
        <x:f>O2717*(1-N2717)</x:f>
        <x:v>1254</x:v>
      </x:c>
      <x:c r="Q2717" s="22" t="n">
        <x:v>1160</x:v>
      </x:c>
      <x:c r="R2717" s="22" t="n">
        <x:f>Q2717*M2717</x:f>
        <x:v>1160</x:v>
      </x:c>
      <x:c r="S2717" s="22" t="n">
        <x:f>P2717-R2717</x:f>
        <x:v>94</x:v>
      </x:c>
      <x:c r="T2717" t="str">
        <x:v>Cash</x:v>
      </x:c>
      <x:c r="U2717" t="str">
        <x:v>Overdue</x:v>
      </x:c>
      <x:c r="V2717" t="str">
        <x:v>Delivered</x:v>
      </x:c>
      <x:c r="W2717" t="n">
        <x:v>0</x:v>
      </x:c>
      <x:c r="X2717" t="str"/>
      <x:c r="Y2717" t="str">
        <x:v>Field Visit</x:v>
      </x:c>
    </x:row>
    <x:row r="2718">
      <x:c r="A2718" t="str">
        <x:v>O002717</x:v>
      </x:c>
      <x:c r="B2718" s="20" t="n">
        <x:v>46046</x:v>
      </x:c>
      <x:c r="C2718" t="str">
        <x:v>C0003</x:v>
      </x:c>
      <x:c r="D2718" t="str">
        <x:v>Grand Foods 3</x:v>
      </x:c>
      <x:c r="E2718" t="str">
        <x:v>Restaurant</x:v>
      </x:c>
      <x:c r="F2718" t="str">
        <x:v>Bengaluru</x:v>
      </x:c>
      <x:c r="G2718" t="str">
        <x:v>Vikram</x:v>
      </x:c>
      <x:c r="H2718" t="str">
        <x:v>P028</x:v>
      </x:c>
      <x:c r="I2718" t="str">
        <x:v>Cookies 200g</x:v>
      </x:c>
      <x:c r="J2718" t="str">
        <x:v>Snacks</x:v>
      </x:c>
      <x:c r="K2718" t="str">
        <x:v>Britannia</x:v>
      </x:c>
      <x:c r="L2718" s="22" t="n">
        <x:v>55</x:v>
      </x:c>
      <x:c r="M2718" t="n">
        <x:v>38</x:v>
      </x:c>
      <x:c r="N2718" s="24" t="n">
        <x:v>0.05</x:v>
      </x:c>
      <x:c r="O2718" s="22" t="n">
        <x:f>L2718*M2718</x:f>
        <x:v>2090</x:v>
      </x:c>
      <x:c r="P2718" s="22" t="n">
        <x:f>O2718*(1-N2718)</x:f>
        <x:v>1985.5</x:v>
      </x:c>
      <x:c r="Q2718" s="22" t="n">
        <x:v>42</x:v>
      </x:c>
      <x:c r="R2718" s="22" t="n">
        <x:f>Q2718*M2718</x:f>
        <x:v>1596</x:v>
      </x:c>
      <x:c r="S2718" s="22" t="n">
        <x:f>P2718-R2718</x:f>
        <x:v>389.5</x:v>
      </x:c>
      <x:c r="T2718" t="str">
        <x:v>Bank Transfer</x:v>
      </x:c>
      <x:c r="U2718" t="str">
        <x:v>Overdue</x:v>
      </x:c>
      <x:c r="V2718" t="str">
        <x:v>Cancelled</x:v>
      </x:c>
      <x:c r="W2718" t="n">
        <x:v>38</x:v>
      </x:c>
      <x:c r="X2718" t="str">
        <x:v>Cancelled Order</x:v>
      </x:c>
      <x:c r="Y2718" t="str">
        <x:v>WhatsApp</x:v>
      </x:c>
    </x:row>
    <x:row r="2719">
      <x:c r="A2719" t="str">
        <x:v>O002718</x:v>
      </x:c>
      <x:c r="B2719" s="20" t="n">
        <x:v>46077</x:v>
      </x:c>
      <x:c r="C2719" t="str">
        <x:v>C0133</x:v>
      </x:c>
      <x:c r="D2719" t="str">
        <x:v>Metro Foods 133</x:v>
      </x:c>
      <x:c r="E2719" t="str">
        <x:v>Cafe</x:v>
      </x:c>
      <x:c r="F2719" t="str">
        <x:v>Bengaluru</x:v>
      </x:c>
      <x:c r="G2719" t="str">
        <x:v>Ramesh</x:v>
      </x:c>
      <x:c r="H2719" t="str">
        <x:v>P009</x:v>
      </x:c>
      <x:c r="I2719" t="str">
        <x:v>Groundnut Oil 5L</x:v>
      </x:c>
      <x:c r="J2719" t="str">
        <x:v>Edible Oil</x:v>
      </x:c>
      <x:c r="K2719" t="str">
        <x:v>Dhara</x:v>
      </x:c>
      <x:c r="L2719" s="22" t="n">
        <x:v>890</x:v>
      </x:c>
      <x:c r="M2719" t="n">
        <x:v>36</x:v>
      </x:c>
      <x:c r="N2719" s="24" t="n">
        <x:v>0.03</x:v>
      </x:c>
      <x:c r="O2719" s="22" t="n">
        <x:f>L2719*M2719</x:f>
        <x:v>32040</x:v>
      </x:c>
      <x:c r="P2719" s="22" t="n">
        <x:f>O2719*(1-N2719)</x:f>
        <x:v>31078.8</x:v>
      </x:c>
      <x:c r="Q2719" s="22" t="n">
        <x:v>810</x:v>
      </x:c>
      <x:c r="R2719" s="22" t="n">
        <x:f>Q2719*M2719</x:f>
        <x:v>29160</x:v>
      </x:c>
      <x:c r="S2719" s="22" t="n">
        <x:f>P2719-R2719</x:f>
        <x:v>1918.7999999999993</x:v>
      </x:c>
      <x:c r="T2719" t="str">
        <x:v>Credit</x:v>
      </x:c>
      <x:c r="U2719" t="str">
        <x:v>Pending</x:v>
      </x:c>
      <x:c r="V2719" t="str">
        <x:v>Delivered</x:v>
      </x:c>
      <x:c r="W2719" t="n">
        <x:v>0</x:v>
      </x:c>
      <x:c r="X2719" t="str"/>
      <x:c r="Y2719" t="str">
        <x:v>Field Visit</x:v>
      </x:c>
    </x:row>
    <x:row r="2720">
      <x:c r="A2720" t="str">
        <x:v>O002719</x:v>
      </x:c>
      <x:c r="B2720" s="20" t="n">
        <x:v>45868</x:v>
      </x:c>
      <x:c r="C2720" t="str">
        <x:v>C0194</x:v>
      </x:c>
      <x:c r="D2720" t="str">
        <x:v>Royal Hotel 194</x:v>
      </x:c>
      <x:c r="E2720" t="str">
        <x:v>Kirana</x:v>
      </x:c>
      <x:c r="F2720" t="str">
        <x:v>Mysuru</x:v>
      </x:c>
      <x:c r="G2720" t="str">
        <x:v>Megha</x:v>
      </x:c>
      <x:c r="H2720" t="str">
        <x:v>P042</x:v>
      </x:c>
      <x:c r="I2720" t="str">
        <x:v>Eggs 30pc Tray</x:v>
      </x:c>
      <x:c r="J2720" t="str">
        <x:v>Protein</x:v>
      </x:c>
      <x:c r="K2720" t="str">
        <x:v>Farm Fresh</x:v>
      </x:c>
      <x:c r="L2720" s="22" t="n">
        <x:v>195</x:v>
      </x:c>
      <x:c r="M2720" t="n">
        <x:v>37</x:v>
      </x:c>
      <x:c r="N2720" s="24" t="n">
        <x:v>0.03</x:v>
      </x:c>
      <x:c r="O2720" s="22" t="n">
        <x:f>L2720*M2720</x:f>
        <x:v>7215</x:v>
      </x:c>
      <x:c r="P2720" s="22" t="n">
        <x:f>O2720*(1-N2720)</x:f>
        <x:v>6998.55</x:v>
      </x:c>
      <x:c r="Q2720" s="22" t="n">
        <x:v>170</x:v>
      </x:c>
      <x:c r="R2720" s="22" t="n">
        <x:f>Q2720*M2720</x:f>
        <x:v>6290</x:v>
      </x:c>
      <x:c r="S2720" s="22" t="n">
        <x:f>P2720-R2720</x:f>
        <x:v>708.5500000000002</x:v>
      </x:c>
      <x:c r="T2720" t="str">
        <x:v>Credit</x:v>
      </x:c>
      <x:c r="U2720" t="str">
        <x:v>Paid</x:v>
      </x:c>
      <x:c r="V2720" t="str">
        <x:v>Delivered</x:v>
      </x:c>
      <x:c r="W2720" t="n">
        <x:v>0</x:v>
      </x:c>
      <x:c r="X2720" t="str"/>
      <x:c r="Y2720" t="str">
        <x:v>Existing Customer</x:v>
      </x:c>
    </x:row>
    <x:row r="2721">
      <x:c r="A2721" t="str">
        <x:v>O002720</x:v>
      </x:c>
      <x:c r="B2721" s="20" t="n">
        <x:v>46112</x:v>
      </x:c>
      <x:c r="C2721" t="str">
        <x:v>C0191</x:v>
      </x:c>
      <x:c r="D2721" t="str">
        <x:v>Foodie Kitchen 191</x:v>
      </x:c>
      <x:c r="E2721" t="str">
        <x:v>Cafe</x:v>
      </x:c>
      <x:c r="F2721" t="str">
        <x:v>Mysuru</x:v>
      </x:c>
      <x:c r="G2721" t="str">
        <x:v>Priya</x:v>
      </x:c>
      <x:c r="H2721" t="str">
        <x:v>P049</x:v>
      </x:c>
      <x:c r="I2721" t="str">
        <x:v>Apple 10kg</x:v>
      </x:c>
      <x:c r="J2721" t="str">
        <x:v>Fresh Produce</x:v>
      </x:c>
      <x:c r="K2721" t="str">
        <x:v>Local Market</x:v>
      </x:c>
      <x:c r="L2721" s="22" t="n">
        <x:v>1450</x:v>
      </x:c>
      <x:c r="M2721" t="n">
        <x:v>11</x:v>
      </x:c>
      <x:c r="N2721" s="24" t="n">
        <x:v>0.05</x:v>
      </x:c>
      <x:c r="O2721" s="22" t="n">
        <x:f>L2721*M2721</x:f>
        <x:v>15950</x:v>
      </x:c>
      <x:c r="P2721" s="22" t="n">
        <x:f>O2721*(1-N2721)</x:f>
        <x:v>15152.5</x:v>
      </x:c>
      <x:c r="Q2721" s="22" t="n">
        <x:v>1280</x:v>
      </x:c>
      <x:c r="R2721" s="22" t="n">
        <x:f>Q2721*M2721</x:f>
        <x:v>14080</x:v>
      </x:c>
      <x:c r="S2721" s="22" t="n">
        <x:f>P2721-R2721</x:f>
        <x:v>1072.5</x:v>
      </x:c>
      <x:c r="T2721" t="str">
        <x:v>UPI</x:v>
      </x:c>
      <x:c r="U2721" t="str">
        <x:v>Overdue</x:v>
      </x:c>
      <x:c r="V2721" t="str">
        <x:v>Delivered</x:v>
      </x:c>
      <x:c r="W2721" t="n">
        <x:v>0</x:v>
      </x:c>
      <x:c r="X2721" t="str"/>
      <x:c r="Y2721" t="str">
        <x:v>Outbound Call</x:v>
      </x:c>
    </x:row>
    <x:row r="2722">
      <x:c r="A2722" t="str">
        <x:v>O002721</x:v>
      </x:c>
      <x:c r="B2722" s="20" t="n">
        <x:v>45834</x:v>
      </x:c>
      <x:c r="C2722" t="str">
        <x:v>C0153</x:v>
      </x:c>
      <x:c r="D2722" t="str">
        <x:v>Fresh Foods 153</x:v>
      </x:c>
      <x:c r="E2722" t="str">
        <x:v>Kirana</x:v>
      </x:c>
      <x:c r="F2722" t="str">
        <x:v>Bengaluru</x:v>
      </x:c>
      <x:c r="G2722" t="str">
        <x:v>Priya</x:v>
      </x:c>
      <x:c r="H2722" t="str">
        <x:v>P027</x:v>
      </x:c>
      <x:c r="I2722" t="str">
        <x:v>Biscuits 120g</x:v>
      </x:c>
      <x:c r="J2722" t="str">
        <x:v>Snacks</x:v>
      </x:c>
      <x:c r="K2722" t="str">
        <x:v>Parle-G</x:v>
      </x:c>
      <x:c r="L2722" s="22" t="n">
        <x:v>12</x:v>
      </x:c>
      <x:c r="M2722" t="n">
        <x:v>12</x:v>
      </x:c>
      <x:c r="N2722" s="24" t="n">
        <x:v>0.05</x:v>
      </x:c>
      <x:c r="O2722" s="22" t="n">
        <x:f>L2722*M2722</x:f>
        <x:v>144</x:v>
      </x:c>
      <x:c r="P2722" s="22" t="n">
        <x:f>O2722*(1-N2722)</x:f>
        <x:v>136.79999999999998</x:v>
      </x:c>
      <x:c r="Q2722" s="22" t="n">
        <x:v>9</x:v>
      </x:c>
      <x:c r="R2722" s="22" t="n">
        <x:f>Q2722*M2722</x:f>
        <x:v>108</x:v>
      </x:c>
      <x:c r="S2722" s="22" t="n">
        <x:f>P2722-R2722</x:f>
        <x:v>28.799999999999983</x:v>
      </x:c>
      <x:c r="T2722" t="str">
        <x:v>UPI</x:v>
      </x:c>
      <x:c r="U2722" t="str">
        <x:v>Paid</x:v>
      </x:c>
      <x:c r="V2722" t="str">
        <x:v>Cancelled</x:v>
      </x:c>
      <x:c r="W2722" t="n">
        <x:v>12</x:v>
      </x:c>
      <x:c r="X2722" t="str">
        <x:v>Cancelled Order</x:v>
      </x:c>
      <x:c r="Y2722" t="str">
        <x:v>Referral</x:v>
      </x:c>
    </x:row>
    <x:row r="2723">
      <x:c r="A2723" t="str">
        <x:v>O002722</x:v>
      </x:c>
      <x:c r="B2723" s="20" t="n">
        <x:v>45855</x:v>
      </x:c>
      <x:c r="C2723" t="str">
        <x:v>C0042</x:v>
      </x:c>
      <x:c r="D2723" t="str">
        <x:v>Shree Restaurant 42</x:v>
      </x:c>
      <x:c r="E2723" t="str">
        <x:v>Restaurant</x:v>
      </x:c>
      <x:c r="F2723" t="str">
        <x:v>Mysuru</x:v>
      </x:c>
      <x:c r="G2723" t="str">
        <x:v>Arjun</x:v>
      </x:c>
      <x:c r="H2723" t="str">
        <x:v>P015</x:v>
      </x:c>
      <x:c r="I2723" t="str">
        <x:v>Milk 1L</x:v>
      </x:c>
      <x:c r="J2723" t="str">
        <x:v>Dairy</x:v>
      </x:c>
      <x:c r="K2723" t="str">
        <x:v>Nandini</x:v>
      </x:c>
      <x:c r="L2723" s="22" t="n">
        <x:v>48</x:v>
      </x:c>
      <x:c r="M2723" t="n">
        <x:v>16</x:v>
      </x:c>
      <x:c r="N2723" s="24" t="n">
        <x:v>0</x:v>
      </x:c>
      <x:c r="O2723" s="22" t="n">
        <x:f>L2723*M2723</x:f>
        <x:v>768</x:v>
      </x:c>
      <x:c r="P2723" s="22" t="n">
        <x:f>O2723*(1-N2723)</x:f>
        <x:v>768</x:v>
      </x:c>
      <x:c r="Q2723" s="22" t="n">
        <x:v>43</x:v>
      </x:c>
      <x:c r="R2723" s="22" t="n">
        <x:f>Q2723*M2723</x:f>
        <x:v>688</x:v>
      </x:c>
      <x:c r="S2723" s="22" t="n">
        <x:f>P2723-R2723</x:f>
        <x:v>80</x:v>
      </x:c>
      <x:c r="T2723" t="str">
        <x:v>Bank Transfer</x:v>
      </x:c>
      <x:c r="U2723" t="str">
        <x:v>Paid</x:v>
      </x:c>
      <x:c r="V2723" t="str">
        <x:v>Delayed</x:v>
      </x:c>
      <x:c r="W2723" t="n">
        <x:v>0</x:v>
      </x:c>
      <x:c r="X2723" t="str"/>
      <x:c r="Y2723" t="str">
        <x:v>Referral</x:v>
      </x:c>
    </x:row>
    <x:row r="2724">
      <x:c r="A2724" t="str">
        <x:v>O002723</x:v>
      </x:c>
      <x:c r="B2724" s="20" t="n">
        <x:v>46068</x:v>
      </x:c>
      <x:c r="C2724" t="str">
        <x:v>C0098</x:v>
      </x:c>
      <x:c r="D2724" t="str">
        <x:v>City Stores 98</x:v>
      </x:c>
      <x:c r="E2724" t="str">
        <x:v>Canteen</x:v>
      </x:c>
      <x:c r="F2724" t="str">
        <x:v>Mangaluru</x:v>
      </x:c>
      <x:c r="G2724" t="str">
        <x:v>Imran</x:v>
      </x:c>
      <x:c r="H2724" t="str">
        <x:v>P002</x:v>
      </x:c>
      <x:c r="I2724" t="str">
        <x:v>Sona Masoori Rice 25kg</x:v>
      </x:c>
      <x:c r="J2724" t="str">
        <x:v>Staples</x:v>
      </x:c>
      <x:c r="K2724" t="str">
        <x:v>Fortune</x:v>
      </x:c>
      <x:c r="L2724" s="22" t="n">
        <x:v>1320</x:v>
      </x:c>
      <x:c r="M2724" t="n">
        <x:v>7</x:v>
      </x:c>
      <x:c r="N2724" s="24" t="n">
        <x:v>0.03</x:v>
      </x:c>
      <x:c r="O2724" s="22" t="n">
        <x:f>L2724*M2724</x:f>
        <x:v>9240</x:v>
      </x:c>
      <x:c r="P2724" s="22" t="n">
        <x:f>O2724*(1-N2724)</x:f>
        <x:v>8962.8</x:v>
      </x:c>
      <x:c r="Q2724" s="22" t="n">
        <x:v>1160</x:v>
      </x:c>
      <x:c r="R2724" s="22" t="n">
        <x:f>Q2724*M2724</x:f>
        <x:v>8120</x:v>
      </x:c>
      <x:c r="S2724" s="22" t="n">
        <x:f>P2724-R2724</x:f>
        <x:v>842.7999999999993</x:v>
      </x:c>
      <x:c r="T2724" t="str">
        <x:v>Cash</x:v>
      </x:c>
      <x:c r="U2724" t="str">
        <x:v>Paid</x:v>
      </x:c>
      <x:c r="V2724" t="str">
        <x:v>Cancelled</x:v>
      </x:c>
      <x:c r="W2724" t="n">
        <x:v>7</x:v>
      </x:c>
      <x:c r="X2724" t="str">
        <x:v>Cancelled Order</x:v>
      </x:c>
      <x:c r="Y2724" t="str">
        <x:v>Outbound Call</x:v>
      </x:c>
    </x:row>
    <x:row r="2725">
      <x:c r="A2725" t="str">
        <x:v>O002724</x:v>
      </x:c>
      <x:c r="B2725" s="20" t="n">
        <x:v>45791</x:v>
      </x:c>
      <x:c r="C2725" t="str">
        <x:v>C0089</x:v>
      </x:c>
      <x:c r="D2725" t="str">
        <x:v>Green Canteen 89</x:v>
      </x:c>
      <x:c r="E2725" t="str">
        <x:v>Supermarket</x:v>
      </x:c>
      <x:c r="F2725" t="str">
        <x:v>Mangaluru</x:v>
      </x:c>
      <x:c r="G2725" t="str">
        <x:v>Megha</x:v>
      </x:c>
      <x:c r="H2725" t="str">
        <x:v>P042</x:v>
      </x:c>
      <x:c r="I2725" t="str">
        <x:v>Eggs 30pc Tray</x:v>
      </x:c>
      <x:c r="J2725" t="str">
        <x:v>Protein</x:v>
      </x:c>
      <x:c r="K2725" t="str">
        <x:v>Farm Fresh</x:v>
      </x:c>
      <x:c r="L2725" s="22" t="n">
        <x:v>195</x:v>
      </x:c>
      <x:c r="M2725" t="n">
        <x:v>13</x:v>
      </x:c>
      <x:c r="N2725" s="24" t="n">
        <x:v>0.02</x:v>
      </x:c>
      <x:c r="O2725" s="22" t="n">
        <x:f>L2725*M2725</x:f>
        <x:v>2535</x:v>
      </x:c>
      <x:c r="P2725" s="22" t="n">
        <x:f>O2725*(1-N2725)</x:f>
        <x:v>2484.3</x:v>
      </x:c>
      <x:c r="Q2725" s="22" t="n">
        <x:v>170</x:v>
      </x:c>
      <x:c r="R2725" s="22" t="n">
        <x:f>Q2725*M2725</x:f>
        <x:v>2210</x:v>
      </x:c>
      <x:c r="S2725" s="22" t="n">
        <x:f>P2725-R2725</x:f>
        <x:v>274.3000000000002</x:v>
      </x:c>
      <x:c r="T2725" t="str">
        <x:v>Credit</x:v>
      </x:c>
      <x:c r="U2725" t="str">
        <x:v>Paid</x:v>
      </x:c>
      <x:c r="V2725" t="str">
        <x:v>Delivered</x:v>
      </x:c>
      <x:c r="W2725" t="n">
        <x:v>0</x:v>
      </x:c>
      <x:c r="X2725" t="str"/>
      <x:c r="Y2725" t="str">
        <x:v>Outbound Call</x:v>
      </x:c>
    </x:row>
    <x:row r="2726">
      <x:c r="A2726" t="str">
        <x:v>O002725</x:v>
      </x:c>
      <x:c r="B2726" s="20" t="n">
        <x:v>46151</x:v>
      </x:c>
      <x:c r="C2726" t="str">
        <x:v>C0088</x:v>
      </x:c>
      <x:c r="D2726" t="str">
        <x:v>Darshini Kitchen 88</x:v>
      </x:c>
      <x:c r="E2726" t="str">
        <x:v>Cafe</x:v>
      </x:c>
      <x:c r="F2726" t="str">
        <x:v>Tumakuru</x:v>
      </x:c>
      <x:c r="G2726" t="str">
        <x:v>Arjun</x:v>
      </x:c>
      <x:c r="H2726" t="str">
        <x:v>P016</x:v>
      </x:c>
      <x:c r="I2726" t="str">
        <x:v>Curd 1kg</x:v>
      </x:c>
      <x:c r="J2726" t="str">
        <x:v>Dairy</x:v>
      </x:c>
      <x:c r="K2726" t="str">
        <x:v>Nandini</x:v>
      </x:c>
      <x:c r="L2726" s="22" t="n">
        <x:v>72</x:v>
      </x:c>
      <x:c r="M2726" t="n">
        <x:v>4</x:v>
      </x:c>
      <x:c r="N2726" s="24" t="n">
        <x:v>0</x:v>
      </x:c>
      <x:c r="O2726" s="22" t="n">
        <x:f>L2726*M2726</x:f>
        <x:v>288</x:v>
      </x:c>
      <x:c r="P2726" s="22" t="n">
        <x:f>O2726*(1-N2726)</x:f>
        <x:v>288</x:v>
      </x:c>
      <x:c r="Q2726" s="22" t="n">
        <x:v>64</x:v>
      </x:c>
      <x:c r="R2726" s="22" t="n">
        <x:f>Q2726*M2726</x:f>
        <x:v>256</x:v>
      </x:c>
      <x:c r="S2726" s="22" t="n">
        <x:f>P2726-R2726</x:f>
        <x:v>32</x:v>
      </x:c>
      <x:c r="T2726" t="str">
        <x:v>Credit</x:v>
      </x:c>
      <x:c r="U2726" t="str">
        <x:v>Pending</x:v>
      </x:c>
      <x:c r="V2726" t="str">
        <x:v>Delivered</x:v>
      </x:c>
      <x:c r="W2726" t="n">
        <x:v>0</x:v>
      </x:c>
      <x:c r="X2726" t="str"/>
      <x:c r="Y2726" t="str">
        <x:v>Existing Customer</x:v>
      </x:c>
    </x:row>
    <x:row r="2727">
      <x:c r="A2727" t="str">
        <x:v>O002726</x:v>
      </x:c>
      <x:c r="B2727" s="20" t="n">
        <x:v>46006</x:v>
      </x:c>
      <x:c r="C2727" t="str">
        <x:v>C0137</x:v>
      </x:c>
      <x:c r="D2727" t="str">
        <x:v>Green Restaurant 137</x:v>
      </x:c>
      <x:c r="E2727" t="str">
        <x:v>Canteen</x:v>
      </x:c>
      <x:c r="F2727" t="str">
        <x:v>Mangaluru</x:v>
      </x:c>
      <x:c r="G2727" t="str">
        <x:v>Arjun</x:v>
      </x:c>
      <x:c r="H2727" t="str">
        <x:v>P031</x:v>
      </x:c>
      <x:c r="I2727" t="str">
        <x:v>Chilli Sauce 700g</x:v>
      </x:c>
      <x:c r="J2727" t="str">
        <x:v>Condiments</x:v>
      </x:c>
      <x:c r="K2727" t="str">
        <x:v>Ching's</x:v>
      </x:c>
      <x:c r="L2727" s="22" t="n">
        <x:v>130</x:v>
      </x:c>
      <x:c r="M2727" t="n">
        <x:v>16</x:v>
      </x:c>
      <x:c r="N2727" s="24" t="n">
        <x:v>0</x:v>
      </x:c>
      <x:c r="O2727" s="22" t="n">
        <x:f>L2727*M2727</x:f>
        <x:v>2080</x:v>
      </x:c>
      <x:c r="P2727" s="22" t="n">
        <x:f>O2727*(1-N2727)</x:f>
        <x:v>2080</x:v>
      </x:c>
      <x:c r="Q2727" s="22" t="n">
        <x:v>112</x:v>
      </x:c>
      <x:c r="R2727" s="22" t="n">
        <x:f>Q2727*M2727</x:f>
        <x:v>1792</x:v>
      </x:c>
      <x:c r="S2727" s="22" t="n">
        <x:f>P2727-R2727</x:f>
        <x:v>288</x:v>
      </x:c>
      <x:c r="T2727" t="str">
        <x:v>UPI</x:v>
      </x:c>
      <x:c r="U2727" t="str">
        <x:v>Paid</x:v>
      </x:c>
      <x:c r="V2727" t="str">
        <x:v>Delivered</x:v>
      </x:c>
      <x:c r="W2727" t="n">
        <x:v>0</x:v>
      </x:c>
      <x:c r="X2727" t="str"/>
      <x:c r="Y2727" t="str">
        <x:v>Field Visit</x:v>
      </x:c>
    </x:row>
    <x:row r="2728">
      <x:c r="A2728" t="str">
        <x:v>O002727</x:v>
      </x:c>
      <x:c r="B2728" s="20" t="n">
        <x:v>45989</x:v>
      </x:c>
      <x:c r="C2728" t="str">
        <x:v>C0136</x:v>
      </x:c>
      <x:c r="D2728" t="str">
        <x:v>Royal Cafe 136</x:v>
      </x:c>
      <x:c r="E2728" t="str">
        <x:v>Hotel</x:v>
      </x:c>
      <x:c r="F2728" t="str">
        <x:v>Tumakuru</x:v>
      </x:c>
      <x:c r="G2728" t="str">
        <x:v>Kavya</x:v>
      </x:c>
      <x:c r="H2728" t="str">
        <x:v>P001</x:v>
      </x:c>
      <x:c r="I2728" t="str">
        <x:v>Steam Rice 25kg</x:v>
      </x:c>
      <x:c r="J2728" t="str">
        <x:v>Staples</x:v>
      </x:c>
      <x:c r="K2728" t="str">
        <x:v>Aishwarya</x:v>
      </x:c>
      <x:c r="L2728" s="22" t="n">
        <x:v>1180</x:v>
      </x:c>
      <x:c r="M2728" t="n">
        <x:v>8</x:v>
      </x:c>
      <x:c r="N2728" s="24" t="n">
        <x:v>0.03</x:v>
      </x:c>
      <x:c r="O2728" s="22" t="n">
        <x:f>L2728*M2728</x:f>
        <x:v>9440</x:v>
      </x:c>
      <x:c r="P2728" s="22" t="n">
        <x:f>O2728*(1-N2728)</x:f>
        <x:v>9156.8</x:v>
      </x:c>
      <x:c r="Q2728" s="22" t="n">
        <x:v>1040</x:v>
      </x:c>
      <x:c r="R2728" s="22" t="n">
        <x:f>Q2728*M2728</x:f>
        <x:v>8320</x:v>
      </x:c>
      <x:c r="S2728" s="22" t="n">
        <x:f>P2728-R2728</x:f>
        <x:v>836.7999999999993</x:v>
      </x:c>
      <x:c r="T2728" t="str">
        <x:v>Cash</x:v>
      </x:c>
      <x:c r="U2728" t="str">
        <x:v>Overdue</x:v>
      </x:c>
      <x:c r="V2728" t="str">
        <x:v>Delivered</x:v>
      </x:c>
      <x:c r="W2728" t="n">
        <x:v>0</x:v>
      </x:c>
      <x:c r="X2728" t="str"/>
      <x:c r="Y2728" t="str">
        <x:v>Outbound Call</x:v>
      </x:c>
    </x:row>
    <x:row r="2729">
      <x:c r="A2729" t="str">
        <x:v>O002728</x:v>
      </x:c>
      <x:c r="B2729" s="20" t="n">
        <x:v>46221</x:v>
      </x:c>
      <x:c r="C2729" t="str">
        <x:v>C0221</x:v>
      </x:c>
      <x:c r="D2729" t="str">
        <x:v>Cafe Canteen 221</x:v>
      </x:c>
      <x:c r="E2729" t="str">
        <x:v>Hotel</x:v>
      </x:c>
      <x:c r="F2729" t="str">
        <x:v>Hubballi</x:v>
      </x:c>
      <x:c r="G2729" t="str">
        <x:v>Kavya</x:v>
      </x:c>
      <x:c r="H2729" t="str">
        <x:v>P028</x:v>
      </x:c>
      <x:c r="I2729" t="str">
        <x:v>Cookies 200g</x:v>
      </x:c>
      <x:c r="J2729" t="str">
        <x:v>Snacks</x:v>
      </x:c>
      <x:c r="K2729" t="str">
        <x:v>Britannia</x:v>
      </x:c>
      <x:c r="L2729" s="22" t="n">
        <x:v>55</x:v>
      </x:c>
      <x:c r="M2729" t="n">
        <x:v>34</x:v>
      </x:c>
      <x:c r="N2729" s="24" t="n">
        <x:v>0.05</x:v>
      </x:c>
      <x:c r="O2729" s="22" t="n">
        <x:f>L2729*M2729</x:f>
        <x:v>1870</x:v>
      </x:c>
      <x:c r="P2729" s="22" t="n">
        <x:f>O2729*(1-N2729)</x:f>
        <x:v>1776.5</x:v>
      </x:c>
      <x:c r="Q2729" s="22" t="n">
        <x:v>42</x:v>
      </x:c>
      <x:c r="R2729" s="22" t="n">
        <x:f>Q2729*M2729</x:f>
        <x:v>1428</x:v>
      </x:c>
      <x:c r="S2729" s="22" t="n">
        <x:f>P2729-R2729</x:f>
        <x:v>348.5</x:v>
      </x:c>
      <x:c r="T2729" t="str">
        <x:v>Credit</x:v>
      </x:c>
      <x:c r="U2729" t="str">
        <x:v>Paid</x:v>
      </x:c>
      <x:c r="V2729" t="str">
        <x:v>Delivered</x:v>
      </x:c>
      <x:c r="W2729" t="n">
        <x:v>0</x:v>
      </x:c>
      <x:c r="X2729" t="str"/>
      <x:c r="Y2729" t="str">
        <x:v>Outbound Call</x:v>
      </x:c>
    </x:row>
    <x:row r="2730">
      <x:c r="A2730" t="str">
        <x:v>O002729</x:v>
      </x:c>
      <x:c r="B2730" s="20" t="n">
        <x:v>45830</x:v>
      </x:c>
      <x:c r="C2730" t="str">
        <x:v>C0152</x:v>
      </x:c>
      <x:c r="D2730" t="str">
        <x:v>Metro Stores 152</x:v>
      </x:c>
      <x:c r="E2730" t="str">
        <x:v>Cafe</x:v>
      </x:c>
      <x:c r="F2730" t="str">
        <x:v>Hubballi</x:v>
      </x:c>
      <x:c r="G2730" t="str">
        <x:v>Priya</x:v>
      </x:c>
      <x:c r="H2730" t="str">
        <x:v>P009</x:v>
      </x:c>
      <x:c r="I2730" t="str">
        <x:v>Groundnut Oil 5L</x:v>
      </x:c>
      <x:c r="J2730" t="str">
        <x:v>Edible Oil</x:v>
      </x:c>
      <x:c r="K2730" t="str">
        <x:v>Dhara</x:v>
      </x:c>
      <x:c r="L2730" s="22" t="n">
        <x:v>890</x:v>
      </x:c>
      <x:c r="M2730" t="n">
        <x:v>8</x:v>
      </x:c>
      <x:c r="N2730" s="24" t="n">
        <x:v>0</x:v>
      </x:c>
      <x:c r="O2730" s="22" t="n">
        <x:f>L2730*M2730</x:f>
        <x:v>7120</x:v>
      </x:c>
      <x:c r="P2730" s="22" t="n">
        <x:f>O2730*(1-N2730)</x:f>
        <x:v>7120</x:v>
      </x:c>
      <x:c r="Q2730" s="22" t="n">
        <x:v>810</x:v>
      </x:c>
      <x:c r="R2730" s="22" t="n">
        <x:f>Q2730*M2730</x:f>
        <x:v>6480</x:v>
      </x:c>
      <x:c r="S2730" s="22" t="n">
        <x:f>P2730-R2730</x:f>
        <x:v>640</x:v>
      </x:c>
      <x:c r="T2730" t="str">
        <x:v>UPI</x:v>
      </x:c>
      <x:c r="U2730" t="str">
        <x:v>Pending</x:v>
      </x:c>
      <x:c r="V2730" t="str">
        <x:v>Delivered</x:v>
      </x:c>
      <x:c r="W2730" t="n">
        <x:v>0</x:v>
      </x:c>
      <x:c r="X2730" t="str"/>
      <x:c r="Y2730" t="str">
        <x:v>Outbound Call</x:v>
      </x:c>
    </x:row>
    <x:row r="2731">
      <x:c r="A2731" t="str">
        <x:v>O002730</x:v>
      </x:c>
      <x:c r="B2731" s="20" t="n">
        <x:v>46231</x:v>
      </x:c>
      <x:c r="C2731" t="str">
        <x:v>C0184</x:v>
      </x:c>
      <x:c r="D2731" t="str">
        <x:v>Namma Restaurant 184</x:v>
      </x:c>
      <x:c r="E2731" t="str">
        <x:v>Cafe</x:v>
      </x:c>
      <x:c r="F2731" t="str">
        <x:v>Hubballi</x:v>
      </x:c>
      <x:c r="G2731" t="str">
        <x:v>Arjun</x:v>
      </x:c>
      <x:c r="H2731" t="str">
        <x:v>P021</x:v>
      </x:c>
      <x:c r="I2731" t="str">
        <x:v>Instant Coffee 200g</x:v>
      </x:c>
      <x:c r="J2731" t="str">
        <x:v>Beverage</x:v>
      </x:c>
      <x:c r="K2731" t="str">
        <x:v>Nescafe</x:v>
      </x:c>
      <x:c r="L2731" s="22" t="n">
        <x:v>460</x:v>
      </x:c>
      <x:c r="M2731" t="n">
        <x:v>26</x:v>
      </x:c>
      <x:c r="N2731" s="24" t="n">
        <x:v>0.1</x:v>
      </x:c>
      <x:c r="O2731" s="22" t="n">
        <x:f>L2731*M2731</x:f>
        <x:v>11960</x:v>
      </x:c>
      <x:c r="P2731" s="22" t="n">
        <x:f>O2731*(1-N2731)</x:f>
        <x:v>10764</x:v>
      </x:c>
      <x:c r="Q2731" s="22" t="n">
        <x:v>410</x:v>
      </x:c>
      <x:c r="R2731" s="22" t="n">
        <x:f>Q2731*M2731</x:f>
        <x:v>10660</x:v>
      </x:c>
      <x:c r="S2731" s="22" t="n">
        <x:f>P2731-R2731</x:f>
        <x:v>104</x:v>
      </x:c>
      <x:c r="T2731" t="str">
        <x:v>Bank Transfer</x:v>
      </x:c>
      <x:c r="U2731" t="str">
        <x:v>Overdue</x:v>
      </x:c>
      <x:c r="V2731" t="str">
        <x:v>Delayed</x:v>
      </x:c>
      <x:c r="W2731" t="n">
        <x:v>0</x:v>
      </x:c>
      <x:c r="X2731" t="str"/>
      <x:c r="Y2731" t="str">
        <x:v>Referral</x:v>
      </x:c>
    </x:row>
    <x:row r="2732">
      <x:c r="A2732" t="str">
        <x:v>O002731</x:v>
      </x:c>
      <x:c r="B2732" s="20" t="n">
        <x:v>46195</x:v>
      </x:c>
      <x:c r="C2732" t="str">
        <x:v>C0121</x:v>
      </x:c>
      <x:c r="D2732" t="str">
        <x:v>Mysore Restaurant 121</x:v>
      </x:c>
      <x:c r="E2732" t="str">
        <x:v>Cafe</x:v>
      </x:c>
      <x:c r="F2732" t="str">
        <x:v>Mysuru</x:v>
      </x:c>
      <x:c r="G2732" t="str">
        <x:v>Sneha</x:v>
      </x:c>
      <x:c r="H2732" t="str">
        <x:v>P037</x:v>
      </x:c>
      <x:c r="I2732" t="str">
        <x:v>Frozen Peas 1kg</x:v>
      </x:c>
      <x:c r="J2732" t="str">
        <x:v>Frozen</x:v>
      </x:c>
      <x:c r="K2732" t="str">
        <x:v>Safal</x:v>
      </x:c>
      <x:c r="L2732" s="22" t="n">
        <x:v>155</x:v>
      </x:c>
      <x:c r="M2732" t="n">
        <x:v>31</x:v>
      </x:c>
      <x:c r="N2732" s="24" t="n">
        <x:v>0</x:v>
      </x:c>
      <x:c r="O2732" s="22" t="n">
        <x:f>L2732*M2732</x:f>
        <x:v>4805</x:v>
      </x:c>
      <x:c r="P2732" s="22" t="n">
        <x:f>O2732*(1-N2732)</x:f>
        <x:v>4805</x:v>
      </x:c>
      <x:c r="Q2732" s="22" t="n">
        <x:v>138</x:v>
      </x:c>
      <x:c r="R2732" s="22" t="n">
        <x:f>Q2732*M2732</x:f>
        <x:v>4278</x:v>
      </x:c>
      <x:c r="S2732" s="22" t="n">
        <x:f>P2732-R2732</x:f>
        <x:v>527</x:v>
      </x:c>
      <x:c r="T2732" t="str">
        <x:v>Credit</x:v>
      </x:c>
      <x:c r="U2732" t="str">
        <x:v>Paid</x:v>
      </x:c>
      <x:c r="V2732" t="str">
        <x:v>Cancelled</x:v>
      </x:c>
      <x:c r="W2732" t="n">
        <x:v>31</x:v>
      </x:c>
      <x:c r="X2732" t="str">
        <x:v>Cancelled Order</x:v>
      </x:c>
      <x:c r="Y2732" t="str">
        <x:v>Outbound Call</x:v>
      </x:c>
    </x:row>
    <x:row r="2733">
      <x:c r="A2733" t="str">
        <x:v>O002732</x:v>
      </x:c>
      <x:c r="B2733" s="20" t="n">
        <x:v>46239</x:v>
      </x:c>
      <x:c r="C2733" t="str">
        <x:v>C0041</x:v>
      </x:c>
      <x:c r="D2733" t="str">
        <x:v>Grand Mart 41</x:v>
      </x:c>
      <x:c r="E2733" t="str">
        <x:v>Cafe</x:v>
      </x:c>
      <x:c r="F2733" t="str">
        <x:v>Bengaluru</x:v>
      </x:c>
      <x:c r="G2733" t="str">
        <x:v>Kavya</x:v>
      </x:c>
      <x:c r="H2733" t="str">
        <x:v>P020</x:v>
      </x:c>
      <x:c r="I2733" t="str">
        <x:v>Coffee 500g</x:v>
      </x:c>
      <x:c r="J2733" t="str">
        <x:v>Beverage</x:v>
      </x:c>
      <x:c r="K2733" t="str">
        <x:v>Bru</x:v>
      </x:c>
      <x:c r="L2733" s="22" t="n">
        <x:v>390</x:v>
      </x:c>
      <x:c r="M2733" t="n">
        <x:v>24</x:v>
      </x:c>
      <x:c r="N2733" s="24" t="n">
        <x:v>0.05</x:v>
      </x:c>
      <x:c r="O2733" s="22" t="n">
        <x:f>L2733*M2733</x:f>
        <x:v>9360</x:v>
      </x:c>
      <x:c r="P2733" s="22" t="n">
        <x:f>O2733*(1-N2733)</x:f>
        <x:v>8892</x:v>
      </x:c>
      <x:c r="Q2733" s="22" t="n">
        <x:v>350</x:v>
      </x:c>
      <x:c r="R2733" s="22" t="n">
        <x:f>Q2733*M2733</x:f>
        <x:v>8400</x:v>
      </x:c>
      <x:c r="S2733" s="22" t="n">
        <x:f>P2733-R2733</x:f>
        <x:v>492</x:v>
      </x:c>
      <x:c r="T2733" t="str">
        <x:v>Bank Transfer</x:v>
      </x:c>
      <x:c r="U2733" t="str">
        <x:v>Paid</x:v>
      </x:c>
      <x:c r="V2733" t="str">
        <x:v>Delivered</x:v>
      </x:c>
      <x:c r="W2733" t="n">
        <x:v>0</x:v>
      </x:c>
      <x:c r="X2733" t="str"/>
      <x:c r="Y2733" t="str">
        <x:v>Existing Customer</x:v>
      </x:c>
    </x:row>
    <x:row r="2734">
      <x:c r="A2734" t="str">
        <x:v>O002733</x:v>
      </x:c>
      <x:c r="B2734" s="20" t="n">
        <x:v>46095</x:v>
      </x:c>
      <x:c r="C2734" t="str">
        <x:v>C0077</x:v>
      </x:c>
      <x:c r="D2734" t="str">
        <x:v>Spice Cafe 77</x:v>
      </x:c>
      <x:c r="E2734" t="str">
        <x:v>Kirana</x:v>
      </x:c>
      <x:c r="F2734" t="str">
        <x:v>Hubballi</x:v>
      </x:c>
      <x:c r="G2734" t="str">
        <x:v>Vikram</x:v>
      </x:c>
      <x:c r="H2734" t="str">
        <x:v>P008</x:v>
      </x:c>
      <x:c r="I2734" t="str">
        <x:v>Palm Oil 15L</x:v>
      </x:c>
      <x:c r="J2734" t="str">
        <x:v>Edible Oil</x:v>
      </x:c>
      <x:c r="K2734" t="str">
        <x:v>Ruchi Gold</x:v>
      </x:c>
      <x:c r="L2734" s="22" t="n">
        <x:v>1760</x:v>
      </x:c>
      <x:c r="M2734" t="n">
        <x:v>4</x:v>
      </x:c>
      <x:c r="N2734" s="24" t="n">
        <x:v>0</x:v>
      </x:c>
      <x:c r="O2734" s="22" t="n">
        <x:f>L2734*M2734</x:f>
        <x:v>7040</x:v>
      </x:c>
      <x:c r="P2734" s="22" t="n">
        <x:f>O2734*(1-N2734)</x:f>
        <x:v>7040</x:v>
      </x:c>
      <x:c r="Q2734" s="22" t="n">
        <x:v>1610</x:v>
      </x:c>
      <x:c r="R2734" s="22" t="n">
        <x:f>Q2734*M2734</x:f>
        <x:v>6440</x:v>
      </x:c>
      <x:c r="S2734" s="22" t="n">
        <x:f>P2734-R2734</x:f>
        <x:v>600</x:v>
      </x:c>
      <x:c r="T2734" t="str">
        <x:v>Bank Transfer</x:v>
      </x:c>
      <x:c r="U2734" t="str">
        <x:v>Paid</x:v>
      </x:c>
      <x:c r="V2734" t="str">
        <x:v>Delayed</x:v>
      </x:c>
      <x:c r="W2734" t="n">
        <x:v>0</x:v>
      </x:c>
      <x:c r="X2734" t="str"/>
      <x:c r="Y2734" t="str">
        <x:v>Outbound Call</x:v>
      </x:c>
    </x:row>
    <x:row r="2735">
      <x:c r="A2735" t="str">
        <x:v>O002734</x:v>
      </x:c>
      <x:c r="B2735" s="20" t="n">
        <x:v>45738</x:v>
      </x:c>
      <x:c r="C2735" t="str">
        <x:v>C0005</x:v>
      </x:c>
      <x:c r="D2735" t="str">
        <x:v>Sagar Kitchen 5</x:v>
      </x:c>
      <x:c r="E2735" t="str">
        <x:v>Restaurant</x:v>
      </x:c>
      <x:c r="F2735" t="str">
        <x:v>Hubballi</x:v>
      </x:c>
      <x:c r="G2735" t="str">
        <x:v>Priya</x:v>
      </x:c>
      <x:c r="H2735" t="str">
        <x:v>P021</x:v>
      </x:c>
      <x:c r="I2735" t="str">
        <x:v>Instant Coffee 200g</x:v>
      </x:c>
      <x:c r="J2735" t="str">
        <x:v>Beverage</x:v>
      </x:c>
      <x:c r="K2735" t="str">
        <x:v>Nescafe</x:v>
      </x:c>
      <x:c r="L2735" s="22" t="n">
        <x:v>460</x:v>
      </x:c>
      <x:c r="M2735" t="n">
        <x:v>3</x:v>
      </x:c>
      <x:c r="N2735" s="24" t="n">
        <x:v>0</x:v>
      </x:c>
      <x:c r="O2735" s="22" t="n">
        <x:f>L2735*M2735</x:f>
        <x:v>1380</x:v>
      </x:c>
      <x:c r="P2735" s="22" t="n">
        <x:f>O2735*(1-N2735)</x:f>
        <x:v>1380</x:v>
      </x:c>
      <x:c r="Q2735" s="22" t="n">
        <x:v>410</x:v>
      </x:c>
      <x:c r="R2735" s="22" t="n">
        <x:f>Q2735*M2735</x:f>
        <x:v>1230</x:v>
      </x:c>
      <x:c r="S2735" s="22" t="n">
        <x:f>P2735-R2735</x:f>
        <x:v>150</x:v>
      </x:c>
      <x:c r="T2735" t="str">
        <x:v>Credit</x:v>
      </x:c>
      <x:c r="U2735" t="str">
        <x:v>Paid</x:v>
      </x:c>
      <x:c r="V2735" t="str">
        <x:v>Cancelled</x:v>
      </x:c>
      <x:c r="W2735" t="n">
        <x:v>3</x:v>
      </x:c>
      <x:c r="X2735" t="str">
        <x:v>Cancelled Order</x:v>
      </x:c>
      <x:c r="Y2735" t="str">
        <x:v>Outbound Call</x:v>
      </x:c>
    </x:row>
    <x:row r="2736">
      <x:c r="A2736" t="str">
        <x:v>O002735</x:v>
      </x:c>
      <x:c r="B2736" s="20" t="n">
        <x:v>45821</x:v>
      </x:c>
      <x:c r="C2736" t="str">
        <x:v>C0006</x:v>
      </x:c>
      <x:c r="D2736" t="str">
        <x:v>New Restaurant 6</x:v>
      </x:c>
      <x:c r="E2736" t="str">
        <x:v>Kirana</x:v>
      </x:c>
      <x:c r="F2736" t="str">
        <x:v>Hubballi</x:v>
      </x:c>
      <x:c r="G2736" t="str">
        <x:v>Vikram</x:v>
      </x:c>
      <x:c r="H2736" t="str">
        <x:v>P010</x:v>
      </x:c>
      <x:c r="I2736" t="str">
        <x:v>Sugar 25kg</x:v>
      </x:c>
      <x:c r="J2736" t="str">
        <x:v>Staples</x:v>
      </x:c>
      <x:c r="K2736" t="str">
        <x:v>Madhur</x:v>
      </x:c>
      <x:c r="L2736" s="22" t="n">
        <x:v>1190</x:v>
      </x:c>
      <x:c r="M2736" t="n">
        <x:v>2</x:v>
      </x:c>
      <x:c r="N2736" s="24" t="n">
        <x:v>0.05</x:v>
      </x:c>
      <x:c r="O2736" s="22" t="n">
        <x:f>L2736*M2736</x:f>
        <x:v>2380</x:v>
      </x:c>
      <x:c r="P2736" s="22" t="n">
        <x:f>O2736*(1-N2736)</x:f>
        <x:v>2261</x:v>
      </x:c>
      <x:c r="Q2736" s="22" t="n">
        <x:v>1080</x:v>
      </x:c>
      <x:c r="R2736" s="22" t="n">
        <x:f>Q2736*M2736</x:f>
        <x:v>2160</x:v>
      </x:c>
      <x:c r="S2736" s="22" t="n">
        <x:f>P2736-R2736</x:f>
        <x:v>101</x:v>
      </x:c>
      <x:c r="T2736" t="str">
        <x:v>Credit</x:v>
      </x:c>
      <x:c r="U2736" t="str">
        <x:v>Paid</x:v>
      </x:c>
      <x:c r="V2736" t="str">
        <x:v>Delivered</x:v>
      </x:c>
      <x:c r="W2736" t="n">
        <x:v>0</x:v>
      </x:c>
      <x:c r="X2736" t="str"/>
      <x:c r="Y2736" t="str">
        <x:v>Outbound Call</x:v>
      </x:c>
    </x:row>
    <x:row r="2737">
      <x:c r="A2737" t="str">
        <x:v>O002736</x:v>
      </x:c>
      <x:c r="B2737" s="20" t="n">
        <x:v>45798</x:v>
      </x:c>
      <x:c r="C2737" t="str">
        <x:v>C0136</x:v>
      </x:c>
      <x:c r="D2737" t="str">
        <x:v>Royal Cafe 136</x:v>
      </x:c>
      <x:c r="E2737" t="str">
        <x:v>Hotel</x:v>
      </x:c>
      <x:c r="F2737" t="str">
        <x:v>Tumakuru</x:v>
      </x:c>
      <x:c r="G2737" t="str">
        <x:v>Kavya</x:v>
      </x:c>
      <x:c r="H2737" t="str">
        <x:v>P032</x:v>
      </x:c>
      <x:c r="I2737" t="str">
        <x:v>Soy Sauce 700g</x:v>
      </x:c>
      <x:c r="J2737" t="str">
        <x:v>Condiments</x:v>
      </x:c>
      <x:c r="K2737" t="str">
        <x:v>Ching's</x:v>
      </x:c>
      <x:c r="L2737" s="22" t="n">
        <x:v>118</x:v>
      </x:c>
      <x:c r="M2737" t="n">
        <x:v>5</x:v>
      </x:c>
      <x:c r="N2737" s="24" t="n">
        <x:v>0</x:v>
      </x:c>
      <x:c r="O2737" s="22" t="n">
        <x:f>L2737*M2737</x:f>
        <x:v>590</x:v>
      </x:c>
      <x:c r="P2737" s="22" t="n">
        <x:f>O2737*(1-N2737)</x:f>
        <x:v>590</x:v>
      </x:c>
      <x:c r="Q2737" s="22" t="n">
        <x:v>101</x:v>
      </x:c>
      <x:c r="R2737" s="22" t="n">
        <x:f>Q2737*M2737</x:f>
        <x:v>505</x:v>
      </x:c>
      <x:c r="S2737" s="22" t="n">
        <x:f>P2737-R2737</x:f>
        <x:v>85</x:v>
      </x:c>
      <x:c r="T2737" t="str">
        <x:v>Cash</x:v>
      </x:c>
      <x:c r="U2737" t="str">
        <x:v>Paid</x:v>
      </x:c>
      <x:c r="V2737" t="str">
        <x:v>Delivered</x:v>
      </x:c>
      <x:c r="W2737" t="n">
        <x:v>0</x:v>
      </x:c>
      <x:c r="X2737" t="str"/>
      <x:c r="Y2737" t="str">
        <x:v>Field Visit</x:v>
      </x:c>
    </x:row>
    <x:row r="2738">
      <x:c r="A2738" t="str">
        <x:v>O002737</x:v>
      </x:c>
      <x:c r="B2738" s="20" t="n">
        <x:v>45758</x:v>
      </x:c>
      <x:c r="C2738" t="str">
        <x:v>C0005</x:v>
      </x:c>
      <x:c r="D2738" t="str">
        <x:v>Sagar Kitchen 5</x:v>
      </x:c>
      <x:c r="E2738" t="str">
        <x:v>Restaurant</x:v>
      </x:c>
      <x:c r="F2738" t="str">
        <x:v>Hubballi</x:v>
      </x:c>
      <x:c r="G2738" t="str">
        <x:v>Priya</x:v>
      </x:c>
      <x:c r="H2738" t="str">
        <x:v>P050</x:v>
      </x:c>
      <x:c r="I2738" t="str">
        <x:v>Lemon 5kg</x:v>
      </x:c>
      <x:c r="J2738" t="str">
        <x:v>Fresh Produce</x:v>
      </x:c>
      <x:c r="K2738" t="str">
        <x:v>Local Market</x:v>
      </x:c>
      <x:c r="L2738" s="22" t="n">
        <x:v>360</x:v>
      </x:c>
      <x:c r="M2738" t="n">
        <x:v>23</x:v>
      </x:c>
      <x:c r="N2738" s="24" t="n">
        <x:v>0</x:v>
      </x:c>
      <x:c r="O2738" s="22" t="n">
        <x:f>L2738*M2738</x:f>
        <x:v>8280</x:v>
      </x:c>
      <x:c r="P2738" s="22" t="n">
        <x:f>O2738*(1-N2738)</x:f>
        <x:v>8280</x:v>
      </x:c>
      <x:c r="Q2738" s="22" t="n">
        <x:v>300</x:v>
      </x:c>
      <x:c r="R2738" s="22" t="n">
        <x:f>Q2738*M2738</x:f>
        <x:v>6900</x:v>
      </x:c>
      <x:c r="S2738" s="22" t="n">
        <x:f>P2738-R2738</x:f>
        <x:v>1380</x:v>
      </x:c>
      <x:c r="T2738" t="str">
        <x:v>Credit</x:v>
      </x:c>
      <x:c r="U2738" t="str">
        <x:v>Paid</x:v>
      </x:c>
      <x:c r="V2738" t="str">
        <x:v>Delivered</x:v>
      </x:c>
      <x:c r="W2738" t="n">
        <x:v>0</x:v>
      </x:c>
      <x:c r="X2738" t="str"/>
      <x:c r="Y2738" t="str">
        <x:v>Referral</x:v>
      </x:c>
    </x:row>
    <x:row r="2739">
      <x:c r="A2739" t="str">
        <x:v>O002738</x:v>
      </x:c>
      <x:c r="B2739" s="20" t="n">
        <x:v>46150</x:v>
      </x:c>
      <x:c r="C2739" t="str">
        <x:v>C0102</x:v>
      </x:c>
      <x:c r="D2739" t="str">
        <x:v>Annapurna Foods 102</x:v>
      </x:c>
      <x:c r="E2739" t="str">
        <x:v>Cafe</x:v>
      </x:c>
      <x:c r="F2739" t="str">
        <x:v>Davanagere</x:v>
      </x:c>
      <x:c r="G2739" t="str">
        <x:v>Ramesh</x:v>
      </x:c>
      <x:c r="H2739" t="str">
        <x:v>P004</x:v>
      </x:c>
      <x:c r="I2739" t="str">
        <x:v>Toor Dal 5kg</x:v>
      </x:c>
      <x:c r="J2739" t="str">
        <x:v>Pulses</x:v>
      </x:c>
      <x:c r="K2739" t="str">
        <x:v>Tata Sampann</x:v>
      </x:c>
      <x:c r="L2739" s="22" t="n">
        <x:v>780</x:v>
      </x:c>
      <x:c r="M2739" t="n">
        <x:v>35</x:v>
      </x:c>
      <x:c r="N2739" s="24" t="n">
        <x:v>0.08</x:v>
      </x:c>
      <x:c r="O2739" s="22" t="n">
        <x:f>L2739*M2739</x:f>
        <x:v>27300</x:v>
      </x:c>
      <x:c r="P2739" s="22" t="n">
        <x:f>O2739*(1-N2739)</x:f>
        <x:v>25116</x:v>
      </x:c>
      <x:c r="Q2739" s="22" t="n">
        <x:v>695</x:v>
      </x:c>
      <x:c r="R2739" s="22" t="n">
        <x:f>Q2739*M2739</x:f>
        <x:v>24325</x:v>
      </x:c>
      <x:c r="S2739" s="22" t="n">
        <x:f>P2739-R2739</x:f>
        <x:v>791</x:v>
      </x:c>
      <x:c r="T2739" t="str">
        <x:v>Cash</x:v>
      </x:c>
      <x:c r="U2739" t="str">
        <x:v>Paid</x:v>
      </x:c>
      <x:c r="V2739" t="str">
        <x:v>Delayed</x:v>
      </x:c>
      <x:c r="W2739" t="n">
        <x:v>0</x:v>
      </x:c>
      <x:c r="X2739" t="str"/>
      <x:c r="Y2739" t="str">
        <x:v>Referral</x:v>
      </x:c>
    </x:row>
    <x:row r="2740">
      <x:c r="A2740" t="str">
        <x:v>O002739</x:v>
      </x:c>
      <x:c r="B2740" s="20" t="n">
        <x:v>46177</x:v>
      </x:c>
      <x:c r="C2740" t="str">
        <x:v>C0147</x:v>
      </x:c>
      <x:c r="D2740" t="str">
        <x:v>New Stores 147</x:v>
      </x:c>
      <x:c r="E2740" t="str">
        <x:v>Supermarket</x:v>
      </x:c>
      <x:c r="F2740" t="str">
        <x:v>Hubballi</x:v>
      </x:c>
      <x:c r="G2740" t="str">
        <x:v>Imran</x:v>
      </x:c>
      <x:c r="H2740" t="str">
        <x:v>P024</x:v>
      </x:c>
      <x:c r="I2740" t="str">
        <x:v>Orange Drink 1L</x:v>
      </x:c>
      <x:c r="J2740" t="str">
        <x:v>Beverage</x:v>
      </x:c>
      <x:c r="K2740" t="str">
        <x:v>Minute Maid</x:v>
      </x:c>
      <x:c r="L2740" s="22" t="n">
        <x:v>105</x:v>
      </x:c>
      <x:c r="M2740" t="n">
        <x:v>32</x:v>
      </x:c>
      <x:c r="N2740" s="24" t="n">
        <x:v>0</x:v>
      </x:c>
      <x:c r="O2740" s="22" t="n">
        <x:f>L2740*M2740</x:f>
        <x:v>3360</x:v>
      </x:c>
      <x:c r="P2740" s="22" t="n">
        <x:f>O2740*(1-N2740)</x:f>
        <x:v>3360</x:v>
      </x:c>
      <x:c r="Q2740" s="22" t="n">
        <x:v>88</x:v>
      </x:c>
      <x:c r="R2740" s="22" t="n">
        <x:f>Q2740*M2740</x:f>
        <x:v>2816</x:v>
      </x:c>
      <x:c r="S2740" s="22" t="n">
        <x:f>P2740-R2740</x:f>
        <x:v>544</x:v>
      </x:c>
      <x:c r="T2740" t="str">
        <x:v>Bank Transfer</x:v>
      </x:c>
      <x:c r="U2740" t="str">
        <x:v>Paid</x:v>
      </x:c>
      <x:c r="V2740" t="str">
        <x:v>Delivered</x:v>
      </x:c>
      <x:c r="W2740" t="n">
        <x:v>0</x:v>
      </x:c>
      <x:c r="X2740" t="str"/>
      <x:c r="Y2740" t="str">
        <x:v>Outbound Call</x:v>
      </x:c>
    </x:row>
    <x:row r="2741">
      <x:c r="A2741" t="str">
        <x:v>O002740</x:v>
      </x:c>
      <x:c r="B2741" s="20" t="n">
        <x:v>45923</x:v>
      </x:c>
      <x:c r="C2741" t="str">
        <x:v>C0204</x:v>
      </x:c>
      <x:c r="D2741" t="str">
        <x:v>Udupi Stores 204</x:v>
      </x:c>
      <x:c r="E2741" t="str">
        <x:v>Kirana</x:v>
      </x:c>
      <x:c r="F2741" t="str">
        <x:v>Bengaluru</x:v>
      </x:c>
      <x:c r="G2741" t="str">
        <x:v>Vikram</x:v>
      </x:c>
      <x:c r="H2741" t="str">
        <x:v>P006</x:v>
      </x:c>
      <x:c r="I2741" t="str">
        <x:v>Moong Dal 5kg</x:v>
      </x:c>
      <x:c r="J2741" t="str">
        <x:v>Pulses</x:v>
      </x:c>
      <x:c r="K2741" t="str">
        <x:v>Local Select</x:v>
      </x:c>
      <x:c r="L2741" s="22" t="n">
        <x:v>610</x:v>
      </x:c>
      <x:c r="M2741" t="n">
        <x:v>22</x:v>
      </x:c>
      <x:c r="N2741" s="24" t="n">
        <x:v>0.03</x:v>
      </x:c>
      <x:c r="O2741" s="22" t="n">
        <x:f>L2741*M2741</x:f>
        <x:v>13420</x:v>
      </x:c>
      <x:c r="P2741" s="22" t="n">
        <x:f>O2741*(1-N2741)</x:f>
        <x:v>13017.4</x:v>
      </x:c>
      <x:c r="Q2741" s="22" t="n">
        <x:v>540</x:v>
      </x:c>
      <x:c r="R2741" s="22" t="n">
        <x:f>Q2741*M2741</x:f>
        <x:v>11880</x:v>
      </x:c>
      <x:c r="S2741" s="22" t="n">
        <x:f>P2741-R2741</x:f>
        <x:v>1137.3999999999996</x:v>
      </x:c>
      <x:c r="T2741" t="str">
        <x:v>Bank Transfer</x:v>
      </x:c>
      <x:c r="U2741" t="str">
        <x:v>Paid</x:v>
      </x:c>
      <x:c r="V2741" t="str">
        <x:v>Delivered</x:v>
      </x:c>
      <x:c r="W2741" t="n">
        <x:v>0</x:v>
      </x:c>
      <x:c r="X2741" t="str"/>
      <x:c r="Y2741" t="str">
        <x:v>Field Visit</x:v>
      </x:c>
    </x:row>
    <x:row r="2742">
      <x:c r="A2742" t="str">
        <x:v>O002741</x:v>
      </x:c>
      <x:c r="B2742" s="20" t="n">
        <x:v>46170</x:v>
      </x:c>
      <x:c r="C2742" t="str">
        <x:v>C0137</x:v>
      </x:c>
      <x:c r="D2742" t="str">
        <x:v>Green Restaurant 137</x:v>
      </x:c>
      <x:c r="E2742" t="str">
        <x:v>Canteen</x:v>
      </x:c>
      <x:c r="F2742" t="str">
        <x:v>Mangaluru</x:v>
      </x:c>
      <x:c r="G2742" t="str">
        <x:v>Arjun</x:v>
      </x:c>
      <x:c r="H2742" t="str">
        <x:v>P022</x:v>
      </x:c>
      <x:c r="I2742" t="str">
        <x:v>Mineral Water 1L</x:v>
      </x:c>
      <x:c r="J2742" t="str">
        <x:v>Beverage</x:v>
      </x:c>
      <x:c r="K2742" t="str">
        <x:v>Bisleri</x:v>
      </x:c>
      <x:c r="L2742" s="22" t="n">
        <x:v>19</x:v>
      </x:c>
      <x:c r="M2742" t="n">
        <x:v>7</x:v>
      </x:c>
      <x:c r="N2742" s="24" t="n">
        <x:v>0.05</x:v>
      </x:c>
      <x:c r="O2742" s="22" t="n">
        <x:f>L2742*M2742</x:f>
        <x:v>133</x:v>
      </x:c>
      <x:c r="P2742" s="22" t="n">
        <x:f>O2742*(1-N2742)</x:f>
        <x:v>126.35</x:v>
      </x:c>
      <x:c r="Q2742" s="22" t="n">
        <x:v>15</x:v>
      </x:c>
      <x:c r="R2742" s="22" t="n">
        <x:f>Q2742*M2742</x:f>
        <x:v>105</x:v>
      </x:c>
      <x:c r="S2742" s="22" t="n">
        <x:f>P2742-R2742</x:f>
        <x:v>21.349999999999994</x:v>
      </x:c>
      <x:c r="T2742" t="str">
        <x:v>Credit</x:v>
      </x:c>
      <x:c r="U2742" t="str">
        <x:v>Paid</x:v>
      </x:c>
      <x:c r="V2742" t="str">
        <x:v>Delivered</x:v>
      </x:c>
      <x:c r="W2742" t="n">
        <x:v>1</x:v>
      </x:c>
      <x:c r="X2742" t="str">
        <x:v>Late Delivery</x:v>
      </x:c>
      <x:c r="Y2742" t="str">
        <x:v>WhatsApp</x:v>
      </x:c>
    </x:row>
    <x:row r="2743">
      <x:c r="A2743" t="str">
        <x:v>O002742</x:v>
      </x:c>
      <x:c r="B2743" s="20" t="n">
        <x:v>45793</x:v>
      </x:c>
      <x:c r="C2743" t="str">
        <x:v>C0217</x:v>
      </x:c>
      <x:c r="D2743" t="str">
        <x:v>Darshini Cafe 217</x:v>
      </x:c>
      <x:c r="E2743" t="str">
        <x:v>Restaurant</x:v>
      </x:c>
      <x:c r="F2743" t="str">
        <x:v>Bengaluru</x:v>
      </x:c>
      <x:c r="G2743" t="str">
        <x:v>Priya</x:v>
      </x:c>
      <x:c r="H2743" t="str">
        <x:v>P031</x:v>
      </x:c>
      <x:c r="I2743" t="str">
        <x:v>Chilli Sauce 700g</x:v>
      </x:c>
      <x:c r="J2743" t="str">
        <x:v>Condiments</x:v>
      </x:c>
      <x:c r="K2743" t="str">
        <x:v>Ching's</x:v>
      </x:c>
      <x:c r="L2743" s="22" t="n">
        <x:v>130</x:v>
      </x:c>
      <x:c r="M2743" t="n">
        <x:v>2</x:v>
      </x:c>
      <x:c r="N2743" s="24" t="n">
        <x:v>0.05</x:v>
      </x:c>
      <x:c r="O2743" s="22" t="n">
        <x:f>L2743*M2743</x:f>
        <x:v>260</x:v>
      </x:c>
      <x:c r="P2743" s="22" t="n">
        <x:f>O2743*(1-N2743)</x:f>
        <x:v>247</x:v>
      </x:c>
      <x:c r="Q2743" s="22" t="n">
        <x:v>112</x:v>
      </x:c>
      <x:c r="R2743" s="22" t="n">
        <x:f>Q2743*M2743</x:f>
        <x:v>224</x:v>
      </x:c>
      <x:c r="S2743" s="22" t="n">
        <x:f>P2743-R2743</x:f>
        <x:v>23</x:v>
      </x:c>
      <x:c r="T2743" t="str">
        <x:v>Cash</x:v>
      </x:c>
      <x:c r="U2743" t="str">
        <x:v>Paid</x:v>
      </x:c>
      <x:c r="V2743" t="str">
        <x:v>Delivered</x:v>
      </x:c>
      <x:c r="W2743" t="n">
        <x:v>1</x:v>
      </x:c>
      <x:c r="X2743" t="str">
        <x:v>Quality Issue</x:v>
      </x:c>
      <x:c r="Y2743" t="str">
        <x:v>Referral</x:v>
      </x:c>
    </x:row>
    <x:row r="2744">
      <x:c r="A2744" t="str">
        <x:v>O002743</x:v>
      </x:c>
      <x:c r="B2744" s="20" t="n">
        <x:v>46236</x:v>
      </x:c>
      <x:c r="C2744" t="str">
        <x:v>C0181</x:v>
      </x:c>
      <x:c r="D2744" t="str">
        <x:v>Darshini Mart 181</x:v>
      </x:c>
      <x:c r="E2744" t="str">
        <x:v>Restaurant</x:v>
      </x:c>
      <x:c r="F2744" t="str">
        <x:v>Mangaluru</x:v>
      </x:c>
      <x:c r="G2744" t="str">
        <x:v>Kavya</x:v>
      </x:c>
      <x:c r="H2744" t="str">
        <x:v>P010</x:v>
      </x:c>
      <x:c r="I2744" t="str">
        <x:v>Sugar 25kg</x:v>
      </x:c>
      <x:c r="J2744" t="str">
        <x:v>Staples</x:v>
      </x:c>
      <x:c r="K2744" t="str">
        <x:v>Madhur</x:v>
      </x:c>
      <x:c r="L2744" s="22" t="n">
        <x:v>1190</x:v>
      </x:c>
      <x:c r="M2744" t="n">
        <x:v>1</x:v>
      </x:c>
      <x:c r="N2744" s="24" t="n">
        <x:v>0.05</x:v>
      </x:c>
      <x:c r="O2744" s="22" t="n">
        <x:f>L2744*M2744</x:f>
        <x:v>1190</x:v>
      </x:c>
      <x:c r="P2744" s="22" t="n">
        <x:f>O2744*(1-N2744)</x:f>
        <x:v>1130.5</x:v>
      </x:c>
      <x:c r="Q2744" s="22" t="n">
        <x:v>1080</x:v>
      </x:c>
      <x:c r="R2744" s="22" t="n">
        <x:f>Q2744*M2744</x:f>
        <x:v>1080</x:v>
      </x:c>
      <x:c r="S2744" s="22" t="n">
        <x:f>P2744-R2744</x:f>
        <x:v>50.5</x:v>
      </x:c>
      <x:c r="T2744" t="str">
        <x:v>Bank Transfer</x:v>
      </x:c>
      <x:c r="U2744" t="str">
        <x:v>Pending</x:v>
      </x:c>
      <x:c r="V2744" t="str">
        <x:v>Delayed</x:v>
      </x:c>
      <x:c r="W2744" t="n">
        <x:v>0</x:v>
      </x:c>
      <x:c r="X2744" t="str"/>
      <x:c r="Y2744" t="str">
        <x:v>Field Visit</x:v>
      </x:c>
    </x:row>
    <x:row r="2745">
      <x:c r="A2745" t="str">
        <x:v>O002744</x:v>
      </x:c>
      <x:c r="B2745" s="20" t="n">
        <x:v>46009</x:v>
      </x:c>
      <x:c r="C2745" t="str">
        <x:v>C0152</x:v>
      </x:c>
      <x:c r="D2745" t="str">
        <x:v>Metro Stores 152</x:v>
      </x:c>
      <x:c r="E2745" t="str">
        <x:v>Cafe</x:v>
      </x:c>
      <x:c r="F2745" t="str">
        <x:v>Hubballi</x:v>
      </x:c>
      <x:c r="G2745" t="str">
        <x:v>Priya</x:v>
      </x:c>
      <x:c r="H2745" t="str">
        <x:v>P007</x:v>
      </x:c>
      <x:c r="I2745" t="str">
        <x:v>Sunflower Oil 15L</x:v>
      </x:c>
      <x:c r="J2745" t="str">
        <x:v>Edible Oil</x:v>
      </x:c>
      <x:c r="K2745" t="str">
        <x:v>Fortune</x:v>
      </x:c>
      <x:c r="L2745" s="22" t="n">
        <x:v>1980</x:v>
      </x:c>
      <x:c r="M2745" t="n">
        <x:v>11</x:v>
      </x:c>
      <x:c r="N2745" s="24" t="n">
        <x:v>0.08</x:v>
      </x:c>
      <x:c r="O2745" s="22" t="n">
        <x:f>L2745*M2745</x:f>
        <x:v>21780</x:v>
      </x:c>
      <x:c r="P2745" s="22" t="n">
        <x:f>O2745*(1-N2745)</x:f>
        <x:v>20037.600000000002</x:v>
      </x:c>
      <x:c r="Q2745" s="22" t="n">
        <x:v>1810</x:v>
      </x:c>
      <x:c r="R2745" s="22" t="n">
        <x:f>Q2745*M2745</x:f>
        <x:v>19910</x:v>
      </x:c>
      <x:c r="S2745" s="22" t="n">
        <x:f>P2745-R2745</x:f>
        <x:v>127.60000000000218</x:v>
      </x:c>
      <x:c r="T2745" t="str">
        <x:v>Cash</x:v>
      </x:c>
      <x:c r="U2745" t="str">
        <x:v>Pending</x:v>
      </x:c>
      <x:c r="V2745" t="str">
        <x:v>Delivered</x:v>
      </x:c>
      <x:c r="W2745" t="n">
        <x:v>0</x:v>
      </x:c>
      <x:c r="X2745" t="str"/>
      <x:c r="Y2745" t="str">
        <x:v>Referral</x:v>
      </x:c>
    </x:row>
    <x:row r="2746">
      <x:c r="A2746" t="str">
        <x:v>O002745</x:v>
      </x:c>
      <x:c r="B2746" s="20" t="n">
        <x:v>45743</x:v>
      </x:c>
      <x:c r="C2746" t="str">
        <x:v>C0166</x:v>
      </x:c>
      <x:c r="D2746" t="str">
        <x:v>Mysore Foods 166</x:v>
      </x:c>
      <x:c r="E2746" t="str">
        <x:v>Cafe</x:v>
      </x:c>
      <x:c r="F2746" t="str">
        <x:v>Mangaluru</x:v>
      </x:c>
      <x:c r="G2746" t="str">
        <x:v>Arjun</x:v>
      </x:c>
      <x:c r="H2746" t="str">
        <x:v>P029</x:v>
      </x:c>
      <x:c r="I2746" t="str">
        <x:v>Tomato Ketchup 1kg</x:v>
      </x:c>
      <x:c r="J2746" t="str">
        <x:v>Condiments</x:v>
      </x:c>
      <x:c r="K2746" t="str">
        <x:v>Kissan</x:v>
      </x:c>
      <x:c r="L2746" s="22" t="n">
        <x:v>145</x:v>
      </x:c>
      <x:c r="M2746" t="n">
        <x:v>19</x:v>
      </x:c>
      <x:c r="N2746" s="24" t="n">
        <x:v>0.05</x:v>
      </x:c>
      <x:c r="O2746" s="22" t="n">
        <x:f>L2746*M2746</x:f>
        <x:v>2755</x:v>
      </x:c>
      <x:c r="P2746" s="22" t="n">
        <x:f>O2746*(1-N2746)</x:f>
        <x:v>2617.25</x:v>
      </x:c>
      <x:c r="Q2746" s="22" t="n">
        <x:v>126</x:v>
      </x:c>
      <x:c r="R2746" s="22" t="n">
        <x:f>Q2746*M2746</x:f>
        <x:v>2394</x:v>
      </x:c>
      <x:c r="S2746" s="22" t="n">
        <x:f>P2746-R2746</x:f>
        <x:v>223.25</x:v>
      </x:c>
      <x:c r="T2746" t="str">
        <x:v>UPI</x:v>
      </x:c>
      <x:c r="U2746" t="str">
        <x:v>Pending</x:v>
      </x:c>
      <x:c r="V2746" t="str">
        <x:v>Delivered</x:v>
      </x:c>
      <x:c r="W2746" t="n">
        <x:v>0</x:v>
      </x:c>
      <x:c r="X2746" t="str"/>
      <x:c r="Y2746" t="str">
        <x:v>WhatsApp</x:v>
      </x:c>
    </x:row>
    <x:row r="2747">
      <x:c r="A2747" t="str">
        <x:v>O002746</x:v>
      </x:c>
      <x:c r="B2747" s="20" t="n">
        <x:v>45975</x:v>
      </x:c>
      <x:c r="C2747" t="str">
        <x:v>C0220</x:v>
      </x:c>
      <x:c r="D2747" t="str">
        <x:v>Udupi Canteen 220</x:v>
      </x:c>
      <x:c r="E2747" t="str">
        <x:v>Restaurant</x:v>
      </x:c>
      <x:c r="F2747" t="str">
        <x:v>Bengaluru</x:v>
      </x:c>
      <x:c r="G2747" t="str">
        <x:v>Sneha</x:v>
      </x:c>
      <x:c r="H2747" t="str">
        <x:v>P008</x:v>
      </x:c>
      <x:c r="I2747" t="str">
        <x:v>Palm Oil 15L</x:v>
      </x:c>
      <x:c r="J2747" t="str">
        <x:v>Edible Oil</x:v>
      </x:c>
      <x:c r="K2747" t="str">
        <x:v>Ruchi Gold</x:v>
      </x:c>
      <x:c r="L2747" s="22" t="n">
        <x:v>1760</x:v>
      </x:c>
      <x:c r="M2747" t="n">
        <x:v>5</x:v>
      </x:c>
      <x:c r="N2747" s="24" t="n">
        <x:v>0.03</x:v>
      </x:c>
      <x:c r="O2747" s="22" t="n">
        <x:f>L2747*M2747</x:f>
        <x:v>8800</x:v>
      </x:c>
      <x:c r="P2747" s="22" t="n">
        <x:f>O2747*(1-N2747)</x:f>
        <x:v>8536</x:v>
      </x:c>
      <x:c r="Q2747" s="22" t="n">
        <x:v>1610</x:v>
      </x:c>
      <x:c r="R2747" s="22" t="n">
        <x:f>Q2747*M2747</x:f>
        <x:v>8050</x:v>
      </x:c>
      <x:c r="S2747" s="22" t="n">
        <x:f>P2747-R2747</x:f>
        <x:v>486</x:v>
      </x:c>
      <x:c r="T2747" t="str">
        <x:v>Credit</x:v>
      </x:c>
      <x:c r="U2747" t="str">
        <x:v>Pending</x:v>
      </x:c>
      <x:c r="V2747" t="str">
        <x:v>Delayed</x:v>
      </x:c>
      <x:c r="W2747" t="n">
        <x:v>0</x:v>
      </x:c>
      <x:c r="X2747" t="str"/>
      <x:c r="Y2747" t="str">
        <x:v>WhatsApp</x:v>
      </x:c>
    </x:row>
    <x:row r="2748">
      <x:c r="A2748" t="str">
        <x:v>O002747</x:v>
      </x:c>
      <x:c r="B2748" s="20" t="n">
        <x:v>46273</x:v>
      </x:c>
      <x:c r="C2748" t="str">
        <x:v>C0034</x:v>
      </x:c>
      <x:c r="D2748" t="str">
        <x:v>City Restaurant 34</x:v>
      </x:c>
      <x:c r="E2748" t="str">
        <x:v>Restaurant</x:v>
      </x:c>
      <x:c r="F2748" t="str">
        <x:v>Mangaluru</x:v>
      </x:c>
      <x:c r="G2748" t="str">
        <x:v>Sneha</x:v>
      </x:c>
      <x:c r="H2748" t="str">
        <x:v>P023</x:v>
      </x:c>
      <x:c r="I2748" t="str">
        <x:v>Cola 750ml</x:v>
      </x:c>
      <x:c r="J2748" t="str">
        <x:v>Beverage</x:v>
      </x:c>
      <x:c r="K2748" t="str">
        <x:v>Coca-Cola</x:v>
      </x:c>
      <x:c r="L2748" s="22" t="n">
        <x:v>38</x:v>
      </x:c>
      <x:c r="M2748" t="n">
        <x:v>6</x:v>
      </x:c>
      <x:c r="N2748" s="24" t="n">
        <x:v>0.03</x:v>
      </x:c>
      <x:c r="O2748" s="22" t="n">
        <x:f>L2748*M2748</x:f>
        <x:v>228</x:v>
      </x:c>
      <x:c r="P2748" s="22" t="n">
        <x:f>O2748*(1-N2748)</x:f>
        <x:v>221.16</x:v>
      </x:c>
      <x:c r="Q2748" s="22" t="n">
        <x:v>31</x:v>
      </x:c>
      <x:c r="R2748" s="22" t="n">
        <x:f>Q2748*M2748</x:f>
        <x:v>186</x:v>
      </x:c>
      <x:c r="S2748" s="22" t="n">
        <x:f>P2748-R2748</x:f>
        <x:v>35.16</x:v>
      </x:c>
      <x:c r="T2748" t="str">
        <x:v>Bank Transfer</x:v>
      </x:c>
      <x:c r="U2748" t="str">
        <x:v>Paid</x:v>
      </x:c>
      <x:c r="V2748" t="str">
        <x:v>Delivered</x:v>
      </x:c>
      <x:c r="W2748" t="n">
        <x:v>0</x:v>
      </x:c>
      <x:c r="X2748" t="str"/>
      <x:c r="Y2748" t="str">
        <x:v>Existing Customer</x:v>
      </x:c>
    </x:row>
    <x:row r="2749">
      <x:c r="A2749" t="str">
        <x:v>O002748</x:v>
      </x:c>
      <x:c r="B2749" s="20" t="n">
        <x:v>46118</x:v>
      </x:c>
      <x:c r="C2749" t="str">
        <x:v>C0248</x:v>
      </x:c>
      <x:c r="D2749" t="str">
        <x:v>Royal Restaurant 248</x:v>
      </x:c>
      <x:c r="E2749" t="str">
        <x:v>Canteen</x:v>
      </x:c>
      <x:c r="F2749" t="str">
        <x:v>Mysuru</x:v>
      </x:c>
      <x:c r="G2749" t="str">
        <x:v>Priya</x:v>
      </x:c>
      <x:c r="H2749" t="str">
        <x:v>P031</x:v>
      </x:c>
      <x:c r="I2749" t="str">
        <x:v>Chilli Sauce 700g</x:v>
      </x:c>
      <x:c r="J2749" t="str">
        <x:v>Condiments</x:v>
      </x:c>
      <x:c r="K2749" t="str">
        <x:v>Ching's</x:v>
      </x:c>
      <x:c r="L2749" s="22" t="n">
        <x:v>130</x:v>
      </x:c>
      <x:c r="M2749" t="n">
        <x:v>16</x:v>
      </x:c>
      <x:c r="N2749" s="24" t="n">
        <x:v>0.05</x:v>
      </x:c>
      <x:c r="O2749" s="22" t="n">
        <x:f>L2749*M2749</x:f>
        <x:v>2080</x:v>
      </x:c>
      <x:c r="P2749" s="22" t="n">
        <x:f>O2749*(1-N2749)</x:f>
        <x:v>1976</x:v>
      </x:c>
      <x:c r="Q2749" s="22" t="n">
        <x:v>112</x:v>
      </x:c>
      <x:c r="R2749" s="22" t="n">
        <x:f>Q2749*M2749</x:f>
        <x:v>1792</x:v>
      </x:c>
      <x:c r="S2749" s="22" t="n">
        <x:f>P2749-R2749</x:f>
        <x:v>184</x:v>
      </x:c>
      <x:c r="T2749" t="str">
        <x:v>Credit</x:v>
      </x:c>
      <x:c r="U2749" t="str">
        <x:v>Paid</x:v>
      </x:c>
      <x:c r="V2749" t="str">
        <x:v>Delivered</x:v>
      </x:c>
      <x:c r="W2749" t="n">
        <x:v>0</x:v>
      </x:c>
      <x:c r="X2749" t="str"/>
      <x:c r="Y2749" t="str">
        <x:v>Field Visit</x:v>
      </x:c>
    </x:row>
    <x:row r="2750">
      <x:c r="A2750" t="str">
        <x:v>O002749</x:v>
      </x:c>
      <x:c r="B2750" s="20" t="n">
        <x:v>45860</x:v>
      </x:c>
      <x:c r="C2750" t="str">
        <x:v>C0163</x:v>
      </x:c>
      <x:c r="D2750" t="str">
        <x:v>Shree Kitchen 163</x:v>
      </x:c>
      <x:c r="E2750" t="str">
        <x:v>Kirana</x:v>
      </x:c>
      <x:c r="F2750" t="str">
        <x:v>Mysuru</x:v>
      </x:c>
      <x:c r="G2750" t="str">
        <x:v>Priya</x:v>
      </x:c>
      <x:c r="H2750" t="str">
        <x:v>P020</x:v>
      </x:c>
      <x:c r="I2750" t="str">
        <x:v>Coffee 500g</x:v>
      </x:c>
      <x:c r="J2750" t="str">
        <x:v>Beverage</x:v>
      </x:c>
      <x:c r="K2750" t="str">
        <x:v>Bru</x:v>
      </x:c>
      <x:c r="L2750" s="22" t="n">
        <x:v>390</x:v>
      </x:c>
      <x:c r="M2750" t="n">
        <x:v>22</x:v>
      </x:c>
      <x:c r="N2750" s="24" t="n">
        <x:v>0.08</x:v>
      </x:c>
      <x:c r="O2750" s="22" t="n">
        <x:f>L2750*M2750</x:f>
        <x:v>8580</x:v>
      </x:c>
      <x:c r="P2750" s="22" t="n">
        <x:f>O2750*(1-N2750)</x:f>
        <x:v>7893.6</x:v>
      </x:c>
      <x:c r="Q2750" s="22" t="n">
        <x:v>350</x:v>
      </x:c>
      <x:c r="R2750" s="22" t="n">
        <x:f>Q2750*M2750</x:f>
        <x:v>7700</x:v>
      </x:c>
      <x:c r="S2750" s="22" t="n">
        <x:f>P2750-R2750</x:f>
        <x:v>193.60000000000036</x:v>
      </x:c>
      <x:c r="T2750" t="str">
        <x:v>Credit</x:v>
      </x:c>
      <x:c r="U2750" t="str">
        <x:v>Paid</x:v>
      </x:c>
      <x:c r="V2750" t="str">
        <x:v>Delivered</x:v>
      </x:c>
      <x:c r="W2750" t="n">
        <x:v>0</x:v>
      </x:c>
      <x:c r="X2750" t="str"/>
      <x:c r="Y2750" t="str">
        <x:v>WhatsApp</x:v>
      </x:c>
    </x:row>
    <x:row r="2751">
      <x:c r="A2751" t="str">
        <x:v>O002750</x:v>
      </x:c>
      <x:c r="B2751" s="20" t="n">
        <x:v>46073</x:v>
      </x:c>
      <x:c r="C2751" t="str">
        <x:v>C0029</x:v>
      </x:c>
      <x:c r="D2751" t="str">
        <x:v>Metro Foods 29</x:v>
      </x:c>
      <x:c r="E2751" t="str">
        <x:v>Cafe</x:v>
      </x:c>
      <x:c r="F2751" t="str">
        <x:v>Hubballi</x:v>
      </x:c>
      <x:c r="G2751" t="str">
        <x:v>Priya</x:v>
      </x:c>
      <x:c r="H2751" t="str">
        <x:v>P022</x:v>
      </x:c>
      <x:c r="I2751" t="str">
        <x:v>Mineral Water 1L</x:v>
      </x:c>
      <x:c r="J2751" t="str">
        <x:v>Beverage</x:v>
      </x:c>
      <x:c r="K2751" t="str">
        <x:v>Bisleri</x:v>
      </x:c>
      <x:c r="L2751" s="22" t="n">
        <x:v>19</x:v>
      </x:c>
      <x:c r="M2751" t="n">
        <x:v>20</x:v>
      </x:c>
      <x:c r="N2751" s="24" t="n">
        <x:v>0</x:v>
      </x:c>
      <x:c r="O2751" s="22" t="n">
        <x:f>L2751*M2751</x:f>
        <x:v>380</x:v>
      </x:c>
      <x:c r="P2751" s="22" t="n">
        <x:f>O2751*(1-N2751)</x:f>
        <x:v>380</x:v>
      </x:c>
      <x:c r="Q2751" s="22" t="n">
        <x:v>15</x:v>
      </x:c>
      <x:c r="R2751" s="22" t="n">
        <x:f>Q2751*M2751</x:f>
        <x:v>300</x:v>
      </x:c>
      <x:c r="S2751" s="22" t="n">
        <x:f>P2751-R2751</x:f>
        <x:v>80</x:v>
      </x:c>
      <x:c r="T2751" t="str">
        <x:v>UPI</x:v>
      </x:c>
      <x:c r="U2751" t="str">
        <x:v>Pending</x:v>
      </x:c>
      <x:c r="V2751" t="str">
        <x:v>Delayed</x:v>
      </x:c>
      <x:c r="W2751" t="n">
        <x:v>0</x:v>
      </x:c>
      <x:c r="X2751" t="str"/>
      <x:c r="Y2751" t="str">
        <x:v>Existing Customer</x:v>
      </x:c>
    </x:row>
    <x:row r="2752">
      <x:c r="A2752" t="str">
        <x:v>O002751</x:v>
      </x:c>
      <x:c r="B2752" s="20" t="n">
        <x:v>45934</x:v>
      </x:c>
      <x:c r="C2752" t="str">
        <x:v>C0207</x:v>
      </x:c>
      <x:c r="D2752" t="str">
        <x:v>Hotel Stores 207</x:v>
      </x:c>
      <x:c r="E2752" t="str">
        <x:v>Restaurant</x:v>
      </x:c>
      <x:c r="F2752" t="str">
        <x:v>Hubballi</x:v>
      </x:c>
      <x:c r="G2752" t="str">
        <x:v>Ramesh</x:v>
      </x:c>
      <x:c r="H2752" t="str">
        <x:v>P015</x:v>
      </x:c>
      <x:c r="I2752" t="str">
        <x:v>Milk 1L</x:v>
      </x:c>
      <x:c r="J2752" t="str">
        <x:v>Dairy</x:v>
      </x:c>
      <x:c r="K2752" t="str">
        <x:v>Nandini</x:v>
      </x:c>
      <x:c r="L2752" s="22" t="n">
        <x:v>48</x:v>
      </x:c>
      <x:c r="M2752" t="n">
        <x:v>35</x:v>
      </x:c>
      <x:c r="N2752" s="24" t="n">
        <x:v>0.05</x:v>
      </x:c>
      <x:c r="O2752" s="22" t="n">
        <x:f>L2752*M2752</x:f>
        <x:v>1680</x:v>
      </x:c>
      <x:c r="P2752" s="22" t="n">
        <x:f>O2752*(1-N2752)</x:f>
        <x:v>1596</x:v>
      </x:c>
      <x:c r="Q2752" s="22" t="n">
        <x:v>43</x:v>
      </x:c>
      <x:c r="R2752" s="22" t="n">
        <x:f>Q2752*M2752</x:f>
        <x:v>1505</x:v>
      </x:c>
      <x:c r="S2752" s="22" t="n">
        <x:f>P2752-R2752</x:f>
        <x:v>91</x:v>
      </x:c>
      <x:c r="T2752" t="str">
        <x:v>Cash</x:v>
      </x:c>
      <x:c r="U2752" t="str">
        <x:v>Paid</x:v>
      </x:c>
      <x:c r="V2752" t="str">
        <x:v>Delivered</x:v>
      </x:c>
      <x:c r="W2752" t="n">
        <x:v>0</x:v>
      </x:c>
      <x:c r="X2752" t="str"/>
      <x:c r="Y2752" t="str">
        <x:v>WhatsApp</x:v>
      </x:c>
    </x:row>
    <x:row r="2753">
      <x:c r="A2753" t="str">
        <x:v>O002752</x:v>
      </x:c>
      <x:c r="B2753" s="20" t="n">
        <x:v>45709</x:v>
      </x:c>
      <x:c r="C2753" t="str">
        <x:v>C0161</x:v>
      </x:c>
      <x:c r="D2753" t="str">
        <x:v>Hotel Kitchen 161</x:v>
      </x:c>
      <x:c r="E2753" t="str">
        <x:v>Supermarket</x:v>
      </x:c>
      <x:c r="F2753" t="str">
        <x:v>Mysuru</x:v>
      </x:c>
      <x:c r="G2753" t="str">
        <x:v>Sneha</x:v>
      </x:c>
      <x:c r="H2753" t="str">
        <x:v>P002</x:v>
      </x:c>
      <x:c r="I2753" t="str">
        <x:v>Sona Masoori Rice 25kg</x:v>
      </x:c>
      <x:c r="J2753" t="str">
        <x:v>Staples</x:v>
      </x:c>
      <x:c r="K2753" t="str">
        <x:v>Fortune</x:v>
      </x:c>
      <x:c r="L2753" s="22" t="n">
        <x:v>1320</x:v>
      </x:c>
      <x:c r="M2753" t="n">
        <x:v>5</x:v>
      </x:c>
      <x:c r="N2753" s="24" t="n">
        <x:v>0</x:v>
      </x:c>
      <x:c r="O2753" s="22" t="n">
        <x:f>L2753*M2753</x:f>
        <x:v>6600</x:v>
      </x:c>
      <x:c r="P2753" s="22" t="n">
        <x:f>O2753*(1-N2753)</x:f>
        <x:v>6600</x:v>
      </x:c>
      <x:c r="Q2753" s="22" t="n">
        <x:v>1160</x:v>
      </x:c>
      <x:c r="R2753" s="22" t="n">
        <x:f>Q2753*M2753</x:f>
        <x:v>5800</x:v>
      </x:c>
      <x:c r="S2753" s="22" t="n">
        <x:f>P2753-R2753</x:f>
        <x:v>800</x:v>
      </x:c>
      <x:c r="T2753" t="str">
        <x:v>UPI</x:v>
      </x:c>
      <x:c r="U2753" t="str">
        <x:v>Paid</x:v>
      </x:c>
      <x:c r="V2753" t="str">
        <x:v>Delivered</x:v>
      </x:c>
      <x:c r="W2753" t="n">
        <x:v>0</x:v>
      </x:c>
      <x:c r="X2753" t="str"/>
      <x:c r="Y2753" t="str">
        <x:v>WhatsApp</x:v>
      </x:c>
    </x:row>
    <x:row r="2754">
      <x:c r="A2754" t="str">
        <x:v>O002753</x:v>
      </x:c>
      <x:c r="B2754" s="20" t="n">
        <x:v>46073</x:v>
      </x:c>
      <x:c r="C2754" t="str">
        <x:v>C0074</x:v>
      </x:c>
      <x:c r="D2754" t="str">
        <x:v>Foodie Hotel 74</x:v>
      </x:c>
      <x:c r="E2754" t="str">
        <x:v>Restaurant</x:v>
      </x:c>
      <x:c r="F2754" t="str">
        <x:v>Mysuru</x:v>
      </x:c>
      <x:c r="G2754" t="str">
        <x:v>Vikram</x:v>
      </x:c>
      <x:c r="H2754" t="str">
        <x:v>P011</x:v>
      </x:c>
      <x:c r="I2754" t="str">
        <x:v>Salt 1kg</x:v>
      </x:c>
      <x:c r="J2754" t="str">
        <x:v>Staples</x:v>
      </x:c>
      <x:c r="K2754" t="str">
        <x:v>Tata</x:v>
      </x:c>
      <x:c r="L2754" s="22" t="n">
        <x:v>28</x:v>
      </x:c>
      <x:c r="M2754" t="n">
        <x:v>25</x:v>
      </x:c>
      <x:c r="N2754" s="24" t="n">
        <x:v>0.05</x:v>
      </x:c>
      <x:c r="O2754" s="22" t="n">
        <x:f>L2754*M2754</x:f>
        <x:v>700</x:v>
      </x:c>
      <x:c r="P2754" s="22" t="n">
        <x:f>O2754*(1-N2754)</x:f>
        <x:v>665</x:v>
      </x:c>
      <x:c r="Q2754" s="22" t="n">
        <x:v>23</x:v>
      </x:c>
      <x:c r="R2754" s="22" t="n">
        <x:f>Q2754*M2754</x:f>
        <x:v>575</x:v>
      </x:c>
      <x:c r="S2754" s="22" t="n">
        <x:f>P2754-R2754</x:f>
        <x:v>90</x:v>
      </x:c>
      <x:c r="T2754" t="str">
        <x:v>Bank Transfer</x:v>
      </x:c>
      <x:c r="U2754" t="str">
        <x:v>Paid</x:v>
      </x:c>
      <x:c r="V2754" t="str">
        <x:v>Delivered</x:v>
      </x:c>
      <x:c r="W2754" t="n">
        <x:v>0</x:v>
      </x:c>
      <x:c r="X2754" t="str"/>
      <x:c r="Y2754" t="str">
        <x:v>Outbound Call</x:v>
      </x:c>
    </x:row>
    <x:row r="2755">
      <x:c r="A2755" t="str">
        <x:v>O002754</x:v>
      </x:c>
      <x:c r="B2755" s="20" t="n">
        <x:v>45894</x:v>
      </x:c>
      <x:c r="C2755" t="str">
        <x:v>C0201</x:v>
      </x:c>
      <x:c r="D2755" t="str">
        <x:v>Metro Hotel 201</x:v>
      </x:c>
      <x:c r="E2755" t="str">
        <x:v>Kirana</x:v>
      </x:c>
      <x:c r="F2755" t="str">
        <x:v>Mysuru</x:v>
      </x:c>
      <x:c r="G2755" t="str">
        <x:v>Imran</x:v>
      </x:c>
      <x:c r="H2755" t="str">
        <x:v>P039</x:v>
      </x:c>
      <x:c r="I2755" t="str">
        <x:v>Ice Cream 4L</x:v>
      </x:c>
      <x:c r="J2755" t="str">
        <x:v>Frozen</x:v>
      </x:c>
      <x:c r="K2755" t="str">
        <x:v>Amul</x:v>
      </x:c>
      <x:c r="L2755" s="22" t="n">
        <x:v>480</x:v>
      </x:c>
      <x:c r="M2755" t="n">
        <x:v>4</x:v>
      </x:c>
      <x:c r="N2755" s="24" t="n">
        <x:v>0.03</x:v>
      </x:c>
      <x:c r="O2755" s="22" t="n">
        <x:f>L2755*M2755</x:f>
        <x:v>1920</x:v>
      </x:c>
      <x:c r="P2755" s="22" t="n">
        <x:f>O2755*(1-N2755)</x:f>
        <x:v>1862.3999999999999</x:v>
      </x:c>
      <x:c r="Q2755" s="22" t="n">
        <x:v>420</x:v>
      </x:c>
      <x:c r="R2755" s="22" t="n">
        <x:f>Q2755*M2755</x:f>
        <x:v>1680</x:v>
      </x:c>
      <x:c r="S2755" s="22" t="n">
        <x:f>P2755-R2755</x:f>
        <x:v>182.39999999999986</x:v>
      </x:c>
      <x:c r="T2755" t="str">
        <x:v>UPI</x:v>
      </x:c>
      <x:c r="U2755" t="str">
        <x:v>Paid</x:v>
      </x:c>
      <x:c r="V2755" t="str">
        <x:v>Delivered</x:v>
      </x:c>
      <x:c r="W2755" t="n">
        <x:v>0</x:v>
      </x:c>
      <x:c r="X2755" t="str"/>
      <x:c r="Y2755" t="str">
        <x:v>Outbound Call</x:v>
      </x:c>
    </x:row>
    <x:row r="2756">
      <x:c r="A2756" t="str">
        <x:v>O002755</x:v>
      </x:c>
      <x:c r="B2756" s="20" t="n">
        <x:v>45809</x:v>
      </x:c>
      <x:c r="C2756" t="str">
        <x:v>C0174</x:v>
      </x:c>
      <x:c r="D2756" t="str">
        <x:v>Classic Stores 174</x:v>
      </x:c>
      <x:c r="E2756" t="str">
        <x:v>Kirana</x:v>
      </x:c>
      <x:c r="F2756" t="str">
        <x:v>Mysuru</x:v>
      </x:c>
      <x:c r="G2756" t="str">
        <x:v>Vikram</x:v>
      </x:c>
      <x:c r="H2756" t="str">
        <x:v>P022</x:v>
      </x:c>
      <x:c r="I2756" t="str">
        <x:v>Mineral Water 1L</x:v>
      </x:c>
      <x:c r="J2756" t="str">
        <x:v>Beverage</x:v>
      </x:c>
      <x:c r="K2756" t="str">
        <x:v>Bisleri</x:v>
      </x:c>
      <x:c r="L2756" s="22" t="n">
        <x:v>19</x:v>
      </x:c>
      <x:c r="M2756" t="n">
        <x:v>30</x:v>
      </x:c>
      <x:c r="N2756" s="24" t="n">
        <x:v>0</x:v>
      </x:c>
      <x:c r="O2756" s="22" t="n">
        <x:f>L2756*M2756</x:f>
        <x:v>570</x:v>
      </x:c>
      <x:c r="P2756" s="22" t="n">
        <x:f>O2756*(1-N2756)</x:f>
        <x:v>570</x:v>
      </x:c>
      <x:c r="Q2756" s="22" t="n">
        <x:v>15</x:v>
      </x:c>
      <x:c r="R2756" s="22" t="n">
        <x:f>Q2756*M2756</x:f>
        <x:v>450</x:v>
      </x:c>
      <x:c r="S2756" s="22" t="n">
        <x:f>P2756-R2756</x:f>
        <x:v>120</x:v>
      </x:c>
      <x:c r="T2756" t="str">
        <x:v>UPI</x:v>
      </x:c>
      <x:c r="U2756" t="str">
        <x:v>Pending</x:v>
      </x:c>
      <x:c r="V2756" t="str">
        <x:v>Delivered</x:v>
      </x:c>
      <x:c r="W2756" t="n">
        <x:v>0</x:v>
      </x:c>
      <x:c r="X2756" t="str"/>
      <x:c r="Y2756" t="str">
        <x:v>WhatsApp</x:v>
      </x:c>
    </x:row>
    <x:row r="2757">
      <x:c r="A2757" t="str">
        <x:v>O002756</x:v>
      </x:c>
      <x:c r="B2757" s="20" t="n">
        <x:v>46161</x:v>
      </x:c>
      <x:c r="C2757" t="str">
        <x:v>C0017</x:v>
      </x:c>
      <x:c r="D2757" t="str">
        <x:v>City Foods 17</x:v>
      </x:c>
      <x:c r="E2757" t="str">
        <x:v>Restaurant</x:v>
      </x:c>
      <x:c r="F2757" t="str">
        <x:v>Tumakuru</x:v>
      </x:c>
      <x:c r="G2757" t="str">
        <x:v>Imran</x:v>
      </x:c>
      <x:c r="H2757" t="str">
        <x:v>P017</x:v>
      </x:c>
      <x:c r="I2757" t="str">
        <x:v>Butter 500g</x:v>
      </x:c>
      <x:c r="J2757" t="str">
        <x:v>Dairy</x:v>
      </x:c>
      <x:c r="K2757" t="str">
        <x:v>Amul</x:v>
      </x:c>
      <x:c r="L2757" s="22" t="n">
        <x:v>285</x:v>
      </x:c>
      <x:c r="M2757" t="n">
        <x:v>22</x:v>
      </x:c>
      <x:c r="N2757" s="24" t="n">
        <x:v>0.03</x:v>
      </x:c>
      <x:c r="O2757" s="22" t="n">
        <x:f>L2757*M2757</x:f>
        <x:v>6270</x:v>
      </x:c>
      <x:c r="P2757" s="22" t="n">
        <x:f>O2757*(1-N2757)</x:f>
        <x:v>6081.9</x:v>
      </x:c>
      <x:c r="Q2757" s="22" t="n">
        <x:v>258</x:v>
      </x:c>
      <x:c r="R2757" s="22" t="n">
        <x:f>Q2757*M2757</x:f>
        <x:v>5676</x:v>
      </x:c>
      <x:c r="S2757" s="22" t="n">
        <x:f>P2757-R2757</x:f>
        <x:v>405.89999999999964</x:v>
      </x:c>
      <x:c r="T2757" t="str">
        <x:v>UPI</x:v>
      </x:c>
      <x:c r="U2757" t="str">
        <x:v>Pending</x:v>
      </x:c>
      <x:c r="V2757" t="str">
        <x:v>Cancelled</x:v>
      </x:c>
      <x:c r="W2757" t="n">
        <x:v>22</x:v>
      </x:c>
      <x:c r="X2757" t="str">
        <x:v>Cancelled Order</x:v>
      </x:c>
      <x:c r="Y2757" t="str">
        <x:v>Outbound Call</x:v>
      </x:c>
    </x:row>
    <x:row r="2758">
      <x:c r="A2758" t="str">
        <x:v>O002757</x:v>
      </x:c>
      <x:c r="B2758" s="20" t="n">
        <x:v>45886</x:v>
      </x:c>
      <x:c r="C2758" t="str">
        <x:v>C0033</x:v>
      </x:c>
      <x:c r="D2758" t="str">
        <x:v>Shree Canteen 33</x:v>
      </x:c>
      <x:c r="E2758" t="str">
        <x:v>Canteen</x:v>
      </x:c>
      <x:c r="F2758" t="str">
        <x:v>Mangaluru</x:v>
      </x:c>
      <x:c r="G2758" t="str">
        <x:v>Imran</x:v>
      </x:c>
      <x:c r="H2758" t="str">
        <x:v>P040</x:v>
      </x:c>
      <x:c r="I2758" t="str">
        <x:v>Bread Loaf 400g</x:v>
      </x:c>
      <x:c r="J2758" t="str">
        <x:v>Bakery</x:v>
      </x:c>
      <x:c r="K2758" t="str">
        <x:v>Britannia</x:v>
      </x:c>
      <x:c r="L2758" s="22" t="n">
        <x:v>45</x:v>
      </x:c>
      <x:c r="M2758" t="n">
        <x:v>14</x:v>
      </x:c>
      <x:c r="N2758" s="24" t="n">
        <x:v>0.1</x:v>
      </x:c>
      <x:c r="O2758" s="22" t="n">
        <x:f>L2758*M2758</x:f>
        <x:v>630</x:v>
      </x:c>
      <x:c r="P2758" s="22" t="n">
        <x:f>O2758*(1-N2758)</x:f>
        <x:v>567</x:v>
      </x:c>
      <x:c r="Q2758" s="22" t="n">
        <x:v>35</x:v>
      </x:c>
      <x:c r="R2758" s="22" t="n">
        <x:f>Q2758*M2758</x:f>
        <x:v>490</x:v>
      </x:c>
      <x:c r="S2758" s="22" t="n">
        <x:f>P2758-R2758</x:f>
        <x:v>77</x:v>
      </x:c>
      <x:c r="T2758" t="str">
        <x:v>Cash</x:v>
      </x:c>
      <x:c r="U2758" t="str">
        <x:v>Paid</x:v>
      </x:c>
      <x:c r="V2758" t="str">
        <x:v>Delivered</x:v>
      </x:c>
      <x:c r="W2758" t="n">
        <x:v>0</x:v>
      </x:c>
      <x:c r="X2758" t="str"/>
      <x:c r="Y2758" t="str">
        <x:v>Existing Customer</x:v>
      </x:c>
    </x:row>
    <x:row r="2759">
      <x:c r="A2759" t="str">
        <x:v>O002758</x:v>
      </x:c>
      <x:c r="B2759" s="20" t="n">
        <x:v>45988</x:v>
      </x:c>
      <x:c r="C2759" t="str">
        <x:v>C0063</x:v>
      </x:c>
      <x:c r="D2759" t="str">
        <x:v>Namma Mart 63</x:v>
      </x:c>
      <x:c r="E2759" t="str">
        <x:v>Supermarket</x:v>
      </x:c>
      <x:c r="F2759" t="str">
        <x:v>Tumakuru</x:v>
      </x:c>
      <x:c r="G2759" t="str">
        <x:v>Priya</x:v>
      </x:c>
      <x:c r="H2759" t="str">
        <x:v>P049</x:v>
      </x:c>
      <x:c r="I2759" t="str">
        <x:v>Apple 10kg</x:v>
      </x:c>
      <x:c r="J2759" t="str">
        <x:v>Fresh Produce</x:v>
      </x:c>
      <x:c r="K2759" t="str">
        <x:v>Local Market</x:v>
      </x:c>
      <x:c r="L2759" s="22" t="n">
        <x:v>1450</x:v>
      </x:c>
      <x:c r="M2759" t="n">
        <x:v>7</x:v>
      </x:c>
      <x:c r="N2759" s="24" t="n">
        <x:v>0.05</x:v>
      </x:c>
      <x:c r="O2759" s="22" t="n">
        <x:f>L2759*M2759</x:f>
        <x:v>10150</x:v>
      </x:c>
      <x:c r="P2759" s="22" t="n">
        <x:f>O2759*(1-N2759)</x:f>
        <x:v>9642.5</x:v>
      </x:c>
      <x:c r="Q2759" s="22" t="n">
        <x:v>1280</x:v>
      </x:c>
      <x:c r="R2759" s="22" t="n">
        <x:f>Q2759*M2759</x:f>
        <x:v>8960</x:v>
      </x:c>
      <x:c r="S2759" s="22" t="n">
        <x:f>P2759-R2759</x:f>
        <x:v>682.5</x:v>
      </x:c>
      <x:c r="T2759" t="str">
        <x:v>Credit</x:v>
      </x:c>
      <x:c r="U2759" t="str">
        <x:v>Pending</x:v>
      </x:c>
      <x:c r="V2759" t="str">
        <x:v>Delivered</x:v>
      </x:c>
      <x:c r="W2759" t="n">
        <x:v>0</x:v>
      </x:c>
      <x:c r="X2759" t="str"/>
      <x:c r="Y2759" t="str">
        <x:v>Referral</x:v>
      </x:c>
    </x:row>
    <x:row r="2760">
      <x:c r="A2760" t="str">
        <x:v>O002759</x:v>
      </x:c>
      <x:c r="B2760" s="20" t="n">
        <x:v>45828</x:v>
      </x:c>
      <x:c r="C2760" t="str">
        <x:v>C0006</x:v>
      </x:c>
      <x:c r="D2760" t="str">
        <x:v>New Restaurant 6</x:v>
      </x:c>
      <x:c r="E2760" t="str">
        <x:v>Kirana</x:v>
      </x:c>
      <x:c r="F2760" t="str">
        <x:v>Hubballi</x:v>
      </x:c>
      <x:c r="G2760" t="str">
        <x:v>Vikram</x:v>
      </x:c>
      <x:c r="H2760" t="str">
        <x:v>P011</x:v>
      </x:c>
      <x:c r="I2760" t="str">
        <x:v>Salt 1kg</x:v>
      </x:c>
      <x:c r="J2760" t="str">
        <x:v>Staples</x:v>
      </x:c>
      <x:c r="K2760" t="str">
        <x:v>Tata</x:v>
      </x:c>
      <x:c r="L2760" s="22" t="n">
        <x:v>28</x:v>
      </x:c>
      <x:c r="M2760" t="n">
        <x:v>28</x:v>
      </x:c>
      <x:c r="N2760" s="24" t="n">
        <x:v>0.05</x:v>
      </x:c>
      <x:c r="O2760" s="22" t="n">
        <x:f>L2760*M2760</x:f>
        <x:v>784</x:v>
      </x:c>
      <x:c r="P2760" s="22" t="n">
        <x:f>O2760*(1-N2760)</x:f>
        <x:v>744.8</x:v>
      </x:c>
      <x:c r="Q2760" s="22" t="n">
        <x:v>23</x:v>
      </x:c>
      <x:c r="R2760" s="22" t="n">
        <x:f>Q2760*M2760</x:f>
        <x:v>644</x:v>
      </x:c>
      <x:c r="S2760" s="22" t="n">
        <x:f>P2760-R2760</x:f>
        <x:v>100.79999999999995</x:v>
      </x:c>
      <x:c r="T2760" t="str">
        <x:v>Bank Transfer</x:v>
      </x:c>
      <x:c r="U2760" t="str">
        <x:v>Pending</x:v>
      </x:c>
      <x:c r="V2760" t="str">
        <x:v>Delivered</x:v>
      </x:c>
      <x:c r="W2760" t="n">
        <x:v>0</x:v>
      </x:c>
      <x:c r="X2760" t="str"/>
      <x:c r="Y2760" t="str">
        <x:v>Referral</x:v>
      </x:c>
    </x:row>
    <x:row r="2761">
      <x:c r="A2761" t="str">
        <x:v>O002760</x:v>
      </x:c>
      <x:c r="B2761" s="20" t="n">
        <x:v>45865</x:v>
      </x:c>
      <x:c r="C2761" t="str">
        <x:v>C0003</x:v>
      </x:c>
      <x:c r="D2761" t="str">
        <x:v>Grand Foods 3</x:v>
      </x:c>
      <x:c r="E2761" t="str">
        <x:v>Restaurant</x:v>
      </x:c>
      <x:c r="F2761" t="str">
        <x:v>Bengaluru</x:v>
      </x:c>
      <x:c r="G2761" t="str">
        <x:v>Vikram</x:v>
      </x:c>
      <x:c r="H2761" t="str">
        <x:v>P003</x:v>
      </x:c>
      <x:c r="I2761" t="str">
        <x:v>Basmati Rice 5kg</x:v>
      </x:c>
      <x:c r="J2761" t="str">
        <x:v>Staples</x:v>
      </x:c>
      <x:c r="K2761" t="str">
        <x:v>India Gate</x:v>
      </x:c>
      <x:c r="L2761" s="22" t="n">
        <x:v>690</x:v>
      </x:c>
      <x:c r="M2761" t="n">
        <x:v>10</x:v>
      </x:c>
      <x:c r="N2761" s="24" t="n">
        <x:v>0.05</x:v>
      </x:c>
      <x:c r="O2761" s="22" t="n">
        <x:f>L2761*M2761</x:f>
        <x:v>6900</x:v>
      </x:c>
      <x:c r="P2761" s="22" t="n">
        <x:f>O2761*(1-N2761)</x:f>
        <x:v>6555</x:v>
      </x:c>
      <x:c r="Q2761" s="22" t="n">
        <x:v>610</x:v>
      </x:c>
      <x:c r="R2761" s="22" t="n">
        <x:f>Q2761*M2761</x:f>
        <x:v>6100</x:v>
      </x:c>
      <x:c r="S2761" s="22" t="n">
        <x:f>P2761-R2761</x:f>
        <x:v>455</x:v>
      </x:c>
      <x:c r="T2761" t="str">
        <x:v>UPI</x:v>
      </x:c>
      <x:c r="U2761" t="str">
        <x:v>Paid</x:v>
      </x:c>
      <x:c r="V2761" t="str">
        <x:v>Cancelled</x:v>
      </x:c>
      <x:c r="W2761" t="n">
        <x:v>10</x:v>
      </x:c>
      <x:c r="X2761" t="str">
        <x:v>Cancelled Order</x:v>
      </x:c>
      <x:c r="Y2761" t="str">
        <x:v>Outbound Call</x:v>
      </x:c>
    </x:row>
    <x:row r="2762">
      <x:c r="A2762" t="str">
        <x:v>O002761</x:v>
      </x:c>
      <x:c r="B2762" s="20" t="n">
        <x:v>46074</x:v>
      </x:c>
      <x:c r="C2762" t="str">
        <x:v>C0216</x:v>
      </x:c>
      <x:c r="D2762" t="str">
        <x:v>Cafe Restaurant 216</x:v>
      </x:c>
      <x:c r="E2762" t="str">
        <x:v>Canteen</x:v>
      </x:c>
      <x:c r="F2762" t="str">
        <x:v>Bengaluru</x:v>
      </x:c>
      <x:c r="G2762" t="str">
        <x:v>Vikram</x:v>
      </x:c>
      <x:c r="H2762" t="str">
        <x:v>P030</x:v>
      </x:c>
      <x:c r="I2762" t="str">
        <x:v>Mayonnaise 1kg</x:v>
      </x:c>
      <x:c r="J2762" t="str">
        <x:v>Condiments</x:v>
      </x:c>
      <x:c r="K2762" t="str">
        <x:v>Veeba</x:v>
      </x:c>
      <x:c r="L2762" s="22" t="n">
        <x:v>210</x:v>
      </x:c>
      <x:c r="M2762" t="n">
        <x:v>5</x:v>
      </x:c>
      <x:c r="N2762" s="24" t="n">
        <x:v>0.08</x:v>
      </x:c>
      <x:c r="O2762" s="22" t="n">
        <x:f>L2762*M2762</x:f>
        <x:v>1050</x:v>
      </x:c>
      <x:c r="P2762" s="22" t="n">
        <x:f>O2762*(1-N2762)</x:f>
        <x:v>966</x:v>
      </x:c>
      <x:c r="Q2762" s="22" t="n">
        <x:v>185</x:v>
      </x:c>
      <x:c r="R2762" s="22" t="n">
        <x:f>Q2762*M2762</x:f>
        <x:v>925</x:v>
      </x:c>
      <x:c r="S2762" s="22" t="n">
        <x:f>P2762-R2762</x:f>
        <x:v>41</x:v>
      </x:c>
      <x:c r="T2762" t="str">
        <x:v>Cash</x:v>
      </x:c>
      <x:c r="U2762" t="str">
        <x:v>Paid</x:v>
      </x:c>
      <x:c r="V2762" t="str">
        <x:v>Delivered</x:v>
      </x:c>
      <x:c r="W2762" t="n">
        <x:v>0</x:v>
      </x:c>
      <x:c r="X2762" t="str"/>
      <x:c r="Y2762" t="str">
        <x:v>Referral</x:v>
      </x:c>
    </x:row>
    <x:row r="2763">
      <x:c r="A2763" t="str">
        <x:v>O002762</x:v>
      </x:c>
      <x:c r="B2763" s="20" t="n">
        <x:v>45983</x:v>
      </x:c>
      <x:c r="C2763" t="str">
        <x:v>C0181</x:v>
      </x:c>
      <x:c r="D2763" t="str">
        <x:v>Darshini Mart 181</x:v>
      </x:c>
      <x:c r="E2763" t="str">
        <x:v>Restaurant</x:v>
      </x:c>
      <x:c r="F2763" t="str">
        <x:v>Mangaluru</x:v>
      </x:c>
      <x:c r="G2763" t="str">
        <x:v>Kavya</x:v>
      </x:c>
      <x:c r="H2763" t="str">
        <x:v>P021</x:v>
      </x:c>
      <x:c r="I2763" t="str">
        <x:v>Instant Coffee 200g</x:v>
      </x:c>
      <x:c r="J2763" t="str">
        <x:v>Beverage</x:v>
      </x:c>
      <x:c r="K2763" t="str">
        <x:v>Nescafe</x:v>
      </x:c>
      <x:c r="L2763" s="22" t="n">
        <x:v>460</x:v>
      </x:c>
      <x:c r="M2763" t="n">
        <x:v>17</x:v>
      </x:c>
      <x:c r="N2763" s="24" t="n">
        <x:v>0.05</x:v>
      </x:c>
      <x:c r="O2763" s="22" t="n">
        <x:f>L2763*M2763</x:f>
        <x:v>7820</x:v>
      </x:c>
      <x:c r="P2763" s="22" t="n">
        <x:f>O2763*(1-N2763)</x:f>
        <x:v>7429</x:v>
      </x:c>
      <x:c r="Q2763" s="22" t="n">
        <x:v>410</x:v>
      </x:c>
      <x:c r="R2763" s="22" t="n">
        <x:f>Q2763*M2763</x:f>
        <x:v>6970</x:v>
      </x:c>
      <x:c r="S2763" s="22" t="n">
        <x:f>P2763-R2763</x:f>
        <x:v>459</x:v>
      </x:c>
      <x:c r="T2763" t="str">
        <x:v>UPI</x:v>
      </x:c>
      <x:c r="U2763" t="str">
        <x:v>Paid</x:v>
      </x:c>
      <x:c r="V2763" t="str">
        <x:v>Delivered</x:v>
      </x:c>
      <x:c r="W2763" t="n">
        <x:v>0</x:v>
      </x:c>
      <x:c r="X2763" t="str"/>
      <x:c r="Y2763" t="str">
        <x:v>Referral</x:v>
      </x:c>
    </x:row>
    <x:row r="2764">
      <x:c r="A2764" t="str">
        <x:v>O002763</x:v>
      </x:c>
      <x:c r="B2764" s="20" t="n">
        <x:v>46271</x:v>
      </x:c>
      <x:c r="C2764" t="str">
        <x:v>C0159</x:v>
      </x:c>
      <x:c r="D2764" t="str">
        <x:v>Darshini Foods 159</x:v>
      </x:c>
      <x:c r="E2764" t="str">
        <x:v>Canteen</x:v>
      </x:c>
      <x:c r="F2764" t="str">
        <x:v>Tumakuru</x:v>
      </x:c>
      <x:c r="G2764" t="str">
        <x:v>Kavya</x:v>
      </x:c>
      <x:c r="H2764" t="str">
        <x:v>P032</x:v>
      </x:c>
      <x:c r="I2764" t="str">
        <x:v>Soy Sauce 700g</x:v>
      </x:c>
      <x:c r="J2764" t="str">
        <x:v>Condiments</x:v>
      </x:c>
      <x:c r="K2764" t="str">
        <x:v>Ching's</x:v>
      </x:c>
      <x:c r="L2764" s="22" t="n">
        <x:v>118</x:v>
      </x:c>
      <x:c r="M2764" t="n">
        <x:v>10</x:v>
      </x:c>
      <x:c r="N2764" s="24" t="n">
        <x:v>0.05</x:v>
      </x:c>
      <x:c r="O2764" s="22" t="n">
        <x:f>L2764*M2764</x:f>
        <x:v>1180</x:v>
      </x:c>
      <x:c r="P2764" s="22" t="n">
        <x:f>O2764*(1-N2764)</x:f>
        <x:v>1121</x:v>
      </x:c>
      <x:c r="Q2764" s="22" t="n">
        <x:v>101</x:v>
      </x:c>
      <x:c r="R2764" s="22" t="n">
        <x:f>Q2764*M2764</x:f>
        <x:v>1010</x:v>
      </x:c>
      <x:c r="S2764" s="22" t="n">
        <x:f>P2764-R2764</x:f>
        <x:v>111</x:v>
      </x:c>
      <x:c r="T2764" t="str">
        <x:v>UPI</x:v>
      </x:c>
      <x:c r="U2764" t="str">
        <x:v>Pending</x:v>
      </x:c>
      <x:c r="V2764" t="str">
        <x:v>Delivered</x:v>
      </x:c>
      <x:c r="W2764" t="n">
        <x:v>0</x:v>
      </x:c>
      <x:c r="X2764" t="str"/>
      <x:c r="Y2764" t="str">
        <x:v>Field Visit</x:v>
      </x:c>
    </x:row>
    <x:row r="2765">
      <x:c r="A2765" t="str">
        <x:v>O002764</x:v>
      </x:c>
      <x:c r="B2765" s="20" t="n">
        <x:v>45859</x:v>
      </x:c>
      <x:c r="C2765" t="str">
        <x:v>C0058</x:v>
      </x:c>
      <x:c r="D2765" t="str">
        <x:v>Spice Kitchen 58</x:v>
      </x:c>
      <x:c r="E2765" t="str">
        <x:v>Supermarket</x:v>
      </x:c>
      <x:c r="F2765" t="str">
        <x:v>Davanagere</x:v>
      </x:c>
      <x:c r="G2765" t="str">
        <x:v>Sneha</x:v>
      </x:c>
      <x:c r="H2765" t="str">
        <x:v>P040</x:v>
      </x:c>
      <x:c r="I2765" t="str">
        <x:v>Bread Loaf 400g</x:v>
      </x:c>
      <x:c r="J2765" t="str">
        <x:v>Bakery</x:v>
      </x:c>
      <x:c r="K2765" t="str">
        <x:v>Britannia</x:v>
      </x:c>
      <x:c r="L2765" s="22" t="n">
        <x:v>45</x:v>
      </x:c>
      <x:c r="M2765" t="n">
        <x:v>20</x:v>
      </x:c>
      <x:c r="N2765" s="24" t="n">
        <x:v>0.1</x:v>
      </x:c>
      <x:c r="O2765" s="22" t="n">
        <x:f>L2765*M2765</x:f>
        <x:v>900</x:v>
      </x:c>
      <x:c r="P2765" s="22" t="n">
        <x:f>O2765*(1-N2765)</x:f>
        <x:v>810</x:v>
      </x:c>
      <x:c r="Q2765" s="22" t="n">
        <x:v>35</x:v>
      </x:c>
      <x:c r="R2765" s="22" t="n">
        <x:f>Q2765*M2765</x:f>
        <x:v>700</x:v>
      </x:c>
      <x:c r="S2765" s="22" t="n">
        <x:f>P2765-R2765</x:f>
        <x:v>110</x:v>
      </x:c>
      <x:c r="T2765" t="str">
        <x:v>Credit</x:v>
      </x:c>
      <x:c r="U2765" t="str">
        <x:v>Paid</x:v>
      </x:c>
      <x:c r="V2765" t="str">
        <x:v>Delivered</x:v>
      </x:c>
      <x:c r="W2765" t="n">
        <x:v>0</x:v>
      </x:c>
      <x:c r="X2765" t="str"/>
      <x:c r="Y2765" t="str">
        <x:v>Referral</x:v>
      </x:c>
    </x:row>
    <x:row r="2766">
      <x:c r="A2766" t="str">
        <x:v>O002765</x:v>
      </x:c>
      <x:c r="B2766" s="20" t="n">
        <x:v>45845</x:v>
      </x:c>
      <x:c r="C2766" t="str">
        <x:v>C0172</x:v>
      </x:c>
      <x:c r="D2766" t="str">
        <x:v>Annapurna Stores 172</x:v>
      </x:c>
      <x:c r="E2766" t="str">
        <x:v>Restaurant</x:v>
      </x:c>
      <x:c r="F2766" t="str">
        <x:v>Mangaluru</x:v>
      </x:c>
      <x:c r="G2766" t="str">
        <x:v>Megha</x:v>
      </x:c>
      <x:c r="H2766" t="str">
        <x:v>P038</x:v>
      </x:c>
      <x:c r="I2766" t="str">
        <x:v>French Fries 2.5kg</x:v>
      </x:c>
      <x:c r="J2766" t="str">
        <x:v>Frozen</x:v>
      </x:c>
      <x:c r="K2766" t="str">
        <x:v>McCain</x:v>
      </x:c>
      <x:c r="L2766" s="22" t="n">
        <x:v>360</x:v>
      </x:c>
      <x:c r="M2766" t="n">
        <x:v>23</x:v>
      </x:c>
      <x:c r="N2766" s="24" t="n">
        <x:v>0</x:v>
      </x:c>
      <x:c r="O2766" s="22" t="n">
        <x:f>L2766*M2766</x:f>
        <x:v>8280</x:v>
      </x:c>
      <x:c r="P2766" s="22" t="n">
        <x:f>O2766*(1-N2766)</x:f>
        <x:v>8280</x:v>
      </x:c>
      <x:c r="Q2766" s="22" t="n">
        <x:v>315</x:v>
      </x:c>
      <x:c r="R2766" s="22" t="n">
        <x:f>Q2766*M2766</x:f>
        <x:v>7245</x:v>
      </x:c>
      <x:c r="S2766" s="22" t="n">
        <x:f>P2766-R2766</x:f>
        <x:v>1035</x:v>
      </x:c>
      <x:c r="T2766" t="str">
        <x:v>Credit</x:v>
      </x:c>
      <x:c r="U2766" t="str">
        <x:v>Paid</x:v>
      </x:c>
      <x:c r="V2766" t="str">
        <x:v>Delivered</x:v>
      </x:c>
      <x:c r="W2766" t="n">
        <x:v>0</x:v>
      </x:c>
      <x:c r="X2766" t="str"/>
      <x:c r="Y2766" t="str">
        <x:v>Referral</x:v>
      </x:c>
    </x:row>
    <x:row r="2767">
      <x:c r="A2767" t="str">
        <x:v>O002766</x:v>
      </x:c>
      <x:c r="B2767" s="20" t="n">
        <x:v>45758</x:v>
      </x:c>
      <x:c r="C2767" t="str">
        <x:v>C0205</x:v>
      </x:c>
      <x:c r="D2767" t="str">
        <x:v>Royal Mart 205</x:v>
      </x:c>
      <x:c r="E2767" t="str">
        <x:v>Kirana</x:v>
      </x:c>
      <x:c r="F2767" t="str">
        <x:v>Mysuru</x:v>
      </x:c>
      <x:c r="G2767" t="str">
        <x:v>Priya</x:v>
      </x:c>
      <x:c r="H2767" t="str">
        <x:v>P033</x:v>
      </x:c>
      <x:c r="I2767" t="str">
        <x:v>Turmeric Powder 1kg</x:v>
      </x:c>
      <x:c r="J2767" t="str">
        <x:v>Spices</x:v>
      </x:c>
      <x:c r="K2767" t="str">
        <x:v>Everest</x:v>
      </x:c>
      <x:c r="L2767" s="22" t="n">
        <x:v>310</x:v>
      </x:c>
      <x:c r="M2767" t="n">
        <x:v>15</x:v>
      </x:c>
      <x:c r="N2767" s="24" t="n">
        <x:v>0</x:v>
      </x:c>
      <x:c r="O2767" s="22" t="n">
        <x:f>L2767*M2767</x:f>
        <x:v>4650</x:v>
      </x:c>
      <x:c r="P2767" s="22" t="n">
        <x:f>O2767*(1-N2767)</x:f>
        <x:v>4650</x:v>
      </x:c>
      <x:c r="Q2767" s="22" t="n">
        <x:v>270</x:v>
      </x:c>
      <x:c r="R2767" s="22" t="n">
        <x:f>Q2767*M2767</x:f>
        <x:v>4050</x:v>
      </x:c>
      <x:c r="S2767" s="22" t="n">
        <x:f>P2767-R2767</x:f>
        <x:v>600</x:v>
      </x:c>
      <x:c r="T2767" t="str">
        <x:v>Credit</x:v>
      </x:c>
      <x:c r="U2767" t="str">
        <x:v>Paid</x:v>
      </x:c>
      <x:c r="V2767" t="str">
        <x:v>Delivered</x:v>
      </x:c>
      <x:c r="W2767" t="n">
        <x:v>0</x:v>
      </x:c>
      <x:c r="X2767" t="str"/>
      <x:c r="Y2767" t="str">
        <x:v>Referral</x:v>
      </x:c>
    </x:row>
    <x:row r="2768">
      <x:c r="A2768" t="str">
        <x:v>O002767</x:v>
      </x:c>
      <x:c r="B2768" s="20" t="n">
        <x:v>45975</x:v>
      </x:c>
      <x:c r="C2768" t="str">
        <x:v>C0059</x:v>
      </x:c>
      <x:c r="D2768" t="str">
        <x:v>Spice Foods 59</x:v>
      </x:c>
      <x:c r="E2768" t="str">
        <x:v>Hotel</x:v>
      </x:c>
      <x:c r="F2768" t="str">
        <x:v>Hubballi</x:v>
      </x:c>
      <x:c r="G2768" t="str">
        <x:v>Sneha</x:v>
      </x:c>
      <x:c r="H2768" t="str">
        <x:v>P028</x:v>
      </x:c>
      <x:c r="I2768" t="str">
        <x:v>Cookies 200g</x:v>
      </x:c>
      <x:c r="J2768" t="str">
        <x:v>Snacks</x:v>
      </x:c>
      <x:c r="K2768" t="str">
        <x:v>Britannia</x:v>
      </x:c>
      <x:c r="L2768" s="22" t="n">
        <x:v>55</x:v>
      </x:c>
      <x:c r="M2768" t="n">
        <x:v>7</x:v>
      </x:c>
      <x:c r="N2768" s="24" t="n">
        <x:v>0.05</x:v>
      </x:c>
      <x:c r="O2768" s="22" t="n">
        <x:f>L2768*M2768</x:f>
        <x:v>385</x:v>
      </x:c>
      <x:c r="P2768" s="22" t="n">
        <x:f>O2768*(1-N2768)</x:f>
        <x:v>365.75</x:v>
      </x:c>
      <x:c r="Q2768" s="22" t="n">
        <x:v>42</x:v>
      </x:c>
      <x:c r="R2768" s="22" t="n">
        <x:f>Q2768*M2768</x:f>
        <x:v>294</x:v>
      </x:c>
      <x:c r="S2768" s="22" t="n">
        <x:f>P2768-R2768</x:f>
        <x:v>71.75</x:v>
      </x:c>
      <x:c r="T2768" t="str">
        <x:v>Bank Transfer</x:v>
      </x:c>
      <x:c r="U2768" t="str">
        <x:v>Paid</x:v>
      </x:c>
      <x:c r="V2768" t="str">
        <x:v>Delivered</x:v>
      </x:c>
      <x:c r="W2768" t="n">
        <x:v>0</x:v>
      </x:c>
      <x:c r="X2768" t="str"/>
      <x:c r="Y2768" t="str">
        <x:v>Outbound Call</x:v>
      </x:c>
    </x:row>
    <x:row r="2769">
      <x:c r="A2769" t="str">
        <x:v>O002768</x:v>
      </x:c>
      <x:c r="B2769" s="20" t="n">
        <x:v>45853</x:v>
      </x:c>
      <x:c r="C2769" t="str">
        <x:v>C0138</x:v>
      </x:c>
      <x:c r="D2769" t="str">
        <x:v>New Mart 138</x:v>
      </x:c>
      <x:c r="E2769" t="str">
        <x:v>Restaurant</x:v>
      </x:c>
      <x:c r="F2769" t="str">
        <x:v>Bengaluru</x:v>
      </x:c>
      <x:c r="G2769" t="str">
        <x:v>Ramesh</x:v>
      </x:c>
      <x:c r="H2769" t="str">
        <x:v>P024</x:v>
      </x:c>
      <x:c r="I2769" t="str">
        <x:v>Orange Drink 1L</x:v>
      </x:c>
      <x:c r="J2769" t="str">
        <x:v>Beverage</x:v>
      </x:c>
      <x:c r="K2769" t="str">
        <x:v>Minute Maid</x:v>
      </x:c>
      <x:c r="L2769" s="22" t="n">
        <x:v>105</x:v>
      </x:c>
      <x:c r="M2769" t="n">
        <x:v>30</x:v>
      </x:c>
      <x:c r="N2769" s="24" t="n">
        <x:v>0</x:v>
      </x:c>
      <x:c r="O2769" s="22" t="n">
        <x:f>L2769*M2769</x:f>
        <x:v>3150</x:v>
      </x:c>
      <x:c r="P2769" s="22" t="n">
        <x:f>O2769*(1-N2769)</x:f>
        <x:v>3150</x:v>
      </x:c>
      <x:c r="Q2769" s="22" t="n">
        <x:v>88</x:v>
      </x:c>
      <x:c r="R2769" s="22" t="n">
        <x:f>Q2769*M2769</x:f>
        <x:v>2640</x:v>
      </x:c>
      <x:c r="S2769" s="22" t="n">
        <x:f>P2769-R2769</x:f>
        <x:v>510</x:v>
      </x:c>
      <x:c r="T2769" t="str">
        <x:v>Bank Transfer</x:v>
      </x:c>
      <x:c r="U2769" t="str">
        <x:v>Paid</x:v>
      </x:c>
      <x:c r="V2769" t="str">
        <x:v>Delivered</x:v>
      </x:c>
      <x:c r="W2769" t="n">
        <x:v>0</x:v>
      </x:c>
      <x:c r="X2769" t="str"/>
      <x:c r="Y2769" t="str">
        <x:v>Outbound Call</x:v>
      </x:c>
    </x:row>
    <x:row r="2770">
      <x:c r="A2770" t="str">
        <x:v>O002769</x:v>
      </x:c>
      <x:c r="B2770" s="20" t="n">
        <x:v>45793</x:v>
      </x:c>
      <x:c r="C2770" t="str">
        <x:v>C0033</x:v>
      </x:c>
      <x:c r="D2770" t="str">
        <x:v>Shree Canteen 33</x:v>
      </x:c>
      <x:c r="E2770" t="str">
        <x:v>Canteen</x:v>
      </x:c>
      <x:c r="F2770" t="str">
        <x:v>Mangaluru</x:v>
      </x:c>
      <x:c r="G2770" t="str">
        <x:v>Imran</x:v>
      </x:c>
      <x:c r="H2770" t="str">
        <x:v>P016</x:v>
      </x:c>
      <x:c r="I2770" t="str">
        <x:v>Curd 1kg</x:v>
      </x:c>
      <x:c r="J2770" t="str">
        <x:v>Dairy</x:v>
      </x:c>
      <x:c r="K2770" t="str">
        <x:v>Nandini</x:v>
      </x:c>
      <x:c r="L2770" s="22" t="n">
        <x:v>72</x:v>
      </x:c>
      <x:c r="M2770" t="n">
        <x:v>21</x:v>
      </x:c>
      <x:c r="N2770" s="24" t="n">
        <x:v>0</x:v>
      </x:c>
      <x:c r="O2770" s="22" t="n">
        <x:f>L2770*M2770</x:f>
        <x:v>1512</x:v>
      </x:c>
      <x:c r="P2770" s="22" t="n">
        <x:f>O2770*(1-N2770)</x:f>
        <x:v>1512</x:v>
      </x:c>
      <x:c r="Q2770" s="22" t="n">
        <x:v>64</x:v>
      </x:c>
      <x:c r="R2770" s="22" t="n">
        <x:f>Q2770*M2770</x:f>
        <x:v>1344</x:v>
      </x:c>
      <x:c r="S2770" s="22" t="n">
        <x:f>P2770-R2770</x:f>
        <x:v>168</x:v>
      </x:c>
      <x:c r="T2770" t="str">
        <x:v>UPI</x:v>
      </x:c>
      <x:c r="U2770" t="str">
        <x:v>Paid</x:v>
      </x:c>
      <x:c r="V2770" t="str">
        <x:v>Delivered</x:v>
      </x:c>
      <x:c r="W2770" t="n">
        <x:v>0</x:v>
      </x:c>
      <x:c r="X2770" t="str"/>
      <x:c r="Y2770" t="str">
        <x:v>Field Visit</x:v>
      </x:c>
    </x:row>
    <x:row r="2771">
      <x:c r="A2771" t="str">
        <x:v>O002770</x:v>
      </x:c>
      <x:c r="B2771" s="20" t="n">
        <x:v>45713</x:v>
      </x:c>
      <x:c r="C2771" t="str">
        <x:v>C0220</x:v>
      </x:c>
      <x:c r="D2771" t="str">
        <x:v>Udupi Canteen 220</x:v>
      </x:c>
      <x:c r="E2771" t="str">
        <x:v>Restaurant</x:v>
      </x:c>
      <x:c r="F2771" t="str">
        <x:v>Bengaluru</x:v>
      </x:c>
      <x:c r="G2771" t="str">
        <x:v>Sneha</x:v>
      </x:c>
      <x:c r="H2771" t="str">
        <x:v>P032</x:v>
      </x:c>
      <x:c r="I2771" t="str">
        <x:v>Soy Sauce 700g</x:v>
      </x:c>
      <x:c r="J2771" t="str">
        <x:v>Condiments</x:v>
      </x:c>
      <x:c r="K2771" t="str">
        <x:v>Ching's</x:v>
      </x:c>
      <x:c r="L2771" s="22" t="n">
        <x:v>118</x:v>
      </x:c>
      <x:c r="M2771" t="n">
        <x:v>38</x:v>
      </x:c>
      <x:c r="N2771" s="24" t="n">
        <x:v>0.1</x:v>
      </x:c>
      <x:c r="O2771" s="22" t="n">
        <x:f>L2771*M2771</x:f>
        <x:v>4484</x:v>
      </x:c>
      <x:c r="P2771" s="22" t="n">
        <x:f>O2771*(1-N2771)</x:f>
        <x:v>4035.6</x:v>
      </x:c>
      <x:c r="Q2771" s="22" t="n">
        <x:v>101</x:v>
      </x:c>
      <x:c r="R2771" s="22" t="n">
        <x:f>Q2771*M2771</x:f>
        <x:v>3838</x:v>
      </x:c>
      <x:c r="S2771" s="22" t="n">
        <x:f>P2771-R2771</x:f>
        <x:v>197.5999999999999</x:v>
      </x:c>
      <x:c r="T2771" t="str">
        <x:v>Cash</x:v>
      </x:c>
      <x:c r="U2771" t="str">
        <x:v>Paid</x:v>
      </x:c>
      <x:c r="V2771" t="str">
        <x:v>Cancelled</x:v>
      </x:c>
      <x:c r="W2771" t="n">
        <x:v>38</x:v>
      </x:c>
      <x:c r="X2771" t="str">
        <x:v>Cancelled Order</x:v>
      </x:c>
      <x:c r="Y2771" t="str">
        <x:v>Outbound Call</x:v>
      </x:c>
    </x:row>
    <x:row r="2772">
      <x:c r="A2772" t="str">
        <x:v>O002771</x:v>
      </x:c>
      <x:c r="B2772" s="20" t="n">
        <x:v>45964</x:v>
      </x:c>
      <x:c r="C2772" t="str">
        <x:v>C0039</x:v>
      </x:c>
      <x:c r="D2772" t="str">
        <x:v>Sagar Cafe 39</x:v>
      </x:c>
      <x:c r="E2772" t="str">
        <x:v>Restaurant</x:v>
      </x:c>
      <x:c r="F2772" t="str">
        <x:v>Hubballi</x:v>
      </x:c>
      <x:c r="G2772" t="str">
        <x:v>Imran</x:v>
      </x:c>
      <x:c r="H2772" t="str">
        <x:v>P042</x:v>
      </x:c>
      <x:c r="I2772" t="str">
        <x:v>Eggs 30pc Tray</x:v>
      </x:c>
      <x:c r="J2772" t="str">
        <x:v>Protein</x:v>
      </x:c>
      <x:c r="K2772" t="str">
        <x:v>Farm Fresh</x:v>
      </x:c>
      <x:c r="L2772" s="22" t="n">
        <x:v>195</x:v>
      </x:c>
      <x:c r="M2772" t="n">
        <x:v>22</x:v>
      </x:c>
      <x:c r="N2772" s="24" t="n">
        <x:v>0.02</x:v>
      </x:c>
      <x:c r="O2772" s="22" t="n">
        <x:f>L2772*M2772</x:f>
        <x:v>4290</x:v>
      </x:c>
      <x:c r="P2772" s="22" t="n">
        <x:f>O2772*(1-N2772)</x:f>
        <x:v>4204.2</x:v>
      </x:c>
      <x:c r="Q2772" s="22" t="n">
        <x:v>170</x:v>
      </x:c>
      <x:c r="R2772" s="22" t="n">
        <x:f>Q2772*M2772</x:f>
        <x:v>3740</x:v>
      </x:c>
      <x:c r="S2772" s="22" t="n">
        <x:f>P2772-R2772</x:f>
        <x:v>464.1999999999998</x:v>
      </x:c>
      <x:c r="T2772" t="str">
        <x:v>UPI</x:v>
      </x:c>
      <x:c r="U2772" t="str">
        <x:v>Paid</x:v>
      </x:c>
      <x:c r="V2772" t="str">
        <x:v>Delayed</x:v>
      </x:c>
      <x:c r="W2772" t="n">
        <x:v>0</x:v>
      </x:c>
      <x:c r="X2772" t="str"/>
      <x:c r="Y2772" t="str">
        <x:v>Referral</x:v>
      </x:c>
    </x:row>
    <x:row r="2773">
      <x:c r="A2773" t="str">
        <x:v>O002772</x:v>
      </x:c>
      <x:c r="B2773" s="20" t="n">
        <x:v>45792</x:v>
      </x:c>
      <x:c r="C2773" t="str">
        <x:v>C0096</x:v>
      </x:c>
      <x:c r="D2773" t="str">
        <x:v>Metro Foods 96</x:v>
      </x:c>
      <x:c r="E2773" t="str">
        <x:v>Kirana</x:v>
      </x:c>
      <x:c r="F2773" t="str">
        <x:v>Davanagere</x:v>
      </x:c>
      <x:c r="G2773" t="str">
        <x:v>Vikram</x:v>
      </x:c>
      <x:c r="H2773" t="str">
        <x:v>P006</x:v>
      </x:c>
      <x:c r="I2773" t="str">
        <x:v>Moong Dal 5kg</x:v>
      </x:c>
      <x:c r="J2773" t="str">
        <x:v>Pulses</x:v>
      </x:c>
      <x:c r="K2773" t="str">
        <x:v>Local Select</x:v>
      </x:c>
      <x:c r="L2773" s="22" t="n">
        <x:v>610</x:v>
      </x:c>
      <x:c r="M2773" t="n">
        <x:v>21</x:v>
      </x:c>
      <x:c r="N2773" s="24" t="n">
        <x:v>0</x:v>
      </x:c>
      <x:c r="O2773" s="22" t="n">
        <x:f>L2773*M2773</x:f>
        <x:v>12810</x:v>
      </x:c>
      <x:c r="P2773" s="22" t="n">
        <x:f>O2773*(1-N2773)</x:f>
        <x:v>12810</x:v>
      </x:c>
      <x:c r="Q2773" s="22" t="n">
        <x:v>540</x:v>
      </x:c>
      <x:c r="R2773" s="22" t="n">
        <x:f>Q2773*M2773</x:f>
        <x:v>11340</x:v>
      </x:c>
      <x:c r="S2773" s="22" t="n">
        <x:f>P2773-R2773</x:f>
        <x:v>1470</x:v>
      </x:c>
      <x:c r="T2773" t="str">
        <x:v>UPI</x:v>
      </x:c>
      <x:c r="U2773" t="str">
        <x:v>Overdue</x:v>
      </x:c>
      <x:c r="V2773" t="str">
        <x:v>Delayed</x:v>
      </x:c>
      <x:c r="W2773" t="n">
        <x:v>0</x:v>
      </x:c>
      <x:c r="X2773" t="str"/>
      <x:c r="Y2773" t="str">
        <x:v>Outbound Call</x:v>
      </x:c>
    </x:row>
    <x:row r="2774">
      <x:c r="A2774" t="str">
        <x:v>O002773</x:v>
      </x:c>
      <x:c r="B2774" s="20" t="n">
        <x:v>46011</x:v>
      </x:c>
      <x:c r="C2774" t="str">
        <x:v>C0217</x:v>
      </x:c>
      <x:c r="D2774" t="str">
        <x:v>Darshini Cafe 217</x:v>
      </x:c>
      <x:c r="E2774" t="str">
        <x:v>Restaurant</x:v>
      </x:c>
      <x:c r="F2774" t="str">
        <x:v>Bengaluru</x:v>
      </x:c>
      <x:c r="G2774" t="str">
        <x:v>Priya</x:v>
      </x:c>
      <x:c r="H2774" t="str">
        <x:v>P016</x:v>
      </x:c>
      <x:c r="I2774" t="str">
        <x:v>Curd 1kg</x:v>
      </x:c>
      <x:c r="J2774" t="str">
        <x:v>Dairy</x:v>
      </x:c>
      <x:c r="K2774" t="str">
        <x:v>Nandini</x:v>
      </x:c>
      <x:c r="L2774" s="22" t="n">
        <x:v>72</x:v>
      </x:c>
      <x:c r="M2774" t="n">
        <x:v>2</x:v>
      </x:c>
      <x:c r="N2774" s="24" t="n">
        <x:v>0.02</x:v>
      </x:c>
      <x:c r="O2774" s="22" t="n">
        <x:f>L2774*M2774</x:f>
        <x:v>144</x:v>
      </x:c>
      <x:c r="P2774" s="22" t="n">
        <x:f>O2774*(1-N2774)</x:f>
        <x:v>141.12</x:v>
      </x:c>
      <x:c r="Q2774" s="22" t="n">
        <x:v>64</x:v>
      </x:c>
      <x:c r="R2774" s="22" t="n">
        <x:f>Q2774*M2774</x:f>
        <x:v>128</x:v>
      </x:c>
      <x:c r="S2774" s="22" t="n">
        <x:f>P2774-R2774</x:f>
        <x:v>13.120000000000005</x:v>
      </x:c>
      <x:c r="T2774" t="str">
        <x:v>Bank Transfer</x:v>
      </x:c>
      <x:c r="U2774" t="str">
        <x:v>Pending</x:v>
      </x:c>
      <x:c r="V2774" t="str">
        <x:v>Delivered</x:v>
      </x:c>
      <x:c r="W2774" t="n">
        <x:v>0</x:v>
      </x:c>
      <x:c r="X2774" t="str"/>
      <x:c r="Y2774" t="str">
        <x:v>Field Visit</x:v>
      </x:c>
    </x:row>
    <x:row r="2775">
      <x:c r="A2775" t="str">
        <x:v>O002774</x:v>
      </x:c>
      <x:c r="B2775" s="20" t="n">
        <x:v>46139</x:v>
      </x:c>
      <x:c r="C2775" t="str">
        <x:v>C0250</x:v>
      </x:c>
      <x:c r="D2775" t="str">
        <x:v>Namma Hotel 250</x:v>
      </x:c>
      <x:c r="E2775" t="str">
        <x:v>Cafe</x:v>
      </x:c>
      <x:c r="F2775" t="str">
        <x:v>Bengaluru</x:v>
      </x:c>
      <x:c r="G2775" t="str">
        <x:v>Sneha</x:v>
      </x:c>
      <x:c r="H2775" t="str">
        <x:v>P005</x:v>
      </x:c>
      <x:c r="I2775" t="str">
        <x:v>Chana Dal 5kg</x:v>
      </x:c>
      <x:c r="J2775" t="str">
        <x:v>Pulses</x:v>
      </x:c>
      <x:c r="K2775" t="str">
        <x:v>Local Select</x:v>
      </x:c>
      <x:c r="L2775" s="22" t="n">
        <x:v>520</x:v>
      </x:c>
      <x:c r="M2775" t="n">
        <x:v>8</x:v>
      </x:c>
      <x:c r="N2775" s="24" t="n">
        <x:v>0.02</x:v>
      </x:c>
      <x:c r="O2775" s="22" t="n">
        <x:f>L2775*M2775</x:f>
        <x:v>4160</x:v>
      </x:c>
      <x:c r="P2775" s="22" t="n">
        <x:f>O2775*(1-N2775)</x:f>
        <x:v>4076.7999999999997</x:v>
      </x:c>
      <x:c r="Q2775" s="22" t="n">
        <x:v>455</x:v>
      </x:c>
      <x:c r="R2775" s="22" t="n">
        <x:f>Q2775*M2775</x:f>
        <x:v>3640</x:v>
      </x:c>
      <x:c r="S2775" s="22" t="n">
        <x:f>P2775-R2775</x:f>
        <x:v>436.7999999999997</x:v>
      </x:c>
      <x:c r="T2775" t="str">
        <x:v>Credit</x:v>
      </x:c>
      <x:c r="U2775" t="str">
        <x:v>Pending</x:v>
      </x:c>
      <x:c r="V2775" t="str">
        <x:v>Delivered</x:v>
      </x:c>
      <x:c r="W2775" t="n">
        <x:v>0</x:v>
      </x:c>
      <x:c r="X2775" t="str"/>
      <x:c r="Y2775" t="str">
        <x:v>Outbound Call</x:v>
      </x:c>
    </x:row>
    <x:row r="2776">
      <x:c r="A2776" t="str">
        <x:v>O002775</x:v>
      </x:c>
      <x:c r="B2776" s="20" t="n">
        <x:v>45894</x:v>
      </x:c>
      <x:c r="C2776" t="str">
        <x:v>C0101</x:v>
      </x:c>
      <x:c r="D2776" t="str">
        <x:v>Namma Cafe 101</x:v>
      </x:c>
      <x:c r="E2776" t="str">
        <x:v>Supermarket</x:v>
      </x:c>
      <x:c r="F2776" t="str">
        <x:v>Bengaluru</x:v>
      </x:c>
      <x:c r="G2776" t="str">
        <x:v>Arjun</x:v>
      </x:c>
      <x:c r="H2776" t="str">
        <x:v>P028</x:v>
      </x:c>
      <x:c r="I2776" t="str">
        <x:v>Cookies 200g</x:v>
      </x:c>
      <x:c r="J2776" t="str">
        <x:v>Snacks</x:v>
      </x:c>
      <x:c r="K2776" t="str">
        <x:v>Britannia</x:v>
      </x:c>
      <x:c r="L2776" s="22" t="n">
        <x:v>55</x:v>
      </x:c>
      <x:c r="M2776" t="n">
        <x:v>12</x:v>
      </x:c>
      <x:c r="N2776" s="24" t="n">
        <x:v>0.1</x:v>
      </x:c>
      <x:c r="O2776" s="22" t="n">
        <x:f>L2776*M2776</x:f>
        <x:v>660</x:v>
      </x:c>
      <x:c r="P2776" s="22" t="n">
        <x:f>O2776*(1-N2776)</x:f>
        <x:v>594</x:v>
      </x:c>
      <x:c r="Q2776" s="22" t="n">
        <x:v>42</x:v>
      </x:c>
      <x:c r="R2776" s="22" t="n">
        <x:f>Q2776*M2776</x:f>
        <x:v>504</x:v>
      </x:c>
      <x:c r="S2776" s="22" t="n">
        <x:f>P2776-R2776</x:f>
        <x:v>90</x:v>
      </x:c>
      <x:c r="T2776" t="str">
        <x:v>Bank Transfer</x:v>
      </x:c>
      <x:c r="U2776" t="str">
        <x:v>Overdue</x:v>
      </x:c>
      <x:c r="V2776" t="str">
        <x:v>Delivered</x:v>
      </x:c>
      <x:c r="W2776" t="n">
        <x:v>0</x:v>
      </x:c>
      <x:c r="X2776" t="str"/>
      <x:c r="Y2776" t="str">
        <x:v>WhatsApp</x:v>
      </x:c>
    </x:row>
    <x:row r="2777">
      <x:c r="A2777" t="str">
        <x:v>O002776</x:v>
      </x:c>
      <x:c r="B2777" s="20" t="n">
        <x:v>45734</x:v>
      </x:c>
      <x:c r="C2777" t="str">
        <x:v>C0106</x:v>
      </x:c>
      <x:c r="D2777" t="str">
        <x:v>Classic Mart 106</x:v>
      </x:c>
      <x:c r="E2777" t="str">
        <x:v>Restaurant</x:v>
      </x:c>
      <x:c r="F2777" t="str">
        <x:v>Mysuru</x:v>
      </x:c>
      <x:c r="G2777" t="str">
        <x:v>Kavya</x:v>
      </x:c>
      <x:c r="H2777" t="str">
        <x:v>P009</x:v>
      </x:c>
      <x:c r="I2777" t="str">
        <x:v>Groundnut Oil 5L</x:v>
      </x:c>
      <x:c r="J2777" t="str">
        <x:v>Edible Oil</x:v>
      </x:c>
      <x:c r="K2777" t="str">
        <x:v>Dhara</x:v>
      </x:c>
      <x:c r="L2777" s="22" t="n">
        <x:v>890</x:v>
      </x:c>
      <x:c r="M2777" t="n">
        <x:v>35</x:v>
      </x:c>
      <x:c r="N2777" s="24" t="n">
        <x:v>0.05</x:v>
      </x:c>
      <x:c r="O2777" s="22" t="n">
        <x:f>L2777*M2777</x:f>
        <x:v>31150</x:v>
      </x:c>
      <x:c r="P2777" s="22" t="n">
        <x:f>O2777*(1-N2777)</x:f>
        <x:v>29592.5</x:v>
      </x:c>
      <x:c r="Q2777" s="22" t="n">
        <x:v>810</x:v>
      </x:c>
      <x:c r="R2777" s="22" t="n">
        <x:f>Q2777*M2777</x:f>
        <x:v>28350</x:v>
      </x:c>
      <x:c r="S2777" s="22" t="n">
        <x:f>P2777-R2777</x:f>
        <x:v>1242.5</x:v>
      </x:c>
      <x:c r="T2777" t="str">
        <x:v>Credit</x:v>
      </x:c>
      <x:c r="U2777" t="str">
        <x:v>Paid</x:v>
      </x:c>
      <x:c r="V2777" t="str">
        <x:v>Delivered</x:v>
      </x:c>
      <x:c r="W2777" t="n">
        <x:v>1</x:v>
      </x:c>
      <x:c r="X2777" t="str">
        <x:v>Late Delivery</x:v>
      </x:c>
      <x:c r="Y2777" t="str">
        <x:v>WhatsApp</x:v>
      </x:c>
    </x:row>
    <x:row r="2778">
      <x:c r="A2778" t="str">
        <x:v>O002777</x:v>
      </x:c>
      <x:c r="B2778" s="20" t="n">
        <x:v>45954</x:v>
      </x:c>
      <x:c r="C2778" t="str">
        <x:v>C0081</x:v>
      </x:c>
      <x:c r="D2778" t="str">
        <x:v>Foodie Mart 81</x:v>
      </x:c>
      <x:c r="E2778" t="str">
        <x:v>Supermarket</x:v>
      </x:c>
      <x:c r="F2778" t="str">
        <x:v>Hubballi</x:v>
      </x:c>
      <x:c r="G2778" t="str">
        <x:v>Kavya</x:v>
      </x:c>
      <x:c r="H2778" t="str">
        <x:v>P003</x:v>
      </x:c>
      <x:c r="I2778" t="str">
        <x:v>Basmati Rice 5kg</x:v>
      </x:c>
      <x:c r="J2778" t="str">
        <x:v>Staples</x:v>
      </x:c>
      <x:c r="K2778" t="str">
        <x:v>India Gate</x:v>
      </x:c>
      <x:c r="L2778" s="22" t="n">
        <x:v>690</x:v>
      </x:c>
      <x:c r="M2778" t="n">
        <x:v>10</x:v>
      </x:c>
      <x:c r="N2778" s="24" t="n">
        <x:v>0</x:v>
      </x:c>
      <x:c r="O2778" s="22" t="n">
        <x:f>L2778*M2778</x:f>
        <x:v>6900</x:v>
      </x:c>
      <x:c r="P2778" s="22" t="n">
        <x:f>O2778*(1-N2778)</x:f>
        <x:v>6900</x:v>
      </x:c>
      <x:c r="Q2778" s="22" t="n">
        <x:v>610</x:v>
      </x:c>
      <x:c r="R2778" s="22" t="n">
        <x:f>Q2778*M2778</x:f>
        <x:v>6100</x:v>
      </x:c>
      <x:c r="S2778" s="22" t="n">
        <x:f>P2778-R2778</x:f>
        <x:v>800</x:v>
      </x:c>
      <x:c r="T2778" t="str">
        <x:v>Credit</x:v>
      </x:c>
      <x:c r="U2778" t="str">
        <x:v>Paid</x:v>
      </x:c>
      <x:c r="V2778" t="str">
        <x:v>Delivered</x:v>
      </x:c>
      <x:c r="W2778" t="n">
        <x:v>0</x:v>
      </x:c>
      <x:c r="X2778" t="str"/>
      <x:c r="Y2778" t="str">
        <x:v>WhatsApp</x:v>
      </x:c>
    </x:row>
    <x:row r="2779">
      <x:c r="A2779" t="str">
        <x:v>O002778</x:v>
      </x:c>
      <x:c r="B2779" s="20" t="n">
        <x:v>45971</x:v>
      </x:c>
      <x:c r="C2779" t="str">
        <x:v>C0118</x:v>
      </x:c>
      <x:c r="D2779" t="str">
        <x:v>Sagar Kitchen 118</x:v>
      </x:c>
      <x:c r="E2779" t="str">
        <x:v>Restaurant</x:v>
      </x:c>
      <x:c r="F2779" t="str">
        <x:v>Hubballi</x:v>
      </x:c>
      <x:c r="G2779" t="str">
        <x:v>Megha</x:v>
      </x:c>
      <x:c r="H2779" t="str">
        <x:v>P005</x:v>
      </x:c>
      <x:c r="I2779" t="str">
        <x:v>Chana Dal 5kg</x:v>
      </x:c>
      <x:c r="J2779" t="str">
        <x:v>Pulses</x:v>
      </x:c>
      <x:c r="K2779" t="str">
        <x:v>Local Select</x:v>
      </x:c>
      <x:c r="L2779" s="22" t="n">
        <x:v>520</x:v>
      </x:c>
      <x:c r="M2779" t="n">
        <x:v>13</x:v>
      </x:c>
      <x:c r="N2779" s="24" t="n">
        <x:v>0.05</x:v>
      </x:c>
      <x:c r="O2779" s="22" t="n">
        <x:f>L2779*M2779</x:f>
        <x:v>6760</x:v>
      </x:c>
      <x:c r="P2779" s="22" t="n">
        <x:f>O2779*(1-N2779)</x:f>
        <x:v>6422</x:v>
      </x:c>
      <x:c r="Q2779" s="22" t="n">
        <x:v>455</x:v>
      </x:c>
      <x:c r="R2779" s="22" t="n">
        <x:f>Q2779*M2779</x:f>
        <x:v>5915</x:v>
      </x:c>
      <x:c r="S2779" s="22" t="n">
        <x:f>P2779-R2779</x:f>
        <x:v>507</x:v>
      </x:c>
      <x:c r="T2779" t="str">
        <x:v>Credit</x:v>
      </x:c>
      <x:c r="U2779" t="str">
        <x:v>Paid</x:v>
      </x:c>
      <x:c r="V2779" t="str">
        <x:v>Delayed</x:v>
      </x:c>
      <x:c r="W2779" t="n">
        <x:v>0</x:v>
      </x:c>
      <x:c r="X2779" t="str"/>
      <x:c r="Y2779" t="str">
        <x:v>Outbound Call</x:v>
      </x:c>
    </x:row>
    <x:row r="2780">
      <x:c r="A2780" t="str">
        <x:v>O002779</x:v>
      </x:c>
      <x:c r="B2780" s="20" t="n">
        <x:v>45769</x:v>
      </x:c>
      <x:c r="C2780" t="str">
        <x:v>C0152</x:v>
      </x:c>
      <x:c r="D2780" t="str">
        <x:v>Metro Stores 152</x:v>
      </x:c>
      <x:c r="E2780" t="str">
        <x:v>Cafe</x:v>
      </x:c>
      <x:c r="F2780" t="str">
        <x:v>Hubballi</x:v>
      </x:c>
      <x:c r="G2780" t="str">
        <x:v>Priya</x:v>
      </x:c>
      <x:c r="H2780" t="str">
        <x:v>P003</x:v>
      </x:c>
      <x:c r="I2780" t="str">
        <x:v>Basmati Rice 5kg</x:v>
      </x:c>
      <x:c r="J2780" t="str">
        <x:v>Staples</x:v>
      </x:c>
      <x:c r="K2780" t="str">
        <x:v>India Gate</x:v>
      </x:c>
      <x:c r="L2780" s="22" t="n">
        <x:v>690</x:v>
      </x:c>
      <x:c r="M2780" t="n">
        <x:v>3</x:v>
      </x:c>
      <x:c r="N2780" s="24" t="n">
        <x:v>0</x:v>
      </x:c>
      <x:c r="O2780" s="22" t="n">
        <x:f>L2780*M2780</x:f>
        <x:v>2070</x:v>
      </x:c>
      <x:c r="P2780" s="22" t="n">
        <x:f>O2780*(1-N2780)</x:f>
        <x:v>2070</x:v>
      </x:c>
      <x:c r="Q2780" s="22" t="n">
        <x:v>610</x:v>
      </x:c>
      <x:c r="R2780" s="22" t="n">
        <x:f>Q2780*M2780</x:f>
        <x:v>1830</x:v>
      </x:c>
      <x:c r="S2780" s="22" t="n">
        <x:f>P2780-R2780</x:f>
        <x:v>240</x:v>
      </x:c>
      <x:c r="T2780" t="str">
        <x:v>Cash</x:v>
      </x:c>
      <x:c r="U2780" t="str">
        <x:v>Pending</x:v>
      </x:c>
      <x:c r="V2780" t="str">
        <x:v>Delivered</x:v>
      </x:c>
      <x:c r="W2780" t="n">
        <x:v>0</x:v>
      </x:c>
      <x:c r="X2780" t="str"/>
      <x:c r="Y2780" t="str">
        <x:v>Outbound Call</x:v>
      </x:c>
    </x:row>
    <x:row r="2781">
      <x:c r="A2781" t="str">
        <x:v>O002780</x:v>
      </x:c>
      <x:c r="B2781" s="20" t="n">
        <x:v>46155</x:v>
      </x:c>
      <x:c r="C2781" t="str">
        <x:v>C0154</x:v>
      </x:c>
      <x:c r="D2781" t="str">
        <x:v>Royal Restaurant 154</x:v>
      </x:c>
      <x:c r="E2781" t="str">
        <x:v>Restaurant</x:v>
      </x:c>
      <x:c r="F2781" t="str">
        <x:v>Tumakuru</x:v>
      </x:c>
      <x:c r="G2781" t="str">
        <x:v>Kavya</x:v>
      </x:c>
      <x:c r="H2781" t="str">
        <x:v>P010</x:v>
      </x:c>
      <x:c r="I2781" t="str">
        <x:v>Sugar 25kg</x:v>
      </x:c>
      <x:c r="J2781" t="str">
        <x:v>Staples</x:v>
      </x:c>
      <x:c r="K2781" t="str">
        <x:v>Madhur</x:v>
      </x:c>
      <x:c r="L2781" s="22" t="n">
        <x:v>1190</x:v>
      </x:c>
      <x:c r="M2781" t="n">
        <x:v>9</x:v>
      </x:c>
      <x:c r="N2781" s="24" t="n">
        <x:v>0.03</x:v>
      </x:c>
      <x:c r="O2781" s="22" t="n">
        <x:f>L2781*M2781</x:f>
        <x:v>10710</x:v>
      </x:c>
      <x:c r="P2781" s="22" t="n">
        <x:f>O2781*(1-N2781)</x:f>
        <x:v>10388.699999999999</x:v>
      </x:c>
      <x:c r="Q2781" s="22" t="n">
        <x:v>1080</x:v>
      </x:c>
      <x:c r="R2781" s="22" t="n">
        <x:f>Q2781*M2781</x:f>
        <x:v>9720</x:v>
      </x:c>
      <x:c r="S2781" s="22" t="n">
        <x:f>P2781-R2781</x:f>
        <x:v>668.6999999999989</x:v>
      </x:c>
      <x:c r="T2781" t="str">
        <x:v>UPI</x:v>
      </x:c>
      <x:c r="U2781" t="str">
        <x:v>Paid</x:v>
      </x:c>
      <x:c r="V2781" t="str">
        <x:v>Delivered</x:v>
      </x:c>
      <x:c r="W2781" t="n">
        <x:v>4</x:v>
      </x:c>
      <x:c r="X2781" t="str">
        <x:v>Damaged</x:v>
      </x:c>
      <x:c r="Y2781" t="str">
        <x:v>WhatsApp</x:v>
      </x:c>
    </x:row>
    <x:row r="2782">
      <x:c r="A2782" t="str">
        <x:v>O002781</x:v>
      </x:c>
      <x:c r="B2782" s="20" t="n">
        <x:v>45774</x:v>
      </x:c>
      <x:c r="C2782" t="str">
        <x:v>C0143</x:v>
      </x:c>
      <x:c r="D2782" t="str">
        <x:v>Foodie Restaurant 143</x:v>
      </x:c>
      <x:c r="E2782" t="str">
        <x:v>Restaurant</x:v>
      </x:c>
      <x:c r="F2782" t="str">
        <x:v>Hubballi</x:v>
      </x:c>
      <x:c r="G2782" t="str">
        <x:v>Priya</x:v>
      </x:c>
      <x:c r="H2782" t="str">
        <x:v>P034</x:v>
      </x:c>
      <x:c r="I2782" t="str">
        <x:v>Chilli Powder 1kg</x:v>
      </x:c>
      <x:c r="J2782" t="str">
        <x:v>Spices</x:v>
      </x:c>
      <x:c r="K2782" t="str">
        <x:v>MDH</x:v>
      </x:c>
      <x:c r="L2782" s="22" t="n">
        <x:v>340</x:v>
      </x:c>
      <x:c r="M2782" t="n">
        <x:v>27</x:v>
      </x:c>
      <x:c r="N2782" s="24" t="n">
        <x:v>0.1</x:v>
      </x:c>
      <x:c r="O2782" s="22" t="n">
        <x:f>L2782*M2782</x:f>
        <x:v>9180</x:v>
      </x:c>
      <x:c r="P2782" s="22" t="n">
        <x:f>O2782*(1-N2782)</x:f>
        <x:v>8262</x:v>
      </x:c>
      <x:c r="Q2782" s="22" t="n">
        <x:v>295</x:v>
      </x:c>
      <x:c r="R2782" s="22" t="n">
        <x:f>Q2782*M2782</x:f>
        <x:v>7965</x:v>
      </x:c>
      <x:c r="S2782" s="22" t="n">
        <x:f>P2782-R2782</x:f>
        <x:v>297</x:v>
      </x:c>
      <x:c r="T2782" t="str">
        <x:v>Credit</x:v>
      </x:c>
      <x:c r="U2782" t="str">
        <x:v>Paid</x:v>
      </x:c>
      <x:c r="V2782" t="str">
        <x:v>Cancelled</x:v>
      </x:c>
      <x:c r="W2782" t="n">
        <x:v>27</x:v>
      </x:c>
      <x:c r="X2782" t="str">
        <x:v>Cancelled Order</x:v>
      </x:c>
      <x:c r="Y2782" t="str">
        <x:v>Field Visit</x:v>
      </x:c>
    </x:row>
    <x:row r="2783">
      <x:c r="A2783" t="str">
        <x:v>O002782</x:v>
      </x:c>
      <x:c r="B2783" s="20" t="n">
        <x:v>46019</x:v>
      </x:c>
      <x:c r="C2783" t="str">
        <x:v>C0210</x:v>
      </x:c>
      <x:c r="D2783" t="str">
        <x:v>Spice Stores 210</x:v>
      </x:c>
      <x:c r="E2783" t="str">
        <x:v>Cafe</x:v>
      </x:c>
      <x:c r="F2783" t="str">
        <x:v>Davanagere</x:v>
      </x:c>
      <x:c r="G2783" t="str">
        <x:v>Imran</x:v>
      </x:c>
      <x:c r="H2783" t="str">
        <x:v>P044</x:v>
      </x:c>
      <x:c r="I2783" t="str">
        <x:v>Chicken Curry Cut 1kg</x:v>
      </x:c>
      <x:c r="J2783" t="str">
        <x:v>Protein</x:v>
      </x:c>
      <x:c r="K2783" t="str">
        <x:v>FreshToHome</x:v>
      </x:c>
      <x:c r="L2783" s="22" t="n">
        <x:v>230</x:v>
      </x:c>
      <x:c r="M2783" t="n">
        <x:v>27</x:v>
      </x:c>
      <x:c r="N2783" s="24" t="n">
        <x:v>0.08</x:v>
      </x:c>
      <x:c r="O2783" s="22" t="n">
        <x:f>L2783*M2783</x:f>
        <x:v>6210</x:v>
      </x:c>
      <x:c r="P2783" s="22" t="n">
        <x:f>O2783*(1-N2783)</x:f>
        <x:v>5713.2</x:v>
      </x:c>
      <x:c r="Q2783" s="22" t="n">
        <x:v>205</x:v>
      </x:c>
      <x:c r="R2783" s="22" t="n">
        <x:f>Q2783*M2783</x:f>
        <x:v>5535</x:v>
      </x:c>
      <x:c r="S2783" s="22" t="n">
        <x:f>P2783-R2783</x:f>
        <x:v>178.19999999999982</x:v>
      </x:c>
      <x:c r="T2783" t="str">
        <x:v>UPI</x:v>
      </x:c>
      <x:c r="U2783" t="str">
        <x:v>Overdue</x:v>
      </x:c>
      <x:c r="V2783" t="str">
        <x:v>Cancelled</x:v>
      </x:c>
      <x:c r="W2783" t="n">
        <x:v>27</x:v>
      </x:c>
      <x:c r="X2783" t="str">
        <x:v>Cancelled Order</x:v>
      </x:c>
      <x:c r="Y2783" t="str">
        <x:v>Outbound Call</x:v>
      </x:c>
    </x:row>
    <x:row r="2784">
      <x:c r="A2784" t="str">
        <x:v>O002783</x:v>
      </x:c>
      <x:c r="B2784" s="20" t="n">
        <x:v>46067</x:v>
      </x:c>
      <x:c r="C2784" t="str">
        <x:v>C0098</x:v>
      </x:c>
      <x:c r="D2784" t="str">
        <x:v>City Stores 98</x:v>
      </x:c>
      <x:c r="E2784" t="str">
        <x:v>Canteen</x:v>
      </x:c>
      <x:c r="F2784" t="str">
        <x:v>Mangaluru</x:v>
      </x:c>
      <x:c r="G2784" t="str">
        <x:v>Imran</x:v>
      </x:c>
      <x:c r="H2784" t="str">
        <x:v>P022</x:v>
      </x:c>
      <x:c r="I2784" t="str">
        <x:v>Mineral Water 1L</x:v>
      </x:c>
      <x:c r="J2784" t="str">
        <x:v>Beverage</x:v>
      </x:c>
      <x:c r="K2784" t="str">
        <x:v>Bisleri</x:v>
      </x:c>
      <x:c r="L2784" s="22" t="n">
        <x:v>19</x:v>
      </x:c>
      <x:c r="M2784" t="n">
        <x:v>36</x:v>
      </x:c>
      <x:c r="N2784" s="24" t="n">
        <x:v>0.03</x:v>
      </x:c>
      <x:c r="O2784" s="22" t="n">
        <x:f>L2784*M2784</x:f>
        <x:v>684</x:v>
      </x:c>
      <x:c r="P2784" s="22" t="n">
        <x:f>O2784*(1-N2784)</x:f>
        <x:v>663.48</x:v>
      </x:c>
      <x:c r="Q2784" s="22" t="n">
        <x:v>15</x:v>
      </x:c>
      <x:c r="R2784" s="22" t="n">
        <x:f>Q2784*M2784</x:f>
        <x:v>540</x:v>
      </x:c>
      <x:c r="S2784" s="22" t="n">
        <x:f>P2784-R2784</x:f>
        <x:v>123.48000000000002</x:v>
      </x:c>
      <x:c r="T2784" t="str">
        <x:v>Bank Transfer</x:v>
      </x:c>
      <x:c r="U2784" t="str">
        <x:v>Paid</x:v>
      </x:c>
      <x:c r="V2784" t="str">
        <x:v>Delivered</x:v>
      </x:c>
      <x:c r="W2784" t="n">
        <x:v>0</x:v>
      </x:c>
      <x:c r="X2784" t="str"/>
      <x:c r="Y2784" t="str">
        <x:v>Outbound Call</x:v>
      </x:c>
    </x:row>
    <x:row r="2785">
      <x:c r="A2785" t="str">
        <x:v>O002784</x:v>
      </x:c>
      <x:c r="B2785" s="20" t="n">
        <x:v>46157</x:v>
      </x:c>
      <x:c r="C2785" t="str">
        <x:v>C0040</x:v>
      </x:c>
      <x:c r="D2785" t="str">
        <x:v>Royal Foods 40</x:v>
      </x:c>
      <x:c r="E2785" t="str">
        <x:v>Restaurant</x:v>
      </x:c>
      <x:c r="F2785" t="str">
        <x:v>Mangaluru</x:v>
      </x:c>
      <x:c r="G2785" t="str">
        <x:v>Kavya</x:v>
      </x:c>
      <x:c r="H2785" t="str">
        <x:v>P046</x:v>
      </x:c>
      <x:c r="I2785" t="str">
        <x:v>Potato 25kg</x:v>
      </x:c>
      <x:c r="J2785" t="str">
        <x:v>Fresh Produce</x:v>
      </x:c>
      <x:c r="K2785" t="str">
        <x:v>Local Market</x:v>
      </x:c>
      <x:c r="L2785" s="22" t="n">
        <x:v>700</x:v>
      </x:c>
      <x:c r="M2785" t="n">
        <x:v>11</x:v>
      </x:c>
      <x:c r="N2785" s="24" t="n">
        <x:v>0.05</x:v>
      </x:c>
      <x:c r="O2785" s="22" t="n">
        <x:f>L2785*M2785</x:f>
        <x:v>7700</x:v>
      </x:c>
      <x:c r="P2785" s="22" t="n">
        <x:f>O2785*(1-N2785)</x:f>
        <x:v>7315</x:v>
      </x:c>
      <x:c r="Q2785" s="22" t="n">
        <x:v>610</x:v>
      </x:c>
      <x:c r="R2785" s="22" t="n">
        <x:f>Q2785*M2785</x:f>
        <x:v>6710</x:v>
      </x:c>
      <x:c r="S2785" s="22" t="n">
        <x:f>P2785-R2785</x:f>
        <x:v>605</x:v>
      </x:c>
      <x:c r="T2785" t="str">
        <x:v>UPI</x:v>
      </x:c>
      <x:c r="U2785" t="str">
        <x:v>Paid</x:v>
      </x:c>
      <x:c r="V2785" t="str">
        <x:v>Delivered</x:v>
      </x:c>
      <x:c r="W2785" t="n">
        <x:v>0</x:v>
      </x:c>
      <x:c r="X2785" t="str"/>
      <x:c r="Y2785" t="str">
        <x:v>Referral</x:v>
      </x:c>
    </x:row>
    <x:row r="2786">
      <x:c r="A2786" t="str">
        <x:v>O002785</x:v>
      </x:c>
      <x:c r="B2786" s="20" t="n">
        <x:v>45947</x:v>
      </x:c>
      <x:c r="C2786" t="str">
        <x:v>C0091</x:v>
      </x:c>
      <x:c r="D2786" t="str">
        <x:v>Classic Mart 91</x:v>
      </x:c>
      <x:c r="E2786" t="str">
        <x:v>Cafe</x:v>
      </x:c>
      <x:c r="F2786" t="str">
        <x:v>Mangaluru</x:v>
      </x:c>
      <x:c r="G2786" t="str">
        <x:v>Kavya</x:v>
      </x:c>
      <x:c r="H2786" t="str">
        <x:v>P027</x:v>
      </x:c>
      <x:c r="I2786" t="str">
        <x:v>Biscuits 120g</x:v>
      </x:c>
      <x:c r="J2786" t="str">
        <x:v>Snacks</x:v>
      </x:c>
      <x:c r="K2786" t="str">
        <x:v>Parle-G</x:v>
      </x:c>
      <x:c r="L2786" s="22" t="n">
        <x:v>12</x:v>
      </x:c>
      <x:c r="M2786" t="n">
        <x:v>2</x:v>
      </x:c>
      <x:c r="N2786" s="24" t="n">
        <x:v>0.03</x:v>
      </x:c>
      <x:c r="O2786" s="22" t="n">
        <x:f>L2786*M2786</x:f>
        <x:v>24</x:v>
      </x:c>
      <x:c r="P2786" s="22" t="n">
        <x:f>O2786*(1-N2786)</x:f>
        <x:v>23.28</x:v>
      </x:c>
      <x:c r="Q2786" s="22" t="n">
        <x:v>9</x:v>
      </x:c>
      <x:c r="R2786" s="22" t="n">
        <x:f>Q2786*M2786</x:f>
        <x:v>18</x:v>
      </x:c>
      <x:c r="S2786" s="22" t="n">
        <x:f>P2786-R2786</x:f>
        <x:v>5.280000000000001</x:v>
      </x:c>
      <x:c r="T2786" t="str">
        <x:v>Bank Transfer</x:v>
      </x:c>
      <x:c r="U2786" t="str">
        <x:v>Pending</x:v>
      </x:c>
      <x:c r="V2786" t="str">
        <x:v>Cancelled</x:v>
      </x:c>
      <x:c r="W2786" t="n">
        <x:v>2</x:v>
      </x:c>
      <x:c r="X2786" t="str">
        <x:v>Cancelled Order</x:v>
      </x:c>
      <x:c r="Y2786" t="str">
        <x:v>Outbound Call</x:v>
      </x:c>
    </x:row>
    <x:row r="2787">
      <x:c r="A2787" t="str">
        <x:v>O002786</x:v>
      </x:c>
      <x:c r="B2787" s="20" t="n">
        <x:v>46067</x:v>
      </x:c>
      <x:c r="C2787" t="str">
        <x:v>C0057</x:v>
      </x:c>
      <x:c r="D2787" t="str">
        <x:v>Annapurna Foods 57</x:v>
      </x:c>
      <x:c r="E2787" t="str">
        <x:v>Kirana</x:v>
      </x:c>
      <x:c r="F2787" t="str">
        <x:v>Mysuru</x:v>
      </x:c>
      <x:c r="G2787" t="str">
        <x:v>Priya</x:v>
      </x:c>
      <x:c r="H2787" t="str">
        <x:v>P004</x:v>
      </x:c>
      <x:c r="I2787" t="str">
        <x:v>Toor Dal 5kg</x:v>
      </x:c>
      <x:c r="J2787" t="str">
        <x:v>Pulses</x:v>
      </x:c>
      <x:c r="K2787" t="str">
        <x:v>Tata Sampann</x:v>
      </x:c>
      <x:c r="L2787" s="22" t="n">
        <x:v>780</x:v>
      </x:c>
      <x:c r="M2787" t="n">
        <x:v>39</x:v>
      </x:c>
      <x:c r="N2787" s="24" t="n">
        <x:v>0.03</x:v>
      </x:c>
      <x:c r="O2787" s="22" t="n">
        <x:f>L2787*M2787</x:f>
        <x:v>30420</x:v>
      </x:c>
      <x:c r="P2787" s="22" t="n">
        <x:f>O2787*(1-N2787)</x:f>
        <x:v>29507.399999999998</x:v>
      </x:c>
      <x:c r="Q2787" s="22" t="n">
        <x:v>695</x:v>
      </x:c>
      <x:c r="R2787" s="22" t="n">
        <x:f>Q2787*M2787</x:f>
        <x:v>27105</x:v>
      </x:c>
      <x:c r="S2787" s="22" t="n">
        <x:f>P2787-R2787</x:f>
        <x:v>2402.399999999998</x:v>
      </x:c>
      <x:c r="T2787" t="str">
        <x:v>Cash</x:v>
      </x:c>
      <x:c r="U2787" t="str">
        <x:v>Paid</x:v>
      </x:c>
      <x:c r="V2787" t="str">
        <x:v>Delivered</x:v>
      </x:c>
      <x:c r="W2787" t="n">
        <x:v>0</x:v>
      </x:c>
      <x:c r="X2787" t="str"/>
      <x:c r="Y2787" t="str">
        <x:v>Field Visit</x:v>
      </x:c>
    </x:row>
    <x:row r="2788">
      <x:c r="A2788" t="str">
        <x:v>O002787</x:v>
      </x:c>
      <x:c r="B2788" s="20" t="n">
        <x:v>46130</x:v>
      </x:c>
      <x:c r="C2788" t="str">
        <x:v>C0053</x:v>
      </x:c>
      <x:c r="D2788" t="str">
        <x:v>Fresh Cafe 53</x:v>
      </x:c>
      <x:c r="E2788" t="str">
        <x:v>Supermarket</x:v>
      </x:c>
      <x:c r="F2788" t="str">
        <x:v>Mangaluru</x:v>
      </x:c>
      <x:c r="G2788" t="str">
        <x:v>Megha</x:v>
      </x:c>
      <x:c r="H2788" t="str">
        <x:v>P027</x:v>
      </x:c>
      <x:c r="I2788" t="str">
        <x:v>Biscuits 120g</x:v>
      </x:c>
      <x:c r="J2788" t="str">
        <x:v>Snacks</x:v>
      </x:c>
      <x:c r="K2788" t="str">
        <x:v>Parle-G</x:v>
      </x:c>
      <x:c r="L2788" s="22" t="n">
        <x:v>12</x:v>
      </x:c>
      <x:c r="M2788" t="n">
        <x:v>6</x:v>
      </x:c>
      <x:c r="N2788" s="24" t="n">
        <x:v>0.02</x:v>
      </x:c>
      <x:c r="O2788" s="22" t="n">
        <x:f>L2788*M2788</x:f>
        <x:v>72</x:v>
      </x:c>
      <x:c r="P2788" s="22" t="n">
        <x:f>O2788*(1-N2788)</x:f>
        <x:v>70.56</x:v>
      </x:c>
      <x:c r="Q2788" s="22" t="n">
        <x:v>9</x:v>
      </x:c>
      <x:c r="R2788" s="22" t="n">
        <x:f>Q2788*M2788</x:f>
        <x:v>54</x:v>
      </x:c>
      <x:c r="S2788" s="22" t="n">
        <x:f>P2788-R2788</x:f>
        <x:v>16.560000000000002</x:v>
      </x:c>
      <x:c r="T2788" t="str">
        <x:v>Credit</x:v>
      </x:c>
      <x:c r="U2788" t="str">
        <x:v>Paid</x:v>
      </x:c>
      <x:c r="V2788" t="str">
        <x:v>Delivered</x:v>
      </x:c>
      <x:c r="W2788" t="n">
        <x:v>0</x:v>
      </x:c>
      <x:c r="X2788" t="str"/>
      <x:c r="Y2788" t="str">
        <x:v>WhatsApp</x:v>
      </x:c>
    </x:row>
    <x:row r="2789">
      <x:c r="A2789" t="str">
        <x:v>O002788</x:v>
      </x:c>
      <x:c r="B2789" s="20" t="n">
        <x:v>46118</x:v>
      </x:c>
      <x:c r="C2789" t="str">
        <x:v>C0186</x:v>
      </x:c>
      <x:c r="D2789" t="str">
        <x:v>Namma Stores 186</x:v>
      </x:c>
      <x:c r="E2789" t="str">
        <x:v>Supermarket</x:v>
      </x:c>
      <x:c r="F2789" t="str">
        <x:v>Mysuru</x:v>
      </x:c>
      <x:c r="G2789" t="str">
        <x:v>Vikram</x:v>
      </x:c>
      <x:c r="H2789" t="str">
        <x:v>P027</x:v>
      </x:c>
      <x:c r="I2789" t="str">
        <x:v>Biscuits 120g</x:v>
      </x:c>
      <x:c r="J2789" t="str">
        <x:v>Snacks</x:v>
      </x:c>
      <x:c r="K2789" t="str">
        <x:v>Parle-G</x:v>
      </x:c>
      <x:c r="L2789" s="22" t="n">
        <x:v>12</x:v>
      </x:c>
      <x:c r="M2789" t="n">
        <x:v>24</x:v>
      </x:c>
      <x:c r="N2789" s="24" t="n">
        <x:v>0</x:v>
      </x:c>
      <x:c r="O2789" s="22" t="n">
        <x:f>L2789*M2789</x:f>
        <x:v>288</x:v>
      </x:c>
      <x:c r="P2789" s="22" t="n">
        <x:f>O2789*(1-N2789)</x:f>
        <x:v>288</x:v>
      </x:c>
      <x:c r="Q2789" s="22" t="n">
        <x:v>9</x:v>
      </x:c>
      <x:c r="R2789" s="22" t="n">
        <x:f>Q2789*M2789</x:f>
        <x:v>216</x:v>
      </x:c>
      <x:c r="S2789" s="22" t="n">
        <x:f>P2789-R2789</x:f>
        <x:v>72</x:v>
      </x:c>
      <x:c r="T2789" t="str">
        <x:v>Cash</x:v>
      </x:c>
      <x:c r="U2789" t="str">
        <x:v>Pending</x:v>
      </x:c>
      <x:c r="V2789" t="str">
        <x:v>Delivered</x:v>
      </x:c>
      <x:c r="W2789" t="n">
        <x:v>0</x:v>
      </x:c>
      <x:c r="X2789" t="str"/>
      <x:c r="Y2789" t="str">
        <x:v>Field Visit</x:v>
      </x:c>
    </x:row>
    <x:row r="2790">
      <x:c r="A2790" t="str">
        <x:v>O002789</x:v>
      </x:c>
      <x:c r="B2790" s="20" t="n">
        <x:v>46280</x:v>
      </x:c>
      <x:c r="C2790" t="str">
        <x:v>C0012</x:v>
      </x:c>
      <x:c r="D2790" t="str">
        <x:v>Sagar Canteen 12</x:v>
      </x:c>
      <x:c r="E2790" t="str">
        <x:v>Supermarket</x:v>
      </x:c>
      <x:c r="F2790" t="str">
        <x:v>Mysuru</x:v>
      </x:c>
      <x:c r="G2790" t="str">
        <x:v>Priya</x:v>
      </x:c>
      <x:c r="H2790" t="str">
        <x:v>P023</x:v>
      </x:c>
      <x:c r="I2790" t="str">
        <x:v>Cola 750ml</x:v>
      </x:c>
      <x:c r="J2790" t="str">
        <x:v>Beverage</x:v>
      </x:c>
      <x:c r="K2790" t="str">
        <x:v>Coca-Cola</x:v>
      </x:c>
      <x:c r="L2790" s="22" t="n">
        <x:v>38</x:v>
      </x:c>
      <x:c r="M2790" t="n">
        <x:v>24</x:v>
      </x:c>
      <x:c r="N2790" s="24" t="n">
        <x:v>0.05</x:v>
      </x:c>
      <x:c r="O2790" s="22" t="n">
        <x:f>L2790*M2790</x:f>
        <x:v>912</x:v>
      </x:c>
      <x:c r="P2790" s="22" t="n">
        <x:f>O2790*(1-N2790)</x:f>
        <x:v>866.4</x:v>
      </x:c>
      <x:c r="Q2790" s="22" t="n">
        <x:v>31</x:v>
      </x:c>
      <x:c r="R2790" s="22" t="n">
        <x:f>Q2790*M2790</x:f>
        <x:v>744</x:v>
      </x:c>
      <x:c r="S2790" s="22" t="n">
        <x:f>P2790-R2790</x:f>
        <x:v>122.39999999999998</x:v>
      </x:c>
      <x:c r="T2790" t="str">
        <x:v>Bank Transfer</x:v>
      </x:c>
      <x:c r="U2790" t="str">
        <x:v>Overdue</x:v>
      </x:c>
      <x:c r="V2790" t="str">
        <x:v>Delivered</x:v>
      </x:c>
      <x:c r="W2790" t="n">
        <x:v>0</x:v>
      </x:c>
      <x:c r="X2790" t="str"/>
      <x:c r="Y2790" t="str">
        <x:v>Outbound Call</x:v>
      </x:c>
    </x:row>
    <x:row r="2791">
      <x:c r="A2791" t="str">
        <x:v>O002790</x:v>
      </x:c>
      <x:c r="B2791" s="20" t="n">
        <x:v>46107</x:v>
      </x:c>
      <x:c r="C2791" t="str">
        <x:v>C0235</x:v>
      </x:c>
      <x:c r="D2791" t="str">
        <x:v>Darshini Canteen 235</x:v>
      </x:c>
      <x:c r="E2791" t="str">
        <x:v>Hotel</x:v>
      </x:c>
      <x:c r="F2791" t="str">
        <x:v>Mangaluru</x:v>
      </x:c>
      <x:c r="G2791" t="str">
        <x:v>Arjun</x:v>
      </x:c>
      <x:c r="H2791" t="str">
        <x:v>P041</x:v>
      </x:c>
      <x:c r="I2791" t="str">
        <x:v>Burger Bun 6pc</x:v>
      </x:c>
      <x:c r="J2791" t="str">
        <x:v>Bakery</x:v>
      </x:c>
      <x:c r="K2791" t="str">
        <x:v>Modern</x:v>
      </x:c>
      <x:c r="L2791" s="22" t="n">
        <x:v>42</x:v>
      </x:c>
      <x:c r="M2791" t="n">
        <x:v>14</x:v>
      </x:c>
      <x:c r="N2791" s="24" t="n">
        <x:v>0.03</x:v>
      </x:c>
      <x:c r="O2791" s="22" t="n">
        <x:f>L2791*M2791</x:f>
        <x:v>588</x:v>
      </x:c>
      <x:c r="P2791" s="22" t="n">
        <x:f>O2791*(1-N2791)</x:f>
        <x:v>570.36</x:v>
      </x:c>
      <x:c r="Q2791" s="22" t="n">
        <x:v>32</x:v>
      </x:c>
      <x:c r="R2791" s="22" t="n">
        <x:f>Q2791*M2791</x:f>
        <x:v>448</x:v>
      </x:c>
      <x:c r="S2791" s="22" t="n">
        <x:f>P2791-R2791</x:f>
        <x:v>122.36000000000001</x:v>
      </x:c>
      <x:c r="T2791" t="str">
        <x:v>Bank Transfer</x:v>
      </x:c>
      <x:c r="U2791" t="str">
        <x:v>Paid</x:v>
      </x:c>
      <x:c r="V2791" t="str">
        <x:v>Delivered</x:v>
      </x:c>
      <x:c r="W2791" t="n">
        <x:v>0</x:v>
      </x:c>
      <x:c r="X2791" t="str"/>
      <x:c r="Y2791" t="str">
        <x:v>Existing Customer</x:v>
      </x:c>
    </x:row>
    <x:row r="2792">
      <x:c r="A2792" t="str">
        <x:v>O002791</x:v>
      </x:c>
      <x:c r="B2792" s="20" t="n">
        <x:v>45997</x:v>
      </x:c>
      <x:c r="C2792" t="str">
        <x:v>C0089</x:v>
      </x:c>
      <x:c r="D2792" t="str">
        <x:v>Green Canteen 89</x:v>
      </x:c>
      <x:c r="E2792" t="str">
        <x:v>Supermarket</x:v>
      </x:c>
      <x:c r="F2792" t="str">
        <x:v>Mangaluru</x:v>
      </x:c>
      <x:c r="G2792" t="str">
        <x:v>Megha</x:v>
      </x:c>
      <x:c r="H2792" t="str">
        <x:v>P028</x:v>
      </x:c>
      <x:c r="I2792" t="str">
        <x:v>Cookies 200g</x:v>
      </x:c>
      <x:c r="J2792" t="str">
        <x:v>Snacks</x:v>
      </x:c>
      <x:c r="K2792" t="str">
        <x:v>Britannia</x:v>
      </x:c>
      <x:c r="L2792" s="22" t="n">
        <x:v>55</x:v>
      </x:c>
      <x:c r="M2792" t="n">
        <x:v>14</x:v>
      </x:c>
      <x:c r="N2792" s="24" t="n">
        <x:v>0</x:v>
      </x:c>
      <x:c r="O2792" s="22" t="n">
        <x:f>L2792*M2792</x:f>
        <x:v>770</x:v>
      </x:c>
      <x:c r="P2792" s="22" t="n">
        <x:f>O2792*(1-N2792)</x:f>
        <x:v>770</x:v>
      </x:c>
      <x:c r="Q2792" s="22" t="n">
        <x:v>42</x:v>
      </x:c>
      <x:c r="R2792" s="22" t="n">
        <x:f>Q2792*M2792</x:f>
        <x:v>588</x:v>
      </x:c>
      <x:c r="S2792" s="22" t="n">
        <x:f>P2792-R2792</x:f>
        <x:v>182</x:v>
      </x:c>
      <x:c r="T2792" t="str">
        <x:v>Credit</x:v>
      </x:c>
      <x:c r="U2792" t="str">
        <x:v>Paid</x:v>
      </x:c>
      <x:c r="V2792" t="str">
        <x:v>Delivered</x:v>
      </x:c>
      <x:c r="W2792" t="n">
        <x:v>0</x:v>
      </x:c>
      <x:c r="X2792" t="str"/>
      <x:c r="Y2792" t="str">
        <x:v>Outbound Call</x:v>
      </x:c>
    </x:row>
    <x:row r="2793">
      <x:c r="A2793" t="str">
        <x:v>O002792</x:v>
      </x:c>
      <x:c r="B2793" s="20" t="n">
        <x:v>46165</x:v>
      </x:c>
      <x:c r="C2793" t="str">
        <x:v>C0026</x:v>
      </x:c>
      <x:c r="D2793" t="str">
        <x:v>Cafe Kitchen 26</x:v>
      </x:c>
      <x:c r="E2793" t="str">
        <x:v>Kirana</x:v>
      </x:c>
      <x:c r="F2793" t="str">
        <x:v>Davanagere</x:v>
      </x:c>
      <x:c r="G2793" t="str">
        <x:v>Kavya</x:v>
      </x:c>
      <x:c r="H2793" t="str">
        <x:v>P025</x:v>
      </x:c>
      <x:c r="I2793" t="str">
        <x:v>Potato Chips 100g</x:v>
      </x:c>
      <x:c r="J2793" t="str">
        <x:v>Snacks</x:v>
      </x:c>
      <x:c r="K2793" t="str">
        <x:v>Lay's</x:v>
      </x:c>
      <x:c r="L2793" s="22" t="n">
        <x:v>35</x:v>
      </x:c>
      <x:c r="M2793" t="n">
        <x:v>36</x:v>
      </x:c>
      <x:c r="N2793" s="24" t="n">
        <x:v>0.03</x:v>
      </x:c>
      <x:c r="O2793" s="22" t="n">
        <x:f>L2793*M2793</x:f>
        <x:v>1260</x:v>
      </x:c>
      <x:c r="P2793" s="22" t="n">
        <x:f>O2793*(1-N2793)</x:f>
        <x:v>1222.2</x:v>
      </x:c>
      <x:c r="Q2793" s="22" t="n">
        <x:v>27</x:v>
      </x:c>
      <x:c r="R2793" s="22" t="n">
        <x:f>Q2793*M2793</x:f>
        <x:v>972</x:v>
      </x:c>
      <x:c r="S2793" s="22" t="n">
        <x:f>P2793-R2793</x:f>
        <x:v>250.20000000000005</x:v>
      </x:c>
      <x:c r="T2793" t="str">
        <x:v>Bank Transfer</x:v>
      </x:c>
      <x:c r="U2793" t="str">
        <x:v>Pending</x:v>
      </x:c>
      <x:c r="V2793" t="str">
        <x:v>Delivered</x:v>
      </x:c>
      <x:c r="W2793" t="n">
        <x:v>0</x:v>
      </x:c>
      <x:c r="X2793" t="str"/>
      <x:c r="Y2793" t="str">
        <x:v>Existing Customer</x:v>
      </x:c>
    </x:row>
    <x:row r="2794">
      <x:c r="A2794" t="str">
        <x:v>O002793</x:v>
      </x:c>
      <x:c r="B2794" s="20" t="n">
        <x:v>45763</x:v>
      </x:c>
      <x:c r="C2794" t="str">
        <x:v>C0040</x:v>
      </x:c>
      <x:c r="D2794" t="str">
        <x:v>Royal Foods 40</x:v>
      </x:c>
      <x:c r="E2794" t="str">
        <x:v>Restaurant</x:v>
      </x:c>
      <x:c r="F2794" t="str">
        <x:v>Mangaluru</x:v>
      </x:c>
      <x:c r="G2794" t="str">
        <x:v>Kavya</x:v>
      </x:c>
      <x:c r="H2794" t="str">
        <x:v>P001</x:v>
      </x:c>
      <x:c r="I2794" t="str">
        <x:v>Steam Rice 25kg</x:v>
      </x:c>
      <x:c r="J2794" t="str">
        <x:v>Staples</x:v>
      </x:c>
      <x:c r="K2794" t="str">
        <x:v>Aishwarya</x:v>
      </x:c>
      <x:c r="L2794" s="22" t="n">
        <x:v>1180</x:v>
      </x:c>
      <x:c r="M2794" t="n">
        <x:v>5</x:v>
      </x:c>
      <x:c r="N2794" s="24" t="n">
        <x:v>0.05</x:v>
      </x:c>
      <x:c r="O2794" s="22" t="n">
        <x:f>L2794*M2794</x:f>
        <x:v>5900</x:v>
      </x:c>
      <x:c r="P2794" s="22" t="n">
        <x:f>O2794*(1-N2794)</x:f>
        <x:v>5605</x:v>
      </x:c>
      <x:c r="Q2794" s="22" t="n">
        <x:v>1040</x:v>
      </x:c>
      <x:c r="R2794" s="22" t="n">
        <x:f>Q2794*M2794</x:f>
        <x:v>5200</x:v>
      </x:c>
      <x:c r="S2794" s="22" t="n">
        <x:f>P2794-R2794</x:f>
        <x:v>405</x:v>
      </x:c>
      <x:c r="T2794" t="str">
        <x:v>Bank Transfer</x:v>
      </x:c>
      <x:c r="U2794" t="str">
        <x:v>Overdue</x:v>
      </x:c>
      <x:c r="V2794" t="str">
        <x:v>Delivered</x:v>
      </x:c>
      <x:c r="W2794" t="n">
        <x:v>0</x:v>
      </x:c>
      <x:c r="X2794" t="str"/>
      <x:c r="Y2794" t="str">
        <x:v>Outbound Call</x:v>
      </x:c>
    </x:row>
    <x:row r="2795">
      <x:c r="A2795" t="str">
        <x:v>O002794</x:v>
      </x:c>
      <x:c r="B2795" s="20" t="n">
        <x:v>46262</x:v>
      </x:c>
      <x:c r="C2795" t="str">
        <x:v>C0088</x:v>
      </x:c>
      <x:c r="D2795" t="str">
        <x:v>Darshini Kitchen 88</x:v>
      </x:c>
      <x:c r="E2795" t="str">
        <x:v>Cafe</x:v>
      </x:c>
      <x:c r="F2795" t="str">
        <x:v>Tumakuru</x:v>
      </x:c>
      <x:c r="G2795" t="str">
        <x:v>Arjun</x:v>
      </x:c>
      <x:c r="H2795" t="str">
        <x:v>P019</x:v>
      </x:c>
      <x:c r="I2795" t="str">
        <x:v>Tea 1kg</x:v>
      </x:c>
      <x:c r="J2795" t="str">
        <x:v>Beverage</x:v>
      </x:c>
      <x:c r="K2795" t="str">
        <x:v>Red Label</x:v>
      </x:c>
      <x:c r="L2795" s="22" t="n">
        <x:v>540</x:v>
      </x:c>
      <x:c r="M2795" t="n">
        <x:v>3</x:v>
      </x:c>
      <x:c r="N2795" s="24" t="n">
        <x:v>0.03</x:v>
      </x:c>
      <x:c r="O2795" s="22" t="n">
        <x:f>L2795*M2795</x:f>
        <x:v>1620</x:v>
      </x:c>
      <x:c r="P2795" s="22" t="n">
        <x:f>O2795*(1-N2795)</x:f>
        <x:v>1571.3999999999999</x:v>
      </x:c>
      <x:c r="Q2795" s="22" t="n">
        <x:v>485</x:v>
      </x:c>
      <x:c r="R2795" s="22" t="n">
        <x:f>Q2795*M2795</x:f>
        <x:v>1455</x:v>
      </x:c>
      <x:c r="S2795" s="22" t="n">
        <x:f>P2795-R2795</x:f>
        <x:v>116.39999999999986</x:v>
      </x:c>
      <x:c r="T2795" t="str">
        <x:v>UPI</x:v>
      </x:c>
      <x:c r="U2795" t="str">
        <x:v>Paid</x:v>
      </x:c>
      <x:c r="V2795" t="str">
        <x:v>Delayed</x:v>
      </x:c>
      <x:c r="W2795" t="n">
        <x:v>0</x:v>
      </x:c>
      <x:c r="X2795" t="str"/>
      <x:c r="Y2795" t="str">
        <x:v>Existing Customer</x:v>
      </x:c>
    </x:row>
    <x:row r="2796">
      <x:c r="A2796" t="str">
        <x:v>O002795</x:v>
      </x:c>
      <x:c r="B2796" s="20" t="n">
        <x:v>46069</x:v>
      </x:c>
      <x:c r="C2796" t="str">
        <x:v>C0146</x:v>
      </x:c>
      <x:c r="D2796" t="str">
        <x:v>Annapurna Hotel 146</x:v>
      </x:c>
      <x:c r="E2796" t="str">
        <x:v>Restaurant</x:v>
      </x:c>
      <x:c r="F2796" t="str">
        <x:v>Davanagere</x:v>
      </x:c>
      <x:c r="G2796" t="str">
        <x:v>Arjun</x:v>
      </x:c>
      <x:c r="H2796" t="str">
        <x:v>P032</x:v>
      </x:c>
      <x:c r="I2796" t="str">
        <x:v>Soy Sauce 700g</x:v>
      </x:c>
      <x:c r="J2796" t="str">
        <x:v>Condiments</x:v>
      </x:c>
      <x:c r="K2796" t="str">
        <x:v>Ching's</x:v>
      </x:c>
      <x:c r="L2796" s="22" t="n">
        <x:v>118</x:v>
      </x:c>
      <x:c r="M2796" t="n">
        <x:v>30</x:v>
      </x:c>
      <x:c r="N2796" s="24" t="n">
        <x:v>0</x:v>
      </x:c>
      <x:c r="O2796" s="22" t="n">
        <x:f>L2796*M2796</x:f>
        <x:v>3540</x:v>
      </x:c>
      <x:c r="P2796" s="22" t="n">
        <x:f>O2796*(1-N2796)</x:f>
        <x:v>3540</x:v>
      </x:c>
      <x:c r="Q2796" s="22" t="n">
        <x:v>101</x:v>
      </x:c>
      <x:c r="R2796" s="22" t="n">
        <x:f>Q2796*M2796</x:f>
        <x:v>3030</x:v>
      </x:c>
      <x:c r="S2796" s="22" t="n">
        <x:f>P2796-R2796</x:f>
        <x:v>510</x:v>
      </x:c>
      <x:c r="T2796" t="str">
        <x:v>Credit</x:v>
      </x:c>
      <x:c r="U2796" t="str">
        <x:v>Paid</x:v>
      </x:c>
      <x:c r="V2796" t="str">
        <x:v>Delivered</x:v>
      </x:c>
      <x:c r="W2796" t="n">
        <x:v>0</x:v>
      </x:c>
      <x:c r="X2796" t="str"/>
      <x:c r="Y2796" t="str"/>
    </x:row>
    <x:row r="2797">
      <x:c r="A2797" t="str">
        <x:v>O002796</x:v>
      </x:c>
      <x:c r="B2797" s="20" t="n">
        <x:v>45946</x:v>
      </x:c>
      <x:c r="C2797" t="str">
        <x:v>C0205</x:v>
      </x:c>
      <x:c r="D2797" t="str">
        <x:v>Royal Mart 205</x:v>
      </x:c>
      <x:c r="E2797" t="str">
        <x:v>Kirana</x:v>
      </x:c>
      <x:c r="F2797" t="str">
        <x:v>Mysuru</x:v>
      </x:c>
      <x:c r="G2797" t="str">
        <x:v>Priya</x:v>
      </x:c>
      <x:c r="H2797" t="str">
        <x:v>P050</x:v>
      </x:c>
      <x:c r="I2797" t="str">
        <x:v>Lemon 5kg</x:v>
      </x:c>
      <x:c r="J2797" t="str">
        <x:v>Fresh Produce</x:v>
      </x:c>
      <x:c r="K2797" t="str">
        <x:v>Local Market</x:v>
      </x:c>
      <x:c r="L2797" s="22" t="n">
        <x:v>360</x:v>
      </x:c>
      <x:c r="M2797" t="n">
        <x:v>16</x:v>
      </x:c>
      <x:c r="N2797" s="24" t="n">
        <x:v>0.03</x:v>
      </x:c>
      <x:c r="O2797" s="22" t="n">
        <x:f>L2797*M2797</x:f>
        <x:v>5760</x:v>
      </x:c>
      <x:c r="P2797" s="22" t="n">
        <x:f>O2797*(1-N2797)</x:f>
        <x:v>5587.2</x:v>
      </x:c>
      <x:c r="Q2797" s="22" t="n">
        <x:v>300</x:v>
      </x:c>
      <x:c r="R2797" s="22" t="n">
        <x:f>Q2797*M2797</x:f>
        <x:v>4800</x:v>
      </x:c>
      <x:c r="S2797" s="22" t="n">
        <x:f>P2797-R2797</x:f>
        <x:v>787.1999999999998</x:v>
      </x:c>
      <x:c r="T2797" t="str">
        <x:v>UPI</x:v>
      </x:c>
      <x:c r="U2797" t="str">
        <x:v>Paid</x:v>
      </x:c>
      <x:c r="V2797" t="str">
        <x:v>Delayed</x:v>
      </x:c>
      <x:c r="W2797" t="n">
        <x:v>0</x:v>
      </x:c>
      <x:c r="X2797" t="str"/>
      <x:c r="Y2797" t="str">
        <x:v>Outbound Call</x:v>
      </x:c>
    </x:row>
    <x:row r="2798">
      <x:c r="A2798" t="str">
        <x:v>O002797</x:v>
      </x:c>
      <x:c r="B2798" s="20" t="n">
        <x:v>45972</x:v>
      </x:c>
      <x:c r="C2798" t="str">
        <x:v>C0081</x:v>
      </x:c>
      <x:c r="D2798" t="str">
        <x:v>Foodie Mart 81</x:v>
      </x:c>
      <x:c r="E2798" t="str">
        <x:v>Supermarket</x:v>
      </x:c>
      <x:c r="F2798" t="str">
        <x:v>Hubballi</x:v>
      </x:c>
      <x:c r="G2798" t="str">
        <x:v>Kavya</x:v>
      </x:c>
      <x:c r="H2798" t="str">
        <x:v>P011</x:v>
      </x:c>
      <x:c r="I2798" t="str">
        <x:v>Salt 1kg</x:v>
      </x:c>
      <x:c r="J2798" t="str">
        <x:v>Staples</x:v>
      </x:c>
      <x:c r="K2798" t="str">
        <x:v>Tata</x:v>
      </x:c>
      <x:c r="L2798" s="22" t="n">
        <x:v>28</x:v>
      </x:c>
      <x:c r="M2798" t="n">
        <x:v>40</x:v>
      </x:c>
      <x:c r="N2798" s="24" t="n">
        <x:v>0.08</x:v>
      </x:c>
      <x:c r="O2798" s="22" t="n">
        <x:f>L2798*M2798</x:f>
        <x:v>1120</x:v>
      </x:c>
      <x:c r="P2798" s="22" t="n">
        <x:f>O2798*(1-N2798)</x:f>
        <x:v>1030.4</x:v>
      </x:c>
      <x:c r="Q2798" s="22" t="n">
        <x:v>23</x:v>
      </x:c>
      <x:c r="R2798" s="22" t="n">
        <x:f>Q2798*M2798</x:f>
        <x:v>920</x:v>
      </x:c>
      <x:c r="S2798" s="22" t="n">
        <x:f>P2798-R2798</x:f>
        <x:v>110.40000000000009</x:v>
      </x:c>
      <x:c r="T2798" t="str">
        <x:v>UPI</x:v>
      </x:c>
      <x:c r="U2798" t="str">
        <x:v>Paid</x:v>
      </x:c>
      <x:c r="V2798" t="str">
        <x:v>Cancelled</x:v>
      </x:c>
      <x:c r="W2798" t="n">
        <x:v>40</x:v>
      </x:c>
      <x:c r="X2798" t="str">
        <x:v>Cancelled Order</x:v>
      </x:c>
      <x:c r="Y2798" t="str">
        <x:v>Field Visit</x:v>
      </x:c>
    </x:row>
    <x:row r="2799">
      <x:c r="A2799" t="str">
        <x:v>O002798</x:v>
      </x:c>
      <x:c r="B2799" s="20" t="n">
        <x:v>46080</x:v>
      </x:c>
      <x:c r="C2799" t="str">
        <x:v>C0146</x:v>
      </x:c>
      <x:c r="D2799" t="str">
        <x:v>Annapurna Hotel 146</x:v>
      </x:c>
      <x:c r="E2799" t="str">
        <x:v>Restaurant</x:v>
      </x:c>
      <x:c r="F2799" t="str">
        <x:v>Davanagere</x:v>
      </x:c>
      <x:c r="G2799" t="str">
        <x:v>Arjun</x:v>
      </x:c>
      <x:c r="H2799" t="str">
        <x:v>P037</x:v>
      </x:c>
      <x:c r="I2799" t="str">
        <x:v>Frozen Peas 1kg</x:v>
      </x:c>
      <x:c r="J2799" t="str">
        <x:v>Frozen</x:v>
      </x:c>
      <x:c r="K2799" t="str">
        <x:v>Safal</x:v>
      </x:c>
      <x:c r="L2799" s="22" t="n">
        <x:v>155</x:v>
      </x:c>
      <x:c r="M2799" t="n">
        <x:v>21</x:v>
      </x:c>
      <x:c r="N2799" s="24" t="n">
        <x:v>0.1</x:v>
      </x:c>
      <x:c r="O2799" s="22" t="n">
        <x:f>L2799*M2799</x:f>
        <x:v>3255</x:v>
      </x:c>
      <x:c r="P2799" s="22" t="n">
        <x:f>O2799*(1-N2799)</x:f>
        <x:v>2929.5</x:v>
      </x:c>
      <x:c r="Q2799" s="22" t="n">
        <x:v>138</x:v>
      </x:c>
      <x:c r="R2799" s="22" t="n">
        <x:f>Q2799*M2799</x:f>
        <x:v>2898</x:v>
      </x:c>
      <x:c r="S2799" s="22" t="n">
        <x:f>P2799-R2799</x:f>
        <x:v>31.5</x:v>
      </x:c>
      <x:c r="T2799" t="str">
        <x:v>Credit</x:v>
      </x:c>
      <x:c r="U2799" t="str">
        <x:v>Pending</x:v>
      </x:c>
      <x:c r="V2799" t="str">
        <x:v>Delivered</x:v>
      </x:c>
      <x:c r="W2799" t="n">
        <x:v>0</x:v>
      </x:c>
      <x:c r="X2799" t="str"/>
      <x:c r="Y2799" t="str">
        <x:v>WhatsApp</x:v>
      </x:c>
    </x:row>
    <x:row r="2800">
      <x:c r="A2800" t="str">
        <x:v>O002799</x:v>
      </x:c>
      <x:c r="B2800" s="20" t="n">
        <x:v>46192</x:v>
      </x:c>
      <x:c r="C2800" t="str">
        <x:v>C0092</x:v>
      </x:c>
      <x:c r="D2800" t="str">
        <x:v>Cafe Restaurant 92</x:v>
      </x:c>
      <x:c r="E2800" t="str">
        <x:v>Canteen</x:v>
      </x:c>
      <x:c r="F2800" t="str">
        <x:v>Hubballi</x:v>
      </x:c>
      <x:c r="G2800" t="str">
        <x:v>Vikram</x:v>
      </x:c>
      <x:c r="H2800" t="str">
        <x:v>P007</x:v>
      </x:c>
      <x:c r="I2800" t="str">
        <x:v>Sunflower Oil 15L</x:v>
      </x:c>
      <x:c r="J2800" t="str">
        <x:v>Edible Oil</x:v>
      </x:c>
      <x:c r="K2800" t="str">
        <x:v>Fortune</x:v>
      </x:c>
      <x:c r="L2800" s="22" t="n">
        <x:v>1980</x:v>
      </x:c>
      <x:c r="M2800" t="n">
        <x:v>7</x:v>
      </x:c>
      <x:c r="N2800" s="24" t="n">
        <x:v>0</x:v>
      </x:c>
      <x:c r="O2800" s="22" t="n">
        <x:f>L2800*M2800</x:f>
        <x:v>13860</x:v>
      </x:c>
      <x:c r="P2800" s="22" t="n">
        <x:f>O2800*(1-N2800)</x:f>
        <x:v>13860</x:v>
      </x:c>
      <x:c r="Q2800" s="22" t="n">
        <x:v>1810</x:v>
      </x:c>
      <x:c r="R2800" s="22" t="n">
        <x:f>Q2800*M2800</x:f>
        <x:v>12670</x:v>
      </x:c>
      <x:c r="S2800" s="22" t="n">
        <x:f>P2800-R2800</x:f>
        <x:v>1190</x:v>
      </x:c>
      <x:c r="T2800" t="str">
        <x:v>Cash</x:v>
      </x:c>
      <x:c r="U2800" t="str">
        <x:v>Paid</x:v>
      </x:c>
      <x:c r="V2800" t="str">
        <x:v>Delivered</x:v>
      </x:c>
      <x:c r="W2800" t="n">
        <x:v>0</x:v>
      </x:c>
      <x:c r="X2800" t="str"/>
      <x:c r="Y2800" t="str"/>
    </x:row>
    <x:row r="2801">
      <x:c r="A2801" t="str">
        <x:v>O002800</x:v>
      </x:c>
      <x:c r="B2801" s="20" t="n">
        <x:v>45696</x:v>
      </x:c>
      <x:c r="C2801" t="str">
        <x:v>C0033</x:v>
      </x:c>
      <x:c r="D2801" t="str">
        <x:v>Shree Canteen 33</x:v>
      </x:c>
      <x:c r="E2801" t="str">
        <x:v>Canteen</x:v>
      </x:c>
      <x:c r="F2801" t="str">
        <x:v>Mangaluru</x:v>
      </x:c>
      <x:c r="G2801" t="str">
        <x:v>Imran</x:v>
      </x:c>
      <x:c r="H2801" t="str">
        <x:v>P016</x:v>
      </x:c>
      <x:c r="I2801" t="str">
        <x:v>Curd 1kg</x:v>
      </x:c>
      <x:c r="J2801" t="str">
        <x:v>Dairy</x:v>
      </x:c>
      <x:c r="K2801" t="str">
        <x:v>Nandini</x:v>
      </x:c>
      <x:c r="L2801" s="22" t="n">
        <x:v>72</x:v>
      </x:c>
      <x:c r="M2801" t="n">
        <x:v>9</x:v>
      </x:c>
      <x:c r="N2801" s="24" t="n">
        <x:v>0</x:v>
      </x:c>
      <x:c r="O2801" s="22" t="n">
        <x:f>L2801*M2801</x:f>
        <x:v>648</x:v>
      </x:c>
      <x:c r="P2801" s="22" t="n">
        <x:f>O2801*(1-N2801)</x:f>
        <x:v>648</x:v>
      </x:c>
      <x:c r="Q2801" s="22" t="n">
        <x:v>64</x:v>
      </x:c>
      <x:c r="R2801" s="22" t="n">
        <x:f>Q2801*M2801</x:f>
        <x:v>576</x:v>
      </x:c>
      <x:c r="S2801" s="22" t="n">
        <x:f>P2801-R2801</x:f>
        <x:v>72</x:v>
      </x:c>
      <x:c r="T2801" t="str">
        <x:v>Cash</x:v>
      </x:c>
      <x:c r="U2801" t="str">
        <x:v>Paid</x:v>
      </x:c>
      <x:c r="V2801" t="str">
        <x:v>Delivered</x:v>
      </x:c>
      <x:c r="W2801" t="n">
        <x:v>0</x:v>
      </x:c>
      <x:c r="X2801" t="str"/>
      <x:c r="Y2801" t="str">
        <x:v>WhatsApp</x:v>
      </x:c>
    </x:row>
    <x:row r="2802">
      <x:c r="A2802" t="str">
        <x:v>O002801</x:v>
      </x:c>
      <x:c r="B2802" s="20" t="n">
        <x:v>45846</x:v>
      </x:c>
      <x:c r="C2802" t="str">
        <x:v>C0250</x:v>
      </x:c>
      <x:c r="D2802" t="str">
        <x:v>Namma Hotel 250</x:v>
      </x:c>
      <x:c r="E2802" t="str">
        <x:v>Cafe</x:v>
      </x:c>
      <x:c r="F2802" t="str">
        <x:v>Bengaluru</x:v>
      </x:c>
      <x:c r="G2802" t="str">
        <x:v>Sneha</x:v>
      </x:c>
      <x:c r="H2802" t="str">
        <x:v>P007</x:v>
      </x:c>
      <x:c r="I2802" t="str">
        <x:v>Sunflower Oil 15L</x:v>
      </x:c>
      <x:c r="J2802" t="str">
        <x:v>Edible Oil</x:v>
      </x:c>
      <x:c r="K2802" t="str">
        <x:v>Fortune</x:v>
      </x:c>
      <x:c r="L2802" s="22" t="n">
        <x:v>1980</x:v>
      </x:c>
      <x:c r="M2802" t="n">
        <x:v>2</x:v>
      </x:c>
      <x:c r="N2802" s="24" t="n">
        <x:v>0.05</x:v>
      </x:c>
      <x:c r="O2802" s="22" t="n">
        <x:f>L2802*M2802</x:f>
        <x:v>3960</x:v>
      </x:c>
      <x:c r="P2802" s="22" t="n">
        <x:f>O2802*(1-N2802)</x:f>
        <x:v>3762</x:v>
      </x:c>
      <x:c r="Q2802" s="22" t="n">
        <x:v>1810</x:v>
      </x:c>
      <x:c r="R2802" s="22" t="n">
        <x:f>Q2802*M2802</x:f>
        <x:v>3620</x:v>
      </x:c>
      <x:c r="S2802" s="22" t="n">
        <x:f>P2802-R2802</x:f>
        <x:v>142</x:v>
      </x:c>
      <x:c r="T2802" t="str">
        <x:v>UPI</x:v>
      </x:c>
      <x:c r="U2802" t="str">
        <x:v>Pending</x:v>
      </x:c>
      <x:c r="V2802" t="str">
        <x:v>Delivered</x:v>
      </x:c>
      <x:c r="W2802" t="n">
        <x:v>0</x:v>
      </x:c>
      <x:c r="X2802" t="str"/>
      <x:c r="Y2802" t="str">
        <x:v>Referral</x:v>
      </x:c>
    </x:row>
    <x:row r="2803">
      <x:c r="A2803" t="str">
        <x:v>O002802</x:v>
      </x:c>
      <x:c r="B2803" s="20" t="n">
        <x:v>46002</x:v>
      </x:c>
      <x:c r="C2803" t="str">
        <x:v>C0130</x:v>
      </x:c>
      <x:c r="D2803" t="str">
        <x:v>Foodie Cafe 130</x:v>
      </x:c>
      <x:c r="E2803" t="str">
        <x:v>Restaurant</x:v>
      </x:c>
      <x:c r="F2803" t="str">
        <x:v>Davanagere</x:v>
      </x:c>
      <x:c r="G2803" t="str">
        <x:v>Megha</x:v>
      </x:c>
      <x:c r="H2803" t="str">
        <x:v>P001</x:v>
      </x:c>
      <x:c r="I2803" t="str">
        <x:v>Steam Rice 25kg</x:v>
      </x:c>
      <x:c r="J2803" t="str">
        <x:v>Staples</x:v>
      </x:c>
      <x:c r="K2803" t="str">
        <x:v>Aishwarya</x:v>
      </x:c>
      <x:c r="L2803" s="22" t="n">
        <x:v>1180</x:v>
      </x:c>
      <x:c r="M2803" t="n">
        <x:v>7</x:v>
      </x:c>
      <x:c r="N2803" s="24" t="n">
        <x:v>0.03</x:v>
      </x:c>
      <x:c r="O2803" s="22" t="n">
        <x:f>L2803*M2803</x:f>
        <x:v>8260</x:v>
      </x:c>
      <x:c r="P2803" s="22" t="n">
        <x:f>O2803*(1-N2803)</x:f>
        <x:v>8012.2</x:v>
      </x:c>
      <x:c r="Q2803" s="22" t="n">
        <x:v>1040</x:v>
      </x:c>
      <x:c r="R2803" s="22" t="n">
        <x:f>Q2803*M2803</x:f>
        <x:v>7280</x:v>
      </x:c>
      <x:c r="S2803" s="22" t="n">
        <x:f>P2803-R2803</x:f>
        <x:v>732.1999999999998</x:v>
      </x:c>
      <x:c r="T2803" t="str">
        <x:v>UPI</x:v>
      </x:c>
      <x:c r="U2803" t="str">
        <x:v>Paid</x:v>
      </x:c>
      <x:c r="V2803" t="str">
        <x:v>Delivered</x:v>
      </x:c>
      <x:c r="W2803" t="n">
        <x:v>0</x:v>
      </x:c>
      <x:c r="X2803" t="str"/>
      <x:c r="Y2803" t="str">
        <x:v>Referral</x:v>
      </x:c>
    </x:row>
    <x:row r="2804">
      <x:c r="A2804" t="str">
        <x:v>O002803</x:v>
      </x:c>
      <x:c r="B2804" s="20" t="n">
        <x:v>46224</x:v>
      </x:c>
      <x:c r="C2804" t="str">
        <x:v>C0125</x:v>
      </x:c>
      <x:c r="D2804" t="str">
        <x:v>Spice Restaurant 125</x:v>
      </x:c>
      <x:c r="E2804" t="str">
        <x:v>Kirana</x:v>
      </x:c>
      <x:c r="F2804" t="str">
        <x:v>Tumakuru</x:v>
      </x:c>
      <x:c r="G2804" t="str">
        <x:v>Ramesh</x:v>
      </x:c>
      <x:c r="H2804" t="str">
        <x:v>P034</x:v>
      </x:c>
      <x:c r="I2804" t="str">
        <x:v>Chilli Powder 1kg</x:v>
      </x:c>
      <x:c r="J2804" t="str">
        <x:v>Spices</x:v>
      </x:c>
      <x:c r="K2804" t="str">
        <x:v>MDH</x:v>
      </x:c>
      <x:c r="L2804" s="22" t="n">
        <x:v>340</x:v>
      </x:c>
      <x:c r="M2804" t="n">
        <x:v>19</x:v>
      </x:c>
      <x:c r="N2804" s="24" t="n">
        <x:v>0.05</x:v>
      </x:c>
      <x:c r="O2804" s="22" t="n">
        <x:f>L2804*M2804</x:f>
        <x:v>6460</x:v>
      </x:c>
      <x:c r="P2804" s="22" t="n">
        <x:f>O2804*(1-N2804)</x:f>
        <x:v>6137</x:v>
      </x:c>
      <x:c r="Q2804" s="22" t="n">
        <x:v>295</x:v>
      </x:c>
      <x:c r="R2804" s="22" t="n">
        <x:f>Q2804*M2804</x:f>
        <x:v>5605</x:v>
      </x:c>
      <x:c r="S2804" s="22" t="n">
        <x:f>P2804-R2804</x:f>
        <x:v>532</x:v>
      </x:c>
      <x:c r="T2804" t="str">
        <x:v>Credit</x:v>
      </x:c>
      <x:c r="U2804" t="str">
        <x:v>Paid</x:v>
      </x:c>
      <x:c r="V2804" t="str">
        <x:v>Delivered</x:v>
      </x:c>
      <x:c r="W2804" t="n">
        <x:v>0</x:v>
      </x:c>
      <x:c r="X2804" t="str"/>
      <x:c r="Y2804" t="str">
        <x:v>WhatsApp</x:v>
      </x:c>
    </x:row>
    <x:row r="2805">
      <x:c r="A2805" t="str">
        <x:v>O002804</x:v>
      </x:c>
      <x:c r="B2805" s="20" t="n">
        <x:v>45992</x:v>
      </x:c>
      <x:c r="C2805" t="str">
        <x:v>C0107</x:v>
      </x:c>
      <x:c r="D2805" t="str">
        <x:v>Mysore Cafe 107</x:v>
      </x:c>
      <x:c r="E2805" t="str">
        <x:v>Supermarket</x:v>
      </x:c>
      <x:c r="F2805" t="str">
        <x:v>Tumakuru</x:v>
      </x:c>
      <x:c r="G2805" t="str">
        <x:v>Megha</x:v>
      </x:c>
      <x:c r="H2805" t="str">
        <x:v>P006</x:v>
      </x:c>
      <x:c r="I2805" t="str">
        <x:v>Moong Dal 5kg</x:v>
      </x:c>
      <x:c r="J2805" t="str">
        <x:v>Pulses</x:v>
      </x:c>
      <x:c r="K2805" t="str">
        <x:v>Local Select</x:v>
      </x:c>
      <x:c r="L2805" s="22" t="n">
        <x:v>610</x:v>
      </x:c>
      <x:c r="M2805" t="n">
        <x:v>9</x:v>
      </x:c>
      <x:c r="N2805" s="24" t="n">
        <x:v>0.03</x:v>
      </x:c>
      <x:c r="O2805" s="22" t="n">
        <x:f>L2805*M2805</x:f>
        <x:v>5490</x:v>
      </x:c>
      <x:c r="P2805" s="22" t="n">
        <x:f>O2805*(1-N2805)</x:f>
        <x:v>5325.3</x:v>
      </x:c>
      <x:c r="Q2805" s="22" t="n">
        <x:v>540</x:v>
      </x:c>
      <x:c r="R2805" s="22" t="n">
        <x:f>Q2805*M2805</x:f>
        <x:v>4860</x:v>
      </x:c>
      <x:c r="S2805" s="22" t="n">
        <x:f>P2805-R2805</x:f>
        <x:v>465.3000000000002</x:v>
      </x:c>
      <x:c r="T2805" t="str">
        <x:v>Cash</x:v>
      </x:c>
      <x:c r="U2805" t="str">
        <x:v>Pending</x:v>
      </x:c>
      <x:c r="V2805" t="str">
        <x:v>Delivered</x:v>
      </x:c>
      <x:c r="W2805" t="n">
        <x:v>0</x:v>
      </x:c>
      <x:c r="X2805" t="str"/>
      <x:c r="Y2805" t="str"/>
    </x:row>
    <x:row r="2806">
      <x:c r="A2806" t="str">
        <x:v>O002805</x:v>
      </x:c>
      <x:c r="B2806" s="20" t="n">
        <x:v>46226</x:v>
      </x:c>
      <x:c r="C2806" t="str">
        <x:v>C0041</x:v>
      </x:c>
      <x:c r="D2806" t="str">
        <x:v>Grand Mart 41</x:v>
      </x:c>
      <x:c r="E2806" t="str">
        <x:v>Cafe</x:v>
      </x:c>
      <x:c r="F2806" t="str">
        <x:v>Bengaluru</x:v>
      </x:c>
      <x:c r="G2806" t="str">
        <x:v>Kavya</x:v>
      </x:c>
      <x:c r="H2806" t="str">
        <x:v>P017</x:v>
      </x:c>
      <x:c r="I2806" t="str">
        <x:v>Butter 500g</x:v>
      </x:c>
      <x:c r="J2806" t="str">
        <x:v>Dairy</x:v>
      </x:c>
      <x:c r="K2806" t="str">
        <x:v>Amul</x:v>
      </x:c>
      <x:c r="L2806" s="22" t="n">
        <x:v>285</x:v>
      </x:c>
      <x:c r="M2806" t="n">
        <x:v>10</x:v>
      </x:c>
      <x:c r="N2806" s="24" t="n">
        <x:v>0.02</x:v>
      </x:c>
      <x:c r="O2806" s="22" t="n">
        <x:f>L2806*M2806</x:f>
        <x:v>2850</x:v>
      </x:c>
      <x:c r="P2806" s="22" t="n">
        <x:f>O2806*(1-N2806)</x:f>
        <x:v>2793</x:v>
      </x:c>
      <x:c r="Q2806" s="22" t="n">
        <x:v>258</x:v>
      </x:c>
      <x:c r="R2806" s="22" t="n">
        <x:f>Q2806*M2806</x:f>
        <x:v>2580</x:v>
      </x:c>
      <x:c r="S2806" s="22" t="n">
        <x:f>P2806-R2806</x:f>
        <x:v>213</x:v>
      </x:c>
      <x:c r="T2806" t="str">
        <x:v>Credit</x:v>
      </x:c>
      <x:c r="U2806" t="str">
        <x:v>Paid</x:v>
      </x:c>
      <x:c r="V2806" t="str">
        <x:v>Delivered</x:v>
      </x:c>
      <x:c r="W2806" t="n">
        <x:v>0</x:v>
      </x:c>
      <x:c r="X2806" t="str"/>
      <x:c r="Y2806" t="str">
        <x:v>WhatsApp</x:v>
      </x:c>
    </x:row>
    <x:row r="2807">
      <x:c r="A2807" t="str">
        <x:v>O002806</x:v>
      </x:c>
      <x:c r="B2807" s="20" t="n">
        <x:v>46033</x:v>
      </x:c>
      <x:c r="C2807" t="str">
        <x:v>C0020</x:v>
      </x:c>
      <x:c r="D2807" t="str">
        <x:v>Shree Foods 20</x:v>
      </x:c>
      <x:c r="E2807" t="str">
        <x:v>Restaurant</x:v>
      </x:c>
      <x:c r="F2807" t="str">
        <x:v>Mysuru</x:v>
      </x:c>
      <x:c r="G2807" t="str">
        <x:v>Arjun</x:v>
      </x:c>
      <x:c r="H2807" t="str">
        <x:v>P020</x:v>
      </x:c>
      <x:c r="I2807" t="str">
        <x:v>Coffee 500g</x:v>
      </x:c>
      <x:c r="J2807" t="str">
        <x:v>Beverage</x:v>
      </x:c>
      <x:c r="K2807" t="str">
        <x:v>Bru</x:v>
      </x:c>
      <x:c r="L2807" s="22" t="n">
        <x:v>390</x:v>
      </x:c>
      <x:c r="M2807" t="n">
        <x:v>3</x:v>
      </x:c>
      <x:c r="N2807" s="24" t="n">
        <x:v>0</x:v>
      </x:c>
      <x:c r="O2807" s="22" t="n">
        <x:f>L2807*M2807</x:f>
        <x:v>1170</x:v>
      </x:c>
      <x:c r="P2807" s="22" t="n">
        <x:f>O2807*(1-N2807)</x:f>
        <x:v>1170</x:v>
      </x:c>
      <x:c r="Q2807" s="22" t="n">
        <x:v>350</x:v>
      </x:c>
      <x:c r="R2807" s="22" t="n">
        <x:f>Q2807*M2807</x:f>
        <x:v>1050</x:v>
      </x:c>
      <x:c r="S2807" s="22" t="n">
        <x:f>P2807-R2807</x:f>
        <x:v>120</x:v>
      </x:c>
      <x:c r="T2807" t="str">
        <x:v>UPI</x:v>
      </x:c>
      <x:c r="U2807" t="str">
        <x:v>Pending</x:v>
      </x:c>
      <x:c r="V2807" t="str">
        <x:v>Delivered</x:v>
      </x:c>
      <x:c r="W2807" t="n">
        <x:v>0</x:v>
      </x:c>
      <x:c r="X2807" t="str"/>
      <x:c r="Y2807" t="str">
        <x:v>Outbound Call</x:v>
      </x:c>
    </x:row>
    <x:row r="2808">
      <x:c r="A2808" t="str">
        <x:v>O002807</x:v>
      </x:c>
      <x:c r="B2808" s="20" t="n">
        <x:v>46047</x:v>
      </x:c>
      <x:c r="C2808" t="str">
        <x:v>C0098</x:v>
      </x:c>
      <x:c r="D2808" t="str">
        <x:v>City Stores 98</x:v>
      </x:c>
      <x:c r="E2808" t="str">
        <x:v>Canteen</x:v>
      </x:c>
      <x:c r="F2808" t="str">
        <x:v>Mangaluru</x:v>
      </x:c>
      <x:c r="G2808" t="str">
        <x:v>Imran</x:v>
      </x:c>
      <x:c r="H2808" t="str">
        <x:v>P044</x:v>
      </x:c>
      <x:c r="I2808" t="str">
        <x:v>Chicken Curry Cut 1kg</x:v>
      </x:c>
      <x:c r="J2808" t="str">
        <x:v>Protein</x:v>
      </x:c>
      <x:c r="K2808" t="str">
        <x:v>FreshToHome</x:v>
      </x:c>
      <x:c r="L2808" s="22" t="n">
        <x:v>230</x:v>
      </x:c>
      <x:c r="M2808" t="n">
        <x:v>38</x:v>
      </x:c>
      <x:c r="N2808" s="24" t="n">
        <x:v>0.05</x:v>
      </x:c>
      <x:c r="O2808" s="22" t="n">
        <x:f>L2808*M2808</x:f>
        <x:v>8740</x:v>
      </x:c>
      <x:c r="P2808" s="22" t="n">
        <x:f>O2808*(1-N2808)</x:f>
        <x:v>8303</x:v>
      </x:c>
      <x:c r="Q2808" s="22" t="n">
        <x:v>205</x:v>
      </x:c>
      <x:c r="R2808" s="22" t="n">
        <x:f>Q2808*M2808</x:f>
        <x:v>7790</x:v>
      </x:c>
      <x:c r="S2808" s="22" t="n">
        <x:f>P2808-R2808</x:f>
        <x:v>513</x:v>
      </x:c>
      <x:c r="T2808" t="str">
        <x:v>Cash</x:v>
      </x:c>
      <x:c r="U2808" t="str">
        <x:v>Pending</x:v>
      </x:c>
      <x:c r="V2808" t="str">
        <x:v>Delayed</x:v>
      </x:c>
      <x:c r="W2808" t="n">
        <x:v>0</x:v>
      </x:c>
      <x:c r="X2808" t="str"/>
      <x:c r="Y2808" t="str">
        <x:v>Referral</x:v>
      </x:c>
    </x:row>
    <x:row r="2809">
      <x:c r="A2809" t="str">
        <x:v>O002808</x:v>
      </x:c>
      <x:c r="B2809" s="20" t="n">
        <x:v>46050</x:v>
      </x:c>
      <x:c r="C2809" t="str">
        <x:v>C0105</x:v>
      </x:c>
      <x:c r="D2809" t="str">
        <x:v>Foodie Restaurant 105</x:v>
      </x:c>
      <x:c r="E2809" t="str">
        <x:v>Supermarket</x:v>
      </x:c>
      <x:c r="F2809" t="str">
        <x:v>Bengaluru</x:v>
      </x:c>
      <x:c r="G2809" t="str">
        <x:v>Arjun</x:v>
      </x:c>
      <x:c r="H2809" t="str">
        <x:v>P001</x:v>
      </x:c>
      <x:c r="I2809" t="str">
        <x:v>Steam Rice 25kg</x:v>
      </x:c>
      <x:c r="J2809" t="str">
        <x:v>Staples</x:v>
      </x:c>
      <x:c r="K2809" t="str">
        <x:v>Aishwarya</x:v>
      </x:c>
      <x:c r="L2809" s="22" t="n">
        <x:v>1180</x:v>
      </x:c>
      <x:c r="M2809" t="n">
        <x:v>1</x:v>
      </x:c>
      <x:c r="N2809" s="24" t="n">
        <x:v>0.02</x:v>
      </x:c>
      <x:c r="O2809" s="22" t="n">
        <x:f>L2809*M2809</x:f>
        <x:v>1180</x:v>
      </x:c>
      <x:c r="P2809" s="22" t="n">
        <x:f>O2809*(1-N2809)</x:f>
        <x:v>1156.4</x:v>
      </x:c>
      <x:c r="Q2809" s="22" t="n">
        <x:v>1040</x:v>
      </x:c>
      <x:c r="R2809" s="22" t="n">
        <x:f>Q2809*M2809</x:f>
        <x:v>1040</x:v>
      </x:c>
      <x:c r="S2809" s="22" t="n">
        <x:f>P2809-R2809</x:f>
        <x:v>116.40000000000009</x:v>
      </x:c>
      <x:c r="T2809" t="str">
        <x:v>UPI</x:v>
      </x:c>
      <x:c r="U2809" t="str">
        <x:v>Pending</x:v>
      </x:c>
      <x:c r="V2809" t="str">
        <x:v>Delayed</x:v>
      </x:c>
      <x:c r="W2809" t="n">
        <x:v>0</x:v>
      </x:c>
      <x:c r="X2809" t="str"/>
      <x:c r="Y2809" t="str">
        <x:v>Outbound Call</x:v>
      </x:c>
    </x:row>
    <x:row r="2810">
      <x:c r="A2810" t="str">
        <x:v>O002809</x:v>
      </x:c>
      <x:c r="B2810" s="20" t="n">
        <x:v>45786</x:v>
      </x:c>
      <x:c r="C2810" t="str">
        <x:v>C0209</x:v>
      </x:c>
      <x:c r="D2810" t="str">
        <x:v>Shree Hotel 209</x:v>
      </x:c>
      <x:c r="E2810" t="str">
        <x:v>Restaurant</x:v>
      </x:c>
      <x:c r="F2810" t="str">
        <x:v>Tumakuru</x:v>
      </x:c>
      <x:c r="G2810" t="str">
        <x:v>Ramesh</x:v>
      </x:c>
      <x:c r="H2810" t="str">
        <x:v>P038</x:v>
      </x:c>
      <x:c r="I2810" t="str">
        <x:v>French Fries 2.5kg</x:v>
      </x:c>
      <x:c r="J2810" t="str">
        <x:v>Frozen</x:v>
      </x:c>
      <x:c r="K2810" t="str">
        <x:v>McCain</x:v>
      </x:c>
      <x:c r="L2810" s="22" t="n">
        <x:v>360</x:v>
      </x:c>
      <x:c r="M2810" t="n">
        <x:v>21</x:v>
      </x:c>
      <x:c r="N2810" s="24" t="n">
        <x:v>0.05</x:v>
      </x:c>
      <x:c r="O2810" s="22" t="n">
        <x:f>L2810*M2810</x:f>
        <x:v>7560</x:v>
      </x:c>
      <x:c r="P2810" s="22" t="n">
        <x:f>O2810*(1-N2810)</x:f>
        <x:v>7182</x:v>
      </x:c>
      <x:c r="Q2810" s="22" t="n">
        <x:v>315</x:v>
      </x:c>
      <x:c r="R2810" s="22" t="n">
        <x:f>Q2810*M2810</x:f>
        <x:v>6615</x:v>
      </x:c>
      <x:c r="S2810" s="22" t="n">
        <x:f>P2810-R2810</x:f>
        <x:v>567</x:v>
      </x:c>
      <x:c r="T2810" t="str">
        <x:v>Credit</x:v>
      </x:c>
      <x:c r="U2810" t="str">
        <x:v>Overdue</x:v>
      </x:c>
      <x:c r="V2810" t="str">
        <x:v>Cancelled</x:v>
      </x:c>
      <x:c r="W2810" t="n">
        <x:v>21</x:v>
      </x:c>
      <x:c r="X2810" t="str">
        <x:v>Cancelled Order</x:v>
      </x:c>
      <x:c r="Y2810" t="str">
        <x:v>Existing Customer</x:v>
      </x:c>
    </x:row>
    <x:row r="2811">
      <x:c r="A2811" t="str">
        <x:v>O002810</x:v>
      </x:c>
      <x:c r="B2811" s="20" t="n">
        <x:v>46155</x:v>
      </x:c>
      <x:c r="C2811" t="str">
        <x:v>C0078</x:v>
      </x:c>
      <x:c r="D2811" t="str">
        <x:v>Sagar Canteen 78</x:v>
      </x:c>
      <x:c r="E2811" t="str">
        <x:v>Hotel</x:v>
      </x:c>
      <x:c r="F2811" t="str">
        <x:v>Mangaluru</x:v>
      </x:c>
      <x:c r="G2811" t="str">
        <x:v>Ramesh</x:v>
      </x:c>
      <x:c r="H2811" t="str">
        <x:v>P047</x:v>
      </x:c>
      <x:c r="I2811" t="str">
        <x:v>Tomato 25kg</x:v>
      </x:c>
      <x:c r="J2811" t="str">
        <x:v>Fresh Produce</x:v>
      </x:c>
      <x:c r="K2811" t="str">
        <x:v>Local Market</x:v>
      </x:c>
      <x:c r="L2811" s="22" t="n">
        <x:v>950</x:v>
      </x:c>
      <x:c r="M2811" t="n">
        <x:v>27</x:v>
      </x:c>
      <x:c r="N2811" s="24" t="n">
        <x:v>0.03</x:v>
      </x:c>
      <x:c r="O2811" s="22" t="n">
        <x:f>L2811*M2811</x:f>
        <x:v>25650</x:v>
      </x:c>
      <x:c r="P2811" s="22" t="n">
        <x:f>O2811*(1-N2811)</x:f>
        <x:v>24880.5</x:v>
      </x:c>
      <x:c r="Q2811" s="22" t="n">
        <x:v>810</x:v>
      </x:c>
      <x:c r="R2811" s="22" t="n">
        <x:f>Q2811*M2811</x:f>
        <x:v>21870</x:v>
      </x:c>
      <x:c r="S2811" s="22" t="n">
        <x:f>P2811-R2811</x:f>
        <x:v>3010.5</x:v>
      </x:c>
      <x:c r="T2811" t="str">
        <x:v>Bank Transfer</x:v>
      </x:c>
      <x:c r="U2811" t="str">
        <x:v>Paid</x:v>
      </x:c>
      <x:c r="V2811" t="str">
        <x:v>Delivered</x:v>
      </x:c>
      <x:c r="W2811" t="n">
        <x:v>0</x:v>
      </x:c>
      <x:c r="X2811" t="str"/>
      <x:c r="Y2811" t="str">
        <x:v>Outbound Call</x:v>
      </x:c>
    </x:row>
    <x:row r="2812">
      <x:c r="A2812" t="str">
        <x:v>O002811</x:v>
      </x:c>
      <x:c r="B2812" s="20" t="n">
        <x:v>45729</x:v>
      </x:c>
      <x:c r="C2812" t="str">
        <x:v>C0051</x:v>
      </x:c>
      <x:c r="D2812" t="str">
        <x:v>Cafe Hotel 51</x:v>
      </x:c>
      <x:c r="E2812" t="str">
        <x:v>Kirana</x:v>
      </x:c>
      <x:c r="F2812" t="str">
        <x:v>Tumakuru</x:v>
      </x:c>
      <x:c r="G2812" t="str">
        <x:v>Arjun</x:v>
      </x:c>
      <x:c r="H2812" t="str">
        <x:v>P049</x:v>
      </x:c>
      <x:c r="I2812" t="str">
        <x:v>Apple 10kg</x:v>
      </x:c>
      <x:c r="J2812" t="str">
        <x:v>Fresh Produce</x:v>
      </x:c>
      <x:c r="K2812" t="str">
        <x:v>Local Market</x:v>
      </x:c>
      <x:c r="L2812" s="22" t="n">
        <x:v>1450</x:v>
      </x:c>
      <x:c r="M2812" t="n">
        <x:v>2</x:v>
      </x:c>
      <x:c r="N2812" s="24" t="n">
        <x:v>0</x:v>
      </x:c>
      <x:c r="O2812" s="22" t="n">
        <x:f>L2812*M2812</x:f>
        <x:v>2900</x:v>
      </x:c>
      <x:c r="P2812" s="22" t="n">
        <x:f>O2812*(1-N2812)</x:f>
        <x:v>2900</x:v>
      </x:c>
      <x:c r="Q2812" s="22" t="n">
        <x:v>1280</x:v>
      </x:c>
      <x:c r="R2812" s="22" t="n">
        <x:f>Q2812*M2812</x:f>
        <x:v>2560</x:v>
      </x:c>
      <x:c r="S2812" s="22" t="n">
        <x:f>P2812-R2812</x:f>
        <x:v>340</x:v>
      </x:c>
      <x:c r="T2812" t="str">
        <x:v>UPI</x:v>
      </x:c>
      <x:c r="U2812" t="str">
        <x:v>Paid</x:v>
      </x:c>
      <x:c r="V2812" t="str">
        <x:v>Delivered</x:v>
      </x:c>
      <x:c r="W2812" t="n">
        <x:v>0</x:v>
      </x:c>
      <x:c r="X2812" t="str"/>
      <x:c r="Y2812" t="str">
        <x:v>Referral</x:v>
      </x:c>
    </x:row>
    <x:row r="2813">
      <x:c r="A2813" t="str">
        <x:v>O002812</x:v>
      </x:c>
      <x:c r="B2813" s="20" t="n">
        <x:v>46113</x:v>
      </x:c>
      <x:c r="C2813" t="str">
        <x:v>C0163</x:v>
      </x:c>
      <x:c r="D2813" t="str">
        <x:v>Shree Kitchen 163</x:v>
      </x:c>
      <x:c r="E2813" t="str">
        <x:v>Kirana</x:v>
      </x:c>
      <x:c r="F2813" t="str">
        <x:v>Mysuru</x:v>
      </x:c>
      <x:c r="G2813" t="str">
        <x:v>Priya</x:v>
      </x:c>
      <x:c r="H2813" t="str">
        <x:v>P008</x:v>
      </x:c>
      <x:c r="I2813" t="str">
        <x:v>Palm Oil 15L</x:v>
      </x:c>
      <x:c r="J2813" t="str">
        <x:v>Edible Oil</x:v>
      </x:c>
      <x:c r="K2813" t="str">
        <x:v>Ruchi Gold</x:v>
      </x:c>
      <x:c r="L2813" s="22" t="n">
        <x:v>1760</x:v>
      </x:c>
      <x:c r="M2813" t="n">
        <x:v>11</x:v>
      </x:c>
      <x:c r="N2813" s="24" t="n">
        <x:v>0</x:v>
      </x:c>
      <x:c r="O2813" s="22" t="n">
        <x:f>L2813*M2813</x:f>
        <x:v>19360</x:v>
      </x:c>
      <x:c r="P2813" s="22" t="n">
        <x:f>O2813*(1-N2813)</x:f>
        <x:v>19360</x:v>
      </x:c>
      <x:c r="Q2813" s="22" t="n">
        <x:v>1610</x:v>
      </x:c>
      <x:c r="R2813" s="22" t="n">
        <x:f>Q2813*M2813</x:f>
        <x:v>17710</x:v>
      </x:c>
      <x:c r="S2813" s="22" t="n">
        <x:f>P2813-R2813</x:f>
        <x:v>1650</x:v>
      </x:c>
      <x:c r="T2813" t="str">
        <x:v>Cash</x:v>
      </x:c>
      <x:c r="U2813" t="str">
        <x:v>Paid</x:v>
      </x:c>
      <x:c r="V2813" t="str">
        <x:v>Delayed</x:v>
      </x:c>
      <x:c r="W2813" t="n">
        <x:v>0</x:v>
      </x:c>
      <x:c r="X2813" t="str"/>
      <x:c r="Y2813" t="str">
        <x:v>Field Visit</x:v>
      </x:c>
    </x:row>
    <x:row r="2814">
      <x:c r="A2814" t="str">
        <x:v>O002813</x:v>
      </x:c>
      <x:c r="B2814" s="20" t="n">
        <x:v>45939</x:v>
      </x:c>
      <x:c r="C2814" t="str">
        <x:v>C0147</x:v>
      </x:c>
      <x:c r="D2814" t="str">
        <x:v>New Stores 147</x:v>
      </x:c>
      <x:c r="E2814" t="str">
        <x:v>Supermarket</x:v>
      </x:c>
      <x:c r="F2814" t="str">
        <x:v>Hubballi</x:v>
      </x:c>
      <x:c r="G2814" t="str">
        <x:v>Imran</x:v>
      </x:c>
      <x:c r="H2814" t="str">
        <x:v>P048</x:v>
      </x:c>
      <x:c r="I2814" t="str">
        <x:v>Banana 10kg</x:v>
      </x:c>
      <x:c r="J2814" t="str">
        <x:v>Fresh Produce</x:v>
      </x:c>
      <x:c r="K2814" t="str">
        <x:v>Local Market</x:v>
      </x:c>
      <x:c r="L2814" s="22" t="n">
        <x:v>420</x:v>
      </x:c>
      <x:c r="M2814" t="n">
        <x:v>4</x:v>
      </x:c>
      <x:c r="N2814" s="24" t="n">
        <x:v>0.05</x:v>
      </x:c>
      <x:c r="O2814" s="22" t="n">
        <x:f>L2814*M2814</x:f>
        <x:v>1680</x:v>
      </x:c>
      <x:c r="P2814" s="22" t="n">
        <x:f>O2814*(1-N2814)</x:f>
        <x:v>1596</x:v>
      </x:c>
      <x:c r="Q2814" s="22" t="n">
        <x:v>350</x:v>
      </x:c>
      <x:c r="R2814" s="22" t="n">
        <x:f>Q2814*M2814</x:f>
        <x:v>1400</x:v>
      </x:c>
      <x:c r="S2814" s="22" t="n">
        <x:f>P2814-R2814</x:f>
        <x:v>196</x:v>
      </x:c>
      <x:c r="T2814" t="str">
        <x:v>Credit</x:v>
      </x:c>
      <x:c r="U2814" t="str">
        <x:v>Paid</x:v>
      </x:c>
      <x:c r="V2814" t="str">
        <x:v>Delivered</x:v>
      </x:c>
      <x:c r="W2814" t="n">
        <x:v>0</x:v>
      </x:c>
      <x:c r="X2814" t="str"/>
      <x:c r="Y2814" t="str">
        <x:v>Existing Customer</x:v>
      </x:c>
    </x:row>
    <x:row r="2815">
      <x:c r="A2815" t="str">
        <x:v>O002814</x:v>
      </x:c>
      <x:c r="B2815" s="20" t="n">
        <x:v>45680</x:v>
      </x:c>
      <x:c r="C2815" t="str">
        <x:v>C0055</x:v>
      </x:c>
      <x:c r="D2815" t="str">
        <x:v>Royal Mart 55</x:v>
      </x:c>
      <x:c r="E2815" t="str">
        <x:v>Restaurant</x:v>
      </x:c>
      <x:c r="F2815" t="str">
        <x:v>Hubballi</x:v>
      </x:c>
      <x:c r="G2815" t="str">
        <x:v>Vikram</x:v>
      </x:c>
      <x:c r="H2815" t="str">
        <x:v>P005</x:v>
      </x:c>
      <x:c r="I2815" t="str">
        <x:v>Chana Dal 5kg</x:v>
      </x:c>
      <x:c r="J2815" t="str">
        <x:v>Pulses</x:v>
      </x:c>
      <x:c r="K2815" t="str">
        <x:v>Local Select</x:v>
      </x:c>
      <x:c r="L2815" s="22" t="n">
        <x:v>520</x:v>
      </x:c>
      <x:c r="M2815" t="n">
        <x:v>13</x:v>
      </x:c>
      <x:c r="N2815" s="24" t="n">
        <x:v>0</x:v>
      </x:c>
      <x:c r="O2815" s="22" t="n">
        <x:f>L2815*M2815</x:f>
        <x:v>6760</x:v>
      </x:c>
      <x:c r="P2815" s="22" t="n">
        <x:f>O2815*(1-N2815)</x:f>
        <x:v>6760</x:v>
      </x:c>
      <x:c r="Q2815" s="22" t="n">
        <x:v>455</x:v>
      </x:c>
      <x:c r="R2815" s="22" t="n">
        <x:f>Q2815*M2815</x:f>
        <x:v>5915</x:v>
      </x:c>
      <x:c r="S2815" s="22" t="n">
        <x:f>P2815-R2815</x:f>
        <x:v>845</x:v>
      </x:c>
      <x:c r="T2815" t="str">
        <x:v>Cash</x:v>
      </x:c>
      <x:c r="U2815" t="str">
        <x:v>Pending</x:v>
      </x:c>
      <x:c r="V2815" t="str">
        <x:v>Delivered</x:v>
      </x:c>
      <x:c r="W2815" t="n">
        <x:v>0</x:v>
      </x:c>
      <x:c r="X2815" t="str"/>
      <x:c r="Y2815" t="str">
        <x:v>WhatsApp</x:v>
      </x:c>
    </x:row>
    <x:row r="2816">
      <x:c r="A2816" t="str">
        <x:v>O002815</x:v>
      </x:c>
      <x:c r="B2816" s="20" t="n">
        <x:v>46126</x:v>
      </x:c>
      <x:c r="C2816" t="str">
        <x:v>C0196</x:v>
      </x:c>
      <x:c r="D2816" t="str">
        <x:v>Namma Mart 196</x:v>
      </x:c>
      <x:c r="E2816" t="str">
        <x:v>Cafe</x:v>
      </x:c>
      <x:c r="F2816" t="str">
        <x:v>Mangaluru</x:v>
      </x:c>
      <x:c r="G2816" t="str">
        <x:v>Kavya</x:v>
      </x:c>
      <x:c r="H2816" t="str">
        <x:v>P010</x:v>
      </x:c>
      <x:c r="I2816" t="str">
        <x:v>Sugar 25kg</x:v>
      </x:c>
      <x:c r="J2816" t="str">
        <x:v>Staples</x:v>
      </x:c>
      <x:c r="K2816" t="str">
        <x:v>Madhur</x:v>
      </x:c>
      <x:c r="L2816" s="22" t="n">
        <x:v>1190</x:v>
      </x:c>
      <x:c r="M2816" t="n">
        <x:v>11</x:v>
      </x:c>
      <x:c r="N2816" s="24" t="n">
        <x:v>0.1</x:v>
      </x:c>
      <x:c r="O2816" s="22" t="n">
        <x:f>L2816*M2816</x:f>
        <x:v>13090</x:v>
      </x:c>
      <x:c r="P2816" s="22" t="n">
        <x:f>O2816*(1-N2816)</x:f>
        <x:v>11781</x:v>
      </x:c>
      <x:c r="Q2816" s="22" t="n">
        <x:v>1080</x:v>
      </x:c>
      <x:c r="R2816" s="22" t="n">
        <x:f>Q2816*M2816</x:f>
        <x:v>11880</x:v>
      </x:c>
      <x:c r="S2816" s="22" t="n">
        <x:f>P2816-R2816</x:f>
        <x:v>-99</x:v>
      </x:c>
      <x:c r="T2816" t="str">
        <x:v>Cash</x:v>
      </x:c>
      <x:c r="U2816" t="str">
        <x:v>Pending</x:v>
      </x:c>
      <x:c r="V2816" t="str">
        <x:v>Delivered</x:v>
      </x:c>
      <x:c r="W2816" t="n">
        <x:v>0</x:v>
      </x:c>
      <x:c r="X2816" t="str"/>
      <x:c r="Y2816" t="str">
        <x:v>Outbound Call</x:v>
      </x:c>
    </x:row>
    <x:row r="2817">
      <x:c r="A2817" t="str">
        <x:v>O002816</x:v>
      </x:c>
      <x:c r="B2817" s="20" t="n">
        <x:v>45929</x:v>
      </x:c>
      <x:c r="C2817" t="str">
        <x:v>C0220</x:v>
      </x:c>
      <x:c r="D2817" t="str">
        <x:v>Udupi Canteen 220</x:v>
      </x:c>
      <x:c r="E2817" t="str">
        <x:v>Restaurant</x:v>
      </x:c>
      <x:c r="F2817" t="str">
        <x:v>Bengaluru</x:v>
      </x:c>
      <x:c r="G2817" t="str">
        <x:v>Sneha</x:v>
      </x:c>
      <x:c r="H2817" t="str">
        <x:v>P029</x:v>
      </x:c>
      <x:c r="I2817" t="str">
        <x:v>Tomato Ketchup 1kg</x:v>
      </x:c>
      <x:c r="J2817" t="str">
        <x:v>Condiments</x:v>
      </x:c>
      <x:c r="K2817" t="str">
        <x:v>Kissan</x:v>
      </x:c>
      <x:c r="L2817" s="22" t="n">
        <x:v>145</x:v>
      </x:c>
      <x:c r="M2817" t="n">
        <x:v>17</x:v>
      </x:c>
      <x:c r="N2817" s="24" t="n">
        <x:v>0.05</x:v>
      </x:c>
      <x:c r="O2817" s="22" t="n">
        <x:f>L2817*M2817</x:f>
        <x:v>2465</x:v>
      </x:c>
      <x:c r="P2817" s="22" t="n">
        <x:f>O2817*(1-N2817)</x:f>
        <x:v>2341.75</x:v>
      </x:c>
      <x:c r="Q2817" s="22" t="n">
        <x:v>126</x:v>
      </x:c>
      <x:c r="R2817" s="22" t="n">
        <x:f>Q2817*M2817</x:f>
        <x:v>2142</x:v>
      </x:c>
      <x:c r="S2817" s="22" t="n">
        <x:f>P2817-R2817</x:f>
        <x:v>199.75</x:v>
      </x:c>
      <x:c r="T2817" t="str">
        <x:v>Credit</x:v>
      </x:c>
      <x:c r="U2817" t="str">
        <x:v>Paid</x:v>
      </x:c>
      <x:c r="V2817" t="str">
        <x:v>Delivered</x:v>
      </x:c>
      <x:c r="W2817" t="n">
        <x:v>0</x:v>
      </x:c>
      <x:c r="X2817" t="str"/>
      <x:c r="Y2817" t="str">
        <x:v>Outbound Call</x:v>
      </x:c>
    </x:row>
    <x:row r="2818">
      <x:c r="A2818" t="str">
        <x:v>O002817</x:v>
      </x:c>
      <x:c r="B2818" s="20" t="n">
        <x:v>45953</x:v>
      </x:c>
      <x:c r="C2818" t="str">
        <x:v>C0101</x:v>
      </x:c>
      <x:c r="D2818" t="str">
        <x:v>Namma Cafe 101</x:v>
      </x:c>
      <x:c r="E2818" t="str">
        <x:v>Supermarket</x:v>
      </x:c>
      <x:c r="F2818" t="str">
        <x:v>Bengaluru</x:v>
      </x:c>
      <x:c r="G2818" t="str">
        <x:v>Arjun</x:v>
      </x:c>
      <x:c r="H2818" t="str">
        <x:v>P048</x:v>
      </x:c>
      <x:c r="I2818" t="str">
        <x:v>Banana 10kg</x:v>
      </x:c>
      <x:c r="J2818" t="str">
        <x:v>Fresh Produce</x:v>
      </x:c>
      <x:c r="K2818" t="str">
        <x:v>Local Market</x:v>
      </x:c>
      <x:c r="L2818" s="22" t="n">
        <x:v>420</x:v>
      </x:c>
      <x:c r="M2818" t="n">
        <x:v>6</x:v>
      </x:c>
      <x:c r="N2818" s="24" t="n">
        <x:v>0</x:v>
      </x:c>
      <x:c r="O2818" s="22" t="n">
        <x:f>L2818*M2818</x:f>
        <x:v>2520</x:v>
      </x:c>
      <x:c r="P2818" s="22" t="n">
        <x:f>O2818*(1-N2818)</x:f>
        <x:v>2520</x:v>
      </x:c>
      <x:c r="Q2818" s="22" t="n">
        <x:v>350</x:v>
      </x:c>
      <x:c r="R2818" s="22" t="n">
        <x:f>Q2818*M2818</x:f>
        <x:v>2100</x:v>
      </x:c>
      <x:c r="S2818" s="22" t="n">
        <x:f>P2818-R2818</x:f>
        <x:v>420</x:v>
      </x:c>
      <x:c r="T2818" t="str">
        <x:v>Credit</x:v>
      </x:c>
      <x:c r="U2818" t="str">
        <x:v>Overdue</x:v>
      </x:c>
      <x:c r="V2818" t="str">
        <x:v>Delivered</x:v>
      </x:c>
      <x:c r="W2818" t="n">
        <x:v>4</x:v>
      </x:c>
      <x:c r="X2818" t="str">
        <x:v>Damaged</x:v>
      </x:c>
      <x:c r="Y2818" t="str">
        <x:v>Referral</x:v>
      </x:c>
    </x:row>
    <x:row r="2819">
      <x:c r="A2819" t="str">
        <x:v>O002818</x:v>
      </x:c>
      <x:c r="B2819" s="20" t="n">
        <x:v>46017</x:v>
      </x:c>
      <x:c r="C2819" t="str">
        <x:v>C0195</x:v>
      </x:c>
      <x:c r="D2819" t="str">
        <x:v>Classic Stores 195</x:v>
      </x:c>
      <x:c r="E2819" t="str">
        <x:v>Canteen</x:v>
      </x:c>
      <x:c r="F2819" t="str">
        <x:v>Davanagere</x:v>
      </x:c>
      <x:c r="G2819" t="str">
        <x:v>Kavya</x:v>
      </x:c>
      <x:c r="H2819" t="str">
        <x:v>P029</x:v>
      </x:c>
      <x:c r="I2819" t="str">
        <x:v>Tomato Ketchup 1kg</x:v>
      </x:c>
      <x:c r="J2819" t="str">
        <x:v>Condiments</x:v>
      </x:c>
      <x:c r="K2819" t="str">
        <x:v>Kissan</x:v>
      </x:c>
      <x:c r="L2819" s="22" t="n">
        <x:v>145</x:v>
      </x:c>
      <x:c r="M2819" t="n">
        <x:v>15</x:v>
      </x:c>
      <x:c r="N2819" s="24" t="n">
        <x:v>0.08</x:v>
      </x:c>
      <x:c r="O2819" s="22" t="n">
        <x:f>L2819*M2819</x:f>
        <x:v>2175</x:v>
      </x:c>
      <x:c r="P2819" s="22" t="n">
        <x:f>O2819*(1-N2819)</x:f>
        <x:v>2001</x:v>
      </x:c>
      <x:c r="Q2819" s="22" t="n">
        <x:v>126</x:v>
      </x:c>
      <x:c r="R2819" s="22" t="n">
        <x:f>Q2819*M2819</x:f>
        <x:v>1890</x:v>
      </x:c>
      <x:c r="S2819" s="22" t="n">
        <x:f>P2819-R2819</x:f>
        <x:v>111</x:v>
      </x:c>
      <x:c r="T2819" t="str">
        <x:v>UPI</x:v>
      </x:c>
      <x:c r="U2819" t="str">
        <x:v>Paid</x:v>
      </x:c>
      <x:c r="V2819" t="str">
        <x:v>Delivered</x:v>
      </x:c>
      <x:c r="W2819" t="n">
        <x:v>0</x:v>
      </x:c>
      <x:c r="X2819" t="str"/>
      <x:c r="Y2819" t="str">
        <x:v>Outbound Call</x:v>
      </x:c>
    </x:row>
    <x:row r="2820">
      <x:c r="A2820" t="str">
        <x:v>O002819</x:v>
      </x:c>
      <x:c r="B2820" s="20" t="n">
        <x:v>46073</x:v>
      </x:c>
      <x:c r="C2820" t="str">
        <x:v>C0137</x:v>
      </x:c>
      <x:c r="D2820" t="str">
        <x:v>Green Restaurant 137</x:v>
      </x:c>
      <x:c r="E2820" t="str">
        <x:v>Canteen</x:v>
      </x:c>
      <x:c r="F2820" t="str">
        <x:v>Mangaluru</x:v>
      </x:c>
      <x:c r="G2820" t="str">
        <x:v>Arjun</x:v>
      </x:c>
      <x:c r="H2820" t="str">
        <x:v>P039</x:v>
      </x:c>
      <x:c r="I2820" t="str">
        <x:v>Ice Cream 4L</x:v>
      </x:c>
      <x:c r="J2820" t="str">
        <x:v>Frozen</x:v>
      </x:c>
      <x:c r="K2820" t="str">
        <x:v>Amul</x:v>
      </x:c>
      <x:c r="L2820" s="22" t="n">
        <x:v>480</x:v>
      </x:c>
      <x:c r="M2820" t="n">
        <x:v>22</x:v>
      </x:c>
      <x:c r="N2820" s="24" t="n">
        <x:v>0.02</x:v>
      </x:c>
      <x:c r="O2820" s="22" t="n">
        <x:f>L2820*M2820</x:f>
        <x:v>10560</x:v>
      </x:c>
      <x:c r="P2820" s="22" t="n">
        <x:f>O2820*(1-N2820)</x:f>
        <x:v>10348.8</x:v>
      </x:c>
      <x:c r="Q2820" s="22" t="n">
        <x:v>420</x:v>
      </x:c>
      <x:c r="R2820" s="22" t="n">
        <x:f>Q2820*M2820</x:f>
        <x:v>9240</x:v>
      </x:c>
      <x:c r="S2820" s="22" t="n">
        <x:f>P2820-R2820</x:f>
        <x:v>1108.7999999999993</x:v>
      </x:c>
      <x:c r="T2820" t="str">
        <x:v>UPI</x:v>
      </x:c>
      <x:c r="U2820" t="str">
        <x:v>Paid</x:v>
      </x:c>
      <x:c r="V2820" t="str">
        <x:v>Delivered</x:v>
      </x:c>
      <x:c r="W2820" t="n">
        <x:v>0</x:v>
      </x:c>
      <x:c r="X2820" t="str"/>
      <x:c r="Y2820" t="str">
        <x:v>WhatsApp</x:v>
      </x:c>
    </x:row>
    <x:row r="2821">
      <x:c r="A2821" t="str">
        <x:v>O002820</x:v>
      </x:c>
      <x:c r="B2821" s="20" t="n">
        <x:v>45945</x:v>
      </x:c>
      <x:c r="C2821" t="str">
        <x:v>C0006</x:v>
      </x:c>
      <x:c r="D2821" t="str">
        <x:v>New Restaurant 6</x:v>
      </x:c>
      <x:c r="E2821" t="str">
        <x:v>Kirana</x:v>
      </x:c>
      <x:c r="F2821" t="str">
        <x:v>Hubballi</x:v>
      </x:c>
      <x:c r="G2821" t="str">
        <x:v>Vikram</x:v>
      </x:c>
      <x:c r="H2821" t="str">
        <x:v>P004</x:v>
      </x:c>
      <x:c r="I2821" t="str">
        <x:v>Toor Dal 5kg</x:v>
      </x:c>
      <x:c r="J2821" t="str">
        <x:v>Pulses</x:v>
      </x:c>
      <x:c r="K2821" t="str">
        <x:v>Tata Sampann</x:v>
      </x:c>
      <x:c r="L2821" s="22" t="n">
        <x:v>780</x:v>
      </x:c>
      <x:c r="M2821" t="n">
        <x:v>29</x:v>
      </x:c>
      <x:c r="N2821" s="24" t="n">
        <x:v>0.02</x:v>
      </x:c>
      <x:c r="O2821" s="22" t="n">
        <x:f>L2821*M2821</x:f>
        <x:v>22620</x:v>
      </x:c>
      <x:c r="P2821" s="22" t="n">
        <x:f>O2821*(1-N2821)</x:f>
        <x:v>22167.6</x:v>
      </x:c>
      <x:c r="Q2821" s="22" t="n">
        <x:v>695</x:v>
      </x:c>
      <x:c r="R2821" s="22" t="n">
        <x:f>Q2821*M2821</x:f>
        <x:v>20155</x:v>
      </x:c>
      <x:c r="S2821" s="22" t="n">
        <x:f>P2821-R2821</x:f>
        <x:v>2012.5999999999985</x:v>
      </x:c>
      <x:c r="T2821" t="str">
        <x:v>Credit</x:v>
      </x:c>
      <x:c r="U2821" t="str">
        <x:v>Paid</x:v>
      </x:c>
      <x:c r="V2821" t="str">
        <x:v>Delivered</x:v>
      </x:c>
      <x:c r="W2821" t="n">
        <x:v>0</x:v>
      </x:c>
      <x:c r="X2821" t="str"/>
      <x:c r="Y2821" t="str">
        <x:v>WhatsApp</x:v>
      </x:c>
    </x:row>
    <x:row r="2822">
      <x:c r="A2822" t="str">
        <x:v>O002821</x:v>
      </x:c>
      <x:c r="B2822" s="20" t="n">
        <x:v>46189</x:v>
      </x:c>
      <x:c r="C2822" t="str">
        <x:v>C0163</x:v>
      </x:c>
      <x:c r="D2822" t="str">
        <x:v>Shree Kitchen 163</x:v>
      </x:c>
      <x:c r="E2822" t="str">
        <x:v>Kirana</x:v>
      </x:c>
      <x:c r="F2822" t="str">
        <x:v>Mysuru</x:v>
      </x:c>
      <x:c r="G2822" t="str">
        <x:v>Priya</x:v>
      </x:c>
      <x:c r="H2822" t="str">
        <x:v>P038</x:v>
      </x:c>
      <x:c r="I2822" t="str">
        <x:v>French Fries 2.5kg</x:v>
      </x:c>
      <x:c r="J2822" t="str">
        <x:v>Frozen</x:v>
      </x:c>
      <x:c r="K2822" t="str">
        <x:v>McCain</x:v>
      </x:c>
      <x:c r="L2822" s="22" t="n">
        <x:v>360</x:v>
      </x:c>
      <x:c r="M2822" t="n">
        <x:v>38</x:v>
      </x:c>
      <x:c r="N2822" s="24" t="n">
        <x:v>0.02</x:v>
      </x:c>
      <x:c r="O2822" s="22" t="n">
        <x:f>L2822*M2822</x:f>
        <x:v>13680</x:v>
      </x:c>
      <x:c r="P2822" s="22" t="n">
        <x:f>O2822*(1-N2822)</x:f>
        <x:v>13406.4</x:v>
      </x:c>
      <x:c r="Q2822" s="22" t="n">
        <x:v>315</x:v>
      </x:c>
      <x:c r="R2822" s="22" t="n">
        <x:f>Q2822*M2822</x:f>
        <x:v>11970</x:v>
      </x:c>
      <x:c r="S2822" s="22" t="n">
        <x:f>P2822-R2822</x:f>
        <x:v>1436.3999999999996</x:v>
      </x:c>
      <x:c r="T2822" t="str">
        <x:v>Cash</x:v>
      </x:c>
      <x:c r="U2822" t="str">
        <x:v>Paid</x:v>
      </x:c>
      <x:c r="V2822" t="str">
        <x:v>Delivered</x:v>
      </x:c>
      <x:c r="W2822" t="n">
        <x:v>2</x:v>
      </x:c>
      <x:c r="X2822" t="str">
        <x:v>Late Delivery</x:v>
      </x:c>
      <x:c r="Y2822" t="str">
        <x:v>Outbound Call</x:v>
      </x:c>
    </x:row>
    <x:row r="2823">
      <x:c r="A2823" t="str">
        <x:v>O002822</x:v>
      </x:c>
      <x:c r="B2823" s="20" t="n">
        <x:v>46137</x:v>
      </x:c>
      <x:c r="C2823" t="str">
        <x:v>C0014</x:v>
      </x:c>
      <x:c r="D2823" t="str">
        <x:v>Annapurna Canteen 14</x:v>
      </x:c>
      <x:c r="E2823" t="str">
        <x:v>Kirana</x:v>
      </x:c>
      <x:c r="F2823" t="str">
        <x:v>Davanagere</x:v>
      </x:c>
      <x:c r="G2823" t="str">
        <x:v>Sneha</x:v>
      </x:c>
      <x:c r="H2823" t="str">
        <x:v>P030</x:v>
      </x:c>
      <x:c r="I2823" t="str">
        <x:v>Mayonnaise 1kg</x:v>
      </x:c>
      <x:c r="J2823" t="str">
        <x:v>Condiments</x:v>
      </x:c>
      <x:c r="K2823" t="str">
        <x:v>Veeba</x:v>
      </x:c>
      <x:c r="L2823" s="22" t="n">
        <x:v>210</x:v>
      </x:c>
      <x:c r="M2823" t="n">
        <x:v>1</x:v>
      </x:c>
      <x:c r="N2823" s="24" t="n">
        <x:v>0.05</x:v>
      </x:c>
      <x:c r="O2823" s="22" t="n">
        <x:f>L2823*M2823</x:f>
        <x:v>210</x:v>
      </x:c>
      <x:c r="P2823" s="22" t="n">
        <x:f>O2823*(1-N2823)</x:f>
        <x:v>199.5</x:v>
      </x:c>
      <x:c r="Q2823" s="22" t="n">
        <x:v>185</x:v>
      </x:c>
      <x:c r="R2823" s="22" t="n">
        <x:f>Q2823*M2823</x:f>
        <x:v>185</x:v>
      </x:c>
      <x:c r="S2823" s="22" t="n">
        <x:f>P2823-R2823</x:f>
        <x:v>14.5</x:v>
      </x:c>
      <x:c r="T2823" t="str">
        <x:v>Credit</x:v>
      </x:c>
      <x:c r="U2823" t="str">
        <x:v>Paid</x:v>
      </x:c>
      <x:c r="V2823" t="str">
        <x:v>Delivered</x:v>
      </x:c>
      <x:c r="W2823" t="n">
        <x:v>0</x:v>
      </x:c>
      <x:c r="X2823" t="str"/>
      <x:c r="Y2823" t="str">
        <x:v>Field Visit</x:v>
      </x:c>
    </x:row>
    <x:row r="2824">
      <x:c r="A2824" t="str">
        <x:v>O002823</x:v>
      </x:c>
      <x:c r="B2824" s="20" t="n">
        <x:v>45860</x:v>
      </x:c>
      <x:c r="C2824" t="str">
        <x:v>C0080</x:v>
      </x:c>
      <x:c r="D2824" t="str">
        <x:v>Annapurna Canteen 80</x:v>
      </x:c>
      <x:c r="E2824" t="str">
        <x:v>Restaurant</x:v>
      </x:c>
      <x:c r="F2824" t="str">
        <x:v>Mangaluru</x:v>
      </x:c>
      <x:c r="G2824" t="str">
        <x:v>Priya</x:v>
      </x:c>
      <x:c r="H2824" t="str">
        <x:v>P039</x:v>
      </x:c>
      <x:c r="I2824" t="str">
        <x:v>Ice Cream 4L</x:v>
      </x:c>
      <x:c r="J2824" t="str">
        <x:v>Frozen</x:v>
      </x:c>
      <x:c r="K2824" t="str">
        <x:v>Amul</x:v>
      </x:c>
      <x:c r="L2824" s="22" t="n">
        <x:v>480</x:v>
      </x:c>
      <x:c r="M2824" t="n">
        <x:v>13</x:v>
      </x:c>
      <x:c r="N2824" s="24" t="n">
        <x:v>0.05</x:v>
      </x:c>
      <x:c r="O2824" s="22" t="n">
        <x:f>L2824*M2824</x:f>
        <x:v>6240</x:v>
      </x:c>
      <x:c r="P2824" s="22" t="n">
        <x:f>O2824*(1-N2824)</x:f>
        <x:v>5928</x:v>
      </x:c>
      <x:c r="Q2824" s="22" t="n">
        <x:v>420</x:v>
      </x:c>
      <x:c r="R2824" s="22" t="n">
        <x:f>Q2824*M2824</x:f>
        <x:v>5460</x:v>
      </x:c>
      <x:c r="S2824" s="22" t="n">
        <x:f>P2824-R2824</x:f>
        <x:v>468</x:v>
      </x:c>
      <x:c r="T2824" t="str">
        <x:v>UPI</x:v>
      </x:c>
      <x:c r="U2824" t="str">
        <x:v>Paid</x:v>
      </x:c>
      <x:c r="V2824" t="str">
        <x:v>Delivered</x:v>
      </x:c>
      <x:c r="W2824" t="n">
        <x:v>0</x:v>
      </x:c>
      <x:c r="X2824" t="str"/>
      <x:c r="Y2824" t="str">
        <x:v>Outbound Call</x:v>
      </x:c>
    </x:row>
    <x:row r="2825">
      <x:c r="A2825" t="str">
        <x:v>O002824</x:v>
      </x:c>
      <x:c r="B2825" s="20" t="n">
        <x:v>46091</x:v>
      </x:c>
      <x:c r="C2825" t="str">
        <x:v>C0147</x:v>
      </x:c>
      <x:c r="D2825" t="str">
        <x:v>New Stores 147</x:v>
      </x:c>
      <x:c r="E2825" t="str">
        <x:v>Supermarket</x:v>
      </x:c>
      <x:c r="F2825" t="str">
        <x:v>Hubballi</x:v>
      </x:c>
      <x:c r="G2825" t="str">
        <x:v>Imran</x:v>
      </x:c>
      <x:c r="H2825" t="str">
        <x:v>P046</x:v>
      </x:c>
      <x:c r="I2825" t="str">
        <x:v>Potato 25kg</x:v>
      </x:c>
      <x:c r="J2825" t="str">
        <x:v>Fresh Produce</x:v>
      </x:c>
      <x:c r="K2825" t="str">
        <x:v>Local Market</x:v>
      </x:c>
      <x:c r="L2825" s="22" t="n">
        <x:v>700</x:v>
      </x:c>
      <x:c r="M2825" t="n">
        <x:v>4</x:v>
      </x:c>
      <x:c r="N2825" s="24" t="n">
        <x:v>0.1</x:v>
      </x:c>
      <x:c r="O2825" s="22" t="n">
        <x:f>L2825*M2825</x:f>
        <x:v>2800</x:v>
      </x:c>
      <x:c r="P2825" s="22" t="n">
        <x:f>O2825*(1-N2825)</x:f>
        <x:v>2520</x:v>
      </x:c>
      <x:c r="Q2825" s="22" t="n">
        <x:v>610</x:v>
      </x:c>
      <x:c r="R2825" s="22" t="n">
        <x:f>Q2825*M2825</x:f>
        <x:v>2440</x:v>
      </x:c>
      <x:c r="S2825" s="22" t="n">
        <x:f>P2825-R2825</x:f>
        <x:v>80</x:v>
      </x:c>
      <x:c r="T2825" t="str">
        <x:v>Cash</x:v>
      </x:c>
      <x:c r="U2825" t="str">
        <x:v>Paid</x:v>
      </x:c>
      <x:c r="V2825" t="str">
        <x:v>Delivered</x:v>
      </x:c>
      <x:c r="W2825" t="n">
        <x:v>0</x:v>
      </x:c>
      <x:c r="X2825" t="str"/>
      <x:c r="Y2825" t="str">
        <x:v>Field Visit</x:v>
      </x:c>
    </x:row>
    <x:row r="2826">
      <x:c r="A2826" t="str">
        <x:v>O002825</x:v>
      </x:c>
      <x:c r="B2826" s="20" t="n">
        <x:v>46000</x:v>
      </x:c>
      <x:c r="C2826" t="str">
        <x:v>C0023</x:v>
      </x:c>
      <x:c r="D2826" t="str">
        <x:v>Mysore Canteen 23</x:v>
      </x:c>
      <x:c r="E2826" t="str">
        <x:v>Cafe</x:v>
      </x:c>
      <x:c r="F2826" t="str">
        <x:v>Hubballi</x:v>
      </x:c>
      <x:c r="G2826" t="str">
        <x:v>Sneha</x:v>
      </x:c>
      <x:c r="H2826" t="str">
        <x:v>P023</x:v>
      </x:c>
      <x:c r="I2826" t="str">
        <x:v>Cola 750ml</x:v>
      </x:c>
      <x:c r="J2826" t="str">
        <x:v>Beverage</x:v>
      </x:c>
      <x:c r="K2826" t="str">
        <x:v>Coca-Cola</x:v>
      </x:c>
      <x:c r="L2826" s="22" t="n">
        <x:v>38</x:v>
      </x:c>
      <x:c r="M2826" t="n">
        <x:v>38</x:v>
      </x:c>
      <x:c r="N2826" s="24" t="n">
        <x:v>0.03</x:v>
      </x:c>
      <x:c r="O2826" s="22" t="n">
        <x:f>L2826*M2826</x:f>
        <x:v>1444</x:v>
      </x:c>
      <x:c r="P2826" s="22" t="n">
        <x:f>O2826*(1-N2826)</x:f>
        <x:v>1400.68</x:v>
      </x:c>
      <x:c r="Q2826" s="22" t="n">
        <x:v>31</x:v>
      </x:c>
      <x:c r="R2826" s="22" t="n">
        <x:f>Q2826*M2826</x:f>
        <x:v>1178</x:v>
      </x:c>
      <x:c r="S2826" s="22" t="n">
        <x:f>P2826-R2826</x:f>
        <x:v>222.68000000000006</x:v>
      </x:c>
      <x:c r="T2826" t="str">
        <x:v>Cash</x:v>
      </x:c>
      <x:c r="U2826" t="str">
        <x:v>Paid</x:v>
      </x:c>
      <x:c r="V2826" t="str">
        <x:v>Delivered</x:v>
      </x:c>
      <x:c r="W2826" t="n">
        <x:v>0</x:v>
      </x:c>
      <x:c r="X2826" t="str"/>
      <x:c r="Y2826" t="str">
        <x:v>Existing Customer</x:v>
      </x:c>
    </x:row>
    <x:row r="2827">
      <x:c r="A2827" t="str">
        <x:v>O002826</x:v>
      </x:c>
      <x:c r="B2827" s="20" t="n">
        <x:v>46074</x:v>
      </x:c>
      <x:c r="C2827" t="str">
        <x:v>C0145</x:v>
      </x:c>
      <x:c r="D2827" t="str">
        <x:v>Namma Cafe 145</x:v>
      </x:c>
      <x:c r="E2827" t="str">
        <x:v>Kirana</x:v>
      </x:c>
      <x:c r="F2827" t="str">
        <x:v>Tumakuru</x:v>
      </x:c>
      <x:c r="G2827" t="str">
        <x:v>Sneha</x:v>
      </x:c>
      <x:c r="H2827" t="str">
        <x:v>P047</x:v>
      </x:c>
      <x:c r="I2827" t="str">
        <x:v>Tomato 25kg</x:v>
      </x:c>
      <x:c r="J2827" t="str">
        <x:v>Fresh Produce</x:v>
      </x:c>
      <x:c r="K2827" t="str">
        <x:v>Local Market</x:v>
      </x:c>
      <x:c r="L2827" s="22" t="n">
        <x:v>950</x:v>
      </x:c>
      <x:c r="M2827" t="n">
        <x:v>22</x:v>
      </x:c>
      <x:c r="N2827" s="24" t="n">
        <x:v>0.02</x:v>
      </x:c>
      <x:c r="O2827" s="22" t="n">
        <x:f>L2827*M2827</x:f>
        <x:v>20900</x:v>
      </x:c>
      <x:c r="P2827" s="22" t="n">
        <x:f>O2827*(1-N2827)</x:f>
        <x:v>20482</x:v>
      </x:c>
      <x:c r="Q2827" s="22" t="n">
        <x:v>810</x:v>
      </x:c>
      <x:c r="R2827" s="22" t="n">
        <x:f>Q2827*M2827</x:f>
        <x:v>17820</x:v>
      </x:c>
      <x:c r="S2827" s="22" t="n">
        <x:f>P2827-R2827</x:f>
        <x:v>2662</x:v>
      </x:c>
      <x:c r="T2827" t="str">
        <x:v>Bank Transfer</x:v>
      </x:c>
      <x:c r="U2827" t="str">
        <x:v>Paid</x:v>
      </x:c>
      <x:c r="V2827" t="str">
        <x:v>Delivered</x:v>
      </x:c>
      <x:c r="W2827" t="n">
        <x:v>0</x:v>
      </x:c>
      <x:c r="X2827" t="str"/>
      <x:c r="Y2827" t="str">
        <x:v>Outbound Call</x:v>
      </x:c>
    </x:row>
    <x:row r="2828">
      <x:c r="A2828" t="str">
        <x:v>O002827</x:v>
      </x:c>
      <x:c r="B2828" s="20" t="n">
        <x:v>46026</x:v>
      </x:c>
      <x:c r="C2828" t="str">
        <x:v>C0187</x:v>
      </x:c>
      <x:c r="D2828" t="str">
        <x:v>City Cafe 187</x:v>
      </x:c>
      <x:c r="E2828" t="str">
        <x:v>Hotel</x:v>
      </x:c>
      <x:c r="F2828" t="str">
        <x:v>Mysuru</x:v>
      </x:c>
      <x:c r="G2828" t="str">
        <x:v>Priya</x:v>
      </x:c>
      <x:c r="H2828" t="str">
        <x:v>P015</x:v>
      </x:c>
      <x:c r="I2828" t="str">
        <x:v>Milk 1L</x:v>
      </x:c>
      <x:c r="J2828" t="str">
        <x:v>Dairy</x:v>
      </x:c>
      <x:c r="K2828" t="str">
        <x:v>Nandini</x:v>
      </x:c>
      <x:c r="L2828" s="22" t="n">
        <x:v>48</x:v>
      </x:c>
      <x:c r="M2828" t="n">
        <x:v>16</x:v>
      </x:c>
      <x:c r="N2828" s="24" t="n">
        <x:v>0.08</x:v>
      </x:c>
      <x:c r="O2828" s="22" t="n">
        <x:f>L2828*M2828</x:f>
        <x:v>768</x:v>
      </x:c>
      <x:c r="P2828" s="22" t="n">
        <x:f>O2828*(1-N2828)</x:f>
        <x:v>706.5600000000001</x:v>
      </x:c>
      <x:c r="Q2828" s="22" t="n">
        <x:v>43</x:v>
      </x:c>
      <x:c r="R2828" s="22" t="n">
        <x:f>Q2828*M2828</x:f>
        <x:v>688</x:v>
      </x:c>
      <x:c r="S2828" s="22" t="n">
        <x:f>P2828-R2828</x:f>
        <x:v>18.56000000000006</x:v>
      </x:c>
      <x:c r="T2828" t="str">
        <x:v>UPI</x:v>
      </x:c>
      <x:c r="U2828" t="str">
        <x:v>Paid</x:v>
      </x:c>
      <x:c r="V2828" t="str">
        <x:v>Cancelled</x:v>
      </x:c>
      <x:c r="W2828" t="n">
        <x:v>16</x:v>
      </x:c>
      <x:c r="X2828" t="str">
        <x:v>Cancelled Order</x:v>
      </x:c>
      <x:c r="Y2828" t="str">
        <x:v>Existing Customer</x:v>
      </x:c>
    </x:row>
    <x:row r="2829">
      <x:c r="A2829" t="str">
        <x:v>O002828</x:v>
      </x:c>
      <x:c r="B2829" s="20" t="n">
        <x:v>46071</x:v>
      </x:c>
      <x:c r="C2829" t="str">
        <x:v>C0099</x:v>
      </x:c>
      <x:c r="D2829" t="str">
        <x:v>Green Cafe 99</x:v>
      </x:c>
      <x:c r="E2829" t="str">
        <x:v>Restaurant</x:v>
      </x:c>
      <x:c r="F2829" t="str">
        <x:v>Hubballi</x:v>
      </x:c>
      <x:c r="G2829" t="str">
        <x:v>Ramesh</x:v>
      </x:c>
      <x:c r="H2829" t="str">
        <x:v>P041</x:v>
      </x:c>
      <x:c r="I2829" t="str">
        <x:v>Burger Bun 6pc</x:v>
      </x:c>
      <x:c r="J2829" t="str">
        <x:v>Bakery</x:v>
      </x:c>
      <x:c r="K2829" t="str">
        <x:v>Modern</x:v>
      </x:c>
      <x:c r="L2829" s="22" t="n">
        <x:v>42</x:v>
      </x:c>
      <x:c r="M2829" t="n">
        <x:v>23</x:v>
      </x:c>
      <x:c r="N2829" s="24" t="n">
        <x:v>0</x:v>
      </x:c>
      <x:c r="O2829" s="22" t="n">
        <x:f>L2829*M2829</x:f>
        <x:v>966</x:v>
      </x:c>
      <x:c r="P2829" s="22" t="n">
        <x:f>O2829*(1-N2829)</x:f>
        <x:v>966</x:v>
      </x:c>
      <x:c r="Q2829" s="22" t="n">
        <x:v>32</x:v>
      </x:c>
      <x:c r="R2829" s="22" t="n">
        <x:f>Q2829*M2829</x:f>
        <x:v>736</x:v>
      </x:c>
      <x:c r="S2829" s="22" t="n">
        <x:f>P2829-R2829</x:f>
        <x:v>230</x:v>
      </x:c>
      <x:c r="T2829" t="str">
        <x:v>Credit</x:v>
      </x:c>
      <x:c r="U2829" t="str">
        <x:v>Paid</x:v>
      </x:c>
      <x:c r="V2829" t="str">
        <x:v>Cancelled</x:v>
      </x:c>
      <x:c r="W2829" t="n">
        <x:v>23</x:v>
      </x:c>
      <x:c r="X2829" t="str">
        <x:v>Cancelled Order</x:v>
      </x:c>
      <x:c r="Y2829" t="str">
        <x:v>Existing Customer</x:v>
      </x:c>
    </x:row>
    <x:row r="2830">
      <x:c r="A2830" t="str">
        <x:v>O002829</x:v>
      </x:c>
      <x:c r="B2830" s="20" t="n">
        <x:v>45899</x:v>
      </x:c>
      <x:c r="C2830" t="str">
        <x:v>C0213</x:v>
      </x:c>
      <x:c r="D2830" t="str">
        <x:v>Shree Cafe 213</x:v>
      </x:c>
      <x:c r="E2830" t="str">
        <x:v>Cafe</x:v>
      </x:c>
      <x:c r="F2830" t="str">
        <x:v>Tumakuru</x:v>
      </x:c>
      <x:c r="G2830" t="str">
        <x:v>Imran</x:v>
      </x:c>
      <x:c r="H2830" t="str">
        <x:v>P030</x:v>
      </x:c>
      <x:c r="I2830" t="str">
        <x:v>Mayonnaise 1kg</x:v>
      </x:c>
      <x:c r="J2830" t="str">
        <x:v>Condiments</x:v>
      </x:c>
      <x:c r="K2830" t="str">
        <x:v>Veeba</x:v>
      </x:c>
      <x:c r="L2830" s="22" t="n">
        <x:v>210</x:v>
      </x:c>
      <x:c r="M2830" t="n">
        <x:v>7</x:v>
      </x:c>
      <x:c r="N2830" s="24" t="n">
        <x:v>0.1</x:v>
      </x:c>
      <x:c r="O2830" s="22" t="n">
        <x:f>L2830*M2830</x:f>
        <x:v>1470</x:v>
      </x:c>
      <x:c r="P2830" s="22" t="n">
        <x:f>O2830*(1-N2830)</x:f>
        <x:v>1323</x:v>
      </x:c>
      <x:c r="Q2830" s="22" t="n">
        <x:v>185</x:v>
      </x:c>
      <x:c r="R2830" s="22" t="n">
        <x:f>Q2830*M2830</x:f>
        <x:v>1295</x:v>
      </x:c>
      <x:c r="S2830" s="22" t="n">
        <x:f>P2830-R2830</x:f>
        <x:v>28</x:v>
      </x:c>
      <x:c r="T2830" t="str">
        <x:v>Bank Transfer</x:v>
      </x:c>
      <x:c r="U2830" t="str">
        <x:v>Overdue</x:v>
      </x:c>
      <x:c r="V2830" t="str">
        <x:v>Delivered</x:v>
      </x:c>
      <x:c r="W2830" t="n">
        <x:v>0</x:v>
      </x:c>
      <x:c r="X2830" t="str"/>
      <x:c r="Y2830" t="str">
        <x:v>Referral</x:v>
      </x:c>
    </x:row>
    <x:row r="2831">
      <x:c r="A2831" t="str">
        <x:v>O002830</x:v>
      </x:c>
      <x:c r="B2831" s="20" t="n">
        <x:v>45813</x:v>
      </x:c>
      <x:c r="C2831" t="str">
        <x:v>C0127</x:v>
      </x:c>
      <x:c r="D2831" t="str">
        <x:v>Grand Mart 127</x:v>
      </x:c>
      <x:c r="E2831" t="str">
        <x:v>Canteen</x:v>
      </x:c>
      <x:c r="F2831" t="str">
        <x:v>Hubballi</x:v>
      </x:c>
      <x:c r="G2831" t="str">
        <x:v>Imran</x:v>
      </x:c>
      <x:c r="H2831" t="str">
        <x:v>P046</x:v>
      </x:c>
      <x:c r="I2831" t="str">
        <x:v>Potato 25kg</x:v>
      </x:c>
      <x:c r="J2831" t="str">
        <x:v>Fresh Produce</x:v>
      </x:c>
      <x:c r="K2831" t="str">
        <x:v>Local Market</x:v>
      </x:c>
      <x:c r="L2831" s="22" t="n">
        <x:v>700</x:v>
      </x:c>
      <x:c r="M2831" t="n">
        <x:v>13</x:v>
      </x:c>
      <x:c r="N2831" s="24" t="n">
        <x:v>0.05</x:v>
      </x:c>
      <x:c r="O2831" s="22" t="n">
        <x:f>L2831*M2831</x:f>
        <x:v>9100</x:v>
      </x:c>
      <x:c r="P2831" s="22" t="n">
        <x:f>O2831*(1-N2831)</x:f>
        <x:v>8645</x:v>
      </x:c>
      <x:c r="Q2831" s="22" t="n">
        <x:v>610</x:v>
      </x:c>
      <x:c r="R2831" s="22" t="n">
        <x:f>Q2831*M2831</x:f>
        <x:v>7930</x:v>
      </x:c>
      <x:c r="S2831" s="22" t="n">
        <x:f>P2831-R2831</x:f>
        <x:v>715</x:v>
      </x:c>
      <x:c r="T2831" t="str">
        <x:v>Cash</x:v>
      </x:c>
      <x:c r="U2831" t="str">
        <x:v>Pending</x:v>
      </x:c>
      <x:c r="V2831" t="str">
        <x:v>Delivered</x:v>
      </x:c>
      <x:c r="W2831" t="n">
        <x:v>0</x:v>
      </x:c>
      <x:c r="X2831" t="str"/>
      <x:c r="Y2831" t="str">
        <x:v>Referral</x:v>
      </x:c>
    </x:row>
    <x:row r="2832">
      <x:c r="A2832" t="str">
        <x:v>O002831</x:v>
      </x:c>
      <x:c r="B2832" s="20" t="n">
        <x:v>46055</x:v>
      </x:c>
      <x:c r="C2832" t="str">
        <x:v>C0040</x:v>
      </x:c>
      <x:c r="D2832" t="str">
        <x:v>Royal Foods 40</x:v>
      </x:c>
      <x:c r="E2832" t="str">
        <x:v>Restaurant</x:v>
      </x:c>
      <x:c r="F2832" t="str">
        <x:v>Mangaluru</x:v>
      </x:c>
      <x:c r="G2832" t="str">
        <x:v>Kavya</x:v>
      </x:c>
      <x:c r="H2832" t="str">
        <x:v>P031</x:v>
      </x:c>
      <x:c r="I2832" t="str">
        <x:v>Chilli Sauce 700g</x:v>
      </x:c>
      <x:c r="J2832" t="str">
        <x:v>Condiments</x:v>
      </x:c>
      <x:c r="K2832" t="str">
        <x:v>Ching's</x:v>
      </x:c>
      <x:c r="L2832" s="22" t="n">
        <x:v>130</x:v>
      </x:c>
      <x:c r="M2832" t="n">
        <x:v>36</x:v>
      </x:c>
      <x:c r="N2832" s="24" t="n">
        <x:v>0.03</x:v>
      </x:c>
      <x:c r="O2832" s="22" t="n">
        <x:f>L2832*M2832</x:f>
        <x:v>4680</x:v>
      </x:c>
      <x:c r="P2832" s="22" t="n">
        <x:f>O2832*(1-N2832)</x:f>
        <x:v>4539.599999999999</x:v>
      </x:c>
      <x:c r="Q2832" s="22" t="n">
        <x:v>112</x:v>
      </x:c>
      <x:c r="R2832" s="22" t="n">
        <x:f>Q2832*M2832</x:f>
        <x:v>4032</x:v>
      </x:c>
      <x:c r="S2832" s="22" t="n">
        <x:f>P2832-R2832</x:f>
        <x:v>507.59999999999945</x:v>
      </x:c>
      <x:c r="T2832" t="str">
        <x:v>UPI</x:v>
      </x:c>
      <x:c r="U2832" t="str">
        <x:v>Paid</x:v>
      </x:c>
      <x:c r="V2832" t="str">
        <x:v>Delivered</x:v>
      </x:c>
      <x:c r="W2832" t="n">
        <x:v>0</x:v>
      </x:c>
      <x:c r="X2832" t="str"/>
      <x:c r="Y2832" t="str">
        <x:v>Referral</x:v>
      </x:c>
    </x:row>
    <x:row r="2833">
      <x:c r="A2833" t="str">
        <x:v>O002832</x:v>
      </x:c>
      <x:c r="B2833" s="20" t="n">
        <x:v>46151</x:v>
      </x:c>
      <x:c r="C2833" t="str">
        <x:v>C0052</x:v>
      </x:c>
      <x:c r="D2833" t="str">
        <x:v>Sagar Canteen 52</x:v>
      </x:c>
      <x:c r="E2833" t="str">
        <x:v>Kirana</x:v>
      </x:c>
      <x:c r="F2833" t="str">
        <x:v>Mysuru</x:v>
      </x:c>
      <x:c r="G2833" t="str">
        <x:v>Kavya</x:v>
      </x:c>
      <x:c r="H2833" t="str">
        <x:v>P008</x:v>
      </x:c>
      <x:c r="I2833" t="str">
        <x:v>Palm Oil 15L</x:v>
      </x:c>
      <x:c r="J2833" t="str">
        <x:v>Edible Oil</x:v>
      </x:c>
      <x:c r="K2833" t="str">
        <x:v>Ruchi Gold</x:v>
      </x:c>
      <x:c r="L2833" s="22" t="n">
        <x:v>1760</x:v>
      </x:c>
      <x:c r="M2833" t="n">
        <x:v>7</x:v>
      </x:c>
      <x:c r="N2833" s="24" t="n">
        <x:v>0.03</x:v>
      </x:c>
      <x:c r="O2833" s="22" t="n">
        <x:f>L2833*M2833</x:f>
        <x:v>12320</x:v>
      </x:c>
      <x:c r="P2833" s="22" t="n">
        <x:f>O2833*(1-N2833)</x:f>
        <x:v>11950.4</x:v>
      </x:c>
      <x:c r="Q2833" s="22" t="n">
        <x:v>1610</x:v>
      </x:c>
      <x:c r="R2833" s="22" t="n">
        <x:f>Q2833*M2833</x:f>
        <x:v>11270</x:v>
      </x:c>
      <x:c r="S2833" s="22" t="n">
        <x:f>P2833-R2833</x:f>
        <x:v>680.3999999999996</x:v>
      </x:c>
      <x:c r="T2833" t="str">
        <x:v>UPI</x:v>
      </x:c>
      <x:c r="U2833" t="str">
        <x:v>Paid</x:v>
      </x:c>
      <x:c r="V2833" t="str">
        <x:v>Delivered</x:v>
      </x:c>
      <x:c r="W2833" t="n">
        <x:v>0</x:v>
      </x:c>
      <x:c r="X2833" t="str"/>
      <x:c r="Y2833" t="str">
        <x:v>Outbound Call</x:v>
      </x:c>
    </x:row>
    <x:row r="2834">
      <x:c r="A2834" t="str">
        <x:v>O002833</x:v>
      </x:c>
      <x:c r="B2834" s="20" t="n">
        <x:v>46131</x:v>
      </x:c>
      <x:c r="C2834" t="str">
        <x:v>C0059</x:v>
      </x:c>
      <x:c r="D2834" t="str">
        <x:v>Spice Foods 59</x:v>
      </x:c>
      <x:c r="E2834" t="str">
        <x:v>Hotel</x:v>
      </x:c>
      <x:c r="F2834" t="str">
        <x:v>Hubballi</x:v>
      </x:c>
      <x:c r="G2834" t="str">
        <x:v>Sneha</x:v>
      </x:c>
      <x:c r="H2834" t="str">
        <x:v>P021</x:v>
      </x:c>
      <x:c r="I2834" t="str">
        <x:v>Instant Coffee 200g</x:v>
      </x:c>
      <x:c r="J2834" t="str">
        <x:v>Beverage</x:v>
      </x:c>
      <x:c r="K2834" t="str">
        <x:v>Nescafe</x:v>
      </x:c>
      <x:c r="L2834" s="22" t="n">
        <x:v>460</x:v>
      </x:c>
      <x:c r="M2834" t="n">
        <x:v>39</x:v>
      </x:c>
      <x:c r="N2834" s="24" t="n">
        <x:v>0</x:v>
      </x:c>
      <x:c r="O2834" s="22" t="n">
        <x:f>L2834*M2834</x:f>
        <x:v>17940</x:v>
      </x:c>
      <x:c r="P2834" s="22" t="n">
        <x:f>O2834*(1-N2834)</x:f>
        <x:v>17940</x:v>
      </x:c>
      <x:c r="Q2834" s="22" t="n">
        <x:v>410</x:v>
      </x:c>
      <x:c r="R2834" s="22" t="n">
        <x:f>Q2834*M2834</x:f>
        <x:v>15990</x:v>
      </x:c>
      <x:c r="S2834" s="22" t="n">
        <x:f>P2834-R2834</x:f>
        <x:v>1950</x:v>
      </x:c>
      <x:c r="T2834" t="str">
        <x:v>UPI</x:v>
      </x:c>
      <x:c r="U2834" t="str">
        <x:v>Paid</x:v>
      </x:c>
      <x:c r="V2834" t="str">
        <x:v>Delivered</x:v>
      </x:c>
      <x:c r="W2834" t="n">
        <x:v>2</x:v>
      </x:c>
      <x:c r="X2834" t="str">
        <x:v>Quality Issue</x:v>
      </x:c>
      <x:c r="Y2834" t="str">
        <x:v>Field Visit</x:v>
      </x:c>
    </x:row>
    <x:row r="2835">
      <x:c r="A2835" t="str">
        <x:v>O002834</x:v>
      </x:c>
      <x:c r="B2835" s="20" t="n">
        <x:v>46264</x:v>
      </x:c>
      <x:c r="C2835" t="str">
        <x:v>C0103</x:v>
      </x:c>
      <x:c r="D2835" t="str">
        <x:v>Fresh Kitchen 103</x:v>
      </x:c>
      <x:c r="E2835" t="str">
        <x:v>Supermarket</x:v>
      </x:c>
      <x:c r="F2835" t="str">
        <x:v>Davanagere</x:v>
      </x:c>
      <x:c r="G2835" t="str">
        <x:v>Megha</x:v>
      </x:c>
      <x:c r="H2835" t="str">
        <x:v>P014</x:v>
      </x:c>
      <x:c r="I2835" t="str">
        <x:v>Rava 5kg</x:v>
      </x:c>
      <x:c r="J2835" t="str">
        <x:v>Flour</x:v>
      </x:c>
      <x:c r="K2835" t="str">
        <x:v>Local Select</x:v>
      </x:c>
      <x:c r="L2835" s="22" t="n">
        <x:v>245</x:v>
      </x:c>
      <x:c r="M2835" t="n">
        <x:v>35</x:v>
      </x:c>
      <x:c r="N2835" s="24" t="n">
        <x:v>0.05</x:v>
      </x:c>
      <x:c r="O2835" s="22" t="n">
        <x:f>L2835*M2835</x:f>
        <x:v>8575</x:v>
      </x:c>
      <x:c r="P2835" s="22" t="n">
        <x:f>O2835*(1-N2835)</x:f>
        <x:v>8146.25</x:v>
      </x:c>
      <x:c r="Q2835" s="22" t="n">
        <x:v>215</x:v>
      </x:c>
      <x:c r="R2835" s="22" t="n">
        <x:f>Q2835*M2835</x:f>
        <x:v>7525</x:v>
      </x:c>
      <x:c r="S2835" s="22" t="n">
        <x:f>P2835-R2835</x:f>
        <x:v>621.25</x:v>
      </x:c>
      <x:c r="T2835" t="str">
        <x:v>Credit</x:v>
      </x:c>
      <x:c r="U2835" t="str">
        <x:v>Paid</x:v>
      </x:c>
      <x:c r="V2835" t="str">
        <x:v>Delivered</x:v>
      </x:c>
      <x:c r="W2835" t="n">
        <x:v>0</x:v>
      </x:c>
      <x:c r="X2835" t="str"/>
      <x:c r="Y2835" t="str">
        <x:v>Field Visit</x:v>
      </x:c>
    </x:row>
    <x:row r="2836">
      <x:c r="A2836" t="str">
        <x:v>O002835</x:v>
      </x:c>
      <x:c r="B2836" s="20" t="n">
        <x:v>46271</x:v>
      </x:c>
      <x:c r="C2836" t="str">
        <x:v>C0002</x:v>
      </x:c>
      <x:c r="D2836" t="str">
        <x:v>City Kitchen 2</x:v>
      </x:c>
      <x:c r="E2836" t="str">
        <x:v>Kirana</x:v>
      </x:c>
      <x:c r="F2836" t="str">
        <x:v>Davanagere</x:v>
      </x:c>
      <x:c r="G2836" t="str">
        <x:v>Arjun</x:v>
      </x:c>
      <x:c r="H2836" t="str">
        <x:v>P015</x:v>
      </x:c>
      <x:c r="I2836" t="str">
        <x:v>Milk 1L</x:v>
      </x:c>
      <x:c r="J2836" t="str">
        <x:v>Dairy</x:v>
      </x:c>
      <x:c r="K2836" t="str">
        <x:v>Nandini</x:v>
      </x:c>
      <x:c r="L2836" s="22" t="n">
        <x:v>48</x:v>
      </x:c>
      <x:c r="M2836" t="n">
        <x:v>16</x:v>
      </x:c>
      <x:c r="N2836" s="24" t="n">
        <x:v>0.02</x:v>
      </x:c>
      <x:c r="O2836" s="22" t="n">
        <x:f>L2836*M2836</x:f>
        <x:v>768</x:v>
      </x:c>
      <x:c r="P2836" s="22" t="n">
        <x:f>O2836*(1-N2836)</x:f>
        <x:v>752.64</x:v>
      </x:c>
      <x:c r="Q2836" s="22" t="n">
        <x:v>43</x:v>
      </x:c>
      <x:c r="R2836" s="22" t="n">
        <x:f>Q2836*M2836</x:f>
        <x:v>688</x:v>
      </x:c>
      <x:c r="S2836" s="22" t="n">
        <x:f>P2836-R2836</x:f>
        <x:v>64.63999999999999</x:v>
      </x:c>
      <x:c r="T2836" t="str">
        <x:v>Bank Transfer</x:v>
      </x:c>
      <x:c r="U2836" t="str">
        <x:v>Paid</x:v>
      </x:c>
      <x:c r="V2836" t="str">
        <x:v>Delivered</x:v>
      </x:c>
      <x:c r="W2836" t="n">
        <x:v>0</x:v>
      </x:c>
      <x:c r="X2836" t="str"/>
      <x:c r="Y2836" t="str">
        <x:v>WhatsApp</x:v>
      </x:c>
    </x:row>
    <x:row r="2837">
      <x:c r="A2837" t="str">
        <x:v>O002836</x:v>
      </x:c>
      <x:c r="B2837" s="20" t="n">
        <x:v>45812</x:v>
      </x:c>
      <x:c r="C2837" t="str">
        <x:v>C0192</x:v>
      </x:c>
      <x:c r="D2837" t="str">
        <x:v>Shree Kitchen 192</x:v>
      </x:c>
      <x:c r="E2837" t="str">
        <x:v>Restaurant</x:v>
      </x:c>
      <x:c r="F2837" t="str">
        <x:v>Mysuru</x:v>
      </x:c>
      <x:c r="G2837" t="str">
        <x:v>Sneha</x:v>
      </x:c>
      <x:c r="H2837" t="str">
        <x:v>P038</x:v>
      </x:c>
      <x:c r="I2837" t="str">
        <x:v>French Fries 2.5kg</x:v>
      </x:c>
      <x:c r="J2837" t="str">
        <x:v>Frozen</x:v>
      </x:c>
      <x:c r="K2837" t="str">
        <x:v>McCain</x:v>
      </x:c>
      <x:c r="L2837" s="22" t="n">
        <x:v>360</x:v>
      </x:c>
      <x:c r="M2837" t="n">
        <x:v>24</x:v>
      </x:c>
      <x:c r="N2837" s="24" t="n">
        <x:v>0.02</x:v>
      </x:c>
      <x:c r="O2837" s="22" t="n">
        <x:f>L2837*M2837</x:f>
        <x:v>8640</x:v>
      </x:c>
      <x:c r="P2837" s="22" t="n">
        <x:f>O2837*(1-N2837)</x:f>
        <x:v>8467.2</x:v>
      </x:c>
      <x:c r="Q2837" s="22" t="n">
        <x:v>315</x:v>
      </x:c>
      <x:c r="R2837" s="22" t="n">
        <x:f>Q2837*M2837</x:f>
        <x:v>7560</x:v>
      </x:c>
      <x:c r="S2837" s="22" t="n">
        <x:f>P2837-R2837</x:f>
        <x:v>907.2000000000007</x:v>
      </x:c>
      <x:c r="T2837" t="str">
        <x:v>UPI</x:v>
      </x:c>
      <x:c r="U2837" t="str">
        <x:v>Paid</x:v>
      </x:c>
      <x:c r="V2837" t="str">
        <x:v>Delayed</x:v>
      </x:c>
      <x:c r="W2837" t="n">
        <x:v>0</x:v>
      </x:c>
      <x:c r="X2837" t="str"/>
      <x:c r="Y2837" t="str">
        <x:v>Referral</x:v>
      </x:c>
    </x:row>
    <x:row r="2838">
      <x:c r="A2838" t="str">
        <x:v>O002837</x:v>
      </x:c>
      <x:c r="B2838" s="20" t="n">
        <x:v>45707</x:v>
      </x:c>
      <x:c r="C2838" t="str">
        <x:v>C0014</x:v>
      </x:c>
      <x:c r="D2838" t="str">
        <x:v>Annapurna Canteen 14</x:v>
      </x:c>
      <x:c r="E2838" t="str">
        <x:v>Kirana</x:v>
      </x:c>
      <x:c r="F2838" t="str">
        <x:v>Davanagere</x:v>
      </x:c>
      <x:c r="G2838" t="str">
        <x:v>Sneha</x:v>
      </x:c>
      <x:c r="H2838" t="str">
        <x:v>P001</x:v>
      </x:c>
      <x:c r="I2838" t="str">
        <x:v>Steam Rice 25kg</x:v>
      </x:c>
      <x:c r="J2838" t="str">
        <x:v>Staples</x:v>
      </x:c>
      <x:c r="K2838" t="str">
        <x:v>Aishwarya</x:v>
      </x:c>
      <x:c r="L2838" s="22" t="n">
        <x:v>1180</x:v>
      </x:c>
      <x:c r="M2838" t="n">
        <x:v>2</x:v>
      </x:c>
      <x:c r="N2838" s="24" t="n">
        <x:v>0.05</x:v>
      </x:c>
      <x:c r="O2838" s="22" t="n">
        <x:f>L2838*M2838</x:f>
        <x:v>2360</x:v>
      </x:c>
      <x:c r="P2838" s="22" t="n">
        <x:f>O2838*(1-N2838)</x:f>
        <x:v>2242</x:v>
      </x:c>
      <x:c r="Q2838" s="22" t="n">
        <x:v>1040</x:v>
      </x:c>
      <x:c r="R2838" s="22" t="n">
        <x:f>Q2838*M2838</x:f>
        <x:v>2080</x:v>
      </x:c>
      <x:c r="S2838" s="22" t="n">
        <x:f>P2838-R2838</x:f>
        <x:v>162</x:v>
      </x:c>
      <x:c r="T2838" t="str">
        <x:v>UPI</x:v>
      </x:c>
      <x:c r="U2838" t="str">
        <x:v>Paid</x:v>
      </x:c>
      <x:c r="V2838" t="str">
        <x:v>Delivered</x:v>
      </x:c>
      <x:c r="W2838" t="n">
        <x:v>0</x:v>
      </x:c>
      <x:c r="X2838" t="str"/>
      <x:c r="Y2838" t="str">
        <x:v>WhatsApp</x:v>
      </x:c>
    </x:row>
    <x:row r="2839">
      <x:c r="A2839" t="str">
        <x:v>O002838</x:v>
      </x:c>
      <x:c r="B2839" s="20" t="n">
        <x:v>45855</x:v>
      </x:c>
      <x:c r="C2839" t="str">
        <x:v>C0150</x:v>
      </x:c>
      <x:c r="D2839" t="str">
        <x:v>Sagar Kitchen 150</x:v>
      </x:c>
      <x:c r="E2839" t="str">
        <x:v>Kirana</x:v>
      </x:c>
      <x:c r="F2839" t="str">
        <x:v>Hubballi</x:v>
      </x:c>
      <x:c r="G2839" t="str">
        <x:v>Ramesh</x:v>
      </x:c>
      <x:c r="H2839" t="str">
        <x:v>P030</x:v>
      </x:c>
      <x:c r="I2839" t="str">
        <x:v>Mayonnaise 1kg</x:v>
      </x:c>
      <x:c r="J2839" t="str">
        <x:v>Condiments</x:v>
      </x:c>
      <x:c r="K2839" t="str">
        <x:v>Veeba</x:v>
      </x:c>
      <x:c r="L2839" s="22" t="n">
        <x:v>210</x:v>
      </x:c>
      <x:c r="M2839" t="n">
        <x:v>36</x:v>
      </x:c>
      <x:c r="N2839" s="24" t="n">
        <x:v>0.02</x:v>
      </x:c>
      <x:c r="O2839" s="22" t="n">
        <x:f>L2839*M2839</x:f>
        <x:v>7560</x:v>
      </x:c>
      <x:c r="P2839" s="22" t="n">
        <x:f>O2839*(1-N2839)</x:f>
        <x:v>7408.8</x:v>
      </x:c>
      <x:c r="Q2839" s="22" t="n">
        <x:v>185</x:v>
      </x:c>
      <x:c r="R2839" s="22" t="n">
        <x:f>Q2839*M2839</x:f>
        <x:v>6660</x:v>
      </x:c>
      <x:c r="S2839" s="22" t="n">
        <x:f>P2839-R2839</x:f>
        <x:v>748.8000000000002</x:v>
      </x:c>
      <x:c r="T2839" t="str">
        <x:v>Cash</x:v>
      </x:c>
      <x:c r="U2839" t="str">
        <x:v>Overdue</x:v>
      </x:c>
      <x:c r="V2839" t="str">
        <x:v>Cancelled</x:v>
      </x:c>
      <x:c r="W2839" t="n">
        <x:v>36</x:v>
      </x:c>
      <x:c r="X2839" t="str">
        <x:v>Cancelled Order</x:v>
      </x:c>
      <x:c r="Y2839" t="str">
        <x:v>Existing Customer</x:v>
      </x:c>
    </x:row>
    <x:row r="2840">
      <x:c r="A2840" t="str">
        <x:v>O002839</x:v>
      </x:c>
      <x:c r="B2840" s="20" t="n">
        <x:v>45747</x:v>
      </x:c>
      <x:c r="C2840" t="str">
        <x:v>C0021</x:v>
      </x:c>
      <x:c r="D2840" t="str">
        <x:v>Namma Cafe 21</x:v>
      </x:c>
      <x:c r="E2840" t="str">
        <x:v>Canteen</x:v>
      </x:c>
      <x:c r="F2840" t="str">
        <x:v>Bengaluru</x:v>
      </x:c>
      <x:c r="G2840" t="str">
        <x:v>Kavya</x:v>
      </x:c>
      <x:c r="H2840" t="str">
        <x:v>P009</x:v>
      </x:c>
      <x:c r="I2840" t="str">
        <x:v>Groundnut Oil 5L</x:v>
      </x:c>
      <x:c r="J2840" t="str">
        <x:v>Edible Oil</x:v>
      </x:c>
      <x:c r="K2840" t="str">
        <x:v>Dhara</x:v>
      </x:c>
      <x:c r="L2840" s="22" t="n">
        <x:v>890</x:v>
      </x:c>
      <x:c r="M2840" t="n">
        <x:v>15</x:v>
      </x:c>
      <x:c r="N2840" s="24" t="n">
        <x:v>0</x:v>
      </x:c>
      <x:c r="O2840" s="22" t="n">
        <x:f>L2840*M2840</x:f>
        <x:v>13350</x:v>
      </x:c>
      <x:c r="P2840" s="22" t="n">
        <x:f>O2840*(1-N2840)</x:f>
        <x:v>13350</x:v>
      </x:c>
      <x:c r="Q2840" s="22" t="n">
        <x:v>810</x:v>
      </x:c>
      <x:c r="R2840" s="22" t="n">
        <x:f>Q2840*M2840</x:f>
        <x:v>12150</x:v>
      </x:c>
      <x:c r="S2840" s="22" t="n">
        <x:f>P2840-R2840</x:f>
        <x:v>1200</x:v>
      </x:c>
      <x:c r="T2840" t="str">
        <x:v>Bank Transfer</x:v>
      </x:c>
      <x:c r="U2840" t="str">
        <x:v>Paid</x:v>
      </x:c>
      <x:c r="V2840" t="str">
        <x:v>Delivered</x:v>
      </x:c>
      <x:c r="W2840" t="n">
        <x:v>0</x:v>
      </x:c>
      <x:c r="X2840" t="str"/>
      <x:c r="Y2840" t="str">
        <x:v>Field Visit</x:v>
      </x:c>
    </x:row>
    <x:row r="2841">
      <x:c r="A2841" t="str">
        <x:v>O002840</x:v>
      </x:c>
      <x:c r="B2841" s="20" t="n">
        <x:v>45710</x:v>
      </x:c>
      <x:c r="C2841" t="str">
        <x:v>C0097</x:v>
      </x:c>
      <x:c r="D2841" t="str">
        <x:v>Classic Stores 97</x:v>
      </x:c>
      <x:c r="E2841" t="str">
        <x:v>Restaurant</x:v>
      </x:c>
      <x:c r="F2841" t="str">
        <x:v>Davanagere</x:v>
      </x:c>
      <x:c r="G2841" t="str">
        <x:v>Priya</x:v>
      </x:c>
      <x:c r="H2841" t="str">
        <x:v>P037</x:v>
      </x:c>
      <x:c r="I2841" t="str">
        <x:v>Frozen Peas 1kg</x:v>
      </x:c>
      <x:c r="J2841" t="str">
        <x:v>Frozen</x:v>
      </x:c>
      <x:c r="K2841" t="str">
        <x:v>Safal</x:v>
      </x:c>
      <x:c r="L2841" s="22" t="n">
        <x:v>155</x:v>
      </x:c>
      <x:c r="M2841" t="n">
        <x:v>36</x:v>
      </x:c>
      <x:c r="N2841" s="24" t="n">
        <x:v>0.08</x:v>
      </x:c>
      <x:c r="O2841" s="22" t="n">
        <x:f>L2841*M2841</x:f>
        <x:v>5580</x:v>
      </x:c>
      <x:c r="P2841" s="22" t="n">
        <x:f>O2841*(1-N2841)</x:f>
        <x:v>5133.6</x:v>
      </x:c>
      <x:c r="Q2841" s="22" t="n">
        <x:v>138</x:v>
      </x:c>
      <x:c r="R2841" s="22" t="n">
        <x:f>Q2841*M2841</x:f>
        <x:v>4968</x:v>
      </x:c>
      <x:c r="S2841" s="22" t="n">
        <x:f>P2841-R2841</x:f>
        <x:v>165.60000000000036</x:v>
      </x:c>
      <x:c r="T2841" t="str">
        <x:v>Credit</x:v>
      </x:c>
      <x:c r="U2841" t="str">
        <x:v>Paid</x:v>
      </x:c>
      <x:c r="V2841" t="str">
        <x:v>Cancelled</x:v>
      </x:c>
      <x:c r="W2841" t="n">
        <x:v>36</x:v>
      </x:c>
      <x:c r="X2841" t="str">
        <x:v>Cancelled Order</x:v>
      </x:c>
      <x:c r="Y2841" t="str">
        <x:v>Referral</x:v>
      </x:c>
    </x:row>
    <x:row r="2842">
      <x:c r="A2842" t="str">
        <x:v>O002841</x:v>
      </x:c>
      <x:c r="B2842" s="20" t="n">
        <x:v>45926</x:v>
      </x:c>
      <x:c r="C2842" t="str">
        <x:v>C0068</x:v>
      </x:c>
      <x:c r="D2842" t="str">
        <x:v>Fresh Canteen 68</x:v>
      </x:c>
      <x:c r="E2842" t="str">
        <x:v>Kirana</x:v>
      </x:c>
      <x:c r="F2842" t="str">
        <x:v>Davanagere</x:v>
      </x:c>
      <x:c r="G2842" t="str">
        <x:v>Arjun</x:v>
      </x:c>
      <x:c r="H2842" t="str">
        <x:v>P043</x:v>
      </x:c>
      <x:c r="I2842" t="str">
        <x:v>Chicken Breast 1kg</x:v>
      </x:c>
      <x:c r="J2842" t="str">
        <x:v>Protein</x:v>
      </x:c>
      <x:c r="K2842" t="str">
        <x:v>FreshToHome</x:v>
      </x:c>
      <x:c r="L2842" s="22" t="n">
        <x:v>260</x:v>
      </x:c>
      <x:c r="M2842" t="n">
        <x:v>34</x:v>
      </x:c>
      <x:c r="N2842" s="24" t="n">
        <x:v>0</x:v>
      </x:c>
      <x:c r="O2842" s="22" t="n">
        <x:f>L2842*M2842</x:f>
        <x:v>8840</x:v>
      </x:c>
      <x:c r="P2842" s="22" t="n">
        <x:f>O2842*(1-N2842)</x:f>
        <x:v>8840</x:v>
      </x:c>
      <x:c r="Q2842" s="22" t="n">
        <x:v>235</x:v>
      </x:c>
      <x:c r="R2842" s="22" t="n">
        <x:f>Q2842*M2842</x:f>
        <x:v>7990</x:v>
      </x:c>
      <x:c r="S2842" s="22" t="n">
        <x:f>P2842-R2842</x:f>
        <x:v>850</x:v>
      </x:c>
      <x:c r="T2842" t="str">
        <x:v>Credit</x:v>
      </x:c>
      <x:c r="U2842" t="str">
        <x:v>Overdue</x:v>
      </x:c>
      <x:c r="V2842" t="str">
        <x:v>Delivered</x:v>
      </x:c>
      <x:c r="W2842" t="n">
        <x:v>0</x:v>
      </x:c>
      <x:c r="X2842" t="str"/>
      <x:c r="Y2842" t="str">
        <x:v>WhatsApp</x:v>
      </x:c>
    </x:row>
    <x:row r="2843">
      <x:c r="A2843" t="str">
        <x:v>O002842</x:v>
      </x:c>
      <x:c r="B2843" s="20" t="n">
        <x:v>45982</x:v>
      </x:c>
      <x:c r="C2843" t="str">
        <x:v>C0241</x:v>
      </x:c>
      <x:c r="D2843" t="str">
        <x:v>Annapurna Restaurant 241</x:v>
      </x:c>
      <x:c r="E2843" t="str">
        <x:v>Hotel</x:v>
      </x:c>
      <x:c r="F2843" t="str">
        <x:v>Tumakuru</x:v>
      </x:c>
      <x:c r="G2843" t="str">
        <x:v>Imran</x:v>
      </x:c>
      <x:c r="H2843" t="str">
        <x:v>P024</x:v>
      </x:c>
      <x:c r="I2843" t="str">
        <x:v>Orange Drink 1L</x:v>
      </x:c>
      <x:c r="J2843" t="str">
        <x:v>Beverage</x:v>
      </x:c>
      <x:c r="K2843" t="str">
        <x:v>Minute Maid</x:v>
      </x:c>
      <x:c r="L2843" s="22" t="n">
        <x:v>105</x:v>
      </x:c>
      <x:c r="M2843" t="n">
        <x:v>27</x:v>
      </x:c>
      <x:c r="N2843" s="24" t="n">
        <x:v>0</x:v>
      </x:c>
      <x:c r="O2843" s="22" t="n">
        <x:f>L2843*M2843</x:f>
        <x:v>2835</x:v>
      </x:c>
      <x:c r="P2843" s="22" t="n">
        <x:f>O2843*(1-N2843)</x:f>
        <x:v>2835</x:v>
      </x:c>
      <x:c r="Q2843" s="22" t="n">
        <x:v>88</x:v>
      </x:c>
      <x:c r="R2843" s="22" t="n">
        <x:f>Q2843*M2843</x:f>
        <x:v>2376</x:v>
      </x:c>
      <x:c r="S2843" s="22" t="n">
        <x:f>P2843-R2843</x:f>
        <x:v>459</x:v>
      </x:c>
      <x:c r="T2843" t="str">
        <x:v>Bank Transfer</x:v>
      </x:c>
      <x:c r="U2843" t="str">
        <x:v>Paid</x:v>
      </x:c>
      <x:c r="V2843" t="str">
        <x:v>Delivered</x:v>
      </x:c>
      <x:c r="W2843" t="n">
        <x:v>0</x:v>
      </x:c>
      <x:c r="X2843" t="str"/>
      <x:c r="Y2843" t="str">
        <x:v>Existing Customer</x:v>
      </x:c>
    </x:row>
    <x:row r="2844">
      <x:c r="A2844" t="str">
        <x:v>O002843</x:v>
      </x:c>
      <x:c r="B2844" s="20" t="n">
        <x:v>45679</x:v>
      </x:c>
      <x:c r="C2844" t="str">
        <x:v>C0225</x:v>
      </x:c>
      <x:c r="D2844" t="str">
        <x:v>Darshini Mart 225</x:v>
      </x:c>
      <x:c r="E2844" t="str">
        <x:v>Restaurant</x:v>
      </x:c>
      <x:c r="F2844" t="str">
        <x:v>Davanagere</x:v>
      </x:c>
      <x:c r="G2844" t="str">
        <x:v>Kavya</x:v>
      </x:c>
      <x:c r="H2844" t="str">
        <x:v>P009</x:v>
      </x:c>
      <x:c r="I2844" t="str">
        <x:v>Groundnut Oil 5L</x:v>
      </x:c>
      <x:c r="J2844" t="str">
        <x:v>Edible Oil</x:v>
      </x:c>
      <x:c r="K2844" t="str">
        <x:v>Dhara</x:v>
      </x:c>
      <x:c r="L2844" s="22" t="n">
        <x:v>890</x:v>
      </x:c>
      <x:c r="M2844" t="n">
        <x:v>27</x:v>
      </x:c>
      <x:c r="N2844" s="24" t="n">
        <x:v>0</x:v>
      </x:c>
      <x:c r="O2844" s="22" t="n">
        <x:f>L2844*M2844</x:f>
        <x:v>24030</x:v>
      </x:c>
      <x:c r="P2844" s="22" t="n">
        <x:f>O2844*(1-N2844)</x:f>
        <x:v>24030</x:v>
      </x:c>
      <x:c r="Q2844" s="22" t="n">
        <x:v>810</x:v>
      </x:c>
      <x:c r="R2844" s="22" t="n">
        <x:f>Q2844*M2844</x:f>
        <x:v>21870</x:v>
      </x:c>
      <x:c r="S2844" s="22" t="n">
        <x:f>P2844-R2844</x:f>
        <x:v>2160</x:v>
      </x:c>
      <x:c r="T2844" t="str">
        <x:v>UPI</x:v>
      </x:c>
      <x:c r="U2844" t="str">
        <x:v>Paid</x:v>
      </x:c>
      <x:c r="V2844" t="str">
        <x:v>Delivered</x:v>
      </x:c>
      <x:c r="W2844" t="n">
        <x:v>0</x:v>
      </x:c>
      <x:c r="X2844" t="str"/>
      <x:c r="Y2844" t="str">
        <x:v>Outbound Call</x:v>
      </x:c>
    </x:row>
    <x:row r="2845">
      <x:c r="A2845" t="str">
        <x:v>O002844</x:v>
      </x:c>
      <x:c r="B2845" s="20" t="n">
        <x:v>45886</x:v>
      </x:c>
      <x:c r="C2845" t="str">
        <x:v>C0017</x:v>
      </x:c>
      <x:c r="D2845" t="str">
        <x:v>City Foods 17</x:v>
      </x:c>
      <x:c r="E2845" t="str">
        <x:v>Restaurant</x:v>
      </x:c>
      <x:c r="F2845" t="str">
        <x:v>Tumakuru</x:v>
      </x:c>
      <x:c r="G2845" t="str">
        <x:v>Imran</x:v>
      </x:c>
      <x:c r="H2845" t="str">
        <x:v>P041</x:v>
      </x:c>
      <x:c r="I2845" t="str">
        <x:v>Burger Bun 6pc</x:v>
      </x:c>
      <x:c r="J2845" t="str">
        <x:v>Bakery</x:v>
      </x:c>
      <x:c r="K2845" t="str">
        <x:v>Modern</x:v>
      </x:c>
      <x:c r="L2845" s="22" t="n">
        <x:v>42</x:v>
      </x:c>
      <x:c r="M2845" t="n">
        <x:v>2</x:v>
      </x:c>
      <x:c r="N2845" s="24" t="n">
        <x:v>0</x:v>
      </x:c>
      <x:c r="O2845" s="22" t="n">
        <x:f>L2845*M2845</x:f>
        <x:v>84</x:v>
      </x:c>
      <x:c r="P2845" s="22" t="n">
        <x:f>O2845*(1-N2845)</x:f>
        <x:v>84</x:v>
      </x:c>
      <x:c r="Q2845" s="22" t="n">
        <x:v>32</x:v>
      </x:c>
      <x:c r="R2845" s="22" t="n">
        <x:f>Q2845*M2845</x:f>
        <x:v>64</x:v>
      </x:c>
      <x:c r="S2845" s="22" t="n">
        <x:f>P2845-R2845</x:f>
        <x:v>20</x:v>
      </x:c>
      <x:c r="T2845" t="str">
        <x:v>Credit</x:v>
      </x:c>
      <x:c r="U2845" t="str">
        <x:v>Paid</x:v>
      </x:c>
      <x:c r="V2845" t="str">
        <x:v>Delivered</x:v>
      </x:c>
      <x:c r="W2845" t="n">
        <x:v>0</x:v>
      </x:c>
      <x:c r="X2845" t="str"/>
      <x:c r="Y2845" t="str">
        <x:v>WhatsApp</x:v>
      </x:c>
    </x:row>
    <x:row r="2846">
      <x:c r="A2846" t="str">
        <x:v>O002845</x:v>
      </x:c>
      <x:c r="B2846" s="20" t="n">
        <x:v>45851</x:v>
      </x:c>
      <x:c r="C2846" t="str">
        <x:v>C0109</x:v>
      </x:c>
      <x:c r="D2846" t="str">
        <x:v>Annapurna Kitchen 109</x:v>
      </x:c>
      <x:c r="E2846" t="str">
        <x:v>Kirana</x:v>
      </x:c>
      <x:c r="F2846" t="str">
        <x:v>Mysuru</x:v>
      </x:c>
      <x:c r="G2846" t="str">
        <x:v>Kavya</x:v>
      </x:c>
      <x:c r="H2846" t="str">
        <x:v>P033</x:v>
      </x:c>
      <x:c r="I2846" t="str">
        <x:v>Turmeric Powder 1kg</x:v>
      </x:c>
      <x:c r="J2846" t="str">
        <x:v>Spices</x:v>
      </x:c>
      <x:c r="K2846" t="str">
        <x:v>Everest</x:v>
      </x:c>
      <x:c r="L2846" s="22" t="n">
        <x:v>310</x:v>
      </x:c>
      <x:c r="M2846" t="n">
        <x:v>21</x:v>
      </x:c>
      <x:c r="N2846" s="24" t="n">
        <x:v>0.08</x:v>
      </x:c>
      <x:c r="O2846" s="22" t="n">
        <x:f>L2846*M2846</x:f>
        <x:v>6510</x:v>
      </x:c>
      <x:c r="P2846" s="22" t="n">
        <x:f>O2846*(1-N2846)</x:f>
        <x:v>5989.2</x:v>
      </x:c>
      <x:c r="Q2846" s="22" t="n">
        <x:v>270</x:v>
      </x:c>
      <x:c r="R2846" s="22" t="n">
        <x:f>Q2846*M2846</x:f>
        <x:v>5670</x:v>
      </x:c>
      <x:c r="S2846" s="22" t="n">
        <x:f>P2846-R2846</x:f>
        <x:v>319.1999999999998</x:v>
      </x:c>
      <x:c r="T2846" t="str">
        <x:v>UPI</x:v>
      </x:c>
      <x:c r="U2846" t="str">
        <x:v>Paid</x:v>
      </x:c>
      <x:c r="V2846" t="str">
        <x:v>Delivered</x:v>
      </x:c>
      <x:c r="W2846" t="n">
        <x:v>0</x:v>
      </x:c>
      <x:c r="X2846" t="str"/>
      <x:c r="Y2846" t="str">
        <x:v>Outbound Call</x:v>
      </x:c>
    </x:row>
    <x:row r="2847">
      <x:c r="A2847" t="str">
        <x:v>O002846</x:v>
      </x:c>
      <x:c r="B2847" s="20" t="n">
        <x:v>46249</x:v>
      </x:c>
      <x:c r="C2847" t="str">
        <x:v>C0038</x:v>
      </x:c>
      <x:c r="D2847" t="str">
        <x:v>Mysore Kitchen 38</x:v>
      </x:c>
      <x:c r="E2847" t="str">
        <x:v>Kirana</x:v>
      </x:c>
      <x:c r="F2847" t="str">
        <x:v>Tumakuru</x:v>
      </x:c>
      <x:c r="G2847" t="str">
        <x:v>Priya</x:v>
      </x:c>
      <x:c r="H2847" t="str">
        <x:v>P015</x:v>
      </x:c>
      <x:c r="I2847" t="str">
        <x:v>Milk 1L</x:v>
      </x:c>
      <x:c r="J2847" t="str">
        <x:v>Dairy</x:v>
      </x:c>
      <x:c r="K2847" t="str">
        <x:v>Nandini</x:v>
      </x:c>
      <x:c r="L2847" s="22" t="n">
        <x:v>48</x:v>
      </x:c>
      <x:c r="M2847" t="n">
        <x:v>5</x:v>
      </x:c>
      <x:c r="N2847" s="24" t="n">
        <x:v>0.05</x:v>
      </x:c>
      <x:c r="O2847" s="22" t="n">
        <x:f>L2847*M2847</x:f>
        <x:v>240</x:v>
      </x:c>
      <x:c r="P2847" s="22" t="n">
        <x:f>O2847*(1-N2847)</x:f>
        <x:v>228</x:v>
      </x:c>
      <x:c r="Q2847" s="22" t="n">
        <x:v>43</x:v>
      </x:c>
      <x:c r="R2847" s="22" t="n">
        <x:f>Q2847*M2847</x:f>
        <x:v>215</x:v>
      </x:c>
      <x:c r="S2847" s="22" t="n">
        <x:f>P2847-R2847</x:f>
        <x:v>13</x:v>
      </x:c>
      <x:c r="T2847" t="str">
        <x:v>Bank Transfer</x:v>
      </x:c>
      <x:c r="U2847" t="str">
        <x:v>Paid</x:v>
      </x:c>
      <x:c r="V2847" t="str">
        <x:v>Delivered</x:v>
      </x:c>
      <x:c r="W2847" t="n">
        <x:v>0</x:v>
      </x:c>
      <x:c r="X2847" t="str"/>
      <x:c r="Y2847" t="str">
        <x:v>Existing Customer</x:v>
      </x:c>
    </x:row>
    <x:row r="2848">
      <x:c r="A2848" t="str">
        <x:v>O002847</x:v>
      </x:c>
      <x:c r="B2848" s="20" t="n">
        <x:v>46069</x:v>
      </x:c>
      <x:c r="C2848" t="str">
        <x:v>C0228</x:v>
      </x:c>
      <x:c r="D2848" t="str">
        <x:v>Metro Foods 228</x:v>
      </x:c>
      <x:c r="E2848" t="str">
        <x:v>Supermarket</x:v>
      </x:c>
      <x:c r="F2848" t="str">
        <x:v>Davanagere</x:v>
      </x:c>
      <x:c r="G2848" t="str">
        <x:v>Sneha</x:v>
      </x:c>
      <x:c r="H2848" t="str">
        <x:v>P041</x:v>
      </x:c>
      <x:c r="I2848" t="str">
        <x:v>Burger Bun 6pc</x:v>
      </x:c>
      <x:c r="J2848" t="str">
        <x:v>Bakery</x:v>
      </x:c>
      <x:c r="K2848" t="str">
        <x:v>Modern</x:v>
      </x:c>
      <x:c r="L2848" s="22" t="n">
        <x:v>42</x:v>
      </x:c>
      <x:c r="M2848" t="n">
        <x:v>30</x:v>
      </x:c>
      <x:c r="N2848" s="24" t="n">
        <x:v>0.08</x:v>
      </x:c>
      <x:c r="O2848" s="22" t="n">
        <x:f>L2848*M2848</x:f>
        <x:v>1260</x:v>
      </x:c>
      <x:c r="P2848" s="22" t="n">
        <x:f>O2848*(1-N2848)</x:f>
        <x:v>1159.2</x:v>
      </x:c>
      <x:c r="Q2848" s="22" t="n">
        <x:v>32</x:v>
      </x:c>
      <x:c r="R2848" s="22" t="n">
        <x:f>Q2848*M2848</x:f>
        <x:v>960</x:v>
      </x:c>
      <x:c r="S2848" s="22" t="n">
        <x:f>P2848-R2848</x:f>
        <x:v>199.20000000000005</x:v>
      </x:c>
      <x:c r="T2848" t="str">
        <x:v>Bank Transfer</x:v>
      </x:c>
      <x:c r="U2848" t="str">
        <x:v>Paid</x:v>
      </x:c>
      <x:c r="V2848" t="str">
        <x:v>Delayed</x:v>
      </x:c>
      <x:c r="W2848" t="n">
        <x:v>0</x:v>
      </x:c>
      <x:c r="X2848" t="str"/>
      <x:c r="Y2848" t="str">
        <x:v>Referral</x:v>
      </x:c>
    </x:row>
    <x:row r="2849">
      <x:c r="A2849" t="str">
        <x:v>O002848</x:v>
      </x:c>
      <x:c r="B2849" s="20" t="n">
        <x:v>46239</x:v>
      </x:c>
      <x:c r="C2849" t="str">
        <x:v>C0067</x:v>
      </x:c>
      <x:c r="D2849" t="str">
        <x:v>Royal Restaurant 67</x:v>
      </x:c>
      <x:c r="E2849" t="str">
        <x:v>Supermarket</x:v>
      </x:c>
      <x:c r="F2849" t="str">
        <x:v>Tumakuru</x:v>
      </x:c>
      <x:c r="G2849" t="str">
        <x:v>Sneha</x:v>
      </x:c>
      <x:c r="H2849" t="str">
        <x:v>P039</x:v>
      </x:c>
      <x:c r="I2849" t="str">
        <x:v>Ice Cream 4L</x:v>
      </x:c>
      <x:c r="J2849" t="str">
        <x:v>Frozen</x:v>
      </x:c>
      <x:c r="K2849" t="str">
        <x:v>Amul</x:v>
      </x:c>
      <x:c r="L2849" s="22" t="n">
        <x:v>480</x:v>
      </x:c>
      <x:c r="M2849" t="n">
        <x:v>21</x:v>
      </x:c>
      <x:c r="N2849" s="24" t="n">
        <x:v>0.05</x:v>
      </x:c>
      <x:c r="O2849" s="22" t="n">
        <x:f>L2849*M2849</x:f>
        <x:v>10080</x:v>
      </x:c>
      <x:c r="P2849" s="22" t="n">
        <x:f>O2849*(1-N2849)</x:f>
        <x:v>9576</x:v>
      </x:c>
      <x:c r="Q2849" s="22" t="n">
        <x:v>420</x:v>
      </x:c>
      <x:c r="R2849" s="22" t="n">
        <x:f>Q2849*M2849</x:f>
        <x:v>8820</x:v>
      </x:c>
      <x:c r="S2849" s="22" t="n">
        <x:f>P2849-R2849</x:f>
        <x:v>756</x:v>
      </x:c>
      <x:c r="T2849" t="str">
        <x:v>Bank Transfer</x:v>
      </x:c>
      <x:c r="U2849" t="str">
        <x:v>Overdue</x:v>
      </x:c>
      <x:c r="V2849" t="str">
        <x:v>Delivered</x:v>
      </x:c>
      <x:c r="W2849" t="n">
        <x:v>0</x:v>
      </x:c>
      <x:c r="X2849" t="str"/>
      <x:c r="Y2849" t="str">
        <x:v>Existing Customer</x:v>
      </x:c>
    </x:row>
    <x:row r="2850">
      <x:c r="A2850" t="str">
        <x:v>O002849</x:v>
      </x:c>
      <x:c r="B2850" s="20" t="n">
        <x:v>45966</x:v>
      </x:c>
      <x:c r="C2850" t="str">
        <x:v>C0066</x:v>
      </x:c>
      <x:c r="D2850" t="str">
        <x:v>Hotel Hotel 66</x:v>
      </x:c>
      <x:c r="E2850" t="str">
        <x:v>Restaurant</x:v>
      </x:c>
      <x:c r="F2850" t="str">
        <x:v>Davanagere</x:v>
      </x:c>
      <x:c r="G2850" t="str">
        <x:v>Megha</x:v>
      </x:c>
      <x:c r="H2850" t="str">
        <x:v>P017</x:v>
      </x:c>
      <x:c r="I2850" t="str">
        <x:v>Butter 500g</x:v>
      </x:c>
      <x:c r="J2850" t="str">
        <x:v>Dairy</x:v>
      </x:c>
      <x:c r="K2850" t="str">
        <x:v>Amul</x:v>
      </x:c>
      <x:c r="L2850" s="22" t="n">
        <x:v>285</x:v>
      </x:c>
      <x:c r="M2850" t="n">
        <x:v>34</x:v>
      </x:c>
      <x:c r="N2850" s="24" t="n">
        <x:v>0.02</x:v>
      </x:c>
      <x:c r="O2850" s="22" t="n">
        <x:f>L2850*M2850</x:f>
        <x:v>9690</x:v>
      </x:c>
      <x:c r="P2850" s="22" t="n">
        <x:f>O2850*(1-N2850)</x:f>
        <x:v>9496.2</x:v>
      </x:c>
      <x:c r="Q2850" s="22" t="n">
        <x:v>258</x:v>
      </x:c>
      <x:c r="R2850" s="22" t="n">
        <x:f>Q2850*M2850</x:f>
        <x:v>8772</x:v>
      </x:c>
      <x:c r="S2850" s="22" t="n">
        <x:f>P2850-R2850</x:f>
        <x:v>724.2000000000007</x:v>
      </x:c>
      <x:c r="T2850" t="str">
        <x:v>Bank Transfer</x:v>
      </x:c>
      <x:c r="U2850" t="str">
        <x:v>Pending</x:v>
      </x:c>
      <x:c r="V2850" t="str">
        <x:v>Cancelled</x:v>
      </x:c>
      <x:c r="W2850" t="n">
        <x:v>34</x:v>
      </x:c>
      <x:c r="X2850" t="str">
        <x:v>Cancelled Order</x:v>
      </x:c>
      <x:c r="Y2850" t="str">
        <x:v>WhatsApp</x:v>
      </x:c>
    </x:row>
    <x:row r="2851">
      <x:c r="A2851" t="str">
        <x:v>O002850</x:v>
      </x:c>
      <x:c r="B2851" s="20" t="n">
        <x:v>46103</x:v>
      </x:c>
      <x:c r="C2851" t="str">
        <x:v>C0187</x:v>
      </x:c>
      <x:c r="D2851" t="str">
        <x:v>City Cafe 187</x:v>
      </x:c>
      <x:c r="E2851" t="str">
        <x:v>Hotel</x:v>
      </x:c>
      <x:c r="F2851" t="str">
        <x:v>Mysuru</x:v>
      </x:c>
      <x:c r="G2851" t="str">
        <x:v>Priya</x:v>
      </x:c>
      <x:c r="H2851" t="str">
        <x:v>P035</x:v>
      </x:c>
      <x:c r="I2851" t="str">
        <x:v>Coriander Powder 1kg</x:v>
      </x:c>
      <x:c r="J2851" t="str">
        <x:v>Spices</x:v>
      </x:c>
      <x:c r="K2851" t="str">
        <x:v>Everest</x:v>
      </x:c>
      <x:c r="L2851" s="22" t="n">
        <x:v>280</x:v>
      </x:c>
      <x:c r="M2851" t="n">
        <x:v>33</x:v>
      </x:c>
      <x:c r="N2851" s="24" t="n">
        <x:v>0</x:v>
      </x:c>
      <x:c r="O2851" s="22" t="n">
        <x:f>L2851*M2851</x:f>
        <x:v>9240</x:v>
      </x:c>
      <x:c r="P2851" s="22" t="n">
        <x:f>O2851*(1-N2851)</x:f>
        <x:v>9240</x:v>
      </x:c>
      <x:c r="Q2851" s="22" t="n">
        <x:v>245</x:v>
      </x:c>
      <x:c r="R2851" s="22" t="n">
        <x:f>Q2851*M2851</x:f>
        <x:v>8085</x:v>
      </x:c>
      <x:c r="S2851" s="22" t="n">
        <x:f>P2851-R2851</x:f>
        <x:v>1155</x:v>
      </x:c>
      <x:c r="T2851" t="str">
        <x:v>UPI</x:v>
      </x:c>
      <x:c r="U2851" t="str">
        <x:v>Paid</x:v>
      </x:c>
      <x:c r="V2851" t="str">
        <x:v>Delivered</x:v>
      </x:c>
      <x:c r="W2851" t="n">
        <x:v>0</x:v>
      </x:c>
      <x:c r="X2851" t="str"/>
      <x:c r="Y2851" t="str">
        <x:v>WhatsApp</x:v>
      </x:c>
    </x:row>
    <x:row r="2852">
      <x:c r="A2852" t="str">
        <x:v>O002851</x:v>
      </x:c>
      <x:c r="B2852" s="20" t="n">
        <x:v>46190</x:v>
      </x:c>
      <x:c r="C2852" t="str">
        <x:v>C0155</x:v>
      </x:c>
      <x:c r="D2852" t="str">
        <x:v>New Mart 155</x:v>
      </x:c>
      <x:c r="E2852" t="str">
        <x:v>Hotel</x:v>
      </x:c>
      <x:c r="F2852" t="str">
        <x:v>Mysuru</x:v>
      </x:c>
      <x:c r="G2852" t="str">
        <x:v>Sneha</x:v>
      </x:c>
      <x:c r="H2852" t="str">
        <x:v>P046</x:v>
      </x:c>
      <x:c r="I2852" t="str">
        <x:v>Potato 25kg</x:v>
      </x:c>
      <x:c r="J2852" t="str">
        <x:v>Fresh Produce</x:v>
      </x:c>
      <x:c r="K2852" t="str">
        <x:v>Local Market</x:v>
      </x:c>
      <x:c r="L2852" s="22" t="n">
        <x:v>700</x:v>
      </x:c>
      <x:c r="M2852" t="n">
        <x:v>2</x:v>
      </x:c>
      <x:c r="N2852" s="24" t="n">
        <x:v>0.02</x:v>
      </x:c>
      <x:c r="O2852" s="22" t="n">
        <x:f>L2852*M2852</x:f>
        <x:v>1400</x:v>
      </x:c>
      <x:c r="P2852" s="22" t="n">
        <x:f>O2852*(1-N2852)</x:f>
        <x:v>1372</x:v>
      </x:c>
      <x:c r="Q2852" s="22" t="n">
        <x:v>610</x:v>
      </x:c>
      <x:c r="R2852" s="22" t="n">
        <x:f>Q2852*M2852</x:f>
        <x:v>1220</x:v>
      </x:c>
      <x:c r="S2852" s="22" t="n">
        <x:f>P2852-R2852</x:f>
        <x:v>152</x:v>
      </x:c>
      <x:c r="T2852" t="str">
        <x:v>Credit</x:v>
      </x:c>
      <x:c r="U2852" t="str">
        <x:v>Paid</x:v>
      </x:c>
      <x:c r="V2852" t="str">
        <x:v>Delivered</x:v>
      </x:c>
      <x:c r="W2852" t="n">
        <x:v>0</x:v>
      </x:c>
      <x:c r="X2852" t="str"/>
      <x:c r="Y2852" t="str">
        <x:v>Field Visit</x:v>
      </x:c>
    </x:row>
    <x:row r="2853">
      <x:c r="A2853" t="str">
        <x:v>O002852</x:v>
      </x:c>
      <x:c r="B2853" s="20" t="n">
        <x:v>45715</x:v>
      </x:c>
      <x:c r="C2853" t="str">
        <x:v>C0169</x:v>
      </x:c>
      <x:c r="D2853" t="str">
        <x:v>Grand Mart 169</x:v>
      </x:c>
      <x:c r="E2853" t="str">
        <x:v>Canteen</x:v>
      </x:c>
      <x:c r="F2853" t="str">
        <x:v>Mangaluru</x:v>
      </x:c>
      <x:c r="G2853" t="str">
        <x:v>Vikram</x:v>
      </x:c>
      <x:c r="H2853" t="str">
        <x:v>P045</x:v>
      </x:c>
      <x:c r="I2853" t="str">
        <x:v>Onion 25kg</x:v>
      </x:c>
      <x:c r="J2853" t="str">
        <x:v>Fresh Produce</x:v>
      </x:c>
      <x:c r="K2853" t="str">
        <x:v>Local Market</x:v>
      </x:c>
      <x:c r="L2853" s="22" t="n">
        <x:v>875</x:v>
      </x:c>
      <x:c r="M2853" t="n">
        <x:v>25</x:v>
      </x:c>
      <x:c r="N2853" s="24" t="n">
        <x:v>0.05</x:v>
      </x:c>
      <x:c r="O2853" s="22" t="n">
        <x:f>L2853*M2853</x:f>
        <x:v>21875</x:v>
      </x:c>
      <x:c r="P2853" s="22" t="n">
        <x:f>O2853*(1-N2853)</x:f>
        <x:v>20781.25</x:v>
      </x:c>
      <x:c r="Q2853" s="22" t="n">
        <x:v>760</x:v>
      </x:c>
      <x:c r="R2853" s="22" t="n">
        <x:f>Q2853*M2853</x:f>
        <x:v>19000</x:v>
      </x:c>
      <x:c r="S2853" s="22" t="n">
        <x:f>P2853-R2853</x:f>
        <x:v>1781.25</x:v>
      </x:c>
      <x:c r="T2853" t="str">
        <x:v>Bank Transfer</x:v>
      </x:c>
      <x:c r="U2853" t="str">
        <x:v>Pending</x:v>
      </x:c>
      <x:c r="V2853" t="str">
        <x:v>Delayed</x:v>
      </x:c>
      <x:c r="W2853" t="n">
        <x:v>0</x:v>
      </x:c>
      <x:c r="X2853" t="str"/>
      <x:c r="Y2853" t="str">
        <x:v>WhatsApp</x:v>
      </x:c>
    </x:row>
    <x:row r="2854">
      <x:c r="A2854" t="str">
        <x:v>O002853</x:v>
      </x:c>
      <x:c r="B2854" s="20" t="n">
        <x:v>46022</x:v>
      </x:c>
      <x:c r="C2854" t="str">
        <x:v>C0014</x:v>
      </x:c>
      <x:c r="D2854" t="str">
        <x:v>Annapurna Canteen 14</x:v>
      </x:c>
      <x:c r="E2854" t="str">
        <x:v>Kirana</x:v>
      </x:c>
      <x:c r="F2854" t="str">
        <x:v>Davanagere</x:v>
      </x:c>
      <x:c r="G2854" t="str">
        <x:v>Sneha</x:v>
      </x:c>
      <x:c r="H2854" t="str">
        <x:v>P011</x:v>
      </x:c>
      <x:c r="I2854" t="str">
        <x:v>Salt 1kg</x:v>
      </x:c>
      <x:c r="J2854" t="str">
        <x:v>Staples</x:v>
      </x:c>
      <x:c r="K2854" t="str">
        <x:v>Tata</x:v>
      </x:c>
      <x:c r="L2854" s="22" t="n">
        <x:v>28</x:v>
      </x:c>
      <x:c r="M2854" t="n">
        <x:v>37</x:v>
      </x:c>
      <x:c r="N2854" s="24" t="n">
        <x:v>0</x:v>
      </x:c>
      <x:c r="O2854" s="22" t="n">
        <x:f>L2854*M2854</x:f>
        <x:v>1036</x:v>
      </x:c>
      <x:c r="P2854" s="22" t="n">
        <x:f>O2854*(1-N2854)</x:f>
        <x:v>1036</x:v>
      </x:c>
      <x:c r="Q2854" s="22" t="n">
        <x:v>23</x:v>
      </x:c>
      <x:c r="R2854" s="22" t="n">
        <x:f>Q2854*M2854</x:f>
        <x:v>851</x:v>
      </x:c>
      <x:c r="S2854" s="22" t="n">
        <x:f>P2854-R2854</x:f>
        <x:v>185</x:v>
      </x:c>
      <x:c r="T2854" t="str">
        <x:v>Bank Transfer</x:v>
      </x:c>
      <x:c r="U2854" t="str">
        <x:v>Paid</x:v>
      </x:c>
      <x:c r="V2854" t="str">
        <x:v>Cancelled</x:v>
      </x:c>
      <x:c r="W2854" t="n">
        <x:v>37</x:v>
      </x:c>
      <x:c r="X2854" t="str">
        <x:v>Cancelled Order</x:v>
      </x:c>
      <x:c r="Y2854" t="str">
        <x:v>Field Visit</x:v>
      </x:c>
    </x:row>
    <x:row r="2855">
      <x:c r="A2855" t="str">
        <x:v>O002854</x:v>
      </x:c>
      <x:c r="B2855" s="20" t="n">
        <x:v>46137</x:v>
      </x:c>
      <x:c r="C2855" t="str">
        <x:v>C0245</x:v>
      </x:c>
      <x:c r="D2855" t="str">
        <x:v>Udupi Cafe 245</x:v>
      </x:c>
      <x:c r="E2855" t="str">
        <x:v>Canteen</x:v>
      </x:c>
      <x:c r="F2855" t="str">
        <x:v>Bengaluru</x:v>
      </x:c>
      <x:c r="G2855" t="str">
        <x:v>Priya</x:v>
      </x:c>
      <x:c r="H2855" t="str">
        <x:v>P016</x:v>
      </x:c>
      <x:c r="I2855" t="str">
        <x:v>Curd 1kg</x:v>
      </x:c>
      <x:c r="J2855" t="str">
        <x:v>Dairy</x:v>
      </x:c>
      <x:c r="K2855" t="str">
        <x:v>Nandini</x:v>
      </x:c>
      <x:c r="L2855" s="22" t="n">
        <x:v>72</x:v>
      </x:c>
      <x:c r="M2855" t="n">
        <x:v>11</x:v>
      </x:c>
      <x:c r="N2855" s="24" t="n">
        <x:v>0</x:v>
      </x:c>
      <x:c r="O2855" s="22" t="n">
        <x:f>L2855*M2855</x:f>
        <x:v>792</x:v>
      </x:c>
      <x:c r="P2855" s="22" t="n">
        <x:f>O2855*(1-N2855)</x:f>
        <x:v>792</x:v>
      </x:c>
      <x:c r="Q2855" s="22" t="n">
        <x:v>64</x:v>
      </x:c>
      <x:c r="R2855" s="22" t="n">
        <x:f>Q2855*M2855</x:f>
        <x:v>704</x:v>
      </x:c>
      <x:c r="S2855" s="22" t="n">
        <x:f>P2855-R2855</x:f>
        <x:v>88</x:v>
      </x:c>
      <x:c r="T2855" t="str">
        <x:v>Bank Transfer</x:v>
      </x:c>
      <x:c r="U2855" t="str">
        <x:v>Pending</x:v>
      </x:c>
      <x:c r="V2855" t="str">
        <x:v>Delivered</x:v>
      </x:c>
      <x:c r="W2855" t="n">
        <x:v>0</x:v>
      </x:c>
      <x:c r="X2855" t="str"/>
      <x:c r="Y2855" t="str">
        <x:v>Outbound Call</x:v>
      </x:c>
    </x:row>
    <x:row r="2856">
      <x:c r="A2856" t="str">
        <x:v>O002855</x:v>
      </x:c>
      <x:c r="B2856" s="20" t="n">
        <x:v>46178</x:v>
      </x:c>
      <x:c r="C2856" t="str">
        <x:v>C0049</x:v>
      </x:c>
      <x:c r="D2856" t="str">
        <x:v>Namma Stores 49</x:v>
      </x:c>
      <x:c r="E2856" t="str">
        <x:v>Hotel</x:v>
      </x:c>
      <x:c r="F2856" t="str">
        <x:v>Mangaluru</x:v>
      </x:c>
      <x:c r="G2856" t="str">
        <x:v>Sneha</x:v>
      </x:c>
      <x:c r="H2856" t="str">
        <x:v>P021</x:v>
      </x:c>
      <x:c r="I2856" t="str">
        <x:v>Instant Coffee 200g</x:v>
      </x:c>
      <x:c r="J2856" t="str">
        <x:v>Beverage</x:v>
      </x:c>
      <x:c r="K2856" t="str">
        <x:v>Nescafe</x:v>
      </x:c>
      <x:c r="L2856" s="22" t="n">
        <x:v>460</x:v>
      </x:c>
      <x:c r="M2856" t="n">
        <x:v>20</x:v>
      </x:c>
      <x:c r="N2856" s="24" t="n">
        <x:v>0</x:v>
      </x:c>
      <x:c r="O2856" s="22" t="n">
        <x:f>L2856*M2856</x:f>
        <x:v>9200</x:v>
      </x:c>
      <x:c r="P2856" s="22" t="n">
        <x:f>O2856*(1-N2856)</x:f>
        <x:v>9200</x:v>
      </x:c>
      <x:c r="Q2856" s="22" t="n">
        <x:v>410</x:v>
      </x:c>
      <x:c r="R2856" s="22" t="n">
        <x:f>Q2856*M2856</x:f>
        <x:v>8200</x:v>
      </x:c>
      <x:c r="S2856" s="22" t="n">
        <x:f>P2856-R2856</x:f>
        <x:v>1000</x:v>
      </x:c>
      <x:c r="T2856" t="str">
        <x:v>UPI</x:v>
      </x:c>
      <x:c r="U2856" t="str">
        <x:v>Paid</x:v>
      </x:c>
      <x:c r="V2856" t="str">
        <x:v>Delivered</x:v>
      </x:c>
      <x:c r="W2856" t="n">
        <x:v>0</x:v>
      </x:c>
      <x:c r="X2856" t="str"/>
      <x:c r="Y2856" t="str">
        <x:v>Existing Customer</x:v>
      </x:c>
    </x:row>
    <x:row r="2857">
      <x:c r="A2857" t="str">
        <x:v>O002856</x:v>
      </x:c>
      <x:c r="B2857" s="20" t="n">
        <x:v>46137</x:v>
      </x:c>
      <x:c r="C2857" t="str">
        <x:v>C0244</x:v>
      </x:c>
      <x:c r="D2857" t="str">
        <x:v>Namma Hotel 244</x:v>
      </x:c>
      <x:c r="E2857" t="str">
        <x:v>Kirana</x:v>
      </x:c>
      <x:c r="F2857" t="str">
        <x:v>Tumakuru</x:v>
      </x:c>
      <x:c r="G2857" t="str">
        <x:v>Sneha</x:v>
      </x:c>
      <x:c r="H2857" t="str">
        <x:v>P032</x:v>
      </x:c>
      <x:c r="I2857" t="str">
        <x:v>Soy Sauce 700g</x:v>
      </x:c>
      <x:c r="J2857" t="str">
        <x:v>Condiments</x:v>
      </x:c>
      <x:c r="K2857" t="str">
        <x:v>Ching's</x:v>
      </x:c>
      <x:c r="L2857" s="22" t="n">
        <x:v>118</x:v>
      </x:c>
      <x:c r="M2857" t="n">
        <x:v>15</x:v>
      </x:c>
      <x:c r="N2857" s="24" t="n">
        <x:v>0.05</x:v>
      </x:c>
      <x:c r="O2857" s="22" t="n">
        <x:f>L2857*M2857</x:f>
        <x:v>1770</x:v>
      </x:c>
      <x:c r="P2857" s="22" t="n">
        <x:f>O2857*(1-N2857)</x:f>
        <x:v>1681.5</x:v>
      </x:c>
      <x:c r="Q2857" s="22" t="n">
        <x:v>101</x:v>
      </x:c>
      <x:c r="R2857" s="22" t="n">
        <x:f>Q2857*M2857</x:f>
        <x:v>1515</x:v>
      </x:c>
      <x:c r="S2857" s="22" t="n">
        <x:f>P2857-R2857</x:f>
        <x:v>166.5</x:v>
      </x:c>
      <x:c r="T2857" t="str">
        <x:v>Bank Transfer</x:v>
      </x:c>
      <x:c r="U2857" t="str">
        <x:v>Paid</x:v>
      </x:c>
      <x:c r="V2857" t="str">
        <x:v>Delivered</x:v>
      </x:c>
      <x:c r="W2857" t="n">
        <x:v>0</x:v>
      </x:c>
      <x:c r="X2857" t="str"/>
      <x:c r="Y2857" t="str">
        <x:v>Existing Customer</x:v>
      </x:c>
    </x:row>
    <x:row r="2858">
      <x:c r="A2858" t="str">
        <x:v>O002857</x:v>
      </x:c>
      <x:c r="B2858" s="20" t="n">
        <x:v>46235</x:v>
      </x:c>
      <x:c r="C2858" t="str">
        <x:v>C0089</x:v>
      </x:c>
      <x:c r="D2858" t="str">
        <x:v>Green Canteen 89</x:v>
      </x:c>
      <x:c r="E2858" t="str">
        <x:v>Supermarket</x:v>
      </x:c>
      <x:c r="F2858" t="str">
        <x:v>Mangaluru</x:v>
      </x:c>
      <x:c r="G2858" t="str">
        <x:v>Megha</x:v>
      </x:c>
      <x:c r="H2858" t="str">
        <x:v>P005</x:v>
      </x:c>
      <x:c r="I2858" t="str">
        <x:v>Chana Dal 5kg</x:v>
      </x:c>
      <x:c r="J2858" t="str">
        <x:v>Pulses</x:v>
      </x:c>
      <x:c r="K2858" t="str">
        <x:v>Local Select</x:v>
      </x:c>
      <x:c r="L2858" s="22" t="n">
        <x:v>520</x:v>
      </x:c>
      <x:c r="M2858" t="n">
        <x:v>10</x:v>
      </x:c>
      <x:c r="N2858" s="24" t="n">
        <x:v>0.02</x:v>
      </x:c>
      <x:c r="O2858" s="22" t="n">
        <x:f>L2858*M2858</x:f>
        <x:v>5200</x:v>
      </x:c>
      <x:c r="P2858" s="22" t="n">
        <x:f>O2858*(1-N2858)</x:f>
        <x:v>5096</x:v>
      </x:c>
      <x:c r="Q2858" s="22" t="n">
        <x:v>455</x:v>
      </x:c>
      <x:c r="R2858" s="22" t="n">
        <x:f>Q2858*M2858</x:f>
        <x:v>4550</x:v>
      </x:c>
      <x:c r="S2858" s="22" t="n">
        <x:f>P2858-R2858</x:f>
        <x:v>546</x:v>
      </x:c>
      <x:c r="T2858" t="str">
        <x:v>Credit</x:v>
      </x:c>
      <x:c r="U2858" t="str">
        <x:v>Paid</x:v>
      </x:c>
      <x:c r="V2858" t="str">
        <x:v>Delivered</x:v>
      </x:c>
      <x:c r="W2858" t="n">
        <x:v>0</x:v>
      </x:c>
      <x:c r="X2858" t="str"/>
      <x:c r="Y2858" t="str">
        <x:v>WhatsApp</x:v>
      </x:c>
    </x:row>
    <x:row r="2859">
      <x:c r="A2859" t="str">
        <x:v>O002858</x:v>
      </x:c>
      <x:c r="B2859" s="20" t="n">
        <x:v>45670</x:v>
      </x:c>
      <x:c r="C2859" t="str">
        <x:v>C0101</x:v>
      </x:c>
      <x:c r="D2859" t="str">
        <x:v>Namma Cafe 101</x:v>
      </x:c>
      <x:c r="E2859" t="str">
        <x:v>Supermarket</x:v>
      </x:c>
      <x:c r="F2859" t="str">
        <x:v>Bengaluru</x:v>
      </x:c>
      <x:c r="G2859" t="str">
        <x:v>Arjun</x:v>
      </x:c>
      <x:c r="H2859" t="str">
        <x:v>P030</x:v>
      </x:c>
      <x:c r="I2859" t="str">
        <x:v>Mayonnaise 1kg</x:v>
      </x:c>
      <x:c r="J2859" t="str">
        <x:v>Condiments</x:v>
      </x:c>
      <x:c r="K2859" t="str">
        <x:v>Veeba</x:v>
      </x:c>
      <x:c r="L2859" s="22" t="n">
        <x:v>210</x:v>
      </x:c>
      <x:c r="M2859" t="n">
        <x:v>14</x:v>
      </x:c>
      <x:c r="N2859" s="24" t="n">
        <x:v>0.05</x:v>
      </x:c>
      <x:c r="O2859" s="22" t="n">
        <x:f>L2859*M2859</x:f>
        <x:v>2940</x:v>
      </x:c>
      <x:c r="P2859" s="22" t="n">
        <x:f>O2859*(1-N2859)</x:f>
        <x:v>2793</x:v>
      </x:c>
      <x:c r="Q2859" s="22" t="n">
        <x:v>185</x:v>
      </x:c>
      <x:c r="R2859" s="22" t="n">
        <x:f>Q2859*M2859</x:f>
        <x:v>2590</x:v>
      </x:c>
      <x:c r="S2859" s="22" t="n">
        <x:f>P2859-R2859</x:f>
        <x:v>203</x:v>
      </x:c>
      <x:c r="T2859" t="str">
        <x:v>Credit</x:v>
      </x:c>
      <x:c r="U2859" t="str">
        <x:v>Paid</x:v>
      </x:c>
      <x:c r="V2859" t="str">
        <x:v>Delivered</x:v>
      </x:c>
      <x:c r="W2859" t="n">
        <x:v>0</x:v>
      </x:c>
      <x:c r="X2859" t="str"/>
      <x:c r="Y2859" t="str">
        <x:v>WhatsApp</x:v>
      </x:c>
    </x:row>
    <x:row r="2860">
      <x:c r="A2860" t="str">
        <x:v>O002859</x:v>
      </x:c>
      <x:c r="B2860" s="20" t="n">
        <x:v>45822</x:v>
      </x:c>
      <x:c r="C2860" t="str">
        <x:v>C0027</x:v>
      </x:c>
      <x:c r="D2860" t="str">
        <x:v>Fresh Cafe 27</x:v>
      </x:c>
      <x:c r="E2860" t="str">
        <x:v>Restaurant</x:v>
      </x:c>
      <x:c r="F2860" t="str">
        <x:v>Tumakuru</x:v>
      </x:c>
      <x:c r="G2860" t="str">
        <x:v>Megha</x:v>
      </x:c>
      <x:c r="H2860" t="str">
        <x:v>P007</x:v>
      </x:c>
      <x:c r="I2860" t="str">
        <x:v>Sunflower Oil 15L</x:v>
      </x:c>
      <x:c r="J2860" t="str">
        <x:v>Edible Oil</x:v>
      </x:c>
      <x:c r="K2860" t="str">
        <x:v>Fortune</x:v>
      </x:c>
      <x:c r="L2860" s="22" t="n">
        <x:v>1980</x:v>
      </x:c>
      <x:c r="M2860" t="n">
        <x:v>9</x:v>
      </x:c>
      <x:c r="N2860" s="24" t="n">
        <x:v>0.02</x:v>
      </x:c>
      <x:c r="O2860" s="22" t="n">
        <x:f>L2860*M2860</x:f>
        <x:v>17820</x:v>
      </x:c>
      <x:c r="P2860" s="22" t="n">
        <x:f>O2860*(1-N2860)</x:f>
        <x:v>17463.6</x:v>
      </x:c>
      <x:c r="Q2860" s="22" t="n">
        <x:v>1810</x:v>
      </x:c>
      <x:c r="R2860" s="22" t="n">
        <x:f>Q2860*M2860</x:f>
        <x:v>16290</x:v>
      </x:c>
      <x:c r="S2860" s="22" t="n">
        <x:f>P2860-R2860</x:f>
        <x:v>1173.5999999999985</x:v>
      </x:c>
      <x:c r="T2860" t="str">
        <x:v>Bank Transfer</x:v>
      </x:c>
      <x:c r="U2860" t="str">
        <x:v>Paid</x:v>
      </x:c>
      <x:c r="V2860" t="str">
        <x:v>Delivered</x:v>
      </x:c>
      <x:c r="W2860" t="n">
        <x:v>0</x:v>
      </x:c>
      <x:c r="X2860" t="str"/>
      <x:c r="Y2860" t="str">
        <x:v>Existing Customer</x:v>
      </x:c>
    </x:row>
    <x:row r="2861">
      <x:c r="A2861" t="str">
        <x:v>O002860</x:v>
      </x:c>
      <x:c r="B2861" s="20" t="n">
        <x:v>45690</x:v>
      </x:c>
      <x:c r="C2861" t="str">
        <x:v>C0102</x:v>
      </x:c>
      <x:c r="D2861" t="str">
        <x:v>Annapurna Foods 102</x:v>
      </x:c>
      <x:c r="E2861" t="str">
        <x:v>Cafe</x:v>
      </x:c>
      <x:c r="F2861" t="str">
        <x:v>Davanagere</x:v>
      </x:c>
      <x:c r="G2861" t="str">
        <x:v>Ramesh</x:v>
      </x:c>
      <x:c r="H2861" t="str">
        <x:v>P016</x:v>
      </x:c>
      <x:c r="I2861" t="str">
        <x:v>Curd 1kg</x:v>
      </x:c>
      <x:c r="J2861" t="str">
        <x:v>Dairy</x:v>
      </x:c>
      <x:c r="K2861" t="str">
        <x:v>Nandini</x:v>
      </x:c>
      <x:c r="L2861" s="22" t="n">
        <x:v>72</x:v>
      </x:c>
      <x:c r="M2861" t="n">
        <x:v>33</x:v>
      </x:c>
      <x:c r="N2861" s="24" t="n">
        <x:v>0.05</x:v>
      </x:c>
      <x:c r="O2861" s="22" t="n">
        <x:f>L2861*M2861</x:f>
        <x:v>2376</x:v>
      </x:c>
      <x:c r="P2861" s="22" t="n">
        <x:f>O2861*(1-N2861)</x:f>
        <x:v>2257.2</x:v>
      </x:c>
      <x:c r="Q2861" s="22" t="n">
        <x:v>64</x:v>
      </x:c>
      <x:c r="R2861" s="22" t="n">
        <x:f>Q2861*M2861</x:f>
        <x:v>2112</x:v>
      </x:c>
      <x:c r="S2861" s="22" t="n">
        <x:f>P2861-R2861</x:f>
        <x:v>145.19999999999982</x:v>
      </x:c>
      <x:c r="T2861" t="str">
        <x:v>Bank Transfer</x:v>
      </x:c>
      <x:c r="U2861" t="str">
        <x:v>Paid</x:v>
      </x:c>
      <x:c r="V2861" t="str">
        <x:v>Cancelled</x:v>
      </x:c>
      <x:c r="W2861" t="n">
        <x:v>33</x:v>
      </x:c>
      <x:c r="X2861" t="str">
        <x:v>Cancelled Order</x:v>
      </x:c>
      <x:c r="Y2861" t="str">
        <x:v>Existing Customer</x:v>
      </x:c>
    </x:row>
    <x:row r="2862">
      <x:c r="A2862" t="str">
        <x:v>O002861</x:v>
      </x:c>
      <x:c r="B2862" s="20" t="n">
        <x:v>45833</x:v>
      </x:c>
      <x:c r="C2862" t="str">
        <x:v>C0120</x:v>
      </x:c>
      <x:c r="D2862" t="str">
        <x:v>Foodie Foods 120</x:v>
      </x:c>
      <x:c r="E2862" t="str">
        <x:v>Hotel</x:v>
      </x:c>
      <x:c r="F2862" t="str">
        <x:v>Hubballi</x:v>
      </x:c>
      <x:c r="G2862" t="str">
        <x:v>Arjun</x:v>
      </x:c>
      <x:c r="H2862" t="str">
        <x:v>P015</x:v>
      </x:c>
      <x:c r="I2862" t="str">
        <x:v>Milk 1L</x:v>
      </x:c>
      <x:c r="J2862" t="str">
        <x:v>Dairy</x:v>
      </x:c>
      <x:c r="K2862" t="str">
        <x:v>Nandini</x:v>
      </x:c>
      <x:c r="L2862" s="22" t="n">
        <x:v>48</x:v>
      </x:c>
      <x:c r="M2862" t="n">
        <x:v>8</x:v>
      </x:c>
      <x:c r="N2862" s="24" t="n">
        <x:v>0</x:v>
      </x:c>
      <x:c r="O2862" s="22" t="n">
        <x:f>L2862*M2862</x:f>
        <x:v>384</x:v>
      </x:c>
      <x:c r="P2862" s="22" t="n">
        <x:f>O2862*(1-N2862)</x:f>
        <x:v>384</x:v>
      </x:c>
      <x:c r="Q2862" s="22" t="n">
        <x:v>43</x:v>
      </x:c>
      <x:c r="R2862" s="22" t="n">
        <x:f>Q2862*M2862</x:f>
        <x:v>344</x:v>
      </x:c>
      <x:c r="S2862" s="22" t="n">
        <x:f>P2862-R2862</x:f>
        <x:v>40</x:v>
      </x:c>
      <x:c r="T2862" t="str">
        <x:v>Credit</x:v>
      </x:c>
      <x:c r="U2862" t="str">
        <x:v>Paid</x:v>
      </x:c>
      <x:c r="V2862" t="str">
        <x:v>Delayed</x:v>
      </x:c>
      <x:c r="W2862" t="n">
        <x:v>0</x:v>
      </x:c>
      <x:c r="X2862" t="str"/>
      <x:c r="Y2862" t="str">
        <x:v>Existing Customer</x:v>
      </x:c>
    </x:row>
    <x:row r="2863">
      <x:c r="A2863" t="str">
        <x:v>O002862</x:v>
      </x:c>
      <x:c r="B2863" s="20" t="n">
        <x:v>46109</x:v>
      </x:c>
      <x:c r="C2863" t="str">
        <x:v>C0044</x:v>
      </x:c>
      <x:c r="D2863" t="str">
        <x:v>Annapurna Mart 44</x:v>
      </x:c>
      <x:c r="E2863" t="str">
        <x:v>Kirana</x:v>
      </x:c>
      <x:c r="F2863" t="str">
        <x:v>Davanagere</x:v>
      </x:c>
      <x:c r="G2863" t="str">
        <x:v>Priya</x:v>
      </x:c>
      <x:c r="H2863" t="str">
        <x:v>P041</x:v>
      </x:c>
      <x:c r="I2863" t="str">
        <x:v>Burger Bun 6pc</x:v>
      </x:c>
      <x:c r="J2863" t="str">
        <x:v>Bakery</x:v>
      </x:c>
      <x:c r="K2863" t="str">
        <x:v>Modern</x:v>
      </x:c>
      <x:c r="L2863" s="22" t="n">
        <x:v>42</x:v>
      </x:c>
      <x:c r="M2863" t="n">
        <x:v>15</x:v>
      </x:c>
      <x:c r="N2863" s="24" t="n">
        <x:v>0.05</x:v>
      </x:c>
      <x:c r="O2863" s="22" t="n">
        <x:f>L2863*M2863</x:f>
        <x:v>630</x:v>
      </x:c>
      <x:c r="P2863" s="22" t="n">
        <x:f>O2863*(1-N2863)</x:f>
        <x:v>598.5</x:v>
      </x:c>
      <x:c r="Q2863" s="22" t="n">
        <x:v>32</x:v>
      </x:c>
      <x:c r="R2863" s="22" t="n">
        <x:f>Q2863*M2863</x:f>
        <x:v>480</x:v>
      </x:c>
      <x:c r="S2863" s="22" t="n">
        <x:f>P2863-R2863</x:f>
        <x:v>118.5</x:v>
      </x:c>
      <x:c r="T2863" t="str">
        <x:v>Cash</x:v>
      </x:c>
      <x:c r="U2863" t="str">
        <x:v>Pending</x:v>
      </x:c>
      <x:c r="V2863" t="str">
        <x:v>Delivered</x:v>
      </x:c>
      <x:c r="W2863" t="n">
        <x:v>0</x:v>
      </x:c>
      <x:c r="X2863" t="str"/>
      <x:c r="Y2863" t="str">
        <x:v>Referral</x:v>
      </x:c>
    </x:row>
    <x:row r="2864">
      <x:c r="A2864" t="str">
        <x:v>O002863</x:v>
      </x:c>
      <x:c r="B2864" s="20" t="n">
        <x:v>45664</x:v>
      </x:c>
      <x:c r="C2864" t="str">
        <x:v>C0121</x:v>
      </x:c>
      <x:c r="D2864" t="str">
        <x:v>Mysore Restaurant 121</x:v>
      </x:c>
      <x:c r="E2864" t="str">
        <x:v>Cafe</x:v>
      </x:c>
      <x:c r="F2864" t="str">
        <x:v>Mysuru</x:v>
      </x:c>
      <x:c r="G2864" t="str">
        <x:v>Sneha</x:v>
      </x:c>
      <x:c r="H2864" t="str">
        <x:v>P009</x:v>
      </x:c>
      <x:c r="I2864" t="str">
        <x:v>Groundnut Oil 5L</x:v>
      </x:c>
      <x:c r="J2864" t="str">
        <x:v>Edible Oil</x:v>
      </x:c>
      <x:c r="K2864" t="str">
        <x:v>Dhara</x:v>
      </x:c>
      <x:c r="L2864" s="22" t="n">
        <x:v>890</x:v>
      </x:c>
      <x:c r="M2864" t="n">
        <x:v>5</x:v>
      </x:c>
      <x:c r="N2864" s="24" t="n">
        <x:v>0.05</x:v>
      </x:c>
      <x:c r="O2864" s="22" t="n">
        <x:f>L2864*M2864</x:f>
        <x:v>4450</x:v>
      </x:c>
      <x:c r="P2864" s="22" t="n">
        <x:f>O2864*(1-N2864)</x:f>
        <x:v>4227.5</x:v>
      </x:c>
      <x:c r="Q2864" s="22" t="n">
        <x:v>810</x:v>
      </x:c>
      <x:c r="R2864" s="22" t="n">
        <x:f>Q2864*M2864</x:f>
        <x:v>4050</x:v>
      </x:c>
      <x:c r="S2864" s="22" t="n">
        <x:f>P2864-R2864</x:f>
        <x:v>177.5</x:v>
      </x:c>
      <x:c r="T2864" t="str">
        <x:v>UPI</x:v>
      </x:c>
      <x:c r="U2864" t="str">
        <x:v>Paid</x:v>
      </x:c>
      <x:c r="V2864" t="str">
        <x:v>Delivered</x:v>
      </x:c>
      <x:c r="W2864" t="n">
        <x:v>0</x:v>
      </x:c>
      <x:c r="X2864" t="str"/>
      <x:c r="Y2864" t="str">
        <x:v>Field Visit</x:v>
      </x:c>
    </x:row>
    <x:row r="2865">
      <x:c r="A2865" t="str">
        <x:v>O002864</x:v>
      </x:c>
      <x:c r="B2865" s="20" t="n">
        <x:v>45822</x:v>
      </x:c>
      <x:c r="C2865" t="str">
        <x:v>C0018</x:v>
      </x:c>
      <x:c r="D2865" t="str">
        <x:v>Namma Canteen 18</x:v>
      </x:c>
      <x:c r="E2865" t="str">
        <x:v>Restaurant</x:v>
      </x:c>
      <x:c r="F2865" t="str">
        <x:v>Davanagere</x:v>
      </x:c>
      <x:c r="G2865" t="str">
        <x:v>Imran</x:v>
      </x:c>
      <x:c r="H2865" t="str">
        <x:v>P028</x:v>
      </x:c>
      <x:c r="I2865" t="str">
        <x:v>Cookies 200g</x:v>
      </x:c>
      <x:c r="J2865" t="str">
        <x:v>Snacks</x:v>
      </x:c>
      <x:c r="K2865" t="str">
        <x:v>Britannia</x:v>
      </x:c>
      <x:c r="L2865" s="22" t="n">
        <x:v>55</x:v>
      </x:c>
      <x:c r="M2865" t="n">
        <x:v>32</x:v>
      </x:c>
      <x:c r="N2865" s="24" t="n">
        <x:v>0.05</x:v>
      </x:c>
      <x:c r="O2865" s="22" t="n">
        <x:f>L2865*M2865</x:f>
        <x:v>1760</x:v>
      </x:c>
      <x:c r="P2865" s="22" t="n">
        <x:f>O2865*(1-N2865)</x:f>
        <x:v>1672</x:v>
      </x:c>
      <x:c r="Q2865" s="22" t="n">
        <x:v>42</x:v>
      </x:c>
      <x:c r="R2865" s="22" t="n">
        <x:f>Q2865*M2865</x:f>
        <x:v>1344</x:v>
      </x:c>
      <x:c r="S2865" s="22" t="n">
        <x:f>P2865-R2865</x:f>
        <x:v>328</x:v>
      </x:c>
      <x:c r="T2865" t="str">
        <x:v>Credit</x:v>
      </x:c>
      <x:c r="U2865" t="str">
        <x:v>Pending</x:v>
      </x:c>
      <x:c r="V2865" t="str">
        <x:v>Delivered</x:v>
      </x:c>
      <x:c r="W2865" t="n">
        <x:v>0</x:v>
      </x:c>
      <x:c r="X2865" t="str"/>
      <x:c r="Y2865" t="str">
        <x:v>Field Visit</x:v>
      </x:c>
    </x:row>
    <x:row r="2866">
      <x:c r="A2866" t="str">
        <x:v>O002865</x:v>
      </x:c>
      <x:c r="B2866" s="20" t="n">
        <x:v>45993</x:v>
      </x:c>
      <x:c r="C2866" t="str">
        <x:v>C0160</x:v>
      </x:c>
      <x:c r="D2866" t="str">
        <x:v>Hotel Foods 160</x:v>
      </x:c>
      <x:c r="E2866" t="str">
        <x:v>Hotel</x:v>
      </x:c>
      <x:c r="F2866" t="str">
        <x:v>Mangaluru</x:v>
      </x:c>
      <x:c r="G2866" t="str">
        <x:v>Sneha</x:v>
      </x:c>
      <x:c r="H2866" t="str">
        <x:v>P047</x:v>
      </x:c>
      <x:c r="I2866" t="str">
        <x:v>Tomato 25kg</x:v>
      </x:c>
      <x:c r="J2866" t="str">
        <x:v>Fresh Produce</x:v>
      </x:c>
      <x:c r="K2866" t="str">
        <x:v>Local Market</x:v>
      </x:c>
      <x:c r="L2866" s="22" t="n">
        <x:v>950</x:v>
      </x:c>
      <x:c r="M2866" t="n">
        <x:v>23</x:v>
      </x:c>
      <x:c r="N2866" s="24" t="n">
        <x:v>0.02</x:v>
      </x:c>
      <x:c r="O2866" s="22" t="n">
        <x:f>L2866*M2866</x:f>
        <x:v>21850</x:v>
      </x:c>
      <x:c r="P2866" s="22" t="n">
        <x:f>O2866*(1-N2866)</x:f>
        <x:v>21413</x:v>
      </x:c>
      <x:c r="Q2866" s="22" t="n">
        <x:v>810</x:v>
      </x:c>
      <x:c r="R2866" s="22" t="n">
        <x:f>Q2866*M2866</x:f>
        <x:v>18630</x:v>
      </x:c>
      <x:c r="S2866" s="22" t="n">
        <x:f>P2866-R2866</x:f>
        <x:v>2783</x:v>
      </x:c>
      <x:c r="T2866" t="str">
        <x:v>UPI</x:v>
      </x:c>
      <x:c r="U2866" t="str">
        <x:v>Paid</x:v>
      </x:c>
      <x:c r="V2866" t="str">
        <x:v>Delivered</x:v>
      </x:c>
      <x:c r="W2866" t="n">
        <x:v>0</x:v>
      </x:c>
      <x:c r="X2866" t="str"/>
      <x:c r="Y2866" t="str">
        <x:v>Outbound Call</x:v>
      </x:c>
    </x:row>
    <x:row r="2867">
      <x:c r="A2867" t="str">
        <x:v>O002866</x:v>
      </x:c>
      <x:c r="B2867" s="20" t="n">
        <x:v>46208</x:v>
      </x:c>
      <x:c r="C2867" t="str">
        <x:v>C0159</x:v>
      </x:c>
      <x:c r="D2867" t="str">
        <x:v>Darshini Foods 159</x:v>
      </x:c>
      <x:c r="E2867" t="str">
        <x:v>Canteen</x:v>
      </x:c>
      <x:c r="F2867" t="str">
        <x:v>Tumakuru</x:v>
      </x:c>
      <x:c r="G2867" t="str">
        <x:v>Kavya</x:v>
      </x:c>
      <x:c r="H2867" t="str">
        <x:v>P020</x:v>
      </x:c>
      <x:c r="I2867" t="str">
        <x:v>Coffee 500g</x:v>
      </x:c>
      <x:c r="J2867" t="str">
        <x:v>Beverage</x:v>
      </x:c>
      <x:c r="K2867" t="str">
        <x:v>Bru</x:v>
      </x:c>
      <x:c r="L2867" s="22" t="n">
        <x:v>390</x:v>
      </x:c>
      <x:c r="M2867" t="n">
        <x:v>17</x:v>
      </x:c>
      <x:c r="N2867" s="24" t="n">
        <x:v>0.05</x:v>
      </x:c>
      <x:c r="O2867" s="22" t="n">
        <x:f>L2867*M2867</x:f>
        <x:v>6630</x:v>
      </x:c>
      <x:c r="P2867" s="22" t="n">
        <x:f>O2867*(1-N2867)</x:f>
        <x:v>6298.5</x:v>
      </x:c>
      <x:c r="Q2867" s="22" t="n">
        <x:v>350</x:v>
      </x:c>
      <x:c r="R2867" s="22" t="n">
        <x:f>Q2867*M2867</x:f>
        <x:v>5950</x:v>
      </x:c>
      <x:c r="S2867" s="22" t="n">
        <x:f>P2867-R2867</x:f>
        <x:v>348.5</x:v>
      </x:c>
      <x:c r="T2867" t="str">
        <x:v>Bank Transfer</x:v>
      </x:c>
      <x:c r="U2867" t="str">
        <x:v>Paid</x:v>
      </x:c>
      <x:c r="V2867" t="str">
        <x:v>Delivered</x:v>
      </x:c>
      <x:c r="W2867" t="n">
        <x:v>0</x:v>
      </x:c>
      <x:c r="X2867" t="str"/>
      <x:c r="Y2867" t="str"/>
    </x:row>
    <x:row r="2868">
      <x:c r="A2868" t="str">
        <x:v>O002867</x:v>
      </x:c>
      <x:c r="B2868" s="20" t="n">
        <x:v>46120</x:v>
      </x:c>
      <x:c r="C2868" t="str">
        <x:v>C0108</x:v>
      </x:c>
      <x:c r="D2868" t="str">
        <x:v>Spice Mart 108</x:v>
      </x:c>
      <x:c r="E2868" t="str">
        <x:v>Supermarket</x:v>
      </x:c>
      <x:c r="F2868" t="str">
        <x:v>Hubballi</x:v>
      </x:c>
      <x:c r="G2868" t="str">
        <x:v>Kavya</x:v>
      </x:c>
      <x:c r="H2868" t="str">
        <x:v>P001</x:v>
      </x:c>
      <x:c r="I2868" t="str">
        <x:v>Steam Rice 25kg</x:v>
      </x:c>
      <x:c r="J2868" t="str">
        <x:v>Staples</x:v>
      </x:c>
      <x:c r="K2868" t="str">
        <x:v>Aishwarya</x:v>
      </x:c>
      <x:c r="L2868" s="22" t="n">
        <x:v>1180</x:v>
      </x:c>
      <x:c r="M2868" t="n">
        <x:v>3</x:v>
      </x:c>
      <x:c r="N2868" s="24" t="n">
        <x:v>0</x:v>
      </x:c>
      <x:c r="O2868" s="22" t="n">
        <x:f>L2868*M2868</x:f>
        <x:v>3540</x:v>
      </x:c>
      <x:c r="P2868" s="22" t="n">
        <x:f>O2868*(1-N2868)</x:f>
        <x:v>3540</x:v>
      </x:c>
      <x:c r="Q2868" s="22" t="n">
        <x:v>1040</x:v>
      </x:c>
      <x:c r="R2868" s="22" t="n">
        <x:f>Q2868*M2868</x:f>
        <x:v>3120</x:v>
      </x:c>
      <x:c r="S2868" s="22" t="n">
        <x:f>P2868-R2868</x:f>
        <x:v>420</x:v>
      </x:c>
      <x:c r="T2868" t="str">
        <x:v>UPI</x:v>
      </x:c>
      <x:c r="U2868" t="str">
        <x:v>Paid</x:v>
      </x:c>
      <x:c r="V2868" t="str">
        <x:v>Cancelled</x:v>
      </x:c>
      <x:c r="W2868" t="n">
        <x:v>3</x:v>
      </x:c>
      <x:c r="X2868" t="str">
        <x:v>Cancelled Order</x:v>
      </x:c>
      <x:c r="Y2868" t="str">
        <x:v>Existing Customer</x:v>
      </x:c>
    </x:row>
    <x:row r="2869">
      <x:c r="A2869" t="str">
        <x:v>O002868</x:v>
      </x:c>
      <x:c r="B2869" s="20" t="n">
        <x:v>45936</x:v>
      </x:c>
      <x:c r="C2869" t="str">
        <x:v>C0181</x:v>
      </x:c>
      <x:c r="D2869" t="str">
        <x:v>Darshini Mart 181</x:v>
      </x:c>
      <x:c r="E2869" t="str">
        <x:v>Restaurant</x:v>
      </x:c>
      <x:c r="F2869" t="str">
        <x:v>Mangaluru</x:v>
      </x:c>
      <x:c r="G2869" t="str">
        <x:v>Kavya</x:v>
      </x:c>
      <x:c r="H2869" t="str">
        <x:v>P013</x:v>
      </x:c>
      <x:c r="I2869" t="str">
        <x:v>Atta 10kg</x:v>
      </x:c>
      <x:c r="J2869" t="str">
        <x:v>Flour</x:v>
      </x:c>
      <x:c r="K2869" t="str">
        <x:v>Aashirvaad</x:v>
      </x:c>
      <x:c r="L2869" s="22" t="n">
        <x:v>560</x:v>
      </x:c>
      <x:c r="M2869" t="n">
        <x:v>10</x:v>
      </x:c>
      <x:c r="N2869" s="24" t="n">
        <x:v>0.08</x:v>
      </x:c>
      <x:c r="O2869" s="22" t="n">
        <x:f>L2869*M2869</x:f>
        <x:v>5600</x:v>
      </x:c>
      <x:c r="P2869" s="22" t="n">
        <x:f>O2869*(1-N2869)</x:f>
        <x:v>5152</x:v>
      </x:c>
      <x:c r="Q2869" s="22" t="n">
        <x:v>495</x:v>
      </x:c>
      <x:c r="R2869" s="22" t="n">
        <x:f>Q2869*M2869</x:f>
        <x:v>4950</x:v>
      </x:c>
      <x:c r="S2869" s="22" t="n">
        <x:f>P2869-R2869</x:f>
        <x:v>202</x:v>
      </x:c>
      <x:c r="T2869" t="str">
        <x:v>Cash</x:v>
      </x:c>
      <x:c r="U2869" t="str">
        <x:v>Paid</x:v>
      </x:c>
      <x:c r="V2869" t="str">
        <x:v>Delivered</x:v>
      </x:c>
      <x:c r="W2869" t="n">
        <x:v>0</x:v>
      </x:c>
      <x:c r="X2869" t="str"/>
      <x:c r="Y2869" t="str">
        <x:v>Referral</x:v>
      </x:c>
    </x:row>
    <x:row r="2870">
      <x:c r="A2870" t="str">
        <x:v>O002869</x:v>
      </x:c>
      <x:c r="B2870" s="20" t="n">
        <x:v>46244</x:v>
      </x:c>
      <x:c r="C2870" t="str">
        <x:v>C0112</x:v>
      </x:c>
      <x:c r="D2870" t="str">
        <x:v>Cafe Hotel 112</x:v>
      </x:c>
      <x:c r="E2870" t="str">
        <x:v>Hotel</x:v>
      </x:c>
      <x:c r="F2870" t="str">
        <x:v>Mangaluru</x:v>
      </x:c>
      <x:c r="G2870" t="str">
        <x:v>Kavya</x:v>
      </x:c>
      <x:c r="H2870" t="str">
        <x:v>P050</x:v>
      </x:c>
      <x:c r="I2870" t="str">
        <x:v>Lemon 5kg</x:v>
      </x:c>
      <x:c r="J2870" t="str">
        <x:v>Fresh Produce</x:v>
      </x:c>
      <x:c r="K2870" t="str">
        <x:v>Local Market</x:v>
      </x:c>
      <x:c r="L2870" s="22" t="n">
        <x:v>360</x:v>
      </x:c>
      <x:c r="M2870" t="n">
        <x:v>10</x:v>
      </x:c>
      <x:c r="N2870" s="24" t="n">
        <x:v>0.05</x:v>
      </x:c>
      <x:c r="O2870" s="22" t="n">
        <x:f>L2870*M2870</x:f>
        <x:v>3600</x:v>
      </x:c>
      <x:c r="P2870" s="22" t="n">
        <x:f>O2870*(1-N2870)</x:f>
        <x:v>3420</x:v>
      </x:c>
      <x:c r="Q2870" s="22" t="n">
        <x:v>300</x:v>
      </x:c>
      <x:c r="R2870" s="22" t="n">
        <x:f>Q2870*M2870</x:f>
        <x:v>3000</x:v>
      </x:c>
      <x:c r="S2870" s="22" t="n">
        <x:f>P2870-R2870</x:f>
        <x:v>420</x:v>
      </x:c>
      <x:c r="T2870" t="str">
        <x:v>UPI</x:v>
      </x:c>
      <x:c r="U2870" t="str">
        <x:v>Pending</x:v>
      </x:c>
      <x:c r="V2870" t="str">
        <x:v>Delivered</x:v>
      </x:c>
      <x:c r="W2870" t="n">
        <x:v>0</x:v>
      </x:c>
      <x:c r="X2870" t="str"/>
      <x:c r="Y2870" t="str">
        <x:v>WhatsApp</x:v>
      </x:c>
    </x:row>
    <x:row r="2871">
      <x:c r="A2871" t="str">
        <x:v>O002870</x:v>
      </x:c>
      <x:c r="B2871" s="20" t="n">
        <x:v>46284</x:v>
      </x:c>
      <x:c r="C2871" t="str">
        <x:v>C0109</x:v>
      </x:c>
      <x:c r="D2871" t="str">
        <x:v>Annapurna Kitchen 109</x:v>
      </x:c>
      <x:c r="E2871" t="str">
        <x:v>Kirana</x:v>
      </x:c>
      <x:c r="F2871" t="str">
        <x:v>Mysuru</x:v>
      </x:c>
      <x:c r="G2871" t="str">
        <x:v>Kavya</x:v>
      </x:c>
      <x:c r="H2871" t="str">
        <x:v>P028</x:v>
      </x:c>
      <x:c r="I2871" t="str">
        <x:v>Cookies 200g</x:v>
      </x:c>
      <x:c r="J2871" t="str">
        <x:v>Snacks</x:v>
      </x:c>
      <x:c r="K2871" t="str">
        <x:v>Britannia</x:v>
      </x:c>
      <x:c r="L2871" s="22" t="n">
        <x:v>55</x:v>
      </x:c>
      <x:c r="M2871" t="n">
        <x:v>25</x:v>
      </x:c>
      <x:c r="N2871" s="24" t="n">
        <x:v>0.05</x:v>
      </x:c>
      <x:c r="O2871" s="22" t="n">
        <x:f>L2871*M2871</x:f>
        <x:v>1375</x:v>
      </x:c>
      <x:c r="P2871" s="22" t="n">
        <x:f>O2871*(1-N2871)</x:f>
        <x:v>1306.25</x:v>
      </x:c>
      <x:c r="Q2871" s="22" t="n">
        <x:v>42</x:v>
      </x:c>
      <x:c r="R2871" s="22" t="n">
        <x:f>Q2871*M2871</x:f>
        <x:v>1050</x:v>
      </x:c>
      <x:c r="S2871" s="22" t="n">
        <x:f>P2871-R2871</x:f>
        <x:v>256.25</x:v>
      </x:c>
      <x:c r="T2871" t="str">
        <x:v>Credit</x:v>
      </x:c>
      <x:c r="U2871" t="str">
        <x:v>Pending</x:v>
      </x:c>
      <x:c r="V2871" t="str">
        <x:v>Delivered</x:v>
      </x:c>
      <x:c r="W2871" t="n">
        <x:v>2</x:v>
      </x:c>
      <x:c r="X2871" t="str">
        <x:v>Damaged</x:v>
      </x:c>
      <x:c r="Y2871" t="str">
        <x:v>Field Visit</x:v>
      </x:c>
    </x:row>
    <x:row r="2872">
      <x:c r="A2872" t="str">
        <x:v>O002871</x:v>
      </x:c>
      <x:c r="B2872" s="20" t="n">
        <x:v>45723</x:v>
      </x:c>
      <x:c r="C2872" t="str">
        <x:v>C0233</x:v>
      </x:c>
      <x:c r="D2872" t="str">
        <x:v>Shree Mart 233</x:v>
      </x:c>
      <x:c r="E2872" t="str">
        <x:v>Kirana</x:v>
      </x:c>
      <x:c r="F2872" t="str">
        <x:v>Mangaluru</x:v>
      </x:c>
      <x:c r="G2872" t="str">
        <x:v>Priya</x:v>
      </x:c>
      <x:c r="H2872" t="str">
        <x:v>P017</x:v>
      </x:c>
      <x:c r="I2872" t="str">
        <x:v>Butter 500g</x:v>
      </x:c>
      <x:c r="J2872" t="str">
        <x:v>Dairy</x:v>
      </x:c>
      <x:c r="K2872" t="str">
        <x:v>Amul</x:v>
      </x:c>
      <x:c r="L2872" s="22" t="n">
        <x:v>285</x:v>
      </x:c>
      <x:c r="M2872" t="n">
        <x:v>2</x:v>
      </x:c>
      <x:c r="N2872" s="24" t="n">
        <x:v>0.02</x:v>
      </x:c>
      <x:c r="O2872" s="22" t="n">
        <x:f>L2872*M2872</x:f>
        <x:v>570</x:v>
      </x:c>
      <x:c r="P2872" s="22" t="n">
        <x:f>O2872*(1-N2872)</x:f>
        <x:v>558.6</x:v>
      </x:c>
      <x:c r="Q2872" s="22" t="n">
        <x:v>258</x:v>
      </x:c>
      <x:c r="R2872" s="22" t="n">
        <x:f>Q2872*M2872</x:f>
        <x:v>516</x:v>
      </x:c>
      <x:c r="S2872" s="22" t="n">
        <x:f>P2872-R2872</x:f>
        <x:v>42.60000000000002</x:v>
      </x:c>
      <x:c r="T2872" t="str">
        <x:v>Credit</x:v>
      </x:c>
      <x:c r="U2872" t="str">
        <x:v>Paid</x:v>
      </x:c>
      <x:c r="V2872" t="str">
        <x:v>Delayed</x:v>
      </x:c>
      <x:c r="W2872" t="n">
        <x:v>0</x:v>
      </x:c>
      <x:c r="X2872" t="str"/>
      <x:c r="Y2872" t="str"/>
    </x:row>
    <x:row r="2873">
      <x:c r="A2873" t="str">
        <x:v>O002872</x:v>
      </x:c>
      <x:c r="B2873" s="20" t="n">
        <x:v>45952</x:v>
      </x:c>
      <x:c r="C2873" t="str">
        <x:v>C0176</x:v>
      </x:c>
      <x:c r="D2873" t="str">
        <x:v>Cafe Kitchen 176</x:v>
      </x:c>
      <x:c r="E2873" t="str">
        <x:v>Kirana</x:v>
      </x:c>
      <x:c r="F2873" t="str">
        <x:v>Mysuru</x:v>
      </x:c>
      <x:c r="G2873" t="str">
        <x:v>Priya</x:v>
      </x:c>
      <x:c r="H2873" t="str">
        <x:v>P035</x:v>
      </x:c>
      <x:c r="I2873" t="str">
        <x:v>Coriander Powder 1kg</x:v>
      </x:c>
      <x:c r="J2873" t="str">
        <x:v>Spices</x:v>
      </x:c>
      <x:c r="K2873" t="str">
        <x:v>Everest</x:v>
      </x:c>
      <x:c r="L2873" s="22" t="n">
        <x:v>280</x:v>
      </x:c>
      <x:c r="M2873" t="n">
        <x:v>19</x:v>
      </x:c>
      <x:c r="N2873" s="24" t="n">
        <x:v>0.05</x:v>
      </x:c>
      <x:c r="O2873" s="22" t="n">
        <x:f>L2873*M2873</x:f>
        <x:v>5320</x:v>
      </x:c>
      <x:c r="P2873" s="22" t="n">
        <x:f>O2873*(1-N2873)</x:f>
        <x:v>5054</x:v>
      </x:c>
      <x:c r="Q2873" s="22" t="n">
        <x:v>245</x:v>
      </x:c>
      <x:c r="R2873" s="22" t="n">
        <x:f>Q2873*M2873</x:f>
        <x:v>4655</x:v>
      </x:c>
      <x:c r="S2873" s="22" t="n">
        <x:f>P2873-R2873</x:f>
        <x:v>399</x:v>
      </x:c>
      <x:c r="T2873" t="str">
        <x:v>Cash</x:v>
      </x:c>
      <x:c r="U2873" t="str">
        <x:v>Paid</x:v>
      </x:c>
      <x:c r="V2873" t="str">
        <x:v>Delivered</x:v>
      </x:c>
      <x:c r="W2873" t="n">
        <x:v>0</x:v>
      </x:c>
      <x:c r="X2873" t="str"/>
      <x:c r="Y2873" t="str">
        <x:v>Outbound Call</x:v>
      </x:c>
    </x:row>
    <x:row r="2874">
      <x:c r="A2874" t="str">
        <x:v>O002873</x:v>
      </x:c>
      <x:c r="B2874" s="20" t="n">
        <x:v>46252</x:v>
      </x:c>
      <x:c r="C2874" t="str">
        <x:v>C0077</x:v>
      </x:c>
      <x:c r="D2874" t="str">
        <x:v>Spice Cafe 77</x:v>
      </x:c>
      <x:c r="E2874" t="str">
        <x:v>Kirana</x:v>
      </x:c>
      <x:c r="F2874" t="str">
        <x:v>Hubballi</x:v>
      </x:c>
      <x:c r="G2874" t="str">
        <x:v>Vikram</x:v>
      </x:c>
      <x:c r="H2874" t="str">
        <x:v>P010</x:v>
      </x:c>
      <x:c r="I2874" t="str">
        <x:v>Sugar 25kg</x:v>
      </x:c>
      <x:c r="J2874" t="str">
        <x:v>Staples</x:v>
      </x:c>
      <x:c r="K2874" t="str">
        <x:v>Madhur</x:v>
      </x:c>
      <x:c r="L2874" s="22" t="n">
        <x:v>1190</x:v>
      </x:c>
      <x:c r="M2874" t="n">
        <x:v>12</x:v>
      </x:c>
      <x:c r="N2874" s="24" t="n">
        <x:v>0</x:v>
      </x:c>
      <x:c r="O2874" s="22" t="n">
        <x:f>L2874*M2874</x:f>
        <x:v>14280</x:v>
      </x:c>
      <x:c r="P2874" s="22" t="n">
        <x:f>O2874*(1-N2874)</x:f>
        <x:v>14280</x:v>
      </x:c>
      <x:c r="Q2874" s="22" t="n">
        <x:v>1080</x:v>
      </x:c>
      <x:c r="R2874" s="22" t="n">
        <x:f>Q2874*M2874</x:f>
        <x:v>12960</x:v>
      </x:c>
      <x:c r="S2874" s="22" t="n">
        <x:f>P2874-R2874</x:f>
        <x:v>1320</x:v>
      </x:c>
      <x:c r="T2874" t="str">
        <x:v>UPI</x:v>
      </x:c>
      <x:c r="U2874" t="str">
        <x:v>Paid</x:v>
      </x:c>
      <x:c r="V2874" t="str">
        <x:v>Delivered</x:v>
      </x:c>
      <x:c r="W2874" t="n">
        <x:v>0</x:v>
      </x:c>
      <x:c r="X2874" t="str"/>
      <x:c r="Y2874" t="str"/>
    </x:row>
    <x:row r="2875">
      <x:c r="A2875" t="str">
        <x:v>O002874</x:v>
      </x:c>
      <x:c r="B2875" s="20" t="n">
        <x:v>46282</x:v>
      </x:c>
      <x:c r="C2875" t="str">
        <x:v>C0210</x:v>
      </x:c>
      <x:c r="D2875" t="str">
        <x:v>Spice Stores 210</x:v>
      </x:c>
      <x:c r="E2875" t="str">
        <x:v>Cafe</x:v>
      </x:c>
      <x:c r="F2875" t="str">
        <x:v>Davanagere</x:v>
      </x:c>
      <x:c r="G2875" t="str">
        <x:v>Imran</x:v>
      </x:c>
      <x:c r="H2875" t="str">
        <x:v>P002</x:v>
      </x:c>
      <x:c r="I2875" t="str">
        <x:v>Sona Masoori Rice 25kg</x:v>
      </x:c>
      <x:c r="J2875" t="str">
        <x:v>Staples</x:v>
      </x:c>
      <x:c r="K2875" t="str">
        <x:v>Fortune</x:v>
      </x:c>
      <x:c r="L2875" s="22" t="n">
        <x:v>1320</x:v>
      </x:c>
      <x:c r="M2875" t="n">
        <x:v>10</x:v>
      </x:c>
      <x:c r="N2875" s="24" t="n">
        <x:v>0.03</x:v>
      </x:c>
      <x:c r="O2875" s="22" t="n">
        <x:f>L2875*M2875</x:f>
        <x:v>13200</x:v>
      </x:c>
      <x:c r="P2875" s="22" t="n">
        <x:f>O2875*(1-N2875)</x:f>
        <x:v>12804</x:v>
      </x:c>
      <x:c r="Q2875" s="22" t="n">
        <x:v>1160</x:v>
      </x:c>
      <x:c r="R2875" s="22" t="n">
        <x:f>Q2875*M2875</x:f>
        <x:v>11600</x:v>
      </x:c>
      <x:c r="S2875" s="22" t="n">
        <x:f>P2875-R2875</x:f>
        <x:v>1204</x:v>
      </x:c>
      <x:c r="T2875" t="str">
        <x:v>Credit</x:v>
      </x:c>
      <x:c r="U2875" t="str">
        <x:v>Paid</x:v>
      </x:c>
      <x:c r="V2875" t="str">
        <x:v>Cancelled</x:v>
      </x:c>
      <x:c r="W2875" t="n">
        <x:v>10</x:v>
      </x:c>
      <x:c r="X2875" t="str">
        <x:v>Cancelled Order</x:v>
      </x:c>
      <x:c r="Y2875" t="str">
        <x:v>Referral</x:v>
      </x:c>
    </x:row>
    <x:row r="2876">
      <x:c r="A2876" t="str">
        <x:v>O002875</x:v>
      </x:c>
      <x:c r="B2876" s="20" t="n">
        <x:v>45997</x:v>
      </x:c>
      <x:c r="C2876" t="str">
        <x:v>C0215</x:v>
      </x:c>
      <x:c r="D2876" t="str">
        <x:v>Annapurna Restaurant 215</x:v>
      </x:c>
      <x:c r="E2876" t="str">
        <x:v>Supermarket</x:v>
      </x:c>
      <x:c r="F2876" t="str">
        <x:v>Bengaluru</x:v>
      </x:c>
      <x:c r="G2876" t="str">
        <x:v>Vikram</x:v>
      </x:c>
      <x:c r="H2876" t="str">
        <x:v>P011</x:v>
      </x:c>
      <x:c r="I2876" t="str">
        <x:v>Salt 1kg</x:v>
      </x:c>
      <x:c r="J2876" t="str">
        <x:v>Staples</x:v>
      </x:c>
      <x:c r="K2876" t="str">
        <x:v>Tata</x:v>
      </x:c>
      <x:c r="L2876" s="22" t="n">
        <x:v>28</x:v>
      </x:c>
      <x:c r="M2876" t="n">
        <x:v>24</x:v>
      </x:c>
      <x:c r="N2876" s="24" t="n">
        <x:v>0</x:v>
      </x:c>
      <x:c r="O2876" s="22" t="n">
        <x:f>L2876*M2876</x:f>
        <x:v>672</x:v>
      </x:c>
      <x:c r="P2876" s="22" t="n">
        <x:f>O2876*(1-N2876)</x:f>
        <x:v>672</x:v>
      </x:c>
      <x:c r="Q2876" s="22" t="n">
        <x:v>23</x:v>
      </x:c>
      <x:c r="R2876" s="22" t="n">
        <x:f>Q2876*M2876</x:f>
        <x:v>552</x:v>
      </x:c>
      <x:c r="S2876" s="22" t="n">
        <x:f>P2876-R2876</x:f>
        <x:v>120</x:v>
      </x:c>
      <x:c r="T2876" t="str">
        <x:v>Bank Transfer</x:v>
      </x:c>
      <x:c r="U2876" t="str">
        <x:v>Paid</x:v>
      </x:c>
      <x:c r="V2876" t="str">
        <x:v>Delivered</x:v>
      </x:c>
      <x:c r="W2876" t="n">
        <x:v>0</x:v>
      </x:c>
      <x:c r="X2876" t="str"/>
      <x:c r="Y2876" t="str">
        <x:v>Existing Customer</x:v>
      </x:c>
    </x:row>
    <x:row r="2877">
      <x:c r="A2877" t="str">
        <x:v>O002876</x:v>
      </x:c>
      <x:c r="B2877" s="20" t="n">
        <x:v>46219</x:v>
      </x:c>
      <x:c r="C2877" t="str">
        <x:v>C0084</x:v>
      </x:c>
      <x:c r="D2877" t="str">
        <x:v>Green Cafe 84</x:v>
      </x:c>
      <x:c r="E2877" t="str">
        <x:v>Hotel</x:v>
      </x:c>
      <x:c r="F2877" t="str">
        <x:v>Mysuru</x:v>
      </x:c>
      <x:c r="G2877" t="str">
        <x:v>Priya</x:v>
      </x:c>
      <x:c r="H2877" t="str">
        <x:v>P033</x:v>
      </x:c>
      <x:c r="I2877" t="str">
        <x:v>Turmeric Powder 1kg</x:v>
      </x:c>
      <x:c r="J2877" t="str">
        <x:v>Spices</x:v>
      </x:c>
      <x:c r="K2877" t="str">
        <x:v>Everest</x:v>
      </x:c>
      <x:c r="L2877" s="22" t="n">
        <x:v>310</x:v>
      </x:c>
      <x:c r="M2877" t="n">
        <x:v>13</x:v>
      </x:c>
      <x:c r="N2877" s="24" t="n">
        <x:v>0.1</x:v>
      </x:c>
      <x:c r="O2877" s="22" t="n">
        <x:f>L2877*M2877</x:f>
        <x:v>4030</x:v>
      </x:c>
      <x:c r="P2877" s="22" t="n">
        <x:f>O2877*(1-N2877)</x:f>
        <x:v>3627</x:v>
      </x:c>
      <x:c r="Q2877" s="22" t="n">
        <x:v>270</x:v>
      </x:c>
      <x:c r="R2877" s="22" t="n">
        <x:f>Q2877*M2877</x:f>
        <x:v>3510</x:v>
      </x:c>
      <x:c r="S2877" s="22" t="n">
        <x:f>P2877-R2877</x:f>
        <x:v>117</x:v>
      </x:c>
      <x:c r="T2877" t="str">
        <x:v>Credit</x:v>
      </x:c>
      <x:c r="U2877" t="str">
        <x:v>Paid</x:v>
      </x:c>
      <x:c r="V2877" t="str">
        <x:v>Delivered</x:v>
      </x:c>
      <x:c r="W2877" t="n">
        <x:v>0</x:v>
      </x:c>
      <x:c r="X2877" t="str"/>
      <x:c r="Y2877" t="str">
        <x:v>Field Visit</x:v>
      </x:c>
    </x:row>
    <x:row r="2878">
      <x:c r="A2878" t="str">
        <x:v>O002877</x:v>
      </x:c>
      <x:c r="B2878" s="20" t="n">
        <x:v>45971</x:v>
      </x:c>
      <x:c r="C2878" t="str">
        <x:v>C0245</x:v>
      </x:c>
      <x:c r="D2878" t="str">
        <x:v>Udupi Cafe 245</x:v>
      </x:c>
      <x:c r="E2878" t="str">
        <x:v>Canteen</x:v>
      </x:c>
      <x:c r="F2878" t="str">
        <x:v>Bengaluru</x:v>
      </x:c>
      <x:c r="G2878" t="str">
        <x:v>Priya</x:v>
      </x:c>
      <x:c r="H2878" t="str">
        <x:v>P045</x:v>
      </x:c>
      <x:c r="I2878" t="str">
        <x:v>Onion 25kg</x:v>
      </x:c>
      <x:c r="J2878" t="str">
        <x:v>Fresh Produce</x:v>
      </x:c>
      <x:c r="K2878" t="str">
        <x:v>Local Market</x:v>
      </x:c>
      <x:c r="L2878" s="22" t="n">
        <x:v>875</x:v>
      </x:c>
      <x:c r="M2878" t="n">
        <x:v>32</x:v>
      </x:c>
      <x:c r="N2878" s="24" t="n">
        <x:v>0.1</x:v>
      </x:c>
      <x:c r="O2878" s="22" t="n">
        <x:f>L2878*M2878</x:f>
        <x:v>28000</x:v>
      </x:c>
      <x:c r="P2878" s="22" t="n">
        <x:f>O2878*(1-N2878)</x:f>
        <x:v>25200</x:v>
      </x:c>
      <x:c r="Q2878" s="22" t="n">
        <x:v>760</x:v>
      </x:c>
      <x:c r="R2878" s="22" t="n">
        <x:f>Q2878*M2878</x:f>
        <x:v>24320</x:v>
      </x:c>
      <x:c r="S2878" s="22" t="n">
        <x:f>P2878-R2878</x:f>
        <x:v>880</x:v>
      </x:c>
      <x:c r="T2878" t="str">
        <x:v>Bank Transfer</x:v>
      </x:c>
      <x:c r="U2878" t="str">
        <x:v>Overdue</x:v>
      </x:c>
      <x:c r="V2878" t="str">
        <x:v>Cancelled</x:v>
      </x:c>
      <x:c r="W2878" t="n">
        <x:v>32</x:v>
      </x:c>
      <x:c r="X2878" t="str">
        <x:v>Cancelled Order</x:v>
      </x:c>
      <x:c r="Y2878" t="str">
        <x:v>Referral</x:v>
      </x:c>
    </x:row>
    <x:row r="2879">
      <x:c r="A2879" t="str">
        <x:v>O002878</x:v>
      </x:c>
      <x:c r="B2879" s="20" t="n">
        <x:v>45767</x:v>
      </x:c>
      <x:c r="C2879" t="str">
        <x:v>C0012</x:v>
      </x:c>
      <x:c r="D2879" t="str">
        <x:v>Sagar Canteen 12</x:v>
      </x:c>
      <x:c r="E2879" t="str">
        <x:v>Supermarket</x:v>
      </x:c>
      <x:c r="F2879" t="str">
        <x:v>Mysuru</x:v>
      </x:c>
      <x:c r="G2879" t="str">
        <x:v>Priya</x:v>
      </x:c>
      <x:c r="H2879" t="str">
        <x:v>P050</x:v>
      </x:c>
      <x:c r="I2879" t="str">
        <x:v>Lemon 5kg</x:v>
      </x:c>
      <x:c r="J2879" t="str">
        <x:v>Fresh Produce</x:v>
      </x:c>
      <x:c r="K2879" t="str">
        <x:v>Local Market</x:v>
      </x:c>
      <x:c r="L2879" s="22" t="n">
        <x:v>360</x:v>
      </x:c>
      <x:c r="M2879" t="n">
        <x:v>6</x:v>
      </x:c>
      <x:c r="N2879" s="24" t="n">
        <x:v>0</x:v>
      </x:c>
      <x:c r="O2879" s="22" t="n">
        <x:f>L2879*M2879</x:f>
        <x:v>2160</x:v>
      </x:c>
      <x:c r="P2879" s="22" t="n">
        <x:f>O2879*(1-N2879)</x:f>
        <x:v>2160</x:v>
      </x:c>
      <x:c r="Q2879" s="22" t="n">
        <x:v>300</x:v>
      </x:c>
      <x:c r="R2879" s="22" t="n">
        <x:f>Q2879*M2879</x:f>
        <x:v>1800</x:v>
      </x:c>
      <x:c r="S2879" s="22" t="n">
        <x:f>P2879-R2879</x:f>
        <x:v>360</x:v>
      </x:c>
      <x:c r="T2879" t="str">
        <x:v>Cash</x:v>
      </x:c>
      <x:c r="U2879" t="str">
        <x:v>Pending</x:v>
      </x:c>
      <x:c r="V2879" t="str">
        <x:v>Delivered</x:v>
      </x:c>
      <x:c r="W2879" t="n">
        <x:v>0</x:v>
      </x:c>
      <x:c r="X2879" t="str"/>
      <x:c r="Y2879" t="str">
        <x:v>WhatsApp</x:v>
      </x:c>
    </x:row>
    <x:row r="2880">
      <x:c r="A2880" t="str">
        <x:v>O002879</x:v>
      </x:c>
      <x:c r="B2880" s="20" t="n">
        <x:v>46214</x:v>
      </x:c>
      <x:c r="C2880" t="str">
        <x:v>C0119</x:v>
      </x:c>
      <x:c r="D2880" t="str">
        <x:v>Foodie Foods 119</x:v>
      </x:c>
      <x:c r="E2880" t="str">
        <x:v>Kirana</x:v>
      </x:c>
      <x:c r="F2880" t="str">
        <x:v>Hubballi</x:v>
      </x:c>
      <x:c r="G2880" t="str">
        <x:v>Imran</x:v>
      </x:c>
      <x:c r="H2880" t="str">
        <x:v>P029</x:v>
      </x:c>
      <x:c r="I2880" t="str">
        <x:v>Tomato Ketchup 1kg</x:v>
      </x:c>
      <x:c r="J2880" t="str">
        <x:v>Condiments</x:v>
      </x:c>
      <x:c r="K2880" t="str">
        <x:v>Kissan</x:v>
      </x:c>
      <x:c r="L2880" s="22" t="n">
        <x:v>145</x:v>
      </x:c>
      <x:c r="M2880" t="n">
        <x:v>36</x:v>
      </x:c>
      <x:c r="N2880" s="24" t="n">
        <x:v>0.03</x:v>
      </x:c>
      <x:c r="O2880" s="22" t="n">
        <x:f>L2880*M2880</x:f>
        <x:v>5220</x:v>
      </x:c>
      <x:c r="P2880" s="22" t="n">
        <x:f>O2880*(1-N2880)</x:f>
        <x:v>5063.4</x:v>
      </x:c>
      <x:c r="Q2880" s="22" t="n">
        <x:v>126</x:v>
      </x:c>
      <x:c r="R2880" s="22" t="n">
        <x:f>Q2880*M2880</x:f>
        <x:v>4536</x:v>
      </x:c>
      <x:c r="S2880" s="22" t="n">
        <x:f>P2880-R2880</x:f>
        <x:v>527.3999999999996</x:v>
      </x:c>
      <x:c r="T2880" t="str">
        <x:v>Credit</x:v>
      </x:c>
      <x:c r="U2880" t="str">
        <x:v>Paid</x:v>
      </x:c>
      <x:c r="V2880" t="str">
        <x:v>Delivered</x:v>
      </x:c>
      <x:c r="W2880" t="n">
        <x:v>0</x:v>
      </x:c>
      <x:c r="X2880" t="str"/>
      <x:c r="Y2880" t="str">
        <x:v>Field Visit</x:v>
      </x:c>
    </x:row>
    <x:row r="2881">
      <x:c r="A2881" t="str">
        <x:v>O002880</x:v>
      </x:c>
      <x:c r="B2881" s="20" t="n">
        <x:v>45678</x:v>
      </x:c>
      <x:c r="C2881" t="str">
        <x:v>C0005</x:v>
      </x:c>
      <x:c r="D2881" t="str">
        <x:v>Sagar Kitchen 5</x:v>
      </x:c>
      <x:c r="E2881" t="str">
        <x:v>Restaurant</x:v>
      </x:c>
      <x:c r="F2881" t="str">
        <x:v>Hubballi</x:v>
      </x:c>
      <x:c r="G2881" t="str">
        <x:v>Priya</x:v>
      </x:c>
      <x:c r="H2881" t="str">
        <x:v>P016</x:v>
      </x:c>
      <x:c r="I2881" t="str">
        <x:v>Curd 1kg</x:v>
      </x:c>
      <x:c r="J2881" t="str">
        <x:v>Dairy</x:v>
      </x:c>
      <x:c r="K2881" t="str">
        <x:v>Nandini</x:v>
      </x:c>
      <x:c r="L2881" s="22" t="n">
        <x:v>72</x:v>
      </x:c>
      <x:c r="M2881" t="n">
        <x:v>17</x:v>
      </x:c>
      <x:c r="N2881" s="24" t="n">
        <x:v>0.08</x:v>
      </x:c>
      <x:c r="O2881" s="22" t="n">
        <x:f>L2881*M2881</x:f>
        <x:v>1224</x:v>
      </x:c>
      <x:c r="P2881" s="22" t="n">
        <x:f>O2881*(1-N2881)</x:f>
        <x:v>1126.0800000000002</x:v>
      </x:c>
      <x:c r="Q2881" s="22" t="n">
        <x:v>64</x:v>
      </x:c>
      <x:c r="R2881" s="22" t="n">
        <x:f>Q2881*M2881</x:f>
        <x:v>1088</x:v>
      </x:c>
      <x:c r="S2881" s="22" t="n">
        <x:f>P2881-R2881</x:f>
        <x:v>38.080000000000155</x:v>
      </x:c>
      <x:c r="T2881" t="str">
        <x:v>Cash</x:v>
      </x:c>
      <x:c r="U2881" t="str">
        <x:v>Pending</x:v>
      </x:c>
      <x:c r="V2881" t="str">
        <x:v>Delayed</x:v>
      </x:c>
      <x:c r="W2881" t="n">
        <x:v>0</x:v>
      </x:c>
      <x:c r="X2881" t="str"/>
      <x:c r="Y2881" t="str"/>
    </x:row>
    <x:row r="2882">
      <x:c r="A2882" t="str">
        <x:v>O002881</x:v>
      </x:c>
      <x:c r="B2882" s="20" t="n">
        <x:v>46140</x:v>
      </x:c>
      <x:c r="C2882" t="str">
        <x:v>C0195</x:v>
      </x:c>
      <x:c r="D2882" t="str">
        <x:v>Classic Stores 195</x:v>
      </x:c>
      <x:c r="E2882" t="str">
        <x:v>Canteen</x:v>
      </x:c>
      <x:c r="F2882" t="str">
        <x:v>Davanagere</x:v>
      </x:c>
      <x:c r="G2882" t="str">
        <x:v>Kavya</x:v>
      </x:c>
      <x:c r="H2882" t="str">
        <x:v>P038</x:v>
      </x:c>
      <x:c r="I2882" t="str">
        <x:v>French Fries 2.5kg</x:v>
      </x:c>
      <x:c r="J2882" t="str">
        <x:v>Frozen</x:v>
      </x:c>
      <x:c r="K2882" t="str">
        <x:v>McCain</x:v>
      </x:c>
      <x:c r="L2882" s="22" t="n">
        <x:v>360</x:v>
      </x:c>
      <x:c r="M2882" t="n">
        <x:v>8</x:v>
      </x:c>
      <x:c r="N2882" s="24" t="n">
        <x:v>0.05</x:v>
      </x:c>
      <x:c r="O2882" s="22" t="n">
        <x:f>L2882*M2882</x:f>
        <x:v>2880</x:v>
      </x:c>
      <x:c r="P2882" s="22" t="n">
        <x:f>O2882*(1-N2882)</x:f>
        <x:v>2736</x:v>
      </x:c>
      <x:c r="Q2882" s="22" t="n">
        <x:v>315</x:v>
      </x:c>
      <x:c r="R2882" s="22" t="n">
        <x:f>Q2882*M2882</x:f>
        <x:v>2520</x:v>
      </x:c>
      <x:c r="S2882" s="22" t="n">
        <x:f>P2882-R2882</x:f>
        <x:v>216</x:v>
      </x:c>
      <x:c r="T2882" t="str">
        <x:v>Credit</x:v>
      </x:c>
      <x:c r="U2882" t="str">
        <x:v>Paid</x:v>
      </x:c>
      <x:c r="V2882" t="str">
        <x:v>Delivered</x:v>
      </x:c>
      <x:c r="W2882" t="n">
        <x:v>0</x:v>
      </x:c>
      <x:c r="X2882" t="str"/>
      <x:c r="Y2882" t="str">
        <x:v>Referral</x:v>
      </x:c>
    </x:row>
    <x:row r="2883">
      <x:c r="A2883" t="str">
        <x:v>O002882</x:v>
      </x:c>
      <x:c r="B2883" s="20" t="n">
        <x:v>46034</x:v>
      </x:c>
      <x:c r="C2883" t="str">
        <x:v>C0229</x:v>
      </x:c>
      <x:c r="D2883" t="str">
        <x:v>Namma Canteen 229</x:v>
      </x:c>
      <x:c r="E2883" t="str">
        <x:v>Restaurant</x:v>
      </x:c>
      <x:c r="F2883" t="str">
        <x:v>Bengaluru</x:v>
      </x:c>
      <x:c r="G2883" t="str">
        <x:v>Arjun</x:v>
      </x:c>
      <x:c r="H2883" t="str">
        <x:v>P015</x:v>
      </x:c>
      <x:c r="I2883" t="str">
        <x:v>Milk 1L</x:v>
      </x:c>
      <x:c r="J2883" t="str">
        <x:v>Dairy</x:v>
      </x:c>
      <x:c r="K2883" t="str">
        <x:v>Nandini</x:v>
      </x:c>
      <x:c r="L2883" s="22" t="n">
        <x:v>48</x:v>
      </x:c>
      <x:c r="M2883" t="n">
        <x:v>22</x:v>
      </x:c>
      <x:c r="N2883" s="24" t="n">
        <x:v>0.1</x:v>
      </x:c>
      <x:c r="O2883" s="22" t="n">
        <x:f>L2883*M2883</x:f>
        <x:v>1056</x:v>
      </x:c>
      <x:c r="P2883" s="22" t="n">
        <x:f>O2883*(1-N2883)</x:f>
        <x:v>950.4</x:v>
      </x:c>
      <x:c r="Q2883" s="22" t="n">
        <x:v>43</x:v>
      </x:c>
      <x:c r="R2883" s="22" t="n">
        <x:f>Q2883*M2883</x:f>
        <x:v>946</x:v>
      </x:c>
      <x:c r="S2883" s="22" t="n">
        <x:f>P2883-R2883</x:f>
        <x:v>4.399999999999977</x:v>
      </x:c>
      <x:c r="T2883" t="str">
        <x:v>Cash</x:v>
      </x:c>
      <x:c r="U2883" t="str">
        <x:v>Paid</x:v>
      </x:c>
      <x:c r="V2883" t="str">
        <x:v>Delivered</x:v>
      </x:c>
      <x:c r="W2883" t="n">
        <x:v>0</x:v>
      </x:c>
      <x:c r="X2883" t="str"/>
      <x:c r="Y2883" t="str">
        <x:v>Referral</x:v>
      </x:c>
    </x:row>
    <x:row r="2884">
      <x:c r="A2884" t="str">
        <x:v>O002883</x:v>
      </x:c>
      <x:c r="B2884" s="20" t="n">
        <x:v>46235</x:v>
      </x:c>
      <x:c r="C2884" t="str">
        <x:v>C0189</x:v>
      </x:c>
      <x:c r="D2884" t="str">
        <x:v>Classic Canteen 189</x:v>
      </x:c>
      <x:c r="E2884" t="str">
        <x:v>Kirana</x:v>
      </x:c>
      <x:c r="F2884" t="str">
        <x:v>Hubballi</x:v>
      </x:c>
      <x:c r="G2884" t="str">
        <x:v>Vikram</x:v>
      </x:c>
      <x:c r="H2884" t="str">
        <x:v>P023</x:v>
      </x:c>
      <x:c r="I2884" t="str">
        <x:v>Cola 750ml</x:v>
      </x:c>
      <x:c r="J2884" t="str">
        <x:v>Beverage</x:v>
      </x:c>
      <x:c r="K2884" t="str">
        <x:v>Coca-Cola</x:v>
      </x:c>
      <x:c r="L2884" s="22" t="n">
        <x:v>38</x:v>
      </x:c>
      <x:c r="M2884" t="n">
        <x:v>27</x:v>
      </x:c>
      <x:c r="N2884" s="24" t="n">
        <x:v>0.03</x:v>
      </x:c>
      <x:c r="O2884" s="22" t="n">
        <x:f>L2884*M2884</x:f>
        <x:v>1026</x:v>
      </x:c>
      <x:c r="P2884" s="22" t="n">
        <x:f>O2884*(1-N2884)</x:f>
        <x:v>995.22</x:v>
      </x:c>
      <x:c r="Q2884" s="22" t="n">
        <x:v>31</x:v>
      </x:c>
      <x:c r="R2884" s="22" t="n">
        <x:f>Q2884*M2884</x:f>
        <x:v>837</x:v>
      </x:c>
      <x:c r="S2884" s="22" t="n">
        <x:f>P2884-R2884</x:f>
        <x:v>158.22000000000003</x:v>
      </x:c>
      <x:c r="T2884" t="str">
        <x:v>Credit</x:v>
      </x:c>
      <x:c r="U2884" t="str">
        <x:v>Paid</x:v>
      </x:c>
      <x:c r="V2884" t="str">
        <x:v>Delayed</x:v>
      </x:c>
      <x:c r="W2884" t="n">
        <x:v>0</x:v>
      </x:c>
      <x:c r="X2884" t="str"/>
      <x:c r="Y2884" t="str">
        <x:v>Outbound Call</x:v>
      </x:c>
    </x:row>
    <x:row r="2885">
      <x:c r="A2885" t="str">
        <x:v>O002884</x:v>
      </x:c>
      <x:c r="B2885" s="20" t="n">
        <x:v>46264</x:v>
      </x:c>
      <x:c r="C2885" t="str">
        <x:v>C0049</x:v>
      </x:c>
      <x:c r="D2885" t="str">
        <x:v>Namma Stores 49</x:v>
      </x:c>
      <x:c r="E2885" t="str">
        <x:v>Hotel</x:v>
      </x:c>
      <x:c r="F2885" t="str">
        <x:v>Mangaluru</x:v>
      </x:c>
      <x:c r="G2885" t="str">
        <x:v>Sneha</x:v>
      </x:c>
      <x:c r="H2885" t="str">
        <x:v>P029</x:v>
      </x:c>
      <x:c r="I2885" t="str">
        <x:v>Tomato Ketchup 1kg</x:v>
      </x:c>
      <x:c r="J2885" t="str">
        <x:v>Condiments</x:v>
      </x:c>
      <x:c r="K2885" t="str">
        <x:v>Kissan</x:v>
      </x:c>
      <x:c r="L2885" s="22" t="n">
        <x:v>145</x:v>
      </x:c>
      <x:c r="M2885" t="n">
        <x:v>36</x:v>
      </x:c>
      <x:c r="N2885" s="24" t="n">
        <x:v>0</x:v>
      </x:c>
      <x:c r="O2885" s="22" t="n">
        <x:f>L2885*M2885</x:f>
        <x:v>5220</x:v>
      </x:c>
      <x:c r="P2885" s="22" t="n">
        <x:f>O2885*(1-N2885)</x:f>
        <x:v>5220</x:v>
      </x:c>
      <x:c r="Q2885" s="22" t="n">
        <x:v>126</x:v>
      </x:c>
      <x:c r="R2885" s="22" t="n">
        <x:f>Q2885*M2885</x:f>
        <x:v>4536</x:v>
      </x:c>
      <x:c r="S2885" s="22" t="n">
        <x:f>P2885-R2885</x:f>
        <x:v>684</x:v>
      </x:c>
      <x:c r="T2885" t="str">
        <x:v>Cash</x:v>
      </x:c>
      <x:c r="U2885" t="str">
        <x:v>Pending</x:v>
      </x:c>
      <x:c r="V2885" t="str">
        <x:v>Delivered</x:v>
      </x:c>
      <x:c r="W2885" t="n">
        <x:v>0</x:v>
      </x:c>
      <x:c r="X2885" t="str"/>
      <x:c r="Y2885" t="str">
        <x:v>Referral</x:v>
      </x:c>
    </x:row>
    <x:row r="2886">
      <x:c r="A2886" t="str">
        <x:v>O002885</x:v>
      </x:c>
      <x:c r="B2886" s="20" t="n">
        <x:v>45764</x:v>
      </x:c>
      <x:c r="C2886" t="str">
        <x:v>C0065</x:v>
      </x:c>
      <x:c r="D2886" t="str">
        <x:v>Mysore Stores 65</x:v>
      </x:c>
      <x:c r="E2886" t="str">
        <x:v>Kirana</x:v>
      </x:c>
      <x:c r="F2886" t="str">
        <x:v>Tumakuru</x:v>
      </x:c>
      <x:c r="G2886" t="str">
        <x:v>Sneha</x:v>
      </x:c>
      <x:c r="H2886" t="str">
        <x:v>P021</x:v>
      </x:c>
      <x:c r="I2886" t="str">
        <x:v>Instant Coffee 200g</x:v>
      </x:c>
      <x:c r="J2886" t="str">
        <x:v>Beverage</x:v>
      </x:c>
      <x:c r="K2886" t="str">
        <x:v>Nescafe</x:v>
      </x:c>
      <x:c r="L2886" s="22" t="n">
        <x:v>460</x:v>
      </x:c>
      <x:c r="M2886" t="n">
        <x:v>6</x:v>
      </x:c>
      <x:c r="N2886" s="24" t="n">
        <x:v>0.1</x:v>
      </x:c>
      <x:c r="O2886" s="22" t="n">
        <x:f>L2886*M2886</x:f>
        <x:v>2760</x:v>
      </x:c>
      <x:c r="P2886" s="22" t="n">
        <x:f>O2886*(1-N2886)</x:f>
        <x:v>2484</x:v>
      </x:c>
      <x:c r="Q2886" s="22" t="n">
        <x:v>410</x:v>
      </x:c>
      <x:c r="R2886" s="22" t="n">
        <x:f>Q2886*M2886</x:f>
        <x:v>2460</x:v>
      </x:c>
      <x:c r="S2886" s="22" t="n">
        <x:f>P2886-R2886</x:f>
        <x:v>24</x:v>
      </x:c>
      <x:c r="T2886" t="str">
        <x:v>UPI</x:v>
      </x:c>
      <x:c r="U2886" t="str">
        <x:v>Paid</x:v>
      </x:c>
      <x:c r="V2886" t="str">
        <x:v>Delivered</x:v>
      </x:c>
      <x:c r="W2886" t="n">
        <x:v>0</x:v>
      </x:c>
      <x:c r="X2886" t="str"/>
      <x:c r="Y2886" t="str">
        <x:v>Existing Customer</x:v>
      </x:c>
    </x:row>
    <x:row r="2887">
      <x:c r="A2887" t="str">
        <x:v>O002886</x:v>
      </x:c>
      <x:c r="B2887" s="20" t="n">
        <x:v>45769</x:v>
      </x:c>
      <x:c r="C2887" t="str">
        <x:v>C0243</x:v>
      </x:c>
      <x:c r="D2887" t="str">
        <x:v>Metro Kitchen 243</x:v>
      </x:c>
      <x:c r="E2887" t="str">
        <x:v>Restaurant</x:v>
      </x:c>
      <x:c r="F2887" t="str">
        <x:v>Mangaluru</x:v>
      </x:c>
      <x:c r="G2887" t="str">
        <x:v>Kavya</x:v>
      </x:c>
      <x:c r="H2887" t="str">
        <x:v>P003</x:v>
      </x:c>
      <x:c r="I2887" t="str">
        <x:v>Basmati Rice 5kg</x:v>
      </x:c>
      <x:c r="J2887" t="str">
        <x:v>Staples</x:v>
      </x:c>
      <x:c r="K2887" t="str">
        <x:v>India Gate</x:v>
      </x:c>
      <x:c r="L2887" s="22" t="n">
        <x:v>690</x:v>
      </x:c>
      <x:c r="M2887" t="n">
        <x:v>23</x:v>
      </x:c>
      <x:c r="N2887" s="24" t="n">
        <x:v>0.05</x:v>
      </x:c>
      <x:c r="O2887" s="22" t="n">
        <x:f>L2887*M2887</x:f>
        <x:v>15870</x:v>
      </x:c>
      <x:c r="P2887" s="22" t="n">
        <x:f>O2887*(1-N2887)</x:f>
        <x:v>15076.5</x:v>
      </x:c>
      <x:c r="Q2887" s="22" t="n">
        <x:v>610</x:v>
      </x:c>
      <x:c r="R2887" s="22" t="n">
        <x:f>Q2887*M2887</x:f>
        <x:v>14030</x:v>
      </x:c>
      <x:c r="S2887" s="22" t="n">
        <x:f>P2887-R2887</x:f>
        <x:v>1046.5</x:v>
      </x:c>
      <x:c r="T2887" t="str">
        <x:v>Bank Transfer</x:v>
      </x:c>
      <x:c r="U2887" t="str">
        <x:v>Paid</x:v>
      </x:c>
      <x:c r="V2887" t="str">
        <x:v>Delivered</x:v>
      </x:c>
      <x:c r="W2887" t="n">
        <x:v>0</x:v>
      </x:c>
      <x:c r="X2887" t="str"/>
      <x:c r="Y2887" t="str">
        <x:v>Existing Customer</x:v>
      </x:c>
    </x:row>
    <x:row r="2888">
      <x:c r="A2888" t="str">
        <x:v>O002887</x:v>
      </x:c>
      <x:c r="B2888" s="20" t="n">
        <x:v>45665</x:v>
      </x:c>
      <x:c r="C2888" t="str">
        <x:v>C0097</x:v>
      </x:c>
      <x:c r="D2888" t="str">
        <x:v>Classic Stores 97</x:v>
      </x:c>
      <x:c r="E2888" t="str">
        <x:v>Restaurant</x:v>
      </x:c>
      <x:c r="F2888" t="str">
        <x:v>Davanagere</x:v>
      </x:c>
      <x:c r="G2888" t="str">
        <x:v>Priya</x:v>
      </x:c>
      <x:c r="H2888" t="str">
        <x:v>P004</x:v>
      </x:c>
      <x:c r="I2888" t="str">
        <x:v>Toor Dal 5kg</x:v>
      </x:c>
      <x:c r="J2888" t="str">
        <x:v>Pulses</x:v>
      </x:c>
      <x:c r="K2888" t="str">
        <x:v>Tata Sampann</x:v>
      </x:c>
      <x:c r="L2888" s="22" t="n">
        <x:v>780</x:v>
      </x:c>
      <x:c r="M2888" t="n">
        <x:v>33</x:v>
      </x:c>
      <x:c r="N2888" s="24" t="n">
        <x:v>0</x:v>
      </x:c>
      <x:c r="O2888" s="22" t="n">
        <x:f>L2888*M2888</x:f>
        <x:v>25740</x:v>
      </x:c>
      <x:c r="P2888" s="22" t="n">
        <x:f>O2888*(1-N2888)</x:f>
        <x:v>25740</x:v>
      </x:c>
      <x:c r="Q2888" s="22" t="n">
        <x:v>695</x:v>
      </x:c>
      <x:c r="R2888" s="22" t="n">
        <x:f>Q2888*M2888</x:f>
        <x:v>22935</x:v>
      </x:c>
      <x:c r="S2888" s="22" t="n">
        <x:f>P2888-R2888</x:f>
        <x:v>2805</x:v>
      </x:c>
      <x:c r="T2888" t="str">
        <x:v>Credit</x:v>
      </x:c>
      <x:c r="U2888" t="str">
        <x:v>Paid</x:v>
      </x:c>
      <x:c r="V2888" t="str">
        <x:v>Cancelled</x:v>
      </x:c>
      <x:c r="W2888" t="n">
        <x:v>33</x:v>
      </x:c>
      <x:c r="X2888" t="str">
        <x:v>Cancelled Order</x:v>
      </x:c>
      <x:c r="Y2888" t="str">
        <x:v>Outbound Call</x:v>
      </x:c>
    </x:row>
    <x:row r="2889">
      <x:c r="A2889" t="str">
        <x:v>O002888</x:v>
      </x:c>
      <x:c r="B2889" s="20" t="n">
        <x:v>46249</x:v>
      </x:c>
      <x:c r="C2889" t="str">
        <x:v>C0130</x:v>
      </x:c>
      <x:c r="D2889" t="str">
        <x:v>Foodie Cafe 130</x:v>
      </x:c>
      <x:c r="E2889" t="str">
        <x:v>Restaurant</x:v>
      </x:c>
      <x:c r="F2889" t="str">
        <x:v>Davanagere</x:v>
      </x:c>
      <x:c r="G2889" t="str">
        <x:v>Megha</x:v>
      </x:c>
      <x:c r="H2889" t="str">
        <x:v>P041</x:v>
      </x:c>
      <x:c r="I2889" t="str">
        <x:v>Burger Bun 6pc</x:v>
      </x:c>
      <x:c r="J2889" t="str">
        <x:v>Bakery</x:v>
      </x:c>
      <x:c r="K2889" t="str">
        <x:v>Modern</x:v>
      </x:c>
      <x:c r="L2889" s="22" t="n">
        <x:v>42</x:v>
      </x:c>
      <x:c r="M2889" t="n">
        <x:v>34</x:v>
      </x:c>
      <x:c r="N2889" s="24" t="n">
        <x:v>0.03</x:v>
      </x:c>
      <x:c r="O2889" s="22" t="n">
        <x:f>L2889*M2889</x:f>
        <x:v>1428</x:v>
      </x:c>
      <x:c r="P2889" s="22" t="n">
        <x:f>O2889*(1-N2889)</x:f>
        <x:v>1385.1599999999999</x:v>
      </x:c>
      <x:c r="Q2889" s="22" t="n">
        <x:v>32</x:v>
      </x:c>
      <x:c r="R2889" s="22" t="n">
        <x:f>Q2889*M2889</x:f>
        <x:v>1088</x:v>
      </x:c>
      <x:c r="S2889" s="22" t="n">
        <x:f>P2889-R2889</x:f>
        <x:v>297.15999999999985</x:v>
      </x:c>
      <x:c r="T2889" t="str">
        <x:v>Bank Transfer</x:v>
      </x:c>
      <x:c r="U2889" t="str">
        <x:v>Paid</x:v>
      </x:c>
      <x:c r="V2889" t="str">
        <x:v>Delivered</x:v>
      </x:c>
      <x:c r="W2889" t="n">
        <x:v>0</x:v>
      </x:c>
      <x:c r="X2889" t="str"/>
      <x:c r="Y2889" t="str">
        <x:v>Outbound Call</x:v>
      </x:c>
    </x:row>
    <x:row r="2890">
      <x:c r="A2890" t="str">
        <x:v>O002889</x:v>
      </x:c>
      <x:c r="B2890" s="20" t="n">
        <x:v>46243</x:v>
      </x:c>
      <x:c r="C2890" t="str">
        <x:v>C0192</x:v>
      </x:c>
      <x:c r="D2890" t="str">
        <x:v>Shree Kitchen 192</x:v>
      </x:c>
      <x:c r="E2890" t="str">
        <x:v>Restaurant</x:v>
      </x:c>
      <x:c r="F2890" t="str">
        <x:v>Mysuru</x:v>
      </x:c>
      <x:c r="G2890" t="str">
        <x:v>Sneha</x:v>
      </x:c>
      <x:c r="H2890" t="str">
        <x:v>P016</x:v>
      </x:c>
      <x:c r="I2890" t="str">
        <x:v>Curd 1kg</x:v>
      </x:c>
      <x:c r="J2890" t="str">
        <x:v>Dairy</x:v>
      </x:c>
      <x:c r="K2890" t="str">
        <x:v>Nandini</x:v>
      </x:c>
      <x:c r="L2890" s="22" t="n">
        <x:v>72</x:v>
      </x:c>
      <x:c r="M2890" t="n">
        <x:v>39</x:v>
      </x:c>
      <x:c r="N2890" s="24" t="n">
        <x:v>0.05</x:v>
      </x:c>
      <x:c r="O2890" s="22" t="n">
        <x:f>L2890*M2890</x:f>
        <x:v>2808</x:v>
      </x:c>
      <x:c r="P2890" s="22" t="n">
        <x:f>O2890*(1-N2890)</x:f>
        <x:v>2667.6</x:v>
      </x:c>
      <x:c r="Q2890" s="22" t="n">
        <x:v>64</x:v>
      </x:c>
      <x:c r="R2890" s="22" t="n">
        <x:f>Q2890*M2890</x:f>
        <x:v>2496</x:v>
      </x:c>
      <x:c r="S2890" s="22" t="n">
        <x:f>P2890-R2890</x:f>
        <x:v>171.5999999999999</x:v>
      </x:c>
      <x:c r="T2890" t="str">
        <x:v>Credit</x:v>
      </x:c>
      <x:c r="U2890" t="str">
        <x:v>Paid</x:v>
      </x:c>
      <x:c r="V2890" t="str">
        <x:v>Delayed</x:v>
      </x:c>
      <x:c r="W2890" t="n">
        <x:v>0</x:v>
      </x:c>
      <x:c r="X2890" t="str"/>
      <x:c r="Y2890" t="str">
        <x:v>Referral</x:v>
      </x:c>
    </x:row>
    <x:row r="2891">
      <x:c r="A2891" t="str">
        <x:v>O002890</x:v>
      </x:c>
      <x:c r="B2891" s="20" t="n">
        <x:v>46061</x:v>
      </x:c>
      <x:c r="C2891" t="str">
        <x:v>C0163</x:v>
      </x:c>
      <x:c r="D2891" t="str">
        <x:v>Shree Kitchen 163</x:v>
      </x:c>
      <x:c r="E2891" t="str">
        <x:v>Kirana</x:v>
      </x:c>
      <x:c r="F2891" t="str">
        <x:v>Mysuru</x:v>
      </x:c>
      <x:c r="G2891" t="str">
        <x:v>Priya</x:v>
      </x:c>
      <x:c r="H2891" t="str">
        <x:v>P022</x:v>
      </x:c>
      <x:c r="I2891" t="str">
        <x:v>Mineral Water 1L</x:v>
      </x:c>
      <x:c r="J2891" t="str">
        <x:v>Beverage</x:v>
      </x:c>
      <x:c r="K2891" t="str">
        <x:v>Bisleri</x:v>
      </x:c>
      <x:c r="L2891" s="22" t="n">
        <x:v>19</x:v>
      </x:c>
      <x:c r="M2891" t="n">
        <x:v>4</x:v>
      </x:c>
      <x:c r="N2891" s="24" t="n">
        <x:v>0.08</x:v>
      </x:c>
      <x:c r="O2891" s="22" t="n">
        <x:f>L2891*M2891</x:f>
        <x:v>76</x:v>
      </x:c>
      <x:c r="P2891" s="22" t="n">
        <x:f>O2891*(1-N2891)</x:f>
        <x:v>69.92</x:v>
      </x:c>
      <x:c r="Q2891" s="22" t="n">
        <x:v>15</x:v>
      </x:c>
      <x:c r="R2891" s="22" t="n">
        <x:f>Q2891*M2891</x:f>
        <x:v>60</x:v>
      </x:c>
      <x:c r="S2891" s="22" t="n">
        <x:f>P2891-R2891</x:f>
        <x:v>9.920000000000002</x:v>
      </x:c>
      <x:c r="T2891" t="str">
        <x:v>Bank Transfer</x:v>
      </x:c>
      <x:c r="U2891" t="str">
        <x:v>Paid</x:v>
      </x:c>
      <x:c r="V2891" t="str">
        <x:v>Cancelled</x:v>
      </x:c>
      <x:c r="W2891" t="n">
        <x:v>4</x:v>
      </x:c>
      <x:c r="X2891" t="str">
        <x:v>Cancelled Order</x:v>
      </x:c>
      <x:c r="Y2891" t="str">
        <x:v>WhatsApp</x:v>
      </x:c>
    </x:row>
    <x:row r="2892">
      <x:c r="A2892" t="str">
        <x:v>O002891</x:v>
      </x:c>
      <x:c r="B2892" s="20" t="n">
        <x:v>46019</x:v>
      </x:c>
      <x:c r="C2892" t="str">
        <x:v>C0226</x:v>
      </x:c>
      <x:c r="D2892" t="str">
        <x:v>Green Stores 226</x:v>
      </x:c>
      <x:c r="E2892" t="str">
        <x:v>Restaurant</x:v>
      </x:c>
      <x:c r="F2892" t="str">
        <x:v>Hubballi</x:v>
      </x:c>
      <x:c r="G2892" t="str">
        <x:v>Priya</x:v>
      </x:c>
      <x:c r="H2892" t="str">
        <x:v>P034</x:v>
      </x:c>
      <x:c r="I2892" t="str">
        <x:v>Chilli Powder 1kg</x:v>
      </x:c>
      <x:c r="J2892" t="str">
        <x:v>Spices</x:v>
      </x:c>
      <x:c r="K2892" t="str">
        <x:v>MDH</x:v>
      </x:c>
      <x:c r="L2892" s="22" t="n">
        <x:v>340</x:v>
      </x:c>
      <x:c r="M2892" t="n">
        <x:v>10</x:v>
      </x:c>
      <x:c r="N2892" s="24" t="n">
        <x:v>0.03</x:v>
      </x:c>
      <x:c r="O2892" s="22" t="n">
        <x:f>L2892*M2892</x:f>
        <x:v>3400</x:v>
      </x:c>
      <x:c r="P2892" s="22" t="n">
        <x:f>O2892*(1-N2892)</x:f>
        <x:v>3298</x:v>
      </x:c>
      <x:c r="Q2892" s="22" t="n">
        <x:v>295</x:v>
      </x:c>
      <x:c r="R2892" s="22" t="n">
        <x:f>Q2892*M2892</x:f>
        <x:v>2950</x:v>
      </x:c>
      <x:c r="S2892" s="22" t="n">
        <x:f>P2892-R2892</x:f>
        <x:v>348</x:v>
      </x:c>
      <x:c r="T2892" t="str">
        <x:v>Credit</x:v>
      </x:c>
      <x:c r="U2892" t="str">
        <x:v>Paid</x:v>
      </x:c>
      <x:c r="V2892" t="str">
        <x:v>Delivered</x:v>
      </x:c>
      <x:c r="W2892" t="n">
        <x:v>0</x:v>
      </x:c>
      <x:c r="X2892" t="str"/>
      <x:c r="Y2892" t="str">
        <x:v>Field Visit</x:v>
      </x:c>
    </x:row>
    <x:row r="2893">
      <x:c r="A2893" t="str">
        <x:v>O002892</x:v>
      </x:c>
      <x:c r="B2893" s="20" t="n">
        <x:v>46136</x:v>
      </x:c>
      <x:c r="C2893" t="str">
        <x:v>C0249</x:v>
      </x:c>
      <x:c r="D2893" t="str">
        <x:v>City Hotel 249</x:v>
      </x:c>
      <x:c r="E2893" t="str">
        <x:v>Supermarket</x:v>
      </x:c>
      <x:c r="F2893" t="str">
        <x:v>Mysuru</x:v>
      </x:c>
      <x:c r="G2893" t="str">
        <x:v>Arjun</x:v>
      </x:c>
      <x:c r="H2893" t="str">
        <x:v>P037</x:v>
      </x:c>
      <x:c r="I2893" t="str">
        <x:v>Frozen Peas 1kg</x:v>
      </x:c>
      <x:c r="J2893" t="str">
        <x:v>Frozen</x:v>
      </x:c>
      <x:c r="K2893" t="str">
        <x:v>Safal</x:v>
      </x:c>
      <x:c r="L2893" s="22" t="n">
        <x:v>155</x:v>
      </x:c>
      <x:c r="M2893" t="n">
        <x:v>26</x:v>
      </x:c>
      <x:c r="N2893" s="24" t="n">
        <x:v>0.05</x:v>
      </x:c>
      <x:c r="O2893" s="22" t="n">
        <x:f>L2893*M2893</x:f>
        <x:v>4030</x:v>
      </x:c>
      <x:c r="P2893" s="22" t="n">
        <x:f>O2893*(1-N2893)</x:f>
        <x:v>3828.5</x:v>
      </x:c>
      <x:c r="Q2893" s="22" t="n">
        <x:v>138</x:v>
      </x:c>
      <x:c r="R2893" s="22" t="n">
        <x:f>Q2893*M2893</x:f>
        <x:v>3588</x:v>
      </x:c>
      <x:c r="S2893" s="22" t="n">
        <x:f>P2893-R2893</x:f>
        <x:v>240.5</x:v>
      </x:c>
      <x:c r="T2893" t="str">
        <x:v>UPI</x:v>
      </x:c>
      <x:c r="U2893" t="str">
        <x:v>Paid</x:v>
      </x:c>
      <x:c r="V2893" t="str">
        <x:v>Delayed</x:v>
      </x:c>
      <x:c r="W2893" t="n">
        <x:v>0</x:v>
      </x:c>
      <x:c r="X2893" t="str"/>
      <x:c r="Y2893" t="str">
        <x:v>Outbound Call</x:v>
      </x:c>
    </x:row>
    <x:row r="2894">
      <x:c r="A2894" t="str">
        <x:v>O002893</x:v>
      </x:c>
      <x:c r="B2894" s="20" t="n">
        <x:v>46166</x:v>
      </x:c>
      <x:c r="C2894" t="str">
        <x:v>C0121</x:v>
      </x:c>
      <x:c r="D2894" t="str">
        <x:v>Mysore Restaurant 121</x:v>
      </x:c>
      <x:c r="E2894" t="str">
        <x:v>Cafe</x:v>
      </x:c>
      <x:c r="F2894" t="str">
        <x:v>Mysuru</x:v>
      </x:c>
      <x:c r="G2894" t="str">
        <x:v>Sneha</x:v>
      </x:c>
      <x:c r="H2894" t="str">
        <x:v>P016</x:v>
      </x:c>
      <x:c r="I2894" t="str">
        <x:v>Curd 1kg</x:v>
      </x:c>
      <x:c r="J2894" t="str">
        <x:v>Dairy</x:v>
      </x:c>
      <x:c r="K2894" t="str">
        <x:v>Nandini</x:v>
      </x:c>
      <x:c r="L2894" s="22" t="n">
        <x:v>72</x:v>
      </x:c>
      <x:c r="M2894" t="n">
        <x:v>38</x:v>
      </x:c>
      <x:c r="N2894" s="24" t="n">
        <x:v>0.02</x:v>
      </x:c>
      <x:c r="O2894" s="22" t="n">
        <x:f>L2894*M2894</x:f>
        <x:v>2736</x:v>
      </x:c>
      <x:c r="P2894" s="22" t="n">
        <x:f>O2894*(1-N2894)</x:f>
        <x:v>2681.2799999999997</x:v>
      </x:c>
      <x:c r="Q2894" s="22" t="n">
        <x:v>64</x:v>
      </x:c>
      <x:c r="R2894" s="22" t="n">
        <x:f>Q2894*M2894</x:f>
        <x:v>2432</x:v>
      </x:c>
      <x:c r="S2894" s="22" t="n">
        <x:f>P2894-R2894</x:f>
        <x:v>249.27999999999975</x:v>
      </x:c>
      <x:c r="T2894" t="str">
        <x:v>Cash</x:v>
      </x:c>
      <x:c r="U2894" t="str">
        <x:v>Pending</x:v>
      </x:c>
      <x:c r="V2894" t="str">
        <x:v>Delivered</x:v>
      </x:c>
      <x:c r="W2894" t="n">
        <x:v>0</x:v>
      </x:c>
      <x:c r="X2894" t="str"/>
      <x:c r="Y2894" t="str">
        <x:v>Field Visit</x:v>
      </x:c>
    </x:row>
    <x:row r="2895">
      <x:c r="A2895" t="str">
        <x:v>O002894</x:v>
      </x:c>
      <x:c r="B2895" s="20" t="n">
        <x:v>45770</x:v>
      </x:c>
      <x:c r="C2895" t="str">
        <x:v>C0080</x:v>
      </x:c>
      <x:c r="D2895" t="str">
        <x:v>Annapurna Canteen 80</x:v>
      </x:c>
      <x:c r="E2895" t="str">
        <x:v>Restaurant</x:v>
      </x:c>
      <x:c r="F2895" t="str">
        <x:v>Mangaluru</x:v>
      </x:c>
      <x:c r="G2895" t="str">
        <x:v>Priya</x:v>
      </x:c>
      <x:c r="H2895" t="str">
        <x:v>P018</x:v>
      </x:c>
      <x:c r="I2895" t="str">
        <x:v>Paneer 1kg</x:v>
      </x:c>
      <x:c r="J2895" t="str">
        <x:v>Dairy</x:v>
      </x:c>
      <x:c r="K2895" t="str">
        <x:v>Milky Mist</x:v>
      </x:c>
      <x:c r="L2895" s="22" t="n">
        <x:v>410</x:v>
      </x:c>
      <x:c r="M2895" t="n">
        <x:v>3</x:v>
      </x:c>
      <x:c r="N2895" s="24" t="n">
        <x:v>0.03</x:v>
      </x:c>
      <x:c r="O2895" s="22" t="n">
        <x:f>L2895*M2895</x:f>
        <x:v>1230</x:v>
      </x:c>
      <x:c r="P2895" s="22" t="n">
        <x:f>O2895*(1-N2895)</x:f>
        <x:v>1193.1</x:v>
      </x:c>
      <x:c r="Q2895" s="22" t="n">
        <x:v>370</x:v>
      </x:c>
      <x:c r="R2895" s="22" t="n">
        <x:f>Q2895*M2895</x:f>
        <x:v>1110</x:v>
      </x:c>
      <x:c r="S2895" s="22" t="n">
        <x:f>P2895-R2895</x:f>
        <x:v>83.09999999999991</x:v>
      </x:c>
      <x:c r="T2895" t="str">
        <x:v>Bank Transfer</x:v>
      </x:c>
      <x:c r="U2895" t="str">
        <x:v>Pending</x:v>
      </x:c>
      <x:c r="V2895" t="str">
        <x:v>Delivered</x:v>
      </x:c>
      <x:c r="W2895" t="n">
        <x:v>0</x:v>
      </x:c>
      <x:c r="X2895" t="str"/>
      <x:c r="Y2895" t="str">
        <x:v>Field Visit</x:v>
      </x:c>
    </x:row>
    <x:row r="2896">
      <x:c r="A2896" t="str">
        <x:v>O002895</x:v>
      </x:c>
      <x:c r="B2896" s="20" t="n">
        <x:v>46120</x:v>
      </x:c>
      <x:c r="C2896" t="str">
        <x:v>C0060</x:v>
      </x:c>
      <x:c r="D2896" t="str">
        <x:v>Sagar Stores 60</x:v>
      </x:c>
      <x:c r="E2896" t="str">
        <x:v>Cafe</x:v>
      </x:c>
      <x:c r="F2896" t="str">
        <x:v>Hubballi</x:v>
      </x:c>
      <x:c r="G2896" t="str">
        <x:v>Imran</x:v>
      </x:c>
      <x:c r="H2896" t="str">
        <x:v>P020</x:v>
      </x:c>
      <x:c r="I2896" t="str">
        <x:v>Coffee 500g</x:v>
      </x:c>
      <x:c r="J2896" t="str">
        <x:v>Beverage</x:v>
      </x:c>
      <x:c r="K2896" t="str">
        <x:v>Bru</x:v>
      </x:c>
      <x:c r="L2896" s="22" t="n">
        <x:v>390</x:v>
      </x:c>
      <x:c r="M2896" t="n">
        <x:v>23</x:v>
      </x:c>
      <x:c r="N2896" s="24" t="n">
        <x:v>0.1</x:v>
      </x:c>
      <x:c r="O2896" s="22" t="n">
        <x:f>L2896*M2896</x:f>
        <x:v>8970</x:v>
      </x:c>
      <x:c r="P2896" s="22" t="n">
        <x:f>O2896*(1-N2896)</x:f>
        <x:v>8073</x:v>
      </x:c>
      <x:c r="Q2896" s="22" t="n">
        <x:v>350</x:v>
      </x:c>
      <x:c r="R2896" s="22" t="n">
        <x:f>Q2896*M2896</x:f>
        <x:v>8050</x:v>
      </x:c>
      <x:c r="S2896" s="22" t="n">
        <x:f>P2896-R2896</x:f>
        <x:v>23</x:v>
      </x:c>
      <x:c r="T2896" t="str">
        <x:v>UPI</x:v>
      </x:c>
      <x:c r="U2896" t="str">
        <x:v>Paid</x:v>
      </x:c>
      <x:c r="V2896" t="str">
        <x:v>Delivered</x:v>
      </x:c>
      <x:c r="W2896" t="n">
        <x:v>0</x:v>
      </x:c>
      <x:c r="X2896" t="str"/>
      <x:c r="Y2896" t="str">
        <x:v>Field Visit</x:v>
      </x:c>
    </x:row>
    <x:row r="2897">
      <x:c r="A2897" t="str">
        <x:v>O002896</x:v>
      </x:c>
      <x:c r="B2897" s="20" t="n">
        <x:v>46185</x:v>
      </x:c>
      <x:c r="C2897" t="str">
        <x:v>C0149</x:v>
      </x:c>
      <x:c r="D2897" t="str">
        <x:v>Annapurna Hotel 149</x:v>
      </x:c>
      <x:c r="E2897" t="str">
        <x:v>Cafe</x:v>
      </x:c>
      <x:c r="F2897" t="str">
        <x:v>Tumakuru</x:v>
      </x:c>
      <x:c r="G2897" t="str">
        <x:v>Megha</x:v>
      </x:c>
      <x:c r="H2897" t="str">
        <x:v>P042</x:v>
      </x:c>
      <x:c r="I2897" t="str">
        <x:v>Eggs 30pc Tray</x:v>
      </x:c>
      <x:c r="J2897" t="str">
        <x:v>Protein</x:v>
      </x:c>
      <x:c r="K2897" t="str">
        <x:v>Farm Fresh</x:v>
      </x:c>
      <x:c r="L2897" s="22" t="n">
        <x:v>195</x:v>
      </x:c>
      <x:c r="M2897" t="n">
        <x:v>14</x:v>
      </x:c>
      <x:c r="N2897" s="24" t="n">
        <x:v>0.08</x:v>
      </x:c>
      <x:c r="O2897" s="22" t="n">
        <x:f>L2897*M2897</x:f>
        <x:v>2730</x:v>
      </x:c>
      <x:c r="P2897" s="22" t="n">
        <x:f>O2897*(1-N2897)</x:f>
        <x:v>2511.6</x:v>
      </x:c>
      <x:c r="Q2897" s="22" t="n">
        <x:v>170</x:v>
      </x:c>
      <x:c r="R2897" s="22" t="n">
        <x:f>Q2897*M2897</x:f>
        <x:v>2380</x:v>
      </x:c>
      <x:c r="S2897" s="22" t="n">
        <x:f>P2897-R2897</x:f>
        <x:v>131.5999999999999</x:v>
      </x:c>
      <x:c r="T2897" t="str">
        <x:v>Cash</x:v>
      </x:c>
      <x:c r="U2897" t="str">
        <x:v>Overdue</x:v>
      </x:c>
      <x:c r="V2897" t="str">
        <x:v>Cancelled</x:v>
      </x:c>
      <x:c r="W2897" t="n">
        <x:v>14</x:v>
      </x:c>
      <x:c r="X2897" t="str">
        <x:v>Cancelled Order</x:v>
      </x:c>
      <x:c r="Y2897" t="str">
        <x:v>Existing Customer</x:v>
      </x:c>
    </x:row>
    <x:row r="2898">
      <x:c r="A2898" t="str">
        <x:v>O002897</x:v>
      </x:c>
      <x:c r="B2898" s="20" t="n">
        <x:v>46244</x:v>
      </x:c>
      <x:c r="C2898" t="str">
        <x:v>C0119</x:v>
      </x:c>
      <x:c r="D2898" t="str">
        <x:v>Foodie Foods 119</x:v>
      </x:c>
      <x:c r="E2898" t="str">
        <x:v>Kirana</x:v>
      </x:c>
      <x:c r="F2898" t="str">
        <x:v>Hubballi</x:v>
      </x:c>
      <x:c r="G2898" t="str">
        <x:v>Imran</x:v>
      </x:c>
      <x:c r="H2898" t="str">
        <x:v>P039</x:v>
      </x:c>
      <x:c r="I2898" t="str">
        <x:v>Ice Cream 4L</x:v>
      </x:c>
      <x:c r="J2898" t="str">
        <x:v>Frozen</x:v>
      </x:c>
      <x:c r="K2898" t="str">
        <x:v>Amul</x:v>
      </x:c>
      <x:c r="L2898" s="22" t="n">
        <x:v>480</x:v>
      </x:c>
      <x:c r="M2898" t="n">
        <x:v>28</x:v>
      </x:c>
      <x:c r="N2898" s="24" t="n">
        <x:v>0.02</x:v>
      </x:c>
      <x:c r="O2898" s="22" t="n">
        <x:f>L2898*M2898</x:f>
        <x:v>13440</x:v>
      </x:c>
      <x:c r="P2898" s="22" t="n">
        <x:f>O2898*(1-N2898)</x:f>
        <x:v>13171.199999999999</x:v>
      </x:c>
      <x:c r="Q2898" s="22" t="n">
        <x:v>420</x:v>
      </x:c>
      <x:c r="R2898" s="22" t="n">
        <x:f>Q2898*M2898</x:f>
        <x:v>11760</x:v>
      </x:c>
      <x:c r="S2898" s="22" t="n">
        <x:f>P2898-R2898</x:f>
        <x:v>1411.199999999999</x:v>
      </x:c>
      <x:c r="T2898" t="str">
        <x:v>Cash</x:v>
      </x:c>
      <x:c r="U2898" t="str">
        <x:v>Paid</x:v>
      </x:c>
      <x:c r="V2898" t="str">
        <x:v>Delivered</x:v>
      </x:c>
      <x:c r="W2898" t="n">
        <x:v>0</x:v>
      </x:c>
      <x:c r="X2898" t="str"/>
      <x:c r="Y2898" t="str">
        <x:v>WhatsApp</x:v>
      </x:c>
    </x:row>
    <x:row r="2899">
      <x:c r="A2899" t="str">
        <x:v>O002898</x:v>
      </x:c>
      <x:c r="B2899" s="20" t="n">
        <x:v>45731</x:v>
      </x:c>
      <x:c r="C2899" t="str">
        <x:v>C0171</x:v>
      </x:c>
      <x:c r="D2899" t="str">
        <x:v>Metro Canteen 171</x:v>
      </x:c>
      <x:c r="E2899" t="str">
        <x:v>Restaurant</x:v>
      </x:c>
      <x:c r="F2899" t="str">
        <x:v>Mangaluru</x:v>
      </x:c>
      <x:c r="G2899" t="str">
        <x:v>Priya</x:v>
      </x:c>
      <x:c r="H2899" t="str">
        <x:v>P036</x:v>
      </x:c>
      <x:c r="I2899" t="str">
        <x:v>Garam Masala 500g</x:v>
      </x:c>
      <x:c r="J2899" t="str">
        <x:v>Spices</x:v>
      </x:c>
      <x:c r="K2899" t="str">
        <x:v>MDH</x:v>
      </x:c>
      <x:c r="L2899" s="22" t="n">
        <x:v>265</x:v>
      </x:c>
      <x:c r="M2899" t="n">
        <x:v>25</x:v>
      </x:c>
      <x:c r="N2899" s="24" t="n">
        <x:v>0.03</x:v>
      </x:c>
      <x:c r="O2899" s="22" t="n">
        <x:f>L2899*M2899</x:f>
        <x:v>6625</x:v>
      </x:c>
      <x:c r="P2899" s="22" t="n">
        <x:f>O2899*(1-N2899)</x:f>
        <x:v>6426.25</x:v>
      </x:c>
      <x:c r="Q2899" s="22" t="n">
        <x:v>230</x:v>
      </x:c>
      <x:c r="R2899" s="22" t="n">
        <x:f>Q2899*M2899</x:f>
        <x:v>5750</x:v>
      </x:c>
      <x:c r="S2899" s="22" t="n">
        <x:f>P2899-R2899</x:f>
        <x:v>676.25</x:v>
      </x:c>
      <x:c r="T2899" t="str">
        <x:v>Cash</x:v>
      </x:c>
      <x:c r="U2899" t="str">
        <x:v>Overdue</x:v>
      </x:c>
      <x:c r="V2899" t="str">
        <x:v>Delivered</x:v>
      </x:c>
      <x:c r="W2899" t="n">
        <x:v>0</x:v>
      </x:c>
      <x:c r="X2899" t="str"/>
      <x:c r="Y2899" t="str">
        <x:v>Outbound Call</x:v>
      </x:c>
    </x:row>
    <x:row r="2900">
      <x:c r="A2900" t="str">
        <x:v>O002899</x:v>
      </x:c>
      <x:c r="B2900" s="20" t="n">
        <x:v>45873</x:v>
      </x:c>
      <x:c r="C2900" t="str">
        <x:v>C0245</x:v>
      </x:c>
      <x:c r="D2900" t="str">
        <x:v>Udupi Cafe 245</x:v>
      </x:c>
      <x:c r="E2900" t="str">
        <x:v>Canteen</x:v>
      </x:c>
      <x:c r="F2900" t="str">
        <x:v>Bengaluru</x:v>
      </x:c>
      <x:c r="G2900" t="str">
        <x:v>Priya</x:v>
      </x:c>
      <x:c r="H2900" t="str">
        <x:v>P045</x:v>
      </x:c>
      <x:c r="I2900" t="str">
        <x:v>Onion 25kg</x:v>
      </x:c>
      <x:c r="J2900" t="str">
        <x:v>Fresh Produce</x:v>
      </x:c>
      <x:c r="K2900" t="str">
        <x:v>Local Market</x:v>
      </x:c>
      <x:c r="L2900" s="22" t="n">
        <x:v>875</x:v>
      </x:c>
      <x:c r="M2900" t="n">
        <x:v>4</x:v>
      </x:c>
      <x:c r="N2900" s="24" t="n">
        <x:v>0.1</x:v>
      </x:c>
      <x:c r="O2900" s="22" t="n">
        <x:f>L2900*M2900</x:f>
        <x:v>3500</x:v>
      </x:c>
      <x:c r="P2900" s="22" t="n">
        <x:f>O2900*(1-N2900)</x:f>
        <x:v>3150</x:v>
      </x:c>
      <x:c r="Q2900" s="22" t="n">
        <x:v>760</x:v>
      </x:c>
      <x:c r="R2900" s="22" t="n">
        <x:f>Q2900*M2900</x:f>
        <x:v>3040</x:v>
      </x:c>
      <x:c r="S2900" s="22" t="n">
        <x:f>P2900-R2900</x:f>
        <x:v>110</x:v>
      </x:c>
      <x:c r="T2900" t="str">
        <x:v>UPI</x:v>
      </x:c>
      <x:c r="U2900" t="str">
        <x:v>Pending</x:v>
      </x:c>
      <x:c r="V2900" t="str">
        <x:v>Delivered</x:v>
      </x:c>
      <x:c r="W2900" t="n">
        <x:v>0</x:v>
      </x:c>
      <x:c r="X2900" t="str"/>
      <x:c r="Y2900" t="str">
        <x:v>WhatsApp</x:v>
      </x:c>
    </x:row>
    <x:row r="2901">
      <x:c r="A2901" t="str">
        <x:v>O002900</x:v>
      </x:c>
      <x:c r="B2901" s="20" t="n">
        <x:v>45855</x:v>
      </x:c>
      <x:c r="C2901" t="str">
        <x:v>C0236</x:v>
      </x:c>
      <x:c r="D2901" t="str">
        <x:v>Foodie Stores 236</x:v>
      </x:c>
      <x:c r="E2901" t="str">
        <x:v>Kirana</x:v>
      </x:c>
      <x:c r="F2901" t="str">
        <x:v>Bengaluru</x:v>
      </x:c>
      <x:c r="G2901" t="str">
        <x:v>Ramesh</x:v>
      </x:c>
      <x:c r="H2901" t="str">
        <x:v>P044</x:v>
      </x:c>
      <x:c r="I2901" t="str">
        <x:v>Chicken Curry Cut 1kg</x:v>
      </x:c>
      <x:c r="J2901" t="str">
        <x:v>Protein</x:v>
      </x:c>
      <x:c r="K2901" t="str">
        <x:v>FreshToHome</x:v>
      </x:c>
      <x:c r="L2901" s="22" t="n">
        <x:v>230</x:v>
      </x:c>
      <x:c r="M2901" t="n">
        <x:v>21</x:v>
      </x:c>
      <x:c r="N2901" s="24" t="n">
        <x:v>0.05</x:v>
      </x:c>
      <x:c r="O2901" s="22" t="n">
        <x:f>L2901*M2901</x:f>
        <x:v>4830</x:v>
      </x:c>
      <x:c r="P2901" s="22" t="n">
        <x:f>O2901*(1-N2901)</x:f>
        <x:v>4588.5</x:v>
      </x:c>
      <x:c r="Q2901" s="22" t="n">
        <x:v>205</x:v>
      </x:c>
      <x:c r="R2901" s="22" t="n">
        <x:f>Q2901*M2901</x:f>
        <x:v>4305</x:v>
      </x:c>
      <x:c r="S2901" s="22" t="n">
        <x:f>P2901-R2901</x:f>
        <x:v>283.5</x:v>
      </x:c>
      <x:c r="T2901" t="str">
        <x:v>UPI</x:v>
      </x:c>
      <x:c r="U2901" t="str">
        <x:v>Paid</x:v>
      </x:c>
      <x:c r="V2901" t="str">
        <x:v>Delayed</x:v>
      </x:c>
      <x:c r="W2901" t="n">
        <x:v>0</x:v>
      </x:c>
      <x:c r="X2901" t="str"/>
      <x:c r="Y2901" t="str">
        <x:v>Referral</x:v>
      </x:c>
    </x:row>
    <x:row r="2902">
      <x:c r="A2902" t="str">
        <x:v>O002901</x:v>
      </x:c>
      <x:c r="B2902" s="20" t="n">
        <x:v>45853</x:v>
      </x:c>
      <x:c r="C2902" t="str">
        <x:v>C0041</x:v>
      </x:c>
      <x:c r="D2902" t="str">
        <x:v>Grand Mart 41</x:v>
      </x:c>
      <x:c r="E2902" t="str">
        <x:v>Cafe</x:v>
      </x:c>
      <x:c r="F2902" t="str">
        <x:v>Bengaluru</x:v>
      </x:c>
      <x:c r="G2902" t="str">
        <x:v>Kavya</x:v>
      </x:c>
      <x:c r="H2902" t="str">
        <x:v>P010</x:v>
      </x:c>
      <x:c r="I2902" t="str">
        <x:v>Sugar 25kg</x:v>
      </x:c>
      <x:c r="J2902" t="str">
        <x:v>Staples</x:v>
      </x:c>
      <x:c r="K2902" t="str">
        <x:v>Madhur</x:v>
      </x:c>
      <x:c r="L2902" s="22" t="n">
        <x:v>1190</x:v>
      </x:c>
      <x:c r="M2902" t="n">
        <x:v>12</x:v>
      </x:c>
      <x:c r="N2902" s="24" t="n">
        <x:v>0.05</x:v>
      </x:c>
      <x:c r="O2902" s="22" t="n">
        <x:f>L2902*M2902</x:f>
        <x:v>14280</x:v>
      </x:c>
      <x:c r="P2902" s="22" t="n">
        <x:f>O2902*(1-N2902)</x:f>
        <x:v>13566</x:v>
      </x:c>
      <x:c r="Q2902" s="22" t="n">
        <x:v>1080</x:v>
      </x:c>
      <x:c r="R2902" s="22" t="n">
        <x:f>Q2902*M2902</x:f>
        <x:v>12960</x:v>
      </x:c>
      <x:c r="S2902" s="22" t="n">
        <x:f>P2902-R2902</x:f>
        <x:v>606</x:v>
      </x:c>
      <x:c r="T2902" t="str">
        <x:v>Cash</x:v>
      </x:c>
      <x:c r="U2902" t="str">
        <x:v>Paid</x:v>
      </x:c>
      <x:c r="V2902" t="str">
        <x:v>Delivered</x:v>
      </x:c>
      <x:c r="W2902" t="n">
        <x:v>0</x:v>
      </x:c>
      <x:c r="X2902" t="str"/>
      <x:c r="Y2902" t="str">
        <x:v>WhatsApp</x:v>
      </x:c>
    </x:row>
    <x:row r="2903">
      <x:c r="A2903" t="str">
        <x:v>O002902</x:v>
      </x:c>
      <x:c r="B2903" s="20" t="n">
        <x:v>45791</x:v>
      </x:c>
      <x:c r="C2903" t="str">
        <x:v>C0155</x:v>
      </x:c>
      <x:c r="D2903" t="str">
        <x:v>New Mart 155</x:v>
      </x:c>
      <x:c r="E2903" t="str">
        <x:v>Hotel</x:v>
      </x:c>
      <x:c r="F2903" t="str">
        <x:v>Mysuru</x:v>
      </x:c>
      <x:c r="G2903" t="str">
        <x:v>Sneha</x:v>
      </x:c>
      <x:c r="H2903" t="str">
        <x:v>P022</x:v>
      </x:c>
      <x:c r="I2903" t="str">
        <x:v>Mineral Water 1L</x:v>
      </x:c>
      <x:c r="J2903" t="str">
        <x:v>Beverage</x:v>
      </x:c>
      <x:c r="K2903" t="str">
        <x:v>Bisleri</x:v>
      </x:c>
      <x:c r="L2903" s="22" t="n">
        <x:v>19</x:v>
      </x:c>
      <x:c r="M2903" t="n">
        <x:v>36</x:v>
      </x:c>
      <x:c r="N2903" s="24" t="n">
        <x:v>0.02</x:v>
      </x:c>
      <x:c r="O2903" s="22" t="n">
        <x:f>L2903*M2903</x:f>
        <x:v>684</x:v>
      </x:c>
      <x:c r="P2903" s="22" t="n">
        <x:f>O2903*(1-N2903)</x:f>
        <x:v>670.3199999999999</x:v>
      </x:c>
      <x:c r="Q2903" s="22" t="n">
        <x:v>15</x:v>
      </x:c>
      <x:c r="R2903" s="22" t="n">
        <x:f>Q2903*M2903</x:f>
        <x:v>540</x:v>
      </x:c>
      <x:c r="S2903" s="22" t="n">
        <x:f>P2903-R2903</x:f>
        <x:v>130.31999999999994</x:v>
      </x:c>
      <x:c r="T2903" t="str">
        <x:v>UPI</x:v>
      </x:c>
      <x:c r="U2903" t="str">
        <x:v>Pending</x:v>
      </x:c>
      <x:c r="V2903" t="str">
        <x:v>Delivered</x:v>
      </x:c>
      <x:c r="W2903" t="n">
        <x:v>0</x:v>
      </x:c>
      <x:c r="X2903" t="str"/>
      <x:c r="Y2903" t="str">
        <x:v>Referral</x:v>
      </x:c>
    </x:row>
    <x:row r="2904">
      <x:c r="A2904" t="str">
        <x:v>O002903</x:v>
      </x:c>
      <x:c r="B2904" s="20" t="n">
        <x:v>45980</x:v>
      </x:c>
      <x:c r="C2904" t="str">
        <x:v>C0175</x:v>
      </x:c>
      <x:c r="D2904" t="str">
        <x:v>Namma Mart 175</x:v>
      </x:c>
      <x:c r="E2904" t="str">
        <x:v>Hotel</x:v>
      </x:c>
      <x:c r="F2904" t="str">
        <x:v>Davanagere</x:v>
      </x:c>
      <x:c r="G2904" t="str">
        <x:v>Sneha</x:v>
      </x:c>
      <x:c r="H2904" t="str">
        <x:v>P026</x:v>
      </x:c>
      <x:c r="I2904" t="str">
        <x:v>Banana Chips 80g</x:v>
      </x:c>
      <x:c r="J2904" t="str">
        <x:v>Snacks</x:v>
      </x:c>
      <x:c r="K2904" t="str">
        <x:v>SSS</x:v>
      </x:c>
      <x:c r="L2904" s="22" t="n">
        <x:v>54</x:v>
      </x:c>
      <x:c r="M2904" t="n">
        <x:v>13</x:v>
      </x:c>
      <x:c r="N2904" s="24" t="n">
        <x:v>0</x:v>
      </x:c>
      <x:c r="O2904" s="22" t="n">
        <x:f>L2904*M2904</x:f>
        <x:v>702</x:v>
      </x:c>
      <x:c r="P2904" s="22" t="n">
        <x:f>O2904*(1-N2904)</x:f>
        <x:v>702</x:v>
      </x:c>
      <x:c r="Q2904" s="22" t="n">
        <x:v>39</x:v>
      </x:c>
      <x:c r="R2904" s="22" t="n">
        <x:f>Q2904*M2904</x:f>
        <x:v>507</x:v>
      </x:c>
      <x:c r="S2904" s="22" t="n">
        <x:f>P2904-R2904</x:f>
        <x:v>195</x:v>
      </x:c>
      <x:c r="T2904" t="str">
        <x:v>Bank Transfer</x:v>
      </x:c>
      <x:c r="U2904" t="str">
        <x:v>Paid</x:v>
      </x:c>
      <x:c r="V2904" t="str">
        <x:v>Cancelled</x:v>
      </x:c>
      <x:c r="W2904" t="n">
        <x:v>13</x:v>
      </x:c>
      <x:c r="X2904" t="str">
        <x:v>Cancelled Order</x:v>
      </x:c>
      <x:c r="Y2904" t="str">
        <x:v>Field Visit</x:v>
      </x:c>
    </x:row>
    <x:row r="2905">
      <x:c r="A2905" t="str">
        <x:v>O002904</x:v>
      </x:c>
      <x:c r="B2905" s="20" t="n">
        <x:v>46119</x:v>
      </x:c>
      <x:c r="C2905" t="str">
        <x:v>C0073</x:v>
      </x:c>
      <x:c r="D2905" t="str">
        <x:v>Annapurna Stores 73</x:v>
      </x:c>
      <x:c r="E2905" t="str">
        <x:v>Restaurant</x:v>
      </x:c>
      <x:c r="F2905" t="str">
        <x:v>Davanagere</x:v>
      </x:c>
      <x:c r="G2905" t="str">
        <x:v>Kavya</x:v>
      </x:c>
      <x:c r="H2905" t="str">
        <x:v>P040</x:v>
      </x:c>
      <x:c r="I2905" t="str">
        <x:v>Bread Loaf 400g</x:v>
      </x:c>
      <x:c r="J2905" t="str">
        <x:v>Bakery</x:v>
      </x:c>
      <x:c r="K2905" t="str">
        <x:v>Britannia</x:v>
      </x:c>
      <x:c r="L2905" s="22" t="n">
        <x:v>45</x:v>
      </x:c>
      <x:c r="M2905" t="n">
        <x:v>10</x:v>
      </x:c>
      <x:c r="N2905" s="24" t="n">
        <x:v>0.02</x:v>
      </x:c>
      <x:c r="O2905" s="22" t="n">
        <x:f>L2905*M2905</x:f>
        <x:v>450</x:v>
      </x:c>
      <x:c r="P2905" s="22" t="n">
        <x:f>O2905*(1-N2905)</x:f>
        <x:v>441</x:v>
      </x:c>
      <x:c r="Q2905" s="22" t="n">
        <x:v>35</x:v>
      </x:c>
      <x:c r="R2905" s="22" t="n">
        <x:f>Q2905*M2905</x:f>
        <x:v>350</x:v>
      </x:c>
      <x:c r="S2905" s="22" t="n">
        <x:f>P2905-R2905</x:f>
        <x:v>91</x:v>
      </x:c>
      <x:c r="T2905" t="str">
        <x:v>UPI</x:v>
      </x:c>
      <x:c r="U2905" t="str">
        <x:v>Paid</x:v>
      </x:c>
      <x:c r="V2905" t="str">
        <x:v>Delivered</x:v>
      </x:c>
      <x:c r="W2905" t="n">
        <x:v>0</x:v>
      </x:c>
      <x:c r="X2905" t="str"/>
      <x:c r="Y2905" t="str">
        <x:v>WhatsApp</x:v>
      </x:c>
    </x:row>
    <x:row r="2906">
      <x:c r="A2906" t="str">
        <x:v>O002905</x:v>
      </x:c>
      <x:c r="B2906" s="20" t="n">
        <x:v>46285</x:v>
      </x:c>
      <x:c r="C2906" t="str">
        <x:v>C0075</x:v>
      </x:c>
      <x:c r="D2906" t="str">
        <x:v>Spice Foods 75</x:v>
      </x:c>
      <x:c r="E2906" t="str">
        <x:v>Kirana</x:v>
      </x:c>
      <x:c r="F2906" t="str">
        <x:v>Hubballi</x:v>
      </x:c>
      <x:c r="G2906" t="str">
        <x:v>Vikram</x:v>
      </x:c>
      <x:c r="H2906" t="str">
        <x:v>P028</x:v>
      </x:c>
      <x:c r="I2906" t="str">
        <x:v>Cookies 200g</x:v>
      </x:c>
      <x:c r="J2906" t="str">
        <x:v>Snacks</x:v>
      </x:c>
      <x:c r="K2906" t="str">
        <x:v>Britannia</x:v>
      </x:c>
      <x:c r="L2906" s="22" t="n">
        <x:v>55</x:v>
      </x:c>
      <x:c r="M2906" t="n">
        <x:v>22</x:v>
      </x:c>
      <x:c r="N2906" s="24" t="n">
        <x:v>0.08</x:v>
      </x:c>
      <x:c r="O2906" s="22" t="n">
        <x:f>L2906*M2906</x:f>
        <x:v>1210</x:v>
      </x:c>
      <x:c r="P2906" s="22" t="n">
        <x:f>O2906*(1-N2906)</x:f>
        <x:v>1113.2</x:v>
      </x:c>
      <x:c r="Q2906" s="22" t="n">
        <x:v>42</x:v>
      </x:c>
      <x:c r="R2906" s="22" t="n">
        <x:f>Q2906*M2906</x:f>
        <x:v>924</x:v>
      </x:c>
      <x:c r="S2906" s="22" t="n">
        <x:f>P2906-R2906</x:f>
        <x:v>189.20000000000005</x:v>
      </x:c>
      <x:c r="T2906" t="str">
        <x:v>Bank Transfer</x:v>
      </x:c>
      <x:c r="U2906" t="str">
        <x:v>Paid</x:v>
      </x:c>
      <x:c r="V2906" t="str">
        <x:v>Delivered</x:v>
      </x:c>
      <x:c r="W2906" t="n">
        <x:v>0</x:v>
      </x:c>
      <x:c r="X2906" t="str"/>
      <x:c r="Y2906" t="str">
        <x:v>WhatsApp</x:v>
      </x:c>
    </x:row>
    <x:row r="2907">
      <x:c r="A2907" t="str">
        <x:v>O002906</x:v>
      </x:c>
      <x:c r="B2907" s="20" t="n">
        <x:v>45695</x:v>
      </x:c>
      <x:c r="C2907" t="str">
        <x:v>C0011</x:v>
      </x:c>
      <x:c r="D2907" t="str">
        <x:v>City Cafe 11</x:v>
      </x:c>
      <x:c r="E2907" t="str">
        <x:v>Restaurant</x:v>
      </x:c>
      <x:c r="F2907" t="str">
        <x:v>Mangaluru</x:v>
      </x:c>
      <x:c r="G2907" t="str">
        <x:v>Arjun</x:v>
      </x:c>
      <x:c r="H2907" t="str">
        <x:v>P010</x:v>
      </x:c>
      <x:c r="I2907" t="str">
        <x:v>Sugar 25kg</x:v>
      </x:c>
      <x:c r="J2907" t="str">
        <x:v>Staples</x:v>
      </x:c>
      <x:c r="K2907" t="str">
        <x:v>Madhur</x:v>
      </x:c>
      <x:c r="L2907" s="22" t="n">
        <x:v>1190</x:v>
      </x:c>
      <x:c r="M2907" t="n">
        <x:v>7</x:v>
      </x:c>
      <x:c r="N2907" s="24" t="n">
        <x:v>0</x:v>
      </x:c>
      <x:c r="O2907" s="22" t="n">
        <x:f>L2907*M2907</x:f>
        <x:v>8330</x:v>
      </x:c>
      <x:c r="P2907" s="22" t="n">
        <x:f>O2907*(1-N2907)</x:f>
        <x:v>8330</x:v>
      </x:c>
      <x:c r="Q2907" s="22" t="n">
        <x:v>1080</x:v>
      </x:c>
      <x:c r="R2907" s="22" t="n">
        <x:f>Q2907*M2907</x:f>
        <x:v>7560</x:v>
      </x:c>
      <x:c r="S2907" s="22" t="n">
        <x:f>P2907-R2907</x:f>
        <x:v>770</x:v>
      </x:c>
      <x:c r="T2907" t="str">
        <x:v>Cash</x:v>
      </x:c>
      <x:c r="U2907" t="str">
        <x:v>Paid</x:v>
      </x:c>
      <x:c r="V2907" t="str">
        <x:v>Delivered</x:v>
      </x:c>
      <x:c r="W2907" t="n">
        <x:v>0</x:v>
      </x:c>
      <x:c r="X2907" t="str"/>
      <x:c r="Y2907" t="str">
        <x:v>Field Visit</x:v>
      </x:c>
    </x:row>
    <x:row r="2908">
      <x:c r="A2908" t="str">
        <x:v>O002907</x:v>
      </x:c>
      <x:c r="B2908" s="20" t="n">
        <x:v>46235</x:v>
      </x:c>
      <x:c r="C2908" t="str">
        <x:v>C0203</x:v>
      </x:c>
      <x:c r="D2908" t="str">
        <x:v>Namma Mart 203</x:v>
      </x:c>
      <x:c r="E2908" t="str">
        <x:v>Kirana</x:v>
      </x:c>
      <x:c r="F2908" t="str">
        <x:v>Tumakuru</x:v>
      </x:c>
      <x:c r="G2908" t="str">
        <x:v>Priya</x:v>
      </x:c>
      <x:c r="H2908" t="str">
        <x:v>P024</x:v>
      </x:c>
      <x:c r="I2908" t="str">
        <x:v>Orange Drink 1L</x:v>
      </x:c>
      <x:c r="J2908" t="str">
        <x:v>Beverage</x:v>
      </x:c>
      <x:c r="K2908" t="str">
        <x:v>Minute Maid</x:v>
      </x:c>
      <x:c r="L2908" s="22" t="n">
        <x:v>105</x:v>
      </x:c>
      <x:c r="M2908" t="n">
        <x:v>18</x:v>
      </x:c>
      <x:c r="N2908" s="24" t="n">
        <x:v>0.05</x:v>
      </x:c>
      <x:c r="O2908" s="22" t="n">
        <x:f>L2908*M2908</x:f>
        <x:v>1890</x:v>
      </x:c>
      <x:c r="P2908" s="22" t="n">
        <x:f>O2908*(1-N2908)</x:f>
        <x:v>1795.5</x:v>
      </x:c>
      <x:c r="Q2908" s="22" t="n">
        <x:v>88</x:v>
      </x:c>
      <x:c r="R2908" s="22" t="n">
        <x:f>Q2908*M2908</x:f>
        <x:v>1584</x:v>
      </x:c>
      <x:c r="S2908" s="22" t="n">
        <x:f>P2908-R2908</x:f>
        <x:v>211.5</x:v>
      </x:c>
      <x:c r="T2908" t="str">
        <x:v>Credit</x:v>
      </x:c>
      <x:c r="U2908" t="str">
        <x:v>Paid</x:v>
      </x:c>
      <x:c r="V2908" t="str">
        <x:v>Delivered</x:v>
      </x:c>
      <x:c r="W2908" t="n">
        <x:v>0</x:v>
      </x:c>
      <x:c r="X2908" t="str"/>
      <x:c r="Y2908" t="str">
        <x:v>Existing Customer</x:v>
      </x:c>
    </x:row>
    <x:row r="2909">
      <x:c r="A2909" t="str">
        <x:v>O002908</x:v>
      </x:c>
      <x:c r="B2909" s="20" t="n">
        <x:v>45753</x:v>
      </x:c>
      <x:c r="C2909" t="str">
        <x:v>C0170</x:v>
      </x:c>
      <x:c r="D2909" t="str">
        <x:v>Green Cafe 170</x:v>
      </x:c>
      <x:c r="E2909" t="str">
        <x:v>Supermarket</x:v>
      </x:c>
      <x:c r="F2909" t="str">
        <x:v>Bengaluru</x:v>
      </x:c>
      <x:c r="G2909" t="str">
        <x:v>Sneha</x:v>
      </x:c>
      <x:c r="H2909" t="str">
        <x:v>P039</x:v>
      </x:c>
      <x:c r="I2909" t="str">
        <x:v>Ice Cream 4L</x:v>
      </x:c>
      <x:c r="J2909" t="str">
        <x:v>Frozen</x:v>
      </x:c>
      <x:c r="K2909" t="str">
        <x:v>Amul</x:v>
      </x:c>
      <x:c r="L2909" s="22" t="n">
        <x:v>480</x:v>
      </x:c>
      <x:c r="M2909" t="n">
        <x:v>10</x:v>
      </x:c>
      <x:c r="N2909" s="24" t="n">
        <x:v>0.03</x:v>
      </x:c>
      <x:c r="O2909" s="22" t="n">
        <x:f>L2909*M2909</x:f>
        <x:v>4800</x:v>
      </x:c>
      <x:c r="P2909" s="22" t="n">
        <x:f>O2909*(1-N2909)</x:f>
        <x:v>4656</x:v>
      </x:c>
      <x:c r="Q2909" s="22" t="n">
        <x:v>420</x:v>
      </x:c>
      <x:c r="R2909" s="22" t="n">
        <x:f>Q2909*M2909</x:f>
        <x:v>4200</x:v>
      </x:c>
      <x:c r="S2909" s="22" t="n">
        <x:f>P2909-R2909</x:f>
        <x:v>456</x:v>
      </x:c>
      <x:c r="T2909" t="str">
        <x:v>UPI</x:v>
      </x:c>
      <x:c r="U2909" t="str">
        <x:v>Pending</x:v>
      </x:c>
      <x:c r="V2909" t="str">
        <x:v>Delivered</x:v>
      </x:c>
      <x:c r="W2909" t="n">
        <x:v>4</x:v>
      </x:c>
      <x:c r="X2909" t="str">
        <x:v>Damaged</x:v>
      </x:c>
      <x:c r="Y2909" t="str">
        <x:v>Referral</x:v>
      </x:c>
    </x:row>
    <x:row r="2910">
      <x:c r="A2910" t="str">
        <x:v>O002909</x:v>
      </x:c>
      <x:c r="B2910" s="20" t="n">
        <x:v>45900</x:v>
      </x:c>
      <x:c r="C2910" t="str">
        <x:v>C0039</x:v>
      </x:c>
      <x:c r="D2910" t="str">
        <x:v>Sagar Cafe 39</x:v>
      </x:c>
      <x:c r="E2910" t="str">
        <x:v>Restaurant</x:v>
      </x:c>
      <x:c r="F2910" t="str">
        <x:v>Hubballi</x:v>
      </x:c>
      <x:c r="G2910" t="str">
        <x:v>Imran</x:v>
      </x:c>
      <x:c r="H2910" t="str">
        <x:v>P035</x:v>
      </x:c>
      <x:c r="I2910" t="str">
        <x:v>Coriander Powder 1kg</x:v>
      </x:c>
      <x:c r="J2910" t="str">
        <x:v>Spices</x:v>
      </x:c>
      <x:c r="K2910" t="str">
        <x:v>Everest</x:v>
      </x:c>
      <x:c r="L2910" s="22" t="n">
        <x:v>280</x:v>
      </x:c>
      <x:c r="M2910" t="n">
        <x:v>2</x:v>
      </x:c>
      <x:c r="N2910" s="24" t="n">
        <x:v>0.02</x:v>
      </x:c>
      <x:c r="O2910" s="22" t="n">
        <x:f>L2910*M2910</x:f>
        <x:v>560</x:v>
      </x:c>
      <x:c r="P2910" s="22" t="n">
        <x:f>O2910*(1-N2910)</x:f>
        <x:v>548.8</x:v>
      </x:c>
      <x:c r="Q2910" s="22" t="n">
        <x:v>245</x:v>
      </x:c>
      <x:c r="R2910" s="22" t="n">
        <x:f>Q2910*M2910</x:f>
        <x:v>490</x:v>
      </x:c>
      <x:c r="S2910" s="22" t="n">
        <x:f>P2910-R2910</x:f>
        <x:v>58.799999999999955</x:v>
      </x:c>
      <x:c r="T2910" t="str">
        <x:v>Cash</x:v>
      </x:c>
      <x:c r="U2910" t="str">
        <x:v>Paid</x:v>
      </x:c>
      <x:c r="V2910" t="str">
        <x:v>Delayed</x:v>
      </x:c>
      <x:c r="W2910" t="n">
        <x:v>0</x:v>
      </x:c>
      <x:c r="X2910" t="str"/>
      <x:c r="Y2910" t="str">
        <x:v>Field Visit</x:v>
      </x:c>
    </x:row>
    <x:row r="2911">
      <x:c r="A2911" t="str">
        <x:v>O002910</x:v>
      </x:c>
      <x:c r="B2911" s="20" t="n">
        <x:v>46037</x:v>
      </x:c>
      <x:c r="C2911" t="str">
        <x:v>C0002</x:v>
      </x:c>
      <x:c r="D2911" t="str">
        <x:v>City Kitchen 2</x:v>
      </x:c>
      <x:c r="E2911" t="str">
        <x:v>Kirana</x:v>
      </x:c>
      <x:c r="F2911" t="str">
        <x:v>Davanagere</x:v>
      </x:c>
      <x:c r="G2911" t="str">
        <x:v>Arjun</x:v>
      </x:c>
      <x:c r="H2911" t="str">
        <x:v>P017</x:v>
      </x:c>
      <x:c r="I2911" t="str">
        <x:v>Butter 500g</x:v>
      </x:c>
      <x:c r="J2911" t="str">
        <x:v>Dairy</x:v>
      </x:c>
      <x:c r="K2911" t="str">
        <x:v>Amul</x:v>
      </x:c>
      <x:c r="L2911" s="22" t="n">
        <x:v>285</x:v>
      </x:c>
      <x:c r="M2911" t="n">
        <x:v>24</x:v>
      </x:c>
      <x:c r="N2911" s="24" t="n">
        <x:v>0.02</x:v>
      </x:c>
      <x:c r="O2911" s="22" t="n">
        <x:f>L2911*M2911</x:f>
        <x:v>6840</x:v>
      </x:c>
      <x:c r="P2911" s="22" t="n">
        <x:f>O2911*(1-N2911)</x:f>
        <x:v>6703.2</x:v>
      </x:c>
      <x:c r="Q2911" s="22" t="n">
        <x:v>258</x:v>
      </x:c>
      <x:c r="R2911" s="22" t="n">
        <x:f>Q2911*M2911</x:f>
        <x:v>6192</x:v>
      </x:c>
      <x:c r="S2911" s="22" t="n">
        <x:f>P2911-R2911</x:f>
        <x:v>511.1999999999998</x:v>
      </x:c>
      <x:c r="T2911" t="str">
        <x:v>Cash</x:v>
      </x:c>
      <x:c r="U2911" t="str">
        <x:v>Paid</x:v>
      </x:c>
      <x:c r="V2911" t="str">
        <x:v>Delivered</x:v>
      </x:c>
      <x:c r="W2911" t="n">
        <x:v>0</x:v>
      </x:c>
      <x:c r="X2911" t="str"/>
      <x:c r="Y2911" t="str">
        <x:v>WhatsApp</x:v>
      </x:c>
    </x:row>
    <x:row r="2912">
      <x:c r="A2912" t="str">
        <x:v>O002911</x:v>
      </x:c>
      <x:c r="B2912" s="20" t="n">
        <x:v>45664</x:v>
      </x:c>
      <x:c r="C2912" t="str">
        <x:v>C0086</x:v>
      </x:c>
      <x:c r="D2912" t="str">
        <x:v>Foodie Canteen 86</x:v>
      </x:c>
      <x:c r="E2912" t="str">
        <x:v>Kirana</x:v>
      </x:c>
      <x:c r="F2912" t="str">
        <x:v>Hubballi</x:v>
      </x:c>
      <x:c r="G2912" t="str">
        <x:v>Sneha</x:v>
      </x:c>
      <x:c r="H2912" t="str">
        <x:v>P028</x:v>
      </x:c>
      <x:c r="I2912" t="str">
        <x:v>Cookies 200g</x:v>
      </x:c>
      <x:c r="J2912" t="str">
        <x:v>Snacks</x:v>
      </x:c>
      <x:c r="K2912" t="str">
        <x:v>Britannia</x:v>
      </x:c>
      <x:c r="L2912" s="22" t="n">
        <x:v>55</x:v>
      </x:c>
      <x:c r="M2912" t="n">
        <x:v>32</x:v>
      </x:c>
      <x:c r="N2912" s="24" t="n">
        <x:v>0.03</x:v>
      </x:c>
      <x:c r="O2912" s="22" t="n">
        <x:f>L2912*M2912</x:f>
        <x:v>1760</x:v>
      </x:c>
      <x:c r="P2912" s="22" t="n">
        <x:f>O2912*(1-N2912)</x:f>
        <x:v>1707.2</x:v>
      </x:c>
      <x:c r="Q2912" s="22" t="n">
        <x:v>42</x:v>
      </x:c>
      <x:c r="R2912" s="22" t="n">
        <x:f>Q2912*M2912</x:f>
        <x:v>1344</x:v>
      </x:c>
      <x:c r="S2912" s="22" t="n">
        <x:f>P2912-R2912</x:f>
        <x:v>363.20000000000005</x:v>
      </x:c>
      <x:c r="T2912" t="str">
        <x:v>Cash</x:v>
      </x:c>
      <x:c r="U2912" t="str">
        <x:v>Overdue</x:v>
      </x:c>
      <x:c r="V2912" t="str">
        <x:v>Delivered</x:v>
      </x:c>
      <x:c r="W2912" t="n">
        <x:v>0</x:v>
      </x:c>
      <x:c r="X2912" t="str"/>
      <x:c r="Y2912" t="str">
        <x:v>Referral</x:v>
      </x:c>
    </x:row>
    <x:row r="2913">
      <x:c r="A2913" t="str">
        <x:v>O002912</x:v>
      </x:c>
      <x:c r="B2913" s="20" t="n">
        <x:v>46248</x:v>
      </x:c>
      <x:c r="C2913" t="str">
        <x:v>C0220</x:v>
      </x:c>
      <x:c r="D2913" t="str">
        <x:v>Udupi Canteen 220</x:v>
      </x:c>
      <x:c r="E2913" t="str">
        <x:v>Restaurant</x:v>
      </x:c>
      <x:c r="F2913" t="str">
        <x:v>Bengaluru</x:v>
      </x:c>
      <x:c r="G2913" t="str">
        <x:v>Sneha</x:v>
      </x:c>
      <x:c r="H2913" t="str">
        <x:v>P013</x:v>
      </x:c>
      <x:c r="I2913" t="str">
        <x:v>Atta 10kg</x:v>
      </x:c>
      <x:c r="J2913" t="str">
        <x:v>Flour</x:v>
      </x:c>
      <x:c r="K2913" t="str">
        <x:v>Aashirvaad</x:v>
      </x:c>
      <x:c r="L2913" s="22" t="n">
        <x:v>560</x:v>
      </x:c>
      <x:c r="M2913" t="n">
        <x:v>39</x:v>
      </x:c>
      <x:c r="N2913" s="24" t="n">
        <x:v>0</x:v>
      </x:c>
      <x:c r="O2913" s="22" t="n">
        <x:f>L2913*M2913</x:f>
        <x:v>21840</x:v>
      </x:c>
      <x:c r="P2913" s="22" t="n">
        <x:f>O2913*(1-N2913)</x:f>
        <x:v>21840</x:v>
      </x:c>
      <x:c r="Q2913" s="22" t="n">
        <x:v>495</x:v>
      </x:c>
      <x:c r="R2913" s="22" t="n">
        <x:f>Q2913*M2913</x:f>
        <x:v>19305</x:v>
      </x:c>
      <x:c r="S2913" s="22" t="n">
        <x:f>P2913-R2913</x:f>
        <x:v>2535</x:v>
      </x:c>
      <x:c r="T2913" t="str">
        <x:v>Credit</x:v>
      </x:c>
      <x:c r="U2913" t="str">
        <x:v>Paid</x:v>
      </x:c>
      <x:c r="V2913" t="str">
        <x:v>Delayed</x:v>
      </x:c>
      <x:c r="W2913" t="n">
        <x:v>0</x:v>
      </x:c>
      <x:c r="X2913" t="str"/>
      <x:c r="Y2913" t="str">
        <x:v>Referral</x:v>
      </x:c>
    </x:row>
    <x:row r="2914">
      <x:c r="A2914" t="str">
        <x:v>O002913</x:v>
      </x:c>
      <x:c r="B2914" s="20" t="n">
        <x:v>46067</x:v>
      </x:c>
      <x:c r="C2914" t="str">
        <x:v>C0212</x:v>
      </x:c>
      <x:c r="D2914" t="str">
        <x:v>Classic Restaurant 212</x:v>
      </x:c>
      <x:c r="E2914" t="str">
        <x:v>Restaurant</x:v>
      </x:c>
      <x:c r="F2914" t="str">
        <x:v>Mysuru</x:v>
      </x:c>
      <x:c r="G2914" t="str">
        <x:v>Vikram</x:v>
      </x:c>
      <x:c r="H2914" t="str">
        <x:v>P016</x:v>
      </x:c>
      <x:c r="I2914" t="str">
        <x:v>Curd 1kg</x:v>
      </x:c>
      <x:c r="J2914" t="str">
        <x:v>Dairy</x:v>
      </x:c>
      <x:c r="K2914" t="str">
        <x:v>Nandini</x:v>
      </x:c>
      <x:c r="L2914" s="22" t="n">
        <x:v>72</x:v>
      </x:c>
      <x:c r="M2914" t="n">
        <x:v>37</x:v>
      </x:c>
      <x:c r="N2914" s="24" t="n">
        <x:v>0.02</x:v>
      </x:c>
      <x:c r="O2914" s="22" t="n">
        <x:f>L2914*M2914</x:f>
        <x:v>2664</x:v>
      </x:c>
      <x:c r="P2914" s="22" t="n">
        <x:f>O2914*(1-N2914)</x:f>
        <x:v>2610.72</x:v>
      </x:c>
      <x:c r="Q2914" s="22" t="n">
        <x:v>64</x:v>
      </x:c>
      <x:c r="R2914" s="22" t="n">
        <x:f>Q2914*M2914</x:f>
        <x:v>2368</x:v>
      </x:c>
      <x:c r="S2914" s="22" t="n">
        <x:f>P2914-R2914</x:f>
        <x:v>242.7199999999998</x:v>
      </x:c>
      <x:c r="T2914" t="str">
        <x:v>Bank Transfer</x:v>
      </x:c>
      <x:c r="U2914" t="str">
        <x:v>Overdue</x:v>
      </x:c>
      <x:c r="V2914" t="str">
        <x:v>Delivered</x:v>
      </x:c>
      <x:c r="W2914" t="n">
        <x:v>0</x:v>
      </x:c>
      <x:c r="X2914" t="str"/>
      <x:c r="Y2914" t="str">
        <x:v>Existing Customer</x:v>
      </x:c>
    </x:row>
    <x:row r="2915">
      <x:c r="A2915" t="str">
        <x:v>O002914</x:v>
      </x:c>
      <x:c r="B2915" s="20" t="n">
        <x:v>45846</x:v>
      </x:c>
      <x:c r="C2915" t="str">
        <x:v>C0243</x:v>
      </x:c>
      <x:c r="D2915" t="str">
        <x:v>Metro Kitchen 243</x:v>
      </x:c>
      <x:c r="E2915" t="str">
        <x:v>Restaurant</x:v>
      </x:c>
      <x:c r="F2915" t="str">
        <x:v>Mangaluru</x:v>
      </x:c>
      <x:c r="G2915" t="str">
        <x:v>Kavya</x:v>
      </x:c>
      <x:c r="H2915" t="str">
        <x:v>P044</x:v>
      </x:c>
      <x:c r="I2915" t="str">
        <x:v>Chicken Curry Cut 1kg</x:v>
      </x:c>
      <x:c r="J2915" t="str">
        <x:v>Protein</x:v>
      </x:c>
      <x:c r="K2915" t="str">
        <x:v>FreshToHome</x:v>
      </x:c>
      <x:c r="L2915" s="22" t="n">
        <x:v>230</x:v>
      </x:c>
      <x:c r="M2915" t="n">
        <x:v>10</x:v>
      </x:c>
      <x:c r="N2915" s="24" t="n">
        <x:v>0</x:v>
      </x:c>
      <x:c r="O2915" s="22" t="n">
        <x:f>L2915*M2915</x:f>
        <x:v>2300</x:v>
      </x:c>
      <x:c r="P2915" s="22" t="n">
        <x:f>O2915*(1-N2915)</x:f>
        <x:v>2300</x:v>
      </x:c>
      <x:c r="Q2915" s="22" t="n">
        <x:v>205</x:v>
      </x:c>
      <x:c r="R2915" s="22" t="n">
        <x:f>Q2915*M2915</x:f>
        <x:v>2050</x:v>
      </x:c>
      <x:c r="S2915" s="22" t="n">
        <x:f>P2915-R2915</x:f>
        <x:v>250</x:v>
      </x:c>
      <x:c r="T2915" t="str">
        <x:v>Credit</x:v>
      </x:c>
      <x:c r="U2915" t="str">
        <x:v>Paid</x:v>
      </x:c>
      <x:c r="V2915" t="str">
        <x:v>Delivered</x:v>
      </x:c>
      <x:c r="W2915" t="n">
        <x:v>0</x:v>
      </x:c>
      <x:c r="X2915" t="str"/>
      <x:c r="Y2915" t="str">
        <x:v>WhatsApp</x:v>
      </x:c>
    </x:row>
    <x:row r="2916">
      <x:c r="A2916" t="str">
        <x:v>O002915</x:v>
      </x:c>
      <x:c r="B2916" s="20" t="n">
        <x:v>45696</x:v>
      </x:c>
      <x:c r="C2916" t="str">
        <x:v>C0198</x:v>
      </x:c>
      <x:c r="D2916" t="str">
        <x:v>Royal Canteen 198</x:v>
      </x:c>
      <x:c r="E2916" t="str">
        <x:v>Supermarket</x:v>
      </x:c>
      <x:c r="F2916" t="str">
        <x:v>Davanagere</x:v>
      </x:c>
      <x:c r="G2916" t="str">
        <x:v>Arjun</x:v>
      </x:c>
      <x:c r="H2916" t="str">
        <x:v>P039</x:v>
      </x:c>
      <x:c r="I2916" t="str">
        <x:v>Ice Cream 4L</x:v>
      </x:c>
      <x:c r="J2916" t="str">
        <x:v>Frozen</x:v>
      </x:c>
      <x:c r="K2916" t="str">
        <x:v>Amul</x:v>
      </x:c>
      <x:c r="L2916" s="22" t="n">
        <x:v>480</x:v>
      </x:c>
      <x:c r="M2916" t="n">
        <x:v>28</x:v>
      </x:c>
      <x:c r="N2916" s="24" t="n">
        <x:v>0.05</x:v>
      </x:c>
      <x:c r="O2916" s="22" t="n">
        <x:f>L2916*M2916</x:f>
        <x:v>13440</x:v>
      </x:c>
      <x:c r="P2916" s="22" t="n">
        <x:f>O2916*(1-N2916)</x:f>
        <x:v>12768</x:v>
      </x:c>
      <x:c r="Q2916" s="22" t="n">
        <x:v>420</x:v>
      </x:c>
      <x:c r="R2916" s="22" t="n">
        <x:f>Q2916*M2916</x:f>
        <x:v>11760</x:v>
      </x:c>
      <x:c r="S2916" s="22" t="n">
        <x:f>P2916-R2916</x:f>
        <x:v>1008</x:v>
      </x:c>
      <x:c r="T2916" t="str">
        <x:v>Credit</x:v>
      </x:c>
      <x:c r="U2916" t="str">
        <x:v>Paid</x:v>
      </x:c>
      <x:c r="V2916" t="str">
        <x:v>Cancelled</x:v>
      </x:c>
      <x:c r="W2916" t="n">
        <x:v>28</x:v>
      </x:c>
      <x:c r="X2916" t="str">
        <x:v>Cancelled Order</x:v>
      </x:c>
      <x:c r="Y2916" t="str">
        <x:v>Outbound Call</x:v>
      </x:c>
    </x:row>
    <x:row r="2917">
      <x:c r="A2917" t="str">
        <x:v>O002916</x:v>
      </x:c>
      <x:c r="B2917" s="20" t="n">
        <x:v>45834</x:v>
      </x:c>
      <x:c r="C2917" t="str">
        <x:v>C0174</x:v>
      </x:c>
      <x:c r="D2917" t="str">
        <x:v>Classic Stores 174</x:v>
      </x:c>
      <x:c r="E2917" t="str">
        <x:v>Kirana</x:v>
      </x:c>
      <x:c r="F2917" t="str">
        <x:v>Mysuru</x:v>
      </x:c>
      <x:c r="G2917" t="str">
        <x:v>Vikram</x:v>
      </x:c>
      <x:c r="H2917" t="str">
        <x:v>P007</x:v>
      </x:c>
      <x:c r="I2917" t="str">
        <x:v>Sunflower Oil 15L</x:v>
      </x:c>
      <x:c r="J2917" t="str">
        <x:v>Edible Oil</x:v>
      </x:c>
      <x:c r="K2917" t="str">
        <x:v>Fortune</x:v>
      </x:c>
      <x:c r="L2917" s="22" t="n">
        <x:v>1980</x:v>
      </x:c>
      <x:c r="M2917" t="n">
        <x:v>1</x:v>
      </x:c>
      <x:c r="N2917" s="24" t="n">
        <x:v>0</x:v>
      </x:c>
      <x:c r="O2917" s="22" t="n">
        <x:f>L2917*M2917</x:f>
        <x:v>1980</x:v>
      </x:c>
      <x:c r="P2917" s="22" t="n">
        <x:f>O2917*(1-N2917)</x:f>
        <x:v>1980</x:v>
      </x:c>
      <x:c r="Q2917" s="22" t="n">
        <x:v>1810</x:v>
      </x:c>
      <x:c r="R2917" s="22" t="n">
        <x:f>Q2917*M2917</x:f>
        <x:v>1810</x:v>
      </x:c>
      <x:c r="S2917" s="22" t="n">
        <x:f>P2917-R2917</x:f>
        <x:v>170</x:v>
      </x:c>
      <x:c r="T2917" t="str">
        <x:v>Bank Transfer</x:v>
      </x:c>
      <x:c r="U2917" t="str">
        <x:v>Paid</x:v>
      </x:c>
      <x:c r="V2917" t="str">
        <x:v>Delayed</x:v>
      </x:c>
      <x:c r="W2917" t="n">
        <x:v>0</x:v>
      </x:c>
      <x:c r="X2917" t="str"/>
      <x:c r="Y2917" t="str">
        <x:v>Outbound Call</x:v>
      </x:c>
    </x:row>
    <x:row r="2918">
      <x:c r="A2918" t="str">
        <x:v>O002917</x:v>
      </x:c>
      <x:c r="B2918" s="20" t="n">
        <x:v>45825</x:v>
      </x:c>
      <x:c r="C2918" t="str">
        <x:v>C0154</x:v>
      </x:c>
      <x:c r="D2918" t="str">
        <x:v>Royal Restaurant 154</x:v>
      </x:c>
      <x:c r="E2918" t="str">
        <x:v>Restaurant</x:v>
      </x:c>
      <x:c r="F2918" t="str">
        <x:v>Tumakuru</x:v>
      </x:c>
      <x:c r="G2918" t="str">
        <x:v>Kavya</x:v>
      </x:c>
      <x:c r="H2918" t="str">
        <x:v>P031</x:v>
      </x:c>
      <x:c r="I2918" t="str">
        <x:v>Chilli Sauce 700g</x:v>
      </x:c>
      <x:c r="J2918" t="str">
        <x:v>Condiments</x:v>
      </x:c>
      <x:c r="K2918" t="str">
        <x:v>Ching's</x:v>
      </x:c>
      <x:c r="L2918" s="22" t="n">
        <x:v>130</x:v>
      </x:c>
      <x:c r="M2918" t="n">
        <x:v>8</x:v>
      </x:c>
      <x:c r="N2918" s="24" t="n">
        <x:v>0.02</x:v>
      </x:c>
      <x:c r="O2918" s="22" t="n">
        <x:f>L2918*M2918</x:f>
        <x:v>1040</x:v>
      </x:c>
      <x:c r="P2918" s="22" t="n">
        <x:f>O2918*(1-N2918)</x:f>
        <x:v>1019.1999999999999</x:v>
      </x:c>
      <x:c r="Q2918" s="22" t="n">
        <x:v>112</x:v>
      </x:c>
      <x:c r="R2918" s="22" t="n">
        <x:f>Q2918*M2918</x:f>
        <x:v>896</x:v>
      </x:c>
      <x:c r="S2918" s="22" t="n">
        <x:f>P2918-R2918</x:f>
        <x:v>123.19999999999993</x:v>
      </x:c>
      <x:c r="T2918" t="str">
        <x:v>UPI</x:v>
      </x:c>
      <x:c r="U2918" t="str">
        <x:v>Paid</x:v>
      </x:c>
      <x:c r="V2918" t="str">
        <x:v>Delivered</x:v>
      </x:c>
      <x:c r="W2918" t="n">
        <x:v>0</x:v>
      </x:c>
      <x:c r="X2918" t="str"/>
      <x:c r="Y2918" t="str">
        <x:v>Referral</x:v>
      </x:c>
    </x:row>
    <x:row r="2919">
      <x:c r="A2919" t="str">
        <x:v>O002918</x:v>
      </x:c>
      <x:c r="B2919" s="20" t="n">
        <x:v>46268</x:v>
      </x:c>
      <x:c r="C2919" t="str">
        <x:v>C0163</x:v>
      </x:c>
      <x:c r="D2919" t="str">
        <x:v>Shree Kitchen 163</x:v>
      </x:c>
      <x:c r="E2919" t="str">
        <x:v>Kirana</x:v>
      </x:c>
      <x:c r="F2919" t="str">
        <x:v>Mysuru</x:v>
      </x:c>
      <x:c r="G2919" t="str">
        <x:v>Priya</x:v>
      </x:c>
      <x:c r="H2919" t="str">
        <x:v>P005</x:v>
      </x:c>
      <x:c r="I2919" t="str">
        <x:v>Chana Dal 5kg</x:v>
      </x:c>
      <x:c r="J2919" t="str">
        <x:v>Pulses</x:v>
      </x:c>
      <x:c r="K2919" t="str">
        <x:v>Local Select</x:v>
      </x:c>
      <x:c r="L2919" s="22" t="n">
        <x:v>520</x:v>
      </x:c>
      <x:c r="M2919" t="n">
        <x:v>11</x:v>
      </x:c>
      <x:c r="N2919" s="24" t="n">
        <x:v>0.03</x:v>
      </x:c>
      <x:c r="O2919" s="22" t="n">
        <x:f>L2919*M2919</x:f>
        <x:v>5720</x:v>
      </x:c>
      <x:c r="P2919" s="22" t="n">
        <x:f>O2919*(1-N2919)</x:f>
        <x:v>5548.4</x:v>
      </x:c>
      <x:c r="Q2919" s="22" t="n">
        <x:v>455</x:v>
      </x:c>
      <x:c r="R2919" s="22" t="n">
        <x:f>Q2919*M2919</x:f>
        <x:v>5005</x:v>
      </x:c>
      <x:c r="S2919" s="22" t="n">
        <x:f>P2919-R2919</x:f>
        <x:v>543.3999999999996</x:v>
      </x:c>
      <x:c r="T2919" t="str">
        <x:v>Credit</x:v>
      </x:c>
      <x:c r="U2919" t="str">
        <x:v>Pending</x:v>
      </x:c>
      <x:c r="V2919" t="str">
        <x:v>Delayed</x:v>
      </x:c>
      <x:c r="W2919" t="n">
        <x:v>0</x:v>
      </x:c>
      <x:c r="X2919" t="str"/>
      <x:c r="Y2919" t="str">
        <x:v>Referral</x:v>
      </x:c>
    </x:row>
    <x:row r="2920">
      <x:c r="A2920" t="str">
        <x:v>O002919</x:v>
      </x:c>
      <x:c r="B2920" s="20" t="n">
        <x:v>45887</x:v>
      </x:c>
      <x:c r="C2920" t="str">
        <x:v>C0218</x:v>
      </x:c>
      <x:c r="D2920" t="str">
        <x:v>Green Stores 218</x:v>
      </x:c>
      <x:c r="E2920" t="str">
        <x:v>Hotel</x:v>
      </x:c>
      <x:c r="F2920" t="str">
        <x:v>Mysuru</x:v>
      </x:c>
      <x:c r="G2920" t="str">
        <x:v>Imran</x:v>
      </x:c>
      <x:c r="H2920" t="str">
        <x:v>P022</x:v>
      </x:c>
      <x:c r="I2920" t="str">
        <x:v>Mineral Water 1L</x:v>
      </x:c>
      <x:c r="J2920" t="str">
        <x:v>Beverage</x:v>
      </x:c>
      <x:c r="K2920" t="str">
        <x:v>Bisleri</x:v>
      </x:c>
      <x:c r="L2920" s="22" t="n">
        <x:v>19</x:v>
      </x:c>
      <x:c r="M2920" t="n">
        <x:v>2</x:v>
      </x:c>
      <x:c r="N2920" s="24" t="n">
        <x:v>0.03</x:v>
      </x:c>
      <x:c r="O2920" s="22" t="n">
        <x:f>L2920*M2920</x:f>
        <x:v>38</x:v>
      </x:c>
      <x:c r="P2920" s="22" t="n">
        <x:f>O2920*(1-N2920)</x:f>
        <x:v>36.86</x:v>
      </x:c>
      <x:c r="Q2920" s="22" t="n">
        <x:v>15</x:v>
      </x:c>
      <x:c r="R2920" s="22" t="n">
        <x:f>Q2920*M2920</x:f>
        <x:v>30</x:v>
      </x:c>
      <x:c r="S2920" s="22" t="n">
        <x:f>P2920-R2920</x:f>
        <x:v>6.859999999999999</x:v>
      </x:c>
      <x:c r="T2920" t="str">
        <x:v>Bank Transfer</x:v>
      </x:c>
      <x:c r="U2920" t="str">
        <x:v>Paid</x:v>
      </x:c>
      <x:c r="V2920" t="str">
        <x:v>Delivered</x:v>
      </x:c>
      <x:c r="W2920" t="n">
        <x:v>1</x:v>
      </x:c>
      <x:c r="X2920" t="str">
        <x:v>Wrong Item</x:v>
      </x:c>
      <x:c r="Y2920" t="str">
        <x:v>Referral</x:v>
      </x:c>
    </x:row>
    <x:row r="2921">
      <x:c r="A2921" t="str">
        <x:v>O002920</x:v>
      </x:c>
      <x:c r="B2921" s="20" t="n">
        <x:v>46113</x:v>
      </x:c>
      <x:c r="C2921" t="str">
        <x:v>C0168</x:v>
      </x:c>
      <x:c r="D2921" t="str">
        <x:v>Sagar Hotel 168</x:v>
      </x:c>
      <x:c r="E2921" t="str">
        <x:v>Canteen</x:v>
      </x:c>
      <x:c r="F2921" t="str">
        <x:v>Bengaluru</x:v>
      </x:c>
      <x:c r="G2921" t="str">
        <x:v>Priya</x:v>
      </x:c>
      <x:c r="H2921" t="str">
        <x:v>P030</x:v>
      </x:c>
      <x:c r="I2921" t="str">
        <x:v>Mayonnaise 1kg</x:v>
      </x:c>
      <x:c r="J2921" t="str">
        <x:v>Condiments</x:v>
      </x:c>
      <x:c r="K2921" t="str">
        <x:v>Veeba</x:v>
      </x:c>
      <x:c r="L2921" s="22" t="n">
        <x:v>210</x:v>
      </x:c>
      <x:c r="M2921" t="n">
        <x:v>18</x:v>
      </x:c>
      <x:c r="N2921" s="24" t="n">
        <x:v>0</x:v>
      </x:c>
      <x:c r="O2921" s="22" t="n">
        <x:f>L2921*M2921</x:f>
        <x:v>3780</x:v>
      </x:c>
      <x:c r="P2921" s="22" t="n">
        <x:f>O2921*(1-N2921)</x:f>
        <x:v>3780</x:v>
      </x:c>
      <x:c r="Q2921" s="22" t="n">
        <x:v>185</x:v>
      </x:c>
      <x:c r="R2921" s="22" t="n">
        <x:f>Q2921*M2921</x:f>
        <x:v>3330</x:v>
      </x:c>
      <x:c r="S2921" s="22" t="n">
        <x:f>P2921-R2921</x:f>
        <x:v>450</x:v>
      </x:c>
      <x:c r="T2921" t="str">
        <x:v>UPI</x:v>
      </x:c>
      <x:c r="U2921" t="str">
        <x:v>Paid</x:v>
      </x:c>
      <x:c r="V2921" t="str">
        <x:v>Delayed</x:v>
      </x:c>
      <x:c r="W2921" t="n">
        <x:v>0</x:v>
      </x:c>
      <x:c r="X2921" t="str"/>
      <x:c r="Y2921" t="str">
        <x:v>Existing Customer</x:v>
      </x:c>
    </x:row>
    <x:row r="2922">
      <x:c r="A2922" t="str">
        <x:v>O002921</x:v>
      </x:c>
      <x:c r="B2922" s="20" t="n">
        <x:v>46206</x:v>
      </x:c>
      <x:c r="C2922" t="str">
        <x:v>C0189</x:v>
      </x:c>
      <x:c r="D2922" t="str">
        <x:v>Classic Canteen 189</x:v>
      </x:c>
      <x:c r="E2922" t="str">
        <x:v>Kirana</x:v>
      </x:c>
      <x:c r="F2922" t="str">
        <x:v>Hubballi</x:v>
      </x:c>
      <x:c r="G2922" t="str">
        <x:v>Vikram</x:v>
      </x:c>
      <x:c r="H2922" t="str">
        <x:v>P035</x:v>
      </x:c>
      <x:c r="I2922" t="str">
        <x:v>Coriander Powder 1kg</x:v>
      </x:c>
      <x:c r="J2922" t="str">
        <x:v>Spices</x:v>
      </x:c>
      <x:c r="K2922" t="str">
        <x:v>Everest</x:v>
      </x:c>
      <x:c r="L2922" s="22" t="n">
        <x:v>280</x:v>
      </x:c>
      <x:c r="M2922" t="n">
        <x:v>29</x:v>
      </x:c>
      <x:c r="N2922" s="24" t="n">
        <x:v>0.05</x:v>
      </x:c>
      <x:c r="O2922" s="22" t="n">
        <x:f>L2922*M2922</x:f>
        <x:v>8120</x:v>
      </x:c>
      <x:c r="P2922" s="22" t="n">
        <x:f>O2922*(1-N2922)</x:f>
        <x:v>7714</x:v>
      </x:c>
      <x:c r="Q2922" s="22" t="n">
        <x:v>245</x:v>
      </x:c>
      <x:c r="R2922" s="22" t="n">
        <x:f>Q2922*M2922</x:f>
        <x:v>7105</x:v>
      </x:c>
      <x:c r="S2922" s="22" t="n">
        <x:f>P2922-R2922</x:f>
        <x:v>609</x:v>
      </x:c>
      <x:c r="T2922" t="str">
        <x:v>Bank Transfer</x:v>
      </x:c>
      <x:c r="U2922" t="str">
        <x:v>Paid</x:v>
      </x:c>
      <x:c r="V2922" t="str">
        <x:v>Delivered</x:v>
      </x:c>
      <x:c r="W2922" t="n">
        <x:v>0</x:v>
      </x:c>
      <x:c r="X2922" t="str"/>
      <x:c r="Y2922" t="str">
        <x:v>Existing Customer</x:v>
      </x:c>
    </x:row>
    <x:row r="2923">
      <x:c r="A2923" t="str">
        <x:v>O002922</x:v>
      </x:c>
      <x:c r="B2923" s="20" t="n">
        <x:v>45684</x:v>
      </x:c>
      <x:c r="C2923" t="str">
        <x:v>C0192</x:v>
      </x:c>
      <x:c r="D2923" t="str">
        <x:v>Shree Kitchen 192</x:v>
      </x:c>
      <x:c r="E2923" t="str">
        <x:v>Restaurant</x:v>
      </x:c>
      <x:c r="F2923" t="str">
        <x:v>Mysuru</x:v>
      </x:c>
      <x:c r="G2923" t="str">
        <x:v>Sneha</x:v>
      </x:c>
      <x:c r="H2923" t="str">
        <x:v>P048</x:v>
      </x:c>
      <x:c r="I2923" t="str">
        <x:v>Banana 10kg</x:v>
      </x:c>
      <x:c r="J2923" t="str">
        <x:v>Fresh Produce</x:v>
      </x:c>
      <x:c r="K2923" t="str">
        <x:v>Local Market</x:v>
      </x:c>
      <x:c r="L2923" s="22" t="n">
        <x:v>420</x:v>
      </x:c>
      <x:c r="M2923" t="n">
        <x:v>6</x:v>
      </x:c>
      <x:c r="N2923" s="24" t="n">
        <x:v>0.1</x:v>
      </x:c>
      <x:c r="O2923" s="22" t="n">
        <x:f>L2923*M2923</x:f>
        <x:v>2520</x:v>
      </x:c>
      <x:c r="P2923" s="22" t="n">
        <x:f>O2923*(1-N2923)</x:f>
        <x:v>2268</x:v>
      </x:c>
      <x:c r="Q2923" s="22" t="n">
        <x:v>350</x:v>
      </x:c>
      <x:c r="R2923" s="22" t="n">
        <x:f>Q2923*M2923</x:f>
        <x:v>2100</x:v>
      </x:c>
      <x:c r="S2923" s="22" t="n">
        <x:f>P2923-R2923</x:f>
        <x:v>168</x:v>
      </x:c>
      <x:c r="T2923" t="str">
        <x:v>Bank Transfer</x:v>
      </x:c>
      <x:c r="U2923" t="str">
        <x:v>Paid</x:v>
      </x:c>
      <x:c r="V2923" t="str">
        <x:v>Delayed</x:v>
      </x:c>
      <x:c r="W2923" t="n">
        <x:v>0</x:v>
      </x:c>
      <x:c r="X2923" t="str"/>
      <x:c r="Y2923" t="str">
        <x:v>Existing Customer</x:v>
      </x:c>
    </x:row>
    <x:row r="2924">
      <x:c r="A2924" t="str">
        <x:v>O002923</x:v>
      </x:c>
      <x:c r="B2924" s="20" t="n">
        <x:v>46083</x:v>
      </x:c>
      <x:c r="C2924" t="str">
        <x:v>C0075</x:v>
      </x:c>
      <x:c r="D2924" t="str">
        <x:v>Spice Foods 75</x:v>
      </x:c>
      <x:c r="E2924" t="str">
        <x:v>Kirana</x:v>
      </x:c>
      <x:c r="F2924" t="str">
        <x:v>Hubballi</x:v>
      </x:c>
      <x:c r="G2924" t="str">
        <x:v>Vikram</x:v>
      </x:c>
      <x:c r="H2924" t="str">
        <x:v>P017</x:v>
      </x:c>
      <x:c r="I2924" t="str">
        <x:v>Butter 500g</x:v>
      </x:c>
      <x:c r="J2924" t="str">
        <x:v>Dairy</x:v>
      </x:c>
      <x:c r="K2924" t="str">
        <x:v>Amul</x:v>
      </x:c>
      <x:c r="L2924" s="22" t="n">
        <x:v>285</x:v>
      </x:c>
      <x:c r="M2924" t="n">
        <x:v>27</x:v>
      </x:c>
      <x:c r="N2924" s="24" t="n">
        <x:v>0.02</x:v>
      </x:c>
      <x:c r="O2924" s="22" t="n">
        <x:f>L2924*M2924</x:f>
        <x:v>7695</x:v>
      </x:c>
      <x:c r="P2924" s="22" t="n">
        <x:f>O2924*(1-N2924)</x:f>
        <x:v>7541.099999999999</x:v>
      </x:c>
      <x:c r="Q2924" s="22" t="n">
        <x:v>258</x:v>
      </x:c>
      <x:c r="R2924" s="22" t="n">
        <x:f>Q2924*M2924</x:f>
        <x:v>6966</x:v>
      </x:c>
      <x:c r="S2924" s="22" t="n">
        <x:f>P2924-R2924</x:f>
        <x:v>575.0999999999995</x:v>
      </x:c>
      <x:c r="T2924" t="str">
        <x:v>Cash</x:v>
      </x:c>
      <x:c r="U2924" t="str">
        <x:v>Paid</x:v>
      </x:c>
      <x:c r="V2924" t="str">
        <x:v>Delivered</x:v>
      </x:c>
      <x:c r="W2924" t="n">
        <x:v>0</x:v>
      </x:c>
      <x:c r="X2924" t="str"/>
      <x:c r="Y2924" t="str">
        <x:v>Outbound Call</x:v>
      </x:c>
    </x:row>
    <x:row r="2925">
      <x:c r="A2925" t="str">
        <x:v>O002924</x:v>
      </x:c>
      <x:c r="B2925" s="20" t="n">
        <x:v>45677</x:v>
      </x:c>
      <x:c r="C2925" t="str">
        <x:v>C0107</x:v>
      </x:c>
      <x:c r="D2925" t="str">
        <x:v>Mysore Cafe 107</x:v>
      </x:c>
      <x:c r="E2925" t="str">
        <x:v>Supermarket</x:v>
      </x:c>
      <x:c r="F2925" t="str">
        <x:v>Tumakuru</x:v>
      </x:c>
      <x:c r="G2925" t="str">
        <x:v>Megha</x:v>
      </x:c>
      <x:c r="H2925" t="str">
        <x:v>P045</x:v>
      </x:c>
      <x:c r="I2925" t="str">
        <x:v>Onion 25kg</x:v>
      </x:c>
      <x:c r="J2925" t="str">
        <x:v>Fresh Produce</x:v>
      </x:c>
      <x:c r="K2925" t="str">
        <x:v>Local Market</x:v>
      </x:c>
      <x:c r="L2925" s="22" t="n">
        <x:v>875</x:v>
      </x:c>
      <x:c r="M2925" t="n">
        <x:v>28</x:v>
      </x:c>
      <x:c r="N2925" s="24" t="n">
        <x:v>0.08</x:v>
      </x:c>
      <x:c r="O2925" s="22" t="n">
        <x:f>L2925*M2925</x:f>
        <x:v>24500</x:v>
      </x:c>
      <x:c r="P2925" s="22" t="n">
        <x:f>O2925*(1-N2925)</x:f>
        <x:v>22540</x:v>
      </x:c>
      <x:c r="Q2925" s="22" t="n">
        <x:v>760</x:v>
      </x:c>
      <x:c r="R2925" s="22" t="n">
        <x:f>Q2925*M2925</x:f>
        <x:v>21280</x:v>
      </x:c>
      <x:c r="S2925" s="22" t="n">
        <x:f>P2925-R2925</x:f>
        <x:v>1260</x:v>
      </x:c>
      <x:c r="T2925" t="str">
        <x:v>Cash</x:v>
      </x:c>
      <x:c r="U2925" t="str">
        <x:v>Paid</x:v>
      </x:c>
      <x:c r="V2925" t="str">
        <x:v>Cancelled</x:v>
      </x:c>
      <x:c r="W2925" t="n">
        <x:v>28</x:v>
      </x:c>
      <x:c r="X2925" t="str">
        <x:v>Cancelled Order</x:v>
      </x:c>
      <x:c r="Y2925" t="str">
        <x:v>Field Visit</x:v>
      </x:c>
    </x:row>
    <x:row r="2926">
      <x:c r="A2926" t="str">
        <x:v>O002925</x:v>
      </x:c>
      <x:c r="B2926" s="20" t="n">
        <x:v>46028</x:v>
      </x:c>
      <x:c r="C2926" t="str">
        <x:v>C0088</x:v>
      </x:c>
      <x:c r="D2926" t="str">
        <x:v>Darshini Kitchen 88</x:v>
      </x:c>
      <x:c r="E2926" t="str">
        <x:v>Cafe</x:v>
      </x:c>
      <x:c r="F2926" t="str">
        <x:v>Tumakuru</x:v>
      </x:c>
      <x:c r="G2926" t="str">
        <x:v>Arjun</x:v>
      </x:c>
      <x:c r="H2926" t="str">
        <x:v>P012</x:v>
      </x:c>
      <x:c r="I2926" t="str">
        <x:v>Maida 10kg</x:v>
      </x:c>
      <x:c r="J2926" t="str">
        <x:v>Flour</x:v>
      </x:c>
      <x:c r="K2926" t="str">
        <x:v>Aashirvaad</x:v>
      </x:c>
      <x:c r="L2926" s="22" t="n">
        <x:v>520</x:v>
      </x:c>
      <x:c r="M2926" t="n">
        <x:v>30</x:v>
      </x:c>
      <x:c r="N2926" s="24" t="n">
        <x:v>0</x:v>
      </x:c>
      <x:c r="O2926" s="22" t="n">
        <x:f>L2926*M2926</x:f>
        <x:v>15600</x:v>
      </x:c>
      <x:c r="P2926" s="22" t="n">
        <x:f>O2926*(1-N2926)</x:f>
        <x:v>15600</x:v>
      </x:c>
      <x:c r="Q2926" s="22" t="n">
        <x:v>460</x:v>
      </x:c>
      <x:c r="R2926" s="22" t="n">
        <x:f>Q2926*M2926</x:f>
        <x:v>13800</x:v>
      </x:c>
      <x:c r="S2926" s="22" t="n">
        <x:f>P2926-R2926</x:f>
        <x:v>1800</x:v>
      </x:c>
      <x:c r="T2926" t="str">
        <x:v>Credit</x:v>
      </x:c>
      <x:c r="U2926" t="str">
        <x:v>Paid</x:v>
      </x:c>
      <x:c r="V2926" t="str">
        <x:v>Delivered</x:v>
      </x:c>
      <x:c r="W2926" t="n">
        <x:v>0</x:v>
      </x:c>
      <x:c r="X2926" t="str"/>
      <x:c r="Y2926" t="str">
        <x:v>Existing Customer</x:v>
      </x:c>
    </x:row>
    <x:row r="2927">
      <x:c r="A2927" t="str">
        <x:v>O002926</x:v>
      </x:c>
      <x:c r="B2927" s="20" t="n">
        <x:v>46278</x:v>
      </x:c>
      <x:c r="C2927" t="str">
        <x:v>C0114</x:v>
      </x:c>
      <x:c r="D2927" t="str">
        <x:v>Annapurna Restaurant 114</x:v>
      </x:c>
      <x:c r="E2927" t="str">
        <x:v>Restaurant</x:v>
      </x:c>
      <x:c r="F2927" t="str">
        <x:v>Davanagere</x:v>
      </x:c>
      <x:c r="G2927" t="str">
        <x:v>Arjun</x:v>
      </x:c>
      <x:c r="H2927" t="str">
        <x:v>P001</x:v>
      </x:c>
      <x:c r="I2927" t="str">
        <x:v>Steam Rice 25kg</x:v>
      </x:c>
      <x:c r="J2927" t="str">
        <x:v>Staples</x:v>
      </x:c>
      <x:c r="K2927" t="str">
        <x:v>Aishwarya</x:v>
      </x:c>
      <x:c r="L2927" s="22" t="n">
        <x:v>1180</x:v>
      </x:c>
      <x:c r="M2927" t="n">
        <x:v>7</x:v>
      </x:c>
      <x:c r="N2927" s="24" t="n">
        <x:v>0.02</x:v>
      </x:c>
      <x:c r="O2927" s="22" t="n">
        <x:f>L2927*M2927</x:f>
        <x:v>8260</x:v>
      </x:c>
      <x:c r="P2927" s="22" t="n">
        <x:f>O2927*(1-N2927)</x:f>
        <x:v>8094.8</x:v>
      </x:c>
      <x:c r="Q2927" s="22" t="n">
        <x:v>1040</x:v>
      </x:c>
      <x:c r="R2927" s="22" t="n">
        <x:f>Q2927*M2927</x:f>
        <x:v>7280</x:v>
      </x:c>
      <x:c r="S2927" s="22" t="n">
        <x:f>P2927-R2927</x:f>
        <x:v>814.8000000000002</x:v>
      </x:c>
      <x:c r="T2927" t="str">
        <x:v>Credit</x:v>
      </x:c>
      <x:c r="U2927" t="str">
        <x:v>Paid</x:v>
      </x:c>
      <x:c r="V2927" t="str">
        <x:v>Delivered</x:v>
      </x:c>
      <x:c r="W2927" t="n">
        <x:v>0</x:v>
      </x:c>
      <x:c r="X2927" t="str"/>
      <x:c r="Y2927" t="str">
        <x:v>Outbound Call</x:v>
      </x:c>
    </x:row>
    <x:row r="2928">
      <x:c r="A2928" t="str">
        <x:v>O002927</x:v>
      </x:c>
      <x:c r="B2928" s="20" t="n">
        <x:v>46170</x:v>
      </x:c>
      <x:c r="C2928" t="str">
        <x:v>C0158</x:v>
      </x:c>
      <x:c r="D2928" t="str">
        <x:v>Cafe Stores 158</x:v>
      </x:c>
      <x:c r="E2928" t="str">
        <x:v>Cafe</x:v>
      </x:c>
      <x:c r="F2928" t="str">
        <x:v>Mysuru</x:v>
      </x:c>
      <x:c r="G2928" t="str">
        <x:v>Priya</x:v>
      </x:c>
      <x:c r="H2928" t="str">
        <x:v>P033</x:v>
      </x:c>
      <x:c r="I2928" t="str">
        <x:v>Turmeric Powder 1kg</x:v>
      </x:c>
      <x:c r="J2928" t="str">
        <x:v>Spices</x:v>
      </x:c>
      <x:c r="K2928" t="str">
        <x:v>Everest</x:v>
      </x:c>
      <x:c r="L2928" s="22" t="n">
        <x:v>310</x:v>
      </x:c>
      <x:c r="M2928" t="n">
        <x:v>39</x:v>
      </x:c>
      <x:c r="N2928" s="24" t="n">
        <x:v>0.03</x:v>
      </x:c>
      <x:c r="O2928" s="22" t="n">
        <x:f>L2928*M2928</x:f>
        <x:v>12090</x:v>
      </x:c>
      <x:c r="P2928" s="22" t="n">
        <x:f>O2928*(1-N2928)</x:f>
        <x:v>11727.3</x:v>
      </x:c>
      <x:c r="Q2928" s="22" t="n">
        <x:v>270</x:v>
      </x:c>
      <x:c r="R2928" s="22" t="n">
        <x:f>Q2928*M2928</x:f>
        <x:v>10530</x:v>
      </x:c>
      <x:c r="S2928" s="22" t="n">
        <x:f>P2928-R2928</x:f>
        <x:v>1197.2999999999993</x:v>
      </x:c>
      <x:c r="T2928" t="str">
        <x:v>Bank Transfer</x:v>
      </x:c>
      <x:c r="U2928" t="str">
        <x:v>Paid</x:v>
      </x:c>
      <x:c r="V2928" t="str">
        <x:v>Delivered</x:v>
      </x:c>
      <x:c r="W2928" t="n">
        <x:v>0</x:v>
      </x:c>
      <x:c r="X2928" t="str"/>
      <x:c r="Y2928" t="str">
        <x:v>Outbound Call</x:v>
      </x:c>
    </x:row>
    <x:row r="2929">
      <x:c r="A2929" t="str">
        <x:v>O002928</x:v>
      </x:c>
      <x:c r="B2929" s="20" t="n">
        <x:v>45808</x:v>
      </x:c>
      <x:c r="C2929" t="str">
        <x:v>C0035</x:v>
      </x:c>
      <x:c r="D2929" t="str">
        <x:v>City Foods 35</x:v>
      </x:c>
      <x:c r="E2929" t="str">
        <x:v>Kirana</x:v>
      </x:c>
      <x:c r="F2929" t="str">
        <x:v>Bengaluru</x:v>
      </x:c>
      <x:c r="G2929" t="str">
        <x:v>Megha</x:v>
      </x:c>
      <x:c r="H2929" t="str">
        <x:v>P033</x:v>
      </x:c>
      <x:c r="I2929" t="str">
        <x:v>Turmeric Powder 1kg</x:v>
      </x:c>
      <x:c r="J2929" t="str">
        <x:v>Spices</x:v>
      </x:c>
      <x:c r="K2929" t="str">
        <x:v>Everest</x:v>
      </x:c>
      <x:c r="L2929" s="22" t="n">
        <x:v>310</x:v>
      </x:c>
      <x:c r="M2929" t="n">
        <x:v>26</x:v>
      </x:c>
      <x:c r="N2929" s="24" t="n">
        <x:v>0.05</x:v>
      </x:c>
      <x:c r="O2929" s="22" t="n">
        <x:f>L2929*M2929</x:f>
        <x:v>8060</x:v>
      </x:c>
      <x:c r="P2929" s="22" t="n">
        <x:f>O2929*(1-N2929)</x:f>
        <x:v>7657</x:v>
      </x:c>
      <x:c r="Q2929" s="22" t="n">
        <x:v>270</x:v>
      </x:c>
      <x:c r="R2929" s="22" t="n">
        <x:f>Q2929*M2929</x:f>
        <x:v>7020</x:v>
      </x:c>
      <x:c r="S2929" s="22" t="n">
        <x:f>P2929-R2929</x:f>
        <x:v>637</x:v>
      </x:c>
      <x:c r="T2929" t="str">
        <x:v>UPI</x:v>
      </x:c>
      <x:c r="U2929" t="str">
        <x:v>Paid</x:v>
      </x:c>
      <x:c r="V2929" t="str">
        <x:v>Delivered</x:v>
      </x:c>
      <x:c r="W2929" t="n">
        <x:v>0</x:v>
      </x:c>
      <x:c r="X2929" t="str"/>
      <x:c r="Y2929" t="str">
        <x:v>WhatsApp</x:v>
      </x:c>
    </x:row>
    <x:row r="2930">
      <x:c r="A2930" t="str">
        <x:v>O002929</x:v>
      </x:c>
      <x:c r="B2930" s="20" t="n">
        <x:v>46162</x:v>
      </x:c>
      <x:c r="C2930" t="str">
        <x:v>C0088</x:v>
      </x:c>
      <x:c r="D2930" t="str">
        <x:v>Darshini Kitchen 88</x:v>
      </x:c>
      <x:c r="E2930" t="str">
        <x:v>Cafe</x:v>
      </x:c>
      <x:c r="F2930" t="str">
        <x:v>Tumakuru</x:v>
      </x:c>
      <x:c r="G2930" t="str">
        <x:v>Arjun</x:v>
      </x:c>
      <x:c r="H2930" t="str">
        <x:v>P013</x:v>
      </x:c>
      <x:c r="I2930" t="str">
        <x:v>Atta 10kg</x:v>
      </x:c>
      <x:c r="J2930" t="str">
        <x:v>Flour</x:v>
      </x:c>
      <x:c r="K2930" t="str">
        <x:v>Aashirvaad</x:v>
      </x:c>
      <x:c r="L2930" s="22" t="n">
        <x:v>560</x:v>
      </x:c>
      <x:c r="M2930" t="n">
        <x:v>5</x:v>
      </x:c>
      <x:c r="N2930" s="24" t="n">
        <x:v>0.05</x:v>
      </x:c>
      <x:c r="O2930" s="22" t="n">
        <x:f>L2930*M2930</x:f>
        <x:v>2800</x:v>
      </x:c>
      <x:c r="P2930" s="22" t="n">
        <x:f>O2930*(1-N2930)</x:f>
        <x:v>2660</x:v>
      </x:c>
      <x:c r="Q2930" s="22" t="n">
        <x:v>495</x:v>
      </x:c>
      <x:c r="R2930" s="22" t="n">
        <x:f>Q2930*M2930</x:f>
        <x:v>2475</x:v>
      </x:c>
      <x:c r="S2930" s="22" t="n">
        <x:f>P2930-R2930</x:f>
        <x:v>185</x:v>
      </x:c>
      <x:c r="T2930" t="str">
        <x:v>Credit</x:v>
      </x:c>
      <x:c r="U2930" t="str">
        <x:v>Paid</x:v>
      </x:c>
      <x:c r="V2930" t="str">
        <x:v>Delivered</x:v>
      </x:c>
      <x:c r="W2930" t="n">
        <x:v>0</x:v>
      </x:c>
      <x:c r="X2930" t="str"/>
      <x:c r="Y2930" t="str">
        <x:v>WhatsApp</x:v>
      </x:c>
    </x:row>
    <x:row r="2931">
      <x:c r="A2931" t="str">
        <x:v>O002930</x:v>
      </x:c>
      <x:c r="B2931" s="20" t="n">
        <x:v>45734</x:v>
      </x:c>
      <x:c r="C2931" t="str">
        <x:v>C0003</x:v>
      </x:c>
      <x:c r="D2931" t="str">
        <x:v>Grand Foods 3</x:v>
      </x:c>
      <x:c r="E2931" t="str">
        <x:v>Restaurant</x:v>
      </x:c>
      <x:c r="F2931" t="str">
        <x:v>Bengaluru</x:v>
      </x:c>
      <x:c r="G2931" t="str">
        <x:v>Vikram</x:v>
      </x:c>
      <x:c r="H2931" t="str">
        <x:v>P013</x:v>
      </x:c>
      <x:c r="I2931" t="str">
        <x:v>Atta 10kg</x:v>
      </x:c>
      <x:c r="J2931" t="str">
        <x:v>Flour</x:v>
      </x:c>
      <x:c r="K2931" t="str">
        <x:v>Aashirvaad</x:v>
      </x:c>
      <x:c r="L2931" s="22" t="n">
        <x:v>560</x:v>
      </x:c>
      <x:c r="M2931" t="n">
        <x:v>26</x:v>
      </x:c>
      <x:c r="N2931" s="24" t="n">
        <x:v>0.02</x:v>
      </x:c>
      <x:c r="O2931" s="22" t="n">
        <x:f>L2931*M2931</x:f>
        <x:v>14560</x:v>
      </x:c>
      <x:c r="P2931" s="22" t="n">
        <x:f>O2931*(1-N2931)</x:f>
        <x:v>14268.8</x:v>
      </x:c>
      <x:c r="Q2931" s="22" t="n">
        <x:v>495</x:v>
      </x:c>
      <x:c r="R2931" s="22" t="n">
        <x:f>Q2931*M2931</x:f>
        <x:v>12870</x:v>
      </x:c>
      <x:c r="S2931" s="22" t="n">
        <x:f>P2931-R2931</x:f>
        <x:v>1398.7999999999993</x:v>
      </x:c>
      <x:c r="T2931" t="str">
        <x:v>Credit</x:v>
      </x:c>
      <x:c r="U2931" t="str">
        <x:v>Overdue</x:v>
      </x:c>
      <x:c r="V2931" t="str">
        <x:v>Delayed</x:v>
      </x:c>
      <x:c r="W2931" t="n">
        <x:v>0</x:v>
      </x:c>
      <x:c r="X2931" t="str"/>
      <x:c r="Y2931" t="str">
        <x:v>Field Visit</x:v>
      </x:c>
    </x:row>
    <x:row r="2932">
      <x:c r="A2932" t="str">
        <x:v>O002931</x:v>
      </x:c>
      <x:c r="B2932" s="20" t="n">
        <x:v>46254</x:v>
      </x:c>
      <x:c r="C2932" t="str">
        <x:v>C0037</x:v>
      </x:c>
      <x:c r="D2932" t="str">
        <x:v>Royal Cafe 37</x:v>
      </x:c>
      <x:c r="E2932" t="str">
        <x:v>Hotel</x:v>
      </x:c>
      <x:c r="F2932" t="str">
        <x:v>Mysuru</x:v>
      </x:c>
      <x:c r="G2932" t="str">
        <x:v>Sneha</x:v>
      </x:c>
      <x:c r="H2932" t="str">
        <x:v>P030</x:v>
      </x:c>
      <x:c r="I2932" t="str">
        <x:v>Mayonnaise 1kg</x:v>
      </x:c>
      <x:c r="J2932" t="str">
        <x:v>Condiments</x:v>
      </x:c>
      <x:c r="K2932" t="str">
        <x:v>Veeba</x:v>
      </x:c>
      <x:c r="L2932" s="22" t="n">
        <x:v>210</x:v>
      </x:c>
      <x:c r="M2932" t="n">
        <x:v>34</x:v>
      </x:c>
      <x:c r="N2932" s="24" t="n">
        <x:v>0</x:v>
      </x:c>
      <x:c r="O2932" s="22" t="n">
        <x:f>L2932*M2932</x:f>
        <x:v>7140</x:v>
      </x:c>
      <x:c r="P2932" s="22" t="n">
        <x:f>O2932*(1-N2932)</x:f>
        <x:v>7140</x:v>
      </x:c>
      <x:c r="Q2932" s="22" t="n">
        <x:v>185</x:v>
      </x:c>
      <x:c r="R2932" s="22" t="n">
        <x:f>Q2932*M2932</x:f>
        <x:v>6290</x:v>
      </x:c>
      <x:c r="S2932" s="22" t="n">
        <x:f>P2932-R2932</x:f>
        <x:v>850</x:v>
      </x:c>
      <x:c r="T2932" t="str">
        <x:v>UPI</x:v>
      </x:c>
      <x:c r="U2932" t="str">
        <x:v>Pending</x:v>
      </x:c>
      <x:c r="V2932" t="str">
        <x:v>Delivered</x:v>
      </x:c>
      <x:c r="W2932" t="n">
        <x:v>0</x:v>
      </x:c>
      <x:c r="X2932" t="str"/>
      <x:c r="Y2932" t="str">
        <x:v>Field Visit</x:v>
      </x:c>
    </x:row>
    <x:row r="2933">
      <x:c r="A2933" t="str">
        <x:v>O002932</x:v>
      </x:c>
      <x:c r="B2933" s="20" t="n">
        <x:v>45934</x:v>
      </x:c>
      <x:c r="C2933" t="str">
        <x:v>C0096</x:v>
      </x:c>
      <x:c r="D2933" t="str">
        <x:v>Metro Foods 96</x:v>
      </x:c>
      <x:c r="E2933" t="str">
        <x:v>Kirana</x:v>
      </x:c>
      <x:c r="F2933" t="str">
        <x:v>Davanagere</x:v>
      </x:c>
      <x:c r="G2933" t="str">
        <x:v>Vikram</x:v>
      </x:c>
      <x:c r="H2933" t="str">
        <x:v>P044</x:v>
      </x:c>
      <x:c r="I2933" t="str">
        <x:v>Chicken Curry Cut 1kg</x:v>
      </x:c>
      <x:c r="J2933" t="str">
        <x:v>Protein</x:v>
      </x:c>
      <x:c r="K2933" t="str">
        <x:v>FreshToHome</x:v>
      </x:c>
      <x:c r="L2933" s="22" t="n">
        <x:v>230</x:v>
      </x:c>
      <x:c r="M2933" t="n">
        <x:v>6</x:v>
      </x:c>
      <x:c r="N2933" s="24" t="n">
        <x:v>0.05</x:v>
      </x:c>
      <x:c r="O2933" s="22" t="n">
        <x:f>L2933*M2933</x:f>
        <x:v>1380</x:v>
      </x:c>
      <x:c r="P2933" s="22" t="n">
        <x:f>O2933*(1-N2933)</x:f>
        <x:v>1311</x:v>
      </x:c>
      <x:c r="Q2933" s="22" t="n">
        <x:v>205</x:v>
      </x:c>
      <x:c r="R2933" s="22" t="n">
        <x:f>Q2933*M2933</x:f>
        <x:v>1230</x:v>
      </x:c>
      <x:c r="S2933" s="22" t="n">
        <x:f>P2933-R2933</x:f>
        <x:v>81</x:v>
      </x:c>
      <x:c r="T2933" t="str">
        <x:v>UPI</x:v>
      </x:c>
      <x:c r="U2933" t="str">
        <x:v>Paid</x:v>
      </x:c>
      <x:c r="V2933" t="str">
        <x:v>Delayed</x:v>
      </x:c>
      <x:c r="W2933" t="n">
        <x:v>0</x:v>
      </x:c>
      <x:c r="X2933" t="str"/>
      <x:c r="Y2933" t="str">
        <x:v>Outbound Call</x:v>
      </x:c>
    </x:row>
    <x:row r="2934">
      <x:c r="A2934" t="str">
        <x:v>O002933</x:v>
      </x:c>
      <x:c r="B2934" s="20" t="n">
        <x:v>45925</x:v>
      </x:c>
      <x:c r="C2934" t="str">
        <x:v>C0143</x:v>
      </x:c>
      <x:c r="D2934" t="str">
        <x:v>Foodie Restaurant 143</x:v>
      </x:c>
      <x:c r="E2934" t="str">
        <x:v>Restaurant</x:v>
      </x:c>
      <x:c r="F2934" t="str">
        <x:v>Hubballi</x:v>
      </x:c>
      <x:c r="G2934" t="str">
        <x:v>Priya</x:v>
      </x:c>
      <x:c r="H2934" t="str">
        <x:v>P044</x:v>
      </x:c>
      <x:c r="I2934" t="str">
        <x:v>Chicken Curry Cut 1kg</x:v>
      </x:c>
      <x:c r="J2934" t="str">
        <x:v>Protein</x:v>
      </x:c>
      <x:c r="K2934" t="str">
        <x:v>FreshToHome</x:v>
      </x:c>
      <x:c r="L2934" s="22" t="n">
        <x:v>230</x:v>
      </x:c>
      <x:c r="M2934" t="n">
        <x:v>36</x:v>
      </x:c>
      <x:c r="N2934" s="24" t="n">
        <x:v>0</x:v>
      </x:c>
      <x:c r="O2934" s="22" t="n">
        <x:f>L2934*M2934</x:f>
        <x:v>8280</x:v>
      </x:c>
      <x:c r="P2934" s="22" t="n">
        <x:f>O2934*(1-N2934)</x:f>
        <x:v>8280</x:v>
      </x:c>
      <x:c r="Q2934" s="22" t="n">
        <x:v>205</x:v>
      </x:c>
      <x:c r="R2934" s="22" t="n">
        <x:f>Q2934*M2934</x:f>
        <x:v>7380</x:v>
      </x:c>
      <x:c r="S2934" s="22" t="n">
        <x:f>P2934-R2934</x:f>
        <x:v>900</x:v>
      </x:c>
      <x:c r="T2934" t="str">
        <x:v>Credit</x:v>
      </x:c>
      <x:c r="U2934" t="str">
        <x:v>Paid</x:v>
      </x:c>
      <x:c r="V2934" t="str">
        <x:v>Cancelled</x:v>
      </x:c>
      <x:c r="W2934" t="n">
        <x:v>36</x:v>
      </x:c>
      <x:c r="X2934" t="str">
        <x:v>Cancelled Order</x:v>
      </x:c>
      <x:c r="Y2934" t="str">
        <x:v>Outbound Call</x:v>
      </x:c>
    </x:row>
    <x:row r="2935">
      <x:c r="A2935" t="str">
        <x:v>O002934</x:v>
      </x:c>
      <x:c r="B2935" s="20" t="n">
        <x:v>46067</x:v>
      </x:c>
      <x:c r="C2935" t="str">
        <x:v>C0178</x:v>
      </x:c>
      <x:c r="D2935" t="str">
        <x:v>Annapurna Foods 178</x:v>
      </x:c>
      <x:c r="E2935" t="str">
        <x:v>Canteen</x:v>
      </x:c>
      <x:c r="F2935" t="str">
        <x:v>Tumakuru</x:v>
      </x:c>
      <x:c r="G2935" t="str">
        <x:v>Imran</x:v>
      </x:c>
      <x:c r="H2935" t="str">
        <x:v>P033</x:v>
      </x:c>
      <x:c r="I2935" t="str">
        <x:v>Turmeric Powder 1kg</x:v>
      </x:c>
      <x:c r="J2935" t="str">
        <x:v>Spices</x:v>
      </x:c>
      <x:c r="K2935" t="str">
        <x:v>Everest</x:v>
      </x:c>
      <x:c r="L2935" s="22" t="n">
        <x:v>310</x:v>
      </x:c>
      <x:c r="M2935" t="n">
        <x:v>32</x:v>
      </x:c>
      <x:c r="N2935" s="24" t="n">
        <x:v>0.08</x:v>
      </x:c>
      <x:c r="O2935" s="22" t="n">
        <x:f>L2935*M2935</x:f>
        <x:v>9920</x:v>
      </x:c>
      <x:c r="P2935" s="22" t="n">
        <x:f>O2935*(1-N2935)</x:f>
        <x:v>9126.4</x:v>
      </x:c>
      <x:c r="Q2935" s="22" t="n">
        <x:v>270</x:v>
      </x:c>
      <x:c r="R2935" s="22" t="n">
        <x:f>Q2935*M2935</x:f>
        <x:v>8640</x:v>
      </x:c>
      <x:c r="S2935" s="22" t="n">
        <x:f>P2935-R2935</x:f>
        <x:v>486.39999999999964</x:v>
      </x:c>
      <x:c r="T2935" t="str">
        <x:v>UPI</x:v>
      </x:c>
      <x:c r="U2935" t="str">
        <x:v>Paid</x:v>
      </x:c>
      <x:c r="V2935" t="str">
        <x:v>Delivered</x:v>
      </x:c>
      <x:c r="W2935" t="n">
        <x:v>0</x:v>
      </x:c>
      <x:c r="X2935" t="str"/>
      <x:c r="Y2935" t="str">
        <x:v>Outbound Call</x:v>
      </x:c>
    </x:row>
    <x:row r="2936">
      <x:c r="A2936" t="str">
        <x:v>O002935</x:v>
      </x:c>
      <x:c r="B2936" s="20" t="n">
        <x:v>45950</x:v>
      </x:c>
      <x:c r="C2936" t="str">
        <x:v>C0015</x:v>
      </x:c>
      <x:c r="D2936" t="str">
        <x:v>Royal Foods 15</x:v>
      </x:c>
      <x:c r="E2936" t="str">
        <x:v>Cafe</x:v>
      </x:c>
      <x:c r="F2936" t="str">
        <x:v>Mysuru</x:v>
      </x:c>
      <x:c r="G2936" t="str">
        <x:v>Ramesh</x:v>
      </x:c>
      <x:c r="H2936" t="str">
        <x:v>P031</x:v>
      </x:c>
      <x:c r="I2936" t="str">
        <x:v>Chilli Sauce 700g</x:v>
      </x:c>
      <x:c r="J2936" t="str">
        <x:v>Condiments</x:v>
      </x:c>
      <x:c r="K2936" t="str">
        <x:v>Ching's</x:v>
      </x:c>
      <x:c r="L2936" s="22" t="n">
        <x:v>130</x:v>
      </x:c>
      <x:c r="M2936" t="n">
        <x:v>4</x:v>
      </x:c>
      <x:c r="N2936" s="24" t="n">
        <x:v>0.02</x:v>
      </x:c>
      <x:c r="O2936" s="22" t="n">
        <x:f>L2936*M2936</x:f>
        <x:v>520</x:v>
      </x:c>
      <x:c r="P2936" s="22" t="n">
        <x:f>O2936*(1-N2936)</x:f>
        <x:v>509.59999999999997</x:v>
      </x:c>
      <x:c r="Q2936" s="22" t="n">
        <x:v>112</x:v>
      </x:c>
      <x:c r="R2936" s="22" t="n">
        <x:f>Q2936*M2936</x:f>
        <x:v>448</x:v>
      </x:c>
      <x:c r="S2936" s="22" t="n">
        <x:f>P2936-R2936</x:f>
        <x:v>61.599999999999966</x:v>
      </x:c>
      <x:c r="T2936" t="str">
        <x:v>Bank Transfer</x:v>
      </x:c>
      <x:c r="U2936" t="str">
        <x:v>Paid</x:v>
      </x:c>
      <x:c r="V2936" t="str">
        <x:v>Delayed</x:v>
      </x:c>
      <x:c r="W2936" t="n">
        <x:v>0</x:v>
      </x:c>
      <x:c r="X2936" t="str"/>
      <x:c r="Y2936" t="str">
        <x:v>Existing Customer</x:v>
      </x:c>
    </x:row>
    <x:row r="2937">
      <x:c r="A2937" t="str">
        <x:v>O002936</x:v>
      </x:c>
      <x:c r="B2937" s="20" t="n">
        <x:v>46046</x:v>
      </x:c>
      <x:c r="C2937" t="str">
        <x:v>C0114</x:v>
      </x:c>
      <x:c r="D2937" t="str">
        <x:v>Annapurna Restaurant 114</x:v>
      </x:c>
      <x:c r="E2937" t="str">
        <x:v>Restaurant</x:v>
      </x:c>
      <x:c r="F2937" t="str">
        <x:v>Davanagere</x:v>
      </x:c>
      <x:c r="G2937" t="str">
        <x:v>Arjun</x:v>
      </x:c>
      <x:c r="H2937" t="str">
        <x:v>P039</x:v>
      </x:c>
      <x:c r="I2937" t="str">
        <x:v>Ice Cream 4L</x:v>
      </x:c>
      <x:c r="J2937" t="str">
        <x:v>Frozen</x:v>
      </x:c>
      <x:c r="K2937" t="str">
        <x:v>Amul</x:v>
      </x:c>
      <x:c r="L2937" s="22" t="n">
        <x:v>480</x:v>
      </x:c>
      <x:c r="M2937" t="n">
        <x:v>29</x:v>
      </x:c>
      <x:c r="N2937" s="24" t="n">
        <x:v>0.05</x:v>
      </x:c>
      <x:c r="O2937" s="22" t="n">
        <x:f>L2937*M2937</x:f>
        <x:v>13920</x:v>
      </x:c>
      <x:c r="P2937" s="22" t="n">
        <x:f>O2937*(1-N2937)</x:f>
        <x:v>13224</x:v>
      </x:c>
      <x:c r="Q2937" s="22" t="n">
        <x:v>420</x:v>
      </x:c>
      <x:c r="R2937" s="22" t="n">
        <x:f>Q2937*M2937</x:f>
        <x:v>12180</x:v>
      </x:c>
      <x:c r="S2937" s="22" t="n">
        <x:f>P2937-R2937</x:f>
        <x:v>1044</x:v>
      </x:c>
      <x:c r="T2937" t="str">
        <x:v>Cash</x:v>
      </x:c>
      <x:c r="U2937" t="str">
        <x:v>Paid</x:v>
      </x:c>
      <x:c r="V2937" t="str">
        <x:v>Cancelled</x:v>
      </x:c>
      <x:c r="W2937" t="n">
        <x:v>29</x:v>
      </x:c>
      <x:c r="X2937" t="str">
        <x:v>Cancelled Order</x:v>
      </x:c>
      <x:c r="Y2937" t="str">
        <x:v>Outbound Call</x:v>
      </x:c>
    </x:row>
    <x:row r="2938">
      <x:c r="A2938" t="str">
        <x:v>O002937</x:v>
      </x:c>
      <x:c r="B2938" s="20" t="n">
        <x:v>45693</x:v>
      </x:c>
      <x:c r="C2938" t="str">
        <x:v>C0018</x:v>
      </x:c>
      <x:c r="D2938" t="str">
        <x:v>Namma Canteen 18</x:v>
      </x:c>
      <x:c r="E2938" t="str">
        <x:v>Restaurant</x:v>
      </x:c>
      <x:c r="F2938" t="str">
        <x:v>Davanagere</x:v>
      </x:c>
      <x:c r="G2938" t="str">
        <x:v>Imran</x:v>
      </x:c>
      <x:c r="H2938" t="str">
        <x:v>P006</x:v>
      </x:c>
      <x:c r="I2938" t="str">
        <x:v>Moong Dal 5kg</x:v>
      </x:c>
      <x:c r="J2938" t="str">
        <x:v>Pulses</x:v>
      </x:c>
      <x:c r="K2938" t="str">
        <x:v>Local Select</x:v>
      </x:c>
      <x:c r="L2938" s="22" t="n">
        <x:v>610</x:v>
      </x:c>
      <x:c r="M2938" t="n">
        <x:v>37</x:v>
      </x:c>
      <x:c r="N2938" s="24" t="n">
        <x:v>0.08</x:v>
      </x:c>
      <x:c r="O2938" s="22" t="n">
        <x:f>L2938*M2938</x:f>
        <x:v>22570</x:v>
      </x:c>
      <x:c r="P2938" s="22" t="n">
        <x:f>O2938*(1-N2938)</x:f>
        <x:v>20764.4</x:v>
      </x:c>
      <x:c r="Q2938" s="22" t="n">
        <x:v>540</x:v>
      </x:c>
      <x:c r="R2938" s="22" t="n">
        <x:f>Q2938*M2938</x:f>
        <x:v>19980</x:v>
      </x:c>
      <x:c r="S2938" s="22" t="n">
        <x:f>P2938-R2938</x:f>
        <x:v>784.4000000000015</x:v>
      </x:c>
      <x:c r="T2938" t="str">
        <x:v>UPI</x:v>
      </x:c>
      <x:c r="U2938" t="str">
        <x:v>Paid</x:v>
      </x:c>
      <x:c r="V2938" t="str">
        <x:v>Delivered</x:v>
      </x:c>
      <x:c r="W2938" t="n">
        <x:v>0</x:v>
      </x:c>
      <x:c r="X2938" t="str"/>
      <x:c r="Y2938" t="str">
        <x:v>WhatsApp</x:v>
      </x:c>
    </x:row>
    <x:row r="2939">
      <x:c r="A2939" t="str">
        <x:v>O002938</x:v>
      </x:c>
      <x:c r="B2939" s="20" t="n">
        <x:v>45838</x:v>
      </x:c>
      <x:c r="C2939" t="str">
        <x:v>C0093</x:v>
      </x:c>
      <x:c r="D2939" t="str">
        <x:v>Sagar Hotel 93</x:v>
      </x:c>
      <x:c r="E2939" t="str">
        <x:v>Hotel</x:v>
      </x:c>
      <x:c r="F2939" t="str">
        <x:v>Hubballi</x:v>
      </x:c>
      <x:c r="G2939" t="str">
        <x:v>Imran</x:v>
      </x:c>
      <x:c r="H2939" t="str">
        <x:v>P002</x:v>
      </x:c>
      <x:c r="I2939" t="str">
        <x:v>Sona Masoori Rice 25kg</x:v>
      </x:c>
      <x:c r="J2939" t="str">
        <x:v>Staples</x:v>
      </x:c>
      <x:c r="K2939" t="str">
        <x:v>Fortune</x:v>
      </x:c>
      <x:c r="L2939" s="22" t="n">
        <x:v>1320</x:v>
      </x:c>
      <x:c r="M2939" t="n">
        <x:v>6</x:v>
      </x:c>
      <x:c r="N2939" s="24" t="n">
        <x:v>0</x:v>
      </x:c>
      <x:c r="O2939" s="22" t="n">
        <x:f>L2939*M2939</x:f>
        <x:v>7920</x:v>
      </x:c>
      <x:c r="P2939" s="22" t="n">
        <x:f>O2939*(1-N2939)</x:f>
        <x:v>7920</x:v>
      </x:c>
      <x:c r="Q2939" s="22" t="n">
        <x:v>1160</x:v>
      </x:c>
      <x:c r="R2939" s="22" t="n">
        <x:f>Q2939*M2939</x:f>
        <x:v>6960</x:v>
      </x:c>
      <x:c r="S2939" s="22" t="n">
        <x:f>P2939-R2939</x:f>
        <x:v>960</x:v>
      </x:c>
      <x:c r="T2939" t="str">
        <x:v>Cash</x:v>
      </x:c>
      <x:c r="U2939" t="str">
        <x:v>Paid</x:v>
      </x:c>
      <x:c r="V2939" t="str">
        <x:v>Delayed</x:v>
      </x:c>
      <x:c r="W2939" t="n">
        <x:v>0</x:v>
      </x:c>
      <x:c r="X2939" t="str"/>
      <x:c r="Y2939" t="str">
        <x:v>WhatsApp</x:v>
      </x:c>
    </x:row>
    <x:row r="2940">
      <x:c r="A2940" t="str">
        <x:v>O002939</x:v>
      </x:c>
      <x:c r="B2940" s="20" t="n">
        <x:v>45893</x:v>
      </x:c>
      <x:c r="C2940" t="str">
        <x:v>C0196</x:v>
      </x:c>
      <x:c r="D2940" t="str">
        <x:v>Namma Mart 196</x:v>
      </x:c>
      <x:c r="E2940" t="str">
        <x:v>Cafe</x:v>
      </x:c>
      <x:c r="F2940" t="str">
        <x:v>Mangaluru</x:v>
      </x:c>
      <x:c r="G2940" t="str">
        <x:v>Kavya</x:v>
      </x:c>
      <x:c r="H2940" t="str">
        <x:v>P041</x:v>
      </x:c>
      <x:c r="I2940" t="str">
        <x:v>Burger Bun 6pc</x:v>
      </x:c>
      <x:c r="J2940" t="str">
        <x:v>Bakery</x:v>
      </x:c>
      <x:c r="K2940" t="str">
        <x:v>Modern</x:v>
      </x:c>
      <x:c r="L2940" s="22" t="n">
        <x:v>42</x:v>
      </x:c>
      <x:c r="M2940" t="n">
        <x:v>40</x:v>
      </x:c>
      <x:c r="N2940" s="24" t="n">
        <x:v>0</x:v>
      </x:c>
      <x:c r="O2940" s="22" t="n">
        <x:f>L2940*M2940</x:f>
        <x:v>1680</x:v>
      </x:c>
      <x:c r="P2940" s="22" t="n">
        <x:f>O2940*(1-N2940)</x:f>
        <x:v>1680</x:v>
      </x:c>
      <x:c r="Q2940" s="22" t="n">
        <x:v>32</x:v>
      </x:c>
      <x:c r="R2940" s="22" t="n">
        <x:f>Q2940*M2940</x:f>
        <x:v>1280</x:v>
      </x:c>
      <x:c r="S2940" s="22" t="n">
        <x:f>P2940-R2940</x:f>
        <x:v>400</x:v>
      </x:c>
      <x:c r="T2940" t="str">
        <x:v>UPI</x:v>
      </x:c>
      <x:c r="U2940" t="str">
        <x:v>Paid</x:v>
      </x:c>
      <x:c r="V2940" t="str">
        <x:v>Cancelled</x:v>
      </x:c>
      <x:c r="W2940" t="n">
        <x:v>40</x:v>
      </x:c>
      <x:c r="X2940" t="str">
        <x:v>Cancelled Order</x:v>
      </x:c>
      <x:c r="Y2940" t="str">
        <x:v>Referral</x:v>
      </x:c>
    </x:row>
    <x:row r="2941">
      <x:c r="A2941" t="str">
        <x:v>O002940</x:v>
      </x:c>
      <x:c r="B2941" s="20" t="n">
        <x:v>46031</x:v>
      </x:c>
      <x:c r="C2941" t="str">
        <x:v>C0227</x:v>
      </x:c>
      <x:c r="D2941" t="str">
        <x:v>Metro Restaurant 227</x:v>
      </x:c>
      <x:c r="E2941" t="str">
        <x:v>Restaurant</x:v>
      </x:c>
      <x:c r="F2941" t="str">
        <x:v>Davanagere</x:v>
      </x:c>
      <x:c r="G2941" t="str">
        <x:v>Kavya</x:v>
      </x:c>
      <x:c r="H2941" t="str">
        <x:v>P031</x:v>
      </x:c>
      <x:c r="I2941" t="str">
        <x:v>Chilli Sauce 700g</x:v>
      </x:c>
      <x:c r="J2941" t="str">
        <x:v>Condiments</x:v>
      </x:c>
      <x:c r="K2941" t="str">
        <x:v>Ching's</x:v>
      </x:c>
      <x:c r="L2941" s="22" t="n">
        <x:v>130</x:v>
      </x:c>
      <x:c r="M2941" t="n">
        <x:v>40</x:v>
      </x:c>
      <x:c r="N2941" s="24" t="n">
        <x:v>0.05</x:v>
      </x:c>
      <x:c r="O2941" s="22" t="n">
        <x:f>L2941*M2941</x:f>
        <x:v>5200</x:v>
      </x:c>
      <x:c r="P2941" s="22" t="n">
        <x:f>O2941*(1-N2941)</x:f>
        <x:v>4940</x:v>
      </x:c>
      <x:c r="Q2941" s="22" t="n">
        <x:v>112</x:v>
      </x:c>
      <x:c r="R2941" s="22" t="n">
        <x:f>Q2941*M2941</x:f>
        <x:v>4480</x:v>
      </x:c>
      <x:c r="S2941" s="22" t="n">
        <x:f>P2941-R2941</x:f>
        <x:v>460</x:v>
      </x:c>
      <x:c r="T2941" t="str">
        <x:v>Credit</x:v>
      </x:c>
      <x:c r="U2941" t="str">
        <x:v>Paid</x:v>
      </x:c>
      <x:c r="V2941" t="str">
        <x:v>Delivered</x:v>
      </x:c>
      <x:c r="W2941" t="n">
        <x:v>0</x:v>
      </x:c>
      <x:c r="X2941" t="str"/>
      <x:c r="Y2941" t="str">
        <x:v>Field Visit</x:v>
      </x:c>
    </x:row>
    <x:row r="2942">
      <x:c r="A2942" t="str">
        <x:v>O002941</x:v>
      </x:c>
      <x:c r="B2942" s="20" t="n">
        <x:v>46090</x:v>
      </x:c>
      <x:c r="C2942" t="str">
        <x:v>C0223</x:v>
      </x:c>
      <x:c r="D2942" t="str">
        <x:v>Classic Canteen 223</x:v>
      </x:c>
      <x:c r="E2942" t="str">
        <x:v>Restaurant</x:v>
      </x:c>
      <x:c r="F2942" t="str">
        <x:v>Tumakuru</x:v>
      </x:c>
      <x:c r="G2942" t="str">
        <x:v>Kavya</x:v>
      </x:c>
      <x:c r="H2942" t="str">
        <x:v>P039</x:v>
      </x:c>
      <x:c r="I2942" t="str">
        <x:v>Ice Cream 4L</x:v>
      </x:c>
      <x:c r="J2942" t="str">
        <x:v>Frozen</x:v>
      </x:c>
      <x:c r="K2942" t="str">
        <x:v>Amul</x:v>
      </x:c>
      <x:c r="L2942" s="22" t="n">
        <x:v>480</x:v>
      </x:c>
      <x:c r="M2942" t="n">
        <x:v>21</x:v>
      </x:c>
      <x:c r="N2942" s="24" t="n">
        <x:v>0.03</x:v>
      </x:c>
      <x:c r="O2942" s="22" t="n">
        <x:f>L2942*M2942</x:f>
        <x:v>10080</x:v>
      </x:c>
      <x:c r="P2942" s="22" t="n">
        <x:f>O2942*(1-N2942)</x:f>
        <x:v>9777.6</x:v>
      </x:c>
      <x:c r="Q2942" s="22" t="n">
        <x:v>420</x:v>
      </x:c>
      <x:c r="R2942" s="22" t="n">
        <x:f>Q2942*M2942</x:f>
        <x:v>8820</x:v>
      </x:c>
      <x:c r="S2942" s="22" t="n">
        <x:f>P2942-R2942</x:f>
        <x:v>957.6000000000004</x:v>
      </x:c>
      <x:c r="T2942" t="str">
        <x:v>Credit</x:v>
      </x:c>
      <x:c r="U2942" t="str">
        <x:v>Pending</x:v>
      </x:c>
      <x:c r="V2942" t="str">
        <x:v>Delivered</x:v>
      </x:c>
      <x:c r="W2942" t="n">
        <x:v>0</x:v>
      </x:c>
      <x:c r="X2942" t="str"/>
      <x:c r="Y2942" t="str">
        <x:v>Referral</x:v>
      </x:c>
    </x:row>
    <x:row r="2943">
      <x:c r="A2943" t="str">
        <x:v>O002942</x:v>
      </x:c>
      <x:c r="B2943" s="20" t="n">
        <x:v>45922</x:v>
      </x:c>
      <x:c r="C2943" t="str">
        <x:v>C0099</x:v>
      </x:c>
      <x:c r="D2943" t="str">
        <x:v>Green Cafe 99</x:v>
      </x:c>
      <x:c r="E2943" t="str">
        <x:v>Restaurant</x:v>
      </x:c>
      <x:c r="F2943" t="str">
        <x:v>Hubballi</x:v>
      </x:c>
      <x:c r="G2943" t="str">
        <x:v>Ramesh</x:v>
      </x:c>
      <x:c r="H2943" t="str">
        <x:v>P043</x:v>
      </x:c>
      <x:c r="I2943" t="str">
        <x:v>Chicken Breast 1kg</x:v>
      </x:c>
      <x:c r="J2943" t="str">
        <x:v>Protein</x:v>
      </x:c>
      <x:c r="K2943" t="str">
        <x:v>FreshToHome</x:v>
      </x:c>
      <x:c r="L2943" s="22" t="n">
        <x:v>260</x:v>
      </x:c>
      <x:c r="M2943" t="n">
        <x:v>11</x:v>
      </x:c>
      <x:c r="N2943" s="24" t="n">
        <x:v>0</x:v>
      </x:c>
      <x:c r="O2943" s="22" t="n">
        <x:f>L2943*M2943</x:f>
        <x:v>2860</x:v>
      </x:c>
      <x:c r="P2943" s="22" t="n">
        <x:f>O2943*(1-N2943)</x:f>
        <x:v>2860</x:v>
      </x:c>
      <x:c r="Q2943" s="22" t="n">
        <x:v>235</x:v>
      </x:c>
      <x:c r="R2943" s="22" t="n">
        <x:f>Q2943*M2943</x:f>
        <x:v>2585</x:v>
      </x:c>
      <x:c r="S2943" s="22" t="n">
        <x:f>P2943-R2943</x:f>
        <x:v>275</x:v>
      </x:c>
      <x:c r="T2943" t="str">
        <x:v>UPI</x:v>
      </x:c>
      <x:c r="U2943" t="str">
        <x:v>Paid</x:v>
      </x:c>
      <x:c r="V2943" t="str">
        <x:v>Delivered</x:v>
      </x:c>
      <x:c r="W2943" t="n">
        <x:v>0</x:v>
      </x:c>
      <x:c r="X2943" t="str"/>
      <x:c r="Y2943" t="str">
        <x:v>Referral</x:v>
      </x:c>
    </x:row>
    <x:row r="2944">
      <x:c r="A2944" t="str">
        <x:v>O002943</x:v>
      </x:c>
      <x:c r="B2944" s="20" t="n">
        <x:v>46033</x:v>
      </x:c>
      <x:c r="C2944" t="str">
        <x:v>C0011</x:v>
      </x:c>
      <x:c r="D2944" t="str">
        <x:v>City Cafe 11</x:v>
      </x:c>
      <x:c r="E2944" t="str">
        <x:v>Restaurant</x:v>
      </x:c>
      <x:c r="F2944" t="str">
        <x:v>Mangaluru</x:v>
      </x:c>
      <x:c r="G2944" t="str">
        <x:v>Arjun</x:v>
      </x:c>
      <x:c r="H2944" t="str">
        <x:v>P044</x:v>
      </x:c>
      <x:c r="I2944" t="str">
        <x:v>Chicken Curry Cut 1kg</x:v>
      </x:c>
      <x:c r="J2944" t="str">
        <x:v>Protein</x:v>
      </x:c>
      <x:c r="K2944" t="str">
        <x:v>FreshToHome</x:v>
      </x:c>
      <x:c r="L2944" s="22" t="n">
        <x:v>230</x:v>
      </x:c>
      <x:c r="M2944" t="n">
        <x:v>6</x:v>
      </x:c>
      <x:c r="N2944" s="24" t="n">
        <x:v>0.08</x:v>
      </x:c>
      <x:c r="O2944" s="22" t="n">
        <x:f>L2944*M2944</x:f>
        <x:v>1380</x:v>
      </x:c>
      <x:c r="P2944" s="22" t="n">
        <x:f>O2944*(1-N2944)</x:f>
        <x:v>1269.6000000000001</x:v>
      </x:c>
      <x:c r="Q2944" s="22" t="n">
        <x:v>205</x:v>
      </x:c>
      <x:c r="R2944" s="22" t="n">
        <x:f>Q2944*M2944</x:f>
        <x:v>1230</x:v>
      </x:c>
      <x:c r="S2944" s="22" t="n">
        <x:f>P2944-R2944</x:f>
        <x:v>39.600000000000136</x:v>
      </x:c>
      <x:c r="T2944" t="str">
        <x:v>Bank Transfer</x:v>
      </x:c>
      <x:c r="U2944" t="str">
        <x:v>Paid</x:v>
      </x:c>
      <x:c r="V2944" t="str">
        <x:v>Delayed</x:v>
      </x:c>
      <x:c r="W2944" t="n">
        <x:v>0</x:v>
      </x:c>
      <x:c r="X2944" t="str"/>
      <x:c r="Y2944" t="str">
        <x:v>Referral</x:v>
      </x:c>
    </x:row>
    <x:row r="2945">
      <x:c r="A2945" t="str">
        <x:v>O002944</x:v>
      </x:c>
      <x:c r="B2945" s="20" t="n">
        <x:v>46062</x:v>
      </x:c>
      <x:c r="C2945" t="str">
        <x:v>C0203</x:v>
      </x:c>
      <x:c r="D2945" t="str">
        <x:v>Namma Mart 203</x:v>
      </x:c>
      <x:c r="E2945" t="str">
        <x:v>Kirana</x:v>
      </x:c>
      <x:c r="F2945" t="str">
        <x:v>Tumakuru</x:v>
      </x:c>
      <x:c r="G2945" t="str">
        <x:v>Priya</x:v>
      </x:c>
      <x:c r="H2945" t="str">
        <x:v>P028</x:v>
      </x:c>
      <x:c r="I2945" t="str">
        <x:v>Cookies 200g</x:v>
      </x:c>
      <x:c r="J2945" t="str">
        <x:v>Snacks</x:v>
      </x:c>
      <x:c r="K2945" t="str">
        <x:v>Britannia</x:v>
      </x:c>
      <x:c r="L2945" s="22" t="n">
        <x:v>55</x:v>
      </x:c>
      <x:c r="M2945" t="n">
        <x:v>37</x:v>
      </x:c>
      <x:c r="N2945" s="24" t="n">
        <x:v>0.05</x:v>
      </x:c>
      <x:c r="O2945" s="22" t="n">
        <x:f>L2945*M2945</x:f>
        <x:v>2035</x:v>
      </x:c>
      <x:c r="P2945" s="22" t="n">
        <x:f>O2945*(1-N2945)</x:f>
        <x:v>1933.25</x:v>
      </x:c>
      <x:c r="Q2945" s="22" t="n">
        <x:v>42</x:v>
      </x:c>
      <x:c r="R2945" s="22" t="n">
        <x:f>Q2945*M2945</x:f>
        <x:v>1554</x:v>
      </x:c>
      <x:c r="S2945" s="22" t="n">
        <x:f>P2945-R2945</x:f>
        <x:v>379.25</x:v>
      </x:c>
      <x:c r="T2945" t="str">
        <x:v>Credit</x:v>
      </x:c>
      <x:c r="U2945" t="str">
        <x:v>Paid</x:v>
      </x:c>
      <x:c r="V2945" t="str">
        <x:v>Delivered</x:v>
      </x:c>
      <x:c r="W2945" t="n">
        <x:v>0</x:v>
      </x:c>
      <x:c r="X2945" t="str"/>
      <x:c r="Y2945" t="str">
        <x:v>WhatsApp</x:v>
      </x:c>
    </x:row>
    <x:row r="2946">
      <x:c r="A2946" t="str">
        <x:v>O002945</x:v>
      </x:c>
      <x:c r="B2946" s="20" t="n">
        <x:v>45985</x:v>
      </x:c>
      <x:c r="C2946" t="str">
        <x:v>C0002</x:v>
      </x:c>
      <x:c r="D2946" t="str">
        <x:v>City Kitchen 2</x:v>
      </x:c>
      <x:c r="E2946" t="str">
        <x:v>Kirana</x:v>
      </x:c>
      <x:c r="F2946" t="str">
        <x:v>Davanagere</x:v>
      </x:c>
      <x:c r="G2946" t="str">
        <x:v>Arjun</x:v>
      </x:c>
      <x:c r="H2946" t="str">
        <x:v>P034</x:v>
      </x:c>
      <x:c r="I2946" t="str">
        <x:v>Chilli Powder 1kg</x:v>
      </x:c>
      <x:c r="J2946" t="str">
        <x:v>Spices</x:v>
      </x:c>
      <x:c r="K2946" t="str">
        <x:v>MDH</x:v>
      </x:c>
      <x:c r="L2946" s="22" t="n">
        <x:v>340</x:v>
      </x:c>
      <x:c r="M2946" t="n">
        <x:v>22</x:v>
      </x:c>
      <x:c r="N2946" s="24" t="n">
        <x:v>0.03</x:v>
      </x:c>
      <x:c r="O2946" s="22" t="n">
        <x:f>L2946*M2946</x:f>
        <x:v>7480</x:v>
      </x:c>
      <x:c r="P2946" s="22" t="n">
        <x:f>O2946*(1-N2946)</x:f>
        <x:v>7255.599999999999</x:v>
      </x:c>
      <x:c r="Q2946" s="22" t="n">
        <x:v>295</x:v>
      </x:c>
      <x:c r="R2946" s="22" t="n">
        <x:f>Q2946*M2946</x:f>
        <x:v>6490</x:v>
      </x:c>
      <x:c r="S2946" s="22" t="n">
        <x:f>P2946-R2946</x:f>
        <x:v>765.5999999999995</x:v>
      </x:c>
      <x:c r="T2946" t="str">
        <x:v>UPI</x:v>
      </x:c>
      <x:c r="U2946" t="str">
        <x:v>Pending</x:v>
      </x:c>
      <x:c r="V2946" t="str">
        <x:v>Delivered</x:v>
      </x:c>
      <x:c r="W2946" t="n">
        <x:v>0</x:v>
      </x:c>
      <x:c r="X2946" t="str"/>
      <x:c r="Y2946" t="str">
        <x:v>Outbound Call</x:v>
      </x:c>
    </x:row>
    <x:row r="2947">
      <x:c r="A2947" t="str">
        <x:v>O002946</x:v>
      </x:c>
      <x:c r="B2947" s="20" t="n">
        <x:v>46058</x:v>
      </x:c>
      <x:c r="C2947" t="str">
        <x:v>C0134</x:v>
      </x:c>
      <x:c r="D2947" t="str">
        <x:v>Annapurna Stores 134</x:v>
      </x:c>
      <x:c r="E2947" t="str">
        <x:v>Cafe</x:v>
      </x:c>
      <x:c r="F2947" t="str">
        <x:v>Bengaluru</x:v>
      </x:c>
      <x:c r="G2947" t="str">
        <x:v>Kavya</x:v>
      </x:c>
      <x:c r="H2947" t="str">
        <x:v>P020</x:v>
      </x:c>
      <x:c r="I2947" t="str">
        <x:v>Coffee 500g</x:v>
      </x:c>
      <x:c r="J2947" t="str">
        <x:v>Beverage</x:v>
      </x:c>
      <x:c r="K2947" t="str">
        <x:v>Bru</x:v>
      </x:c>
      <x:c r="L2947" s="22" t="n">
        <x:v>390</x:v>
      </x:c>
      <x:c r="M2947" t="n">
        <x:v>34</x:v>
      </x:c>
      <x:c r="N2947" s="24" t="n">
        <x:v>0.03</x:v>
      </x:c>
      <x:c r="O2947" s="22" t="n">
        <x:f>L2947*M2947</x:f>
        <x:v>13260</x:v>
      </x:c>
      <x:c r="P2947" s="22" t="n">
        <x:f>O2947*(1-N2947)</x:f>
        <x:v>12862.199999999999</x:v>
      </x:c>
      <x:c r="Q2947" s="22" t="n">
        <x:v>350</x:v>
      </x:c>
      <x:c r="R2947" s="22" t="n">
        <x:f>Q2947*M2947</x:f>
        <x:v>11900</x:v>
      </x:c>
      <x:c r="S2947" s="22" t="n">
        <x:f>P2947-R2947</x:f>
        <x:v>962.1999999999989</x:v>
      </x:c>
      <x:c r="T2947" t="str">
        <x:v>Cash</x:v>
      </x:c>
      <x:c r="U2947" t="str">
        <x:v>Paid</x:v>
      </x:c>
      <x:c r="V2947" t="str">
        <x:v>Delayed</x:v>
      </x:c>
      <x:c r="W2947" t="n">
        <x:v>0</x:v>
      </x:c>
      <x:c r="X2947" t="str"/>
      <x:c r="Y2947" t="str">
        <x:v>Outbound Call</x:v>
      </x:c>
    </x:row>
    <x:row r="2948">
      <x:c r="A2948" t="str">
        <x:v>O002947</x:v>
      </x:c>
      <x:c r="B2948" s="20" t="n">
        <x:v>46173</x:v>
      </x:c>
      <x:c r="C2948" t="str">
        <x:v>C0055</x:v>
      </x:c>
      <x:c r="D2948" t="str">
        <x:v>Royal Mart 55</x:v>
      </x:c>
      <x:c r="E2948" t="str">
        <x:v>Restaurant</x:v>
      </x:c>
      <x:c r="F2948" t="str">
        <x:v>Hubballi</x:v>
      </x:c>
      <x:c r="G2948" t="str">
        <x:v>Vikram</x:v>
      </x:c>
      <x:c r="H2948" t="str">
        <x:v>P022</x:v>
      </x:c>
      <x:c r="I2948" t="str">
        <x:v>Mineral Water 1L</x:v>
      </x:c>
      <x:c r="J2948" t="str">
        <x:v>Beverage</x:v>
      </x:c>
      <x:c r="K2948" t="str">
        <x:v>Bisleri</x:v>
      </x:c>
      <x:c r="L2948" s="22" t="n">
        <x:v>19</x:v>
      </x:c>
      <x:c r="M2948" t="n">
        <x:v>26</x:v>
      </x:c>
      <x:c r="N2948" s="24" t="n">
        <x:v>0</x:v>
      </x:c>
      <x:c r="O2948" s="22" t="n">
        <x:f>L2948*M2948</x:f>
        <x:v>494</x:v>
      </x:c>
      <x:c r="P2948" s="22" t="n">
        <x:f>O2948*(1-N2948)</x:f>
        <x:v>494</x:v>
      </x:c>
      <x:c r="Q2948" s="22" t="n">
        <x:v>15</x:v>
      </x:c>
      <x:c r="R2948" s="22" t="n">
        <x:f>Q2948*M2948</x:f>
        <x:v>390</x:v>
      </x:c>
      <x:c r="S2948" s="22" t="n">
        <x:f>P2948-R2948</x:f>
        <x:v>104</x:v>
      </x:c>
      <x:c r="T2948" t="str">
        <x:v>UPI</x:v>
      </x:c>
      <x:c r="U2948" t="str">
        <x:v>Paid</x:v>
      </x:c>
      <x:c r="V2948" t="str">
        <x:v>Delivered</x:v>
      </x:c>
      <x:c r="W2948" t="n">
        <x:v>0</x:v>
      </x:c>
      <x:c r="X2948" t="str"/>
      <x:c r="Y2948" t="str">
        <x:v>Field Visit</x:v>
      </x:c>
    </x:row>
    <x:row r="2949">
      <x:c r="A2949" t="str">
        <x:v>O002948</x:v>
      </x:c>
      <x:c r="B2949" s="20" t="n">
        <x:v>46229</x:v>
      </x:c>
      <x:c r="C2949" t="str">
        <x:v>C0159</x:v>
      </x:c>
      <x:c r="D2949" t="str">
        <x:v>Darshini Foods 159</x:v>
      </x:c>
      <x:c r="E2949" t="str">
        <x:v>Canteen</x:v>
      </x:c>
      <x:c r="F2949" t="str">
        <x:v>Tumakuru</x:v>
      </x:c>
      <x:c r="G2949" t="str">
        <x:v>Kavya</x:v>
      </x:c>
      <x:c r="H2949" t="str">
        <x:v>P037</x:v>
      </x:c>
      <x:c r="I2949" t="str">
        <x:v>Frozen Peas 1kg</x:v>
      </x:c>
      <x:c r="J2949" t="str">
        <x:v>Frozen</x:v>
      </x:c>
      <x:c r="K2949" t="str">
        <x:v>Safal</x:v>
      </x:c>
      <x:c r="L2949" s="22" t="n">
        <x:v>155</x:v>
      </x:c>
      <x:c r="M2949" t="n">
        <x:v>28</x:v>
      </x:c>
      <x:c r="N2949" s="24" t="n">
        <x:v>0</x:v>
      </x:c>
      <x:c r="O2949" s="22" t="n">
        <x:f>L2949*M2949</x:f>
        <x:v>4340</x:v>
      </x:c>
      <x:c r="P2949" s="22" t="n">
        <x:f>O2949*(1-N2949)</x:f>
        <x:v>4340</x:v>
      </x:c>
      <x:c r="Q2949" s="22" t="n">
        <x:v>138</x:v>
      </x:c>
      <x:c r="R2949" s="22" t="n">
        <x:f>Q2949*M2949</x:f>
        <x:v>3864</x:v>
      </x:c>
      <x:c r="S2949" s="22" t="n">
        <x:f>P2949-R2949</x:f>
        <x:v>476</x:v>
      </x:c>
      <x:c r="T2949" t="str">
        <x:v>Cash</x:v>
      </x:c>
      <x:c r="U2949" t="str">
        <x:v>Paid</x:v>
      </x:c>
      <x:c r="V2949" t="str">
        <x:v>Delivered</x:v>
      </x:c>
      <x:c r="W2949" t="n">
        <x:v>0</x:v>
      </x:c>
      <x:c r="X2949" t="str"/>
      <x:c r="Y2949" t="str">
        <x:v>WhatsApp</x:v>
      </x:c>
    </x:row>
    <x:row r="2950">
      <x:c r="A2950" t="str">
        <x:v>O002949</x:v>
      </x:c>
      <x:c r="B2950" s="20" t="n">
        <x:v>45777</x:v>
      </x:c>
      <x:c r="C2950" t="str">
        <x:v>C0028</x:v>
      </x:c>
      <x:c r="D2950" t="str">
        <x:v>Spice Cafe 28</x:v>
      </x:c>
      <x:c r="E2950" t="str">
        <x:v>Supermarket</x:v>
      </x:c>
      <x:c r="F2950" t="str">
        <x:v>Mysuru</x:v>
      </x:c>
      <x:c r="G2950" t="str">
        <x:v>Vikram</x:v>
      </x:c>
      <x:c r="H2950" t="str">
        <x:v>P007</x:v>
      </x:c>
      <x:c r="I2950" t="str">
        <x:v>Sunflower Oil 15L</x:v>
      </x:c>
      <x:c r="J2950" t="str">
        <x:v>Edible Oil</x:v>
      </x:c>
      <x:c r="K2950" t="str">
        <x:v>Fortune</x:v>
      </x:c>
      <x:c r="L2950" s="22" t="n">
        <x:v>1980</x:v>
      </x:c>
      <x:c r="M2950" t="n">
        <x:v>12</x:v>
      </x:c>
      <x:c r="N2950" s="24" t="n">
        <x:v>0.1</x:v>
      </x:c>
      <x:c r="O2950" s="22" t="n">
        <x:f>L2950*M2950</x:f>
        <x:v>23760</x:v>
      </x:c>
      <x:c r="P2950" s="22" t="n">
        <x:f>O2950*(1-N2950)</x:f>
        <x:v>21384</x:v>
      </x:c>
      <x:c r="Q2950" s="22" t="n">
        <x:v>1810</x:v>
      </x:c>
      <x:c r="R2950" s="22" t="n">
        <x:f>Q2950*M2950</x:f>
        <x:v>21720</x:v>
      </x:c>
      <x:c r="S2950" s="22" t="n">
        <x:f>P2950-R2950</x:f>
        <x:v>-336</x:v>
      </x:c>
      <x:c r="T2950" t="str">
        <x:v>Cash</x:v>
      </x:c>
      <x:c r="U2950" t="str">
        <x:v>Pending</x:v>
      </x:c>
      <x:c r="V2950" t="str">
        <x:v>Delivered</x:v>
      </x:c>
      <x:c r="W2950" t="n">
        <x:v>0</x:v>
      </x:c>
      <x:c r="X2950" t="str"/>
      <x:c r="Y2950" t="str">
        <x:v>Field Visit</x:v>
      </x:c>
    </x:row>
    <x:row r="2951">
      <x:c r="A2951" t="str">
        <x:v>O002950</x:v>
      </x:c>
      <x:c r="B2951" s="20" t="n">
        <x:v>46282</x:v>
      </x:c>
      <x:c r="C2951" t="str">
        <x:v>C0109</x:v>
      </x:c>
      <x:c r="D2951" t="str">
        <x:v>Annapurna Kitchen 109</x:v>
      </x:c>
      <x:c r="E2951" t="str">
        <x:v>Kirana</x:v>
      </x:c>
      <x:c r="F2951" t="str">
        <x:v>Mysuru</x:v>
      </x:c>
      <x:c r="G2951" t="str">
        <x:v>Kavya</x:v>
      </x:c>
      <x:c r="H2951" t="str">
        <x:v>P033</x:v>
      </x:c>
      <x:c r="I2951" t="str">
        <x:v>Turmeric Powder 1kg</x:v>
      </x:c>
      <x:c r="J2951" t="str">
        <x:v>Spices</x:v>
      </x:c>
      <x:c r="K2951" t="str">
        <x:v>Everest</x:v>
      </x:c>
      <x:c r="L2951" s="22" t="n">
        <x:v>310</x:v>
      </x:c>
      <x:c r="M2951" t="n">
        <x:v>36</x:v>
      </x:c>
      <x:c r="N2951" s="24" t="n">
        <x:v>0.05</x:v>
      </x:c>
      <x:c r="O2951" s="22" t="n">
        <x:f>L2951*M2951</x:f>
        <x:v>11160</x:v>
      </x:c>
      <x:c r="P2951" s="22" t="n">
        <x:f>O2951*(1-N2951)</x:f>
        <x:v>10602</x:v>
      </x:c>
      <x:c r="Q2951" s="22" t="n">
        <x:v>270</x:v>
      </x:c>
      <x:c r="R2951" s="22" t="n">
        <x:f>Q2951*M2951</x:f>
        <x:v>9720</x:v>
      </x:c>
      <x:c r="S2951" s="22" t="n">
        <x:f>P2951-R2951</x:f>
        <x:v>882</x:v>
      </x:c>
      <x:c r="T2951" t="str">
        <x:v>Cash</x:v>
      </x:c>
      <x:c r="U2951" t="str">
        <x:v>Paid</x:v>
      </x:c>
      <x:c r="V2951" t="str">
        <x:v>Delivered</x:v>
      </x:c>
      <x:c r="W2951" t="n">
        <x:v>0</x:v>
      </x:c>
      <x:c r="X2951" t="str"/>
      <x:c r="Y2951" t="str">
        <x:v>Field Visit</x:v>
      </x:c>
    </x:row>
    <x:row r="2952">
      <x:c r="A2952" t="str">
        <x:v>O002951</x:v>
      </x:c>
      <x:c r="B2952" s="20" t="n">
        <x:v>46170</x:v>
      </x:c>
      <x:c r="C2952" t="str">
        <x:v>C0106</x:v>
      </x:c>
      <x:c r="D2952" t="str">
        <x:v>Classic Mart 106</x:v>
      </x:c>
      <x:c r="E2952" t="str">
        <x:v>Restaurant</x:v>
      </x:c>
      <x:c r="F2952" t="str">
        <x:v>Mysuru</x:v>
      </x:c>
      <x:c r="G2952" t="str">
        <x:v>Kavya</x:v>
      </x:c>
      <x:c r="H2952" t="str">
        <x:v>P008</x:v>
      </x:c>
      <x:c r="I2952" t="str">
        <x:v>Palm Oil 15L</x:v>
      </x:c>
      <x:c r="J2952" t="str">
        <x:v>Edible Oil</x:v>
      </x:c>
      <x:c r="K2952" t="str">
        <x:v>Ruchi Gold</x:v>
      </x:c>
      <x:c r="L2952" s="22" t="n">
        <x:v>1760</x:v>
      </x:c>
      <x:c r="M2952" t="n">
        <x:v>1</x:v>
      </x:c>
      <x:c r="N2952" s="24" t="n">
        <x:v>0.05</x:v>
      </x:c>
      <x:c r="O2952" s="22" t="n">
        <x:f>L2952*M2952</x:f>
        <x:v>1760</x:v>
      </x:c>
      <x:c r="P2952" s="22" t="n">
        <x:f>O2952*(1-N2952)</x:f>
        <x:v>1672</x:v>
      </x:c>
      <x:c r="Q2952" s="22" t="n">
        <x:v>1610</x:v>
      </x:c>
      <x:c r="R2952" s="22" t="n">
        <x:f>Q2952*M2952</x:f>
        <x:v>1610</x:v>
      </x:c>
      <x:c r="S2952" s="22" t="n">
        <x:f>P2952-R2952</x:f>
        <x:v>62</x:v>
      </x:c>
      <x:c r="T2952" t="str">
        <x:v>Credit</x:v>
      </x:c>
      <x:c r="U2952" t="str">
        <x:v>Pending</x:v>
      </x:c>
      <x:c r="V2952" t="str">
        <x:v>Delivered</x:v>
      </x:c>
      <x:c r="W2952" t="n">
        <x:v>0</x:v>
      </x:c>
      <x:c r="X2952" t="str"/>
      <x:c r="Y2952" t="str"/>
    </x:row>
    <x:row r="2953">
      <x:c r="A2953" t="str">
        <x:v>O002952</x:v>
      </x:c>
      <x:c r="B2953" s="20" t="n">
        <x:v>45817</x:v>
      </x:c>
      <x:c r="C2953" t="str">
        <x:v>C0195</x:v>
      </x:c>
      <x:c r="D2953" t="str">
        <x:v>Classic Stores 195</x:v>
      </x:c>
      <x:c r="E2953" t="str">
        <x:v>Canteen</x:v>
      </x:c>
      <x:c r="F2953" t="str">
        <x:v>Davanagere</x:v>
      </x:c>
      <x:c r="G2953" t="str">
        <x:v>Kavya</x:v>
      </x:c>
      <x:c r="H2953" t="str">
        <x:v>P003</x:v>
      </x:c>
      <x:c r="I2953" t="str">
        <x:v>Basmati Rice 5kg</x:v>
      </x:c>
      <x:c r="J2953" t="str">
        <x:v>Staples</x:v>
      </x:c>
      <x:c r="K2953" t="str">
        <x:v>India Gate</x:v>
      </x:c>
      <x:c r="L2953" s="22" t="n">
        <x:v>690</x:v>
      </x:c>
      <x:c r="M2953" t="n">
        <x:v>10</x:v>
      </x:c>
      <x:c r="N2953" s="24" t="n">
        <x:v>0.05</x:v>
      </x:c>
      <x:c r="O2953" s="22" t="n">
        <x:f>L2953*M2953</x:f>
        <x:v>6900</x:v>
      </x:c>
      <x:c r="P2953" s="22" t="n">
        <x:f>O2953*(1-N2953)</x:f>
        <x:v>6555</x:v>
      </x:c>
      <x:c r="Q2953" s="22" t="n">
        <x:v>610</x:v>
      </x:c>
      <x:c r="R2953" s="22" t="n">
        <x:f>Q2953*M2953</x:f>
        <x:v>6100</x:v>
      </x:c>
      <x:c r="S2953" s="22" t="n">
        <x:f>P2953-R2953</x:f>
        <x:v>455</x:v>
      </x:c>
      <x:c r="T2953" t="str">
        <x:v>Credit</x:v>
      </x:c>
      <x:c r="U2953" t="str">
        <x:v>Paid</x:v>
      </x:c>
      <x:c r="V2953" t="str">
        <x:v>Delivered</x:v>
      </x:c>
      <x:c r="W2953" t="n">
        <x:v>0</x:v>
      </x:c>
      <x:c r="X2953" t="str"/>
      <x:c r="Y2953" t="str">
        <x:v>WhatsApp</x:v>
      </x:c>
    </x:row>
    <x:row r="2954">
      <x:c r="A2954" t="str">
        <x:v>O002953</x:v>
      </x:c>
      <x:c r="B2954" s="20" t="n">
        <x:v>46000</x:v>
      </x:c>
      <x:c r="C2954" t="str">
        <x:v>C0035</x:v>
      </x:c>
      <x:c r="D2954" t="str">
        <x:v>City Foods 35</x:v>
      </x:c>
      <x:c r="E2954" t="str">
        <x:v>Kirana</x:v>
      </x:c>
      <x:c r="F2954" t="str">
        <x:v>Bengaluru</x:v>
      </x:c>
      <x:c r="G2954" t="str">
        <x:v>Megha</x:v>
      </x:c>
      <x:c r="H2954" t="str">
        <x:v>P001</x:v>
      </x:c>
      <x:c r="I2954" t="str">
        <x:v>Steam Rice 25kg</x:v>
      </x:c>
      <x:c r="J2954" t="str">
        <x:v>Staples</x:v>
      </x:c>
      <x:c r="K2954" t="str">
        <x:v>Aishwarya</x:v>
      </x:c>
      <x:c r="L2954" s="22" t="n">
        <x:v>1180</x:v>
      </x:c>
      <x:c r="M2954" t="n">
        <x:v>5</x:v>
      </x:c>
      <x:c r="N2954" s="24" t="n">
        <x:v>0.03</x:v>
      </x:c>
      <x:c r="O2954" s="22" t="n">
        <x:f>L2954*M2954</x:f>
        <x:v>5900</x:v>
      </x:c>
      <x:c r="P2954" s="22" t="n">
        <x:f>O2954*(1-N2954)</x:f>
        <x:v>5723</x:v>
      </x:c>
      <x:c r="Q2954" s="22" t="n">
        <x:v>1040</x:v>
      </x:c>
      <x:c r="R2954" s="22" t="n">
        <x:f>Q2954*M2954</x:f>
        <x:v>5200</x:v>
      </x:c>
      <x:c r="S2954" s="22" t="n">
        <x:f>P2954-R2954</x:f>
        <x:v>523</x:v>
      </x:c>
      <x:c r="T2954" t="str">
        <x:v>Bank Transfer</x:v>
      </x:c>
      <x:c r="U2954" t="str">
        <x:v>Pending</x:v>
      </x:c>
      <x:c r="V2954" t="str">
        <x:v>Delayed</x:v>
      </x:c>
      <x:c r="W2954" t="n">
        <x:v>0</x:v>
      </x:c>
      <x:c r="X2954" t="str"/>
      <x:c r="Y2954" t="str">
        <x:v>WhatsApp</x:v>
      </x:c>
    </x:row>
    <x:row r="2955">
      <x:c r="A2955" t="str">
        <x:v>O002954</x:v>
      </x:c>
      <x:c r="B2955" s="20" t="n">
        <x:v>46282</x:v>
      </x:c>
      <x:c r="C2955" t="str">
        <x:v>C0141</x:v>
      </x:c>
      <x:c r="D2955" t="str">
        <x:v>Sri Restaurant 141</x:v>
      </x:c>
      <x:c r="E2955" t="str">
        <x:v>Restaurant</x:v>
      </x:c>
      <x:c r="F2955" t="str">
        <x:v>Mangaluru</x:v>
      </x:c>
      <x:c r="G2955" t="str">
        <x:v>Ramesh</x:v>
      </x:c>
      <x:c r="H2955" t="str">
        <x:v>P007</x:v>
      </x:c>
      <x:c r="I2955" t="str">
        <x:v>Sunflower Oil 15L</x:v>
      </x:c>
      <x:c r="J2955" t="str">
        <x:v>Edible Oil</x:v>
      </x:c>
      <x:c r="K2955" t="str">
        <x:v>Fortune</x:v>
      </x:c>
      <x:c r="L2955" s="22" t="n">
        <x:v>1980</x:v>
      </x:c>
      <x:c r="M2955" t="n">
        <x:v>2</x:v>
      </x:c>
      <x:c r="N2955" s="24" t="n">
        <x:v>0.08</x:v>
      </x:c>
      <x:c r="O2955" s="22" t="n">
        <x:f>L2955*M2955</x:f>
        <x:v>3960</x:v>
      </x:c>
      <x:c r="P2955" s="22" t="n">
        <x:f>O2955*(1-N2955)</x:f>
        <x:v>3643.2000000000003</x:v>
      </x:c>
      <x:c r="Q2955" s="22" t="n">
        <x:v>1810</x:v>
      </x:c>
      <x:c r="R2955" s="22" t="n">
        <x:f>Q2955*M2955</x:f>
        <x:v>3620</x:v>
      </x:c>
      <x:c r="S2955" s="22" t="n">
        <x:f>P2955-R2955</x:f>
        <x:v>23.200000000000273</x:v>
      </x:c>
      <x:c r="T2955" t="str">
        <x:v>Cash</x:v>
      </x:c>
      <x:c r="U2955" t="str">
        <x:v>Paid</x:v>
      </x:c>
      <x:c r="V2955" t="str">
        <x:v>Cancelled</x:v>
      </x:c>
      <x:c r="W2955" t="n">
        <x:v>2</x:v>
      </x:c>
      <x:c r="X2955" t="str">
        <x:v>Cancelled Order</x:v>
      </x:c>
      <x:c r="Y2955" t="str">
        <x:v>Field Visit</x:v>
      </x:c>
    </x:row>
    <x:row r="2956">
      <x:c r="A2956" t="str">
        <x:v>O002955</x:v>
      </x:c>
      <x:c r="B2956" s="20" t="n">
        <x:v>46115</x:v>
      </x:c>
      <x:c r="C2956" t="str">
        <x:v>C0139</x:v>
      </x:c>
      <x:c r="D2956" t="str">
        <x:v>Classic Hotel 139</x:v>
      </x:c>
      <x:c r="E2956" t="str">
        <x:v>Cafe</x:v>
      </x:c>
      <x:c r="F2956" t="str">
        <x:v>Mysuru</x:v>
      </x:c>
      <x:c r="G2956" t="str">
        <x:v>Vikram</x:v>
      </x:c>
      <x:c r="H2956" t="str">
        <x:v>P018</x:v>
      </x:c>
      <x:c r="I2956" t="str">
        <x:v>Paneer 1kg</x:v>
      </x:c>
      <x:c r="J2956" t="str">
        <x:v>Dairy</x:v>
      </x:c>
      <x:c r="K2956" t="str">
        <x:v>Milky Mist</x:v>
      </x:c>
      <x:c r="L2956" s="22" t="n">
        <x:v>410</x:v>
      </x:c>
      <x:c r="M2956" t="n">
        <x:v>20</x:v>
      </x:c>
      <x:c r="N2956" s="24" t="n">
        <x:v>0.02</x:v>
      </x:c>
      <x:c r="O2956" s="22" t="n">
        <x:f>L2956*M2956</x:f>
        <x:v>8200</x:v>
      </x:c>
      <x:c r="P2956" s="22" t="n">
        <x:f>O2956*(1-N2956)</x:f>
        <x:v>8036</x:v>
      </x:c>
      <x:c r="Q2956" s="22" t="n">
        <x:v>370</x:v>
      </x:c>
      <x:c r="R2956" s="22" t="n">
        <x:f>Q2956*M2956</x:f>
        <x:v>7400</x:v>
      </x:c>
      <x:c r="S2956" s="22" t="n">
        <x:f>P2956-R2956</x:f>
        <x:v>636</x:v>
      </x:c>
      <x:c r="T2956" t="str">
        <x:v>Cash</x:v>
      </x:c>
      <x:c r="U2956" t="str">
        <x:v>Paid</x:v>
      </x:c>
      <x:c r="V2956" t="str">
        <x:v>Delivered</x:v>
      </x:c>
      <x:c r="W2956" t="n">
        <x:v>0</x:v>
      </x:c>
      <x:c r="X2956" t="str"/>
      <x:c r="Y2956" t="str">
        <x:v>Outbound Call</x:v>
      </x:c>
    </x:row>
    <x:row r="2957">
      <x:c r="A2957" t="str">
        <x:v>O002956</x:v>
      </x:c>
      <x:c r="B2957" s="20" t="n">
        <x:v>46143</x:v>
      </x:c>
      <x:c r="C2957" t="str">
        <x:v>C0141</x:v>
      </x:c>
      <x:c r="D2957" t="str">
        <x:v>Sri Restaurant 141</x:v>
      </x:c>
      <x:c r="E2957" t="str">
        <x:v>Restaurant</x:v>
      </x:c>
      <x:c r="F2957" t="str">
        <x:v>Mangaluru</x:v>
      </x:c>
      <x:c r="G2957" t="str">
        <x:v>Ramesh</x:v>
      </x:c>
      <x:c r="H2957" t="str">
        <x:v>P017</x:v>
      </x:c>
      <x:c r="I2957" t="str">
        <x:v>Butter 500g</x:v>
      </x:c>
      <x:c r="J2957" t="str">
        <x:v>Dairy</x:v>
      </x:c>
      <x:c r="K2957" t="str">
        <x:v>Amul</x:v>
      </x:c>
      <x:c r="L2957" s="22" t="n">
        <x:v>285</x:v>
      </x:c>
      <x:c r="M2957" t="n">
        <x:v>12</x:v>
      </x:c>
      <x:c r="N2957" s="24" t="n">
        <x:v>0</x:v>
      </x:c>
      <x:c r="O2957" s="22" t="n">
        <x:f>L2957*M2957</x:f>
        <x:v>3420</x:v>
      </x:c>
      <x:c r="P2957" s="22" t="n">
        <x:f>O2957*(1-N2957)</x:f>
        <x:v>3420</x:v>
      </x:c>
      <x:c r="Q2957" s="22" t="n">
        <x:v>258</x:v>
      </x:c>
      <x:c r="R2957" s="22" t="n">
        <x:f>Q2957*M2957</x:f>
        <x:v>3096</x:v>
      </x:c>
      <x:c r="S2957" s="22" t="n">
        <x:f>P2957-R2957</x:f>
        <x:v>324</x:v>
      </x:c>
      <x:c r="T2957" t="str">
        <x:v>Credit</x:v>
      </x:c>
      <x:c r="U2957" t="str">
        <x:v>Paid</x:v>
      </x:c>
      <x:c r="V2957" t="str">
        <x:v>Delivered</x:v>
      </x:c>
      <x:c r="W2957" t="n">
        <x:v>0</x:v>
      </x:c>
      <x:c r="X2957" t="str"/>
      <x:c r="Y2957" t="str">
        <x:v>Existing Customer</x:v>
      </x:c>
    </x:row>
    <x:row r="2958">
      <x:c r="A2958" t="str">
        <x:v>O002957</x:v>
      </x:c>
      <x:c r="B2958" s="20" t="n">
        <x:v>45805</x:v>
      </x:c>
      <x:c r="C2958" t="str">
        <x:v>C0070</x:v>
      </x:c>
      <x:c r="D2958" t="str">
        <x:v>Metro Stores 70</x:v>
      </x:c>
      <x:c r="E2958" t="str">
        <x:v>Cafe</x:v>
      </x:c>
      <x:c r="F2958" t="str">
        <x:v>Bengaluru</x:v>
      </x:c>
      <x:c r="G2958" t="str">
        <x:v>Vikram</x:v>
      </x:c>
      <x:c r="H2958" t="str">
        <x:v>P023</x:v>
      </x:c>
      <x:c r="I2958" t="str">
        <x:v>Cola 750ml</x:v>
      </x:c>
      <x:c r="J2958" t="str">
        <x:v>Beverage</x:v>
      </x:c>
      <x:c r="K2958" t="str">
        <x:v>Coca-Cola</x:v>
      </x:c>
      <x:c r="L2958" s="22" t="n">
        <x:v>38</x:v>
      </x:c>
      <x:c r="M2958" t="n">
        <x:v>40</x:v>
      </x:c>
      <x:c r="N2958" s="24" t="n">
        <x:v>0.05</x:v>
      </x:c>
      <x:c r="O2958" s="22" t="n">
        <x:f>L2958*M2958</x:f>
        <x:v>1520</x:v>
      </x:c>
      <x:c r="P2958" s="22" t="n">
        <x:f>O2958*(1-N2958)</x:f>
        <x:v>1444</x:v>
      </x:c>
      <x:c r="Q2958" s="22" t="n">
        <x:v>31</x:v>
      </x:c>
      <x:c r="R2958" s="22" t="n">
        <x:f>Q2958*M2958</x:f>
        <x:v>1240</x:v>
      </x:c>
      <x:c r="S2958" s="22" t="n">
        <x:f>P2958-R2958</x:f>
        <x:v>204</x:v>
      </x:c>
      <x:c r="T2958" t="str">
        <x:v>Bank Transfer</x:v>
      </x:c>
      <x:c r="U2958" t="str">
        <x:v>Paid</x:v>
      </x:c>
      <x:c r="V2958" t="str">
        <x:v>Delivered</x:v>
      </x:c>
      <x:c r="W2958" t="n">
        <x:v>0</x:v>
      </x:c>
      <x:c r="X2958" t="str"/>
      <x:c r="Y2958" t="str">
        <x:v>Existing Customer</x:v>
      </x:c>
    </x:row>
    <x:row r="2959">
      <x:c r="A2959" t="str">
        <x:v>O002958</x:v>
      </x:c>
      <x:c r="B2959" s="20" t="n">
        <x:v>46261</x:v>
      </x:c>
      <x:c r="C2959" t="str">
        <x:v>C0159</x:v>
      </x:c>
      <x:c r="D2959" t="str">
        <x:v>Darshini Foods 159</x:v>
      </x:c>
      <x:c r="E2959" t="str">
        <x:v>Canteen</x:v>
      </x:c>
      <x:c r="F2959" t="str">
        <x:v>Tumakuru</x:v>
      </x:c>
      <x:c r="G2959" t="str">
        <x:v>Kavya</x:v>
      </x:c>
      <x:c r="H2959" t="str">
        <x:v>P030</x:v>
      </x:c>
      <x:c r="I2959" t="str">
        <x:v>Mayonnaise 1kg</x:v>
      </x:c>
      <x:c r="J2959" t="str">
        <x:v>Condiments</x:v>
      </x:c>
      <x:c r="K2959" t="str">
        <x:v>Veeba</x:v>
      </x:c>
      <x:c r="L2959" s="22" t="n">
        <x:v>210</x:v>
      </x:c>
      <x:c r="M2959" t="n">
        <x:v>35</x:v>
      </x:c>
      <x:c r="N2959" s="24" t="n">
        <x:v>0.03</x:v>
      </x:c>
      <x:c r="O2959" s="22" t="n">
        <x:f>L2959*M2959</x:f>
        <x:v>7350</x:v>
      </x:c>
      <x:c r="P2959" s="22" t="n">
        <x:f>O2959*(1-N2959)</x:f>
        <x:v>7129.5</x:v>
      </x:c>
      <x:c r="Q2959" s="22" t="n">
        <x:v>185</x:v>
      </x:c>
      <x:c r="R2959" s="22" t="n">
        <x:f>Q2959*M2959</x:f>
        <x:v>6475</x:v>
      </x:c>
      <x:c r="S2959" s="22" t="n">
        <x:f>P2959-R2959</x:f>
        <x:v>654.5</x:v>
      </x:c>
      <x:c r="T2959" t="str">
        <x:v>Credit</x:v>
      </x:c>
      <x:c r="U2959" t="str">
        <x:v>Paid</x:v>
      </x:c>
      <x:c r="V2959" t="str">
        <x:v>Delivered</x:v>
      </x:c>
      <x:c r="W2959" t="n">
        <x:v>0</x:v>
      </x:c>
      <x:c r="X2959" t="str"/>
      <x:c r="Y2959" t="str">
        <x:v>Field Visit</x:v>
      </x:c>
    </x:row>
    <x:row r="2960">
      <x:c r="A2960" t="str">
        <x:v>O002959</x:v>
      </x:c>
      <x:c r="B2960" s="20" t="n">
        <x:v>45728</x:v>
      </x:c>
      <x:c r="C2960" t="str">
        <x:v>C0195</x:v>
      </x:c>
      <x:c r="D2960" t="str">
        <x:v>Classic Stores 195</x:v>
      </x:c>
      <x:c r="E2960" t="str">
        <x:v>Canteen</x:v>
      </x:c>
      <x:c r="F2960" t="str">
        <x:v>Davanagere</x:v>
      </x:c>
      <x:c r="G2960" t="str">
        <x:v>Kavya</x:v>
      </x:c>
      <x:c r="H2960" t="str">
        <x:v>P019</x:v>
      </x:c>
      <x:c r="I2960" t="str">
        <x:v>Tea 1kg</x:v>
      </x:c>
      <x:c r="J2960" t="str">
        <x:v>Beverage</x:v>
      </x:c>
      <x:c r="K2960" t="str">
        <x:v>Red Label</x:v>
      </x:c>
      <x:c r="L2960" s="22" t="n">
        <x:v>540</x:v>
      </x:c>
      <x:c r="M2960" t="n">
        <x:v>16</x:v>
      </x:c>
      <x:c r="N2960" s="24" t="n">
        <x:v>0.02</x:v>
      </x:c>
      <x:c r="O2960" s="22" t="n">
        <x:f>L2960*M2960</x:f>
        <x:v>8640</x:v>
      </x:c>
      <x:c r="P2960" s="22" t="n">
        <x:f>O2960*(1-N2960)</x:f>
        <x:v>8467.2</x:v>
      </x:c>
      <x:c r="Q2960" s="22" t="n">
        <x:v>485</x:v>
      </x:c>
      <x:c r="R2960" s="22" t="n">
        <x:f>Q2960*M2960</x:f>
        <x:v>7760</x:v>
      </x:c>
      <x:c r="S2960" s="22" t="n">
        <x:f>P2960-R2960</x:f>
        <x:v>707.2000000000007</x:v>
      </x:c>
      <x:c r="T2960" t="str">
        <x:v>UPI</x:v>
      </x:c>
      <x:c r="U2960" t="str">
        <x:v>Pending</x:v>
      </x:c>
      <x:c r="V2960" t="str">
        <x:v>Delivered</x:v>
      </x:c>
      <x:c r="W2960" t="n">
        <x:v>0</x:v>
      </x:c>
      <x:c r="X2960" t="str"/>
      <x:c r="Y2960" t="str">
        <x:v>Existing Customer</x:v>
      </x:c>
    </x:row>
    <x:row r="2961">
      <x:c r="A2961" t="str">
        <x:v>O002960</x:v>
      </x:c>
      <x:c r="B2961" s="20" t="n">
        <x:v>45661</x:v>
      </x:c>
      <x:c r="C2961" t="str">
        <x:v>C0055</x:v>
      </x:c>
      <x:c r="D2961" t="str">
        <x:v>Royal Mart 55</x:v>
      </x:c>
      <x:c r="E2961" t="str">
        <x:v>Restaurant</x:v>
      </x:c>
      <x:c r="F2961" t="str">
        <x:v>Hubballi</x:v>
      </x:c>
      <x:c r="G2961" t="str">
        <x:v>Vikram</x:v>
      </x:c>
      <x:c r="H2961" t="str">
        <x:v>P027</x:v>
      </x:c>
      <x:c r="I2961" t="str">
        <x:v>Biscuits 120g</x:v>
      </x:c>
      <x:c r="J2961" t="str">
        <x:v>Snacks</x:v>
      </x:c>
      <x:c r="K2961" t="str">
        <x:v>Parle-G</x:v>
      </x:c>
      <x:c r="L2961" s="22" t="n">
        <x:v>12</x:v>
      </x:c>
      <x:c r="M2961" t="n">
        <x:v>22</x:v>
      </x:c>
      <x:c r="N2961" s="24" t="n">
        <x:v>0.1</x:v>
      </x:c>
      <x:c r="O2961" s="22" t="n">
        <x:f>L2961*M2961</x:f>
        <x:v>264</x:v>
      </x:c>
      <x:c r="P2961" s="22" t="n">
        <x:f>O2961*(1-N2961)</x:f>
        <x:v>237.6</x:v>
      </x:c>
      <x:c r="Q2961" s="22" t="n">
        <x:v>9</x:v>
      </x:c>
      <x:c r="R2961" s="22" t="n">
        <x:f>Q2961*M2961</x:f>
        <x:v>198</x:v>
      </x:c>
      <x:c r="S2961" s="22" t="n">
        <x:f>P2961-R2961</x:f>
        <x:v>39.599999999999994</x:v>
      </x:c>
      <x:c r="T2961" t="str">
        <x:v>Credit</x:v>
      </x:c>
      <x:c r="U2961" t="str">
        <x:v>Paid</x:v>
      </x:c>
      <x:c r="V2961" t="str">
        <x:v>Delivered</x:v>
      </x:c>
      <x:c r="W2961" t="n">
        <x:v>0</x:v>
      </x:c>
      <x:c r="X2961" t="str"/>
      <x:c r="Y2961" t="str">
        <x:v>Outbound Call</x:v>
      </x:c>
    </x:row>
    <x:row r="2962">
      <x:c r="A2962" t="str">
        <x:v>O002961</x:v>
      </x:c>
      <x:c r="B2962" s="20" t="n">
        <x:v>45915</x:v>
      </x:c>
      <x:c r="C2962" t="str">
        <x:v>C0149</x:v>
      </x:c>
      <x:c r="D2962" t="str">
        <x:v>Annapurna Hotel 149</x:v>
      </x:c>
      <x:c r="E2962" t="str">
        <x:v>Cafe</x:v>
      </x:c>
      <x:c r="F2962" t="str">
        <x:v>Tumakuru</x:v>
      </x:c>
      <x:c r="G2962" t="str">
        <x:v>Megha</x:v>
      </x:c>
      <x:c r="H2962" t="str">
        <x:v>P014</x:v>
      </x:c>
      <x:c r="I2962" t="str">
        <x:v>Rava 5kg</x:v>
      </x:c>
      <x:c r="J2962" t="str">
        <x:v>Flour</x:v>
      </x:c>
      <x:c r="K2962" t="str">
        <x:v>Local Select</x:v>
      </x:c>
      <x:c r="L2962" s="22" t="n">
        <x:v>245</x:v>
      </x:c>
      <x:c r="M2962" t="n">
        <x:v>25</x:v>
      </x:c>
      <x:c r="N2962" s="24" t="n">
        <x:v>0.08</x:v>
      </x:c>
      <x:c r="O2962" s="22" t="n">
        <x:f>L2962*M2962</x:f>
        <x:v>6125</x:v>
      </x:c>
      <x:c r="P2962" s="22" t="n">
        <x:f>O2962*(1-N2962)</x:f>
        <x:v>5635</x:v>
      </x:c>
      <x:c r="Q2962" s="22" t="n">
        <x:v>215</x:v>
      </x:c>
      <x:c r="R2962" s="22" t="n">
        <x:f>Q2962*M2962</x:f>
        <x:v>5375</x:v>
      </x:c>
      <x:c r="S2962" s="22" t="n">
        <x:f>P2962-R2962</x:f>
        <x:v>260</x:v>
      </x:c>
      <x:c r="T2962" t="str">
        <x:v>UPI</x:v>
      </x:c>
      <x:c r="U2962" t="str">
        <x:v>Paid</x:v>
      </x:c>
      <x:c r="V2962" t="str">
        <x:v>Delivered</x:v>
      </x:c>
      <x:c r="W2962" t="n">
        <x:v>0</x:v>
      </x:c>
      <x:c r="X2962" t="str"/>
      <x:c r="Y2962" t="str">
        <x:v>Existing Customer</x:v>
      </x:c>
    </x:row>
    <x:row r="2963">
      <x:c r="A2963" t="str">
        <x:v>O002962</x:v>
      </x:c>
      <x:c r="B2963" s="20" t="n">
        <x:v>46276</x:v>
      </x:c>
      <x:c r="C2963" t="str">
        <x:v>C0076</x:v>
      </x:c>
      <x:c r="D2963" t="str">
        <x:v>Sri Canteen 76</x:v>
      </x:c>
      <x:c r="E2963" t="str">
        <x:v>Canteen</x:v>
      </x:c>
      <x:c r="F2963" t="str">
        <x:v>Tumakuru</x:v>
      </x:c>
      <x:c r="G2963" t="str">
        <x:v>Priya</x:v>
      </x:c>
      <x:c r="H2963" t="str">
        <x:v>P031</x:v>
      </x:c>
      <x:c r="I2963" t="str">
        <x:v>Chilli Sauce 700g</x:v>
      </x:c>
      <x:c r="J2963" t="str">
        <x:v>Condiments</x:v>
      </x:c>
      <x:c r="K2963" t="str">
        <x:v>Ching's</x:v>
      </x:c>
      <x:c r="L2963" s="22" t="n">
        <x:v>130</x:v>
      </x:c>
      <x:c r="M2963" t="n">
        <x:v>16</x:v>
      </x:c>
      <x:c r="N2963" s="24" t="n">
        <x:v>0.03</x:v>
      </x:c>
      <x:c r="O2963" s="22" t="n">
        <x:f>L2963*M2963</x:f>
        <x:v>2080</x:v>
      </x:c>
      <x:c r="P2963" s="22" t="n">
        <x:f>O2963*(1-N2963)</x:f>
        <x:v>2017.6</x:v>
      </x:c>
      <x:c r="Q2963" s="22" t="n">
        <x:v>112</x:v>
      </x:c>
      <x:c r="R2963" s="22" t="n">
        <x:f>Q2963*M2963</x:f>
        <x:v>1792</x:v>
      </x:c>
      <x:c r="S2963" s="22" t="n">
        <x:f>P2963-R2963</x:f>
        <x:v>225.5999999999999</x:v>
      </x:c>
      <x:c r="T2963" t="str">
        <x:v>Cash</x:v>
      </x:c>
      <x:c r="U2963" t="str">
        <x:v>Paid</x:v>
      </x:c>
      <x:c r="V2963" t="str">
        <x:v>Delivered</x:v>
      </x:c>
      <x:c r="W2963" t="n">
        <x:v>0</x:v>
      </x:c>
      <x:c r="X2963" t="str"/>
      <x:c r="Y2963" t="str">
        <x:v>WhatsApp</x:v>
      </x:c>
    </x:row>
    <x:row r="2964">
      <x:c r="A2964" t="str">
        <x:v>O002963</x:v>
      </x:c>
      <x:c r="B2964" s="20" t="n">
        <x:v>45793</x:v>
      </x:c>
      <x:c r="C2964" t="str">
        <x:v>C0103</x:v>
      </x:c>
      <x:c r="D2964" t="str">
        <x:v>Fresh Kitchen 103</x:v>
      </x:c>
      <x:c r="E2964" t="str">
        <x:v>Supermarket</x:v>
      </x:c>
      <x:c r="F2964" t="str">
        <x:v>Davanagere</x:v>
      </x:c>
      <x:c r="G2964" t="str">
        <x:v>Megha</x:v>
      </x:c>
      <x:c r="H2964" t="str">
        <x:v>P009</x:v>
      </x:c>
      <x:c r="I2964" t="str">
        <x:v>Groundnut Oil 5L</x:v>
      </x:c>
      <x:c r="J2964" t="str">
        <x:v>Edible Oil</x:v>
      </x:c>
      <x:c r="K2964" t="str">
        <x:v>Dhara</x:v>
      </x:c>
      <x:c r="L2964" s="22" t="n">
        <x:v>890</x:v>
      </x:c>
      <x:c r="M2964" t="n">
        <x:v>16</x:v>
      </x:c>
      <x:c r="N2964" s="24" t="n">
        <x:v>0.08</x:v>
      </x:c>
      <x:c r="O2964" s="22" t="n">
        <x:f>L2964*M2964</x:f>
        <x:v>14240</x:v>
      </x:c>
      <x:c r="P2964" s="22" t="n">
        <x:f>O2964*(1-N2964)</x:f>
        <x:v>13100.800000000001</x:v>
      </x:c>
      <x:c r="Q2964" s="22" t="n">
        <x:v>810</x:v>
      </x:c>
      <x:c r="R2964" s="22" t="n">
        <x:f>Q2964*M2964</x:f>
        <x:v>12960</x:v>
      </x:c>
      <x:c r="S2964" s="22" t="n">
        <x:f>P2964-R2964</x:f>
        <x:v>140.8000000000011</x:v>
      </x:c>
      <x:c r="T2964" t="str">
        <x:v>UPI</x:v>
      </x:c>
      <x:c r="U2964" t="str">
        <x:v>Overdue</x:v>
      </x:c>
      <x:c r="V2964" t="str">
        <x:v>Delivered</x:v>
      </x:c>
      <x:c r="W2964" t="n">
        <x:v>4</x:v>
      </x:c>
      <x:c r="X2964" t="str">
        <x:v>Quality Issue</x:v>
      </x:c>
      <x:c r="Y2964" t="str">
        <x:v>Existing Customer</x:v>
      </x:c>
    </x:row>
    <x:row r="2965">
      <x:c r="A2965" t="str">
        <x:v>O002964</x:v>
      </x:c>
      <x:c r="B2965" s="20" t="n">
        <x:v>45895</x:v>
      </x:c>
      <x:c r="C2965" t="str">
        <x:v>C0008</x:v>
      </x:c>
      <x:c r="D2965" t="str">
        <x:v>Namma Kitchen 8</x:v>
      </x:c>
      <x:c r="E2965" t="str">
        <x:v>Kirana</x:v>
      </x:c>
      <x:c r="F2965" t="str">
        <x:v>Bengaluru</x:v>
      </x:c>
      <x:c r="G2965" t="str">
        <x:v>Vikram</x:v>
      </x:c>
      <x:c r="H2965" t="str">
        <x:v>P021</x:v>
      </x:c>
      <x:c r="I2965" t="str">
        <x:v>Instant Coffee 200g</x:v>
      </x:c>
      <x:c r="J2965" t="str">
        <x:v>Beverage</x:v>
      </x:c>
      <x:c r="K2965" t="str">
        <x:v>Nescafe</x:v>
      </x:c>
      <x:c r="L2965" s="22" t="n">
        <x:v>460</x:v>
      </x:c>
      <x:c r="M2965" t="n">
        <x:v>7</x:v>
      </x:c>
      <x:c r="N2965" s="24" t="n">
        <x:v>0.02</x:v>
      </x:c>
      <x:c r="O2965" s="22" t="n">
        <x:f>L2965*M2965</x:f>
        <x:v>3220</x:v>
      </x:c>
      <x:c r="P2965" s="22" t="n">
        <x:f>O2965*(1-N2965)</x:f>
        <x:v>3155.6</x:v>
      </x:c>
      <x:c r="Q2965" s="22" t="n">
        <x:v>410</x:v>
      </x:c>
      <x:c r="R2965" s="22" t="n">
        <x:f>Q2965*M2965</x:f>
        <x:v>2870</x:v>
      </x:c>
      <x:c r="S2965" s="22" t="n">
        <x:f>P2965-R2965</x:f>
        <x:v>285.5999999999999</x:v>
      </x:c>
      <x:c r="T2965" t="str">
        <x:v>Bank Transfer</x:v>
      </x:c>
      <x:c r="U2965" t="str">
        <x:v>Paid</x:v>
      </x:c>
      <x:c r="V2965" t="str">
        <x:v>Delivered</x:v>
      </x:c>
      <x:c r="W2965" t="n">
        <x:v>0</x:v>
      </x:c>
      <x:c r="X2965" t="str"/>
      <x:c r="Y2965" t="str">
        <x:v>Field Visit</x:v>
      </x:c>
    </x:row>
    <x:row r="2966">
      <x:c r="A2966" t="str">
        <x:v>O002965</x:v>
      </x:c>
      <x:c r="B2966" s="20" t="n">
        <x:v>46108</x:v>
      </x:c>
      <x:c r="C2966" t="str">
        <x:v>C0014</x:v>
      </x:c>
      <x:c r="D2966" t="str">
        <x:v>Annapurna Canteen 14</x:v>
      </x:c>
      <x:c r="E2966" t="str">
        <x:v>Kirana</x:v>
      </x:c>
      <x:c r="F2966" t="str">
        <x:v>Davanagere</x:v>
      </x:c>
      <x:c r="G2966" t="str">
        <x:v>Sneha</x:v>
      </x:c>
      <x:c r="H2966" t="str">
        <x:v>P014</x:v>
      </x:c>
      <x:c r="I2966" t="str">
        <x:v>Rava 5kg</x:v>
      </x:c>
      <x:c r="J2966" t="str">
        <x:v>Flour</x:v>
      </x:c>
      <x:c r="K2966" t="str">
        <x:v>Local Select</x:v>
      </x:c>
      <x:c r="L2966" s="22" t="n">
        <x:v>245</x:v>
      </x:c>
      <x:c r="M2966" t="n">
        <x:v>12</x:v>
      </x:c>
      <x:c r="N2966" s="24" t="n">
        <x:v>0.05</x:v>
      </x:c>
      <x:c r="O2966" s="22" t="n">
        <x:f>L2966*M2966</x:f>
        <x:v>2940</x:v>
      </x:c>
      <x:c r="P2966" s="22" t="n">
        <x:f>O2966*(1-N2966)</x:f>
        <x:v>2793</x:v>
      </x:c>
      <x:c r="Q2966" s="22" t="n">
        <x:v>215</x:v>
      </x:c>
      <x:c r="R2966" s="22" t="n">
        <x:f>Q2966*M2966</x:f>
        <x:v>2580</x:v>
      </x:c>
      <x:c r="S2966" s="22" t="n">
        <x:f>P2966-R2966</x:f>
        <x:v>213</x:v>
      </x:c>
      <x:c r="T2966" t="str">
        <x:v>Credit</x:v>
      </x:c>
      <x:c r="U2966" t="str">
        <x:v>Paid</x:v>
      </x:c>
      <x:c r="V2966" t="str">
        <x:v>Delivered</x:v>
      </x:c>
      <x:c r="W2966" t="n">
        <x:v>0</x:v>
      </x:c>
      <x:c r="X2966" t="str"/>
      <x:c r="Y2966" t="str">
        <x:v>Referral</x:v>
      </x:c>
    </x:row>
    <x:row r="2967">
      <x:c r="A2967" t="str">
        <x:v>O002966</x:v>
      </x:c>
      <x:c r="B2967" s="20" t="n">
        <x:v>46086</x:v>
      </x:c>
      <x:c r="C2967" t="str">
        <x:v>C0117</x:v>
      </x:c>
      <x:c r="D2967" t="str">
        <x:v>Classic Canteen 117</x:v>
      </x:c>
      <x:c r="E2967" t="str">
        <x:v>Restaurant</x:v>
      </x:c>
      <x:c r="F2967" t="str">
        <x:v>Hubballi</x:v>
      </x:c>
      <x:c r="G2967" t="str">
        <x:v>Megha</x:v>
      </x:c>
      <x:c r="H2967" t="str">
        <x:v>P023</x:v>
      </x:c>
      <x:c r="I2967" t="str">
        <x:v>Cola 750ml</x:v>
      </x:c>
      <x:c r="J2967" t="str">
        <x:v>Beverage</x:v>
      </x:c>
      <x:c r="K2967" t="str">
        <x:v>Coca-Cola</x:v>
      </x:c>
      <x:c r="L2967" s="22" t="n">
        <x:v>38</x:v>
      </x:c>
      <x:c r="M2967" t="n">
        <x:v>13</x:v>
      </x:c>
      <x:c r="N2967" s="24" t="n">
        <x:v>0.08</x:v>
      </x:c>
      <x:c r="O2967" s="22" t="n">
        <x:f>L2967*M2967</x:f>
        <x:v>494</x:v>
      </x:c>
      <x:c r="P2967" s="22" t="n">
        <x:f>O2967*(1-N2967)</x:f>
        <x:v>454.48</x:v>
      </x:c>
      <x:c r="Q2967" s="22" t="n">
        <x:v>31</x:v>
      </x:c>
      <x:c r="R2967" s="22" t="n">
        <x:f>Q2967*M2967</x:f>
        <x:v>403</x:v>
      </x:c>
      <x:c r="S2967" s="22" t="n">
        <x:f>P2967-R2967</x:f>
        <x:v>51.48000000000002</x:v>
      </x:c>
      <x:c r="T2967" t="str">
        <x:v>UPI</x:v>
      </x:c>
      <x:c r="U2967" t="str">
        <x:v>Paid</x:v>
      </x:c>
      <x:c r="V2967" t="str">
        <x:v>Delivered</x:v>
      </x:c>
      <x:c r="W2967" t="n">
        <x:v>0</x:v>
      </x:c>
      <x:c r="X2967" t="str"/>
      <x:c r="Y2967" t="str">
        <x:v>Outbound Call</x:v>
      </x:c>
    </x:row>
    <x:row r="2968">
      <x:c r="A2968" t="str">
        <x:v>O002967</x:v>
      </x:c>
      <x:c r="B2968" s="20" t="n">
        <x:v>46228</x:v>
      </x:c>
      <x:c r="C2968" t="str">
        <x:v>C0217</x:v>
      </x:c>
      <x:c r="D2968" t="str">
        <x:v>Darshini Cafe 217</x:v>
      </x:c>
      <x:c r="E2968" t="str">
        <x:v>Restaurant</x:v>
      </x:c>
      <x:c r="F2968" t="str">
        <x:v>Bengaluru</x:v>
      </x:c>
      <x:c r="G2968" t="str">
        <x:v>Priya</x:v>
      </x:c>
      <x:c r="H2968" t="str">
        <x:v>P012</x:v>
      </x:c>
      <x:c r="I2968" t="str">
        <x:v>Maida 10kg</x:v>
      </x:c>
      <x:c r="J2968" t="str">
        <x:v>Flour</x:v>
      </x:c>
      <x:c r="K2968" t="str">
        <x:v>Aashirvaad</x:v>
      </x:c>
      <x:c r="L2968" s="22" t="n">
        <x:v>520</x:v>
      </x:c>
      <x:c r="M2968" t="n">
        <x:v>32</x:v>
      </x:c>
      <x:c r="N2968" s="24" t="n">
        <x:v>0.03</x:v>
      </x:c>
      <x:c r="O2968" s="22" t="n">
        <x:f>L2968*M2968</x:f>
        <x:v>16640</x:v>
      </x:c>
      <x:c r="P2968" s="22" t="n">
        <x:f>O2968*(1-N2968)</x:f>
        <x:v>16140.8</x:v>
      </x:c>
      <x:c r="Q2968" s="22" t="n">
        <x:v>460</x:v>
      </x:c>
      <x:c r="R2968" s="22" t="n">
        <x:f>Q2968*M2968</x:f>
        <x:v>14720</x:v>
      </x:c>
      <x:c r="S2968" s="22" t="n">
        <x:f>P2968-R2968</x:f>
        <x:v>1420.7999999999993</x:v>
      </x:c>
      <x:c r="T2968" t="str">
        <x:v>UPI</x:v>
      </x:c>
      <x:c r="U2968" t="str">
        <x:v>Pending</x:v>
      </x:c>
      <x:c r="V2968" t="str">
        <x:v>Delivered</x:v>
      </x:c>
      <x:c r="W2968" t="n">
        <x:v>0</x:v>
      </x:c>
      <x:c r="X2968" t="str"/>
      <x:c r="Y2968" t="str">
        <x:v>Field Visit</x:v>
      </x:c>
    </x:row>
    <x:row r="2969">
      <x:c r="A2969" t="str">
        <x:v>O002968</x:v>
      </x:c>
      <x:c r="B2969" s="20" t="n">
        <x:v>45997</x:v>
      </x:c>
      <x:c r="C2969" t="str">
        <x:v>C0221</x:v>
      </x:c>
      <x:c r="D2969" t="str">
        <x:v>Cafe Canteen 221</x:v>
      </x:c>
      <x:c r="E2969" t="str">
        <x:v>Hotel</x:v>
      </x:c>
      <x:c r="F2969" t="str">
        <x:v>Hubballi</x:v>
      </x:c>
      <x:c r="G2969" t="str">
        <x:v>Kavya</x:v>
      </x:c>
      <x:c r="H2969" t="str">
        <x:v>P033</x:v>
      </x:c>
      <x:c r="I2969" t="str">
        <x:v>Turmeric Powder 1kg</x:v>
      </x:c>
      <x:c r="J2969" t="str">
        <x:v>Spices</x:v>
      </x:c>
      <x:c r="K2969" t="str">
        <x:v>Everest</x:v>
      </x:c>
      <x:c r="L2969" s="22" t="n">
        <x:v>310</x:v>
      </x:c>
      <x:c r="M2969" t="n">
        <x:v>33</x:v>
      </x:c>
      <x:c r="N2969" s="24" t="n">
        <x:v>0.03</x:v>
      </x:c>
      <x:c r="O2969" s="22" t="n">
        <x:f>L2969*M2969</x:f>
        <x:v>10230</x:v>
      </x:c>
      <x:c r="P2969" s="22" t="n">
        <x:f>O2969*(1-N2969)</x:f>
        <x:v>9923.1</x:v>
      </x:c>
      <x:c r="Q2969" s="22" t="n">
        <x:v>270</x:v>
      </x:c>
      <x:c r="R2969" s="22" t="n">
        <x:f>Q2969*M2969</x:f>
        <x:v>8910</x:v>
      </x:c>
      <x:c r="S2969" s="22" t="n">
        <x:f>P2969-R2969</x:f>
        <x:v>1013.1000000000004</x:v>
      </x:c>
      <x:c r="T2969" t="str">
        <x:v>Bank Transfer</x:v>
      </x:c>
      <x:c r="U2969" t="str">
        <x:v>Paid</x:v>
      </x:c>
      <x:c r="V2969" t="str">
        <x:v>Delivered</x:v>
      </x:c>
      <x:c r="W2969" t="n">
        <x:v>0</x:v>
      </x:c>
      <x:c r="X2969" t="str"/>
      <x:c r="Y2969" t="str">
        <x:v>Field Visit</x:v>
      </x:c>
    </x:row>
    <x:row r="2970">
      <x:c r="A2970" t="str">
        <x:v>O002969</x:v>
      </x:c>
      <x:c r="B2970" s="20" t="n">
        <x:v>45827</x:v>
      </x:c>
      <x:c r="C2970" t="str">
        <x:v>C0239</x:v>
      </x:c>
      <x:c r="D2970" t="str">
        <x:v>Royal Hotel 239</x:v>
      </x:c>
      <x:c r="E2970" t="str">
        <x:v>Restaurant</x:v>
      </x:c>
      <x:c r="F2970" t="str">
        <x:v>Hubballi</x:v>
      </x:c>
      <x:c r="G2970" t="str">
        <x:v>Priya</x:v>
      </x:c>
      <x:c r="H2970" t="str">
        <x:v>P002</x:v>
      </x:c>
      <x:c r="I2970" t="str">
        <x:v>Sona Masoori Rice 25kg</x:v>
      </x:c>
      <x:c r="J2970" t="str">
        <x:v>Staples</x:v>
      </x:c>
      <x:c r="K2970" t="str">
        <x:v>Fortune</x:v>
      </x:c>
      <x:c r="L2970" s="22" t="n">
        <x:v>1320</x:v>
      </x:c>
      <x:c r="M2970" t="n">
        <x:v>11</x:v>
      </x:c>
      <x:c r="N2970" s="24" t="n">
        <x:v>0.03</x:v>
      </x:c>
      <x:c r="O2970" s="22" t="n">
        <x:f>L2970*M2970</x:f>
        <x:v>14520</x:v>
      </x:c>
      <x:c r="P2970" s="22" t="n">
        <x:f>O2970*(1-N2970)</x:f>
        <x:v>14084.4</x:v>
      </x:c>
      <x:c r="Q2970" s="22" t="n">
        <x:v>1160</x:v>
      </x:c>
      <x:c r="R2970" s="22" t="n">
        <x:f>Q2970*M2970</x:f>
        <x:v>12760</x:v>
      </x:c>
      <x:c r="S2970" s="22" t="n">
        <x:f>P2970-R2970</x:f>
        <x:v>1324.3999999999996</x:v>
      </x:c>
      <x:c r="T2970" t="str">
        <x:v>Cash</x:v>
      </x:c>
      <x:c r="U2970" t="str">
        <x:v>Paid</x:v>
      </x:c>
      <x:c r="V2970" t="str">
        <x:v>Delivered</x:v>
      </x:c>
      <x:c r="W2970" t="n">
        <x:v>0</x:v>
      </x:c>
      <x:c r="X2970" t="str"/>
      <x:c r="Y2970" t="str">
        <x:v>Existing Customer</x:v>
      </x:c>
    </x:row>
    <x:row r="2971">
      <x:c r="A2971" t="str">
        <x:v>O002970</x:v>
      </x:c>
      <x:c r="B2971" s="20" t="n">
        <x:v>46256</x:v>
      </x:c>
      <x:c r="C2971" t="str">
        <x:v>C0098</x:v>
      </x:c>
      <x:c r="D2971" t="str">
        <x:v>City Stores 98</x:v>
      </x:c>
      <x:c r="E2971" t="str">
        <x:v>Canteen</x:v>
      </x:c>
      <x:c r="F2971" t="str">
        <x:v>Mangaluru</x:v>
      </x:c>
      <x:c r="G2971" t="str">
        <x:v>Imran</x:v>
      </x:c>
      <x:c r="H2971" t="str">
        <x:v>P028</x:v>
      </x:c>
      <x:c r="I2971" t="str">
        <x:v>Cookies 200g</x:v>
      </x:c>
      <x:c r="J2971" t="str">
        <x:v>Snacks</x:v>
      </x:c>
      <x:c r="K2971" t="str">
        <x:v>Britannia</x:v>
      </x:c>
      <x:c r="L2971" s="22" t="n">
        <x:v>55</x:v>
      </x:c>
      <x:c r="M2971" t="n">
        <x:v>3</x:v>
      </x:c>
      <x:c r="N2971" s="24" t="n">
        <x:v>0.08</x:v>
      </x:c>
      <x:c r="O2971" s="22" t="n">
        <x:f>L2971*M2971</x:f>
        <x:v>165</x:v>
      </x:c>
      <x:c r="P2971" s="22" t="n">
        <x:f>O2971*(1-N2971)</x:f>
        <x:v>151.8</x:v>
      </x:c>
      <x:c r="Q2971" s="22" t="n">
        <x:v>42</x:v>
      </x:c>
      <x:c r="R2971" s="22" t="n">
        <x:f>Q2971*M2971</x:f>
        <x:v>126</x:v>
      </x:c>
      <x:c r="S2971" s="22" t="n">
        <x:f>P2971-R2971</x:f>
        <x:v>25.80000000000001</x:v>
      </x:c>
      <x:c r="T2971" t="str">
        <x:v>Cash</x:v>
      </x:c>
      <x:c r="U2971" t="str">
        <x:v>Pending</x:v>
      </x:c>
      <x:c r="V2971" t="str">
        <x:v>Delayed</x:v>
      </x:c>
      <x:c r="W2971" t="n">
        <x:v>0</x:v>
      </x:c>
      <x:c r="X2971" t="str"/>
      <x:c r="Y2971" t="str">
        <x:v>Field Visit</x:v>
      </x:c>
    </x:row>
    <x:row r="2972">
      <x:c r="A2972" t="str">
        <x:v>O002971</x:v>
      </x:c>
      <x:c r="B2972" s="20" t="n">
        <x:v>46278</x:v>
      </x:c>
      <x:c r="C2972" t="str">
        <x:v>C0237</x:v>
      </x:c>
      <x:c r="D2972" t="str">
        <x:v>Mysore Restaurant 237</x:v>
      </x:c>
      <x:c r="E2972" t="str">
        <x:v>Restaurant</x:v>
      </x:c>
      <x:c r="F2972" t="str">
        <x:v>Bengaluru</x:v>
      </x:c>
      <x:c r="G2972" t="str">
        <x:v>Sneha</x:v>
      </x:c>
      <x:c r="H2972" t="str">
        <x:v>P046</x:v>
      </x:c>
      <x:c r="I2972" t="str">
        <x:v>Potato 25kg</x:v>
      </x:c>
      <x:c r="J2972" t="str">
        <x:v>Fresh Produce</x:v>
      </x:c>
      <x:c r="K2972" t="str">
        <x:v>Local Market</x:v>
      </x:c>
      <x:c r="L2972" s="22" t="n">
        <x:v>700</x:v>
      </x:c>
      <x:c r="M2972" t="n">
        <x:v>34</x:v>
      </x:c>
      <x:c r="N2972" s="24" t="n">
        <x:v>0.05</x:v>
      </x:c>
      <x:c r="O2972" s="22" t="n">
        <x:f>L2972*M2972</x:f>
        <x:v>23800</x:v>
      </x:c>
      <x:c r="P2972" s="22" t="n">
        <x:f>O2972*(1-N2972)</x:f>
        <x:v>22610</x:v>
      </x:c>
      <x:c r="Q2972" s="22" t="n">
        <x:v>610</x:v>
      </x:c>
      <x:c r="R2972" s="22" t="n">
        <x:f>Q2972*M2972</x:f>
        <x:v>20740</x:v>
      </x:c>
      <x:c r="S2972" s="22" t="n">
        <x:f>P2972-R2972</x:f>
        <x:v>1870</x:v>
      </x:c>
      <x:c r="T2972" t="str">
        <x:v>Bank Transfer</x:v>
      </x:c>
      <x:c r="U2972" t="str">
        <x:v>Paid</x:v>
      </x:c>
      <x:c r="V2972" t="str">
        <x:v>Delivered</x:v>
      </x:c>
      <x:c r="W2972" t="n">
        <x:v>0</x:v>
      </x:c>
      <x:c r="X2972" t="str"/>
      <x:c r="Y2972" t="str">
        <x:v>Existing Customer</x:v>
      </x:c>
    </x:row>
    <x:row r="2973">
      <x:c r="A2973" t="str">
        <x:v>O002972</x:v>
      </x:c>
      <x:c r="B2973" s="20" t="n">
        <x:v>45994</x:v>
      </x:c>
      <x:c r="C2973" t="str">
        <x:v>C0115</x:v>
      </x:c>
      <x:c r="D2973" t="str">
        <x:v>Mysore Mart 115</x:v>
      </x:c>
      <x:c r="E2973" t="str">
        <x:v>Kirana</x:v>
      </x:c>
      <x:c r="F2973" t="str">
        <x:v>Mangaluru</x:v>
      </x:c>
      <x:c r="G2973" t="str">
        <x:v>Arjun</x:v>
      </x:c>
      <x:c r="H2973" t="str">
        <x:v>P003</x:v>
      </x:c>
      <x:c r="I2973" t="str">
        <x:v>Basmati Rice 5kg</x:v>
      </x:c>
      <x:c r="J2973" t="str">
        <x:v>Staples</x:v>
      </x:c>
      <x:c r="K2973" t="str">
        <x:v>India Gate</x:v>
      </x:c>
      <x:c r="L2973" s="22" t="n">
        <x:v>690</x:v>
      </x:c>
      <x:c r="M2973" t="n">
        <x:v>10</x:v>
      </x:c>
      <x:c r="N2973" s="24" t="n">
        <x:v>0</x:v>
      </x:c>
      <x:c r="O2973" s="22" t="n">
        <x:f>L2973*M2973</x:f>
        <x:v>6900</x:v>
      </x:c>
      <x:c r="P2973" s="22" t="n">
        <x:f>O2973*(1-N2973)</x:f>
        <x:v>6900</x:v>
      </x:c>
      <x:c r="Q2973" s="22" t="n">
        <x:v>610</x:v>
      </x:c>
      <x:c r="R2973" s="22" t="n">
        <x:f>Q2973*M2973</x:f>
        <x:v>6100</x:v>
      </x:c>
      <x:c r="S2973" s="22" t="n">
        <x:f>P2973-R2973</x:f>
        <x:v>800</x:v>
      </x:c>
      <x:c r="T2973" t="str">
        <x:v>UPI</x:v>
      </x:c>
      <x:c r="U2973" t="str">
        <x:v>Paid</x:v>
      </x:c>
      <x:c r="V2973" t="str">
        <x:v>Cancelled</x:v>
      </x:c>
      <x:c r="W2973" t="n">
        <x:v>10</x:v>
      </x:c>
      <x:c r="X2973" t="str">
        <x:v>Cancelled Order</x:v>
      </x:c>
      <x:c r="Y2973" t="str">
        <x:v>Referral</x:v>
      </x:c>
    </x:row>
    <x:row r="2974">
      <x:c r="A2974" t="str">
        <x:v>O002973</x:v>
      </x:c>
      <x:c r="B2974" s="20" t="n">
        <x:v>46129</x:v>
      </x:c>
      <x:c r="C2974" t="str">
        <x:v>C0139</x:v>
      </x:c>
      <x:c r="D2974" t="str">
        <x:v>Classic Hotel 139</x:v>
      </x:c>
      <x:c r="E2974" t="str">
        <x:v>Cafe</x:v>
      </x:c>
      <x:c r="F2974" t="str">
        <x:v>Mysuru</x:v>
      </x:c>
      <x:c r="G2974" t="str">
        <x:v>Vikram</x:v>
      </x:c>
      <x:c r="H2974" t="str">
        <x:v>P036</x:v>
      </x:c>
      <x:c r="I2974" t="str">
        <x:v>Garam Masala 500g</x:v>
      </x:c>
      <x:c r="J2974" t="str">
        <x:v>Spices</x:v>
      </x:c>
      <x:c r="K2974" t="str">
        <x:v>MDH</x:v>
      </x:c>
      <x:c r="L2974" s="22" t="n">
        <x:v>265</x:v>
      </x:c>
      <x:c r="M2974" t="n">
        <x:v>6</x:v>
      </x:c>
      <x:c r="N2974" s="24" t="n">
        <x:v>0.05</x:v>
      </x:c>
      <x:c r="O2974" s="22" t="n">
        <x:f>L2974*M2974</x:f>
        <x:v>1590</x:v>
      </x:c>
      <x:c r="P2974" s="22" t="n">
        <x:f>O2974*(1-N2974)</x:f>
        <x:v>1510.5</x:v>
      </x:c>
      <x:c r="Q2974" s="22" t="n">
        <x:v>230</x:v>
      </x:c>
      <x:c r="R2974" s="22" t="n">
        <x:f>Q2974*M2974</x:f>
        <x:v>1380</x:v>
      </x:c>
      <x:c r="S2974" s="22" t="n">
        <x:f>P2974-R2974</x:f>
        <x:v>130.5</x:v>
      </x:c>
      <x:c r="T2974" t="str">
        <x:v>Bank Transfer</x:v>
      </x:c>
      <x:c r="U2974" t="str">
        <x:v>Paid</x:v>
      </x:c>
      <x:c r="V2974" t="str">
        <x:v>Delivered</x:v>
      </x:c>
      <x:c r="W2974" t="n">
        <x:v>0</x:v>
      </x:c>
      <x:c r="X2974" t="str"/>
      <x:c r="Y2974" t="str">
        <x:v>Referral</x:v>
      </x:c>
    </x:row>
    <x:row r="2975">
      <x:c r="A2975" t="str">
        <x:v>O002974</x:v>
      </x:c>
      <x:c r="B2975" s="20" t="n">
        <x:v>46193</x:v>
      </x:c>
      <x:c r="C2975" t="str">
        <x:v>C0242</x:v>
      </x:c>
      <x:c r="D2975" t="str">
        <x:v>Fresh Cafe 242</x:v>
      </x:c>
      <x:c r="E2975" t="str">
        <x:v>Canteen</x:v>
      </x:c>
      <x:c r="F2975" t="str">
        <x:v>Davanagere</x:v>
      </x:c>
      <x:c r="G2975" t="str">
        <x:v>Kavya</x:v>
      </x:c>
      <x:c r="H2975" t="str">
        <x:v>P025</x:v>
      </x:c>
      <x:c r="I2975" t="str">
        <x:v>Potato Chips 100g</x:v>
      </x:c>
      <x:c r="J2975" t="str">
        <x:v>Snacks</x:v>
      </x:c>
      <x:c r="K2975" t="str">
        <x:v>Lay's</x:v>
      </x:c>
      <x:c r="L2975" s="22" t="n">
        <x:v>35</x:v>
      </x:c>
      <x:c r="M2975" t="n">
        <x:v>28</x:v>
      </x:c>
      <x:c r="N2975" s="24" t="n">
        <x:v>0.1</x:v>
      </x:c>
      <x:c r="O2975" s="22" t="n">
        <x:f>L2975*M2975</x:f>
        <x:v>980</x:v>
      </x:c>
      <x:c r="P2975" s="22" t="n">
        <x:f>O2975*(1-N2975)</x:f>
        <x:v>882</x:v>
      </x:c>
      <x:c r="Q2975" s="22" t="n">
        <x:v>27</x:v>
      </x:c>
      <x:c r="R2975" s="22" t="n">
        <x:f>Q2975*M2975</x:f>
        <x:v>756</x:v>
      </x:c>
      <x:c r="S2975" s="22" t="n">
        <x:f>P2975-R2975</x:f>
        <x:v>126</x:v>
      </x:c>
      <x:c r="T2975" t="str">
        <x:v>Bank Transfer</x:v>
      </x:c>
      <x:c r="U2975" t="str">
        <x:v>Pending</x:v>
      </x:c>
      <x:c r="V2975" t="str">
        <x:v>Cancelled</x:v>
      </x:c>
      <x:c r="W2975" t="n">
        <x:v>28</x:v>
      </x:c>
      <x:c r="X2975" t="str">
        <x:v>Cancelled Order</x:v>
      </x:c>
      <x:c r="Y2975" t="str">
        <x:v>WhatsApp</x:v>
      </x:c>
    </x:row>
    <x:row r="2976">
      <x:c r="A2976" t="str">
        <x:v>O002975</x:v>
      </x:c>
      <x:c r="B2976" s="20" t="n">
        <x:v>46212</x:v>
      </x:c>
      <x:c r="C2976" t="str">
        <x:v>C0035</x:v>
      </x:c>
      <x:c r="D2976" t="str">
        <x:v>City Foods 35</x:v>
      </x:c>
      <x:c r="E2976" t="str">
        <x:v>Kirana</x:v>
      </x:c>
      <x:c r="F2976" t="str">
        <x:v>Bengaluru</x:v>
      </x:c>
      <x:c r="G2976" t="str">
        <x:v>Megha</x:v>
      </x:c>
      <x:c r="H2976" t="str">
        <x:v>P028</x:v>
      </x:c>
      <x:c r="I2976" t="str">
        <x:v>Cookies 200g</x:v>
      </x:c>
      <x:c r="J2976" t="str">
        <x:v>Snacks</x:v>
      </x:c>
      <x:c r="K2976" t="str">
        <x:v>Britannia</x:v>
      </x:c>
      <x:c r="L2976" s="22" t="n">
        <x:v>55</x:v>
      </x:c>
      <x:c r="M2976" t="n">
        <x:v>22</x:v>
      </x:c>
      <x:c r="N2976" s="24" t="n">
        <x:v>0</x:v>
      </x:c>
      <x:c r="O2976" s="22" t="n">
        <x:f>L2976*M2976</x:f>
        <x:v>1210</x:v>
      </x:c>
      <x:c r="P2976" s="22" t="n">
        <x:f>O2976*(1-N2976)</x:f>
        <x:v>1210</x:v>
      </x:c>
      <x:c r="Q2976" s="22" t="n">
        <x:v>42</x:v>
      </x:c>
      <x:c r="R2976" s="22" t="n">
        <x:f>Q2976*M2976</x:f>
        <x:v>924</x:v>
      </x:c>
      <x:c r="S2976" s="22" t="n">
        <x:f>P2976-R2976</x:f>
        <x:v>286</x:v>
      </x:c>
      <x:c r="T2976" t="str">
        <x:v>Bank Transfer</x:v>
      </x:c>
      <x:c r="U2976" t="str">
        <x:v>Paid</x:v>
      </x:c>
      <x:c r="V2976" t="str">
        <x:v>Cancelled</x:v>
      </x:c>
      <x:c r="W2976" t="n">
        <x:v>22</x:v>
      </x:c>
      <x:c r="X2976" t="str">
        <x:v>Cancelled Order</x:v>
      </x:c>
      <x:c r="Y2976" t="str">
        <x:v>WhatsApp</x:v>
      </x:c>
    </x:row>
    <x:row r="2977">
      <x:c r="A2977" t="str">
        <x:v>O002976</x:v>
      </x:c>
      <x:c r="B2977" s="20" t="n">
        <x:v>45811</x:v>
      </x:c>
      <x:c r="C2977" t="str">
        <x:v>C0185</x:v>
      </x:c>
      <x:c r="D2977" t="str">
        <x:v>Mysore Foods 185</x:v>
      </x:c>
      <x:c r="E2977" t="str">
        <x:v>Restaurant</x:v>
      </x:c>
      <x:c r="F2977" t="str">
        <x:v>Mysuru</x:v>
      </x:c>
      <x:c r="G2977" t="str">
        <x:v>Sneha</x:v>
      </x:c>
      <x:c r="H2977" t="str">
        <x:v>P016</x:v>
      </x:c>
      <x:c r="I2977" t="str">
        <x:v>Curd 1kg</x:v>
      </x:c>
      <x:c r="J2977" t="str">
        <x:v>Dairy</x:v>
      </x:c>
      <x:c r="K2977" t="str">
        <x:v>Nandini</x:v>
      </x:c>
      <x:c r="L2977" s="22" t="n">
        <x:v>72</x:v>
      </x:c>
      <x:c r="M2977" t="n">
        <x:v>1</x:v>
      </x:c>
      <x:c r="N2977" s="24" t="n">
        <x:v>0.03</x:v>
      </x:c>
      <x:c r="O2977" s="22" t="n">
        <x:f>L2977*M2977</x:f>
        <x:v>72</x:v>
      </x:c>
      <x:c r="P2977" s="22" t="n">
        <x:f>O2977*(1-N2977)</x:f>
        <x:v>69.84</x:v>
      </x:c>
      <x:c r="Q2977" s="22" t="n">
        <x:v>64</x:v>
      </x:c>
      <x:c r="R2977" s="22" t="n">
        <x:f>Q2977*M2977</x:f>
        <x:v>64</x:v>
      </x:c>
      <x:c r="S2977" s="22" t="n">
        <x:f>P2977-R2977</x:f>
        <x:v>5.840000000000003</x:v>
      </x:c>
      <x:c r="T2977" t="str">
        <x:v>Credit</x:v>
      </x:c>
      <x:c r="U2977" t="str">
        <x:v>Paid</x:v>
      </x:c>
      <x:c r="V2977" t="str">
        <x:v>Delivered</x:v>
      </x:c>
      <x:c r="W2977" t="n">
        <x:v>0</x:v>
      </x:c>
      <x:c r="X2977" t="str"/>
      <x:c r="Y2977" t="str">
        <x:v>WhatsApp</x:v>
      </x:c>
    </x:row>
    <x:row r="2978">
      <x:c r="A2978" t="str">
        <x:v>O002977</x:v>
      </x:c>
      <x:c r="B2978" s="20" t="n">
        <x:v>45665</x:v>
      </x:c>
      <x:c r="C2978" t="str">
        <x:v>C0245</x:v>
      </x:c>
      <x:c r="D2978" t="str">
        <x:v>Udupi Cafe 245</x:v>
      </x:c>
      <x:c r="E2978" t="str">
        <x:v>Canteen</x:v>
      </x:c>
      <x:c r="F2978" t="str">
        <x:v>Bengaluru</x:v>
      </x:c>
      <x:c r="G2978" t="str">
        <x:v>Priya</x:v>
      </x:c>
      <x:c r="H2978" t="str">
        <x:v>P048</x:v>
      </x:c>
      <x:c r="I2978" t="str">
        <x:v>Banana 10kg</x:v>
      </x:c>
      <x:c r="J2978" t="str">
        <x:v>Fresh Produce</x:v>
      </x:c>
      <x:c r="K2978" t="str">
        <x:v>Local Market</x:v>
      </x:c>
      <x:c r="L2978" s="22" t="n">
        <x:v>420</x:v>
      </x:c>
      <x:c r="M2978" t="n">
        <x:v>27</x:v>
      </x:c>
      <x:c r="N2978" s="24" t="n">
        <x:v>0</x:v>
      </x:c>
      <x:c r="O2978" s="22" t="n">
        <x:f>L2978*M2978</x:f>
        <x:v>11340</x:v>
      </x:c>
      <x:c r="P2978" s="22" t="n">
        <x:f>O2978*(1-N2978)</x:f>
        <x:v>11340</x:v>
      </x:c>
      <x:c r="Q2978" s="22" t="n">
        <x:v>350</x:v>
      </x:c>
      <x:c r="R2978" s="22" t="n">
        <x:f>Q2978*M2978</x:f>
        <x:v>9450</x:v>
      </x:c>
      <x:c r="S2978" s="22" t="n">
        <x:f>P2978-R2978</x:f>
        <x:v>1890</x:v>
      </x:c>
      <x:c r="T2978" t="str">
        <x:v>Bank Transfer</x:v>
      </x:c>
      <x:c r="U2978" t="str">
        <x:v>Pending</x:v>
      </x:c>
      <x:c r="V2978" t="str">
        <x:v>Delivered</x:v>
      </x:c>
      <x:c r="W2978" t="n">
        <x:v>0</x:v>
      </x:c>
      <x:c r="X2978" t="str"/>
      <x:c r="Y2978" t="str">
        <x:v>Field Visit</x:v>
      </x:c>
    </x:row>
    <x:row r="2979">
      <x:c r="A2979" t="str">
        <x:v>O002978</x:v>
      </x:c>
      <x:c r="B2979" s="20" t="n">
        <x:v>46035</x:v>
      </x:c>
      <x:c r="C2979" t="str">
        <x:v>C0194</x:v>
      </x:c>
      <x:c r="D2979" t="str">
        <x:v>Royal Hotel 194</x:v>
      </x:c>
      <x:c r="E2979" t="str">
        <x:v>Kirana</x:v>
      </x:c>
      <x:c r="F2979" t="str">
        <x:v>Mysuru</x:v>
      </x:c>
      <x:c r="G2979" t="str">
        <x:v>Megha</x:v>
      </x:c>
      <x:c r="H2979" t="str">
        <x:v>P049</x:v>
      </x:c>
      <x:c r="I2979" t="str">
        <x:v>Apple 10kg</x:v>
      </x:c>
      <x:c r="J2979" t="str">
        <x:v>Fresh Produce</x:v>
      </x:c>
      <x:c r="K2979" t="str">
        <x:v>Local Market</x:v>
      </x:c>
      <x:c r="L2979" s="22" t="n">
        <x:v>1450</x:v>
      </x:c>
      <x:c r="M2979" t="n">
        <x:v>4</x:v>
      </x:c>
      <x:c r="N2979" s="24" t="n">
        <x:v>0.02</x:v>
      </x:c>
      <x:c r="O2979" s="22" t="n">
        <x:f>L2979*M2979</x:f>
        <x:v>5800</x:v>
      </x:c>
      <x:c r="P2979" s="22" t="n">
        <x:f>O2979*(1-N2979)</x:f>
        <x:v>5684</x:v>
      </x:c>
      <x:c r="Q2979" s="22" t="n">
        <x:v>1280</x:v>
      </x:c>
      <x:c r="R2979" s="22" t="n">
        <x:f>Q2979*M2979</x:f>
        <x:v>5120</x:v>
      </x:c>
      <x:c r="S2979" s="22" t="n">
        <x:f>P2979-R2979</x:f>
        <x:v>564</x:v>
      </x:c>
      <x:c r="T2979" t="str">
        <x:v>Credit</x:v>
      </x:c>
      <x:c r="U2979" t="str">
        <x:v>Paid</x:v>
      </x:c>
      <x:c r="V2979" t="str">
        <x:v>Cancelled</x:v>
      </x:c>
      <x:c r="W2979" t="n">
        <x:v>4</x:v>
      </x:c>
      <x:c r="X2979" t="str">
        <x:v>Cancelled Order</x:v>
      </x:c>
      <x:c r="Y2979" t="str">
        <x:v>Referral</x:v>
      </x:c>
    </x:row>
    <x:row r="2980">
      <x:c r="A2980" t="str">
        <x:v>O002979</x:v>
      </x:c>
      <x:c r="B2980" s="20" t="n">
        <x:v>46169</x:v>
      </x:c>
      <x:c r="C2980" t="str">
        <x:v>C0218</x:v>
      </x:c>
      <x:c r="D2980" t="str">
        <x:v>Green Stores 218</x:v>
      </x:c>
      <x:c r="E2980" t="str">
        <x:v>Hotel</x:v>
      </x:c>
      <x:c r="F2980" t="str">
        <x:v>Mysuru</x:v>
      </x:c>
      <x:c r="G2980" t="str">
        <x:v>Imran</x:v>
      </x:c>
      <x:c r="H2980" t="str">
        <x:v>P029</x:v>
      </x:c>
      <x:c r="I2980" t="str">
        <x:v>Tomato Ketchup 1kg</x:v>
      </x:c>
      <x:c r="J2980" t="str">
        <x:v>Condiments</x:v>
      </x:c>
      <x:c r="K2980" t="str">
        <x:v>Kissan</x:v>
      </x:c>
      <x:c r="L2980" s="22" t="n">
        <x:v>145</x:v>
      </x:c>
      <x:c r="M2980" t="n">
        <x:v>3</x:v>
      </x:c>
      <x:c r="N2980" s="24" t="n">
        <x:v>0</x:v>
      </x:c>
      <x:c r="O2980" s="22" t="n">
        <x:f>L2980*M2980</x:f>
        <x:v>435</x:v>
      </x:c>
      <x:c r="P2980" s="22" t="n">
        <x:f>O2980*(1-N2980)</x:f>
        <x:v>435</x:v>
      </x:c>
      <x:c r="Q2980" s="22" t="n">
        <x:v>126</x:v>
      </x:c>
      <x:c r="R2980" s="22" t="n">
        <x:f>Q2980*M2980</x:f>
        <x:v>378</x:v>
      </x:c>
      <x:c r="S2980" s="22" t="n">
        <x:f>P2980-R2980</x:f>
        <x:v>57</x:v>
      </x:c>
      <x:c r="T2980" t="str">
        <x:v>Cash</x:v>
      </x:c>
      <x:c r="U2980" t="str">
        <x:v>Paid</x:v>
      </x:c>
      <x:c r="V2980" t="str">
        <x:v>Delayed</x:v>
      </x:c>
      <x:c r="W2980" t="n">
        <x:v>0</x:v>
      </x:c>
      <x:c r="X2980" t="str"/>
      <x:c r="Y2980" t="str">
        <x:v>Field Visit</x:v>
      </x:c>
    </x:row>
    <x:row r="2981">
      <x:c r="A2981" t="str">
        <x:v>O002980</x:v>
      </x:c>
      <x:c r="B2981" s="20" t="n">
        <x:v>45720</x:v>
      </x:c>
      <x:c r="C2981" t="str">
        <x:v>C0121</x:v>
      </x:c>
      <x:c r="D2981" t="str">
        <x:v>Mysore Restaurant 121</x:v>
      </x:c>
      <x:c r="E2981" t="str">
        <x:v>Cafe</x:v>
      </x:c>
      <x:c r="F2981" t="str">
        <x:v>Mysuru</x:v>
      </x:c>
      <x:c r="G2981" t="str">
        <x:v>Sneha</x:v>
      </x:c>
      <x:c r="H2981" t="str">
        <x:v>P014</x:v>
      </x:c>
      <x:c r="I2981" t="str">
        <x:v>Rava 5kg</x:v>
      </x:c>
      <x:c r="J2981" t="str">
        <x:v>Flour</x:v>
      </x:c>
      <x:c r="K2981" t="str">
        <x:v>Local Select</x:v>
      </x:c>
      <x:c r="L2981" s="22" t="n">
        <x:v>245</x:v>
      </x:c>
      <x:c r="M2981" t="n">
        <x:v>9</x:v>
      </x:c>
      <x:c r="N2981" s="24" t="n">
        <x:v>0.05</x:v>
      </x:c>
      <x:c r="O2981" s="22" t="n">
        <x:f>L2981*M2981</x:f>
        <x:v>2205</x:v>
      </x:c>
      <x:c r="P2981" s="22" t="n">
        <x:f>O2981*(1-N2981)</x:f>
        <x:v>2094.75</x:v>
      </x:c>
      <x:c r="Q2981" s="22" t="n">
        <x:v>215</x:v>
      </x:c>
      <x:c r="R2981" s="22" t="n">
        <x:f>Q2981*M2981</x:f>
        <x:v>1935</x:v>
      </x:c>
      <x:c r="S2981" s="22" t="n">
        <x:f>P2981-R2981</x:f>
        <x:v>159.75</x:v>
      </x:c>
      <x:c r="T2981" t="str">
        <x:v>Bank Transfer</x:v>
      </x:c>
      <x:c r="U2981" t="str">
        <x:v>Pending</x:v>
      </x:c>
      <x:c r="V2981" t="str">
        <x:v>Cancelled</x:v>
      </x:c>
      <x:c r="W2981" t="n">
        <x:v>9</x:v>
      </x:c>
      <x:c r="X2981" t="str">
        <x:v>Cancelled Order</x:v>
      </x:c>
      <x:c r="Y2981" t="str">
        <x:v>Referral</x:v>
      </x:c>
    </x:row>
    <x:row r="2982">
      <x:c r="A2982" t="str">
        <x:v>O002981</x:v>
      </x:c>
      <x:c r="B2982" s="20" t="n">
        <x:v>45681</x:v>
      </x:c>
      <x:c r="C2982" t="str">
        <x:v>C0089</x:v>
      </x:c>
      <x:c r="D2982" t="str">
        <x:v>Green Canteen 89</x:v>
      </x:c>
      <x:c r="E2982" t="str">
        <x:v>Supermarket</x:v>
      </x:c>
      <x:c r="F2982" t="str">
        <x:v>Mangaluru</x:v>
      </x:c>
      <x:c r="G2982" t="str">
        <x:v>Megha</x:v>
      </x:c>
      <x:c r="H2982" t="str">
        <x:v>P029</x:v>
      </x:c>
      <x:c r="I2982" t="str">
        <x:v>Tomato Ketchup 1kg</x:v>
      </x:c>
      <x:c r="J2982" t="str">
        <x:v>Condiments</x:v>
      </x:c>
      <x:c r="K2982" t="str">
        <x:v>Kissan</x:v>
      </x:c>
      <x:c r="L2982" s="22" t="n">
        <x:v>145</x:v>
      </x:c>
      <x:c r="M2982" t="n">
        <x:v>20</x:v>
      </x:c>
      <x:c r="N2982" s="24" t="n">
        <x:v>0.05</x:v>
      </x:c>
      <x:c r="O2982" s="22" t="n">
        <x:f>L2982*M2982</x:f>
        <x:v>2900</x:v>
      </x:c>
      <x:c r="P2982" s="22" t="n">
        <x:f>O2982*(1-N2982)</x:f>
        <x:v>2755</x:v>
      </x:c>
      <x:c r="Q2982" s="22" t="n">
        <x:v>126</x:v>
      </x:c>
      <x:c r="R2982" s="22" t="n">
        <x:f>Q2982*M2982</x:f>
        <x:v>2520</x:v>
      </x:c>
      <x:c r="S2982" s="22" t="n">
        <x:f>P2982-R2982</x:f>
        <x:v>235</x:v>
      </x:c>
      <x:c r="T2982" t="str">
        <x:v>Cash</x:v>
      </x:c>
      <x:c r="U2982" t="str">
        <x:v>Paid</x:v>
      </x:c>
      <x:c r="V2982" t="str">
        <x:v>Cancelled</x:v>
      </x:c>
      <x:c r="W2982" t="n">
        <x:v>20</x:v>
      </x:c>
      <x:c r="X2982" t="str">
        <x:v>Cancelled Order</x:v>
      </x:c>
      <x:c r="Y2982" t="str">
        <x:v>Referral</x:v>
      </x:c>
    </x:row>
    <x:row r="2983">
      <x:c r="A2983" t="str">
        <x:v>O002982</x:v>
      </x:c>
      <x:c r="B2983" s="20" t="n">
        <x:v>46078</x:v>
      </x:c>
      <x:c r="C2983" t="str">
        <x:v>C0087</x:v>
      </x:c>
      <x:c r="D2983" t="str">
        <x:v>Namma Kitchen 87</x:v>
      </x:c>
      <x:c r="E2983" t="str">
        <x:v>Kirana</x:v>
      </x:c>
      <x:c r="F2983" t="str">
        <x:v>Bengaluru</x:v>
      </x:c>
      <x:c r="G2983" t="str">
        <x:v>Priya</x:v>
      </x:c>
      <x:c r="H2983" t="str">
        <x:v>P019</x:v>
      </x:c>
      <x:c r="I2983" t="str">
        <x:v>Tea 1kg</x:v>
      </x:c>
      <x:c r="J2983" t="str">
        <x:v>Beverage</x:v>
      </x:c>
      <x:c r="K2983" t="str">
        <x:v>Red Label</x:v>
      </x:c>
      <x:c r="L2983" s="22" t="n">
        <x:v>540</x:v>
      </x:c>
      <x:c r="M2983" t="n">
        <x:v>34</x:v>
      </x:c>
      <x:c r="N2983" s="24" t="n">
        <x:v>0.05</x:v>
      </x:c>
      <x:c r="O2983" s="22" t="n">
        <x:f>L2983*M2983</x:f>
        <x:v>18360</x:v>
      </x:c>
      <x:c r="P2983" s="22" t="n">
        <x:f>O2983*(1-N2983)</x:f>
        <x:v>17442</x:v>
      </x:c>
      <x:c r="Q2983" s="22" t="n">
        <x:v>485</x:v>
      </x:c>
      <x:c r="R2983" s="22" t="n">
        <x:f>Q2983*M2983</x:f>
        <x:v>16490</x:v>
      </x:c>
      <x:c r="S2983" s="22" t="n">
        <x:f>P2983-R2983</x:f>
        <x:v>952</x:v>
      </x:c>
      <x:c r="T2983" t="str">
        <x:v>Bank Transfer</x:v>
      </x:c>
      <x:c r="U2983" t="str">
        <x:v>Overdue</x:v>
      </x:c>
      <x:c r="V2983" t="str">
        <x:v>Delivered</x:v>
      </x:c>
      <x:c r="W2983" t="n">
        <x:v>0</x:v>
      </x:c>
      <x:c r="X2983" t="str"/>
      <x:c r="Y2983" t="str">
        <x:v>WhatsApp</x:v>
      </x:c>
    </x:row>
    <x:row r="2984">
      <x:c r="A2984" t="str">
        <x:v>O002983</x:v>
      </x:c>
      <x:c r="B2984" s="20" t="n">
        <x:v>45764</x:v>
      </x:c>
      <x:c r="C2984" t="str">
        <x:v>C0076</x:v>
      </x:c>
      <x:c r="D2984" t="str">
        <x:v>Sri Canteen 76</x:v>
      </x:c>
      <x:c r="E2984" t="str">
        <x:v>Canteen</x:v>
      </x:c>
      <x:c r="F2984" t="str">
        <x:v>Tumakuru</x:v>
      </x:c>
      <x:c r="G2984" t="str">
        <x:v>Priya</x:v>
      </x:c>
      <x:c r="H2984" t="str">
        <x:v>P007</x:v>
      </x:c>
      <x:c r="I2984" t="str">
        <x:v>Sunflower Oil 15L</x:v>
      </x:c>
      <x:c r="J2984" t="str">
        <x:v>Edible Oil</x:v>
      </x:c>
      <x:c r="K2984" t="str">
        <x:v>Fortune</x:v>
      </x:c>
      <x:c r="L2984" s="22" t="n">
        <x:v>1980</x:v>
      </x:c>
      <x:c r="M2984" t="n">
        <x:v>8</x:v>
      </x:c>
      <x:c r="N2984" s="24" t="n">
        <x:v>0.1</x:v>
      </x:c>
      <x:c r="O2984" s="22" t="n">
        <x:f>L2984*M2984</x:f>
        <x:v>15840</x:v>
      </x:c>
      <x:c r="P2984" s="22" t="n">
        <x:f>O2984*(1-N2984)</x:f>
        <x:v>14256</x:v>
      </x:c>
      <x:c r="Q2984" s="22" t="n">
        <x:v>1810</x:v>
      </x:c>
      <x:c r="R2984" s="22" t="n">
        <x:f>Q2984*M2984</x:f>
        <x:v>14480</x:v>
      </x:c>
      <x:c r="S2984" s="22" t="n">
        <x:f>P2984-R2984</x:f>
        <x:v>-224</x:v>
      </x:c>
      <x:c r="T2984" t="str">
        <x:v>UPI</x:v>
      </x:c>
      <x:c r="U2984" t="str">
        <x:v>Paid</x:v>
      </x:c>
      <x:c r="V2984" t="str">
        <x:v>Delayed</x:v>
      </x:c>
      <x:c r="W2984" t="n">
        <x:v>0</x:v>
      </x:c>
      <x:c r="X2984" t="str"/>
      <x:c r="Y2984" t="str">
        <x:v>WhatsApp</x:v>
      </x:c>
    </x:row>
    <x:row r="2985">
      <x:c r="A2985" t="str">
        <x:v>O002984</x:v>
      </x:c>
      <x:c r="B2985" s="20" t="n">
        <x:v>46067</x:v>
      </x:c>
      <x:c r="C2985" t="str">
        <x:v>C0222</x:v>
      </x:c>
      <x:c r="D2985" t="str">
        <x:v>Sri Cafe 222</x:v>
      </x:c>
      <x:c r="E2985" t="str">
        <x:v>Kirana</x:v>
      </x:c>
      <x:c r="F2985" t="str">
        <x:v>Mangaluru</x:v>
      </x:c>
      <x:c r="G2985" t="str">
        <x:v>Arjun</x:v>
      </x:c>
      <x:c r="H2985" t="str">
        <x:v>P019</x:v>
      </x:c>
      <x:c r="I2985" t="str">
        <x:v>Tea 1kg</x:v>
      </x:c>
      <x:c r="J2985" t="str">
        <x:v>Beverage</x:v>
      </x:c>
      <x:c r="K2985" t="str">
        <x:v>Red Label</x:v>
      </x:c>
      <x:c r="L2985" s="22" t="n">
        <x:v>540</x:v>
      </x:c>
      <x:c r="M2985" t="n">
        <x:v>30</x:v>
      </x:c>
      <x:c r="N2985" s="24" t="n">
        <x:v>0</x:v>
      </x:c>
      <x:c r="O2985" s="22" t="n">
        <x:f>L2985*M2985</x:f>
        <x:v>16200</x:v>
      </x:c>
      <x:c r="P2985" s="22" t="n">
        <x:f>O2985*(1-N2985)</x:f>
        <x:v>16200</x:v>
      </x:c>
      <x:c r="Q2985" s="22" t="n">
        <x:v>485</x:v>
      </x:c>
      <x:c r="R2985" s="22" t="n">
        <x:f>Q2985*M2985</x:f>
        <x:v>14550</x:v>
      </x:c>
      <x:c r="S2985" s="22" t="n">
        <x:f>P2985-R2985</x:f>
        <x:v>1650</x:v>
      </x:c>
      <x:c r="T2985" t="str">
        <x:v>Credit</x:v>
      </x:c>
      <x:c r="U2985" t="str">
        <x:v>Pending</x:v>
      </x:c>
      <x:c r="V2985" t="str">
        <x:v>Delivered</x:v>
      </x:c>
      <x:c r="W2985" t="n">
        <x:v>0</x:v>
      </x:c>
      <x:c r="X2985" t="str"/>
      <x:c r="Y2985" t="str">
        <x:v>Outbound Call</x:v>
      </x:c>
    </x:row>
    <x:row r="2986">
      <x:c r="A2986" t="str">
        <x:v>O002985</x:v>
      </x:c>
      <x:c r="B2986" s="20" t="n">
        <x:v>46185</x:v>
      </x:c>
      <x:c r="C2986" t="str">
        <x:v>C0248</x:v>
      </x:c>
      <x:c r="D2986" t="str">
        <x:v>Royal Restaurant 248</x:v>
      </x:c>
      <x:c r="E2986" t="str">
        <x:v>Canteen</x:v>
      </x:c>
      <x:c r="F2986" t="str">
        <x:v>Mysuru</x:v>
      </x:c>
      <x:c r="G2986" t="str">
        <x:v>Priya</x:v>
      </x:c>
      <x:c r="H2986" t="str">
        <x:v>P018</x:v>
      </x:c>
      <x:c r="I2986" t="str">
        <x:v>Paneer 1kg</x:v>
      </x:c>
      <x:c r="J2986" t="str">
        <x:v>Dairy</x:v>
      </x:c>
      <x:c r="K2986" t="str">
        <x:v>Milky Mist</x:v>
      </x:c>
      <x:c r="L2986" s="22" t="n">
        <x:v>410</x:v>
      </x:c>
      <x:c r="M2986" t="n">
        <x:v>17</x:v>
      </x:c>
      <x:c r="N2986" s="24" t="n">
        <x:v>0.05</x:v>
      </x:c>
      <x:c r="O2986" s="22" t="n">
        <x:f>L2986*M2986</x:f>
        <x:v>6970</x:v>
      </x:c>
      <x:c r="P2986" s="22" t="n">
        <x:f>O2986*(1-N2986)</x:f>
        <x:v>6621.5</x:v>
      </x:c>
      <x:c r="Q2986" s="22" t="n">
        <x:v>370</x:v>
      </x:c>
      <x:c r="R2986" s="22" t="n">
        <x:f>Q2986*M2986</x:f>
        <x:v>6290</x:v>
      </x:c>
      <x:c r="S2986" s="22" t="n">
        <x:f>P2986-R2986</x:f>
        <x:v>331.5</x:v>
      </x:c>
      <x:c r="T2986" t="str">
        <x:v>Credit</x:v>
      </x:c>
      <x:c r="U2986" t="str">
        <x:v>Paid</x:v>
      </x:c>
      <x:c r="V2986" t="str">
        <x:v>Delivered</x:v>
      </x:c>
      <x:c r="W2986" t="n">
        <x:v>0</x:v>
      </x:c>
      <x:c r="X2986" t="str"/>
      <x:c r="Y2986" t="str">
        <x:v>Referral</x:v>
      </x:c>
    </x:row>
    <x:row r="2987">
      <x:c r="A2987" t="str">
        <x:v>O002986</x:v>
      </x:c>
      <x:c r="B2987" s="20" t="n">
        <x:v>45824</x:v>
      </x:c>
      <x:c r="C2987" t="str">
        <x:v>C0019</x:v>
      </x:c>
      <x:c r="D2987" t="str">
        <x:v>Grand Kitchen 19</x:v>
      </x:c>
      <x:c r="E2987" t="str">
        <x:v>Supermarket</x:v>
      </x:c>
      <x:c r="F2987" t="str">
        <x:v>Tumakuru</x:v>
      </x:c>
      <x:c r="G2987" t="str">
        <x:v>Sneha</x:v>
      </x:c>
      <x:c r="H2987" t="str">
        <x:v>P045</x:v>
      </x:c>
      <x:c r="I2987" t="str">
        <x:v>Onion 25kg</x:v>
      </x:c>
      <x:c r="J2987" t="str">
        <x:v>Fresh Produce</x:v>
      </x:c>
      <x:c r="K2987" t="str">
        <x:v>Local Market</x:v>
      </x:c>
      <x:c r="L2987" s="22" t="n">
        <x:v>875</x:v>
      </x:c>
      <x:c r="M2987" t="n">
        <x:v>19</x:v>
      </x:c>
      <x:c r="N2987" s="24" t="n">
        <x:v>0.03</x:v>
      </x:c>
      <x:c r="O2987" s="22" t="n">
        <x:f>L2987*M2987</x:f>
        <x:v>16625</x:v>
      </x:c>
      <x:c r="P2987" s="22" t="n">
        <x:f>O2987*(1-N2987)</x:f>
        <x:v>16126.25</x:v>
      </x:c>
      <x:c r="Q2987" s="22" t="n">
        <x:v>760</x:v>
      </x:c>
      <x:c r="R2987" s="22" t="n">
        <x:f>Q2987*M2987</x:f>
        <x:v>14440</x:v>
      </x:c>
      <x:c r="S2987" s="22" t="n">
        <x:f>P2987-R2987</x:f>
        <x:v>1686.25</x:v>
      </x:c>
      <x:c r="T2987" t="str">
        <x:v>Cash</x:v>
      </x:c>
      <x:c r="U2987" t="str">
        <x:v>Paid</x:v>
      </x:c>
      <x:c r="V2987" t="str">
        <x:v>Delivered</x:v>
      </x:c>
      <x:c r="W2987" t="n">
        <x:v>0</x:v>
      </x:c>
      <x:c r="X2987" t="str"/>
      <x:c r="Y2987" t="str">
        <x:v>WhatsApp</x:v>
      </x:c>
    </x:row>
    <x:row r="2988">
      <x:c r="A2988" t="str">
        <x:v>O002987</x:v>
      </x:c>
      <x:c r="B2988" s="20" t="n">
        <x:v>45823</x:v>
      </x:c>
      <x:c r="C2988" t="str">
        <x:v>C0169</x:v>
      </x:c>
      <x:c r="D2988" t="str">
        <x:v>Grand Mart 169</x:v>
      </x:c>
      <x:c r="E2988" t="str">
        <x:v>Canteen</x:v>
      </x:c>
      <x:c r="F2988" t="str">
        <x:v>Mangaluru</x:v>
      </x:c>
      <x:c r="G2988" t="str">
        <x:v>Vikram</x:v>
      </x:c>
      <x:c r="H2988" t="str">
        <x:v>P028</x:v>
      </x:c>
      <x:c r="I2988" t="str">
        <x:v>Cookies 200g</x:v>
      </x:c>
      <x:c r="J2988" t="str">
        <x:v>Snacks</x:v>
      </x:c>
      <x:c r="K2988" t="str">
        <x:v>Britannia</x:v>
      </x:c>
      <x:c r="L2988" s="22" t="n">
        <x:v>55</x:v>
      </x:c>
      <x:c r="M2988" t="n">
        <x:v>16</x:v>
      </x:c>
      <x:c r="N2988" s="24" t="n">
        <x:v>0.05</x:v>
      </x:c>
      <x:c r="O2988" s="22" t="n">
        <x:f>L2988*M2988</x:f>
        <x:v>880</x:v>
      </x:c>
      <x:c r="P2988" s="22" t="n">
        <x:f>O2988*(1-N2988)</x:f>
        <x:v>836</x:v>
      </x:c>
      <x:c r="Q2988" s="22" t="n">
        <x:v>42</x:v>
      </x:c>
      <x:c r="R2988" s="22" t="n">
        <x:f>Q2988*M2988</x:f>
        <x:v>672</x:v>
      </x:c>
      <x:c r="S2988" s="22" t="n">
        <x:f>P2988-R2988</x:f>
        <x:v>164</x:v>
      </x:c>
      <x:c r="T2988" t="str">
        <x:v>Cash</x:v>
      </x:c>
      <x:c r="U2988" t="str">
        <x:v>Overdue</x:v>
      </x:c>
      <x:c r="V2988" t="str">
        <x:v>Delayed</x:v>
      </x:c>
      <x:c r="W2988" t="n">
        <x:v>0</x:v>
      </x:c>
      <x:c r="X2988" t="str"/>
      <x:c r="Y2988" t="str">
        <x:v>Existing Customer</x:v>
      </x:c>
    </x:row>
    <x:row r="2989">
      <x:c r="A2989" t="str">
        <x:v>O002988</x:v>
      </x:c>
      <x:c r="B2989" s="20" t="n">
        <x:v>46089</x:v>
      </x:c>
      <x:c r="C2989" t="str">
        <x:v>C0072</x:v>
      </x:c>
      <x:c r="D2989" t="str">
        <x:v>Grand Restaurant 72</x:v>
      </x:c>
      <x:c r="E2989" t="str">
        <x:v>Restaurant</x:v>
      </x:c>
      <x:c r="F2989" t="str">
        <x:v>Davanagere</x:v>
      </x:c>
      <x:c r="G2989" t="str">
        <x:v>Kavya</x:v>
      </x:c>
      <x:c r="H2989" t="str">
        <x:v>P011</x:v>
      </x:c>
      <x:c r="I2989" t="str">
        <x:v>Salt 1kg</x:v>
      </x:c>
      <x:c r="J2989" t="str">
        <x:v>Staples</x:v>
      </x:c>
      <x:c r="K2989" t="str">
        <x:v>Tata</x:v>
      </x:c>
      <x:c r="L2989" s="22" t="n">
        <x:v>28</x:v>
      </x:c>
      <x:c r="M2989" t="n">
        <x:v>18</x:v>
      </x:c>
      <x:c r="N2989" s="24" t="n">
        <x:v>0</x:v>
      </x:c>
      <x:c r="O2989" s="22" t="n">
        <x:f>L2989*M2989</x:f>
        <x:v>504</x:v>
      </x:c>
      <x:c r="P2989" s="22" t="n">
        <x:f>O2989*(1-N2989)</x:f>
        <x:v>504</x:v>
      </x:c>
      <x:c r="Q2989" s="22" t="n">
        <x:v>23</x:v>
      </x:c>
      <x:c r="R2989" s="22" t="n">
        <x:f>Q2989*M2989</x:f>
        <x:v>414</x:v>
      </x:c>
      <x:c r="S2989" s="22" t="n">
        <x:f>P2989-R2989</x:f>
        <x:v>90</x:v>
      </x:c>
      <x:c r="T2989" t="str">
        <x:v>Credit</x:v>
      </x:c>
      <x:c r="U2989" t="str">
        <x:v>Paid</x:v>
      </x:c>
      <x:c r="V2989" t="str">
        <x:v>Delayed</x:v>
      </x:c>
      <x:c r="W2989" t="n">
        <x:v>0</x:v>
      </x:c>
      <x:c r="X2989" t="str"/>
      <x:c r="Y2989" t="str">
        <x:v>Existing Customer</x:v>
      </x:c>
    </x:row>
    <x:row r="2990">
      <x:c r="A2990" t="str">
        <x:v>O002989</x:v>
      </x:c>
      <x:c r="B2990" s="20" t="n">
        <x:v>45789</x:v>
      </x:c>
      <x:c r="C2990" t="str">
        <x:v>C0016</x:v>
      </x:c>
      <x:c r="D2990" t="str">
        <x:v>Royal Canteen 16</x:v>
      </x:c>
      <x:c r="E2990" t="str">
        <x:v>Cafe</x:v>
      </x:c>
      <x:c r="F2990" t="str">
        <x:v>Davanagere</x:v>
      </x:c>
      <x:c r="G2990" t="str">
        <x:v>Megha</x:v>
      </x:c>
      <x:c r="H2990" t="str">
        <x:v>P006</x:v>
      </x:c>
      <x:c r="I2990" t="str">
        <x:v>Moong Dal 5kg</x:v>
      </x:c>
      <x:c r="J2990" t="str">
        <x:v>Pulses</x:v>
      </x:c>
      <x:c r="K2990" t="str">
        <x:v>Local Select</x:v>
      </x:c>
      <x:c r="L2990" s="22" t="n">
        <x:v>610</x:v>
      </x:c>
      <x:c r="M2990" t="n">
        <x:v>4</x:v>
      </x:c>
      <x:c r="N2990" s="24" t="n">
        <x:v>0</x:v>
      </x:c>
      <x:c r="O2990" s="22" t="n">
        <x:f>L2990*M2990</x:f>
        <x:v>2440</x:v>
      </x:c>
      <x:c r="P2990" s="22" t="n">
        <x:f>O2990*(1-N2990)</x:f>
        <x:v>2440</x:v>
      </x:c>
      <x:c r="Q2990" s="22" t="n">
        <x:v>540</x:v>
      </x:c>
      <x:c r="R2990" s="22" t="n">
        <x:f>Q2990*M2990</x:f>
        <x:v>2160</x:v>
      </x:c>
      <x:c r="S2990" s="22" t="n">
        <x:f>P2990-R2990</x:f>
        <x:v>280</x:v>
      </x:c>
      <x:c r="T2990" t="str">
        <x:v>Bank Transfer</x:v>
      </x:c>
      <x:c r="U2990" t="str">
        <x:v>Paid</x:v>
      </x:c>
      <x:c r="V2990" t="str">
        <x:v>Delivered</x:v>
      </x:c>
      <x:c r="W2990" t="n">
        <x:v>0</x:v>
      </x:c>
      <x:c r="X2990" t="str"/>
      <x:c r="Y2990" t="str">
        <x:v>Referral</x:v>
      </x:c>
    </x:row>
    <x:row r="2991">
      <x:c r="A2991" t="str">
        <x:v>O002990</x:v>
      </x:c>
      <x:c r="B2991" s="20" t="n">
        <x:v>45751</x:v>
      </x:c>
      <x:c r="C2991" t="str">
        <x:v>C0130</x:v>
      </x:c>
      <x:c r="D2991" t="str">
        <x:v>Foodie Cafe 130</x:v>
      </x:c>
      <x:c r="E2991" t="str">
        <x:v>Restaurant</x:v>
      </x:c>
      <x:c r="F2991" t="str">
        <x:v>Davanagere</x:v>
      </x:c>
      <x:c r="G2991" t="str">
        <x:v>Megha</x:v>
      </x:c>
      <x:c r="H2991" t="str">
        <x:v>P032</x:v>
      </x:c>
      <x:c r="I2991" t="str">
        <x:v>Soy Sauce 700g</x:v>
      </x:c>
      <x:c r="J2991" t="str">
        <x:v>Condiments</x:v>
      </x:c>
      <x:c r="K2991" t="str">
        <x:v>Ching's</x:v>
      </x:c>
      <x:c r="L2991" s="22" t="n">
        <x:v>118</x:v>
      </x:c>
      <x:c r="M2991" t="n">
        <x:v>25</x:v>
      </x:c>
      <x:c r="N2991" s="24" t="n">
        <x:v>0</x:v>
      </x:c>
      <x:c r="O2991" s="22" t="n">
        <x:f>L2991*M2991</x:f>
        <x:v>2950</x:v>
      </x:c>
      <x:c r="P2991" s="22" t="n">
        <x:f>O2991*(1-N2991)</x:f>
        <x:v>2950</x:v>
      </x:c>
      <x:c r="Q2991" s="22" t="n">
        <x:v>101</x:v>
      </x:c>
      <x:c r="R2991" s="22" t="n">
        <x:f>Q2991*M2991</x:f>
        <x:v>2525</x:v>
      </x:c>
      <x:c r="S2991" s="22" t="n">
        <x:f>P2991-R2991</x:f>
        <x:v>425</x:v>
      </x:c>
      <x:c r="T2991" t="str">
        <x:v>Bank Transfer</x:v>
      </x:c>
      <x:c r="U2991" t="str">
        <x:v>Paid</x:v>
      </x:c>
      <x:c r="V2991" t="str">
        <x:v>Delivered</x:v>
      </x:c>
      <x:c r="W2991" t="n">
        <x:v>0</x:v>
      </x:c>
      <x:c r="X2991" t="str"/>
      <x:c r="Y2991" t="str">
        <x:v>Outbound Call</x:v>
      </x:c>
    </x:row>
    <x:row r="2992">
      <x:c r="A2992" t="str">
        <x:v>O002991</x:v>
      </x:c>
      <x:c r="B2992" s="20" t="n">
        <x:v>45735</x:v>
      </x:c>
      <x:c r="C2992" t="str">
        <x:v>C0228</x:v>
      </x:c>
      <x:c r="D2992" t="str">
        <x:v>Metro Foods 228</x:v>
      </x:c>
      <x:c r="E2992" t="str">
        <x:v>Supermarket</x:v>
      </x:c>
      <x:c r="F2992" t="str">
        <x:v>Davanagere</x:v>
      </x:c>
      <x:c r="G2992" t="str">
        <x:v>Sneha</x:v>
      </x:c>
      <x:c r="H2992" t="str">
        <x:v>P036</x:v>
      </x:c>
      <x:c r="I2992" t="str">
        <x:v>Garam Masala 500g</x:v>
      </x:c>
      <x:c r="J2992" t="str">
        <x:v>Spices</x:v>
      </x:c>
      <x:c r="K2992" t="str">
        <x:v>MDH</x:v>
      </x:c>
      <x:c r="L2992" s="22" t="n">
        <x:v>265</x:v>
      </x:c>
      <x:c r="M2992" t="n">
        <x:v>3</x:v>
      </x:c>
      <x:c r="N2992" s="24" t="n">
        <x:v>0.03</x:v>
      </x:c>
      <x:c r="O2992" s="22" t="n">
        <x:f>L2992*M2992</x:f>
        <x:v>795</x:v>
      </x:c>
      <x:c r="P2992" s="22" t="n">
        <x:f>O2992*(1-N2992)</x:f>
        <x:v>771.15</x:v>
      </x:c>
      <x:c r="Q2992" s="22" t="n">
        <x:v>230</x:v>
      </x:c>
      <x:c r="R2992" s="22" t="n">
        <x:f>Q2992*M2992</x:f>
        <x:v>690</x:v>
      </x:c>
      <x:c r="S2992" s="22" t="n">
        <x:f>P2992-R2992</x:f>
        <x:v>81.14999999999998</x:v>
      </x:c>
      <x:c r="T2992" t="str">
        <x:v>UPI</x:v>
      </x:c>
      <x:c r="U2992" t="str">
        <x:v>Overdue</x:v>
      </x:c>
      <x:c r="V2992" t="str">
        <x:v>Delivered</x:v>
      </x:c>
      <x:c r="W2992" t="n">
        <x:v>0</x:v>
      </x:c>
      <x:c r="X2992" t="str"/>
      <x:c r="Y2992" t="str">
        <x:v>Referral</x:v>
      </x:c>
    </x:row>
    <x:row r="2993">
      <x:c r="A2993" t="str">
        <x:v>O002992</x:v>
      </x:c>
      <x:c r="B2993" s="20" t="n">
        <x:v>45991</x:v>
      </x:c>
      <x:c r="C2993" t="str">
        <x:v>C0215</x:v>
      </x:c>
      <x:c r="D2993" t="str">
        <x:v>Annapurna Restaurant 215</x:v>
      </x:c>
      <x:c r="E2993" t="str">
        <x:v>Supermarket</x:v>
      </x:c>
      <x:c r="F2993" t="str">
        <x:v>Bengaluru</x:v>
      </x:c>
      <x:c r="G2993" t="str">
        <x:v>Vikram</x:v>
      </x:c>
      <x:c r="H2993" t="str">
        <x:v>P013</x:v>
      </x:c>
      <x:c r="I2993" t="str">
        <x:v>Atta 10kg</x:v>
      </x:c>
      <x:c r="J2993" t="str">
        <x:v>Flour</x:v>
      </x:c>
      <x:c r="K2993" t="str">
        <x:v>Aashirvaad</x:v>
      </x:c>
      <x:c r="L2993" s="22" t="n">
        <x:v>560</x:v>
      </x:c>
      <x:c r="M2993" t="n">
        <x:v>26</x:v>
      </x:c>
      <x:c r="N2993" s="24" t="n">
        <x:v>0.03</x:v>
      </x:c>
      <x:c r="O2993" s="22" t="n">
        <x:f>L2993*M2993</x:f>
        <x:v>14560</x:v>
      </x:c>
      <x:c r="P2993" s="22" t="n">
        <x:f>O2993*(1-N2993)</x:f>
        <x:v>14123.199999999999</x:v>
      </x:c>
      <x:c r="Q2993" s="22" t="n">
        <x:v>495</x:v>
      </x:c>
      <x:c r="R2993" s="22" t="n">
        <x:f>Q2993*M2993</x:f>
        <x:v>12870</x:v>
      </x:c>
      <x:c r="S2993" s="22" t="n">
        <x:f>P2993-R2993</x:f>
        <x:v>1253.199999999999</x:v>
      </x:c>
      <x:c r="T2993" t="str">
        <x:v>Bank Transfer</x:v>
      </x:c>
      <x:c r="U2993" t="str">
        <x:v>Paid</x:v>
      </x:c>
      <x:c r="V2993" t="str">
        <x:v>Delivered</x:v>
      </x:c>
      <x:c r="W2993" t="n">
        <x:v>0</x:v>
      </x:c>
      <x:c r="X2993" t="str"/>
      <x:c r="Y2993" t="str">
        <x:v>Existing Customer</x:v>
      </x:c>
    </x:row>
    <x:row r="2994">
      <x:c r="A2994" t="str">
        <x:v>O002993</x:v>
      </x:c>
      <x:c r="B2994" s="20" t="n">
        <x:v>46048</x:v>
      </x:c>
      <x:c r="C2994" t="str">
        <x:v>C0019</x:v>
      </x:c>
      <x:c r="D2994" t="str">
        <x:v>Grand Kitchen 19</x:v>
      </x:c>
      <x:c r="E2994" t="str">
        <x:v>Supermarket</x:v>
      </x:c>
      <x:c r="F2994" t="str">
        <x:v>Tumakuru</x:v>
      </x:c>
      <x:c r="G2994" t="str">
        <x:v>Sneha</x:v>
      </x:c>
      <x:c r="H2994" t="str">
        <x:v>P021</x:v>
      </x:c>
      <x:c r="I2994" t="str">
        <x:v>Instant Coffee 200g</x:v>
      </x:c>
      <x:c r="J2994" t="str">
        <x:v>Beverage</x:v>
      </x:c>
      <x:c r="K2994" t="str">
        <x:v>Nescafe</x:v>
      </x:c>
      <x:c r="L2994" s="22" t="n">
        <x:v>460</x:v>
      </x:c>
      <x:c r="M2994" t="n">
        <x:v>24</x:v>
      </x:c>
      <x:c r="N2994" s="24" t="n">
        <x:v>0.05</x:v>
      </x:c>
      <x:c r="O2994" s="22" t="n">
        <x:f>L2994*M2994</x:f>
        <x:v>11040</x:v>
      </x:c>
      <x:c r="P2994" s="22" t="n">
        <x:f>O2994*(1-N2994)</x:f>
        <x:v>10488</x:v>
      </x:c>
      <x:c r="Q2994" s="22" t="n">
        <x:v>410</x:v>
      </x:c>
      <x:c r="R2994" s="22" t="n">
        <x:f>Q2994*M2994</x:f>
        <x:v>9840</x:v>
      </x:c>
      <x:c r="S2994" s="22" t="n">
        <x:f>P2994-R2994</x:f>
        <x:v>648</x:v>
      </x:c>
      <x:c r="T2994" t="str">
        <x:v>Cash</x:v>
      </x:c>
      <x:c r="U2994" t="str">
        <x:v>Paid</x:v>
      </x:c>
      <x:c r="V2994" t="str">
        <x:v>Delayed</x:v>
      </x:c>
      <x:c r="W2994" t="n">
        <x:v>0</x:v>
      </x:c>
      <x:c r="X2994" t="str"/>
      <x:c r="Y2994" t="str">
        <x:v>Field Visit</x:v>
      </x:c>
    </x:row>
    <x:row r="2995">
      <x:c r="A2995" t="str">
        <x:v>O002994</x:v>
      </x:c>
      <x:c r="B2995" s="20" t="n">
        <x:v>46239</x:v>
      </x:c>
      <x:c r="C2995" t="str">
        <x:v>C0127</x:v>
      </x:c>
      <x:c r="D2995" t="str">
        <x:v>Grand Mart 127</x:v>
      </x:c>
      <x:c r="E2995" t="str">
        <x:v>Canteen</x:v>
      </x:c>
      <x:c r="F2995" t="str">
        <x:v>Hubballi</x:v>
      </x:c>
      <x:c r="G2995" t="str">
        <x:v>Imran</x:v>
      </x:c>
      <x:c r="H2995" t="str">
        <x:v>P022</x:v>
      </x:c>
      <x:c r="I2995" t="str">
        <x:v>Mineral Water 1L</x:v>
      </x:c>
      <x:c r="J2995" t="str">
        <x:v>Beverage</x:v>
      </x:c>
      <x:c r="K2995" t="str">
        <x:v>Bisleri</x:v>
      </x:c>
      <x:c r="L2995" s="22" t="n">
        <x:v>19</x:v>
      </x:c>
      <x:c r="M2995" t="n">
        <x:v>22</x:v>
      </x:c>
      <x:c r="N2995" s="24" t="n">
        <x:v>0.05</x:v>
      </x:c>
      <x:c r="O2995" s="22" t="n">
        <x:f>L2995*M2995</x:f>
        <x:v>418</x:v>
      </x:c>
      <x:c r="P2995" s="22" t="n">
        <x:f>O2995*(1-N2995)</x:f>
        <x:v>397.09999999999997</x:v>
      </x:c>
      <x:c r="Q2995" s="22" t="n">
        <x:v>15</x:v>
      </x:c>
      <x:c r="R2995" s="22" t="n">
        <x:f>Q2995*M2995</x:f>
        <x:v>330</x:v>
      </x:c>
      <x:c r="S2995" s="22" t="n">
        <x:f>P2995-R2995</x:f>
        <x:v>67.09999999999997</x:v>
      </x:c>
      <x:c r="T2995" t="str">
        <x:v>Cash</x:v>
      </x:c>
      <x:c r="U2995" t="str">
        <x:v>Overdue</x:v>
      </x:c>
      <x:c r="V2995" t="str">
        <x:v>Delivered</x:v>
      </x:c>
      <x:c r="W2995" t="n">
        <x:v>0</x:v>
      </x:c>
      <x:c r="X2995" t="str"/>
      <x:c r="Y2995" t="str">
        <x:v>Field Visit</x:v>
      </x:c>
    </x:row>
    <x:row r="2996">
      <x:c r="A2996" t="str">
        <x:v>O002995</x:v>
      </x:c>
      <x:c r="B2996" s="20" t="n">
        <x:v>46054</x:v>
      </x:c>
      <x:c r="C2996" t="str">
        <x:v>C0062</x:v>
      </x:c>
      <x:c r="D2996" t="str">
        <x:v>Foodie Hotel 62</x:v>
      </x:c>
      <x:c r="E2996" t="str">
        <x:v>Cafe</x:v>
      </x:c>
      <x:c r="F2996" t="str">
        <x:v>Mysuru</x:v>
      </x:c>
      <x:c r="G2996" t="str">
        <x:v>Vikram</x:v>
      </x:c>
      <x:c r="H2996" t="str">
        <x:v>P045</x:v>
      </x:c>
      <x:c r="I2996" t="str">
        <x:v>Onion 25kg</x:v>
      </x:c>
      <x:c r="J2996" t="str">
        <x:v>Fresh Produce</x:v>
      </x:c>
      <x:c r="K2996" t="str">
        <x:v>Local Market</x:v>
      </x:c>
      <x:c r="L2996" s="22" t="n">
        <x:v>875</x:v>
      </x:c>
      <x:c r="M2996" t="n">
        <x:v>9</x:v>
      </x:c>
      <x:c r="N2996" s="24" t="n">
        <x:v>0.03</x:v>
      </x:c>
      <x:c r="O2996" s="22" t="n">
        <x:f>L2996*M2996</x:f>
        <x:v>7875</x:v>
      </x:c>
      <x:c r="P2996" s="22" t="n">
        <x:f>O2996*(1-N2996)</x:f>
        <x:v>7638.75</x:v>
      </x:c>
      <x:c r="Q2996" s="22" t="n">
        <x:v>760</x:v>
      </x:c>
      <x:c r="R2996" s="22" t="n">
        <x:f>Q2996*M2996</x:f>
        <x:v>6840</x:v>
      </x:c>
      <x:c r="S2996" s="22" t="n">
        <x:f>P2996-R2996</x:f>
        <x:v>798.75</x:v>
      </x:c>
      <x:c r="T2996" t="str">
        <x:v>UPI</x:v>
      </x:c>
      <x:c r="U2996" t="str">
        <x:v>Paid</x:v>
      </x:c>
      <x:c r="V2996" t="str">
        <x:v>Delivered</x:v>
      </x:c>
      <x:c r="W2996" t="n">
        <x:v>0</x:v>
      </x:c>
      <x:c r="X2996" t="str"/>
      <x:c r="Y2996" t="str">
        <x:v>Field Visit</x:v>
      </x:c>
    </x:row>
    <x:row r="2997">
      <x:c r="A2997" t="str">
        <x:v>O002996</x:v>
      </x:c>
      <x:c r="B2997" s="20" t="n">
        <x:v>46011</x:v>
      </x:c>
      <x:c r="C2997" t="str">
        <x:v>C0144</x:v>
      </x:c>
      <x:c r="D2997" t="str">
        <x:v>Namma Foods 144</x:v>
      </x:c>
      <x:c r="E2997" t="str">
        <x:v>Restaurant</x:v>
      </x:c>
      <x:c r="F2997" t="str">
        <x:v>Tumakuru</x:v>
      </x:c>
      <x:c r="G2997" t="str">
        <x:v>Arjun</x:v>
      </x:c>
      <x:c r="H2997" t="str">
        <x:v>P015</x:v>
      </x:c>
      <x:c r="I2997" t="str">
        <x:v>Milk 1L</x:v>
      </x:c>
      <x:c r="J2997" t="str">
        <x:v>Dairy</x:v>
      </x:c>
      <x:c r="K2997" t="str">
        <x:v>Nandini</x:v>
      </x:c>
      <x:c r="L2997" s="22" t="n">
        <x:v>48</x:v>
      </x:c>
      <x:c r="M2997" t="n">
        <x:v>11</x:v>
      </x:c>
      <x:c r="N2997" s="24" t="n">
        <x:v>0.05</x:v>
      </x:c>
      <x:c r="O2997" s="22" t="n">
        <x:f>L2997*M2997</x:f>
        <x:v>528</x:v>
      </x:c>
      <x:c r="P2997" s="22" t="n">
        <x:f>O2997*(1-N2997)</x:f>
        <x:v>501.59999999999997</x:v>
      </x:c>
      <x:c r="Q2997" s="22" t="n">
        <x:v>43</x:v>
      </x:c>
      <x:c r="R2997" s="22" t="n">
        <x:f>Q2997*M2997</x:f>
        <x:v>473</x:v>
      </x:c>
      <x:c r="S2997" s="22" t="n">
        <x:f>P2997-R2997</x:f>
        <x:v>28.599999999999966</x:v>
      </x:c>
      <x:c r="T2997" t="str">
        <x:v>Bank Transfer</x:v>
      </x:c>
      <x:c r="U2997" t="str">
        <x:v>Pending</x:v>
      </x:c>
      <x:c r="V2997" t="str">
        <x:v>Cancelled</x:v>
      </x:c>
      <x:c r="W2997" t="n">
        <x:v>11</x:v>
      </x:c>
      <x:c r="X2997" t="str">
        <x:v>Cancelled Order</x:v>
      </x:c>
      <x:c r="Y2997" t="str">
        <x:v>Field Visit</x:v>
      </x:c>
    </x:row>
    <x:row r="2998">
      <x:c r="A2998" t="str">
        <x:v>O002997</x:v>
      </x:c>
      <x:c r="B2998" s="20" t="n">
        <x:v>46122</x:v>
      </x:c>
      <x:c r="C2998" t="str">
        <x:v>C0239</x:v>
      </x:c>
      <x:c r="D2998" t="str">
        <x:v>Royal Hotel 239</x:v>
      </x:c>
      <x:c r="E2998" t="str">
        <x:v>Restaurant</x:v>
      </x:c>
      <x:c r="F2998" t="str">
        <x:v>Hubballi</x:v>
      </x:c>
      <x:c r="G2998" t="str">
        <x:v>Priya</x:v>
      </x:c>
      <x:c r="H2998" t="str">
        <x:v>P004</x:v>
      </x:c>
      <x:c r="I2998" t="str">
        <x:v>Toor Dal 5kg</x:v>
      </x:c>
      <x:c r="J2998" t="str">
        <x:v>Pulses</x:v>
      </x:c>
      <x:c r="K2998" t="str">
        <x:v>Tata Sampann</x:v>
      </x:c>
      <x:c r="L2998" s="22" t="n">
        <x:v>780</x:v>
      </x:c>
      <x:c r="M2998" t="n">
        <x:v>34</x:v>
      </x:c>
      <x:c r="N2998" s="24" t="n">
        <x:v>0.05</x:v>
      </x:c>
      <x:c r="O2998" s="22" t="n">
        <x:f>L2998*M2998</x:f>
        <x:v>26520</x:v>
      </x:c>
      <x:c r="P2998" s="22" t="n">
        <x:f>O2998*(1-N2998)</x:f>
        <x:v>25194</x:v>
      </x:c>
      <x:c r="Q2998" s="22" t="n">
        <x:v>695</x:v>
      </x:c>
      <x:c r="R2998" s="22" t="n">
        <x:f>Q2998*M2998</x:f>
        <x:v>23630</x:v>
      </x:c>
      <x:c r="S2998" s="22" t="n">
        <x:f>P2998-R2998</x:f>
        <x:v>1564</x:v>
      </x:c>
      <x:c r="T2998" t="str">
        <x:v>Bank Transfer</x:v>
      </x:c>
      <x:c r="U2998" t="str">
        <x:v>Pending</x:v>
      </x:c>
      <x:c r="V2998" t="str">
        <x:v>Delivered</x:v>
      </x:c>
      <x:c r="W2998" t="n">
        <x:v>0</x:v>
      </x:c>
      <x:c r="X2998" t="str"/>
      <x:c r="Y2998" t="str">
        <x:v>Field Visit</x:v>
      </x:c>
    </x:row>
    <x:row r="2999">
      <x:c r="A2999" t="str">
        <x:v>O002998</x:v>
      </x:c>
      <x:c r="B2999" s="20" t="n">
        <x:v>45847</x:v>
      </x:c>
      <x:c r="C2999" t="str">
        <x:v>C0018</x:v>
      </x:c>
      <x:c r="D2999" t="str">
        <x:v>Namma Canteen 18</x:v>
      </x:c>
      <x:c r="E2999" t="str">
        <x:v>Restaurant</x:v>
      </x:c>
      <x:c r="F2999" t="str">
        <x:v>Davanagere</x:v>
      </x:c>
      <x:c r="G2999" t="str">
        <x:v>Imran</x:v>
      </x:c>
      <x:c r="H2999" t="str">
        <x:v>P040</x:v>
      </x:c>
      <x:c r="I2999" t="str">
        <x:v>Bread Loaf 400g</x:v>
      </x:c>
      <x:c r="J2999" t="str">
        <x:v>Bakery</x:v>
      </x:c>
      <x:c r="K2999" t="str">
        <x:v>Britannia</x:v>
      </x:c>
      <x:c r="L2999" s="22" t="n">
        <x:v>45</x:v>
      </x:c>
      <x:c r="M2999" t="n">
        <x:v>6</x:v>
      </x:c>
      <x:c r="N2999" s="24" t="n">
        <x:v>0.02</x:v>
      </x:c>
      <x:c r="O2999" s="22" t="n">
        <x:f>L2999*M2999</x:f>
        <x:v>270</x:v>
      </x:c>
      <x:c r="P2999" s="22" t="n">
        <x:f>O2999*(1-N2999)</x:f>
        <x:v>264.6</x:v>
      </x:c>
      <x:c r="Q2999" s="22" t="n">
        <x:v>35</x:v>
      </x:c>
      <x:c r="R2999" s="22" t="n">
        <x:f>Q2999*M2999</x:f>
        <x:v>210</x:v>
      </x:c>
      <x:c r="S2999" s="22" t="n">
        <x:f>P2999-R2999</x:f>
        <x:v>54.60000000000002</x:v>
      </x:c>
      <x:c r="T2999" t="str">
        <x:v>Cash</x:v>
      </x:c>
      <x:c r="U2999" t="str">
        <x:v>Paid</x:v>
      </x:c>
      <x:c r="V2999" t="str">
        <x:v>Cancelled</x:v>
      </x:c>
      <x:c r="W2999" t="n">
        <x:v>6</x:v>
      </x:c>
      <x:c r="X2999" t="str">
        <x:v>Cancelled Order</x:v>
      </x:c>
      <x:c r="Y2999" t="str">
        <x:v>Field Visit</x:v>
      </x:c>
    </x:row>
    <x:row r="3000">
      <x:c r="A3000" t="str">
        <x:v>O002999</x:v>
      </x:c>
      <x:c r="B3000" s="20" t="n">
        <x:v>45699</x:v>
      </x:c>
      <x:c r="C3000" t="str">
        <x:v>C0016</x:v>
      </x:c>
      <x:c r="D3000" t="str">
        <x:v>Royal Canteen 16</x:v>
      </x:c>
      <x:c r="E3000" t="str">
        <x:v>Cafe</x:v>
      </x:c>
      <x:c r="F3000" t="str">
        <x:v>Davanagere</x:v>
      </x:c>
      <x:c r="G3000" t="str">
        <x:v>Megha</x:v>
      </x:c>
      <x:c r="H3000" t="str">
        <x:v>P014</x:v>
      </x:c>
      <x:c r="I3000" t="str">
        <x:v>Rava 5kg</x:v>
      </x:c>
      <x:c r="J3000" t="str">
        <x:v>Flour</x:v>
      </x:c>
      <x:c r="K3000" t="str">
        <x:v>Local Select</x:v>
      </x:c>
      <x:c r="L3000" s="22" t="n">
        <x:v>245</x:v>
      </x:c>
      <x:c r="M3000" t="n">
        <x:v>9</x:v>
      </x:c>
      <x:c r="N3000" s="24" t="n">
        <x:v>0.03</x:v>
      </x:c>
      <x:c r="O3000" s="22" t="n">
        <x:f>L3000*M3000</x:f>
        <x:v>2205</x:v>
      </x:c>
      <x:c r="P3000" s="22" t="n">
        <x:f>O3000*(1-N3000)</x:f>
        <x:v>2138.85</x:v>
      </x:c>
      <x:c r="Q3000" s="22" t="n">
        <x:v>215</x:v>
      </x:c>
      <x:c r="R3000" s="22" t="n">
        <x:f>Q3000*M3000</x:f>
        <x:v>1935</x:v>
      </x:c>
      <x:c r="S3000" s="22" t="n">
        <x:f>P3000-R3000</x:f>
        <x:v>203.8499999999999</x:v>
      </x:c>
      <x:c r="T3000" t="str">
        <x:v>Credit</x:v>
      </x:c>
      <x:c r="U3000" t="str">
        <x:v>Pending</x:v>
      </x:c>
      <x:c r="V3000" t="str">
        <x:v>Delivered</x:v>
      </x:c>
      <x:c r="W3000" t="n">
        <x:v>0</x:v>
      </x:c>
      <x:c r="X3000" t="str"/>
      <x:c r="Y3000" t="str">
        <x:v>Outbound Call</x:v>
      </x:c>
    </x:row>
    <x:row r="3001">
      <x:c r="A3001" t="str">
        <x:v>O003000</x:v>
      </x:c>
      <x:c r="B3001" s="20" t="n">
        <x:v>45802</x:v>
      </x:c>
      <x:c r="C3001" t="str">
        <x:v>C0199</x:v>
      </x:c>
      <x:c r="D3001" t="str">
        <x:v>Classic Cafe 199</x:v>
      </x:c>
      <x:c r="E3001" t="str">
        <x:v>Canteen</x:v>
      </x:c>
      <x:c r="F3001" t="str">
        <x:v>Mangaluru</x:v>
      </x:c>
      <x:c r="G3001" t="str">
        <x:v>Ramesh</x:v>
      </x:c>
      <x:c r="H3001" t="str">
        <x:v>P036</x:v>
      </x:c>
      <x:c r="I3001" t="str">
        <x:v>Garam Masala 500g</x:v>
      </x:c>
      <x:c r="J3001" t="str">
        <x:v>Spices</x:v>
      </x:c>
      <x:c r="K3001" t="str">
        <x:v>MDH</x:v>
      </x:c>
      <x:c r="L3001" s="22" t="n">
        <x:v>265</x:v>
      </x:c>
      <x:c r="M3001" t="n">
        <x:v>20</x:v>
      </x:c>
      <x:c r="N3001" s="24" t="n">
        <x:v>0.1</x:v>
      </x:c>
      <x:c r="O3001" s="22" t="n">
        <x:f>L3001*M3001</x:f>
        <x:v>5300</x:v>
      </x:c>
      <x:c r="P3001" s="22" t="n">
        <x:f>O3001*(1-N3001)</x:f>
        <x:v>4770</x:v>
      </x:c>
      <x:c r="Q3001" s="22" t="n">
        <x:v>230</x:v>
      </x:c>
      <x:c r="R3001" s="22" t="n">
        <x:f>Q3001*M3001</x:f>
        <x:v>4600</x:v>
      </x:c>
      <x:c r="S3001" s="22" t="n">
        <x:f>P3001-R3001</x:f>
        <x:v>170</x:v>
      </x:c>
      <x:c r="T3001" t="str">
        <x:v>Bank Transfer</x:v>
      </x:c>
      <x:c r="U3001" t="str">
        <x:v>Pending</x:v>
      </x:c>
      <x:c r="V3001" t="str">
        <x:v>Delivered</x:v>
      </x:c>
      <x:c r="W3001" t="n">
        <x:v>0</x:v>
      </x:c>
      <x:c r="X3001" t="str"/>
      <x:c r="Y3001" t="str">
        <x:v>Referral</x:v>
      </x:c>
    </x:row>
    <x:row r="3002">
      <x:c r="A3002" t="str">
        <x:v>O003001</x:v>
      </x:c>
      <x:c r="B3002" s="20" t="n">
        <x:v>45830</x:v>
      </x:c>
      <x:c r="C3002" t="str">
        <x:v>C0240</x:v>
      </x:c>
      <x:c r="D3002" t="str">
        <x:v>Green Foods 240</x:v>
      </x:c>
      <x:c r="E3002" t="str">
        <x:v>Restaurant</x:v>
      </x:c>
      <x:c r="F3002" t="str">
        <x:v>Davanagere</x:v>
      </x:c>
      <x:c r="G3002" t="str">
        <x:v>Vikram</x:v>
      </x:c>
      <x:c r="H3002" t="str">
        <x:v>P006</x:v>
      </x:c>
      <x:c r="I3002" t="str">
        <x:v>Moong Dal 5kg</x:v>
      </x:c>
      <x:c r="J3002" t="str">
        <x:v>Pulses</x:v>
      </x:c>
      <x:c r="K3002" t="str">
        <x:v>Local Select</x:v>
      </x:c>
      <x:c r="L3002" s="22" t="n">
        <x:v>610</x:v>
      </x:c>
      <x:c r="M3002" t="n">
        <x:v>19</x:v>
      </x:c>
      <x:c r="N3002" s="24" t="n">
        <x:v>0.08</x:v>
      </x:c>
      <x:c r="O3002" s="22" t="n">
        <x:f>L3002*M3002</x:f>
        <x:v>11590</x:v>
      </x:c>
      <x:c r="P3002" s="22" t="n">
        <x:f>O3002*(1-N3002)</x:f>
        <x:v>10662.800000000001</x:v>
      </x:c>
      <x:c r="Q3002" s="22" t="n">
        <x:v>540</x:v>
      </x:c>
      <x:c r="R3002" s="22" t="n">
        <x:f>Q3002*M3002</x:f>
        <x:v>10260</x:v>
      </x:c>
      <x:c r="S3002" s="22" t="n">
        <x:f>P3002-R3002</x:f>
        <x:v>402.8000000000011</x:v>
      </x:c>
      <x:c r="T3002" t="str">
        <x:v>Cash</x:v>
      </x:c>
      <x:c r="U3002" t="str">
        <x:v>Paid</x:v>
      </x:c>
      <x:c r="V3002" t="str">
        <x:v>Cancelled</x:v>
      </x:c>
      <x:c r="W3002" t="n">
        <x:v>19</x:v>
      </x:c>
      <x:c r="X3002" t="str">
        <x:v>Cancelled Order</x:v>
      </x:c>
      <x:c r="Y3002" t="str">
        <x:v>Referral</x:v>
      </x:c>
    </x:row>
    <x:row r="3003">
      <x:c r="A3003" t="str">
        <x:v>O003002</x:v>
      </x:c>
      <x:c r="B3003" s="20" t="n">
        <x:v>45897</x:v>
      </x:c>
      <x:c r="C3003" t="str">
        <x:v>C0198</x:v>
      </x:c>
      <x:c r="D3003" t="str">
        <x:v>Royal Canteen 198</x:v>
      </x:c>
      <x:c r="E3003" t="str">
        <x:v>Supermarket</x:v>
      </x:c>
      <x:c r="F3003" t="str">
        <x:v>Davanagere</x:v>
      </x:c>
      <x:c r="G3003" t="str">
        <x:v>Arjun</x:v>
      </x:c>
      <x:c r="H3003" t="str">
        <x:v>P028</x:v>
      </x:c>
      <x:c r="I3003" t="str">
        <x:v>Cookies 200g</x:v>
      </x:c>
      <x:c r="J3003" t="str">
        <x:v>Snacks</x:v>
      </x:c>
      <x:c r="K3003" t="str">
        <x:v>Britannia</x:v>
      </x:c>
      <x:c r="L3003" s="22" t="n">
        <x:v>55</x:v>
      </x:c>
      <x:c r="M3003" t="n">
        <x:v>19</x:v>
      </x:c>
      <x:c r="N3003" s="24" t="n">
        <x:v>0.05</x:v>
      </x:c>
      <x:c r="O3003" s="22" t="n">
        <x:f>L3003*M3003</x:f>
        <x:v>1045</x:v>
      </x:c>
      <x:c r="P3003" s="22" t="n">
        <x:f>O3003*(1-N3003)</x:f>
        <x:v>992.75</x:v>
      </x:c>
      <x:c r="Q3003" s="22" t="n">
        <x:v>42</x:v>
      </x:c>
      <x:c r="R3003" s="22" t="n">
        <x:f>Q3003*M3003</x:f>
        <x:v>798</x:v>
      </x:c>
      <x:c r="S3003" s="22" t="n">
        <x:f>P3003-R3003</x:f>
        <x:v>194.75</x:v>
      </x:c>
      <x:c r="T3003" t="str">
        <x:v>UPI</x:v>
      </x:c>
      <x:c r="U3003" t="str">
        <x:v>Paid</x:v>
      </x:c>
      <x:c r="V3003" t="str">
        <x:v>Delivered</x:v>
      </x:c>
      <x:c r="W3003" t="n">
        <x:v>0</x:v>
      </x:c>
      <x:c r="X3003" t="str"/>
      <x:c r="Y3003" t="str">
        <x:v>Outbound Call</x:v>
      </x:c>
    </x:row>
    <x:row r="3004">
      <x:c r="A3004" t="str">
        <x:v>O003003</x:v>
      </x:c>
      <x:c r="B3004" s="20" t="n">
        <x:v>46028</x:v>
      </x:c>
      <x:c r="C3004" t="str">
        <x:v>C0231</x:v>
      </x:c>
      <x:c r="D3004" t="str">
        <x:v>Metro Canteen 231</x:v>
      </x:c>
      <x:c r="E3004" t="str">
        <x:v>Canteen</x:v>
      </x:c>
      <x:c r="F3004" t="str">
        <x:v>Mangaluru</x:v>
      </x:c>
      <x:c r="G3004" t="str">
        <x:v>Megha</x:v>
      </x:c>
      <x:c r="H3004" t="str">
        <x:v>P003</x:v>
      </x:c>
      <x:c r="I3004" t="str">
        <x:v>Basmati Rice 5kg</x:v>
      </x:c>
      <x:c r="J3004" t="str">
        <x:v>Staples</x:v>
      </x:c>
      <x:c r="K3004" t="str">
        <x:v>India Gate</x:v>
      </x:c>
      <x:c r="L3004" s="22" t="n">
        <x:v>690</x:v>
      </x:c>
      <x:c r="M3004" t="n">
        <x:v>11</x:v>
      </x:c>
      <x:c r="N3004" s="24" t="n">
        <x:v>0.02</x:v>
      </x:c>
      <x:c r="O3004" s="22" t="n">
        <x:f>L3004*M3004</x:f>
        <x:v>7590</x:v>
      </x:c>
      <x:c r="P3004" s="22" t="n">
        <x:f>O3004*(1-N3004)</x:f>
        <x:v>7438.2</x:v>
      </x:c>
      <x:c r="Q3004" s="22" t="n">
        <x:v>610</x:v>
      </x:c>
      <x:c r="R3004" s="22" t="n">
        <x:f>Q3004*M3004</x:f>
        <x:v>6710</x:v>
      </x:c>
      <x:c r="S3004" s="22" t="n">
        <x:f>P3004-R3004</x:f>
        <x:v>728.1999999999998</x:v>
      </x:c>
      <x:c r="T3004" t="str">
        <x:v>Cash</x:v>
      </x:c>
      <x:c r="U3004" t="str">
        <x:v>Paid</x:v>
      </x:c>
      <x:c r="V3004" t="str">
        <x:v>Delivered</x:v>
      </x:c>
      <x:c r="W3004" t="n">
        <x:v>0</x:v>
      </x:c>
      <x:c r="X3004" t="str"/>
      <x:c r="Y3004" t="str">
        <x:v>Field Visit</x:v>
      </x:c>
    </x:row>
    <x:row r="3005">
      <x:c r="A3005" t="str">
        <x:v>O003004</x:v>
      </x:c>
      <x:c r="B3005" s="20" t="n">
        <x:v>45916</x:v>
      </x:c>
      <x:c r="C3005" t="str">
        <x:v>C0123</x:v>
      </x:c>
      <x:c r="D3005" t="str">
        <x:v>City Foods 123</x:v>
      </x:c>
      <x:c r="E3005" t="str">
        <x:v>Restaurant</x:v>
      </x:c>
      <x:c r="F3005" t="str">
        <x:v>Davanagere</x:v>
      </x:c>
      <x:c r="G3005" t="str">
        <x:v>Sneha</x:v>
      </x:c>
      <x:c r="H3005" t="str">
        <x:v>P039</x:v>
      </x:c>
      <x:c r="I3005" t="str">
        <x:v>Ice Cream 4L</x:v>
      </x:c>
      <x:c r="J3005" t="str">
        <x:v>Frozen</x:v>
      </x:c>
      <x:c r="K3005" t="str">
        <x:v>Amul</x:v>
      </x:c>
      <x:c r="L3005" s="22" t="n">
        <x:v>480</x:v>
      </x:c>
      <x:c r="M3005" t="n">
        <x:v>6</x:v>
      </x:c>
      <x:c r="N3005" s="24" t="n">
        <x:v>0</x:v>
      </x:c>
      <x:c r="O3005" s="22" t="n">
        <x:f>L3005*M3005</x:f>
        <x:v>2880</x:v>
      </x:c>
      <x:c r="P3005" s="22" t="n">
        <x:f>O3005*(1-N3005)</x:f>
        <x:v>2880</x:v>
      </x:c>
      <x:c r="Q3005" s="22" t="n">
        <x:v>420</x:v>
      </x:c>
      <x:c r="R3005" s="22" t="n">
        <x:f>Q3005*M3005</x:f>
        <x:v>2520</x:v>
      </x:c>
      <x:c r="S3005" s="22" t="n">
        <x:f>P3005-R3005</x:f>
        <x:v>360</x:v>
      </x:c>
      <x:c r="T3005" t="str">
        <x:v>Bank Transfer</x:v>
      </x:c>
      <x:c r="U3005" t="str">
        <x:v>Pending</x:v>
      </x:c>
      <x:c r="V3005" t="str">
        <x:v>Delivered</x:v>
      </x:c>
      <x:c r="W3005" t="n">
        <x:v>0</x:v>
      </x:c>
      <x:c r="X3005" t="str"/>
      <x:c r="Y3005" t="str">
        <x:v>Outbound Call</x:v>
      </x:c>
    </x:row>
    <x:row r="3006">
      <x:c r="A3006" t="str">
        <x:v>O003005</x:v>
      </x:c>
      <x:c r="B3006" s="20" t="n">
        <x:v>45747</x:v>
      </x:c>
      <x:c r="C3006" t="str">
        <x:v>C0231</x:v>
      </x:c>
      <x:c r="D3006" t="str">
        <x:v>Metro Canteen 231</x:v>
      </x:c>
      <x:c r="E3006" t="str">
        <x:v>Canteen</x:v>
      </x:c>
      <x:c r="F3006" t="str">
        <x:v>Mangaluru</x:v>
      </x:c>
      <x:c r="G3006" t="str">
        <x:v>Megha</x:v>
      </x:c>
      <x:c r="H3006" t="str">
        <x:v>P039</x:v>
      </x:c>
      <x:c r="I3006" t="str">
        <x:v>Ice Cream 4L</x:v>
      </x:c>
      <x:c r="J3006" t="str">
        <x:v>Frozen</x:v>
      </x:c>
      <x:c r="K3006" t="str">
        <x:v>Amul</x:v>
      </x:c>
      <x:c r="L3006" s="22" t="n">
        <x:v>480</x:v>
      </x:c>
      <x:c r="M3006" t="n">
        <x:v>8</x:v>
      </x:c>
      <x:c r="N3006" s="24" t="n">
        <x:v>0</x:v>
      </x:c>
      <x:c r="O3006" s="22" t="n">
        <x:f>L3006*M3006</x:f>
        <x:v>3840</x:v>
      </x:c>
      <x:c r="P3006" s="22" t="n">
        <x:f>O3006*(1-N3006)</x:f>
        <x:v>3840</x:v>
      </x:c>
      <x:c r="Q3006" s="22" t="n">
        <x:v>420</x:v>
      </x:c>
      <x:c r="R3006" s="22" t="n">
        <x:f>Q3006*M3006</x:f>
        <x:v>3360</x:v>
      </x:c>
      <x:c r="S3006" s="22" t="n">
        <x:f>P3006-R3006</x:f>
        <x:v>480</x:v>
      </x:c>
      <x:c r="T3006" t="str">
        <x:v>Cash</x:v>
      </x:c>
      <x:c r="U3006" t="str">
        <x:v>Pending</x:v>
      </x:c>
      <x:c r="V3006" t="str">
        <x:v>Cancelled</x:v>
      </x:c>
      <x:c r="W3006" t="n">
        <x:v>8</x:v>
      </x:c>
      <x:c r="X3006" t="str">
        <x:v>Cancelled Order</x:v>
      </x:c>
      <x:c r="Y3006" t="str">
        <x:v>Referral</x:v>
      </x:c>
    </x:row>
    <x:row r="3007">
      <x:c r="A3007" t="str">
        <x:v>O003006</x:v>
      </x:c>
      <x:c r="B3007" s="20" t="n">
        <x:v>46033</x:v>
      </x:c>
      <x:c r="C3007" t="str">
        <x:v>C0129</x:v>
      </x:c>
      <x:c r="D3007" t="str">
        <x:v>City Canteen 129</x:v>
      </x:c>
      <x:c r="E3007" t="str">
        <x:v>Kirana</x:v>
      </x:c>
      <x:c r="F3007" t="str">
        <x:v>Hubballi</x:v>
      </x:c>
      <x:c r="G3007" t="str">
        <x:v>Sneha</x:v>
      </x:c>
      <x:c r="H3007" t="str">
        <x:v>P046</x:v>
      </x:c>
      <x:c r="I3007" t="str">
        <x:v>Potato 25kg</x:v>
      </x:c>
      <x:c r="J3007" t="str">
        <x:v>Fresh Produce</x:v>
      </x:c>
      <x:c r="K3007" t="str">
        <x:v>Local Market</x:v>
      </x:c>
      <x:c r="L3007" s="22" t="n">
        <x:v>700</x:v>
      </x:c>
      <x:c r="M3007" t="n">
        <x:v>31</x:v>
      </x:c>
      <x:c r="N3007" s="24" t="n">
        <x:v>0</x:v>
      </x:c>
      <x:c r="O3007" s="22" t="n">
        <x:f>L3007*M3007</x:f>
        <x:v>21700</x:v>
      </x:c>
      <x:c r="P3007" s="22" t="n">
        <x:f>O3007*(1-N3007)</x:f>
        <x:v>21700</x:v>
      </x:c>
      <x:c r="Q3007" s="22" t="n">
        <x:v>610</x:v>
      </x:c>
      <x:c r="R3007" s="22" t="n">
        <x:f>Q3007*M3007</x:f>
        <x:v>18910</x:v>
      </x:c>
      <x:c r="S3007" s="22" t="n">
        <x:f>P3007-R3007</x:f>
        <x:v>2790</x:v>
      </x:c>
      <x:c r="T3007" t="str">
        <x:v>Bank Transfer</x:v>
      </x:c>
      <x:c r="U3007" t="str">
        <x:v>Paid</x:v>
      </x:c>
      <x:c r="V3007" t="str">
        <x:v>Cancelled</x:v>
      </x:c>
      <x:c r="W3007" t="n">
        <x:v>31</x:v>
      </x:c>
      <x:c r="X3007" t="str">
        <x:v>Cancelled Order</x:v>
      </x:c>
      <x:c r="Y3007" t="str">
        <x:v>Existing Customer</x:v>
      </x:c>
    </x:row>
    <x:row r="3008">
      <x:c r="A3008" t="str">
        <x:v>O003007</x:v>
      </x:c>
      <x:c r="B3008" s="20" t="n">
        <x:v>46095</x:v>
      </x:c>
      <x:c r="C3008" t="str">
        <x:v>C0046</x:v>
      </x:c>
      <x:c r="D3008" t="str">
        <x:v>Annapurna Foods 46</x:v>
      </x:c>
      <x:c r="E3008" t="str">
        <x:v>Kirana</x:v>
      </x:c>
      <x:c r="F3008" t="str">
        <x:v>Bengaluru</x:v>
      </x:c>
      <x:c r="G3008" t="str">
        <x:v>Ramesh</x:v>
      </x:c>
      <x:c r="H3008" t="str">
        <x:v>P030</x:v>
      </x:c>
      <x:c r="I3008" t="str">
        <x:v>Mayonnaise 1kg</x:v>
      </x:c>
      <x:c r="J3008" t="str">
        <x:v>Condiments</x:v>
      </x:c>
      <x:c r="K3008" t="str">
        <x:v>Veeba</x:v>
      </x:c>
      <x:c r="L3008" s="22" t="n">
        <x:v>210</x:v>
      </x:c>
      <x:c r="M3008" t="n">
        <x:v>35</x:v>
      </x:c>
      <x:c r="N3008" s="24" t="n">
        <x:v>0.03</x:v>
      </x:c>
      <x:c r="O3008" s="22" t="n">
        <x:f>L3008*M3008</x:f>
        <x:v>7350</x:v>
      </x:c>
      <x:c r="P3008" s="22" t="n">
        <x:f>O3008*(1-N3008)</x:f>
        <x:v>7129.5</x:v>
      </x:c>
      <x:c r="Q3008" s="22" t="n">
        <x:v>185</x:v>
      </x:c>
      <x:c r="R3008" s="22" t="n">
        <x:f>Q3008*M3008</x:f>
        <x:v>6475</x:v>
      </x:c>
      <x:c r="S3008" s="22" t="n">
        <x:f>P3008-R3008</x:f>
        <x:v>654.5</x:v>
      </x:c>
      <x:c r="T3008" t="str">
        <x:v>Bank Transfer</x:v>
      </x:c>
      <x:c r="U3008" t="str">
        <x:v>Paid</x:v>
      </x:c>
      <x:c r="V3008" t="str">
        <x:v>Delivered</x:v>
      </x:c>
      <x:c r="W3008" t="n">
        <x:v>0</x:v>
      </x:c>
      <x:c r="X3008" t="str"/>
      <x:c r="Y3008" t="str">
        <x:v>Outbound Call</x:v>
      </x:c>
    </x:row>
    <x:row r="3009">
      <x:c r="A3009" t="str">
        <x:v>O003008</x:v>
      </x:c>
      <x:c r="B3009" s="20" t="n">
        <x:v>45827</x:v>
      </x:c>
      <x:c r="C3009" t="str">
        <x:v>C0039</x:v>
      </x:c>
      <x:c r="D3009" t="str">
        <x:v>Sagar Cafe 39</x:v>
      </x:c>
      <x:c r="E3009" t="str">
        <x:v>Restaurant</x:v>
      </x:c>
      <x:c r="F3009" t="str">
        <x:v>Hubballi</x:v>
      </x:c>
      <x:c r="G3009" t="str">
        <x:v>Imran</x:v>
      </x:c>
      <x:c r="H3009" t="str">
        <x:v>P002</x:v>
      </x:c>
      <x:c r="I3009" t="str">
        <x:v>Sona Masoori Rice 25kg</x:v>
      </x:c>
      <x:c r="J3009" t="str">
        <x:v>Staples</x:v>
      </x:c>
      <x:c r="K3009" t="str">
        <x:v>Fortune</x:v>
      </x:c>
      <x:c r="L3009" s="22" t="n">
        <x:v>1320</x:v>
      </x:c>
      <x:c r="M3009" t="n">
        <x:v>2</x:v>
      </x:c>
      <x:c r="N3009" s="24" t="n">
        <x:v>0.08</x:v>
      </x:c>
      <x:c r="O3009" s="22" t="n">
        <x:f>L3009*M3009</x:f>
        <x:v>2640</x:v>
      </x:c>
      <x:c r="P3009" s="22" t="n">
        <x:f>O3009*(1-N3009)</x:f>
        <x:v>2428.8</x:v>
      </x:c>
      <x:c r="Q3009" s="22" t="n">
        <x:v>1160</x:v>
      </x:c>
      <x:c r="R3009" s="22" t="n">
        <x:f>Q3009*M3009</x:f>
        <x:v>2320</x:v>
      </x:c>
      <x:c r="S3009" s="22" t="n">
        <x:f>P3009-R3009</x:f>
        <x:v>108.80000000000018</x:v>
      </x:c>
      <x:c r="T3009" t="str">
        <x:v>Bank Transfer</x:v>
      </x:c>
      <x:c r="U3009" t="str">
        <x:v>Paid</x:v>
      </x:c>
      <x:c r="V3009" t="str">
        <x:v>Delivered</x:v>
      </x:c>
      <x:c r="W3009" t="n">
        <x:v>2</x:v>
      </x:c>
      <x:c r="X3009" t="str">
        <x:v>Quality Issue</x:v>
      </x:c>
      <x:c r="Y3009" t="str">
        <x:v>Existing Customer</x:v>
      </x:c>
    </x:row>
    <x:row r="3010">
      <x:c r="A3010" t="str">
        <x:v>O003009</x:v>
      </x:c>
      <x:c r="B3010" s="20" t="n">
        <x:v>46274</x:v>
      </x:c>
      <x:c r="C3010" t="str">
        <x:v>C0159</x:v>
      </x:c>
      <x:c r="D3010" t="str">
        <x:v>Darshini Foods 159</x:v>
      </x:c>
      <x:c r="E3010" t="str">
        <x:v>Canteen</x:v>
      </x:c>
      <x:c r="F3010" t="str">
        <x:v>Tumakuru</x:v>
      </x:c>
      <x:c r="G3010" t="str">
        <x:v>Kavya</x:v>
      </x:c>
      <x:c r="H3010" t="str">
        <x:v>P034</x:v>
      </x:c>
      <x:c r="I3010" t="str">
        <x:v>Chilli Powder 1kg</x:v>
      </x:c>
      <x:c r="J3010" t="str">
        <x:v>Spices</x:v>
      </x:c>
      <x:c r="K3010" t="str">
        <x:v>MDH</x:v>
      </x:c>
      <x:c r="L3010" s="22" t="n">
        <x:v>340</x:v>
      </x:c>
      <x:c r="M3010" t="n">
        <x:v>4</x:v>
      </x:c>
      <x:c r="N3010" s="24" t="n">
        <x:v>0.03</x:v>
      </x:c>
      <x:c r="O3010" s="22" t="n">
        <x:f>L3010*M3010</x:f>
        <x:v>1360</x:v>
      </x:c>
      <x:c r="P3010" s="22" t="n">
        <x:f>O3010*(1-N3010)</x:f>
        <x:v>1319.2</x:v>
      </x:c>
      <x:c r="Q3010" s="22" t="n">
        <x:v>295</x:v>
      </x:c>
      <x:c r="R3010" s="22" t="n">
        <x:f>Q3010*M3010</x:f>
        <x:v>1180</x:v>
      </x:c>
      <x:c r="S3010" s="22" t="n">
        <x:f>P3010-R3010</x:f>
        <x:v>139.20000000000005</x:v>
      </x:c>
      <x:c r="T3010" t="str">
        <x:v>UPI</x:v>
      </x:c>
      <x:c r="U3010" t="str">
        <x:v>Paid</x:v>
      </x:c>
      <x:c r="V3010" t="str">
        <x:v>Cancelled</x:v>
      </x:c>
      <x:c r="W3010" t="n">
        <x:v>4</x:v>
      </x:c>
      <x:c r="X3010" t="str">
        <x:v>Cancelled Order</x:v>
      </x:c>
      <x:c r="Y3010" t="str">
        <x:v>WhatsApp</x:v>
      </x:c>
    </x:row>
    <x:row r="3011">
      <x:c r="A3011" t="str">
        <x:v>O003010</x:v>
      </x:c>
      <x:c r="B3011" s="20" t="n">
        <x:v>45850</x:v>
      </x:c>
      <x:c r="C3011" t="str">
        <x:v>C0093</x:v>
      </x:c>
      <x:c r="D3011" t="str">
        <x:v>Sagar Hotel 93</x:v>
      </x:c>
      <x:c r="E3011" t="str">
        <x:v>Hotel</x:v>
      </x:c>
      <x:c r="F3011" t="str">
        <x:v>Hubballi</x:v>
      </x:c>
      <x:c r="G3011" t="str">
        <x:v>Imran</x:v>
      </x:c>
      <x:c r="H3011" t="str">
        <x:v>P011</x:v>
      </x:c>
      <x:c r="I3011" t="str">
        <x:v>Salt 1kg</x:v>
      </x:c>
      <x:c r="J3011" t="str">
        <x:v>Staples</x:v>
      </x:c>
      <x:c r="K3011" t="str">
        <x:v>Tata</x:v>
      </x:c>
      <x:c r="L3011" s="22" t="n">
        <x:v>28</x:v>
      </x:c>
      <x:c r="M3011" t="n">
        <x:v>8</x:v>
      </x:c>
      <x:c r="N3011" s="24" t="n">
        <x:v>0.05</x:v>
      </x:c>
      <x:c r="O3011" s="22" t="n">
        <x:f>L3011*M3011</x:f>
        <x:v>224</x:v>
      </x:c>
      <x:c r="P3011" s="22" t="n">
        <x:f>O3011*(1-N3011)</x:f>
        <x:v>212.79999999999998</x:v>
      </x:c>
      <x:c r="Q3011" s="22" t="n">
        <x:v>23</x:v>
      </x:c>
      <x:c r="R3011" s="22" t="n">
        <x:f>Q3011*M3011</x:f>
        <x:v>184</x:v>
      </x:c>
      <x:c r="S3011" s="22" t="n">
        <x:f>P3011-R3011</x:f>
        <x:v>28.799999999999983</x:v>
      </x:c>
      <x:c r="T3011" t="str">
        <x:v>UPI</x:v>
      </x:c>
      <x:c r="U3011" t="str">
        <x:v>Paid</x:v>
      </x:c>
      <x:c r="V3011" t="str">
        <x:v>Delayed</x:v>
      </x:c>
      <x:c r="W3011" t="n">
        <x:v>0</x:v>
      </x:c>
      <x:c r="X3011" t="str"/>
      <x:c r="Y3011" t="str">
        <x:v>Outbound Call</x:v>
      </x:c>
    </x:row>
    <x:row r="3012">
      <x:c r="A3012" t="str">
        <x:v>O003011</x:v>
      </x:c>
      <x:c r="B3012" s="20" t="n">
        <x:v>45880</x:v>
      </x:c>
      <x:c r="C3012" t="str">
        <x:v>C0018</x:v>
      </x:c>
      <x:c r="D3012" t="str">
        <x:v>Namma Canteen 18</x:v>
      </x:c>
      <x:c r="E3012" t="str">
        <x:v>Restaurant</x:v>
      </x:c>
      <x:c r="F3012" t="str">
        <x:v>Davanagere</x:v>
      </x:c>
      <x:c r="G3012" t="str">
        <x:v>Imran</x:v>
      </x:c>
      <x:c r="H3012" t="str">
        <x:v>P043</x:v>
      </x:c>
      <x:c r="I3012" t="str">
        <x:v>Chicken Breast 1kg</x:v>
      </x:c>
      <x:c r="J3012" t="str">
        <x:v>Protein</x:v>
      </x:c>
      <x:c r="K3012" t="str">
        <x:v>FreshToHome</x:v>
      </x:c>
      <x:c r="L3012" s="22" t="n">
        <x:v>260</x:v>
      </x:c>
      <x:c r="M3012" t="n">
        <x:v>13</x:v>
      </x:c>
      <x:c r="N3012" s="24" t="n">
        <x:v>0.02</x:v>
      </x:c>
      <x:c r="O3012" s="22" t="n">
        <x:f>L3012*M3012</x:f>
        <x:v>3380</x:v>
      </x:c>
      <x:c r="P3012" s="22" t="n">
        <x:f>O3012*(1-N3012)</x:f>
        <x:v>3312.4</x:v>
      </x:c>
      <x:c r="Q3012" s="22" t="n">
        <x:v>235</x:v>
      </x:c>
      <x:c r="R3012" s="22" t="n">
        <x:f>Q3012*M3012</x:f>
        <x:v>3055</x:v>
      </x:c>
      <x:c r="S3012" s="22" t="n">
        <x:f>P3012-R3012</x:f>
        <x:v>257.4000000000001</x:v>
      </x:c>
      <x:c r="T3012" t="str">
        <x:v>Bank Transfer</x:v>
      </x:c>
      <x:c r="U3012" t="str">
        <x:v>Paid</x:v>
      </x:c>
      <x:c r="V3012" t="str">
        <x:v>Delivered</x:v>
      </x:c>
      <x:c r="W3012" t="n">
        <x:v>0</x:v>
      </x:c>
      <x:c r="X3012" t="str"/>
      <x:c r="Y3012" t="str">
        <x:v>WhatsApp</x:v>
      </x:c>
    </x:row>
    <x:row r="3013">
      <x:c r="A3013" t="str">
        <x:v>O003012</x:v>
      </x:c>
      <x:c r="B3013" s="20" t="n">
        <x:v>46158</x:v>
      </x:c>
      <x:c r="C3013" t="str">
        <x:v>C0161</x:v>
      </x:c>
      <x:c r="D3013" t="str">
        <x:v>Hotel Kitchen 161</x:v>
      </x:c>
      <x:c r="E3013" t="str">
        <x:v>Supermarket</x:v>
      </x:c>
      <x:c r="F3013" t="str">
        <x:v>Mysuru</x:v>
      </x:c>
      <x:c r="G3013" t="str">
        <x:v>Sneha</x:v>
      </x:c>
      <x:c r="H3013" t="str">
        <x:v>P026</x:v>
      </x:c>
      <x:c r="I3013" t="str">
        <x:v>Banana Chips 80g</x:v>
      </x:c>
      <x:c r="J3013" t="str">
        <x:v>Snacks</x:v>
      </x:c>
      <x:c r="K3013" t="str">
        <x:v>SSS</x:v>
      </x:c>
      <x:c r="L3013" s="22" t="n">
        <x:v>54</x:v>
      </x:c>
      <x:c r="M3013" t="n">
        <x:v>4</x:v>
      </x:c>
      <x:c r="N3013" s="24" t="n">
        <x:v>0.1</x:v>
      </x:c>
      <x:c r="O3013" s="22" t="n">
        <x:f>L3013*M3013</x:f>
        <x:v>216</x:v>
      </x:c>
      <x:c r="P3013" s="22" t="n">
        <x:f>O3013*(1-N3013)</x:f>
        <x:v>194.4</x:v>
      </x:c>
      <x:c r="Q3013" s="22" t="n">
        <x:v>39</x:v>
      </x:c>
      <x:c r="R3013" s="22" t="n">
        <x:f>Q3013*M3013</x:f>
        <x:v>156</x:v>
      </x:c>
      <x:c r="S3013" s="22" t="n">
        <x:f>P3013-R3013</x:f>
        <x:v>38.400000000000006</x:v>
      </x:c>
      <x:c r="T3013" t="str">
        <x:v>UPI</x:v>
      </x:c>
      <x:c r="U3013" t="str">
        <x:v>Pending</x:v>
      </x:c>
      <x:c r="V3013" t="str">
        <x:v>Delivered</x:v>
      </x:c>
      <x:c r="W3013" t="n">
        <x:v>2</x:v>
      </x:c>
      <x:c r="X3013" t="str">
        <x:v>Damaged</x:v>
      </x:c>
      <x:c r="Y3013" t="str">
        <x:v>Existing Customer</x:v>
      </x:c>
    </x:row>
    <x:row r="3014">
      <x:c r="A3014" t="str">
        <x:v>O003013</x:v>
      </x:c>
      <x:c r="B3014" s="20" t="n">
        <x:v>46148</x:v>
      </x:c>
      <x:c r="C3014" t="str">
        <x:v>C0130</x:v>
      </x:c>
      <x:c r="D3014" t="str">
        <x:v>Foodie Cafe 130</x:v>
      </x:c>
      <x:c r="E3014" t="str">
        <x:v>Restaurant</x:v>
      </x:c>
      <x:c r="F3014" t="str">
        <x:v>Davanagere</x:v>
      </x:c>
      <x:c r="G3014" t="str">
        <x:v>Megha</x:v>
      </x:c>
      <x:c r="H3014" t="str">
        <x:v>P049</x:v>
      </x:c>
      <x:c r="I3014" t="str">
        <x:v>Apple 10kg</x:v>
      </x:c>
      <x:c r="J3014" t="str">
        <x:v>Fresh Produce</x:v>
      </x:c>
      <x:c r="K3014" t="str">
        <x:v>Local Market</x:v>
      </x:c>
      <x:c r="L3014" s="22" t="n">
        <x:v>1450</x:v>
      </x:c>
      <x:c r="M3014" t="n">
        <x:v>1</x:v>
      </x:c>
      <x:c r="N3014" s="24" t="n">
        <x:v>0.02</x:v>
      </x:c>
      <x:c r="O3014" s="22" t="n">
        <x:f>L3014*M3014</x:f>
        <x:v>1450</x:v>
      </x:c>
      <x:c r="P3014" s="22" t="n">
        <x:f>O3014*(1-N3014)</x:f>
        <x:v>1421</x:v>
      </x:c>
      <x:c r="Q3014" s="22" t="n">
        <x:v>1280</x:v>
      </x:c>
      <x:c r="R3014" s="22" t="n">
        <x:f>Q3014*M3014</x:f>
        <x:v>1280</x:v>
      </x:c>
      <x:c r="S3014" s="22" t="n">
        <x:f>P3014-R3014</x:f>
        <x:v>141</x:v>
      </x:c>
      <x:c r="T3014" t="str">
        <x:v>UPI</x:v>
      </x:c>
      <x:c r="U3014" t="str">
        <x:v>Paid</x:v>
      </x:c>
      <x:c r="V3014" t="str">
        <x:v>Cancelled</x:v>
      </x:c>
      <x:c r="W3014" t="n">
        <x:v>1</x:v>
      </x:c>
      <x:c r="X3014" t="str">
        <x:v>Cancelled Order</x:v>
      </x:c>
      <x:c r="Y3014" t="str">
        <x:v>Referral</x:v>
      </x:c>
    </x:row>
    <x:row r="3015">
      <x:c r="A3015" t="str">
        <x:v>O003014</x:v>
      </x:c>
      <x:c r="B3015" s="20" t="n">
        <x:v>45912</x:v>
      </x:c>
      <x:c r="C3015" t="str">
        <x:v>C0006</x:v>
      </x:c>
      <x:c r="D3015" t="str">
        <x:v>New Restaurant 6</x:v>
      </x:c>
      <x:c r="E3015" t="str">
        <x:v>Kirana</x:v>
      </x:c>
      <x:c r="F3015" t="str">
        <x:v>Hubballi</x:v>
      </x:c>
      <x:c r="G3015" t="str">
        <x:v>Vikram</x:v>
      </x:c>
      <x:c r="H3015" t="str">
        <x:v>P049</x:v>
      </x:c>
      <x:c r="I3015" t="str">
        <x:v>Apple 10kg</x:v>
      </x:c>
      <x:c r="J3015" t="str">
        <x:v>Fresh Produce</x:v>
      </x:c>
      <x:c r="K3015" t="str">
        <x:v>Local Market</x:v>
      </x:c>
      <x:c r="L3015" s="22" t="n">
        <x:v>1450</x:v>
      </x:c>
      <x:c r="M3015" t="n">
        <x:v>5</x:v>
      </x:c>
      <x:c r="N3015" s="24" t="n">
        <x:v>0.03</x:v>
      </x:c>
      <x:c r="O3015" s="22" t="n">
        <x:f>L3015*M3015</x:f>
        <x:v>7250</x:v>
      </x:c>
      <x:c r="P3015" s="22" t="n">
        <x:f>O3015*(1-N3015)</x:f>
        <x:v>7032.5</x:v>
      </x:c>
      <x:c r="Q3015" s="22" t="n">
        <x:v>1280</x:v>
      </x:c>
      <x:c r="R3015" s="22" t="n">
        <x:f>Q3015*M3015</x:f>
        <x:v>6400</x:v>
      </x:c>
      <x:c r="S3015" s="22" t="n">
        <x:f>P3015-R3015</x:f>
        <x:v>632.5</x:v>
      </x:c>
      <x:c r="T3015" t="str">
        <x:v>Credit</x:v>
      </x:c>
      <x:c r="U3015" t="str">
        <x:v>Paid</x:v>
      </x:c>
      <x:c r="V3015" t="str">
        <x:v>Delivered</x:v>
      </x:c>
      <x:c r="W3015" t="n">
        <x:v>0</x:v>
      </x:c>
      <x:c r="X3015" t="str"/>
      <x:c r="Y3015" t="str">
        <x:v>Existing Customer</x:v>
      </x:c>
    </x:row>
    <x:row r="3016">
      <x:c r="A3016" t="str">
        <x:v>O003015</x:v>
      </x:c>
      <x:c r="B3016" s="20" t="n">
        <x:v>45717</x:v>
      </x:c>
      <x:c r="C3016" t="str">
        <x:v>C0101</x:v>
      </x:c>
      <x:c r="D3016" t="str">
        <x:v>Namma Cafe 101</x:v>
      </x:c>
      <x:c r="E3016" t="str">
        <x:v>Supermarket</x:v>
      </x:c>
      <x:c r="F3016" t="str">
        <x:v>Bengaluru</x:v>
      </x:c>
      <x:c r="G3016" t="str">
        <x:v>Arjun</x:v>
      </x:c>
      <x:c r="H3016" t="str">
        <x:v>P023</x:v>
      </x:c>
      <x:c r="I3016" t="str">
        <x:v>Cola 750ml</x:v>
      </x:c>
      <x:c r="J3016" t="str">
        <x:v>Beverage</x:v>
      </x:c>
      <x:c r="K3016" t="str">
        <x:v>Coca-Cola</x:v>
      </x:c>
      <x:c r="L3016" s="22" t="n">
        <x:v>38</x:v>
      </x:c>
      <x:c r="M3016" t="n">
        <x:v>32</x:v>
      </x:c>
      <x:c r="N3016" s="24" t="n">
        <x:v>0.03</x:v>
      </x:c>
      <x:c r="O3016" s="22" t="n">
        <x:f>L3016*M3016</x:f>
        <x:v>1216</x:v>
      </x:c>
      <x:c r="P3016" s="22" t="n">
        <x:f>O3016*(1-N3016)</x:f>
        <x:v>1179.52</x:v>
      </x:c>
      <x:c r="Q3016" s="22" t="n">
        <x:v>31</x:v>
      </x:c>
      <x:c r="R3016" s="22" t="n">
        <x:f>Q3016*M3016</x:f>
        <x:v>992</x:v>
      </x:c>
      <x:c r="S3016" s="22" t="n">
        <x:f>P3016-R3016</x:f>
        <x:v>187.51999999999998</x:v>
      </x:c>
      <x:c r="T3016" t="str">
        <x:v>Bank Transfer</x:v>
      </x:c>
      <x:c r="U3016" t="str">
        <x:v>Paid</x:v>
      </x:c>
      <x:c r="V3016" t="str">
        <x:v>Cancelled</x:v>
      </x:c>
      <x:c r="W3016" t="n">
        <x:v>32</x:v>
      </x:c>
      <x:c r="X3016" t="str">
        <x:v>Cancelled Order</x:v>
      </x:c>
      <x:c r="Y3016" t="str">
        <x:v>WhatsApp</x:v>
      </x:c>
    </x:row>
    <x:row r="3017">
      <x:c r="A3017" t="str">
        <x:v>O003016</x:v>
      </x:c>
      <x:c r="B3017" s="20" t="n">
        <x:v>45871</x:v>
      </x:c>
      <x:c r="C3017" t="str">
        <x:v>C0020</x:v>
      </x:c>
      <x:c r="D3017" t="str">
        <x:v>Shree Foods 20</x:v>
      </x:c>
      <x:c r="E3017" t="str">
        <x:v>Restaurant</x:v>
      </x:c>
      <x:c r="F3017" t="str">
        <x:v>Mysuru</x:v>
      </x:c>
      <x:c r="G3017" t="str">
        <x:v>Arjun</x:v>
      </x:c>
      <x:c r="H3017" t="str">
        <x:v>P025</x:v>
      </x:c>
      <x:c r="I3017" t="str">
        <x:v>Potato Chips 100g</x:v>
      </x:c>
      <x:c r="J3017" t="str">
        <x:v>Snacks</x:v>
      </x:c>
      <x:c r="K3017" t="str">
        <x:v>Lay's</x:v>
      </x:c>
      <x:c r="L3017" s="22" t="n">
        <x:v>35</x:v>
      </x:c>
      <x:c r="M3017" t="n">
        <x:v>8</x:v>
      </x:c>
      <x:c r="N3017" s="24" t="n">
        <x:v>0.02</x:v>
      </x:c>
      <x:c r="O3017" s="22" t="n">
        <x:f>L3017*M3017</x:f>
        <x:v>280</x:v>
      </x:c>
      <x:c r="P3017" s="22" t="n">
        <x:f>O3017*(1-N3017)</x:f>
        <x:v>274.4</x:v>
      </x:c>
      <x:c r="Q3017" s="22" t="n">
        <x:v>27</x:v>
      </x:c>
      <x:c r="R3017" s="22" t="n">
        <x:f>Q3017*M3017</x:f>
        <x:v>216</x:v>
      </x:c>
      <x:c r="S3017" s="22" t="n">
        <x:f>P3017-R3017</x:f>
        <x:v>58.39999999999998</x:v>
      </x:c>
      <x:c r="T3017" t="str">
        <x:v>Bank Transfer</x:v>
      </x:c>
      <x:c r="U3017" t="str">
        <x:v>Paid</x:v>
      </x:c>
      <x:c r="V3017" t="str">
        <x:v>Cancelled</x:v>
      </x:c>
      <x:c r="W3017" t="n">
        <x:v>8</x:v>
      </x:c>
      <x:c r="X3017" t="str">
        <x:v>Cancelled Order</x:v>
      </x:c>
      <x:c r="Y3017" t="str">
        <x:v>Existing Customer</x:v>
      </x:c>
    </x:row>
    <x:row r="3018">
      <x:c r="A3018" t="str">
        <x:v>O003017</x:v>
      </x:c>
      <x:c r="B3018" s="20" t="n">
        <x:v>45714</x:v>
      </x:c>
      <x:c r="C3018" t="str">
        <x:v>C0024</x:v>
      </x:c>
      <x:c r="D3018" t="str">
        <x:v>Darshini Restaurant 24</x:v>
      </x:c>
      <x:c r="E3018" t="str">
        <x:v>Restaurant</x:v>
      </x:c>
      <x:c r="F3018" t="str">
        <x:v>Davanagere</x:v>
      </x:c>
      <x:c r="G3018" t="str">
        <x:v>Sneha</x:v>
      </x:c>
      <x:c r="H3018" t="str">
        <x:v>P042</x:v>
      </x:c>
      <x:c r="I3018" t="str">
        <x:v>Eggs 30pc Tray</x:v>
      </x:c>
      <x:c r="J3018" t="str">
        <x:v>Protein</x:v>
      </x:c>
      <x:c r="K3018" t="str">
        <x:v>Farm Fresh</x:v>
      </x:c>
      <x:c r="L3018" s="22" t="n">
        <x:v>195</x:v>
      </x:c>
      <x:c r="M3018" t="n">
        <x:v>21</x:v>
      </x:c>
      <x:c r="N3018" s="24" t="n">
        <x:v>0.05</x:v>
      </x:c>
      <x:c r="O3018" s="22" t="n">
        <x:f>L3018*M3018</x:f>
        <x:v>4095</x:v>
      </x:c>
      <x:c r="P3018" s="22" t="n">
        <x:f>O3018*(1-N3018)</x:f>
        <x:v>3890.25</x:v>
      </x:c>
      <x:c r="Q3018" s="22" t="n">
        <x:v>170</x:v>
      </x:c>
      <x:c r="R3018" s="22" t="n">
        <x:f>Q3018*M3018</x:f>
        <x:v>3570</x:v>
      </x:c>
      <x:c r="S3018" s="22" t="n">
        <x:f>P3018-R3018</x:f>
        <x:v>320.25</x:v>
      </x:c>
      <x:c r="T3018" t="str">
        <x:v>Credit</x:v>
      </x:c>
      <x:c r="U3018" t="str">
        <x:v>Overdue</x:v>
      </x:c>
      <x:c r="V3018" t="str">
        <x:v>Delivered</x:v>
      </x:c>
      <x:c r="W3018" t="n">
        <x:v>0</x:v>
      </x:c>
      <x:c r="X3018" t="str"/>
      <x:c r="Y3018" t="str">
        <x:v>Existing Customer</x:v>
      </x:c>
    </x:row>
    <x:row r="3019">
      <x:c r="A3019" t="str">
        <x:v>O003018</x:v>
      </x:c>
      <x:c r="B3019" s="20" t="n">
        <x:v>45868</x:v>
      </x:c>
      <x:c r="C3019" t="str">
        <x:v>C0221</x:v>
      </x:c>
      <x:c r="D3019" t="str">
        <x:v>Cafe Canteen 221</x:v>
      </x:c>
      <x:c r="E3019" t="str">
        <x:v>Hotel</x:v>
      </x:c>
      <x:c r="F3019" t="str">
        <x:v>Hubballi</x:v>
      </x:c>
      <x:c r="G3019" t="str">
        <x:v>Kavya</x:v>
      </x:c>
      <x:c r="H3019" t="str">
        <x:v>P050</x:v>
      </x:c>
      <x:c r="I3019" t="str">
        <x:v>Lemon 5kg</x:v>
      </x:c>
      <x:c r="J3019" t="str">
        <x:v>Fresh Produce</x:v>
      </x:c>
      <x:c r="K3019" t="str">
        <x:v>Local Market</x:v>
      </x:c>
      <x:c r="L3019" s="22" t="n">
        <x:v>360</x:v>
      </x:c>
      <x:c r="M3019" t="n">
        <x:v>4</x:v>
      </x:c>
      <x:c r="N3019" s="24" t="n">
        <x:v>0.03</x:v>
      </x:c>
      <x:c r="O3019" s="22" t="n">
        <x:f>L3019*M3019</x:f>
        <x:v>1440</x:v>
      </x:c>
      <x:c r="P3019" s="22" t="n">
        <x:f>O3019*(1-N3019)</x:f>
        <x:v>1396.8</x:v>
      </x:c>
      <x:c r="Q3019" s="22" t="n">
        <x:v>300</x:v>
      </x:c>
      <x:c r="R3019" s="22" t="n">
        <x:f>Q3019*M3019</x:f>
        <x:v>1200</x:v>
      </x:c>
      <x:c r="S3019" s="22" t="n">
        <x:f>P3019-R3019</x:f>
        <x:v>196.79999999999995</x:v>
      </x:c>
      <x:c r="T3019" t="str">
        <x:v>Credit</x:v>
      </x:c>
      <x:c r="U3019" t="str">
        <x:v>Paid</x:v>
      </x:c>
      <x:c r="V3019" t="str">
        <x:v>Delivered</x:v>
      </x:c>
      <x:c r="W3019" t="n">
        <x:v>0</x:v>
      </x:c>
      <x:c r="X3019" t="str"/>
      <x:c r="Y3019" t="str">
        <x:v>Field Visit</x:v>
      </x:c>
    </x:row>
    <x:row r="3020">
      <x:c r="A3020" t="str">
        <x:v>O003019</x:v>
      </x:c>
      <x:c r="B3020" s="20" t="n">
        <x:v>46064</x:v>
      </x:c>
      <x:c r="C3020" t="str">
        <x:v>C0153</x:v>
      </x:c>
      <x:c r="D3020" t="str">
        <x:v>Fresh Foods 153</x:v>
      </x:c>
      <x:c r="E3020" t="str">
        <x:v>Kirana</x:v>
      </x:c>
      <x:c r="F3020" t="str">
        <x:v>Bengaluru</x:v>
      </x:c>
      <x:c r="G3020" t="str">
        <x:v>Priya</x:v>
      </x:c>
      <x:c r="H3020" t="str">
        <x:v>P026</x:v>
      </x:c>
      <x:c r="I3020" t="str">
        <x:v>Banana Chips 80g</x:v>
      </x:c>
      <x:c r="J3020" t="str">
        <x:v>Snacks</x:v>
      </x:c>
      <x:c r="K3020" t="str">
        <x:v>SSS</x:v>
      </x:c>
      <x:c r="L3020" s="22" t="n">
        <x:v>54</x:v>
      </x:c>
      <x:c r="M3020" t="n">
        <x:v>39</x:v>
      </x:c>
      <x:c r="N3020" s="24" t="n">
        <x:v>0</x:v>
      </x:c>
      <x:c r="O3020" s="22" t="n">
        <x:f>L3020*M3020</x:f>
        <x:v>2106</x:v>
      </x:c>
      <x:c r="P3020" s="22" t="n">
        <x:f>O3020*(1-N3020)</x:f>
        <x:v>2106</x:v>
      </x:c>
      <x:c r="Q3020" s="22" t="n">
        <x:v>39</x:v>
      </x:c>
      <x:c r="R3020" s="22" t="n">
        <x:f>Q3020*M3020</x:f>
        <x:v>1521</x:v>
      </x:c>
      <x:c r="S3020" s="22" t="n">
        <x:f>P3020-R3020</x:f>
        <x:v>585</x:v>
      </x:c>
      <x:c r="T3020" t="str">
        <x:v>Bank Transfer</x:v>
      </x:c>
      <x:c r="U3020" t="str">
        <x:v>Overdue</x:v>
      </x:c>
      <x:c r="V3020" t="str">
        <x:v>Delivered</x:v>
      </x:c>
      <x:c r="W3020" t="n">
        <x:v>0</x:v>
      </x:c>
      <x:c r="X3020" t="str"/>
      <x:c r="Y3020" t="str">
        <x:v>WhatsApp</x:v>
      </x:c>
    </x:row>
    <x:row r="3021">
      <x:c r="A3021" t="str">
        <x:v>O003020</x:v>
      </x:c>
      <x:c r="B3021" s="20" t="n">
        <x:v>45983</x:v>
      </x:c>
      <x:c r="C3021" t="str">
        <x:v>C0127</x:v>
      </x:c>
      <x:c r="D3021" t="str">
        <x:v>Grand Mart 127</x:v>
      </x:c>
      <x:c r="E3021" t="str">
        <x:v>Canteen</x:v>
      </x:c>
      <x:c r="F3021" t="str">
        <x:v>Hubballi</x:v>
      </x:c>
      <x:c r="G3021" t="str">
        <x:v>Imran</x:v>
      </x:c>
      <x:c r="H3021" t="str">
        <x:v>P007</x:v>
      </x:c>
      <x:c r="I3021" t="str">
        <x:v>Sunflower Oil 15L</x:v>
      </x:c>
      <x:c r="J3021" t="str">
        <x:v>Edible Oil</x:v>
      </x:c>
      <x:c r="K3021" t="str">
        <x:v>Fortune</x:v>
      </x:c>
      <x:c r="L3021" s="22" t="n">
        <x:v>1980</x:v>
      </x:c>
      <x:c r="M3021" t="n">
        <x:v>1</x:v>
      </x:c>
      <x:c r="N3021" s="24" t="n">
        <x:v>0.05</x:v>
      </x:c>
      <x:c r="O3021" s="22" t="n">
        <x:f>L3021*M3021</x:f>
        <x:v>1980</x:v>
      </x:c>
      <x:c r="P3021" s="22" t="n">
        <x:f>O3021*(1-N3021)</x:f>
        <x:v>1881</x:v>
      </x:c>
      <x:c r="Q3021" s="22" t="n">
        <x:v>1810</x:v>
      </x:c>
      <x:c r="R3021" s="22" t="n">
        <x:f>Q3021*M3021</x:f>
        <x:v>1810</x:v>
      </x:c>
      <x:c r="S3021" s="22" t="n">
        <x:f>P3021-R3021</x:f>
        <x:v>71</x:v>
      </x:c>
      <x:c r="T3021" t="str">
        <x:v>Credit</x:v>
      </x:c>
      <x:c r="U3021" t="str">
        <x:v>Pending</x:v>
      </x:c>
      <x:c r="V3021" t="str">
        <x:v>Delivered</x:v>
      </x:c>
      <x:c r="W3021" t="n">
        <x:v>0</x:v>
      </x:c>
      <x:c r="X3021" t="str"/>
      <x:c r="Y3021" t="str">
        <x:v>Outbound Call</x:v>
      </x:c>
    </x:row>
    <x:row r="3022">
      <x:c r="A3022" t="str">
        <x:v>O003021</x:v>
      </x:c>
      <x:c r="B3022" s="20" t="n">
        <x:v>45844</x:v>
      </x:c>
      <x:c r="C3022" t="str">
        <x:v>C0051</x:v>
      </x:c>
      <x:c r="D3022" t="str">
        <x:v>Cafe Hotel 51</x:v>
      </x:c>
      <x:c r="E3022" t="str">
        <x:v>Kirana</x:v>
      </x:c>
      <x:c r="F3022" t="str">
        <x:v>Tumakuru</x:v>
      </x:c>
      <x:c r="G3022" t="str">
        <x:v>Arjun</x:v>
      </x:c>
      <x:c r="H3022" t="str">
        <x:v>P016</x:v>
      </x:c>
      <x:c r="I3022" t="str">
        <x:v>Curd 1kg</x:v>
      </x:c>
      <x:c r="J3022" t="str">
        <x:v>Dairy</x:v>
      </x:c>
      <x:c r="K3022" t="str">
        <x:v>Nandini</x:v>
      </x:c>
      <x:c r="L3022" s="22" t="n">
        <x:v>72</x:v>
      </x:c>
      <x:c r="M3022" t="n">
        <x:v>14</x:v>
      </x:c>
      <x:c r="N3022" s="24" t="n">
        <x:v>0.02</x:v>
      </x:c>
      <x:c r="O3022" s="22" t="n">
        <x:f>L3022*M3022</x:f>
        <x:v>1008</x:v>
      </x:c>
      <x:c r="P3022" s="22" t="n">
        <x:f>O3022*(1-N3022)</x:f>
        <x:v>987.84</x:v>
      </x:c>
      <x:c r="Q3022" s="22" t="n">
        <x:v>64</x:v>
      </x:c>
      <x:c r="R3022" s="22" t="n">
        <x:f>Q3022*M3022</x:f>
        <x:v>896</x:v>
      </x:c>
      <x:c r="S3022" s="22" t="n">
        <x:f>P3022-R3022</x:f>
        <x:v>91.84000000000003</x:v>
      </x:c>
      <x:c r="T3022" t="str">
        <x:v>UPI</x:v>
      </x:c>
      <x:c r="U3022" t="str">
        <x:v>Pending</x:v>
      </x:c>
      <x:c r="V3022" t="str">
        <x:v>Delivered</x:v>
      </x:c>
      <x:c r="W3022" t="n">
        <x:v>0</x:v>
      </x:c>
      <x:c r="X3022" t="str"/>
      <x:c r="Y3022" t="str">
        <x:v>Existing Customer</x:v>
      </x:c>
    </x:row>
    <x:row r="3023">
      <x:c r="A3023" t="str">
        <x:v>O003022</x:v>
      </x:c>
      <x:c r="B3023" s="20" t="n">
        <x:v>46212</x:v>
      </x:c>
      <x:c r="C3023" t="str">
        <x:v>C0076</x:v>
      </x:c>
      <x:c r="D3023" t="str">
        <x:v>Sri Canteen 76</x:v>
      </x:c>
      <x:c r="E3023" t="str">
        <x:v>Canteen</x:v>
      </x:c>
      <x:c r="F3023" t="str">
        <x:v>Tumakuru</x:v>
      </x:c>
      <x:c r="G3023" t="str">
        <x:v>Priya</x:v>
      </x:c>
      <x:c r="H3023" t="str">
        <x:v>P019</x:v>
      </x:c>
      <x:c r="I3023" t="str">
        <x:v>Tea 1kg</x:v>
      </x:c>
      <x:c r="J3023" t="str">
        <x:v>Beverage</x:v>
      </x:c>
      <x:c r="K3023" t="str">
        <x:v>Red Label</x:v>
      </x:c>
      <x:c r="L3023" s="22" t="n">
        <x:v>540</x:v>
      </x:c>
      <x:c r="M3023" t="n">
        <x:v>34</x:v>
      </x:c>
      <x:c r="N3023" s="24" t="n">
        <x:v>0.03</x:v>
      </x:c>
      <x:c r="O3023" s="22" t="n">
        <x:f>L3023*M3023</x:f>
        <x:v>18360</x:v>
      </x:c>
      <x:c r="P3023" s="22" t="n">
        <x:f>O3023*(1-N3023)</x:f>
        <x:v>17809.2</x:v>
      </x:c>
      <x:c r="Q3023" s="22" t="n">
        <x:v>485</x:v>
      </x:c>
      <x:c r="R3023" s="22" t="n">
        <x:f>Q3023*M3023</x:f>
        <x:v>16490</x:v>
      </x:c>
      <x:c r="S3023" s="22" t="n">
        <x:f>P3023-R3023</x:f>
        <x:v>1319.2000000000007</x:v>
      </x:c>
      <x:c r="T3023" t="str">
        <x:v>Bank Transfer</x:v>
      </x:c>
      <x:c r="U3023" t="str">
        <x:v>Paid</x:v>
      </x:c>
      <x:c r="V3023" t="str">
        <x:v>Delivered</x:v>
      </x:c>
      <x:c r="W3023" t="n">
        <x:v>0</x:v>
      </x:c>
      <x:c r="X3023" t="str"/>
      <x:c r="Y3023" t="str">
        <x:v>Outbound Call</x:v>
      </x:c>
    </x:row>
    <x:row r="3024">
      <x:c r="A3024" t="str">
        <x:v>O003023</x:v>
      </x:c>
      <x:c r="B3024" s="20" t="n">
        <x:v>45803</x:v>
      </x:c>
      <x:c r="C3024" t="str">
        <x:v>C0127</x:v>
      </x:c>
      <x:c r="D3024" t="str">
        <x:v>Grand Mart 127</x:v>
      </x:c>
      <x:c r="E3024" t="str">
        <x:v>Canteen</x:v>
      </x:c>
      <x:c r="F3024" t="str">
        <x:v>Hubballi</x:v>
      </x:c>
      <x:c r="G3024" t="str">
        <x:v>Imran</x:v>
      </x:c>
      <x:c r="H3024" t="str">
        <x:v>P012</x:v>
      </x:c>
      <x:c r="I3024" t="str">
        <x:v>Maida 10kg</x:v>
      </x:c>
      <x:c r="J3024" t="str">
        <x:v>Flour</x:v>
      </x:c>
      <x:c r="K3024" t="str">
        <x:v>Aashirvaad</x:v>
      </x:c>
      <x:c r="L3024" s="22" t="n">
        <x:v>520</x:v>
      </x:c>
      <x:c r="M3024" t="n">
        <x:v>34</x:v>
      </x:c>
      <x:c r="N3024" s="24" t="n">
        <x:v>0.08</x:v>
      </x:c>
      <x:c r="O3024" s="22" t="n">
        <x:f>L3024*M3024</x:f>
        <x:v>17680</x:v>
      </x:c>
      <x:c r="P3024" s="22" t="n">
        <x:f>O3024*(1-N3024)</x:f>
        <x:v>16265.6</x:v>
      </x:c>
      <x:c r="Q3024" s="22" t="n">
        <x:v>460</x:v>
      </x:c>
      <x:c r="R3024" s="22" t="n">
        <x:f>Q3024*M3024</x:f>
        <x:v>15640</x:v>
      </x:c>
      <x:c r="S3024" s="22" t="n">
        <x:f>P3024-R3024</x:f>
        <x:v>625.6000000000004</x:v>
      </x:c>
      <x:c r="T3024" t="str">
        <x:v>Cash</x:v>
      </x:c>
      <x:c r="U3024" t="str">
        <x:v>Pending</x:v>
      </x:c>
      <x:c r="V3024" t="str">
        <x:v>Cancelled</x:v>
      </x:c>
      <x:c r="W3024" t="n">
        <x:v>34</x:v>
      </x:c>
      <x:c r="X3024" t="str">
        <x:v>Cancelled Order</x:v>
      </x:c>
      <x:c r="Y3024" t="str">
        <x:v>Referral</x:v>
      </x:c>
    </x:row>
    <x:row r="3025">
      <x:c r="A3025" t="str">
        <x:v>O003024</x:v>
      </x:c>
      <x:c r="B3025" s="20" t="n">
        <x:v>45938</x:v>
      </x:c>
      <x:c r="C3025" t="str">
        <x:v>C0141</x:v>
      </x:c>
      <x:c r="D3025" t="str">
        <x:v>Sri Restaurant 141</x:v>
      </x:c>
      <x:c r="E3025" t="str">
        <x:v>Restaurant</x:v>
      </x:c>
      <x:c r="F3025" t="str">
        <x:v>Mangaluru</x:v>
      </x:c>
      <x:c r="G3025" t="str">
        <x:v>Ramesh</x:v>
      </x:c>
      <x:c r="H3025" t="str">
        <x:v>P022</x:v>
      </x:c>
      <x:c r="I3025" t="str">
        <x:v>Mineral Water 1L</x:v>
      </x:c>
      <x:c r="J3025" t="str">
        <x:v>Beverage</x:v>
      </x:c>
      <x:c r="K3025" t="str">
        <x:v>Bisleri</x:v>
      </x:c>
      <x:c r="L3025" s="22" t="n">
        <x:v>19</x:v>
      </x:c>
      <x:c r="M3025" t="n">
        <x:v>23</x:v>
      </x:c>
      <x:c r="N3025" s="24" t="n">
        <x:v>0.02</x:v>
      </x:c>
      <x:c r="O3025" s="22" t="n">
        <x:f>L3025*M3025</x:f>
        <x:v>437</x:v>
      </x:c>
      <x:c r="P3025" s="22" t="n">
        <x:f>O3025*(1-N3025)</x:f>
        <x:v>428.26</x:v>
      </x:c>
      <x:c r="Q3025" s="22" t="n">
        <x:v>15</x:v>
      </x:c>
      <x:c r="R3025" s="22" t="n">
        <x:f>Q3025*M3025</x:f>
        <x:v>345</x:v>
      </x:c>
      <x:c r="S3025" s="22" t="n">
        <x:f>P3025-R3025</x:f>
        <x:v>83.25999999999999</x:v>
      </x:c>
      <x:c r="T3025" t="str">
        <x:v>UPI</x:v>
      </x:c>
      <x:c r="U3025" t="str">
        <x:v>Paid</x:v>
      </x:c>
      <x:c r="V3025" t="str">
        <x:v>Delivered</x:v>
      </x:c>
      <x:c r="W3025" t="n">
        <x:v>0</x:v>
      </x:c>
      <x:c r="X3025" t="str"/>
      <x:c r="Y3025" t="str">
        <x:v>WhatsApp</x:v>
      </x:c>
    </x:row>
    <x:row r="3026">
      <x:c r="A3026" t="str">
        <x:v>O003025</x:v>
      </x:c>
      <x:c r="B3026" s="20" t="n">
        <x:v>45976</x:v>
      </x:c>
      <x:c r="C3026" t="str">
        <x:v>C0247</x:v>
      </x:c>
      <x:c r="D3026" t="str">
        <x:v>Fresh Canteen 247</x:v>
      </x:c>
      <x:c r="E3026" t="str">
        <x:v>Restaurant</x:v>
      </x:c>
      <x:c r="F3026" t="str">
        <x:v>Hubballi</x:v>
      </x:c>
      <x:c r="G3026" t="str">
        <x:v>Kavya</x:v>
      </x:c>
      <x:c r="H3026" t="str">
        <x:v>P014</x:v>
      </x:c>
      <x:c r="I3026" t="str">
        <x:v>Rava 5kg</x:v>
      </x:c>
      <x:c r="J3026" t="str">
        <x:v>Flour</x:v>
      </x:c>
      <x:c r="K3026" t="str">
        <x:v>Local Select</x:v>
      </x:c>
      <x:c r="L3026" s="22" t="n">
        <x:v>245</x:v>
      </x:c>
      <x:c r="M3026" t="n">
        <x:v>34</x:v>
      </x:c>
      <x:c r="N3026" s="24" t="n">
        <x:v>0.08</x:v>
      </x:c>
      <x:c r="O3026" s="22" t="n">
        <x:f>L3026*M3026</x:f>
        <x:v>8330</x:v>
      </x:c>
      <x:c r="P3026" s="22" t="n">
        <x:f>O3026*(1-N3026)</x:f>
        <x:v>7663.6</x:v>
      </x:c>
      <x:c r="Q3026" s="22" t="n">
        <x:v>215</x:v>
      </x:c>
      <x:c r="R3026" s="22" t="n">
        <x:f>Q3026*M3026</x:f>
        <x:v>7310</x:v>
      </x:c>
      <x:c r="S3026" s="22" t="n">
        <x:f>P3026-R3026</x:f>
        <x:v>353.60000000000036</x:v>
      </x:c>
      <x:c r="T3026" t="str">
        <x:v>Bank Transfer</x:v>
      </x:c>
      <x:c r="U3026" t="str">
        <x:v>Paid</x:v>
      </x:c>
      <x:c r="V3026" t="str">
        <x:v>Delayed</x:v>
      </x:c>
      <x:c r="W3026" t="n">
        <x:v>0</x:v>
      </x:c>
      <x:c r="X3026" t="str"/>
      <x:c r="Y3026" t="str">
        <x:v>Existing Customer</x:v>
      </x:c>
    </x:row>
    <x:row r="3027">
      <x:c r="A3027" t="str">
        <x:v>O003026</x:v>
      </x:c>
      <x:c r="B3027" s="20" t="n">
        <x:v>46158</x:v>
      </x:c>
      <x:c r="C3027" t="str">
        <x:v>C0141</x:v>
      </x:c>
      <x:c r="D3027" t="str">
        <x:v>Sri Restaurant 141</x:v>
      </x:c>
      <x:c r="E3027" t="str">
        <x:v>Restaurant</x:v>
      </x:c>
      <x:c r="F3027" t="str">
        <x:v>Mangaluru</x:v>
      </x:c>
      <x:c r="G3027" t="str">
        <x:v>Ramesh</x:v>
      </x:c>
      <x:c r="H3027" t="str">
        <x:v>P046</x:v>
      </x:c>
      <x:c r="I3027" t="str">
        <x:v>Potato 25kg</x:v>
      </x:c>
      <x:c r="J3027" t="str">
        <x:v>Fresh Produce</x:v>
      </x:c>
      <x:c r="K3027" t="str">
        <x:v>Local Market</x:v>
      </x:c>
      <x:c r="L3027" s="22" t="n">
        <x:v>700</x:v>
      </x:c>
      <x:c r="M3027" t="n">
        <x:v>13</x:v>
      </x:c>
      <x:c r="N3027" s="24" t="n">
        <x:v>0.02</x:v>
      </x:c>
      <x:c r="O3027" s="22" t="n">
        <x:f>L3027*M3027</x:f>
        <x:v>9100</x:v>
      </x:c>
      <x:c r="P3027" s="22" t="n">
        <x:f>O3027*(1-N3027)</x:f>
        <x:v>8918</x:v>
      </x:c>
      <x:c r="Q3027" s="22" t="n">
        <x:v>610</x:v>
      </x:c>
      <x:c r="R3027" s="22" t="n">
        <x:f>Q3027*M3027</x:f>
        <x:v>7930</x:v>
      </x:c>
      <x:c r="S3027" s="22" t="n">
        <x:f>P3027-R3027</x:f>
        <x:v>988</x:v>
      </x:c>
      <x:c r="T3027" t="str">
        <x:v>Bank Transfer</x:v>
      </x:c>
      <x:c r="U3027" t="str">
        <x:v>Paid</x:v>
      </x:c>
      <x:c r="V3027" t="str">
        <x:v>Delivered</x:v>
      </x:c>
      <x:c r="W3027" t="n">
        <x:v>0</x:v>
      </x:c>
      <x:c r="X3027" t="str"/>
      <x:c r="Y3027" t="str">
        <x:v>Outbound Call</x:v>
      </x:c>
    </x:row>
    <x:row r="3028">
      <x:c r="A3028" t="str">
        <x:v>O003027</x:v>
      </x:c>
      <x:c r="B3028" s="20" t="n">
        <x:v>45919</x:v>
      </x:c>
      <x:c r="C3028" t="str">
        <x:v>C0061</x:v>
      </x:c>
      <x:c r="D3028" t="str">
        <x:v>Spice Stores 61</x:v>
      </x:c>
      <x:c r="E3028" t="str">
        <x:v>Restaurant</x:v>
      </x:c>
      <x:c r="F3028" t="str">
        <x:v>Tumakuru</x:v>
      </x:c>
      <x:c r="G3028" t="str">
        <x:v>Ramesh</x:v>
      </x:c>
      <x:c r="H3028" t="str">
        <x:v>P027</x:v>
      </x:c>
      <x:c r="I3028" t="str">
        <x:v>Biscuits 120g</x:v>
      </x:c>
      <x:c r="J3028" t="str">
        <x:v>Snacks</x:v>
      </x:c>
      <x:c r="K3028" t="str">
        <x:v>Parle-G</x:v>
      </x:c>
      <x:c r="L3028" s="22" t="n">
        <x:v>12</x:v>
      </x:c>
      <x:c r="M3028" t="n">
        <x:v>29</x:v>
      </x:c>
      <x:c r="N3028" s="24" t="n">
        <x:v>0.02</x:v>
      </x:c>
      <x:c r="O3028" s="22" t="n">
        <x:f>L3028*M3028</x:f>
        <x:v>348</x:v>
      </x:c>
      <x:c r="P3028" s="22" t="n">
        <x:f>O3028*(1-N3028)</x:f>
        <x:v>341.04</x:v>
      </x:c>
      <x:c r="Q3028" s="22" t="n">
        <x:v>9</x:v>
      </x:c>
      <x:c r="R3028" s="22" t="n">
        <x:f>Q3028*M3028</x:f>
        <x:v>261</x:v>
      </x:c>
      <x:c r="S3028" s="22" t="n">
        <x:f>P3028-R3028</x:f>
        <x:v>80.04000000000002</x:v>
      </x:c>
      <x:c r="T3028" t="str">
        <x:v>Cash</x:v>
      </x:c>
      <x:c r="U3028" t="str">
        <x:v>Paid</x:v>
      </x:c>
      <x:c r="V3028" t="str">
        <x:v>Delivered</x:v>
      </x:c>
      <x:c r="W3028" t="n">
        <x:v>0</x:v>
      </x:c>
      <x:c r="X3028" t="str"/>
      <x:c r="Y3028" t="str">
        <x:v>WhatsApp</x:v>
      </x:c>
    </x:row>
    <x:row r="3029">
      <x:c r="A3029" t="str">
        <x:v>O003028</x:v>
      </x:c>
      <x:c r="B3029" s="20" t="n">
        <x:v>46060</x:v>
      </x:c>
      <x:c r="C3029" t="str">
        <x:v>C0069</x:v>
      </x:c>
      <x:c r="D3029" t="str">
        <x:v>Cafe Hotel 69</x:v>
      </x:c>
      <x:c r="E3029" t="str">
        <x:v>Supermarket</x:v>
      </x:c>
      <x:c r="F3029" t="str">
        <x:v>Bengaluru</x:v>
      </x:c>
      <x:c r="G3029" t="str">
        <x:v>Sneha</x:v>
      </x:c>
      <x:c r="H3029" t="str">
        <x:v>P007</x:v>
      </x:c>
      <x:c r="I3029" t="str">
        <x:v>Sunflower Oil 15L</x:v>
      </x:c>
      <x:c r="J3029" t="str">
        <x:v>Edible Oil</x:v>
      </x:c>
      <x:c r="K3029" t="str">
        <x:v>Fortune</x:v>
      </x:c>
      <x:c r="L3029" s="22" t="n">
        <x:v>1980</x:v>
      </x:c>
      <x:c r="M3029" t="n">
        <x:v>8</x:v>
      </x:c>
      <x:c r="N3029" s="24" t="n">
        <x:v>0.05</x:v>
      </x:c>
      <x:c r="O3029" s="22" t="n">
        <x:f>L3029*M3029</x:f>
        <x:v>15840</x:v>
      </x:c>
      <x:c r="P3029" s="22" t="n">
        <x:f>O3029*(1-N3029)</x:f>
        <x:v>15048</x:v>
      </x:c>
      <x:c r="Q3029" s="22" t="n">
        <x:v>1810</x:v>
      </x:c>
      <x:c r="R3029" s="22" t="n">
        <x:f>Q3029*M3029</x:f>
        <x:v>14480</x:v>
      </x:c>
      <x:c r="S3029" s="22" t="n">
        <x:f>P3029-R3029</x:f>
        <x:v>568</x:v>
      </x:c>
      <x:c r="T3029" t="str">
        <x:v>Bank Transfer</x:v>
      </x:c>
      <x:c r="U3029" t="str">
        <x:v>Paid</x:v>
      </x:c>
      <x:c r="V3029" t="str">
        <x:v>Delivered</x:v>
      </x:c>
      <x:c r="W3029" t="n">
        <x:v>0</x:v>
      </x:c>
      <x:c r="X3029" t="str"/>
      <x:c r="Y3029" t="str">
        <x:v>Field Visit</x:v>
      </x:c>
    </x:row>
    <x:row r="3030">
      <x:c r="A3030" t="str">
        <x:v>O003029</x:v>
      </x:c>
      <x:c r="B3030" s="20" t="n">
        <x:v>46110</x:v>
      </x:c>
      <x:c r="C3030" t="str">
        <x:v>C0044</x:v>
      </x:c>
      <x:c r="D3030" t="str">
        <x:v>Annapurna Mart 44</x:v>
      </x:c>
      <x:c r="E3030" t="str">
        <x:v>Kirana</x:v>
      </x:c>
      <x:c r="F3030" t="str">
        <x:v>Davanagere</x:v>
      </x:c>
      <x:c r="G3030" t="str">
        <x:v>Priya</x:v>
      </x:c>
      <x:c r="H3030" t="str">
        <x:v>P037</x:v>
      </x:c>
      <x:c r="I3030" t="str">
        <x:v>Frozen Peas 1kg</x:v>
      </x:c>
      <x:c r="J3030" t="str">
        <x:v>Frozen</x:v>
      </x:c>
      <x:c r="K3030" t="str">
        <x:v>Safal</x:v>
      </x:c>
      <x:c r="L3030" s="22" t="n">
        <x:v>155</x:v>
      </x:c>
      <x:c r="M3030" t="n">
        <x:v>31</x:v>
      </x:c>
      <x:c r="N3030" s="24" t="n">
        <x:v>0.02</x:v>
      </x:c>
      <x:c r="O3030" s="22" t="n">
        <x:f>L3030*M3030</x:f>
        <x:v>4805</x:v>
      </x:c>
      <x:c r="P3030" s="22" t="n">
        <x:f>O3030*(1-N3030)</x:f>
        <x:v>4708.9</x:v>
      </x:c>
      <x:c r="Q3030" s="22" t="n">
        <x:v>138</x:v>
      </x:c>
      <x:c r="R3030" s="22" t="n">
        <x:f>Q3030*M3030</x:f>
        <x:v>4278</x:v>
      </x:c>
      <x:c r="S3030" s="22" t="n">
        <x:f>P3030-R3030</x:f>
        <x:v>430.89999999999964</x:v>
      </x:c>
      <x:c r="T3030" t="str">
        <x:v>UPI</x:v>
      </x:c>
      <x:c r="U3030" t="str">
        <x:v>Paid</x:v>
      </x:c>
      <x:c r="V3030" t="str">
        <x:v>Delayed</x:v>
      </x:c>
      <x:c r="W3030" t="n">
        <x:v>0</x:v>
      </x:c>
      <x:c r="X3030" t="str"/>
      <x:c r="Y3030" t="str"/>
    </x:row>
    <x:row r="3031">
      <x:c r="A3031" t="str">
        <x:v>O003030</x:v>
      </x:c>
      <x:c r="B3031" s="20" t="n">
        <x:v>45933</x:v>
      </x:c>
      <x:c r="C3031" t="str">
        <x:v>C0027</x:v>
      </x:c>
      <x:c r="D3031" t="str">
        <x:v>Fresh Cafe 27</x:v>
      </x:c>
      <x:c r="E3031" t="str">
        <x:v>Restaurant</x:v>
      </x:c>
      <x:c r="F3031" t="str">
        <x:v>Tumakuru</x:v>
      </x:c>
      <x:c r="G3031" t="str">
        <x:v>Megha</x:v>
      </x:c>
      <x:c r="H3031" t="str">
        <x:v>P008</x:v>
      </x:c>
      <x:c r="I3031" t="str">
        <x:v>Palm Oil 15L</x:v>
      </x:c>
      <x:c r="J3031" t="str">
        <x:v>Edible Oil</x:v>
      </x:c>
      <x:c r="K3031" t="str">
        <x:v>Ruchi Gold</x:v>
      </x:c>
      <x:c r="L3031" s="22" t="n">
        <x:v>1760</x:v>
      </x:c>
      <x:c r="M3031" t="n">
        <x:v>2</x:v>
      </x:c>
      <x:c r="N3031" s="24" t="n">
        <x:v>0.02</x:v>
      </x:c>
      <x:c r="O3031" s="22" t="n">
        <x:f>L3031*M3031</x:f>
        <x:v>3520</x:v>
      </x:c>
      <x:c r="P3031" s="22" t="n">
        <x:f>O3031*(1-N3031)</x:f>
        <x:v>3449.6</x:v>
      </x:c>
      <x:c r="Q3031" s="22" t="n">
        <x:v>1610</x:v>
      </x:c>
      <x:c r="R3031" s="22" t="n">
        <x:f>Q3031*M3031</x:f>
        <x:v>3220</x:v>
      </x:c>
      <x:c r="S3031" s="22" t="n">
        <x:f>P3031-R3031</x:f>
        <x:v>229.5999999999999</x:v>
      </x:c>
      <x:c r="T3031" t="str">
        <x:v>Bank Transfer</x:v>
      </x:c>
      <x:c r="U3031" t="str">
        <x:v>Paid</x:v>
      </x:c>
      <x:c r="V3031" t="str">
        <x:v>Cancelled</x:v>
      </x:c>
      <x:c r="W3031" t="n">
        <x:v>2</x:v>
      </x:c>
      <x:c r="X3031" t="str">
        <x:v>Cancelled Order</x:v>
      </x:c>
      <x:c r="Y3031" t="str">
        <x:v>Field Visit</x:v>
      </x:c>
    </x:row>
    <x:row r="3032">
      <x:c r="A3032" t="str">
        <x:v>O003031</x:v>
      </x:c>
      <x:c r="B3032" s="20" t="n">
        <x:v>45728</x:v>
      </x:c>
      <x:c r="C3032" t="str">
        <x:v>C0180</x:v>
      </x:c>
      <x:c r="D3032" t="str">
        <x:v>Sri Kitchen 180</x:v>
      </x:c>
      <x:c r="E3032" t="str">
        <x:v>Kirana</x:v>
      </x:c>
      <x:c r="F3032" t="str">
        <x:v>Mysuru</x:v>
      </x:c>
      <x:c r="G3032" t="str">
        <x:v>Vikram</x:v>
      </x:c>
      <x:c r="H3032" t="str">
        <x:v>P025</x:v>
      </x:c>
      <x:c r="I3032" t="str">
        <x:v>Potato Chips 100g</x:v>
      </x:c>
      <x:c r="J3032" t="str">
        <x:v>Snacks</x:v>
      </x:c>
      <x:c r="K3032" t="str">
        <x:v>Lay's</x:v>
      </x:c>
      <x:c r="L3032" s="22" t="n">
        <x:v>35</x:v>
      </x:c>
      <x:c r="M3032" t="n">
        <x:v>5</x:v>
      </x:c>
      <x:c r="N3032" s="24" t="n">
        <x:v>0.03</x:v>
      </x:c>
      <x:c r="O3032" s="22" t="n">
        <x:f>L3032*M3032</x:f>
        <x:v>175</x:v>
      </x:c>
      <x:c r="P3032" s="22" t="n">
        <x:f>O3032*(1-N3032)</x:f>
        <x:v>169.75</x:v>
      </x:c>
      <x:c r="Q3032" s="22" t="n">
        <x:v>27</x:v>
      </x:c>
      <x:c r="R3032" s="22" t="n">
        <x:f>Q3032*M3032</x:f>
        <x:v>135</x:v>
      </x:c>
      <x:c r="S3032" s="22" t="n">
        <x:f>P3032-R3032</x:f>
        <x:v>34.75</x:v>
      </x:c>
      <x:c r="T3032" t="str">
        <x:v>Credit</x:v>
      </x:c>
      <x:c r="U3032" t="str">
        <x:v>Paid</x:v>
      </x:c>
      <x:c r="V3032" t="str">
        <x:v>Delivered</x:v>
      </x:c>
      <x:c r="W3032" t="n">
        <x:v>0</x:v>
      </x:c>
      <x:c r="X3032" t="str"/>
      <x:c r="Y3032" t="str">
        <x:v>Outbound Call</x:v>
      </x:c>
    </x:row>
    <x:row r="3033">
      <x:c r="A3033" t="str">
        <x:v>O003032</x:v>
      </x:c>
      <x:c r="B3033" s="20" t="n">
        <x:v>45735</x:v>
      </x:c>
      <x:c r="C3033" t="str">
        <x:v>C0225</x:v>
      </x:c>
      <x:c r="D3033" t="str">
        <x:v>Darshini Mart 225</x:v>
      </x:c>
      <x:c r="E3033" t="str">
        <x:v>Restaurant</x:v>
      </x:c>
      <x:c r="F3033" t="str">
        <x:v>Davanagere</x:v>
      </x:c>
      <x:c r="G3033" t="str">
        <x:v>Kavya</x:v>
      </x:c>
      <x:c r="H3033" t="str">
        <x:v>P025</x:v>
      </x:c>
      <x:c r="I3033" t="str">
        <x:v>Potato Chips 100g</x:v>
      </x:c>
      <x:c r="J3033" t="str">
        <x:v>Snacks</x:v>
      </x:c>
      <x:c r="K3033" t="str">
        <x:v>Lay's</x:v>
      </x:c>
      <x:c r="L3033" s="22" t="n">
        <x:v>35</x:v>
      </x:c>
      <x:c r="M3033" t="n">
        <x:v>6</x:v>
      </x:c>
      <x:c r="N3033" s="24" t="n">
        <x:v>0.03</x:v>
      </x:c>
      <x:c r="O3033" s="22" t="n">
        <x:f>L3033*M3033</x:f>
        <x:v>210</x:v>
      </x:c>
      <x:c r="P3033" s="22" t="n">
        <x:f>O3033*(1-N3033)</x:f>
        <x:v>203.7</x:v>
      </x:c>
      <x:c r="Q3033" s="22" t="n">
        <x:v>27</x:v>
      </x:c>
      <x:c r="R3033" s="22" t="n">
        <x:f>Q3033*M3033</x:f>
        <x:v>162</x:v>
      </x:c>
      <x:c r="S3033" s="22" t="n">
        <x:f>P3033-R3033</x:f>
        <x:v>41.69999999999999</x:v>
      </x:c>
      <x:c r="T3033" t="str">
        <x:v>Bank Transfer</x:v>
      </x:c>
      <x:c r="U3033" t="str">
        <x:v>Paid</x:v>
      </x:c>
      <x:c r="V3033" t="str">
        <x:v>Cancelled</x:v>
      </x:c>
      <x:c r="W3033" t="n">
        <x:v>6</x:v>
      </x:c>
      <x:c r="X3033" t="str">
        <x:v>Cancelled Order</x:v>
      </x:c>
      <x:c r="Y3033" t="str">
        <x:v>Outbound Call</x:v>
      </x:c>
    </x:row>
    <x:row r="3034">
      <x:c r="A3034" t="str">
        <x:v>O003033</x:v>
      </x:c>
      <x:c r="B3034" s="20" t="n">
        <x:v>45934</x:v>
      </x:c>
      <x:c r="C3034" t="str">
        <x:v>C0088</x:v>
      </x:c>
      <x:c r="D3034" t="str">
        <x:v>Darshini Kitchen 88</x:v>
      </x:c>
      <x:c r="E3034" t="str">
        <x:v>Cafe</x:v>
      </x:c>
      <x:c r="F3034" t="str">
        <x:v>Tumakuru</x:v>
      </x:c>
      <x:c r="G3034" t="str">
        <x:v>Arjun</x:v>
      </x:c>
      <x:c r="H3034" t="str">
        <x:v>P022</x:v>
      </x:c>
      <x:c r="I3034" t="str">
        <x:v>Mineral Water 1L</x:v>
      </x:c>
      <x:c r="J3034" t="str">
        <x:v>Beverage</x:v>
      </x:c>
      <x:c r="K3034" t="str">
        <x:v>Bisleri</x:v>
      </x:c>
      <x:c r="L3034" s="22" t="n">
        <x:v>19</x:v>
      </x:c>
      <x:c r="M3034" t="n">
        <x:v>25</x:v>
      </x:c>
      <x:c r="N3034" s="24" t="n">
        <x:v>0.1</x:v>
      </x:c>
      <x:c r="O3034" s="22" t="n">
        <x:f>L3034*M3034</x:f>
        <x:v>475</x:v>
      </x:c>
      <x:c r="P3034" s="22" t="n">
        <x:f>O3034*(1-N3034)</x:f>
        <x:v>427.5</x:v>
      </x:c>
      <x:c r="Q3034" s="22" t="n">
        <x:v>15</x:v>
      </x:c>
      <x:c r="R3034" s="22" t="n">
        <x:f>Q3034*M3034</x:f>
        <x:v>375</x:v>
      </x:c>
      <x:c r="S3034" s="22" t="n">
        <x:f>P3034-R3034</x:f>
        <x:v>52.5</x:v>
      </x:c>
      <x:c r="T3034" t="str">
        <x:v>Cash</x:v>
      </x:c>
      <x:c r="U3034" t="str">
        <x:v>Paid</x:v>
      </x:c>
      <x:c r="V3034" t="str">
        <x:v>Delivered</x:v>
      </x:c>
      <x:c r="W3034" t="n">
        <x:v>0</x:v>
      </x:c>
      <x:c r="X3034" t="str"/>
      <x:c r="Y3034" t="str">
        <x:v>Referral</x:v>
      </x:c>
    </x:row>
    <x:row r="3035">
      <x:c r="A3035" t="str">
        <x:v>O003034</x:v>
      </x:c>
      <x:c r="B3035" s="20" t="n">
        <x:v>45895</x:v>
      </x:c>
      <x:c r="C3035" t="str">
        <x:v>C0193</x:v>
      </x:c>
      <x:c r="D3035" t="str">
        <x:v>Udupi Cafe 193</x:v>
      </x:c>
      <x:c r="E3035" t="str">
        <x:v>Restaurant</x:v>
      </x:c>
      <x:c r="F3035" t="str">
        <x:v>Hubballi</x:v>
      </x:c>
      <x:c r="G3035" t="str">
        <x:v>Sneha</x:v>
      </x:c>
      <x:c r="H3035" t="str">
        <x:v>P017</x:v>
      </x:c>
      <x:c r="I3035" t="str">
        <x:v>Butter 500g</x:v>
      </x:c>
      <x:c r="J3035" t="str">
        <x:v>Dairy</x:v>
      </x:c>
      <x:c r="K3035" t="str">
        <x:v>Amul</x:v>
      </x:c>
      <x:c r="L3035" s="22" t="n">
        <x:v>285</x:v>
      </x:c>
      <x:c r="M3035" t="n">
        <x:v>32</x:v>
      </x:c>
      <x:c r="N3035" s="24" t="n">
        <x:v>0.03</x:v>
      </x:c>
      <x:c r="O3035" s="22" t="n">
        <x:f>L3035*M3035</x:f>
        <x:v>9120</x:v>
      </x:c>
      <x:c r="P3035" s="22" t="n">
        <x:f>O3035*(1-N3035)</x:f>
        <x:v>8846.4</x:v>
      </x:c>
      <x:c r="Q3035" s="22" t="n">
        <x:v>258</x:v>
      </x:c>
      <x:c r="R3035" s="22" t="n">
        <x:f>Q3035*M3035</x:f>
        <x:v>8256</x:v>
      </x:c>
      <x:c r="S3035" s="22" t="n">
        <x:f>P3035-R3035</x:f>
        <x:v>590.3999999999996</x:v>
      </x:c>
      <x:c r="T3035" t="str">
        <x:v>Cash</x:v>
      </x:c>
      <x:c r="U3035" t="str">
        <x:v>Pending</x:v>
      </x:c>
      <x:c r="V3035" t="str">
        <x:v>Delivered</x:v>
      </x:c>
      <x:c r="W3035" t="n">
        <x:v>0</x:v>
      </x:c>
      <x:c r="X3035" t="str"/>
      <x:c r="Y3035" t="str">
        <x:v>Field Visit</x:v>
      </x:c>
    </x:row>
    <x:row r="3036">
      <x:c r="A3036" t="str">
        <x:v>O003035</x:v>
      </x:c>
      <x:c r="B3036" s="20" t="n">
        <x:v>46004</x:v>
      </x:c>
      <x:c r="C3036" t="str">
        <x:v>C0081</x:v>
      </x:c>
      <x:c r="D3036" t="str">
        <x:v>Foodie Mart 81</x:v>
      </x:c>
      <x:c r="E3036" t="str">
        <x:v>Supermarket</x:v>
      </x:c>
      <x:c r="F3036" t="str">
        <x:v>Hubballi</x:v>
      </x:c>
      <x:c r="G3036" t="str">
        <x:v>Kavya</x:v>
      </x:c>
      <x:c r="H3036" t="str">
        <x:v>P018</x:v>
      </x:c>
      <x:c r="I3036" t="str">
        <x:v>Paneer 1kg</x:v>
      </x:c>
      <x:c r="J3036" t="str">
        <x:v>Dairy</x:v>
      </x:c>
      <x:c r="K3036" t="str">
        <x:v>Milky Mist</x:v>
      </x:c>
      <x:c r="L3036" s="22" t="n">
        <x:v>410</x:v>
      </x:c>
      <x:c r="M3036" t="n">
        <x:v>37</x:v>
      </x:c>
      <x:c r="N3036" s="24" t="n">
        <x:v>0.02</x:v>
      </x:c>
      <x:c r="O3036" s="22" t="n">
        <x:f>L3036*M3036</x:f>
        <x:v>15170</x:v>
      </x:c>
      <x:c r="P3036" s="22" t="n">
        <x:f>O3036*(1-N3036)</x:f>
        <x:v>14866.6</x:v>
      </x:c>
      <x:c r="Q3036" s="22" t="n">
        <x:v>370</x:v>
      </x:c>
      <x:c r="R3036" s="22" t="n">
        <x:f>Q3036*M3036</x:f>
        <x:v>13690</x:v>
      </x:c>
      <x:c r="S3036" s="22" t="n">
        <x:f>P3036-R3036</x:f>
        <x:v>1176.6000000000004</x:v>
      </x:c>
      <x:c r="T3036" t="str">
        <x:v>Credit</x:v>
      </x:c>
      <x:c r="U3036" t="str">
        <x:v>Pending</x:v>
      </x:c>
      <x:c r="V3036" t="str">
        <x:v>Delivered</x:v>
      </x:c>
      <x:c r="W3036" t="n">
        <x:v>1</x:v>
      </x:c>
      <x:c r="X3036" t="str">
        <x:v>Damaged</x:v>
      </x:c>
      <x:c r="Y3036" t="str">
        <x:v>Outbound Call</x:v>
      </x:c>
    </x:row>
    <x:row r="3037">
      <x:c r="A3037" t="str">
        <x:v>O003036</x:v>
      </x:c>
      <x:c r="B3037" s="20" t="n">
        <x:v>45798</x:v>
      </x:c>
      <x:c r="C3037" t="str">
        <x:v>C0106</x:v>
      </x:c>
      <x:c r="D3037" t="str">
        <x:v>Classic Mart 106</x:v>
      </x:c>
      <x:c r="E3037" t="str">
        <x:v>Restaurant</x:v>
      </x:c>
      <x:c r="F3037" t="str">
        <x:v>Mysuru</x:v>
      </x:c>
      <x:c r="G3037" t="str">
        <x:v>Kavya</x:v>
      </x:c>
      <x:c r="H3037" t="str">
        <x:v>P042</x:v>
      </x:c>
      <x:c r="I3037" t="str">
        <x:v>Eggs 30pc Tray</x:v>
      </x:c>
      <x:c r="J3037" t="str">
        <x:v>Protein</x:v>
      </x:c>
      <x:c r="K3037" t="str">
        <x:v>Farm Fresh</x:v>
      </x:c>
      <x:c r="L3037" s="22" t="n">
        <x:v>195</x:v>
      </x:c>
      <x:c r="M3037" t="n">
        <x:v>10</x:v>
      </x:c>
      <x:c r="N3037" s="24" t="n">
        <x:v>0.03</x:v>
      </x:c>
      <x:c r="O3037" s="22" t="n">
        <x:f>L3037*M3037</x:f>
        <x:v>1950</x:v>
      </x:c>
      <x:c r="P3037" s="22" t="n">
        <x:f>O3037*(1-N3037)</x:f>
        <x:v>1891.5</x:v>
      </x:c>
      <x:c r="Q3037" s="22" t="n">
        <x:v>170</x:v>
      </x:c>
      <x:c r="R3037" s="22" t="n">
        <x:f>Q3037*M3037</x:f>
        <x:v>1700</x:v>
      </x:c>
      <x:c r="S3037" s="22" t="n">
        <x:f>P3037-R3037</x:f>
        <x:v>191.5</x:v>
      </x:c>
      <x:c r="T3037" t="str">
        <x:v>Bank Transfer</x:v>
      </x:c>
      <x:c r="U3037" t="str">
        <x:v>Overdue</x:v>
      </x:c>
      <x:c r="V3037" t="str">
        <x:v>Delayed</x:v>
      </x:c>
      <x:c r="W3037" t="n">
        <x:v>0</x:v>
      </x:c>
      <x:c r="X3037" t="str"/>
      <x:c r="Y3037" t="str">
        <x:v>WhatsApp</x:v>
      </x:c>
    </x:row>
    <x:row r="3038">
      <x:c r="A3038" t="str">
        <x:v>O003037</x:v>
      </x:c>
      <x:c r="B3038" s="20" t="n">
        <x:v>45786</x:v>
      </x:c>
      <x:c r="C3038" t="str">
        <x:v>C0121</x:v>
      </x:c>
      <x:c r="D3038" t="str">
        <x:v>Mysore Restaurant 121</x:v>
      </x:c>
      <x:c r="E3038" t="str">
        <x:v>Cafe</x:v>
      </x:c>
      <x:c r="F3038" t="str">
        <x:v>Mysuru</x:v>
      </x:c>
      <x:c r="G3038" t="str">
        <x:v>Sneha</x:v>
      </x:c>
      <x:c r="H3038" t="str">
        <x:v>P018</x:v>
      </x:c>
      <x:c r="I3038" t="str">
        <x:v>Paneer 1kg</x:v>
      </x:c>
      <x:c r="J3038" t="str">
        <x:v>Dairy</x:v>
      </x:c>
      <x:c r="K3038" t="str">
        <x:v>Milky Mist</x:v>
      </x:c>
      <x:c r="L3038" s="22" t="n">
        <x:v>410</x:v>
      </x:c>
      <x:c r="M3038" t="n">
        <x:v>7</x:v>
      </x:c>
      <x:c r="N3038" s="24" t="n">
        <x:v>0.05</x:v>
      </x:c>
      <x:c r="O3038" s="22" t="n">
        <x:f>L3038*M3038</x:f>
        <x:v>2870</x:v>
      </x:c>
      <x:c r="P3038" s="22" t="n">
        <x:f>O3038*(1-N3038)</x:f>
        <x:v>2726.5</x:v>
      </x:c>
      <x:c r="Q3038" s="22" t="n">
        <x:v>370</x:v>
      </x:c>
      <x:c r="R3038" s="22" t="n">
        <x:f>Q3038*M3038</x:f>
        <x:v>2590</x:v>
      </x:c>
      <x:c r="S3038" s="22" t="n">
        <x:f>P3038-R3038</x:f>
        <x:v>136.5</x:v>
      </x:c>
      <x:c r="T3038" t="str">
        <x:v>Credit</x:v>
      </x:c>
      <x:c r="U3038" t="str">
        <x:v>Pending</x:v>
      </x:c>
      <x:c r="V3038" t="str">
        <x:v>Delivered</x:v>
      </x:c>
      <x:c r="W3038" t="n">
        <x:v>0</x:v>
      </x:c>
      <x:c r="X3038" t="str"/>
      <x:c r="Y3038" t="str">
        <x:v>Existing Customer</x:v>
      </x:c>
    </x:row>
    <x:row r="3039">
      <x:c r="A3039" t="str">
        <x:v>O003038</x:v>
      </x:c>
      <x:c r="B3039" s="20" t="n">
        <x:v>45714</x:v>
      </x:c>
      <x:c r="C3039" t="str">
        <x:v>C0095</x:v>
      </x:c>
      <x:c r="D3039" t="str">
        <x:v>Spice Restaurant 95</x:v>
      </x:c>
      <x:c r="E3039" t="str">
        <x:v>Restaurant</x:v>
      </x:c>
      <x:c r="F3039" t="str">
        <x:v>Bengaluru</x:v>
      </x:c>
      <x:c r="G3039" t="str">
        <x:v>Megha</x:v>
      </x:c>
      <x:c r="H3039" t="str">
        <x:v>P043</x:v>
      </x:c>
      <x:c r="I3039" t="str">
        <x:v>Chicken Breast 1kg</x:v>
      </x:c>
      <x:c r="J3039" t="str">
        <x:v>Protein</x:v>
      </x:c>
      <x:c r="K3039" t="str">
        <x:v>FreshToHome</x:v>
      </x:c>
      <x:c r="L3039" s="22" t="n">
        <x:v>260</x:v>
      </x:c>
      <x:c r="M3039" t="n">
        <x:v>38</x:v>
      </x:c>
      <x:c r="N3039" s="24" t="n">
        <x:v>0.02</x:v>
      </x:c>
      <x:c r="O3039" s="22" t="n">
        <x:f>L3039*M3039</x:f>
        <x:v>9880</x:v>
      </x:c>
      <x:c r="P3039" s="22" t="n">
        <x:f>O3039*(1-N3039)</x:f>
        <x:v>9682.4</x:v>
      </x:c>
      <x:c r="Q3039" s="22" t="n">
        <x:v>235</x:v>
      </x:c>
      <x:c r="R3039" s="22" t="n">
        <x:f>Q3039*M3039</x:f>
        <x:v>8930</x:v>
      </x:c>
      <x:c r="S3039" s="22" t="n">
        <x:f>P3039-R3039</x:f>
        <x:v>752.3999999999996</x:v>
      </x:c>
      <x:c r="T3039" t="str">
        <x:v>Credit</x:v>
      </x:c>
      <x:c r="U3039" t="str">
        <x:v>Paid</x:v>
      </x:c>
      <x:c r="V3039" t="str">
        <x:v>Delayed</x:v>
      </x:c>
      <x:c r="W3039" t="n">
        <x:v>0</x:v>
      </x:c>
      <x:c r="X3039" t="str"/>
      <x:c r="Y3039" t="str">
        <x:v>Referral</x:v>
      </x:c>
    </x:row>
    <x:row r="3040">
      <x:c r="A3040" t="str">
        <x:v>O003039</x:v>
      </x:c>
      <x:c r="B3040" s="20" t="n">
        <x:v>46277</x:v>
      </x:c>
      <x:c r="C3040" t="str">
        <x:v>C0200</x:v>
      </x:c>
      <x:c r="D3040" t="str">
        <x:v>Sagar Kitchen 200</x:v>
      </x:c>
      <x:c r="E3040" t="str">
        <x:v>Cafe</x:v>
      </x:c>
      <x:c r="F3040" t="str">
        <x:v>Bengaluru</x:v>
      </x:c>
      <x:c r="G3040" t="str">
        <x:v>Arjun</x:v>
      </x:c>
      <x:c r="H3040" t="str">
        <x:v>P046</x:v>
      </x:c>
      <x:c r="I3040" t="str">
        <x:v>Potato 25kg</x:v>
      </x:c>
      <x:c r="J3040" t="str">
        <x:v>Fresh Produce</x:v>
      </x:c>
      <x:c r="K3040" t="str">
        <x:v>Local Market</x:v>
      </x:c>
      <x:c r="L3040" s="22" t="n">
        <x:v>700</x:v>
      </x:c>
      <x:c r="M3040" t="n">
        <x:v>37</x:v>
      </x:c>
      <x:c r="N3040" s="24" t="n">
        <x:v>0</x:v>
      </x:c>
      <x:c r="O3040" s="22" t="n">
        <x:f>L3040*M3040</x:f>
        <x:v>25900</x:v>
      </x:c>
      <x:c r="P3040" s="22" t="n">
        <x:f>O3040*(1-N3040)</x:f>
        <x:v>25900</x:v>
      </x:c>
      <x:c r="Q3040" s="22" t="n">
        <x:v>610</x:v>
      </x:c>
      <x:c r="R3040" s="22" t="n">
        <x:f>Q3040*M3040</x:f>
        <x:v>22570</x:v>
      </x:c>
      <x:c r="S3040" s="22" t="n">
        <x:f>P3040-R3040</x:f>
        <x:v>3330</x:v>
      </x:c>
      <x:c r="T3040" t="str">
        <x:v>Cash</x:v>
      </x:c>
      <x:c r="U3040" t="str">
        <x:v>Paid</x:v>
      </x:c>
      <x:c r="V3040" t="str">
        <x:v>Delivered</x:v>
      </x:c>
      <x:c r="W3040" t="n">
        <x:v>4</x:v>
      </x:c>
      <x:c r="X3040" t="str">
        <x:v>Quality Issue</x:v>
      </x:c>
      <x:c r="Y3040" t="str">
        <x:v>Outbound Call</x:v>
      </x:c>
    </x:row>
    <x:row r="3041">
      <x:c r="A3041" t="str">
        <x:v>O003040</x:v>
      </x:c>
      <x:c r="B3041" s="20" t="n">
        <x:v>45915</x:v>
      </x:c>
      <x:c r="C3041" t="str">
        <x:v>C0209</x:v>
      </x:c>
      <x:c r="D3041" t="str">
        <x:v>Shree Hotel 209</x:v>
      </x:c>
      <x:c r="E3041" t="str">
        <x:v>Restaurant</x:v>
      </x:c>
      <x:c r="F3041" t="str">
        <x:v>Tumakuru</x:v>
      </x:c>
      <x:c r="G3041" t="str">
        <x:v>Ramesh</x:v>
      </x:c>
      <x:c r="H3041" t="str">
        <x:v>P034</x:v>
      </x:c>
      <x:c r="I3041" t="str">
        <x:v>Chilli Powder 1kg</x:v>
      </x:c>
      <x:c r="J3041" t="str">
        <x:v>Spices</x:v>
      </x:c>
      <x:c r="K3041" t="str">
        <x:v>MDH</x:v>
      </x:c>
      <x:c r="L3041" s="22" t="n">
        <x:v>340</x:v>
      </x:c>
      <x:c r="M3041" t="n">
        <x:v>36</x:v>
      </x:c>
      <x:c r="N3041" s="24" t="n">
        <x:v>0.02</x:v>
      </x:c>
      <x:c r="O3041" s="22" t="n">
        <x:f>L3041*M3041</x:f>
        <x:v>12240</x:v>
      </x:c>
      <x:c r="P3041" s="22" t="n">
        <x:f>O3041*(1-N3041)</x:f>
        <x:v>11995.199999999999</x:v>
      </x:c>
      <x:c r="Q3041" s="22" t="n">
        <x:v>295</x:v>
      </x:c>
      <x:c r="R3041" s="22" t="n">
        <x:f>Q3041*M3041</x:f>
        <x:v>10620</x:v>
      </x:c>
      <x:c r="S3041" s="22" t="n">
        <x:f>P3041-R3041</x:f>
        <x:v>1375.199999999999</x:v>
      </x:c>
      <x:c r="T3041" t="str">
        <x:v>Credit</x:v>
      </x:c>
      <x:c r="U3041" t="str">
        <x:v>Pending</x:v>
      </x:c>
      <x:c r="V3041" t="str">
        <x:v>Delivered</x:v>
      </x:c>
      <x:c r="W3041" t="n">
        <x:v>4</x:v>
      </x:c>
      <x:c r="X3041" t="str">
        <x:v>Wrong Item</x:v>
      </x:c>
      <x:c r="Y3041" t="str">
        <x:v>WhatsApp</x:v>
      </x:c>
    </x:row>
    <x:row r="3042">
      <x:c r="A3042" t="str">
        <x:v>O003041</x:v>
      </x:c>
      <x:c r="B3042" s="20" t="n">
        <x:v>46248</x:v>
      </x:c>
      <x:c r="C3042" t="str">
        <x:v>C0085</x:v>
      </x:c>
      <x:c r="D3042" t="str">
        <x:v>Green Hotel 85</x:v>
      </x:c>
      <x:c r="E3042" t="str">
        <x:v>Kirana</x:v>
      </x:c>
      <x:c r="F3042" t="str">
        <x:v>Mysuru</x:v>
      </x:c>
      <x:c r="G3042" t="str">
        <x:v>Arjun</x:v>
      </x:c>
      <x:c r="H3042" t="str">
        <x:v>P046</x:v>
      </x:c>
      <x:c r="I3042" t="str">
        <x:v>Potato 25kg</x:v>
      </x:c>
      <x:c r="J3042" t="str">
        <x:v>Fresh Produce</x:v>
      </x:c>
      <x:c r="K3042" t="str">
        <x:v>Local Market</x:v>
      </x:c>
      <x:c r="L3042" s="22" t="n">
        <x:v>700</x:v>
      </x:c>
      <x:c r="M3042" t="n">
        <x:v>22</x:v>
      </x:c>
      <x:c r="N3042" s="24" t="n">
        <x:v>0.08</x:v>
      </x:c>
      <x:c r="O3042" s="22" t="n">
        <x:f>L3042*M3042</x:f>
        <x:v>15400</x:v>
      </x:c>
      <x:c r="P3042" s="22" t="n">
        <x:f>O3042*(1-N3042)</x:f>
        <x:v>14168</x:v>
      </x:c>
      <x:c r="Q3042" s="22" t="n">
        <x:v>610</x:v>
      </x:c>
      <x:c r="R3042" s="22" t="n">
        <x:f>Q3042*M3042</x:f>
        <x:v>13420</x:v>
      </x:c>
      <x:c r="S3042" s="22" t="n">
        <x:f>P3042-R3042</x:f>
        <x:v>748</x:v>
      </x:c>
      <x:c r="T3042" t="str">
        <x:v>UPI</x:v>
      </x:c>
      <x:c r="U3042" t="str">
        <x:v>Paid</x:v>
      </x:c>
      <x:c r="V3042" t="str">
        <x:v>Delivered</x:v>
      </x:c>
      <x:c r="W3042" t="n">
        <x:v>0</x:v>
      </x:c>
      <x:c r="X3042" t="str"/>
      <x:c r="Y3042" t="str">
        <x:v>Field Visit</x:v>
      </x:c>
    </x:row>
    <x:row r="3043">
      <x:c r="A3043" t="str">
        <x:v>O003042</x:v>
      </x:c>
      <x:c r="B3043" s="20" t="n">
        <x:v>46054</x:v>
      </x:c>
      <x:c r="C3043" t="str">
        <x:v>C0157</x:v>
      </x:c>
      <x:c r="D3043" t="str">
        <x:v>Fresh Canteen 157</x:v>
      </x:c>
      <x:c r="E3043" t="str">
        <x:v>Kirana</x:v>
      </x:c>
      <x:c r="F3043" t="str">
        <x:v>Mangaluru</x:v>
      </x:c>
      <x:c r="G3043" t="str">
        <x:v>Priya</x:v>
      </x:c>
      <x:c r="H3043" t="str">
        <x:v>P048</x:v>
      </x:c>
      <x:c r="I3043" t="str">
        <x:v>Banana 10kg</x:v>
      </x:c>
      <x:c r="J3043" t="str">
        <x:v>Fresh Produce</x:v>
      </x:c>
      <x:c r="K3043" t="str">
        <x:v>Local Market</x:v>
      </x:c>
      <x:c r="L3043" s="22" t="n">
        <x:v>420</x:v>
      </x:c>
      <x:c r="M3043" t="n">
        <x:v>28</x:v>
      </x:c>
      <x:c r="N3043" s="24" t="n">
        <x:v>0.03</x:v>
      </x:c>
      <x:c r="O3043" s="22" t="n">
        <x:f>L3043*M3043</x:f>
        <x:v>11760</x:v>
      </x:c>
      <x:c r="P3043" s="22" t="n">
        <x:f>O3043*(1-N3043)</x:f>
        <x:v>11407.199999999999</x:v>
      </x:c>
      <x:c r="Q3043" s="22" t="n">
        <x:v>350</x:v>
      </x:c>
      <x:c r="R3043" s="22" t="n">
        <x:f>Q3043*M3043</x:f>
        <x:v>9800</x:v>
      </x:c>
      <x:c r="S3043" s="22" t="n">
        <x:f>P3043-R3043</x:f>
        <x:v>1607.199999999999</x:v>
      </x:c>
      <x:c r="T3043" t="str">
        <x:v>Cash</x:v>
      </x:c>
      <x:c r="U3043" t="str">
        <x:v>Paid</x:v>
      </x:c>
      <x:c r="V3043" t="str">
        <x:v>Delivered</x:v>
      </x:c>
      <x:c r="W3043" t="n">
        <x:v>0</x:v>
      </x:c>
      <x:c r="X3043" t="str"/>
      <x:c r="Y3043" t="str">
        <x:v>WhatsApp</x:v>
      </x:c>
    </x:row>
    <x:row r="3044">
      <x:c r="A3044" t="str">
        <x:v>O003043</x:v>
      </x:c>
      <x:c r="B3044" s="20" t="n">
        <x:v>46103</x:v>
      </x:c>
      <x:c r="C3044" t="str">
        <x:v>C0179</x:v>
      </x:c>
      <x:c r="D3044" t="str">
        <x:v>Shree Hotel 179</x:v>
      </x:c>
      <x:c r="E3044" t="str">
        <x:v>Restaurant</x:v>
      </x:c>
      <x:c r="F3044" t="str">
        <x:v>Hubballi</x:v>
      </x:c>
      <x:c r="G3044" t="str">
        <x:v>Kavya</x:v>
      </x:c>
      <x:c r="H3044" t="str">
        <x:v>P023</x:v>
      </x:c>
      <x:c r="I3044" t="str">
        <x:v>Cola 750ml</x:v>
      </x:c>
      <x:c r="J3044" t="str">
        <x:v>Beverage</x:v>
      </x:c>
      <x:c r="K3044" t="str">
        <x:v>Coca-Cola</x:v>
      </x:c>
      <x:c r="L3044" s="22" t="n">
        <x:v>38</x:v>
      </x:c>
      <x:c r="M3044" t="n">
        <x:v>9</x:v>
      </x:c>
      <x:c r="N3044" s="24" t="n">
        <x:v>0.03</x:v>
      </x:c>
      <x:c r="O3044" s="22" t="n">
        <x:f>L3044*M3044</x:f>
        <x:v>342</x:v>
      </x:c>
      <x:c r="P3044" s="22" t="n">
        <x:f>O3044*(1-N3044)</x:f>
        <x:v>331.74</x:v>
      </x:c>
      <x:c r="Q3044" s="22" t="n">
        <x:v>31</x:v>
      </x:c>
      <x:c r="R3044" s="22" t="n">
        <x:f>Q3044*M3044</x:f>
        <x:v>279</x:v>
      </x:c>
      <x:c r="S3044" s="22" t="n">
        <x:f>P3044-R3044</x:f>
        <x:v>52.74000000000001</x:v>
      </x:c>
      <x:c r="T3044" t="str">
        <x:v>Bank Transfer</x:v>
      </x:c>
      <x:c r="U3044" t="str">
        <x:v>Paid</x:v>
      </x:c>
      <x:c r="V3044" t="str">
        <x:v>Delivered</x:v>
      </x:c>
      <x:c r="W3044" t="n">
        <x:v>0</x:v>
      </x:c>
      <x:c r="X3044" t="str"/>
      <x:c r="Y3044" t="str">
        <x:v>Outbound Call</x:v>
      </x:c>
    </x:row>
    <x:row r="3045">
      <x:c r="A3045" t="str">
        <x:v>O003044</x:v>
      </x:c>
      <x:c r="B3045" s="20" t="n">
        <x:v>45935</x:v>
      </x:c>
      <x:c r="C3045" t="str">
        <x:v>C0115</x:v>
      </x:c>
      <x:c r="D3045" t="str">
        <x:v>Mysore Mart 115</x:v>
      </x:c>
      <x:c r="E3045" t="str">
        <x:v>Kirana</x:v>
      </x:c>
      <x:c r="F3045" t="str">
        <x:v>Mangaluru</x:v>
      </x:c>
      <x:c r="G3045" t="str">
        <x:v>Arjun</x:v>
      </x:c>
      <x:c r="H3045" t="str">
        <x:v>P014</x:v>
      </x:c>
      <x:c r="I3045" t="str">
        <x:v>Rava 5kg</x:v>
      </x:c>
      <x:c r="J3045" t="str">
        <x:v>Flour</x:v>
      </x:c>
      <x:c r="K3045" t="str">
        <x:v>Local Select</x:v>
      </x:c>
      <x:c r="L3045" s="22" t="n">
        <x:v>245</x:v>
      </x:c>
      <x:c r="M3045" t="n">
        <x:v>20</x:v>
      </x:c>
      <x:c r="N3045" s="24" t="n">
        <x:v>0.03</x:v>
      </x:c>
      <x:c r="O3045" s="22" t="n">
        <x:f>L3045*M3045</x:f>
        <x:v>4900</x:v>
      </x:c>
      <x:c r="P3045" s="22" t="n">
        <x:f>O3045*(1-N3045)</x:f>
        <x:v>4753</x:v>
      </x:c>
      <x:c r="Q3045" s="22" t="n">
        <x:v>215</x:v>
      </x:c>
      <x:c r="R3045" s="22" t="n">
        <x:f>Q3045*M3045</x:f>
        <x:v>4300</x:v>
      </x:c>
      <x:c r="S3045" s="22" t="n">
        <x:f>P3045-R3045</x:f>
        <x:v>453</x:v>
      </x:c>
      <x:c r="T3045" t="str">
        <x:v>Cash</x:v>
      </x:c>
      <x:c r="U3045" t="str">
        <x:v>Paid</x:v>
      </x:c>
      <x:c r="V3045" t="str">
        <x:v>Delivered</x:v>
      </x:c>
      <x:c r="W3045" t="n">
        <x:v>0</x:v>
      </x:c>
      <x:c r="X3045" t="str"/>
      <x:c r="Y3045" t="str">
        <x:v>Referral</x:v>
      </x:c>
    </x:row>
    <x:row r="3046">
      <x:c r="A3046" t="str">
        <x:v>O003045</x:v>
      </x:c>
      <x:c r="B3046" s="20" t="n">
        <x:v>45875</x:v>
      </x:c>
      <x:c r="C3046" t="str">
        <x:v>C0031</x:v>
      </x:c>
      <x:c r="D3046" t="str">
        <x:v>Royal Restaurant 31</x:v>
      </x:c>
      <x:c r="E3046" t="str">
        <x:v>Restaurant</x:v>
      </x:c>
      <x:c r="F3046" t="str">
        <x:v>Mangaluru</x:v>
      </x:c>
      <x:c r="G3046" t="str">
        <x:v>Arjun</x:v>
      </x:c>
      <x:c r="H3046" t="str">
        <x:v>P027</x:v>
      </x:c>
      <x:c r="I3046" t="str">
        <x:v>Biscuits 120g</x:v>
      </x:c>
      <x:c r="J3046" t="str">
        <x:v>Snacks</x:v>
      </x:c>
      <x:c r="K3046" t="str">
        <x:v>Parle-G</x:v>
      </x:c>
      <x:c r="L3046" s="22" t="n">
        <x:v>12</x:v>
      </x:c>
      <x:c r="M3046" t="n">
        <x:v>36</x:v>
      </x:c>
      <x:c r="N3046" s="24" t="n">
        <x:v>0</x:v>
      </x:c>
      <x:c r="O3046" s="22" t="n">
        <x:f>L3046*M3046</x:f>
        <x:v>432</x:v>
      </x:c>
      <x:c r="P3046" s="22" t="n">
        <x:f>O3046*(1-N3046)</x:f>
        <x:v>432</x:v>
      </x:c>
      <x:c r="Q3046" s="22" t="n">
        <x:v>9</x:v>
      </x:c>
      <x:c r="R3046" s="22" t="n">
        <x:f>Q3046*M3046</x:f>
        <x:v>324</x:v>
      </x:c>
      <x:c r="S3046" s="22" t="n">
        <x:f>P3046-R3046</x:f>
        <x:v>108</x:v>
      </x:c>
      <x:c r="T3046" t="str">
        <x:v>Bank Transfer</x:v>
      </x:c>
      <x:c r="U3046" t="str">
        <x:v>Paid</x:v>
      </x:c>
      <x:c r="V3046" t="str">
        <x:v>Cancelled</x:v>
      </x:c>
      <x:c r="W3046" t="n">
        <x:v>36</x:v>
      </x:c>
      <x:c r="X3046" t="str">
        <x:v>Cancelled Order</x:v>
      </x:c>
      <x:c r="Y3046" t="str">
        <x:v>Existing Customer</x:v>
      </x:c>
    </x:row>
    <x:row r="3047">
      <x:c r="A3047" t="str">
        <x:v>O003046</x:v>
      </x:c>
      <x:c r="B3047" s="20" t="n">
        <x:v>45705</x:v>
      </x:c>
      <x:c r="C3047" t="str">
        <x:v>C0184</x:v>
      </x:c>
      <x:c r="D3047" t="str">
        <x:v>Namma Restaurant 184</x:v>
      </x:c>
      <x:c r="E3047" t="str">
        <x:v>Cafe</x:v>
      </x:c>
      <x:c r="F3047" t="str">
        <x:v>Hubballi</x:v>
      </x:c>
      <x:c r="G3047" t="str">
        <x:v>Arjun</x:v>
      </x:c>
      <x:c r="H3047" t="str">
        <x:v>P006</x:v>
      </x:c>
      <x:c r="I3047" t="str">
        <x:v>Moong Dal 5kg</x:v>
      </x:c>
      <x:c r="J3047" t="str">
        <x:v>Pulses</x:v>
      </x:c>
      <x:c r="K3047" t="str">
        <x:v>Local Select</x:v>
      </x:c>
      <x:c r="L3047" s="22" t="n">
        <x:v>610</x:v>
      </x:c>
      <x:c r="M3047" t="n">
        <x:v>4</x:v>
      </x:c>
      <x:c r="N3047" s="24" t="n">
        <x:v>0</x:v>
      </x:c>
      <x:c r="O3047" s="22" t="n">
        <x:f>L3047*M3047</x:f>
        <x:v>2440</x:v>
      </x:c>
      <x:c r="P3047" s="22" t="n">
        <x:f>O3047*(1-N3047)</x:f>
        <x:v>2440</x:v>
      </x:c>
      <x:c r="Q3047" s="22" t="n">
        <x:v>540</x:v>
      </x:c>
      <x:c r="R3047" s="22" t="n">
        <x:f>Q3047*M3047</x:f>
        <x:v>2160</x:v>
      </x:c>
      <x:c r="S3047" s="22" t="n">
        <x:f>P3047-R3047</x:f>
        <x:v>280</x:v>
      </x:c>
      <x:c r="T3047" t="str">
        <x:v>UPI</x:v>
      </x:c>
      <x:c r="U3047" t="str">
        <x:v>Paid</x:v>
      </x:c>
      <x:c r="V3047" t="str">
        <x:v>Delivered</x:v>
      </x:c>
      <x:c r="W3047" t="n">
        <x:v>0</x:v>
      </x:c>
      <x:c r="X3047" t="str"/>
      <x:c r="Y3047" t="str">
        <x:v>Existing Customer</x:v>
      </x:c>
    </x:row>
    <x:row r="3048">
      <x:c r="A3048" t="str">
        <x:v>O003047</x:v>
      </x:c>
      <x:c r="B3048" s="20" t="n">
        <x:v>46117</x:v>
      </x:c>
      <x:c r="C3048" t="str">
        <x:v>C0168</x:v>
      </x:c>
      <x:c r="D3048" t="str">
        <x:v>Sagar Hotel 168</x:v>
      </x:c>
      <x:c r="E3048" t="str">
        <x:v>Canteen</x:v>
      </x:c>
      <x:c r="F3048" t="str">
        <x:v>Bengaluru</x:v>
      </x:c>
      <x:c r="G3048" t="str">
        <x:v>Priya</x:v>
      </x:c>
      <x:c r="H3048" t="str">
        <x:v>P022</x:v>
      </x:c>
      <x:c r="I3048" t="str">
        <x:v>Mineral Water 1L</x:v>
      </x:c>
      <x:c r="J3048" t="str">
        <x:v>Beverage</x:v>
      </x:c>
      <x:c r="K3048" t="str">
        <x:v>Bisleri</x:v>
      </x:c>
      <x:c r="L3048" s="22" t="n">
        <x:v>19</x:v>
      </x:c>
      <x:c r="M3048" t="n">
        <x:v>26</x:v>
      </x:c>
      <x:c r="N3048" s="24" t="n">
        <x:v>0.1</x:v>
      </x:c>
      <x:c r="O3048" s="22" t="n">
        <x:f>L3048*M3048</x:f>
        <x:v>494</x:v>
      </x:c>
      <x:c r="P3048" s="22" t="n">
        <x:f>O3048*(1-N3048)</x:f>
        <x:v>444.6</x:v>
      </x:c>
      <x:c r="Q3048" s="22" t="n">
        <x:v>15</x:v>
      </x:c>
      <x:c r="R3048" s="22" t="n">
        <x:f>Q3048*M3048</x:f>
        <x:v>390</x:v>
      </x:c>
      <x:c r="S3048" s="22" t="n">
        <x:f>P3048-R3048</x:f>
        <x:v>54.60000000000002</x:v>
      </x:c>
      <x:c r="T3048" t="str">
        <x:v>Bank Transfer</x:v>
      </x:c>
      <x:c r="U3048" t="str">
        <x:v>Paid</x:v>
      </x:c>
      <x:c r="V3048" t="str">
        <x:v>Delivered</x:v>
      </x:c>
      <x:c r="W3048" t="n">
        <x:v>0</x:v>
      </x:c>
      <x:c r="X3048" t="str"/>
      <x:c r="Y3048" t="str">
        <x:v>Existing Customer</x:v>
      </x:c>
    </x:row>
    <x:row r="3049">
      <x:c r="A3049" t="str">
        <x:v>O003048</x:v>
      </x:c>
      <x:c r="B3049" s="20" t="n">
        <x:v>45953</x:v>
      </x:c>
      <x:c r="C3049" t="str">
        <x:v>C0073</x:v>
      </x:c>
      <x:c r="D3049" t="str">
        <x:v>Annapurna Stores 73</x:v>
      </x:c>
      <x:c r="E3049" t="str">
        <x:v>Restaurant</x:v>
      </x:c>
      <x:c r="F3049" t="str">
        <x:v>Davanagere</x:v>
      </x:c>
      <x:c r="G3049" t="str">
        <x:v>Kavya</x:v>
      </x:c>
      <x:c r="H3049" t="str">
        <x:v>P006</x:v>
      </x:c>
      <x:c r="I3049" t="str">
        <x:v>Moong Dal 5kg</x:v>
      </x:c>
      <x:c r="J3049" t="str">
        <x:v>Pulses</x:v>
      </x:c>
      <x:c r="K3049" t="str">
        <x:v>Local Select</x:v>
      </x:c>
      <x:c r="L3049" s="22" t="n">
        <x:v>610</x:v>
      </x:c>
      <x:c r="M3049" t="n">
        <x:v>12</x:v>
      </x:c>
      <x:c r="N3049" s="24" t="n">
        <x:v>0.05</x:v>
      </x:c>
      <x:c r="O3049" s="22" t="n">
        <x:f>L3049*M3049</x:f>
        <x:v>7320</x:v>
      </x:c>
      <x:c r="P3049" s="22" t="n">
        <x:f>O3049*(1-N3049)</x:f>
        <x:v>6954</x:v>
      </x:c>
      <x:c r="Q3049" s="22" t="n">
        <x:v>540</x:v>
      </x:c>
      <x:c r="R3049" s="22" t="n">
        <x:f>Q3049*M3049</x:f>
        <x:v>6480</x:v>
      </x:c>
      <x:c r="S3049" s="22" t="n">
        <x:f>P3049-R3049</x:f>
        <x:v>474</x:v>
      </x:c>
      <x:c r="T3049" t="str">
        <x:v>Bank Transfer</x:v>
      </x:c>
      <x:c r="U3049" t="str">
        <x:v>Paid</x:v>
      </x:c>
      <x:c r="V3049" t="str">
        <x:v>Delivered</x:v>
      </x:c>
      <x:c r="W3049" t="n">
        <x:v>0</x:v>
      </x:c>
      <x:c r="X3049" t="str"/>
      <x:c r="Y3049" t="str">
        <x:v>Existing Customer</x:v>
      </x:c>
    </x:row>
    <x:row r="3050">
      <x:c r="A3050" t="str">
        <x:v>O003049</x:v>
      </x:c>
      <x:c r="B3050" s="20" t="n">
        <x:v>45831</x:v>
      </x:c>
      <x:c r="C3050" t="str">
        <x:v>C0055</x:v>
      </x:c>
      <x:c r="D3050" t="str">
        <x:v>Royal Mart 55</x:v>
      </x:c>
      <x:c r="E3050" t="str">
        <x:v>Restaurant</x:v>
      </x:c>
      <x:c r="F3050" t="str">
        <x:v>Hubballi</x:v>
      </x:c>
      <x:c r="G3050" t="str">
        <x:v>Vikram</x:v>
      </x:c>
      <x:c r="H3050" t="str">
        <x:v>P031</x:v>
      </x:c>
      <x:c r="I3050" t="str">
        <x:v>Chilli Sauce 700g</x:v>
      </x:c>
      <x:c r="J3050" t="str">
        <x:v>Condiments</x:v>
      </x:c>
      <x:c r="K3050" t="str">
        <x:v>Ching's</x:v>
      </x:c>
      <x:c r="L3050" s="22" t="n">
        <x:v>130</x:v>
      </x:c>
      <x:c r="M3050" t="n">
        <x:v>35</x:v>
      </x:c>
      <x:c r="N3050" s="24" t="n">
        <x:v>0.05</x:v>
      </x:c>
      <x:c r="O3050" s="22" t="n">
        <x:f>L3050*M3050</x:f>
        <x:v>4550</x:v>
      </x:c>
      <x:c r="P3050" s="22" t="n">
        <x:f>O3050*(1-N3050)</x:f>
        <x:v>4322.5</x:v>
      </x:c>
      <x:c r="Q3050" s="22" t="n">
        <x:v>112</x:v>
      </x:c>
      <x:c r="R3050" s="22" t="n">
        <x:f>Q3050*M3050</x:f>
        <x:v>3920</x:v>
      </x:c>
      <x:c r="S3050" s="22" t="n">
        <x:f>P3050-R3050</x:f>
        <x:v>402.5</x:v>
      </x:c>
      <x:c r="T3050" t="str">
        <x:v>Cash</x:v>
      </x:c>
      <x:c r="U3050" t="str">
        <x:v>Pending</x:v>
      </x:c>
      <x:c r="V3050" t="str">
        <x:v>Cancelled</x:v>
      </x:c>
      <x:c r="W3050" t="n">
        <x:v>35</x:v>
      </x:c>
      <x:c r="X3050" t="str">
        <x:v>Cancelled Order</x:v>
      </x:c>
      <x:c r="Y3050" t="str">
        <x:v>WhatsApp</x:v>
      </x:c>
    </x:row>
    <x:row r="3051">
      <x:c r="A3051" t="str">
        <x:v>O003050</x:v>
      </x:c>
      <x:c r="B3051" s="20" t="n">
        <x:v>45871</x:v>
      </x:c>
      <x:c r="C3051" t="str">
        <x:v>C0143</x:v>
      </x:c>
      <x:c r="D3051" t="str">
        <x:v>Foodie Restaurant 143</x:v>
      </x:c>
      <x:c r="E3051" t="str">
        <x:v>Restaurant</x:v>
      </x:c>
      <x:c r="F3051" t="str">
        <x:v>Hubballi</x:v>
      </x:c>
      <x:c r="G3051" t="str">
        <x:v>Priya</x:v>
      </x:c>
      <x:c r="H3051" t="str">
        <x:v>P008</x:v>
      </x:c>
      <x:c r="I3051" t="str">
        <x:v>Palm Oil 15L</x:v>
      </x:c>
      <x:c r="J3051" t="str">
        <x:v>Edible Oil</x:v>
      </x:c>
      <x:c r="K3051" t="str">
        <x:v>Ruchi Gold</x:v>
      </x:c>
      <x:c r="L3051" s="22" t="n">
        <x:v>1760</x:v>
      </x:c>
      <x:c r="M3051" t="n">
        <x:v>3</x:v>
      </x:c>
      <x:c r="N3051" s="24" t="n">
        <x:v>0.03</x:v>
      </x:c>
      <x:c r="O3051" s="22" t="n">
        <x:f>L3051*M3051</x:f>
        <x:v>5280</x:v>
      </x:c>
      <x:c r="P3051" s="22" t="n">
        <x:f>O3051*(1-N3051)</x:f>
        <x:v>5121.599999999999</x:v>
      </x:c>
      <x:c r="Q3051" s="22" t="n">
        <x:v>1610</x:v>
      </x:c>
      <x:c r="R3051" s="22" t="n">
        <x:f>Q3051*M3051</x:f>
        <x:v>4830</x:v>
      </x:c>
      <x:c r="S3051" s="22" t="n">
        <x:f>P3051-R3051</x:f>
        <x:v>291.59999999999945</x:v>
      </x:c>
      <x:c r="T3051" t="str">
        <x:v>Cash</x:v>
      </x:c>
      <x:c r="U3051" t="str">
        <x:v>Paid</x:v>
      </x:c>
      <x:c r="V3051" t="str">
        <x:v>Cancelled</x:v>
      </x:c>
      <x:c r="W3051" t="n">
        <x:v>3</x:v>
      </x:c>
      <x:c r="X3051" t="str">
        <x:v>Cancelled Order</x:v>
      </x:c>
      <x:c r="Y3051" t="str">
        <x:v>WhatsApp</x:v>
      </x:c>
    </x:row>
    <x:row r="3052">
      <x:c r="A3052" t="str">
        <x:v>O003051</x:v>
      </x:c>
      <x:c r="B3052" s="20" t="n">
        <x:v>45742</x:v>
      </x:c>
      <x:c r="C3052" t="str">
        <x:v>C0121</x:v>
      </x:c>
      <x:c r="D3052" t="str">
        <x:v>Mysore Restaurant 121</x:v>
      </x:c>
      <x:c r="E3052" t="str">
        <x:v>Cafe</x:v>
      </x:c>
      <x:c r="F3052" t="str">
        <x:v>Mysuru</x:v>
      </x:c>
      <x:c r="G3052" t="str">
        <x:v>Sneha</x:v>
      </x:c>
      <x:c r="H3052" t="str">
        <x:v>P007</x:v>
      </x:c>
      <x:c r="I3052" t="str">
        <x:v>Sunflower Oil 15L</x:v>
      </x:c>
      <x:c r="J3052" t="str">
        <x:v>Edible Oil</x:v>
      </x:c>
      <x:c r="K3052" t="str">
        <x:v>Fortune</x:v>
      </x:c>
      <x:c r="L3052" s="22" t="n">
        <x:v>1980</x:v>
      </x:c>
      <x:c r="M3052" t="n">
        <x:v>9</x:v>
      </x:c>
      <x:c r="N3052" s="24" t="n">
        <x:v>0.03</x:v>
      </x:c>
      <x:c r="O3052" s="22" t="n">
        <x:f>L3052*M3052</x:f>
        <x:v>17820</x:v>
      </x:c>
      <x:c r="P3052" s="22" t="n">
        <x:f>O3052*(1-N3052)</x:f>
        <x:v>17285.399999999998</x:v>
      </x:c>
      <x:c r="Q3052" s="22" t="n">
        <x:v>1810</x:v>
      </x:c>
      <x:c r="R3052" s="22" t="n">
        <x:f>Q3052*M3052</x:f>
        <x:v>16290</x:v>
      </x:c>
      <x:c r="S3052" s="22" t="n">
        <x:f>P3052-R3052</x:f>
        <x:v>995.3999999999978</x:v>
      </x:c>
      <x:c r="T3052" t="str">
        <x:v>UPI</x:v>
      </x:c>
      <x:c r="U3052" t="str">
        <x:v>Pending</x:v>
      </x:c>
      <x:c r="V3052" t="str">
        <x:v>Delivered</x:v>
      </x:c>
      <x:c r="W3052" t="n">
        <x:v>0</x:v>
      </x:c>
      <x:c r="X3052" t="str"/>
      <x:c r="Y3052" t="str">
        <x:v>Existing Customer</x:v>
      </x:c>
    </x:row>
    <x:row r="3053">
      <x:c r="A3053" t="str">
        <x:v>O003052</x:v>
      </x:c>
      <x:c r="B3053" s="20" t="n">
        <x:v>45660</x:v>
      </x:c>
      <x:c r="C3053" t="str">
        <x:v>C0072</x:v>
      </x:c>
      <x:c r="D3053" t="str">
        <x:v>Grand Restaurant 72</x:v>
      </x:c>
      <x:c r="E3053" t="str">
        <x:v>Restaurant</x:v>
      </x:c>
      <x:c r="F3053" t="str">
        <x:v>Davanagere</x:v>
      </x:c>
      <x:c r="G3053" t="str">
        <x:v>Kavya</x:v>
      </x:c>
      <x:c r="H3053" t="str">
        <x:v>P005</x:v>
      </x:c>
      <x:c r="I3053" t="str">
        <x:v>Chana Dal 5kg</x:v>
      </x:c>
      <x:c r="J3053" t="str">
        <x:v>Pulses</x:v>
      </x:c>
      <x:c r="K3053" t="str">
        <x:v>Local Select</x:v>
      </x:c>
      <x:c r="L3053" s="22" t="n">
        <x:v>520</x:v>
      </x:c>
      <x:c r="M3053" t="n">
        <x:v>32</x:v>
      </x:c>
      <x:c r="N3053" s="24" t="n">
        <x:v>0.05</x:v>
      </x:c>
      <x:c r="O3053" s="22" t="n">
        <x:f>L3053*M3053</x:f>
        <x:v>16640</x:v>
      </x:c>
      <x:c r="P3053" s="22" t="n">
        <x:f>O3053*(1-N3053)</x:f>
        <x:v>15808</x:v>
      </x:c>
      <x:c r="Q3053" s="22" t="n">
        <x:v>455</x:v>
      </x:c>
      <x:c r="R3053" s="22" t="n">
        <x:f>Q3053*M3053</x:f>
        <x:v>14560</x:v>
      </x:c>
      <x:c r="S3053" s="22" t="n">
        <x:f>P3053-R3053</x:f>
        <x:v>1248</x:v>
      </x:c>
      <x:c r="T3053" t="str">
        <x:v>UPI</x:v>
      </x:c>
      <x:c r="U3053" t="str">
        <x:v>Paid</x:v>
      </x:c>
      <x:c r="V3053" t="str">
        <x:v>Delivered</x:v>
      </x:c>
      <x:c r="W3053" t="n">
        <x:v>0</x:v>
      </x:c>
      <x:c r="X3053" t="str"/>
      <x:c r="Y3053" t="str">
        <x:v>Field Visit</x:v>
      </x:c>
    </x:row>
    <x:row r="3054">
      <x:c r="A3054" t="str">
        <x:v>O003053</x:v>
      </x:c>
      <x:c r="B3054" s="20" t="n">
        <x:v>46048</x:v>
      </x:c>
      <x:c r="C3054" t="str">
        <x:v>C0066</x:v>
      </x:c>
      <x:c r="D3054" t="str">
        <x:v>Hotel Hotel 66</x:v>
      </x:c>
      <x:c r="E3054" t="str">
        <x:v>Restaurant</x:v>
      </x:c>
      <x:c r="F3054" t="str">
        <x:v>Davanagere</x:v>
      </x:c>
      <x:c r="G3054" t="str">
        <x:v>Megha</x:v>
      </x:c>
      <x:c r="H3054" t="str">
        <x:v>P017</x:v>
      </x:c>
      <x:c r="I3054" t="str">
        <x:v>Butter 500g</x:v>
      </x:c>
      <x:c r="J3054" t="str">
        <x:v>Dairy</x:v>
      </x:c>
      <x:c r="K3054" t="str">
        <x:v>Amul</x:v>
      </x:c>
      <x:c r="L3054" s="22" t="n">
        <x:v>285</x:v>
      </x:c>
      <x:c r="M3054" t="n">
        <x:v>6</x:v>
      </x:c>
      <x:c r="N3054" s="24" t="n">
        <x:v>0.1</x:v>
      </x:c>
      <x:c r="O3054" s="22" t="n">
        <x:f>L3054*M3054</x:f>
        <x:v>1710</x:v>
      </x:c>
      <x:c r="P3054" s="22" t="n">
        <x:f>O3054*(1-N3054)</x:f>
        <x:v>1539</x:v>
      </x:c>
      <x:c r="Q3054" s="22" t="n">
        <x:v>258</x:v>
      </x:c>
      <x:c r="R3054" s="22" t="n">
        <x:f>Q3054*M3054</x:f>
        <x:v>1548</x:v>
      </x:c>
      <x:c r="S3054" s="22" t="n">
        <x:f>P3054-R3054</x:f>
        <x:v>-9</x:v>
      </x:c>
      <x:c r="T3054" t="str">
        <x:v>Bank Transfer</x:v>
      </x:c>
      <x:c r="U3054" t="str">
        <x:v>Paid</x:v>
      </x:c>
      <x:c r="V3054" t="str">
        <x:v>Delayed</x:v>
      </x:c>
      <x:c r="W3054" t="n">
        <x:v>0</x:v>
      </x:c>
      <x:c r="X3054" t="str"/>
      <x:c r="Y3054" t="str">
        <x:v>WhatsApp</x:v>
      </x:c>
    </x:row>
    <x:row r="3055">
      <x:c r="A3055" t="str">
        <x:v>O003054</x:v>
      </x:c>
      <x:c r="B3055" s="20" t="n">
        <x:v>45967</x:v>
      </x:c>
      <x:c r="C3055" t="str">
        <x:v>C0078</x:v>
      </x:c>
      <x:c r="D3055" t="str">
        <x:v>Sagar Canteen 78</x:v>
      </x:c>
      <x:c r="E3055" t="str">
        <x:v>Hotel</x:v>
      </x:c>
      <x:c r="F3055" t="str">
        <x:v>Mangaluru</x:v>
      </x:c>
      <x:c r="G3055" t="str">
        <x:v>Ramesh</x:v>
      </x:c>
      <x:c r="H3055" t="str">
        <x:v>P012</x:v>
      </x:c>
      <x:c r="I3055" t="str">
        <x:v>Maida 10kg</x:v>
      </x:c>
      <x:c r="J3055" t="str">
        <x:v>Flour</x:v>
      </x:c>
      <x:c r="K3055" t="str">
        <x:v>Aashirvaad</x:v>
      </x:c>
      <x:c r="L3055" s="22" t="n">
        <x:v>520</x:v>
      </x:c>
      <x:c r="M3055" t="n">
        <x:v>32</x:v>
      </x:c>
      <x:c r="N3055" s="24" t="n">
        <x:v>0</x:v>
      </x:c>
      <x:c r="O3055" s="22" t="n">
        <x:f>L3055*M3055</x:f>
        <x:v>16640</x:v>
      </x:c>
      <x:c r="P3055" s="22" t="n">
        <x:f>O3055*(1-N3055)</x:f>
        <x:v>16640</x:v>
      </x:c>
      <x:c r="Q3055" s="22" t="n">
        <x:v>460</x:v>
      </x:c>
      <x:c r="R3055" s="22" t="n">
        <x:f>Q3055*M3055</x:f>
        <x:v>14720</x:v>
      </x:c>
      <x:c r="S3055" s="22" t="n">
        <x:f>P3055-R3055</x:f>
        <x:v>1920</x:v>
      </x:c>
      <x:c r="T3055" t="str">
        <x:v>Cash</x:v>
      </x:c>
      <x:c r="U3055" t="str">
        <x:v>Overdue</x:v>
      </x:c>
      <x:c r="V3055" t="str">
        <x:v>Delivered</x:v>
      </x:c>
      <x:c r="W3055" t="n">
        <x:v>0</x:v>
      </x:c>
      <x:c r="X3055" t="str"/>
      <x:c r="Y3055" t="str">
        <x:v>WhatsApp</x:v>
      </x:c>
    </x:row>
    <x:row r="3056">
      <x:c r="A3056" t="str">
        <x:v>O003055</x:v>
      </x:c>
      <x:c r="B3056" s="20" t="n">
        <x:v>46165</x:v>
      </x:c>
      <x:c r="C3056" t="str">
        <x:v>C0144</x:v>
      </x:c>
      <x:c r="D3056" t="str">
        <x:v>Namma Foods 144</x:v>
      </x:c>
      <x:c r="E3056" t="str">
        <x:v>Restaurant</x:v>
      </x:c>
      <x:c r="F3056" t="str">
        <x:v>Tumakuru</x:v>
      </x:c>
      <x:c r="G3056" t="str">
        <x:v>Arjun</x:v>
      </x:c>
      <x:c r="H3056" t="str">
        <x:v>P044</x:v>
      </x:c>
      <x:c r="I3056" t="str">
        <x:v>Chicken Curry Cut 1kg</x:v>
      </x:c>
      <x:c r="J3056" t="str">
        <x:v>Protein</x:v>
      </x:c>
      <x:c r="K3056" t="str">
        <x:v>FreshToHome</x:v>
      </x:c>
      <x:c r="L3056" s="22" t="n">
        <x:v>230</x:v>
      </x:c>
      <x:c r="M3056" t="n">
        <x:v>30</x:v>
      </x:c>
      <x:c r="N3056" s="24" t="n">
        <x:v>0</x:v>
      </x:c>
      <x:c r="O3056" s="22" t="n">
        <x:f>L3056*M3056</x:f>
        <x:v>6900</x:v>
      </x:c>
      <x:c r="P3056" s="22" t="n">
        <x:f>O3056*(1-N3056)</x:f>
        <x:v>6900</x:v>
      </x:c>
      <x:c r="Q3056" s="22" t="n">
        <x:v>205</x:v>
      </x:c>
      <x:c r="R3056" s="22" t="n">
        <x:f>Q3056*M3056</x:f>
        <x:v>6150</x:v>
      </x:c>
      <x:c r="S3056" s="22" t="n">
        <x:f>P3056-R3056</x:f>
        <x:v>750</x:v>
      </x:c>
      <x:c r="T3056" t="str">
        <x:v>Credit</x:v>
      </x:c>
      <x:c r="U3056" t="str">
        <x:v>Paid</x:v>
      </x:c>
      <x:c r="V3056" t="str">
        <x:v>Delivered</x:v>
      </x:c>
      <x:c r="W3056" t="n">
        <x:v>0</x:v>
      </x:c>
      <x:c r="X3056" t="str"/>
      <x:c r="Y3056" t="str">
        <x:v>Field Visit</x:v>
      </x:c>
    </x:row>
    <x:row r="3057">
      <x:c r="A3057" t="str">
        <x:v>O003056</x:v>
      </x:c>
      <x:c r="B3057" s="20" t="n">
        <x:v>45818</x:v>
      </x:c>
      <x:c r="C3057" t="str">
        <x:v>C0086</x:v>
      </x:c>
      <x:c r="D3057" t="str">
        <x:v>Foodie Canteen 86</x:v>
      </x:c>
      <x:c r="E3057" t="str">
        <x:v>Kirana</x:v>
      </x:c>
      <x:c r="F3057" t="str">
        <x:v>Hubballi</x:v>
      </x:c>
      <x:c r="G3057" t="str">
        <x:v>Sneha</x:v>
      </x:c>
      <x:c r="H3057" t="str">
        <x:v>P007</x:v>
      </x:c>
      <x:c r="I3057" t="str">
        <x:v>Sunflower Oil 15L</x:v>
      </x:c>
      <x:c r="J3057" t="str">
        <x:v>Edible Oil</x:v>
      </x:c>
      <x:c r="K3057" t="str">
        <x:v>Fortune</x:v>
      </x:c>
      <x:c r="L3057" s="22" t="n">
        <x:v>1980</x:v>
      </x:c>
      <x:c r="M3057" t="n">
        <x:v>11</x:v>
      </x:c>
      <x:c r="N3057" s="24" t="n">
        <x:v>0.05</x:v>
      </x:c>
      <x:c r="O3057" s="22" t="n">
        <x:f>L3057*M3057</x:f>
        <x:v>21780</x:v>
      </x:c>
      <x:c r="P3057" s="22" t="n">
        <x:f>O3057*(1-N3057)</x:f>
        <x:v>20691</x:v>
      </x:c>
      <x:c r="Q3057" s="22" t="n">
        <x:v>1810</x:v>
      </x:c>
      <x:c r="R3057" s="22" t="n">
        <x:f>Q3057*M3057</x:f>
        <x:v>19910</x:v>
      </x:c>
      <x:c r="S3057" s="22" t="n">
        <x:f>P3057-R3057</x:f>
        <x:v>781</x:v>
      </x:c>
      <x:c r="T3057" t="str">
        <x:v>UPI</x:v>
      </x:c>
      <x:c r="U3057" t="str">
        <x:v>Paid</x:v>
      </x:c>
      <x:c r="V3057" t="str">
        <x:v>Delivered</x:v>
      </x:c>
      <x:c r="W3057" t="n">
        <x:v>0</x:v>
      </x:c>
      <x:c r="X3057" t="str"/>
      <x:c r="Y3057" t="str">
        <x:v>WhatsApp</x:v>
      </x:c>
    </x:row>
    <x:row r="3058">
      <x:c r="A3058" t="str">
        <x:v>O003057</x:v>
      </x:c>
      <x:c r="B3058" s="20" t="n">
        <x:v>45719</x:v>
      </x:c>
      <x:c r="C3058" t="str">
        <x:v>C0249</x:v>
      </x:c>
      <x:c r="D3058" t="str">
        <x:v>City Hotel 249</x:v>
      </x:c>
      <x:c r="E3058" t="str">
        <x:v>Supermarket</x:v>
      </x:c>
      <x:c r="F3058" t="str">
        <x:v>Mysuru</x:v>
      </x:c>
      <x:c r="G3058" t="str">
        <x:v>Arjun</x:v>
      </x:c>
      <x:c r="H3058" t="str">
        <x:v>P038</x:v>
      </x:c>
      <x:c r="I3058" t="str">
        <x:v>French Fries 2.5kg</x:v>
      </x:c>
      <x:c r="J3058" t="str">
        <x:v>Frozen</x:v>
      </x:c>
      <x:c r="K3058" t="str">
        <x:v>McCain</x:v>
      </x:c>
      <x:c r="L3058" s="22" t="n">
        <x:v>360</x:v>
      </x:c>
      <x:c r="M3058" t="n">
        <x:v>40</x:v>
      </x:c>
      <x:c r="N3058" s="24" t="n">
        <x:v>0.03</x:v>
      </x:c>
      <x:c r="O3058" s="22" t="n">
        <x:f>L3058*M3058</x:f>
        <x:v>14400</x:v>
      </x:c>
      <x:c r="P3058" s="22" t="n">
        <x:f>O3058*(1-N3058)</x:f>
        <x:v>13968</x:v>
      </x:c>
      <x:c r="Q3058" s="22" t="n">
        <x:v>315</x:v>
      </x:c>
      <x:c r="R3058" s="22" t="n">
        <x:f>Q3058*M3058</x:f>
        <x:v>12600</x:v>
      </x:c>
      <x:c r="S3058" s="22" t="n">
        <x:f>P3058-R3058</x:f>
        <x:v>1368</x:v>
      </x:c>
      <x:c r="T3058" t="str">
        <x:v>Credit</x:v>
      </x:c>
      <x:c r="U3058" t="str">
        <x:v>Paid</x:v>
      </x:c>
      <x:c r="V3058" t="str">
        <x:v>Delivered</x:v>
      </x:c>
      <x:c r="W3058" t="n">
        <x:v>0</x:v>
      </x:c>
      <x:c r="X3058" t="str"/>
      <x:c r="Y3058" t="str">
        <x:v>WhatsApp</x:v>
      </x:c>
    </x:row>
    <x:row r="3059">
      <x:c r="A3059" t="str">
        <x:v>O003058</x:v>
      </x:c>
      <x:c r="B3059" s="20" t="n">
        <x:v>46220</x:v>
      </x:c>
      <x:c r="C3059" t="str">
        <x:v>C0185</x:v>
      </x:c>
      <x:c r="D3059" t="str">
        <x:v>Mysore Foods 185</x:v>
      </x:c>
      <x:c r="E3059" t="str">
        <x:v>Restaurant</x:v>
      </x:c>
      <x:c r="F3059" t="str">
        <x:v>Mysuru</x:v>
      </x:c>
      <x:c r="G3059" t="str">
        <x:v>Sneha</x:v>
      </x:c>
      <x:c r="H3059" t="str">
        <x:v>P014</x:v>
      </x:c>
      <x:c r="I3059" t="str">
        <x:v>Rava 5kg</x:v>
      </x:c>
      <x:c r="J3059" t="str">
        <x:v>Flour</x:v>
      </x:c>
      <x:c r="K3059" t="str">
        <x:v>Local Select</x:v>
      </x:c>
      <x:c r="L3059" s="22" t="n">
        <x:v>245</x:v>
      </x:c>
      <x:c r="M3059" t="n">
        <x:v>14</x:v>
      </x:c>
      <x:c r="N3059" s="24" t="n">
        <x:v>0.05</x:v>
      </x:c>
      <x:c r="O3059" s="22" t="n">
        <x:f>L3059*M3059</x:f>
        <x:v>3430</x:v>
      </x:c>
      <x:c r="P3059" s="22" t="n">
        <x:f>O3059*(1-N3059)</x:f>
        <x:v>3258.5</x:v>
      </x:c>
      <x:c r="Q3059" s="22" t="n">
        <x:v>215</x:v>
      </x:c>
      <x:c r="R3059" s="22" t="n">
        <x:f>Q3059*M3059</x:f>
        <x:v>3010</x:v>
      </x:c>
      <x:c r="S3059" s="22" t="n">
        <x:f>P3059-R3059</x:f>
        <x:v>248.5</x:v>
      </x:c>
      <x:c r="T3059" t="str">
        <x:v>Cash</x:v>
      </x:c>
      <x:c r="U3059" t="str">
        <x:v>Paid</x:v>
      </x:c>
      <x:c r="V3059" t="str">
        <x:v>Delivered</x:v>
      </x:c>
      <x:c r="W3059" t="n">
        <x:v>0</x:v>
      </x:c>
      <x:c r="X3059" t="str"/>
      <x:c r="Y3059" t="str">
        <x:v>Existing Customer</x:v>
      </x:c>
    </x:row>
    <x:row r="3060">
      <x:c r="A3060" t="str">
        <x:v>O003059</x:v>
      </x:c>
      <x:c r="B3060" s="20" t="n">
        <x:v>45659</x:v>
      </x:c>
      <x:c r="C3060" t="str">
        <x:v>C0028</x:v>
      </x:c>
      <x:c r="D3060" t="str">
        <x:v>Spice Cafe 28</x:v>
      </x:c>
      <x:c r="E3060" t="str">
        <x:v>Supermarket</x:v>
      </x:c>
      <x:c r="F3060" t="str">
        <x:v>Mysuru</x:v>
      </x:c>
      <x:c r="G3060" t="str">
        <x:v>Vikram</x:v>
      </x:c>
      <x:c r="H3060" t="str">
        <x:v>P050</x:v>
      </x:c>
      <x:c r="I3060" t="str">
        <x:v>Lemon 5kg</x:v>
      </x:c>
      <x:c r="J3060" t="str">
        <x:v>Fresh Produce</x:v>
      </x:c>
      <x:c r="K3060" t="str">
        <x:v>Local Market</x:v>
      </x:c>
      <x:c r="L3060" s="22" t="n">
        <x:v>360</x:v>
      </x:c>
      <x:c r="M3060" t="n">
        <x:v>1</x:v>
      </x:c>
      <x:c r="N3060" s="24" t="n">
        <x:v>0</x:v>
      </x:c>
      <x:c r="O3060" s="22" t="n">
        <x:f>L3060*M3060</x:f>
        <x:v>360</x:v>
      </x:c>
      <x:c r="P3060" s="22" t="n">
        <x:f>O3060*(1-N3060)</x:f>
        <x:v>360</x:v>
      </x:c>
      <x:c r="Q3060" s="22" t="n">
        <x:v>300</x:v>
      </x:c>
      <x:c r="R3060" s="22" t="n">
        <x:f>Q3060*M3060</x:f>
        <x:v>300</x:v>
      </x:c>
      <x:c r="S3060" s="22" t="n">
        <x:f>P3060-R3060</x:f>
        <x:v>60</x:v>
      </x:c>
      <x:c r="T3060" t="str">
        <x:v>Credit</x:v>
      </x:c>
      <x:c r="U3060" t="str">
        <x:v>Paid</x:v>
      </x:c>
      <x:c r="V3060" t="str">
        <x:v>Cancelled</x:v>
      </x:c>
      <x:c r="W3060" t="n">
        <x:v>1</x:v>
      </x:c>
      <x:c r="X3060" t="str">
        <x:v>Cancelled Order</x:v>
      </x:c>
      <x:c r="Y3060" t="str">
        <x:v>Existing Customer</x:v>
      </x:c>
    </x:row>
    <x:row r="3061">
      <x:c r="A3061" t="str">
        <x:v>O003060</x:v>
      </x:c>
      <x:c r="B3061" s="20" t="n">
        <x:v>45705</x:v>
      </x:c>
      <x:c r="C3061" t="str">
        <x:v>C0006</x:v>
      </x:c>
      <x:c r="D3061" t="str">
        <x:v>New Restaurant 6</x:v>
      </x:c>
      <x:c r="E3061" t="str">
        <x:v>Kirana</x:v>
      </x:c>
      <x:c r="F3061" t="str">
        <x:v>Hubballi</x:v>
      </x:c>
      <x:c r="G3061" t="str">
        <x:v>Vikram</x:v>
      </x:c>
      <x:c r="H3061" t="str">
        <x:v>P029</x:v>
      </x:c>
      <x:c r="I3061" t="str">
        <x:v>Tomato Ketchup 1kg</x:v>
      </x:c>
      <x:c r="J3061" t="str">
        <x:v>Condiments</x:v>
      </x:c>
      <x:c r="K3061" t="str">
        <x:v>Kissan</x:v>
      </x:c>
      <x:c r="L3061" s="22" t="n">
        <x:v>145</x:v>
      </x:c>
      <x:c r="M3061" t="n">
        <x:v>16</x:v>
      </x:c>
      <x:c r="N3061" s="24" t="n">
        <x:v>0.03</x:v>
      </x:c>
      <x:c r="O3061" s="22" t="n">
        <x:f>L3061*M3061</x:f>
        <x:v>2320</x:v>
      </x:c>
      <x:c r="P3061" s="22" t="n">
        <x:f>O3061*(1-N3061)</x:f>
        <x:v>2250.4</x:v>
      </x:c>
      <x:c r="Q3061" s="22" t="n">
        <x:v>126</x:v>
      </x:c>
      <x:c r="R3061" s="22" t="n">
        <x:f>Q3061*M3061</x:f>
        <x:v>2016</x:v>
      </x:c>
      <x:c r="S3061" s="22" t="n">
        <x:f>P3061-R3061</x:f>
        <x:v>234.4000000000001</x:v>
      </x:c>
      <x:c r="T3061" t="str">
        <x:v>UPI</x:v>
      </x:c>
      <x:c r="U3061" t="str">
        <x:v>Paid</x:v>
      </x:c>
      <x:c r="V3061" t="str">
        <x:v>Delayed</x:v>
      </x:c>
      <x:c r="W3061" t="n">
        <x:v>0</x:v>
      </x:c>
      <x:c r="X3061" t="str"/>
      <x:c r="Y3061" t="str">
        <x:v>WhatsApp</x:v>
      </x:c>
    </x:row>
    <x:row r="3062">
      <x:c r="A3062" t="str">
        <x:v>O003061</x:v>
      </x:c>
      <x:c r="B3062" s="20" t="n">
        <x:v>46103</x:v>
      </x:c>
      <x:c r="C3062" t="str">
        <x:v>C0181</x:v>
      </x:c>
      <x:c r="D3062" t="str">
        <x:v>Darshini Mart 181</x:v>
      </x:c>
      <x:c r="E3062" t="str">
        <x:v>Restaurant</x:v>
      </x:c>
      <x:c r="F3062" t="str">
        <x:v>Mangaluru</x:v>
      </x:c>
      <x:c r="G3062" t="str">
        <x:v>Kavya</x:v>
      </x:c>
      <x:c r="H3062" t="str">
        <x:v>P049</x:v>
      </x:c>
      <x:c r="I3062" t="str">
        <x:v>Apple 10kg</x:v>
      </x:c>
      <x:c r="J3062" t="str">
        <x:v>Fresh Produce</x:v>
      </x:c>
      <x:c r="K3062" t="str">
        <x:v>Local Market</x:v>
      </x:c>
      <x:c r="L3062" s="22" t="n">
        <x:v>1450</x:v>
      </x:c>
      <x:c r="M3062" t="n">
        <x:v>4</x:v>
      </x:c>
      <x:c r="N3062" s="24" t="n">
        <x:v>0</x:v>
      </x:c>
      <x:c r="O3062" s="22" t="n">
        <x:f>L3062*M3062</x:f>
        <x:v>5800</x:v>
      </x:c>
      <x:c r="P3062" s="22" t="n">
        <x:f>O3062*(1-N3062)</x:f>
        <x:v>5800</x:v>
      </x:c>
      <x:c r="Q3062" s="22" t="n">
        <x:v>1280</x:v>
      </x:c>
      <x:c r="R3062" s="22" t="n">
        <x:f>Q3062*M3062</x:f>
        <x:v>5120</x:v>
      </x:c>
      <x:c r="S3062" s="22" t="n">
        <x:f>P3062-R3062</x:f>
        <x:v>680</x:v>
      </x:c>
      <x:c r="T3062" t="str">
        <x:v>Credit</x:v>
      </x:c>
      <x:c r="U3062" t="str">
        <x:v>Pending</x:v>
      </x:c>
      <x:c r="V3062" t="str">
        <x:v>Cancelled</x:v>
      </x:c>
      <x:c r="W3062" t="n">
        <x:v>4</x:v>
      </x:c>
      <x:c r="X3062" t="str">
        <x:v>Cancelled Order</x:v>
      </x:c>
      <x:c r="Y3062" t="str">
        <x:v>Outbound Call</x:v>
      </x:c>
    </x:row>
    <x:row r="3063">
      <x:c r="A3063" t="str">
        <x:v>O003062</x:v>
      </x:c>
      <x:c r="B3063" s="20" t="n">
        <x:v>45898</x:v>
      </x:c>
      <x:c r="C3063" t="str">
        <x:v>C0228</x:v>
      </x:c>
      <x:c r="D3063" t="str">
        <x:v>Metro Foods 228</x:v>
      </x:c>
      <x:c r="E3063" t="str">
        <x:v>Supermarket</x:v>
      </x:c>
      <x:c r="F3063" t="str">
        <x:v>Davanagere</x:v>
      </x:c>
      <x:c r="G3063" t="str">
        <x:v>Sneha</x:v>
      </x:c>
      <x:c r="H3063" t="str">
        <x:v>P033</x:v>
      </x:c>
      <x:c r="I3063" t="str">
        <x:v>Turmeric Powder 1kg</x:v>
      </x:c>
      <x:c r="J3063" t="str">
        <x:v>Spices</x:v>
      </x:c>
      <x:c r="K3063" t="str">
        <x:v>Everest</x:v>
      </x:c>
      <x:c r="L3063" s="22" t="n">
        <x:v>310</x:v>
      </x:c>
      <x:c r="M3063" t="n">
        <x:v>18</x:v>
      </x:c>
      <x:c r="N3063" s="24" t="n">
        <x:v>0.03</x:v>
      </x:c>
      <x:c r="O3063" s="22" t="n">
        <x:f>L3063*M3063</x:f>
        <x:v>5580</x:v>
      </x:c>
      <x:c r="P3063" s="22" t="n">
        <x:f>O3063*(1-N3063)</x:f>
        <x:v>5412.599999999999</x:v>
      </x:c>
      <x:c r="Q3063" s="22" t="n">
        <x:v>270</x:v>
      </x:c>
      <x:c r="R3063" s="22" t="n">
        <x:f>Q3063*M3063</x:f>
        <x:v>4860</x:v>
      </x:c>
      <x:c r="S3063" s="22" t="n">
        <x:f>P3063-R3063</x:f>
        <x:v>552.5999999999995</x:v>
      </x:c>
      <x:c r="T3063" t="str">
        <x:v>Bank Transfer</x:v>
      </x:c>
      <x:c r="U3063" t="str">
        <x:v>Paid</x:v>
      </x:c>
      <x:c r="V3063" t="str">
        <x:v>Cancelled</x:v>
      </x:c>
      <x:c r="W3063" t="n">
        <x:v>18</x:v>
      </x:c>
      <x:c r="X3063" t="str">
        <x:v>Cancelled Order</x:v>
      </x:c>
      <x:c r="Y3063" t="str">
        <x:v>WhatsApp</x:v>
      </x:c>
    </x:row>
    <x:row r="3064">
      <x:c r="A3064" t="str">
        <x:v>O003063</x:v>
      </x:c>
      <x:c r="B3064" s="20" t="n">
        <x:v>46108</x:v>
      </x:c>
      <x:c r="C3064" t="str">
        <x:v>C0078</x:v>
      </x:c>
      <x:c r="D3064" t="str">
        <x:v>Sagar Canteen 78</x:v>
      </x:c>
      <x:c r="E3064" t="str">
        <x:v>Hotel</x:v>
      </x:c>
      <x:c r="F3064" t="str">
        <x:v>Mangaluru</x:v>
      </x:c>
      <x:c r="G3064" t="str">
        <x:v>Ramesh</x:v>
      </x:c>
      <x:c r="H3064" t="str">
        <x:v>P035</x:v>
      </x:c>
      <x:c r="I3064" t="str">
        <x:v>Coriander Powder 1kg</x:v>
      </x:c>
      <x:c r="J3064" t="str">
        <x:v>Spices</x:v>
      </x:c>
      <x:c r="K3064" t="str">
        <x:v>Everest</x:v>
      </x:c>
      <x:c r="L3064" s="22" t="n">
        <x:v>280</x:v>
      </x:c>
      <x:c r="M3064" t="n">
        <x:v>27</x:v>
      </x:c>
      <x:c r="N3064" s="24" t="n">
        <x:v>0.08</x:v>
      </x:c>
      <x:c r="O3064" s="22" t="n">
        <x:f>L3064*M3064</x:f>
        <x:v>7560</x:v>
      </x:c>
      <x:c r="P3064" s="22" t="n">
        <x:f>O3064*(1-N3064)</x:f>
        <x:v>6955.200000000001</x:v>
      </x:c>
      <x:c r="Q3064" s="22" t="n">
        <x:v>245</x:v>
      </x:c>
      <x:c r="R3064" s="22" t="n">
        <x:f>Q3064*M3064</x:f>
        <x:v>6615</x:v>
      </x:c>
      <x:c r="S3064" s="22" t="n">
        <x:f>P3064-R3064</x:f>
        <x:v>340.2000000000007</x:v>
      </x:c>
      <x:c r="T3064" t="str">
        <x:v>Bank Transfer</x:v>
      </x:c>
      <x:c r="U3064" t="str">
        <x:v>Paid</x:v>
      </x:c>
      <x:c r="V3064" t="str">
        <x:v>Delivered</x:v>
      </x:c>
      <x:c r="W3064" t="n">
        <x:v>4</x:v>
      </x:c>
      <x:c r="X3064" t="str">
        <x:v>Quality Issue</x:v>
      </x:c>
      <x:c r="Y3064" t="str">
        <x:v>Field Visit</x:v>
      </x:c>
    </x:row>
    <x:row r="3065">
      <x:c r="A3065" t="str">
        <x:v>O003064</x:v>
      </x:c>
      <x:c r="B3065" s="20" t="n">
        <x:v>46110</x:v>
      </x:c>
      <x:c r="C3065" t="str">
        <x:v>C0102</x:v>
      </x:c>
      <x:c r="D3065" t="str">
        <x:v>Annapurna Foods 102</x:v>
      </x:c>
      <x:c r="E3065" t="str">
        <x:v>Cafe</x:v>
      </x:c>
      <x:c r="F3065" t="str">
        <x:v>Davanagere</x:v>
      </x:c>
      <x:c r="G3065" t="str">
        <x:v>Ramesh</x:v>
      </x:c>
      <x:c r="H3065" t="str">
        <x:v>P021</x:v>
      </x:c>
      <x:c r="I3065" t="str">
        <x:v>Instant Coffee 200g</x:v>
      </x:c>
      <x:c r="J3065" t="str">
        <x:v>Beverage</x:v>
      </x:c>
      <x:c r="K3065" t="str">
        <x:v>Nescafe</x:v>
      </x:c>
      <x:c r="L3065" s="22" t="n">
        <x:v>460</x:v>
      </x:c>
      <x:c r="M3065" t="n">
        <x:v>9</x:v>
      </x:c>
      <x:c r="N3065" s="24" t="n">
        <x:v>0.03</x:v>
      </x:c>
      <x:c r="O3065" s="22" t="n">
        <x:f>L3065*M3065</x:f>
        <x:v>4140</x:v>
      </x:c>
      <x:c r="P3065" s="22" t="n">
        <x:f>O3065*(1-N3065)</x:f>
        <x:v>4015.7999999999997</x:v>
      </x:c>
      <x:c r="Q3065" s="22" t="n">
        <x:v>410</x:v>
      </x:c>
      <x:c r="R3065" s="22" t="n">
        <x:f>Q3065*M3065</x:f>
        <x:v>3690</x:v>
      </x:c>
      <x:c r="S3065" s="22" t="n">
        <x:f>P3065-R3065</x:f>
        <x:v>325.7999999999997</x:v>
      </x:c>
      <x:c r="T3065" t="str">
        <x:v>Credit</x:v>
      </x:c>
      <x:c r="U3065" t="str">
        <x:v>Paid</x:v>
      </x:c>
      <x:c r="V3065" t="str">
        <x:v>Delivered</x:v>
      </x:c>
      <x:c r="W3065" t="n">
        <x:v>0</x:v>
      </x:c>
      <x:c r="X3065" t="str"/>
      <x:c r="Y3065" t="str">
        <x:v>Existing Customer</x:v>
      </x:c>
    </x:row>
    <x:row r="3066">
      <x:c r="A3066" t="str">
        <x:v>O003065</x:v>
      </x:c>
      <x:c r="B3066" s="20" t="n">
        <x:v>46115</x:v>
      </x:c>
      <x:c r="C3066" t="str">
        <x:v>C0129</x:v>
      </x:c>
      <x:c r="D3066" t="str">
        <x:v>City Canteen 129</x:v>
      </x:c>
      <x:c r="E3066" t="str">
        <x:v>Kirana</x:v>
      </x:c>
      <x:c r="F3066" t="str">
        <x:v>Hubballi</x:v>
      </x:c>
      <x:c r="G3066" t="str">
        <x:v>Sneha</x:v>
      </x:c>
      <x:c r="H3066" t="str">
        <x:v>P007</x:v>
      </x:c>
      <x:c r="I3066" t="str">
        <x:v>Sunflower Oil 15L</x:v>
      </x:c>
      <x:c r="J3066" t="str">
        <x:v>Edible Oil</x:v>
      </x:c>
      <x:c r="K3066" t="str">
        <x:v>Fortune</x:v>
      </x:c>
      <x:c r="L3066" s="22" t="n">
        <x:v>1980</x:v>
      </x:c>
      <x:c r="M3066" t="n">
        <x:v>5</x:v>
      </x:c>
      <x:c r="N3066" s="24" t="n">
        <x:v>0.03</x:v>
      </x:c>
      <x:c r="O3066" s="22" t="n">
        <x:f>L3066*M3066</x:f>
        <x:v>9900</x:v>
      </x:c>
      <x:c r="P3066" s="22" t="n">
        <x:f>O3066*(1-N3066)</x:f>
        <x:v>9603</x:v>
      </x:c>
      <x:c r="Q3066" s="22" t="n">
        <x:v>1810</x:v>
      </x:c>
      <x:c r="R3066" s="22" t="n">
        <x:f>Q3066*M3066</x:f>
        <x:v>9050</x:v>
      </x:c>
      <x:c r="S3066" s="22" t="n">
        <x:f>P3066-R3066</x:f>
        <x:v>553</x:v>
      </x:c>
      <x:c r="T3066" t="str">
        <x:v>Cash</x:v>
      </x:c>
      <x:c r="U3066" t="str">
        <x:v>Paid</x:v>
      </x:c>
      <x:c r="V3066" t="str">
        <x:v>Delivered</x:v>
      </x:c>
      <x:c r="W3066" t="n">
        <x:v>0</x:v>
      </x:c>
      <x:c r="X3066" t="str"/>
      <x:c r="Y3066" t="str">
        <x:v>Field Visit</x:v>
      </x:c>
    </x:row>
    <x:row r="3067">
      <x:c r="A3067" t="str">
        <x:v>O003066</x:v>
      </x:c>
      <x:c r="B3067" s="20" t="n">
        <x:v>45720</x:v>
      </x:c>
      <x:c r="C3067" t="str">
        <x:v>C0194</x:v>
      </x:c>
      <x:c r="D3067" t="str">
        <x:v>Royal Hotel 194</x:v>
      </x:c>
      <x:c r="E3067" t="str">
        <x:v>Kirana</x:v>
      </x:c>
      <x:c r="F3067" t="str">
        <x:v>Mysuru</x:v>
      </x:c>
      <x:c r="G3067" t="str">
        <x:v>Megha</x:v>
      </x:c>
      <x:c r="H3067" t="str">
        <x:v>P010</x:v>
      </x:c>
      <x:c r="I3067" t="str">
        <x:v>Sugar 25kg</x:v>
      </x:c>
      <x:c r="J3067" t="str">
        <x:v>Staples</x:v>
      </x:c>
      <x:c r="K3067" t="str">
        <x:v>Madhur</x:v>
      </x:c>
      <x:c r="L3067" s="22" t="n">
        <x:v>1190</x:v>
      </x:c>
      <x:c r="M3067" t="n">
        <x:v>7</x:v>
      </x:c>
      <x:c r="N3067" s="24" t="n">
        <x:v>0.1</x:v>
      </x:c>
      <x:c r="O3067" s="22" t="n">
        <x:f>L3067*M3067</x:f>
        <x:v>8330</x:v>
      </x:c>
      <x:c r="P3067" s="22" t="n">
        <x:f>O3067*(1-N3067)</x:f>
        <x:v>7497</x:v>
      </x:c>
      <x:c r="Q3067" s="22" t="n">
        <x:v>1080</x:v>
      </x:c>
      <x:c r="R3067" s="22" t="n">
        <x:f>Q3067*M3067</x:f>
        <x:v>7560</x:v>
      </x:c>
      <x:c r="S3067" s="22" t="n">
        <x:f>P3067-R3067</x:f>
        <x:v>-63</x:v>
      </x:c>
      <x:c r="T3067" t="str">
        <x:v>Credit</x:v>
      </x:c>
      <x:c r="U3067" t="str">
        <x:v>Paid</x:v>
      </x:c>
      <x:c r="V3067" t="str">
        <x:v>Delivered</x:v>
      </x:c>
      <x:c r="W3067" t="n">
        <x:v>2</x:v>
      </x:c>
      <x:c r="X3067" t="str">
        <x:v>Late Delivery</x:v>
      </x:c>
      <x:c r="Y3067" t="str">
        <x:v>Field Visit</x:v>
      </x:c>
    </x:row>
    <x:row r="3068">
      <x:c r="A3068" t="str">
        <x:v>O003067</x:v>
      </x:c>
      <x:c r="B3068" s="20" t="n">
        <x:v>46111</x:v>
      </x:c>
      <x:c r="C3068" t="str">
        <x:v>C0244</x:v>
      </x:c>
      <x:c r="D3068" t="str">
        <x:v>Namma Hotel 244</x:v>
      </x:c>
      <x:c r="E3068" t="str">
        <x:v>Kirana</x:v>
      </x:c>
      <x:c r="F3068" t="str">
        <x:v>Tumakuru</x:v>
      </x:c>
      <x:c r="G3068" t="str">
        <x:v>Sneha</x:v>
      </x:c>
      <x:c r="H3068" t="str">
        <x:v>P024</x:v>
      </x:c>
      <x:c r="I3068" t="str">
        <x:v>Orange Drink 1L</x:v>
      </x:c>
      <x:c r="J3068" t="str">
        <x:v>Beverage</x:v>
      </x:c>
      <x:c r="K3068" t="str">
        <x:v>Minute Maid</x:v>
      </x:c>
      <x:c r="L3068" s="22" t="n">
        <x:v>105</x:v>
      </x:c>
      <x:c r="M3068" t="n">
        <x:v>15</x:v>
      </x:c>
      <x:c r="N3068" s="24" t="n">
        <x:v>0</x:v>
      </x:c>
      <x:c r="O3068" s="22" t="n">
        <x:f>L3068*M3068</x:f>
        <x:v>1575</x:v>
      </x:c>
      <x:c r="P3068" s="22" t="n">
        <x:f>O3068*(1-N3068)</x:f>
        <x:v>1575</x:v>
      </x:c>
      <x:c r="Q3068" s="22" t="n">
        <x:v>88</x:v>
      </x:c>
      <x:c r="R3068" s="22" t="n">
        <x:f>Q3068*M3068</x:f>
        <x:v>1320</x:v>
      </x:c>
      <x:c r="S3068" s="22" t="n">
        <x:f>P3068-R3068</x:f>
        <x:v>255</x:v>
      </x:c>
      <x:c r="T3068" t="str">
        <x:v>UPI</x:v>
      </x:c>
      <x:c r="U3068" t="str">
        <x:v>Overdue</x:v>
      </x:c>
      <x:c r="V3068" t="str">
        <x:v>Delivered</x:v>
      </x:c>
      <x:c r="W3068" t="n">
        <x:v>0</x:v>
      </x:c>
      <x:c r="X3068" t="str"/>
      <x:c r="Y3068" t="str">
        <x:v>Field Visit</x:v>
      </x:c>
    </x:row>
    <x:row r="3069">
      <x:c r="A3069" t="str">
        <x:v>O003068</x:v>
      </x:c>
      <x:c r="B3069" s="20" t="n">
        <x:v>46048</x:v>
      </x:c>
      <x:c r="C3069" t="str">
        <x:v>C0011</x:v>
      </x:c>
      <x:c r="D3069" t="str">
        <x:v>City Cafe 11</x:v>
      </x:c>
      <x:c r="E3069" t="str">
        <x:v>Restaurant</x:v>
      </x:c>
      <x:c r="F3069" t="str">
        <x:v>Mangaluru</x:v>
      </x:c>
      <x:c r="G3069" t="str">
        <x:v>Arjun</x:v>
      </x:c>
      <x:c r="H3069" t="str">
        <x:v>P047</x:v>
      </x:c>
      <x:c r="I3069" t="str">
        <x:v>Tomato 25kg</x:v>
      </x:c>
      <x:c r="J3069" t="str">
        <x:v>Fresh Produce</x:v>
      </x:c>
      <x:c r="K3069" t="str">
        <x:v>Local Market</x:v>
      </x:c>
      <x:c r="L3069" s="22" t="n">
        <x:v>950</x:v>
      </x:c>
      <x:c r="M3069" t="n">
        <x:v>15</x:v>
      </x:c>
      <x:c r="N3069" s="24" t="n">
        <x:v>0.02</x:v>
      </x:c>
      <x:c r="O3069" s="22" t="n">
        <x:f>L3069*M3069</x:f>
        <x:v>14250</x:v>
      </x:c>
      <x:c r="P3069" s="22" t="n">
        <x:f>O3069*(1-N3069)</x:f>
        <x:v>13965</x:v>
      </x:c>
      <x:c r="Q3069" s="22" t="n">
        <x:v>810</x:v>
      </x:c>
      <x:c r="R3069" s="22" t="n">
        <x:f>Q3069*M3069</x:f>
        <x:v>12150</x:v>
      </x:c>
      <x:c r="S3069" s="22" t="n">
        <x:f>P3069-R3069</x:f>
        <x:v>1815</x:v>
      </x:c>
      <x:c r="T3069" t="str">
        <x:v>Credit</x:v>
      </x:c>
      <x:c r="U3069" t="str">
        <x:v>Paid</x:v>
      </x:c>
      <x:c r="V3069" t="str">
        <x:v>Delivered</x:v>
      </x:c>
      <x:c r="W3069" t="n">
        <x:v>0</x:v>
      </x:c>
      <x:c r="X3069" t="str"/>
      <x:c r="Y3069" t="str">
        <x:v>Field Visit</x:v>
      </x:c>
    </x:row>
    <x:row r="3070">
      <x:c r="A3070" t="str">
        <x:v>O003069</x:v>
      </x:c>
      <x:c r="B3070" s="20" t="n">
        <x:v>46034</x:v>
      </x:c>
      <x:c r="C3070" t="str">
        <x:v>C0191</x:v>
      </x:c>
      <x:c r="D3070" t="str">
        <x:v>Foodie Kitchen 191</x:v>
      </x:c>
      <x:c r="E3070" t="str">
        <x:v>Cafe</x:v>
      </x:c>
      <x:c r="F3070" t="str">
        <x:v>Mysuru</x:v>
      </x:c>
      <x:c r="G3070" t="str">
        <x:v>Priya</x:v>
      </x:c>
      <x:c r="H3070" t="str">
        <x:v>P031</x:v>
      </x:c>
      <x:c r="I3070" t="str">
        <x:v>Chilli Sauce 700g</x:v>
      </x:c>
      <x:c r="J3070" t="str">
        <x:v>Condiments</x:v>
      </x:c>
      <x:c r="K3070" t="str">
        <x:v>Ching's</x:v>
      </x:c>
      <x:c r="L3070" s="22" t="n">
        <x:v>130</x:v>
      </x:c>
      <x:c r="M3070" t="n">
        <x:v>8</x:v>
      </x:c>
      <x:c r="N3070" s="24" t="n">
        <x:v>0</x:v>
      </x:c>
      <x:c r="O3070" s="22" t="n">
        <x:f>L3070*M3070</x:f>
        <x:v>1040</x:v>
      </x:c>
      <x:c r="P3070" s="22" t="n">
        <x:f>O3070*(1-N3070)</x:f>
        <x:v>1040</x:v>
      </x:c>
      <x:c r="Q3070" s="22" t="n">
        <x:v>112</x:v>
      </x:c>
      <x:c r="R3070" s="22" t="n">
        <x:f>Q3070*M3070</x:f>
        <x:v>896</x:v>
      </x:c>
      <x:c r="S3070" s="22" t="n">
        <x:f>P3070-R3070</x:f>
        <x:v>144</x:v>
      </x:c>
      <x:c r="T3070" t="str">
        <x:v>Bank Transfer</x:v>
      </x:c>
      <x:c r="U3070" t="str">
        <x:v>Paid</x:v>
      </x:c>
      <x:c r="V3070" t="str">
        <x:v>Cancelled</x:v>
      </x:c>
      <x:c r="W3070" t="n">
        <x:v>8</x:v>
      </x:c>
      <x:c r="X3070" t="str">
        <x:v>Cancelled Order</x:v>
      </x:c>
      <x:c r="Y3070" t="str">
        <x:v>Existing Customer</x:v>
      </x:c>
    </x:row>
    <x:row r="3071">
      <x:c r="A3071" t="str">
        <x:v>O003070</x:v>
      </x:c>
      <x:c r="B3071" s="20" t="n">
        <x:v>46024</x:v>
      </x:c>
      <x:c r="C3071" t="str">
        <x:v>C0007</x:v>
      </x:c>
      <x:c r="D3071" t="str">
        <x:v>Mysore Stores 7</x:v>
      </x:c>
      <x:c r="E3071" t="str">
        <x:v>Kirana</x:v>
      </x:c>
      <x:c r="F3071" t="str">
        <x:v>Bengaluru</x:v>
      </x:c>
      <x:c r="G3071" t="str">
        <x:v>Kavya</x:v>
      </x:c>
      <x:c r="H3071" t="str">
        <x:v>P004</x:v>
      </x:c>
      <x:c r="I3071" t="str">
        <x:v>Toor Dal 5kg</x:v>
      </x:c>
      <x:c r="J3071" t="str">
        <x:v>Pulses</x:v>
      </x:c>
      <x:c r="K3071" t="str">
        <x:v>Tata Sampann</x:v>
      </x:c>
      <x:c r="L3071" s="22" t="n">
        <x:v>780</x:v>
      </x:c>
      <x:c r="M3071" t="n">
        <x:v>14</x:v>
      </x:c>
      <x:c r="N3071" s="24" t="n">
        <x:v>0.02</x:v>
      </x:c>
      <x:c r="O3071" s="22" t="n">
        <x:f>L3071*M3071</x:f>
        <x:v>10920</x:v>
      </x:c>
      <x:c r="P3071" s="22" t="n">
        <x:f>O3071*(1-N3071)</x:f>
        <x:v>10701.6</x:v>
      </x:c>
      <x:c r="Q3071" s="22" t="n">
        <x:v>695</x:v>
      </x:c>
      <x:c r="R3071" s="22" t="n">
        <x:f>Q3071*M3071</x:f>
        <x:v>9730</x:v>
      </x:c>
      <x:c r="S3071" s="22" t="n">
        <x:f>P3071-R3071</x:f>
        <x:v>971.6000000000004</x:v>
      </x:c>
      <x:c r="T3071" t="str">
        <x:v>Credit</x:v>
      </x:c>
      <x:c r="U3071" t="str">
        <x:v>Paid</x:v>
      </x:c>
      <x:c r="V3071" t="str">
        <x:v>Delivered</x:v>
      </x:c>
      <x:c r="W3071" t="n">
        <x:v>0</x:v>
      </x:c>
      <x:c r="X3071" t="str"/>
      <x:c r="Y3071" t="str">
        <x:v>WhatsApp</x:v>
      </x:c>
    </x:row>
    <x:row r="3072">
      <x:c r="A3072" t="str">
        <x:v>O003071</x:v>
      </x:c>
      <x:c r="B3072" s="20" t="n">
        <x:v>45790</x:v>
      </x:c>
      <x:c r="C3072" t="str">
        <x:v>C0056</x:v>
      </x:c>
      <x:c r="D3072" t="str">
        <x:v>City Stores 56</x:v>
      </x:c>
      <x:c r="E3072" t="str">
        <x:v>Canteen</x:v>
      </x:c>
      <x:c r="F3072" t="str">
        <x:v>Davanagere</x:v>
      </x:c>
      <x:c r="G3072" t="str">
        <x:v>Imran</x:v>
      </x:c>
      <x:c r="H3072" t="str">
        <x:v>P017</x:v>
      </x:c>
      <x:c r="I3072" t="str">
        <x:v>Butter 500g</x:v>
      </x:c>
      <x:c r="J3072" t="str">
        <x:v>Dairy</x:v>
      </x:c>
      <x:c r="K3072" t="str">
        <x:v>Amul</x:v>
      </x:c>
      <x:c r="L3072" s="22" t="n">
        <x:v>285</x:v>
      </x:c>
      <x:c r="M3072" t="n">
        <x:v>10</x:v>
      </x:c>
      <x:c r="N3072" s="24" t="n">
        <x:v>0.03</x:v>
      </x:c>
      <x:c r="O3072" s="22" t="n">
        <x:f>L3072*M3072</x:f>
        <x:v>2850</x:v>
      </x:c>
      <x:c r="P3072" s="22" t="n">
        <x:f>O3072*(1-N3072)</x:f>
        <x:v>2764.5</x:v>
      </x:c>
      <x:c r="Q3072" s="22" t="n">
        <x:v>258</x:v>
      </x:c>
      <x:c r="R3072" s="22" t="n">
        <x:f>Q3072*M3072</x:f>
        <x:v>2580</x:v>
      </x:c>
      <x:c r="S3072" s="22" t="n">
        <x:f>P3072-R3072</x:f>
        <x:v>184.5</x:v>
      </x:c>
      <x:c r="T3072" t="str">
        <x:v>Cash</x:v>
      </x:c>
      <x:c r="U3072" t="str">
        <x:v>Paid</x:v>
      </x:c>
      <x:c r="V3072" t="str">
        <x:v>Delivered</x:v>
      </x:c>
      <x:c r="W3072" t="n">
        <x:v>0</x:v>
      </x:c>
      <x:c r="X3072" t="str"/>
      <x:c r="Y3072" t="str">
        <x:v>Existing Customer</x:v>
      </x:c>
    </x:row>
    <x:row r="3073">
      <x:c r="A3073" t="str">
        <x:v>O003072</x:v>
      </x:c>
      <x:c r="B3073" s="20" t="n">
        <x:v>46167</x:v>
      </x:c>
      <x:c r="C3073" t="str">
        <x:v>C0036</x:v>
      </x:c>
      <x:c r="D3073" t="str">
        <x:v>Grand Hotel 36</x:v>
      </x:c>
      <x:c r="E3073" t="str">
        <x:v>Canteen</x:v>
      </x:c>
      <x:c r="F3073" t="str">
        <x:v>Tumakuru</x:v>
      </x:c>
      <x:c r="G3073" t="str">
        <x:v>Kavya</x:v>
      </x:c>
      <x:c r="H3073" t="str">
        <x:v>P015</x:v>
      </x:c>
      <x:c r="I3073" t="str">
        <x:v>Milk 1L</x:v>
      </x:c>
      <x:c r="J3073" t="str">
        <x:v>Dairy</x:v>
      </x:c>
      <x:c r="K3073" t="str">
        <x:v>Nandini</x:v>
      </x:c>
      <x:c r="L3073" s="22" t="n">
        <x:v>48</x:v>
      </x:c>
      <x:c r="M3073" t="n">
        <x:v>12</x:v>
      </x:c>
      <x:c r="N3073" s="24" t="n">
        <x:v>0</x:v>
      </x:c>
      <x:c r="O3073" s="22" t="n">
        <x:f>L3073*M3073</x:f>
        <x:v>576</x:v>
      </x:c>
      <x:c r="P3073" s="22" t="n">
        <x:f>O3073*(1-N3073)</x:f>
        <x:v>576</x:v>
      </x:c>
      <x:c r="Q3073" s="22" t="n">
        <x:v>43</x:v>
      </x:c>
      <x:c r="R3073" s="22" t="n">
        <x:f>Q3073*M3073</x:f>
        <x:v>516</x:v>
      </x:c>
      <x:c r="S3073" s="22" t="n">
        <x:f>P3073-R3073</x:f>
        <x:v>60</x:v>
      </x:c>
      <x:c r="T3073" t="str">
        <x:v>Bank Transfer</x:v>
      </x:c>
      <x:c r="U3073" t="str">
        <x:v>Paid</x:v>
      </x:c>
      <x:c r="V3073" t="str">
        <x:v>Delivered</x:v>
      </x:c>
      <x:c r="W3073" t="n">
        <x:v>0</x:v>
      </x:c>
      <x:c r="X3073" t="str"/>
      <x:c r="Y3073" t="str">
        <x:v>WhatsApp</x:v>
      </x:c>
    </x:row>
    <x:row r="3074">
      <x:c r="A3074" t="str">
        <x:v>O003073</x:v>
      </x:c>
      <x:c r="B3074" s="20" t="n">
        <x:v>45712</x:v>
      </x:c>
      <x:c r="C3074" t="str">
        <x:v>C0188</x:v>
      </x:c>
      <x:c r="D3074" t="str">
        <x:v>New Canteen 188</x:v>
      </x:c>
      <x:c r="E3074" t="str">
        <x:v>Restaurant</x:v>
      </x:c>
      <x:c r="F3074" t="str">
        <x:v>Bengaluru</x:v>
      </x:c>
      <x:c r="G3074" t="str">
        <x:v>Kavya</x:v>
      </x:c>
      <x:c r="H3074" t="str">
        <x:v>P045</x:v>
      </x:c>
      <x:c r="I3074" t="str">
        <x:v>Onion 25kg</x:v>
      </x:c>
      <x:c r="J3074" t="str">
        <x:v>Fresh Produce</x:v>
      </x:c>
      <x:c r="K3074" t="str">
        <x:v>Local Market</x:v>
      </x:c>
      <x:c r="L3074" s="22" t="n">
        <x:v>875</x:v>
      </x:c>
      <x:c r="M3074" t="n">
        <x:v>1</x:v>
      </x:c>
      <x:c r="N3074" s="24" t="n">
        <x:v>0.03</x:v>
      </x:c>
      <x:c r="O3074" s="22" t="n">
        <x:f>L3074*M3074</x:f>
        <x:v>875</x:v>
      </x:c>
      <x:c r="P3074" s="22" t="n">
        <x:f>O3074*(1-N3074)</x:f>
        <x:v>848.75</x:v>
      </x:c>
      <x:c r="Q3074" s="22" t="n">
        <x:v>760</x:v>
      </x:c>
      <x:c r="R3074" s="22" t="n">
        <x:f>Q3074*M3074</x:f>
        <x:v>760</x:v>
      </x:c>
      <x:c r="S3074" s="22" t="n">
        <x:f>P3074-R3074</x:f>
        <x:v>88.75</x:v>
      </x:c>
      <x:c r="T3074" t="str">
        <x:v>Cash</x:v>
      </x:c>
      <x:c r="U3074" t="str">
        <x:v>Paid</x:v>
      </x:c>
      <x:c r="V3074" t="str">
        <x:v>Delivered</x:v>
      </x:c>
      <x:c r="W3074" t="n">
        <x:v>0</x:v>
      </x:c>
      <x:c r="X3074" t="str"/>
      <x:c r="Y3074" t="str">
        <x:v>Outbound Call</x:v>
      </x:c>
    </x:row>
    <x:row r="3075">
      <x:c r="A3075" t="str">
        <x:v>O003074</x:v>
      </x:c>
      <x:c r="B3075" s="20" t="n">
        <x:v>45931</x:v>
      </x:c>
      <x:c r="C3075" t="str">
        <x:v>C0115</x:v>
      </x:c>
      <x:c r="D3075" t="str">
        <x:v>Mysore Mart 115</x:v>
      </x:c>
      <x:c r="E3075" t="str">
        <x:v>Kirana</x:v>
      </x:c>
      <x:c r="F3075" t="str">
        <x:v>Mangaluru</x:v>
      </x:c>
      <x:c r="G3075" t="str">
        <x:v>Arjun</x:v>
      </x:c>
      <x:c r="H3075" t="str">
        <x:v>P001</x:v>
      </x:c>
      <x:c r="I3075" t="str">
        <x:v>Steam Rice 25kg</x:v>
      </x:c>
      <x:c r="J3075" t="str">
        <x:v>Staples</x:v>
      </x:c>
      <x:c r="K3075" t="str">
        <x:v>Aishwarya</x:v>
      </x:c>
      <x:c r="L3075" s="22" t="n">
        <x:v>1180</x:v>
      </x:c>
      <x:c r="M3075" t="n">
        <x:v>4</x:v>
      </x:c>
      <x:c r="N3075" s="24" t="n">
        <x:v>0</x:v>
      </x:c>
      <x:c r="O3075" s="22" t="n">
        <x:f>L3075*M3075</x:f>
        <x:v>4720</x:v>
      </x:c>
      <x:c r="P3075" s="22" t="n">
        <x:f>O3075*(1-N3075)</x:f>
        <x:v>4720</x:v>
      </x:c>
      <x:c r="Q3075" s="22" t="n">
        <x:v>1040</x:v>
      </x:c>
      <x:c r="R3075" s="22" t="n">
        <x:f>Q3075*M3075</x:f>
        <x:v>4160</x:v>
      </x:c>
      <x:c r="S3075" s="22" t="n">
        <x:f>P3075-R3075</x:f>
        <x:v>560</x:v>
      </x:c>
      <x:c r="T3075" t="str">
        <x:v>Bank Transfer</x:v>
      </x:c>
      <x:c r="U3075" t="str">
        <x:v>Paid</x:v>
      </x:c>
      <x:c r="V3075" t="str">
        <x:v>Cancelled</x:v>
      </x:c>
      <x:c r="W3075" t="n">
        <x:v>4</x:v>
      </x:c>
      <x:c r="X3075" t="str">
        <x:v>Cancelled Order</x:v>
      </x:c>
      <x:c r="Y3075" t="str">
        <x:v>Existing Customer</x:v>
      </x:c>
    </x:row>
    <x:row r="3076">
      <x:c r="A3076" t="str">
        <x:v>O003075</x:v>
      </x:c>
      <x:c r="B3076" s="20" t="n">
        <x:v>46204</x:v>
      </x:c>
      <x:c r="C3076" t="str">
        <x:v>C0132</x:v>
      </x:c>
      <x:c r="D3076" t="str">
        <x:v>Classic Stores 132</x:v>
      </x:c>
      <x:c r="E3076" t="str">
        <x:v>Cafe</x:v>
      </x:c>
      <x:c r="F3076" t="str">
        <x:v>Mysuru</x:v>
      </x:c>
      <x:c r="G3076" t="str">
        <x:v>Megha</x:v>
      </x:c>
      <x:c r="H3076" t="str">
        <x:v>P014</x:v>
      </x:c>
      <x:c r="I3076" t="str">
        <x:v>Rava 5kg</x:v>
      </x:c>
      <x:c r="J3076" t="str">
        <x:v>Flour</x:v>
      </x:c>
      <x:c r="K3076" t="str">
        <x:v>Local Select</x:v>
      </x:c>
      <x:c r="L3076" s="22" t="n">
        <x:v>245</x:v>
      </x:c>
      <x:c r="M3076" t="n">
        <x:v>18</x:v>
      </x:c>
      <x:c r="N3076" s="24" t="n">
        <x:v>0.02</x:v>
      </x:c>
      <x:c r="O3076" s="22" t="n">
        <x:f>L3076*M3076</x:f>
        <x:v>4410</x:v>
      </x:c>
      <x:c r="P3076" s="22" t="n">
        <x:f>O3076*(1-N3076)</x:f>
        <x:v>4321.8</x:v>
      </x:c>
      <x:c r="Q3076" s="22" t="n">
        <x:v>215</x:v>
      </x:c>
      <x:c r="R3076" s="22" t="n">
        <x:f>Q3076*M3076</x:f>
        <x:v>3870</x:v>
      </x:c>
      <x:c r="S3076" s="22" t="n">
        <x:f>P3076-R3076</x:f>
        <x:v>451.8000000000002</x:v>
      </x:c>
      <x:c r="T3076" t="str">
        <x:v>UPI</x:v>
      </x:c>
      <x:c r="U3076" t="str">
        <x:v>Paid</x:v>
      </x:c>
      <x:c r="V3076" t="str">
        <x:v>Cancelled</x:v>
      </x:c>
      <x:c r="W3076" t="n">
        <x:v>18</x:v>
      </x:c>
      <x:c r="X3076" t="str">
        <x:v>Cancelled Order</x:v>
      </x:c>
      <x:c r="Y3076" t="str">
        <x:v>WhatsApp</x:v>
      </x:c>
    </x:row>
    <x:row r="3077">
      <x:c r="A3077" t="str">
        <x:v>O003076</x:v>
      </x:c>
      <x:c r="B3077" s="20" t="n">
        <x:v>45933</x:v>
      </x:c>
      <x:c r="C3077" t="str">
        <x:v>C0161</x:v>
      </x:c>
      <x:c r="D3077" t="str">
        <x:v>Hotel Kitchen 161</x:v>
      </x:c>
      <x:c r="E3077" t="str">
        <x:v>Supermarket</x:v>
      </x:c>
      <x:c r="F3077" t="str">
        <x:v>Mysuru</x:v>
      </x:c>
      <x:c r="G3077" t="str">
        <x:v>Sneha</x:v>
      </x:c>
      <x:c r="H3077" t="str">
        <x:v>P001</x:v>
      </x:c>
      <x:c r="I3077" t="str">
        <x:v>Steam Rice 25kg</x:v>
      </x:c>
      <x:c r="J3077" t="str">
        <x:v>Staples</x:v>
      </x:c>
      <x:c r="K3077" t="str">
        <x:v>Aishwarya</x:v>
      </x:c>
      <x:c r="L3077" s="22" t="n">
        <x:v>1180</x:v>
      </x:c>
      <x:c r="M3077" t="n">
        <x:v>4</x:v>
      </x:c>
      <x:c r="N3077" s="24" t="n">
        <x:v>0.03</x:v>
      </x:c>
      <x:c r="O3077" s="22" t="n">
        <x:f>L3077*M3077</x:f>
        <x:v>4720</x:v>
      </x:c>
      <x:c r="P3077" s="22" t="n">
        <x:f>O3077*(1-N3077)</x:f>
        <x:v>4578.4</x:v>
      </x:c>
      <x:c r="Q3077" s="22" t="n">
        <x:v>1040</x:v>
      </x:c>
      <x:c r="R3077" s="22" t="n">
        <x:f>Q3077*M3077</x:f>
        <x:v>4160</x:v>
      </x:c>
      <x:c r="S3077" s="22" t="n">
        <x:f>P3077-R3077</x:f>
        <x:v>418.39999999999964</x:v>
      </x:c>
      <x:c r="T3077" t="str">
        <x:v>Cash</x:v>
      </x:c>
      <x:c r="U3077" t="str">
        <x:v>Pending</x:v>
      </x:c>
      <x:c r="V3077" t="str">
        <x:v>Cancelled</x:v>
      </x:c>
      <x:c r="W3077" t="n">
        <x:v>4</x:v>
      </x:c>
      <x:c r="X3077" t="str">
        <x:v>Cancelled Order</x:v>
      </x:c>
      <x:c r="Y3077" t="str">
        <x:v>Outbound Call</x:v>
      </x:c>
    </x:row>
    <x:row r="3078">
      <x:c r="A3078" t="str">
        <x:v>O003077</x:v>
      </x:c>
      <x:c r="B3078" s="20" t="n">
        <x:v>46052</x:v>
      </x:c>
      <x:c r="C3078" t="str">
        <x:v>C0108</x:v>
      </x:c>
      <x:c r="D3078" t="str">
        <x:v>Spice Mart 108</x:v>
      </x:c>
      <x:c r="E3078" t="str">
        <x:v>Supermarket</x:v>
      </x:c>
      <x:c r="F3078" t="str">
        <x:v>Hubballi</x:v>
      </x:c>
      <x:c r="G3078" t="str">
        <x:v>Kavya</x:v>
      </x:c>
      <x:c r="H3078" t="str">
        <x:v>P037</x:v>
      </x:c>
      <x:c r="I3078" t="str">
        <x:v>Frozen Peas 1kg</x:v>
      </x:c>
      <x:c r="J3078" t="str">
        <x:v>Frozen</x:v>
      </x:c>
      <x:c r="K3078" t="str">
        <x:v>Safal</x:v>
      </x:c>
      <x:c r="L3078" s="22" t="n">
        <x:v>155</x:v>
      </x:c>
      <x:c r="M3078" t="n">
        <x:v>35</x:v>
      </x:c>
      <x:c r="N3078" s="24" t="n">
        <x:v>0</x:v>
      </x:c>
      <x:c r="O3078" s="22" t="n">
        <x:f>L3078*M3078</x:f>
        <x:v>5425</x:v>
      </x:c>
      <x:c r="P3078" s="22" t="n">
        <x:f>O3078*(1-N3078)</x:f>
        <x:v>5425</x:v>
      </x:c>
      <x:c r="Q3078" s="22" t="n">
        <x:v>138</x:v>
      </x:c>
      <x:c r="R3078" s="22" t="n">
        <x:f>Q3078*M3078</x:f>
        <x:v>4830</x:v>
      </x:c>
      <x:c r="S3078" s="22" t="n">
        <x:f>P3078-R3078</x:f>
        <x:v>595</x:v>
      </x:c>
      <x:c r="T3078" t="str">
        <x:v>Credit</x:v>
      </x:c>
      <x:c r="U3078" t="str">
        <x:v>Paid</x:v>
      </x:c>
      <x:c r="V3078" t="str">
        <x:v>Cancelled</x:v>
      </x:c>
      <x:c r="W3078" t="n">
        <x:v>35</x:v>
      </x:c>
      <x:c r="X3078" t="str">
        <x:v>Cancelled Order</x:v>
      </x:c>
      <x:c r="Y3078" t="str">
        <x:v>Field Visit</x:v>
      </x:c>
    </x:row>
    <x:row r="3079">
      <x:c r="A3079" t="str">
        <x:v>O003078</x:v>
      </x:c>
      <x:c r="B3079" s="20" t="n">
        <x:v>45805</x:v>
      </x:c>
      <x:c r="C3079" t="str">
        <x:v>C0187</x:v>
      </x:c>
      <x:c r="D3079" t="str">
        <x:v>City Cafe 187</x:v>
      </x:c>
      <x:c r="E3079" t="str">
        <x:v>Hotel</x:v>
      </x:c>
      <x:c r="F3079" t="str">
        <x:v>Mysuru</x:v>
      </x:c>
      <x:c r="G3079" t="str">
        <x:v>Priya</x:v>
      </x:c>
      <x:c r="H3079" t="str">
        <x:v>P045</x:v>
      </x:c>
      <x:c r="I3079" t="str">
        <x:v>Onion 25kg</x:v>
      </x:c>
      <x:c r="J3079" t="str">
        <x:v>Fresh Produce</x:v>
      </x:c>
      <x:c r="K3079" t="str">
        <x:v>Local Market</x:v>
      </x:c>
      <x:c r="L3079" s="22" t="n">
        <x:v>875</x:v>
      </x:c>
      <x:c r="M3079" t="n">
        <x:v>7</x:v>
      </x:c>
      <x:c r="N3079" s="24" t="n">
        <x:v>0.02</x:v>
      </x:c>
      <x:c r="O3079" s="22" t="n">
        <x:f>L3079*M3079</x:f>
        <x:v>6125</x:v>
      </x:c>
      <x:c r="P3079" s="22" t="n">
        <x:f>O3079*(1-N3079)</x:f>
        <x:v>6002.5</x:v>
      </x:c>
      <x:c r="Q3079" s="22" t="n">
        <x:v>760</x:v>
      </x:c>
      <x:c r="R3079" s="22" t="n">
        <x:f>Q3079*M3079</x:f>
        <x:v>5320</x:v>
      </x:c>
      <x:c r="S3079" s="22" t="n">
        <x:f>P3079-R3079</x:f>
        <x:v>682.5</x:v>
      </x:c>
      <x:c r="T3079" t="str">
        <x:v>Bank Transfer</x:v>
      </x:c>
      <x:c r="U3079" t="str">
        <x:v>Paid</x:v>
      </x:c>
      <x:c r="V3079" t="str">
        <x:v>Cancelled</x:v>
      </x:c>
      <x:c r="W3079" t="n">
        <x:v>7</x:v>
      </x:c>
      <x:c r="X3079" t="str">
        <x:v>Cancelled Order</x:v>
      </x:c>
      <x:c r="Y3079" t="str">
        <x:v>Referral</x:v>
      </x:c>
    </x:row>
    <x:row r="3080">
      <x:c r="A3080" t="str">
        <x:v>O003079</x:v>
      </x:c>
      <x:c r="B3080" s="20" t="n">
        <x:v>45869</x:v>
      </x:c>
      <x:c r="C3080" t="str">
        <x:v>C0008</x:v>
      </x:c>
      <x:c r="D3080" t="str">
        <x:v>Namma Kitchen 8</x:v>
      </x:c>
      <x:c r="E3080" t="str">
        <x:v>Kirana</x:v>
      </x:c>
      <x:c r="F3080" t="str">
        <x:v>Bengaluru</x:v>
      </x:c>
      <x:c r="G3080" t="str">
        <x:v>Vikram</x:v>
      </x:c>
      <x:c r="H3080" t="str">
        <x:v>P021</x:v>
      </x:c>
      <x:c r="I3080" t="str">
        <x:v>Instant Coffee 200g</x:v>
      </x:c>
      <x:c r="J3080" t="str">
        <x:v>Beverage</x:v>
      </x:c>
      <x:c r="K3080" t="str">
        <x:v>Nescafe</x:v>
      </x:c>
      <x:c r="L3080" s="22" t="n">
        <x:v>460</x:v>
      </x:c>
      <x:c r="M3080" t="n">
        <x:v>10</x:v>
      </x:c>
      <x:c r="N3080" s="24" t="n">
        <x:v>0.05</x:v>
      </x:c>
      <x:c r="O3080" s="22" t="n">
        <x:f>L3080*M3080</x:f>
        <x:v>4600</x:v>
      </x:c>
      <x:c r="P3080" s="22" t="n">
        <x:f>O3080*(1-N3080)</x:f>
        <x:v>4370</x:v>
      </x:c>
      <x:c r="Q3080" s="22" t="n">
        <x:v>410</x:v>
      </x:c>
      <x:c r="R3080" s="22" t="n">
        <x:f>Q3080*M3080</x:f>
        <x:v>4100</x:v>
      </x:c>
      <x:c r="S3080" s="22" t="n">
        <x:f>P3080-R3080</x:f>
        <x:v>270</x:v>
      </x:c>
      <x:c r="T3080" t="str">
        <x:v>Credit</x:v>
      </x:c>
      <x:c r="U3080" t="str">
        <x:v>Paid</x:v>
      </x:c>
      <x:c r="V3080" t="str">
        <x:v>Delayed</x:v>
      </x:c>
      <x:c r="W3080" t="n">
        <x:v>0</x:v>
      </x:c>
      <x:c r="X3080" t="str"/>
      <x:c r="Y3080" t="str">
        <x:v>WhatsApp</x:v>
      </x:c>
    </x:row>
    <x:row r="3081">
      <x:c r="A3081" t="str">
        <x:v>O003080</x:v>
      </x:c>
      <x:c r="B3081" s="20" t="n">
        <x:v>45867</x:v>
      </x:c>
      <x:c r="C3081" t="str">
        <x:v>C0093</x:v>
      </x:c>
      <x:c r="D3081" t="str">
        <x:v>Sagar Hotel 93</x:v>
      </x:c>
      <x:c r="E3081" t="str">
        <x:v>Hotel</x:v>
      </x:c>
      <x:c r="F3081" t="str">
        <x:v>Hubballi</x:v>
      </x:c>
      <x:c r="G3081" t="str">
        <x:v>Imran</x:v>
      </x:c>
      <x:c r="H3081" t="str">
        <x:v>P040</x:v>
      </x:c>
      <x:c r="I3081" t="str">
        <x:v>Bread Loaf 400g</x:v>
      </x:c>
      <x:c r="J3081" t="str">
        <x:v>Bakery</x:v>
      </x:c>
      <x:c r="K3081" t="str">
        <x:v>Britannia</x:v>
      </x:c>
      <x:c r="L3081" s="22" t="n">
        <x:v>45</x:v>
      </x:c>
      <x:c r="M3081" t="n">
        <x:v>17</x:v>
      </x:c>
      <x:c r="N3081" s="24" t="n">
        <x:v>0.05</x:v>
      </x:c>
      <x:c r="O3081" s="22" t="n">
        <x:f>L3081*M3081</x:f>
        <x:v>765</x:v>
      </x:c>
      <x:c r="P3081" s="22" t="n">
        <x:f>O3081*(1-N3081)</x:f>
        <x:v>726.75</x:v>
      </x:c>
      <x:c r="Q3081" s="22" t="n">
        <x:v>35</x:v>
      </x:c>
      <x:c r="R3081" s="22" t="n">
        <x:f>Q3081*M3081</x:f>
        <x:v>595</x:v>
      </x:c>
      <x:c r="S3081" s="22" t="n">
        <x:f>P3081-R3081</x:f>
        <x:v>131.75</x:v>
      </x:c>
      <x:c r="T3081" t="str">
        <x:v>Bank Transfer</x:v>
      </x:c>
      <x:c r="U3081" t="str">
        <x:v>Paid</x:v>
      </x:c>
      <x:c r="V3081" t="str">
        <x:v>Delayed</x:v>
      </x:c>
      <x:c r="W3081" t="n">
        <x:v>0</x:v>
      </x:c>
      <x:c r="X3081" t="str"/>
      <x:c r="Y3081" t="str">
        <x:v>Referral</x:v>
      </x:c>
    </x:row>
    <x:row r="3082">
      <x:c r="A3082" t="str">
        <x:v>O003081</x:v>
      </x:c>
      <x:c r="B3082" s="20" t="n">
        <x:v>45884</x:v>
      </x:c>
      <x:c r="C3082" t="str">
        <x:v>C0147</x:v>
      </x:c>
      <x:c r="D3082" t="str">
        <x:v>New Stores 147</x:v>
      </x:c>
      <x:c r="E3082" t="str">
        <x:v>Supermarket</x:v>
      </x:c>
      <x:c r="F3082" t="str">
        <x:v>Hubballi</x:v>
      </x:c>
      <x:c r="G3082" t="str">
        <x:v>Imran</x:v>
      </x:c>
      <x:c r="H3082" t="str">
        <x:v>P003</x:v>
      </x:c>
      <x:c r="I3082" t="str">
        <x:v>Basmati Rice 5kg</x:v>
      </x:c>
      <x:c r="J3082" t="str">
        <x:v>Staples</x:v>
      </x:c>
      <x:c r="K3082" t="str">
        <x:v>India Gate</x:v>
      </x:c>
      <x:c r="L3082" s="22" t="n">
        <x:v>690</x:v>
      </x:c>
      <x:c r="M3082" t="n">
        <x:v>39</x:v>
      </x:c>
      <x:c r="N3082" s="24" t="n">
        <x:v>0.03</x:v>
      </x:c>
      <x:c r="O3082" s="22" t="n">
        <x:f>L3082*M3082</x:f>
        <x:v>26910</x:v>
      </x:c>
      <x:c r="P3082" s="22" t="n">
        <x:f>O3082*(1-N3082)</x:f>
        <x:v>26102.7</x:v>
      </x:c>
      <x:c r="Q3082" s="22" t="n">
        <x:v>610</x:v>
      </x:c>
      <x:c r="R3082" s="22" t="n">
        <x:f>Q3082*M3082</x:f>
        <x:v>23790</x:v>
      </x:c>
      <x:c r="S3082" s="22" t="n">
        <x:f>P3082-R3082</x:f>
        <x:v>2312.7000000000007</x:v>
      </x:c>
      <x:c r="T3082" t="str">
        <x:v>Credit</x:v>
      </x:c>
      <x:c r="U3082" t="str">
        <x:v>Pending</x:v>
      </x:c>
      <x:c r="V3082" t="str">
        <x:v>Cancelled</x:v>
      </x:c>
      <x:c r="W3082" t="n">
        <x:v>39</x:v>
      </x:c>
      <x:c r="X3082" t="str">
        <x:v>Cancelled Order</x:v>
      </x:c>
      <x:c r="Y3082" t="str">
        <x:v>Existing Customer</x:v>
      </x:c>
    </x:row>
    <x:row r="3083">
      <x:c r="A3083" t="str">
        <x:v>O003082</x:v>
      </x:c>
      <x:c r="B3083" s="20" t="n">
        <x:v>45740</x:v>
      </x:c>
      <x:c r="C3083" t="str">
        <x:v>C0174</x:v>
      </x:c>
      <x:c r="D3083" t="str">
        <x:v>Classic Stores 174</x:v>
      </x:c>
      <x:c r="E3083" t="str">
        <x:v>Kirana</x:v>
      </x:c>
      <x:c r="F3083" t="str">
        <x:v>Mysuru</x:v>
      </x:c>
      <x:c r="G3083" t="str">
        <x:v>Vikram</x:v>
      </x:c>
      <x:c r="H3083" t="str">
        <x:v>P014</x:v>
      </x:c>
      <x:c r="I3083" t="str">
        <x:v>Rava 5kg</x:v>
      </x:c>
      <x:c r="J3083" t="str">
        <x:v>Flour</x:v>
      </x:c>
      <x:c r="K3083" t="str">
        <x:v>Local Select</x:v>
      </x:c>
      <x:c r="L3083" s="22" t="n">
        <x:v>245</x:v>
      </x:c>
      <x:c r="M3083" t="n">
        <x:v>24</x:v>
      </x:c>
      <x:c r="N3083" s="24" t="n">
        <x:v>0</x:v>
      </x:c>
      <x:c r="O3083" s="22" t="n">
        <x:f>L3083*M3083</x:f>
        <x:v>5880</x:v>
      </x:c>
      <x:c r="P3083" s="22" t="n">
        <x:f>O3083*(1-N3083)</x:f>
        <x:v>5880</x:v>
      </x:c>
      <x:c r="Q3083" s="22" t="n">
        <x:v>215</x:v>
      </x:c>
      <x:c r="R3083" s="22" t="n">
        <x:f>Q3083*M3083</x:f>
        <x:v>5160</x:v>
      </x:c>
      <x:c r="S3083" s="22" t="n">
        <x:f>P3083-R3083</x:f>
        <x:v>720</x:v>
      </x:c>
      <x:c r="T3083" t="str">
        <x:v>Bank Transfer</x:v>
      </x:c>
      <x:c r="U3083" t="str">
        <x:v>Paid</x:v>
      </x:c>
      <x:c r="V3083" t="str">
        <x:v>Delayed</x:v>
      </x:c>
      <x:c r="W3083" t="n">
        <x:v>0</x:v>
      </x:c>
      <x:c r="X3083" t="str"/>
      <x:c r="Y3083" t="str">
        <x:v>Field Visit</x:v>
      </x:c>
    </x:row>
    <x:row r="3084">
      <x:c r="A3084" t="str">
        <x:v>O003083</x:v>
      </x:c>
      <x:c r="B3084" s="20" t="n">
        <x:v>46088</x:v>
      </x:c>
      <x:c r="C3084" t="str">
        <x:v>C0212</x:v>
      </x:c>
      <x:c r="D3084" t="str">
        <x:v>Classic Restaurant 212</x:v>
      </x:c>
      <x:c r="E3084" t="str">
        <x:v>Restaurant</x:v>
      </x:c>
      <x:c r="F3084" t="str">
        <x:v>Mysuru</x:v>
      </x:c>
      <x:c r="G3084" t="str">
        <x:v>Vikram</x:v>
      </x:c>
      <x:c r="H3084" t="str">
        <x:v>P044</x:v>
      </x:c>
      <x:c r="I3084" t="str">
        <x:v>Chicken Curry Cut 1kg</x:v>
      </x:c>
      <x:c r="J3084" t="str">
        <x:v>Protein</x:v>
      </x:c>
      <x:c r="K3084" t="str">
        <x:v>FreshToHome</x:v>
      </x:c>
      <x:c r="L3084" s="22" t="n">
        <x:v>230</x:v>
      </x:c>
      <x:c r="M3084" t="n">
        <x:v>23</x:v>
      </x:c>
      <x:c r="N3084" s="24" t="n">
        <x:v>0.05</x:v>
      </x:c>
      <x:c r="O3084" s="22" t="n">
        <x:f>L3084*M3084</x:f>
        <x:v>5290</x:v>
      </x:c>
      <x:c r="P3084" s="22" t="n">
        <x:f>O3084*(1-N3084)</x:f>
        <x:v>5025.5</x:v>
      </x:c>
      <x:c r="Q3084" s="22" t="n">
        <x:v>205</x:v>
      </x:c>
      <x:c r="R3084" s="22" t="n">
        <x:f>Q3084*M3084</x:f>
        <x:v>4715</x:v>
      </x:c>
      <x:c r="S3084" s="22" t="n">
        <x:f>P3084-R3084</x:f>
        <x:v>310.5</x:v>
      </x:c>
      <x:c r="T3084" t="str">
        <x:v>UPI</x:v>
      </x:c>
      <x:c r="U3084" t="str">
        <x:v>Paid</x:v>
      </x:c>
      <x:c r="V3084" t="str">
        <x:v>Cancelled</x:v>
      </x:c>
      <x:c r="W3084" t="n">
        <x:v>23</x:v>
      </x:c>
      <x:c r="X3084" t="str">
        <x:v>Cancelled Order</x:v>
      </x:c>
      <x:c r="Y3084" t="str">
        <x:v>Outbound Call</x:v>
      </x:c>
    </x:row>
    <x:row r="3085">
      <x:c r="A3085" t="str">
        <x:v>O003084</x:v>
      </x:c>
      <x:c r="B3085" s="20" t="n">
        <x:v>46104</x:v>
      </x:c>
      <x:c r="C3085" t="str">
        <x:v>C0003</x:v>
      </x:c>
      <x:c r="D3085" t="str">
        <x:v>Grand Foods 3</x:v>
      </x:c>
      <x:c r="E3085" t="str">
        <x:v>Restaurant</x:v>
      </x:c>
      <x:c r="F3085" t="str">
        <x:v>Bengaluru</x:v>
      </x:c>
      <x:c r="G3085" t="str">
        <x:v>Vikram</x:v>
      </x:c>
      <x:c r="H3085" t="str">
        <x:v>P026</x:v>
      </x:c>
      <x:c r="I3085" t="str">
        <x:v>Banana Chips 80g</x:v>
      </x:c>
      <x:c r="J3085" t="str">
        <x:v>Snacks</x:v>
      </x:c>
      <x:c r="K3085" t="str">
        <x:v>SSS</x:v>
      </x:c>
      <x:c r="L3085" s="22" t="n">
        <x:v>54</x:v>
      </x:c>
      <x:c r="M3085" t="n">
        <x:v>28</x:v>
      </x:c>
      <x:c r="N3085" s="24" t="n">
        <x:v>0.08</x:v>
      </x:c>
      <x:c r="O3085" s="22" t="n">
        <x:f>L3085*M3085</x:f>
        <x:v>1512</x:v>
      </x:c>
      <x:c r="P3085" s="22" t="n">
        <x:f>O3085*(1-N3085)</x:f>
        <x:v>1391.04</x:v>
      </x:c>
      <x:c r="Q3085" s="22" t="n">
        <x:v>39</x:v>
      </x:c>
      <x:c r="R3085" s="22" t="n">
        <x:f>Q3085*M3085</x:f>
        <x:v>1092</x:v>
      </x:c>
      <x:c r="S3085" s="22" t="n">
        <x:f>P3085-R3085</x:f>
        <x:v>299.03999999999996</x:v>
      </x:c>
      <x:c r="T3085" t="str">
        <x:v>Credit</x:v>
      </x:c>
      <x:c r="U3085" t="str">
        <x:v>Paid</x:v>
      </x:c>
      <x:c r="V3085" t="str">
        <x:v>Delivered</x:v>
      </x:c>
      <x:c r="W3085" t="n">
        <x:v>0</x:v>
      </x:c>
      <x:c r="X3085" t="str"/>
      <x:c r="Y3085" t="str">
        <x:v>WhatsApp</x:v>
      </x:c>
    </x:row>
    <x:row r="3086">
      <x:c r="A3086" t="str">
        <x:v>O003085</x:v>
      </x:c>
      <x:c r="B3086" s="20" t="n">
        <x:v>46085</x:v>
      </x:c>
      <x:c r="C3086" t="str">
        <x:v>C0077</x:v>
      </x:c>
      <x:c r="D3086" t="str">
        <x:v>Spice Cafe 77</x:v>
      </x:c>
      <x:c r="E3086" t="str">
        <x:v>Kirana</x:v>
      </x:c>
      <x:c r="F3086" t="str">
        <x:v>Hubballi</x:v>
      </x:c>
      <x:c r="G3086" t="str">
        <x:v>Vikram</x:v>
      </x:c>
      <x:c r="H3086" t="str">
        <x:v>P032</x:v>
      </x:c>
      <x:c r="I3086" t="str">
        <x:v>Soy Sauce 700g</x:v>
      </x:c>
      <x:c r="J3086" t="str">
        <x:v>Condiments</x:v>
      </x:c>
      <x:c r="K3086" t="str">
        <x:v>Ching's</x:v>
      </x:c>
      <x:c r="L3086" s="22" t="n">
        <x:v>118</x:v>
      </x:c>
      <x:c r="M3086" t="n">
        <x:v>31</x:v>
      </x:c>
      <x:c r="N3086" s="24" t="n">
        <x:v>0</x:v>
      </x:c>
      <x:c r="O3086" s="22" t="n">
        <x:f>L3086*M3086</x:f>
        <x:v>3658</x:v>
      </x:c>
      <x:c r="P3086" s="22" t="n">
        <x:f>O3086*(1-N3086)</x:f>
        <x:v>3658</x:v>
      </x:c>
      <x:c r="Q3086" s="22" t="n">
        <x:v>101</x:v>
      </x:c>
      <x:c r="R3086" s="22" t="n">
        <x:f>Q3086*M3086</x:f>
        <x:v>3131</x:v>
      </x:c>
      <x:c r="S3086" s="22" t="n">
        <x:f>P3086-R3086</x:f>
        <x:v>527</x:v>
      </x:c>
      <x:c r="T3086" t="str">
        <x:v>Cash</x:v>
      </x:c>
      <x:c r="U3086" t="str">
        <x:v>Pending</x:v>
      </x:c>
      <x:c r="V3086" t="str">
        <x:v>Delayed</x:v>
      </x:c>
      <x:c r="W3086" t="n">
        <x:v>0</x:v>
      </x:c>
      <x:c r="X3086" t="str"/>
      <x:c r="Y3086" t="str">
        <x:v>Existing Customer</x:v>
      </x:c>
    </x:row>
    <x:row r="3087">
      <x:c r="A3087" t="str">
        <x:v>O003086</x:v>
      </x:c>
      <x:c r="B3087" s="20" t="n">
        <x:v>46255</x:v>
      </x:c>
      <x:c r="C3087" t="str">
        <x:v>C0037</x:v>
      </x:c>
      <x:c r="D3087" t="str">
        <x:v>Royal Cafe 37</x:v>
      </x:c>
      <x:c r="E3087" t="str">
        <x:v>Hotel</x:v>
      </x:c>
      <x:c r="F3087" t="str">
        <x:v>Mysuru</x:v>
      </x:c>
      <x:c r="G3087" t="str">
        <x:v>Sneha</x:v>
      </x:c>
      <x:c r="H3087" t="str">
        <x:v>P036</x:v>
      </x:c>
      <x:c r="I3087" t="str">
        <x:v>Garam Masala 500g</x:v>
      </x:c>
      <x:c r="J3087" t="str">
        <x:v>Spices</x:v>
      </x:c>
      <x:c r="K3087" t="str">
        <x:v>MDH</x:v>
      </x:c>
      <x:c r="L3087" s="22" t="n">
        <x:v>265</x:v>
      </x:c>
      <x:c r="M3087" t="n">
        <x:v>23</x:v>
      </x:c>
      <x:c r="N3087" s="24" t="n">
        <x:v>0.05</x:v>
      </x:c>
      <x:c r="O3087" s="22" t="n">
        <x:f>L3087*M3087</x:f>
        <x:v>6095</x:v>
      </x:c>
      <x:c r="P3087" s="22" t="n">
        <x:f>O3087*(1-N3087)</x:f>
        <x:v>5790.25</x:v>
      </x:c>
      <x:c r="Q3087" s="22" t="n">
        <x:v>230</x:v>
      </x:c>
      <x:c r="R3087" s="22" t="n">
        <x:f>Q3087*M3087</x:f>
        <x:v>5290</x:v>
      </x:c>
      <x:c r="S3087" s="22" t="n">
        <x:f>P3087-R3087</x:f>
        <x:v>500.25</x:v>
      </x:c>
      <x:c r="T3087" t="str">
        <x:v>UPI</x:v>
      </x:c>
      <x:c r="U3087" t="str">
        <x:v>Pending</x:v>
      </x:c>
      <x:c r="V3087" t="str">
        <x:v>Delivered</x:v>
      </x:c>
      <x:c r="W3087" t="n">
        <x:v>0</x:v>
      </x:c>
      <x:c r="X3087" t="str"/>
      <x:c r="Y3087" t="str">
        <x:v>Field Visit</x:v>
      </x:c>
    </x:row>
    <x:row r="3088">
      <x:c r="A3088" t="str">
        <x:v>O003087</x:v>
      </x:c>
      <x:c r="B3088" s="20" t="n">
        <x:v>46048</x:v>
      </x:c>
      <x:c r="C3088" t="str">
        <x:v>C0038</x:v>
      </x:c>
      <x:c r="D3088" t="str">
        <x:v>Mysore Kitchen 38</x:v>
      </x:c>
      <x:c r="E3088" t="str">
        <x:v>Kirana</x:v>
      </x:c>
      <x:c r="F3088" t="str">
        <x:v>Tumakuru</x:v>
      </x:c>
      <x:c r="G3088" t="str">
        <x:v>Priya</x:v>
      </x:c>
      <x:c r="H3088" t="str">
        <x:v>P031</x:v>
      </x:c>
      <x:c r="I3088" t="str">
        <x:v>Chilli Sauce 700g</x:v>
      </x:c>
      <x:c r="J3088" t="str">
        <x:v>Condiments</x:v>
      </x:c>
      <x:c r="K3088" t="str">
        <x:v>Ching's</x:v>
      </x:c>
      <x:c r="L3088" s="22" t="n">
        <x:v>130</x:v>
      </x:c>
      <x:c r="M3088" t="n">
        <x:v>11</x:v>
      </x:c>
      <x:c r="N3088" s="24" t="n">
        <x:v>0</x:v>
      </x:c>
      <x:c r="O3088" s="22" t="n">
        <x:f>L3088*M3088</x:f>
        <x:v>1430</x:v>
      </x:c>
      <x:c r="P3088" s="22" t="n">
        <x:f>O3088*(1-N3088)</x:f>
        <x:v>1430</x:v>
      </x:c>
      <x:c r="Q3088" s="22" t="n">
        <x:v>112</x:v>
      </x:c>
      <x:c r="R3088" s="22" t="n">
        <x:f>Q3088*M3088</x:f>
        <x:v>1232</x:v>
      </x:c>
      <x:c r="S3088" s="22" t="n">
        <x:f>P3088-R3088</x:f>
        <x:v>198</x:v>
      </x:c>
      <x:c r="T3088" t="str">
        <x:v>Cash</x:v>
      </x:c>
      <x:c r="U3088" t="str">
        <x:v>Paid</x:v>
      </x:c>
      <x:c r="V3088" t="str">
        <x:v>Delivered</x:v>
      </x:c>
      <x:c r="W3088" t="n">
        <x:v>0</x:v>
      </x:c>
      <x:c r="X3088" t="str"/>
      <x:c r="Y3088" t="str">
        <x:v>WhatsApp</x:v>
      </x:c>
    </x:row>
    <x:row r="3089">
      <x:c r="A3089" t="str">
        <x:v>O003088</x:v>
      </x:c>
      <x:c r="B3089" s="20" t="n">
        <x:v>46082</x:v>
      </x:c>
      <x:c r="C3089" t="str">
        <x:v>C0147</x:v>
      </x:c>
      <x:c r="D3089" t="str">
        <x:v>New Stores 147</x:v>
      </x:c>
      <x:c r="E3089" t="str">
        <x:v>Supermarket</x:v>
      </x:c>
      <x:c r="F3089" t="str">
        <x:v>Hubballi</x:v>
      </x:c>
      <x:c r="G3089" t="str">
        <x:v>Imran</x:v>
      </x:c>
      <x:c r="H3089" t="str">
        <x:v>P044</x:v>
      </x:c>
      <x:c r="I3089" t="str">
        <x:v>Chicken Curry Cut 1kg</x:v>
      </x:c>
      <x:c r="J3089" t="str">
        <x:v>Protein</x:v>
      </x:c>
      <x:c r="K3089" t="str">
        <x:v>FreshToHome</x:v>
      </x:c>
      <x:c r="L3089" s="22" t="n">
        <x:v>230</x:v>
      </x:c>
      <x:c r="M3089" t="n">
        <x:v>15</x:v>
      </x:c>
      <x:c r="N3089" s="24" t="n">
        <x:v>0.03</x:v>
      </x:c>
      <x:c r="O3089" s="22" t="n">
        <x:f>L3089*M3089</x:f>
        <x:v>3450</x:v>
      </x:c>
      <x:c r="P3089" s="22" t="n">
        <x:f>O3089*(1-N3089)</x:f>
        <x:v>3346.5</x:v>
      </x:c>
      <x:c r="Q3089" s="22" t="n">
        <x:v>205</x:v>
      </x:c>
      <x:c r="R3089" s="22" t="n">
        <x:f>Q3089*M3089</x:f>
        <x:v>3075</x:v>
      </x:c>
      <x:c r="S3089" s="22" t="n">
        <x:f>P3089-R3089</x:f>
        <x:v>271.5</x:v>
      </x:c>
      <x:c r="T3089" t="str">
        <x:v>Cash</x:v>
      </x:c>
      <x:c r="U3089" t="str">
        <x:v>Paid</x:v>
      </x:c>
      <x:c r="V3089" t="str">
        <x:v>Delayed</x:v>
      </x:c>
      <x:c r="W3089" t="n">
        <x:v>0</x:v>
      </x:c>
      <x:c r="X3089" t="str"/>
      <x:c r="Y3089" t="str"/>
    </x:row>
    <x:row r="3090">
      <x:c r="A3090" t="str">
        <x:v>O003089</x:v>
      </x:c>
      <x:c r="B3090" s="20" t="n">
        <x:v>46014</x:v>
      </x:c>
      <x:c r="C3090" t="str">
        <x:v>C0143</x:v>
      </x:c>
      <x:c r="D3090" t="str">
        <x:v>Foodie Restaurant 143</x:v>
      </x:c>
      <x:c r="E3090" t="str">
        <x:v>Restaurant</x:v>
      </x:c>
      <x:c r="F3090" t="str">
        <x:v>Hubballi</x:v>
      </x:c>
      <x:c r="G3090" t="str">
        <x:v>Priya</x:v>
      </x:c>
      <x:c r="H3090" t="str">
        <x:v>P037</x:v>
      </x:c>
      <x:c r="I3090" t="str">
        <x:v>Frozen Peas 1kg</x:v>
      </x:c>
      <x:c r="J3090" t="str">
        <x:v>Frozen</x:v>
      </x:c>
      <x:c r="K3090" t="str">
        <x:v>Safal</x:v>
      </x:c>
      <x:c r="L3090" s="22" t="n">
        <x:v>155</x:v>
      </x:c>
      <x:c r="M3090" t="n">
        <x:v>21</x:v>
      </x:c>
      <x:c r="N3090" s="24" t="n">
        <x:v>0.05</x:v>
      </x:c>
      <x:c r="O3090" s="22" t="n">
        <x:f>L3090*M3090</x:f>
        <x:v>3255</x:v>
      </x:c>
      <x:c r="P3090" s="22" t="n">
        <x:f>O3090*(1-N3090)</x:f>
        <x:v>3092.25</x:v>
      </x:c>
      <x:c r="Q3090" s="22" t="n">
        <x:v>138</x:v>
      </x:c>
      <x:c r="R3090" s="22" t="n">
        <x:f>Q3090*M3090</x:f>
        <x:v>2898</x:v>
      </x:c>
      <x:c r="S3090" s="22" t="n">
        <x:f>P3090-R3090</x:f>
        <x:v>194.25</x:v>
      </x:c>
      <x:c r="T3090" t="str">
        <x:v>Cash</x:v>
      </x:c>
      <x:c r="U3090" t="str">
        <x:v>Paid</x:v>
      </x:c>
      <x:c r="V3090" t="str">
        <x:v>Delivered</x:v>
      </x:c>
      <x:c r="W3090" t="n">
        <x:v>0</x:v>
      </x:c>
      <x:c r="X3090" t="str"/>
      <x:c r="Y3090" t="str">
        <x:v>Field Visit</x:v>
      </x:c>
    </x:row>
    <x:row r="3091">
      <x:c r="A3091" t="str">
        <x:v>O003090</x:v>
      </x:c>
      <x:c r="B3091" s="20" t="n">
        <x:v>46183</x:v>
      </x:c>
      <x:c r="C3091" t="str">
        <x:v>C0121</x:v>
      </x:c>
      <x:c r="D3091" t="str">
        <x:v>Mysore Restaurant 121</x:v>
      </x:c>
      <x:c r="E3091" t="str">
        <x:v>Cafe</x:v>
      </x:c>
      <x:c r="F3091" t="str">
        <x:v>Mysuru</x:v>
      </x:c>
      <x:c r="G3091" t="str">
        <x:v>Sneha</x:v>
      </x:c>
      <x:c r="H3091" t="str">
        <x:v>P004</x:v>
      </x:c>
      <x:c r="I3091" t="str">
        <x:v>Toor Dal 5kg</x:v>
      </x:c>
      <x:c r="J3091" t="str">
        <x:v>Pulses</x:v>
      </x:c>
      <x:c r="K3091" t="str">
        <x:v>Tata Sampann</x:v>
      </x:c>
      <x:c r="L3091" s="22" t="n">
        <x:v>780</x:v>
      </x:c>
      <x:c r="M3091" t="n">
        <x:v>32</x:v>
      </x:c>
      <x:c r="N3091" s="24" t="n">
        <x:v>0</x:v>
      </x:c>
      <x:c r="O3091" s="22" t="n">
        <x:f>L3091*M3091</x:f>
        <x:v>24960</x:v>
      </x:c>
      <x:c r="P3091" s="22" t="n">
        <x:f>O3091*(1-N3091)</x:f>
        <x:v>24960</x:v>
      </x:c>
      <x:c r="Q3091" s="22" t="n">
        <x:v>695</x:v>
      </x:c>
      <x:c r="R3091" s="22" t="n">
        <x:f>Q3091*M3091</x:f>
        <x:v>22240</x:v>
      </x:c>
      <x:c r="S3091" s="22" t="n">
        <x:f>P3091-R3091</x:f>
        <x:v>2720</x:v>
      </x:c>
      <x:c r="T3091" t="str">
        <x:v>UPI</x:v>
      </x:c>
      <x:c r="U3091" t="str">
        <x:v>Paid</x:v>
      </x:c>
      <x:c r="V3091" t="str">
        <x:v>Delivered</x:v>
      </x:c>
      <x:c r="W3091" t="n">
        <x:v>2</x:v>
      </x:c>
      <x:c r="X3091" t="str">
        <x:v>Late Delivery</x:v>
      </x:c>
      <x:c r="Y3091" t="str">
        <x:v>Referral</x:v>
      </x:c>
    </x:row>
    <x:row r="3092">
      <x:c r="A3092" t="str">
        <x:v>O003091</x:v>
      </x:c>
      <x:c r="B3092" s="20" t="n">
        <x:v>45829</x:v>
      </x:c>
      <x:c r="C3092" t="str">
        <x:v>C0097</x:v>
      </x:c>
      <x:c r="D3092" t="str">
        <x:v>Classic Stores 97</x:v>
      </x:c>
      <x:c r="E3092" t="str">
        <x:v>Restaurant</x:v>
      </x:c>
      <x:c r="F3092" t="str">
        <x:v>Davanagere</x:v>
      </x:c>
      <x:c r="G3092" t="str">
        <x:v>Priya</x:v>
      </x:c>
      <x:c r="H3092" t="str">
        <x:v>P015</x:v>
      </x:c>
      <x:c r="I3092" t="str">
        <x:v>Milk 1L</x:v>
      </x:c>
      <x:c r="J3092" t="str">
        <x:v>Dairy</x:v>
      </x:c>
      <x:c r="K3092" t="str">
        <x:v>Nandini</x:v>
      </x:c>
      <x:c r="L3092" s="22" t="n">
        <x:v>48</x:v>
      </x:c>
      <x:c r="M3092" t="n">
        <x:v>23</x:v>
      </x:c>
      <x:c r="N3092" s="24" t="n">
        <x:v>0.05</x:v>
      </x:c>
      <x:c r="O3092" s="22" t="n">
        <x:f>L3092*M3092</x:f>
        <x:v>1104</x:v>
      </x:c>
      <x:c r="P3092" s="22" t="n">
        <x:f>O3092*(1-N3092)</x:f>
        <x:v>1048.8</x:v>
      </x:c>
      <x:c r="Q3092" s="22" t="n">
        <x:v>43</x:v>
      </x:c>
      <x:c r="R3092" s="22" t="n">
        <x:f>Q3092*M3092</x:f>
        <x:v>989</x:v>
      </x:c>
      <x:c r="S3092" s="22" t="n">
        <x:f>P3092-R3092</x:f>
        <x:v>59.799999999999955</x:v>
      </x:c>
      <x:c r="T3092" t="str">
        <x:v>Credit</x:v>
      </x:c>
      <x:c r="U3092" t="str">
        <x:v>Paid</x:v>
      </x:c>
      <x:c r="V3092" t="str">
        <x:v>Cancelled</x:v>
      </x:c>
      <x:c r="W3092" t="n">
        <x:v>23</x:v>
      </x:c>
      <x:c r="X3092" t="str">
        <x:v>Cancelled Order</x:v>
      </x:c>
      <x:c r="Y3092" t="str">
        <x:v>Referral</x:v>
      </x:c>
    </x:row>
    <x:row r="3093">
      <x:c r="A3093" t="str">
        <x:v>O003092</x:v>
      </x:c>
      <x:c r="B3093" s="20" t="n">
        <x:v>45949</x:v>
      </x:c>
      <x:c r="C3093" t="str">
        <x:v>C0187</x:v>
      </x:c>
      <x:c r="D3093" t="str">
        <x:v>City Cafe 187</x:v>
      </x:c>
      <x:c r="E3093" t="str">
        <x:v>Hotel</x:v>
      </x:c>
      <x:c r="F3093" t="str">
        <x:v>Mysuru</x:v>
      </x:c>
      <x:c r="G3093" t="str">
        <x:v>Priya</x:v>
      </x:c>
      <x:c r="H3093" t="str">
        <x:v>P014</x:v>
      </x:c>
      <x:c r="I3093" t="str">
        <x:v>Rava 5kg</x:v>
      </x:c>
      <x:c r="J3093" t="str">
        <x:v>Flour</x:v>
      </x:c>
      <x:c r="K3093" t="str">
        <x:v>Local Select</x:v>
      </x:c>
      <x:c r="L3093" s="22" t="n">
        <x:v>245</x:v>
      </x:c>
      <x:c r="M3093" t="n">
        <x:v>33</x:v>
      </x:c>
      <x:c r="N3093" s="24" t="n">
        <x:v>0.03</x:v>
      </x:c>
      <x:c r="O3093" s="22" t="n">
        <x:f>L3093*M3093</x:f>
        <x:v>8085</x:v>
      </x:c>
      <x:c r="P3093" s="22" t="n">
        <x:f>O3093*(1-N3093)</x:f>
        <x:v>7842.45</x:v>
      </x:c>
      <x:c r="Q3093" s="22" t="n">
        <x:v>215</x:v>
      </x:c>
      <x:c r="R3093" s="22" t="n">
        <x:f>Q3093*M3093</x:f>
        <x:v>7095</x:v>
      </x:c>
      <x:c r="S3093" s="22" t="n">
        <x:f>P3093-R3093</x:f>
        <x:v>747.4499999999998</x:v>
      </x:c>
      <x:c r="T3093" t="str">
        <x:v>Bank Transfer</x:v>
      </x:c>
      <x:c r="U3093" t="str">
        <x:v>Paid</x:v>
      </x:c>
      <x:c r="V3093" t="str">
        <x:v>Delivered</x:v>
      </x:c>
      <x:c r="W3093" t="n">
        <x:v>0</x:v>
      </x:c>
      <x:c r="X3093" t="str"/>
      <x:c r="Y3093" t="str"/>
    </x:row>
    <x:row r="3094">
      <x:c r="A3094" t="str">
        <x:v>O003093</x:v>
      </x:c>
      <x:c r="B3094" s="20" t="n">
        <x:v>45784</x:v>
      </x:c>
      <x:c r="C3094" t="str">
        <x:v>C0025</x:v>
      </x:c>
      <x:c r="D3094" t="str">
        <x:v>Sri Cafe 25</x:v>
      </x:c>
      <x:c r="E3094" t="str">
        <x:v>Hotel</x:v>
      </x:c>
      <x:c r="F3094" t="str">
        <x:v>Mysuru</x:v>
      </x:c>
      <x:c r="G3094" t="str">
        <x:v>Kavya</x:v>
      </x:c>
      <x:c r="H3094" t="str">
        <x:v>P038</x:v>
      </x:c>
      <x:c r="I3094" t="str">
        <x:v>French Fries 2.5kg</x:v>
      </x:c>
      <x:c r="J3094" t="str">
        <x:v>Frozen</x:v>
      </x:c>
      <x:c r="K3094" t="str">
        <x:v>McCain</x:v>
      </x:c>
      <x:c r="L3094" s="22" t="n">
        <x:v>360</x:v>
      </x:c>
      <x:c r="M3094" t="n">
        <x:v>3</x:v>
      </x:c>
      <x:c r="N3094" s="24" t="n">
        <x:v>0.05</x:v>
      </x:c>
      <x:c r="O3094" s="22" t="n">
        <x:f>L3094*M3094</x:f>
        <x:v>1080</x:v>
      </x:c>
      <x:c r="P3094" s="22" t="n">
        <x:f>O3094*(1-N3094)</x:f>
        <x:v>1026</x:v>
      </x:c>
      <x:c r="Q3094" s="22" t="n">
        <x:v>315</x:v>
      </x:c>
      <x:c r="R3094" s="22" t="n">
        <x:f>Q3094*M3094</x:f>
        <x:v>945</x:v>
      </x:c>
      <x:c r="S3094" s="22" t="n">
        <x:f>P3094-R3094</x:f>
        <x:v>81</x:v>
      </x:c>
      <x:c r="T3094" t="str">
        <x:v>Cash</x:v>
      </x:c>
      <x:c r="U3094" t="str">
        <x:v>Paid</x:v>
      </x:c>
      <x:c r="V3094" t="str">
        <x:v>Delivered</x:v>
      </x:c>
      <x:c r="W3094" t="n">
        <x:v>0</x:v>
      </x:c>
      <x:c r="X3094" t="str"/>
      <x:c r="Y3094" t="str">
        <x:v>Outbound Call</x:v>
      </x:c>
    </x:row>
    <x:row r="3095">
      <x:c r="A3095" t="str">
        <x:v>O003094</x:v>
      </x:c>
      <x:c r="B3095" s="20" t="n">
        <x:v>45815</x:v>
      </x:c>
      <x:c r="C3095" t="str">
        <x:v>C0054</x:v>
      </x:c>
      <x:c r="D3095" t="str">
        <x:v>Cafe Cafe 54</x:v>
      </x:c>
      <x:c r="E3095" t="str">
        <x:v>Restaurant</x:v>
      </x:c>
      <x:c r="F3095" t="str">
        <x:v>Hubballi</x:v>
      </x:c>
      <x:c r="G3095" t="str">
        <x:v>Vikram</x:v>
      </x:c>
      <x:c r="H3095" t="str">
        <x:v>P048</x:v>
      </x:c>
      <x:c r="I3095" t="str">
        <x:v>Banana 10kg</x:v>
      </x:c>
      <x:c r="J3095" t="str">
        <x:v>Fresh Produce</x:v>
      </x:c>
      <x:c r="K3095" t="str">
        <x:v>Local Market</x:v>
      </x:c>
      <x:c r="L3095" s="22" t="n">
        <x:v>420</x:v>
      </x:c>
      <x:c r="M3095" t="n">
        <x:v>27</x:v>
      </x:c>
      <x:c r="N3095" s="24" t="n">
        <x:v>0.02</x:v>
      </x:c>
      <x:c r="O3095" s="22" t="n">
        <x:f>L3095*M3095</x:f>
        <x:v>11340</x:v>
      </x:c>
      <x:c r="P3095" s="22" t="n">
        <x:f>O3095*(1-N3095)</x:f>
        <x:v>11113.199999999999</x:v>
      </x:c>
      <x:c r="Q3095" s="22" t="n">
        <x:v>350</x:v>
      </x:c>
      <x:c r="R3095" s="22" t="n">
        <x:f>Q3095*M3095</x:f>
        <x:v>9450</x:v>
      </x:c>
      <x:c r="S3095" s="22" t="n">
        <x:f>P3095-R3095</x:f>
        <x:v>1663.199999999999</x:v>
      </x:c>
      <x:c r="T3095" t="str">
        <x:v>Credit</x:v>
      </x:c>
      <x:c r="U3095" t="str">
        <x:v>Pending</x:v>
      </x:c>
      <x:c r="V3095" t="str">
        <x:v>Delayed</x:v>
      </x:c>
      <x:c r="W3095" t="n">
        <x:v>0</x:v>
      </x:c>
      <x:c r="X3095" t="str"/>
      <x:c r="Y3095" t="str">
        <x:v>Existing Customer</x:v>
      </x:c>
    </x:row>
    <x:row r="3096">
      <x:c r="A3096" t="str">
        <x:v>O003095</x:v>
      </x:c>
      <x:c r="B3096" s="20" t="n">
        <x:v>46138</x:v>
      </x:c>
      <x:c r="C3096" t="str">
        <x:v>C0051</x:v>
      </x:c>
      <x:c r="D3096" t="str">
        <x:v>Cafe Hotel 51</x:v>
      </x:c>
      <x:c r="E3096" t="str">
        <x:v>Kirana</x:v>
      </x:c>
      <x:c r="F3096" t="str">
        <x:v>Tumakuru</x:v>
      </x:c>
      <x:c r="G3096" t="str">
        <x:v>Arjun</x:v>
      </x:c>
      <x:c r="H3096" t="str">
        <x:v>P043</x:v>
      </x:c>
      <x:c r="I3096" t="str">
        <x:v>Chicken Breast 1kg</x:v>
      </x:c>
      <x:c r="J3096" t="str">
        <x:v>Protein</x:v>
      </x:c>
      <x:c r="K3096" t="str">
        <x:v>FreshToHome</x:v>
      </x:c>
      <x:c r="L3096" s="22" t="n">
        <x:v>260</x:v>
      </x:c>
      <x:c r="M3096" t="n">
        <x:v>33</x:v>
      </x:c>
      <x:c r="N3096" s="24" t="n">
        <x:v>0.02</x:v>
      </x:c>
      <x:c r="O3096" s="22" t="n">
        <x:f>L3096*M3096</x:f>
        <x:v>8580</x:v>
      </x:c>
      <x:c r="P3096" s="22" t="n">
        <x:f>O3096*(1-N3096)</x:f>
        <x:v>8408.4</x:v>
      </x:c>
      <x:c r="Q3096" s="22" t="n">
        <x:v>235</x:v>
      </x:c>
      <x:c r="R3096" s="22" t="n">
        <x:f>Q3096*M3096</x:f>
        <x:v>7755</x:v>
      </x:c>
      <x:c r="S3096" s="22" t="n">
        <x:f>P3096-R3096</x:f>
        <x:v>653.3999999999996</x:v>
      </x:c>
      <x:c r="T3096" t="str">
        <x:v>Cash</x:v>
      </x:c>
      <x:c r="U3096" t="str">
        <x:v>Paid</x:v>
      </x:c>
      <x:c r="V3096" t="str">
        <x:v>Delivered</x:v>
      </x:c>
      <x:c r="W3096" t="n">
        <x:v>0</x:v>
      </x:c>
      <x:c r="X3096" t="str"/>
      <x:c r="Y3096" t="str">
        <x:v>WhatsApp</x:v>
      </x:c>
    </x:row>
    <x:row r="3097">
      <x:c r="A3097" t="str">
        <x:v>O003096</x:v>
      </x:c>
      <x:c r="B3097" s="20" t="n">
        <x:v>45681</x:v>
      </x:c>
      <x:c r="C3097" t="str">
        <x:v>C0202</x:v>
      </x:c>
      <x:c r="D3097" t="str">
        <x:v>Sagar Foods 202</x:v>
      </x:c>
      <x:c r="E3097" t="str">
        <x:v>Restaurant</x:v>
      </x:c>
      <x:c r="F3097" t="str">
        <x:v>Mangaluru</x:v>
      </x:c>
      <x:c r="G3097" t="str">
        <x:v>Kavya</x:v>
      </x:c>
      <x:c r="H3097" t="str">
        <x:v>P040</x:v>
      </x:c>
      <x:c r="I3097" t="str">
        <x:v>Bread Loaf 400g</x:v>
      </x:c>
      <x:c r="J3097" t="str">
        <x:v>Bakery</x:v>
      </x:c>
      <x:c r="K3097" t="str">
        <x:v>Britannia</x:v>
      </x:c>
      <x:c r="L3097" s="22" t="n">
        <x:v>45</x:v>
      </x:c>
      <x:c r="M3097" t="n">
        <x:v>39</x:v>
      </x:c>
      <x:c r="N3097" s="24" t="n">
        <x:v>0</x:v>
      </x:c>
      <x:c r="O3097" s="22" t="n">
        <x:f>L3097*M3097</x:f>
        <x:v>1755</x:v>
      </x:c>
      <x:c r="P3097" s="22" t="n">
        <x:f>O3097*(1-N3097)</x:f>
        <x:v>1755</x:v>
      </x:c>
      <x:c r="Q3097" s="22" t="n">
        <x:v>35</x:v>
      </x:c>
      <x:c r="R3097" s="22" t="n">
        <x:f>Q3097*M3097</x:f>
        <x:v>1365</x:v>
      </x:c>
      <x:c r="S3097" s="22" t="n">
        <x:f>P3097-R3097</x:f>
        <x:v>390</x:v>
      </x:c>
      <x:c r="T3097" t="str">
        <x:v>UPI</x:v>
      </x:c>
      <x:c r="U3097" t="str">
        <x:v>Pending</x:v>
      </x:c>
      <x:c r="V3097" t="str">
        <x:v>Delivered</x:v>
      </x:c>
      <x:c r="W3097" t="n">
        <x:v>0</x:v>
      </x:c>
      <x:c r="X3097" t="str"/>
      <x:c r="Y3097" t="str">
        <x:v>Field Visit</x:v>
      </x:c>
    </x:row>
    <x:row r="3098">
      <x:c r="A3098" t="str">
        <x:v>O003097</x:v>
      </x:c>
      <x:c r="B3098" s="20" t="n">
        <x:v>45672</x:v>
      </x:c>
      <x:c r="C3098" t="str">
        <x:v>C0144</x:v>
      </x:c>
      <x:c r="D3098" t="str">
        <x:v>Namma Foods 144</x:v>
      </x:c>
      <x:c r="E3098" t="str">
        <x:v>Restaurant</x:v>
      </x:c>
      <x:c r="F3098" t="str">
        <x:v>Tumakuru</x:v>
      </x:c>
      <x:c r="G3098" t="str">
        <x:v>Arjun</x:v>
      </x:c>
      <x:c r="H3098" t="str">
        <x:v>P007</x:v>
      </x:c>
      <x:c r="I3098" t="str">
        <x:v>Sunflower Oil 15L</x:v>
      </x:c>
      <x:c r="J3098" t="str">
        <x:v>Edible Oil</x:v>
      </x:c>
      <x:c r="K3098" t="str">
        <x:v>Fortune</x:v>
      </x:c>
      <x:c r="L3098" s="22" t="n">
        <x:v>1980</x:v>
      </x:c>
      <x:c r="M3098" t="n">
        <x:v>6</x:v>
      </x:c>
      <x:c r="N3098" s="24" t="n">
        <x:v>0.05</x:v>
      </x:c>
      <x:c r="O3098" s="22" t="n">
        <x:f>L3098*M3098</x:f>
        <x:v>11880</x:v>
      </x:c>
      <x:c r="P3098" s="22" t="n">
        <x:f>O3098*(1-N3098)</x:f>
        <x:v>11286</x:v>
      </x:c>
      <x:c r="Q3098" s="22" t="n">
        <x:v>1810</x:v>
      </x:c>
      <x:c r="R3098" s="22" t="n">
        <x:f>Q3098*M3098</x:f>
        <x:v>10860</x:v>
      </x:c>
      <x:c r="S3098" s="22" t="n">
        <x:f>P3098-R3098</x:f>
        <x:v>426</x:v>
      </x:c>
      <x:c r="T3098" t="str">
        <x:v>Bank Transfer</x:v>
      </x:c>
      <x:c r="U3098" t="str">
        <x:v>Paid</x:v>
      </x:c>
      <x:c r="V3098" t="str">
        <x:v>Delivered</x:v>
      </x:c>
      <x:c r="W3098" t="n">
        <x:v>0</x:v>
      </x:c>
      <x:c r="X3098" t="str"/>
      <x:c r="Y3098" t="str">
        <x:v>Existing Customer</x:v>
      </x:c>
    </x:row>
    <x:row r="3099">
      <x:c r="A3099" t="str">
        <x:v>O003098</x:v>
      </x:c>
      <x:c r="B3099" s="20" t="n">
        <x:v>45876</x:v>
      </x:c>
      <x:c r="C3099" t="str">
        <x:v>C0066</x:v>
      </x:c>
      <x:c r="D3099" t="str">
        <x:v>Hotel Hotel 66</x:v>
      </x:c>
      <x:c r="E3099" t="str">
        <x:v>Restaurant</x:v>
      </x:c>
      <x:c r="F3099" t="str">
        <x:v>Davanagere</x:v>
      </x:c>
      <x:c r="G3099" t="str">
        <x:v>Megha</x:v>
      </x:c>
      <x:c r="H3099" t="str">
        <x:v>P032</x:v>
      </x:c>
      <x:c r="I3099" t="str">
        <x:v>Soy Sauce 700g</x:v>
      </x:c>
      <x:c r="J3099" t="str">
        <x:v>Condiments</x:v>
      </x:c>
      <x:c r="K3099" t="str">
        <x:v>Ching's</x:v>
      </x:c>
      <x:c r="L3099" s="22" t="n">
        <x:v>118</x:v>
      </x:c>
      <x:c r="M3099" t="n">
        <x:v>15</x:v>
      </x:c>
      <x:c r="N3099" s="24" t="n">
        <x:v>0.03</x:v>
      </x:c>
      <x:c r="O3099" s="22" t="n">
        <x:f>L3099*M3099</x:f>
        <x:v>1770</x:v>
      </x:c>
      <x:c r="P3099" s="22" t="n">
        <x:f>O3099*(1-N3099)</x:f>
        <x:v>1716.8999999999999</x:v>
      </x:c>
      <x:c r="Q3099" s="22" t="n">
        <x:v>101</x:v>
      </x:c>
      <x:c r="R3099" s="22" t="n">
        <x:f>Q3099*M3099</x:f>
        <x:v>1515</x:v>
      </x:c>
      <x:c r="S3099" s="22" t="n">
        <x:f>P3099-R3099</x:f>
        <x:v>201.89999999999986</x:v>
      </x:c>
      <x:c r="T3099" t="str">
        <x:v>UPI</x:v>
      </x:c>
      <x:c r="U3099" t="str">
        <x:v>Pending</x:v>
      </x:c>
      <x:c r="V3099" t="str">
        <x:v>Cancelled</x:v>
      </x:c>
      <x:c r="W3099" t="n">
        <x:v>15</x:v>
      </x:c>
      <x:c r="X3099" t="str">
        <x:v>Cancelled Order</x:v>
      </x:c>
      <x:c r="Y3099" t="str">
        <x:v>Field Visit</x:v>
      </x:c>
    </x:row>
    <x:row r="3100">
      <x:c r="A3100" t="str">
        <x:v>O003099</x:v>
      </x:c>
      <x:c r="B3100" s="20" t="n">
        <x:v>45688</x:v>
      </x:c>
      <x:c r="C3100" t="str">
        <x:v>C0242</x:v>
      </x:c>
      <x:c r="D3100" t="str">
        <x:v>Fresh Cafe 242</x:v>
      </x:c>
      <x:c r="E3100" t="str">
        <x:v>Canteen</x:v>
      </x:c>
      <x:c r="F3100" t="str">
        <x:v>Davanagere</x:v>
      </x:c>
      <x:c r="G3100" t="str">
        <x:v>Kavya</x:v>
      </x:c>
      <x:c r="H3100" t="str">
        <x:v>P037</x:v>
      </x:c>
      <x:c r="I3100" t="str">
        <x:v>Frozen Peas 1kg</x:v>
      </x:c>
      <x:c r="J3100" t="str">
        <x:v>Frozen</x:v>
      </x:c>
      <x:c r="K3100" t="str">
        <x:v>Safal</x:v>
      </x:c>
      <x:c r="L3100" s="22" t="n">
        <x:v>155</x:v>
      </x:c>
      <x:c r="M3100" t="n">
        <x:v>22</x:v>
      </x:c>
      <x:c r="N3100" s="24" t="n">
        <x:v>0.02</x:v>
      </x:c>
      <x:c r="O3100" s="22" t="n">
        <x:f>L3100*M3100</x:f>
        <x:v>3410</x:v>
      </x:c>
      <x:c r="P3100" s="22" t="n">
        <x:f>O3100*(1-N3100)</x:f>
        <x:v>3341.7999999999997</x:v>
      </x:c>
      <x:c r="Q3100" s="22" t="n">
        <x:v>138</x:v>
      </x:c>
      <x:c r="R3100" s="22" t="n">
        <x:f>Q3100*M3100</x:f>
        <x:v>3036</x:v>
      </x:c>
      <x:c r="S3100" s="22" t="n">
        <x:f>P3100-R3100</x:f>
        <x:v>305.7999999999997</x:v>
      </x:c>
      <x:c r="T3100" t="str">
        <x:v>Cash</x:v>
      </x:c>
      <x:c r="U3100" t="str">
        <x:v>Pending</x:v>
      </x:c>
      <x:c r="V3100" t="str">
        <x:v>Delivered</x:v>
      </x:c>
      <x:c r="W3100" t="n">
        <x:v>0</x:v>
      </x:c>
      <x:c r="X3100" t="str"/>
      <x:c r="Y3100" t="str">
        <x:v>WhatsApp</x:v>
      </x:c>
    </x:row>
    <x:row r="3101">
      <x:c r="A3101" t="str">
        <x:v>O003100</x:v>
      </x:c>
      <x:c r="B3101" s="20" t="n">
        <x:v>46118</x:v>
      </x:c>
      <x:c r="C3101" t="str">
        <x:v>C0229</x:v>
      </x:c>
      <x:c r="D3101" t="str">
        <x:v>Namma Canteen 229</x:v>
      </x:c>
      <x:c r="E3101" t="str">
        <x:v>Restaurant</x:v>
      </x:c>
      <x:c r="F3101" t="str">
        <x:v>Bengaluru</x:v>
      </x:c>
      <x:c r="G3101" t="str">
        <x:v>Arjun</x:v>
      </x:c>
      <x:c r="H3101" t="str">
        <x:v>P020</x:v>
      </x:c>
      <x:c r="I3101" t="str">
        <x:v>Coffee 500g</x:v>
      </x:c>
      <x:c r="J3101" t="str">
        <x:v>Beverage</x:v>
      </x:c>
      <x:c r="K3101" t="str">
        <x:v>Bru</x:v>
      </x:c>
      <x:c r="L3101" s="22" t="n">
        <x:v>390</x:v>
      </x:c>
      <x:c r="M3101" t="n">
        <x:v>29</x:v>
      </x:c>
      <x:c r="N3101" s="24" t="n">
        <x:v>0</x:v>
      </x:c>
      <x:c r="O3101" s="22" t="n">
        <x:f>L3101*M3101</x:f>
        <x:v>11310</x:v>
      </x:c>
      <x:c r="P3101" s="22" t="n">
        <x:f>O3101*(1-N3101)</x:f>
        <x:v>11310</x:v>
      </x:c>
      <x:c r="Q3101" s="22" t="n">
        <x:v>350</x:v>
      </x:c>
      <x:c r="R3101" s="22" t="n">
        <x:f>Q3101*M3101</x:f>
        <x:v>10150</x:v>
      </x:c>
      <x:c r="S3101" s="22" t="n">
        <x:f>P3101-R3101</x:f>
        <x:v>1160</x:v>
      </x:c>
      <x:c r="T3101" t="str">
        <x:v>Bank Transfer</x:v>
      </x:c>
      <x:c r="U3101" t="str">
        <x:v>Overdue</x:v>
      </x:c>
      <x:c r="V3101" t="str">
        <x:v>Delivered</x:v>
      </x:c>
      <x:c r="W3101" t="n">
        <x:v>0</x:v>
      </x:c>
      <x:c r="X3101" t="str"/>
      <x:c r="Y3101" t="str">
        <x:v>Field Visit</x:v>
      </x:c>
    </x:row>
    <x:row r="3102">
      <x:c r="A3102" t="str">
        <x:v>O003101</x:v>
      </x:c>
      <x:c r="B3102" s="20" t="n">
        <x:v>46178</x:v>
      </x:c>
      <x:c r="C3102" t="str">
        <x:v>C0156</x:v>
      </x:c>
      <x:c r="D3102" t="str">
        <x:v>Metro Stores 156</x:v>
      </x:c>
      <x:c r="E3102" t="str">
        <x:v>Hotel</x:v>
      </x:c>
      <x:c r="F3102" t="str">
        <x:v>Tumakuru</x:v>
      </x:c>
      <x:c r="G3102" t="str">
        <x:v>Ramesh</x:v>
      </x:c>
      <x:c r="H3102" t="str">
        <x:v>P026</x:v>
      </x:c>
      <x:c r="I3102" t="str">
        <x:v>Banana Chips 80g</x:v>
      </x:c>
      <x:c r="J3102" t="str">
        <x:v>Snacks</x:v>
      </x:c>
      <x:c r="K3102" t="str">
        <x:v>SSS</x:v>
      </x:c>
      <x:c r="L3102" s="22" t="n">
        <x:v>54</x:v>
      </x:c>
      <x:c r="M3102" t="n">
        <x:v>21</x:v>
      </x:c>
      <x:c r="N3102" s="24" t="n">
        <x:v>0.05</x:v>
      </x:c>
      <x:c r="O3102" s="22" t="n">
        <x:f>L3102*M3102</x:f>
        <x:v>1134</x:v>
      </x:c>
      <x:c r="P3102" s="22" t="n">
        <x:f>O3102*(1-N3102)</x:f>
        <x:v>1077.3</x:v>
      </x:c>
      <x:c r="Q3102" s="22" t="n">
        <x:v>39</x:v>
      </x:c>
      <x:c r="R3102" s="22" t="n">
        <x:f>Q3102*M3102</x:f>
        <x:v>819</x:v>
      </x:c>
      <x:c r="S3102" s="22" t="n">
        <x:f>P3102-R3102</x:f>
        <x:v>258.29999999999995</x:v>
      </x:c>
      <x:c r="T3102" t="str">
        <x:v>UPI</x:v>
      </x:c>
      <x:c r="U3102" t="str">
        <x:v>Paid</x:v>
      </x:c>
      <x:c r="V3102" t="str">
        <x:v>Cancelled</x:v>
      </x:c>
      <x:c r="W3102" t="n">
        <x:v>21</x:v>
      </x:c>
      <x:c r="X3102" t="str">
        <x:v>Cancelled Order</x:v>
      </x:c>
      <x:c r="Y3102" t="str">
        <x:v>Field Visit</x:v>
      </x:c>
    </x:row>
    <x:row r="3103">
      <x:c r="A3103" t="str">
        <x:v>O003102</x:v>
      </x:c>
      <x:c r="B3103" s="20" t="n">
        <x:v>46181</x:v>
      </x:c>
      <x:c r="C3103" t="str">
        <x:v>C0062</x:v>
      </x:c>
      <x:c r="D3103" t="str">
        <x:v>Foodie Hotel 62</x:v>
      </x:c>
      <x:c r="E3103" t="str">
        <x:v>Cafe</x:v>
      </x:c>
      <x:c r="F3103" t="str">
        <x:v>Mysuru</x:v>
      </x:c>
      <x:c r="G3103" t="str">
        <x:v>Vikram</x:v>
      </x:c>
      <x:c r="H3103" t="str">
        <x:v>P003</x:v>
      </x:c>
      <x:c r="I3103" t="str">
        <x:v>Basmati Rice 5kg</x:v>
      </x:c>
      <x:c r="J3103" t="str">
        <x:v>Staples</x:v>
      </x:c>
      <x:c r="K3103" t="str">
        <x:v>India Gate</x:v>
      </x:c>
      <x:c r="L3103" s="22" t="n">
        <x:v>690</x:v>
      </x:c>
      <x:c r="M3103" t="n">
        <x:v>37</x:v>
      </x:c>
      <x:c r="N3103" s="24" t="n">
        <x:v>0.05</x:v>
      </x:c>
      <x:c r="O3103" s="22" t="n">
        <x:f>L3103*M3103</x:f>
        <x:v>25530</x:v>
      </x:c>
      <x:c r="P3103" s="22" t="n">
        <x:f>O3103*(1-N3103)</x:f>
        <x:v>24253.5</x:v>
      </x:c>
      <x:c r="Q3103" s="22" t="n">
        <x:v>610</x:v>
      </x:c>
      <x:c r="R3103" s="22" t="n">
        <x:f>Q3103*M3103</x:f>
        <x:v>22570</x:v>
      </x:c>
      <x:c r="S3103" s="22" t="n">
        <x:f>P3103-R3103</x:f>
        <x:v>1683.5</x:v>
      </x:c>
      <x:c r="T3103" t="str">
        <x:v>Credit</x:v>
      </x:c>
      <x:c r="U3103" t="str">
        <x:v>Paid</x:v>
      </x:c>
      <x:c r="V3103" t="str">
        <x:v>Delayed</x:v>
      </x:c>
      <x:c r="W3103" t="n">
        <x:v>0</x:v>
      </x:c>
      <x:c r="X3103" t="str"/>
      <x:c r="Y3103" t="str">
        <x:v>Referral</x:v>
      </x:c>
    </x:row>
    <x:row r="3104">
      <x:c r="A3104" t="str">
        <x:v>O003103</x:v>
      </x:c>
      <x:c r="B3104" s="20" t="n">
        <x:v>45895</x:v>
      </x:c>
      <x:c r="C3104" t="str">
        <x:v>C0057</x:v>
      </x:c>
      <x:c r="D3104" t="str">
        <x:v>Annapurna Foods 57</x:v>
      </x:c>
      <x:c r="E3104" t="str">
        <x:v>Kirana</x:v>
      </x:c>
      <x:c r="F3104" t="str">
        <x:v>Mysuru</x:v>
      </x:c>
      <x:c r="G3104" t="str">
        <x:v>Priya</x:v>
      </x:c>
      <x:c r="H3104" t="str">
        <x:v>P020</x:v>
      </x:c>
      <x:c r="I3104" t="str">
        <x:v>Coffee 500g</x:v>
      </x:c>
      <x:c r="J3104" t="str">
        <x:v>Beverage</x:v>
      </x:c>
      <x:c r="K3104" t="str">
        <x:v>Bru</x:v>
      </x:c>
      <x:c r="L3104" s="22" t="n">
        <x:v>390</x:v>
      </x:c>
      <x:c r="M3104" t="n">
        <x:v>23</x:v>
      </x:c>
      <x:c r="N3104" s="24" t="n">
        <x:v>0.02</x:v>
      </x:c>
      <x:c r="O3104" s="22" t="n">
        <x:f>L3104*M3104</x:f>
        <x:v>8970</x:v>
      </x:c>
      <x:c r="P3104" s="22" t="n">
        <x:f>O3104*(1-N3104)</x:f>
        <x:v>8790.6</x:v>
      </x:c>
      <x:c r="Q3104" s="22" t="n">
        <x:v>350</x:v>
      </x:c>
      <x:c r="R3104" s="22" t="n">
        <x:f>Q3104*M3104</x:f>
        <x:v>8050</x:v>
      </x:c>
      <x:c r="S3104" s="22" t="n">
        <x:f>P3104-R3104</x:f>
        <x:v>740.6000000000004</x:v>
      </x:c>
      <x:c r="T3104" t="str">
        <x:v>Credit</x:v>
      </x:c>
      <x:c r="U3104" t="str">
        <x:v>Paid</x:v>
      </x:c>
      <x:c r="V3104" t="str">
        <x:v>Delivered</x:v>
      </x:c>
      <x:c r="W3104" t="n">
        <x:v>0</x:v>
      </x:c>
      <x:c r="X3104" t="str"/>
      <x:c r="Y3104" t="str">
        <x:v>Referral</x:v>
      </x:c>
    </x:row>
    <x:row r="3105">
      <x:c r="A3105" t="str">
        <x:v>O003104</x:v>
      </x:c>
      <x:c r="B3105" s="20" t="n">
        <x:v>46056</x:v>
      </x:c>
      <x:c r="C3105" t="str">
        <x:v>C0176</x:v>
      </x:c>
      <x:c r="D3105" t="str">
        <x:v>Cafe Kitchen 176</x:v>
      </x:c>
      <x:c r="E3105" t="str">
        <x:v>Kirana</x:v>
      </x:c>
      <x:c r="F3105" t="str">
        <x:v>Mysuru</x:v>
      </x:c>
      <x:c r="G3105" t="str">
        <x:v>Priya</x:v>
      </x:c>
      <x:c r="H3105" t="str">
        <x:v>P023</x:v>
      </x:c>
      <x:c r="I3105" t="str">
        <x:v>Cola 750ml</x:v>
      </x:c>
      <x:c r="J3105" t="str">
        <x:v>Beverage</x:v>
      </x:c>
      <x:c r="K3105" t="str">
        <x:v>Coca-Cola</x:v>
      </x:c>
      <x:c r="L3105" s="22" t="n">
        <x:v>38</x:v>
      </x:c>
      <x:c r="M3105" t="n">
        <x:v>3</x:v>
      </x:c>
      <x:c r="N3105" s="24" t="n">
        <x:v>0.05</x:v>
      </x:c>
      <x:c r="O3105" s="22" t="n">
        <x:f>L3105*M3105</x:f>
        <x:v>114</x:v>
      </x:c>
      <x:c r="P3105" s="22" t="n">
        <x:f>O3105*(1-N3105)</x:f>
        <x:v>108.3</x:v>
      </x:c>
      <x:c r="Q3105" s="22" t="n">
        <x:v>31</x:v>
      </x:c>
      <x:c r="R3105" s="22" t="n">
        <x:f>Q3105*M3105</x:f>
        <x:v>93</x:v>
      </x:c>
      <x:c r="S3105" s="22" t="n">
        <x:f>P3105-R3105</x:f>
        <x:v>15.299999999999997</x:v>
      </x:c>
      <x:c r="T3105" t="str">
        <x:v>Credit</x:v>
      </x:c>
      <x:c r="U3105" t="str">
        <x:v>Paid</x:v>
      </x:c>
      <x:c r="V3105" t="str">
        <x:v>Delayed</x:v>
      </x:c>
      <x:c r="W3105" t="n">
        <x:v>0</x:v>
      </x:c>
      <x:c r="X3105" t="str"/>
      <x:c r="Y3105" t="str">
        <x:v>Existing Customer</x:v>
      </x:c>
    </x:row>
    <x:row r="3106">
      <x:c r="A3106" t="str">
        <x:v>O003105</x:v>
      </x:c>
      <x:c r="B3106" s="20" t="n">
        <x:v>46087</x:v>
      </x:c>
      <x:c r="C3106" t="str">
        <x:v>C0085</x:v>
      </x:c>
      <x:c r="D3106" t="str">
        <x:v>Green Hotel 85</x:v>
      </x:c>
      <x:c r="E3106" t="str">
        <x:v>Kirana</x:v>
      </x:c>
      <x:c r="F3106" t="str">
        <x:v>Mysuru</x:v>
      </x:c>
      <x:c r="G3106" t="str">
        <x:v>Arjun</x:v>
      </x:c>
      <x:c r="H3106" t="str">
        <x:v>P020</x:v>
      </x:c>
      <x:c r="I3106" t="str">
        <x:v>Coffee 500g</x:v>
      </x:c>
      <x:c r="J3106" t="str">
        <x:v>Beverage</x:v>
      </x:c>
      <x:c r="K3106" t="str">
        <x:v>Bru</x:v>
      </x:c>
      <x:c r="L3106" s="22" t="n">
        <x:v>390</x:v>
      </x:c>
      <x:c r="M3106" t="n">
        <x:v>40</x:v>
      </x:c>
      <x:c r="N3106" s="24" t="n">
        <x:v>0.02</x:v>
      </x:c>
      <x:c r="O3106" s="22" t="n">
        <x:f>L3106*M3106</x:f>
        <x:v>15600</x:v>
      </x:c>
      <x:c r="P3106" s="22" t="n">
        <x:f>O3106*(1-N3106)</x:f>
        <x:v>15288</x:v>
      </x:c>
      <x:c r="Q3106" s="22" t="n">
        <x:v>350</x:v>
      </x:c>
      <x:c r="R3106" s="22" t="n">
        <x:f>Q3106*M3106</x:f>
        <x:v>14000</x:v>
      </x:c>
      <x:c r="S3106" s="22" t="n">
        <x:f>P3106-R3106</x:f>
        <x:v>1288</x:v>
      </x:c>
      <x:c r="T3106" t="str">
        <x:v>Credit</x:v>
      </x:c>
      <x:c r="U3106" t="str">
        <x:v>Paid</x:v>
      </x:c>
      <x:c r="V3106" t="str">
        <x:v>Delivered</x:v>
      </x:c>
      <x:c r="W3106" t="n">
        <x:v>0</x:v>
      </x:c>
      <x:c r="X3106" t="str"/>
      <x:c r="Y3106" t="str">
        <x:v>Outbound Call</x:v>
      </x:c>
    </x:row>
    <x:row r="3107">
      <x:c r="A3107" t="str">
        <x:v>O003106</x:v>
      </x:c>
      <x:c r="B3107" s="20" t="n">
        <x:v>46109</x:v>
      </x:c>
      <x:c r="C3107" t="str">
        <x:v>C0104</x:v>
      </x:c>
      <x:c r="D3107" t="str">
        <x:v>Shree Foods 104</x:v>
      </x:c>
      <x:c r="E3107" t="str">
        <x:v>Cafe</x:v>
      </x:c>
      <x:c r="F3107" t="str">
        <x:v>Mangaluru</x:v>
      </x:c>
      <x:c r="G3107" t="str">
        <x:v>Megha</x:v>
      </x:c>
      <x:c r="H3107" t="str">
        <x:v>P017</x:v>
      </x:c>
      <x:c r="I3107" t="str">
        <x:v>Butter 500g</x:v>
      </x:c>
      <x:c r="J3107" t="str">
        <x:v>Dairy</x:v>
      </x:c>
      <x:c r="K3107" t="str">
        <x:v>Amul</x:v>
      </x:c>
      <x:c r="L3107" s="22" t="n">
        <x:v>285</x:v>
      </x:c>
      <x:c r="M3107" t="n">
        <x:v>18</x:v>
      </x:c>
      <x:c r="N3107" s="24" t="n">
        <x:v>0.03</x:v>
      </x:c>
      <x:c r="O3107" s="22" t="n">
        <x:f>L3107*M3107</x:f>
        <x:v>5130</x:v>
      </x:c>
      <x:c r="P3107" s="22" t="n">
        <x:f>O3107*(1-N3107)</x:f>
        <x:v>4976.099999999999</x:v>
      </x:c>
      <x:c r="Q3107" s="22" t="n">
        <x:v>258</x:v>
      </x:c>
      <x:c r="R3107" s="22" t="n">
        <x:f>Q3107*M3107</x:f>
        <x:v>4644</x:v>
      </x:c>
      <x:c r="S3107" s="22" t="n">
        <x:f>P3107-R3107</x:f>
        <x:v>332.09999999999945</x:v>
      </x:c>
      <x:c r="T3107" t="str">
        <x:v>UPI</x:v>
      </x:c>
      <x:c r="U3107" t="str">
        <x:v>Paid</x:v>
      </x:c>
      <x:c r="V3107" t="str">
        <x:v>Delivered</x:v>
      </x:c>
      <x:c r="W3107" t="n">
        <x:v>0</x:v>
      </x:c>
      <x:c r="X3107" t="str"/>
      <x:c r="Y3107" t="str">
        <x:v>Referral</x:v>
      </x:c>
    </x:row>
    <x:row r="3108">
      <x:c r="A3108" t="str">
        <x:v>O003107</x:v>
      </x:c>
      <x:c r="B3108" s="20" t="n">
        <x:v>45703</x:v>
      </x:c>
      <x:c r="C3108" t="str">
        <x:v>C0208</x:v>
      </x:c>
      <x:c r="D3108" t="str">
        <x:v>Green Foods 208</x:v>
      </x:c>
      <x:c r="E3108" t="str">
        <x:v>Hotel</x:v>
      </x:c>
      <x:c r="F3108" t="str">
        <x:v>Mysuru</x:v>
      </x:c>
      <x:c r="G3108" t="str">
        <x:v>Ramesh</x:v>
      </x:c>
      <x:c r="H3108" t="str">
        <x:v>P022</x:v>
      </x:c>
      <x:c r="I3108" t="str">
        <x:v>Mineral Water 1L</x:v>
      </x:c>
      <x:c r="J3108" t="str">
        <x:v>Beverage</x:v>
      </x:c>
      <x:c r="K3108" t="str">
        <x:v>Bisleri</x:v>
      </x:c>
      <x:c r="L3108" s="22" t="n">
        <x:v>19</x:v>
      </x:c>
      <x:c r="M3108" t="n">
        <x:v>16</x:v>
      </x:c>
      <x:c r="N3108" s="24" t="n">
        <x:v>0.05</x:v>
      </x:c>
      <x:c r="O3108" s="22" t="n">
        <x:f>L3108*M3108</x:f>
        <x:v>304</x:v>
      </x:c>
      <x:c r="P3108" s="22" t="n">
        <x:f>O3108*(1-N3108)</x:f>
        <x:v>288.8</x:v>
      </x:c>
      <x:c r="Q3108" s="22" t="n">
        <x:v>15</x:v>
      </x:c>
      <x:c r="R3108" s="22" t="n">
        <x:f>Q3108*M3108</x:f>
        <x:v>240</x:v>
      </x:c>
      <x:c r="S3108" s="22" t="n">
        <x:f>P3108-R3108</x:f>
        <x:v>48.80000000000001</x:v>
      </x:c>
      <x:c r="T3108" t="str">
        <x:v>Credit</x:v>
      </x:c>
      <x:c r="U3108" t="str">
        <x:v>Paid</x:v>
      </x:c>
      <x:c r="V3108" t="str">
        <x:v>Delivered</x:v>
      </x:c>
      <x:c r="W3108" t="n">
        <x:v>0</x:v>
      </x:c>
      <x:c r="X3108" t="str"/>
      <x:c r="Y3108" t="str">
        <x:v>WhatsApp</x:v>
      </x:c>
    </x:row>
    <x:row r="3109">
      <x:c r="A3109" t="str">
        <x:v>O003108</x:v>
      </x:c>
      <x:c r="B3109" s="20" t="n">
        <x:v>45729</x:v>
      </x:c>
      <x:c r="C3109" t="str">
        <x:v>C0183</x:v>
      </x:c>
      <x:c r="D3109" t="str">
        <x:v>Spice Mart 183</x:v>
      </x:c>
      <x:c r="E3109" t="str">
        <x:v>Kirana</x:v>
      </x:c>
      <x:c r="F3109" t="str">
        <x:v>Mangaluru</x:v>
      </x:c>
      <x:c r="G3109" t="str">
        <x:v>Kavya</x:v>
      </x:c>
      <x:c r="H3109" t="str">
        <x:v>P045</x:v>
      </x:c>
      <x:c r="I3109" t="str">
        <x:v>Onion 25kg</x:v>
      </x:c>
      <x:c r="J3109" t="str">
        <x:v>Fresh Produce</x:v>
      </x:c>
      <x:c r="K3109" t="str">
        <x:v>Local Market</x:v>
      </x:c>
      <x:c r="L3109" s="22" t="n">
        <x:v>875</x:v>
      </x:c>
      <x:c r="M3109" t="n">
        <x:v>37</x:v>
      </x:c>
      <x:c r="N3109" s="24" t="n">
        <x:v>0.08</x:v>
      </x:c>
      <x:c r="O3109" s="22" t="n">
        <x:f>L3109*M3109</x:f>
        <x:v>32375</x:v>
      </x:c>
      <x:c r="P3109" s="22" t="n">
        <x:f>O3109*(1-N3109)</x:f>
        <x:v>29785</x:v>
      </x:c>
      <x:c r="Q3109" s="22" t="n">
        <x:v>760</x:v>
      </x:c>
      <x:c r="R3109" s="22" t="n">
        <x:f>Q3109*M3109</x:f>
        <x:v>28120</x:v>
      </x:c>
      <x:c r="S3109" s="22" t="n">
        <x:f>P3109-R3109</x:f>
        <x:v>1665</x:v>
      </x:c>
      <x:c r="T3109" t="str">
        <x:v>UPI</x:v>
      </x:c>
      <x:c r="U3109" t="str">
        <x:v>Paid</x:v>
      </x:c>
      <x:c r="V3109" t="str">
        <x:v>Delivered</x:v>
      </x:c>
      <x:c r="W3109" t="n">
        <x:v>0</x:v>
      </x:c>
      <x:c r="X3109" t="str"/>
      <x:c r="Y3109" t="str">
        <x:v>Existing Customer</x:v>
      </x:c>
    </x:row>
    <x:row r="3110">
      <x:c r="A3110" t="str">
        <x:v>O003109</x:v>
      </x:c>
      <x:c r="B3110" s="20" t="n">
        <x:v>46039</x:v>
      </x:c>
      <x:c r="C3110" t="str">
        <x:v>C0056</x:v>
      </x:c>
      <x:c r="D3110" t="str">
        <x:v>City Stores 56</x:v>
      </x:c>
      <x:c r="E3110" t="str">
        <x:v>Canteen</x:v>
      </x:c>
      <x:c r="F3110" t="str">
        <x:v>Davanagere</x:v>
      </x:c>
      <x:c r="G3110" t="str">
        <x:v>Imran</x:v>
      </x:c>
      <x:c r="H3110" t="str">
        <x:v>P014</x:v>
      </x:c>
      <x:c r="I3110" t="str">
        <x:v>Rava 5kg</x:v>
      </x:c>
      <x:c r="J3110" t="str">
        <x:v>Flour</x:v>
      </x:c>
      <x:c r="K3110" t="str">
        <x:v>Local Select</x:v>
      </x:c>
      <x:c r="L3110" s="22" t="n">
        <x:v>245</x:v>
      </x:c>
      <x:c r="M3110" t="n">
        <x:v>9</x:v>
      </x:c>
      <x:c r="N3110" s="24" t="n">
        <x:v>0.05</x:v>
      </x:c>
      <x:c r="O3110" s="22" t="n">
        <x:f>L3110*M3110</x:f>
        <x:v>2205</x:v>
      </x:c>
      <x:c r="P3110" s="22" t="n">
        <x:f>O3110*(1-N3110)</x:f>
        <x:v>2094.75</x:v>
      </x:c>
      <x:c r="Q3110" s="22" t="n">
        <x:v>215</x:v>
      </x:c>
      <x:c r="R3110" s="22" t="n">
        <x:f>Q3110*M3110</x:f>
        <x:v>1935</x:v>
      </x:c>
      <x:c r="S3110" s="22" t="n">
        <x:f>P3110-R3110</x:f>
        <x:v>159.75</x:v>
      </x:c>
      <x:c r="T3110" t="str">
        <x:v>Credit</x:v>
      </x:c>
      <x:c r="U3110" t="str">
        <x:v>Paid</x:v>
      </x:c>
      <x:c r="V3110" t="str">
        <x:v>Cancelled</x:v>
      </x:c>
      <x:c r="W3110" t="n">
        <x:v>9</x:v>
      </x:c>
      <x:c r="X3110" t="str">
        <x:v>Cancelled Order</x:v>
      </x:c>
      <x:c r="Y3110" t="str"/>
    </x:row>
    <x:row r="3111">
      <x:c r="A3111" t="str">
        <x:v>O003110</x:v>
      </x:c>
      <x:c r="B3111" s="20" t="n">
        <x:v>46185</x:v>
      </x:c>
      <x:c r="C3111" t="str">
        <x:v>C0209</x:v>
      </x:c>
      <x:c r="D3111" t="str">
        <x:v>Shree Hotel 209</x:v>
      </x:c>
      <x:c r="E3111" t="str">
        <x:v>Restaurant</x:v>
      </x:c>
      <x:c r="F3111" t="str">
        <x:v>Tumakuru</x:v>
      </x:c>
      <x:c r="G3111" t="str">
        <x:v>Ramesh</x:v>
      </x:c>
      <x:c r="H3111" t="str">
        <x:v>P015</x:v>
      </x:c>
      <x:c r="I3111" t="str">
        <x:v>Milk 1L</x:v>
      </x:c>
      <x:c r="J3111" t="str">
        <x:v>Dairy</x:v>
      </x:c>
      <x:c r="K3111" t="str">
        <x:v>Nandini</x:v>
      </x:c>
      <x:c r="L3111" s="22" t="n">
        <x:v>48</x:v>
      </x:c>
      <x:c r="M3111" t="n">
        <x:v>21</x:v>
      </x:c>
      <x:c r="N3111" s="24" t="n">
        <x:v>0.02</x:v>
      </x:c>
      <x:c r="O3111" s="22" t="n">
        <x:f>L3111*M3111</x:f>
        <x:v>1008</x:v>
      </x:c>
      <x:c r="P3111" s="22" t="n">
        <x:f>O3111*(1-N3111)</x:f>
        <x:v>987.84</x:v>
      </x:c>
      <x:c r="Q3111" s="22" t="n">
        <x:v>43</x:v>
      </x:c>
      <x:c r="R3111" s="22" t="n">
        <x:f>Q3111*M3111</x:f>
        <x:v>903</x:v>
      </x:c>
      <x:c r="S3111" s="22" t="n">
        <x:f>P3111-R3111</x:f>
        <x:v>84.84000000000003</x:v>
      </x:c>
      <x:c r="T3111" t="str">
        <x:v>UPI</x:v>
      </x:c>
      <x:c r="U3111" t="str">
        <x:v>Pending</x:v>
      </x:c>
      <x:c r="V3111" t="str">
        <x:v>Delivered</x:v>
      </x:c>
      <x:c r="W3111" t="n">
        <x:v>0</x:v>
      </x:c>
      <x:c r="X3111" t="str"/>
      <x:c r="Y3111" t="str">
        <x:v>Field Visit</x:v>
      </x:c>
    </x:row>
    <x:row r="3112">
      <x:c r="A3112" t="str">
        <x:v>O003111</x:v>
      </x:c>
      <x:c r="B3112" s="20" t="n">
        <x:v>46189</x:v>
      </x:c>
      <x:c r="C3112" t="str">
        <x:v>C0124</x:v>
      </x:c>
      <x:c r="D3112" t="str">
        <x:v>Green Hotel 124</x:v>
      </x:c>
      <x:c r="E3112" t="str">
        <x:v>Cafe</x:v>
      </x:c>
      <x:c r="F3112" t="str">
        <x:v>Bengaluru</x:v>
      </x:c>
      <x:c r="G3112" t="str">
        <x:v>Imran</x:v>
      </x:c>
      <x:c r="H3112" t="str">
        <x:v>P013</x:v>
      </x:c>
      <x:c r="I3112" t="str">
        <x:v>Atta 10kg</x:v>
      </x:c>
      <x:c r="J3112" t="str">
        <x:v>Flour</x:v>
      </x:c>
      <x:c r="K3112" t="str">
        <x:v>Aashirvaad</x:v>
      </x:c>
      <x:c r="L3112" s="22" t="n">
        <x:v>560</x:v>
      </x:c>
      <x:c r="M3112" t="n">
        <x:v>1</x:v>
      </x:c>
      <x:c r="N3112" s="24" t="n">
        <x:v>0</x:v>
      </x:c>
      <x:c r="O3112" s="22" t="n">
        <x:f>L3112*M3112</x:f>
        <x:v>560</x:v>
      </x:c>
      <x:c r="P3112" s="22" t="n">
        <x:f>O3112*(1-N3112)</x:f>
        <x:v>560</x:v>
      </x:c>
      <x:c r="Q3112" s="22" t="n">
        <x:v>495</x:v>
      </x:c>
      <x:c r="R3112" s="22" t="n">
        <x:f>Q3112*M3112</x:f>
        <x:v>495</x:v>
      </x:c>
      <x:c r="S3112" s="22" t="n">
        <x:f>P3112-R3112</x:f>
        <x:v>65</x:v>
      </x:c>
      <x:c r="T3112" t="str">
        <x:v>UPI</x:v>
      </x:c>
      <x:c r="U3112" t="str">
        <x:v>Paid</x:v>
      </x:c>
      <x:c r="V3112" t="str">
        <x:v>Delivered</x:v>
      </x:c>
      <x:c r="W3112" t="n">
        <x:v>0</x:v>
      </x:c>
      <x:c r="X3112" t="str"/>
      <x:c r="Y3112" t="str">
        <x:v>WhatsApp</x:v>
      </x:c>
    </x:row>
    <x:row r="3113">
      <x:c r="A3113" t="str">
        <x:v>O003112</x:v>
      </x:c>
      <x:c r="B3113" s="20" t="n">
        <x:v>46041</x:v>
      </x:c>
      <x:c r="C3113" t="str">
        <x:v>C0139</x:v>
      </x:c>
      <x:c r="D3113" t="str">
        <x:v>Classic Hotel 139</x:v>
      </x:c>
      <x:c r="E3113" t="str">
        <x:v>Cafe</x:v>
      </x:c>
      <x:c r="F3113" t="str">
        <x:v>Mysuru</x:v>
      </x:c>
      <x:c r="G3113" t="str">
        <x:v>Vikram</x:v>
      </x:c>
      <x:c r="H3113" t="str">
        <x:v>P006</x:v>
      </x:c>
      <x:c r="I3113" t="str">
        <x:v>Moong Dal 5kg</x:v>
      </x:c>
      <x:c r="J3113" t="str">
        <x:v>Pulses</x:v>
      </x:c>
      <x:c r="K3113" t="str">
        <x:v>Local Select</x:v>
      </x:c>
      <x:c r="L3113" s="22" t="n">
        <x:v>610</x:v>
      </x:c>
      <x:c r="M3113" t="n">
        <x:v>36</x:v>
      </x:c>
      <x:c r="N3113" s="24" t="n">
        <x:v>0</x:v>
      </x:c>
      <x:c r="O3113" s="22" t="n">
        <x:f>L3113*M3113</x:f>
        <x:v>21960</x:v>
      </x:c>
      <x:c r="P3113" s="22" t="n">
        <x:f>O3113*(1-N3113)</x:f>
        <x:v>21960</x:v>
      </x:c>
      <x:c r="Q3113" s="22" t="n">
        <x:v>540</x:v>
      </x:c>
      <x:c r="R3113" s="22" t="n">
        <x:f>Q3113*M3113</x:f>
        <x:v>19440</x:v>
      </x:c>
      <x:c r="S3113" s="22" t="n">
        <x:f>P3113-R3113</x:f>
        <x:v>2520</x:v>
      </x:c>
      <x:c r="T3113" t="str">
        <x:v>UPI</x:v>
      </x:c>
      <x:c r="U3113" t="str">
        <x:v>Paid</x:v>
      </x:c>
      <x:c r="V3113" t="str">
        <x:v>Delayed</x:v>
      </x:c>
      <x:c r="W3113" t="n">
        <x:v>0</x:v>
      </x:c>
      <x:c r="X3113" t="str"/>
      <x:c r="Y3113" t="str">
        <x:v>Existing Customer</x:v>
      </x:c>
    </x:row>
    <x:row r="3114">
      <x:c r="A3114" t="str">
        <x:v>O003113</x:v>
      </x:c>
      <x:c r="B3114" s="20" t="n">
        <x:v>46068</x:v>
      </x:c>
      <x:c r="C3114" t="str">
        <x:v>C0030</x:v>
      </x:c>
      <x:c r="D3114" t="str">
        <x:v>Hotel Restaurant 30</x:v>
      </x:c>
      <x:c r="E3114" t="str">
        <x:v>Restaurant</x:v>
      </x:c>
      <x:c r="F3114" t="str">
        <x:v>Bengaluru</x:v>
      </x:c>
      <x:c r="G3114" t="str">
        <x:v>Imran</x:v>
      </x:c>
      <x:c r="H3114" t="str">
        <x:v>P013</x:v>
      </x:c>
      <x:c r="I3114" t="str">
        <x:v>Atta 10kg</x:v>
      </x:c>
      <x:c r="J3114" t="str">
        <x:v>Flour</x:v>
      </x:c>
      <x:c r="K3114" t="str">
        <x:v>Aashirvaad</x:v>
      </x:c>
      <x:c r="L3114" s="22" t="n">
        <x:v>560</x:v>
      </x:c>
      <x:c r="M3114" t="n">
        <x:v>24</x:v>
      </x:c>
      <x:c r="N3114" s="24" t="n">
        <x:v>0</x:v>
      </x:c>
      <x:c r="O3114" s="22" t="n">
        <x:f>L3114*M3114</x:f>
        <x:v>13440</x:v>
      </x:c>
      <x:c r="P3114" s="22" t="n">
        <x:f>O3114*(1-N3114)</x:f>
        <x:v>13440</x:v>
      </x:c>
      <x:c r="Q3114" s="22" t="n">
        <x:v>495</x:v>
      </x:c>
      <x:c r="R3114" s="22" t="n">
        <x:f>Q3114*M3114</x:f>
        <x:v>11880</x:v>
      </x:c>
      <x:c r="S3114" s="22" t="n">
        <x:f>P3114-R3114</x:f>
        <x:v>1560</x:v>
      </x:c>
      <x:c r="T3114" t="str">
        <x:v>Cash</x:v>
      </x:c>
      <x:c r="U3114" t="str">
        <x:v>Paid</x:v>
      </x:c>
      <x:c r="V3114" t="str">
        <x:v>Delayed</x:v>
      </x:c>
      <x:c r="W3114" t="n">
        <x:v>0</x:v>
      </x:c>
      <x:c r="X3114" t="str"/>
      <x:c r="Y3114" t="str">
        <x:v>Outbound Call</x:v>
      </x:c>
    </x:row>
    <x:row r="3115">
      <x:c r="A3115" t="str">
        <x:v>O003114</x:v>
      </x:c>
      <x:c r="B3115" s="20" t="n">
        <x:v>45885</x:v>
      </x:c>
      <x:c r="C3115" t="str">
        <x:v>C0190</x:v>
      </x:c>
      <x:c r="D3115" t="str">
        <x:v>Shree Restaurant 190</x:v>
      </x:c>
      <x:c r="E3115" t="str">
        <x:v>Canteen</x:v>
      </x:c>
      <x:c r="F3115" t="str">
        <x:v>Bengaluru</x:v>
      </x:c>
      <x:c r="G3115" t="str">
        <x:v>Kavya</x:v>
      </x:c>
      <x:c r="H3115" t="str">
        <x:v>P038</x:v>
      </x:c>
      <x:c r="I3115" t="str">
        <x:v>French Fries 2.5kg</x:v>
      </x:c>
      <x:c r="J3115" t="str">
        <x:v>Frozen</x:v>
      </x:c>
      <x:c r="K3115" t="str">
        <x:v>McCain</x:v>
      </x:c>
      <x:c r="L3115" s="22" t="n">
        <x:v>360</x:v>
      </x:c>
      <x:c r="M3115" t="n">
        <x:v>37</x:v>
      </x:c>
      <x:c r="N3115" s="24" t="n">
        <x:v>0.03</x:v>
      </x:c>
      <x:c r="O3115" s="22" t="n">
        <x:f>L3115*M3115</x:f>
        <x:v>13320</x:v>
      </x:c>
      <x:c r="P3115" s="22" t="n">
        <x:f>O3115*(1-N3115)</x:f>
        <x:v>12920.4</x:v>
      </x:c>
      <x:c r="Q3115" s="22" t="n">
        <x:v>315</x:v>
      </x:c>
      <x:c r="R3115" s="22" t="n">
        <x:f>Q3115*M3115</x:f>
        <x:v>11655</x:v>
      </x:c>
      <x:c r="S3115" s="22" t="n">
        <x:f>P3115-R3115</x:f>
        <x:v>1265.3999999999996</x:v>
      </x:c>
      <x:c r="T3115" t="str">
        <x:v>Credit</x:v>
      </x:c>
      <x:c r="U3115" t="str">
        <x:v>Paid</x:v>
      </x:c>
      <x:c r="V3115" t="str">
        <x:v>Delivered</x:v>
      </x:c>
      <x:c r="W3115" t="n">
        <x:v>0</x:v>
      </x:c>
      <x:c r="X3115" t="str"/>
      <x:c r="Y3115" t="str">
        <x:v>WhatsApp</x:v>
      </x:c>
    </x:row>
    <x:row r="3116">
      <x:c r="A3116" t="str">
        <x:v>O003115</x:v>
      </x:c>
      <x:c r="B3116" s="20" t="n">
        <x:v>45669</x:v>
      </x:c>
      <x:c r="C3116" t="str">
        <x:v>C0002</x:v>
      </x:c>
      <x:c r="D3116" t="str">
        <x:v>City Kitchen 2</x:v>
      </x:c>
      <x:c r="E3116" t="str">
        <x:v>Kirana</x:v>
      </x:c>
      <x:c r="F3116" t="str">
        <x:v>Davanagere</x:v>
      </x:c>
      <x:c r="G3116" t="str">
        <x:v>Arjun</x:v>
      </x:c>
      <x:c r="H3116" t="str">
        <x:v>P035</x:v>
      </x:c>
      <x:c r="I3116" t="str">
        <x:v>Coriander Powder 1kg</x:v>
      </x:c>
      <x:c r="J3116" t="str">
        <x:v>Spices</x:v>
      </x:c>
      <x:c r="K3116" t="str">
        <x:v>Everest</x:v>
      </x:c>
      <x:c r="L3116" s="22" t="n">
        <x:v>280</x:v>
      </x:c>
      <x:c r="M3116" t="n">
        <x:v>20</x:v>
      </x:c>
      <x:c r="N3116" s="24" t="n">
        <x:v>0.05</x:v>
      </x:c>
      <x:c r="O3116" s="22" t="n">
        <x:f>L3116*M3116</x:f>
        <x:v>5600</x:v>
      </x:c>
      <x:c r="P3116" s="22" t="n">
        <x:f>O3116*(1-N3116)</x:f>
        <x:v>5320</x:v>
      </x:c>
      <x:c r="Q3116" s="22" t="n">
        <x:v>245</x:v>
      </x:c>
      <x:c r="R3116" s="22" t="n">
        <x:f>Q3116*M3116</x:f>
        <x:v>4900</x:v>
      </x:c>
      <x:c r="S3116" s="22" t="n">
        <x:f>P3116-R3116</x:f>
        <x:v>420</x:v>
      </x:c>
      <x:c r="T3116" t="str">
        <x:v>Bank Transfer</x:v>
      </x:c>
      <x:c r="U3116" t="str">
        <x:v>Paid</x:v>
      </x:c>
      <x:c r="V3116" t="str">
        <x:v>Delivered</x:v>
      </x:c>
      <x:c r="W3116" t="n">
        <x:v>0</x:v>
      </x:c>
      <x:c r="X3116" t="str"/>
      <x:c r="Y3116" t="str">
        <x:v>Existing Customer</x:v>
      </x:c>
    </x:row>
    <x:row r="3117">
      <x:c r="A3117" t="str">
        <x:v>O003116</x:v>
      </x:c>
      <x:c r="B3117" s="20" t="n">
        <x:v>45675</x:v>
      </x:c>
      <x:c r="C3117" t="str">
        <x:v>C0245</x:v>
      </x:c>
      <x:c r="D3117" t="str">
        <x:v>Udupi Cafe 245</x:v>
      </x:c>
      <x:c r="E3117" t="str">
        <x:v>Canteen</x:v>
      </x:c>
      <x:c r="F3117" t="str">
        <x:v>Bengaluru</x:v>
      </x:c>
      <x:c r="G3117" t="str">
        <x:v>Priya</x:v>
      </x:c>
      <x:c r="H3117" t="str">
        <x:v>P024</x:v>
      </x:c>
      <x:c r="I3117" t="str">
        <x:v>Orange Drink 1L</x:v>
      </x:c>
      <x:c r="J3117" t="str">
        <x:v>Beverage</x:v>
      </x:c>
      <x:c r="K3117" t="str">
        <x:v>Minute Maid</x:v>
      </x:c>
      <x:c r="L3117" s="22" t="n">
        <x:v>105</x:v>
      </x:c>
      <x:c r="M3117" t="n">
        <x:v>32</x:v>
      </x:c>
      <x:c r="N3117" s="24" t="n">
        <x:v>0.08</x:v>
      </x:c>
      <x:c r="O3117" s="22" t="n">
        <x:f>L3117*M3117</x:f>
        <x:v>3360</x:v>
      </x:c>
      <x:c r="P3117" s="22" t="n">
        <x:f>O3117*(1-N3117)</x:f>
        <x:v>3091.2000000000003</x:v>
      </x:c>
      <x:c r="Q3117" s="22" t="n">
        <x:v>88</x:v>
      </x:c>
      <x:c r="R3117" s="22" t="n">
        <x:f>Q3117*M3117</x:f>
        <x:v>2816</x:v>
      </x:c>
      <x:c r="S3117" s="22" t="n">
        <x:f>P3117-R3117</x:f>
        <x:v>275.2000000000003</x:v>
      </x:c>
      <x:c r="T3117" t="str">
        <x:v>UPI</x:v>
      </x:c>
      <x:c r="U3117" t="str">
        <x:v>Paid</x:v>
      </x:c>
      <x:c r="V3117" t="str">
        <x:v>Delivered</x:v>
      </x:c>
      <x:c r="W3117" t="n">
        <x:v>0</x:v>
      </x:c>
      <x:c r="X3117" t="str"/>
      <x:c r="Y3117" t="str">
        <x:v>Existing Customer</x:v>
      </x:c>
    </x:row>
    <x:row r="3118">
      <x:c r="A3118" t="str">
        <x:v>O003117</x:v>
      </x:c>
      <x:c r="B3118" s="20" t="n">
        <x:v>45734</x:v>
      </x:c>
      <x:c r="C3118" t="str">
        <x:v>C0209</x:v>
      </x:c>
      <x:c r="D3118" t="str">
        <x:v>Shree Hotel 209</x:v>
      </x:c>
      <x:c r="E3118" t="str">
        <x:v>Restaurant</x:v>
      </x:c>
      <x:c r="F3118" t="str">
        <x:v>Tumakuru</x:v>
      </x:c>
      <x:c r="G3118" t="str">
        <x:v>Ramesh</x:v>
      </x:c>
      <x:c r="H3118" t="str">
        <x:v>P009</x:v>
      </x:c>
      <x:c r="I3118" t="str">
        <x:v>Groundnut Oil 5L</x:v>
      </x:c>
      <x:c r="J3118" t="str">
        <x:v>Edible Oil</x:v>
      </x:c>
      <x:c r="K3118" t="str">
        <x:v>Dhara</x:v>
      </x:c>
      <x:c r="L3118" s="22" t="n">
        <x:v>890</x:v>
      </x:c>
      <x:c r="M3118" t="n">
        <x:v>13</x:v>
      </x:c>
      <x:c r="N3118" s="24" t="n">
        <x:v>0.02</x:v>
      </x:c>
      <x:c r="O3118" s="22" t="n">
        <x:f>L3118*M3118</x:f>
        <x:v>11570</x:v>
      </x:c>
      <x:c r="P3118" s="22" t="n">
        <x:f>O3118*(1-N3118)</x:f>
        <x:v>11338.6</x:v>
      </x:c>
      <x:c r="Q3118" s="22" t="n">
        <x:v>810</x:v>
      </x:c>
      <x:c r="R3118" s="22" t="n">
        <x:f>Q3118*M3118</x:f>
        <x:v>10530</x:v>
      </x:c>
      <x:c r="S3118" s="22" t="n">
        <x:f>P3118-R3118</x:f>
        <x:v>808.6000000000004</x:v>
      </x:c>
      <x:c r="T3118" t="str">
        <x:v>Cash</x:v>
      </x:c>
      <x:c r="U3118" t="str">
        <x:v>Paid</x:v>
      </x:c>
      <x:c r="V3118" t="str">
        <x:v>Delivered</x:v>
      </x:c>
      <x:c r="W3118" t="n">
        <x:v>3</x:v>
      </x:c>
      <x:c r="X3118" t="str">
        <x:v>Damaged</x:v>
      </x:c>
      <x:c r="Y3118" t="str">
        <x:v>Outbound Call</x:v>
      </x:c>
    </x:row>
    <x:row r="3119">
      <x:c r="A3119" t="str">
        <x:v>O003118</x:v>
      </x:c>
      <x:c r="B3119" s="20" t="n">
        <x:v>46147</x:v>
      </x:c>
      <x:c r="C3119" t="str">
        <x:v>C0212</x:v>
      </x:c>
      <x:c r="D3119" t="str">
        <x:v>Classic Restaurant 212</x:v>
      </x:c>
      <x:c r="E3119" t="str">
        <x:v>Restaurant</x:v>
      </x:c>
      <x:c r="F3119" t="str">
        <x:v>Mysuru</x:v>
      </x:c>
      <x:c r="G3119" t="str">
        <x:v>Vikram</x:v>
      </x:c>
      <x:c r="H3119" t="str">
        <x:v>P014</x:v>
      </x:c>
      <x:c r="I3119" t="str">
        <x:v>Rava 5kg</x:v>
      </x:c>
      <x:c r="J3119" t="str">
        <x:v>Flour</x:v>
      </x:c>
      <x:c r="K3119" t="str">
        <x:v>Local Select</x:v>
      </x:c>
      <x:c r="L3119" s="22" t="n">
        <x:v>245</x:v>
      </x:c>
      <x:c r="M3119" t="n">
        <x:v>5</x:v>
      </x:c>
      <x:c r="N3119" s="24" t="n">
        <x:v>0.08</x:v>
      </x:c>
      <x:c r="O3119" s="22" t="n">
        <x:f>L3119*M3119</x:f>
        <x:v>1225</x:v>
      </x:c>
      <x:c r="P3119" s="22" t="n">
        <x:f>O3119*(1-N3119)</x:f>
        <x:v>1127</x:v>
      </x:c>
      <x:c r="Q3119" s="22" t="n">
        <x:v>215</x:v>
      </x:c>
      <x:c r="R3119" s="22" t="n">
        <x:f>Q3119*M3119</x:f>
        <x:v>1075</x:v>
      </x:c>
      <x:c r="S3119" s="22" t="n">
        <x:f>P3119-R3119</x:f>
        <x:v>52</x:v>
      </x:c>
      <x:c r="T3119" t="str">
        <x:v>Credit</x:v>
      </x:c>
      <x:c r="U3119" t="str">
        <x:v>Paid</x:v>
      </x:c>
      <x:c r="V3119" t="str">
        <x:v>Delayed</x:v>
      </x:c>
      <x:c r="W3119" t="n">
        <x:v>0</x:v>
      </x:c>
      <x:c r="X3119" t="str"/>
      <x:c r="Y3119" t="str">
        <x:v>Existing Customer</x:v>
      </x:c>
    </x:row>
    <x:row r="3120">
      <x:c r="A3120" t="str">
        <x:v>O003119</x:v>
      </x:c>
      <x:c r="B3120" s="20" t="n">
        <x:v>46117</x:v>
      </x:c>
      <x:c r="C3120" t="str">
        <x:v>C0040</x:v>
      </x:c>
      <x:c r="D3120" t="str">
        <x:v>Royal Foods 40</x:v>
      </x:c>
      <x:c r="E3120" t="str">
        <x:v>Restaurant</x:v>
      </x:c>
      <x:c r="F3120" t="str">
        <x:v>Mangaluru</x:v>
      </x:c>
      <x:c r="G3120" t="str">
        <x:v>Kavya</x:v>
      </x:c>
      <x:c r="H3120" t="str">
        <x:v>P046</x:v>
      </x:c>
      <x:c r="I3120" t="str">
        <x:v>Potato 25kg</x:v>
      </x:c>
      <x:c r="J3120" t="str">
        <x:v>Fresh Produce</x:v>
      </x:c>
      <x:c r="K3120" t="str">
        <x:v>Local Market</x:v>
      </x:c>
      <x:c r="L3120" s="22" t="n">
        <x:v>700</x:v>
      </x:c>
      <x:c r="M3120" t="n">
        <x:v>17</x:v>
      </x:c>
      <x:c r="N3120" s="24" t="n">
        <x:v>0.03</x:v>
      </x:c>
      <x:c r="O3120" s="22" t="n">
        <x:f>L3120*M3120</x:f>
        <x:v>11900</x:v>
      </x:c>
      <x:c r="P3120" s="22" t="n">
        <x:f>O3120*(1-N3120)</x:f>
        <x:v>11543</x:v>
      </x:c>
      <x:c r="Q3120" s="22" t="n">
        <x:v>610</x:v>
      </x:c>
      <x:c r="R3120" s="22" t="n">
        <x:f>Q3120*M3120</x:f>
        <x:v>10370</x:v>
      </x:c>
      <x:c r="S3120" s="22" t="n">
        <x:f>P3120-R3120</x:f>
        <x:v>1173</x:v>
      </x:c>
      <x:c r="T3120" t="str">
        <x:v>Credit</x:v>
      </x:c>
      <x:c r="U3120" t="str">
        <x:v>Paid</x:v>
      </x:c>
      <x:c r="V3120" t="str">
        <x:v>Delivered</x:v>
      </x:c>
      <x:c r="W3120" t="n">
        <x:v>0</x:v>
      </x:c>
      <x:c r="X3120" t="str"/>
      <x:c r="Y3120" t="str">
        <x:v>Referral</x:v>
      </x:c>
    </x:row>
    <x:row r="3121">
      <x:c r="A3121" t="str">
        <x:v>O003120</x:v>
      </x:c>
      <x:c r="B3121" s="20" t="n">
        <x:v>45792</x:v>
      </x:c>
      <x:c r="C3121" t="str">
        <x:v>C0202</x:v>
      </x:c>
      <x:c r="D3121" t="str">
        <x:v>Sagar Foods 202</x:v>
      </x:c>
      <x:c r="E3121" t="str">
        <x:v>Restaurant</x:v>
      </x:c>
      <x:c r="F3121" t="str">
        <x:v>Mangaluru</x:v>
      </x:c>
      <x:c r="G3121" t="str">
        <x:v>Kavya</x:v>
      </x:c>
      <x:c r="H3121" t="str">
        <x:v>P048</x:v>
      </x:c>
      <x:c r="I3121" t="str">
        <x:v>Banana 10kg</x:v>
      </x:c>
      <x:c r="J3121" t="str">
        <x:v>Fresh Produce</x:v>
      </x:c>
      <x:c r="K3121" t="str">
        <x:v>Local Market</x:v>
      </x:c>
      <x:c r="L3121" s="22" t="n">
        <x:v>420</x:v>
      </x:c>
      <x:c r="M3121" t="n">
        <x:v>3</x:v>
      </x:c>
      <x:c r="N3121" s="24" t="n">
        <x:v>0.05</x:v>
      </x:c>
      <x:c r="O3121" s="22" t="n">
        <x:f>L3121*M3121</x:f>
        <x:v>1260</x:v>
      </x:c>
      <x:c r="P3121" s="22" t="n">
        <x:f>O3121*(1-N3121)</x:f>
        <x:v>1197</x:v>
      </x:c>
      <x:c r="Q3121" s="22" t="n">
        <x:v>350</x:v>
      </x:c>
      <x:c r="R3121" s="22" t="n">
        <x:f>Q3121*M3121</x:f>
        <x:v>1050</x:v>
      </x:c>
      <x:c r="S3121" s="22" t="n">
        <x:f>P3121-R3121</x:f>
        <x:v>147</x:v>
      </x:c>
      <x:c r="T3121" t="str">
        <x:v>UPI</x:v>
      </x:c>
      <x:c r="U3121" t="str">
        <x:v>Overdue</x:v>
      </x:c>
      <x:c r="V3121" t="str">
        <x:v>Delayed</x:v>
      </x:c>
      <x:c r="W3121" t="n">
        <x:v>0</x:v>
      </x:c>
      <x:c r="X3121" t="str"/>
      <x:c r="Y3121" t="str">
        <x:v>Field Visit</x:v>
      </x:c>
    </x:row>
    <x:row r="3122">
      <x:c r="A3122" t="str">
        <x:v>O003121</x:v>
      </x:c>
      <x:c r="B3122" s="20" t="n">
        <x:v>46160</x:v>
      </x:c>
      <x:c r="C3122" t="str">
        <x:v>C0110</x:v>
      </x:c>
      <x:c r="D3122" t="str">
        <x:v>Metro Restaurant 110</x:v>
      </x:c>
      <x:c r="E3122" t="str">
        <x:v>Hotel</x:v>
      </x:c>
      <x:c r="F3122" t="str">
        <x:v>Mysuru</x:v>
      </x:c>
      <x:c r="G3122" t="str">
        <x:v>Imran</x:v>
      </x:c>
      <x:c r="H3122" t="str">
        <x:v>P021</x:v>
      </x:c>
      <x:c r="I3122" t="str">
        <x:v>Instant Coffee 200g</x:v>
      </x:c>
      <x:c r="J3122" t="str">
        <x:v>Beverage</x:v>
      </x:c>
      <x:c r="K3122" t="str">
        <x:v>Nescafe</x:v>
      </x:c>
      <x:c r="L3122" s="22" t="n">
        <x:v>460</x:v>
      </x:c>
      <x:c r="M3122" t="n">
        <x:v>6</x:v>
      </x:c>
      <x:c r="N3122" s="24" t="n">
        <x:v>0</x:v>
      </x:c>
      <x:c r="O3122" s="22" t="n">
        <x:f>L3122*M3122</x:f>
        <x:v>2760</x:v>
      </x:c>
      <x:c r="P3122" s="22" t="n">
        <x:f>O3122*(1-N3122)</x:f>
        <x:v>2760</x:v>
      </x:c>
      <x:c r="Q3122" s="22" t="n">
        <x:v>410</x:v>
      </x:c>
      <x:c r="R3122" s="22" t="n">
        <x:f>Q3122*M3122</x:f>
        <x:v>2460</x:v>
      </x:c>
      <x:c r="S3122" s="22" t="n">
        <x:f>P3122-R3122</x:f>
        <x:v>300</x:v>
      </x:c>
      <x:c r="T3122" t="str">
        <x:v>UPI</x:v>
      </x:c>
      <x:c r="U3122" t="str">
        <x:v>Paid</x:v>
      </x:c>
      <x:c r="V3122" t="str">
        <x:v>Delivered</x:v>
      </x:c>
      <x:c r="W3122" t="n">
        <x:v>0</x:v>
      </x:c>
      <x:c r="X3122" t="str"/>
      <x:c r="Y3122" t="str">
        <x:v>Outbound Call</x:v>
      </x:c>
    </x:row>
    <x:row r="3123">
      <x:c r="A3123" t="str">
        <x:v>O003122</x:v>
      </x:c>
      <x:c r="B3123" s="20" t="n">
        <x:v>45792</x:v>
      </x:c>
      <x:c r="C3123" t="str">
        <x:v>C0231</x:v>
      </x:c>
      <x:c r="D3123" t="str">
        <x:v>Metro Canteen 231</x:v>
      </x:c>
      <x:c r="E3123" t="str">
        <x:v>Canteen</x:v>
      </x:c>
      <x:c r="F3123" t="str">
        <x:v>Mangaluru</x:v>
      </x:c>
      <x:c r="G3123" t="str">
        <x:v>Megha</x:v>
      </x:c>
      <x:c r="H3123" t="str">
        <x:v>P008</x:v>
      </x:c>
      <x:c r="I3123" t="str">
        <x:v>Palm Oil 15L</x:v>
      </x:c>
      <x:c r="J3123" t="str">
        <x:v>Edible Oil</x:v>
      </x:c>
      <x:c r="K3123" t="str">
        <x:v>Ruchi Gold</x:v>
      </x:c>
      <x:c r="L3123" s="22" t="n">
        <x:v>1760</x:v>
      </x:c>
      <x:c r="M3123" t="n">
        <x:v>11</x:v>
      </x:c>
      <x:c r="N3123" s="24" t="n">
        <x:v>0.05</x:v>
      </x:c>
      <x:c r="O3123" s="22" t="n">
        <x:f>L3123*M3123</x:f>
        <x:v>19360</x:v>
      </x:c>
      <x:c r="P3123" s="22" t="n">
        <x:f>O3123*(1-N3123)</x:f>
        <x:v>18392</x:v>
      </x:c>
      <x:c r="Q3123" s="22" t="n">
        <x:v>1610</x:v>
      </x:c>
      <x:c r="R3123" s="22" t="n">
        <x:f>Q3123*M3123</x:f>
        <x:v>17710</x:v>
      </x:c>
      <x:c r="S3123" s="22" t="n">
        <x:f>P3123-R3123</x:f>
        <x:v>682</x:v>
      </x:c>
      <x:c r="T3123" t="str">
        <x:v>Bank Transfer</x:v>
      </x:c>
      <x:c r="U3123" t="str">
        <x:v>Paid</x:v>
      </x:c>
      <x:c r="V3123" t="str">
        <x:v>Delivered</x:v>
      </x:c>
      <x:c r="W3123" t="n">
        <x:v>0</x:v>
      </x:c>
      <x:c r="X3123" t="str"/>
      <x:c r="Y3123" t="str">
        <x:v>Existing Customer</x:v>
      </x:c>
    </x:row>
    <x:row r="3124">
      <x:c r="A3124" t="str">
        <x:v>O003123</x:v>
      </x:c>
      <x:c r="B3124" s="20" t="n">
        <x:v>46165</x:v>
      </x:c>
      <x:c r="C3124" t="str">
        <x:v>C0131</x:v>
      </x:c>
      <x:c r="D3124" t="str">
        <x:v>Foodie Canteen 131</x:v>
      </x:c>
      <x:c r="E3124" t="str">
        <x:v>Canteen</x:v>
      </x:c>
      <x:c r="F3124" t="str">
        <x:v>Davanagere</x:v>
      </x:c>
      <x:c r="G3124" t="str">
        <x:v>Arjun</x:v>
      </x:c>
      <x:c r="H3124" t="str">
        <x:v>P050</x:v>
      </x:c>
      <x:c r="I3124" t="str">
        <x:v>Lemon 5kg</x:v>
      </x:c>
      <x:c r="J3124" t="str">
        <x:v>Fresh Produce</x:v>
      </x:c>
      <x:c r="K3124" t="str">
        <x:v>Local Market</x:v>
      </x:c>
      <x:c r="L3124" s="22" t="n">
        <x:v>360</x:v>
      </x:c>
      <x:c r="M3124" t="n">
        <x:v>38</x:v>
      </x:c>
      <x:c r="N3124" s="24" t="n">
        <x:v>0.05</x:v>
      </x:c>
      <x:c r="O3124" s="22" t="n">
        <x:f>L3124*M3124</x:f>
        <x:v>13680</x:v>
      </x:c>
      <x:c r="P3124" s="22" t="n">
        <x:f>O3124*(1-N3124)</x:f>
        <x:v>12996</x:v>
      </x:c>
      <x:c r="Q3124" s="22" t="n">
        <x:v>300</x:v>
      </x:c>
      <x:c r="R3124" s="22" t="n">
        <x:f>Q3124*M3124</x:f>
        <x:v>11400</x:v>
      </x:c>
      <x:c r="S3124" s="22" t="n">
        <x:f>P3124-R3124</x:f>
        <x:v>1596</x:v>
      </x:c>
      <x:c r="T3124" t="str">
        <x:v>Bank Transfer</x:v>
      </x:c>
      <x:c r="U3124" t="str">
        <x:v>Paid</x:v>
      </x:c>
      <x:c r="V3124" t="str">
        <x:v>Delivered</x:v>
      </x:c>
      <x:c r="W3124" t="n">
        <x:v>0</x:v>
      </x:c>
      <x:c r="X3124" t="str"/>
      <x:c r="Y3124" t="str">
        <x:v>Field Visit</x:v>
      </x:c>
    </x:row>
    <x:row r="3125">
      <x:c r="A3125" t="str">
        <x:v>O003124</x:v>
      </x:c>
      <x:c r="B3125" s="20" t="n">
        <x:v>46098</x:v>
      </x:c>
      <x:c r="C3125" t="str">
        <x:v>C0088</x:v>
      </x:c>
      <x:c r="D3125" t="str">
        <x:v>Darshini Kitchen 88</x:v>
      </x:c>
      <x:c r="E3125" t="str">
        <x:v>Cafe</x:v>
      </x:c>
      <x:c r="F3125" t="str">
        <x:v>Tumakuru</x:v>
      </x:c>
      <x:c r="G3125" t="str">
        <x:v>Arjun</x:v>
      </x:c>
      <x:c r="H3125" t="str">
        <x:v>P039</x:v>
      </x:c>
      <x:c r="I3125" t="str">
        <x:v>Ice Cream 4L</x:v>
      </x:c>
      <x:c r="J3125" t="str">
        <x:v>Frozen</x:v>
      </x:c>
      <x:c r="K3125" t="str">
        <x:v>Amul</x:v>
      </x:c>
      <x:c r="L3125" s="22" t="n">
        <x:v>480</x:v>
      </x:c>
      <x:c r="M3125" t="n">
        <x:v>36</x:v>
      </x:c>
      <x:c r="N3125" s="24" t="n">
        <x:v>0.05</x:v>
      </x:c>
      <x:c r="O3125" s="22" t="n">
        <x:f>L3125*M3125</x:f>
        <x:v>17280</x:v>
      </x:c>
      <x:c r="P3125" s="22" t="n">
        <x:f>O3125*(1-N3125)</x:f>
        <x:v>16416</x:v>
      </x:c>
      <x:c r="Q3125" s="22" t="n">
        <x:v>420</x:v>
      </x:c>
      <x:c r="R3125" s="22" t="n">
        <x:f>Q3125*M3125</x:f>
        <x:v>15120</x:v>
      </x:c>
      <x:c r="S3125" s="22" t="n">
        <x:f>P3125-R3125</x:f>
        <x:v>1296</x:v>
      </x:c>
      <x:c r="T3125" t="str">
        <x:v>UPI</x:v>
      </x:c>
      <x:c r="U3125" t="str">
        <x:v>Pending</x:v>
      </x:c>
      <x:c r="V3125" t="str">
        <x:v>Delayed</x:v>
      </x:c>
      <x:c r="W3125" t="n">
        <x:v>0</x:v>
      </x:c>
      <x:c r="X3125" t="str"/>
      <x:c r="Y3125" t="str">
        <x:v>WhatsApp</x:v>
      </x:c>
    </x:row>
    <x:row r="3126">
      <x:c r="A3126" t="str">
        <x:v>O003125</x:v>
      </x:c>
      <x:c r="B3126" s="20" t="n">
        <x:v>46072</x:v>
      </x:c>
      <x:c r="C3126" t="str">
        <x:v>C0147</x:v>
      </x:c>
      <x:c r="D3126" t="str">
        <x:v>New Stores 147</x:v>
      </x:c>
      <x:c r="E3126" t="str">
        <x:v>Supermarket</x:v>
      </x:c>
      <x:c r="F3126" t="str">
        <x:v>Hubballi</x:v>
      </x:c>
      <x:c r="G3126" t="str">
        <x:v>Imran</x:v>
      </x:c>
      <x:c r="H3126" t="str">
        <x:v>P049</x:v>
      </x:c>
      <x:c r="I3126" t="str">
        <x:v>Apple 10kg</x:v>
      </x:c>
      <x:c r="J3126" t="str">
        <x:v>Fresh Produce</x:v>
      </x:c>
      <x:c r="K3126" t="str">
        <x:v>Local Market</x:v>
      </x:c>
      <x:c r="L3126" s="22" t="n">
        <x:v>1450</x:v>
      </x:c>
      <x:c r="M3126" t="n">
        <x:v>1</x:v>
      </x:c>
      <x:c r="N3126" s="24" t="n">
        <x:v>0.1</x:v>
      </x:c>
      <x:c r="O3126" s="22" t="n">
        <x:f>L3126*M3126</x:f>
        <x:v>1450</x:v>
      </x:c>
      <x:c r="P3126" s="22" t="n">
        <x:f>O3126*(1-N3126)</x:f>
        <x:v>1305</x:v>
      </x:c>
      <x:c r="Q3126" s="22" t="n">
        <x:v>1280</x:v>
      </x:c>
      <x:c r="R3126" s="22" t="n">
        <x:f>Q3126*M3126</x:f>
        <x:v>1280</x:v>
      </x:c>
      <x:c r="S3126" s="22" t="n">
        <x:f>P3126-R3126</x:f>
        <x:v>25</x:v>
      </x:c>
      <x:c r="T3126" t="str">
        <x:v>Cash</x:v>
      </x:c>
      <x:c r="U3126" t="str">
        <x:v>Paid</x:v>
      </x:c>
      <x:c r="V3126" t="str">
        <x:v>Delivered</x:v>
      </x:c>
      <x:c r="W3126" t="n">
        <x:v>0</x:v>
      </x:c>
      <x:c r="X3126" t="str"/>
      <x:c r="Y3126" t="str">
        <x:v>Referral</x:v>
      </x:c>
    </x:row>
    <x:row r="3127">
      <x:c r="A3127" t="str">
        <x:v>O003126</x:v>
      </x:c>
      <x:c r="B3127" s="20" t="n">
        <x:v>46090</x:v>
      </x:c>
      <x:c r="C3127" t="str">
        <x:v>C0216</x:v>
      </x:c>
      <x:c r="D3127" t="str">
        <x:v>Cafe Restaurant 216</x:v>
      </x:c>
      <x:c r="E3127" t="str">
        <x:v>Canteen</x:v>
      </x:c>
      <x:c r="F3127" t="str">
        <x:v>Bengaluru</x:v>
      </x:c>
      <x:c r="G3127" t="str">
        <x:v>Vikram</x:v>
      </x:c>
      <x:c r="H3127" t="str">
        <x:v>P014</x:v>
      </x:c>
      <x:c r="I3127" t="str">
        <x:v>Rava 5kg</x:v>
      </x:c>
      <x:c r="J3127" t="str">
        <x:v>Flour</x:v>
      </x:c>
      <x:c r="K3127" t="str">
        <x:v>Local Select</x:v>
      </x:c>
      <x:c r="L3127" s="22" t="n">
        <x:v>245</x:v>
      </x:c>
      <x:c r="M3127" t="n">
        <x:v>1</x:v>
      </x:c>
      <x:c r="N3127" s="24" t="n">
        <x:v>0.03</x:v>
      </x:c>
      <x:c r="O3127" s="22" t="n">
        <x:f>L3127*M3127</x:f>
        <x:v>245</x:v>
      </x:c>
      <x:c r="P3127" s="22" t="n">
        <x:f>O3127*(1-N3127)</x:f>
        <x:v>237.65</x:v>
      </x:c>
      <x:c r="Q3127" s="22" t="n">
        <x:v>215</x:v>
      </x:c>
      <x:c r="R3127" s="22" t="n">
        <x:f>Q3127*M3127</x:f>
        <x:v>215</x:v>
      </x:c>
      <x:c r="S3127" s="22" t="n">
        <x:f>P3127-R3127</x:f>
        <x:v>22.650000000000006</x:v>
      </x:c>
      <x:c r="T3127" t="str">
        <x:v>Credit</x:v>
      </x:c>
      <x:c r="U3127" t="str">
        <x:v>Pending</x:v>
      </x:c>
      <x:c r="V3127" t="str">
        <x:v>Delivered</x:v>
      </x:c>
      <x:c r="W3127" t="n">
        <x:v>0</x:v>
      </x:c>
      <x:c r="X3127" t="str"/>
      <x:c r="Y3127" t="str">
        <x:v>Existing Customer</x:v>
      </x:c>
    </x:row>
    <x:row r="3128">
      <x:c r="A3128" t="str">
        <x:v>O003127</x:v>
      </x:c>
      <x:c r="B3128" s="20" t="n">
        <x:v>46074</x:v>
      </x:c>
      <x:c r="C3128" t="str">
        <x:v>C0065</x:v>
      </x:c>
      <x:c r="D3128" t="str">
        <x:v>Mysore Stores 65</x:v>
      </x:c>
      <x:c r="E3128" t="str">
        <x:v>Kirana</x:v>
      </x:c>
      <x:c r="F3128" t="str">
        <x:v>Tumakuru</x:v>
      </x:c>
      <x:c r="G3128" t="str">
        <x:v>Sneha</x:v>
      </x:c>
      <x:c r="H3128" t="str">
        <x:v>P017</x:v>
      </x:c>
      <x:c r="I3128" t="str">
        <x:v>Butter 500g</x:v>
      </x:c>
      <x:c r="J3128" t="str">
        <x:v>Dairy</x:v>
      </x:c>
      <x:c r="K3128" t="str">
        <x:v>Amul</x:v>
      </x:c>
      <x:c r="L3128" s="22" t="n">
        <x:v>285</x:v>
      </x:c>
      <x:c r="M3128" t="n">
        <x:v>3</x:v>
      </x:c>
      <x:c r="N3128" s="24" t="n">
        <x:v>0.08</x:v>
      </x:c>
      <x:c r="O3128" s="22" t="n">
        <x:f>L3128*M3128</x:f>
        <x:v>855</x:v>
      </x:c>
      <x:c r="P3128" s="22" t="n">
        <x:f>O3128*(1-N3128)</x:f>
        <x:v>786.6</x:v>
      </x:c>
      <x:c r="Q3128" s="22" t="n">
        <x:v>258</x:v>
      </x:c>
      <x:c r="R3128" s="22" t="n">
        <x:f>Q3128*M3128</x:f>
        <x:v>774</x:v>
      </x:c>
      <x:c r="S3128" s="22" t="n">
        <x:f>P3128-R3128</x:f>
        <x:v>12.600000000000023</x:v>
      </x:c>
      <x:c r="T3128" t="str">
        <x:v>UPI</x:v>
      </x:c>
      <x:c r="U3128" t="str">
        <x:v>Paid</x:v>
      </x:c>
      <x:c r="V3128" t="str">
        <x:v>Delivered</x:v>
      </x:c>
      <x:c r="W3128" t="n">
        <x:v>0</x:v>
      </x:c>
      <x:c r="X3128" t="str"/>
      <x:c r="Y3128" t="str">
        <x:v>Field Visit</x:v>
      </x:c>
    </x:row>
    <x:row r="3129">
      <x:c r="A3129" t="str">
        <x:v>O003128</x:v>
      </x:c>
      <x:c r="B3129" s="20" t="n">
        <x:v>45899</x:v>
      </x:c>
      <x:c r="C3129" t="str">
        <x:v>C0199</x:v>
      </x:c>
      <x:c r="D3129" t="str">
        <x:v>Classic Cafe 199</x:v>
      </x:c>
      <x:c r="E3129" t="str">
        <x:v>Canteen</x:v>
      </x:c>
      <x:c r="F3129" t="str">
        <x:v>Mangaluru</x:v>
      </x:c>
      <x:c r="G3129" t="str">
        <x:v>Ramesh</x:v>
      </x:c>
      <x:c r="H3129" t="str">
        <x:v>P036</x:v>
      </x:c>
      <x:c r="I3129" t="str">
        <x:v>Garam Masala 500g</x:v>
      </x:c>
      <x:c r="J3129" t="str">
        <x:v>Spices</x:v>
      </x:c>
      <x:c r="K3129" t="str">
        <x:v>MDH</x:v>
      </x:c>
      <x:c r="L3129" s="22" t="n">
        <x:v>265</x:v>
      </x:c>
      <x:c r="M3129" t="n">
        <x:v>18</x:v>
      </x:c>
      <x:c r="N3129" s="24" t="n">
        <x:v>0.03</x:v>
      </x:c>
      <x:c r="O3129" s="22" t="n">
        <x:f>L3129*M3129</x:f>
        <x:v>4770</x:v>
      </x:c>
      <x:c r="P3129" s="22" t="n">
        <x:f>O3129*(1-N3129)</x:f>
        <x:v>4626.9</x:v>
      </x:c>
      <x:c r="Q3129" s="22" t="n">
        <x:v>230</x:v>
      </x:c>
      <x:c r="R3129" s="22" t="n">
        <x:f>Q3129*M3129</x:f>
        <x:v>4140</x:v>
      </x:c>
      <x:c r="S3129" s="22" t="n">
        <x:f>P3129-R3129</x:f>
        <x:v>486.89999999999964</x:v>
      </x:c>
      <x:c r="T3129" t="str">
        <x:v>Cash</x:v>
      </x:c>
      <x:c r="U3129" t="str">
        <x:v>Paid</x:v>
      </x:c>
      <x:c r="V3129" t="str">
        <x:v>Delayed</x:v>
      </x:c>
      <x:c r="W3129" t="n">
        <x:v>0</x:v>
      </x:c>
      <x:c r="X3129" t="str"/>
      <x:c r="Y3129" t="str">
        <x:v>Field Visit</x:v>
      </x:c>
    </x:row>
    <x:row r="3130">
      <x:c r="A3130" t="str">
        <x:v>O003129</x:v>
      </x:c>
      <x:c r="B3130" s="20" t="n">
        <x:v>46262</x:v>
      </x:c>
      <x:c r="C3130" t="str">
        <x:v>C0104</x:v>
      </x:c>
      <x:c r="D3130" t="str">
        <x:v>Shree Foods 104</x:v>
      </x:c>
      <x:c r="E3130" t="str">
        <x:v>Cafe</x:v>
      </x:c>
      <x:c r="F3130" t="str">
        <x:v>Mangaluru</x:v>
      </x:c>
      <x:c r="G3130" t="str">
        <x:v>Megha</x:v>
      </x:c>
      <x:c r="H3130" t="str">
        <x:v>P001</x:v>
      </x:c>
      <x:c r="I3130" t="str">
        <x:v>Steam Rice 25kg</x:v>
      </x:c>
      <x:c r="J3130" t="str">
        <x:v>Staples</x:v>
      </x:c>
      <x:c r="K3130" t="str">
        <x:v>Aishwarya</x:v>
      </x:c>
      <x:c r="L3130" s="22" t="n">
        <x:v>1180</x:v>
      </x:c>
      <x:c r="M3130" t="n">
        <x:v>9</x:v>
      </x:c>
      <x:c r="N3130" s="24" t="n">
        <x:v>0</x:v>
      </x:c>
      <x:c r="O3130" s="22" t="n">
        <x:f>L3130*M3130</x:f>
        <x:v>10620</x:v>
      </x:c>
      <x:c r="P3130" s="22" t="n">
        <x:f>O3130*(1-N3130)</x:f>
        <x:v>10620</x:v>
      </x:c>
      <x:c r="Q3130" s="22" t="n">
        <x:v>1040</x:v>
      </x:c>
      <x:c r="R3130" s="22" t="n">
        <x:f>Q3130*M3130</x:f>
        <x:v>9360</x:v>
      </x:c>
      <x:c r="S3130" s="22" t="n">
        <x:f>P3130-R3130</x:f>
        <x:v>1260</x:v>
      </x:c>
      <x:c r="T3130" t="str">
        <x:v>Bank Transfer</x:v>
      </x:c>
      <x:c r="U3130" t="str">
        <x:v>Paid</x:v>
      </x:c>
      <x:c r="V3130" t="str">
        <x:v>Delivered</x:v>
      </x:c>
      <x:c r="W3130" t="n">
        <x:v>0</x:v>
      </x:c>
      <x:c r="X3130" t="str"/>
      <x:c r="Y3130" t="str">
        <x:v>WhatsApp</x:v>
      </x:c>
    </x:row>
    <x:row r="3131">
      <x:c r="A3131" t="str">
        <x:v>O003130</x:v>
      </x:c>
      <x:c r="B3131" s="20" t="n">
        <x:v>46217</x:v>
      </x:c>
      <x:c r="C3131" t="str">
        <x:v>C0143</x:v>
      </x:c>
      <x:c r="D3131" t="str">
        <x:v>Foodie Restaurant 143</x:v>
      </x:c>
      <x:c r="E3131" t="str">
        <x:v>Restaurant</x:v>
      </x:c>
      <x:c r="F3131" t="str">
        <x:v>Hubballi</x:v>
      </x:c>
      <x:c r="G3131" t="str">
        <x:v>Priya</x:v>
      </x:c>
      <x:c r="H3131" t="str">
        <x:v>P015</x:v>
      </x:c>
      <x:c r="I3131" t="str">
        <x:v>Milk 1L</x:v>
      </x:c>
      <x:c r="J3131" t="str">
        <x:v>Dairy</x:v>
      </x:c>
      <x:c r="K3131" t="str">
        <x:v>Nandini</x:v>
      </x:c>
      <x:c r="L3131" s="22" t="n">
        <x:v>48</x:v>
      </x:c>
      <x:c r="M3131" t="n">
        <x:v>23</x:v>
      </x:c>
      <x:c r="N3131" s="24" t="n">
        <x:v>0.03</x:v>
      </x:c>
      <x:c r="O3131" s="22" t="n">
        <x:f>L3131*M3131</x:f>
        <x:v>1104</x:v>
      </x:c>
      <x:c r="P3131" s="22" t="n">
        <x:f>O3131*(1-N3131)</x:f>
        <x:v>1070.8799999999999</x:v>
      </x:c>
      <x:c r="Q3131" s="22" t="n">
        <x:v>43</x:v>
      </x:c>
      <x:c r="R3131" s="22" t="n">
        <x:f>Q3131*M3131</x:f>
        <x:v>989</x:v>
      </x:c>
      <x:c r="S3131" s="22" t="n">
        <x:f>P3131-R3131</x:f>
        <x:v>81.87999999999988</x:v>
      </x:c>
      <x:c r="T3131" t="str">
        <x:v>UPI</x:v>
      </x:c>
      <x:c r="U3131" t="str">
        <x:v>Paid</x:v>
      </x:c>
      <x:c r="V3131" t="str">
        <x:v>Delivered</x:v>
      </x:c>
      <x:c r="W3131" t="n">
        <x:v>0</x:v>
      </x:c>
      <x:c r="X3131" t="str"/>
      <x:c r="Y3131" t="str">
        <x:v>Field Visit</x:v>
      </x:c>
    </x:row>
    <x:row r="3132">
      <x:c r="A3132" t="str">
        <x:v>O003131</x:v>
      </x:c>
      <x:c r="B3132" s="20" t="n">
        <x:v>45674</x:v>
      </x:c>
      <x:c r="C3132" t="str">
        <x:v>C0037</x:v>
      </x:c>
      <x:c r="D3132" t="str">
        <x:v>Royal Cafe 37</x:v>
      </x:c>
      <x:c r="E3132" t="str">
        <x:v>Hotel</x:v>
      </x:c>
      <x:c r="F3132" t="str">
        <x:v>Mysuru</x:v>
      </x:c>
      <x:c r="G3132" t="str">
        <x:v>Sneha</x:v>
      </x:c>
      <x:c r="H3132" t="str">
        <x:v>P043</x:v>
      </x:c>
      <x:c r="I3132" t="str">
        <x:v>Chicken Breast 1kg</x:v>
      </x:c>
      <x:c r="J3132" t="str">
        <x:v>Protein</x:v>
      </x:c>
      <x:c r="K3132" t="str">
        <x:v>FreshToHome</x:v>
      </x:c>
      <x:c r="L3132" s="22" t="n">
        <x:v>260</x:v>
      </x:c>
      <x:c r="M3132" t="n">
        <x:v>19</x:v>
      </x:c>
      <x:c r="N3132" s="24" t="n">
        <x:v>0.05</x:v>
      </x:c>
      <x:c r="O3132" s="22" t="n">
        <x:f>L3132*M3132</x:f>
        <x:v>4940</x:v>
      </x:c>
      <x:c r="P3132" s="22" t="n">
        <x:f>O3132*(1-N3132)</x:f>
        <x:v>4693</x:v>
      </x:c>
      <x:c r="Q3132" s="22" t="n">
        <x:v>235</x:v>
      </x:c>
      <x:c r="R3132" s="22" t="n">
        <x:f>Q3132*M3132</x:f>
        <x:v>4465</x:v>
      </x:c>
      <x:c r="S3132" s="22" t="n">
        <x:f>P3132-R3132</x:f>
        <x:v>228</x:v>
      </x:c>
      <x:c r="T3132" t="str">
        <x:v>Credit</x:v>
      </x:c>
      <x:c r="U3132" t="str">
        <x:v>Overdue</x:v>
      </x:c>
      <x:c r="V3132" t="str">
        <x:v>Cancelled</x:v>
      </x:c>
      <x:c r="W3132" t="n">
        <x:v>19</x:v>
      </x:c>
      <x:c r="X3132" t="str">
        <x:v>Cancelled Order</x:v>
      </x:c>
      <x:c r="Y3132" t="str">
        <x:v>WhatsApp</x:v>
      </x:c>
    </x:row>
    <x:row r="3133">
      <x:c r="A3133" t="str">
        <x:v>O003132</x:v>
      </x:c>
      <x:c r="B3133" s="20" t="n">
        <x:v>45853</x:v>
      </x:c>
      <x:c r="C3133" t="str">
        <x:v>C0046</x:v>
      </x:c>
      <x:c r="D3133" t="str">
        <x:v>Annapurna Foods 46</x:v>
      </x:c>
      <x:c r="E3133" t="str">
        <x:v>Kirana</x:v>
      </x:c>
      <x:c r="F3133" t="str">
        <x:v>Bengaluru</x:v>
      </x:c>
      <x:c r="G3133" t="str">
        <x:v>Ramesh</x:v>
      </x:c>
      <x:c r="H3133" t="str">
        <x:v>P021</x:v>
      </x:c>
      <x:c r="I3133" t="str">
        <x:v>Instant Coffee 200g</x:v>
      </x:c>
      <x:c r="J3133" t="str">
        <x:v>Beverage</x:v>
      </x:c>
      <x:c r="K3133" t="str">
        <x:v>Nescafe</x:v>
      </x:c>
      <x:c r="L3133" s="22" t="n">
        <x:v>460</x:v>
      </x:c>
      <x:c r="M3133" t="n">
        <x:v>35</x:v>
      </x:c>
      <x:c r="N3133" s="24" t="n">
        <x:v>0.02</x:v>
      </x:c>
      <x:c r="O3133" s="22" t="n">
        <x:f>L3133*M3133</x:f>
        <x:v>16100</x:v>
      </x:c>
      <x:c r="P3133" s="22" t="n">
        <x:f>O3133*(1-N3133)</x:f>
        <x:v>15778</x:v>
      </x:c>
      <x:c r="Q3133" s="22" t="n">
        <x:v>410</x:v>
      </x:c>
      <x:c r="R3133" s="22" t="n">
        <x:f>Q3133*M3133</x:f>
        <x:v>14350</x:v>
      </x:c>
      <x:c r="S3133" s="22" t="n">
        <x:f>P3133-R3133</x:f>
        <x:v>1428</x:v>
      </x:c>
      <x:c r="T3133" t="str">
        <x:v>Credit</x:v>
      </x:c>
      <x:c r="U3133" t="str">
        <x:v>Pending</x:v>
      </x:c>
      <x:c r="V3133" t="str">
        <x:v>Delayed</x:v>
      </x:c>
      <x:c r="W3133" t="n">
        <x:v>0</x:v>
      </x:c>
      <x:c r="X3133" t="str"/>
      <x:c r="Y3133" t="str">
        <x:v>Outbound Call</x:v>
      </x:c>
    </x:row>
    <x:row r="3134">
      <x:c r="A3134" t="str">
        <x:v>O003133</x:v>
      </x:c>
      <x:c r="B3134" s="20" t="n">
        <x:v>45857</x:v>
      </x:c>
      <x:c r="C3134" t="str">
        <x:v>C0207</x:v>
      </x:c>
      <x:c r="D3134" t="str">
        <x:v>Hotel Stores 207</x:v>
      </x:c>
      <x:c r="E3134" t="str">
        <x:v>Restaurant</x:v>
      </x:c>
      <x:c r="F3134" t="str">
        <x:v>Hubballi</x:v>
      </x:c>
      <x:c r="G3134" t="str">
        <x:v>Ramesh</x:v>
      </x:c>
      <x:c r="H3134" t="str">
        <x:v>P023</x:v>
      </x:c>
      <x:c r="I3134" t="str">
        <x:v>Cola 750ml</x:v>
      </x:c>
      <x:c r="J3134" t="str">
        <x:v>Beverage</x:v>
      </x:c>
      <x:c r="K3134" t="str">
        <x:v>Coca-Cola</x:v>
      </x:c>
      <x:c r="L3134" s="22" t="n">
        <x:v>38</x:v>
      </x:c>
      <x:c r="M3134" t="n">
        <x:v>3</x:v>
      </x:c>
      <x:c r="N3134" s="24" t="n">
        <x:v>0</x:v>
      </x:c>
      <x:c r="O3134" s="22" t="n">
        <x:f>L3134*M3134</x:f>
        <x:v>114</x:v>
      </x:c>
      <x:c r="P3134" s="22" t="n">
        <x:f>O3134*(1-N3134)</x:f>
        <x:v>114</x:v>
      </x:c>
      <x:c r="Q3134" s="22" t="n">
        <x:v>31</x:v>
      </x:c>
      <x:c r="R3134" s="22" t="n">
        <x:f>Q3134*M3134</x:f>
        <x:v>93</x:v>
      </x:c>
      <x:c r="S3134" s="22" t="n">
        <x:f>P3134-R3134</x:f>
        <x:v>21</x:v>
      </x:c>
      <x:c r="T3134" t="str">
        <x:v>Cash</x:v>
      </x:c>
      <x:c r="U3134" t="str">
        <x:v>Paid</x:v>
      </x:c>
      <x:c r="V3134" t="str">
        <x:v>Delayed</x:v>
      </x:c>
      <x:c r="W3134" t="n">
        <x:v>0</x:v>
      </x:c>
      <x:c r="X3134" t="str"/>
      <x:c r="Y3134" t="str">
        <x:v>WhatsApp</x:v>
      </x:c>
    </x:row>
    <x:row r="3135">
      <x:c r="A3135" t="str">
        <x:v>O003134</x:v>
      </x:c>
      <x:c r="B3135" s="20" t="n">
        <x:v>46042</x:v>
      </x:c>
      <x:c r="C3135" t="str">
        <x:v>C0076</x:v>
      </x:c>
      <x:c r="D3135" t="str">
        <x:v>Sri Canteen 76</x:v>
      </x:c>
      <x:c r="E3135" t="str">
        <x:v>Canteen</x:v>
      </x:c>
      <x:c r="F3135" t="str">
        <x:v>Tumakuru</x:v>
      </x:c>
      <x:c r="G3135" t="str">
        <x:v>Priya</x:v>
      </x:c>
      <x:c r="H3135" t="str">
        <x:v>P044</x:v>
      </x:c>
      <x:c r="I3135" t="str">
        <x:v>Chicken Curry Cut 1kg</x:v>
      </x:c>
      <x:c r="J3135" t="str">
        <x:v>Protein</x:v>
      </x:c>
      <x:c r="K3135" t="str">
        <x:v>FreshToHome</x:v>
      </x:c>
      <x:c r="L3135" s="22" t="n">
        <x:v>230</x:v>
      </x:c>
      <x:c r="M3135" t="n">
        <x:v>34</x:v>
      </x:c>
      <x:c r="N3135" s="24" t="n">
        <x:v>0.02</x:v>
      </x:c>
      <x:c r="O3135" s="22" t="n">
        <x:f>L3135*M3135</x:f>
        <x:v>7820</x:v>
      </x:c>
      <x:c r="P3135" s="22" t="n">
        <x:f>O3135*(1-N3135)</x:f>
        <x:v>7663.599999999999</x:v>
      </x:c>
      <x:c r="Q3135" s="22" t="n">
        <x:v>205</x:v>
      </x:c>
      <x:c r="R3135" s="22" t="n">
        <x:f>Q3135*M3135</x:f>
        <x:v>6970</x:v>
      </x:c>
      <x:c r="S3135" s="22" t="n">
        <x:f>P3135-R3135</x:f>
        <x:v>693.5999999999995</x:v>
      </x:c>
      <x:c r="T3135" t="str">
        <x:v>UPI</x:v>
      </x:c>
      <x:c r="U3135" t="str">
        <x:v>Paid</x:v>
      </x:c>
      <x:c r="V3135" t="str">
        <x:v>Cancelled</x:v>
      </x:c>
      <x:c r="W3135" t="n">
        <x:v>34</x:v>
      </x:c>
      <x:c r="X3135" t="str">
        <x:v>Cancelled Order</x:v>
      </x:c>
      <x:c r="Y3135" t="str">
        <x:v>WhatsApp</x:v>
      </x:c>
    </x:row>
    <x:row r="3136">
      <x:c r="A3136" t="str">
        <x:v>O003135</x:v>
      </x:c>
      <x:c r="B3136" s="20" t="n">
        <x:v>46055</x:v>
      </x:c>
      <x:c r="C3136" t="str">
        <x:v>C0207</x:v>
      </x:c>
      <x:c r="D3136" t="str">
        <x:v>Hotel Stores 207</x:v>
      </x:c>
      <x:c r="E3136" t="str">
        <x:v>Restaurant</x:v>
      </x:c>
      <x:c r="F3136" t="str">
        <x:v>Hubballi</x:v>
      </x:c>
      <x:c r="G3136" t="str">
        <x:v>Ramesh</x:v>
      </x:c>
      <x:c r="H3136" t="str">
        <x:v>P029</x:v>
      </x:c>
      <x:c r="I3136" t="str">
        <x:v>Tomato Ketchup 1kg</x:v>
      </x:c>
      <x:c r="J3136" t="str">
        <x:v>Condiments</x:v>
      </x:c>
      <x:c r="K3136" t="str">
        <x:v>Kissan</x:v>
      </x:c>
      <x:c r="L3136" s="22" t="n">
        <x:v>145</x:v>
      </x:c>
      <x:c r="M3136" t="n">
        <x:v>6</x:v>
      </x:c>
      <x:c r="N3136" s="24" t="n">
        <x:v>0</x:v>
      </x:c>
      <x:c r="O3136" s="22" t="n">
        <x:f>L3136*M3136</x:f>
        <x:v>870</x:v>
      </x:c>
      <x:c r="P3136" s="22" t="n">
        <x:f>O3136*(1-N3136)</x:f>
        <x:v>870</x:v>
      </x:c>
      <x:c r="Q3136" s="22" t="n">
        <x:v>126</x:v>
      </x:c>
      <x:c r="R3136" s="22" t="n">
        <x:f>Q3136*M3136</x:f>
        <x:v>756</x:v>
      </x:c>
      <x:c r="S3136" s="22" t="n">
        <x:f>P3136-R3136</x:f>
        <x:v>114</x:v>
      </x:c>
      <x:c r="T3136" t="str">
        <x:v>Credit</x:v>
      </x:c>
      <x:c r="U3136" t="str">
        <x:v>Paid</x:v>
      </x:c>
      <x:c r="V3136" t="str">
        <x:v>Cancelled</x:v>
      </x:c>
      <x:c r="W3136" t="n">
        <x:v>6</x:v>
      </x:c>
      <x:c r="X3136" t="str">
        <x:v>Cancelled Order</x:v>
      </x:c>
      <x:c r="Y3136" t="str">
        <x:v>Existing Customer</x:v>
      </x:c>
    </x:row>
    <x:row r="3137">
      <x:c r="A3137" t="str">
        <x:v>O003136</x:v>
      </x:c>
      <x:c r="B3137" s="20" t="n">
        <x:v>45852</x:v>
      </x:c>
      <x:c r="C3137" t="str">
        <x:v>C0003</x:v>
      </x:c>
      <x:c r="D3137" t="str">
        <x:v>Grand Foods 3</x:v>
      </x:c>
      <x:c r="E3137" t="str">
        <x:v>Restaurant</x:v>
      </x:c>
      <x:c r="F3137" t="str">
        <x:v>Bengaluru</x:v>
      </x:c>
      <x:c r="G3137" t="str">
        <x:v>Vikram</x:v>
      </x:c>
      <x:c r="H3137" t="str">
        <x:v>P050</x:v>
      </x:c>
      <x:c r="I3137" t="str">
        <x:v>Lemon 5kg</x:v>
      </x:c>
      <x:c r="J3137" t="str">
        <x:v>Fresh Produce</x:v>
      </x:c>
      <x:c r="K3137" t="str">
        <x:v>Local Market</x:v>
      </x:c>
      <x:c r="L3137" s="22" t="n">
        <x:v>360</x:v>
      </x:c>
      <x:c r="M3137" t="n">
        <x:v>20</x:v>
      </x:c>
      <x:c r="N3137" s="24" t="n">
        <x:v>0.03</x:v>
      </x:c>
      <x:c r="O3137" s="22" t="n">
        <x:f>L3137*M3137</x:f>
        <x:v>7200</x:v>
      </x:c>
      <x:c r="P3137" s="22" t="n">
        <x:f>O3137*(1-N3137)</x:f>
        <x:v>6984</x:v>
      </x:c>
      <x:c r="Q3137" s="22" t="n">
        <x:v>300</x:v>
      </x:c>
      <x:c r="R3137" s="22" t="n">
        <x:f>Q3137*M3137</x:f>
        <x:v>6000</x:v>
      </x:c>
      <x:c r="S3137" s="22" t="n">
        <x:f>P3137-R3137</x:f>
        <x:v>984</x:v>
      </x:c>
      <x:c r="T3137" t="str">
        <x:v>Bank Transfer</x:v>
      </x:c>
      <x:c r="U3137" t="str">
        <x:v>Paid</x:v>
      </x:c>
      <x:c r="V3137" t="str">
        <x:v>Delivered</x:v>
      </x:c>
      <x:c r="W3137" t="n">
        <x:v>0</x:v>
      </x:c>
      <x:c r="X3137" t="str"/>
      <x:c r="Y3137" t="str">
        <x:v>Existing Customer</x:v>
      </x:c>
    </x:row>
    <x:row r="3138">
      <x:c r="A3138" t="str">
        <x:v>O003137</x:v>
      </x:c>
      <x:c r="B3138" s="20" t="n">
        <x:v>46080</x:v>
      </x:c>
      <x:c r="C3138" t="str">
        <x:v>C0202</x:v>
      </x:c>
      <x:c r="D3138" t="str">
        <x:v>Sagar Foods 202</x:v>
      </x:c>
      <x:c r="E3138" t="str">
        <x:v>Restaurant</x:v>
      </x:c>
      <x:c r="F3138" t="str">
        <x:v>Mangaluru</x:v>
      </x:c>
      <x:c r="G3138" t="str">
        <x:v>Kavya</x:v>
      </x:c>
      <x:c r="H3138" t="str">
        <x:v>P044</x:v>
      </x:c>
      <x:c r="I3138" t="str">
        <x:v>Chicken Curry Cut 1kg</x:v>
      </x:c>
      <x:c r="J3138" t="str">
        <x:v>Protein</x:v>
      </x:c>
      <x:c r="K3138" t="str">
        <x:v>FreshToHome</x:v>
      </x:c>
      <x:c r="L3138" s="22" t="n">
        <x:v>230</x:v>
      </x:c>
      <x:c r="M3138" t="n">
        <x:v>31</x:v>
      </x:c>
      <x:c r="N3138" s="24" t="n">
        <x:v>0.05</x:v>
      </x:c>
      <x:c r="O3138" s="22" t="n">
        <x:f>L3138*M3138</x:f>
        <x:v>7130</x:v>
      </x:c>
      <x:c r="P3138" s="22" t="n">
        <x:f>O3138*(1-N3138)</x:f>
        <x:v>6773.5</x:v>
      </x:c>
      <x:c r="Q3138" s="22" t="n">
        <x:v>205</x:v>
      </x:c>
      <x:c r="R3138" s="22" t="n">
        <x:f>Q3138*M3138</x:f>
        <x:v>6355</x:v>
      </x:c>
      <x:c r="S3138" s="22" t="n">
        <x:f>P3138-R3138</x:f>
        <x:v>418.5</x:v>
      </x:c>
      <x:c r="T3138" t="str">
        <x:v>UPI</x:v>
      </x:c>
      <x:c r="U3138" t="str">
        <x:v>Paid</x:v>
      </x:c>
      <x:c r="V3138" t="str">
        <x:v>Delivered</x:v>
      </x:c>
      <x:c r="W3138" t="n">
        <x:v>0</x:v>
      </x:c>
      <x:c r="X3138" t="str"/>
      <x:c r="Y3138" t="str">
        <x:v>WhatsApp</x:v>
      </x:c>
    </x:row>
    <x:row r="3139">
      <x:c r="A3139" t="str">
        <x:v>O003138</x:v>
      </x:c>
      <x:c r="B3139" s="20" t="n">
        <x:v>45960</x:v>
      </x:c>
      <x:c r="C3139" t="str">
        <x:v>C0211</x:v>
      </x:c>
      <x:c r="D3139" t="str">
        <x:v>Cafe Cafe 211</x:v>
      </x:c>
      <x:c r="E3139" t="str">
        <x:v>Supermarket</x:v>
      </x:c>
      <x:c r="F3139" t="str">
        <x:v>Davanagere</x:v>
      </x:c>
      <x:c r="G3139" t="str">
        <x:v>Megha</x:v>
      </x:c>
      <x:c r="H3139" t="str">
        <x:v>P044</x:v>
      </x:c>
      <x:c r="I3139" t="str">
        <x:v>Chicken Curry Cut 1kg</x:v>
      </x:c>
      <x:c r="J3139" t="str">
        <x:v>Protein</x:v>
      </x:c>
      <x:c r="K3139" t="str">
        <x:v>FreshToHome</x:v>
      </x:c>
      <x:c r="L3139" s="22" t="n">
        <x:v>230</x:v>
      </x:c>
      <x:c r="M3139" t="n">
        <x:v>3</x:v>
      </x:c>
      <x:c r="N3139" s="24" t="n">
        <x:v>0</x:v>
      </x:c>
      <x:c r="O3139" s="22" t="n">
        <x:f>L3139*M3139</x:f>
        <x:v>690</x:v>
      </x:c>
      <x:c r="P3139" s="22" t="n">
        <x:f>O3139*(1-N3139)</x:f>
        <x:v>690</x:v>
      </x:c>
      <x:c r="Q3139" s="22" t="n">
        <x:v>205</x:v>
      </x:c>
      <x:c r="R3139" s="22" t="n">
        <x:f>Q3139*M3139</x:f>
        <x:v>615</x:v>
      </x:c>
      <x:c r="S3139" s="22" t="n">
        <x:f>P3139-R3139</x:f>
        <x:v>75</x:v>
      </x:c>
      <x:c r="T3139" t="str">
        <x:v>Cash</x:v>
      </x:c>
      <x:c r="U3139" t="str">
        <x:v>Pending</x:v>
      </x:c>
      <x:c r="V3139" t="str">
        <x:v>Delivered</x:v>
      </x:c>
      <x:c r="W3139" t="n">
        <x:v>0</x:v>
      </x:c>
      <x:c r="X3139" t="str"/>
      <x:c r="Y3139" t="str">
        <x:v>Referral</x:v>
      </x:c>
    </x:row>
    <x:row r="3140">
      <x:c r="A3140" t="str">
        <x:v>O003139</x:v>
      </x:c>
      <x:c r="B3140" s="20" t="n">
        <x:v>45988</x:v>
      </x:c>
      <x:c r="C3140" t="str">
        <x:v>C0241</x:v>
      </x:c>
      <x:c r="D3140" t="str">
        <x:v>Annapurna Restaurant 241</x:v>
      </x:c>
      <x:c r="E3140" t="str">
        <x:v>Hotel</x:v>
      </x:c>
      <x:c r="F3140" t="str">
        <x:v>Tumakuru</x:v>
      </x:c>
      <x:c r="G3140" t="str">
        <x:v>Imran</x:v>
      </x:c>
      <x:c r="H3140" t="str">
        <x:v>P010</x:v>
      </x:c>
      <x:c r="I3140" t="str">
        <x:v>Sugar 25kg</x:v>
      </x:c>
      <x:c r="J3140" t="str">
        <x:v>Staples</x:v>
      </x:c>
      <x:c r="K3140" t="str">
        <x:v>Madhur</x:v>
      </x:c>
      <x:c r="L3140" s="22" t="n">
        <x:v>1190</x:v>
      </x:c>
      <x:c r="M3140" t="n">
        <x:v>5</x:v>
      </x:c>
      <x:c r="N3140" s="24" t="n">
        <x:v>0</x:v>
      </x:c>
      <x:c r="O3140" s="22" t="n">
        <x:f>L3140*M3140</x:f>
        <x:v>5950</x:v>
      </x:c>
      <x:c r="P3140" s="22" t="n">
        <x:f>O3140*(1-N3140)</x:f>
        <x:v>5950</x:v>
      </x:c>
      <x:c r="Q3140" s="22" t="n">
        <x:v>1080</x:v>
      </x:c>
      <x:c r="R3140" s="22" t="n">
        <x:f>Q3140*M3140</x:f>
        <x:v>5400</x:v>
      </x:c>
      <x:c r="S3140" s="22" t="n">
        <x:f>P3140-R3140</x:f>
        <x:v>550</x:v>
      </x:c>
      <x:c r="T3140" t="str">
        <x:v>Bank Transfer</x:v>
      </x:c>
      <x:c r="U3140" t="str">
        <x:v>Paid</x:v>
      </x:c>
      <x:c r="V3140" t="str">
        <x:v>Delivered</x:v>
      </x:c>
      <x:c r="W3140" t="n">
        <x:v>0</x:v>
      </x:c>
      <x:c r="X3140" t="str"/>
      <x:c r="Y3140" t="str">
        <x:v>WhatsApp</x:v>
      </x:c>
    </x:row>
    <x:row r="3141">
      <x:c r="A3141" t="str">
        <x:v>O003140</x:v>
      </x:c>
      <x:c r="B3141" s="20" t="n">
        <x:v>45986</x:v>
      </x:c>
      <x:c r="C3141" t="str">
        <x:v>C0001</x:v>
      </x:c>
      <x:c r="D3141" t="str">
        <x:v>Annapurna Cafe 1</x:v>
      </x:c>
      <x:c r="E3141" t="str">
        <x:v>Hotel</x:v>
      </x:c>
      <x:c r="F3141" t="str">
        <x:v>Davanagere</x:v>
      </x:c>
      <x:c r="G3141" t="str">
        <x:v>Kavya</x:v>
      </x:c>
      <x:c r="H3141" t="str">
        <x:v>P034</x:v>
      </x:c>
      <x:c r="I3141" t="str">
        <x:v>Chilli Powder 1kg</x:v>
      </x:c>
      <x:c r="J3141" t="str">
        <x:v>Spices</x:v>
      </x:c>
      <x:c r="K3141" t="str">
        <x:v>MDH</x:v>
      </x:c>
      <x:c r="L3141" s="22" t="n">
        <x:v>340</x:v>
      </x:c>
      <x:c r="M3141" t="n">
        <x:v>34</x:v>
      </x:c>
      <x:c r="N3141" s="24" t="n">
        <x:v>0.05</x:v>
      </x:c>
      <x:c r="O3141" s="22" t="n">
        <x:f>L3141*M3141</x:f>
        <x:v>11560</x:v>
      </x:c>
      <x:c r="P3141" s="22" t="n">
        <x:f>O3141*(1-N3141)</x:f>
        <x:v>10982</x:v>
      </x:c>
      <x:c r="Q3141" s="22" t="n">
        <x:v>295</x:v>
      </x:c>
      <x:c r="R3141" s="22" t="n">
        <x:f>Q3141*M3141</x:f>
        <x:v>10030</x:v>
      </x:c>
      <x:c r="S3141" s="22" t="n">
        <x:f>P3141-R3141</x:f>
        <x:v>952</x:v>
      </x:c>
      <x:c r="T3141" t="str">
        <x:v>Cash</x:v>
      </x:c>
      <x:c r="U3141" t="str">
        <x:v>Paid</x:v>
      </x:c>
      <x:c r="V3141" t="str">
        <x:v>Delivered</x:v>
      </x:c>
      <x:c r="W3141" t="n">
        <x:v>0</x:v>
      </x:c>
      <x:c r="X3141" t="str"/>
      <x:c r="Y3141" t="str">
        <x:v>Outbound Call</x:v>
      </x:c>
    </x:row>
    <x:row r="3142">
      <x:c r="A3142" t="str">
        <x:v>O003141</x:v>
      </x:c>
      <x:c r="B3142" s="20" t="n">
        <x:v>46005</x:v>
      </x:c>
      <x:c r="C3142" t="str">
        <x:v>C0218</x:v>
      </x:c>
      <x:c r="D3142" t="str">
        <x:v>Green Stores 218</x:v>
      </x:c>
      <x:c r="E3142" t="str">
        <x:v>Hotel</x:v>
      </x:c>
      <x:c r="F3142" t="str">
        <x:v>Mysuru</x:v>
      </x:c>
      <x:c r="G3142" t="str">
        <x:v>Imran</x:v>
      </x:c>
      <x:c r="H3142" t="str">
        <x:v>P004</x:v>
      </x:c>
      <x:c r="I3142" t="str">
        <x:v>Toor Dal 5kg</x:v>
      </x:c>
      <x:c r="J3142" t="str">
        <x:v>Pulses</x:v>
      </x:c>
      <x:c r="K3142" t="str">
        <x:v>Tata Sampann</x:v>
      </x:c>
      <x:c r="L3142" s="22" t="n">
        <x:v>780</x:v>
      </x:c>
      <x:c r="M3142" t="n">
        <x:v>10</x:v>
      </x:c>
      <x:c r="N3142" s="24" t="n">
        <x:v>0</x:v>
      </x:c>
      <x:c r="O3142" s="22" t="n">
        <x:f>L3142*M3142</x:f>
        <x:v>7800</x:v>
      </x:c>
      <x:c r="P3142" s="22" t="n">
        <x:f>O3142*(1-N3142)</x:f>
        <x:v>7800</x:v>
      </x:c>
      <x:c r="Q3142" s="22" t="n">
        <x:v>695</x:v>
      </x:c>
      <x:c r="R3142" s="22" t="n">
        <x:f>Q3142*M3142</x:f>
        <x:v>6950</x:v>
      </x:c>
      <x:c r="S3142" s="22" t="n">
        <x:f>P3142-R3142</x:f>
        <x:v>850</x:v>
      </x:c>
      <x:c r="T3142" t="str">
        <x:v>Cash</x:v>
      </x:c>
      <x:c r="U3142" t="str">
        <x:v>Pending</x:v>
      </x:c>
      <x:c r="V3142" t="str">
        <x:v>Delivered</x:v>
      </x:c>
      <x:c r="W3142" t="n">
        <x:v>0</x:v>
      </x:c>
      <x:c r="X3142" t="str"/>
      <x:c r="Y3142" t="str">
        <x:v>Outbound Call</x:v>
      </x:c>
    </x:row>
    <x:row r="3143">
      <x:c r="A3143" t="str">
        <x:v>O003142</x:v>
      </x:c>
      <x:c r="B3143" s="20" t="n">
        <x:v>45936</x:v>
      </x:c>
      <x:c r="C3143" t="str">
        <x:v>C0031</x:v>
      </x:c>
      <x:c r="D3143" t="str">
        <x:v>Royal Restaurant 31</x:v>
      </x:c>
      <x:c r="E3143" t="str">
        <x:v>Restaurant</x:v>
      </x:c>
      <x:c r="F3143" t="str">
        <x:v>Mangaluru</x:v>
      </x:c>
      <x:c r="G3143" t="str">
        <x:v>Arjun</x:v>
      </x:c>
      <x:c r="H3143" t="str">
        <x:v>P033</x:v>
      </x:c>
      <x:c r="I3143" t="str">
        <x:v>Turmeric Powder 1kg</x:v>
      </x:c>
      <x:c r="J3143" t="str">
        <x:v>Spices</x:v>
      </x:c>
      <x:c r="K3143" t="str">
        <x:v>Everest</x:v>
      </x:c>
      <x:c r="L3143" s="22" t="n">
        <x:v>310</x:v>
      </x:c>
      <x:c r="M3143" t="n">
        <x:v>24</x:v>
      </x:c>
      <x:c r="N3143" s="24" t="n">
        <x:v>0.08</x:v>
      </x:c>
      <x:c r="O3143" s="22" t="n">
        <x:f>L3143*M3143</x:f>
        <x:v>7440</x:v>
      </x:c>
      <x:c r="P3143" s="22" t="n">
        <x:f>O3143*(1-N3143)</x:f>
        <x:v>6844.8</x:v>
      </x:c>
      <x:c r="Q3143" s="22" t="n">
        <x:v>270</x:v>
      </x:c>
      <x:c r="R3143" s="22" t="n">
        <x:f>Q3143*M3143</x:f>
        <x:v>6480</x:v>
      </x:c>
      <x:c r="S3143" s="22" t="n">
        <x:f>P3143-R3143</x:f>
        <x:v>364.8000000000002</x:v>
      </x:c>
      <x:c r="T3143" t="str">
        <x:v>UPI</x:v>
      </x:c>
      <x:c r="U3143" t="str">
        <x:v>Paid</x:v>
      </x:c>
      <x:c r="V3143" t="str">
        <x:v>Delayed</x:v>
      </x:c>
      <x:c r="W3143" t="n">
        <x:v>0</x:v>
      </x:c>
      <x:c r="X3143" t="str"/>
      <x:c r="Y3143" t="str">
        <x:v>Referral</x:v>
      </x:c>
    </x:row>
    <x:row r="3144">
      <x:c r="A3144" t="str">
        <x:v>O003143</x:v>
      </x:c>
      <x:c r="B3144" s="20" t="n">
        <x:v>45811</x:v>
      </x:c>
      <x:c r="C3144" t="str">
        <x:v>C0039</x:v>
      </x:c>
      <x:c r="D3144" t="str">
        <x:v>Sagar Cafe 39</x:v>
      </x:c>
      <x:c r="E3144" t="str">
        <x:v>Restaurant</x:v>
      </x:c>
      <x:c r="F3144" t="str">
        <x:v>Hubballi</x:v>
      </x:c>
      <x:c r="G3144" t="str">
        <x:v>Imran</x:v>
      </x:c>
      <x:c r="H3144" t="str">
        <x:v>P016</x:v>
      </x:c>
      <x:c r="I3144" t="str">
        <x:v>Curd 1kg</x:v>
      </x:c>
      <x:c r="J3144" t="str">
        <x:v>Dairy</x:v>
      </x:c>
      <x:c r="K3144" t="str">
        <x:v>Nandini</x:v>
      </x:c>
      <x:c r="L3144" s="22" t="n">
        <x:v>72</x:v>
      </x:c>
      <x:c r="M3144" t="n">
        <x:v>9</x:v>
      </x:c>
      <x:c r="N3144" s="24" t="n">
        <x:v>0.05</x:v>
      </x:c>
      <x:c r="O3144" s="22" t="n">
        <x:f>L3144*M3144</x:f>
        <x:v>648</x:v>
      </x:c>
      <x:c r="P3144" s="22" t="n">
        <x:f>O3144*(1-N3144)</x:f>
        <x:v>615.6</x:v>
      </x:c>
      <x:c r="Q3144" s="22" t="n">
        <x:v>64</x:v>
      </x:c>
      <x:c r="R3144" s="22" t="n">
        <x:f>Q3144*M3144</x:f>
        <x:v>576</x:v>
      </x:c>
      <x:c r="S3144" s="22" t="n">
        <x:f>P3144-R3144</x:f>
        <x:v>39.60000000000002</x:v>
      </x:c>
      <x:c r="T3144" t="str">
        <x:v>UPI</x:v>
      </x:c>
      <x:c r="U3144" t="str">
        <x:v>Paid</x:v>
      </x:c>
      <x:c r="V3144" t="str">
        <x:v>Delivered</x:v>
      </x:c>
      <x:c r="W3144" t="n">
        <x:v>0</x:v>
      </x:c>
      <x:c r="X3144" t="str"/>
      <x:c r="Y3144" t="str">
        <x:v>Existing Customer</x:v>
      </x:c>
    </x:row>
    <x:row r="3145">
      <x:c r="A3145" t="str">
        <x:v>O003144</x:v>
      </x:c>
      <x:c r="B3145" s="20" t="n">
        <x:v>45889</x:v>
      </x:c>
      <x:c r="C3145" t="str">
        <x:v>C0067</x:v>
      </x:c>
      <x:c r="D3145" t="str">
        <x:v>Royal Restaurant 67</x:v>
      </x:c>
      <x:c r="E3145" t="str">
        <x:v>Supermarket</x:v>
      </x:c>
      <x:c r="F3145" t="str">
        <x:v>Tumakuru</x:v>
      </x:c>
      <x:c r="G3145" t="str">
        <x:v>Sneha</x:v>
      </x:c>
      <x:c r="H3145" t="str">
        <x:v>P048</x:v>
      </x:c>
      <x:c r="I3145" t="str">
        <x:v>Banana 10kg</x:v>
      </x:c>
      <x:c r="J3145" t="str">
        <x:v>Fresh Produce</x:v>
      </x:c>
      <x:c r="K3145" t="str">
        <x:v>Local Market</x:v>
      </x:c>
      <x:c r="L3145" s="22" t="n">
        <x:v>420</x:v>
      </x:c>
      <x:c r="M3145" t="n">
        <x:v>7</x:v>
      </x:c>
      <x:c r="N3145" s="24" t="n">
        <x:v>0.05</x:v>
      </x:c>
      <x:c r="O3145" s="22" t="n">
        <x:f>L3145*M3145</x:f>
        <x:v>2940</x:v>
      </x:c>
      <x:c r="P3145" s="22" t="n">
        <x:f>O3145*(1-N3145)</x:f>
        <x:v>2793</x:v>
      </x:c>
      <x:c r="Q3145" s="22" t="n">
        <x:v>350</x:v>
      </x:c>
      <x:c r="R3145" s="22" t="n">
        <x:f>Q3145*M3145</x:f>
        <x:v>2450</x:v>
      </x:c>
      <x:c r="S3145" s="22" t="n">
        <x:f>P3145-R3145</x:f>
        <x:v>343</x:v>
      </x:c>
      <x:c r="T3145" t="str">
        <x:v>Cash</x:v>
      </x:c>
      <x:c r="U3145" t="str">
        <x:v>Pending</x:v>
      </x:c>
      <x:c r="V3145" t="str">
        <x:v>Cancelled</x:v>
      </x:c>
      <x:c r="W3145" t="n">
        <x:v>7</x:v>
      </x:c>
      <x:c r="X3145" t="str">
        <x:v>Cancelled Order</x:v>
      </x:c>
      <x:c r="Y3145" t="str">
        <x:v>Outbound Call</x:v>
      </x:c>
    </x:row>
    <x:row r="3146">
      <x:c r="A3146" t="str">
        <x:v>O003145</x:v>
      </x:c>
      <x:c r="B3146" s="20" t="n">
        <x:v>46155</x:v>
      </x:c>
      <x:c r="C3146" t="str">
        <x:v>C0008</x:v>
      </x:c>
      <x:c r="D3146" t="str">
        <x:v>Namma Kitchen 8</x:v>
      </x:c>
      <x:c r="E3146" t="str">
        <x:v>Kirana</x:v>
      </x:c>
      <x:c r="F3146" t="str">
        <x:v>Bengaluru</x:v>
      </x:c>
      <x:c r="G3146" t="str">
        <x:v>Vikram</x:v>
      </x:c>
      <x:c r="H3146" t="str">
        <x:v>P035</x:v>
      </x:c>
      <x:c r="I3146" t="str">
        <x:v>Coriander Powder 1kg</x:v>
      </x:c>
      <x:c r="J3146" t="str">
        <x:v>Spices</x:v>
      </x:c>
      <x:c r="K3146" t="str">
        <x:v>Everest</x:v>
      </x:c>
      <x:c r="L3146" s="22" t="n">
        <x:v>280</x:v>
      </x:c>
      <x:c r="M3146" t="n">
        <x:v>33</x:v>
      </x:c>
      <x:c r="N3146" s="24" t="n">
        <x:v>0</x:v>
      </x:c>
      <x:c r="O3146" s="22" t="n">
        <x:f>L3146*M3146</x:f>
        <x:v>9240</x:v>
      </x:c>
      <x:c r="P3146" s="22" t="n">
        <x:f>O3146*(1-N3146)</x:f>
        <x:v>9240</x:v>
      </x:c>
      <x:c r="Q3146" s="22" t="n">
        <x:v>245</x:v>
      </x:c>
      <x:c r="R3146" s="22" t="n">
        <x:f>Q3146*M3146</x:f>
        <x:v>8085</x:v>
      </x:c>
      <x:c r="S3146" s="22" t="n">
        <x:f>P3146-R3146</x:f>
        <x:v>1155</x:v>
      </x:c>
      <x:c r="T3146" t="str">
        <x:v>Bank Transfer</x:v>
      </x:c>
      <x:c r="U3146" t="str">
        <x:v>Paid</x:v>
      </x:c>
      <x:c r="V3146" t="str">
        <x:v>Cancelled</x:v>
      </x:c>
      <x:c r="W3146" t="n">
        <x:v>33</x:v>
      </x:c>
      <x:c r="X3146" t="str">
        <x:v>Cancelled Order</x:v>
      </x:c>
      <x:c r="Y3146" t="str">
        <x:v>WhatsApp</x:v>
      </x:c>
    </x:row>
    <x:row r="3147">
      <x:c r="A3147" t="str">
        <x:v>O003146</x:v>
      </x:c>
      <x:c r="B3147" s="20" t="n">
        <x:v>46215</x:v>
      </x:c>
      <x:c r="C3147" t="str">
        <x:v>C0124</x:v>
      </x:c>
      <x:c r="D3147" t="str">
        <x:v>Green Hotel 124</x:v>
      </x:c>
      <x:c r="E3147" t="str">
        <x:v>Cafe</x:v>
      </x:c>
      <x:c r="F3147" t="str">
        <x:v>Bengaluru</x:v>
      </x:c>
      <x:c r="G3147" t="str">
        <x:v>Imran</x:v>
      </x:c>
      <x:c r="H3147" t="str">
        <x:v>P038</x:v>
      </x:c>
      <x:c r="I3147" t="str">
        <x:v>French Fries 2.5kg</x:v>
      </x:c>
      <x:c r="J3147" t="str">
        <x:v>Frozen</x:v>
      </x:c>
      <x:c r="K3147" t="str">
        <x:v>McCain</x:v>
      </x:c>
      <x:c r="L3147" s="22" t="n">
        <x:v>360</x:v>
      </x:c>
      <x:c r="M3147" t="n">
        <x:v>10</x:v>
      </x:c>
      <x:c r="N3147" s="24" t="n">
        <x:v>0.05</x:v>
      </x:c>
      <x:c r="O3147" s="22" t="n">
        <x:f>L3147*M3147</x:f>
        <x:v>3600</x:v>
      </x:c>
      <x:c r="P3147" s="22" t="n">
        <x:f>O3147*(1-N3147)</x:f>
        <x:v>3420</x:v>
      </x:c>
      <x:c r="Q3147" s="22" t="n">
        <x:v>315</x:v>
      </x:c>
      <x:c r="R3147" s="22" t="n">
        <x:f>Q3147*M3147</x:f>
        <x:v>3150</x:v>
      </x:c>
      <x:c r="S3147" s="22" t="n">
        <x:f>P3147-R3147</x:f>
        <x:v>270</x:v>
      </x:c>
      <x:c r="T3147" t="str">
        <x:v>Cash</x:v>
      </x:c>
      <x:c r="U3147" t="str">
        <x:v>Paid</x:v>
      </x:c>
      <x:c r="V3147" t="str">
        <x:v>Delivered</x:v>
      </x:c>
      <x:c r="W3147" t="n">
        <x:v>0</x:v>
      </x:c>
      <x:c r="X3147" t="str"/>
      <x:c r="Y3147" t="str">
        <x:v>Outbound Call</x:v>
      </x:c>
    </x:row>
    <x:row r="3148">
      <x:c r="A3148" t="str">
        <x:v>O003147</x:v>
      </x:c>
      <x:c r="B3148" s="20" t="n">
        <x:v>45891</x:v>
      </x:c>
      <x:c r="C3148" t="str">
        <x:v>C0136</x:v>
      </x:c>
      <x:c r="D3148" t="str">
        <x:v>Royal Cafe 136</x:v>
      </x:c>
      <x:c r="E3148" t="str">
        <x:v>Hotel</x:v>
      </x:c>
      <x:c r="F3148" t="str">
        <x:v>Tumakuru</x:v>
      </x:c>
      <x:c r="G3148" t="str">
        <x:v>Kavya</x:v>
      </x:c>
      <x:c r="H3148" t="str">
        <x:v>P010</x:v>
      </x:c>
      <x:c r="I3148" t="str">
        <x:v>Sugar 25kg</x:v>
      </x:c>
      <x:c r="J3148" t="str">
        <x:v>Staples</x:v>
      </x:c>
      <x:c r="K3148" t="str">
        <x:v>Madhur</x:v>
      </x:c>
      <x:c r="L3148" s="22" t="n">
        <x:v>1190</x:v>
      </x:c>
      <x:c r="M3148" t="n">
        <x:v>4</x:v>
      </x:c>
      <x:c r="N3148" s="24" t="n">
        <x:v>0.03</x:v>
      </x:c>
      <x:c r="O3148" s="22" t="n">
        <x:f>L3148*M3148</x:f>
        <x:v>4760</x:v>
      </x:c>
      <x:c r="P3148" s="22" t="n">
        <x:f>O3148*(1-N3148)</x:f>
        <x:v>4617.2</x:v>
      </x:c>
      <x:c r="Q3148" s="22" t="n">
        <x:v>1080</x:v>
      </x:c>
      <x:c r="R3148" s="22" t="n">
        <x:f>Q3148*M3148</x:f>
        <x:v>4320</x:v>
      </x:c>
      <x:c r="S3148" s="22" t="n">
        <x:f>P3148-R3148</x:f>
        <x:v>297.1999999999998</x:v>
      </x:c>
      <x:c r="T3148" t="str">
        <x:v>UPI</x:v>
      </x:c>
      <x:c r="U3148" t="str">
        <x:v>Paid</x:v>
      </x:c>
      <x:c r="V3148" t="str">
        <x:v>Cancelled</x:v>
      </x:c>
      <x:c r="W3148" t="n">
        <x:v>4</x:v>
      </x:c>
      <x:c r="X3148" t="str">
        <x:v>Cancelled Order</x:v>
      </x:c>
      <x:c r="Y3148" t="str">
        <x:v>Outbound Call</x:v>
      </x:c>
    </x:row>
    <x:row r="3149">
      <x:c r="A3149" t="str">
        <x:v>O003148</x:v>
      </x:c>
      <x:c r="B3149" s="20" t="n">
        <x:v>46238</x:v>
      </x:c>
      <x:c r="C3149" t="str">
        <x:v>C0206</x:v>
      </x:c>
      <x:c r="D3149" t="str">
        <x:v>Grand Kitchen 206</x:v>
      </x:c>
      <x:c r="E3149" t="str">
        <x:v>Kirana</x:v>
      </x:c>
      <x:c r="F3149" t="str">
        <x:v>Mysuru</x:v>
      </x:c>
      <x:c r="G3149" t="str">
        <x:v>Arjun</x:v>
      </x:c>
      <x:c r="H3149" t="str">
        <x:v>P044</x:v>
      </x:c>
      <x:c r="I3149" t="str">
        <x:v>Chicken Curry Cut 1kg</x:v>
      </x:c>
      <x:c r="J3149" t="str">
        <x:v>Protein</x:v>
      </x:c>
      <x:c r="K3149" t="str">
        <x:v>FreshToHome</x:v>
      </x:c>
      <x:c r="L3149" s="22" t="n">
        <x:v>230</x:v>
      </x:c>
      <x:c r="M3149" t="n">
        <x:v>25</x:v>
      </x:c>
      <x:c r="N3149" s="24" t="n">
        <x:v>0</x:v>
      </x:c>
      <x:c r="O3149" s="22" t="n">
        <x:f>L3149*M3149</x:f>
        <x:v>5750</x:v>
      </x:c>
      <x:c r="P3149" s="22" t="n">
        <x:f>O3149*(1-N3149)</x:f>
        <x:v>5750</x:v>
      </x:c>
      <x:c r="Q3149" s="22" t="n">
        <x:v>205</x:v>
      </x:c>
      <x:c r="R3149" s="22" t="n">
        <x:f>Q3149*M3149</x:f>
        <x:v>5125</x:v>
      </x:c>
      <x:c r="S3149" s="22" t="n">
        <x:f>P3149-R3149</x:f>
        <x:v>625</x:v>
      </x:c>
      <x:c r="T3149" t="str">
        <x:v>Cash</x:v>
      </x:c>
      <x:c r="U3149" t="str">
        <x:v>Paid</x:v>
      </x:c>
      <x:c r="V3149" t="str">
        <x:v>Delivered</x:v>
      </x:c>
      <x:c r="W3149" t="n">
        <x:v>0</x:v>
      </x:c>
      <x:c r="X3149" t="str"/>
      <x:c r="Y3149" t="str">
        <x:v>WhatsApp</x:v>
      </x:c>
    </x:row>
    <x:row r="3150">
      <x:c r="A3150" t="str">
        <x:v>O003149</x:v>
      </x:c>
      <x:c r="B3150" s="20" t="n">
        <x:v>46103</x:v>
      </x:c>
      <x:c r="C3150" t="str">
        <x:v>C0158</x:v>
      </x:c>
      <x:c r="D3150" t="str">
        <x:v>Cafe Stores 158</x:v>
      </x:c>
      <x:c r="E3150" t="str">
        <x:v>Cafe</x:v>
      </x:c>
      <x:c r="F3150" t="str">
        <x:v>Mysuru</x:v>
      </x:c>
      <x:c r="G3150" t="str">
        <x:v>Priya</x:v>
      </x:c>
      <x:c r="H3150" t="str">
        <x:v>P049</x:v>
      </x:c>
      <x:c r="I3150" t="str">
        <x:v>Apple 10kg</x:v>
      </x:c>
      <x:c r="J3150" t="str">
        <x:v>Fresh Produce</x:v>
      </x:c>
      <x:c r="K3150" t="str">
        <x:v>Local Market</x:v>
      </x:c>
      <x:c r="L3150" s="22" t="n">
        <x:v>1450</x:v>
      </x:c>
      <x:c r="M3150" t="n">
        <x:v>11</x:v>
      </x:c>
      <x:c r="N3150" s="24" t="n">
        <x:v>0.02</x:v>
      </x:c>
      <x:c r="O3150" s="22" t="n">
        <x:f>L3150*M3150</x:f>
        <x:v>15950</x:v>
      </x:c>
      <x:c r="P3150" s="22" t="n">
        <x:f>O3150*(1-N3150)</x:f>
        <x:v>15631</x:v>
      </x:c>
      <x:c r="Q3150" s="22" t="n">
        <x:v>1280</x:v>
      </x:c>
      <x:c r="R3150" s="22" t="n">
        <x:f>Q3150*M3150</x:f>
        <x:v>14080</x:v>
      </x:c>
      <x:c r="S3150" s="22" t="n">
        <x:f>P3150-R3150</x:f>
        <x:v>1551</x:v>
      </x:c>
      <x:c r="T3150" t="str">
        <x:v>Credit</x:v>
      </x:c>
      <x:c r="U3150" t="str">
        <x:v>Paid</x:v>
      </x:c>
      <x:c r="V3150" t="str">
        <x:v>Delivered</x:v>
      </x:c>
      <x:c r="W3150" t="n">
        <x:v>0</x:v>
      </x:c>
      <x:c r="X3150" t="str"/>
      <x:c r="Y3150" t="str">
        <x:v>Field Visit</x:v>
      </x:c>
    </x:row>
    <x:row r="3151">
      <x:c r="A3151" t="str">
        <x:v>O003150</x:v>
      </x:c>
      <x:c r="B3151" s="20" t="n">
        <x:v>45965</x:v>
      </x:c>
      <x:c r="C3151" t="str">
        <x:v>C0107</x:v>
      </x:c>
      <x:c r="D3151" t="str">
        <x:v>Mysore Cafe 107</x:v>
      </x:c>
      <x:c r="E3151" t="str">
        <x:v>Supermarket</x:v>
      </x:c>
      <x:c r="F3151" t="str">
        <x:v>Tumakuru</x:v>
      </x:c>
      <x:c r="G3151" t="str">
        <x:v>Megha</x:v>
      </x:c>
      <x:c r="H3151" t="str">
        <x:v>P014</x:v>
      </x:c>
      <x:c r="I3151" t="str">
        <x:v>Rava 5kg</x:v>
      </x:c>
      <x:c r="J3151" t="str">
        <x:v>Flour</x:v>
      </x:c>
      <x:c r="K3151" t="str">
        <x:v>Local Select</x:v>
      </x:c>
      <x:c r="L3151" s="22" t="n">
        <x:v>245</x:v>
      </x:c>
      <x:c r="M3151" t="n">
        <x:v>33</x:v>
      </x:c>
      <x:c r="N3151" s="24" t="n">
        <x:v>0.03</x:v>
      </x:c>
      <x:c r="O3151" s="22" t="n">
        <x:f>L3151*M3151</x:f>
        <x:v>8085</x:v>
      </x:c>
      <x:c r="P3151" s="22" t="n">
        <x:f>O3151*(1-N3151)</x:f>
        <x:v>7842.45</x:v>
      </x:c>
      <x:c r="Q3151" s="22" t="n">
        <x:v>215</x:v>
      </x:c>
      <x:c r="R3151" s="22" t="n">
        <x:f>Q3151*M3151</x:f>
        <x:v>7095</x:v>
      </x:c>
      <x:c r="S3151" s="22" t="n">
        <x:f>P3151-R3151</x:f>
        <x:v>747.4499999999998</x:v>
      </x:c>
      <x:c r="T3151" t="str">
        <x:v>Bank Transfer</x:v>
      </x:c>
      <x:c r="U3151" t="str">
        <x:v>Paid</x:v>
      </x:c>
      <x:c r="V3151" t="str">
        <x:v>Delivered</x:v>
      </x:c>
      <x:c r="W3151" t="n">
        <x:v>0</x:v>
      </x:c>
      <x:c r="X3151" t="str"/>
      <x:c r="Y3151" t="str">
        <x:v>Referral</x:v>
      </x:c>
    </x:row>
    <x:row r="3152">
      <x:c r="A3152" t="str">
        <x:v>O003151</x:v>
      </x:c>
      <x:c r="B3152" s="20" t="n">
        <x:v>45848</x:v>
      </x:c>
      <x:c r="C3152" t="str">
        <x:v>C0076</x:v>
      </x:c>
      <x:c r="D3152" t="str">
        <x:v>Sri Canteen 76</x:v>
      </x:c>
      <x:c r="E3152" t="str">
        <x:v>Canteen</x:v>
      </x:c>
      <x:c r="F3152" t="str">
        <x:v>Tumakuru</x:v>
      </x:c>
      <x:c r="G3152" t="str">
        <x:v>Priya</x:v>
      </x:c>
      <x:c r="H3152" t="str">
        <x:v>P048</x:v>
      </x:c>
      <x:c r="I3152" t="str">
        <x:v>Banana 10kg</x:v>
      </x:c>
      <x:c r="J3152" t="str">
        <x:v>Fresh Produce</x:v>
      </x:c>
      <x:c r="K3152" t="str">
        <x:v>Local Market</x:v>
      </x:c>
      <x:c r="L3152" s="22" t="n">
        <x:v>420</x:v>
      </x:c>
      <x:c r="M3152" t="n">
        <x:v>9</x:v>
      </x:c>
      <x:c r="N3152" s="24" t="n">
        <x:v>0.05</x:v>
      </x:c>
      <x:c r="O3152" s="22" t="n">
        <x:f>L3152*M3152</x:f>
        <x:v>3780</x:v>
      </x:c>
      <x:c r="P3152" s="22" t="n">
        <x:f>O3152*(1-N3152)</x:f>
        <x:v>3591</x:v>
      </x:c>
      <x:c r="Q3152" s="22" t="n">
        <x:v>350</x:v>
      </x:c>
      <x:c r="R3152" s="22" t="n">
        <x:f>Q3152*M3152</x:f>
        <x:v>3150</x:v>
      </x:c>
      <x:c r="S3152" s="22" t="n">
        <x:f>P3152-R3152</x:f>
        <x:v>441</x:v>
      </x:c>
      <x:c r="T3152" t="str">
        <x:v>Bank Transfer</x:v>
      </x:c>
      <x:c r="U3152" t="str">
        <x:v>Paid</x:v>
      </x:c>
      <x:c r="V3152" t="str">
        <x:v>Delivered</x:v>
      </x:c>
      <x:c r="W3152" t="n">
        <x:v>0</x:v>
      </x:c>
      <x:c r="X3152" t="str"/>
      <x:c r="Y3152" t="str">
        <x:v>Existing Customer</x:v>
      </x:c>
    </x:row>
    <x:row r="3153">
      <x:c r="A3153" t="str">
        <x:v>O003152</x:v>
      </x:c>
      <x:c r="B3153" s="20" t="n">
        <x:v>46224</x:v>
      </x:c>
      <x:c r="C3153" t="str">
        <x:v>C0194</x:v>
      </x:c>
      <x:c r="D3153" t="str">
        <x:v>Royal Hotel 194</x:v>
      </x:c>
      <x:c r="E3153" t="str">
        <x:v>Kirana</x:v>
      </x:c>
      <x:c r="F3153" t="str">
        <x:v>Mysuru</x:v>
      </x:c>
      <x:c r="G3153" t="str">
        <x:v>Megha</x:v>
      </x:c>
      <x:c r="H3153" t="str">
        <x:v>P012</x:v>
      </x:c>
      <x:c r="I3153" t="str">
        <x:v>Maida 10kg</x:v>
      </x:c>
      <x:c r="J3153" t="str">
        <x:v>Flour</x:v>
      </x:c>
      <x:c r="K3153" t="str">
        <x:v>Aashirvaad</x:v>
      </x:c>
      <x:c r="L3153" s="22" t="n">
        <x:v>520</x:v>
      </x:c>
      <x:c r="M3153" t="n">
        <x:v>2</x:v>
      </x:c>
      <x:c r="N3153" s="24" t="n">
        <x:v>0.02</x:v>
      </x:c>
      <x:c r="O3153" s="22" t="n">
        <x:f>L3153*M3153</x:f>
        <x:v>1040</x:v>
      </x:c>
      <x:c r="P3153" s="22" t="n">
        <x:f>O3153*(1-N3153)</x:f>
        <x:v>1019.1999999999999</x:v>
      </x:c>
      <x:c r="Q3153" s="22" t="n">
        <x:v>460</x:v>
      </x:c>
      <x:c r="R3153" s="22" t="n">
        <x:f>Q3153*M3153</x:f>
        <x:v>920</x:v>
      </x:c>
      <x:c r="S3153" s="22" t="n">
        <x:f>P3153-R3153</x:f>
        <x:v>99.19999999999993</x:v>
      </x:c>
      <x:c r="T3153" t="str">
        <x:v>Bank Transfer</x:v>
      </x:c>
      <x:c r="U3153" t="str">
        <x:v>Paid</x:v>
      </x:c>
      <x:c r="V3153" t="str">
        <x:v>Delivered</x:v>
      </x:c>
      <x:c r="W3153" t="n">
        <x:v>0</x:v>
      </x:c>
      <x:c r="X3153" t="str"/>
      <x:c r="Y3153" t="str">
        <x:v>Existing Customer</x:v>
      </x:c>
    </x:row>
    <x:row r="3154">
      <x:c r="A3154" t="str">
        <x:v>O003153</x:v>
      </x:c>
      <x:c r="B3154" s="20" t="n">
        <x:v>45820</x:v>
      </x:c>
      <x:c r="C3154" t="str">
        <x:v>C0247</x:v>
      </x:c>
      <x:c r="D3154" t="str">
        <x:v>Fresh Canteen 247</x:v>
      </x:c>
      <x:c r="E3154" t="str">
        <x:v>Restaurant</x:v>
      </x:c>
      <x:c r="F3154" t="str">
        <x:v>Hubballi</x:v>
      </x:c>
      <x:c r="G3154" t="str">
        <x:v>Kavya</x:v>
      </x:c>
      <x:c r="H3154" t="str">
        <x:v>P031</x:v>
      </x:c>
      <x:c r="I3154" t="str">
        <x:v>Chilli Sauce 700g</x:v>
      </x:c>
      <x:c r="J3154" t="str">
        <x:v>Condiments</x:v>
      </x:c>
      <x:c r="K3154" t="str">
        <x:v>Ching's</x:v>
      </x:c>
      <x:c r="L3154" s="22" t="n">
        <x:v>130</x:v>
      </x:c>
      <x:c r="M3154" t="n">
        <x:v>1</x:v>
      </x:c>
      <x:c r="N3154" s="24" t="n">
        <x:v>0.1</x:v>
      </x:c>
      <x:c r="O3154" s="22" t="n">
        <x:f>L3154*M3154</x:f>
        <x:v>130</x:v>
      </x:c>
      <x:c r="P3154" s="22" t="n">
        <x:f>O3154*(1-N3154)</x:f>
        <x:v>117</x:v>
      </x:c>
      <x:c r="Q3154" s="22" t="n">
        <x:v>112</x:v>
      </x:c>
      <x:c r="R3154" s="22" t="n">
        <x:f>Q3154*M3154</x:f>
        <x:v>112</x:v>
      </x:c>
      <x:c r="S3154" s="22" t="n">
        <x:f>P3154-R3154</x:f>
        <x:v>5</x:v>
      </x:c>
      <x:c r="T3154" t="str">
        <x:v>Credit</x:v>
      </x:c>
      <x:c r="U3154" t="str">
        <x:v>Paid</x:v>
      </x:c>
      <x:c r="V3154" t="str">
        <x:v>Delivered</x:v>
      </x:c>
      <x:c r="W3154" t="n">
        <x:v>0</x:v>
      </x:c>
      <x:c r="X3154" t="str"/>
      <x:c r="Y3154" t="str">
        <x:v>WhatsApp</x:v>
      </x:c>
    </x:row>
    <x:row r="3155">
      <x:c r="A3155" t="str">
        <x:v>O003154</x:v>
      </x:c>
      <x:c r="B3155" s="20" t="n">
        <x:v>46211</x:v>
      </x:c>
      <x:c r="C3155" t="str">
        <x:v>C0137</x:v>
      </x:c>
      <x:c r="D3155" t="str">
        <x:v>Green Restaurant 137</x:v>
      </x:c>
      <x:c r="E3155" t="str">
        <x:v>Canteen</x:v>
      </x:c>
      <x:c r="F3155" t="str">
        <x:v>Mangaluru</x:v>
      </x:c>
      <x:c r="G3155" t="str">
        <x:v>Arjun</x:v>
      </x:c>
      <x:c r="H3155" t="str">
        <x:v>P009</x:v>
      </x:c>
      <x:c r="I3155" t="str">
        <x:v>Groundnut Oil 5L</x:v>
      </x:c>
      <x:c r="J3155" t="str">
        <x:v>Edible Oil</x:v>
      </x:c>
      <x:c r="K3155" t="str">
        <x:v>Dhara</x:v>
      </x:c>
      <x:c r="L3155" s="22" t="n">
        <x:v>890</x:v>
      </x:c>
      <x:c r="M3155" t="n">
        <x:v>35</x:v>
      </x:c>
      <x:c r="N3155" s="24" t="n">
        <x:v>0.1</x:v>
      </x:c>
      <x:c r="O3155" s="22" t="n">
        <x:f>L3155*M3155</x:f>
        <x:v>31150</x:v>
      </x:c>
      <x:c r="P3155" s="22" t="n">
        <x:f>O3155*(1-N3155)</x:f>
        <x:v>28035</x:v>
      </x:c>
      <x:c r="Q3155" s="22" t="n">
        <x:v>810</x:v>
      </x:c>
      <x:c r="R3155" s="22" t="n">
        <x:f>Q3155*M3155</x:f>
        <x:v>28350</x:v>
      </x:c>
      <x:c r="S3155" s="22" t="n">
        <x:f>P3155-R3155</x:f>
        <x:v>-315</x:v>
      </x:c>
      <x:c r="T3155" t="str">
        <x:v>Cash</x:v>
      </x:c>
      <x:c r="U3155" t="str">
        <x:v>Paid</x:v>
      </x:c>
      <x:c r="V3155" t="str">
        <x:v>Cancelled</x:v>
      </x:c>
      <x:c r="W3155" t="n">
        <x:v>35</x:v>
      </x:c>
      <x:c r="X3155" t="str">
        <x:v>Cancelled Order</x:v>
      </x:c>
      <x:c r="Y3155" t="str">
        <x:v>Existing Customer</x:v>
      </x:c>
    </x:row>
    <x:row r="3156">
      <x:c r="A3156" t="str">
        <x:v>O003155</x:v>
      </x:c>
      <x:c r="B3156" s="20" t="n">
        <x:v>45790</x:v>
      </x:c>
      <x:c r="C3156" t="str">
        <x:v>C0186</x:v>
      </x:c>
      <x:c r="D3156" t="str">
        <x:v>Namma Stores 186</x:v>
      </x:c>
      <x:c r="E3156" t="str">
        <x:v>Supermarket</x:v>
      </x:c>
      <x:c r="F3156" t="str">
        <x:v>Mysuru</x:v>
      </x:c>
      <x:c r="G3156" t="str">
        <x:v>Vikram</x:v>
      </x:c>
      <x:c r="H3156" t="str">
        <x:v>P043</x:v>
      </x:c>
      <x:c r="I3156" t="str">
        <x:v>Chicken Breast 1kg</x:v>
      </x:c>
      <x:c r="J3156" t="str">
        <x:v>Protein</x:v>
      </x:c>
      <x:c r="K3156" t="str">
        <x:v>FreshToHome</x:v>
      </x:c>
      <x:c r="L3156" s="22" t="n">
        <x:v>260</x:v>
      </x:c>
      <x:c r="M3156" t="n">
        <x:v>4</x:v>
      </x:c>
      <x:c r="N3156" s="24" t="n">
        <x:v>0.05</x:v>
      </x:c>
      <x:c r="O3156" s="22" t="n">
        <x:f>L3156*M3156</x:f>
        <x:v>1040</x:v>
      </x:c>
      <x:c r="P3156" s="22" t="n">
        <x:f>O3156*(1-N3156)</x:f>
        <x:v>988</x:v>
      </x:c>
      <x:c r="Q3156" s="22" t="n">
        <x:v>235</x:v>
      </x:c>
      <x:c r="R3156" s="22" t="n">
        <x:f>Q3156*M3156</x:f>
        <x:v>940</x:v>
      </x:c>
      <x:c r="S3156" s="22" t="n">
        <x:f>P3156-R3156</x:f>
        <x:v>48</x:v>
      </x:c>
      <x:c r="T3156" t="str">
        <x:v>Cash</x:v>
      </x:c>
      <x:c r="U3156" t="str">
        <x:v>Paid</x:v>
      </x:c>
      <x:c r="V3156" t="str">
        <x:v>Cancelled</x:v>
      </x:c>
      <x:c r="W3156" t="n">
        <x:v>4</x:v>
      </x:c>
      <x:c r="X3156" t="str">
        <x:v>Cancelled Order</x:v>
      </x:c>
      <x:c r="Y3156" t="str">
        <x:v>Referral</x:v>
      </x:c>
    </x:row>
    <x:row r="3157">
      <x:c r="A3157" t="str">
        <x:v>O003156</x:v>
      </x:c>
      <x:c r="B3157" s="20" t="n">
        <x:v>46026</x:v>
      </x:c>
      <x:c r="C3157" t="str">
        <x:v>C0100</x:v>
      </x:c>
      <x:c r="D3157" t="str">
        <x:v>Fresh Mart 100</x:v>
      </x:c>
      <x:c r="E3157" t="str">
        <x:v>Restaurant</x:v>
      </x:c>
      <x:c r="F3157" t="str">
        <x:v>Mysuru</x:v>
      </x:c>
      <x:c r="G3157" t="str">
        <x:v>Imran</x:v>
      </x:c>
      <x:c r="H3157" t="str">
        <x:v>P036</x:v>
      </x:c>
      <x:c r="I3157" t="str">
        <x:v>Garam Masala 500g</x:v>
      </x:c>
      <x:c r="J3157" t="str">
        <x:v>Spices</x:v>
      </x:c>
      <x:c r="K3157" t="str">
        <x:v>MDH</x:v>
      </x:c>
      <x:c r="L3157" s="22" t="n">
        <x:v>265</x:v>
      </x:c>
      <x:c r="M3157" t="n">
        <x:v>39</x:v>
      </x:c>
      <x:c r="N3157" s="24" t="n">
        <x:v>0</x:v>
      </x:c>
      <x:c r="O3157" s="22" t="n">
        <x:f>L3157*M3157</x:f>
        <x:v>10335</x:v>
      </x:c>
      <x:c r="P3157" s="22" t="n">
        <x:f>O3157*(1-N3157)</x:f>
        <x:v>10335</x:v>
      </x:c>
      <x:c r="Q3157" s="22" t="n">
        <x:v>230</x:v>
      </x:c>
      <x:c r="R3157" s="22" t="n">
        <x:f>Q3157*M3157</x:f>
        <x:v>8970</x:v>
      </x:c>
      <x:c r="S3157" s="22" t="n">
        <x:f>P3157-R3157</x:f>
        <x:v>1365</x:v>
      </x:c>
      <x:c r="T3157" t="str">
        <x:v>Cash</x:v>
      </x:c>
      <x:c r="U3157" t="str">
        <x:v>Pending</x:v>
      </x:c>
      <x:c r="V3157" t="str">
        <x:v>Cancelled</x:v>
      </x:c>
      <x:c r="W3157" t="n">
        <x:v>39</x:v>
      </x:c>
      <x:c r="X3157" t="str">
        <x:v>Cancelled Order</x:v>
      </x:c>
      <x:c r="Y3157" t="str">
        <x:v>Referral</x:v>
      </x:c>
    </x:row>
    <x:row r="3158">
      <x:c r="A3158" t="str">
        <x:v>O003157</x:v>
      </x:c>
      <x:c r="B3158" s="20" t="n">
        <x:v>45693</x:v>
      </x:c>
      <x:c r="C3158" t="str">
        <x:v>C0025</x:v>
      </x:c>
      <x:c r="D3158" t="str">
        <x:v>Sri Cafe 25</x:v>
      </x:c>
      <x:c r="E3158" t="str">
        <x:v>Hotel</x:v>
      </x:c>
      <x:c r="F3158" t="str">
        <x:v>Mysuru</x:v>
      </x:c>
      <x:c r="G3158" t="str">
        <x:v>Kavya</x:v>
      </x:c>
      <x:c r="H3158" t="str">
        <x:v>P043</x:v>
      </x:c>
      <x:c r="I3158" t="str">
        <x:v>Chicken Breast 1kg</x:v>
      </x:c>
      <x:c r="J3158" t="str">
        <x:v>Protein</x:v>
      </x:c>
      <x:c r="K3158" t="str">
        <x:v>FreshToHome</x:v>
      </x:c>
      <x:c r="L3158" s="22" t="n">
        <x:v>260</x:v>
      </x:c>
      <x:c r="M3158" t="n">
        <x:v>31</x:v>
      </x:c>
      <x:c r="N3158" s="24" t="n">
        <x:v>0.05</x:v>
      </x:c>
      <x:c r="O3158" s="22" t="n">
        <x:f>L3158*M3158</x:f>
        <x:v>8060</x:v>
      </x:c>
      <x:c r="P3158" s="22" t="n">
        <x:f>O3158*(1-N3158)</x:f>
        <x:v>7657</x:v>
      </x:c>
      <x:c r="Q3158" s="22" t="n">
        <x:v>235</x:v>
      </x:c>
      <x:c r="R3158" s="22" t="n">
        <x:f>Q3158*M3158</x:f>
        <x:v>7285</x:v>
      </x:c>
      <x:c r="S3158" s="22" t="n">
        <x:f>P3158-R3158</x:f>
        <x:v>372</x:v>
      </x:c>
      <x:c r="T3158" t="str">
        <x:v>UPI</x:v>
      </x:c>
      <x:c r="U3158" t="str">
        <x:v>Paid</x:v>
      </x:c>
      <x:c r="V3158" t="str">
        <x:v>Delivered</x:v>
      </x:c>
      <x:c r="W3158" t="n">
        <x:v>0</x:v>
      </x:c>
      <x:c r="X3158" t="str"/>
      <x:c r="Y3158" t="str">
        <x:v>Outbound Call</x:v>
      </x:c>
    </x:row>
    <x:row r="3159">
      <x:c r="A3159" t="str">
        <x:v>O003158</x:v>
      </x:c>
      <x:c r="B3159" s="20" t="n">
        <x:v>45942</x:v>
      </x:c>
      <x:c r="C3159" t="str">
        <x:v>C0100</x:v>
      </x:c>
      <x:c r="D3159" t="str">
        <x:v>Fresh Mart 100</x:v>
      </x:c>
      <x:c r="E3159" t="str">
        <x:v>Restaurant</x:v>
      </x:c>
      <x:c r="F3159" t="str">
        <x:v>Mysuru</x:v>
      </x:c>
      <x:c r="G3159" t="str">
        <x:v>Imran</x:v>
      </x:c>
      <x:c r="H3159" t="str">
        <x:v>P006</x:v>
      </x:c>
      <x:c r="I3159" t="str">
        <x:v>Moong Dal 5kg</x:v>
      </x:c>
      <x:c r="J3159" t="str">
        <x:v>Pulses</x:v>
      </x:c>
      <x:c r="K3159" t="str">
        <x:v>Local Select</x:v>
      </x:c>
      <x:c r="L3159" s="22" t="n">
        <x:v>610</x:v>
      </x:c>
      <x:c r="M3159" t="n">
        <x:v>19</x:v>
      </x:c>
      <x:c r="N3159" s="24" t="n">
        <x:v>0.02</x:v>
      </x:c>
      <x:c r="O3159" s="22" t="n">
        <x:f>L3159*M3159</x:f>
        <x:v>11590</x:v>
      </x:c>
      <x:c r="P3159" s="22" t="n">
        <x:f>O3159*(1-N3159)</x:f>
        <x:v>11358.199999999999</x:v>
      </x:c>
      <x:c r="Q3159" s="22" t="n">
        <x:v>540</x:v>
      </x:c>
      <x:c r="R3159" s="22" t="n">
        <x:f>Q3159*M3159</x:f>
        <x:v>10260</x:v>
      </x:c>
      <x:c r="S3159" s="22" t="n">
        <x:f>P3159-R3159</x:f>
        <x:v>1098.199999999999</x:v>
      </x:c>
      <x:c r="T3159" t="str">
        <x:v>Credit</x:v>
      </x:c>
      <x:c r="U3159" t="str">
        <x:v>Overdue</x:v>
      </x:c>
      <x:c r="V3159" t="str">
        <x:v>Delivered</x:v>
      </x:c>
      <x:c r="W3159" t="n">
        <x:v>0</x:v>
      </x:c>
      <x:c r="X3159" t="str"/>
      <x:c r="Y3159" t="str">
        <x:v>Field Visit</x:v>
      </x:c>
    </x:row>
    <x:row r="3160">
      <x:c r="A3160" t="str">
        <x:v>O003159</x:v>
      </x:c>
      <x:c r="B3160" s="20" t="n">
        <x:v>45728</x:v>
      </x:c>
      <x:c r="C3160" t="str">
        <x:v>C0053</x:v>
      </x:c>
      <x:c r="D3160" t="str">
        <x:v>Fresh Cafe 53</x:v>
      </x:c>
      <x:c r="E3160" t="str">
        <x:v>Supermarket</x:v>
      </x:c>
      <x:c r="F3160" t="str">
        <x:v>Mangaluru</x:v>
      </x:c>
      <x:c r="G3160" t="str">
        <x:v>Megha</x:v>
      </x:c>
      <x:c r="H3160" t="str">
        <x:v>P014</x:v>
      </x:c>
      <x:c r="I3160" t="str">
        <x:v>Rava 5kg</x:v>
      </x:c>
      <x:c r="J3160" t="str">
        <x:v>Flour</x:v>
      </x:c>
      <x:c r="K3160" t="str">
        <x:v>Local Select</x:v>
      </x:c>
      <x:c r="L3160" s="22" t="n">
        <x:v>245</x:v>
      </x:c>
      <x:c r="M3160" t="n">
        <x:v>39</x:v>
      </x:c>
      <x:c r="N3160" s="24" t="n">
        <x:v>0.05</x:v>
      </x:c>
      <x:c r="O3160" s="22" t="n">
        <x:f>L3160*M3160</x:f>
        <x:v>9555</x:v>
      </x:c>
      <x:c r="P3160" s="22" t="n">
        <x:f>O3160*(1-N3160)</x:f>
        <x:v>9077.25</x:v>
      </x:c>
      <x:c r="Q3160" s="22" t="n">
        <x:v>215</x:v>
      </x:c>
      <x:c r="R3160" s="22" t="n">
        <x:f>Q3160*M3160</x:f>
        <x:v>8385</x:v>
      </x:c>
      <x:c r="S3160" s="22" t="n">
        <x:f>P3160-R3160</x:f>
        <x:v>692.25</x:v>
      </x:c>
      <x:c r="T3160" t="str">
        <x:v>Credit</x:v>
      </x:c>
      <x:c r="U3160" t="str">
        <x:v>Paid</x:v>
      </x:c>
      <x:c r="V3160" t="str">
        <x:v>Delivered</x:v>
      </x:c>
      <x:c r="W3160" t="n">
        <x:v>0</x:v>
      </x:c>
      <x:c r="X3160" t="str"/>
      <x:c r="Y3160" t="str">
        <x:v>Field Visit</x:v>
      </x:c>
    </x:row>
    <x:row r="3161">
      <x:c r="A3161" t="str">
        <x:v>O003160</x:v>
      </x:c>
      <x:c r="B3161" s="20" t="n">
        <x:v>45941</x:v>
      </x:c>
      <x:c r="C3161" t="str">
        <x:v>C0210</x:v>
      </x:c>
      <x:c r="D3161" t="str">
        <x:v>Spice Stores 210</x:v>
      </x:c>
      <x:c r="E3161" t="str">
        <x:v>Cafe</x:v>
      </x:c>
      <x:c r="F3161" t="str">
        <x:v>Davanagere</x:v>
      </x:c>
      <x:c r="G3161" t="str">
        <x:v>Imran</x:v>
      </x:c>
      <x:c r="H3161" t="str">
        <x:v>P016</x:v>
      </x:c>
      <x:c r="I3161" t="str">
        <x:v>Curd 1kg</x:v>
      </x:c>
      <x:c r="J3161" t="str">
        <x:v>Dairy</x:v>
      </x:c>
      <x:c r="K3161" t="str">
        <x:v>Nandini</x:v>
      </x:c>
      <x:c r="L3161" s="22" t="n">
        <x:v>72</x:v>
      </x:c>
      <x:c r="M3161" t="n">
        <x:v>38</x:v>
      </x:c>
      <x:c r="N3161" s="24" t="n">
        <x:v>0.08</x:v>
      </x:c>
      <x:c r="O3161" s="22" t="n">
        <x:f>L3161*M3161</x:f>
        <x:v>2736</x:v>
      </x:c>
      <x:c r="P3161" s="22" t="n">
        <x:f>O3161*(1-N3161)</x:f>
        <x:v>2517.12</x:v>
      </x:c>
      <x:c r="Q3161" s="22" t="n">
        <x:v>64</x:v>
      </x:c>
      <x:c r="R3161" s="22" t="n">
        <x:f>Q3161*M3161</x:f>
        <x:v>2432</x:v>
      </x:c>
      <x:c r="S3161" s="22" t="n">
        <x:f>P3161-R3161</x:f>
        <x:v>85.11999999999989</x:v>
      </x:c>
      <x:c r="T3161" t="str">
        <x:v>Bank Transfer</x:v>
      </x:c>
      <x:c r="U3161" t="str">
        <x:v>Paid</x:v>
      </x:c>
      <x:c r="V3161" t="str">
        <x:v>Delayed</x:v>
      </x:c>
      <x:c r="W3161" t="n">
        <x:v>0</x:v>
      </x:c>
      <x:c r="X3161" t="str"/>
      <x:c r="Y3161" t="str">
        <x:v>WhatsApp</x:v>
      </x:c>
    </x:row>
    <x:row r="3162">
      <x:c r="A3162" t="str">
        <x:v>O003161</x:v>
      </x:c>
      <x:c r="B3162" s="20" t="n">
        <x:v>45704</x:v>
      </x:c>
      <x:c r="C3162" t="str">
        <x:v>C0007</x:v>
      </x:c>
      <x:c r="D3162" t="str">
        <x:v>Mysore Stores 7</x:v>
      </x:c>
      <x:c r="E3162" t="str">
        <x:v>Kirana</x:v>
      </x:c>
      <x:c r="F3162" t="str">
        <x:v>Bengaluru</x:v>
      </x:c>
      <x:c r="G3162" t="str">
        <x:v>Kavya</x:v>
      </x:c>
      <x:c r="H3162" t="str">
        <x:v>P049</x:v>
      </x:c>
      <x:c r="I3162" t="str">
        <x:v>Apple 10kg</x:v>
      </x:c>
      <x:c r="J3162" t="str">
        <x:v>Fresh Produce</x:v>
      </x:c>
      <x:c r="K3162" t="str">
        <x:v>Local Market</x:v>
      </x:c>
      <x:c r="L3162" s="22" t="n">
        <x:v>1450</x:v>
      </x:c>
      <x:c r="M3162" t="n">
        <x:v>11</x:v>
      </x:c>
      <x:c r="N3162" s="24" t="n">
        <x:v>0.02</x:v>
      </x:c>
      <x:c r="O3162" s="22" t="n">
        <x:f>L3162*M3162</x:f>
        <x:v>15950</x:v>
      </x:c>
      <x:c r="P3162" s="22" t="n">
        <x:f>O3162*(1-N3162)</x:f>
        <x:v>15631</x:v>
      </x:c>
      <x:c r="Q3162" s="22" t="n">
        <x:v>1280</x:v>
      </x:c>
      <x:c r="R3162" s="22" t="n">
        <x:f>Q3162*M3162</x:f>
        <x:v>14080</x:v>
      </x:c>
      <x:c r="S3162" s="22" t="n">
        <x:f>P3162-R3162</x:f>
        <x:v>1551</x:v>
      </x:c>
      <x:c r="T3162" t="str">
        <x:v>Cash</x:v>
      </x:c>
      <x:c r="U3162" t="str">
        <x:v>Paid</x:v>
      </x:c>
      <x:c r="V3162" t="str">
        <x:v>Delayed</x:v>
      </x:c>
      <x:c r="W3162" t="n">
        <x:v>0</x:v>
      </x:c>
      <x:c r="X3162" t="str"/>
      <x:c r="Y3162" t="str">
        <x:v>WhatsApp</x:v>
      </x:c>
    </x:row>
    <x:row r="3163">
      <x:c r="A3163" t="str">
        <x:v>O003162</x:v>
      </x:c>
      <x:c r="B3163" s="20" t="n">
        <x:v>46022</x:v>
      </x:c>
      <x:c r="C3163" t="str">
        <x:v>C0183</x:v>
      </x:c>
      <x:c r="D3163" t="str">
        <x:v>Spice Mart 183</x:v>
      </x:c>
      <x:c r="E3163" t="str">
        <x:v>Kirana</x:v>
      </x:c>
      <x:c r="F3163" t="str">
        <x:v>Mangaluru</x:v>
      </x:c>
      <x:c r="G3163" t="str">
        <x:v>Kavya</x:v>
      </x:c>
      <x:c r="H3163" t="str">
        <x:v>P035</x:v>
      </x:c>
      <x:c r="I3163" t="str">
        <x:v>Coriander Powder 1kg</x:v>
      </x:c>
      <x:c r="J3163" t="str">
        <x:v>Spices</x:v>
      </x:c>
      <x:c r="K3163" t="str">
        <x:v>Everest</x:v>
      </x:c>
      <x:c r="L3163" s="22" t="n">
        <x:v>280</x:v>
      </x:c>
      <x:c r="M3163" t="n">
        <x:v>36</x:v>
      </x:c>
      <x:c r="N3163" s="24" t="n">
        <x:v>0.05</x:v>
      </x:c>
      <x:c r="O3163" s="22" t="n">
        <x:f>L3163*M3163</x:f>
        <x:v>10080</x:v>
      </x:c>
      <x:c r="P3163" s="22" t="n">
        <x:f>O3163*(1-N3163)</x:f>
        <x:v>9576</x:v>
      </x:c>
      <x:c r="Q3163" s="22" t="n">
        <x:v>245</x:v>
      </x:c>
      <x:c r="R3163" s="22" t="n">
        <x:f>Q3163*M3163</x:f>
        <x:v>8820</x:v>
      </x:c>
      <x:c r="S3163" s="22" t="n">
        <x:f>P3163-R3163</x:f>
        <x:v>756</x:v>
      </x:c>
      <x:c r="T3163" t="str">
        <x:v>UPI</x:v>
      </x:c>
      <x:c r="U3163" t="str">
        <x:v>Pending</x:v>
      </x:c>
      <x:c r="V3163" t="str">
        <x:v>Delayed</x:v>
      </x:c>
      <x:c r="W3163" t="n">
        <x:v>0</x:v>
      </x:c>
      <x:c r="X3163" t="str"/>
      <x:c r="Y3163" t="str">
        <x:v>Existing Customer</x:v>
      </x:c>
    </x:row>
    <x:row r="3164">
      <x:c r="A3164" t="str">
        <x:v>O003163</x:v>
      </x:c>
      <x:c r="B3164" s="20" t="n">
        <x:v>46182</x:v>
      </x:c>
      <x:c r="C3164" t="str">
        <x:v>C0239</x:v>
      </x:c>
      <x:c r="D3164" t="str">
        <x:v>Royal Hotel 239</x:v>
      </x:c>
      <x:c r="E3164" t="str">
        <x:v>Restaurant</x:v>
      </x:c>
      <x:c r="F3164" t="str">
        <x:v>Hubballi</x:v>
      </x:c>
      <x:c r="G3164" t="str">
        <x:v>Priya</x:v>
      </x:c>
      <x:c r="H3164" t="str">
        <x:v>P031</x:v>
      </x:c>
      <x:c r="I3164" t="str">
        <x:v>Chilli Sauce 700g</x:v>
      </x:c>
      <x:c r="J3164" t="str">
        <x:v>Condiments</x:v>
      </x:c>
      <x:c r="K3164" t="str">
        <x:v>Ching's</x:v>
      </x:c>
      <x:c r="L3164" s="22" t="n">
        <x:v>130</x:v>
      </x:c>
      <x:c r="M3164" t="n">
        <x:v>26</x:v>
      </x:c>
      <x:c r="N3164" s="24" t="n">
        <x:v>0</x:v>
      </x:c>
      <x:c r="O3164" s="22" t="n">
        <x:f>L3164*M3164</x:f>
        <x:v>3380</x:v>
      </x:c>
      <x:c r="P3164" s="22" t="n">
        <x:f>O3164*(1-N3164)</x:f>
        <x:v>3380</x:v>
      </x:c>
      <x:c r="Q3164" s="22" t="n">
        <x:v>112</x:v>
      </x:c>
      <x:c r="R3164" s="22" t="n">
        <x:f>Q3164*M3164</x:f>
        <x:v>2912</x:v>
      </x:c>
      <x:c r="S3164" s="22" t="n">
        <x:f>P3164-R3164</x:f>
        <x:v>468</x:v>
      </x:c>
      <x:c r="T3164" t="str">
        <x:v>Bank Transfer</x:v>
      </x:c>
      <x:c r="U3164" t="str">
        <x:v>Paid</x:v>
      </x:c>
      <x:c r="V3164" t="str">
        <x:v>Delayed</x:v>
      </x:c>
      <x:c r="W3164" t="n">
        <x:v>0</x:v>
      </x:c>
      <x:c r="X3164" t="str"/>
      <x:c r="Y3164" t="str">
        <x:v>Existing Customer</x:v>
      </x:c>
    </x:row>
    <x:row r="3165">
      <x:c r="A3165" t="str">
        <x:v>O003164</x:v>
      </x:c>
      <x:c r="B3165" s="20" t="n">
        <x:v>45880</x:v>
      </x:c>
      <x:c r="C3165" t="str">
        <x:v>C0156</x:v>
      </x:c>
      <x:c r="D3165" t="str">
        <x:v>Metro Stores 156</x:v>
      </x:c>
      <x:c r="E3165" t="str">
        <x:v>Hotel</x:v>
      </x:c>
      <x:c r="F3165" t="str">
        <x:v>Tumakuru</x:v>
      </x:c>
      <x:c r="G3165" t="str">
        <x:v>Ramesh</x:v>
      </x:c>
      <x:c r="H3165" t="str">
        <x:v>P017</x:v>
      </x:c>
      <x:c r="I3165" t="str">
        <x:v>Butter 500g</x:v>
      </x:c>
      <x:c r="J3165" t="str">
        <x:v>Dairy</x:v>
      </x:c>
      <x:c r="K3165" t="str">
        <x:v>Amul</x:v>
      </x:c>
      <x:c r="L3165" s="22" t="n">
        <x:v>285</x:v>
      </x:c>
      <x:c r="M3165" t="n">
        <x:v>30</x:v>
      </x:c>
      <x:c r="N3165" s="24" t="n">
        <x:v>0.03</x:v>
      </x:c>
      <x:c r="O3165" s="22" t="n">
        <x:f>L3165*M3165</x:f>
        <x:v>8550</x:v>
      </x:c>
      <x:c r="P3165" s="22" t="n">
        <x:f>O3165*(1-N3165)</x:f>
        <x:v>8293.5</x:v>
      </x:c>
      <x:c r="Q3165" s="22" t="n">
        <x:v>258</x:v>
      </x:c>
      <x:c r="R3165" s="22" t="n">
        <x:f>Q3165*M3165</x:f>
        <x:v>7740</x:v>
      </x:c>
      <x:c r="S3165" s="22" t="n">
        <x:f>P3165-R3165</x:f>
        <x:v>553.5</x:v>
      </x:c>
      <x:c r="T3165" t="str">
        <x:v>Bank Transfer</x:v>
      </x:c>
      <x:c r="U3165" t="str">
        <x:v>Paid</x:v>
      </x:c>
      <x:c r="V3165" t="str">
        <x:v>Delivered</x:v>
      </x:c>
      <x:c r="W3165" t="n">
        <x:v>0</x:v>
      </x:c>
      <x:c r="X3165" t="str"/>
      <x:c r="Y3165" t="str">
        <x:v>Existing Customer</x:v>
      </x:c>
    </x:row>
    <x:row r="3166">
      <x:c r="A3166" t="str">
        <x:v>O003165</x:v>
      </x:c>
      <x:c r="B3166" s="20" t="n">
        <x:v>45877</x:v>
      </x:c>
      <x:c r="C3166" t="str">
        <x:v>C0244</x:v>
      </x:c>
      <x:c r="D3166" t="str">
        <x:v>Namma Hotel 244</x:v>
      </x:c>
      <x:c r="E3166" t="str">
        <x:v>Kirana</x:v>
      </x:c>
      <x:c r="F3166" t="str">
        <x:v>Tumakuru</x:v>
      </x:c>
      <x:c r="G3166" t="str">
        <x:v>Sneha</x:v>
      </x:c>
      <x:c r="H3166" t="str">
        <x:v>P014</x:v>
      </x:c>
      <x:c r="I3166" t="str">
        <x:v>Rava 5kg</x:v>
      </x:c>
      <x:c r="J3166" t="str">
        <x:v>Flour</x:v>
      </x:c>
      <x:c r="K3166" t="str">
        <x:v>Local Select</x:v>
      </x:c>
      <x:c r="L3166" s="22" t="n">
        <x:v>245</x:v>
      </x:c>
      <x:c r="M3166" t="n">
        <x:v>8</x:v>
      </x:c>
      <x:c r="N3166" s="24" t="n">
        <x:v>0</x:v>
      </x:c>
      <x:c r="O3166" s="22" t="n">
        <x:f>L3166*M3166</x:f>
        <x:v>1960</x:v>
      </x:c>
      <x:c r="P3166" s="22" t="n">
        <x:f>O3166*(1-N3166)</x:f>
        <x:v>1960</x:v>
      </x:c>
      <x:c r="Q3166" s="22" t="n">
        <x:v>215</x:v>
      </x:c>
      <x:c r="R3166" s="22" t="n">
        <x:f>Q3166*M3166</x:f>
        <x:v>1720</x:v>
      </x:c>
      <x:c r="S3166" s="22" t="n">
        <x:f>P3166-R3166</x:f>
        <x:v>240</x:v>
      </x:c>
      <x:c r="T3166" t="str">
        <x:v>Bank Transfer</x:v>
      </x:c>
      <x:c r="U3166" t="str">
        <x:v>Paid</x:v>
      </x:c>
      <x:c r="V3166" t="str">
        <x:v>Delayed</x:v>
      </x:c>
      <x:c r="W3166" t="n">
        <x:v>0</x:v>
      </x:c>
      <x:c r="X3166" t="str"/>
      <x:c r="Y3166" t="str">
        <x:v>Field Visit</x:v>
      </x:c>
    </x:row>
    <x:row r="3167">
      <x:c r="A3167" t="str">
        <x:v>O003166</x:v>
      </x:c>
      <x:c r="B3167" s="20" t="n">
        <x:v>45672</x:v>
      </x:c>
      <x:c r="C3167" t="str">
        <x:v>C0011</x:v>
      </x:c>
      <x:c r="D3167" t="str">
        <x:v>City Cafe 11</x:v>
      </x:c>
      <x:c r="E3167" t="str">
        <x:v>Restaurant</x:v>
      </x:c>
      <x:c r="F3167" t="str">
        <x:v>Mangaluru</x:v>
      </x:c>
      <x:c r="G3167" t="str">
        <x:v>Arjun</x:v>
      </x:c>
      <x:c r="H3167" t="str">
        <x:v>P029</x:v>
      </x:c>
      <x:c r="I3167" t="str">
        <x:v>Tomato Ketchup 1kg</x:v>
      </x:c>
      <x:c r="J3167" t="str">
        <x:v>Condiments</x:v>
      </x:c>
      <x:c r="K3167" t="str">
        <x:v>Kissan</x:v>
      </x:c>
      <x:c r="L3167" s="22" t="n">
        <x:v>145</x:v>
      </x:c>
      <x:c r="M3167" t="n">
        <x:v>19</x:v>
      </x:c>
      <x:c r="N3167" s="24" t="n">
        <x:v>0.03</x:v>
      </x:c>
      <x:c r="O3167" s="22" t="n">
        <x:f>L3167*M3167</x:f>
        <x:v>2755</x:v>
      </x:c>
      <x:c r="P3167" s="22" t="n">
        <x:f>O3167*(1-N3167)</x:f>
        <x:v>2672.35</x:v>
      </x:c>
      <x:c r="Q3167" s="22" t="n">
        <x:v>126</x:v>
      </x:c>
      <x:c r="R3167" s="22" t="n">
        <x:f>Q3167*M3167</x:f>
        <x:v>2394</x:v>
      </x:c>
      <x:c r="S3167" s="22" t="n">
        <x:f>P3167-R3167</x:f>
        <x:v>278.3499999999999</x:v>
      </x:c>
      <x:c r="T3167" t="str">
        <x:v>UPI</x:v>
      </x:c>
      <x:c r="U3167" t="str">
        <x:v>Overdue</x:v>
      </x:c>
      <x:c r="V3167" t="str">
        <x:v>Cancelled</x:v>
      </x:c>
      <x:c r="W3167" t="n">
        <x:v>19</x:v>
      </x:c>
      <x:c r="X3167" t="str">
        <x:v>Cancelled Order</x:v>
      </x:c>
      <x:c r="Y3167" t="str">
        <x:v>Existing Customer</x:v>
      </x:c>
    </x:row>
    <x:row r="3168">
      <x:c r="A3168" t="str">
        <x:v>O003167</x:v>
      </x:c>
      <x:c r="B3168" s="20" t="n">
        <x:v>46132</x:v>
      </x:c>
      <x:c r="C3168" t="str">
        <x:v>C0102</x:v>
      </x:c>
      <x:c r="D3168" t="str">
        <x:v>Annapurna Foods 102</x:v>
      </x:c>
      <x:c r="E3168" t="str">
        <x:v>Cafe</x:v>
      </x:c>
      <x:c r="F3168" t="str">
        <x:v>Davanagere</x:v>
      </x:c>
      <x:c r="G3168" t="str">
        <x:v>Ramesh</x:v>
      </x:c>
      <x:c r="H3168" t="str">
        <x:v>P036</x:v>
      </x:c>
      <x:c r="I3168" t="str">
        <x:v>Garam Masala 500g</x:v>
      </x:c>
      <x:c r="J3168" t="str">
        <x:v>Spices</x:v>
      </x:c>
      <x:c r="K3168" t="str">
        <x:v>MDH</x:v>
      </x:c>
      <x:c r="L3168" s="22" t="n">
        <x:v>265</x:v>
      </x:c>
      <x:c r="M3168" t="n">
        <x:v>20</x:v>
      </x:c>
      <x:c r="N3168" s="24" t="n">
        <x:v>0.03</x:v>
      </x:c>
      <x:c r="O3168" s="22" t="n">
        <x:f>L3168*M3168</x:f>
        <x:v>5300</x:v>
      </x:c>
      <x:c r="P3168" s="22" t="n">
        <x:f>O3168*(1-N3168)</x:f>
        <x:v>5141</x:v>
      </x:c>
      <x:c r="Q3168" s="22" t="n">
        <x:v>230</x:v>
      </x:c>
      <x:c r="R3168" s="22" t="n">
        <x:f>Q3168*M3168</x:f>
        <x:v>4600</x:v>
      </x:c>
      <x:c r="S3168" s="22" t="n">
        <x:f>P3168-R3168</x:f>
        <x:v>541</x:v>
      </x:c>
      <x:c r="T3168" t="str">
        <x:v>Credit</x:v>
      </x:c>
      <x:c r="U3168" t="str">
        <x:v>Paid</x:v>
      </x:c>
      <x:c r="V3168" t="str">
        <x:v>Delivered</x:v>
      </x:c>
      <x:c r="W3168" t="n">
        <x:v>4</x:v>
      </x:c>
      <x:c r="X3168" t="str">
        <x:v>Late Delivery</x:v>
      </x:c>
      <x:c r="Y3168" t="str">
        <x:v>WhatsApp</x:v>
      </x:c>
    </x:row>
    <x:row r="3169">
      <x:c r="A3169" t="str">
        <x:v>O003168</x:v>
      </x:c>
      <x:c r="B3169" s="20" t="n">
        <x:v>46069</x:v>
      </x:c>
      <x:c r="C3169" t="str">
        <x:v>C0196</x:v>
      </x:c>
      <x:c r="D3169" t="str">
        <x:v>Namma Mart 196</x:v>
      </x:c>
      <x:c r="E3169" t="str">
        <x:v>Cafe</x:v>
      </x:c>
      <x:c r="F3169" t="str">
        <x:v>Mangaluru</x:v>
      </x:c>
      <x:c r="G3169" t="str">
        <x:v>Kavya</x:v>
      </x:c>
      <x:c r="H3169" t="str">
        <x:v>P023</x:v>
      </x:c>
      <x:c r="I3169" t="str">
        <x:v>Cola 750ml</x:v>
      </x:c>
      <x:c r="J3169" t="str">
        <x:v>Beverage</x:v>
      </x:c>
      <x:c r="K3169" t="str">
        <x:v>Coca-Cola</x:v>
      </x:c>
      <x:c r="L3169" s="22" t="n">
        <x:v>38</x:v>
      </x:c>
      <x:c r="M3169" t="n">
        <x:v>1</x:v>
      </x:c>
      <x:c r="N3169" s="24" t="n">
        <x:v>0</x:v>
      </x:c>
      <x:c r="O3169" s="22" t="n">
        <x:f>L3169*M3169</x:f>
        <x:v>38</x:v>
      </x:c>
      <x:c r="P3169" s="22" t="n">
        <x:f>O3169*(1-N3169)</x:f>
        <x:v>38</x:v>
      </x:c>
      <x:c r="Q3169" s="22" t="n">
        <x:v>31</x:v>
      </x:c>
      <x:c r="R3169" s="22" t="n">
        <x:f>Q3169*M3169</x:f>
        <x:v>31</x:v>
      </x:c>
      <x:c r="S3169" s="22" t="n">
        <x:f>P3169-R3169</x:f>
        <x:v>7</x:v>
      </x:c>
      <x:c r="T3169" t="str">
        <x:v>Credit</x:v>
      </x:c>
      <x:c r="U3169" t="str">
        <x:v>Paid</x:v>
      </x:c>
      <x:c r="V3169" t="str">
        <x:v>Cancelled</x:v>
      </x:c>
      <x:c r="W3169" t="n">
        <x:v>1</x:v>
      </x:c>
      <x:c r="X3169" t="str">
        <x:v>Cancelled Order</x:v>
      </x:c>
      <x:c r="Y3169" t="str">
        <x:v>Referral</x:v>
      </x:c>
    </x:row>
    <x:row r="3170">
      <x:c r="A3170" t="str">
        <x:v>O003169</x:v>
      </x:c>
      <x:c r="B3170" s="20" t="n">
        <x:v>45781</x:v>
      </x:c>
      <x:c r="C3170" t="str">
        <x:v>C0141</x:v>
      </x:c>
      <x:c r="D3170" t="str">
        <x:v>Sri Restaurant 141</x:v>
      </x:c>
      <x:c r="E3170" t="str">
        <x:v>Restaurant</x:v>
      </x:c>
      <x:c r="F3170" t="str">
        <x:v>Mangaluru</x:v>
      </x:c>
      <x:c r="G3170" t="str">
        <x:v>Ramesh</x:v>
      </x:c>
      <x:c r="H3170" t="str">
        <x:v>P010</x:v>
      </x:c>
      <x:c r="I3170" t="str">
        <x:v>Sugar 25kg</x:v>
      </x:c>
      <x:c r="J3170" t="str">
        <x:v>Staples</x:v>
      </x:c>
      <x:c r="K3170" t="str">
        <x:v>Madhur</x:v>
      </x:c>
      <x:c r="L3170" s="22" t="n">
        <x:v>1190</x:v>
      </x:c>
      <x:c r="M3170" t="n">
        <x:v>11</x:v>
      </x:c>
      <x:c r="N3170" s="24" t="n">
        <x:v>0.05</x:v>
      </x:c>
      <x:c r="O3170" s="22" t="n">
        <x:f>L3170*M3170</x:f>
        <x:v>13090</x:v>
      </x:c>
      <x:c r="P3170" s="22" t="n">
        <x:f>O3170*(1-N3170)</x:f>
        <x:v>12435.5</x:v>
      </x:c>
      <x:c r="Q3170" s="22" t="n">
        <x:v>1080</x:v>
      </x:c>
      <x:c r="R3170" s="22" t="n">
        <x:f>Q3170*M3170</x:f>
        <x:v>11880</x:v>
      </x:c>
      <x:c r="S3170" s="22" t="n">
        <x:f>P3170-R3170</x:f>
        <x:v>555.5</x:v>
      </x:c>
      <x:c r="T3170" t="str">
        <x:v>Bank Transfer</x:v>
      </x:c>
      <x:c r="U3170" t="str">
        <x:v>Paid</x:v>
      </x:c>
      <x:c r="V3170" t="str">
        <x:v>Delivered</x:v>
      </x:c>
      <x:c r="W3170" t="n">
        <x:v>0</x:v>
      </x:c>
      <x:c r="X3170" t="str"/>
      <x:c r="Y3170" t="str">
        <x:v>Existing Customer</x:v>
      </x:c>
    </x:row>
    <x:row r="3171">
      <x:c r="A3171" t="str">
        <x:v>O003170</x:v>
      </x:c>
      <x:c r="B3171" s="20" t="n">
        <x:v>45826</x:v>
      </x:c>
      <x:c r="C3171" t="str">
        <x:v>C0246</x:v>
      </x:c>
      <x:c r="D3171" t="str">
        <x:v>City Hotel 246</x:v>
      </x:c>
      <x:c r="E3171" t="str">
        <x:v>Supermarket</x:v>
      </x:c>
      <x:c r="F3171" t="str">
        <x:v>Mangaluru</x:v>
      </x:c>
      <x:c r="G3171" t="str">
        <x:v>Kavya</x:v>
      </x:c>
      <x:c r="H3171" t="str">
        <x:v>P035</x:v>
      </x:c>
      <x:c r="I3171" t="str">
        <x:v>Coriander Powder 1kg</x:v>
      </x:c>
      <x:c r="J3171" t="str">
        <x:v>Spices</x:v>
      </x:c>
      <x:c r="K3171" t="str">
        <x:v>Everest</x:v>
      </x:c>
      <x:c r="L3171" s="22" t="n">
        <x:v>280</x:v>
      </x:c>
      <x:c r="M3171" t="n">
        <x:v>31</x:v>
      </x:c>
      <x:c r="N3171" s="24" t="n">
        <x:v>0.03</x:v>
      </x:c>
      <x:c r="O3171" s="22" t="n">
        <x:f>L3171*M3171</x:f>
        <x:v>8680</x:v>
      </x:c>
      <x:c r="P3171" s="22" t="n">
        <x:f>O3171*(1-N3171)</x:f>
        <x:v>8419.6</x:v>
      </x:c>
      <x:c r="Q3171" s="22" t="n">
        <x:v>245</x:v>
      </x:c>
      <x:c r="R3171" s="22" t="n">
        <x:f>Q3171*M3171</x:f>
        <x:v>7595</x:v>
      </x:c>
      <x:c r="S3171" s="22" t="n">
        <x:f>P3171-R3171</x:f>
        <x:v>824.6000000000004</x:v>
      </x:c>
      <x:c r="T3171" t="str">
        <x:v>Cash</x:v>
      </x:c>
      <x:c r="U3171" t="str">
        <x:v>Pending</x:v>
      </x:c>
      <x:c r="V3171" t="str">
        <x:v>Delivered</x:v>
      </x:c>
      <x:c r="W3171" t="n">
        <x:v>0</x:v>
      </x:c>
      <x:c r="X3171" t="str"/>
      <x:c r="Y3171" t="str">
        <x:v>Referral</x:v>
      </x:c>
    </x:row>
    <x:row r="3172">
      <x:c r="A3172" t="str">
        <x:v>O003171</x:v>
      </x:c>
      <x:c r="B3172" s="20" t="n">
        <x:v>45964</x:v>
      </x:c>
      <x:c r="C3172" t="str">
        <x:v>C0051</x:v>
      </x:c>
      <x:c r="D3172" t="str">
        <x:v>Cafe Hotel 51</x:v>
      </x:c>
      <x:c r="E3172" t="str">
        <x:v>Kirana</x:v>
      </x:c>
      <x:c r="F3172" t="str">
        <x:v>Tumakuru</x:v>
      </x:c>
      <x:c r="G3172" t="str">
        <x:v>Arjun</x:v>
      </x:c>
      <x:c r="H3172" t="str">
        <x:v>P001</x:v>
      </x:c>
      <x:c r="I3172" t="str">
        <x:v>Steam Rice 25kg</x:v>
      </x:c>
      <x:c r="J3172" t="str">
        <x:v>Staples</x:v>
      </x:c>
      <x:c r="K3172" t="str">
        <x:v>Aishwarya</x:v>
      </x:c>
      <x:c r="L3172" s="22" t="n">
        <x:v>1180</x:v>
      </x:c>
      <x:c r="M3172" t="n">
        <x:v>11</x:v>
      </x:c>
      <x:c r="N3172" s="24" t="n">
        <x:v>0.03</x:v>
      </x:c>
      <x:c r="O3172" s="22" t="n">
        <x:f>L3172*M3172</x:f>
        <x:v>12980</x:v>
      </x:c>
      <x:c r="P3172" s="22" t="n">
        <x:f>O3172*(1-N3172)</x:f>
        <x:v>12590.6</x:v>
      </x:c>
      <x:c r="Q3172" s="22" t="n">
        <x:v>1040</x:v>
      </x:c>
      <x:c r="R3172" s="22" t="n">
        <x:f>Q3172*M3172</x:f>
        <x:v>11440</x:v>
      </x:c>
      <x:c r="S3172" s="22" t="n">
        <x:f>P3172-R3172</x:f>
        <x:v>1150.6000000000004</x:v>
      </x:c>
      <x:c r="T3172" t="str">
        <x:v>Credit</x:v>
      </x:c>
      <x:c r="U3172" t="str">
        <x:v>Paid</x:v>
      </x:c>
      <x:c r="V3172" t="str">
        <x:v>Cancelled</x:v>
      </x:c>
      <x:c r="W3172" t="n">
        <x:v>11</x:v>
      </x:c>
      <x:c r="X3172" t="str">
        <x:v>Cancelled Order</x:v>
      </x:c>
      <x:c r="Y3172" t="str">
        <x:v>Outbound Call</x:v>
      </x:c>
    </x:row>
    <x:row r="3173">
      <x:c r="A3173" t="str">
        <x:v>O003172</x:v>
      </x:c>
      <x:c r="B3173" s="20" t="n">
        <x:v>46064</x:v>
      </x:c>
      <x:c r="C3173" t="str">
        <x:v>C0103</x:v>
      </x:c>
      <x:c r="D3173" t="str">
        <x:v>Fresh Kitchen 103</x:v>
      </x:c>
      <x:c r="E3173" t="str">
        <x:v>Supermarket</x:v>
      </x:c>
      <x:c r="F3173" t="str">
        <x:v>Davanagere</x:v>
      </x:c>
      <x:c r="G3173" t="str">
        <x:v>Megha</x:v>
      </x:c>
      <x:c r="H3173" t="str">
        <x:v>P043</x:v>
      </x:c>
      <x:c r="I3173" t="str">
        <x:v>Chicken Breast 1kg</x:v>
      </x:c>
      <x:c r="J3173" t="str">
        <x:v>Protein</x:v>
      </x:c>
      <x:c r="K3173" t="str">
        <x:v>FreshToHome</x:v>
      </x:c>
      <x:c r="L3173" s="22" t="n">
        <x:v>260</x:v>
      </x:c>
      <x:c r="M3173" t="n">
        <x:v>3</x:v>
      </x:c>
      <x:c r="N3173" s="24" t="n">
        <x:v>0.08</x:v>
      </x:c>
      <x:c r="O3173" s="22" t="n">
        <x:f>L3173*M3173</x:f>
        <x:v>780</x:v>
      </x:c>
      <x:c r="P3173" s="22" t="n">
        <x:f>O3173*(1-N3173)</x:f>
        <x:v>717.6</x:v>
      </x:c>
      <x:c r="Q3173" s="22" t="n">
        <x:v>235</x:v>
      </x:c>
      <x:c r="R3173" s="22" t="n">
        <x:f>Q3173*M3173</x:f>
        <x:v>705</x:v>
      </x:c>
      <x:c r="S3173" s="22" t="n">
        <x:f>P3173-R3173</x:f>
        <x:v>12.600000000000023</x:v>
      </x:c>
      <x:c r="T3173" t="str">
        <x:v>Cash</x:v>
      </x:c>
      <x:c r="U3173" t="str">
        <x:v>Overdue</x:v>
      </x:c>
      <x:c r="V3173" t="str">
        <x:v>Delivered</x:v>
      </x:c>
      <x:c r="W3173" t="n">
        <x:v>0</x:v>
      </x:c>
      <x:c r="X3173" t="str"/>
      <x:c r="Y3173" t="str">
        <x:v>Field Visit</x:v>
      </x:c>
    </x:row>
    <x:row r="3174">
      <x:c r="A3174" t="str">
        <x:v>O003173</x:v>
      </x:c>
      <x:c r="B3174" s="20" t="n">
        <x:v>46006</x:v>
      </x:c>
      <x:c r="C3174" t="str">
        <x:v>C0068</x:v>
      </x:c>
      <x:c r="D3174" t="str">
        <x:v>Fresh Canteen 68</x:v>
      </x:c>
      <x:c r="E3174" t="str">
        <x:v>Kirana</x:v>
      </x:c>
      <x:c r="F3174" t="str">
        <x:v>Davanagere</x:v>
      </x:c>
      <x:c r="G3174" t="str">
        <x:v>Arjun</x:v>
      </x:c>
      <x:c r="H3174" t="str">
        <x:v>P014</x:v>
      </x:c>
      <x:c r="I3174" t="str">
        <x:v>Rava 5kg</x:v>
      </x:c>
      <x:c r="J3174" t="str">
        <x:v>Flour</x:v>
      </x:c>
      <x:c r="K3174" t="str">
        <x:v>Local Select</x:v>
      </x:c>
      <x:c r="L3174" s="22" t="n">
        <x:v>245</x:v>
      </x:c>
      <x:c r="M3174" t="n">
        <x:v>34</x:v>
      </x:c>
      <x:c r="N3174" s="24" t="n">
        <x:v>0.05</x:v>
      </x:c>
      <x:c r="O3174" s="22" t="n">
        <x:f>L3174*M3174</x:f>
        <x:v>8330</x:v>
      </x:c>
      <x:c r="P3174" s="22" t="n">
        <x:f>O3174*(1-N3174)</x:f>
        <x:v>7913.5</x:v>
      </x:c>
      <x:c r="Q3174" s="22" t="n">
        <x:v>215</x:v>
      </x:c>
      <x:c r="R3174" s="22" t="n">
        <x:f>Q3174*M3174</x:f>
        <x:v>7310</x:v>
      </x:c>
      <x:c r="S3174" s="22" t="n">
        <x:f>P3174-R3174</x:f>
        <x:v>603.5</x:v>
      </x:c>
      <x:c r="T3174" t="str">
        <x:v>Cash</x:v>
      </x:c>
      <x:c r="U3174" t="str">
        <x:v>Paid</x:v>
      </x:c>
      <x:c r="V3174" t="str">
        <x:v>Delayed</x:v>
      </x:c>
      <x:c r="W3174" t="n">
        <x:v>0</x:v>
      </x:c>
      <x:c r="X3174" t="str"/>
      <x:c r="Y3174" t="str">
        <x:v>Outbound Call</x:v>
      </x:c>
    </x:row>
    <x:row r="3175">
      <x:c r="A3175" t="str">
        <x:v>O003174</x:v>
      </x:c>
      <x:c r="B3175" s="20" t="n">
        <x:v>45974</x:v>
      </x:c>
      <x:c r="C3175" t="str">
        <x:v>C0134</x:v>
      </x:c>
      <x:c r="D3175" t="str">
        <x:v>Annapurna Stores 134</x:v>
      </x:c>
      <x:c r="E3175" t="str">
        <x:v>Cafe</x:v>
      </x:c>
      <x:c r="F3175" t="str">
        <x:v>Bengaluru</x:v>
      </x:c>
      <x:c r="G3175" t="str">
        <x:v>Kavya</x:v>
      </x:c>
      <x:c r="H3175" t="str">
        <x:v>P043</x:v>
      </x:c>
      <x:c r="I3175" t="str">
        <x:v>Chicken Breast 1kg</x:v>
      </x:c>
      <x:c r="J3175" t="str">
        <x:v>Protein</x:v>
      </x:c>
      <x:c r="K3175" t="str">
        <x:v>FreshToHome</x:v>
      </x:c>
      <x:c r="L3175" s="22" t="n">
        <x:v>260</x:v>
      </x:c>
      <x:c r="M3175" t="n">
        <x:v>28</x:v>
      </x:c>
      <x:c r="N3175" s="24" t="n">
        <x:v>0.02</x:v>
      </x:c>
      <x:c r="O3175" s="22" t="n">
        <x:f>L3175*M3175</x:f>
        <x:v>7280</x:v>
      </x:c>
      <x:c r="P3175" s="22" t="n">
        <x:f>O3175*(1-N3175)</x:f>
        <x:v>7134.4</x:v>
      </x:c>
      <x:c r="Q3175" s="22" t="n">
        <x:v>235</x:v>
      </x:c>
      <x:c r="R3175" s="22" t="n">
        <x:f>Q3175*M3175</x:f>
        <x:v>6580</x:v>
      </x:c>
      <x:c r="S3175" s="22" t="n">
        <x:f>P3175-R3175</x:f>
        <x:v>554.3999999999996</x:v>
      </x:c>
      <x:c r="T3175" t="str">
        <x:v>Bank Transfer</x:v>
      </x:c>
      <x:c r="U3175" t="str">
        <x:v>Overdue</x:v>
      </x:c>
      <x:c r="V3175" t="str">
        <x:v>Delivered</x:v>
      </x:c>
      <x:c r="W3175" t="n">
        <x:v>0</x:v>
      </x:c>
      <x:c r="X3175" t="str"/>
      <x:c r="Y3175" t="str">
        <x:v>WhatsApp</x:v>
      </x:c>
    </x:row>
    <x:row r="3176">
      <x:c r="A3176" t="str">
        <x:v>O003175</x:v>
      </x:c>
      <x:c r="B3176" s="20" t="n">
        <x:v>45748</x:v>
      </x:c>
      <x:c r="C3176" t="str">
        <x:v>C0120</x:v>
      </x:c>
      <x:c r="D3176" t="str">
        <x:v>Foodie Foods 120</x:v>
      </x:c>
      <x:c r="E3176" t="str">
        <x:v>Hotel</x:v>
      </x:c>
      <x:c r="F3176" t="str">
        <x:v>Hubballi</x:v>
      </x:c>
      <x:c r="G3176" t="str">
        <x:v>Arjun</x:v>
      </x:c>
      <x:c r="H3176" t="str">
        <x:v>P036</x:v>
      </x:c>
      <x:c r="I3176" t="str">
        <x:v>Garam Masala 500g</x:v>
      </x:c>
      <x:c r="J3176" t="str">
        <x:v>Spices</x:v>
      </x:c>
      <x:c r="K3176" t="str">
        <x:v>MDH</x:v>
      </x:c>
      <x:c r="L3176" s="22" t="n">
        <x:v>265</x:v>
      </x:c>
      <x:c r="M3176" t="n">
        <x:v>31</x:v>
      </x:c>
      <x:c r="N3176" s="24" t="n">
        <x:v>0.05</x:v>
      </x:c>
      <x:c r="O3176" s="22" t="n">
        <x:f>L3176*M3176</x:f>
        <x:v>8215</x:v>
      </x:c>
      <x:c r="P3176" s="22" t="n">
        <x:f>O3176*(1-N3176)</x:f>
        <x:v>7804.25</x:v>
      </x:c>
      <x:c r="Q3176" s="22" t="n">
        <x:v>230</x:v>
      </x:c>
      <x:c r="R3176" s="22" t="n">
        <x:f>Q3176*M3176</x:f>
        <x:v>7130</x:v>
      </x:c>
      <x:c r="S3176" s="22" t="n">
        <x:f>P3176-R3176</x:f>
        <x:v>674.25</x:v>
      </x:c>
      <x:c r="T3176" t="str">
        <x:v>UPI</x:v>
      </x:c>
      <x:c r="U3176" t="str">
        <x:v>Paid</x:v>
      </x:c>
      <x:c r="V3176" t="str">
        <x:v>Cancelled</x:v>
      </x:c>
      <x:c r="W3176" t="n">
        <x:v>31</x:v>
      </x:c>
      <x:c r="X3176" t="str">
        <x:v>Cancelled Order</x:v>
      </x:c>
      <x:c r="Y3176" t="str">
        <x:v>Referral</x:v>
      </x:c>
    </x:row>
    <x:row r="3177">
      <x:c r="A3177" t="str">
        <x:v>O003176</x:v>
      </x:c>
      <x:c r="B3177" s="20" t="n">
        <x:v>46199</x:v>
      </x:c>
      <x:c r="C3177" t="str">
        <x:v>C0065</x:v>
      </x:c>
      <x:c r="D3177" t="str">
        <x:v>Mysore Stores 65</x:v>
      </x:c>
      <x:c r="E3177" t="str">
        <x:v>Kirana</x:v>
      </x:c>
      <x:c r="F3177" t="str">
        <x:v>Tumakuru</x:v>
      </x:c>
      <x:c r="G3177" t="str">
        <x:v>Sneha</x:v>
      </x:c>
      <x:c r="H3177" t="str">
        <x:v>P041</x:v>
      </x:c>
      <x:c r="I3177" t="str">
        <x:v>Burger Bun 6pc</x:v>
      </x:c>
      <x:c r="J3177" t="str">
        <x:v>Bakery</x:v>
      </x:c>
      <x:c r="K3177" t="str">
        <x:v>Modern</x:v>
      </x:c>
      <x:c r="L3177" s="22" t="n">
        <x:v>42</x:v>
      </x:c>
      <x:c r="M3177" t="n">
        <x:v>7</x:v>
      </x:c>
      <x:c r="N3177" s="24" t="n">
        <x:v>0</x:v>
      </x:c>
      <x:c r="O3177" s="22" t="n">
        <x:f>L3177*M3177</x:f>
        <x:v>294</x:v>
      </x:c>
      <x:c r="P3177" s="22" t="n">
        <x:f>O3177*(1-N3177)</x:f>
        <x:v>294</x:v>
      </x:c>
      <x:c r="Q3177" s="22" t="n">
        <x:v>32</x:v>
      </x:c>
      <x:c r="R3177" s="22" t="n">
        <x:f>Q3177*M3177</x:f>
        <x:v>224</x:v>
      </x:c>
      <x:c r="S3177" s="22" t="n">
        <x:f>P3177-R3177</x:f>
        <x:v>70</x:v>
      </x:c>
      <x:c r="T3177" t="str">
        <x:v>Credit</x:v>
      </x:c>
      <x:c r="U3177" t="str">
        <x:v>Pending</x:v>
      </x:c>
      <x:c r="V3177" t="str">
        <x:v>Delayed</x:v>
      </x:c>
      <x:c r="W3177" t="n">
        <x:v>0</x:v>
      </x:c>
      <x:c r="X3177" t="str"/>
      <x:c r="Y3177" t="str">
        <x:v>Field Visit</x:v>
      </x:c>
    </x:row>
    <x:row r="3178">
      <x:c r="A3178" t="str">
        <x:v>O003177</x:v>
      </x:c>
      <x:c r="B3178" s="20" t="n">
        <x:v>46039</x:v>
      </x:c>
      <x:c r="C3178" t="str">
        <x:v>C0189</x:v>
      </x:c>
      <x:c r="D3178" t="str">
        <x:v>Classic Canteen 189</x:v>
      </x:c>
      <x:c r="E3178" t="str">
        <x:v>Kirana</x:v>
      </x:c>
      <x:c r="F3178" t="str">
        <x:v>Hubballi</x:v>
      </x:c>
      <x:c r="G3178" t="str">
        <x:v>Vikram</x:v>
      </x:c>
      <x:c r="H3178" t="str">
        <x:v>P036</x:v>
      </x:c>
      <x:c r="I3178" t="str">
        <x:v>Garam Masala 500g</x:v>
      </x:c>
      <x:c r="J3178" t="str">
        <x:v>Spices</x:v>
      </x:c>
      <x:c r="K3178" t="str">
        <x:v>MDH</x:v>
      </x:c>
      <x:c r="L3178" s="22" t="n">
        <x:v>265</x:v>
      </x:c>
      <x:c r="M3178" t="n">
        <x:v>37</x:v>
      </x:c>
      <x:c r="N3178" s="24" t="n">
        <x:v>0.08</x:v>
      </x:c>
      <x:c r="O3178" s="22" t="n">
        <x:f>L3178*M3178</x:f>
        <x:v>9805</x:v>
      </x:c>
      <x:c r="P3178" s="22" t="n">
        <x:f>O3178*(1-N3178)</x:f>
        <x:v>9020.6</x:v>
      </x:c>
      <x:c r="Q3178" s="22" t="n">
        <x:v>230</x:v>
      </x:c>
      <x:c r="R3178" s="22" t="n">
        <x:f>Q3178*M3178</x:f>
        <x:v>8510</x:v>
      </x:c>
      <x:c r="S3178" s="22" t="n">
        <x:f>P3178-R3178</x:f>
        <x:v>510.60000000000036</x:v>
      </x:c>
      <x:c r="T3178" t="str">
        <x:v>Bank Transfer</x:v>
      </x:c>
      <x:c r="U3178" t="str">
        <x:v>Paid</x:v>
      </x:c>
      <x:c r="V3178" t="str">
        <x:v>Delivered</x:v>
      </x:c>
      <x:c r="W3178" t="n">
        <x:v>0</x:v>
      </x:c>
      <x:c r="X3178" t="str"/>
      <x:c r="Y3178" t="str">
        <x:v>Referral</x:v>
      </x:c>
    </x:row>
    <x:row r="3179">
      <x:c r="A3179" t="str">
        <x:v>O003178</x:v>
      </x:c>
      <x:c r="B3179" s="20" t="n">
        <x:v>46077</x:v>
      </x:c>
      <x:c r="C3179" t="str">
        <x:v>C0054</x:v>
      </x:c>
      <x:c r="D3179" t="str">
        <x:v>Cafe Cafe 54</x:v>
      </x:c>
      <x:c r="E3179" t="str">
        <x:v>Restaurant</x:v>
      </x:c>
      <x:c r="F3179" t="str">
        <x:v>Hubballi</x:v>
      </x:c>
      <x:c r="G3179" t="str">
        <x:v>Vikram</x:v>
      </x:c>
      <x:c r="H3179" t="str">
        <x:v>P049</x:v>
      </x:c>
      <x:c r="I3179" t="str">
        <x:v>Apple 10kg</x:v>
      </x:c>
      <x:c r="J3179" t="str">
        <x:v>Fresh Produce</x:v>
      </x:c>
      <x:c r="K3179" t="str">
        <x:v>Local Market</x:v>
      </x:c>
      <x:c r="L3179" s="22" t="n">
        <x:v>1450</x:v>
      </x:c>
      <x:c r="M3179" t="n">
        <x:v>12</x:v>
      </x:c>
      <x:c r="N3179" s="24" t="n">
        <x:v>0.02</x:v>
      </x:c>
      <x:c r="O3179" s="22" t="n">
        <x:f>L3179*M3179</x:f>
        <x:v>17400</x:v>
      </x:c>
      <x:c r="P3179" s="22" t="n">
        <x:f>O3179*(1-N3179)</x:f>
        <x:v>17052</x:v>
      </x:c>
      <x:c r="Q3179" s="22" t="n">
        <x:v>1280</x:v>
      </x:c>
      <x:c r="R3179" s="22" t="n">
        <x:f>Q3179*M3179</x:f>
        <x:v>15360</x:v>
      </x:c>
      <x:c r="S3179" s="22" t="n">
        <x:f>P3179-R3179</x:f>
        <x:v>1692</x:v>
      </x:c>
      <x:c r="T3179" t="str">
        <x:v>Credit</x:v>
      </x:c>
      <x:c r="U3179" t="str">
        <x:v>Paid</x:v>
      </x:c>
      <x:c r="V3179" t="str">
        <x:v>Delivered</x:v>
      </x:c>
      <x:c r="W3179" t="n">
        <x:v>0</x:v>
      </x:c>
      <x:c r="X3179" t="str"/>
      <x:c r="Y3179" t="str">
        <x:v>Existing Customer</x:v>
      </x:c>
    </x:row>
    <x:row r="3180">
      <x:c r="A3180" t="str">
        <x:v>O003179</x:v>
      </x:c>
      <x:c r="B3180" s="20" t="n">
        <x:v>46239</x:v>
      </x:c>
      <x:c r="C3180" t="str">
        <x:v>C0125</x:v>
      </x:c>
      <x:c r="D3180" t="str">
        <x:v>Spice Restaurant 125</x:v>
      </x:c>
      <x:c r="E3180" t="str">
        <x:v>Kirana</x:v>
      </x:c>
      <x:c r="F3180" t="str">
        <x:v>Tumakuru</x:v>
      </x:c>
      <x:c r="G3180" t="str">
        <x:v>Ramesh</x:v>
      </x:c>
      <x:c r="H3180" t="str">
        <x:v>P024</x:v>
      </x:c>
      <x:c r="I3180" t="str">
        <x:v>Orange Drink 1L</x:v>
      </x:c>
      <x:c r="J3180" t="str">
        <x:v>Beverage</x:v>
      </x:c>
      <x:c r="K3180" t="str">
        <x:v>Minute Maid</x:v>
      </x:c>
      <x:c r="L3180" s="22" t="n">
        <x:v>105</x:v>
      </x:c>
      <x:c r="M3180" t="n">
        <x:v>14</x:v>
      </x:c>
      <x:c r="N3180" s="24" t="n">
        <x:v>0.02</x:v>
      </x:c>
      <x:c r="O3180" s="22" t="n">
        <x:f>L3180*M3180</x:f>
        <x:v>1470</x:v>
      </x:c>
      <x:c r="P3180" s="22" t="n">
        <x:f>O3180*(1-N3180)</x:f>
        <x:v>1440.6</x:v>
      </x:c>
      <x:c r="Q3180" s="22" t="n">
        <x:v>88</x:v>
      </x:c>
      <x:c r="R3180" s="22" t="n">
        <x:f>Q3180*M3180</x:f>
        <x:v>1232</x:v>
      </x:c>
      <x:c r="S3180" s="22" t="n">
        <x:f>P3180-R3180</x:f>
        <x:v>208.5999999999999</x:v>
      </x:c>
      <x:c r="T3180" t="str">
        <x:v>Credit</x:v>
      </x:c>
      <x:c r="U3180" t="str">
        <x:v>Paid</x:v>
      </x:c>
      <x:c r="V3180" t="str">
        <x:v>Delivered</x:v>
      </x:c>
      <x:c r="W3180" t="n">
        <x:v>0</x:v>
      </x:c>
      <x:c r="X3180" t="str"/>
      <x:c r="Y3180" t="str">
        <x:v>Field Visit</x:v>
      </x:c>
    </x:row>
    <x:row r="3181">
      <x:c r="A3181" t="str">
        <x:v>O003180</x:v>
      </x:c>
      <x:c r="B3181" s="20" t="n">
        <x:v>46012</x:v>
      </x:c>
      <x:c r="C3181" t="str">
        <x:v>C0019</x:v>
      </x:c>
      <x:c r="D3181" t="str">
        <x:v>Grand Kitchen 19</x:v>
      </x:c>
      <x:c r="E3181" t="str">
        <x:v>Supermarket</x:v>
      </x:c>
      <x:c r="F3181" t="str">
        <x:v>Tumakuru</x:v>
      </x:c>
      <x:c r="G3181" t="str">
        <x:v>Sneha</x:v>
      </x:c>
      <x:c r="H3181" t="str">
        <x:v>P038</x:v>
      </x:c>
      <x:c r="I3181" t="str">
        <x:v>French Fries 2.5kg</x:v>
      </x:c>
      <x:c r="J3181" t="str">
        <x:v>Frozen</x:v>
      </x:c>
      <x:c r="K3181" t="str">
        <x:v>McCain</x:v>
      </x:c>
      <x:c r="L3181" s="22" t="n">
        <x:v>360</x:v>
      </x:c>
      <x:c r="M3181" t="n">
        <x:v>15</x:v>
      </x:c>
      <x:c r="N3181" s="24" t="n">
        <x:v>0.05</x:v>
      </x:c>
      <x:c r="O3181" s="22" t="n">
        <x:f>L3181*M3181</x:f>
        <x:v>5400</x:v>
      </x:c>
      <x:c r="P3181" s="22" t="n">
        <x:f>O3181*(1-N3181)</x:f>
        <x:v>5130</x:v>
      </x:c>
      <x:c r="Q3181" s="22" t="n">
        <x:v>315</x:v>
      </x:c>
      <x:c r="R3181" s="22" t="n">
        <x:f>Q3181*M3181</x:f>
        <x:v>4725</x:v>
      </x:c>
      <x:c r="S3181" s="22" t="n">
        <x:f>P3181-R3181</x:f>
        <x:v>405</x:v>
      </x:c>
      <x:c r="T3181" t="str">
        <x:v>UPI</x:v>
      </x:c>
      <x:c r="U3181" t="str">
        <x:v>Overdue</x:v>
      </x:c>
      <x:c r="V3181" t="str">
        <x:v>Cancelled</x:v>
      </x:c>
      <x:c r="W3181" t="n">
        <x:v>15</x:v>
      </x:c>
      <x:c r="X3181" t="str">
        <x:v>Cancelled Order</x:v>
      </x:c>
      <x:c r="Y3181" t="str">
        <x:v>Existing Customer</x:v>
      </x:c>
    </x:row>
    <x:row r="3182">
      <x:c r="A3182" t="str">
        <x:v>O003181</x:v>
      </x:c>
      <x:c r="B3182" s="20" t="n">
        <x:v>46161</x:v>
      </x:c>
      <x:c r="C3182" t="str">
        <x:v>C0046</x:v>
      </x:c>
      <x:c r="D3182" t="str">
        <x:v>Annapurna Foods 46</x:v>
      </x:c>
      <x:c r="E3182" t="str">
        <x:v>Kirana</x:v>
      </x:c>
      <x:c r="F3182" t="str">
        <x:v>Bengaluru</x:v>
      </x:c>
      <x:c r="G3182" t="str">
        <x:v>Ramesh</x:v>
      </x:c>
      <x:c r="H3182" t="str">
        <x:v>P028</x:v>
      </x:c>
      <x:c r="I3182" t="str">
        <x:v>Cookies 200g</x:v>
      </x:c>
      <x:c r="J3182" t="str">
        <x:v>Snacks</x:v>
      </x:c>
      <x:c r="K3182" t="str">
        <x:v>Britannia</x:v>
      </x:c>
      <x:c r="L3182" s="22" t="n">
        <x:v>55</x:v>
      </x:c>
      <x:c r="M3182" t="n">
        <x:v>9</x:v>
      </x:c>
      <x:c r="N3182" s="24" t="n">
        <x:v>0</x:v>
      </x:c>
      <x:c r="O3182" s="22" t="n">
        <x:f>L3182*M3182</x:f>
        <x:v>495</x:v>
      </x:c>
      <x:c r="P3182" s="22" t="n">
        <x:f>O3182*(1-N3182)</x:f>
        <x:v>495</x:v>
      </x:c>
      <x:c r="Q3182" s="22" t="n">
        <x:v>42</x:v>
      </x:c>
      <x:c r="R3182" s="22" t="n">
        <x:f>Q3182*M3182</x:f>
        <x:v>378</x:v>
      </x:c>
      <x:c r="S3182" s="22" t="n">
        <x:f>P3182-R3182</x:f>
        <x:v>117</x:v>
      </x:c>
      <x:c r="T3182" t="str">
        <x:v>UPI</x:v>
      </x:c>
      <x:c r="U3182" t="str">
        <x:v>Paid</x:v>
      </x:c>
      <x:c r="V3182" t="str">
        <x:v>Delivered</x:v>
      </x:c>
      <x:c r="W3182" t="n">
        <x:v>0</x:v>
      </x:c>
      <x:c r="X3182" t="str"/>
      <x:c r="Y3182" t="str">
        <x:v>Outbound Call</x:v>
      </x:c>
    </x:row>
    <x:row r="3183">
      <x:c r="A3183" t="str">
        <x:v>O003182</x:v>
      </x:c>
      <x:c r="B3183" s="20" t="n">
        <x:v>45754</x:v>
      </x:c>
      <x:c r="C3183" t="str">
        <x:v>C0008</x:v>
      </x:c>
      <x:c r="D3183" t="str">
        <x:v>Namma Kitchen 8</x:v>
      </x:c>
      <x:c r="E3183" t="str">
        <x:v>Kirana</x:v>
      </x:c>
      <x:c r="F3183" t="str">
        <x:v>Bengaluru</x:v>
      </x:c>
      <x:c r="G3183" t="str">
        <x:v>Vikram</x:v>
      </x:c>
      <x:c r="H3183" t="str">
        <x:v>P003</x:v>
      </x:c>
      <x:c r="I3183" t="str">
        <x:v>Basmati Rice 5kg</x:v>
      </x:c>
      <x:c r="J3183" t="str">
        <x:v>Staples</x:v>
      </x:c>
      <x:c r="K3183" t="str">
        <x:v>India Gate</x:v>
      </x:c>
      <x:c r="L3183" s="22" t="n">
        <x:v>690</x:v>
      </x:c>
      <x:c r="M3183" t="n">
        <x:v>5</x:v>
      </x:c>
      <x:c r="N3183" s="24" t="n">
        <x:v>0</x:v>
      </x:c>
      <x:c r="O3183" s="22" t="n">
        <x:f>L3183*M3183</x:f>
        <x:v>3450</x:v>
      </x:c>
      <x:c r="P3183" s="22" t="n">
        <x:f>O3183*(1-N3183)</x:f>
        <x:v>3450</x:v>
      </x:c>
      <x:c r="Q3183" s="22" t="n">
        <x:v>610</x:v>
      </x:c>
      <x:c r="R3183" s="22" t="n">
        <x:f>Q3183*M3183</x:f>
        <x:v>3050</x:v>
      </x:c>
      <x:c r="S3183" s="22" t="n">
        <x:f>P3183-R3183</x:f>
        <x:v>400</x:v>
      </x:c>
      <x:c r="T3183" t="str">
        <x:v>UPI</x:v>
      </x:c>
      <x:c r="U3183" t="str">
        <x:v>Paid</x:v>
      </x:c>
      <x:c r="V3183" t="str">
        <x:v>Delayed</x:v>
      </x:c>
      <x:c r="W3183" t="n">
        <x:v>0</x:v>
      </x:c>
      <x:c r="X3183" t="str"/>
      <x:c r="Y3183" t="str">
        <x:v>Outbound Call</x:v>
      </x:c>
    </x:row>
    <x:row r="3184">
      <x:c r="A3184" t="str">
        <x:v>O003183</x:v>
      </x:c>
      <x:c r="B3184" s="20" t="n">
        <x:v>45861</x:v>
      </x:c>
      <x:c r="C3184" t="str">
        <x:v>C0047</x:v>
      </x:c>
      <x:c r="D3184" t="str">
        <x:v>Shree Restaurant 47</x:v>
      </x:c>
      <x:c r="E3184" t="str">
        <x:v>Canteen</x:v>
      </x:c>
      <x:c r="F3184" t="str">
        <x:v>Davanagere</x:v>
      </x:c>
      <x:c r="G3184" t="str">
        <x:v>Arjun</x:v>
      </x:c>
      <x:c r="H3184" t="str">
        <x:v>P048</x:v>
      </x:c>
      <x:c r="I3184" t="str">
        <x:v>Banana 10kg</x:v>
      </x:c>
      <x:c r="J3184" t="str">
        <x:v>Fresh Produce</x:v>
      </x:c>
      <x:c r="K3184" t="str">
        <x:v>Local Market</x:v>
      </x:c>
      <x:c r="L3184" s="22" t="n">
        <x:v>420</x:v>
      </x:c>
      <x:c r="M3184" t="n">
        <x:v>27</x:v>
      </x:c>
      <x:c r="N3184" s="24" t="n">
        <x:v>0.1</x:v>
      </x:c>
      <x:c r="O3184" s="22" t="n">
        <x:f>L3184*M3184</x:f>
        <x:v>11340</x:v>
      </x:c>
      <x:c r="P3184" s="22" t="n">
        <x:f>O3184*(1-N3184)</x:f>
        <x:v>10206</x:v>
      </x:c>
      <x:c r="Q3184" s="22" t="n">
        <x:v>350</x:v>
      </x:c>
      <x:c r="R3184" s="22" t="n">
        <x:f>Q3184*M3184</x:f>
        <x:v>9450</x:v>
      </x:c>
      <x:c r="S3184" s="22" t="n">
        <x:f>P3184-R3184</x:f>
        <x:v>756</x:v>
      </x:c>
      <x:c r="T3184" t="str">
        <x:v>Credit</x:v>
      </x:c>
      <x:c r="U3184" t="str">
        <x:v>Paid</x:v>
      </x:c>
      <x:c r="V3184" t="str">
        <x:v>Delivered</x:v>
      </x:c>
      <x:c r="W3184" t="n">
        <x:v>0</x:v>
      </x:c>
      <x:c r="X3184" t="str"/>
      <x:c r="Y3184" t="str">
        <x:v>Existing Customer</x:v>
      </x:c>
    </x:row>
    <x:row r="3185">
      <x:c r="A3185" t="str">
        <x:v>O003184</x:v>
      </x:c>
      <x:c r="B3185" s="20" t="n">
        <x:v>46195</x:v>
      </x:c>
      <x:c r="C3185" t="str">
        <x:v>C0023</x:v>
      </x:c>
      <x:c r="D3185" t="str">
        <x:v>Mysore Canteen 23</x:v>
      </x:c>
      <x:c r="E3185" t="str">
        <x:v>Cafe</x:v>
      </x:c>
      <x:c r="F3185" t="str">
        <x:v>Hubballi</x:v>
      </x:c>
      <x:c r="G3185" t="str">
        <x:v>Sneha</x:v>
      </x:c>
      <x:c r="H3185" t="str">
        <x:v>P001</x:v>
      </x:c>
      <x:c r="I3185" t="str">
        <x:v>Steam Rice 25kg</x:v>
      </x:c>
      <x:c r="J3185" t="str">
        <x:v>Staples</x:v>
      </x:c>
      <x:c r="K3185" t="str">
        <x:v>Aishwarya</x:v>
      </x:c>
      <x:c r="L3185" s="22" t="n">
        <x:v>1180</x:v>
      </x:c>
      <x:c r="M3185" t="n">
        <x:v>2</x:v>
      </x:c>
      <x:c r="N3185" s="24" t="n">
        <x:v>0.05</x:v>
      </x:c>
      <x:c r="O3185" s="22" t="n">
        <x:f>L3185*M3185</x:f>
        <x:v>2360</x:v>
      </x:c>
      <x:c r="P3185" s="22" t="n">
        <x:f>O3185*(1-N3185)</x:f>
        <x:v>2242</x:v>
      </x:c>
      <x:c r="Q3185" s="22" t="n">
        <x:v>1040</x:v>
      </x:c>
      <x:c r="R3185" s="22" t="n">
        <x:f>Q3185*M3185</x:f>
        <x:v>2080</x:v>
      </x:c>
      <x:c r="S3185" s="22" t="n">
        <x:f>P3185-R3185</x:f>
        <x:v>162</x:v>
      </x:c>
      <x:c r="T3185" t="str">
        <x:v>Credit</x:v>
      </x:c>
      <x:c r="U3185" t="str">
        <x:v>Pending</x:v>
      </x:c>
      <x:c r="V3185" t="str">
        <x:v>Delivered</x:v>
      </x:c>
      <x:c r="W3185" t="n">
        <x:v>0</x:v>
      </x:c>
      <x:c r="X3185" t="str"/>
      <x:c r="Y3185" t="str">
        <x:v>Existing Customer</x:v>
      </x:c>
    </x:row>
    <x:row r="3186">
      <x:c r="A3186" t="str">
        <x:v>O003185</x:v>
      </x:c>
      <x:c r="B3186" s="20" t="n">
        <x:v>46275</x:v>
      </x:c>
      <x:c r="C3186" t="str">
        <x:v>C0215</x:v>
      </x:c>
      <x:c r="D3186" t="str">
        <x:v>Annapurna Restaurant 215</x:v>
      </x:c>
      <x:c r="E3186" t="str">
        <x:v>Supermarket</x:v>
      </x:c>
      <x:c r="F3186" t="str">
        <x:v>Bengaluru</x:v>
      </x:c>
      <x:c r="G3186" t="str">
        <x:v>Vikram</x:v>
      </x:c>
      <x:c r="H3186" t="str">
        <x:v>P041</x:v>
      </x:c>
      <x:c r="I3186" t="str">
        <x:v>Burger Bun 6pc</x:v>
      </x:c>
      <x:c r="J3186" t="str">
        <x:v>Bakery</x:v>
      </x:c>
      <x:c r="K3186" t="str">
        <x:v>Modern</x:v>
      </x:c>
      <x:c r="L3186" s="22" t="n">
        <x:v>42</x:v>
      </x:c>
      <x:c r="M3186" t="n">
        <x:v>37</x:v>
      </x:c>
      <x:c r="N3186" s="24" t="n">
        <x:v>0.1</x:v>
      </x:c>
      <x:c r="O3186" s="22" t="n">
        <x:f>L3186*M3186</x:f>
        <x:v>1554</x:v>
      </x:c>
      <x:c r="P3186" s="22" t="n">
        <x:f>O3186*(1-N3186)</x:f>
        <x:v>1398.6000000000001</x:v>
      </x:c>
      <x:c r="Q3186" s="22" t="n">
        <x:v>32</x:v>
      </x:c>
      <x:c r="R3186" s="22" t="n">
        <x:f>Q3186*M3186</x:f>
        <x:v>1184</x:v>
      </x:c>
      <x:c r="S3186" s="22" t="n">
        <x:f>P3186-R3186</x:f>
        <x:v>214.60000000000014</x:v>
      </x:c>
      <x:c r="T3186" t="str">
        <x:v>Cash</x:v>
      </x:c>
      <x:c r="U3186" t="str">
        <x:v>Overdue</x:v>
      </x:c>
      <x:c r="V3186" t="str">
        <x:v>Delivered</x:v>
      </x:c>
      <x:c r="W3186" t="n">
        <x:v>0</x:v>
      </x:c>
      <x:c r="X3186" t="str"/>
      <x:c r="Y3186" t="str">
        <x:v>Outbound Call</x:v>
      </x:c>
    </x:row>
    <x:row r="3187">
      <x:c r="A3187" t="str">
        <x:v>O003186</x:v>
      </x:c>
      <x:c r="B3187" s="20" t="n">
        <x:v>46048</x:v>
      </x:c>
      <x:c r="C3187" t="str">
        <x:v>C0157</x:v>
      </x:c>
      <x:c r="D3187" t="str">
        <x:v>Fresh Canteen 157</x:v>
      </x:c>
      <x:c r="E3187" t="str">
        <x:v>Kirana</x:v>
      </x:c>
      <x:c r="F3187" t="str">
        <x:v>Mangaluru</x:v>
      </x:c>
      <x:c r="G3187" t="str">
        <x:v>Priya</x:v>
      </x:c>
      <x:c r="H3187" t="str">
        <x:v>P037</x:v>
      </x:c>
      <x:c r="I3187" t="str">
        <x:v>Frozen Peas 1kg</x:v>
      </x:c>
      <x:c r="J3187" t="str">
        <x:v>Frozen</x:v>
      </x:c>
      <x:c r="K3187" t="str">
        <x:v>Safal</x:v>
      </x:c>
      <x:c r="L3187" s="22" t="n">
        <x:v>155</x:v>
      </x:c>
      <x:c r="M3187" t="n">
        <x:v>30</x:v>
      </x:c>
      <x:c r="N3187" s="24" t="n">
        <x:v>0.05</x:v>
      </x:c>
      <x:c r="O3187" s="22" t="n">
        <x:f>L3187*M3187</x:f>
        <x:v>4650</x:v>
      </x:c>
      <x:c r="P3187" s="22" t="n">
        <x:f>O3187*(1-N3187)</x:f>
        <x:v>4417.5</x:v>
      </x:c>
      <x:c r="Q3187" s="22" t="n">
        <x:v>138</x:v>
      </x:c>
      <x:c r="R3187" s="22" t="n">
        <x:f>Q3187*M3187</x:f>
        <x:v>4140</x:v>
      </x:c>
      <x:c r="S3187" s="22" t="n">
        <x:f>P3187-R3187</x:f>
        <x:v>277.5</x:v>
      </x:c>
      <x:c r="T3187" t="str">
        <x:v>Credit</x:v>
      </x:c>
      <x:c r="U3187" t="str">
        <x:v>Paid</x:v>
      </x:c>
      <x:c r="V3187" t="str">
        <x:v>Delivered</x:v>
      </x:c>
      <x:c r="W3187" t="n">
        <x:v>0</x:v>
      </x:c>
      <x:c r="X3187" t="str"/>
      <x:c r="Y3187" t="str">
        <x:v>WhatsApp</x:v>
      </x:c>
    </x:row>
    <x:row r="3188">
      <x:c r="A3188" t="str">
        <x:v>O003187</x:v>
      </x:c>
      <x:c r="B3188" s="20" t="n">
        <x:v>45856</x:v>
      </x:c>
      <x:c r="C3188" t="str">
        <x:v>C0206</x:v>
      </x:c>
      <x:c r="D3188" t="str">
        <x:v>Grand Kitchen 206</x:v>
      </x:c>
      <x:c r="E3188" t="str">
        <x:v>Kirana</x:v>
      </x:c>
      <x:c r="F3188" t="str">
        <x:v>Mysuru</x:v>
      </x:c>
      <x:c r="G3188" t="str">
        <x:v>Arjun</x:v>
      </x:c>
      <x:c r="H3188" t="str">
        <x:v>P012</x:v>
      </x:c>
      <x:c r="I3188" t="str">
        <x:v>Maida 10kg</x:v>
      </x:c>
      <x:c r="J3188" t="str">
        <x:v>Flour</x:v>
      </x:c>
      <x:c r="K3188" t="str">
        <x:v>Aashirvaad</x:v>
      </x:c>
      <x:c r="L3188" s="22" t="n">
        <x:v>520</x:v>
      </x:c>
      <x:c r="M3188" t="n">
        <x:v>30</x:v>
      </x:c>
      <x:c r="N3188" s="24" t="n">
        <x:v>0</x:v>
      </x:c>
      <x:c r="O3188" s="22" t="n">
        <x:f>L3188*M3188</x:f>
        <x:v>15600</x:v>
      </x:c>
      <x:c r="P3188" s="22" t="n">
        <x:f>O3188*(1-N3188)</x:f>
        <x:v>15600</x:v>
      </x:c>
      <x:c r="Q3188" s="22" t="n">
        <x:v>460</x:v>
      </x:c>
      <x:c r="R3188" s="22" t="n">
        <x:f>Q3188*M3188</x:f>
        <x:v>13800</x:v>
      </x:c>
      <x:c r="S3188" s="22" t="n">
        <x:f>P3188-R3188</x:f>
        <x:v>1800</x:v>
      </x:c>
      <x:c r="T3188" t="str">
        <x:v>Cash</x:v>
      </x:c>
      <x:c r="U3188" t="str">
        <x:v>Paid</x:v>
      </x:c>
      <x:c r="V3188" t="str">
        <x:v>Delivered</x:v>
      </x:c>
      <x:c r="W3188" t="n">
        <x:v>4</x:v>
      </x:c>
      <x:c r="X3188" t="str">
        <x:v>Late Delivery</x:v>
      </x:c>
      <x:c r="Y3188" t="str">
        <x:v>Referral</x:v>
      </x:c>
    </x:row>
    <x:row r="3189">
      <x:c r="A3189" t="str">
        <x:v>O003188</x:v>
      </x:c>
      <x:c r="B3189" s="20" t="n">
        <x:v>46138</x:v>
      </x:c>
      <x:c r="C3189" t="str">
        <x:v>C0234</x:v>
      </x:c>
      <x:c r="D3189" t="str">
        <x:v>Metro Canteen 234</x:v>
      </x:c>
      <x:c r="E3189" t="str">
        <x:v>Restaurant</x:v>
      </x:c>
      <x:c r="F3189" t="str">
        <x:v>Davanagere</x:v>
      </x:c>
      <x:c r="G3189" t="str">
        <x:v>Priya</x:v>
      </x:c>
      <x:c r="H3189" t="str">
        <x:v>P024</x:v>
      </x:c>
      <x:c r="I3189" t="str">
        <x:v>Orange Drink 1L</x:v>
      </x:c>
      <x:c r="J3189" t="str">
        <x:v>Beverage</x:v>
      </x:c>
      <x:c r="K3189" t="str">
        <x:v>Minute Maid</x:v>
      </x:c>
      <x:c r="L3189" s="22" t="n">
        <x:v>105</x:v>
      </x:c>
      <x:c r="M3189" t="n">
        <x:v>7</x:v>
      </x:c>
      <x:c r="N3189" s="24" t="n">
        <x:v>0.05</x:v>
      </x:c>
      <x:c r="O3189" s="22" t="n">
        <x:f>L3189*M3189</x:f>
        <x:v>735</x:v>
      </x:c>
      <x:c r="P3189" s="22" t="n">
        <x:f>O3189*(1-N3189)</x:f>
        <x:v>698.25</x:v>
      </x:c>
      <x:c r="Q3189" s="22" t="n">
        <x:v>88</x:v>
      </x:c>
      <x:c r="R3189" s="22" t="n">
        <x:f>Q3189*M3189</x:f>
        <x:v>616</x:v>
      </x:c>
      <x:c r="S3189" s="22" t="n">
        <x:f>P3189-R3189</x:f>
        <x:v>82.25</x:v>
      </x:c>
      <x:c r="T3189" t="str">
        <x:v>Cash</x:v>
      </x:c>
      <x:c r="U3189" t="str">
        <x:v>Paid</x:v>
      </x:c>
      <x:c r="V3189" t="str">
        <x:v>Cancelled</x:v>
      </x:c>
      <x:c r="W3189" t="n">
        <x:v>7</x:v>
      </x:c>
      <x:c r="X3189" t="str">
        <x:v>Cancelled Order</x:v>
      </x:c>
      <x:c r="Y3189" t="str">
        <x:v>WhatsApp</x:v>
      </x:c>
    </x:row>
    <x:row r="3190">
      <x:c r="A3190" t="str">
        <x:v>O003189</x:v>
      </x:c>
      <x:c r="B3190" s="20" t="n">
        <x:v>46158</x:v>
      </x:c>
      <x:c r="C3190" t="str">
        <x:v>C0041</x:v>
      </x:c>
      <x:c r="D3190" t="str">
        <x:v>Grand Mart 41</x:v>
      </x:c>
      <x:c r="E3190" t="str">
        <x:v>Cafe</x:v>
      </x:c>
      <x:c r="F3190" t="str">
        <x:v>Bengaluru</x:v>
      </x:c>
      <x:c r="G3190" t="str">
        <x:v>Kavya</x:v>
      </x:c>
      <x:c r="H3190" t="str">
        <x:v>P050</x:v>
      </x:c>
      <x:c r="I3190" t="str">
        <x:v>Lemon 5kg</x:v>
      </x:c>
      <x:c r="J3190" t="str">
        <x:v>Fresh Produce</x:v>
      </x:c>
      <x:c r="K3190" t="str">
        <x:v>Local Market</x:v>
      </x:c>
      <x:c r="L3190" s="22" t="n">
        <x:v>360</x:v>
      </x:c>
      <x:c r="M3190" t="n">
        <x:v>30</x:v>
      </x:c>
      <x:c r="N3190" s="24" t="n">
        <x:v>0</x:v>
      </x:c>
      <x:c r="O3190" s="22" t="n">
        <x:f>L3190*M3190</x:f>
        <x:v>10800</x:v>
      </x:c>
      <x:c r="P3190" s="22" t="n">
        <x:f>O3190*(1-N3190)</x:f>
        <x:v>10800</x:v>
      </x:c>
      <x:c r="Q3190" s="22" t="n">
        <x:v>300</x:v>
      </x:c>
      <x:c r="R3190" s="22" t="n">
        <x:f>Q3190*M3190</x:f>
        <x:v>9000</x:v>
      </x:c>
      <x:c r="S3190" s="22" t="n">
        <x:f>P3190-R3190</x:f>
        <x:v>1800</x:v>
      </x:c>
      <x:c r="T3190" t="str">
        <x:v>UPI</x:v>
      </x:c>
      <x:c r="U3190" t="str">
        <x:v>Paid</x:v>
      </x:c>
      <x:c r="V3190" t="str">
        <x:v>Delivered</x:v>
      </x:c>
      <x:c r="W3190" t="n">
        <x:v>0</x:v>
      </x:c>
      <x:c r="X3190" t="str"/>
      <x:c r="Y3190" t="str">
        <x:v>Outbound Call</x:v>
      </x:c>
    </x:row>
    <x:row r="3191">
      <x:c r="A3191" t="str">
        <x:v>O003190</x:v>
      </x:c>
      <x:c r="B3191" s="20" t="n">
        <x:v>46169</x:v>
      </x:c>
      <x:c r="C3191" t="str">
        <x:v>C0120</x:v>
      </x:c>
      <x:c r="D3191" t="str">
        <x:v>Foodie Foods 120</x:v>
      </x:c>
      <x:c r="E3191" t="str">
        <x:v>Hotel</x:v>
      </x:c>
      <x:c r="F3191" t="str">
        <x:v>Hubballi</x:v>
      </x:c>
      <x:c r="G3191" t="str">
        <x:v>Arjun</x:v>
      </x:c>
      <x:c r="H3191" t="str">
        <x:v>P044</x:v>
      </x:c>
      <x:c r="I3191" t="str">
        <x:v>Chicken Curry Cut 1kg</x:v>
      </x:c>
      <x:c r="J3191" t="str">
        <x:v>Protein</x:v>
      </x:c>
      <x:c r="K3191" t="str">
        <x:v>FreshToHome</x:v>
      </x:c>
      <x:c r="L3191" s="22" t="n">
        <x:v>230</x:v>
      </x:c>
      <x:c r="M3191" t="n">
        <x:v>14</x:v>
      </x:c>
      <x:c r="N3191" s="24" t="n">
        <x:v>0.05</x:v>
      </x:c>
      <x:c r="O3191" s="22" t="n">
        <x:f>L3191*M3191</x:f>
        <x:v>3220</x:v>
      </x:c>
      <x:c r="P3191" s="22" t="n">
        <x:f>O3191*(1-N3191)</x:f>
        <x:v>3059</x:v>
      </x:c>
      <x:c r="Q3191" s="22" t="n">
        <x:v>205</x:v>
      </x:c>
      <x:c r="R3191" s="22" t="n">
        <x:f>Q3191*M3191</x:f>
        <x:v>2870</x:v>
      </x:c>
      <x:c r="S3191" s="22" t="n">
        <x:f>P3191-R3191</x:f>
        <x:v>189</x:v>
      </x:c>
      <x:c r="T3191" t="str">
        <x:v>Bank Transfer</x:v>
      </x:c>
      <x:c r="U3191" t="str">
        <x:v>Pending</x:v>
      </x:c>
      <x:c r="V3191" t="str">
        <x:v>Delivered</x:v>
      </x:c>
      <x:c r="W3191" t="n">
        <x:v>4</x:v>
      </x:c>
      <x:c r="X3191" t="str">
        <x:v>Quality Issue</x:v>
      </x:c>
      <x:c r="Y3191" t="str">
        <x:v>WhatsApp</x:v>
      </x:c>
    </x:row>
    <x:row r="3192">
      <x:c r="A3192" t="str">
        <x:v>O003191</x:v>
      </x:c>
      <x:c r="B3192" s="20" t="n">
        <x:v>46221</x:v>
      </x:c>
      <x:c r="C3192" t="str">
        <x:v>C0177</x:v>
      </x:c>
      <x:c r="D3192" t="str">
        <x:v>Classic Cafe 177</x:v>
      </x:c>
      <x:c r="E3192" t="str">
        <x:v>Supermarket</x:v>
      </x:c>
      <x:c r="F3192" t="str">
        <x:v>Bengaluru</x:v>
      </x:c>
      <x:c r="G3192" t="str">
        <x:v>Arjun</x:v>
      </x:c>
      <x:c r="H3192" t="str">
        <x:v>P035</x:v>
      </x:c>
      <x:c r="I3192" t="str">
        <x:v>Coriander Powder 1kg</x:v>
      </x:c>
      <x:c r="J3192" t="str">
        <x:v>Spices</x:v>
      </x:c>
      <x:c r="K3192" t="str">
        <x:v>Everest</x:v>
      </x:c>
      <x:c r="L3192" s="22" t="n">
        <x:v>280</x:v>
      </x:c>
      <x:c r="M3192" t="n">
        <x:v>27</x:v>
      </x:c>
      <x:c r="N3192" s="24" t="n">
        <x:v>0.05</x:v>
      </x:c>
      <x:c r="O3192" s="22" t="n">
        <x:f>L3192*M3192</x:f>
        <x:v>7560</x:v>
      </x:c>
      <x:c r="P3192" s="22" t="n">
        <x:f>O3192*(1-N3192)</x:f>
        <x:v>7182</x:v>
      </x:c>
      <x:c r="Q3192" s="22" t="n">
        <x:v>245</x:v>
      </x:c>
      <x:c r="R3192" s="22" t="n">
        <x:f>Q3192*M3192</x:f>
        <x:v>6615</x:v>
      </x:c>
      <x:c r="S3192" s="22" t="n">
        <x:f>P3192-R3192</x:f>
        <x:v>567</x:v>
      </x:c>
      <x:c r="T3192" t="str">
        <x:v>UPI</x:v>
      </x:c>
      <x:c r="U3192" t="str">
        <x:v>Overdue</x:v>
      </x:c>
      <x:c r="V3192" t="str">
        <x:v>Delayed</x:v>
      </x:c>
      <x:c r="W3192" t="n">
        <x:v>0</x:v>
      </x:c>
      <x:c r="X3192" t="str"/>
      <x:c r="Y3192" t="str">
        <x:v>Field Visit</x:v>
      </x:c>
    </x:row>
    <x:row r="3193">
      <x:c r="A3193" t="str">
        <x:v>O003192</x:v>
      </x:c>
      <x:c r="B3193" s="20" t="n">
        <x:v>46013</x:v>
      </x:c>
      <x:c r="C3193" t="str">
        <x:v>C0122</x:v>
      </x:c>
      <x:c r="D3193" t="str">
        <x:v>Namma Restaurant 122</x:v>
      </x:c>
      <x:c r="E3193" t="str">
        <x:v>Kirana</x:v>
      </x:c>
      <x:c r="F3193" t="str">
        <x:v>Hubballi</x:v>
      </x:c>
      <x:c r="G3193" t="str">
        <x:v>Sneha</x:v>
      </x:c>
      <x:c r="H3193" t="str">
        <x:v>P013</x:v>
      </x:c>
      <x:c r="I3193" t="str">
        <x:v>Atta 10kg</x:v>
      </x:c>
      <x:c r="J3193" t="str">
        <x:v>Flour</x:v>
      </x:c>
      <x:c r="K3193" t="str">
        <x:v>Aashirvaad</x:v>
      </x:c>
      <x:c r="L3193" s="22" t="n">
        <x:v>560</x:v>
      </x:c>
      <x:c r="M3193" t="n">
        <x:v>33</x:v>
      </x:c>
      <x:c r="N3193" s="24" t="n">
        <x:v>0.02</x:v>
      </x:c>
      <x:c r="O3193" s="22" t="n">
        <x:f>L3193*M3193</x:f>
        <x:v>18480</x:v>
      </x:c>
      <x:c r="P3193" s="22" t="n">
        <x:f>O3193*(1-N3193)</x:f>
        <x:v>18110.4</x:v>
      </x:c>
      <x:c r="Q3193" s="22" t="n">
        <x:v>495</x:v>
      </x:c>
      <x:c r="R3193" s="22" t="n">
        <x:f>Q3193*M3193</x:f>
        <x:v>16335</x:v>
      </x:c>
      <x:c r="S3193" s="22" t="n">
        <x:f>P3193-R3193</x:f>
        <x:v>1775.4000000000015</x:v>
      </x:c>
      <x:c r="T3193" t="str">
        <x:v>Credit</x:v>
      </x:c>
      <x:c r="U3193" t="str">
        <x:v>Pending</x:v>
      </x:c>
      <x:c r="V3193" t="str">
        <x:v>Delayed</x:v>
      </x:c>
      <x:c r="W3193" t="n">
        <x:v>0</x:v>
      </x:c>
      <x:c r="X3193" t="str"/>
      <x:c r="Y3193" t="str">
        <x:v>Field Visit</x:v>
      </x:c>
    </x:row>
    <x:row r="3194">
      <x:c r="A3194" t="str">
        <x:v>O003193</x:v>
      </x:c>
      <x:c r="B3194" s="20" t="n">
        <x:v>45857</x:v>
      </x:c>
      <x:c r="C3194" t="str">
        <x:v>C0243</x:v>
      </x:c>
      <x:c r="D3194" t="str">
        <x:v>Metro Kitchen 243</x:v>
      </x:c>
      <x:c r="E3194" t="str">
        <x:v>Restaurant</x:v>
      </x:c>
      <x:c r="F3194" t="str">
        <x:v>Mangaluru</x:v>
      </x:c>
      <x:c r="G3194" t="str">
        <x:v>Kavya</x:v>
      </x:c>
      <x:c r="H3194" t="str">
        <x:v>P045</x:v>
      </x:c>
      <x:c r="I3194" t="str">
        <x:v>Onion 25kg</x:v>
      </x:c>
      <x:c r="J3194" t="str">
        <x:v>Fresh Produce</x:v>
      </x:c>
      <x:c r="K3194" t="str">
        <x:v>Local Market</x:v>
      </x:c>
      <x:c r="L3194" s="22" t="n">
        <x:v>875</x:v>
      </x:c>
      <x:c r="M3194" t="n">
        <x:v>27</x:v>
      </x:c>
      <x:c r="N3194" s="24" t="n">
        <x:v>0.02</x:v>
      </x:c>
      <x:c r="O3194" s="22" t="n">
        <x:f>L3194*M3194</x:f>
        <x:v>23625</x:v>
      </x:c>
      <x:c r="P3194" s="22" t="n">
        <x:f>O3194*(1-N3194)</x:f>
        <x:v>23152.5</x:v>
      </x:c>
      <x:c r="Q3194" s="22" t="n">
        <x:v>760</x:v>
      </x:c>
      <x:c r="R3194" s="22" t="n">
        <x:f>Q3194*M3194</x:f>
        <x:v>20520</x:v>
      </x:c>
      <x:c r="S3194" s="22" t="n">
        <x:f>P3194-R3194</x:f>
        <x:v>2632.5</x:v>
      </x:c>
      <x:c r="T3194" t="str">
        <x:v>Credit</x:v>
      </x:c>
      <x:c r="U3194" t="str">
        <x:v>Paid</x:v>
      </x:c>
      <x:c r="V3194" t="str">
        <x:v>Delivered</x:v>
      </x:c>
      <x:c r="W3194" t="n">
        <x:v>0</x:v>
      </x:c>
      <x:c r="X3194" t="str"/>
      <x:c r="Y3194" t="str">
        <x:v>WhatsApp</x:v>
      </x:c>
    </x:row>
    <x:row r="3195">
      <x:c r="A3195" t="str">
        <x:v>O003194</x:v>
      </x:c>
      <x:c r="B3195" s="20" t="n">
        <x:v>46092</x:v>
      </x:c>
      <x:c r="C3195" t="str">
        <x:v>C0127</x:v>
      </x:c>
      <x:c r="D3195" t="str">
        <x:v>Grand Mart 127</x:v>
      </x:c>
      <x:c r="E3195" t="str">
        <x:v>Canteen</x:v>
      </x:c>
      <x:c r="F3195" t="str">
        <x:v>Hubballi</x:v>
      </x:c>
      <x:c r="G3195" t="str">
        <x:v>Imran</x:v>
      </x:c>
      <x:c r="H3195" t="str">
        <x:v>P043</x:v>
      </x:c>
      <x:c r="I3195" t="str">
        <x:v>Chicken Breast 1kg</x:v>
      </x:c>
      <x:c r="J3195" t="str">
        <x:v>Protein</x:v>
      </x:c>
      <x:c r="K3195" t="str">
        <x:v>FreshToHome</x:v>
      </x:c>
      <x:c r="L3195" s="22" t="n">
        <x:v>260</x:v>
      </x:c>
      <x:c r="M3195" t="n">
        <x:v>23</x:v>
      </x:c>
      <x:c r="N3195" s="24" t="n">
        <x:v>0.03</x:v>
      </x:c>
      <x:c r="O3195" s="22" t="n">
        <x:f>L3195*M3195</x:f>
        <x:v>5980</x:v>
      </x:c>
      <x:c r="P3195" s="22" t="n">
        <x:f>O3195*(1-N3195)</x:f>
        <x:v>5800.599999999999</x:v>
      </x:c>
      <x:c r="Q3195" s="22" t="n">
        <x:v>235</x:v>
      </x:c>
      <x:c r="R3195" s="22" t="n">
        <x:f>Q3195*M3195</x:f>
        <x:v>5405</x:v>
      </x:c>
      <x:c r="S3195" s="22" t="n">
        <x:f>P3195-R3195</x:f>
        <x:v>395.59999999999945</x:v>
      </x:c>
      <x:c r="T3195" t="str">
        <x:v>Cash</x:v>
      </x:c>
      <x:c r="U3195" t="str">
        <x:v>Pending</x:v>
      </x:c>
      <x:c r="V3195" t="str">
        <x:v>Delayed</x:v>
      </x:c>
      <x:c r="W3195" t="n">
        <x:v>0</x:v>
      </x:c>
      <x:c r="X3195" t="str"/>
      <x:c r="Y3195" t="str">
        <x:v>WhatsApp</x:v>
      </x:c>
    </x:row>
    <x:row r="3196">
      <x:c r="A3196" t="str">
        <x:v>O003195</x:v>
      </x:c>
      <x:c r="B3196" s="20" t="n">
        <x:v>45923</x:v>
      </x:c>
      <x:c r="C3196" t="str">
        <x:v>C0100</x:v>
      </x:c>
      <x:c r="D3196" t="str">
        <x:v>Fresh Mart 100</x:v>
      </x:c>
      <x:c r="E3196" t="str">
        <x:v>Restaurant</x:v>
      </x:c>
      <x:c r="F3196" t="str">
        <x:v>Mysuru</x:v>
      </x:c>
      <x:c r="G3196" t="str">
        <x:v>Imran</x:v>
      </x:c>
      <x:c r="H3196" t="str">
        <x:v>P025</x:v>
      </x:c>
      <x:c r="I3196" t="str">
        <x:v>Potato Chips 100g</x:v>
      </x:c>
      <x:c r="J3196" t="str">
        <x:v>Snacks</x:v>
      </x:c>
      <x:c r="K3196" t="str">
        <x:v>Lay's</x:v>
      </x:c>
      <x:c r="L3196" s="22" t="n">
        <x:v>35</x:v>
      </x:c>
      <x:c r="M3196" t="n">
        <x:v>38</x:v>
      </x:c>
      <x:c r="N3196" s="24" t="n">
        <x:v>0.05</x:v>
      </x:c>
      <x:c r="O3196" s="22" t="n">
        <x:f>L3196*M3196</x:f>
        <x:v>1330</x:v>
      </x:c>
      <x:c r="P3196" s="22" t="n">
        <x:f>O3196*(1-N3196)</x:f>
        <x:v>1263.5</x:v>
      </x:c>
      <x:c r="Q3196" s="22" t="n">
        <x:v>27</x:v>
      </x:c>
      <x:c r="R3196" s="22" t="n">
        <x:f>Q3196*M3196</x:f>
        <x:v>1026</x:v>
      </x:c>
      <x:c r="S3196" s="22" t="n">
        <x:f>P3196-R3196</x:f>
        <x:v>237.5</x:v>
      </x:c>
      <x:c r="T3196" t="str">
        <x:v>Credit</x:v>
      </x:c>
      <x:c r="U3196" t="str">
        <x:v>Pending</x:v>
      </x:c>
      <x:c r="V3196" t="str">
        <x:v>Delivered</x:v>
      </x:c>
      <x:c r="W3196" t="n">
        <x:v>0</x:v>
      </x:c>
      <x:c r="X3196" t="str"/>
      <x:c r="Y3196" t="str">
        <x:v>Referral</x:v>
      </x:c>
    </x:row>
    <x:row r="3197">
      <x:c r="A3197" t="str">
        <x:v>O003196</x:v>
      </x:c>
      <x:c r="B3197" s="20" t="n">
        <x:v>45985</x:v>
      </x:c>
      <x:c r="C3197" t="str">
        <x:v>C0114</x:v>
      </x:c>
      <x:c r="D3197" t="str">
        <x:v>Annapurna Restaurant 114</x:v>
      </x:c>
      <x:c r="E3197" t="str">
        <x:v>Restaurant</x:v>
      </x:c>
      <x:c r="F3197" t="str">
        <x:v>Davanagere</x:v>
      </x:c>
      <x:c r="G3197" t="str">
        <x:v>Arjun</x:v>
      </x:c>
      <x:c r="H3197" t="str">
        <x:v>P017</x:v>
      </x:c>
      <x:c r="I3197" t="str">
        <x:v>Butter 500g</x:v>
      </x:c>
      <x:c r="J3197" t="str">
        <x:v>Dairy</x:v>
      </x:c>
      <x:c r="K3197" t="str">
        <x:v>Amul</x:v>
      </x:c>
      <x:c r="L3197" s="22" t="n">
        <x:v>285</x:v>
      </x:c>
      <x:c r="M3197" t="n">
        <x:v>3</x:v>
      </x:c>
      <x:c r="N3197" s="24" t="n">
        <x:v>0.05</x:v>
      </x:c>
      <x:c r="O3197" s="22" t="n">
        <x:f>L3197*M3197</x:f>
        <x:v>855</x:v>
      </x:c>
      <x:c r="P3197" s="22" t="n">
        <x:f>O3197*(1-N3197)</x:f>
        <x:v>812.25</x:v>
      </x:c>
      <x:c r="Q3197" s="22" t="n">
        <x:v>258</x:v>
      </x:c>
      <x:c r="R3197" s="22" t="n">
        <x:f>Q3197*M3197</x:f>
        <x:v>774</x:v>
      </x:c>
      <x:c r="S3197" s="22" t="n">
        <x:f>P3197-R3197</x:f>
        <x:v>38.25</x:v>
      </x:c>
      <x:c r="T3197" t="str">
        <x:v>Bank Transfer</x:v>
      </x:c>
      <x:c r="U3197" t="str">
        <x:v>Paid</x:v>
      </x:c>
      <x:c r="V3197" t="str">
        <x:v>Delivered</x:v>
      </x:c>
      <x:c r="W3197" t="n">
        <x:v>0</x:v>
      </x:c>
      <x:c r="X3197" t="str"/>
      <x:c r="Y3197" t="str">
        <x:v>WhatsApp</x:v>
      </x:c>
    </x:row>
    <x:row r="3198">
      <x:c r="A3198" t="str">
        <x:v>O003197</x:v>
      </x:c>
      <x:c r="B3198" s="20" t="n">
        <x:v>46230</x:v>
      </x:c>
      <x:c r="C3198" t="str">
        <x:v>C0166</x:v>
      </x:c>
      <x:c r="D3198" t="str">
        <x:v>Mysore Foods 166</x:v>
      </x:c>
      <x:c r="E3198" t="str">
        <x:v>Cafe</x:v>
      </x:c>
      <x:c r="F3198" t="str">
        <x:v>Mangaluru</x:v>
      </x:c>
      <x:c r="G3198" t="str">
        <x:v>Arjun</x:v>
      </x:c>
      <x:c r="H3198" t="str">
        <x:v>P001</x:v>
      </x:c>
      <x:c r="I3198" t="str">
        <x:v>Steam Rice 25kg</x:v>
      </x:c>
      <x:c r="J3198" t="str">
        <x:v>Staples</x:v>
      </x:c>
      <x:c r="K3198" t="str">
        <x:v>Aishwarya</x:v>
      </x:c>
      <x:c r="L3198" s="22" t="n">
        <x:v>1180</x:v>
      </x:c>
      <x:c r="M3198" t="n">
        <x:v>11</x:v>
      </x:c>
      <x:c r="N3198" s="24" t="n">
        <x:v>0.05</x:v>
      </x:c>
      <x:c r="O3198" s="22" t="n">
        <x:f>L3198*M3198</x:f>
        <x:v>12980</x:v>
      </x:c>
      <x:c r="P3198" s="22" t="n">
        <x:f>O3198*(1-N3198)</x:f>
        <x:v>12331</x:v>
      </x:c>
      <x:c r="Q3198" s="22" t="n">
        <x:v>1040</x:v>
      </x:c>
      <x:c r="R3198" s="22" t="n">
        <x:f>Q3198*M3198</x:f>
        <x:v>11440</x:v>
      </x:c>
      <x:c r="S3198" s="22" t="n">
        <x:f>P3198-R3198</x:f>
        <x:v>891</x:v>
      </x:c>
      <x:c r="T3198" t="str">
        <x:v>Credit</x:v>
      </x:c>
      <x:c r="U3198" t="str">
        <x:v>Paid</x:v>
      </x:c>
      <x:c r="V3198" t="str">
        <x:v>Delivered</x:v>
      </x:c>
      <x:c r="W3198" t="n">
        <x:v>0</x:v>
      </x:c>
      <x:c r="X3198" t="str"/>
      <x:c r="Y3198" t="str">
        <x:v>Field Visit</x:v>
      </x:c>
    </x:row>
    <x:row r="3199">
      <x:c r="A3199" t="str">
        <x:v>O003198</x:v>
      </x:c>
      <x:c r="B3199" s="20" t="n">
        <x:v>46109</x:v>
      </x:c>
      <x:c r="C3199" t="str">
        <x:v>C0007</x:v>
      </x:c>
      <x:c r="D3199" t="str">
        <x:v>Mysore Stores 7</x:v>
      </x:c>
      <x:c r="E3199" t="str">
        <x:v>Kirana</x:v>
      </x:c>
      <x:c r="F3199" t="str">
        <x:v>Bengaluru</x:v>
      </x:c>
      <x:c r="G3199" t="str">
        <x:v>Kavya</x:v>
      </x:c>
      <x:c r="H3199" t="str">
        <x:v>P016</x:v>
      </x:c>
      <x:c r="I3199" t="str">
        <x:v>Curd 1kg</x:v>
      </x:c>
      <x:c r="J3199" t="str">
        <x:v>Dairy</x:v>
      </x:c>
      <x:c r="K3199" t="str">
        <x:v>Nandini</x:v>
      </x:c>
      <x:c r="L3199" s="22" t="n">
        <x:v>72</x:v>
      </x:c>
      <x:c r="M3199" t="n">
        <x:v>23</x:v>
      </x:c>
      <x:c r="N3199" s="24" t="n">
        <x:v>0.02</x:v>
      </x:c>
      <x:c r="O3199" s="22" t="n">
        <x:f>L3199*M3199</x:f>
        <x:v>1656</x:v>
      </x:c>
      <x:c r="P3199" s="22" t="n">
        <x:f>O3199*(1-N3199)</x:f>
        <x:v>1622.8799999999999</x:v>
      </x:c>
      <x:c r="Q3199" s="22" t="n">
        <x:v>64</x:v>
      </x:c>
      <x:c r="R3199" s="22" t="n">
        <x:f>Q3199*M3199</x:f>
        <x:v>1472</x:v>
      </x:c>
      <x:c r="S3199" s="22" t="n">
        <x:f>P3199-R3199</x:f>
        <x:v>150.87999999999988</x:v>
      </x:c>
      <x:c r="T3199" t="str">
        <x:v>UPI</x:v>
      </x:c>
      <x:c r="U3199" t="str">
        <x:v>Pending</x:v>
      </x:c>
      <x:c r="V3199" t="str">
        <x:v>Delivered</x:v>
      </x:c>
      <x:c r="W3199" t="n">
        <x:v>0</x:v>
      </x:c>
      <x:c r="X3199" t="str"/>
      <x:c r="Y3199" t="str">
        <x:v>Field Visit</x:v>
      </x:c>
    </x:row>
    <x:row r="3200">
      <x:c r="A3200" t="str">
        <x:v>O003199</x:v>
      </x:c>
      <x:c r="B3200" s="20" t="n">
        <x:v>46204</x:v>
      </x:c>
      <x:c r="C3200" t="str">
        <x:v>C0056</x:v>
      </x:c>
      <x:c r="D3200" t="str">
        <x:v>City Stores 56</x:v>
      </x:c>
      <x:c r="E3200" t="str">
        <x:v>Canteen</x:v>
      </x:c>
      <x:c r="F3200" t="str">
        <x:v>Davanagere</x:v>
      </x:c>
      <x:c r="G3200" t="str">
        <x:v>Imran</x:v>
      </x:c>
      <x:c r="H3200" t="str">
        <x:v>P013</x:v>
      </x:c>
      <x:c r="I3200" t="str">
        <x:v>Atta 10kg</x:v>
      </x:c>
      <x:c r="J3200" t="str">
        <x:v>Flour</x:v>
      </x:c>
      <x:c r="K3200" t="str">
        <x:v>Aashirvaad</x:v>
      </x:c>
      <x:c r="L3200" s="22" t="n">
        <x:v>560</x:v>
      </x:c>
      <x:c r="M3200" t="n">
        <x:v>24</x:v>
      </x:c>
      <x:c r="N3200" s="24" t="n">
        <x:v>0.08</x:v>
      </x:c>
      <x:c r="O3200" s="22" t="n">
        <x:f>L3200*M3200</x:f>
        <x:v>13440</x:v>
      </x:c>
      <x:c r="P3200" s="22" t="n">
        <x:f>O3200*(1-N3200)</x:f>
        <x:v>12364.800000000001</x:v>
      </x:c>
      <x:c r="Q3200" s="22" t="n">
        <x:v>495</x:v>
      </x:c>
      <x:c r="R3200" s="22" t="n">
        <x:f>Q3200*M3200</x:f>
        <x:v>11880</x:v>
      </x:c>
      <x:c r="S3200" s="22" t="n">
        <x:f>P3200-R3200</x:f>
        <x:v>484.8000000000011</x:v>
      </x:c>
      <x:c r="T3200" t="str">
        <x:v>Bank Transfer</x:v>
      </x:c>
      <x:c r="U3200" t="str">
        <x:v>Paid</x:v>
      </x:c>
      <x:c r="V3200" t="str">
        <x:v>Delayed</x:v>
      </x:c>
      <x:c r="W3200" t="n">
        <x:v>0</x:v>
      </x:c>
      <x:c r="X3200" t="str"/>
      <x:c r="Y3200" t="str">
        <x:v>Outbound Call</x:v>
      </x:c>
    </x:row>
    <x:row r="3201">
      <x:c r="A3201" t="str">
        <x:v>O003200</x:v>
      </x:c>
      <x:c r="B3201" s="20" t="n">
        <x:v>45968</x:v>
      </x:c>
      <x:c r="C3201" t="str">
        <x:v>C0154</x:v>
      </x:c>
      <x:c r="D3201" t="str">
        <x:v>Royal Restaurant 154</x:v>
      </x:c>
      <x:c r="E3201" t="str">
        <x:v>Restaurant</x:v>
      </x:c>
      <x:c r="F3201" t="str">
        <x:v>Tumakuru</x:v>
      </x:c>
      <x:c r="G3201" t="str">
        <x:v>Kavya</x:v>
      </x:c>
      <x:c r="H3201" t="str">
        <x:v>P025</x:v>
      </x:c>
      <x:c r="I3201" t="str">
        <x:v>Potato Chips 100g</x:v>
      </x:c>
      <x:c r="J3201" t="str">
        <x:v>Snacks</x:v>
      </x:c>
      <x:c r="K3201" t="str">
        <x:v>Lay's</x:v>
      </x:c>
      <x:c r="L3201" s="22" t="n">
        <x:v>35</x:v>
      </x:c>
      <x:c r="M3201" t="n">
        <x:v>34</x:v>
      </x:c>
      <x:c r="N3201" s="24" t="n">
        <x:v>0</x:v>
      </x:c>
      <x:c r="O3201" s="22" t="n">
        <x:f>L3201*M3201</x:f>
        <x:v>1190</x:v>
      </x:c>
      <x:c r="P3201" s="22" t="n">
        <x:f>O3201*(1-N3201)</x:f>
        <x:v>1190</x:v>
      </x:c>
      <x:c r="Q3201" s="22" t="n">
        <x:v>27</x:v>
      </x:c>
      <x:c r="R3201" s="22" t="n">
        <x:f>Q3201*M3201</x:f>
        <x:v>918</x:v>
      </x:c>
      <x:c r="S3201" s="22" t="n">
        <x:f>P3201-R3201</x:f>
        <x:v>272</x:v>
      </x:c>
      <x:c r="T3201" t="str">
        <x:v>Cash</x:v>
      </x:c>
      <x:c r="U3201" t="str">
        <x:v>Pending</x:v>
      </x:c>
      <x:c r="V3201" t="str">
        <x:v>Delivered</x:v>
      </x:c>
      <x:c r="W3201" t="n">
        <x:v>0</x:v>
      </x:c>
      <x:c r="X3201" t="str"/>
      <x:c r="Y3201" t="str">
        <x:v>WhatsApp</x:v>
      </x:c>
    </x:row>
    <x:row r="3202">
      <x:c r="A3202" t="str">
        <x:v>O003201</x:v>
      </x:c>
      <x:c r="B3202" s="20" t="n">
        <x:v>45747</x:v>
      </x:c>
      <x:c r="C3202" t="str">
        <x:v>C0248</x:v>
      </x:c>
      <x:c r="D3202" t="str">
        <x:v>Royal Restaurant 248</x:v>
      </x:c>
      <x:c r="E3202" t="str">
        <x:v>Canteen</x:v>
      </x:c>
      <x:c r="F3202" t="str">
        <x:v>Mysuru</x:v>
      </x:c>
      <x:c r="G3202" t="str">
        <x:v>Priya</x:v>
      </x:c>
      <x:c r="H3202" t="str">
        <x:v>P018</x:v>
      </x:c>
      <x:c r="I3202" t="str">
        <x:v>Paneer 1kg</x:v>
      </x:c>
      <x:c r="J3202" t="str">
        <x:v>Dairy</x:v>
      </x:c>
      <x:c r="K3202" t="str">
        <x:v>Milky Mist</x:v>
      </x:c>
      <x:c r="L3202" s="22" t="n">
        <x:v>410</x:v>
      </x:c>
      <x:c r="M3202" t="n">
        <x:v>23</x:v>
      </x:c>
      <x:c r="N3202" s="24" t="n">
        <x:v>0</x:v>
      </x:c>
      <x:c r="O3202" s="22" t="n">
        <x:f>L3202*M3202</x:f>
        <x:v>9430</x:v>
      </x:c>
      <x:c r="P3202" s="22" t="n">
        <x:f>O3202*(1-N3202)</x:f>
        <x:v>9430</x:v>
      </x:c>
      <x:c r="Q3202" s="22" t="n">
        <x:v>370</x:v>
      </x:c>
      <x:c r="R3202" s="22" t="n">
        <x:f>Q3202*M3202</x:f>
        <x:v>8510</x:v>
      </x:c>
      <x:c r="S3202" s="22" t="n">
        <x:f>P3202-R3202</x:f>
        <x:v>920</x:v>
      </x:c>
      <x:c r="T3202" t="str">
        <x:v>Credit</x:v>
      </x:c>
      <x:c r="U3202" t="str">
        <x:v>Paid</x:v>
      </x:c>
      <x:c r="V3202" t="str">
        <x:v>Cancelled</x:v>
      </x:c>
      <x:c r="W3202" t="n">
        <x:v>23</x:v>
      </x:c>
      <x:c r="X3202" t="str">
        <x:v>Cancelled Order</x:v>
      </x:c>
      <x:c r="Y3202" t="str">
        <x:v>Field Visit</x:v>
      </x:c>
    </x:row>
    <x:row r="3203">
      <x:c r="A3203" t="str">
        <x:v>O003202</x:v>
      </x:c>
      <x:c r="B3203" s="20" t="n">
        <x:v>45704</x:v>
      </x:c>
      <x:c r="C3203" t="str">
        <x:v>C0081</x:v>
      </x:c>
      <x:c r="D3203" t="str">
        <x:v>Foodie Mart 81</x:v>
      </x:c>
      <x:c r="E3203" t="str">
        <x:v>Supermarket</x:v>
      </x:c>
      <x:c r="F3203" t="str">
        <x:v>Hubballi</x:v>
      </x:c>
      <x:c r="G3203" t="str">
        <x:v>Kavya</x:v>
      </x:c>
      <x:c r="H3203" t="str">
        <x:v>P007</x:v>
      </x:c>
      <x:c r="I3203" t="str">
        <x:v>Sunflower Oil 15L</x:v>
      </x:c>
      <x:c r="J3203" t="str">
        <x:v>Edible Oil</x:v>
      </x:c>
      <x:c r="K3203" t="str">
        <x:v>Fortune</x:v>
      </x:c>
      <x:c r="L3203" s="22" t="n">
        <x:v>1980</x:v>
      </x:c>
      <x:c r="M3203" t="n">
        <x:v>7</x:v>
      </x:c>
      <x:c r="N3203" s="24" t="n">
        <x:v>0.02</x:v>
      </x:c>
      <x:c r="O3203" s="22" t="n">
        <x:f>L3203*M3203</x:f>
        <x:v>13860</x:v>
      </x:c>
      <x:c r="P3203" s="22" t="n">
        <x:f>O3203*(1-N3203)</x:f>
        <x:v>13582.8</x:v>
      </x:c>
      <x:c r="Q3203" s="22" t="n">
        <x:v>1810</x:v>
      </x:c>
      <x:c r="R3203" s="22" t="n">
        <x:f>Q3203*M3203</x:f>
        <x:v>12670</x:v>
      </x:c>
      <x:c r="S3203" s="22" t="n">
        <x:f>P3203-R3203</x:f>
        <x:v>912.7999999999993</x:v>
      </x:c>
      <x:c r="T3203" t="str">
        <x:v>Bank Transfer</x:v>
      </x:c>
      <x:c r="U3203" t="str">
        <x:v>Pending</x:v>
      </x:c>
      <x:c r="V3203" t="str">
        <x:v>Delivered</x:v>
      </x:c>
      <x:c r="W3203" t="n">
        <x:v>0</x:v>
      </x:c>
      <x:c r="X3203" t="str"/>
      <x:c r="Y3203" t="str">
        <x:v>WhatsApp</x:v>
      </x:c>
    </x:row>
    <x:row r="3204">
      <x:c r="A3204" t="str">
        <x:v>O003203</x:v>
      </x:c>
      <x:c r="B3204" s="20" t="n">
        <x:v>46062</x:v>
      </x:c>
      <x:c r="C3204" t="str">
        <x:v>C0229</x:v>
      </x:c>
      <x:c r="D3204" t="str">
        <x:v>Namma Canteen 229</x:v>
      </x:c>
      <x:c r="E3204" t="str">
        <x:v>Restaurant</x:v>
      </x:c>
      <x:c r="F3204" t="str">
        <x:v>Bengaluru</x:v>
      </x:c>
      <x:c r="G3204" t="str">
        <x:v>Arjun</x:v>
      </x:c>
      <x:c r="H3204" t="str">
        <x:v>P019</x:v>
      </x:c>
      <x:c r="I3204" t="str">
        <x:v>Tea 1kg</x:v>
      </x:c>
      <x:c r="J3204" t="str">
        <x:v>Beverage</x:v>
      </x:c>
      <x:c r="K3204" t="str">
        <x:v>Red Label</x:v>
      </x:c>
      <x:c r="L3204" s="22" t="n">
        <x:v>540</x:v>
      </x:c>
      <x:c r="M3204" t="n">
        <x:v>30</x:v>
      </x:c>
      <x:c r="N3204" s="24" t="n">
        <x:v>0.02</x:v>
      </x:c>
      <x:c r="O3204" s="22" t="n">
        <x:f>L3204*M3204</x:f>
        <x:v>16200</x:v>
      </x:c>
      <x:c r="P3204" s="22" t="n">
        <x:f>O3204*(1-N3204)</x:f>
        <x:v>15876</x:v>
      </x:c>
      <x:c r="Q3204" s="22" t="n">
        <x:v>485</x:v>
      </x:c>
      <x:c r="R3204" s="22" t="n">
        <x:f>Q3204*M3204</x:f>
        <x:v>14550</x:v>
      </x:c>
      <x:c r="S3204" s="22" t="n">
        <x:f>P3204-R3204</x:f>
        <x:v>1326</x:v>
      </x:c>
      <x:c r="T3204" t="str">
        <x:v>Credit</x:v>
      </x:c>
      <x:c r="U3204" t="str">
        <x:v>Paid</x:v>
      </x:c>
      <x:c r="V3204" t="str">
        <x:v>Delivered</x:v>
      </x:c>
      <x:c r="W3204" t="n">
        <x:v>0</x:v>
      </x:c>
      <x:c r="X3204" t="str"/>
      <x:c r="Y3204" t="str">
        <x:v>Outbound Call</x:v>
      </x:c>
    </x:row>
    <x:row r="3205">
      <x:c r="A3205" t="str">
        <x:v>O003204</x:v>
      </x:c>
      <x:c r="B3205" s="20" t="n">
        <x:v>46155</x:v>
      </x:c>
      <x:c r="C3205" t="str">
        <x:v>C0218</x:v>
      </x:c>
      <x:c r="D3205" t="str">
        <x:v>Green Stores 218</x:v>
      </x:c>
      <x:c r="E3205" t="str">
        <x:v>Hotel</x:v>
      </x:c>
      <x:c r="F3205" t="str">
        <x:v>Mysuru</x:v>
      </x:c>
      <x:c r="G3205" t="str">
        <x:v>Imran</x:v>
      </x:c>
      <x:c r="H3205" t="str">
        <x:v>P009</x:v>
      </x:c>
      <x:c r="I3205" t="str">
        <x:v>Groundnut Oil 5L</x:v>
      </x:c>
      <x:c r="J3205" t="str">
        <x:v>Edible Oil</x:v>
      </x:c>
      <x:c r="K3205" t="str">
        <x:v>Dhara</x:v>
      </x:c>
      <x:c r="L3205" s="22" t="n">
        <x:v>890</x:v>
      </x:c>
      <x:c r="M3205" t="n">
        <x:v>13</x:v>
      </x:c>
      <x:c r="N3205" s="24" t="n">
        <x:v>0.05</x:v>
      </x:c>
      <x:c r="O3205" s="22" t="n">
        <x:f>L3205*M3205</x:f>
        <x:v>11570</x:v>
      </x:c>
      <x:c r="P3205" s="22" t="n">
        <x:f>O3205*(1-N3205)</x:f>
        <x:v>10991.5</x:v>
      </x:c>
      <x:c r="Q3205" s="22" t="n">
        <x:v>810</x:v>
      </x:c>
      <x:c r="R3205" s="22" t="n">
        <x:f>Q3205*M3205</x:f>
        <x:v>10530</x:v>
      </x:c>
      <x:c r="S3205" s="22" t="n">
        <x:f>P3205-R3205</x:f>
        <x:v>461.5</x:v>
      </x:c>
      <x:c r="T3205" t="str">
        <x:v>Credit</x:v>
      </x:c>
      <x:c r="U3205" t="str">
        <x:v>Paid</x:v>
      </x:c>
      <x:c r="V3205" t="str">
        <x:v>Delivered</x:v>
      </x:c>
      <x:c r="W3205" t="n">
        <x:v>0</x:v>
      </x:c>
      <x:c r="X3205" t="str"/>
      <x:c r="Y3205" t="str">
        <x:v>Outbound Call</x:v>
      </x:c>
    </x:row>
    <x:row r="3206">
      <x:c r="A3206" t="str">
        <x:v>O003205</x:v>
      </x:c>
      <x:c r="B3206" s="20" t="n">
        <x:v>45948</x:v>
      </x:c>
      <x:c r="C3206" t="str">
        <x:v>C0195</x:v>
      </x:c>
      <x:c r="D3206" t="str">
        <x:v>Classic Stores 195</x:v>
      </x:c>
      <x:c r="E3206" t="str">
        <x:v>Canteen</x:v>
      </x:c>
      <x:c r="F3206" t="str">
        <x:v>Davanagere</x:v>
      </x:c>
      <x:c r="G3206" t="str">
        <x:v>Kavya</x:v>
      </x:c>
      <x:c r="H3206" t="str">
        <x:v>P037</x:v>
      </x:c>
      <x:c r="I3206" t="str">
        <x:v>Frozen Peas 1kg</x:v>
      </x:c>
      <x:c r="J3206" t="str">
        <x:v>Frozen</x:v>
      </x:c>
      <x:c r="K3206" t="str">
        <x:v>Safal</x:v>
      </x:c>
      <x:c r="L3206" s="22" t="n">
        <x:v>155</x:v>
      </x:c>
      <x:c r="M3206" t="n">
        <x:v>5</x:v>
      </x:c>
      <x:c r="N3206" s="24" t="n">
        <x:v>0</x:v>
      </x:c>
      <x:c r="O3206" s="22" t="n">
        <x:f>L3206*M3206</x:f>
        <x:v>775</x:v>
      </x:c>
      <x:c r="P3206" s="22" t="n">
        <x:f>O3206*(1-N3206)</x:f>
        <x:v>775</x:v>
      </x:c>
      <x:c r="Q3206" s="22" t="n">
        <x:v>138</x:v>
      </x:c>
      <x:c r="R3206" s="22" t="n">
        <x:f>Q3206*M3206</x:f>
        <x:v>690</x:v>
      </x:c>
      <x:c r="S3206" s="22" t="n">
        <x:f>P3206-R3206</x:f>
        <x:v>85</x:v>
      </x:c>
      <x:c r="T3206" t="str">
        <x:v>UPI</x:v>
      </x:c>
      <x:c r="U3206" t="str">
        <x:v>Paid</x:v>
      </x:c>
      <x:c r="V3206" t="str">
        <x:v>Cancelled</x:v>
      </x:c>
      <x:c r="W3206" t="n">
        <x:v>5</x:v>
      </x:c>
      <x:c r="X3206" t="str">
        <x:v>Cancelled Order</x:v>
      </x:c>
      <x:c r="Y3206" t="str">
        <x:v>WhatsApp</x:v>
      </x:c>
    </x:row>
    <x:row r="3207">
      <x:c r="A3207" t="str">
        <x:v>O003206</x:v>
      </x:c>
      <x:c r="B3207" s="20" t="n">
        <x:v>45770</x:v>
      </x:c>
      <x:c r="C3207" t="str">
        <x:v>C0124</x:v>
      </x:c>
      <x:c r="D3207" t="str">
        <x:v>Green Hotel 124</x:v>
      </x:c>
      <x:c r="E3207" t="str">
        <x:v>Cafe</x:v>
      </x:c>
      <x:c r="F3207" t="str">
        <x:v>Bengaluru</x:v>
      </x:c>
      <x:c r="G3207" t="str">
        <x:v>Imran</x:v>
      </x:c>
      <x:c r="H3207" t="str">
        <x:v>P035</x:v>
      </x:c>
      <x:c r="I3207" t="str">
        <x:v>Coriander Powder 1kg</x:v>
      </x:c>
      <x:c r="J3207" t="str">
        <x:v>Spices</x:v>
      </x:c>
      <x:c r="K3207" t="str">
        <x:v>Everest</x:v>
      </x:c>
      <x:c r="L3207" s="22" t="n">
        <x:v>280</x:v>
      </x:c>
      <x:c r="M3207" t="n">
        <x:v>39</x:v>
      </x:c>
      <x:c r="N3207" s="24" t="n">
        <x:v>0.02</x:v>
      </x:c>
      <x:c r="O3207" s="22" t="n">
        <x:f>L3207*M3207</x:f>
        <x:v>10920</x:v>
      </x:c>
      <x:c r="P3207" s="22" t="n">
        <x:f>O3207*(1-N3207)</x:f>
        <x:v>10701.6</x:v>
      </x:c>
      <x:c r="Q3207" s="22" t="n">
        <x:v>245</x:v>
      </x:c>
      <x:c r="R3207" s="22" t="n">
        <x:f>Q3207*M3207</x:f>
        <x:v>9555</x:v>
      </x:c>
      <x:c r="S3207" s="22" t="n">
        <x:f>P3207-R3207</x:f>
        <x:v>1146.6000000000004</x:v>
      </x:c>
      <x:c r="T3207" t="str">
        <x:v>Credit</x:v>
      </x:c>
      <x:c r="U3207" t="str">
        <x:v>Paid</x:v>
      </x:c>
      <x:c r="V3207" t="str">
        <x:v>Delayed</x:v>
      </x:c>
      <x:c r="W3207" t="n">
        <x:v>0</x:v>
      </x:c>
      <x:c r="X3207" t="str"/>
      <x:c r="Y3207" t="str">
        <x:v>Field Visit</x:v>
      </x:c>
    </x:row>
    <x:row r="3208">
      <x:c r="A3208" t="str">
        <x:v>O003207</x:v>
      </x:c>
      <x:c r="B3208" s="20" t="n">
        <x:v>46237</x:v>
      </x:c>
      <x:c r="C3208" t="str">
        <x:v>C0119</x:v>
      </x:c>
      <x:c r="D3208" t="str">
        <x:v>Foodie Foods 119</x:v>
      </x:c>
      <x:c r="E3208" t="str">
        <x:v>Kirana</x:v>
      </x:c>
      <x:c r="F3208" t="str">
        <x:v>Hubballi</x:v>
      </x:c>
      <x:c r="G3208" t="str">
        <x:v>Imran</x:v>
      </x:c>
      <x:c r="H3208" t="str">
        <x:v>P031</x:v>
      </x:c>
      <x:c r="I3208" t="str">
        <x:v>Chilli Sauce 700g</x:v>
      </x:c>
      <x:c r="J3208" t="str">
        <x:v>Condiments</x:v>
      </x:c>
      <x:c r="K3208" t="str">
        <x:v>Ching's</x:v>
      </x:c>
      <x:c r="L3208" s="22" t="n">
        <x:v>130</x:v>
      </x:c>
      <x:c r="M3208" t="n">
        <x:v>31</x:v>
      </x:c>
      <x:c r="N3208" s="24" t="n">
        <x:v>0</x:v>
      </x:c>
      <x:c r="O3208" s="22" t="n">
        <x:f>L3208*M3208</x:f>
        <x:v>4030</x:v>
      </x:c>
      <x:c r="P3208" s="22" t="n">
        <x:f>O3208*(1-N3208)</x:f>
        <x:v>4030</x:v>
      </x:c>
      <x:c r="Q3208" s="22" t="n">
        <x:v>112</x:v>
      </x:c>
      <x:c r="R3208" s="22" t="n">
        <x:f>Q3208*M3208</x:f>
        <x:v>3472</x:v>
      </x:c>
      <x:c r="S3208" s="22" t="n">
        <x:f>P3208-R3208</x:f>
        <x:v>558</x:v>
      </x:c>
      <x:c r="T3208" t="str">
        <x:v>Bank Transfer</x:v>
      </x:c>
      <x:c r="U3208" t="str">
        <x:v>Overdue</x:v>
      </x:c>
      <x:c r="V3208" t="str">
        <x:v>Delivered</x:v>
      </x:c>
      <x:c r="W3208" t="n">
        <x:v>0</x:v>
      </x:c>
      <x:c r="X3208" t="str"/>
      <x:c r="Y3208" t="str">
        <x:v>Field Visit</x:v>
      </x:c>
    </x:row>
    <x:row r="3209">
      <x:c r="A3209" t="str">
        <x:v>O003208</x:v>
      </x:c>
      <x:c r="B3209" s="20" t="n">
        <x:v>46115</x:v>
      </x:c>
      <x:c r="C3209" t="str">
        <x:v>C0228</x:v>
      </x:c>
      <x:c r="D3209" t="str">
        <x:v>Metro Foods 228</x:v>
      </x:c>
      <x:c r="E3209" t="str">
        <x:v>Supermarket</x:v>
      </x:c>
      <x:c r="F3209" t="str">
        <x:v>Davanagere</x:v>
      </x:c>
      <x:c r="G3209" t="str">
        <x:v>Sneha</x:v>
      </x:c>
      <x:c r="H3209" t="str">
        <x:v>P021</x:v>
      </x:c>
      <x:c r="I3209" t="str">
        <x:v>Instant Coffee 200g</x:v>
      </x:c>
      <x:c r="J3209" t="str">
        <x:v>Beverage</x:v>
      </x:c>
      <x:c r="K3209" t="str">
        <x:v>Nescafe</x:v>
      </x:c>
      <x:c r="L3209" s="22" t="n">
        <x:v>460</x:v>
      </x:c>
      <x:c r="M3209" t="n">
        <x:v>24</x:v>
      </x:c>
      <x:c r="N3209" s="24" t="n">
        <x:v>0.02</x:v>
      </x:c>
      <x:c r="O3209" s="22" t="n">
        <x:f>L3209*M3209</x:f>
        <x:v>11040</x:v>
      </x:c>
      <x:c r="P3209" s="22" t="n">
        <x:f>O3209*(1-N3209)</x:f>
        <x:v>10819.199999999999</x:v>
      </x:c>
      <x:c r="Q3209" s="22" t="n">
        <x:v>410</x:v>
      </x:c>
      <x:c r="R3209" s="22" t="n">
        <x:f>Q3209*M3209</x:f>
        <x:v>9840</x:v>
      </x:c>
      <x:c r="S3209" s="22" t="n">
        <x:f>P3209-R3209</x:f>
        <x:v>979.1999999999989</x:v>
      </x:c>
      <x:c r="T3209" t="str">
        <x:v>Credit</x:v>
      </x:c>
      <x:c r="U3209" t="str">
        <x:v>Paid</x:v>
      </x:c>
      <x:c r="V3209" t="str">
        <x:v>Delivered</x:v>
      </x:c>
      <x:c r="W3209" t="n">
        <x:v>0</x:v>
      </x:c>
      <x:c r="X3209" t="str"/>
      <x:c r="Y3209" t="str">
        <x:v>Outbound Call</x:v>
      </x:c>
    </x:row>
    <x:row r="3210">
      <x:c r="A3210" t="str">
        <x:v>O003209</x:v>
      </x:c>
      <x:c r="B3210" s="20" t="n">
        <x:v>45845</x:v>
      </x:c>
      <x:c r="C3210" t="str">
        <x:v>C0234</x:v>
      </x:c>
      <x:c r="D3210" t="str">
        <x:v>Metro Canteen 234</x:v>
      </x:c>
      <x:c r="E3210" t="str">
        <x:v>Restaurant</x:v>
      </x:c>
      <x:c r="F3210" t="str">
        <x:v>Davanagere</x:v>
      </x:c>
      <x:c r="G3210" t="str">
        <x:v>Priya</x:v>
      </x:c>
      <x:c r="H3210" t="str">
        <x:v>P023</x:v>
      </x:c>
      <x:c r="I3210" t="str">
        <x:v>Cola 750ml</x:v>
      </x:c>
      <x:c r="J3210" t="str">
        <x:v>Beverage</x:v>
      </x:c>
      <x:c r="K3210" t="str">
        <x:v>Coca-Cola</x:v>
      </x:c>
      <x:c r="L3210" s="22" t="n">
        <x:v>38</x:v>
      </x:c>
      <x:c r="M3210" t="n">
        <x:v>27</x:v>
      </x:c>
      <x:c r="N3210" s="24" t="n">
        <x:v>0</x:v>
      </x:c>
      <x:c r="O3210" s="22" t="n">
        <x:f>L3210*M3210</x:f>
        <x:v>1026</x:v>
      </x:c>
      <x:c r="P3210" s="22" t="n">
        <x:f>O3210*(1-N3210)</x:f>
        <x:v>1026</x:v>
      </x:c>
      <x:c r="Q3210" s="22" t="n">
        <x:v>31</x:v>
      </x:c>
      <x:c r="R3210" s="22" t="n">
        <x:f>Q3210*M3210</x:f>
        <x:v>837</x:v>
      </x:c>
      <x:c r="S3210" s="22" t="n">
        <x:f>P3210-R3210</x:f>
        <x:v>189</x:v>
      </x:c>
      <x:c r="T3210" t="str">
        <x:v>Credit</x:v>
      </x:c>
      <x:c r="U3210" t="str">
        <x:v>Paid</x:v>
      </x:c>
      <x:c r="V3210" t="str">
        <x:v>Delivered</x:v>
      </x:c>
      <x:c r="W3210" t="n">
        <x:v>0</x:v>
      </x:c>
      <x:c r="X3210" t="str"/>
      <x:c r="Y3210" t="str">
        <x:v>WhatsApp</x:v>
      </x:c>
    </x:row>
    <x:row r="3211">
      <x:c r="A3211" t="str">
        <x:v>O003210</x:v>
      </x:c>
      <x:c r="B3211" s="20" t="n">
        <x:v>45719</x:v>
      </x:c>
      <x:c r="C3211" t="str">
        <x:v>C0194</x:v>
      </x:c>
      <x:c r="D3211" t="str">
        <x:v>Royal Hotel 194</x:v>
      </x:c>
      <x:c r="E3211" t="str">
        <x:v>Kirana</x:v>
      </x:c>
      <x:c r="F3211" t="str">
        <x:v>Mysuru</x:v>
      </x:c>
      <x:c r="G3211" t="str">
        <x:v>Megha</x:v>
      </x:c>
      <x:c r="H3211" t="str">
        <x:v>P031</x:v>
      </x:c>
      <x:c r="I3211" t="str">
        <x:v>Chilli Sauce 700g</x:v>
      </x:c>
      <x:c r="J3211" t="str">
        <x:v>Condiments</x:v>
      </x:c>
      <x:c r="K3211" t="str">
        <x:v>Ching's</x:v>
      </x:c>
      <x:c r="L3211" s="22" t="n">
        <x:v>130</x:v>
      </x:c>
      <x:c r="M3211" t="n">
        <x:v>31</x:v>
      </x:c>
      <x:c r="N3211" s="24" t="n">
        <x:v>0</x:v>
      </x:c>
      <x:c r="O3211" s="22" t="n">
        <x:f>L3211*M3211</x:f>
        <x:v>4030</x:v>
      </x:c>
      <x:c r="P3211" s="22" t="n">
        <x:f>O3211*(1-N3211)</x:f>
        <x:v>4030</x:v>
      </x:c>
      <x:c r="Q3211" s="22" t="n">
        <x:v>112</x:v>
      </x:c>
      <x:c r="R3211" s="22" t="n">
        <x:f>Q3211*M3211</x:f>
        <x:v>3472</x:v>
      </x:c>
      <x:c r="S3211" s="22" t="n">
        <x:f>P3211-R3211</x:f>
        <x:v>558</x:v>
      </x:c>
      <x:c r="T3211" t="str">
        <x:v>UPI</x:v>
      </x:c>
      <x:c r="U3211" t="str">
        <x:v>Overdue</x:v>
      </x:c>
      <x:c r="V3211" t="str">
        <x:v>Delayed</x:v>
      </x:c>
      <x:c r="W3211" t="n">
        <x:v>0</x:v>
      </x:c>
      <x:c r="X3211" t="str"/>
      <x:c r="Y3211" t="str">
        <x:v>Referral</x:v>
      </x:c>
    </x:row>
    <x:row r="3212">
      <x:c r="A3212" t="str">
        <x:v>O003211</x:v>
      </x:c>
      <x:c r="B3212" s="20" t="n">
        <x:v>45755</x:v>
      </x:c>
      <x:c r="C3212" t="str">
        <x:v>C0185</x:v>
      </x:c>
      <x:c r="D3212" t="str">
        <x:v>Mysore Foods 185</x:v>
      </x:c>
      <x:c r="E3212" t="str">
        <x:v>Restaurant</x:v>
      </x:c>
      <x:c r="F3212" t="str">
        <x:v>Mysuru</x:v>
      </x:c>
      <x:c r="G3212" t="str">
        <x:v>Sneha</x:v>
      </x:c>
      <x:c r="H3212" t="str">
        <x:v>P026</x:v>
      </x:c>
      <x:c r="I3212" t="str">
        <x:v>Banana Chips 80g</x:v>
      </x:c>
      <x:c r="J3212" t="str">
        <x:v>Snacks</x:v>
      </x:c>
      <x:c r="K3212" t="str">
        <x:v>SSS</x:v>
      </x:c>
      <x:c r="L3212" s="22" t="n">
        <x:v>54</x:v>
      </x:c>
      <x:c r="M3212" t="n">
        <x:v>14</x:v>
      </x:c>
      <x:c r="N3212" s="24" t="n">
        <x:v>0.03</x:v>
      </x:c>
      <x:c r="O3212" s="22" t="n">
        <x:f>L3212*M3212</x:f>
        <x:v>756</x:v>
      </x:c>
      <x:c r="P3212" s="22" t="n">
        <x:f>O3212*(1-N3212)</x:f>
        <x:v>733.3199999999999</x:v>
      </x:c>
      <x:c r="Q3212" s="22" t="n">
        <x:v>39</x:v>
      </x:c>
      <x:c r="R3212" s="22" t="n">
        <x:f>Q3212*M3212</x:f>
        <x:v>546</x:v>
      </x:c>
      <x:c r="S3212" s="22" t="n">
        <x:f>P3212-R3212</x:f>
        <x:v>187.31999999999994</x:v>
      </x:c>
      <x:c r="T3212" t="str">
        <x:v>Bank Transfer</x:v>
      </x:c>
      <x:c r="U3212" t="str">
        <x:v>Paid</x:v>
      </x:c>
      <x:c r="V3212" t="str">
        <x:v>Delivered</x:v>
      </x:c>
      <x:c r="W3212" t="n">
        <x:v>0</x:v>
      </x:c>
      <x:c r="X3212" t="str"/>
      <x:c r="Y3212" t="str">
        <x:v>Existing Customer</x:v>
      </x:c>
    </x:row>
    <x:row r="3213">
      <x:c r="A3213" t="str">
        <x:v>O003212</x:v>
      </x:c>
      <x:c r="B3213" s="20" t="n">
        <x:v>45762</x:v>
      </x:c>
      <x:c r="C3213" t="str">
        <x:v>C0134</x:v>
      </x:c>
      <x:c r="D3213" t="str">
        <x:v>Annapurna Stores 134</x:v>
      </x:c>
      <x:c r="E3213" t="str">
        <x:v>Cafe</x:v>
      </x:c>
      <x:c r="F3213" t="str">
        <x:v>Bengaluru</x:v>
      </x:c>
      <x:c r="G3213" t="str">
        <x:v>Kavya</x:v>
      </x:c>
      <x:c r="H3213" t="str">
        <x:v>P020</x:v>
      </x:c>
      <x:c r="I3213" t="str">
        <x:v>Coffee 500g</x:v>
      </x:c>
      <x:c r="J3213" t="str">
        <x:v>Beverage</x:v>
      </x:c>
      <x:c r="K3213" t="str">
        <x:v>Bru</x:v>
      </x:c>
      <x:c r="L3213" s="22" t="n">
        <x:v>390</x:v>
      </x:c>
      <x:c r="M3213" t="n">
        <x:v>14</x:v>
      </x:c>
      <x:c r="N3213" s="24" t="n">
        <x:v>0.08</x:v>
      </x:c>
      <x:c r="O3213" s="22" t="n">
        <x:f>L3213*M3213</x:f>
        <x:v>5460</x:v>
      </x:c>
      <x:c r="P3213" s="22" t="n">
        <x:f>O3213*(1-N3213)</x:f>
        <x:v>5023.2</x:v>
      </x:c>
      <x:c r="Q3213" s="22" t="n">
        <x:v>350</x:v>
      </x:c>
      <x:c r="R3213" s="22" t="n">
        <x:f>Q3213*M3213</x:f>
        <x:v>4900</x:v>
      </x:c>
      <x:c r="S3213" s="22" t="n">
        <x:f>P3213-R3213</x:f>
        <x:v>123.19999999999982</x:v>
      </x:c>
      <x:c r="T3213" t="str">
        <x:v>Bank Transfer</x:v>
      </x:c>
      <x:c r="U3213" t="str">
        <x:v>Paid</x:v>
      </x:c>
      <x:c r="V3213" t="str">
        <x:v>Delayed</x:v>
      </x:c>
      <x:c r="W3213" t="n">
        <x:v>0</x:v>
      </x:c>
      <x:c r="X3213" t="str"/>
      <x:c r="Y3213" t="str"/>
    </x:row>
    <x:row r="3214">
      <x:c r="A3214" t="str">
        <x:v>O003213</x:v>
      </x:c>
      <x:c r="B3214" s="20" t="n">
        <x:v>46175</x:v>
      </x:c>
      <x:c r="C3214" t="str">
        <x:v>C0235</x:v>
      </x:c>
      <x:c r="D3214" t="str">
        <x:v>Darshini Canteen 235</x:v>
      </x:c>
      <x:c r="E3214" t="str">
        <x:v>Hotel</x:v>
      </x:c>
      <x:c r="F3214" t="str">
        <x:v>Mangaluru</x:v>
      </x:c>
      <x:c r="G3214" t="str">
        <x:v>Arjun</x:v>
      </x:c>
      <x:c r="H3214" t="str">
        <x:v>P045</x:v>
      </x:c>
      <x:c r="I3214" t="str">
        <x:v>Onion 25kg</x:v>
      </x:c>
      <x:c r="J3214" t="str">
        <x:v>Fresh Produce</x:v>
      </x:c>
      <x:c r="K3214" t="str">
        <x:v>Local Market</x:v>
      </x:c>
      <x:c r="L3214" s="22" t="n">
        <x:v>875</x:v>
      </x:c>
      <x:c r="M3214" t="n">
        <x:v>1</x:v>
      </x:c>
      <x:c r="N3214" s="24" t="n">
        <x:v>0.03</x:v>
      </x:c>
      <x:c r="O3214" s="22" t="n">
        <x:f>L3214*M3214</x:f>
        <x:v>875</x:v>
      </x:c>
      <x:c r="P3214" s="22" t="n">
        <x:f>O3214*(1-N3214)</x:f>
        <x:v>848.75</x:v>
      </x:c>
      <x:c r="Q3214" s="22" t="n">
        <x:v>760</x:v>
      </x:c>
      <x:c r="R3214" s="22" t="n">
        <x:f>Q3214*M3214</x:f>
        <x:v>760</x:v>
      </x:c>
      <x:c r="S3214" s="22" t="n">
        <x:f>P3214-R3214</x:f>
        <x:v>88.75</x:v>
      </x:c>
      <x:c r="T3214" t="str">
        <x:v>UPI</x:v>
      </x:c>
      <x:c r="U3214" t="str">
        <x:v>Pending</x:v>
      </x:c>
      <x:c r="V3214" t="str">
        <x:v>Cancelled</x:v>
      </x:c>
      <x:c r="W3214" t="n">
        <x:v>1</x:v>
      </x:c>
      <x:c r="X3214" t="str">
        <x:v>Cancelled Order</x:v>
      </x:c>
      <x:c r="Y3214" t="str">
        <x:v>WhatsApp</x:v>
      </x:c>
    </x:row>
    <x:row r="3215">
      <x:c r="A3215" t="str">
        <x:v>O003214</x:v>
      </x:c>
      <x:c r="B3215" s="20" t="n">
        <x:v>45688</x:v>
      </x:c>
      <x:c r="C3215" t="str">
        <x:v>C0094</x:v>
      </x:c>
      <x:c r="D3215" t="str">
        <x:v>Mysore Mart 94</x:v>
      </x:c>
      <x:c r="E3215" t="str">
        <x:v>Restaurant</x:v>
      </x:c>
      <x:c r="F3215" t="str">
        <x:v>Hubballi</x:v>
      </x:c>
      <x:c r="G3215" t="str">
        <x:v>Sneha</x:v>
      </x:c>
      <x:c r="H3215" t="str">
        <x:v>P008</x:v>
      </x:c>
      <x:c r="I3215" t="str">
        <x:v>Palm Oil 15L</x:v>
      </x:c>
      <x:c r="J3215" t="str">
        <x:v>Edible Oil</x:v>
      </x:c>
      <x:c r="K3215" t="str">
        <x:v>Ruchi Gold</x:v>
      </x:c>
      <x:c r="L3215" s="22" t="n">
        <x:v>1760</x:v>
      </x:c>
      <x:c r="M3215" t="n">
        <x:v>5</x:v>
      </x:c>
      <x:c r="N3215" s="24" t="n">
        <x:v>0</x:v>
      </x:c>
      <x:c r="O3215" s="22" t="n">
        <x:f>L3215*M3215</x:f>
        <x:v>8800</x:v>
      </x:c>
      <x:c r="P3215" s="22" t="n">
        <x:f>O3215*(1-N3215)</x:f>
        <x:v>8800</x:v>
      </x:c>
      <x:c r="Q3215" s="22" t="n">
        <x:v>1610</x:v>
      </x:c>
      <x:c r="R3215" s="22" t="n">
        <x:f>Q3215*M3215</x:f>
        <x:v>8050</x:v>
      </x:c>
      <x:c r="S3215" s="22" t="n">
        <x:f>P3215-R3215</x:f>
        <x:v>750</x:v>
      </x:c>
      <x:c r="T3215" t="str">
        <x:v>UPI</x:v>
      </x:c>
      <x:c r="U3215" t="str">
        <x:v>Overdue</x:v>
      </x:c>
      <x:c r="V3215" t="str">
        <x:v>Delayed</x:v>
      </x:c>
      <x:c r="W3215" t="n">
        <x:v>0</x:v>
      </x:c>
      <x:c r="X3215" t="str"/>
      <x:c r="Y3215" t="str">
        <x:v>Referral</x:v>
      </x:c>
    </x:row>
    <x:row r="3216">
      <x:c r="A3216" t="str">
        <x:v>O003215</x:v>
      </x:c>
      <x:c r="B3216" s="20" t="n">
        <x:v>45966</x:v>
      </x:c>
      <x:c r="C3216" t="str">
        <x:v>C0175</x:v>
      </x:c>
      <x:c r="D3216" t="str">
        <x:v>Namma Mart 175</x:v>
      </x:c>
      <x:c r="E3216" t="str">
        <x:v>Hotel</x:v>
      </x:c>
      <x:c r="F3216" t="str">
        <x:v>Davanagere</x:v>
      </x:c>
      <x:c r="G3216" t="str">
        <x:v>Sneha</x:v>
      </x:c>
      <x:c r="H3216" t="str">
        <x:v>P042</x:v>
      </x:c>
      <x:c r="I3216" t="str">
        <x:v>Eggs 30pc Tray</x:v>
      </x:c>
      <x:c r="J3216" t="str">
        <x:v>Protein</x:v>
      </x:c>
      <x:c r="K3216" t="str">
        <x:v>Farm Fresh</x:v>
      </x:c>
      <x:c r="L3216" s="22" t="n">
        <x:v>195</x:v>
      </x:c>
      <x:c r="M3216" t="n">
        <x:v>29</x:v>
      </x:c>
      <x:c r="N3216" s="24" t="n">
        <x:v>0.03</x:v>
      </x:c>
      <x:c r="O3216" s="22" t="n">
        <x:f>L3216*M3216</x:f>
        <x:v>5655</x:v>
      </x:c>
      <x:c r="P3216" s="22" t="n">
        <x:f>O3216*(1-N3216)</x:f>
        <x:v>5485.349999999999</x:v>
      </x:c>
      <x:c r="Q3216" s="22" t="n">
        <x:v>170</x:v>
      </x:c>
      <x:c r="R3216" s="22" t="n">
        <x:f>Q3216*M3216</x:f>
        <x:v>4930</x:v>
      </x:c>
      <x:c r="S3216" s="22" t="n">
        <x:f>P3216-R3216</x:f>
        <x:v>555.3499999999995</x:v>
      </x:c>
      <x:c r="T3216" t="str">
        <x:v>Cash</x:v>
      </x:c>
      <x:c r="U3216" t="str">
        <x:v>Paid</x:v>
      </x:c>
      <x:c r="V3216" t="str">
        <x:v>Delivered</x:v>
      </x:c>
      <x:c r="W3216" t="n">
        <x:v>0</x:v>
      </x:c>
      <x:c r="X3216" t="str"/>
      <x:c r="Y3216" t="str">
        <x:v>Referral</x:v>
      </x:c>
    </x:row>
    <x:row r="3217">
      <x:c r="A3217" t="str">
        <x:v>O003216</x:v>
      </x:c>
      <x:c r="B3217" s="20" t="n">
        <x:v>46017</x:v>
      </x:c>
      <x:c r="C3217" t="str">
        <x:v>C0216</x:v>
      </x:c>
      <x:c r="D3217" t="str">
        <x:v>Cafe Restaurant 216</x:v>
      </x:c>
      <x:c r="E3217" t="str">
        <x:v>Canteen</x:v>
      </x:c>
      <x:c r="F3217" t="str">
        <x:v>Bengaluru</x:v>
      </x:c>
      <x:c r="G3217" t="str">
        <x:v>Vikram</x:v>
      </x:c>
      <x:c r="H3217" t="str">
        <x:v>P050</x:v>
      </x:c>
      <x:c r="I3217" t="str">
        <x:v>Lemon 5kg</x:v>
      </x:c>
      <x:c r="J3217" t="str">
        <x:v>Fresh Produce</x:v>
      </x:c>
      <x:c r="K3217" t="str">
        <x:v>Local Market</x:v>
      </x:c>
      <x:c r="L3217" s="22" t="n">
        <x:v>360</x:v>
      </x:c>
      <x:c r="M3217" t="n">
        <x:v>30</x:v>
      </x:c>
      <x:c r="N3217" s="24" t="n">
        <x:v>0</x:v>
      </x:c>
      <x:c r="O3217" s="22" t="n">
        <x:f>L3217*M3217</x:f>
        <x:v>10800</x:v>
      </x:c>
      <x:c r="P3217" s="22" t="n">
        <x:f>O3217*(1-N3217)</x:f>
        <x:v>10800</x:v>
      </x:c>
      <x:c r="Q3217" s="22" t="n">
        <x:v>300</x:v>
      </x:c>
      <x:c r="R3217" s="22" t="n">
        <x:f>Q3217*M3217</x:f>
        <x:v>9000</x:v>
      </x:c>
      <x:c r="S3217" s="22" t="n">
        <x:f>P3217-R3217</x:f>
        <x:v>1800</x:v>
      </x:c>
      <x:c r="T3217" t="str">
        <x:v>Cash</x:v>
      </x:c>
      <x:c r="U3217" t="str">
        <x:v>Paid</x:v>
      </x:c>
      <x:c r="V3217" t="str">
        <x:v>Cancelled</x:v>
      </x:c>
      <x:c r="W3217" t="n">
        <x:v>30</x:v>
      </x:c>
      <x:c r="X3217" t="str">
        <x:v>Cancelled Order</x:v>
      </x:c>
      <x:c r="Y3217" t="str">
        <x:v>Outbound Call</x:v>
      </x:c>
    </x:row>
    <x:row r="3218">
      <x:c r="A3218" t="str">
        <x:v>O003217</x:v>
      </x:c>
      <x:c r="B3218" s="20" t="n">
        <x:v>45790</x:v>
      </x:c>
      <x:c r="C3218" t="str">
        <x:v>C0225</x:v>
      </x:c>
      <x:c r="D3218" t="str">
        <x:v>Darshini Mart 225</x:v>
      </x:c>
      <x:c r="E3218" t="str">
        <x:v>Restaurant</x:v>
      </x:c>
      <x:c r="F3218" t="str">
        <x:v>Davanagere</x:v>
      </x:c>
      <x:c r="G3218" t="str">
        <x:v>Kavya</x:v>
      </x:c>
      <x:c r="H3218" t="str">
        <x:v>P017</x:v>
      </x:c>
      <x:c r="I3218" t="str">
        <x:v>Butter 500g</x:v>
      </x:c>
      <x:c r="J3218" t="str">
        <x:v>Dairy</x:v>
      </x:c>
      <x:c r="K3218" t="str">
        <x:v>Amul</x:v>
      </x:c>
      <x:c r="L3218" s="22" t="n">
        <x:v>285</x:v>
      </x:c>
      <x:c r="M3218" t="n">
        <x:v>31</x:v>
      </x:c>
      <x:c r="N3218" s="24" t="n">
        <x:v>0</x:v>
      </x:c>
      <x:c r="O3218" s="22" t="n">
        <x:f>L3218*M3218</x:f>
        <x:v>8835</x:v>
      </x:c>
      <x:c r="P3218" s="22" t="n">
        <x:f>O3218*(1-N3218)</x:f>
        <x:v>8835</x:v>
      </x:c>
      <x:c r="Q3218" s="22" t="n">
        <x:v>258</x:v>
      </x:c>
      <x:c r="R3218" s="22" t="n">
        <x:f>Q3218*M3218</x:f>
        <x:v>7998</x:v>
      </x:c>
      <x:c r="S3218" s="22" t="n">
        <x:f>P3218-R3218</x:f>
        <x:v>837</x:v>
      </x:c>
      <x:c r="T3218" t="str">
        <x:v>UPI</x:v>
      </x:c>
      <x:c r="U3218" t="str">
        <x:v>Paid</x:v>
      </x:c>
      <x:c r="V3218" t="str">
        <x:v>Delivered</x:v>
      </x:c>
      <x:c r="W3218" t="n">
        <x:v>0</x:v>
      </x:c>
      <x:c r="X3218" t="str"/>
      <x:c r="Y3218" t="str">
        <x:v>WhatsApp</x:v>
      </x:c>
    </x:row>
    <x:row r="3219">
      <x:c r="A3219" t="str">
        <x:v>O003218</x:v>
      </x:c>
      <x:c r="B3219" s="20" t="n">
        <x:v>45908</x:v>
      </x:c>
      <x:c r="C3219" t="str">
        <x:v>C0210</x:v>
      </x:c>
      <x:c r="D3219" t="str">
        <x:v>Spice Stores 210</x:v>
      </x:c>
      <x:c r="E3219" t="str">
        <x:v>Cafe</x:v>
      </x:c>
      <x:c r="F3219" t="str">
        <x:v>Davanagere</x:v>
      </x:c>
      <x:c r="G3219" t="str">
        <x:v>Imran</x:v>
      </x:c>
      <x:c r="H3219" t="str">
        <x:v>P033</x:v>
      </x:c>
      <x:c r="I3219" t="str">
        <x:v>Turmeric Powder 1kg</x:v>
      </x:c>
      <x:c r="J3219" t="str">
        <x:v>Spices</x:v>
      </x:c>
      <x:c r="K3219" t="str">
        <x:v>Everest</x:v>
      </x:c>
      <x:c r="L3219" s="22" t="n">
        <x:v>310</x:v>
      </x:c>
      <x:c r="M3219" t="n">
        <x:v>25</x:v>
      </x:c>
      <x:c r="N3219" s="24" t="n">
        <x:v>0.05</x:v>
      </x:c>
      <x:c r="O3219" s="22" t="n">
        <x:f>L3219*M3219</x:f>
        <x:v>7750</x:v>
      </x:c>
      <x:c r="P3219" s="22" t="n">
        <x:f>O3219*(1-N3219)</x:f>
        <x:v>7362.5</x:v>
      </x:c>
      <x:c r="Q3219" s="22" t="n">
        <x:v>270</x:v>
      </x:c>
      <x:c r="R3219" s="22" t="n">
        <x:f>Q3219*M3219</x:f>
        <x:v>6750</x:v>
      </x:c>
      <x:c r="S3219" s="22" t="n">
        <x:f>P3219-R3219</x:f>
        <x:v>612.5</x:v>
      </x:c>
      <x:c r="T3219" t="str">
        <x:v>Cash</x:v>
      </x:c>
      <x:c r="U3219" t="str">
        <x:v>Paid</x:v>
      </x:c>
      <x:c r="V3219" t="str">
        <x:v>Delivered</x:v>
      </x:c>
      <x:c r="W3219" t="n">
        <x:v>0</x:v>
      </x:c>
      <x:c r="X3219" t="str"/>
      <x:c r="Y3219" t="str">
        <x:v>Existing Customer</x:v>
      </x:c>
    </x:row>
    <x:row r="3220">
      <x:c r="A3220" t="str">
        <x:v>O003219</x:v>
      </x:c>
      <x:c r="B3220" s="20" t="n">
        <x:v>45931</x:v>
      </x:c>
      <x:c r="C3220" t="str">
        <x:v>C0160</x:v>
      </x:c>
      <x:c r="D3220" t="str">
        <x:v>Hotel Foods 160</x:v>
      </x:c>
      <x:c r="E3220" t="str">
        <x:v>Hotel</x:v>
      </x:c>
      <x:c r="F3220" t="str">
        <x:v>Mangaluru</x:v>
      </x:c>
      <x:c r="G3220" t="str">
        <x:v>Sneha</x:v>
      </x:c>
      <x:c r="H3220" t="str">
        <x:v>P033</x:v>
      </x:c>
      <x:c r="I3220" t="str">
        <x:v>Turmeric Powder 1kg</x:v>
      </x:c>
      <x:c r="J3220" t="str">
        <x:v>Spices</x:v>
      </x:c>
      <x:c r="K3220" t="str">
        <x:v>Everest</x:v>
      </x:c>
      <x:c r="L3220" s="22" t="n">
        <x:v>310</x:v>
      </x:c>
      <x:c r="M3220" t="n">
        <x:v>17</x:v>
      </x:c>
      <x:c r="N3220" s="24" t="n">
        <x:v>0.1</x:v>
      </x:c>
      <x:c r="O3220" s="22" t="n">
        <x:f>L3220*M3220</x:f>
        <x:v>5270</x:v>
      </x:c>
      <x:c r="P3220" s="22" t="n">
        <x:f>O3220*(1-N3220)</x:f>
        <x:v>4743</x:v>
      </x:c>
      <x:c r="Q3220" s="22" t="n">
        <x:v>270</x:v>
      </x:c>
      <x:c r="R3220" s="22" t="n">
        <x:f>Q3220*M3220</x:f>
        <x:v>4590</x:v>
      </x:c>
      <x:c r="S3220" s="22" t="n">
        <x:f>P3220-R3220</x:f>
        <x:v>153</x:v>
      </x:c>
      <x:c r="T3220" t="str">
        <x:v>UPI</x:v>
      </x:c>
      <x:c r="U3220" t="str">
        <x:v>Paid</x:v>
      </x:c>
      <x:c r="V3220" t="str">
        <x:v>Cancelled</x:v>
      </x:c>
      <x:c r="W3220" t="n">
        <x:v>17</x:v>
      </x:c>
      <x:c r="X3220" t="str">
        <x:v>Cancelled Order</x:v>
      </x:c>
      <x:c r="Y3220" t="str">
        <x:v>Existing Customer</x:v>
      </x:c>
    </x:row>
    <x:row r="3221">
      <x:c r="A3221" t="str">
        <x:v>O003220</x:v>
      </x:c>
      <x:c r="B3221" s="20" t="n">
        <x:v>45878</x:v>
      </x:c>
      <x:c r="C3221" t="str">
        <x:v>C0191</x:v>
      </x:c>
      <x:c r="D3221" t="str">
        <x:v>Foodie Kitchen 191</x:v>
      </x:c>
      <x:c r="E3221" t="str">
        <x:v>Cafe</x:v>
      </x:c>
      <x:c r="F3221" t="str">
        <x:v>Mysuru</x:v>
      </x:c>
      <x:c r="G3221" t="str">
        <x:v>Priya</x:v>
      </x:c>
      <x:c r="H3221" t="str">
        <x:v>P038</x:v>
      </x:c>
      <x:c r="I3221" t="str">
        <x:v>French Fries 2.5kg</x:v>
      </x:c>
      <x:c r="J3221" t="str">
        <x:v>Frozen</x:v>
      </x:c>
      <x:c r="K3221" t="str">
        <x:v>McCain</x:v>
      </x:c>
      <x:c r="L3221" s="22" t="n">
        <x:v>360</x:v>
      </x:c>
      <x:c r="M3221" t="n">
        <x:v>2</x:v>
      </x:c>
      <x:c r="N3221" s="24" t="n">
        <x:v>0</x:v>
      </x:c>
      <x:c r="O3221" s="22" t="n">
        <x:f>L3221*M3221</x:f>
        <x:v>720</x:v>
      </x:c>
      <x:c r="P3221" s="22" t="n">
        <x:f>O3221*(1-N3221)</x:f>
        <x:v>720</x:v>
      </x:c>
      <x:c r="Q3221" s="22" t="n">
        <x:v>315</x:v>
      </x:c>
      <x:c r="R3221" s="22" t="n">
        <x:f>Q3221*M3221</x:f>
        <x:v>630</x:v>
      </x:c>
      <x:c r="S3221" s="22" t="n">
        <x:f>P3221-R3221</x:f>
        <x:v>90</x:v>
      </x:c>
      <x:c r="T3221" t="str">
        <x:v>Bank Transfer</x:v>
      </x:c>
      <x:c r="U3221" t="str">
        <x:v>Overdue</x:v>
      </x:c>
      <x:c r="V3221" t="str">
        <x:v>Delivered</x:v>
      </x:c>
      <x:c r="W3221" t="n">
        <x:v>0</x:v>
      </x:c>
      <x:c r="X3221" t="str"/>
      <x:c r="Y3221" t="str">
        <x:v>Field Visit</x:v>
      </x:c>
    </x:row>
    <x:row r="3222">
      <x:c r="A3222" t="str">
        <x:v>O003221</x:v>
      </x:c>
      <x:c r="B3222" s="20" t="n">
        <x:v>46008</x:v>
      </x:c>
      <x:c r="C3222" t="str">
        <x:v>C0217</x:v>
      </x:c>
      <x:c r="D3222" t="str">
        <x:v>Darshini Cafe 217</x:v>
      </x:c>
      <x:c r="E3222" t="str">
        <x:v>Restaurant</x:v>
      </x:c>
      <x:c r="F3222" t="str">
        <x:v>Bengaluru</x:v>
      </x:c>
      <x:c r="G3222" t="str">
        <x:v>Priya</x:v>
      </x:c>
      <x:c r="H3222" t="str">
        <x:v>P046</x:v>
      </x:c>
      <x:c r="I3222" t="str">
        <x:v>Potato 25kg</x:v>
      </x:c>
      <x:c r="J3222" t="str">
        <x:v>Fresh Produce</x:v>
      </x:c>
      <x:c r="K3222" t="str">
        <x:v>Local Market</x:v>
      </x:c>
      <x:c r="L3222" s="22" t="n">
        <x:v>700</x:v>
      </x:c>
      <x:c r="M3222" t="n">
        <x:v>10</x:v>
      </x:c>
      <x:c r="N3222" s="24" t="n">
        <x:v>0.03</x:v>
      </x:c>
      <x:c r="O3222" s="22" t="n">
        <x:f>L3222*M3222</x:f>
        <x:v>7000</x:v>
      </x:c>
      <x:c r="P3222" s="22" t="n">
        <x:f>O3222*(1-N3222)</x:f>
        <x:v>6790</x:v>
      </x:c>
      <x:c r="Q3222" s="22" t="n">
        <x:v>610</x:v>
      </x:c>
      <x:c r="R3222" s="22" t="n">
        <x:f>Q3222*M3222</x:f>
        <x:v>6100</x:v>
      </x:c>
      <x:c r="S3222" s="22" t="n">
        <x:f>P3222-R3222</x:f>
        <x:v>690</x:v>
      </x:c>
      <x:c r="T3222" t="str">
        <x:v>UPI</x:v>
      </x:c>
      <x:c r="U3222" t="str">
        <x:v>Paid</x:v>
      </x:c>
      <x:c r="V3222" t="str">
        <x:v>Delivered</x:v>
      </x:c>
      <x:c r="W3222" t="n">
        <x:v>0</x:v>
      </x:c>
      <x:c r="X3222" t="str"/>
      <x:c r="Y3222" t="str">
        <x:v>Outbound Call</x:v>
      </x:c>
    </x:row>
    <x:row r="3223">
      <x:c r="A3223" t="str">
        <x:v>O003222</x:v>
      </x:c>
      <x:c r="B3223" s="20" t="n">
        <x:v>46069</x:v>
      </x:c>
      <x:c r="C3223" t="str">
        <x:v>C0156</x:v>
      </x:c>
      <x:c r="D3223" t="str">
        <x:v>Metro Stores 156</x:v>
      </x:c>
      <x:c r="E3223" t="str">
        <x:v>Hotel</x:v>
      </x:c>
      <x:c r="F3223" t="str">
        <x:v>Tumakuru</x:v>
      </x:c>
      <x:c r="G3223" t="str">
        <x:v>Ramesh</x:v>
      </x:c>
      <x:c r="H3223" t="str">
        <x:v>P039</x:v>
      </x:c>
      <x:c r="I3223" t="str">
        <x:v>Ice Cream 4L</x:v>
      </x:c>
      <x:c r="J3223" t="str">
        <x:v>Frozen</x:v>
      </x:c>
      <x:c r="K3223" t="str">
        <x:v>Amul</x:v>
      </x:c>
      <x:c r="L3223" s="22" t="n">
        <x:v>480</x:v>
      </x:c>
      <x:c r="M3223" t="n">
        <x:v>25</x:v>
      </x:c>
      <x:c r="N3223" s="24" t="n">
        <x:v>0</x:v>
      </x:c>
      <x:c r="O3223" s="22" t="n">
        <x:f>L3223*M3223</x:f>
        <x:v>12000</x:v>
      </x:c>
      <x:c r="P3223" s="22" t="n">
        <x:f>O3223*(1-N3223)</x:f>
        <x:v>12000</x:v>
      </x:c>
      <x:c r="Q3223" s="22" t="n">
        <x:v>420</x:v>
      </x:c>
      <x:c r="R3223" s="22" t="n">
        <x:f>Q3223*M3223</x:f>
        <x:v>10500</x:v>
      </x:c>
      <x:c r="S3223" s="22" t="n">
        <x:f>P3223-R3223</x:f>
        <x:v>1500</x:v>
      </x:c>
      <x:c r="T3223" t="str">
        <x:v>UPI</x:v>
      </x:c>
      <x:c r="U3223" t="str">
        <x:v>Overdue</x:v>
      </x:c>
      <x:c r="V3223" t="str">
        <x:v>Delivered</x:v>
      </x:c>
      <x:c r="W3223" t="n">
        <x:v>0</x:v>
      </x:c>
      <x:c r="X3223" t="str"/>
      <x:c r="Y3223" t="str">
        <x:v>Field Visit</x:v>
      </x:c>
    </x:row>
    <x:row r="3224">
      <x:c r="A3224" t="str">
        <x:v>O003223</x:v>
      </x:c>
      <x:c r="B3224" s="20" t="n">
        <x:v>45929</x:v>
      </x:c>
      <x:c r="C3224" t="str">
        <x:v>C0103</x:v>
      </x:c>
      <x:c r="D3224" t="str">
        <x:v>Fresh Kitchen 103</x:v>
      </x:c>
      <x:c r="E3224" t="str">
        <x:v>Supermarket</x:v>
      </x:c>
      <x:c r="F3224" t="str">
        <x:v>Davanagere</x:v>
      </x:c>
      <x:c r="G3224" t="str">
        <x:v>Megha</x:v>
      </x:c>
      <x:c r="H3224" t="str">
        <x:v>P023</x:v>
      </x:c>
      <x:c r="I3224" t="str">
        <x:v>Cola 750ml</x:v>
      </x:c>
      <x:c r="J3224" t="str">
        <x:v>Beverage</x:v>
      </x:c>
      <x:c r="K3224" t="str">
        <x:v>Coca-Cola</x:v>
      </x:c>
      <x:c r="L3224" s="22" t="n">
        <x:v>38</x:v>
      </x:c>
      <x:c r="M3224" t="n">
        <x:v>1</x:v>
      </x:c>
      <x:c r="N3224" s="24" t="n">
        <x:v>0.1</x:v>
      </x:c>
      <x:c r="O3224" s="22" t="n">
        <x:f>L3224*M3224</x:f>
        <x:v>38</x:v>
      </x:c>
      <x:c r="P3224" s="22" t="n">
        <x:f>O3224*(1-N3224)</x:f>
        <x:v>34.2</x:v>
      </x:c>
      <x:c r="Q3224" s="22" t="n">
        <x:v>31</x:v>
      </x:c>
      <x:c r="R3224" s="22" t="n">
        <x:f>Q3224*M3224</x:f>
        <x:v>31</x:v>
      </x:c>
      <x:c r="S3224" s="22" t="n">
        <x:f>P3224-R3224</x:f>
        <x:v>3.200000000000003</x:v>
      </x:c>
      <x:c r="T3224" t="str">
        <x:v>UPI</x:v>
      </x:c>
      <x:c r="U3224" t="str">
        <x:v>Paid</x:v>
      </x:c>
      <x:c r="V3224" t="str">
        <x:v>Cancelled</x:v>
      </x:c>
      <x:c r="W3224" t="n">
        <x:v>1</x:v>
      </x:c>
      <x:c r="X3224" t="str">
        <x:v>Cancelled Order</x:v>
      </x:c>
      <x:c r="Y3224" t="str">
        <x:v>Existing Customer</x:v>
      </x:c>
    </x:row>
    <x:row r="3225">
      <x:c r="A3225" t="str">
        <x:v>O003224</x:v>
      </x:c>
      <x:c r="B3225" s="20" t="n">
        <x:v>45719</x:v>
      </x:c>
      <x:c r="C3225" t="str">
        <x:v>C0091</x:v>
      </x:c>
      <x:c r="D3225" t="str">
        <x:v>Classic Mart 91</x:v>
      </x:c>
      <x:c r="E3225" t="str">
        <x:v>Cafe</x:v>
      </x:c>
      <x:c r="F3225" t="str">
        <x:v>Mangaluru</x:v>
      </x:c>
      <x:c r="G3225" t="str">
        <x:v>Kavya</x:v>
      </x:c>
      <x:c r="H3225" t="str">
        <x:v>P018</x:v>
      </x:c>
      <x:c r="I3225" t="str">
        <x:v>Paneer 1kg</x:v>
      </x:c>
      <x:c r="J3225" t="str">
        <x:v>Dairy</x:v>
      </x:c>
      <x:c r="K3225" t="str">
        <x:v>Milky Mist</x:v>
      </x:c>
      <x:c r="L3225" s="22" t="n">
        <x:v>410</x:v>
      </x:c>
      <x:c r="M3225" t="n">
        <x:v>12</x:v>
      </x:c>
      <x:c r="N3225" s="24" t="n">
        <x:v>0.05</x:v>
      </x:c>
      <x:c r="O3225" s="22" t="n">
        <x:f>L3225*M3225</x:f>
        <x:v>4920</x:v>
      </x:c>
      <x:c r="P3225" s="22" t="n">
        <x:f>O3225*(1-N3225)</x:f>
        <x:v>4674</x:v>
      </x:c>
      <x:c r="Q3225" s="22" t="n">
        <x:v>370</x:v>
      </x:c>
      <x:c r="R3225" s="22" t="n">
        <x:f>Q3225*M3225</x:f>
        <x:v>4440</x:v>
      </x:c>
      <x:c r="S3225" s="22" t="n">
        <x:f>P3225-R3225</x:f>
        <x:v>234</x:v>
      </x:c>
      <x:c r="T3225" t="str">
        <x:v>Bank Transfer</x:v>
      </x:c>
      <x:c r="U3225" t="str">
        <x:v>Overdue</x:v>
      </x:c>
      <x:c r="V3225" t="str">
        <x:v>Delivered</x:v>
      </x:c>
      <x:c r="W3225" t="n">
        <x:v>0</x:v>
      </x:c>
      <x:c r="X3225" t="str"/>
      <x:c r="Y3225" t="str">
        <x:v>Existing Customer</x:v>
      </x:c>
    </x:row>
    <x:row r="3226">
      <x:c r="A3226" t="str">
        <x:v>O003225</x:v>
      </x:c>
      <x:c r="B3226" s="20" t="n">
        <x:v>45992</x:v>
      </x:c>
      <x:c r="C3226" t="str">
        <x:v>C0024</x:v>
      </x:c>
      <x:c r="D3226" t="str">
        <x:v>Darshini Restaurant 24</x:v>
      </x:c>
      <x:c r="E3226" t="str">
        <x:v>Restaurant</x:v>
      </x:c>
      <x:c r="F3226" t="str">
        <x:v>Davanagere</x:v>
      </x:c>
      <x:c r="G3226" t="str">
        <x:v>Sneha</x:v>
      </x:c>
      <x:c r="H3226" t="str">
        <x:v>P036</x:v>
      </x:c>
      <x:c r="I3226" t="str">
        <x:v>Garam Masala 500g</x:v>
      </x:c>
      <x:c r="J3226" t="str">
        <x:v>Spices</x:v>
      </x:c>
      <x:c r="K3226" t="str">
        <x:v>MDH</x:v>
      </x:c>
      <x:c r="L3226" s="22" t="n">
        <x:v>265</x:v>
      </x:c>
      <x:c r="M3226" t="n">
        <x:v>1</x:v>
      </x:c>
      <x:c r="N3226" s="24" t="n">
        <x:v>0</x:v>
      </x:c>
      <x:c r="O3226" s="22" t="n">
        <x:f>L3226*M3226</x:f>
        <x:v>265</x:v>
      </x:c>
      <x:c r="P3226" s="22" t="n">
        <x:f>O3226*(1-N3226)</x:f>
        <x:v>265</x:v>
      </x:c>
      <x:c r="Q3226" s="22" t="n">
        <x:v>230</x:v>
      </x:c>
      <x:c r="R3226" s="22" t="n">
        <x:f>Q3226*M3226</x:f>
        <x:v>230</x:v>
      </x:c>
      <x:c r="S3226" s="22" t="n">
        <x:f>P3226-R3226</x:f>
        <x:v>35</x:v>
      </x:c>
      <x:c r="T3226" t="str">
        <x:v>Bank Transfer</x:v>
      </x:c>
      <x:c r="U3226" t="str">
        <x:v>Paid</x:v>
      </x:c>
      <x:c r="V3226" t="str">
        <x:v>Cancelled</x:v>
      </x:c>
      <x:c r="W3226" t="n">
        <x:v>1</x:v>
      </x:c>
      <x:c r="X3226" t="str">
        <x:v>Cancelled Order</x:v>
      </x:c>
      <x:c r="Y3226" t="str">
        <x:v>Existing Customer</x:v>
      </x:c>
    </x:row>
    <x:row r="3227">
      <x:c r="A3227" t="str">
        <x:v>O003226</x:v>
      </x:c>
      <x:c r="B3227" s="20" t="n">
        <x:v>46051</x:v>
      </x:c>
      <x:c r="C3227" t="str">
        <x:v>C0010</x:v>
      </x:c>
      <x:c r="D3227" t="str">
        <x:v>Royal Hotel 10</x:v>
      </x:c>
      <x:c r="E3227" t="str">
        <x:v>Canteen</x:v>
      </x:c>
      <x:c r="F3227" t="str">
        <x:v>Davanagere</x:v>
      </x:c>
      <x:c r="G3227" t="str">
        <x:v>Ramesh</x:v>
      </x:c>
      <x:c r="H3227" t="str">
        <x:v>P049</x:v>
      </x:c>
      <x:c r="I3227" t="str">
        <x:v>Apple 10kg</x:v>
      </x:c>
      <x:c r="J3227" t="str">
        <x:v>Fresh Produce</x:v>
      </x:c>
      <x:c r="K3227" t="str">
        <x:v>Local Market</x:v>
      </x:c>
      <x:c r="L3227" s="22" t="n">
        <x:v>1450</x:v>
      </x:c>
      <x:c r="M3227" t="n">
        <x:v>3</x:v>
      </x:c>
      <x:c r="N3227" s="24" t="n">
        <x:v>0.05</x:v>
      </x:c>
      <x:c r="O3227" s="22" t="n">
        <x:f>L3227*M3227</x:f>
        <x:v>4350</x:v>
      </x:c>
      <x:c r="P3227" s="22" t="n">
        <x:f>O3227*(1-N3227)</x:f>
        <x:v>4132.5</x:v>
      </x:c>
      <x:c r="Q3227" s="22" t="n">
        <x:v>1280</x:v>
      </x:c>
      <x:c r="R3227" s="22" t="n">
        <x:f>Q3227*M3227</x:f>
        <x:v>3840</x:v>
      </x:c>
      <x:c r="S3227" s="22" t="n">
        <x:f>P3227-R3227</x:f>
        <x:v>292.5</x:v>
      </x:c>
      <x:c r="T3227" t="str">
        <x:v>UPI</x:v>
      </x:c>
      <x:c r="U3227" t="str">
        <x:v>Paid</x:v>
      </x:c>
      <x:c r="V3227" t="str">
        <x:v>Delivered</x:v>
      </x:c>
      <x:c r="W3227" t="n">
        <x:v>0</x:v>
      </x:c>
      <x:c r="X3227" t="str"/>
      <x:c r="Y3227" t="str">
        <x:v>Outbound Call</x:v>
      </x:c>
    </x:row>
    <x:row r="3228">
      <x:c r="A3228" t="str">
        <x:v>O003227</x:v>
      </x:c>
      <x:c r="B3228" s="20" t="n">
        <x:v>46012</x:v>
      </x:c>
      <x:c r="C3228" t="str">
        <x:v>C0233</x:v>
      </x:c>
      <x:c r="D3228" t="str">
        <x:v>Shree Mart 233</x:v>
      </x:c>
      <x:c r="E3228" t="str">
        <x:v>Kirana</x:v>
      </x:c>
      <x:c r="F3228" t="str">
        <x:v>Mangaluru</x:v>
      </x:c>
      <x:c r="G3228" t="str">
        <x:v>Priya</x:v>
      </x:c>
      <x:c r="H3228" t="str">
        <x:v>P004</x:v>
      </x:c>
      <x:c r="I3228" t="str">
        <x:v>Toor Dal 5kg</x:v>
      </x:c>
      <x:c r="J3228" t="str">
        <x:v>Pulses</x:v>
      </x:c>
      <x:c r="K3228" t="str">
        <x:v>Tata Sampann</x:v>
      </x:c>
      <x:c r="L3228" s="22" t="n">
        <x:v>780</x:v>
      </x:c>
      <x:c r="M3228" t="n">
        <x:v>20</x:v>
      </x:c>
      <x:c r="N3228" s="24" t="n">
        <x:v>0.03</x:v>
      </x:c>
      <x:c r="O3228" s="22" t="n">
        <x:f>L3228*M3228</x:f>
        <x:v>15600</x:v>
      </x:c>
      <x:c r="P3228" s="22" t="n">
        <x:f>O3228*(1-N3228)</x:f>
        <x:v>15132</x:v>
      </x:c>
      <x:c r="Q3228" s="22" t="n">
        <x:v>695</x:v>
      </x:c>
      <x:c r="R3228" s="22" t="n">
        <x:f>Q3228*M3228</x:f>
        <x:v>13900</x:v>
      </x:c>
      <x:c r="S3228" s="22" t="n">
        <x:f>P3228-R3228</x:f>
        <x:v>1232</x:v>
      </x:c>
      <x:c r="T3228" t="str">
        <x:v>Credit</x:v>
      </x:c>
      <x:c r="U3228" t="str">
        <x:v>Paid</x:v>
      </x:c>
      <x:c r="V3228" t="str">
        <x:v>Delayed</x:v>
      </x:c>
      <x:c r="W3228" t="n">
        <x:v>0</x:v>
      </x:c>
      <x:c r="X3228" t="str"/>
      <x:c r="Y3228" t="str">
        <x:v>Field Visit</x:v>
      </x:c>
    </x:row>
    <x:row r="3229">
      <x:c r="A3229" t="str">
        <x:v>O003228</x:v>
      </x:c>
      <x:c r="B3229" s="20" t="n">
        <x:v>46272</x:v>
      </x:c>
      <x:c r="C3229" t="str">
        <x:v>C0212</x:v>
      </x:c>
      <x:c r="D3229" t="str">
        <x:v>Classic Restaurant 212</x:v>
      </x:c>
      <x:c r="E3229" t="str">
        <x:v>Restaurant</x:v>
      </x:c>
      <x:c r="F3229" t="str">
        <x:v>Mysuru</x:v>
      </x:c>
      <x:c r="G3229" t="str">
        <x:v>Vikram</x:v>
      </x:c>
      <x:c r="H3229" t="str">
        <x:v>P032</x:v>
      </x:c>
      <x:c r="I3229" t="str">
        <x:v>Soy Sauce 700g</x:v>
      </x:c>
      <x:c r="J3229" t="str">
        <x:v>Condiments</x:v>
      </x:c>
      <x:c r="K3229" t="str">
        <x:v>Ching's</x:v>
      </x:c>
      <x:c r="L3229" s="22" t="n">
        <x:v>118</x:v>
      </x:c>
      <x:c r="M3229" t="n">
        <x:v>29</x:v>
      </x:c>
      <x:c r="N3229" s="24" t="n">
        <x:v>0.08</x:v>
      </x:c>
      <x:c r="O3229" s="22" t="n">
        <x:f>L3229*M3229</x:f>
        <x:v>3422</x:v>
      </x:c>
      <x:c r="P3229" s="22" t="n">
        <x:f>O3229*(1-N3229)</x:f>
        <x:v>3148.2400000000002</x:v>
      </x:c>
      <x:c r="Q3229" s="22" t="n">
        <x:v>101</x:v>
      </x:c>
      <x:c r="R3229" s="22" t="n">
        <x:f>Q3229*M3229</x:f>
        <x:v>2929</x:v>
      </x:c>
      <x:c r="S3229" s="22" t="n">
        <x:f>P3229-R3229</x:f>
        <x:v>219.24000000000024</x:v>
      </x:c>
      <x:c r="T3229" t="str">
        <x:v>Bank Transfer</x:v>
      </x:c>
      <x:c r="U3229" t="str">
        <x:v>Paid</x:v>
      </x:c>
      <x:c r="V3229" t="str">
        <x:v>Cancelled</x:v>
      </x:c>
      <x:c r="W3229" t="n">
        <x:v>29</x:v>
      </x:c>
      <x:c r="X3229" t="str">
        <x:v>Cancelled Order</x:v>
      </x:c>
      <x:c r="Y3229" t="str">
        <x:v>Field Visit</x:v>
      </x:c>
    </x:row>
    <x:row r="3230">
      <x:c r="A3230" t="str">
        <x:v>O003229</x:v>
      </x:c>
      <x:c r="B3230" s="20" t="n">
        <x:v>46196</x:v>
      </x:c>
      <x:c r="C3230" t="str">
        <x:v>C0084</x:v>
      </x:c>
      <x:c r="D3230" t="str">
        <x:v>Green Cafe 84</x:v>
      </x:c>
      <x:c r="E3230" t="str">
        <x:v>Hotel</x:v>
      </x:c>
      <x:c r="F3230" t="str">
        <x:v>Mysuru</x:v>
      </x:c>
      <x:c r="G3230" t="str">
        <x:v>Priya</x:v>
      </x:c>
      <x:c r="H3230" t="str">
        <x:v>P016</x:v>
      </x:c>
      <x:c r="I3230" t="str">
        <x:v>Curd 1kg</x:v>
      </x:c>
      <x:c r="J3230" t="str">
        <x:v>Dairy</x:v>
      </x:c>
      <x:c r="K3230" t="str">
        <x:v>Nandini</x:v>
      </x:c>
      <x:c r="L3230" s="22" t="n">
        <x:v>72</x:v>
      </x:c>
      <x:c r="M3230" t="n">
        <x:v>7</x:v>
      </x:c>
      <x:c r="N3230" s="24" t="n">
        <x:v>0.02</x:v>
      </x:c>
      <x:c r="O3230" s="22" t="n">
        <x:f>L3230*M3230</x:f>
        <x:v>504</x:v>
      </x:c>
      <x:c r="P3230" s="22" t="n">
        <x:f>O3230*(1-N3230)</x:f>
        <x:v>493.92</x:v>
      </x:c>
      <x:c r="Q3230" s="22" t="n">
        <x:v>64</x:v>
      </x:c>
      <x:c r="R3230" s="22" t="n">
        <x:f>Q3230*M3230</x:f>
        <x:v>448</x:v>
      </x:c>
      <x:c r="S3230" s="22" t="n">
        <x:f>P3230-R3230</x:f>
        <x:v>45.920000000000016</x:v>
      </x:c>
      <x:c r="T3230" t="str">
        <x:v>UPI</x:v>
      </x:c>
      <x:c r="U3230" t="str">
        <x:v>Paid</x:v>
      </x:c>
      <x:c r="V3230" t="str">
        <x:v>Delivered</x:v>
      </x:c>
      <x:c r="W3230" t="n">
        <x:v>0</x:v>
      </x:c>
      <x:c r="X3230" t="str"/>
      <x:c r="Y3230" t="str">
        <x:v>Referral</x:v>
      </x:c>
    </x:row>
    <x:row r="3231">
      <x:c r="A3231" t="str">
        <x:v>O003230</x:v>
      </x:c>
      <x:c r="B3231" s="20" t="n">
        <x:v>46105</x:v>
      </x:c>
      <x:c r="C3231" t="str">
        <x:v>C0223</x:v>
      </x:c>
      <x:c r="D3231" t="str">
        <x:v>Classic Canteen 223</x:v>
      </x:c>
      <x:c r="E3231" t="str">
        <x:v>Restaurant</x:v>
      </x:c>
      <x:c r="F3231" t="str">
        <x:v>Tumakuru</x:v>
      </x:c>
      <x:c r="G3231" t="str">
        <x:v>Kavya</x:v>
      </x:c>
      <x:c r="H3231" t="str">
        <x:v>P009</x:v>
      </x:c>
      <x:c r="I3231" t="str">
        <x:v>Groundnut Oil 5L</x:v>
      </x:c>
      <x:c r="J3231" t="str">
        <x:v>Edible Oil</x:v>
      </x:c>
      <x:c r="K3231" t="str">
        <x:v>Dhara</x:v>
      </x:c>
      <x:c r="L3231" s="22" t="n">
        <x:v>890</x:v>
      </x:c>
      <x:c r="M3231" t="n">
        <x:v>18</x:v>
      </x:c>
      <x:c r="N3231" s="24" t="n">
        <x:v>0.08</x:v>
      </x:c>
      <x:c r="O3231" s="22" t="n">
        <x:f>L3231*M3231</x:f>
        <x:v>16020</x:v>
      </x:c>
      <x:c r="P3231" s="22" t="n">
        <x:f>O3231*(1-N3231)</x:f>
        <x:v>14738.400000000001</x:v>
      </x:c>
      <x:c r="Q3231" s="22" t="n">
        <x:v>810</x:v>
      </x:c>
      <x:c r="R3231" s="22" t="n">
        <x:f>Q3231*M3231</x:f>
        <x:v>14580</x:v>
      </x:c>
      <x:c r="S3231" s="22" t="n">
        <x:f>P3231-R3231</x:f>
        <x:v>158.40000000000146</x:v>
      </x:c>
      <x:c r="T3231" t="str">
        <x:v>Cash</x:v>
      </x:c>
      <x:c r="U3231" t="str">
        <x:v>Pending</x:v>
      </x:c>
      <x:c r="V3231" t="str">
        <x:v>Delivered</x:v>
      </x:c>
      <x:c r="W3231" t="n">
        <x:v>0</x:v>
      </x:c>
      <x:c r="X3231" t="str"/>
      <x:c r="Y3231" t="str">
        <x:v>Referral</x:v>
      </x:c>
    </x:row>
    <x:row r="3232">
      <x:c r="A3232" t="str">
        <x:v>O003231</x:v>
      </x:c>
      <x:c r="B3232" s="20" t="n">
        <x:v>46136</x:v>
      </x:c>
      <x:c r="C3232" t="str">
        <x:v>C0094</x:v>
      </x:c>
      <x:c r="D3232" t="str">
        <x:v>Mysore Mart 94</x:v>
      </x:c>
      <x:c r="E3232" t="str">
        <x:v>Restaurant</x:v>
      </x:c>
      <x:c r="F3232" t="str">
        <x:v>Hubballi</x:v>
      </x:c>
      <x:c r="G3232" t="str">
        <x:v>Sneha</x:v>
      </x:c>
      <x:c r="H3232" t="str">
        <x:v>P042</x:v>
      </x:c>
      <x:c r="I3232" t="str">
        <x:v>Eggs 30pc Tray</x:v>
      </x:c>
      <x:c r="J3232" t="str">
        <x:v>Protein</x:v>
      </x:c>
      <x:c r="K3232" t="str">
        <x:v>Farm Fresh</x:v>
      </x:c>
      <x:c r="L3232" s="22" t="n">
        <x:v>195</x:v>
      </x:c>
      <x:c r="M3232" t="n">
        <x:v>27</x:v>
      </x:c>
      <x:c r="N3232" s="24" t="n">
        <x:v>0.05</x:v>
      </x:c>
      <x:c r="O3232" s="22" t="n">
        <x:f>L3232*M3232</x:f>
        <x:v>5265</x:v>
      </x:c>
      <x:c r="P3232" s="22" t="n">
        <x:f>O3232*(1-N3232)</x:f>
        <x:v>5001.75</x:v>
      </x:c>
      <x:c r="Q3232" s="22" t="n">
        <x:v>170</x:v>
      </x:c>
      <x:c r="R3232" s="22" t="n">
        <x:f>Q3232*M3232</x:f>
        <x:v>4590</x:v>
      </x:c>
      <x:c r="S3232" s="22" t="n">
        <x:f>P3232-R3232</x:f>
        <x:v>411.75</x:v>
      </x:c>
      <x:c r="T3232" t="str">
        <x:v>UPI</x:v>
      </x:c>
      <x:c r="U3232" t="str">
        <x:v>Paid</x:v>
      </x:c>
      <x:c r="V3232" t="str">
        <x:v>Delivered</x:v>
      </x:c>
      <x:c r="W3232" t="n">
        <x:v>0</x:v>
      </x:c>
      <x:c r="X3232" t="str"/>
      <x:c r="Y3232" t="str">
        <x:v>Referral</x:v>
      </x:c>
    </x:row>
    <x:row r="3233">
      <x:c r="A3233" t="str">
        <x:v>O003232</x:v>
      </x:c>
      <x:c r="B3233" s="20" t="n">
        <x:v>46246</x:v>
      </x:c>
      <x:c r="C3233" t="str">
        <x:v>C0132</x:v>
      </x:c>
      <x:c r="D3233" t="str">
        <x:v>Classic Stores 132</x:v>
      </x:c>
      <x:c r="E3233" t="str">
        <x:v>Cafe</x:v>
      </x:c>
      <x:c r="F3233" t="str">
        <x:v>Mysuru</x:v>
      </x:c>
      <x:c r="G3233" t="str">
        <x:v>Megha</x:v>
      </x:c>
      <x:c r="H3233" t="str">
        <x:v>P008</x:v>
      </x:c>
      <x:c r="I3233" t="str">
        <x:v>Palm Oil 15L</x:v>
      </x:c>
      <x:c r="J3233" t="str">
        <x:v>Edible Oil</x:v>
      </x:c>
      <x:c r="K3233" t="str">
        <x:v>Ruchi Gold</x:v>
      </x:c>
      <x:c r="L3233" s="22" t="n">
        <x:v>1760</x:v>
      </x:c>
      <x:c r="M3233" t="n">
        <x:v>12</x:v>
      </x:c>
      <x:c r="N3233" s="24" t="n">
        <x:v>0.05</x:v>
      </x:c>
      <x:c r="O3233" s="22" t="n">
        <x:f>L3233*M3233</x:f>
        <x:v>21120</x:v>
      </x:c>
      <x:c r="P3233" s="22" t="n">
        <x:f>O3233*(1-N3233)</x:f>
        <x:v>20064</x:v>
      </x:c>
      <x:c r="Q3233" s="22" t="n">
        <x:v>1610</x:v>
      </x:c>
      <x:c r="R3233" s="22" t="n">
        <x:f>Q3233*M3233</x:f>
        <x:v>19320</x:v>
      </x:c>
      <x:c r="S3233" s="22" t="n">
        <x:f>P3233-R3233</x:f>
        <x:v>744</x:v>
      </x:c>
      <x:c r="T3233" t="str">
        <x:v>Cash</x:v>
      </x:c>
      <x:c r="U3233" t="str">
        <x:v>Pending</x:v>
      </x:c>
      <x:c r="V3233" t="str">
        <x:v>Delivered</x:v>
      </x:c>
      <x:c r="W3233" t="n">
        <x:v>0</x:v>
      </x:c>
      <x:c r="X3233" t="str"/>
      <x:c r="Y3233" t="str">
        <x:v>WhatsApp</x:v>
      </x:c>
    </x:row>
    <x:row r="3234">
      <x:c r="A3234" t="str">
        <x:v>O003233</x:v>
      </x:c>
      <x:c r="B3234" s="20" t="n">
        <x:v>45673</x:v>
      </x:c>
      <x:c r="C3234" t="str">
        <x:v>C0173</x:v>
      </x:c>
      <x:c r="D3234" t="str">
        <x:v>Royal Kitchen 173</x:v>
      </x:c>
      <x:c r="E3234" t="str">
        <x:v>Hotel</x:v>
      </x:c>
      <x:c r="F3234" t="str">
        <x:v>Bengaluru</x:v>
      </x:c>
      <x:c r="G3234" t="str">
        <x:v>Priya</x:v>
      </x:c>
      <x:c r="H3234" t="str">
        <x:v>P022</x:v>
      </x:c>
      <x:c r="I3234" t="str">
        <x:v>Mineral Water 1L</x:v>
      </x:c>
      <x:c r="J3234" t="str">
        <x:v>Beverage</x:v>
      </x:c>
      <x:c r="K3234" t="str">
        <x:v>Bisleri</x:v>
      </x:c>
      <x:c r="L3234" s="22" t="n">
        <x:v>19</x:v>
      </x:c>
      <x:c r="M3234" t="n">
        <x:v>19</x:v>
      </x:c>
      <x:c r="N3234" s="24" t="n">
        <x:v>0.03</x:v>
      </x:c>
      <x:c r="O3234" s="22" t="n">
        <x:f>L3234*M3234</x:f>
        <x:v>361</x:v>
      </x:c>
      <x:c r="P3234" s="22" t="n">
        <x:f>O3234*(1-N3234)</x:f>
        <x:v>350.17</x:v>
      </x:c>
      <x:c r="Q3234" s="22" t="n">
        <x:v>15</x:v>
      </x:c>
      <x:c r="R3234" s="22" t="n">
        <x:f>Q3234*M3234</x:f>
        <x:v>285</x:v>
      </x:c>
      <x:c r="S3234" s="22" t="n">
        <x:f>P3234-R3234</x:f>
        <x:v>65.17000000000002</x:v>
      </x:c>
      <x:c r="T3234" t="str">
        <x:v>Cash</x:v>
      </x:c>
      <x:c r="U3234" t="str">
        <x:v>Paid</x:v>
      </x:c>
      <x:c r="V3234" t="str">
        <x:v>Delivered</x:v>
      </x:c>
      <x:c r="W3234" t="n">
        <x:v>0</x:v>
      </x:c>
      <x:c r="X3234" t="str"/>
      <x:c r="Y3234" t="str">
        <x:v>Field Visit</x:v>
      </x:c>
    </x:row>
    <x:row r="3235">
      <x:c r="A3235" t="str">
        <x:v>O003234</x:v>
      </x:c>
      <x:c r="B3235" s="20" t="n">
        <x:v>45797</x:v>
      </x:c>
      <x:c r="C3235" t="str">
        <x:v>C0131</x:v>
      </x:c>
      <x:c r="D3235" t="str">
        <x:v>Foodie Canteen 131</x:v>
      </x:c>
      <x:c r="E3235" t="str">
        <x:v>Canteen</x:v>
      </x:c>
      <x:c r="F3235" t="str">
        <x:v>Davanagere</x:v>
      </x:c>
      <x:c r="G3235" t="str">
        <x:v>Arjun</x:v>
      </x:c>
      <x:c r="H3235" t="str">
        <x:v>P037</x:v>
      </x:c>
      <x:c r="I3235" t="str">
        <x:v>Frozen Peas 1kg</x:v>
      </x:c>
      <x:c r="J3235" t="str">
        <x:v>Frozen</x:v>
      </x:c>
      <x:c r="K3235" t="str">
        <x:v>Safal</x:v>
      </x:c>
      <x:c r="L3235" s="22" t="n">
        <x:v>155</x:v>
      </x:c>
      <x:c r="M3235" t="n">
        <x:v>17</x:v>
      </x:c>
      <x:c r="N3235" s="24" t="n">
        <x:v>0.02</x:v>
      </x:c>
      <x:c r="O3235" s="22" t="n">
        <x:f>L3235*M3235</x:f>
        <x:v>2635</x:v>
      </x:c>
      <x:c r="P3235" s="22" t="n">
        <x:f>O3235*(1-N3235)</x:f>
        <x:v>2582.2999999999997</x:v>
      </x:c>
      <x:c r="Q3235" s="22" t="n">
        <x:v>138</x:v>
      </x:c>
      <x:c r="R3235" s="22" t="n">
        <x:f>Q3235*M3235</x:f>
        <x:v>2346</x:v>
      </x:c>
      <x:c r="S3235" s="22" t="n">
        <x:f>P3235-R3235</x:f>
        <x:v>236.29999999999973</x:v>
      </x:c>
      <x:c r="T3235" t="str">
        <x:v>Cash</x:v>
      </x:c>
      <x:c r="U3235" t="str">
        <x:v>Paid</x:v>
      </x:c>
      <x:c r="V3235" t="str">
        <x:v>Delivered</x:v>
      </x:c>
      <x:c r="W3235" t="n">
        <x:v>4</x:v>
      </x:c>
      <x:c r="X3235" t="str">
        <x:v>Quality Issue</x:v>
      </x:c>
      <x:c r="Y3235" t="str">
        <x:v>Field Visit</x:v>
      </x:c>
    </x:row>
    <x:row r="3236">
      <x:c r="A3236" t="str">
        <x:v>O003235</x:v>
      </x:c>
      <x:c r="B3236" s="20" t="n">
        <x:v>45873</x:v>
      </x:c>
      <x:c r="C3236" t="str">
        <x:v>C0154</x:v>
      </x:c>
      <x:c r="D3236" t="str">
        <x:v>Royal Restaurant 154</x:v>
      </x:c>
      <x:c r="E3236" t="str">
        <x:v>Restaurant</x:v>
      </x:c>
      <x:c r="F3236" t="str">
        <x:v>Tumakuru</x:v>
      </x:c>
      <x:c r="G3236" t="str">
        <x:v>Kavya</x:v>
      </x:c>
      <x:c r="H3236" t="str">
        <x:v>P045</x:v>
      </x:c>
      <x:c r="I3236" t="str">
        <x:v>Onion 25kg</x:v>
      </x:c>
      <x:c r="J3236" t="str">
        <x:v>Fresh Produce</x:v>
      </x:c>
      <x:c r="K3236" t="str">
        <x:v>Local Market</x:v>
      </x:c>
      <x:c r="L3236" s="22" t="n">
        <x:v>875</x:v>
      </x:c>
      <x:c r="M3236" t="n">
        <x:v>24</x:v>
      </x:c>
      <x:c r="N3236" s="24" t="n">
        <x:v>0.08</x:v>
      </x:c>
      <x:c r="O3236" s="22" t="n">
        <x:f>L3236*M3236</x:f>
        <x:v>21000</x:v>
      </x:c>
      <x:c r="P3236" s="22" t="n">
        <x:f>O3236*(1-N3236)</x:f>
        <x:v>19320</x:v>
      </x:c>
      <x:c r="Q3236" s="22" t="n">
        <x:v>760</x:v>
      </x:c>
      <x:c r="R3236" s="22" t="n">
        <x:f>Q3236*M3236</x:f>
        <x:v>18240</x:v>
      </x:c>
      <x:c r="S3236" s="22" t="n">
        <x:f>P3236-R3236</x:f>
        <x:v>1080</x:v>
      </x:c>
      <x:c r="T3236" t="str">
        <x:v>UPI</x:v>
      </x:c>
      <x:c r="U3236" t="str">
        <x:v>Pending</x:v>
      </x:c>
      <x:c r="V3236" t="str">
        <x:v>Delayed</x:v>
      </x:c>
      <x:c r="W3236" t="n">
        <x:v>0</x:v>
      </x:c>
      <x:c r="X3236" t="str"/>
      <x:c r="Y3236" t="str">
        <x:v>Referral</x:v>
      </x:c>
    </x:row>
    <x:row r="3237">
      <x:c r="A3237" t="str">
        <x:v>O003236</x:v>
      </x:c>
      <x:c r="B3237" s="20" t="n">
        <x:v>45995</x:v>
      </x:c>
      <x:c r="C3237" t="str">
        <x:v>C0115</x:v>
      </x:c>
      <x:c r="D3237" t="str">
        <x:v>Mysore Mart 115</x:v>
      </x:c>
      <x:c r="E3237" t="str">
        <x:v>Kirana</x:v>
      </x:c>
      <x:c r="F3237" t="str">
        <x:v>Mangaluru</x:v>
      </x:c>
      <x:c r="G3237" t="str">
        <x:v>Arjun</x:v>
      </x:c>
      <x:c r="H3237" t="str">
        <x:v>P029</x:v>
      </x:c>
      <x:c r="I3237" t="str">
        <x:v>Tomato Ketchup 1kg</x:v>
      </x:c>
      <x:c r="J3237" t="str">
        <x:v>Condiments</x:v>
      </x:c>
      <x:c r="K3237" t="str">
        <x:v>Kissan</x:v>
      </x:c>
      <x:c r="L3237" s="22" t="n">
        <x:v>145</x:v>
      </x:c>
      <x:c r="M3237" t="n">
        <x:v>20</x:v>
      </x:c>
      <x:c r="N3237" s="24" t="n">
        <x:v>0.03</x:v>
      </x:c>
      <x:c r="O3237" s="22" t="n">
        <x:f>L3237*M3237</x:f>
        <x:v>2900</x:v>
      </x:c>
      <x:c r="P3237" s="22" t="n">
        <x:f>O3237*(1-N3237)</x:f>
        <x:v>2813</x:v>
      </x:c>
      <x:c r="Q3237" s="22" t="n">
        <x:v>126</x:v>
      </x:c>
      <x:c r="R3237" s="22" t="n">
        <x:f>Q3237*M3237</x:f>
        <x:v>2520</x:v>
      </x:c>
      <x:c r="S3237" s="22" t="n">
        <x:f>P3237-R3237</x:f>
        <x:v>293</x:v>
      </x:c>
      <x:c r="T3237" t="str">
        <x:v>Credit</x:v>
      </x:c>
      <x:c r="U3237" t="str">
        <x:v>Paid</x:v>
      </x:c>
      <x:c r="V3237" t="str">
        <x:v>Delivered</x:v>
      </x:c>
      <x:c r="W3237" t="n">
        <x:v>0</x:v>
      </x:c>
      <x:c r="X3237" t="str"/>
      <x:c r="Y3237" t="str">
        <x:v>Existing Customer</x:v>
      </x:c>
    </x:row>
    <x:row r="3238">
      <x:c r="A3238" t="str">
        <x:v>O003237</x:v>
      </x:c>
      <x:c r="B3238" s="20" t="n">
        <x:v>45778</x:v>
      </x:c>
      <x:c r="C3238" t="str">
        <x:v>C0095</x:v>
      </x:c>
      <x:c r="D3238" t="str">
        <x:v>Spice Restaurant 95</x:v>
      </x:c>
      <x:c r="E3238" t="str">
        <x:v>Restaurant</x:v>
      </x:c>
      <x:c r="F3238" t="str">
        <x:v>Bengaluru</x:v>
      </x:c>
      <x:c r="G3238" t="str">
        <x:v>Megha</x:v>
      </x:c>
      <x:c r="H3238" t="str">
        <x:v>P019</x:v>
      </x:c>
      <x:c r="I3238" t="str">
        <x:v>Tea 1kg</x:v>
      </x:c>
      <x:c r="J3238" t="str">
        <x:v>Beverage</x:v>
      </x:c>
      <x:c r="K3238" t="str">
        <x:v>Red Label</x:v>
      </x:c>
      <x:c r="L3238" s="22" t="n">
        <x:v>540</x:v>
      </x:c>
      <x:c r="M3238" t="n">
        <x:v>9</x:v>
      </x:c>
      <x:c r="N3238" s="24" t="n">
        <x:v>0</x:v>
      </x:c>
      <x:c r="O3238" s="22" t="n">
        <x:f>L3238*M3238</x:f>
        <x:v>4860</x:v>
      </x:c>
      <x:c r="P3238" s="22" t="n">
        <x:f>O3238*(1-N3238)</x:f>
        <x:v>4860</x:v>
      </x:c>
      <x:c r="Q3238" s="22" t="n">
        <x:v>485</x:v>
      </x:c>
      <x:c r="R3238" s="22" t="n">
        <x:f>Q3238*M3238</x:f>
        <x:v>4365</x:v>
      </x:c>
      <x:c r="S3238" s="22" t="n">
        <x:f>P3238-R3238</x:f>
        <x:v>495</x:v>
      </x:c>
      <x:c r="T3238" t="str">
        <x:v>Credit</x:v>
      </x:c>
      <x:c r="U3238" t="str">
        <x:v>Paid</x:v>
      </x:c>
      <x:c r="V3238" t="str">
        <x:v>Delivered</x:v>
      </x:c>
      <x:c r="W3238" t="n">
        <x:v>0</x:v>
      </x:c>
      <x:c r="X3238" t="str"/>
      <x:c r="Y3238" t="str">
        <x:v>Referral</x:v>
      </x:c>
    </x:row>
    <x:row r="3239">
      <x:c r="A3239" t="str">
        <x:v>O003238</x:v>
      </x:c>
      <x:c r="B3239" s="20" t="n">
        <x:v>45697</x:v>
      </x:c>
      <x:c r="C3239" t="str">
        <x:v>C0121</x:v>
      </x:c>
      <x:c r="D3239" t="str">
        <x:v>Mysore Restaurant 121</x:v>
      </x:c>
      <x:c r="E3239" t="str">
        <x:v>Cafe</x:v>
      </x:c>
      <x:c r="F3239" t="str">
        <x:v>Mysuru</x:v>
      </x:c>
      <x:c r="G3239" t="str">
        <x:v>Sneha</x:v>
      </x:c>
      <x:c r="H3239" t="str">
        <x:v>P040</x:v>
      </x:c>
      <x:c r="I3239" t="str">
        <x:v>Bread Loaf 400g</x:v>
      </x:c>
      <x:c r="J3239" t="str">
        <x:v>Bakery</x:v>
      </x:c>
      <x:c r="K3239" t="str">
        <x:v>Britannia</x:v>
      </x:c>
      <x:c r="L3239" s="22" t="n">
        <x:v>45</x:v>
      </x:c>
      <x:c r="M3239" t="n">
        <x:v>2</x:v>
      </x:c>
      <x:c r="N3239" s="24" t="n">
        <x:v>0.03</x:v>
      </x:c>
      <x:c r="O3239" s="22" t="n">
        <x:f>L3239*M3239</x:f>
        <x:v>90</x:v>
      </x:c>
      <x:c r="P3239" s="22" t="n">
        <x:f>O3239*(1-N3239)</x:f>
        <x:v>87.3</x:v>
      </x:c>
      <x:c r="Q3239" s="22" t="n">
        <x:v>35</x:v>
      </x:c>
      <x:c r="R3239" s="22" t="n">
        <x:f>Q3239*M3239</x:f>
        <x:v>70</x:v>
      </x:c>
      <x:c r="S3239" s="22" t="n">
        <x:f>P3239-R3239</x:f>
        <x:v>17.299999999999997</x:v>
      </x:c>
      <x:c r="T3239" t="str">
        <x:v>Cash</x:v>
      </x:c>
      <x:c r="U3239" t="str">
        <x:v>Pending</x:v>
      </x:c>
      <x:c r="V3239" t="str">
        <x:v>Delivered</x:v>
      </x:c>
      <x:c r="W3239" t="n">
        <x:v>0</x:v>
      </x:c>
      <x:c r="X3239" t="str"/>
      <x:c r="Y3239" t="str">
        <x:v>Field Visit</x:v>
      </x:c>
    </x:row>
    <x:row r="3240">
      <x:c r="A3240" t="str">
        <x:v>O003239</x:v>
      </x:c>
      <x:c r="B3240" s="20" t="n">
        <x:v>46084</x:v>
      </x:c>
      <x:c r="C3240" t="str">
        <x:v>C0080</x:v>
      </x:c>
      <x:c r="D3240" t="str">
        <x:v>Annapurna Canteen 80</x:v>
      </x:c>
      <x:c r="E3240" t="str">
        <x:v>Restaurant</x:v>
      </x:c>
      <x:c r="F3240" t="str">
        <x:v>Mangaluru</x:v>
      </x:c>
      <x:c r="G3240" t="str">
        <x:v>Priya</x:v>
      </x:c>
      <x:c r="H3240" t="str">
        <x:v>P037</x:v>
      </x:c>
      <x:c r="I3240" t="str">
        <x:v>Frozen Peas 1kg</x:v>
      </x:c>
      <x:c r="J3240" t="str">
        <x:v>Frozen</x:v>
      </x:c>
      <x:c r="K3240" t="str">
        <x:v>Safal</x:v>
      </x:c>
      <x:c r="L3240" s="22" t="n">
        <x:v>155</x:v>
      </x:c>
      <x:c r="M3240" t="n">
        <x:v>30</x:v>
      </x:c>
      <x:c r="N3240" s="24" t="n">
        <x:v>0.08</x:v>
      </x:c>
      <x:c r="O3240" s="22" t="n">
        <x:f>L3240*M3240</x:f>
        <x:v>4650</x:v>
      </x:c>
      <x:c r="P3240" s="22" t="n">
        <x:f>O3240*(1-N3240)</x:f>
        <x:v>4278</x:v>
      </x:c>
      <x:c r="Q3240" s="22" t="n">
        <x:v>138</x:v>
      </x:c>
      <x:c r="R3240" s="22" t="n">
        <x:f>Q3240*M3240</x:f>
        <x:v>4140</x:v>
      </x:c>
      <x:c r="S3240" s="22" t="n">
        <x:f>P3240-R3240</x:f>
        <x:v>138</x:v>
      </x:c>
      <x:c r="T3240" t="str">
        <x:v>UPI</x:v>
      </x:c>
      <x:c r="U3240" t="str">
        <x:v>Paid</x:v>
      </x:c>
      <x:c r="V3240" t="str">
        <x:v>Delivered</x:v>
      </x:c>
      <x:c r="W3240" t="n">
        <x:v>0</x:v>
      </x:c>
      <x:c r="X3240" t="str"/>
      <x:c r="Y3240" t="str">
        <x:v>Existing Customer</x:v>
      </x:c>
    </x:row>
    <x:row r="3241">
      <x:c r="A3241" t="str">
        <x:v>O003240</x:v>
      </x:c>
      <x:c r="B3241" s="20" t="n">
        <x:v>46158</x:v>
      </x:c>
      <x:c r="C3241" t="str">
        <x:v>C0108</x:v>
      </x:c>
      <x:c r="D3241" t="str">
        <x:v>Spice Mart 108</x:v>
      </x:c>
      <x:c r="E3241" t="str">
        <x:v>Supermarket</x:v>
      </x:c>
      <x:c r="F3241" t="str">
        <x:v>Hubballi</x:v>
      </x:c>
      <x:c r="G3241" t="str">
        <x:v>Kavya</x:v>
      </x:c>
      <x:c r="H3241" t="str">
        <x:v>P043</x:v>
      </x:c>
      <x:c r="I3241" t="str">
        <x:v>Chicken Breast 1kg</x:v>
      </x:c>
      <x:c r="J3241" t="str">
        <x:v>Protein</x:v>
      </x:c>
      <x:c r="K3241" t="str">
        <x:v>FreshToHome</x:v>
      </x:c>
      <x:c r="L3241" s="22" t="n">
        <x:v>260</x:v>
      </x:c>
      <x:c r="M3241" t="n">
        <x:v>8</x:v>
      </x:c>
      <x:c r="N3241" s="24" t="n">
        <x:v>0</x:v>
      </x:c>
      <x:c r="O3241" s="22" t="n">
        <x:f>L3241*M3241</x:f>
        <x:v>2080</x:v>
      </x:c>
      <x:c r="P3241" s="22" t="n">
        <x:f>O3241*(1-N3241)</x:f>
        <x:v>2080</x:v>
      </x:c>
      <x:c r="Q3241" s="22" t="n">
        <x:v>235</x:v>
      </x:c>
      <x:c r="R3241" s="22" t="n">
        <x:f>Q3241*M3241</x:f>
        <x:v>1880</x:v>
      </x:c>
      <x:c r="S3241" s="22" t="n">
        <x:f>P3241-R3241</x:f>
        <x:v>200</x:v>
      </x:c>
      <x:c r="T3241" t="str">
        <x:v>Cash</x:v>
      </x:c>
      <x:c r="U3241" t="str">
        <x:v>Paid</x:v>
      </x:c>
      <x:c r="V3241" t="str">
        <x:v>Delivered</x:v>
      </x:c>
      <x:c r="W3241" t="n">
        <x:v>0</x:v>
      </x:c>
      <x:c r="X3241" t="str"/>
      <x:c r="Y3241" t="str">
        <x:v>Referral</x:v>
      </x:c>
    </x:row>
    <x:row r="3242">
      <x:c r="A3242" t="str">
        <x:v>O003241</x:v>
      </x:c>
      <x:c r="B3242" s="20" t="n">
        <x:v>45927</x:v>
      </x:c>
      <x:c r="C3242" t="str">
        <x:v>C0111</x:v>
      </x:c>
      <x:c r="D3242" t="str">
        <x:v>Metro Kitchen 111</x:v>
      </x:c>
      <x:c r="E3242" t="str">
        <x:v>Restaurant</x:v>
      </x:c>
      <x:c r="F3242" t="str">
        <x:v>Davanagere</x:v>
      </x:c>
      <x:c r="G3242" t="str">
        <x:v>Sneha</x:v>
      </x:c>
      <x:c r="H3242" t="str">
        <x:v>P029</x:v>
      </x:c>
      <x:c r="I3242" t="str">
        <x:v>Tomato Ketchup 1kg</x:v>
      </x:c>
      <x:c r="J3242" t="str">
        <x:v>Condiments</x:v>
      </x:c>
      <x:c r="K3242" t="str">
        <x:v>Kissan</x:v>
      </x:c>
      <x:c r="L3242" s="22" t="n">
        <x:v>145</x:v>
      </x:c>
      <x:c r="M3242" t="n">
        <x:v>40</x:v>
      </x:c>
      <x:c r="N3242" s="24" t="n">
        <x:v>0.05</x:v>
      </x:c>
      <x:c r="O3242" s="22" t="n">
        <x:f>L3242*M3242</x:f>
        <x:v>5800</x:v>
      </x:c>
      <x:c r="P3242" s="22" t="n">
        <x:f>O3242*(1-N3242)</x:f>
        <x:v>5510</x:v>
      </x:c>
      <x:c r="Q3242" s="22" t="n">
        <x:v>126</x:v>
      </x:c>
      <x:c r="R3242" s="22" t="n">
        <x:f>Q3242*M3242</x:f>
        <x:v>5040</x:v>
      </x:c>
      <x:c r="S3242" s="22" t="n">
        <x:f>P3242-R3242</x:f>
        <x:v>470</x:v>
      </x:c>
      <x:c r="T3242" t="str">
        <x:v>UPI</x:v>
      </x:c>
      <x:c r="U3242" t="str">
        <x:v>Paid</x:v>
      </x:c>
      <x:c r="V3242" t="str">
        <x:v>Delivered</x:v>
      </x:c>
      <x:c r="W3242" t="n">
        <x:v>0</x:v>
      </x:c>
      <x:c r="X3242" t="str"/>
      <x:c r="Y3242" t="str">
        <x:v>Referral</x:v>
      </x:c>
    </x:row>
    <x:row r="3243">
      <x:c r="A3243" t="str">
        <x:v>O003242</x:v>
      </x:c>
      <x:c r="B3243" s="20" t="n">
        <x:v>46064</x:v>
      </x:c>
      <x:c r="C3243" t="str">
        <x:v>C0174</x:v>
      </x:c>
      <x:c r="D3243" t="str">
        <x:v>Classic Stores 174</x:v>
      </x:c>
      <x:c r="E3243" t="str">
        <x:v>Kirana</x:v>
      </x:c>
      <x:c r="F3243" t="str">
        <x:v>Mysuru</x:v>
      </x:c>
      <x:c r="G3243" t="str">
        <x:v>Vikram</x:v>
      </x:c>
      <x:c r="H3243" t="str">
        <x:v>P031</x:v>
      </x:c>
      <x:c r="I3243" t="str">
        <x:v>Chilli Sauce 700g</x:v>
      </x:c>
      <x:c r="J3243" t="str">
        <x:v>Condiments</x:v>
      </x:c>
      <x:c r="K3243" t="str">
        <x:v>Ching's</x:v>
      </x:c>
      <x:c r="L3243" s="22" t="n">
        <x:v>130</x:v>
      </x:c>
      <x:c r="M3243" t="n">
        <x:v>24</x:v>
      </x:c>
      <x:c r="N3243" s="24" t="n">
        <x:v>0</x:v>
      </x:c>
      <x:c r="O3243" s="22" t="n">
        <x:f>L3243*M3243</x:f>
        <x:v>3120</x:v>
      </x:c>
      <x:c r="P3243" s="22" t="n">
        <x:f>O3243*(1-N3243)</x:f>
        <x:v>3120</x:v>
      </x:c>
      <x:c r="Q3243" s="22" t="n">
        <x:v>112</x:v>
      </x:c>
      <x:c r="R3243" s="22" t="n">
        <x:f>Q3243*M3243</x:f>
        <x:v>2688</x:v>
      </x:c>
      <x:c r="S3243" s="22" t="n">
        <x:f>P3243-R3243</x:f>
        <x:v>432</x:v>
      </x:c>
      <x:c r="T3243" t="str">
        <x:v>UPI</x:v>
      </x:c>
      <x:c r="U3243" t="str">
        <x:v>Overdue</x:v>
      </x:c>
      <x:c r="V3243" t="str">
        <x:v>Delivered</x:v>
      </x:c>
      <x:c r="W3243" t="n">
        <x:v>0</x:v>
      </x:c>
      <x:c r="X3243" t="str"/>
      <x:c r="Y3243" t="str">
        <x:v>Referral</x:v>
      </x:c>
    </x:row>
    <x:row r="3244">
      <x:c r="A3244" t="str">
        <x:v>O003243</x:v>
      </x:c>
      <x:c r="B3244" s="20" t="n">
        <x:v>45708</x:v>
      </x:c>
      <x:c r="C3244" t="str">
        <x:v>C0128</x:v>
      </x:c>
      <x:c r="D3244" t="str">
        <x:v>Fresh Hotel 128</x:v>
      </x:c>
      <x:c r="E3244" t="str">
        <x:v>Kirana</x:v>
      </x:c>
      <x:c r="F3244" t="str">
        <x:v>Tumakuru</x:v>
      </x:c>
      <x:c r="G3244" t="str">
        <x:v>Priya</x:v>
      </x:c>
      <x:c r="H3244" t="str">
        <x:v>P041</x:v>
      </x:c>
      <x:c r="I3244" t="str">
        <x:v>Burger Bun 6pc</x:v>
      </x:c>
      <x:c r="J3244" t="str">
        <x:v>Bakery</x:v>
      </x:c>
      <x:c r="K3244" t="str">
        <x:v>Modern</x:v>
      </x:c>
      <x:c r="L3244" s="22" t="n">
        <x:v>42</x:v>
      </x:c>
      <x:c r="M3244" t="n">
        <x:v>4</x:v>
      </x:c>
      <x:c r="N3244" s="24" t="n">
        <x:v>0.02</x:v>
      </x:c>
      <x:c r="O3244" s="22" t="n">
        <x:f>L3244*M3244</x:f>
        <x:v>168</x:v>
      </x:c>
      <x:c r="P3244" s="22" t="n">
        <x:f>O3244*(1-N3244)</x:f>
        <x:v>164.64</x:v>
      </x:c>
      <x:c r="Q3244" s="22" t="n">
        <x:v>32</x:v>
      </x:c>
      <x:c r="R3244" s="22" t="n">
        <x:f>Q3244*M3244</x:f>
        <x:v>128</x:v>
      </x:c>
      <x:c r="S3244" s="22" t="n">
        <x:f>P3244-R3244</x:f>
        <x:v>36.639999999999986</x:v>
      </x:c>
      <x:c r="T3244" t="str">
        <x:v>Cash</x:v>
      </x:c>
      <x:c r="U3244" t="str">
        <x:v>Paid</x:v>
      </x:c>
      <x:c r="V3244" t="str">
        <x:v>Delivered</x:v>
      </x:c>
      <x:c r="W3244" t="n">
        <x:v>0</x:v>
      </x:c>
      <x:c r="X3244" t="str"/>
      <x:c r="Y3244" t="str">
        <x:v>Field Visit</x:v>
      </x:c>
    </x:row>
    <x:row r="3245">
      <x:c r="A3245" t="str">
        <x:v>O003244</x:v>
      </x:c>
      <x:c r="B3245" s="20" t="n">
        <x:v>46030</x:v>
      </x:c>
      <x:c r="C3245" t="str">
        <x:v>C0247</x:v>
      </x:c>
      <x:c r="D3245" t="str">
        <x:v>Fresh Canteen 247</x:v>
      </x:c>
      <x:c r="E3245" t="str">
        <x:v>Restaurant</x:v>
      </x:c>
      <x:c r="F3245" t="str">
        <x:v>Hubballi</x:v>
      </x:c>
      <x:c r="G3245" t="str">
        <x:v>Kavya</x:v>
      </x:c>
      <x:c r="H3245" t="str">
        <x:v>P022</x:v>
      </x:c>
      <x:c r="I3245" t="str">
        <x:v>Mineral Water 1L</x:v>
      </x:c>
      <x:c r="J3245" t="str">
        <x:v>Beverage</x:v>
      </x:c>
      <x:c r="K3245" t="str">
        <x:v>Bisleri</x:v>
      </x:c>
      <x:c r="L3245" s="22" t="n">
        <x:v>19</x:v>
      </x:c>
      <x:c r="M3245" t="n">
        <x:v>28</x:v>
      </x:c>
      <x:c r="N3245" s="24" t="n">
        <x:v>0.05</x:v>
      </x:c>
      <x:c r="O3245" s="22" t="n">
        <x:f>L3245*M3245</x:f>
        <x:v>532</x:v>
      </x:c>
      <x:c r="P3245" s="22" t="n">
        <x:f>O3245*(1-N3245)</x:f>
        <x:v>505.4</x:v>
      </x:c>
      <x:c r="Q3245" s="22" t="n">
        <x:v>15</x:v>
      </x:c>
      <x:c r="R3245" s="22" t="n">
        <x:f>Q3245*M3245</x:f>
        <x:v>420</x:v>
      </x:c>
      <x:c r="S3245" s="22" t="n">
        <x:f>P3245-R3245</x:f>
        <x:v>85.39999999999998</x:v>
      </x:c>
      <x:c r="T3245" t="str">
        <x:v>UPI</x:v>
      </x:c>
      <x:c r="U3245" t="str">
        <x:v>Paid</x:v>
      </x:c>
      <x:c r="V3245" t="str">
        <x:v>Delayed</x:v>
      </x:c>
      <x:c r="W3245" t="n">
        <x:v>0</x:v>
      </x:c>
      <x:c r="X3245" t="str"/>
      <x:c r="Y3245" t="str">
        <x:v>Referral</x:v>
      </x:c>
    </x:row>
    <x:row r="3246">
      <x:c r="A3246" t="str">
        <x:v>O003245</x:v>
      </x:c>
      <x:c r="B3246" s="20" t="n">
        <x:v>46153</x:v>
      </x:c>
      <x:c r="C3246" t="str">
        <x:v>C0204</x:v>
      </x:c>
      <x:c r="D3246" t="str">
        <x:v>Udupi Stores 204</x:v>
      </x:c>
      <x:c r="E3246" t="str">
        <x:v>Kirana</x:v>
      </x:c>
      <x:c r="F3246" t="str">
        <x:v>Bengaluru</x:v>
      </x:c>
      <x:c r="G3246" t="str">
        <x:v>Vikram</x:v>
      </x:c>
      <x:c r="H3246" t="str">
        <x:v>P043</x:v>
      </x:c>
      <x:c r="I3246" t="str">
        <x:v>Chicken Breast 1kg</x:v>
      </x:c>
      <x:c r="J3246" t="str">
        <x:v>Protein</x:v>
      </x:c>
      <x:c r="K3246" t="str">
        <x:v>FreshToHome</x:v>
      </x:c>
      <x:c r="L3246" s="22" t="n">
        <x:v>260</x:v>
      </x:c>
      <x:c r="M3246" t="n">
        <x:v>27</x:v>
      </x:c>
      <x:c r="N3246" s="24" t="n">
        <x:v>0.03</x:v>
      </x:c>
      <x:c r="O3246" s="22" t="n">
        <x:f>L3246*M3246</x:f>
        <x:v>7020</x:v>
      </x:c>
      <x:c r="P3246" s="22" t="n">
        <x:f>O3246*(1-N3246)</x:f>
        <x:v>6809.4</x:v>
      </x:c>
      <x:c r="Q3246" s="22" t="n">
        <x:v>235</x:v>
      </x:c>
      <x:c r="R3246" s="22" t="n">
        <x:f>Q3246*M3246</x:f>
        <x:v>6345</x:v>
      </x:c>
      <x:c r="S3246" s="22" t="n">
        <x:f>P3246-R3246</x:f>
        <x:v>464.39999999999964</x:v>
      </x:c>
      <x:c r="T3246" t="str">
        <x:v>UPI</x:v>
      </x:c>
      <x:c r="U3246" t="str">
        <x:v>Paid</x:v>
      </x:c>
      <x:c r="V3246" t="str">
        <x:v>Delayed</x:v>
      </x:c>
      <x:c r="W3246" t="n">
        <x:v>0</x:v>
      </x:c>
      <x:c r="X3246" t="str"/>
      <x:c r="Y3246" t="str">
        <x:v>Field Visit</x:v>
      </x:c>
    </x:row>
    <x:row r="3247">
      <x:c r="A3247" t="str">
        <x:v>O003246</x:v>
      </x:c>
      <x:c r="B3247" s="20" t="n">
        <x:v>46252</x:v>
      </x:c>
      <x:c r="C3247" t="str">
        <x:v>C0078</x:v>
      </x:c>
      <x:c r="D3247" t="str">
        <x:v>Sagar Canteen 78</x:v>
      </x:c>
      <x:c r="E3247" t="str">
        <x:v>Hotel</x:v>
      </x:c>
      <x:c r="F3247" t="str">
        <x:v>Mangaluru</x:v>
      </x:c>
      <x:c r="G3247" t="str">
        <x:v>Ramesh</x:v>
      </x:c>
      <x:c r="H3247" t="str">
        <x:v>P048</x:v>
      </x:c>
      <x:c r="I3247" t="str">
        <x:v>Banana 10kg</x:v>
      </x:c>
      <x:c r="J3247" t="str">
        <x:v>Fresh Produce</x:v>
      </x:c>
      <x:c r="K3247" t="str">
        <x:v>Local Market</x:v>
      </x:c>
      <x:c r="L3247" s="22" t="n">
        <x:v>420</x:v>
      </x:c>
      <x:c r="M3247" t="n">
        <x:v>6</x:v>
      </x:c>
      <x:c r="N3247" s="24" t="n">
        <x:v>0</x:v>
      </x:c>
      <x:c r="O3247" s="22" t="n">
        <x:f>L3247*M3247</x:f>
        <x:v>2520</x:v>
      </x:c>
      <x:c r="P3247" s="22" t="n">
        <x:f>O3247*(1-N3247)</x:f>
        <x:v>2520</x:v>
      </x:c>
      <x:c r="Q3247" s="22" t="n">
        <x:v>350</x:v>
      </x:c>
      <x:c r="R3247" s="22" t="n">
        <x:f>Q3247*M3247</x:f>
        <x:v>2100</x:v>
      </x:c>
      <x:c r="S3247" s="22" t="n">
        <x:f>P3247-R3247</x:f>
        <x:v>420</x:v>
      </x:c>
      <x:c r="T3247" t="str">
        <x:v>Credit</x:v>
      </x:c>
      <x:c r="U3247" t="str">
        <x:v>Pending</x:v>
      </x:c>
      <x:c r="V3247" t="str">
        <x:v>Delivered</x:v>
      </x:c>
      <x:c r="W3247" t="n">
        <x:v>0</x:v>
      </x:c>
      <x:c r="X3247" t="str"/>
      <x:c r="Y3247" t="str">
        <x:v>Outbound Call</x:v>
      </x:c>
    </x:row>
    <x:row r="3248">
      <x:c r="A3248" t="str">
        <x:v>O003247</x:v>
      </x:c>
      <x:c r="B3248" s="20" t="n">
        <x:v>46140</x:v>
      </x:c>
      <x:c r="C3248" t="str">
        <x:v>C0095</x:v>
      </x:c>
      <x:c r="D3248" t="str">
        <x:v>Spice Restaurant 95</x:v>
      </x:c>
      <x:c r="E3248" t="str">
        <x:v>Restaurant</x:v>
      </x:c>
      <x:c r="F3248" t="str">
        <x:v>Bengaluru</x:v>
      </x:c>
      <x:c r="G3248" t="str">
        <x:v>Megha</x:v>
      </x:c>
      <x:c r="H3248" t="str">
        <x:v>P022</x:v>
      </x:c>
      <x:c r="I3248" t="str">
        <x:v>Mineral Water 1L</x:v>
      </x:c>
      <x:c r="J3248" t="str">
        <x:v>Beverage</x:v>
      </x:c>
      <x:c r="K3248" t="str">
        <x:v>Bisleri</x:v>
      </x:c>
      <x:c r="L3248" s="22" t="n">
        <x:v>19</x:v>
      </x:c>
      <x:c r="M3248" t="n">
        <x:v>36</x:v>
      </x:c>
      <x:c r="N3248" s="24" t="n">
        <x:v>0.02</x:v>
      </x:c>
      <x:c r="O3248" s="22" t="n">
        <x:f>L3248*M3248</x:f>
        <x:v>684</x:v>
      </x:c>
      <x:c r="P3248" s="22" t="n">
        <x:f>O3248*(1-N3248)</x:f>
        <x:v>670.3199999999999</x:v>
      </x:c>
      <x:c r="Q3248" s="22" t="n">
        <x:v>15</x:v>
      </x:c>
      <x:c r="R3248" s="22" t="n">
        <x:f>Q3248*M3248</x:f>
        <x:v>540</x:v>
      </x:c>
      <x:c r="S3248" s="22" t="n">
        <x:f>P3248-R3248</x:f>
        <x:v>130.31999999999994</x:v>
      </x:c>
      <x:c r="T3248" t="str">
        <x:v>Bank Transfer</x:v>
      </x:c>
      <x:c r="U3248" t="str">
        <x:v>Paid</x:v>
      </x:c>
      <x:c r="V3248" t="str">
        <x:v>Cancelled</x:v>
      </x:c>
      <x:c r="W3248" t="n">
        <x:v>36</x:v>
      </x:c>
      <x:c r="X3248" t="str">
        <x:v>Cancelled Order</x:v>
      </x:c>
      <x:c r="Y3248" t="str">
        <x:v>Existing Customer</x:v>
      </x:c>
    </x:row>
    <x:row r="3249">
      <x:c r="A3249" t="str">
        <x:v>O003248</x:v>
      </x:c>
      <x:c r="B3249" s="20" t="n">
        <x:v>46058</x:v>
      </x:c>
      <x:c r="C3249" t="str">
        <x:v>C0060</x:v>
      </x:c>
      <x:c r="D3249" t="str">
        <x:v>Sagar Stores 60</x:v>
      </x:c>
      <x:c r="E3249" t="str">
        <x:v>Cafe</x:v>
      </x:c>
      <x:c r="F3249" t="str">
        <x:v>Hubballi</x:v>
      </x:c>
      <x:c r="G3249" t="str">
        <x:v>Imran</x:v>
      </x:c>
      <x:c r="H3249" t="str">
        <x:v>P015</x:v>
      </x:c>
      <x:c r="I3249" t="str">
        <x:v>Milk 1L</x:v>
      </x:c>
      <x:c r="J3249" t="str">
        <x:v>Dairy</x:v>
      </x:c>
      <x:c r="K3249" t="str">
        <x:v>Nandini</x:v>
      </x:c>
      <x:c r="L3249" s="22" t="n">
        <x:v>48</x:v>
      </x:c>
      <x:c r="M3249" t="n">
        <x:v>36</x:v>
      </x:c>
      <x:c r="N3249" s="24" t="n">
        <x:v>0.02</x:v>
      </x:c>
      <x:c r="O3249" s="22" t="n">
        <x:f>L3249*M3249</x:f>
        <x:v>1728</x:v>
      </x:c>
      <x:c r="P3249" s="22" t="n">
        <x:f>O3249*(1-N3249)</x:f>
        <x:v>1693.44</x:v>
      </x:c>
      <x:c r="Q3249" s="22" t="n">
        <x:v>43</x:v>
      </x:c>
      <x:c r="R3249" s="22" t="n">
        <x:f>Q3249*M3249</x:f>
        <x:v>1548</x:v>
      </x:c>
      <x:c r="S3249" s="22" t="n">
        <x:f>P3249-R3249</x:f>
        <x:v>145.44000000000005</x:v>
      </x:c>
      <x:c r="T3249" t="str">
        <x:v>UPI</x:v>
      </x:c>
      <x:c r="U3249" t="str">
        <x:v>Pending</x:v>
      </x:c>
      <x:c r="V3249" t="str">
        <x:v>Delayed</x:v>
      </x:c>
      <x:c r="W3249" t="n">
        <x:v>0</x:v>
      </x:c>
      <x:c r="X3249" t="str"/>
      <x:c r="Y3249" t="str">
        <x:v>Referral</x:v>
      </x:c>
    </x:row>
    <x:row r="3250">
      <x:c r="A3250" t="str">
        <x:v>O003249</x:v>
      </x:c>
      <x:c r="B3250" s="20" t="n">
        <x:v>46088</x:v>
      </x:c>
      <x:c r="C3250" t="str">
        <x:v>C0172</x:v>
      </x:c>
      <x:c r="D3250" t="str">
        <x:v>Annapurna Stores 172</x:v>
      </x:c>
      <x:c r="E3250" t="str">
        <x:v>Restaurant</x:v>
      </x:c>
      <x:c r="F3250" t="str">
        <x:v>Mangaluru</x:v>
      </x:c>
      <x:c r="G3250" t="str">
        <x:v>Megha</x:v>
      </x:c>
      <x:c r="H3250" t="str">
        <x:v>P044</x:v>
      </x:c>
      <x:c r="I3250" t="str">
        <x:v>Chicken Curry Cut 1kg</x:v>
      </x:c>
      <x:c r="J3250" t="str">
        <x:v>Protein</x:v>
      </x:c>
      <x:c r="K3250" t="str">
        <x:v>FreshToHome</x:v>
      </x:c>
      <x:c r="L3250" s="22" t="n">
        <x:v>230</x:v>
      </x:c>
      <x:c r="M3250" t="n">
        <x:v>3</x:v>
      </x:c>
      <x:c r="N3250" s="24" t="n">
        <x:v>0.03</x:v>
      </x:c>
      <x:c r="O3250" s="22" t="n">
        <x:f>L3250*M3250</x:f>
        <x:v>690</x:v>
      </x:c>
      <x:c r="P3250" s="22" t="n">
        <x:f>O3250*(1-N3250)</x:f>
        <x:v>669.3</x:v>
      </x:c>
      <x:c r="Q3250" s="22" t="n">
        <x:v>205</x:v>
      </x:c>
      <x:c r="R3250" s="22" t="n">
        <x:f>Q3250*M3250</x:f>
        <x:v>615</x:v>
      </x:c>
      <x:c r="S3250" s="22" t="n">
        <x:f>P3250-R3250</x:f>
        <x:v>54.299999999999955</x:v>
      </x:c>
      <x:c r="T3250" t="str">
        <x:v>Cash</x:v>
      </x:c>
      <x:c r="U3250" t="str">
        <x:v>Paid</x:v>
      </x:c>
      <x:c r="V3250" t="str">
        <x:v>Delivered</x:v>
      </x:c>
      <x:c r="W3250" t="n">
        <x:v>0</x:v>
      </x:c>
      <x:c r="X3250" t="str"/>
      <x:c r="Y3250" t="str">
        <x:v>Outbound Call</x:v>
      </x:c>
    </x:row>
    <x:row r="3251">
      <x:c r="A3251" t="str">
        <x:v>O003250</x:v>
      </x:c>
      <x:c r="B3251" s="20" t="n">
        <x:v>46223</x:v>
      </x:c>
      <x:c r="C3251" t="str">
        <x:v>C0203</x:v>
      </x:c>
      <x:c r="D3251" t="str">
        <x:v>Namma Mart 203</x:v>
      </x:c>
      <x:c r="E3251" t="str">
        <x:v>Kirana</x:v>
      </x:c>
      <x:c r="F3251" t="str">
        <x:v>Tumakuru</x:v>
      </x:c>
      <x:c r="G3251" t="str">
        <x:v>Priya</x:v>
      </x:c>
      <x:c r="H3251" t="str">
        <x:v>P049</x:v>
      </x:c>
      <x:c r="I3251" t="str">
        <x:v>Apple 10kg</x:v>
      </x:c>
      <x:c r="J3251" t="str">
        <x:v>Fresh Produce</x:v>
      </x:c>
      <x:c r="K3251" t="str">
        <x:v>Local Market</x:v>
      </x:c>
      <x:c r="L3251" s="22" t="n">
        <x:v>1450</x:v>
      </x:c>
      <x:c r="M3251" t="n">
        <x:v>10</x:v>
      </x:c>
      <x:c r="N3251" s="24" t="n">
        <x:v>0</x:v>
      </x:c>
      <x:c r="O3251" s="22" t="n">
        <x:f>L3251*M3251</x:f>
        <x:v>14500</x:v>
      </x:c>
      <x:c r="P3251" s="22" t="n">
        <x:f>O3251*(1-N3251)</x:f>
        <x:v>14500</x:v>
      </x:c>
      <x:c r="Q3251" s="22" t="n">
        <x:v>1280</x:v>
      </x:c>
      <x:c r="R3251" s="22" t="n">
        <x:f>Q3251*M3251</x:f>
        <x:v>12800</x:v>
      </x:c>
      <x:c r="S3251" s="22" t="n">
        <x:f>P3251-R3251</x:f>
        <x:v>1700</x:v>
      </x:c>
      <x:c r="T3251" t="str">
        <x:v>UPI</x:v>
      </x:c>
      <x:c r="U3251" t="str">
        <x:v>Paid</x:v>
      </x:c>
      <x:c r="V3251" t="str">
        <x:v>Delivered</x:v>
      </x:c>
      <x:c r="W3251" t="n">
        <x:v>0</x:v>
      </x:c>
      <x:c r="X3251" t="str"/>
      <x:c r="Y3251" t="str">
        <x:v>Referral</x:v>
      </x:c>
    </x:row>
    <x:row r="3252">
      <x:c r="A3252" t="str">
        <x:v>O003251</x:v>
      </x:c>
      <x:c r="B3252" s="20" t="n">
        <x:v>46283</x:v>
      </x:c>
      <x:c r="C3252" t="str">
        <x:v>C0013</x:v>
      </x:c>
      <x:c r="D3252" t="str">
        <x:v>Foodie Restaurant 13</x:v>
      </x:c>
      <x:c r="E3252" t="str">
        <x:v>Kirana</x:v>
      </x:c>
      <x:c r="F3252" t="str">
        <x:v>Mysuru</x:v>
      </x:c>
      <x:c r="G3252" t="str">
        <x:v>Sneha</x:v>
      </x:c>
      <x:c r="H3252" t="str">
        <x:v>P003</x:v>
      </x:c>
      <x:c r="I3252" t="str">
        <x:v>Basmati Rice 5kg</x:v>
      </x:c>
      <x:c r="J3252" t="str">
        <x:v>Staples</x:v>
      </x:c>
      <x:c r="K3252" t="str">
        <x:v>India Gate</x:v>
      </x:c>
      <x:c r="L3252" s="22" t="n">
        <x:v>690</x:v>
      </x:c>
      <x:c r="M3252" t="n">
        <x:v>13</x:v>
      </x:c>
      <x:c r="N3252" s="24" t="n">
        <x:v>0.05</x:v>
      </x:c>
      <x:c r="O3252" s="22" t="n">
        <x:f>L3252*M3252</x:f>
        <x:v>8970</x:v>
      </x:c>
      <x:c r="P3252" s="22" t="n">
        <x:f>O3252*(1-N3252)</x:f>
        <x:v>8521.5</x:v>
      </x:c>
      <x:c r="Q3252" s="22" t="n">
        <x:v>610</x:v>
      </x:c>
      <x:c r="R3252" s="22" t="n">
        <x:f>Q3252*M3252</x:f>
        <x:v>7930</x:v>
      </x:c>
      <x:c r="S3252" s="22" t="n">
        <x:f>P3252-R3252</x:f>
        <x:v>591.5</x:v>
      </x:c>
      <x:c r="T3252" t="str">
        <x:v>Bank Transfer</x:v>
      </x:c>
      <x:c r="U3252" t="str">
        <x:v>Paid</x:v>
      </x:c>
      <x:c r="V3252" t="str">
        <x:v>Delayed</x:v>
      </x:c>
      <x:c r="W3252" t="n">
        <x:v>0</x:v>
      </x:c>
      <x:c r="X3252" t="str"/>
      <x:c r="Y3252" t="str">
        <x:v>WhatsApp</x:v>
      </x:c>
    </x:row>
    <x:row r="3253">
      <x:c r="A3253" t="str">
        <x:v>O003252</x:v>
      </x:c>
      <x:c r="B3253" s="20" t="n">
        <x:v>45847</x:v>
      </x:c>
      <x:c r="C3253" t="str">
        <x:v>C0151</x:v>
      </x:c>
      <x:c r="D3253" t="str">
        <x:v>Foodie Stores 151</x:v>
      </x:c>
      <x:c r="E3253" t="str">
        <x:v>Supermarket</x:v>
      </x:c>
      <x:c r="F3253" t="str">
        <x:v>Mysuru</x:v>
      </x:c>
      <x:c r="G3253" t="str">
        <x:v>Arjun</x:v>
      </x:c>
      <x:c r="H3253" t="str">
        <x:v>P003</x:v>
      </x:c>
      <x:c r="I3253" t="str">
        <x:v>Basmati Rice 5kg</x:v>
      </x:c>
      <x:c r="J3253" t="str">
        <x:v>Staples</x:v>
      </x:c>
      <x:c r="K3253" t="str">
        <x:v>India Gate</x:v>
      </x:c>
      <x:c r="L3253" s="22" t="n">
        <x:v>690</x:v>
      </x:c>
      <x:c r="M3253" t="n">
        <x:v>1</x:v>
      </x:c>
      <x:c r="N3253" s="24" t="n">
        <x:v>0.05</x:v>
      </x:c>
      <x:c r="O3253" s="22" t="n">
        <x:f>L3253*M3253</x:f>
        <x:v>690</x:v>
      </x:c>
      <x:c r="P3253" s="22" t="n">
        <x:f>O3253*(1-N3253)</x:f>
        <x:v>655.5</x:v>
      </x:c>
      <x:c r="Q3253" s="22" t="n">
        <x:v>610</x:v>
      </x:c>
      <x:c r="R3253" s="22" t="n">
        <x:f>Q3253*M3253</x:f>
        <x:v>610</x:v>
      </x:c>
      <x:c r="S3253" s="22" t="n">
        <x:f>P3253-R3253</x:f>
        <x:v>45.5</x:v>
      </x:c>
      <x:c r="T3253" t="str">
        <x:v>Bank Transfer</x:v>
      </x:c>
      <x:c r="U3253" t="str">
        <x:v>Paid</x:v>
      </x:c>
      <x:c r="V3253" t="str">
        <x:v>Cancelled</x:v>
      </x:c>
      <x:c r="W3253" t="n">
        <x:v>1</x:v>
      </x:c>
      <x:c r="X3253" t="str">
        <x:v>Cancelled Order</x:v>
      </x:c>
      <x:c r="Y3253" t="str">
        <x:v>WhatsApp</x:v>
      </x:c>
    </x:row>
    <x:row r="3254">
      <x:c r="A3254" t="str">
        <x:v>O003253</x:v>
      </x:c>
      <x:c r="B3254" s="20" t="n">
        <x:v>45722</x:v>
      </x:c>
      <x:c r="C3254" t="str">
        <x:v>C0242</x:v>
      </x:c>
      <x:c r="D3254" t="str">
        <x:v>Fresh Cafe 242</x:v>
      </x:c>
      <x:c r="E3254" t="str">
        <x:v>Canteen</x:v>
      </x:c>
      <x:c r="F3254" t="str">
        <x:v>Davanagere</x:v>
      </x:c>
      <x:c r="G3254" t="str">
        <x:v>Kavya</x:v>
      </x:c>
      <x:c r="H3254" t="str">
        <x:v>P042</x:v>
      </x:c>
      <x:c r="I3254" t="str">
        <x:v>Eggs 30pc Tray</x:v>
      </x:c>
      <x:c r="J3254" t="str">
        <x:v>Protein</x:v>
      </x:c>
      <x:c r="K3254" t="str">
        <x:v>Farm Fresh</x:v>
      </x:c>
      <x:c r="L3254" s="22" t="n">
        <x:v>195</x:v>
      </x:c>
      <x:c r="M3254" t="n">
        <x:v>36</x:v>
      </x:c>
      <x:c r="N3254" s="24" t="n">
        <x:v>0.03</x:v>
      </x:c>
      <x:c r="O3254" s="22" t="n">
        <x:f>L3254*M3254</x:f>
        <x:v>7020</x:v>
      </x:c>
      <x:c r="P3254" s="22" t="n">
        <x:f>O3254*(1-N3254)</x:f>
        <x:v>6809.4</x:v>
      </x:c>
      <x:c r="Q3254" s="22" t="n">
        <x:v>170</x:v>
      </x:c>
      <x:c r="R3254" s="22" t="n">
        <x:f>Q3254*M3254</x:f>
        <x:v>6120</x:v>
      </x:c>
      <x:c r="S3254" s="22" t="n">
        <x:f>P3254-R3254</x:f>
        <x:v>689.3999999999996</x:v>
      </x:c>
      <x:c r="T3254" t="str">
        <x:v>Bank Transfer</x:v>
      </x:c>
      <x:c r="U3254" t="str">
        <x:v>Paid</x:v>
      </x:c>
      <x:c r="V3254" t="str">
        <x:v>Delivered</x:v>
      </x:c>
      <x:c r="W3254" t="n">
        <x:v>0</x:v>
      </x:c>
      <x:c r="X3254" t="str"/>
      <x:c r="Y3254" t="str">
        <x:v>WhatsApp</x:v>
      </x:c>
    </x:row>
    <x:row r="3255">
      <x:c r="A3255" t="str">
        <x:v>O003254</x:v>
      </x:c>
      <x:c r="B3255" s="20" t="n">
        <x:v>46080</x:v>
      </x:c>
      <x:c r="C3255" t="str">
        <x:v>C0193</x:v>
      </x:c>
      <x:c r="D3255" t="str">
        <x:v>Udupi Cafe 193</x:v>
      </x:c>
      <x:c r="E3255" t="str">
        <x:v>Restaurant</x:v>
      </x:c>
      <x:c r="F3255" t="str">
        <x:v>Hubballi</x:v>
      </x:c>
      <x:c r="G3255" t="str">
        <x:v>Sneha</x:v>
      </x:c>
      <x:c r="H3255" t="str">
        <x:v>P049</x:v>
      </x:c>
      <x:c r="I3255" t="str">
        <x:v>Apple 10kg</x:v>
      </x:c>
      <x:c r="J3255" t="str">
        <x:v>Fresh Produce</x:v>
      </x:c>
      <x:c r="K3255" t="str">
        <x:v>Local Market</x:v>
      </x:c>
      <x:c r="L3255" s="22" t="n">
        <x:v>1450</x:v>
      </x:c>
      <x:c r="M3255" t="n">
        <x:v>7</x:v>
      </x:c>
      <x:c r="N3255" s="24" t="n">
        <x:v>0.03</x:v>
      </x:c>
      <x:c r="O3255" s="22" t="n">
        <x:f>L3255*M3255</x:f>
        <x:v>10150</x:v>
      </x:c>
      <x:c r="P3255" s="22" t="n">
        <x:f>O3255*(1-N3255)</x:f>
        <x:v>9845.5</x:v>
      </x:c>
      <x:c r="Q3255" s="22" t="n">
        <x:v>1280</x:v>
      </x:c>
      <x:c r="R3255" s="22" t="n">
        <x:f>Q3255*M3255</x:f>
        <x:v>8960</x:v>
      </x:c>
      <x:c r="S3255" s="22" t="n">
        <x:f>P3255-R3255</x:f>
        <x:v>885.5</x:v>
      </x:c>
      <x:c r="T3255" t="str">
        <x:v>Cash</x:v>
      </x:c>
      <x:c r="U3255" t="str">
        <x:v>Pending</x:v>
      </x:c>
      <x:c r="V3255" t="str">
        <x:v>Delivered</x:v>
      </x:c>
      <x:c r="W3255" t="n">
        <x:v>0</x:v>
      </x:c>
      <x:c r="X3255" t="str"/>
      <x:c r="Y3255" t="str">
        <x:v>Existing Customer</x:v>
      </x:c>
    </x:row>
    <x:row r="3256">
      <x:c r="A3256" t="str">
        <x:v>O003255</x:v>
      </x:c>
      <x:c r="B3256" s="20" t="n">
        <x:v>45752</x:v>
      </x:c>
      <x:c r="C3256" t="str">
        <x:v>C0132</x:v>
      </x:c>
      <x:c r="D3256" t="str">
        <x:v>Classic Stores 132</x:v>
      </x:c>
      <x:c r="E3256" t="str">
        <x:v>Cafe</x:v>
      </x:c>
      <x:c r="F3256" t="str">
        <x:v>Mysuru</x:v>
      </x:c>
      <x:c r="G3256" t="str">
        <x:v>Megha</x:v>
      </x:c>
      <x:c r="H3256" t="str">
        <x:v>P045</x:v>
      </x:c>
      <x:c r="I3256" t="str">
        <x:v>Onion 25kg</x:v>
      </x:c>
      <x:c r="J3256" t="str">
        <x:v>Fresh Produce</x:v>
      </x:c>
      <x:c r="K3256" t="str">
        <x:v>Local Market</x:v>
      </x:c>
      <x:c r="L3256" s="22" t="n">
        <x:v>875</x:v>
      </x:c>
      <x:c r="M3256" t="n">
        <x:v>12</x:v>
      </x:c>
      <x:c r="N3256" s="24" t="n">
        <x:v>0.02</x:v>
      </x:c>
      <x:c r="O3256" s="22" t="n">
        <x:f>L3256*M3256</x:f>
        <x:v>10500</x:v>
      </x:c>
      <x:c r="P3256" s="22" t="n">
        <x:f>O3256*(1-N3256)</x:f>
        <x:v>10290</x:v>
      </x:c>
      <x:c r="Q3256" s="22" t="n">
        <x:v>760</x:v>
      </x:c>
      <x:c r="R3256" s="22" t="n">
        <x:f>Q3256*M3256</x:f>
        <x:v>9120</x:v>
      </x:c>
      <x:c r="S3256" s="22" t="n">
        <x:f>P3256-R3256</x:f>
        <x:v>1170</x:v>
      </x:c>
      <x:c r="T3256" t="str">
        <x:v>Credit</x:v>
      </x:c>
      <x:c r="U3256" t="str">
        <x:v>Paid</x:v>
      </x:c>
      <x:c r="V3256" t="str">
        <x:v>Delivered</x:v>
      </x:c>
      <x:c r="W3256" t="n">
        <x:v>0</x:v>
      </x:c>
      <x:c r="X3256" t="str"/>
      <x:c r="Y3256" t="str">
        <x:v>WhatsApp</x:v>
      </x:c>
    </x:row>
    <x:row r="3257">
      <x:c r="A3257" t="str">
        <x:v>O003256</x:v>
      </x:c>
      <x:c r="B3257" s="20" t="n">
        <x:v>45921</x:v>
      </x:c>
      <x:c r="C3257" t="str">
        <x:v>C0218</x:v>
      </x:c>
      <x:c r="D3257" t="str">
        <x:v>Green Stores 218</x:v>
      </x:c>
      <x:c r="E3257" t="str">
        <x:v>Hotel</x:v>
      </x:c>
      <x:c r="F3257" t="str">
        <x:v>Mysuru</x:v>
      </x:c>
      <x:c r="G3257" t="str">
        <x:v>Imran</x:v>
      </x:c>
      <x:c r="H3257" t="str">
        <x:v>P002</x:v>
      </x:c>
      <x:c r="I3257" t="str">
        <x:v>Sona Masoori Rice 25kg</x:v>
      </x:c>
      <x:c r="J3257" t="str">
        <x:v>Staples</x:v>
      </x:c>
      <x:c r="K3257" t="str">
        <x:v>Fortune</x:v>
      </x:c>
      <x:c r="L3257" s="22" t="n">
        <x:v>1320</x:v>
      </x:c>
      <x:c r="M3257" t="n">
        <x:v>11</x:v>
      </x:c>
      <x:c r="N3257" s="24" t="n">
        <x:v>0.03</x:v>
      </x:c>
      <x:c r="O3257" s="22" t="n">
        <x:f>L3257*M3257</x:f>
        <x:v>14520</x:v>
      </x:c>
      <x:c r="P3257" s="22" t="n">
        <x:f>O3257*(1-N3257)</x:f>
        <x:v>14084.4</x:v>
      </x:c>
      <x:c r="Q3257" s="22" t="n">
        <x:v>1160</x:v>
      </x:c>
      <x:c r="R3257" s="22" t="n">
        <x:f>Q3257*M3257</x:f>
        <x:v>12760</x:v>
      </x:c>
      <x:c r="S3257" s="22" t="n">
        <x:f>P3257-R3257</x:f>
        <x:v>1324.3999999999996</x:v>
      </x:c>
      <x:c r="T3257" t="str">
        <x:v>Bank Transfer</x:v>
      </x:c>
      <x:c r="U3257" t="str">
        <x:v>Pending</x:v>
      </x:c>
      <x:c r="V3257" t="str">
        <x:v>Delayed</x:v>
      </x:c>
      <x:c r="W3257" t="n">
        <x:v>0</x:v>
      </x:c>
      <x:c r="X3257" t="str"/>
      <x:c r="Y3257" t="str">
        <x:v>WhatsApp</x:v>
      </x:c>
    </x:row>
    <x:row r="3258">
      <x:c r="A3258" t="str">
        <x:v>O003257</x:v>
      </x:c>
      <x:c r="B3258" s="20" t="n">
        <x:v>45993</x:v>
      </x:c>
      <x:c r="C3258" t="str">
        <x:v>C0114</x:v>
      </x:c>
      <x:c r="D3258" t="str">
        <x:v>Annapurna Restaurant 114</x:v>
      </x:c>
      <x:c r="E3258" t="str">
        <x:v>Restaurant</x:v>
      </x:c>
      <x:c r="F3258" t="str">
        <x:v>Davanagere</x:v>
      </x:c>
      <x:c r="G3258" t="str">
        <x:v>Arjun</x:v>
      </x:c>
      <x:c r="H3258" t="str">
        <x:v>P039</x:v>
      </x:c>
      <x:c r="I3258" t="str">
        <x:v>Ice Cream 4L</x:v>
      </x:c>
      <x:c r="J3258" t="str">
        <x:v>Frozen</x:v>
      </x:c>
      <x:c r="K3258" t="str">
        <x:v>Amul</x:v>
      </x:c>
      <x:c r="L3258" s="22" t="n">
        <x:v>480</x:v>
      </x:c>
      <x:c r="M3258" t="n">
        <x:v>34</x:v>
      </x:c>
      <x:c r="N3258" s="24" t="n">
        <x:v>0</x:v>
      </x:c>
      <x:c r="O3258" s="22" t="n">
        <x:f>L3258*M3258</x:f>
        <x:v>16320</x:v>
      </x:c>
      <x:c r="P3258" s="22" t="n">
        <x:f>O3258*(1-N3258)</x:f>
        <x:v>16320</x:v>
      </x:c>
      <x:c r="Q3258" s="22" t="n">
        <x:v>420</x:v>
      </x:c>
      <x:c r="R3258" s="22" t="n">
        <x:f>Q3258*M3258</x:f>
        <x:v>14280</x:v>
      </x:c>
      <x:c r="S3258" s="22" t="n">
        <x:f>P3258-R3258</x:f>
        <x:v>2040</x:v>
      </x:c>
      <x:c r="T3258" t="str">
        <x:v>Credit</x:v>
      </x:c>
      <x:c r="U3258" t="str">
        <x:v>Paid</x:v>
      </x:c>
      <x:c r="V3258" t="str">
        <x:v>Delivered</x:v>
      </x:c>
      <x:c r="W3258" t="n">
        <x:v>0</x:v>
      </x:c>
      <x:c r="X3258" t="str"/>
      <x:c r="Y3258" t="str">
        <x:v>Existing Customer</x:v>
      </x:c>
    </x:row>
    <x:row r="3259">
      <x:c r="A3259" t="str">
        <x:v>O003258</x:v>
      </x:c>
      <x:c r="B3259" s="20" t="n">
        <x:v>46114</x:v>
      </x:c>
      <x:c r="C3259" t="str">
        <x:v>C0100</x:v>
      </x:c>
      <x:c r="D3259" t="str">
        <x:v>Fresh Mart 100</x:v>
      </x:c>
      <x:c r="E3259" t="str">
        <x:v>Restaurant</x:v>
      </x:c>
      <x:c r="F3259" t="str">
        <x:v>Mysuru</x:v>
      </x:c>
      <x:c r="G3259" t="str">
        <x:v>Imran</x:v>
      </x:c>
      <x:c r="H3259" t="str">
        <x:v>P034</x:v>
      </x:c>
      <x:c r="I3259" t="str">
        <x:v>Chilli Powder 1kg</x:v>
      </x:c>
      <x:c r="J3259" t="str">
        <x:v>Spices</x:v>
      </x:c>
      <x:c r="K3259" t="str">
        <x:v>MDH</x:v>
      </x:c>
      <x:c r="L3259" s="22" t="n">
        <x:v>340</x:v>
      </x:c>
      <x:c r="M3259" t="n">
        <x:v>6</x:v>
      </x:c>
      <x:c r="N3259" s="24" t="n">
        <x:v>0.02</x:v>
      </x:c>
      <x:c r="O3259" s="22" t="n">
        <x:f>L3259*M3259</x:f>
        <x:v>2040</x:v>
      </x:c>
      <x:c r="P3259" s="22" t="n">
        <x:f>O3259*(1-N3259)</x:f>
        <x:v>1999.2</x:v>
      </x:c>
      <x:c r="Q3259" s="22" t="n">
        <x:v>295</x:v>
      </x:c>
      <x:c r="R3259" s="22" t="n">
        <x:f>Q3259*M3259</x:f>
        <x:v>1770</x:v>
      </x:c>
      <x:c r="S3259" s="22" t="n">
        <x:f>P3259-R3259</x:f>
        <x:v>229.20000000000005</x:v>
      </x:c>
      <x:c r="T3259" t="str">
        <x:v>Cash</x:v>
      </x:c>
      <x:c r="U3259" t="str">
        <x:v>Paid</x:v>
      </x:c>
      <x:c r="V3259" t="str">
        <x:v>Delayed</x:v>
      </x:c>
      <x:c r="W3259" t="n">
        <x:v>0</x:v>
      </x:c>
      <x:c r="X3259" t="str"/>
      <x:c r="Y3259" t="str">
        <x:v>Referral</x:v>
      </x:c>
    </x:row>
    <x:row r="3260">
      <x:c r="A3260" t="str">
        <x:v>O003259</x:v>
      </x:c>
      <x:c r="B3260" s="20" t="n">
        <x:v>46000</x:v>
      </x:c>
      <x:c r="C3260" t="str">
        <x:v>C0146</x:v>
      </x:c>
      <x:c r="D3260" t="str">
        <x:v>Annapurna Hotel 146</x:v>
      </x:c>
      <x:c r="E3260" t="str">
        <x:v>Restaurant</x:v>
      </x:c>
      <x:c r="F3260" t="str">
        <x:v>Davanagere</x:v>
      </x:c>
      <x:c r="G3260" t="str">
        <x:v>Arjun</x:v>
      </x:c>
      <x:c r="H3260" t="str">
        <x:v>P040</x:v>
      </x:c>
      <x:c r="I3260" t="str">
        <x:v>Bread Loaf 400g</x:v>
      </x:c>
      <x:c r="J3260" t="str">
        <x:v>Bakery</x:v>
      </x:c>
      <x:c r="K3260" t="str">
        <x:v>Britannia</x:v>
      </x:c>
      <x:c r="L3260" s="22" t="n">
        <x:v>45</x:v>
      </x:c>
      <x:c r="M3260" t="n">
        <x:v>16</x:v>
      </x:c>
      <x:c r="N3260" s="24" t="n">
        <x:v>0</x:v>
      </x:c>
      <x:c r="O3260" s="22" t="n">
        <x:f>L3260*M3260</x:f>
        <x:v>720</x:v>
      </x:c>
      <x:c r="P3260" s="22" t="n">
        <x:f>O3260*(1-N3260)</x:f>
        <x:v>720</x:v>
      </x:c>
      <x:c r="Q3260" s="22" t="n">
        <x:v>35</x:v>
      </x:c>
      <x:c r="R3260" s="22" t="n">
        <x:f>Q3260*M3260</x:f>
        <x:v>560</x:v>
      </x:c>
      <x:c r="S3260" s="22" t="n">
        <x:f>P3260-R3260</x:f>
        <x:v>160</x:v>
      </x:c>
      <x:c r="T3260" t="str">
        <x:v>Cash</x:v>
      </x:c>
      <x:c r="U3260" t="str">
        <x:v>Paid</x:v>
      </x:c>
      <x:c r="V3260" t="str">
        <x:v>Delivered</x:v>
      </x:c>
      <x:c r="W3260" t="n">
        <x:v>0</x:v>
      </x:c>
      <x:c r="X3260" t="str"/>
      <x:c r="Y3260" t="str">
        <x:v>Referral</x:v>
      </x:c>
    </x:row>
    <x:row r="3261">
      <x:c r="A3261" t="str">
        <x:v>O003260</x:v>
      </x:c>
      <x:c r="B3261" s="20" t="n">
        <x:v>45814</x:v>
      </x:c>
      <x:c r="C3261" t="str">
        <x:v>C0072</x:v>
      </x:c>
      <x:c r="D3261" t="str">
        <x:v>Grand Restaurant 72</x:v>
      </x:c>
      <x:c r="E3261" t="str">
        <x:v>Restaurant</x:v>
      </x:c>
      <x:c r="F3261" t="str">
        <x:v>Davanagere</x:v>
      </x:c>
      <x:c r="G3261" t="str">
        <x:v>Kavya</x:v>
      </x:c>
      <x:c r="H3261" t="str">
        <x:v>P001</x:v>
      </x:c>
      <x:c r="I3261" t="str">
        <x:v>Steam Rice 25kg</x:v>
      </x:c>
      <x:c r="J3261" t="str">
        <x:v>Staples</x:v>
      </x:c>
      <x:c r="K3261" t="str">
        <x:v>Aishwarya</x:v>
      </x:c>
      <x:c r="L3261" s="22" t="n">
        <x:v>1180</x:v>
      </x:c>
      <x:c r="M3261" t="n">
        <x:v>10</x:v>
      </x:c>
      <x:c r="N3261" s="24" t="n">
        <x:v>0.05</x:v>
      </x:c>
      <x:c r="O3261" s="22" t="n">
        <x:f>L3261*M3261</x:f>
        <x:v>11800</x:v>
      </x:c>
      <x:c r="P3261" s="22" t="n">
        <x:f>O3261*(1-N3261)</x:f>
        <x:v>11210</x:v>
      </x:c>
      <x:c r="Q3261" s="22" t="n">
        <x:v>1040</x:v>
      </x:c>
      <x:c r="R3261" s="22" t="n">
        <x:f>Q3261*M3261</x:f>
        <x:v>10400</x:v>
      </x:c>
      <x:c r="S3261" s="22" t="n">
        <x:f>P3261-R3261</x:f>
        <x:v>810</x:v>
      </x:c>
      <x:c r="T3261" t="str">
        <x:v>Credit</x:v>
      </x:c>
      <x:c r="U3261" t="str">
        <x:v>Paid</x:v>
      </x:c>
      <x:c r="V3261" t="str">
        <x:v>Delayed</x:v>
      </x:c>
      <x:c r="W3261" t="n">
        <x:v>0</x:v>
      </x:c>
      <x:c r="X3261" t="str"/>
      <x:c r="Y3261" t="str">
        <x:v>WhatsApp</x:v>
      </x:c>
    </x:row>
    <x:row r="3262">
      <x:c r="A3262" t="str">
        <x:v>O003261</x:v>
      </x:c>
      <x:c r="B3262" s="20" t="n">
        <x:v>45723</x:v>
      </x:c>
      <x:c r="C3262" t="str">
        <x:v>C0171</x:v>
      </x:c>
      <x:c r="D3262" t="str">
        <x:v>Metro Canteen 171</x:v>
      </x:c>
      <x:c r="E3262" t="str">
        <x:v>Restaurant</x:v>
      </x:c>
      <x:c r="F3262" t="str">
        <x:v>Mangaluru</x:v>
      </x:c>
      <x:c r="G3262" t="str">
        <x:v>Priya</x:v>
      </x:c>
      <x:c r="H3262" t="str">
        <x:v>P034</x:v>
      </x:c>
      <x:c r="I3262" t="str">
        <x:v>Chilli Powder 1kg</x:v>
      </x:c>
      <x:c r="J3262" t="str">
        <x:v>Spices</x:v>
      </x:c>
      <x:c r="K3262" t="str">
        <x:v>MDH</x:v>
      </x:c>
      <x:c r="L3262" s="22" t="n">
        <x:v>340</x:v>
      </x:c>
      <x:c r="M3262" t="n">
        <x:v>8</x:v>
      </x:c>
      <x:c r="N3262" s="24" t="n">
        <x:v>0.05</x:v>
      </x:c>
      <x:c r="O3262" s="22" t="n">
        <x:f>L3262*M3262</x:f>
        <x:v>2720</x:v>
      </x:c>
      <x:c r="P3262" s="22" t="n">
        <x:f>O3262*(1-N3262)</x:f>
        <x:v>2584</x:v>
      </x:c>
      <x:c r="Q3262" s="22" t="n">
        <x:v>295</x:v>
      </x:c>
      <x:c r="R3262" s="22" t="n">
        <x:f>Q3262*M3262</x:f>
        <x:v>2360</x:v>
      </x:c>
      <x:c r="S3262" s="22" t="n">
        <x:f>P3262-R3262</x:f>
        <x:v>224</x:v>
      </x:c>
      <x:c r="T3262" t="str">
        <x:v>Bank Transfer</x:v>
      </x:c>
      <x:c r="U3262" t="str">
        <x:v>Pending</x:v>
      </x:c>
      <x:c r="V3262" t="str">
        <x:v>Delayed</x:v>
      </x:c>
      <x:c r="W3262" t="n">
        <x:v>0</x:v>
      </x:c>
      <x:c r="X3262" t="str"/>
      <x:c r="Y3262" t="str">
        <x:v>Referral</x:v>
      </x:c>
    </x:row>
    <x:row r="3263">
      <x:c r="A3263" t="str">
        <x:v>O003262</x:v>
      </x:c>
      <x:c r="B3263" s="20" t="n">
        <x:v>45797</x:v>
      </x:c>
      <x:c r="C3263" t="str">
        <x:v>C0198</x:v>
      </x:c>
      <x:c r="D3263" t="str">
        <x:v>Royal Canteen 198</x:v>
      </x:c>
      <x:c r="E3263" t="str">
        <x:v>Supermarket</x:v>
      </x:c>
      <x:c r="F3263" t="str">
        <x:v>Davanagere</x:v>
      </x:c>
      <x:c r="G3263" t="str">
        <x:v>Arjun</x:v>
      </x:c>
      <x:c r="H3263" t="str">
        <x:v>P042</x:v>
      </x:c>
      <x:c r="I3263" t="str">
        <x:v>Eggs 30pc Tray</x:v>
      </x:c>
      <x:c r="J3263" t="str">
        <x:v>Protein</x:v>
      </x:c>
      <x:c r="K3263" t="str">
        <x:v>Farm Fresh</x:v>
      </x:c>
      <x:c r="L3263" s="22" t="n">
        <x:v>195</x:v>
      </x:c>
      <x:c r="M3263" t="n">
        <x:v>18</x:v>
      </x:c>
      <x:c r="N3263" s="24" t="n">
        <x:v>0.02</x:v>
      </x:c>
      <x:c r="O3263" s="22" t="n">
        <x:f>L3263*M3263</x:f>
        <x:v>3510</x:v>
      </x:c>
      <x:c r="P3263" s="22" t="n">
        <x:f>O3263*(1-N3263)</x:f>
        <x:v>3439.7999999999997</x:v>
      </x:c>
      <x:c r="Q3263" s="22" t="n">
        <x:v>170</x:v>
      </x:c>
      <x:c r="R3263" s="22" t="n">
        <x:f>Q3263*M3263</x:f>
        <x:v>3060</x:v>
      </x:c>
      <x:c r="S3263" s="22" t="n">
        <x:f>P3263-R3263</x:f>
        <x:v>379.7999999999997</x:v>
      </x:c>
      <x:c r="T3263" t="str">
        <x:v>Credit</x:v>
      </x:c>
      <x:c r="U3263" t="str">
        <x:v>Paid</x:v>
      </x:c>
      <x:c r="V3263" t="str">
        <x:v>Delivered</x:v>
      </x:c>
      <x:c r="W3263" t="n">
        <x:v>0</x:v>
      </x:c>
      <x:c r="X3263" t="str"/>
      <x:c r="Y3263" t="str">
        <x:v>Referral</x:v>
      </x:c>
    </x:row>
    <x:row r="3264">
      <x:c r="A3264" t="str">
        <x:v>O003263</x:v>
      </x:c>
      <x:c r="B3264" s="20" t="n">
        <x:v>45934</x:v>
      </x:c>
      <x:c r="C3264" t="str">
        <x:v>C0181</x:v>
      </x:c>
      <x:c r="D3264" t="str">
        <x:v>Darshini Mart 181</x:v>
      </x:c>
      <x:c r="E3264" t="str">
        <x:v>Restaurant</x:v>
      </x:c>
      <x:c r="F3264" t="str">
        <x:v>Mangaluru</x:v>
      </x:c>
      <x:c r="G3264" t="str">
        <x:v>Kavya</x:v>
      </x:c>
      <x:c r="H3264" t="str">
        <x:v>P036</x:v>
      </x:c>
      <x:c r="I3264" t="str">
        <x:v>Garam Masala 500g</x:v>
      </x:c>
      <x:c r="J3264" t="str">
        <x:v>Spices</x:v>
      </x:c>
      <x:c r="K3264" t="str">
        <x:v>MDH</x:v>
      </x:c>
      <x:c r="L3264" s="22" t="n">
        <x:v>265</x:v>
      </x:c>
      <x:c r="M3264" t="n">
        <x:v>4</x:v>
      </x:c>
      <x:c r="N3264" s="24" t="n">
        <x:v>0.1</x:v>
      </x:c>
      <x:c r="O3264" s="22" t="n">
        <x:f>L3264*M3264</x:f>
        <x:v>1060</x:v>
      </x:c>
      <x:c r="P3264" s="22" t="n">
        <x:f>O3264*(1-N3264)</x:f>
        <x:v>954</x:v>
      </x:c>
      <x:c r="Q3264" s="22" t="n">
        <x:v>230</x:v>
      </x:c>
      <x:c r="R3264" s="22" t="n">
        <x:f>Q3264*M3264</x:f>
        <x:v>920</x:v>
      </x:c>
      <x:c r="S3264" s="22" t="n">
        <x:f>P3264-R3264</x:f>
        <x:v>34</x:v>
      </x:c>
      <x:c r="T3264" t="str">
        <x:v>UPI</x:v>
      </x:c>
      <x:c r="U3264" t="str">
        <x:v>Paid</x:v>
      </x:c>
      <x:c r="V3264" t="str">
        <x:v>Delivered</x:v>
      </x:c>
      <x:c r="W3264" t="n">
        <x:v>0</x:v>
      </x:c>
      <x:c r="X3264" t="str"/>
      <x:c r="Y3264" t="str">
        <x:v>Field Visit</x:v>
      </x:c>
    </x:row>
    <x:row r="3265">
      <x:c r="A3265" t="str">
        <x:v>O003264</x:v>
      </x:c>
      <x:c r="B3265" s="20" t="n">
        <x:v>46165</x:v>
      </x:c>
      <x:c r="C3265" t="str">
        <x:v>C0134</x:v>
      </x:c>
      <x:c r="D3265" t="str">
        <x:v>Annapurna Stores 134</x:v>
      </x:c>
      <x:c r="E3265" t="str">
        <x:v>Cafe</x:v>
      </x:c>
      <x:c r="F3265" t="str">
        <x:v>Bengaluru</x:v>
      </x:c>
      <x:c r="G3265" t="str">
        <x:v>Kavya</x:v>
      </x:c>
      <x:c r="H3265" t="str">
        <x:v>P021</x:v>
      </x:c>
      <x:c r="I3265" t="str">
        <x:v>Instant Coffee 200g</x:v>
      </x:c>
      <x:c r="J3265" t="str">
        <x:v>Beverage</x:v>
      </x:c>
      <x:c r="K3265" t="str">
        <x:v>Nescafe</x:v>
      </x:c>
      <x:c r="L3265" s="22" t="n">
        <x:v>460</x:v>
      </x:c>
      <x:c r="M3265" t="n">
        <x:v>33</x:v>
      </x:c>
      <x:c r="N3265" s="24" t="n">
        <x:v>0</x:v>
      </x:c>
      <x:c r="O3265" s="22" t="n">
        <x:f>L3265*M3265</x:f>
        <x:v>15180</x:v>
      </x:c>
      <x:c r="P3265" s="22" t="n">
        <x:f>O3265*(1-N3265)</x:f>
        <x:v>15180</x:v>
      </x:c>
      <x:c r="Q3265" s="22" t="n">
        <x:v>410</x:v>
      </x:c>
      <x:c r="R3265" s="22" t="n">
        <x:f>Q3265*M3265</x:f>
        <x:v>13530</x:v>
      </x:c>
      <x:c r="S3265" s="22" t="n">
        <x:f>P3265-R3265</x:f>
        <x:v>1650</x:v>
      </x:c>
      <x:c r="T3265" t="str">
        <x:v>Cash</x:v>
      </x:c>
      <x:c r="U3265" t="str">
        <x:v>Pending</x:v>
      </x:c>
      <x:c r="V3265" t="str">
        <x:v>Delivered</x:v>
      </x:c>
      <x:c r="W3265" t="n">
        <x:v>0</x:v>
      </x:c>
      <x:c r="X3265" t="str"/>
      <x:c r="Y3265" t="str">
        <x:v>Field Visit</x:v>
      </x:c>
    </x:row>
    <x:row r="3266">
      <x:c r="A3266" t="str">
        <x:v>O003265</x:v>
      </x:c>
      <x:c r="B3266" s="20" t="n">
        <x:v>46066</x:v>
      </x:c>
      <x:c r="C3266" t="str">
        <x:v>C0116</x:v>
      </x:c>
      <x:c r="D3266" t="str">
        <x:v>Classic Foods 116</x:v>
      </x:c>
      <x:c r="E3266" t="str">
        <x:v>Supermarket</x:v>
      </x:c>
      <x:c r="F3266" t="str">
        <x:v>Davanagere</x:v>
      </x:c>
      <x:c r="G3266" t="str">
        <x:v>Megha</x:v>
      </x:c>
      <x:c r="H3266" t="str">
        <x:v>P043</x:v>
      </x:c>
      <x:c r="I3266" t="str">
        <x:v>Chicken Breast 1kg</x:v>
      </x:c>
      <x:c r="J3266" t="str">
        <x:v>Protein</x:v>
      </x:c>
      <x:c r="K3266" t="str">
        <x:v>FreshToHome</x:v>
      </x:c>
      <x:c r="L3266" s="22" t="n">
        <x:v>260</x:v>
      </x:c>
      <x:c r="M3266" t="n">
        <x:v>24</x:v>
      </x:c>
      <x:c r="N3266" s="24" t="n">
        <x:v>0.05</x:v>
      </x:c>
      <x:c r="O3266" s="22" t="n">
        <x:f>L3266*M3266</x:f>
        <x:v>6240</x:v>
      </x:c>
      <x:c r="P3266" s="22" t="n">
        <x:f>O3266*(1-N3266)</x:f>
        <x:v>5928</x:v>
      </x:c>
      <x:c r="Q3266" s="22" t="n">
        <x:v>235</x:v>
      </x:c>
      <x:c r="R3266" s="22" t="n">
        <x:f>Q3266*M3266</x:f>
        <x:v>5640</x:v>
      </x:c>
      <x:c r="S3266" s="22" t="n">
        <x:f>P3266-R3266</x:f>
        <x:v>288</x:v>
      </x:c>
      <x:c r="T3266" t="str">
        <x:v>Credit</x:v>
      </x:c>
      <x:c r="U3266" t="str">
        <x:v>Paid</x:v>
      </x:c>
      <x:c r="V3266" t="str">
        <x:v>Delayed</x:v>
      </x:c>
      <x:c r="W3266" t="n">
        <x:v>0</x:v>
      </x:c>
      <x:c r="X3266" t="str"/>
      <x:c r="Y3266" t="str">
        <x:v>Outbound Call</x:v>
      </x:c>
    </x:row>
    <x:row r="3267">
      <x:c r="A3267" t="str">
        <x:v>O003266</x:v>
      </x:c>
      <x:c r="B3267" s="20" t="n">
        <x:v>45726</x:v>
      </x:c>
      <x:c r="C3267" t="str">
        <x:v>C0091</x:v>
      </x:c>
      <x:c r="D3267" t="str">
        <x:v>Classic Mart 91</x:v>
      </x:c>
      <x:c r="E3267" t="str">
        <x:v>Cafe</x:v>
      </x:c>
      <x:c r="F3267" t="str">
        <x:v>Mangaluru</x:v>
      </x:c>
      <x:c r="G3267" t="str">
        <x:v>Kavya</x:v>
      </x:c>
      <x:c r="H3267" t="str">
        <x:v>P022</x:v>
      </x:c>
      <x:c r="I3267" t="str">
        <x:v>Mineral Water 1L</x:v>
      </x:c>
      <x:c r="J3267" t="str">
        <x:v>Beverage</x:v>
      </x:c>
      <x:c r="K3267" t="str">
        <x:v>Bisleri</x:v>
      </x:c>
      <x:c r="L3267" s="22" t="n">
        <x:v>19</x:v>
      </x:c>
      <x:c r="M3267" t="n">
        <x:v>9</x:v>
      </x:c>
      <x:c r="N3267" s="24" t="n">
        <x:v>0.08</x:v>
      </x:c>
      <x:c r="O3267" s="22" t="n">
        <x:f>L3267*M3267</x:f>
        <x:v>171</x:v>
      </x:c>
      <x:c r="P3267" s="22" t="n">
        <x:f>O3267*(1-N3267)</x:f>
        <x:v>157.32</x:v>
      </x:c>
      <x:c r="Q3267" s="22" t="n">
        <x:v>15</x:v>
      </x:c>
      <x:c r="R3267" s="22" t="n">
        <x:f>Q3267*M3267</x:f>
        <x:v>135</x:v>
      </x:c>
      <x:c r="S3267" s="22" t="n">
        <x:f>P3267-R3267</x:f>
        <x:v>22.319999999999993</x:v>
      </x:c>
      <x:c r="T3267" t="str">
        <x:v>Credit</x:v>
      </x:c>
      <x:c r="U3267" t="str">
        <x:v>Paid</x:v>
      </x:c>
      <x:c r="V3267" t="str">
        <x:v>Delivered</x:v>
      </x:c>
      <x:c r="W3267" t="n">
        <x:v>0</x:v>
      </x:c>
      <x:c r="X3267" t="str"/>
      <x:c r="Y3267" t="str">
        <x:v>Existing Customer</x:v>
      </x:c>
    </x:row>
    <x:row r="3268">
      <x:c r="A3268" t="str">
        <x:v>O003267</x:v>
      </x:c>
      <x:c r="B3268" s="20" t="n">
        <x:v>45887</x:v>
      </x:c>
      <x:c r="C3268" t="str">
        <x:v>C0248</x:v>
      </x:c>
      <x:c r="D3268" t="str">
        <x:v>Royal Restaurant 248</x:v>
      </x:c>
      <x:c r="E3268" t="str">
        <x:v>Canteen</x:v>
      </x:c>
      <x:c r="F3268" t="str">
        <x:v>Mysuru</x:v>
      </x:c>
      <x:c r="G3268" t="str">
        <x:v>Priya</x:v>
      </x:c>
      <x:c r="H3268" t="str">
        <x:v>P027</x:v>
      </x:c>
      <x:c r="I3268" t="str">
        <x:v>Biscuits 120g</x:v>
      </x:c>
      <x:c r="J3268" t="str">
        <x:v>Snacks</x:v>
      </x:c>
      <x:c r="K3268" t="str">
        <x:v>Parle-G</x:v>
      </x:c>
      <x:c r="L3268" s="22" t="n">
        <x:v>12</x:v>
      </x:c>
      <x:c r="M3268" t="n">
        <x:v>11</x:v>
      </x:c>
      <x:c r="N3268" s="24" t="n">
        <x:v>0.03</x:v>
      </x:c>
      <x:c r="O3268" s="22" t="n">
        <x:f>L3268*M3268</x:f>
        <x:v>132</x:v>
      </x:c>
      <x:c r="P3268" s="22" t="n">
        <x:f>O3268*(1-N3268)</x:f>
        <x:v>128.04</x:v>
      </x:c>
      <x:c r="Q3268" s="22" t="n">
        <x:v>9</x:v>
      </x:c>
      <x:c r="R3268" s="22" t="n">
        <x:f>Q3268*M3268</x:f>
        <x:v>99</x:v>
      </x:c>
      <x:c r="S3268" s="22" t="n">
        <x:f>P3268-R3268</x:f>
        <x:v>29.039999999999992</x:v>
      </x:c>
      <x:c r="T3268" t="str">
        <x:v>Cash</x:v>
      </x:c>
      <x:c r="U3268" t="str">
        <x:v>Paid</x:v>
      </x:c>
      <x:c r="V3268" t="str">
        <x:v>Delivered</x:v>
      </x:c>
      <x:c r="W3268" t="n">
        <x:v>0</x:v>
      </x:c>
      <x:c r="X3268" t="str"/>
      <x:c r="Y3268" t="str">
        <x:v>Field Visit</x:v>
      </x:c>
    </x:row>
    <x:row r="3269">
      <x:c r="A3269" t="str">
        <x:v>O003268</x:v>
      </x:c>
      <x:c r="B3269" s="20" t="n">
        <x:v>45839</x:v>
      </x:c>
      <x:c r="C3269" t="str">
        <x:v>C0065</x:v>
      </x:c>
      <x:c r="D3269" t="str">
        <x:v>Mysore Stores 65</x:v>
      </x:c>
      <x:c r="E3269" t="str">
        <x:v>Kirana</x:v>
      </x:c>
      <x:c r="F3269" t="str">
        <x:v>Tumakuru</x:v>
      </x:c>
      <x:c r="G3269" t="str">
        <x:v>Sneha</x:v>
      </x:c>
      <x:c r="H3269" t="str">
        <x:v>P017</x:v>
      </x:c>
      <x:c r="I3269" t="str">
        <x:v>Butter 500g</x:v>
      </x:c>
      <x:c r="J3269" t="str">
        <x:v>Dairy</x:v>
      </x:c>
      <x:c r="K3269" t="str">
        <x:v>Amul</x:v>
      </x:c>
      <x:c r="L3269" s="22" t="n">
        <x:v>285</x:v>
      </x:c>
      <x:c r="M3269" t="n">
        <x:v>3</x:v>
      </x:c>
      <x:c r="N3269" s="24" t="n">
        <x:v>0</x:v>
      </x:c>
      <x:c r="O3269" s="22" t="n">
        <x:f>L3269*M3269</x:f>
        <x:v>855</x:v>
      </x:c>
      <x:c r="P3269" s="22" t="n">
        <x:f>O3269*(1-N3269)</x:f>
        <x:v>855</x:v>
      </x:c>
      <x:c r="Q3269" s="22" t="n">
        <x:v>258</x:v>
      </x:c>
      <x:c r="R3269" s="22" t="n">
        <x:f>Q3269*M3269</x:f>
        <x:v>774</x:v>
      </x:c>
      <x:c r="S3269" s="22" t="n">
        <x:f>P3269-R3269</x:f>
        <x:v>81</x:v>
      </x:c>
      <x:c r="T3269" t="str">
        <x:v>Bank Transfer</x:v>
      </x:c>
      <x:c r="U3269" t="str">
        <x:v>Paid</x:v>
      </x:c>
      <x:c r="V3269" t="str">
        <x:v>Cancelled</x:v>
      </x:c>
      <x:c r="W3269" t="n">
        <x:v>3</x:v>
      </x:c>
      <x:c r="X3269" t="str">
        <x:v>Cancelled Order</x:v>
      </x:c>
      <x:c r="Y3269" t="str">
        <x:v>Existing Customer</x:v>
      </x:c>
    </x:row>
    <x:row r="3270">
      <x:c r="A3270" t="str">
        <x:v>O003269</x:v>
      </x:c>
      <x:c r="B3270" s="20" t="n">
        <x:v>45760</x:v>
      </x:c>
      <x:c r="C3270" t="str">
        <x:v>C0065</x:v>
      </x:c>
      <x:c r="D3270" t="str">
        <x:v>Mysore Stores 65</x:v>
      </x:c>
      <x:c r="E3270" t="str">
        <x:v>Kirana</x:v>
      </x:c>
      <x:c r="F3270" t="str">
        <x:v>Tumakuru</x:v>
      </x:c>
      <x:c r="G3270" t="str">
        <x:v>Sneha</x:v>
      </x:c>
      <x:c r="H3270" t="str">
        <x:v>P030</x:v>
      </x:c>
      <x:c r="I3270" t="str">
        <x:v>Mayonnaise 1kg</x:v>
      </x:c>
      <x:c r="J3270" t="str">
        <x:v>Condiments</x:v>
      </x:c>
      <x:c r="K3270" t="str">
        <x:v>Veeba</x:v>
      </x:c>
      <x:c r="L3270" s="22" t="n">
        <x:v>210</x:v>
      </x:c>
      <x:c r="M3270" t="n">
        <x:v>24</x:v>
      </x:c>
      <x:c r="N3270" s="24" t="n">
        <x:v>0</x:v>
      </x:c>
      <x:c r="O3270" s="22" t="n">
        <x:f>L3270*M3270</x:f>
        <x:v>5040</x:v>
      </x:c>
      <x:c r="P3270" s="22" t="n">
        <x:f>O3270*(1-N3270)</x:f>
        <x:v>5040</x:v>
      </x:c>
      <x:c r="Q3270" s="22" t="n">
        <x:v>185</x:v>
      </x:c>
      <x:c r="R3270" s="22" t="n">
        <x:f>Q3270*M3270</x:f>
        <x:v>4440</x:v>
      </x:c>
      <x:c r="S3270" s="22" t="n">
        <x:f>P3270-R3270</x:f>
        <x:v>600</x:v>
      </x:c>
      <x:c r="T3270" t="str">
        <x:v>Bank Transfer</x:v>
      </x:c>
      <x:c r="U3270" t="str">
        <x:v>Paid</x:v>
      </x:c>
      <x:c r="V3270" t="str">
        <x:v>Cancelled</x:v>
      </x:c>
      <x:c r="W3270" t="n">
        <x:v>24</x:v>
      </x:c>
      <x:c r="X3270" t="str">
        <x:v>Cancelled Order</x:v>
      </x:c>
      <x:c r="Y3270" t="str">
        <x:v>Existing Customer</x:v>
      </x:c>
    </x:row>
    <x:row r="3271">
      <x:c r="A3271" t="str">
        <x:v>O003270</x:v>
      </x:c>
      <x:c r="B3271" s="20" t="n">
        <x:v>46013</x:v>
      </x:c>
      <x:c r="C3271" t="str">
        <x:v>C0249</x:v>
      </x:c>
      <x:c r="D3271" t="str">
        <x:v>City Hotel 249</x:v>
      </x:c>
      <x:c r="E3271" t="str">
        <x:v>Supermarket</x:v>
      </x:c>
      <x:c r="F3271" t="str">
        <x:v>Mysuru</x:v>
      </x:c>
      <x:c r="G3271" t="str">
        <x:v>Arjun</x:v>
      </x:c>
      <x:c r="H3271" t="str">
        <x:v>P034</x:v>
      </x:c>
      <x:c r="I3271" t="str">
        <x:v>Chilli Powder 1kg</x:v>
      </x:c>
      <x:c r="J3271" t="str">
        <x:v>Spices</x:v>
      </x:c>
      <x:c r="K3271" t="str">
        <x:v>MDH</x:v>
      </x:c>
      <x:c r="L3271" s="22" t="n">
        <x:v>340</x:v>
      </x:c>
      <x:c r="M3271" t="n">
        <x:v>2</x:v>
      </x:c>
      <x:c r="N3271" s="24" t="n">
        <x:v>0.05</x:v>
      </x:c>
      <x:c r="O3271" s="22" t="n">
        <x:f>L3271*M3271</x:f>
        <x:v>680</x:v>
      </x:c>
      <x:c r="P3271" s="22" t="n">
        <x:f>O3271*(1-N3271)</x:f>
        <x:v>646</x:v>
      </x:c>
      <x:c r="Q3271" s="22" t="n">
        <x:v>295</x:v>
      </x:c>
      <x:c r="R3271" s="22" t="n">
        <x:f>Q3271*M3271</x:f>
        <x:v>590</x:v>
      </x:c>
      <x:c r="S3271" s="22" t="n">
        <x:f>P3271-R3271</x:f>
        <x:v>56</x:v>
      </x:c>
      <x:c r="T3271" t="str">
        <x:v>Credit</x:v>
      </x:c>
      <x:c r="U3271" t="str">
        <x:v>Paid</x:v>
      </x:c>
      <x:c r="V3271" t="str">
        <x:v>Delivered</x:v>
      </x:c>
      <x:c r="W3271" t="n">
        <x:v>0</x:v>
      </x:c>
      <x:c r="X3271" t="str"/>
      <x:c r="Y3271" t="str">
        <x:v>Field Visit</x:v>
      </x:c>
    </x:row>
    <x:row r="3272">
      <x:c r="A3272" t="str">
        <x:v>O003271</x:v>
      </x:c>
      <x:c r="B3272" s="20" t="n">
        <x:v>45708</x:v>
      </x:c>
      <x:c r="C3272" t="str">
        <x:v>C0141</x:v>
      </x:c>
      <x:c r="D3272" t="str">
        <x:v>Sri Restaurant 141</x:v>
      </x:c>
      <x:c r="E3272" t="str">
        <x:v>Restaurant</x:v>
      </x:c>
      <x:c r="F3272" t="str">
        <x:v>Mangaluru</x:v>
      </x:c>
      <x:c r="G3272" t="str">
        <x:v>Ramesh</x:v>
      </x:c>
      <x:c r="H3272" t="str">
        <x:v>P021</x:v>
      </x:c>
      <x:c r="I3272" t="str">
        <x:v>Instant Coffee 200g</x:v>
      </x:c>
      <x:c r="J3272" t="str">
        <x:v>Beverage</x:v>
      </x:c>
      <x:c r="K3272" t="str">
        <x:v>Nescafe</x:v>
      </x:c>
      <x:c r="L3272" s="22" t="n">
        <x:v>460</x:v>
      </x:c>
      <x:c r="M3272" t="n">
        <x:v>35</x:v>
      </x:c>
      <x:c r="N3272" s="24" t="n">
        <x:v>0</x:v>
      </x:c>
      <x:c r="O3272" s="22" t="n">
        <x:f>L3272*M3272</x:f>
        <x:v>16100</x:v>
      </x:c>
      <x:c r="P3272" s="22" t="n">
        <x:f>O3272*(1-N3272)</x:f>
        <x:v>16100</x:v>
      </x:c>
      <x:c r="Q3272" s="22" t="n">
        <x:v>410</x:v>
      </x:c>
      <x:c r="R3272" s="22" t="n">
        <x:f>Q3272*M3272</x:f>
        <x:v>14350</x:v>
      </x:c>
      <x:c r="S3272" s="22" t="n">
        <x:f>P3272-R3272</x:f>
        <x:v>1750</x:v>
      </x:c>
      <x:c r="T3272" t="str">
        <x:v>Cash</x:v>
      </x:c>
      <x:c r="U3272" t="str">
        <x:v>Overdue</x:v>
      </x:c>
      <x:c r="V3272" t="str">
        <x:v>Delivered</x:v>
      </x:c>
      <x:c r="W3272" t="n">
        <x:v>0</x:v>
      </x:c>
      <x:c r="X3272" t="str"/>
      <x:c r="Y3272" t="str">
        <x:v>Existing Customer</x:v>
      </x:c>
    </x:row>
    <x:row r="3273">
      <x:c r="A3273" t="str">
        <x:v>O003272</x:v>
      </x:c>
      <x:c r="B3273" s="20" t="n">
        <x:v>46091</x:v>
      </x:c>
      <x:c r="C3273" t="str">
        <x:v>C0238</x:v>
      </x:c>
      <x:c r="D3273" t="str">
        <x:v>Foodie Foods 238</x:v>
      </x:c>
      <x:c r="E3273" t="str">
        <x:v>Restaurant</x:v>
      </x:c>
      <x:c r="F3273" t="str">
        <x:v>Davanagere</x:v>
      </x:c>
      <x:c r="G3273" t="str">
        <x:v>Megha</x:v>
      </x:c>
      <x:c r="H3273" t="str">
        <x:v>P031</x:v>
      </x:c>
      <x:c r="I3273" t="str">
        <x:v>Chilli Sauce 700g</x:v>
      </x:c>
      <x:c r="J3273" t="str">
        <x:v>Condiments</x:v>
      </x:c>
      <x:c r="K3273" t="str">
        <x:v>Ching's</x:v>
      </x:c>
      <x:c r="L3273" s="22" t="n">
        <x:v>130</x:v>
      </x:c>
      <x:c r="M3273" t="n">
        <x:v>27</x:v>
      </x:c>
      <x:c r="N3273" s="24" t="n">
        <x:v>0.05</x:v>
      </x:c>
      <x:c r="O3273" s="22" t="n">
        <x:f>L3273*M3273</x:f>
        <x:v>3510</x:v>
      </x:c>
      <x:c r="P3273" s="22" t="n">
        <x:f>O3273*(1-N3273)</x:f>
        <x:v>3334.5</x:v>
      </x:c>
      <x:c r="Q3273" s="22" t="n">
        <x:v>112</x:v>
      </x:c>
      <x:c r="R3273" s="22" t="n">
        <x:f>Q3273*M3273</x:f>
        <x:v>3024</x:v>
      </x:c>
      <x:c r="S3273" s="22" t="n">
        <x:f>P3273-R3273</x:f>
        <x:v>310.5</x:v>
      </x:c>
      <x:c r="T3273" t="str">
        <x:v>Bank Transfer</x:v>
      </x:c>
      <x:c r="U3273" t="str">
        <x:v>Paid</x:v>
      </x:c>
      <x:c r="V3273" t="str">
        <x:v>Delivered</x:v>
      </x:c>
      <x:c r="W3273" t="n">
        <x:v>0</x:v>
      </x:c>
      <x:c r="X3273" t="str"/>
      <x:c r="Y3273" t="str">
        <x:v>Outbound Call</x:v>
      </x:c>
    </x:row>
    <x:row r="3274">
      <x:c r="A3274" t="str">
        <x:v>O003273</x:v>
      </x:c>
      <x:c r="B3274" s="20" t="n">
        <x:v>45867</x:v>
      </x:c>
      <x:c r="C3274" t="str">
        <x:v>C0033</x:v>
      </x:c>
      <x:c r="D3274" t="str">
        <x:v>Shree Canteen 33</x:v>
      </x:c>
      <x:c r="E3274" t="str">
        <x:v>Canteen</x:v>
      </x:c>
      <x:c r="F3274" t="str">
        <x:v>Mangaluru</x:v>
      </x:c>
      <x:c r="G3274" t="str">
        <x:v>Imran</x:v>
      </x:c>
      <x:c r="H3274" t="str">
        <x:v>P014</x:v>
      </x:c>
      <x:c r="I3274" t="str">
        <x:v>Rava 5kg</x:v>
      </x:c>
      <x:c r="J3274" t="str">
        <x:v>Flour</x:v>
      </x:c>
      <x:c r="K3274" t="str">
        <x:v>Local Select</x:v>
      </x:c>
      <x:c r="L3274" s="22" t="n">
        <x:v>245</x:v>
      </x:c>
      <x:c r="M3274" t="n">
        <x:v>36</x:v>
      </x:c>
      <x:c r="N3274" s="24" t="n">
        <x:v>0</x:v>
      </x:c>
      <x:c r="O3274" s="22" t="n">
        <x:f>L3274*M3274</x:f>
        <x:v>8820</x:v>
      </x:c>
      <x:c r="P3274" s="22" t="n">
        <x:f>O3274*(1-N3274)</x:f>
        <x:v>8820</x:v>
      </x:c>
      <x:c r="Q3274" s="22" t="n">
        <x:v>215</x:v>
      </x:c>
      <x:c r="R3274" s="22" t="n">
        <x:f>Q3274*M3274</x:f>
        <x:v>7740</x:v>
      </x:c>
      <x:c r="S3274" s="22" t="n">
        <x:f>P3274-R3274</x:f>
        <x:v>1080</x:v>
      </x:c>
      <x:c r="T3274" t="str">
        <x:v>Credit</x:v>
      </x:c>
      <x:c r="U3274" t="str">
        <x:v>Paid</x:v>
      </x:c>
      <x:c r="V3274" t="str">
        <x:v>Cancelled</x:v>
      </x:c>
      <x:c r="W3274" t="n">
        <x:v>36</x:v>
      </x:c>
      <x:c r="X3274" t="str">
        <x:v>Cancelled Order</x:v>
      </x:c>
      <x:c r="Y3274" t="str">
        <x:v>Existing Customer</x:v>
      </x:c>
    </x:row>
    <x:row r="3275">
      <x:c r="A3275" t="str">
        <x:v>O003274</x:v>
      </x:c>
      <x:c r="B3275" s="20" t="n">
        <x:v>46160</x:v>
      </x:c>
      <x:c r="C3275" t="str">
        <x:v>C0020</x:v>
      </x:c>
      <x:c r="D3275" t="str">
        <x:v>Shree Foods 20</x:v>
      </x:c>
      <x:c r="E3275" t="str">
        <x:v>Restaurant</x:v>
      </x:c>
      <x:c r="F3275" t="str">
        <x:v>Mysuru</x:v>
      </x:c>
      <x:c r="G3275" t="str">
        <x:v>Arjun</x:v>
      </x:c>
      <x:c r="H3275" t="str">
        <x:v>P048</x:v>
      </x:c>
      <x:c r="I3275" t="str">
        <x:v>Banana 10kg</x:v>
      </x:c>
      <x:c r="J3275" t="str">
        <x:v>Fresh Produce</x:v>
      </x:c>
      <x:c r="K3275" t="str">
        <x:v>Local Market</x:v>
      </x:c>
      <x:c r="L3275" s="22" t="n">
        <x:v>420</x:v>
      </x:c>
      <x:c r="M3275" t="n">
        <x:v>3</x:v>
      </x:c>
      <x:c r="N3275" s="24" t="n">
        <x:v>0</x:v>
      </x:c>
      <x:c r="O3275" s="22" t="n">
        <x:f>L3275*M3275</x:f>
        <x:v>1260</x:v>
      </x:c>
      <x:c r="P3275" s="22" t="n">
        <x:f>O3275*(1-N3275)</x:f>
        <x:v>1260</x:v>
      </x:c>
      <x:c r="Q3275" s="22" t="n">
        <x:v>350</x:v>
      </x:c>
      <x:c r="R3275" s="22" t="n">
        <x:f>Q3275*M3275</x:f>
        <x:v>1050</x:v>
      </x:c>
      <x:c r="S3275" s="22" t="n">
        <x:f>P3275-R3275</x:f>
        <x:v>210</x:v>
      </x:c>
      <x:c r="T3275" t="str">
        <x:v>Bank Transfer</x:v>
      </x:c>
      <x:c r="U3275" t="str">
        <x:v>Paid</x:v>
      </x:c>
      <x:c r="V3275" t="str">
        <x:v>Delivered</x:v>
      </x:c>
      <x:c r="W3275" t="n">
        <x:v>0</x:v>
      </x:c>
      <x:c r="X3275" t="str"/>
      <x:c r="Y3275" t="str">
        <x:v>Field Visit</x:v>
      </x:c>
    </x:row>
    <x:row r="3276">
      <x:c r="A3276" t="str">
        <x:v>O003275</x:v>
      </x:c>
      <x:c r="B3276" s="20" t="n">
        <x:v>45960</x:v>
      </x:c>
      <x:c r="C3276" t="str">
        <x:v>C0215</x:v>
      </x:c>
      <x:c r="D3276" t="str">
        <x:v>Annapurna Restaurant 215</x:v>
      </x:c>
      <x:c r="E3276" t="str">
        <x:v>Supermarket</x:v>
      </x:c>
      <x:c r="F3276" t="str">
        <x:v>Bengaluru</x:v>
      </x:c>
      <x:c r="G3276" t="str">
        <x:v>Vikram</x:v>
      </x:c>
      <x:c r="H3276" t="str">
        <x:v>P042</x:v>
      </x:c>
      <x:c r="I3276" t="str">
        <x:v>Eggs 30pc Tray</x:v>
      </x:c>
      <x:c r="J3276" t="str">
        <x:v>Protein</x:v>
      </x:c>
      <x:c r="K3276" t="str">
        <x:v>Farm Fresh</x:v>
      </x:c>
      <x:c r="L3276" s="22" t="n">
        <x:v>195</x:v>
      </x:c>
      <x:c r="M3276" t="n">
        <x:v>38</x:v>
      </x:c>
      <x:c r="N3276" s="24" t="n">
        <x:v>0.05</x:v>
      </x:c>
      <x:c r="O3276" s="22" t="n">
        <x:f>L3276*M3276</x:f>
        <x:v>7410</x:v>
      </x:c>
      <x:c r="P3276" s="22" t="n">
        <x:f>O3276*(1-N3276)</x:f>
        <x:v>7039.5</x:v>
      </x:c>
      <x:c r="Q3276" s="22" t="n">
        <x:v>170</x:v>
      </x:c>
      <x:c r="R3276" s="22" t="n">
        <x:f>Q3276*M3276</x:f>
        <x:v>6460</x:v>
      </x:c>
      <x:c r="S3276" s="22" t="n">
        <x:f>P3276-R3276</x:f>
        <x:v>579.5</x:v>
      </x:c>
      <x:c r="T3276" t="str">
        <x:v>Credit</x:v>
      </x:c>
      <x:c r="U3276" t="str">
        <x:v>Paid</x:v>
      </x:c>
      <x:c r="V3276" t="str">
        <x:v>Delayed</x:v>
      </x:c>
      <x:c r="W3276" t="n">
        <x:v>0</x:v>
      </x:c>
      <x:c r="X3276" t="str"/>
      <x:c r="Y3276" t="str">
        <x:v>Outbound Call</x:v>
      </x:c>
    </x:row>
    <x:row r="3277">
      <x:c r="A3277" t="str">
        <x:v>O003276</x:v>
      </x:c>
      <x:c r="B3277" s="20" t="n">
        <x:v>45677</x:v>
      </x:c>
      <x:c r="C3277" t="str">
        <x:v>C0034</x:v>
      </x:c>
      <x:c r="D3277" t="str">
        <x:v>City Restaurant 34</x:v>
      </x:c>
      <x:c r="E3277" t="str">
        <x:v>Restaurant</x:v>
      </x:c>
      <x:c r="F3277" t="str">
        <x:v>Mangaluru</x:v>
      </x:c>
      <x:c r="G3277" t="str">
        <x:v>Sneha</x:v>
      </x:c>
      <x:c r="H3277" t="str">
        <x:v>P031</x:v>
      </x:c>
      <x:c r="I3277" t="str">
        <x:v>Chilli Sauce 700g</x:v>
      </x:c>
      <x:c r="J3277" t="str">
        <x:v>Condiments</x:v>
      </x:c>
      <x:c r="K3277" t="str">
        <x:v>Ching's</x:v>
      </x:c>
      <x:c r="L3277" s="22" t="n">
        <x:v>130</x:v>
      </x:c>
      <x:c r="M3277" t="n">
        <x:v>12</x:v>
      </x:c>
      <x:c r="N3277" s="24" t="n">
        <x:v>0.02</x:v>
      </x:c>
      <x:c r="O3277" s="22" t="n">
        <x:f>L3277*M3277</x:f>
        <x:v>1560</x:v>
      </x:c>
      <x:c r="P3277" s="22" t="n">
        <x:f>O3277*(1-N3277)</x:f>
        <x:v>1528.8</x:v>
      </x:c>
      <x:c r="Q3277" s="22" t="n">
        <x:v>112</x:v>
      </x:c>
      <x:c r="R3277" s="22" t="n">
        <x:f>Q3277*M3277</x:f>
        <x:v>1344</x:v>
      </x:c>
      <x:c r="S3277" s="22" t="n">
        <x:f>P3277-R3277</x:f>
        <x:v>184.79999999999995</x:v>
      </x:c>
      <x:c r="T3277" t="str">
        <x:v>Credit</x:v>
      </x:c>
      <x:c r="U3277" t="str">
        <x:v>Paid</x:v>
      </x:c>
      <x:c r="V3277" t="str">
        <x:v>Delivered</x:v>
      </x:c>
      <x:c r="W3277" t="n">
        <x:v>0</x:v>
      </x:c>
      <x:c r="X3277" t="str"/>
      <x:c r="Y3277" t="str">
        <x:v>Referral</x:v>
      </x:c>
    </x:row>
    <x:row r="3278">
      <x:c r="A3278" t="str">
        <x:v>O003277</x:v>
      </x:c>
      <x:c r="B3278" s="20" t="n">
        <x:v>45703</x:v>
      </x:c>
      <x:c r="C3278" t="str">
        <x:v>C0129</x:v>
      </x:c>
      <x:c r="D3278" t="str">
        <x:v>City Canteen 129</x:v>
      </x:c>
      <x:c r="E3278" t="str">
        <x:v>Kirana</x:v>
      </x:c>
      <x:c r="F3278" t="str">
        <x:v>Hubballi</x:v>
      </x:c>
      <x:c r="G3278" t="str">
        <x:v>Sneha</x:v>
      </x:c>
      <x:c r="H3278" t="str">
        <x:v>P013</x:v>
      </x:c>
      <x:c r="I3278" t="str">
        <x:v>Atta 10kg</x:v>
      </x:c>
      <x:c r="J3278" t="str">
        <x:v>Flour</x:v>
      </x:c>
      <x:c r="K3278" t="str">
        <x:v>Aashirvaad</x:v>
      </x:c>
      <x:c r="L3278" s="22" t="n">
        <x:v>560</x:v>
      </x:c>
      <x:c r="M3278" t="n">
        <x:v>20</x:v>
      </x:c>
      <x:c r="N3278" s="24" t="n">
        <x:v>0.08</x:v>
      </x:c>
      <x:c r="O3278" s="22" t="n">
        <x:f>L3278*M3278</x:f>
        <x:v>11200</x:v>
      </x:c>
      <x:c r="P3278" s="22" t="n">
        <x:f>O3278*(1-N3278)</x:f>
        <x:v>10304</x:v>
      </x:c>
      <x:c r="Q3278" s="22" t="n">
        <x:v>495</x:v>
      </x:c>
      <x:c r="R3278" s="22" t="n">
        <x:f>Q3278*M3278</x:f>
        <x:v>9900</x:v>
      </x:c>
      <x:c r="S3278" s="22" t="n">
        <x:f>P3278-R3278</x:f>
        <x:v>404</x:v>
      </x:c>
      <x:c r="T3278" t="str">
        <x:v>UPI</x:v>
      </x:c>
      <x:c r="U3278" t="str">
        <x:v>Paid</x:v>
      </x:c>
      <x:c r="V3278" t="str">
        <x:v>Delivered</x:v>
      </x:c>
      <x:c r="W3278" t="n">
        <x:v>0</x:v>
      </x:c>
      <x:c r="X3278" t="str"/>
      <x:c r="Y3278" t="str">
        <x:v>Field Visit</x:v>
      </x:c>
    </x:row>
    <x:row r="3279">
      <x:c r="A3279" t="str">
        <x:v>O003278</x:v>
      </x:c>
      <x:c r="B3279" s="20" t="n">
        <x:v>45736</x:v>
      </x:c>
      <x:c r="C3279" t="str">
        <x:v>C0011</x:v>
      </x:c>
      <x:c r="D3279" t="str">
        <x:v>City Cafe 11</x:v>
      </x:c>
      <x:c r="E3279" t="str">
        <x:v>Restaurant</x:v>
      </x:c>
      <x:c r="F3279" t="str">
        <x:v>Mangaluru</x:v>
      </x:c>
      <x:c r="G3279" t="str">
        <x:v>Arjun</x:v>
      </x:c>
      <x:c r="H3279" t="str">
        <x:v>P028</x:v>
      </x:c>
      <x:c r="I3279" t="str">
        <x:v>Cookies 200g</x:v>
      </x:c>
      <x:c r="J3279" t="str">
        <x:v>Snacks</x:v>
      </x:c>
      <x:c r="K3279" t="str">
        <x:v>Britannia</x:v>
      </x:c>
      <x:c r="L3279" s="22" t="n">
        <x:v>55</x:v>
      </x:c>
      <x:c r="M3279" t="n">
        <x:v>1</x:v>
      </x:c>
      <x:c r="N3279" s="24" t="n">
        <x:v>0.03</x:v>
      </x:c>
      <x:c r="O3279" s="22" t="n">
        <x:f>L3279*M3279</x:f>
        <x:v>55</x:v>
      </x:c>
      <x:c r="P3279" s="22" t="n">
        <x:f>O3279*(1-N3279)</x:f>
        <x:v>53.35</x:v>
      </x:c>
      <x:c r="Q3279" s="22" t="n">
        <x:v>42</x:v>
      </x:c>
      <x:c r="R3279" s="22" t="n">
        <x:f>Q3279*M3279</x:f>
        <x:v>42</x:v>
      </x:c>
      <x:c r="S3279" s="22" t="n">
        <x:f>P3279-R3279</x:f>
        <x:v>11.350000000000001</x:v>
      </x:c>
      <x:c r="T3279" t="str">
        <x:v>Bank Transfer</x:v>
      </x:c>
      <x:c r="U3279" t="str">
        <x:v>Pending</x:v>
      </x:c>
      <x:c r="V3279" t="str">
        <x:v>Delivered</x:v>
      </x:c>
      <x:c r="W3279" t="n">
        <x:v>0</x:v>
      </x:c>
      <x:c r="X3279" t="str"/>
      <x:c r="Y3279" t="str">
        <x:v>Existing Customer</x:v>
      </x:c>
    </x:row>
    <x:row r="3280">
      <x:c r="A3280" t="str">
        <x:v>O003279</x:v>
      </x:c>
      <x:c r="B3280" s="20" t="n">
        <x:v>45863</x:v>
      </x:c>
      <x:c r="C3280" t="str">
        <x:v>C0074</x:v>
      </x:c>
      <x:c r="D3280" t="str">
        <x:v>Foodie Hotel 74</x:v>
      </x:c>
      <x:c r="E3280" t="str">
        <x:v>Restaurant</x:v>
      </x:c>
      <x:c r="F3280" t="str">
        <x:v>Mysuru</x:v>
      </x:c>
      <x:c r="G3280" t="str">
        <x:v>Vikram</x:v>
      </x:c>
      <x:c r="H3280" t="str">
        <x:v>P022</x:v>
      </x:c>
      <x:c r="I3280" t="str">
        <x:v>Mineral Water 1L</x:v>
      </x:c>
      <x:c r="J3280" t="str">
        <x:v>Beverage</x:v>
      </x:c>
      <x:c r="K3280" t="str">
        <x:v>Bisleri</x:v>
      </x:c>
      <x:c r="L3280" s="22" t="n">
        <x:v>19</x:v>
      </x:c>
      <x:c r="M3280" t="n">
        <x:v>30</x:v>
      </x:c>
      <x:c r="N3280" s="24" t="n">
        <x:v>0</x:v>
      </x:c>
      <x:c r="O3280" s="22" t="n">
        <x:f>L3280*M3280</x:f>
        <x:v>570</x:v>
      </x:c>
      <x:c r="P3280" s="22" t="n">
        <x:f>O3280*(1-N3280)</x:f>
        <x:v>570</x:v>
      </x:c>
      <x:c r="Q3280" s="22" t="n">
        <x:v>15</x:v>
      </x:c>
      <x:c r="R3280" s="22" t="n">
        <x:f>Q3280*M3280</x:f>
        <x:v>450</x:v>
      </x:c>
      <x:c r="S3280" s="22" t="n">
        <x:f>P3280-R3280</x:f>
        <x:v>120</x:v>
      </x:c>
      <x:c r="T3280" t="str">
        <x:v>Credit</x:v>
      </x:c>
      <x:c r="U3280" t="str">
        <x:v>Paid</x:v>
      </x:c>
      <x:c r="V3280" t="str">
        <x:v>Delivered</x:v>
      </x:c>
      <x:c r="W3280" t="n">
        <x:v>2</x:v>
      </x:c>
      <x:c r="X3280" t="str">
        <x:v>Damaged</x:v>
      </x:c>
      <x:c r="Y3280" t="str">
        <x:v>Existing Customer</x:v>
      </x:c>
    </x:row>
    <x:row r="3281">
      <x:c r="A3281" t="str">
        <x:v>O003280</x:v>
      </x:c>
      <x:c r="B3281" s="20" t="n">
        <x:v>45747</x:v>
      </x:c>
      <x:c r="C3281" t="str">
        <x:v>C0073</x:v>
      </x:c>
      <x:c r="D3281" t="str">
        <x:v>Annapurna Stores 73</x:v>
      </x:c>
      <x:c r="E3281" t="str">
        <x:v>Restaurant</x:v>
      </x:c>
      <x:c r="F3281" t="str">
        <x:v>Davanagere</x:v>
      </x:c>
      <x:c r="G3281" t="str">
        <x:v>Kavya</x:v>
      </x:c>
      <x:c r="H3281" t="str">
        <x:v>P016</x:v>
      </x:c>
      <x:c r="I3281" t="str">
        <x:v>Curd 1kg</x:v>
      </x:c>
      <x:c r="J3281" t="str">
        <x:v>Dairy</x:v>
      </x:c>
      <x:c r="K3281" t="str">
        <x:v>Nandini</x:v>
      </x:c>
      <x:c r="L3281" s="22" t="n">
        <x:v>72</x:v>
      </x:c>
      <x:c r="M3281" t="n">
        <x:v>12</x:v>
      </x:c>
      <x:c r="N3281" s="24" t="n">
        <x:v>0.03</x:v>
      </x:c>
      <x:c r="O3281" s="22" t="n">
        <x:f>L3281*M3281</x:f>
        <x:v>864</x:v>
      </x:c>
      <x:c r="P3281" s="22" t="n">
        <x:f>O3281*(1-N3281)</x:f>
        <x:v>838.0799999999999</x:v>
      </x:c>
      <x:c r="Q3281" s="22" t="n">
        <x:v>64</x:v>
      </x:c>
      <x:c r="R3281" s="22" t="n">
        <x:f>Q3281*M3281</x:f>
        <x:v>768</x:v>
      </x:c>
      <x:c r="S3281" s="22" t="n">
        <x:f>P3281-R3281</x:f>
        <x:v>70.07999999999993</x:v>
      </x:c>
      <x:c r="T3281" t="str">
        <x:v>Credit</x:v>
      </x:c>
      <x:c r="U3281" t="str">
        <x:v>Paid</x:v>
      </x:c>
      <x:c r="V3281" t="str">
        <x:v>Delivered</x:v>
      </x:c>
      <x:c r="W3281" t="n">
        <x:v>0</x:v>
      </x:c>
      <x:c r="X3281" t="str"/>
      <x:c r="Y3281" t="str">
        <x:v>Referral</x:v>
      </x:c>
    </x:row>
    <x:row r="3282">
      <x:c r="A3282" t="str">
        <x:v>O003281</x:v>
      </x:c>
      <x:c r="B3282" s="20" t="n">
        <x:v>46022</x:v>
      </x:c>
      <x:c r="C3282" t="str">
        <x:v>C0232</x:v>
      </x:c>
      <x:c r="D3282" t="str">
        <x:v>Grand Mart 232</x:v>
      </x:c>
      <x:c r="E3282" t="str">
        <x:v>Cafe</x:v>
      </x:c>
      <x:c r="F3282" t="str">
        <x:v>Davanagere</x:v>
      </x:c>
      <x:c r="G3282" t="str">
        <x:v>Kavya</x:v>
      </x:c>
      <x:c r="H3282" t="str">
        <x:v>P027</x:v>
      </x:c>
      <x:c r="I3282" t="str">
        <x:v>Biscuits 120g</x:v>
      </x:c>
      <x:c r="J3282" t="str">
        <x:v>Snacks</x:v>
      </x:c>
      <x:c r="K3282" t="str">
        <x:v>Parle-G</x:v>
      </x:c>
      <x:c r="L3282" s="22" t="n">
        <x:v>12</x:v>
      </x:c>
      <x:c r="M3282" t="n">
        <x:v>22</x:v>
      </x:c>
      <x:c r="N3282" s="24" t="n">
        <x:v>0.03</x:v>
      </x:c>
      <x:c r="O3282" s="22" t="n">
        <x:f>L3282*M3282</x:f>
        <x:v>264</x:v>
      </x:c>
      <x:c r="P3282" s="22" t="n">
        <x:f>O3282*(1-N3282)</x:f>
        <x:v>256.08</x:v>
      </x:c>
      <x:c r="Q3282" s="22" t="n">
        <x:v>9</x:v>
      </x:c>
      <x:c r="R3282" s="22" t="n">
        <x:f>Q3282*M3282</x:f>
        <x:v>198</x:v>
      </x:c>
      <x:c r="S3282" s="22" t="n">
        <x:f>P3282-R3282</x:f>
        <x:v>58.079999999999984</x:v>
      </x:c>
      <x:c r="T3282" t="str">
        <x:v>Credit</x:v>
      </x:c>
      <x:c r="U3282" t="str">
        <x:v>Pending</x:v>
      </x:c>
      <x:c r="V3282" t="str">
        <x:v>Delivered</x:v>
      </x:c>
      <x:c r="W3282" t="n">
        <x:v>0</x:v>
      </x:c>
      <x:c r="X3282" t="str"/>
      <x:c r="Y3282" t="str">
        <x:v>Field Visit</x:v>
      </x:c>
    </x:row>
    <x:row r="3283">
      <x:c r="A3283" t="str">
        <x:v>O003282</x:v>
      </x:c>
      <x:c r="B3283" s="20" t="n">
        <x:v>45800</x:v>
      </x:c>
      <x:c r="C3283" t="str">
        <x:v>C0108</x:v>
      </x:c>
      <x:c r="D3283" t="str">
        <x:v>Spice Mart 108</x:v>
      </x:c>
      <x:c r="E3283" t="str">
        <x:v>Supermarket</x:v>
      </x:c>
      <x:c r="F3283" t="str">
        <x:v>Hubballi</x:v>
      </x:c>
      <x:c r="G3283" t="str">
        <x:v>Kavya</x:v>
      </x:c>
      <x:c r="H3283" t="str">
        <x:v>P030</x:v>
      </x:c>
      <x:c r="I3283" t="str">
        <x:v>Mayonnaise 1kg</x:v>
      </x:c>
      <x:c r="J3283" t="str">
        <x:v>Condiments</x:v>
      </x:c>
      <x:c r="K3283" t="str">
        <x:v>Veeba</x:v>
      </x:c>
      <x:c r="L3283" s="22" t="n">
        <x:v>210</x:v>
      </x:c>
      <x:c r="M3283" t="n">
        <x:v>4</x:v>
      </x:c>
      <x:c r="N3283" s="24" t="n">
        <x:v>0.05</x:v>
      </x:c>
      <x:c r="O3283" s="22" t="n">
        <x:f>L3283*M3283</x:f>
        <x:v>840</x:v>
      </x:c>
      <x:c r="P3283" s="22" t="n">
        <x:f>O3283*(1-N3283)</x:f>
        <x:v>798</x:v>
      </x:c>
      <x:c r="Q3283" s="22" t="n">
        <x:v>185</x:v>
      </x:c>
      <x:c r="R3283" s="22" t="n">
        <x:f>Q3283*M3283</x:f>
        <x:v>740</x:v>
      </x:c>
      <x:c r="S3283" s="22" t="n">
        <x:f>P3283-R3283</x:f>
        <x:v>58</x:v>
      </x:c>
      <x:c r="T3283" t="str">
        <x:v>Credit</x:v>
      </x:c>
      <x:c r="U3283" t="str">
        <x:v>Paid</x:v>
      </x:c>
      <x:c r="V3283" t="str">
        <x:v>Delivered</x:v>
      </x:c>
      <x:c r="W3283" t="n">
        <x:v>0</x:v>
      </x:c>
      <x:c r="X3283" t="str"/>
      <x:c r="Y3283" t="str">
        <x:v>Referral</x:v>
      </x:c>
    </x:row>
    <x:row r="3284">
      <x:c r="A3284" t="str">
        <x:v>O003283</x:v>
      </x:c>
      <x:c r="B3284" s="20" t="n">
        <x:v>45665</x:v>
      </x:c>
      <x:c r="C3284" t="str">
        <x:v>C0081</x:v>
      </x:c>
      <x:c r="D3284" t="str">
        <x:v>Foodie Mart 81</x:v>
      </x:c>
      <x:c r="E3284" t="str">
        <x:v>Supermarket</x:v>
      </x:c>
      <x:c r="F3284" t="str">
        <x:v>Hubballi</x:v>
      </x:c>
      <x:c r="G3284" t="str">
        <x:v>Kavya</x:v>
      </x:c>
      <x:c r="H3284" t="str">
        <x:v>P008</x:v>
      </x:c>
      <x:c r="I3284" t="str">
        <x:v>Palm Oil 15L</x:v>
      </x:c>
      <x:c r="J3284" t="str">
        <x:v>Edible Oil</x:v>
      </x:c>
      <x:c r="K3284" t="str">
        <x:v>Ruchi Gold</x:v>
      </x:c>
      <x:c r="L3284" s="22" t="n">
        <x:v>1760</x:v>
      </x:c>
      <x:c r="M3284" t="n">
        <x:v>6</x:v>
      </x:c>
      <x:c r="N3284" s="24" t="n">
        <x:v>0.08</x:v>
      </x:c>
      <x:c r="O3284" s="22" t="n">
        <x:f>L3284*M3284</x:f>
        <x:v>10560</x:v>
      </x:c>
      <x:c r="P3284" s="22" t="n">
        <x:f>O3284*(1-N3284)</x:f>
        <x:v>9715.2</x:v>
      </x:c>
      <x:c r="Q3284" s="22" t="n">
        <x:v>1610</x:v>
      </x:c>
      <x:c r="R3284" s="22" t="n">
        <x:f>Q3284*M3284</x:f>
        <x:v>9660</x:v>
      </x:c>
      <x:c r="S3284" s="22" t="n">
        <x:f>P3284-R3284</x:f>
        <x:v>55.20000000000073</x:v>
      </x:c>
      <x:c r="T3284" t="str">
        <x:v>Credit</x:v>
      </x:c>
      <x:c r="U3284" t="str">
        <x:v>Paid</x:v>
      </x:c>
      <x:c r="V3284" t="str">
        <x:v>Delivered</x:v>
      </x:c>
      <x:c r="W3284" t="n">
        <x:v>0</x:v>
      </x:c>
      <x:c r="X3284" t="str"/>
      <x:c r="Y3284" t="str">
        <x:v>Outbound Call</x:v>
      </x:c>
    </x:row>
    <x:row r="3285">
      <x:c r="A3285" t="str">
        <x:v>O003284</x:v>
      </x:c>
      <x:c r="B3285" s="20" t="n">
        <x:v>45730</x:v>
      </x:c>
      <x:c r="C3285" t="str">
        <x:v>C0245</x:v>
      </x:c>
      <x:c r="D3285" t="str">
        <x:v>Udupi Cafe 245</x:v>
      </x:c>
      <x:c r="E3285" t="str">
        <x:v>Canteen</x:v>
      </x:c>
      <x:c r="F3285" t="str">
        <x:v>Bengaluru</x:v>
      </x:c>
      <x:c r="G3285" t="str">
        <x:v>Priya</x:v>
      </x:c>
      <x:c r="H3285" t="str">
        <x:v>P005</x:v>
      </x:c>
      <x:c r="I3285" t="str">
        <x:v>Chana Dal 5kg</x:v>
      </x:c>
      <x:c r="J3285" t="str">
        <x:v>Pulses</x:v>
      </x:c>
      <x:c r="K3285" t="str">
        <x:v>Local Select</x:v>
      </x:c>
      <x:c r="L3285" s="22" t="n">
        <x:v>520</x:v>
      </x:c>
      <x:c r="M3285" t="n">
        <x:v>12</x:v>
      </x:c>
      <x:c r="N3285" s="24" t="n">
        <x:v>0</x:v>
      </x:c>
      <x:c r="O3285" s="22" t="n">
        <x:f>L3285*M3285</x:f>
        <x:v>6240</x:v>
      </x:c>
      <x:c r="P3285" s="22" t="n">
        <x:f>O3285*(1-N3285)</x:f>
        <x:v>6240</x:v>
      </x:c>
      <x:c r="Q3285" s="22" t="n">
        <x:v>455</x:v>
      </x:c>
      <x:c r="R3285" s="22" t="n">
        <x:f>Q3285*M3285</x:f>
        <x:v>5460</x:v>
      </x:c>
      <x:c r="S3285" s="22" t="n">
        <x:f>P3285-R3285</x:f>
        <x:v>780</x:v>
      </x:c>
      <x:c r="T3285" t="str">
        <x:v>UPI</x:v>
      </x:c>
      <x:c r="U3285" t="str">
        <x:v>Pending</x:v>
      </x:c>
      <x:c r="V3285" t="str">
        <x:v>Delivered</x:v>
      </x:c>
      <x:c r="W3285" t="n">
        <x:v>0</x:v>
      </x:c>
      <x:c r="X3285" t="str"/>
      <x:c r="Y3285" t="str">
        <x:v>Existing Customer</x:v>
      </x:c>
    </x:row>
    <x:row r="3286">
      <x:c r="A3286" t="str">
        <x:v>O003285</x:v>
      </x:c>
      <x:c r="B3286" s="20" t="n">
        <x:v>46031</x:v>
      </x:c>
      <x:c r="C3286" t="str">
        <x:v>C0047</x:v>
      </x:c>
      <x:c r="D3286" t="str">
        <x:v>Shree Restaurant 47</x:v>
      </x:c>
      <x:c r="E3286" t="str">
        <x:v>Canteen</x:v>
      </x:c>
      <x:c r="F3286" t="str">
        <x:v>Davanagere</x:v>
      </x:c>
      <x:c r="G3286" t="str">
        <x:v>Arjun</x:v>
      </x:c>
      <x:c r="H3286" t="str">
        <x:v>P016</x:v>
      </x:c>
      <x:c r="I3286" t="str">
        <x:v>Curd 1kg</x:v>
      </x:c>
      <x:c r="J3286" t="str">
        <x:v>Dairy</x:v>
      </x:c>
      <x:c r="K3286" t="str">
        <x:v>Nandini</x:v>
      </x:c>
      <x:c r="L3286" s="22" t="n">
        <x:v>72</x:v>
      </x:c>
      <x:c r="M3286" t="n">
        <x:v>13</x:v>
      </x:c>
      <x:c r="N3286" s="24" t="n">
        <x:v>0.03</x:v>
      </x:c>
      <x:c r="O3286" s="22" t="n">
        <x:f>L3286*M3286</x:f>
        <x:v>936</x:v>
      </x:c>
      <x:c r="P3286" s="22" t="n">
        <x:f>O3286*(1-N3286)</x:f>
        <x:v>907.92</x:v>
      </x:c>
      <x:c r="Q3286" s="22" t="n">
        <x:v>64</x:v>
      </x:c>
      <x:c r="R3286" s="22" t="n">
        <x:f>Q3286*M3286</x:f>
        <x:v>832</x:v>
      </x:c>
      <x:c r="S3286" s="22" t="n">
        <x:f>P3286-R3286</x:f>
        <x:v>75.91999999999996</x:v>
      </x:c>
      <x:c r="T3286" t="str">
        <x:v>Bank Transfer</x:v>
      </x:c>
      <x:c r="U3286" t="str">
        <x:v>Pending</x:v>
      </x:c>
      <x:c r="V3286" t="str">
        <x:v>Delivered</x:v>
      </x:c>
      <x:c r="W3286" t="n">
        <x:v>3</x:v>
      </x:c>
      <x:c r="X3286" t="str">
        <x:v>Quality Issue</x:v>
      </x:c>
      <x:c r="Y3286" t="str">
        <x:v>Existing Customer</x:v>
      </x:c>
    </x:row>
    <x:row r="3287">
      <x:c r="A3287" t="str">
        <x:v>O003286</x:v>
      </x:c>
      <x:c r="B3287" s="20" t="n">
        <x:v>45985</x:v>
      </x:c>
      <x:c r="C3287" t="str">
        <x:v>C0150</x:v>
      </x:c>
      <x:c r="D3287" t="str">
        <x:v>Sagar Kitchen 150</x:v>
      </x:c>
      <x:c r="E3287" t="str">
        <x:v>Kirana</x:v>
      </x:c>
      <x:c r="F3287" t="str">
        <x:v>Hubballi</x:v>
      </x:c>
      <x:c r="G3287" t="str">
        <x:v>Ramesh</x:v>
      </x:c>
      <x:c r="H3287" t="str">
        <x:v>P045</x:v>
      </x:c>
      <x:c r="I3287" t="str">
        <x:v>Onion 25kg</x:v>
      </x:c>
      <x:c r="J3287" t="str">
        <x:v>Fresh Produce</x:v>
      </x:c>
      <x:c r="K3287" t="str">
        <x:v>Local Market</x:v>
      </x:c>
      <x:c r="L3287" s="22" t="n">
        <x:v>875</x:v>
      </x:c>
      <x:c r="M3287" t="n">
        <x:v>6</x:v>
      </x:c>
      <x:c r="N3287" s="24" t="n">
        <x:v>0.08</x:v>
      </x:c>
      <x:c r="O3287" s="22" t="n">
        <x:f>L3287*M3287</x:f>
        <x:v>5250</x:v>
      </x:c>
      <x:c r="P3287" s="22" t="n">
        <x:f>O3287*(1-N3287)</x:f>
        <x:v>4830</x:v>
      </x:c>
      <x:c r="Q3287" s="22" t="n">
        <x:v>760</x:v>
      </x:c>
      <x:c r="R3287" s="22" t="n">
        <x:f>Q3287*M3287</x:f>
        <x:v>4560</x:v>
      </x:c>
      <x:c r="S3287" s="22" t="n">
        <x:f>P3287-R3287</x:f>
        <x:v>270</x:v>
      </x:c>
      <x:c r="T3287" t="str">
        <x:v>Credit</x:v>
      </x:c>
      <x:c r="U3287" t="str">
        <x:v>Paid</x:v>
      </x:c>
      <x:c r="V3287" t="str">
        <x:v>Delivered</x:v>
      </x:c>
      <x:c r="W3287" t="n">
        <x:v>0</x:v>
      </x:c>
      <x:c r="X3287" t="str"/>
      <x:c r="Y3287" t="str">
        <x:v>Existing Customer</x:v>
      </x:c>
    </x:row>
    <x:row r="3288">
      <x:c r="A3288" t="str">
        <x:v>O003287</x:v>
      </x:c>
      <x:c r="B3288" s="20" t="n">
        <x:v>46198</x:v>
      </x:c>
      <x:c r="C3288" t="str">
        <x:v>C0038</x:v>
      </x:c>
      <x:c r="D3288" t="str">
        <x:v>Mysore Kitchen 38</x:v>
      </x:c>
      <x:c r="E3288" t="str">
        <x:v>Kirana</x:v>
      </x:c>
      <x:c r="F3288" t="str">
        <x:v>Tumakuru</x:v>
      </x:c>
      <x:c r="G3288" t="str">
        <x:v>Priya</x:v>
      </x:c>
      <x:c r="H3288" t="str">
        <x:v>P007</x:v>
      </x:c>
      <x:c r="I3288" t="str">
        <x:v>Sunflower Oil 15L</x:v>
      </x:c>
      <x:c r="J3288" t="str">
        <x:v>Edible Oil</x:v>
      </x:c>
      <x:c r="K3288" t="str">
        <x:v>Fortune</x:v>
      </x:c>
      <x:c r="L3288" s="22" t="n">
        <x:v>1980</x:v>
      </x:c>
      <x:c r="M3288" t="n">
        <x:v>1</x:v>
      </x:c>
      <x:c r="N3288" s="24" t="n">
        <x:v>0</x:v>
      </x:c>
      <x:c r="O3288" s="22" t="n">
        <x:f>L3288*M3288</x:f>
        <x:v>1980</x:v>
      </x:c>
      <x:c r="P3288" s="22" t="n">
        <x:f>O3288*(1-N3288)</x:f>
        <x:v>1980</x:v>
      </x:c>
      <x:c r="Q3288" s="22" t="n">
        <x:v>1810</x:v>
      </x:c>
      <x:c r="R3288" s="22" t="n">
        <x:f>Q3288*M3288</x:f>
        <x:v>1810</x:v>
      </x:c>
      <x:c r="S3288" s="22" t="n">
        <x:f>P3288-R3288</x:f>
        <x:v>170</x:v>
      </x:c>
      <x:c r="T3288" t="str">
        <x:v>Bank Transfer</x:v>
      </x:c>
      <x:c r="U3288" t="str">
        <x:v>Paid</x:v>
      </x:c>
      <x:c r="V3288" t="str">
        <x:v>Delivered</x:v>
      </x:c>
      <x:c r="W3288" t="n">
        <x:v>0</x:v>
      </x:c>
      <x:c r="X3288" t="str"/>
      <x:c r="Y3288" t="str">
        <x:v>Existing Customer</x:v>
      </x:c>
    </x:row>
    <x:row r="3289">
      <x:c r="A3289" t="str">
        <x:v>O003288</x:v>
      </x:c>
      <x:c r="B3289" s="20" t="n">
        <x:v>45996</x:v>
      </x:c>
      <x:c r="C3289" t="str">
        <x:v>C0161</x:v>
      </x:c>
      <x:c r="D3289" t="str">
        <x:v>Hotel Kitchen 161</x:v>
      </x:c>
      <x:c r="E3289" t="str">
        <x:v>Supermarket</x:v>
      </x:c>
      <x:c r="F3289" t="str">
        <x:v>Mysuru</x:v>
      </x:c>
      <x:c r="G3289" t="str">
        <x:v>Sneha</x:v>
      </x:c>
      <x:c r="H3289" t="str">
        <x:v>P044</x:v>
      </x:c>
      <x:c r="I3289" t="str">
        <x:v>Chicken Curry Cut 1kg</x:v>
      </x:c>
      <x:c r="J3289" t="str">
        <x:v>Protein</x:v>
      </x:c>
      <x:c r="K3289" t="str">
        <x:v>FreshToHome</x:v>
      </x:c>
      <x:c r="L3289" s="22" t="n">
        <x:v>230</x:v>
      </x:c>
      <x:c r="M3289" t="n">
        <x:v>8</x:v>
      </x:c>
      <x:c r="N3289" s="24" t="n">
        <x:v>0.03</x:v>
      </x:c>
      <x:c r="O3289" s="22" t="n">
        <x:f>L3289*M3289</x:f>
        <x:v>1840</x:v>
      </x:c>
      <x:c r="P3289" s="22" t="n">
        <x:f>O3289*(1-N3289)</x:f>
        <x:v>1784.8</x:v>
      </x:c>
      <x:c r="Q3289" s="22" t="n">
        <x:v>205</x:v>
      </x:c>
      <x:c r="R3289" s="22" t="n">
        <x:f>Q3289*M3289</x:f>
        <x:v>1640</x:v>
      </x:c>
      <x:c r="S3289" s="22" t="n">
        <x:f>P3289-R3289</x:f>
        <x:v>144.79999999999995</x:v>
      </x:c>
      <x:c r="T3289" t="str">
        <x:v>Bank Transfer</x:v>
      </x:c>
      <x:c r="U3289" t="str">
        <x:v>Pending</x:v>
      </x:c>
      <x:c r="V3289" t="str">
        <x:v>Delivered</x:v>
      </x:c>
      <x:c r="W3289" t="n">
        <x:v>1</x:v>
      </x:c>
      <x:c r="X3289" t="str">
        <x:v>Quality Issue</x:v>
      </x:c>
      <x:c r="Y3289" t="str">
        <x:v>Field Visit</x:v>
      </x:c>
    </x:row>
    <x:row r="3290">
      <x:c r="A3290" t="str">
        <x:v>O003289</x:v>
      </x:c>
      <x:c r="B3290" s="20" t="n">
        <x:v>45981</x:v>
      </x:c>
      <x:c r="C3290" t="str">
        <x:v>C0009</x:v>
      </x:c>
      <x:c r="D3290" t="str">
        <x:v>Darshini Hotel 9</x:v>
      </x:c>
      <x:c r="E3290" t="str">
        <x:v>Cafe</x:v>
      </x:c>
      <x:c r="F3290" t="str">
        <x:v>Hubballi</x:v>
      </x:c>
      <x:c r="G3290" t="str">
        <x:v>Imran</x:v>
      </x:c>
      <x:c r="H3290" t="str">
        <x:v>P050</x:v>
      </x:c>
      <x:c r="I3290" t="str">
        <x:v>Lemon 5kg</x:v>
      </x:c>
      <x:c r="J3290" t="str">
        <x:v>Fresh Produce</x:v>
      </x:c>
      <x:c r="K3290" t="str">
        <x:v>Local Market</x:v>
      </x:c>
      <x:c r="L3290" s="22" t="n">
        <x:v>360</x:v>
      </x:c>
      <x:c r="M3290" t="n">
        <x:v>7</x:v>
      </x:c>
      <x:c r="N3290" s="24" t="n">
        <x:v>0</x:v>
      </x:c>
      <x:c r="O3290" s="22" t="n">
        <x:f>L3290*M3290</x:f>
        <x:v>2520</x:v>
      </x:c>
      <x:c r="P3290" s="22" t="n">
        <x:f>O3290*(1-N3290)</x:f>
        <x:v>2520</x:v>
      </x:c>
      <x:c r="Q3290" s="22" t="n">
        <x:v>300</x:v>
      </x:c>
      <x:c r="R3290" s="22" t="n">
        <x:f>Q3290*M3290</x:f>
        <x:v>2100</x:v>
      </x:c>
      <x:c r="S3290" s="22" t="n">
        <x:f>P3290-R3290</x:f>
        <x:v>420</x:v>
      </x:c>
      <x:c r="T3290" t="str">
        <x:v>Bank Transfer</x:v>
      </x:c>
      <x:c r="U3290" t="str">
        <x:v>Paid</x:v>
      </x:c>
      <x:c r="V3290" t="str">
        <x:v>Delivered</x:v>
      </x:c>
      <x:c r="W3290" t="n">
        <x:v>0</x:v>
      </x:c>
      <x:c r="X3290" t="str"/>
      <x:c r="Y3290" t="str">
        <x:v>Referral</x:v>
      </x:c>
    </x:row>
    <x:row r="3291">
      <x:c r="A3291" t="str">
        <x:v>O003290</x:v>
      </x:c>
      <x:c r="B3291" s="20" t="n">
        <x:v>45901</x:v>
      </x:c>
      <x:c r="C3291" t="str">
        <x:v>C0107</x:v>
      </x:c>
      <x:c r="D3291" t="str">
        <x:v>Mysore Cafe 107</x:v>
      </x:c>
      <x:c r="E3291" t="str">
        <x:v>Supermarket</x:v>
      </x:c>
      <x:c r="F3291" t="str">
        <x:v>Tumakuru</x:v>
      </x:c>
      <x:c r="G3291" t="str">
        <x:v>Megha</x:v>
      </x:c>
      <x:c r="H3291" t="str">
        <x:v>P013</x:v>
      </x:c>
      <x:c r="I3291" t="str">
        <x:v>Atta 10kg</x:v>
      </x:c>
      <x:c r="J3291" t="str">
        <x:v>Flour</x:v>
      </x:c>
      <x:c r="K3291" t="str">
        <x:v>Aashirvaad</x:v>
      </x:c>
      <x:c r="L3291" s="22" t="n">
        <x:v>560</x:v>
      </x:c>
      <x:c r="M3291" t="n">
        <x:v>1</x:v>
      </x:c>
      <x:c r="N3291" s="24" t="n">
        <x:v>0.02</x:v>
      </x:c>
      <x:c r="O3291" s="22" t="n">
        <x:f>L3291*M3291</x:f>
        <x:v>560</x:v>
      </x:c>
      <x:c r="P3291" s="22" t="n">
        <x:f>O3291*(1-N3291)</x:f>
        <x:v>548.8</x:v>
      </x:c>
      <x:c r="Q3291" s="22" t="n">
        <x:v>495</x:v>
      </x:c>
      <x:c r="R3291" s="22" t="n">
        <x:f>Q3291*M3291</x:f>
        <x:v>495</x:v>
      </x:c>
      <x:c r="S3291" s="22" t="n">
        <x:f>P3291-R3291</x:f>
        <x:v>53.799999999999955</x:v>
      </x:c>
      <x:c r="T3291" t="str">
        <x:v>Cash</x:v>
      </x:c>
      <x:c r="U3291" t="str">
        <x:v>Paid</x:v>
      </x:c>
      <x:c r="V3291" t="str">
        <x:v>Delivered</x:v>
      </x:c>
      <x:c r="W3291" t="n">
        <x:v>0</x:v>
      </x:c>
      <x:c r="X3291" t="str"/>
      <x:c r="Y3291" t="str"/>
    </x:row>
    <x:row r="3292">
      <x:c r="A3292" t="str">
        <x:v>O003291</x:v>
      </x:c>
      <x:c r="B3292" s="20" t="n">
        <x:v>45946</x:v>
      </x:c>
      <x:c r="C3292" t="str">
        <x:v>C0210</x:v>
      </x:c>
      <x:c r="D3292" t="str">
        <x:v>Spice Stores 210</x:v>
      </x:c>
      <x:c r="E3292" t="str">
        <x:v>Cafe</x:v>
      </x:c>
      <x:c r="F3292" t="str">
        <x:v>Davanagere</x:v>
      </x:c>
      <x:c r="G3292" t="str">
        <x:v>Imran</x:v>
      </x:c>
      <x:c r="H3292" t="str">
        <x:v>P035</x:v>
      </x:c>
      <x:c r="I3292" t="str">
        <x:v>Coriander Powder 1kg</x:v>
      </x:c>
      <x:c r="J3292" t="str">
        <x:v>Spices</x:v>
      </x:c>
      <x:c r="K3292" t="str">
        <x:v>Everest</x:v>
      </x:c>
      <x:c r="L3292" s="22" t="n">
        <x:v>280</x:v>
      </x:c>
      <x:c r="M3292" t="n">
        <x:v>8</x:v>
      </x:c>
      <x:c r="N3292" s="24" t="n">
        <x:v>0.03</x:v>
      </x:c>
      <x:c r="O3292" s="22" t="n">
        <x:f>L3292*M3292</x:f>
        <x:v>2240</x:v>
      </x:c>
      <x:c r="P3292" s="22" t="n">
        <x:f>O3292*(1-N3292)</x:f>
        <x:v>2172.7999999999997</x:v>
      </x:c>
      <x:c r="Q3292" s="22" t="n">
        <x:v>245</x:v>
      </x:c>
      <x:c r="R3292" s="22" t="n">
        <x:f>Q3292*M3292</x:f>
        <x:v>1960</x:v>
      </x:c>
      <x:c r="S3292" s="22" t="n">
        <x:f>P3292-R3292</x:f>
        <x:v>212.79999999999973</x:v>
      </x:c>
      <x:c r="T3292" t="str">
        <x:v>Cash</x:v>
      </x:c>
      <x:c r="U3292" t="str">
        <x:v>Paid</x:v>
      </x:c>
      <x:c r="V3292" t="str">
        <x:v>Delivered</x:v>
      </x:c>
      <x:c r="W3292" t="n">
        <x:v>2</x:v>
      </x:c>
      <x:c r="X3292" t="str">
        <x:v>Damaged</x:v>
      </x:c>
      <x:c r="Y3292" t="str"/>
    </x:row>
    <x:row r="3293">
      <x:c r="A3293" t="str">
        <x:v>O003292</x:v>
      </x:c>
      <x:c r="B3293" s="20" t="n">
        <x:v>45934</x:v>
      </x:c>
      <x:c r="C3293" t="str">
        <x:v>C0248</x:v>
      </x:c>
      <x:c r="D3293" t="str">
        <x:v>Royal Restaurant 248</x:v>
      </x:c>
      <x:c r="E3293" t="str">
        <x:v>Canteen</x:v>
      </x:c>
      <x:c r="F3293" t="str">
        <x:v>Mysuru</x:v>
      </x:c>
      <x:c r="G3293" t="str">
        <x:v>Priya</x:v>
      </x:c>
      <x:c r="H3293" t="str">
        <x:v>P048</x:v>
      </x:c>
      <x:c r="I3293" t="str">
        <x:v>Banana 10kg</x:v>
      </x:c>
      <x:c r="J3293" t="str">
        <x:v>Fresh Produce</x:v>
      </x:c>
      <x:c r="K3293" t="str">
        <x:v>Local Market</x:v>
      </x:c>
      <x:c r="L3293" s="22" t="n">
        <x:v>420</x:v>
      </x:c>
      <x:c r="M3293" t="n">
        <x:v>29</x:v>
      </x:c>
      <x:c r="N3293" s="24" t="n">
        <x:v>0</x:v>
      </x:c>
      <x:c r="O3293" s="22" t="n">
        <x:f>L3293*M3293</x:f>
        <x:v>12180</x:v>
      </x:c>
      <x:c r="P3293" s="22" t="n">
        <x:f>O3293*(1-N3293)</x:f>
        <x:v>12180</x:v>
      </x:c>
      <x:c r="Q3293" s="22" t="n">
        <x:v>350</x:v>
      </x:c>
      <x:c r="R3293" s="22" t="n">
        <x:f>Q3293*M3293</x:f>
        <x:v>10150</x:v>
      </x:c>
      <x:c r="S3293" s="22" t="n">
        <x:f>P3293-R3293</x:f>
        <x:v>2030</x:v>
      </x:c>
      <x:c r="T3293" t="str">
        <x:v>Bank Transfer</x:v>
      </x:c>
      <x:c r="U3293" t="str">
        <x:v>Paid</x:v>
      </x:c>
      <x:c r="V3293" t="str">
        <x:v>Cancelled</x:v>
      </x:c>
      <x:c r="W3293" t="n">
        <x:v>29</x:v>
      </x:c>
      <x:c r="X3293" t="str">
        <x:v>Cancelled Order</x:v>
      </x:c>
      <x:c r="Y3293" t="str">
        <x:v>Existing Customer</x:v>
      </x:c>
    </x:row>
    <x:row r="3294">
      <x:c r="A3294" t="str">
        <x:v>O003293</x:v>
      </x:c>
      <x:c r="B3294" s="20" t="n">
        <x:v>45887</x:v>
      </x:c>
      <x:c r="C3294" t="str">
        <x:v>C0231</x:v>
      </x:c>
      <x:c r="D3294" t="str">
        <x:v>Metro Canteen 231</x:v>
      </x:c>
      <x:c r="E3294" t="str">
        <x:v>Canteen</x:v>
      </x:c>
      <x:c r="F3294" t="str">
        <x:v>Mangaluru</x:v>
      </x:c>
      <x:c r="G3294" t="str">
        <x:v>Megha</x:v>
      </x:c>
      <x:c r="H3294" t="str">
        <x:v>P044</x:v>
      </x:c>
      <x:c r="I3294" t="str">
        <x:v>Chicken Curry Cut 1kg</x:v>
      </x:c>
      <x:c r="J3294" t="str">
        <x:v>Protein</x:v>
      </x:c>
      <x:c r="K3294" t="str">
        <x:v>FreshToHome</x:v>
      </x:c>
      <x:c r="L3294" s="22" t="n">
        <x:v>230</x:v>
      </x:c>
      <x:c r="M3294" t="n">
        <x:v>14</x:v>
      </x:c>
      <x:c r="N3294" s="24" t="n">
        <x:v>0.08</x:v>
      </x:c>
      <x:c r="O3294" s="22" t="n">
        <x:f>L3294*M3294</x:f>
        <x:v>3220</x:v>
      </x:c>
      <x:c r="P3294" s="22" t="n">
        <x:f>O3294*(1-N3294)</x:f>
        <x:v>2962.4</x:v>
      </x:c>
      <x:c r="Q3294" s="22" t="n">
        <x:v>205</x:v>
      </x:c>
      <x:c r="R3294" s="22" t="n">
        <x:f>Q3294*M3294</x:f>
        <x:v>2870</x:v>
      </x:c>
      <x:c r="S3294" s="22" t="n">
        <x:f>P3294-R3294</x:f>
        <x:v>92.40000000000009</x:v>
      </x:c>
      <x:c r="T3294" t="str">
        <x:v>Credit</x:v>
      </x:c>
      <x:c r="U3294" t="str">
        <x:v>Paid</x:v>
      </x:c>
      <x:c r="V3294" t="str">
        <x:v>Cancelled</x:v>
      </x:c>
      <x:c r="W3294" t="n">
        <x:v>14</x:v>
      </x:c>
      <x:c r="X3294" t="str">
        <x:v>Cancelled Order</x:v>
      </x:c>
      <x:c r="Y3294" t="str">
        <x:v>Existing Customer</x:v>
      </x:c>
    </x:row>
    <x:row r="3295">
      <x:c r="A3295" t="str">
        <x:v>O003294</x:v>
      </x:c>
      <x:c r="B3295" s="20" t="n">
        <x:v>46122</x:v>
      </x:c>
      <x:c r="C3295" t="str">
        <x:v>C0136</x:v>
      </x:c>
      <x:c r="D3295" t="str">
        <x:v>Royal Cafe 136</x:v>
      </x:c>
      <x:c r="E3295" t="str">
        <x:v>Hotel</x:v>
      </x:c>
      <x:c r="F3295" t="str">
        <x:v>Tumakuru</x:v>
      </x:c>
      <x:c r="G3295" t="str">
        <x:v>Kavya</x:v>
      </x:c>
      <x:c r="H3295" t="str">
        <x:v>P007</x:v>
      </x:c>
      <x:c r="I3295" t="str">
        <x:v>Sunflower Oil 15L</x:v>
      </x:c>
      <x:c r="J3295" t="str">
        <x:v>Edible Oil</x:v>
      </x:c>
      <x:c r="K3295" t="str">
        <x:v>Fortune</x:v>
      </x:c>
      <x:c r="L3295" s="22" t="n">
        <x:v>1980</x:v>
      </x:c>
      <x:c r="M3295" t="n">
        <x:v>10</x:v>
      </x:c>
      <x:c r="N3295" s="24" t="n">
        <x:v>0.03</x:v>
      </x:c>
      <x:c r="O3295" s="22" t="n">
        <x:f>L3295*M3295</x:f>
        <x:v>19800</x:v>
      </x:c>
      <x:c r="P3295" s="22" t="n">
        <x:f>O3295*(1-N3295)</x:f>
        <x:v>19206</x:v>
      </x:c>
      <x:c r="Q3295" s="22" t="n">
        <x:v>1810</x:v>
      </x:c>
      <x:c r="R3295" s="22" t="n">
        <x:f>Q3295*M3295</x:f>
        <x:v>18100</x:v>
      </x:c>
      <x:c r="S3295" s="22" t="n">
        <x:f>P3295-R3295</x:f>
        <x:v>1106</x:v>
      </x:c>
      <x:c r="T3295" t="str">
        <x:v>UPI</x:v>
      </x:c>
      <x:c r="U3295" t="str">
        <x:v>Paid</x:v>
      </x:c>
      <x:c r="V3295" t="str">
        <x:v>Delivered</x:v>
      </x:c>
      <x:c r="W3295" t="n">
        <x:v>0</x:v>
      </x:c>
      <x:c r="X3295" t="str"/>
      <x:c r="Y3295" t="str">
        <x:v>Referral</x:v>
      </x:c>
    </x:row>
    <x:row r="3296">
      <x:c r="A3296" t="str">
        <x:v>O003295</x:v>
      </x:c>
      <x:c r="B3296" s="20" t="n">
        <x:v>45902</x:v>
      </x:c>
      <x:c r="C3296" t="str">
        <x:v>C0199</x:v>
      </x:c>
      <x:c r="D3296" t="str">
        <x:v>Classic Cafe 199</x:v>
      </x:c>
      <x:c r="E3296" t="str">
        <x:v>Canteen</x:v>
      </x:c>
      <x:c r="F3296" t="str">
        <x:v>Mangaluru</x:v>
      </x:c>
      <x:c r="G3296" t="str">
        <x:v>Ramesh</x:v>
      </x:c>
      <x:c r="H3296" t="str">
        <x:v>P037</x:v>
      </x:c>
      <x:c r="I3296" t="str">
        <x:v>Frozen Peas 1kg</x:v>
      </x:c>
      <x:c r="J3296" t="str">
        <x:v>Frozen</x:v>
      </x:c>
      <x:c r="K3296" t="str">
        <x:v>Safal</x:v>
      </x:c>
      <x:c r="L3296" s="22" t="n">
        <x:v>155</x:v>
      </x:c>
      <x:c r="M3296" t="n">
        <x:v>2</x:v>
      </x:c>
      <x:c r="N3296" s="24" t="n">
        <x:v>0.05</x:v>
      </x:c>
      <x:c r="O3296" s="22" t="n">
        <x:f>L3296*M3296</x:f>
        <x:v>310</x:v>
      </x:c>
      <x:c r="P3296" s="22" t="n">
        <x:f>O3296*(1-N3296)</x:f>
        <x:v>294.5</x:v>
      </x:c>
      <x:c r="Q3296" s="22" t="n">
        <x:v>138</x:v>
      </x:c>
      <x:c r="R3296" s="22" t="n">
        <x:f>Q3296*M3296</x:f>
        <x:v>276</x:v>
      </x:c>
      <x:c r="S3296" s="22" t="n">
        <x:f>P3296-R3296</x:f>
        <x:v>18.5</x:v>
      </x:c>
      <x:c r="T3296" t="str">
        <x:v>UPI</x:v>
      </x:c>
      <x:c r="U3296" t="str">
        <x:v>Overdue</x:v>
      </x:c>
      <x:c r="V3296" t="str">
        <x:v>Cancelled</x:v>
      </x:c>
      <x:c r="W3296" t="n">
        <x:v>2</x:v>
      </x:c>
      <x:c r="X3296" t="str">
        <x:v>Cancelled Order</x:v>
      </x:c>
      <x:c r="Y3296" t="str">
        <x:v>Field Visit</x:v>
      </x:c>
    </x:row>
    <x:row r="3297">
      <x:c r="A3297" t="str">
        <x:v>O003296</x:v>
      </x:c>
      <x:c r="B3297" s="20" t="n">
        <x:v>45743</x:v>
      </x:c>
      <x:c r="C3297" t="str">
        <x:v>C0229</x:v>
      </x:c>
      <x:c r="D3297" t="str">
        <x:v>Namma Canteen 229</x:v>
      </x:c>
      <x:c r="E3297" t="str">
        <x:v>Restaurant</x:v>
      </x:c>
      <x:c r="F3297" t="str">
        <x:v>Bengaluru</x:v>
      </x:c>
      <x:c r="G3297" t="str">
        <x:v>Arjun</x:v>
      </x:c>
      <x:c r="H3297" t="str">
        <x:v>P038</x:v>
      </x:c>
      <x:c r="I3297" t="str">
        <x:v>French Fries 2.5kg</x:v>
      </x:c>
      <x:c r="J3297" t="str">
        <x:v>Frozen</x:v>
      </x:c>
      <x:c r="K3297" t="str">
        <x:v>McCain</x:v>
      </x:c>
      <x:c r="L3297" s="22" t="n">
        <x:v>360</x:v>
      </x:c>
      <x:c r="M3297" t="n">
        <x:v>25</x:v>
      </x:c>
      <x:c r="N3297" s="24" t="n">
        <x:v>0.05</x:v>
      </x:c>
      <x:c r="O3297" s="22" t="n">
        <x:f>L3297*M3297</x:f>
        <x:v>9000</x:v>
      </x:c>
      <x:c r="P3297" s="22" t="n">
        <x:f>O3297*(1-N3297)</x:f>
        <x:v>8550</x:v>
      </x:c>
      <x:c r="Q3297" s="22" t="n">
        <x:v>315</x:v>
      </x:c>
      <x:c r="R3297" s="22" t="n">
        <x:f>Q3297*M3297</x:f>
        <x:v>7875</x:v>
      </x:c>
      <x:c r="S3297" s="22" t="n">
        <x:f>P3297-R3297</x:f>
        <x:v>675</x:v>
      </x:c>
      <x:c r="T3297" t="str">
        <x:v>Bank Transfer</x:v>
      </x:c>
      <x:c r="U3297" t="str">
        <x:v>Paid</x:v>
      </x:c>
      <x:c r="V3297" t="str">
        <x:v>Cancelled</x:v>
      </x:c>
      <x:c r="W3297" t="n">
        <x:v>25</x:v>
      </x:c>
      <x:c r="X3297" t="str">
        <x:v>Cancelled Order</x:v>
      </x:c>
      <x:c r="Y3297" t="str">
        <x:v>Outbound Call</x:v>
      </x:c>
    </x:row>
    <x:row r="3298">
      <x:c r="A3298" t="str">
        <x:v>O003297</x:v>
      </x:c>
      <x:c r="B3298" s="20" t="n">
        <x:v>45952</x:v>
      </x:c>
      <x:c r="C3298" t="str">
        <x:v>C0055</x:v>
      </x:c>
      <x:c r="D3298" t="str">
        <x:v>Royal Mart 55</x:v>
      </x:c>
      <x:c r="E3298" t="str">
        <x:v>Restaurant</x:v>
      </x:c>
      <x:c r="F3298" t="str">
        <x:v>Hubballi</x:v>
      </x:c>
      <x:c r="G3298" t="str">
        <x:v>Vikram</x:v>
      </x:c>
      <x:c r="H3298" t="str">
        <x:v>P025</x:v>
      </x:c>
      <x:c r="I3298" t="str">
        <x:v>Potato Chips 100g</x:v>
      </x:c>
      <x:c r="J3298" t="str">
        <x:v>Snacks</x:v>
      </x:c>
      <x:c r="K3298" t="str">
        <x:v>Lay's</x:v>
      </x:c>
      <x:c r="L3298" s="22" t="n">
        <x:v>35</x:v>
      </x:c>
      <x:c r="M3298" t="n">
        <x:v>32</x:v>
      </x:c>
      <x:c r="N3298" s="24" t="n">
        <x:v>0</x:v>
      </x:c>
      <x:c r="O3298" s="22" t="n">
        <x:f>L3298*M3298</x:f>
        <x:v>1120</x:v>
      </x:c>
      <x:c r="P3298" s="22" t="n">
        <x:f>O3298*(1-N3298)</x:f>
        <x:v>1120</x:v>
      </x:c>
      <x:c r="Q3298" s="22" t="n">
        <x:v>27</x:v>
      </x:c>
      <x:c r="R3298" s="22" t="n">
        <x:f>Q3298*M3298</x:f>
        <x:v>864</x:v>
      </x:c>
      <x:c r="S3298" s="22" t="n">
        <x:f>P3298-R3298</x:f>
        <x:v>256</x:v>
      </x:c>
      <x:c r="T3298" t="str">
        <x:v>Cash</x:v>
      </x:c>
      <x:c r="U3298" t="str">
        <x:v>Pending</x:v>
      </x:c>
      <x:c r="V3298" t="str">
        <x:v>Delivered</x:v>
      </x:c>
      <x:c r="W3298" t="n">
        <x:v>0</x:v>
      </x:c>
      <x:c r="X3298" t="str"/>
      <x:c r="Y3298" t="str">
        <x:v>Field Visit</x:v>
      </x:c>
    </x:row>
    <x:row r="3299">
      <x:c r="A3299" t="str">
        <x:v>O003298</x:v>
      </x:c>
      <x:c r="B3299" s="20" t="n">
        <x:v>45810</x:v>
      </x:c>
      <x:c r="C3299" t="str">
        <x:v>C0223</x:v>
      </x:c>
      <x:c r="D3299" t="str">
        <x:v>Classic Canteen 223</x:v>
      </x:c>
      <x:c r="E3299" t="str">
        <x:v>Restaurant</x:v>
      </x:c>
      <x:c r="F3299" t="str">
        <x:v>Tumakuru</x:v>
      </x:c>
      <x:c r="G3299" t="str">
        <x:v>Kavya</x:v>
      </x:c>
      <x:c r="H3299" t="str">
        <x:v>P023</x:v>
      </x:c>
      <x:c r="I3299" t="str">
        <x:v>Cola 750ml</x:v>
      </x:c>
      <x:c r="J3299" t="str">
        <x:v>Beverage</x:v>
      </x:c>
      <x:c r="K3299" t="str">
        <x:v>Coca-Cola</x:v>
      </x:c>
      <x:c r="L3299" s="22" t="n">
        <x:v>38</x:v>
      </x:c>
      <x:c r="M3299" t="n">
        <x:v>22</x:v>
      </x:c>
      <x:c r="N3299" s="24" t="n">
        <x:v>0.03</x:v>
      </x:c>
      <x:c r="O3299" s="22" t="n">
        <x:f>L3299*M3299</x:f>
        <x:v>836</x:v>
      </x:c>
      <x:c r="P3299" s="22" t="n">
        <x:f>O3299*(1-N3299)</x:f>
        <x:v>810.92</x:v>
      </x:c>
      <x:c r="Q3299" s="22" t="n">
        <x:v>31</x:v>
      </x:c>
      <x:c r="R3299" s="22" t="n">
        <x:f>Q3299*M3299</x:f>
        <x:v>682</x:v>
      </x:c>
      <x:c r="S3299" s="22" t="n">
        <x:f>P3299-R3299</x:f>
        <x:v>128.91999999999996</x:v>
      </x:c>
      <x:c r="T3299" t="str">
        <x:v>Cash</x:v>
      </x:c>
      <x:c r="U3299" t="str">
        <x:v>Paid</x:v>
      </x:c>
      <x:c r="V3299" t="str">
        <x:v>Cancelled</x:v>
      </x:c>
      <x:c r="W3299" t="n">
        <x:v>22</x:v>
      </x:c>
      <x:c r="X3299" t="str">
        <x:v>Cancelled Order</x:v>
      </x:c>
      <x:c r="Y3299" t="str">
        <x:v>WhatsApp</x:v>
      </x:c>
    </x:row>
    <x:row r="3300">
      <x:c r="A3300" t="str">
        <x:v>O003299</x:v>
      </x:c>
      <x:c r="B3300" s="20" t="n">
        <x:v>45664</x:v>
      </x:c>
      <x:c r="C3300" t="str">
        <x:v>C0098</x:v>
      </x:c>
      <x:c r="D3300" t="str">
        <x:v>City Stores 98</x:v>
      </x:c>
      <x:c r="E3300" t="str">
        <x:v>Canteen</x:v>
      </x:c>
      <x:c r="F3300" t="str">
        <x:v>Mangaluru</x:v>
      </x:c>
      <x:c r="G3300" t="str">
        <x:v>Imran</x:v>
      </x:c>
      <x:c r="H3300" t="str">
        <x:v>P024</x:v>
      </x:c>
      <x:c r="I3300" t="str">
        <x:v>Orange Drink 1L</x:v>
      </x:c>
      <x:c r="J3300" t="str">
        <x:v>Beverage</x:v>
      </x:c>
      <x:c r="K3300" t="str">
        <x:v>Minute Maid</x:v>
      </x:c>
      <x:c r="L3300" s="22" t="n">
        <x:v>105</x:v>
      </x:c>
      <x:c r="M3300" t="n">
        <x:v>37</x:v>
      </x:c>
      <x:c r="N3300" s="24" t="n">
        <x:v>0.02</x:v>
      </x:c>
      <x:c r="O3300" s="22" t="n">
        <x:f>L3300*M3300</x:f>
        <x:v>3885</x:v>
      </x:c>
      <x:c r="P3300" s="22" t="n">
        <x:f>O3300*(1-N3300)</x:f>
        <x:v>3807.2999999999997</x:v>
      </x:c>
      <x:c r="Q3300" s="22" t="n">
        <x:v>88</x:v>
      </x:c>
      <x:c r="R3300" s="22" t="n">
        <x:f>Q3300*M3300</x:f>
        <x:v>3256</x:v>
      </x:c>
      <x:c r="S3300" s="22" t="n">
        <x:f>P3300-R3300</x:f>
        <x:v>551.2999999999997</x:v>
      </x:c>
      <x:c r="T3300" t="str">
        <x:v>Bank Transfer</x:v>
      </x:c>
      <x:c r="U3300" t="str">
        <x:v>Pending</x:v>
      </x:c>
      <x:c r="V3300" t="str">
        <x:v>Delivered</x:v>
      </x:c>
      <x:c r="W3300" t="n">
        <x:v>0</x:v>
      </x:c>
      <x:c r="X3300" t="str"/>
      <x:c r="Y3300" t="str">
        <x:v>Field Visit</x:v>
      </x:c>
    </x:row>
    <x:row r="3301">
      <x:c r="A3301" t="str">
        <x:v>O003300</x:v>
      </x:c>
      <x:c r="B3301" s="20" t="n">
        <x:v>45844</x:v>
      </x:c>
      <x:c r="C3301" t="str">
        <x:v>C0168</x:v>
      </x:c>
      <x:c r="D3301" t="str">
        <x:v>Sagar Hotel 168</x:v>
      </x:c>
      <x:c r="E3301" t="str">
        <x:v>Canteen</x:v>
      </x:c>
      <x:c r="F3301" t="str">
        <x:v>Bengaluru</x:v>
      </x:c>
      <x:c r="G3301" t="str">
        <x:v>Priya</x:v>
      </x:c>
      <x:c r="H3301" t="str">
        <x:v>P047</x:v>
      </x:c>
      <x:c r="I3301" t="str">
        <x:v>Tomato 25kg</x:v>
      </x:c>
      <x:c r="J3301" t="str">
        <x:v>Fresh Produce</x:v>
      </x:c>
      <x:c r="K3301" t="str">
        <x:v>Local Market</x:v>
      </x:c>
      <x:c r="L3301" s="22" t="n">
        <x:v>950</x:v>
      </x:c>
      <x:c r="M3301" t="n">
        <x:v>29</x:v>
      </x:c>
      <x:c r="N3301" s="24" t="n">
        <x:v>0</x:v>
      </x:c>
      <x:c r="O3301" s="22" t="n">
        <x:f>L3301*M3301</x:f>
        <x:v>27550</x:v>
      </x:c>
      <x:c r="P3301" s="22" t="n">
        <x:f>O3301*(1-N3301)</x:f>
        <x:v>27550</x:v>
      </x:c>
      <x:c r="Q3301" s="22" t="n">
        <x:v>810</x:v>
      </x:c>
      <x:c r="R3301" s="22" t="n">
        <x:f>Q3301*M3301</x:f>
        <x:v>23490</x:v>
      </x:c>
      <x:c r="S3301" s="22" t="n">
        <x:f>P3301-R3301</x:f>
        <x:v>4060</x:v>
      </x:c>
      <x:c r="T3301" t="str">
        <x:v>Bank Transfer</x:v>
      </x:c>
      <x:c r="U3301" t="str">
        <x:v>Paid</x:v>
      </x:c>
      <x:c r="V3301" t="str">
        <x:v>Delivered</x:v>
      </x:c>
      <x:c r="W3301" t="n">
        <x:v>0</x:v>
      </x:c>
      <x:c r="X3301" t="str"/>
      <x:c r="Y3301" t="str">
        <x:v>WhatsApp</x:v>
      </x:c>
    </x:row>
    <x:row r="3302">
      <x:c r="A3302" t="str">
        <x:v>O003301</x:v>
      </x:c>
      <x:c r="B3302" s="20" t="n">
        <x:v>45782</x:v>
      </x:c>
      <x:c r="C3302" t="str">
        <x:v>C0210</x:v>
      </x:c>
      <x:c r="D3302" t="str">
        <x:v>Spice Stores 210</x:v>
      </x:c>
      <x:c r="E3302" t="str">
        <x:v>Cafe</x:v>
      </x:c>
      <x:c r="F3302" t="str">
        <x:v>Davanagere</x:v>
      </x:c>
      <x:c r="G3302" t="str">
        <x:v>Imran</x:v>
      </x:c>
      <x:c r="H3302" t="str">
        <x:v>P005</x:v>
      </x:c>
      <x:c r="I3302" t="str">
        <x:v>Chana Dal 5kg</x:v>
      </x:c>
      <x:c r="J3302" t="str">
        <x:v>Pulses</x:v>
      </x:c>
      <x:c r="K3302" t="str">
        <x:v>Local Select</x:v>
      </x:c>
      <x:c r="L3302" s="22" t="n">
        <x:v>520</x:v>
      </x:c>
      <x:c r="M3302" t="n">
        <x:v>36</x:v>
      </x:c>
      <x:c r="N3302" s="24" t="n">
        <x:v>0.03</x:v>
      </x:c>
      <x:c r="O3302" s="22" t="n">
        <x:f>L3302*M3302</x:f>
        <x:v>18720</x:v>
      </x:c>
      <x:c r="P3302" s="22" t="n">
        <x:f>O3302*(1-N3302)</x:f>
        <x:v>18158.399999999998</x:v>
      </x:c>
      <x:c r="Q3302" s="22" t="n">
        <x:v>455</x:v>
      </x:c>
      <x:c r="R3302" s="22" t="n">
        <x:f>Q3302*M3302</x:f>
        <x:v>16380</x:v>
      </x:c>
      <x:c r="S3302" s="22" t="n">
        <x:f>P3302-R3302</x:f>
        <x:v>1778.3999999999978</x:v>
      </x:c>
      <x:c r="T3302" t="str">
        <x:v>UPI</x:v>
      </x:c>
      <x:c r="U3302" t="str">
        <x:v>Pending</x:v>
      </x:c>
      <x:c r="V3302" t="str">
        <x:v>Delivered</x:v>
      </x:c>
      <x:c r="W3302" t="n">
        <x:v>0</x:v>
      </x:c>
      <x:c r="X3302" t="str"/>
      <x:c r="Y3302" t="str">
        <x:v>Referral</x:v>
      </x:c>
    </x:row>
    <x:row r="3303">
      <x:c r="A3303" t="str">
        <x:v>O003302</x:v>
      </x:c>
      <x:c r="B3303" s="20" t="n">
        <x:v>45727</x:v>
      </x:c>
      <x:c r="C3303" t="str">
        <x:v>C0001</x:v>
      </x:c>
      <x:c r="D3303" t="str">
        <x:v>Annapurna Cafe 1</x:v>
      </x:c>
      <x:c r="E3303" t="str">
        <x:v>Hotel</x:v>
      </x:c>
      <x:c r="F3303" t="str">
        <x:v>Davanagere</x:v>
      </x:c>
      <x:c r="G3303" t="str">
        <x:v>Kavya</x:v>
      </x:c>
      <x:c r="H3303" t="str">
        <x:v>P038</x:v>
      </x:c>
      <x:c r="I3303" t="str">
        <x:v>French Fries 2.5kg</x:v>
      </x:c>
      <x:c r="J3303" t="str">
        <x:v>Frozen</x:v>
      </x:c>
      <x:c r="K3303" t="str">
        <x:v>McCain</x:v>
      </x:c>
      <x:c r="L3303" s="22" t="n">
        <x:v>360</x:v>
      </x:c>
      <x:c r="M3303" t="n">
        <x:v>38</x:v>
      </x:c>
      <x:c r="N3303" s="24" t="n">
        <x:v>0.02</x:v>
      </x:c>
      <x:c r="O3303" s="22" t="n">
        <x:f>L3303*M3303</x:f>
        <x:v>13680</x:v>
      </x:c>
      <x:c r="P3303" s="22" t="n">
        <x:f>O3303*(1-N3303)</x:f>
        <x:v>13406.4</x:v>
      </x:c>
      <x:c r="Q3303" s="22" t="n">
        <x:v>315</x:v>
      </x:c>
      <x:c r="R3303" s="22" t="n">
        <x:f>Q3303*M3303</x:f>
        <x:v>11970</x:v>
      </x:c>
      <x:c r="S3303" s="22" t="n">
        <x:f>P3303-R3303</x:f>
        <x:v>1436.3999999999996</x:v>
      </x:c>
      <x:c r="T3303" t="str">
        <x:v>UPI</x:v>
      </x:c>
      <x:c r="U3303" t="str">
        <x:v>Pending</x:v>
      </x:c>
      <x:c r="V3303" t="str">
        <x:v>Delivered</x:v>
      </x:c>
      <x:c r="W3303" t="n">
        <x:v>0</x:v>
      </x:c>
      <x:c r="X3303" t="str"/>
      <x:c r="Y3303" t="str">
        <x:v>Outbound Call</x:v>
      </x:c>
    </x:row>
    <x:row r="3304">
      <x:c r="A3304" t="str">
        <x:v>O003303</x:v>
      </x:c>
      <x:c r="B3304" s="20" t="n">
        <x:v>46169</x:v>
      </x:c>
      <x:c r="C3304" t="str">
        <x:v>C0051</x:v>
      </x:c>
      <x:c r="D3304" t="str">
        <x:v>Cafe Hotel 51</x:v>
      </x:c>
      <x:c r="E3304" t="str">
        <x:v>Kirana</x:v>
      </x:c>
      <x:c r="F3304" t="str">
        <x:v>Tumakuru</x:v>
      </x:c>
      <x:c r="G3304" t="str">
        <x:v>Arjun</x:v>
      </x:c>
      <x:c r="H3304" t="str">
        <x:v>P009</x:v>
      </x:c>
      <x:c r="I3304" t="str">
        <x:v>Groundnut Oil 5L</x:v>
      </x:c>
      <x:c r="J3304" t="str">
        <x:v>Edible Oil</x:v>
      </x:c>
      <x:c r="K3304" t="str">
        <x:v>Dhara</x:v>
      </x:c>
      <x:c r="L3304" s="22" t="n">
        <x:v>890</x:v>
      </x:c>
      <x:c r="M3304" t="n">
        <x:v>26</x:v>
      </x:c>
      <x:c r="N3304" s="24" t="n">
        <x:v>0.05</x:v>
      </x:c>
      <x:c r="O3304" s="22" t="n">
        <x:f>L3304*M3304</x:f>
        <x:v>23140</x:v>
      </x:c>
      <x:c r="P3304" s="22" t="n">
        <x:f>O3304*(1-N3304)</x:f>
        <x:v>21983</x:v>
      </x:c>
      <x:c r="Q3304" s="22" t="n">
        <x:v>810</x:v>
      </x:c>
      <x:c r="R3304" s="22" t="n">
        <x:f>Q3304*M3304</x:f>
        <x:v>21060</x:v>
      </x:c>
      <x:c r="S3304" s="22" t="n">
        <x:f>P3304-R3304</x:f>
        <x:v>923</x:v>
      </x:c>
      <x:c r="T3304" t="str">
        <x:v>UPI</x:v>
      </x:c>
      <x:c r="U3304" t="str">
        <x:v>Paid</x:v>
      </x:c>
      <x:c r="V3304" t="str">
        <x:v>Cancelled</x:v>
      </x:c>
      <x:c r="W3304" t="n">
        <x:v>26</x:v>
      </x:c>
      <x:c r="X3304" t="str">
        <x:v>Cancelled Order</x:v>
      </x:c>
      <x:c r="Y3304" t="str">
        <x:v>Existing Customer</x:v>
      </x:c>
    </x:row>
    <x:row r="3305">
      <x:c r="A3305" t="str">
        <x:v>O003304</x:v>
      </x:c>
      <x:c r="B3305" s="20" t="n">
        <x:v>46165</x:v>
      </x:c>
      <x:c r="C3305" t="str">
        <x:v>C0211</x:v>
      </x:c>
      <x:c r="D3305" t="str">
        <x:v>Cafe Cafe 211</x:v>
      </x:c>
      <x:c r="E3305" t="str">
        <x:v>Supermarket</x:v>
      </x:c>
      <x:c r="F3305" t="str">
        <x:v>Davanagere</x:v>
      </x:c>
      <x:c r="G3305" t="str">
        <x:v>Megha</x:v>
      </x:c>
      <x:c r="H3305" t="str">
        <x:v>P032</x:v>
      </x:c>
      <x:c r="I3305" t="str">
        <x:v>Soy Sauce 700g</x:v>
      </x:c>
      <x:c r="J3305" t="str">
        <x:v>Condiments</x:v>
      </x:c>
      <x:c r="K3305" t="str">
        <x:v>Ching's</x:v>
      </x:c>
      <x:c r="L3305" s="22" t="n">
        <x:v>118</x:v>
      </x:c>
      <x:c r="M3305" t="n">
        <x:v>4</x:v>
      </x:c>
      <x:c r="N3305" s="24" t="n">
        <x:v>0</x:v>
      </x:c>
      <x:c r="O3305" s="22" t="n">
        <x:f>L3305*M3305</x:f>
        <x:v>472</x:v>
      </x:c>
      <x:c r="P3305" s="22" t="n">
        <x:f>O3305*(1-N3305)</x:f>
        <x:v>472</x:v>
      </x:c>
      <x:c r="Q3305" s="22" t="n">
        <x:v>101</x:v>
      </x:c>
      <x:c r="R3305" s="22" t="n">
        <x:f>Q3305*M3305</x:f>
        <x:v>404</x:v>
      </x:c>
      <x:c r="S3305" s="22" t="n">
        <x:f>P3305-R3305</x:f>
        <x:v>68</x:v>
      </x:c>
      <x:c r="T3305" t="str">
        <x:v>Credit</x:v>
      </x:c>
      <x:c r="U3305" t="str">
        <x:v>Paid</x:v>
      </x:c>
      <x:c r="V3305" t="str">
        <x:v>Delivered</x:v>
      </x:c>
      <x:c r="W3305" t="n">
        <x:v>0</x:v>
      </x:c>
      <x:c r="X3305" t="str"/>
      <x:c r="Y3305" t="str">
        <x:v>Outbound Call</x:v>
      </x:c>
    </x:row>
    <x:row r="3306">
      <x:c r="A3306" t="str">
        <x:v>O003305</x:v>
      </x:c>
      <x:c r="B3306" s="20" t="n">
        <x:v>46272</x:v>
      </x:c>
      <x:c r="C3306" t="str">
        <x:v>C0086</x:v>
      </x:c>
      <x:c r="D3306" t="str">
        <x:v>Foodie Canteen 86</x:v>
      </x:c>
      <x:c r="E3306" t="str">
        <x:v>Kirana</x:v>
      </x:c>
      <x:c r="F3306" t="str">
        <x:v>Hubballi</x:v>
      </x:c>
      <x:c r="G3306" t="str">
        <x:v>Sneha</x:v>
      </x:c>
      <x:c r="H3306" t="str">
        <x:v>P028</x:v>
      </x:c>
      <x:c r="I3306" t="str">
        <x:v>Cookies 200g</x:v>
      </x:c>
      <x:c r="J3306" t="str">
        <x:v>Snacks</x:v>
      </x:c>
      <x:c r="K3306" t="str">
        <x:v>Britannia</x:v>
      </x:c>
      <x:c r="L3306" s="22" t="n">
        <x:v>55</x:v>
      </x:c>
      <x:c r="M3306" t="n">
        <x:v>26</x:v>
      </x:c>
      <x:c r="N3306" s="24" t="n">
        <x:v>0.02</x:v>
      </x:c>
      <x:c r="O3306" s="22" t="n">
        <x:f>L3306*M3306</x:f>
        <x:v>1430</x:v>
      </x:c>
      <x:c r="P3306" s="22" t="n">
        <x:f>O3306*(1-N3306)</x:f>
        <x:v>1401.3999999999999</x:v>
      </x:c>
      <x:c r="Q3306" s="22" t="n">
        <x:v>42</x:v>
      </x:c>
      <x:c r="R3306" s="22" t="n">
        <x:f>Q3306*M3306</x:f>
        <x:v>1092</x:v>
      </x:c>
      <x:c r="S3306" s="22" t="n">
        <x:f>P3306-R3306</x:f>
        <x:v>309.39999999999986</x:v>
      </x:c>
      <x:c r="T3306" t="str">
        <x:v>UPI</x:v>
      </x:c>
      <x:c r="U3306" t="str">
        <x:v>Overdue</x:v>
      </x:c>
      <x:c r="V3306" t="str">
        <x:v>Delivered</x:v>
      </x:c>
      <x:c r="W3306" t="n">
        <x:v>0</x:v>
      </x:c>
      <x:c r="X3306" t="str"/>
      <x:c r="Y3306" t="str">
        <x:v>Field Visit</x:v>
      </x:c>
    </x:row>
    <x:row r="3307">
      <x:c r="A3307" t="str">
        <x:v>O003306</x:v>
      </x:c>
      <x:c r="B3307" s="20" t="n">
        <x:v>46234</x:v>
      </x:c>
      <x:c r="C3307" t="str">
        <x:v>C0093</x:v>
      </x:c>
      <x:c r="D3307" t="str">
        <x:v>Sagar Hotel 93</x:v>
      </x:c>
      <x:c r="E3307" t="str">
        <x:v>Hotel</x:v>
      </x:c>
      <x:c r="F3307" t="str">
        <x:v>Hubballi</x:v>
      </x:c>
      <x:c r="G3307" t="str">
        <x:v>Imran</x:v>
      </x:c>
      <x:c r="H3307" t="str">
        <x:v>P025</x:v>
      </x:c>
      <x:c r="I3307" t="str">
        <x:v>Potato Chips 100g</x:v>
      </x:c>
      <x:c r="J3307" t="str">
        <x:v>Snacks</x:v>
      </x:c>
      <x:c r="K3307" t="str">
        <x:v>Lay's</x:v>
      </x:c>
      <x:c r="L3307" s="22" t="n">
        <x:v>35</x:v>
      </x:c>
      <x:c r="M3307" t="n">
        <x:v>8</x:v>
      </x:c>
      <x:c r="N3307" s="24" t="n">
        <x:v>0.1</x:v>
      </x:c>
      <x:c r="O3307" s="22" t="n">
        <x:f>L3307*M3307</x:f>
        <x:v>280</x:v>
      </x:c>
      <x:c r="P3307" s="22" t="n">
        <x:f>O3307*(1-N3307)</x:f>
        <x:v>252</x:v>
      </x:c>
      <x:c r="Q3307" s="22" t="n">
        <x:v>27</x:v>
      </x:c>
      <x:c r="R3307" s="22" t="n">
        <x:f>Q3307*M3307</x:f>
        <x:v>216</x:v>
      </x:c>
      <x:c r="S3307" s="22" t="n">
        <x:f>P3307-R3307</x:f>
        <x:v>36</x:v>
      </x:c>
      <x:c r="T3307" t="str">
        <x:v>Bank Transfer</x:v>
      </x:c>
      <x:c r="U3307" t="str">
        <x:v>Paid</x:v>
      </x:c>
      <x:c r="V3307" t="str">
        <x:v>Delivered</x:v>
      </x:c>
      <x:c r="W3307" t="n">
        <x:v>0</x:v>
      </x:c>
      <x:c r="X3307" t="str"/>
      <x:c r="Y3307" t="str">
        <x:v>Outbound Call</x:v>
      </x:c>
    </x:row>
    <x:row r="3308">
      <x:c r="A3308" t="str">
        <x:v>O003307</x:v>
      </x:c>
      <x:c r="B3308" s="20" t="n">
        <x:v>45903</x:v>
      </x:c>
      <x:c r="C3308" t="str">
        <x:v>C0095</x:v>
      </x:c>
      <x:c r="D3308" t="str">
        <x:v>Spice Restaurant 95</x:v>
      </x:c>
      <x:c r="E3308" t="str">
        <x:v>Restaurant</x:v>
      </x:c>
      <x:c r="F3308" t="str">
        <x:v>Bengaluru</x:v>
      </x:c>
      <x:c r="G3308" t="str">
        <x:v>Megha</x:v>
      </x:c>
      <x:c r="H3308" t="str">
        <x:v>P026</x:v>
      </x:c>
      <x:c r="I3308" t="str">
        <x:v>Banana Chips 80g</x:v>
      </x:c>
      <x:c r="J3308" t="str">
        <x:v>Snacks</x:v>
      </x:c>
      <x:c r="K3308" t="str">
        <x:v>SSS</x:v>
      </x:c>
      <x:c r="L3308" s="22" t="n">
        <x:v>54</x:v>
      </x:c>
      <x:c r="M3308" t="n">
        <x:v>37</x:v>
      </x:c>
      <x:c r="N3308" s="24" t="n">
        <x:v>0.08</x:v>
      </x:c>
      <x:c r="O3308" s="22" t="n">
        <x:f>L3308*M3308</x:f>
        <x:v>1998</x:v>
      </x:c>
      <x:c r="P3308" s="22" t="n">
        <x:f>O3308*(1-N3308)</x:f>
        <x:v>1838.16</x:v>
      </x:c>
      <x:c r="Q3308" s="22" t="n">
        <x:v>39</x:v>
      </x:c>
      <x:c r="R3308" s="22" t="n">
        <x:f>Q3308*M3308</x:f>
        <x:v>1443</x:v>
      </x:c>
      <x:c r="S3308" s="22" t="n">
        <x:f>P3308-R3308</x:f>
        <x:v>395.1600000000001</x:v>
      </x:c>
      <x:c r="T3308" t="str">
        <x:v>Credit</x:v>
      </x:c>
      <x:c r="U3308" t="str">
        <x:v>Pending</x:v>
      </x:c>
      <x:c r="V3308" t="str">
        <x:v>Cancelled</x:v>
      </x:c>
      <x:c r="W3308" t="n">
        <x:v>37</x:v>
      </x:c>
      <x:c r="X3308" t="str">
        <x:v>Cancelled Order</x:v>
      </x:c>
      <x:c r="Y3308" t="str">
        <x:v>Existing Customer</x:v>
      </x:c>
    </x:row>
    <x:row r="3309">
      <x:c r="A3309" t="str">
        <x:v>O003308</x:v>
      </x:c>
      <x:c r="B3309" s="20" t="n">
        <x:v>46018</x:v>
      </x:c>
      <x:c r="C3309" t="str">
        <x:v>C0157</x:v>
      </x:c>
      <x:c r="D3309" t="str">
        <x:v>Fresh Canteen 157</x:v>
      </x:c>
      <x:c r="E3309" t="str">
        <x:v>Kirana</x:v>
      </x:c>
      <x:c r="F3309" t="str">
        <x:v>Mangaluru</x:v>
      </x:c>
      <x:c r="G3309" t="str">
        <x:v>Priya</x:v>
      </x:c>
      <x:c r="H3309" t="str">
        <x:v>P012</x:v>
      </x:c>
      <x:c r="I3309" t="str">
        <x:v>Maida 10kg</x:v>
      </x:c>
      <x:c r="J3309" t="str">
        <x:v>Flour</x:v>
      </x:c>
      <x:c r="K3309" t="str">
        <x:v>Aashirvaad</x:v>
      </x:c>
      <x:c r="L3309" s="22" t="n">
        <x:v>520</x:v>
      </x:c>
      <x:c r="M3309" t="n">
        <x:v>3</x:v>
      </x:c>
      <x:c r="N3309" s="24" t="n">
        <x:v>0</x:v>
      </x:c>
      <x:c r="O3309" s="22" t="n">
        <x:f>L3309*M3309</x:f>
        <x:v>1560</x:v>
      </x:c>
      <x:c r="P3309" s="22" t="n">
        <x:f>O3309*(1-N3309)</x:f>
        <x:v>1560</x:v>
      </x:c>
      <x:c r="Q3309" s="22" t="n">
        <x:v>460</x:v>
      </x:c>
      <x:c r="R3309" s="22" t="n">
        <x:f>Q3309*M3309</x:f>
        <x:v>1380</x:v>
      </x:c>
      <x:c r="S3309" s="22" t="n">
        <x:f>P3309-R3309</x:f>
        <x:v>180</x:v>
      </x:c>
      <x:c r="T3309" t="str">
        <x:v>Cash</x:v>
      </x:c>
      <x:c r="U3309" t="str">
        <x:v>Paid</x:v>
      </x:c>
      <x:c r="V3309" t="str">
        <x:v>Delivered</x:v>
      </x:c>
      <x:c r="W3309" t="n">
        <x:v>0</x:v>
      </x:c>
      <x:c r="X3309" t="str"/>
      <x:c r="Y3309" t="str">
        <x:v>Existing Customer</x:v>
      </x:c>
    </x:row>
    <x:row r="3310">
      <x:c r="A3310" t="str">
        <x:v>O003309</x:v>
      </x:c>
      <x:c r="B3310" s="20" t="n">
        <x:v>46029</x:v>
      </x:c>
      <x:c r="C3310" t="str">
        <x:v>C0122</x:v>
      </x:c>
      <x:c r="D3310" t="str">
        <x:v>Namma Restaurant 122</x:v>
      </x:c>
      <x:c r="E3310" t="str">
        <x:v>Kirana</x:v>
      </x:c>
      <x:c r="F3310" t="str">
        <x:v>Hubballi</x:v>
      </x:c>
      <x:c r="G3310" t="str">
        <x:v>Sneha</x:v>
      </x:c>
      <x:c r="H3310" t="str">
        <x:v>P013</x:v>
      </x:c>
      <x:c r="I3310" t="str">
        <x:v>Atta 10kg</x:v>
      </x:c>
      <x:c r="J3310" t="str">
        <x:v>Flour</x:v>
      </x:c>
      <x:c r="K3310" t="str">
        <x:v>Aashirvaad</x:v>
      </x:c>
      <x:c r="L3310" s="22" t="n">
        <x:v>560</x:v>
      </x:c>
      <x:c r="M3310" t="n">
        <x:v>35</x:v>
      </x:c>
      <x:c r="N3310" s="24" t="n">
        <x:v>0</x:v>
      </x:c>
      <x:c r="O3310" s="22" t="n">
        <x:f>L3310*M3310</x:f>
        <x:v>19600</x:v>
      </x:c>
      <x:c r="P3310" s="22" t="n">
        <x:f>O3310*(1-N3310)</x:f>
        <x:v>19600</x:v>
      </x:c>
      <x:c r="Q3310" s="22" t="n">
        <x:v>495</x:v>
      </x:c>
      <x:c r="R3310" s="22" t="n">
        <x:f>Q3310*M3310</x:f>
        <x:v>17325</x:v>
      </x:c>
      <x:c r="S3310" s="22" t="n">
        <x:f>P3310-R3310</x:f>
        <x:v>2275</x:v>
      </x:c>
      <x:c r="T3310" t="str">
        <x:v>Bank Transfer</x:v>
      </x:c>
      <x:c r="U3310" t="str">
        <x:v>Pending</x:v>
      </x:c>
      <x:c r="V3310" t="str">
        <x:v>Delivered</x:v>
      </x:c>
      <x:c r="W3310" t="n">
        <x:v>0</x:v>
      </x:c>
      <x:c r="X3310" t="str"/>
      <x:c r="Y3310" t="str">
        <x:v>Field Visit</x:v>
      </x:c>
    </x:row>
    <x:row r="3311">
      <x:c r="A3311" t="str">
        <x:v>O003310</x:v>
      </x:c>
      <x:c r="B3311" s="20" t="n">
        <x:v>46169</x:v>
      </x:c>
      <x:c r="C3311" t="str">
        <x:v>C0242</x:v>
      </x:c>
      <x:c r="D3311" t="str">
        <x:v>Fresh Cafe 242</x:v>
      </x:c>
      <x:c r="E3311" t="str">
        <x:v>Canteen</x:v>
      </x:c>
      <x:c r="F3311" t="str">
        <x:v>Davanagere</x:v>
      </x:c>
      <x:c r="G3311" t="str">
        <x:v>Kavya</x:v>
      </x:c>
      <x:c r="H3311" t="str">
        <x:v>P019</x:v>
      </x:c>
      <x:c r="I3311" t="str">
        <x:v>Tea 1kg</x:v>
      </x:c>
      <x:c r="J3311" t="str">
        <x:v>Beverage</x:v>
      </x:c>
      <x:c r="K3311" t="str">
        <x:v>Red Label</x:v>
      </x:c>
      <x:c r="L3311" s="22" t="n">
        <x:v>540</x:v>
      </x:c>
      <x:c r="M3311" t="n">
        <x:v>29</x:v>
      </x:c>
      <x:c r="N3311" s="24" t="n">
        <x:v>0.05</x:v>
      </x:c>
      <x:c r="O3311" s="22" t="n">
        <x:f>L3311*M3311</x:f>
        <x:v>15660</x:v>
      </x:c>
      <x:c r="P3311" s="22" t="n">
        <x:f>O3311*(1-N3311)</x:f>
        <x:v>14877</x:v>
      </x:c>
      <x:c r="Q3311" s="22" t="n">
        <x:v>485</x:v>
      </x:c>
      <x:c r="R3311" s="22" t="n">
        <x:f>Q3311*M3311</x:f>
        <x:v>14065</x:v>
      </x:c>
      <x:c r="S3311" s="22" t="n">
        <x:f>P3311-R3311</x:f>
        <x:v>812</x:v>
      </x:c>
      <x:c r="T3311" t="str">
        <x:v>Cash</x:v>
      </x:c>
      <x:c r="U3311" t="str">
        <x:v>Pending</x:v>
      </x:c>
      <x:c r="V3311" t="str">
        <x:v>Delayed</x:v>
      </x:c>
      <x:c r="W3311" t="n">
        <x:v>0</x:v>
      </x:c>
      <x:c r="X3311" t="str"/>
      <x:c r="Y3311" t="str">
        <x:v>Existing Customer</x:v>
      </x:c>
    </x:row>
    <x:row r="3312">
      <x:c r="A3312" t="str">
        <x:v>O003311</x:v>
      </x:c>
      <x:c r="B3312" s="20" t="n">
        <x:v>46221</x:v>
      </x:c>
      <x:c r="C3312" t="str">
        <x:v>C0242</x:v>
      </x:c>
      <x:c r="D3312" t="str">
        <x:v>Fresh Cafe 242</x:v>
      </x:c>
      <x:c r="E3312" t="str">
        <x:v>Canteen</x:v>
      </x:c>
      <x:c r="F3312" t="str">
        <x:v>Davanagere</x:v>
      </x:c>
      <x:c r="G3312" t="str">
        <x:v>Kavya</x:v>
      </x:c>
      <x:c r="H3312" t="str">
        <x:v>P022</x:v>
      </x:c>
      <x:c r="I3312" t="str">
        <x:v>Mineral Water 1L</x:v>
      </x:c>
      <x:c r="J3312" t="str">
        <x:v>Beverage</x:v>
      </x:c>
      <x:c r="K3312" t="str">
        <x:v>Bisleri</x:v>
      </x:c>
      <x:c r="L3312" s="22" t="n">
        <x:v>19</x:v>
      </x:c>
      <x:c r="M3312" t="n">
        <x:v>20</x:v>
      </x:c>
      <x:c r="N3312" s="24" t="n">
        <x:v>0</x:v>
      </x:c>
      <x:c r="O3312" s="22" t="n">
        <x:f>L3312*M3312</x:f>
        <x:v>380</x:v>
      </x:c>
      <x:c r="P3312" s="22" t="n">
        <x:f>O3312*(1-N3312)</x:f>
        <x:v>380</x:v>
      </x:c>
      <x:c r="Q3312" s="22" t="n">
        <x:v>15</x:v>
      </x:c>
      <x:c r="R3312" s="22" t="n">
        <x:f>Q3312*M3312</x:f>
        <x:v>300</x:v>
      </x:c>
      <x:c r="S3312" s="22" t="n">
        <x:f>P3312-R3312</x:f>
        <x:v>80</x:v>
      </x:c>
      <x:c r="T3312" t="str">
        <x:v>Bank Transfer</x:v>
      </x:c>
      <x:c r="U3312" t="str">
        <x:v>Paid</x:v>
      </x:c>
      <x:c r="V3312" t="str">
        <x:v>Delayed</x:v>
      </x:c>
      <x:c r="W3312" t="n">
        <x:v>0</x:v>
      </x:c>
      <x:c r="X3312" t="str"/>
      <x:c r="Y3312" t="str">
        <x:v>Existing Customer</x:v>
      </x:c>
    </x:row>
    <x:row r="3313">
      <x:c r="A3313" t="str">
        <x:v>O003312</x:v>
      </x:c>
      <x:c r="B3313" s="20" t="n">
        <x:v>45839</x:v>
      </x:c>
      <x:c r="C3313" t="str">
        <x:v>C0193</x:v>
      </x:c>
      <x:c r="D3313" t="str">
        <x:v>Udupi Cafe 193</x:v>
      </x:c>
      <x:c r="E3313" t="str">
        <x:v>Restaurant</x:v>
      </x:c>
      <x:c r="F3313" t="str">
        <x:v>Hubballi</x:v>
      </x:c>
      <x:c r="G3313" t="str">
        <x:v>Sneha</x:v>
      </x:c>
      <x:c r="H3313" t="str">
        <x:v>P008</x:v>
      </x:c>
      <x:c r="I3313" t="str">
        <x:v>Palm Oil 15L</x:v>
      </x:c>
      <x:c r="J3313" t="str">
        <x:v>Edible Oil</x:v>
      </x:c>
      <x:c r="K3313" t="str">
        <x:v>Ruchi Gold</x:v>
      </x:c>
      <x:c r="L3313" s="22" t="n">
        <x:v>1760</x:v>
      </x:c>
      <x:c r="M3313" t="n">
        <x:v>3</x:v>
      </x:c>
      <x:c r="N3313" s="24" t="n">
        <x:v>0.05</x:v>
      </x:c>
      <x:c r="O3313" s="22" t="n">
        <x:f>L3313*M3313</x:f>
        <x:v>5280</x:v>
      </x:c>
      <x:c r="P3313" s="22" t="n">
        <x:f>O3313*(1-N3313)</x:f>
        <x:v>5016</x:v>
      </x:c>
      <x:c r="Q3313" s="22" t="n">
        <x:v>1610</x:v>
      </x:c>
      <x:c r="R3313" s="22" t="n">
        <x:f>Q3313*M3313</x:f>
        <x:v>4830</x:v>
      </x:c>
      <x:c r="S3313" s="22" t="n">
        <x:f>P3313-R3313</x:f>
        <x:v>186</x:v>
      </x:c>
      <x:c r="T3313" t="str">
        <x:v>UPI</x:v>
      </x:c>
      <x:c r="U3313" t="str">
        <x:v>Paid</x:v>
      </x:c>
      <x:c r="V3313" t="str">
        <x:v>Delivered</x:v>
      </x:c>
      <x:c r="W3313" t="n">
        <x:v>0</x:v>
      </x:c>
      <x:c r="X3313" t="str"/>
      <x:c r="Y3313" t="str">
        <x:v>Field Visit</x:v>
      </x:c>
    </x:row>
    <x:row r="3314">
      <x:c r="A3314" t="str">
        <x:v>O003313</x:v>
      </x:c>
      <x:c r="B3314" s="20" t="n">
        <x:v>45810</x:v>
      </x:c>
      <x:c r="C3314" t="str">
        <x:v>C0148</x:v>
      </x:c>
      <x:c r="D3314" t="str">
        <x:v>Shree Cafe 148</x:v>
      </x:c>
      <x:c r="E3314" t="str">
        <x:v>Kirana</x:v>
      </x:c>
      <x:c r="F3314" t="str">
        <x:v>Hubballi</x:v>
      </x:c>
      <x:c r="G3314" t="str">
        <x:v>Priya</x:v>
      </x:c>
      <x:c r="H3314" t="str">
        <x:v>P008</x:v>
      </x:c>
      <x:c r="I3314" t="str">
        <x:v>Palm Oil 15L</x:v>
      </x:c>
      <x:c r="J3314" t="str">
        <x:v>Edible Oil</x:v>
      </x:c>
      <x:c r="K3314" t="str">
        <x:v>Ruchi Gold</x:v>
      </x:c>
      <x:c r="L3314" s="22" t="n">
        <x:v>1760</x:v>
      </x:c>
      <x:c r="M3314" t="n">
        <x:v>8</x:v>
      </x:c>
      <x:c r="N3314" s="24" t="n">
        <x:v>0</x:v>
      </x:c>
      <x:c r="O3314" s="22" t="n">
        <x:f>L3314*M3314</x:f>
        <x:v>14080</x:v>
      </x:c>
      <x:c r="P3314" s="22" t="n">
        <x:f>O3314*(1-N3314)</x:f>
        <x:v>14080</x:v>
      </x:c>
      <x:c r="Q3314" s="22" t="n">
        <x:v>1610</x:v>
      </x:c>
      <x:c r="R3314" s="22" t="n">
        <x:f>Q3314*M3314</x:f>
        <x:v>12880</x:v>
      </x:c>
      <x:c r="S3314" s="22" t="n">
        <x:f>P3314-R3314</x:f>
        <x:v>1200</x:v>
      </x:c>
      <x:c r="T3314" t="str">
        <x:v>UPI</x:v>
      </x:c>
      <x:c r="U3314" t="str">
        <x:v>Paid</x:v>
      </x:c>
      <x:c r="V3314" t="str">
        <x:v>Delayed</x:v>
      </x:c>
      <x:c r="W3314" t="n">
        <x:v>0</x:v>
      </x:c>
      <x:c r="X3314" t="str"/>
      <x:c r="Y3314" t="str">
        <x:v>Existing Customer</x:v>
      </x:c>
    </x:row>
    <x:row r="3315">
      <x:c r="A3315" t="str">
        <x:v>O003314</x:v>
      </x:c>
      <x:c r="B3315" s="20" t="n">
        <x:v>45696</x:v>
      </x:c>
      <x:c r="C3315" t="str">
        <x:v>C0095</x:v>
      </x:c>
      <x:c r="D3315" t="str">
        <x:v>Spice Restaurant 95</x:v>
      </x:c>
      <x:c r="E3315" t="str">
        <x:v>Restaurant</x:v>
      </x:c>
      <x:c r="F3315" t="str">
        <x:v>Bengaluru</x:v>
      </x:c>
      <x:c r="G3315" t="str">
        <x:v>Megha</x:v>
      </x:c>
      <x:c r="H3315" t="str">
        <x:v>P016</x:v>
      </x:c>
      <x:c r="I3315" t="str">
        <x:v>Curd 1kg</x:v>
      </x:c>
      <x:c r="J3315" t="str">
        <x:v>Dairy</x:v>
      </x:c>
      <x:c r="K3315" t="str">
        <x:v>Nandini</x:v>
      </x:c>
      <x:c r="L3315" s="22" t="n">
        <x:v>72</x:v>
      </x:c>
      <x:c r="M3315" t="n">
        <x:v>14</x:v>
      </x:c>
      <x:c r="N3315" s="24" t="n">
        <x:v>0.05</x:v>
      </x:c>
      <x:c r="O3315" s="22" t="n">
        <x:f>L3315*M3315</x:f>
        <x:v>1008</x:v>
      </x:c>
      <x:c r="P3315" s="22" t="n">
        <x:f>O3315*(1-N3315)</x:f>
        <x:v>957.5999999999999</x:v>
      </x:c>
      <x:c r="Q3315" s="22" t="n">
        <x:v>64</x:v>
      </x:c>
      <x:c r="R3315" s="22" t="n">
        <x:f>Q3315*M3315</x:f>
        <x:v>896</x:v>
      </x:c>
      <x:c r="S3315" s="22" t="n">
        <x:f>P3315-R3315</x:f>
        <x:v>61.59999999999991</x:v>
      </x:c>
      <x:c r="T3315" t="str">
        <x:v>Bank Transfer</x:v>
      </x:c>
      <x:c r="U3315" t="str">
        <x:v>Pending</x:v>
      </x:c>
      <x:c r="V3315" t="str">
        <x:v>Delivered</x:v>
      </x:c>
      <x:c r="W3315" t="n">
        <x:v>0</x:v>
      </x:c>
      <x:c r="X3315" t="str"/>
      <x:c r="Y3315" t="str">
        <x:v>Outbound Call</x:v>
      </x:c>
    </x:row>
    <x:row r="3316">
      <x:c r="A3316" t="str">
        <x:v>O003315</x:v>
      </x:c>
      <x:c r="B3316" s="20" t="n">
        <x:v>45793</x:v>
      </x:c>
      <x:c r="C3316" t="str">
        <x:v>C0101</x:v>
      </x:c>
      <x:c r="D3316" t="str">
        <x:v>Namma Cafe 101</x:v>
      </x:c>
      <x:c r="E3316" t="str">
        <x:v>Supermarket</x:v>
      </x:c>
      <x:c r="F3316" t="str">
        <x:v>Bengaluru</x:v>
      </x:c>
      <x:c r="G3316" t="str">
        <x:v>Arjun</x:v>
      </x:c>
      <x:c r="H3316" t="str">
        <x:v>P034</x:v>
      </x:c>
      <x:c r="I3316" t="str">
        <x:v>Chilli Powder 1kg</x:v>
      </x:c>
      <x:c r="J3316" t="str">
        <x:v>Spices</x:v>
      </x:c>
      <x:c r="K3316" t="str">
        <x:v>MDH</x:v>
      </x:c>
      <x:c r="L3316" s="22" t="n">
        <x:v>340</x:v>
      </x:c>
      <x:c r="M3316" t="n">
        <x:v>33</x:v>
      </x:c>
      <x:c r="N3316" s="24" t="n">
        <x:v>0.05</x:v>
      </x:c>
      <x:c r="O3316" s="22" t="n">
        <x:f>L3316*M3316</x:f>
        <x:v>11220</x:v>
      </x:c>
      <x:c r="P3316" s="22" t="n">
        <x:f>O3316*(1-N3316)</x:f>
        <x:v>10659</x:v>
      </x:c>
      <x:c r="Q3316" s="22" t="n">
        <x:v>295</x:v>
      </x:c>
      <x:c r="R3316" s="22" t="n">
        <x:f>Q3316*M3316</x:f>
        <x:v>9735</x:v>
      </x:c>
      <x:c r="S3316" s="22" t="n">
        <x:f>P3316-R3316</x:f>
        <x:v>924</x:v>
      </x:c>
      <x:c r="T3316" t="str">
        <x:v>Credit</x:v>
      </x:c>
      <x:c r="U3316" t="str">
        <x:v>Paid</x:v>
      </x:c>
      <x:c r="V3316" t="str">
        <x:v>Delivered</x:v>
      </x:c>
      <x:c r="W3316" t="n">
        <x:v>0</x:v>
      </x:c>
      <x:c r="X3316" t="str"/>
      <x:c r="Y3316" t="str">
        <x:v>Field Visit</x:v>
      </x:c>
    </x:row>
    <x:row r="3317">
      <x:c r="A3317" t="str">
        <x:v>O003316</x:v>
      </x:c>
      <x:c r="B3317" s="20" t="n">
        <x:v>45712</x:v>
      </x:c>
      <x:c r="C3317" t="str">
        <x:v>C0177</x:v>
      </x:c>
      <x:c r="D3317" t="str">
        <x:v>Classic Cafe 177</x:v>
      </x:c>
      <x:c r="E3317" t="str">
        <x:v>Supermarket</x:v>
      </x:c>
      <x:c r="F3317" t="str">
        <x:v>Bengaluru</x:v>
      </x:c>
      <x:c r="G3317" t="str">
        <x:v>Arjun</x:v>
      </x:c>
      <x:c r="H3317" t="str">
        <x:v>P011</x:v>
      </x:c>
      <x:c r="I3317" t="str">
        <x:v>Salt 1kg</x:v>
      </x:c>
      <x:c r="J3317" t="str">
        <x:v>Staples</x:v>
      </x:c>
      <x:c r="K3317" t="str">
        <x:v>Tata</x:v>
      </x:c>
      <x:c r="L3317" s="22" t="n">
        <x:v>28</x:v>
      </x:c>
      <x:c r="M3317" t="n">
        <x:v>9</x:v>
      </x:c>
      <x:c r="N3317" s="24" t="n">
        <x:v>0.03</x:v>
      </x:c>
      <x:c r="O3317" s="22" t="n">
        <x:f>L3317*M3317</x:f>
        <x:v>252</x:v>
      </x:c>
      <x:c r="P3317" s="22" t="n">
        <x:f>O3317*(1-N3317)</x:f>
        <x:v>244.44</x:v>
      </x:c>
      <x:c r="Q3317" s="22" t="n">
        <x:v>23</x:v>
      </x:c>
      <x:c r="R3317" s="22" t="n">
        <x:f>Q3317*M3317</x:f>
        <x:v>207</x:v>
      </x:c>
      <x:c r="S3317" s="22" t="n">
        <x:f>P3317-R3317</x:f>
        <x:v>37.44</x:v>
      </x:c>
      <x:c r="T3317" t="str">
        <x:v>Cash</x:v>
      </x:c>
      <x:c r="U3317" t="str">
        <x:v>Pending</x:v>
      </x:c>
      <x:c r="V3317" t="str">
        <x:v>Delivered</x:v>
      </x:c>
      <x:c r="W3317" t="n">
        <x:v>0</x:v>
      </x:c>
      <x:c r="X3317" t="str"/>
      <x:c r="Y3317" t="str">
        <x:v>Existing Customer</x:v>
      </x:c>
    </x:row>
    <x:row r="3318">
      <x:c r="A3318" t="str">
        <x:v>O003317</x:v>
      </x:c>
      <x:c r="B3318" s="20" t="n">
        <x:v>45819</x:v>
      </x:c>
      <x:c r="C3318" t="str">
        <x:v>C0048</x:v>
      </x:c>
      <x:c r="D3318" t="str">
        <x:v>Udupi Foods 48</x:v>
      </x:c>
      <x:c r="E3318" t="str">
        <x:v>Hotel</x:v>
      </x:c>
      <x:c r="F3318" t="str">
        <x:v>Bengaluru</x:v>
      </x:c>
      <x:c r="G3318" t="str">
        <x:v>Ramesh</x:v>
      </x:c>
      <x:c r="H3318" t="str">
        <x:v>P036</x:v>
      </x:c>
      <x:c r="I3318" t="str">
        <x:v>Garam Masala 500g</x:v>
      </x:c>
      <x:c r="J3318" t="str">
        <x:v>Spices</x:v>
      </x:c>
      <x:c r="K3318" t="str">
        <x:v>MDH</x:v>
      </x:c>
      <x:c r="L3318" s="22" t="n">
        <x:v>265</x:v>
      </x:c>
      <x:c r="M3318" t="n">
        <x:v>26</x:v>
      </x:c>
      <x:c r="N3318" s="24" t="n">
        <x:v>0.03</x:v>
      </x:c>
      <x:c r="O3318" s="22" t="n">
        <x:f>L3318*M3318</x:f>
        <x:v>6890</x:v>
      </x:c>
      <x:c r="P3318" s="22" t="n">
        <x:f>O3318*(1-N3318)</x:f>
        <x:v>6683.3</x:v>
      </x:c>
      <x:c r="Q3318" s="22" t="n">
        <x:v>230</x:v>
      </x:c>
      <x:c r="R3318" s="22" t="n">
        <x:f>Q3318*M3318</x:f>
        <x:v>5980</x:v>
      </x:c>
      <x:c r="S3318" s="22" t="n">
        <x:f>P3318-R3318</x:f>
        <x:v>703.3000000000002</x:v>
      </x:c>
      <x:c r="T3318" t="str">
        <x:v>Bank Transfer</x:v>
      </x:c>
      <x:c r="U3318" t="str">
        <x:v>Paid</x:v>
      </x:c>
      <x:c r="V3318" t="str">
        <x:v>Delivered</x:v>
      </x:c>
      <x:c r="W3318" t="n">
        <x:v>0</x:v>
      </x:c>
      <x:c r="X3318" t="str"/>
      <x:c r="Y3318" t="str">
        <x:v>Referral</x:v>
      </x:c>
    </x:row>
    <x:row r="3319">
      <x:c r="A3319" t="str">
        <x:v>O003318</x:v>
      </x:c>
      <x:c r="B3319" s="20" t="n">
        <x:v>45798</x:v>
      </x:c>
      <x:c r="C3319" t="str">
        <x:v>C0043</x:v>
      </x:c>
      <x:c r="D3319" t="str">
        <x:v>Namma Kitchen 43</x:v>
      </x:c>
      <x:c r="E3319" t="str">
        <x:v>Supermarket</x:v>
      </x:c>
      <x:c r="F3319" t="str">
        <x:v>Davanagere</x:v>
      </x:c>
      <x:c r="G3319" t="str">
        <x:v>Kavya</x:v>
      </x:c>
      <x:c r="H3319" t="str">
        <x:v>P009</x:v>
      </x:c>
      <x:c r="I3319" t="str">
        <x:v>Groundnut Oil 5L</x:v>
      </x:c>
      <x:c r="J3319" t="str">
        <x:v>Edible Oil</x:v>
      </x:c>
      <x:c r="K3319" t="str">
        <x:v>Dhara</x:v>
      </x:c>
      <x:c r="L3319" s="22" t="n">
        <x:v>890</x:v>
      </x:c>
      <x:c r="M3319" t="n">
        <x:v>38</x:v>
      </x:c>
      <x:c r="N3319" s="24" t="n">
        <x:v>0</x:v>
      </x:c>
      <x:c r="O3319" s="22" t="n">
        <x:f>L3319*M3319</x:f>
        <x:v>33820</x:v>
      </x:c>
      <x:c r="P3319" s="22" t="n">
        <x:f>O3319*(1-N3319)</x:f>
        <x:v>33820</x:v>
      </x:c>
      <x:c r="Q3319" s="22" t="n">
        <x:v>810</x:v>
      </x:c>
      <x:c r="R3319" s="22" t="n">
        <x:f>Q3319*M3319</x:f>
        <x:v>30780</x:v>
      </x:c>
      <x:c r="S3319" s="22" t="n">
        <x:f>P3319-R3319</x:f>
        <x:v>3040</x:v>
      </x:c>
      <x:c r="T3319" t="str">
        <x:v>Credit</x:v>
      </x:c>
      <x:c r="U3319" t="str">
        <x:v>Paid</x:v>
      </x:c>
      <x:c r="V3319" t="str">
        <x:v>Delayed</x:v>
      </x:c>
      <x:c r="W3319" t="n">
        <x:v>0</x:v>
      </x:c>
      <x:c r="X3319" t="str"/>
      <x:c r="Y3319" t="str">
        <x:v>WhatsApp</x:v>
      </x:c>
    </x:row>
    <x:row r="3320">
      <x:c r="A3320" t="str">
        <x:v>O003319</x:v>
      </x:c>
      <x:c r="B3320" s="20" t="n">
        <x:v>45908</x:v>
      </x:c>
      <x:c r="C3320" t="str">
        <x:v>C0239</x:v>
      </x:c>
      <x:c r="D3320" t="str">
        <x:v>Royal Hotel 239</x:v>
      </x:c>
      <x:c r="E3320" t="str">
        <x:v>Restaurant</x:v>
      </x:c>
      <x:c r="F3320" t="str">
        <x:v>Hubballi</x:v>
      </x:c>
      <x:c r="G3320" t="str">
        <x:v>Priya</x:v>
      </x:c>
      <x:c r="H3320" t="str">
        <x:v>P001</x:v>
      </x:c>
      <x:c r="I3320" t="str">
        <x:v>Steam Rice 25kg</x:v>
      </x:c>
      <x:c r="J3320" t="str">
        <x:v>Staples</x:v>
      </x:c>
      <x:c r="K3320" t="str">
        <x:v>Aishwarya</x:v>
      </x:c>
      <x:c r="L3320" s="22" t="n">
        <x:v>1180</x:v>
      </x:c>
      <x:c r="M3320" t="n">
        <x:v>11</x:v>
      </x:c>
      <x:c r="N3320" s="24" t="n">
        <x:v>0.02</x:v>
      </x:c>
      <x:c r="O3320" s="22" t="n">
        <x:f>L3320*M3320</x:f>
        <x:v>12980</x:v>
      </x:c>
      <x:c r="P3320" s="22" t="n">
        <x:f>O3320*(1-N3320)</x:f>
        <x:v>12720.4</x:v>
      </x:c>
      <x:c r="Q3320" s="22" t="n">
        <x:v>1040</x:v>
      </x:c>
      <x:c r="R3320" s="22" t="n">
        <x:f>Q3320*M3320</x:f>
        <x:v>11440</x:v>
      </x:c>
      <x:c r="S3320" s="22" t="n">
        <x:f>P3320-R3320</x:f>
        <x:v>1280.3999999999996</x:v>
      </x:c>
      <x:c r="T3320" t="str">
        <x:v>Credit</x:v>
      </x:c>
      <x:c r="U3320" t="str">
        <x:v>Paid</x:v>
      </x:c>
      <x:c r="V3320" t="str">
        <x:v>Cancelled</x:v>
      </x:c>
      <x:c r="W3320" t="n">
        <x:v>11</x:v>
      </x:c>
      <x:c r="X3320" t="str">
        <x:v>Cancelled Order</x:v>
      </x:c>
      <x:c r="Y3320" t="str">
        <x:v>Outbound Call</x:v>
      </x:c>
    </x:row>
    <x:row r="3321">
      <x:c r="A3321" t="str">
        <x:v>O003320</x:v>
      </x:c>
      <x:c r="B3321" s="20" t="n">
        <x:v>46164</x:v>
      </x:c>
      <x:c r="C3321" t="str">
        <x:v>C0248</x:v>
      </x:c>
      <x:c r="D3321" t="str">
        <x:v>Royal Restaurant 248</x:v>
      </x:c>
      <x:c r="E3321" t="str">
        <x:v>Canteen</x:v>
      </x:c>
      <x:c r="F3321" t="str">
        <x:v>Mysuru</x:v>
      </x:c>
      <x:c r="G3321" t="str">
        <x:v>Priya</x:v>
      </x:c>
      <x:c r="H3321" t="str">
        <x:v>P031</x:v>
      </x:c>
      <x:c r="I3321" t="str">
        <x:v>Chilli Sauce 700g</x:v>
      </x:c>
      <x:c r="J3321" t="str">
        <x:v>Condiments</x:v>
      </x:c>
      <x:c r="K3321" t="str">
        <x:v>Ching's</x:v>
      </x:c>
      <x:c r="L3321" s="22" t="n">
        <x:v>130</x:v>
      </x:c>
      <x:c r="M3321" t="n">
        <x:v>31</x:v>
      </x:c>
      <x:c r="N3321" s="24" t="n">
        <x:v>0.05</x:v>
      </x:c>
      <x:c r="O3321" s="22" t="n">
        <x:f>L3321*M3321</x:f>
        <x:v>4030</x:v>
      </x:c>
      <x:c r="P3321" s="22" t="n">
        <x:f>O3321*(1-N3321)</x:f>
        <x:v>3828.5</x:v>
      </x:c>
      <x:c r="Q3321" s="22" t="n">
        <x:v>112</x:v>
      </x:c>
      <x:c r="R3321" s="22" t="n">
        <x:f>Q3321*M3321</x:f>
        <x:v>3472</x:v>
      </x:c>
      <x:c r="S3321" s="22" t="n">
        <x:f>P3321-R3321</x:f>
        <x:v>356.5</x:v>
      </x:c>
      <x:c r="T3321" t="str">
        <x:v>UPI</x:v>
      </x:c>
      <x:c r="U3321" t="str">
        <x:v>Paid</x:v>
      </x:c>
      <x:c r="V3321" t="str">
        <x:v>Delivered</x:v>
      </x:c>
      <x:c r="W3321" t="n">
        <x:v>0</x:v>
      </x:c>
      <x:c r="X3321" t="str"/>
      <x:c r="Y3321" t="str">
        <x:v>Referral</x:v>
      </x:c>
    </x:row>
    <x:row r="3322">
      <x:c r="A3322" t="str">
        <x:v>O003321</x:v>
      </x:c>
      <x:c r="B3322" s="20" t="n">
        <x:v>45984</x:v>
      </x:c>
      <x:c r="C3322" t="str">
        <x:v>C0055</x:v>
      </x:c>
      <x:c r="D3322" t="str">
        <x:v>Royal Mart 55</x:v>
      </x:c>
      <x:c r="E3322" t="str">
        <x:v>Restaurant</x:v>
      </x:c>
      <x:c r="F3322" t="str">
        <x:v>Hubballi</x:v>
      </x:c>
      <x:c r="G3322" t="str">
        <x:v>Vikram</x:v>
      </x:c>
      <x:c r="H3322" t="str">
        <x:v>P020</x:v>
      </x:c>
      <x:c r="I3322" t="str">
        <x:v>Coffee 500g</x:v>
      </x:c>
      <x:c r="J3322" t="str">
        <x:v>Beverage</x:v>
      </x:c>
      <x:c r="K3322" t="str">
        <x:v>Bru</x:v>
      </x:c>
      <x:c r="L3322" s="22" t="n">
        <x:v>390</x:v>
      </x:c>
      <x:c r="M3322" t="n">
        <x:v>14</x:v>
      </x:c>
      <x:c r="N3322" s="24" t="n">
        <x:v>0.02</x:v>
      </x:c>
      <x:c r="O3322" s="22" t="n">
        <x:f>L3322*M3322</x:f>
        <x:v>5460</x:v>
      </x:c>
      <x:c r="P3322" s="22" t="n">
        <x:f>O3322*(1-N3322)</x:f>
        <x:v>5350.8</x:v>
      </x:c>
      <x:c r="Q3322" s="22" t="n">
        <x:v>350</x:v>
      </x:c>
      <x:c r="R3322" s="22" t="n">
        <x:f>Q3322*M3322</x:f>
        <x:v>4900</x:v>
      </x:c>
      <x:c r="S3322" s="22" t="n">
        <x:f>P3322-R3322</x:f>
        <x:v>450.8000000000002</x:v>
      </x:c>
      <x:c r="T3322" t="str">
        <x:v>UPI</x:v>
      </x:c>
      <x:c r="U3322" t="str">
        <x:v>Paid</x:v>
      </x:c>
      <x:c r="V3322" t="str">
        <x:v>Delivered</x:v>
      </x:c>
      <x:c r="W3322" t="n">
        <x:v>0</x:v>
      </x:c>
      <x:c r="X3322" t="str"/>
      <x:c r="Y3322" t="str">
        <x:v>Outbound Call</x:v>
      </x:c>
    </x:row>
    <x:row r="3323">
      <x:c r="A3323" t="str">
        <x:v>O003322</x:v>
      </x:c>
      <x:c r="B3323" s="20" t="n">
        <x:v>45819</x:v>
      </x:c>
      <x:c r="C3323" t="str">
        <x:v>C0037</x:v>
      </x:c>
      <x:c r="D3323" t="str">
        <x:v>Royal Cafe 37</x:v>
      </x:c>
      <x:c r="E3323" t="str">
        <x:v>Hotel</x:v>
      </x:c>
      <x:c r="F3323" t="str">
        <x:v>Mysuru</x:v>
      </x:c>
      <x:c r="G3323" t="str">
        <x:v>Sneha</x:v>
      </x:c>
      <x:c r="H3323" t="str">
        <x:v>P030</x:v>
      </x:c>
      <x:c r="I3323" t="str">
        <x:v>Mayonnaise 1kg</x:v>
      </x:c>
      <x:c r="J3323" t="str">
        <x:v>Condiments</x:v>
      </x:c>
      <x:c r="K3323" t="str">
        <x:v>Veeba</x:v>
      </x:c>
      <x:c r="L3323" s="22" t="n">
        <x:v>210</x:v>
      </x:c>
      <x:c r="M3323" t="n">
        <x:v>4</x:v>
      </x:c>
      <x:c r="N3323" s="24" t="n">
        <x:v>0.05</x:v>
      </x:c>
      <x:c r="O3323" s="22" t="n">
        <x:f>L3323*M3323</x:f>
        <x:v>840</x:v>
      </x:c>
      <x:c r="P3323" s="22" t="n">
        <x:f>O3323*(1-N3323)</x:f>
        <x:v>798</x:v>
      </x:c>
      <x:c r="Q3323" s="22" t="n">
        <x:v>185</x:v>
      </x:c>
      <x:c r="R3323" s="22" t="n">
        <x:f>Q3323*M3323</x:f>
        <x:v>740</x:v>
      </x:c>
      <x:c r="S3323" s="22" t="n">
        <x:f>P3323-R3323</x:f>
        <x:v>58</x:v>
      </x:c>
      <x:c r="T3323" t="str">
        <x:v>UPI</x:v>
      </x:c>
      <x:c r="U3323" t="str">
        <x:v>Pending</x:v>
      </x:c>
      <x:c r="V3323" t="str">
        <x:v>Delivered</x:v>
      </x:c>
      <x:c r="W3323" t="n">
        <x:v>0</x:v>
      </x:c>
      <x:c r="X3323" t="str"/>
      <x:c r="Y3323" t="str">
        <x:v>Field Visit</x:v>
      </x:c>
    </x:row>
    <x:row r="3324">
      <x:c r="A3324" t="str">
        <x:v>O003323</x:v>
      </x:c>
      <x:c r="B3324" s="20" t="n">
        <x:v>45848</x:v>
      </x:c>
      <x:c r="C3324" t="str">
        <x:v>C0091</x:v>
      </x:c>
      <x:c r="D3324" t="str">
        <x:v>Classic Mart 91</x:v>
      </x:c>
      <x:c r="E3324" t="str">
        <x:v>Cafe</x:v>
      </x:c>
      <x:c r="F3324" t="str">
        <x:v>Mangaluru</x:v>
      </x:c>
      <x:c r="G3324" t="str">
        <x:v>Kavya</x:v>
      </x:c>
      <x:c r="H3324" t="str">
        <x:v>P027</x:v>
      </x:c>
      <x:c r="I3324" t="str">
        <x:v>Biscuits 120g</x:v>
      </x:c>
      <x:c r="J3324" t="str">
        <x:v>Snacks</x:v>
      </x:c>
      <x:c r="K3324" t="str">
        <x:v>Parle-G</x:v>
      </x:c>
      <x:c r="L3324" s="22" t="n">
        <x:v>12</x:v>
      </x:c>
      <x:c r="M3324" t="n">
        <x:v>40</x:v>
      </x:c>
      <x:c r="N3324" s="24" t="n">
        <x:v>0.02</x:v>
      </x:c>
      <x:c r="O3324" s="22" t="n">
        <x:f>L3324*M3324</x:f>
        <x:v>480</x:v>
      </x:c>
      <x:c r="P3324" s="22" t="n">
        <x:f>O3324*(1-N3324)</x:f>
        <x:v>470.4</x:v>
      </x:c>
      <x:c r="Q3324" s="22" t="n">
        <x:v>9</x:v>
      </x:c>
      <x:c r="R3324" s="22" t="n">
        <x:f>Q3324*M3324</x:f>
        <x:v>360</x:v>
      </x:c>
      <x:c r="S3324" s="22" t="n">
        <x:f>P3324-R3324</x:f>
        <x:v>110.39999999999998</x:v>
      </x:c>
      <x:c r="T3324" t="str">
        <x:v>Bank Transfer</x:v>
      </x:c>
      <x:c r="U3324" t="str">
        <x:v>Paid</x:v>
      </x:c>
      <x:c r="V3324" t="str">
        <x:v>Delivered</x:v>
      </x:c>
      <x:c r="W3324" t="n">
        <x:v>0</x:v>
      </x:c>
      <x:c r="X3324" t="str"/>
      <x:c r="Y3324" t="str">
        <x:v>WhatsApp</x:v>
      </x:c>
    </x:row>
    <x:row r="3325">
      <x:c r="A3325" t="str">
        <x:v>O003324</x:v>
      </x:c>
      <x:c r="B3325" s="20" t="n">
        <x:v>46207</x:v>
      </x:c>
      <x:c r="C3325" t="str">
        <x:v>C0207</x:v>
      </x:c>
      <x:c r="D3325" t="str">
        <x:v>Hotel Stores 207</x:v>
      </x:c>
      <x:c r="E3325" t="str">
        <x:v>Restaurant</x:v>
      </x:c>
      <x:c r="F3325" t="str">
        <x:v>Hubballi</x:v>
      </x:c>
      <x:c r="G3325" t="str">
        <x:v>Ramesh</x:v>
      </x:c>
      <x:c r="H3325" t="str">
        <x:v>P034</x:v>
      </x:c>
      <x:c r="I3325" t="str">
        <x:v>Chilli Powder 1kg</x:v>
      </x:c>
      <x:c r="J3325" t="str">
        <x:v>Spices</x:v>
      </x:c>
      <x:c r="K3325" t="str">
        <x:v>MDH</x:v>
      </x:c>
      <x:c r="L3325" s="22" t="n">
        <x:v>340</x:v>
      </x:c>
      <x:c r="M3325" t="n">
        <x:v>21</x:v>
      </x:c>
      <x:c r="N3325" s="24" t="n">
        <x:v>0.02</x:v>
      </x:c>
      <x:c r="O3325" s="22" t="n">
        <x:f>L3325*M3325</x:f>
        <x:v>7140</x:v>
      </x:c>
      <x:c r="P3325" s="22" t="n">
        <x:f>O3325*(1-N3325)</x:f>
        <x:v>6997.2</x:v>
      </x:c>
      <x:c r="Q3325" s="22" t="n">
        <x:v>295</x:v>
      </x:c>
      <x:c r="R3325" s="22" t="n">
        <x:f>Q3325*M3325</x:f>
        <x:v>6195</x:v>
      </x:c>
      <x:c r="S3325" s="22" t="n">
        <x:f>P3325-R3325</x:f>
        <x:v>802.1999999999998</x:v>
      </x:c>
      <x:c r="T3325" t="str">
        <x:v>Credit</x:v>
      </x:c>
      <x:c r="U3325" t="str">
        <x:v>Paid</x:v>
      </x:c>
      <x:c r="V3325" t="str">
        <x:v>Delivered</x:v>
      </x:c>
      <x:c r="W3325" t="n">
        <x:v>0</x:v>
      </x:c>
      <x:c r="X3325" t="str"/>
      <x:c r="Y3325" t="str">
        <x:v>Existing Customer</x:v>
      </x:c>
    </x:row>
    <x:row r="3326">
      <x:c r="A3326" t="str">
        <x:v>O003325</x:v>
      </x:c>
      <x:c r="B3326" s="20" t="n">
        <x:v>45766</x:v>
      </x:c>
      <x:c r="C3326" t="str">
        <x:v>C0070</x:v>
      </x:c>
      <x:c r="D3326" t="str">
        <x:v>Metro Stores 70</x:v>
      </x:c>
      <x:c r="E3326" t="str">
        <x:v>Cafe</x:v>
      </x:c>
      <x:c r="F3326" t="str">
        <x:v>Bengaluru</x:v>
      </x:c>
      <x:c r="G3326" t="str">
        <x:v>Vikram</x:v>
      </x:c>
      <x:c r="H3326" t="str">
        <x:v>P018</x:v>
      </x:c>
      <x:c r="I3326" t="str">
        <x:v>Paneer 1kg</x:v>
      </x:c>
      <x:c r="J3326" t="str">
        <x:v>Dairy</x:v>
      </x:c>
      <x:c r="K3326" t="str">
        <x:v>Milky Mist</x:v>
      </x:c>
      <x:c r="L3326" s="22" t="n">
        <x:v>410</x:v>
      </x:c>
      <x:c r="M3326" t="n">
        <x:v>4</x:v>
      </x:c>
      <x:c r="N3326" s="24" t="n">
        <x:v>0.05</x:v>
      </x:c>
      <x:c r="O3326" s="22" t="n">
        <x:f>L3326*M3326</x:f>
        <x:v>1640</x:v>
      </x:c>
      <x:c r="P3326" s="22" t="n">
        <x:f>O3326*(1-N3326)</x:f>
        <x:v>1558</x:v>
      </x:c>
      <x:c r="Q3326" s="22" t="n">
        <x:v>370</x:v>
      </x:c>
      <x:c r="R3326" s="22" t="n">
        <x:f>Q3326*M3326</x:f>
        <x:v>1480</x:v>
      </x:c>
      <x:c r="S3326" s="22" t="n">
        <x:f>P3326-R3326</x:f>
        <x:v>78</x:v>
      </x:c>
      <x:c r="T3326" t="str">
        <x:v>UPI</x:v>
      </x:c>
      <x:c r="U3326" t="str">
        <x:v>Paid</x:v>
      </x:c>
      <x:c r="V3326" t="str">
        <x:v>Delivered</x:v>
      </x:c>
      <x:c r="W3326" t="n">
        <x:v>0</x:v>
      </x:c>
      <x:c r="X3326" t="str"/>
      <x:c r="Y3326" t="str">
        <x:v>Existing Customer</x:v>
      </x:c>
    </x:row>
    <x:row r="3327">
      <x:c r="A3327" t="str">
        <x:v>O003326</x:v>
      </x:c>
      <x:c r="B3327" s="20" t="n">
        <x:v>46015</x:v>
      </x:c>
      <x:c r="C3327" t="str">
        <x:v>C0160</x:v>
      </x:c>
      <x:c r="D3327" t="str">
        <x:v>Hotel Foods 160</x:v>
      </x:c>
      <x:c r="E3327" t="str">
        <x:v>Hotel</x:v>
      </x:c>
      <x:c r="F3327" t="str">
        <x:v>Mangaluru</x:v>
      </x:c>
      <x:c r="G3327" t="str">
        <x:v>Sneha</x:v>
      </x:c>
      <x:c r="H3327" t="str">
        <x:v>P013</x:v>
      </x:c>
      <x:c r="I3327" t="str">
        <x:v>Atta 10kg</x:v>
      </x:c>
      <x:c r="J3327" t="str">
        <x:v>Flour</x:v>
      </x:c>
      <x:c r="K3327" t="str">
        <x:v>Aashirvaad</x:v>
      </x:c>
      <x:c r="L3327" s="22" t="n">
        <x:v>560</x:v>
      </x:c>
      <x:c r="M3327" t="n">
        <x:v>18</x:v>
      </x:c>
      <x:c r="N3327" s="24" t="n">
        <x:v>0.05</x:v>
      </x:c>
      <x:c r="O3327" s="22" t="n">
        <x:f>L3327*M3327</x:f>
        <x:v>10080</x:v>
      </x:c>
      <x:c r="P3327" s="22" t="n">
        <x:f>O3327*(1-N3327)</x:f>
        <x:v>9576</x:v>
      </x:c>
      <x:c r="Q3327" s="22" t="n">
        <x:v>495</x:v>
      </x:c>
      <x:c r="R3327" s="22" t="n">
        <x:f>Q3327*M3327</x:f>
        <x:v>8910</x:v>
      </x:c>
      <x:c r="S3327" s="22" t="n">
        <x:f>P3327-R3327</x:f>
        <x:v>666</x:v>
      </x:c>
      <x:c r="T3327" t="str">
        <x:v>Bank Transfer</x:v>
      </x:c>
      <x:c r="U3327" t="str">
        <x:v>Paid</x:v>
      </x:c>
      <x:c r="V3327" t="str">
        <x:v>Delivered</x:v>
      </x:c>
      <x:c r="W3327" t="n">
        <x:v>0</x:v>
      </x:c>
      <x:c r="X3327" t="str"/>
      <x:c r="Y3327" t="str">
        <x:v>Existing Customer</x:v>
      </x:c>
    </x:row>
    <x:row r="3328">
      <x:c r="A3328" t="str">
        <x:v>O003327</x:v>
      </x:c>
      <x:c r="B3328" s="20" t="n">
        <x:v>46083</x:v>
      </x:c>
      <x:c r="C3328" t="str">
        <x:v>C0130</x:v>
      </x:c>
      <x:c r="D3328" t="str">
        <x:v>Foodie Cafe 130</x:v>
      </x:c>
      <x:c r="E3328" t="str">
        <x:v>Restaurant</x:v>
      </x:c>
      <x:c r="F3328" t="str">
        <x:v>Davanagere</x:v>
      </x:c>
      <x:c r="G3328" t="str">
        <x:v>Megha</x:v>
      </x:c>
      <x:c r="H3328" t="str">
        <x:v>P035</x:v>
      </x:c>
      <x:c r="I3328" t="str">
        <x:v>Coriander Powder 1kg</x:v>
      </x:c>
      <x:c r="J3328" t="str">
        <x:v>Spices</x:v>
      </x:c>
      <x:c r="K3328" t="str">
        <x:v>Everest</x:v>
      </x:c>
      <x:c r="L3328" s="22" t="n">
        <x:v>280</x:v>
      </x:c>
      <x:c r="M3328" t="n">
        <x:v>40</x:v>
      </x:c>
      <x:c r="N3328" s="24" t="n">
        <x:v>0.08</x:v>
      </x:c>
      <x:c r="O3328" s="22" t="n">
        <x:f>L3328*M3328</x:f>
        <x:v>11200</x:v>
      </x:c>
      <x:c r="P3328" s="22" t="n">
        <x:f>O3328*(1-N3328)</x:f>
        <x:v>10304</x:v>
      </x:c>
      <x:c r="Q3328" s="22" t="n">
        <x:v>245</x:v>
      </x:c>
      <x:c r="R3328" s="22" t="n">
        <x:f>Q3328*M3328</x:f>
        <x:v>9800</x:v>
      </x:c>
      <x:c r="S3328" s="22" t="n">
        <x:f>P3328-R3328</x:f>
        <x:v>504</x:v>
      </x:c>
      <x:c r="T3328" t="str">
        <x:v>UPI</x:v>
      </x:c>
      <x:c r="U3328" t="str">
        <x:v>Paid</x:v>
      </x:c>
      <x:c r="V3328" t="str">
        <x:v>Delivered</x:v>
      </x:c>
      <x:c r="W3328" t="n">
        <x:v>0</x:v>
      </x:c>
      <x:c r="X3328" t="str"/>
      <x:c r="Y3328" t="str">
        <x:v>Existing Customer</x:v>
      </x:c>
    </x:row>
    <x:row r="3329">
      <x:c r="A3329" t="str">
        <x:v>O003328</x:v>
      </x:c>
      <x:c r="B3329" s="20" t="n">
        <x:v>45873</x:v>
      </x:c>
      <x:c r="C3329" t="str">
        <x:v>C0115</x:v>
      </x:c>
      <x:c r="D3329" t="str">
        <x:v>Mysore Mart 115</x:v>
      </x:c>
      <x:c r="E3329" t="str">
        <x:v>Kirana</x:v>
      </x:c>
      <x:c r="F3329" t="str">
        <x:v>Mangaluru</x:v>
      </x:c>
      <x:c r="G3329" t="str">
        <x:v>Arjun</x:v>
      </x:c>
      <x:c r="H3329" t="str">
        <x:v>P021</x:v>
      </x:c>
      <x:c r="I3329" t="str">
        <x:v>Instant Coffee 200g</x:v>
      </x:c>
      <x:c r="J3329" t="str">
        <x:v>Beverage</x:v>
      </x:c>
      <x:c r="K3329" t="str">
        <x:v>Nescafe</x:v>
      </x:c>
      <x:c r="L3329" s="22" t="n">
        <x:v>460</x:v>
      </x:c>
      <x:c r="M3329" t="n">
        <x:v>34</x:v>
      </x:c>
      <x:c r="N3329" s="24" t="n">
        <x:v>0.02</x:v>
      </x:c>
      <x:c r="O3329" s="22" t="n">
        <x:f>L3329*M3329</x:f>
        <x:v>15640</x:v>
      </x:c>
      <x:c r="P3329" s="22" t="n">
        <x:f>O3329*(1-N3329)</x:f>
        <x:v>15327.199999999999</x:v>
      </x:c>
      <x:c r="Q3329" s="22" t="n">
        <x:v>410</x:v>
      </x:c>
      <x:c r="R3329" s="22" t="n">
        <x:f>Q3329*M3329</x:f>
        <x:v>13940</x:v>
      </x:c>
      <x:c r="S3329" s="22" t="n">
        <x:f>P3329-R3329</x:f>
        <x:v>1387.199999999999</x:v>
      </x:c>
      <x:c r="T3329" t="str">
        <x:v>UPI</x:v>
      </x:c>
      <x:c r="U3329" t="str">
        <x:v>Paid</x:v>
      </x:c>
      <x:c r="V3329" t="str">
        <x:v>Delivered</x:v>
      </x:c>
      <x:c r="W3329" t="n">
        <x:v>0</x:v>
      </x:c>
      <x:c r="X3329" t="str"/>
      <x:c r="Y3329" t="str">
        <x:v>Outbound Call</x:v>
      </x:c>
    </x:row>
    <x:row r="3330">
      <x:c r="A3330" t="str">
        <x:v>O003329</x:v>
      </x:c>
      <x:c r="B3330" s="20" t="n">
        <x:v>46036</x:v>
      </x:c>
      <x:c r="C3330" t="str">
        <x:v>C0077</x:v>
      </x:c>
      <x:c r="D3330" t="str">
        <x:v>Spice Cafe 77</x:v>
      </x:c>
      <x:c r="E3330" t="str">
        <x:v>Kirana</x:v>
      </x:c>
      <x:c r="F3330" t="str">
        <x:v>Hubballi</x:v>
      </x:c>
      <x:c r="G3330" t="str">
        <x:v>Vikram</x:v>
      </x:c>
      <x:c r="H3330" t="str">
        <x:v>P030</x:v>
      </x:c>
      <x:c r="I3330" t="str">
        <x:v>Mayonnaise 1kg</x:v>
      </x:c>
      <x:c r="J3330" t="str">
        <x:v>Condiments</x:v>
      </x:c>
      <x:c r="K3330" t="str">
        <x:v>Veeba</x:v>
      </x:c>
      <x:c r="L3330" s="22" t="n">
        <x:v>210</x:v>
      </x:c>
      <x:c r="M3330" t="n">
        <x:v>26</x:v>
      </x:c>
      <x:c r="N3330" s="24" t="n">
        <x:v>0</x:v>
      </x:c>
      <x:c r="O3330" s="22" t="n">
        <x:f>L3330*M3330</x:f>
        <x:v>5460</x:v>
      </x:c>
      <x:c r="P3330" s="22" t="n">
        <x:f>O3330*(1-N3330)</x:f>
        <x:v>5460</x:v>
      </x:c>
      <x:c r="Q3330" s="22" t="n">
        <x:v>185</x:v>
      </x:c>
      <x:c r="R3330" s="22" t="n">
        <x:f>Q3330*M3330</x:f>
        <x:v>4810</x:v>
      </x:c>
      <x:c r="S3330" s="22" t="n">
        <x:f>P3330-R3330</x:f>
        <x:v>650</x:v>
      </x:c>
      <x:c r="T3330" t="str">
        <x:v>UPI</x:v>
      </x:c>
      <x:c r="U3330" t="str">
        <x:v>Pending</x:v>
      </x:c>
      <x:c r="V3330" t="str">
        <x:v>Delivered</x:v>
      </x:c>
      <x:c r="W3330" t="n">
        <x:v>0</x:v>
      </x:c>
      <x:c r="X3330" t="str"/>
      <x:c r="Y3330" t="str">
        <x:v>Referral</x:v>
      </x:c>
    </x:row>
    <x:row r="3331">
      <x:c r="A3331" t="str">
        <x:v>O003330</x:v>
      </x:c>
      <x:c r="B3331" s="20" t="n">
        <x:v>45989</x:v>
      </x:c>
      <x:c r="C3331" t="str">
        <x:v>C0078</x:v>
      </x:c>
      <x:c r="D3331" t="str">
        <x:v>Sagar Canteen 78</x:v>
      </x:c>
      <x:c r="E3331" t="str">
        <x:v>Hotel</x:v>
      </x:c>
      <x:c r="F3331" t="str">
        <x:v>Mangaluru</x:v>
      </x:c>
      <x:c r="G3331" t="str">
        <x:v>Ramesh</x:v>
      </x:c>
      <x:c r="H3331" t="str">
        <x:v>P022</x:v>
      </x:c>
      <x:c r="I3331" t="str">
        <x:v>Mineral Water 1L</x:v>
      </x:c>
      <x:c r="J3331" t="str">
        <x:v>Beverage</x:v>
      </x:c>
      <x:c r="K3331" t="str">
        <x:v>Bisleri</x:v>
      </x:c>
      <x:c r="L3331" s="22" t="n">
        <x:v>19</x:v>
      </x:c>
      <x:c r="M3331" t="n">
        <x:v>19</x:v>
      </x:c>
      <x:c r="N3331" s="24" t="n">
        <x:v>0.03</x:v>
      </x:c>
      <x:c r="O3331" s="22" t="n">
        <x:f>L3331*M3331</x:f>
        <x:v>361</x:v>
      </x:c>
      <x:c r="P3331" s="22" t="n">
        <x:f>O3331*(1-N3331)</x:f>
        <x:v>350.17</x:v>
      </x:c>
      <x:c r="Q3331" s="22" t="n">
        <x:v>15</x:v>
      </x:c>
      <x:c r="R3331" s="22" t="n">
        <x:f>Q3331*M3331</x:f>
        <x:v>285</x:v>
      </x:c>
      <x:c r="S3331" s="22" t="n">
        <x:f>P3331-R3331</x:f>
        <x:v>65.17000000000002</x:v>
      </x:c>
      <x:c r="T3331" t="str">
        <x:v>Bank Transfer</x:v>
      </x:c>
      <x:c r="U3331" t="str">
        <x:v>Paid</x:v>
      </x:c>
      <x:c r="V3331" t="str">
        <x:v>Delivered</x:v>
      </x:c>
      <x:c r="W3331" t="n">
        <x:v>0</x:v>
      </x:c>
      <x:c r="X3331" t="str"/>
      <x:c r="Y3331" t="str">
        <x:v>Referral</x:v>
      </x:c>
    </x:row>
    <x:row r="3332">
      <x:c r="A3332" t="str">
        <x:v>O003331</x:v>
      </x:c>
      <x:c r="B3332" s="20" t="n">
        <x:v>45831</x:v>
      </x:c>
      <x:c r="C3332" t="str">
        <x:v>C0065</x:v>
      </x:c>
      <x:c r="D3332" t="str">
        <x:v>Mysore Stores 65</x:v>
      </x:c>
      <x:c r="E3332" t="str">
        <x:v>Kirana</x:v>
      </x:c>
      <x:c r="F3332" t="str">
        <x:v>Tumakuru</x:v>
      </x:c>
      <x:c r="G3332" t="str">
        <x:v>Sneha</x:v>
      </x:c>
      <x:c r="H3332" t="str">
        <x:v>P025</x:v>
      </x:c>
      <x:c r="I3332" t="str">
        <x:v>Potato Chips 100g</x:v>
      </x:c>
      <x:c r="J3332" t="str">
        <x:v>Snacks</x:v>
      </x:c>
      <x:c r="K3332" t="str">
        <x:v>Lay's</x:v>
      </x:c>
      <x:c r="L3332" s="22" t="n">
        <x:v>35</x:v>
      </x:c>
      <x:c r="M3332" t="n">
        <x:v>10</x:v>
      </x:c>
      <x:c r="N3332" s="24" t="n">
        <x:v>0.05</x:v>
      </x:c>
      <x:c r="O3332" s="22" t="n">
        <x:f>L3332*M3332</x:f>
        <x:v>350</x:v>
      </x:c>
      <x:c r="P3332" s="22" t="n">
        <x:f>O3332*(1-N3332)</x:f>
        <x:v>332.5</x:v>
      </x:c>
      <x:c r="Q3332" s="22" t="n">
        <x:v>27</x:v>
      </x:c>
      <x:c r="R3332" s="22" t="n">
        <x:f>Q3332*M3332</x:f>
        <x:v>270</x:v>
      </x:c>
      <x:c r="S3332" s="22" t="n">
        <x:f>P3332-R3332</x:f>
        <x:v>62.5</x:v>
      </x:c>
      <x:c r="T3332" t="str">
        <x:v>Cash</x:v>
      </x:c>
      <x:c r="U3332" t="str">
        <x:v>Paid</x:v>
      </x:c>
      <x:c r="V3332" t="str">
        <x:v>Delivered</x:v>
      </x:c>
      <x:c r="W3332" t="n">
        <x:v>0</x:v>
      </x:c>
      <x:c r="X3332" t="str"/>
      <x:c r="Y3332" t="str">
        <x:v>Referral</x:v>
      </x:c>
    </x:row>
    <x:row r="3333">
      <x:c r="A3333" t="str">
        <x:v>O003332</x:v>
      </x:c>
      <x:c r="B3333" s="20" t="n">
        <x:v>46052</x:v>
      </x:c>
      <x:c r="C3333" t="str">
        <x:v>C0059</x:v>
      </x:c>
      <x:c r="D3333" t="str">
        <x:v>Spice Foods 59</x:v>
      </x:c>
      <x:c r="E3333" t="str">
        <x:v>Hotel</x:v>
      </x:c>
      <x:c r="F3333" t="str">
        <x:v>Hubballi</x:v>
      </x:c>
      <x:c r="G3333" t="str">
        <x:v>Sneha</x:v>
      </x:c>
      <x:c r="H3333" t="str">
        <x:v>P018</x:v>
      </x:c>
      <x:c r="I3333" t="str">
        <x:v>Paneer 1kg</x:v>
      </x:c>
      <x:c r="J3333" t="str">
        <x:v>Dairy</x:v>
      </x:c>
      <x:c r="K3333" t="str">
        <x:v>Milky Mist</x:v>
      </x:c>
      <x:c r="L3333" s="22" t="n">
        <x:v>410</x:v>
      </x:c>
      <x:c r="M3333" t="n">
        <x:v>25</x:v>
      </x:c>
      <x:c r="N3333" s="24" t="n">
        <x:v>0.08</x:v>
      </x:c>
      <x:c r="O3333" s="22" t="n">
        <x:f>L3333*M3333</x:f>
        <x:v>10250</x:v>
      </x:c>
      <x:c r="P3333" s="22" t="n">
        <x:f>O3333*(1-N3333)</x:f>
        <x:v>9430</x:v>
      </x:c>
      <x:c r="Q3333" s="22" t="n">
        <x:v>370</x:v>
      </x:c>
      <x:c r="R3333" s="22" t="n">
        <x:f>Q3333*M3333</x:f>
        <x:v>9250</x:v>
      </x:c>
      <x:c r="S3333" s="22" t="n">
        <x:f>P3333-R3333</x:f>
        <x:v>180</x:v>
      </x:c>
      <x:c r="T3333" t="str">
        <x:v>Cash</x:v>
      </x:c>
      <x:c r="U3333" t="str">
        <x:v>Pending</x:v>
      </x:c>
      <x:c r="V3333" t="str">
        <x:v>Delivered</x:v>
      </x:c>
      <x:c r="W3333" t="n">
        <x:v>0</x:v>
      </x:c>
      <x:c r="X3333" t="str"/>
      <x:c r="Y3333" t="str">
        <x:v>Outbound Call</x:v>
      </x:c>
    </x:row>
    <x:row r="3334">
      <x:c r="A3334" t="str">
        <x:v>O003333</x:v>
      </x:c>
      <x:c r="B3334" s="20" t="n">
        <x:v>45709</x:v>
      </x:c>
      <x:c r="C3334" t="str">
        <x:v>C0013</x:v>
      </x:c>
      <x:c r="D3334" t="str">
        <x:v>Foodie Restaurant 13</x:v>
      </x:c>
      <x:c r="E3334" t="str">
        <x:v>Kirana</x:v>
      </x:c>
      <x:c r="F3334" t="str">
        <x:v>Mysuru</x:v>
      </x:c>
      <x:c r="G3334" t="str">
        <x:v>Sneha</x:v>
      </x:c>
      <x:c r="H3334" t="str">
        <x:v>P027</x:v>
      </x:c>
      <x:c r="I3334" t="str">
        <x:v>Biscuits 120g</x:v>
      </x:c>
      <x:c r="J3334" t="str">
        <x:v>Snacks</x:v>
      </x:c>
      <x:c r="K3334" t="str">
        <x:v>Parle-G</x:v>
      </x:c>
      <x:c r="L3334" s="22" t="n">
        <x:v>12</x:v>
      </x:c>
      <x:c r="M3334" t="n">
        <x:v>16</x:v>
      </x:c>
      <x:c r="N3334" s="24" t="n">
        <x:v>0.08</x:v>
      </x:c>
      <x:c r="O3334" s="22" t="n">
        <x:f>L3334*M3334</x:f>
        <x:v>192</x:v>
      </x:c>
      <x:c r="P3334" s="22" t="n">
        <x:f>O3334*(1-N3334)</x:f>
        <x:v>176.64000000000001</x:v>
      </x:c>
      <x:c r="Q3334" s="22" t="n">
        <x:v>9</x:v>
      </x:c>
      <x:c r="R3334" s="22" t="n">
        <x:f>Q3334*M3334</x:f>
        <x:v>144</x:v>
      </x:c>
      <x:c r="S3334" s="22" t="n">
        <x:f>P3334-R3334</x:f>
        <x:v>32.640000000000015</x:v>
      </x:c>
      <x:c r="T3334" t="str">
        <x:v>UPI</x:v>
      </x:c>
      <x:c r="U3334" t="str">
        <x:v>Paid</x:v>
      </x:c>
      <x:c r="V3334" t="str">
        <x:v>Delayed</x:v>
      </x:c>
      <x:c r="W3334" t="n">
        <x:v>0</x:v>
      </x:c>
      <x:c r="X3334" t="str"/>
      <x:c r="Y3334" t="str">
        <x:v>Field Visit</x:v>
      </x:c>
    </x:row>
    <x:row r="3335">
      <x:c r="A3335" t="str">
        <x:v>O003334</x:v>
      </x:c>
      <x:c r="B3335" s="20" t="n">
        <x:v>45794</x:v>
      </x:c>
      <x:c r="C3335" t="str">
        <x:v>C0049</x:v>
      </x:c>
      <x:c r="D3335" t="str">
        <x:v>Namma Stores 49</x:v>
      </x:c>
      <x:c r="E3335" t="str">
        <x:v>Hotel</x:v>
      </x:c>
      <x:c r="F3335" t="str">
        <x:v>Mangaluru</x:v>
      </x:c>
      <x:c r="G3335" t="str">
        <x:v>Sneha</x:v>
      </x:c>
      <x:c r="H3335" t="str">
        <x:v>P022</x:v>
      </x:c>
      <x:c r="I3335" t="str">
        <x:v>Mineral Water 1L</x:v>
      </x:c>
      <x:c r="J3335" t="str">
        <x:v>Beverage</x:v>
      </x:c>
      <x:c r="K3335" t="str">
        <x:v>Bisleri</x:v>
      </x:c>
      <x:c r="L3335" s="22" t="n">
        <x:v>19</x:v>
      </x:c>
      <x:c r="M3335" t="n">
        <x:v>5</x:v>
      </x:c>
      <x:c r="N3335" s="24" t="n">
        <x:v>0.02</x:v>
      </x:c>
      <x:c r="O3335" s="22" t="n">
        <x:f>L3335*M3335</x:f>
        <x:v>95</x:v>
      </x:c>
      <x:c r="P3335" s="22" t="n">
        <x:f>O3335*(1-N3335)</x:f>
        <x:v>93.1</x:v>
      </x:c>
      <x:c r="Q3335" s="22" t="n">
        <x:v>15</x:v>
      </x:c>
      <x:c r="R3335" s="22" t="n">
        <x:f>Q3335*M3335</x:f>
        <x:v>75</x:v>
      </x:c>
      <x:c r="S3335" s="22" t="n">
        <x:f>P3335-R3335</x:f>
        <x:v>18.099999999999994</x:v>
      </x:c>
      <x:c r="T3335" t="str">
        <x:v>UPI</x:v>
      </x:c>
      <x:c r="U3335" t="str">
        <x:v>Pending</x:v>
      </x:c>
      <x:c r="V3335" t="str">
        <x:v>Delivered</x:v>
      </x:c>
      <x:c r="W3335" t="n">
        <x:v>0</x:v>
      </x:c>
      <x:c r="X3335" t="str"/>
      <x:c r="Y3335" t="str">
        <x:v>Referral</x:v>
      </x:c>
    </x:row>
    <x:row r="3336">
      <x:c r="A3336" t="str">
        <x:v>O003335</x:v>
      </x:c>
      <x:c r="B3336" s="20" t="n">
        <x:v>46004</x:v>
      </x:c>
      <x:c r="C3336" t="str">
        <x:v>C0028</x:v>
      </x:c>
      <x:c r="D3336" t="str">
        <x:v>Spice Cafe 28</x:v>
      </x:c>
      <x:c r="E3336" t="str">
        <x:v>Supermarket</x:v>
      </x:c>
      <x:c r="F3336" t="str">
        <x:v>Mysuru</x:v>
      </x:c>
      <x:c r="G3336" t="str">
        <x:v>Vikram</x:v>
      </x:c>
      <x:c r="H3336" t="str">
        <x:v>P032</x:v>
      </x:c>
      <x:c r="I3336" t="str">
        <x:v>Soy Sauce 700g</x:v>
      </x:c>
      <x:c r="J3336" t="str">
        <x:v>Condiments</x:v>
      </x:c>
      <x:c r="K3336" t="str">
        <x:v>Ching's</x:v>
      </x:c>
      <x:c r="L3336" s="22" t="n">
        <x:v>118</x:v>
      </x:c>
      <x:c r="M3336" t="n">
        <x:v>26</x:v>
      </x:c>
      <x:c r="N3336" s="24" t="n">
        <x:v>0</x:v>
      </x:c>
      <x:c r="O3336" s="22" t="n">
        <x:f>L3336*M3336</x:f>
        <x:v>3068</x:v>
      </x:c>
      <x:c r="P3336" s="22" t="n">
        <x:f>O3336*(1-N3336)</x:f>
        <x:v>3068</x:v>
      </x:c>
      <x:c r="Q3336" s="22" t="n">
        <x:v>101</x:v>
      </x:c>
      <x:c r="R3336" s="22" t="n">
        <x:f>Q3336*M3336</x:f>
        <x:v>2626</x:v>
      </x:c>
      <x:c r="S3336" s="22" t="n">
        <x:f>P3336-R3336</x:f>
        <x:v>442</x:v>
      </x:c>
      <x:c r="T3336" t="str">
        <x:v>UPI</x:v>
      </x:c>
      <x:c r="U3336" t="str">
        <x:v>Pending</x:v>
      </x:c>
      <x:c r="V3336" t="str">
        <x:v>Delivered</x:v>
      </x:c>
      <x:c r="W3336" t="n">
        <x:v>0</x:v>
      </x:c>
      <x:c r="X3336" t="str"/>
      <x:c r="Y3336" t="str">
        <x:v>Outbound Call</x:v>
      </x:c>
    </x:row>
    <x:row r="3337">
      <x:c r="A3337" t="str">
        <x:v>O003336</x:v>
      </x:c>
      <x:c r="B3337" s="20" t="n">
        <x:v>45934</x:v>
      </x:c>
      <x:c r="C3337" t="str">
        <x:v>C0245</x:v>
      </x:c>
      <x:c r="D3337" t="str">
        <x:v>Udupi Cafe 245</x:v>
      </x:c>
      <x:c r="E3337" t="str">
        <x:v>Canteen</x:v>
      </x:c>
      <x:c r="F3337" t="str">
        <x:v>Bengaluru</x:v>
      </x:c>
      <x:c r="G3337" t="str">
        <x:v>Priya</x:v>
      </x:c>
      <x:c r="H3337" t="str">
        <x:v>P022</x:v>
      </x:c>
      <x:c r="I3337" t="str">
        <x:v>Mineral Water 1L</x:v>
      </x:c>
      <x:c r="J3337" t="str">
        <x:v>Beverage</x:v>
      </x:c>
      <x:c r="K3337" t="str">
        <x:v>Bisleri</x:v>
      </x:c>
      <x:c r="L3337" s="22" t="n">
        <x:v>19</x:v>
      </x:c>
      <x:c r="M3337" t="n">
        <x:v>8</x:v>
      </x:c>
      <x:c r="N3337" s="24" t="n">
        <x:v>0</x:v>
      </x:c>
      <x:c r="O3337" s="22" t="n">
        <x:f>L3337*M3337</x:f>
        <x:v>152</x:v>
      </x:c>
      <x:c r="P3337" s="22" t="n">
        <x:f>O3337*(1-N3337)</x:f>
        <x:v>152</x:v>
      </x:c>
      <x:c r="Q3337" s="22" t="n">
        <x:v>15</x:v>
      </x:c>
      <x:c r="R3337" s="22" t="n">
        <x:f>Q3337*M3337</x:f>
        <x:v>120</x:v>
      </x:c>
      <x:c r="S3337" s="22" t="n">
        <x:f>P3337-R3337</x:f>
        <x:v>32</x:v>
      </x:c>
      <x:c r="T3337" t="str">
        <x:v>Bank Transfer</x:v>
      </x:c>
      <x:c r="U3337" t="str">
        <x:v>Paid</x:v>
      </x:c>
      <x:c r="V3337" t="str">
        <x:v>Delivered</x:v>
      </x:c>
      <x:c r="W3337" t="n">
        <x:v>0</x:v>
      </x:c>
      <x:c r="X3337" t="str"/>
      <x:c r="Y3337" t="str">
        <x:v>Outbound Call</x:v>
      </x:c>
    </x:row>
    <x:row r="3338">
      <x:c r="A3338" t="str">
        <x:v>O003337</x:v>
      </x:c>
      <x:c r="B3338" s="20" t="n">
        <x:v>45726</x:v>
      </x:c>
      <x:c r="C3338" t="str">
        <x:v>C0088</x:v>
      </x:c>
      <x:c r="D3338" t="str">
        <x:v>Darshini Kitchen 88</x:v>
      </x:c>
      <x:c r="E3338" t="str">
        <x:v>Cafe</x:v>
      </x:c>
      <x:c r="F3338" t="str">
        <x:v>Tumakuru</x:v>
      </x:c>
      <x:c r="G3338" t="str">
        <x:v>Arjun</x:v>
      </x:c>
      <x:c r="H3338" t="str">
        <x:v>P039</x:v>
      </x:c>
      <x:c r="I3338" t="str">
        <x:v>Ice Cream 4L</x:v>
      </x:c>
      <x:c r="J3338" t="str">
        <x:v>Frozen</x:v>
      </x:c>
      <x:c r="K3338" t="str">
        <x:v>Amul</x:v>
      </x:c>
      <x:c r="L3338" s="22" t="n">
        <x:v>480</x:v>
      </x:c>
      <x:c r="M3338" t="n">
        <x:v>22</x:v>
      </x:c>
      <x:c r="N3338" s="24" t="n">
        <x:v>0.08</x:v>
      </x:c>
      <x:c r="O3338" s="22" t="n">
        <x:f>L3338*M3338</x:f>
        <x:v>10560</x:v>
      </x:c>
      <x:c r="P3338" s="22" t="n">
        <x:f>O3338*(1-N3338)</x:f>
        <x:v>9715.2</x:v>
      </x:c>
      <x:c r="Q3338" s="22" t="n">
        <x:v>420</x:v>
      </x:c>
      <x:c r="R3338" s="22" t="n">
        <x:f>Q3338*M3338</x:f>
        <x:v>9240</x:v>
      </x:c>
      <x:c r="S3338" s="22" t="n">
        <x:f>P3338-R3338</x:f>
        <x:v>475.2000000000007</x:v>
      </x:c>
      <x:c r="T3338" t="str">
        <x:v>Cash</x:v>
      </x:c>
      <x:c r="U3338" t="str">
        <x:v>Paid</x:v>
      </x:c>
      <x:c r="V3338" t="str">
        <x:v>Delivered</x:v>
      </x:c>
      <x:c r="W3338" t="n">
        <x:v>0</x:v>
      </x:c>
      <x:c r="X3338" t="str"/>
      <x:c r="Y3338" t="str">
        <x:v>Outbound Call</x:v>
      </x:c>
    </x:row>
    <x:row r="3339">
      <x:c r="A3339" t="str">
        <x:v>O003338</x:v>
      </x:c>
      <x:c r="B3339" s="20" t="n">
        <x:v>46219</x:v>
      </x:c>
      <x:c r="C3339" t="str">
        <x:v>C0187</x:v>
      </x:c>
      <x:c r="D3339" t="str">
        <x:v>City Cafe 187</x:v>
      </x:c>
      <x:c r="E3339" t="str">
        <x:v>Hotel</x:v>
      </x:c>
      <x:c r="F3339" t="str">
        <x:v>Mysuru</x:v>
      </x:c>
      <x:c r="G3339" t="str">
        <x:v>Priya</x:v>
      </x:c>
      <x:c r="H3339" t="str">
        <x:v>P031</x:v>
      </x:c>
      <x:c r="I3339" t="str">
        <x:v>Chilli Sauce 700g</x:v>
      </x:c>
      <x:c r="J3339" t="str">
        <x:v>Condiments</x:v>
      </x:c>
      <x:c r="K3339" t="str">
        <x:v>Ching's</x:v>
      </x:c>
      <x:c r="L3339" s="22" t="n">
        <x:v>130</x:v>
      </x:c>
      <x:c r="M3339" t="n">
        <x:v>11</x:v>
      </x:c>
      <x:c r="N3339" s="24" t="n">
        <x:v>0.03</x:v>
      </x:c>
      <x:c r="O3339" s="22" t="n">
        <x:f>L3339*M3339</x:f>
        <x:v>1430</x:v>
      </x:c>
      <x:c r="P3339" s="22" t="n">
        <x:f>O3339*(1-N3339)</x:f>
        <x:v>1387.1</x:v>
      </x:c>
      <x:c r="Q3339" s="22" t="n">
        <x:v>112</x:v>
      </x:c>
      <x:c r="R3339" s="22" t="n">
        <x:f>Q3339*M3339</x:f>
        <x:v>1232</x:v>
      </x:c>
      <x:c r="S3339" s="22" t="n">
        <x:f>P3339-R3339</x:f>
        <x:v>155.0999999999999</x:v>
      </x:c>
      <x:c r="T3339" t="str">
        <x:v>Cash</x:v>
      </x:c>
      <x:c r="U3339" t="str">
        <x:v>Paid</x:v>
      </x:c>
      <x:c r="V3339" t="str">
        <x:v>Delivered</x:v>
      </x:c>
      <x:c r="W3339" t="n">
        <x:v>0</x:v>
      </x:c>
      <x:c r="X3339" t="str"/>
      <x:c r="Y3339" t="str">
        <x:v>Referral</x:v>
      </x:c>
    </x:row>
    <x:row r="3340">
      <x:c r="A3340" t="str">
        <x:v>O003339</x:v>
      </x:c>
      <x:c r="B3340" s="20" t="n">
        <x:v>45763</x:v>
      </x:c>
      <x:c r="C3340" t="str">
        <x:v>C0150</x:v>
      </x:c>
      <x:c r="D3340" t="str">
        <x:v>Sagar Kitchen 150</x:v>
      </x:c>
      <x:c r="E3340" t="str">
        <x:v>Kirana</x:v>
      </x:c>
      <x:c r="F3340" t="str">
        <x:v>Hubballi</x:v>
      </x:c>
      <x:c r="G3340" t="str">
        <x:v>Ramesh</x:v>
      </x:c>
      <x:c r="H3340" t="str">
        <x:v>P008</x:v>
      </x:c>
      <x:c r="I3340" t="str">
        <x:v>Palm Oil 15L</x:v>
      </x:c>
      <x:c r="J3340" t="str">
        <x:v>Edible Oil</x:v>
      </x:c>
      <x:c r="K3340" t="str">
        <x:v>Ruchi Gold</x:v>
      </x:c>
      <x:c r="L3340" s="22" t="n">
        <x:v>1760</x:v>
      </x:c>
      <x:c r="M3340" t="n">
        <x:v>3</x:v>
      </x:c>
      <x:c r="N3340" s="24" t="n">
        <x:v>0.03</x:v>
      </x:c>
      <x:c r="O3340" s="22" t="n">
        <x:f>L3340*M3340</x:f>
        <x:v>5280</x:v>
      </x:c>
      <x:c r="P3340" s="22" t="n">
        <x:f>O3340*(1-N3340)</x:f>
        <x:v>5121.599999999999</x:v>
      </x:c>
      <x:c r="Q3340" s="22" t="n">
        <x:v>1610</x:v>
      </x:c>
      <x:c r="R3340" s="22" t="n">
        <x:f>Q3340*M3340</x:f>
        <x:v>4830</x:v>
      </x:c>
      <x:c r="S3340" s="22" t="n">
        <x:f>P3340-R3340</x:f>
        <x:v>291.59999999999945</x:v>
      </x:c>
      <x:c r="T3340" t="str">
        <x:v>Cash</x:v>
      </x:c>
      <x:c r="U3340" t="str">
        <x:v>Paid</x:v>
      </x:c>
      <x:c r="V3340" t="str">
        <x:v>Delivered</x:v>
      </x:c>
      <x:c r="W3340" t="n">
        <x:v>0</x:v>
      </x:c>
      <x:c r="X3340" t="str"/>
      <x:c r="Y3340" t="str">
        <x:v>Outbound Call</x:v>
      </x:c>
    </x:row>
    <x:row r="3341">
      <x:c r="A3341" t="str">
        <x:v>O003340</x:v>
      </x:c>
      <x:c r="B3341" s="20" t="n">
        <x:v>46028</x:v>
      </x:c>
      <x:c r="C3341" t="str">
        <x:v>C0056</x:v>
      </x:c>
      <x:c r="D3341" t="str">
        <x:v>City Stores 56</x:v>
      </x:c>
      <x:c r="E3341" t="str">
        <x:v>Canteen</x:v>
      </x:c>
      <x:c r="F3341" t="str">
        <x:v>Davanagere</x:v>
      </x:c>
      <x:c r="G3341" t="str">
        <x:v>Imran</x:v>
      </x:c>
      <x:c r="H3341" t="str">
        <x:v>P033</x:v>
      </x:c>
      <x:c r="I3341" t="str">
        <x:v>Turmeric Powder 1kg</x:v>
      </x:c>
      <x:c r="J3341" t="str">
        <x:v>Spices</x:v>
      </x:c>
      <x:c r="K3341" t="str">
        <x:v>Everest</x:v>
      </x:c>
      <x:c r="L3341" s="22" t="n">
        <x:v>310</x:v>
      </x:c>
      <x:c r="M3341" t="n">
        <x:v>26</x:v>
      </x:c>
      <x:c r="N3341" s="24" t="n">
        <x:v>0.08</x:v>
      </x:c>
      <x:c r="O3341" s="22" t="n">
        <x:f>L3341*M3341</x:f>
        <x:v>8060</x:v>
      </x:c>
      <x:c r="P3341" s="22" t="n">
        <x:f>O3341*(1-N3341)</x:f>
        <x:v>7415.200000000001</x:v>
      </x:c>
      <x:c r="Q3341" s="22" t="n">
        <x:v>270</x:v>
      </x:c>
      <x:c r="R3341" s="22" t="n">
        <x:f>Q3341*M3341</x:f>
        <x:v>7020</x:v>
      </x:c>
      <x:c r="S3341" s="22" t="n">
        <x:f>P3341-R3341</x:f>
        <x:v>395.2000000000007</x:v>
      </x:c>
      <x:c r="T3341" t="str">
        <x:v>Bank Transfer</x:v>
      </x:c>
      <x:c r="U3341" t="str">
        <x:v>Paid</x:v>
      </x:c>
      <x:c r="V3341" t="str">
        <x:v>Delivered</x:v>
      </x:c>
      <x:c r="W3341" t="n">
        <x:v>0</x:v>
      </x:c>
      <x:c r="X3341" t="str"/>
      <x:c r="Y3341" t="str">
        <x:v>WhatsApp</x:v>
      </x:c>
    </x:row>
    <x:row r="3342">
      <x:c r="A3342" t="str">
        <x:v>O003341</x:v>
      </x:c>
      <x:c r="B3342" s="20" t="n">
        <x:v>45824</x:v>
      </x:c>
      <x:c r="C3342" t="str">
        <x:v>C0002</x:v>
      </x:c>
      <x:c r="D3342" t="str">
        <x:v>City Kitchen 2</x:v>
      </x:c>
      <x:c r="E3342" t="str">
        <x:v>Kirana</x:v>
      </x:c>
      <x:c r="F3342" t="str">
        <x:v>Davanagere</x:v>
      </x:c>
      <x:c r="G3342" t="str">
        <x:v>Arjun</x:v>
      </x:c>
      <x:c r="H3342" t="str">
        <x:v>P008</x:v>
      </x:c>
      <x:c r="I3342" t="str">
        <x:v>Palm Oil 15L</x:v>
      </x:c>
      <x:c r="J3342" t="str">
        <x:v>Edible Oil</x:v>
      </x:c>
      <x:c r="K3342" t="str">
        <x:v>Ruchi Gold</x:v>
      </x:c>
      <x:c r="L3342" s="22" t="n">
        <x:v>1760</x:v>
      </x:c>
      <x:c r="M3342" t="n">
        <x:v>2</x:v>
      </x:c>
      <x:c r="N3342" s="24" t="n">
        <x:v>0.03</x:v>
      </x:c>
      <x:c r="O3342" s="22" t="n">
        <x:f>L3342*M3342</x:f>
        <x:v>3520</x:v>
      </x:c>
      <x:c r="P3342" s="22" t="n">
        <x:f>O3342*(1-N3342)</x:f>
        <x:v>3414.4</x:v>
      </x:c>
      <x:c r="Q3342" s="22" t="n">
        <x:v>1610</x:v>
      </x:c>
      <x:c r="R3342" s="22" t="n">
        <x:f>Q3342*M3342</x:f>
        <x:v>3220</x:v>
      </x:c>
      <x:c r="S3342" s="22" t="n">
        <x:f>P3342-R3342</x:f>
        <x:v>194.4000000000001</x:v>
      </x:c>
      <x:c r="T3342" t="str">
        <x:v>UPI</x:v>
      </x:c>
      <x:c r="U3342" t="str">
        <x:v>Paid</x:v>
      </x:c>
      <x:c r="V3342" t="str">
        <x:v>Delayed</x:v>
      </x:c>
      <x:c r="W3342" t="n">
        <x:v>0</x:v>
      </x:c>
      <x:c r="X3342" t="str"/>
      <x:c r="Y3342" t="str">
        <x:v>Existing Customer</x:v>
      </x:c>
    </x:row>
    <x:row r="3343">
      <x:c r="A3343" t="str">
        <x:v>O003342</x:v>
      </x:c>
      <x:c r="B3343" s="20" t="n">
        <x:v>46104</x:v>
      </x:c>
      <x:c r="C3343" t="str">
        <x:v>C0180</x:v>
      </x:c>
      <x:c r="D3343" t="str">
        <x:v>Sri Kitchen 180</x:v>
      </x:c>
      <x:c r="E3343" t="str">
        <x:v>Kirana</x:v>
      </x:c>
      <x:c r="F3343" t="str">
        <x:v>Mysuru</x:v>
      </x:c>
      <x:c r="G3343" t="str">
        <x:v>Vikram</x:v>
      </x:c>
      <x:c r="H3343" t="str">
        <x:v>P020</x:v>
      </x:c>
      <x:c r="I3343" t="str">
        <x:v>Coffee 500g</x:v>
      </x:c>
      <x:c r="J3343" t="str">
        <x:v>Beverage</x:v>
      </x:c>
      <x:c r="K3343" t="str">
        <x:v>Bru</x:v>
      </x:c>
      <x:c r="L3343" s="22" t="n">
        <x:v>390</x:v>
      </x:c>
      <x:c r="M3343" t="n">
        <x:v>40</x:v>
      </x:c>
      <x:c r="N3343" s="24" t="n">
        <x:v>0.1</x:v>
      </x:c>
      <x:c r="O3343" s="22" t="n">
        <x:f>L3343*M3343</x:f>
        <x:v>15600</x:v>
      </x:c>
      <x:c r="P3343" s="22" t="n">
        <x:f>O3343*(1-N3343)</x:f>
        <x:v>14040</x:v>
      </x:c>
      <x:c r="Q3343" s="22" t="n">
        <x:v>350</x:v>
      </x:c>
      <x:c r="R3343" s="22" t="n">
        <x:f>Q3343*M3343</x:f>
        <x:v>14000</x:v>
      </x:c>
      <x:c r="S3343" s="22" t="n">
        <x:f>P3343-R3343</x:f>
        <x:v>40</x:v>
      </x:c>
      <x:c r="T3343" t="str">
        <x:v>Credit</x:v>
      </x:c>
      <x:c r="U3343" t="str">
        <x:v>Paid</x:v>
      </x:c>
      <x:c r="V3343" t="str">
        <x:v>Delayed</x:v>
      </x:c>
      <x:c r="W3343" t="n">
        <x:v>0</x:v>
      </x:c>
      <x:c r="X3343" t="str"/>
      <x:c r="Y3343" t="str">
        <x:v>Field Visit</x:v>
      </x:c>
    </x:row>
    <x:row r="3344">
      <x:c r="A3344" t="str">
        <x:v>O003343</x:v>
      </x:c>
      <x:c r="B3344" s="20" t="n">
        <x:v>45808</x:v>
      </x:c>
      <x:c r="C3344" t="str">
        <x:v>C0177</x:v>
      </x:c>
      <x:c r="D3344" t="str">
        <x:v>Classic Cafe 177</x:v>
      </x:c>
      <x:c r="E3344" t="str">
        <x:v>Supermarket</x:v>
      </x:c>
      <x:c r="F3344" t="str">
        <x:v>Bengaluru</x:v>
      </x:c>
      <x:c r="G3344" t="str">
        <x:v>Arjun</x:v>
      </x:c>
      <x:c r="H3344" t="str">
        <x:v>P035</x:v>
      </x:c>
      <x:c r="I3344" t="str">
        <x:v>Coriander Powder 1kg</x:v>
      </x:c>
      <x:c r="J3344" t="str">
        <x:v>Spices</x:v>
      </x:c>
      <x:c r="K3344" t="str">
        <x:v>Everest</x:v>
      </x:c>
      <x:c r="L3344" s="22" t="n">
        <x:v>280</x:v>
      </x:c>
      <x:c r="M3344" t="n">
        <x:v>30</x:v>
      </x:c>
      <x:c r="N3344" s="24" t="n">
        <x:v>0</x:v>
      </x:c>
      <x:c r="O3344" s="22" t="n">
        <x:f>L3344*M3344</x:f>
        <x:v>8400</x:v>
      </x:c>
      <x:c r="P3344" s="22" t="n">
        <x:f>O3344*(1-N3344)</x:f>
        <x:v>8400</x:v>
      </x:c>
      <x:c r="Q3344" s="22" t="n">
        <x:v>245</x:v>
      </x:c>
      <x:c r="R3344" s="22" t="n">
        <x:f>Q3344*M3344</x:f>
        <x:v>7350</x:v>
      </x:c>
      <x:c r="S3344" s="22" t="n">
        <x:f>P3344-R3344</x:f>
        <x:v>1050</x:v>
      </x:c>
      <x:c r="T3344" t="str">
        <x:v>UPI</x:v>
      </x:c>
      <x:c r="U3344" t="str">
        <x:v>Paid</x:v>
      </x:c>
      <x:c r="V3344" t="str">
        <x:v>Delivered</x:v>
      </x:c>
      <x:c r="W3344" t="n">
        <x:v>0</x:v>
      </x:c>
      <x:c r="X3344" t="str"/>
      <x:c r="Y3344" t="str">
        <x:v>Field Visit</x:v>
      </x:c>
    </x:row>
    <x:row r="3345">
      <x:c r="A3345" t="str">
        <x:v>O003344</x:v>
      </x:c>
      <x:c r="B3345" s="20" t="n">
        <x:v>46084</x:v>
      </x:c>
      <x:c r="C3345" t="str">
        <x:v>C0244</x:v>
      </x:c>
      <x:c r="D3345" t="str">
        <x:v>Namma Hotel 244</x:v>
      </x:c>
      <x:c r="E3345" t="str">
        <x:v>Kirana</x:v>
      </x:c>
      <x:c r="F3345" t="str">
        <x:v>Tumakuru</x:v>
      </x:c>
      <x:c r="G3345" t="str">
        <x:v>Sneha</x:v>
      </x:c>
      <x:c r="H3345" t="str">
        <x:v>P007</x:v>
      </x:c>
      <x:c r="I3345" t="str">
        <x:v>Sunflower Oil 15L</x:v>
      </x:c>
      <x:c r="J3345" t="str">
        <x:v>Edible Oil</x:v>
      </x:c>
      <x:c r="K3345" t="str">
        <x:v>Fortune</x:v>
      </x:c>
      <x:c r="L3345" s="22" t="n">
        <x:v>1980</x:v>
      </x:c>
      <x:c r="M3345" t="n">
        <x:v>5</x:v>
      </x:c>
      <x:c r="N3345" s="24" t="n">
        <x:v>0.05</x:v>
      </x:c>
      <x:c r="O3345" s="22" t="n">
        <x:f>L3345*M3345</x:f>
        <x:v>9900</x:v>
      </x:c>
      <x:c r="P3345" s="22" t="n">
        <x:f>O3345*(1-N3345)</x:f>
        <x:v>9405</x:v>
      </x:c>
      <x:c r="Q3345" s="22" t="n">
        <x:v>1810</x:v>
      </x:c>
      <x:c r="R3345" s="22" t="n">
        <x:f>Q3345*M3345</x:f>
        <x:v>9050</x:v>
      </x:c>
      <x:c r="S3345" s="22" t="n">
        <x:f>P3345-R3345</x:f>
        <x:v>355</x:v>
      </x:c>
      <x:c r="T3345" t="str">
        <x:v>UPI</x:v>
      </x:c>
      <x:c r="U3345" t="str">
        <x:v>Overdue</x:v>
      </x:c>
      <x:c r="V3345" t="str">
        <x:v>Delivered</x:v>
      </x:c>
      <x:c r="W3345" t="n">
        <x:v>0</x:v>
      </x:c>
      <x:c r="X3345" t="str"/>
      <x:c r="Y3345" t="str">
        <x:v>Referral</x:v>
      </x:c>
    </x:row>
    <x:row r="3346">
      <x:c r="A3346" t="str">
        <x:v>O003345</x:v>
      </x:c>
      <x:c r="B3346" s="20" t="n">
        <x:v>45684</x:v>
      </x:c>
      <x:c r="C3346" t="str">
        <x:v>C0144</x:v>
      </x:c>
      <x:c r="D3346" t="str">
        <x:v>Namma Foods 144</x:v>
      </x:c>
      <x:c r="E3346" t="str">
        <x:v>Restaurant</x:v>
      </x:c>
      <x:c r="F3346" t="str">
        <x:v>Tumakuru</x:v>
      </x:c>
      <x:c r="G3346" t="str">
        <x:v>Arjun</x:v>
      </x:c>
      <x:c r="H3346" t="str">
        <x:v>P042</x:v>
      </x:c>
      <x:c r="I3346" t="str">
        <x:v>Eggs 30pc Tray</x:v>
      </x:c>
      <x:c r="J3346" t="str">
        <x:v>Protein</x:v>
      </x:c>
      <x:c r="K3346" t="str">
        <x:v>Farm Fresh</x:v>
      </x:c>
      <x:c r="L3346" s="22" t="n">
        <x:v>195</x:v>
      </x:c>
      <x:c r="M3346" t="n">
        <x:v>7</x:v>
      </x:c>
      <x:c r="N3346" s="24" t="n">
        <x:v>0</x:v>
      </x:c>
      <x:c r="O3346" s="22" t="n">
        <x:f>L3346*M3346</x:f>
        <x:v>1365</x:v>
      </x:c>
      <x:c r="P3346" s="22" t="n">
        <x:f>O3346*(1-N3346)</x:f>
        <x:v>1365</x:v>
      </x:c>
      <x:c r="Q3346" s="22" t="n">
        <x:v>170</x:v>
      </x:c>
      <x:c r="R3346" s="22" t="n">
        <x:f>Q3346*M3346</x:f>
        <x:v>1190</x:v>
      </x:c>
      <x:c r="S3346" s="22" t="n">
        <x:f>P3346-R3346</x:f>
        <x:v>175</x:v>
      </x:c>
      <x:c r="T3346" t="str">
        <x:v>UPI</x:v>
      </x:c>
      <x:c r="U3346" t="str">
        <x:v>Paid</x:v>
      </x:c>
      <x:c r="V3346" t="str">
        <x:v>Delivered</x:v>
      </x:c>
      <x:c r="W3346" t="n">
        <x:v>0</x:v>
      </x:c>
      <x:c r="X3346" t="str"/>
      <x:c r="Y3346" t="str">
        <x:v>Field Visit</x:v>
      </x:c>
    </x:row>
    <x:row r="3347">
      <x:c r="A3347" t="str">
        <x:v>O003346</x:v>
      </x:c>
      <x:c r="B3347" s="20" t="n">
        <x:v>45832</x:v>
      </x:c>
      <x:c r="C3347" t="str">
        <x:v>C0225</x:v>
      </x:c>
      <x:c r="D3347" t="str">
        <x:v>Darshini Mart 225</x:v>
      </x:c>
      <x:c r="E3347" t="str">
        <x:v>Restaurant</x:v>
      </x:c>
      <x:c r="F3347" t="str">
        <x:v>Davanagere</x:v>
      </x:c>
      <x:c r="G3347" t="str">
        <x:v>Kavya</x:v>
      </x:c>
      <x:c r="H3347" t="str">
        <x:v>P035</x:v>
      </x:c>
      <x:c r="I3347" t="str">
        <x:v>Coriander Powder 1kg</x:v>
      </x:c>
      <x:c r="J3347" t="str">
        <x:v>Spices</x:v>
      </x:c>
      <x:c r="K3347" t="str">
        <x:v>Everest</x:v>
      </x:c>
      <x:c r="L3347" s="22" t="n">
        <x:v>280</x:v>
      </x:c>
      <x:c r="M3347" t="n">
        <x:v>16</x:v>
      </x:c>
      <x:c r="N3347" s="24" t="n">
        <x:v>0.02</x:v>
      </x:c>
      <x:c r="O3347" s="22" t="n">
        <x:f>L3347*M3347</x:f>
        <x:v>4480</x:v>
      </x:c>
      <x:c r="P3347" s="22" t="n">
        <x:f>O3347*(1-N3347)</x:f>
        <x:v>4390.4</x:v>
      </x:c>
      <x:c r="Q3347" s="22" t="n">
        <x:v>245</x:v>
      </x:c>
      <x:c r="R3347" s="22" t="n">
        <x:f>Q3347*M3347</x:f>
        <x:v>3920</x:v>
      </x:c>
      <x:c r="S3347" s="22" t="n">
        <x:f>P3347-R3347</x:f>
        <x:v>470.39999999999964</x:v>
      </x:c>
      <x:c r="T3347" t="str">
        <x:v>Cash</x:v>
      </x:c>
      <x:c r="U3347" t="str">
        <x:v>Overdue</x:v>
      </x:c>
      <x:c r="V3347" t="str">
        <x:v>Delivered</x:v>
      </x:c>
      <x:c r="W3347" t="n">
        <x:v>0</x:v>
      </x:c>
      <x:c r="X3347" t="str"/>
      <x:c r="Y3347" t="str">
        <x:v>Referral</x:v>
      </x:c>
    </x:row>
    <x:row r="3348">
      <x:c r="A3348" t="str">
        <x:v>O003347</x:v>
      </x:c>
      <x:c r="B3348" s="20" t="n">
        <x:v>45915</x:v>
      </x:c>
      <x:c r="C3348" t="str">
        <x:v>C0225</x:v>
      </x:c>
      <x:c r="D3348" t="str">
        <x:v>Darshini Mart 225</x:v>
      </x:c>
      <x:c r="E3348" t="str">
        <x:v>Restaurant</x:v>
      </x:c>
      <x:c r="F3348" t="str">
        <x:v>Davanagere</x:v>
      </x:c>
      <x:c r="G3348" t="str">
        <x:v>Kavya</x:v>
      </x:c>
      <x:c r="H3348" t="str">
        <x:v>P048</x:v>
      </x:c>
      <x:c r="I3348" t="str">
        <x:v>Banana 10kg</x:v>
      </x:c>
      <x:c r="J3348" t="str">
        <x:v>Fresh Produce</x:v>
      </x:c>
      <x:c r="K3348" t="str">
        <x:v>Local Market</x:v>
      </x:c>
      <x:c r="L3348" s="22" t="n">
        <x:v>420</x:v>
      </x:c>
      <x:c r="M3348" t="n">
        <x:v>26</x:v>
      </x:c>
      <x:c r="N3348" s="24" t="n">
        <x:v>0</x:v>
      </x:c>
      <x:c r="O3348" s="22" t="n">
        <x:f>L3348*M3348</x:f>
        <x:v>10920</x:v>
      </x:c>
      <x:c r="P3348" s="22" t="n">
        <x:f>O3348*(1-N3348)</x:f>
        <x:v>10920</x:v>
      </x:c>
      <x:c r="Q3348" s="22" t="n">
        <x:v>350</x:v>
      </x:c>
      <x:c r="R3348" s="22" t="n">
        <x:f>Q3348*M3348</x:f>
        <x:v>9100</x:v>
      </x:c>
      <x:c r="S3348" s="22" t="n">
        <x:f>P3348-R3348</x:f>
        <x:v>1820</x:v>
      </x:c>
      <x:c r="T3348" t="str">
        <x:v>Credit</x:v>
      </x:c>
      <x:c r="U3348" t="str">
        <x:v>Paid</x:v>
      </x:c>
      <x:c r="V3348" t="str">
        <x:v>Delivered</x:v>
      </x:c>
      <x:c r="W3348" t="n">
        <x:v>0</x:v>
      </x:c>
      <x:c r="X3348" t="str"/>
      <x:c r="Y3348" t="str"/>
    </x:row>
    <x:row r="3349">
      <x:c r="A3349" t="str">
        <x:v>O003348</x:v>
      </x:c>
      <x:c r="B3349" s="20" t="n">
        <x:v>45910</x:v>
      </x:c>
      <x:c r="C3349" t="str">
        <x:v>C0036</x:v>
      </x:c>
      <x:c r="D3349" t="str">
        <x:v>Grand Hotel 36</x:v>
      </x:c>
      <x:c r="E3349" t="str">
        <x:v>Canteen</x:v>
      </x:c>
      <x:c r="F3349" t="str">
        <x:v>Tumakuru</x:v>
      </x:c>
      <x:c r="G3349" t="str">
        <x:v>Kavya</x:v>
      </x:c>
      <x:c r="H3349" t="str">
        <x:v>P021</x:v>
      </x:c>
      <x:c r="I3349" t="str">
        <x:v>Instant Coffee 200g</x:v>
      </x:c>
      <x:c r="J3349" t="str">
        <x:v>Beverage</x:v>
      </x:c>
      <x:c r="K3349" t="str">
        <x:v>Nescafe</x:v>
      </x:c>
      <x:c r="L3349" s="22" t="n">
        <x:v>460</x:v>
      </x:c>
      <x:c r="M3349" t="n">
        <x:v>17</x:v>
      </x:c>
      <x:c r="N3349" s="24" t="n">
        <x:v>0</x:v>
      </x:c>
      <x:c r="O3349" s="22" t="n">
        <x:f>L3349*M3349</x:f>
        <x:v>7820</x:v>
      </x:c>
      <x:c r="P3349" s="22" t="n">
        <x:f>O3349*(1-N3349)</x:f>
        <x:v>7820</x:v>
      </x:c>
      <x:c r="Q3349" s="22" t="n">
        <x:v>410</x:v>
      </x:c>
      <x:c r="R3349" s="22" t="n">
        <x:f>Q3349*M3349</x:f>
        <x:v>6970</x:v>
      </x:c>
      <x:c r="S3349" s="22" t="n">
        <x:f>P3349-R3349</x:f>
        <x:v>850</x:v>
      </x:c>
      <x:c r="T3349" t="str">
        <x:v>Credit</x:v>
      </x:c>
      <x:c r="U3349" t="str">
        <x:v>Paid</x:v>
      </x:c>
      <x:c r="V3349" t="str">
        <x:v>Delivered</x:v>
      </x:c>
      <x:c r="W3349" t="n">
        <x:v>0</x:v>
      </x:c>
      <x:c r="X3349" t="str"/>
      <x:c r="Y3349" t="str">
        <x:v>WhatsApp</x:v>
      </x:c>
    </x:row>
    <x:row r="3350">
      <x:c r="A3350" t="str">
        <x:v>O003349</x:v>
      </x:c>
      <x:c r="B3350" s="20" t="n">
        <x:v>45795</x:v>
      </x:c>
      <x:c r="C3350" t="str">
        <x:v>C0080</x:v>
      </x:c>
      <x:c r="D3350" t="str">
        <x:v>Annapurna Canteen 80</x:v>
      </x:c>
      <x:c r="E3350" t="str">
        <x:v>Restaurant</x:v>
      </x:c>
      <x:c r="F3350" t="str">
        <x:v>Mangaluru</x:v>
      </x:c>
      <x:c r="G3350" t="str">
        <x:v>Priya</x:v>
      </x:c>
      <x:c r="H3350" t="str">
        <x:v>P050</x:v>
      </x:c>
      <x:c r="I3350" t="str">
        <x:v>Lemon 5kg</x:v>
      </x:c>
      <x:c r="J3350" t="str">
        <x:v>Fresh Produce</x:v>
      </x:c>
      <x:c r="K3350" t="str">
        <x:v>Local Market</x:v>
      </x:c>
      <x:c r="L3350" s="22" t="n">
        <x:v>360</x:v>
      </x:c>
      <x:c r="M3350" t="n">
        <x:v>40</x:v>
      </x:c>
      <x:c r="N3350" s="24" t="n">
        <x:v>0.08</x:v>
      </x:c>
      <x:c r="O3350" s="22" t="n">
        <x:f>L3350*M3350</x:f>
        <x:v>14400</x:v>
      </x:c>
      <x:c r="P3350" s="22" t="n">
        <x:f>O3350*(1-N3350)</x:f>
        <x:v>13248</x:v>
      </x:c>
      <x:c r="Q3350" s="22" t="n">
        <x:v>300</x:v>
      </x:c>
      <x:c r="R3350" s="22" t="n">
        <x:f>Q3350*M3350</x:f>
        <x:v>12000</x:v>
      </x:c>
      <x:c r="S3350" s="22" t="n">
        <x:f>P3350-R3350</x:f>
        <x:v>1248</x:v>
      </x:c>
      <x:c r="T3350" t="str">
        <x:v>Bank Transfer</x:v>
      </x:c>
      <x:c r="U3350" t="str">
        <x:v>Paid</x:v>
      </x:c>
      <x:c r="V3350" t="str">
        <x:v>Cancelled</x:v>
      </x:c>
      <x:c r="W3350" t="n">
        <x:v>40</x:v>
      </x:c>
      <x:c r="X3350" t="str">
        <x:v>Cancelled Order</x:v>
      </x:c>
      <x:c r="Y3350" t="str">
        <x:v>Existing Customer</x:v>
      </x:c>
    </x:row>
    <x:row r="3351">
      <x:c r="A3351" t="str">
        <x:v>O003350</x:v>
      </x:c>
      <x:c r="B3351" s="20" t="n">
        <x:v>46094</x:v>
      </x:c>
      <x:c r="C3351" t="str">
        <x:v>C0127</x:v>
      </x:c>
      <x:c r="D3351" t="str">
        <x:v>Grand Mart 127</x:v>
      </x:c>
      <x:c r="E3351" t="str">
        <x:v>Canteen</x:v>
      </x:c>
      <x:c r="F3351" t="str">
        <x:v>Hubballi</x:v>
      </x:c>
      <x:c r="G3351" t="str">
        <x:v>Imran</x:v>
      </x:c>
      <x:c r="H3351" t="str">
        <x:v>P041</x:v>
      </x:c>
      <x:c r="I3351" t="str">
        <x:v>Burger Bun 6pc</x:v>
      </x:c>
      <x:c r="J3351" t="str">
        <x:v>Bakery</x:v>
      </x:c>
      <x:c r="K3351" t="str">
        <x:v>Modern</x:v>
      </x:c>
      <x:c r="L3351" s="22" t="n">
        <x:v>42</x:v>
      </x:c>
      <x:c r="M3351" t="n">
        <x:v>26</x:v>
      </x:c>
      <x:c r="N3351" s="24" t="n">
        <x:v>0.08</x:v>
      </x:c>
      <x:c r="O3351" s="22" t="n">
        <x:f>L3351*M3351</x:f>
        <x:v>1092</x:v>
      </x:c>
      <x:c r="P3351" s="22" t="n">
        <x:f>O3351*(1-N3351)</x:f>
        <x:v>1004.6400000000001</x:v>
      </x:c>
      <x:c r="Q3351" s="22" t="n">
        <x:v>32</x:v>
      </x:c>
      <x:c r="R3351" s="22" t="n">
        <x:f>Q3351*M3351</x:f>
        <x:v>832</x:v>
      </x:c>
      <x:c r="S3351" s="22" t="n">
        <x:f>P3351-R3351</x:f>
        <x:v>172.6400000000001</x:v>
      </x:c>
      <x:c r="T3351" t="str">
        <x:v>Cash</x:v>
      </x:c>
      <x:c r="U3351" t="str">
        <x:v>Paid</x:v>
      </x:c>
      <x:c r="V3351" t="str">
        <x:v>Delayed</x:v>
      </x:c>
      <x:c r="W3351" t="n">
        <x:v>0</x:v>
      </x:c>
      <x:c r="X3351" t="str"/>
      <x:c r="Y3351" t="str">
        <x:v>WhatsApp</x:v>
      </x:c>
    </x:row>
    <x:row r="3352">
      <x:c r="A3352" t="str">
        <x:v>O003351</x:v>
      </x:c>
      <x:c r="B3352" s="20" t="n">
        <x:v>45698</x:v>
      </x:c>
      <x:c r="C3352" t="str">
        <x:v>C0035</x:v>
      </x:c>
      <x:c r="D3352" t="str">
        <x:v>City Foods 35</x:v>
      </x:c>
      <x:c r="E3352" t="str">
        <x:v>Kirana</x:v>
      </x:c>
      <x:c r="F3352" t="str">
        <x:v>Bengaluru</x:v>
      </x:c>
      <x:c r="G3352" t="str">
        <x:v>Megha</x:v>
      </x:c>
      <x:c r="H3352" t="str">
        <x:v>P005</x:v>
      </x:c>
      <x:c r="I3352" t="str">
        <x:v>Chana Dal 5kg</x:v>
      </x:c>
      <x:c r="J3352" t="str">
        <x:v>Pulses</x:v>
      </x:c>
      <x:c r="K3352" t="str">
        <x:v>Local Select</x:v>
      </x:c>
      <x:c r="L3352" s="22" t="n">
        <x:v>520</x:v>
      </x:c>
      <x:c r="M3352" t="n">
        <x:v>29</x:v>
      </x:c>
      <x:c r="N3352" s="24" t="n">
        <x:v>0.05</x:v>
      </x:c>
      <x:c r="O3352" s="22" t="n">
        <x:f>L3352*M3352</x:f>
        <x:v>15080</x:v>
      </x:c>
      <x:c r="P3352" s="22" t="n">
        <x:f>O3352*(1-N3352)</x:f>
        <x:v>14326</x:v>
      </x:c>
      <x:c r="Q3352" s="22" t="n">
        <x:v>455</x:v>
      </x:c>
      <x:c r="R3352" s="22" t="n">
        <x:f>Q3352*M3352</x:f>
        <x:v>13195</x:v>
      </x:c>
      <x:c r="S3352" s="22" t="n">
        <x:f>P3352-R3352</x:f>
        <x:v>1131</x:v>
      </x:c>
      <x:c r="T3352" t="str">
        <x:v>Bank Transfer</x:v>
      </x:c>
      <x:c r="U3352" t="str">
        <x:v>Pending</x:v>
      </x:c>
      <x:c r="V3352" t="str">
        <x:v>Cancelled</x:v>
      </x:c>
      <x:c r="W3352" t="n">
        <x:v>29</x:v>
      </x:c>
      <x:c r="X3352" t="str">
        <x:v>Cancelled Order</x:v>
      </x:c>
      <x:c r="Y3352" t="str">
        <x:v>Outbound Call</x:v>
      </x:c>
    </x:row>
    <x:row r="3353">
      <x:c r="A3353" t="str">
        <x:v>O003352</x:v>
      </x:c>
      <x:c r="B3353" s="20" t="n">
        <x:v>45694</x:v>
      </x:c>
      <x:c r="C3353" t="str">
        <x:v>C0214</x:v>
      </x:c>
      <x:c r="D3353" t="str">
        <x:v>Darshini Kitchen 214</x:v>
      </x:c>
      <x:c r="E3353" t="str">
        <x:v>Kirana</x:v>
      </x:c>
      <x:c r="F3353" t="str">
        <x:v>Bengaluru</x:v>
      </x:c>
      <x:c r="G3353" t="str">
        <x:v>Imran</x:v>
      </x:c>
      <x:c r="H3353" t="str">
        <x:v>P014</x:v>
      </x:c>
      <x:c r="I3353" t="str">
        <x:v>Rava 5kg</x:v>
      </x:c>
      <x:c r="J3353" t="str">
        <x:v>Flour</x:v>
      </x:c>
      <x:c r="K3353" t="str">
        <x:v>Local Select</x:v>
      </x:c>
      <x:c r="L3353" s="22" t="n">
        <x:v>245</x:v>
      </x:c>
      <x:c r="M3353" t="n">
        <x:v>24</x:v>
      </x:c>
      <x:c r="N3353" s="24" t="n">
        <x:v>0.08</x:v>
      </x:c>
      <x:c r="O3353" s="22" t="n">
        <x:f>L3353*M3353</x:f>
        <x:v>5880</x:v>
      </x:c>
      <x:c r="P3353" s="22" t="n">
        <x:f>O3353*(1-N3353)</x:f>
        <x:v>5409.6</x:v>
      </x:c>
      <x:c r="Q3353" s="22" t="n">
        <x:v>215</x:v>
      </x:c>
      <x:c r="R3353" s="22" t="n">
        <x:f>Q3353*M3353</x:f>
        <x:v>5160</x:v>
      </x:c>
      <x:c r="S3353" s="22" t="n">
        <x:f>P3353-R3353</x:f>
        <x:v>249.60000000000036</x:v>
      </x:c>
      <x:c r="T3353" t="str">
        <x:v>UPI</x:v>
      </x:c>
      <x:c r="U3353" t="str">
        <x:v>Paid</x:v>
      </x:c>
      <x:c r="V3353" t="str">
        <x:v>Delayed</x:v>
      </x:c>
      <x:c r="W3353" t="n">
        <x:v>0</x:v>
      </x:c>
      <x:c r="X3353" t="str"/>
      <x:c r="Y3353" t="str">
        <x:v>WhatsApp</x:v>
      </x:c>
    </x:row>
    <x:row r="3354">
      <x:c r="A3354" t="str">
        <x:v>O003353</x:v>
      </x:c>
      <x:c r="B3354" s="20" t="n">
        <x:v>46131</x:v>
      </x:c>
      <x:c r="C3354" t="str">
        <x:v>C0038</x:v>
      </x:c>
      <x:c r="D3354" t="str">
        <x:v>Mysore Kitchen 38</x:v>
      </x:c>
      <x:c r="E3354" t="str">
        <x:v>Kirana</x:v>
      </x:c>
      <x:c r="F3354" t="str">
        <x:v>Tumakuru</x:v>
      </x:c>
      <x:c r="G3354" t="str">
        <x:v>Priya</x:v>
      </x:c>
      <x:c r="H3354" t="str">
        <x:v>P019</x:v>
      </x:c>
      <x:c r="I3354" t="str">
        <x:v>Tea 1kg</x:v>
      </x:c>
      <x:c r="J3354" t="str">
        <x:v>Beverage</x:v>
      </x:c>
      <x:c r="K3354" t="str">
        <x:v>Red Label</x:v>
      </x:c>
      <x:c r="L3354" s="22" t="n">
        <x:v>540</x:v>
      </x:c>
      <x:c r="M3354" t="n">
        <x:v>9</x:v>
      </x:c>
      <x:c r="N3354" s="24" t="n">
        <x:v>0.02</x:v>
      </x:c>
      <x:c r="O3354" s="22" t="n">
        <x:f>L3354*M3354</x:f>
        <x:v>4860</x:v>
      </x:c>
      <x:c r="P3354" s="22" t="n">
        <x:f>O3354*(1-N3354)</x:f>
        <x:v>4762.8</x:v>
      </x:c>
      <x:c r="Q3354" s="22" t="n">
        <x:v>485</x:v>
      </x:c>
      <x:c r="R3354" s="22" t="n">
        <x:f>Q3354*M3354</x:f>
        <x:v>4365</x:v>
      </x:c>
      <x:c r="S3354" s="22" t="n">
        <x:f>P3354-R3354</x:f>
        <x:v>397.8000000000002</x:v>
      </x:c>
      <x:c r="T3354" t="str">
        <x:v>Bank Transfer</x:v>
      </x:c>
      <x:c r="U3354" t="str">
        <x:v>Paid</x:v>
      </x:c>
      <x:c r="V3354" t="str">
        <x:v>Delivered</x:v>
      </x:c>
      <x:c r="W3354" t="n">
        <x:v>0</x:v>
      </x:c>
      <x:c r="X3354" t="str"/>
      <x:c r="Y3354" t="str">
        <x:v>WhatsApp</x:v>
      </x:c>
    </x:row>
    <x:row r="3355">
      <x:c r="A3355" t="str">
        <x:v>O003354</x:v>
      </x:c>
      <x:c r="B3355" s="20" t="n">
        <x:v>46264</x:v>
      </x:c>
      <x:c r="C3355" t="str">
        <x:v>C0171</x:v>
      </x:c>
      <x:c r="D3355" t="str">
        <x:v>Metro Canteen 171</x:v>
      </x:c>
      <x:c r="E3355" t="str">
        <x:v>Restaurant</x:v>
      </x:c>
      <x:c r="F3355" t="str">
        <x:v>Mangaluru</x:v>
      </x:c>
      <x:c r="G3355" t="str">
        <x:v>Priya</x:v>
      </x:c>
      <x:c r="H3355" t="str">
        <x:v>P035</x:v>
      </x:c>
      <x:c r="I3355" t="str">
        <x:v>Coriander Powder 1kg</x:v>
      </x:c>
      <x:c r="J3355" t="str">
        <x:v>Spices</x:v>
      </x:c>
      <x:c r="K3355" t="str">
        <x:v>Everest</x:v>
      </x:c>
      <x:c r="L3355" s="22" t="n">
        <x:v>280</x:v>
      </x:c>
      <x:c r="M3355" t="n">
        <x:v>14</x:v>
      </x:c>
      <x:c r="N3355" s="24" t="n">
        <x:v>0.03</x:v>
      </x:c>
      <x:c r="O3355" s="22" t="n">
        <x:f>L3355*M3355</x:f>
        <x:v>3920</x:v>
      </x:c>
      <x:c r="P3355" s="22" t="n">
        <x:f>O3355*(1-N3355)</x:f>
        <x:v>3802.4</x:v>
      </x:c>
      <x:c r="Q3355" s="22" t="n">
        <x:v>245</x:v>
      </x:c>
      <x:c r="R3355" s="22" t="n">
        <x:f>Q3355*M3355</x:f>
        <x:v>3430</x:v>
      </x:c>
      <x:c r="S3355" s="22" t="n">
        <x:f>P3355-R3355</x:f>
        <x:v>372.4000000000001</x:v>
      </x:c>
      <x:c r="T3355" t="str">
        <x:v>Credit</x:v>
      </x:c>
      <x:c r="U3355" t="str">
        <x:v>Overdue</x:v>
      </x:c>
      <x:c r="V3355" t="str">
        <x:v>Delivered</x:v>
      </x:c>
      <x:c r="W3355" t="n">
        <x:v>0</x:v>
      </x:c>
      <x:c r="X3355" t="str"/>
      <x:c r="Y3355" t="str">
        <x:v>Referral</x:v>
      </x:c>
    </x:row>
    <x:row r="3356">
      <x:c r="A3356" t="str">
        <x:v>O003355</x:v>
      </x:c>
      <x:c r="B3356" s="20" t="n">
        <x:v>45847</x:v>
      </x:c>
      <x:c r="C3356" t="str">
        <x:v>C0082</x:v>
      </x:c>
      <x:c r="D3356" t="str">
        <x:v>City Foods 82</x:v>
      </x:c>
      <x:c r="E3356" t="str">
        <x:v>Hotel</x:v>
      </x:c>
      <x:c r="F3356" t="str">
        <x:v>Mangaluru</x:v>
      </x:c>
      <x:c r="G3356" t="str">
        <x:v>Kavya</x:v>
      </x:c>
      <x:c r="H3356" t="str">
        <x:v>P045</x:v>
      </x:c>
      <x:c r="I3356" t="str">
        <x:v>Onion 25kg</x:v>
      </x:c>
      <x:c r="J3356" t="str">
        <x:v>Fresh Produce</x:v>
      </x:c>
      <x:c r="K3356" t="str">
        <x:v>Local Market</x:v>
      </x:c>
      <x:c r="L3356" s="22" t="n">
        <x:v>875</x:v>
      </x:c>
      <x:c r="M3356" t="n">
        <x:v>15</x:v>
      </x:c>
      <x:c r="N3356" s="24" t="n">
        <x:v>0.03</x:v>
      </x:c>
      <x:c r="O3356" s="22" t="n">
        <x:f>L3356*M3356</x:f>
        <x:v>13125</x:v>
      </x:c>
      <x:c r="P3356" s="22" t="n">
        <x:f>O3356*(1-N3356)</x:f>
        <x:v>12731.25</x:v>
      </x:c>
      <x:c r="Q3356" s="22" t="n">
        <x:v>760</x:v>
      </x:c>
      <x:c r="R3356" s="22" t="n">
        <x:f>Q3356*M3356</x:f>
        <x:v>11400</x:v>
      </x:c>
      <x:c r="S3356" s="22" t="n">
        <x:f>P3356-R3356</x:f>
        <x:v>1331.25</x:v>
      </x:c>
      <x:c r="T3356" t="str">
        <x:v>UPI</x:v>
      </x:c>
      <x:c r="U3356" t="str">
        <x:v>Pending</x:v>
      </x:c>
      <x:c r="V3356" t="str">
        <x:v>Delivered</x:v>
      </x:c>
      <x:c r="W3356" t="n">
        <x:v>0</x:v>
      </x:c>
      <x:c r="X3356" t="str"/>
      <x:c r="Y3356" t="str">
        <x:v>Existing Customer</x:v>
      </x:c>
    </x:row>
    <x:row r="3357">
      <x:c r="A3357" t="str">
        <x:v>O003356</x:v>
      </x:c>
      <x:c r="B3357" s="20" t="n">
        <x:v>45854</x:v>
      </x:c>
      <x:c r="C3357" t="str">
        <x:v>C0233</x:v>
      </x:c>
      <x:c r="D3357" t="str">
        <x:v>Shree Mart 233</x:v>
      </x:c>
      <x:c r="E3357" t="str">
        <x:v>Kirana</x:v>
      </x:c>
      <x:c r="F3357" t="str">
        <x:v>Mangaluru</x:v>
      </x:c>
      <x:c r="G3357" t="str">
        <x:v>Priya</x:v>
      </x:c>
      <x:c r="H3357" t="str">
        <x:v>P025</x:v>
      </x:c>
      <x:c r="I3357" t="str">
        <x:v>Potato Chips 100g</x:v>
      </x:c>
      <x:c r="J3357" t="str">
        <x:v>Snacks</x:v>
      </x:c>
      <x:c r="K3357" t="str">
        <x:v>Lay's</x:v>
      </x:c>
      <x:c r="L3357" s="22" t="n">
        <x:v>35</x:v>
      </x:c>
      <x:c r="M3357" t="n">
        <x:v>11</x:v>
      </x:c>
      <x:c r="N3357" s="24" t="n">
        <x:v>0.05</x:v>
      </x:c>
      <x:c r="O3357" s="22" t="n">
        <x:f>L3357*M3357</x:f>
        <x:v>385</x:v>
      </x:c>
      <x:c r="P3357" s="22" t="n">
        <x:f>O3357*(1-N3357)</x:f>
        <x:v>365.75</x:v>
      </x:c>
      <x:c r="Q3357" s="22" t="n">
        <x:v>27</x:v>
      </x:c>
      <x:c r="R3357" s="22" t="n">
        <x:f>Q3357*M3357</x:f>
        <x:v>297</x:v>
      </x:c>
      <x:c r="S3357" s="22" t="n">
        <x:f>P3357-R3357</x:f>
        <x:v>68.75</x:v>
      </x:c>
      <x:c r="T3357" t="str">
        <x:v>Credit</x:v>
      </x:c>
      <x:c r="U3357" t="str">
        <x:v>Paid</x:v>
      </x:c>
      <x:c r="V3357" t="str">
        <x:v>Delivered</x:v>
      </x:c>
      <x:c r="W3357" t="n">
        <x:v>0</x:v>
      </x:c>
      <x:c r="X3357" t="str"/>
      <x:c r="Y3357" t="str">
        <x:v>WhatsApp</x:v>
      </x:c>
    </x:row>
    <x:row r="3358">
      <x:c r="A3358" t="str">
        <x:v>O003357</x:v>
      </x:c>
      <x:c r="B3358" s="20" t="n">
        <x:v>45938</x:v>
      </x:c>
      <x:c r="C3358" t="str">
        <x:v>C0189</x:v>
      </x:c>
      <x:c r="D3358" t="str">
        <x:v>Classic Canteen 189</x:v>
      </x:c>
      <x:c r="E3358" t="str">
        <x:v>Kirana</x:v>
      </x:c>
      <x:c r="F3358" t="str">
        <x:v>Hubballi</x:v>
      </x:c>
      <x:c r="G3358" t="str">
        <x:v>Vikram</x:v>
      </x:c>
      <x:c r="H3358" t="str">
        <x:v>P003</x:v>
      </x:c>
      <x:c r="I3358" t="str">
        <x:v>Basmati Rice 5kg</x:v>
      </x:c>
      <x:c r="J3358" t="str">
        <x:v>Staples</x:v>
      </x:c>
      <x:c r="K3358" t="str">
        <x:v>India Gate</x:v>
      </x:c>
      <x:c r="L3358" s="22" t="n">
        <x:v>690</x:v>
      </x:c>
      <x:c r="M3358" t="n">
        <x:v>12</x:v>
      </x:c>
      <x:c r="N3358" s="24" t="n">
        <x:v>0.05</x:v>
      </x:c>
      <x:c r="O3358" s="22" t="n">
        <x:f>L3358*M3358</x:f>
        <x:v>8280</x:v>
      </x:c>
      <x:c r="P3358" s="22" t="n">
        <x:f>O3358*(1-N3358)</x:f>
        <x:v>7866</x:v>
      </x:c>
      <x:c r="Q3358" s="22" t="n">
        <x:v>610</x:v>
      </x:c>
      <x:c r="R3358" s="22" t="n">
        <x:f>Q3358*M3358</x:f>
        <x:v>7320</x:v>
      </x:c>
      <x:c r="S3358" s="22" t="n">
        <x:f>P3358-R3358</x:f>
        <x:v>546</x:v>
      </x:c>
      <x:c r="T3358" t="str">
        <x:v>Bank Transfer</x:v>
      </x:c>
      <x:c r="U3358" t="str">
        <x:v>Paid</x:v>
      </x:c>
      <x:c r="V3358" t="str">
        <x:v>Delivered</x:v>
      </x:c>
      <x:c r="W3358" t="n">
        <x:v>0</x:v>
      </x:c>
      <x:c r="X3358" t="str"/>
      <x:c r="Y3358" t="str">
        <x:v>Referral</x:v>
      </x:c>
    </x:row>
    <x:row r="3359">
      <x:c r="A3359" t="str">
        <x:v>O003358</x:v>
      </x:c>
      <x:c r="B3359" s="20" t="n">
        <x:v>46034</x:v>
      </x:c>
      <x:c r="C3359" t="str">
        <x:v>C0158</x:v>
      </x:c>
      <x:c r="D3359" t="str">
        <x:v>Cafe Stores 158</x:v>
      </x:c>
      <x:c r="E3359" t="str">
        <x:v>Cafe</x:v>
      </x:c>
      <x:c r="F3359" t="str">
        <x:v>Mysuru</x:v>
      </x:c>
      <x:c r="G3359" t="str">
        <x:v>Priya</x:v>
      </x:c>
      <x:c r="H3359" t="str">
        <x:v>P039</x:v>
      </x:c>
      <x:c r="I3359" t="str">
        <x:v>Ice Cream 4L</x:v>
      </x:c>
      <x:c r="J3359" t="str">
        <x:v>Frozen</x:v>
      </x:c>
      <x:c r="K3359" t="str">
        <x:v>Amul</x:v>
      </x:c>
      <x:c r="L3359" s="22" t="n">
        <x:v>480</x:v>
      </x:c>
      <x:c r="M3359" t="n">
        <x:v>38</x:v>
      </x:c>
      <x:c r="N3359" s="24" t="n">
        <x:v>0</x:v>
      </x:c>
      <x:c r="O3359" s="22" t="n">
        <x:f>L3359*M3359</x:f>
        <x:v>18240</x:v>
      </x:c>
      <x:c r="P3359" s="22" t="n">
        <x:f>O3359*(1-N3359)</x:f>
        <x:v>18240</x:v>
      </x:c>
      <x:c r="Q3359" s="22" t="n">
        <x:v>420</x:v>
      </x:c>
      <x:c r="R3359" s="22" t="n">
        <x:f>Q3359*M3359</x:f>
        <x:v>15960</x:v>
      </x:c>
      <x:c r="S3359" s="22" t="n">
        <x:f>P3359-R3359</x:f>
        <x:v>2280</x:v>
      </x:c>
      <x:c r="T3359" t="str">
        <x:v>UPI</x:v>
      </x:c>
      <x:c r="U3359" t="str">
        <x:v>Pending</x:v>
      </x:c>
      <x:c r="V3359" t="str">
        <x:v>Cancelled</x:v>
      </x:c>
      <x:c r="W3359" t="n">
        <x:v>38</x:v>
      </x:c>
      <x:c r="X3359" t="str">
        <x:v>Cancelled Order</x:v>
      </x:c>
      <x:c r="Y3359" t="str">
        <x:v>Existing Customer</x:v>
      </x:c>
    </x:row>
    <x:row r="3360">
      <x:c r="A3360" t="str">
        <x:v>O003359</x:v>
      </x:c>
      <x:c r="B3360" s="20" t="n">
        <x:v>45853</x:v>
      </x:c>
      <x:c r="C3360" t="str">
        <x:v>C0173</x:v>
      </x:c>
      <x:c r="D3360" t="str">
        <x:v>Royal Kitchen 173</x:v>
      </x:c>
      <x:c r="E3360" t="str">
        <x:v>Hotel</x:v>
      </x:c>
      <x:c r="F3360" t="str">
        <x:v>Bengaluru</x:v>
      </x:c>
      <x:c r="G3360" t="str">
        <x:v>Priya</x:v>
      </x:c>
      <x:c r="H3360" t="str">
        <x:v>P006</x:v>
      </x:c>
      <x:c r="I3360" t="str">
        <x:v>Moong Dal 5kg</x:v>
      </x:c>
      <x:c r="J3360" t="str">
        <x:v>Pulses</x:v>
      </x:c>
      <x:c r="K3360" t="str">
        <x:v>Local Select</x:v>
      </x:c>
      <x:c r="L3360" s="22" t="n">
        <x:v>610</x:v>
      </x:c>
      <x:c r="M3360" t="n">
        <x:v>21</x:v>
      </x:c>
      <x:c r="N3360" s="24" t="n">
        <x:v>0</x:v>
      </x:c>
      <x:c r="O3360" s="22" t="n">
        <x:f>L3360*M3360</x:f>
        <x:v>12810</x:v>
      </x:c>
      <x:c r="P3360" s="22" t="n">
        <x:f>O3360*(1-N3360)</x:f>
        <x:v>12810</x:v>
      </x:c>
      <x:c r="Q3360" s="22" t="n">
        <x:v>540</x:v>
      </x:c>
      <x:c r="R3360" s="22" t="n">
        <x:f>Q3360*M3360</x:f>
        <x:v>11340</x:v>
      </x:c>
      <x:c r="S3360" s="22" t="n">
        <x:f>P3360-R3360</x:f>
        <x:v>1470</x:v>
      </x:c>
      <x:c r="T3360" t="str">
        <x:v>Credit</x:v>
      </x:c>
      <x:c r="U3360" t="str">
        <x:v>Paid</x:v>
      </x:c>
      <x:c r="V3360" t="str">
        <x:v>Delivered</x:v>
      </x:c>
      <x:c r="W3360" t="n">
        <x:v>4</x:v>
      </x:c>
      <x:c r="X3360" t="str">
        <x:v>Damaged</x:v>
      </x:c>
      <x:c r="Y3360" t="str">
        <x:v>WhatsApp</x:v>
      </x:c>
    </x:row>
    <x:row r="3361">
      <x:c r="A3361" t="str">
        <x:v>O003360</x:v>
      </x:c>
      <x:c r="B3361" s="20" t="n">
        <x:v>46229</x:v>
      </x:c>
      <x:c r="C3361" t="str">
        <x:v>C0002</x:v>
      </x:c>
      <x:c r="D3361" t="str">
        <x:v>City Kitchen 2</x:v>
      </x:c>
      <x:c r="E3361" t="str">
        <x:v>Kirana</x:v>
      </x:c>
      <x:c r="F3361" t="str">
        <x:v>Davanagere</x:v>
      </x:c>
      <x:c r="G3361" t="str">
        <x:v>Arjun</x:v>
      </x:c>
      <x:c r="H3361" t="str">
        <x:v>P047</x:v>
      </x:c>
      <x:c r="I3361" t="str">
        <x:v>Tomato 25kg</x:v>
      </x:c>
      <x:c r="J3361" t="str">
        <x:v>Fresh Produce</x:v>
      </x:c>
      <x:c r="K3361" t="str">
        <x:v>Local Market</x:v>
      </x:c>
      <x:c r="L3361" s="22" t="n">
        <x:v>950</x:v>
      </x:c>
      <x:c r="M3361" t="n">
        <x:v>36</x:v>
      </x:c>
      <x:c r="N3361" s="24" t="n">
        <x:v>0.08</x:v>
      </x:c>
      <x:c r="O3361" s="22" t="n">
        <x:f>L3361*M3361</x:f>
        <x:v>34200</x:v>
      </x:c>
      <x:c r="P3361" s="22" t="n">
        <x:f>O3361*(1-N3361)</x:f>
        <x:v>31464</x:v>
      </x:c>
      <x:c r="Q3361" s="22" t="n">
        <x:v>810</x:v>
      </x:c>
      <x:c r="R3361" s="22" t="n">
        <x:f>Q3361*M3361</x:f>
        <x:v>29160</x:v>
      </x:c>
      <x:c r="S3361" s="22" t="n">
        <x:f>P3361-R3361</x:f>
        <x:v>2304</x:v>
      </x:c>
      <x:c r="T3361" t="str">
        <x:v>Cash</x:v>
      </x:c>
      <x:c r="U3361" t="str">
        <x:v>Paid</x:v>
      </x:c>
      <x:c r="V3361" t="str">
        <x:v>Cancelled</x:v>
      </x:c>
      <x:c r="W3361" t="n">
        <x:v>36</x:v>
      </x:c>
      <x:c r="X3361" t="str">
        <x:v>Cancelled Order</x:v>
      </x:c>
      <x:c r="Y3361" t="str">
        <x:v>Existing Customer</x:v>
      </x:c>
    </x:row>
    <x:row r="3362">
      <x:c r="A3362" t="str">
        <x:v>O003361</x:v>
      </x:c>
      <x:c r="B3362" s="20" t="n">
        <x:v>45860</x:v>
      </x:c>
      <x:c r="C3362" t="str">
        <x:v>C0203</x:v>
      </x:c>
      <x:c r="D3362" t="str">
        <x:v>Namma Mart 203</x:v>
      </x:c>
      <x:c r="E3362" t="str">
        <x:v>Kirana</x:v>
      </x:c>
      <x:c r="F3362" t="str">
        <x:v>Tumakuru</x:v>
      </x:c>
      <x:c r="G3362" t="str">
        <x:v>Priya</x:v>
      </x:c>
      <x:c r="H3362" t="str">
        <x:v>P026</x:v>
      </x:c>
      <x:c r="I3362" t="str">
        <x:v>Banana Chips 80g</x:v>
      </x:c>
      <x:c r="J3362" t="str">
        <x:v>Snacks</x:v>
      </x:c>
      <x:c r="K3362" t="str">
        <x:v>SSS</x:v>
      </x:c>
      <x:c r="L3362" s="22" t="n">
        <x:v>54</x:v>
      </x:c>
      <x:c r="M3362" t="n">
        <x:v>23</x:v>
      </x:c>
      <x:c r="N3362" s="24" t="n">
        <x:v>0.03</x:v>
      </x:c>
      <x:c r="O3362" s="22" t="n">
        <x:f>L3362*M3362</x:f>
        <x:v>1242</x:v>
      </x:c>
      <x:c r="P3362" s="22" t="n">
        <x:f>O3362*(1-N3362)</x:f>
        <x:v>1204.74</x:v>
      </x:c>
      <x:c r="Q3362" s="22" t="n">
        <x:v>39</x:v>
      </x:c>
      <x:c r="R3362" s="22" t="n">
        <x:f>Q3362*M3362</x:f>
        <x:v>897</x:v>
      </x:c>
      <x:c r="S3362" s="22" t="n">
        <x:f>P3362-R3362</x:f>
        <x:v>307.74</x:v>
      </x:c>
      <x:c r="T3362" t="str">
        <x:v>Credit</x:v>
      </x:c>
      <x:c r="U3362" t="str">
        <x:v>Paid</x:v>
      </x:c>
      <x:c r="V3362" t="str">
        <x:v>Delivered</x:v>
      </x:c>
      <x:c r="W3362" t="n">
        <x:v>0</x:v>
      </x:c>
      <x:c r="X3362" t="str"/>
      <x:c r="Y3362" t="str">
        <x:v>Outbound Call</x:v>
      </x:c>
    </x:row>
    <x:row r="3363">
      <x:c r="A3363" t="str">
        <x:v>O003362</x:v>
      </x:c>
      <x:c r="B3363" s="20" t="n">
        <x:v>45991</x:v>
      </x:c>
      <x:c r="C3363" t="str">
        <x:v>C0240</x:v>
      </x:c>
      <x:c r="D3363" t="str">
        <x:v>Green Foods 240</x:v>
      </x:c>
      <x:c r="E3363" t="str">
        <x:v>Restaurant</x:v>
      </x:c>
      <x:c r="F3363" t="str">
        <x:v>Davanagere</x:v>
      </x:c>
      <x:c r="G3363" t="str">
        <x:v>Vikram</x:v>
      </x:c>
      <x:c r="H3363" t="str">
        <x:v>P001</x:v>
      </x:c>
      <x:c r="I3363" t="str">
        <x:v>Steam Rice 25kg</x:v>
      </x:c>
      <x:c r="J3363" t="str">
        <x:v>Staples</x:v>
      </x:c>
      <x:c r="K3363" t="str">
        <x:v>Aishwarya</x:v>
      </x:c>
      <x:c r="L3363" s="22" t="n">
        <x:v>1180</x:v>
      </x:c>
      <x:c r="M3363" t="n">
        <x:v>6</x:v>
      </x:c>
      <x:c r="N3363" s="24" t="n">
        <x:v>0</x:v>
      </x:c>
      <x:c r="O3363" s="22" t="n">
        <x:f>L3363*M3363</x:f>
        <x:v>7080</x:v>
      </x:c>
      <x:c r="P3363" s="22" t="n">
        <x:f>O3363*(1-N3363)</x:f>
        <x:v>7080</x:v>
      </x:c>
      <x:c r="Q3363" s="22" t="n">
        <x:v>1040</x:v>
      </x:c>
      <x:c r="R3363" s="22" t="n">
        <x:f>Q3363*M3363</x:f>
        <x:v>6240</x:v>
      </x:c>
      <x:c r="S3363" s="22" t="n">
        <x:f>P3363-R3363</x:f>
        <x:v>840</x:v>
      </x:c>
      <x:c r="T3363" t="str">
        <x:v>Cash</x:v>
      </x:c>
      <x:c r="U3363" t="str">
        <x:v>Paid</x:v>
      </x:c>
      <x:c r="V3363" t="str">
        <x:v>Cancelled</x:v>
      </x:c>
      <x:c r="W3363" t="n">
        <x:v>6</x:v>
      </x:c>
      <x:c r="X3363" t="str">
        <x:v>Cancelled Order</x:v>
      </x:c>
      <x:c r="Y3363" t="str">
        <x:v>Field Visit</x:v>
      </x:c>
    </x:row>
    <x:row r="3364">
      <x:c r="A3364" t="str">
        <x:v>O003363</x:v>
      </x:c>
      <x:c r="B3364" s="20" t="n">
        <x:v>46037</x:v>
      </x:c>
      <x:c r="C3364" t="str">
        <x:v>C0044</x:v>
      </x:c>
      <x:c r="D3364" t="str">
        <x:v>Annapurna Mart 44</x:v>
      </x:c>
      <x:c r="E3364" t="str">
        <x:v>Kirana</x:v>
      </x:c>
      <x:c r="F3364" t="str">
        <x:v>Davanagere</x:v>
      </x:c>
      <x:c r="G3364" t="str">
        <x:v>Priya</x:v>
      </x:c>
      <x:c r="H3364" t="str">
        <x:v>P011</x:v>
      </x:c>
      <x:c r="I3364" t="str">
        <x:v>Salt 1kg</x:v>
      </x:c>
      <x:c r="J3364" t="str">
        <x:v>Staples</x:v>
      </x:c>
      <x:c r="K3364" t="str">
        <x:v>Tata</x:v>
      </x:c>
      <x:c r="L3364" s="22" t="n">
        <x:v>28</x:v>
      </x:c>
      <x:c r="M3364" t="n">
        <x:v>38</x:v>
      </x:c>
      <x:c r="N3364" s="24" t="n">
        <x:v>0.02</x:v>
      </x:c>
      <x:c r="O3364" s="22" t="n">
        <x:f>L3364*M3364</x:f>
        <x:v>1064</x:v>
      </x:c>
      <x:c r="P3364" s="22" t="n">
        <x:f>O3364*(1-N3364)</x:f>
        <x:v>1042.72</x:v>
      </x:c>
      <x:c r="Q3364" s="22" t="n">
        <x:v>23</x:v>
      </x:c>
      <x:c r="R3364" s="22" t="n">
        <x:f>Q3364*M3364</x:f>
        <x:v>874</x:v>
      </x:c>
      <x:c r="S3364" s="22" t="n">
        <x:f>P3364-R3364</x:f>
        <x:v>168.72000000000003</x:v>
      </x:c>
      <x:c r="T3364" t="str">
        <x:v>UPI</x:v>
      </x:c>
      <x:c r="U3364" t="str">
        <x:v>Paid</x:v>
      </x:c>
      <x:c r="V3364" t="str">
        <x:v>Delivered</x:v>
      </x:c>
      <x:c r="W3364" t="n">
        <x:v>0</x:v>
      </x:c>
      <x:c r="X3364" t="str"/>
      <x:c r="Y3364" t="str">
        <x:v>Field Visit</x:v>
      </x:c>
    </x:row>
    <x:row r="3365">
      <x:c r="A3365" t="str">
        <x:v>O003364</x:v>
      </x:c>
      <x:c r="B3365" s="20" t="n">
        <x:v>45756</x:v>
      </x:c>
      <x:c r="C3365" t="str">
        <x:v>C0090</x:v>
      </x:c>
      <x:c r="D3365" t="str">
        <x:v>Shree Mart 90</x:v>
      </x:c>
      <x:c r="E3365" t="str">
        <x:v>Restaurant</x:v>
      </x:c>
      <x:c r="F3365" t="str">
        <x:v>Davanagere</x:v>
      </x:c>
      <x:c r="G3365" t="str">
        <x:v>Megha</x:v>
      </x:c>
      <x:c r="H3365" t="str">
        <x:v>P019</x:v>
      </x:c>
      <x:c r="I3365" t="str">
        <x:v>Tea 1kg</x:v>
      </x:c>
      <x:c r="J3365" t="str">
        <x:v>Beverage</x:v>
      </x:c>
      <x:c r="K3365" t="str">
        <x:v>Red Label</x:v>
      </x:c>
      <x:c r="L3365" s="22" t="n">
        <x:v>540</x:v>
      </x:c>
      <x:c r="M3365" t="n">
        <x:v>38</x:v>
      </x:c>
      <x:c r="N3365" s="24" t="n">
        <x:v>0.03</x:v>
      </x:c>
      <x:c r="O3365" s="22" t="n">
        <x:f>L3365*M3365</x:f>
        <x:v>20520</x:v>
      </x:c>
      <x:c r="P3365" s="22" t="n">
        <x:f>O3365*(1-N3365)</x:f>
        <x:v>19904.399999999998</x:v>
      </x:c>
      <x:c r="Q3365" s="22" t="n">
        <x:v>485</x:v>
      </x:c>
      <x:c r="R3365" s="22" t="n">
        <x:f>Q3365*M3365</x:f>
        <x:v>18430</x:v>
      </x:c>
      <x:c r="S3365" s="22" t="n">
        <x:f>P3365-R3365</x:f>
        <x:v>1474.3999999999978</x:v>
      </x:c>
      <x:c r="T3365" t="str">
        <x:v>Cash</x:v>
      </x:c>
      <x:c r="U3365" t="str">
        <x:v>Paid</x:v>
      </x:c>
      <x:c r="V3365" t="str">
        <x:v>Cancelled</x:v>
      </x:c>
      <x:c r="W3365" t="n">
        <x:v>38</x:v>
      </x:c>
      <x:c r="X3365" t="str">
        <x:v>Cancelled Order</x:v>
      </x:c>
      <x:c r="Y3365" t="str">
        <x:v>Outbound Call</x:v>
      </x:c>
    </x:row>
    <x:row r="3366">
      <x:c r="A3366" t="str">
        <x:v>O003365</x:v>
      </x:c>
      <x:c r="B3366" s="20" t="n">
        <x:v>45974</x:v>
      </x:c>
      <x:c r="C3366" t="str">
        <x:v>C0106</x:v>
      </x:c>
      <x:c r="D3366" t="str">
        <x:v>Classic Mart 106</x:v>
      </x:c>
      <x:c r="E3366" t="str">
        <x:v>Restaurant</x:v>
      </x:c>
      <x:c r="F3366" t="str">
        <x:v>Mysuru</x:v>
      </x:c>
      <x:c r="G3366" t="str">
        <x:v>Kavya</x:v>
      </x:c>
      <x:c r="H3366" t="str">
        <x:v>P032</x:v>
      </x:c>
      <x:c r="I3366" t="str">
        <x:v>Soy Sauce 700g</x:v>
      </x:c>
      <x:c r="J3366" t="str">
        <x:v>Condiments</x:v>
      </x:c>
      <x:c r="K3366" t="str">
        <x:v>Ching's</x:v>
      </x:c>
      <x:c r="L3366" s="22" t="n">
        <x:v>118</x:v>
      </x:c>
      <x:c r="M3366" t="n">
        <x:v>22</x:v>
      </x:c>
      <x:c r="N3366" s="24" t="n">
        <x:v>0</x:v>
      </x:c>
      <x:c r="O3366" s="22" t="n">
        <x:f>L3366*M3366</x:f>
        <x:v>2596</x:v>
      </x:c>
      <x:c r="P3366" s="22" t="n">
        <x:f>O3366*(1-N3366)</x:f>
        <x:v>2596</x:v>
      </x:c>
      <x:c r="Q3366" s="22" t="n">
        <x:v>101</x:v>
      </x:c>
      <x:c r="R3366" s="22" t="n">
        <x:f>Q3366*M3366</x:f>
        <x:v>2222</x:v>
      </x:c>
      <x:c r="S3366" s="22" t="n">
        <x:f>P3366-R3366</x:f>
        <x:v>374</x:v>
      </x:c>
      <x:c r="T3366" t="str">
        <x:v>Bank Transfer</x:v>
      </x:c>
      <x:c r="U3366" t="str">
        <x:v>Overdue</x:v>
      </x:c>
      <x:c r="V3366" t="str">
        <x:v>Delivered</x:v>
      </x:c>
      <x:c r="W3366" t="n">
        <x:v>0</x:v>
      </x:c>
      <x:c r="X3366" t="str"/>
      <x:c r="Y3366" t="str">
        <x:v>Field Visit</x:v>
      </x:c>
    </x:row>
    <x:row r="3367">
      <x:c r="A3367" t="str">
        <x:v>O003366</x:v>
      </x:c>
      <x:c r="B3367" s="20" t="n">
        <x:v>45689</x:v>
      </x:c>
      <x:c r="C3367" t="str">
        <x:v>C0003</x:v>
      </x:c>
      <x:c r="D3367" t="str">
        <x:v>Grand Foods 3</x:v>
      </x:c>
      <x:c r="E3367" t="str">
        <x:v>Restaurant</x:v>
      </x:c>
      <x:c r="F3367" t="str">
        <x:v>Bengaluru</x:v>
      </x:c>
      <x:c r="G3367" t="str">
        <x:v>Vikram</x:v>
      </x:c>
      <x:c r="H3367" t="str">
        <x:v>P022</x:v>
      </x:c>
      <x:c r="I3367" t="str">
        <x:v>Mineral Water 1L</x:v>
      </x:c>
      <x:c r="J3367" t="str">
        <x:v>Beverage</x:v>
      </x:c>
      <x:c r="K3367" t="str">
        <x:v>Bisleri</x:v>
      </x:c>
      <x:c r="L3367" s="22" t="n">
        <x:v>19</x:v>
      </x:c>
      <x:c r="M3367" t="n">
        <x:v>17</x:v>
      </x:c>
      <x:c r="N3367" s="24" t="n">
        <x:v>0</x:v>
      </x:c>
      <x:c r="O3367" s="22" t="n">
        <x:f>L3367*M3367</x:f>
        <x:v>323</x:v>
      </x:c>
      <x:c r="P3367" s="22" t="n">
        <x:f>O3367*(1-N3367)</x:f>
        <x:v>323</x:v>
      </x:c>
      <x:c r="Q3367" s="22" t="n">
        <x:v>15</x:v>
      </x:c>
      <x:c r="R3367" s="22" t="n">
        <x:f>Q3367*M3367</x:f>
        <x:v>255</x:v>
      </x:c>
      <x:c r="S3367" s="22" t="n">
        <x:f>P3367-R3367</x:f>
        <x:v>68</x:v>
      </x:c>
      <x:c r="T3367" t="str">
        <x:v>Bank Transfer</x:v>
      </x:c>
      <x:c r="U3367" t="str">
        <x:v>Paid</x:v>
      </x:c>
      <x:c r="V3367" t="str">
        <x:v>Delivered</x:v>
      </x:c>
      <x:c r="W3367" t="n">
        <x:v>0</x:v>
      </x:c>
      <x:c r="X3367" t="str"/>
      <x:c r="Y3367" t="str">
        <x:v>Field Visit</x:v>
      </x:c>
    </x:row>
    <x:row r="3368">
      <x:c r="A3368" t="str">
        <x:v>O003367</x:v>
      </x:c>
      <x:c r="B3368" s="20" t="n">
        <x:v>46156</x:v>
      </x:c>
      <x:c r="C3368" t="str">
        <x:v>C0222</x:v>
      </x:c>
      <x:c r="D3368" t="str">
        <x:v>Sri Cafe 222</x:v>
      </x:c>
      <x:c r="E3368" t="str">
        <x:v>Kirana</x:v>
      </x:c>
      <x:c r="F3368" t="str">
        <x:v>Mangaluru</x:v>
      </x:c>
      <x:c r="G3368" t="str">
        <x:v>Arjun</x:v>
      </x:c>
      <x:c r="H3368" t="str">
        <x:v>P045</x:v>
      </x:c>
      <x:c r="I3368" t="str">
        <x:v>Onion 25kg</x:v>
      </x:c>
      <x:c r="J3368" t="str">
        <x:v>Fresh Produce</x:v>
      </x:c>
      <x:c r="K3368" t="str">
        <x:v>Local Market</x:v>
      </x:c>
      <x:c r="L3368" s="22" t="n">
        <x:v>875</x:v>
      </x:c>
      <x:c r="M3368" t="n">
        <x:v>33</x:v>
      </x:c>
      <x:c r="N3368" s="24" t="n">
        <x:v>0.05</x:v>
      </x:c>
      <x:c r="O3368" s="22" t="n">
        <x:f>L3368*M3368</x:f>
        <x:v>28875</x:v>
      </x:c>
      <x:c r="P3368" s="22" t="n">
        <x:f>O3368*(1-N3368)</x:f>
        <x:v>27431.25</x:v>
      </x:c>
      <x:c r="Q3368" s="22" t="n">
        <x:v>760</x:v>
      </x:c>
      <x:c r="R3368" s="22" t="n">
        <x:f>Q3368*M3368</x:f>
        <x:v>25080</x:v>
      </x:c>
      <x:c r="S3368" s="22" t="n">
        <x:f>P3368-R3368</x:f>
        <x:v>2351.25</x:v>
      </x:c>
      <x:c r="T3368" t="str">
        <x:v>Credit</x:v>
      </x:c>
      <x:c r="U3368" t="str">
        <x:v>Pending</x:v>
      </x:c>
      <x:c r="V3368" t="str">
        <x:v>Delivered</x:v>
      </x:c>
      <x:c r="W3368" t="n">
        <x:v>0</x:v>
      </x:c>
      <x:c r="X3368" t="str"/>
      <x:c r="Y3368" t="str">
        <x:v>Referral</x:v>
      </x:c>
    </x:row>
    <x:row r="3369">
      <x:c r="A3369" t="str">
        <x:v>O003368</x:v>
      </x:c>
      <x:c r="B3369" s="20" t="n">
        <x:v>45834</x:v>
      </x:c>
      <x:c r="C3369" t="str">
        <x:v>C0212</x:v>
      </x:c>
      <x:c r="D3369" t="str">
        <x:v>Classic Restaurant 212</x:v>
      </x:c>
      <x:c r="E3369" t="str">
        <x:v>Restaurant</x:v>
      </x:c>
      <x:c r="F3369" t="str">
        <x:v>Mysuru</x:v>
      </x:c>
      <x:c r="G3369" t="str">
        <x:v>Vikram</x:v>
      </x:c>
      <x:c r="H3369" t="str">
        <x:v>P044</x:v>
      </x:c>
      <x:c r="I3369" t="str">
        <x:v>Chicken Curry Cut 1kg</x:v>
      </x:c>
      <x:c r="J3369" t="str">
        <x:v>Protein</x:v>
      </x:c>
      <x:c r="K3369" t="str">
        <x:v>FreshToHome</x:v>
      </x:c>
      <x:c r="L3369" s="22" t="n">
        <x:v>230</x:v>
      </x:c>
      <x:c r="M3369" t="n">
        <x:v>14</x:v>
      </x:c>
      <x:c r="N3369" s="24" t="n">
        <x:v>0.05</x:v>
      </x:c>
      <x:c r="O3369" s="22" t="n">
        <x:f>L3369*M3369</x:f>
        <x:v>3220</x:v>
      </x:c>
      <x:c r="P3369" s="22" t="n">
        <x:f>O3369*(1-N3369)</x:f>
        <x:v>3059</x:v>
      </x:c>
      <x:c r="Q3369" s="22" t="n">
        <x:v>205</x:v>
      </x:c>
      <x:c r="R3369" s="22" t="n">
        <x:f>Q3369*M3369</x:f>
        <x:v>2870</x:v>
      </x:c>
      <x:c r="S3369" s="22" t="n">
        <x:f>P3369-R3369</x:f>
        <x:v>189</x:v>
      </x:c>
      <x:c r="T3369" t="str">
        <x:v>UPI</x:v>
      </x:c>
      <x:c r="U3369" t="str">
        <x:v>Paid</x:v>
      </x:c>
      <x:c r="V3369" t="str">
        <x:v>Delivered</x:v>
      </x:c>
      <x:c r="W3369" t="n">
        <x:v>0</x:v>
      </x:c>
      <x:c r="X3369" t="str"/>
      <x:c r="Y3369" t="str">
        <x:v>Existing Customer</x:v>
      </x:c>
    </x:row>
    <x:row r="3370">
      <x:c r="A3370" t="str">
        <x:v>O003369</x:v>
      </x:c>
      <x:c r="B3370" s="20" t="n">
        <x:v>46241</x:v>
      </x:c>
      <x:c r="C3370" t="str">
        <x:v>C0168</x:v>
      </x:c>
      <x:c r="D3370" t="str">
        <x:v>Sagar Hotel 168</x:v>
      </x:c>
      <x:c r="E3370" t="str">
        <x:v>Canteen</x:v>
      </x:c>
      <x:c r="F3370" t="str">
        <x:v>Bengaluru</x:v>
      </x:c>
      <x:c r="G3370" t="str">
        <x:v>Priya</x:v>
      </x:c>
      <x:c r="H3370" t="str">
        <x:v>P047</x:v>
      </x:c>
      <x:c r="I3370" t="str">
        <x:v>Tomato 25kg</x:v>
      </x:c>
      <x:c r="J3370" t="str">
        <x:v>Fresh Produce</x:v>
      </x:c>
      <x:c r="K3370" t="str">
        <x:v>Local Market</x:v>
      </x:c>
      <x:c r="L3370" s="22" t="n">
        <x:v>950</x:v>
      </x:c>
      <x:c r="M3370" t="n">
        <x:v>15</x:v>
      </x:c>
      <x:c r="N3370" s="24" t="n">
        <x:v>0.02</x:v>
      </x:c>
      <x:c r="O3370" s="22" t="n">
        <x:f>L3370*M3370</x:f>
        <x:v>14250</x:v>
      </x:c>
      <x:c r="P3370" s="22" t="n">
        <x:f>O3370*(1-N3370)</x:f>
        <x:v>13965</x:v>
      </x:c>
      <x:c r="Q3370" s="22" t="n">
        <x:v>810</x:v>
      </x:c>
      <x:c r="R3370" s="22" t="n">
        <x:f>Q3370*M3370</x:f>
        <x:v>12150</x:v>
      </x:c>
      <x:c r="S3370" s="22" t="n">
        <x:f>P3370-R3370</x:f>
        <x:v>1815</x:v>
      </x:c>
      <x:c r="T3370" t="str">
        <x:v>Cash</x:v>
      </x:c>
      <x:c r="U3370" t="str">
        <x:v>Paid</x:v>
      </x:c>
      <x:c r="V3370" t="str">
        <x:v>Cancelled</x:v>
      </x:c>
      <x:c r="W3370" t="n">
        <x:v>15</x:v>
      </x:c>
      <x:c r="X3370" t="str">
        <x:v>Cancelled Order</x:v>
      </x:c>
      <x:c r="Y3370" t="str">
        <x:v>Field Visit</x:v>
      </x:c>
    </x:row>
    <x:row r="3371">
      <x:c r="A3371" t="str">
        <x:v>O003370</x:v>
      </x:c>
      <x:c r="B3371" s="20" t="n">
        <x:v>45730</x:v>
      </x:c>
      <x:c r="C3371" t="str">
        <x:v>C0245</x:v>
      </x:c>
      <x:c r="D3371" t="str">
        <x:v>Udupi Cafe 245</x:v>
      </x:c>
      <x:c r="E3371" t="str">
        <x:v>Canteen</x:v>
      </x:c>
      <x:c r="F3371" t="str">
        <x:v>Bengaluru</x:v>
      </x:c>
      <x:c r="G3371" t="str">
        <x:v>Priya</x:v>
      </x:c>
      <x:c r="H3371" t="str">
        <x:v>P008</x:v>
      </x:c>
      <x:c r="I3371" t="str">
        <x:v>Palm Oil 15L</x:v>
      </x:c>
      <x:c r="J3371" t="str">
        <x:v>Edible Oil</x:v>
      </x:c>
      <x:c r="K3371" t="str">
        <x:v>Ruchi Gold</x:v>
      </x:c>
      <x:c r="L3371" s="22" t="n">
        <x:v>1760</x:v>
      </x:c>
      <x:c r="M3371" t="n">
        <x:v>8</x:v>
      </x:c>
      <x:c r="N3371" s="24" t="n">
        <x:v>0.05</x:v>
      </x:c>
      <x:c r="O3371" s="22" t="n">
        <x:f>L3371*M3371</x:f>
        <x:v>14080</x:v>
      </x:c>
      <x:c r="P3371" s="22" t="n">
        <x:f>O3371*(1-N3371)</x:f>
        <x:v>13376</x:v>
      </x:c>
      <x:c r="Q3371" s="22" t="n">
        <x:v>1610</x:v>
      </x:c>
      <x:c r="R3371" s="22" t="n">
        <x:f>Q3371*M3371</x:f>
        <x:v>12880</x:v>
      </x:c>
      <x:c r="S3371" s="22" t="n">
        <x:f>P3371-R3371</x:f>
        <x:v>496</x:v>
      </x:c>
      <x:c r="T3371" t="str">
        <x:v>Credit</x:v>
      </x:c>
      <x:c r="U3371" t="str">
        <x:v>Paid</x:v>
      </x:c>
      <x:c r="V3371" t="str">
        <x:v>Delivered</x:v>
      </x:c>
      <x:c r="W3371" t="n">
        <x:v>0</x:v>
      </x:c>
      <x:c r="X3371" t="str"/>
      <x:c r="Y3371" t="str">
        <x:v>Referral</x:v>
      </x:c>
    </x:row>
    <x:row r="3372">
      <x:c r="A3372" t="str">
        <x:v>O003371</x:v>
      </x:c>
      <x:c r="B3372" s="20" t="n">
        <x:v>45868</x:v>
      </x:c>
      <x:c r="C3372" t="str">
        <x:v>C0079</x:v>
      </x:c>
      <x:c r="D3372" t="str">
        <x:v>Foodie Foods 79</x:v>
      </x:c>
      <x:c r="E3372" t="str">
        <x:v>Cafe</x:v>
      </x:c>
      <x:c r="F3372" t="str">
        <x:v>Tumakuru</x:v>
      </x:c>
      <x:c r="G3372" t="str">
        <x:v>Ramesh</x:v>
      </x:c>
      <x:c r="H3372" t="str">
        <x:v>P039</x:v>
      </x:c>
      <x:c r="I3372" t="str">
        <x:v>Ice Cream 4L</x:v>
      </x:c>
      <x:c r="J3372" t="str">
        <x:v>Frozen</x:v>
      </x:c>
      <x:c r="K3372" t="str">
        <x:v>Amul</x:v>
      </x:c>
      <x:c r="L3372" s="22" t="n">
        <x:v>480</x:v>
      </x:c>
      <x:c r="M3372" t="n">
        <x:v>16</x:v>
      </x:c>
      <x:c r="N3372" s="24" t="n">
        <x:v>0.1</x:v>
      </x:c>
      <x:c r="O3372" s="22" t="n">
        <x:f>L3372*M3372</x:f>
        <x:v>7680</x:v>
      </x:c>
      <x:c r="P3372" s="22" t="n">
        <x:f>O3372*(1-N3372)</x:f>
        <x:v>6912</x:v>
      </x:c>
      <x:c r="Q3372" s="22" t="n">
        <x:v>420</x:v>
      </x:c>
      <x:c r="R3372" s="22" t="n">
        <x:f>Q3372*M3372</x:f>
        <x:v>6720</x:v>
      </x:c>
      <x:c r="S3372" s="22" t="n">
        <x:f>P3372-R3372</x:f>
        <x:v>192</x:v>
      </x:c>
      <x:c r="T3372" t="str">
        <x:v>UPI</x:v>
      </x:c>
      <x:c r="U3372" t="str">
        <x:v>Pending</x:v>
      </x:c>
      <x:c r="V3372" t="str">
        <x:v>Delayed</x:v>
      </x:c>
      <x:c r="W3372" t="n">
        <x:v>0</x:v>
      </x:c>
      <x:c r="X3372" t="str"/>
      <x:c r="Y3372" t="str">
        <x:v>Existing Customer</x:v>
      </x:c>
    </x:row>
    <x:row r="3373">
      <x:c r="A3373" t="str">
        <x:v>O003372</x:v>
      </x:c>
      <x:c r="B3373" s="20" t="n">
        <x:v>45713</x:v>
      </x:c>
      <x:c r="C3373" t="str">
        <x:v>C0250</x:v>
      </x:c>
      <x:c r="D3373" t="str">
        <x:v>Namma Hotel 250</x:v>
      </x:c>
      <x:c r="E3373" t="str">
        <x:v>Cafe</x:v>
      </x:c>
      <x:c r="F3373" t="str">
        <x:v>Bengaluru</x:v>
      </x:c>
      <x:c r="G3373" t="str">
        <x:v>Sneha</x:v>
      </x:c>
      <x:c r="H3373" t="str">
        <x:v>P016</x:v>
      </x:c>
      <x:c r="I3373" t="str">
        <x:v>Curd 1kg</x:v>
      </x:c>
      <x:c r="J3373" t="str">
        <x:v>Dairy</x:v>
      </x:c>
      <x:c r="K3373" t="str">
        <x:v>Nandini</x:v>
      </x:c>
      <x:c r="L3373" s="22" t="n">
        <x:v>72</x:v>
      </x:c>
      <x:c r="M3373" t="n">
        <x:v>28</x:v>
      </x:c>
      <x:c r="N3373" s="24" t="n">
        <x:v>0.05</x:v>
      </x:c>
      <x:c r="O3373" s="22" t="n">
        <x:f>L3373*M3373</x:f>
        <x:v>2016</x:v>
      </x:c>
      <x:c r="P3373" s="22" t="n">
        <x:f>O3373*(1-N3373)</x:f>
        <x:v>1915.1999999999998</x:v>
      </x:c>
      <x:c r="Q3373" s="22" t="n">
        <x:v>64</x:v>
      </x:c>
      <x:c r="R3373" s="22" t="n">
        <x:f>Q3373*M3373</x:f>
        <x:v>1792</x:v>
      </x:c>
      <x:c r="S3373" s="22" t="n">
        <x:f>P3373-R3373</x:f>
        <x:v>123.19999999999982</x:v>
      </x:c>
      <x:c r="T3373" t="str">
        <x:v>Cash</x:v>
      </x:c>
      <x:c r="U3373" t="str">
        <x:v>Pending</x:v>
      </x:c>
      <x:c r="V3373" t="str">
        <x:v>Delayed</x:v>
      </x:c>
      <x:c r="W3373" t="n">
        <x:v>0</x:v>
      </x:c>
      <x:c r="X3373" t="str"/>
      <x:c r="Y3373" t="str">
        <x:v>Field Visit</x:v>
      </x:c>
    </x:row>
    <x:row r="3374">
      <x:c r="A3374" t="str">
        <x:v>O003373</x:v>
      </x:c>
      <x:c r="B3374" s="20" t="n">
        <x:v>45898</x:v>
      </x:c>
      <x:c r="C3374" t="str">
        <x:v>C0007</x:v>
      </x:c>
      <x:c r="D3374" t="str">
        <x:v>Mysore Stores 7</x:v>
      </x:c>
      <x:c r="E3374" t="str">
        <x:v>Kirana</x:v>
      </x:c>
      <x:c r="F3374" t="str">
        <x:v>Bengaluru</x:v>
      </x:c>
      <x:c r="G3374" t="str">
        <x:v>Kavya</x:v>
      </x:c>
      <x:c r="H3374" t="str">
        <x:v>P002</x:v>
      </x:c>
      <x:c r="I3374" t="str">
        <x:v>Sona Masoori Rice 25kg</x:v>
      </x:c>
      <x:c r="J3374" t="str">
        <x:v>Staples</x:v>
      </x:c>
      <x:c r="K3374" t="str">
        <x:v>Fortune</x:v>
      </x:c>
      <x:c r="L3374" s="22" t="n">
        <x:v>1320</x:v>
      </x:c>
      <x:c r="M3374" t="n">
        <x:v>2</x:v>
      </x:c>
      <x:c r="N3374" s="24" t="n">
        <x:v>0.03</x:v>
      </x:c>
      <x:c r="O3374" s="22" t="n">
        <x:f>L3374*M3374</x:f>
        <x:v>2640</x:v>
      </x:c>
      <x:c r="P3374" s="22" t="n">
        <x:f>O3374*(1-N3374)</x:f>
        <x:v>2560.7999999999997</x:v>
      </x:c>
      <x:c r="Q3374" s="22" t="n">
        <x:v>1160</x:v>
      </x:c>
      <x:c r="R3374" s="22" t="n">
        <x:f>Q3374*M3374</x:f>
        <x:v>2320</x:v>
      </x:c>
      <x:c r="S3374" s="22" t="n">
        <x:f>P3374-R3374</x:f>
        <x:v>240.79999999999973</x:v>
      </x:c>
      <x:c r="T3374" t="str">
        <x:v>UPI</x:v>
      </x:c>
      <x:c r="U3374" t="str">
        <x:v>Paid</x:v>
      </x:c>
      <x:c r="V3374" t="str">
        <x:v>Delivered</x:v>
      </x:c>
      <x:c r="W3374" t="n">
        <x:v>0</x:v>
      </x:c>
      <x:c r="X3374" t="str"/>
      <x:c r="Y3374" t="str">
        <x:v>Field Visit</x:v>
      </x:c>
    </x:row>
    <x:row r="3375">
      <x:c r="A3375" t="str">
        <x:v>O003374</x:v>
      </x:c>
      <x:c r="B3375" s="20" t="n">
        <x:v>45703</x:v>
      </x:c>
      <x:c r="C3375" t="str">
        <x:v>C0174</x:v>
      </x:c>
      <x:c r="D3375" t="str">
        <x:v>Classic Stores 174</x:v>
      </x:c>
      <x:c r="E3375" t="str">
        <x:v>Kirana</x:v>
      </x:c>
      <x:c r="F3375" t="str">
        <x:v>Mysuru</x:v>
      </x:c>
      <x:c r="G3375" t="str">
        <x:v>Vikram</x:v>
      </x:c>
      <x:c r="H3375" t="str">
        <x:v>P003</x:v>
      </x:c>
      <x:c r="I3375" t="str">
        <x:v>Basmati Rice 5kg</x:v>
      </x:c>
      <x:c r="J3375" t="str">
        <x:v>Staples</x:v>
      </x:c>
      <x:c r="K3375" t="str">
        <x:v>India Gate</x:v>
      </x:c>
      <x:c r="L3375" s="22" t="n">
        <x:v>690</x:v>
      </x:c>
      <x:c r="M3375" t="n">
        <x:v>9</x:v>
      </x:c>
      <x:c r="N3375" s="24" t="n">
        <x:v>0</x:v>
      </x:c>
      <x:c r="O3375" s="22" t="n">
        <x:f>L3375*M3375</x:f>
        <x:v>6210</x:v>
      </x:c>
      <x:c r="P3375" s="22" t="n">
        <x:f>O3375*(1-N3375)</x:f>
        <x:v>6210</x:v>
      </x:c>
      <x:c r="Q3375" s="22" t="n">
        <x:v>610</x:v>
      </x:c>
      <x:c r="R3375" s="22" t="n">
        <x:f>Q3375*M3375</x:f>
        <x:v>5490</x:v>
      </x:c>
      <x:c r="S3375" s="22" t="n">
        <x:f>P3375-R3375</x:f>
        <x:v>720</x:v>
      </x:c>
      <x:c r="T3375" t="str">
        <x:v>Bank Transfer</x:v>
      </x:c>
      <x:c r="U3375" t="str">
        <x:v>Paid</x:v>
      </x:c>
      <x:c r="V3375" t="str">
        <x:v>Cancelled</x:v>
      </x:c>
      <x:c r="W3375" t="n">
        <x:v>9</x:v>
      </x:c>
      <x:c r="X3375" t="str">
        <x:v>Cancelled Order</x:v>
      </x:c>
      <x:c r="Y3375" t="str">
        <x:v>Field Visit</x:v>
      </x:c>
    </x:row>
    <x:row r="3376">
      <x:c r="A3376" t="str">
        <x:v>O003375</x:v>
      </x:c>
      <x:c r="B3376" s="20" t="n">
        <x:v>45704</x:v>
      </x:c>
      <x:c r="C3376" t="str">
        <x:v>C0023</x:v>
      </x:c>
      <x:c r="D3376" t="str">
        <x:v>Mysore Canteen 23</x:v>
      </x:c>
      <x:c r="E3376" t="str">
        <x:v>Cafe</x:v>
      </x:c>
      <x:c r="F3376" t="str">
        <x:v>Hubballi</x:v>
      </x:c>
      <x:c r="G3376" t="str">
        <x:v>Sneha</x:v>
      </x:c>
      <x:c r="H3376" t="str">
        <x:v>P029</x:v>
      </x:c>
      <x:c r="I3376" t="str">
        <x:v>Tomato Ketchup 1kg</x:v>
      </x:c>
      <x:c r="J3376" t="str">
        <x:v>Condiments</x:v>
      </x:c>
      <x:c r="K3376" t="str">
        <x:v>Kissan</x:v>
      </x:c>
      <x:c r="L3376" s="22" t="n">
        <x:v>145</x:v>
      </x:c>
      <x:c r="M3376" t="n">
        <x:v>9</x:v>
      </x:c>
      <x:c r="N3376" s="24" t="n">
        <x:v>0.03</x:v>
      </x:c>
      <x:c r="O3376" s="22" t="n">
        <x:f>L3376*M3376</x:f>
        <x:v>1305</x:v>
      </x:c>
      <x:c r="P3376" s="22" t="n">
        <x:f>O3376*(1-N3376)</x:f>
        <x:v>1265.85</x:v>
      </x:c>
      <x:c r="Q3376" s="22" t="n">
        <x:v>126</x:v>
      </x:c>
      <x:c r="R3376" s="22" t="n">
        <x:f>Q3376*M3376</x:f>
        <x:v>1134</x:v>
      </x:c>
      <x:c r="S3376" s="22" t="n">
        <x:f>P3376-R3376</x:f>
        <x:v>131.8499999999999</x:v>
      </x:c>
      <x:c r="T3376" t="str">
        <x:v>Credit</x:v>
      </x:c>
      <x:c r="U3376" t="str">
        <x:v>Paid</x:v>
      </x:c>
      <x:c r="V3376" t="str">
        <x:v>Cancelled</x:v>
      </x:c>
      <x:c r="W3376" t="n">
        <x:v>9</x:v>
      </x:c>
      <x:c r="X3376" t="str">
        <x:v>Cancelled Order</x:v>
      </x:c>
      <x:c r="Y3376" t="str">
        <x:v>Existing Customer</x:v>
      </x:c>
    </x:row>
    <x:row r="3377">
      <x:c r="A3377" t="str">
        <x:v>O003376</x:v>
      </x:c>
      <x:c r="B3377" s="20" t="n">
        <x:v>45854</x:v>
      </x:c>
      <x:c r="C3377" t="str">
        <x:v>C0115</x:v>
      </x:c>
      <x:c r="D3377" t="str">
        <x:v>Mysore Mart 115</x:v>
      </x:c>
      <x:c r="E3377" t="str">
        <x:v>Kirana</x:v>
      </x:c>
      <x:c r="F3377" t="str">
        <x:v>Mangaluru</x:v>
      </x:c>
      <x:c r="G3377" t="str">
        <x:v>Arjun</x:v>
      </x:c>
      <x:c r="H3377" t="str">
        <x:v>P042</x:v>
      </x:c>
      <x:c r="I3377" t="str">
        <x:v>Eggs 30pc Tray</x:v>
      </x:c>
      <x:c r="J3377" t="str">
        <x:v>Protein</x:v>
      </x:c>
      <x:c r="K3377" t="str">
        <x:v>Farm Fresh</x:v>
      </x:c>
      <x:c r="L3377" s="22" t="n">
        <x:v>195</x:v>
      </x:c>
      <x:c r="M3377" t="n">
        <x:v>12</x:v>
      </x:c>
      <x:c r="N3377" s="24" t="n">
        <x:v>0.05</x:v>
      </x:c>
      <x:c r="O3377" s="22" t="n">
        <x:f>L3377*M3377</x:f>
        <x:v>2340</x:v>
      </x:c>
      <x:c r="P3377" s="22" t="n">
        <x:f>O3377*(1-N3377)</x:f>
        <x:v>2223</x:v>
      </x:c>
      <x:c r="Q3377" s="22" t="n">
        <x:v>170</x:v>
      </x:c>
      <x:c r="R3377" s="22" t="n">
        <x:f>Q3377*M3377</x:f>
        <x:v>2040</x:v>
      </x:c>
      <x:c r="S3377" s="22" t="n">
        <x:f>P3377-R3377</x:f>
        <x:v>183</x:v>
      </x:c>
      <x:c r="T3377" t="str">
        <x:v>Cash</x:v>
      </x:c>
      <x:c r="U3377" t="str">
        <x:v>Paid</x:v>
      </x:c>
      <x:c r="V3377" t="str">
        <x:v>Delayed</x:v>
      </x:c>
      <x:c r="W3377" t="n">
        <x:v>0</x:v>
      </x:c>
      <x:c r="X3377" t="str"/>
      <x:c r="Y3377" t="str">
        <x:v>WhatsApp</x:v>
      </x:c>
    </x:row>
    <x:row r="3378">
      <x:c r="A3378" t="str">
        <x:v>O003377</x:v>
      </x:c>
      <x:c r="B3378" s="20" t="n">
        <x:v>45872</x:v>
      </x:c>
      <x:c r="C3378" t="str">
        <x:v>C0219</x:v>
      </x:c>
      <x:c r="D3378" t="str">
        <x:v>Udupi Restaurant 219</x:v>
      </x:c>
      <x:c r="E3378" t="str">
        <x:v>Kirana</x:v>
      </x:c>
      <x:c r="F3378" t="str">
        <x:v>Mangaluru</x:v>
      </x:c>
      <x:c r="G3378" t="str">
        <x:v>Kavya</x:v>
      </x:c>
      <x:c r="H3378" t="str">
        <x:v>P001</x:v>
      </x:c>
      <x:c r="I3378" t="str">
        <x:v>Steam Rice 25kg</x:v>
      </x:c>
      <x:c r="J3378" t="str">
        <x:v>Staples</x:v>
      </x:c>
      <x:c r="K3378" t="str">
        <x:v>Aishwarya</x:v>
      </x:c>
      <x:c r="L3378" s="22" t="n">
        <x:v>1180</x:v>
      </x:c>
      <x:c r="M3378" t="n">
        <x:v>1</x:v>
      </x:c>
      <x:c r="N3378" s="24" t="n">
        <x:v>0.02</x:v>
      </x:c>
      <x:c r="O3378" s="22" t="n">
        <x:f>L3378*M3378</x:f>
        <x:v>1180</x:v>
      </x:c>
      <x:c r="P3378" s="22" t="n">
        <x:f>O3378*(1-N3378)</x:f>
        <x:v>1156.4</x:v>
      </x:c>
      <x:c r="Q3378" s="22" t="n">
        <x:v>1040</x:v>
      </x:c>
      <x:c r="R3378" s="22" t="n">
        <x:f>Q3378*M3378</x:f>
        <x:v>1040</x:v>
      </x:c>
      <x:c r="S3378" s="22" t="n">
        <x:f>P3378-R3378</x:f>
        <x:v>116.40000000000009</x:v>
      </x:c>
      <x:c r="T3378" t="str">
        <x:v>Cash</x:v>
      </x:c>
      <x:c r="U3378" t="str">
        <x:v>Paid</x:v>
      </x:c>
      <x:c r="V3378" t="str">
        <x:v>Delivered</x:v>
      </x:c>
      <x:c r="W3378" t="n">
        <x:v>0</x:v>
      </x:c>
      <x:c r="X3378" t="str"/>
      <x:c r="Y3378" t="str">
        <x:v>Referral</x:v>
      </x:c>
    </x:row>
    <x:row r="3379">
      <x:c r="A3379" t="str">
        <x:v>O003378</x:v>
      </x:c>
      <x:c r="B3379" s="20" t="n">
        <x:v>45702</x:v>
      </x:c>
      <x:c r="C3379" t="str">
        <x:v>C0034</x:v>
      </x:c>
      <x:c r="D3379" t="str">
        <x:v>City Restaurant 34</x:v>
      </x:c>
      <x:c r="E3379" t="str">
        <x:v>Restaurant</x:v>
      </x:c>
      <x:c r="F3379" t="str">
        <x:v>Mangaluru</x:v>
      </x:c>
      <x:c r="G3379" t="str">
        <x:v>Sneha</x:v>
      </x:c>
      <x:c r="H3379" t="str">
        <x:v>P007</x:v>
      </x:c>
      <x:c r="I3379" t="str">
        <x:v>Sunflower Oil 15L</x:v>
      </x:c>
      <x:c r="J3379" t="str">
        <x:v>Edible Oil</x:v>
      </x:c>
      <x:c r="K3379" t="str">
        <x:v>Fortune</x:v>
      </x:c>
      <x:c r="L3379" s="22" t="n">
        <x:v>1980</x:v>
      </x:c>
      <x:c r="M3379" t="n">
        <x:v>6</x:v>
      </x:c>
      <x:c r="N3379" s="24" t="n">
        <x:v>0</x:v>
      </x:c>
      <x:c r="O3379" s="22" t="n">
        <x:f>L3379*M3379</x:f>
        <x:v>11880</x:v>
      </x:c>
      <x:c r="P3379" s="22" t="n">
        <x:f>O3379*(1-N3379)</x:f>
        <x:v>11880</x:v>
      </x:c>
      <x:c r="Q3379" s="22" t="n">
        <x:v>1810</x:v>
      </x:c>
      <x:c r="R3379" s="22" t="n">
        <x:f>Q3379*M3379</x:f>
        <x:v>10860</x:v>
      </x:c>
      <x:c r="S3379" s="22" t="n">
        <x:f>P3379-R3379</x:f>
        <x:v>1020</x:v>
      </x:c>
      <x:c r="T3379" t="str">
        <x:v>UPI</x:v>
      </x:c>
      <x:c r="U3379" t="str">
        <x:v>Pending</x:v>
      </x:c>
      <x:c r="V3379" t="str">
        <x:v>Delivered</x:v>
      </x:c>
      <x:c r="W3379" t="n">
        <x:v>0</x:v>
      </x:c>
      <x:c r="X3379" t="str"/>
      <x:c r="Y3379" t="str">
        <x:v>Outbound Call</x:v>
      </x:c>
    </x:row>
    <x:row r="3380">
      <x:c r="A3380" t="str">
        <x:v>O003379</x:v>
      </x:c>
      <x:c r="B3380" s="20" t="n">
        <x:v>45771</x:v>
      </x:c>
      <x:c r="C3380" t="str">
        <x:v>C0162</x:v>
      </x:c>
      <x:c r="D3380" t="str">
        <x:v>Udupi Foods 162</x:v>
      </x:c>
      <x:c r="E3380" t="str">
        <x:v>Restaurant</x:v>
      </x:c>
      <x:c r="F3380" t="str">
        <x:v>Mysuru</x:v>
      </x:c>
      <x:c r="G3380" t="str">
        <x:v>Ramesh</x:v>
      </x:c>
      <x:c r="H3380" t="str">
        <x:v>P019</x:v>
      </x:c>
      <x:c r="I3380" t="str">
        <x:v>Tea 1kg</x:v>
      </x:c>
      <x:c r="J3380" t="str">
        <x:v>Beverage</x:v>
      </x:c>
      <x:c r="K3380" t="str">
        <x:v>Red Label</x:v>
      </x:c>
      <x:c r="L3380" s="22" t="n">
        <x:v>540</x:v>
      </x:c>
      <x:c r="M3380" t="n">
        <x:v>13</x:v>
      </x:c>
      <x:c r="N3380" s="24" t="n">
        <x:v>0</x:v>
      </x:c>
      <x:c r="O3380" s="22" t="n">
        <x:f>L3380*M3380</x:f>
        <x:v>7020</x:v>
      </x:c>
      <x:c r="P3380" s="22" t="n">
        <x:f>O3380*(1-N3380)</x:f>
        <x:v>7020</x:v>
      </x:c>
      <x:c r="Q3380" s="22" t="n">
        <x:v>485</x:v>
      </x:c>
      <x:c r="R3380" s="22" t="n">
        <x:f>Q3380*M3380</x:f>
        <x:v>6305</x:v>
      </x:c>
      <x:c r="S3380" s="22" t="n">
        <x:f>P3380-R3380</x:f>
        <x:v>715</x:v>
      </x:c>
      <x:c r="T3380" t="str">
        <x:v>Cash</x:v>
      </x:c>
      <x:c r="U3380" t="str">
        <x:v>Paid</x:v>
      </x:c>
      <x:c r="V3380" t="str">
        <x:v>Cancelled</x:v>
      </x:c>
      <x:c r="W3380" t="n">
        <x:v>13</x:v>
      </x:c>
      <x:c r="X3380" t="str">
        <x:v>Cancelled Order</x:v>
      </x:c>
      <x:c r="Y3380" t="str">
        <x:v>WhatsApp</x:v>
      </x:c>
    </x:row>
    <x:row r="3381">
      <x:c r="A3381" t="str">
        <x:v>O003380</x:v>
      </x:c>
      <x:c r="B3381" s="20" t="n">
        <x:v>46141</x:v>
      </x:c>
      <x:c r="C3381" t="str">
        <x:v>C0035</x:v>
      </x:c>
      <x:c r="D3381" t="str">
        <x:v>City Foods 35</x:v>
      </x:c>
      <x:c r="E3381" t="str">
        <x:v>Kirana</x:v>
      </x:c>
      <x:c r="F3381" t="str">
        <x:v>Bengaluru</x:v>
      </x:c>
      <x:c r="G3381" t="str">
        <x:v>Megha</x:v>
      </x:c>
      <x:c r="H3381" t="str">
        <x:v>P004</x:v>
      </x:c>
      <x:c r="I3381" t="str">
        <x:v>Toor Dal 5kg</x:v>
      </x:c>
      <x:c r="J3381" t="str">
        <x:v>Pulses</x:v>
      </x:c>
      <x:c r="K3381" t="str">
        <x:v>Tata Sampann</x:v>
      </x:c>
      <x:c r="L3381" s="22" t="n">
        <x:v>780</x:v>
      </x:c>
      <x:c r="M3381" t="n">
        <x:v>10</x:v>
      </x:c>
      <x:c r="N3381" s="24" t="n">
        <x:v>0.05</x:v>
      </x:c>
      <x:c r="O3381" s="22" t="n">
        <x:f>L3381*M3381</x:f>
        <x:v>7800</x:v>
      </x:c>
      <x:c r="P3381" s="22" t="n">
        <x:f>O3381*(1-N3381)</x:f>
        <x:v>7410</x:v>
      </x:c>
      <x:c r="Q3381" s="22" t="n">
        <x:v>695</x:v>
      </x:c>
      <x:c r="R3381" s="22" t="n">
        <x:f>Q3381*M3381</x:f>
        <x:v>6950</x:v>
      </x:c>
      <x:c r="S3381" s="22" t="n">
        <x:f>P3381-R3381</x:f>
        <x:v>460</x:v>
      </x:c>
      <x:c r="T3381" t="str">
        <x:v>Bank Transfer</x:v>
      </x:c>
      <x:c r="U3381" t="str">
        <x:v>Paid</x:v>
      </x:c>
      <x:c r="V3381" t="str">
        <x:v>Delayed</x:v>
      </x:c>
      <x:c r="W3381" t="n">
        <x:v>0</x:v>
      </x:c>
      <x:c r="X3381" t="str"/>
      <x:c r="Y3381" t="str">
        <x:v>Field Visit</x:v>
      </x:c>
    </x:row>
    <x:row r="3382">
      <x:c r="A3382" t="str">
        <x:v>O003381</x:v>
      </x:c>
      <x:c r="B3382" s="20" t="n">
        <x:v>46133</x:v>
      </x:c>
      <x:c r="C3382" t="str">
        <x:v>C0221</x:v>
      </x:c>
      <x:c r="D3382" t="str">
        <x:v>Cafe Canteen 221</x:v>
      </x:c>
      <x:c r="E3382" t="str">
        <x:v>Hotel</x:v>
      </x:c>
      <x:c r="F3382" t="str">
        <x:v>Hubballi</x:v>
      </x:c>
      <x:c r="G3382" t="str">
        <x:v>Kavya</x:v>
      </x:c>
      <x:c r="H3382" t="str">
        <x:v>P045</x:v>
      </x:c>
      <x:c r="I3382" t="str">
        <x:v>Onion 25kg</x:v>
      </x:c>
      <x:c r="J3382" t="str">
        <x:v>Fresh Produce</x:v>
      </x:c>
      <x:c r="K3382" t="str">
        <x:v>Local Market</x:v>
      </x:c>
      <x:c r="L3382" s="22" t="n">
        <x:v>875</x:v>
      </x:c>
      <x:c r="M3382" t="n">
        <x:v>9</x:v>
      </x:c>
      <x:c r="N3382" s="24" t="n">
        <x:v>0.05</x:v>
      </x:c>
      <x:c r="O3382" s="22" t="n">
        <x:f>L3382*M3382</x:f>
        <x:v>7875</x:v>
      </x:c>
      <x:c r="P3382" s="22" t="n">
        <x:f>O3382*(1-N3382)</x:f>
        <x:v>7481.25</x:v>
      </x:c>
      <x:c r="Q3382" s="22" t="n">
        <x:v>760</x:v>
      </x:c>
      <x:c r="R3382" s="22" t="n">
        <x:f>Q3382*M3382</x:f>
        <x:v>6840</x:v>
      </x:c>
      <x:c r="S3382" s="22" t="n">
        <x:f>P3382-R3382</x:f>
        <x:v>641.25</x:v>
      </x:c>
      <x:c r="T3382" t="str">
        <x:v>Credit</x:v>
      </x:c>
      <x:c r="U3382" t="str">
        <x:v>Paid</x:v>
      </x:c>
      <x:c r="V3382" t="str">
        <x:v>Delivered</x:v>
      </x:c>
      <x:c r="W3382" t="n">
        <x:v>0</x:v>
      </x:c>
      <x:c r="X3382" t="str"/>
      <x:c r="Y3382" t="str">
        <x:v>Existing Customer</x:v>
      </x:c>
    </x:row>
    <x:row r="3383">
      <x:c r="A3383" t="str">
        <x:v>O003382</x:v>
      </x:c>
      <x:c r="B3383" s="20" t="n">
        <x:v>46225</x:v>
      </x:c>
      <x:c r="C3383" t="str">
        <x:v>C0144</x:v>
      </x:c>
      <x:c r="D3383" t="str">
        <x:v>Namma Foods 144</x:v>
      </x:c>
      <x:c r="E3383" t="str">
        <x:v>Restaurant</x:v>
      </x:c>
      <x:c r="F3383" t="str">
        <x:v>Tumakuru</x:v>
      </x:c>
      <x:c r="G3383" t="str">
        <x:v>Arjun</x:v>
      </x:c>
      <x:c r="H3383" t="str">
        <x:v>P038</x:v>
      </x:c>
      <x:c r="I3383" t="str">
        <x:v>French Fries 2.5kg</x:v>
      </x:c>
      <x:c r="J3383" t="str">
        <x:v>Frozen</x:v>
      </x:c>
      <x:c r="K3383" t="str">
        <x:v>McCain</x:v>
      </x:c>
      <x:c r="L3383" s="22" t="n">
        <x:v>360</x:v>
      </x:c>
      <x:c r="M3383" t="n">
        <x:v>32</x:v>
      </x:c>
      <x:c r="N3383" s="24" t="n">
        <x:v>0.05</x:v>
      </x:c>
      <x:c r="O3383" s="22" t="n">
        <x:f>L3383*M3383</x:f>
        <x:v>11520</x:v>
      </x:c>
      <x:c r="P3383" s="22" t="n">
        <x:f>O3383*(1-N3383)</x:f>
        <x:v>10944</x:v>
      </x:c>
      <x:c r="Q3383" s="22" t="n">
        <x:v>315</x:v>
      </x:c>
      <x:c r="R3383" s="22" t="n">
        <x:f>Q3383*M3383</x:f>
        <x:v>10080</x:v>
      </x:c>
      <x:c r="S3383" s="22" t="n">
        <x:f>P3383-R3383</x:f>
        <x:v>864</x:v>
      </x:c>
      <x:c r="T3383" t="str">
        <x:v>Credit</x:v>
      </x:c>
      <x:c r="U3383" t="str">
        <x:v>Paid</x:v>
      </x:c>
      <x:c r="V3383" t="str">
        <x:v>Delivered</x:v>
      </x:c>
      <x:c r="W3383" t="n">
        <x:v>0</x:v>
      </x:c>
      <x:c r="X3383" t="str"/>
      <x:c r="Y3383" t="str">
        <x:v>Field Visit</x:v>
      </x:c>
    </x:row>
    <x:row r="3384">
      <x:c r="A3384" t="str">
        <x:v>O003383</x:v>
      </x:c>
      <x:c r="B3384" s="20" t="n">
        <x:v>46149</x:v>
      </x:c>
      <x:c r="C3384" t="str">
        <x:v>C0056</x:v>
      </x:c>
      <x:c r="D3384" t="str">
        <x:v>City Stores 56</x:v>
      </x:c>
      <x:c r="E3384" t="str">
        <x:v>Canteen</x:v>
      </x:c>
      <x:c r="F3384" t="str">
        <x:v>Davanagere</x:v>
      </x:c>
      <x:c r="G3384" t="str">
        <x:v>Imran</x:v>
      </x:c>
      <x:c r="H3384" t="str">
        <x:v>P033</x:v>
      </x:c>
      <x:c r="I3384" t="str">
        <x:v>Turmeric Powder 1kg</x:v>
      </x:c>
      <x:c r="J3384" t="str">
        <x:v>Spices</x:v>
      </x:c>
      <x:c r="K3384" t="str">
        <x:v>Everest</x:v>
      </x:c>
      <x:c r="L3384" s="22" t="n">
        <x:v>310</x:v>
      </x:c>
      <x:c r="M3384" t="n">
        <x:v>30</x:v>
      </x:c>
      <x:c r="N3384" s="24" t="n">
        <x:v>0.05</x:v>
      </x:c>
      <x:c r="O3384" s="22" t="n">
        <x:f>L3384*M3384</x:f>
        <x:v>9300</x:v>
      </x:c>
      <x:c r="P3384" s="22" t="n">
        <x:f>O3384*(1-N3384)</x:f>
        <x:v>8835</x:v>
      </x:c>
      <x:c r="Q3384" s="22" t="n">
        <x:v>270</x:v>
      </x:c>
      <x:c r="R3384" s="22" t="n">
        <x:f>Q3384*M3384</x:f>
        <x:v>8100</x:v>
      </x:c>
      <x:c r="S3384" s="22" t="n">
        <x:f>P3384-R3384</x:f>
        <x:v>735</x:v>
      </x:c>
      <x:c r="T3384" t="str">
        <x:v>Bank Transfer</x:v>
      </x:c>
      <x:c r="U3384" t="str">
        <x:v>Pending</x:v>
      </x:c>
      <x:c r="V3384" t="str">
        <x:v>Delayed</x:v>
      </x:c>
      <x:c r="W3384" t="n">
        <x:v>0</x:v>
      </x:c>
      <x:c r="X3384" t="str"/>
      <x:c r="Y3384" t="str">
        <x:v>Existing Customer</x:v>
      </x:c>
    </x:row>
    <x:row r="3385">
      <x:c r="A3385" t="str">
        <x:v>O003384</x:v>
      </x:c>
      <x:c r="B3385" s="20" t="n">
        <x:v>45886</x:v>
      </x:c>
      <x:c r="C3385" t="str">
        <x:v>C0249</x:v>
      </x:c>
      <x:c r="D3385" t="str">
        <x:v>City Hotel 249</x:v>
      </x:c>
      <x:c r="E3385" t="str">
        <x:v>Supermarket</x:v>
      </x:c>
      <x:c r="F3385" t="str">
        <x:v>Mysuru</x:v>
      </x:c>
      <x:c r="G3385" t="str">
        <x:v>Arjun</x:v>
      </x:c>
      <x:c r="H3385" t="str">
        <x:v>P037</x:v>
      </x:c>
      <x:c r="I3385" t="str">
        <x:v>Frozen Peas 1kg</x:v>
      </x:c>
      <x:c r="J3385" t="str">
        <x:v>Frozen</x:v>
      </x:c>
      <x:c r="K3385" t="str">
        <x:v>Safal</x:v>
      </x:c>
      <x:c r="L3385" s="22" t="n">
        <x:v>155</x:v>
      </x:c>
      <x:c r="M3385" t="n">
        <x:v>40</x:v>
      </x:c>
      <x:c r="N3385" s="24" t="n">
        <x:v>0.03</x:v>
      </x:c>
      <x:c r="O3385" s="22" t="n">
        <x:f>L3385*M3385</x:f>
        <x:v>6200</x:v>
      </x:c>
      <x:c r="P3385" s="22" t="n">
        <x:f>O3385*(1-N3385)</x:f>
        <x:v>6014</x:v>
      </x:c>
      <x:c r="Q3385" s="22" t="n">
        <x:v>138</x:v>
      </x:c>
      <x:c r="R3385" s="22" t="n">
        <x:f>Q3385*M3385</x:f>
        <x:v>5520</x:v>
      </x:c>
      <x:c r="S3385" s="22" t="n">
        <x:f>P3385-R3385</x:f>
        <x:v>494</x:v>
      </x:c>
      <x:c r="T3385" t="str">
        <x:v>Bank Transfer</x:v>
      </x:c>
      <x:c r="U3385" t="str">
        <x:v>Paid</x:v>
      </x:c>
      <x:c r="V3385" t="str">
        <x:v>Delayed</x:v>
      </x:c>
      <x:c r="W3385" t="n">
        <x:v>0</x:v>
      </x:c>
      <x:c r="X3385" t="str"/>
      <x:c r="Y3385" t="str">
        <x:v>WhatsApp</x:v>
      </x:c>
    </x:row>
    <x:row r="3386">
      <x:c r="A3386" t="str">
        <x:v>O003385</x:v>
      </x:c>
      <x:c r="B3386" s="20" t="n">
        <x:v>45777</x:v>
      </x:c>
      <x:c r="C3386" t="str">
        <x:v>C0071</x:v>
      </x:c>
      <x:c r="D3386" t="str">
        <x:v>Shree Restaurant 71</x:v>
      </x:c>
      <x:c r="E3386" t="str">
        <x:v>Cafe</x:v>
      </x:c>
      <x:c r="F3386" t="str">
        <x:v>Tumakuru</x:v>
      </x:c>
      <x:c r="G3386" t="str">
        <x:v>Sneha</x:v>
      </x:c>
      <x:c r="H3386" t="str">
        <x:v>P024</x:v>
      </x:c>
      <x:c r="I3386" t="str">
        <x:v>Orange Drink 1L</x:v>
      </x:c>
      <x:c r="J3386" t="str">
        <x:v>Beverage</x:v>
      </x:c>
      <x:c r="K3386" t="str">
        <x:v>Minute Maid</x:v>
      </x:c>
      <x:c r="L3386" s="22" t="n">
        <x:v>105</x:v>
      </x:c>
      <x:c r="M3386" t="n">
        <x:v>38</x:v>
      </x:c>
      <x:c r="N3386" s="24" t="n">
        <x:v>0.02</x:v>
      </x:c>
      <x:c r="O3386" s="22" t="n">
        <x:f>L3386*M3386</x:f>
        <x:v>3990</x:v>
      </x:c>
      <x:c r="P3386" s="22" t="n">
        <x:f>O3386*(1-N3386)</x:f>
        <x:v>3910.2</x:v>
      </x:c>
      <x:c r="Q3386" s="22" t="n">
        <x:v>88</x:v>
      </x:c>
      <x:c r="R3386" s="22" t="n">
        <x:f>Q3386*M3386</x:f>
        <x:v>3344</x:v>
      </x:c>
      <x:c r="S3386" s="22" t="n">
        <x:f>P3386-R3386</x:f>
        <x:v>566.1999999999998</x:v>
      </x:c>
      <x:c r="T3386" t="str">
        <x:v>Cash</x:v>
      </x:c>
      <x:c r="U3386" t="str">
        <x:v>Pending</x:v>
      </x:c>
      <x:c r="V3386" t="str">
        <x:v>Delivered</x:v>
      </x:c>
      <x:c r="W3386" t="n">
        <x:v>0</x:v>
      </x:c>
      <x:c r="X3386" t="str"/>
      <x:c r="Y3386" t="str">
        <x:v>Outbound Call</x:v>
      </x:c>
    </x:row>
    <x:row r="3387">
      <x:c r="A3387" t="str">
        <x:v>O003386</x:v>
      </x:c>
      <x:c r="B3387" s="20" t="n">
        <x:v>45886</x:v>
      </x:c>
      <x:c r="C3387" t="str">
        <x:v>C0203</x:v>
      </x:c>
      <x:c r="D3387" t="str">
        <x:v>Namma Mart 203</x:v>
      </x:c>
      <x:c r="E3387" t="str">
        <x:v>Kirana</x:v>
      </x:c>
      <x:c r="F3387" t="str">
        <x:v>Tumakuru</x:v>
      </x:c>
      <x:c r="G3387" t="str">
        <x:v>Priya</x:v>
      </x:c>
      <x:c r="H3387" t="str">
        <x:v>P030</x:v>
      </x:c>
      <x:c r="I3387" t="str">
        <x:v>Mayonnaise 1kg</x:v>
      </x:c>
      <x:c r="J3387" t="str">
        <x:v>Condiments</x:v>
      </x:c>
      <x:c r="K3387" t="str">
        <x:v>Veeba</x:v>
      </x:c>
      <x:c r="L3387" s="22" t="n">
        <x:v>210</x:v>
      </x:c>
      <x:c r="M3387" t="n">
        <x:v>18</x:v>
      </x:c>
      <x:c r="N3387" s="24" t="n">
        <x:v>0</x:v>
      </x:c>
      <x:c r="O3387" s="22" t="n">
        <x:f>L3387*M3387</x:f>
        <x:v>3780</x:v>
      </x:c>
      <x:c r="P3387" s="22" t="n">
        <x:f>O3387*(1-N3387)</x:f>
        <x:v>3780</x:v>
      </x:c>
      <x:c r="Q3387" s="22" t="n">
        <x:v>185</x:v>
      </x:c>
      <x:c r="R3387" s="22" t="n">
        <x:f>Q3387*M3387</x:f>
        <x:v>3330</x:v>
      </x:c>
      <x:c r="S3387" s="22" t="n">
        <x:f>P3387-R3387</x:f>
        <x:v>450</x:v>
      </x:c>
      <x:c r="T3387" t="str">
        <x:v>UPI</x:v>
      </x:c>
      <x:c r="U3387" t="str">
        <x:v>Paid</x:v>
      </x:c>
      <x:c r="V3387" t="str">
        <x:v>Delayed</x:v>
      </x:c>
      <x:c r="W3387" t="n">
        <x:v>0</x:v>
      </x:c>
      <x:c r="X3387" t="str"/>
      <x:c r="Y3387" t="str">
        <x:v>WhatsApp</x:v>
      </x:c>
    </x:row>
    <x:row r="3388">
      <x:c r="A3388" t="str">
        <x:v>O003387</x:v>
      </x:c>
      <x:c r="B3388" s="20" t="n">
        <x:v>45699</x:v>
      </x:c>
      <x:c r="C3388" t="str">
        <x:v>C0187</x:v>
      </x:c>
      <x:c r="D3388" t="str">
        <x:v>City Cafe 187</x:v>
      </x:c>
      <x:c r="E3388" t="str">
        <x:v>Hotel</x:v>
      </x:c>
      <x:c r="F3388" t="str">
        <x:v>Mysuru</x:v>
      </x:c>
      <x:c r="G3388" t="str">
        <x:v>Priya</x:v>
      </x:c>
      <x:c r="H3388" t="str">
        <x:v>P044</x:v>
      </x:c>
      <x:c r="I3388" t="str">
        <x:v>Chicken Curry Cut 1kg</x:v>
      </x:c>
      <x:c r="J3388" t="str">
        <x:v>Protein</x:v>
      </x:c>
      <x:c r="K3388" t="str">
        <x:v>FreshToHome</x:v>
      </x:c>
      <x:c r="L3388" s="22" t="n">
        <x:v>230</x:v>
      </x:c>
      <x:c r="M3388" t="n">
        <x:v>16</x:v>
      </x:c>
      <x:c r="N3388" s="24" t="n">
        <x:v>0.05</x:v>
      </x:c>
      <x:c r="O3388" s="22" t="n">
        <x:f>L3388*M3388</x:f>
        <x:v>3680</x:v>
      </x:c>
      <x:c r="P3388" s="22" t="n">
        <x:f>O3388*(1-N3388)</x:f>
        <x:v>3496</x:v>
      </x:c>
      <x:c r="Q3388" s="22" t="n">
        <x:v>205</x:v>
      </x:c>
      <x:c r="R3388" s="22" t="n">
        <x:f>Q3388*M3388</x:f>
        <x:v>3280</x:v>
      </x:c>
      <x:c r="S3388" s="22" t="n">
        <x:f>P3388-R3388</x:f>
        <x:v>216</x:v>
      </x:c>
      <x:c r="T3388" t="str">
        <x:v>UPI</x:v>
      </x:c>
      <x:c r="U3388" t="str">
        <x:v>Paid</x:v>
      </x:c>
      <x:c r="V3388" t="str">
        <x:v>Delivered</x:v>
      </x:c>
      <x:c r="W3388" t="n">
        <x:v>0</x:v>
      </x:c>
      <x:c r="X3388" t="str"/>
      <x:c r="Y3388" t="str">
        <x:v>Existing Customer</x:v>
      </x:c>
    </x:row>
    <x:row r="3389">
      <x:c r="A3389" t="str">
        <x:v>O003388</x:v>
      </x:c>
      <x:c r="B3389" s="20" t="n">
        <x:v>45766</x:v>
      </x:c>
      <x:c r="C3389" t="str">
        <x:v>C0050</x:v>
      </x:c>
      <x:c r="D3389" t="str">
        <x:v>Green Stores 50</x:v>
      </x:c>
      <x:c r="E3389" t="str">
        <x:v>Restaurant</x:v>
      </x:c>
      <x:c r="F3389" t="str">
        <x:v>Davanagere</x:v>
      </x:c>
      <x:c r="G3389" t="str">
        <x:v>Vikram</x:v>
      </x:c>
      <x:c r="H3389" t="str">
        <x:v>P037</x:v>
      </x:c>
      <x:c r="I3389" t="str">
        <x:v>Frozen Peas 1kg</x:v>
      </x:c>
      <x:c r="J3389" t="str">
        <x:v>Frozen</x:v>
      </x:c>
      <x:c r="K3389" t="str">
        <x:v>Safal</x:v>
      </x:c>
      <x:c r="L3389" s="22" t="n">
        <x:v>155</x:v>
      </x:c>
      <x:c r="M3389" t="n">
        <x:v>35</x:v>
      </x:c>
      <x:c r="N3389" s="24" t="n">
        <x:v>0.05</x:v>
      </x:c>
      <x:c r="O3389" s="22" t="n">
        <x:f>L3389*M3389</x:f>
        <x:v>5425</x:v>
      </x:c>
      <x:c r="P3389" s="22" t="n">
        <x:f>O3389*(1-N3389)</x:f>
        <x:v>5153.75</x:v>
      </x:c>
      <x:c r="Q3389" s="22" t="n">
        <x:v>138</x:v>
      </x:c>
      <x:c r="R3389" s="22" t="n">
        <x:f>Q3389*M3389</x:f>
        <x:v>4830</x:v>
      </x:c>
      <x:c r="S3389" s="22" t="n">
        <x:f>P3389-R3389</x:f>
        <x:v>323.75</x:v>
      </x:c>
      <x:c r="T3389" t="str">
        <x:v>Bank Transfer</x:v>
      </x:c>
      <x:c r="U3389" t="str">
        <x:v>Paid</x:v>
      </x:c>
      <x:c r="V3389" t="str">
        <x:v>Cancelled</x:v>
      </x:c>
      <x:c r="W3389" t="n">
        <x:v>35</x:v>
      </x:c>
      <x:c r="X3389" t="str">
        <x:v>Cancelled Order</x:v>
      </x:c>
      <x:c r="Y3389" t="str">
        <x:v>Referral</x:v>
      </x:c>
    </x:row>
    <x:row r="3390">
      <x:c r="A3390" t="str">
        <x:v>O003389</x:v>
      </x:c>
      <x:c r="B3390" s="20" t="n">
        <x:v>45971</x:v>
      </x:c>
      <x:c r="C3390" t="str">
        <x:v>C0231</x:v>
      </x:c>
      <x:c r="D3390" t="str">
        <x:v>Metro Canteen 231</x:v>
      </x:c>
      <x:c r="E3390" t="str">
        <x:v>Canteen</x:v>
      </x:c>
      <x:c r="F3390" t="str">
        <x:v>Mangaluru</x:v>
      </x:c>
      <x:c r="G3390" t="str">
        <x:v>Megha</x:v>
      </x:c>
      <x:c r="H3390" t="str">
        <x:v>P018</x:v>
      </x:c>
      <x:c r="I3390" t="str">
        <x:v>Paneer 1kg</x:v>
      </x:c>
      <x:c r="J3390" t="str">
        <x:v>Dairy</x:v>
      </x:c>
      <x:c r="K3390" t="str">
        <x:v>Milky Mist</x:v>
      </x:c>
      <x:c r="L3390" s="22" t="n">
        <x:v>410</x:v>
      </x:c>
      <x:c r="M3390" t="n">
        <x:v>39</x:v>
      </x:c>
      <x:c r="N3390" s="24" t="n">
        <x:v>0</x:v>
      </x:c>
      <x:c r="O3390" s="22" t="n">
        <x:f>L3390*M3390</x:f>
        <x:v>15990</x:v>
      </x:c>
      <x:c r="P3390" s="22" t="n">
        <x:f>O3390*(1-N3390)</x:f>
        <x:v>15990</x:v>
      </x:c>
      <x:c r="Q3390" s="22" t="n">
        <x:v>370</x:v>
      </x:c>
      <x:c r="R3390" s="22" t="n">
        <x:f>Q3390*M3390</x:f>
        <x:v>14430</x:v>
      </x:c>
      <x:c r="S3390" s="22" t="n">
        <x:f>P3390-R3390</x:f>
        <x:v>1560</x:v>
      </x:c>
      <x:c r="T3390" t="str">
        <x:v>Bank Transfer</x:v>
      </x:c>
      <x:c r="U3390" t="str">
        <x:v>Paid</x:v>
      </x:c>
      <x:c r="V3390" t="str">
        <x:v>Delivered</x:v>
      </x:c>
      <x:c r="W3390" t="n">
        <x:v>0</x:v>
      </x:c>
      <x:c r="X3390" t="str"/>
      <x:c r="Y3390" t="str">
        <x:v>Existing Customer</x:v>
      </x:c>
    </x:row>
    <x:row r="3391">
      <x:c r="A3391" t="str">
        <x:v>O003390</x:v>
      </x:c>
      <x:c r="B3391" s="20" t="n">
        <x:v>45891</x:v>
      </x:c>
      <x:c r="C3391" t="str">
        <x:v>C0008</x:v>
      </x:c>
      <x:c r="D3391" t="str">
        <x:v>Namma Kitchen 8</x:v>
      </x:c>
      <x:c r="E3391" t="str">
        <x:v>Kirana</x:v>
      </x:c>
      <x:c r="F3391" t="str">
        <x:v>Bengaluru</x:v>
      </x:c>
      <x:c r="G3391" t="str">
        <x:v>Vikram</x:v>
      </x:c>
      <x:c r="H3391" t="str">
        <x:v>P027</x:v>
      </x:c>
      <x:c r="I3391" t="str">
        <x:v>Biscuits 120g</x:v>
      </x:c>
      <x:c r="J3391" t="str">
        <x:v>Snacks</x:v>
      </x:c>
      <x:c r="K3391" t="str">
        <x:v>Parle-G</x:v>
      </x:c>
      <x:c r="L3391" s="22" t="n">
        <x:v>12</x:v>
      </x:c>
      <x:c r="M3391" t="n">
        <x:v>34</x:v>
      </x:c>
      <x:c r="N3391" s="24" t="n">
        <x:v>0.02</x:v>
      </x:c>
      <x:c r="O3391" s="22" t="n">
        <x:f>L3391*M3391</x:f>
        <x:v>408</x:v>
      </x:c>
      <x:c r="P3391" s="22" t="n">
        <x:f>O3391*(1-N3391)</x:f>
        <x:v>399.84</x:v>
      </x:c>
      <x:c r="Q3391" s="22" t="n">
        <x:v>9</x:v>
      </x:c>
      <x:c r="R3391" s="22" t="n">
        <x:f>Q3391*M3391</x:f>
        <x:v>306</x:v>
      </x:c>
      <x:c r="S3391" s="22" t="n">
        <x:f>P3391-R3391</x:f>
        <x:v>93.83999999999997</x:v>
      </x:c>
      <x:c r="T3391" t="str">
        <x:v>Credit</x:v>
      </x:c>
      <x:c r="U3391" t="str">
        <x:v>Pending</x:v>
      </x:c>
      <x:c r="V3391" t="str">
        <x:v>Delivered</x:v>
      </x:c>
      <x:c r="W3391" t="n">
        <x:v>0</x:v>
      </x:c>
      <x:c r="X3391" t="str"/>
      <x:c r="Y3391" t="str">
        <x:v>Outbound Call</x:v>
      </x:c>
    </x:row>
    <x:row r="3392">
      <x:c r="A3392" t="str">
        <x:v>O003391</x:v>
      </x:c>
      <x:c r="B3392" s="20" t="n">
        <x:v>45734</x:v>
      </x:c>
      <x:c r="C3392" t="str">
        <x:v>C0247</x:v>
      </x:c>
      <x:c r="D3392" t="str">
        <x:v>Fresh Canteen 247</x:v>
      </x:c>
      <x:c r="E3392" t="str">
        <x:v>Restaurant</x:v>
      </x:c>
      <x:c r="F3392" t="str">
        <x:v>Hubballi</x:v>
      </x:c>
      <x:c r="G3392" t="str">
        <x:v>Kavya</x:v>
      </x:c>
      <x:c r="H3392" t="str">
        <x:v>P041</x:v>
      </x:c>
      <x:c r="I3392" t="str">
        <x:v>Burger Bun 6pc</x:v>
      </x:c>
      <x:c r="J3392" t="str">
        <x:v>Bakery</x:v>
      </x:c>
      <x:c r="K3392" t="str">
        <x:v>Modern</x:v>
      </x:c>
      <x:c r="L3392" s="22" t="n">
        <x:v>42</x:v>
      </x:c>
      <x:c r="M3392" t="n">
        <x:v>23</x:v>
      </x:c>
      <x:c r="N3392" s="24" t="n">
        <x:v>0</x:v>
      </x:c>
      <x:c r="O3392" s="22" t="n">
        <x:f>L3392*M3392</x:f>
        <x:v>966</x:v>
      </x:c>
      <x:c r="P3392" s="22" t="n">
        <x:f>O3392*(1-N3392)</x:f>
        <x:v>966</x:v>
      </x:c>
      <x:c r="Q3392" s="22" t="n">
        <x:v>32</x:v>
      </x:c>
      <x:c r="R3392" s="22" t="n">
        <x:f>Q3392*M3392</x:f>
        <x:v>736</x:v>
      </x:c>
      <x:c r="S3392" s="22" t="n">
        <x:f>P3392-R3392</x:f>
        <x:v>230</x:v>
      </x:c>
      <x:c r="T3392" t="str">
        <x:v>Cash</x:v>
      </x:c>
      <x:c r="U3392" t="str">
        <x:v>Paid</x:v>
      </x:c>
      <x:c r="V3392" t="str">
        <x:v>Cancelled</x:v>
      </x:c>
      <x:c r="W3392" t="n">
        <x:v>23</x:v>
      </x:c>
      <x:c r="X3392" t="str">
        <x:v>Cancelled Order</x:v>
      </x:c>
      <x:c r="Y3392" t="str">
        <x:v>Field Visit</x:v>
      </x:c>
    </x:row>
    <x:row r="3393">
      <x:c r="A3393" t="str">
        <x:v>O003392</x:v>
      </x:c>
      <x:c r="B3393" s="20" t="n">
        <x:v>46002</x:v>
      </x:c>
      <x:c r="C3393" t="str">
        <x:v>C0167</x:v>
      </x:c>
      <x:c r="D3393" t="str">
        <x:v>Foodie Canteen 167</x:v>
      </x:c>
      <x:c r="E3393" t="str">
        <x:v>Canteen</x:v>
      </x:c>
      <x:c r="F3393" t="str">
        <x:v>Bengaluru</x:v>
      </x:c>
      <x:c r="G3393" t="str">
        <x:v>Megha</x:v>
      </x:c>
      <x:c r="H3393" t="str">
        <x:v>P023</x:v>
      </x:c>
      <x:c r="I3393" t="str">
        <x:v>Cola 750ml</x:v>
      </x:c>
      <x:c r="J3393" t="str">
        <x:v>Beverage</x:v>
      </x:c>
      <x:c r="K3393" t="str">
        <x:v>Coca-Cola</x:v>
      </x:c>
      <x:c r="L3393" s="22" t="n">
        <x:v>38</x:v>
      </x:c>
      <x:c r="M3393" t="n">
        <x:v>15</x:v>
      </x:c>
      <x:c r="N3393" s="24" t="n">
        <x:v>0.05</x:v>
      </x:c>
      <x:c r="O3393" s="22" t="n">
        <x:f>L3393*M3393</x:f>
        <x:v>570</x:v>
      </x:c>
      <x:c r="P3393" s="22" t="n">
        <x:f>O3393*(1-N3393)</x:f>
        <x:v>541.5</x:v>
      </x:c>
      <x:c r="Q3393" s="22" t="n">
        <x:v>31</x:v>
      </x:c>
      <x:c r="R3393" s="22" t="n">
        <x:f>Q3393*M3393</x:f>
        <x:v>465</x:v>
      </x:c>
      <x:c r="S3393" s="22" t="n">
        <x:f>P3393-R3393</x:f>
        <x:v>76.5</x:v>
      </x:c>
      <x:c r="T3393" t="str">
        <x:v>Cash</x:v>
      </x:c>
      <x:c r="U3393" t="str">
        <x:v>Paid</x:v>
      </x:c>
      <x:c r="V3393" t="str">
        <x:v>Delivered</x:v>
      </x:c>
      <x:c r="W3393" t="n">
        <x:v>0</x:v>
      </x:c>
      <x:c r="X3393" t="str"/>
      <x:c r="Y3393" t="str">
        <x:v>Existing Customer</x:v>
      </x:c>
    </x:row>
    <x:row r="3394">
      <x:c r="A3394" t="str">
        <x:v>O003393</x:v>
      </x:c>
      <x:c r="B3394" s="20" t="n">
        <x:v>46124</x:v>
      </x:c>
      <x:c r="C3394" t="str">
        <x:v>C0174</x:v>
      </x:c>
      <x:c r="D3394" t="str">
        <x:v>Classic Stores 174</x:v>
      </x:c>
      <x:c r="E3394" t="str">
        <x:v>Kirana</x:v>
      </x:c>
      <x:c r="F3394" t="str">
        <x:v>Mysuru</x:v>
      </x:c>
      <x:c r="G3394" t="str">
        <x:v>Vikram</x:v>
      </x:c>
      <x:c r="H3394" t="str">
        <x:v>P027</x:v>
      </x:c>
      <x:c r="I3394" t="str">
        <x:v>Biscuits 120g</x:v>
      </x:c>
      <x:c r="J3394" t="str">
        <x:v>Snacks</x:v>
      </x:c>
      <x:c r="K3394" t="str">
        <x:v>Parle-G</x:v>
      </x:c>
      <x:c r="L3394" s="22" t="n">
        <x:v>12</x:v>
      </x:c>
      <x:c r="M3394" t="n">
        <x:v>30</x:v>
      </x:c>
      <x:c r="N3394" s="24" t="n">
        <x:v>0.05</x:v>
      </x:c>
      <x:c r="O3394" s="22" t="n">
        <x:f>L3394*M3394</x:f>
        <x:v>360</x:v>
      </x:c>
      <x:c r="P3394" s="22" t="n">
        <x:f>O3394*(1-N3394)</x:f>
        <x:v>342</x:v>
      </x:c>
      <x:c r="Q3394" s="22" t="n">
        <x:v>9</x:v>
      </x:c>
      <x:c r="R3394" s="22" t="n">
        <x:f>Q3394*M3394</x:f>
        <x:v>270</x:v>
      </x:c>
      <x:c r="S3394" s="22" t="n">
        <x:f>P3394-R3394</x:f>
        <x:v>72</x:v>
      </x:c>
      <x:c r="T3394" t="str">
        <x:v>Bank Transfer</x:v>
      </x:c>
      <x:c r="U3394" t="str">
        <x:v>Paid</x:v>
      </x:c>
      <x:c r="V3394" t="str">
        <x:v>Cancelled</x:v>
      </x:c>
      <x:c r="W3394" t="n">
        <x:v>30</x:v>
      </x:c>
      <x:c r="X3394" t="str">
        <x:v>Cancelled Order</x:v>
      </x:c>
      <x:c r="Y3394" t="str">
        <x:v>Referral</x:v>
      </x:c>
    </x:row>
    <x:row r="3395">
      <x:c r="A3395" t="str">
        <x:v>O003394</x:v>
      </x:c>
      <x:c r="B3395" s="20" t="n">
        <x:v>45690</x:v>
      </x:c>
      <x:c r="C3395" t="str">
        <x:v>C0205</x:v>
      </x:c>
      <x:c r="D3395" t="str">
        <x:v>Royal Mart 205</x:v>
      </x:c>
      <x:c r="E3395" t="str">
        <x:v>Kirana</x:v>
      </x:c>
      <x:c r="F3395" t="str">
        <x:v>Mysuru</x:v>
      </x:c>
      <x:c r="G3395" t="str">
        <x:v>Priya</x:v>
      </x:c>
      <x:c r="H3395" t="str">
        <x:v>P007</x:v>
      </x:c>
      <x:c r="I3395" t="str">
        <x:v>Sunflower Oil 15L</x:v>
      </x:c>
      <x:c r="J3395" t="str">
        <x:v>Edible Oil</x:v>
      </x:c>
      <x:c r="K3395" t="str">
        <x:v>Fortune</x:v>
      </x:c>
      <x:c r="L3395" s="22" t="n">
        <x:v>1980</x:v>
      </x:c>
      <x:c r="M3395" t="n">
        <x:v>8</x:v>
      </x:c>
      <x:c r="N3395" s="24" t="n">
        <x:v>0.05</x:v>
      </x:c>
      <x:c r="O3395" s="22" t="n">
        <x:f>L3395*M3395</x:f>
        <x:v>15840</x:v>
      </x:c>
      <x:c r="P3395" s="22" t="n">
        <x:f>O3395*(1-N3395)</x:f>
        <x:v>15048</x:v>
      </x:c>
      <x:c r="Q3395" s="22" t="n">
        <x:v>1810</x:v>
      </x:c>
      <x:c r="R3395" s="22" t="n">
        <x:f>Q3395*M3395</x:f>
        <x:v>14480</x:v>
      </x:c>
      <x:c r="S3395" s="22" t="n">
        <x:f>P3395-R3395</x:f>
        <x:v>568</x:v>
      </x:c>
      <x:c r="T3395" t="str">
        <x:v>UPI</x:v>
      </x:c>
      <x:c r="U3395" t="str">
        <x:v>Overdue</x:v>
      </x:c>
      <x:c r="V3395" t="str">
        <x:v>Delivered</x:v>
      </x:c>
      <x:c r="W3395" t="n">
        <x:v>0</x:v>
      </x:c>
      <x:c r="X3395" t="str"/>
      <x:c r="Y3395" t="str">
        <x:v>Existing Customer</x:v>
      </x:c>
    </x:row>
    <x:row r="3396">
      <x:c r="A3396" t="str">
        <x:v>O003395</x:v>
      </x:c>
      <x:c r="B3396" s="20" t="n">
        <x:v>45785</x:v>
      </x:c>
      <x:c r="C3396" t="str">
        <x:v>C0195</x:v>
      </x:c>
      <x:c r="D3396" t="str">
        <x:v>Classic Stores 195</x:v>
      </x:c>
      <x:c r="E3396" t="str">
        <x:v>Canteen</x:v>
      </x:c>
      <x:c r="F3396" t="str">
        <x:v>Davanagere</x:v>
      </x:c>
      <x:c r="G3396" t="str">
        <x:v>Kavya</x:v>
      </x:c>
      <x:c r="H3396" t="str">
        <x:v>P005</x:v>
      </x:c>
      <x:c r="I3396" t="str">
        <x:v>Chana Dal 5kg</x:v>
      </x:c>
      <x:c r="J3396" t="str">
        <x:v>Pulses</x:v>
      </x:c>
      <x:c r="K3396" t="str">
        <x:v>Local Select</x:v>
      </x:c>
      <x:c r="L3396" s="22" t="n">
        <x:v>520</x:v>
      </x:c>
      <x:c r="M3396" t="n">
        <x:v>12</x:v>
      </x:c>
      <x:c r="N3396" s="24" t="n">
        <x:v>0.02</x:v>
      </x:c>
      <x:c r="O3396" s="22" t="n">
        <x:f>L3396*M3396</x:f>
        <x:v>6240</x:v>
      </x:c>
      <x:c r="P3396" s="22" t="n">
        <x:f>O3396*(1-N3396)</x:f>
        <x:v>6115.2</x:v>
      </x:c>
      <x:c r="Q3396" s="22" t="n">
        <x:v>455</x:v>
      </x:c>
      <x:c r="R3396" s="22" t="n">
        <x:f>Q3396*M3396</x:f>
        <x:v>5460</x:v>
      </x:c>
      <x:c r="S3396" s="22" t="n">
        <x:f>P3396-R3396</x:f>
        <x:v>655.1999999999998</x:v>
      </x:c>
      <x:c r="T3396" t="str">
        <x:v>UPI</x:v>
      </x:c>
      <x:c r="U3396" t="str">
        <x:v>Paid</x:v>
      </x:c>
      <x:c r="V3396" t="str">
        <x:v>Delivered</x:v>
      </x:c>
      <x:c r="W3396" t="n">
        <x:v>0</x:v>
      </x:c>
      <x:c r="X3396" t="str"/>
      <x:c r="Y3396" t="str">
        <x:v>Existing Customer</x:v>
      </x:c>
    </x:row>
    <x:row r="3397">
      <x:c r="A3397" t="str">
        <x:v>O003396</x:v>
      </x:c>
      <x:c r="B3397" s="20" t="n">
        <x:v>45755</x:v>
      </x:c>
      <x:c r="C3397" t="str">
        <x:v>C0229</x:v>
      </x:c>
      <x:c r="D3397" t="str">
        <x:v>Namma Canteen 229</x:v>
      </x:c>
      <x:c r="E3397" t="str">
        <x:v>Restaurant</x:v>
      </x:c>
      <x:c r="F3397" t="str">
        <x:v>Bengaluru</x:v>
      </x:c>
      <x:c r="G3397" t="str">
        <x:v>Arjun</x:v>
      </x:c>
      <x:c r="H3397" t="str">
        <x:v>P018</x:v>
      </x:c>
      <x:c r="I3397" t="str">
        <x:v>Paneer 1kg</x:v>
      </x:c>
      <x:c r="J3397" t="str">
        <x:v>Dairy</x:v>
      </x:c>
      <x:c r="K3397" t="str">
        <x:v>Milky Mist</x:v>
      </x:c>
      <x:c r="L3397" s="22" t="n">
        <x:v>410</x:v>
      </x:c>
      <x:c r="M3397" t="n">
        <x:v>2</x:v>
      </x:c>
      <x:c r="N3397" s="24" t="n">
        <x:v>0.1</x:v>
      </x:c>
      <x:c r="O3397" s="22" t="n">
        <x:f>L3397*M3397</x:f>
        <x:v>820</x:v>
      </x:c>
      <x:c r="P3397" s="22" t="n">
        <x:f>O3397*(1-N3397)</x:f>
        <x:v>738</x:v>
      </x:c>
      <x:c r="Q3397" s="22" t="n">
        <x:v>370</x:v>
      </x:c>
      <x:c r="R3397" s="22" t="n">
        <x:f>Q3397*M3397</x:f>
        <x:v>740</x:v>
      </x:c>
      <x:c r="S3397" s="22" t="n">
        <x:f>P3397-R3397</x:f>
        <x:v>-2</x:v>
      </x:c>
      <x:c r="T3397" t="str">
        <x:v>Cash</x:v>
      </x:c>
      <x:c r="U3397" t="str">
        <x:v>Paid</x:v>
      </x:c>
      <x:c r="V3397" t="str">
        <x:v>Delivered</x:v>
      </x:c>
      <x:c r="W3397" t="n">
        <x:v>0</x:v>
      </x:c>
      <x:c r="X3397" t="str"/>
      <x:c r="Y3397" t="str">
        <x:v>Existing Customer</x:v>
      </x:c>
    </x:row>
    <x:row r="3398">
      <x:c r="A3398" t="str">
        <x:v>O003397</x:v>
      </x:c>
      <x:c r="B3398" s="20" t="n">
        <x:v>45810</x:v>
      </x:c>
      <x:c r="C3398" t="str">
        <x:v>C0244</x:v>
      </x:c>
      <x:c r="D3398" t="str">
        <x:v>Namma Hotel 244</x:v>
      </x:c>
      <x:c r="E3398" t="str">
        <x:v>Kirana</x:v>
      </x:c>
      <x:c r="F3398" t="str">
        <x:v>Tumakuru</x:v>
      </x:c>
      <x:c r="G3398" t="str">
        <x:v>Sneha</x:v>
      </x:c>
      <x:c r="H3398" t="str">
        <x:v>P018</x:v>
      </x:c>
      <x:c r="I3398" t="str">
        <x:v>Paneer 1kg</x:v>
      </x:c>
      <x:c r="J3398" t="str">
        <x:v>Dairy</x:v>
      </x:c>
      <x:c r="K3398" t="str">
        <x:v>Milky Mist</x:v>
      </x:c>
      <x:c r="L3398" s="22" t="n">
        <x:v>410</x:v>
      </x:c>
      <x:c r="M3398" t="n">
        <x:v>28</x:v>
      </x:c>
      <x:c r="N3398" s="24" t="n">
        <x:v>0</x:v>
      </x:c>
      <x:c r="O3398" s="22" t="n">
        <x:f>L3398*M3398</x:f>
        <x:v>11480</x:v>
      </x:c>
      <x:c r="P3398" s="22" t="n">
        <x:f>O3398*(1-N3398)</x:f>
        <x:v>11480</x:v>
      </x:c>
      <x:c r="Q3398" s="22" t="n">
        <x:v>370</x:v>
      </x:c>
      <x:c r="R3398" s="22" t="n">
        <x:f>Q3398*M3398</x:f>
        <x:v>10360</x:v>
      </x:c>
      <x:c r="S3398" s="22" t="n">
        <x:f>P3398-R3398</x:f>
        <x:v>1120</x:v>
      </x:c>
      <x:c r="T3398" t="str">
        <x:v>Cash</x:v>
      </x:c>
      <x:c r="U3398" t="str">
        <x:v>Paid</x:v>
      </x:c>
      <x:c r="V3398" t="str">
        <x:v>Delivered</x:v>
      </x:c>
      <x:c r="W3398" t="n">
        <x:v>3</x:v>
      </x:c>
      <x:c r="X3398" t="str">
        <x:v>Late Delivery</x:v>
      </x:c>
      <x:c r="Y3398" t="str">
        <x:v>WhatsApp</x:v>
      </x:c>
    </x:row>
    <x:row r="3399">
      <x:c r="A3399" t="str">
        <x:v>O003398</x:v>
      </x:c>
      <x:c r="B3399" s="20" t="n">
        <x:v>45778</x:v>
      </x:c>
      <x:c r="C3399" t="str">
        <x:v>C0207</x:v>
      </x:c>
      <x:c r="D3399" t="str">
        <x:v>Hotel Stores 207</x:v>
      </x:c>
      <x:c r="E3399" t="str">
        <x:v>Restaurant</x:v>
      </x:c>
      <x:c r="F3399" t="str">
        <x:v>Hubballi</x:v>
      </x:c>
      <x:c r="G3399" t="str">
        <x:v>Ramesh</x:v>
      </x:c>
      <x:c r="H3399" t="str">
        <x:v>P002</x:v>
      </x:c>
      <x:c r="I3399" t="str">
        <x:v>Sona Masoori Rice 25kg</x:v>
      </x:c>
      <x:c r="J3399" t="str">
        <x:v>Staples</x:v>
      </x:c>
      <x:c r="K3399" t="str">
        <x:v>Fortune</x:v>
      </x:c>
      <x:c r="L3399" s="22" t="n">
        <x:v>1320</x:v>
      </x:c>
      <x:c r="M3399" t="n">
        <x:v>8</x:v>
      </x:c>
      <x:c r="N3399" s="24" t="n">
        <x:v>0.03</x:v>
      </x:c>
      <x:c r="O3399" s="22" t="n">
        <x:f>L3399*M3399</x:f>
        <x:v>10560</x:v>
      </x:c>
      <x:c r="P3399" s="22" t="n">
        <x:f>O3399*(1-N3399)</x:f>
        <x:v>10243.199999999999</x:v>
      </x:c>
      <x:c r="Q3399" s="22" t="n">
        <x:v>1160</x:v>
      </x:c>
      <x:c r="R3399" s="22" t="n">
        <x:f>Q3399*M3399</x:f>
        <x:v>9280</x:v>
      </x:c>
      <x:c r="S3399" s="22" t="n">
        <x:f>P3399-R3399</x:f>
        <x:v>963.1999999999989</x:v>
      </x:c>
      <x:c r="T3399" t="str">
        <x:v>UPI</x:v>
      </x:c>
      <x:c r="U3399" t="str">
        <x:v>Paid</x:v>
      </x:c>
      <x:c r="V3399" t="str">
        <x:v>Delivered</x:v>
      </x:c>
      <x:c r="W3399" t="n">
        <x:v>0</x:v>
      </x:c>
      <x:c r="X3399" t="str"/>
      <x:c r="Y3399" t="str">
        <x:v>Outbound Call</x:v>
      </x:c>
    </x:row>
    <x:row r="3400">
      <x:c r="A3400" t="str">
        <x:v>O003399</x:v>
      </x:c>
      <x:c r="B3400" s="20" t="n">
        <x:v>45887</x:v>
      </x:c>
      <x:c r="C3400" t="str">
        <x:v>C0169</x:v>
      </x:c>
      <x:c r="D3400" t="str">
        <x:v>Grand Mart 169</x:v>
      </x:c>
      <x:c r="E3400" t="str">
        <x:v>Canteen</x:v>
      </x:c>
      <x:c r="F3400" t="str">
        <x:v>Mangaluru</x:v>
      </x:c>
      <x:c r="G3400" t="str">
        <x:v>Vikram</x:v>
      </x:c>
      <x:c r="H3400" t="str">
        <x:v>P019</x:v>
      </x:c>
      <x:c r="I3400" t="str">
        <x:v>Tea 1kg</x:v>
      </x:c>
      <x:c r="J3400" t="str">
        <x:v>Beverage</x:v>
      </x:c>
      <x:c r="K3400" t="str">
        <x:v>Red Label</x:v>
      </x:c>
      <x:c r="L3400" s="22" t="n">
        <x:v>540</x:v>
      </x:c>
      <x:c r="M3400" t="n">
        <x:v>2</x:v>
      </x:c>
      <x:c r="N3400" s="24" t="n">
        <x:v>0.03</x:v>
      </x:c>
      <x:c r="O3400" s="22" t="n">
        <x:f>L3400*M3400</x:f>
        <x:v>1080</x:v>
      </x:c>
      <x:c r="P3400" s="22" t="n">
        <x:f>O3400*(1-N3400)</x:f>
        <x:v>1047.6</x:v>
      </x:c>
      <x:c r="Q3400" s="22" t="n">
        <x:v>485</x:v>
      </x:c>
      <x:c r="R3400" s="22" t="n">
        <x:f>Q3400*M3400</x:f>
        <x:v>970</x:v>
      </x:c>
      <x:c r="S3400" s="22" t="n">
        <x:f>P3400-R3400</x:f>
        <x:v>77.59999999999991</x:v>
      </x:c>
      <x:c r="T3400" t="str">
        <x:v>Bank Transfer</x:v>
      </x:c>
      <x:c r="U3400" t="str">
        <x:v>Paid</x:v>
      </x:c>
      <x:c r="V3400" t="str">
        <x:v>Delivered</x:v>
      </x:c>
      <x:c r="W3400" t="n">
        <x:v>0</x:v>
      </x:c>
      <x:c r="X3400" t="str"/>
      <x:c r="Y3400" t="str">
        <x:v>Existing Customer</x:v>
      </x:c>
    </x:row>
    <x:row r="3401">
      <x:c r="A3401" t="str">
        <x:v>O003400</x:v>
      </x:c>
      <x:c r="B3401" s="20" t="n">
        <x:v>45920</x:v>
      </x:c>
      <x:c r="C3401" t="str">
        <x:v>C0158</x:v>
      </x:c>
      <x:c r="D3401" t="str">
        <x:v>Cafe Stores 158</x:v>
      </x:c>
      <x:c r="E3401" t="str">
        <x:v>Cafe</x:v>
      </x:c>
      <x:c r="F3401" t="str">
        <x:v>Mysuru</x:v>
      </x:c>
      <x:c r="G3401" t="str">
        <x:v>Priya</x:v>
      </x:c>
      <x:c r="H3401" t="str">
        <x:v>P031</x:v>
      </x:c>
      <x:c r="I3401" t="str">
        <x:v>Chilli Sauce 700g</x:v>
      </x:c>
      <x:c r="J3401" t="str">
        <x:v>Condiments</x:v>
      </x:c>
      <x:c r="K3401" t="str">
        <x:v>Ching's</x:v>
      </x:c>
      <x:c r="L3401" s="22" t="n">
        <x:v>130</x:v>
      </x:c>
      <x:c r="M3401" t="n">
        <x:v>39</x:v>
      </x:c>
      <x:c r="N3401" s="24" t="n">
        <x:v>0.05</x:v>
      </x:c>
      <x:c r="O3401" s="22" t="n">
        <x:f>L3401*M3401</x:f>
        <x:v>5070</x:v>
      </x:c>
      <x:c r="P3401" s="22" t="n">
        <x:f>O3401*(1-N3401)</x:f>
        <x:v>4816.5</x:v>
      </x:c>
      <x:c r="Q3401" s="22" t="n">
        <x:v>112</x:v>
      </x:c>
      <x:c r="R3401" s="22" t="n">
        <x:f>Q3401*M3401</x:f>
        <x:v>4368</x:v>
      </x:c>
      <x:c r="S3401" s="22" t="n">
        <x:f>P3401-R3401</x:f>
        <x:v>448.5</x:v>
      </x:c>
      <x:c r="T3401" t="str">
        <x:v>UPI</x:v>
      </x:c>
      <x:c r="U3401" t="str">
        <x:v>Pending</x:v>
      </x:c>
      <x:c r="V3401" t="str">
        <x:v>Cancelled</x:v>
      </x:c>
      <x:c r="W3401" t="n">
        <x:v>39</x:v>
      </x:c>
      <x:c r="X3401" t="str">
        <x:v>Cancelled Order</x:v>
      </x:c>
      <x:c r="Y3401" t="str">
        <x:v>Outbound Call</x:v>
      </x:c>
    </x:row>
    <x:row r="3402">
      <x:c r="A3402" t="str">
        <x:v>O003401</x:v>
      </x:c>
      <x:c r="B3402" s="20" t="n">
        <x:v>46183</x:v>
      </x:c>
      <x:c r="C3402" t="str">
        <x:v>C0246</x:v>
      </x:c>
      <x:c r="D3402" t="str">
        <x:v>City Hotel 246</x:v>
      </x:c>
      <x:c r="E3402" t="str">
        <x:v>Supermarket</x:v>
      </x:c>
      <x:c r="F3402" t="str">
        <x:v>Mangaluru</x:v>
      </x:c>
      <x:c r="G3402" t="str">
        <x:v>Kavya</x:v>
      </x:c>
      <x:c r="H3402" t="str">
        <x:v>P015</x:v>
      </x:c>
      <x:c r="I3402" t="str">
        <x:v>Milk 1L</x:v>
      </x:c>
      <x:c r="J3402" t="str">
        <x:v>Dairy</x:v>
      </x:c>
      <x:c r="K3402" t="str">
        <x:v>Nandini</x:v>
      </x:c>
      <x:c r="L3402" s="22" t="n">
        <x:v>48</x:v>
      </x:c>
      <x:c r="M3402" t="n">
        <x:v>7</x:v>
      </x:c>
      <x:c r="N3402" s="24" t="n">
        <x:v>0.05</x:v>
      </x:c>
      <x:c r="O3402" s="22" t="n">
        <x:f>L3402*M3402</x:f>
        <x:v>336</x:v>
      </x:c>
      <x:c r="P3402" s="22" t="n">
        <x:f>O3402*(1-N3402)</x:f>
        <x:v>319.2</x:v>
      </x:c>
      <x:c r="Q3402" s="22" t="n">
        <x:v>43</x:v>
      </x:c>
      <x:c r="R3402" s="22" t="n">
        <x:f>Q3402*M3402</x:f>
        <x:v>301</x:v>
      </x:c>
      <x:c r="S3402" s="22" t="n">
        <x:f>P3402-R3402</x:f>
        <x:v>18.19999999999999</x:v>
      </x:c>
      <x:c r="T3402" t="str">
        <x:v>Credit</x:v>
      </x:c>
      <x:c r="U3402" t="str">
        <x:v>Paid</x:v>
      </x:c>
      <x:c r="V3402" t="str">
        <x:v>Cancelled</x:v>
      </x:c>
      <x:c r="W3402" t="n">
        <x:v>7</x:v>
      </x:c>
      <x:c r="X3402" t="str">
        <x:v>Cancelled Order</x:v>
      </x:c>
      <x:c r="Y3402" t="str">
        <x:v>Existing Customer</x:v>
      </x:c>
    </x:row>
    <x:row r="3403">
      <x:c r="A3403" t="str">
        <x:v>O003402</x:v>
      </x:c>
      <x:c r="B3403" s="20" t="n">
        <x:v>45925</x:v>
      </x:c>
      <x:c r="C3403" t="str">
        <x:v>C0147</x:v>
      </x:c>
      <x:c r="D3403" t="str">
        <x:v>New Stores 147</x:v>
      </x:c>
      <x:c r="E3403" t="str">
        <x:v>Supermarket</x:v>
      </x:c>
      <x:c r="F3403" t="str">
        <x:v>Hubballi</x:v>
      </x:c>
      <x:c r="G3403" t="str">
        <x:v>Imran</x:v>
      </x:c>
      <x:c r="H3403" t="str">
        <x:v>P010</x:v>
      </x:c>
      <x:c r="I3403" t="str">
        <x:v>Sugar 25kg</x:v>
      </x:c>
      <x:c r="J3403" t="str">
        <x:v>Staples</x:v>
      </x:c>
      <x:c r="K3403" t="str">
        <x:v>Madhur</x:v>
      </x:c>
      <x:c r="L3403" s="22" t="n">
        <x:v>1190</x:v>
      </x:c>
      <x:c r="M3403" t="n">
        <x:v>10</x:v>
      </x:c>
      <x:c r="N3403" s="24" t="n">
        <x:v>0</x:v>
      </x:c>
      <x:c r="O3403" s="22" t="n">
        <x:f>L3403*M3403</x:f>
        <x:v>11900</x:v>
      </x:c>
      <x:c r="P3403" s="22" t="n">
        <x:f>O3403*(1-N3403)</x:f>
        <x:v>11900</x:v>
      </x:c>
      <x:c r="Q3403" s="22" t="n">
        <x:v>1080</x:v>
      </x:c>
      <x:c r="R3403" s="22" t="n">
        <x:f>Q3403*M3403</x:f>
        <x:v>10800</x:v>
      </x:c>
      <x:c r="S3403" s="22" t="n">
        <x:f>P3403-R3403</x:f>
        <x:v>1100</x:v>
      </x:c>
      <x:c r="T3403" t="str">
        <x:v>Credit</x:v>
      </x:c>
      <x:c r="U3403" t="str">
        <x:v>Paid</x:v>
      </x:c>
      <x:c r="V3403" t="str">
        <x:v>Delayed</x:v>
      </x:c>
      <x:c r="W3403" t="n">
        <x:v>0</x:v>
      </x:c>
      <x:c r="X3403" t="str"/>
      <x:c r="Y3403" t="str">
        <x:v>Outbound Call</x:v>
      </x:c>
    </x:row>
    <x:row r="3404">
      <x:c r="A3404" t="str">
        <x:v>O003403</x:v>
      </x:c>
      <x:c r="B3404" s="20" t="n">
        <x:v>45854</x:v>
      </x:c>
      <x:c r="C3404" t="str">
        <x:v>C0240</x:v>
      </x:c>
      <x:c r="D3404" t="str">
        <x:v>Green Foods 240</x:v>
      </x:c>
      <x:c r="E3404" t="str">
        <x:v>Restaurant</x:v>
      </x:c>
      <x:c r="F3404" t="str">
        <x:v>Davanagere</x:v>
      </x:c>
      <x:c r="G3404" t="str">
        <x:v>Vikram</x:v>
      </x:c>
      <x:c r="H3404" t="str">
        <x:v>P044</x:v>
      </x:c>
      <x:c r="I3404" t="str">
        <x:v>Chicken Curry Cut 1kg</x:v>
      </x:c>
      <x:c r="J3404" t="str">
        <x:v>Protein</x:v>
      </x:c>
      <x:c r="K3404" t="str">
        <x:v>FreshToHome</x:v>
      </x:c>
      <x:c r="L3404" s="22" t="n">
        <x:v>230</x:v>
      </x:c>
      <x:c r="M3404" t="n">
        <x:v>4</x:v>
      </x:c>
      <x:c r="N3404" s="24" t="n">
        <x:v>0</x:v>
      </x:c>
      <x:c r="O3404" s="22" t="n">
        <x:f>L3404*M3404</x:f>
        <x:v>920</x:v>
      </x:c>
      <x:c r="P3404" s="22" t="n">
        <x:f>O3404*(1-N3404)</x:f>
        <x:v>920</x:v>
      </x:c>
      <x:c r="Q3404" s="22" t="n">
        <x:v>205</x:v>
      </x:c>
      <x:c r="R3404" s="22" t="n">
        <x:f>Q3404*M3404</x:f>
        <x:v>820</x:v>
      </x:c>
      <x:c r="S3404" s="22" t="n">
        <x:f>P3404-R3404</x:f>
        <x:v>100</x:v>
      </x:c>
      <x:c r="T3404" t="str">
        <x:v>Credit</x:v>
      </x:c>
      <x:c r="U3404" t="str">
        <x:v>Pending</x:v>
      </x:c>
      <x:c r="V3404" t="str">
        <x:v>Delivered</x:v>
      </x:c>
      <x:c r="W3404" t="n">
        <x:v>0</x:v>
      </x:c>
      <x:c r="X3404" t="str"/>
      <x:c r="Y3404" t="str">
        <x:v>Referral</x:v>
      </x:c>
    </x:row>
    <x:row r="3405">
      <x:c r="A3405" t="str">
        <x:v>O003404</x:v>
      </x:c>
      <x:c r="B3405" s="20" t="n">
        <x:v>46046</x:v>
      </x:c>
      <x:c r="C3405" t="str">
        <x:v>C0068</x:v>
      </x:c>
      <x:c r="D3405" t="str">
        <x:v>Fresh Canteen 68</x:v>
      </x:c>
      <x:c r="E3405" t="str">
        <x:v>Kirana</x:v>
      </x:c>
      <x:c r="F3405" t="str">
        <x:v>Davanagere</x:v>
      </x:c>
      <x:c r="G3405" t="str">
        <x:v>Arjun</x:v>
      </x:c>
      <x:c r="H3405" t="str">
        <x:v>P023</x:v>
      </x:c>
      <x:c r="I3405" t="str">
        <x:v>Cola 750ml</x:v>
      </x:c>
      <x:c r="J3405" t="str">
        <x:v>Beverage</x:v>
      </x:c>
      <x:c r="K3405" t="str">
        <x:v>Coca-Cola</x:v>
      </x:c>
      <x:c r="L3405" s="22" t="n">
        <x:v>38</x:v>
      </x:c>
      <x:c r="M3405" t="n">
        <x:v>24</x:v>
      </x:c>
      <x:c r="N3405" s="24" t="n">
        <x:v>0</x:v>
      </x:c>
      <x:c r="O3405" s="22" t="n">
        <x:f>L3405*M3405</x:f>
        <x:v>912</x:v>
      </x:c>
      <x:c r="P3405" s="22" t="n">
        <x:f>O3405*(1-N3405)</x:f>
        <x:v>912</x:v>
      </x:c>
      <x:c r="Q3405" s="22" t="n">
        <x:v>31</x:v>
      </x:c>
      <x:c r="R3405" s="22" t="n">
        <x:f>Q3405*M3405</x:f>
        <x:v>744</x:v>
      </x:c>
      <x:c r="S3405" s="22" t="n">
        <x:f>P3405-R3405</x:f>
        <x:v>168</x:v>
      </x:c>
      <x:c r="T3405" t="str">
        <x:v>UPI</x:v>
      </x:c>
      <x:c r="U3405" t="str">
        <x:v>Paid</x:v>
      </x:c>
      <x:c r="V3405" t="str">
        <x:v>Delivered</x:v>
      </x:c>
      <x:c r="W3405" t="n">
        <x:v>0</x:v>
      </x:c>
      <x:c r="X3405" t="str"/>
      <x:c r="Y3405" t="str">
        <x:v>WhatsApp</x:v>
      </x:c>
    </x:row>
    <x:row r="3406">
      <x:c r="A3406" t="str">
        <x:v>O003405</x:v>
      </x:c>
      <x:c r="B3406" s="20" t="n">
        <x:v>45905</x:v>
      </x:c>
      <x:c r="C3406" t="str">
        <x:v>C0063</x:v>
      </x:c>
      <x:c r="D3406" t="str">
        <x:v>Namma Mart 63</x:v>
      </x:c>
      <x:c r="E3406" t="str">
        <x:v>Supermarket</x:v>
      </x:c>
      <x:c r="F3406" t="str">
        <x:v>Tumakuru</x:v>
      </x:c>
      <x:c r="G3406" t="str">
        <x:v>Priya</x:v>
      </x:c>
      <x:c r="H3406" t="str">
        <x:v>P018</x:v>
      </x:c>
      <x:c r="I3406" t="str">
        <x:v>Paneer 1kg</x:v>
      </x:c>
      <x:c r="J3406" t="str">
        <x:v>Dairy</x:v>
      </x:c>
      <x:c r="K3406" t="str">
        <x:v>Milky Mist</x:v>
      </x:c>
      <x:c r="L3406" s="22" t="n">
        <x:v>410</x:v>
      </x:c>
      <x:c r="M3406" t="n">
        <x:v>30</x:v>
      </x:c>
      <x:c r="N3406" s="24" t="n">
        <x:v>0.02</x:v>
      </x:c>
      <x:c r="O3406" s="22" t="n">
        <x:f>L3406*M3406</x:f>
        <x:v>12300</x:v>
      </x:c>
      <x:c r="P3406" s="22" t="n">
        <x:f>O3406*(1-N3406)</x:f>
        <x:v>12054</x:v>
      </x:c>
      <x:c r="Q3406" s="22" t="n">
        <x:v>370</x:v>
      </x:c>
      <x:c r="R3406" s="22" t="n">
        <x:f>Q3406*M3406</x:f>
        <x:v>11100</x:v>
      </x:c>
      <x:c r="S3406" s="22" t="n">
        <x:f>P3406-R3406</x:f>
        <x:v>954</x:v>
      </x:c>
      <x:c r="T3406" t="str">
        <x:v>Bank Transfer</x:v>
      </x:c>
      <x:c r="U3406" t="str">
        <x:v>Paid</x:v>
      </x:c>
      <x:c r="V3406" t="str">
        <x:v>Delivered</x:v>
      </x:c>
      <x:c r="W3406" t="n">
        <x:v>0</x:v>
      </x:c>
      <x:c r="X3406" t="str"/>
      <x:c r="Y3406" t="str">
        <x:v>WhatsApp</x:v>
      </x:c>
    </x:row>
    <x:row r="3407">
      <x:c r="A3407" t="str">
        <x:v>O003406</x:v>
      </x:c>
      <x:c r="B3407" s="20" t="n">
        <x:v>45996</x:v>
      </x:c>
      <x:c r="C3407" t="str">
        <x:v>C0249</x:v>
      </x:c>
      <x:c r="D3407" t="str">
        <x:v>City Hotel 249</x:v>
      </x:c>
      <x:c r="E3407" t="str">
        <x:v>Supermarket</x:v>
      </x:c>
      <x:c r="F3407" t="str">
        <x:v>Mysuru</x:v>
      </x:c>
      <x:c r="G3407" t="str">
        <x:v>Arjun</x:v>
      </x:c>
      <x:c r="H3407" t="str">
        <x:v>P045</x:v>
      </x:c>
      <x:c r="I3407" t="str">
        <x:v>Onion 25kg</x:v>
      </x:c>
      <x:c r="J3407" t="str">
        <x:v>Fresh Produce</x:v>
      </x:c>
      <x:c r="K3407" t="str">
        <x:v>Local Market</x:v>
      </x:c>
      <x:c r="L3407" s="22" t="n">
        <x:v>875</x:v>
      </x:c>
      <x:c r="M3407" t="n">
        <x:v>14</x:v>
      </x:c>
      <x:c r="N3407" s="24" t="n">
        <x:v>0.02</x:v>
      </x:c>
      <x:c r="O3407" s="22" t="n">
        <x:f>L3407*M3407</x:f>
        <x:v>12250</x:v>
      </x:c>
      <x:c r="P3407" s="22" t="n">
        <x:f>O3407*(1-N3407)</x:f>
        <x:v>12005</x:v>
      </x:c>
      <x:c r="Q3407" s="22" t="n">
        <x:v>760</x:v>
      </x:c>
      <x:c r="R3407" s="22" t="n">
        <x:f>Q3407*M3407</x:f>
        <x:v>10640</x:v>
      </x:c>
      <x:c r="S3407" s="22" t="n">
        <x:f>P3407-R3407</x:f>
        <x:v>1365</x:v>
      </x:c>
      <x:c r="T3407" t="str">
        <x:v>Cash</x:v>
      </x:c>
      <x:c r="U3407" t="str">
        <x:v>Paid</x:v>
      </x:c>
      <x:c r="V3407" t="str">
        <x:v>Cancelled</x:v>
      </x:c>
      <x:c r="W3407" t="n">
        <x:v>14</x:v>
      </x:c>
      <x:c r="X3407" t="str">
        <x:v>Cancelled Order</x:v>
      </x:c>
      <x:c r="Y3407" t="str">
        <x:v>Referral</x:v>
      </x:c>
    </x:row>
    <x:row r="3408">
      <x:c r="A3408" t="str">
        <x:v>O003407</x:v>
      </x:c>
      <x:c r="B3408" s="20" t="n">
        <x:v>45922</x:v>
      </x:c>
      <x:c r="C3408" t="str">
        <x:v>C0019</x:v>
      </x:c>
      <x:c r="D3408" t="str">
        <x:v>Grand Kitchen 19</x:v>
      </x:c>
      <x:c r="E3408" t="str">
        <x:v>Supermarket</x:v>
      </x:c>
      <x:c r="F3408" t="str">
        <x:v>Tumakuru</x:v>
      </x:c>
      <x:c r="G3408" t="str">
        <x:v>Sneha</x:v>
      </x:c>
      <x:c r="H3408" t="str">
        <x:v>P022</x:v>
      </x:c>
      <x:c r="I3408" t="str">
        <x:v>Mineral Water 1L</x:v>
      </x:c>
      <x:c r="J3408" t="str">
        <x:v>Beverage</x:v>
      </x:c>
      <x:c r="K3408" t="str">
        <x:v>Bisleri</x:v>
      </x:c>
      <x:c r="L3408" s="22" t="n">
        <x:v>19</x:v>
      </x:c>
      <x:c r="M3408" t="n">
        <x:v>7</x:v>
      </x:c>
      <x:c r="N3408" s="24" t="n">
        <x:v>0.05</x:v>
      </x:c>
      <x:c r="O3408" s="22" t="n">
        <x:f>L3408*M3408</x:f>
        <x:v>133</x:v>
      </x:c>
      <x:c r="P3408" s="22" t="n">
        <x:f>O3408*(1-N3408)</x:f>
        <x:v>126.35</x:v>
      </x:c>
      <x:c r="Q3408" s="22" t="n">
        <x:v>15</x:v>
      </x:c>
      <x:c r="R3408" s="22" t="n">
        <x:f>Q3408*M3408</x:f>
        <x:v>105</x:v>
      </x:c>
      <x:c r="S3408" s="22" t="n">
        <x:f>P3408-R3408</x:f>
        <x:v>21.349999999999994</x:v>
      </x:c>
      <x:c r="T3408" t="str">
        <x:v>UPI</x:v>
      </x:c>
      <x:c r="U3408" t="str">
        <x:v>Paid</x:v>
      </x:c>
      <x:c r="V3408" t="str">
        <x:v>Delivered</x:v>
      </x:c>
      <x:c r="W3408" t="n">
        <x:v>0</x:v>
      </x:c>
      <x:c r="X3408" t="str"/>
      <x:c r="Y3408" t="str">
        <x:v>Outbound Call</x:v>
      </x:c>
    </x:row>
    <x:row r="3409">
      <x:c r="A3409" t="str">
        <x:v>O003408</x:v>
      </x:c>
      <x:c r="B3409" s="20" t="n">
        <x:v>45911</x:v>
      </x:c>
      <x:c r="C3409" t="str">
        <x:v>C0126</x:v>
      </x:c>
      <x:c r="D3409" t="str">
        <x:v>Mysore Hotel 126</x:v>
      </x:c>
      <x:c r="E3409" t="str">
        <x:v>Restaurant</x:v>
      </x:c>
      <x:c r="F3409" t="str">
        <x:v>Mangaluru</x:v>
      </x:c>
      <x:c r="G3409" t="str">
        <x:v>Vikram</x:v>
      </x:c>
      <x:c r="H3409" t="str">
        <x:v>P007</x:v>
      </x:c>
      <x:c r="I3409" t="str">
        <x:v>Sunflower Oil 15L</x:v>
      </x:c>
      <x:c r="J3409" t="str">
        <x:v>Edible Oil</x:v>
      </x:c>
      <x:c r="K3409" t="str">
        <x:v>Fortune</x:v>
      </x:c>
      <x:c r="L3409" s="22" t="n">
        <x:v>1980</x:v>
      </x:c>
      <x:c r="M3409" t="n">
        <x:v>11</x:v>
      </x:c>
      <x:c r="N3409" s="24" t="n">
        <x:v>0.03</x:v>
      </x:c>
      <x:c r="O3409" s="22" t="n">
        <x:f>L3409*M3409</x:f>
        <x:v>21780</x:v>
      </x:c>
      <x:c r="P3409" s="22" t="n">
        <x:f>O3409*(1-N3409)</x:f>
        <x:v>21126.6</x:v>
      </x:c>
      <x:c r="Q3409" s="22" t="n">
        <x:v>1810</x:v>
      </x:c>
      <x:c r="R3409" s="22" t="n">
        <x:f>Q3409*M3409</x:f>
        <x:v>19910</x:v>
      </x:c>
      <x:c r="S3409" s="22" t="n">
        <x:f>P3409-R3409</x:f>
        <x:v>1216.5999999999985</x:v>
      </x:c>
      <x:c r="T3409" t="str">
        <x:v>UPI</x:v>
      </x:c>
      <x:c r="U3409" t="str">
        <x:v>Pending</x:v>
      </x:c>
      <x:c r="V3409" t="str">
        <x:v>Delivered</x:v>
      </x:c>
      <x:c r="W3409" t="n">
        <x:v>0</x:v>
      </x:c>
      <x:c r="X3409" t="str"/>
      <x:c r="Y3409" t="str">
        <x:v>Referral</x:v>
      </x:c>
    </x:row>
    <x:row r="3410">
      <x:c r="A3410" t="str">
        <x:v>O003409</x:v>
      </x:c>
      <x:c r="B3410" s="20" t="n">
        <x:v>45929</x:v>
      </x:c>
      <x:c r="C3410" t="str">
        <x:v>C0173</x:v>
      </x:c>
      <x:c r="D3410" t="str">
        <x:v>Royal Kitchen 173</x:v>
      </x:c>
      <x:c r="E3410" t="str">
        <x:v>Hotel</x:v>
      </x:c>
      <x:c r="F3410" t="str">
        <x:v>Bengaluru</x:v>
      </x:c>
      <x:c r="G3410" t="str">
        <x:v>Priya</x:v>
      </x:c>
      <x:c r="H3410" t="str">
        <x:v>P020</x:v>
      </x:c>
      <x:c r="I3410" t="str">
        <x:v>Coffee 500g</x:v>
      </x:c>
      <x:c r="J3410" t="str">
        <x:v>Beverage</x:v>
      </x:c>
      <x:c r="K3410" t="str">
        <x:v>Bru</x:v>
      </x:c>
      <x:c r="L3410" s="22" t="n">
        <x:v>390</x:v>
      </x:c>
      <x:c r="M3410" t="n">
        <x:v>11</x:v>
      </x:c>
      <x:c r="N3410" s="24" t="n">
        <x:v>0.05</x:v>
      </x:c>
      <x:c r="O3410" s="22" t="n">
        <x:f>L3410*M3410</x:f>
        <x:v>4290</x:v>
      </x:c>
      <x:c r="P3410" s="22" t="n">
        <x:f>O3410*(1-N3410)</x:f>
        <x:v>4075.5</x:v>
      </x:c>
      <x:c r="Q3410" s="22" t="n">
        <x:v>350</x:v>
      </x:c>
      <x:c r="R3410" s="22" t="n">
        <x:f>Q3410*M3410</x:f>
        <x:v>3850</x:v>
      </x:c>
      <x:c r="S3410" s="22" t="n">
        <x:f>P3410-R3410</x:f>
        <x:v>225.5</x:v>
      </x:c>
      <x:c r="T3410" t="str">
        <x:v>Credit</x:v>
      </x:c>
      <x:c r="U3410" t="str">
        <x:v>Pending</x:v>
      </x:c>
      <x:c r="V3410" t="str">
        <x:v>Delivered</x:v>
      </x:c>
      <x:c r="W3410" t="n">
        <x:v>0</x:v>
      </x:c>
      <x:c r="X3410" t="str"/>
      <x:c r="Y3410" t="str">
        <x:v>Referral</x:v>
      </x:c>
    </x:row>
    <x:row r="3411">
      <x:c r="A3411" t="str">
        <x:v>O003410</x:v>
      </x:c>
      <x:c r="B3411" s="20" t="n">
        <x:v>46231</x:v>
      </x:c>
      <x:c r="C3411" t="str">
        <x:v>C0094</x:v>
      </x:c>
      <x:c r="D3411" t="str">
        <x:v>Mysore Mart 94</x:v>
      </x:c>
      <x:c r="E3411" t="str">
        <x:v>Restaurant</x:v>
      </x:c>
      <x:c r="F3411" t="str">
        <x:v>Hubballi</x:v>
      </x:c>
      <x:c r="G3411" t="str">
        <x:v>Sneha</x:v>
      </x:c>
      <x:c r="H3411" t="str">
        <x:v>P013</x:v>
      </x:c>
      <x:c r="I3411" t="str">
        <x:v>Atta 10kg</x:v>
      </x:c>
      <x:c r="J3411" t="str">
        <x:v>Flour</x:v>
      </x:c>
      <x:c r="K3411" t="str">
        <x:v>Aashirvaad</x:v>
      </x:c>
      <x:c r="L3411" s="22" t="n">
        <x:v>560</x:v>
      </x:c>
      <x:c r="M3411" t="n">
        <x:v>17</x:v>
      </x:c>
      <x:c r="N3411" s="24" t="n">
        <x:v>0.05</x:v>
      </x:c>
      <x:c r="O3411" s="22" t="n">
        <x:f>L3411*M3411</x:f>
        <x:v>9520</x:v>
      </x:c>
      <x:c r="P3411" s="22" t="n">
        <x:f>O3411*(1-N3411)</x:f>
        <x:v>9044</x:v>
      </x:c>
      <x:c r="Q3411" s="22" t="n">
        <x:v>495</x:v>
      </x:c>
      <x:c r="R3411" s="22" t="n">
        <x:f>Q3411*M3411</x:f>
        <x:v>8415</x:v>
      </x:c>
      <x:c r="S3411" s="22" t="n">
        <x:f>P3411-R3411</x:f>
        <x:v>629</x:v>
      </x:c>
      <x:c r="T3411" t="str">
        <x:v>Cash</x:v>
      </x:c>
      <x:c r="U3411" t="str">
        <x:v>Pending</x:v>
      </x:c>
      <x:c r="V3411" t="str">
        <x:v>Delivered</x:v>
      </x:c>
      <x:c r="W3411" t="n">
        <x:v>0</x:v>
      </x:c>
      <x:c r="X3411" t="str"/>
      <x:c r="Y3411" t="str">
        <x:v>WhatsApp</x:v>
      </x:c>
    </x:row>
    <x:row r="3412">
      <x:c r="A3412" t="str">
        <x:v>O003411</x:v>
      </x:c>
      <x:c r="B3412" s="20" t="n">
        <x:v>46242</x:v>
      </x:c>
      <x:c r="C3412" t="str">
        <x:v>C0176</x:v>
      </x:c>
      <x:c r="D3412" t="str">
        <x:v>Cafe Kitchen 176</x:v>
      </x:c>
      <x:c r="E3412" t="str">
        <x:v>Kirana</x:v>
      </x:c>
      <x:c r="F3412" t="str">
        <x:v>Mysuru</x:v>
      </x:c>
      <x:c r="G3412" t="str">
        <x:v>Priya</x:v>
      </x:c>
      <x:c r="H3412" t="str">
        <x:v>P021</x:v>
      </x:c>
      <x:c r="I3412" t="str">
        <x:v>Instant Coffee 200g</x:v>
      </x:c>
      <x:c r="J3412" t="str">
        <x:v>Beverage</x:v>
      </x:c>
      <x:c r="K3412" t="str">
        <x:v>Nescafe</x:v>
      </x:c>
      <x:c r="L3412" s="22" t="n">
        <x:v>460</x:v>
      </x:c>
      <x:c r="M3412" t="n">
        <x:v>40</x:v>
      </x:c>
      <x:c r="N3412" s="24" t="n">
        <x:v>0.02</x:v>
      </x:c>
      <x:c r="O3412" s="22" t="n">
        <x:f>L3412*M3412</x:f>
        <x:v>18400</x:v>
      </x:c>
      <x:c r="P3412" s="22" t="n">
        <x:f>O3412*(1-N3412)</x:f>
        <x:v>18032</x:v>
      </x:c>
      <x:c r="Q3412" s="22" t="n">
        <x:v>410</x:v>
      </x:c>
      <x:c r="R3412" s="22" t="n">
        <x:f>Q3412*M3412</x:f>
        <x:v>16400</x:v>
      </x:c>
      <x:c r="S3412" s="22" t="n">
        <x:f>P3412-R3412</x:f>
        <x:v>1632</x:v>
      </x:c>
      <x:c r="T3412" t="str">
        <x:v>Bank Transfer</x:v>
      </x:c>
      <x:c r="U3412" t="str">
        <x:v>Paid</x:v>
      </x:c>
      <x:c r="V3412" t="str">
        <x:v>Cancelled</x:v>
      </x:c>
      <x:c r="W3412" t="n">
        <x:v>40</x:v>
      </x:c>
      <x:c r="X3412" t="str">
        <x:v>Cancelled Order</x:v>
      </x:c>
      <x:c r="Y3412" t="str">
        <x:v>Outbound Call</x:v>
      </x:c>
    </x:row>
    <x:row r="3413">
      <x:c r="A3413" t="str">
        <x:v>O003412</x:v>
      </x:c>
      <x:c r="B3413" s="20" t="n">
        <x:v>45980</x:v>
      </x:c>
      <x:c r="C3413" t="str">
        <x:v>C0218</x:v>
      </x:c>
      <x:c r="D3413" t="str">
        <x:v>Green Stores 218</x:v>
      </x:c>
      <x:c r="E3413" t="str">
        <x:v>Hotel</x:v>
      </x:c>
      <x:c r="F3413" t="str">
        <x:v>Mysuru</x:v>
      </x:c>
      <x:c r="G3413" t="str">
        <x:v>Imran</x:v>
      </x:c>
      <x:c r="H3413" t="str">
        <x:v>P022</x:v>
      </x:c>
      <x:c r="I3413" t="str">
        <x:v>Mineral Water 1L</x:v>
      </x:c>
      <x:c r="J3413" t="str">
        <x:v>Beverage</x:v>
      </x:c>
      <x:c r="K3413" t="str">
        <x:v>Bisleri</x:v>
      </x:c>
      <x:c r="L3413" s="22" t="n">
        <x:v>19</x:v>
      </x:c>
      <x:c r="M3413" t="n">
        <x:v>14</x:v>
      </x:c>
      <x:c r="N3413" s="24" t="n">
        <x:v>0.03</x:v>
      </x:c>
      <x:c r="O3413" s="22" t="n">
        <x:f>L3413*M3413</x:f>
        <x:v>266</x:v>
      </x:c>
      <x:c r="P3413" s="22" t="n">
        <x:f>O3413*(1-N3413)</x:f>
        <x:v>258.02</x:v>
      </x:c>
      <x:c r="Q3413" s="22" t="n">
        <x:v>15</x:v>
      </x:c>
      <x:c r="R3413" s="22" t="n">
        <x:f>Q3413*M3413</x:f>
        <x:v>210</x:v>
      </x:c>
      <x:c r="S3413" s="22" t="n">
        <x:f>P3413-R3413</x:f>
        <x:v>48.01999999999998</x:v>
      </x:c>
      <x:c r="T3413" t="str">
        <x:v>Cash</x:v>
      </x:c>
      <x:c r="U3413" t="str">
        <x:v>Paid</x:v>
      </x:c>
      <x:c r="V3413" t="str">
        <x:v>Delivered</x:v>
      </x:c>
      <x:c r="W3413" t="n">
        <x:v>0</x:v>
      </x:c>
      <x:c r="X3413" t="str"/>
      <x:c r="Y3413" t="str">
        <x:v>Referral</x:v>
      </x:c>
    </x:row>
    <x:row r="3414">
      <x:c r="A3414" t="str">
        <x:v>O003413</x:v>
      </x:c>
      <x:c r="B3414" s="20" t="n">
        <x:v>45719</x:v>
      </x:c>
      <x:c r="C3414" t="str">
        <x:v>C0160</x:v>
      </x:c>
      <x:c r="D3414" t="str">
        <x:v>Hotel Foods 160</x:v>
      </x:c>
      <x:c r="E3414" t="str">
        <x:v>Hotel</x:v>
      </x:c>
      <x:c r="F3414" t="str">
        <x:v>Mangaluru</x:v>
      </x:c>
      <x:c r="G3414" t="str">
        <x:v>Sneha</x:v>
      </x:c>
      <x:c r="H3414" t="str">
        <x:v>P024</x:v>
      </x:c>
      <x:c r="I3414" t="str">
        <x:v>Orange Drink 1L</x:v>
      </x:c>
      <x:c r="J3414" t="str">
        <x:v>Beverage</x:v>
      </x:c>
      <x:c r="K3414" t="str">
        <x:v>Minute Maid</x:v>
      </x:c>
      <x:c r="L3414" s="22" t="n">
        <x:v>105</x:v>
      </x:c>
      <x:c r="M3414" t="n">
        <x:v>35</x:v>
      </x:c>
      <x:c r="N3414" s="24" t="n">
        <x:v>0</x:v>
      </x:c>
      <x:c r="O3414" s="22" t="n">
        <x:f>L3414*M3414</x:f>
        <x:v>3675</x:v>
      </x:c>
      <x:c r="P3414" s="22" t="n">
        <x:f>O3414*(1-N3414)</x:f>
        <x:v>3675</x:v>
      </x:c>
      <x:c r="Q3414" s="22" t="n">
        <x:v>88</x:v>
      </x:c>
      <x:c r="R3414" s="22" t="n">
        <x:f>Q3414*M3414</x:f>
        <x:v>3080</x:v>
      </x:c>
      <x:c r="S3414" s="22" t="n">
        <x:f>P3414-R3414</x:f>
        <x:v>595</x:v>
      </x:c>
      <x:c r="T3414" t="str">
        <x:v>Cash</x:v>
      </x:c>
      <x:c r="U3414" t="str">
        <x:v>Overdue</x:v>
      </x:c>
      <x:c r="V3414" t="str">
        <x:v>Delivered</x:v>
      </x:c>
      <x:c r="W3414" t="n">
        <x:v>0</x:v>
      </x:c>
      <x:c r="X3414" t="str"/>
      <x:c r="Y3414" t="str">
        <x:v>Referral</x:v>
      </x:c>
    </x:row>
    <x:row r="3415">
      <x:c r="A3415" t="str">
        <x:v>O003414</x:v>
      </x:c>
      <x:c r="B3415" s="20" t="n">
        <x:v>46265</x:v>
      </x:c>
      <x:c r="C3415" t="str">
        <x:v>C0143</x:v>
      </x:c>
      <x:c r="D3415" t="str">
        <x:v>Foodie Restaurant 143</x:v>
      </x:c>
      <x:c r="E3415" t="str">
        <x:v>Restaurant</x:v>
      </x:c>
      <x:c r="F3415" t="str">
        <x:v>Hubballi</x:v>
      </x:c>
      <x:c r="G3415" t="str">
        <x:v>Priya</x:v>
      </x:c>
      <x:c r="H3415" t="str">
        <x:v>P024</x:v>
      </x:c>
      <x:c r="I3415" t="str">
        <x:v>Orange Drink 1L</x:v>
      </x:c>
      <x:c r="J3415" t="str">
        <x:v>Beverage</x:v>
      </x:c>
      <x:c r="K3415" t="str">
        <x:v>Minute Maid</x:v>
      </x:c>
      <x:c r="L3415" s="22" t="n">
        <x:v>105</x:v>
      </x:c>
      <x:c r="M3415" t="n">
        <x:v>15</x:v>
      </x:c>
      <x:c r="N3415" s="24" t="n">
        <x:v>0.05</x:v>
      </x:c>
      <x:c r="O3415" s="22" t="n">
        <x:f>L3415*M3415</x:f>
        <x:v>1575</x:v>
      </x:c>
      <x:c r="P3415" s="22" t="n">
        <x:f>O3415*(1-N3415)</x:f>
        <x:v>1496.25</x:v>
      </x:c>
      <x:c r="Q3415" s="22" t="n">
        <x:v>88</x:v>
      </x:c>
      <x:c r="R3415" s="22" t="n">
        <x:f>Q3415*M3415</x:f>
        <x:v>1320</x:v>
      </x:c>
      <x:c r="S3415" s="22" t="n">
        <x:f>P3415-R3415</x:f>
        <x:v>176.25</x:v>
      </x:c>
      <x:c r="T3415" t="str">
        <x:v>UPI</x:v>
      </x:c>
      <x:c r="U3415" t="str">
        <x:v>Paid</x:v>
      </x:c>
      <x:c r="V3415" t="str">
        <x:v>Cancelled</x:v>
      </x:c>
      <x:c r="W3415" t="n">
        <x:v>15</x:v>
      </x:c>
      <x:c r="X3415" t="str">
        <x:v>Cancelled Order</x:v>
      </x:c>
      <x:c r="Y3415" t="str">
        <x:v>Field Visit</x:v>
      </x:c>
    </x:row>
    <x:row r="3416">
      <x:c r="A3416" t="str">
        <x:v>O003415</x:v>
      </x:c>
      <x:c r="B3416" s="20" t="n">
        <x:v>46188</x:v>
      </x:c>
      <x:c r="C3416" t="str">
        <x:v>C0044</x:v>
      </x:c>
      <x:c r="D3416" t="str">
        <x:v>Annapurna Mart 44</x:v>
      </x:c>
      <x:c r="E3416" t="str">
        <x:v>Kirana</x:v>
      </x:c>
      <x:c r="F3416" t="str">
        <x:v>Davanagere</x:v>
      </x:c>
      <x:c r="G3416" t="str">
        <x:v>Priya</x:v>
      </x:c>
      <x:c r="H3416" t="str">
        <x:v>P033</x:v>
      </x:c>
      <x:c r="I3416" t="str">
        <x:v>Turmeric Powder 1kg</x:v>
      </x:c>
      <x:c r="J3416" t="str">
        <x:v>Spices</x:v>
      </x:c>
      <x:c r="K3416" t="str">
        <x:v>Everest</x:v>
      </x:c>
      <x:c r="L3416" s="22" t="n">
        <x:v>310</x:v>
      </x:c>
      <x:c r="M3416" t="n">
        <x:v>2</x:v>
      </x:c>
      <x:c r="N3416" s="24" t="n">
        <x:v>0.02</x:v>
      </x:c>
      <x:c r="O3416" s="22" t="n">
        <x:f>L3416*M3416</x:f>
        <x:v>620</x:v>
      </x:c>
      <x:c r="P3416" s="22" t="n">
        <x:f>O3416*(1-N3416)</x:f>
        <x:v>607.6</x:v>
      </x:c>
      <x:c r="Q3416" s="22" t="n">
        <x:v>270</x:v>
      </x:c>
      <x:c r="R3416" s="22" t="n">
        <x:f>Q3416*M3416</x:f>
        <x:v>540</x:v>
      </x:c>
      <x:c r="S3416" s="22" t="n">
        <x:f>P3416-R3416</x:f>
        <x:v>67.60000000000002</x:v>
      </x:c>
      <x:c r="T3416" t="str">
        <x:v>Credit</x:v>
      </x:c>
      <x:c r="U3416" t="str">
        <x:v>Paid</x:v>
      </x:c>
      <x:c r="V3416" t="str">
        <x:v>Delivered</x:v>
      </x:c>
      <x:c r="W3416" t="n">
        <x:v>0</x:v>
      </x:c>
      <x:c r="X3416" t="str"/>
      <x:c r="Y3416" t="str">
        <x:v>Existing Customer</x:v>
      </x:c>
    </x:row>
    <x:row r="3417">
      <x:c r="A3417" t="str">
        <x:v>O003416</x:v>
      </x:c>
      <x:c r="B3417" s="20" t="n">
        <x:v>46119</x:v>
      </x:c>
      <x:c r="C3417" t="str">
        <x:v>C0176</x:v>
      </x:c>
      <x:c r="D3417" t="str">
        <x:v>Cafe Kitchen 176</x:v>
      </x:c>
      <x:c r="E3417" t="str">
        <x:v>Kirana</x:v>
      </x:c>
      <x:c r="F3417" t="str">
        <x:v>Mysuru</x:v>
      </x:c>
      <x:c r="G3417" t="str">
        <x:v>Priya</x:v>
      </x:c>
      <x:c r="H3417" t="str">
        <x:v>P041</x:v>
      </x:c>
      <x:c r="I3417" t="str">
        <x:v>Burger Bun 6pc</x:v>
      </x:c>
      <x:c r="J3417" t="str">
        <x:v>Bakery</x:v>
      </x:c>
      <x:c r="K3417" t="str">
        <x:v>Modern</x:v>
      </x:c>
      <x:c r="L3417" s="22" t="n">
        <x:v>42</x:v>
      </x:c>
      <x:c r="M3417" t="n">
        <x:v>14</x:v>
      </x:c>
      <x:c r="N3417" s="24" t="n">
        <x:v>0.02</x:v>
      </x:c>
      <x:c r="O3417" s="22" t="n">
        <x:f>L3417*M3417</x:f>
        <x:v>588</x:v>
      </x:c>
      <x:c r="P3417" s="22" t="n">
        <x:f>O3417*(1-N3417)</x:f>
        <x:v>576.24</x:v>
      </x:c>
      <x:c r="Q3417" s="22" t="n">
        <x:v>32</x:v>
      </x:c>
      <x:c r="R3417" s="22" t="n">
        <x:f>Q3417*M3417</x:f>
        <x:v>448</x:v>
      </x:c>
      <x:c r="S3417" s="22" t="n">
        <x:f>P3417-R3417</x:f>
        <x:v>128.24</x:v>
      </x:c>
      <x:c r="T3417" t="str">
        <x:v>Cash</x:v>
      </x:c>
      <x:c r="U3417" t="str">
        <x:v>Pending</x:v>
      </x:c>
      <x:c r="V3417" t="str">
        <x:v>Delivered</x:v>
      </x:c>
      <x:c r="W3417" t="n">
        <x:v>0</x:v>
      </x:c>
      <x:c r="X3417" t="str"/>
      <x:c r="Y3417" t="str">
        <x:v>WhatsApp</x:v>
      </x:c>
    </x:row>
    <x:row r="3418">
      <x:c r="A3418" t="str">
        <x:v>O003417</x:v>
      </x:c>
      <x:c r="B3418" s="20" t="n">
        <x:v>45950</x:v>
      </x:c>
      <x:c r="C3418" t="str">
        <x:v>C0124</x:v>
      </x:c>
      <x:c r="D3418" t="str">
        <x:v>Green Hotel 124</x:v>
      </x:c>
      <x:c r="E3418" t="str">
        <x:v>Cafe</x:v>
      </x:c>
      <x:c r="F3418" t="str">
        <x:v>Bengaluru</x:v>
      </x:c>
      <x:c r="G3418" t="str">
        <x:v>Imran</x:v>
      </x:c>
      <x:c r="H3418" t="str">
        <x:v>P017</x:v>
      </x:c>
      <x:c r="I3418" t="str">
        <x:v>Butter 500g</x:v>
      </x:c>
      <x:c r="J3418" t="str">
        <x:v>Dairy</x:v>
      </x:c>
      <x:c r="K3418" t="str">
        <x:v>Amul</x:v>
      </x:c>
      <x:c r="L3418" s="22" t="n">
        <x:v>285</x:v>
      </x:c>
      <x:c r="M3418" t="n">
        <x:v>18</x:v>
      </x:c>
      <x:c r="N3418" s="24" t="n">
        <x:v>0.03</x:v>
      </x:c>
      <x:c r="O3418" s="22" t="n">
        <x:f>L3418*M3418</x:f>
        <x:v>5130</x:v>
      </x:c>
      <x:c r="P3418" s="22" t="n">
        <x:f>O3418*(1-N3418)</x:f>
        <x:v>4976.099999999999</x:v>
      </x:c>
      <x:c r="Q3418" s="22" t="n">
        <x:v>258</x:v>
      </x:c>
      <x:c r="R3418" s="22" t="n">
        <x:f>Q3418*M3418</x:f>
        <x:v>4644</x:v>
      </x:c>
      <x:c r="S3418" s="22" t="n">
        <x:f>P3418-R3418</x:f>
        <x:v>332.09999999999945</x:v>
      </x:c>
      <x:c r="T3418" t="str">
        <x:v>Cash</x:v>
      </x:c>
      <x:c r="U3418" t="str">
        <x:v>Pending</x:v>
      </x:c>
      <x:c r="V3418" t="str">
        <x:v>Delivered</x:v>
      </x:c>
      <x:c r="W3418" t="n">
        <x:v>4</x:v>
      </x:c>
      <x:c r="X3418" t="str">
        <x:v>Quality Issue</x:v>
      </x:c>
      <x:c r="Y3418" t="str">
        <x:v>Outbound Call</x:v>
      </x:c>
    </x:row>
    <x:row r="3419">
      <x:c r="A3419" t="str">
        <x:v>O003418</x:v>
      </x:c>
      <x:c r="B3419" s="20" t="n">
        <x:v>46239</x:v>
      </x:c>
      <x:c r="C3419" t="str">
        <x:v>C0003</x:v>
      </x:c>
      <x:c r="D3419" t="str">
        <x:v>Grand Foods 3</x:v>
      </x:c>
      <x:c r="E3419" t="str">
        <x:v>Restaurant</x:v>
      </x:c>
      <x:c r="F3419" t="str">
        <x:v>Bengaluru</x:v>
      </x:c>
      <x:c r="G3419" t="str">
        <x:v>Vikram</x:v>
      </x:c>
      <x:c r="H3419" t="str">
        <x:v>P025</x:v>
      </x:c>
      <x:c r="I3419" t="str">
        <x:v>Potato Chips 100g</x:v>
      </x:c>
      <x:c r="J3419" t="str">
        <x:v>Snacks</x:v>
      </x:c>
      <x:c r="K3419" t="str">
        <x:v>Lay's</x:v>
      </x:c>
      <x:c r="L3419" s="22" t="n">
        <x:v>35</x:v>
      </x:c>
      <x:c r="M3419" t="n">
        <x:v>35</x:v>
      </x:c>
      <x:c r="N3419" s="24" t="n">
        <x:v>0.08</x:v>
      </x:c>
      <x:c r="O3419" s="22" t="n">
        <x:f>L3419*M3419</x:f>
        <x:v>1225</x:v>
      </x:c>
      <x:c r="P3419" s="22" t="n">
        <x:f>O3419*(1-N3419)</x:f>
        <x:v>1127</x:v>
      </x:c>
      <x:c r="Q3419" s="22" t="n">
        <x:v>27</x:v>
      </x:c>
      <x:c r="R3419" s="22" t="n">
        <x:f>Q3419*M3419</x:f>
        <x:v>945</x:v>
      </x:c>
      <x:c r="S3419" s="22" t="n">
        <x:f>P3419-R3419</x:f>
        <x:v>182</x:v>
      </x:c>
      <x:c r="T3419" t="str">
        <x:v>Bank Transfer</x:v>
      </x:c>
      <x:c r="U3419" t="str">
        <x:v>Paid</x:v>
      </x:c>
      <x:c r="V3419" t="str">
        <x:v>Delayed</x:v>
      </x:c>
      <x:c r="W3419" t="n">
        <x:v>0</x:v>
      </x:c>
      <x:c r="X3419" t="str"/>
      <x:c r="Y3419" t="str">
        <x:v>WhatsApp</x:v>
      </x:c>
    </x:row>
    <x:row r="3420">
      <x:c r="A3420" t="str">
        <x:v>O003419</x:v>
      </x:c>
      <x:c r="B3420" s="20" t="n">
        <x:v>46126</x:v>
      </x:c>
      <x:c r="C3420" t="str">
        <x:v>C0190</x:v>
      </x:c>
      <x:c r="D3420" t="str">
        <x:v>Shree Restaurant 190</x:v>
      </x:c>
      <x:c r="E3420" t="str">
        <x:v>Canteen</x:v>
      </x:c>
      <x:c r="F3420" t="str">
        <x:v>Bengaluru</x:v>
      </x:c>
      <x:c r="G3420" t="str">
        <x:v>Kavya</x:v>
      </x:c>
      <x:c r="H3420" t="str">
        <x:v>P043</x:v>
      </x:c>
      <x:c r="I3420" t="str">
        <x:v>Chicken Breast 1kg</x:v>
      </x:c>
      <x:c r="J3420" t="str">
        <x:v>Protein</x:v>
      </x:c>
      <x:c r="K3420" t="str">
        <x:v>FreshToHome</x:v>
      </x:c>
      <x:c r="L3420" s="22" t="n">
        <x:v>260</x:v>
      </x:c>
      <x:c r="M3420" t="n">
        <x:v>24</x:v>
      </x:c>
      <x:c r="N3420" s="24" t="n">
        <x:v>0.05</x:v>
      </x:c>
      <x:c r="O3420" s="22" t="n">
        <x:f>L3420*M3420</x:f>
        <x:v>6240</x:v>
      </x:c>
      <x:c r="P3420" s="22" t="n">
        <x:f>O3420*(1-N3420)</x:f>
        <x:v>5928</x:v>
      </x:c>
      <x:c r="Q3420" s="22" t="n">
        <x:v>235</x:v>
      </x:c>
      <x:c r="R3420" s="22" t="n">
        <x:f>Q3420*M3420</x:f>
        <x:v>5640</x:v>
      </x:c>
      <x:c r="S3420" s="22" t="n">
        <x:f>P3420-R3420</x:f>
        <x:v>288</x:v>
      </x:c>
      <x:c r="T3420" t="str">
        <x:v>Bank Transfer</x:v>
      </x:c>
      <x:c r="U3420" t="str">
        <x:v>Paid</x:v>
      </x:c>
      <x:c r="V3420" t="str">
        <x:v>Delayed</x:v>
      </x:c>
      <x:c r="W3420" t="n">
        <x:v>0</x:v>
      </x:c>
      <x:c r="X3420" t="str"/>
      <x:c r="Y3420" t="str">
        <x:v>Referral</x:v>
      </x:c>
    </x:row>
    <x:row r="3421">
      <x:c r="A3421" t="str">
        <x:v>O003420</x:v>
      </x:c>
      <x:c r="B3421" s="20" t="n">
        <x:v>46018</x:v>
      </x:c>
      <x:c r="C3421" t="str">
        <x:v>C0209</x:v>
      </x:c>
      <x:c r="D3421" t="str">
        <x:v>Shree Hotel 209</x:v>
      </x:c>
      <x:c r="E3421" t="str">
        <x:v>Restaurant</x:v>
      </x:c>
      <x:c r="F3421" t="str">
        <x:v>Tumakuru</x:v>
      </x:c>
      <x:c r="G3421" t="str">
        <x:v>Ramesh</x:v>
      </x:c>
      <x:c r="H3421" t="str">
        <x:v>P036</x:v>
      </x:c>
      <x:c r="I3421" t="str">
        <x:v>Garam Masala 500g</x:v>
      </x:c>
      <x:c r="J3421" t="str">
        <x:v>Spices</x:v>
      </x:c>
      <x:c r="K3421" t="str">
        <x:v>MDH</x:v>
      </x:c>
      <x:c r="L3421" s="22" t="n">
        <x:v>265</x:v>
      </x:c>
      <x:c r="M3421" t="n">
        <x:v>19</x:v>
      </x:c>
      <x:c r="N3421" s="24" t="n">
        <x:v>0.05</x:v>
      </x:c>
      <x:c r="O3421" s="22" t="n">
        <x:f>L3421*M3421</x:f>
        <x:v>5035</x:v>
      </x:c>
      <x:c r="P3421" s="22" t="n">
        <x:f>O3421*(1-N3421)</x:f>
        <x:v>4783.25</x:v>
      </x:c>
      <x:c r="Q3421" s="22" t="n">
        <x:v>230</x:v>
      </x:c>
      <x:c r="R3421" s="22" t="n">
        <x:f>Q3421*M3421</x:f>
        <x:v>4370</x:v>
      </x:c>
      <x:c r="S3421" s="22" t="n">
        <x:f>P3421-R3421</x:f>
        <x:v>413.25</x:v>
      </x:c>
      <x:c r="T3421" t="str">
        <x:v>Credit</x:v>
      </x:c>
      <x:c r="U3421" t="str">
        <x:v>Paid</x:v>
      </x:c>
      <x:c r="V3421" t="str">
        <x:v>Delivered</x:v>
      </x:c>
      <x:c r="W3421" t="n">
        <x:v>0</x:v>
      </x:c>
      <x:c r="X3421" t="str"/>
      <x:c r="Y3421" t="str">
        <x:v>Outbound Call</x:v>
      </x:c>
    </x:row>
    <x:row r="3422">
      <x:c r="A3422" t="str">
        <x:v>O003421</x:v>
      </x:c>
      <x:c r="B3422" s="20" t="n">
        <x:v>46137</x:v>
      </x:c>
      <x:c r="C3422" t="str">
        <x:v>C0066</x:v>
      </x:c>
      <x:c r="D3422" t="str">
        <x:v>Hotel Hotel 66</x:v>
      </x:c>
      <x:c r="E3422" t="str">
        <x:v>Restaurant</x:v>
      </x:c>
      <x:c r="F3422" t="str">
        <x:v>Davanagere</x:v>
      </x:c>
      <x:c r="G3422" t="str">
        <x:v>Megha</x:v>
      </x:c>
      <x:c r="H3422" t="str">
        <x:v>P002</x:v>
      </x:c>
      <x:c r="I3422" t="str">
        <x:v>Sona Masoori Rice 25kg</x:v>
      </x:c>
      <x:c r="J3422" t="str">
        <x:v>Staples</x:v>
      </x:c>
      <x:c r="K3422" t="str">
        <x:v>Fortune</x:v>
      </x:c>
      <x:c r="L3422" s="22" t="n">
        <x:v>1320</x:v>
      </x:c>
      <x:c r="M3422" t="n">
        <x:v>6</x:v>
      </x:c>
      <x:c r="N3422" s="24" t="n">
        <x:v>0.02</x:v>
      </x:c>
      <x:c r="O3422" s="22" t="n">
        <x:f>L3422*M3422</x:f>
        <x:v>7920</x:v>
      </x:c>
      <x:c r="P3422" s="22" t="n">
        <x:f>O3422*(1-N3422)</x:f>
        <x:v>7761.599999999999</x:v>
      </x:c>
      <x:c r="Q3422" s="22" t="n">
        <x:v>1160</x:v>
      </x:c>
      <x:c r="R3422" s="22" t="n">
        <x:f>Q3422*M3422</x:f>
        <x:v>6960</x:v>
      </x:c>
      <x:c r="S3422" s="22" t="n">
        <x:f>P3422-R3422</x:f>
        <x:v>801.5999999999995</x:v>
      </x:c>
      <x:c r="T3422" t="str">
        <x:v>Cash</x:v>
      </x:c>
      <x:c r="U3422" t="str">
        <x:v>Pending</x:v>
      </x:c>
      <x:c r="V3422" t="str">
        <x:v>Delayed</x:v>
      </x:c>
      <x:c r="W3422" t="n">
        <x:v>0</x:v>
      </x:c>
      <x:c r="X3422" t="str"/>
      <x:c r="Y3422" t="str">
        <x:v>WhatsApp</x:v>
      </x:c>
    </x:row>
    <x:row r="3423">
      <x:c r="A3423" t="str">
        <x:v>O003422</x:v>
      </x:c>
      <x:c r="B3423" s="20" t="n">
        <x:v>45719</x:v>
      </x:c>
      <x:c r="C3423" t="str">
        <x:v>C0194</x:v>
      </x:c>
      <x:c r="D3423" t="str">
        <x:v>Royal Hotel 194</x:v>
      </x:c>
      <x:c r="E3423" t="str">
        <x:v>Kirana</x:v>
      </x:c>
      <x:c r="F3423" t="str">
        <x:v>Mysuru</x:v>
      </x:c>
      <x:c r="G3423" t="str">
        <x:v>Megha</x:v>
      </x:c>
      <x:c r="H3423" t="str">
        <x:v>P028</x:v>
      </x:c>
      <x:c r="I3423" t="str">
        <x:v>Cookies 200g</x:v>
      </x:c>
      <x:c r="J3423" t="str">
        <x:v>Snacks</x:v>
      </x:c>
      <x:c r="K3423" t="str">
        <x:v>Britannia</x:v>
      </x:c>
      <x:c r="L3423" s="22" t="n">
        <x:v>55</x:v>
      </x:c>
      <x:c r="M3423" t="n">
        <x:v>37</x:v>
      </x:c>
      <x:c r="N3423" s="24" t="n">
        <x:v>0.05</x:v>
      </x:c>
      <x:c r="O3423" s="22" t="n">
        <x:f>L3423*M3423</x:f>
        <x:v>2035</x:v>
      </x:c>
      <x:c r="P3423" s="22" t="n">
        <x:f>O3423*(1-N3423)</x:f>
        <x:v>1933.25</x:v>
      </x:c>
      <x:c r="Q3423" s="22" t="n">
        <x:v>42</x:v>
      </x:c>
      <x:c r="R3423" s="22" t="n">
        <x:f>Q3423*M3423</x:f>
        <x:v>1554</x:v>
      </x:c>
      <x:c r="S3423" s="22" t="n">
        <x:f>P3423-R3423</x:f>
        <x:v>379.25</x:v>
      </x:c>
      <x:c r="T3423" t="str">
        <x:v>Bank Transfer</x:v>
      </x:c>
      <x:c r="U3423" t="str">
        <x:v>Paid</x:v>
      </x:c>
      <x:c r="V3423" t="str">
        <x:v>Cancelled</x:v>
      </x:c>
      <x:c r="W3423" t="n">
        <x:v>37</x:v>
      </x:c>
      <x:c r="X3423" t="str">
        <x:v>Cancelled Order</x:v>
      </x:c>
      <x:c r="Y3423" t="str">
        <x:v>Field Visit</x:v>
      </x:c>
    </x:row>
    <x:row r="3424">
      <x:c r="A3424" t="str">
        <x:v>O003423</x:v>
      </x:c>
      <x:c r="B3424" s="20" t="n">
        <x:v>45804</x:v>
      </x:c>
      <x:c r="C3424" t="str">
        <x:v>C0113</x:v>
      </x:c>
      <x:c r="D3424" t="str">
        <x:v>Namma Mart 113</x:v>
      </x:c>
      <x:c r="E3424" t="str">
        <x:v>Restaurant</x:v>
      </x:c>
      <x:c r="F3424" t="str">
        <x:v>Bengaluru</x:v>
      </x:c>
      <x:c r="G3424" t="str">
        <x:v>Imran</x:v>
      </x:c>
      <x:c r="H3424" t="str">
        <x:v>P037</x:v>
      </x:c>
      <x:c r="I3424" t="str">
        <x:v>Frozen Peas 1kg</x:v>
      </x:c>
      <x:c r="J3424" t="str">
        <x:v>Frozen</x:v>
      </x:c>
      <x:c r="K3424" t="str">
        <x:v>Safal</x:v>
      </x:c>
      <x:c r="L3424" s="22" t="n">
        <x:v>155</x:v>
      </x:c>
      <x:c r="M3424" t="n">
        <x:v>26</x:v>
      </x:c>
      <x:c r="N3424" s="24" t="n">
        <x:v>0.1</x:v>
      </x:c>
      <x:c r="O3424" s="22" t="n">
        <x:f>L3424*M3424</x:f>
        <x:v>4030</x:v>
      </x:c>
      <x:c r="P3424" s="22" t="n">
        <x:f>O3424*(1-N3424)</x:f>
        <x:v>3627</x:v>
      </x:c>
      <x:c r="Q3424" s="22" t="n">
        <x:v>138</x:v>
      </x:c>
      <x:c r="R3424" s="22" t="n">
        <x:f>Q3424*M3424</x:f>
        <x:v>3588</x:v>
      </x:c>
      <x:c r="S3424" s="22" t="n">
        <x:f>P3424-R3424</x:f>
        <x:v>39</x:v>
      </x:c>
      <x:c r="T3424" t="str">
        <x:v>Cash</x:v>
      </x:c>
      <x:c r="U3424" t="str">
        <x:v>Paid</x:v>
      </x:c>
      <x:c r="V3424" t="str">
        <x:v>Delivered</x:v>
      </x:c>
      <x:c r="W3424" t="n">
        <x:v>0</x:v>
      </x:c>
      <x:c r="X3424" t="str"/>
      <x:c r="Y3424" t="str">
        <x:v>Field Visit</x:v>
      </x:c>
    </x:row>
    <x:row r="3425">
      <x:c r="A3425" t="str">
        <x:v>O003424</x:v>
      </x:c>
      <x:c r="B3425" s="20" t="n">
        <x:v>45716</x:v>
      </x:c>
      <x:c r="C3425" t="str">
        <x:v>C0176</x:v>
      </x:c>
      <x:c r="D3425" t="str">
        <x:v>Cafe Kitchen 176</x:v>
      </x:c>
      <x:c r="E3425" t="str">
        <x:v>Kirana</x:v>
      </x:c>
      <x:c r="F3425" t="str">
        <x:v>Mysuru</x:v>
      </x:c>
      <x:c r="G3425" t="str">
        <x:v>Priya</x:v>
      </x:c>
      <x:c r="H3425" t="str">
        <x:v>P026</x:v>
      </x:c>
      <x:c r="I3425" t="str">
        <x:v>Banana Chips 80g</x:v>
      </x:c>
      <x:c r="J3425" t="str">
        <x:v>Snacks</x:v>
      </x:c>
      <x:c r="K3425" t="str">
        <x:v>SSS</x:v>
      </x:c>
      <x:c r="L3425" s="22" t="n">
        <x:v>54</x:v>
      </x:c>
      <x:c r="M3425" t="n">
        <x:v>14</x:v>
      </x:c>
      <x:c r="N3425" s="24" t="n">
        <x:v>0</x:v>
      </x:c>
      <x:c r="O3425" s="22" t="n">
        <x:f>L3425*M3425</x:f>
        <x:v>756</x:v>
      </x:c>
      <x:c r="P3425" s="22" t="n">
        <x:f>O3425*(1-N3425)</x:f>
        <x:v>756</x:v>
      </x:c>
      <x:c r="Q3425" s="22" t="n">
        <x:v>39</x:v>
      </x:c>
      <x:c r="R3425" s="22" t="n">
        <x:f>Q3425*M3425</x:f>
        <x:v>546</x:v>
      </x:c>
      <x:c r="S3425" s="22" t="n">
        <x:f>P3425-R3425</x:f>
        <x:v>210</x:v>
      </x:c>
      <x:c r="T3425" t="str">
        <x:v>UPI</x:v>
      </x:c>
      <x:c r="U3425" t="str">
        <x:v>Paid</x:v>
      </x:c>
      <x:c r="V3425" t="str">
        <x:v>Delivered</x:v>
      </x:c>
      <x:c r="W3425" t="n">
        <x:v>0</x:v>
      </x:c>
      <x:c r="X3425" t="str"/>
      <x:c r="Y3425" t="str">
        <x:v>Existing Customer</x:v>
      </x:c>
    </x:row>
    <x:row r="3426">
      <x:c r="A3426" t="str">
        <x:v>O003425</x:v>
      </x:c>
      <x:c r="B3426" s="20" t="n">
        <x:v>46269</x:v>
      </x:c>
      <x:c r="C3426" t="str">
        <x:v>C0173</x:v>
      </x:c>
      <x:c r="D3426" t="str">
        <x:v>Royal Kitchen 173</x:v>
      </x:c>
      <x:c r="E3426" t="str">
        <x:v>Hotel</x:v>
      </x:c>
      <x:c r="F3426" t="str">
        <x:v>Bengaluru</x:v>
      </x:c>
      <x:c r="G3426" t="str">
        <x:v>Priya</x:v>
      </x:c>
      <x:c r="H3426" t="str">
        <x:v>P041</x:v>
      </x:c>
      <x:c r="I3426" t="str">
        <x:v>Burger Bun 6pc</x:v>
      </x:c>
      <x:c r="J3426" t="str">
        <x:v>Bakery</x:v>
      </x:c>
      <x:c r="K3426" t="str">
        <x:v>Modern</x:v>
      </x:c>
      <x:c r="L3426" s="22" t="n">
        <x:v>42</x:v>
      </x:c>
      <x:c r="M3426" t="n">
        <x:v>33</x:v>
      </x:c>
      <x:c r="N3426" s="24" t="n">
        <x:v>0.08</x:v>
      </x:c>
      <x:c r="O3426" s="22" t="n">
        <x:f>L3426*M3426</x:f>
        <x:v>1386</x:v>
      </x:c>
      <x:c r="P3426" s="22" t="n">
        <x:f>O3426*(1-N3426)</x:f>
        <x:v>1275.1200000000001</x:v>
      </x:c>
      <x:c r="Q3426" s="22" t="n">
        <x:v>32</x:v>
      </x:c>
      <x:c r="R3426" s="22" t="n">
        <x:f>Q3426*M3426</x:f>
        <x:v>1056</x:v>
      </x:c>
      <x:c r="S3426" s="22" t="n">
        <x:f>P3426-R3426</x:f>
        <x:v>219.12000000000012</x:v>
      </x:c>
      <x:c r="T3426" t="str">
        <x:v>Cash</x:v>
      </x:c>
      <x:c r="U3426" t="str">
        <x:v>Overdue</x:v>
      </x:c>
      <x:c r="V3426" t="str">
        <x:v>Delivered</x:v>
      </x:c>
      <x:c r="W3426" t="n">
        <x:v>0</x:v>
      </x:c>
      <x:c r="X3426" t="str"/>
      <x:c r="Y3426" t="str">
        <x:v>Existing Customer</x:v>
      </x:c>
    </x:row>
    <x:row r="3427">
      <x:c r="A3427" t="str">
        <x:v>O003426</x:v>
      </x:c>
      <x:c r="B3427" s="20" t="n">
        <x:v>46095</x:v>
      </x:c>
      <x:c r="C3427" t="str">
        <x:v>C0176</x:v>
      </x:c>
      <x:c r="D3427" t="str">
        <x:v>Cafe Kitchen 176</x:v>
      </x:c>
      <x:c r="E3427" t="str">
        <x:v>Kirana</x:v>
      </x:c>
      <x:c r="F3427" t="str">
        <x:v>Mysuru</x:v>
      </x:c>
      <x:c r="G3427" t="str">
        <x:v>Priya</x:v>
      </x:c>
      <x:c r="H3427" t="str">
        <x:v>P016</x:v>
      </x:c>
      <x:c r="I3427" t="str">
        <x:v>Curd 1kg</x:v>
      </x:c>
      <x:c r="J3427" t="str">
        <x:v>Dairy</x:v>
      </x:c>
      <x:c r="K3427" t="str">
        <x:v>Nandini</x:v>
      </x:c>
      <x:c r="L3427" s="22" t="n">
        <x:v>72</x:v>
      </x:c>
      <x:c r="M3427" t="n">
        <x:v>6</x:v>
      </x:c>
      <x:c r="N3427" s="24" t="n">
        <x:v>0.05</x:v>
      </x:c>
      <x:c r="O3427" s="22" t="n">
        <x:f>L3427*M3427</x:f>
        <x:v>432</x:v>
      </x:c>
      <x:c r="P3427" s="22" t="n">
        <x:f>O3427*(1-N3427)</x:f>
        <x:v>410.4</x:v>
      </x:c>
      <x:c r="Q3427" s="22" t="n">
        <x:v>64</x:v>
      </x:c>
      <x:c r="R3427" s="22" t="n">
        <x:f>Q3427*M3427</x:f>
        <x:v>384</x:v>
      </x:c>
      <x:c r="S3427" s="22" t="n">
        <x:f>P3427-R3427</x:f>
        <x:v>26.399999999999977</x:v>
      </x:c>
      <x:c r="T3427" t="str">
        <x:v>Credit</x:v>
      </x:c>
      <x:c r="U3427" t="str">
        <x:v>Paid</x:v>
      </x:c>
      <x:c r="V3427" t="str">
        <x:v>Delivered</x:v>
      </x:c>
      <x:c r="W3427" t="n">
        <x:v>0</x:v>
      </x:c>
      <x:c r="X3427" t="str"/>
      <x:c r="Y3427" t="str">
        <x:v>Field Visit</x:v>
      </x:c>
    </x:row>
    <x:row r="3428">
      <x:c r="A3428" t="str">
        <x:v>O003427</x:v>
      </x:c>
      <x:c r="B3428" s="20" t="n">
        <x:v>46277</x:v>
      </x:c>
      <x:c r="C3428" t="str">
        <x:v>C0205</x:v>
      </x:c>
      <x:c r="D3428" t="str">
        <x:v>Royal Mart 205</x:v>
      </x:c>
      <x:c r="E3428" t="str">
        <x:v>Kirana</x:v>
      </x:c>
      <x:c r="F3428" t="str">
        <x:v>Mysuru</x:v>
      </x:c>
      <x:c r="G3428" t="str">
        <x:v>Priya</x:v>
      </x:c>
      <x:c r="H3428" t="str">
        <x:v>P020</x:v>
      </x:c>
      <x:c r="I3428" t="str">
        <x:v>Coffee 500g</x:v>
      </x:c>
      <x:c r="J3428" t="str">
        <x:v>Beverage</x:v>
      </x:c>
      <x:c r="K3428" t="str">
        <x:v>Bru</x:v>
      </x:c>
      <x:c r="L3428" s="22" t="n">
        <x:v>390</x:v>
      </x:c>
      <x:c r="M3428" t="n">
        <x:v>23</x:v>
      </x:c>
      <x:c r="N3428" s="24" t="n">
        <x:v>0.05</x:v>
      </x:c>
      <x:c r="O3428" s="22" t="n">
        <x:f>L3428*M3428</x:f>
        <x:v>8970</x:v>
      </x:c>
      <x:c r="P3428" s="22" t="n">
        <x:f>O3428*(1-N3428)</x:f>
        <x:v>8521.5</x:v>
      </x:c>
      <x:c r="Q3428" s="22" t="n">
        <x:v>350</x:v>
      </x:c>
      <x:c r="R3428" s="22" t="n">
        <x:f>Q3428*M3428</x:f>
        <x:v>8050</x:v>
      </x:c>
      <x:c r="S3428" s="22" t="n">
        <x:f>P3428-R3428</x:f>
        <x:v>471.5</x:v>
      </x:c>
      <x:c r="T3428" t="str">
        <x:v>Cash</x:v>
      </x:c>
      <x:c r="U3428" t="str">
        <x:v>Pending</x:v>
      </x:c>
      <x:c r="V3428" t="str">
        <x:v>Cancelled</x:v>
      </x:c>
      <x:c r="W3428" t="n">
        <x:v>23</x:v>
      </x:c>
      <x:c r="X3428" t="str">
        <x:v>Cancelled Order</x:v>
      </x:c>
      <x:c r="Y3428" t="str">
        <x:v>Existing Customer</x:v>
      </x:c>
    </x:row>
    <x:row r="3429">
      <x:c r="A3429" t="str">
        <x:v>O003428</x:v>
      </x:c>
      <x:c r="B3429" s="20" t="n">
        <x:v>45855</x:v>
      </x:c>
      <x:c r="C3429" t="str">
        <x:v>C0045</x:v>
      </x:c>
      <x:c r="D3429" t="str">
        <x:v>Annapurna Restaurant 45</x:v>
      </x:c>
      <x:c r="E3429" t="str">
        <x:v>Kirana</x:v>
      </x:c>
      <x:c r="F3429" t="str">
        <x:v>Mysuru</x:v>
      </x:c>
      <x:c r="G3429" t="str">
        <x:v>Arjun</x:v>
      </x:c>
      <x:c r="H3429" t="str">
        <x:v>P029</x:v>
      </x:c>
      <x:c r="I3429" t="str">
        <x:v>Tomato Ketchup 1kg</x:v>
      </x:c>
      <x:c r="J3429" t="str">
        <x:v>Condiments</x:v>
      </x:c>
      <x:c r="K3429" t="str">
        <x:v>Kissan</x:v>
      </x:c>
      <x:c r="L3429" s="22" t="n">
        <x:v>145</x:v>
      </x:c>
      <x:c r="M3429" t="n">
        <x:v>7</x:v>
      </x:c>
      <x:c r="N3429" s="24" t="n">
        <x:v>0.03</x:v>
      </x:c>
      <x:c r="O3429" s="22" t="n">
        <x:f>L3429*M3429</x:f>
        <x:v>1015</x:v>
      </x:c>
      <x:c r="P3429" s="22" t="n">
        <x:f>O3429*(1-N3429)</x:f>
        <x:v>984.55</x:v>
      </x:c>
      <x:c r="Q3429" s="22" t="n">
        <x:v>126</x:v>
      </x:c>
      <x:c r="R3429" s="22" t="n">
        <x:f>Q3429*M3429</x:f>
        <x:v>882</x:v>
      </x:c>
      <x:c r="S3429" s="22" t="n">
        <x:f>P3429-R3429</x:f>
        <x:v>102.54999999999995</x:v>
      </x:c>
      <x:c r="T3429" t="str">
        <x:v>Cash</x:v>
      </x:c>
      <x:c r="U3429" t="str">
        <x:v>Paid</x:v>
      </x:c>
      <x:c r="V3429" t="str">
        <x:v>Cancelled</x:v>
      </x:c>
      <x:c r="W3429" t="n">
        <x:v>7</x:v>
      </x:c>
      <x:c r="X3429" t="str">
        <x:v>Cancelled Order</x:v>
      </x:c>
      <x:c r="Y3429" t="str">
        <x:v>Referral</x:v>
      </x:c>
    </x:row>
    <x:row r="3430">
      <x:c r="A3430" t="str">
        <x:v>O003429</x:v>
      </x:c>
      <x:c r="B3430" s="20" t="n">
        <x:v>45892</x:v>
      </x:c>
      <x:c r="C3430" t="str">
        <x:v>C0028</x:v>
      </x:c>
      <x:c r="D3430" t="str">
        <x:v>Spice Cafe 28</x:v>
      </x:c>
      <x:c r="E3430" t="str">
        <x:v>Supermarket</x:v>
      </x:c>
      <x:c r="F3430" t="str">
        <x:v>Mysuru</x:v>
      </x:c>
      <x:c r="G3430" t="str">
        <x:v>Vikram</x:v>
      </x:c>
      <x:c r="H3430" t="str">
        <x:v>P034</x:v>
      </x:c>
      <x:c r="I3430" t="str">
        <x:v>Chilli Powder 1kg</x:v>
      </x:c>
      <x:c r="J3430" t="str">
        <x:v>Spices</x:v>
      </x:c>
      <x:c r="K3430" t="str">
        <x:v>MDH</x:v>
      </x:c>
      <x:c r="L3430" s="22" t="n">
        <x:v>340</x:v>
      </x:c>
      <x:c r="M3430" t="n">
        <x:v>9</x:v>
      </x:c>
      <x:c r="N3430" s="24" t="n">
        <x:v>0.08</x:v>
      </x:c>
      <x:c r="O3430" s="22" t="n">
        <x:f>L3430*M3430</x:f>
        <x:v>3060</x:v>
      </x:c>
      <x:c r="P3430" s="22" t="n">
        <x:f>O3430*(1-N3430)</x:f>
        <x:v>2815.2000000000003</x:v>
      </x:c>
      <x:c r="Q3430" s="22" t="n">
        <x:v>295</x:v>
      </x:c>
      <x:c r="R3430" s="22" t="n">
        <x:f>Q3430*M3430</x:f>
        <x:v>2655</x:v>
      </x:c>
      <x:c r="S3430" s="22" t="n">
        <x:f>P3430-R3430</x:f>
        <x:v>160.20000000000027</x:v>
      </x:c>
      <x:c r="T3430" t="str">
        <x:v>Cash</x:v>
      </x:c>
      <x:c r="U3430" t="str">
        <x:v>Pending</x:v>
      </x:c>
      <x:c r="V3430" t="str">
        <x:v>Delivered</x:v>
      </x:c>
      <x:c r="W3430" t="n">
        <x:v>0</x:v>
      </x:c>
      <x:c r="X3430" t="str"/>
      <x:c r="Y3430" t="str">
        <x:v>Referral</x:v>
      </x:c>
    </x:row>
    <x:row r="3431">
      <x:c r="A3431" t="str">
        <x:v>O003430</x:v>
      </x:c>
      <x:c r="B3431" s="20" t="n">
        <x:v>46145</x:v>
      </x:c>
      <x:c r="C3431" t="str">
        <x:v>C0171</x:v>
      </x:c>
      <x:c r="D3431" t="str">
        <x:v>Metro Canteen 171</x:v>
      </x:c>
      <x:c r="E3431" t="str">
        <x:v>Restaurant</x:v>
      </x:c>
      <x:c r="F3431" t="str">
        <x:v>Mangaluru</x:v>
      </x:c>
      <x:c r="G3431" t="str">
        <x:v>Priya</x:v>
      </x:c>
      <x:c r="H3431" t="str">
        <x:v>P009</x:v>
      </x:c>
      <x:c r="I3431" t="str">
        <x:v>Groundnut Oil 5L</x:v>
      </x:c>
      <x:c r="J3431" t="str">
        <x:v>Edible Oil</x:v>
      </x:c>
      <x:c r="K3431" t="str">
        <x:v>Dhara</x:v>
      </x:c>
      <x:c r="L3431" s="22" t="n">
        <x:v>890</x:v>
      </x:c>
      <x:c r="M3431" t="n">
        <x:v>25</x:v>
      </x:c>
      <x:c r="N3431" s="24" t="n">
        <x:v>0</x:v>
      </x:c>
      <x:c r="O3431" s="22" t="n">
        <x:f>L3431*M3431</x:f>
        <x:v>22250</x:v>
      </x:c>
      <x:c r="P3431" s="22" t="n">
        <x:f>O3431*(1-N3431)</x:f>
        <x:v>22250</x:v>
      </x:c>
      <x:c r="Q3431" s="22" t="n">
        <x:v>810</x:v>
      </x:c>
      <x:c r="R3431" s="22" t="n">
        <x:f>Q3431*M3431</x:f>
        <x:v>20250</x:v>
      </x:c>
      <x:c r="S3431" s="22" t="n">
        <x:f>P3431-R3431</x:f>
        <x:v>2000</x:v>
      </x:c>
      <x:c r="T3431" t="str">
        <x:v>Credit</x:v>
      </x:c>
      <x:c r="U3431" t="str">
        <x:v>Pending</x:v>
      </x:c>
      <x:c r="V3431" t="str">
        <x:v>Delivered</x:v>
      </x:c>
      <x:c r="W3431" t="n">
        <x:v>0</x:v>
      </x:c>
      <x:c r="X3431" t="str"/>
      <x:c r="Y3431" t="str">
        <x:v>Field Visit</x:v>
      </x:c>
    </x:row>
    <x:row r="3432">
      <x:c r="A3432" t="str">
        <x:v>O003431</x:v>
      </x:c>
      <x:c r="B3432" s="20" t="n">
        <x:v>46056</x:v>
      </x:c>
      <x:c r="C3432" t="str">
        <x:v>C0072</x:v>
      </x:c>
      <x:c r="D3432" t="str">
        <x:v>Grand Restaurant 72</x:v>
      </x:c>
      <x:c r="E3432" t="str">
        <x:v>Restaurant</x:v>
      </x:c>
      <x:c r="F3432" t="str">
        <x:v>Davanagere</x:v>
      </x:c>
      <x:c r="G3432" t="str">
        <x:v>Kavya</x:v>
      </x:c>
      <x:c r="H3432" t="str">
        <x:v>P047</x:v>
      </x:c>
      <x:c r="I3432" t="str">
        <x:v>Tomato 25kg</x:v>
      </x:c>
      <x:c r="J3432" t="str">
        <x:v>Fresh Produce</x:v>
      </x:c>
      <x:c r="K3432" t="str">
        <x:v>Local Market</x:v>
      </x:c>
      <x:c r="L3432" s="22" t="n">
        <x:v>950</x:v>
      </x:c>
      <x:c r="M3432" t="n">
        <x:v>22</x:v>
      </x:c>
      <x:c r="N3432" s="24" t="n">
        <x:v>0.05</x:v>
      </x:c>
      <x:c r="O3432" s="22" t="n">
        <x:f>L3432*M3432</x:f>
        <x:v>20900</x:v>
      </x:c>
      <x:c r="P3432" s="22" t="n">
        <x:f>O3432*(1-N3432)</x:f>
        <x:v>19855</x:v>
      </x:c>
      <x:c r="Q3432" s="22" t="n">
        <x:v>810</x:v>
      </x:c>
      <x:c r="R3432" s="22" t="n">
        <x:f>Q3432*M3432</x:f>
        <x:v>17820</x:v>
      </x:c>
      <x:c r="S3432" s="22" t="n">
        <x:f>P3432-R3432</x:f>
        <x:v>2035</x:v>
      </x:c>
      <x:c r="T3432" t="str">
        <x:v>UPI</x:v>
      </x:c>
      <x:c r="U3432" t="str">
        <x:v>Paid</x:v>
      </x:c>
      <x:c r="V3432" t="str">
        <x:v>Delayed</x:v>
      </x:c>
      <x:c r="W3432" t="n">
        <x:v>0</x:v>
      </x:c>
      <x:c r="X3432" t="str"/>
      <x:c r="Y3432" t="str">
        <x:v>WhatsApp</x:v>
      </x:c>
    </x:row>
    <x:row r="3433">
      <x:c r="A3433" t="str">
        <x:v>O003432</x:v>
      </x:c>
      <x:c r="B3433" s="20" t="n">
        <x:v>45674</x:v>
      </x:c>
      <x:c r="C3433" t="str">
        <x:v>C0021</x:v>
      </x:c>
      <x:c r="D3433" t="str">
        <x:v>Namma Cafe 21</x:v>
      </x:c>
      <x:c r="E3433" t="str">
        <x:v>Canteen</x:v>
      </x:c>
      <x:c r="F3433" t="str">
        <x:v>Bengaluru</x:v>
      </x:c>
      <x:c r="G3433" t="str">
        <x:v>Kavya</x:v>
      </x:c>
      <x:c r="H3433" t="str">
        <x:v>P008</x:v>
      </x:c>
      <x:c r="I3433" t="str">
        <x:v>Palm Oil 15L</x:v>
      </x:c>
      <x:c r="J3433" t="str">
        <x:v>Edible Oil</x:v>
      </x:c>
      <x:c r="K3433" t="str">
        <x:v>Ruchi Gold</x:v>
      </x:c>
      <x:c r="L3433" s="22" t="n">
        <x:v>1760</x:v>
      </x:c>
      <x:c r="M3433" t="n">
        <x:v>1</x:v>
      </x:c>
      <x:c r="N3433" s="24" t="n">
        <x:v>0.08</x:v>
      </x:c>
      <x:c r="O3433" s="22" t="n">
        <x:f>L3433*M3433</x:f>
        <x:v>1760</x:v>
      </x:c>
      <x:c r="P3433" s="22" t="n">
        <x:f>O3433*(1-N3433)</x:f>
        <x:v>1619.2</x:v>
      </x:c>
      <x:c r="Q3433" s="22" t="n">
        <x:v>1610</x:v>
      </x:c>
      <x:c r="R3433" s="22" t="n">
        <x:f>Q3433*M3433</x:f>
        <x:v>1610</x:v>
      </x:c>
      <x:c r="S3433" s="22" t="n">
        <x:f>P3433-R3433</x:f>
        <x:v>9.200000000000045</x:v>
      </x:c>
      <x:c r="T3433" t="str">
        <x:v>Bank Transfer</x:v>
      </x:c>
      <x:c r="U3433" t="str">
        <x:v>Paid</x:v>
      </x:c>
      <x:c r="V3433" t="str">
        <x:v>Delayed</x:v>
      </x:c>
      <x:c r="W3433" t="n">
        <x:v>0</x:v>
      </x:c>
      <x:c r="X3433" t="str"/>
      <x:c r="Y3433" t="str">
        <x:v>Referral</x:v>
      </x:c>
    </x:row>
    <x:row r="3434">
      <x:c r="A3434" t="str">
        <x:v>O003433</x:v>
      </x:c>
      <x:c r="B3434" s="20" t="n">
        <x:v>45956</x:v>
      </x:c>
      <x:c r="C3434" t="str">
        <x:v>C0199</x:v>
      </x:c>
      <x:c r="D3434" t="str">
        <x:v>Classic Cafe 199</x:v>
      </x:c>
      <x:c r="E3434" t="str">
        <x:v>Canteen</x:v>
      </x:c>
      <x:c r="F3434" t="str">
        <x:v>Mangaluru</x:v>
      </x:c>
      <x:c r="G3434" t="str">
        <x:v>Ramesh</x:v>
      </x:c>
      <x:c r="H3434" t="str">
        <x:v>P042</x:v>
      </x:c>
      <x:c r="I3434" t="str">
        <x:v>Eggs 30pc Tray</x:v>
      </x:c>
      <x:c r="J3434" t="str">
        <x:v>Protein</x:v>
      </x:c>
      <x:c r="K3434" t="str">
        <x:v>Farm Fresh</x:v>
      </x:c>
      <x:c r="L3434" s="22" t="n">
        <x:v>195</x:v>
      </x:c>
      <x:c r="M3434" t="n">
        <x:v>22</x:v>
      </x:c>
      <x:c r="N3434" s="24" t="n">
        <x:v>0.03</x:v>
      </x:c>
      <x:c r="O3434" s="22" t="n">
        <x:f>L3434*M3434</x:f>
        <x:v>4290</x:v>
      </x:c>
      <x:c r="P3434" s="22" t="n">
        <x:f>O3434*(1-N3434)</x:f>
        <x:v>4161.3</x:v>
      </x:c>
      <x:c r="Q3434" s="22" t="n">
        <x:v>170</x:v>
      </x:c>
      <x:c r="R3434" s="22" t="n">
        <x:f>Q3434*M3434</x:f>
        <x:v>3740</x:v>
      </x:c>
      <x:c r="S3434" s="22" t="n">
        <x:f>P3434-R3434</x:f>
        <x:v>421.3000000000002</x:v>
      </x:c>
      <x:c r="T3434" t="str">
        <x:v>Bank Transfer</x:v>
      </x:c>
      <x:c r="U3434" t="str">
        <x:v>Pending</x:v>
      </x:c>
      <x:c r="V3434" t="str">
        <x:v>Delayed</x:v>
      </x:c>
      <x:c r="W3434" t="n">
        <x:v>0</x:v>
      </x:c>
      <x:c r="X3434" t="str"/>
      <x:c r="Y3434" t="str">
        <x:v>Referral</x:v>
      </x:c>
    </x:row>
    <x:row r="3435">
      <x:c r="A3435" t="str">
        <x:v>O003434</x:v>
      </x:c>
      <x:c r="B3435" s="20" t="n">
        <x:v>46160</x:v>
      </x:c>
      <x:c r="C3435" t="str">
        <x:v>C0239</x:v>
      </x:c>
      <x:c r="D3435" t="str">
        <x:v>Royal Hotel 239</x:v>
      </x:c>
      <x:c r="E3435" t="str">
        <x:v>Restaurant</x:v>
      </x:c>
      <x:c r="F3435" t="str">
        <x:v>Hubballi</x:v>
      </x:c>
      <x:c r="G3435" t="str">
        <x:v>Priya</x:v>
      </x:c>
      <x:c r="H3435" t="str">
        <x:v>P027</x:v>
      </x:c>
      <x:c r="I3435" t="str">
        <x:v>Biscuits 120g</x:v>
      </x:c>
      <x:c r="J3435" t="str">
        <x:v>Snacks</x:v>
      </x:c>
      <x:c r="K3435" t="str">
        <x:v>Parle-G</x:v>
      </x:c>
      <x:c r="L3435" s="22" t="n">
        <x:v>12</x:v>
      </x:c>
      <x:c r="M3435" t="n">
        <x:v>31</x:v>
      </x:c>
      <x:c r="N3435" s="24" t="n">
        <x:v>0.05</x:v>
      </x:c>
      <x:c r="O3435" s="22" t="n">
        <x:f>L3435*M3435</x:f>
        <x:v>372</x:v>
      </x:c>
      <x:c r="P3435" s="22" t="n">
        <x:f>O3435*(1-N3435)</x:f>
        <x:v>353.4</x:v>
      </x:c>
      <x:c r="Q3435" s="22" t="n">
        <x:v>9</x:v>
      </x:c>
      <x:c r="R3435" s="22" t="n">
        <x:f>Q3435*M3435</x:f>
        <x:v>279</x:v>
      </x:c>
      <x:c r="S3435" s="22" t="n">
        <x:f>P3435-R3435</x:f>
        <x:v>74.39999999999998</x:v>
      </x:c>
      <x:c r="T3435" t="str">
        <x:v>Bank Transfer</x:v>
      </x:c>
      <x:c r="U3435" t="str">
        <x:v>Paid</x:v>
      </x:c>
      <x:c r="V3435" t="str">
        <x:v>Delivered</x:v>
      </x:c>
      <x:c r="W3435" t="n">
        <x:v>0</x:v>
      </x:c>
      <x:c r="X3435" t="str"/>
      <x:c r="Y3435" t="str">
        <x:v>Field Visit</x:v>
      </x:c>
    </x:row>
    <x:row r="3436">
      <x:c r="A3436" t="str">
        <x:v>O003435</x:v>
      </x:c>
      <x:c r="B3436" s="20" t="n">
        <x:v>46125</x:v>
      </x:c>
      <x:c r="C3436" t="str">
        <x:v>C0193</x:v>
      </x:c>
      <x:c r="D3436" t="str">
        <x:v>Udupi Cafe 193</x:v>
      </x:c>
      <x:c r="E3436" t="str">
        <x:v>Restaurant</x:v>
      </x:c>
      <x:c r="F3436" t="str">
        <x:v>Hubballi</x:v>
      </x:c>
      <x:c r="G3436" t="str">
        <x:v>Sneha</x:v>
      </x:c>
      <x:c r="H3436" t="str">
        <x:v>P015</x:v>
      </x:c>
      <x:c r="I3436" t="str">
        <x:v>Milk 1L</x:v>
      </x:c>
      <x:c r="J3436" t="str">
        <x:v>Dairy</x:v>
      </x:c>
      <x:c r="K3436" t="str">
        <x:v>Nandini</x:v>
      </x:c>
      <x:c r="L3436" s="22" t="n">
        <x:v>48</x:v>
      </x:c>
      <x:c r="M3436" t="n">
        <x:v>13</x:v>
      </x:c>
      <x:c r="N3436" s="24" t="n">
        <x:v>0.05</x:v>
      </x:c>
      <x:c r="O3436" s="22" t="n">
        <x:f>L3436*M3436</x:f>
        <x:v>624</x:v>
      </x:c>
      <x:c r="P3436" s="22" t="n">
        <x:f>O3436*(1-N3436)</x:f>
        <x:v>592.8</x:v>
      </x:c>
      <x:c r="Q3436" s="22" t="n">
        <x:v>43</x:v>
      </x:c>
      <x:c r="R3436" s="22" t="n">
        <x:f>Q3436*M3436</x:f>
        <x:v>559</x:v>
      </x:c>
      <x:c r="S3436" s="22" t="n">
        <x:f>P3436-R3436</x:f>
        <x:v>33.799999999999955</x:v>
      </x:c>
      <x:c r="T3436" t="str">
        <x:v>Bank Transfer</x:v>
      </x:c>
      <x:c r="U3436" t="str">
        <x:v>Paid</x:v>
      </x:c>
      <x:c r="V3436" t="str">
        <x:v>Delayed</x:v>
      </x:c>
      <x:c r="W3436" t="n">
        <x:v>0</x:v>
      </x:c>
      <x:c r="X3436" t="str"/>
      <x:c r="Y3436" t="str">
        <x:v>Referral</x:v>
      </x:c>
    </x:row>
    <x:row r="3437">
      <x:c r="A3437" t="str">
        <x:v>O003436</x:v>
      </x:c>
      <x:c r="B3437" s="20" t="n">
        <x:v>46250</x:v>
      </x:c>
      <x:c r="C3437" t="str">
        <x:v>C0198</x:v>
      </x:c>
      <x:c r="D3437" t="str">
        <x:v>Royal Canteen 198</x:v>
      </x:c>
      <x:c r="E3437" t="str">
        <x:v>Supermarket</x:v>
      </x:c>
      <x:c r="F3437" t="str">
        <x:v>Davanagere</x:v>
      </x:c>
      <x:c r="G3437" t="str">
        <x:v>Arjun</x:v>
      </x:c>
      <x:c r="H3437" t="str">
        <x:v>P048</x:v>
      </x:c>
      <x:c r="I3437" t="str">
        <x:v>Banana 10kg</x:v>
      </x:c>
      <x:c r="J3437" t="str">
        <x:v>Fresh Produce</x:v>
      </x:c>
      <x:c r="K3437" t="str">
        <x:v>Local Market</x:v>
      </x:c>
      <x:c r="L3437" s="22" t="n">
        <x:v>420</x:v>
      </x:c>
      <x:c r="M3437" t="n">
        <x:v>12</x:v>
      </x:c>
      <x:c r="N3437" s="24" t="n">
        <x:v>0</x:v>
      </x:c>
      <x:c r="O3437" s="22" t="n">
        <x:f>L3437*M3437</x:f>
        <x:v>5040</x:v>
      </x:c>
      <x:c r="P3437" s="22" t="n">
        <x:f>O3437*(1-N3437)</x:f>
        <x:v>5040</x:v>
      </x:c>
      <x:c r="Q3437" s="22" t="n">
        <x:v>350</x:v>
      </x:c>
      <x:c r="R3437" s="22" t="n">
        <x:f>Q3437*M3437</x:f>
        <x:v>4200</x:v>
      </x:c>
      <x:c r="S3437" s="22" t="n">
        <x:f>P3437-R3437</x:f>
        <x:v>840</x:v>
      </x:c>
      <x:c r="T3437" t="str">
        <x:v>Cash</x:v>
      </x:c>
      <x:c r="U3437" t="str">
        <x:v>Paid</x:v>
      </x:c>
      <x:c r="V3437" t="str">
        <x:v>Delivered</x:v>
      </x:c>
      <x:c r="W3437" t="n">
        <x:v>0</x:v>
      </x:c>
      <x:c r="X3437" t="str"/>
      <x:c r="Y3437" t="str">
        <x:v>Outbound Call</x:v>
      </x:c>
    </x:row>
    <x:row r="3438">
      <x:c r="A3438" t="str">
        <x:v>O003437</x:v>
      </x:c>
      <x:c r="B3438" s="20" t="n">
        <x:v>45727</x:v>
      </x:c>
      <x:c r="C3438" t="str">
        <x:v>C0194</x:v>
      </x:c>
      <x:c r="D3438" t="str">
        <x:v>Royal Hotel 194</x:v>
      </x:c>
      <x:c r="E3438" t="str">
        <x:v>Kirana</x:v>
      </x:c>
      <x:c r="F3438" t="str">
        <x:v>Mysuru</x:v>
      </x:c>
      <x:c r="G3438" t="str">
        <x:v>Megha</x:v>
      </x:c>
      <x:c r="H3438" t="str">
        <x:v>P011</x:v>
      </x:c>
      <x:c r="I3438" t="str">
        <x:v>Salt 1kg</x:v>
      </x:c>
      <x:c r="J3438" t="str">
        <x:v>Staples</x:v>
      </x:c>
      <x:c r="K3438" t="str">
        <x:v>Tata</x:v>
      </x:c>
      <x:c r="L3438" s="22" t="n">
        <x:v>28</x:v>
      </x:c>
      <x:c r="M3438" t="n">
        <x:v>17</x:v>
      </x:c>
      <x:c r="N3438" s="24" t="n">
        <x:v>0</x:v>
      </x:c>
      <x:c r="O3438" s="22" t="n">
        <x:f>L3438*M3438</x:f>
        <x:v>476</x:v>
      </x:c>
      <x:c r="P3438" s="22" t="n">
        <x:f>O3438*(1-N3438)</x:f>
        <x:v>476</x:v>
      </x:c>
      <x:c r="Q3438" s="22" t="n">
        <x:v>23</x:v>
      </x:c>
      <x:c r="R3438" s="22" t="n">
        <x:f>Q3438*M3438</x:f>
        <x:v>391</x:v>
      </x:c>
      <x:c r="S3438" s="22" t="n">
        <x:f>P3438-R3438</x:f>
        <x:v>85</x:v>
      </x:c>
      <x:c r="T3438" t="str">
        <x:v>Cash</x:v>
      </x:c>
      <x:c r="U3438" t="str">
        <x:v>Overdue</x:v>
      </x:c>
      <x:c r="V3438" t="str">
        <x:v>Cancelled</x:v>
      </x:c>
      <x:c r="W3438" t="n">
        <x:v>17</x:v>
      </x:c>
      <x:c r="X3438" t="str">
        <x:v>Cancelled Order</x:v>
      </x:c>
      <x:c r="Y3438" t="str">
        <x:v>Existing Customer</x:v>
      </x:c>
    </x:row>
    <x:row r="3439">
      <x:c r="A3439" t="str">
        <x:v>O003438</x:v>
      </x:c>
      <x:c r="B3439" s="20" t="n">
        <x:v>46049</x:v>
      </x:c>
      <x:c r="C3439" t="str">
        <x:v>C0225</x:v>
      </x:c>
      <x:c r="D3439" t="str">
        <x:v>Darshini Mart 225</x:v>
      </x:c>
      <x:c r="E3439" t="str">
        <x:v>Restaurant</x:v>
      </x:c>
      <x:c r="F3439" t="str">
        <x:v>Davanagere</x:v>
      </x:c>
      <x:c r="G3439" t="str">
        <x:v>Kavya</x:v>
      </x:c>
      <x:c r="H3439" t="str">
        <x:v>P037</x:v>
      </x:c>
      <x:c r="I3439" t="str">
        <x:v>Frozen Peas 1kg</x:v>
      </x:c>
      <x:c r="J3439" t="str">
        <x:v>Frozen</x:v>
      </x:c>
      <x:c r="K3439" t="str">
        <x:v>Safal</x:v>
      </x:c>
      <x:c r="L3439" s="22" t="n">
        <x:v>155</x:v>
      </x:c>
      <x:c r="M3439" t="n">
        <x:v>22</x:v>
      </x:c>
      <x:c r="N3439" s="24" t="n">
        <x:v>0</x:v>
      </x:c>
      <x:c r="O3439" s="22" t="n">
        <x:f>L3439*M3439</x:f>
        <x:v>3410</x:v>
      </x:c>
      <x:c r="P3439" s="22" t="n">
        <x:f>O3439*(1-N3439)</x:f>
        <x:v>3410</x:v>
      </x:c>
      <x:c r="Q3439" s="22" t="n">
        <x:v>138</x:v>
      </x:c>
      <x:c r="R3439" s="22" t="n">
        <x:f>Q3439*M3439</x:f>
        <x:v>3036</x:v>
      </x:c>
      <x:c r="S3439" s="22" t="n">
        <x:f>P3439-R3439</x:f>
        <x:v>374</x:v>
      </x:c>
      <x:c r="T3439" t="str">
        <x:v>Credit</x:v>
      </x:c>
      <x:c r="U3439" t="str">
        <x:v>Paid</x:v>
      </x:c>
      <x:c r="V3439" t="str">
        <x:v>Delivered</x:v>
      </x:c>
      <x:c r="W3439" t="n">
        <x:v>0</x:v>
      </x:c>
      <x:c r="X3439" t="str"/>
      <x:c r="Y3439" t="str">
        <x:v>Outbound Call</x:v>
      </x:c>
    </x:row>
    <x:row r="3440">
      <x:c r="A3440" t="str">
        <x:v>O003439</x:v>
      </x:c>
      <x:c r="B3440" s="20" t="n">
        <x:v>45662</x:v>
      </x:c>
      <x:c r="C3440" t="str">
        <x:v>C0092</x:v>
      </x:c>
      <x:c r="D3440" t="str">
        <x:v>Cafe Restaurant 92</x:v>
      </x:c>
      <x:c r="E3440" t="str">
        <x:v>Canteen</x:v>
      </x:c>
      <x:c r="F3440" t="str">
        <x:v>Hubballi</x:v>
      </x:c>
      <x:c r="G3440" t="str">
        <x:v>Vikram</x:v>
      </x:c>
      <x:c r="H3440" t="str">
        <x:v>P012</x:v>
      </x:c>
      <x:c r="I3440" t="str">
        <x:v>Maida 10kg</x:v>
      </x:c>
      <x:c r="J3440" t="str">
        <x:v>Flour</x:v>
      </x:c>
      <x:c r="K3440" t="str">
        <x:v>Aashirvaad</x:v>
      </x:c>
      <x:c r="L3440" s="22" t="n">
        <x:v>520</x:v>
      </x:c>
      <x:c r="M3440" t="n">
        <x:v>36</x:v>
      </x:c>
      <x:c r="N3440" s="24" t="n">
        <x:v>0.03</x:v>
      </x:c>
      <x:c r="O3440" s="22" t="n">
        <x:f>L3440*M3440</x:f>
        <x:v>18720</x:v>
      </x:c>
      <x:c r="P3440" s="22" t="n">
        <x:f>O3440*(1-N3440)</x:f>
        <x:v>18158.399999999998</x:v>
      </x:c>
      <x:c r="Q3440" s="22" t="n">
        <x:v>460</x:v>
      </x:c>
      <x:c r="R3440" s="22" t="n">
        <x:f>Q3440*M3440</x:f>
        <x:v>16560</x:v>
      </x:c>
      <x:c r="S3440" s="22" t="n">
        <x:f>P3440-R3440</x:f>
        <x:v>1598.3999999999978</x:v>
      </x:c>
      <x:c r="T3440" t="str">
        <x:v>Bank Transfer</x:v>
      </x:c>
      <x:c r="U3440" t="str">
        <x:v>Paid</x:v>
      </x:c>
      <x:c r="V3440" t="str">
        <x:v>Delivered</x:v>
      </x:c>
      <x:c r="W3440" t="n">
        <x:v>0</x:v>
      </x:c>
      <x:c r="X3440" t="str"/>
      <x:c r="Y3440" t="str">
        <x:v>Existing Customer</x:v>
      </x:c>
    </x:row>
    <x:row r="3441">
      <x:c r="A3441" t="str">
        <x:v>O003440</x:v>
      </x:c>
      <x:c r="B3441" s="20" t="n">
        <x:v>45872</x:v>
      </x:c>
      <x:c r="C3441" t="str">
        <x:v>C0014</x:v>
      </x:c>
      <x:c r="D3441" t="str">
        <x:v>Annapurna Canteen 14</x:v>
      </x:c>
      <x:c r="E3441" t="str">
        <x:v>Kirana</x:v>
      </x:c>
      <x:c r="F3441" t="str">
        <x:v>Davanagere</x:v>
      </x:c>
      <x:c r="G3441" t="str">
        <x:v>Sneha</x:v>
      </x:c>
      <x:c r="H3441" t="str">
        <x:v>P031</x:v>
      </x:c>
      <x:c r="I3441" t="str">
        <x:v>Chilli Sauce 700g</x:v>
      </x:c>
      <x:c r="J3441" t="str">
        <x:v>Condiments</x:v>
      </x:c>
      <x:c r="K3441" t="str">
        <x:v>Ching's</x:v>
      </x:c>
      <x:c r="L3441" s="22" t="n">
        <x:v>130</x:v>
      </x:c>
      <x:c r="M3441" t="n">
        <x:v>15</x:v>
      </x:c>
      <x:c r="N3441" s="24" t="n">
        <x:v>0.03</x:v>
      </x:c>
      <x:c r="O3441" s="22" t="n">
        <x:f>L3441*M3441</x:f>
        <x:v>1950</x:v>
      </x:c>
      <x:c r="P3441" s="22" t="n">
        <x:f>O3441*(1-N3441)</x:f>
        <x:v>1891.5</x:v>
      </x:c>
      <x:c r="Q3441" s="22" t="n">
        <x:v>112</x:v>
      </x:c>
      <x:c r="R3441" s="22" t="n">
        <x:f>Q3441*M3441</x:f>
        <x:v>1680</x:v>
      </x:c>
      <x:c r="S3441" s="22" t="n">
        <x:f>P3441-R3441</x:f>
        <x:v>211.5</x:v>
      </x:c>
      <x:c r="T3441" t="str">
        <x:v>Bank Transfer</x:v>
      </x:c>
      <x:c r="U3441" t="str">
        <x:v>Paid</x:v>
      </x:c>
      <x:c r="V3441" t="str">
        <x:v>Delivered</x:v>
      </x:c>
      <x:c r="W3441" t="n">
        <x:v>0</x:v>
      </x:c>
      <x:c r="X3441" t="str"/>
      <x:c r="Y3441" t="str">
        <x:v>Referral</x:v>
      </x:c>
    </x:row>
    <x:row r="3442">
      <x:c r="A3442" t="str">
        <x:v>O003441</x:v>
      </x:c>
      <x:c r="B3442" s="20" t="n">
        <x:v>45976</x:v>
      </x:c>
      <x:c r="C3442" t="str">
        <x:v>C0071</x:v>
      </x:c>
      <x:c r="D3442" t="str">
        <x:v>Shree Restaurant 71</x:v>
      </x:c>
      <x:c r="E3442" t="str">
        <x:v>Cafe</x:v>
      </x:c>
      <x:c r="F3442" t="str">
        <x:v>Tumakuru</x:v>
      </x:c>
      <x:c r="G3442" t="str">
        <x:v>Sneha</x:v>
      </x:c>
      <x:c r="H3442" t="str">
        <x:v>P006</x:v>
      </x:c>
      <x:c r="I3442" t="str">
        <x:v>Moong Dal 5kg</x:v>
      </x:c>
      <x:c r="J3442" t="str">
        <x:v>Pulses</x:v>
      </x:c>
      <x:c r="K3442" t="str">
        <x:v>Local Select</x:v>
      </x:c>
      <x:c r="L3442" s="22" t="n">
        <x:v>610</x:v>
      </x:c>
      <x:c r="M3442" t="n">
        <x:v>34</x:v>
      </x:c>
      <x:c r="N3442" s="24" t="n">
        <x:v>0.02</x:v>
      </x:c>
      <x:c r="O3442" s="22" t="n">
        <x:f>L3442*M3442</x:f>
        <x:v>20740</x:v>
      </x:c>
      <x:c r="P3442" s="22" t="n">
        <x:f>O3442*(1-N3442)</x:f>
        <x:v>20325.2</x:v>
      </x:c>
      <x:c r="Q3442" s="22" t="n">
        <x:v>540</x:v>
      </x:c>
      <x:c r="R3442" s="22" t="n">
        <x:f>Q3442*M3442</x:f>
        <x:v>18360</x:v>
      </x:c>
      <x:c r="S3442" s="22" t="n">
        <x:f>P3442-R3442</x:f>
        <x:v>1965.2000000000007</x:v>
      </x:c>
      <x:c r="T3442" t="str">
        <x:v>Bank Transfer</x:v>
      </x:c>
      <x:c r="U3442" t="str">
        <x:v>Paid</x:v>
      </x:c>
      <x:c r="V3442" t="str">
        <x:v>Delivered</x:v>
      </x:c>
      <x:c r="W3442" t="n">
        <x:v>0</x:v>
      </x:c>
      <x:c r="X3442" t="str"/>
      <x:c r="Y3442" t="str">
        <x:v>Field Visit</x:v>
      </x:c>
    </x:row>
    <x:row r="3443">
      <x:c r="A3443" t="str">
        <x:v>O003442</x:v>
      </x:c>
      <x:c r="B3443" s="20" t="n">
        <x:v>45685</x:v>
      </x:c>
      <x:c r="C3443" t="str">
        <x:v>C0213</x:v>
      </x:c>
      <x:c r="D3443" t="str">
        <x:v>Shree Cafe 213</x:v>
      </x:c>
      <x:c r="E3443" t="str">
        <x:v>Cafe</x:v>
      </x:c>
      <x:c r="F3443" t="str">
        <x:v>Tumakuru</x:v>
      </x:c>
      <x:c r="G3443" t="str">
        <x:v>Imran</x:v>
      </x:c>
      <x:c r="H3443" t="str">
        <x:v>P045</x:v>
      </x:c>
      <x:c r="I3443" t="str">
        <x:v>Onion 25kg</x:v>
      </x:c>
      <x:c r="J3443" t="str">
        <x:v>Fresh Produce</x:v>
      </x:c>
      <x:c r="K3443" t="str">
        <x:v>Local Market</x:v>
      </x:c>
      <x:c r="L3443" s="22" t="n">
        <x:v>875</x:v>
      </x:c>
      <x:c r="M3443" t="n">
        <x:v>34</x:v>
      </x:c>
      <x:c r="N3443" s="24" t="n">
        <x:v>0</x:v>
      </x:c>
      <x:c r="O3443" s="22" t="n">
        <x:f>L3443*M3443</x:f>
        <x:v>29750</x:v>
      </x:c>
      <x:c r="P3443" s="22" t="n">
        <x:f>O3443*(1-N3443)</x:f>
        <x:v>29750</x:v>
      </x:c>
      <x:c r="Q3443" s="22" t="n">
        <x:v>760</x:v>
      </x:c>
      <x:c r="R3443" s="22" t="n">
        <x:f>Q3443*M3443</x:f>
        <x:v>25840</x:v>
      </x:c>
      <x:c r="S3443" s="22" t="n">
        <x:f>P3443-R3443</x:f>
        <x:v>3910</x:v>
      </x:c>
      <x:c r="T3443" t="str">
        <x:v>UPI</x:v>
      </x:c>
      <x:c r="U3443" t="str">
        <x:v>Paid</x:v>
      </x:c>
      <x:c r="V3443" t="str">
        <x:v>Delivered</x:v>
      </x:c>
      <x:c r="W3443" t="n">
        <x:v>0</x:v>
      </x:c>
      <x:c r="X3443" t="str"/>
      <x:c r="Y3443" t="str">
        <x:v>Referral</x:v>
      </x:c>
    </x:row>
    <x:row r="3444">
      <x:c r="A3444" t="str">
        <x:v>O003443</x:v>
      </x:c>
      <x:c r="B3444" s="20" t="n">
        <x:v>46147</x:v>
      </x:c>
      <x:c r="C3444" t="str">
        <x:v>C0168</x:v>
      </x:c>
      <x:c r="D3444" t="str">
        <x:v>Sagar Hotel 168</x:v>
      </x:c>
      <x:c r="E3444" t="str">
        <x:v>Canteen</x:v>
      </x:c>
      <x:c r="F3444" t="str">
        <x:v>Bengaluru</x:v>
      </x:c>
      <x:c r="G3444" t="str">
        <x:v>Priya</x:v>
      </x:c>
      <x:c r="H3444" t="str">
        <x:v>P041</x:v>
      </x:c>
      <x:c r="I3444" t="str">
        <x:v>Burger Bun 6pc</x:v>
      </x:c>
      <x:c r="J3444" t="str">
        <x:v>Bakery</x:v>
      </x:c>
      <x:c r="K3444" t="str">
        <x:v>Modern</x:v>
      </x:c>
      <x:c r="L3444" s="22" t="n">
        <x:v>42</x:v>
      </x:c>
      <x:c r="M3444" t="n">
        <x:v>6</x:v>
      </x:c>
      <x:c r="N3444" s="24" t="n">
        <x:v>0.08</x:v>
      </x:c>
      <x:c r="O3444" s="22" t="n">
        <x:f>L3444*M3444</x:f>
        <x:v>252</x:v>
      </x:c>
      <x:c r="P3444" s="22" t="n">
        <x:f>O3444*(1-N3444)</x:f>
        <x:v>231.84</x:v>
      </x:c>
      <x:c r="Q3444" s="22" t="n">
        <x:v>32</x:v>
      </x:c>
      <x:c r="R3444" s="22" t="n">
        <x:f>Q3444*M3444</x:f>
        <x:v>192</x:v>
      </x:c>
      <x:c r="S3444" s="22" t="n">
        <x:f>P3444-R3444</x:f>
        <x:v>39.84</x:v>
      </x:c>
      <x:c r="T3444" t="str">
        <x:v>UPI</x:v>
      </x:c>
      <x:c r="U3444" t="str">
        <x:v>Paid</x:v>
      </x:c>
      <x:c r="V3444" t="str">
        <x:v>Delivered</x:v>
      </x:c>
      <x:c r="W3444" t="n">
        <x:v>0</x:v>
      </x:c>
      <x:c r="X3444" t="str"/>
      <x:c r="Y3444" t="str">
        <x:v>Referral</x:v>
      </x:c>
    </x:row>
    <x:row r="3445">
      <x:c r="A3445" t="str">
        <x:v>O003444</x:v>
      </x:c>
      <x:c r="B3445" s="20" t="n">
        <x:v>45989</x:v>
      </x:c>
      <x:c r="C3445" t="str">
        <x:v>C0165</x:v>
      </x:c>
      <x:c r="D3445" t="str">
        <x:v>Royal Restaurant 165</x:v>
      </x:c>
      <x:c r="E3445" t="str">
        <x:v>Hotel</x:v>
      </x:c>
      <x:c r="F3445" t="str">
        <x:v>Tumakuru</x:v>
      </x:c>
      <x:c r="G3445" t="str">
        <x:v>Kavya</x:v>
      </x:c>
      <x:c r="H3445" t="str">
        <x:v>P045</x:v>
      </x:c>
      <x:c r="I3445" t="str">
        <x:v>Onion 25kg</x:v>
      </x:c>
      <x:c r="J3445" t="str">
        <x:v>Fresh Produce</x:v>
      </x:c>
      <x:c r="K3445" t="str">
        <x:v>Local Market</x:v>
      </x:c>
      <x:c r="L3445" s="22" t="n">
        <x:v>875</x:v>
      </x:c>
      <x:c r="M3445" t="n">
        <x:v>37</x:v>
      </x:c>
      <x:c r="N3445" s="24" t="n">
        <x:v>0.03</x:v>
      </x:c>
      <x:c r="O3445" s="22" t="n">
        <x:f>L3445*M3445</x:f>
        <x:v>32375</x:v>
      </x:c>
      <x:c r="P3445" s="22" t="n">
        <x:f>O3445*(1-N3445)</x:f>
        <x:v>31403.75</x:v>
      </x:c>
      <x:c r="Q3445" s="22" t="n">
        <x:v>760</x:v>
      </x:c>
      <x:c r="R3445" s="22" t="n">
        <x:f>Q3445*M3445</x:f>
        <x:v>28120</x:v>
      </x:c>
      <x:c r="S3445" s="22" t="n">
        <x:f>P3445-R3445</x:f>
        <x:v>3283.75</x:v>
      </x:c>
      <x:c r="T3445" t="str">
        <x:v>UPI</x:v>
      </x:c>
      <x:c r="U3445" t="str">
        <x:v>Paid</x:v>
      </x:c>
      <x:c r="V3445" t="str">
        <x:v>Delivered</x:v>
      </x:c>
      <x:c r="W3445" t="n">
        <x:v>0</x:v>
      </x:c>
      <x:c r="X3445" t="str"/>
      <x:c r="Y3445" t="str">
        <x:v>Field Visit</x:v>
      </x:c>
    </x:row>
    <x:row r="3446">
      <x:c r="A3446" t="str">
        <x:v>O003445</x:v>
      </x:c>
      <x:c r="B3446" s="20" t="n">
        <x:v>46186</x:v>
      </x:c>
      <x:c r="C3446" t="str">
        <x:v>C0233</x:v>
      </x:c>
      <x:c r="D3446" t="str">
        <x:v>Shree Mart 233</x:v>
      </x:c>
      <x:c r="E3446" t="str">
        <x:v>Kirana</x:v>
      </x:c>
      <x:c r="F3446" t="str">
        <x:v>Mangaluru</x:v>
      </x:c>
      <x:c r="G3446" t="str">
        <x:v>Priya</x:v>
      </x:c>
      <x:c r="H3446" t="str">
        <x:v>P050</x:v>
      </x:c>
      <x:c r="I3446" t="str">
        <x:v>Lemon 5kg</x:v>
      </x:c>
      <x:c r="J3446" t="str">
        <x:v>Fresh Produce</x:v>
      </x:c>
      <x:c r="K3446" t="str">
        <x:v>Local Market</x:v>
      </x:c>
      <x:c r="L3446" s="22" t="n">
        <x:v>360</x:v>
      </x:c>
      <x:c r="M3446" t="n">
        <x:v>30</x:v>
      </x:c>
      <x:c r="N3446" s="24" t="n">
        <x:v>0.08</x:v>
      </x:c>
      <x:c r="O3446" s="22" t="n">
        <x:f>L3446*M3446</x:f>
        <x:v>10800</x:v>
      </x:c>
      <x:c r="P3446" s="22" t="n">
        <x:f>O3446*(1-N3446)</x:f>
        <x:v>9936</x:v>
      </x:c>
      <x:c r="Q3446" s="22" t="n">
        <x:v>300</x:v>
      </x:c>
      <x:c r="R3446" s="22" t="n">
        <x:f>Q3446*M3446</x:f>
        <x:v>9000</x:v>
      </x:c>
      <x:c r="S3446" s="22" t="n">
        <x:f>P3446-R3446</x:f>
        <x:v>936</x:v>
      </x:c>
      <x:c r="T3446" t="str">
        <x:v>UPI</x:v>
      </x:c>
      <x:c r="U3446" t="str">
        <x:v>Paid</x:v>
      </x:c>
      <x:c r="V3446" t="str">
        <x:v>Delivered</x:v>
      </x:c>
      <x:c r="W3446" t="n">
        <x:v>0</x:v>
      </x:c>
      <x:c r="X3446" t="str"/>
      <x:c r="Y3446" t="str">
        <x:v>Outbound Call</x:v>
      </x:c>
    </x:row>
    <x:row r="3447">
      <x:c r="A3447" t="str">
        <x:v>O003446</x:v>
      </x:c>
      <x:c r="B3447" s="20" t="n">
        <x:v>46222</x:v>
      </x:c>
      <x:c r="C3447" t="str">
        <x:v>C0051</x:v>
      </x:c>
      <x:c r="D3447" t="str">
        <x:v>Cafe Hotel 51</x:v>
      </x:c>
      <x:c r="E3447" t="str">
        <x:v>Kirana</x:v>
      </x:c>
      <x:c r="F3447" t="str">
        <x:v>Tumakuru</x:v>
      </x:c>
      <x:c r="G3447" t="str">
        <x:v>Arjun</x:v>
      </x:c>
      <x:c r="H3447" t="str">
        <x:v>P001</x:v>
      </x:c>
      <x:c r="I3447" t="str">
        <x:v>Steam Rice 25kg</x:v>
      </x:c>
      <x:c r="J3447" t="str">
        <x:v>Staples</x:v>
      </x:c>
      <x:c r="K3447" t="str">
        <x:v>Aishwarya</x:v>
      </x:c>
      <x:c r="L3447" s="22" t="n">
        <x:v>1180</x:v>
      </x:c>
      <x:c r="M3447" t="n">
        <x:v>9</x:v>
      </x:c>
      <x:c r="N3447" s="24" t="n">
        <x:v>0</x:v>
      </x:c>
      <x:c r="O3447" s="22" t="n">
        <x:f>L3447*M3447</x:f>
        <x:v>10620</x:v>
      </x:c>
      <x:c r="P3447" s="22" t="n">
        <x:f>O3447*(1-N3447)</x:f>
        <x:v>10620</x:v>
      </x:c>
      <x:c r="Q3447" s="22" t="n">
        <x:v>1040</x:v>
      </x:c>
      <x:c r="R3447" s="22" t="n">
        <x:f>Q3447*M3447</x:f>
        <x:v>9360</x:v>
      </x:c>
      <x:c r="S3447" s="22" t="n">
        <x:f>P3447-R3447</x:f>
        <x:v>1260</x:v>
      </x:c>
      <x:c r="T3447" t="str">
        <x:v>Credit</x:v>
      </x:c>
      <x:c r="U3447" t="str">
        <x:v>Pending</x:v>
      </x:c>
      <x:c r="V3447" t="str">
        <x:v>Delayed</x:v>
      </x:c>
      <x:c r="W3447" t="n">
        <x:v>0</x:v>
      </x:c>
      <x:c r="X3447" t="str"/>
      <x:c r="Y3447" t="str">
        <x:v>Field Visit</x:v>
      </x:c>
    </x:row>
    <x:row r="3448">
      <x:c r="A3448" t="str">
        <x:v>O003447</x:v>
      </x:c>
      <x:c r="B3448" s="20" t="n">
        <x:v>45670</x:v>
      </x:c>
      <x:c r="C3448" t="str">
        <x:v>C0120</x:v>
      </x:c>
      <x:c r="D3448" t="str">
        <x:v>Foodie Foods 120</x:v>
      </x:c>
      <x:c r="E3448" t="str">
        <x:v>Hotel</x:v>
      </x:c>
      <x:c r="F3448" t="str">
        <x:v>Hubballi</x:v>
      </x:c>
      <x:c r="G3448" t="str">
        <x:v>Arjun</x:v>
      </x:c>
      <x:c r="H3448" t="str">
        <x:v>P022</x:v>
      </x:c>
      <x:c r="I3448" t="str">
        <x:v>Mineral Water 1L</x:v>
      </x:c>
      <x:c r="J3448" t="str">
        <x:v>Beverage</x:v>
      </x:c>
      <x:c r="K3448" t="str">
        <x:v>Bisleri</x:v>
      </x:c>
      <x:c r="L3448" s="22" t="n">
        <x:v>19</x:v>
      </x:c>
      <x:c r="M3448" t="n">
        <x:v>11</x:v>
      </x:c>
      <x:c r="N3448" s="24" t="n">
        <x:v>0.1</x:v>
      </x:c>
      <x:c r="O3448" s="22" t="n">
        <x:f>L3448*M3448</x:f>
        <x:v>209</x:v>
      </x:c>
      <x:c r="P3448" s="22" t="n">
        <x:f>O3448*(1-N3448)</x:f>
        <x:v>188.1</x:v>
      </x:c>
      <x:c r="Q3448" s="22" t="n">
        <x:v>15</x:v>
      </x:c>
      <x:c r="R3448" s="22" t="n">
        <x:f>Q3448*M3448</x:f>
        <x:v>165</x:v>
      </x:c>
      <x:c r="S3448" s="22" t="n">
        <x:f>P3448-R3448</x:f>
        <x:v>23.099999999999994</x:v>
      </x:c>
      <x:c r="T3448" t="str">
        <x:v>Cash</x:v>
      </x:c>
      <x:c r="U3448" t="str">
        <x:v>Paid</x:v>
      </x:c>
      <x:c r="V3448" t="str">
        <x:v>Delivered</x:v>
      </x:c>
      <x:c r="W3448" t="n">
        <x:v>0</x:v>
      </x:c>
      <x:c r="X3448" t="str"/>
      <x:c r="Y3448" t="str">
        <x:v>Outbound Call</x:v>
      </x:c>
    </x:row>
    <x:row r="3449">
      <x:c r="A3449" t="str">
        <x:v>O003448</x:v>
      </x:c>
      <x:c r="B3449" s="20" t="n">
        <x:v>46091</x:v>
      </x:c>
      <x:c r="C3449" t="str">
        <x:v>C0161</x:v>
      </x:c>
      <x:c r="D3449" t="str">
        <x:v>Hotel Kitchen 161</x:v>
      </x:c>
      <x:c r="E3449" t="str">
        <x:v>Supermarket</x:v>
      </x:c>
      <x:c r="F3449" t="str">
        <x:v>Mysuru</x:v>
      </x:c>
      <x:c r="G3449" t="str">
        <x:v>Sneha</x:v>
      </x:c>
      <x:c r="H3449" t="str">
        <x:v>P035</x:v>
      </x:c>
      <x:c r="I3449" t="str">
        <x:v>Coriander Powder 1kg</x:v>
      </x:c>
      <x:c r="J3449" t="str">
        <x:v>Spices</x:v>
      </x:c>
      <x:c r="K3449" t="str">
        <x:v>Everest</x:v>
      </x:c>
      <x:c r="L3449" s="22" t="n">
        <x:v>280</x:v>
      </x:c>
      <x:c r="M3449" t="n">
        <x:v>32</x:v>
      </x:c>
      <x:c r="N3449" s="24" t="n">
        <x:v>0.05</x:v>
      </x:c>
      <x:c r="O3449" s="22" t="n">
        <x:f>L3449*M3449</x:f>
        <x:v>8960</x:v>
      </x:c>
      <x:c r="P3449" s="22" t="n">
        <x:f>O3449*(1-N3449)</x:f>
        <x:v>8512</x:v>
      </x:c>
      <x:c r="Q3449" s="22" t="n">
        <x:v>245</x:v>
      </x:c>
      <x:c r="R3449" s="22" t="n">
        <x:f>Q3449*M3449</x:f>
        <x:v>7840</x:v>
      </x:c>
      <x:c r="S3449" s="22" t="n">
        <x:f>P3449-R3449</x:f>
        <x:v>672</x:v>
      </x:c>
      <x:c r="T3449" t="str">
        <x:v>Credit</x:v>
      </x:c>
      <x:c r="U3449" t="str">
        <x:v>Paid</x:v>
      </x:c>
      <x:c r="V3449" t="str">
        <x:v>Cancelled</x:v>
      </x:c>
      <x:c r="W3449" t="n">
        <x:v>32</x:v>
      </x:c>
      <x:c r="X3449" t="str">
        <x:v>Cancelled Order</x:v>
      </x:c>
      <x:c r="Y3449" t="str">
        <x:v>Existing Customer</x:v>
      </x:c>
    </x:row>
    <x:row r="3450">
      <x:c r="A3450" t="str">
        <x:v>O003449</x:v>
      </x:c>
      <x:c r="B3450" s="20" t="n">
        <x:v>46004</x:v>
      </x:c>
      <x:c r="C3450" t="str">
        <x:v>C0002</x:v>
      </x:c>
      <x:c r="D3450" t="str">
        <x:v>City Kitchen 2</x:v>
      </x:c>
      <x:c r="E3450" t="str">
        <x:v>Kirana</x:v>
      </x:c>
      <x:c r="F3450" t="str">
        <x:v>Davanagere</x:v>
      </x:c>
      <x:c r="G3450" t="str">
        <x:v>Arjun</x:v>
      </x:c>
      <x:c r="H3450" t="str">
        <x:v>P038</x:v>
      </x:c>
      <x:c r="I3450" t="str">
        <x:v>French Fries 2.5kg</x:v>
      </x:c>
      <x:c r="J3450" t="str">
        <x:v>Frozen</x:v>
      </x:c>
      <x:c r="K3450" t="str">
        <x:v>McCain</x:v>
      </x:c>
      <x:c r="L3450" s="22" t="n">
        <x:v>360</x:v>
      </x:c>
      <x:c r="M3450" t="n">
        <x:v>37</x:v>
      </x:c>
      <x:c r="N3450" s="24" t="n">
        <x:v>0.05</x:v>
      </x:c>
      <x:c r="O3450" s="22" t="n">
        <x:f>L3450*M3450</x:f>
        <x:v>13320</x:v>
      </x:c>
      <x:c r="P3450" s="22" t="n">
        <x:f>O3450*(1-N3450)</x:f>
        <x:v>12654</x:v>
      </x:c>
      <x:c r="Q3450" s="22" t="n">
        <x:v>315</x:v>
      </x:c>
      <x:c r="R3450" s="22" t="n">
        <x:f>Q3450*M3450</x:f>
        <x:v>11655</x:v>
      </x:c>
      <x:c r="S3450" s="22" t="n">
        <x:f>P3450-R3450</x:f>
        <x:v>999</x:v>
      </x:c>
      <x:c r="T3450" t="str">
        <x:v>Cash</x:v>
      </x:c>
      <x:c r="U3450" t="str">
        <x:v>Paid</x:v>
      </x:c>
      <x:c r="V3450" t="str">
        <x:v>Delivered</x:v>
      </x:c>
      <x:c r="W3450" t="n">
        <x:v>0</x:v>
      </x:c>
      <x:c r="X3450" t="str"/>
      <x:c r="Y3450" t="str">
        <x:v>WhatsApp</x:v>
      </x:c>
    </x:row>
    <x:row r="3451">
      <x:c r="A3451" t="str">
        <x:v>O003450</x:v>
      </x:c>
      <x:c r="B3451" s="20" t="n">
        <x:v>46080</x:v>
      </x:c>
      <x:c r="C3451" t="str">
        <x:v>C0064</x:v>
      </x:c>
      <x:c r="D3451" t="str">
        <x:v>Hotel Restaurant 64</x:v>
      </x:c>
      <x:c r="E3451" t="str">
        <x:v>Cafe</x:v>
      </x:c>
      <x:c r="F3451" t="str">
        <x:v>Mangaluru</x:v>
      </x:c>
      <x:c r="G3451" t="str">
        <x:v>Imran</x:v>
      </x:c>
      <x:c r="H3451" t="str">
        <x:v>P026</x:v>
      </x:c>
      <x:c r="I3451" t="str">
        <x:v>Banana Chips 80g</x:v>
      </x:c>
      <x:c r="J3451" t="str">
        <x:v>Snacks</x:v>
      </x:c>
      <x:c r="K3451" t="str">
        <x:v>SSS</x:v>
      </x:c>
      <x:c r="L3451" s="22" t="n">
        <x:v>54</x:v>
      </x:c>
      <x:c r="M3451" t="n">
        <x:v>40</x:v>
      </x:c>
      <x:c r="N3451" s="24" t="n">
        <x:v>0.02</x:v>
      </x:c>
      <x:c r="O3451" s="22" t="n">
        <x:f>L3451*M3451</x:f>
        <x:v>2160</x:v>
      </x:c>
      <x:c r="P3451" s="22" t="n">
        <x:f>O3451*(1-N3451)</x:f>
        <x:v>2116.8</x:v>
      </x:c>
      <x:c r="Q3451" s="22" t="n">
        <x:v>39</x:v>
      </x:c>
      <x:c r="R3451" s="22" t="n">
        <x:f>Q3451*M3451</x:f>
        <x:v>1560</x:v>
      </x:c>
      <x:c r="S3451" s="22" t="n">
        <x:f>P3451-R3451</x:f>
        <x:v>556.8000000000002</x:v>
      </x:c>
      <x:c r="T3451" t="str">
        <x:v>Credit</x:v>
      </x:c>
      <x:c r="U3451" t="str">
        <x:v>Paid</x:v>
      </x:c>
      <x:c r="V3451" t="str">
        <x:v>Delivered</x:v>
      </x:c>
      <x:c r="W3451" t="n">
        <x:v>0</x:v>
      </x:c>
      <x:c r="X3451" t="str"/>
      <x:c r="Y3451" t="str">
        <x:v>Field Visit</x:v>
      </x:c>
    </x:row>
    <x:row r="3452">
      <x:c r="A3452" t="str">
        <x:v>O003451</x:v>
      </x:c>
      <x:c r="B3452" s="20" t="n">
        <x:v>45952</x:v>
      </x:c>
      <x:c r="C3452" t="str">
        <x:v>C0234</x:v>
      </x:c>
      <x:c r="D3452" t="str">
        <x:v>Metro Canteen 234</x:v>
      </x:c>
      <x:c r="E3452" t="str">
        <x:v>Restaurant</x:v>
      </x:c>
      <x:c r="F3452" t="str">
        <x:v>Davanagere</x:v>
      </x:c>
      <x:c r="G3452" t="str">
        <x:v>Priya</x:v>
      </x:c>
      <x:c r="H3452" t="str">
        <x:v>P008</x:v>
      </x:c>
      <x:c r="I3452" t="str">
        <x:v>Palm Oil 15L</x:v>
      </x:c>
      <x:c r="J3452" t="str">
        <x:v>Edible Oil</x:v>
      </x:c>
      <x:c r="K3452" t="str">
        <x:v>Ruchi Gold</x:v>
      </x:c>
      <x:c r="L3452" s="22" t="n">
        <x:v>1760</x:v>
      </x:c>
      <x:c r="M3452" t="n">
        <x:v>1</x:v>
      </x:c>
      <x:c r="N3452" s="24" t="n">
        <x:v>0.02</x:v>
      </x:c>
      <x:c r="O3452" s="22" t="n">
        <x:f>L3452*M3452</x:f>
        <x:v>1760</x:v>
      </x:c>
      <x:c r="P3452" s="22" t="n">
        <x:f>O3452*(1-N3452)</x:f>
        <x:v>1724.8</x:v>
      </x:c>
      <x:c r="Q3452" s="22" t="n">
        <x:v>1610</x:v>
      </x:c>
      <x:c r="R3452" s="22" t="n">
        <x:f>Q3452*M3452</x:f>
        <x:v>1610</x:v>
      </x:c>
      <x:c r="S3452" s="22" t="n">
        <x:f>P3452-R3452</x:f>
        <x:v>114.79999999999995</x:v>
      </x:c>
      <x:c r="T3452" t="str">
        <x:v>Bank Transfer</x:v>
      </x:c>
      <x:c r="U3452" t="str">
        <x:v>Paid</x:v>
      </x:c>
      <x:c r="V3452" t="str">
        <x:v>Delivered</x:v>
      </x:c>
      <x:c r="W3452" t="n">
        <x:v>0</x:v>
      </x:c>
      <x:c r="X3452" t="str"/>
      <x:c r="Y3452" t="str">
        <x:v>Field Visit</x:v>
      </x:c>
    </x:row>
    <x:row r="3453">
      <x:c r="A3453" t="str">
        <x:v>O003452</x:v>
      </x:c>
      <x:c r="B3453" s="20" t="n">
        <x:v>45923</x:v>
      </x:c>
      <x:c r="C3453" t="str">
        <x:v>C0175</x:v>
      </x:c>
      <x:c r="D3453" t="str">
        <x:v>Namma Mart 175</x:v>
      </x:c>
      <x:c r="E3453" t="str">
        <x:v>Hotel</x:v>
      </x:c>
      <x:c r="F3453" t="str">
        <x:v>Davanagere</x:v>
      </x:c>
      <x:c r="G3453" t="str">
        <x:v>Sneha</x:v>
      </x:c>
      <x:c r="H3453" t="str">
        <x:v>P045</x:v>
      </x:c>
      <x:c r="I3453" t="str">
        <x:v>Onion 25kg</x:v>
      </x:c>
      <x:c r="J3453" t="str">
        <x:v>Fresh Produce</x:v>
      </x:c>
      <x:c r="K3453" t="str">
        <x:v>Local Market</x:v>
      </x:c>
      <x:c r="L3453" s="22" t="n">
        <x:v>875</x:v>
      </x:c>
      <x:c r="M3453" t="n">
        <x:v>26</x:v>
      </x:c>
      <x:c r="N3453" s="24" t="n">
        <x:v>0</x:v>
      </x:c>
      <x:c r="O3453" s="22" t="n">
        <x:f>L3453*M3453</x:f>
        <x:v>22750</x:v>
      </x:c>
      <x:c r="P3453" s="22" t="n">
        <x:f>O3453*(1-N3453)</x:f>
        <x:v>22750</x:v>
      </x:c>
      <x:c r="Q3453" s="22" t="n">
        <x:v>760</x:v>
      </x:c>
      <x:c r="R3453" s="22" t="n">
        <x:f>Q3453*M3453</x:f>
        <x:v>19760</x:v>
      </x:c>
      <x:c r="S3453" s="22" t="n">
        <x:f>P3453-R3453</x:f>
        <x:v>2990</x:v>
      </x:c>
      <x:c r="T3453" t="str">
        <x:v>Credit</x:v>
      </x:c>
      <x:c r="U3453" t="str">
        <x:v>Pending</x:v>
      </x:c>
      <x:c r="V3453" t="str">
        <x:v>Delivered</x:v>
      </x:c>
      <x:c r="W3453" t="n">
        <x:v>0</x:v>
      </x:c>
      <x:c r="X3453" t="str"/>
      <x:c r="Y3453" t="str">
        <x:v>Field Visit</x:v>
      </x:c>
    </x:row>
    <x:row r="3454">
      <x:c r="A3454" t="str">
        <x:v>O003453</x:v>
      </x:c>
      <x:c r="B3454" s="20" t="n">
        <x:v>45951</x:v>
      </x:c>
      <x:c r="C3454" t="str">
        <x:v>C0052</x:v>
      </x:c>
      <x:c r="D3454" t="str">
        <x:v>Sagar Canteen 52</x:v>
      </x:c>
      <x:c r="E3454" t="str">
        <x:v>Kirana</x:v>
      </x:c>
      <x:c r="F3454" t="str">
        <x:v>Mysuru</x:v>
      </x:c>
      <x:c r="G3454" t="str">
        <x:v>Kavya</x:v>
      </x:c>
      <x:c r="H3454" t="str">
        <x:v>P037</x:v>
      </x:c>
      <x:c r="I3454" t="str">
        <x:v>Frozen Peas 1kg</x:v>
      </x:c>
      <x:c r="J3454" t="str">
        <x:v>Frozen</x:v>
      </x:c>
      <x:c r="K3454" t="str">
        <x:v>Safal</x:v>
      </x:c>
      <x:c r="L3454" s="22" t="n">
        <x:v>155</x:v>
      </x:c>
      <x:c r="M3454" t="n">
        <x:v>7</x:v>
      </x:c>
      <x:c r="N3454" s="24" t="n">
        <x:v>0.03</x:v>
      </x:c>
      <x:c r="O3454" s="22" t="n">
        <x:f>L3454*M3454</x:f>
        <x:v>1085</x:v>
      </x:c>
      <x:c r="P3454" s="22" t="n">
        <x:f>O3454*(1-N3454)</x:f>
        <x:v>1052.45</x:v>
      </x:c>
      <x:c r="Q3454" s="22" t="n">
        <x:v>138</x:v>
      </x:c>
      <x:c r="R3454" s="22" t="n">
        <x:f>Q3454*M3454</x:f>
        <x:v>966</x:v>
      </x:c>
      <x:c r="S3454" s="22" t="n">
        <x:f>P3454-R3454</x:f>
        <x:v>86.45000000000005</x:v>
      </x:c>
      <x:c r="T3454" t="str">
        <x:v>Credit</x:v>
      </x:c>
      <x:c r="U3454" t="str">
        <x:v>Paid</x:v>
      </x:c>
      <x:c r="V3454" t="str">
        <x:v>Delivered</x:v>
      </x:c>
      <x:c r="W3454" t="n">
        <x:v>0</x:v>
      </x:c>
      <x:c r="X3454" t="str"/>
      <x:c r="Y3454" t="str">
        <x:v>Existing Customer</x:v>
      </x:c>
    </x:row>
    <x:row r="3455">
      <x:c r="A3455" t="str">
        <x:v>O003454</x:v>
      </x:c>
      <x:c r="B3455" s="20" t="n">
        <x:v>46235</x:v>
      </x:c>
      <x:c r="C3455" t="str">
        <x:v>C0178</x:v>
      </x:c>
      <x:c r="D3455" t="str">
        <x:v>Annapurna Foods 178</x:v>
      </x:c>
      <x:c r="E3455" t="str">
        <x:v>Canteen</x:v>
      </x:c>
      <x:c r="F3455" t="str">
        <x:v>Tumakuru</x:v>
      </x:c>
      <x:c r="G3455" t="str">
        <x:v>Imran</x:v>
      </x:c>
      <x:c r="H3455" t="str">
        <x:v>P027</x:v>
      </x:c>
      <x:c r="I3455" t="str">
        <x:v>Biscuits 120g</x:v>
      </x:c>
      <x:c r="J3455" t="str">
        <x:v>Snacks</x:v>
      </x:c>
      <x:c r="K3455" t="str">
        <x:v>Parle-G</x:v>
      </x:c>
      <x:c r="L3455" s="22" t="n">
        <x:v>12</x:v>
      </x:c>
      <x:c r="M3455" t="n">
        <x:v>33</x:v>
      </x:c>
      <x:c r="N3455" s="24" t="n">
        <x:v>0.05</x:v>
      </x:c>
      <x:c r="O3455" s="22" t="n">
        <x:f>L3455*M3455</x:f>
        <x:v>396</x:v>
      </x:c>
      <x:c r="P3455" s="22" t="n">
        <x:f>O3455*(1-N3455)</x:f>
        <x:v>376.2</x:v>
      </x:c>
      <x:c r="Q3455" s="22" t="n">
        <x:v>9</x:v>
      </x:c>
      <x:c r="R3455" s="22" t="n">
        <x:f>Q3455*M3455</x:f>
        <x:v>297</x:v>
      </x:c>
      <x:c r="S3455" s="22" t="n">
        <x:f>P3455-R3455</x:f>
        <x:v>79.19999999999999</x:v>
      </x:c>
      <x:c r="T3455" t="str">
        <x:v>Cash</x:v>
      </x:c>
      <x:c r="U3455" t="str">
        <x:v>Paid</x:v>
      </x:c>
      <x:c r="V3455" t="str">
        <x:v>Delivered</x:v>
      </x:c>
      <x:c r="W3455" t="n">
        <x:v>0</x:v>
      </x:c>
      <x:c r="X3455" t="str"/>
      <x:c r="Y3455" t="str">
        <x:v>Outbound Call</x:v>
      </x:c>
    </x:row>
    <x:row r="3456">
      <x:c r="A3456" t="str">
        <x:v>O003455</x:v>
      </x:c>
      <x:c r="B3456" s="20" t="n">
        <x:v>46062</x:v>
      </x:c>
      <x:c r="C3456" t="str">
        <x:v>C0023</x:v>
      </x:c>
      <x:c r="D3456" t="str">
        <x:v>Mysore Canteen 23</x:v>
      </x:c>
      <x:c r="E3456" t="str">
        <x:v>Cafe</x:v>
      </x:c>
      <x:c r="F3456" t="str">
        <x:v>Hubballi</x:v>
      </x:c>
      <x:c r="G3456" t="str">
        <x:v>Sneha</x:v>
      </x:c>
      <x:c r="H3456" t="str">
        <x:v>P004</x:v>
      </x:c>
      <x:c r="I3456" t="str">
        <x:v>Toor Dal 5kg</x:v>
      </x:c>
      <x:c r="J3456" t="str">
        <x:v>Pulses</x:v>
      </x:c>
      <x:c r="K3456" t="str">
        <x:v>Tata Sampann</x:v>
      </x:c>
      <x:c r="L3456" s="22" t="n">
        <x:v>780</x:v>
      </x:c>
      <x:c r="M3456" t="n">
        <x:v>28</x:v>
      </x:c>
      <x:c r="N3456" s="24" t="n">
        <x:v>0.03</x:v>
      </x:c>
      <x:c r="O3456" s="22" t="n">
        <x:f>L3456*M3456</x:f>
        <x:v>21840</x:v>
      </x:c>
      <x:c r="P3456" s="22" t="n">
        <x:f>O3456*(1-N3456)</x:f>
        <x:v>21184.8</x:v>
      </x:c>
      <x:c r="Q3456" s="22" t="n">
        <x:v>695</x:v>
      </x:c>
      <x:c r="R3456" s="22" t="n">
        <x:f>Q3456*M3456</x:f>
        <x:v>19460</x:v>
      </x:c>
      <x:c r="S3456" s="22" t="n">
        <x:f>P3456-R3456</x:f>
        <x:v>1724.7999999999993</x:v>
      </x:c>
      <x:c r="T3456" t="str">
        <x:v>Bank Transfer</x:v>
      </x:c>
      <x:c r="U3456" t="str">
        <x:v>Overdue</x:v>
      </x:c>
      <x:c r="V3456" t="str">
        <x:v>Delivered</x:v>
      </x:c>
      <x:c r="W3456" t="n">
        <x:v>0</x:v>
      </x:c>
      <x:c r="X3456" t="str"/>
      <x:c r="Y3456" t="str">
        <x:v>Existing Customer</x:v>
      </x:c>
    </x:row>
    <x:row r="3457">
      <x:c r="A3457" t="str">
        <x:v>O003456</x:v>
      </x:c>
      <x:c r="B3457" s="20" t="n">
        <x:v>46250</x:v>
      </x:c>
      <x:c r="C3457" t="str">
        <x:v>C0061</x:v>
      </x:c>
      <x:c r="D3457" t="str">
        <x:v>Spice Stores 61</x:v>
      </x:c>
      <x:c r="E3457" t="str">
        <x:v>Restaurant</x:v>
      </x:c>
      <x:c r="F3457" t="str">
        <x:v>Tumakuru</x:v>
      </x:c>
      <x:c r="G3457" t="str">
        <x:v>Ramesh</x:v>
      </x:c>
      <x:c r="H3457" t="str">
        <x:v>P042</x:v>
      </x:c>
      <x:c r="I3457" t="str">
        <x:v>Eggs 30pc Tray</x:v>
      </x:c>
      <x:c r="J3457" t="str">
        <x:v>Protein</x:v>
      </x:c>
      <x:c r="K3457" t="str">
        <x:v>Farm Fresh</x:v>
      </x:c>
      <x:c r="L3457" s="22" t="n">
        <x:v>195</x:v>
      </x:c>
      <x:c r="M3457" t="n">
        <x:v>29</x:v>
      </x:c>
      <x:c r="N3457" s="24" t="n">
        <x:v>0.03</x:v>
      </x:c>
      <x:c r="O3457" s="22" t="n">
        <x:f>L3457*M3457</x:f>
        <x:v>5655</x:v>
      </x:c>
      <x:c r="P3457" s="22" t="n">
        <x:f>O3457*(1-N3457)</x:f>
        <x:v>5485.349999999999</x:v>
      </x:c>
      <x:c r="Q3457" s="22" t="n">
        <x:v>170</x:v>
      </x:c>
      <x:c r="R3457" s="22" t="n">
        <x:f>Q3457*M3457</x:f>
        <x:v>4930</x:v>
      </x:c>
      <x:c r="S3457" s="22" t="n">
        <x:f>P3457-R3457</x:f>
        <x:v>555.3499999999995</x:v>
      </x:c>
      <x:c r="T3457" t="str">
        <x:v>Cash</x:v>
      </x:c>
      <x:c r="U3457" t="str">
        <x:v>Paid</x:v>
      </x:c>
      <x:c r="V3457" t="str">
        <x:v>Delivered</x:v>
      </x:c>
      <x:c r="W3457" t="n">
        <x:v>2</x:v>
      </x:c>
      <x:c r="X3457" t="str">
        <x:v>Quality Issue</x:v>
      </x:c>
      <x:c r="Y3457" t="str">
        <x:v>Existing Customer</x:v>
      </x:c>
    </x:row>
    <x:row r="3458">
      <x:c r="A3458" t="str">
        <x:v>O003457</x:v>
      </x:c>
      <x:c r="B3458" s="20" t="n">
        <x:v>46099</x:v>
      </x:c>
      <x:c r="C3458" t="str">
        <x:v>C0216</x:v>
      </x:c>
      <x:c r="D3458" t="str">
        <x:v>Cafe Restaurant 216</x:v>
      </x:c>
      <x:c r="E3458" t="str">
        <x:v>Canteen</x:v>
      </x:c>
      <x:c r="F3458" t="str">
        <x:v>Bengaluru</x:v>
      </x:c>
      <x:c r="G3458" t="str">
        <x:v>Vikram</x:v>
      </x:c>
      <x:c r="H3458" t="str">
        <x:v>P008</x:v>
      </x:c>
      <x:c r="I3458" t="str">
        <x:v>Palm Oil 15L</x:v>
      </x:c>
      <x:c r="J3458" t="str">
        <x:v>Edible Oil</x:v>
      </x:c>
      <x:c r="K3458" t="str">
        <x:v>Ruchi Gold</x:v>
      </x:c>
      <x:c r="L3458" s="22" t="n">
        <x:v>1760</x:v>
      </x:c>
      <x:c r="M3458" t="n">
        <x:v>6</x:v>
      </x:c>
      <x:c r="N3458" s="24" t="n">
        <x:v>0.05</x:v>
      </x:c>
      <x:c r="O3458" s="22" t="n">
        <x:f>L3458*M3458</x:f>
        <x:v>10560</x:v>
      </x:c>
      <x:c r="P3458" s="22" t="n">
        <x:f>O3458*(1-N3458)</x:f>
        <x:v>10032</x:v>
      </x:c>
      <x:c r="Q3458" s="22" t="n">
        <x:v>1610</x:v>
      </x:c>
      <x:c r="R3458" s="22" t="n">
        <x:f>Q3458*M3458</x:f>
        <x:v>9660</x:v>
      </x:c>
      <x:c r="S3458" s="22" t="n">
        <x:f>P3458-R3458</x:f>
        <x:v>372</x:v>
      </x:c>
      <x:c r="T3458" t="str">
        <x:v>Bank Transfer</x:v>
      </x:c>
      <x:c r="U3458" t="str">
        <x:v>Overdue</x:v>
      </x:c>
      <x:c r="V3458" t="str">
        <x:v>Delivered</x:v>
      </x:c>
      <x:c r="W3458" t="n">
        <x:v>0</x:v>
      </x:c>
      <x:c r="X3458" t="str"/>
      <x:c r="Y3458" t="str">
        <x:v>WhatsApp</x:v>
      </x:c>
    </x:row>
    <x:row r="3459">
      <x:c r="A3459" t="str">
        <x:v>O003458</x:v>
      </x:c>
      <x:c r="B3459" s="20" t="n">
        <x:v>45660</x:v>
      </x:c>
      <x:c r="C3459" t="str">
        <x:v>C0070</x:v>
      </x:c>
      <x:c r="D3459" t="str">
        <x:v>Metro Stores 70</x:v>
      </x:c>
      <x:c r="E3459" t="str">
        <x:v>Cafe</x:v>
      </x:c>
      <x:c r="F3459" t="str">
        <x:v>Bengaluru</x:v>
      </x:c>
      <x:c r="G3459" t="str">
        <x:v>Vikram</x:v>
      </x:c>
      <x:c r="H3459" t="str">
        <x:v>P029</x:v>
      </x:c>
      <x:c r="I3459" t="str">
        <x:v>Tomato Ketchup 1kg</x:v>
      </x:c>
      <x:c r="J3459" t="str">
        <x:v>Condiments</x:v>
      </x:c>
      <x:c r="K3459" t="str">
        <x:v>Kissan</x:v>
      </x:c>
      <x:c r="L3459" s="22" t="n">
        <x:v>145</x:v>
      </x:c>
      <x:c r="M3459" t="n">
        <x:v>19</x:v>
      </x:c>
      <x:c r="N3459" s="24" t="n">
        <x:v>0</x:v>
      </x:c>
      <x:c r="O3459" s="22" t="n">
        <x:f>L3459*M3459</x:f>
        <x:v>2755</x:v>
      </x:c>
      <x:c r="P3459" s="22" t="n">
        <x:f>O3459*(1-N3459)</x:f>
        <x:v>2755</x:v>
      </x:c>
      <x:c r="Q3459" s="22" t="n">
        <x:v>126</x:v>
      </x:c>
      <x:c r="R3459" s="22" t="n">
        <x:f>Q3459*M3459</x:f>
        <x:v>2394</x:v>
      </x:c>
      <x:c r="S3459" s="22" t="n">
        <x:f>P3459-R3459</x:f>
        <x:v>361</x:v>
      </x:c>
      <x:c r="T3459" t="str">
        <x:v>Bank Transfer</x:v>
      </x:c>
      <x:c r="U3459" t="str">
        <x:v>Paid</x:v>
      </x:c>
      <x:c r="V3459" t="str">
        <x:v>Delivered</x:v>
      </x:c>
      <x:c r="W3459" t="n">
        <x:v>0</x:v>
      </x:c>
      <x:c r="X3459" t="str"/>
      <x:c r="Y3459" t="str">
        <x:v>WhatsApp</x:v>
      </x:c>
    </x:row>
    <x:row r="3460">
      <x:c r="A3460" t="str">
        <x:v>O003459</x:v>
      </x:c>
      <x:c r="B3460" s="20" t="n">
        <x:v>45840</x:v>
      </x:c>
      <x:c r="C3460" t="str">
        <x:v>C0202</x:v>
      </x:c>
      <x:c r="D3460" t="str">
        <x:v>Sagar Foods 202</x:v>
      </x:c>
      <x:c r="E3460" t="str">
        <x:v>Restaurant</x:v>
      </x:c>
      <x:c r="F3460" t="str">
        <x:v>Mangaluru</x:v>
      </x:c>
      <x:c r="G3460" t="str">
        <x:v>Kavya</x:v>
      </x:c>
      <x:c r="H3460" t="str">
        <x:v>P038</x:v>
      </x:c>
      <x:c r="I3460" t="str">
        <x:v>French Fries 2.5kg</x:v>
      </x:c>
      <x:c r="J3460" t="str">
        <x:v>Frozen</x:v>
      </x:c>
      <x:c r="K3460" t="str">
        <x:v>McCain</x:v>
      </x:c>
      <x:c r="L3460" s="22" t="n">
        <x:v>360</x:v>
      </x:c>
      <x:c r="M3460" t="n">
        <x:v>28</x:v>
      </x:c>
      <x:c r="N3460" s="24" t="n">
        <x:v>0.08</x:v>
      </x:c>
      <x:c r="O3460" s="22" t="n">
        <x:f>L3460*M3460</x:f>
        <x:v>10080</x:v>
      </x:c>
      <x:c r="P3460" s="22" t="n">
        <x:f>O3460*(1-N3460)</x:f>
        <x:v>9273.6</x:v>
      </x:c>
      <x:c r="Q3460" s="22" t="n">
        <x:v>315</x:v>
      </x:c>
      <x:c r="R3460" s="22" t="n">
        <x:f>Q3460*M3460</x:f>
        <x:v>8820</x:v>
      </x:c>
      <x:c r="S3460" s="22" t="n">
        <x:f>P3460-R3460</x:f>
        <x:v>453.60000000000036</x:v>
      </x:c>
      <x:c r="T3460" t="str">
        <x:v>Bank Transfer</x:v>
      </x:c>
      <x:c r="U3460" t="str">
        <x:v>Pending</x:v>
      </x:c>
      <x:c r="V3460" t="str">
        <x:v>Delivered</x:v>
      </x:c>
      <x:c r="W3460" t="n">
        <x:v>0</x:v>
      </x:c>
      <x:c r="X3460" t="str"/>
      <x:c r="Y3460" t="str">
        <x:v>Referral</x:v>
      </x:c>
    </x:row>
    <x:row r="3461">
      <x:c r="A3461" t="str">
        <x:v>O003460</x:v>
      </x:c>
      <x:c r="B3461" s="20" t="n">
        <x:v>46166</x:v>
      </x:c>
      <x:c r="C3461" t="str">
        <x:v>C0054</x:v>
      </x:c>
      <x:c r="D3461" t="str">
        <x:v>Cafe Cafe 54</x:v>
      </x:c>
      <x:c r="E3461" t="str">
        <x:v>Restaurant</x:v>
      </x:c>
      <x:c r="F3461" t="str">
        <x:v>Hubballi</x:v>
      </x:c>
      <x:c r="G3461" t="str">
        <x:v>Vikram</x:v>
      </x:c>
      <x:c r="H3461" t="str">
        <x:v>P022</x:v>
      </x:c>
      <x:c r="I3461" t="str">
        <x:v>Mineral Water 1L</x:v>
      </x:c>
      <x:c r="J3461" t="str">
        <x:v>Beverage</x:v>
      </x:c>
      <x:c r="K3461" t="str">
        <x:v>Bisleri</x:v>
      </x:c>
      <x:c r="L3461" s="22" t="n">
        <x:v>19</x:v>
      </x:c>
      <x:c r="M3461" t="n">
        <x:v>8</x:v>
      </x:c>
      <x:c r="N3461" s="24" t="n">
        <x:v>0</x:v>
      </x:c>
      <x:c r="O3461" s="22" t="n">
        <x:f>L3461*M3461</x:f>
        <x:v>152</x:v>
      </x:c>
      <x:c r="P3461" s="22" t="n">
        <x:f>O3461*(1-N3461)</x:f>
        <x:v>152</x:v>
      </x:c>
      <x:c r="Q3461" s="22" t="n">
        <x:v>15</x:v>
      </x:c>
      <x:c r="R3461" s="22" t="n">
        <x:f>Q3461*M3461</x:f>
        <x:v>120</x:v>
      </x:c>
      <x:c r="S3461" s="22" t="n">
        <x:f>P3461-R3461</x:f>
        <x:v>32</x:v>
      </x:c>
      <x:c r="T3461" t="str">
        <x:v>Credit</x:v>
      </x:c>
      <x:c r="U3461" t="str">
        <x:v>Pending</x:v>
      </x:c>
      <x:c r="V3461" t="str">
        <x:v>Delivered</x:v>
      </x:c>
      <x:c r="W3461" t="n">
        <x:v>0</x:v>
      </x:c>
      <x:c r="X3461" t="str"/>
      <x:c r="Y3461" t="str">
        <x:v>Referral</x:v>
      </x:c>
    </x:row>
    <x:row r="3462">
      <x:c r="A3462" t="str">
        <x:v>O003461</x:v>
      </x:c>
      <x:c r="B3462" s="20" t="n">
        <x:v>46223</x:v>
      </x:c>
      <x:c r="C3462" t="str">
        <x:v>C0002</x:v>
      </x:c>
      <x:c r="D3462" t="str">
        <x:v>City Kitchen 2</x:v>
      </x:c>
      <x:c r="E3462" t="str">
        <x:v>Kirana</x:v>
      </x:c>
      <x:c r="F3462" t="str">
        <x:v>Davanagere</x:v>
      </x:c>
      <x:c r="G3462" t="str">
        <x:v>Arjun</x:v>
      </x:c>
      <x:c r="H3462" t="str">
        <x:v>P002</x:v>
      </x:c>
      <x:c r="I3462" t="str">
        <x:v>Sona Masoori Rice 25kg</x:v>
      </x:c>
      <x:c r="J3462" t="str">
        <x:v>Staples</x:v>
      </x:c>
      <x:c r="K3462" t="str">
        <x:v>Fortune</x:v>
      </x:c>
      <x:c r="L3462" s="22" t="n">
        <x:v>1320</x:v>
      </x:c>
      <x:c r="M3462" t="n">
        <x:v>8</x:v>
      </x:c>
      <x:c r="N3462" s="24" t="n">
        <x:v>0.05</x:v>
      </x:c>
      <x:c r="O3462" s="22" t="n">
        <x:f>L3462*M3462</x:f>
        <x:v>10560</x:v>
      </x:c>
      <x:c r="P3462" s="22" t="n">
        <x:f>O3462*(1-N3462)</x:f>
        <x:v>10032</x:v>
      </x:c>
      <x:c r="Q3462" s="22" t="n">
        <x:v>1160</x:v>
      </x:c>
      <x:c r="R3462" s="22" t="n">
        <x:f>Q3462*M3462</x:f>
        <x:v>9280</x:v>
      </x:c>
      <x:c r="S3462" s="22" t="n">
        <x:f>P3462-R3462</x:f>
        <x:v>752</x:v>
      </x:c>
      <x:c r="T3462" t="str">
        <x:v>Cash</x:v>
      </x:c>
      <x:c r="U3462" t="str">
        <x:v>Pending</x:v>
      </x:c>
      <x:c r="V3462" t="str">
        <x:v>Delivered</x:v>
      </x:c>
      <x:c r="W3462" t="n">
        <x:v>0</x:v>
      </x:c>
      <x:c r="X3462" t="str"/>
      <x:c r="Y3462" t="str">
        <x:v>Referral</x:v>
      </x:c>
    </x:row>
    <x:row r="3463">
      <x:c r="A3463" t="str">
        <x:v>O003462</x:v>
      </x:c>
      <x:c r="B3463" s="20" t="n">
        <x:v>46055</x:v>
      </x:c>
      <x:c r="C3463" t="str">
        <x:v>C0047</x:v>
      </x:c>
      <x:c r="D3463" t="str">
        <x:v>Shree Restaurant 47</x:v>
      </x:c>
      <x:c r="E3463" t="str">
        <x:v>Canteen</x:v>
      </x:c>
      <x:c r="F3463" t="str">
        <x:v>Davanagere</x:v>
      </x:c>
      <x:c r="G3463" t="str">
        <x:v>Arjun</x:v>
      </x:c>
      <x:c r="H3463" t="str">
        <x:v>P022</x:v>
      </x:c>
      <x:c r="I3463" t="str">
        <x:v>Mineral Water 1L</x:v>
      </x:c>
      <x:c r="J3463" t="str">
        <x:v>Beverage</x:v>
      </x:c>
      <x:c r="K3463" t="str">
        <x:v>Bisleri</x:v>
      </x:c>
      <x:c r="L3463" s="22" t="n">
        <x:v>19</x:v>
      </x:c>
      <x:c r="M3463" t="n">
        <x:v>25</x:v>
      </x:c>
      <x:c r="N3463" s="24" t="n">
        <x:v>0</x:v>
      </x:c>
      <x:c r="O3463" s="22" t="n">
        <x:f>L3463*M3463</x:f>
        <x:v>475</x:v>
      </x:c>
      <x:c r="P3463" s="22" t="n">
        <x:f>O3463*(1-N3463)</x:f>
        <x:v>475</x:v>
      </x:c>
      <x:c r="Q3463" s="22" t="n">
        <x:v>15</x:v>
      </x:c>
      <x:c r="R3463" s="22" t="n">
        <x:f>Q3463*M3463</x:f>
        <x:v>375</x:v>
      </x:c>
      <x:c r="S3463" s="22" t="n">
        <x:f>P3463-R3463</x:f>
        <x:v>100</x:v>
      </x:c>
      <x:c r="T3463" t="str">
        <x:v>UPI</x:v>
      </x:c>
      <x:c r="U3463" t="str">
        <x:v>Pending</x:v>
      </x:c>
      <x:c r="V3463" t="str">
        <x:v>Delivered</x:v>
      </x:c>
      <x:c r="W3463" t="n">
        <x:v>0</x:v>
      </x:c>
      <x:c r="X3463" t="str"/>
      <x:c r="Y3463" t="str">
        <x:v>Existing Customer</x:v>
      </x:c>
    </x:row>
    <x:row r="3464">
      <x:c r="A3464" t="str">
        <x:v>O003463</x:v>
      </x:c>
      <x:c r="B3464" s="20" t="n">
        <x:v>45705</x:v>
      </x:c>
      <x:c r="C3464" t="str">
        <x:v>C0168</x:v>
      </x:c>
      <x:c r="D3464" t="str">
        <x:v>Sagar Hotel 168</x:v>
      </x:c>
      <x:c r="E3464" t="str">
        <x:v>Canteen</x:v>
      </x:c>
      <x:c r="F3464" t="str">
        <x:v>Bengaluru</x:v>
      </x:c>
      <x:c r="G3464" t="str">
        <x:v>Priya</x:v>
      </x:c>
      <x:c r="H3464" t="str">
        <x:v>P039</x:v>
      </x:c>
      <x:c r="I3464" t="str">
        <x:v>Ice Cream 4L</x:v>
      </x:c>
      <x:c r="J3464" t="str">
        <x:v>Frozen</x:v>
      </x:c>
      <x:c r="K3464" t="str">
        <x:v>Amul</x:v>
      </x:c>
      <x:c r="L3464" s="22" t="n">
        <x:v>480</x:v>
      </x:c>
      <x:c r="M3464" t="n">
        <x:v>14</x:v>
      </x:c>
      <x:c r="N3464" s="24" t="n">
        <x:v>0</x:v>
      </x:c>
      <x:c r="O3464" s="22" t="n">
        <x:f>L3464*M3464</x:f>
        <x:v>6720</x:v>
      </x:c>
      <x:c r="P3464" s="22" t="n">
        <x:f>O3464*(1-N3464)</x:f>
        <x:v>6720</x:v>
      </x:c>
      <x:c r="Q3464" s="22" t="n">
        <x:v>420</x:v>
      </x:c>
      <x:c r="R3464" s="22" t="n">
        <x:f>Q3464*M3464</x:f>
        <x:v>5880</x:v>
      </x:c>
      <x:c r="S3464" s="22" t="n">
        <x:f>P3464-R3464</x:f>
        <x:v>840</x:v>
      </x:c>
      <x:c r="T3464" t="str">
        <x:v>Cash</x:v>
      </x:c>
      <x:c r="U3464" t="str">
        <x:v>Paid</x:v>
      </x:c>
      <x:c r="V3464" t="str">
        <x:v>Delivered</x:v>
      </x:c>
      <x:c r="W3464" t="n">
        <x:v>0</x:v>
      </x:c>
      <x:c r="X3464" t="str"/>
      <x:c r="Y3464" t="str">
        <x:v>WhatsApp</x:v>
      </x:c>
    </x:row>
    <x:row r="3465">
      <x:c r="A3465" t="str">
        <x:v>O003464</x:v>
      </x:c>
      <x:c r="B3465" s="20" t="n">
        <x:v>46260</x:v>
      </x:c>
      <x:c r="C3465" t="str">
        <x:v>C0049</x:v>
      </x:c>
      <x:c r="D3465" t="str">
        <x:v>Namma Stores 49</x:v>
      </x:c>
      <x:c r="E3465" t="str">
        <x:v>Hotel</x:v>
      </x:c>
      <x:c r="F3465" t="str">
        <x:v>Mangaluru</x:v>
      </x:c>
      <x:c r="G3465" t="str">
        <x:v>Sneha</x:v>
      </x:c>
      <x:c r="H3465" t="str">
        <x:v>P009</x:v>
      </x:c>
      <x:c r="I3465" t="str">
        <x:v>Groundnut Oil 5L</x:v>
      </x:c>
      <x:c r="J3465" t="str">
        <x:v>Edible Oil</x:v>
      </x:c>
      <x:c r="K3465" t="str">
        <x:v>Dhara</x:v>
      </x:c>
      <x:c r="L3465" s="22" t="n">
        <x:v>890</x:v>
      </x:c>
      <x:c r="M3465" t="n">
        <x:v>33</x:v>
      </x:c>
      <x:c r="N3465" s="24" t="n">
        <x:v>0.02</x:v>
      </x:c>
      <x:c r="O3465" s="22" t="n">
        <x:f>L3465*M3465</x:f>
        <x:v>29370</x:v>
      </x:c>
      <x:c r="P3465" s="22" t="n">
        <x:f>O3465*(1-N3465)</x:f>
        <x:v>28782.6</x:v>
      </x:c>
      <x:c r="Q3465" s="22" t="n">
        <x:v>810</x:v>
      </x:c>
      <x:c r="R3465" s="22" t="n">
        <x:f>Q3465*M3465</x:f>
        <x:v>26730</x:v>
      </x:c>
      <x:c r="S3465" s="22" t="n">
        <x:f>P3465-R3465</x:f>
        <x:v>2052.5999999999985</x:v>
      </x:c>
      <x:c r="T3465" t="str">
        <x:v>Cash</x:v>
      </x:c>
      <x:c r="U3465" t="str">
        <x:v>Paid</x:v>
      </x:c>
      <x:c r="V3465" t="str">
        <x:v>Cancelled</x:v>
      </x:c>
      <x:c r="W3465" t="n">
        <x:v>33</x:v>
      </x:c>
      <x:c r="X3465" t="str">
        <x:v>Cancelled Order</x:v>
      </x:c>
      <x:c r="Y3465" t="str">
        <x:v>Existing Customer</x:v>
      </x:c>
    </x:row>
    <x:row r="3466">
      <x:c r="A3466" t="str">
        <x:v>O003465</x:v>
      </x:c>
      <x:c r="B3466" s="20" t="n">
        <x:v>46109</x:v>
      </x:c>
      <x:c r="C3466" t="str">
        <x:v>C0114</x:v>
      </x:c>
      <x:c r="D3466" t="str">
        <x:v>Annapurna Restaurant 114</x:v>
      </x:c>
      <x:c r="E3466" t="str">
        <x:v>Restaurant</x:v>
      </x:c>
      <x:c r="F3466" t="str">
        <x:v>Davanagere</x:v>
      </x:c>
      <x:c r="G3466" t="str">
        <x:v>Arjun</x:v>
      </x:c>
      <x:c r="H3466" t="str">
        <x:v>P047</x:v>
      </x:c>
      <x:c r="I3466" t="str">
        <x:v>Tomato 25kg</x:v>
      </x:c>
      <x:c r="J3466" t="str">
        <x:v>Fresh Produce</x:v>
      </x:c>
      <x:c r="K3466" t="str">
        <x:v>Local Market</x:v>
      </x:c>
      <x:c r="L3466" s="22" t="n">
        <x:v>950</x:v>
      </x:c>
      <x:c r="M3466" t="n">
        <x:v>2</x:v>
      </x:c>
      <x:c r="N3466" s="24" t="n">
        <x:v>0.05</x:v>
      </x:c>
      <x:c r="O3466" s="22" t="n">
        <x:f>L3466*M3466</x:f>
        <x:v>1900</x:v>
      </x:c>
      <x:c r="P3466" s="22" t="n">
        <x:f>O3466*(1-N3466)</x:f>
        <x:v>1805</x:v>
      </x:c>
      <x:c r="Q3466" s="22" t="n">
        <x:v>810</x:v>
      </x:c>
      <x:c r="R3466" s="22" t="n">
        <x:f>Q3466*M3466</x:f>
        <x:v>1620</x:v>
      </x:c>
      <x:c r="S3466" s="22" t="n">
        <x:f>P3466-R3466</x:f>
        <x:v>185</x:v>
      </x:c>
      <x:c r="T3466" t="str">
        <x:v>UPI</x:v>
      </x:c>
      <x:c r="U3466" t="str">
        <x:v>Paid</x:v>
      </x:c>
      <x:c r="V3466" t="str">
        <x:v>Delivered</x:v>
      </x:c>
      <x:c r="W3466" t="n">
        <x:v>0</x:v>
      </x:c>
      <x:c r="X3466" t="str"/>
      <x:c r="Y3466" t="str">
        <x:v>WhatsApp</x:v>
      </x:c>
    </x:row>
    <x:row r="3467">
      <x:c r="A3467" t="str">
        <x:v>O003466</x:v>
      </x:c>
      <x:c r="B3467" s="20" t="n">
        <x:v>45911</x:v>
      </x:c>
      <x:c r="C3467" t="str">
        <x:v>C0072</x:v>
      </x:c>
      <x:c r="D3467" t="str">
        <x:v>Grand Restaurant 72</x:v>
      </x:c>
      <x:c r="E3467" t="str">
        <x:v>Restaurant</x:v>
      </x:c>
      <x:c r="F3467" t="str">
        <x:v>Davanagere</x:v>
      </x:c>
      <x:c r="G3467" t="str">
        <x:v>Kavya</x:v>
      </x:c>
      <x:c r="H3467" t="str">
        <x:v>P016</x:v>
      </x:c>
      <x:c r="I3467" t="str">
        <x:v>Curd 1kg</x:v>
      </x:c>
      <x:c r="J3467" t="str">
        <x:v>Dairy</x:v>
      </x:c>
      <x:c r="K3467" t="str">
        <x:v>Nandini</x:v>
      </x:c>
      <x:c r="L3467" s="22" t="n">
        <x:v>72</x:v>
      </x:c>
      <x:c r="M3467" t="n">
        <x:v>29</x:v>
      </x:c>
      <x:c r="N3467" s="24" t="n">
        <x:v>0</x:v>
      </x:c>
      <x:c r="O3467" s="22" t="n">
        <x:f>L3467*M3467</x:f>
        <x:v>2088</x:v>
      </x:c>
      <x:c r="P3467" s="22" t="n">
        <x:f>O3467*(1-N3467)</x:f>
        <x:v>2088</x:v>
      </x:c>
      <x:c r="Q3467" s="22" t="n">
        <x:v>64</x:v>
      </x:c>
      <x:c r="R3467" s="22" t="n">
        <x:f>Q3467*M3467</x:f>
        <x:v>1856</x:v>
      </x:c>
      <x:c r="S3467" s="22" t="n">
        <x:f>P3467-R3467</x:f>
        <x:v>232</x:v>
      </x:c>
      <x:c r="T3467" t="str">
        <x:v>UPI</x:v>
      </x:c>
      <x:c r="U3467" t="str">
        <x:v>Pending</x:v>
      </x:c>
      <x:c r="V3467" t="str">
        <x:v>Cancelled</x:v>
      </x:c>
      <x:c r="W3467" t="n">
        <x:v>29</x:v>
      </x:c>
      <x:c r="X3467" t="str">
        <x:v>Cancelled Order</x:v>
      </x:c>
      <x:c r="Y3467" t="str">
        <x:v>Existing Customer</x:v>
      </x:c>
    </x:row>
    <x:row r="3468">
      <x:c r="A3468" t="str">
        <x:v>O003467</x:v>
      </x:c>
      <x:c r="B3468" s="20" t="n">
        <x:v>46157</x:v>
      </x:c>
      <x:c r="C3468" t="str">
        <x:v>C0223</x:v>
      </x:c>
      <x:c r="D3468" t="str">
        <x:v>Classic Canteen 223</x:v>
      </x:c>
      <x:c r="E3468" t="str">
        <x:v>Restaurant</x:v>
      </x:c>
      <x:c r="F3468" t="str">
        <x:v>Tumakuru</x:v>
      </x:c>
      <x:c r="G3468" t="str">
        <x:v>Kavya</x:v>
      </x:c>
      <x:c r="H3468" t="str">
        <x:v>P043</x:v>
      </x:c>
      <x:c r="I3468" t="str">
        <x:v>Chicken Breast 1kg</x:v>
      </x:c>
      <x:c r="J3468" t="str">
        <x:v>Protein</x:v>
      </x:c>
      <x:c r="K3468" t="str">
        <x:v>FreshToHome</x:v>
      </x:c>
      <x:c r="L3468" s="22" t="n">
        <x:v>260</x:v>
      </x:c>
      <x:c r="M3468" t="n">
        <x:v>20</x:v>
      </x:c>
      <x:c r="N3468" s="24" t="n">
        <x:v>0.08</x:v>
      </x:c>
      <x:c r="O3468" s="22" t="n">
        <x:f>L3468*M3468</x:f>
        <x:v>5200</x:v>
      </x:c>
      <x:c r="P3468" s="22" t="n">
        <x:f>O3468*(1-N3468)</x:f>
        <x:v>4784</x:v>
      </x:c>
      <x:c r="Q3468" s="22" t="n">
        <x:v>235</x:v>
      </x:c>
      <x:c r="R3468" s="22" t="n">
        <x:f>Q3468*M3468</x:f>
        <x:v>4700</x:v>
      </x:c>
      <x:c r="S3468" s="22" t="n">
        <x:f>P3468-R3468</x:f>
        <x:v>84</x:v>
      </x:c>
      <x:c r="T3468" t="str">
        <x:v>Cash</x:v>
      </x:c>
      <x:c r="U3468" t="str">
        <x:v>Paid</x:v>
      </x:c>
      <x:c r="V3468" t="str">
        <x:v>Delayed</x:v>
      </x:c>
      <x:c r="W3468" t="n">
        <x:v>0</x:v>
      </x:c>
      <x:c r="X3468" t="str"/>
      <x:c r="Y3468" t="str">
        <x:v>WhatsApp</x:v>
      </x:c>
    </x:row>
    <x:row r="3469">
      <x:c r="A3469" t="str">
        <x:v>O003468</x:v>
      </x:c>
      <x:c r="B3469" s="20" t="n">
        <x:v>46048</x:v>
      </x:c>
      <x:c r="C3469" t="str">
        <x:v>C0187</x:v>
      </x:c>
      <x:c r="D3469" t="str">
        <x:v>City Cafe 187</x:v>
      </x:c>
      <x:c r="E3469" t="str">
        <x:v>Hotel</x:v>
      </x:c>
      <x:c r="F3469" t="str">
        <x:v>Mysuru</x:v>
      </x:c>
      <x:c r="G3469" t="str">
        <x:v>Priya</x:v>
      </x:c>
      <x:c r="H3469" t="str">
        <x:v>P041</x:v>
      </x:c>
      <x:c r="I3469" t="str">
        <x:v>Burger Bun 6pc</x:v>
      </x:c>
      <x:c r="J3469" t="str">
        <x:v>Bakery</x:v>
      </x:c>
      <x:c r="K3469" t="str">
        <x:v>Modern</x:v>
      </x:c>
      <x:c r="L3469" s="22" t="n">
        <x:v>42</x:v>
      </x:c>
      <x:c r="M3469" t="n">
        <x:v>16</x:v>
      </x:c>
      <x:c r="N3469" s="24" t="n">
        <x:v>0.03</x:v>
      </x:c>
      <x:c r="O3469" s="22" t="n">
        <x:f>L3469*M3469</x:f>
        <x:v>672</x:v>
      </x:c>
      <x:c r="P3469" s="22" t="n">
        <x:f>O3469*(1-N3469)</x:f>
        <x:v>651.84</x:v>
      </x:c>
      <x:c r="Q3469" s="22" t="n">
        <x:v>32</x:v>
      </x:c>
      <x:c r="R3469" s="22" t="n">
        <x:f>Q3469*M3469</x:f>
        <x:v>512</x:v>
      </x:c>
      <x:c r="S3469" s="22" t="n">
        <x:f>P3469-R3469</x:f>
        <x:v>139.84000000000003</x:v>
      </x:c>
      <x:c r="T3469" t="str">
        <x:v>Credit</x:v>
      </x:c>
      <x:c r="U3469" t="str">
        <x:v>Paid</x:v>
      </x:c>
      <x:c r="V3469" t="str">
        <x:v>Delivered</x:v>
      </x:c>
      <x:c r="W3469" t="n">
        <x:v>0</x:v>
      </x:c>
      <x:c r="X3469" t="str"/>
      <x:c r="Y3469" t="str">
        <x:v>WhatsApp</x:v>
      </x:c>
    </x:row>
    <x:row r="3470">
      <x:c r="A3470" t="str">
        <x:v>O003469</x:v>
      </x:c>
      <x:c r="B3470" s="20" t="n">
        <x:v>45664</x:v>
      </x:c>
      <x:c r="C3470" t="str">
        <x:v>C0205</x:v>
      </x:c>
      <x:c r="D3470" t="str">
        <x:v>Royal Mart 205</x:v>
      </x:c>
      <x:c r="E3470" t="str">
        <x:v>Kirana</x:v>
      </x:c>
      <x:c r="F3470" t="str">
        <x:v>Mysuru</x:v>
      </x:c>
      <x:c r="G3470" t="str">
        <x:v>Priya</x:v>
      </x:c>
      <x:c r="H3470" t="str">
        <x:v>P020</x:v>
      </x:c>
      <x:c r="I3470" t="str">
        <x:v>Coffee 500g</x:v>
      </x:c>
      <x:c r="J3470" t="str">
        <x:v>Beverage</x:v>
      </x:c>
      <x:c r="K3470" t="str">
        <x:v>Bru</x:v>
      </x:c>
      <x:c r="L3470" s="22" t="n">
        <x:v>390</x:v>
      </x:c>
      <x:c r="M3470" t="n">
        <x:v>21</x:v>
      </x:c>
      <x:c r="N3470" s="24" t="n">
        <x:v>0.02</x:v>
      </x:c>
      <x:c r="O3470" s="22" t="n">
        <x:f>L3470*M3470</x:f>
        <x:v>8190</x:v>
      </x:c>
      <x:c r="P3470" s="22" t="n">
        <x:f>O3470*(1-N3470)</x:f>
        <x:v>8026.2</x:v>
      </x:c>
      <x:c r="Q3470" s="22" t="n">
        <x:v>350</x:v>
      </x:c>
      <x:c r="R3470" s="22" t="n">
        <x:f>Q3470*M3470</x:f>
        <x:v>7350</x:v>
      </x:c>
      <x:c r="S3470" s="22" t="n">
        <x:f>P3470-R3470</x:f>
        <x:v>676.1999999999998</x:v>
      </x:c>
      <x:c r="T3470" t="str">
        <x:v>Cash</x:v>
      </x:c>
      <x:c r="U3470" t="str">
        <x:v>Pending</x:v>
      </x:c>
      <x:c r="V3470" t="str">
        <x:v>Delivered</x:v>
      </x:c>
      <x:c r="W3470" t="n">
        <x:v>0</x:v>
      </x:c>
      <x:c r="X3470" t="str"/>
      <x:c r="Y3470" t="str">
        <x:v>Existing Customer</x:v>
      </x:c>
    </x:row>
    <x:row r="3471">
      <x:c r="A3471" t="str">
        <x:v>O003470</x:v>
      </x:c>
      <x:c r="B3471" s="20" t="n">
        <x:v>46169</x:v>
      </x:c>
      <x:c r="C3471" t="str">
        <x:v>C0195</x:v>
      </x:c>
      <x:c r="D3471" t="str">
        <x:v>Classic Stores 195</x:v>
      </x:c>
      <x:c r="E3471" t="str">
        <x:v>Canteen</x:v>
      </x:c>
      <x:c r="F3471" t="str">
        <x:v>Davanagere</x:v>
      </x:c>
      <x:c r="G3471" t="str">
        <x:v>Kavya</x:v>
      </x:c>
      <x:c r="H3471" t="str">
        <x:v>P035</x:v>
      </x:c>
      <x:c r="I3471" t="str">
        <x:v>Coriander Powder 1kg</x:v>
      </x:c>
      <x:c r="J3471" t="str">
        <x:v>Spices</x:v>
      </x:c>
      <x:c r="K3471" t="str">
        <x:v>Everest</x:v>
      </x:c>
      <x:c r="L3471" s="22" t="n">
        <x:v>280</x:v>
      </x:c>
      <x:c r="M3471" t="n">
        <x:v>20</x:v>
      </x:c>
      <x:c r="N3471" s="24" t="n">
        <x:v>0</x:v>
      </x:c>
      <x:c r="O3471" s="22" t="n">
        <x:f>L3471*M3471</x:f>
        <x:v>5600</x:v>
      </x:c>
      <x:c r="P3471" s="22" t="n">
        <x:f>O3471*(1-N3471)</x:f>
        <x:v>5600</x:v>
      </x:c>
      <x:c r="Q3471" s="22" t="n">
        <x:v>245</x:v>
      </x:c>
      <x:c r="R3471" s="22" t="n">
        <x:f>Q3471*M3471</x:f>
        <x:v>4900</x:v>
      </x:c>
      <x:c r="S3471" s="22" t="n">
        <x:f>P3471-R3471</x:f>
        <x:v>700</x:v>
      </x:c>
      <x:c r="T3471" t="str">
        <x:v>Bank Transfer</x:v>
      </x:c>
      <x:c r="U3471" t="str">
        <x:v>Paid</x:v>
      </x:c>
      <x:c r="V3471" t="str">
        <x:v>Delivered</x:v>
      </x:c>
      <x:c r="W3471" t="n">
        <x:v>0</x:v>
      </x:c>
      <x:c r="X3471" t="str"/>
      <x:c r="Y3471" t="str">
        <x:v>Outbound Call</x:v>
      </x:c>
    </x:row>
    <x:row r="3472">
      <x:c r="A3472" t="str">
        <x:v>O003471</x:v>
      </x:c>
      <x:c r="B3472" s="20" t="n">
        <x:v>46276</x:v>
      </x:c>
      <x:c r="C3472" t="str">
        <x:v>C0186</x:v>
      </x:c>
      <x:c r="D3472" t="str">
        <x:v>Namma Stores 186</x:v>
      </x:c>
      <x:c r="E3472" t="str">
        <x:v>Supermarket</x:v>
      </x:c>
      <x:c r="F3472" t="str">
        <x:v>Mysuru</x:v>
      </x:c>
      <x:c r="G3472" t="str">
        <x:v>Vikram</x:v>
      </x:c>
      <x:c r="H3472" t="str">
        <x:v>P047</x:v>
      </x:c>
      <x:c r="I3472" t="str">
        <x:v>Tomato 25kg</x:v>
      </x:c>
      <x:c r="J3472" t="str">
        <x:v>Fresh Produce</x:v>
      </x:c>
      <x:c r="K3472" t="str">
        <x:v>Local Market</x:v>
      </x:c>
      <x:c r="L3472" s="22" t="n">
        <x:v>950</x:v>
      </x:c>
      <x:c r="M3472" t="n">
        <x:v>33</x:v>
      </x:c>
      <x:c r="N3472" s="24" t="n">
        <x:v>0.03</x:v>
      </x:c>
      <x:c r="O3472" s="22" t="n">
        <x:f>L3472*M3472</x:f>
        <x:v>31350</x:v>
      </x:c>
      <x:c r="P3472" s="22" t="n">
        <x:f>O3472*(1-N3472)</x:f>
        <x:v>30409.5</x:v>
      </x:c>
      <x:c r="Q3472" s="22" t="n">
        <x:v>810</x:v>
      </x:c>
      <x:c r="R3472" s="22" t="n">
        <x:f>Q3472*M3472</x:f>
        <x:v>26730</x:v>
      </x:c>
      <x:c r="S3472" s="22" t="n">
        <x:f>P3472-R3472</x:f>
        <x:v>3679.5</x:v>
      </x:c>
      <x:c r="T3472" t="str">
        <x:v>Bank Transfer</x:v>
      </x:c>
      <x:c r="U3472" t="str">
        <x:v>Paid</x:v>
      </x:c>
      <x:c r="V3472" t="str">
        <x:v>Cancelled</x:v>
      </x:c>
      <x:c r="W3472" t="n">
        <x:v>33</x:v>
      </x:c>
      <x:c r="X3472" t="str">
        <x:v>Cancelled Order</x:v>
      </x:c>
      <x:c r="Y3472" t="str">
        <x:v>Field Visit</x:v>
      </x:c>
    </x:row>
    <x:row r="3473">
      <x:c r="A3473" t="str">
        <x:v>O003472</x:v>
      </x:c>
      <x:c r="B3473" s="20" t="n">
        <x:v>45822</x:v>
      </x:c>
      <x:c r="C3473" t="str">
        <x:v>C0045</x:v>
      </x:c>
      <x:c r="D3473" t="str">
        <x:v>Annapurna Restaurant 45</x:v>
      </x:c>
      <x:c r="E3473" t="str">
        <x:v>Kirana</x:v>
      </x:c>
      <x:c r="F3473" t="str">
        <x:v>Mysuru</x:v>
      </x:c>
      <x:c r="G3473" t="str">
        <x:v>Arjun</x:v>
      </x:c>
      <x:c r="H3473" t="str">
        <x:v>P006</x:v>
      </x:c>
      <x:c r="I3473" t="str">
        <x:v>Moong Dal 5kg</x:v>
      </x:c>
      <x:c r="J3473" t="str">
        <x:v>Pulses</x:v>
      </x:c>
      <x:c r="K3473" t="str">
        <x:v>Local Select</x:v>
      </x:c>
      <x:c r="L3473" s="22" t="n">
        <x:v>610</x:v>
      </x:c>
      <x:c r="M3473" t="n">
        <x:v>9</x:v>
      </x:c>
      <x:c r="N3473" s="24" t="n">
        <x:v>0</x:v>
      </x:c>
      <x:c r="O3473" s="22" t="n">
        <x:f>L3473*M3473</x:f>
        <x:v>5490</x:v>
      </x:c>
      <x:c r="P3473" s="22" t="n">
        <x:f>O3473*(1-N3473)</x:f>
        <x:v>5490</x:v>
      </x:c>
      <x:c r="Q3473" s="22" t="n">
        <x:v>540</x:v>
      </x:c>
      <x:c r="R3473" s="22" t="n">
        <x:f>Q3473*M3473</x:f>
        <x:v>4860</x:v>
      </x:c>
      <x:c r="S3473" s="22" t="n">
        <x:f>P3473-R3473</x:f>
        <x:v>630</x:v>
      </x:c>
      <x:c r="T3473" t="str">
        <x:v>Bank Transfer</x:v>
      </x:c>
      <x:c r="U3473" t="str">
        <x:v>Paid</x:v>
      </x:c>
      <x:c r="V3473" t="str">
        <x:v>Delayed</x:v>
      </x:c>
      <x:c r="W3473" t="n">
        <x:v>0</x:v>
      </x:c>
      <x:c r="X3473" t="str"/>
      <x:c r="Y3473" t="str">
        <x:v>Existing Customer</x:v>
      </x:c>
    </x:row>
    <x:row r="3474">
      <x:c r="A3474" t="str">
        <x:v>O003473</x:v>
      </x:c>
      <x:c r="B3474" s="20" t="n">
        <x:v>45783</x:v>
      </x:c>
      <x:c r="C3474" t="str">
        <x:v>C0210</x:v>
      </x:c>
      <x:c r="D3474" t="str">
        <x:v>Spice Stores 210</x:v>
      </x:c>
      <x:c r="E3474" t="str">
        <x:v>Cafe</x:v>
      </x:c>
      <x:c r="F3474" t="str">
        <x:v>Davanagere</x:v>
      </x:c>
      <x:c r="G3474" t="str">
        <x:v>Imran</x:v>
      </x:c>
      <x:c r="H3474" t="str">
        <x:v>P011</x:v>
      </x:c>
      <x:c r="I3474" t="str">
        <x:v>Salt 1kg</x:v>
      </x:c>
      <x:c r="J3474" t="str">
        <x:v>Staples</x:v>
      </x:c>
      <x:c r="K3474" t="str">
        <x:v>Tata</x:v>
      </x:c>
      <x:c r="L3474" s="22" t="n">
        <x:v>28</x:v>
      </x:c>
      <x:c r="M3474" t="n">
        <x:v>21</x:v>
      </x:c>
      <x:c r="N3474" s="24" t="n">
        <x:v>0.03</x:v>
      </x:c>
      <x:c r="O3474" s="22" t="n">
        <x:f>L3474*M3474</x:f>
        <x:v>588</x:v>
      </x:c>
      <x:c r="P3474" s="22" t="n">
        <x:f>O3474*(1-N3474)</x:f>
        <x:v>570.36</x:v>
      </x:c>
      <x:c r="Q3474" s="22" t="n">
        <x:v>23</x:v>
      </x:c>
      <x:c r="R3474" s="22" t="n">
        <x:f>Q3474*M3474</x:f>
        <x:v>483</x:v>
      </x:c>
      <x:c r="S3474" s="22" t="n">
        <x:f>P3474-R3474</x:f>
        <x:v>87.36000000000001</x:v>
      </x:c>
      <x:c r="T3474" t="str">
        <x:v>UPI</x:v>
      </x:c>
      <x:c r="U3474" t="str">
        <x:v>Paid</x:v>
      </x:c>
      <x:c r="V3474" t="str">
        <x:v>Cancelled</x:v>
      </x:c>
      <x:c r="W3474" t="n">
        <x:v>21</x:v>
      </x:c>
      <x:c r="X3474" t="str">
        <x:v>Cancelled Order</x:v>
      </x:c>
      <x:c r="Y3474" t="str">
        <x:v>Outbound Call</x:v>
      </x:c>
    </x:row>
    <x:row r="3475">
      <x:c r="A3475" t="str">
        <x:v>O003474</x:v>
      </x:c>
      <x:c r="B3475" s="20" t="n">
        <x:v>45664</x:v>
      </x:c>
      <x:c r="C3475" t="str">
        <x:v>C0249</x:v>
      </x:c>
      <x:c r="D3475" t="str">
        <x:v>City Hotel 249</x:v>
      </x:c>
      <x:c r="E3475" t="str">
        <x:v>Supermarket</x:v>
      </x:c>
      <x:c r="F3475" t="str">
        <x:v>Mysuru</x:v>
      </x:c>
      <x:c r="G3475" t="str">
        <x:v>Arjun</x:v>
      </x:c>
      <x:c r="H3475" t="str">
        <x:v>P009</x:v>
      </x:c>
      <x:c r="I3475" t="str">
        <x:v>Groundnut Oil 5L</x:v>
      </x:c>
      <x:c r="J3475" t="str">
        <x:v>Edible Oil</x:v>
      </x:c>
      <x:c r="K3475" t="str">
        <x:v>Dhara</x:v>
      </x:c>
      <x:c r="L3475" s="22" t="n">
        <x:v>890</x:v>
      </x:c>
      <x:c r="M3475" t="n">
        <x:v>19</x:v>
      </x:c>
      <x:c r="N3475" s="24" t="n">
        <x:v>0.05</x:v>
      </x:c>
      <x:c r="O3475" s="22" t="n">
        <x:f>L3475*M3475</x:f>
        <x:v>16910</x:v>
      </x:c>
      <x:c r="P3475" s="22" t="n">
        <x:f>O3475*(1-N3475)</x:f>
        <x:v>16064.5</x:v>
      </x:c>
      <x:c r="Q3475" s="22" t="n">
        <x:v>810</x:v>
      </x:c>
      <x:c r="R3475" s="22" t="n">
        <x:f>Q3475*M3475</x:f>
        <x:v>15390</x:v>
      </x:c>
      <x:c r="S3475" s="22" t="n">
        <x:f>P3475-R3475</x:f>
        <x:v>674.5</x:v>
      </x:c>
      <x:c r="T3475" t="str">
        <x:v>Cash</x:v>
      </x:c>
      <x:c r="U3475" t="str">
        <x:v>Overdue</x:v>
      </x:c>
      <x:c r="V3475" t="str">
        <x:v>Delivered</x:v>
      </x:c>
      <x:c r="W3475" t="n">
        <x:v>0</x:v>
      </x:c>
      <x:c r="X3475" t="str"/>
      <x:c r="Y3475" t="str">
        <x:v>WhatsApp</x:v>
      </x:c>
    </x:row>
    <x:row r="3476">
      <x:c r="A3476" t="str">
        <x:v>O003475</x:v>
      </x:c>
      <x:c r="B3476" s="20" t="n">
        <x:v>45930</x:v>
      </x:c>
      <x:c r="C3476" t="str">
        <x:v>C0213</x:v>
      </x:c>
      <x:c r="D3476" t="str">
        <x:v>Shree Cafe 213</x:v>
      </x:c>
      <x:c r="E3476" t="str">
        <x:v>Cafe</x:v>
      </x:c>
      <x:c r="F3476" t="str">
        <x:v>Tumakuru</x:v>
      </x:c>
      <x:c r="G3476" t="str">
        <x:v>Imran</x:v>
      </x:c>
      <x:c r="H3476" t="str">
        <x:v>P043</x:v>
      </x:c>
      <x:c r="I3476" t="str">
        <x:v>Chicken Breast 1kg</x:v>
      </x:c>
      <x:c r="J3476" t="str">
        <x:v>Protein</x:v>
      </x:c>
      <x:c r="K3476" t="str">
        <x:v>FreshToHome</x:v>
      </x:c>
      <x:c r="L3476" s="22" t="n">
        <x:v>260</x:v>
      </x:c>
      <x:c r="M3476" t="n">
        <x:v>8</x:v>
      </x:c>
      <x:c r="N3476" s="24" t="n">
        <x:v>0.05</x:v>
      </x:c>
      <x:c r="O3476" s="22" t="n">
        <x:f>L3476*M3476</x:f>
        <x:v>2080</x:v>
      </x:c>
      <x:c r="P3476" s="22" t="n">
        <x:f>O3476*(1-N3476)</x:f>
        <x:v>1976</x:v>
      </x:c>
      <x:c r="Q3476" s="22" t="n">
        <x:v>235</x:v>
      </x:c>
      <x:c r="R3476" s="22" t="n">
        <x:f>Q3476*M3476</x:f>
        <x:v>1880</x:v>
      </x:c>
      <x:c r="S3476" s="22" t="n">
        <x:f>P3476-R3476</x:f>
        <x:v>96</x:v>
      </x:c>
      <x:c r="T3476" t="str">
        <x:v>Credit</x:v>
      </x:c>
      <x:c r="U3476" t="str">
        <x:v>Paid</x:v>
      </x:c>
      <x:c r="V3476" t="str">
        <x:v>Delivered</x:v>
      </x:c>
      <x:c r="W3476" t="n">
        <x:v>0</x:v>
      </x:c>
      <x:c r="X3476" t="str"/>
      <x:c r="Y3476" t="str">
        <x:v>Field Visit</x:v>
      </x:c>
    </x:row>
    <x:row r="3477">
      <x:c r="A3477" t="str">
        <x:v>O003476</x:v>
      </x:c>
      <x:c r="B3477" s="20" t="n">
        <x:v>45894</x:v>
      </x:c>
      <x:c r="C3477" t="str">
        <x:v>C0141</x:v>
      </x:c>
      <x:c r="D3477" t="str">
        <x:v>Sri Restaurant 141</x:v>
      </x:c>
      <x:c r="E3477" t="str">
        <x:v>Restaurant</x:v>
      </x:c>
      <x:c r="F3477" t="str">
        <x:v>Mangaluru</x:v>
      </x:c>
      <x:c r="G3477" t="str">
        <x:v>Ramesh</x:v>
      </x:c>
      <x:c r="H3477" t="str">
        <x:v>P038</x:v>
      </x:c>
      <x:c r="I3477" t="str">
        <x:v>French Fries 2.5kg</x:v>
      </x:c>
      <x:c r="J3477" t="str">
        <x:v>Frozen</x:v>
      </x:c>
      <x:c r="K3477" t="str">
        <x:v>McCain</x:v>
      </x:c>
      <x:c r="L3477" s="22" t="n">
        <x:v>360</x:v>
      </x:c>
      <x:c r="M3477" t="n">
        <x:v>37</x:v>
      </x:c>
      <x:c r="N3477" s="24" t="n">
        <x:v>0</x:v>
      </x:c>
      <x:c r="O3477" s="22" t="n">
        <x:f>L3477*M3477</x:f>
        <x:v>13320</x:v>
      </x:c>
      <x:c r="P3477" s="22" t="n">
        <x:f>O3477*(1-N3477)</x:f>
        <x:v>13320</x:v>
      </x:c>
      <x:c r="Q3477" s="22" t="n">
        <x:v>315</x:v>
      </x:c>
      <x:c r="R3477" s="22" t="n">
        <x:f>Q3477*M3477</x:f>
        <x:v>11655</x:v>
      </x:c>
      <x:c r="S3477" s="22" t="n">
        <x:f>P3477-R3477</x:f>
        <x:v>1665</x:v>
      </x:c>
      <x:c r="T3477" t="str">
        <x:v>UPI</x:v>
      </x:c>
      <x:c r="U3477" t="str">
        <x:v>Paid</x:v>
      </x:c>
      <x:c r="V3477" t="str">
        <x:v>Cancelled</x:v>
      </x:c>
      <x:c r="W3477" t="n">
        <x:v>37</x:v>
      </x:c>
      <x:c r="X3477" t="str">
        <x:v>Cancelled Order</x:v>
      </x:c>
      <x:c r="Y3477" t="str">
        <x:v>Field Visit</x:v>
      </x:c>
    </x:row>
    <x:row r="3478">
      <x:c r="A3478" t="str">
        <x:v>O003477</x:v>
      </x:c>
      <x:c r="B3478" s="20" t="n">
        <x:v>46161</x:v>
      </x:c>
      <x:c r="C3478" t="str">
        <x:v>C0168</x:v>
      </x:c>
      <x:c r="D3478" t="str">
        <x:v>Sagar Hotel 168</x:v>
      </x:c>
      <x:c r="E3478" t="str">
        <x:v>Canteen</x:v>
      </x:c>
      <x:c r="F3478" t="str">
        <x:v>Bengaluru</x:v>
      </x:c>
      <x:c r="G3478" t="str">
        <x:v>Priya</x:v>
      </x:c>
      <x:c r="H3478" t="str">
        <x:v>P026</x:v>
      </x:c>
      <x:c r="I3478" t="str">
        <x:v>Banana Chips 80g</x:v>
      </x:c>
      <x:c r="J3478" t="str">
        <x:v>Snacks</x:v>
      </x:c>
      <x:c r="K3478" t="str">
        <x:v>SSS</x:v>
      </x:c>
      <x:c r="L3478" s="22" t="n">
        <x:v>54</x:v>
      </x:c>
      <x:c r="M3478" t="n">
        <x:v>29</x:v>
      </x:c>
      <x:c r="N3478" s="24" t="n">
        <x:v>0.05</x:v>
      </x:c>
      <x:c r="O3478" s="22" t="n">
        <x:f>L3478*M3478</x:f>
        <x:v>1566</x:v>
      </x:c>
      <x:c r="P3478" s="22" t="n">
        <x:f>O3478*(1-N3478)</x:f>
        <x:v>1487.6999999999998</x:v>
      </x:c>
      <x:c r="Q3478" s="22" t="n">
        <x:v>39</x:v>
      </x:c>
      <x:c r="R3478" s="22" t="n">
        <x:f>Q3478*M3478</x:f>
        <x:v>1131</x:v>
      </x:c>
      <x:c r="S3478" s="22" t="n">
        <x:f>P3478-R3478</x:f>
        <x:v>356.6999999999998</x:v>
      </x:c>
      <x:c r="T3478" t="str">
        <x:v>Credit</x:v>
      </x:c>
      <x:c r="U3478" t="str">
        <x:v>Overdue</x:v>
      </x:c>
      <x:c r="V3478" t="str">
        <x:v>Delivered</x:v>
      </x:c>
      <x:c r="W3478" t="n">
        <x:v>0</x:v>
      </x:c>
      <x:c r="X3478" t="str"/>
      <x:c r="Y3478" t="str">
        <x:v>WhatsApp</x:v>
      </x:c>
    </x:row>
    <x:row r="3479">
      <x:c r="A3479" t="str">
        <x:v>O003478</x:v>
      </x:c>
      <x:c r="B3479" s="20" t="n">
        <x:v>46061</x:v>
      </x:c>
      <x:c r="C3479" t="str">
        <x:v>C0065</x:v>
      </x:c>
      <x:c r="D3479" t="str">
        <x:v>Mysore Stores 65</x:v>
      </x:c>
      <x:c r="E3479" t="str">
        <x:v>Kirana</x:v>
      </x:c>
      <x:c r="F3479" t="str">
        <x:v>Tumakuru</x:v>
      </x:c>
      <x:c r="G3479" t="str">
        <x:v>Sneha</x:v>
      </x:c>
      <x:c r="H3479" t="str">
        <x:v>P031</x:v>
      </x:c>
      <x:c r="I3479" t="str">
        <x:v>Chilli Sauce 700g</x:v>
      </x:c>
      <x:c r="J3479" t="str">
        <x:v>Condiments</x:v>
      </x:c>
      <x:c r="K3479" t="str">
        <x:v>Ching's</x:v>
      </x:c>
      <x:c r="L3479" s="22" t="n">
        <x:v>130</x:v>
      </x:c>
      <x:c r="M3479" t="n">
        <x:v>3</x:v>
      </x:c>
      <x:c r="N3479" s="24" t="n">
        <x:v>0.03</x:v>
      </x:c>
      <x:c r="O3479" s="22" t="n">
        <x:f>L3479*M3479</x:f>
        <x:v>390</x:v>
      </x:c>
      <x:c r="P3479" s="22" t="n">
        <x:f>O3479*(1-N3479)</x:f>
        <x:v>378.3</x:v>
      </x:c>
      <x:c r="Q3479" s="22" t="n">
        <x:v>112</x:v>
      </x:c>
      <x:c r="R3479" s="22" t="n">
        <x:f>Q3479*M3479</x:f>
        <x:v>336</x:v>
      </x:c>
      <x:c r="S3479" s="22" t="n">
        <x:f>P3479-R3479</x:f>
        <x:v>42.30000000000001</x:v>
      </x:c>
      <x:c r="T3479" t="str">
        <x:v>Bank Transfer</x:v>
      </x:c>
      <x:c r="U3479" t="str">
        <x:v>Paid</x:v>
      </x:c>
      <x:c r="V3479" t="str">
        <x:v>Cancelled</x:v>
      </x:c>
      <x:c r="W3479" t="n">
        <x:v>3</x:v>
      </x:c>
      <x:c r="X3479" t="str">
        <x:v>Cancelled Order</x:v>
      </x:c>
      <x:c r="Y3479" t="str">
        <x:v>Field Visit</x:v>
      </x:c>
    </x:row>
    <x:row r="3480">
      <x:c r="A3480" t="str">
        <x:v>O003479</x:v>
      </x:c>
      <x:c r="B3480" s="20" t="n">
        <x:v>46104</x:v>
      </x:c>
      <x:c r="C3480" t="str">
        <x:v>C0036</x:v>
      </x:c>
      <x:c r="D3480" t="str">
        <x:v>Grand Hotel 36</x:v>
      </x:c>
      <x:c r="E3480" t="str">
        <x:v>Canteen</x:v>
      </x:c>
      <x:c r="F3480" t="str">
        <x:v>Tumakuru</x:v>
      </x:c>
      <x:c r="G3480" t="str">
        <x:v>Kavya</x:v>
      </x:c>
      <x:c r="H3480" t="str">
        <x:v>P038</x:v>
      </x:c>
      <x:c r="I3480" t="str">
        <x:v>French Fries 2.5kg</x:v>
      </x:c>
      <x:c r="J3480" t="str">
        <x:v>Frozen</x:v>
      </x:c>
      <x:c r="K3480" t="str">
        <x:v>McCain</x:v>
      </x:c>
      <x:c r="L3480" s="22" t="n">
        <x:v>360</x:v>
      </x:c>
      <x:c r="M3480" t="n">
        <x:v>20</x:v>
      </x:c>
      <x:c r="N3480" s="24" t="n">
        <x:v>0.02</x:v>
      </x:c>
      <x:c r="O3480" s="22" t="n">
        <x:f>L3480*M3480</x:f>
        <x:v>7200</x:v>
      </x:c>
      <x:c r="P3480" s="22" t="n">
        <x:f>O3480*(1-N3480)</x:f>
        <x:v>7056</x:v>
      </x:c>
      <x:c r="Q3480" s="22" t="n">
        <x:v>315</x:v>
      </x:c>
      <x:c r="R3480" s="22" t="n">
        <x:f>Q3480*M3480</x:f>
        <x:v>6300</x:v>
      </x:c>
      <x:c r="S3480" s="22" t="n">
        <x:f>P3480-R3480</x:f>
        <x:v>756</x:v>
      </x:c>
      <x:c r="T3480" t="str">
        <x:v>Cash</x:v>
      </x:c>
      <x:c r="U3480" t="str">
        <x:v>Overdue</x:v>
      </x:c>
      <x:c r="V3480" t="str">
        <x:v>Delivered</x:v>
      </x:c>
      <x:c r="W3480" t="n">
        <x:v>0</x:v>
      </x:c>
      <x:c r="X3480" t="str"/>
      <x:c r="Y3480" t="str">
        <x:v>Outbound Call</x:v>
      </x:c>
    </x:row>
    <x:row r="3481">
      <x:c r="A3481" t="str">
        <x:v>O003480</x:v>
      </x:c>
      <x:c r="B3481" s="20" t="n">
        <x:v>46189</x:v>
      </x:c>
      <x:c r="C3481" t="str">
        <x:v>C0160</x:v>
      </x:c>
      <x:c r="D3481" t="str">
        <x:v>Hotel Foods 160</x:v>
      </x:c>
      <x:c r="E3481" t="str">
        <x:v>Hotel</x:v>
      </x:c>
      <x:c r="F3481" t="str">
        <x:v>Mangaluru</x:v>
      </x:c>
      <x:c r="G3481" t="str">
        <x:v>Sneha</x:v>
      </x:c>
      <x:c r="H3481" t="str">
        <x:v>P035</x:v>
      </x:c>
      <x:c r="I3481" t="str">
        <x:v>Coriander Powder 1kg</x:v>
      </x:c>
      <x:c r="J3481" t="str">
        <x:v>Spices</x:v>
      </x:c>
      <x:c r="K3481" t="str">
        <x:v>Everest</x:v>
      </x:c>
      <x:c r="L3481" s="22" t="n">
        <x:v>280</x:v>
      </x:c>
      <x:c r="M3481" t="n">
        <x:v>32</x:v>
      </x:c>
      <x:c r="N3481" s="24" t="n">
        <x:v>0.03</x:v>
      </x:c>
      <x:c r="O3481" s="22" t="n">
        <x:f>L3481*M3481</x:f>
        <x:v>8960</x:v>
      </x:c>
      <x:c r="P3481" s="22" t="n">
        <x:f>O3481*(1-N3481)</x:f>
        <x:v>8691.199999999999</x:v>
      </x:c>
      <x:c r="Q3481" s="22" t="n">
        <x:v>245</x:v>
      </x:c>
      <x:c r="R3481" s="22" t="n">
        <x:f>Q3481*M3481</x:f>
        <x:v>7840</x:v>
      </x:c>
      <x:c r="S3481" s="22" t="n">
        <x:f>P3481-R3481</x:f>
        <x:v>851.1999999999989</x:v>
      </x:c>
      <x:c r="T3481" t="str">
        <x:v>Credit</x:v>
      </x:c>
      <x:c r="U3481" t="str">
        <x:v>Overdue</x:v>
      </x:c>
      <x:c r="V3481" t="str">
        <x:v>Delivered</x:v>
      </x:c>
      <x:c r="W3481" t="n">
        <x:v>0</x:v>
      </x:c>
      <x:c r="X3481" t="str"/>
      <x:c r="Y3481" t="str">
        <x:v>Field Visit</x:v>
      </x:c>
    </x:row>
    <x:row r="3482">
      <x:c r="A3482" t="str">
        <x:v>O003481</x:v>
      </x:c>
      <x:c r="B3482" s="20" t="n">
        <x:v>45736</x:v>
      </x:c>
      <x:c r="C3482" t="str">
        <x:v>C0002</x:v>
      </x:c>
      <x:c r="D3482" t="str">
        <x:v>City Kitchen 2</x:v>
      </x:c>
      <x:c r="E3482" t="str">
        <x:v>Kirana</x:v>
      </x:c>
      <x:c r="F3482" t="str">
        <x:v>Davanagere</x:v>
      </x:c>
      <x:c r="G3482" t="str">
        <x:v>Arjun</x:v>
      </x:c>
      <x:c r="H3482" t="str">
        <x:v>P028</x:v>
      </x:c>
      <x:c r="I3482" t="str">
        <x:v>Cookies 200g</x:v>
      </x:c>
      <x:c r="J3482" t="str">
        <x:v>Snacks</x:v>
      </x:c>
      <x:c r="K3482" t="str">
        <x:v>Britannia</x:v>
      </x:c>
      <x:c r="L3482" s="22" t="n">
        <x:v>55</x:v>
      </x:c>
      <x:c r="M3482" t="n">
        <x:v>36</x:v>
      </x:c>
      <x:c r="N3482" s="24" t="n">
        <x:v>0.02</x:v>
      </x:c>
      <x:c r="O3482" s="22" t="n">
        <x:f>L3482*M3482</x:f>
        <x:v>1980</x:v>
      </x:c>
      <x:c r="P3482" s="22" t="n">
        <x:f>O3482*(1-N3482)</x:f>
        <x:v>1940.3999999999999</x:v>
      </x:c>
      <x:c r="Q3482" s="22" t="n">
        <x:v>42</x:v>
      </x:c>
      <x:c r="R3482" s="22" t="n">
        <x:f>Q3482*M3482</x:f>
        <x:v>1512</x:v>
      </x:c>
      <x:c r="S3482" s="22" t="n">
        <x:f>P3482-R3482</x:f>
        <x:v>428.39999999999986</x:v>
      </x:c>
      <x:c r="T3482" t="str">
        <x:v>UPI</x:v>
      </x:c>
      <x:c r="U3482" t="str">
        <x:v>Paid</x:v>
      </x:c>
      <x:c r="V3482" t="str">
        <x:v>Delayed</x:v>
      </x:c>
      <x:c r="W3482" t="n">
        <x:v>0</x:v>
      </x:c>
      <x:c r="X3482" t="str"/>
      <x:c r="Y3482" t="str">
        <x:v>Referral</x:v>
      </x:c>
    </x:row>
    <x:row r="3483">
      <x:c r="A3483" t="str">
        <x:v>O003482</x:v>
      </x:c>
      <x:c r="B3483" s="20" t="n">
        <x:v>45895</x:v>
      </x:c>
      <x:c r="C3483" t="str">
        <x:v>C0138</x:v>
      </x:c>
      <x:c r="D3483" t="str">
        <x:v>New Mart 138</x:v>
      </x:c>
      <x:c r="E3483" t="str">
        <x:v>Restaurant</x:v>
      </x:c>
      <x:c r="F3483" t="str">
        <x:v>Bengaluru</x:v>
      </x:c>
      <x:c r="G3483" t="str">
        <x:v>Ramesh</x:v>
      </x:c>
      <x:c r="H3483" t="str">
        <x:v>P030</x:v>
      </x:c>
      <x:c r="I3483" t="str">
        <x:v>Mayonnaise 1kg</x:v>
      </x:c>
      <x:c r="J3483" t="str">
        <x:v>Condiments</x:v>
      </x:c>
      <x:c r="K3483" t="str">
        <x:v>Veeba</x:v>
      </x:c>
      <x:c r="L3483" s="22" t="n">
        <x:v>210</x:v>
      </x:c>
      <x:c r="M3483" t="n">
        <x:v>34</x:v>
      </x:c>
      <x:c r="N3483" s="24" t="n">
        <x:v>0.03</x:v>
      </x:c>
      <x:c r="O3483" s="22" t="n">
        <x:f>L3483*M3483</x:f>
        <x:v>7140</x:v>
      </x:c>
      <x:c r="P3483" s="22" t="n">
        <x:f>O3483*(1-N3483)</x:f>
        <x:v>6925.8</x:v>
      </x:c>
      <x:c r="Q3483" s="22" t="n">
        <x:v>185</x:v>
      </x:c>
      <x:c r="R3483" s="22" t="n">
        <x:f>Q3483*M3483</x:f>
        <x:v>6290</x:v>
      </x:c>
      <x:c r="S3483" s="22" t="n">
        <x:f>P3483-R3483</x:f>
        <x:v>635.8000000000002</x:v>
      </x:c>
      <x:c r="T3483" t="str">
        <x:v>Cash</x:v>
      </x:c>
      <x:c r="U3483" t="str">
        <x:v>Paid</x:v>
      </x:c>
      <x:c r="V3483" t="str">
        <x:v>Delivered</x:v>
      </x:c>
      <x:c r="W3483" t="n">
        <x:v>0</x:v>
      </x:c>
      <x:c r="X3483" t="str"/>
      <x:c r="Y3483" t="str">
        <x:v>Referral</x:v>
      </x:c>
    </x:row>
    <x:row r="3484">
      <x:c r="A3484" t="str">
        <x:v>O003483</x:v>
      </x:c>
      <x:c r="B3484" s="20" t="n">
        <x:v>45865</x:v>
      </x:c>
      <x:c r="C3484" t="str">
        <x:v>C0221</x:v>
      </x:c>
      <x:c r="D3484" t="str">
        <x:v>Cafe Canteen 221</x:v>
      </x:c>
      <x:c r="E3484" t="str">
        <x:v>Hotel</x:v>
      </x:c>
      <x:c r="F3484" t="str">
        <x:v>Hubballi</x:v>
      </x:c>
      <x:c r="G3484" t="str">
        <x:v>Kavya</x:v>
      </x:c>
      <x:c r="H3484" t="str">
        <x:v>P028</x:v>
      </x:c>
      <x:c r="I3484" t="str">
        <x:v>Cookies 200g</x:v>
      </x:c>
      <x:c r="J3484" t="str">
        <x:v>Snacks</x:v>
      </x:c>
      <x:c r="K3484" t="str">
        <x:v>Britannia</x:v>
      </x:c>
      <x:c r="L3484" s="22" t="n">
        <x:v>55</x:v>
      </x:c>
      <x:c r="M3484" t="n">
        <x:v>38</x:v>
      </x:c>
      <x:c r="N3484" s="24" t="n">
        <x:v>0</x:v>
      </x:c>
      <x:c r="O3484" s="22" t="n">
        <x:f>L3484*M3484</x:f>
        <x:v>2090</x:v>
      </x:c>
      <x:c r="P3484" s="22" t="n">
        <x:f>O3484*(1-N3484)</x:f>
        <x:v>2090</x:v>
      </x:c>
      <x:c r="Q3484" s="22" t="n">
        <x:v>42</x:v>
      </x:c>
      <x:c r="R3484" s="22" t="n">
        <x:f>Q3484*M3484</x:f>
        <x:v>1596</x:v>
      </x:c>
      <x:c r="S3484" s="22" t="n">
        <x:f>P3484-R3484</x:f>
        <x:v>494</x:v>
      </x:c>
      <x:c r="T3484" t="str">
        <x:v>Bank Transfer</x:v>
      </x:c>
      <x:c r="U3484" t="str">
        <x:v>Pending</x:v>
      </x:c>
      <x:c r="V3484" t="str">
        <x:v>Delivered</x:v>
      </x:c>
      <x:c r="W3484" t="n">
        <x:v>0</x:v>
      </x:c>
      <x:c r="X3484" t="str"/>
      <x:c r="Y3484" t="str">
        <x:v>Outbound Call</x:v>
      </x:c>
    </x:row>
    <x:row r="3485">
      <x:c r="A3485" t="str">
        <x:v>O003484</x:v>
      </x:c>
      <x:c r="B3485" s="20" t="n">
        <x:v>45852</x:v>
      </x:c>
      <x:c r="C3485" t="str">
        <x:v>C0140</x:v>
      </x:c>
      <x:c r="D3485" t="str">
        <x:v>Fresh Hotel 140</x:v>
      </x:c>
      <x:c r="E3485" t="str">
        <x:v>Kirana</x:v>
      </x:c>
      <x:c r="F3485" t="str">
        <x:v>Tumakuru</x:v>
      </x:c>
      <x:c r="G3485" t="str">
        <x:v>Imran</x:v>
      </x:c>
      <x:c r="H3485" t="str">
        <x:v>P045</x:v>
      </x:c>
      <x:c r="I3485" t="str">
        <x:v>Onion 25kg</x:v>
      </x:c>
      <x:c r="J3485" t="str">
        <x:v>Fresh Produce</x:v>
      </x:c>
      <x:c r="K3485" t="str">
        <x:v>Local Market</x:v>
      </x:c>
      <x:c r="L3485" s="22" t="n">
        <x:v>875</x:v>
      </x:c>
      <x:c r="M3485" t="n">
        <x:v>37</x:v>
      </x:c>
      <x:c r="N3485" s="24" t="n">
        <x:v>0.05</x:v>
      </x:c>
      <x:c r="O3485" s="22" t="n">
        <x:f>L3485*M3485</x:f>
        <x:v>32375</x:v>
      </x:c>
      <x:c r="P3485" s="22" t="n">
        <x:f>O3485*(1-N3485)</x:f>
        <x:v>30756.25</x:v>
      </x:c>
      <x:c r="Q3485" s="22" t="n">
        <x:v>760</x:v>
      </x:c>
      <x:c r="R3485" s="22" t="n">
        <x:f>Q3485*M3485</x:f>
        <x:v>28120</x:v>
      </x:c>
      <x:c r="S3485" s="22" t="n">
        <x:f>P3485-R3485</x:f>
        <x:v>2636.25</x:v>
      </x:c>
      <x:c r="T3485" t="str">
        <x:v>Bank Transfer</x:v>
      </x:c>
      <x:c r="U3485" t="str">
        <x:v>Paid</x:v>
      </x:c>
      <x:c r="V3485" t="str">
        <x:v>Delivered</x:v>
      </x:c>
      <x:c r="W3485" t="n">
        <x:v>0</x:v>
      </x:c>
      <x:c r="X3485" t="str"/>
      <x:c r="Y3485" t="str">
        <x:v>Outbound Call</x:v>
      </x:c>
    </x:row>
    <x:row r="3486">
      <x:c r="A3486" t="str">
        <x:v>O003485</x:v>
      </x:c>
      <x:c r="B3486" s="20" t="n">
        <x:v>45927</x:v>
      </x:c>
      <x:c r="C3486" t="str">
        <x:v>C0206</x:v>
      </x:c>
      <x:c r="D3486" t="str">
        <x:v>Grand Kitchen 206</x:v>
      </x:c>
      <x:c r="E3486" t="str">
        <x:v>Kirana</x:v>
      </x:c>
      <x:c r="F3486" t="str">
        <x:v>Mysuru</x:v>
      </x:c>
      <x:c r="G3486" t="str">
        <x:v>Arjun</x:v>
      </x:c>
      <x:c r="H3486" t="str">
        <x:v>P033</x:v>
      </x:c>
      <x:c r="I3486" t="str">
        <x:v>Turmeric Powder 1kg</x:v>
      </x:c>
      <x:c r="J3486" t="str">
        <x:v>Spices</x:v>
      </x:c>
      <x:c r="K3486" t="str">
        <x:v>Everest</x:v>
      </x:c>
      <x:c r="L3486" s="22" t="n">
        <x:v>310</x:v>
      </x:c>
      <x:c r="M3486" t="n">
        <x:v>2</x:v>
      </x:c>
      <x:c r="N3486" s="24" t="n">
        <x:v>0.03</x:v>
      </x:c>
      <x:c r="O3486" s="22" t="n">
        <x:f>L3486*M3486</x:f>
        <x:v>620</x:v>
      </x:c>
      <x:c r="P3486" s="22" t="n">
        <x:f>O3486*(1-N3486)</x:f>
        <x:v>601.4</x:v>
      </x:c>
      <x:c r="Q3486" s="22" t="n">
        <x:v>270</x:v>
      </x:c>
      <x:c r="R3486" s="22" t="n">
        <x:f>Q3486*M3486</x:f>
        <x:v>540</x:v>
      </x:c>
      <x:c r="S3486" s="22" t="n">
        <x:f>P3486-R3486</x:f>
        <x:v>61.39999999999998</x:v>
      </x:c>
      <x:c r="T3486" t="str">
        <x:v>Cash</x:v>
      </x:c>
      <x:c r="U3486" t="str">
        <x:v>Paid</x:v>
      </x:c>
      <x:c r="V3486" t="str">
        <x:v>Delivered</x:v>
      </x:c>
      <x:c r="W3486" t="n">
        <x:v>0</x:v>
      </x:c>
      <x:c r="X3486" t="str"/>
      <x:c r="Y3486" t="str">
        <x:v>WhatsApp</x:v>
      </x:c>
    </x:row>
    <x:row r="3487">
      <x:c r="A3487" t="str">
        <x:v>O003486</x:v>
      </x:c>
      <x:c r="B3487" s="20" t="n">
        <x:v>45954</x:v>
      </x:c>
      <x:c r="C3487" t="str">
        <x:v>C0035</x:v>
      </x:c>
      <x:c r="D3487" t="str">
        <x:v>City Foods 35</x:v>
      </x:c>
      <x:c r="E3487" t="str">
        <x:v>Kirana</x:v>
      </x:c>
      <x:c r="F3487" t="str">
        <x:v>Bengaluru</x:v>
      </x:c>
      <x:c r="G3487" t="str">
        <x:v>Megha</x:v>
      </x:c>
      <x:c r="H3487" t="str">
        <x:v>P045</x:v>
      </x:c>
      <x:c r="I3487" t="str">
        <x:v>Onion 25kg</x:v>
      </x:c>
      <x:c r="J3487" t="str">
        <x:v>Fresh Produce</x:v>
      </x:c>
      <x:c r="K3487" t="str">
        <x:v>Local Market</x:v>
      </x:c>
      <x:c r="L3487" s="22" t="n">
        <x:v>875</x:v>
      </x:c>
      <x:c r="M3487" t="n">
        <x:v>23</x:v>
      </x:c>
      <x:c r="N3487" s="24" t="n">
        <x:v>0</x:v>
      </x:c>
      <x:c r="O3487" s="22" t="n">
        <x:f>L3487*M3487</x:f>
        <x:v>20125</x:v>
      </x:c>
      <x:c r="P3487" s="22" t="n">
        <x:f>O3487*(1-N3487)</x:f>
        <x:v>20125</x:v>
      </x:c>
      <x:c r="Q3487" s="22" t="n">
        <x:v>760</x:v>
      </x:c>
      <x:c r="R3487" s="22" t="n">
        <x:f>Q3487*M3487</x:f>
        <x:v>17480</x:v>
      </x:c>
      <x:c r="S3487" s="22" t="n">
        <x:f>P3487-R3487</x:f>
        <x:v>2645</x:v>
      </x:c>
      <x:c r="T3487" t="str">
        <x:v>Credit</x:v>
      </x:c>
      <x:c r="U3487" t="str">
        <x:v>Paid</x:v>
      </x:c>
      <x:c r="V3487" t="str">
        <x:v>Delivered</x:v>
      </x:c>
      <x:c r="W3487" t="n">
        <x:v>0</x:v>
      </x:c>
      <x:c r="X3487" t="str"/>
      <x:c r="Y3487" t="str">
        <x:v>WhatsApp</x:v>
      </x:c>
    </x:row>
    <x:row r="3488">
      <x:c r="A3488" t="str">
        <x:v>O003487</x:v>
      </x:c>
      <x:c r="B3488" s="20" t="n">
        <x:v>46012</x:v>
      </x:c>
      <x:c r="C3488" t="str">
        <x:v>C0240</x:v>
      </x:c>
      <x:c r="D3488" t="str">
        <x:v>Green Foods 240</x:v>
      </x:c>
      <x:c r="E3488" t="str">
        <x:v>Restaurant</x:v>
      </x:c>
      <x:c r="F3488" t="str">
        <x:v>Davanagere</x:v>
      </x:c>
      <x:c r="G3488" t="str">
        <x:v>Vikram</x:v>
      </x:c>
      <x:c r="H3488" t="str">
        <x:v>P017</x:v>
      </x:c>
      <x:c r="I3488" t="str">
        <x:v>Butter 500g</x:v>
      </x:c>
      <x:c r="J3488" t="str">
        <x:v>Dairy</x:v>
      </x:c>
      <x:c r="K3488" t="str">
        <x:v>Amul</x:v>
      </x:c>
      <x:c r="L3488" s="22" t="n">
        <x:v>285</x:v>
      </x:c>
      <x:c r="M3488" t="n">
        <x:v>30</x:v>
      </x:c>
      <x:c r="N3488" s="24" t="n">
        <x:v>0.05</x:v>
      </x:c>
      <x:c r="O3488" s="22" t="n">
        <x:f>L3488*M3488</x:f>
        <x:v>8550</x:v>
      </x:c>
      <x:c r="P3488" s="22" t="n">
        <x:f>O3488*(1-N3488)</x:f>
        <x:v>8122.5</x:v>
      </x:c>
      <x:c r="Q3488" s="22" t="n">
        <x:v>258</x:v>
      </x:c>
      <x:c r="R3488" s="22" t="n">
        <x:f>Q3488*M3488</x:f>
        <x:v>7740</x:v>
      </x:c>
      <x:c r="S3488" s="22" t="n">
        <x:f>P3488-R3488</x:f>
        <x:v>382.5</x:v>
      </x:c>
      <x:c r="T3488" t="str">
        <x:v>Bank Transfer</x:v>
      </x:c>
      <x:c r="U3488" t="str">
        <x:v>Paid</x:v>
      </x:c>
      <x:c r="V3488" t="str">
        <x:v>Delivered</x:v>
      </x:c>
      <x:c r="W3488" t="n">
        <x:v>0</x:v>
      </x:c>
      <x:c r="X3488" t="str"/>
      <x:c r="Y3488" t="str">
        <x:v>Existing Customer</x:v>
      </x:c>
    </x:row>
    <x:row r="3489">
      <x:c r="A3489" t="str">
        <x:v>O003488</x:v>
      </x:c>
      <x:c r="B3489" s="20" t="n">
        <x:v>45749</x:v>
      </x:c>
      <x:c r="C3489" t="str">
        <x:v>C0129</x:v>
      </x:c>
      <x:c r="D3489" t="str">
        <x:v>City Canteen 129</x:v>
      </x:c>
      <x:c r="E3489" t="str">
        <x:v>Kirana</x:v>
      </x:c>
      <x:c r="F3489" t="str">
        <x:v>Hubballi</x:v>
      </x:c>
      <x:c r="G3489" t="str">
        <x:v>Sneha</x:v>
      </x:c>
      <x:c r="H3489" t="str">
        <x:v>P030</x:v>
      </x:c>
      <x:c r="I3489" t="str">
        <x:v>Mayonnaise 1kg</x:v>
      </x:c>
      <x:c r="J3489" t="str">
        <x:v>Condiments</x:v>
      </x:c>
      <x:c r="K3489" t="str">
        <x:v>Veeba</x:v>
      </x:c>
      <x:c r="L3489" s="22" t="n">
        <x:v>210</x:v>
      </x:c>
      <x:c r="M3489" t="n">
        <x:v>16</x:v>
      </x:c>
      <x:c r="N3489" s="24" t="n">
        <x:v>0.02</x:v>
      </x:c>
      <x:c r="O3489" s="22" t="n">
        <x:f>L3489*M3489</x:f>
        <x:v>3360</x:v>
      </x:c>
      <x:c r="P3489" s="22" t="n">
        <x:f>O3489*(1-N3489)</x:f>
        <x:v>3292.7999999999997</x:v>
      </x:c>
      <x:c r="Q3489" s="22" t="n">
        <x:v>185</x:v>
      </x:c>
      <x:c r="R3489" s="22" t="n">
        <x:f>Q3489*M3489</x:f>
        <x:v>2960</x:v>
      </x:c>
      <x:c r="S3489" s="22" t="n">
        <x:f>P3489-R3489</x:f>
        <x:v>332.7999999999997</x:v>
      </x:c>
      <x:c r="T3489" t="str">
        <x:v>Credit</x:v>
      </x:c>
      <x:c r="U3489" t="str">
        <x:v>Overdue</x:v>
      </x:c>
      <x:c r="V3489" t="str">
        <x:v>Delayed</x:v>
      </x:c>
      <x:c r="W3489" t="n">
        <x:v>0</x:v>
      </x:c>
      <x:c r="X3489" t="str"/>
      <x:c r="Y3489" t="str">
        <x:v>WhatsApp</x:v>
      </x:c>
    </x:row>
    <x:row r="3490">
      <x:c r="A3490" t="str">
        <x:v>O003489</x:v>
      </x:c>
      <x:c r="B3490" s="20" t="n">
        <x:v>45866</x:v>
      </x:c>
      <x:c r="C3490" t="str">
        <x:v>C0064</x:v>
      </x:c>
      <x:c r="D3490" t="str">
        <x:v>Hotel Restaurant 64</x:v>
      </x:c>
      <x:c r="E3490" t="str">
        <x:v>Cafe</x:v>
      </x:c>
      <x:c r="F3490" t="str">
        <x:v>Mangaluru</x:v>
      </x:c>
      <x:c r="G3490" t="str">
        <x:v>Imran</x:v>
      </x:c>
      <x:c r="H3490" t="str">
        <x:v>P043</x:v>
      </x:c>
      <x:c r="I3490" t="str">
        <x:v>Chicken Breast 1kg</x:v>
      </x:c>
      <x:c r="J3490" t="str">
        <x:v>Protein</x:v>
      </x:c>
      <x:c r="K3490" t="str">
        <x:v>FreshToHome</x:v>
      </x:c>
      <x:c r="L3490" s="22" t="n">
        <x:v>260</x:v>
      </x:c>
      <x:c r="M3490" t="n">
        <x:v>35</x:v>
      </x:c>
      <x:c r="N3490" s="24" t="n">
        <x:v>0.05</x:v>
      </x:c>
      <x:c r="O3490" s="22" t="n">
        <x:f>L3490*M3490</x:f>
        <x:v>9100</x:v>
      </x:c>
      <x:c r="P3490" s="22" t="n">
        <x:f>O3490*(1-N3490)</x:f>
        <x:v>8645</x:v>
      </x:c>
      <x:c r="Q3490" s="22" t="n">
        <x:v>235</x:v>
      </x:c>
      <x:c r="R3490" s="22" t="n">
        <x:f>Q3490*M3490</x:f>
        <x:v>8225</x:v>
      </x:c>
      <x:c r="S3490" s="22" t="n">
        <x:f>P3490-R3490</x:f>
        <x:v>420</x:v>
      </x:c>
      <x:c r="T3490" t="str">
        <x:v>Cash</x:v>
      </x:c>
      <x:c r="U3490" t="str">
        <x:v>Paid</x:v>
      </x:c>
      <x:c r="V3490" t="str">
        <x:v>Cancelled</x:v>
      </x:c>
      <x:c r="W3490" t="n">
        <x:v>35</x:v>
      </x:c>
      <x:c r="X3490" t="str">
        <x:v>Cancelled Order</x:v>
      </x:c>
      <x:c r="Y3490" t="str">
        <x:v>Existing Customer</x:v>
      </x:c>
    </x:row>
    <x:row r="3491">
      <x:c r="A3491" t="str">
        <x:v>O003490</x:v>
      </x:c>
      <x:c r="B3491" s="20" t="n">
        <x:v>46133</x:v>
      </x:c>
      <x:c r="C3491" t="str">
        <x:v>C0065</x:v>
      </x:c>
      <x:c r="D3491" t="str">
        <x:v>Mysore Stores 65</x:v>
      </x:c>
      <x:c r="E3491" t="str">
        <x:v>Kirana</x:v>
      </x:c>
      <x:c r="F3491" t="str">
        <x:v>Tumakuru</x:v>
      </x:c>
      <x:c r="G3491" t="str">
        <x:v>Sneha</x:v>
      </x:c>
      <x:c r="H3491" t="str">
        <x:v>P005</x:v>
      </x:c>
      <x:c r="I3491" t="str">
        <x:v>Chana Dal 5kg</x:v>
      </x:c>
      <x:c r="J3491" t="str">
        <x:v>Pulses</x:v>
      </x:c>
      <x:c r="K3491" t="str">
        <x:v>Local Select</x:v>
      </x:c>
      <x:c r="L3491" s="22" t="n">
        <x:v>520</x:v>
      </x:c>
      <x:c r="M3491" t="n">
        <x:v>35</x:v>
      </x:c>
      <x:c r="N3491" s="24" t="n">
        <x:v>0.08</x:v>
      </x:c>
      <x:c r="O3491" s="22" t="n">
        <x:f>L3491*M3491</x:f>
        <x:v>18200</x:v>
      </x:c>
      <x:c r="P3491" s="22" t="n">
        <x:f>O3491*(1-N3491)</x:f>
        <x:v>16744</x:v>
      </x:c>
      <x:c r="Q3491" s="22" t="n">
        <x:v>455</x:v>
      </x:c>
      <x:c r="R3491" s="22" t="n">
        <x:f>Q3491*M3491</x:f>
        <x:v>15925</x:v>
      </x:c>
      <x:c r="S3491" s="22" t="n">
        <x:f>P3491-R3491</x:f>
        <x:v>819</x:v>
      </x:c>
      <x:c r="T3491" t="str">
        <x:v>Cash</x:v>
      </x:c>
      <x:c r="U3491" t="str">
        <x:v>Overdue</x:v>
      </x:c>
      <x:c r="V3491" t="str">
        <x:v>Delivered</x:v>
      </x:c>
      <x:c r="W3491" t="n">
        <x:v>0</x:v>
      </x:c>
      <x:c r="X3491" t="str"/>
      <x:c r="Y3491" t="str">
        <x:v>Outbound Call</x:v>
      </x:c>
    </x:row>
    <x:row r="3492">
      <x:c r="A3492" t="str">
        <x:v>O003491</x:v>
      </x:c>
      <x:c r="B3492" s="20" t="n">
        <x:v>45771</x:v>
      </x:c>
      <x:c r="C3492" t="str">
        <x:v>C0192</x:v>
      </x:c>
      <x:c r="D3492" t="str">
        <x:v>Shree Kitchen 192</x:v>
      </x:c>
      <x:c r="E3492" t="str">
        <x:v>Restaurant</x:v>
      </x:c>
      <x:c r="F3492" t="str">
        <x:v>Mysuru</x:v>
      </x:c>
      <x:c r="G3492" t="str">
        <x:v>Sneha</x:v>
      </x:c>
      <x:c r="H3492" t="str">
        <x:v>P038</x:v>
      </x:c>
      <x:c r="I3492" t="str">
        <x:v>French Fries 2.5kg</x:v>
      </x:c>
      <x:c r="J3492" t="str">
        <x:v>Frozen</x:v>
      </x:c>
      <x:c r="K3492" t="str">
        <x:v>McCain</x:v>
      </x:c>
      <x:c r="L3492" s="22" t="n">
        <x:v>360</x:v>
      </x:c>
      <x:c r="M3492" t="n">
        <x:v>28</x:v>
      </x:c>
      <x:c r="N3492" s="24" t="n">
        <x:v>0</x:v>
      </x:c>
      <x:c r="O3492" s="22" t="n">
        <x:f>L3492*M3492</x:f>
        <x:v>10080</x:v>
      </x:c>
      <x:c r="P3492" s="22" t="n">
        <x:f>O3492*(1-N3492)</x:f>
        <x:v>10080</x:v>
      </x:c>
      <x:c r="Q3492" s="22" t="n">
        <x:v>315</x:v>
      </x:c>
      <x:c r="R3492" s="22" t="n">
        <x:f>Q3492*M3492</x:f>
        <x:v>8820</x:v>
      </x:c>
      <x:c r="S3492" s="22" t="n">
        <x:f>P3492-R3492</x:f>
        <x:v>1260</x:v>
      </x:c>
      <x:c r="T3492" t="str">
        <x:v>Credit</x:v>
      </x:c>
      <x:c r="U3492" t="str">
        <x:v>Overdue</x:v>
      </x:c>
      <x:c r="V3492" t="str">
        <x:v>Delivered</x:v>
      </x:c>
      <x:c r="W3492" t="n">
        <x:v>0</x:v>
      </x:c>
      <x:c r="X3492" t="str"/>
      <x:c r="Y3492" t="str">
        <x:v>WhatsApp</x:v>
      </x:c>
    </x:row>
    <x:row r="3493">
      <x:c r="A3493" t="str">
        <x:v>O003492</x:v>
      </x:c>
      <x:c r="B3493" s="20" t="n">
        <x:v>45858</x:v>
      </x:c>
      <x:c r="C3493" t="str">
        <x:v>C0044</x:v>
      </x:c>
      <x:c r="D3493" t="str">
        <x:v>Annapurna Mart 44</x:v>
      </x:c>
      <x:c r="E3493" t="str">
        <x:v>Kirana</x:v>
      </x:c>
      <x:c r="F3493" t="str">
        <x:v>Davanagere</x:v>
      </x:c>
      <x:c r="G3493" t="str">
        <x:v>Priya</x:v>
      </x:c>
      <x:c r="H3493" t="str">
        <x:v>P038</x:v>
      </x:c>
      <x:c r="I3493" t="str">
        <x:v>French Fries 2.5kg</x:v>
      </x:c>
      <x:c r="J3493" t="str">
        <x:v>Frozen</x:v>
      </x:c>
      <x:c r="K3493" t="str">
        <x:v>McCain</x:v>
      </x:c>
      <x:c r="L3493" s="22" t="n">
        <x:v>360</x:v>
      </x:c>
      <x:c r="M3493" t="n">
        <x:v>26</x:v>
      </x:c>
      <x:c r="N3493" s="24" t="n">
        <x:v>0.05</x:v>
      </x:c>
      <x:c r="O3493" s="22" t="n">
        <x:f>L3493*M3493</x:f>
        <x:v>9360</x:v>
      </x:c>
      <x:c r="P3493" s="22" t="n">
        <x:f>O3493*(1-N3493)</x:f>
        <x:v>8892</x:v>
      </x:c>
      <x:c r="Q3493" s="22" t="n">
        <x:v>315</x:v>
      </x:c>
      <x:c r="R3493" s="22" t="n">
        <x:f>Q3493*M3493</x:f>
        <x:v>8190</x:v>
      </x:c>
      <x:c r="S3493" s="22" t="n">
        <x:f>P3493-R3493</x:f>
        <x:v>702</x:v>
      </x:c>
      <x:c r="T3493" t="str">
        <x:v>Cash</x:v>
      </x:c>
      <x:c r="U3493" t="str">
        <x:v>Paid</x:v>
      </x:c>
      <x:c r="V3493" t="str">
        <x:v>Delayed</x:v>
      </x:c>
      <x:c r="W3493" t="n">
        <x:v>0</x:v>
      </x:c>
      <x:c r="X3493" t="str"/>
      <x:c r="Y3493" t="str">
        <x:v>Field Visit</x:v>
      </x:c>
    </x:row>
    <x:row r="3494">
      <x:c r="A3494" t="str">
        <x:v>O003493</x:v>
      </x:c>
      <x:c r="B3494" s="20" t="n">
        <x:v>46126</x:v>
      </x:c>
      <x:c r="C3494" t="str">
        <x:v>C0125</x:v>
      </x:c>
      <x:c r="D3494" t="str">
        <x:v>Spice Restaurant 125</x:v>
      </x:c>
      <x:c r="E3494" t="str">
        <x:v>Kirana</x:v>
      </x:c>
      <x:c r="F3494" t="str">
        <x:v>Tumakuru</x:v>
      </x:c>
      <x:c r="G3494" t="str">
        <x:v>Ramesh</x:v>
      </x:c>
      <x:c r="H3494" t="str">
        <x:v>P038</x:v>
      </x:c>
      <x:c r="I3494" t="str">
        <x:v>French Fries 2.5kg</x:v>
      </x:c>
      <x:c r="J3494" t="str">
        <x:v>Frozen</x:v>
      </x:c>
      <x:c r="K3494" t="str">
        <x:v>McCain</x:v>
      </x:c>
      <x:c r="L3494" s="22" t="n">
        <x:v>360</x:v>
      </x:c>
      <x:c r="M3494" t="n">
        <x:v>13</x:v>
      </x:c>
      <x:c r="N3494" s="24" t="n">
        <x:v>0.03</x:v>
      </x:c>
      <x:c r="O3494" s="22" t="n">
        <x:f>L3494*M3494</x:f>
        <x:v>4680</x:v>
      </x:c>
      <x:c r="P3494" s="22" t="n">
        <x:f>O3494*(1-N3494)</x:f>
        <x:v>4539.599999999999</x:v>
      </x:c>
      <x:c r="Q3494" s="22" t="n">
        <x:v>315</x:v>
      </x:c>
      <x:c r="R3494" s="22" t="n">
        <x:f>Q3494*M3494</x:f>
        <x:v>4095</x:v>
      </x:c>
      <x:c r="S3494" s="22" t="n">
        <x:f>P3494-R3494</x:f>
        <x:v>444.59999999999945</x:v>
      </x:c>
      <x:c r="T3494" t="str">
        <x:v>UPI</x:v>
      </x:c>
      <x:c r="U3494" t="str">
        <x:v>Paid</x:v>
      </x:c>
      <x:c r="V3494" t="str">
        <x:v>Delivered</x:v>
      </x:c>
      <x:c r="W3494" t="n">
        <x:v>0</x:v>
      </x:c>
      <x:c r="X3494" t="str"/>
      <x:c r="Y3494" t="str">
        <x:v>WhatsApp</x:v>
      </x:c>
    </x:row>
    <x:row r="3495">
      <x:c r="A3495" t="str">
        <x:v>O003494</x:v>
      </x:c>
      <x:c r="B3495" s="20" t="n">
        <x:v>45717</x:v>
      </x:c>
      <x:c r="C3495" t="str">
        <x:v>C0156</x:v>
      </x:c>
      <x:c r="D3495" t="str">
        <x:v>Metro Stores 156</x:v>
      </x:c>
      <x:c r="E3495" t="str">
        <x:v>Hotel</x:v>
      </x:c>
      <x:c r="F3495" t="str">
        <x:v>Tumakuru</x:v>
      </x:c>
      <x:c r="G3495" t="str">
        <x:v>Ramesh</x:v>
      </x:c>
      <x:c r="H3495" t="str">
        <x:v>P049</x:v>
      </x:c>
      <x:c r="I3495" t="str">
        <x:v>Apple 10kg</x:v>
      </x:c>
      <x:c r="J3495" t="str">
        <x:v>Fresh Produce</x:v>
      </x:c>
      <x:c r="K3495" t="str">
        <x:v>Local Market</x:v>
      </x:c>
      <x:c r="L3495" s="22" t="n">
        <x:v>1450</x:v>
      </x:c>
      <x:c r="M3495" t="n">
        <x:v>6</x:v>
      </x:c>
      <x:c r="N3495" s="24" t="n">
        <x:v>0.08</x:v>
      </x:c>
      <x:c r="O3495" s="22" t="n">
        <x:f>L3495*M3495</x:f>
        <x:v>8700</x:v>
      </x:c>
      <x:c r="P3495" s="22" t="n">
        <x:f>O3495*(1-N3495)</x:f>
        <x:v>8004</x:v>
      </x:c>
      <x:c r="Q3495" s="22" t="n">
        <x:v>1280</x:v>
      </x:c>
      <x:c r="R3495" s="22" t="n">
        <x:f>Q3495*M3495</x:f>
        <x:v>7680</x:v>
      </x:c>
      <x:c r="S3495" s="22" t="n">
        <x:f>P3495-R3495</x:f>
        <x:v>324</x:v>
      </x:c>
      <x:c r="T3495" t="str">
        <x:v>Bank Transfer</x:v>
      </x:c>
      <x:c r="U3495" t="str">
        <x:v>Pending</x:v>
      </x:c>
      <x:c r="V3495" t="str">
        <x:v>Delivered</x:v>
      </x:c>
      <x:c r="W3495" t="n">
        <x:v>0</x:v>
      </x:c>
      <x:c r="X3495" t="str"/>
      <x:c r="Y3495" t="str">
        <x:v>WhatsApp</x:v>
      </x:c>
    </x:row>
    <x:row r="3496">
      <x:c r="A3496" t="str">
        <x:v>O003495</x:v>
      </x:c>
      <x:c r="B3496" s="20" t="n">
        <x:v>45785</x:v>
      </x:c>
      <x:c r="C3496" t="str">
        <x:v>C0235</x:v>
      </x:c>
      <x:c r="D3496" t="str">
        <x:v>Darshini Canteen 235</x:v>
      </x:c>
      <x:c r="E3496" t="str">
        <x:v>Hotel</x:v>
      </x:c>
      <x:c r="F3496" t="str">
        <x:v>Mangaluru</x:v>
      </x:c>
      <x:c r="G3496" t="str">
        <x:v>Arjun</x:v>
      </x:c>
      <x:c r="H3496" t="str">
        <x:v>P009</x:v>
      </x:c>
      <x:c r="I3496" t="str">
        <x:v>Groundnut Oil 5L</x:v>
      </x:c>
      <x:c r="J3496" t="str">
        <x:v>Edible Oil</x:v>
      </x:c>
      <x:c r="K3496" t="str">
        <x:v>Dhara</x:v>
      </x:c>
      <x:c r="L3496" s="22" t="n">
        <x:v>890</x:v>
      </x:c>
      <x:c r="M3496" t="n">
        <x:v>24</x:v>
      </x:c>
      <x:c r="N3496" s="24" t="n">
        <x:v>0.05</x:v>
      </x:c>
      <x:c r="O3496" s="22" t="n">
        <x:f>L3496*M3496</x:f>
        <x:v>21360</x:v>
      </x:c>
      <x:c r="P3496" s="22" t="n">
        <x:f>O3496*(1-N3496)</x:f>
        <x:v>20292</x:v>
      </x:c>
      <x:c r="Q3496" s="22" t="n">
        <x:v>810</x:v>
      </x:c>
      <x:c r="R3496" s="22" t="n">
        <x:f>Q3496*M3496</x:f>
        <x:v>19440</x:v>
      </x:c>
      <x:c r="S3496" s="22" t="n">
        <x:f>P3496-R3496</x:f>
        <x:v>852</x:v>
      </x:c>
      <x:c r="T3496" t="str">
        <x:v>UPI</x:v>
      </x:c>
      <x:c r="U3496" t="str">
        <x:v>Paid</x:v>
      </x:c>
      <x:c r="V3496" t="str">
        <x:v>Delivered</x:v>
      </x:c>
      <x:c r="W3496" t="n">
        <x:v>0</x:v>
      </x:c>
      <x:c r="X3496" t="str"/>
      <x:c r="Y3496" t="str">
        <x:v>WhatsApp</x:v>
      </x:c>
    </x:row>
    <x:row r="3497">
      <x:c r="A3497" t="str">
        <x:v>O003496</x:v>
      </x:c>
      <x:c r="B3497" s="20" t="n">
        <x:v>45935</x:v>
      </x:c>
      <x:c r="C3497" t="str">
        <x:v>C0079</x:v>
      </x:c>
      <x:c r="D3497" t="str">
        <x:v>Foodie Foods 79</x:v>
      </x:c>
      <x:c r="E3497" t="str">
        <x:v>Cafe</x:v>
      </x:c>
      <x:c r="F3497" t="str">
        <x:v>Tumakuru</x:v>
      </x:c>
      <x:c r="G3497" t="str">
        <x:v>Ramesh</x:v>
      </x:c>
      <x:c r="H3497" t="str">
        <x:v>P047</x:v>
      </x:c>
      <x:c r="I3497" t="str">
        <x:v>Tomato 25kg</x:v>
      </x:c>
      <x:c r="J3497" t="str">
        <x:v>Fresh Produce</x:v>
      </x:c>
      <x:c r="K3497" t="str">
        <x:v>Local Market</x:v>
      </x:c>
      <x:c r="L3497" s="22" t="n">
        <x:v>950</x:v>
      </x:c>
      <x:c r="M3497" t="n">
        <x:v>27</x:v>
      </x:c>
      <x:c r="N3497" s="24" t="n">
        <x:v>0.05</x:v>
      </x:c>
      <x:c r="O3497" s="22" t="n">
        <x:f>L3497*M3497</x:f>
        <x:v>25650</x:v>
      </x:c>
      <x:c r="P3497" s="22" t="n">
        <x:f>O3497*(1-N3497)</x:f>
        <x:v>24367.5</x:v>
      </x:c>
      <x:c r="Q3497" s="22" t="n">
        <x:v>810</x:v>
      </x:c>
      <x:c r="R3497" s="22" t="n">
        <x:f>Q3497*M3497</x:f>
        <x:v>21870</x:v>
      </x:c>
      <x:c r="S3497" s="22" t="n">
        <x:f>P3497-R3497</x:f>
        <x:v>2497.5</x:v>
      </x:c>
      <x:c r="T3497" t="str">
        <x:v>Bank Transfer</x:v>
      </x:c>
      <x:c r="U3497" t="str">
        <x:v>Paid</x:v>
      </x:c>
      <x:c r="V3497" t="str">
        <x:v>Delivered</x:v>
      </x:c>
      <x:c r="W3497" t="n">
        <x:v>0</x:v>
      </x:c>
      <x:c r="X3497" t="str"/>
      <x:c r="Y3497" t="str">
        <x:v>WhatsApp</x:v>
      </x:c>
    </x:row>
    <x:row r="3498">
      <x:c r="A3498" t="str">
        <x:v>O003497</x:v>
      </x:c>
      <x:c r="B3498" s="20" t="n">
        <x:v>46274</x:v>
      </x:c>
      <x:c r="C3498" t="str">
        <x:v>C0203</x:v>
      </x:c>
      <x:c r="D3498" t="str">
        <x:v>Namma Mart 203</x:v>
      </x:c>
      <x:c r="E3498" t="str">
        <x:v>Kirana</x:v>
      </x:c>
      <x:c r="F3498" t="str">
        <x:v>Tumakuru</x:v>
      </x:c>
      <x:c r="G3498" t="str">
        <x:v>Priya</x:v>
      </x:c>
      <x:c r="H3498" t="str">
        <x:v>P016</x:v>
      </x:c>
      <x:c r="I3498" t="str">
        <x:v>Curd 1kg</x:v>
      </x:c>
      <x:c r="J3498" t="str">
        <x:v>Dairy</x:v>
      </x:c>
      <x:c r="K3498" t="str">
        <x:v>Nandini</x:v>
      </x:c>
      <x:c r="L3498" s="22" t="n">
        <x:v>72</x:v>
      </x:c>
      <x:c r="M3498" t="n">
        <x:v>14</x:v>
      </x:c>
      <x:c r="N3498" s="24" t="n">
        <x:v>0.1</x:v>
      </x:c>
      <x:c r="O3498" s="22" t="n">
        <x:f>L3498*M3498</x:f>
        <x:v>1008</x:v>
      </x:c>
      <x:c r="P3498" s="22" t="n">
        <x:f>O3498*(1-N3498)</x:f>
        <x:v>907.2</x:v>
      </x:c>
      <x:c r="Q3498" s="22" t="n">
        <x:v>64</x:v>
      </x:c>
      <x:c r="R3498" s="22" t="n">
        <x:f>Q3498*M3498</x:f>
        <x:v>896</x:v>
      </x:c>
      <x:c r="S3498" s="22" t="n">
        <x:f>P3498-R3498</x:f>
        <x:v>11.200000000000045</x:v>
      </x:c>
      <x:c r="T3498" t="str">
        <x:v>Cash</x:v>
      </x:c>
      <x:c r="U3498" t="str">
        <x:v>Paid</x:v>
      </x:c>
      <x:c r="V3498" t="str">
        <x:v>Delivered</x:v>
      </x:c>
      <x:c r="W3498" t="n">
        <x:v>0</x:v>
      </x:c>
      <x:c r="X3498" t="str"/>
      <x:c r="Y3498" t="str">
        <x:v>Referral</x:v>
      </x:c>
    </x:row>
    <x:row r="3499">
      <x:c r="A3499" t="str">
        <x:v>O003498</x:v>
      </x:c>
      <x:c r="B3499" s="20" t="n">
        <x:v>46209</x:v>
      </x:c>
      <x:c r="C3499" t="str">
        <x:v>C0083</x:v>
      </x:c>
      <x:c r="D3499" t="str">
        <x:v>Sri Cafe 83</x:v>
      </x:c>
      <x:c r="E3499" t="str">
        <x:v>Hotel</x:v>
      </x:c>
      <x:c r="F3499" t="str">
        <x:v>Davanagere</x:v>
      </x:c>
      <x:c r="G3499" t="str">
        <x:v>Ramesh</x:v>
      </x:c>
      <x:c r="H3499" t="str">
        <x:v>P016</x:v>
      </x:c>
      <x:c r="I3499" t="str">
        <x:v>Curd 1kg</x:v>
      </x:c>
      <x:c r="J3499" t="str">
        <x:v>Dairy</x:v>
      </x:c>
      <x:c r="K3499" t="str">
        <x:v>Nandini</x:v>
      </x:c>
      <x:c r="L3499" s="22" t="n">
        <x:v>72</x:v>
      </x:c>
      <x:c r="M3499" t="n">
        <x:v>6</x:v>
      </x:c>
      <x:c r="N3499" s="24" t="n">
        <x:v>0.1</x:v>
      </x:c>
      <x:c r="O3499" s="22" t="n">
        <x:f>L3499*M3499</x:f>
        <x:v>432</x:v>
      </x:c>
      <x:c r="P3499" s="22" t="n">
        <x:f>O3499*(1-N3499)</x:f>
        <x:v>388.8</x:v>
      </x:c>
      <x:c r="Q3499" s="22" t="n">
        <x:v>64</x:v>
      </x:c>
      <x:c r="R3499" s="22" t="n">
        <x:f>Q3499*M3499</x:f>
        <x:v>384</x:v>
      </x:c>
      <x:c r="S3499" s="22" t="n">
        <x:f>P3499-R3499</x:f>
        <x:v>4.800000000000011</x:v>
      </x:c>
      <x:c r="T3499" t="str">
        <x:v>UPI</x:v>
      </x:c>
      <x:c r="U3499" t="str">
        <x:v>Paid</x:v>
      </x:c>
      <x:c r="V3499" t="str">
        <x:v>Cancelled</x:v>
      </x:c>
      <x:c r="W3499" t="n">
        <x:v>6</x:v>
      </x:c>
      <x:c r="X3499" t="str">
        <x:v>Cancelled Order</x:v>
      </x:c>
      <x:c r="Y3499" t="str">
        <x:v>WhatsApp</x:v>
      </x:c>
    </x:row>
    <x:row r="3500">
      <x:c r="A3500" t="str">
        <x:v>O003499</x:v>
      </x:c>
      <x:c r="B3500" s="20" t="n">
        <x:v>46197</x:v>
      </x:c>
      <x:c r="C3500" t="str">
        <x:v>C0242</x:v>
      </x:c>
      <x:c r="D3500" t="str">
        <x:v>Fresh Cafe 242</x:v>
      </x:c>
      <x:c r="E3500" t="str">
        <x:v>Canteen</x:v>
      </x:c>
      <x:c r="F3500" t="str">
        <x:v>Davanagere</x:v>
      </x:c>
      <x:c r="G3500" t="str">
        <x:v>Kavya</x:v>
      </x:c>
      <x:c r="H3500" t="str">
        <x:v>P039</x:v>
      </x:c>
      <x:c r="I3500" t="str">
        <x:v>Ice Cream 4L</x:v>
      </x:c>
      <x:c r="J3500" t="str">
        <x:v>Frozen</x:v>
      </x:c>
      <x:c r="K3500" t="str">
        <x:v>Amul</x:v>
      </x:c>
      <x:c r="L3500" s="22" t="n">
        <x:v>480</x:v>
      </x:c>
      <x:c r="M3500" t="n">
        <x:v>19</x:v>
      </x:c>
      <x:c r="N3500" s="24" t="n">
        <x:v>0</x:v>
      </x:c>
      <x:c r="O3500" s="22" t="n">
        <x:f>L3500*M3500</x:f>
        <x:v>9120</x:v>
      </x:c>
      <x:c r="P3500" s="22" t="n">
        <x:f>O3500*(1-N3500)</x:f>
        <x:v>9120</x:v>
      </x:c>
      <x:c r="Q3500" s="22" t="n">
        <x:v>420</x:v>
      </x:c>
      <x:c r="R3500" s="22" t="n">
        <x:f>Q3500*M3500</x:f>
        <x:v>7980</x:v>
      </x:c>
      <x:c r="S3500" s="22" t="n">
        <x:f>P3500-R3500</x:f>
        <x:v>1140</x:v>
      </x:c>
      <x:c r="T3500" t="str">
        <x:v>Cash</x:v>
      </x:c>
      <x:c r="U3500" t="str">
        <x:v>Pending</x:v>
      </x:c>
      <x:c r="V3500" t="str">
        <x:v>Delivered</x:v>
      </x:c>
      <x:c r="W3500" t="n">
        <x:v>0</x:v>
      </x:c>
      <x:c r="X3500" t="str"/>
      <x:c r="Y3500" t="str">
        <x:v>Field Visit</x:v>
      </x:c>
    </x:row>
    <x:row r="3501">
      <x:c r="A3501" t="str">
        <x:v>O003500</x:v>
      </x:c>
      <x:c r="B3501" s="20" t="n">
        <x:v>46012</x:v>
      </x:c>
      <x:c r="C3501" t="str">
        <x:v>C0049</x:v>
      </x:c>
      <x:c r="D3501" t="str">
        <x:v>Namma Stores 49</x:v>
      </x:c>
      <x:c r="E3501" t="str">
        <x:v>Hotel</x:v>
      </x:c>
      <x:c r="F3501" t="str">
        <x:v>Mangaluru</x:v>
      </x:c>
      <x:c r="G3501" t="str">
        <x:v>Sneha</x:v>
      </x:c>
      <x:c r="H3501" t="str">
        <x:v>P049</x:v>
      </x:c>
      <x:c r="I3501" t="str">
        <x:v>Apple 10kg</x:v>
      </x:c>
      <x:c r="J3501" t="str">
        <x:v>Fresh Produce</x:v>
      </x:c>
      <x:c r="K3501" t="str">
        <x:v>Local Market</x:v>
      </x:c>
      <x:c r="L3501" s="22" t="n">
        <x:v>1450</x:v>
      </x:c>
      <x:c r="M3501" t="n">
        <x:v>8</x:v>
      </x:c>
      <x:c r="N3501" s="24" t="n">
        <x:v>0.02</x:v>
      </x:c>
      <x:c r="O3501" s="22" t="n">
        <x:f>L3501*M3501</x:f>
        <x:v>11600</x:v>
      </x:c>
      <x:c r="P3501" s="22" t="n">
        <x:f>O3501*(1-N3501)</x:f>
        <x:v>11368</x:v>
      </x:c>
      <x:c r="Q3501" s="22" t="n">
        <x:v>1280</x:v>
      </x:c>
      <x:c r="R3501" s="22" t="n">
        <x:f>Q3501*M3501</x:f>
        <x:v>10240</x:v>
      </x:c>
      <x:c r="S3501" s="22" t="n">
        <x:f>P3501-R3501</x:f>
        <x:v>1128</x:v>
      </x:c>
      <x:c r="T3501" t="str">
        <x:v>UPI</x:v>
      </x:c>
      <x:c r="U3501" t="str">
        <x:v>Pending</x:v>
      </x:c>
      <x:c r="V3501" t="str">
        <x:v>Cancelled</x:v>
      </x:c>
      <x:c r="W3501" t="n">
        <x:v>8</x:v>
      </x:c>
      <x:c r="X3501" t="str">
        <x:v>Cancelled Order</x:v>
      </x:c>
      <x:c r="Y3501" t="str">
        <x:v>Existing Customer</x:v>
      </x:c>
    </x:row>
    <x:row r="3502">
      <x:c r="A3502" t="str">
        <x:v>O003501</x:v>
      </x:c>
      <x:c r="B3502" s="20" t="n">
        <x:v>45846</x:v>
      </x:c>
      <x:c r="C3502" t="str">
        <x:v>C0222</x:v>
      </x:c>
      <x:c r="D3502" t="str">
        <x:v>Sri Cafe 222</x:v>
      </x:c>
      <x:c r="E3502" t="str">
        <x:v>Kirana</x:v>
      </x:c>
      <x:c r="F3502" t="str">
        <x:v>Mangaluru</x:v>
      </x:c>
      <x:c r="G3502" t="str">
        <x:v>Arjun</x:v>
      </x:c>
      <x:c r="H3502" t="str">
        <x:v>P016</x:v>
      </x:c>
      <x:c r="I3502" t="str">
        <x:v>Curd 1kg</x:v>
      </x:c>
      <x:c r="J3502" t="str">
        <x:v>Dairy</x:v>
      </x:c>
      <x:c r="K3502" t="str">
        <x:v>Nandini</x:v>
      </x:c>
      <x:c r="L3502" s="22" t="n">
        <x:v>72</x:v>
      </x:c>
      <x:c r="M3502" t="n">
        <x:v>33</x:v>
      </x:c>
      <x:c r="N3502" s="24" t="n">
        <x:v>0</x:v>
      </x:c>
      <x:c r="O3502" s="22" t="n">
        <x:f>L3502*M3502</x:f>
        <x:v>2376</x:v>
      </x:c>
      <x:c r="P3502" s="22" t="n">
        <x:f>O3502*(1-N3502)</x:f>
        <x:v>2376</x:v>
      </x:c>
      <x:c r="Q3502" s="22" t="n">
        <x:v>64</x:v>
      </x:c>
      <x:c r="R3502" s="22" t="n">
        <x:f>Q3502*M3502</x:f>
        <x:v>2112</x:v>
      </x:c>
      <x:c r="S3502" s="22" t="n">
        <x:f>P3502-R3502</x:f>
        <x:v>264</x:v>
      </x:c>
      <x:c r="T3502" t="str">
        <x:v>Credit</x:v>
      </x:c>
      <x:c r="U3502" t="str">
        <x:v>Paid</x:v>
      </x:c>
      <x:c r="V3502" t="str">
        <x:v>Delivered</x:v>
      </x:c>
      <x:c r="W3502" t="n">
        <x:v>0</x:v>
      </x:c>
      <x:c r="X3502" t="str"/>
      <x:c r="Y3502" t="str">
        <x:v>Field Visit</x:v>
      </x:c>
    </x:row>
    <x:row r="3503">
      <x:c r="A3503" t="str">
        <x:v>O003502</x:v>
      </x:c>
      <x:c r="B3503" s="20" t="n">
        <x:v>45682</x:v>
      </x:c>
      <x:c r="C3503" t="str">
        <x:v>C0052</x:v>
      </x:c>
      <x:c r="D3503" t="str">
        <x:v>Sagar Canteen 52</x:v>
      </x:c>
      <x:c r="E3503" t="str">
        <x:v>Kirana</x:v>
      </x:c>
      <x:c r="F3503" t="str">
        <x:v>Mysuru</x:v>
      </x:c>
      <x:c r="G3503" t="str">
        <x:v>Kavya</x:v>
      </x:c>
      <x:c r="H3503" t="str">
        <x:v>P006</x:v>
      </x:c>
      <x:c r="I3503" t="str">
        <x:v>Moong Dal 5kg</x:v>
      </x:c>
      <x:c r="J3503" t="str">
        <x:v>Pulses</x:v>
      </x:c>
      <x:c r="K3503" t="str">
        <x:v>Local Select</x:v>
      </x:c>
      <x:c r="L3503" s="22" t="n">
        <x:v>610</x:v>
      </x:c>
      <x:c r="M3503" t="n">
        <x:v>40</x:v>
      </x:c>
      <x:c r="N3503" s="24" t="n">
        <x:v>0</x:v>
      </x:c>
      <x:c r="O3503" s="22" t="n">
        <x:f>L3503*M3503</x:f>
        <x:v>24400</x:v>
      </x:c>
      <x:c r="P3503" s="22" t="n">
        <x:f>O3503*(1-N3503)</x:f>
        <x:v>24400</x:v>
      </x:c>
      <x:c r="Q3503" s="22" t="n">
        <x:v>540</x:v>
      </x:c>
      <x:c r="R3503" s="22" t="n">
        <x:f>Q3503*M3503</x:f>
        <x:v>21600</x:v>
      </x:c>
      <x:c r="S3503" s="22" t="n">
        <x:f>P3503-R3503</x:f>
        <x:v>2800</x:v>
      </x:c>
      <x:c r="T3503" t="str">
        <x:v>Credit</x:v>
      </x:c>
      <x:c r="U3503" t="str">
        <x:v>Paid</x:v>
      </x:c>
      <x:c r="V3503" t="str">
        <x:v>Delayed</x:v>
      </x:c>
      <x:c r="W3503" t="n">
        <x:v>0</x:v>
      </x:c>
      <x:c r="X3503" t="str"/>
      <x:c r="Y3503" t="str">
        <x:v>Referral</x:v>
      </x:c>
    </x:row>
    <x:row r="3504">
      <x:c r="A3504" t="str">
        <x:v>O003503</x:v>
      </x:c>
      <x:c r="B3504" s="20" t="n">
        <x:v>45905</x:v>
      </x:c>
      <x:c r="C3504" t="str">
        <x:v>C0085</x:v>
      </x:c>
      <x:c r="D3504" t="str">
        <x:v>Green Hotel 85</x:v>
      </x:c>
      <x:c r="E3504" t="str">
        <x:v>Kirana</x:v>
      </x:c>
      <x:c r="F3504" t="str">
        <x:v>Mysuru</x:v>
      </x:c>
      <x:c r="G3504" t="str">
        <x:v>Arjun</x:v>
      </x:c>
      <x:c r="H3504" t="str">
        <x:v>P045</x:v>
      </x:c>
      <x:c r="I3504" t="str">
        <x:v>Onion 25kg</x:v>
      </x:c>
      <x:c r="J3504" t="str">
        <x:v>Fresh Produce</x:v>
      </x:c>
      <x:c r="K3504" t="str">
        <x:v>Local Market</x:v>
      </x:c>
      <x:c r="L3504" s="22" t="n">
        <x:v>875</x:v>
      </x:c>
      <x:c r="M3504" t="n">
        <x:v>9</x:v>
      </x:c>
      <x:c r="N3504" s="24" t="n">
        <x:v>0.05</x:v>
      </x:c>
      <x:c r="O3504" s="22" t="n">
        <x:f>L3504*M3504</x:f>
        <x:v>7875</x:v>
      </x:c>
      <x:c r="P3504" s="22" t="n">
        <x:f>O3504*(1-N3504)</x:f>
        <x:v>7481.25</x:v>
      </x:c>
      <x:c r="Q3504" s="22" t="n">
        <x:v>760</x:v>
      </x:c>
      <x:c r="R3504" s="22" t="n">
        <x:f>Q3504*M3504</x:f>
        <x:v>6840</x:v>
      </x:c>
      <x:c r="S3504" s="22" t="n">
        <x:f>P3504-R3504</x:f>
        <x:v>641.25</x:v>
      </x:c>
      <x:c r="T3504" t="str">
        <x:v>Credit</x:v>
      </x:c>
      <x:c r="U3504" t="str">
        <x:v>Paid</x:v>
      </x:c>
      <x:c r="V3504" t="str">
        <x:v>Cancelled</x:v>
      </x:c>
      <x:c r="W3504" t="n">
        <x:v>9</x:v>
      </x:c>
      <x:c r="X3504" t="str">
        <x:v>Cancelled Order</x:v>
      </x:c>
      <x:c r="Y3504" t="str">
        <x:v>Referral</x:v>
      </x:c>
    </x:row>
    <x:row r="3505">
      <x:c r="A3505" t="str">
        <x:v>O003504</x:v>
      </x:c>
      <x:c r="B3505" s="20" t="n">
        <x:v>45921</x:v>
      </x:c>
      <x:c r="C3505" t="str">
        <x:v>C0091</x:v>
      </x:c>
      <x:c r="D3505" t="str">
        <x:v>Classic Mart 91</x:v>
      </x:c>
      <x:c r="E3505" t="str">
        <x:v>Cafe</x:v>
      </x:c>
      <x:c r="F3505" t="str">
        <x:v>Mangaluru</x:v>
      </x:c>
      <x:c r="G3505" t="str">
        <x:v>Kavya</x:v>
      </x:c>
      <x:c r="H3505" t="str">
        <x:v>P022</x:v>
      </x:c>
      <x:c r="I3505" t="str">
        <x:v>Mineral Water 1L</x:v>
      </x:c>
      <x:c r="J3505" t="str">
        <x:v>Beverage</x:v>
      </x:c>
      <x:c r="K3505" t="str">
        <x:v>Bisleri</x:v>
      </x:c>
      <x:c r="L3505" s="22" t="n">
        <x:v>19</x:v>
      </x:c>
      <x:c r="M3505" t="n">
        <x:v>29</x:v>
      </x:c>
      <x:c r="N3505" s="24" t="n">
        <x:v>0.02</x:v>
      </x:c>
      <x:c r="O3505" s="22" t="n">
        <x:f>L3505*M3505</x:f>
        <x:v>551</x:v>
      </x:c>
      <x:c r="P3505" s="22" t="n">
        <x:f>O3505*(1-N3505)</x:f>
        <x:v>539.98</x:v>
      </x:c>
      <x:c r="Q3505" s="22" t="n">
        <x:v>15</x:v>
      </x:c>
      <x:c r="R3505" s="22" t="n">
        <x:f>Q3505*M3505</x:f>
        <x:v>435</x:v>
      </x:c>
      <x:c r="S3505" s="22" t="n">
        <x:f>P3505-R3505</x:f>
        <x:v>104.98000000000002</x:v>
      </x:c>
      <x:c r="T3505" t="str">
        <x:v>Credit</x:v>
      </x:c>
      <x:c r="U3505" t="str">
        <x:v>Paid</x:v>
      </x:c>
      <x:c r="V3505" t="str">
        <x:v>Delivered</x:v>
      </x:c>
      <x:c r="W3505" t="n">
        <x:v>0</x:v>
      </x:c>
      <x:c r="X3505" t="str"/>
      <x:c r="Y3505" t="str">
        <x:v>Referral</x:v>
      </x:c>
    </x:row>
    <x:row r="3506">
      <x:c r="A3506" t="str">
        <x:v>O003505</x:v>
      </x:c>
      <x:c r="B3506" s="20" t="n">
        <x:v>45767</x:v>
      </x:c>
      <x:c r="C3506" t="str">
        <x:v>C0080</x:v>
      </x:c>
      <x:c r="D3506" t="str">
        <x:v>Annapurna Canteen 80</x:v>
      </x:c>
      <x:c r="E3506" t="str">
        <x:v>Restaurant</x:v>
      </x:c>
      <x:c r="F3506" t="str">
        <x:v>Mangaluru</x:v>
      </x:c>
      <x:c r="G3506" t="str">
        <x:v>Priya</x:v>
      </x:c>
      <x:c r="H3506" t="str">
        <x:v>P036</x:v>
      </x:c>
      <x:c r="I3506" t="str">
        <x:v>Garam Masala 500g</x:v>
      </x:c>
      <x:c r="J3506" t="str">
        <x:v>Spices</x:v>
      </x:c>
      <x:c r="K3506" t="str">
        <x:v>MDH</x:v>
      </x:c>
      <x:c r="L3506" s="22" t="n">
        <x:v>265</x:v>
      </x:c>
      <x:c r="M3506" t="n">
        <x:v>19</x:v>
      </x:c>
      <x:c r="N3506" s="24" t="n">
        <x:v>0.03</x:v>
      </x:c>
      <x:c r="O3506" s="22" t="n">
        <x:f>L3506*M3506</x:f>
        <x:v>5035</x:v>
      </x:c>
      <x:c r="P3506" s="22" t="n">
        <x:f>O3506*(1-N3506)</x:f>
        <x:v>4883.95</x:v>
      </x:c>
      <x:c r="Q3506" s="22" t="n">
        <x:v>230</x:v>
      </x:c>
      <x:c r="R3506" s="22" t="n">
        <x:f>Q3506*M3506</x:f>
        <x:v>4370</x:v>
      </x:c>
      <x:c r="S3506" s="22" t="n">
        <x:f>P3506-R3506</x:f>
        <x:v>513.9499999999998</x:v>
      </x:c>
      <x:c r="T3506" t="str">
        <x:v>UPI</x:v>
      </x:c>
      <x:c r="U3506" t="str">
        <x:v>Paid</x:v>
      </x:c>
      <x:c r="V3506" t="str">
        <x:v>Delivered</x:v>
      </x:c>
      <x:c r="W3506" t="n">
        <x:v>0</x:v>
      </x:c>
      <x:c r="X3506" t="str"/>
      <x:c r="Y3506" t="str">
        <x:v>Outbound Call</x:v>
      </x:c>
    </x:row>
    <x:row r="3507">
      <x:c r="A3507" t="str">
        <x:v>O003506</x:v>
      </x:c>
      <x:c r="B3507" s="20" t="n">
        <x:v>46252</x:v>
      </x:c>
      <x:c r="C3507" t="str">
        <x:v>C0175</x:v>
      </x:c>
      <x:c r="D3507" t="str">
        <x:v>Namma Mart 175</x:v>
      </x:c>
      <x:c r="E3507" t="str">
        <x:v>Hotel</x:v>
      </x:c>
      <x:c r="F3507" t="str">
        <x:v>Davanagere</x:v>
      </x:c>
      <x:c r="G3507" t="str">
        <x:v>Sneha</x:v>
      </x:c>
      <x:c r="H3507" t="str">
        <x:v>P016</x:v>
      </x:c>
      <x:c r="I3507" t="str">
        <x:v>Curd 1kg</x:v>
      </x:c>
      <x:c r="J3507" t="str">
        <x:v>Dairy</x:v>
      </x:c>
      <x:c r="K3507" t="str">
        <x:v>Nandini</x:v>
      </x:c>
      <x:c r="L3507" s="22" t="n">
        <x:v>72</x:v>
      </x:c>
      <x:c r="M3507" t="n">
        <x:v>14</x:v>
      </x:c>
      <x:c r="N3507" s="24" t="n">
        <x:v>0.05</x:v>
      </x:c>
      <x:c r="O3507" s="22" t="n">
        <x:f>L3507*M3507</x:f>
        <x:v>1008</x:v>
      </x:c>
      <x:c r="P3507" s="22" t="n">
        <x:f>O3507*(1-N3507)</x:f>
        <x:v>957.5999999999999</x:v>
      </x:c>
      <x:c r="Q3507" s="22" t="n">
        <x:v>64</x:v>
      </x:c>
      <x:c r="R3507" s="22" t="n">
        <x:f>Q3507*M3507</x:f>
        <x:v>896</x:v>
      </x:c>
      <x:c r="S3507" s="22" t="n">
        <x:f>P3507-R3507</x:f>
        <x:v>61.59999999999991</x:v>
      </x:c>
      <x:c r="T3507" t="str">
        <x:v>Bank Transfer</x:v>
      </x:c>
      <x:c r="U3507" t="str">
        <x:v>Paid</x:v>
      </x:c>
      <x:c r="V3507" t="str">
        <x:v>Delivered</x:v>
      </x:c>
      <x:c r="W3507" t="n">
        <x:v>0</x:v>
      </x:c>
      <x:c r="X3507" t="str"/>
      <x:c r="Y3507" t="str">
        <x:v>Outbound Call</x:v>
      </x:c>
    </x:row>
    <x:row r="3508">
      <x:c r="A3508" t="str">
        <x:v>O003507</x:v>
      </x:c>
      <x:c r="B3508" s="20" t="n">
        <x:v>46012</x:v>
      </x:c>
      <x:c r="C3508" t="str">
        <x:v>C0247</x:v>
      </x:c>
      <x:c r="D3508" t="str">
        <x:v>Fresh Canteen 247</x:v>
      </x:c>
      <x:c r="E3508" t="str">
        <x:v>Restaurant</x:v>
      </x:c>
      <x:c r="F3508" t="str">
        <x:v>Hubballi</x:v>
      </x:c>
      <x:c r="G3508" t="str">
        <x:v>Kavya</x:v>
      </x:c>
      <x:c r="H3508" t="str">
        <x:v>P005</x:v>
      </x:c>
      <x:c r="I3508" t="str">
        <x:v>Chana Dal 5kg</x:v>
      </x:c>
      <x:c r="J3508" t="str">
        <x:v>Pulses</x:v>
      </x:c>
      <x:c r="K3508" t="str">
        <x:v>Local Select</x:v>
      </x:c>
      <x:c r="L3508" s="22" t="n">
        <x:v>520</x:v>
      </x:c>
      <x:c r="M3508" t="n">
        <x:v>4</x:v>
      </x:c>
      <x:c r="N3508" s="24" t="n">
        <x:v>0.08</x:v>
      </x:c>
      <x:c r="O3508" s="22" t="n">
        <x:f>L3508*M3508</x:f>
        <x:v>2080</x:v>
      </x:c>
      <x:c r="P3508" s="22" t="n">
        <x:f>O3508*(1-N3508)</x:f>
        <x:v>1913.6000000000001</x:v>
      </x:c>
      <x:c r="Q3508" s="22" t="n">
        <x:v>455</x:v>
      </x:c>
      <x:c r="R3508" s="22" t="n">
        <x:f>Q3508*M3508</x:f>
        <x:v>1820</x:v>
      </x:c>
      <x:c r="S3508" s="22" t="n">
        <x:f>P3508-R3508</x:f>
        <x:v>93.60000000000014</x:v>
      </x:c>
      <x:c r="T3508" t="str">
        <x:v>UPI</x:v>
      </x:c>
      <x:c r="U3508" t="str">
        <x:v>Paid</x:v>
      </x:c>
      <x:c r="V3508" t="str">
        <x:v>Delivered</x:v>
      </x:c>
      <x:c r="W3508" t="n">
        <x:v>0</x:v>
      </x:c>
      <x:c r="X3508" t="str"/>
      <x:c r="Y3508" t="str">
        <x:v>Referral</x:v>
      </x:c>
    </x:row>
    <x:row r="3509">
      <x:c r="A3509" t="str">
        <x:v>O003508</x:v>
      </x:c>
      <x:c r="B3509" s="20" t="n">
        <x:v>46105</x:v>
      </x:c>
      <x:c r="C3509" t="str">
        <x:v>C0146</x:v>
      </x:c>
      <x:c r="D3509" t="str">
        <x:v>Annapurna Hotel 146</x:v>
      </x:c>
      <x:c r="E3509" t="str">
        <x:v>Restaurant</x:v>
      </x:c>
      <x:c r="F3509" t="str">
        <x:v>Davanagere</x:v>
      </x:c>
      <x:c r="G3509" t="str">
        <x:v>Arjun</x:v>
      </x:c>
      <x:c r="H3509" t="str">
        <x:v>P004</x:v>
      </x:c>
      <x:c r="I3509" t="str">
        <x:v>Toor Dal 5kg</x:v>
      </x:c>
      <x:c r="J3509" t="str">
        <x:v>Pulses</x:v>
      </x:c>
      <x:c r="K3509" t="str">
        <x:v>Tata Sampann</x:v>
      </x:c>
      <x:c r="L3509" s="22" t="n">
        <x:v>780</x:v>
      </x:c>
      <x:c r="M3509" t="n">
        <x:v>11</x:v>
      </x:c>
      <x:c r="N3509" s="24" t="n">
        <x:v>0.03</x:v>
      </x:c>
      <x:c r="O3509" s="22" t="n">
        <x:f>L3509*M3509</x:f>
        <x:v>8580</x:v>
      </x:c>
      <x:c r="P3509" s="22" t="n">
        <x:f>O3509*(1-N3509)</x:f>
        <x:v>8322.6</x:v>
      </x:c>
      <x:c r="Q3509" s="22" t="n">
        <x:v>695</x:v>
      </x:c>
      <x:c r="R3509" s="22" t="n">
        <x:f>Q3509*M3509</x:f>
        <x:v>7645</x:v>
      </x:c>
      <x:c r="S3509" s="22" t="n">
        <x:f>P3509-R3509</x:f>
        <x:v>677.6000000000004</x:v>
      </x:c>
      <x:c r="T3509" t="str">
        <x:v>Cash</x:v>
      </x:c>
      <x:c r="U3509" t="str">
        <x:v>Paid</x:v>
      </x:c>
      <x:c r="V3509" t="str">
        <x:v>Delivered</x:v>
      </x:c>
      <x:c r="W3509" t="n">
        <x:v>0</x:v>
      </x:c>
      <x:c r="X3509" t="str"/>
      <x:c r="Y3509" t="str">
        <x:v>WhatsApp</x:v>
      </x:c>
    </x:row>
    <x:row r="3510">
      <x:c r="A3510" t="str">
        <x:v>O003509</x:v>
      </x:c>
      <x:c r="B3510" s="20" t="n">
        <x:v>45729</x:v>
      </x:c>
      <x:c r="C3510" t="str">
        <x:v>C0181</x:v>
      </x:c>
      <x:c r="D3510" t="str">
        <x:v>Darshini Mart 181</x:v>
      </x:c>
      <x:c r="E3510" t="str">
        <x:v>Restaurant</x:v>
      </x:c>
      <x:c r="F3510" t="str">
        <x:v>Mangaluru</x:v>
      </x:c>
      <x:c r="G3510" t="str">
        <x:v>Kavya</x:v>
      </x:c>
      <x:c r="H3510" t="str">
        <x:v>P037</x:v>
      </x:c>
      <x:c r="I3510" t="str">
        <x:v>Frozen Peas 1kg</x:v>
      </x:c>
      <x:c r="J3510" t="str">
        <x:v>Frozen</x:v>
      </x:c>
      <x:c r="K3510" t="str">
        <x:v>Safal</x:v>
      </x:c>
      <x:c r="L3510" s="22" t="n">
        <x:v>155</x:v>
      </x:c>
      <x:c r="M3510" t="n">
        <x:v>9</x:v>
      </x:c>
      <x:c r="N3510" s="24" t="n">
        <x:v>0.05</x:v>
      </x:c>
      <x:c r="O3510" s="22" t="n">
        <x:f>L3510*M3510</x:f>
        <x:v>1395</x:v>
      </x:c>
      <x:c r="P3510" s="22" t="n">
        <x:f>O3510*(1-N3510)</x:f>
        <x:v>1325.25</x:v>
      </x:c>
      <x:c r="Q3510" s="22" t="n">
        <x:v>138</x:v>
      </x:c>
      <x:c r="R3510" s="22" t="n">
        <x:f>Q3510*M3510</x:f>
        <x:v>1242</x:v>
      </x:c>
      <x:c r="S3510" s="22" t="n">
        <x:f>P3510-R3510</x:f>
        <x:v>83.25</x:v>
      </x:c>
      <x:c r="T3510" t="str">
        <x:v>UPI</x:v>
      </x:c>
      <x:c r="U3510" t="str">
        <x:v>Paid</x:v>
      </x:c>
      <x:c r="V3510" t="str">
        <x:v>Delivered</x:v>
      </x:c>
      <x:c r="W3510" t="n">
        <x:v>0</x:v>
      </x:c>
      <x:c r="X3510" t="str"/>
      <x:c r="Y3510" t="str">
        <x:v>Outbound Call</x:v>
      </x:c>
    </x:row>
    <x:row r="3511">
      <x:c r="A3511" t="str">
        <x:v>O003510</x:v>
      </x:c>
      <x:c r="B3511" s="20" t="n">
        <x:v>46271</x:v>
      </x:c>
      <x:c r="C3511" t="str">
        <x:v>C0114</x:v>
      </x:c>
      <x:c r="D3511" t="str">
        <x:v>Annapurna Restaurant 114</x:v>
      </x:c>
      <x:c r="E3511" t="str">
        <x:v>Restaurant</x:v>
      </x:c>
      <x:c r="F3511" t="str">
        <x:v>Davanagere</x:v>
      </x:c>
      <x:c r="G3511" t="str">
        <x:v>Arjun</x:v>
      </x:c>
      <x:c r="H3511" t="str">
        <x:v>P023</x:v>
      </x:c>
      <x:c r="I3511" t="str">
        <x:v>Cola 750ml</x:v>
      </x:c>
      <x:c r="J3511" t="str">
        <x:v>Beverage</x:v>
      </x:c>
      <x:c r="K3511" t="str">
        <x:v>Coca-Cola</x:v>
      </x:c>
      <x:c r="L3511" s="22" t="n">
        <x:v>38</x:v>
      </x:c>
      <x:c r="M3511" t="n">
        <x:v>16</x:v>
      </x:c>
      <x:c r="N3511" s="24" t="n">
        <x:v>0.03</x:v>
      </x:c>
      <x:c r="O3511" s="22" t="n">
        <x:f>L3511*M3511</x:f>
        <x:v>608</x:v>
      </x:c>
      <x:c r="P3511" s="22" t="n">
        <x:f>O3511*(1-N3511)</x:f>
        <x:v>589.76</x:v>
      </x:c>
      <x:c r="Q3511" s="22" t="n">
        <x:v>31</x:v>
      </x:c>
      <x:c r="R3511" s="22" t="n">
        <x:f>Q3511*M3511</x:f>
        <x:v>496</x:v>
      </x:c>
      <x:c r="S3511" s="22" t="n">
        <x:f>P3511-R3511</x:f>
        <x:v>93.75999999999999</x:v>
      </x:c>
      <x:c r="T3511" t="str">
        <x:v>Cash</x:v>
      </x:c>
      <x:c r="U3511" t="str">
        <x:v>Paid</x:v>
      </x:c>
      <x:c r="V3511" t="str">
        <x:v>Cancelled</x:v>
      </x:c>
      <x:c r="W3511" t="n">
        <x:v>16</x:v>
      </x:c>
      <x:c r="X3511" t="str">
        <x:v>Cancelled Order</x:v>
      </x:c>
      <x:c r="Y3511" t="str">
        <x:v>Outbound Call</x:v>
      </x:c>
    </x:row>
    <x:row r="3512">
      <x:c r="A3512" t="str">
        <x:v>O003511</x:v>
      </x:c>
      <x:c r="B3512" s="20" t="n">
        <x:v>45744</x:v>
      </x:c>
      <x:c r="C3512" t="str">
        <x:v>C0206</x:v>
      </x:c>
      <x:c r="D3512" t="str">
        <x:v>Grand Kitchen 206</x:v>
      </x:c>
      <x:c r="E3512" t="str">
        <x:v>Kirana</x:v>
      </x:c>
      <x:c r="F3512" t="str">
        <x:v>Mysuru</x:v>
      </x:c>
      <x:c r="G3512" t="str">
        <x:v>Arjun</x:v>
      </x:c>
      <x:c r="H3512" t="str">
        <x:v>P012</x:v>
      </x:c>
      <x:c r="I3512" t="str">
        <x:v>Maida 10kg</x:v>
      </x:c>
      <x:c r="J3512" t="str">
        <x:v>Flour</x:v>
      </x:c>
      <x:c r="K3512" t="str">
        <x:v>Aashirvaad</x:v>
      </x:c>
      <x:c r="L3512" s="22" t="n">
        <x:v>520</x:v>
      </x:c>
      <x:c r="M3512" t="n">
        <x:v>6</x:v>
      </x:c>
      <x:c r="N3512" s="24" t="n">
        <x:v>0.03</x:v>
      </x:c>
      <x:c r="O3512" s="22" t="n">
        <x:f>L3512*M3512</x:f>
        <x:v>3120</x:v>
      </x:c>
      <x:c r="P3512" s="22" t="n">
        <x:f>O3512*(1-N3512)</x:f>
        <x:v>3026.4</x:v>
      </x:c>
      <x:c r="Q3512" s="22" t="n">
        <x:v>460</x:v>
      </x:c>
      <x:c r="R3512" s="22" t="n">
        <x:f>Q3512*M3512</x:f>
        <x:v>2760</x:v>
      </x:c>
      <x:c r="S3512" s="22" t="n">
        <x:f>P3512-R3512</x:f>
        <x:v>266.4000000000001</x:v>
      </x:c>
      <x:c r="T3512" t="str">
        <x:v>Bank Transfer</x:v>
      </x:c>
      <x:c r="U3512" t="str">
        <x:v>Overdue</x:v>
      </x:c>
      <x:c r="V3512" t="str">
        <x:v>Delivered</x:v>
      </x:c>
      <x:c r="W3512" t="n">
        <x:v>0</x:v>
      </x:c>
      <x:c r="X3512" t="str"/>
      <x:c r="Y3512" t="str">
        <x:v>WhatsApp</x:v>
      </x:c>
    </x:row>
    <x:row r="3513">
      <x:c r="A3513" t="str">
        <x:v>O003512</x:v>
      </x:c>
      <x:c r="B3513" s="20" t="n">
        <x:v>45991</x:v>
      </x:c>
      <x:c r="C3513" t="str">
        <x:v>C0185</x:v>
      </x:c>
      <x:c r="D3513" t="str">
        <x:v>Mysore Foods 185</x:v>
      </x:c>
      <x:c r="E3513" t="str">
        <x:v>Restaurant</x:v>
      </x:c>
      <x:c r="F3513" t="str">
        <x:v>Mysuru</x:v>
      </x:c>
      <x:c r="G3513" t="str">
        <x:v>Sneha</x:v>
      </x:c>
      <x:c r="H3513" t="str">
        <x:v>P044</x:v>
      </x:c>
      <x:c r="I3513" t="str">
        <x:v>Chicken Curry Cut 1kg</x:v>
      </x:c>
      <x:c r="J3513" t="str">
        <x:v>Protein</x:v>
      </x:c>
      <x:c r="K3513" t="str">
        <x:v>FreshToHome</x:v>
      </x:c>
      <x:c r="L3513" s="22" t="n">
        <x:v>230</x:v>
      </x:c>
      <x:c r="M3513" t="n">
        <x:v>39</x:v>
      </x:c>
      <x:c r="N3513" s="24" t="n">
        <x:v>0</x:v>
      </x:c>
      <x:c r="O3513" s="22" t="n">
        <x:f>L3513*M3513</x:f>
        <x:v>8970</x:v>
      </x:c>
      <x:c r="P3513" s="22" t="n">
        <x:f>O3513*(1-N3513)</x:f>
        <x:v>8970</x:v>
      </x:c>
      <x:c r="Q3513" s="22" t="n">
        <x:v>205</x:v>
      </x:c>
      <x:c r="R3513" s="22" t="n">
        <x:f>Q3513*M3513</x:f>
        <x:v>7995</x:v>
      </x:c>
      <x:c r="S3513" s="22" t="n">
        <x:f>P3513-R3513</x:f>
        <x:v>975</x:v>
      </x:c>
      <x:c r="T3513" t="str">
        <x:v>UPI</x:v>
      </x:c>
      <x:c r="U3513" t="str">
        <x:v>Paid</x:v>
      </x:c>
      <x:c r="V3513" t="str">
        <x:v>Delivered</x:v>
      </x:c>
      <x:c r="W3513" t="n">
        <x:v>0</x:v>
      </x:c>
      <x:c r="X3513" t="str"/>
      <x:c r="Y3513" t="str">
        <x:v>Field Visit</x:v>
      </x:c>
    </x:row>
    <x:row r="3514">
      <x:c r="A3514" t="str">
        <x:v>O003513</x:v>
      </x:c>
      <x:c r="B3514" s="20" t="n">
        <x:v>45955</x:v>
      </x:c>
      <x:c r="C3514" t="str">
        <x:v>C0101</x:v>
      </x:c>
      <x:c r="D3514" t="str">
        <x:v>Namma Cafe 101</x:v>
      </x:c>
      <x:c r="E3514" t="str">
        <x:v>Supermarket</x:v>
      </x:c>
      <x:c r="F3514" t="str">
        <x:v>Bengaluru</x:v>
      </x:c>
      <x:c r="G3514" t="str">
        <x:v>Arjun</x:v>
      </x:c>
      <x:c r="H3514" t="str">
        <x:v>P018</x:v>
      </x:c>
      <x:c r="I3514" t="str">
        <x:v>Paneer 1kg</x:v>
      </x:c>
      <x:c r="J3514" t="str">
        <x:v>Dairy</x:v>
      </x:c>
      <x:c r="K3514" t="str">
        <x:v>Milky Mist</x:v>
      </x:c>
      <x:c r="L3514" s="22" t="n">
        <x:v>410</x:v>
      </x:c>
      <x:c r="M3514" t="n">
        <x:v>17</x:v>
      </x:c>
      <x:c r="N3514" s="24" t="n">
        <x:v>0</x:v>
      </x:c>
      <x:c r="O3514" s="22" t="n">
        <x:f>L3514*M3514</x:f>
        <x:v>6970</x:v>
      </x:c>
      <x:c r="P3514" s="22" t="n">
        <x:f>O3514*(1-N3514)</x:f>
        <x:v>6970</x:v>
      </x:c>
      <x:c r="Q3514" s="22" t="n">
        <x:v>370</x:v>
      </x:c>
      <x:c r="R3514" s="22" t="n">
        <x:f>Q3514*M3514</x:f>
        <x:v>6290</x:v>
      </x:c>
      <x:c r="S3514" s="22" t="n">
        <x:f>P3514-R3514</x:f>
        <x:v>680</x:v>
      </x:c>
      <x:c r="T3514" t="str">
        <x:v>Bank Transfer</x:v>
      </x:c>
      <x:c r="U3514" t="str">
        <x:v>Pending</x:v>
      </x:c>
      <x:c r="V3514" t="str">
        <x:v>Delayed</x:v>
      </x:c>
      <x:c r="W3514" t="n">
        <x:v>0</x:v>
      </x:c>
      <x:c r="X3514" t="str"/>
      <x:c r="Y3514" t="str">
        <x:v>WhatsApp</x:v>
      </x:c>
    </x:row>
    <x:row r="3515">
      <x:c r="A3515" t="str">
        <x:v>O003514</x:v>
      </x:c>
      <x:c r="B3515" s="20" t="n">
        <x:v>45818</x:v>
      </x:c>
      <x:c r="C3515" t="str">
        <x:v>C0065</x:v>
      </x:c>
      <x:c r="D3515" t="str">
        <x:v>Mysore Stores 65</x:v>
      </x:c>
      <x:c r="E3515" t="str">
        <x:v>Kirana</x:v>
      </x:c>
      <x:c r="F3515" t="str">
        <x:v>Tumakuru</x:v>
      </x:c>
      <x:c r="G3515" t="str">
        <x:v>Sneha</x:v>
      </x:c>
      <x:c r="H3515" t="str">
        <x:v>P010</x:v>
      </x:c>
      <x:c r="I3515" t="str">
        <x:v>Sugar 25kg</x:v>
      </x:c>
      <x:c r="J3515" t="str">
        <x:v>Staples</x:v>
      </x:c>
      <x:c r="K3515" t="str">
        <x:v>Madhur</x:v>
      </x:c>
      <x:c r="L3515" s="22" t="n">
        <x:v>1190</x:v>
      </x:c>
      <x:c r="M3515" t="n">
        <x:v>11</x:v>
      </x:c>
      <x:c r="N3515" s="24" t="n">
        <x:v>0</x:v>
      </x:c>
      <x:c r="O3515" s="22" t="n">
        <x:f>L3515*M3515</x:f>
        <x:v>13090</x:v>
      </x:c>
      <x:c r="P3515" s="22" t="n">
        <x:f>O3515*(1-N3515)</x:f>
        <x:v>13090</x:v>
      </x:c>
      <x:c r="Q3515" s="22" t="n">
        <x:v>1080</x:v>
      </x:c>
      <x:c r="R3515" s="22" t="n">
        <x:f>Q3515*M3515</x:f>
        <x:v>11880</x:v>
      </x:c>
      <x:c r="S3515" s="22" t="n">
        <x:f>P3515-R3515</x:f>
        <x:v>1210</x:v>
      </x:c>
      <x:c r="T3515" t="str">
        <x:v>Bank Transfer</x:v>
      </x:c>
      <x:c r="U3515" t="str">
        <x:v>Paid</x:v>
      </x:c>
      <x:c r="V3515" t="str">
        <x:v>Delivered</x:v>
      </x:c>
      <x:c r="W3515" t="n">
        <x:v>0</x:v>
      </x:c>
      <x:c r="X3515" t="str"/>
      <x:c r="Y3515" t="str">
        <x:v>Existing Customer</x:v>
      </x:c>
    </x:row>
    <x:row r="3516">
      <x:c r="A3516" t="str">
        <x:v>O003515</x:v>
      </x:c>
      <x:c r="B3516" s="20" t="n">
        <x:v>46178</x:v>
      </x:c>
      <x:c r="C3516" t="str">
        <x:v>C0041</x:v>
      </x:c>
      <x:c r="D3516" t="str">
        <x:v>Grand Mart 41</x:v>
      </x:c>
      <x:c r="E3516" t="str">
        <x:v>Cafe</x:v>
      </x:c>
      <x:c r="F3516" t="str">
        <x:v>Bengaluru</x:v>
      </x:c>
      <x:c r="G3516" t="str">
        <x:v>Kavya</x:v>
      </x:c>
      <x:c r="H3516" t="str">
        <x:v>P030</x:v>
      </x:c>
      <x:c r="I3516" t="str">
        <x:v>Mayonnaise 1kg</x:v>
      </x:c>
      <x:c r="J3516" t="str">
        <x:v>Condiments</x:v>
      </x:c>
      <x:c r="K3516" t="str">
        <x:v>Veeba</x:v>
      </x:c>
      <x:c r="L3516" s="22" t="n">
        <x:v>210</x:v>
      </x:c>
      <x:c r="M3516" t="n">
        <x:v>4</x:v>
      </x:c>
      <x:c r="N3516" s="24" t="n">
        <x:v>0.05</x:v>
      </x:c>
      <x:c r="O3516" s="22" t="n">
        <x:f>L3516*M3516</x:f>
        <x:v>840</x:v>
      </x:c>
      <x:c r="P3516" s="22" t="n">
        <x:f>O3516*(1-N3516)</x:f>
        <x:v>798</x:v>
      </x:c>
      <x:c r="Q3516" s="22" t="n">
        <x:v>185</x:v>
      </x:c>
      <x:c r="R3516" s="22" t="n">
        <x:f>Q3516*M3516</x:f>
        <x:v>740</x:v>
      </x:c>
      <x:c r="S3516" s="22" t="n">
        <x:f>P3516-R3516</x:f>
        <x:v>58</x:v>
      </x:c>
      <x:c r="T3516" t="str">
        <x:v>Credit</x:v>
      </x:c>
      <x:c r="U3516" t="str">
        <x:v>Overdue</x:v>
      </x:c>
      <x:c r="V3516" t="str">
        <x:v>Delivered</x:v>
      </x:c>
      <x:c r="W3516" t="n">
        <x:v>0</x:v>
      </x:c>
      <x:c r="X3516" t="str"/>
      <x:c r="Y3516" t="str">
        <x:v>Outbound Call</x:v>
      </x:c>
    </x:row>
    <x:row r="3517">
      <x:c r="A3517" t="str">
        <x:v>O003516</x:v>
      </x:c>
      <x:c r="B3517" s="20" t="n">
        <x:v>45850</x:v>
      </x:c>
      <x:c r="C3517" t="str">
        <x:v>C0235</x:v>
      </x:c>
      <x:c r="D3517" t="str">
        <x:v>Darshini Canteen 235</x:v>
      </x:c>
      <x:c r="E3517" t="str">
        <x:v>Hotel</x:v>
      </x:c>
      <x:c r="F3517" t="str">
        <x:v>Mangaluru</x:v>
      </x:c>
      <x:c r="G3517" t="str">
        <x:v>Arjun</x:v>
      </x:c>
      <x:c r="H3517" t="str">
        <x:v>P014</x:v>
      </x:c>
      <x:c r="I3517" t="str">
        <x:v>Rava 5kg</x:v>
      </x:c>
      <x:c r="J3517" t="str">
        <x:v>Flour</x:v>
      </x:c>
      <x:c r="K3517" t="str">
        <x:v>Local Select</x:v>
      </x:c>
      <x:c r="L3517" s="22" t="n">
        <x:v>245</x:v>
      </x:c>
      <x:c r="M3517" t="n">
        <x:v>35</x:v>
      </x:c>
      <x:c r="N3517" s="24" t="n">
        <x:v>0.05</x:v>
      </x:c>
      <x:c r="O3517" s="22" t="n">
        <x:f>L3517*M3517</x:f>
        <x:v>8575</x:v>
      </x:c>
      <x:c r="P3517" s="22" t="n">
        <x:f>O3517*(1-N3517)</x:f>
        <x:v>8146.25</x:v>
      </x:c>
      <x:c r="Q3517" s="22" t="n">
        <x:v>215</x:v>
      </x:c>
      <x:c r="R3517" s="22" t="n">
        <x:f>Q3517*M3517</x:f>
        <x:v>7525</x:v>
      </x:c>
      <x:c r="S3517" s="22" t="n">
        <x:f>P3517-R3517</x:f>
        <x:v>621.25</x:v>
      </x:c>
      <x:c r="T3517" t="str">
        <x:v>Bank Transfer</x:v>
      </x:c>
      <x:c r="U3517" t="str">
        <x:v>Paid</x:v>
      </x:c>
      <x:c r="V3517" t="str">
        <x:v>Delivered</x:v>
      </x:c>
      <x:c r="W3517" t="n">
        <x:v>0</x:v>
      </x:c>
      <x:c r="X3517" t="str"/>
      <x:c r="Y3517" t="str">
        <x:v>Outbound Call</x:v>
      </x:c>
    </x:row>
    <x:row r="3518">
      <x:c r="A3518" t="str">
        <x:v>O003517</x:v>
      </x:c>
      <x:c r="B3518" s="20" t="n">
        <x:v>45801</x:v>
      </x:c>
      <x:c r="C3518" t="str">
        <x:v>C0055</x:v>
      </x:c>
      <x:c r="D3518" t="str">
        <x:v>Royal Mart 55</x:v>
      </x:c>
      <x:c r="E3518" t="str">
        <x:v>Restaurant</x:v>
      </x:c>
      <x:c r="F3518" t="str">
        <x:v>Hubballi</x:v>
      </x:c>
      <x:c r="G3518" t="str">
        <x:v>Vikram</x:v>
      </x:c>
      <x:c r="H3518" t="str">
        <x:v>P041</x:v>
      </x:c>
      <x:c r="I3518" t="str">
        <x:v>Burger Bun 6pc</x:v>
      </x:c>
      <x:c r="J3518" t="str">
        <x:v>Bakery</x:v>
      </x:c>
      <x:c r="K3518" t="str">
        <x:v>Modern</x:v>
      </x:c>
      <x:c r="L3518" s="22" t="n">
        <x:v>42</x:v>
      </x:c>
      <x:c r="M3518" t="n">
        <x:v>22</x:v>
      </x:c>
      <x:c r="N3518" s="24" t="n">
        <x:v>0.03</x:v>
      </x:c>
      <x:c r="O3518" s="22" t="n">
        <x:f>L3518*M3518</x:f>
        <x:v>924</x:v>
      </x:c>
      <x:c r="P3518" s="22" t="n">
        <x:f>O3518*(1-N3518)</x:f>
        <x:v>896.28</x:v>
      </x:c>
      <x:c r="Q3518" s="22" t="n">
        <x:v>32</x:v>
      </x:c>
      <x:c r="R3518" s="22" t="n">
        <x:f>Q3518*M3518</x:f>
        <x:v>704</x:v>
      </x:c>
      <x:c r="S3518" s="22" t="n">
        <x:f>P3518-R3518</x:f>
        <x:v>192.27999999999997</x:v>
      </x:c>
      <x:c r="T3518" t="str">
        <x:v>Credit</x:v>
      </x:c>
      <x:c r="U3518" t="str">
        <x:v>Paid</x:v>
      </x:c>
      <x:c r="V3518" t="str">
        <x:v>Delivered</x:v>
      </x:c>
      <x:c r="W3518" t="n">
        <x:v>0</x:v>
      </x:c>
      <x:c r="X3518" t="str"/>
      <x:c r="Y3518" t="str">
        <x:v>Field Visit</x:v>
      </x:c>
    </x:row>
    <x:row r="3519">
      <x:c r="A3519" t="str">
        <x:v>O003518</x:v>
      </x:c>
      <x:c r="B3519" s="20" t="n">
        <x:v>46081</x:v>
      </x:c>
      <x:c r="C3519" t="str">
        <x:v>C0095</x:v>
      </x:c>
      <x:c r="D3519" t="str">
        <x:v>Spice Restaurant 95</x:v>
      </x:c>
      <x:c r="E3519" t="str">
        <x:v>Restaurant</x:v>
      </x:c>
      <x:c r="F3519" t="str">
        <x:v>Bengaluru</x:v>
      </x:c>
      <x:c r="G3519" t="str">
        <x:v>Megha</x:v>
      </x:c>
      <x:c r="H3519" t="str">
        <x:v>P036</x:v>
      </x:c>
      <x:c r="I3519" t="str">
        <x:v>Garam Masala 500g</x:v>
      </x:c>
      <x:c r="J3519" t="str">
        <x:v>Spices</x:v>
      </x:c>
      <x:c r="K3519" t="str">
        <x:v>MDH</x:v>
      </x:c>
      <x:c r="L3519" s="22" t="n">
        <x:v>265</x:v>
      </x:c>
      <x:c r="M3519" t="n">
        <x:v>8</x:v>
      </x:c>
      <x:c r="N3519" s="24" t="n">
        <x:v>0.03</x:v>
      </x:c>
      <x:c r="O3519" s="22" t="n">
        <x:f>L3519*M3519</x:f>
        <x:v>2120</x:v>
      </x:c>
      <x:c r="P3519" s="22" t="n">
        <x:f>O3519*(1-N3519)</x:f>
        <x:v>2056.4</x:v>
      </x:c>
      <x:c r="Q3519" s="22" t="n">
        <x:v>230</x:v>
      </x:c>
      <x:c r="R3519" s="22" t="n">
        <x:f>Q3519*M3519</x:f>
        <x:v>1840</x:v>
      </x:c>
      <x:c r="S3519" s="22" t="n">
        <x:f>P3519-R3519</x:f>
        <x:v>216.4000000000001</x:v>
      </x:c>
      <x:c r="T3519" t="str">
        <x:v>Cash</x:v>
      </x:c>
      <x:c r="U3519" t="str">
        <x:v>Overdue</x:v>
      </x:c>
      <x:c r="V3519" t="str">
        <x:v>Cancelled</x:v>
      </x:c>
      <x:c r="W3519" t="n">
        <x:v>8</x:v>
      </x:c>
      <x:c r="X3519" t="str">
        <x:v>Cancelled Order</x:v>
      </x:c>
      <x:c r="Y3519" t="str">
        <x:v>Outbound Call</x:v>
      </x:c>
    </x:row>
    <x:row r="3520">
      <x:c r="A3520" t="str">
        <x:v>O003519</x:v>
      </x:c>
      <x:c r="B3520" s="20" t="n">
        <x:v>45879</x:v>
      </x:c>
      <x:c r="C3520" t="str">
        <x:v>C0071</x:v>
      </x:c>
      <x:c r="D3520" t="str">
        <x:v>Shree Restaurant 71</x:v>
      </x:c>
      <x:c r="E3520" t="str">
        <x:v>Cafe</x:v>
      </x:c>
      <x:c r="F3520" t="str">
        <x:v>Tumakuru</x:v>
      </x:c>
      <x:c r="G3520" t="str">
        <x:v>Sneha</x:v>
      </x:c>
      <x:c r="H3520" t="str">
        <x:v>P027</x:v>
      </x:c>
      <x:c r="I3520" t="str">
        <x:v>Biscuits 120g</x:v>
      </x:c>
      <x:c r="J3520" t="str">
        <x:v>Snacks</x:v>
      </x:c>
      <x:c r="K3520" t="str">
        <x:v>Parle-G</x:v>
      </x:c>
      <x:c r="L3520" s="22" t="n">
        <x:v>12</x:v>
      </x:c>
      <x:c r="M3520" t="n">
        <x:v>15</x:v>
      </x:c>
      <x:c r="N3520" s="24" t="n">
        <x:v>0</x:v>
      </x:c>
      <x:c r="O3520" s="22" t="n">
        <x:f>L3520*M3520</x:f>
        <x:v>180</x:v>
      </x:c>
      <x:c r="P3520" s="22" t="n">
        <x:f>O3520*(1-N3520)</x:f>
        <x:v>180</x:v>
      </x:c>
      <x:c r="Q3520" s="22" t="n">
        <x:v>9</x:v>
      </x:c>
      <x:c r="R3520" s="22" t="n">
        <x:f>Q3520*M3520</x:f>
        <x:v>135</x:v>
      </x:c>
      <x:c r="S3520" s="22" t="n">
        <x:f>P3520-R3520</x:f>
        <x:v>45</x:v>
      </x:c>
      <x:c r="T3520" t="str">
        <x:v>Cash</x:v>
      </x:c>
      <x:c r="U3520" t="str">
        <x:v>Pending</x:v>
      </x:c>
      <x:c r="V3520" t="str">
        <x:v>Delivered</x:v>
      </x:c>
      <x:c r="W3520" t="n">
        <x:v>0</x:v>
      </x:c>
      <x:c r="X3520" t="str"/>
      <x:c r="Y3520" t="str">
        <x:v>WhatsApp</x:v>
      </x:c>
    </x:row>
    <x:row r="3521">
      <x:c r="A3521" t="str">
        <x:v>O003520</x:v>
      </x:c>
      <x:c r="B3521" s="20" t="n">
        <x:v>45724</x:v>
      </x:c>
      <x:c r="C3521" t="str">
        <x:v>C0136</x:v>
      </x:c>
      <x:c r="D3521" t="str">
        <x:v>Royal Cafe 136</x:v>
      </x:c>
      <x:c r="E3521" t="str">
        <x:v>Hotel</x:v>
      </x:c>
      <x:c r="F3521" t="str">
        <x:v>Tumakuru</x:v>
      </x:c>
      <x:c r="G3521" t="str">
        <x:v>Kavya</x:v>
      </x:c>
      <x:c r="H3521" t="str">
        <x:v>P019</x:v>
      </x:c>
      <x:c r="I3521" t="str">
        <x:v>Tea 1kg</x:v>
      </x:c>
      <x:c r="J3521" t="str">
        <x:v>Beverage</x:v>
      </x:c>
      <x:c r="K3521" t="str">
        <x:v>Red Label</x:v>
      </x:c>
      <x:c r="L3521" s="22" t="n">
        <x:v>540</x:v>
      </x:c>
      <x:c r="M3521" t="n">
        <x:v>22</x:v>
      </x:c>
      <x:c r="N3521" s="24" t="n">
        <x:v>0.02</x:v>
      </x:c>
      <x:c r="O3521" s="22" t="n">
        <x:f>L3521*M3521</x:f>
        <x:v>11880</x:v>
      </x:c>
      <x:c r="P3521" s="22" t="n">
        <x:f>O3521*(1-N3521)</x:f>
        <x:v>11642.4</x:v>
      </x:c>
      <x:c r="Q3521" s="22" t="n">
        <x:v>485</x:v>
      </x:c>
      <x:c r="R3521" s="22" t="n">
        <x:f>Q3521*M3521</x:f>
        <x:v>10670</x:v>
      </x:c>
      <x:c r="S3521" s="22" t="n">
        <x:f>P3521-R3521</x:f>
        <x:v>972.3999999999996</x:v>
      </x:c>
      <x:c r="T3521" t="str">
        <x:v>Credit</x:v>
      </x:c>
      <x:c r="U3521" t="str">
        <x:v>Pending</x:v>
      </x:c>
      <x:c r="V3521" t="str">
        <x:v>Delivered</x:v>
      </x:c>
      <x:c r="W3521" t="n">
        <x:v>0</x:v>
      </x:c>
      <x:c r="X3521" t="str"/>
      <x:c r="Y3521" t="str">
        <x:v>Field Visit</x:v>
      </x:c>
    </x:row>
    <x:row r="3522">
      <x:c r="A3522" t="str">
        <x:v>O003521</x:v>
      </x:c>
      <x:c r="B3522" s="20" t="n">
        <x:v>45727</x:v>
      </x:c>
      <x:c r="C3522" t="str">
        <x:v>C0081</x:v>
      </x:c>
      <x:c r="D3522" t="str">
        <x:v>Foodie Mart 81</x:v>
      </x:c>
      <x:c r="E3522" t="str">
        <x:v>Supermarket</x:v>
      </x:c>
      <x:c r="F3522" t="str">
        <x:v>Hubballi</x:v>
      </x:c>
      <x:c r="G3522" t="str">
        <x:v>Kavya</x:v>
      </x:c>
      <x:c r="H3522" t="str">
        <x:v>P049</x:v>
      </x:c>
      <x:c r="I3522" t="str">
        <x:v>Apple 10kg</x:v>
      </x:c>
      <x:c r="J3522" t="str">
        <x:v>Fresh Produce</x:v>
      </x:c>
      <x:c r="K3522" t="str">
        <x:v>Local Market</x:v>
      </x:c>
      <x:c r="L3522" s="22" t="n">
        <x:v>1450</x:v>
      </x:c>
      <x:c r="M3522" t="n">
        <x:v>6</x:v>
      </x:c>
      <x:c r="N3522" s="24" t="n">
        <x:v>0</x:v>
      </x:c>
      <x:c r="O3522" s="22" t="n">
        <x:f>L3522*M3522</x:f>
        <x:v>8700</x:v>
      </x:c>
      <x:c r="P3522" s="22" t="n">
        <x:f>O3522*(1-N3522)</x:f>
        <x:v>8700</x:v>
      </x:c>
      <x:c r="Q3522" s="22" t="n">
        <x:v>1280</x:v>
      </x:c>
      <x:c r="R3522" s="22" t="n">
        <x:f>Q3522*M3522</x:f>
        <x:v>7680</x:v>
      </x:c>
      <x:c r="S3522" s="22" t="n">
        <x:f>P3522-R3522</x:f>
        <x:v>1020</x:v>
      </x:c>
      <x:c r="T3522" t="str">
        <x:v>Credit</x:v>
      </x:c>
      <x:c r="U3522" t="str">
        <x:v>Paid</x:v>
      </x:c>
      <x:c r="V3522" t="str">
        <x:v>Cancelled</x:v>
      </x:c>
      <x:c r="W3522" t="n">
        <x:v>6</x:v>
      </x:c>
      <x:c r="X3522" t="str">
        <x:v>Cancelled Order</x:v>
      </x:c>
      <x:c r="Y3522" t="str">
        <x:v>WhatsApp</x:v>
      </x:c>
    </x:row>
    <x:row r="3523">
      <x:c r="A3523" t="str">
        <x:v>O003522</x:v>
      </x:c>
      <x:c r="B3523" s="20" t="n">
        <x:v>46027</x:v>
      </x:c>
      <x:c r="C3523" t="str">
        <x:v>C0210</x:v>
      </x:c>
      <x:c r="D3523" t="str">
        <x:v>Spice Stores 210</x:v>
      </x:c>
      <x:c r="E3523" t="str">
        <x:v>Cafe</x:v>
      </x:c>
      <x:c r="F3523" t="str">
        <x:v>Davanagere</x:v>
      </x:c>
      <x:c r="G3523" t="str">
        <x:v>Imran</x:v>
      </x:c>
      <x:c r="H3523" t="str">
        <x:v>P037</x:v>
      </x:c>
      <x:c r="I3523" t="str">
        <x:v>Frozen Peas 1kg</x:v>
      </x:c>
      <x:c r="J3523" t="str">
        <x:v>Frozen</x:v>
      </x:c>
      <x:c r="K3523" t="str">
        <x:v>Safal</x:v>
      </x:c>
      <x:c r="L3523" s="22" t="n">
        <x:v>155</x:v>
      </x:c>
      <x:c r="M3523" t="n">
        <x:v>38</x:v>
      </x:c>
      <x:c r="N3523" s="24" t="n">
        <x:v>0.03</x:v>
      </x:c>
      <x:c r="O3523" s="22" t="n">
        <x:f>L3523*M3523</x:f>
        <x:v>5890</x:v>
      </x:c>
      <x:c r="P3523" s="22" t="n">
        <x:f>O3523*(1-N3523)</x:f>
        <x:v>5713.3</x:v>
      </x:c>
      <x:c r="Q3523" s="22" t="n">
        <x:v>138</x:v>
      </x:c>
      <x:c r="R3523" s="22" t="n">
        <x:f>Q3523*M3523</x:f>
        <x:v>5244</x:v>
      </x:c>
      <x:c r="S3523" s="22" t="n">
        <x:f>P3523-R3523</x:f>
        <x:v>469.3000000000002</x:v>
      </x:c>
      <x:c r="T3523" t="str">
        <x:v>Credit</x:v>
      </x:c>
      <x:c r="U3523" t="str">
        <x:v>Paid</x:v>
      </x:c>
      <x:c r="V3523" t="str">
        <x:v>Cancelled</x:v>
      </x:c>
      <x:c r="W3523" t="n">
        <x:v>38</x:v>
      </x:c>
      <x:c r="X3523" t="str">
        <x:v>Cancelled Order</x:v>
      </x:c>
      <x:c r="Y3523" t="str">
        <x:v>Referral</x:v>
      </x:c>
    </x:row>
    <x:row r="3524">
      <x:c r="A3524" t="str">
        <x:v>O003523</x:v>
      </x:c>
      <x:c r="B3524" s="20" t="n">
        <x:v>45980</x:v>
      </x:c>
      <x:c r="C3524" t="str">
        <x:v>C0115</x:v>
      </x:c>
      <x:c r="D3524" t="str">
        <x:v>Mysore Mart 115</x:v>
      </x:c>
      <x:c r="E3524" t="str">
        <x:v>Kirana</x:v>
      </x:c>
      <x:c r="F3524" t="str">
        <x:v>Mangaluru</x:v>
      </x:c>
      <x:c r="G3524" t="str">
        <x:v>Arjun</x:v>
      </x:c>
      <x:c r="H3524" t="str">
        <x:v>P048</x:v>
      </x:c>
      <x:c r="I3524" t="str">
        <x:v>Banana 10kg</x:v>
      </x:c>
      <x:c r="J3524" t="str">
        <x:v>Fresh Produce</x:v>
      </x:c>
      <x:c r="K3524" t="str">
        <x:v>Local Market</x:v>
      </x:c>
      <x:c r="L3524" s="22" t="n">
        <x:v>420</x:v>
      </x:c>
      <x:c r="M3524" t="n">
        <x:v>10</x:v>
      </x:c>
      <x:c r="N3524" s="24" t="n">
        <x:v>0</x:v>
      </x:c>
      <x:c r="O3524" s="22" t="n">
        <x:f>L3524*M3524</x:f>
        <x:v>4200</x:v>
      </x:c>
      <x:c r="P3524" s="22" t="n">
        <x:f>O3524*(1-N3524)</x:f>
        <x:v>4200</x:v>
      </x:c>
      <x:c r="Q3524" s="22" t="n">
        <x:v>350</x:v>
      </x:c>
      <x:c r="R3524" s="22" t="n">
        <x:f>Q3524*M3524</x:f>
        <x:v>3500</x:v>
      </x:c>
      <x:c r="S3524" s="22" t="n">
        <x:f>P3524-R3524</x:f>
        <x:v>700</x:v>
      </x:c>
      <x:c r="T3524" t="str">
        <x:v>Credit</x:v>
      </x:c>
      <x:c r="U3524" t="str">
        <x:v>Pending</x:v>
      </x:c>
      <x:c r="V3524" t="str">
        <x:v>Delayed</x:v>
      </x:c>
      <x:c r="W3524" t="n">
        <x:v>0</x:v>
      </x:c>
      <x:c r="X3524" t="str"/>
      <x:c r="Y3524" t="str">
        <x:v>Field Visit</x:v>
      </x:c>
    </x:row>
    <x:row r="3525">
      <x:c r="A3525" t="str">
        <x:v>O003524</x:v>
      </x:c>
      <x:c r="B3525" s="20" t="n">
        <x:v>46235</x:v>
      </x:c>
      <x:c r="C3525" t="str">
        <x:v>C0023</x:v>
      </x:c>
      <x:c r="D3525" t="str">
        <x:v>Mysore Canteen 23</x:v>
      </x:c>
      <x:c r="E3525" t="str">
        <x:v>Cafe</x:v>
      </x:c>
      <x:c r="F3525" t="str">
        <x:v>Hubballi</x:v>
      </x:c>
      <x:c r="G3525" t="str">
        <x:v>Sneha</x:v>
      </x:c>
      <x:c r="H3525" t="str">
        <x:v>P001</x:v>
      </x:c>
      <x:c r="I3525" t="str">
        <x:v>Steam Rice 25kg</x:v>
      </x:c>
      <x:c r="J3525" t="str">
        <x:v>Staples</x:v>
      </x:c>
      <x:c r="K3525" t="str">
        <x:v>Aishwarya</x:v>
      </x:c>
      <x:c r="L3525" s="22" t="n">
        <x:v>1180</x:v>
      </x:c>
      <x:c r="M3525" t="n">
        <x:v>3</x:v>
      </x:c>
      <x:c r="N3525" s="24" t="n">
        <x:v>0.1</x:v>
      </x:c>
      <x:c r="O3525" s="22" t="n">
        <x:f>L3525*M3525</x:f>
        <x:v>3540</x:v>
      </x:c>
      <x:c r="P3525" s="22" t="n">
        <x:f>O3525*(1-N3525)</x:f>
        <x:v>3186</x:v>
      </x:c>
      <x:c r="Q3525" s="22" t="n">
        <x:v>1040</x:v>
      </x:c>
      <x:c r="R3525" s="22" t="n">
        <x:f>Q3525*M3525</x:f>
        <x:v>3120</x:v>
      </x:c>
      <x:c r="S3525" s="22" t="n">
        <x:f>P3525-R3525</x:f>
        <x:v>66</x:v>
      </x:c>
      <x:c r="T3525" t="str">
        <x:v>Bank Transfer</x:v>
      </x:c>
      <x:c r="U3525" t="str">
        <x:v>Paid</x:v>
      </x:c>
      <x:c r="V3525" t="str">
        <x:v>Cancelled</x:v>
      </x:c>
      <x:c r="W3525" t="n">
        <x:v>3</x:v>
      </x:c>
      <x:c r="X3525" t="str">
        <x:v>Cancelled Order</x:v>
      </x:c>
      <x:c r="Y3525" t="str">
        <x:v>Field Visit</x:v>
      </x:c>
    </x:row>
    <x:row r="3526">
      <x:c r="A3526" t="str">
        <x:v>O003525</x:v>
      </x:c>
      <x:c r="B3526" s="20" t="n">
        <x:v>46035</x:v>
      </x:c>
      <x:c r="C3526" t="str">
        <x:v>C0123</x:v>
      </x:c>
      <x:c r="D3526" t="str">
        <x:v>City Foods 123</x:v>
      </x:c>
      <x:c r="E3526" t="str">
        <x:v>Restaurant</x:v>
      </x:c>
      <x:c r="F3526" t="str">
        <x:v>Davanagere</x:v>
      </x:c>
      <x:c r="G3526" t="str">
        <x:v>Sneha</x:v>
      </x:c>
      <x:c r="H3526" t="str">
        <x:v>P038</x:v>
      </x:c>
      <x:c r="I3526" t="str">
        <x:v>French Fries 2.5kg</x:v>
      </x:c>
      <x:c r="J3526" t="str">
        <x:v>Frozen</x:v>
      </x:c>
      <x:c r="K3526" t="str">
        <x:v>McCain</x:v>
      </x:c>
      <x:c r="L3526" s="22" t="n">
        <x:v>360</x:v>
      </x:c>
      <x:c r="M3526" t="n">
        <x:v>13</x:v>
      </x:c>
      <x:c r="N3526" s="24" t="n">
        <x:v>0.03</x:v>
      </x:c>
      <x:c r="O3526" s="22" t="n">
        <x:f>L3526*M3526</x:f>
        <x:v>4680</x:v>
      </x:c>
      <x:c r="P3526" s="22" t="n">
        <x:f>O3526*(1-N3526)</x:f>
        <x:v>4539.599999999999</x:v>
      </x:c>
      <x:c r="Q3526" s="22" t="n">
        <x:v>315</x:v>
      </x:c>
      <x:c r="R3526" s="22" t="n">
        <x:f>Q3526*M3526</x:f>
        <x:v>4095</x:v>
      </x:c>
      <x:c r="S3526" s="22" t="n">
        <x:f>P3526-R3526</x:f>
        <x:v>444.59999999999945</x:v>
      </x:c>
      <x:c r="T3526" t="str">
        <x:v>Bank Transfer</x:v>
      </x:c>
      <x:c r="U3526" t="str">
        <x:v>Paid</x:v>
      </x:c>
      <x:c r="V3526" t="str">
        <x:v>Delivered</x:v>
      </x:c>
      <x:c r="W3526" t="n">
        <x:v>0</x:v>
      </x:c>
      <x:c r="X3526" t="str"/>
      <x:c r="Y3526" t="str">
        <x:v>Field Visit</x:v>
      </x:c>
    </x:row>
    <x:row r="3527">
      <x:c r="A3527" t="str">
        <x:v>O003526</x:v>
      </x:c>
      <x:c r="B3527" s="20" t="n">
        <x:v>45972</x:v>
      </x:c>
      <x:c r="C3527" t="str">
        <x:v>C0037</x:v>
      </x:c>
      <x:c r="D3527" t="str">
        <x:v>Royal Cafe 37</x:v>
      </x:c>
      <x:c r="E3527" t="str">
        <x:v>Hotel</x:v>
      </x:c>
      <x:c r="F3527" t="str">
        <x:v>Mysuru</x:v>
      </x:c>
      <x:c r="G3527" t="str">
        <x:v>Sneha</x:v>
      </x:c>
      <x:c r="H3527" t="str">
        <x:v>P028</x:v>
      </x:c>
      <x:c r="I3527" t="str">
        <x:v>Cookies 200g</x:v>
      </x:c>
      <x:c r="J3527" t="str">
        <x:v>Snacks</x:v>
      </x:c>
      <x:c r="K3527" t="str">
        <x:v>Britannia</x:v>
      </x:c>
      <x:c r="L3527" s="22" t="n">
        <x:v>55</x:v>
      </x:c>
      <x:c r="M3527" t="n">
        <x:v>14</x:v>
      </x:c>
      <x:c r="N3527" s="24" t="n">
        <x:v>0</x:v>
      </x:c>
      <x:c r="O3527" s="22" t="n">
        <x:f>L3527*M3527</x:f>
        <x:v>770</x:v>
      </x:c>
      <x:c r="P3527" s="22" t="n">
        <x:f>O3527*(1-N3527)</x:f>
        <x:v>770</x:v>
      </x:c>
      <x:c r="Q3527" s="22" t="n">
        <x:v>42</x:v>
      </x:c>
      <x:c r="R3527" s="22" t="n">
        <x:f>Q3527*M3527</x:f>
        <x:v>588</x:v>
      </x:c>
      <x:c r="S3527" s="22" t="n">
        <x:f>P3527-R3527</x:f>
        <x:v>182</x:v>
      </x:c>
      <x:c r="T3527" t="str">
        <x:v>Credit</x:v>
      </x:c>
      <x:c r="U3527" t="str">
        <x:v>Paid</x:v>
      </x:c>
      <x:c r="V3527" t="str">
        <x:v>Delivered</x:v>
      </x:c>
      <x:c r="W3527" t="n">
        <x:v>0</x:v>
      </x:c>
      <x:c r="X3527" t="str"/>
      <x:c r="Y3527" t="str">
        <x:v>WhatsApp</x:v>
      </x:c>
    </x:row>
    <x:row r="3528">
      <x:c r="A3528" t="str">
        <x:v>O003527</x:v>
      </x:c>
      <x:c r="B3528" s="20" t="n">
        <x:v>45804</x:v>
      </x:c>
      <x:c r="C3528" t="str">
        <x:v>C0152</x:v>
      </x:c>
      <x:c r="D3528" t="str">
        <x:v>Metro Stores 152</x:v>
      </x:c>
      <x:c r="E3528" t="str">
        <x:v>Cafe</x:v>
      </x:c>
      <x:c r="F3528" t="str">
        <x:v>Hubballi</x:v>
      </x:c>
      <x:c r="G3528" t="str">
        <x:v>Priya</x:v>
      </x:c>
      <x:c r="H3528" t="str">
        <x:v>P036</x:v>
      </x:c>
      <x:c r="I3528" t="str">
        <x:v>Garam Masala 500g</x:v>
      </x:c>
      <x:c r="J3528" t="str">
        <x:v>Spices</x:v>
      </x:c>
      <x:c r="K3528" t="str">
        <x:v>MDH</x:v>
      </x:c>
      <x:c r="L3528" s="22" t="n">
        <x:v>265</x:v>
      </x:c>
      <x:c r="M3528" t="n">
        <x:v>8</x:v>
      </x:c>
      <x:c r="N3528" s="24" t="n">
        <x:v>0</x:v>
      </x:c>
      <x:c r="O3528" s="22" t="n">
        <x:f>L3528*M3528</x:f>
        <x:v>2120</x:v>
      </x:c>
      <x:c r="P3528" s="22" t="n">
        <x:f>O3528*(1-N3528)</x:f>
        <x:v>2120</x:v>
      </x:c>
      <x:c r="Q3528" s="22" t="n">
        <x:v>230</x:v>
      </x:c>
      <x:c r="R3528" s="22" t="n">
        <x:f>Q3528*M3528</x:f>
        <x:v>1840</x:v>
      </x:c>
      <x:c r="S3528" s="22" t="n">
        <x:f>P3528-R3528</x:f>
        <x:v>280</x:v>
      </x:c>
      <x:c r="T3528" t="str">
        <x:v>Bank Transfer</x:v>
      </x:c>
      <x:c r="U3528" t="str">
        <x:v>Paid</x:v>
      </x:c>
      <x:c r="V3528" t="str">
        <x:v>Delivered</x:v>
      </x:c>
      <x:c r="W3528" t="n">
        <x:v>0</x:v>
      </x:c>
      <x:c r="X3528" t="str"/>
      <x:c r="Y3528" t="str">
        <x:v>Referral</x:v>
      </x:c>
    </x:row>
    <x:row r="3529">
      <x:c r="A3529" t="str">
        <x:v>O003528</x:v>
      </x:c>
      <x:c r="B3529" s="20" t="n">
        <x:v>46036</x:v>
      </x:c>
      <x:c r="C3529" t="str">
        <x:v>C0043</x:v>
      </x:c>
      <x:c r="D3529" t="str">
        <x:v>Namma Kitchen 43</x:v>
      </x:c>
      <x:c r="E3529" t="str">
        <x:v>Supermarket</x:v>
      </x:c>
      <x:c r="F3529" t="str">
        <x:v>Davanagere</x:v>
      </x:c>
      <x:c r="G3529" t="str">
        <x:v>Kavya</x:v>
      </x:c>
      <x:c r="H3529" t="str">
        <x:v>P039</x:v>
      </x:c>
      <x:c r="I3529" t="str">
        <x:v>Ice Cream 4L</x:v>
      </x:c>
      <x:c r="J3529" t="str">
        <x:v>Frozen</x:v>
      </x:c>
      <x:c r="K3529" t="str">
        <x:v>Amul</x:v>
      </x:c>
      <x:c r="L3529" s="22" t="n">
        <x:v>480</x:v>
      </x:c>
      <x:c r="M3529" t="n">
        <x:v>3</x:v>
      </x:c>
      <x:c r="N3529" s="24" t="n">
        <x:v>0</x:v>
      </x:c>
      <x:c r="O3529" s="22" t="n">
        <x:f>L3529*M3529</x:f>
        <x:v>1440</x:v>
      </x:c>
      <x:c r="P3529" s="22" t="n">
        <x:f>O3529*(1-N3529)</x:f>
        <x:v>1440</x:v>
      </x:c>
      <x:c r="Q3529" s="22" t="n">
        <x:v>420</x:v>
      </x:c>
      <x:c r="R3529" s="22" t="n">
        <x:f>Q3529*M3529</x:f>
        <x:v>1260</x:v>
      </x:c>
      <x:c r="S3529" s="22" t="n">
        <x:f>P3529-R3529</x:f>
        <x:v>180</x:v>
      </x:c>
      <x:c r="T3529" t="str">
        <x:v>Cash</x:v>
      </x:c>
      <x:c r="U3529" t="str">
        <x:v>Paid</x:v>
      </x:c>
      <x:c r="V3529" t="str">
        <x:v>Delivered</x:v>
      </x:c>
      <x:c r="W3529" t="n">
        <x:v>0</x:v>
      </x:c>
      <x:c r="X3529" t="str"/>
      <x:c r="Y3529" t="str">
        <x:v>Outbound Call</x:v>
      </x:c>
    </x:row>
    <x:row r="3530">
      <x:c r="A3530" t="str">
        <x:v>O003529</x:v>
      </x:c>
      <x:c r="B3530" s="20" t="n">
        <x:v>46263</x:v>
      </x:c>
      <x:c r="C3530" t="str">
        <x:v>C0111</x:v>
      </x:c>
      <x:c r="D3530" t="str">
        <x:v>Metro Kitchen 111</x:v>
      </x:c>
      <x:c r="E3530" t="str">
        <x:v>Restaurant</x:v>
      </x:c>
      <x:c r="F3530" t="str">
        <x:v>Davanagere</x:v>
      </x:c>
      <x:c r="G3530" t="str">
        <x:v>Sneha</x:v>
      </x:c>
      <x:c r="H3530" t="str">
        <x:v>P044</x:v>
      </x:c>
      <x:c r="I3530" t="str">
        <x:v>Chicken Curry Cut 1kg</x:v>
      </x:c>
      <x:c r="J3530" t="str">
        <x:v>Protein</x:v>
      </x:c>
      <x:c r="K3530" t="str">
        <x:v>FreshToHome</x:v>
      </x:c>
      <x:c r="L3530" s="22" t="n">
        <x:v>230</x:v>
      </x:c>
      <x:c r="M3530" t="n">
        <x:v>22</x:v>
      </x:c>
      <x:c r="N3530" s="24" t="n">
        <x:v>0</x:v>
      </x:c>
      <x:c r="O3530" s="22" t="n">
        <x:f>L3530*M3530</x:f>
        <x:v>5060</x:v>
      </x:c>
      <x:c r="P3530" s="22" t="n">
        <x:f>O3530*(1-N3530)</x:f>
        <x:v>5060</x:v>
      </x:c>
      <x:c r="Q3530" s="22" t="n">
        <x:v>205</x:v>
      </x:c>
      <x:c r="R3530" s="22" t="n">
        <x:f>Q3530*M3530</x:f>
        <x:v>4510</x:v>
      </x:c>
      <x:c r="S3530" s="22" t="n">
        <x:f>P3530-R3530</x:f>
        <x:v>550</x:v>
      </x:c>
      <x:c r="T3530" t="str">
        <x:v>UPI</x:v>
      </x:c>
      <x:c r="U3530" t="str">
        <x:v>Overdue</x:v>
      </x:c>
      <x:c r="V3530" t="str">
        <x:v>Delivered</x:v>
      </x:c>
      <x:c r="W3530" t="n">
        <x:v>0</x:v>
      </x:c>
      <x:c r="X3530" t="str"/>
      <x:c r="Y3530" t="str">
        <x:v>Referral</x:v>
      </x:c>
    </x:row>
    <x:row r="3531">
      <x:c r="A3531" t="str">
        <x:v>O003530</x:v>
      </x:c>
      <x:c r="B3531" s="20" t="n">
        <x:v>46168</x:v>
      </x:c>
      <x:c r="C3531" t="str">
        <x:v>C0169</x:v>
      </x:c>
      <x:c r="D3531" t="str">
        <x:v>Grand Mart 169</x:v>
      </x:c>
      <x:c r="E3531" t="str">
        <x:v>Canteen</x:v>
      </x:c>
      <x:c r="F3531" t="str">
        <x:v>Mangaluru</x:v>
      </x:c>
      <x:c r="G3531" t="str">
        <x:v>Vikram</x:v>
      </x:c>
      <x:c r="H3531" t="str">
        <x:v>P019</x:v>
      </x:c>
      <x:c r="I3531" t="str">
        <x:v>Tea 1kg</x:v>
      </x:c>
      <x:c r="J3531" t="str">
        <x:v>Beverage</x:v>
      </x:c>
      <x:c r="K3531" t="str">
        <x:v>Red Label</x:v>
      </x:c>
      <x:c r="L3531" s="22" t="n">
        <x:v>540</x:v>
      </x:c>
      <x:c r="M3531" t="n">
        <x:v>26</x:v>
      </x:c>
      <x:c r="N3531" s="24" t="n">
        <x:v>0.03</x:v>
      </x:c>
      <x:c r="O3531" s="22" t="n">
        <x:f>L3531*M3531</x:f>
        <x:v>14040</x:v>
      </x:c>
      <x:c r="P3531" s="22" t="n">
        <x:f>O3531*(1-N3531)</x:f>
        <x:v>13618.8</x:v>
      </x:c>
      <x:c r="Q3531" s="22" t="n">
        <x:v>485</x:v>
      </x:c>
      <x:c r="R3531" s="22" t="n">
        <x:f>Q3531*M3531</x:f>
        <x:v>12610</x:v>
      </x:c>
      <x:c r="S3531" s="22" t="n">
        <x:f>P3531-R3531</x:f>
        <x:v>1008.7999999999993</x:v>
      </x:c>
      <x:c r="T3531" t="str">
        <x:v>UPI</x:v>
      </x:c>
      <x:c r="U3531" t="str">
        <x:v>Paid</x:v>
      </x:c>
      <x:c r="V3531" t="str">
        <x:v>Delivered</x:v>
      </x:c>
      <x:c r="W3531" t="n">
        <x:v>0</x:v>
      </x:c>
      <x:c r="X3531" t="str"/>
      <x:c r="Y3531" t="str">
        <x:v>Field Visit</x:v>
      </x:c>
    </x:row>
    <x:row r="3532">
      <x:c r="A3532" t="str">
        <x:v>O003531</x:v>
      </x:c>
      <x:c r="B3532" s="20" t="n">
        <x:v>46044</x:v>
      </x:c>
      <x:c r="C3532" t="str">
        <x:v>C0111</x:v>
      </x:c>
      <x:c r="D3532" t="str">
        <x:v>Metro Kitchen 111</x:v>
      </x:c>
      <x:c r="E3532" t="str">
        <x:v>Restaurant</x:v>
      </x:c>
      <x:c r="F3532" t="str">
        <x:v>Davanagere</x:v>
      </x:c>
      <x:c r="G3532" t="str">
        <x:v>Sneha</x:v>
      </x:c>
      <x:c r="H3532" t="str">
        <x:v>P026</x:v>
      </x:c>
      <x:c r="I3532" t="str">
        <x:v>Banana Chips 80g</x:v>
      </x:c>
      <x:c r="J3532" t="str">
        <x:v>Snacks</x:v>
      </x:c>
      <x:c r="K3532" t="str">
        <x:v>SSS</x:v>
      </x:c>
      <x:c r="L3532" s="22" t="n">
        <x:v>54</x:v>
      </x:c>
      <x:c r="M3532" t="n">
        <x:v>39</x:v>
      </x:c>
      <x:c r="N3532" s="24" t="n">
        <x:v>0.02</x:v>
      </x:c>
      <x:c r="O3532" s="22" t="n">
        <x:f>L3532*M3532</x:f>
        <x:v>2106</x:v>
      </x:c>
      <x:c r="P3532" s="22" t="n">
        <x:f>O3532*(1-N3532)</x:f>
        <x:v>2063.88</x:v>
      </x:c>
      <x:c r="Q3532" s="22" t="n">
        <x:v>39</x:v>
      </x:c>
      <x:c r="R3532" s="22" t="n">
        <x:f>Q3532*M3532</x:f>
        <x:v>1521</x:v>
      </x:c>
      <x:c r="S3532" s="22" t="n">
        <x:f>P3532-R3532</x:f>
        <x:v>542.8800000000001</x:v>
      </x:c>
      <x:c r="T3532" t="str">
        <x:v>Bank Transfer</x:v>
      </x:c>
      <x:c r="U3532" t="str">
        <x:v>Paid</x:v>
      </x:c>
      <x:c r="V3532" t="str">
        <x:v>Cancelled</x:v>
      </x:c>
      <x:c r="W3532" t="n">
        <x:v>39</x:v>
      </x:c>
      <x:c r="X3532" t="str">
        <x:v>Cancelled Order</x:v>
      </x:c>
      <x:c r="Y3532" t="str">
        <x:v>Outbound Call</x:v>
      </x:c>
    </x:row>
    <x:row r="3533">
      <x:c r="A3533" t="str">
        <x:v>O003532</x:v>
      </x:c>
      <x:c r="B3533" s="20" t="n">
        <x:v>45974</x:v>
      </x:c>
      <x:c r="C3533" t="str">
        <x:v>C0145</x:v>
      </x:c>
      <x:c r="D3533" t="str">
        <x:v>Namma Cafe 145</x:v>
      </x:c>
      <x:c r="E3533" t="str">
        <x:v>Kirana</x:v>
      </x:c>
      <x:c r="F3533" t="str">
        <x:v>Tumakuru</x:v>
      </x:c>
      <x:c r="G3533" t="str">
        <x:v>Sneha</x:v>
      </x:c>
      <x:c r="H3533" t="str">
        <x:v>P041</x:v>
      </x:c>
      <x:c r="I3533" t="str">
        <x:v>Burger Bun 6pc</x:v>
      </x:c>
      <x:c r="J3533" t="str">
        <x:v>Bakery</x:v>
      </x:c>
      <x:c r="K3533" t="str">
        <x:v>Modern</x:v>
      </x:c>
      <x:c r="L3533" s="22" t="n">
        <x:v>42</x:v>
      </x:c>
      <x:c r="M3533" t="n">
        <x:v>14</x:v>
      </x:c>
      <x:c r="N3533" s="24" t="n">
        <x:v>0.03</x:v>
      </x:c>
      <x:c r="O3533" s="22" t="n">
        <x:f>L3533*M3533</x:f>
        <x:v>588</x:v>
      </x:c>
      <x:c r="P3533" s="22" t="n">
        <x:f>O3533*(1-N3533)</x:f>
        <x:v>570.36</x:v>
      </x:c>
      <x:c r="Q3533" s="22" t="n">
        <x:v>32</x:v>
      </x:c>
      <x:c r="R3533" s="22" t="n">
        <x:f>Q3533*M3533</x:f>
        <x:v>448</x:v>
      </x:c>
      <x:c r="S3533" s="22" t="n">
        <x:f>P3533-R3533</x:f>
        <x:v>122.36000000000001</x:v>
      </x:c>
      <x:c r="T3533" t="str">
        <x:v>Bank Transfer</x:v>
      </x:c>
      <x:c r="U3533" t="str">
        <x:v>Pending</x:v>
      </x:c>
      <x:c r="V3533" t="str">
        <x:v>Cancelled</x:v>
      </x:c>
      <x:c r="W3533" t="n">
        <x:v>14</x:v>
      </x:c>
      <x:c r="X3533" t="str">
        <x:v>Cancelled Order</x:v>
      </x:c>
      <x:c r="Y3533" t="str">
        <x:v>Field Visit</x:v>
      </x:c>
    </x:row>
    <x:row r="3534">
      <x:c r="A3534" t="str">
        <x:v>O003533</x:v>
      </x:c>
      <x:c r="B3534" s="20" t="n">
        <x:v>45992</x:v>
      </x:c>
      <x:c r="C3534" t="str">
        <x:v>C0005</x:v>
      </x:c>
      <x:c r="D3534" t="str">
        <x:v>Sagar Kitchen 5</x:v>
      </x:c>
      <x:c r="E3534" t="str">
        <x:v>Restaurant</x:v>
      </x:c>
      <x:c r="F3534" t="str">
        <x:v>Hubballi</x:v>
      </x:c>
      <x:c r="G3534" t="str">
        <x:v>Priya</x:v>
      </x:c>
      <x:c r="H3534" t="str">
        <x:v>P034</x:v>
      </x:c>
      <x:c r="I3534" t="str">
        <x:v>Chilli Powder 1kg</x:v>
      </x:c>
      <x:c r="J3534" t="str">
        <x:v>Spices</x:v>
      </x:c>
      <x:c r="K3534" t="str">
        <x:v>MDH</x:v>
      </x:c>
      <x:c r="L3534" s="22" t="n">
        <x:v>340</x:v>
      </x:c>
      <x:c r="M3534" t="n">
        <x:v>22</x:v>
      </x:c>
      <x:c r="N3534" s="24" t="n">
        <x:v>0.03</x:v>
      </x:c>
      <x:c r="O3534" s="22" t="n">
        <x:f>L3534*M3534</x:f>
        <x:v>7480</x:v>
      </x:c>
      <x:c r="P3534" s="22" t="n">
        <x:f>O3534*(1-N3534)</x:f>
        <x:v>7255.599999999999</x:v>
      </x:c>
      <x:c r="Q3534" s="22" t="n">
        <x:v>295</x:v>
      </x:c>
      <x:c r="R3534" s="22" t="n">
        <x:f>Q3534*M3534</x:f>
        <x:v>6490</x:v>
      </x:c>
      <x:c r="S3534" s="22" t="n">
        <x:f>P3534-R3534</x:f>
        <x:v>765.5999999999995</x:v>
      </x:c>
      <x:c r="T3534" t="str">
        <x:v>Cash</x:v>
      </x:c>
      <x:c r="U3534" t="str">
        <x:v>Pending</x:v>
      </x:c>
      <x:c r="V3534" t="str">
        <x:v>Delivered</x:v>
      </x:c>
      <x:c r="W3534" t="n">
        <x:v>0</x:v>
      </x:c>
      <x:c r="X3534" t="str"/>
      <x:c r="Y3534" t="str">
        <x:v>WhatsApp</x:v>
      </x:c>
    </x:row>
    <x:row r="3535">
      <x:c r="A3535" t="str">
        <x:v>O003534</x:v>
      </x:c>
      <x:c r="B3535" s="20" t="n">
        <x:v>46237</x:v>
      </x:c>
      <x:c r="C3535" t="str">
        <x:v>C0097</x:v>
      </x:c>
      <x:c r="D3535" t="str">
        <x:v>Classic Stores 97</x:v>
      </x:c>
      <x:c r="E3535" t="str">
        <x:v>Restaurant</x:v>
      </x:c>
      <x:c r="F3535" t="str">
        <x:v>Davanagere</x:v>
      </x:c>
      <x:c r="G3535" t="str">
        <x:v>Priya</x:v>
      </x:c>
      <x:c r="H3535" t="str">
        <x:v>P025</x:v>
      </x:c>
      <x:c r="I3535" t="str">
        <x:v>Potato Chips 100g</x:v>
      </x:c>
      <x:c r="J3535" t="str">
        <x:v>Snacks</x:v>
      </x:c>
      <x:c r="K3535" t="str">
        <x:v>Lay's</x:v>
      </x:c>
      <x:c r="L3535" s="22" t="n">
        <x:v>35</x:v>
      </x:c>
      <x:c r="M3535" t="n">
        <x:v>10</x:v>
      </x:c>
      <x:c r="N3535" s="24" t="n">
        <x:v>0</x:v>
      </x:c>
      <x:c r="O3535" s="22" t="n">
        <x:f>L3535*M3535</x:f>
        <x:v>350</x:v>
      </x:c>
      <x:c r="P3535" s="22" t="n">
        <x:f>O3535*(1-N3535)</x:f>
        <x:v>350</x:v>
      </x:c>
      <x:c r="Q3535" s="22" t="n">
        <x:v>27</x:v>
      </x:c>
      <x:c r="R3535" s="22" t="n">
        <x:f>Q3535*M3535</x:f>
        <x:v>270</x:v>
      </x:c>
      <x:c r="S3535" s="22" t="n">
        <x:f>P3535-R3535</x:f>
        <x:v>80</x:v>
      </x:c>
      <x:c r="T3535" t="str">
        <x:v>Bank Transfer</x:v>
      </x:c>
      <x:c r="U3535" t="str">
        <x:v>Paid</x:v>
      </x:c>
      <x:c r="V3535" t="str">
        <x:v>Cancelled</x:v>
      </x:c>
      <x:c r="W3535" t="n">
        <x:v>10</x:v>
      </x:c>
      <x:c r="X3535" t="str">
        <x:v>Cancelled Order</x:v>
      </x:c>
      <x:c r="Y3535" t="str">
        <x:v>Referral</x:v>
      </x:c>
    </x:row>
    <x:row r="3536">
      <x:c r="A3536" t="str">
        <x:v>O003535</x:v>
      </x:c>
      <x:c r="B3536" s="20" t="n">
        <x:v>46080</x:v>
      </x:c>
      <x:c r="C3536" t="str">
        <x:v>C0162</x:v>
      </x:c>
      <x:c r="D3536" t="str">
        <x:v>Udupi Foods 162</x:v>
      </x:c>
      <x:c r="E3536" t="str">
        <x:v>Restaurant</x:v>
      </x:c>
      <x:c r="F3536" t="str">
        <x:v>Mysuru</x:v>
      </x:c>
      <x:c r="G3536" t="str">
        <x:v>Ramesh</x:v>
      </x:c>
      <x:c r="H3536" t="str">
        <x:v>P020</x:v>
      </x:c>
      <x:c r="I3536" t="str">
        <x:v>Coffee 500g</x:v>
      </x:c>
      <x:c r="J3536" t="str">
        <x:v>Beverage</x:v>
      </x:c>
      <x:c r="K3536" t="str">
        <x:v>Bru</x:v>
      </x:c>
      <x:c r="L3536" s="22" t="n">
        <x:v>390</x:v>
      </x:c>
      <x:c r="M3536" t="n">
        <x:v>35</x:v>
      </x:c>
      <x:c r="N3536" s="24" t="n">
        <x:v>0.05</x:v>
      </x:c>
      <x:c r="O3536" s="22" t="n">
        <x:f>L3536*M3536</x:f>
        <x:v>13650</x:v>
      </x:c>
      <x:c r="P3536" s="22" t="n">
        <x:f>O3536*(1-N3536)</x:f>
        <x:v>12967.5</x:v>
      </x:c>
      <x:c r="Q3536" s="22" t="n">
        <x:v>350</x:v>
      </x:c>
      <x:c r="R3536" s="22" t="n">
        <x:f>Q3536*M3536</x:f>
        <x:v>12250</x:v>
      </x:c>
      <x:c r="S3536" s="22" t="n">
        <x:f>P3536-R3536</x:f>
        <x:v>717.5</x:v>
      </x:c>
      <x:c r="T3536" t="str">
        <x:v>Bank Transfer</x:v>
      </x:c>
      <x:c r="U3536" t="str">
        <x:v>Paid</x:v>
      </x:c>
      <x:c r="V3536" t="str">
        <x:v>Delivered</x:v>
      </x:c>
      <x:c r="W3536" t="n">
        <x:v>0</x:v>
      </x:c>
      <x:c r="X3536" t="str"/>
      <x:c r="Y3536" t="str">
        <x:v>Field Visit</x:v>
      </x:c>
    </x:row>
    <x:row r="3537">
      <x:c r="A3537" t="str">
        <x:v>O003536</x:v>
      </x:c>
      <x:c r="B3537" s="20" t="n">
        <x:v>45904</x:v>
      </x:c>
      <x:c r="C3537" t="str">
        <x:v>C0050</x:v>
      </x:c>
      <x:c r="D3537" t="str">
        <x:v>Green Stores 50</x:v>
      </x:c>
      <x:c r="E3537" t="str">
        <x:v>Restaurant</x:v>
      </x:c>
      <x:c r="F3537" t="str">
        <x:v>Davanagere</x:v>
      </x:c>
      <x:c r="G3537" t="str">
        <x:v>Vikram</x:v>
      </x:c>
      <x:c r="H3537" t="str">
        <x:v>P050</x:v>
      </x:c>
      <x:c r="I3537" t="str">
        <x:v>Lemon 5kg</x:v>
      </x:c>
      <x:c r="J3537" t="str">
        <x:v>Fresh Produce</x:v>
      </x:c>
      <x:c r="K3537" t="str">
        <x:v>Local Market</x:v>
      </x:c>
      <x:c r="L3537" s="22" t="n">
        <x:v>360</x:v>
      </x:c>
      <x:c r="M3537" t="n">
        <x:v>17</x:v>
      </x:c>
      <x:c r="N3537" s="24" t="n">
        <x:v>0.05</x:v>
      </x:c>
      <x:c r="O3537" s="22" t="n">
        <x:f>L3537*M3537</x:f>
        <x:v>6120</x:v>
      </x:c>
      <x:c r="P3537" s="22" t="n">
        <x:f>O3537*(1-N3537)</x:f>
        <x:v>5814</x:v>
      </x:c>
      <x:c r="Q3537" s="22" t="n">
        <x:v>300</x:v>
      </x:c>
      <x:c r="R3537" s="22" t="n">
        <x:f>Q3537*M3537</x:f>
        <x:v>5100</x:v>
      </x:c>
      <x:c r="S3537" s="22" t="n">
        <x:f>P3537-R3537</x:f>
        <x:v>714</x:v>
      </x:c>
      <x:c r="T3537" t="str">
        <x:v>Credit</x:v>
      </x:c>
      <x:c r="U3537" t="str">
        <x:v>Paid</x:v>
      </x:c>
      <x:c r="V3537" t="str">
        <x:v>Delivered</x:v>
      </x:c>
      <x:c r="W3537" t="n">
        <x:v>1</x:v>
      </x:c>
      <x:c r="X3537" t="str">
        <x:v>Quality Issue</x:v>
      </x:c>
      <x:c r="Y3537" t="str">
        <x:v>Existing Customer</x:v>
      </x:c>
    </x:row>
    <x:row r="3538">
      <x:c r="A3538" t="str">
        <x:v>O003537</x:v>
      </x:c>
      <x:c r="B3538" s="20" t="n">
        <x:v>46217</x:v>
      </x:c>
      <x:c r="C3538" t="str">
        <x:v>C0099</x:v>
      </x:c>
      <x:c r="D3538" t="str">
        <x:v>Green Cafe 99</x:v>
      </x:c>
      <x:c r="E3538" t="str">
        <x:v>Restaurant</x:v>
      </x:c>
      <x:c r="F3538" t="str">
        <x:v>Hubballi</x:v>
      </x:c>
      <x:c r="G3538" t="str">
        <x:v>Ramesh</x:v>
      </x:c>
      <x:c r="H3538" t="str">
        <x:v>P006</x:v>
      </x:c>
      <x:c r="I3538" t="str">
        <x:v>Moong Dal 5kg</x:v>
      </x:c>
      <x:c r="J3538" t="str">
        <x:v>Pulses</x:v>
      </x:c>
      <x:c r="K3538" t="str">
        <x:v>Local Select</x:v>
      </x:c>
      <x:c r="L3538" s="22" t="n">
        <x:v>610</x:v>
      </x:c>
      <x:c r="M3538" t="n">
        <x:v>4</x:v>
      </x:c>
      <x:c r="N3538" s="24" t="n">
        <x:v>0.1</x:v>
      </x:c>
      <x:c r="O3538" s="22" t="n">
        <x:f>L3538*M3538</x:f>
        <x:v>2440</x:v>
      </x:c>
      <x:c r="P3538" s="22" t="n">
        <x:f>O3538*(1-N3538)</x:f>
        <x:v>2196</x:v>
      </x:c>
      <x:c r="Q3538" s="22" t="n">
        <x:v>540</x:v>
      </x:c>
      <x:c r="R3538" s="22" t="n">
        <x:f>Q3538*M3538</x:f>
        <x:v>2160</x:v>
      </x:c>
      <x:c r="S3538" s="22" t="n">
        <x:f>P3538-R3538</x:f>
        <x:v>36</x:v>
      </x:c>
      <x:c r="T3538" t="str">
        <x:v>Credit</x:v>
      </x:c>
      <x:c r="U3538" t="str">
        <x:v>Paid</x:v>
      </x:c>
      <x:c r="V3538" t="str">
        <x:v>Delayed</x:v>
      </x:c>
      <x:c r="W3538" t="n">
        <x:v>0</x:v>
      </x:c>
      <x:c r="X3538" t="str"/>
      <x:c r="Y3538" t="str">
        <x:v>WhatsApp</x:v>
      </x:c>
    </x:row>
    <x:row r="3539">
      <x:c r="A3539" t="str">
        <x:v>O003538</x:v>
      </x:c>
      <x:c r="B3539" s="20" t="n">
        <x:v>46192</x:v>
      </x:c>
      <x:c r="C3539" t="str">
        <x:v>C0192</x:v>
      </x:c>
      <x:c r="D3539" t="str">
        <x:v>Shree Kitchen 192</x:v>
      </x:c>
      <x:c r="E3539" t="str">
        <x:v>Restaurant</x:v>
      </x:c>
      <x:c r="F3539" t="str">
        <x:v>Mysuru</x:v>
      </x:c>
      <x:c r="G3539" t="str">
        <x:v>Sneha</x:v>
      </x:c>
      <x:c r="H3539" t="str">
        <x:v>P034</x:v>
      </x:c>
      <x:c r="I3539" t="str">
        <x:v>Chilli Powder 1kg</x:v>
      </x:c>
      <x:c r="J3539" t="str">
        <x:v>Spices</x:v>
      </x:c>
      <x:c r="K3539" t="str">
        <x:v>MDH</x:v>
      </x:c>
      <x:c r="L3539" s="22" t="n">
        <x:v>340</x:v>
      </x:c>
      <x:c r="M3539" t="n">
        <x:v>31</x:v>
      </x:c>
      <x:c r="N3539" s="24" t="n">
        <x:v>0.08</x:v>
      </x:c>
      <x:c r="O3539" s="22" t="n">
        <x:f>L3539*M3539</x:f>
        <x:v>10540</x:v>
      </x:c>
      <x:c r="P3539" s="22" t="n">
        <x:f>O3539*(1-N3539)</x:f>
        <x:v>9696.800000000001</x:v>
      </x:c>
      <x:c r="Q3539" s="22" t="n">
        <x:v>295</x:v>
      </x:c>
      <x:c r="R3539" s="22" t="n">
        <x:f>Q3539*M3539</x:f>
        <x:v>9145</x:v>
      </x:c>
      <x:c r="S3539" s="22" t="n">
        <x:f>P3539-R3539</x:f>
        <x:v>551.8000000000011</x:v>
      </x:c>
      <x:c r="T3539" t="str">
        <x:v>Bank Transfer</x:v>
      </x:c>
      <x:c r="U3539" t="str">
        <x:v>Paid</x:v>
      </x:c>
      <x:c r="V3539" t="str">
        <x:v>Delivered</x:v>
      </x:c>
      <x:c r="W3539" t="n">
        <x:v>0</x:v>
      </x:c>
      <x:c r="X3539" t="str"/>
      <x:c r="Y3539" t="str">
        <x:v>Field Visit</x:v>
      </x:c>
    </x:row>
    <x:row r="3540">
      <x:c r="A3540" t="str">
        <x:v>O003539</x:v>
      </x:c>
      <x:c r="B3540" s="20" t="n">
        <x:v>46026</x:v>
      </x:c>
      <x:c r="C3540" t="str">
        <x:v>C0194</x:v>
      </x:c>
      <x:c r="D3540" t="str">
        <x:v>Royal Hotel 194</x:v>
      </x:c>
      <x:c r="E3540" t="str">
        <x:v>Kirana</x:v>
      </x:c>
      <x:c r="F3540" t="str">
        <x:v>Mysuru</x:v>
      </x:c>
      <x:c r="G3540" t="str">
        <x:v>Megha</x:v>
      </x:c>
      <x:c r="H3540" t="str">
        <x:v>P016</x:v>
      </x:c>
      <x:c r="I3540" t="str">
        <x:v>Curd 1kg</x:v>
      </x:c>
      <x:c r="J3540" t="str">
        <x:v>Dairy</x:v>
      </x:c>
      <x:c r="K3540" t="str">
        <x:v>Nandini</x:v>
      </x:c>
      <x:c r="L3540" s="22" t="n">
        <x:v>72</x:v>
      </x:c>
      <x:c r="M3540" t="n">
        <x:v>6</x:v>
      </x:c>
      <x:c r="N3540" s="24" t="n">
        <x:v>0.03</x:v>
      </x:c>
      <x:c r="O3540" s="22" t="n">
        <x:f>L3540*M3540</x:f>
        <x:v>432</x:v>
      </x:c>
      <x:c r="P3540" s="22" t="n">
        <x:f>O3540*(1-N3540)</x:f>
        <x:v>419.03999999999996</x:v>
      </x:c>
      <x:c r="Q3540" s="22" t="n">
        <x:v>64</x:v>
      </x:c>
      <x:c r="R3540" s="22" t="n">
        <x:f>Q3540*M3540</x:f>
        <x:v>384</x:v>
      </x:c>
      <x:c r="S3540" s="22" t="n">
        <x:f>P3540-R3540</x:f>
        <x:v>35.039999999999964</x:v>
      </x:c>
      <x:c r="T3540" t="str">
        <x:v>Credit</x:v>
      </x:c>
      <x:c r="U3540" t="str">
        <x:v>Paid</x:v>
      </x:c>
      <x:c r="V3540" t="str">
        <x:v>Delivered</x:v>
      </x:c>
      <x:c r="W3540" t="n">
        <x:v>0</x:v>
      </x:c>
      <x:c r="X3540" t="str"/>
      <x:c r="Y3540" t="str">
        <x:v>Outbound Call</x:v>
      </x:c>
    </x:row>
    <x:row r="3541">
      <x:c r="A3541" t="str">
        <x:v>O003540</x:v>
      </x:c>
      <x:c r="B3541" s="20" t="n">
        <x:v>45706</x:v>
      </x:c>
      <x:c r="C3541" t="str">
        <x:v>C0077</x:v>
      </x:c>
      <x:c r="D3541" t="str">
        <x:v>Spice Cafe 77</x:v>
      </x:c>
      <x:c r="E3541" t="str">
        <x:v>Kirana</x:v>
      </x:c>
      <x:c r="F3541" t="str">
        <x:v>Hubballi</x:v>
      </x:c>
      <x:c r="G3541" t="str">
        <x:v>Vikram</x:v>
      </x:c>
      <x:c r="H3541" t="str">
        <x:v>P018</x:v>
      </x:c>
      <x:c r="I3541" t="str">
        <x:v>Paneer 1kg</x:v>
      </x:c>
      <x:c r="J3541" t="str">
        <x:v>Dairy</x:v>
      </x:c>
      <x:c r="K3541" t="str">
        <x:v>Milky Mist</x:v>
      </x:c>
      <x:c r="L3541" s="22" t="n">
        <x:v>410</x:v>
      </x:c>
      <x:c r="M3541" t="n">
        <x:v>36</x:v>
      </x:c>
      <x:c r="N3541" s="24" t="n">
        <x:v>0.1</x:v>
      </x:c>
      <x:c r="O3541" s="22" t="n">
        <x:f>L3541*M3541</x:f>
        <x:v>14760</x:v>
      </x:c>
      <x:c r="P3541" s="22" t="n">
        <x:f>O3541*(1-N3541)</x:f>
        <x:v>13284</x:v>
      </x:c>
      <x:c r="Q3541" s="22" t="n">
        <x:v>370</x:v>
      </x:c>
      <x:c r="R3541" s="22" t="n">
        <x:f>Q3541*M3541</x:f>
        <x:v>13320</x:v>
      </x:c>
      <x:c r="S3541" s="22" t="n">
        <x:f>P3541-R3541</x:f>
        <x:v>-36</x:v>
      </x:c>
      <x:c r="T3541" t="str">
        <x:v>Bank Transfer</x:v>
      </x:c>
      <x:c r="U3541" t="str">
        <x:v>Paid</x:v>
      </x:c>
      <x:c r="V3541" t="str">
        <x:v>Delivered</x:v>
      </x:c>
      <x:c r="W3541" t="n">
        <x:v>0</x:v>
      </x:c>
      <x:c r="X3541" t="str"/>
      <x:c r="Y3541" t="str">
        <x:v>Existing Customer</x:v>
      </x:c>
    </x:row>
    <x:row r="3542">
      <x:c r="A3542" t="str">
        <x:v>O003541</x:v>
      </x:c>
      <x:c r="B3542" s="20" t="n">
        <x:v>46062</x:v>
      </x:c>
      <x:c r="C3542" t="str">
        <x:v>C0008</x:v>
      </x:c>
      <x:c r="D3542" t="str">
        <x:v>Namma Kitchen 8</x:v>
      </x:c>
      <x:c r="E3542" t="str">
        <x:v>Kirana</x:v>
      </x:c>
      <x:c r="F3542" t="str">
        <x:v>Bengaluru</x:v>
      </x:c>
      <x:c r="G3542" t="str">
        <x:v>Vikram</x:v>
      </x:c>
      <x:c r="H3542" t="str">
        <x:v>P008</x:v>
      </x:c>
      <x:c r="I3542" t="str">
        <x:v>Palm Oil 15L</x:v>
      </x:c>
      <x:c r="J3542" t="str">
        <x:v>Edible Oil</x:v>
      </x:c>
      <x:c r="K3542" t="str">
        <x:v>Ruchi Gold</x:v>
      </x:c>
      <x:c r="L3542" s="22" t="n">
        <x:v>1760</x:v>
      </x:c>
      <x:c r="M3542" t="n">
        <x:v>12</x:v>
      </x:c>
      <x:c r="N3542" s="24" t="n">
        <x:v>0</x:v>
      </x:c>
      <x:c r="O3542" s="22" t="n">
        <x:f>L3542*M3542</x:f>
        <x:v>21120</x:v>
      </x:c>
      <x:c r="P3542" s="22" t="n">
        <x:f>O3542*(1-N3542)</x:f>
        <x:v>21120</x:v>
      </x:c>
      <x:c r="Q3542" s="22" t="n">
        <x:v>1610</x:v>
      </x:c>
      <x:c r="R3542" s="22" t="n">
        <x:f>Q3542*M3542</x:f>
        <x:v>19320</x:v>
      </x:c>
      <x:c r="S3542" s="22" t="n">
        <x:f>P3542-R3542</x:f>
        <x:v>1800</x:v>
      </x:c>
      <x:c r="T3542" t="str">
        <x:v>Credit</x:v>
      </x:c>
      <x:c r="U3542" t="str">
        <x:v>Paid</x:v>
      </x:c>
      <x:c r="V3542" t="str">
        <x:v>Delivered</x:v>
      </x:c>
      <x:c r="W3542" t="n">
        <x:v>0</x:v>
      </x:c>
      <x:c r="X3542" t="str"/>
      <x:c r="Y3542" t="str">
        <x:v>Referral</x:v>
      </x:c>
    </x:row>
    <x:row r="3543">
      <x:c r="A3543" t="str">
        <x:v>O003542</x:v>
      </x:c>
      <x:c r="B3543" s="20" t="n">
        <x:v>45911</x:v>
      </x:c>
      <x:c r="C3543" t="str">
        <x:v>C0127</x:v>
      </x:c>
      <x:c r="D3543" t="str">
        <x:v>Grand Mart 127</x:v>
      </x:c>
      <x:c r="E3543" t="str">
        <x:v>Canteen</x:v>
      </x:c>
      <x:c r="F3543" t="str">
        <x:v>Hubballi</x:v>
      </x:c>
      <x:c r="G3543" t="str">
        <x:v>Imran</x:v>
      </x:c>
      <x:c r="H3543" t="str">
        <x:v>P039</x:v>
      </x:c>
      <x:c r="I3543" t="str">
        <x:v>Ice Cream 4L</x:v>
      </x:c>
      <x:c r="J3543" t="str">
        <x:v>Frozen</x:v>
      </x:c>
      <x:c r="K3543" t="str">
        <x:v>Amul</x:v>
      </x:c>
      <x:c r="L3543" s="22" t="n">
        <x:v>480</x:v>
      </x:c>
      <x:c r="M3543" t="n">
        <x:v>40</x:v>
      </x:c>
      <x:c r="N3543" s="24" t="n">
        <x:v>0.03</x:v>
      </x:c>
      <x:c r="O3543" s="22" t="n">
        <x:f>L3543*M3543</x:f>
        <x:v>19200</x:v>
      </x:c>
      <x:c r="P3543" s="22" t="n">
        <x:f>O3543*(1-N3543)</x:f>
        <x:v>18624</x:v>
      </x:c>
      <x:c r="Q3543" s="22" t="n">
        <x:v>420</x:v>
      </x:c>
      <x:c r="R3543" s="22" t="n">
        <x:f>Q3543*M3543</x:f>
        <x:v>16800</x:v>
      </x:c>
      <x:c r="S3543" s="22" t="n">
        <x:f>P3543-R3543</x:f>
        <x:v>1824</x:v>
      </x:c>
      <x:c r="T3543" t="str">
        <x:v>UPI</x:v>
      </x:c>
      <x:c r="U3543" t="str">
        <x:v>Paid</x:v>
      </x:c>
      <x:c r="V3543" t="str">
        <x:v>Cancelled</x:v>
      </x:c>
      <x:c r="W3543" t="n">
        <x:v>40</x:v>
      </x:c>
      <x:c r="X3543" t="str">
        <x:v>Cancelled Order</x:v>
      </x:c>
      <x:c r="Y3543" t="str">
        <x:v>Referral</x:v>
      </x:c>
    </x:row>
    <x:row r="3544">
      <x:c r="A3544" t="str">
        <x:v>O003543</x:v>
      </x:c>
      <x:c r="B3544" s="20" t="n">
        <x:v>45736</x:v>
      </x:c>
      <x:c r="C3544" t="str">
        <x:v>C0205</x:v>
      </x:c>
      <x:c r="D3544" t="str">
        <x:v>Royal Mart 205</x:v>
      </x:c>
      <x:c r="E3544" t="str">
        <x:v>Kirana</x:v>
      </x:c>
      <x:c r="F3544" t="str">
        <x:v>Mysuru</x:v>
      </x:c>
      <x:c r="G3544" t="str">
        <x:v>Priya</x:v>
      </x:c>
      <x:c r="H3544" t="str">
        <x:v>P002</x:v>
      </x:c>
      <x:c r="I3544" t="str">
        <x:v>Sona Masoori Rice 25kg</x:v>
      </x:c>
      <x:c r="J3544" t="str">
        <x:v>Staples</x:v>
      </x:c>
      <x:c r="K3544" t="str">
        <x:v>Fortune</x:v>
      </x:c>
      <x:c r="L3544" s="22" t="n">
        <x:v>1320</x:v>
      </x:c>
      <x:c r="M3544" t="n">
        <x:v>4</x:v>
      </x:c>
      <x:c r="N3544" s="24" t="n">
        <x:v>0</x:v>
      </x:c>
      <x:c r="O3544" s="22" t="n">
        <x:f>L3544*M3544</x:f>
        <x:v>5280</x:v>
      </x:c>
      <x:c r="P3544" s="22" t="n">
        <x:f>O3544*(1-N3544)</x:f>
        <x:v>5280</x:v>
      </x:c>
      <x:c r="Q3544" s="22" t="n">
        <x:v>1160</x:v>
      </x:c>
      <x:c r="R3544" s="22" t="n">
        <x:f>Q3544*M3544</x:f>
        <x:v>4640</x:v>
      </x:c>
      <x:c r="S3544" s="22" t="n">
        <x:f>P3544-R3544</x:f>
        <x:v>640</x:v>
      </x:c>
      <x:c r="T3544" t="str">
        <x:v>Cash</x:v>
      </x:c>
      <x:c r="U3544" t="str">
        <x:v>Paid</x:v>
      </x:c>
      <x:c r="V3544" t="str">
        <x:v>Delivered</x:v>
      </x:c>
      <x:c r="W3544" t="n">
        <x:v>0</x:v>
      </x:c>
      <x:c r="X3544" t="str"/>
      <x:c r="Y3544" t="str">
        <x:v>Referral</x:v>
      </x:c>
    </x:row>
    <x:row r="3545">
      <x:c r="A3545" t="str">
        <x:v>O003544</x:v>
      </x:c>
      <x:c r="B3545" s="20" t="n">
        <x:v>45879</x:v>
      </x:c>
      <x:c r="C3545" t="str">
        <x:v>C0094</x:v>
      </x:c>
      <x:c r="D3545" t="str">
        <x:v>Mysore Mart 94</x:v>
      </x:c>
      <x:c r="E3545" t="str">
        <x:v>Restaurant</x:v>
      </x:c>
      <x:c r="F3545" t="str">
        <x:v>Hubballi</x:v>
      </x:c>
      <x:c r="G3545" t="str">
        <x:v>Sneha</x:v>
      </x:c>
      <x:c r="H3545" t="str">
        <x:v>P010</x:v>
      </x:c>
      <x:c r="I3545" t="str">
        <x:v>Sugar 25kg</x:v>
      </x:c>
      <x:c r="J3545" t="str">
        <x:v>Staples</x:v>
      </x:c>
      <x:c r="K3545" t="str">
        <x:v>Madhur</x:v>
      </x:c>
      <x:c r="L3545" s="22" t="n">
        <x:v>1190</x:v>
      </x:c>
      <x:c r="M3545" t="n">
        <x:v>4</x:v>
      </x:c>
      <x:c r="N3545" s="24" t="n">
        <x:v>0</x:v>
      </x:c>
      <x:c r="O3545" s="22" t="n">
        <x:f>L3545*M3545</x:f>
        <x:v>4760</x:v>
      </x:c>
      <x:c r="P3545" s="22" t="n">
        <x:f>O3545*(1-N3545)</x:f>
        <x:v>4760</x:v>
      </x:c>
      <x:c r="Q3545" s="22" t="n">
        <x:v>1080</x:v>
      </x:c>
      <x:c r="R3545" s="22" t="n">
        <x:f>Q3545*M3545</x:f>
        <x:v>4320</x:v>
      </x:c>
      <x:c r="S3545" s="22" t="n">
        <x:f>P3545-R3545</x:f>
        <x:v>440</x:v>
      </x:c>
      <x:c r="T3545" t="str">
        <x:v>Credit</x:v>
      </x:c>
      <x:c r="U3545" t="str">
        <x:v>Paid</x:v>
      </x:c>
      <x:c r="V3545" t="str">
        <x:v>Cancelled</x:v>
      </x:c>
      <x:c r="W3545" t="n">
        <x:v>4</x:v>
      </x:c>
      <x:c r="X3545" t="str">
        <x:v>Cancelled Order</x:v>
      </x:c>
      <x:c r="Y3545" t="str">
        <x:v>Referral</x:v>
      </x:c>
    </x:row>
    <x:row r="3546">
      <x:c r="A3546" t="str">
        <x:v>O003545</x:v>
      </x:c>
      <x:c r="B3546" s="20" t="n">
        <x:v>45662</x:v>
      </x:c>
      <x:c r="C3546" t="str">
        <x:v>C0075</x:v>
      </x:c>
      <x:c r="D3546" t="str">
        <x:v>Spice Foods 75</x:v>
      </x:c>
      <x:c r="E3546" t="str">
        <x:v>Kirana</x:v>
      </x:c>
      <x:c r="F3546" t="str">
        <x:v>Hubballi</x:v>
      </x:c>
      <x:c r="G3546" t="str">
        <x:v>Vikram</x:v>
      </x:c>
      <x:c r="H3546" t="str">
        <x:v>P050</x:v>
      </x:c>
      <x:c r="I3546" t="str">
        <x:v>Lemon 5kg</x:v>
      </x:c>
      <x:c r="J3546" t="str">
        <x:v>Fresh Produce</x:v>
      </x:c>
      <x:c r="K3546" t="str">
        <x:v>Local Market</x:v>
      </x:c>
      <x:c r="L3546" s="22" t="n">
        <x:v>360</x:v>
      </x:c>
      <x:c r="M3546" t="n">
        <x:v>38</x:v>
      </x:c>
      <x:c r="N3546" s="24" t="n">
        <x:v>0.03</x:v>
      </x:c>
      <x:c r="O3546" s="22" t="n">
        <x:f>L3546*M3546</x:f>
        <x:v>13680</x:v>
      </x:c>
      <x:c r="P3546" s="22" t="n">
        <x:f>O3546*(1-N3546)</x:f>
        <x:v>13269.6</x:v>
      </x:c>
      <x:c r="Q3546" s="22" t="n">
        <x:v>300</x:v>
      </x:c>
      <x:c r="R3546" s="22" t="n">
        <x:f>Q3546*M3546</x:f>
        <x:v>11400</x:v>
      </x:c>
      <x:c r="S3546" s="22" t="n">
        <x:f>P3546-R3546</x:f>
        <x:v>1869.6000000000004</x:v>
      </x:c>
      <x:c r="T3546" t="str">
        <x:v>UPI</x:v>
      </x:c>
      <x:c r="U3546" t="str">
        <x:v>Paid</x:v>
      </x:c>
      <x:c r="V3546" t="str">
        <x:v>Delivered</x:v>
      </x:c>
      <x:c r="W3546" t="n">
        <x:v>0</x:v>
      </x:c>
      <x:c r="X3546" t="str"/>
      <x:c r="Y3546" t="str">
        <x:v>Outbound Call</x:v>
      </x:c>
    </x:row>
    <x:row r="3547">
      <x:c r="A3547" t="str">
        <x:v>O003546</x:v>
      </x:c>
      <x:c r="B3547" s="20" t="n">
        <x:v>46153</x:v>
      </x:c>
      <x:c r="C3547" t="str">
        <x:v>C0235</x:v>
      </x:c>
      <x:c r="D3547" t="str">
        <x:v>Darshini Canteen 235</x:v>
      </x:c>
      <x:c r="E3547" t="str">
        <x:v>Hotel</x:v>
      </x:c>
      <x:c r="F3547" t="str">
        <x:v>Mangaluru</x:v>
      </x:c>
      <x:c r="G3547" t="str">
        <x:v>Arjun</x:v>
      </x:c>
      <x:c r="H3547" t="str">
        <x:v>P028</x:v>
      </x:c>
      <x:c r="I3547" t="str">
        <x:v>Cookies 200g</x:v>
      </x:c>
      <x:c r="J3547" t="str">
        <x:v>Snacks</x:v>
      </x:c>
      <x:c r="K3547" t="str">
        <x:v>Britannia</x:v>
      </x:c>
      <x:c r="L3547" s="22" t="n">
        <x:v>55</x:v>
      </x:c>
      <x:c r="M3547" t="n">
        <x:v>12</x:v>
      </x:c>
      <x:c r="N3547" s="24" t="n">
        <x:v>0</x:v>
      </x:c>
      <x:c r="O3547" s="22" t="n">
        <x:f>L3547*M3547</x:f>
        <x:v>660</x:v>
      </x:c>
      <x:c r="P3547" s="22" t="n">
        <x:f>O3547*(1-N3547)</x:f>
        <x:v>660</x:v>
      </x:c>
      <x:c r="Q3547" s="22" t="n">
        <x:v>42</x:v>
      </x:c>
      <x:c r="R3547" s="22" t="n">
        <x:f>Q3547*M3547</x:f>
        <x:v>504</x:v>
      </x:c>
      <x:c r="S3547" s="22" t="n">
        <x:f>P3547-R3547</x:f>
        <x:v>156</x:v>
      </x:c>
      <x:c r="T3547" t="str">
        <x:v>UPI</x:v>
      </x:c>
      <x:c r="U3547" t="str">
        <x:v>Paid</x:v>
      </x:c>
      <x:c r="V3547" t="str">
        <x:v>Delivered</x:v>
      </x:c>
      <x:c r="W3547" t="n">
        <x:v>0</x:v>
      </x:c>
      <x:c r="X3547" t="str"/>
      <x:c r="Y3547" t="str">
        <x:v>Referral</x:v>
      </x:c>
    </x:row>
    <x:row r="3548">
      <x:c r="A3548" t="str">
        <x:v>O003547</x:v>
      </x:c>
      <x:c r="B3548" s="20" t="n">
        <x:v>46155</x:v>
      </x:c>
      <x:c r="C3548" t="str">
        <x:v>C0198</x:v>
      </x:c>
      <x:c r="D3548" t="str">
        <x:v>Royal Canteen 198</x:v>
      </x:c>
      <x:c r="E3548" t="str">
        <x:v>Supermarket</x:v>
      </x:c>
      <x:c r="F3548" t="str">
        <x:v>Davanagere</x:v>
      </x:c>
      <x:c r="G3548" t="str">
        <x:v>Arjun</x:v>
      </x:c>
      <x:c r="H3548" t="str">
        <x:v>P030</x:v>
      </x:c>
      <x:c r="I3548" t="str">
        <x:v>Mayonnaise 1kg</x:v>
      </x:c>
      <x:c r="J3548" t="str">
        <x:v>Condiments</x:v>
      </x:c>
      <x:c r="K3548" t="str">
        <x:v>Veeba</x:v>
      </x:c>
      <x:c r="L3548" s="22" t="n">
        <x:v>210</x:v>
      </x:c>
      <x:c r="M3548" t="n">
        <x:v>21</x:v>
      </x:c>
      <x:c r="N3548" s="24" t="n">
        <x:v>0.02</x:v>
      </x:c>
      <x:c r="O3548" s="22" t="n">
        <x:f>L3548*M3548</x:f>
        <x:v>4410</x:v>
      </x:c>
      <x:c r="P3548" s="22" t="n">
        <x:f>O3548*(1-N3548)</x:f>
        <x:v>4321.8</x:v>
      </x:c>
      <x:c r="Q3548" s="22" t="n">
        <x:v>185</x:v>
      </x:c>
      <x:c r="R3548" s="22" t="n">
        <x:f>Q3548*M3548</x:f>
        <x:v>3885</x:v>
      </x:c>
      <x:c r="S3548" s="22" t="n">
        <x:f>P3548-R3548</x:f>
        <x:v>436.8000000000002</x:v>
      </x:c>
      <x:c r="T3548" t="str">
        <x:v>UPI</x:v>
      </x:c>
      <x:c r="U3548" t="str">
        <x:v>Paid</x:v>
      </x:c>
      <x:c r="V3548" t="str">
        <x:v>Delivered</x:v>
      </x:c>
      <x:c r="W3548" t="n">
        <x:v>0</x:v>
      </x:c>
      <x:c r="X3548" t="str"/>
      <x:c r="Y3548" t="str">
        <x:v>Existing Customer</x:v>
      </x:c>
    </x:row>
    <x:row r="3549">
      <x:c r="A3549" t="str">
        <x:v>O003548</x:v>
      </x:c>
      <x:c r="B3549" s="20" t="n">
        <x:v>45739</x:v>
      </x:c>
      <x:c r="C3549" t="str">
        <x:v>C0193</x:v>
      </x:c>
      <x:c r="D3549" t="str">
        <x:v>Udupi Cafe 193</x:v>
      </x:c>
      <x:c r="E3549" t="str">
        <x:v>Restaurant</x:v>
      </x:c>
      <x:c r="F3549" t="str">
        <x:v>Hubballi</x:v>
      </x:c>
      <x:c r="G3549" t="str">
        <x:v>Sneha</x:v>
      </x:c>
      <x:c r="H3549" t="str">
        <x:v>P048</x:v>
      </x:c>
      <x:c r="I3549" t="str">
        <x:v>Banana 10kg</x:v>
      </x:c>
      <x:c r="J3549" t="str">
        <x:v>Fresh Produce</x:v>
      </x:c>
      <x:c r="K3549" t="str">
        <x:v>Local Market</x:v>
      </x:c>
      <x:c r="L3549" s="22" t="n">
        <x:v>420</x:v>
      </x:c>
      <x:c r="M3549" t="n">
        <x:v>30</x:v>
      </x:c>
      <x:c r="N3549" s="24" t="n">
        <x:v>0.02</x:v>
      </x:c>
      <x:c r="O3549" s="22" t="n">
        <x:f>L3549*M3549</x:f>
        <x:v>12600</x:v>
      </x:c>
      <x:c r="P3549" s="22" t="n">
        <x:f>O3549*(1-N3549)</x:f>
        <x:v>12348</x:v>
      </x:c>
      <x:c r="Q3549" s="22" t="n">
        <x:v>350</x:v>
      </x:c>
      <x:c r="R3549" s="22" t="n">
        <x:f>Q3549*M3549</x:f>
        <x:v>10500</x:v>
      </x:c>
      <x:c r="S3549" s="22" t="n">
        <x:f>P3549-R3549</x:f>
        <x:v>1848</x:v>
      </x:c>
      <x:c r="T3549" t="str">
        <x:v>Cash</x:v>
      </x:c>
      <x:c r="U3549" t="str">
        <x:v>Pending</x:v>
      </x:c>
      <x:c r="V3549" t="str">
        <x:v>Delivered</x:v>
      </x:c>
      <x:c r="W3549" t="n">
        <x:v>0</x:v>
      </x:c>
      <x:c r="X3549" t="str"/>
      <x:c r="Y3549" t="str">
        <x:v>Referral</x:v>
      </x:c>
    </x:row>
    <x:row r="3550">
      <x:c r="A3550" t="str">
        <x:v>O003549</x:v>
      </x:c>
      <x:c r="B3550" s="20" t="n">
        <x:v>46200</x:v>
      </x:c>
      <x:c r="C3550" t="str">
        <x:v>C0218</x:v>
      </x:c>
      <x:c r="D3550" t="str">
        <x:v>Green Stores 218</x:v>
      </x:c>
      <x:c r="E3550" t="str">
        <x:v>Hotel</x:v>
      </x:c>
      <x:c r="F3550" t="str">
        <x:v>Mysuru</x:v>
      </x:c>
      <x:c r="G3550" t="str">
        <x:v>Imran</x:v>
      </x:c>
      <x:c r="H3550" t="str">
        <x:v>P020</x:v>
      </x:c>
      <x:c r="I3550" t="str">
        <x:v>Coffee 500g</x:v>
      </x:c>
      <x:c r="J3550" t="str">
        <x:v>Beverage</x:v>
      </x:c>
      <x:c r="K3550" t="str">
        <x:v>Bru</x:v>
      </x:c>
      <x:c r="L3550" s="22" t="n">
        <x:v>390</x:v>
      </x:c>
      <x:c r="M3550" t="n">
        <x:v>16</x:v>
      </x:c>
      <x:c r="N3550" s="24" t="n">
        <x:v>0.02</x:v>
      </x:c>
      <x:c r="O3550" s="22" t="n">
        <x:f>L3550*M3550</x:f>
        <x:v>6240</x:v>
      </x:c>
      <x:c r="P3550" s="22" t="n">
        <x:f>O3550*(1-N3550)</x:f>
        <x:v>6115.2</x:v>
      </x:c>
      <x:c r="Q3550" s="22" t="n">
        <x:v>350</x:v>
      </x:c>
      <x:c r="R3550" s="22" t="n">
        <x:f>Q3550*M3550</x:f>
        <x:v>5600</x:v>
      </x:c>
      <x:c r="S3550" s="22" t="n">
        <x:f>P3550-R3550</x:f>
        <x:v>515.1999999999998</x:v>
      </x:c>
      <x:c r="T3550" t="str">
        <x:v>Bank Transfer</x:v>
      </x:c>
      <x:c r="U3550" t="str">
        <x:v>Pending</x:v>
      </x:c>
      <x:c r="V3550" t="str">
        <x:v>Delayed</x:v>
      </x:c>
      <x:c r="W3550" t="n">
        <x:v>0</x:v>
      </x:c>
      <x:c r="X3550" t="str"/>
      <x:c r="Y3550" t="str">
        <x:v>WhatsApp</x:v>
      </x:c>
    </x:row>
    <x:row r="3551">
      <x:c r="A3551" t="str">
        <x:v>O003550</x:v>
      </x:c>
      <x:c r="B3551" s="20" t="n">
        <x:v>45978</x:v>
      </x:c>
      <x:c r="C3551" t="str">
        <x:v>C0234</x:v>
      </x:c>
      <x:c r="D3551" t="str">
        <x:v>Metro Canteen 234</x:v>
      </x:c>
      <x:c r="E3551" t="str">
        <x:v>Restaurant</x:v>
      </x:c>
      <x:c r="F3551" t="str">
        <x:v>Davanagere</x:v>
      </x:c>
      <x:c r="G3551" t="str">
        <x:v>Priya</x:v>
      </x:c>
      <x:c r="H3551" t="str">
        <x:v>P005</x:v>
      </x:c>
      <x:c r="I3551" t="str">
        <x:v>Chana Dal 5kg</x:v>
      </x:c>
      <x:c r="J3551" t="str">
        <x:v>Pulses</x:v>
      </x:c>
      <x:c r="K3551" t="str">
        <x:v>Local Select</x:v>
      </x:c>
      <x:c r="L3551" s="22" t="n">
        <x:v>520</x:v>
      </x:c>
      <x:c r="M3551" t="n">
        <x:v>19</x:v>
      </x:c>
      <x:c r="N3551" s="24" t="n">
        <x:v>0.05</x:v>
      </x:c>
      <x:c r="O3551" s="22" t="n">
        <x:f>L3551*M3551</x:f>
        <x:v>9880</x:v>
      </x:c>
      <x:c r="P3551" s="22" t="n">
        <x:f>O3551*(1-N3551)</x:f>
        <x:v>9386</x:v>
      </x:c>
      <x:c r="Q3551" s="22" t="n">
        <x:v>455</x:v>
      </x:c>
      <x:c r="R3551" s="22" t="n">
        <x:f>Q3551*M3551</x:f>
        <x:v>8645</x:v>
      </x:c>
      <x:c r="S3551" s="22" t="n">
        <x:f>P3551-R3551</x:f>
        <x:v>741</x:v>
      </x:c>
      <x:c r="T3551" t="str">
        <x:v>Cash</x:v>
      </x:c>
      <x:c r="U3551" t="str">
        <x:v>Paid</x:v>
      </x:c>
      <x:c r="V3551" t="str">
        <x:v>Delivered</x:v>
      </x:c>
      <x:c r="W3551" t="n">
        <x:v>0</x:v>
      </x:c>
      <x:c r="X3551" t="str"/>
      <x:c r="Y3551" t="str">
        <x:v>Outbound Call</x:v>
      </x:c>
    </x:row>
    <x:row r="3552">
      <x:c r="A3552" t="str">
        <x:v>O003551</x:v>
      </x:c>
      <x:c r="B3552" s="20" t="n">
        <x:v>46121</x:v>
      </x:c>
      <x:c r="C3552" t="str">
        <x:v>C0177</x:v>
      </x:c>
      <x:c r="D3552" t="str">
        <x:v>Classic Cafe 177</x:v>
      </x:c>
      <x:c r="E3552" t="str">
        <x:v>Supermarket</x:v>
      </x:c>
      <x:c r="F3552" t="str">
        <x:v>Bengaluru</x:v>
      </x:c>
      <x:c r="G3552" t="str">
        <x:v>Arjun</x:v>
      </x:c>
      <x:c r="H3552" t="str">
        <x:v>P036</x:v>
      </x:c>
      <x:c r="I3552" t="str">
        <x:v>Garam Masala 500g</x:v>
      </x:c>
      <x:c r="J3552" t="str">
        <x:v>Spices</x:v>
      </x:c>
      <x:c r="K3552" t="str">
        <x:v>MDH</x:v>
      </x:c>
      <x:c r="L3552" s="22" t="n">
        <x:v>265</x:v>
      </x:c>
      <x:c r="M3552" t="n">
        <x:v>1</x:v>
      </x:c>
      <x:c r="N3552" s="24" t="n">
        <x:v>0</x:v>
      </x:c>
      <x:c r="O3552" s="22" t="n">
        <x:f>L3552*M3552</x:f>
        <x:v>265</x:v>
      </x:c>
      <x:c r="P3552" s="22" t="n">
        <x:f>O3552*(1-N3552)</x:f>
        <x:v>265</x:v>
      </x:c>
      <x:c r="Q3552" s="22" t="n">
        <x:v>230</x:v>
      </x:c>
      <x:c r="R3552" s="22" t="n">
        <x:f>Q3552*M3552</x:f>
        <x:v>230</x:v>
      </x:c>
      <x:c r="S3552" s="22" t="n">
        <x:f>P3552-R3552</x:f>
        <x:v>35</x:v>
      </x:c>
      <x:c r="T3552" t="str">
        <x:v>Bank Transfer</x:v>
      </x:c>
      <x:c r="U3552" t="str">
        <x:v>Paid</x:v>
      </x:c>
      <x:c r="V3552" t="str">
        <x:v>Delivered</x:v>
      </x:c>
      <x:c r="W3552" t="n">
        <x:v>0</x:v>
      </x:c>
      <x:c r="X3552" t="str"/>
      <x:c r="Y3552" t="str">
        <x:v>Field Visit</x:v>
      </x:c>
    </x:row>
    <x:row r="3553">
      <x:c r="A3553" t="str">
        <x:v>O003552</x:v>
      </x:c>
      <x:c r="B3553" s="20" t="n">
        <x:v>46190</x:v>
      </x:c>
      <x:c r="C3553" t="str">
        <x:v>C0160</x:v>
      </x:c>
      <x:c r="D3553" t="str">
        <x:v>Hotel Foods 160</x:v>
      </x:c>
      <x:c r="E3553" t="str">
        <x:v>Hotel</x:v>
      </x:c>
      <x:c r="F3553" t="str">
        <x:v>Mangaluru</x:v>
      </x:c>
      <x:c r="G3553" t="str">
        <x:v>Sneha</x:v>
      </x:c>
      <x:c r="H3553" t="str">
        <x:v>P016</x:v>
      </x:c>
      <x:c r="I3553" t="str">
        <x:v>Curd 1kg</x:v>
      </x:c>
      <x:c r="J3553" t="str">
        <x:v>Dairy</x:v>
      </x:c>
      <x:c r="K3553" t="str">
        <x:v>Nandini</x:v>
      </x:c>
      <x:c r="L3553" s="22" t="n">
        <x:v>72</x:v>
      </x:c>
      <x:c r="M3553" t="n">
        <x:v>1</x:v>
      </x:c>
      <x:c r="N3553" s="24" t="n">
        <x:v>0.08</x:v>
      </x:c>
      <x:c r="O3553" s="22" t="n">
        <x:f>L3553*M3553</x:f>
        <x:v>72</x:v>
      </x:c>
      <x:c r="P3553" s="22" t="n">
        <x:f>O3553*(1-N3553)</x:f>
        <x:v>66.24000000000001</x:v>
      </x:c>
      <x:c r="Q3553" s="22" t="n">
        <x:v>64</x:v>
      </x:c>
      <x:c r="R3553" s="22" t="n">
        <x:f>Q3553*M3553</x:f>
        <x:v>64</x:v>
      </x:c>
      <x:c r="S3553" s="22" t="n">
        <x:f>P3553-R3553</x:f>
        <x:v>2.240000000000009</x:v>
      </x:c>
      <x:c r="T3553" t="str">
        <x:v>Bank Transfer</x:v>
      </x:c>
      <x:c r="U3553" t="str">
        <x:v>Paid</x:v>
      </x:c>
      <x:c r="V3553" t="str">
        <x:v>Cancelled</x:v>
      </x:c>
      <x:c r="W3553" t="n">
        <x:v>1</x:v>
      </x:c>
      <x:c r="X3553" t="str">
        <x:v>Cancelled Order</x:v>
      </x:c>
      <x:c r="Y3553" t="str">
        <x:v>Existing Customer</x:v>
      </x:c>
    </x:row>
    <x:row r="3554">
      <x:c r="A3554" t="str">
        <x:v>O003553</x:v>
      </x:c>
      <x:c r="B3554" s="20" t="n">
        <x:v>45829</x:v>
      </x:c>
      <x:c r="C3554" t="str">
        <x:v>C0046</x:v>
      </x:c>
      <x:c r="D3554" t="str">
        <x:v>Annapurna Foods 46</x:v>
      </x:c>
      <x:c r="E3554" t="str">
        <x:v>Kirana</x:v>
      </x:c>
      <x:c r="F3554" t="str">
        <x:v>Bengaluru</x:v>
      </x:c>
      <x:c r="G3554" t="str">
        <x:v>Ramesh</x:v>
      </x:c>
      <x:c r="H3554" t="str">
        <x:v>P014</x:v>
      </x:c>
      <x:c r="I3554" t="str">
        <x:v>Rava 5kg</x:v>
      </x:c>
      <x:c r="J3554" t="str">
        <x:v>Flour</x:v>
      </x:c>
      <x:c r="K3554" t="str">
        <x:v>Local Select</x:v>
      </x:c>
      <x:c r="L3554" s="22" t="n">
        <x:v>245</x:v>
      </x:c>
      <x:c r="M3554" t="n">
        <x:v>8</x:v>
      </x:c>
      <x:c r="N3554" s="24" t="n">
        <x:v>0.02</x:v>
      </x:c>
      <x:c r="O3554" s="22" t="n">
        <x:f>L3554*M3554</x:f>
        <x:v>1960</x:v>
      </x:c>
      <x:c r="P3554" s="22" t="n">
        <x:f>O3554*(1-N3554)</x:f>
        <x:v>1920.8</x:v>
      </x:c>
      <x:c r="Q3554" s="22" t="n">
        <x:v>215</x:v>
      </x:c>
      <x:c r="R3554" s="22" t="n">
        <x:f>Q3554*M3554</x:f>
        <x:v>1720</x:v>
      </x:c>
      <x:c r="S3554" s="22" t="n">
        <x:f>P3554-R3554</x:f>
        <x:v>200.79999999999995</x:v>
      </x:c>
      <x:c r="T3554" t="str">
        <x:v>UPI</x:v>
      </x:c>
      <x:c r="U3554" t="str">
        <x:v>Paid</x:v>
      </x:c>
      <x:c r="V3554" t="str">
        <x:v>Delayed</x:v>
      </x:c>
      <x:c r="W3554" t="n">
        <x:v>0</x:v>
      </x:c>
      <x:c r="X3554" t="str"/>
      <x:c r="Y3554" t="str">
        <x:v>Referral</x:v>
      </x:c>
    </x:row>
    <x:row r="3555">
      <x:c r="A3555" t="str">
        <x:v>O003554</x:v>
      </x:c>
      <x:c r="B3555" s="20" t="n">
        <x:v>46217</x:v>
      </x:c>
      <x:c r="C3555" t="str">
        <x:v>C0179</x:v>
      </x:c>
      <x:c r="D3555" t="str">
        <x:v>Shree Hotel 179</x:v>
      </x:c>
      <x:c r="E3555" t="str">
        <x:v>Restaurant</x:v>
      </x:c>
      <x:c r="F3555" t="str">
        <x:v>Hubballi</x:v>
      </x:c>
      <x:c r="G3555" t="str">
        <x:v>Kavya</x:v>
      </x:c>
      <x:c r="H3555" t="str">
        <x:v>P005</x:v>
      </x:c>
      <x:c r="I3555" t="str">
        <x:v>Chana Dal 5kg</x:v>
      </x:c>
      <x:c r="J3555" t="str">
        <x:v>Pulses</x:v>
      </x:c>
      <x:c r="K3555" t="str">
        <x:v>Local Select</x:v>
      </x:c>
      <x:c r="L3555" s="22" t="n">
        <x:v>520</x:v>
      </x:c>
      <x:c r="M3555" t="n">
        <x:v>15</x:v>
      </x:c>
      <x:c r="N3555" s="24" t="n">
        <x:v>0</x:v>
      </x:c>
      <x:c r="O3555" s="22" t="n">
        <x:f>L3555*M3555</x:f>
        <x:v>7800</x:v>
      </x:c>
      <x:c r="P3555" s="22" t="n">
        <x:f>O3555*(1-N3555)</x:f>
        <x:v>7800</x:v>
      </x:c>
      <x:c r="Q3555" s="22" t="n">
        <x:v>455</x:v>
      </x:c>
      <x:c r="R3555" s="22" t="n">
        <x:f>Q3555*M3555</x:f>
        <x:v>6825</x:v>
      </x:c>
      <x:c r="S3555" s="22" t="n">
        <x:f>P3555-R3555</x:f>
        <x:v>975</x:v>
      </x:c>
      <x:c r="T3555" t="str">
        <x:v>Cash</x:v>
      </x:c>
      <x:c r="U3555" t="str">
        <x:v>Paid</x:v>
      </x:c>
      <x:c r="V3555" t="str">
        <x:v>Delivered</x:v>
      </x:c>
      <x:c r="W3555" t="n">
        <x:v>0</x:v>
      </x:c>
      <x:c r="X3555" t="str"/>
      <x:c r="Y3555" t="str">
        <x:v>Field Visit</x:v>
      </x:c>
    </x:row>
    <x:row r="3556">
      <x:c r="A3556" t="str">
        <x:v>O003555</x:v>
      </x:c>
      <x:c r="B3556" s="20" t="n">
        <x:v>45825</x:v>
      </x:c>
      <x:c r="C3556" t="str">
        <x:v>C0223</x:v>
      </x:c>
      <x:c r="D3556" t="str">
        <x:v>Classic Canteen 223</x:v>
      </x:c>
      <x:c r="E3556" t="str">
        <x:v>Restaurant</x:v>
      </x:c>
      <x:c r="F3556" t="str">
        <x:v>Tumakuru</x:v>
      </x:c>
      <x:c r="G3556" t="str">
        <x:v>Kavya</x:v>
      </x:c>
      <x:c r="H3556" t="str">
        <x:v>P003</x:v>
      </x:c>
      <x:c r="I3556" t="str">
        <x:v>Basmati Rice 5kg</x:v>
      </x:c>
      <x:c r="J3556" t="str">
        <x:v>Staples</x:v>
      </x:c>
      <x:c r="K3556" t="str">
        <x:v>India Gate</x:v>
      </x:c>
      <x:c r="L3556" s="22" t="n">
        <x:v>690</x:v>
      </x:c>
      <x:c r="M3556" t="n">
        <x:v>6</x:v>
      </x:c>
      <x:c r="N3556" s="24" t="n">
        <x:v>0</x:v>
      </x:c>
      <x:c r="O3556" s="22" t="n">
        <x:f>L3556*M3556</x:f>
        <x:v>4140</x:v>
      </x:c>
      <x:c r="P3556" s="22" t="n">
        <x:f>O3556*(1-N3556)</x:f>
        <x:v>4140</x:v>
      </x:c>
      <x:c r="Q3556" s="22" t="n">
        <x:v>610</x:v>
      </x:c>
      <x:c r="R3556" s="22" t="n">
        <x:f>Q3556*M3556</x:f>
        <x:v>3660</x:v>
      </x:c>
      <x:c r="S3556" s="22" t="n">
        <x:f>P3556-R3556</x:f>
        <x:v>480</x:v>
      </x:c>
      <x:c r="T3556" t="str">
        <x:v>UPI</x:v>
      </x:c>
      <x:c r="U3556" t="str">
        <x:v>Paid</x:v>
      </x:c>
      <x:c r="V3556" t="str">
        <x:v>Delayed</x:v>
      </x:c>
      <x:c r="W3556" t="n">
        <x:v>0</x:v>
      </x:c>
      <x:c r="X3556" t="str"/>
      <x:c r="Y3556" t="str">
        <x:v>Field Visit</x:v>
      </x:c>
    </x:row>
    <x:row r="3557">
      <x:c r="A3557" t="str">
        <x:v>O003556</x:v>
      </x:c>
      <x:c r="B3557" s="20" t="n">
        <x:v>45878</x:v>
      </x:c>
      <x:c r="C3557" t="str">
        <x:v>C0043</x:v>
      </x:c>
      <x:c r="D3557" t="str">
        <x:v>Namma Kitchen 43</x:v>
      </x:c>
      <x:c r="E3557" t="str">
        <x:v>Supermarket</x:v>
      </x:c>
      <x:c r="F3557" t="str">
        <x:v>Davanagere</x:v>
      </x:c>
      <x:c r="G3557" t="str">
        <x:v>Kavya</x:v>
      </x:c>
      <x:c r="H3557" t="str">
        <x:v>P034</x:v>
      </x:c>
      <x:c r="I3557" t="str">
        <x:v>Chilli Powder 1kg</x:v>
      </x:c>
      <x:c r="J3557" t="str">
        <x:v>Spices</x:v>
      </x:c>
      <x:c r="K3557" t="str">
        <x:v>MDH</x:v>
      </x:c>
      <x:c r="L3557" s="22" t="n">
        <x:v>340</x:v>
      </x:c>
      <x:c r="M3557" t="n">
        <x:v>11</x:v>
      </x:c>
      <x:c r="N3557" s="24" t="n">
        <x:v>0.08</x:v>
      </x:c>
      <x:c r="O3557" s="22" t="n">
        <x:f>L3557*M3557</x:f>
        <x:v>3740</x:v>
      </x:c>
      <x:c r="P3557" s="22" t="n">
        <x:f>O3557*(1-N3557)</x:f>
        <x:v>3440.8</x:v>
      </x:c>
      <x:c r="Q3557" s="22" t="n">
        <x:v>295</x:v>
      </x:c>
      <x:c r="R3557" s="22" t="n">
        <x:f>Q3557*M3557</x:f>
        <x:v>3245</x:v>
      </x:c>
      <x:c r="S3557" s="22" t="n">
        <x:f>P3557-R3557</x:f>
        <x:v>195.80000000000018</x:v>
      </x:c>
      <x:c r="T3557" t="str">
        <x:v>Credit</x:v>
      </x:c>
      <x:c r="U3557" t="str">
        <x:v>Paid</x:v>
      </x:c>
      <x:c r="V3557" t="str">
        <x:v>Delivered</x:v>
      </x:c>
      <x:c r="W3557" t="n">
        <x:v>0</x:v>
      </x:c>
      <x:c r="X3557" t="str"/>
      <x:c r="Y3557" t="str">
        <x:v>Outbound Call</x:v>
      </x:c>
    </x:row>
    <x:row r="3558">
      <x:c r="A3558" t="str">
        <x:v>O003557</x:v>
      </x:c>
      <x:c r="B3558" s="20" t="n">
        <x:v>45773</x:v>
      </x:c>
      <x:c r="C3558" t="str">
        <x:v>C0130</x:v>
      </x:c>
      <x:c r="D3558" t="str">
        <x:v>Foodie Cafe 130</x:v>
      </x:c>
      <x:c r="E3558" t="str">
        <x:v>Restaurant</x:v>
      </x:c>
      <x:c r="F3558" t="str">
        <x:v>Davanagere</x:v>
      </x:c>
      <x:c r="G3558" t="str">
        <x:v>Megha</x:v>
      </x:c>
      <x:c r="H3558" t="str">
        <x:v>P008</x:v>
      </x:c>
      <x:c r="I3558" t="str">
        <x:v>Palm Oil 15L</x:v>
      </x:c>
      <x:c r="J3558" t="str">
        <x:v>Edible Oil</x:v>
      </x:c>
      <x:c r="K3558" t="str">
        <x:v>Ruchi Gold</x:v>
      </x:c>
      <x:c r="L3558" s="22" t="n">
        <x:v>1760</x:v>
      </x:c>
      <x:c r="M3558" t="n">
        <x:v>8</x:v>
      </x:c>
      <x:c r="N3558" s="24" t="n">
        <x:v>0.05</x:v>
      </x:c>
      <x:c r="O3558" s="22" t="n">
        <x:f>L3558*M3558</x:f>
        <x:v>14080</x:v>
      </x:c>
      <x:c r="P3558" s="22" t="n">
        <x:f>O3558*(1-N3558)</x:f>
        <x:v>13376</x:v>
      </x:c>
      <x:c r="Q3558" s="22" t="n">
        <x:v>1610</x:v>
      </x:c>
      <x:c r="R3558" s="22" t="n">
        <x:f>Q3558*M3558</x:f>
        <x:v>12880</x:v>
      </x:c>
      <x:c r="S3558" s="22" t="n">
        <x:f>P3558-R3558</x:f>
        <x:v>496</x:v>
      </x:c>
      <x:c r="T3558" t="str">
        <x:v>Credit</x:v>
      </x:c>
      <x:c r="U3558" t="str">
        <x:v>Pending</x:v>
      </x:c>
      <x:c r="V3558" t="str">
        <x:v>Delayed</x:v>
      </x:c>
      <x:c r="W3558" t="n">
        <x:v>0</x:v>
      </x:c>
      <x:c r="X3558" t="str"/>
      <x:c r="Y3558" t="str">
        <x:v>Outbound Call</x:v>
      </x:c>
    </x:row>
    <x:row r="3559">
      <x:c r="A3559" t="str">
        <x:v>O003558</x:v>
      </x:c>
      <x:c r="B3559" s="20" t="n">
        <x:v>45851</x:v>
      </x:c>
      <x:c r="C3559" t="str">
        <x:v>C0025</x:v>
      </x:c>
      <x:c r="D3559" t="str">
        <x:v>Sri Cafe 25</x:v>
      </x:c>
      <x:c r="E3559" t="str">
        <x:v>Hotel</x:v>
      </x:c>
      <x:c r="F3559" t="str">
        <x:v>Mysuru</x:v>
      </x:c>
      <x:c r="G3559" t="str">
        <x:v>Kavya</x:v>
      </x:c>
      <x:c r="H3559" t="str">
        <x:v>P022</x:v>
      </x:c>
      <x:c r="I3559" t="str">
        <x:v>Mineral Water 1L</x:v>
      </x:c>
      <x:c r="J3559" t="str">
        <x:v>Beverage</x:v>
      </x:c>
      <x:c r="K3559" t="str">
        <x:v>Bisleri</x:v>
      </x:c>
      <x:c r="L3559" s="22" t="n">
        <x:v>19</x:v>
      </x:c>
      <x:c r="M3559" t="n">
        <x:v>33</x:v>
      </x:c>
      <x:c r="N3559" s="24" t="n">
        <x:v>0.02</x:v>
      </x:c>
      <x:c r="O3559" s="22" t="n">
        <x:f>L3559*M3559</x:f>
        <x:v>627</x:v>
      </x:c>
      <x:c r="P3559" s="22" t="n">
        <x:f>O3559*(1-N3559)</x:f>
        <x:v>614.46</x:v>
      </x:c>
      <x:c r="Q3559" s="22" t="n">
        <x:v>15</x:v>
      </x:c>
      <x:c r="R3559" s="22" t="n">
        <x:f>Q3559*M3559</x:f>
        <x:v>495</x:v>
      </x:c>
      <x:c r="S3559" s="22" t="n">
        <x:f>P3559-R3559</x:f>
        <x:v>119.46000000000004</x:v>
      </x:c>
      <x:c r="T3559" t="str">
        <x:v>Cash</x:v>
      </x:c>
      <x:c r="U3559" t="str">
        <x:v>Pending</x:v>
      </x:c>
      <x:c r="V3559" t="str">
        <x:v>Delivered</x:v>
      </x:c>
      <x:c r="W3559" t="n">
        <x:v>0</x:v>
      </x:c>
      <x:c r="X3559" t="str"/>
      <x:c r="Y3559" t="str">
        <x:v>Outbound Call</x:v>
      </x:c>
    </x:row>
    <x:row r="3560">
      <x:c r="A3560" t="str">
        <x:v>O003559</x:v>
      </x:c>
      <x:c r="B3560" s="20" t="n">
        <x:v>46245</x:v>
      </x:c>
      <x:c r="C3560" t="str">
        <x:v>C0011</x:v>
      </x:c>
      <x:c r="D3560" t="str">
        <x:v>City Cafe 11</x:v>
      </x:c>
      <x:c r="E3560" t="str">
        <x:v>Restaurant</x:v>
      </x:c>
      <x:c r="F3560" t="str">
        <x:v>Mangaluru</x:v>
      </x:c>
      <x:c r="G3560" t="str">
        <x:v>Arjun</x:v>
      </x:c>
      <x:c r="H3560" t="str">
        <x:v>P040</x:v>
      </x:c>
      <x:c r="I3560" t="str">
        <x:v>Bread Loaf 400g</x:v>
      </x:c>
      <x:c r="J3560" t="str">
        <x:v>Bakery</x:v>
      </x:c>
      <x:c r="K3560" t="str">
        <x:v>Britannia</x:v>
      </x:c>
      <x:c r="L3560" s="22" t="n">
        <x:v>45</x:v>
      </x:c>
      <x:c r="M3560" t="n">
        <x:v>20</x:v>
      </x:c>
      <x:c r="N3560" s="24" t="n">
        <x:v>0</x:v>
      </x:c>
      <x:c r="O3560" s="22" t="n">
        <x:f>L3560*M3560</x:f>
        <x:v>900</x:v>
      </x:c>
      <x:c r="P3560" s="22" t="n">
        <x:f>O3560*(1-N3560)</x:f>
        <x:v>900</x:v>
      </x:c>
      <x:c r="Q3560" s="22" t="n">
        <x:v>35</x:v>
      </x:c>
      <x:c r="R3560" s="22" t="n">
        <x:f>Q3560*M3560</x:f>
        <x:v>700</x:v>
      </x:c>
      <x:c r="S3560" s="22" t="n">
        <x:f>P3560-R3560</x:f>
        <x:v>200</x:v>
      </x:c>
      <x:c r="T3560" t="str">
        <x:v>Cash</x:v>
      </x:c>
      <x:c r="U3560" t="str">
        <x:v>Paid</x:v>
      </x:c>
      <x:c r="V3560" t="str">
        <x:v>Delivered</x:v>
      </x:c>
      <x:c r="W3560" t="n">
        <x:v>0</x:v>
      </x:c>
      <x:c r="X3560" t="str"/>
      <x:c r="Y3560" t="str">
        <x:v>Outbound Call</x:v>
      </x:c>
    </x:row>
    <x:row r="3561">
      <x:c r="A3561" t="str">
        <x:v>O003560</x:v>
      </x:c>
      <x:c r="B3561" s="20" t="n">
        <x:v>46280</x:v>
      </x:c>
      <x:c r="C3561" t="str">
        <x:v>C0051</x:v>
      </x:c>
      <x:c r="D3561" t="str">
        <x:v>Cafe Hotel 51</x:v>
      </x:c>
      <x:c r="E3561" t="str">
        <x:v>Kirana</x:v>
      </x:c>
      <x:c r="F3561" t="str">
        <x:v>Tumakuru</x:v>
      </x:c>
      <x:c r="G3561" t="str">
        <x:v>Arjun</x:v>
      </x:c>
      <x:c r="H3561" t="str">
        <x:v>P005</x:v>
      </x:c>
      <x:c r="I3561" t="str">
        <x:v>Chana Dal 5kg</x:v>
      </x:c>
      <x:c r="J3561" t="str">
        <x:v>Pulses</x:v>
      </x:c>
      <x:c r="K3561" t="str">
        <x:v>Local Select</x:v>
      </x:c>
      <x:c r="L3561" s="22" t="n">
        <x:v>520</x:v>
      </x:c>
      <x:c r="M3561" t="n">
        <x:v>34</x:v>
      </x:c>
      <x:c r="N3561" s="24" t="n">
        <x:v>0.02</x:v>
      </x:c>
      <x:c r="O3561" s="22" t="n">
        <x:f>L3561*M3561</x:f>
        <x:v>17680</x:v>
      </x:c>
      <x:c r="P3561" s="22" t="n">
        <x:f>O3561*(1-N3561)</x:f>
        <x:v>17326.4</x:v>
      </x:c>
      <x:c r="Q3561" s="22" t="n">
        <x:v>455</x:v>
      </x:c>
      <x:c r="R3561" s="22" t="n">
        <x:f>Q3561*M3561</x:f>
        <x:v>15470</x:v>
      </x:c>
      <x:c r="S3561" s="22" t="n">
        <x:f>P3561-R3561</x:f>
        <x:v>1856.4000000000015</x:v>
      </x:c>
      <x:c r="T3561" t="str">
        <x:v>UPI</x:v>
      </x:c>
      <x:c r="U3561" t="str">
        <x:v>Paid</x:v>
      </x:c>
      <x:c r="V3561" t="str">
        <x:v>Delivered</x:v>
      </x:c>
      <x:c r="W3561" t="n">
        <x:v>3</x:v>
      </x:c>
      <x:c r="X3561" t="str">
        <x:v>Quality Issue</x:v>
      </x:c>
      <x:c r="Y3561" t="str">
        <x:v>Outbound Call</x:v>
      </x:c>
    </x:row>
    <x:row r="3562">
      <x:c r="A3562" t="str">
        <x:v>O003561</x:v>
      </x:c>
      <x:c r="B3562" s="20" t="n">
        <x:v>45825</x:v>
      </x:c>
      <x:c r="C3562" t="str">
        <x:v>C0129</x:v>
      </x:c>
      <x:c r="D3562" t="str">
        <x:v>City Canteen 129</x:v>
      </x:c>
      <x:c r="E3562" t="str">
        <x:v>Kirana</x:v>
      </x:c>
      <x:c r="F3562" t="str">
        <x:v>Hubballi</x:v>
      </x:c>
      <x:c r="G3562" t="str">
        <x:v>Sneha</x:v>
      </x:c>
      <x:c r="H3562" t="str">
        <x:v>P021</x:v>
      </x:c>
      <x:c r="I3562" t="str">
        <x:v>Instant Coffee 200g</x:v>
      </x:c>
      <x:c r="J3562" t="str">
        <x:v>Beverage</x:v>
      </x:c>
      <x:c r="K3562" t="str">
        <x:v>Nescafe</x:v>
      </x:c>
      <x:c r="L3562" s="22" t="n">
        <x:v>460</x:v>
      </x:c>
      <x:c r="M3562" t="n">
        <x:v>36</x:v>
      </x:c>
      <x:c r="N3562" s="24" t="n">
        <x:v>0.02</x:v>
      </x:c>
      <x:c r="O3562" s="22" t="n">
        <x:f>L3562*M3562</x:f>
        <x:v>16560</x:v>
      </x:c>
      <x:c r="P3562" s="22" t="n">
        <x:f>O3562*(1-N3562)</x:f>
        <x:v>16228.8</x:v>
      </x:c>
      <x:c r="Q3562" s="22" t="n">
        <x:v>410</x:v>
      </x:c>
      <x:c r="R3562" s="22" t="n">
        <x:f>Q3562*M3562</x:f>
        <x:v>14760</x:v>
      </x:c>
      <x:c r="S3562" s="22" t="n">
        <x:f>P3562-R3562</x:f>
        <x:v>1468.7999999999993</x:v>
      </x:c>
      <x:c r="T3562" t="str">
        <x:v>Credit</x:v>
      </x:c>
      <x:c r="U3562" t="str">
        <x:v>Paid</x:v>
      </x:c>
      <x:c r="V3562" t="str">
        <x:v>Delivered</x:v>
      </x:c>
      <x:c r="W3562" t="n">
        <x:v>0</x:v>
      </x:c>
      <x:c r="X3562" t="str"/>
      <x:c r="Y3562" t="str">
        <x:v>Existing Customer</x:v>
      </x:c>
    </x:row>
    <x:row r="3563">
      <x:c r="A3563" t="str">
        <x:v>O003562</x:v>
      </x:c>
      <x:c r="B3563" s="20" t="n">
        <x:v>46161</x:v>
      </x:c>
      <x:c r="C3563" t="str">
        <x:v>C0116</x:v>
      </x:c>
      <x:c r="D3563" t="str">
        <x:v>Classic Foods 116</x:v>
      </x:c>
      <x:c r="E3563" t="str">
        <x:v>Supermarket</x:v>
      </x:c>
      <x:c r="F3563" t="str">
        <x:v>Davanagere</x:v>
      </x:c>
      <x:c r="G3563" t="str">
        <x:v>Megha</x:v>
      </x:c>
      <x:c r="H3563" t="str">
        <x:v>P040</x:v>
      </x:c>
      <x:c r="I3563" t="str">
        <x:v>Bread Loaf 400g</x:v>
      </x:c>
      <x:c r="J3563" t="str">
        <x:v>Bakery</x:v>
      </x:c>
      <x:c r="K3563" t="str">
        <x:v>Britannia</x:v>
      </x:c>
      <x:c r="L3563" s="22" t="n">
        <x:v>45</x:v>
      </x:c>
      <x:c r="M3563" t="n">
        <x:v>4</x:v>
      </x:c>
      <x:c r="N3563" s="24" t="n">
        <x:v>0.05</x:v>
      </x:c>
      <x:c r="O3563" s="22" t="n">
        <x:f>L3563*M3563</x:f>
        <x:v>180</x:v>
      </x:c>
      <x:c r="P3563" s="22" t="n">
        <x:f>O3563*(1-N3563)</x:f>
        <x:v>171</x:v>
      </x:c>
      <x:c r="Q3563" s="22" t="n">
        <x:v>35</x:v>
      </x:c>
      <x:c r="R3563" s="22" t="n">
        <x:f>Q3563*M3563</x:f>
        <x:v>140</x:v>
      </x:c>
      <x:c r="S3563" s="22" t="n">
        <x:f>P3563-R3563</x:f>
        <x:v>31</x:v>
      </x:c>
      <x:c r="T3563" t="str">
        <x:v>Bank Transfer</x:v>
      </x:c>
      <x:c r="U3563" t="str">
        <x:v>Overdue</x:v>
      </x:c>
      <x:c r="V3563" t="str">
        <x:v>Cancelled</x:v>
      </x:c>
      <x:c r="W3563" t="n">
        <x:v>4</x:v>
      </x:c>
      <x:c r="X3563" t="str">
        <x:v>Cancelled Order</x:v>
      </x:c>
      <x:c r="Y3563" t="str">
        <x:v>WhatsApp</x:v>
      </x:c>
    </x:row>
    <x:row r="3564">
      <x:c r="A3564" t="str">
        <x:v>O003563</x:v>
      </x:c>
      <x:c r="B3564" s="20" t="n">
        <x:v>45699</x:v>
      </x:c>
      <x:c r="C3564" t="str">
        <x:v>C0169</x:v>
      </x:c>
      <x:c r="D3564" t="str">
        <x:v>Grand Mart 169</x:v>
      </x:c>
      <x:c r="E3564" t="str">
        <x:v>Canteen</x:v>
      </x:c>
      <x:c r="F3564" t="str">
        <x:v>Mangaluru</x:v>
      </x:c>
      <x:c r="G3564" t="str">
        <x:v>Vikram</x:v>
      </x:c>
      <x:c r="H3564" t="str">
        <x:v>P019</x:v>
      </x:c>
      <x:c r="I3564" t="str">
        <x:v>Tea 1kg</x:v>
      </x:c>
      <x:c r="J3564" t="str">
        <x:v>Beverage</x:v>
      </x:c>
      <x:c r="K3564" t="str">
        <x:v>Red Label</x:v>
      </x:c>
      <x:c r="L3564" s="22" t="n">
        <x:v>540</x:v>
      </x:c>
      <x:c r="M3564" t="n">
        <x:v>22</x:v>
      </x:c>
      <x:c r="N3564" s="24" t="n">
        <x:v>0.08</x:v>
      </x:c>
      <x:c r="O3564" s="22" t="n">
        <x:f>L3564*M3564</x:f>
        <x:v>11880</x:v>
      </x:c>
      <x:c r="P3564" s="22" t="n">
        <x:f>O3564*(1-N3564)</x:f>
        <x:v>10929.6</x:v>
      </x:c>
      <x:c r="Q3564" s="22" t="n">
        <x:v>485</x:v>
      </x:c>
      <x:c r="R3564" s="22" t="n">
        <x:f>Q3564*M3564</x:f>
        <x:v>10670</x:v>
      </x:c>
      <x:c r="S3564" s="22" t="n">
        <x:f>P3564-R3564</x:f>
        <x:v>259.60000000000036</x:v>
      </x:c>
      <x:c r="T3564" t="str">
        <x:v>Bank Transfer</x:v>
      </x:c>
      <x:c r="U3564" t="str">
        <x:v>Paid</x:v>
      </x:c>
      <x:c r="V3564" t="str">
        <x:v>Cancelled</x:v>
      </x:c>
      <x:c r="W3564" t="n">
        <x:v>22</x:v>
      </x:c>
      <x:c r="X3564" t="str">
        <x:v>Cancelled Order</x:v>
      </x:c>
      <x:c r="Y3564" t="str">
        <x:v>Outbound Call</x:v>
      </x:c>
    </x:row>
    <x:row r="3565">
      <x:c r="A3565" t="str">
        <x:v>O003564</x:v>
      </x:c>
      <x:c r="B3565" s="20" t="n">
        <x:v>46110</x:v>
      </x:c>
      <x:c r="C3565" t="str">
        <x:v>C0232</x:v>
      </x:c>
      <x:c r="D3565" t="str">
        <x:v>Grand Mart 232</x:v>
      </x:c>
      <x:c r="E3565" t="str">
        <x:v>Cafe</x:v>
      </x:c>
      <x:c r="F3565" t="str">
        <x:v>Davanagere</x:v>
      </x:c>
      <x:c r="G3565" t="str">
        <x:v>Kavya</x:v>
      </x:c>
      <x:c r="H3565" t="str">
        <x:v>P011</x:v>
      </x:c>
      <x:c r="I3565" t="str">
        <x:v>Salt 1kg</x:v>
      </x:c>
      <x:c r="J3565" t="str">
        <x:v>Staples</x:v>
      </x:c>
      <x:c r="K3565" t="str">
        <x:v>Tata</x:v>
      </x:c>
      <x:c r="L3565" s="22" t="n">
        <x:v>28</x:v>
      </x:c>
      <x:c r="M3565" t="n">
        <x:v>11</x:v>
      </x:c>
      <x:c r="N3565" s="24" t="n">
        <x:v>0.03</x:v>
      </x:c>
      <x:c r="O3565" s="22" t="n">
        <x:f>L3565*M3565</x:f>
        <x:v>308</x:v>
      </x:c>
      <x:c r="P3565" s="22" t="n">
        <x:f>O3565*(1-N3565)</x:f>
        <x:v>298.76</x:v>
      </x:c>
      <x:c r="Q3565" s="22" t="n">
        <x:v>23</x:v>
      </x:c>
      <x:c r="R3565" s="22" t="n">
        <x:f>Q3565*M3565</x:f>
        <x:v>253</x:v>
      </x:c>
      <x:c r="S3565" s="22" t="n">
        <x:f>P3565-R3565</x:f>
        <x:v>45.75999999999999</x:v>
      </x:c>
      <x:c r="T3565" t="str">
        <x:v>Credit</x:v>
      </x:c>
      <x:c r="U3565" t="str">
        <x:v>Paid</x:v>
      </x:c>
      <x:c r="V3565" t="str">
        <x:v>Cancelled</x:v>
      </x:c>
      <x:c r="W3565" t="n">
        <x:v>11</x:v>
      </x:c>
      <x:c r="X3565" t="str">
        <x:v>Cancelled Order</x:v>
      </x:c>
      <x:c r="Y3565" t="str">
        <x:v>Referral</x:v>
      </x:c>
    </x:row>
    <x:row r="3566">
      <x:c r="A3566" t="str">
        <x:v>O003565</x:v>
      </x:c>
      <x:c r="B3566" s="20" t="n">
        <x:v>45778</x:v>
      </x:c>
      <x:c r="C3566" t="str">
        <x:v>C0145</x:v>
      </x:c>
      <x:c r="D3566" t="str">
        <x:v>Namma Cafe 145</x:v>
      </x:c>
      <x:c r="E3566" t="str">
        <x:v>Kirana</x:v>
      </x:c>
      <x:c r="F3566" t="str">
        <x:v>Tumakuru</x:v>
      </x:c>
      <x:c r="G3566" t="str">
        <x:v>Sneha</x:v>
      </x:c>
      <x:c r="H3566" t="str">
        <x:v>P002</x:v>
      </x:c>
      <x:c r="I3566" t="str">
        <x:v>Sona Masoori Rice 25kg</x:v>
      </x:c>
      <x:c r="J3566" t="str">
        <x:v>Staples</x:v>
      </x:c>
      <x:c r="K3566" t="str">
        <x:v>Fortune</x:v>
      </x:c>
      <x:c r="L3566" s="22" t="n">
        <x:v>1320</x:v>
      </x:c>
      <x:c r="M3566" t="n">
        <x:v>4</x:v>
      </x:c>
      <x:c r="N3566" s="24" t="n">
        <x:v>0</x:v>
      </x:c>
      <x:c r="O3566" s="22" t="n">
        <x:f>L3566*M3566</x:f>
        <x:v>5280</x:v>
      </x:c>
      <x:c r="P3566" s="22" t="n">
        <x:f>O3566*(1-N3566)</x:f>
        <x:v>5280</x:v>
      </x:c>
      <x:c r="Q3566" s="22" t="n">
        <x:v>1160</x:v>
      </x:c>
      <x:c r="R3566" s="22" t="n">
        <x:f>Q3566*M3566</x:f>
        <x:v>4640</x:v>
      </x:c>
      <x:c r="S3566" s="22" t="n">
        <x:f>P3566-R3566</x:f>
        <x:v>640</x:v>
      </x:c>
      <x:c r="T3566" t="str">
        <x:v>Cash</x:v>
      </x:c>
      <x:c r="U3566" t="str">
        <x:v>Paid</x:v>
      </x:c>
      <x:c r="V3566" t="str">
        <x:v>Delivered</x:v>
      </x:c>
      <x:c r="W3566" t="n">
        <x:v>2</x:v>
      </x:c>
      <x:c r="X3566" t="str">
        <x:v>Quality Issue</x:v>
      </x:c>
      <x:c r="Y3566" t="str">
        <x:v>Outbound Call</x:v>
      </x:c>
    </x:row>
    <x:row r="3567">
      <x:c r="A3567" t="str">
        <x:v>O003566</x:v>
      </x:c>
      <x:c r="B3567" s="20" t="n">
        <x:v>46204</x:v>
      </x:c>
      <x:c r="C3567" t="str">
        <x:v>C0051</x:v>
      </x:c>
      <x:c r="D3567" t="str">
        <x:v>Cafe Hotel 51</x:v>
      </x:c>
      <x:c r="E3567" t="str">
        <x:v>Kirana</x:v>
      </x:c>
      <x:c r="F3567" t="str">
        <x:v>Tumakuru</x:v>
      </x:c>
      <x:c r="G3567" t="str">
        <x:v>Arjun</x:v>
      </x:c>
      <x:c r="H3567" t="str">
        <x:v>P025</x:v>
      </x:c>
      <x:c r="I3567" t="str">
        <x:v>Potato Chips 100g</x:v>
      </x:c>
      <x:c r="J3567" t="str">
        <x:v>Snacks</x:v>
      </x:c>
      <x:c r="K3567" t="str">
        <x:v>Lay's</x:v>
      </x:c>
      <x:c r="L3567" s="22" t="n">
        <x:v>35</x:v>
      </x:c>
      <x:c r="M3567" t="n">
        <x:v>2</x:v>
      </x:c>
      <x:c r="N3567" s="24" t="n">
        <x:v>0</x:v>
      </x:c>
      <x:c r="O3567" s="22" t="n">
        <x:f>L3567*M3567</x:f>
        <x:v>70</x:v>
      </x:c>
      <x:c r="P3567" s="22" t="n">
        <x:f>O3567*(1-N3567)</x:f>
        <x:v>70</x:v>
      </x:c>
      <x:c r="Q3567" s="22" t="n">
        <x:v>27</x:v>
      </x:c>
      <x:c r="R3567" s="22" t="n">
        <x:f>Q3567*M3567</x:f>
        <x:v>54</x:v>
      </x:c>
      <x:c r="S3567" s="22" t="n">
        <x:f>P3567-R3567</x:f>
        <x:v>16</x:v>
      </x:c>
      <x:c r="T3567" t="str">
        <x:v>UPI</x:v>
      </x:c>
      <x:c r="U3567" t="str">
        <x:v>Paid</x:v>
      </x:c>
      <x:c r="V3567" t="str">
        <x:v>Delivered</x:v>
      </x:c>
      <x:c r="W3567" t="n">
        <x:v>0</x:v>
      </x:c>
      <x:c r="X3567" t="str"/>
      <x:c r="Y3567" t="str">
        <x:v>WhatsApp</x:v>
      </x:c>
    </x:row>
    <x:row r="3568">
      <x:c r="A3568" t="str">
        <x:v>O003567</x:v>
      </x:c>
      <x:c r="B3568" s="20" t="n">
        <x:v>46138</x:v>
      </x:c>
      <x:c r="C3568" t="str">
        <x:v>C0017</x:v>
      </x:c>
      <x:c r="D3568" t="str">
        <x:v>City Foods 17</x:v>
      </x:c>
      <x:c r="E3568" t="str">
        <x:v>Restaurant</x:v>
      </x:c>
      <x:c r="F3568" t="str">
        <x:v>Tumakuru</x:v>
      </x:c>
      <x:c r="G3568" t="str">
        <x:v>Imran</x:v>
      </x:c>
      <x:c r="H3568" t="str">
        <x:v>P044</x:v>
      </x:c>
      <x:c r="I3568" t="str">
        <x:v>Chicken Curry Cut 1kg</x:v>
      </x:c>
      <x:c r="J3568" t="str">
        <x:v>Protein</x:v>
      </x:c>
      <x:c r="K3568" t="str">
        <x:v>FreshToHome</x:v>
      </x:c>
      <x:c r="L3568" s="22" t="n">
        <x:v>230</x:v>
      </x:c>
      <x:c r="M3568" t="n">
        <x:v>18</x:v>
      </x:c>
      <x:c r="N3568" s="24" t="n">
        <x:v>0.08</x:v>
      </x:c>
      <x:c r="O3568" s="22" t="n">
        <x:f>L3568*M3568</x:f>
        <x:v>4140</x:v>
      </x:c>
      <x:c r="P3568" s="22" t="n">
        <x:f>O3568*(1-N3568)</x:f>
        <x:v>3808.8</x:v>
      </x:c>
      <x:c r="Q3568" s="22" t="n">
        <x:v>205</x:v>
      </x:c>
      <x:c r="R3568" s="22" t="n">
        <x:f>Q3568*M3568</x:f>
        <x:v>3690</x:v>
      </x:c>
      <x:c r="S3568" s="22" t="n">
        <x:f>P3568-R3568</x:f>
        <x:v>118.80000000000018</x:v>
      </x:c>
      <x:c r="T3568" t="str">
        <x:v>Credit</x:v>
      </x:c>
      <x:c r="U3568" t="str">
        <x:v>Pending</x:v>
      </x:c>
      <x:c r="V3568" t="str">
        <x:v>Cancelled</x:v>
      </x:c>
      <x:c r="W3568" t="n">
        <x:v>18</x:v>
      </x:c>
      <x:c r="X3568" t="str">
        <x:v>Cancelled Order</x:v>
      </x:c>
      <x:c r="Y3568" t="str">
        <x:v>Outbound Call</x:v>
      </x:c>
    </x:row>
    <x:row r="3569">
      <x:c r="A3569" t="str">
        <x:v>O003568</x:v>
      </x:c>
      <x:c r="B3569" s="20" t="n">
        <x:v>45936</x:v>
      </x:c>
      <x:c r="C3569" t="str">
        <x:v>C0172</x:v>
      </x:c>
      <x:c r="D3569" t="str">
        <x:v>Annapurna Stores 172</x:v>
      </x:c>
      <x:c r="E3569" t="str">
        <x:v>Restaurant</x:v>
      </x:c>
      <x:c r="F3569" t="str">
        <x:v>Mangaluru</x:v>
      </x:c>
      <x:c r="G3569" t="str">
        <x:v>Megha</x:v>
      </x:c>
      <x:c r="H3569" t="str">
        <x:v>P026</x:v>
      </x:c>
      <x:c r="I3569" t="str">
        <x:v>Banana Chips 80g</x:v>
      </x:c>
      <x:c r="J3569" t="str">
        <x:v>Snacks</x:v>
      </x:c>
      <x:c r="K3569" t="str">
        <x:v>SSS</x:v>
      </x:c>
      <x:c r="L3569" s="22" t="n">
        <x:v>54</x:v>
      </x:c>
      <x:c r="M3569" t="n">
        <x:v>35</x:v>
      </x:c>
      <x:c r="N3569" s="24" t="n">
        <x:v>0.02</x:v>
      </x:c>
      <x:c r="O3569" s="22" t="n">
        <x:f>L3569*M3569</x:f>
        <x:v>1890</x:v>
      </x:c>
      <x:c r="P3569" s="22" t="n">
        <x:f>O3569*(1-N3569)</x:f>
        <x:v>1852.2</x:v>
      </x:c>
      <x:c r="Q3569" s="22" t="n">
        <x:v>39</x:v>
      </x:c>
      <x:c r="R3569" s="22" t="n">
        <x:f>Q3569*M3569</x:f>
        <x:v>1365</x:v>
      </x:c>
      <x:c r="S3569" s="22" t="n">
        <x:f>P3569-R3569</x:f>
        <x:v>487.20000000000005</x:v>
      </x:c>
      <x:c r="T3569" t="str">
        <x:v>Credit</x:v>
      </x:c>
      <x:c r="U3569" t="str">
        <x:v>Paid</x:v>
      </x:c>
      <x:c r="V3569" t="str">
        <x:v>Delayed</x:v>
      </x:c>
      <x:c r="W3569" t="n">
        <x:v>0</x:v>
      </x:c>
      <x:c r="X3569" t="str"/>
      <x:c r="Y3569" t="str">
        <x:v>Existing Customer</x:v>
      </x:c>
    </x:row>
    <x:row r="3570">
      <x:c r="A3570" t="str">
        <x:v>O003569</x:v>
      </x:c>
      <x:c r="B3570" s="20" t="n">
        <x:v>45749</x:v>
      </x:c>
      <x:c r="C3570" t="str">
        <x:v>C0050</x:v>
      </x:c>
      <x:c r="D3570" t="str">
        <x:v>Green Stores 50</x:v>
      </x:c>
      <x:c r="E3570" t="str">
        <x:v>Restaurant</x:v>
      </x:c>
      <x:c r="F3570" t="str">
        <x:v>Davanagere</x:v>
      </x:c>
      <x:c r="G3570" t="str">
        <x:v>Vikram</x:v>
      </x:c>
      <x:c r="H3570" t="str">
        <x:v>P041</x:v>
      </x:c>
      <x:c r="I3570" t="str">
        <x:v>Burger Bun 6pc</x:v>
      </x:c>
      <x:c r="J3570" t="str">
        <x:v>Bakery</x:v>
      </x:c>
      <x:c r="K3570" t="str">
        <x:v>Modern</x:v>
      </x:c>
      <x:c r="L3570" s="22" t="n">
        <x:v>42</x:v>
      </x:c>
      <x:c r="M3570" t="n">
        <x:v>11</x:v>
      </x:c>
      <x:c r="N3570" s="24" t="n">
        <x:v>0.08</x:v>
      </x:c>
      <x:c r="O3570" s="22" t="n">
        <x:f>L3570*M3570</x:f>
        <x:v>462</x:v>
      </x:c>
      <x:c r="P3570" s="22" t="n">
        <x:f>O3570*(1-N3570)</x:f>
        <x:v>425.04</x:v>
      </x:c>
      <x:c r="Q3570" s="22" t="n">
        <x:v>32</x:v>
      </x:c>
      <x:c r="R3570" s="22" t="n">
        <x:f>Q3570*M3570</x:f>
        <x:v>352</x:v>
      </x:c>
      <x:c r="S3570" s="22" t="n">
        <x:f>P3570-R3570</x:f>
        <x:v>73.04000000000002</x:v>
      </x:c>
      <x:c r="T3570" t="str">
        <x:v>Cash</x:v>
      </x:c>
      <x:c r="U3570" t="str">
        <x:v>Pending</x:v>
      </x:c>
      <x:c r="V3570" t="str">
        <x:v>Delivered</x:v>
      </x:c>
      <x:c r="W3570" t="n">
        <x:v>0</x:v>
      </x:c>
      <x:c r="X3570" t="str"/>
      <x:c r="Y3570" t="str">
        <x:v>Existing Customer</x:v>
      </x:c>
    </x:row>
    <x:row r="3571">
      <x:c r="A3571" t="str">
        <x:v>O003570</x:v>
      </x:c>
      <x:c r="B3571" s="20" t="n">
        <x:v>46214</x:v>
      </x:c>
      <x:c r="C3571" t="str">
        <x:v>C0163</x:v>
      </x:c>
      <x:c r="D3571" t="str">
        <x:v>Shree Kitchen 163</x:v>
      </x:c>
      <x:c r="E3571" t="str">
        <x:v>Kirana</x:v>
      </x:c>
      <x:c r="F3571" t="str">
        <x:v>Mysuru</x:v>
      </x:c>
      <x:c r="G3571" t="str">
        <x:v>Priya</x:v>
      </x:c>
      <x:c r="H3571" t="str">
        <x:v>P020</x:v>
      </x:c>
      <x:c r="I3571" t="str">
        <x:v>Coffee 500g</x:v>
      </x:c>
      <x:c r="J3571" t="str">
        <x:v>Beverage</x:v>
      </x:c>
      <x:c r="K3571" t="str">
        <x:v>Bru</x:v>
      </x:c>
      <x:c r="L3571" s="22" t="n">
        <x:v>390</x:v>
      </x:c>
      <x:c r="M3571" t="n">
        <x:v>6</x:v>
      </x:c>
      <x:c r="N3571" s="24" t="n">
        <x:v>0.08</x:v>
      </x:c>
      <x:c r="O3571" s="22" t="n">
        <x:f>L3571*M3571</x:f>
        <x:v>2340</x:v>
      </x:c>
      <x:c r="P3571" s="22" t="n">
        <x:f>O3571*(1-N3571)</x:f>
        <x:v>2152.8</x:v>
      </x:c>
      <x:c r="Q3571" s="22" t="n">
        <x:v>350</x:v>
      </x:c>
      <x:c r="R3571" s="22" t="n">
        <x:f>Q3571*M3571</x:f>
        <x:v>2100</x:v>
      </x:c>
      <x:c r="S3571" s="22" t="n">
        <x:f>P3571-R3571</x:f>
        <x:v>52.80000000000018</x:v>
      </x:c>
      <x:c r="T3571" t="str">
        <x:v>UPI</x:v>
      </x:c>
      <x:c r="U3571" t="str">
        <x:v>Paid</x:v>
      </x:c>
      <x:c r="V3571" t="str">
        <x:v>Delivered</x:v>
      </x:c>
      <x:c r="W3571" t="n">
        <x:v>0</x:v>
      </x:c>
      <x:c r="X3571" t="str"/>
      <x:c r="Y3571" t="str">
        <x:v>Field Visit</x:v>
      </x:c>
    </x:row>
    <x:row r="3572">
      <x:c r="A3572" t="str">
        <x:v>O003571</x:v>
      </x:c>
      <x:c r="B3572" s="20" t="n">
        <x:v>46074</x:v>
      </x:c>
      <x:c r="C3572" t="str">
        <x:v>C0086</x:v>
      </x:c>
      <x:c r="D3572" t="str">
        <x:v>Foodie Canteen 86</x:v>
      </x:c>
      <x:c r="E3572" t="str">
        <x:v>Kirana</x:v>
      </x:c>
      <x:c r="F3572" t="str">
        <x:v>Hubballi</x:v>
      </x:c>
      <x:c r="G3572" t="str">
        <x:v>Sneha</x:v>
      </x:c>
      <x:c r="H3572" t="str">
        <x:v>P045</x:v>
      </x:c>
      <x:c r="I3572" t="str">
        <x:v>Onion 25kg</x:v>
      </x:c>
      <x:c r="J3572" t="str">
        <x:v>Fresh Produce</x:v>
      </x:c>
      <x:c r="K3572" t="str">
        <x:v>Local Market</x:v>
      </x:c>
      <x:c r="L3572" s="22" t="n">
        <x:v>875</x:v>
      </x:c>
      <x:c r="M3572" t="n">
        <x:v>32</x:v>
      </x:c>
      <x:c r="N3572" s="24" t="n">
        <x:v>0.05</x:v>
      </x:c>
      <x:c r="O3572" s="22" t="n">
        <x:f>L3572*M3572</x:f>
        <x:v>28000</x:v>
      </x:c>
      <x:c r="P3572" s="22" t="n">
        <x:f>O3572*(1-N3572)</x:f>
        <x:v>26600</x:v>
      </x:c>
      <x:c r="Q3572" s="22" t="n">
        <x:v>760</x:v>
      </x:c>
      <x:c r="R3572" s="22" t="n">
        <x:f>Q3572*M3572</x:f>
        <x:v>24320</x:v>
      </x:c>
      <x:c r="S3572" s="22" t="n">
        <x:f>P3572-R3572</x:f>
        <x:v>2280</x:v>
      </x:c>
      <x:c r="T3572" t="str">
        <x:v>Credit</x:v>
      </x:c>
      <x:c r="U3572" t="str">
        <x:v>Paid</x:v>
      </x:c>
      <x:c r="V3572" t="str">
        <x:v>Delivered</x:v>
      </x:c>
      <x:c r="W3572" t="n">
        <x:v>0</x:v>
      </x:c>
      <x:c r="X3572" t="str"/>
      <x:c r="Y3572" t="str">
        <x:v>Existing Customer</x:v>
      </x:c>
    </x:row>
    <x:row r="3573">
      <x:c r="A3573" t="str">
        <x:v>O003572</x:v>
      </x:c>
      <x:c r="B3573" s="20" t="n">
        <x:v>46236</x:v>
      </x:c>
      <x:c r="C3573" t="str">
        <x:v>C0034</x:v>
      </x:c>
      <x:c r="D3573" t="str">
        <x:v>City Restaurant 34</x:v>
      </x:c>
      <x:c r="E3573" t="str">
        <x:v>Restaurant</x:v>
      </x:c>
      <x:c r="F3573" t="str">
        <x:v>Mangaluru</x:v>
      </x:c>
      <x:c r="G3573" t="str">
        <x:v>Sneha</x:v>
      </x:c>
      <x:c r="H3573" t="str">
        <x:v>P018</x:v>
      </x:c>
      <x:c r="I3573" t="str">
        <x:v>Paneer 1kg</x:v>
      </x:c>
      <x:c r="J3573" t="str">
        <x:v>Dairy</x:v>
      </x:c>
      <x:c r="K3573" t="str">
        <x:v>Milky Mist</x:v>
      </x:c>
      <x:c r="L3573" s="22" t="n">
        <x:v>410</x:v>
      </x:c>
      <x:c r="M3573" t="n">
        <x:v>26</x:v>
      </x:c>
      <x:c r="N3573" s="24" t="n">
        <x:v>0.05</x:v>
      </x:c>
      <x:c r="O3573" s="22" t="n">
        <x:f>L3573*M3573</x:f>
        <x:v>10660</x:v>
      </x:c>
      <x:c r="P3573" s="22" t="n">
        <x:f>O3573*(1-N3573)</x:f>
        <x:v>10127</x:v>
      </x:c>
      <x:c r="Q3573" s="22" t="n">
        <x:v>370</x:v>
      </x:c>
      <x:c r="R3573" s="22" t="n">
        <x:f>Q3573*M3573</x:f>
        <x:v>9620</x:v>
      </x:c>
      <x:c r="S3573" s="22" t="n">
        <x:f>P3573-R3573</x:f>
        <x:v>507</x:v>
      </x:c>
      <x:c r="T3573" t="str">
        <x:v>UPI</x:v>
      </x:c>
      <x:c r="U3573" t="str">
        <x:v>Paid</x:v>
      </x:c>
      <x:c r="V3573" t="str">
        <x:v>Delayed</x:v>
      </x:c>
      <x:c r="W3573" t="n">
        <x:v>0</x:v>
      </x:c>
      <x:c r="X3573" t="str"/>
      <x:c r="Y3573" t="str">
        <x:v>Referral</x:v>
      </x:c>
    </x:row>
    <x:row r="3574">
      <x:c r="A3574" t="str">
        <x:v>O003573</x:v>
      </x:c>
      <x:c r="B3574" s="20" t="n">
        <x:v>45971</x:v>
      </x:c>
      <x:c r="C3574" t="str">
        <x:v>C0116</x:v>
      </x:c>
      <x:c r="D3574" t="str">
        <x:v>Classic Foods 116</x:v>
      </x:c>
      <x:c r="E3574" t="str">
        <x:v>Supermarket</x:v>
      </x:c>
      <x:c r="F3574" t="str">
        <x:v>Davanagere</x:v>
      </x:c>
      <x:c r="G3574" t="str">
        <x:v>Megha</x:v>
      </x:c>
      <x:c r="H3574" t="str">
        <x:v>P028</x:v>
      </x:c>
      <x:c r="I3574" t="str">
        <x:v>Cookies 200g</x:v>
      </x:c>
      <x:c r="J3574" t="str">
        <x:v>Snacks</x:v>
      </x:c>
      <x:c r="K3574" t="str">
        <x:v>Britannia</x:v>
      </x:c>
      <x:c r="L3574" s="22" t="n">
        <x:v>55</x:v>
      </x:c>
      <x:c r="M3574" t="n">
        <x:v>22</x:v>
      </x:c>
      <x:c r="N3574" s="24" t="n">
        <x:v>0</x:v>
      </x:c>
      <x:c r="O3574" s="22" t="n">
        <x:f>L3574*M3574</x:f>
        <x:v>1210</x:v>
      </x:c>
      <x:c r="P3574" s="22" t="n">
        <x:f>O3574*(1-N3574)</x:f>
        <x:v>1210</x:v>
      </x:c>
      <x:c r="Q3574" s="22" t="n">
        <x:v>42</x:v>
      </x:c>
      <x:c r="R3574" s="22" t="n">
        <x:f>Q3574*M3574</x:f>
        <x:v>924</x:v>
      </x:c>
      <x:c r="S3574" s="22" t="n">
        <x:f>P3574-R3574</x:f>
        <x:v>286</x:v>
      </x:c>
      <x:c r="T3574" t="str">
        <x:v>Credit</x:v>
      </x:c>
      <x:c r="U3574" t="str">
        <x:v>Pending</x:v>
      </x:c>
      <x:c r="V3574" t="str">
        <x:v>Delivered</x:v>
      </x:c>
      <x:c r="W3574" t="n">
        <x:v>0</x:v>
      </x:c>
      <x:c r="X3574" t="str"/>
      <x:c r="Y3574" t="str">
        <x:v>Outbound Call</x:v>
      </x:c>
    </x:row>
    <x:row r="3575">
      <x:c r="A3575" t="str">
        <x:v>O003574</x:v>
      </x:c>
      <x:c r="B3575" s="20" t="n">
        <x:v>45868</x:v>
      </x:c>
      <x:c r="C3575" t="str">
        <x:v>C0040</x:v>
      </x:c>
      <x:c r="D3575" t="str">
        <x:v>Royal Foods 40</x:v>
      </x:c>
      <x:c r="E3575" t="str">
        <x:v>Restaurant</x:v>
      </x:c>
      <x:c r="F3575" t="str">
        <x:v>Mangaluru</x:v>
      </x:c>
      <x:c r="G3575" t="str">
        <x:v>Kavya</x:v>
      </x:c>
      <x:c r="H3575" t="str">
        <x:v>P043</x:v>
      </x:c>
      <x:c r="I3575" t="str">
        <x:v>Chicken Breast 1kg</x:v>
      </x:c>
      <x:c r="J3575" t="str">
        <x:v>Protein</x:v>
      </x:c>
      <x:c r="K3575" t="str">
        <x:v>FreshToHome</x:v>
      </x:c>
      <x:c r="L3575" s="22" t="n">
        <x:v>260</x:v>
      </x:c>
      <x:c r="M3575" t="n">
        <x:v>36</x:v>
      </x:c>
      <x:c r="N3575" s="24" t="n">
        <x:v>0</x:v>
      </x:c>
      <x:c r="O3575" s="22" t="n">
        <x:f>L3575*M3575</x:f>
        <x:v>9360</x:v>
      </x:c>
      <x:c r="P3575" s="22" t="n">
        <x:f>O3575*(1-N3575)</x:f>
        <x:v>9360</x:v>
      </x:c>
      <x:c r="Q3575" s="22" t="n">
        <x:v>235</x:v>
      </x:c>
      <x:c r="R3575" s="22" t="n">
        <x:f>Q3575*M3575</x:f>
        <x:v>8460</x:v>
      </x:c>
      <x:c r="S3575" s="22" t="n">
        <x:f>P3575-R3575</x:f>
        <x:v>900</x:v>
      </x:c>
      <x:c r="T3575" t="str">
        <x:v>Cash</x:v>
      </x:c>
      <x:c r="U3575" t="str">
        <x:v>Overdue</x:v>
      </x:c>
      <x:c r="V3575" t="str">
        <x:v>Delivered</x:v>
      </x:c>
      <x:c r="W3575" t="n">
        <x:v>0</x:v>
      </x:c>
      <x:c r="X3575" t="str"/>
      <x:c r="Y3575" t="str">
        <x:v>Referral</x:v>
      </x:c>
    </x:row>
    <x:row r="3576">
      <x:c r="A3576" t="str">
        <x:v>O003575</x:v>
      </x:c>
      <x:c r="B3576" s="20" t="n">
        <x:v>45988</x:v>
      </x:c>
      <x:c r="C3576" t="str">
        <x:v>C0169</x:v>
      </x:c>
      <x:c r="D3576" t="str">
        <x:v>Grand Mart 169</x:v>
      </x:c>
      <x:c r="E3576" t="str">
        <x:v>Canteen</x:v>
      </x:c>
      <x:c r="F3576" t="str">
        <x:v>Mangaluru</x:v>
      </x:c>
      <x:c r="G3576" t="str">
        <x:v>Vikram</x:v>
      </x:c>
      <x:c r="H3576" t="str">
        <x:v>P009</x:v>
      </x:c>
      <x:c r="I3576" t="str">
        <x:v>Groundnut Oil 5L</x:v>
      </x:c>
      <x:c r="J3576" t="str">
        <x:v>Edible Oil</x:v>
      </x:c>
      <x:c r="K3576" t="str">
        <x:v>Dhara</x:v>
      </x:c>
      <x:c r="L3576" s="22" t="n">
        <x:v>890</x:v>
      </x:c>
      <x:c r="M3576" t="n">
        <x:v>13</x:v>
      </x:c>
      <x:c r="N3576" s="24" t="n">
        <x:v>0.05</x:v>
      </x:c>
      <x:c r="O3576" s="22" t="n">
        <x:f>L3576*M3576</x:f>
        <x:v>11570</x:v>
      </x:c>
      <x:c r="P3576" s="22" t="n">
        <x:f>O3576*(1-N3576)</x:f>
        <x:v>10991.5</x:v>
      </x:c>
      <x:c r="Q3576" s="22" t="n">
        <x:v>810</x:v>
      </x:c>
      <x:c r="R3576" s="22" t="n">
        <x:f>Q3576*M3576</x:f>
        <x:v>10530</x:v>
      </x:c>
      <x:c r="S3576" s="22" t="n">
        <x:f>P3576-R3576</x:f>
        <x:v>461.5</x:v>
      </x:c>
      <x:c r="T3576" t="str">
        <x:v>UPI</x:v>
      </x:c>
      <x:c r="U3576" t="str">
        <x:v>Paid</x:v>
      </x:c>
      <x:c r="V3576" t="str">
        <x:v>Delivered</x:v>
      </x:c>
      <x:c r="W3576" t="n">
        <x:v>0</x:v>
      </x:c>
      <x:c r="X3576" t="str"/>
      <x:c r="Y3576" t="str">
        <x:v>Referral</x:v>
      </x:c>
    </x:row>
    <x:row r="3577">
      <x:c r="A3577" t="str">
        <x:v>O003576</x:v>
      </x:c>
      <x:c r="B3577" s="20" t="n">
        <x:v>46226</x:v>
      </x:c>
      <x:c r="C3577" t="str">
        <x:v>C0135</x:v>
      </x:c>
      <x:c r="D3577" t="str">
        <x:v>City Canteen 135</x:v>
      </x:c>
      <x:c r="E3577" t="str">
        <x:v>Supermarket</x:v>
      </x:c>
      <x:c r="F3577" t="str">
        <x:v>Hubballi</x:v>
      </x:c>
      <x:c r="G3577" t="str">
        <x:v>Megha</x:v>
      </x:c>
      <x:c r="H3577" t="str">
        <x:v>P037</x:v>
      </x:c>
      <x:c r="I3577" t="str">
        <x:v>Frozen Peas 1kg</x:v>
      </x:c>
      <x:c r="J3577" t="str">
        <x:v>Frozen</x:v>
      </x:c>
      <x:c r="K3577" t="str">
        <x:v>Safal</x:v>
      </x:c>
      <x:c r="L3577" s="22" t="n">
        <x:v>155</x:v>
      </x:c>
      <x:c r="M3577" t="n">
        <x:v>31</x:v>
      </x:c>
      <x:c r="N3577" s="24" t="n">
        <x:v>0.05</x:v>
      </x:c>
      <x:c r="O3577" s="22" t="n">
        <x:f>L3577*M3577</x:f>
        <x:v>4805</x:v>
      </x:c>
      <x:c r="P3577" s="22" t="n">
        <x:f>O3577*(1-N3577)</x:f>
        <x:v>4564.75</x:v>
      </x:c>
      <x:c r="Q3577" s="22" t="n">
        <x:v>138</x:v>
      </x:c>
      <x:c r="R3577" s="22" t="n">
        <x:f>Q3577*M3577</x:f>
        <x:v>4278</x:v>
      </x:c>
      <x:c r="S3577" s="22" t="n">
        <x:f>P3577-R3577</x:f>
        <x:v>286.75</x:v>
      </x:c>
      <x:c r="T3577" t="str">
        <x:v>Cash</x:v>
      </x:c>
      <x:c r="U3577" t="str">
        <x:v>Paid</x:v>
      </x:c>
      <x:c r="V3577" t="str">
        <x:v>Delivered</x:v>
      </x:c>
      <x:c r="W3577" t="n">
        <x:v>0</x:v>
      </x:c>
      <x:c r="X3577" t="str"/>
      <x:c r="Y3577" t="str">
        <x:v>WhatsApp</x:v>
      </x:c>
    </x:row>
    <x:row r="3578">
      <x:c r="A3578" t="str">
        <x:v>O003577</x:v>
      </x:c>
      <x:c r="B3578" s="20" t="n">
        <x:v>45852</x:v>
      </x:c>
      <x:c r="C3578" t="str">
        <x:v>C0159</x:v>
      </x:c>
      <x:c r="D3578" t="str">
        <x:v>Darshini Foods 159</x:v>
      </x:c>
      <x:c r="E3578" t="str">
        <x:v>Canteen</x:v>
      </x:c>
      <x:c r="F3578" t="str">
        <x:v>Tumakuru</x:v>
      </x:c>
      <x:c r="G3578" t="str">
        <x:v>Kavya</x:v>
      </x:c>
      <x:c r="H3578" t="str">
        <x:v>P039</x:v>
      </x:c>
      <x:c r="I3578" t="str">
        <x:v>Ice Cream 4L</x:v>
      </x:c>
      <x:c r="J3578" t="str">
        <x:v>Frozen</x:v>
      </x:c>
      <x:c r="K3578" t="str">
        <x:v>Amul</x:v>
      </x:c>
      <x:c r="L3578" s="22" t="n">
        <x:v>480</x:v>
      </x:c>
      <x:c r="M3578" t="n">
        <x:v>14</x:v>
      </x:c>
      <x:c r="N3578" s="24" t="n">
        <x:v>0.05</x:v>
      </x:c>
      <x:c r="O3578" s="22" t="n">
        <x:f>L3578*M3578</x:f>
        <x:v>6720</x:v>
      </x:c>
      <x:c r="P3578" s="22" t="n">
        <x:f>O3578*(1-N3578)</x:f>
        <x:v>6384</x:v>
      </x:c>
      <x:c r="Q3578" s="22" t="n">
        <x:v>420</x:v>
      </x:c>
      <x:c r="R3578" s="22" t="n">
        <x:f>Q3578*M3578</x:f>
        <x:v>5880</x:v>
      </x:c>
      <x:c r="S3578" s="22" t="n">
        <x:f>P3578-R3578</x:f>
        <x:v>504</x:v>
      </x:c>
      <x:c r="T3578" t="str">
        <x:v>Cash</x:v>
      </x:c>
      <x:c r="U3578" t="str">
        <x:v>Paid</x:v>
      </x:c>
      <x:c r="V3578" t="str">
        <x:v>Cancelled</x:v>
      </x:c>
      <x:c r="W3578" t="n">
        <x:v>14</x:v>
      </x:c>
      <x:c r="X3578" t="str">
        <x:v>Cancelled Order</x:v>
      </x:c>
      <x:c r="Y3578" t="str">
        <x:v>Outbound Call</x:v>
      </x:c>
    </x:row>
    <x:row r="3579">
      <x:c r="A3579" t="str">
        <x:v>O003578</x:v>
      </x:c>
      <x:c r="B3579" s="20" t="n">
        <x:v>45688</x:v>
      </x:c>
      <x:c r="C3579" t="str">
        <x:v>C0231</x:v>
      </x:c>
      <x:c r="D3579" t="str">
        <x:v>Metro Canteen 231</x:v>
      </x:c>
      <x:c r="E3579" t="str">
        <x:v>Canteen</x:v>
      </x:c>
      <x:c r="F3579" t="str">
        <x:v>Mangaluru</x:v>
      </x:c>
      <x:c r="G3579" t="str">
        <x:v>Megha</x:v>
      </x:c>
      <x:c r="H3579" t="str">
        <x:v>P017</x:v>
      </x:c>
      <x:c r="I3579" t="str">
        <x:v>Butter 500g</x:v>
      </x:c>
      <x:c r="J3579" t="str">
        <x:v>Dairy</x:v>
      </x:c>
      <x:c r="K3579" t="str">
        <x:v>Amul</x:v>
      </x:c>
      <x:c r="L3579" s="22" t="n">
        <x:v>285</x:v>
      </x:c>
      <x:c r="M3579" t="n">
        <x:v>40</x:v>
      </x:c>
      <x:c r="N3579" s="24" t="n">
        <x:v>0</x:v>
      </x:c>
      <x:c r="O3579" s="22" t="n">
        <x:f>L3579*M3579</x:f>
        <x:v>11400</x:v>
      </x:c>
      <x:c r="P3579" s="22" t="n">
        <x:f>O3579*(1-N3579)</x:f>
        <x:v>11400</x:v>
      </x:c>
      <x:c r="Q3579" s="22" t="n">
        <x:v>258</x:v>
      </x:c>
      <x:c r="R3579" s="22" t="n">
        <x:f>Q3579*M3579</x:f>
        <x:v>10320</x:v>
      </x:c>
      <x:c r="S3579" s="22" t="n">
        <x:f>P3579-R3579</x:f>
        <x:v>1080</x:v>
      </x:c>
      <x:c r="T3579" t="str">
        <x:v>Credit</x:v>
      </x:c>
      <x:c r="U3579" t="str">
        <x:v>Paid</x:v>
      </x:c>
      <x:c r="V3579" t="str">
        <x:v>Delivered</x:v>
      </x:c>
      <x:c r="W3579" t="n">
        <x:v>0</x:v>
      </x:c>
      <x:c r="X3579" t="str"/>
      <x:c r="Y3579" t="str">
        <x:v>Existing Customer</x:v>
      </x:c>
    </x:row>
    <x:row r="3580">
      <x:c r="A3580" t="str">
        <x:v>O003579</x:v>
      </x:c>
      <x:c r="B3580" s="20" t="n">
        <x:v>46204</x:v>
      </x:c>
      <x:c r="C3580" t="str">
        <x:v>C0099</x:v>
      </x:c>
      <x:c r="D3580" t="str">
        <x:v>Green Cafe 99</x:v>
      </x:c>
      <x:c r="E3580" t="str">
        <x:v>Restaurant</x:v>
      </x:c>
      <x:c r="F3580" t="str">
        <x:v>Hubballi</x:v>
      </x:c>
      <x:c r="G3580" t="str">
        <x:v>Ramesh</x:v>
      </x:c>
      <x:c r="H3580" t="str">
        <x:v>P019</x:v>
      </x:c>
      <x:c r="I3580" t="str">
        <x:v>Tea 1kg</x:v>
      </x:c>
      <x:c r="J3580" t="str">
        <x:v>Beverage</x:v>
      </x:c>
      <x:c r="K3580" t="str">
        <x:v>Red Label</x:v>
      </x:c>
      <x:c r="L3580" s="22" t="n">
        <x:v>540</x:v>
      </x:c>
      <x:c r="M3580" t="n">
        <x:v>19</x:v>
      </x:c>
      <x:c r="N3580" s="24" t="n">
        <x:v>0.02</x:v>
      </x:c>
      <x:c r="O3580" s="22" t="n">
        <x:f>L3580*M3580</x:f>
        <x:v>10260</x:v>
      </x:c>
      <x:c r="P3580" s="22" t="n">
        <x:f>O3580*(1-N3580)</x:f>
        <x:v>10054.8</x:v>
      </x:c>
      <x:c r="Q3580" s="22" t="n">
        <x:v>485</x:v>
      </x:c>
      <x:c r="R3580" s="22" t="n">
        <x:f>Q3580*M3580</x:f>
        <x:v>9215</x:v>
      </x:c>
      <x:c r="S3580" s="22" t="n">
        <x:f>P3580-R3580</x:f>
        <x:v>839.7999999999993</x:v>
      </x:c>
      <x:c r="T3580" t="str">
        <x:v>Credit</x:v>
      </x:c>
      <x:c r="U3580" t="str">
        <x:v>Paid</x:v>
      </x:c>
      <x:c r="V3580" t="str">
        <x:v>Delayed</x:v>
      </x:c>
      <x:c r="W3580" t="n">
        <x:v>0</x:v>
      </x:c>
      <x:c r="X3580" t="str"/>
      <x:c r="Y3580" t="str">
        <x:v>Referral</x:v>
      </x:c>
    </x:row>
    <x:row r="3581">
      <x:c r="A3581" t="str">
        <x:v>O003580</x:v>
      </x:c>
      <x:c r="B3581" s="20" t="n">
        <x:v>46013</x:v>
      </x:c>
      <x:c r="C3581" t="str">
        <x:v>C0195</x:v>
      </x:c>
      <x:c r="D3581" t="str">
        <x:v>Classic Stores 195</x:v>
      </x:c>
      <x:c r="E3581" t="str">
        <x:v>Canteen</x:v>
      </x:c>
      <x:c r="F3581" t="str">
        <x:v>Davanagere</x:v>
      </x:c>
      <x:c r="G3581" t="str">
        <x:v>Kavya</x:v>
      </x:c>
      <x:c r="H3581" t="str">
        <x:v>P026</x:v>
      </x:c>
      <x:c r="I3581" t="str">
        <x:v>Banana Chips 80g</x:v>
      </x:c>
      <x:c r="J3581" t="str">
        <x:v>Snacks</x:v>
      </x:c>
      <x:c r="K3581" t="str">
        <x:v>SSS</x:v>
      </x:c>
      <x:c r="L3581" s="22" t="n">
        <x:v>54</x:v>
      </x:c>
      <x:c r="M3581" t="n">
        <x:v>9</x:v>
      </x:c>
      <x:c r="N3581" s="24" t="n">
        <x:v>0.05</x:v>
      </x:c>
      <x:c r="O3581" s="22" t="n">
        <x:f>L3581*M3581</x:f>
        <x:v>486</x:v>
      </x:c>
      <x:c r="P3581" s="22" t="n">
        <x:f>O3581*(1-N3581)</x:f>
        <x:v>461.7</x:v>
      </x:c>
      <x:c r="Q3581" s="22" t="n">
        <x:v>39</x:v>
      </x:c>
      <x:c r="R3581" s="22" t="n">
        <x:f>Q3581*M3581</x:f>
        <x:v>351</x:v>
      </x:c>
      <x:c r="S3581" s="22" t="n">
        <x:f>P3581-R3581</x:f>
        <x:v>110.69999999999999</x:v>
      </x:c>
      <x:c r="T3581" t="str">
        <x:v>UPI</x:v>
      </x:c>
      <x:c r="U3581" t="str">
        <x:v>Paid</x:v>
      </x:c>
      <x:c r="V3581" t="str">
        <x:v>Delayed</x:v>
      </x:c>
      <x:c r="W3581" t="n">
        <x:v>0</x:v>
      </x:c>
      <x:c r="X3581" t="str"/>
      <x:c r="Y3581" t="str">
        <x:v>WhatsApp</x:v>
      </x:c>
    </x:row>
    <x:row r="3582">
      <x:c r="A3582" t="str">
        <x:v>O003581</x:v>
      </x:c>
      <x:c r="B3582" s="20" t="n">
        <x:v>45817</x:v>
      </x:c>
      <x:c r="C3582" t="str">
        <x:v>C0104</x:v>
      </x:c>
      <x:c r="D3582" t="str">
        <x:v>Shree Foods 104</x:v>
      </x:c>
      <x:c r="E3582" t="str">
        <x:v>Cafe</x:v>
      </x:c>
      <x:c r="F3582" t="str">
        <x:v>Mangaluru</x:v>
      </x:c>
      <x:c r="G3582" t="str">
        <x:v>Megha</x:v>
      </x:c>
      <x:c r="H3582" t="str">
        <x:v>P011</x:v>
      </x:c>
      <x:c r="I3582" t="str">
        <x:v>Salt 1kg</x:v>
      </x:c>
      <x:c r="J3582" t="str">
        <x:v>Staples</x:v>
      </x:c>
      <x:c r="K3582" t="str">
        <x:v>Tata</x:v>
      </x:c>
      <x:c r="L3582" s="22" t="n">
        <x:v>28</x:v>
      </x:c>
      <x:c r="M3582" t="n">
        <x:v>31</x:v>
      </x:c>
      <x:c r="N3582" s="24" t="n">
        <x:v>0</x:v>
      </x:c>
      <x:c r="O3582" s="22" t="n">
        <x:f>L3582*M3582</x:f>
        <x:v>868</x:v>
      </x:c>
      <x:c r="P3582" s="22" t="n">
        <x:f>O3582*(1-N3582)</x:f>
        <x:v>868</x:v>
      </x:c>
      <x:c r="Q3582" s="22" t="n">
        <x:v>23</x:v>
      </x:c>
      <x:c r="R3582" s="22" t="n">
        <x:f>Q3582*M3582</x:f>
        <x:v>713</x:v>
      </x:c>
      <x:c r="S3582" s="22" t="n">
        <x:f>P3582-R3582</x:f>
        <x:v>155</x:v>
      </x:c>
      <x:c r="T3582" t="str">
        <x:v>Bank Transfer</x:v>
      </x:c>
      <x:c r="U3582" t="str">
        <x:v>Pending</x:v>
      </x:c>
      <x:c r="V3582" t="str">
        <x:v>Delivered</x:v>
      </x:c>
      <x:c r="W3582" t="n">
        <x:v>0</x:v>
      </x:c>
      <x:c r="X3582" t="str"/>
      <x:c r="Y3582" t="str">
        <x:v>WhatsApp</x:v>
      </x:c>
    </x:row>
    <x:row r="3583">
      <x:c r="A3583" t="str">
        <x:v>O003582</x:v>
      </x:c>
      <x:c r="B3583" s="20" t="n">
        <x:v>46078</x:v>
      </x:c>
      <x:c r="C3583" t="str">
        <x:v>C0015</x:v>
      </x:c>
      <x:c r="D3583" t="str">
        <x:v>Royal Foods 15</x:v>
      </x:c>
      <x:c r="E3583" t="str">
        <x:v>Cafe</x:v>
      </x:c>
      <x:c r="F3583" t="str">
        <x:v>Mysuru</x:v>
      </x:c>
      <x:c r="G3583" t="str">
        <x:v>Ramesh</x:v>
      </x:c>
      <x:c r="H3583" t="str">
        <x:v>P007</x:v>
      </x:c>
      <x:c r="I3583" t="str">
        <x:v>Sunflower Oil 15L</x:v>
      </x:c>
      <x:c r="J3583" t="str">
        <x:v>Edible Oil</x:v>
      </x:c>
      <x:c r="K3583" t="str">
        <x:v>Fortune</x:v>
      </x:c>
      <x:c r="L3583" s="22" t="n">
        <x:v>1980</x:v>
      </x:c>
      <x:c r="M3583" t="n">
        <x:v>4</x:v>
      </x:c>
      <x:c r="N3583" s="24" t="n">
        <x:v>0</x:v>
      </x:c>
      <x:c r="O3583" s="22" t="n">
        <x:f>L3583*M3583</x:f>
        <x:v>7920</x:v>
      </x:c>
      <x:c r="P3583" s="22" t="n">
        <x:f>O3583*(1-N3583)</x:f>
        <x:v>7920</x:v>
      </x:c>
      <x:c r="Q3583" s="22" t="n">
        <x:v>1810</x:v>
      </x:c>
      <x:c r="R3583" s="22" t="n">
        <x:f>Q3583*M3583</x:f>
        <x:v>7240</x:v>
      </x:c>
      <x:c r="S3583" s="22" t="n">
        <x:f>P3583-R3583</x:f>
        <x:v>680</x:v>
      </x:c>
      <x:c r="T3583" t="str">
        <x:v>UPI</x:v>
      </x:c>
      <x:c r="U3583" t="str">
        <x:v>Paid</x:v>
      </x:c>
      <x:c r="V3583" t="str">
        <x:v>Cancelled</x:v>
      </x:c>
      <x:c r="W3583" t="n">
        <x:v>4</x:v>
      </x:c>
      <x:c r="X3583" t="str">
        <x:v>Cancelled Order</x:v>
      </x:c>
      <x:c r="Y3583" t="str">
        <x:v>Referral</x:v>
      </x:c>
    </x:row>
    <x:row r="3584">
      <x:c r="A3584" t="str">
        <x:v>O003583</x:v>
      </x:c>
      <x:c r="B3584" s="20" t="n">
        <x:v>45858</x:v>
      </x:c>
      <x:c r="C3584" t="str">
        <x:v>C0102</x:v>
      </x:c>
      <x:c r="D3584" t="str">
        <x:v>Annapurna Foods 102</x:v>
      </x:c>
      <x:c r="E3584" t="str">
        <x:v>Cafe</x:v>
      </x:c>
      <x:c r="F3584" t="str">
        <x:v>Davanagere</x:v>
      </x:c>
      <x:c r="G3584" t="str">
        <x:v>Ramesh</x:v>
      </x:c>
      <x:c r="H3584" t="str">
        <x:v>P045</x:v>
      </x:c>
      <x:c r="I3584" t="str">
        <x:v>Onion 25kg</x:v>
      </x:c>
      <x:c r="J3584" t="str">
        <x:v>Fresh Produce</x:v>
      </x:c>
      <x:c r="K3584" t="str">
        <x:v>Local Market</x:v>
      </x:c>
      <x:c r="L3584" s="22" t="n">
        <x:v>875</x:v>
      </x:c>
      <x:c r="M3584" t="n">
        <x:v>17</x:v>
      </x:c>
      <x:c r="N3584" s="24" t="n">
        <x:v>0.08</x:v>
      </x:c>
      <x:c r="O3584" s="22" t="n">
        <x:f>L3584*M3584</x:f>
        <x:v>14875</x:v>
      </x:c>
      <x:c r="P3584" s="22" t="n">
        <x:f>O3584*(1-N3584)</x:f>
        <x:v>13685</x:v>
      </x:c>
      <x:c r="Q3584" s="22" t="n">
        <x:v>760</x:v>
      </x:c>
      <x:c r="R3584" s="22" t="n">
        <x:f>Q3584*M3584</x:f>
        <x:v>12920</x:v>
      </x:c>
      <x:c r="S3584" s="22" t="n">
        <x:f>P3584-R3584</x:f>
        <x:v>765</x:v>
      </x:c>
      <x:c r="T3584" t="str">
        <x:v>Cash</x:v>
      </x:c>
      <x:c r="U3584" t="str">
        <x:v>Paid</x:v>
      </x:c>
      <x:c r="V3584" t="str">
        <x:v>Delivered</x:v>
      </x:c>
      <x:c r="W3584" t="n">
        <x:v>0</x:v>
      </x:c>
      <x:c r="X3584" t="str"/>
      <x:c r="Y3584" t="str">
        <x:v>Referral</x:v>
      </x:c>
    </x:row>
    <x:row r="3585">
      <x:c r="A3585" t="str">
        <x:v>O003584</x:v>
      </x:c>
      <x:c r="B3585" s="20" t="n">
        <x:v>46087</x:v>
      </x:c>
      <x:c r="C3585" t="str">
        <x:v>C0136</x:v>
      </x:c>
      <x:c r="D3585" t="str">
        <x:v>Royal Cafe 136</x:v>
      </x:c>
      <x:c r="E3585" t="str">
        <x:v>Hotel</x:v>
      </x:c>
      <x:c r="F3585" t="str">
        <x:v>Tumakuru</x:v>
      </x:c>
      <x:c r="G3585" t="str">
        <x:v>Kavya</x:v>
      </x:c>
      <x:c r="H3585" t="str">
        <x:v>P036</x:v>
      </x:c>
      <x:c r="I3585" t="str">
        <x:v>Garam Masala 500g</x:v>
      </x:c>
      <x:c r="J3585" t="str">
        <x:v>Spices</x:v>
      </x:c>
      <x:c r="K3585" t="str">
        <x:v>MDH</x:v>
      </x:c>
      <x:c r="L3585" s="22" t="n">
        <x:v>265</x:v>
      </x:c>
      <x:c r="M3585" t="n">
        <x:v>12</x:v>
      </x:c>
      <x:c r="N3585" s="24" t="n">
        <x:v>0.08</x:v>
      </x:c>
      <x:c r="O3585" s="22" t="n">
        <x:f>L3585*M3585</x:f>
        <x:v>3180</x:v>
      </x:c>
      <x:c r="P3585" s="22" t="n">
        <x:f>O3585*(1-N3585)</x:f>
        <x:v>2925.6</x:v>
      </x:c>
      <x:c r="Q3585" s="22" t="n">
        <x:v>230</x:v>
      </x:c>
      <x:c r="R3585" s="22" t="n">
        <x:f>Q3585*M3585</x:f>
        <x:v>2760</x:v>
      </x:c>
      <x:c r="S3585" s="22" t="n">
        <x:f>P3585-R3585</x:f>
        <x:v>165.5999999999999</x:v>
      </x:c>
      <x:c r="T3585" t="str">
        <x:v>Bank Transfer</x:v>
      </x:c>
      <x:c r="U3585" t="str">
        <x:v>Paid</x:v>
      </x:c>
      <x:c r="V3585" t="str">
        <x:v>Delivered</x:v>
      </x:c>
      <x:c r="W3585" t="n">
        <x:v>0</x:v>
      </x:c>
      <x:c r="X3585" t="str"/>
      <x:c r="Y3585" t="str">
        <x:v>Field Visit</x:v>
      </x:c>
    </x:row>
    <x:row r="3586">
      <x:c r="A3586" t="str">
        <x:v>O003585</x:v>
      </x:c>
      <x:c r="B3586" s="20" t="n">
        <x:v>45778</x:v>
      </x:c>
      <x:c r="C3586" t="str">
        <x:v>C0205</x:v>
      </x:c>
      <x:c r="D3586" t="str">
        <x:v>Royal Mart 205</x:v>
      </x:c>
      <x:c r="E3586" t="str">
        <x:v>Kirana</x:v>
      </x:c>
      <x:c r="F3586" t="str">
        <x:v>Mysuru</x:v>
      </x:c>
      <x:c r="G3586" t="str">
        <x:v>Priya</x:v>
      </x:c>
      <x:c r="H3586" t="str">
        <x:v>P046</x:v>
      </x:c>
      <x:c r="I3586" t="str">
        <x:v>Potato 25kg</x:v>
      </x:c>
      <x:c r="J3586" t="str">
        <x:v>Fresh Produce</x:v>
      </x:c>
      <x:c r="K3586" t="str">
        <x:v>Local Market</x:v>
      </x:c>
      <x:c r="L3586" s="22" t="n">
        <x:v>700</x:v>
      </x:c>
      <x:c r="M3586" t="n">
        <x:v>20</x:v>
      </x:c>
      <x:c r="N3586" s="24" t="n">
        <x:v>0</x:v>
      </x:c>
      <x:c r="O3586" s="22" t="n">
        <x:f>L3586*M3586</x:f>
        <x:v>14000</x:v>
      </x:c>
      <x:c r="P3586" s="22" t="n">
        <x:f>O3586*(1-N3586)</x:f>
        <x:v>14000</x:v>
      </x:c>
      <x:c r="Q3586" s="22" t="n">
        <x:v>610</x:v>
      </x:c>
      <x:c r="R3586" s="22" t="n">
        <x:f>Q3586*M3586</x:f>
        <x:v>12200</x:v>
      </x:c>
      <x:c r="S3586" s="22" t="n">
        <x:f>P3586-R3586</x:f>
        <x:v>1800</x:v>
      </x:c>
      <x:c r="T3586" t="str">
        <x:v>Cash</x:v>
      </x:c>
      <x:c r="U3586" t="str">
        <x:v>Overdue</x:v>
      </x:c>
      <x:c r="V3586" t="str">
        <x:v>Delivered</x:v>
      </x:c>
      <x:c r="W3586" t="n">
        <x:v>0</x:v>
      </x:c>
      <x:c r="X3586" t="str"/>
      <x:c r="Y3586" t="str">
        <x:v>WhatsApp</x:v>
      </x:c>
    </x:row>
    <x:row r="3587">
      <x:c r="A3587" t="str">
        <x:v>O003586</x:v>
      </x:c>
      <x:c r="B3587" s="20" t="n">
        <x:v>45929</x:v>
      </x:c>
      <x:c r="C3587" t="str">
        <x:v>C0228</x:v>
      </x:c>
      <x:c r="D3587" t="str">
        <x:v>Metro Foods 228</x:v>
      </x:c>
      <x:c r="E3587" t="str">
        <x:v>Supermarket</x:v>
      </x:c>
      <x:c r="F3587" t="str">
        <x:v>Davanagere</x:v>
      </x:c>
      <x:c r="G3587" t="str">
        <x:v>Sneha</x:v>
      </x:c>
      <x:c r="H3587" t="str">
        <x:v>P037</x:v>
      </x:c>
      <x:c r="I3587" t="str">
        <x:v>Frozen Peas 1kg</x:v>
      </x:c>
      <x:c r="J3587" t="str">
        <x:v>Frozen</x:v>
      </x:c>
      <x:c r="K3587" t="str">
        <x:v>Safal</x:v>
      </x:c>
      <x:c r="L3587" s="22" t="n">
        <x:v>155</x:v>
      </x:c>
      <x:c r="M3587" t="n">
        <x:v>19</x:v>
      </x:c>
      <x:c r="N3587" s="24" t="n">
        <x:v>0.1</x:v>
      </x:c>
      <x:c r="O3587" s="22" t="n">
        <x:f>L3587*M3587</x:f>
        <x:v>2945</x:v>
      </x:c>
      <x:c r="P3587" s="22" t="n">
        <x:f>O3587*(1-N3587)</x:f>
        <x:v>2650.5</x:v>
      </x:c>
      <x:c r="Q3587" s="22" t="n">
        <x:v>138</x:v>
      </x:c>
      <x:c r="R3587" s="22" t="n">
        <x:f>Q3587*M3587</x:f>
        <x:v>2622</x:v>
      </x:c>
      <x:c r="S3587" s="22" t="n">
        <x:f>P3587-R3587</x:f>
        <x:v>28.5</x:v>
      </x:c>
      <x:c r="T3587" t="str">
        <x:v>Cash</x:v>
      </x:c>
      <x:c r="U3587" t="str">
        <x:v>Paid</x:v>
      </x:c>
      <x:c r="V3587" t="str">
        <x:v>Delivered</x:v>
      </x:c>
      <x:c r="W3587" t="n">
        <x:v>0</x:v>
      </x:c>
      <x:c r="X3587" t="str"/>
      <x:c r="Y3587" t="str">
        <x:v>Outbound Call</x:v>
      </x:c>
    </x:row>
    <x:row r="3588">
      <x:c r="A3588" t="str">
        <x:v>O003587</x:v>
      </x:c>
      <x:c r="B3588" s="20" t="n">
        <x:v>45964</x:v>
      </x:c>
      <x:c r="C3588" t="str">
        <x:v>C0137</x:v>
      </x:c>
      <x:c r="D3588" t="str">
        <x:v>Green Restaurant 137</x:v>
      </x:c>
      <x:c r="E3588" t="str">
        <x:v>Canteen</x:v>
      </x:c>
      <x:c r="F3588" t="str">
        <x:v>Mangaluru</x:v>
      </x:c>
      <x:c r="G3588" t="str">
        <x:v>Arjun</x:v>
      </x:c>
      <x:c r="H3588" t="str">
        <x:v>P046</x:v>
      </x:c>
      <x:c r="I3588" t="str">
        <x:v>Potato 25kg</x:v>
      </x:c>
      <x:c r="J3588" t="str">
        <x:v>Fresh Produce</x:v>
      </x:c>
      <x:c r="K3588" t="str">
        <x:v>Local Market</x:v>
      </x:c>
      <x:c r="L3588" s="22" t="n">
        <x:v>700</x:v>
      </x:c>
      <x:c r="M3588" t="n">
        <x:v>12</x:v>
      </x:c>
      <x:c r="N3588" s="24" t="n">
        <x:v>0.08</x:v>
      </x:c>
      <x:c r="O3588" s="22" t="n">
        <x:f>L3588*M3588</x:f>
        <x:v>8400</x:v>
      </x:c>
      <x:c r="P3588" s="22" t="n">
        <x:f>O3588*(1-N3588)</x:f>
        <x:v>7728</x:v>
      </x:c>
      <x:c r="Q3588" s="22" t="n">
        <x:v>610</x:v>
      </x:c>
      <x:c r="R3588" s="22" t="n">
        <x:f>Q3588*M3588</x:f>
        <x:v>7320</x:v>
      </x:c>
      <x:c r="S3588" s="22" t="n">
        <x:f>P3588-R3588</x:f>
        <x:v>408</x:v>
      </x:c>
      <x:c r="T3588" t="str">
        <x:v>Cash</x:v>
      </x:c>
      <x:c r="U3588" t="str">
        <x:v>Paid</x:v>
      </x:c>
      <x:c r="V3588" t="str">
        <x:v>Delayed</x:v>
      </x:c>
      <x:c r="W3588" t="n">
        <x:v>0</x:v>
      </x:c>
      <x:c r="X3588" t="str"/>
      <x:c r="Y3588" t="str">
        <x:v>Outbound Call</x:v>
      </x:c>
    </x:row>
    <x:row r="3589">
      <x:c r="A3589" t="str">
        <x:v>O003588</x:v>
      </x:c>
      <x:c r="B3589" s="20" t="n">
        <x:v>45771</x:v>
      </x:c>
      <x:c r="C3589" t="str">
        <x:v>C0020</x:v>
      </x:c>
      <x:c r="D3589" t="str">
        <x:v>Shree Foods 20</x:v>
      </x:c>
      <x:c r="E3589" t="str">
        <x:v>Restaurant</x:v>
      </x:c>
      <x:c r="F3589" t="str">
        <x:v>Mysuru</x:v>
      </x:c>
      <x:c r="G3589" t="str">
        <x:v>Arjun</x:v>
      </x:c>
      <x:c r="H3589" t="str">
        <x:v>P011</x:v>
      </x:c>
      <x:c r="I3589" t="str">
        <x:v>Salt 1kg</x:v>
      </x:c>
      <x:c r="J3589" t="str">
        <x:v>Staples</x:v>
      </x:c>
      <x:c r="K3589" t="str">
        <x:v>Tata</x:v>
      </x:c>
      <x:c r="L3589" s="22" t="n">
        <x:v>28</x:v>
      </x:c>
      <x:c r="M3589" t="n">
        <x:v>8</x:v>
      </x:c>
      <x:c r="N3589" s="24" t="n">
        <x:v>0.1</x:v>
      </x:c>
      <x:c r="O3589" s="22" t="n">
        <x:f>L3589*M3589</x:f>
        <x:v>224</x:v>
      </x:c>
      <x:c r="P3589" s="22" t="n">
        <x:f>O3589*(1-N3589)</x:f>
        <x:v>201.6</x:v>
      </x:c>
      <x:c r="Q3589" s="22" t="n">
        <x:v>23</x:v>
      </x:c>
      <x:c r="R3589" s="22" t="n">
        <x:f>Q3589*M3589</x:f>
        <x:v>184</x:v>
      </x:c>
      <x:c r="S3589" s="22" t="n">
        <x:f>P3589-R3589</x:f>
        <x:v>17.599999999999994</x:v>
      </x:c>
      <x:c r="T3589" t="str">
        <x:v>Credit</x:v>
      </x:c>
      <x:c r="U3589" t="str">
        <x:v>Paid</x:v>
      </x:c>
      <x:c r="V3589" t="str">
        <x:v>Delivered</x:v>
      </x:c>
      <x:c r="W3589" t="n">
        <x:v>0</x:v>
      </x:c>
      <x:c r="X3589" t="str"/>
      <x:c r="Y3589" t="str">
        <x:v>Referral</x:v>
      </x:c>
    </x:row>
    <x:row r="3590">
      <x:c r="A3590" t="str">
        <x:v>O003589</x:v>
      </x:c>
      <x:c r="B3590" s="20" t="n">
        <x:v>45953</x:v>
      </x:c>
      <x:c r="C3590" t="str">
        <x:v>C0170</x:v>
      </x:c>
      <x:c r="D3590" t="str">
        <x:v>Green Cafe 170</x:v>
      </x:c>
      <x:c r="E3590" t="str">
        <x:v>Supermarket</x:v>
      </x:c>
      <x:c r="F3590" t="str">
        <x:v>Bengaluru</x:v>
      </x:c>
      <x:c r="G3590" t="str">
        <x:v>Sneha</x:v>
      </x:c>
      <x:c r="H3590" t="str">
        <x:v>P025</x:v>
      </x:c>
      <x:c r="I3590" t="str">
        <x:v>Potato Chips 100g</x:v>
      </x:c>
      <x:c r="J3590" t="str">
        <x:v>Snacks</x:v>
      </x:c>
      <x:c r="K3590" t="str">
        <x:v>Lay's</x:v>
      </x:c>
      <x:c r="L3590" s="22" t="n">
        <x:v>35</x:v>
      </x:c>
      <x:c r="M3590" t="n">
        <x:v>12</x:v>
      </x:c>
      <x:c r="N3590" s="24" t="n">
        <x:v>0.03</x:v>
      </x:c>
      <x:c r="O3590" s="22" t="n">
        <x:f>L3590*M3590</x:f>
        <x:v>420</x:v>
      </x:c>
      <x:c r="P3590" s="22" t="n">
        <x:f>O3590*(1-N3590)</x:f>
        <x:v>407.4</x:v>
      </x:c>
      <x:c r="Q3590" s="22" t="n">
        <x:v>27</x:v>
      </x:c>
      <x:c r="R3590" s="22" t="n">
        <x:f>Q3590*M3590</x:f>
        <x:v>324</x:v>
      </x:c>
      <x:c r="S3590" s="22" t="n">
        <x:f>P3590-R3590</x:f>
        <x:v>83.39999999999998</x:v>
      </x:c>
      <x:c r="T3590" t="str">
        <x:v>Credit</x:v>
      </x:c>
      <x:c r="U3590" t="str">
        <x:v>Paid</x:v>
      </x:c>
      <x:c r="V3590" t="str">
        <x:v>Delivered</x:v>
      </x:c>
      <x:c r="W3590" t="n">
        <x:v>0</x:v>
      </x:c>
      <x:c r="X3590" t="str"/>
      <x:c r="Y3590" t="str">
        <x:v>Field Visit</x:v>
      </x:c>
    </x:row>
    <x:row r="3591">
      <x:c r="A3591" t="str">
        <x:v>O003590</x:v>
      </x:c>
      <x:c r="B3591" s="20" t="n">
        <x:v>46198</x:v>
      </x:c>
      <x:c r="C3591" t="str">
        <x:v>C0233</x:v>
      </x:c>
      <x:c r="D3591" t="str">
        <x:v>Shree Mart 233</x:v>
      </x:c>
      <x:c r="E3591" t="str">
        <x:v>Kirana</x:v>
      </x:c>
      <x:c r="F3591" t="str">
        <x:v>Mangaluru</x:v>
      </x:c>
      <x:c r="G3591" t="str">
        <x:v>Priya</x:v>
      </x:c>
      <x:c r="H3591" t="str">
        <x:v>P040</x:v>
      </x:c>
      <x:c r="I3591" t="str">
        <x:v>Bread Loaf 400g</x:v>
      </x:c>
      <x:c r="J3591" t="str">
        <x:v>Bakery</x:v>
      </x:c>
      <x:c r="K3591" t="str">
        <x:v>Britannia</x:v>
      </x:c>
      <x:c r="L3591" s="22" t="n">
        <x:v>45</x:v>
      </x:c>
      <x:c r="M3591" t="n">
        <x:v>32</x:v>
      </x:c>
      <x:c r="N3591" s="24" t="n">
        <x:v>0.02</x:v>
      </x:c>
      <x:c r="O3591" s="22" t="n">
        <x:f>L3591*M3591</x:f>
        <x:v>1440</x:v>
      </x:c>
      <x:c r="P3591" s="22" t="n">
        <x:f>O3591*(1-N3591)</x:f>
        <x:v>1411.2</x:v>
      </x:c>
      <x:c r="Q3591" s="22" t="n">
        <x:v>35</x:v>
      </x:c>
      <x:c r="R3591" s="22" t="n">
        <x:f>Q3591*M3591</x:f>
        <x:v>1120</x:v>
      </x:c>
      <x:c r="S3591" s="22" t="n">
        <x:f>P3591-R3591</x:f>
        <x:v>291.20000000000005</x:v>
      </x:c>
      <x:c r="T3591" t="str">
        <x:v>UPI</x:v>
      </x:c>
      <x:c r="U3591" t="str">
        <x:v>Paid</x:v>
      </x:c>
      <x:c r="V3591" t="str">
        <x:v>Delivered</x:v>
      </x:c>
      <x:c r="W3591" t="n">
        <x:v>3</x:v>
      </x:c>
      <x:c r="X3591" t="str">
        <x:v>Damaged</x:v>
      </x:c>
      <x:c r="Y3591" t="str">
        <x:v>Field Visit</x:v>
      </x:c>
    </x:row>
    <x:row r="3592">
      <x:c r="A3592" t="str">
        <x:v>O003591</x:v>
      </x:c>
      <x:c r="B3592" s="20" t="n">
        <x:v>45735</x:v>
      </x:c>
      <x:c r="C3592" t="str">
        <x:v>C0242</x:v>
      </x:c>
      <x:c r="D3592" t="str">
        <x:v>Fresh Cafe 242</x:v>
      </x:c>
      <x:c r="E3592" t="str">
        <x:v>Canteen</x:v>
      </x:c>
      <x:c r="F3592" t="str">
        <x:v>Davanagere</x:v>
      </x:c>
      <x:c r="G3592" t="str">
        <x:v>Kavya</x:v>
      </x:c>
      <x:c r="H3592" t="str">
        <x:v>P042</x:v>
      </x:c>
      <x:c r="I3592" t="str">
        <x:v>Eggs 30pc Tray</x:v>
      </x:c>
      <x:c r="J3592" t="str">
        <x:v>Protein</x:v>
      </x:c>
      <x:c r="K3592" t="str">
        <x:v>Farm Fresh</x:v>
      </x:c>
      <x:c r="L3592" s="22" t="n">
        <x:v>195</x:v>
      </x:c>
      <x:c r="M3592" t="n">
        <x:v>34</x:v>
      </x:c>
      <x:c r="N3592" s="24" t="n">
        <x:v>0</x:v>
      </x:c>
      <x:c r="O3592" s="22" t="n">
        <x:f>L3592*M3592</x:f>
        <x:v>6630</x:v>
      </x:c>
      <x:c r="P3592" s="22" t="n">
        <x:f>O3592*(1-N3592)</x:f>
        <x:v>6630</x:v>
      </x:c>
      <x:c r="Q3592" s="22" t="n">
        <x:v>170</x:v>
      </x:c>
      <x:c r="R3592" s="22" t="n">
        <x:f>Q3592*M3592</x:f>
        <x:v>5780</x:v>
      </x:c>
      <x:c r="S3592" s="22" t="n">
        <x:f>P3592-R3592</x:f>
        <x:v>850</x:v>
      </x:c>
      <x:c r="T3592" t="str">
        <x:v>Cash</x:v>
      </x:c>
      <x:c r="U3592" t="str">
        <x:v>Paid</x:v>
      </x:c>
      <x:c r="V3592" t="str">
        <x:v>Delayed</x:v>
      </x:c>
      <x:c r="W3592" t="n">
        <x:v>0</x:v>
      </x:c>
      <x:c r="X3592" t="str"/>
      <x:c r="Y3592" t="str">
        <x:v>Referral</x:v>
      </x:c>
    </x:row>
    <x:row r="3593">
      <x:c r="A3593" t="str">
        <x:v>O003592</x:v>
      </x:c>
      <x:c r="B3593" s="20" t="n">
        <x:v>45707</x:v>
      </x:c>
      <x:c r="C3593" t="str">
        <x:v>C0230</x:v>
      </x:c>
      <x:c r="D3593" t="str">
        <x:v>Darshini Foods 230</x:v>
      </x:c>
      <x:c r="E3593" t="str">
        <x:v>Restaurant</x:v>
      </x:c>
      <x:c r="F3593" t="str">
        <x:v>Davanagere</x:v>
      </x:c>
      <x:c r="G3593" t="str">
        <x:v>Priya</x:v>
      </x:c>
      <x:c r="H3593" t="str">
        <x:v>P016</x:v>
      </x:c>
      <x:c r="I3593" t="str">
        <x:v>Curd 1kg</x:v>
      </x:c>
      <x:c r="J3593" t="str">
        <x:v>Dairy</x:v>
      </x:c>
      <x:c r="K3593" t="str">
        <x:v>Nandini</x:v>
      </x:c>
      <x:c r="L3593" s="22" t="n">
        <x:v>72</x:v>
      </x:c>
      <x:c r="M3593" t="n">
        <x:v>22</x:v>
      </x:c>
      <x:c r="N3593" s="24" t="n">
        <x:v>0.1</x:v>
      </x:c>
      <x:c r="O3593" s="22" t="n">
        <x:f>L3593*M3593</x:f>
        <x:v>1584</x:v>
      </x:c>
      <x:c r="P3593" s="22" t="n">
        <x:f>O3593*(1-N3593)</x:f>
        <x:v>1425.6000000000001</x:v>
      </x:c>
      <x:c r="Q3593" s="22" t="n">
        <x:v>64</x:v>
      </x:c>
      <x:c r="R3593" s="22" t="n">
        <x:f>Q3593*M3593</x:f>
        <x:v>1408</x:v>
      </x:c>
      <x:c r="S3593" s="22" t="n">
        <x:f>P3593-R3593</x:f>
        <x:v>17.600000000000136</x:v>
      </x:c>
      <x:c r="T3593" t="str">
        <x:v>Bank Transfer</x:v>
      </x:c>
      <x:c r="U3593" t="str">
        <x:v>Paid</x:v>
      </x:c>
      <x:c r="V3593" t="str">
        <x:v>Cancelled</x:v>
      </x:c>
      <x:c r="W3593" t="n">
        <x:v>22</x:v>
      </x:c>
      <x:c r="X3593" t="str">
        <x:v>Cancelled Order</x:v>
      </x:c>
      <x:c r="Y3593" t="str">
        <x:v>Referral</x:v>
      </x:c>
    </x:row>
    <x:row r="3594">
      <x:c r="A3594" t="str">
        <x:v>O003593</x:v>
      </x:c>
      <x:c r="B3594" s="20" t="n">
        <x:v>46173</x:v>
      </x:c>
      <x:c r="C3594" t="str">
        <x:v>C0007</x:v>
      </x:c>
      <x:c r="D3594" t="str">
        <x:v>Mysore Stores 7</x:v>
      </x:c>
      <x:c r="E3594" t="str">
        <x:v>Kirana</x:v>
      </x:c>
      <x:c r="F3594" t="str">
        <x:v>Bengaluru</x:v>
      </x:c>
      <x:c r="G3594" t="str">
        <x:v>Kavya</x:v>
      </x:c>
      <x:c r="H3594" t="str">
        <x:v>P047</x:v>
      </x:c>
      <x:c r="I3594" t="str">
        <x:v>Tomato 25kg</x:v>
      </x:c>
      <x:c r="J3594" t="str">
        <x:v>Fresh Produce</x:v>
      </x:c>
      <x:c r="K3594" t="str">
        <x:v>Local Market</x:v>
      </x:c>
      <x:c r="L3594" s="22" t="n">
        <x:v>950</x:v>
      </x:c>
      <x:c r="M3594" t="n">
        <x:v>6</x:v>
      </x:c>
      <x:c r="N3594" s="24" t="n">
        <x:v>0</x:v>
      </x:c>
      <x:c r="O3594" s="22" t="n">
        <x:f>L3594*M3594</x:f>
        <x:v>5700</x:v>
      </x:c>
      <x:c r="P3594" s="22" t="n">
        <x:f>O3594*(1-N3594)</x:f>
        <x:v>5700</x:v>
      </x:c>
      <x:c r="Q3594" s="22" t="n">
        <x:v>810</x:v>
      </x:c>
      <x:c r="R3594" s="22" t="n">
        <x:f>Q3594*M3594</x:f>
        <x:v>4860</x:v>
      </x:c>
      <x:c r="S3594" s="22" t="n">
        <x:f>P3594-R3594</x:f>
        <x:v>840</x:v>
      </x:c>
      <x:c r="T3594" t="str">
        <x:v>Credit</x:v>
      </x:c>
      <x:c r="U3594" t="str">
        <x:v>Overdue</x:v>
      </x:c>
      <x:c r="V3594" t="str">
        <x:v>Delivered</x:v>
      </x:c>
      <x:c r="W3594" t="n">
        <x:v>0</x:v>
      </x:c>
      <x:c r="X3594" t="str"/>
      <x:c r="Y3594" t="str">
        <x:v>Existing Customer</x:v>
      </x:c>
    </x:row>
    <x:row r="3595">
      <x:c r="A3595" t="str">
        <x:v>O003594</x:v>
      </x:c>
      <x:c r="B3595" s="20" t="n">
        <x:v>45830</x:v>
      </x:c>
      <x:c r="C3595" t="str">
        <x:v>C0212</x:v>
      </x:c>
      <x:c r="D3595" t="str">
        <x:v>Classic Restaurant 212</x:v>
      </x:c>
      <x:c r="E3595" t="str">
        <x:v>Restaurant</x:v>
      </x:c>
      <x:c r="F3595" t="str">
        <x:v>Mysuru</x:v>
      </x:c>
      <x:c r="G3595" t="str">
        <x:v>Vikram</x:v>
      </x:c>
      <x:c r="H3595" t="str">
        <x:v>P025</x:v>
      </x:c>
      <x:c r="I3595" t="str">
        <x:v>Potato Chips 100g</x:v>
      </x:c>
      <x:c r="J3595" t="str">
        <x:v>Snacks</x:v>
      </x:c>
      <x:c r="K3595" t="str">
        <x:v>Lay's</x:v>
      </x:c>
      <x:c r="L3595" s="22" t="n">
        <x:v>35</x:v>
      </x:c>
      <x:c r="M3595" t="n">
        <x:v>20</x:v>
      </x:c>
      <x:c r="N3595" s="24" t="n">
        <x:v>0</x:v>
      </x:c>
      <x:c r="O3595" s="22" t="n">
        <x:f>L3595*M3595</x:f>
        <x:v>700</x:v>
      </x:c>
      <x:c r="P3595" s="22" t="n">
        <x:f>O3595*(1-N3595)</x:f>
        <x:v>700</x:v>
      </x:c>
      <x:c r="Q3595" s="22" t="n">
        <x:v>27</x:v>
      </x:c>
      <x:c r="R3595" s="22" t="n">
        <x:f>Q3595*M3595</x:f>
        <x:v>540</x:v>
      </x:c>
      <x:c r="S3595" s="22" t="n">
        <x:f>P3595-R3595</x:f>
        <x:v>160</x:v>
      </x:c>
      <x:c r="T3595" t="str">
        <x:v>UPI</x:v>
      </x:c>
      <x:c r="U3595" t="str">
        <x:v>Overdue</x:v>
      </x:c>
      <x:c r="V3595" t="str">
        <x:v>Cancelled</x:v>
      </x:c>
      <x:c r="W3595" t="n">
        <x:v>20</x:v>
      </x:c>
      <x:c r="X3595" t="str">
        <x:v>Cancelled Order</x:v>
      </x:c>
      <x:c r="Y3595" t="str">
        <x:v>Outbound Call</x:v>
      </x:c>
    </x:row>
    <x:row r="3596">
      <x:c r="A3596" t="str">
        <x:v>O003595</x:v>
      </x:c>
      <x:c r="B3596" s="20" t="n">
        <x:v>45671</x:v>
      </x:c>
      <x:c r="C3596" t="str">
        <x:v>C0162</x:v>
      </x:c>
      <x:c r="D3596" t="str">
        <x:v>Udupi Foods 162</x:v>
      </x:c>
      <x:c r="E3596" t="str">
        <x:v>Restaurant</x:v>
      </x:c>
      <x:c r="F3596" t="str">
        <x:v>Mysuru</x:v>
      </x:c>
      <x:c r="G3596" t="str">
        <x:v>Ramesh</x:v>
      </x:c>
      <x:c r="H3596" t="str">
        <x:v>P027</x:v>
      </x:c>
      <x:c r="I3596" t="str">
        <x:v>Biscuits 120g</x:v>
      </x:c>
      <x:c r="J3596" t="str">
        <x:v>Snacks</x:v>
      </x:c>
      <x:c r="K3596" t="str">
        <x:v>Parle-G</x:v>
      </x:c>
      <x:c r="L3596" s="22" t="n">
        <x:v>12</x:v>
      </x:c>
      <x:c r="M3596" t="n">
        <x:v>28</x:v>
      </x:c>
      <x:c r="N3596" s="24" t="n">
        <x:v>0.03</x:v>
      </x:c>
      <x:c r="O3596" s="22" t="n">
        <x:f>L3596*M3596</x:f>
        <x:v>336</x:v>
      </x:c>
      <x:c r="P3596" s="22" t="n">
        <x:f>O3596*(1-N3596)</x:f>
        <x:v>325.92</x:v>
      </x:c>
      <x:c r="Q3596" s="22" t="n">
        <x:v>9</x:v>
      </x:c>
      <x:c r="R3596" s="22" t="n">
        <x:f>Q3596*M3596</x:f>
        <x:v>252</x:v>
      </x:c>
      <x:c r="S3596" s="22" t="n">
        <x:f>P3596-R3596</x:f>
        <x:v>73.92000000000002</x:v>
      </x:c>
      <x:c r="T3596" t="str">
        <x:v>Credit</x:v>
      </x:c>
      <x:c r="U3596" t="str">
        <x:v>Paid</x:v>
      </x:c>
      <x:c r="V3596" t="str">
        <x:v>Delivered</x:v>
      </x:c>
      <x:c r="W3596" t="n">
        <x:v>0</x:v>
      </x:c>
      <x:c r="X3596" t="str"/>
      <x:c r="Y3596" t="str">
        <x:v>Existing Customer</x:v>
      </x:c>
    </x:row>
    <x:row r="3597">
      <x:c r="A3597" t="str">
        <x:v>O003596</x:v>
      </x:c>
      <x:c r="B3597" s="20" t="n">
        <x:v>46114</x:v>
      </x:c>
      <x:c r="C3597" t="str">
        <x:v>C0063</x:v>
      </x:c>
      <x:c r="D3597" t="str">
        <x:v>Namma Mart 63</x:v>
      </x:c>
      <x:c r="E3597" t="str">
        <x:v>Supermarket</x:v>
      </x:c>
      <x:c r="F3597" t="str">
        <x:v>Tumakuru</x:v>
      </x:c>
      <x:c r="G3597" t="str">
        <x:v>Priya</x:v>
      </x:c>
      <x:c r="H3597" t="str">
        <x:v>P048</x:v>
      </x:c>
      <x:c r="I3597" t="str">
        <x:v>Banana 10kg</x:v>
      </x:c>
      <x:c r="J3597" t="str">
        <x:v>Fresh Produce</x:v>
      </x:c>
      <x:c r="K3597" t="str">
        <x:v>Local Market</x:v>
      </x:c>
      <x:c r="L3597" s="22" t="n">
        <x:v>420</x:v>
      </x:c>
      <x:c r="M3597" t="n">
        <x:v>20</x:v>
      </x:c>
      <x:c r="N3597" s="24" t="n">
        <x:v>0.05</x:v>
      </x:c>
      <x:c r="O3597" s="22" t="n">
        <x:f>L3597*M3597</x:f>
        <x:v>8400</x:v>
      </x:c>
      <x:c r="P3597" s="22" t="n">
        <x:f>O3597*(1-N3597)</x:f>
        <x:v>7980</x:v>
      </x:c>
      <x:c r="Q3597" s="22" t="n">
        <x:v>350</x:v>
      </x:c>
      <x:c r="R3597" s="22" t="n">
        <x:f>Q3597*M3597</x:f>
        <x:v>7000</x:v>
      </x:c>
      <x:c r="S3597" s="22" t="n">
        <x:f>P3597-R3597</x:f>
        <x:v>980</x:v>
      </x:c>
      <x:c r="T3597" t="str">
        <x:v>Bank Transfer</x:v>
      </x:c>
      <x:c r="U3597" t="str">
        <x:v>Pending</x:v>
      </x:c>
      <x:c r="V3597" t="str">
        <x:v>Delivered</x:v>
      </x:c>
      <x:c r="W3597" t="n">
        <x:v>0</x:v>
      </x:c>
      <x:c r="X3597" t="str"/>
      <x:c r="Y3597" t="str">
        <x:v>WhatsApp</x:v>
      </x:c>
    </x:row>
    <x:row r="3598">
      <x:c r="A3598" t="str">
        <x:v>O003597</x:v>
      </x:c>
      <x:c r="B3598" s="20" t="n">
        <x:v>45695</x:v>
      </x:c>
      <x:c r="C3598" t="str">
        <x:v>C0180</x:v>
      </x:c>
      <x:c r="D3598" t="str">
        <x:v>Sri Kitchen 180</x:v>
      </x:c>
      <x:c r="E3598" t="str">
        <x:v>Kirana</x:v>
      </x:c>
      <x:c r="F3598" t="str">
        <x:v>Mysuru</x:v>
      </x:c>
      <x:c r="G3598" t="str">
        <x:v>Vikram</x:v>
      </x:c>
      <x:c r="H3598" t="str">
        <x:v>P041</x:v>
      </x:c>
      <x:c r="I3598" t="str">
        <x:v>Burger Bun 6pc</x:v>
      </x:c>
      <x:c r="J3598" t="str">
        <x:v>Bakery</x:v>
      </x:c>
      <x:c r="K3598" t="str">
        <x:v>Modern</x:v>
      </x:c>
      <x:c r="L3598" s="22" t="n">
        <x:v>42</x:v>
      </x:c>
      <x:c r="M3598" t="n">
        <x:v>25</x:v>
      </x:c>
      <x:c r="N3598" s="24" t="n">
        <x:v>0.02</x:v>
      </x:c>
      <x:c r="O3598" s="22" t="n">
        <x:f>L3598*M3598</x:f>
        <x:v>1050</x:v>
      </x:c>
      <x:c r="P3598" s="22" t="n">
        <x:f>O3598*(1-N3598)</x:f>
        <x:v>1029</x:v>
      </x:c>
      <x:c r="Q3598" s="22" t="n">
        <x:v>32</x:v>
      </x:c>
      <x:c r="R3598" s="22" t="n">
        <x:f>Q3598*M3598</x:f>
        <x:v>800</x:v>
      </x:c>
      <x:c r="S3598" s="22" t="n">
        <x:f>P3598-R3598</x:f>
        <x:v>229</x:v>
      </x:c>
      <x:c r="T3598" t="str">
        <x:v>Credit</x:v>
      </x:c>
      <x:c r="U3598" t="str">
        <x:v>Paid</x:v>
      </x:c>
      <x:c r="V3598" t="str">
        <x:v>Delivered</x:v>
      </x:c>
      <x:c r="W3598" t="n">
        <x:v>0</x:v>
      </x:c>
      <x:c r="X3598" t="str"/>
      <x:c r="Y3598" t="str">
        <x:v>Field Visit</x:v>
      </x:c>
    </x:row>
    <x:row r="3599">
      <x:c r="A3599" t="str">
        <x:v>O003598</x:v>
      </x:c>
      <x:c r="B3599" s="20" t="n">
        <x:v>45826</x:v>
      </x:c>
      <x:c r="C3599" t="str">
        <x:v>C0027</x:v>
      </x:c>
      <x:c r="D3599" t="str">
        <x:v>Fresh Cafe 27</x:v>
      </x:c>
      <x:c r="E3599" t="str">
        <x:v>Restaurant</x:v>
      </x:c>
      <x:c r="F3599" t="str">
        <x:v>Tumakuru</x:v>
      </x:c>
      <x:c r="G3599" t="str">
        <x:v>Megha</x:v>
      </x:c>
      <x:c r="H3599" t="str">
        <x:v>P007</x:v>
      </x:c>
      <x:c r="I3599" t="str">
        <x:v>Sunflower Oil 15L</x:v>
      </x:c>
      <x:c r="J3599" t="str">
        <x:v>Edible Oil</x:v>
      </x:c>
      <x:c r="K3599" t="str">
        <x:v>Fortune</x:v>
      </x:c>
      <x:c r="L3599" s="22" t="n">
        <x:v>1980</x:v>
      </x:c>
      <x:c r="M3599" t="n">
        <x:v>1</x:v>
      </x:c>
      <x:c r="N3599" s="24" t="n">
        <x:v>0</x:v>
      </x:c>
      <x:c r="O3599" s="22" t="n">
        <x:f>L3599*M3599</x:f>
        <x:v>1980</x:v>
      </x:c>
      <x:c r="P3599" s="22" t="n">
        <x:f>O3599*(1-N3599)</x:f>
        <x:v>1980</x:v>
      </x:c>
      <x:c r="Q3599" s="22" t="n">
        <x:v>1810</x:v>
      </x:c>
      <x:c r="R3599" s="22" t="n">
        <x:f>Q3599*M3599</x:f>
        <x:v>1810</x:v>
      </x:c>
      <x:c r="S3599" s="22" t="n">
        <x:f>P3599-R3599</x:f>
        <x:v>170</x:v>
      </x:c>
      <x:c r="T3599" t="str">
        <x:v>Bank Transfer</x:v>
      </x:c>
      <x:c r="U3599" t="str">
        <x:v>Paid</x:v>
      </x:c>
      <x:c r="V3599" t="str">
        <x:v>Delivered</x:v>
      </x:c>
      <x:c r="W3599" t="n">
        <x:v>1</x:v>
      </x:c>
      <x:c r="X3599" t="str">
        <x:v>Damaged</x:v>
      </x:c>
      <x:c r="Y3599" t="str">
        <x:v>Referral</x:v>
      </x:c>
    </x:row>
    <x:row r="3600">
      <x:c r="A3600" t="str">
        <x:v>O003599</x:v>
      </x:c>
      <x:c r="B3600" s="20" t="n">
        <x:v>46229</x:v>
      </x:c>
      <x:c r="C3600" t="str">
        <x:v>C0124</x:v>
      </x:c>
      <x:c r="D3600" t="str">
        <x:v>Green Hotel 124</x:v>
      </x:c>
      <x:c r="E3600" t="str">
        <x:v>Cafe</x:v>
      </x:c>
      <x:c r="F3600" t="str">
        <x:v>Bengaluru</x:v>
      </x:c>
      <x:c r="G3600" t="str">
        <x:v>Imran</x:v>
      </x:c>
      <x:c r="H3600" t="str">
        <x:v>P011</x:v>
      </x:c>
      <x:c r="I3600" t="str">
        <x:v>Salt 1kg</x:v>
      </x:c>
      <x:c r="J3600" t="str">
        <x:v>Staples</x:v>
      </x:c>
      <x:c r="K3600" t="str">
        <x:v>Tata</x:v>
      </x:c>
      <x:c r="L3600" s="22" t="n">
        <x:v>28</x:v>
      </x:c>
      <x:c r="M3600" t="n">
        <x:v>40</x:v>
      </x:c>
      <x:c r="N3600" s="24" t="n">
        <x:v>0.03</x:v>
      </x:c>
      <x:c r="O3600" s="22" t="n">
        <x:f>L3600*M3600</x:f>
        <x:v>1120</x:v>
      </x:c>
      <x:c r="P3600" s="22" t="n">
        <x:f>O3600*(1-N3600)</x:f>
        <x:v>1086.3999999999999</x:v>
      </x:c>
      <x:c r="Q3600" s="22" t="n">
        <x:v>23</x:v>
      </x:c>
      <x:c r="R3600" s="22" t="n">
        <x:f>Q3600*M3600</x:f>
        <x:v>920</x:v>
      </x:c>
      <x:c r="S3600" s="22" t="n">
        <x:f>P3600-R3600</x:f>
        <x:v>166.39999999999986</x:v>
      </x:c>
      <x:c r="T3600" t="str">
        <x:v>Bank Transfer</x:v>
      </x:c>
      <x:c r="U3600" t="str">
        <x:v>Paid</x:v>
      </x:c>
      <x:c r="V3600" t="str">
        <x:v>Delivered</x:v>
      </x:c>
      <x:c r="W3600" t="n">
        <x:v>0</x:v>
      </x:c>
      <x:c r="X3600" t="str"/>
      <x:c r="Y3600" t="str">
        <x:v>Outbound Call</x:v>
      </x:c>
    </x:row>
    <x:row r="3601">
      <x:c r="A3601" t="str">
        <x:v>O003600</x:v>
      </x:c>
      <x:c r="B3601" s="20" t="n">
        <x:v>45928</x:v>
      </x:c>
      <x:c r="C3601" t="str">
        <x:v>C0228</x:v>
      </x:c>
      <x:c r="D3601" t="str">
        <x:v>Metro Foods 228</x:v>
      </x:c>
      <x:c r="E3601" t="str">
        <x:v>Supermarket</x:v>
      </x:c>
      <x:c r="F3601" t="str">
        <x:v>Davanagere</x:v>
      </x:c>
      <x:c r="G3601" t="str">
        <x:v>Sneha</x:v>
      </x:c>
      <x:c r="H3601" t="str">
        <x:v>P006</x:v>
      </x:c>
      <x:c r="I3601" t="str">
        <x:v>Moong Dal 5kg</x:v>
      </x:c>
      <x:c r="J3601" t="str">
        <x:v>Pulses</x:v>
      </x:c>
      <x:c r="K3601" t="str">
        <x:v>Local Select</x:v>
      </x:c>
      <x:c r="L3601" s="22" t="n">
        <x:v>610</x:v>
      </x:c>
      <x:c r="M3601" t="n">
        <x:v>40</x:v>
      </x:c>
      <x:c r="N3601" s="24" t="n">
        <x:v>0.03</x:v>
      </x:c>
      <x:c r="O3601" s="22" t="n">
        <x:f>L3601*M3601</x:f>
        <x:v>24400</x:v>
      </x:c>
      <x:c r="P3601" s="22" t="n">
        <x:f>O3601*(1-N3601)</x:f>
        <x:v>23668</x:v>
      </x:c>
      <x:c r="Q3601" s="22" t="n">
        <x:v>540</x:v>
      </x:c>
      <x:c r="R3601" s="22" t="n">
        <x:f>Q3601*M3601</x:f>
        <x:v>21600</x:v>
      </x:c>
      <x:c r="S3601" s="22" t="n">
        <x:f>P3601-R3601</x:f>
        <x:v>2068</x:v>
      </x:c>
      <x:c r="T3601" t="str">
        <x:v>Bank Transfer</x:v>
      </x:c>
      <x:c r="U3601" t="str">
        <x:v>Paid</x:v>
      </x:c>
      <x:c r="V3601" t="str">
        <x:v>Delivered</x:v>
      </x:c>
      <x:c r="W3601" t="n">
        <x:v>0</x:v>
      </x:c>
      <x:c r="X3601" t="str"/>
      <x:c r="Y3601" t="str">
        <x:v>WhatsApp</x:v>
      </x:c>
    </x:row>
    <x:row r="3602">
      <x:c r="A3602" t="str">
        <x:v>O003601</x:v>
      </x:c>
      <x:c r="B3602" s="20" t="n">
        <x:v>46121</x:v>
      </x:c>
      <x:c r="C3602" t="str">
        <x:v>C0209</x:v>
      </x:c>
      <x:c r="D3602" t="str">
        <x:v>Shree Hotel 209</x:v>
      </x:c>
      <x:c r="E3602" t="str">
        <x:v>Restaurant</x:v>
      </x:c>
      <x:c r="F3602" t="str">
        <x:v>Tumakuru</x:v>
      </x:c>
      <x:c r="G3602" t="str">
        <x:v>Ramesh</x:v>
      </x:c>
      <x:c r="H3602" t="str">
        <x:v>P041</x:v>
      </x:c>
      <x:c r="I3602" t="str">
        <x:v>Burger Bun 6pc</x:v>
      </x:c>
      <x:c r="J3602" t="str">
        <x:v>Bakery</x:v>
      </x:c>
      <x:c r="K3602" t="str">
        <x:v>Modern</x:v>
      </x:c>
      <x:c r="L3602" s="22" t="n">
        <x:v>42</x:v>
      </x:c>
      <x:c r="M3602" t="n">
        <x:v>33</x:v>
      </x:c>
      <x:c r="N3602" s="24" t="n">
        <x:v>0.08</x:v>
      </x:c>
      <x:c r="O3602" s="22" t="n">
        <x:f>L3602*M3602</x:f>
        <x:v>1386</x:v>
      </x:c>
      <x:c r="P3602" s="22" t="n">
        <x:f>O3602*(1-N3602)</x:f>
        <x:v>1275.1200000000001</x:v>
      </x:c>
      <x:c r="Q3602" s="22" t="n">
        <x:v>32</x:v>
      </x:c>
      <x:c r="R3602" s="22" t="n">
        <x:f>Q3602*M3602</x:f>
        <x:v>1056</x:v>
      </x:c>
      <x:c r="S3602" s="22" t="n">
        <x:f>P3602-R3602</x:f>
        <x:v>219.12000000000012</x:v>
      </x:c>
      <x:c r="T3602" t="str">
        <x:v>Bank Transfer</x:v>
      </x:c>
      <x:c r="U3602" t="str">
        <x:v>Paid</x:v>
      </x:c>
      <x:c r="V3602" t="str">
        <x:v>Delivered</x:v>
      </x:c>
      <x:c r="W3602" t="n">
        <x:v>0</x:v>
      </x:c>
      <x:c r="X3602" t="str"/>
      <x:c r="Y3602" t="str">
        <x:v>Field Visit</x:v>
      </x:c>
    </x:row>
    <x:row r="3603">
      <x:c r="A3603" t="str">
        <x:v>O003602</x:v>
      </x:c>
      <x:c r="B3603" s="20" t="n">
        <x:v>45797</x:v>
      </x:c>
      <x:c r="C3603" t="str">
        <x:v>C0215</x:v>
      </x:c>
      <x:c r="D3603" t="str">
        <x:v>Annapurna Restaurant 215</x:v>
      </x:c>
      <x:c r="E3603" t="str">
        <x:v>Supermarket</x:v>
      </x:c>
      <x:c r="F3603" t="str">
        <x:v>Bengaluru</x:v>
      </x:c>
      <x:c r="G3603" t="str">
        <x:v>Vikram</x:v>
      </x:c>
      <x:c r="H3603" t="str">
        <x:v>P018</x:v>
      </x:c>
      <x:c r="I3603" t="str">
        <x:v>Paneer 1kg</x:v>
      </x:c>
      <x:c r="J3603" t="str">
        <x:v>Dairy</x:v>
      </x:c>
      <x:c r="K3603" t="str">
        <x:v>Milky Mist</x:v>
      </x:c>
      <x:c r="L3603" s="22" t="n">
        <x:v>410</x:v>
      </x:c>
      <x:c r="M3603" t="n">
        <x:v>17</x:v>
      </x:c>
      <x:c r="N3603" s="24" t="n">
        <x:v>0.02</x:v>
      </x:c>
      <x:c r="O3603" s="22" t="n">
        <x:f>L3603*M3603</x:f>
        <x:v>6970</x:v>
      </x:c>
      <x:c r="P3603" s="22" t="n">
        <x:f>O3603*(1-N3603)</x:f>
        <x:v>6830.599999999999</x:v>
      </x:c>
      <x:c r="Q3603" s="22" t="n">
        <x:v>370</x:v>
      </x:c>
      <x:c r="R3603" s="22" t="n">
        <x:f>Q3603*M3603</x:f>
        <x:v>6290</x:v>
      </x:c>
      <x:c r="S3603" s="22" t="n">
        <x:f>P3603-R3603</x:f>
        <x:v>540.5999999999995</x:v>
      </x:c>
      <x:c r="T3603" t="str">
        <x:v>Credit</x:v>
      </x:c>
      <x:c r="U3603" t="str">
        <x:v>Paid</x:v>
      </x:c>
      <x:c r="V3603" t="str">
        <x:v>Delivered</x:v>
      </x:c>
      <x:c r="W3603" t="n">
        <x:v>0</x:v>
      </x:c>
      <x:c r="X3603" t="str"/>
      <x:c r="Y3603" t="str">
        <x:v>Existing Customer</x:v>
      </x:c>
    </x:row>
    <x:row r="3604">
      <x:c r="A3604" t="str">
        <x:v>O003603</x:v>
      </x:c>
      <x:c r="B3604" s="20" t="n">
        <x:v>46020</x:v>
      </x:c>
      <x:c r="C3604" t="str">
        <x:v>C0018</x:v>
      </x:c>
      <x:c r="D3604" t="str">
        <x:v>Namma Canteen 18</x:v>
      </x:c>
      <x:c r="E3604" t="str">
        <x:v>Restaurant</x:v>
      </x:c>
      <x:c r="F3604" t="str">
        <x:v>Davanagere</x:v>
      </x:c>
      <x:c r="G3604" t="str">
        <x:v>Imran</x:v>
      </x:c>
      <x:c r="H3604" t="str">
        <x:v>P046</x:v>
      </x:c>
      <x:c r="I3604" t="str">
        <x:v>Potato 25kg</x:v>
      </x:c>
      <x:c r="J3604" t="str">
        <x:v>Fresh Produce</x:v>
      </x:c>
      <x:c r="K3604" t="str">
        <x:v>Local Market</x:v>
      </x:c>
      <x:c r="L3604" s="22" t="n">
        <x:v>700</x:v>
      </x:c>
      <x:c r="M3604" t="n">
        <x:v>38</x:v>
      </x:c>
      <x:c r="N3604" s="24" t="n">
        <x:v>0.02</x:v>
      </x:c>
      <x:c r="O3604" s="22" t="n">
        <x:f>L3604*M3604</x:f>
        <x:v>26600</x:v>
      </x:c>
      <x:c r="P3604" s="22" t="n">
        <x:f>O3604*(1-N3604)</x:f>
        <x:v>26068</x:v>
      </x:c>
      <x:c r="Q3604" s="22" t="n">
        <x:v>610</x:v>
      </x:c>
      <x:c r="R3604" s="22" t="n">
        <x:f>Q3604*M3604</x:f>
        <x:v>23180</x:v>
      </x:c>
      <x:c r="S3604" s="22" t="n">
        <x:f>P3604-R3604</x:f>
        <x:v>2888</x:v>
      </x:c>
      <x:c r="T3604" t="str">
        <x:v>Cash</x:v>
      </x:c>
      <x:c r="U3604" t="str">
        <x:v>Pending</x:v>
      </x:c>
      <x:c r="V3604" t="str">
        <x:v>Cancelled</x:v>
      </x:c>
      <x:c r="W3604" t="n">
        <x:v>38</x:v>
      </x:c>
      <x:c r="X3604" t="str">
        <x:v>Cancelled Order</x:v>
      </x:c>
      <x:c r="Y3604" t="str">
        <x:v>Existing Customer</x:v>
      </x:c>
    </x:row>
    <x:row r="3605">
      <x:c r="A3605" t="str">
        <x:v>O003604</x:v>
      </x:c>
      <x:c r="B3605" s="20" t="n">
        <x:v>46139</x:v>
      </x:c>
      <x:c r="C3605" t="str">
        <x:v>C0250</x:v>
      </x:c>
      <x:c r="D3605" t="str">
        <x:v>Namma Hotel 250</x:v>
      </x:c>
      <x:c r="E3605" t="str">
        <x:v>Cafe</x:v>
      </x:c>
      <x:c r="F3605" t="str">
        <x:v>Bengaluru</x:v>
      </x:c>
      <x:c r="G3605" t="str">
        <x:v>Sneha</x:v>
      </x:c>
      <x:c r="H3605" t="str">
        <x:v>P021</x:v>
      </x:c>
      <x:c r="I3605" t="str">
        <x:v>Instant Coffee 200g</x:v>
      </x:c>
      <x:c r="J3605" t="str">
        <x:v>Beverage</x:v>
      </x:c>
      <x:c r="K3605" t="str">
        <x:v>Nescafe</x:v>
      </x:c>
      <x:c r="L3605" s="22" t="n">
        <x:v>460</x:v>
      </x:c>
      <x:c r="M3605" t="n">
        <x:v>28</x:v>
      </x:c>
      <x:c r="N3605" s="24" t="n">
        <x:v>0</x:v>
      </x:c>
      <x:c r="O3605" s="22" t="n">
        <x:f>L3605*M3605</x:f>
        <x:v>12880</x:v>
      </x:c>
      <x:c r="P3605" s="22" t="n">
        <x:f>O3605*(1-N3605)</x:f>
        <x:v>12880</x:v>
      </x:c>
      <x:c r="Q3605" s="22" t="n">
        <x:v>410</x:v>
      </x:c>
      <x:c r="R3605" s="22" t="n">
        <x:f>Q3605*M3605</x:f>
        <x:v>11480</x:v>
      </x:c>
      <x:c r="S3605" s="22" t="n">
        <x:f>P3605-R3605</x:f>
        <x:v>1400</x:v>
      </x:c>
      <x:c r="T3605" t="str">
        <x:v>Credit</x:v>
      </x:c>
      <x:c r="U3605" t="str">
        <x:v>Paid</x:v>
      </x:c>
      <x:c r="V3605" t="str">
        <x:v>Delayed</x:v>
      </x:c>
      <x:c r="W3605" t="n">
        <x:v>0</x:v>
      </x:c>
      <x:c r="X3605" t="str"/>
      <x:c r="Y3605" t="str">
        <x:v>Existing Customer</x:v>
      </x:c>
    </x:row>
    <x:row r="3606">
      <x:c r="A3606" t="str">
        <x:v>O003605</x:v>
      </x:c>
      <x:c r="B3606" s="20" t="n">
        <x:v>46006</x:v>
      </x:c>
      <x:c r="C3606" t="str">
        <x:v>C0059</x:v>
      </x:c>
      <x:c r="D3606" t="str">
        <x:v>Spice Foods 59</x:v>
      </x:c>
      <x:c r="E3606" t="str">
        <x:v>Hotel</x:v>
      </x:c>
      <x:c r="F3606" t="str">
        <x:v>Hubballi</x:v>
      </x:c>
      <x:c r="G3606" t="str">
        <x:v>Sneha</x:v>
      </x:c>
      <x:c r="H3606" t="str">
        <x:v>P002</x:v>
      </x:c>
      <x:c r="I3606" t="str">
        <x:v>Sona Masoori Rice 25kg</x:v>
      </x:c>
      <x:c r="J3606" t="str">
        <x:v>Staples</x:v>
      </x:c>
      <x:c r="K3606" t="str">
        <x:v>Fortune</x:v>
      </x:c>
      <x:c r="L3606" s="22" t="n">
        <x:v>1320</x:v>
      </x:c>
      <x:c r="M3606" t="n">
        <x:v>8</x:v>
      </x:c>
      <x:c r="N3606" s="24" t="n">
        <x:v>0.03</x:v>
      </x:c>
      <x:c r="O3606" s="22" t="n">
        <x:f>L3606*M3606</x:f>
        <x:v>10560</x:v>
      </x:c>
      <x:c r="P3606" s="22" t="n">
        <x:f>O3606*(1-N3606)</x:f>
        <x:v>10243.199999999999</x:v>
      </x:c>
      <x:c r="Q3606" s="22" t="n">
        <x:v>1160</x:v>
      </x:c>
      <x:c r="R3606" s="22" t="n">
        <x:f>Q3606*M3606</x:f>
        <x:v>9280</x:v>
      </x:c>
      <x:c r="S3606" s="22" t="n">
        <x:f>P3606-R3606</x:f>
        <x:v>963.1999999999989</x:v>
      </x:c>
      <x:c r="T3606" t="str">
        <x:v>Credit</x:v>
      </x:c>
      <x:c r="U3606" t="str">
        <x:v>Paid</x:v>
      </x:c>
      <x:c r="V3606" t="str">
        <x:v>Delayed</x:v>
      </x:c>
      <x:c r="W3606" t="n">
        <x:v>0</x:v>
      </x:c>
      <x:c r="X3606" t="str"/>
      <x:c r="Y3606" t="str">
        <x:v>Existing Customer</x:v>
      </x:c>
    </x:row>
    <x:row r="3607">
      <x:c r="A3607" t="str">
        <x:v>O003606</x:v>
      </x:c>
      <x:c r="B3607" s="20" t="n">
        <x:v>46112</x:v>
      </x:c>
      <x:c r="C3607" t="str">
        <x:v>C0054</x:v>
      </x:c>
      <x:c r="D3607" t="str">
        <x:v>Cafe Cafe 54</x:v>
      </x:c>
      <x:c r="E3607" t="str">
        <x:v>Restaurant</x:v>
      </x:c>
      <x:c r="F3607" t="str">
        <x:v>Hubballi</x:v>
      </x:c>
      <x:c r="G3607" t="str">
        <x:v>Vikram</x:v>
      </x:c>
      <x:c r="H3607" t="str">
        <x:v>P025</x:v>
      </x:c>
      <x:c r="I3607" t="str">
        <x:v>Potato Chips 100g</x:v>
      </x:c>
      <x:c r="J3607" t="str">
        <x:v>Snacks</x:v>
      </x:c>
      <x:c r="K3607" t="str">
        <x:v>Lay's</x:v>
      </x:c>
      <x:c r="L3607" s="22" t="n">
        <x:v>35</x:v>
      </x:c>
      <x:c r="M3607" t="n">
        <x:v>28</x:v>
      </x:c>
      <x:c r="N3607" s="24" t="n">
        <x:v>0</x:v>
      </x:c>
      <x:c r="O3607" s="22" t="n">
        <x:f>L3607*M3607</x:f>
        <x:v>980</x:v>
      </x:c>
      <x:c r="P3607" s="22" t="n">
        <x:f>O3607*(1-N3607)</x:f>
        <x:v>980</x:v>
      </x:c>
      <x:c r="Q3607" s="22" t="n">
        <x:v>27</x:v>
      </x:c>
      <x:c r="R3607" s="22" t="n">
        <x:f>Q3607*M3607</x:f>
        <x:v>756</x:v>
      </x:c>
      <x:c r="S3607" s="22" t="n">
        <x:f>P3607-R3607</x:f>
        <x:v>224</x:v>
      </x:c>
      <x:c r="T3607" t="str">
        <x:v>Cash</x:v>
      </x:c>
      <x:c r="U3607" t="str">
        <x:v>Paid</x:v>
      </x:c>
      <x:c r="V3607" t="str">
        <x:v>Delivered</x:v>
      </x:c>
      <x:c r="W3607" t="n">
        <x:v>2</x:v>
      </x:c>
      <x:c r="X3607" t="str">
        <x:v>Quality Issue</x:v>
      </x:c>
      <x:c r="Y3607" t="str">
        <x:v>Existing Customer</x:v>
      </x:c>
    </x:row>
    <x:row r="3608">
      <x:c r="A3608" t="str">
        <x:v>O003607</x:v>
      </x:c>
      <x:c r="B3608" s="20" t="n">
        <x:v>45945</x:v>
      </x:c>
      <x:c r="C3608" t="str">
        <x:v>C0002</x:v>
      </x:c>
      <x:c r="D3608" t="str">
        <x:v>City Kitchen 2</x:v>
      </x:c>
      <x:c r="E3608" t="str">
        <x:v>Kirana</x:v>
      </x:c>
      <x:c r="F3608" t="str">
        <x:v>Davanagere</x:v>
      </x:c>
      <x:c r="G3608" t="str">
        <x:v>Arjun</x:v>
      </x:c>
      <x:c r="H3608" t="str">
        <x:v>P050</x:v>
      </x:c>
      <x:c r="I3608" t="str">
        <x:v>Lemon 5kg</x:v>
      </x:c>
      <x:c r="J3608" t="str">
        <x:v>Fresh Produce</x:v>
      </x:c>
      <x:c r="K3608" t="str">
        <x:v>Local Market</x:v>
      </x:c>
      <x:c r="L3608" s="22" t="n">
        <x:v>360</x:v>
      </x:c>
      <x:c r="M3608" t="n">
        <x:v>15</x:v>
      </x:c>
      <x:c r="N3608" s="24" t="n">
        <x:v>0.03</x:v>
      </x:c>
      <x:c r="O3608" s="22" t="n">
        <x:f>L3608*M3608</x:f>
        <x:v>5400</x:v>
      </x:c>
      <x:c r="P3608" s="22" t="n">
        <x:f>O3608*(1-N3608)</x:f>
        <x:v>5238</x:v>
      </x:c>
      <x:c r="Q3608" s="22" t="n">
        <x:v>300</x:v>
      </x:c>
      <x:c r="R3608" s="22" t="n">
        <x:f>Q3608*M3608</x:f>
        <x:v>4500</x:v>
      </x:c>
      <x:c r="S3608" s="22" t="n">
        <x:f>P3608-R3608</x:f>
        <x:v>738</x:v>
      </x:c>
      <x:c r="T3608" t="str">
        <x:v>Bank Transfer</x:v>
      </x:c>
      <x:c r="U3608" t="str">
        <x:v>Paid</x:v>
      </x:c>
      <x:c r="V3608" t="str">
        <x:v>Delivered</x:v>
      </x:c>
      <x:c r="W3608" t="n">
        <x:v>0</x:v>
      </x:c>
      <x:c r="X3608" t="str"/>
      <x:c r="Y3608" t="str">
        <x:v>Referral</x:v>
      </x:c>
    </x:row>
    <x:row r="3609">
      <x:c r="A3609" t="str">
        <x:v>O003608</x:v>
      </x:c>
      <x:c r="B3609" s="20" t="n">
        <x:v>46077</x:v>
      </x:c>
      <x:c r="C3609" t="str">
        <x:v>C0197</x:v>
      </x:c>
      <x:c r="D3609" t="str">
        <x:v>New Foods 197</x:v>
      </x:c>
      <x:c r="E3609" t="str">
        <x:v>Cafe</x:v>
      </x:c>
      <x:c r="F3609" t="str">
        <x:v>Hubballi</x:v>
      </x:c>
      <x:c r="G3609" t="str">
        <x:v>Kavya</x:v>
      </x:c>
      <x:c r="H3609" t="str">
        <x:v>P036</x:v>
      </x:c>
      <x:c r="I3609" t="str">
        <x:v>Garam Masala 500g</x:v>
      </x:c>
      <x:c r="J3609" t="str">
        <x:v>Spices</x:v>
      </x:c>
      <x:c r="K3609" t="str">
        <x:v>MDH</x:v>
      </x:c>
      <x:c r="L3609" s="22" t="n">
        <x:v>265</x:v>
      </x:c>
      <x:c r="M3609" t="n">
        <x:v>40</x:v>
      </x:c>
      <x:c r="N3609" s="24" t="n">
        <x:v>0.05</x:v>
      </x:c>
      <x:c r="O3609" s="22" t="n">
        <x:f>L3609*M3609</x:f>
        <x:v>10600</x:v>
      </x:c>
      <x:c r="P3609" s="22" t="n">
        <x:f>O3609*(1-N3609)</x:f>
        <x:v>10070</x:v>
      </x:c>
      <x:c r="Q3609" s="22" t="n">
        <x:v>230</x:v>
      </x:c>
      <x:c r="R3609" s="22" t="n">
        <x:f>Q3609*M3609</x:f>
        <x:v>9200</x:v>
      </x:c>
      <x:c r="S3609" s="22" t="n">
        <x:f>P3609-R3609</x:f>
        <x:v>870</x:v>
      </x:c>
      <x:c r="T3609" t="str">
        <x:v>Credit</x:v>
      </x:c>
      <x:c r="U3609" t="str">
        <x:v>Paid</x:v>
      </x:c>
      <x:c r="V3609" t="str">
        <x:v>Delivered</x:v>
      </x:c>
      <x:c r="W3609" t="n">
        <x:v>0</x:v>
      </x:c>
      <x:c r="X3609" t="str"/>
      <x:c r="Y3609" t="str">
        <x:v>WhatsApp</x:v>
      </x:c>
    </x:row>
    <x:row r="3610">
      <x:c r="A3610" t="str">
        <x:v>O003609</x:v>
      </x:c>
      <x:c r="B3610" s="20" t="n">
        <x:v>46137</x:v>
      </x:c>
      <x:c r="C3610" t="str">
        <x:v>C0079</x:v>
      </x:c>
      <x:c r="D3610" t="str">
        <x:v>Foodie Foods 79</x:v>
      </x:c>
      <x:c r="E3610" t="str">
        <x:v>Cafe</x:v>
      </x:c>
      <x:c r="F3610" t="str">
        <x:v>Tumakuru</x:v>
      </x:c>
      <x:c r="G3610" t="str">
        <x:v>Ramesh</x:v>
      </x:c>
      <x:c r="H3610" t="str">
        <x:v>P044</x:v>
      </x:c>
      <x:c r="I3610" t="str">
        <x:v>Chicken Curry Cut 1kg</x:v>
      </x:c>
      <x:c r="J3610" t="str">
        <x:v>Protein</x:v>
      </x:c>
      <x:c r="K3610" t="str">
        <x:v>FreshToHome</x:v>
      </x:c>
      <x:c r="L3610" s="22" t="n">
        <x:v>230</x:v>
      </x:c>
      <x:c r="M3610" t="n">
        <x:v>26</x:v>
      </x:c>
      <x:c r="N3610" s="24" t="n">
        <x:v>0</x:v>
      </x:c>
      <x:c r="O3610" s="22" t="n">
        <x:f>L3610*M3610</x:f>
        <x:v>5980</x:v>
      </x:c>
      <x:c r="P3610" s="22" t="n">
        <x:f>O3610*(1-N3610)</x:f>
        <x:v>5980</x:v>
      </x:c>
      <x:c r="Q3610" s="22" t="n">
        <x:v>205</x:v>
      </x:c>
      <x:c r="R3610" s="22" t="n">
        <x:f>Q3610*M3610</x:f>
        <x:v>5330</x:v>
      </x:c>
      <x:c r="S3610" s="22" t="n">
        <x:f>P3610-R3610</x:f>
        <x:v>650</x:v>
      </x:c>
      <x:c r="T3610" t="str">
        <x:v>Credit</x:v>
      </x:c>
      <x:c r="U3610" t="str">
        <x:v>Paid</x:v>
      </x:c>
      <x:c r="V3610" t="str">
        <x:v>Delivered</x:v>
      </x:c>
      <x:c r="W3610" t="n">
        <x:v>0</x:v>
      </x:c>
      <x:c r="X3610" t="str"/>
      <x:c r="Y3610" t="str">
        <x:v>Outbound Call</x:v>
      </x:c>
    </x:row>
    <x:row r="3611">
      <x:c r="A3611" t="str">
        <x:v>O003610</x:v>
      </x:c>
      <x:c r="B3611" s="20" t="n">
        <x:v>45790</x:v>
      </x:c>
      <x:c r="C3611" t="str">
        <x:v>C0129</x:v>
      </x:c>
      <x:c r="D3611" t="str">
        <x:v>City Canteen 129</x:v>
      </x:c>
      <x:c r="E3611" t="str">
        <x:v>Kirana</x:v>
      </x:c>
      <x:c r="F3611" t="str">
        <x:v>Hubballi</x:v>
      </x:c>
      <x:c r="G3611" t="str">
        <x:v>Sneha</x:v>
      </x:c>
      <x:c r="H3611" t="str">
        <x:v>P019</x:v>
      </x:c>
      <x:c r="I3611" t="str">
        <x:v>Tea 1kg</x:v>
      </x:c>
      <x:c r="J3611" t="str">
        <x:v>Beverage</x:v>
      </x:c>
      <x:c r="K3611" t="str">
        <x:v>Red Label</x:v>
      </x:c>
      <x:c r="L3611" s="22" t="n">
        <x:v>540</x:v>
      </x:c>
      <x:c r="M3611" t="n">
        <x:v>25</x:v>
      </x:c>
      <x:c r="N3611" s="24" t="n">
        <x:v>0</x:v>
      </x:c>
      <x:c r="O3611" s="22" t="n">
        <x:f>L3611*M3611</x:f>
        <x:v>13500</x:v>
      </x:c>
      <x:c r="P3611" s="22" t="n">
        <x:f>O3611*(1-N3611)</x:f>
        <x:v>13500</x:v>
      </x:c>
      <x:c r="Q3611" s="22" t="n">
        <x:v>485</x:v>
      </x:c>
      <x:c r="R3611" s="22" t="n">
        <x:f>Q3611*M3611</x:f>
        <x:v>12125</x:v>
      </x:c>
      <x:c r="S3611" s="22" t="n">
        <x:f>P3611-R3611</x:f>
        <x:v>1375</x:v>
      </x:c>
      <x:c r="T3611" t="str">
        <x:v>Bank Transfer</x:v>
      </x:c>
      <x:c r="U3611" t="str">
        <x:v>Paid</x:v>
      </x:c>
      <x:c r="V3611" t="str">
        <x:v>Cancelled</x:v>
      </x:c>
      <x:c r="W3611" t="n">
        <x:v>25</x:v>
      </x:c>
      <x:c r="X3611" t="str">
        <x:v>Cancelled Order</x:v>
      </x:c>
      <x:c r="Y3611" t="str">
        <x:v>Field Visit</x:v>
      </x:c>
    </x:row>
    <x:row r="3612">
      <x:c r="A3612" t="str">
        <x:v>O003611</x:v>
      </x:c>
      <x:c r="B3612" s="20" t="n">
        <x:v>45791</x:v>
      </x:c>
      <x:c r="C3612" t="str">
        <x:v>C0135</x:v>
      </x:c>
      <x:c r="D3612" t="str">
        <x:v>City Canteen 135</x:v>
      </x:c>
      <x:c r="E3612" t="str">
        <x:v>Supermarket</x:v>
      </x:c>
      <x:c r="F3612" t="str">
        <x:v>Hubballi</x:v>
      </x:c>
      <x:c r="G3612" t="str">
        <x:v>Megha</x:v>
      </x:c>
      <x:c r="H3612" t="str">
        <x:v>P002</x:v>
      </x:c>
      <x:c r="I3612" t="str">
        <x:v>Sona Masoori Rice 25kg</x:v>
      </x:c>
      <x:c r="J3612" t="str">
        <x:v>Staples</x:v>
      </x:c>
      <x:c r="K3612" t="str">
        <x:v>Fortune</x:v>
      </x:c>
      <x:c r="L3612" s="22" t="n">
        <x:v>1320</x:v>
      </x:c>
      <x:c r="M3612" t="n">
        <x:v>6</x:v>
      </x:c>
      <x:c r="N3612" s="24" t="n">
        <x:v>0.03</x:v>
      </x:c>
      <x:c r="O3612" s="22" t="n">
        <x:f>L3612*M3612</x:f>
        <x:v>7920</x:v>
      </x:c>
      <x:c r="P3612" s="22" t="n">
        <x:f>O3612*(1-N3612)</x:f>
        <x:v>7682.4</x:v>
      </x:c>
      <x:c r="Q3612" s="22" t="n">
        <x:v>1160</x:v>
      </x:c>
      <x:c r="R3612" s="22" t="n">
        <x:f>Q3612*M3612</x:f>
        <x:v>6960</x:v>
      </x:c>
      <x:c r="S3612" s="22" t="n">
        <x:f>P3612-R3612</x:f>
        <x:v>722.3999999999996</x:v>
      </x:c>
      <x:c r="T3612" t="str">
        <x:v>UPI</x:v>
      </x:c>
      <x:c r="U3612" t="str">
        <x:v>Paid</x:v>
      </x:c>
      <x:c r="V3612" t="str">
        <x:v>Delayed</x:v>
      </x:c>
      <x:c r="W3612" t="n">
        <x:v>0</x:v>
      </x:c>
      <x:c r="X3612" t="str"/>
      <x:c r="Y3612" t="str">
        <x:v>Referral</x:v>
      </x:c>
    </x:row>
    <x:row r="3613">
      <x:c r="A3613" t="str">
        <x:v>O003612</x:v>
      </x:c>
      <x:c r="B3613" s="20" t="n">
        <x:v>46002</x:v>
      </x:c>
      <x:c r="C3613" t="str">
        <x:v>C0096</x:v>
      </x:c>
      <x:c r="D3613" t="str">
        <x:v>Metro Foods 96</x:v>
      </x:c>
      <x:c r="E3613" t="str">
        <x:v>Kirana</x:v>
      </x:c>
      <x:c r="F3613" t="str">
        <x:v>Davanagere</x:v>
      </x:c>
      <x:c r="G3613" t="str">
        <x:v>Vikram</x:v>
      </x:c>
      <x:c r="H3613" t="str">
        <x:v>P016</x:v>
      </x:c>
      <x:c r="I3613" t="str">
        <x:v>Curd 1kg</x:v>
      </x:c>
      <x:c r="J3613" t="str">
        <x:v>Dairy</x:v>
      </x:c>
      <x:c r="K3613" t="str">
        <x:v>Nandini</x:v>
      </x:c>
      <x:c r="L3613" s="22" t="n">
        <x:v>72</x:v>
      </x:c>
      <x:c r="M3613" t="n">
        <x:v>11</x:v>
      </x:c>
      <x:c r="N3613" s="24" t="n">
        <x:v>0.05</x:v>
      </x:c>
      <x:c r="O3613" s="22" t="n">
        <x:f>L3613*M3613</x:f>
        <x:v>792</x:v>
      </x:c>
      <x:c r="P3613" s="22" t="n">
        <x:f>O3613*(1-N3613)</x:f>
        <x:v>752.4</x:v>
      </x:c>
      <x:c r="Q3613" s="22" t="n">
        <x:v>64</x:v>
      </x:c>
      <x:c r="R3613" s="22" t="n">
        <x:f>Q3613*M3613</x:f>
        <x:v>704</x:v>
      </x:c>
      <x:c r="S3613" s="22" t="n">
        <x:f>P3613-R3613</x:f>
        <x:v>48.39999999999998</x:v>
      </x:c>
      <x:c r="T3613" t="str">
        <x:v>Bank Transfer</x:v>
      </x:c>
      <x:c r="U3613" t="str">
        <x:v>Paid</x:v>
      </x:c>
      <x:c r="V3613" t="str">
        <x:v>Delivered</x:v>
      </x:c>
      <x:c r="W3613" t="n">
        <x:v>0</x:v>
      </x:c>
      <x:c r="X3613" t="str"/>
      <x:c r="Y3613" t="str">
        <x:v>Existing Customer</x:v>
      </x:c>
    </x:row>
    <x:row r="3614">
      <x:c r="A3614" t="str">
        <x:v>O003613</x:v>
      </x:c>
      <x:c r="B3614" s="20" t="n">
        <x:v>46085</x:v>
      </x:c>
      <x:c r="C3614" t="str">
        <x:v>C0211</x:v>
      </x:c>
      <x:c r="D3614" t="str">
        <x:v>Cafe Cafe 211</x:v>
      </x:c>
      <x:c r="E3614" t="str">
        <x:v>Supermarket</x:v>
      </x:c>
      <x:c r="F3614" t="str">
        <x:v>Davanagere</x:v>
      </x:c>
      <x:c r="G3614" t="str">
        <x:v>Megha</x:v>
      </x:c>
      <x:c r="H3614" t="str">
        <x:v>P029</x:v>
      </x:c>
      <x:c r="I3614" t="str">
        <x:v>Tomato Ketchup 1kg</x:v>
      </x:c>
      <x:c r="J3614" t="str">
        <x:v>Condiments</x:v>
      </x:c>
      <x:c r="K3614" t="str">
        <x:v>Kissan</x:v>
      </x:c>
      <x:c r="L3614" s="22" t="n">
        <x:v>145</x:v>
      </x:c>
      <x:c r="M3614" t="n">
        <x:v>24</x:v>
      </x:c>
      <x:c r="N3614" s="24" t="n">
        <x:v>0.05</x:v>
      </x:c>
      <x:c r="O3614" s="22" t="n">
        <x:f>L3614*M3614</x:f>
        <x:v>3480</x:v>
      </x:c>
      <x:c r="P3614" s="22" t="n">
        <x:f>O3614*(1-N3614)</x:f>
        <x:v>3306</x:v>
      </x:c>
      <x:c r="Q3614" s="22" t="n">
        <x:v>126</x:v>
      </x:c>
      <x:c r="R3614" s="22" t="n">
        <x:f>Q3614*M3614</x:f>
        <x:v>3024</x:v>
      </x:c>
      <x:c r="S3614" s="22" t="n">
        <x:f>P3614-R3614</x:f>
        <x:v>282</x:v>
      </x:c>
      <x:c r="T3614" t="str">
        <x:v>Cash</x:v>
      </x:c>
      <x:c r="U3614" t="str">
        <x:v>Paid</x:v>
      </x:c>
      <x:c r="V3614" t="str">
        <x:v>Delivered</x:v>
      </x:c>
      <x:c r="W3614" t="n">
        <x:v>0</x:v>
      </x:c>
      <x:c r="X3614" t="str"/>
      <x:c r="Y3614" t="str">
        <x:v>Field Visit</x:v>
      </x:c>
    </x:row>
    <x:row r="3615">
      <x:c r="A3615" t="str">
        <x:v>O003614</x:v>
      </x:c>
      <x:c r="B3615" s="20" t="n">
        <x:v>46019</x:v>
      </x:c>
      <x:c r="C3615" t="str">
        <x:v>C0192</x:v>
      </x:c>
      <x:c r="D3615" t="str">
        <x:v>Shree Kitchen 192</x:v>
      </x:c>
      <x:c r="E3615" t="str">
        <x:v>Restaurant</x:v>
      </x:c>
      <x:c r="F3615" t="str">
        <x:v>Mysuru</x:v>
      </x:c>
      <x:c r="G3615" t="str">
        <x:v>Sneha</x:v>
      </x:c>
      <x:c r="H3615" t="str">
        <x:v>P047</x:v>
      </x:c>
      <x:c r="I3615" t="str">
        <x:v>Tomato 25kg</x:v>
      </x:c>
      <x:c r="J3615" t="str">
        <x:v>Fresh Produce</x:v>
      </x:c>
      <x:c r="K3615" t="str">
        <x:v>Local Market</x:v>
      </x:c>
      <x:c r="L3615" s="22" t="n">
        <x:v>950</x:v>
      </x:c>
      <x:c r="M3615" t="n">
        <x:v>10</x:v>
      </x:c>
      <x:c r="N3615" s="24" t="n">
        <x:v>0.02</x:v>
      </x:c>
      <x:c r="O3615" s="22" t="n">
        <x:f>L3615*M3615</x:f>
        <x:v>9500</x:v>
      </x:c>
      <x:c r="P3615" s="22" t="n">
        <x:f>O3615*(1-N3615)</x:f>
        <x:v>9310</x:v>
      </x:c>
      <x:c r="Q3615" s="22" t="n">
        <x:v>810</x:v>
      </x:c>
      <x:c r="R3615" s="22" t="n">
        <x:f>Q3615*M3615</x:f>
        <x:v>8100</x:v>
      </x:c>
      <x:c r="S3615" s="22" t="n">
        <x:f>P3615-R3615</x:f>
        <x:v>1210</x:v>
      </x:c>
      <x:c r="T3615" t="str">
        <x:v>Bank Transfer</x:v>
      </x:c>
      <x:c r="U3615" t="str">
        <x:v>Paid</x:v>
      </x:c>
      <x:c r="V3615" t="str">
        <x:v>Delivered</x:v>
      </x:c>
      <x:c r="W3615" t="n">
        <x:v>0</x:v>
      </x:c>
      <x:c r="X3615" t="str"/>
      <x:c r="Y3615" t="str">
        <x:v>Existing Customer</x:v>
      </x:c>
    </x:row>
    <x:row r="3616">
      <x:c r="A3616" t="str">
        <x:v>O003615</x:v>
      </x:c>
      <x:c r="B3616" s="20" t="n">
        <x:v>46264</x:v>
      </x:c>
      <x:c r="C3616" t="str">
        <x:v>C0108</x:v>
      </x:c>
      <x:c r="D3616" t="str">
        <x:v>Spice Mart 108</x:v>
      </x:c>
      <x:c r="E3616" t="str">
        <x:v>Supermarket</x:v>
      </x:c>
      <x:c r="F3616" t="str">
        <x:v>Hubballi</x:v>
      </x:c>
      <x:c r="G3616" t="str">
        <x:v>Kavya</x:v>
      </x:c>
      <x:c r="H3616" t="str">
        <x:v>P030</x:v>
      </x:c>
      <x:c r="I3616" t="str">
        <x:v>Mayonnaise 1kg</x:v>
      </x:c>
      <x:c r="J3616" t="str">
        <x:v>Condiments</x:v>
      </x:c>
      <x:c r="K3616" t="str">
        <x:v>Veeba</x:v>
      </x:c>
      <x:c r="L3616" s="22" t="n">
        <x:v>210</x:v>
      </x:c>
      <x:c r="M3616" t="n">
        <x:v>4</x:v>
      </x:c>
      <x:c r="N3616" s="24" t="n">
        <x:v>0</x:v>
      </x:c>
      <x:c r="O3616" s="22" t="n">
        <x:f>L3616*M3616</x:f>
        <x:v>840</x:v>
      </x:c>
      <x:c r="P3616" s="22" t="n">
        <x:f>O3616*(1-N3616)</x:f>
        <x:v>840</x:v>
      </x:c>
      <x:c r="Q3616" s="22" t="n">
        <x:v>185</x:v>
      </x:c>
      <x:c r="R3616" s="22" t="n">
        <x:f>Q3616*M3616</x:f>
        <x:v>740</x:v>
      </x:c>
      <x:c r="S3616" s="22" t="n">
        <x:f>P3616-R3616</x:f>
        <x:v>100</x:v>
      </x:c>
      <x:c r="T3616" t="str">
        <x:v>Credit</x:v>
      </x:c>
      <x:c r="U3616" t="str">
        <x:v>Pending</x:v>
      </x:c>
      <x:c r="V3616" t="str">
        <x:v>Delivered</x:v>
      </x:c>
      <x:c r="W3616" t="n">
        <x:v>0</x:v>
      </x:c>
      <x:c r="X3616" t="str"/>
      <x:c r="Y3616" t="str">
        <x:v>WhatsApp</x:v>
      </x:c>
    </x:row>
    <x:row r="3617">
      <x:c r="A3617" t="str">
        <x:v>O003616</x:v>
      </x:c>
      <x:c r="B3617" s="20" t="n">
        <x:v>45938</x:v>
      </x:c>
      <x:c r="C3617" t="str">
        <x:v>C0163</x:v>
      </x:c>
      <x:c r="D3617" t="str">
        <x:v>Shree Kitchen 163</x:v>
      </x:c>
      <x:c r="E3617" t="str">
        <x:v>Kirana</x:v>
      </x:c>
      <x:c r="F3617" t="str">
        <x:v>Mysuru</x:v>
      </x:c>
      <x:c r="G3617" t="str">
        <x:v>Priya</x:v>
      </x:c>
      <x:c r="H3617" t="str">
        <x:v>P012</x:v>
      </x:c>
      <x:c r="I3617" t="str">
        <x:v>Maida 10kg</x:v>
      </x:c>
      <x:c r="J3617" t="str">
        <x:v>Flour</x:v>
      </x:c>
      <x:c r="K3617" t="str">
        <x:v>Aashirvaad</x:v>
      </x:c>
      <x:c r="L3617" s="22" t="n">
        <x:v>520</x:v>
      </x:c>
      <x:c r="M3617" t="n">
        <x:v>37</x:v>
      </x:c>
      <x:c r="N3617" s="24" t="n">
        <x:v>0.05</x:v>
      </x:c>
      <x:c r="O3617" s="22" t="n">
        <x:f>L3617*M3617</x:f>
        <x:v>19240</x:v>
      </x:c>
      <x:c r="P3617" s="22" t="n">
        <x:f>O3617*(1-N3617)</x:f>
        <x:v>18278</x:v>
      </x:c>
      <x:c r="Q3617" s="22" t="n">
        <x:v>460</x:v>
      </x:c>
      <x:c r="R3617" s="22" t="n">
        <x:f>Q3617*M3617</x:f>
        <x:v>17020</x:v>
      </x:c>
      <x:c r="S3617" s="22" t="n">
        <x:f>P3617-R3617</x:f>
        <x:v>1258</x:v>
      </x:c>
      <x:c r="T3617" t="str">
        <x:v>Credit</x:v>
      </x:c>
      <x:c r="U3617" t="str">
        <x:v>Paid</x:v>
      </x:c>
      <x:c r="V3617" t="str">
        <x:v>Delivered</x:v>
      </x:c>
      <x:c r="W3617" t="n">
        <x:v>0</x:v>
      </x:c>
      <x:c r="X3617" t="str"/>
      <x:c r="Y3617" t="str">
        <x:v>Existing Customer</x:v>
      </x:c>
    </x:row>
    <x:row r="3618">
      <x:c r="A3618" t="str">
        <x:v>O003617</x:v>
      </x:c>
      <x:c r="B3618" s="20" t="n">
        <x:v>46256</x:v>
      </x:c>
      <x:c r="C3618" t="str">
        <x:v>C0066</x:v>
      </x:c>
      <x:c r="D3618" t="str">
        <x:v>Hotel Hotel 66</x:v>
      </x:c>
      <x:c r="E3618" t="str">
        <x:v>Restaurant</x:v>
      </x:c>
      <x:c r="F3618" t="str">
        <x:v>Davanagere</x:v>
      </x:c>
      <x:c r="G3618" t="str">
        <x:v>Megha</x:v>
      </x:c>
      <x:c r="H3618" t="str">
        <x:v>P044</x:v>
      </x:c>
      <x:c r="I3618" t="str">
        <x:v>Chicken Curry Cut 1kg</x:v>
      </x:c>
      <x:c r="J3618" t="str">
        <x:v>Protein</x:v>
      </x:c>
      <x:c r="K3618" t="str">
        <x:v>FreshToHome</x:v>
      </x:c>
      <x:c r="L3618" s="22" t="n">
        <x:v>230</x:v>
      </x:c>
      <x:c r="M3618" t="n">
        <x:v>37</x:v>
      </x:c>
      <x:c r="N3618" s="24" t="n">
        <x:v>0.05</x:v>
      </x:c>
      <x:c r="O3618" s="22" t="n">
        <x:f>L3618*M3618</x:f>
        <x:v>8510</x:v>
      </x:c>
      <x:c r="P3618" s="22" t="n">
        <x:f>O3618*(1-N3618)</x:f>
        <x:v>8084.5</x:v>
      </x:c>
      <x:c r="Q3618" s="22" t="n">
        <x:v>205</x:v>
      </x:c>
      <x:c r="R3618" s="22" t="n">
        <x:f>Q3618*M3618</x:f>
        <x:v>7585</x:v>
      </x:c>
      <x:c r="S3618" s="22" t="n">
        <x:f>P3618-R3618</x:f>
        <x:v>499.5</x:v>
      </x:c>
      <x:c r="T3618" t="str">
        <x:v>Bank Transfer</x:v>
      </x:c>
      <x:c r="U3618" t="str">
        <x:v>Paid</x:v>
      </x:c>
      <x:c r="V3618" t="str">
        <x:v>Delivered</x:v>
      </x:c>
      <x:c r="W3618" t="n">
        <x:v>0</x:v>
      </x:c>
      <x:c r="X3618" t="str"/>
      <x:c r="Y3618" t="str">
        <x:v>Field Visit</x:v>
      </x:c>
    </x:row>
    <x:row r="3619">
      <x:c r="A3619" t="str">
        <x:v>O003618</x:v>
      </x:c>
      <x:c r="B3619" s="20" t="n">
        <x:v>45718</x:v>
      </x:c>
      <x:c r="C3619" t="str">
        <x:v>C0113</x:v>
      </x:c>
      <x:c r="D3619" t="str">
        <x:v>Namma Mart 113</x:v>
      </x:c>
      <x:c r="E3619" t="str">
        <x:v>Restaurant</x:v>
      </x:c>
      <x:c r="F3619" t="str">
        <x:v>Bengaluru</x:v>
      </x:c>
      <x:c r="G3619" t="str">
        <x:v>Imran</x:v>
      </x:c>
      <x:c r="H3619" t="str">
        <x:v>P001</x:v>
      </x:c>
      <x:c r="I3619" t="str">
        <x:v>Steam Rice 25kg</x:v>
      </x:c>
      <x:c r="J3619" t="str">
        <x:v>Staples</x:v>
      </x:c>
      <x:c r="K3619" t="str">
        <x:v>Aishwarya</x:v>
      </x:c>
      <x:c r="L3619" s="22" t="n">
        <x:v>1180</x:v>
      </x:c>
      <x:c r="M3619" t="n">
        <x:v>5</x:v>
      </x:c>
      <x:c r="N3619" s="24" t="n">
        <x:v>0.05</x:v>
      </x:c>
      <x:c r="O3619" s="22" t="n">
        <x:f>L3619*M3619</x:f>
        <x:v>5900</x:v>
      </x:c>
      <x:c r="P3619" s="22" t="n">
        <x:f>O3619*(1-N3619)</x:f>
        <x:v>5605</x:v>
      </x:c>
      <x:c r="Q3619" s="22" t="n">
        <x:v>1040</x:v>
      </x:c>
      <x:c r="R3619" s="22" t="n">
        <x:f>Q3619*M3619</x:f>
        <x:v>5200</x:v>
      </x:c>
      <x:c r="S3619" s="22" t="n">
        <x:f>P3619-R3619</x:f>
        <x:v>405</x:v>
      </x:c>
      <x:c r="T3619" t="str">
        <x:v>Cash</x:v>
      </x:c>
      <x:c r="U3619" t="str">
        <x:v>Paid</x:v>
      </x:c>
      <x:c r="V3619" t="str">
        <x:v>Delivered</x:v>
      </x:c>
      <x:c r="W3619" t="n">
        <x:v>0</x:v>
      </x:c>
      <x:c r="X3619" t="str"/>
      <x:c r="Y3619" t="str">
        <x:v>Field Visit</x:v>
      </x:c>
    </x:row>
    <x:row r="3620">
      <x:c r="A3620" t="str">
        <x:v>O003619</x:v>
      </x:c>
      <x:c r="B3620" s="20" t="n">
        <x:v>45985</x:v>
      </x:c>
      <x:c r="C3620" t="str">
        <x:v>C0145</x:v>
      </x:c>
      <x:c r="D3620" t="str">
        <x:v>Namma Cafe 145</x:v>
      </x:c>
      <x:c r="E3620" t="str">
        <x:v>Kirana</x:v>
      </x:c>
      <x:c r="F3620" t="str">
        <x:v>Tumakuru</x:v>
      </x:c>
      <x:c r="G3620" t="str">
        <x:v>Sneha</x:v>
      </x:c>
      <x:c r="H3620" t="str">
        <x:v>P048</x:v>
      </x:c>
      <x:c r="I3620" t="str">
        <x:v>Banana 10kg</x:v>
      </x:c>
      <x:c r="J3620" t="str">
        <x:v>Fresh Produce</x:v>
      </x:c>
      <x:c r="K3620" t="str">
        <x:v>Local Market</x:v>
      </x:c>
      <x:c r="L3620" s="22" t="n">
        <x:v>420</x:v>
      </x:c>
      <x:c r="M3620" t="n">
        <x:v>31</x:v>
      </x:c>
      <x:c r="N3620" s="24" t="n">
        <x:v>0.08</x:v>
      </x:c>
      <x:c r="O3620" s="22" t="n">
        <x:f>L3620*M3620</x:f>
        <x:v>13020</x:v>
      </x:c>
      <x:c r="P3620" s="22" t="n">
        <x:f>O3620*(1-N3620)</x:f>
        <x:v>11978.4</x:v>
      </x:c>
      <x:c r="Q3620" s="22" t="n">
        <x:v>350</x:v>
      </x:c>
      <x:c r="R3620" s="22" t="n">
        <x:f>Q3620*M3620</x:f>
        <x:v>10850</x:v>
      </x:c>
      <x:c r="S3620" s="22" t="n">
        <x:f>P3620-R3620</x:f>
        <x:v>1128.3999999999996</x:v>
      </x:c>
      <x:c r="T3620" t="str">
        <x:v>Bank Transfer</x:v>
      </x:c>
      <x:c r="U3620" t="str">
        <x:v>Pending</x:v>
      </x:c>
      <x:c r="V3620" t="str">
        <x:v>Delayed</x:v>
      </x:c>
      <x:c r="W3620" t="n">
        <x:v>0</x:v>
      </x:c>
      <x:c r="X3620" t="str"/>
      <x:c r="Y3620" t="str">
        <x:v>Field Visit</x:v>
      </x:c>
    </x:row>
    <x:row r="3621">
      <x:c r="A3621" t="str">
        <x:v>O003620</x:v>
      </x:c>
      <x:c r="B3621" s="20" t="n">
        <x:v>46280</x:v>
      </x:c>
      <x:c r="C3621" t="str">
        <x:v>C0052</x:v>
      </x:c>
      <x:c r="D3621" t="str">
        <x:v>Sagar Canteen 52</x:v>
      </x:c>
      <x:c r="E3621" t="str">
        <x:v>Kirana</x:v>
      </x:c>
      <x:c r="F3621" t="str">
        <x:v>Mysuru</x:v>
      </x:c>
      <x:c r="G3621" t="str">
        <x:v>Kavya</x:v>
      </x:c>
      <x:c r="H3621" t="str">
        <x:v>P044</x:v>
      </x:c>
      <x:c r="I3621" t="str">
        <x:v>Chicken Curry Cut 1kg</x:v>
      </x:c>
      <x:c r="J3621" t="str">
        <x:v>Protein</x:v>
      </x:c>
      <x:c r="K3621" t="str">
        <x:v>FreshToHome</x:v>
      </x:c>
      <x:c r="L3621" s="22" t="n">
        <x:v>230</x:v>
      </x:c>
      <x:c r="M3621" t="n">
        <x:v>31</x:v>
      </x:c>
      <x:c r="N3621" s="24" t="n">
        <x:v>0.02</x:v>
      </x:c>
      <x:c r="O3621" s="22" t="n">
        <x:f>L3621*M3621</x:f>
        <x:v>7130</x:v>
      </x:c>
      <x:c r="P3621" s="22" t="n">
        <x:f>O3621*(1-N3621)</x:f>
        <x:v>6987.4</x:v>
      </x:c>
      <x:c r="Q3621" s="22" t="n">
        <x:v>205</x:v>
      </x:c>
      <x:c r="R3621" s="22" t="n">
        <x:f>Q3621*M3621</x:f>
        <x:v>6355</x:v>
      </x:c>
      <x:c r="S3621" s="22" t="n">
        <x:f>P3621-R3621</x:f>
        <x:v>632.3999999999996</x:v>
      </x:c>
      <x:c r="T3621" t="str">
        <x:v>Bank Transfer</x:v>
      </x:c>
      <x:c r="U3621" t="str">
        <x:v>Paid</x:v>
      </x:c>
      <x:c r="V3621" t="str">
        <x:v>Delayed</x:v>
      </x:c>
      <x:c r="W3621" t="n">
        <x:v>0</x:v>
      </x:c>
      <x:c r="X3621" t="str"/>
      <x:c r="Y3621" t="str">
        <x:v>Field Visit</x:v>
      </x:c>
    </x:row>
    <x:row r="3622">
      <x:c r="A3622" t="str">
        <x:v>O003621</x:v>
      </x:c>
      <x:c r="B3622" s="20" t="n">
        <x:v>46102</x:v>
      </x:c>
      <x:c r="C3622" t="str">
        <x:v>C0080</x:v>
      </x:c>
      <x:c r="D3622" t="str">
        <x:v>Annapurna Canteen 80</x:v>
      </x:c>
      <x:c r="E3622" t="str">
        <x:v>Restaurant</x:v>
      </x:c>
      <x:c r="F3622" t="str">
        <x:v>Mangaluru</x:v>
      </x:c>
      <x:c r="G3622" t="str">
        <x:v>Priya</x:v>
      </x:c>
      <x:c r="H3622" t="str">
        <x:v>P009</x:v>
      </x:c>
      <x:c r="I3622" t="str">
        <x:v>Groundnut Oil 5L</x:v>
      </x:c>
      <x:c r="J3622" t="str">
        <x:v>Edible Oil</x:v>
      </x:c>
      <x:c r="K3622" t="str">
        <x:v>Dhara</x:v>
      </x:c>
      <x:c r="L3622" s="22" t="n">
        <x:v>890</x:v>
      </x:c>
      <x:c r="M3622" t="n">
        <x:v>11</x:v>
      </x:c>
      <x:c r="N3622" s="24" t="n">
        <x:v>0</x:v>
      </x:c>
      <x:c r="O3622" s="22" t="n">
        <x:f>L3622*M3622</x:f>
        <x:v>9790</x:v>
      </x:c>
      <x:c r="P3622" s="22" t="n">
        <x:f>O3622*(1-N3622)</x:f>
        <x:v>9790</x:v>
      </x:c>
      <x:c r="Q3622" s="22" t="n">
        <x:v>810</x:v>
      </x:c>
      <x:c r="R3622" s="22" t="n">
        <x:f>Q3622*M3622</x:f>
        <x:v>8910</x:v>
      </x:c>
      <x:c r="S3622" s="22" t="n">
        <x:f>P3622-R3622</x:f>
        <x:v>880</x:v>
      </x:c>
      <x:c r="T3622" t="str">
        <x:v>UPI</x:v>
      </x:c>
      <x:c r="U3622" t="str">
        <x:v>Paid</x:v>
      </x:c>
      <x:c r="V3622" t="str">
        <x:v>Delivered</x:v>
      </x:c>
      <x:c r="W3622" t="n">
        <x:v>2</x:v>
      </x:c>
      <x:c r="X3622" t="str">
        <x:v>Wrong Item</x:v>
      </x:c>
      <x:c r="Y3622" t="str">
        <x:v>Field Visit</x:v>
      </x:c>
    </x:row>
    <x:row r="3623">
      <x:c r="A3623" t="str">
        <x:v>O003622</x:v>
      </x:c>
      <x:c r="B3623" s="20" t="n">
        <x:v>46197</x:v>
      </x:c>
      <x:c r="C3623" t="str">
        <x:v>C0020</x:v>
      </x:c>
      <x:c r="D3623" t="str">
        <x:v>Shree Foods 20</x:v>
      </x:c>
      <x:c r="E3623" t="str">
        <x:v>Restaurant</x:v>
      </x:c>
      <x:c r="F3623" t="str">
        <x:v>Mysuru</x:v>
      </x:c>
      <x:c r="G3623" t="str">
        <x:v>Arjun</x:v>
      </x:c>
      <x:c r="H3623" t="str">
        <x:v>P005</x:v>
      </x:c>
      <x:c r="I3623" t="str">
        <x:v>Chana Dal 5kg</x:v>
      </x:c>
      <x:c r="J3623" t="str">
        <x:v>Pulses</x:v>
      </x:c>
      <x:c r="K3623" t="str">
        <x:v>Local Select</x:v>
      </x:c>
      <x:c r="L3623" s="22" t="n">
        <x:v>520</x:v>
      </x:c>
      <x:c r="M3623" t="n">
        <x:v>39</x:v>
      </x:c>
      <x:c r="N3623" s="24" t="n">
        <x:v>0.03</x:v>
      </x:c>
      <x:c r="O3623" s="22" t="n">
        <x:f>L3623*M3623</x:f>
        <x:v>20280</x:v>
      </x:c>
      <x:c r="P3623" s="22" t="n">
        <x:f>O3623*(1-N3623)</x:f>
        <x:v>19671.6</x:v>
      </x:c>
      <x:c r="Q3623" s="22" t="n">
        <x:v>455</x:v>
      </x:c>
      <x:c r="R3623" s="22" t="n">
        <x:f>Q3623*M3623</x:f>
        <x:v>17745</x:v>
      </x:c>
      <x:c r="S3623" s="22" t="n">
        <x:f>P3623-R3623</x:f>
        <x:v>1926.5999999999985</x:v>
      </x:c>
      <x:c r="T3623" t="str">
        <x:v>Credit</x:v>
      </x:c>
      <x:c r="U3623" t="str">
        <x:v>Paid</x:v>
      </x:c>
      <x:c r="V3623" t="str">
        <x:v>Delivered</x:v>
      </x:c>
      <x:c r="W3623" t="n">
        <x:v>0</x:v>
      </x:c>
      <x:c r="X3623" t="str"/>
      <x:c r="Y3623" t="str">
        <x:v>WhatsApp</x:v>
      </x:c>
    </x:row>
    <x:row r="3624">
      <x:c r="A3624" t="str">
        <x:v>O003623</x:v>
      </x:c>
      <x:c r="B3624" s="20" t="n">
        <x:v>45881</x:v>
      </x:c>
      <x:c r="C3624" t="str">
        <x:v>C0155</x:v>
      </x:c>
      <x:c r="D3624" t="str">
        <x:v>New Mart 155</x:v>
      </x:c>
      <x:c r="E3624" t="str">
        <x:v>Hotel</x:v>
      </x:c>
      <x:c r="F3624" t="str">
        <x:v>Mysuru</x:v>
      </x:c>
      <x:c r="G3624" t="str">
        <x:v>Sneha</x:v>
      </x:c>
      <x:c r="H3624" t="str">
        <x:v>P013</x:v>
      </x:c>
      <x:c r="I3624" t="str">
        <x:v>Atta 10kg</x:v>
      </x:c>
      <x:c r="J3624" t="str">
        <x:v>Flour</x:v>
      </x:c>
      <x:c r="K3624" t="str">
        <x:v>Aashirvaad</x:v>
      </x:c>
      <x:c r="L3624" s="22" t="n">
        <x:v>560</x:v>
      </x:c>
      <x:c r="M3624" t="n">
        <x:v>33</x:v>
      </x:c>
      <x:c r="N3624" s="24" t="n">
        <x:v>0</x:v>
      </x:c>
      <x:c r="O3624" s="22" t="n">
        <x:f>L3624*M3624</x:f>
        <x:v>18480</x:v>
      </x:c>
      <x:c r="P3624" s="22" t="n">
        <x:f>O3624*(1-N3624)</x:f>
        <x:v>18480</x:v>
      </x:c>
      <x:c r="Q3624" s="22" t="n">
        <x:v>495</x:v>
      </x:c>
      <x:c r="R3624" s="22" t="n">
        <x:f>Q3624*M3624</x:f>
        <x:v>16335</x:v>
      </x:c>
      <x:c r="S3624" s="22" t="n">
        <x:f>P3624-R3624</x:f>
        <x:v>2145</x:v>
      </x:c>
      <x:c r="T3624" t="str">
        <x:v>UPI</x:v>
      </x:c>
      <x:c r="U3624" t="str">
        <x:v>Paid</x:v>
      </x:c>
      <x:c r="V3624" t="str">
        <x:v>Delayed</x:v>
      </x:c>
      <x:c r="W3624" t="n">
        <x:v>0</x:v>
      </x:c>
      <x:c r="X3624" t="str"/>
      <x:c r="Y3624" t="str">
        <x:v>Outbound Call</x:v>
      </x:c>
    </x:row>
    <x:row r="3625">
      <x:c r="A3625" t="str">
        <x:v>O003624</x:v>
      </x:c>
      <x:c r="B3625" s="20" t="n">
        <x:v>45707</x:v>
      </x:c>
      <x:c r="C3625" t="str">
        <x:v>C0206</x:v>
      </x:c>
      <x:c r="D3625" t="str">
        <x:v>Grand Kitchen 206</x:v>
      </x:c>
      <x:c r="E3625" t="str">
        <x:v>Kirana</x:v>
      </x:c>
      <x:c r="F3625" t="str">
        <x:v>Mysuru</x:v>
      </x:c>
      <x:c r="G3625" t="str">
        <x:v>Arjun</x:v>
      </x:c>
      <x:c r="H3625" t="str">
        <x:v>P025</x:v>
      </x:c>
      <x:c r="I3625" t="str">
        <x:v>Potato Chips 100g</x:v>
      </x:c>
      <x:c r="J3625" t="str">
        <x:v>Snacks</x:v>
      </x:c>
      <x:c r="K3625" t="str">
        <x:v>Lay's</x:v>
      </x:c>
      <x:c r="L3625" s="22" t="n">
        <x:v>35</x:v>
      </x:c>
      <x:c r="M3625" t="n">
        <x:v>16</x:v>
      </x:c>
      <x:c r="N3625" s="24" t="n">
        <x:v>0</x:v>
      </x:c>
      <x:c r="O3625" s="22" t="n">
        <x:f>L3625*M3625</x:f>
        <x:v>560</x:v>
      </x:c>
      <x:c r="P3625" s="22" t="n">
        <x:f>O3625*(1-N3625)</x:f>
        <x:v>560</x:v>
      </x:c>
      <x:c r="Q3625" s="22" t="n">
        <x:v>27</x:v>
      </x:c>
      <x:c r="R3625" s="22" t="n">
        <x:f>Q3625*M3625</x:f>
        <x:v>432</x:v>
      </x:c>
      <x:c r="S3625" s="22" t="n">
        <x:f>P3625-R3625</x:f>
        <x:v>128</x:v>
      </x:c>
      <x:c r="T3625" t="str">
        <x:v>Bank Transfer</x:v>
      </x:c>
      <x:c r="U3625" t="str">
        <x:v>Paid</x:v>
      </x:c>
      <x:c r="V3625" t="str">
        <x:v>Delivered</x:v>
      </x:c>
      <x:c r="W3625" t="n">
        <x:v>0</x:v>
      </x:c>
      <x:c r="X3625" t="str"/>
      <x:c r="Y3625" t="str">
        <x:v>Outbound Call</x:v>
      </x:c>
    </x:row>
    <x:row r="3626">
      <x:c r="A3626" t="str">
        <x:v>O003625</x:v>
      </x:c>
      <x:c r="B3626" s="20" t="n">
        <x:v>46087</x:v>
      </x:c>
      <x:c r="C3626" t="str">
        <x:v>C0078</x:v>
      </x:c>
      <x:c r="D3626" t="str">
        <x:v>Sagar Canteen 78</x:v>
      </x:c>
      <x:c r="E3626" t="str">
        <x:v>Hotel</x:v>
      </x:c>
      <x:c r="F3626" t="str">
        <x:v>Mangaluru</x:v>
      </x:c>
      <x:c r="G3626" t="str">
        <x:v>Ramesh</x:v>
      </x:c>
      <x:c r="H3626" t="str">
        <x:v>P016</x:v>
      </x:c>
      <x:c r="I3626" t="str">
        <x:v>Curd 1kg</x:v>
      </x:c>
      <x:c r="J3626" t="str">
        <x:v>Dairy</x:v>
      </x:c>
      <x:c r="K3626" t="str">
        <x:v>Nandini</x:v>
      </x:c>
      <x:c r="L3626" s="22" t="n">
        <x:v>72</x:v>
      </x:c>
      <x:c r="M3626" t="n">
        <x:v>28</x:v>
      </x:c>
      <x:c r="N3626" s="24" t="n">
        <x:v>0</x:v>
      </x:c>
      <x:c r="O3626" s="22" t="n">
        <x:f>L3626*M3626</x:f>
        <x:v>2016</x:v>
      </x:c>
      <x:c r="P3626" s="22" t="n">
        <x:f>O3626*(1-N3626)</x:f>
        <x:v>2016</x:v>
      </x:c>
      <x:c r="Q3626" s="22" t="n">
        <x:v>64</x:v>
      </x:c>
      <x:c r="R3626" s="22" t="n">
        <x:f>Q3626*M3626</x:f>
        <x:v>1792</x:v>
      </x:c>
      <x:c r="S3626" s="22" t="n">
        <x:f>P3626-R3626</x:f>
        <x:v>224</x:v>
      </x:c>
      <x:c r="T3626" t="str">
        <x:v>Bank Transfer</x:v>
      </x:c>
      <x:c r="U3626" t="str">
        <x:v>Paid</x:v>
      </x:c>
      <x:c r="V3626" t="str">
        <x:v>Cancelled</x:v>
      </x:c>
      <x:c r="W3626" t="n">
        <x:v>28</x:v>
      </x:c>
      <x:c r="X3626" t="str">
        <x:v>Cancelled Order</x:v>
      </x:c>
      <x:c r="Y3626" t="str">
        <x:v>Existing Customer</x:v>
      </x:c>
    </x:row>
    <x:row r="3627">
      <x:c r="A3627" t="str">
        <x:v>O003626</x:v>
      </x:c>
      <x:c r="B3627" s="20" t="n">
        <x:v>46140</x:v>
      </x:c>
      <x:c r="C3627" t="str">
        <x:v>C0023</x:v>
      </x:c>
      <x:c r="D3627" t="str">
        <x:v>Mysore Canteen 23</x:v>
      </x:c>
      <x:c r="E3627" t="str">
        <x:v>Cafe</x:v>
      </x:c>
      <x:c r="F3627" t="str">
        <x:v>Hubballi</x:v>
      </x:c>
      <x:c r="G3627" t="str">
        <x:v>Sneha</x:v>
      </x:c>
      <x:c r="H3627" t="str">
        <x:v>P015</x:v>
      </x:c>
      <x:c r="I3627" t="str">
        <x:v>Milk 1L</x:v>
      </x:c>
      <x:c r="J3627" t="str">
        <x:v>Dairy</x:v>
      </x:c>
      <x:c r="K3627" t="str">
        <x:v>Nandini</x:v>
      </x:c>
      <x:c r="L3627" s="22" t="n">
        <x:v>48</x:v>
      </x:c>
      <x:c r="M3627" t="n">
        <x:v>36</x:v>
      </x:c>
      <x:c r="N3627" s="24" t="n">
        <x:v>0.03</x:v>
      </x:c>
      <x:c r="O3627" s="22" t="n">
        <x:f>L3627*M3627</x:f>
        <x:v>1728</x:v>
      </x:c>
      <x:c r="P3627" s="22" t="n">
        <x:f>O3627*(1-N3627)</x:f>
        <x:v>1676.1599999999999</x:v>
      </x:c>
      <x:c r="Q3627" s="22" t="n">
        <x:v>43</x:v>
      </x:c>
      <x:c r="R3627" s="22" t="n">
        <x:f>Q3627*M3627</x:f>
        <x:v>1548</x:v>
      </x:c>
      <x:c r="S3627" s="22" t="n">
        <x:f>P3627-R3627</x:f>
        <x:v>128.15999999999985</x:v>
      </x:c>
      <x:c r="T3627" t="str">
        <x:v>Bank Transfer</x:v>
      </x:c>
      <x:c r="U3627" t="str">
        <x:v>Paid</x:v>
      </x:c>
      <x:c r="V3627" t="str">
        <x:v>Delivered</x:v>
      </x:c>
      <x:c r="W3627" t="n">
        <x:v>2</x:v>
      </x:c>
      <x:c r="X3627" t="str">
        <x:v>Late Delivery</x:v>
      </x:c>
      <x:c r="Y3627" t="str">
        <x:v>WhatsApp</x:v>
      </x:c>
    </x:row>
    <x:row r="3628">
      <x:c r="A3628" t="str">
        <x:v>O003627</x:v>
      </x:c>
      <x:c r="B3628" s="20" t="n">
        <x:v>46168</x:v>
      </x:c>
      <x:c r="C3628" t="str">
        <x:v>C0186</x:v>
      </x:c>
      <x:c r="D3628" t="str">
        <x:v>Namma Stores 186</x:v>
      </x:c>
      <x:c r="E3628" t="str">
        <x:v>Supermarket</x:v>
      </x:c>
      <x:c r="F3628" t="str">
        <x:v>Mysuru</x:v>
      </x:c>
      <x:c r="G3628" t="str">
        <x:v>Vikram</x:v>
      </x:c>
      <x:c r="H3628" t="str">
        <x:v>P027</x:v>
      </x:c>
      <x:c r="I3628" t="str">
        <x:v>Biscuits 120g</x:v>
      </x:c>
      <x:c r="J3628" t="str">
        <x:v>Snacks</x:v>
      </x:c>
      <x:c r="K3628" t="str">
        <x:v>Parle-G</x:v>
      </x:c>
      <x:c r="L3628" s="22" t="n">
        <x:v>12</x:v>
      </x:c>
      <x:c r="M3628" t="n">
        <x:v>30</x:v>
      </x:c>
      <x:c r="N3628" s="24" t="n">
        <x:v>0.05</x:v>
      </x:c>
      <x:c r="O3628" s="22" t="n">
        <x:f>L3628*M3628</x:f>
        <x:v>360</x:v>
      </x:c>
      <x:c r="P3628" s="22" t="n">
        <x:f>O3628*(1-N3628)</x:f>
        <x:v>342</x:v>
      </x:c>
      <x:c r="Q3628" s="22" t="n">
        <x:v>9</x:v>
      </x:c>
      <x:c r="R3628" s="22" t="n">
        <x:f>Q3628*M3628</x:f>
        <x:v>270</x:v>
      </x:c>
      <x:c r="S3628" s="22" t="n">
        <x:f>P3628-R3628</x:f>
        <x:v>72</x:v>
      </x:c>
      <x:c r="T3628" t="str">
        <x:v>Credit</x:v>
      </x:c>
      <x:c r="U3628" t="str">
        <x:v>Paid</x:v>
      </x:c>
      <x:c r="V3628" t="str">
        <x:v>Delivered</x:v>
      </x:c>
      <x:c r="W3628" t="n">
        <x:v>0</x:v>
      </x:c>
      <x:c r="X3628" t="str"/>
      <x:c r="Y3628" t="str">
        <x:v>WhatsApp</x:v>
      </x:c>
    </x:row>
    <x:row r="3629">
      <x:c r="A3629" t="str">
        <x:v>O003628</x:v>
      </x:c>
      <x:c r="B3629" s="20" t="n">
        <x:v>45963</x:v>
      </x:c>
      <x:c r="C3629" t="str">
        <x:v>C0092</x:v>
      </x:c>
      <x:c r="D3629" t="str">
        <x:v>Cafe Restaurant 92</x:v>
      </x:c>
      <x:c r="E3629" t="str">
        <x:v>Canteen</x:v>
      </x:c>
      <x:c r="F3629" t="str">
        <x:v>Hubballi</x:v>
      </x:c>
      <x:c r="G3629" t="str">
        <x:v>Vikram</x:v>
      </x:c>
      <x:c r="H3629" t="str">
        <x:v>P023</x:v>
      </x:c>
      <x:c r="I3629" t="str">
        <x:v>Cola 750ml</x:v>
      </x:c>
      <x:c r="J3629" t="str">
        <x:v>Beverage</x:v>
      </x:c>
      <x:c r="K3629" t="str">
        <x:v>Coca-Cola</x:v>
      </x:c>
      <x:c r="L3629" s="22" t="n">
        <x:v>38</x:v>
      </x:c>
      <x:c r="M3629" t="n">
        <x:v>22</x:v>
      </x:c>
      <x:c r="N3629" s="24" t="n">
        <x:v>0.05</x:v>
      </x:c>
      <x:c r="O3629" s="22" t="n">
        <x:f>L3629*M3629</x:f>
        <x:v>836</x:v>
      </x:c>
      <x:c r="P3629" s="22" t="n">
        <x:f>O3629*(1-N3629)</x:f>
        <x:v>794.1999999999999</x:v>
      </x:c>
      <x:c r="Q3629" s="22" t="n">
        <x:v>31</x:v>
      </x:c>
      <x:c r="R3629" s="22" t="n">
        <x:f>Q3629*M3629</x:f>
        <x:v>682</x:v>
      </x:c>
      <x:c r="S3629" s="22" t="n">
        <x:f>P3629-R3629</x:f>
        <x:v>112.19999999999993</x:v>
      </x:c>
      <x:c r="T3629" t="str">
        <x:v>UPI</x:v>
      </x:c>
      <x:c r="U3629" t="str">
        <x:v>Paid</x:v>
      </x:c>
      <x:c r="V3629" t="str">
        <x:v>Delayed</x:v>
      </x:c>
      <x:c r="W3629" t="n">
        <x:v>0</x:v>
      </x:c>
      <x:c r="X3629" t="str"/>
      <x:c r="Y3629" t="str">
        <x:v>Outbound Call</x:v>
      </x:c>
    </x:row>
    <x:row r="3630">
      <x:c r="A3630" t="str">
        <x:v>O003629</x:v>
      </x:c>
      <x:c r="B3630" s="20" t="n">
        <x:v>45914</x:v>
      </x:c>
      <x:c r="C3630" t="str">
        <x:v>C0207</x:v>
      </x:c>
      <x:c r="D3630" t="str">
        <x:v>Hotel Stores 207</x:v>
      </x:c>
      <x:c r="E3630" t="str">
        <x:v>Restaurant</x:v>
      </x:c>
      <x:c r="F3630" t="str">
        <x:v>Hubballi</x:v>
      </x:c>
      <x:c r="G3630" t="str">
        <x:v>Ramesh</x:v>
      </x:c>
      <x:c r="H3630" t="str">
        <x:v>P045</x:v>
      </x:c>
      <x:c r="I3630" t="str">
        <x:v>Onion 25kg</x:v>
      </x:c>
      <x:c r="J3630" t="str">
        <x:v>Fresh Produce</x:v>
      </x:c>
      <x:c r="K3630" t="str">
        <x:v>Local Market</x:v>
      </x:c>
      <x:c r="L3630" s="22" t="n">
        <x:v>875</x:v>
      </x:c>
      <x:c r="M3630" t="n">
        <x:v>13</x:v>
      </x:c>
      <x:c r="N3630" s="24" t="n">
        <x:v>0.02</x:v>
      </x:c>
      <x:c r="O3630" s="22" t="n">
        <x:f>L3630*M3630</x:f>
        <x:v>11375</x:v>
      </x:c>
      <x:c r="P3630" s="22" t="n">
        <x:f>O3630*(1-N3630)</x:f>
        <x:v>11147.5</x:v>
      </x:c>
      <x:c r="Q3630" s="22" t="n">
        <x:v>760</x:v>
      </x:c>
      <x:c r="R3630" s="22" t="n">
        <x:f>Q3630*M3630</x:f>
        <x:v>9880</x:v>
      </x:c>
      <x:c r="S3630" s="22" t="n">
        <x:f>P3630-R3630</x:f>
        <x:v>1267.5</x:v>
      </x:c>
      <x:c r="T3630" t="str">
        <x:v>UPI</x:v>
      </x:c>
      <x:c r="U3630" t="str">
        <x:v>Paid</x:v>
      </x:c>
      <x:c r="V3630" t="str">
        <x:v>Delivered</x:v>
      </x:c>
      <x:c r="W3630" t="n">
        <x:v>0</x:v>
      </x:c>
      <x:c r="X3630" t="str"/>
      <x:c r="Y3630" t="str">
        <x:v>Existing Customer</x:v>
      </x:c>
    </x:row>
    <x:row r="3631">
      <x:c r="A3631" t="str">
        <x:v>O003630</x:v>
      </x:c>
      <x:c r="B3631" s="20" t="n">
        <x:v>45868</x:v>
      </x:c>
      <x:c r="C3631" t="str">
        <x:v>C0081</x:v>
      </x:c>
      <x:c r="D3631" t="str">
        <x:v>Foodie Mart 81</x:v>
      </x:c>
      <x:c r="E3631" t="str">
        <x:v>Supermarket</x:v>
      </x:c>
      <x:c r="F3631" t="str">
        <x:v>Hubballi</x:v>
      </x:c>
      <x:c r="G3631" t="str">
        <x:v>Kavya</x:v>
      </x:c>
      <x:c r="H3631" t="str">
        <x:v>P024</x:v>
      </x:c>
      <x:c r="I3631" t="str">
        <x:v>Orange Drink 1L</x:v>
      </x:c>
      <x:c r="J3631" t="str">
        <x:v>Beverage</x:v>
      </x:c>
      <x:c r="K3631" t="str">
        <x:v>Minute Maid</x:v>
      </x:c>
      <x:c r="L3631" s="22" t="n">
        <x:v>105</x:v>
      </x:c>
      <x:c r="M3631" t="n">
        <x:v>16</x:v>
      </x:c>
      <x:c r="N3631" s="24" t="n">
        <x:v>0.05</x:v>
      </x:c>
      <x:c r="O3631" s="22" t="n">
        <x:f>L3631*M3631</x:f>
        <x:v>1680</x:v>
      </x:c>
      <x:c r="P3631" s="22" t="n">
        <x:f>O3631*(1-N3631)</x:f>
        <x:v>1596</x:v>
      </x:c>
      <x:c r="Q3631" s="22" t="n">
        <x:v>88</x:v>
      </x:c>
      <x:c r="R3631" s="22" t="n">
        <x:f>Q3631*M3631</x:f>
        <x:v>1408</x:v>
      </x:c>
      <x:c r="S3631" s="22" t="n">
        <x:f>P3631-R3631</x:f>
        <x:v>188</x:v>
      </x:c>
      <x:c r="T3631" t="str">
        <x:v>Bank Transfer</x:v>
      </x:c>
      <x:c r="U3631" t="str">
        <x:v>Paid</x:v>
      </x:c>
      <x:c r="V3631" t="str">
        <x:v>Delivered</x:v>
      </x:c>
      <x:c r="W3631" t="n">
        <x:v>0</x:v>
      </x:c>
      <x:c r="X3631" t="str"/>
      <x:c r="Y3631" t="str">
        <x:v>Outbound Call</x:v>
      </x:c>
    </x:row>
    <x:row r="3632">
      <x:c r="A3632" t="str">
        <x:v>O003631</x:v>
      </x:c>
      <x:c r="B3632" s="20" t="n">
        <x:v>45729</x:v>
      </x:c>
      <x:c r="C3632" t="str">
        <x:v>C0174</x:v>
      </x:c>
      <x:c r="D3632" t="str">
        <x:v>Classic Stores 174</x:v>
      </x:c>
      <x:c r="E3632" t="str">
        <x:v>Kirana</x:v>
      </x:c>
      <x:c r="F3632" t="str">
        <x:v>Mysuru</x:v>
      </x:c>
      <x:c r="G3632" t="str">
        <x:v>Vikram</x:v>
      </x:c>
      <x:c r="H3632" t="str">
        <x:v>P048</x:v>
      </x:c>
      <x:c r="I3632" t="str">
        <x:v>Banana 10kg</x:v>
      </x:c>
      <x:c r="J3632" t="str">
        <x:v>Fresh Produce</x:v>
      </x:c>
      <x:c r="K3632" t="str">
        <x:v>Local Market</x:v>
      </x:c>
      <x:c r="L3632" s="22" t="n">
        <x:v>420</x:v>
      </x:c>
      <x:c r="M3632" t="n">
        <x:v>20</x:v>
      </x:c>
      <x:c r="N3632" s="24" t="n">
        <x:v>0.1</x:v>
      </x:c>
      <x:c r="O3632" s="22" t="n">
        <x:f>L3632*M3632</x:f>
        <x:v>8400</x:v>
      </x:c>
      <x:c r="P3632" s="22" t="n">
        <x:f>O3632*(1-N3632)</x:f>
        <x:v>7560</x:v>
      </x:c>
      <x:c r="Q3632" s="22" t="n">
        <x:v>350</x:v>
      </x:c>
      <x:c r="R3632" s="22" t="n">
        <x:f>Q3632*M3632</x:f>
        <x:v>7000</x:v>
      </x:c>
      <x:c r="S3632" s="22" t="n">
        <x:f>P3632-R3632</x:f>
        <x:v>560</x:v>
      </x:c>
      <x:c r="T3632" t="str">
        <x:v>Cash</x:v>
      </x:c>
      <x:c r="U3632" t="str">
        <x:v>Paid</x:v>
      </x:c>
      <x:c r="V3632" t="str">
        <x:v>Delivered</x:v>
      </x:c>
      <x:c r="W3632" t="n">
        <x:v>0</x:v>
      </x:c>
      <x:c r="X3632" t="str"/>
      <x:c r="Y3632" t="str">
        <x:v>Referral</x:v>
      </x:c>
    </x:row>
    <x:row r="3633">
      <x:c r="A3633" t="str">
        <x:v>O003632</x:v>
      </x:c>
      <x:c r="B3633" s="20" t="n">
        <x:v>45799</x:v>
      </x:c>
      <x:c r="C3633" t="str">
        <x:v>C0005</x:v>
      </x:c>
      <x:c r="D3633" t="str">
        <x:v>Sagar Kitchen 5</x:v>
      </x:c>
      <x:c r="E3633" t="str">
        <x:v>Restaurant</x:v>
      </x:c>
      <x:c r="F3633" t="str">
        <x:v>Hubballi</x:v>
      </x:c>
      <x:c r="G3633" t="str">
        <x:v>Priya</x:v>
      </x:c>
      <x:c r="H3633" t="str">
        <x:v>P028</x:v>
      </x:c>
      <x:c r="I3633" t="str">
        <x:v>Cookies 200g</x:v>
      </x:c>
      <x:c r="J3633" t="str">
        <x:v>Snacks</x:v>
      </x:c>
      <x:c r="K3633" t="str">
        <x:v>Britannia</x:v>
      </x:c>
      <x:c r="L3633" s="22" t="n">
        <x:v>55</x:v>
      </x:c>
      <x:c r="M3633" t="n">
        <x:v>28</x:v>
      </x:c>
      <x:c r="N3633" s="24" t="n">
        <x:v>0</x:v>
      </x:c>
      <x:c r="O3633" s="22" t="n">
        <x:f>L3633*M3633</x:f>
        <x:v>1540</x:v>
      </x:c>
      <x:c r="P3633" s="22" t="n">
        <x:f>O3633*(1-N3633)</x:f>
        <x:v>1540</x:v>
      </x:c>
      <x:c r="Q3633" s="22" t="n">
        <x:v>42</x:v>
      </x:c>
      <x:c r="R3633" s="22" t="n">
        <x:f>Q3633*M3633</x:f>
        <x:v>1176</x:v>
      </x:c>
      <x:c r="S3633" s="22" t="n">
        <x:f>P3633-R3633</x:f>
        <x:v>364</x:v>
      </x:c>
      <x:c r="T3633" t="str">
        <x:v>Credit</x:v>
      </x:c>
      <x:c r="U3633" t="str">
        <x:v>Paid</x:v>
      </x:c>
      <x:c r="V3633" t="str">
        <x:v>Delivered</x:v>
      </x:c>
      <x:c r="W3633" t="n">
        <x:v>0</x:v>
      </x:c>
      <x:c r="X3633" t="str"/>
      <x:c r="Y3633" t="str">
        <x:v>Outbound Call</x:v>
      </x:c>
    </x:row>
    <x:row r="3634">
      <x:c r="A3634" t="str">
        <x:v>O003633</x:v>
      </x:c>
      <x:c r="B3634" s="20" t="n">
        <x:v>46177</x:v>
      </x:c>
      <x:c r="C3634" t="str">
        <x:v>C0077</x:v>
      </x:c>
      <x:c r="D3634" t="str">
        <x:v>Spice Cafe 77</x:v>
      </x:c>
      <x:c r="E3634" t="str">
        <x:v>Kirana</x:v>
      </x:c>
      <x:c r="F3634" t="str">
        <x:v>Hubballi</x:v>
      </x:c>
      <x:c r="G3634" t="str">
        <x:v>Vikram</x:v>
      </x:c>
      <x:c r="H3634" t="str">
        <x:v>P020</x:v>
      </x:c>
      <x:c r="I3634" t="str">
        <x:v>Coffee 500g</x:v>
      </x:c>
      <x:c r="J3634" t="str">
        <x:v>Beverage</x:v>
      </x:c>
      <x:c r="K3634" t="str">
        <x:v>Bru</x:v>
      </x:c>
      <x:c r="L3634" s="22" t="n">
        <x:v>390</x:v>
      </x:c>
      <x:c r="M3634" t="n">
        <x:v>31</x:v>
      </x:c>
      <x:c r="N3634" s="24" t="n">
        <x:v>0.03</x:v>
      </x:c>
      <x:c r="O3634" s="22" t="n">
        <x:f>L3634*M3634</x:f>
        <x:v>12090</x:v>
      </x:c>
      <x:c r="P3634" s="22" t="n">
        <x:f>O3634*(1-N3634)</x:f>
        <x:v>11727.3</x:v>
      </x:c>
      <x:c r="Q3634" s="22" t="n">
        <x:v>350</x:v>
      </x:c>
      <x:c r="R3634" s="22" t="n">
        <x:f>Q3634*M3634</x:f>
        <x:v>10850</x:v>
      </x:c>
      <x:c r="S3634" s="22" t="n">
        <x:f>P3634-R3634</x:f>
        <x:v>877.2999999999993</x:v>
      </x:c>
      <x:c r="T3634" t="str">
        <x:v>UPI</x:v>
      </x:c>
      <x:c r="U3634" t="str">
        <x:v>Overdue</x:v>
      </x:c>
      <x:c r="V3634" t="str">
        <x:v>Delivered</x:v>
      </x:c>
      <x:c r="W3634" t="n">
        <x:v>0</x:v>
      </x:c>
      <x:c r="X3634" t="str"/>
      <x:c r="Y3634" t="str">
        <x:v>Existing Customer</x:v>
      </x:c>
    </x:row>
    <x:row r="3635">
      <x:c r="A3635" t="str">
        <x:v>O003634</x:v>
      </x:c>
      <x:c r="B3635" s="20" t="n">
        <x:v>45797</x:v>
      </x:c>
      <x:c r="C3635" t="str">
        <x:v>C0189</x:v>
      </x:c>
      <x:c r="D3635" t="str">
        <x:v>Classic Canteen 189</x:v>
      </x:c>
      <x:c r="E3635" t="str">
        <x:v>Kirana</x:v>
      </x:c>
      <x:c r="F3635" t="str">
        <x:v>Hubballi</x:v>
      </x:c>
      <x:c r="G3635" t="str">
        <x:v>Vikram</x:v>
      </x:c>
      <x:c r="H3635" t="str">
        <x:v>P017</x:v>
      </x:c>
      <x:c r="I3635" t="str">
        <x:v>Butter 500g</x:v>
      </x:c>
      <x:c r="J3635" t="str">
        <x:v>Dairy</x:v>
      </x:c>
      <x:c r="K3635" t="str">
        <x:v>Amul</x:v>
      </x:c>
      <x:c r="L3635" s="22" t="n">
        <x:v>285</x:v>
      </x:c>
      <x:c r="M3635" t="n">
        <x:v>30</x:v>
      </x:c>
      <x:c r="N3635" s="24" t="n">
        <x:v>0.05</x:v>
      </x:c>
      <x:c r="O3635" s="22" t="n">
        <x:f>L3635*M3635</x:f>
        <x:v>8550</x:v>
      </x:c>
      <x:c r="P3635" s="22" t="n">
        <x:f>O3635*(1-N3635)</x:f>
        <x:v>8122.5</x:v>
      </x:c>
      <x:c r="Q3635" s="22" t="n">
        <x:v>258</x:v>
      </x:c>
      <x:c r="R3635" s="22" t="n">
        <x:f>Q3635*M3635</x:f>
        <x:v>7740</x:v>
      </x:c>
      <x:c r="S3635" s="22" t="n">
        <x:f>P3635-R3635</x:f>
        <x:v>382.5</x:v>
      </x:c>
      <x:c r="T3635" t="str">
        <x:v>Credit</x:v>
      </x:c>
      <x:c r="U3635" t="str">
        <x:v>Paid</x:v>
      </x:c>
      <x:c r="V3635" t="str">
        <x:v>Delivered</x:v>
      </x:c>
      <x:c r="W3635" t="n">
        <x:v>0</x:v>
      </x:c>
      <x:c r="X3635" t="str"/>
      <x:c r="Y3635" t="str">
        <x:v>Outbound Call</x:v>
      </x:c>
    </x:row>
    <x:row r="3636">
      <x:c r="A3636" t="str">
        <x:v>O003635</x:v>
      </x:c>
      <x:c r="B3636" s="20" t="n">
        <x:v>45830</x:v>
      </x:c>
      <x:c r="C3636" t="str">
        <x:v>C0084</x:v>
      </x:c>
      <x:c r="D3636" t="str">
        <x:v>Green Cafe 84</x:v>
      </x:c>
      <x:c r="E3636" t="str">
        <x:v>Hotel</x:v>
      </x:c>
      <x:c r="F3636" t="str">
        <x:v>Mysuru</x:v>
      </x:c>
      <x:c r="G3636" t="str">
        <x:v>Priya</x:v>
      </x:c>
      <x:c r="H3636" t="str">
        <x:v>P031</x:v>
      </x:c>
      <x:c r="I3636" t="str">
        <x:v>Chilli Sauce 700g</x:v>
      </x:c>
      <x:c r="J3636" t="str">
        <x:v>Condiments</x:v>
      </x:c>
      <x:c r="K3636" t="str">
        <x:v>Ching's</x:v>
      </x:c>
      <x:c r="L3636" s="22" t="n">
        <x:v>130</x:v>
      </x:c>
      <x:c r="M3636" t="n">
        <x:v>23</x:v>
      </x:c>
      <x:c r="N3636" s="24" t="n">
        <x:v>0</x:v>
      </x:c>
      <x:c r="O3636" s="22" t="n">
        <x:f>L3636*M3636</x:f>
        <x:v>2990</x:v>
      </x:c>
      <x:c r="P3636" s="22" t="n">
        <x:f>O3636*(1-N3636)</x:f>
        <x:v>2990</x:v>
      </x:c>
      <x:c r="Q3636" s="22" t="n">
        <x:v>112</x:v>
      </x:c>
      <x:c r="R3636" s="22" t="n">
        <x:f>Q3636*M3636</x:f>
        <x:v>2576</x:v>
      </x:c>
      <x:c r="S3636" s="22" t="n">
        <x:f>P3636-R3636</x:f>
        <x:v>414</x:v>
      </x:c>
      <x:c r="T3636" t="str">
        <x:v>UPI</x:v>
      </x:c>
      <x:c r="U3636" t="str">
        <x:v>Paid</x:v>
      </x:c>
      <x:c r="V3636" t="str">
        <x:v>Cancelled</x:v>
      </x:c>
      <x:c r="W3636" t="n">
        <x:v>23</x:v>
      </x:c>
      <x:c r="X3636" t="str">
        <x:v>Cancelled Order</x:v>
      </x:c>
      <x:c r="Y3636" t="str">
        <x:v>Field Visit</x:v>
      </x:c>
    </x:row>
    <x:row r="3637">
      <x:c r="A3637" t="str">
        <x:v>O003636</x:v>
      </x:c>
      <x:c r="B3637" s="20" t="n">
        <x:v>46131</x:v>
      </x:c>
      <x:c r="C3637" t="str">
        <x:v>C0053</x:v>
      </x:c>
      <x:c r="D3637" t="str">
        <x:v>Fresh Cafe 53</x:v>
      </x:c>
      <x:c r="E3637" t="str">
        <x:v>Supermarket</x:v>
      </x:c>
      <x:c r="F3637" t="str">
        <x:v>Mangaluru</x:v>
      </x:c>
      <x:c r="G3637" t="str">
        <x:v>Megha</x:v>
      </x:c>
      <x:c r="H3637" t="str">
        <x:v>P030</x:v>
      </x:c>
      <x:c r="I3637" t="str">
        <x:v>Mayonnaise 1kg</x:v>
      </x:c>
      <x:c r="J3637" t="str">
        <x:v>Condiments</x:v>
      </x:c>
      <x:c r="K3637" t="str">
        <x:v>Veeba</x:v>
      </x:c>
      <x:c r="L3637" s="22" t="n">
        <x:v>210</x:v>
      </x:c>
      <x:c r="M3637" t="n">
        <x:v>8</x:v>
      </x:c>
      <x:c r="N3637" s="24" t="n">
        <x:v>0</x:v>
      </x:c>
      <x:c r="O3637" s="22" t="n">
        <x:f>L3637*M3637</x:f>
        <x:v>1680</x:v>
      </x:c>
      <x:c r="P3637" s="22" t="n">
        <x:f>O3637*(1-N3637)</x:f>
        <x:v>1680</x:v>
      </x:c>
      <x:c r="Q3637" s="22" t="n">
        <x:v>185</x:v>
      </x:c>
      <x:c r="R3637" s="22" t="n">
        <x:f>Q3637*M3637</x:f>
        <x:v>1480</x:v>
      </x:c>
      <x:c r="S3637" s="22" t="n">
        <x:f>P3637-R3637</x:f>
        <x:v>200</x:v>
      </x:c>
      <x:c r="T3637" t="str">
        <x:v>Bank Transfer</x:v>
      </x:c>
      <x:c r="U3637" t="str">
        <x:v>Paid</x:v>
      </x:c>
      <x:c r="V3637" t="str">
        <x:v>Delayed</x:v>
      </x:c>
      <x:c r="W3637" t="n">
        <x:v>0</x:v>
      </x:c>
      <x:c r="X3637" t="str"/>
      <x:c r="Y3637" t="str">
        <x:v>Existing Customer</x:v>
      </x:c>
    </x:row>
    <x:row r="3638">
      <x:c r="A3638" t="str">
        <x:v>O003637</x:v>
      </x:c>
      <x:c r="B3638" s="20" t="n">
        <x:v>46261</x:v>
      </x:c>
      <x:c r="C3638" t="str">
        <x:v>C0022</x:v>
      </x:c>
      <x:c r="D3638" t="str">
        <x:v>Royal Hotel 22</x:v>
      </x:c>
      <x:c r="E3638" t="str">
        <x:v>Kirana</x:v>
      </x:c>
      <x:c r="F3638" t="str">
        <x:v>Bengaluru</x:v>
      </x:c>
      <x:c r="G3638" t="str">
        <x:v>Ramesh</x:v>
      </x:c>
      <x:c r="H3638" t="str">
        <x:v>P038</x:v>
      </x:c>
      <x:c r="I3638" t="str">
        <x:v>French Fries 2.5kg</x:v>
      </x:c>
      <x:c r="J3638" t="str">
        <x:v>Frozen</x:v>
      </x:c>
      <x:c r="K3638" t="str">
        <x:v>McCain</x:v>
      </x:c>
      <x:c r="L3638" s="22" t="n">
        <x:v>360</x:v>
      </x:c>
      <x:c r="M3638" t="n">
        <x:v>20</x:v>
      </x:c>
      <x:c r="N3638" s="24" t="n">
        <x:v>0.05</x:v>
      </x:c>
      <x:c r="O3638" s="22" t="n">
        <x:f>L3638*M3638</x:f>
        <x:v>7200</x:v>
      </x:c>
      <x:c r="P3638" s="22" t="n">
        <x:f>O3638*(1-N3638)</x:f>
        <x:v>6840</x:v>
      </x:c>
      <x:c r="Q3638" s="22" t="n">
        <x:v>315</x:v>
      </x:c>
      <x:c r="R3638" s="22" t="n">
        <x:f>Q3638*M3638</x:f>
        <x:v>6300</x:v>
      </x:c>
      <x:c r="S3638" s="22" t="n">
        <x:f>P3638-R3638</x:f>
        <x:v>540</x:v>
      </x:c>
      <x:c r="T3638" t="str">
        <x:v>Cash</x:v>
      </x:c>
      <x:c r="U3638" t="str">
        <x:v>Overdue</x:v>
      </x:c>
      <x:c r="V3638" t="str">
        <x:v>Delivered</x:v>
      </x:c>
      <x:c r="W3638" t="n">
        <x:v>0</x:v>
      </x:c>
      <x:c r="X3638" t="str"/>
      <x:c r="Y3638" t="str">
        <x:v>Field Visit</x:v>
      </x:c>
    </x:row>
    <x:row r="3639">
      <x:c r="A3639" t="str">
        <x:v>O003638</x:v>
      </x:c>
      <x:c r="B3639" s="20" t="n">
        <x:v>46255</x:v>
      </x:c>
      <x:c r="C3639" t="str">
        <x:v>C0018</x:v>
      </x:c>
      <x:c r="D3639" t="str">
        <x:v>Namma Canteen 18</x:v>
      </x:c>
      <x:c r="E3639" t="str">
        <x:v>Restaurant</x:v>
      </x:c>
      <x:c r="F3639" t="str">
        <x:v>Davanagere</x:v>
      </x:c>
      <x:c r="G3639" t="str">
        <x:v>Imran</x:v>
      </x:c>
      <x:c r="H3639" t="str">
        <x:v>P048</x:v>
      </x:c>
      <x:c r="I3639" t="str">
        <x:v>Banana 10kg</x:v>
      </x:c>
      <x:c r="J3639" t="str">
        <x:v>Fresh Produce</x:v>
      </x:c>
      <x:c r="K3639" t="str">
        <x:v>Local Market</x:v>
      </x:c>
      <x:c r="L3639" s="22" t="n">
        <x:v>420</x:v>
      </x:c>
      <x:c r="M3639" t="n">
        <x:v>18</x:v>
      </x:c>
      <x:c r="N3639" s="24" t="n">
        <x:v>0.02</x:v>
      </x:c>
      <x:c r="O3639" s="22" t="n">
        <x:f>L3639*M3639</x:f>
        <x:v>7560</x:v>
      </x:c>
      <x:c r="P3639" s="22" t="n">
        <x:f>O3639*(1-N3639)</x:f>
        <x:v>7408.8</x:v>
      </x:c>
      <x:c r="Q3639" s="22" t="n">
        <x:v>350</x:v>
      </x:c>
      <x:c r="R3639" s="22" t="n">
        <x:f>Q3639*M3639</x:f>
        <x:v>6300</x:v>
      </x:c>
      <x:c r="S3639" s="22" t="n">
        <x:f>P3639-R3639</x:f>
        <x:v>1108.8000000000002</x:v>
      </x:c>
      <x:c r="T3639" t="str">
        <x:v>Credit</x:v>
      </x:c>
      <x:c r="U3639" t="str">
        <x:v>Paid</x:v>
      </x:c>
      <x:c r="V3639" t="str">
        <x:v>Delivered</x:v>
      </x:c>
      <x:c r="W3639" t="n">
        <x:v>0</x:v>
      </x:c>
      <x:c r="X3639" t="str"/>
      <x:c r="Y3639" t="str">
        <x:v>WhatsApp</x:v>
      </x:c>
    </x:row>
    <x:row r="3640">
      <x:c r="A3640" t="str">
        <x:v>O003639</x:v>
      </x:c>
      <x:c r="B3640" s="20" t="n">
        <x:v>45901</x:v>
      </x:c>
      <x:c r="C3640" t="str">
        <x:v>C0083</x:v>
      </x:c>
      <x:c r="D3640" t="str">
        <x:v>Sri Cafe 83</x:v>
      </x:c>
      <x:c r="E3640" t="str">
        <x:v>Hotel</x:v>
      </x:c>
      <x:c r="F3640" t="str">
        <x:v>Davanagere</x:v>
      </x:c>
      <x:c r="G3640" t="str">
        <x:v>Ramesh</x:v>
      </x:c>
      <x:c r="H3640" t="str">
        <x:v>P010</x:v>
      </x:c>
      <x:c r="I3640" t="str">
        <x:v>Sugar 25kg</x:v>
      </x:c>
      <x:c r="J3640" t="str">
        <x:v>Staples</x:v>
      </x:c>
      <x:c r="K3640" t="str">
        <x:v>Madhur</x:v>
      </x:c>
      <x:c r="L3640" s="22" t="n">
        <x:v>1190</x:v>
      </x:c>
      <x:c r="M3640" t="n">
        <x:v>1</x:v>
      </x:c>
      <x:c r="N3640" s="24" t="n">
        <x:v>0</x:v>
      </x:c>
      <x:c r="O3640" s="22" t="n">
        <x:f>L3640*M3640</x:f>
        <x:v>1190</x:v>
      </x:c>
      <x:c r="P3640" s="22" t="n">
        <x:f>O3640*(1-N3640)</x:f>
        <x:v>1190</x:v>
      </x:c>
      <x:c r="Q3640" s="22" t="n">
        <x:v>1080</x:v>
      </x:c>
      <x:c r="R3640" s="22" t="n">
        <x:f>Q3640*M3640</x:f>
        <x:v>1080</x:v>
      </x:c>
      <x:c r="S3640" s="22" t="n">
        <x:f>P3640-R3640</x:f>
        <x:v>110</x:v>
      </x:c>
      <x:c r="T3640" t="str">
        <x:v>UPI</x:v>
      </x:c>
      <x:c r="U3640" t="str">
        <x:v>Overdue</x:v>
      </x:c>
      <x:c r="V3640" t="str">
        <x:v>Delivered</x:v>
      </x:c>
      <x:c r="W3640" t="n">
        <x:v>0</x:v>
      </x:c>
      <x:c r="X3640" t="str"/>
      <x:c r="Y3640" t="str">
        <x:v>Referral</x:v>
      </x:c>
    </x:row>
    <x:row r="3641">
      <x:c r="A3641" t="str">
        <x:v>O003640</x:v>
      </x:c>
      <x:c r="B3641" s="20" t="n">
        <x:v>46196</x:v>
      </x:c>
      <x:c r="C3641" t="str">
        <x:v>C0225</x:v>
      </x:c>
      <x:c r="D3641" t="str">
        <x:v>Darshini Mart 225</x:v>
      </x:c>
      <x:c r="E3641" t="str">
        <x:v>Restaurant</x:v>
      </x:c>
      <x:c r="F3641" t="str">
        <x:v>Davanagere</x:v>
      </x:c>
      <x:c r="G3641" t="str">
        <x:v>Kavya</x:v>
      </x:c>
      <x:c r="H3641" t="str">
        <x:v>P048</x:v>
      </x:c>
      <x:c r="I3641" t="str">
        <x:v>Banana 10kg</x:v>
      </x:c>
      <x:c r="J3641" t="str">
        <x:v>Fresh Produce</x:v>
      </x:c>
      <x:c r="K3641" t="str">
        <x:v>Local Market</x:v>
      </x:c>
      <x:c r="L3641" s="22" t="n">
        <x:v>420</x:v>
      </x:c>
      <x:c r="M3641" t="n">
        <x:v>25</x:v>
      </x:c>
      <x:c r="N3641" s="24" t="n">
        <x:v>0.03</x:v>
      </x:c>
      <x:c r="O3641" s="22" t="n">
        <x:f>L3641*M3641</x:f>
        <x:v>10500</x:v>
      </x:c>
      <x:c r="P3641" s="22" t="n">
        <x:f>O3641*(1-N3641)</x:f>
        <x:v>10185</x:v>
      </x:c>
      <x:c r="Q3641" s="22" t="n">
        <x:v>350</x:v>
      </x:c>
      <x:c r="R3641" s="22" t="n">
        <x:f>Q3641*M3641</x:f>
        <x:v>8750</x:v>
      </x:c>
      <x:c r="S3641" s="22" t="n">
        <x:f>P3641-R3641</x:f>
        <x:v>1435</x:v>
      </x:c>
      <x:c r="T3641" t="str">
        <x:v>Cash</x:v>
      </x:c>
      <x:c r="U3641" t="str">
        <x:v>Paid</x:v>
      </x:c>
      <x:c r="V3641" t="str">
        <x:v>Delivered</x:v>
      </x:c>
      <x:c r="W3641" t="n">
        <x:v>0</x:v>
      </x:c>
      <x:c r="X3641" t="str"/>
      <x:c r="Y3641" t="str">
        <x:v>Outbound Call</x:v>
      </x:c>
    </x:row>
    <x:row r="3642">
      <x:c r="A3642" t="str">
        <x:v>O003641</x:v>
      </x:c>
      <x:c r="B3642" s="20" t="n">
        <x:v>46157</x:v>
      </x:c>
      <x:c r="C3642" t="str">
        <x:v>C0121</x:v>
      </x:c>
      <x:c r="D3642" t="str">
        <x:v>Mysore Restaurant 121</x:v>
      </x:c>
      <x:c r="E3642" t="str">
        <x:v>Cafe</x:v>
      </x:c>
      <x:c r="F3642" t="str">
        <x:v>Mysuru</x:v>
      </x:c>
      <x:c r="G3642" t="str">
        <x:v>Sneha</x:v>
      </x:c>
      <x:c r="H3642" t="str">
        <x:v>P049</x:v>
      </x:c>
      <x:c r="I3642" t="str">
        <x:v>Apple 10kg</x:v>
      </x:c>
      <x:c r="J3642" t="str">
        <x:v>Fresh Produce</x:v>
      </x:c>
      <x:c r="K3642" t="str">
        <x:v>Local Market</x:v>
      </x:c>
      <x:c r="L3642" s="22" t="n">
        <x:v>1450</x:v>
      </x:c>
      <x:c r="M3642" t="n">
        <x:v>11</x:v>
      </x:c>
      <x:c r="N3642" s="24" t="n">
        <x:v>0.02</x:v>
      </x:c>
      <x:c r="O3642" s="22" t="n">
        <x:f>L3642*M3642</x:f>
        <x:v>15950</x:v>
      </x:c>
      <x:c r="P3642" s="22" t="n">
        <x:f>O3642*(1-N3642)</x:f>
        <x:v>15631</x:v>
      </x:c>
      <x:c r="Q3642" s="22" t="n">
        <x:v>1280</x:v>
      </x:c>
      <x:c r="R3642" s="22" t="n">
        <x:f>Q3642*M3642</x:f>
        <x:v>14080</x:v>
      </x:c>
      <x:c r="S3642" s="22" t="n">
        <x:f>P3642-R3642</x:f>
        <x:v>1551</x:v>
      </x:c>
      <x:c r="T3642" t="str">
        <x:v>UPI</x:v>
      </x:c>
      <x:c r="U3642" t="str">
        <x:v>Paid</x:v>
      </x:c>
      <x:c r="V3642" t="str">
        <x:v>Cancelled</x:v>
      </x:c>
      <x:c r="W3642" t="n">
        <x:v>11</x:v>
      </x:c>
      <x:c r="X3642" t="str">
        <x:v>Cancelled Order</x:v>
      </x:c>
      <x:c r="Y3642" t="str">
        <x:v>Field Visit</x:v>
      </x:c>
    </x:row>
    <x:row r="3643">
      <x:c r="A3643" t="str">
        <x:v>O003642</x:v>
      </x:c>
      <x:c r="B3643" s="20" t="n">
        <x:v>45891</x:v>
      </x:c>
      <x:c r="C3643" t="str">
        <x:v>C0241</x:v>
      </x:c>
      <x:c r="D3643" t="str">
        <x:v>Annapurna Restaurant 241</x:v>
      </x:c>
      <x:c r="E3643" t="str">
        <x:v>Hotel</x:v>
      </x:c>
      <x:c r="F3643" t="str">
        <x:v>Tumakuru</x:v>
      </x:c>
      <x:c r="G3643" t="str">
        <x:v>Imran</x:v>
      </x:c>
      <x:c r="H3643" t="str">
        <x:v>P003</x:v>
      </x:c>
      <x:c r="I3643" t="str">
        <x:v>Basmati Rice 5kg</x:v>
      </x:c>
      <x:c r="J3643" t="str">
        <x:v>Staples</x:v>
      </x:c>
      <x:c r="K3643" t="str">
        <x:v>India Gate</x:v>
      </x:c>
      <x:c r="L3643" s="22" t="n">
        <x:v>690</x:v>
      </x:c>
      <x:c r="M3643" t="n">
        <x:v>28</x:v>
      </x:c>
      <x:c r="N3643" s="24" t="n">
        <x:v>0.03</x:v>
      </x:c>
      <x:c r="O3643" s="22" t="n">
        <x:f>L3643*M3643</x:f>
        <x:v>19320</x:v>
      </x:c>
      <x:c r="P3643" s="22" t="n">
        <x:f>O3643*(1-N3643)</x:f>
        <x:v>18740.399999999998</x:v>
      </x:c>
      <x:c r="Q3643" s="22" t="n">
        <x:v>610</x:v>
      </x:c>
      <x:c r="R3643" s="22" t="n">
        <x:f>Q3643*M3643</x:f>
        <x:v>17080</x:v>
      </x:c>
      <x:c r="S3643" s="22" t="n">
        <x:f>P3643-R3643</x:f>
        <x:v>1660.3999999999978</x:v>
      </x:c>
      <x:c r="T3643" t="str">
        <x:v>Cash</x:v>
      </x:c>
      <x:c r="U3643" t="str">
        <x:v>Pending</x:v>
      </x:c>
      <x:c r="V3643" t="str">
        <x:v>Cancelled</x:v>
      </x:c>
      <x:c r="W3643" t="n">
        <x:v>28</x:v>
      </x:c>
      <x:c r="X3643" t="str">
        <x:v>Cancelled Order</x:v>
      </x:c>
      <x:c r="Y3643" t="str">
        <x:v>Referral</x:v>
      </x:c>
    </x:row>
    <x:row r="3644">
      <x:c r="A3644" t="str">
        <x:v>O003643</x:v>
      </x:c>
      <x:c r="B3644" s="20" t="n">
        <x:v>45716</x:v>
      </x:c>
      <x:c r="C3644" t="str">
        <x:v>C0179</x:v>
      </x:c>
      <x:c r="D3644" t="str">
        <x:v>Shree Hotel 179</x:v>
      </x:c>
      <x:c r="E3644" t="str">
        <x:v>Restaurant</x:v>
      </x:c>
      <x:c r="F3644" t="str">
        <x:v>Hubballi</x:v>
      </x:c>
      <x:c r="G3644" t="str">
        <x:v>Kavya</x:v>
      </x:c>
      <x:c r="H3644" t="str">
        <x:v>P002</x:v>
      </x:c>
      <x:c r="I3644" t="str">
        <x:v>Sona Masoori Rice 25kg</x:v>
      </x:c>
      <x:c r="J3644" t="str">
        <x:v>Staples</x:v>
      </x:c>
      <x:c r="K3644" t="str">
        <x:v>Fortune</x:v>
      </x:c>
      <x:c r="L3644" s="22" t="n">
        <x:v>1320</x:v>
      </x:c>
      <x:c r="M3644" t="n">
        <x:v>11</x:v>
      </x:c>
      <x:c r="N3644" s="24" t="n">
        <x:v>0</x:v>
      </x:c>
      <x:c r="O3644" s="22" t="n">
        <x:f>L3644*M3644</x:f>
        <x:v>14520</x:v>
      </x:c>
      <x:c r="P3644" s="22" t="n">
        <x:f>O3644*(1-N3644)</x:f>
        <x:v>14520</x:v>
      </x:c>
      <x:c r="Q3644" s="22" t="n">
        <x:v>1160</x:v>
      </x:c>
      <x:c r="R3644" s="22" t="n">
        <x:f>Q3644*M3644</x:f>
        <x:v>12760</x:v>
      </x:c>
      <x:c r="S3644" s="22" t="n">
        <x:f>P3644-R3644</x:f>
        <x:v>1760</x:v>
      </x:c>
      <x:c r="T3644" t="str">
        <x:v>Credit</x:v>
      </x:c>
      <x:c r="U3644" t="str">
        <x:v>Pending</x:v>
      </x:c>
      <x:c r="V3644" t="str">
        <x:v>Delivered</x:v>
      </x:c>
      <x:c r="W3644" t="n">
        <x:v>0</x:v>
      </x:c>
      <x:c r="X3644" t="str"/>
      <x:c r="Y3644" t="str">
        <x:v>WhatsApp</x:v>
      </x:c>
    </x:row>
    <x:row r="3645">
      <x:c r="A3645" t="str">
        <x:v>O003644</x:v>
      </x:c>
      <x:c r="B3645" s="20" t="n">
        <x:v>45701</x:v>
      </x:c>
      <x:c r="C3645" t="str">
        <x:v>C0180</x:v>
      </x:c>
      <x:c r="D3645" t="str">
        <x:v>Sri Kitchen 180</x:v>
      </x:c>
      <x:c r="E3645" t="str">
        <x:v>Kirana</x:v>
      </x:c>
      <x:c r="F3645" t="str">
        <x:v>Mysuru</x:v>
      </x:c>
      <x:c r="G3645" t="str">
        <x:v>Vikram</x:v>
      </x:c>
      <x:c r="H3645" t="str">
        <x:v>P028</x:v>
      </x:c>
      <x:c r="I3645" t="str">
        <x:v>Cookies 200g</x:v>
      </x:c>
      <x:c r="J3645" t="str">
        <x:v>Snacks</x:v>
      </x:c>
      <x:c r="K3645" t="str">
        <x:v>Britannia</x:v>
      </x:c>
      <x:c r="L3645" s="22" t="n">
        <x:v>55</x:v>
      </x:c>
      <x:c r="M3645" t="n">
        <x:v>16</x:v>
      </x:c>
      <x:c r="N3645" s="24" t="n">
        <x:v>0</x:v>
      </x:c>
      <x:c r="O3645" s="22" t="n">
        <x:f>L3645*M3645</x:f>
        <x:v>880</x:v>
      </x:c>
      <x:c r="P3645" s="22" t="n">
        <x:f>O3645*(1-N3645)</x:f>
        <x:v>880</x:v>
      </x:c>
      <x:c r="Q3645" s="22" t="n">
        <x:v>42</x:v>
      </x:c>
      <x:c r="R3645" s="22" t="n">
        <x:f>Q3645*M3645</x:f>
        <x:v>672</x:v>
      </x:c>
      <x:c r="S3645" s="22" t="n">
        <x:f>P3645-R3645</x:f>
        <x:v>208</x:v>
      </x:c>
      <x:c r="T3645" t="str">
        <x:v>UPI</x:v>
      </x:c>
      <x:c r="U3645" t="str">
        <x:v>Paid</x:v>
      </x:c>
      <x:c r="V3645" t="str">
        <x:v>Delivered</x:v>
      </x:c>
      <x:c r="W3645" t="n">
        <x:v>4</x:v>
      </x:c>
      <x:c r="X3645" t="str">
        <x:v>Wrong Item</x:v>
      </x:c>
      <x:c r="Y3645" t="str">
        <x:v>Outbound Call</x:v>
      </x:c>
    </x:row>
    <x:row r="3646">
      <x:c r="A3646" t="str">
        <x:v>O003645</x:v>
      </x:c>
      <x:c r="B3646" s="20" t="n">
        <x:v>46150</x:v>
      </x:c>
      <x:c r="C3646" t="str">
        <x:v>C0069</x:v>
      </x:c>
      <x:c r="D3646" t="str">
        <x:v>Cafe Hotel 69</x:v>
      </x:c>
      <x:c r="E3646" t="str">
        <x:v>Supermarket</x:v>
      </x:c>
      <x:c r="F3646" t="str">
        <x:v>Bengaluru</x:v>
      </x:c>
      <x:c r="G3646" t="str">
        <x:v>Sneha</x:v>
      </x:c>
      <x:c r="H3646" t="str">
        <x:v>P023</x:v>
      </x:c>
      <x:c r="I3646" t="str">
        <x:v>Cola 750ml</x:v>
      </x:c>
      <x:c r="J3646" t="str">
        <x:v>Beverage</x:v>
      </x:c>
      <x:c r="K3646" t="str">
        <x:v>Coca-Cola</x:v>
      </x:c>
      <x:c r="L3646" s="22" t="n">
        <x:v>38</x:v>
      </x:c>
      <x:c r="M3646" t="n">
        <x:v>21</x:v>
      </x:c>
      <x:c r="N3646" s="24" t="n">
        <x:v>0.05</x:v>
      </x:c>
      <x:c r="O3646" s="22" t="n">
        <x:f>L3646*M3646</x:f>
        <x:v>798</x:v>
      </x:c>
      <x:c r="P3646" s="22" t="n">
        <x:f>O3646*(1-N3646)</x:f>
        <x:v>758.0999999999999</x:v>
      </x:c>
      <x:c r="Q3646" s="22" t="n">
        <x:v>31</x:v>
      </x:c>
      <x:c r="R3646" s="22" t="n">
        <x:f>Q3646*M3646</x:f>
        <x:v>651</x:v>
      </x:c>
      <x:c r="S3646" s="22" t="n">
        <x:f>P3646-R3646</x:f>
        <x:v>107.09999999999991</x:v>
      </x:c>
      <x:c r="T3646" t="str">
        <x:v>Credit</x:v>
      </x:c>
      <x:c r="U3646" t="str">
        <x:v>Paid</x:v>
      </x:c>
      <x:c r="V3646" t="str">
        <x:v>Cancelled</x:v>
      </x:c>
      <x:c r="W3646" t="n">
        <x:v>21</x:v>
      </x:c>
      <x:c r="X3646" t="str">
        <x:v>Cancelled Order</x:v>
      </x:c>
      <x:c r="Y3646" t="str">
        <x:v>Referral</x:v>
      </x:c>
    </x:row>
    <x:row r="3647">
      <x:c r="A3647" t="str">
        <x:v>O003646</x:v>
      </x:c>
      <x:c r="B3647" s="20" t="n">
        <x:v>45864</x:v>
      </x:c>
      <x:c r="C3647" t="str">
        <x:v>C0183</x:v>
      </x:c>
      <x:c r="D3647" t="str">
        <x:v>Spice Mart 183</x:v>
      </x:c>
      <x:c r="E3647" t="str">
        <x:v>Kirana</x:v>
      </x:c>
      <x:c r="F3647" t="str">
        <x:v>Mangaluru</x:v>
      </x:c>
      <x:c r="G3647" t="str">
        <x:v>Kavya</x:v>
      </x:c>
      <x:c r="H3647" t="str">
        <x:v>P043</x:v>
      </x:c>
      <x:c r="I3647" t="str">
        <x:v>Chicken Breast 1kg</x:v>
      </x:c>
      <x:c r="J3647" t="str">
        <x:v>Protein</x:v>
      </x:c>
      <x:c r="K3647" t="str">
        <x:v>FreshToHome</x:v>
      </x:c>
      <x:c r="L3647" s="22" t="n">
        <x:v>260</x:v>
      </x:c>
      <x:c r="M3647" t="n">
        <x:v>9</x:v>
      </x:c>
      <x:c r="N3647" s="24" t="n">
        <x:v>0.05</x:v>
      </x:c>
      <x:c r="O3647" s="22" t="n">
        <x:f>L3647*M3647</x:f>
        <x:v>2340</x:v>
      </x:c>
      <x:c r="P3647" s="22" t="n">
        <x:f>O3647*(1-N3647)</x:f>
        <x:v>2223</x:v>
      </x:c>
      <x:c r="Q3647" s="22" t="n">
        <x:v>235</x:v>
      </x:c>
      <x:c r="R3647" s="22" t="n">
        <x:f>Q3647*M3647</x:f>
        <x:v>2115</x:v>
      </x:c>
      <x:c r="S3647" s="22" t="n">
        <x:f>P3647-R3647</x:f>
        <x:v>108</x:v>
      </x:c>
      <x:c r="T3647" t="str">
        <x:v>Credit</x:v>
      </x:c>
      <x:c r="U3647" t="str">
        <x:v>Paid</x:v>
      </x:c>
      <x:c r="V3647" t="str">
        <x:v>Delayed</x:v>
      </x:c>
      <x:c r="W3647" t="n">
        <x:v>0</x:v>
      </x:c>
      <x:c r="X3647" t="str"/>
      <x:c r="Y3647" t="str">
        <x:v>Field Visit</x:v>
      </x:c>
    </x:row>
    <x:row r="3648">
      <x:c r="A3648" t="str">
        <x:v>O003647</x:v>
      </x:c>
      <x:c r="B3648" s="20" t="n">
        <x:v>45711</x:v>
      </x:c>
      <x:c r="C3648" t="str">
        <x:v>C0246</x:v>
      </x:c>
      <x:c r="D3648" t="str">
        <x:v>City Hotel 246</x:v>
      </x:c>
      <x:c r="E3648" t="str">
        <x:v>Supermarket</x:v>
      </x:c>
      <x:c r="F3648" t="str">
        <x:v>Mangaluru</x:v>
      </x:c>
      <x:c r="G3648" t="str">
        <x:v>Kavya</x:v>
      </x:c>
      <x:c r="H3648" t="str">
        <x:v>P023</x:v>
      </x:c>
      <x:c r="I3648" t="str">
        <x:v>Cola 750ml</x:v>
      </x:c>
      <x:c r="J3648" t="str">
        <x:v>Beverage</x:v>
      </x:c>
      <x:c r="K3648" t="str">
        <x:v>Coca-Cola</x:v>
      </x:c>
      <x:c r="L3648" s="22" t="n">
        <x:v>38</x:v>
      </x:c>
      <x:c r="M3648" t="n">
        <x:v>28</x:v>
      </x:c>
      <x:c r="N3648" s="24" t="n">
        <x:v>0.08</x:v>
      </x:c>
      <x:c r="O3648" s="22" t="n">
        <x:f>L3648*M3648</x:f>
        <x:v>1064</x:v>
      </x:c>
      <x:c r="P3648" s="22" t="n">
        <x:f>O3648*(1-N3648)</x:f>
        <x:v>978.88</x:v>
      </x:c>
      <x:c r="Q3648" s="22" t="n">
        <x:v>31</x:v>
      </x:c>
      <x:c r="R3648" s="22" t="n">
        <x:f>Q3648*M3648</x:f>
        <x:v>868</x:v>
      </x:c>
      <x:c r="S3648" s="22" t="n">
        <x:f>P3648-R3648</x:f>
        <x:v>110.88</x:v>
      </x:c>
      <x:c r="T3648" t="str">
        <x:v>Credit</x:v>
      </x:c>
      <x:c r="U3648" t="str">
        <x:v>Paid</x:v>
      </x:c>
      <x:c r="V3648" t="str">
        <x:v>Delayed</x:v>
      </x:c>
      <x:c r="W3648" t="n">
        <x:v>0</x:v>
      </x:c>
      <x:c r="X3648" t="str"/>
      <x:c r="Y3648" t="str">
        <x:v>Outbound Call</x:v>
      </x:c>
    </x:row>
    <x:row r="3649">
      <x:c r="A3649" t="str">
        <x:v>O003648</x:v>
      </x:c>
      <x:c r="B3649" s="20" t="n">
        <x:v>45770</x:v>
      </x:c>
      <x:c r="C3649" t="str">
        <x:v>C0191</x:v>
      </x:c>
      <x:c r="D3649" t="str">
        <x:v>Foodie Kitchen 191</x:v>
      </x:c>
      <x:c r="E3649" t="str">
        <x:v>Cafe</x:v>
      </x:c>
      <x:c r="F3649" t="str">
        <x:v>Mysuru</x:v>
      </x:c>
      <x:c r="G3649" t="str">
        <x:v>Priya</x:v>
      </x:c>
      <x:c r="H3649" t="str">
        <x:v>P030</x:v>
      </x:c>
      <x:c r="I3649" t="str">
        <x:v>Mayonnaise 1kg</x:v>
      </x:c>
      <x:c r="J3649" t="str">
        <x:v>Condiments</x:v>
      </x:c>
      <x:c r="K3649" t="str">
        <x:v>Veeba</x:v>
      </x:c>
      <x:c r="L3649" s="22" t="n">
        <x:v>210</x:v>
      </x:c>
      <x:c r="M3649" t="n">
        <x:v>21</x:v>
      </x:c>
      <x:c r="N3649" s="24" t="n">
        <x:v>0.02</x:v>
      </x:c>
      <x:c r="O3649" s="22" t="n">
        <x:f>L3649*M3649</x:f>
        <x:v>4410</x:v>
      </x:c>
      <x:c r="P3649" s="22" t="n">
        <x:f>O3649*(1-N3649)</x:f>
        <x:v>4321.8</x:v>
      </x:c>
      <x:c r="Q3649" s="22" t="n">
        <x:v>185</x:v>
      </x:c>
      <x:c r="R3649" s="22" t="n">
        <x:f>Q3649*M3649</x:f>
        <x:v>3885</x:v>
      </x:c>
      <x:c r="S3649" s="22" t="n">
        <x:f>P3649-R3649</x:f>
        <x:v>436.8000000000002</x:v>
      </x:c>
      <x:c r="T3649" t="str">
        <x:v>Credit</x:v>
      </x:c>
      <x:c r="U3649" t="str">
        <x:v>Paid</x:v>
      </x:c>
      <x:c r="V3649" t="str">
        <x:v>Delivered</x:v>
      </x:c>
      <x:c r="W3649" t="n">
        <x:v>0</x:v>
      </x:c>
      <x:c r="X3649" t="str"/>
      <x:c r="Y3649" t="str">
        <x:v>WhatsApp</x:v>
      </x:c>
    </x:row>
    <x:row r="3650">
      <x:c r="A3650" t="str">
        <x:v>O003649</x:v>
      </x:c>
      <x:c r="B3650" s="20" t="n">
        <x:v>45702</x:v>
      </x:c>
      <x:c r="C3650" t="str">
        <x:v>C0150</x:v>
      </x:c>
      <x:c r="D3650" t="str">
        <x:v>Sagar Kitchen 150</x:v>
      </x:c>
      <x:c r="E3650" t="str">
        <x:v>Kirana</x:v>
      </x:c>
      <x:c r="F3650" t="str">
        <x:v>Hubballi</x:v>
      </x:c>
      <x:c r="G3650" t="str">
        <x:v>Ramesh</x:v>
      </x:c>
      <x:c r="H3650" t="str">
        <x:v>P020</x:v>
      </x:c>
      <x:c r="I3650" t="str">
        <x:v>Coffee 500g</x:v>
      </x:c>
      <x:c r="J3650" t="str">
        <x:v>Beverage</x:v>
      </x:c>
      <x:c r="K3650" t="str">
        <x:v>Bru</x:v>
      </x:c>
      <x:c r="L3650" s="22" t="n">
        <x:v>390</x:v>
      </x:c>
      <x:c r="M3650" t="n">
        <x:v>37</x:v>
      </x:c>
      <x:c r="N3650" s="24" t="n">
        <x:v>0</x:v>
      </x:c>
      <x:c r="O3650" s="22" t="n">
        <x:f>L3650*M3650</x:f>
        <x:v>14430</x:v>
      </x:c>
      <x:c r="P3650" s="22" t="n">
        <x:f>O3650*(1-N3650)</x:f>
        <x:v>14430</x:v>
      </x:c>
      <x:c r="Q3650" s="22" t="n">
        <x:v>350</x:v>
      </x:c>
      <x:c r="R3650" s="22" t="n">
        <x:f>Q3650*M3650</x:f>
        <x:v>12950</x:v>
      </x:c>
      <x:c r="S3650" s="22" t="n">
        <x:f>P3650-R3650</x:f>
        <x:v>1480</x:v>
      </x:c>
      <x:c r="T3650" t="str">
        <x:v>Bank Transfer</x:v>
      </x:c>
      <x:c r="U3650" t="str">
        <x:v>Paid</x:v>
      </x:c>
      <x:c r="V3650" t="str">
        <x:v>Delivered</x:v>
      </x:c>
      <x:c r="W3650" t="n">
        <x:v>0</x:v>
      </x:c>
      <x:c r="X3650" t="str"/>
      <x:c r="Y3650" t="str">
        <x:v>Field Visit</x:v>
      </x:c>
    </x:row>
    <x:row r="3651">
      <x:c r="A3651" t="str">
        <x:v>O003650</x:v>
      </x:c>
      <x:c r="B3651" s="20" t="n">
        <x:v>45780</x:v>
      </x:c>
      <x:c r="C3651" t="str">
        <x:v>C0095</x:v>
      </x:c>
      <x:c r="D3651" t="str">
        <x:v>Spice Restaurant 95</x:v>
      </x:c>
      <x:c r="E3651" t="str">
        <x:v>Restaurant</x:v>
      </x:c>
      <x:c r="F3651" t="str">
        <x:v>Bengaluru</x:v>
      </x:c>
      <x:c r="G3651" t="str">
        <x:v>Megha</x:v>
      </x:c>
      <x:c r="H3651" t="str">
        <x:v>P021</x:v>
      </x:c>
      <x:c r="I3651" t="str">
        <x:v>Instant Coffee 200g</x:v>
      </x:c>
      <x:c r="J3651" t="str">
        <x:v>Beverage</x:v>
      </x:c>
      <x:c r="K3651" t="str">
        <x:v>Nescafe</x:v>
      </x:c>
      <x:c r="L3651" s="22" t="n">
        <x:v>460</x:v>
      </x:c>
      <x:c r="M3651" t="n">
        <x:v>27</x:v>
      </x:c>
      <x:c r="N3651" s="24" t="n">
        <x:v>0</x:v>
      </x:c>
      <x:c r="O3651" s="22" t="n">
        <x:f>L3651*M3651</x:f>
        <x:v>12420</x:v>
      </x:c>
      <x:c r="P3651" s="22" t="n">
        <x:f>O3651*(1-N3651)</x:f>
        <x:v>12420</x:v>
      </x:c>
      <x:c r="Q3651" s="22" t="n">
        <x:v>410</x:v>
      </x:c>
      <x:c r="R3651" s="22" t="n">
        <x:f>Q3651*M3651</x:f>
        <x:v>11070</x:v>
      </x:c>
      <x:c r="S3651" s="22" t="n">
        <x:f>P3651-R3651</x:f>
        <x:v>1350</x:v>
      </x:c>
      <x:c r="T3651" t="str">
        <x:v>UPI</x:v>
      </x:c>
      <x:c r="U3651" t="str">
        <x:v>Paid</x:v>
      </x:c>
      <x:c r="V3651" t="str">
        <x:v>Delayed</x:v>
      </x:c>
      <x:c r="W3651" t="n">
        <x:v>0</x:v>
      </x:c>
      <x:c r="X3651" t="str"/>
      <x:c r="Y3651" t="str">
        <x:v>Field Visit</x:v>
      </x:c>
    </x:row>
    <x:row r="3652">
      <x:c r="A3652" t="str">
        <x:v>O003651</x:v>
      </x:c>
      <x:c r="B3652" s="20" t="n">
        <x:v>45792</x:v>
      </x:c>
      <x:c r="C3652" t="str">
        <x:v>C0049</x:v>
      </x:c>
      <x:c r="D3652" t="str">
        <x:v>Namma Stores 49</x:v>
      </x:c>
      <x:c r="E3652" t="str">
        <x:v>Hotel</x:v>
      </x:c>
      <x:c r="F3652" t="str">
        <x:v>Mangaluru</x:v>
      </x:c>
      <x:c r="G3652" t="str">
        <x:v>Sneha</x:v>
      </x:c>
      <x:c r="H3652" t="str">
        <x:v>P012</x:v>
      </x:c>
      <x:c r="I3652" t="str">
        <x:v>Maida 10kg</x:v>
      </x:c>
      <x:c r="J3652" t="str">
        <x:v>Flour</x:v>
      </x:c>
      <x:c r="K3652" t="str">
        <x:v>Aashirvaad</x:v>
      </x:c>
      <x:c r="L3652" s="22" t="n">
        <x:v>520</x:v>
      </x:c>
      <x:c r="M3652" t="n">
        <x:v>17</x:v>
      </x:c>
      <x:c r="N3652" s="24" t="n">
        <x:v>0.08</x:v>
      </x:c>
      <x:c r="O3652" s="22" t="n">
        <x:f>L3652*M3652</x:f>
        <x:v>8840</x:v>
      </x:c>
      <x:c r="P3652" s="22" t="n">
        <x:f>O3652*(1-N3652)</x:f>
        <x:v>8132.8</x:v>
      </x:c>
      <x:c r="Q3652" s="22" t="n">
        <x:v>460</x:v>
      </x:c>
      <x:c r="R3652" s="22" t="n">
        <x:f>Q3652*M3652</x:f>
        <x:v>7820</x:v>
      </x:c>
      <x:c r="S3652" s="22" t="n">
        <x:f>P3652-R3652</x:f>
        <x:v>312.8000000000002</x:v>
      </x:c>
      <x:c r="T3652" t="str">
        <x:v>UPI</x:v>
      </x:c>
      <x:c r="U3652" t="str">
        <x:v>Paid</x:v>
      </x:c>
      <x:c r="V3652" t="str">
        <x:v>Delivered</x:v>
      </x:c>
      <x:c r="W3652" t="n">
        <x:v>0</x:v>
      </x:c>
      <x:c r="X3652" t="str"/>
      <x:c r="Y3652" t="str">
        <x:v>WhatsApp</x:v>
      </x:c>
    </x:row>
    <x:row r="3653">
      <x:c r="A3653" t="str">
        <x:v>O003652</x:v>
      </x:c>
      <x:c r="B3653" s="20" t="n">
        <x:v>45806</x:v>
      </x:c>
      <x:c r="C3653" t="str">
        <x:v>C0033</x:v>
      </x:c>
      <x:c r="D3653" t="str">
        <x:v>Shree Canteen 33</x:v>
      </x:c>
      <x:c r="E3653" t="str">
        <x:v>Canteen</x:v>
      </x:c>
      <x:c r="F3653" t="str">
        <x:v>Mangaluru</x:v>
      </x:c>
      <x:c r="G3653" t="str">
        <x:v>Imran</x:v>
      </x:c>
      <x:c r="H3653" t="str">
        <x:v>P006</x:v>
      </x:c>
      <x:c r="I3653" t="str">
        <x:v>Moong Dal 5kg</x:v>
      </x:c>
      <x:c r="J3653" t="str">
        <x:v>Pulses</x:v>
      </x:c>
      <x:c r="K3653" t="str">
        <x:v>Local Select</x:v>
      </x:c>
      <x:c r="L3653" s="22" t="n">
        <x:v>610</x:v>
      </x:c>
      <x:c r="M3653" t="n">
        <x:v>28</x:v>
      </x:c>
      <x:c r="N3653" s="24" t="n">
        <x:v>0.08</x:v>
      </x:c>
      <x:c r="O3653" s="22" t="n">
        <x:f>L3653*M3653</x:f>
        <x:v>17080</x:v>
      </x:c>
      <x:c r="P3653" s="22" t="n">
        <x:f>O3653*(1-N3653)</x:f>
        <x:v>15713.6</x:v>
      </x:c>
      <x:c r="Q3653" s="22" t="n">
        <x:v>540</x:v>
      </x:c>
      <x:c r="R3653" s="22" t="n">
        <x:f>Q3653*M3653</x:f>
        <x:v>15120</x:v>
      </x:c>
      <x:c r="S3653" s="22" t="n">
        <x:f>P3653-R3653</x:f>
        <x:v>593.6000000000004</x:v>
      </x:c>
      <x:c r="T3653" t="str">
        <x:v>Credit</x:v>
      </x:c>
      <x:c r="U3653" t="str">
        <x:v>Pending</x:v>
      </x:c>
      <x:c r="V3653" t="str">
        <x:v>Delivered</x:v>
      </x:c>
      <x:c r="W3653" t="n">
        <x:v>0</x:v>
      </x:c>
      <x:c r="X3653" t="str"/>
      <x:c r="Y3653" t="str">
        <x:v>WhatsApp</x:v>
      </x:c>
    </x:row>
    <x:row r="3654">
      <x:c r="A3654" t="str">
        <x:v>O003653</x:v>
      </x:c>
      <x:c r="B3654" s="20" t="n">
        <x:v>46196</x:v>
      </x:c>
      <x:c r="C3654" t="str">
        <x:v>C0142</x:v>
      </x:c>
      <x:c r="D3654" t="str">
        <x:v>Darshini Mart 142</x:v>
      </x:c>
      <x:c r="E3654" t="str">
        <x:v>Cafe</x:v>
      </x:c>
      <x:c r="F3654" t="str">
        <x:v>Bengaluru</x:v>
      </x:c>
      <x:c r="G3654" t="str">
        <x:v>Megha</x:v>
      </x:c>
      <x:c r="H3654" t="str">
        <x:v>P020</x:v>
      </x:c>
      <x:c r="I3654" t="str">
        <x:v>Coffee 500g</x:v>
      </x:c>
      <x:c r="J3654" t="str">
        <x:v>Beverage</x:v>
      </x:c>
      <x:c r="K3654" t="str">
        <x:v>Bru</x:v>
      </x:c>
      <x:c r="L3654" s="22" t="n">
        <x:v>390</x:v>
      </x:c>
      <x:c r="M3654" t="n">
        <x:v>31</x:v>
      </x:c>
      <x:c r="N3654" s="24" t="n">
        <x:v>0.03</x:v>
      </x:c>
      <x:c r="O3654" s="22" t="n">
        <x:f>L3654*M3654</x:f>
        <x:v>12090</x:v>
      </x:c>
      <x:c r="P3654" s="22" t="n">
        <x:f>O3654*(1-N3654)</x:f>
        <x:v>11727.3</x:v>
      </x:c>
      <x:c r="Q3654" s="22" t="n">
        <x:v>350</x:v>
      </x:c>
      <x:c r="R3654" s="22" t="n">
        <x:f>Q3654*M3654</x:f>
        <x:v>10850</x:v>
      </x:c>
      <x:c r="S3654" s="22" t="n">
        <x:f>P3654-R3654</x:f>
        <x:v>877.2999999999993</x:v>
      </x:c>
      <x:c r="T3654" t="str">
        <x:v>Credit</x:v>
      </x:c>
      <x:c r="U3654" t="str">
        <x:v>Pending</x:v>
      </x:c>
      <x:c r="V3654" t="str">
        <x:v>Delivered</x:v>
      </x:c>
      <x:c r="W3654" t="n">
        <x:v>0</x:v>
      </x:c>
      <x:c r="X3654" t="str"/>
      <x:c r="Y3654" t="str">
        <x:v>Referral</x:v>
      </x:c>
    </x:row>
    <x:row r="3655">
      <x:c r="A3655" t="str">
        <x:v>O003654</x:v>
      </x:c>
      <x:c r="B3655" s="20" t="n">
        <x:v>45710</x:v>
      </x:c>
      <x:c r="C3655" t="str">
        <x:v>C0042</x:v>
      </x:c>
      <x:c r="D3655" t="str">
        <x:v>Shree Restaurant 42</x:v>
      </x:c>
      <x:c r="E3655" t="str">
        <x:v>Restaurant</x:v>
      </x:c>
      <x:c r="F3655" t="str">
        <x:v>Mysuru</x:v>
      </x:c>
      <x:c r="G3655" t="str">
        <x:v>Arjun</x:v>
      </x:c>
      <x:c r="H3655" t="str">
        <x:v>P032</x:v>
      </x:c>
      <x:c r="I3655" t="str">
        <x:v>Soy Sauce 700g</x:v>
      </x:c>
      <x:c r="J3655" t="str">
        <x:v>Condiments</x:v>
      </x:c>
      <x:c r="K3655" t="str">
        <x:v>Ching's</x:v>
      </x:c>
      <x:c r="L3655" s="22" t="n">
        <x:v>118</x:v>
      </x:c>
      <x:c r="M3655" t="n">
        <x:v>17</x:v>
      </x:c>
      <x:c r="N3655" s="24" t="n">
        <x:v>0.05</x:v>
      </x:c>
      <x:c r="O3655" s="22" t="n">
        <x:f>L3655*M3655</x:f>
        <x:v>2006</x:v>
      </x:c>
      <x:c r="P3655" s="22" t="n">
        <x:f>O3655*(1-N3655)</x:f>
        <x:v>1905.6999999999998</x:v>
      </x:c>
      <x:c r="Q3655" s="22" t="n">
        <x:v>101</x:v>
      </x:c>
      <x:c r="R3655" s="22" t="n">
        <x:f>Q3655*M3655</x:f>
        <x:v>1717</x:v>
      </x:c>
      <x:c r="S3655" s="22" t="n">
        <x:f>P3655-R3655</x:f>
        <x:v>188.69999999999982</x:v>
      </x:c>
      <x:c r="T3655" t="str">
        <x:v>Credit</x:v>
      </x:c>
      <x:c r="U3655" t="str">
        <x:v>Paid</x:v>
      </x:c>
      <x:c r="V3655" t="str">
        <x:v>Delivered</x:v>
      </x:c>
      <x:c r="W3655" t="n">
        <x:v>0</x:v>
      </x:c>
      <x:c r="X3655" t="str"/>
      <x:c r="Y3655" t="str">
        <x:v>Field Visit</x:v>
      </x:c>
    </x:row>
    <x:row r="3656">
      <x:c r="A3656" t="str">
        <x:v>O003655</x:v>
      </x:c>
      <x:c r="B3656" s="20" t="n">
        <x:v>46090</x:v>
      </x:c>
      <x:c r="C3656" t="str">
        <x:v>C0188</x:v>
      </x:c>
      <x:c r="D3656" t="str">
        <x:v>New Canteen 188</x:v>
      </x:c>
      <x:c r="E3656" t="str">
        <x:v>Restaurant</x:v>
      </x:c>
      <x:c r="F3656" t="str">
        <x:v>Bengaluru</x:v>
      </x:c>
      <x:c r="G3656" t="str">
        <x:v>Kavya</x:v>
      </x:c>
      <x:c r="H3656" t="str">
        <x:v>P006</x:v>
      </x:c>
      <x:c r="I3656" t="str">
        <x:v>Moong Dal 5kg</x:v>
      </x:c>
      <x:c r="J3656" t="str">
        <x:v>Pulses</x:v>
      </x:c>
      <x:c r="K3656" t="str">
        <x:v>Local Select</x:v>
      </x:c>
      <x:c r="L3656" s="22" t="n">
        <x:v>610</x:v>
      </x:c>
      <x:c r="M3656" t="n">
        <x:v>17</x:v>
      </x:c>
      <x:c r="N3656" s="24" t="n">
        <x:v>0</x:v>
      </x:c>
      <x:c r="O3656" s="22" t="n">
        <x:f>L3656*M3656</x:f>
        <x:v>10370</x:v>
      </x:c>
      <x:c r="P3656" s="22" t="n">
        <x:f>O3656*(1-N3656)</x:f>
        <x:v>10370</x:v>
      </x:c>
      <x:c r="Q3656" s="22" t="n">
        <x:v>540</x:v>
      </x:c>
      <x:c r="R3656" s="22" t="n">
        <x:f>Q3656*M3656</x:f>
        <x:v>9180</x:v>
      </x:c>
      <x:c r="S3656" s="22" t="n">
        <x:f>P3656-R3656</x:f>
        <x:v>1190</x:v>
      </x:c>
      <x:c r="T3656" t="str">
        <x:v>UPI</x:v>
      </x:c>
      <x:c r="U3656" t="str">
        <x:v>Overdue</x:v>
      </x:c>
      <x:c r="V3656" t="str">
        <x:v>Delivered</x:v>
      </x:c>
      <x:c r="W3656" t="n">
        <x:v>0</x:v>
      </x:c>
      <x:c r="X3656" t="str"/>
      <x:c r="Y3656" t="str">
        <x:v>WhatsApp</x:v>
      </x:c>
    </x:row>
    <x:row r="3657">
      <x:c r="A3657" t="str">
        <x:v>O003656</x:v>
      </x:c>
      <x:c r="B3657" s="20" t="n">
        <x:v>45668</x:v>
      </x:c>
      <x:c r="C3657" t="str">
        <x:v>C0184</x:v>
      </x:c>
      <x:c r="D3657" t="str">
        <x:v>Namma Restaurant 184</x:v>
      </x:c>
      <x:c r="E3657" t="str">
        <x:v>Cafe</x:v>
      </x:c>
      <x:c r="F3657" t="str">
        <x:v>Hubballi</x:v>
      </x:c>
      <x:c r="G3657" t="str">
        <x:v>Arjun</x:v>
      </x:c>
      <x:c r="H3657" t="str">
        <x:v>P050</x:v>
      </x:c>
      <x:c r="I3657" t="str">
        <x:v>Lemon 5kg</x:v>
      </x:c>
      <x:c r="J3657" t="str">
        <x:v>Fresh Produce</x:v>
      </x:c>
      <x:c r="K3657" t="str">
        <x:v>Local Market</x:v>
      </x:c>
      <x:c r="L3657" s="22" t="n">
        <x:v>360</x:v>
      </x:c>
      <x:c r="M3657" t="n">
        <x:v>8</x:v>
      </x:c>
      <x:c r="N3657" s="24" t="n">
        <x:v>0.03</x:v>
      </x:c>
      <x:c r="O3657" s="22" t="n">
        <x:f>L3657*M3657</x:f>
        <x:v>2880</x:v>
      </x:c>
      <x:c r="P3657" s="22" t="n">
        <x:f>O3657*(1-N3657)</x:f>
        <x:v>2793.6</x:v>
      </x:c>
      <x:c r="Q3657" s="22" t="n">
        <x:v>300</x:v>
      </x:c>
      <x:c r="R3657" s="22" t="n">
        <x:f>Q3657*M3657</x:f>
        <x:v>2400</x:v>
      </x:c>
      <x:c r="S3657" s="22" t="n">
        <x:f>P3657-R3657</x:f>
        <x:v>393.5999999999999</x:v>
      </x:c>
      <x:c r="T3657" t="str">
        <x:v>Bank Transfer</x:v>
      </x:c>
      <x:c r="U3657" t="str">
        <x:v>Overdue</x:v>
      </x:c>
      <x:c r="V3657" t="str">
        <x:v>Delayed</x:v>
      </x:c>
      <x:c r="W3657" t="n">
        <x:v>0</x:v>
      </x:c>
      <x:c r="X3657" t="str"/>
      <x:c r="Y3657" t="str">
        <x:v>Outbound Call</x:v>
      </x:c>
    </x:row>
    <x:row r="3658">
      <x:c r="A3658" t="str">
        <x:v>O003657</x:v>
      </x:c>
      <x:c r="B3658" s="20" t="n">
        <x:v>45907</x:v>
      </x:c>
      <x:c r="C3658" t="str">
        <x:v>C0129</x:v>
      </x:c>
      <x:c r="D3658" t="str">
        <x:v>City Canteen 129</x:v>
      </x:c>
      <x:c r="E3658" t="str">
        <x:v>Kirana</x:v>
      </x:c>
      <x:c r="F3658" t="str">
        <x:v>Hubballi</x:v>
      </x:c>
      <x:c r="G3658" t="str">
        <x:v>Sneha</x:v>
      </x:c>
      <x:c r="H3658" t="str">
        <x:v>P028</x:v>
      </x:c>
      <x:c r="I3658" t="str">
        <x:v>Cookies 200g</x:v>
      </x:c>
      <x:c r="J3658" t="str">
        <x:v>Snacks</x:v>
      </x:c>
      <x:c r="K3658" t="str">
        <x:v>Britannia</x:v>
      </x:c>
      <x:c r="L3658" s="22" t="n">
        <x:v>55</x:v>
      </x:c>
      <x:c r="M3658" t="n">
        <x:v>30</x:v>
      </x:c>
      <x:c r="N3658" s="24" t="n">
        <x:v>0.1</x:v>
      </x:c>
      <x:c r="O3658" s="22" t="n">
        <x:f>L3658*M3658</x:f>
        <x:v>1650</x:v>
      </x:c>
      <x:c r="P3658" s="22" t="n">
        <x:f>O3658*(1-N3658)</x:f>
        <x:v>1485</x:v>
      </x:c>
      <x:c r="Q3658" s="22" t="n">
        <x:v>42</x:v>
      </x:c>
      <x:c r="R3658" s="22" t="n">
        <x:f>Q3658*M3658</x:f>
        <x:v>1260</x:v>
      </x:c>
      <x:c r="S3658" s="22" t="n">
        <x:f>P3658-R3658</x:f>
        <x:v>225</x:v>
      </x:c>
      <x:c r="T3658" t="str">
        <x:v>UPI</x:v>
      </x:c>
      <x:c r="U3658" t="str">
        <x:v>Pending</x:v>
      </x:c>
      <x:c r="V3658" t="str">
        <x:v>Delivered</x:v>
      </x:c>
      <x:c r="W3658" t="n">
        <x:v>0</x:v>
      </x:c>
      <x:c r="X3658" t="str"/>
      <x:c r="Y3658" t="str">
        <x:v>Referral</x:v>
      </x:c>
    </x:row>
    <x:row r="3659">
      <x:c r="A3659" t="str">
        <x:v>O003658</x:v>
      </x:c>
      <x:c r="B3659" s="20" t="n">
        <x:v>45811</x:v>
      </x:c>
      <x:c r="C3659" t="str">
        <x:v>C0002</x:v>
      </x:c>
      <x:c r="D3659" t="str">
        <x:v>City Kitchen 2</x:v>
      </x:c>
      <x:c r="E3659" t="str">
        <x:v>Kirana</x:v>
      </x:c>
      <x:c r="F3659" t="str">
        <x:v>Davanagere</x:v>
      </x:c>
      <x:c r="G3659" t="str">
        <x:v>Arjun</x:v>
      </x:c>
      <x:c r="H3659" t="str">
        <x:v>P027</x:v>
      </x:c>
      <x:c r="I3659" t="str">
        <x:v>Biscuits 120g</x:v>
      </x:c>
      <x:c r="J3659" t="str">
        <x:v>Snacks</x:v>
      </x:c>
      <x:c r="K3659" t="str">
        <x:v>Parle-G</x:v>
      </x:c>
      <x:c r="L3659" s="22" t="n">
        <x:v>12</x:v>
      </x:c>
      <x:c r="M3659" t="n">
        <x:v>12</x:v>
      </x:c>
      <x:c r="N3659" s="24" t="n">
        <x:v>0</x:v>
      </x:c>
      <x:c r="O3659" s="22" t="n">
        <x:f>L3659*M3659</x:f>
        <x:v>144</x:v>
      </x:c>
      <x:c r="P3659" s="22" t="n">
        <x:f>O3659*(1-N3659)</x:f>
        <x:v>144</x:v>
      </x:c>
      <x:c r="Q3659" s="22" t="n">
        <x:v>9</x:v>
      </x:c>
      <x:c r="R3659" s="22" t="n">
        <x:f>Q3659*M3659</x:f>
        <x:v>108</x:v>
      </x:c>
      <x:c r="S3659" s="22" t="n">
        <x:f>P3659-R3659</x:f>
        <x:v>36</x:v>
      </x:c>
      <x:c r="T3659" t="str">
        <x:v>Credit</x:v>
      </x:c>
      <x:c r="U3659" t="str">
        <x:v>Paid</x:v>
      </x:c>
      <x:c r="V3659" t="str">
        <x:v>Delivered</x:v>
      </x:c>
      <x:c r="W3659" t="n">
        <x:v>0</x:v>
      </x:c>
      <x:c r="X3659" t="str"/>
      <x:c r="Y3659" t="str">
        <x:v>Field Visit</x:v>
      </x:c>
    </x:row>
    <x:row r="3660">
      <x:c r="A3660" t="str">
        <x:v>O003659</x:v>
      </x:c>
      <x:c r="B3660" s="20" t="n">
        <x:v>45954</x:v>
      </x:c>
      <x:c r="C3660" t="str">
        <x:v>C0096</x:v>
      </x:c>
      <x:c r="D3660" t="str">
        <x:v>Metro Foods 96</x:v>
      </x:c>
      <x:c r="E3660" t="str">
        <x:v>Kirana</x:v>
      </x:c>
      <x:c r="F3660" t="str">
        <x:v>Davanagere</x:v>
      </x:c>
      <x:c r="G3660" t="str">
        <x:v>Vikram</x:v>
      </x:c>
      <x:c r="H3660" t="str">
        <x:v>P026</x:v>
      </x:c>
      <x:c r="I3660" t="str">
        <x:v>Banana Chips 80g</x:v>
      </x:c>
      <x:c r="J3660" t="str">
        <x:v>Snacks</x:v>
      </x:c>
      <x:c r="K3660" t="str">
        <x:v>SSS</x:v>
      </x:c>
      <x:c r="L3660" s="22" t="n">
        <x:v>54</x:v>
      </x:c>
      <x:c r="M3660" t="n">
        <x:v>11</x:v>
      </x:c>
      <x:c r="N3660" s="24" t="n">
        <x:v>0.05</x:v>
      </x:c>
      <x:c r="O3660" s="22" t="n">
        <x:f>L3660*M3660</x:f>
        <x:v>594</x:v>
      </x:c>
      <x:c r="P3660" s="22" t="n">
        <x:f>O3660*(1-N3660)</x:f>
        <x:v>564.3</x:v>
      </x:c>
      <x:c r="Q3660" s="22" t="n">
        <x:v>39</x:v>
      </x:c>
      <x:c r="R3660" s="22" t="n">
        <x:f>Q3660*M3660</x:f>
        <x:v>429</x:v>
      </x:c>
      <x:c r="S3660" s="22" t="n">
        <x:f>P3660-R3660</x:f>
        <x:v>135.29999999999995</x:v>
      </x:c>
      <x:c r="T3660" t="str">
        <x:v>Cash</x:v>
      </x:c>
      <x:c r="U3660" t="str">
        <x:v>Pending</x:v>
      </x:c>
      <x:c r="V3660" t="str">
        <x:v>Delivered</x:v>
      </x:c>
      <x:c r="W3660" t="n">
        <x:v>0</x:v>
      </x:c>
      <x:c r="X3660" t="str"/>
      <x:c r="Y3660" t="str">
        <x:v>Outbound Call</x:v>
      </x:c>
    </x:row>
    <x:row r="3661">
      <x:c r="A3661" t="str">
        <x:v>O003660</x:v>
      </x:c>
      <x:c r="B3661" s="20" t="n">
        <x:v>45880</x:v>
      </x:c>
      <x:c r="C3661" t="str">
        <x:v>C0182</x:v>
      </x:c>
      <x:c r="D3661" t="str">
        <x:v>Mysore Foods 182</x:v>
      </x:c>
      <x:c r="E3661" t="str">
        <x:v>Restaurant</x:v>
      </x:c>
      <x:c r="F3661" t="str">
        <x:v>Bengaluru</x:v>
      </x:c>
      <x:c r="G3661" t="str">
        <x:v>Vikram</x:v>
      </x:c>
      <x:c r="H3661" t="str">
        <x:v>P003</x:v>
      </x:c>
      <x:c r="I3661" t="str">
        <x:v>Basmati Rice 5kg</x:v>
      </x:c>
      <x:c r="J3661" t="str">
        <x:v>Staples</x:v>
      </x:c>
      <x:c r="K3661" t="str">
        <x:v>India Gate</x:v>
      </x:c>
      <x:c r="L3661" s="22" t="n">
        <x:v>690</x:v>
      </x:c>
      <x:c r="M3661" t="n">
        <x:v>11</x:v>
      </x:c>
      <x:c r="N3661" s="24" t="n">
        <x:v>0.03</x:v>
      </x:c>
      <x:c r="O3661" s="22" t="n">
        <x:f>L3661*M3661</x:f>
        <x:v>7590</x:v>
      </x:c>
      <x:c r="P3661" s="22" t="n">
        <x:f>O3661*(1-N3661)</x:f>
        <x:v>7362.3</x:v>
      </x:c>
      <x:c r="Q3661" s="22" t="n">
        <x:v>610</x:v>
      </x:c>
      <x:c r="R3661" s="22" t="n">
        <x:f>Q3661*M3661</x:f>
        <x:v>6710</x:v>
      </x:c>
      <x:c r="S3661" s="22" t="n">
        <x:f>P3661-R3661</x:f>
        <x:v>652.3000000000002</x:v>
      </x:c>
      <x:c r="T3661" t="str">
        <x:v>UPI</x:v>
      </x:c>
      <x:c r="U3661" t="str">
        <x:v>Paid</x:v>
      </x:c>
      <x:c r="V3661" t="str">
        <x:v>Delivered</x:v>
      </x:c>
      <x:c r="W3661" t="n">
        <x:v>0</x:v>
      </x:c>
      <x:c r="X3661" t="str"/>
      <x:c r="Y3661" t="str">
        <x:v>Existing Customer</x:v>
      </x:c>
    </x:row>
    <x:row r="3662">
      <x:c r="A3662" t="str">
        <x:v>O003661</x:v>
      </x:c>
      <x:c r="B3662" s="20" t="n">
        <x:v>46048</x:v>
      </x:c>
      <x:c r="C3662" t="str">
        <x:v>C0114</x:v>
      </x:c>
      <x:c r="D3662" t="str">
        <x:v>Annapurna Restaurant 114</x:v>
      </x:c>
      <x:c r="E3662" t="str">
        <x:v>Restaurant</x:v>
      </x:c>
      <x:c r="F3662" t="str">
        <x:v>Davanagere</x:v>
      </x:c>
      <x:c r="G3662" t="str">
        <x:v>Arjun</x:v>
      </x:c>
      <x:c r="H3662" t="str">
        <x:v>P020</x:v>
      </x:c>
      <x:c r="I3662" t="str">
        <x:v>Coffee 500g</x:v>
      </x:c>
      <x:c r="J3662" t="str">
        <x:v>Beverage</x:v>
      </x:c>
      <x:c r="K3662" t="str">
        <x:v>Bru</x:v>
      </x:c>
      <x:c r="L3662" s="22" t="n">
        <x:v>390</x:v>
      </x:c>
      <x:c r="M3662" t="n">
        <x:v>14</x:v>
      </x:c>
      <x:c r="N3662" s="24" t="n">
        <x:v>0.05</x:v>
      </x:c>
      <x:c r="O3662" s="22" t="n">
        <x:f>L3662*M3662</x:f>
        <x:v>5460</x:v>
      </x:c>
      <x:c r="P3662" s="22" t="n">
        <x:f>O3662*(1-N3662)</x:f>
        <x:v>5187</x:v>
      </x:c>
      <x:c r="Q3662" s="22" t="n">
        <x:v>350</x:v>
      </x:c>
      <x:c r="R3662" s="22" t="n">
        <x:f>Q3662*M3662</x:f>
        <x:v>4900</x:v>
      </x:c>
      <x:c r="S3662" s="22" t="n">
        <x:f>P3662-R3662</x:f>
        <x:v>287</x:v>
      </x:c>
      <x:c r="T3662" t="str">
        <x:v>Cash</x:v>
      </x:c>
      <x:c r="U3662" t="str">
        <x:v>Paid</x:v>
      </x:c>
      <x:c r="V3662" t="str">
        <x:v>Cancelled</x:v>
      </x:c>
      <x:c r="W3662" t="n">
        <x:v>14</x:v>
      </x:c>
      <x:c r="X3662" t="str">
        <x:v>Cancelled Order</x:v>
      </x:c>
      <x:c r="Y3662" t="str">
        <x:v>Referral</x:v>
      </x:c>
    </x:row>
    <x:row r="3663">
      <x:c r="A3663" t="str">
        <x:v>O003662</x:v>
      </x:c>
      <x:c r="B3663" s="20" t="n">
        <x:v>45740</x:v>
      </x:c>
      <x:c r="C3663" t="str">
        <x:v>C0215</x:v>
      </x:c>
      <x:c r="D3663" t="str">
        <x:v>Annapurna Restaurant 215</x:v>
      </x:c>
      <x:c r="E3663" t="str">
        <x:v>Supermarket</x:v>
      </x:c>
      <x:c r="F3663" t="str">
        <x:v>Bengaluru</x:v>
      </x:c>
      <x:c r="G3663" t="str">
        <x:v>Vikram</x:v>
      </x:c>
      <x:c r="H3663" t="str">
        <x:v>P027</x:v>
      </x:c>
      <x:c r="I3663" t="str">
        <x:v>Biscuits 120g</x:v>
      </x:c>
      <x:c r="J3663" t="str">
        <x:v>Snacks</x:v>
      </x:c>
      <x:c r="K3663" t="str">
        <x:v>Parle-G</x:v>
      </x:c>
      <x:c r="L3663" s="22" t="n">
        <x:v>12</x:v>
      </x:c>
      <x:c r="M3663" t="n">
        <x:v>8</x:v>
      </x:c>
      <x:c r="N3663" s="24" t="n">
        <x:v>0.03</x:v>
      </x:c>
      <x:c r="O3663" s="22" t="n">
        <x:f>L3663*M3663</x:f>
        <x:v>96</x:v>
      </x:c>
      <x:c r="P3663" s="22" t="n">
        <x:f>O3663*(1-N3663)</x:f>
        <x:v>93.12</x:v>
      </x:c>
      <x:c r="Q3663" s="22" t="n">
        <x:v>9</x:v>
      </x:c>
      <x:c r="R3663" s="22" t="n">
        <x:f>Q3663*M3663</x:f>
        <x:v>72</x:v>
      </x:c>
      <x:c r="S3663" s="22" t="n">
        <x:f>P3663-R3663</x:f>
        <x:v>21.120000000000005</x:v>
      </x:c>
      <x:c r="T3663" t="str">
        <x:v>Bank Transfer</x:v>
      </x:c>
      <x:c r="U3663" t="str">
        <x:v>Paid</x:v>
      </x:c>
      <x:c r="V3663" t="str">
        <x:v>Delivered</x:v>
      </x:c>
      <x:c r="W3663" t="n">
        <x:v>0</x:v>
      </x:c>
      <x:c r="X3663" t="str"/>
      <x:c r="Y3663" t="str"/>
    </x:row>
    <x:row r="3664">
      <x:c r="A3664" t="str">
        <x:v>O003663</x:v>
      </x:c>
      <x:c r="B3664" s="20" t="n">
        <x:v>46254</x:v>
      </x:c>
      <x:c r="C3664" t="str">
        <x:v>C0216</x:v>
      </x:c>
      <x:c r="D3664" t="str">
        <x:v>Cafe Restaurant 216</x:v>
      </x:c>
      <x:c r="E3664" t="str">
        <x:v>Canteen</x:v>
      </x:c>
      <x:c r="F3664" t="str">
        <x:v>Bengaluru</x:v>
      </x:c>
      <x:c r="G3664" t="str">
        <x:v>Vikram</x:v>
      </x:c>
      <x:c r="H3664" t="str">
        <x:v>P028</x:v>
      </x:c>
      <x:c r="I3664" t="str">
        <x:v>Cookies 200g</x:v>
      </x:c>
      <x:c r="J3664" t="str">
        <x:v>Snacks</x:v>
      </x:c>
      <x:c r="K3664" t="str">
        <x:v>Britannia</x:v>
      </x:c>
      <x:c r="L3664" s="22" t="n">
        <x:v>55</x:v>
      </x:c>
      <x:c r="M3664" t="n">
        <x:v>22</x:v>
      </x:c>
      <x:c r="N3664" s="24" t="n">
        <x:v>0.03</x:v>
      </x:c>
      <x:c r="O3664" s="22" t="n">
        <x:f>L3664*M3664</x:f>
        <x:v>1210</x:v>
      </x:c>
      <x:c r="P3664" s="22" t="n">
        <x:f>O3664*(1-N3664)</x:f>
        <x:v>1173.7</x:v>
      </x:c>
      <x:c r="Q3664" s="22" t="n">
        <x:v>42</x:v>
      </x:c>
      <x:c r="R3664" s="22" t="n">
        <x:f>Q3664*M3664</x:f>
        <x:v>924</x:v>
      </x:c>
      <x:c r="S3664" s="22" t="n">
        <x:f>P3664-R3664</x:f>
        <x:v>249.70000000000005</x:v>
      </x:c>
      <x:c r="T3664" t="str">
        <x:v>Credit</x:v>
      </x:c>
      <x:c r="U3664" t="str">
        <x:v>Overdue</x:v>
      </x:c>
      <x:c r="V3664" t="str">
        <x:v>Cancelled</x:v>
      </x:c>
      <x:c r="W3664" t="n">
        <x:v>22</x:v>
      </x:c>
      <x:c r="X3664" t="str">
        <x:v>Cancelled Order</x:v>
      </x:c>
      <x:c r="Y3664" t="str">
        <x:v>Outbound Call</x:v>
      </x:c>
    </x:row>
    <x:row r="3665">
      <x:c r="A3665" t="str">
        <x:v>O003664</x:v>
      </x:c>
      <x:c r="B3665" s="20" t="n">
        <x:v>45723</x:v>
      </x:c>
      <x:c r="C3665" t="str">
        <x:v>C0052</x:v>
      </x:c>
      <x:c r="D3665" t="str">
        <x:v>Sagar Canteen 52</x:v>
      </x:c>
      <x:c r="E3665" t="str">
        <x:v>Kirana</x:v>
      </x:c>
      <x:c r="F3665" t="str">
        <x:v>Mysuru</x:v>
      </x:c>
      <x:c r="G3665" t="str">
        <x:v>Kavya</x:v>
      </x:c>
      <x:c r="H3665" t="str">
        <x:v>P042</x:v>
      </x:c>
      <x:c r="I3665" t="str">
        <x:v>Eggs 30pc Tray</x:v>
      </x:c>
      <x:c r="J3665" t="str">
        <x:v>Protein</x:v>
      </x:c>
      <x:c r="K3665" t="str">
        <x:v>Farm Fresh</x:v>
      </x:c>
      <x:c r="L3665" s="22" t="n">
        <x:v>195</x:v>
      </x:c>
      <x:c r="M3665" t="n">
        <x:v>7</x:v>
      </x:c>
      <x:c r="N3665" s="24" t="n">
        <x:v>0</x:v>
      </x:c>
      <x:c r="O3665" s="22" t="n">
        <x:f>L3665*M3665</x:f>
        <x:v>1365</x:v>
      </x:c>
      <x:c r="P3665" s="22" t="n">
        <x:f>O3665*(1-N3665)</x:f>
        <x:v>1365</x:v>
      </x:c>
      <x:c r="Q3665" s="22" t="n">
        <x:v>170</x:v>
      </x:c>
      <x:c r="R3665" s="22" t="n">
        <x:f>Q3665*M3665</x:f>
        <x:v>1190</x:v>
      </x:c>
      <x:c r="S3665" s="22" t="n">
        <x:f>P3665-R3665</x:f>
        <x:v>175</x:v>
      </x:c>
      <x:c r="T3665" t="str">
        <x:v>Bank Transfer</x:v>
      </x:c>
      <x:c r="U3665" t="str">
        <x:v>Paid</x:v>
      </x:c>
      <x:c r="V3665" t="str">
        <x:v>Delivered</x:v>
      </x:c>
      <x:c r="W3665" t="n">
        <x:v>0</x:v>
      </x:c>
      <x:c r="X3665" t="str"/>
      <x:c r="Y3665" t="str">
        <x:v>Existing Customer</x:v>
      </x:c>
    </x:row>
    <x:row r="3666">
      <x:c r="A3666" t="str">
        <x:v>O003665</x:v>
      </x:c>
      <x:c r="B3666" s="20" t="n">
        <x:v>46058</x:v>
      </x:c>
      <x:c r="C3666" t="str">
        <x:v>C0241</x:v>
      </x:c>
      <x:c r="D3666" t="str">
        <x:v>Annapurna Restaurant 241</x:v>
      </x:c>
      <x:c r="E3666" t="str">
        <x:v>Hotel</x:v>
      </x:c>
      <x:c r="F3666" t="str">
        <x:v>Tumakuru</x:v>
      </x:c>
      <x:c r="G3666" t="str">
        <x:v>Imran</x:v>
      </x:c>
      <x:c r="H3666" t="str">
        <x:v>P014</x:v>
      </x:c>
      <x:c r="I3666" t="str">
        <x:v>Rava 5kg</x:v>
      </x:c>
      <x:c r="J3666" t="str">
        <x:v>Flour</x:v>
      </x:c>
      <x:c r="K3666" t="str">
        <x:v>Local Select</x:v>
      </x:c>
      <x:c r="L3666" s="22" t="n">
        <x:v>245</x:v>
      </x:c>
      <x:c r="M3666" t="n">
        <x:v>28</x:v>
      </x:c>
      <x:c r="N3666" s="24" t="n">
        <x:v>0.02</x:v>
      </x:c>
      <x:c r="O3666" s="22" t="n">
        <x:f>L3666*M3666</x:f>
        <x:v>6860</x:v>
      </x:c>
      <x:c r="P3666" s="22" t="n">
        <x:f>O3666*(1-N3666)</x:f>
        <x:v>6722.8</x:v>
      </x:c>
      <x:c r="Q3666" s="22" t="n">
        <x:v>215</x:v>
      </x:c>
      <x:c r="R3666" s="22" t="n">
        <x:f>Q3666*M3666</x:f>
        <x:v>6020</x:v>
      </x:c>
      <x:c r="S3666" s="22" t="n">
        <x:f>P3666-R3666</x:f>
        <x:v>702.8000000000002</x:v>
      </x:c>
      <x:c r="T3666" t="str">
        <x:v>Bank Transfer</x:v>
      </x:c>
      <x:c r="U3666" t="str">
        <x:v>Paid</x:v>
      </x:c>
      <x:c r="V3666" t="str">
        <x:v>Cancelled</x:v>
      </x:c>
      <x:c r="W3666" t="n">
        <x:v>28</x:v>
      </x:c>
      <x:c r="X3666" t="str">
        <x:v>Cancelled Order</x:v>
      </x:c>
      <x:c r="Y3666" t="str">
        <x:v>Existing Customer</x:v>
      </x:c>
    </x:row>
    <x:row r="3667">
      <x:c r="A3667" t="str">
        <x:v>O003666</x:v>
      </x:c>
      <x:c r="B3667" s="20" t="n">
        <x:v>45733</x:v>
      </x:c>
      <x:c r="C3667" t="str">
        <x:v>C0045</x:v>
      </x:c>
      <x:c r="D3667" t="str">
        <x:v>Annapurna Restaurant 45</x:v>
      </x:c>
      <x:c r="E3667" t="str">
        <x:v>Kirana</x:v>
      </x:c>
      <x:c r="F3667" t="str">
        <x:v>Mysuru</x:v>
      </x:c>
      <x:c r="G3667" t="str">
        <x:v>Arjun</x:v>
      </x:c>
      <x:c r="H3667" t="str">
        <x:v>P033</x:v>
      </x:c>
      <x:c r="I3667" t="str">
        <x:v>Turmeric Powder 1kg</x:v>
      </x:c>
      <x:c r="J3667" t="str">
        <x:v>Spices</x:v>
      </x:c>
      <x:c r="K3667" t="str">
        <x:v>Everest</x:v>
      </x:c>
      <x:c r="L3667" s="22" t="n">
        <x:v>310</x:v>
      </x:c>
      <x:c r="M3667" t="n">
        <x:v>16</x:v>
      </x:c>
      <x:c r="N3667" s="24" t="n">
        <x:v>0</x:v>
      </x:c>
      <x:c r="O3667" s="22" t="n">
        <x:f>L3667*M3667</x:f>
        <x:v>4960</x:v>
      </x:c>
      <x:c r="P3667" s="22" t="n">
        <x:f>O3667*(1-N3667)</x:f>
        <x:v>4960</x:v>
      </x:c>
      <x:c r="Q3667" s="22" t="n">
        <x:v>270</x:v>
      </x:c>
      <x:c r="R3667" s="22" t="n">
        <x:f>Q3667*M3667</x:f>
        <x:v>4320</x:v>
      </x:c>
      <x:c r="S3667" s="22" t="n">
        <x:f>P3667-R3667</x:f>
        <x:v>640</x:v>
      </x:c>
      <x:c r="T3667" t="str">
        <x:v>Cash</x:v>
      </x:c>
      <x:c r="U3667" t="str">
        <x:v>Paid</x:v>
      </x:c>
      <x:c r="V3667" t="str">
        <x:v>Delivered</x:v>
      </x:c>
      <x:c r="W3667" t="n">
        <x:v>0</x:v>
      </x:c>
      <x:c r="X3667" t="str"/>
      <x:c r="Y3667" t="str">
        <x:v>Referral</x:v>
      </x:c>
    </x:row>
    <x:row r="3668">
      <x:c r="A3668" t="str">
        <x:v>O003667</x:v>
      </x:c>
      <x:c r="B3668" s="20" t="n">
        <x:v>46283</x:v>
      </x:c>
      <x:c r="C3668" t="str">
        <x:v>C0176</x:v>
      </x:c>
      <x:c r="D3668" t="str">
        <x:v>Cafe Kitchen 176</x:v>
      </x:c>
      <x:c r="E3668" t="str">
        <x:v>Kirana</x:v>
      </x:c>
      <x:c r="F3668" t="str">
        <x:v>Mysuru</x:v>
      </x:c>
      <x:c r="G3668" t="str">
        <x:v>Priya</x:v>
      </x:c>
      <x:c r="H3668" t="str">
        <x:v>P032</x:v>
      </x:c>
      <x:c r="I3668" t="str">
        <x:v>Soy Sauce 700g</x:v>
      </x:c>
      <x:c r="J3668" t="str">
        <x:v>Condiments</x:v>
      </x:c>
      <x:c r="K3668" t="str">
        <x:v>Ching's</x:v>
      </x:c>
      <x:c r="L3668" s="22" t="n">
        <x:v>118</x:v>
      </x:c>
      <x:c r="M3668" t="n">
        <x:v>4</x:v>
      </x:c>
      <x:c r="N3668" s="24" t="n">
        <x:v>0.05</x:v>
      </x:c>
      <x:c r="O3668" s="22" t="n">
        <x:f>L3668*M3668</x:f>
        <x:v>472</x:v>
      </x:c>
      <x:c r="P3668" s="22" t="n">
        <x:f>O3668*(1-N3668)</x:f>
        <x:v>448.4</x:v>
      </x:c>
      <x:c r="Q3668" s="22" t="n">
        <x:v>101</x:v>
      </x:c>
      <x:c r="R3668" s="22" t="n">
        <x:f>Q3668*M3668</x:f>
        <x:v>404</x:v>
      </x:c>
      <x:c r="S3668" s="22" t="n">
        <x:f>P3668-R3668</x:f>
        <x:v>44.39999999999998</x:v>
      </x:c>
      <x:c r="T3668" t="str">
        <x:v>Cash</x:v>
      </x:c>
      <x:c r="U3668" t="str">
        <x:v>Overdue</x:v>
      </x:c>
      <x:c r="V3668" t="str">
        <x:v>Delivered</x:v>
      </x:c>
      <x:c r="W3668" t="n">
        <x:v>0</x:v>
      </x:c>
      <x:c r="X3668" t="str"/>
      <x:c r="Y3668" t="str">
        <x:v>WhatsApp</x:v>
      </x:c>
    </x:row>
    <x:row r="3669">
      <x:c r="A3669" t="str">
        <x:v>O003668</x:v>
      </x:c>
      <x:c r="B3669" s="20" t="n">
        <x:v>45860</x:v>
      </x:c>
      <x:c r="C3669" t="str">
        <x:v>C0089</x:v>
      </x:c>
      <x:c r="D3669" t="str">
        <x:v>Green Canteen 89</x:v>
      </x:c>
      <x:c r="E3669" t="str">
        <x:v>Supermarket</x:v>
      </x:c>
      <x:c r="F3669" t="str">
        <x:v>Mangaluru</x:v>
      </x:c>
      <x:c r="G3669" t="str">
        <x:v>Megha</x:v>
      </x:c>
      <x:c r="H3669" t="str">
        <x:v>P041</x:v>
      </x:c>
      <x:c r="I3669" t="str">
        <x:v>Burger Bun 6pc</x:v>
      </x:c>
      <x:c r="J3669" t="str">
        <x:v>Bakery</x:v>
      </x:c>
      <x:c r="K3669" t="str">
        <x:v>Modern</x:v>
      </x:c>
      <x:c r="L3669" s="22" t="n">
        <x:v>42</x:v>
      </x:c>
      <x:c r="M3669" t="n">
        <x:v>7</x:v>
      </x:c>
      <x:c r="N3669" s="24" t="n">
        <x:v>0.05</x:v>
      </x:c>
      <x:c r="O3669" s="22" t="n">
        <x:f>L3669*M3669</x:f>
        <x:v>294</x:v>
      </x:c>
      <x:c r="P3669" s="22" t="n">
        <x:f>O3669*(1-N3669)</x:f>
        <x:v>279.3</x:v>
      </x:c>
      <x:c r="Q3669" s="22" t="n">
        <x:v>32</x:v>
      </x:c>
      <x:c r="R3669" s="22" t="n">
        <x:f>Q3669*M3669</x:f>
        <x:v>224</x:v>
      </x:c>
      <x:c r="S3669" s="22" t="n">
        <x:f>P3669-R3669</x:f>
        <x:v>55.30000000000001</x:v>
      </x:c>
      <x:c r="T3669" t="str">
        <x:v>Bank Transfer</x:v>
      </x:c>
      <x:c r="U3669" t="str">
        <x:v>Paid</x:v>
      </x:c>
      <x:c r="V3669" t="str">
        <x:v>Cancelled</x:v>
      </x:c>
      <x:c r="W3669" t="n">
        <x:v>7</x:v>
      </x:c>
      <x:c r="X3669" t="str">
        <x:v>Cancelled Order</x:v>
      </x:c>
      <x:c r="Y3669" t="str">
        <x:v>Field Visit</x:v>
      </x:c>
    </x:row>
    <x:row r="3670">
      <x:c r="A3670" t="str">
        <x:v>O003669</x:v>
      </x:c>
      <x:c r="B3670" s="20" t="n">
        <x:v>45995</x:v>
      </x:c>
      <x:c r="C3670" t="str">
        <x:v>C0177</x:v>
      </x:c>
      <x:c r="D3670" t="str">
        <x:v>Classic Cafe 177</x:v>
      </x:c>
      <x:c r="E3670" t="str">
        <x:v>Supermarket</x:v>
      </x:c>
      <x:c r="F3670" t="str">
        <x:v>Bengaluru</x:v>
      </x:c>
      <x:c r="G3670" t="str">
        <x:v>Arjun</x:v>
      </x:c>
      <x:c r="H3670" t="str">
        <x:v>P029</x:v>
      </x:c>
      <x:c r="I3670" t="str">
        <x:v>Tomato Ketchup 1kg</x:v>
      </x:c>
      <x:c r="J3670" t="str">
        <x:v>Condiments</x:v>
      </x:c>
      <x:c r="K3670" t="str">
        <x:v>Kissan</x:v>
      </x:c>
      <x:c r="L3670" s="22" t="n">
        <x:v>145</x:v>
      </x:c>
      <x:c r="M3670" t="n">
        <x:v>27</x:v>
      </x:c>
      <x:c r="N3670" s="24" t="n">
        <x:v>0.03</x:v>
      </x:c>
      <x:c r="O3670" s="22" t="n">
        <x:f>L3670*M3670</x:f>
        <x:v>3915</x:v>
      </x:c>
      <x:c r="P3670" s="22" t="n">
        <x:f>O3670*(1-N3670)</x:f>
        <x:v>3797.5499999999997</x:v>
      </x:c>
      <x:c r="Q3670" s="22" t="n">
        <x:v>126</x:v>
      </x:c>
      <x:c r="R3670" s="22" t="n">
        <x:f>Q3670*M3670</x:f>
        <x:v>3402</x:v>
      </x:c>
      <x:c r="S3670" s="22" t="n">
        <x:f>P3670-R3670</x:f>
        <x:v>395.5499999999997</x:v>
      </x:c>
      <x:c r="T3670" t="str">
        <x:v>UPI</x:v>
      </x:c>
      <x:c r="U3670" t="str">
        <x:v>Paid</x:v>
      </x:c>
      <x:c r="V3670" t="str">
        <x:v>Delivered</x:v>
      </x:c>
      <x:c r="W3670" t="n">
        <x:v>2</x:v>
      </x:c>
      <x:c r="X3670" t="str">
        <x:v>Damaged</x:v>
      </x:c>
      <x:c r="Y3670" t="str">
        <x:v>Field Visit</x:v>
      </x:c>
    </x:row>
    <x:row r="3671">
      <x:c r="A3671" t="str">
        <x:v>O003670</x:v>
      </x:c>
      <x:c r="B3671" s="20" t="n">
        <x:v>45721</x:v>
      </x:c>
      <x:c r="C3671" t="str">
        <x:v>C0117</x:v>
      </x:c>
      <x:c r="D3671" t="str">
        <x:v>Classic Canteen 117</x:v>
      </x:c>
      <x:c r="E3671" t="str">
        <x:v>Restaurant</x:v>
      </x:c>
      <x:c r="F3671" t="str">
        <x:v>Hubballi</x:v>
      </x:c>
      <x:c r="G3671" t="str">
        <x:v>Megha</x:v>
      </x:c>
      <x:c r="H3671" t="str">
        <x:v>P036</x:v>
      </x:c>
      <x:c r="I3671" t="str">
        <x:v>Garam Masala 500g</x:v>
      </x:c>
      <x:c r="J3671" t="str">
        <x:v>Spices</x:v>
      </x:c>
      <x:c r="K3671" t="str">
        <x:v>MDH</x:v>
      </x:c>
      <x:c r="L3671" s="22" t="n">
        <x:v>265</x:v>
      </x:c>
      <x:c r="M3671" t="n">
        <x:v>30</x:v>
      </x:c>
      <x:c r="N3671" s="24" t="n">
        <x:v>0.05</x:v>
      </x:c>
      <x:c r="O3671" s="22" t="n">
        <x:f>L3671*M3671</x:f>
        <x:v>7950</x:v>
      </x:c>
      <x:c r="P3671" s="22" t="n">
        <x:f>O3671*(1-N3671)</x:f>
        <x:v>7552.5</x:v>
      </x:c>
      <x:c r="Q3671" s="22" t="n">
        <x:v>230</x:v>
      </x:c>
      <x:c r="R3671" s="22" t="n">
        <x:f>Q3671*M3671</x:f>
        <x:v>6900</x:v>
      </x:c>
      <x:c r="S3671" s="22" t="n">
        <x:f>P3671-R3671</x:f>
        <x:v>652.5</x:v>
      </x:c>
      <x:c r="T3671" t="str">
        <x:v>Bank Transfer</x:v>
      </x:c>
      <x:c r="U3671" t="str">
        <x:v>Paid</x:v>
      </x:c>
      <x:c r="V3671" t="str">
        <x:v>Delivered</x:v>
      </x:c>
      <x:c r="W3671" t="n">
        <x:v>0</x:v>
      </x:c>
      <x:c r="X3671" t="str"/>
      <x:c r="Y3671" t="str">
        <x:v>Field Visit</x:v>
      </x:c>
    </x:row>
    <x:row r="3672">
      <x:c r="A3672" t="str">
        <x:v>O003671</x:v>
      </x:c>
      <x:c r="B3672" s="20" t="n">
        <x:v>46212</x:v>
      </x:c>
      <x:c r="C3672" t="str">
        <x:v>C0160</x:v>
      </x:c>
      <x:c r="D3672" t="str">
        <x:v>Hotel Foods 160</x:v>
      </x:c>
      <x:c r="E3672" t="str">
        <x:v>Hotel</x:v>
      </x:c>
      <x:c r="F3672" t="str">
        <x:v>Mangaluru</x:v>
      </x:c>
      <x:c r="G3672" t="str">
        <x:v>Sneha</x:v>
      </x:c>
      <x:c r="H3672" t="str">
        <x:v>P019</x:v>
      </x:c>
      <x:c r="I3672" t="str">
        <x:v>Tea 1kg</x:v>
      </x:c>
      <x:c r="J3672" t="str">
        <x:v>Beverage</x:v>
      </x:c>
      <x:c r="K3672" t="str">
        <x:v>Red Label</x:v>
      </x:c>
      <x:c r="L3672" s="22" t="n">
        <x:v>540</x:v>
      </x:c>
      <x:c r="M3672" t="n">
        <x:v>39</x:v>
      </x:c>
      <x:c r="N3672" s="24" t="n">
        <x:v>0</x:v>
      </x:c>
      <x:c r="O3672" s="22" t="n">
        <x:f>L3672*M3672</x:f>
        <x:v>21060</x:v>
      </x:c>
      <x:c r="P3672" s="22" t="n">
        <x:f>O3672*(1-N3672)</x:f>
        <x:v>21060</x:v>
      </x:c>
      <x:c r="Q3672" s="22" t="n">
        <x:v>485</x:v>
      </x:c>
      <x:c r="R3672" s="22" t="n">
        <x:f>Q3672*M3672</x:f>
        <x:v>18915</x:v>
      </x:c>
      <x:c r="S3672" s="22" t="n">
        <x:f>P3672-R3672</x:f>
        <x:v>2145</x:v>
      </x:c>
      <x:c r="T3672" t="str">
        <x:v>Cash</x:v>
      </x:c>
      <x:c r="U3672" t="str">
        <x:v>Paid</x:v>
      </x:c>
      <x:c r="V3672" t="str">
        <x:v>Cancelled</x:v>
      </x:c>
      <x:c r="W3672" t="n">
        <x:v>39</x:v>
      </x:c>
      <x:c r="X3672" t="str">
        <x:v>Cancelled Order</x:v>
      </x:c>
      <x:c r="Y3672" t="str">
        <x:v>Existing Customer</x:v>
      </x:c>
    </x:row>
    <x:row r="3673">
      <x:c r="A3673" t="str">
        <x:v>O003672</x:v>
      </x:c>
      <x:c r="B3673" s="20" t="n">
        <x:v>46172</x:v>
      </x:c>
      <x:c r="C3673" t="str">
        <x:v>C0061</x:v>
      </x:c>
      <x:c r="D3673" t="str">
        <x:v>Spice Stores 61</x:v>
      </x:c>
      <x:c r="E3673" t="str">
        <x:v>Restaurant</x:v>
      </x:c>
      <x:c r="F3673" t="str">
        <x:v>Tumakuru</x:v>
      </x:c>
      <x:c r="G3673" t="str">
        <x:v>Ramesh</x:v>
      </x:c>
      <x:c r="H3673" t="str">
        <x:v>P033</x:v>
      </x:c>
      <x:c r="I3673" t="str">
        <x:v>Turmeric Powder 1kg</x:v>
      </x:c>
      <x:c r="J3673" t="str">
        <x:v>Spices</x:v>
      </x:c>
      <x:c r="K3673" t="str">
        <x:v>Everest</x:v>
      </x:c>
      <x:c r="L3673" s="22" t="n">
        <x:v>310</x:v>
      </x:c>
      <x:c r="M3673" t="n">
        <x:v>11</x:v>
      </x:c>
      <x:c r="N3673" s="24" t="n">
        <x:v>0.08</x:v>
      </x:c>
      <x:c r="O3673" s="22" t="n">
        <x:f>L3673*M3673</x:f>
        <x:v>3410</x:v>
      </x:c>
      <x:c r="P3673" s="22" t="n">
        <x:f>O3673*(1-N3673)</x:f>
        <x:v>3137.2000000000003</x:v>
      </x:c>
      <x:c r="Q3673" s="22" t="n">
        <x:v>270</x:v>
      </x:c>
      <x:c r="R3673" s="22" t="n">
        <x:f>Q3673*M3673</x:f>
        <x:v>2970</x:v>
      </x:c>
      <x:c r="S3673" s="22" t="n">
        <x:f>P3673-R3673</x:f>
        <x:v>167.20000000000027</x:v>
      </x:c>
      <x:c r="T3673" t="str">
        <x:v>UPI</x:v>
      </x:c>
      <x:c r="U3673" t="str">
        <x:v>Paid</x:v>
      </x:c>
      <x:c r="V3673" t="str">
        <x:v>Delivered</x:v>
      </x:c>
      <x:c r="W3673" t="n">
        <x:v>0</x:v>
      </x:c>
      <x:c r="X3673" t="str"/>
      <x:c r="Y3673" t="str">
        <x:v>WhatsApp</x:v>
      </x:c>
    </x:row>
    <x:row r="3674">
      <x:c r="A3674" t="str">
        <x:v>O003673</x:v>
      </x:c>
      <x:c r="B3674" s="20" t="n">
        <x:v>45749</x:v>
      </x:c>
      <x:c r="C3674" t="str">
        <x:v>C0069</x:v>
      </x:c>
      <x:c r="D3674" t="str">
        <x:v>Cafe Hotel 69</x:v>
      </x:c>
      <x:c r="E3674" t="str">
        <x:v>Supermarket</x:v>
      </x:c>
      <x:c r="F3674" t="str">
        <x:v>Bengaluru</x:v>
      </x:c>
      <x:c r="G3674" t="str">
        <x:v>Sneha</x:v>
      </x:c>
      <x:c r="H3674" t="str">
        <x:v>P037</x:v>
      </x:c>
      <x:c r="I3674" t="str">
        <x:v>Frozen Peas 1kg</x:v>
      </x:c>
      <x:c r="J3674" t="str">
        <x:v>Frozen</x:v>
      </x:c>
      <x:c r="K3674" t="str">
        <x:v>Safal</x:v>
      </x:c>
      <x:c r="L3674" s="22" t="n">
        <x:v>155</x:v>
      </x:c>
      <x:c r="M3674" t="n">
        <x:v>16</x:v>
      </x:c>
      <x:c r="N3674" s="24" t="n">
        <x:v>0.02</x:v>
      </x:c>
      <x:c r="O3674" s="22" t="n">
        <x:f>L3674*M3674</x:f>
        <x:v>2480</x:v>
      </x:c>
      <x:c r="P3674" s="22" t="n">
        <x:f>O3674*(1-N3674)</x:f>
        <x:v>2430.4</x:v>
      </x:c>
      <x:c r="Q3674" s="22" t="n">
        <x:v>138</x:v>
      </x:c>
      <x:c r="R3674" s="22" t="n">
        <x:f>Q3674*M3674</x:f>
        <x:v>2208</x:v>
      </x:c>
      <x:c r="S3674" s="22" t="n">
        <x:f>P3674-R3674</x:f>
        <x:v>222.4000000000001</x:v>
      </x:c>
      <x:c r="T3674" t="str">
        <x:v>UPI</x:v>
      </x:c>
      <x:c r="U3674" t="str">
        <x:v>Paid</x:v>
      </x:c>
      <x:c r="V3674" t="str">
        <x:v>Delivered</x:v>
      </x:c>
      <x:c r="W3674" t="n">
        <x:v>0</x:v>
      </x:c>
      <x:c r="X3674" t="str"/>
      <x:c r="Y3674" t="str">
        <x:v>Field Visit</x:v>
      </x:c>
    </x:row>
    <x:row r="3675">
      <x:c r="A3675" t="str">
        <x:v>O003674</x:v>
      </x:c>
      <x:c r="B3675" s="20" t="n">
        <x:v>45795</x:v>
      </x:c>
      <x:c r="C3675" t="str">
        <x:v>C0231</x:v>
      </x:c>
      <x:c r="D3675" t="str">
        <x:v>Metro Canteen 231</x:v>
      </x:c>
      <x:c r="E3675" t="str">
        <x:v>Canteen</x:v>
      </x:c>
      <x:c r="F3675" t="str">
        <x:v>Mangaluru</x:v>
      </x:c>
      <x:c r="G3675" t="str">
        <x:v>Megha</x:v>
      </x:c>
      <x:c r="H3675" t="str">
        <x:v>P011</x:v>
      </x:c>
      <x:c r="I3675" t="str">
        <x:v>Salt 1kg</x:v>
      </x:c>
      <x:c r="J3675" t="str">
        <x:v>Staples</x:v>
      </x:c>
      <x:c r="K3675" t="str">
        <x:v>Tata</x:v>
      </x:c>
      <x:c r="L3675" s="22" t="n">
        <x:v>28</x:v>
      </x:c>
      <x:c r="M3675" t="n">
        <x:v>25</x:v>
      </x:c>
      <x:c r="N3675" s="24" t="n">
        <x:v>0</x:v>
      </x:c>
      <x:c r="O3675" s="22" t="n">
        <x:f>L3675*M3675</x:f>
        <x:v>700</x:v>
      </x:c>
      <x:c r="P3675" s="22" t="n">
        <x:f>O3675*(1-N3675)</x:f>
        <x:v>700</x:v>
      </x:c>
      <x:c r="Q3675" s="22" t="n">
        <x:v>23</x:v>
      </x:c>
      <x:c r="R3675" s="22" t="n">
        <x:f>Q3675*M3675</x:f>
        <x:v>575</x:v>
      </x:c>
      <x:c r="S3675" s="22" t="n">
        <x:f>P3675-R3675</x:f>
        <x:v>125</x:v>
      </x:c>
      <x:c r="T3675" t="str">
        <x:v>Cash</x:v>
      </x:c>
      <x:c r="U3675" t="str">
        <x:v>Paid</x:v>
      </x:c>
      <x:c r="V3675" t="str">
        <x:v>Cancelled</x:v>
      </x:c>
      <x:c r="W3675" t="n">
        <x:v>25</x:v>
      </x:c>
      <x:c r="X3675" t="str">
        <x:v>Cancelled Order</x:v>
      </x:c>
      <x:c r="Y3675" t="str">
        <x:v>Existing Customer</x:v>
      </x:c>
    </x:row>
    <x:row r="3676">
      <x:c r="A3676" t="str">
        <x:v>O003675</x:v>
      </x:c>
      <x:c r="B3676" s="20" t="n">
        <x:v>46234</x:v>
      </x:c>
      <x:c r="C3676" t="str">
        <x:v>C0007</x:v>
      </x:c>
      <x:c r="D3676" t="str">
        <x:v>Mysore Stores 7</x:v>
      </x:c>
      <x:c r="E3676" t="str">
        <x:v>Kirana</x:v>
      </x:c>
      <x:c r="F3676" t="str">
        <x:v>Bengaluru</x:v>
      </x:c>
      <x:c r="G3676" t="str">
        <x:v>Kavya</x:v>
      </x:c>
      <x:c r="H3676" t="str">
        <x:v>P009</x:v>
      </x:c>
      <x:c r="I3676" t="str">
        <x:v>Groundnut Oil 5L</x:v>
      </x:c>
      <x:c r="J3676" t="str">
        <x:v>Edible Oil</x:v>
      </x:c>
      <x:c r="K3676" t="str">
        <x:v>Dhara</x:v>
      </x:c>
      <x:c r="L3676" s="22" t="n">
        <x:v>890</x:v>
      </x:c>
      <x:c r="M3676" t="n">
        <x:v>20</x:v>
      </x:c>
      <x:c r="N3676" s="24" t="n">
        <x:v>0.03</x:v>
      </x:c>
      <x:c r="O3676" s="22" t="n">
        <x:f>L3676*M3676</x:f>
        <x:v>17800</x:v>
      </x:c>
      <x:c r="P3676" s="22" t="n">
        <x:f>O3676*(1-N3676)</x:f>
        <x:v>17266</x:v>
      </x:c>
      <x:c r="Q3676" s="22" t="n">
        <x:v>810</x:v>
      </x:c>
      <x:c r="R3676" s="22" t="n">
        <x:f>Q3676*M3676</x:f>
        <x:v>16200</x:v>
      </x:c>
      <x:c r="S3676" s="22" t="n">
        <x:f>P3676-R3676</x:f>
        <x:v>1066</x:v>
      </x:c>
      <x:c r="T3676" t="str">
        <x:v>Cash</x:v>
      </x:c>
      <x:c r="U3676" t="str">
        <x:v>Paid</x:v>
      </x:c>
      <x:c r="V3676" t="str">
        <x:v>Delivered</x:v>
      </x:c>
      <x:c r="W3676" t="n">
        <x:v>0</x:v>
      </x:c>
      <x:c r="X3676" t="str"/>
      <x:c r="Y3676" t="str">
        <x:v>Field Visit</x:v>
      </x:c>
    </x:row>
    <x:row r="3677">
      <x:c r="A3677" t="str">
        <x:v>O003676</x:v>
      </x:c>
      <x:c r="B3677" s="20" t="n">
        <x:v>46149</x:v>
      </x:c>
      <x:c r="C3677" t="str">
        <x:v>C0082</x:v>
      </x:c>
      <x:c r="D3677" t="str">
        <x:v>City Foods 82</x:v>
      </x:c>
      <x:c r="E3677" t="str">
        <x:v>Hotel</x:v>
      </x:c>
      <x:c r="F3677" t="str">
        <x:v>Mangaluru</x:v>
      </x:c>
      <x:c r="G3677" t="str">
        <x:v>Kavya</x:v>
      </x:c>
      <x:c r="H3677" t="str">
        <x:v>P030</x:v>
      </x:c>
      <x:c r="I3677" t="str">
        <x:v>Mayonnaise 1kg</x:v>
      </x:c>
      <x:c r="J3677" t="str">
        <x:v>Condiments</x:v>
      </x:c>
      <x:c r="K3677" t="str">
        <x:v>Veeba</x:v>
      </x:c>
      <x:c r="L3677" s="22" t="n">
        <x:v>210</x:v>
      </x:c>
      <x:c r="M3677" t="n">
        <x:v>27</x:v>
      </x:c>
      <x:c r="N3677" s="24" t="n">
        <x:v>0.08</x:v>
      </x:c>
      <x:c r="O3677" s="22" t="n">
        <x:f>L3677*M3677</x:f>
        <x:v>5670</x:v>
      </x:c>
      <x:c r="P3677" s="22" t="n">
        <x:f>O3677*(1-N3677)</x:f>
        <x:v>5216.400000000001</x:v>
      </x:c>
      <x:c r="Q3677" s="22" t="n">
        <x:v>185</x:v>
      </x:c>
      <x:c r="R3677" s="22" t="n">
        <x:f>Q3677*M3677</x:f>
        <x:v>4995</x:v>
      </x:c>
      <x:c r="S3677" s="22" t="n">
        <x:f>P3677-R3677</x:f>
        <x:v>221.40000000000055</x:v>
      </x:c>
      <x:c r="T3677" t="str">
        <x:v>UPI</x:v>
      </x:c>
      <x:c r="U3677" t="str">
        <x:v>Pending</x:v>
      </x:c>
      <x:c r="V3677" t="str">
        <x:v>Delivered</x:v>
      </x:c>
      <x:c r="W3677" t="n">
        <x:v>0</x:v>
      </x:c>
      <x:c r="X3677" t="str"/>
      <x:c r="Y3677" t="str">
        <x:v>Existing Customer</x:v>
      </x:c>
    </x:row>
    <x:row r="3678">
      <x:c r="A3678" t="str">
        <x:v>O003677</x:v>
      </x:c>
      <x:c r="B3678" s="20" t="n">
        <x:v>46006</x:v>
      </x:c>
      <x:c r="C3678" t="str">
        <x:v>C0088</x:v>
      </x:c>
      <x:c r="D3678" t="str">
        <x:v>Darshini Kitchen 88</x:v>
      </x:c>
      <x:c r="E3678" t="str">
        <x:v>Cafe</x:v>
      </x:c>
      <x:c r="F3678" t="str">
        <x:v>Tumakuru</x:v>
      </x:c>
      <x:c r="G3678" t="str">
        <x:v>Arjun</x:v>
      </x:c>
      <x:c r="H3678" t="str">
        <x:v>P041</x:v>
      </x:c>
      <x:c r="I3678" t="str">
        <x:v>Burger Bun 6pc</x:v>
      </x:c>
      <x:c r="J3678" t="str">
        <x:v>Bakery</x:v>
      </x:c>
      <x:c r="K3678" t="str">
        <x:v>Modern</x:v>
      </x:c>
      <x:c r="L3678" s="22" t="n">
        <x:v>42</x:v>
      </x:c>
      <x:c r="M3678" t="n">
        <x:v>2</x:v>
      </x:c>
      <x:c r="N3678" s="24" t="n">
        <x:v>0.05</x:v>
      </x:c>
      <x:c r="O3678" s="22" t="n">
        <x:f>L3678*M3678</x:f>
        <x:v>84</x:v>
      </x:c>
      <x:c r="P3678" s="22" t="n">
        <x:f>O3678*(1-N3678)</x:f>
        <x:v>79.8</x:v>
      </x:c>
      <x:c r="Q3678" s="22" t="n">
        <x:v>32</x:v>
      </x:c>
      <x:c r="R3678" s="22" t="n">
        <x:f>Q3678*M3678</x:f>
        <x:v>64</x:v>
      </x:c>
      <x:c r="S3678" s="22" t="n">
        <x:f>P3678-R3678</x:f>
        <x:v>15.799999999999997</x:v>
      </x:c>
      <x:c r="T3678" t="str">
        <x:v>UPI</x:v>
      </x:c>
      <x:c r="U3678" t="str">
        <x:v>Paid</x:v>
      </x:c>
      <x:c r="V3678" t="str">
        <x:v>Delayed</x:v>
      </x:c>
      <x:c r="W3678" t="n">
        <x:v>0</x:v>
      </x:c>
      <x:c r="X3678" t="str"/>
      <x:c r="Y3678" t="str">
        <x:v>Outbound Call</x:v>
      </x:c>
    </x:row>
    <x:row r="3679">
      <x:c r="A3679" t="str">
        <x:v>O003678</x:v>
      </x:c>
      <x:c r="B3679" s="20" t="n">
        <x:v>46067</x:v>
      </x:c>
      <x:c r="C3679" t="str">
        <x:v>C0153</x:v>
      </x:c>
      <x:c r="D3679" t="str">
        <x:v>Fresh Foods 153</x:v>
      </x:c>
      <x:c r="E3679" t="str">
        <x:v>Kirana</x:v>
      </x:c>
      <x:c r="F3679" t="str">
        <x:v>Bengaluru</x:v>
      </x:c>
      <x:c r="G3679" t="str">
        <x:v>Priya</x:v>
      </x:c>
      <x:c r="H3679" t="str">
        <x:v>P023</x:v>
      </x:c>
      <x:c r="I3679" t="str">
        <x:v>Cola 750ml</x:v>
      </x:c>
      <x:c r="J3679" t="str">
        <x:v>Beverage</x:v>
      </x:c>
      <x:c r="K3679" t="str">
        <x:v>Coca-Cola</x:v>
      </x:c>
      <x:c r="L3679" s="22" t="n">
        <x:v>38</x:v>
      </x:c>
      <x:c r="M3679" t="n">
        <x:v>29</x:v>
      </x:c>
      <x:c r="N3679" s="24" t="n">
        <x:v>0.03</x:v>
      </x:c>
      <x:c r="O3679" s="22" t="n">
        <x:f>L3679*M3679</x:f>
        <x:v>1102</x:v>
      </x:c>
      <x:c r="P3679" s="22" t="n">
        <x:f>O3679*(1-N3679)</x:f>
        <x:v>1068.94</x:v>
      </x:c>
      <x:c r="Q3679" s="22" t="n">
        <x:v>31</x:v>
      </x:c>
      <x:c r="R3679" s="22" t="n">
        <x:f>Q3679*M3679</x:f>
        <x:v>899</x:v>
      </x:c>
      <x:c r="S3679" s="22" t="n">
        <x:f>P3679-R3679</x:f>
        <x:v>169.94000000000005</x:v>
      </x:c>
      <x:c r="T3679" t="str">
        <x:v>Bank Transfer</x:v>
      </x:c>
      <x:c r="U3679" t="str">
        <x:v>Overdue</x:v>
      </x:c>
      <x:c r="V3679" t="str">
        <x:v>Delayed</x:v>
      </x:c>
      <x:c r="W3679" t="n">
        <x:v>0</x:v>
      </x:c>
      <x:c r="X3679" t="str"/>
      <x:c r="Y3679" t="str">
        <x:v>Field Visit</x:v>
      </x:c>
    </x:row>
    <x:row r="3680">
      <x:c r="A3680" t="str">
        <x:v>O003679</x:v>
      </x:c>
      <x:c r="B3680" s="20" t="n">
        <x:v>45850</x:v>
      </x:c>
      <x:c r="C3680" t="str">
        <x:v>C0194</x:v>
      </x:c>
      <x:c r="D3680" t="str">
        <x:v>Royal Hotel 194</x:v>
      </x:c>
      <x:c r="E3680" t="str">
        <x:v>Kirana</x:v>
      </x:c>
      <x:c r="F3680" t="str">
        <x:v>Mysuru</x:v>
      </x:c>
      <x:c r="G3680" t="str">
        <x:v>Megha</x:v>
      </x:c>
      <x:c r="H3680" t="str">
        <x:v>P038</x:v>
      </x:c>
      <x:c r="I3680" t="str">
        <x:v>French Fries 2.5kg</x:v>
      </x:c>
      <x:c r="J3680" t="str">
        <x:v>Frozen</x:v>
      </x:c>
      <x:c r="K3680" t="str">
        <x:v>McCain</x:v>
      </x:c>
      <x:c r="L3680" s="22" t="n">
        <x:v>360</x:v>
      </x:c>
      <x:c r="M3680" t="n">
        <x:v>25</x:v>
      </x:c>
      <x:c r="N3680" s="24" t="n">
        <x:v>0.05</x:v>
      </x:c>
      <x:c r="O3680" s="22" t="n">
        <x:f>L3680*M3680</x:f>
        <x:v>9000</x:v>
      </x:c>
      <x:c r="P3680" s="22" t="n">
        <x:f>O3680*(1-N3680)</x:f>
        <x:v>8550</x:v>
      </x:c>
      <x:c r="Q3680" s="22" t="n">
        <x:v>315</x:v>
      </x:c>
      <x:c r="R3680" s="22" t="n">
        <x:f>Q3680*M3680</x:f>
        <x:v>7875</x:v>
      </x:c>
      <x:c r="S3680" s="22" t="n">
        <x:f>P3680-R3680</x:f>
        <x:v>675</x:v>
      </x:c>
      <x:c r="T3680" t="str">
        <x:v>UPI</x:v>
      </x:c>
      <x:c r="U3680" t="str">
        <x:v>Paid</x:v>
      </x:c>
      <x:c r="V3680" t="str">
        <x:v>Delivered</x:v>
      </x:c>
      <x:c r="W3680" t="n">
        <x:v>0</x:v>
      </x:c>
      <x:c r="X3680" t="str"/>
      <x:c r="Y3680" t="str">
        <x:v>WhatsApp</x:v>
      </x:c>
    </x:row>
    <x:row r="3681">
      <x:c r="A3681" t="str">
        <x:v>O003680</x:v>
      </x:c>
      <x:c r="B3681" s="20" t="n">
        <x:v>46233</x:v>
      </x:c>
      <x:c r="C3681" t="str">
        <x:v>C0099</x:v>
      </x:c>
      <x:c r="D3681" t="str">
        <x:v>Green Cafe 99</x:v>
      </x:c>
      <x:c r="E3681" t="str">
        <x:v>Restaurant</x:v>
      </x:c>
      <x:c r="F3681" t="str">
        <x:v>Hubballi</x:v>
      </x:c>
      <x:c r="G3681" t="str">
        <x:v>Ramesh</x:v>
      </x:c>
      <x:c r="H3681" t="str">
        <x:v>P007</x:v>
      </x:c>
      <x:c r="I3681" t="str">
        <x:v>Sunflower Oil 15L</x:v>
      </x:c>
      <x:c r="J3681" t="str">
        <x:v>Edible Oil</x:v>
      </x:c>
      <x:c r="K3681" t="str">
        <x:v>Fortune</x:v>
      </x:c>
      <x:c r="L3681" s="22" t="n">
        <x:v>1980</x:v>
      </x:c>
      <x:c r="M3681" t="n">
        <x:v>11</x:v>
      </x:c>
      <x:c r="N3681" s="24" t="n">
        <x:v>0</x:v>
      </x:c>
      <x:c r="O3681" s="22" t="n">
        <x:f>L3681*M3681</x:f>
        <x:v>21780</x:v>
      </x:c>
      <x:c r="P3681" s="22" t="n">
        <x:f>O3681*(1-N3681)</x:f>
        <x:v>21780</x:v>
      </x:c>
      <x:c r="Q3681" s="22" t="n">
        <x:v>1810</x:v>
      </x:c>
      <x:c r="R3681" s="22" t="n">
        <x:f>Q3681*M3681</x:f>
        <x:v>19910</x:v>
      </x:c>
      <x:c r="S3681" s="22" t="n">
        <x:f>P3681-R3681</x:f>
        <x:v>1870</x:v>
      </x:c>
      <x:c r="T3681" t="str">
        <x:v>UPI</x:v>
      </x:c>
      <x:c r="U3681" t="str">
        <x:v>Paid</x:v>
      </x:c>
      <x:c r="V3681" t="str">
        <x:v>Delivered</x:v>
      </x:c>
      <x:c r="W3681" t="n">
        <x:v>0</x:v>
      </x:c>
      <x:c r="X3681" t="str"/>
      <x:c r="Y3681" t="str">
        <x:v>WhatsApp</x:v>
      </x:c>
    </x:row>
    <x:row r="3682">
      <x:c r="A3682" t="str">
        <x:v>O003681</x:v>
      </x:c>
      <x:c r="B3682" s="20" t="n">
        <x:v>45687</x:v>
      </x:c>
      <x:c r="C3682" t="str">
        <x:v>C0172</x:v>
      </x:c>
      <x:c r="D3682" t="str">
        <x:v>Annapurna Stores 172</x:v>
      </x:c>
      <x:c r="E3682" t="str">
        <x:v>Restaurant</x:v>
      </x:c>
      <x:c r="F3682" t="str">
        <x:v>Mangaluru</x:v>
      </x:c>
      <x:c r="G3682" t="str">
        <x:v>Megha</x:v>
      </x:c>
      <x:c r="H3682" t="str">
        <x:v>P009</x:v>
      </x:c>
      <x:c r="I3682" t="str">
        <x:v>Groundnut Oil 5L</x:v>
      </x:c>
      <x:c r="J3682" t="str">
        <x:v>Edible Oil</x:v>
      </x:c>
      <x:c r="K3682" t="str">
        <x:v>Dhara</x:v>
      </x:c>
      <x:c r="L3682" s="22" t="n">
        <x:v>890</x:v>
      </x:c>
      <x:c r="M3682" t="n">
        <x:v>15</x:v>
      </x:c>
      <x:c r="N3682" s="24" t="n">
        <x:v>0.08</x:v>
      </x:c>
      <x:c r="O3682" s="22" t="n">
        <x:f>L3682*M3682</x:f>
        <x:v>13350</x:v>
      </x:c>
      <x:c r="P3682" s="22" t="n">
        <x:f>O3682*(1-N3682)</x:f>
        <x:v>12282</x:v>
      </x:c>
      <x:c r="Q3682" s="22" t="n">
        <x:v>810</x:v>
      </x:c>
      <x:c r="R3682" s="22" t="n">
        <x:f>Q3682*M3682</x:f>
        <x:v>12150</x:v>
      </x:c>
      <x:c r="S3682" s="22" t="n">
        <x:f>P3682-R3682</x:f>
        <x:v>132</x:v>
      </x:c>
      <x:c r="T3682" t="str">
        <x:v>Bank Transfer</x:v>
      </x:c>
      <x:c r="U3682" t="str">
        <x:v>Paid</x:v>
      </x:c>
      <x:c r="V3682" t="str">
        <x:v>Delayed</x:v>
      </x:c>
      <x:c r="W3682" t="n">
        <x:v>0</x:v>
      </x:c>
      <x:c r="X3682" t="str"/>
      <x:c r="Y3682" t="str">
        <x:v>Outbound Call</x:v>
      </x:c>
    </x:row>
    <x:row r="3683">
      <x:c r="A3683" t="str">
        <x:v>O003682</x:v>
      </x:c>
      <x:c r="B3683" s="20" t="n">
        <x:v>46249</x:v>
      </x:c>
      <x:c r="C3683" t="str">
        <x:v>C0041</x:v>
      </x:c>
      <x:c r="D3683" t="str">
        <x:v>Grand Mart 41</x:v>
      </x:c>
      <x:c r="E3683" t="str">
        <x:v>Cafe</x:v>
      </x:c>
      <x:c r="F3683" t="str">
        <x:v>Bengaluru</x:v>
      </x:c>
      <x:c r="G3683" t="str">
        <x:v>Kavya</x:v>
      </x:c>
      <x:c r="H3683" t="str">
        <x:v>P001</x:v>
      </x:c>
      <x:c r="I3683" t="str">
        <x:v>Steam Rice 25kg</x:v>
      </x:c>
      <x:c r="J3683" t="str">
        <x:v>Staples</x:v>
      </x:c>
      <x:c r="K3683" t="str">
        <x:v>Aishwarya</x:v>
      </x:c>
      <x:c r="L3683" s="22" t="n">
        <x:v>1180</x:v>
      </x:c>
      <x:c r="M3683" t="n">
        <x:v>7</x:v>
      </x:c>
      <x:c r="N3683" s="24" t="n">
        <x:v>0.02</x:v>
      </x:c>
      <x:c r="O3683" s="22" t="n">
        <x:f>L3683*M3683</x:f>
        <x:v>8260</x:v>
      </x:c>
      <x:c r="P3683" s="22" t="n">
        <x:f>O3683*(1-N3683)</x:f>
        <x:v>8094.8</x:v>
      </x:c>
      <x:c r="Q3683" s="22" t="n">
        <x:v>1040</x:v>
      </x:c>
      <x:c r="R3683" s="22" t="n">
        <x:f>Q3683*M3683</x:f>
        <x:v>7280</x:v>
      </x:c>
      <x:c r="S3683" s="22" t="n">
        <x:f>P3683-R3683</x:f>
        <x:v>814.8000000000002</x:v>
      </x:c>
      <x:c r="T3683" t="str">
        <x:v>Credit</x:v>
      </x:c>
      <x:c r="U3683" t="str">
        <x:v>Paid</x:v>
      </x:c>
      <x:c r="V3683" t="str">
        <x:v>Delivered</x:v>
      </x:c>
      <x:c r="W3683" t="n">
        <x:v>0</x:v>
      </x:c>
      <x:c r="X3683" t="str"/>
      <x:c r="Y3683" t="str">
        <x:v>Outbound Call</x:v>
      </x:c>
    </x:row>
    <x:row r="3684">
      <x:c r="A3684" t="str">
        <x:v>O003683</x:v>
      </x:c>
      <x:c r="B3684" s="20" t="n">
        <x:v>45960</x:v>
      </x:c>
      <x:c r="C3684" t="str">
        <x:v>C0114</x:v>
      </x:c>
      <x:c r="D3684" t="str">
        <x:v>Annapurna Restaurant 114</x:v>
      </x:c>
      <x:c r="E3684" t="str">
        <x:v>Restaurant</x:v>
      </x:c>
      <x:c r="F3684" t="str">
        <x:v>Davanagere</x:v>
      </x:c>
      <x:c r="G3684" t="str">
        <x:v>Arjun</x:v>
      </x:c>
      <x:c r="H3684" t="str">
        <x:v>P015</x:v>
      </x:c>
      <x:c r="I3684" t="str">
        <x:v>Milk 1L</x:v>
      </x:c>
      <x:c r="J3684" t="str">
        <x:v>Dairy</x:v>
      </x:c>
      <x:c r="K3684" t="str">
        <x:v>Nandini</x:v>
      </x:c>
      <x:c r="L3684" s="22" t="n">
        <x:v>48</x:v>
      </x:c>
      <x:c r="M3684" t="n">
        <x:v>17</x:v>
      </x:c>
      <x:c r="N3684" s="24" t="n">
        <x:v>0.03</x:v>
      </x:c>
      <x:c r="O3684" s="22" t="n">
        <x:f>L3684*M3684</x:f>
        <x:v>816</x:v>
      </x:c>
      <x:c r="P3684" s="22" t="n">
        <x:f>O3684*(1-N3684)</x:f>
        <x:v>791.52</x:v>
      </x:c>
      <x:c r="Q3684" s="22" t="n">
        <x:v>43</x:v>
      </x:c>
      <x:c r="R3684" s="22" t="n">
        <x:f>Q3684*M3684</x:f>
        <x:v>731</x:v>
      </x:c>
      <x:c r="S3684" s="22" t="n">
        <x:f>P3684-R3684</x:f>
        <x:v>60.51999999999998</x:v>
      </x:c>
      <x:c r="T3684" t="str">
        <x:v>Credit</x:v>
      </x:c>
      <x:c r="U3684" t="str">
        <x:v>Paid</x:v>
      </x:c>
      <x:c r="V3684" t="str">
        <x:v>Delivered</x:v>
      </x:c>
      <x:c r="W3684" t="n">
        <x:v>1</x:v>
      </x:c>
      <x:c r="X3684" t="str">
        <x:v>Damaged</x:v>
      </x:c>
      <x:c r="Y3684" t="str">
        <x:v>Field Visit</x:v>
      </x:c>
    </x:row>
    <x:row r="3685">
      <x:c r="A3685" t="str">
        <x:v>O003684</x:v>
      </x:c>
      <x:c r="B3685" s="20" t="n">
        <x:v>46160</x:v>
      </x:c>
      <x:c r="C3685" t="str">
        <x:v>C0220</x:v>
      </x:c>
      <x:c r="D3685" t="str">
        <x:v>Udupi Canteen 220</x:v>
      </x:c>
      <x:c r="E3685" t="str">
        <x:v>Restaurant</x:v>
      </x:c>
      <x:c r="F3685" t="str">
        <x:v>Bengaluru</x:v>
      </x:c>
      <x:c r="G3685" t="str">
        <x:v>Sneha</x:v>
      </x:c>
      <x:c r="H3685" t="str">
        <x:v>P021</x:v>
      </x:c>
      <x:c r="I3685" t="str">
        <x:v>Instant Coffee 200g</x:v>
      </x:c>
      <x:c r="J3685" t="str">
        <x:v>Beverage</x:v>
      </x:c>
      <x:c r="K3685" t="str">
        <x:v>Nescafe</x:v>
      </x:c>
      <x:c r="L3685" s="22" t="n">
        <x:v>460</x:v>
      </x:c>
      <x:c r="M3685" t="n">
        <x:v>19</x:v>
      </x:c>
      <x:c r="N3685" s="24" t="n">
        <x:v>0.05</x:v>
      </x:c>
      <x:c r="O3685" s="22" t="n">
        <x:f>L3685*M3685</x:f>
        <x:v>8740</x:v>
      </x:c>
      <x:c r="P3685" s="22" t="n">
        <x:f>O3685*(1-N3685)</x:f>
        <x:v>8303</x:v>
      </x:c>
      <x:c r="Q3685" s="22" t="n">
        <x:v>410</x:v>
      </x:c>
      <x:c r="R3685" s="22" t="n">
        <x:f>Q3685*M3685</x:f>
        <x:v>7790</x:v>
      </x:c>
      <x:c r="S3685" s="22" t="n">
        <x:f>P3685-R3685</x:f>
        <x:v>513</x:v>
      </x:c>
      <x:c r="T3685" t="str">
        <x:v>Bank Transfer</x:v>
      </x:c>
      <x:c r="U3685" t="str">
        <x:v>Paid</x:v>
      </x:c>
      <x:c r="V3685" t="str">
        <x:v>Delivered</x:v>
      </x:c>
      <x:c r="W3685" t="n">
        <x:v>0</x:v>
      </x:c>
      <x:c r="X3685" t="str"/>
      <x:c r="Y3685" t="str">
        <x:v>Field Visit</x:v>
      </x:c>
    </x:row>
    <x:row r="3686">
      <x:c r="A3686" t="str">
        <x:v>O003685</x:v>
      </x:c>
      <x:c r="B3686" s="20" t="n">
        <x:v>45864</x:v>
      </x:c>
      <x:c r="C3686" t="str">
        <x:v>C0210</x:v>
      </x:c>
      <x:c r="D3686" t="str">
        <x:v>Spice Stores 210</x:v>
      </x:c>
      <x:c r="E3686" t="str">
        <x:v>Cafe</x:v>
      </x:c>
      <x:c r="F3686" t="str">
        <x:v>Davanagere</x:v>
      </x:c>
      <x:c r="G3686" t="str">
        <x:v>Imran</x:v>
      </x:c>
      <x:c r="H3686" t="str">
        <x:v>P029</x:v>
      </x:c>
      <x:c r="I3686" t="str">
        <x:v>Tomato Ketchup 1kg</x:v>
      </x:c>
      <x:c r="J3686" t="str">
        <x:v>Condiments</x:v>
      </x:c>
      <x:c r="K3686" t="str">
        <x:v>Kissan</x:v>
      </x:c>
      <x:c r="L3686" s="22" t="n">
        <x:v>145</x:v>
      </x:c>
      <x:c r="M3686" t="n">
        <x:v>39</x:v>
      </x:c>
      <x:c r="N3686" s="24" t="n">
        <x:v>0</x:v>
      </x:c>
      <x:c r="O3686" s="22" t="n">
        <x:f>L3686*M3686</x:f>
        <x:v>5655</x:v>
      </x:c>
      <x:c r="P3686" s="22" t="n">
        <x:f>O3686*(1-N3686)</x:f>
        <x:v>5655</x:v>
      </x:c>
      <x:c r="Q3686" s="22" t="n">
        <x:v>126</x:v>
      </x:c>
      <x:c r="R3686" s="22" t="n">
        <x:f>Q3686*M3686</x:f>
        <x:v>4914</x:v>
      </x:c>
      <x:c r="S3686" s="22" t="n">
        <x:f>P3686-R3686</x:f>
        <x:v>741</x:v>
      </x:c>
      <x:c r="T3686" t="str">
        <x:v>Credit</x:v>
      </x:c>
      <x:c r="U3686" t="str">
        <x:v>Paid</x:v>
      </x:c>
      <x:c r="V3686" t="str">
        <x:v>Delayed</x:v>
      </x:c>
      <x:c r="W3686" t="n">
        <x:v>0</x:v>
      </x:c>
      <x:c r="X3686" t="str"/>
      <x:c r="Y3686" t="str">
        <x:v>Outbound Call</x:v>
      </x:c>
    </x:row>
    <x:row r="3687">
      <x:c r="A3687" t="str">
        <x:v>O003686</x:v>
      </x:c>
      <x:c r="B3687" s="20" t="n">
        <x:v>45935</x:v>
      </x:c>
      <x:c r="C3687" t="str">
        <x:v>C0191</x:v>
      </x:c>
      <x:c r="D3687" t="str">
        <x:v>Foodie Kitchen 191</x:v>
      </x:c>
      <x:c r="E3687" t="str">
        <x:v>Cafe</x:v>
      </x:c>
      <x:c r="F3687" t="str">
        <x:v>Mysuru</x:v>
      </x:c>
      <x:c r="G3687" t="str">
        <x:v>Priya</x:v>
      </x:c>
      <x:c r="H3687" t="str">
        <x:v>P022</x:v>
      </x:c>
      <x:c r="I3687" t="str">
        <x:v>Mineral Water 1L</x:v>
      </x:c>
      <x:c r="J3687" t="str">
        <x:v>Beverage</x:v>
      </x:c>
      <x:c r="K3687" t="str">
        <x:v>Bisleri</x:v>
      </x:c>
      <x:c r="L3687" s="22" t="n">
        <x:v>19</x:v>
      </x:c>
      <x:c r="M3687" t="n">
        <x:v>28</x:v>
      </x:c>
      <x:c r="N3687" s="24" t="n">
        <x:v>0.08</x:v>
      </x:c>
      <x:c r="O3687" s="22" t="n">
        <x:f>L3687*M3687</x:f>
        <x:v>532</x:v>
      </x:c>
      <x:c r="P3687" s="22" t="n">
        <x:f>O3687*(1-N3687)</x:f>
        <x:v>489.44</x:v>
      </x:c>
      <x:c r="Q3687" s="22" t="n">
        <x:v>15</x:v>
      </x:c>
      <x:c r="R3687" s="22" t="n">
        <x:f>Q3687*M3687</x:f>
        <x:v>420</x:v>
      </x:c>
      <x:c r="S3687" s="22" t="n">
        <x:f>P3687-R3687</x:f>
        <x:v>69.44</x:v>
      </x:c>
      <x:c r="T3687" t="str">
        <x:v>Credit</x:v>
      </x:c>
      <x:c r="U3687" t="str">
        <x:v>Pending</x:v>
      </x:c>
      <x:c r="V3687" t="str">
        <x:v>Delivered</x:v>
      </x:c>
      <x:c r="W3687" t="n">
        <x:v>0</x:v>
      </x:c>
      <x:c r="X3687" t="str"/>
      <x:c r="Y3687" t="str">
        <x:v>Outbound Call</x:v>
      </x:c>
    </x:row>
    <x:row r="3688">
      <x:c r="A3688" t="str">
        <x:v>O003687</x:v>
      </x:c>
      <x:c r="B3688" s="20" t="n">
        <x:v>46097</x:v>
      </x:c>
      <x:c r="C3688" t="str">
        <x:v>C0133</x:v>
      </x:c>
      <x:c r="D3688" t="str">
        <x:v>Metro Foods 133</x:v>
      </x:c>
      <x:c r="E3688" t="str">
        <x:v>Cafe</x:v>
      </x:c>
      <x:c r="F3688" t="str">
        <x:v>Bengaluru</x:v>
      </x:c>
      <x:c r="G3688" t="str">
        <x:v>Ramesh</x:v>
      </x:c>
      <x:c r="H3688" t="str">
        <x:v>P033</x:v>
      </x:c>
      <x:c r="I3688" t="str">
        <x:v>Turmeric Powder 1kg</x:v>
      </x:c>
      <x:c r="J3688" t="str">
        <x:v>Spices</x:v>
      </x:c>
      <x:c r="K3688" t="str">
        <x:v>Everest</x:v>
      </x:c>
      <x:c r="L3688" s="22" t="n">
        <x:v>310</x:v>
      </x:c>
      <x:c r="M3688" t="n">
        <x:v>35</x:v>
      </x:c>
      <x:c r="N3688" s="24" t="n">
        <x:v>0</x:v>
      </x:c>
      <x:c r="O3688" s="22" t="n">
        <x:f>L3688*M3688</x:f>
        <x:v>10850</x:v>
      </x:c>
      <x:c r="P3688" s="22" t="n">
        <x:f>O3688*(1-N3688)</x:f>
        <x:v>10850</x:v>
      </x:c>
      <x:c r="Q3688" s="22" t="n">
        <x:v>270</x:v>
      </x:c>
      <x:c r="R3688" s="22" t="n">
        <x:f>Q3688*M3688</x:f>
        <x:v>9450</x:v>
      </x:c>
      <x:c r="S3688" s="22" t="n">
        <x:f>P3688-R3688</x:f>
        <x:v>1400</x:v>
      </x:c>
      <x:c r="T3688" t="str">
        <x:v>Bank Transfer</x:v>
      </x:c>
      <x:c r="U3688" t="str">
        <x:v>Paid</x:v>
      </x:c>
      <x:c r="V3688" t="str">
        <x:v>Delivered</x:v>
      </x:c>
      <x:c r="W3688" t="n">
        <x:v>0</x:v>
      </x:c>
      <x:c r="X3688" t="str"/>
      <x:c r="Y3688" t="str">
        <x:v>Existing Customer</x:v>
      </x:c>
    </x:row>
    <x:row r="3689">
      <x:c r="A3689" t="str">
        <x:v>O003688</x:v>
      </x:c>
      <x:c r="B3689" s="20" t="n">
        <x:v>45788</x:v>
      </x:c>
      <x:c r="C3689" t="str">
        <x:v>C0109</x:v>
      </x:c>
      <x:c r="D3689" t="str">
        <x:v>Annapurna Kitchen 109</x:v>
      </x:c>
      <x:c r="E3689" t="str">
        <x:v>Kirana</x:v>
      </x:c>
      <x:c r="F3689" t="str">
        <x:v>Mysuru</x:v>
      </x:c>
      <x:c r="G3689" t="str">
        <x:v>Kavya</x:v>
      </x:c>
      <x:c r="H3689" t="str">
        <x:v>P027</x:v>
      </x:c>
      <x:c r="I3689" t="str">
        <x:v>Biscuits 120g</x:v>
      </x:c>
      <x:c r="J3689" t="str">
        <x:v>Snacks</x:v>
      </x:c>
      <x:c r="K3689" t="str">
        <x:v>Parle-G</x:v>
      </x:c>
      <x:c r="L3689" s="22" t="n">
        <x:v>12</x:v>
      </x:c>
      <x:c r="M3689" t="n">
        <x:v>21</x:v>
      </x:c>
      <x:c r="N3689" s="24" t="n">
        <x:v>0.02</x:v>
      </x:c>
      <x:c r="O3689" s="22" t="n">
        <x:f>L3689*M3689</x:f>
        <x:v>252</x:v>
      </x:c>
      <x:c r="P3689" s="22" t="n">
        <x:f>O3689*(1-N3689)</x:f>
        <x:v>246.96</x:v>
      </x:c>
      <x:c r="Q3689" s="22" t="n">
        <x:v>9</x:v>
      </x:c>
      <x:c r="R3689" s="22" t="n">
        <x:f>Q3689*M3689</x:f>
        <x:v>189</x:v>
      </x:c>
      <x:c r="S3689" s="22" t="n">
        <x:f>P3689-R3689</x:f>
        <x:v>57.96000000000001</x:v>
      </x:c>
      <x:c r="T3689" t="str">
        <x:v>Credit</x:v>
      </x:c>
      <x:c r="U3689" t="str">
        <x:v>Pending</x:v>
      </x:c>
      <x:c r="V3689" t="str">
        <x:v>Delivered</x:v>
      </x:c>
      <x:c r="W3689" t="n">
        <x:v>0</x:v>
      </x:c>
      <x:c r="X3689" t="str"/>
      <x:c r="Y3689" t="str">
        <x:v>Existing Customer</x:v>
      </x:c>
    </x:row>
    <x:row r="3690">
      <x:c r="A3690" t="str">
        <x:v>O003689</x:v>
      </x:c>
      <x:c r="B3690" s="20" t="n">
        <x:v>45672</x:v>
      </x:c>
      <x:c r="C3690" t="str">
        <x:v>C0014</x:v>
      </x:c>
      <x:c r="D3690" t="str">
        <x:v>Annapurna Canteen 14</x:v>
      </x:c>
      <x:c r="E3690" t="str">
        <x:v>Kirana</x:v>
      </x:c>
      <x:c r="F3690" t="str">
        <x:v>Davanagere</x:v>
      </x:c>
      <x:c r="G3690" t="str">
        <x:v>Sneha</x:v>
      </x:c>
      <x:c r="H3690" t="str">
        <x:v>P020</x:v>
      </x:c>
      <x:c r="I3690" t="str">
        <x:v>Coffee 500g</x:v>
      </x:c>
      <x:c r="J3690" t="str">
        <x:v>Beverage</x:v>
      </x:c>
      <x:c r="K3690" t="str">
        <x:v>Bru</x:v>
      </x:c>
      <x:c r="L3690" s="22" t="n">
        <x:v>390</x:v>
      </x:c>
      <x:c r="M3690" t="n">
        <x:v>6</x:v>
      </x:c>
      <x:c r="N3690" s="24" t="n">
        <x:v>0.05</x:v>
      </x:c>
      <x:c r="O3690" s="22" t="n">
        <x:f>L3690*M3690</x:f>
        <x:v>2340</x:v>
      </x:c>
      <x:c r="P3690" s="22" t="n">
        <x:f>O3690*(1-N3690)</x:f>
        <x:v>2223</x:v>
      </x:c>
      <x:c r="Q3690" s="22" t="n">
        <x:v>350</x:v>
      </x:c>
      <x:c r="R3690" s="22" t="n">
        <x:f>Q3690*M3690</x:f>
        <x:v>2100</x:v>
      </x:c>
      <x:c r="S3690" s="22" t="n">
        <x:f>P3690-R3690</x:f>
        <x:v>123</x:v>
      </x:c>
      <x:c r="T3690" t="str">
        <x:v>Credit</x:v>
      </x:c>
      <x:c r="U3690" t="str">
        <x:v>Paid</x:v>
      </x:c>
      <x:c r="V3690" t="str">
        <x:v>Delivered</x:v>
      </x:c>
      <x:c r="W3690" t="n">
        <x:v>0</x:v>
      </x:c>
      <x:c r="X3690" t="str"/>
      <x:c r="Y3690" t="str">
        <x:v>WhatsApp</x:v>
      </x:c>
    </x:row>
    <x:row r="3691">
      <x:c r="A3691" t="str">
        <x:v>O003690</x:v>
      </x:c>
      <x:c r="B3691" s="20" t="n">
        <x:v>45684</x:v>
      </x:c>
      <x:c r="C3691" t="str">
        <x:v>C0004</x:v>
      </x:c>
      <x:c r="D3691" t="str">
        <x:v>Annapurna Foods 4</x:v>
      </x:c>
      <x:c r="E3691" t="str">
        <x:v>Cafe</x:v>
      </x:c>
      <x:c r="F3691" t="str">
        <x:v>Mysuru</x:v>
      </x:c>
      <x:c r="G3691" t="str">
        <x:v>Priya</x:v>
      </x:c>
      <x:c r="H3691" t="str">
        <x:v>P003</x:v>
      </x:c>
      <x:c r="I3691" t="str">
        <x:v>Basmati Rice 5kg</x:v>
      </x:c>
      <x:c r="J3691" t="str">
        <x:v>Staples</x:v>
      </x:c>
      <x:c r="K3691" t="str">
        <x:v>India Gate</x:v>
      </x:c>
      <x:c r="L3691" s="22" t="n">
        <x:v>690</x:v>
      </x:c>
      <x:c r="M3691" t="n">
        <x:v>5</x:v>
      </x:c>
      <x:c r="N3691" s="24" t="n">
        <x:v>0.08</x:v>
      </x:c>
      <x:c r="O3691" s="22" t="n">
        <x:f>L3691*M3691</x:f>
        <x:v>3450</x:v>
      </x:c>
      <x:c r="P3691" s="22" t="n">
        <x:f>O3691*(1-N3691)</x:f>
        <x:v>3174</x:v>
      </x:c>
      <x:c r="Q3691" s="22" t="n">
        <x:v>610</x:v>
      </x:c>
      <x:c r="R3691" s="22" t="n">
        <x:f>Q3691*M3691</x:f>
        <x:v>3050</x:v>
      </x:c>
      <x:c r="S3691" s="22" t="n">
        <x:f>P3691-R3691</x:f>
        <x:v>124</x:v>
      </x:c>
      <x:c r="T3691" t="str">
        <x:v>UPI</x:v>
      </x:c>
      <x:c r="U3691" t="str">
        <x:v>Overdue</x:v>
      </x:c>
      <x:c r="V3691" t="str">
        <x:v>Delivered</x:v>
      </x:c>
      <x:c r="W3691" t="n">
        <x:v>0</x:v>
      </x:c>
      <x:c r="X3691" t="str"/>
      <x:c r="Y3691" t="str">
        <x:v>Existing Customer</x:v>
      </x:c>
    </x:row>
    <x:row r="3692">
      <x:c r="A3692" t="str">
        <x:v>O003691</x:v>
      </x:c>
      <x:c r="B3692" s="20" t="n">
        <x:v>46059</x:v>
      </x:c>
      <x:c r="C3692" t="str">
        <x:v>C0082</x:v>
      </x:c>
      <x:c r="D3692" t="str">
        <x:v>City Foods 82</x:v>
      </x:c>
      <x:c r="E3692" t="str">
        <x:v>Hotel</x:v>
      </x:c>
      <x:c r="F3692" t="str">
        <x:v>Mangaluru</x:v>
      </x:c>
      <x:c r="G3692" t="str">
        <x:v>Kavya</x:v>
      </x:c>
      <x:c r="H3692" t="str">
        <x:v>P017</x:v>
      </x:c>
      <x:c r="I3692" t="str">
        <x:v>Butter 500g</x:v>
      </x:c>
      <x:c r="J3692" t="str">
        <x:v>Dairy</x:v>
      </x:c>
      <x:c r="K3692" t="str">
        <x:v>Amul</x:v>
      </x:c>
      <x:c r="L3692" s="22" t="n">
        <x:v>285</x:v>
      </x:c>
      <x:c r="M3692" t="n">
        <x:v>29</x:v>
      </x:c>
      <x:c r="N3692" s="24" t="n">
        <x:v>0.08</x:v>
      </x:c>
      <x:c r="O3692" s="22" t="n">
        <x:f>L3692*M3692</x:f>
        <x:v>8265</x:v>
      </x:c>
      <x:c r="P3692" s="22" t="n">
        <x:f>O3692*(1-N3692)</x:f>
        <x:v>7603.8</x:v>
      </x:c>
      <x:c r="Q3692" s="22" t="n">
        <x:v>258</x:v>
      </x:c>
      <x:c r="R3692" s="22" t="n">
        <x:f>Q3692*M3692</x:f>
        <x:v>7482</x:v>
      </x:c>
      <x:c r="S3692" s="22" t="n">
        <x:f>P3692-R3692</x:f>
        <x:v>121.80000000000018</x:v>
      </x:c>
      <x:c r="T3692" t="str">
        <x:v>Bank Transfer</x:v>
      </x:c>
      <x:c r="U3692" t="str">
        <x:v>Paid</x:v>
      </x:c>
      <x:c r="V3692" t="str">
        <x:v>Cancelled</x:v>
      </x:c>
      <x:c r="W3692" t="n">
        <x:v>29</x:v>
      </x:c>
      <x:c r="X3692" t="str">
        <x:v>Cancelled Order</x:v>
      </x:c>
      <x:c r="Y3692" t="str">
        <x:v>WhatsApp</x:v>
      </x:c>
    </x:row>
    <x:row r="3693">
      <x:c r="A3693" t="str">
        <x:v>O003692</x:v>
      </x:c>
      <x:c r="B3693" s="20" t="n">
        <x:v>46244</x:v>
      </x:c>
      <x:c r="C3693" t="str">
        <x:v>C0217</x:v>
      </x:c>
      <x:c r="D3693" t="str">
        <x:v>Darshini Cafe 217</x:v>
      </x:c>
      <x:c r="E3693" t="str">
        <x:v>Restaurant</x:v>
      </x:c>
      <x:c r="F3693" t="str">
        <x:v>Bengaluru</x:v>
      </x:c>
      <x:c r="G3693" t="str">
        <x:v>Priya</x:v>
      </x:c>
      <x:c r="H3693" t="str">
        <x:v>P026</x:v>
      </x:c>
      <x:c r="I3693" t="str">
        <x:v>Banana Chips 80g</x:v>
      </x:c>
      <x:c r="J3693" t="str">
        <x:v>Snacks</x:v>
      </x:c>
      <x:c r="K3693" t="str">
        <x:v>SSS</x:v>
      </x:c>
      <x:c r="L3693" s="22" t="n">
        <x:v>54</x:v>
      </x:c>
      <x:c r="M3693" t="n">
        <x:v>15</x:v>
      </x:c>
      <x:c r="N3693" s="24" t="n">
        <x:v>0.05</x:v>
      </x:c>
      <x:c r="O3693" s="22" t="n">
        <x:f>L3693*M3693</x:f>
        <x:v>810</x:v>
      </x:c>
      <x:c r="P3693" s="22" t="n">
        <x:f>O3693*(1-N3693)</x:f>
        <x:v>769.5</x:v>
      </x:c>
      <x:c r="Q3693" s="22" t="n">
        <x:v>39</x:v>
      </x:c>
      <x:c r="R3693" s="22" t="n">
        <x:f>Q3693*M3693</x:f>
        <x:v>585</x:v>
      </x:c>
      <x:c r="S3693" s="22" t="n">
        <x:f>P3693-R3693</x:f>
        <x:v>184.5</x:v>
      </x:c>
      <x:c r="T3693" t="str">
        <x:v>UPI</x:v>
      </x:c>
      <x:c r="U3693" t="str">
        <x:v>Paid</x:v>
      </x:c>
      <x:c r="V3693" t="str">
        <x:v>Delivered</x:v>
      </x:c>
      <x:c r="W3693" t="n">
        <x:v>0</x:v>
      </x:c>
      <x:c r="X3693" t="str"/>
      <x:c r="Y3693" t="str">
        <x:v>Outbound Call</x:v>
      </x:c>
    </x:row>
    <x:row r="3694">
      <x:c r="A3694" t="str">
        <x:v>O003693</x:v>
      </x:c>
      <x:c r="B3694" s="20" t="n">
        <x:v>46045</x:v>
      </x:c>
      <x:c r="C3694" t="str">
        <x:v>C0082</x:v>
      </x:c>
      <x:c r="D3694" t="str">
        <x:v>City Foods 82</x:v>
      </x:c>
      <x:c r="E3694" t="str">
        <x:v>Hotel</x:v>
      </x:c>
      <x:c r="F3694" t="str">
        <x:v>Mangaluru</x:v>
      </x:c>
      <x:c r="G3694" t="str">
        <x:v>Kavya</x:v>
      </x:c>
      <x:c r="H3694" t="str">
        <x:v>P037</x:v>
      </x:c>
      <x:c r="I3694" t="str">
        <x:v>Frozen Peas 1kg</x:v>
      </x:c>
      <x:c r="J3694" t="str">
        <x:v>Frozen</x:v>
      </x:c>
      <x:c r="K3694" t="str">
        <x:v>Safal</x:v>
      </x:c>
      <x:c r="L3694" s="22" t="n">
        <x:v>155</x:v>
      </x:c>
      <x:c r="M3694" t="n">
        <x:v>32</x:v>
      </x:c>
      <x:c r="N3694" s="24" t="n">
        <x:v>0</x:v>
      </x:c>
      <x:c r="O3694" s="22" t="n">
        <x:f>L3694*M3694</x:f>
        <x:v>4960</x:v>
      </x:c>
      <x:c r="P3694" s="22" t="n">
        <x:f>O3694*(1-N3694)</x:f>
        <x:v>4960</x:v>
      </x:c>
      <x:c r="Q3694" s="22" t="n">
        <x:v>138</x:v>
      </x:c>
      <x:c r="R3694" s="22" t="n">
        <x:f>Q3694*M3694</x:f>
        <x:v>4416</x:v>
      </x:c>
      <x:c r="S3694" s="22" t="n">
        <x:f>P3694-R3694</x:f>
        <x:v>544</x:v>
      </x:c>
      <x:c r="T3694" t="str">
        <x:v>Bank Transfer</x:v>
      </x:c>
      <x:c r="U3694" t="str">
        <x:v>Paid</x:v>
      </x:c>
      <x:c r="V3694" t="str">
        <x:v>Delivered</x:v>
      </x:c>
      <x:c r="W3694" t="n">
        <x:v>0</x:v>
      </x:c>
      <x:c r="X3694" t="str"/>
      <x:c r="Y3694" t="str">
        <x:v>Field Visit</x:v>
      </x:c>
    </x:row>
    <x:row r="3695">
      <x:c r="A3695" t="str">
        <x:v>O003694</x:v>
      </x:c>
      <x:c r="B3695" s="20" t="n">
        <x:v>46212</x:v>
      </x:c>
      <x:c r="C3695" t="str">
        <x:v>C0239</x:v>
      </x:c>
      <x:c r="D3695" t="str">
        <x:v>Royal Hotel 239</x:v>
      </x:c>
      <x:c r="E3695" t="str">
        <x:v>Restaurant</x:v>
      </x:c>
      <x:c r="F3695" t="str">
        <x:v>Hubballi</x:v>
      </x:c>
      <x:c r="G3695" t="str">
        <x:v>Priya</x:v>
      </x:c>
      <x:c r="H3695" t="str">
        <x:v>P043</x:v>
      </x:c>
      <x:c r="I3695" t="str">
        <x:v>Chicken Breast 1kg</x:v>
      </x:c>
      <x:c r="J3695" t="str">
        <x:v>Protein</x:v>
      </x:c>
      <x:c r="K3695" t="str">
        <x:v>FreshToHome</x:v>
      </x:c>
      <x:c r="L3695" s="22" t="n">
        <x:v>260</x:v>
      </x:c>
      <x:c r="M3695" t="n">
        <x:v>17</x:v>
      </x:c>
      <x:c r="N3695" s="24" t="n">
        <x:v>0.05</x:v>
      </x:c>
      <x:c r="O3695" s="22" t="n">
        <x:f>L3695*M3695</x:f>
        <x:v>4420</x:v>
      </x:c>
      <x:c r="P3695" s="22" t="n">
        <x:f>O3695*(1-N3695)</x:f>
        <x:v>4199</x:v>
      </x:c>
      <x:c r="Q3695" s="22" t="n">
        <x:v>235</x:v>
      </x:c>
      <x:c r="R3695" s="22" t="n">
        <x:f>Q3695*M3695</x:f>
        <x:v>3995</x:v>
      </x:c>
      <x:c r="S3695" s="22" t="n">
        <x:f>P3695-R3695</x:f>
        <x:v>204</x:v>
      </x:c>
      <x:c r="T3695" t="str">
        <x:v>Bank Transfer</x:v>
      </x:c>
      <x:c r="U3695" t="str">
        <x:v>Paid</x:v>
      </x:c>
      <x:c r="V3695" t="str">
        <x:v>Delivered</x:v>
      </x:c>
      <x:c r="W3695" t="n">
        <x:v>0</x:v>
      </x:c>
      <x:c r="X3695" t="str"/>
      <x:c r="Y3695" t="str">
        <x:v>Existing Customer</x:v>
      </x:c>
    </x:row>
    <x:row r="3696">
      <x:c r="A3696" t="str">
        <x:v>O003695</x:v>
      </x:c>
      <x:c r="B3696" s="20" t="n">
        <x:v>46019</x:v>
      </x:c>
      <x:c r="C3696" t="str">
        <x:v>C0051</x:v>
      </x:c>
      <x:c r="D3696" t="str">
        <x:v>Cafe Hotel 51</x:v>
      </x:c>
      <x:c r="E3696" t="str">
        <x:v>Kirana</x:v>
      </x:c>
      <x:c r="F3696" t="str">
        <x:v>Tumakuru</x:v>
      </x:c>
      <x:c r="G3696" t="str">
        <x:v>Arjun</x:v>
      </x:c>
      <x:c r="H3696" t="str">
        <x:v>P049</x:v>
      </x:c>
      <x:c r="I3696" t="str">
        <x:v>Apple 10kg</x:v>
      </x:c>
      <x:c r="J3696" t="str">
        <x:v>Fresh Produce</x:v>
      </x:c>
      <x:c r="K3696" t="str">
        <x:v>Local Market</x:v>
      </x:c>
      <x:c r="L3696" s="22" t="n">
        <x:v>1450</x:v>
      </x:c>
      <x:c r="M3696" t="n">
        <x:v>5</x:v>
      </x:c>
      <x:c r="N3696" s="24" t="n">
        <x:v>0.08</x:v>
      </x:c>
      <x:c r="O3696" s="22" t="n">
        <x:f>L3696*M3696</x:f>
        <x:v>7250</x:v>
      </x:c>
      <x:c r="P3696" s="22" t="n">
        <x:f>O3696*(1-N3696)</x:f>
        <x:v>6670</x:v>
      </x:c>
      <x:c r="Q3696" s="22" t="n">
        <x:v>1280</x:v>
      </x:c>
      <x:c r="R3696" s="22" t="n">
        <x:f>Q3696*M3696</x:f>
        <x:v>6400</x:v>
      </x:c>
      <x:c r="S3696" s="22" t="n">
        <x:f>P3696-R3696</x:f>
        <x:v>270</x:v>
      </x:c>
      <x:c r="T3696" t="str">
        <x:v>UPI</x:v>
      </x:c>
      <x:c r="U3696" t="str">
        <x:v>Paid</x:v>
      </x:c>
      <x:c r="V3696" t="str">
        <x:v>Delivered</x:v>
      </x:c>
      <x:c r="W3696" t="n">
        <x:v>0</x:v>
      </x:c>
      <x:c r="X3696" t="str"/>
      <x:c r="Y3696" t="str">
        <x:v>Field Visit</x:v>
      </x:c>
    </x:row>
    <x:row r="3697">
      <x:c r="A3697" t="str">
        <x:v>O003696</x:v>
      </x:c>
      <x:c r="B3697" s="20" t="n">
        <x:v>46236</x:v>
      </x:c>
      <x:c r="C3697" t="str">
        <x:v>C0047</x:v>
      </x:c>
      <x:c r="D3697" t="str">
        <x:v>Shree Restaurant 47</x:v>
      </x:c>
      <x:c r="E3697" t="str">
        <x:v>Canteen</x:v>
      </x:c>
      <x:c r="F3697" t="str">
        <x:v>Davanagere</x:v>
      </x:c>
      <x:c r="G3697" t="str">
        <x:v>Arjun</x:v>
      </x:c>
      <x:c r="H3697" t="str">
        <x:v>P021</x:v>
      </x:c>
      <x:c r="I3697" t="str">
        <x:v>Instant Coffee 200g</x:v>
      </x:c>
      <x:c r="J3697" t="str">
        <x:v>Beverage</x:v>
      </x:c>
      <x:c r="K3697" t="str">
        <x:v>Nescafe</x:v>
      </x:c>
      <x:c r="L3697" s="22" t="n">
        <x:v>460</x:v>
      </x:c>
      <x:c r="M3697" t="n">
        <x:v>29</x:v>
      </x:c>
      <x:c r="N3697" s="24" t="n">
        <x:v>0.05</x:v>
      </x:c>
      <x:c r="O3697" s="22" t="n">
        <x:f>L3697*M3697</x:f>
        <x:v>13340</x:v>
      </x:c>
      <x:c r="P3697" s="22" t="n">
        <x:f>O3697*(1-N3697)</x:f>
        <x:v>12673</x:v>
      </x:c>
      <x:c r="Q3697" s="22" t="n">
        <x:v>410</x:v>
      </x:c>
      <x:c r="R3697" s="22" t="n">
        <x:f>Q3697*M3697</x:f>
        <x:v>11890</x:v>
      </x:c>
      <x:c r="S3697" s="22" t="n">
        <x:f>P3697-R3697</x:f>
        <x:v>783</x:v>
      </x:c>
      <x:c r="T3697" t="str">
        <x:v>UPI</x:v>
      </x:c>
      <x:c r="U3697" t="str">
        <x:v>Pending</x:v>
      </x:c>
      <x:c r="V3697" t="str">
        <x:v>Delivered</x:v>
      </x:c>
      <x:c r="W3697" t="n">
        <x:v>0</x:v>
      </x:c>
      <x:c r="X3697" t="str"/>
      <x:c r="Y3697" t="str">
        <x:v>Referral</x:v>
      </x:c>
    </x:row>
    <x:row r="3698">
      <x:c r="A3698" t="str">
        <x:v>O003697</x:v>
      </x:c>
      <x:c r="B3698" s="20" t="n">
        <x:v>46116</x:v>
      </x:c>
      <x:c r="C3698" t="str">
        <x:v>C0139</x:v>
      </x:c>
      <x:c r="D3698" t="str">
        <x:v>Classic Hotel 139</x:v>
      </x:c>
      <x:c r="E3698" t="str">
        <x:v>Cafe</x:v>
      </x:c>
      <x:c r="F3698" t="str">
        <x:v>Mysuru</x:v>
      </x:c>
      <x:c r="G3698" t="str">
        <x:v>Vikram</x:v>
      </x:c>
      <x:c r="H3698" t="str">
        <x:v>P046</x:v>
      </x:c>
      <x:c r="I3698" t="str">
        <x:v>Potato 25kg</x:v>
      </x:c>
      <x:c r="J3698" t="str">
        <x:v>Fresh Produce</x:v>
      </x:c>
      <x:c r="K3698" t="str">
        <x:v>Local Market</x:v>
      </x:c>
      <x:c r="L3698" s="22" t="n">
        <x:v>700</x:v>
      </x:c>
      <x:c r="M3698" t="n">
        <x:v>27</x:v>
      </x:c>
      <x:c r="N3698" s="24" t="n">
        <x:v>0.1</x:v>
      </x:c>
      <x:c r="O3698" s="22" t="n">
        <x:f>L3698*M3698</x:f>
        <x:v>18900</x:v>
      </x:c>
      <x:c r="P3698" s="22" t="n">
        <x:f>O3698*(1-N3698)</x:f>
        <x:v>17010</x:v>
      </x:c>
      <x:c r="Q3698" s="22" t="n">
        <x:v>610</x:v>
      </x:c>
      <x:c r="R3698" s="22" t="n">
        <x:f>Q3698*M3698</x:f>
        <x:v>16470</x:v>
      </x:c>
      <x:c r="S3698" s="22" t="n">
        <x:f>P3698-R3698</x:f>
        <x:v>540</x:v>
      </x:c>
      <x:c r="T3698" t="str">
        <x:v>Credit</x:v>
      </x:c>
      <x:c r="U3698" t="str">
        <x:v>Pending</x:v>
      </x:c>
      <x:c r="V3698" t="str">
        <x:v>Delivered</x:v>
      </x:c>
      <x:c r="W3698" t="n">
        <x:v>0</x:v>
      </x:c>
      <x:c r="X3698" t="str"/>
      <x:c r="Y3698" t="str">
        <x:v>WhatsApp</x:v>
      </x:c>
    </x:row>
    <x:row r="3699">
      <x:c r="A3699" t="str">
        <x:v>O003698</x:v>
      </x:c>
      <x:c r="B3699" s="20" t="n">
        <x:v>46194</x:v>
      </x:c>
      <x:c r="C3699" t="str">
        <x:v>C0216</x:v>
      </x:c>
      <x:c r="D3699" t="str">
        <x:v>Cafe Restaurant 216</x:v>
      </x:c>
      <x:c r="E3699" t="str">
        <x:v>Canteen</x:v>
      </x:c>
      <x:c r="F3699" t="str">
        <x:v>Bengaluru</x:v>
      </x:c>
      <x:c r="G3699" t="str">
        <x:v>Vikram</x:v>
      </x:c>
      <x:c r="H3699" t="str">
        <x:v>P047</x:v>
      </x:c>
      <x:c r="I3699" t="str">
        <x:v>Tomato 25kg</x:v>
      </x:c>
      <x:c r="J3699" t="str">
        <x:v>Fresh Produce</x:v>
      </x:c>
      <x:c r="K3699" t="str">
        <x:v>Local Market</x:v>
      </x:c>
      <x:c r="L3699" s="22" t="n">
        <x:v>950</x:v>
      </x:c>
      <x:c r="M3699" t="n">
        <x:v>37</x:v>
      </x:c>
      <x:c r="N3699" s="24" t="n">
        <x:v>0.08</x:v>
      </x:c>
      <x:c r="O3699" s="22" t="n">
        <x:f>L3699*M3699</x:f>
        <x:v>35150</x:v>
      </x:c>
      <x:c r="P3699" s="22" t="n">
        <x:f>O3699*(1-N3699)</x:f>
        <x:v>32338</x:v>
      </x:c>
      <x:c r="Q3699" s="22" t="n">
        <x:v>810</x:v>
      </x:c>
      <x:c r="R3699" s="22" t="n">
        <x:f>Q3699*M3699</x:f>
        <x:v>29970</x:v>
      </x:c>
      <x:c r="S3699" s="22" t="n">
        <x:f>P3699-R3699</x:f>
        <x:v>2368</x:v>
      </x:c>
      <x:c r="T3699" t="str">
        <x:v>UPI</x:v>
      </x:c>
      <x:c r="U3699" t="str">
        <x:v>Pending</x:v>
      </x:c>
      <x:c r="V3699" t="str">
        <x:v>Delivered</x:v>
      </x:c>
      <x:c r="W3699" t="n">
        <x:v>2</x:v>
      </x:c>
      <x:c r="X3699" t="str">
        <x:v>Late Delivery</x:v>
      </x:c>
      <x:c r="Y3699" t="str">
        <x:v>Existing Customer</x:v>
      </x:c>
    </x:row>
    <x:row r="3700">
      <x:c r="A3700" t="str">
        <x:v>O003699</x:v>
      </x:c>
      <x:c r="B3700" s="20" t="n">
        <x:v>45955</x:v>
      </x:c>
      <x:c r="C3700" t="str">
        <x:v>C0119</x:v>
      </x:c>
      <x:c r="D3700" t="str">
        <x:v>Foodie Foods 119</x:v>
      </x:c>
      <x:c r="E3700" t="str">
        <x:v>Kirana</x:v>
      </x:c>
      <x:c r="F3700" t="str">
        <x:v>Hubballi</x:v>
      </x:c>
      <x:c r="G3700" t="str">
        <x:v>Imran</x:v>
      </x:c>
      <x:c r="H3700" t="str">
        <x:v>P019</x:v>
      </x:c>
      <x:c r="I3700" t="str">
        <x:v>Tea 1kg</x:v>
      </x:c>
      <x:c r="J3700" t="str">
        <x:v>Beverage</x:v>
      </x:c>
      <x:c r="K3700" t="str">
        <x:v>Red Label</x:v>
      </x:c>
      <x:c r="L3700" s="22" t="n">
        <x:v>540</x:v>
      </x:c>
      <x:c r="M3700" t="n">
        <x:v>13</x:v>
      </x:c>
      <x:c r="N3700" s="24" t="n">
        <x:v>0</x:v>
      </x:c>
      <x:c r="O3700" s="22" t="n">
        <x:f>L3700*M3700</x:f>
        <x:v>7020</x:v>
      </x:c>
      <x:c r="P3700" s="22" t="n">
        <x:f>O3700*(1-N3700)</x:f>
        <x:v>7020</x:v>
      </x:c>
      <x:c r="Q3700" s="22" t="n">
        <x:v>485</x:v>
      </x:c>
      <x:c r="R3700" s="22" t="n">
        <x:f>Q3700*M3700</x:f>
        <x:v>6305</x:v>
      </x:c>
      <x:c r="S3700" s="22" t="n">
        <x:f>P3700-R3700</x:f>
        <x:v>715</x:v>
      </x:c>
      <x:c r="T3700" t="str">
        <x:v>UPI</x:v>
      </x:c>
      <x:c r="U3700" t="str">
        <x:v>Paid</x:v>
      </x:c>
      <x:c r="V3700" t="str">
        <x:v>Delivered</x:v>
      </x:c>
      <x:c r="W3700" t="n">
        <x:v>0</x:v>
      </x:c>
      <x:c r="X3700" t="str"/>
      <x:c r="Y3700" t="str">
        <x:v>Existing Customer</x:v>
      </x:c>
    </x:row>
    <x:row r="3701">
      <x:c r="A3701" t="str">
        <x:v>O003700</x:v>
      </x:c>
      <x:c r="B3701" s="20" t="n">
        <x:v>46116</x:v>
      </x:c>
      <x:c r="C3701" t="str">
        <x:v>C0163</x:v>
      </x:c>
      <x:c r="D3701" t="str">
        <x:v>Shree Kitchen 163</x:v>
      </x:c>
      <x:c r="E3701" t="str">
        <x:v>Kirana</x:v>
      </x:c>
      <x:c r="F3701" t="str">
        <x:v>Mysuru</x:v>
      </x:c>
      <x:c r="G3701" t="str">
        <x:v>Priya</x:v>
      </x:c>
      <x:c r="H3701" t="str">
        <x:v>P040</x:v>
      </x:c>
      <x:c r="I3701" t="str">
        <x:v>Bread Loaf 400g</x:v>
      </x:c>
      <x:c r="J3701" t="str">
        <x:v>Bakery</x:v>
      </x:c>
      <x:c r="K3701" t="str">
        <x:v>Britannia</x:v>
      </x:c>
      <x:c r="L3701" s="22" t="n">
        <x:v>45</x:v>
      </x:c>
      <x:c r="M3701" t="n">
        <x:v>1</x:v>
      </x:c>
      <x:c r="N3701" s="24" t="n">
        <x:v>0</x:v>
      </x:c>
      <x:c r="O3701" s="22" t="n">
        <x:f>L3701*M3701</x:f>
        <x:v>45</x:v>
      </x:c>
      <x:c r="P3701" s="22" t="n">
        <x:f>O3701*(1-N3701)</x:f>
        <x:v>45</x:v>
      </x:c>
      <x:c r="Q3701" s="22" t="n">
        <x:v>35</x:v>
      </x:c>
      <x:c r="R3701" s="22" t="n">
        <x:f>Q3701*M3701</x:f>
        <x:v>35</x:v>
      </x:c>
      <x:c r="S3701" s="22" t="n">
        <x:f>P3701-R3701</x:f>
        <x:v>10</x:v>
      </x:c>
      <x:c r="T3701" t="str">
        <x:v>Credit</x:v>
      </x:c>
      <x:c r="U3701" t="str">
        <x:v>Paid</x:v>
      </x:c>
      <x:c r="V3701" t="str">
        <x:v>Delivered</x:v>
      </x:c>
      <x:c r="W3701" t="n">
        <x:v>0</x:v>
      </x:c>
      <x:c r="X3701" t="str"/>
      <x:c r="Y3701" t="str">
        <x:v>WhatsApp</x:v>
      </x:c>
    </x:row>
    <x:row r="3702">
      <x:c r="A3702" t="str">
        <x:v>O003701</x:v>
      </x:c>
      <x:c r="B3702" s="20" t="n">
        <x:v>46230</x:v>
      </x:c>
      <x:c r="C3702" t="str">
        <x:v>C0239</x:v>
      </x:c>
      <x:c r="D3702" t="str">
        <x:v>Royal Hotel 239</x:v>
      </x:c>
      <x:c r="E3702" t="str">
        <x:v>Restaurant</x:v>
      </x:c>
      <x:c r="F3702" t="str">
        <x:v>Hubballi</x:v>
      </x:c>
      <x:c r="G3702" t="str">
        <x:v>Priya</x:v>
      </x:c>
      <x:c r="H3702" t="str">
        <x:v>P020</x:v>
      </x:c>
      <x:c r="I3702" t="str">
        <x:v>Coffee 500g</x:v>
      </x:c>
      <x:c r="J3702" t="str">
        <x:v>Beverage</x:v>
      </x:c>
      <x:c r="K3702" t="str">
        <x:v>Bru</x:v>
      </x:c>
      <x:c r="L3702" s="22" t="n">
        <x:v>390</x:v>
      </x:c>
      <x:c r="M3702" t="n">
        <x:v>6</x:v>
      </x:c>
      <x:c r="N3702" s="24" t="n">
        <x:v>0.03</x:v>
      </x:c>
      <x:c r="O3702" s="22" t="n">
        <x:f>L3702*M3702</x:f>
        <x:v>2340</x:v>
      </x:c>
      <x:c r="P3702" s="22" t="n">
        <x:f>O3702*(1-N3702)</x:f>
        <x:v>2269.7999999999997</x:v>
      </x:c>
      <x:c r="Q3702" s="22" t="n">
        <x:v>350</x:v>
      </x:c>
      <x:c r="R3702" s="22" t="n">
        <x:f>Q3702*M3702</x:f>
        <x:v>2100</x:v>
      </x:c>
      <x:c r="S3702" s="22" t="n">
        <x:f>P3702-R3702</x:f>
        <x:v>169.79999999999973</x:v>
      </x:c>
      <x:c r="T3702" t="str">
        <x:v>UPI</x:v>
      </x:c>
      <x:c r="U3702" t="str">
        <x:v>Paid</x:v>
      </x:c>
      <x:c r="V3702" t="str">
        <x:v>Delivered</x:v>
      </x:c>
      <x:c r="W3702" t="n">
        <x:v>0</x:v>
      </x:c>
      <x:c r="X3702" t="str"/>
      <x:c r="Y3702" t="str">
        <x:v>WhatsApp</x:v>
      </x:c>
    </x:row>
    <x:row r="3703">
      <x:c r="A3703" t="str">
        <x:v>O003702</x:v>
      </x:c>
      <x:c r="B3703" s="20" t="n">
        <x:v>46106</x:v>
      </x:c>
      <x:c r="C3703" t="str">
        <x:v>C0015</x:v>
      </x:c>
      <x:c r="D3703" t="str">
        <x:v>Royal Foods 15</x:v>
      </x:c>
      <x:c r="E3703" t="str">
        <x:v>Cafe</x:v>
      </x:c>
      <x:c r="F3703" t="str">
        <x:v>Mysuru</x:v>
      </x:c>
      <x:c r="G3703" t="str">
        <x:v>Ramesh</x:v>
      </x:c>
      <x:c r="H3703" t="str">
        <x:v>P022</x:v>
      </x:c>
      <x:c r="I3703" t="str">
        <x:v>Mineral Water 1L</x:v>
      </x:c>
      <x:c r="J3703" t="str">
        <x:v>Beverage</x:v>
      </x:c>
      <x:c r="K3703" t="str">
        <x:v>Bisleri</x:v>
      </x:c>
      <x:c r="L3703" s="22" t="n">
        <x:v>19</x:v>
      </x:c>
      <x:c r="M3703" t="n">
        <x:v>29</x:v>
      </x:c>
      <x:c r="N3703" s="24" t="n">
        <x:v>0.03</x:v>
      </x:c>
      <x:c r="O3703" s="22" t="n">
        <x:f>L3703*M3703</x:f>
        <x:v>551</x:v>
      </x:c>
      <x:c r="P3703" s="22" t="n">
        <x:f>O3703*(1-N3703)</x:f>
        <x:v>534.47</x:v>
      </x:c>
      <x:c r="Q3703" s="22" t="n">
        <x:v>15</x:v>
      </x:c>
      <x:c r="R3703" s="22" t="n">
        <x:f>Q3703*M3703</x:f>
        <x:v>435</x:v>
      </x:c>
      <x:c r="S3703" s="22" t="n">
        <x:f>P3703-R3703</x:f>
        <x:v>99.47000000000003</x:v>
      </x:c>
      <x:c r="T3703" t="str">
        <x:v>Credit</x:v>
      </x:c>
      <x:c r="U3703" t="str">
        <x:v>Paid</x:v>
      </x:c>
      <x:c r="V3703" t="str">
        <x:v>Delayed</x:v>
      </x:c>
      <x:c r="W3703" t="n">
        <x:v>0</x:v>
      </x:c>
      <x:c r="X3703" t="str"/>
      <x:c r="Y3703" t="str">
        <x:v>Referral</x:v>
      </x:c>
    </x:row>
    <x:row r="3704">
      <x:c r="A3704" t="str">
        <x:v>O003703</x:v>
      </x:c>
      <x:c r="B3704" s="20" t="n">
        <x:v>46230</x:v>
      </x:c>
      <x:c r="C3704" t="str">
        <x:v>C0201</x:v>
      </x:c>
      <x:c r="D3704" t="str">
        <x:v>Metro Hotel 201</x:v>
      </x:c>
      <x:c r="E3704" t="str">
        <x:v>Kirana</x:v>
      </x:c>
      <x:c r="F3704" t="str">
        <x:v>Mysuru</x:v>
      </x:c>
      <x:c r="G3704" t="str">
        <x:v>Imran</x:v>
      </x:c>
      <x:c r="H3704" t="str">
        <x:v>P043</x:v>
      </x:c>
      <x:c r="I3704" t="str">
        <x:v>Chicken Breast 1kg</x:v>
      </x:c>
      <x:c r="J3704" t="str">
        <x:v>Protein</x:v>
      </x:c>
      <x:c r="K3704" t="str">
        <x:v>FreshToHome</x:v>
      </x:c>
      <x:c r="L3704" s="22" t="n">
        <x:v>260</x:v>
      </x:c>
      <x:c r="M3704" t="n">
        <x:v>36</x:v>
      </x:c>
      <x:c r="N3704" s="24" t="n">
        <x:v>0.05</x:v>
      </x:c>
      <x:c r="O3704" s="22" t="n">
        <x:f>L3704*M3704</x:f>
        <x:v>9360</x:v>
      </x:c>
      <x:c r="P3704" s="22" t="n">
        <x:f>O3704*(1-N3704)</x:f>
        <x:v>8892</x:v>
      </x:c>
      <x:c r="Q3704" s="22" t="n">
        <x:v>235</x:v>
      </x:c>
      <x:c r="R3704" s="22" t="n">
        <x:f>Q3704*M3704</x:f>
        <x:v>8460</x:v>
      </x:c>
      <x:c r="S3704" s="22" t="n">
        <x:f>P3704-R3704</x:f>
        <x:v>432</x:v>
      </x:c>
      <x:c r="T3704" t="str">
        <x:v>UPI</x:v>
      </x:c>
      <x:c r="U3704" t="str">
        <x:v>Pending</x:v>
      </x:c>
      <x:c r="V3704" t="str">
        <x:v>Delivered</x:v>
      </x:c>
      <x:c r="W3704" t="n">
        <x:v>0</x:v>
      </x:c>
      <x:c r="X3704" t="str"/>
      <x:c r="Y3704" t="str">
        <x:v>Existing Customer</x:v>
      </x:c>
    </x:row>
    <x:row r="3705">
      <x:c r="A3705" t="str">
        <x:v>O003704</x:v>
      </x:c>
      <x:c r="B3705" s="20" t="n">
        <x:v>46106</x:v>
      </x:c>
      <x:c r="C3705" t="str">
        <x:v>C0114</x:v>
      </x:c>
      <x:c r="D3705" t="str">
        <x:v>Annapurna Restaurant 114</x:v>
      </x:c>
      <x:c r="E3705" t="str">
        <x:v>Restaurant</x:v>
      </x:c>
      <x:c r="F3705" t="str">
        <x:v>Davanagere</x:v>
      </x:c>
      <x:c r="G3705" t="str">
        <x:v>Arjun</x:v>
      </x:c>
      <x:c r="H3705" t="str">
        <x:v>P021</x:v>
      </x:c>
      <x:c r="I3705" t="str">
        <x:v>Instant Coffee 200g</x:v>
      </x:c>
      <x:c r="J3705" t="str">
        <x:v>Beverage</x:v>
      </x:c>
      <x:c r="K3705" t="str">
        <x:v>Nescafe</x:v>
      </x:c>
      <x:c r="L3705" s="22" t="n">
        <x:v>460</x:v>
      </x:c>
      <x:c r="M3705" t="n">
        <x:v>18</x:v>
      </x:c>
      <x:c r="N3705" s="24" t="n">
        <x:v>0</x:v>
      </x:c>
      <x:c r="O3705" s="22" t="n">
        <x:f>L3705*M3705</x:f>
        <x:v>8280</x:v>
      </x:c>
      <x:c r="P3705" s="22" t="n">
        <x:f>O3705*(1-N3705)</x:f>
        <x:v>8280</x:v>
      </x:c>
      <x:c r="Q3705" s="22" t="n">
        <x:v>410</x:v>
      </x:c>
      <x:c r="R3705" s="22" t="n">
        <x:f>Q3705*M3705</x:f>
        <x:v>7380</x:v>
      </x:c>
      <x:c r="S3705" s="22" t="n">
        <x:f>P3705-R3705</x:f>
        <x:v>900</x:v>
      </x:c>
      <x:c r="T3705" t="str">
        <x:v>Bank Transfer</x:v>
      </x:c>
      <x:c r="U3705" t="str">
        <x:v>Paid</x:v>
      </x:c>
      <x:c r="V3705" t="str">
        <x:v>Delivered</x:v>
      </x:c>
      <x:c r="W3705" t="n">
        <x:v>0</x:v>
      </x:c>
      <x:c r="X3705" t="str"/>
      <x:c r="Y3705" t="str">
        <x:v>Outbound Call</x:v>
      </x:c>
    </x:row>
    <x:row r="3706">
      <x:c r="A3706" t="str">
        <x:v>O003705</x:v>
      </x:c>
      <x:c r="B3706" s="20" t="n">
        <x:v>46151</x:v>
      </x:c>
      <x:c r="C3706" t="str">
        <x:v>C0126</x:v>
      </x:c>
      <x:c r="D3706" t="str">
        <x:v>Mysore Hotel 126</x:v>
      </x:c>
      <x:c r="E3706" t="str">
        <x:v>Restaurant</x:v>
      </x:c>
      <x:c r="F3706" t="str">
        <x:v>Mangaluru</x:v>
      </x:c>
      <x:c r="G3706" t="str">
        <x:v>Vikram</x:v>
      </x:c>
      <x:c r="H3706" t="str">
        <x:v>P034</x:v>
      </x:c>
      <x:c r="I3706" t="str">
        <x:v>Chilli Powder 1kg</x:v>
      </x:c>
      <x:c r="J3706" t="str">
        <x:v>Spices</x:v>
      </x:c>
      <x:c r="K3706" t="str">
        <x:v>MDH</x:v>
      </x:c>
      <x:c r="L3706" s="22" t="n">
        <x:v>340</x:v>
      </x:c>
      <x:c r="M3706" t="n">
        <x:v>8</x:v>
      </x:c>
      <x:c r="N3706" s="24" t="n">
        <x:v>0.03</x:v>
      </x:c>
      <x:c r="O3706" s="22" t="n">
        <x:f>L3706*M3706</x:f>
        <x:v>2720</x:v>
      </x:c>
      <x:c r="P3706" s="22" t="n">
        <x:f>O3706*(1-N3706)</x:f>
        <x:v>2638.4</x:v>
      </x:c>
      <x:c r="Q3706" s="22" t="n">
        <x:v>295</x:v>
      </x:c>
      <x:c r="R3706" s="22" t="n">
        <x:f>Q3706*M3706</x:f>
        <x:v>2360</x:v>
      </x:c>
      <x:c r="S3706" s="22" t="n">
        <x:f>P3706-R3706</x:f>
        <x:v>278.4000000000001</x:v>
      </x:c>
      <x:c r="T3706" t="str">
        <x:v>Bank Transfer</x:v>
      </x:c>
      <x:c r="U3706" t="str">
        <x:v>Paid</x:v>
      </x:c>
      <x:c r="V3706" t="str">
        <x:v>Delayed</x:v>
      </x:c>
      <x:c r="W3706" t="n">
        <x:v>0</x:v>
      </x:c>
      <x:c r="X3706" t="str"/>
      <x:c r="Y3706" t="str">
        <x:v>WhatsApp</x:v>
      </x:c>
    </x:row>
    <x:row r="3707">
      <x:c r="A3707" t="str">
        <x:v>O003706</x:v>
      </x:c>
      <x:c r="B3707" s="20" t="n">
        <x:v>45989</x:v>
      </x:c>
      <x:c r="C3707" t="str">
        <x:v>C0045</x:v>
      </x:c>
      <x:c r="D3707" t="str">
        <x:v>Annapurna Restaurant 45</x:v>
      </x:c>
      <x:c r="E3707" t="str">
        <x:v>Kirana</x:v>
      </x:c>
      <x:c r="F3707" t="str">
        <x:v>Mysuru</x:v>
      </x:c>
      <x:c r="G3707" t="str">
        <x:v>Arjun</x:v>
      </x:c>
      <x:c r="H3707" t="str">
        <x:v>P025</x:v>
      </x:c>
      <x:c r="I3707" t="str">
        <x:v>Potato Chips 100g</x:v>
      </x:c>
      <x:c r="J3707" t="str">
        <x:v>Snacks</x:v>
      </x:c>
      <x:c r="K3707" t="str">
        <x:v>Lay's</x:v>
      </x:c>
      <x:c r="L3707" s="22" t="n">
        <x:v>35</x:v>
      </x:c>
      <x:c r="M3707" t="n">
        <x:v>22</x:v>
      </x:c>
      <x:c r="N3707" s="24" t="n">
        <x:v>0.05</x:v>
      </x:c>
      <x:c r="O3707" s="22" t="n">
        <x:f>L3707*M3707</x:f>
        <x:v>770</x:v>
      </x:c>
      <x:c r="P3707" s="22" t="n">
        <x:f>O3707*(1-N3707)</x:f>
        <x:v>731.5</x:v>
      </x:c>
      <x:c r="Q3707" s="22" t="n">
        <x:v>27</x:v>
      </x:c>
      <x:c r="R3707" s="22" t="n">
        <x:f>Q3707*M3707</x:f>
        <x:v>594</x:v>
      </x:c>
      <x:c r="S3707" s="22" t="n">
        <x:f>P3707-R3707</x:f>
        <x:v>137.5</x:v>
      </x:c>
      <x:c r="T3707" t="str">
        <x:v>Credit</x:v>
      </x:c>
      <x:c r="U3707" t="str">
        <x:v>Paid</x:v>
      </x:c>
      <x:c r="V3707" t="str">
        <x:v>Delivered</x:v>
      </x:c>
      <x:c r="W3707" t="n">
        <x:v>0</x:v>
      </x:c>
      <x:c r="X3707" t="str"/>
      <x:c r="Y3707" t="str">
        <x:v>WhatsApp</x:v>
      </x:c>
    </x:row>
    <x:row r="3708">
      <x:c r="A3708" t="str">
        <x:v>O003707</x:v>
      </x:c>
      <x:c r="B3708" s="20" t="n">
        <x:v>46030</x:v>
      </x:c>
      <x:c r="C3708" t="str">
        <x:v>C0067</x:v>
      </x:c>
      <x:c r="D3708" t="str">
        <x:v>Royal Restaurant 67</x:v>
      </x:c>
      <x:c r="E3708" t="str">
        <x:v>Supermarket</x:v>
      </x:c>
      <x:c r="F3708" t="str">
        <x:v>Tumakuru</x:v>
      </x:c>
      <x:c r="G3708" t="str">
        <x:v>Sneha</x:v>
      </x:c>
      <x:c r="H3708" t="str">
        <x:v>P045</x:v>
      </x:c>
      <x:c r="I3708" t="str">
        <x:v>Onion 25kg</x:v>
      </x:c>
      <x:c r="J3708" t="str">
        <x:v>Fresh Produce</x:v>
      </x:c>
      <x:c r="K3708" t="str">
        <x:v>Local Market</x:v>
      </x:c>
      <x:c r="L3708" s="22" t="n">
        <x:v>875</x:v>
      </x:c>
      <x:c r="M3708" t="n">
        <x:v>7</x:v>
      </x:c>
      <x:c r="N3708" s="24" t="n">
        <x:v>0.05</x:v>
      </x:c>
      <x:c r="O3708" s="22" t="n">
        <x:f>L3708*M3708</x:f>
        <x:v>6125</x:v>
      </x:c>
      <x:c r="P3708" s="22" t="n">
        <x:f>O3708*(1-N3708)</x:f>
        <x:v>5818.75</x:v>
      </x:c>
      <x:c r="Q3708" s="22" t="n">
        <x:v>760</x:v>
      </x:c>
      <x:c r="R3708" s="22" t="n">
        <x:f>Q3708*M3708</x:f>
        <x:v>5320</x:v>
      </x:c>
      <x:c r="S3708" s="22" t="n">
        <x:f>P3708-R3708</x:f>
        <x:v>498.75</x:v>
      </x:c>
      <x:c r="T3708" t="str">
        <x:v>Cash</x:v>
      </x:c>
      <x:c r="U3708" t="str">
        <x:v>Paid</x:v>
      </x:c>
      <x:c r="V3708" t="str">
        <x:v>Delivered</x:v>
      </x:c>
      <x:c r="W3708" t="n">
        <x:v>0</x:v>
      </x:c>
      <x:c r="X3708" t="str"/>
      <x:c r="Y3708" t="str">
        <x:v>Referral</x:v>
      </x:c>
    </x:row>
    <x:row r="3709">
      <x:c r="A3709" t="str">
        <x:v>O003708</x:v>
      </x:c>
      <x:c r="B3709" s="20" t="n">
        <x:v>45962</x:v>
      </x:c>
      <x:c r="C3709" t="str">
        <x:v>C0185</x:v>
      </x:c>
      <x:c r="D3709" t="str">
        <x:v>Mysore Foods 185</x:v>
      </x:c>
      <x:c r="E3709" t="str">
        <x:v>Restaurant</x:v>
      </x:c>
      <x:c r="F3709" t="str">
        <x:v>Mysuru</x:v>
      </x:c>
      <x:c r="G3709" t="str">
        <x:v>Sneha</x:v>
      </x:c>
      <x:c r="H3709" t="str">
        <x:v>P020</x:v>
      </x:c>
      <x:c r="I3709" t="str">
        <x:v>Coffee 500g</x:v>
      </x:c>
      <x:c r="J3709" t="str">
        <x:v>Beverage</x:v>
      </x:c>
      <x:c r="K3709" t="str">
        <x:v>Bru</x:v>
      </x:c>
      <x:c r="L3709" s="22" t="n">
        <x:v>390</x:v>
      </x:c>
      <x:c r="M3709" t="n">
        <x:v>34</x:v>
      </x:c>
      <x:c r="N3709" s="24" t="n">
        <x:v>0.03</x:v>
      </x:c>
      <x:c r="O3709" s="22" t="n">
        <x:f>L3709*M3709</x:f>
        <x:v>13260</x:v>
      </x:c>
      <x:c r="P3709" s="22" t="n">
        <x:f>O3709*(1-N3709)</x:f>
        <x:v>12862.199999999999</x:v>
      </x:c>
      <x:c r="Q3709" s="22" t="n">
        <x:v>350</x:v>
      </x:c>
      <x:c r="R3709" s="22" t="n">
        <x:f>Q3709*M3709</x:f>
        <x:v>11900</x:v>
      </x:c>
      <x:c r="S3709" s="22" t="n">
        <x:f>P3709-R3709</x:f>
        <x:v>962.1999999999989</x:v>
      </x:c>
      <x:c r="T3709" t="str">
        <x:v>Cash</x:v>
      </x:c>
      <x:c r="U3709" t="str">
        <x:v>Paid</x:v>
      </x:c>
      <x:c r="V3709" t="str">
        <x:v>Delivered</x:v>
      </x:c>
      <x:c r="W3709" t="n">
        <x:v>0</x:v>
      </x:c>
      <x:c r="X3709" t="str"/>
      <x:c r="Y3709" t="str">
        <x:v>Existing Customer</x:v>
      </x:c>
    </x:row>
    <x:row r="3710">
      <x:c r="A3710" t="str">
        <x:v>O003709</x:v>
      </x:c>
      <x:c r="B3710" s="20" t="n">
        <x:v>45773</x:v>
      </x:c>
      <x:c r="C3710" t="str">
        <x:v>C0013</x:v>
      </x:c>
      <x:c r="D3710" t="str">
        <x:v>Foodie Restaurant 13</x:v>
      </x:c>
      <x:c r="E3710" t="str">
        <x:v>Kirana</x:v>
      </x:c>
      <x:c r="F3710" t="str">
        <x:v>Mysuru</x:v>
      </x:c>
      <x:c r="G3710" t="str">
        <x:v>Sneha</x:v>
      </x:c>
      <x:c r="H3710" t="str">
        <x:v>P046</x:v>
      </x:c>
      <x:c r="I3710" t="str">
        <x:v>Potato 25kg</x:v>
      </x:c>
      <x:c r="J3710" t="str">
        <x:v>Fresh Produce</x:v>
      </x:c>
      <x:c r="K3710" t="str">
        <x:v>Local Market</x:v>
      </x:c>
      <x:c r="L3710" s="22" t="n">
        <x:v>700</x:v>
      </x:c>
      <x:c r="M3710" t="n">
        <x:v>34</x:v>
      </x:c>
      <x:c r="N3710" s="24" t="n">
        <x:v>0.02</x:v>
      </x:c>
      <x:c r="O3710" s="22" t="n">
        <x:f>L3710*M3710</x:f>
        <x:v>23800</x:v>
      </x:c>
      <x:c r="P3710" s="22" t="n">
        <x:f>O3710*(1-N3710)</x:f>
        <x:v>23324</x:v>
      </x:c>
      <x:c r="Q3710" s="22" t="n">
        <x:v>610</x:v>
      </x:c>
      <x:c r="R3710" s="22" t="n">
        <x:f>Q3710*M3710</x:f>
        <x:v>20740</x:v>
      </x:c>
      <x:c r="S3710" s="22" t="n">
        <x:f>P3710-R3710</x:f>
        <x:v>2584</x:v>
      </x:c>
      <x:c r="T3710" t="str">
        <x:v>UPI</x:v>
      </x:c>
      <x:c r="U3710" t="str">
        <x:v>Pending</x:v>
      </x:c>
      <x:c r="V3710" t="str">
        <x:v>Delivered</x:v>
      </x:c>
      <x:c r="W3710" t="n">
        <x:v>0</x:v>
      </x:c>
      <x:c r="X3710" t="str"/>
      <x:c r="Y3710" t="str">
        <x:v>Field Visit</x:v>
      </x:c>
    </x:row>
    <x:row r="3711">
      <x:c r="A3711" t="str">
        <x:v>O003710</x:v>
      </x:c>
      <x:c r="B3711" s="20" t="n">
        <x:v>45895</x:v>
      </x:c>
      <x:c r="C3711" t="str">
        <x:v>C0122</x:v>
      </x:c>
      <x:c r="D3711" t="str">
        <x:v>Namma Restaurant 122</x:v>
      </x:c>
      <x:c r="E3711" t="str">
        <x:v>Kirana</x:v>
      </x:c>
      <x:c r="F3711" t="str">
        <x:v>Hubballi</x:v>
      </x:c>
      <x:c r="G3711" t="str">
        <x:v>Sneha</x:v>
      </x:c>
      <x:c r="H3711" t="str">
        <x:v>P016</x:v>
      </x:c>
      <x:c r="I3711" t="str">
        <x:v>Curd 1kg</x:v>
      </x:c>
      <x:c r="J3711" t="str">
        <x:v>Dairy</x:v>
      </x:c>
      <x:c r="K3711" t="str">
        <x:v>Nandini</x:v>
      </x:c>
      <x:c r="L3711" s="22" t="n">
        <x:v>72</x:v>
      </x:c>
      <x:c r="M3711" t="n">
        <x:v>35</x:v>
      </x:c>
      <x:c r="N3711" s="24" t="n">
        <x:v>0.08</x:v>
      </x:c>
      <x:c r="O3711" s="22" t="n">
        <x:f>L3711*M3711</x:f>
        <x:v>2520</x:v>
      </x:c>
      <x:c r="P3711" s="22" t="n">
        <x:f>O3711*(1-N3711)</x:f>
        <x:v>2318.4</x:v>
      </x:c>
      <x:c r="Q3711" s="22" t="n">
        <x:v>64</x:v>
      </x:c>
      <x:c r="R3711" s="22" t="n">
        <x:f>Q3711*M3711</x:f>
        <x:v>2240</x:v>
      </x:c>
      <x:c r="S3711" s="22" t="n">
        <x:f>P3711-R3711</x:f>
        <x:v>78.40000000000009</x:v>
      </x:c>
      <x:c r="T3711" t="str">
        <x:v>UPI</x:v>
      </x:c>
      <x:c r="U3711" t="str">
        <x:v>Paid</x:v>
      </x:c>
      <x:c r="V3711" t="str">
        <x:v>Delivered</x:v>
      </x:c>
      <x:c r="W3711" t="n">
        <x:v>0</x:v>
      </x:c>
      <x:c r="X3711" t="str"/>
      <x:c r="Y3711" t="str">
        <x:v>WhatsApp</x:v>
      </x:c>
    </x:row>
    <x:row r="3712">
      <x:c r="A3712" t="str">
        <x:v>O003711</x:v>
      </x:c>
      <x:c r="B3712" s="20" t="n">
        <x:v>46035</x:v>
      </x:c>
      <x:c r="C3712" t="str">
        <x:v>C0010</x:v>
      </x:c>
      <x:c r="D3712" t="str">
        <x:v>Royal Hotel 10</x:v>
      </x:c>
      <x:c r="E3712" t="str">
        <x:v>Canteen</x:v>
      </x:c>
      <x:c r="F3712" t="str">
        <x:v>Davanagere</x:v>
      </x:c>
      <x:c r="G3712" t="str">
        <x:v>Ramesh</x:v>
      </x:c>
      <x:c r="H3712" t="str">
        <x:v>P042</x:v>
      </x:c>
      <x:c r="I3712" t="str">
        <x:v>Eggs 30pc Tray</x:v>
      </x:c>
      <x:c r="J3712" t="str">
        <x:v>Protein</x:v>
      </x:c>
      <x:c r="K3712" t="str">
        <x:v>Farm Fresh</x:v>
      </x:c>
      <x:c r="L3712" s="22" t="n">
        <x:v>195</x:v>
      </x:c>
      <x:c r="M3712" t="n">
        <x:v>4</x:v>
      </x:c>
      <x:c r="N3712" s="24" t="n">
        <x:v>0.05</x:v>
      </x:c>
      <x:c r="O3712" s="22" t="n">
        <x:f>L3712*M3712</x:f>
        <x:v>780</x:v>
      </x:c>
      <x:c r="P3712" s="22" t="n">
        <x:f>O3712*(1-N3712)</x:f>
        <x:v>741</x:v>
      </x:c>
      <x:c r="Q3712" s="22" t="n">
        <x:v>170</x:v>
      </x:c>
      <x:c r="R3712" s="22" t="n">
        <x:f>Q3712*M3712</x:f>
        <x:v>680</x:v>
      </x:c>
      <x:c r="S3712" s="22" t="n">
        <x:f>P3712-R3712</x:f>
        <x:v>61</x:v>
      </x:c>
      <x:c r="T3712" t="str">
        <x:v>UPI</x:v>
      </x:c>
      <x:c r="U3712" t="str">
        <x:v>Overdue</x:v>
      </x:c>
      <x:c r="V3712" t="str">
        <x:v>Delayed</x:v>
      </x:c>
      <x:c r="W3712" t="n">
        <x:v>0</x:v>
      </x:c>
      <x:c r="X3712" t="str"/>
      <x:c r="Y3712" t="str">
        <x:v>Referral</x:v>
      </x:c>
    </x:row>
    <x:row r="3713">
      <x:c r="A3713" t="str">
        <x:v>O003712</x:v>
      </x:c>
      <x:c r="B3713" s="20" t="n">
        <x:v>46254</x:v>
      </x:c>
      <x:c r="C3713" t="str">
        <x:v>C0054</x:v>
      </x:c>
      <x:c r="D3713" t="str">
        <x:v>Cafe Cafe 54</x:v>
      </x:c>
      <x:c r="E3713" t="str">
        <x:v>Restaurant</x:v>
      </x:c>
      <x:c r="F3713" t="str">
        <x:v>Hubballi</x:v>
      </x:c>
      <x:c r="G3713" t="str">
        <x:v>Vikram</x:v>
      </x:c>
      <x:c r="H3713" t="str">
        <x:v>P005</x:v>
      </x:c>
      <x:c r="I3713" t="str">
        <x:v>Chana Dal 5kg</x:v>
      </x:c>
      <x:c r="J3713" t="str">
        <x:v>Pulses</x:v>
      </x:c>
      <x:c r="K3713" t="str">
        <x:v>Local Select</x:v>
      </x:c>
      <x:c r="L3713" s="22" t="n">
        <x:v>520</x:v>
      </x:c>
      <x:c r="M3713" t="n">
        <x:v>15</x:v>
      </x:c>
      <x:c r="N3713" s="24" t="n">
        <x:v>0.02</x:v>
      </x:c>
      <x:c r="O3713" s="22" t="n">
        <x:f>L3713*M3713</x:f>
        <x:v>7800</x:v>
      </x:c>
      <x:c r="P3713" s="22" t="n">
        <x:f>O3713*(1-N3713)</x:f>
        <x:v>7644</x:v>
      </x:c>
      <x:c r="Q3713" s="22" t="n">
        <x:v>455</x:v>
      </x:c>
      <x:c r="R3713" s="22" t="n">
        <x:f>Q3713*M3713</x:f>
        <x:v>6825</x:v>
      </x:c>
      <x:c r="S3713" s="22" t="n">
        <x:f>P3713-R3713</x:f>
        <x:v>819</x:v>
      </x:c>
      <x:c r="T3713" t="str">
        <x:v>Cash</x:v>
      </x:c>
      <x:c r="U3713" t="str">
        <x:v>Paid</x:v>
      </x:c>
      <x:c r="V3713" t="str">
        <x:v>Delivered</x:v>
      </x:c>
      <x:c r="W3713" t="n">
        <x:v>0</x:v>
      </x:c>
      <x:c r="X3713" t="str"/>
      <x:c r="Y3713" t="str">
        <x:v>Field Visit</x:v>
      </x:c>
    </x:row>
    <x:row r="3714">
      <x:c r="A3714" t="str">
        <x:v>O003713</x:v>
      </x:c>
      <x:c r="B3714" s="20" t="n">
        <x:v>45912</x:v>
      </x:c>
      <x:c r="C3714" t="str">
        <x:v>C0110</x:v>
      </x:c>
      <x:c r="D3714" t="str">
        <x:v>Metro Restaurant 110</x:v>
      </x:c>
      <x:c r="E3714" t="str">
        <x:v>Hotel</x:v>
      </x:c>
      <x:c r="F3714" t="str">
        <x:v>Mysuru</x:v>
      </x:c>
      <x:c r="G3714" t="str">
        <x:v>Imran</x:v>
      </x:c>
      <x:c r="H3714" t="str">
        <x:v>P004</x:v>
      </x:c>
      <x:c r="I3714" t="str">
        <x:v>Toor Dal 5kg</x:v>
      </x:c>
      <x:c r="J3714" t="str">
        <x:v>Pulses</x:v>
      </x:c>
      <x:c r="K3714" t="str">
        <x:v>Tata Sampann</x:v>
      </x:c>
      <x:c r="L3714" s="22" t="n">
        <x:v>780</x:v>
      </x:c>
      <x:c r="M3714" t="n">
        <x:v>20</x:v>
      </x:c>
      <x:c r="N3714" s="24" t="n">
        <x:v>0.05</x:v>
      </x:c>
      <x:c r="O3714" s="22" t="n">
        <x:f>L3714*M3714</x:f>
        <x:v>15600</x:v>
      </x:c>
      <x:c r="P3714" s="22" t="n">
        <x:f>O3714*(1-N3714)</x:f>
        <x:v>14820</x:v>
      </x:c>
      <x:c r="Q3714" s="22" t="n">
        <x:v>695</x:v>
      </x:c>
      <x:c r="R3714" s="22" t="n">
        <x:f>Q3714*M3714</x:f>
        <x:v>13900</x:v>
      </x:c>
      <x:c r="S3714" s="22" t="n">
        <x:f>P3714-R3714</x:f>
        <x:v>920</x:v>
      </x:c>
      <x:c r="T3714" t="str">
        <x:v>Cash</x:v>
      </x:c>
      <x:c r="U3714" t="str">
        <x:v>Paid</x:v>
      </x:c>
      <x:c r="V3714" t="str">
        <x:v>Cancelled</x:v>
      </x:c>
      <x:c r="W3714" t="n">
        <x:v>20</x:v>
      </x:c>
      <x:c r="X3714" t="str">
        <x:v>Cancelled Order</x:v>
      </x:c>
      <x:c r="Y3714" t="str">
        <x:v>Referral</x:v>
      </x:c>
    </x:row>
    <x:row r="3715">
      <x:c r="A3715" t="str">
        <x:v>O003714</x:v>
      </x:c>
      <x:c r="B3715" s="20" t="n">
        <x:v>46249</x:v>
      </x:c>
      <x:c r="C3715" t="str">
        <x:v>C0200</x:v>
      </x:c>
      <x:c r="D3715" t="str">
        <x:v>Sagar Kitchen 200</x:v>
      </x:c>
      <x:c r="E3715" t="str">
        <x:v>Cafe</x:v>
      </x:c>
      <x:c r="F3715" t="str">
        <x:v>Bengaluru</x:v>
      </x:c>
      <x:c r="G3715" t="str">
        <x:v>Arjun</x:v>
      </x:c>
      <x:c r="H3715" t="str">
        <x:v>P035</x:v>
      </x:c>
      <x:c r="I3715" t="str">
        <x:v>Coriander Powder 1kg</x:v>
      </x:c>
      <x:c r="J3715" t="str">
        <x:v>Spices</x:v>
      </x:c>
      <x:c r="K3715" t="str">
        <x:v>Everest</x:v>
      </x:c>
      <x:c r="L3715" s="22" t="n">
        <x:v>280</x:v>
      </x:c>
      <x:c r="M3715" t="n">
        <x:v>10</x:v>
      </x:c>
      <x:c r="N3715" s="24" t="n">
        <x:v>0</x:v>
      </x:c>
      <x:c r="O3715" s="22" t="n">
        <x:f>L3715*M3715</x:f>
        <x:v>2800</x:v>
      </x:c>
      <x:c r="P3715" s="22" t="n">
        <x:f>O3715*(1-N3715)</x:f>
        <x:v>2800</x:v>
      </x:c>
      <x:c r="Q3715" s="22" t="n">
        <x:v>245</x:v>
      </x:c>
      <x:c r="R3715" s="22" t="n">
        <x:f>Q3715*M3715</x:f>
        <x:v>2450</x:v>
      </x:c>
      <x:c r="S3715" s="22" t="n">
        <x:f>P3715-R3715</x:f>
        <x:v>350</x:v>
      </x:c>
      <x:c r="T3715" t="str">
        <x:v>Cash</x:v>
      </x:c>
      <x:c r="U3715" t="str">
        <x:v>Paid</x:v>
      </x:c>
      <x:c r="V3715" t="str">
        <x:v>Delivered</x:v>
      </x:c>
      <x:c r="W3715" t="n">
        <x:v>0</x:v>
      </x:c>
      <x:c r="X3715" t="str"/>
      <x:c r="Y3715" t="str">
        <x:v>Field Visit</x:v>
      </x:c>
    </x:row>
    <x:row r="3716">
      <x:c r="A3716" t="str">
        <x:v>O003715</x:v>
      </x:c>
      <x:c r="B3716" s="20" t="n">
        <x:v>46139</x:v>
      </x:c>
      <x:c r="C3716" t="str">
        <x:v>C0222</x:v>
      </x:c>
      <x:c r="D3716" t="str">
        <x:v>Sri Cafe 222</x:v>
      </x:c>
      <x:c r="E3716" t="str">
        <x:v>Kirana</x:v>
      </x:c>
      <x:c r="F3716" t="str">
        <x:v>Mangaluru</x:v>
      </x:c>
      <x:c r="G3716" t="str">
        <x:v>Arjun</x:v>
      </x:c>
      <x:c r="H3716" t="str">
        <x:v>P022</x:v>
      </x:c>
      <x:c r="I3716" t="str">
        <x:v>Mineral Water 1L</x:v>
      </x:c>
      <x:c r="J3716" t="str">
        <x:v>Beverage</x:v>
      </x:c>
      <x:c r="K3716" t="str">
        <x:v>Bisleri</x:v>
      </x:c>
      <x:c r="L3716" s="22" t="n">
        <x:v>19</x:v>
      </x:c>
      <x:c r="M3716" t="n">
        <x:v>34</x:v>
      </x:c>
      <x:c r="N3716" s="24" t="n">
        <x:v>0.08</x:v>
      </x:c>
      <x:c r="O3716" s="22" t="n">
        <x:f>L3716*M3716</x:f>
        <x:v>646</x:v>
      </x:c>
      <x:c r="P3716" s="22" t="n">
        <x:f>O3716*(1-N3716)</x:f>
        <x:v>594.32</x:v>
      </x:c>
      <x:c r="Q3716" s="22" t="n">
        <x:v>15</x:v>
      </x:c>
      <x:c r="R3716" s="22" t="n">
        <x:f>Q3716*M3716</x:f>
        <x:v>510</x:v>
      </x:c>
      <x:c r="S3716" s="22" t="n">
        <x:f>P3716-R3716</x:f>
        <x:v>84.32000000000005</x:v>
      </x:c>
      <x:c r="T3716" t="str">
        <x:v>Bank Transfer</x:v>
      </x:c>
      <x:c r="U3716" t="str">
        <x:v>Paid</x:v>
      </x:c>
      <x:c r="V3716" t="str">
        <x:v>Delayed</x:v>
      </x:c>
      <x:c r="W3716" t="n">
        <x:v>0</x:v>
      </x:c>
      <x:c r="X3716" t="str"/>
      <x:c r="Y3716" t="str"/>
    </x:row>
    <x:row r="3717">
      <x:c r="A3717" t="str">
        <x:v>O003716</x:v>
      </x:c>
      <x:c r="B3717" s="20" t="n">
        <x:v>45828</x:v>
      </x:c>
      <x:c r="C3717" t="str">
        <x:v>C0164</x:v>
      </x:c>
      <x:c r="D3717" t="str">
        <x:v>Sri Hotel 164</x:v>
      </x:c>
      <x:c r="E3717" t="str">
        <x:v>Kirana</x:v>
      </x:c>
      <x:c r="F3717" t="str">
        <x:v>Mysuru</x:v>
      </x:c>
      <x:c r="G3717" t="str">
        <x:v>Vikram</x:v>
      </x:c>
      <x:c r="H3717" t="str">
        <x:v>P013</x:v>
      </x:c>
      <x:c r="I3717" t="str">
        <x:v>Atta 10kg</x:v>
      </x:c>
      <x:c r="J3717" t="str">
        <x:v>Flour</x:v>
      </x:c>
      <x:c r="K3717" t="str">
        <x:v>Aashirvaad</x:v>
      </x:c>
      <x:c r="L3717" s="22" t="n">
        <x:v>560</x:v>
      </x:c>
      <x:c r="M3717" t="n">
        <x:v>18</x:v>
      </x:c>
      <x:c r="N3717" s="24" t="n">
        <x:v>0.1</x:v>
      </x:c>
      <x:c r="O3717" s="22" t="n">
        <x:f>L3717*M3717</x:f>
        <x:v>10080</x:v>
      </x:c>
      <x:c r="P3717" s="22" t="n">
        <x:f>O3717*(1-N3717)</x:f>
        <x:v>9072</x:v>
      </x:c>
      <x:c r="Q3717" s="22" t="n">
        <x:v>495</x:v>
      </x:c>
      <x:c r="R3717" s="22" t="n">
        <x:f>Q3717*M3717</x:f>
        <x:v>8910</x:v>
      </x:c>
      <x:c r="S3717" s="22" t="n">
        <x:f>P3717-R3717</x:f>
        <x:v>162</x:v>
      </x:c>
      <x:c r="T3717" t="str">
        <x:v>Bank Transfer</x:v>
      </x:c>
      <x:c r="U3717" t="str">
        <x:v>Paid</x:v>
      </x:c>
      <x:c r="V3717" t="str">
        <x:v>Delivered</x:v>
      </x:c>
      <x:c r="W3717" t="n">
        <x:v>0</x:v>
      </x:c>
      <x:c r="X3717" t="str"/>
      <x:c r="Y3717" t="str">
        <x:v>Existing Customer</x:v>
      </x:c>
    </x:row>
    <x:row r="3718">
      <x:c r="A3718" t="str">
        <x:v>O003717</x:v>
      </x:c>
      <x:c r="B3718" s="20" t="n">
        <x:v>45822</x:v>
      </x:c>
      <x:c r="C3718" t="str">
        <x:v>C0100</x:v>
      </x:c>
      <x:c r="D3718" t="str">
        <x:v>Fresh Mart 100</x:v>
      </x:c>
      <x:c r="E3718" t="str">
        <x:v>Restaurant</x:v>
      </x:c>
      <x:c r="F3718" t="str">
        <x:v>Mysuru</x:v>
      </x:c>
      <x:c r="G3718" t="str">
        <x:v>Imran</x:v>
      </x:c>
      <x:c r="H3718" t="str">
        <x:v>P050</x:v>
      </x:c>
      <x:c r="I3718" t="str">
        <x:v>Lemon 5kg</x:v>
      </x:c>
      <x:c r="J3718" t="str">
        <x:v>Fresh Produce</x:v>
      </x:c>
      <x:c r="K3718" t="str">
        <x:v>Local Market</x:v>
      </x:c>
      <x:c r="L3718" s="22" t="n">
        <x:v>360</x:v>
      </x:c>
      <x:c r="M3718" t="n">
        <x:v>33</x:v>
      </x:c>
      <x:c r="N3718" s="24" t="n">
        <x:v>0.08</x:v>
      </x:c>
      <x:c r="O3718" s="22" t="n">
        <x:f>L3718*M3718</x:f>
        <x:v>11880</x:v>
      </x:c>
      <x:c r="P3718" s="22" t="n">
        <x:f>O3718*(1-N3718)</x:f>
        <x:v>10929.6</x:v>
      </x:c>
      <x:c r="Q3718" s="22" t="n">
        <x:v>300</x:v>
      </x:c>
      <x:c r="R3718" s="22" t="n">
        <x:f>Q3718*M3718</x:f>
        <x:v>9900</x:v>
      </x:c>
      <x:c r="S3718" s="22" t="n">
        <x:f>P3718-R3718</x:f>
        <x:v>1029.6000000000004</x:v>
      </x:c>
      <x:c r="T3718" t="str">
        <x:v>Credit</x:v>
      </x:c>
      <x:c r="U3718" t="str">
        <x:v>Paid</x:v>
      </x:c>
      <x:c r="V3718" t="str">
        <x:v>Delivered</x:v>
      </x:c>
      <x:c r="W3718" t="n">
        <x:v>0</x:v>
      </x:c>
      <x:c r="X3718" t="str"/>
      <x:c r="Y3718" t="str">
        <x:v>Field Visit</x:v>
      </x:c>
    </x:row>
    <x:row r="3719">
      <x:c r="A3719" t="str">
        <x:v>O003718</x:v>
      </x:c>
      <x:c r="B3719" s="20" t="n">
        <x:v>45878</x:v>
      </x:c>
      <x:c r="C3719" t="str">
        <x:v>C0186</x:v>
      </x:c>
      <x:c r="D3719" t="str">
        <x:v>Namma Stores 186</x:v>
      </x:c>
      <x:c r="E3719" t="str">
        <x:v>Supermarket</x:v>
      </x:c>
      <x:c r="F3719" t="str">
        <x:v>Mysuru</x:v>
      </x:c>
      <x:c r="G3719" t="str">
        <x:v>Vikram</x:v>
      </x:c>
      <x:c r="H3719" t="str">
        <x:v>P012</x:v>
      </x:c>
      <x:c r="I3719" t="str">
        <x:v>Maida 10kg</x:v>
      </x:c>
      <x:c r="J3719" t="str">
        <x:v>Flour</x:v>
      </x:c>
      <x:c r="K3719" t="str">
        <x:v>Aashirvaad</x:v>
      </x:c>
      <x:c r="L3719" s="22" t="n">
        <x:v>520</x:v>
      </x:c>
      <x:c r="M3719" t="n">
        <x:v>31</x:v>
      </x:c>
      <x:c r="N3719" s="24" t="n">
        <x:v>0</x:v>
      </x:c>
      <x:c r="O3719" s="22" t="n">
        <x:f>L3719*M3719</x:f>
        <x:v>16120</x:v>
      </x:c>
      <x:c r="P3719" s="22" t="n">
        <x:f>O3719*(1-N3719)</x:f>
        <x:v>16120</x:v>
      </x:c>
      <x:c r="Q3719" s="22" t="n">
        <x:v>460</x:v>
      </x:c>
      <x:c r="R3719" s="22" t="n">
        <x:f>Q3719*M3719</x:f>
        <x:v>14260</x:v>
      </x:c>
      <x:c r="S3719" s="22" t="n">
        <x:f>P3719-R3719</x:f>
        <x:v>1860</x:v>
      </x:c>
      <x:c r="T3719" t="str">
        <x:v>Cash</x:v>
      </x:c>
      <x:c r="U3719" t="str">
        <x:v>Paid</x:v>
      </x:c>
      <x:c r="V3719" t="str">
        <x:v>Delivered</x:v>
      </x:c>
      <x:c r="W3719" t="n">
        <x:v>0</x:v>
      </x:c>
      <x:c r="X3719" t="str"/>
      <x:c r="Y3719" t="str">
        <x:v>WhatsApp</x:v>
      </x:c>
    </x:row>
    <x:row r="3720">
      <x:c r="A3720" t="str">
        <x:v>O003719</x:v>
      </x:c>
      <x:c r="B3720" s="20" t="n">
        <x:v>46081</x:v>
      </x:c>
      <x:c r="C3720" t="str">
        <x:v>C0178</x:v>
      </x:c>
      <x:c r="D3720" t="str">
        <x:v>Annapurna Foods 178</x:v>
      </x:c>
      <x:c r="E3720" t="str">
        <x:v>Canteen</x:v>
      </x:c>
      <x:c r="F3720" t="str">
        <x:v>Tumakuru</x:v>
      </x:c>
      <x:c r="G3720" t="str">
        <x:v>Imran</x:v>
      </x:c>
      <x:c r="H3720" t="str">
        <x:v>P012</x:v>
      </x:c>
      <x:c r="I3720" t="str">
        <x:v>Maida 10kg</x:v>
      </x:c>
      <x:c r="J3720" t="str">
        <x:v>Flour</x:v>
      </x:c>
      <x:c r="K3720" t="str">
        <x:v>Aashirvaad</x:v>
      </x:c>
      <x:c r="L3720" s="22" t="n">
        <x:v>520</x:v>
      </x:c>
      <x:c r="M3720" t="n">
        <x:v>34</x:v>
      </x:c>
      <x:c r="N3720" s="24" t="n">
        <x:v>0</x:v>
      </x:c>
      <x:c r="O3720" s="22" t="n">
        <x:f>L3720*M3720</x:f>
        <x:v>17680</x:v>
      </x:c>
      <x:c r="P3720" s="22" t="n">
        <x:f>O3720*(1-N3720)</x:f>
        <x:v>17680</x:v>
      </x:c>
      <x:c r="Q3720" s="22" t="n">
        <x:v>460</x:v>
      </x:c>
      <x:c r="R3720" s="22" t="n">
        <x:f>Q3720*M3720</x:f>
        <x:v>15640</x:v>
      </x:c>
      <x:c r="S3720" s="22" t="n">
        <x:f>P3720-R3720</x:f>
        <x:v>2040</x:v>
      </x:c>
      <x:c r="T3720" t="str">
        <x:v>Bank Transfer</x:v>
      </x:c>
      <x:c r="U3720" t="str">
        <x:v>Pending</x:v>
      </x:c>
      <x:c r="V3720" t="str">
        <x:v>Delayed</x:v>
      </x:c>
      <x:c r="W3720" t="n">
        <x:v>0</x:v>
      </x:c>
      <x:c r="X3720" t="str"/>
      <x:c r="Y3720" t="str">
        <x:v>Referral</x:v>
      </x:c>
    </x:row>
    <x:row r="3721">
      <x:c r="A3721" t="str">
        <x:v>O003720</x:v>
      </x:c>
      <x:c r="B3721" s="20" t="n">
        <x:v>45750</x:v>
      </x:c>
      <x:c r="C3721" t="str">
        <x:v>C0147</x:v>
      </x:c>
      <x:c r="D3721" t="str">
        <x:v>New Stores 147</x:v>
      </x:c>
      <x:c r="E3721" t="str">
        <x:v>Supermarket</x:v>
      </x:c>
      <x:c r="F3721" t="str">
        <x:v>Hubballi</x:v>
      </x:c>
      <x:c r="G3721" t="str">
        <x:v>Imran</x:v>
      </x:c>
      <x:c r="H3721" t="str">
        <x:v>P018</x:v>
      </x:c>
      <x:c r="I3721" t="str">
        <x:v>Paneer 1kg</x:v>
      </x:c>
      <x:c r="J3721" t="str">
        <x:v>Dairy</x:v>
      </x:c>
      <x:c r="K3721" t="str">
        <x:v>Milky Mist</x:v>
      </x:c>
      <x:c r="L3721" s="22" t="n">
        <x:v>410</x:v>
      </x:c>
      <x:c r="M3721" t="n">
        <x:v>12</x:v>
      </x:c>
      <x:c r="N3721" s="24" t="n">
        <x:v>0.08</x:v>
      </x:c>
      <x:c r="O3721" s="22" t="n">
        <x:f>L3721*M3721</x:f>
        <x:v>4920</x:v>
      </x:c>
      <x:c r="P3721" s="22" t="n">
        <x:f>O3721*(1-N3721)</x:f>
        <x:v>4526.400000000001</x:v>
      </x:c>
      <x:c r="Q3721" s="22" t="n">
        <x:v>370</x:v>
      </x:c>
      <x:c r="R3721" s="22" t="n">
        <x:f>Q3721*M3721</x:f>
        <x:v>4440</x:v>
      </x:c>
      <x:c r="S3721" s="22" t="n">
        <x:f>P3721-R3721</x:f>
        <x:v>86.40000000000055</x:v>
      </x:c>
      <x:c r="T3721" t="str">
        <x:v>Bank Transfer</x:v>
      </x:c>
      <x:c r="U3721" t="str">
        <x:v>Paid</x:v>
      </x:c>
      <x:c r="V3721" t="str">
        <x:v>Cancelled</x:v>
      </x:c>
      <x:c r="W3721" t="n">
        <x:v>12</x:v>
      </x:c>
      <x:c r="X3721" t="str">
        <x:v>Cancelled Order</x:v>
      </x:c>
      <x:c r="Y3721" t="str">
        <x:v>Outbound Call</x:v>
      </x:c>
    </x:row>
    <x:row r="3722">
      <x:c r="A3722" t="str">
        <x:v>O003721</x:v>
      </x:c>
      <x:c r="B3722" s="20" t="n">
        <x:v>45847</x:v>
      </x:c>
      <x:c r="C3722" t="str">
        <x:v>C0196</x:v>
      </x:c>
      <x:c r="D3722" t="str">
        <x:v>Namma Mart 196</x:v>
      </x:c>
      <x:c r="E3722" t="str">
        <x:v>Cafe</x:v>
      </x:c>
      <x:c r="F3722" t="str">
        <x:v>Mangaluru</x:v>
      </x:c>
      <x:c r="G3722" t="str">
        <x:v>Kavya</x:v>
      </x:c>
      <x:c r="H3722" t="str">
        <x:v>P026</x:v>
      </x:c>
      <x:c r="I3722" t="str">
        <x:v>Banana Chips 80g</x:v>
      </x:c>
      <x:c r="J3722" t="str">
        <x:v>Snacks</x:v>
      </x:c>
      <x:c r="K3722" t="str">
        <x:v>SSS</x:v>
      </x:c>
      <x:c r="L3722" s="22" t="n">
        <x:v>54</x:v>
      </x:c>
      <x:c r="M3722" t="n">
        <x:v>23</x:v>
      </x:c>
      <x:c r="N3722" s="24" t="n">
        <x:v>0</x:v>
      </x:c>
      <x:c r="O3722" s="22" t="n">
        <x:f>L3722*M3722</x:f>
        <x:v>1242</x:v>
      </x:c>
      <x:c r="P3722" s="22" t="n">
        <x:f>O3722*(1-N3722)</x:f>
        <x:v>1242</x:v>
      </x:c>
      <x:c r="Q3722" s="22" t="n">
        <x:v>39</x:v>
      </x:c>
      <x:c r="R3722" s="22" t="n">
        <x:f>Q3722*M3722</x:f>
        <x:v>897</x:v>
      </x:c>
      <x:c r="S3722" s="22" t="n">
        <x:f>P3722-R3722</x:f>
        <x:v>345</x:v>
      </x:c>
      <x:c r="T3722" t="str">
        <x:v>Cash</x:v>
      </x:c>
      <x:c r="U3722" t="str">
        <x:v>Pending</x:v>
      </x:c>
      <x:c r="V3722" t="str">
        <x:v>Delivered</x:v>
      </x:c>
      <x:c r="W3722" t="n">
        <x:v>0</x:v>
      </x:c>
      <x:c r="X3722" t="str"/>
      <x:c r="Y3722" t="str">
        <x:v>Field Visit</x:v>
      </x:c>
    </x:row>
    <x:row r="3723">
      <x:c r="A3723" t="str">
        <x:v>O003722</x:v>
      </x:c>
      <x:c r="B3723" s="20" t="n">
        <x:v>45723</x:v>
      </x:c>
      <x:c r="C3723" t="str">
        <x:v>C0095</x:v>
      </x:c>
      <x:c r="D3723" t="str">
        <x:v>Spice Restaurant 95</x:v>
      </x:c>
      <x:c r="E3723" t="str">
        <x:v>Restaurant</x:v>
      </x:c>
      <x:c r="F3723" t="str">
        <x:v>Bengaluru</x:v>
      </x:c>
      <x:c r="G3723" t="str">
        <x:v>Megha</x:v>
      </x:c>
      <x:c r="H3723" t="str">
        <x:v>P018</x:v>
      </x:c>
      <x:c r="I3723" t="str">
        <x:v>Paneer 1kg</x:v>
      </x:c>
      <x:c r="J3723" t="str">
        <x:v>Dairy</x:v>
      </x:c>
      <x:c r="K3723" t="str">
        <x:v>Milky Mist</x:v>
      </x:c>
      <x:c r="L3723" s="22" t="n">
        <x:v>410</x:v>
      </x:c>
      <x:c r="M3723" t="n">
        <x:v>35</x:v>
      </x:c>
      <x:c r="N3723" s="24" t="n">
        <x:v>0.05</x:v>
      </x:c>
      <x:c r="O3723" s="22" t="n">
        <x:f>L3723*M3723</x:f>
        <x:v>14350</x:v>
      </x:c>
      <x:c r="P3723" s="22" t="n">
        <x:f>O3723*(1-N3723)</x:f>
        <x:v>13632.5</x:v>
      </x:c>
      <x:c r="Q3723" s="22" t="n">
        <x:v>370</x:v>
      </x:c>
      <x:c r="R3723" s="22" t="n">
        <x:f>Q3723*M3723</x:f>
        <x:v>12950</x:v>
      </x:c>
      <x:c r="S3723" s="22" t="n">
        <x:f>P3723-R3723</x:f>
        <x:v>682.5</x:v>
      </x:c>
      <x:c r="T3723" t="str">
        <x:v>Cash</x:v>
      </x:c>
      <x:c r="U3723" t="str">
        <x:v>Paid</x:v>
      </x:c>
      <x:c r="V3723" t="str">
        <x:v>Delayed</x:v>
      </x:c>
      <x:c r="W3723" t="n">
        <x:v>0</x:v>
      </x:c>
      <x:c r="X3723" t="str"/>
      <x:c r="Y3723" t="str">
        <x:v>Referral</x:v>
      </x:c>
    </x:row>
    <x:row r="3724">
      <x:c r="A3724" t="str">
        <x:v>O003723</x:v>
      </x:c>
      <x:c r="B3724" s="20" t="n">
        <x:v>45710</x:v>
      </x:c>
      <x:c r="C3724" t="str">
        <x:v>C0197</x:v>
      </x:c>
      <x:c r="D3724" t="str">
        <x:v>New Foods 197</x:v>
      </x:c>
      <x:c r="E3724" t="str">
        <x:v>Cafe</x:v>
      </x:c>
      <x:c r="F3724" t="str">
        <x:v>Hubballi</x:v>
      </x:c>
      <x:c r="G3724" t="str">
        <x:v>Kavya</x:v>
      </x:c>
      <x:c r="H3724" t="str">
        <x:v>P001</x:v>
      </x:c>
      <x:c r="I3724" t="str">
        <x:v>Steam Rice 25kg</x:v>
      </x:c>
      <x:c r="J3724" t="str">
        <x:v>Staples</x:v>
      </x:c>
      <x:c r="K3724" t="str">
        <x:v>Aishwarya</x:v>
      </x:c>
      <x:c r="L3724" s="22" t="n">
        <x:v>1180</x:v>
      </x:c>
      <x:c r="M3724" t="n">
        <x:v>6</x:v>
      </x:c>
      <x:c r="N3724" s="24" t="n">
        <x:v>0.03</x:v>
      </x:c>
      <x:c r="O3724" s="22" t="n">
        <x:f>L3724*M3724</x:f>
        <x:v>7080</x:v>
      </x:c>
      <x:c r="P3724" s="22" t="n">
        <x:f>O3724*(1-N3724)</x:f>
        <x:v>6867.599999999999</x:v>
      </x:c>
      <x:c r="Q3724" s="22" t="n">
        <x:v>1040</x:v>
      </x:c>
      <x:c r="R3724" s="22" t="n">
        <x:f>Q3724*M3724</x:f>
        <x:v>6240</x:v>
      </x:c>
      <x:c r="S3724" s="22" t="n">
        <x:f>P3724-R3724</x:f>
        <x:v>627.5999999999995</x:v>
      </x:c>
      <x:c r="T3724" t="str">
        <x:v>UPI</x:v>
      </x:c>
      <x:c r="U3724" t="str">
        <x:v>Paid</x:v>
      </x:c>
      <x:c r="V3724" t="str">
        <x:v>Delivered</x:v>
      </x:c>
      <x:c r="W3724" t="n">
        <x:v>0</x:v>
      </x:c>
      <x:c r="X3724" t="str"/>
      <x:c r="Y3724" t="str">
        <x:v>WhatsApp</x:v>
      </x:c>
    </x:row>
    <x:row r="3725">
      <x:c r="A3725" t="str">
        <x:v>O003724</x:v>
      </x:c>
      <x:c r="B3725" s="20" t="n">
        <x:v>45968</x:v>
      </x:c>
      <x:c r="C3725" t="str">
        <x:v>C0084</x:v>
      </x:c>
      <x:c r="D3725" t="str">
        <x:v>Green Cafe 84</x:v>
      </x:c>
      <x:c r="E3725" t="str">
        <x:v>Hotel</x:v>
      </x:c>
      <x:c r="F3725" t="str">
        <x:v>Mysuru</x:v>
      </x:c>
      <x:c r="G3725" t="str">
        <x:v>Priya</x:v>
      </x:c>
      <x:c r="H3725" t="str">
        <x:v>P043</x:v>
      </x:c>
      <x:c r="I3725" t="str">
        <x:v>Chicken Breast 1kg</x:v>
      </x:c>
      <x:c r="J3725" t="str">
        <x:v>Protein</x:v>
      </x:c>
      <x:c r="K3725" t="str">
        <x:v>FreshToHome</x:v>
      </x:c>
      <x:c r="L3725" s="22" t="n">
        <x:v>260</x:v>
      </x:c>
      <x:c r="M3725" t="n">
        <x:v>40</x:v>
      </x:c>
      <x:c r="N3725" s="24" t="n">
        <x:v>0</x:v>
      </x:c>
      <x:c r="O3725" s="22" t="n">
        <x:f>L3725*M3725</x:f>
        <x:v>10400</x:v>
      </x:c>
      <x:c r="P3725" s="22" t="n">
        <x:f>O3725*(1-N3725)</x:f>
        <x:v>10400</x:v>
      </x:c>
      <x:c r="Q3725" s="22" t="n">
        <x:v>235</x:v>
      </x:c>
      <x:c r="R3725" s="22" t="n">
        <x:f>Q3725*M3725</x:f>
        <x:v>9400</x:v>
      </x:c>
      <x:c r="S3725" s="22" t="n">
        <x:f>P3725-R3725</x:f>
        <x:v>1000</x:v>
      </x:c>
      <x:c r="T3725" t="str">
        <x:v>Credit</x:v>
      </x:c>
      <x:c r="U3725" t="str">
        <x:v>Paid</x:v>
      </x:c>
      <x:c r="V3725" t="str">
        <x:v>Delayed</x:v>
      </x:c>
      <x:c r="W3725" t="n">
        <x:v>0</x:v>
      </x:c>
      <x:c r="X3725" t="str"/>
      <x:c r="Y3725" t="str">
        <x:v>WhatsApp</x:v>
      </x:c>
    </x:row>
    <x:row r="3726">
      <x:c r="A3726" t="str">
        <x:v>O003725</x:v>
      </x:c>
      <x:c r="B3726" s="20" t="n">
        <x:v>46173</x:v>
      </x:c>
      <x:c r="C3726" t="str">
        <x:v>C0026</x:v>
      </x:c>
      <x:c r="D3726" t="str">
        <x:v>Cafe Kitchen 26</x:v>
      </x:c>
      <x:c r="E3726" t="str">
        <x:v>Kirana</x:v>
      </x:c>
      <x:c r="F3726" t="str">
        <x:v>Davanagere</x:v>
      </x:c>
      <x:c r="G3726" t="str">
        <x:v>Kavya</x:v>
      </x:c>
      <x:c r="H3726" t="str">
        <x:v>P028</x:v>
      </x:c>
      <x:c r="I3726" t="str">
        <x:v>Cookies 200g</x:v>
      </x:c>
      <x:c r="J3726" t="str">
        <x:v>Snacks</x:v>
      </x:c>
      <x:c r="K3726" t="str">
        <x:v>Britannia</x:v>
      </x:c>
      <x:c r="L3726" s="22" t="n">
        <x:v>55</x:v>
      </x:c>
      <x:c r="M3726" t="n">
        <x:v>38</x:v>
      </x:c>
      <x:c r="N3726" s="24" t="n">
        <x:v>0.05</x:v>
      </x:c>
      <x:c r="O3726" s="22" t="n">
        <x:f>L3726*M3726</x:f>
        <x:v>2090</x:v>
      </x:c>
      <x:c r="P3726" s="22" t="n">
        <x:f>O3726*(1-N3726)</x:f>
        <x:v>1985.5</x:v>
      </x:c>
      <x:c r="Q3726" s="22" t="n">
        <x:v>42</x:v>
      </x:c>
      <x:c r="R3726" s="22" t="n">
        <x:f>Q3726*M3726</x:f>
        <x:v>1596</x:v>
      </x:c>
      <x:c r="S3726" s="22" t="n">
        <x:f>P3726-R3726</x:f>
        <x:v>389.5</x:v>
      </x:c>
      <x:c r="T3726" t="str">
        <x:v>Bank Transfer</x:v>
      </x:c>
      <x:c r="U3726" t="str">
        <x:v>Paid</x:v>
      </x:c>
      <x:c r="V3726" t="str">
        <x:v>Delivered</x:v>
      </x:c>
      <x:c r="W3726" t="n">
        <x:v>0</x:v>
      </x:c>
      <x:c r="X3726" t="str"/>
      <x:c r="Y3726" t="str">
        <x:v>Field Visit</x:v>
      </x:c>
    </x:row>
    <x:row r="3727">
      <x:c r="A3727" t="str">
        <x:v>O003726</x:v>
      </x:c>
      <x:c r="B3727" s="20" t="n">
        <x:v>46210</x:v>
      </x:c>
      <x:c r="C3727" t="str">
        <x:v>C0107</x:v>
      </x:c>
      <x:c r="D3727" t="str">
        <x:v>Mysore Cafe 107</x:v>
      </x:c>
      <x:c r="E3727" t="str">
        <x:v>Supermarket</x:v>
      </x:c>
      <x:c r="F3727" t="str">
        <x:v>Tumakuru</x:v>
      </x:c>
      <x:c r="G3727" t="str">
        <x:v>Megha</x:v>
      </x:c>
      <x:c r="H3727" t="str">
        <x:v>P012</x:v>
      </x:c>
      <x:c r="I3727" t="str">
        <x:v>Maida 10kg</x:v>
      </x:c>
      <x:c r="J3727" t="str">
        <x:v>Flour</x:v>
      </x:c>
      <x:c r="K3727" t="str">
        <x:v>Aashirvaad</x:v>
      </x:c>
      <x:c r="L3727" s="22" t="n">
        <x:v>520</x:v>
      </x:c>
      <x:c r="M3727" t="n">
        <x:v>27</x:v>
      </x:c>
      <x:c r="N3727" s="24" t="n">
        <x:v>0.08</x:v>
      </x:c>
      <x:c r="O3727" s="22" t="n">
        <x:f>L3727*M3727</x:f>
        <x:v>14040</x:v>
      </x:c>
      <x:c r="P3727" s="22" t="n">
        <x:f>O3727*(1-N3727)</x:f>
        <x:v>12916.800000000001</x:v>
      </x:c>
      <x:c r="Q3727" s="22" t="n">
        <x:v>460</x:v>
      </x:c>
      <x:c r="R3727" s="22" t="n">
        <x:f>Q3727*M3727</x:f>
        <x:v>12420</x:v>
      </x:c>
      <x:c r="S3727" s="22" t="n">
        <x:f>P3727-R3727</x:f>
        <x:v>496.8000000000011</x:v>
      </x:c>
      <x:c r="T3727" t="str">
        <x:v>Cash</x:v>
      </x:c>
      <x:c r="U3727" t="str">
        <x:v>Paid</x:v>
      </x:c>
      <x:c r="V3727" t="str">
        <x:v>Cancelled</x:v>
      </x:c>
      <x:c r="W3727" t="n">
        <x:v>27</x:v>
      </x:c>
      <x:c r="X3727" t="str">
        <x:v>Cancelled Order</x:v>
      </x:c>
      <x:c r="Y3727" t="str">
        <x:v>Referral</x:v>
      </x:c>
    </x:row>
    <x:row r="3728">
      <x:c r="A3728" t="str">
        <x:v>O003727</x:v>
      </x:c>
      <x:c r="B3728" s="20" t="n">
        <x:v>46194</x:v>
      </x:c>
      <x:c r="C3728" t="str">
        <x:v>C0099</x:v>
      </x:c>
      <x:c r="D3728" t="str">
        <x:v>Green Cafe 99</x:v>
      </x:c>
      <x:c r="E3728" t="str">
        <x:v>Restaurant</x:v>
      </x:c>
      <x:c r="F3728" t="str">
        <x:v>Hubballi</x:v>
      </x:c>
      <x:c r="G3728" t="str">
        <x:v>Ramesh</x:v>
      </x:c>
      <x:c r="H3728" t="str">
        <x:v>P004</x:v>
      </x:c>
      <x:c r="I3728" t="str">
        <x:v>Toor Dal 5kg</x:v>
      </x:c>
      <x:c r="J3728" t="str">
        <x:v>Pulses</x:v>
      </x:c>
      <x:c r="K3728" t="str">
        <x:v>Tata Sampann</x:v>
      </x:c>
      <x:c r="L3728" s="22" t="n">
        <x:v>780</x:v>
      </x:c>
      <x:c r="M3728" t="n">
        <x:v>35</x:v>
      </x:c>
      <x:c r="N3728" s="24" t="n">
        <x:v>0</x:v>
      </x:c>
      <x:c r="O3728" s="22" t="n">
        <x:f>L3728*M3728</x:f>
        <x:v>27300</x:v>
      </x:c>
      <x:c r="P3728" s="22" t="n">
        <x:f>O3728*(1-N3728)</x:f>
        <x:v>27300</x:v>
      </x:c>
      <x:c r="Q3728" s="22" t="n">
        <x:v>695</x:v>
      </x:c>
      <x:c r="R3728" s="22" t="n">
        <x:f>Q3728*M3728</x:f>
        <x:v>24325</x:v>
      </x:c>
      <x:c r="S3728" s="22" t="n">
        <x:f>P3728-R3728</x:f>
        <x:v>2975</x:v>
      </x:c>
      <x:c r="T3728" t="str">
        <x:v>UPI</x:v>
      </x:c>
      <x:c r="U3728" t="str">
        <x:v>Paid</x:v>
      </x:c>
      <x:c r="V3728" t="str">
        <x:v>Delivered</x:v>
      </x:c>
      <x:c r="W3728" t="n">
        <x:v>0</x:v>
      </x:c>
      <x:c r="X3728" t="str"/>
      <x:c r="Y3728" t="str">
        <x:v>Referral</x:v>
      </x:c>
    </x:row>
    <x:row r="3729">
      <x:c r="A3729" t="str">
        <x:v>O003728</x:v>
      </x:c>
      <x:c r="B3729" s="20" t="n">
        <x:v>45954</x:v>
      </x:c>
      <x:c r="C3729" t="str">
        <x:v>C0203</x:v>
      </x:c>
      <x:c r="D3729" t="str">
        <x:v>Namma Mart 203</x:v>
      </x:c>
      <x:c r="E3729" t="str">
        <x:v>Kirana</x:v>
      </x:c>
      <x:c r="F3729" t="str">
        <x:v>Tumakuru</x:v>
      </x:c>
      <x:c r="G3729" t="str">
        <x:v>Priya</x:v>
      </x:c>
      <x:c r="H3729" t="str">
        <x:v>P042</x:v>
      </x:c>
      <x:c r="I3729" t="str">
        <x:v>Eggs 30pc Tray</x:v>
      </x:c>
      <x:c r="J3729" t="str">
        <x:v>Protein</x:v>
      </x:c>
      <x:c r="K3729" t="str">
        <x:v>Farm Fresh</x:v>
      </x:c>
      <x:c r="L3729" s="22" t="n">
        <x:v>195</x:v>
      </x:c>
      <x:c r="M3729" t="n">
        <x:v>26</x:v>
      </x:c>
      <x:c r="N3729" s="24" t="n">
        <x:v>0.03</x:v>
      </x:c>
      <x:c r="O3729" s="22" t="n">
        <x:f>L3729*M3729</x:f>
        <x:v>5070</x:v>
      </x:c>
      <x:c r="P3729" s="22" t="n">
        <x:f>O3729*(1-N3729)</x:f>
        <x:v>4917.9</x:v>
      </x:c>
      <x:c r="Q3729" s="22" t="n">
        <x:v>170</x:v>
      </x:c>
      <x:c r="R3729" s="22" t="n">
        <x:f>Q3729*M3729</x:f>
        <x:v>4420</x:v>
      </x:c>
      <x:c r="S3729" s="22" t="n">
        <x:f>P3729-R3729</x:f>
        <x:v>497.89999999999964</x:v>
      </x:c>
      <x:c r="T3729" t="str">
        <x:v>Bank Transfer</x:v>
      </x:c>
      <x:c r="U3729" t="str">
        <x:v>Paid</x:v>
      </x:c>
      <x:c r="V3729" t="str">
        <x:v>Delivered</x:v>
      </x:c>
      <x:c r="W3729" t="n">
        <x:v>0</x:v>
      </x:c>
      <x:c r="X3729" t="str"/>
      <x:c r="Y3729" t="str">
        <x:v>Referral</x:v>
      </x:c>
    </x:row>
    <x:row r="3730">
      <x:c r="A3730" t="str">
        <x:v>O003729</x:v>
      </x:c>
      <x:c r="B3730" s="20" t="n">
        <x:v>46054</x:v>
      </x:c>
      <x:c r="C3730" t="str">
        <x:v>C0142</x:v>
      </x:c>
      <x:c r="D3730" t="str">
        <x:v>Darshini Mart 142</x:v>
      </x:c>
      <x:c r="E3730" t="str">
        <x:v>Cafe</x:v>
      </x:c>
      <x:c r="F3730" t="str">
        <x:v>Bengaluru</x:v>
      </x:c>
      <x:c r="G3730" t="str">
        <x:v>Megha</x:v>
      </x:c>
      <x:c r="H3730" t="str">
        <x:v>P019</x:v>
      </x:c>
      <x:c r="I3730" t="str">
        <x:v>Tea 1kg</x:v>
      </x:c>
      <x:c r="J3730" t="str">
        <x:v>Beverage</x:v>
      </x:c>
      <x:c r="K3730" t="str">
        <x:v>Red Label</x:v>
      </x:c>
      <x:c r="L3730" s="22" t="n">
        <x:v>540</x:v>
      </x:c>
      <x:c r="M3730" t="n">
        <x:v>3</x:v>
      </x:c>
      <x:c r="N3730" s="24" t="n">
        <x:v>0</x:v>
      </x:c>
      <x:c r="O3730" s="22" t="n">
        <x:f>L3730*M3730</x:f>
        <x:v>1620</x:v>
      </x:c>
      <x:c r="P3730" s="22" t="n">
        <x:f>O3730*(1-N3730)</x:f>
        <x:v>1620</x:v>
      </x:c>
      <x:c r="Q3730" s="22" t="n">
        <x:v>485</x:v>
      </x:c>
      <x:c r="R3730" s="22" t="n">
        <x:f>Q3730*M3730</x:f>
        <x:v>1455</x:v>
      </x:c>
      <x:c r="S3730" s="22" t="n">
        <x:f>P3730-R3730</x:f>
        <x:v>165</x:v>
      </x:c>
      <x:c r="T3730" t="str">
        <x:v>Bank Transfer</x:v>
      </x:c>
      <x:c r="U3730" t="str">
        <x:v>Pending</x:v>
      </x:c>
      <x:c r="V3730" t="str">
        <x:v>Delivered</x:v>
      </x:c>
      <x:c r="W3730" t="n">
        <x:v>0</x:v>
      </x:c>
      <x:c r="X3730" t="str"/>
      <x:c r="Y3730" t="str">
        <x:v>Outbound Call</x:v>
      </x:c>
    </x:row>
    <x:row r="3731">
      <x:c r="A3731" t="str">
        <x:v>O003730</x:v>
      </x:c>
      <x:c r="B3731" s="20" t="n">
        <x:v>46072</x:v>
      </x:c>
      <x:c r="C3731" t="str">
        <x:v>C0054</x:v>
      </x:c>
      <x:c r="D3731" t="str">
        <x:v>Cafe Cafe 54</x:v>
      </x:c>
      <x:c r="E3731" t="str">
        <x:v>Restaurant</x:v>
      </x:c>
      <x:c r="F3731" t="str">
        <x:v>Hubballi</x:v>
      </x:c>
      <x:c r="G3731" t="str">
        <x:v>Vikram</x:v>
      </x:c>
      <x:c r="H3731" t="str">
        <x:v>P045</x:v>
      </x:c>
      <x:c r="I3731" t="str">
        <x:v>Onion 25kg</x:v>
      </x:c>
      <x:c r="J3731" t="str">
        <x:v>Fresh Produce</x:v>
      </x:c>
      <x:c r="K3731" t="str">
        <x:v>Local Market</x:v>
      </x:c>
      <x:c r="L3731" s="22" t="n">
        <x:v>875</x:v>
      </x:c>
      <x:c r="M3731" t="n">
        <x:v>20</x:v>
      </x:c>
      <x:c r="N3731" s="24" t="n">
        <x:v>0.05</x:v>
      </x:c>
      <x:c r="O3731" s="22" t="n">
        <x:f>L3731*M3731</x:f>
        <x:v>17500</x:v>
      </x:c>
      <x:c r="P3731" s="22" t="n">
        <x:f>O3731*(1-N3731)</x:f>
        <x:v>16625</x:v>
      </x:c>
      <x:c r="Q3731" s="22" t="n">
        <x:v>760</x:v>
      </x:c>
      <x:c r="R3731" s="22" t="n">
        <x:f>Q3731*M3731</x:f>
        <x:v>15200</x:v>
      </x:c>
      <x:c r="S3731" s="22" t="n">
        <x:f>P3731-R3731</x:f>
        <x:v>1425</x:v>
      </x:c>
      <x:c r="T3731" t="str">
        <x:v>Cash</x:v>
      </x:c>
      <x:c r="U3731" t="str">
        <x:v>Pending</x:v>
      </x:c>
      <x:c r="V3731" t="str">
        <x:v>Cancelled</x:v>
      </x:c>
      <x:c r="W3731" t="n">
        <x:v>20</x:v>
      </x:c>
      <x:c r="X3731" t="str">
        <x:v>Cancelled Order</x:v>
      </x:c>
      <x:c r="Y3731" t="str">
        <x:v>WhatsApp</x:v>
      </x:c>
    </x:row>
    <x:row r="3732">
      <x:c r="A3732" t="str">
        <x:v>O003731</x:v>
      </x:c>
      <x:c r="B3732" s="20" t="n">
        <x:v>45750</x:v>
      </x:c>
      <x:c r="C3732" t="str">
        <x:v>C0021</x:v>
      </x:c>
      <x:c r="D3732" t="str">
        <x:v>Namma Cafe 21</x:v>
      </x:c>
      <x:c r="E3732" t="str">
        <x:v>Canteen</x:v>
      </x:c>
      <x:c r="F3732" t="str">
        <x:v>Bengaluru</x:v>
      </x:c>
      <x:c r="G3732" t="str">
        <x:v>Kavya</x:v>
      </x:c>
      <x:c r="H3732" t="str">
        <x:v>P041</x:v>
      </x:c>
      <x:c r="I3732" t="str">
        <x:v>Burger Bun 6pc</x:v>
      </x:c>
      <x:c r="J3732" t="str">
        <x:v>Bakery</x:v>
      </x:c>
      <x:c r="K3732" t="str">
        <x:v>Modern</x:v>
      </x:c>
      <x:c r="L3732" s="22" t="n">
        <x:v>42</x:v>
      </x:c>
      <x:c r="M3732" t="n">
        <x:v>28</x:v>
      </x:c>
      <x:c r="N3732" s="24" t="n">
        <x:v>0.05</x:v>
      </x:c>
      <x:c r="O3732" s="22" t="n">
        <x:f>L3732*M3732</x:f>
        <x:v>1176</x:v>
      </x:c>
      <x:c r="P3732" s="22" t="n">
        <x:f>O3732*(1-N3732)</x:f>
        <x:v>1117.2</x:v>
      </x:c>
      <x:c r="Q3732" s="22" t="n">
        <x:v>32</x:v>
      </x:c>
      <x:c r="R3732" s="22" t="n">
        <x:f>Q3732*M3732</x:f>
        <x:v>896</x:v>
      </x:c>
      <x:c r="S3732" s="22" t="n">
        <x:f>P3732-R3732</x:f>
        <x:v>221.20000000000005</x:v>
      </x:c>
      <x:c r="T3732" t="str">
        <x:v>Bank Transfer</x:v>
      </x:c>
      <x:c r="U3732" t="str">
        <x:v>Paid</x:v>
      </x:c>
      <x:c r="V3732" t="str">
        <x:v>Cancelled</x:v>
      </x:c>
      <x:c r="W3732" t="n">
        <x:v>28</x:v>
      </x:c>
      <x:c r="X3732" t="str">
        <x:v>Cancelled Order</x:v>
      </x:c>
      <x:c r="Y3732" t="str">
        <x:v>Referral</x:v>
      </x:c>
    </x:row>
    <x:row r="3733">
      <x:c r="A3733" t="str">
        <x:v>O003732</x:v>
      </x:c>
      <x:c r="B3733" s="20" t="n">
        <x:v>45892</x:v>
      </x:c>
      <x:c r="C3733" t="str">
        <x:v>C0175</x:v>
      </x:c>
      <x:c r="D3733" t="str">
        <x:v>Namma Mart 175</x:v>
      </x:c>
      <x:c r="E3733" t="str">
        <x:v>Hotel</x:v>
      </x:c>
      <x:c r="F3733" t="str">
        <x:v>Davanagere</x:v>
      </x:c>
      <x:c r="G3733" t="str">
        <x:v>Sneha</x:v>
      </x:c>
      <x:c r="H3733" t="str">
        <x:v>P003</x:v>
      </x:c>
      <x:c r="I3733" t="str">
        <x:v>Basmati Rice 5kg</x:v>
      </x:c>
      <x:c r="J3733" t="str">
        <x:v>Staples</x:v>
      </x:c>
      <x:c r="K3733" t="str">
        <x:v>India Gate</x:v>
      </x:c>
      <x:c r="L3733" s="22" t="n">
        <x:v>690</x:v>
      </x:c>
      <x:c r="M3733" t="n">
        <x:v>7</x:v>
      </x:c>
      <x:c r="N3733" s="24" t="n">
        <x:v>0</x:v>
      </x:c>
      <x:c r="O3733" s="22" t="n">
        <x:f>L3733*M3733</x:f>
        <x:v>4830</x:v>
      </x:c>
      <x:c r="P3733" s="22" t="n">
        <x:f>O3733*(1-N3733)</x:f>
        <x:v>4830</x:v>
      </x:c>
      <x:c r="Q3733" s="22" t="n">
        <x:v>610</x:v>
      </x:c>
      <x:c r="R3733" s="22" t="n">
        <x:f>Q3733*M3733</x:f>
        <x:v>4270</x:v>
      </x:c>
      <x:c r="S3733" s="22" t="n">
        <x:f>P3733-R3733</x:f>
        <x:v>560</x:v>
      </x:c>
      <x:c r="T3733" t="str">
        <x:v>UPI</x:v>
      </x:c>
      <x:c r="U3733" t="str">
        <x:v>Paid</x:v>
      </x:c>
      <x:c r="V3733" t="str">
        <x:v>Delivered</x:v>
      </x:c>
      <x:c r="W3733" t="n">
        <x:v>0</x:v>
      </x:c>
      <x:c r="X3733" t="str"/>
      <x:c r="Y3733" t="str">
        <x:v>WhatsApp</x:v>
      </x:c>
    </x:row>
    <x:row r="3734">
      <x:c r="A3734" t="str">
        <x:v>O003733</x:v>
      </x:c>
      <x:c r="B3734" s="20" t="n">
        <x:v>46194</x:v>
      </x:c>
      <x:c r="C3734" t="str">
        <x:v>C0193</x:v>
      </x:c>
      <x:c r="D3734" t="str">
        <x:v>Udupi Cafe 193</x:v>
      </x:c>
      <x:c r="E3734" t="str">
        <x:v>Restaurant</x:v>
      </x:c>
      <x:c r="F3734" t="str">
        <x:v>Hubballi</x:v>
      </x:c>
      <x:c r="G3734" t="str">
        <x:v>Sneha</x:v>
      </x:c>
      <x:c r="H3734" t="str">
        <x:v>P010</x:v>
      </x:c>
      <x:c r="I3734" t="str">
        <x:v>Sugar 25kg</x:v>
      </x:c>
      <x:c r="J3734" t="str">
        <x:v>Staples</x:v>
      </x:c>
      <x:c r="K3734" t="str">
        <x:v>Madhur</x:v>
      </x:c>
      <x:c r="L3734" s="22" t="n">
        <x:v>1190</x:v>
      </x:c>
      <x:c r="M3734" t="n">
        <x:v>6</x:v>
      </x:c>
      <x:c r="N3734" s="24" t="n">
        <x:v>0.05</x:v>
      </x:c>
      <x:c r="O3734" s="22" t="n">
        <x:f>L3734*M3734</x:f>
        <x:v>7140</x:v>
      </x:c>
      <x:c r="P3734" s="22" t="n">
        <x:f>O3734*(1-N3734)</x:f>
        <x:v>6783</x:v>
      </x:c>
      <x:c r="Q3734" s="22" t="n">
        <x:v>1080</x:v>
      </x:c>
      <x:c r="R3734" s="22" t="n">
        <x:f>Q3734*M3734</x:f>
        <x:v>6480</x:v>
      </x:c>
      <x:c r="S3734" s="22" t="n">
        <x:f>P3734-R3734</x:f>
        <x:v>303</x:v>
      </x:c>
      <x:c r="T3734" t="str">
        <x:v>Cash</x:v>
      </x:c>
      <x:c r="U3734" t="str">
        <x:v>Paid</x:v>
      </x:c>
      <x:c r="V3734" t="str">
        <x:v>Delivered</x:v>
      </x:c>
      <x:c r="W3734" t="n">
        <x:v>0</x:v>
      </x:c>
      <x:c r="X3734" t="str"/>
      <x:c r="Y3734" t="str">
        <x:v>Field Visit</x:v>
      </x:c>
    </x:row>
    <x:row r="3735">
      <x:c r="A3735" t="str">
        <x:v>O003734</x:v>
      </x:c>
      <x:c r="B3735" s="20" t="n">
        <x:v>45813</x:v>
      </x:c>
      <x:c r="C3735" t="str">
        <x:v>C0234</x:v>
      </x:c>
      <x:c r="D3735" t="str">
        <x:v>Metro Canteen 234</x:v>
      </x:c>
      <x:c r="E3735" t="str">
        <x:v>Restaurant</x:v>
      </x:c>
      <x:c r="F3735" t="str">
        <x:v>Davanagere</x:v>
      </x:c>
      <x:c r="G3735" t="str">
        <x:v>Priya</x:v>
      </x:c>
      <x:c r="H3735" t="str">
        <x:v>P025</x:v>
      </x:c>
      <x:c r="I3735" t="str">
        <x:v>Potato Chips 100g</x:v>
      </x:c>
      <x:c r="J3735" t="str">
        <x:v>Snacks</x:v>
      </x:c>
      <x:c r="K3735" t="str">
        <x:v>Lay's</x:v>
      </x:c>
      <x:c r="L3735" s="22" t="n">
        <x:v>35</x:v>
      </x:c>
      <x:c r="M3735" t="n">
        <x:v>11</x:v>
      </x:c>
      <x:c r="N3735" s="24" t="n">
        <x:v>0.08</x:v>
      </x:c>
      <x:c r="O3735" s="22" t="n">
        <x:f>L3735*M3735</x:f>
        <x:v>385</x:v>
      </x:c>
      <x:c r="P3735" s="22" t="n">
        <x:f>O3735*(1-N3735)</x:f>
        <x:v>354.2</x:v>
      </x:c>
      <x:c r="Q3735" s="22" t="n">
        <x:v>27</x:v>
      </x:c>
      <x:c r="R3735" s="22" t="n">
        <x:f>Q3735*M3735</x:f>
        <x:v>297</x:v>
      </x:c>
      <x:c r="S3735" s="22" t="n">
        <x:f>P3735-R3735</x:f>
        <x:v>57.19999999999999</x:v>
      </x:c>
      <x:c r="T3735" t="str">
        <x:v>Cash</x:v>
      </x:c>
      <x:c r="U3735" t="str">
        <x:v>Paid</x:v>
      </x:c>
      <x:c r="V3735" t="str">
        <x:v>Delivered</x:v>
      </x:c>
      <x:c r="W3735" t="n">
        <x:v>0</x:v>
      </x:c>
      <x:c r="X3735" t="str"/>
      <x:c r="Y3735" t="str">
        <x:v>Existing Customer</x:v>
      </x:c>
    </x:row>
    <x:row r="3736">
      <x:c r="A3736" t="str">
        <x:v>O003735</x:v>
      </x:c>
      <x:c r="B3736" s="20" t="n">
        <x:v>45695</x:v>
      </x:c>
      <x:c r="C3736" t="str">
        <x:v>C0110</x:v>
      </x:c>
      <x:c r="D3736" t="str">
        <x:v>Metro Restaurant 110</x:v>
      </x:c>
      <x:c r="E3736" t="str">
        <x:v>Hotel</x:v>
      </x:c>
      <x:c r="F3736" t="str">
        <x:v>Mysuru</x:v>
      </x:c>
      <x:c r="G3736" t="str">
        <x:v>Imran</x:v>
      </x:c>
      <x:c r="H3736" t="str">
        <x:v>P006</x:v>
      </x:c>
      <x:c r="I3736" t="str">
        <x:v>Moong Dal 5kg</x:v>
      </x:c>
      <x:c r="J3736" t="str">
        <x:v>Pulses</x:v>
      </x:c>
      <x:c r="K3736" t="str">
        <x:v>Local Select</x:v>
      </x:c>
      <x:c r="L3736" s="22" t="n">
        <x:v>610</x:v>
      </x:c>
      <x:c r="M3736" t="n">
        <x:v>25</x:v>
      </x:c>
      <x:c r="N3736" s="24" t="n">
        <x:v>0.05</x:v>
      </x:c>
      <x:c r="O3736" s="22" t="n">
        <x:f>L3736*M3736</x:f>
        <x:v>15250</x:v>
      </x:c>
      <x:c r="P3736" s="22" t="n">
        <x:f>O3736*(1-N3736)</x:f>
        <x:v>14487.5</x:v>
      </x:c>
      <x:c r="Q3736" s="22" t="n">
        <x:v>540</x:v>
      </x:c>
      <x:c r="R3736" s="22" t="n">
        <x:f>Q3736*M3736</x:f>
        <x:v>13500</x:v>
      </x:c>
      <x:c r="S3736" s="22" t="n">
        <x:f>P3736-R3736</x:f>
        <x:v>987.5</x:v>
      </x:c>
      <x:c r="T3736" t="str">
        <x:v>Credit</x:v>
      </x:c>
      <x:c r="U3736" t="str">
        <x:v>Pending</x:v>
      </x:c>
      <x:c r="V3736" t="str">
        <x:v>Cancelled</x:v>
      </x:c>
      <x:c r="W3736" t="n">
        <x:v>25</x:v>
      </x:c>
      <x:c r="X3736" t="str">
        <x:v>Cancelled Order</x:v>
      </x:c>
      <x:c r="Y3736" t="str">
        <x:v>Outbound Call</x:v>
      </x:c>
    </x:row>
    <x:row r="3737">
      <x:c r="A3737" t="str">
        <x:v>O003736</x:v>
      </x:c>
      <x:c r="B3737" s="20" t="n">
        <x:v>45961</x:v>
      </x:c>
      <x:c r="C3737" t="str">
        <x:v>C0100</x:v>
      </x:c>
      <x:c r="D3737" t="str">
        <x:v>Fresh Mart 100</x:v>
      </x:c>
      <x:c r="E3737" t="str">
        <x:v>Restaurant</x:v>
      </x:c>
      <x:c r="F3737" t="str">
        <x:v>Mysuru</x:v>
      </x:c>
      <x:c r="G3737" t="str">
        <x:v>Imran</x:v>
      </x:c>
      <x:c r="H3737" t="str">
        <x:v>P001</x:v>
      </x:c>
      <x:c r="I3737" t="str">
        <x:v>Steam Rice 25kg</x:v>
      </x:c>
      <x:c r="J3737" t="str">
        <x:v>Staples</x:v>
      </x:c>
      <x:c r="K3737" t="str">
        <x:v>Aishwarya</x:v>
      </x:c>
      <x:c r="L3737" s="22" t="n">
        <x:v>1180</x:v>
      </x:c>
      <x:c r="M3737" t="n">
        <x:v>10</x:v>
      </x:c>
      <x:c r="N3737" s="24" t="n">
        <x:v>0</x:v>
      </x:c>
      <x:c r="O3737" s="22" t="n">
        <x:f>L3737*M3737</x:f>
        <x:v>11800</x:v>
      </x:c>
      <x:c r="P3737" s="22" t="n">
        <x:f>O3737*(1-N3737)</x:f>
        <x:v>11800</x:v>
      </x:c>
      <x:c r="Q3737" s="22" t="n">
        <x:v>1040</x:v>
      </x:c>
      <x:c r="R3737" s="22" t="n">
        <x:f>Q3737*M3737</x:f>
        <x:v>10400</x:v>
      </x:c>
      <x:c r="S3737" s="22" t="n">
        <x:f>P3737-R3737</x:f>
        <x:v>1400</x:v>
      </x:c>
      <x:c r="T3737" t="str">
        <x:v>UPI</x:v>
      </x:c>
      <x:c r="U3737" t="str">
        <x:v>Paid</x:v>
      </x:c>
      <x:c r="V3737" t="str">
        <x:v>Delayed</x:v>
      </x:c>
      <x:c r="W3737" t="n">
        <x:v>0</x:v>
      </x:c>
      <x:c r="X3737" t="str"/>
      <x:c r="Y3737" t="str">
        <x:v>Field Visit</x:v>
      </x:c>
    </x:row>
    <x:row r="3738">
      <x:c r="A3738" t="str">
        <x:v>O003737</x:v>
      </x:c>
      <x:c r="B3738" s="20" t="n">
        <x:v>45766</x:v>
      </x:c>
      <x:c r="C3738" t="str">
        <x:v>C0213</x:v>
      </x:c>
      <x:c r="D3738" t="str">
        <x:v>Shree Cafe 213</x:v>
      </x:c>
      <x:c r="E3738" t="str">
        <x:v>Cafe</x:v>
      </x:c>
      <x:c r="F3738" t="str">
        <x:v>Tumakuru</x:v>
      </x:c>
      <x:c r="G3738" t="str">
        <x:v>Imran</x:v>
      </x:c>
      <x:c r="H3738" t="str">
        <x:v>P041</x:v>
      </x:c>
      <x:c r="I3738" t="str">
        <x:v>Burger Bun 6pc</x:v>
      </x:c>
      <x:c r="J3738" t="str">
        <x:v>Bakery</x:v>
      </x:c>
      <x:c r="K3738" t="str">
        <x:v>Modern</x:v>
      </x:c>
      <x:c r="L3738" s="22" t="n">
        <x:v>42</x:v>
      </x:c>
      <x:c r="M3738" t="n">
        <x:v>25</x:v>
      </x:c>
      <x:c r="N3738" s="24" t="n">
        <x:v>0.08</x:v>
      </x:c>
      <x:c r="O3738" s="22" t="n">
        <x:f>L3738*M3738</x:f>
        <x:v>1050</x:v>
      </x:c>
      <x:c r="P3738" s="22" t="n">
        <x:f>O3738*(1-N3738)</x:f>
        <x:v>966</x:v>
      </x:c>
      <x:c r="Q3738" s="22" t="n">
        <x:v>32</x:v>
      </x:c>
      <x:c r="R3738" s="22" t="n">
        <x:f>Q3738*M3738</x:f>
        <x:v>800</x:v>
      </x:c>
      <x:c r="S3738" s="22" t="n">
        <x:f>P3738-R3738</x:f>
        <x:v>166</x:v>
      </x:c>
      <x:c r="T3738" t="str">
        <x:v>Bank Transfer</x:v>
      </x:c>
      <x:c r="U3738" t="str">
        <x:v>Pending</x:v>
      </x:c>
      <x:c r="V3738" t="str">
        <x:v>Delivered</x:v>
      </x:c>
      <x:c r="W3738" t="n">
        <x:v>0</x:v>
      </x:c>
      <x:c r="X3738" t="str"/>
      <x:c r="Y3738" t="str">
        <x:v>Outbound Call</x:v>
      </x:c>
    </x:row>
    <x:row r="3739">
      <x:c r="A3739" t="str">
        <x:v>O003738</x:v>
      </x:c>
      <x:c r="B3739" s="20" t="n">
        <x:v>46216</x:v>
      </x:c>
      <x:c r="C3739" t="str">
        <x:v>C0161</x:v>
      </x:c>
      <x:c r="D3739" t="str">
        <x:v>Hotel Kitchen 161</x:v>
      </x:c>
      <x:c r="E3739" t="str">
        <x:v>Supermarket</x:v>
      </x:c>
      <x:c r="F3739" t="str">
        <x:v>Mysuru</x:v>
      </x:c>
      <x:c r="G3739" t="str">
        <x:v>Sneha</x:v>
      </x:c>
      <x:c r="H3739" t="str">
        <x:v>P032</x:v>
      </x:c>
      <x:c r="I3739" t="str">
        <x:v>Soy Sauce 700g</x:v>
      </x:c>
      <x:c r="J3739" t="str">
        <x:v>Condiments</x:v>
      </x:c>
      <x:c r="K3739" t="str">
        <x:v>Ching's</x:v>
      </x:c>
      <x:c r="L3739" s="22" t="n">
        <x:v>118</x:v>
      </x:c>
      <x:c r="M3739" t="n">
        <x:v>35</x:v>
      </x:c>
      <x:c r="N3739" s="24" t="n">
        <x:v>0.02</x:v>
      </x:c>
      <x:c r="O3739" s="22" t="n">
        <x:f>L3739*M3739</x:f>
        <x:v>4130</x:v>
      </x:c>
      <x:c r="P3739" s="22" t="n">
        <x:f>O3739*(1-N3739)</x:f>
        <x:v>4047.4</x:v>
      </x:c>
      <x:c r="Q3739" s="22" t="n">
        <x:v>101</x:v>
      </x:c>
      <x:c r="R3739" s="22" t="n">
        <x:f>Q3739*M3739</x:f>
        <x:v>3535</x:v>
      </x:c>
      <x:c r="S3739" s="22" t="n">
        <x:f>P3739-R3739</x:f>
        <x:v>512.4000000000001</x:v>
      </x:c>
      <x:c r="T3739" t="str">
        <x:v>Credit</x:v>
      </x:c>
      <x:c r="U3739" t="str">
        <x:v>Pending</x:v>
      </x:c>
      <x:c r="V3739" t="str">
        <x:v>Delivered</x:v>
      </x:c>
      <x:c r="W3739" t="n">
        <x:v>0</x:v>
      </x:c>
      <x:c r="X3739" t="str"/>
      <x:c r="Y3739" t="str">
        <x:v>Referral</x:v>
      </x:c>
    </x:row>
    <x:row r="3740">
      <x:c r="A3740" t="str">
        <x:v>O003739</x:v>
      </x:c>
      <x:c r="B3740" s="20" t="n">
        <x:v>45715</x:v>
      </x:c>
      <x:c r="C3740" t="str">
        <x:v>C0111</x:v>
      </x:c>
      <x:c r="D3740" t="str">
        <x:v>Metro Kitchen 111</x:v>
      </x:c>
      <x:c r="E3740" t="str">
        <x:v>Restaurant</x:v>
      </x:c>
      <x:c r="F3740" t="str">
        <x:v>Davanagere</x:v>
      </x:c>
      <x:c r="G3740" t="str">
        <x:v>Sneha</x:v>
      </x:c>
      <x:c r="H3740" t="str">
        <x:v>P023</x:v>
      </x:c>
      <x:c r="I3740" t="str">
        <x:v>Cola 750ml</x:v>
      </x:c>
      <x:c r="J3740" t="str">
        <x:v>Beverage</x:v>
      </x:c>
      <x:c r="K3740" t="str">
        <x:v>Coca-Cola</x:v>
      </x:c>
      <x:c r="L3740" s="22" t="n">
        <x:v>38</x:v>
      </x:c>
      <x:c r="M3740" t="n">
        <x:v>12</x:v>
      </x:c>
      <x:c r="N3740" s="24" t="n">
        <x:v>0.08</x:v>
      </x:c>
      <x:c r="O3740" s="22" t="n">
        <x:f>L3740*M3740</x:f>
        <x:v>456</x:v>
      </x:c>
      <x:c r="P3740" s="22" t="n">
        <x:f>O3740*(1-N3740)</x:f>
        <x:v>419.52000000000004</x:v>
      </x:c>
      <x:c r="Q3740" s="22" t="n">
        <x:v>31</x:v>
      </x:c>
      <x:c r="R3740" s="22" t="n">
        <x:f>Q3740*M3740</x:f>
        <x:v>372</x:v>
      </x:c>
      <x:c r="S3740" s="22" t="n">
        <x:f>P3740-R3740</x:f>
        <x:v>47.52000000000004</x:v>
      </x:c>
      <x:c r="T3740" t="str">
        <x:v>Cash</x:v>
      </x:c>
      <x:c r="U3740" t="str">
        <x:v>Paid</x:v>
      </x:c>
      <x:c r="V3740" t="str">
        <x:v>Delivered</x:v>
      </x:c>
      <x:c r="W3740" t="n">
        <x:v>0</x:v>
      </x:c>
      <x:c r="X3740" t="str"/>
      <x:c r="Y3740" t="str">
        <x:v>Existing Customer</x:v>
      </x:c>
    </x:row>
    <x:row r="3741">
      <x:c r="A3741" t="str">
        <x:v>O003740</x:v>
      </x:c>
      <x:c r="B3741" s="20" t="n">
        <x:v>45918</x:v>
      </x:c>
      <x:c r="C3741" t="str">
        <x:v>C0069</x:v>
      </x:c>
      <x:c r="D3741" t="str">
        <x:v>Cafe Hotel 69</x:v>
      </x:c>
      <x:c r="E3741" t="str">
        <x:v>Supermarket</x:v>
      </x:c>
      <x:c r="F3741" t="str">
        <x:v>Bengaluru</x:v>
      </x:c>
      <x:c r="G3741" t="str">
        <x:v>Sneha</x:v>
      </x:c>
      <x:c r="H3741" t="str">
        <x:v>P048</x:v>
      </x:c>
      <x:c r="I3741" t="str">
        <x:v>Banana 10kg</x:v>
      </x:c>
      <x:c r="J3741" t="str">
        <x:v>Fresh Produce</x:v>
      </x:c>
      <x:c r="K3741" t="str">
        <x:v>Local Market</x:v>
      </x:c>
      <x:c r="L3741" s="22" t="n">
        <x:v>420</x:v>
      </x:c>
      <x:c r="M3741" t="n">
        <x:v>1</x:v>
      </x:c>
      <x:c r="N3741" s="24" t="n">
        <x:v>0.03</x:v>
      </x:c>
      <x:c r="O3741" s="22" t="n">
        <x:f>L3741*M3741</x:f>
        <x:v>420</x:v>
      </x:c>
      <x:c r="P3741" s="22" t="n">
        <x:f>O3741*(1-N3741)</x:f>
        <x:v>407.4</x:v>
      </x:c>
      <x:c r="Q3741" s="22" t="n">
        <x:v>350</x:v>
      </x:c>
      <x:c r="R3741" s="22" t="n">
        <x:f>Q3741*M3741</x:f>
        <x:v>350</x:v>
      </x:c>
      <x:c r="S3741" s="22" t="n">
        <x:f>P3741-R3741</x:f>
        <x:v>57.39999999999998</x:v>
      </x:c>
      <x:c r="T3741" t="str">
        <x:v>UPI</x:v>
      </x:c>
      <x:c r="U3741" t="str">
        <x:v>Paid</x:v>
      </x:c>
      <x:c r="V3741" t="str">
        <x:v>Delivered</x:v>
      </x:c>
      <x:c r="W3741" t="n">
        <x:v>0</x:v>
      </x:c>
      <x:c r="X3741" t="str"/>
      <x:c r="Y3741" t="str">
        <x:v>Referral</x:v>
      </x:c>
    </x:row>
    <x:row r="3742">
      <x:c r="A3742" t="str">
        <x:v>O003741</x:v>
      </x:c>
      <x:c r="B3742" s="20" t="n">
        <x:v>45830</x:v>
      </x:c>
      <x:c r="C3742" t="str">
        <x:v>C0096</x:v>
      </x:c>
      <x:c r="D3742" t="str">
        <x:v>Metro Foods 96</x:v>
      </x:c>
      <x:c r="E3742" t="str">
        <x:v>Kirana</x:v>
      </x:c>
      <x:c r="F3742" t="str">
        <x:v>Davanagere</x:v>
      </x:c>
      <x:c r="G3742" t="str">
        <x:v>Vikram</x:v>
      </x:c>
      <x:c r="H3742" t="str">
        <x:v>P002</x:v>
      </x:c>
      <x:c r="I3742" t="str">
        <x:v>Sona Masoori Rice 25kg</x:v>
      </x:c>
      <x:c r="J3742" t="str">
        <x:v>Staples</x:v>
      </x:c>
      <x:c r="K3742" t="str">
        <x:v>Fortune</x:v>
      </x:c>
      <x:c r="L3742" s="22" t="n">
        <x:v>1320</x:v>
      </x:c>
      <x:c r="M3742" t="n">
        <x:v>11</x:v>
      </x:c>
      <x:c r="N3742" s="24" t="n">
        <x:v>0.05</x:v>
      </x:c>
      <x:c r="O3742" s="22" t="n">
        <x:f>L3742*M3742</x:f>
        <x:v>14520</x:v>
      </x:c>
      <x:c r="P3742" s="22" t="n">
        <x:f>O3742*(1-N3742)</x:f>
        <x:v>13794</x:v>
      </x:c>
      <x:c r="Q3742" s="22" t="n">
        <x:v>1160</x:v>
      </x:c>
      <x:c r="R3742" s="22" t="n">
        <x:f>Q3742*M3742</x:f>
        <x:v>12760</x:v>
      </x:c>
      <x:c r="S3742" s="22" t="n">
        <x:f>P3742-R3742</x:f>
        <x:v>1034</x:v>
      </x:c>
      <x:c r="T3742" t="str">
        <x:v>Cash</x:v>
      </x:c>
      <x:c r="U3742" t="str">
        <x:v>Paid</x:v>
      </x:c>
      <x:c r="V3742" t="str">
        <x:v>Cancelled</x:v>
      </x:c>
      <x:c r="W3742" t="n">
        <x:v>11</x:v>
      </x:c>
      <x:c r="X3742" t="str">
        <x:v>Cancelled Order</x:v>
      </x:c>
      <x:c r="Y3742" t="str">
        <x:v>Outbound Call</x:v>
      </x:c>
    </x:row>
    <x:row r="3743">
      <x:c r="A3743" t="str">
        <x:v>O003742</x:v>
      </x:c>
      <x:c r="B3743" s="20" t="n">
        <x:v>45754</x:v>
      </x:c>
      <x:c r="C3743" t="str">
        <x:v>C0112</x:v>
      </x:c>
      <x:c r="D3743" t="str">
        <x:v>Cafe Hotel 112</x:v>
      </x:c>
      <x:c r="E3743" t="str">
        <x:v>Hotel</x:v>
      </x:c>
      <x:c r="F3743" t="str">
        <x:v>Mangaluru</x:v>
      </x:c>
      <x:c r="G3743" t="str">
        <x:v>Kavya</x:v>
      </x:c>
      <x:c r="H3743" t="str">
        <x:v>P029</x:v>
      </x:c>
      <x:c r="I3743" t="str">
        <x:v>Tomato Ketchup 1kg</x:v>
      </x:c>
      <x:c r="J3743" t="str">
        <x:v>Condiments</x:v>
      </x:c>
      <x:c r="K3743" t="str">
        <x:v>Kissan</x:v>
      </x:c>
      <x:c r="L3743" s="22" t="n">
        <x:v>145</x:v>
      </x:c>
      <x:c r="M3743" t="n">
        <x:v>17</x:v>
      </x:c>
      <x:c r="N3743" s="24" t="n">
        <x:v>0.03</x:v>
      </x:c>
      <x:c r="O3743" s="22" t="n">
        <x:f>L3743*M3743</x:f>
        <x:v>2465</x:v>
      </x:c>
      <x:c r="P3743" s="22" t="n">
        <x:f>O3743*(1-N3743)</x:f>
        <x:v>2391.0499999999997</x:v>
      </x:c>
      <x:c r="Q3743" s="22" t="n">
        <x:v>126</x:v>
      </x:c>
      <x:c r="R3743" s="22" t="n">
        <x:f>Q3743*M3743</x:f>
        <x:v>2142</x:v>
      </x:c>
      <x:c r="S3743" s="22" t="n">
        <x:f>P3743-R3743</x:f>
        <x:v>249.04999999999973</x:v>
      </x:c>
      <x:c r="T3743" t="str">
        <x:v>Bank Transfer</x:v>
      </x:c>
      <x:c r="U3743" t="str">
        <x:v>Overdue</x:v>
      </x:c>
      <x:c r="V3743" t="str">
        <x:v>Cancelled</x:v>
      </x:c>
      <x:c r="W3743" t="n">
        <x:v>17</x:v>
      </x:c>
      <x:c r="X3743" t="str">
        <x:v>Cancelled Order</x:v>
      </x:c>
      <x:c r="Y3743" t="str">
        <x:v>Referral</x:v>
      </x:c>
    </x:row>
    <x:row r="3744">
      <x:c r="A3744" t="str">
        <x:v>O003743</x:v>
      </x:c>
      <x:c r="B3744" s="20" t="n">
        <x:v>45740</x:v>
      </x:c>
      <x:c r="C3744" t="str">
        <x:v>C0128</x:v>
      </x:c>
      <x:c r="D3744" t="str">
        <x:v>Fresh Hotel 128</x:v>
      </x:c>
      <x:c r="E3744" t="str">
        <x:v>Kirana</x:v>
      </x:c>
      <x:c r="F3744" t="str">
        <x:v>Tumakuru</x:v>
      </x:c>
      <x:c r="G3744" t="str">
        <x:v>Priya</x:v>
      </x:c>
      <x:c r="H3744" t="str">
        <x:v>P049</x:v>
      </x:c>
      <x:c r="I3744" t="str">
        <x:v>Apple 10kg</x:v>
      </x:c>
      <x:c r="J3744" t="str">
        <x:v>Fresh Produce</x:v>
      </x:c>
      <x:c r="K3744" t="str">
        <x:v>Local Market</x:v>
      </x:c>
      <x:c r="L3744" s="22" t="n">
        <x:v>1450</x:v>
      </x:c>
      <x:c r="M3744" t="n">
        <x:v>8</x:v>
      </x:c>
      <x:c r="N3744" s="24" t="n">
        <x:v>0.03</x:v>
      </x:c>
      <x:c r="O3744" s="22" t="n">
        <x:f>L3744*M3744</x:f>
        <x:v>11600</x:v>
      </x:c>
      <x:c r="P3744" s="22" t="n">
        <x:f>O3744*(1-N3744)</x:f>
        <x:v>11252</x:v>
      </x:c>
      <x:c r="Q3744" s="22" t="n">
        <x:v>1280</x:v>
      </x:c>
      <x:c r="R3744" s="22" t="n">
        <x:f>Q3744*M3744</x:f>
        <x:v>10240</x:v>
      </x:c>
      <x:c r="S3744" s="22" t="n">
        <x:f>P3744-R3744</x:f>
        <x:v>1012</x:v>
      </x:c>
      <x:c r="T3744" t="str">
        <x:v>Cash</x:v>
      </x:c>
      <x:c r="U3744" t="str">
        <x:v>Paid</x:v>
      </x:c>
      <x:c r="V3744" t="str">
        <x:v>Cancelled</x:v>
      </x:c>
      <x:c r="W3744" t="n">
        <x:v>8</x:v>
      </x:c>
      <x:c r="X3744" t="str">
        <x:v>Cancelled Order</x:v>
      </x:c>
      <x:c r="Y3744" t="str">
        <x:v>Outbound Call</x:v>
      </x:c>
    </x:row>
    <x:row r="3745">
      <x:c r="A3745" t="str">
        <x:v>O003744</x:v>
      </x:c>
      <x:c r="B3745" s="20" t="n">
        <x:v>45827</x:v>
      </x:c>
      <x:c r="C3745" t="str">
        <x:v>C0236</x:v>
      </x:c>
      <x:c r="D3745" t="str">
        <x:v>Foodie Stores 236</x:v>
      </x:c>
      <x:c r="E3745" t="str">
        <x:v>Kirana</x:v>
      </x:c>
      <x:c r="F3745" t="str">
        <x:v>Bengaluru</x:v>
      </x:c>
      <x:c r="G3745" t="str">
        <x:v>Ramesh</x:v>
      </x:c>
      <x:c r="H3745" t="str">
        <x:v>P036</x:v>
      </x:c>
      <x:c r="I3745" t="str">
        <x:v>Garam Masala 500g</x:v>
      </x:c>
      <x:c r="J3745" t="str">
        <x:v>Spices</x:v>
      </x:c>
      <x:c r="K3745" t="str">
        <x:v>MDH</x:v>
      </x:c>
      <x:c r="L3745" s="22" t="n">
        <x:v>265</x:v>
      </x:c>
      <x:c r="M3745" t="n">
        <x:v>19</x:v>
      </x:c>
      <x:c r="N3745" s="24" t="n">
        <x:v>0.05</x:v>
      </x:c>
      <x:c r="O3745" s="22" t="n">
        <x:f>L3745*M3745</x:f>
        <x:v>5035</x:v>
      </x:c>
      <x:c r="P3745" s="22" t="n">
        <x:f>O3745*(1-N3745)</x:f>
        <x:v>4783.25</x:v>
      </x:c>
      <x:c r="Q3745" s="22" t="n">
        <x:v>230</x:v>
      </x:c>
      <x:c r="R3745" s="22" t="n">
        <x:f>Q3745*M3745</x:f>
        <x:v>4370</x:v>
      </x:c>
      <x:c r="S3745" s="22" t="n">
        <x:f>P3745-R3745</x:f>
        <x:v>413.25</x:v>
      </x:c>
      <x:c r="T3745" t="str">
        <x:v>Bank Transfer</x:v>
      </x:c>
      <x:c r="U3745" t="str">
        <x:v>Paid</x:v>
      </x:c>
      <x:c r="V3745" t="str">
        <x:v>Delivered</x:v>
      </x:c>
      <x:c r="W3745" t="n">
        <x:v>0</x:v>
      </x:c>
      <x:c r="X3745" t="str"/>
      <x:c r="Y3745" t="str">
        <x:v>Existing Customer</x:v>
      </x:c>
    </x:row>
    <x:row r="3746">
      <x:c r="A3746" t="str">
        <x:v>O003745</x:v>
      </x:c>
      <x:c r="B3746" s="20" t="n">
        <x:v>45843</x:v>
      </x:c>
      <x:c r="C3746" t="str">
        <x:v>C0202</x:v>
      </x:c>
      <x:c r="D3746" t="str">
        <x:v>Sagar Foods 202</x:v>
      </x:c>
      <x:c r="E3746" t="str">
        <x:v>Restaurant</x:v>
      </x:c>
      <x:c r="F3746" t="str">
        <x:v>Mangaluru</x:v>
      </x:c>
      <x:c r="G3746" t="str">
        <x:v>Kavya</x:v>
      </x:c>
      <x:c r="H3746" t="str">
        <x:v>P042</x:v>
      </x:c>
      <x:c r="I3746" t="str">
        <x:v>Eggs 30pc Tray</x:v>
      </x:c>
      <x:c r="J3746" t="str">
        <x:v>Protein</x:v>
      </x:c>
      <x:c r="K3746" t="str">
        <x:v>Farm Fresh</x:v>
      </x:c>
      <x:c r="L3746" s="22" t="n">
        <x:v>195</x:v>
      </x:c>
      <x:c r="M3746" t="n">
        <x:v>4</x:v>
      </x:c>
      <x:c r="N3746" s="24" t="n">
        <x:v>0.03</x:v>
      </x:c>
      <x:c r="O3746" s="22" t="n">
        <x:f>L3746*M3746</x:f>
        <x:v>780</x:v>
      </x:c>
      <x:c r="P3746" s="22" t="n">
        <x:f>O3746*(1-N3746)</x:f>
        <x:v>756.6</x:v>
      </x:c>
      <x:c r="Q3746" s="22" t="n">
        <x:v>170</x:v>
      </x:c>
      <x:c r="R3746" s="22" t="n">
        <x:f>Q3746*M3746</x:f>
        <x:v>680</x:v>
      </x:c>
      <x:c r="S3746" s="22" t="n">
        <x:f>P3746-R3746</x:f>
        <x:v>76.60000000000002</x:v>
      </x:c>
      <x:c r="T3746" t="str">
        <x:v>Cash</x:v>
      </x:c>
      <x:c r="U3746" t="str">
        <x:v>Paid</x:v>
      </x:c>
      <x:c r="V3746" t="str">
        <x:v>Delivered</x:v>
      </x:c>
      <x:c r="W3746" t="n">
        <x:v>0</x:v>
      </x:c>
      <x:c r="X3746" t="str"/>
      <x:c r="Y3746" t="str"/>
    </x:row>
    <x:row r="3747">
      <x:c r="A3747" t="str">
        <x:v>O003746</x:v>
      </x:c>
      <x:c r="B3747" s="20" t="n">
        <x:v>46085</x:v>
      </x:c>
      <x:c r="C3747" t="str">
        <x:v>C0249</x:v>
      </x:c>
      <x:c r="D3747" t="str">
        <x:v>City Hotel 249</x:v>
      </x:c>
      <x:c r="E3747" t="str">
        <x:v>Supermarket</x:v>
      </x:c>
      <x:c r="F3747" t="str">
        <x:v>Mysuru</x:v>
      </x:c>
      <x:c r="G3747" t="str">
        <x:v>Arjun</x:v>
      </x:c>
      <x:c r="H3747" t="str">
        <x:v>P011</x:v>
      </x:c>
      <x:c r="I3747" t="str">
        <x:v>Salt 1kg</x:v>
      </x:c>
      <x:c r="J3747" t="str">
        <x:v>Staples</x:v>
      </x:c>
      <x:c r="K3747" t="str">
        <x:v>Tata</x:v>
      </x:c>
      <x:c r="L3747" s="22" t="n">
        <x:v>28</x:v>
      </x:c>
      <x:c r="M3747" t="n">
        <x:v>39</x:v>
      </x:c>
      <x:c r="N3747" s="24" t="n">
        <x:v>0.03</x:v>
      </x:c>
      <x:c r="O3747" s="22" t="n">
        <x:f>L3747*M3747</x:f>
        <x:v>1092</x:v>
      </x:c>
      <x:c r="P3747" s="22" t="n">
        <x:f>O3747*(1-N3747)</x:f>
        <x:v>1059.24</x:v>
      </x:c>
      <x:c r="Q3747" s="22" t="n">
        <x:v>23</x:v>
      </x:c>
      <x:c r="R3747" s="22" t="n">
        <x:f>Q3747*M3747</x:f>
        <x:v>897</x:v>
      </x:c>
      <x:c r="S3747" s="22" t="n">
        <x:f>P3747-R3747</x:f>
        <x:v>162.24</x:v>
      </x:c>
      <x:c r="T3747" t="str">
        <x:v>Cash</x:v>
      </x:c>
      <x:c r="U3747" t="str">
        <x:v>Overdue</x:v>
      </x:c>
      <x:c r="V3747" t="str">
        <x:v>Delivered</x:v>
      </x:c>
      <x:c r="W3747" t="n">
        <x:v>0</x:v>
      </x:c>
      <x:c r="X3747" t="str"/>
      <x:c r="Y3747" t="str">
        <x:v>WhatsApp</x:v>
      </x:c>
    </x:row>
    <x:row r="3748">
      <x:c r="A3748" t="str">
        <x:v>O003747</x:v>
      </x:c>
      <x:c r="B3748" s="20" t="n">
        <x:v>45943</x:v>
      </x:c>
      <x:c r="C3748" t="str">
        <x:v>C0183</x:v>
      </x:c>
      <x:c r="D3748" t="str">
        <x:v>Spice Mart 183</x:v>
      </x:c>
      <x:c r="E3748" t="str">
        <x:v>Kirana</x:v>
      </x:c>
      <x:c r="F3748" t="str">
        <x:v>Mangaluru</x:v>
      </x:c>
      <x:c r="G3748" t="str">
        <x:v>Kavya</x:v>
      </x:c>
      <x:c r="H3748" t="str">
        <x:v>P009</x:v>
      </x:c>
      <x:c r="I3748" t="str">
        <x:v>Groundnut Oil 5L</x:v>
      </x:c>
      <x:c r="J3748" t="str">
        <x:v>Edible Oil</x:v>
      </x:c>
      <x:c r="K3748" t="str">
        <x:v>Dhara</x:v>
      </x:c>
      <x:c r="L3748" s="22" t="n">
        <x:v>890</x:v>
      </x:c>
      <x:c r="M3748" t="n">
        <x:v>39</x:v>
      </x:c>
      <x:c r="N3748" s="24" t="n">
        <x:v>0</x:v>
      </x:c>
      <x:c r="O3748" s="22" t="n">
        <x:f>L3748*M3748</x:f>
        <x:v>34710</x:v>
      </x:c>
      <x:c r="P3748" s="22" t="n">
        <x:f>O3748*(1-N3748)</x:f>
        <x:v>34710</x:v>
      </x:c>
      <x:c r="Q3748" s="22" t="n">
        <x:v>810</x:v>
      </x:c>
      <x:c r="R3748" s="22" t="n">
        <x:f>Q3748*M3748</x:f>
        <x:v>31590</x:v>
      </x:c>
      <x:c r="S3748" s="22" t="n">
        <x:f>P3748-R3748</x:f>
        <x:v>3120</x:v>
      </x:c>
      <x:c r="T3748" t="str">
        <x:v>Cash</x:v>
      </x:c>
      <x:c r="U3748" t="str">
        <x:v>Paid</x:v>
      </x:c>
      <x:c r="V3748" t="str">
        <x:v>Delivered</x:v>
      </x:c>
      <x:c r="W3748" t="n">
        <x:v>0</x:v>
      </x:c>
      <x:c r="X3748" t="str"/>
      <x:c r="Y3748" t="str">
        <x:v>Referral</x:v>
      </x:c>
    </x:row>
    <x:row r="3749">
      <x:c r="A3749" t="str">
        <x:v>O003748</x:v>
      </x:c>
      <x:c r="B3749" s="20" t="n">
        <x:v>45830</x:v>
      </x:c>
      <x:c r="C3749" t="str">
        <x:v>C0190</x:v>
      </x:c>
      <x:c r="D3749" t="str">
        <x:v>Shree Restaurant 190</x:v>
      </x:c>
      <x:c r="E3749" t="str">
        <x:v>Canteen</x:v>
      </x:c>
      <x:c r="F3749" t="str">
        <x:v>Bengaluru</x:v>
      </x:c>
      <x:c r="G3749" t="str">
        <x:v>Kavya</x:v>
      </x:c>
      <x:c r="H3749" t="str">
        <x:v>P049</x:v>
      </x:c>
      <x:c r="I3749" t="str">
        <x:v>Apple 10kg</x:v>
      </x:c>
      <x:c r="J3749" t="str">
        <x:v>Fresh Produce</x:v>
      </x:c>
      <x:c r="K3749" t="str">
        <x:v>Local Market</x:v>
      </x:c>
      <x:c r="L3749" s="22" t="n">
        <x:v>1450</x:v>
      </x:c>
      <x:c r="M3749" t="n">
        <x:v>5</x:v>
      </x:c>
      <x:c r="N3749" s="24" t="n">
        <x:v>0.05</x:v>
      </x:c>
      <x:c r="O3749" s="22" t="n">
        <x:f>L3749*M3749</x:f>
        <x:v>7250</x:v>
      </x:c>
      <x:c r="P3749" s="22" t="n">
        <x:f>O3749*(1-N3749)</x:f>
        <x:v>6887.5</x:v>
      </x:c>
      <x:c r="Q3749" s="22" t="n">
        <x:v>1280</x:v>
      </x:c>
      <x:c r="R3749" s="22" t="n">
        <x:f>Q3749*M3749</x:f>
        <x:v>6400</x:v>
      </x:c>
      <x:c r="S3749" s="22" t="n">
        <x:f>P3749-R3749</x:f>
        <x:v>487.5</x:v>
      </x:c>
      <x:c r="T3749" t="str">
        <x:v>Bank Transfer</x:v>
      </x:c>
      <x:c r="U3749" t="str">
        <x:v>Pending</x:v>
      </x:c>
      <x:c r="V3749" t="str">
        <x:v>Delivered</x:v>
      </x:c>
      <x:c r="W3749" t="n">
        <x:v>0</x:v>
      </x:c>
      <x:c r="X3749" t="str"/>
      <x:c r="Y3749" t="str">
        <x:v>Existing Customer</x:v>
      </x:c>
    </x:row>
    <x:row r="3750">
      <x:c r="A3750" t="str">
        <x:v>O003749</x:v>
      </x:c>
      <x:c r="B3750" s="20" t="n">
        <x:v>45895</x:v>
      </x:c>
      <x:c r="C3750" t="str">
        <x:v>C0076</x:v>
      </x:c>
      <x:c r="D3750" t="str">
        <x:v>Sri Canteen 76</x:v>
      </x:c>
      <x:c r="E3750" t="str">
        <x:v>Canteen</x:v>
      </x:c>
      <x:c r="F3750" t="str">
        <x:v>Tumakuru</x:v>
      </x:c>
      <x:c r="G3750" t="str">
        <x:v>Priya</x:v>
      </x:c>
      <x:c r="H3750" t="str">
        <x:v>P004</x:v>
      </x:c>
      <x:c r="I3750" t="str">
        <x:v>Toor Dal 5kg</x:v>
      </x:c>
      <x:c r="J3750" t="str">
        <x:v>Pulses</x:v>
      </x:c>
      <x:c r="K3750" t="str">
        <x:v>Tata Sampann</x:v>
      </x:c>
      <x:c r="L3750" s="22" t="n">
        <x:v>780</x:v>
      </x:c>
      <x:c r="M3750" t="n">
        <x:v>31</x:v>
      </x:c>
      <x:c r="N3750" s="24" t="n">
        <x:v>0.05</x:v>
      </x:c>
      <x:c r="O3750" s="22" t="n">
        <x:f>L3750*M3750</x:f>
        <x:v>24180</x:v>
      </x:c>
      <x:c r="P3750" s="22" t="n">
        <x:f>O3750*(1-N3750)</x:f>
        <x:v>22971</x:v>
      </x:c>
      <x:c r="Q3750" s="22" t="n">
        <x:v>695</x:v>
      </x:c>
      <x:c r="R3750" s="22" t="n">
        <x:f>Q3750*M3750</x:f>
        <x:v>21545</x:v>
      </x:c>
      <x:c r="S3750" s="22" t="n">
        <x:f>P3750-R3750</x:f>
        <x:v>1426</x:v>
      </x:c>
      <x:c r="T3750" t="str">
        <x:v>Cash</x:v>
      </x:c>
      <x:c r="U3750" t="str">
        <x:v>Paid</x:v>
      </x:c>
      <x:c r="V3750" t="str">
        <x:v>Delayed</x:v>
      </x:c>
      <x:c r="W3750" t="n">
        <x:v>0</x:v>
      </x:c>
      <x:c r="X3750" t="str"/>
      <x:c r="Y3750" t="str">
        <x:v>Existing Customer</x:v>
      </x:c>
    </x:row>
    <x:row r="3751">
      <x:c r="A3751" t="str">
        <x:v>O003750</x:v>
      </x:c>
      <x:c r="B3751" s="20" t="n">
        <x:v>46233</x:v>
      </x:c>
      <x:c r="C3751" t="str">
        <x:v>C0040</x:v>
      </x:c>
      <x:c r="D3751" t="str">
        <x:v>Royal Foods 40</x:v>
      </x:c>
      <x:c r="E3751" t="str">
        <x:v>Restaurant</x:v>
      </x:c>
      <x:c r="F3751" t="str">
        <x:v>Mangaluru</x:v>
      </x:c>
      <x:c r="G3751" t="str">
        <x:v>Kavya</x:v>
      </x:c>
      <x:c r="H3751" t="str">
        <x:v>P047</x:v>
      </x:c>
      <x:c r="I3751" t="str">
        <x:v>Tomato 25kg</x:v>
      </x:c>
      <x:c r="J3751" t="str">
        <x:v>Fresh Produce</x:v>
      </x:c>
      <x:c r="K3751" t="str">
        <x:v>Local Market</x:v>
      </x:c>
      <x:c r="L3751" s="22" t="n">
        <x:v>950</x:v>
      </x:c>
      <x:c r="M3751" t="n">
        <x:v>23</x:v>
      </x:c>
      <x:c r="N3751" s="24" t="n">
        <x:v>0.05</x:v>
      </x:c>
      <x:c r="O3751" s="22" t="n">
        <x:f>L3751*M3751</x:f>
        <x:v>21850</x:v>
      </x:c>
      <x:c r="P3751" s="22" t="n">
        <x:f>O3751*(1-N3751)</x:f>
        <x:v>20757.5</x:v>
      </x:c>
      <x:c r="Q3751" s="22" t="n">
        <x:v>810</x:v>
      </x:c>
      <x:c r="R3751" s="22" t="n">
        <x:f>Q3751*M3751</x:f>
        <x:v>18630</x:v>
      </x:c>
      <x:c r="S3751" s="22" t="n">
        <x:f>P3751-R3751</x:f>
        <x:v>2127.5</x:v>
      </x:c>
      <x:c r="T3751" t="str">
        <x:v>UPI</x:v>
      </x:c>
      <x:c r="U3751" t="str">
        <x:v>Paid</x:v>
      </x:c>
      <x:c r="V3751" t="str">
        <x:v>Delivered</x:v>
      </x:c>
      <x:c r="W3751" t="n">
        <x:v>0</x:v>
      </x:c>
      <x:c r="X3751" t="str"/>
      <x:c r="Y3751" t="str">
        <x:v>Field Visit</x:v>
      </x:c>
    </x:row>
    <x:row r="3752">
      <x:c r="A3752" t="str">
        <x:v>O003751</x:v>
      </x:c>
      <x:c r="B3752" s="20" t="n">
        <x:v>46079</x:v>
      </x:c>
      <x:c r="C3752" t="str">
        <x:v>C0074</x:v>
      </x:c>
      <x:c r="D3752" t="str">
        <x:v>Foodie Hotel 74</x:v>
      </x:c>
      <x:c r="E3752" t="str">
        <x:v>Restaurant</x:v>
      </x:c>
      <x:c r="F3752" t="str">
        <x:v>Mysuru</x:v>
      </x:c>
      <x:c r="G3752" t="str">
        <x:v>Vikram</x:v>
      </x:c>
      <x:c r="H3752" t="str">
        <x:v>P036</x:v>
      </x:c>
      <x:c r="I3752" t="str">
        <x:v>Garam Masala 500g</x:v>
      </x:c>
      <x:c r="J3752" t="str">
        <x:v>Spices</x:v>
      </x:c>
      <x:c r="K3752" t="str">
        <x:v>MDH</x:v>
      </x:c>
      <x:c r="L3752" s="22" t="n">
        <x:v>265</x:v>
      </x:c>
      <x:c r="M3752" t="n">
        <x:v>16</x:v>
      </x:c>
      <x:c r="N3752" s="24" t="n">
        <x:v>0.05</x:v>
      </x:c>
      <x:c r="O3752" s="22" t="n">
        <x:f>L3752*M3752</x:f>
        <x:v>4240</x:v>
      </x:c>
      <x:c r="P3752" s="22" t="n">
        <x:f>O3752*(1-N3752)</x:f>
        <x:v>4028</x:v>
      </x:c>
      <x:c r="Q3752" s="22" t="n">
        <x:v>230</x:v>
      </x:c>
      <x:c r="R3752" s="22" t="n">
        <x:f>Q3752*M3752</x:f>
        <x:v>3680</x:v>
      </x:c>
      <x:c r="S3752" s="22" t="n">
        <x:f>P3752-R3752</x:f>
        <x:v>348</x:v>
      </x:c>
      <x:c r="T3752" t="str">
        <x:v>UPI</x:v>
      </x:c>
      <x:c r="U3752" t="str">
        <x:v>Paid</x:v>
      </x:c>
      <x:c r="V3752" t="str">
        <x:v>Delivered</x:v>
      </x:c>
      <x:c r="W3752" t="n">
        <x:v>0</x:v>
      </x:c>
      <x:c r="X3752" t="str"/>
      <x:c r="Y3752" t="str">
        <x:v>Outbound Call</x:v>
      </x:c>
    </x:row>
    <x:row r="3753">
      <x:c r="A3753" t="str">
        <x:v>O003752</x:v>
      </x:c>
      <x:c r="B3753" s="20" t="n">
        <x:v>46181</x:v>
      </x:c>
      <x:c r="C3753" t="str">
        <x:v>C0070</x:v>
      </x:c>
      <x:c r="D3753" t="str">
        <x:v>Metro Stores 70</x:v>
      </x:c>
      <x:c r="E3753" t="str">
        <x:v>Cafe</x:v>
      </x:c>
      <x:c r="F3753" t="str">
        <x:v>Bengaluru</x:v>
      </x:c>
      <x:c r="G3753" t="str">
        <x:v>Vikram</x:v>
      </x:c>
      <x:c r="H3753" t="str">
        <x:v>P043</x:v>
      </x:c>
      <x:c r="I3753" t="str">
        <x:v>Chicken Breast 1kg</x:v>
      </x:c>
      <x:c r="J3753" t="str">
        <x:v>Protein</x:v>
      </x:c>
      <x:c r="K3753" t="str">
        <x:v>FreshToHome</x:v>
      </x:c>
      <x:c r="L3753" s="22" t="n">
        <x:v>260</x:v>
      </x:c>
      <x:c r="M3753" t="n">
        <x:v>32</x:v>
      </x:c>
      <x:c r="N3753" s="24" t="n">
        <x:v>0.05</x:v>
      </x:c>
      <x:c r="O3753" s="22" t="n">
        <x:f>L3753*M3753</x:f>
        <x:v>8320</x:v>
      </x:c>
      <x:c r="P3753" s="22" t="n">
        <x:f>O3753*(1-N3753)</x:f>
        <x:v>7904</x:v>
      </x:c>
      <x:c r="Q3753" s="22" t="n">
        <x:v>235</x:v>
      </x:c>
      <x:c r="R3753" s="22" t="n">
        <x:f>Q3753*M3753</x:f>
        <x:v>7520</x:v>
      </x:c>
      <x:c r="S3753" s="22" t="n">
        <x:f>P3753-R3753</x:f>
        <x:v>384</x:v>
      </x:c>
      <x:c r="T3753" t="str">
        <x:v>Cash</x:v>
      </x:c>
      <x:c r="U3753" t="str">
        <x:v>Paid</x:v>
      </x:c>
      <x:c r="V3753" t="str">
        <x:v>Delivered</x:v>
      </x:c>
      <x:c r="W3753" t="n">
        <x:v>0</x:v>
      </x:c>
      <x:c r="X3753" t="str"/>
      <x:c r="Y3753" t="str">
        <x:v>Referral</x:v>
      </x:c>
    </x:row>
    <x:row r="3754">
      <x:c r="A3754" t="str">
        <x:v>O003753</x:v>
      </x:c>
      <x:c r="B3754" s="20" t="n">
        <x:v>45832</x:v>
      </x:c>
      <x:c r="C3754" t="str">
        <x:v>C0120</x:v>
      </x:c>
      <x:c r="D3754" t="str">
        <x:v>Foodie Foods 120</x:v>
      </x:c>
      <x:c r="E3754" t="str">
        <x:v>Hotel</x:v>
      </x:c>
      <x:c r="F3754" t="str">
        <x:v>Hubballi</x:v>
      </x:c>
      <x:c r="G3754" t="str">
        <x:v>Arjun</x:v>
      </x:c>
      <x:c r="H3754" t="str">
        <x:v>P032</x:v>
      </x:c>
      <x:c r="I3754" t="str">
        <x:v>Soy Sauce 700g</x:v>
      </x:c>
      <x:c r="J3754" t="str">
        <x:v>Condiments</x:v>
      </x:c>
      <x:c r="K3754" t="str">
        <x:v>Ching's</x:v>
      </x:c>
      <x:c r="L3754" s="22" t="n">
        <x:v>118</x:v>
      </x:c>
      <x:c r="M3754" t="n">
        <x:v>7</x:v>
      </x:c>
      <x:c r="N3754" s="24" t="n">
        <x:v>0</x:v>
      </x:c>
      <x:c r="O3754" s="22" t="n">
        <x:f>L3754*M3754</x:f>
        <x:v>826</x:v>
      </x:c>
      <x:c r="P3754" s="22" t="n">
        <x:f>O3754*(1-N3754)</x:f>
        <x:v>826</x:v>
      </x:c>
      <x:c r="Q3754" s="22" t="n">
        <x:v>101</x:v>
      </x:c>
      <x:c r="R3754" s="22" t="n">
        <x:f>Q3754*M3754</x:f>
        <x:v>707</x:v>
      </x:c>
      <x:c r="S3754" s="22" t="n">
        <x:f>P3754-R3754</x:f>
        <x:v>119</x:v>
      </x:c>
      <x:c r="T3754" t="str">
        <x:v>UPI</x:v>
      </x:c>
      <x:c r="U3754" t="str">
        <x:v>Paid</x:v>
      </x:c>
      <x:c r="V3754" t="str">
        <x:v>Delivered</x:v>
      </x:c>
      <x:c r="W3754" t="n">
        <x:v>0</x:v>
      </x:c>
      <x:c r="X3754" t="str"/>
      <x:c r="Y3754" t="str">
        <x:v>Existing Customer</x:v>
      </x:c>
    </x:row>
    <x:row r="3755">
      <x:c r="A3755" t="str">
        <x:v>O003754</x:v>
      </x:c>
      <x:c r="B3755" s="20" t="n">
        <x:v>45731</x:v>
      </x:c>
      <x:c r="C3755" t="str">
        <x:v>C0146</x:v>
      </x:c>
      <x:c r="D3755" t="str">
        <x:v>Annapurna Hotel 146</x:v>
      </x:c>
      <x:c r="E3755" t="str">
        <x:v>Restaurant</x:v>
      </x:c>
      <x:c r="F3755" t="str">
        <x:v>Davanagere</x:v>
      </x:c>
      <x:c r="G3755" t="str">
        <x:v>Arjun</x:v>
      </x:c>
      <x:c r="H3755" t="str">
        <x:v>P007</x:v>
      </x:c>
      <x:c r="I3755" t="str">
        <x:v>Sunflower Oil 15L</x:v>
      </x:c>
      <x:c r="J3755" t="str">
        <x:v>Edible Oil</x:v>
      </x:c>
      <x:c r="K3755" t="str">
        <x:v>Fortune</x:v>
      </x:c>
      <x:c r="L3755" s="22" t="n">
        <x:v>1980</x:v>
      </x:c>
      <x:c r="M3755" t="n">
        <x:v>2</x:v>
      </x:c>
      <x:c r="N3755" s="24" t="n">
        <x:v>0.03</x:v>
      </x:c>
      <x:c r="O3755" s="22" t="n">
        <x:f>L3755*M3755</x:f>
        <x:v>3960</x:v>
      </x:c>
      <x:c r="P3755" s="22" t="n">
        <x:f>O3755*(1-N3755)</x:f>
        <x:v>3841.2</x:v>
      </x:c>
      <x:c r="Q3755" s="22" t="n">
        <x:v>1810</x:v>
      </x:c>
      <x:c r="R3755" s="22" t="n">
        <x:f>Q3755*M3755</x:f>
        <x:v>3620</x:v>
      </x:c>
      <x:c r="S3755" s="22" t="n">
        <x:f>P3755-R3755</x:f>
        <x:v>221.19999999999982</x:v>
      </x:c>
      <x:c r="T3755" t="str">
        <x:v>Cash</x:v>
      </x:c>
      <x:c r="U3755" t="str">
        <x:v>Pending</x:v>
      </x:c>
      <x:c r="V3755" t="str">
        <x:v>Delivered</x:v>
      </x:c>
      <x:c r="W3755" t="n">
        <x:v>2</x:v>
      </x:c>
      <x:c r="X3755" t="str">
        <x:v>Quality Issue</x:v>
      </x:c>
      <x:c r="Y3755" t="str">
        <x:v>WhatsApp</x:v>
      </x:c>
    </x:row>
    <x:row r="3756">
      <x:c r="A3756" t="str">
        <x:v>O003755</x:v>
      </x:c>
      <x:c r="B3756" s="20" t="n">
        <x:v>45941</x:v>
      </x:c>
      <x:c r="C3756" t="str">
        <x:v>C0228</x:v>
      </x:c>
      <x:c r="D3756" t="str">
        <x:v>Metro Foods 228</x:v>
      </x:c>
      <x:c r="E3756" t="str">
        <x:v>Supermarket</x:v>
      </x:c>
      <x:c r="F3756" t="str">
        <x:v>Davanagere</x:v>
      </x:c>
      <x:c r="G3756" t="str">
        <x:v>Sneha</x:v>
      </x:c>
      <x:c r="H3756" t="str">
        <x:v>P033</x:v>
      </x:c>
      <x:c r="I3756" t="str">
        <x:v>Turmeric Powder 1kg</x:v>
      </x:c>
      <x:c r="J3756" t="str">
        <x:v>Spices</x:v>
      </x:c>
      <x:c r="K3756" t="str">
        <x:v>Everest</x:v>
      </x:c>
      <x:c r="L3756" s="22" t="n">
        <x:v>310</x:v>
      </x:c>
      <x:c r="M3756" t="n">
        <x:v>34</x:v>
      </x:c>
      <x:c r="N3756" s="24" t="n">
        <x:v>0.02</x:v>
      </x:c>
      <x:c r="O3756" s="22" t="n">
        <x:f>L3756*M3756</x:f>
        <x:v>10540</x:v>
      </x:c>
      <x:c r="P3756" s="22" t="n">
        <x:f>O3756*(1-N3756)</x:f>
        <x:v>10329.199999999999</x:v>
      </x:c>
      <x:c r="Q3756" s="22" t="n">
        <x:v>270</x:v>
      </x:c>
      <x:c r="R3756" s="22" t="n">
        <x:f>Q3756*M3756</x:f>
        <x:v>9180</x:v>
      </x:c>
      <x:c r="S3756" s="22" t="n">
        <x:f>P3756-R3756</x:f>
        <x:v>1149.199999999999</x:v>
      </x:c>
      <x:c r="T3756" t="str">
        <x:v>Credit</x:v>
      </x:c>
      <x:c r="U3756" t="str">
        <x:v>Pending</x:v>
      </x:c>
      <x:c r="V3756" t="str">
        <x:v>Delivered</x:v>
      </x:c>
      <x:c r="W3756" t="n">
        <x:v>0</x:v>
      </x:c>
      <x:c r="X3756" t="str"/>
      <x:c r="Y3756" t="str">
        <x:v>Field Visit</x:v>
      </x:c>
    </x:row>
    <x:row r="3757">
      <x:c r="A3757" t="str">
        <x:v>O003756</x:v>
      </x:c>
      <x:c r="B3757" s="20" t="n">
        <x:v>45663</x:v>
      </x:c>
      <x:c r="C3757" t="str">
        <x:v>C0104</x:v>
      </x:c>
      <x:c r="D3757" t="str">
        <x:v>Shree Foods 104</x:v>
      </x:c>
      <x:c r="E3757" t="str">
        <x:v>Cafe</x:v>
      </x:c>
      <x:c r="F3757" t="str">
        <x:v>Mangaluru</x:v>
      </x:c>
      <x:c r="G3757" t="str">
        <x:v>Megha</x:v>
      </x:c>
      <x:c r="H3757" t="str">
        <x:v>P025</x:v>
      </x:c>
      <x:c r="I3757" t="str">
        <x:v>Potato Chips 100g</x:v>
      </x:c>
      <x:c r="J3757" t="str">
        <x:v>Snacks</x:v>
      </x:c>
      <x:c r="K3757" t="str">
        <x:v>Lay's</x:v>
      </x:c>
      <x:c r="L3757" s="22" t="n">
        <x:v>35</x:v>
      </x:c>
      <x:c r="M3757" t="n">
        <x:v>29</x:v>
      </x:c>
      <x:c r="N3757" s="24" t="n">
        <x:v>0</x:v>
      </x:c>
      <x:c r="O3757" s="22" t="n">
        <x:f>L3757*M3757</x:f>
        <x:v>1015</x:v>
      </x:c>
      <x:c r="P3757" s="22" t="n">
        <x:f>O3757*(1-N3757)</x:f>
        <x:v>1015</x:v>
      </x:c>
      <x:c r="Q3757" s="22" t="n">
        <x:v>27</x:v>
      </x:c>
      <x:c r="R3757" s="22" t="n">
        <x:f>Q3757*M3757</x:f>
        <x:v>783</x:v>
      </x:c>
      <x:c r="S3757" s="22" t="n">
        <x:f>P3757-R3757</x:f>
        <x:v>232</x:v>
      </x:c>
      <x:c r="T3757" t="str">
        <x:v>Credit</x:v>
      </x:c>
      <x:c r="U3757" t="str">
        <x:v>Paid</x:v>
      </x:c>
      <x:c r="V3757" t="str">
        <x:v>Delivered</x:v>
      </x:c>
      <x:c r="W3757" t="n">
        <x:v>0</x:v>
      </x:c>
      <x:c r="X3757" t="str"/>
      <x:c r="Y3757" t="str">
        <x:v>WhatsApp</x:v>
      </x:c>
    </x:row>
    <x:row r="3758">
      <x:c r="A3758" t="str">
        <x:v>O003757</x:v>
      </x:c>
      <x:c r="B3758" s="20" t="n">
        <x:v>46229</x:v>
      </x:c>
      <x:c r="C3758" t="str">
        <x:v>C0038</x:v>
      </x:c>
      <x:c r="D3758" t="str">
        <x:v>Mysore Kitchen 38</x:v>
      </x:c>
      <x:c r="E3758" t="str">
        <x:v>Kirana</x:v>
      </x:c>
      <x:c r="F3758" t="str">
        <x:v>Tumakuru</x:v>
      </x:c>
      <x:c r="G3758" t="str">
        <x:v>Priya</x:v>
      </x:c>
      <x:c r="H3758" t="str">
        <x:v>P001</x:v>
      </x:c>
      <x:c r="I3758" t="str">
        <x:v>Steam Rice 25kg</x:v>
      </x:c>
      <x:c r="J3758" t="str">
        <x:v>Staples</x:v>
      </x:c>
      <x:c r="K3758" t="str">
        <x:v>Aishwarya</x:v>
      </x:c>
      <x:c r="L3758" s="22" t="n">
        <x:v>1180</x:v>
      </x:c>
      <x:c r="M3758" t="n">
        <x:v>9</x:v>
      </x:c>
      <x:c r="N3758" s="24" t="n">
        <x:v>0</x:v>
      </x:c>
      <x:c r="O3758" s="22" t="n">
        <x:f>L3758*M3758</x:f>
        <x:v>10620</x:v>
      </x:c>
      <x:c r="P3758" s="22" t="n">
        <x:f>O3758*(1-N3758)</x:f>
        <x:v>10620</x:v>
      </x:c>
      <x:c r="Q3758" s="22" t="n">
        <x:v>1040</x:v>
      </x:c>
      <x:c r="R3758" s="22" t="n">
        <x:f>Q3758*M3758</x:f>
        <x:v>9360</x:v>
      </x:c>
      <x:c r="S3758" s="22" t="n">
        <x:f>P3758-R3758</x:f>
        <x:v>1260</x:v>
      </x:c>
      <x:c r="T3758" t="str">
        <x:v>Credit</x:v>
      </x:c>
      <x:c r="U3758" t="str">
        <x:v>Paid</x:v>
      </x:c>
      <x:c r="V3758" t="str">
        <x:v>Delivered</x:v>
      </x:c>
      <x:c r="W3758" t="n">
        <x:v>0</x:v>
      </x:c>
      <x:c r="X3758" t="str"/>
      <x:c r="Y3758" t="str">
        <x:v>Referral</x:v>
      </x:c>
    </x:row>
    <x:row r="3759">
      <x:c r="A3759" t="str">
        <x:v>O003758</x:v>
      </x:c>
      <x:c r="B3759" s="20" t="n">
        <x:v>46204</x:v>
      </x:c>
      <x:c r="C3759" t="str">
        <x:v>C0220</x:v>
      </x:c>
      <x:c r="D3759" t="str">
        <x:v>Udupi Canteen 220</x:v>
      </x:c>
      <x:c r="E3759" t="str">
        <x:v>Restaurant</x:v>
      </x:c>
      <x:c r="F3759" t="str">
        <x:v>Bengaluru</x:v>
      </x:c>
      <x:c r="G3759" t="str">
        <x:v>Sneha</x:v>
      </x:c>
      <x:c r="H3759" t="str">
        <x:v>P009</x:v>
      </x:c>
      <x:c r="I3759" t="str">
        <x:v>Groundnut Oil 5L</x:v>
      </x:c>
      <x:c r="J3759" t="str">
        <x:v>Edible Oil</x:v>
      </x:c>
      <x:c r="K3759" t="str">
        <x:v>Dhara</x:v>
      </x:c>
      <x:c r="L3759" s="22" t="n">
        <x:v>890</x:v>
      </x:c>
      <x:c r="M3759" t="n">
        <x:v>38</x:v>
      </x:c>
      <x:c r="N3759" s="24" t="n">
        <x:v>0.05</x:v>
      </x:c>
      <x:c r="O3759" s="22" t="n">
        <x:f>L3759*M3759</x:f>
        <x:v>33820</x:v>
      </x:c>
      <x:c r="P3759" s="22" t="n">
        <x:f>O3759*(1-N3759)</x:f>
        <x:v>32129</x:v>
      </x:c>
      <x:c r="Q3759" s="22" t="n">
        <x:v>810</x:v>
      </x:c>
      <x:c r="R3759" s="22" t="n">
        <x:f>Q3759*M3759</x:f>
        <x:v>30780</x:v>
      </x:c>
      <x:c r="S3759" s="22" t="n">
        <x:f>P3759-R3759</x:f>
        <x:v>1349</x:v>
      </x:c>
      <x:c r="T3759" t="str">
        <x:v>UPI</x:v>
      </x:c>
      <x:c r="U3759" t="str">
        <x:v>Paid</x:v>
      </x:c>
      <x:c r="V3759" t="str">
        <x:v>Delayed</x:v>
      </x:c>
      <x:c r="W3759" t="n">
        <x:v>0</x:v>
      </x:c>
      <x:c r="X3759" t="str"/>
      <x:c r="Y3759" t="str">
        <x:v>Referral</x:v>
      </x:c>
    </x:row>
    <x:row r="3760">
      <x:c r="A3760" t="str">
        <x:v>O003759</x:v>
      </x:c>
      <x:c r="B3760" s="20" t="n">
        <x:v>45676</x:v>
      </x:c>
      <x:c r="C3760" t="str">
        <x:v>C0030</x:v>
      </x:c>
      <x:c r="D3760" t="str">
        <x:v>Hotel Restaurant 30</x:v>
      </x:c>
      <x:c r="E3760" t="str">
        <x:v>Restaurant</x:v>
      </x:c>
      <x:c r="F3760" t="str">
        <x:v>Bengaluru</x:v>
      </x:c>
      <x:c r="G3760" t="str">
        <x:v>Imran</x:v>
      </x:c>
      <x:c r="H3760" t="str">
        <x:v>P026</x:v>
      </x:c>
      <x:c r="I3760" t="str">
        <x:v>Banana Chips 80g</x:v>
      </x:c>
      <x:c r="J3760" t="str">
        <x:v>Snacks</x:v>
      </x:c>
      <x:c r="K3760" t="str">
        <x:v>SSS</x:v>
      </x:c>
      <x:c r="L3760" s="22" t="n">
        <x:v>54</x:v>
      </x:c>
      <x:c r="M3760" t="n">
        <x:v>9</x:v>
      </x:c>
      <x:c r="N3760" s="24" t="n">
        <x:v>0.02</x:v>
      </x:c>
      <x:c r="O3760" s="22" t="n">
        <x:f>L3760*M3760</x:f>
        <x:v>486</x:v>
      </x:c>
      <x:c r="P3760" s="22" t="n">
        <x:f>O3760*(1-N3760)</x:f>
        <x:v>476.28</x:v>
      </x:c>
      <x:c r="Q3760" s="22" t="n">
        <x:v>39</x:v>
      </x:c>
      <x:c r="R3760" s="22" t="n">
        <x:f>Q3760*M3760</x:f>
        <x:v>351</x:v>
      </x:c>
      <x:c r="S3760" s="22" t="n">
        <x:f>P3760-R3760</x:f>
        <x:v>125.27999999999997</x:v>
      </x:c>
      <x:c r="T3760" t="str">
        <x:v>Cash</x:v>
      </x:c>
      <x:c r="U3760" t="str">
        <x:v>Paid</x:v>
      </x:c>
      <x:c r="V3760" t="str">
        <x:v>Delivered</x:v>
      </x:c>
      <x:c r="W3760" t="n">
        <x:v>0</x:v>
      </x:c>
      <x:c r="X3760" t="str"/>
      <x:c r="Y3760" t="str">
        <x:v>WhatsApp</x:v>
      </x:c>
    </x:row>
    <x:row r="3761">
      <x:c r="A3761" t="str">
        <x:v>O003760</x:v>
      </x:c>
      <x:c r="B3761" s="20" t="n">
        <x:v>45710</x:v>
      </x:c>
      <x:c r="C3761" t="str">
        <x:v>C0075</x:v>
      </x:c>
      <x:c r="D3761" t="str">
        <x:v>Spice Foods 75</x:v>
      </x:c>
      <x:c r="E3761" t="str">
        <x:v>Kirana</x:v>
      </x:c>
      <x:c r="F3761" t="str">
        <x:v>Hubballi</x:v>
      </x:c>
      <x:c r="G3761" t="str">
        <x:v>Vikram</x:v>
      </x:c>
      <x:c r="H3761" t="str">
        <x:v>P036</x:v>
      </x:c>
      <x:c r="I3761" t="str">
        <x:v>Garam Masala 500g</x:v>
      </x:c>
      <x:c r="J3761" t="str">
        <x:v>Spices</x:v>
      </x:c>
      <x:c r="K3761" t="str">
        <x:v>MDH</x:v>
      </x:c>
      <x:c r="L3761" s="22" t="n">
        <x:v>265</x:v>
      </x:c>
      <x:c r="M3761" t="n">
        <x:v>14</x:v>
      </x:c>
      <x:c r="N3761" s="24" t="n">
        <x:v>0.05</x:v>
      </x:c>
      <x:c r="O3761" s="22" t="n">
        <x:f>L3761*M3761</x:f>
        <x:v>3710</x:v>
      </x:c>
      <x:c r="P3761" s="22" t="n">
        <x:f>O3761*(1-N3761)</x:f>
        <x:v>3524.5</x:v>
      </x:c>
      <x:c r="Q3761" s="22" t="n">
        <x:v>230</x:v>
      </x:c>
      <x:c r="R3761" s="22" t="n">
        <x:f>Q3761*M3761</x:f>
        <x:v>3220</x:v>
      </x:c>
      <x:c r="S3761" s="22" t="n">
        <x:f>P3761-R3761</x:f>
        <x:v>304.5</x:v>
      </x:c>
      <x:c r="T3761" t="str">
        <x:v>UPI</x:v>
      </x:c>
      <x:c r="U3761" t="str">
        <x:v>Paid</x:v>
      </x:c>
      <x:c r="V3761" t="str">
        <x:v>Delivered</x:v>
      </x:c>
      <x:c r="W3761" t="n">
        <x:v>0</x:v>
      </x:c>
      <x:c r="X3761" t="str"/>
      <x:c r="Y3761" t="str">
        <x:v>Outbound Call</x:v>
      </x:c>
    </x:row>
    <x:row r="3762">
      <x:c r="A3762" t="str">
        <x:v>O003761</x:v>
      </x:c>
      <x:c r="B3762" s="20" t="n">
        <x:v>46224</x:v>
      </x:c>
      <x:c r="C3762" t="str">
        <x:v>C0039</x:v>
      </x:c>
      <x:c r="D3762" t="str">
        <x:v>Sagar Cafe 39</x:v>
      </x:c>
      <x:c r="E3762" t="str">
        <x:v>Restaurant</x:v>
      </x:c>
      <x:c r="F3762" t="str">
        <x:v>Hubballi</x:v>
      </x:c>
      <x:c r="G3762" t="str">
        <x:v>Imran</x:v>
      </x:c>
      <x:c r="H3762" t="str">
        <x:v>P017</x:v>
      </x:c>
      <x:c r="I3762" t="str">
        <x:v>Butter 500g</x:v>
      </x:c>
      <x:c r="J3762" t="str">
        <x:v>Dairy</x:v>
      </x:c>
      <x:c r="K3762" t="str">
        <x:v>Amul</x:v>
      </x:c>
      <x:c r="L3762" s="22" t="n">
        <x:v>285</x:v>
      </x:c>
      <x:c r="M3762" t="n">
        <x:v>5</x:v>
      </x:c>
      <x:c r="N3762" s="24" t="n">
        <x:v>0</x:v>
      </x:c>
      <x:c r="O3762" s="22" t="n">
        <x:f>L3762*M3762</x:f>
        <x:v>1425</x:v>
      </x:c>
      <x:c r="P3762" s="22" t="n">
        <x:f>O3762*(1-N3762)</x:f>
        <x:v>1425</x:v>
      </x:c>
      <x:c r="Q3762" s="22" t="n">
        <x:v>258</x:v>
      </x:c>
      <x:c r="R3762" s="22" t="n">
        <x:f>Q3762*M3762</x:f>
        <x:v>1290</x:v>
      </x:c>
      <x:c r="S3762" s="22" t="n">
        <x:f>P3762-R3762</x:f>
        <x:v>135</x:v>
      </x:c>
      <x:c r="T3762" t="str">
        <x:v>Bank Transfer</x:v>
      </x:c>
      <x:c r="U3762" t="str">
        <x:v>Paid</x:v>
      </x:c>
      <x:c r="V3762" t="str">
        <x:v>Delivered</x:v>
      </x:c>
      <x:c r="W3762" t="n">
        <x:v>0</x:v>
      </x:c>
      <x:c r="X3762" t="str"/>
      <x:c r="Y3762" t="str">
        <x:v>Existing Customer</x:v>
      </x:c>
    </x:row>
    <x:row r="3763">
      <x:c r="A3763" t="str">
        <x:v>O003762</x:v>
      </x:c>
      <x:c r="B3763" s="20" t="n">
        <x:v>45669</x:v>
      </x:c>
      <x:c r="C3763" t="str">
        <x:v>C0157</x:v>
      </x:c>
      <x:c r="D3763" t="str">
        <x:v>Fresh Canteen 157</x:v>
      </x:c>
      <x:c r="E3763" t="str">
        <x:v>Kirana</x:v>
      </x:c>
      <x:c r="F3763" t="str">
        <x:v>Mangaluru</x:v>
      </x:c>
      <x:c r="G3763" t="str">
        <x:v>Priya</x:v>
      </x:c>
      <x:c r="H3763" t="str">
        <x:v>P015</x:v>
      </x:c>
      <x:c r="I3763" t="str">
        <x:v>Milk 1L</x:v>
      </x:c>
      <x:c r="J3763" t="str">
        <x:v>Dairy</x:v>
      </x:c>
      <x:c r="K3763" t="str">
        <x:v>Nandini</x:v>
      </x:c>
      <x:c r="L3763" s="22" t="n">
        <x:v>48</x:v>
      </x:c>
      <x:c r="M3763" t="n">
        <x:v>14</x:v>
      </x:c>
      <x:c r="N3763" s="24" t="n">
        <x:v>0.1</x:v>
      </x:c>
      <x:c r="O3763" s="22" t="n">
        <x:f>L3763*M3763</x:f>
        <x:v>672</x:v>
      </x:c>
      <x:c r="P3763" s="22" t="n">
        <x:f>O3763*(1-N3763)</x:f>
        <x:v>604.8000000000001</x:v>
      </x:c>
      <x:c r="Q3763" s="22" t="n">
        <x:v>43</x:v>
      </x:c>
      <x:c r="R3763" s="22" t="n">
        <x:f>Q3763*M3763</x:f>
        <x:v>602</x:v>
      </x:c>
      <x:c r="S3763" s="22" t="n">
        <x:f>P3763-R3763</x:f>
        <x:v>2.800000000000068</x:v>
      </x:c>
      <x:c r="T3763" t="str">
        <x:v>Cash</x:v>
      </x:c>
      <x:c r="U3763" t="str">
        <x:v>Paid</x:v>
      </x:c>
      <x:c r="V3763" t="str">
        <x:v>Delivered</x:v>
      </x:c>
      <x:c r="W3763" t="n">
        <x:v>0</x:v>
      </x:c>
      <x:c r="X3763" t="str"/>
      <x:c r="Y3763" t="str">
        <x:v>WhatsApp</x:v>
      </x:c>
    </x:row>
    <x:row r="3764">
      <x:c r="A3764" t="str">
        <x:v>O003763</x:v>
      </x:c>
      <x:c r="B3764" s="20" t="n">
        <x:v>46012</x:v>
      </x:c>
      <x:c r="C3764" t="str">
        <x:v>C0168</x:v>
      </x:c>
      <x:c r="D3764" t="str">
        <x:v>Sagar Hotel 168</x:v>
      </x:c>
      <x:c r="E3764" t="str">
        <x:v>Canteen</x:v>
      </x:c>
      <x:c r="F3764" t="str">
        <x:v>Bengaluru</x:v>
      </x:c>
      <x:c r="G3764" t="str">
        <x:v>Priya</x:v>
      </x:c>
      <x:c r="H3764" t="str">
        <x:v>P035</x:v>
      </x:c>
      <x:c r="I3764" t="str">
        <x:v>Coriander Powder 1kg</x:v>
      </x:c>
      <x:c r="J3764" t="str">
        <x:v>Spices</x:v>
      </x:c>
      <x:c r="K3764" t="str">
        <x:v>Everest</x:v>
      </x:c>
      <x:c r="L3764" s="22" t="n">
        <x:v>280</x:v>
      </x:c>
      <x:c r="M3764" t="n">
        <x:v>13</x:v>
      </x:c>
      <x:c r="N3764" s="24" t="n">
        <x:v>0</x:v>
      </x:c>
      <x:c r="O3764" s="22" t="n">
        <x:f>L3764*M3764</x:f>
        <x:v>3640</x:v>
      </x:c>
      <x:c r="P3764" s="22" t="n">
        <x:f>O3764*(1-N3764)</x:f>
        <x:v>3640</x:v>
      </x:c>
      <x:c r="Q3764" s="22" t="n">
        <x:v>245</x:v>
      </x:c>
      <x:c r="R3764" s="22" t="n">
        <x:f>Q3764*M3764</x:f>
        <x:v>3185</x:v>
      </x:c>
      <x:c r="S3764" s="22" t="n">
        <x:f>P3764-R3764</x:f>
        <x:v>455</x:v>
      </x:c>
      <x:c r="T3764" t="str">
        <x:v>Credit</x:v>
      </x:c>
      <x:c r="U3764" t="str">
        <x:v>Pending</x:v>
      </x:c>
      <x:c r="V3764" t="str">
        <x:v>Delivered</x:v>
      </x:c>
      <x:c r="W3764" t="n">
        <x:v>0</x:v>
      </x:c>
      <x:c r="X3764" t="str"/>
      <x:c r="Y3764" t="str">
        <x:v>Outbound Call</x:v>
      </x:c>
    </x:row>
    <x:row r="3765">
      <x:c r="A3765" t="str">
        <x:v>O003764</x:v>
      </x:c>
      <x:c r="B3765" s="20" t="n">
        <x:v>46274</x:v>
      </x:c>
      <x:c r="C3765" t="str">
        <x:v>C0066</x:v>
      </x:c>
      <x:c r="D3765" t="str">
        <x:v>Hotel Hotel 66</x:v>
      </x:c>
      <x:c r="E3765" t="str">
        <x:v>Restaurant</x:v>
      </x:c>
      <x:c r="F3765" t="str">
        <x:v>Davanagere</x:v>
      </x:c>
      <x:c r="G3765" t="str">
        <x:v>Megha</x:v>
      </x:c>
      <x:c r="H3765" t="str">
        <x:v>P040</x:v>
      </x:c>
      <x:c r="I3765" t="str">
        <x:v>Bread Loaf 400g</x:v>
      </x:c>
      <x:c r="J3765" t="str">
        <x:v>Bakery</x:v>
      </x:c>
      <x:c r="K3765" t="str">
        <x:v>Britannia</x:v>
      </x:c>
      <x:c r="L3765" s="22" t="n">
        <x:v>45</x:v>
      </x:c>
      <x:c r="M3765" t="n">
        <x:v>32</x:v>
      </x:c>
      <x:c r="N3765" s="24" t="n">
        <x:v>0.05</x:v>
      </x:c>
      <x:c r="O3765" s="22" t="n">
        <x:f>L3765*M3765</x:f>
        <x:v>1440</x:v>
      </x:c>
      <x:c r="P3765" s="22" t="n">
        <x:f>O3765*(1-N3765)</x:f>
        <x:v>1368</x:v>
      </x:c>
      <x:c r="Q3765" s="22" t="n">
        <x:v>35</x:v>
      </x:c>
      <x:c r="R3765" s="22" t="n">
        <x:f>Q3765*M3765</x:f>
        <x:v>1120</x:v>
      </x:c>
      <x:c r="S3765" s="22" t="n">
        <x:f>P3765-R3765</x:f>
        <x:v>248</x:v>
      </x:c>
      <x:c r="T3765" t="str">
        <x:v>Cash</x:v>
      </x:c>
      <x:c r="U3765" t="str">
        <x:v>Paid</x:v>
      </x:c>
      <x:c r="V3765" t="str">
        <x:v>Delivered</x:v>
      </x:c>
      <x:c r="W3765" t="n">
        <x:v>0</x:v>
      </x:c>
      <x:c r="X3765" t="str"/>
      <x:c r="Y3765" t="str">
        <x:v>WhatsApp</x:v>
      </x:c>
    </x:row>
    <x:row r="3766">
      <x:c r="A3766" t="str">
        <x:v>O003765</x:v>
      </x:c>
      <x:c r="B3766" s="20" t="n">
        <x:v>46118</x:v>
      </x:c>
      <x:c r="C3766" t="str">
        <x:v>C0223</x:v>
      </x:c>
      <x:c r="D3766" t="str">
        <x:v>Classic Canteen 223</x:v>
      </x:c>
      <x:c r="E3766" t="str">
        <x:v>Restaurant</x:v>
      </x:c>
      <x:c r="F3766" t="str">
        <x:v>Tumakuru</x:v>
      </x:c>
      <x:c r="G3766" t="str">
        <x:v>Kavya</x:v>
      </x:c>
      <x:c r="H3766" t="str">
        <x:v>P042</x:v>
      </x:c>
      <x:c r="I3766" t="str">
        <x:v>Eggs 30pc Tray</x:v>
      </x:c>
      <x:c r="J3766" t="str">
        <x:v>Protein</x:v>
      </x:c>
      <x:c r="K3766" t="str">
        <x:v>Farm Fresh</x:v>
      </x:c>
      <x:c r="L3766" s="22" t="n">
        <x:v>195</x:v>
      </x:c>
      <x:c r="M3766" t="n">
        <x:v>30</x:v>
      </x:c>
      <x:c r="N3766" s="24" t="n">
        <x:v>0</x:v>
      </x:c>
      <x:c r="O3766" s="22" t="n">
        <x:f>L3766*M3766</x:f>
        <x:v>5850</x:v>
      </x:c>
      <x:c r="P3766" s="22" t="n">
        <x:f>O3766*(1-N3766)</x:f>
        <x:v>5850</x:v>
      </x:c>
      <x:c r="Q3766" s="22" t="n">
        <x:v>170</x:v>
      </x:c>
      <x:c r="R3766" s="22" t="n">
        <x:f>Q3766*M3766</x:f>
        <x:v>5100</x:v>
      </x:c>
      <x:c r="S3766" s="22" t="n">
        <x:f>P3766-R3766</x:f>
        <x:v>750</x:v>
      </x:c>
      <x:c r="T3766" t="str">
        <x:v>UPI</x:v>
      </x:c>
      <x:c r="U3766" t="str">
        <x:v>Paid</x:v>
      </x:c>
      <x:c r="V3766" t="str">
        <x:v>Delivered</x:v>
      </x:c>
      <x:c r="W3766" t="n">
        <x:v>0</x:v>
      </x:c>
      <x:c r="X3766" t="str"/>
      <x:c r="Y3766" t="str">
        <x:v>Outbound Call</x:v>
      </x:c>
    </x:row>
    <x:row r="3767">
      <x:c r="A3767" t="str">
        <x:v>O003766</x:v>
      </x:c>
      <x:c r="B3767" s="20" t="n">
        <x:v>46002</x:v>
      </x:c>
      <x:c r="C3767" t="str">
        <x:v>C0094</x:v>
      </x:c>
      <x:c r="D3767" t="str">
        <x:v>Mysore Mart 94</x:v>
      </x:c>
      <x:c r="E3767" t="str">
        <x:v>Restaurant</x:v>
      </x:c>
      <x:c r="F3767" t="str">
        <x:v>Hubballi</x:v>
      </x:c>
      <x:c r="G3767" t="str">
        <x:v>Sneha</x:v>
      </x:c>
      <x:c r="H3767" t="str">
        <x:v>P025</x:v>
      </x:c>
      <x:c r="I3767" t="str">
        <x:v>Potato Chips 100g</x:v>
      </x:c>
      <x:c r="J3767" t="str">
        <x:v>Snacks</x:v>
      </x:c>
      <x:c r="K3767" t="str">
        <x:v>Lay's</x:v>
      </x:c>
      <x:c r="L3767" s="22" t="n">
        <x:v>35</x:v>
      </x:c>
      <x:c r="M3767" t="n">
        <x:v>37</x:v>
      </x:c>
      <x:c r="N3767" s="24" t="n">
        <x:v>0.03</x:v>
      </x:c>
      <x:c r="O3767" s="22" t="n">
        <x:f>L3767*M3767</x:f>
        <x:v>1295</x:v>
      </x:c>
      <x:c r="P3767" s="22" t="n">
        <x:f>O3767*(1-N3767)</x:f>
        <x:v>1256.1499999999999</x:v>
      </x:c>
      <x:c r="Q3767" s="22" t="n">
        <x:v>27</x:v>
      </x:c>
      <x:c r="R3767" s="22" t="n">
        <x:f>Q3767*M3767</x:f>
        <x:v>999</x:v>
      </x:c>
      <x:c r="S3767" s="22" t="n">
        <x:f>P3767-R3767</x:f>
        <x:v>257.14999999999986</x:v>
      </x:c>
      <x:c r="T3767" t="str">
        <x:v>Credit</x:v>
      </x:c>
      <x:c r="U3767" t="str">
        <x:v>Paid</x:v>
      </x:c>
      <x:c r="V3767" t="str">
        <x:v>Delivered</x:v>
      </x:c>
      <x:c r="W3767" t="n">
        <x:v>0</x:v>
      </x:c>
      <x:c r="X3767" t="str"/>
      <x:c r="Y3767" t="str">
        <x:v>Outbound Call</x:v>
      </x:c>
    </x:row>
    <x:row r="3768">
      <x:c r="A3768" t="str">
        <x:v>O003767</x:v>
      </x:c>
      <x:c r="B3768" s="20" t="n">
        <x:v>45914</x:v>
      </x:c>
      <x:c r="C3768" t="str">
        <x:v>C0198</x:v>
      </x:c>
      <x:c r="D3768" t="str">
        <x:v>Royal Canteen 198</x:v>
      </x:c>
      <x:c r="E3768" t="str">
        <x:v>Supermarket</x:v>
      </x:c>
      <x:c r="F3768" t="str">
        <x:v>Davanagere</x:v>
      </x:c>
      <x:c r="G3768" t="str">
        <x:v>Arjun</x:v>
      </x:c>
      <x:c r="H3768" t="str">
        <x:v>P044</x:v>
      </x:c>
      <x:c r="I3768" t="str">
        <x:v>Chicken Curry Cut 1kg</x:v>
      </x:c>
      <x:c r="J3768" t="str">
        <x:v>Protein</x:v>
      </x:c>
      <x:c r="K3768" t="str">
        <x:v>FreshToHome</x:v>
      </x:c>
      <x:c r="L3768" s="22" t="n">
        <x:v>230</x:v>
      </x:c>
      <x:c r="M3768" t="n">
        <x:v>2</x:v>
      </x:c>
      <x:c r="N3768" s="24" t="n">
        <x:v>0.02</x:v>
      </x:c>
      <x:c r="O3768" s="22" t="n">
        <x:f>L3768*M3768</x:f>
        <x:v>460</x:v>
      </x:c>
      <x:c r="P3768" s="22" t="n">
        <x:f>O3768*(1-N3768)</x:f>
        <x:v>450.8</x:v>
      </x:c>
      <x:c r="Q3768" s="22" t="n">
        <x:v>205</x:v>
      </x:c>
      <x:c r="R3768" s="22" t="n">
        <x:f>Q3768*M3768</x:f>
        <x:v>410</x:v>
      </x:c>
      <x:c r="S3768" s="22" t="n">
        <x:f>P3768-R3768</x:f>
        <x:v>40.80000000000001</x:v>
      </x:c>
      <x:c r="T3768" t="str">
        <x:v>Bank Transfer</x:v>
      </x:c>
      <x:c r="U3768" t="str">
        <x:v>Pending</x:v>
      </x:c>
      <x:c r="V3768" t="str">
        <x:v>Delivered</x:v>
      </x:c>
      <x:c r="W3768" t="n">
        <x:v>0</x:v>
      </x:c>
      <x:c r="X3768" t="str"/>
      <x:c r="Y3768" t="str">
        <x:v>Existing Customer</x:v>
      </x:c>
    </x:row>
    <x:row r="3769">
      <x:c r="A3769" t="str">
        <x:v>O003768</x:v>
      </x:c>
      <x:c r="B3769" s="20" t="n">
        <x:v>45678</x:v>
      </x:c>
      <x:c r="C3769" t="str">
        <x:v>C0014</x:v>
      </x:c>
      <x:c r="D3769" t="str">
        <x:v>Annapurna Canteen 14</x:v>
      </x:c>
      <x:c r="E3769" t="str">
        <x:v>Kirana</x:v>
      </x:c>
      <x:c r="F3769" t="str">
        <x:v>Davanagere</x:v>
      </x:c>
      <x:c r="G3769" t="str">
        <x:v>Sneha</x:v>
      </x:c>
      <x:c r="H3769" t="str">
        <x:v>P034</x:v>
      </x:c>
      <x:c r="I3769" t="str">
        <x:v>Chilli Powder 1kg</x:v>
      </x:c>
      <x:c r="J3769" t="str">
        <x:v>Spices</x:v>
      </x:c>
      <x:c r="K3769" t="str">
        <x:v>MDH</x:v>
      </x:c>
      <x:c r="L3769" s="22" t="n">
        <x:v>340</x:v>
      </x:c>
      <x:c r="M3769" t="n">
        <x:v>19</x:v>
      </x:c>
      <x:c r="N3769" s="24" t="n">
        <x:v>0.05</x:v>
      </x:c>
      <x:c r="O3769" s="22" t="n">
        <x:f>L3769*M3769</x:f>
        <x:v>6460</x:v>
      </x:c>
      <x:c r="P3769" s="22" t="n">
        <x:f>O3769*(1-N3769)</x:f>
        <x:v>6137</x:v>
      </x:c>
      <x:c r="Q3769" s="22" t="n">
        <x:v>295</x:v>
      </x:c>
      <x:c r="R3769" s="22" t="n">
        <x:f>Q3769*M3769</x:f>
        <x:v>5605</x:v>
      </x:c>
      <x:c r="S3769" s="22" t="n">
        <x:f>P3769-R3769</x:f>
        <x:v>532</x:v>
      </x:c>
      <x:c r="T3769" t="str">
        <x:v>Credit</x:v>
      </x:c>
      <x:c r="U3769" t="str">
        <x:v>Overdue</x:v>
      </x:c>
      <x:c r="V3769" t="str">
        <x:v>Delivered</x:v>
      </x:c>
      <x:c r="W3769" t="n">
        <x:v>0</x:v>
      </x:c>
      <x:c r="X3769" t="str"/>
      <x:c r="Y3769" t="str">
        <x:v>Field Visit</x:v>
      </x:c>
    </x:row>
    <x:row r="3770">
      <x:c r="A3770" t="str">
        <x:v>O003769</x:v>
      </x:c>
      <x:c r="B3770" s="20" t="n">
        <x:v>45823</x:v>
      </x:c>
      <x:c r="C3770" t="str">
        <x:v>C0009</x:v>
      </x:c>
      <x:c r="D3770" t="str">
        <x:v>Darshini Hotel 9</x:v>
      </x:c>
      <x:c r="E3770" t="str">
        <x:v>Cafe</x:v>
      </x:c>
      <x:c r="F3770" t="str">
        <x:v>Hubballi</x:v>
      </x:c>
      <x:c r="G3770" t="str">
        <x:v>Imran</x:v>
      </x:c>
      <x:c r="H3770" t="str">
        <x:v>P031</x:v>
      </x:c>
      <x:c r="I3770" t="str">
        <x:v>Chilli Sauce 700g</x:v>
      </x:c>
      <x:c r="J3770" t="str">
        <x:v>Condiments</x:v>
      </x:c>
      <x:c r="K3770" t="str">
        <x:v>Ching's</x:v>
      </x:c>
      <x:c r="L3770" s="22" t="n">
        <x:v>130</x:v>
      </x:c>
      <x:c r="M3770" t="n">
        <x:v>7</x:v>
      </x:c>
      <x:c r="N3770" s="24" t="n">
        <x:v>0.08</x:v>
      </x:c>
      <x:c r="O3770" s="22" t="n">
        <x:f>L3770*M3770</x:f>
        <x:v>910</x:v>
      </x:c>
      <x:c r="P3770" s="22" t="n">
        <x:f>O3770*(1-N3770)</x:f>
        <x:v>837.2</x:v>
      </x:c>
      <x:c r="Q3770" s="22" t="n">
        <x:v>112</x:v>
      </x:c>
      <x:c r="R3770" s="22" t="n">
        <x:f>Q3770*M3770</x:f>
        <x:v>784</x:v>
      </x:c>
      <x:c r="S3770" s="22" t="n">
        <x:f>P3770-R3770</x:f>
        <x:v>53.200000000000045</x:v>
      </x:c>
      <x:c r="T3770" t="str">
        <x:v>Credit</x:v>
      </x:c>
      <x:c r="U3770" t="str">
        <x:v>Paid</x:v>
      </x:c>
      <x:c r="V3770" t="str">
        <x:v>Delivered</x:v>
      </x:c>
      <x:c r="W3770" t="n">
        <x:v>0</x:v>
      </x:c>
      <x:c r="X3770" t="str"/>
      <x:c r="Y3770" t="str">
        <x:v>WhatsApp</x:v>
      </x:c>
    </x:row>
    <x:row r="3771">
      <x:c r="A3771" t="str">
        <x:v>O003770</x:v>
      </x:c>
      <x:c r="B3771" s="20" t="n">
        <x:v>45761</x:v>
      </x:c>
      <x:c r="C3771" t="str">
        <x:v>C0148</x:v>
      </x:c>
      <x:c r="D3771" t="str">
        <x:v>Shree Cafe 148</x:v>
      </x:c>
      <x:c r="E3771" t="str">
        <x:v>Kirana</x:v>
      </x:c>
      <x:c r="F3771" t="str">
        <x:v>Hubballi</x:v>
      </x:c>
      <x:c r="G3771" t="str">
        <x:v>Priya</x:v>
      </x:c>
      <x:c r="H3771" t="str">
        <x:v>P038</x:v>
      </x:c>
      <x:c r="I3771" t="str">
        <x:v>French Fries 2.5kg</x:v>
      </x:c>
      <x:c r="J3771" t="str">
        <x:v>Frozen</x:v>
      </x:c>
      <x:c r="K3771" t="str">
        <x:v>McCain</x:v>
      </x:c>
      <x:c r="L3771" s="22" t="n">
        <x:v>360</x:v>
      </x:c>
      <x:c r="M3771" t="n">
        <x:v>25</x:v>
      </x:c>
      <x:c r="N3771" s="24" t="n">
        <x:v>0.02</x:v>
      </x:c>
      <x:c r="O3771" s="22" t="n">
        <x:f>L3771*M3771</x:f>
        <x:v>9000</x:v>
      </x:c>
      <x:c r="P3771" s="22" t="n">
        <x:f>O3771*(1-N3771)</x:f>
        <x:v>8820</x:v>
      </x:c>
      <x:c r="Q3771" s="22" t="n">
        <x:v>315</x:v>
      </x:c>
      <x:c r="R3771" s="22" t="n">
        <x:f>Q3771*M3771</x:f>
        <x:v>7875</x:v>
      </x:c>
      <x:c r="S3771" s="22" t="n">
        <x:f>P3771-R3771</x:f>
        <x:v>945</x:v>
      </x:c>
      <x:c r="T3771" t="str">
        <x:v>Credit</x:v>
      </x:c>
      <x:c r="U3771" t="str">
        <x:v>Paid</x:v>
      </x:c>
      <x:c r="V3771" t="str">
        <x:v>Delivered</x:v>
      </x:c>
      <x:c r="W3771" t="n">
        <x:v>0</x:v>
      </x:c>
      <x:c r="X3771" t="str"/>
      <x:c r="Y3771" t="str">
        <x:v>Outbound Call</x:v>
      </x:c>
    </x:row>
    <x:row r="3772">
      <x:c r="A3772" t="str">
        <x:v>O003771</x:v>
      </x:c>
      <x:c r="B3772" s="20" t="n">
        <x:v>45997</x:v>
      </x:c>
      <x:c r="C3772" t="str">
        <x:v>C0068</x:v>
      </x:c>
      <x:c r="D3772" t="str">
        <x:v>Fresh Canteen 68</x:v>
      </x:c>
      <x:c r="E3772" t="str">
        <x:v>Kirana</x:v>
      </x:c>
      <x:c r="F3772" t="str">
        <x:v>Davanagere</x:v>
      </x:c>
      <x:c r="G3772" t="str">
        <x:v>Arjun</x:v>
      </x:c>
      <x:c r="H3772" t="str">
        <x:v>P035</x:v>
      </x:c>
      <x:c r="I3772" t="str">
        <x:v>Coriander Powder 1kg</x:v>
      </x:c>
      <x:c r="J3772" t="str">
        <x:v>Spices</x:v>
      </x:c>
      <x:c r="K3772" t="str">
        <x:v>Everest</x:v>
      </x:c>
      <x:c r="L3772" s="22" t="n">
        <x:v>280</x:v>
      </x:c>
      <x:c r="M3772" t="n">
        <x:v>29</x:v>
      </x:c>
      <x:c r="N3772" s="24" t="n">
        <x:v>0.1</x:v>
      </x:c>
      <x:c r="O3772" s="22" t="n">
        <x:f>L3772*M3772</x:f>
        <x:v>8120</x:v>
      </x:c>
      <x:c r="P3772" s="22" t="n">
        <x:f>O3772*(1-N3772)</x:f>
        <x:v>7308</x:v>
      </x:c>
      <x:c r="Q3772" s="22" t="n">
        <x:v>245</x:v>
      </x:c>
      <x:c r="R3772" s="22" t="n">
        <x:f>Q3772*M3772</x:f>
        <x:v>7105</x:v>
      </x:c>
      <x:c r="S3772" s="22" t="n">
        <x:f>P3772-R3772</x:f>
        <x:v>203</x:v>
      </x:c>
      <x:c r="T3772" t="str">
        <x:v>Credit</x:v>
      </x:c>
      <x:c r="U3772" t="str">
        <x:v>Paid</x:v>
      </x:c>
      <x:c r="V3772" t="str">
        <x:v>Delivered</x:v>
      </x:c>
      <x:c r="W3772" t="n">
        <x:v>0</x:v>
      </x:c>
      <x:c r="X3772" t="str"/>
      <x:c r="Y3772" t="str">
        <x:v>WhatsApp</x:v>
      </x:c>
    </x:row>
    <x:row r="3773">
      <x:c r="A3773" t="str">
        <x:v>O003772</x:v>
      </x:c>
      <x:c r="B3773" s="20" t="n">
        <x:v>45821</x:v>
      </x:c>
      <x:c r="C3773" t="str">
        <x:v>C0123</x:v>
      </x:c>
      <x:c r="D3773" t="str">
        <x:v>City Foods 123</x:v>
      </x:c>
      <x:c r="E3773" t="str">
        <x:v>Restaurant</x:v>
      </x:c>
      <x:c r="F3773" t="str">
        <x:v>Davanagere</x:v>
      </x:c>
      <x:c r="G3773" t="str">
        <x:v>Sneha</x:v>
      </x:c>
      <x:c r="H3773" t="str">
        <x:v>P045</x:v>
      </x:c>
      <x:c r="I3773" t="str">
        <x:v>Onion 25kg</x:v>
      </x:c>
      <x:c r="J3773" t="str">
        <x:v>Fresh Produce</x:v>
      </x:c>
      <x:c r="K3773" t="str">
        <x:v>Local Market</x:v>
      </x:c>
      <x:c r="L3773" s="22" t="n">
        <x:v>875</x:v>
      </x:c>
      <x:c r="M3773" t="n">
        <x:v>36</x:v>
      </x:c>
      <x:c r="N3773" s="24" t="n">
        <x:v>0.05</x:v>
      </x:c>
      <x:c r="O3773" s="22" t="n">
        <x:f>L3773*M3773</x:f>
        <x:v>31500</x:v>
      </x:c>
      <x:c r="P3773" s="22" t="n">
        <x:f>O3773*(1-N3773)</x:f>
        <x:v>29925</x:v>
      </x:c>
      <x:c r="Q3773" s="22" t="n">
        <x:v>760</x:v>
      </x:c>
      <x:c r="R3773" s="22" t="n">
        <x:f>Q3773*M3773</x:f>
        <x:v>27360</x:v>
      </x:c>
      <x:c r="S3773" s="22" t="n">
        <x:f>P3773-R3773</x:f>
        <x:v>2565</x:v>
      </x:c>
      <x:c r="T3773" t="str">
        <x:v>Bank Transfer</x:v>
      </x:c>
      <x:c r="U3773" t="str">
        <x:v>Pending</x:v>
      </x:c>
      <x:c r="V3773" t="str">
        <x:v>Delayed</x:v>
      </x:c>
      <x:c r="W3773" t="n">
        <x:v>0</x:v>
      </x:c>
      <x:c r="X3773" t="str"/>
      <x:c r="Y3773" t="str">
        <x:v>Outbound Call</x:v>
      </x:c>
    </x:row>
    <x:row r="3774">
      <x:c r="A3774" t="str">
        <x:v>O003773</x:v>
      </x:c>
      <x:c r="B3774" s="20" t="n">
        <x:v>46233</x:v>
      </x:c>
      <x:c r="C3774" t="str">
        <x:v>C0126</x:v>
      </x:c>
      <x:c r="D3774" t="str">
        <x:v>Mysore Hotel 126</x:v>
      </x:c>
      <x:c r="E3774" t="str">
        <x:v>Restaurant</x:v>
      </x:c>
      <x:c r="F3774" t="str">
        <x:v>Mangaluru</x:v>
      </x:c>
      <x:c r="G3774" t="str">
        <x:v>Vikram</x:v>
      </x:c>
      <x:c r="H3774" t="str">
        <x:v>P049</x:v>
      </x:c>
      <x:c r="I3774" t="str">
        <x:v>Apple 10kg</x:v>
      </x:c>
      <x:c r="J3774" t="str">
        <x:v>Fresh Produce</x:v>
      </x:c>
      <x:c r="K3774" t="str">
        <x:v>Local Market</x:v>
      </x:c>
      <x:c r="L3774" s="22" t="n">
        <x:v>1450</x:v>
      </x:c>
      <x:c r="M3774" t="n">
        <x:v>11</x:v>
      </x:c>
      <x:c r="N3774" s="24" t="n">
        <x:v>0.05</x:v>
      </x:c>
      <x:c r="O3774" s="22" t="n">
        <x:f>L3774*M3774</x:f>
        <x:v>15950</x:v>
      </x:c>
      <x:c r="P3774" s="22" t="n">
        <x:f>O3774*(1-N3774)</x:f>
        <x:v>15152.5</x:v>
      </x:c>
      <x:c r="Q3774" s="22" t="n">
        <x:v>1280</x:v>
      </x:c>
      <x:c r="R3774" s="22" t="n">
        <x:f>Q3774*M3774</x:f>
        <x:v>14080</x:v>
      </x:c>
      <x:c r="S3774" s="22" t="n">
        <x:f>P3774-R3774</x:f>
        <x:v>1072.5</x:v>
      </x:c>
      <x:c r="T3774" t="str">
        <x:v>Cash</x:v>
      </x:c>
      <x:c r="U3774" t="str">
        <x:v>Pending</x:v>
      </x:c>
      <x:c r="V3774" t="str">
        <x:v>Delivered</x:v>
      </x:c>
      <x:c r="W3774" t="n">
        <x:v>0</x:v>
      </x:c>
      <x:c r="X3774" t="str"/>
      <x:c r="Y3774" t="str">
        <x:v>Existing Customer</x:v>
      </x:c>
    </x:row>
    <x:row r="3775">
      <x:c r="A3775" t="str">
        <x:v>O003774</x:v>
      </x:c>
      <x:c r="B3775" s="20" t="n">
        <x:v>45684</x:v>
      </x:c>
      <x:c r="C3775" t="str">
        <x:v>C0226</x:v>
      </x:c>
      <x:c r="D3775" t="str">
        <x:v>Green Stores 226</x:v>
      </x:c>
      <x:c r="E3775" t="str">
        <x:v>Restaurant</x:v>
      </x:c>
      <x:c r="F3775" t="str">
        <x:v>Hubballi</x:v>
      </x:c>
      <x:c r="G3775" t="str">
        <x:v>Priya</x:v>
      </x:c>
      <x:c r="H3775" t="str">
        <x:v>P026</x:v>
      </x:c>
      <x:c r="I3775" t="str">
        <x:v>Banana Chips 80g</x:v>
      </x:c>
      <x:c r="J3775" t="str">
        <x:v>Snacks</x:v>
      </x:c>
      <x:c r="K3775" t="str">
        <x:v>SSS</x:v>
      </x:c>
      <x:c r="L3775" s="22" t="n">
        <x:v>54</x:v>
      </x:c>
      <x:c r="M3775" t="n">
        <x:v>34</x:v>
      </x:c>
      <x:c r="N3775" s="24" t="n">
        <x:v>0.02</x:v>
      </x:c>
      <x:c r="O3775" s="22" t="n">
        <x:f>L3775*M3775</x:f>
        <x:v>1836</x:v>
      </x:c>
      <x:c r="P3775" s="22" t="n">
        <x:f>O3775*(1-N3775)</x:f>
        <x:v>1799.28</x:v>
      </x:c>
      <x:c r="Q3775" s="22" t="n">
        <x:v>39</x:v>
      </x:c>
      <x:c r="R3775" s="22" t="n">
        <x:f>Q3775*M3775</x:f>
        <x:v>1326</x:v>
      </x:c>
      <x:c r="S3775" s="22" t="n">
        <x:f>P3775-R3775</x:f>
        <x:v>473.28</x:v>
      </x:c>
      <x:c r="T3775" t="str">
        <x:v>Cash</x:v>
      </x:c>
      <x:c r="U3775" t="str">
        <x:v>Paid</x:v>
      </x:c>
      <x:c r="V3775" t="str">
        <x:v>Delayed</x:v>
      </x:c>
      <x:c r="W3775" t="n">
        <x:v>0</x:v>
      </x:c>
      <x:c r="X3775" t="str"/>
      <x:c r="Y3775" t="str">
        <x:v>Field Visit</x:v>
      </x:c>
    </x:row>
    <x:row r="3776">
      <x:c r="A3776" t="str">
        <x:v>O003775</x:v>
      </x:c>
      <x:c r="B3776" s="20" t="n">
        <x:v>45890</x:v>
      </x:c>
      <x:c r="C3776" t="str">
        <x:v>C0050</x:v>
      </x:c>
      <x:c r="D3776" t="str">
        <x:v>Green Stores 50</x:v>
      </x:c>
      <x:c r="E3776" t="str">
        <x:v>Restaurant</x:v>
      </x:c>
      <x:c r="F3776" t="str">
        <x:v>Davanagere</x:v>
      </x:c>
      <x:c r="G3776" t="str">
        <x:v>Vikram</x:v>
      </x:c>
      <x:c r="H3776" t="str">
        <x:v>P030</x:v>
      </x:c>
      <x:c r="I3776" t="str">
        <x:v>Mayonnaise 1kg</x:v>
      </x:c>
      <x:c r="J3776" t="str">
        <x:v>Condiments</x:v>
      </x:c>
      <x:c r="K3776" t="str">
        <x:v>Veeba</x:v>
      </x:c>
      <x:c r="L3776" s="22" t="n">
        <x:v>210</x:v>
      </x:c>
      <x:c r="M3776" t="n">
        <x:v>4</x:v>
      </x:c>
      <x:c r="N3776" s="24" t="n">
        <x:v>0.05</x:v>
      </x:c>
      <x:c r="O3776" s="22" t="n">
        <x:f>L3776*M3776</x:f>
        <x:v>840</x:v>
      </x:c>
      <x:c r="P3776" s="22" t="n">
        <x:f>O3776*(1-N3776)</x:f>
        <x:v>798</x:v>
      </x:c>
      <x:c r="Q3776" s="22" t="n">
        <x:v>185</x:v>
      </x:c>
      <x:c r="R3776" s="22" t="n">
        <x:f>Q3776*M3776</x:f>
        <x:v>740</x:v>
      </x:c>
      <x:c r="S3776" s="22" t="n">
        <x:f>P3776-R3776</x:f>
        <x:v>58</x:v>
      </x:c>
      <x:c r="T3776" t="str">
        <x:v>Cash</x:v>
      </x:c>
      <x:c r="U3776" t="str">
        <x:v>Paid</x:v>
      </x:c>
      <x:c r="V3776" t="str">
        <x:v>Delivered</x:v>
      </x:c>
      <x:c r="W3776" t="n">
        <x:v>0</x:v>
      </x:c>
      <x:c r="X3776" t="str"/>
      <x:c r="Y3776" t="str">
        <x:v>Existing Customer</x:v>
      </x:c>
    </x:row>
    <x:row r="3777">
      <x:c r="A3777" t="str">
        <x:v>O003776</x:v>
      </x:c>
      <x:c r="B3777" s="20" t="n">
        <x:v>46163</x:v>
      </x:c>
      <x:c r="C3777" t="str">
        <x:v>C0145</x:v>
      </x:c>
      <x:c r="D3777" t="str">
        <x:v>Namma Cafe 145</x:v>
      </x:c>
      <x:c r="E3777" t="str">
        <x:v>Kirana</x:v>
      </x:c>
      <x:c r="F3777" t="str">
        <x:v>Tumakuru</x:v>
      </x:c>
      <x:c r="G3777" t="str">
        <x:v>Sneha</x:v>
      </x:c>
      <x:c r="H3777" t="str">
        <x:v>P026</x:v>
      </x:c>
      <x:c r="I3777" t="str">
        <x:v>Banana Chips 80g</x:v>
      </x:c>
      <x:c r="J3777" t="str">
        <x:v>Snacks</x:v>
      </x:c>
      <x:c r="K3777" t="str">
        <x:v>SSS</x:v>
      </x:c>
      <x:c r="L3777" s="22" t="n">
        <x:v>54</x:v>
      </x:c>
      <x:c r="M3777" t="n">
        <x:v>2</x:v>
      </x:c>
      <x:c r="N3777" s="24" t="n">
        <x:v>0.03</x:v>
      </x:c>
      <x:c r="O3777" s="22" t="n">
        <x:f>L3777*M3777</x:f>
        <x:v>108</x:v>
      </x:c>
      <x:c r="P3777" s="22" t="n">
        <x:f>O3777*(1-N3777)</x:f>
        <x:v>104.75999999999999</x:v>
      </x:c>
      <x:c r="Q3777" s="22" t="n">
        <x:v>39</x:v>
      </x:c>
      <x:c r="R3777" s="22" t="n">
        <x:f>Q3777*M3777</x:f>
        <x:v>78</x:v>
      </x:c>
      <x:c r="S3777" s="22" t="n">
        <x:f>P3777-R3777</x:f>
        <x:v>26.75999999999999</x:v>
      </x:c>
      <x:c r="T3777" t="str">
        <x:v>UPI</x:v>
      </x:c>
      <x:c r="U3777" t="str">
        <x:v>Paid</x:v>
      </x:c>
      <x:c r="V3777" t="str">
        <x:v>Delayed</x:v>
      </x:c>
      <x:c r="W3777" t="n">
        <x:v>0</x:v>
      </x:c>
      <x:c r="X3777" t="str"/>
      <x:c r="Y3777" t="str">
        <x:v>Field Visit</x:v>
      </x:c>
    </x:row>
    <x:row r="3778">
      <x:c r="A3778" t="str">
        <x:v>O003777</x:v>
      </x:c>
      <x:c r="B3778" s="20" t="n">
        <x:v>45935</x:v>
      </x:c>
      <x:c r="C3778" t="str">
        <x:v>C0182</x:v>
      </x:c>
      <x:c r="D3778" t="str">
        <x:v>Mysore Foods 182</x:v>
      </x:c>
      <x:c r="E3778" t="str">
        <x:v>Restaurant</x:v>
      </x:c>
      <x:c r="F3778" t="str">
        <x:v>Bengaluru</x:v>
      </x:c>
      <x:c r="G3778" t="str">
        <x:v>Vikram</x:v>
      </x:c>
      <x:c r="H3778" t="str">
        <x:v>P007</x:v>
      </x:c>
      <x:c r="I3778" t="str">
        <x:v>Sunflower Oil 15L</x:v>
      </x:c>
      <x:c r="J3778" t="str">
        <x:v>Edible Oil</x:v>
      </x:c>
      <x:c r="K3778" t="str">
        <x:v>Fortune</x:v>
      </x:c>
      <x:c r="L3778" s="22" t="n">
        <x:v>1980</x:v>
      </x:c>
      <x:c r="M3778" t="n">
        <x:v>1</x:v>
      </x:c>
      <x:c r="N3778" s="24" t="n">
        <x:v>0</x:v>
      </x:c>
      <x:c r="O3778" s="22" t="n">
        <x:f>L3778*M3778</x:f>
        <x:v>1980</x:v>
      </x:c>
      <x:c r="P3778" s="22" t="n">
        <x:f>O3778*(1-N3778)</x:f>
        <x:v>1980</x:v>
      </x:c>
      <x:c r="Q3778" s="22" t="n">
        <x:v>1810</x:v>
      </x:c>
      <x:c r="R3778" s="22" t="n">
        <x:f>Q3778*M3778</x:f>
        <x:v>1810</x:v>
      </x:c>
      <x:c r="S3778" s="22" t="n">
        <x:f>P3778-R3778</x:f>
        <x:v>170</x:v>
      </x:c>
      <x:c r="T3778" t="str">
        <x:v>Cash</x:v>
      </x:c>
      <x:c r="U3778" t="str">
        <x:v>Paid</x:v>
      </x:c>
      <x:c r="V3778" t="str">
        <x:v>Delivered</x:v>
      </x:c>
      <x:c r="W3778" t="n">
        <x:v>0</x:v>
      </x:c>
      <x:c r="X3778" t="str"/>
      <x:c r="Y3778" t="str">
        <x:v>Outbound Call</x:v>
      </x:c>
    </x:row>
    <x:row r="3779">
      <x:c r="A3779" t="str">
        <x:v>O003778</x:v>
      </x:c>
      <x:c r="B3779" s="20" t="n">
        <x:v>45710</x:v>
      </x:c>
      <x:c r="C3779" t="str">
        <x:v>C0199</x:v>
      </x:c>
      <x:c r="D3779" t="str">
        <x:v>Classic Cafe 199</x:v>
      </x:c>
      <x:c r="E3779" t="str">
        <x:v>Canteen</x:v>
      </x:c>
      <x:c r="F3779" t="str">
        <x:v>Mangaluru</x:v>
      </x:c>
      <x:c r="G3779" t="str">
        <x:v>Ramesh</x:v>
      </x:c>
      <x:c r="H3779" t="str">
        <x:v>P008</x:v>
      </x:c>
      <x:c r="I3779" t="str">
        <x:v>Palm Oil 15L</x:v>
      </x:c>
      <x:c r="J3779" t="str">
        <x:v>Edible Oil</x:v>
      </x:c>
      <x:c r="K3779" t="str">
        <x:v>Ruchi Gold</x:v>
      </x:c>
      <x:c r="L3779" s="22" t="n">
        <x:v>1760</x:v>
      </x:c>
      <x:c r="M3779" t="n">
        <x:v>5</x:v>
      </x:c>
      <x:c r="N3779" s="24" t="n">
        <x:v>0.1</x:v>
      </x:c>
      <x:c r="O3779" s="22" t="n">
        <x:f>L3779*M3779</x:f>
        <x:v>8800</x:v>
      </x:c>
      <x:c r="P3779" s="22" t="n">
        <x:f>O3779*(1-N3779)</x:f>
        <x:v>7920</x:v>
      </x:c>
      <x:c r="Q3779" s="22" t="n">
        <x:v>1610</x:v>
      </x:c>
      <x:c r="R3779" s="22" t="n">
        <x:f>Q3779*M3779</x:f>
        <x:v>8050</x:v>
      </x:c>
      <x:c r="S3779" s="22" t="n">
        <x:f>P3779-R3779</x:f>
        <x:v>-130</x:v>
      </x:c>
      <x:c r="T3779" t="str">
        <x:v>UPI</x:v>
      </x:c>
      <x:c r="U3779" t="str">
        <x:v>Paid</x:v>
      </x:c>
      <x:c r="V3779" t="str">
        <x:v>Delayed</x:v>
      </x:c>
      <x:c r="W3779" t="n">
        <x:v>0</x:v>
      </x:c>
      <x:c r="X3779" t="str"/>
      <x:c r="Y3779" t="str">
        <x:v>WhatsApp</x:v>
      </x:c>
    </x:row>
    <x:row r="3780">
      <x:c r="A3780" t="str">
        <x:v>O003779</x:v>
      </x:c>
      <x:c r="B3780" s="20" t="n">
        <x:v>45823</x:v>
      </x:c>
      <x:c r="C3780" t="str">
        <x:v>C0106</x:v>
      </x:c>
      <x:c r="D3780" t="str">
        <x:v>Classic Mart 106</x:v>
      </x:c>
      <x:c r="E3780" t="str">
        <x:v>Restaurant</x:v>
      </x:c>
      <x:c r="F3780" t="str">
        <x:v>Mysuru</x:v>
      </x:c>
      <x:c r="G3780" t="str">
        <x:v>Kavya</x:v>
      </x:c>
      <x:c r="H3780" t="str">
        <x:v>P034</x:v>
      </x:c>
      <x:c r="I3780" t="str">
        <x:v>Chilli Powder 1kg</x:v>
      </x:c>
      <x:c r="J3780" t="str">
        <x:v>Spices</x:v>
      </x:c>
      <x:c r="K3780" t="str">
        <x:v>MDH</x:v>
      </x:c>
      <x:c r="L3780" s="22" t="n">
        <x:v>340</x:v>
      </x:c>
      <x:c r="M3780" t="n">
        <x:v>12</x:v>
      </x:c>
      <x:c r="N3780" s="24" t="n">
        <x:v>0.05</x:v>
      </x:c>
      <x:c r="O3780" s="22" t="n">
        <x:f>L3780*M3780</x:f>
        <x:v>4080</x:v>
      </x:c>
      <x:c r="P3780" s="22" t="n">
        <x:f>O3780*(1-N3780)</x:f>
        <x:v>3876</x:v>
      </x:c>
      <x:c r="Q3780" s="22" t="n">
        <x:v>295</x:v>
      </x:c>
      <x:c r="R3780" s="22" t="n">
        <x:f>Q3780*M3780</x:f>
        <x:v>3540</x:v>
      </x:c>
      <x:c r="S3780" s="22" t="n">
        <x:f>P3780-R3780</x:f>
        <x:v>336</x:v>
      </x:c>
      <x:c r="T3780" t="str">
        <x:v>Cash</x:v>
      </x:c>
      <x:c r="U3780" t="str">
        <x:v>Pending</x:v>
      </x:c>
      <x:c r="V3780" t="str">
        <x:v>Delivered</x:v>
      </x:c>
      <x:c r="W3780" t="n">
        <x:v>0</x:v>
      </x:c>
      <x:c r="X3780" t="str"/>
      <x:c r="Y3780" t="str">
        <x:v>Referral</x:v>
      </x:c>
    </x:row>
    <x:row r="3781">
      <x:c r="A3781" t="str">
        <x:v>O003780</x:v>
      </x:c>
      <x:c r="B3781" s="20" t="n">
        <x:v>46155</x:v>
      </x:c>
      <x:c r="C3781" t="str">
        <x:v>C0067</x:v>
      </x:c>
      <x:c r="D3781" t="str">
        <x:v>Royal Restaurant 67</x:v>
      </x:c>
      <x:c r="E3781" t="str">
        <x:v>Supermarket</x:v>
      </x:c>
      <x:c r="F3781" t="str">
        <x:v>Tumakuru</x:v>
      </x:c>
      <x:c r="G3781" t="str">
        <x:v>Sneha</x:v>
      </x:c>
      <x:c r="H3781" t="str">
        <x:v>P038</x:v>
      </x:c>
      <x:c r="I3781" t="str">
        <x:v>French Fries 2.5kg</x:v>
      </x:c>
      <x:c r="J3781" t="str">
        <x:v>Frozen</x:v>
      </x:c>
      <x:c r="K3781" t="str">
        <x:v>McCain</x:v>
      </x:c>
      <x:c r="L3781" s="22" t="n">
        <x:v>360</x:v>
      </x:c>
      <x:c r="M3781" t="n">
        <x:v>37</x:v>
      </x:c>
      <x:c r="N3781" s="24" t="n">
        <x:v>0.05</x:v>
      </x:c>
      <x:c r="O3781" s="22" t="n">
        <x:f>L3781*M3781</x:f>
        <x:v>13320</x:v>
      </x:c>
      <x:c r="P3781" s="22" t="n">
        <x:f>O3781*(1-N3781)</x:f>
        <x:v>12654</x:v>
      </x:c>
      <x:c r="Q3781" s="22" t="n">
        <x:v>315</x:v>
      </x:c>
      <x:c r="R3781" s="22" t="n">
        <x:f>Q3781*M3781</x:f>
        <x:v>11655</x:v>
      </x:c>
      <x:c r="S3781" s="22" t="n">
        <x:f>P3781-R3781</x:f>
        <x:v>999</x:v>
      </x:c>
      <x:c r="T3781" t="str">
        <x:v>Bank Transfer</x:v>
      </x:c>
      <x:c r="U3781" t="str">
        <x:v>Pending</x:v>
      </x:c>
      <x:c r="V3781" t="str">
        <x:v>Delivered</x:v>
      </x:c>
      <x:c r="W3781" t="n">
        <x:v>0</x:v>
      </x:c>
      <x:c r="X3781" t="str"/>
      <x:c r="Y3781" t="str">
        <x:v>Existing Customer</x:v>
      </x:c>
    </x:row>
    <x:row r="3782">
      <x:c r="A3782" t="str">
        <x:v>O003781</x:v>
      </x:c>
      <x:c r="B3782" s="20" t="n">
        <x:v>46075</x:v>
      </x:c>
      <x:c r="C3782" t="str">
        <x:v>C0050</x:v>
      </x:c>
      <x:c r="D3782" t="str">
        <x:v>Green Stores 50</x:v>
      </x:c>
      <x:c r="E3782" t="str">
        <x:v>Restaurant</x:v>
      </x:c>
      <x:c r="F3782" t="str">
        <x:v>Davanagere</x:v>
      </x:c>
      <x:c r="G3782" t="str">
        <x:v>Vikram</x:v>
      </x:c>
      <x:c r="H3782" t="str">
        <x:v>P027</x:v>
      </x:c>
      <x:c r="I3782" t="str">
        <x:v>Biscuits 120g</x:v>
      </x:c>
      <x:c r="J3782" t="str">
        <x:v>Snacks</x:v>
      </x:c>
      <x:c r="K3782" t="str">
        <x:v>Parle-G</x:v>
      </x:c>
      <x:c r="L3782" s="22" t="n">
        <x:v>12</x:v>
      </x:c>
      <x:c r="M3782" t="n">
        <x:v>21</x:v>
      </x:c>
      <x:c r="N3782" s="24" t="n">
        <x:v>0.1</x:v>
      </x:c>
      <x:c r="O3782" s="22" t="n">
        <x:f>L3782*M3782</x:f>
        <x:v>252</x:v>
      </x:c>
      <x:c r="P3782" s="22" t="n">
        <x:f>O3782*(1-N3782)</x:f>
        <x:v>226.8</x:v>
      </x:c>
      <x:c r="Q3782" s="22" t="n">
        <x:v>9</x:v>
      </x:c>
      <x:c r="R3782" s="22" t="n">
        <x:f>Q3782*M3782</x:f>
        <x:v>189</x:v>
      </x:c>
      <x:c r="S3782" s="22" t="n">
        <x:f>P3782-R3782</x:f>
        <x:v>37.80000000000001</x:v>
      </x:c>
      <x:c r="T3782" t="str">
        <x:v>Credit</x:v>
      </x:c>
      <x:c r="U3782" t="str">
        <x:v>Pending</x:v>
      </x:c>
      <x:c r="V3782" t="str">
        <x:v>Delivered</x:v>
      </x:c>
      <x:c r="W3782" t="n">
        <x:v>0</x:v>
      </x:c>
      <x:c r="X3782" t="str"/>
      <x:c r="Y3782" t="str">
        <x:v>WhatsApp</x:v>
      </x:c>
    </x:row>
    <x:row r="3783">
      <x:c r="A3783" t="str">
        <x:v>O003782</x:v>
      </x:c>
      <x:c r="B3783" s="20" t="n">
        <x:v>45907</x:v>
      </x:c>
      <x:c r="C3783" t="str">
        <x:v>C0180</x:v>
      </x:c>
      <x:c r="D3783" t="str">
        <x:v>Sri Kitchen 180</x:v>
      </x:c>
      <x:c r="E3783" t="str">
        <x:v>Kirana</x:v>
      </x:c>
      <x:c r="F3783" t="str">
        <x:v>Mysuru</x:v>
      </x:c>
      <x:c r="G3783" t="str">
        <x:v>Vikram</x:v>
      </x:c>
      <x:c r="H3783" t="str">
        <x:v>P043</x:v>
      </x:c>
      <x:c r="I3783" t="str">
        <x:v>Chicken Breast 1kg</x:v>
      </x:c>
      <x:c r="J3783" t="str">
        <x:v>Protein</x:v>
      </x:c>
      <x:c r="K3783" t="str">
        <x:v>FreshToHome</x:v>
      </x:c>
      <x:c r="L3783" s="22" t="n">
        <x:v>260</x:v>
      </x:c>
      <x:c r="M3783" t="n">
        <x:v>31</x:v>
      </x:c>
      <x:c r="N3783" s="24" t="n">
        <x:v>0.08</x:v>
      </x:c>
      <x:c r="O3783" s="22" t="n">
        <x:f>L3783*M3783</x:f>
        <x:v>8060</x:v>
      </x:c>
      <x:c r="P3783" s="22" t="n">
        <x:f>O3783*(1-N3783)</x:f>
        <x:v>7415.200000000001</x:v>
      </x:c>
      <x:c r="Q3783" s="22" t="n">
        <x:v>235</x:v>
      </x:c>
      <x:c r="R3783" s="22" t="n">
        <x:f>Q3783*M3783</x:f>
        <x:v>7285</x:v>
      </x:c>
      <x:c r="S3783" s="22" t="n">
        <x:f>P3783-R3783</x:f>
        <x:v>130.20000000000073</x:v>
      </x:c>
      <x:c r="T3783" t="str">
        <x:v>UPI</x:v>
      </x:c>
      <x:c r="U3783" t="str">
        <x:v>Pending</x:v>
      </x:c>
      <x:c r="V3783" t="str">
        <x:v>Delivered</x:v>
      </x:c>
      <x:c r="W3783" t="n">
        <x:v>0</x:v>
      </x:c>
      <x:c r="X3783" t="str"/>
      <x:c r="Y3783" t="str">
        <x:v>Existing Customer</x:v>
      </x:c>
    </x:row>
    <x:row r="3784">
      <x:c r="A3784" t="str">
        <x:v>O003783</x:v>
      </x:c>
      <x:c r="B3784" s="20" t="n">
        <x:v>46262</x:v>
      </x:c>
      <x:c r="C3784" t="str">
        <x:v>C0037</x:v>
      </x:c>
      <x:c r="D3784" t="str">
        <x:v>Royal Cafe 37</x:v>
      </x:c>
      <x:c r="E3784" t="str">
        <x:v>Hotel</x:v>
      </x:c>
      <x:c r="F3784" t="str">
        <x:v>Mysuru</x:v>
      </x:c>
      <x:c r="G3784" t="str">
        <x:v>Sneha</x:v>
      </x:c>
      <x:c r="H3784" t="str">
        <x:v>P023</x:v>
      </x:c>
      <x:c r="I3784" t="str">
        <x:v>Cola 750ml</x:v>
      </x:c>
      <x:c r="J3784" t="str">
        <x:v>Beverage</x:v>
      </x:c>
      <x:c r="K3784" t="str">
        <x:v>Coca-Cola</x:v>
      </x:c>
      <x:c r="L3784" s="22" t="n">
        <x:v>38</x:v>
      </x:c>
      <x:c r="M3784" t="n">
        <x:v>4</x:v>
      </x:c>
      <x:c r="N3784" s="24" t="n">
        <x:v>0.05</x:v>
      </x:c>
      <x:c r="O3784" s="22" t="n">
        <x:f>L3784*M3784</x:f>
        <x:v>152</x:v>
      </x:c>
      <x:c r="P3784" s="22" t="n">
        <x:f>O3784*(1-N3784)</x:f>
        <x:v>144.4</x:v>
      </x:c>
      <x:c r="Q3784" s="22" t="n">
        <x:v>31</x:v>
      </x:c>
      <x:c r="R3784" s="22" t="n">
        <x:f>Q3784*M3784</x:f>
        <x:v>124</x:v>
      </x:c>
      <x:c r="S3784" s="22" t="n">
        <x:f>P3784-R3784</x:f>
        <x:v>20.400000000000006</x:v>
      </x:c>
      <x:c r="T3784" t="str">
        <x:v>Credit</x:v>
      </x:c>
      <x:c r="U3784" t="str">
        <x:v>Paid</x:v>
      </x:c>
      <x:c r="V3784" t="str">
        <x:v>Delayed</x:v>
      </x:c>
      <x:c r="W3784" t="n">
        <x:v>0</x:v>
      </x:c>
      <x:c r="X3784" t="str"/>
      <x:c r="Y3784" t="str">
        <x:v>Field Visit</x:v>
      </x:c>
    </x:row>
    <x:row r="3785">
      <x:c r="A3785" t="str">
        <x:v>O003784</x:v>
      </x:c>
      <x:c r="B3785" s="20" t="n">
        <x:v>45767</x:v>
      </x:c>
      <x:c r="C3785" t="str">
        <x:v>C0103</x:v>
      </x:c>
      <x:c r="D3785" t="str">
        <x:v>Fresh Kitchen 103</x:v>
      </x:c>
      <x:c r="E3785" t="str">
        <x:v>Supermarket</x:v>
      </x:c>
      <x:c r="F3785" t="str">
        <x:v>Davanagere</x:v>
      </x:c>
      <x:c r="G3785" t="str">
        <x:v>Megha</x:v>
      </x:c>
      <x:c r="H3785" t="str">
        <x:v>P001</x:v>
      </x:c>
      <x:c r="I3785" t="str">
        <x:v>Steam Rice 25kg</x:v>
      </x:c>
      <x:c r="J3785" t="str">
        <x:v>Staples</x:v>
      </x:c>
      <x:c r="K3785" t="str">
        <x:v>Aishwarya</x:v>
      </x:c>
      <x:c r="L3785" s="22" t="n">
        <x:v>1180</x:v>
      </x:c>
      <x:c r="M3785" t="n">
        <x:v>5</x:v>
      </x:c>
      <x:c r="N3785" s="24" t="n">
        <x:v>0.08</x:v>
      </x:c>
      <x:c r="O3785" s="22" t="n">
        <x:f>L3785*M3785</x:f>
        <x:v>5900</x:v>
      </x:c>
      <x:c r="P3785" s="22" t="n">
        <x:f>O3785*(1-N3785)</x:f>
        <x:v>5428</x:v>
      </x:c>
      <x:c r="Q3785" s="22" t="n">
        <x:v>1040</x:v>
      </x:c>
      <x:c r="R3785" s="22" t="n">
        <x:f>Q3785*M3785</x:f>
        <x:v>5200</x:v>
      </x:c>
      <x:c r="S3785" s="22" t="n">
        <x:f>P3785-R3785</x:f>
        <x:v>228</x:v>
      </x:c>
      <x:c r="T3785" t="str">
        <x:v>UPI</x:v>
      </x:c>
      <x:c r="U3785" t="str">
        <x:v>Paid</x:v>
      </x:c>
      <x:c r="V3785" t="str">
        <x:v>Delivered</x:v>
      </x:c>
      <x:c r="W3785" t="n">
        <x:v>0</x:v>
      </x:c>
      <x:c r="X3785" t="str"/>
      <x:c r="Y3785" t="str">
        <x:v>Outbound Call</x:v>
      </x:c>
    </x:row>
    <x:row r="3786">
      <x:c r="A3786" t="str">
        <x:v>O003785</x:v>
      </x:c>
      <x:c r="B3786" s="20" t="n">
        <x:v>45759</x:v>
      </x:c>
      <x:c r="C3786" t="str">
        <x:v>C0031</x:v>
      </x:c>
      <x:c r="D3786" t="str">
        <x:v>Royal Restaurant 31</x:v>
      </x:c>
      <x:c r="E3786" t="str">
        <x:v>Restaurant</x:v>
      </x:c>
      <x:c r="F3786" t="str">
        <x:v>Mangaluru</x:v>
      </x:c>
      <x:c r="G3786" t="str">
        <x:v>Arjun</x:v>
      </x:c>
      <x:c r="H3786" t="str">
        <x:v>P013</x:v>
      </x:c>
      <x:c r="I3786" t="str">
        <x:v>Atta 10kg</x:v>
      </x:c>
      <x:c r="J3786" t="str">
        <x:v>Flour</x:v>
      </x:c>
      <x:c r="K3786" t="str">
        <x:v>Aashirvaad</x:v>
      </x:c>
      <x:c r="L3786" s="22" t="n">
        <x:v>560</x:v>
      </x:c>
      <x:c r="M3786" t="n">
        <x:v>27</x:v>
      </x:c>
      <x:c r="N3786" s="24" t="n">
        <x:v>0.05</x:v>
      </x:c>
      <x:c r="O3786" s="22" t="n">
        <x:f>L3786*M3786</x:f>
        <x:v>15120</x:v>
      </x:c>
      <x:c r="P3786" s="22" t="n">
        <x:f>O3786*(1-N3786)</x:f>
        <x:v>14364</x:v>
      </x:c>
      <x:c r="Q3786" s="22" t="n">
        <x:v>495</x:v>
      </x:c>
      <x:c r="R3786" s="22" t="n">
        <x:f>Q3786*M3786</x:f>
        <x:v>13365</x:v>
      </x:c>
      <x:c r="S3786" s="22" t="n">
        <x:f>P3786-R3786</x:f>
        <x:v>999</x:v>
      </x:c>
      <x:c r="T3786" t="str">
        <x:v>Credit</x:v>
      </x:c>
      <x:c r="U3786" t="str">
        <x:v>Paid</x:v>
      </x:c>
      <x:c r="V3786" t="str">
        <x:v>Delivered</x:v>
      </x:c>
      <x:c r="W3786" t="n">
        <x:v>0</x:v>
      </x:c>
      <x:c r="X3786" t="str"/>
      <x:c r="Y3786" t="str">
        <x:v>Outbound Call</x:v>
      </x:c>
    </x:row>
    <x:row r="3787">
      <x:c r="A3787" t="str">
        <x:v>O003786</x:v>
      </x:c>
      <x:c r="B3787" s="20" t="n">
        <x:v>46247</x:v>
      </x:c>
      <x:c r="C3787" t="str">
        <x:v>C0040</x:v>
      </x:c>
      <x:c r="D3787" t="str">
        <x:v>Royal Foods 40</x:v>
      </x:c>
      <x:c r="E3787" t="str">
        <x:v>Restaurant</x:v>
      </x:c>
      <x:c r="F3787" t="str">
        <x:v>Mangaluru</x:v>
      </x:c>
      <x:c r="G3787" t="str">
        <x:v>Kavya</x:v>
      </x:c>
      <x:c r="H3787" t="str">
        <x:v>P029</x:v>
      </x:c>
      <x:c r="I3787" t="str">
        <x:v>Tomato Ketchup 1kg</x:v>
      </x:c>
      <x:c r="J3787" t="str">
        <x:v>Condiments</x:v>
      </x:c>
      <x:c r="K3787" t="str">
        <x:v>Kissan</x:v>
      </x:c>
      <x:c r="L3787" s="22" t="n">
        <x:v>145</x:v>
      </x:c>
      <x:c r="M3787" t="n">
        <x:v>30</x:v>
      </x:c>
      <x:c r="N3787" s="24" t="n">
        <x:v>0</x:v>
      </x:c>
      <x:c r="O3787" s="22" t="n">
        <x:f>L3787*M3787</x:f>
        <x:v>4350</x:v>
      </x:c>
      <x:c r="P3787" s="22" t="n">
        <x:f>O3787*(1-N3787)</x:f>
        <x:v>4350</x:v>
      </x:c>
      <x:c r="Q3787" s="22" t="n">
        <x:v>126</x:v>
      </x:c>
      <x:c r="R3787" s="22" t="n">
        <x:f>Q3787*M3787</x:f>
        <x:v>3780</x:v>
      </x:c>
      <x:c r="S3787" s="22" t="n">
        <x:f>P3787-R3787</x:f>
        <x:v>570</x:v>
      </x:c>
      <x:c r="T3787" t="str">
        <x:v>Credit</x:v>
      </x:c>
      <x:c r="U3787" t="str">
        <x:v>Paid</x:v>
      </x:c>
      <x:c r="V3787" t="str">
        <x:v>Delivered</x:v>
      </x:c>
      <x:c r="W3787" t="n">
        <x:v>3</x:v>
      </x:c>
      <x:c r="X3787" t="str">
        <x:v>Wrong Item</x:v>
      </x:c>
      <x:c r="Y3787" t="str">
        <x:v>WhatsApp</x:v>
      </x:c>
    </x:row>
    <x:row r="3788">
      <x:c r="A3788" t="str">
        <x:v>O003787</x:v>
      </x:c>
      <x:c r="B3788" s="20" t="n">
        <x:v>45682</x:v>
      </x:c>
      <x:c r="C3788" t="str">
        <x:v>C0185</x:v>
      </x:c>
      <x:c r="D3788" t="str">
        <x:v>Mysore Foods 185</x:v>
      </x:c>
      <x:c r="E3788" t="str">
        <x:v>Restaurant</x:v>
      </x:c>
      <x:c r="F3788" t="str">
        <x:v>Mysuru</x:v>
      </x:c>
      <x:c r="G3788" t="str">
        <x:v>Sneha</x:v>
      </x:c>
      <x:c r="H3788" t="str">
        <x:v>P039</x:v>
      </x:c>
      <x:c r="I3788" t="str">
        <x:v>Ice Cream 4L</x:v>
      </x:c>
      <x:c r="J3788" t="str">
        <x:v>Frozen</x:v>
      </x:c>
      <x:c r="K3788" t="str">
        <x:v>Amul</x:v>
      </x:c>
      <x:c r="L3788" s="22" t="n">
        <x:v>480</x:v>
      </x:c>
      <x:c r="M3788" t="n">
        <x:v>19</x:v>
      </x:c>
      <x:c r="N3788" s="24" t="n">
        <x:v>0</x:v>
      </x:c>
      <x:c r="O3788" s="22" t="n">
        <x:f>L3788*M3788</x:f>
        <x:v>9120</x:v>
      </x:c>
      <x:c r="P3788" s="22" t="n">
        <x:f>O3788*(1-N3788)</x:f>
        <x:v>9120</x:v>
      </x:c>
      <x:c r="Q3788" s="22" t="n">
        <x:v>420</x:v>
      </x:c>
      <x:c r="R3788" s="22" t="n">
        <x:f>Q3788*M3788</x:f>
        <x:v>7980</x:v>
      </x:c>
      <x:c r="S3788" s="22" t="n">
        <x:f>P3788-R3788</x:f>
        <x:v>1140</x:v>
      </x:c>
      <x:c r="T3788" t="str">
        <x:v>UPI</x:v>
      </x:c>
      <x:c r="U3788" t="str">
        <x:v>Paid</x:v>
      </x:c>
      <x:c r="V3788" t="str">
        <x:v>Cancelled</x:v>
      </x:c>
      <x:c r="W3788" t="n">
        <x:v>19</x:v>
      </x:c>
      <x:c r="X3788" t="str">
        <x:v>Cancelled Order</x:v>
      </x:c>
      <x:c r="Y3788" t="str">
        <x:v>WhatsApp</x:v>
      </x:c>
    </x:row>
    <x:row r="3789">
      <x:c r="A3789" t="str">
        <x:v>O003788</x:v>
      </x:c>
      <x:c r="B3789" s="20" t="n">
        <x:v>46106</x:v>
      </x:c>
      <x:c r="C3789" t="str">
        <x:v>C0035</x:v>
      </x:c>
      <x:c r="D3789" t="str">
        <x:v>City Foods 35</x:v>
      </x:c>
      <x:c r="E3789" t="str">
        <x:v>Kirana</x:v>
      </x:c>
      <x:c r="F3789" t="str">
        <x:v>Bengaluru</x:v>
      </x:c>
      <x:c r="G3789" t="str">
        <x:v>Megha</x:v>
      </x:c>
      <x:c r="H3789" t="str">
        <x:v>P011</x:v>
      </x:c>
      <x:c r="I3789" t="str">
        <x:v>Salt 1kg</x:v>
      </x:c>
      <x:c r="J3789" t="str">
        <x:v>Staples</x:v>
      </x:c>
      <x:c r="K3789" t="str">
        <x:v>Tata</x:v>
      </x:c>
      <x:c r="L3789" s="22" t="n">
        <x:v>28</x:v>
      </x:c>
      <x:c r="M3789" t="n">
        <x:v>3</x:v>
      </x:c>
      <x:c r="N3789" s="24" t="n">
        <x:v>0</x:v>
      </x:c>
      <x:c r="O3789" s="22" t="n">
        <x:f>L3789*M3789</x:f>
        <x:v>84</x:v>
      </x:c>
      <x:c r="P3789" s="22" t="n">
        <x:f>O3789*(1-N3789)</x:f>
        <x:v>84</x:v>
      </x:c>
      <x:c r="Q3789" s="22" t="n">
        <x:v>23</x:v>
      </x:c>
      <x:c r="R3789" s="22" t="n">
        <x:f>Q3789*M3789</x:f>
        <x:v>69</x:v>
      </x:c>
      <x:c r="S3789" s="22" t="n">
        <x:f>P3789-R3789</x:f>
        <x:v>15</x:v>
      </x:c>
      <x:c r="T3789" t="str">
        <x:v>Cash</x:v>
      </x:c>
      <x:c r="U3789" t="str">
        <x:v>Paid</x:v>
      </x:c>
      <x:c r="V3789" t="str">
        <x:v>Delivered</x:v>
      </x:c>
      <x:c r="W3789" t="n">
        <x:v>0</x:v>
      </x:c>
      <x:c r="X3789" t="str"/>
      <x:c r="Y3789" t="str">
        <x:v>Referral</x:v>
      </x:c>
    </x:row>
    <x:row r="3790">
      <x:c r="A3790" t="str">
        <x:v>O003789</x:v>
      </x:c>
      <x:c r="B3790" s="20" t="n">
        <x:v>45974</x:v>
      </x:c>
      <x:c r="C3790" t="str">
        <x:v>C0082</x:v>
      </x:c>
      <x:c r="D3790" t="str">
        <x:v>City Foods 82</x:v>
      </x:c>
      <x:c r="E3790" t="str">
        <x:v>Hotel</x:v>
      </x:c>
      <x:c r="F3790" t="str">
        <x:v>Mangaluru</x:v>
      </x:c>
      <x:c r="G3790" t="str">
        <x:v>Kavya</x:v>
      </x:c>
      <x:c r="H3790" t="str">
        <x:v>P033</x:v>
      </x:c>
      <x:c r="I3790" t="str">
        <x:v>Turmeric Powder 1kg</x:v>
      </x:c>
      <x:c r="J3790" t="str">
        <x:v>Spices</x:v>
      </x:c>
      <x:c r="K3790" t="str">
        <x:v>Everest</x:v>
      </x:c>
      <x:c r="L3790" s="22" t="n">
        <x:v>310</x:v>
      </x:c>
      <x:c r="M3790" t="n">
        <x:v>27</x:v>
      </x:c>
      <x:c r="N3790" s="24" t="n">
        <x:v>0.02</x:v>
      </x:c>
      <x:c r="O3790" s="22" t="n">
        <x:f>L3790*M3790</x:f>
        <x:v>8370</x:v>
      </x:c>
      <x:c r="P3790" s="22" t="n">
        <x:f>O3790*(1-N3790)</x:f>
        <x:v>8202.6</x:v>
      </x:c>
      <x:c r="Q3790" s="22" t="n">
        <x:v>270</x:v>
      </x:c>
      <x:c r="R3790" s="22" t="n">
        <x:f>Q3790*M3790</x:f>
        <x:v>7290</x:v>
      </x:c>
      <x:c r="S3790" s="22" t="n">
        <x:f>P3790-R3790</x:f>
        <x:v>912.6000000000004</x:v>
      </x:c>
      <x:c r="T3790" t="str">
        <x:v>Credit</x:v>
      </x:c>
      <x:c r="U3790" t="str">
        <x:v>Paid</x:v>
      </x:c>
      <x:c r="V3790" t="str">
        <x:v>Delivered</x:v>
      </x:c>
      <x:c r="W3790" t="n">
        <x:v>3</x:v>
      </x:c>
      <x:c r="X3790" t="str">
        <x:v>Late Delivery</x:v>
      </x:c>
      <x:c r="Y3790" t="str">
        <x:v>WhatsApp</x:v>
      </x:c>
    </x:row>
    <x:row r="3791">
      <x:c r="A3791" t="str">
        <x:v>O003790</x:v>
      </x:c>
      <x:c r="B3791" s="20" t="n">
        <x:v>45703</x:v>
      </x:c>
      <x:c r="C3791" t="str">
        <x:v>C0132</x:v>
      </x:c>
      <x:c r="D3791" t="str">
        <x:v>Classic Stores 132</x:v>
      </x:c>
      <x:c r="E3791" t="str">
        <x:v>Cafe</x:v>
      </x:c>
      <x:c r="F3791" t="str">
        <x:v>Mysuru</x:v>
      </x:c>
      <x:c r="G3791" t="str">
        <x:v>Megha</x:v>
      </x:c>
      <x:c r="H3791" t="str">
        <x:v>P011</x:v>
      </x:c>
      <x:c r="I3791" t="str">
        <x:v>Salt 1kg</x:v>
      </x:c>
      <x:c r="J3791" t="str">
        <x:v>Staples</x:v>
      </x:c>
      <x:c r="K3791" t="str">
        <x:v>Tata</x:v>
      </x:c>
      <x:c r="L3791" s="22" t="n">
        <x:v>28</x:v>
      </x:c>
      <x:c r="M3791" t="n">
        <x:v>14</x:v>
      </x:c>
      <x:c r="N3791" s="24" t="n">
        <x:v>0.03</x:v>
      </x:c>
      <x:c r="O3791" s="22" t="n">
        <x:f>L3791*M3791</x:f>
        <x:v>392</x:v>
      </x:c>
      <x:c r="P3791" s="22" t="n">
        <x:f>O3791*(1-N3791)</x:f>
        <x:v>380.24</x:v>
      </x:c>
      <x:c r="Q3791" s="22" t="n">
        <x:v>23</x:v>
      </x:c>
      <x:c r="R3791" s="22" t="n">
        <x:f>Q3791*M3791</x:f>
        <x:v>322</x:v>
      </x:c>
      <x:c r="S3791" s="22" t="n">
        <x:f>P3791-R3791</x:f>
        <x:v>58.24000000000001</x:v>
      </x:c>
      <x:c r="T3791" t="str">
        <x:v>UPI</x:v>
      </x:c>
      <x:c r="U3791" t="str">
        <x:v>Paid</x:v>
      </x:c>
      <x:c r="V3791" t="str">
        <x:v>Delivered</x:v>
      </x:c>
      <x:c r="W3791" t="n">
        <x:v>0</x:v>
      </x:c>
      <x:c r="X3791" t="str"/>
      <x:c r="Y3791" t="str">
        <x:v>Field Visit</x:v>
      </x:c>
    </x:row>
    <x:row r="3792">
      <x:c r="A3792" t="str">
        <x:v>O003791</x:v>
      </x:c>
      <x:c r="B3792" s="20" t="n">
        <x:v>46060</x:v>
      </x:c>
      <x:c r="C3792" t="str">
        <x:v>C0209</x:v>
      </x:c>
      <x:c r="D3792" t="str">
        <x:v>Shree Hotel 209</x:v>
      </x:c>
      <x:c r="E3792" t="str">
        <x:v>Restaurant</x:v>
      </x:c>
      <x:c r="F3792" t="str">
        <x:v>Tumakuru</x:v>
      </x:c>
      <x:c r="G3792" t="str">
        <x:v>Ramesh</x:v>
      </x:c>
      <x:c r="H3792" t="str">
        <x:v>P012</x:v>
      </x:c>
      <x:c r="I3792" t="str">
        <x:v>Maida 10kg</x:v>
      </x:c>
      <x:c r="J3792" t="str">
        <x:v>Flour</x:v>
      </x:c>
      <x:c r="K3792" t="str">
        <x:v>Aashirvaad</x:v>
      </x:c>
      <x:c r="L3792" s="22" t="n">
        <x:v>520</x:v>
      </x:c>
      <x:c r="M3792" t="n">
        <x:v>5</x:v>
      </x:c>
      <x:c r="N3792" s="24" t="n">
        <x:v>0</x:v>
      </x:c>
      <x:c r="O3792" s="22" t="n">
        <x:f>L3792*M3792</x:f>
        <x:v>2600</x:v>
      </x:c>
      <x:c r="P3792" s="22" t="n">
        <x:f>O3792*(1-N3792)</x:f>
        <x:v>2600</x:v>
      </x:c>
      <x:c r="Q3792" s="22" t="n">
        <x:v>460</x:v>
      </x:c>
      <x:c r="R3792" s="22" t="n">
        <x:f>Q3792*M3792</x:f>
        <x:v>2300</x:v>
      </x:c>
      <x:c r="S3792" s="22" t="n">
        <x:f>P3792-R3792</x:f>
        <x:v>300</x:v>
      </x:c>
      <x:c r="T3792" t="str">
        <x:v>UPI</x:v>
      </x:c>
      <x:c r="U3792" t="str">
        <x:v>Paid</x:v>
      </x:c>
      <x:c r="V3792" t="str">
        <x:v>Delivered</x:v>
      </x:c>
      <x:c r="W3792" t="n">
        <x:v>0</x:v>
      </x:c>
      <x:c r="X3792" t="str"/>
      <x:c r="Y3792" t="str">
        <x:v>Referral</x:v>
      </x:c>
    </x:row>
    <x:row r="3793">
      <x:c r="A3793" t="str">
        <x:v>O003792</x:v>
      </x:c>
      <x:c r="B3793" s="20" t="n">
        <x:v>45714</x:v>
      </x:c>
      <x:c r="C3793" t="str">
        <x:v>C0198</x:v>
      </x:c>
      <x:c r="D3793" t="str">
        <x:v>Royal Canteen 198</x:v>
      </x:c>
      <x:c r="E3793" t="str">
        <x:v>Supermarket</x:v>
      </x:c>
      <x:c r="F3793" t="str">
        <x:v>Davanagere</x:v>
      </x:c>
      <x:c r="G3793" t="str">
        <x:v>Arjun</x:v>
      </x:c>
      <x:c r="H3793" t="str">
        <x:v>P044</x:v>
      </x:c>
      <x:c r="I3793" t="str">
        <x:v>Chicken Curry Cut 1kg</x:v>
      </x:c>
      <x:c r="J3793" t="str">
        <x:v>Protein</x:v>
      </x:c>
      <x:c r="K3793" t="str">
        <x:v>FreshToHome</x:v>
      </x:c>
      <x:c r="L3793" s="22" t="n">
        <x:v>230</x:v>
      </x:c>
      <x:c r="M3793" t="n">
        <x:v>28</x:v>
      </x:c>
      <x:c r="N3793" s="24" t="n">
        <x:v>0.02</x:v>
      </x:c>
      <x:c r="O3793" s="22" t="n">
        <x:f>L3793*M3793</x:f>
        <x:v>6440</x:v>
      </x:c>
      <x:c r="P3793" s="22" t="n">
        <x:f>O3793*(1-N3793)</x:f>
        <x:v>6311.2</x:v>
      </x:c>
      <x:c r="Q3793" s="22" t="n">
        <x:v>205</x:v>
      </x:c>
      <x:c r="R3793" s="22" t="n">
        <x:f>Q3793*M3793</x:f>
        <x:v>5740</x:v>
      </x:c>
      <x:c r="S3793" s="22" t="n">
        <x:f>P3793-R3793</x:f>
        <x:v>571.1999999999998</x:v>
      </x:c>
      <x:c r="T3793" t="str">
        <x:v>Credit</x:v>
      </x:c>
      <x:c r="U3793" t="str">
        <x:v>Paid</x:v>
      </x:c>
      <x:c r="V3793" t="str">
        <x:v>Delivered</x:v>
      </x:c>
      <x:c r="W3793" t="n">
        <x:v>0</x:v>
      </x:c>
      <x:c r="X3793" t="str"/>
      <x:c r="Y3793" t="str">
        <x:v>Outbound Call</x:v>
      </x:c>
    </x:row>
    <x:row r="3794">
      <x:c r="A3794" t="str">
        <x:v>O003793</x:v>
      </x:c>
      <x:c r="B3794" s="20" t="n">
        <x:v>45841</x:v>
      </x:c>
      <x:c r="C3794" t="str">
        <x:v>C0189</x:v>
      </x:c>
      <x:c r="D3794" t="str">
        <x:v>Classic Canteen 189</x:v>
      </x:c>
      <x:c r="E3794" t="str">
        <x:v>Kirana</x:v>
      </x:c>
      <x:c r="F3794" t="str">
        <x:v>Hubballi</x:v>
      </x:c>
      <x:c r="G3794" t="str">
        <x:v>Vikram</x:v>
      </x:c>
      <x:c r="H3794" t="str">
        <x:v>P041</x:v>
      </x:c>
      <x:c r="I3794" t="str">
        <x:v>Burger Bun 6pc</x:v>
      </x:c>
      <x:c r="J3794" t="str">
        <x:v>Bakery</x:v>
      </x:c>
      <x:c r="K3794" t="str">
        <x:v>Modern</x:v>
      </x:c>
      <x:c r="L3794" s="22" t="n">
        <x:v>42</x:v>
      </x:c>
      <x:c r="M3794" t="n">
        <x:v>18</x:v>
      </x:c>
      <x:c r="N3794" s="24" t="n">
        <x:v>0</x:v>
      </x:c>
      <x:c r="O3794" s="22" t="n">
        <x:f>L3794*M3794</x:f>
        <x:v>756</x:v>
      </x:c>
      <x:c r="P3794" s="22" t="n">
        <x:f>O3794*(1-N3794)</x:f>
        <x:v>756</x:v>
      </x:c>
      <x:c r="Q3794" s="22" t="n">
        <x:v>32</x:v>
      </x:c>
      <x:c r="R3794" s="22" t="n">
        <x:f>Q3794*M3794</x:f>
        <x:v>576</x:v>
      </x:c>
      <x:c r="S3794" s="22" t="n">
        <x:f>P3794-R3794</x:f>
        <x:v>180</x:v>
      </x:c>
      <x:c r="T3794" t="str">
        <x:v>UPI</x:v>
      </x:c>
      <x:c r="U3794" t="str">
        <x:v>Paid</x:v>
      </x:c>
      <x:c r="V3794" t="str">
        <x:v>Delivered</x:v>
      </x:c>
      <x:c r="W3794" t="n">
        <x:v>0</x:v>
      </x:c>
      <x:c r="X3794" t="str"/>
      <x:c r="Y3794" t="str">
        <x:v>Field Visit</x:v>
      </x:c>
    </x:row>
    <x:row r="3795">
      <x:c r="A3795" t="str">
        <x:v>O003794</x:v>
      </x:c>
      <x:c r="B3795" s="20" t="n">
        <x:v>45828</x:v>
      </x:c>
      <x:c r="C3795" t="str">
        <x:v>C0058</x:v>
      </x:c>
      <x:c r="D3795" t="str">
        <x:v>Spice Kitchen 58</x:v>
      </x:c>
      <x:c r="E3795" t="str">
        <x:v>Supermarket</x:v>
      </x:c>
      <x:c r="F3795" t="str">
        <x:v>Davanagere</x:v>
      </x:c>
      <x:c r="G3795" t="str">
        <x:v>Sneha</x:v>
      </x:c>
      <x:c r="H3795" t="str">
        <x:v>P045</x:v>
      </x:c>
      <x:c r="I3795" t="str">
        <x:v>Onion 25kg</x:v>
      </x:c>
      <x:c r="J3795" t="str">
        <x:v>Fresh Produce</x:v>
      </x:c>
      <x:c r="K3795" t="str">
        <x:v>Local Market</x:v>
      </x:c>
      <x:c r="L3795" s="22" t="n">
        <x:v>875</x:v>
      </x:c>
      <x:c r="M3795" t="n">
        <x:v>33</x:v>
      </x:c>
      <x:c r="N3795" s="24" t="n">
        <x:v>0.05</x:v>
      </x:c>
      <x:c r="O3795" s="22" t="n">
        <x:f>L3795*M3795</x:f>
        <x:v>28875</x:v>
      </x:c>
      <x:c r="P3795" s="22" t="n">
        <x:f>O3795*(1-N3795)</x:f>
        <x:v>27431.25</x:v>
      </x:c>
      <x:c r="Q3795" s="22" t="n">
        <x:v>760</x:v>
      </x:c>
      <x:c r="R3795" s="22" t="n">
        <x:f>Q3795*M3795</x:f>
        <x:v>25080</x:v>
      </x:c>
      <x:c r="S3795" s="22" t="n">
        <x:f>P3795-R3795</x:f>
        <x:v>2351.25</x:v>
      </x:c>
      <x:c r="T3795" t="str">
        <x:v>UPI</x:v>
      </x:c>
      <x:c r="U3795" t="str">
        <x:v>Paid</x:v>
      </x:c>
      <x:c r="V3795" t="str">
        <x:v>Cancelled</x:v>
      </x:c>
      <x:c r="W3795" t="n">
        <x:v>33</x:v>
      </x:c>
      <x:c r="X3795" t="str">
        <x:v>Cancelled Order</x:v>
      </x:c>
      <x:c r="Y3795" t="str">
        <x:v>Outbound Call</x:v>
      </x:c>
    </x:row>
    <x:row r="3796">
      <x:c r="A3796" t="str">
        <x:v>O003795</x:v>
      </x:c>
      <x:c r="B3796" s="20" t="n">
        <x:v>45903</x:v>
      </x:c>
      <x:c r="C3796" t="str">
        <x:v>C0228</x:v>
      </x:c>
      <x:c r="D3796" t="str">
        <x:v>Metro Foods 228</x:v>
      </x:c>
      <x:c r="E3796" t="str">
        <x:v>Supermarket</x:v>
      </x:c>
      <x:c r="F3796" t="str">
        <x:v>Davanagere</x:v>
      </x:c>
      <x:c r="G3796" t="str">
        <x:v>Sneha</x:v>
      </x:c>
      <x:c r="H3796" t="str">
        <x:v>P005</x:v>
      </x:c>
      <x:c r="I3796" t="str">
        <x:v>Chana Dal 5kg</x:v>
      </x:c>
      <x:c r="J3796" t="str">
        <x:v>Pulses</x:v>
      </x:c>
      <x:c r="K3796" t="str">
        <x:v>Local Select</x:v>
      </x:c>
      <x:c r="L3796" s="22" t="n">
        <x:v>520</x:v>
      </x:c>
      <x:c r="M3796" t="n">
        <x:v>34</x:v>
      </x:c>
      <x:c r="N3796" s="24" t="n">
        <x:v>0</x:v>
      </x:c>
      <x:c r="O3796" s="22" t="n">
        <x:f>L3796*M3796</x:f>
        <x:v>17680</x:v>
      </x:c>
      <x:c r="P3796" s="22" t="n">
        <x:f>O3796*(1-N3796)</x:f>
        <x:v>17680</x:v>
      </x:c>
      <x:c r="Q3796" s="22" t="n">
        <x:v>455</x:v>
      </x:c>
      <x:c r="R3796" s="22" t="n">
        <x:f>Q3796*M3796</x:f>
        <x:v>15470</x:v>
      </x:c>
      <x:c r="S3796" s="22" t="n">
        <x:f>P3796-R3796</x:f>
        <x:v>2210</x:v>
      </x:c>
      <x:c r="T3796" t="str">
        <x:v>Cash</x:v>
      </x:c>
      <x:c r="U3796" t="str">
        <x:v>Paid</x:v>
      </x:c>
      <x:c r="V3796" t="str">
        <x:v>Delivered</x:v>
      </x:c>
      <x:c r="W3796" t="n">
        <x:v>0</x:v>
      </x:c>
      <x:c r="X3796" t="str"/>
      <x:c r="Y3796" t="str">
        <x:v>WhatsApp</x:v>
      </x:c>
    </x:row>
    <x:row r="3797">
      <x:c r="A3797" t="str">
        <x:v>O003796</x:v>
      </x:c>
      <x:c r="B3797" s="20" t="n">
        <x:v>46231</x:v>
      </x:c>
      <x:c r="C3797" t="str">
        <x:v>C0114</x:v>
      </x:c>
      <x:c r="D3797" t="str">
        <x:v>Annapurna Restaurant 114</x:v>
      </x:c>
      <x:c r="E3797" t="str">
        <x:v>Restaurant</x:v>
      </x:c>
      <x:c r="F3797" t="str">
        <x:v>Davanagere</x:v>
      </x:c>
      <x:c r="G3797" t="str">
        <x:v>Arjun</x:v>
      </x:c>
      <x:c r="H3797" t="str">
        <x:v>P036</x:v>
      </x:c>
      <x:c r="I3797" t="str">
        <x:v>Garam Masala 500g</x:v>
      </x:c>
      <x:c r="J3797" t="str">
        <x:v>Spices</x:v>
      </x:c>
      <x:c r="K3797" t="str">
        <x:v>MDH</x:v>
      </x:c>
      <x:c r="L3797" s="22" t="n">
        <x:v>265</x:v>
      </x:c>
      <x:c r="M3797" t="n">
        <x:v>25</x:v>
      </x:c>
      <x:c r="N3797" s="24" t="n">
        <x:v>0.02</x:v>
      </x:c>
      <x:c r="O3797" s="22" t="n">
        <x:f>L3797*M3797</x:f>
        <x:v>6625</x:v>
      </x:c>
      <x:c r="P3797" s="22" t="n">
        <x:f>O3797*(1-N3797)</x:f>
        <x:v>6492.5</x:v>
      </x:c>
      <x:c r="Q3797" s="22" t="n">
        <x:v>230</x:v>
      </x:c>
      <x:c r="R3797" s="22" t="n">
        <x:f>Q3797*M3797</x:f>
        <x:v>5750</x:v>
      </x:c>
      <x:c r="S3797" s="22" t="n">
        <x:f>P3797-R3797</x:f>
        <x:v>742.5</x:v>
      </x:c>
      <x:c r="T3797" t="str">
        <x:v>Cash</x:v>
      </x:c>
      <x:c r="U3797" t="str">
        <x:v>Pending</x:v>
      </x:c>
      <x:c r="V3797" t="str">
        <x:v>Delivered</x:v>
      </x:c>
      <x:c r="W3797" t="n">
        <x:v>0</x:v>
      </x:c>
      <x:c r="X3797" t="str"/>
      <x:c r="Y3797" t="str">
        <x:v>Field Visit</x:v>
      </x:c>
    </x:row>
    <x:row r="3798">
      <x:c r="A3798" t="str">
        <x:v>O003797</x:v>
      </x:c>
      <x:c r="B3798" s="20" t="n">
        <x:v>46014</x:v>
      </x:c>
      <x:c r="C3798" t="str">
        <x:v>C0113</x:v>
      </x:c>
      <x:c r="D3798" t="str">
        <x:v>Namma Mart 113</x:v>
      </x:c>
      <x:c r="E3798" t="str">
        <x:v>Restaurant</x:v>
      </x:c>
      <x:c r="F3798" t="str">
        <x:v>Bengaluru</x:v>
      </x:c>
      <x:c r="G3798" t="str">
        <x:v>Imran</x:v>
      </x:c>
      <x:c r="H3798" t="str">
        <x:v>P001</x:v>
      </x:c>
      <x:c r="I3798" t="str">
        <x:v>Steam Rice 25kg</x:v>
      </x:c>
      <x:c r="J3798" t="str">
        <x:v>Staples</x:v>
      </x:c>
      <x:c r="K3798" t="str">
        <x:v>Aishwarya</x:v>
      </x:c>
      <x:c r="L3798" s="22" t="n">
        <x:v>1180</x:v>
      </x:c>
      <x:c r="M3798" t="n">
        <x:v>8</x:v>
      </x:c>
      <x:c r="N3798" s="24" t="n">
        <x:v>0</x:v>
      </x:c>
      <x:c r="O3798" s="22" t="n">
        <x:f>L3798*M3798</x:f>
        <x:v>9440</x:v>
      </x:c>
      <x:c r="P3798" s="22" t="n">
        <x:f>O3798*(1-N3798)</x:f>
        <x:v>9440</x:v>
      </x:c>
      <x:c r="Q3798" s="22" t="n">
        <x:v>1040</x:v>
      </x:c>
      <x:c r="R3798" s="22" t="n">
        <x:f>Q3798*M3798</x:f>
        <x:v>8320</x:v>
      </x:c>
      <x:c r="S3798" s="22" t="n">
        <x:f>P3798-R3798</x:f>
        <x:v>1120</x:v>
      </x:c>
      <x:c r="T3798" t="str">
        <x:v>Bank Transfer</x:v>
      </x:c>
      <x:c r="U3798" t="str">
        <x:v>Paid</x:v>
      </x:c>
      <x:c r="V3798" t="str">
        <x:v>Delivered</x:v>
      </x:c>
      <x:c r="W3798" t="n">
        <x:v>4</x:v>
      </x:c>
      <x:c r="X3798" t="str">
        <x:v>Late Delivery</x:v>
      </x:c>
      <x:c r="Y3798" t="str">
        <x:v>Field Visit</x:v>
      </x:c>
    </x:row>
    <x:row r="3799">
      <x:c r="A3799" t="str">
        <x:v>O003798</x:v>
      </x:c>
      <x:c r="B3799" s="20" t="n">
        <x:v>45853</x:v>
      </x:c>
      <x:c r="C3799" t="str">
        <x:v>C0033</x:v>
      </x:c>
      <x:c r="D3799" t="str">
        <x:v>Shree Canteen 33</x:v>
      </x:c>
      <x:c r="E3799" t="str">
        <x:v>Canteen</x:v>
      </x:c>
      <x:c r="F3799" t="str">
        <x:v>Mangaluru</x:v>
      </x:c>
      <x:c r="G3799" t="str">
        <x:v>Imran</x:v>
      </x:c>
      <x:c r="H3799" t="str">
        <x:v>P050</x:v>
      </x:c>
      <x:c r="I3799" t="str">
        <x:v>Lemon 5kg</x:v>
      </x:c>
      <x:c r="J3799" t="str">
        <x:v>Fresh Produce</x:v>
      </x:c>
      <x:c r="K3799" t="str">
        <x:v>Local Market</x:v>
      </x:c>
      <x:c r="L3799" s="22" t="n">
        <x:v>360</x:v>
      </x:c>
      <x:c r="M3799" t="n">
        <x:v>22</x:v>
      </x:c>
      <x:c r="N3799" s="24" t="n">
        <x:v>0.08</x:v>
      </x:c>
      <x:c r="O3799" s="22" t="n">
        <x:f>L3799*M3799</x:f>
        <x:v>7920</x:v>
      </x:c>
      <x:c r="P3799" s="22" t="n">
        <x:f>O3799*(1-N3799)</x:f>
        <x:v>7286.400000000001</x:v>
      </x:c>
      <x:c r="Q3799" s="22" t="n">
        <x:v>300</x:v>
      </x:c>
      <x:c r="R3799" s="22" t="n">
        <x:f>Q3799*M3799</x:f>
        <x:v>6600</x:v>
      </x:c>
      <x:c r="S3799" s="22" t="n">
        <x:f>P3799-R3799</x:f>
        <x:v>686.4000000000005</x:v>
      </x:c>
      <x:c r="T3799" t="str">
        <x:v>Credit</x:v>
      </x:c>
      <x:c r="U3799" t="str">
        <x:v>Paid</x:v>
      </x:c>
      <x:c r="V3799" t="str">
        <x:v>Delivered</x:v>
      </x:c>
      <x:c r="W3799" t="n">
        <x:v>0</x:v>
      </x:c>
      <x:c r="X3799" t="str"/>
      <x:c r="Y3799" t="str">
        <x:v>Existing Customer</x:v>
      </x:c>
    </x:row>
    <x:row r="3800">
      <x:c r="A3800" t="str">
        <x:v>O003799</x:v>
      </x:c>
      <x:c r="B3800" s="20" t="n">
        <x:v>45979</x:v>
      </x:c>
      <x:c r="C3800" t="str">
        <x:v>C0103</x:v>
      </x:c>
      <x:c r="D3800" t="str">
        <x:v>Fresh Kitchen 103</x:v>
      </x:c>
      <x:c r="E3800" t="str">
        <x:v>Supermarket</x:v>
      </x:c>
      <x:c r="F3800" t="str">
        <x:v>Davanagere</x:v>
      </x:c>
      <x:c r="G3800" t="str">
        <x:v>Megha</x:v>
      </x:c>
      <x:c r="H3800" t="str">
        <x:v>P016</x:v>
      </x:c>
      <x:c r="I3800" t="str">
        <x:v>Curd 1kg</x:v>
      </x:c>
      <x:c r="J3800" t="str">
        <x:v>Dairy</x:v>
      </x:c>
      <x:c r="K3800" t="str">
        <x:v>Nandini</x:v>
      </x:c>
      <x:c r="L3800" s="22" t="n">
        <x:v>72</x:v>
      </x:c>
      <x:c r="M3800" t="n">
        <x:v>28</x:v>
      </x:c>
      <x:c r="N3800" s="24" t="n">
        <x:v>0</x:v>
      </x:c>
      <x:c r="O3800" s="22" t="n">
        <x:f>L3800*M3800</x:f>
        <x:v>2016</x:v>
      </x:c>
      <x:c r="P3800" s="22" t="n">
        <x:f>O3800*(1-N3800)</x:f>
        <x:v>2016</x:v>
      </x:c>
      <x:c r="Q3800" s="22" t="n">
        <x:v>64</x:v>
      </x:c>
      <x:c r="R3800" s="22" t="n">
        <x:f>Q3800*M3800</x:f>
        <x:v>1792</x:v>
      </x:c>
      <x:c r="S3800" s="22" t="n">
        <x:f>P3800-R3800</x:f>
        <x:v>224</x:v>
      </x:c>
      <x:c r="T3800" t="str">
        <x:v>Credit</x:v>
      </x:c>
      <x:c r="U3800" t="str">
        <x:v>Paid</x:v>
      </x:c>
      <x:c r="V3800" t="str">
        <x:v>Delivered</x:v>
      </x:c>
      <x:c r="W3800" t="n">
        <x:v>0</x:v>
      </x:c>
      <x:c r="X3800" t="str"/>
      <x:c r="Y3800" t="str">
        <x:v>Outbound Call</x:v>
      </x:c>
    </x:row>
    <x:row r="3801">
      <x:c r="A3801" t="str">
        <x:v>O003800</x:v>
      </x:c>
      <x:c r="B3801" s="20" t="n">
        <x:v>46259</x:v>
      </x:c>
      <x:c r="C3801" t="str">
        <x:v>C0124</x:v>
      </x:c>
      <x:c r="D3801" t="str">
        <x:v>Green Hotel 124</x:v>
      </x:c>
      <x:c r="E3801" t="str">
        <x:v>Cafe</x:v>
      </x:c>
      <x:c r="F3801" t="str">
        <x:v>Bengaluru</x:v>
      </x:c>
      <x:c r="G3801" t="str">
        <x:v>Imran</x:v>
      </x:c>
      <x:c r="H3801" t="str">
        <x:v>P049</x:v>
      </x:c>
      <x:c r="I3801" t="str">
        <x:v>Apple 10kg</x:v>
      </x:c>
      <x:c r="J3801" t="str">
        <x:v>Fresh Produce</x:v>
      </x:c>
      <x:c r="K3801" t="str">
        <x:v>Local Market</x:v>
      </x:c>
      <x:c r="L3801" s="22" t="n">
        <x:v>1450</x:v>
      </x:c>
      <x:c r="M3801" t="n">
        <x:v>12</x:v>
      </x:c>
      <x:c r="N3801" s="24" t="n">
        <x:v>0.1</x:v>
      </x:c>
      <x:c r="O3801" s="22" t="n">
        <x:f>L3801*M3801</x:f>
        <x:v>17400</x:v>
      </x:c>
      <x:c r="P3801" s="22" t="n">
        <x:f>O3801*(1-N3801)</x:f>
        <x:v>15660</x:v>
      </x:c>
      <x:c r="Q3801" s="22" t="n">
        <x:v>1280</x:v>
      </x:c>
      <x:c r="R3801" s="22" t="n">
        <x:f>Q3801*M3801</x:f>
        <x:v>15360</x:v>
      </x:c>
      <x:c r="S3801" s="22" t="n">
        <x:f>P3801-R3801</x:f>
        <x:v>300</x:v>
      </x:c>
      <x:c r="T3801" t="str">
        <x:v>UPI</x:v>
      </x:c>
      <x:c r="U3801" t="str">
        <x:v>Pending</x:v>
      </x:c>
      <x:c r="V3801" t="str">
        <x:v>Delivered</x:v>
      </x:c>
      <x:c r="W3801" t="n">
        <x:v>0</x:v>
      </x:c>
      <x:c r="X3801" t="str"/>
      <x:c r="Y3801" t="str">
        <x:v>Existing Customer</x:v>
      </x:c>
    </x:row>
    <x:row r="3802">
      <x:c r="A3802" t="str">
        <x:v>O003801</x:v>
      </x:c>
      <x:c r="B3802" s="20" t="n">
        <x:v>45726</x:v>
      </x:c>
      <x:c r="C3802" t="str">
        <x:v>C0086</x:v>
      </x:c>
      <x:c r="D3802" t="str">
        <x:v>Foodie Canteen 86</x:v>
      </x:c>
      <x:c r="E3802" t="str">
        <x:v>Kirana</x:v>
      </x:c>
      <x:c r="F3802" t="str">
        <x:v>Hubballi</x:v>
      </x:c>
      <x:c r="G3802" t="str">
        <x:v>Sneha</x:v>
      </x:c>
      <x:c r="H3802" t="str">
        <x:v>P014</x:v>
      </x:c>
      <x:c r="I3802" t="str">
        <x:v>Rava 5kg</x:v>
      </x:c>
      <x:c r="J3802" t="str">
        <x:v>Flour</x:v>
      </x:c>
      <x:c r="K3802" t="str">
        <x:v>Local Select</x:v>
      </x:c>
      <x:c r="L3802" s="22" t="n">
        <x:v>245</x:v>
      </x:c>
      <x:c r="M3802" t="n">
        <x:v>12</x:v>
      </x:c>
      <x:c r="N3802" s="24" t="n">
        <x:v>0.03</x:v>
      </x:c>
      <x:c r="O3802" s="22" t="n">
        <x:f>L3802*M3802</x:f>
        <x:v>2940</x:v>
      </x:c>
      <x:c r="P3802" s="22" t="n">
        <x:f>O3802*(1-N3802)</x:f>
        <x:v>2851.7999999999997</x:v>
      </x:c>
      <x:c r="Q3802" s="22" t="n">
        <x:v>215</x:v>
      </x:c>
      <x:c r="R3802" s="22" t="n">
        <x:f>Q3802*M3802</x:f>
        <x:v>2580</x:v>
      </x:c>
      <x:c r="S3802" s="22" t="n">
        <x:f>P3802-R3802</x:f>
        <x:v>271.7999999999997</x:v>
      </x:c>
      <x:c r="T3802" t="str">
        <x:v>Bank Transfer</x:v>
      </x:c>
      <x:c r="U3802" t="str">
        <x:v>Paid</x:v>
      </x:c>
      <x:c r="V3802" t="str">
        <x:v>Delivered</x:v>
      </x:c>
      <x:c r="W3802" t="n">
        <x:v>0</x:v>
      </x:c>
      <x:c r="X3802" t="str"/>
      <x:c r="Y3802" t="str">
        <x:v>Field Visit</x:v>
      </x:c>
    </x:row>
    <x:row r="3803">
      <x:c r="A3803" t="str">
        <x:v>O003802</x:v>
      </x:c>
      <x:c r="B3803" s="20" t="n">
        <x:v>45725</x:v>
      </x:c>
      <x:c r="C3803" t="str">
        <x:v>C0006</x:v>
      </x:c>
      <x:c r="D3803" t="str">
        <x:v>New Restaurant 6</x:v>
      </x:c>
      <x:c r="E3803" t="str">
        <x:v>Kirana</x:v>
      </x:c>
      <x:c r="F3803" t="str">
        <x:v>Hubballi</x:v>
      </x:c>
      <x:c r="G3803" t="str">
        <x:v>Vikram</x:v>
      </x:c>
      <x:c r="H3803" t="str">
        <x:v>P043</x:v>
      </x:c>
      <x:c r="I3803" t="str">
        <x:v>Chicken Breast 1kg</x:v>
      </x:c>
      <x:c r="J3803" t="str">
        <x:v>Protein</x:v>
      </x:c>
      <x:c r="K3803" t="str">
        <x:v>FreshToHome</x:v>
      </x:c>
      <x:c r="L3803" s="22" t="n">
        <x:v>260</x:v>
      </x:c>
      <x:c r="M3803" t="n">
        <x:v>40</x:v>
      </x:c>
      <x:c r="N3803" s="24" t="n">
        <x:v>0.1</x:v>
      </x:c>
      <x:c r="O3803" s="22" t="n">
        <x:f>L3803*M3803</x:f>
        <x:v>10400</x:v>
      </x:c>
      <x:c r="P3803" s="22" t="n">
        <x:f>O3803*(1-N3803)</x:f>
        <x:v>9360</x:v>
      </x:c>
      <x:c r="Q3803" s="22" t="n">
        <x:v>235</x:v>
      </x:c>
      <x:c r="R3803" s="22" t="n">
        <x:f>Q3803*M3803</x:f>
        <x:v>9400</x:v>
      </x:c>
      <x:c r="S3803" s="22" t="n">
        <x:f>P3803-R3803</x:f>
        <x:v>-40</x:v>
      </x:c>
      <x:c r="T3803" t="str">
        <x:v>Credit</x:v>
      </x:c>
      <x:c r="U3803" t="str">
        <x:v>Paid</x:v>
      </x:c>
      <x:c r="V3803" t="str">
        <x:v>Delivered</x:v>
      </x:c>
      <x:c r="W3803" t="n">
        <x:v>0</x:v>
      </x:c>
      <x:c r="X3803" t="str"/>
      <x:c r="Y3803" t="str">
        <x:v>Field Visit</x:v>
      </x:c>
    </x:row>
    <x:row r="3804">
      <x:c r="A3804" t="str">
        <x:v>O003803</x:v>
      </x:c>
      <x:c r="B3804" s="20" t="n">
        <x:v>45941</x:v>
      </x:c>
      <x:c r="C3804" t="str">
        <x:v>C0023</x:v>
      </x:c>
      <x:c r="D3804" t="str">
        <x:v>Mysore Canteen 23</x:v>
      </x:c>
      <x:c r="E3804" t="str">
        <x:v>Cafe</x:v>
      </x:c>
      <x:c r="F3804" t="str">
        <x:v>Hubballi</x:v>
      </x:c>
      <x:c r="G3804" t="str">
        <x:v>Sneha</x:v>
      </x:c>
      <x:c r="H3804" t="str">
        <x:v>P026</x:v>
      </x:c>
      <x:c r="I3804" t="str">
        <x:v>Banana Chips 80g</x:v>
      </x:c>
      <x:c r="J3804" t="str">
        <x:v>Snacks</x:v>
      </x:c>
      <x:c r="K3804" t="str">
        <x:v>SSS</x:v>
      </x:c>
      <x:c r="L3804" s="22" t="n">
        <x:v>54</x:v>
      </x:c>
      <x:c r="M3804" t="n">
        <x:v>25</x:v>
      </x:c>
      <x:c r="N3804" s="24" t="n">
        <x:v>0</x:v>
      </x:c>
      <x:c r="O3804" s="22" t="n">
        <x:f>L3804*M3804</x:f>
        <x:v>1350</x:v>
      </x:c>
      <x:c r="P3804" s="22" t="n">
        <x:f>O3804*(1-N3804)</x:f>
        <x:v>1350</x:v>
      </x:c>
      <x:c r="Q3804" s="22" t="n">
        <x:v>39</x:v>
      </x:c>
      <x:c r="R3804" s="22" t="n">
        <x:f>Q3804*M3804</x:f>
        <x:v>975</x:v>
      </x:c>
      <x:c r="S3804" s="22" t="n">
        <x:f>P3804-R3804</x:f>
        <x:v>375</x:v>
      </x:c>
      <x:c r="T3804" t="str">
        <x:v>Bank Transfer</x:v>
      </x:c>
      <x:c r="U3804" t="str">
        <x:v>Overdue</x:v>
      </x:c>
      <x:c r="V3804" t="str">
        <x:v>Delivered</x:v>
      </x:c>
      <x:c r="W3804" t="n">
        <x:v>0</x:v>
      </x:c>
      <x:c r="X3804" t="str"/>
      <x:c r="Y3804" t="str">
        <x:v>Referral</x:v>
      </x:c>
    </x:row>
    <x:row r="3805">
      <x:c r="A3805" t="str">
        <x:v>O003804</x:v>
      </x:c>
      <x:c r="B3805" s="20" t="n">
        <x:v>45925</x:v>
      </x:c>
      <x:c r="C3805" t="str">
        <x:v>C0037</x:v>
      </x:c>
      <x:c r="D3805" t="str">
        <x:v>Royal Cafe 37</x:v>
      </x:c>
      <x:c r="E3805" t="str">
        <x:v>Hotel</x:v>
      </x:c>
      <x:c r="F3805" t="str">
        <x:v>Mysuru</x:v>
      </x:c>
      <x:c r="G3805" t="str">
        <x:v>Sneha</x:v>
      </x:c>
      <x:c r="H3805" t="str">
        <x:v>P009</x:v>
      </x:c>
      <x:c r="I3805" t="str">
        <x:v>Groundnut Oil 5L</x:v>
      </x:c>
      <x:c r="J3805" t="str">
        <x:v>Edible Oil</x:v>
      </x:c>
      <x:c r="K3805" t="str">
        <x:v>Dhara</x:v>
      </x:c>
      <x:c r="L3805" s="22" t="n">
        <x:v>890</x:v>
      </x:c>
      <x:c r="M3805" t="n">
        <x:v>29</x:v>
      </x:c>
      <x:c r="N3805" s="24" t="n">
        <x:v>0</x:v>
      </x:c>
      <x:c r="O3805" s="22" t="n">
        <x:f>L3805*M3805</x:f>
        <x:v>25810</x:v>
      </x:c>
      <x:c r="P3805" s="22" t="n">
        <x:f>O3805*(1-N3805)</x:f>
        <x:v>25810</x:v>
      </x:c>
      <x:c r="Q3805" s="22" t="n">
        <x:v>810</x:v>
      </x:c>
      <x:c r="R3805" s="22" t="n">
        <x:f>Q3805*M3805</x:f>
        <x:v>23490</x:v>
      </x:c>
      <x:c r="S3805" s="22" t="n">
        <x:f>P3805-R3805</x:f>
        <x:v>2320</x:v>
      </x:c>
      <x:c r="T3805" t="str">
        <x:v>UPI</x:v>
      </x:c>
      <x:c r="U3805" t="str">
        <x:v>Overdue</x:v>
      </x:c>
      <x:c r="V3805" t="str">
        <x:v>Delivered</x:v>
      </x:c>
      <x:c r="W3805" t="n">
        <x:v>0</x:v>
      </x:c>
      <x:c r="X3805" t="str"/>
      <x:c r="Y3805" t="str">
        <x:v>Existing Customer</x:v>
      </x:c>
    </x:row>
    <x:row r="3806">
      <x:c r="A3806" t="str">
        <x:v>O003805</x:v>
      </x:c>
      <x:c r="B3806" s="20" t="n">
        <x:v>46111</x:v>
      </x:c>
      <x:c r="C3806" t="str">
        <x:v>C0043</x:v>
      </x:c>
      <x:c r="D3806" t="str">
        <x:v>Namma Kitchen 43</x:v>
      </x:c>
      <x:c r="E3806" t="str">
        <x:v>Supermarket</x:v>
      </x:c>
      <x:c r="F3806" t="str">
        <x:v>Davanagere</x:v>
      </x:c>
      <x:c r="G3806" t="str">
        <x:v>Kavya</x:v>
      </x:c>
      <x:c r="H3806" t="str">
        <x:v>P038</x:v>
      </x:c>
      <x:c r="I3806" t="str">
        <x:v>French Fries 2.5kg</x:v>
      </x:c>
      <x:c r="J3806" t="str">
        <x:v>Frozen</x:v>
      </x:c>
      <x:c r="K3806" t="str">
        <x:v>McCain</x:v>
      </x:c>
      <x:c r="L3806" s="22" t="n">
        <x:v>360</x:v>
      </x:c>
      <x:c r="M3806" t="n">
        <x:v>5</x:v>
      </x:c>
      <x:c r="N3806" s="24" t="n">
        <x:v>0.05</x:v>
      </x:c>
      <x:c r="O3806" s="22" t="n">
        <x:f>L3806*M3806</x:f>
        <x:v>1800</x:v>
      </x:c>
      <x:c r="P3806" s="22" t="n">
        <x:f>O3806*(1-N3806)</x:f>
        <x:v>1710</x:v>
      </x:c>
      <x:c r="Q3806" s="22" t="n">
        <x:v>315</x:v>
      </x:c>
      <x:c r="R3806" s="22" t="n">
        <x:f>Q3806*M3806</x:f>
        <x:v>1575</x:v>
      </x:c>
      <x:c r="S3806" s="22" t="n">
        <x:f>P3806-R3806</x:f>
        <x:v>135</x:v>
      </x:c>
      <x:c r="T3806" t="str">
        <x:v>Cash</x:v>
      </x:c>
      <x:c r="U3806" t="str">
        <x:v>Paid</x:v>
      </x:c>
      <x:c r="V3806" t="str">
        <x:v>Delayed</x:v>
      </x:c>
      <x:c r="W3806" t="n">
        <x:v>0</x:v>
      </x:c>
      <x:c r="X3806" t="str"/>
      <x:c r="Y3806" t="str">
        <x:v>Existing Customer</x:v>
      </x:c>
    </x:row>
    <x:row r="3807">
      <x:c r="A3807" t="str">
        <x:v>O003806</x:v>
      </x:c>
      <x:c r="B3807" s="20" t="n">
        <x:v>45910</x:v>
      </x:c>
      <x:c r="C3807" t="str">
        <x:v>C0169</x:v>
      </x:c>
      <x:c r="D3807" t="str">
        <x:v>Grand Mart 169</x:v>
      </x:c>
      <x:c r="E3807" t="str">
        <x:v>Canteen</x:v>
      </x:c>
      <x:c r="F3807" t="str">
        <x:v>Mangaluru</x:v>
      </x:c>
      <x:c r="G3807" t="str">
        <x:v>Vikram</x:v>
      </x:c>
      <x:c r="H3807" t="str">
        <x:v>P017</x:v>
      </x:c>
      <x:c r="I3807" t="str">
        <x:v>Butter 500g</x:v>
      </x:c>
      <x:c r="J3807" t="str">
        <x:v>Dairy</x:v>
      </x:c>
      <x:c r="K3807" t="str">
        <x:v>Amul</x:v>
      </x:c>
      <x:c r="L3807" s="22" t="n">
        <x:v>285</x:v>
      </x:c>
      <x:c r="M3807" t="n">
        <x:v>29</x:v>
      </x:c>
      <x:c r="N3807" s="24" t="n">
        <x:v>0.05</x:v>
      </x:c>
      <x:c r="O3807" s="22" t="n">
        <x:f>L3807*M3807</x:f>
        <x:v>8265</x:v>
      </x:c>
      <x:c r="P3807" s="22" t="n">
        <x:f>O3807*(1-N3807)</x:f>
        <x:v>7851.75</x:v>
      </x:c>
      <x:c r="Q3807" s="22" t="n">
        <x:v>258</x:v>
      </x:c>
      <x:c r="R3807" s="22" t="n">
        <x:f>Q3807*M3807</x:f>
        <x:v>7482</x:v>
      </x:c>
      <x:c r="S3807" s="22" t="n">
        <x:f>P3807-R3807</x:f>
        <x:v>369.75</x:v>
      </x:c>
      <x:c r="T3807" t="str">
        <x:v>Cash</x:v>
      </x:c>
      <x:c r="U3807" t="str">
        <x:v>Paid</x:v>
      </x:c>
      <x:c r="V3807" t="str">
        <x:v>Cancelled</x:v>
      </x:c>
      <x:c r="W3807" t="n">
        <x:v>29</x:v>
      </x:c>
      <x:c r="X3807" t="str">
        <x:v>Cancelled Order</x:v>
      </x:c>
      <x:c r="Y3807" t="str">
        <x:v>Outbound Call</x:v>
      </x:c>
    </x:row>
    <x:row r="3808">
      <x:c r="A3808" t="str">
        <x:v>O003807</x:v>
      </x:c>
      <x:c r="B3808" s="20" t="n">
        <x:v>46185</x:v>
      </x:c>
      <x:c r="C3808" t="str">
        <x:v>C0229</x:v>
      </x:c>
      <x:c r="D3808" t="str">
        <x:v>Namma Canteen 229</x:v>
      </x:c>
      <x:c r="E3808" t="str">
        <x:v>Restaurant</x:v>
      </x:c>
      <x:c r="F3808" t="str">
        <x:v>Bengaluru</x:v>
      </x:c>
      <x:c r="G3808" t="str">
        <x:v>Arjun</x:v>
      </x:c>
      <x:c r="H3808" t="str">
        <x:v>P026</x:v>
      </x:c>
      <x:c r="I3808" t="str">
        <x:v>Banana Chips 80g</x:v>
      </x:c>
      <x:c r="J3808" t="str">
        <x:v>Snacks</x:v>
      </x:c>
      <x:c r="K3808" t="str">
        <x:v>SSS</x:v>
      </x:c>
      <x:c r="L3808" s="22" t="n">
        <x:v>54</x:v>
      </x:c>
      <x:c r="M3808" t="n">
        <x:v>8</x:v>
      </x:c>
      <x:c r="N3808" s="24" t="n">
        <x:v>0.03</x:v>
      </x:c>
      <x:c r="O3808" s="22" t="n">
        <x:f>L3808*M3808</x:f>
        <x:v>432</x:v>
      </x:c>
      <x:c r="P3808" s="22" t="n">
        <x:f>O3808*(1-N3808)</x:f>
        <x:v>419.03999999999996</x:v>
      </x:c>
      <x:c r="Q3808" s="22" t="n">
        <x:v>39</x:v>
      </x:c>
      <x:c r="R3808" s="22" t="n">
        <x:f>Q3808*M3808</x:f>
        <x:v>312</x:v>
      </x:c>
      <x:c r="S3808" s="22" t="n">
        <x:f>P3808-R3808</x:f>
        <x:v>107.03999999999996</x:v>
      </x:c>
      <x:c r="T3808" t="str">
        <x:v>Bank Transfer</x:v>
      </x:c>
      <x:c r="U3808" t="str">
        <x:v>Paid</x:v>
      </x:c>
      <x:c r="V3808" t="str">
        <x:v>Delivered</x:v>
      </x:c>
      <x:c r="W3808" t="n">
        <x:v>0</x:v>
      </x:c>
      <x:c r="X3808" t="str"/>
      <x:c r="Y3808" t="str">
        <x:v>Outbound Call</x:v>
      </x:c>
    </x:row>
    <x:row r="3809">
      <x:c r="A3809" t="str">
        <x:v>O003808</x:v>
      </x:c>
      <x:c r="B3809" s="20" t="n">
        <x:v>46280</x:v>
      </x:c>
      <x:c r="C3809" t="str">
        <x:v>C0139</x:v>
      </x:c>
      <x:c r="D3809" t="str">
        <x:v>Classic Hotel 139</x:v>
      </x:c>
      <x:c r="E3809" t="str">
        <x:v>Cafe</x:v>
      </x:c>
      <x:c r="F3809" t="str">
        <x:v>Mysuru</x:v>
      </x:c>
      <x:c r="G3809" t="str">
        <x:v>Vikram</x:v>
      </x:c>
      <x:c r="H3809" t="str">
        <x:v>P038</x:v>
      </x:c>
      <x:c r="I3809" t="str">
        <x:v>French Fries 2.5kg</x:v>
      </x:c>
      <x:c r="J3809" t="str">
        <x:v>Frozen</x:v>
      </x:c>
      <x:c r="K3809" t="str">
        <x:v>McCain</x:v>
      </x:c>
      <x:c r="L3809" s="22" t="n">
        <x:v>360</x:v>
      </x:c>
      <x:c r="M3809" t="n">
        <x:v>1</x:v>
      </x:c>
      <x:c r="N3809" s="24" t="n">
        <x:v>0.02</x:v>
      </x:c>
      <x:c r="O3809" s="22" t="n">
        <x:f>L3809*M3809</x:f>
        <x:v>360</x:v>
      </x:c>
      <x:c r="P3809" s="22" t="n">
        <x:f>O3809*(1-N3809)</x:f>
        <x:v>352.8</x:v>
      </x:c>
      <x:c r="Q3809" s="22" t="n">
        <x:v>315</x:v>
      </x:c>
      <x:c r="R3809" s="22" t="n">
        <x:f>Q3809*M3809</x:f>
        <x:v>315</x:v>
      </x:c>
      <x:c r="S3809" s="22" t="n">
        <x:f>P3809-R3809</x:f>
        <x:v>37.80000000000001</x:v>
      </x:c>
      <x:c r="T3809" t="str">
        <x:v>UPI</x:v>
      </x:c>
      <x:c r="U3809" t="str">
        <x:v>Paid</x:v>
      </x:c>
      <x:c r="V3809" t="str">
        <x:v>Delivered</x:v>
      </x:c>
      <x:c r="W3809" t="n">
        <x:v>1</x:v>
      </x:c>
      <x:c r="X3809" t="str">
        <x:v>Quality Issue</x:v>
      </x:c>
      <x:c r="Y3809" t="str">
        <x:v>Outbound Call</x:v>
      </x:c>
    </x:row>
    <x:row r="3810">
      <x:c r="A3810" t="str">
        <x:v>O003809</x:v>
      </x:c>
      <x:c r="B3810" s="20" t="n">
        <x:v>45773</x:v>
      </x:c>
      <x:c r="C3810" t="str">
        <x:v>C0009</x:v>
      </x:c>
      <x:c r="D3810" t="str">
        <x:v>Darshini Hotel 9</x:v>
      </x:c>
      <x:c r="E3810" t="str">
        <x:v>Cafe</x:v>
      </x:c>
      <x:c r="F3810" t="str">
        <x:v>Hubballi</x:v>
      </x:c>
      <x:c r="G3810" t="str">
        <x:v>Imran</x:v>
      </x:c>
      <x:c r="H3810" t="str">
        <x:v>P036</x:v>
      </x:c>
      <x:c r="I3810" t="str">
        <x:v>Garam Masala 500g</x:v>
      </x:c>
      <x:c r="J3810" t="str">
        <x:v>Spices</x:v>
      </x:c>
      <x:c r="K3810" t="str">
        <x:v>MDH</x:v>
      </x:c>
      <x:c r="L3810" s="22" t="n">
        <x:v>265</x:v>
      </x:c>
      <x:c r="M3810" t="n">
        <x:v>4</x:v>
      </x:c>
      <x:c r="N3810" s="24" t="n">
        <x:v>0.02</x:v>
      </x:c>
      <x:c r="O3810" s="22" t="n">
        <x:f>L3810*M3810</x:f>
        <x:v>1060</x:v>
      </x:c>
      <x:c r="P3810" s="22" t="n">
        <x:f>O3810*(1-N3810)</x:f>
        <x:v>1038.8</x:v>
      </x:c>
      <x:c r="Q3810" s="22" t="n">
        <x:v>230</x:v>
      </x:c>
      <x:c r="R3810" s="22" t="n">
        <x:f>Q3810*M3810</x:f>
        <x:v>920</x:v>
      </x:c>
      <x:c r="S3810" s="22" t="n">
        <x:f>P3810-R3810</x:f>
        <x:v>118.79999999999995</x:v>
      </x:c>
      <x:c r="T3810" t="str">
        <x:v>Bank Transfer</x:v>
      </x:c>
      <x:c r="U3810" t="str">
        <x:v>Paid</x:v>
      </x:c>
      <x:c r="V3810" t="str">
        <x:v>Cancelled</x:v>
      </x:c>
      <x:c r="W3810" t="n">
        <x:v>4</x:v>
      </x:c>
      <x:c r="X3810" t="str">
        <x:v>Cancelled Order</x:v>
      </x:c>
      <x:c r="Y3810" t="str">
        <x:v>Existing Customer</x:v>
      </x:c>
    </x:row>
    <x:row r="3811">
      <x:c r="A3811" t="str">
        <x:v>O003810</x:v>
      </x:c>
      <x:c r="B3811" s="20" t="n">
        <x:v>46263</x:v>
      </x:c>
      <x:c r="C3811" t="str">
        <x:v>C0169</x:v>
      </x:c>
      <x:c r="D3811" t="str">
        <x:v>Grand Mart 169</x:v>
      </x:c>
      <x:c r="E3811" t="str">
        <x:v>Canteen</x:v>
      </x:c>
      <x:c r="F3811" t="str">
        <x:v>Mangaluru</x:v>
      </x:c>
      <x:c r="G3811" t="str">
        <x:v>Vikram</x:v>
      </x:c>
      <x:c r="H3811" t="str">
        <x:v>P028</x:v>
      </x:c>
      <x:c r="I3811" t="str">
        <x:v>Cookies 200g</x:v>
      </x:c>
      <x:c r="J3811" t="str">
        <x:v>Snacks</x:v>
      </x:c>
      <x:c r="K3811" t="str">
        <x:v>Britannia</x:v>
      </x:c>
      <x:c r="L3811" s="22" t="n">
        <x:v>55</x:v>
      </x:c>
      <x:c r="M3811" t="n">
        <x:v>38</x:v>
      </x:c>
      <x:c r="N3811" s="24" t="n">
        <x:v>0</x:v>
      </x:c>
      <x:c r="O3811" s="22" t="n">
        <x:f>L3811*M3811</x:f>
        <x:v>2090</x:v>
      </x:c>
      <x:c r="P3811" s="22" t="n">
        <x:f>O3811*(1-N3811)</x:f>
        <x:v>2090</x:v>
      </x:c>
      <x:c r="Q3811" s="22" t="n">
        <x:v>42</x:v>
      </x:c>
      <x:c r="R3811" s="22" t="n">
        <x:f>Q3811*M3811</x:f>
        <x:v>1596</x:v>
      </x:c>
      <x:c r="S3811" s="22" t="n">
        <x:f>P3811-R3811</x:f>
        <x:v>494</x:v>
      </x:c>
      <x:c r="T3811" t="str">
        <x:v>Bank Transfer</x:v>
      </x:c>
      <x:c r="U3811" t="str">
        <x:v>Overdue</x:v>
      </x:c>
      <x:c r="V3811" t="str">
        <x:v>Delivered</x:v>
      </x:c>
      <x:c r="W3811" t="n">
        <x:v>0</x:v>
      </x:c>
      <x:c r="X3811" t="str"/>
      <x:c r="Y3811" t="str">
        <x:v>Outbound Call</x:v>
      </x:c>
    </x:row>
    <x:row r="3812">
      <x:c r="A3812" t="str">
        <x:v>O003811</x:v>
      </x:c>
      <x:c r="B3812" s="20" t="n">
        <x:v>45968</x:v>
      </x:c>
      <x:c r="C3812" t="str">
        <x:v>C0107</x:v>
      </x:c>
      <x:c r="D3812" t="str">
        <x:v>Mysore Cafe 107</x:v>
      </x:c>
      <x:c r="E3812" t="str">
        <x:v>Supermarket</x:v>
      </x:c>
      <x:c r="F3812" t="str">
        <x:v>Tumakuru</x:v>
      </x:c>
      <x:c r="G3812" t="str">
        <x:v>Megha</x:v>
      </x:c>
      <x:c r="H3812" t="str">
        <x:v>P037</x:v>
      </x:c>
      <x:c r="I3812" t="str">
        <x:v>Frozen Peas 1kg</x:v>
      </x:c>
      <x:c r="J3812" t="str">
        <x:v>Frozen</x:v>
      </x:c>
      <x:c r="K3812" t="str">
        <x:v>Safal</x:v>
      </x:c>
      <x:c r="L3812" s="22" t="n">
        <x:v>155</x:v>
      </x:c>
      <x:c r="M3812" t="n">
        <x:v>27</x:v>
      </x:c>
      <x:c r="N3812" s="24" t="n">
        <x:v>0</x:v>
      </x:c>
      <x:c r="O3812" s="22" t="n">
        <x:f>L3812*M3812</x:f>
        <x:v>4185</x:v>
      </x:c>
      <x:c r="P3812" s="22" t="n">
        <x:f>O3812*(1-N3812)</x:f>
        <x:v>4185</x:v>
      </x:c>
      <x:c r="Q3812" s="22" t="n">
        <x:v>138</x:v>
      </x:c>
      <x:c r="R3812" s="22" t="n">
        <x:f>Q3812*M3812</x:f>
        <x:v>3726</x:v>
      </x:c>
      <x:c r="S3812" s="22" t="n">
        <x:f>P3812-R3812</x:f>
        <x:v>459</x:v>
      </x:c>
      <x:c r="T3812" t="str">
        <x:v>Bank Transfer</x:v>
      </x:c>
      <x:c r="U3812" t="str">
        <x:v>Overdue</x:v>
      </x:c>
      <x:c r="V3812" t="str">
        <x:v>Delivered</x:v>
      </x:c>
      <x:c r="W3812" t="n">
        <x:v>0</x:v>
      </x:c>
      <x:c r="X3812" t="str"/>
      <x:c r="Y3812" t="str">
        <x:v>Field Visit</x:v>
      </x:c>
    </x:row>
    <x:row r="3813">
      <x:c r="A3813" t="str">
        <x:v>O003812</x:v>
      </x:c>
      <x:c r="B3813" s="20" t="n">
        <x:v>46090</x:v>
      </x:c>
      <x:c r="C3813" t="str">
        <x:v>C0247</x:v>
      </x:c>
      <x:c r="D3813" t="str">
        <x:v>Fresh Canteen 247</x:v>
      </x:c>
      <x:c r="E3813" t="str">
        <x:v>Restaurant</x:v>
      </x:c>
      <x:c r="F3813" t="str">
        <x:v>Hubballi</x:v>
      </x:c>
      <x:c r="G3813" t="str">
        <x:v>Kavya</x:v>
      </x:c>
      <x:c r="H3813" t="str">
        <x:v>P029</x:v>
      </x:c>
      <x:c r="I3813" t="str">
        <x:v>Tomato Ketchup 1kg</x:v>
      </x:c>
      <x:c r="J3813" t="str">
        <x:v>Condiments</x:v>
      </x:c>
      <x:c r="K3813" t="str">
        <x:v>Kissan</x:v>
      </x:c>
      <x:c r="L3813" s="22" t="n">
        <x:v>145</x:v>
      </x:c>
      <x:c r="M3813" t="n">
        <x:v>17</x:v>
      </x:c>
      <x:c r="N3813" s="24" t="n">
        <x:v>0</x:v>
      </x:c>
      <x:c r="O3813" s="22" t="n">
        <x:f>L3813*M3813</x:f>
        <x:v>2465</x:v>
      </x:c>
      <x:c r="P3813" s="22" t="n">
        <x:f>O3813*(1-N3813)</x:f>
        <x:v>2465</x:v>
      </x:c>
      <x:c r="Q3813" s="22" t="n">
        <x:v>126</x:v>
      </x:c>
      <x:c r="R3813" s="22" t="n">
        <x:f>Q3813*M3813</x:f>
        <x:v>2142</x:v>
      </x:c>
      <x:c r="S3813" s="22" t="n">
        <x:f>P3813-R3813</x:f>
        <x:v>323</x:v>
      </x:c>
      <x:c r="T3813" t="str">
        <x:v>UPI</x:v>
      </x:c>
      <x:c r="U3813" t="str">
        <x:v>Paid</x:v>
      </x:c>
      <x:c r="V3813" t="str">
        <x:v>Cancelled</x:v>
      </x:c>
      <x:c r="W3813" t="n">
        <x:v>17</x:v>
      </x:c>
      <x:c r="X3813" t="str">
        <x:v>Cancelled Order</x:v>
      </x:c>
      <x:c r="Y3813" t="str">
        <x:v>Field Visit</x:v>
      </x:c>
    </x:row>
    <x:row r="3814">
      <x:c r="A3814" t="str">
        <x:v>O003813</x:v>
      </x:c>
      <x:c r="B3814" s="20" t="n">
        <x:v>46064</x:v>
      </x:c>
      <x:c r="C3814" t="str">
        <x:v>C0222</x:v>
      </x:c>
      <x:c r="D3814" t="str">
        <x:v>Sri Cafe 222</x:v>
      </x:c>
      <x:c r="E3814" t="str">
        <x:v>Kirana</x:v>
      </x:c>
      <x:c r="F3814" t="str">
        <x:v>Mangaluru</x:v>
      </x:c>
      <x:c r="G3814" t="str">
        <x:v>Arjun</x:v>
      </x:c>
      <x:c r="H3814" t="str">
        <x:v>P013</x:v>
      </x:c>
      <x:c r="I3814" t="str">
        <x:v>Atta 10kg</x:v>
      </x:c>
      <x:c r="J3814" t="str">
        <x:v>Flour</x:v>
      </x:c>
      <x:c r="K3814" t="str">
        <x:v>Aashirvaad</x:v>
      </x:c>
      <x:c r="L3814" s="22" t="n">
        <x:v>560</x:v>
      </x:c>
      <x:c r="M3814" t="n">
        <x:v>11</x:v>
      </x:c>
      <x:c r="N3814" s="24" t="n">
        <x:v>0</x:v>
      </x:c>
      <x:c r="O3814" s="22" t="n">
        <x:f>L3814*M3814</x:f>
        <x:v>6160</x:v>
      </x:c>
      <x:c r="P3814" s="22" t="n">
        <x:f>O3814*(1-N3814)</x:f>
        <x:v>6160</x:v>
      </x:c>
      <x:c r="Q3814" s="22" t="n">
        <x:v>495</x:v>
      </x:c>
      <x:c r="R3814" s="22" t="n">
        <x:f>Q3814*M3814</x:f>
        <x:v>5445</x:v>
      </x:c>
      <x:c r="S3814" s="22" t="n">
        <x:f>P3814-R3814</x:f>
        <x:v>715</x:v>
      </x:c>
      <x:c r="T3814" t="str">
        <x:v>Cash</x:v>
      </x:c>
      <x:c r="U3814" t="str">
        <x:v>Paid</x:v>
      </x:c>
      <x:c r="V3814" t="str">
        <x:v>Delayed</x:v>
      </x:c>
      <x:c r="W3814" t="n">
        <x:v>0</x:v>
      </x:c>
      <x:c r="X3814" t="str"/>
      <x:c r="Y3814" t="str">
        <x:v>Field Visit</x:v>
      </x:c>
    </x:row>
    <x:row r="3815">
      <x:c r="A3815" t="str">
        <x:v>O003814</x:v>
      </x:c>
      <x:c r="B3815" s="20" t="n">
        <x:v>45986</x:v>
      </x:c>
      <x:c r="C3815" t="str">
        <x:v>C0177</x:v>
      </x:c>
      <x:c r="D3815" t="str">
        <x:v>Classic Cafe 177</x:v>
      </x:c>
      <x:c r="E3815" t="str">
        <x:v>Supermarket</x:v>
      </x:c>
      <x:c r="F3815" t="str">
        <x:v>Bengaluru</x:v>
      </x:c>
      <x:c r="G3815" t="str">
        <x:v>Arjun</x:v>
      </x:c>
      <x:c r="H3815" t="str">
        <x:v>P047</x:v>
      </x:c>
      <x:c r="I3815" t="str">
        <x:v>Tomato 25kg</x:v>
      </x:c>
      <x:c r="J3815" t="str">
        <x:v>Fresh Produce</x:v>
      </x:c>
      <x:c r="K3815" t="str">
        <x:v>Local Market</x:v>
      </x:c>
      <x:c r="L3815" s="22" t="n">
        <x:v>950</x:v>
      </x:c>
      <x:c r="M3815" t="n">
        <x:v>39</x:v>
      </x:c>
      <x:c r="N3815" s="24" t="n">
        <x:v>0</x:v>
      </x:c>
      <x:c r="O3815" s="22" t="n">
        <x:f>L3815*M3815</x:f>
        <x:v>37050</x:v>
      </x:c>
      <x:c r="P3815" s="22" t="n">
        <x:f>O3815*(1-N3815)</x:f>
        <x:v>37050</x:v>
      </x:c>
      <x:c r="Q3815" s="22" t="n">
        <x:v>810</x:v>
      </x:c>
      <x:c r="R3815" s="22" t="n">
        <x:f>Q3815*M3815</x:f>
        <x:v>31590</x:v>
      </x:c>
      <x:c r="S3815" s="22" t="n">
        <x:f>P3815-R3815</x:f>
        <x:v>5460</x:v>
      </x:c>
      <x:c r="T3815" t="str">
        <x:v>Bank Transfer</x:v>
      </x:c>
      <x:c r="U3815" t="str">
        <x:v>Paid</x:v>
      </x:c>
      <x:c r="V3815" t="str">
        <x:v>Delayed</x:v>
      </x:c>
      <x:c r="W3815" t="n">
        <x:v>0</x:v>
      </x:c>
      <x:c r="X3815" t="str"/>
      <x:c r="Y3815" t="str"/>
    </x:row>
    <x:row r="3816">
      <x:c r="A3816" t="str">
        <x:v>O003815</x:v>
      </x:c>
      <x:c r="B3816" s="20" t="n">
        <x:v>45923</x:v>
      </x:c>
      <x:c r="C3816" t="str">
        <x:v>C0058</x:v>
      </x:c>
      <x:c r="D3816" t="str">
        <x:v>Spice Kitchen 58</x:v>
      </x:c>
      <x:c r="E3816" t="str">
        <x:v>Supermarket</x:v>
      </x:c>
      <x:c r="F3816" t="str">
        <x:v>Davanagere</x:v>
      </x:c>
      <x:c r="G3816" t="str">
        <x:v>Sneha</x:v>
      </x:c>
      <x:c r="H3816" t="str">
        <x:v>P006</x:v>
      </x:c>
      <x:c r="I3816" t="str">
        <x:v>Moong Dal 5kg</x:v>
      </x:c>
      <x:c r="J3816" t="str">
        <x:v>Pulses</x:v>
      </x:c>
      <x:c r="K3816" t="str">
        <x:v>Local Select</x:v>
      </x:c>
      <x:c r="L3816" s="22" t="n">
        <x:v>610</x:v>
      </x:c>
      <x:c r="M3816" t="n">
        <x:v>28</x:v>
      </x:c>
      <x:c r="N3816" s="24" t="n">
        <x:v>0.02</x:v>
      </x:c>
      <x:c r="O3816" s="22" t="n">
        <x:f>L3816*M3816</x:f>
        <x:v>17080</x:v>
      </x:c>
      <x:c r="P3816" s="22" t="n">
        <x:f>O3816*(1-N3816)</x:f>
        <x:v>16738.4</x:v>
      </x:c>
      <x:c r="Q3816" s="22" t="n">
        <x:v>540</x:v>
      </x:c>
      <x:c r="R3816" s="22" t="n">
        <x:f>Q3816*M3816</x:f>
        <x:v>15120</x:v>
      </x:c>
      <x:c r="S3816" s="22" t="n">
        <x:f>P3816-R3816</x:f>
        <x:v>1618.4000000000015</x:v>
      </x:c>
      <x:c r="T3816" t="str">
        <x:v>Cash</x:v>
      </x:c>
      <x:c r="U3816" t="str">
        <x:v>Paid</x:v>
      </x:c>
      <x:c r="V3816" t="str">
        <x:v>Delivered</x:v>
      </x:c>
      <x:c r="W3816" t="n">
        <x:v>0</x:v>
      </x:c>
      <x:c r="X3816" t="str"/>
      <x:c r="Y3816" t="str">
        <x:v>WhatsApp</x:v>
      </x:c>
    </x:row>
    <x:row r="3817">
      <x:c r="A3817" t="str">
        <x:v>O003816</x:v>
      </x:c>
      <x:c r="B3817" s="20" t="n">
        <x:v>45756</x:v>
      </x:c>
      <x:c r="C3817" t="str">
        <x:v>C0218</x:v>
      </x:c>
      <x:c r="D3817" t="str">
        <x:v>Green Stores 218</x:v>
      </x:c>
      <x:c r="E3817" t="str">
        <x:v>Hotel</x:v>
      </x:c>
      <x:c r="F3817" t="str">
        <x:v>Mysuru</x:v>
      </x:c>
      <x:c r="G3817" t="str">
        <x:v>Imran</x:v>
      </x:c>
      <x:c r="H3817" t="str">
        <x:v>P033</x:v>
      </x:c>
      <x:c r="I3817" t="str">
        <x:v>Turmeric Powder 1kg</x:v>
      </x:c>
      <x:c r="J3817" t="str">
        <x:v>Spices</x:v>
      </x:c>
      <x:c r="K3817" t="str">
        <x:v>Everest</x:v>
      </x:c>
      <x:c r="L3817" s="22" t="n">
        <x:v>310</x:v>
      </x:c>
      <x:c r="M3817" t="n">
        <x:v>14</x:v>
      </x:c>
      <x:c r="N3817" s="24" t="n">
        <x:v>0</x:v>
      </x:c>
      <x:c r="O3817" s="22" t="n">
        <x:f>L3817*M3817</x:f>
        <x:v>4340</x:v>
      </x:c>
      <x:c r="P3817" s="22" t="n">
        <x:f>O3817*(1-N3817)</x:f>
        <x:v>4340</x:v>
      </x:c>
      <x:c r="Q3817" s="22" t="n">
        <x:v>270</x:v>
      </x:c>
      <x:c r="R3817" s="22" t="n">
        <x:f>Q3817*M3817</x:f>
        <x:v>3780</x:v>
      </x:c>
      <x:c r="S3817" s="22" t="n">
        <x:f>P3817-R3817</x:f>
        <x:v>560</x:v>
      </x:c>
      <x:c r="T3817" t="str">
        <x:v>Cash</x:v>
      </x:c>
      <x:c r="U3817" t="str">
        <x:v>Pending</x:v>
      </x:c>
      <x:c r="V3817" t="str">
        <x:v>Delivered</x:v>
      </x:c>
      <x:c r="W3817" t="n">
        <x:v>0</x:v>
      </x:c>
      <x:c r="X3817" t="str"/>
      <x:c r="Y3817" t="str">
        <x:v>Existing Customer</x:v>
      </x:c>
    </x:row>
    <x:row r="3818">
      <x:c r="A3818" t="str">
        <x:v>O003817</x:v>
      </x:c>
      <x:c r="B3818" s="20" t="n">
        <x:v>45955</x:v>
      </x:c>
      <x:c r="C3818" t="str">
        <x:v>C0193</x:v>
      </x:c>
      <x:c r="D3818" t="str">
        <x:v>Udupi Cafe 193</x:v>
      </x:c>
      <x:c r="E3818" t="str">
        <x:v>Restaurant</x:v>
      </x:c>
      <x:c r="F3818" t="str">
        <x:v>Hubballi</x:v>
      </x:c>
      <x:c r="G3818" t="str">
        <x:v>Sneha</x:v>
      </x:c>
      <x:c r="H3818" t="str">
        <x:v>P026</x:v>
      </x:c>
      <x:c r="I3818" t="str">
        <x:v>Banana Chips 80g</x:v>
      </x:c>
      <x:c r="J3818" t="str">
        <x:v>Snacks</x:v>
      </x:c>
      <x:c r="K3818" t="str">
        <x:v>SSS</x:v>
      </x:c>
      <x:c r="L3818" s="22" t="n">
        <x:v>54</x:v>
      </x:c>
      <x:c r="M3818" t="n">
        <x:v>7</x:v>
      </x:c>
      <x:c r="N3818" s="24" t="n">
        <x:v>0.02</x:v>
      </x:c>
      <x:c r="O3818" s="22" t="n">
        <x:f>L3818*M3818</x:f>
        <x:v>378</x:v>
      </x:c>
      <x:c r="P3818" s="22" t="n">
        <x:f>O3818*(1-N3818)</x:f>
        <x:v>370.44</x:v>
      </x:c>
      <x:c r="Q3818" s="22" t="n">
        <x:v>39</x:v>
      </x:c>
      <x:c r="R3818" s="22" t="n">
        <x:f>Q3818*M3818</x:f>
        <x:v>273</x:v>
      </x:c>
      <x:c r="S3818" s="22" t="n">
        <x:f>P3818-R3818</x:f>
        <x:v>97.44</x:v>
      </x:c>
      <x:c r="T3818" t="str">
        <x:v>Cash</x:v>
      </x:c>
      <x:c r="U3818" t="str">
        <x:v>Paid</x:v>
      </x:c>
      <x:c r="V3818" t="str">
        <x:v>Delivered</x:v>
      </x:c>
      <x:c r="W3818" t="n">
        <x:v>0</x:v>
      </x:c>
      <x:c r="X3818" t="str"/>
      <x:c r="Y3818" t="str">
        <x:v>Existing Customer</x:v>
      </x:c>
    </x:row>
    <x:row r="3819">
      <x:c r="A3819" t="str">
        <x:v>O003818</x:v>
      </x:c>
      <x:c r="B3819" s="20" t="n">
        <x:v>45788</x:v>
      </x:c>
      <x:c r="C3819" t="str">
        <x:v>C0049</x:v>
      </x:c>
      <x:c r="D3819" t="str">
        <x:v>Namma Stores 49</x:v>
      </x:c>
      <x:c r="E3819" t="str">
        <x:v>Hotel</x:v>
      </x:c>
      <x:c r="F3819" t="str">
        <x:v>Mangaluru</x:v>
      </x:c>
      <x:c r="G3819" t="str">
        <x:v>Sneha</x:v>
      </x:c>
      <x:c r="H3819" t="str">
        <x:v>P009</x:v>
      </x:c>
      <x:c r="I3819" t="str">
        <x:v>Groundnut Oil 5L</x:v>
      </x:c>
      <x:c r="J3819" t="str">
        <x:v>Edible Oil</x:v>
      </x:c>
      <x:c r="K3819" t="str">
        <x:v>Dhara</x:v>
      </x:c>
      <x:c r="L3819" s="22" t="n">
        <x:v>890</x:v>
      </x:c>
      <x:c r="M3819" t="n">
        <x:v>15</x:v>
      </x:c>
      <x:c r="N3819" s="24" t="n">
        <x:v>0</x:v>
      </x:c>
      <x:c r="O3819" s="22" t="n">
        <x:f>L3819*M3819</x:f>
        <x:v>13350</x:v>
      </x:c>
      <x:c r="P3819" s="22" t="n">
        <x:f>O3819*(1-N3819)</x:f>
        <x:v>13350</x:v>
      </x:c>
      <x:c r="Q3819" s="22" t="n">
        <x:v>810</x:v>
      </x:c>
      <x:c r="R3819" s="22" t="n">
        <x:f>Q3819*M3819</x:f>
        <x:v>12150</x:v>
      </x:c>
      <x:c r="S3819" s="22" t="n">
        <x:f>P3819-R3819</x:f>
        <x:v>1200</x:v>
      </x:c>
      <x:c r="T3819" t="str">
        <x:v>Bank Transfer</x:v>
      </x:c>
      <x:c r="U3819" t="str">
        <x:v>Overdue</x:v>
      </x:c>
      <x:c r="V3819" t="str">
        <x:v>Cancelled</x:v>
      </x:c>
      <x:c r="W3819" t="n">
        <x:v>15</x:v>
      </x:c>
      <x:c r="X3819" t="str">
        <x:v>Cancelled Order</x:v>
      </x:c>
      <x:c r="Y3819" t="str">
        <x:v>Existing Customer</x:v>
      </x:c>
    </x:row>
    <x:row r="3820">
      <x:c r="A3820" t="str">
        <x:v>O003819</x:v>
      </x:c>
      <x:c r="B3820" s="20" t="n">
        <x:v>45754</x:v>
      </x:c>
      <x:c r="C3820" t="str">
        <x:v>C0099</x:v>
      </x:c>
      <x:c r="D3820" t="str">
        <x:v>Green Cafe 99</x:v>
      </x:c>
      <x:c r="E3820" t="str">
        <x:v>Restaurant</x:v>
      </x:c>
      <x:c r="F3820" t="str">
        <x:v>Hubballi</x:v>
      </x:c>
      <x:c r="G3820" t="str">
        <x:v>Ramesh</x:v>
      </x:c>
      <x:c r="H3820" t="str">
        <x:v>P017</x:v>
      </x:c>
      <x:c r="I3820" t="str">
        <x:v>Butter 500g</x:v>
      </x:c>
      <x:c r="J3820" t="str">
        <x:v>Dairy</x:v>
      </x:c>
      <x:c r="K3820" t="str">
        <x:v>Amul</x:v>
      </x:c>
      <x:c r="L3820" s="22" t="n">
        <x:v>285</x:v>
      </x:c>
      <x:c r="M3820" t="n">
        <x:v>12</x:v>
      </x:c>
      <x:c r="N3820" s="24" t="n">
        <x:v>0.03</x:v>
      </x:c>
      <x:c r="O3820" s="22" t="n">
        <x:f>L3820*M3820</x:f>
        <x:v>3420</x:v>
      </x:c>
      <x:c r="P3820" s="22" t="n">
        <x:f>O3820*(1-N3820)</x:f>
        <x:v>3317.4</x:v>
      </x:c>
      <x:c r="Q3820" s="22" t="n">
        <x:v>258</x:v>
      </x:c>
      <x:c r="R3820" s="22" t="n">
        <x:f>Q3820*M3820</x:f>
        <x:v>3096</x:v>
      </x:c>
      <x:c r="S3820" s="22" t="n">
        <x:f>P3820-R3820</x:f>
        <x:v>221.4000000000001</x:v>
      </x:c>
      <x:c r="T3820" t="str">
        <x:v>Bank Transfer</x:v>
      </x:c>
      <x:c r="U3820" t="str">
        <x:v>Paid</x:v>
      </x:c>
      <x:c r="V3820" t="str">
        <x:v>Delayed</x:v>
      </x:c>
      <x:c r="W3820" t="n">
        <x:v>0</x:v>
      </x:c>
      <x:c r="X3820" t="str"/>
      <x:c r="Y3820" t="str">
        <x:v>Field Visit</x:v>
      </x:c>
    </x:row>
    <x:row r="3821">
      <x:c r="A3821" t="str">
        <x:v>O003820</x:v>
      </x:c>
      <x:c r="B3821" s="20" t="n">
        <x:v>46029</x:v>
      </x:c>
      <x:c r="C3821" t="str">
        <x:v>C0239</x:v>
      </x:c>
      <x:c r="D3821" t="str">
        <x:v>Royal Hotel 239</x:v>
      </x:c>
      <x:c r="E3821" t="str">
        <x:v>Restaurant</x:v>
      </x:c>
      <x:c r="F3821" t="str">
        <x:v>Hubballi</x:v>
      </x:c>
      <x:c r="G3821" t="str">
        <x:v>Priya</x:v>
      </x:c>
      <x:c r="H3821" t="str">
        <x:v>P050</x:v>
      </x:c>
      <x:c r="I3821" t="str">
        <x:v>Lemon 5kg</x:v>
      </x:c>
      <x:c r="J3821" t="str">
        <x:v>Fresh Produce</x:v>
      </x:c>
      <x:c r="K3821" t="str">
        <x:v>Local Market</x:v>
      </x:c>
      <x:c r="L3821" s="22" t="n">
        <x:v>360</x:v>
      </x:c>
      <x:c r="M3821" t="n">
        <x:v>32</x:v>
      </x:c>
      <x:c r="N3821" s="24" t="n">
        <x:v>0.02</x:v>
      </x:c>
      <x:c r="O3821" s="22" t="n">
        <x:f>L3821*M3821</x:f>
        <x:v>11520</x:v>
      </x:c>
      <x:c r="P3821" s="22" t="n">
        <x:f>O3821*(1-N3821)</x:f>
        <x:v>11289.6</x:v>
      </x:c>
      <x:c r="Q3821" s="22" t="n">
        <x:v>300</x:v>
      </x:c>
      <x:c r="R3821" s="22" t="n">
        <x:f>Q3821*M3821</x:f>
        <x:v>9600</x:v>
      </x:c>
      <x:c r="S3821" s="22" t="n">
        <x:f>P3821-R3821</x:f>
        <x:v>1689.6000000000004</x:v>
      </x:c>
      <x:c r="T3821" t="str">
        <x:v>Credit</x:v>
      </x:c>
      <x:c r="U3821" t="str">
        <x:v>Paid</x:v>
      </x:c>
      <x:c r="V3821" t="str">
        <x:v>Cancelled</x:v>
      </x:c>
      <x:c r="W3821" t="n">
        <x:v>32</x:v>
      </x:c>
      <x:c r="X3821" t="str">
        <x:v>Cancelled Order</x:v>
      </x:c>
      <x:c r="Y3821" t="str">
        <x:v>Outbound Call</x:v>
      </x:c>
    </x:row>
    <x:row r="3822">
      <x:c r="A3822" t="str">
        <x:v>O003821</x:v>
      </x:c>
      <x:c r="B3822" s="20" t="n">
        <x:v>45862</x:v>
      </x:c>
      <x:c r="C3822" t="str">
        <x:v>C0219</x:v>
      </x:c>
      <x:c r="D3822" t="str">
        <x:v>Udupi Restaurant 219</x:v>
      </x:c>
      <x:c r="E3822" t="str">
        <x:v>Kirana</x:v>
      </x:c>
      <x:c r="F3822" t="str">
        <x:v>Mangaluru</x:v>
      </x:c>
      <x:c r="G3822" t="str">
        <x:v>Kavya</x:v>
      </x:c>
      <x:c r="H3822" t="str">
        <x:v>P033</x:v>
      </x:c>
      <x:c r="I3822" t="str">
        <x:v>Turmeric Powder 1kg</x:v>
      </x:c>
      <x:c r="J3822" t="str">
        <x:v>Spices</x:v>
      </x:c>
      <x:c r="K3822" t="str">
        <x:v>Everest</x:v>
      </x:c>
      <x:c r="L3822" s="22" t="n">
        <x:v>310</x:v>
      </x:c>
      <x:c r="M3822" t="n">
        <x:v>37</x:v>
      </x:c>
      <x:c r="N3822" s="24" t="n">
        <x:v>0</x:v>
      </x:c>
      <x:c r="O3822" s="22" t="n">
        <x:f>L3822*M3822</x:f>
        <x:v>11470</x:v>
      </x:c>
      <x:c r="P3822" s="22" t="n">
        <x:f>O3822*(1-N3822)</x:f>
        <x:v>11470</x:v>
      </x:c>
      <x:c r="Q3822" s="22" t="n">
        <x:v>270</x:v>
      </x:c>
      <x:c r="R3822" s="22" t="n">
        <x:f>Q3822*M3822</x:f>
        <x:v>9990</x:v>
      </x:c>
      <x:c r="S3822" s="22" t="n">
        <x:f>P3822-R3822</x:f>
        <x:v>1480</x:v>
      </x:c>
      <x:c r="T3822" t="str">
        <x:v>UPI</x:v>
      </x:c>
      <x:c r="U3822" t="str">
        <x:v>Paid</x:v>
      </x:c>
      <x:c r="V3822" t="str">
        <x:v>Delivered</x:v>
      </x:c>
      <x:c r="W3822" t="n">
        <x:v>0</x:v>
      </x:c>
      <x:c r="X3822" t="str"/>
      <x:c r="Y3822" t="str">
        <x:v>Field Visit</x:v>
      </x:c>
    </x:row>
    <x:row r="3823">
      <x:c r="A3823" t="str">
        <x:v>O003822</x:v>
      </x:c>
      <x:c r="B3823" s="20" t="n">
        <x:v>46143</x:v>
      </x:c>
      <x:c r="C3823" t="str">
        <x:v>C0173</x:v>
      </x:c>
      <x:c r="D3823" t="str">
        <x:v>Royal Kitchen 173</x:v>
      </x:c>
      <x:c r="E3823" t="str">
        <x:v>Hotel</x:v>
      </x:c>
      <x:c r="F3823" t="str">
        <x:v>Bengaluru</x:v>
      </x:c>
      <x:c r="G3823" t="str">
        <x:v>Priya</x:v>
      </x:c>
      <x:c r="H3823" t="str">
        <x:v>P041</x:v>
      </x:c>
      <x:c r="I3823" t="str">
        <x:v>Burger Bun 6pc</x:v>
      </x:c>
      <x:c r="J3823" t="str">
        <x:v>Bakery</x:v>
      </x:c>
      <x:c r="K3823" t="str">
        <x:v>Modern</x:v>
      </x:c>
      <x:c r="L3823" s="22" t="n">
        <x:v>42</x:v>
      </x:c>
      <x:c r="M3823" t="n">
        <x:v>33</x:v>
      </x:c>
      <x:c r="N3823" s="24" t="n">
        <x:v>0.03</x:v>
      </x:c>
      <x:c r="O3823" s="22" t="n">
        <x:f>L3823*M3823</x:f>
        <x:v>1386</x:v>
      </x:c>
      <x:c r="P3823" s="22" t="n">
        <x:f>O3823*(1-N3823)</x:f>
        <x:v>1344.42</x:v>
      </x:c>
      <x:c r="Q3823" s="22" t="n">
        <x:v>32</x:v>
      </x:c>
      <x:c r="R3823" s="22" t="n">
        <x:f>Q3823*M3823</x:f>
        <x:v>1056</x:v>
      </x:c>
      <x:c r="S3823" s="22" t="n">
        <x:f>P3823-R3823</x:f>
        <x:v>288.4200000000001</x:v>
      </x:c>
      <x:c r="T3823" t="str">
        <x:v>UPI</x:v>
      </x:c>
      <x:c r="U3823" t="str">
        <x:v>Paid</x:v>
      </x:c>
      <x:c r="V3823" t="str">
        <x:v>Delivered</x:v>
      </x:c>
      <x:c r="W3823" t="n">
        <x:v>0</x:v>
      </x:c>
      <x:c r="X3823" t="str"/>
      <x:c r="Y3823" t="str">
        <x:v>WhatsApp</x:v>
      </x:c>
    </x:row>
    <x:row r="3824">
      <x:c r="A3824" t="str">
        <x:v>O003823</x:v>
      </x:c>
      <x:c r="B3824" s="20" t="n">
        <x:v>45840</x:v>
      </x:c>
      <x:c r="C3824" t="str">
        <x:v>C0157</x:v>
      </x:c>
      <x:c r="D3824" t="str">
        <x:v>Fresh Canteen 157</x:v>
      </x:c>
      <x:c r="E3824" t="str">
        <x:v>Kirana</x:v>
      </x:c>
      <x:c r="F3824" t="str">
        <x:v>Mangaluru</x:v>
      </x:c>
      <x:c r="G3824" t="str">
        <x:v>Priya</x:v>
      </x:c>
      <x:c r="H3824" t="str">
        <x:v>P013</x:v>
      </x:c>
      <x:c r="I3824" t="str">
        <x:v>Atta 10kg</x:v>
      </x:c>
      <x:c r="J3824" t="str">
        <x:v>Flour</x:v>
      </x:c>
      <x:c r="K3824" t="str">
        <x:v>Aashirvaad</x:v>
      </x:c>
      <x:c r="L3824" s="22" t="n">
        <x:v>560</x:v>
      </x:c>
      <x:c r="M3824" t="n">
        <x:v>24</x:v>
      </x:c>
      <x:c r="N3824" s="24" t="n">
        <x:v>0.05</x:v>
      </x:c>
      <x:c r="O3824" s="22" t="n">
        <x:f>L3824*M3824</x:f>
        <x:v>13440</x:v>
      </x:c>
      <x:c r="P3824" s="22" t="n">
        <x:f>O3824*(1-N3824)</x:f>
        <x:v>12768</x:v>
      </x:c>
      <x:c r="Q3824" s="22" t="n">
        <x:v>495</x:v>
      </x:c>
      <x:c r="R3824" s="22" t="n">
        <x:f>Q3824*M3824</x:f>
        <x:v>11880</x:v>
      </x:c>
      <x:c r="S3824" s="22" t="n">
        <x:f>P3824-R3824</x:f>
        <x:v>888</x:v>
      </x:c>
      <x:c r="T3824" t="str">
        <x:v>Credit</x:v>
      </x:c>
      <x:c r="U3824" t="str">
        <x:v>Pending</x:v>
      </x:c>
      <x:c r="V3824" t="str">
        <x:v>Delivered</x:v>
      </x:c>
      <x:c r="W3824" t="n">
        <x:v>0</x:v>
      </x:c>
      <x:c r="X3824" t="str"/>
      <x:c r="Y3824" t="str">
        <x:v>Referral</x:v>
      </x:c>
    </x:row>
    <x:row r="3825">
      <x:c r="A3825" t="str">
        <x:v>O003824</x:v>
      </x:c>
      <x:c r="B3825" s="20" t="n">
        <x:v>45899</x:v>
      </x:c>
      <x:c r="C3825" t="str">
        <x:v>C0107</x:v>
      </x:c>
      <x:c r="D3825" t="str">
        <x:v>Mysore Cafe 107</x:v>
      </x:c>
      <x:c r="E3825" t="str">
        <x:v>Supermarket</x:v>
      </x:c>
      <x:c r="F3825" t="str">
        <x:v>Tumakuru</x:v>
      </x:c>
      <x:c r="G3825" t="str">
        <x:v>Megha</x:v>
      </x:c>
      <x:c r="H3825" t="str">
        <x:v>P035</x:v>
      </x:c>
      <x:c r="I3825" t="str">
        <x:v>Coriander Powder 1kg</x:v>
      </x:c>
      <x:c r="J3825" t="str">
        <x:v>Spices</x:v>
      </x:c>
      <x:c r="K3825" t="str">
        <x:v>Everest</x:v>
      </x:c>
      <x:c r="L3825" s="22" t="n">
        <x:v>280</x:v>
      </x:c>
      <x:c r="M3825" t="n">
        <x:v>6</x:v>
      </x:c>
      <x:c r="N3825" s="24" t="n">
        <x:v>0.05</x:v>
      </x:c>
      <x:c r="O3825" s="22" t="n">
        <x:f>L3825*M3825</x:f>
        <x:v>1680</x:v>
      </x:c>
      <x:c r="P3825" s="22" t="n">
        <x:f>O3825*(1-N3825)</x:f>
        <x:v>1596</x:v>
      </x:c>
      <x:c r="Q3825" s="22" t="n">
        <x:v>245</x:v>
      </x:c>
      <x:c r="R3825" s="22" t="n">
        <x:f>Q3825*M3825</x:f>
        <x:v>1470</x:v>
      </x:c>
      <x:c r="S3825" s="22" t="n">
        <x:f>P3825-R3825</x:f>
        <x:v>126</x:v>
      </x:c>
      <x:c r="T3825" t="str">
        <x:v>Credit</x:v>
      </x:c>
      <x:c r="U3825" t="str">
        <x:v>Paid</x:v>
      </x:c>
      <x:c r="V3825" t="str">
        <x:v>Delivered</x:v>
      </x:c>
      <x:c r="W3825" t="n">
        <x:v>0</x:v>
      </x:c>
      <x:c r="X3825" t="str"/>
      <x:c r="Y3825" t="str">
        <x:v>Referral</x:v>
      </x:c>
    </x:row>
    <x:row r="3826">
      <x:c r="A3826" t="str">
        <x:v>O003825</x:v>
      </x:c>
      <x:c r="B3826" s="20" t="n">
        <x:v>46010</x:v>
      </x:c>
      <x:c r="C3826" t="str">
        <x:v>C0156</x:v>
      </x:c>
      <x:c r="D3826" t="str">
        <x:v>Metro Stores 156</x:v>
      </x:c>
      <x:c r="E3826" t="str">
        <x:v>Hotel</x:v>
      </x:c>
      <x:c r="F3826" t="str">
        <x:v>Tumakuru</x:v>
      </x:c>
      <x:c r="G3826" t="str">
        <x:v>Ramesh</x:v>
      </x:c>
      <x:c r="H3826" t="str">
        <x:v>P046</x:v>
      </x:c>
      <x:c r="I3826" t="str">
        <x:v>Potato 25kg</x:v>
      </x:c>
      <x:c r="J3826" t="str">
        <x:v>Fresh Produce</x:v>
      </x:c>
      <x:c r="K3826" t="str">
        <x:v>Local Market</x:v>
      </x:c>
      <x:c r="L3826" s="22" t="n">
        <x:v>700</x:v>
      </x:c>
      <x:c r="M3826" t="n">
        <x:v>22</x:v>
      </x:c>
      <x:c r="N3826" s="24" t="n">
        <x:v>0.05</x:v>
      </x:c>
      <x:c r="O3826" s="22" t="n">
        <x:f>L3826*M3826</x:f>
        <x:v>15400</x:v>
      </x:c>
      <x:c r="P3826" s="22" t="n">
        <x:f>O3826*(1-N3826)</x:f>
        <x:v>14630</x:v>
      </x:c>
      <x:c r="Q3826" s="22" t="n">
        <x:v>610</x:v>
      </x:c>
      <x:c r="R3826" s="22" t="n">
        <x:f>Q3826*M3826</x:f>
        <x:v>13420</x:v>
      </x:c>
      <x:c r="S3826" s="22" t="n">
        <x:f>P3826-R3826</x:f>
        <x:v>1210</x:v>
      </x:c>
      <x:c r="T3826" t="str">
        <x:v>Credit</x:v>
      </x:c>
      <x:c r="U3826" t="str">
        <x:v>Pending</x:v>
      </x:c>
      <x:c r="V3826" t="str">
        <x:v>Cancelled</x:v>
      </x:c>
      <x:c r="W3826" t="n">
        <x:v>22</x:v>
      </x:c>
      <x:c r="X3826" t="str">
        <x:v>Cancelled Order</x:v>
      </x:c>
      <x:c r="Y3826" t="str">
        <x:v>Outbound Call</x:v>
      </x:c>
    </x:row>
    <x:row r="3827">
      <x:c r="A3827" t="str">
        <x:v>O003826</x:v>
      </x:c>
      <x:c r="B3827" s="20" t="n">
        <x:v>46184</x:v>
      </x:c>
      <x:c r="C3827" t="str">
        <x:v>C0247</x:v>
      </x:c>
      <x:c r="D3827" t="str">
        <x:v>Fresh Canteen 247</x:v>
      </x:c>
      <x:c r="E3827" t="str">
        <x:v>Restaurant</x:v>
      </x:c>
      <x:c r="F3827" t="str">
        <x:v>Hubballi</x:v>
      </x:c>
      <x:c r="G3827" t="str">
        <x:v>Kavya</x:v>
      </x:c>
      <x:c r="H3827" t="str">
        <x:v>P009</x:v>
      </x:c>
      <x:c r="I3827" t="str">
        <x:v>Groundnut Oil 5L</x:v>
      </x:c>
      <x:c r="J3827" t="str">
        <x:v>Edible Oil</x:v>
      </x:c>
      <x:c r="K3827" t="str">
        <x:v>Dhara</x:v>
      </x:c>
      <x:c r="L3827" s="22" t="n">
        <x:v>890</x:v>
      </x:c>
      <x:c r="M3827" t="n">
        <x:v>2</x:v>
      </x:c>
      <x:c r="N3827" s="24" t="n">
        <x:v>0</x:v>
      </x:c>
      <x:c r="O3827" s="22" t="n">
        <x:f>L3827*M3827</x:f>
        <x:v>1780</x:v>
      </x:c>
      <x:c r="P3827" s="22" t="n">
        <x:f>O3827*(1-N3827)</x:f>
        <x:v>1780</x:v>
      </x:c>
      <x:c r="Q3827" s="22" t="n">
        <x:v>810</x:v>
      </x:c>
      <x:c r="R3827" s="22" t="n">
        <x:f>Q3827*M3827</x:f>
        <x:v>1620</x:v>
      </x:c>
      <x:c r="S3827" s="22" t="n">
        <x:f>P3827-R3827</x:f>
        <x:v>160</x:v>
      </x:c>
      <x:c r="T3827" t="str">
        <x:v>Credit</x:v>
      </x:c>
      <x:c r="U3827" t="str">
        <x:v>Paid</x:v>
      </x:c>
      <x:c r="V3827" t="str">
        <x:v>Cancelled</x:v>
      </x:c>
      <x:c r="W3827" t="n">
        <x:v>2</x:v>
      </x:c>
      <x:c r="X3827" t="str">
        <x:v>Cancelled Order</x:v>
      </x:c>
      <x:c r="Y3827" t="str">
        <x:v>Outbound Call</x:v>
      </x:c>
    </x:row>
    <x:row r="3828">
      <x:c r="A3828" t="str">
        <x:v>O003827</x:v>
      </x:c>
      <x:c r="B3828" s="20" t="n">
        <x:v>46029</x:v>
      </x:c>
      <x:c r="C3828" t="str">
        <x:v>C0145</x:v>
      </x:c>
      <x:c r="D3828" t="str">
        <x:v>Namma Cafe 145</x:v>
      </x:c>
      <x:c r="E3828" t="str">
        <x:v>Kirana</x:v>
      </x:c>
      <x:c r="F3828" t="str">
        <x:v>Tumakuru</x:v>
      </x:c>
      <x:c r="G3828" t="str">
        <x:v>Sneha</x:v>
      </x:c>
      <x:c r="H3828" t="str">
        <x:v>P019</x:v>
      </x:c>
      <x:c r="I3828" t="str">
        <x:v>Tea 1kg</x:v>
      </x:c>
      <x:c r="J3828" t="str">
        <x:v>Beverage</x:v>
      </x:c>
      <x:c r="K3828" t="str">
        <x:v>Red Label</x:v>
      </x:c>
      <x:c r="L3828" s="22" t="n">
        <x:v>540</x:v>
      </x:c>
      <x:c r="M3828" t="n">
        <x:v>2</x:v>
      </x:c>
      <x:c r="N3828" s="24" t="n">
        <x:v>0</x:v>
      </x:c>
      <x:c r="O3828" s="22" t="n">
        <x:f>L3828*M3828</x:f>
        <x:v>1080</x:v>
      </x:c>
      <x:c r="P3828" s="22" t="n">
        <x:f>O3828*(1-N3828)</x:f>
        <x:v>1080</x:v>
      </x:c>
      <x:c r="Q3828" s="22" t="n">
        <x:v>485</x:v>
      </x:c>
      <x:c r="R3828" s="22" t="n">
        <x:f>Q3828*M3828</x:f>
        <x:v>970</x:v>
      </x:c>
      <x:c r="S3828" s="22" t="n">
        <x:f>P3828-R3828</x:f>
        <x:v>110</x:v>
      </x:c>
      <x:c r="T3828" t="str">
        <x:v>Credit</x:v>
      </x:c>
      <x:c r="U3828" t="str">
        <x:v>Paid</x:v>
      </x:c>
      <x:c r="V3828" t="str">
        <x:v>Delayed</x:v>
      </x:c>
      <x:c r="W3828" t="n">
        <x:v>0</x:v>
      </x:c>
      <x:c r="X3828" t="str"/>
      <x:c r="Y3828" t="str">
        <x:v>Field Visit</x:v>
      </x:c>
    </x:row>
    <x:row r="3829">
      <x:c r="A3829" t="str">
        <x:v>O003828</x:v>
      </x:c>
      <x:c r="B3829" s="20" t="n">
        <x:v>46031</x:v>
      </x:c>
      <x:c r="C3829" t="str">
        <x:v>C0058</x:v>
      </x:c>
      <x:c r="D3829" t="str">
        <x:v>Spice Kitchen 58</x:v>
      </x:c>
      <x:c r="E3829" t="str">
        <x:v>Supermarket</x:v>
      </x:c>
      <x:c r="F3829" t="str">
        <x:v>Davanagere</x:v>
      </x:c>
      <x:c r="G3829" t="str">
        <x:v>Sneha</x:v>
      </x:c>
      <x:c r="H3829" t="str">
        <x:v>P050</x:v>
      </x:c>
      <x:c r="I3829" t="str">
        <x:v>Lemon 5kg</x:v>
      </x:c>
      <x:c r="J3829" t="str">
        <x:v>Fresh Produce</x:v>
      </x:c>
      <x:c r="K3829" t="str">
        <x:v>Local Market</x:v>
      </x:c>
      <x:c r="L3829" s="22" t="n">
        <x:v>360</x:v>
      </x:c>
      <x:c r="M3829" t="n">
        <x:v>14</x:v>
      </x:c>
      <x:c r="N3829" s="24" t="n">
        <x:v>0.02</x:v>
      </x:c>
      <x:c r="O3829" s="22" t="n">
        <x:f>L3829*M3829</x:f>
        <x:v>5040</x:v>
      </x:c>
      <x:c r="P3829" s="22" t="n">
        <x:f>O3829*(1-N3829)</x:f>
        <x:v>4939.2</x:v>
      </x:c>
      <x:c r="Q3829" s="22" t="n">
        <x:v>300</x:v>
      </x:c>
      <x:c r="R3829" s="22" t="n">
        <x:f>Q3829*M3829</x:f>
        <x:v>4200</x:v>
      </x:c>
      <x:c r="S3829" s="22" t="n">
        <x:f>P3829-R3829</x:f>
        <x:v>739.1999999999998</x:v>
      </x:c>
      <x:c r="T3829" t="str">
        <x:v>Cash</x:v>
      </x:c>
      <x:c r="U3829" t="str">
        <x:v>Paid</x:v>
      </x:c>
      <x:c r="V3829" t="str">
        <x:v>Delayed</x:v>
      </x:c>
      <x:c r="W3829" t="n">
        <x:v>0</x:v>
      </x:c>
      <x:c r="X3829" t="str"/>
      <x:c r="Y3829" t="str">
        <x:v>Outbound Call</x:v>
      </x:c>
    </x:row>
    <x:row r="3830">
      <x:c r="A3830" t="str">
        <x:v>O003829</x:v>
      </x:c>
      <x:c r="B3830" s="20" t="n">
        <x:v>45902</x:v>
      </x:c>
      <x:c r="C3830" t="str">
        <x:v>C0056</x:v>
      </x:c>
      <x:c r="D3830" t="str">
        <x:v>City Stores 56</x:v>
      </x:c>
      <x:c r="E3830" t="str">
        <x:v>Canteen</x:v>
      </x:c>
      <x:c r="F3830" t="str">
        <x:v>Davanagere</x:v>
      </x:c>
      <x:c r="G3830" t="str">
        <x:v>Imran</x:v>
      </x:c>
      <x:c r="H3830" t="str">
        <x:v>P012</x:v>
      </x:c>
      <x:c r="I3830" t="str">
        <x:v>Maida 10kg</x:v>
      </x:c>
      <x:c r="J3830" t="str">
        <x:v>Flour</x:v>
      </x:c>
      <x:c r="K3830" t="str">
        <x:v>Aashirvaad</x:v>
      </x:c>
      <x:c r="L3830" s="22" t="n">
        <x:v>520</x:v>
      </x:c>
      <x:c r="M3830" t="n">
        <x:v>8</x:v>
      </x:c>
      <x:c r="N3830" s="24" t="n">
        <x:v>0.05</x:v>
      </x:c>
      <x:c r="O3830" s="22" t="n">
        <x:f>L3830*M3830</x:f>
        <x:v>4160</x:v>
      </x:c>
      <x:c r="P3830" s="22" t="n">
        <x:f>O3830*(1-N3830)</x:f>
        <x:v>3952</x:v>
      </x:c>
      <x:c r="Q3830" s="22" t="n">
        <x:v>460</x:v>
      </x:c>
      <x:c r="R3830" s="22" t="n">
        <x:f>Q3830*M3830</x:f>
        <x:v>3680</x:v>
      </x:c>
      <x:c r="S3830" s="22" t="n">
        <x:f>P3830-R3830</x:f>
        <x:v>272</x:v>
      </x:c>
      <x:c r="T3830" t="str">
        <x:v>Credit</x:v>
      </x:c>
      <x:c r="U3830" t="str">
        <x:v>Pending</x:v>
      </x:c>
      <x:c r="V3830" t="str">
        <x:v>Cancelled</x:v>
      </x:c>
      <x:c r="W3830" t="n">
        <x:v>8</x:v>
      </x:c>
      <x:c r="X3830" t="str">
        <x:v>Cancelled Order</x:v>
      </x:c>
      <x:c r="Y3830" t="str">
        <x:v>WhatsApp</x:v>
      </x:c>
    </x:row>
    <x:row r="3831">
      <x:c r="A3831" t="str">
        <x:v>O003830</x:v>
      </x:c>
      <x:c r="B3831" s="20" t="n">
        <x:v>45709</x:v>
      </x:c>
      <x:c r="C3831" t="str">
        <x:v>C0220</x:v>
      </x:c>
      <x:c r="D3831" t="str">
        <x:v>Udupi Canteen 220</x:v>
      </x:c>
      <x:c r="E3831" t="str">
        <x:v>Restaurant</x:v>
      </x:c>
      <x:c r="F3831" t="str">
        <x:v>Bengaluru</x:v>
      </x:c>
      <x:c r="G3831" t="str">
        <x:v>Sneha</x:v>
      </x:c>
      <x:c r="H3831" t="str">
        <x:v>P037</x:v>
      </x:c>
      <x:c r="I3831" t="str">
        <x:v>Frozen Peas 1kg</x:v>
      </x:c>
      <x:c r="J3831" t="str">
        <x:v>Frozen</x:v>
      </x:c>
      <x:c r="K3831" t="str">
        <x:v>Safal</x:v>
      </x:c>
      <x:c r="L3831" s="22" t="n">
        <x:v>155</x:v>
      </x:c>
      <x:c r="M3831" t="n">
        <x:v>28</x:v>
      </x:c>
      <x:c r="N3831" s="24" t="n">
        <x:v>0.03</x:v>
      </x:c>
      <x:c r="O3831" s="22" t="n">
        <x:f>L3831*M3831</x:f>
        <x:v>4340</x:v>
      </x:c>
      <x:c r="P3831" s="22" t="n">
        <x:f>O3831*(1-N3831)</x:f>
        <x:v>4209.8</x:v>
      </x:c>
      <x:c r="Q3831" s="22" t="n">
        <x:v>138</x:v>
      </x:c>
      <x:c r="R3831" s="22" t="n">
        <x:f>Q3831*M3831</x:f>
        <x:v>3864</x:v>
      </x:c>
      <x:c r="S3831" s="22" t="n">
        <x:f>P3831-R3831</x:f>
        <x:v>345.8000000000002</x:v>
      </x:c>
      <x:c r="T3831" t="str">
        <x:v>Credit</x:v>
      </x:c>
      <x:c r="U3831" t="str">
        <x:v>Overdue</x:v>
      </x:c>
      <x:c r="V3831" t="str">
        <x:v>Delivered</x:v>
      </x:c>
      <x:c r="W3831" t="n">
        <x:v>0</x:v>
      </x:c>
      <x:c r="X3831" t="str"/>
      <x:c r="Y3831" t="str">
        <x:v>Referral</x:v>
      </x:c>
    </x:row>
    <x:row r="3832">
      <x:c r="A3832" t="str">
        <x:v>O003831</x:v>
      </x:c>
      <x:c r="B3832" s="20" t="n">
        <x:v>45739</x:v>
      </x:c>
      <x:c r="C3832" t="str">
        <x:v>C0183</x:v>
      </x:c>
      <x:c r="D3832" t="str">
        <x:v>Spice Mart 183</x:v>
      </x:c>
      <x:c r="E3832" t="str">
        <x:v>Kirana</x:v>
      </x:c>
      <x:c r="F3832" t="str">
        <x:v>Mangaluru</x:v>
      </x:c>
      <x:c r="G3832" t="str">
        <x:v>Kavya</x:v>
      </x:c>
      <x:c r="H3832" t="str">
        <x:v>P007</x:v>
      </x:c>
      <x:c r="I3832" t="str">
        <x:v>Sunflower Oil 15L</x:v>
      </x:c>
      <x:c r="J3832" t="str">
        <x:v>Edible Oil</x:v>
      </x:c>
      <x:c r="K3832" t="str">
        <x:v>Fortune</x:v>
      </x:c>
      <x:c r="L3832" s="22" t="n">
        <x:v>1980</x:v>
      </x:c>
      <x:c r="M3832" t="n">
        <x:v>5</x:v>
      </x:c>
      <x:c r="N3832" s="24" t="n">
        <x:v>0</x:v>
      </x:c>
      <x:c r="O3832" s="22" t="n">
        <x:f>L3832*M3832</x:f>
        <x:v>9900</x:v>
      </x:c>
      <x:c r="P3832" s="22" t="n">
        <x:f>O3832*(1-N3832)</x:f>
        <x:v>9900</x:v>
      </x:c>
      <x:c r="Q3832" s="22" t="n">
        <x:v>1810</x:v>
      </x:c>
      <x:c r="R3832" s="22" t="n">
        <x:f>Q3832*M3832</x:f>
        <x:v>9050</x:v>
      </x:c>
      <x:c r="S3832" s="22" t="n">
        <x:f>P3832-R3832</x:f>
        <x:v>850</x:v>
      </x:c>
      <x:c r="T3832" t="str">
        <x:v>Bank Transfer</x:v>
      </x:c>
      <x:c r="U3832" t="str">
        <x:v>Paid</x:v>
      </x:c>
      <x:c r="V3832" t="str">
        <x:v>Delivered</x:v>
      </x:c>
      <x:c r="W3832" t="n">
        <x:v>0</x:v>
      </x:c>
      <x:c r="X3832" t="str"/>
      <x:c r="Y3832" t="str">
        <x:v>Existing Customer</x:v>
      </x:c>
    </x:row>
    <x:row r="3833">
      <x:c r="A3833" t="str">
        <x:v>O003832</x:v>
      </x:c>
      <x:c r="B3833" s="20" t="n">
        <x:v>46217</x:v>
      </x:c>
      <x:c r="C3833" t="str">
        <x:v>C0005</x:v>
      </x:c>
      <x:c r="D3833" t="str">
        <x:v>Sagar Kitchen 5</x:v>
      </x:c>
      <x:c r="E3833" t="str">
        <x:v>Restaurant</x:v>
      </x:c>
      <x:c r="F3833" t="str">
        <x:v>Hubballi</x:v>
      </x:c>
      <x:c r="G3833" t="str">
        <x:v>Priya</x:v>
      </x:c>
      <x:c r="H3833" t="str">
        <x:v>P006</x:v>
      </x:c>
      <x:c r="I3833" t="str">
        <x:v>Moong Dal 5kg</x:v>
      </x:c>
      <x:c r="J3833" t="str">
        <x:v>Pulses</x:v>
      </x:c>
      <x:c r="K3833" t="str">
        <x:v>Local Select</x:v>
      </x:c>
      <x:c r="L3833" s="22" t="n">
        <x:v>610</x:v>
      </x:c>
      <x:c r="M3833" t="n">
        <x:v>29</x:v>
      </x:c>
      <x:c r="N3833" s="24" t="n">
        <x:v>0.03</x:v>
      </x:c>
      <x:c r="O3833" s="22" t="n">
        <x:f>L3833*M3833</x:f>
        <x:v>17690</x:v>
      </x:c>
      <x:c r="P3833" s="22" t="n">
        <x:f>O3833*(1-N3833)</x:f>
        <x:v>17159.3</x:v>
      </x:c>
      <x:c r="Q3833" s="22" t="n">
        <x:v>540</x:v>
      </x:c>
      <x:c r="R3833" s="22" t="n">
        <x:f>Q3833*M3833</x:f>
        <x:v>15660</x:v>
      </x:c>
      <x:c r="S3833" s="22" t="n">
        <x:f>P3833-R3833</x:f>
        <x:v>1499.2999999999993</x:v>
      </x:c>
      <x:c r="T3833" t="str">
        <x:v>Credit</x:v>
      </x:c>
      <x:c r="U3833" t="str">
        <x:v>Pending</x:v>
      </x:c>
      <x:c r="V3833" t="str">
        <x:v>Delivered</x:v>
      </x:c>
      <x:c r="W3833" t="n">
        <x:v>0</x:v>
      </x:c>
      <x:c r="X3833" t="str"/>
      <x:c r="Y3833" t="str">
        <x:v>Referral</x:v>
      </x:c>
    </x:row>
    <x:row r="3834">
      <x:c r="A3834" t="str">
        <x:v>O003833</x:v>
      </x:c>
      <x:c r="B3834" s="20" t="n">
        <x:v>45803</x:v>
      </x:c>
      <x:c r="C3834" t="str">
        <x:v>C0192</x:v>
      </x:c>
      <x:c r="D3834" t="str">
        <x:v>Shree Kitchen 192</x:v>
      </x:c>
      <x:c r="E3834" t="str">
        <x:v>Restaurant</x:v>
      </x:c>
      <x:c r="F3834" t="str">
        <x:v>Mysuru</x:v>
      </x:c>
      <x:c r="G3834" t="str">
        <x:v>Sneha</x:v>
      </x:c>
      <x:c r="H3834" t="str">
        <x:v>P019</x:v>
      </x:c>
      <x:c r="I3834" t="str">
        <x:v>Tea 1kg</x:v>
      </x:c>
      <x:c r="J3834" t="str">
        <x:v>Beverage</x:v>
      </x:c>
      <x:c r="K3834" t="str">
        <x:v>Red Label</x:v>
      </x:c>
      <x:c r="L3834" s="22" t="n">
        <x:v>540</x:v>
      </x:c>
      <x:c r="M3834" t="n">
        <x:v>9</x:v>
      </x:c>
      <x:c r="N3834" s="24" t="n">
        <x:v>0.02</x:v>
      </x:c>
      <x:c r="O3834" s="22" t="n">
        <x:f>L3834*M3834</x:f>
        <x:v>4860</x:v>
      </x:c>
      <x:c r="P3834" s="22" t="n">
        <x:f>O3834*(1-N3834)</x:f>
        <x:v>4762.8</x:v>
      </x:c>
      <x:c r="Q3834" s="22" t="n">
        <x:v>485</x:v>
      </x:c>
      <x:c r="R3834" s="22" t="n">
        <x:f>Q3834*M3834</x:f>
        <x:v>4365</x:v>
      </x:c>
      <x:c r="S3834" s="22" t="n">
        <x:f>P3834-R3834</x:f>
        <x:v>397.8000000000002</x:v>
      </x:c>
      <x:c r="T3834" t="str">
        <x:v>Bank Transfer</x:v>
      </x:c>
      <x:c r="U3834" t="str">
        <x:v>Overdue</x:v>
      </x:c>
      <x:c r="V3834" t="str">
        <x:v>Delivered</x:v>
      </x:c>
      <x:c r="W3834" t="n">
        <x:v>0</x:v>
      </x:c>
      <x:c r="X3834" t="str"/>
      <x:c r="Y3834" t="str">
        <x:v>Referral</x:v>
      </x:c>
    </x:row>
    <x:row r="3835">
      <x:c r="A3835" t="str">
        <x:v>O003834</x:v>
      </x:c>
      <x:c r="B3835" s="20" t="n">
        <x:v>46146</x:v>
      </x:c>
      <x:c r="C3835" t="str">
        <x:v>C0196</x:v>
      </x:c>
      <x:c r="D3835" t="str">
        <x:v>Namma Mart 196</x:v>
      </x:c>
      <x:c r="E3835" t="str">
        <x:v>Cafe</x:v>
      </x:c>
      <x:c r="F3835" t="str">
        <x:v>Mangaluru</x:v>
      </x:c>
      <x:c r="G3835" t="str">
        <x:v>Kavya</x:v>
      </x:c>
      <x:c r="H3835" t="str">
        <x:v>P032</x:v>
      </x:c>
      <x:c r="I3835" t="str">
        <x:v>Soy Sauce 700g</x:v>
      </x:c>
      <x:c r="J3835" t="str">
        <x:v>Condiments</x:v>
      </x:c>
      <x:c r="K3835" t="str">
        <x:v>Ching's</x:v>
      </x:c>
      <x:c r="L3835" s="22" t="n">
        <x:v>118</x:v>
      </x:c>
      <x:c r="M3835" t="n">
        <x:v>29</x:v>
      </x:c>
      <x:c r="N3835" s="24" t="n">
        <x:v>0.05</x:v>
      </x:c>
      <x:c r="O3835" s="22" t="n">
        <x:f>L3835*M3835</x:f>
        <x:v>3422</x:v>
      </x:c>
      <x:c r="P3835" s="22" t="n">
        <x:f>O3835*(1-N3835)</x:f>
        <x:v>3250.8999999999996</x:v>
      </x:c>
      <x:c r="Q3835" s="22" t="n">
        <x:v>101</x:v>
      </x:c>
      <x:c r="R3835" s="22" t="n">
        <x:f>Q3835*M3835</x:f>
        <x:v>2929</x:v>
      </x:c>
      <x:c r="S3835" s="22" t="n">
        <x:f>P3835-R3835</x:f>
        <x:v>321.89999999999964</x:v>
      </x:c>
      <x:c r="T3835" t="str">
        <x:v>Credit</x:v>
      </x:c>
      <x:c r="U3835" t="str">
        <x:v>Paid</x:v>
      </x:c>
      <x:c r="V3835" t="str">
        <x:v>Delivered</x:v>
      </x:c>
      <x:c r="W3835" t="n">
        <x:v>0</x:v>
      </x:c>
      <x:c r="X3835" t="str"/>
      <x:c r="Y3835" t="str">
        <x:v>Field Visit</x:v>
      </x:c>
    </x:row>
    <x:row r="3836">
      <x:c r="A3836" t="str">
        <x:v>O003835</x:v>
      </x:c>
      <x:c r="B3836" s="20" t="n">
        <x:v>46191</x:v>
      </x:c>
      <x:c r="C3836" t="str">
        <x:v>C0028</x:v>
      </x:c>
      <x:c r="D3836" t="str">
        <x:v>Spice Cafe 28</x:v>
      </x:c>
      <x:c r="E3836" t="str">
        <x:v>Supermarket</x:v>
      </x:c>
      <x:c r="F3836" t="str">
        <x:v>Mysuru</x:v>
      </x:c>
      <x:c r="G3836" t="str">
        <x:v>Vikram</x:v>
      </x:c>
      <x:c r="H3836" t="str">
        <x:v>P043</x:v>
      </x:c>
      <x:c r="I3836" t="str">
        <x:v>Chicken Breast 1kg</x:v>
      </x:c>
      <x:c r="J3836" t="str">
        <x:v>Protein</x:v>
      </x:c>
      <x:c r="K3836" t="str">
        <x:v>FreshToHome</x:v>
      </x:c>
      <x:c r="L3836" s="22" t="n">
        <x:v>260</x:v>
      </x:c>
      <x:c r="M3836" t="n">
        <x:v>34</x:v>
      </x:c>
      <x:c r="N3836" s="24" t="n">
        <x:v>0.08</x:v>
      </x:c>
      <x:c r="O3836" s="22" t="n">
        <x:f>L3836*M3836</x:f>
        <x:v>8840</x:v>
      </x:c>
      <x:c r="P3836" s="22" t="n">
        <x:f>O3836*(1-N3836)</x:f>
        <x:v>8132.8</x:v>
      </x:c>
      <x:c r="Q3836" s="22" t="n">
        <x:v>235</x:v>
      </x:c>
      <x:c r="R3836" s="22" t="n">
        <x:f>Q3836*M3836</x:f>
        <x:v>7990</x:v>
      </x:c>
      <x:c r="S3836" s="22" t="n">
        <x:f>P3836-R3836</x:f>
        <x:v>142.80000000000018</x:v>
      </x:c>
      <x:c r="T3836" t="str">
        <x:v>Bank Transfer</x:v>
      </x:c>
      <x:c r="U3836" t="str">
        <x:v>Paid</x:v>
      </x:c>
      <x:c r="V3836" t="str">
        <x:v>Delivered</x:v>
      </x:c>
      <x:c r="W3836" t="n">
        <x:v>0</x:v>
      </x:c>
      <x:c r="X3836" t="str"/>
      <x:c r="Y3836" t="str">
        <x:v>WhatsApp</x:v>
      </x:c>
    </x:row>
    <x:row r="3837">
      <x:c r="A3837" t="str">
        <x:v>O003836</x:v>
      </x:c>
      <x:c r="B3837" s="20" t="n">
        <x:v>46045</x:v>
      </x:c>
      <x:c r="C3837" t="str">
        <x:v>C0059</x:v>
      </x:c>
      <x:c r="D3837" t="str">
        <x:v>Spice Foods 59</x:v>
      </x:c>
      <x:c r="E3837" t="str">
        <x:v>Hotel</x:v>
      </x:c>
      <x:c r="F3837" t="str">
        <x:v>Hubballi</x:v>
      </x:c>
      <x:c r="G3837" t="str">
        <x:v>Sneha</x:v>
      </x:c>
      <x:c r="H3837" t="str">
        <x:v>P046</x:v>
      </x:c>
      <x:c r="I3837" t="str">
        <x:v>Potato 25kg</x:v>
      </x:c>
      <x:c r="J3837" t="str">
        <x:v>Fresh Produce</x:v>
      </x:c>
      <x:c r="K3837" t="str">
        <x:v>Local Market</x:v>
      </x:c>
      <x:c r="L3837" s="22" t="n">
        <x:v>700</x:v>
      </x:c>
      <x:c r="M3837" t="n">
        <x:v>13</x:v>
      </x:c>
      <x:c r="N3837" s="24" t="n">
        <x:v>0.03</x:v>
      </x:c>
      <x:c r="O3837" s="22" t="n">
        <x:f>L3837*M3837</x:f>
        <x:v>9100</x:v>
      </x:c>
      <x:c r="P3837" s="22" t="n">
        <x:f>O3837*(1-N3837)</x:f>
        <x:v>8827</x:v>
      </x:c>
      <x:c r="Q3837" s="22" t="n">
        <x:v>610</x:v>
      </x:c>
      <x:c r="R3837" s="22" t="n">
        <x:f>Q3837*M3837</x:f>
        <x:v>7930</x:v>
      </x:c>
      <x:c r="S3837" s="22" t="n">
        <x:f>P3837-R3837</x:f>
        <x:v>897</x:v>
      </x:c>
      <x:c r="T3837" t="str">
        <x:v>Credit</x:v>
      </x:c>
      <x:c r="U3837" t="str">
        <x:v>Paid</x:v>
      </x:c>
      <x:c r="V3837" t="str">
        <x:v>Delayed</x:v>
      </x:c>
      <x:c r="W3837" t="n">
        <x:v>0</x:v>
      </x:c>
      <x:c r="X3837" t="str"/>
      <x:c r="Y3837" t="str">
        <x:v>WhatsApp</x:v>
      </x:c>
    </x:row>
    <x:row r="3838">
      <x:c r="A3838" t="str">
        <x:v>O003837</x:v>
      </x:c>
      <x:c r="B3838" s="20" t="n">
        <x:v>45838</x:v>
      </x:c>
      <x:c r="C3838" t="str">
        <x:v>C0130</x:v>
      </x:c>
      <x:c r="D3838" t="str">
        <x:v>Foodie Cafe 130</x:v>
      </x:c>
      <x:c r="E3838" t="str">
        <x:v>Restaurant</x:v>
      </x:c>
      <x:c r="F3838" t="str">
        <x:v>Davanagere</x:v>
      </x:c>
      <x:c r="G3838" t="str">
        <x:v>Megha</x:v>
      </x:c>
      <x:c r="H3838" t="str">
        <x:v>P020</x:v>
      </x:c>
      <x:c r="I3838" t="str">
        <x:v>Coffee 500g</x:v>
      </x:c>
      <x:c r="J3838" t="str">
        <x:v>Beverage</x:v>
      </x:c>
      <x:c r="K3838" t="str">
        <x:v>Bru</x:v>
      </x:c>
      <x:c r="L3838" s="22" t="n">
        <x:v>390</x:v>
      </x:c>
      <x:c r="M3838" t="n">
        <x:v>2</x:v>
      </x:c>
      <x:c r="N3838" s="24" t="n">
        <x:v>0.05</x:v>
      </x:c>
      <x:c r="O3838" s="22" t="n">
        <x:f>L3838*M3838</x:f>
        <x:v>780</x:v>
      </x:c>
      <x:c r="P3838" s="22" t="n">
        <x:f>O3838*(1-N3838)</x:f>
        <x:v>741</x:v>
      </x:c>
      <x:c r="Q3838" s="22" t="n">
        <x:v>350</x:v>
      </x:c>
      <x:c r="R3838" s="22" t="n">
        <x:f>Q3838*M3838</x:f>
        <x:v>700</x:v>
      </x:c>
      <x:c r="S3838" s="22" t="n">
        <x:f>P3838-R3838</x:f>
        <x:v>41</x:v>
      </x:c>
      <x:c r="T3838" t="str">
        <x:v>Cash</x:v>
      </x:c>
      <x:c r="U3838" t="str">
        <x:v>Paid</x:v>
      </x:c>
      <x:c r="V3838" t="str">
        <x:v>Cancelled</x:v>
      </x:c>
      <x:c r="W3838" t="n">
        <x:v>2</x:v>
      </x:c>
      <x:c r="X3838" t="str">
        <x:v>Cancelled Order</x:v>
      </x:c>
      <x:c r="Y3838" t="str">
        <x:v>Existing Customer</x:v>
      </x:c>
    </x:row>
    <x:row r="3839">
      <x:c r="A3839" t="str">
        <x:v>O003838</x:v>
      </x:c>
      <x:c r="B3839" s="20" t="n">
        <x:v>46173</x:v>
      </x:c>
      <x:c r="C3839" t="str">
        <x:v>C0064</x:v>
      </x:c>
      <x:c r="D3839" t="str">
        <x:v>Hotel Restaurant 64</x:v>
      </x:c>
      <x:c r="E3839" t="str">
        <x:v>Cafe</x:v>
      </x:c>
      <x:c r="F3839" t="str">
        <x:v>Mangaluru</x:v>
      </x:c>
      <x:c r="G3839" t="str">
        <x:v>Imran</x:v>
      </x:c>
      <x:c r="H3839" t="str">
        <x:v>P024</x:v>
      </x:c>
      <x:c r="I3839" t="str">
        <x:v>Orange Drink 1L</x:v>
      </x:c>
      <x:c r="J3839" t="str">
        <x:v>Beverage</x:v>
      </x:c>
      <x:c r="K3839" t="str">
        <x:v>Minute Maid</x:v>
      </x:c>
      <x:c r="L3839" s="22" t="n">
        <x:v>105</x:v>
      </x:c>
      <x:c r="M3839" t="n">
        <x:v>39</x:v>
      </x:c>
      <x:c r="N3839" s="24" t="n">
        <x:v>0.02</x:v>
      </x:c>
      <x:c r="O3839" s="22" t="n">
        <x:f>L3839*M3839</x:f>
        <x:v>4095</x:v>
      </x:c>
      <x:c r="P3839" s="22" t="n">
        <x:f>O3839*(1-N3839)</x:f>
        <x:v>4013.1</x:v>
      </x:c>
      <x:c r="Q3839" s="22" t="n">
        <x:v>88</x:v>
      </x:c>
      <x:c r="R3839" s="22" t="n">
        <x:f>Q3839*M3839</x:f>
        <x:v>3432</x:v>
      </x:c>
      <x:c r="S3839" s="22" t="n">
        <x:f>P3839-R3839</x:f>
        <x:v>581.0999999999999</x:v>
      </x:c>
      <x:c r="T3839" t="str">
        <x:v>Credit</x:v>
      </x:c>
      <x:c r="U3839" t="str">
        <x:v>Paid</x:v>
      </x:c>
      <x:c r="V3839" t="str">
        <x:v>Delivered</x:v>
      </x:c>
      <x:c r="W3839" t="n">
        <x:v>0</x:v>
      </x:c>
      <x:c r="X3839" t="str"/>
      <x:c r="Y3839" t="str">
        <x:v>Referral</x:v>
      </x:c>
    </x:row>
    <x:row r="3840">
      <x:c r="A3840" t="str">
        <x:v>O003839</x:v>
      </x:c>
      <x:c r="B3840" s="20" t="n">
        <x:v>46006</x:v>
      </x:c>
      <x:c r="C3840" t="str">
        <x:v>C0046</x:v>
      </x:c>
      <x:c r="D3840" t="str">
        <x:v>Annapurna Foods 46</x:v>
      </x:c>
      <x:c r="E3840" t="str">
        <x:v>Kirana</x:v>
      </x:c>
      <x:c r="F3840" t="str">
        <x:v>Bengaluru</x:v>
      </x:c>
      <x:c r="G3840" t="str">
        <x:v>Ramesh</x:v>
      </x:c>
      <x:c r="H3840" t="str">
        <x:v>P034</x:v>
      </x:c>
      <x:c r="I3840" t="str">
        <x:v>Chilli Powder 1kg</x:v>
      </x:c>
      <x:c r="J3840" t="str">
        <x:v>Spices</x:v>
      </x:c>
      <x:c r="K3840" t="str">
        <x:v>MDH</x:v>
      </x:c>
      <x:c r="L3840" s="22" t="n">
        <x:v>340</x:v>
      </x:c>
      <x:c r="M3840" t="n">
        <x:v>16</x:v>
      </x:c>
      <x:c r="N3840" s="24" t="n">
        <x:v>0</x:v>
      </x:c>
      <x:c r="O3840" s="22" t="n">
        <x:f>L3840*M3840</x:f>
        <x:v>5440</x:v>
      </x:c>
      <x:c r="P3840" s="22" t="n">
        <x:f>O3840*(1-N3840)</x:f>
        <x:v>5440</x:v>
      </x:c>
      <x:c r="Q3840" s="22" t="n">
        <x:v>295</x:v>
      </x:c>
      <x:c r="R3840" s="22" t="n">
        <x:f>Q3840*M3840</x:f>
        <x:v>4720</x:v>
      </x:c>
      <x:c r="S3840" s="22" t="n">
        <x:f>P3840-R3840</x:f>
        <x:v>720</x:v>
      </x:c>
      <x:c r="T3840" t="str">
        <x:v>UPI</x:v>
      </x:c>
      <x:c r="U3840" t="str">
        <x:v>Paid</x:v>
      </x:c>
      <x:c r="V3840" t="str">
        <x:v>Delivered</x:v>
      </x:c>
      <x:c r="W3840" t="n">
        <x:v>0</x:v>
      </x:c>
      <x:c r="X3840" t="str"/>
      <x:c r="Y3840" t="str">
        <x:v>Outbound Call</x:v>
      </x:c>
    </x:row>
    <x:row r="3841">
      <x:c r="A3841" t="str">
        <x:v>O003840</x:v>
      </x:c>
      <x:c r="B3841" s="20" t="n">
        <x:v>46143</x:v>
      </x:c>
      <x:c r="C3841" t="str">
        <x:v>C0183</x:v>
      </x:c>
      <x:c r="D3841" t="str">
        <x:v>Spice Mart 183</x:v>
      </x:c>
      <x:c r="E3841" t="str">
        <x:v>Kirana</x:v>
      </x:c>
      <x:c r="F3841" t="str">
        <x:v>Mangaluru</x:v>
      </x:c>
      <x:c r="G3841" t="str">
        <x:v>Kavya</x:v>
      </x:c>
      <x:c r="H3841" t="str">
        <x:v>P043</x:v>
      </x:c>
      <x:c r="I3841" t="str">
        <x:v>Chicken Breast 1kg</x:v>
      </x:c>
      <x:c r="J3841" t="str">
        <x:v>Protein</x:v>
      </x:c>
      <x:c r="K3841" t="str">
        <x:v>FreshToHome</x:v>
      </x:c>
      <x:c r="L3841" s="22" t="n">
        <x:v>260</x:v>
      </x:c>
      <x:c r="M3841" t="n">
        <x:v>38</x:v>
      </x:c>
      <x:c r="N3841" s="24" t="n">
        <x:v>0.1</x:v>
      </x:c>
      <x:c r="O3841" s="22" t="n">
        <x:f>L3841*M3841</x:f>
        <x:v>9880</x:v>
      </x:c>
      <x:c r="P3841" s="22" t="n">
        <x:f>O3841*(1-N3841)</x:f>
        <x:v>8892</x:v>
      </x:c>
      <x:c r="Q3841" s="22" t="n">
        <x:v>235</x:v>
      </x:c>
      <x:c r="R3841" s="22" t="n">
        <x:f>Q3841*M3841</x:f>
        <x:v>8930</x:v>
      </x:c>
      <x:c r="S3841" s="22" t="n">
        <x:f>P3841-R3841</x:f>
        <x:v>-38</x:v>
      </x:c>
      <x:c r="T3841" t="str">
        <x:v>Credit</x:v>
      </x:c>
      <x:c r="U3841" t="str">
        <x:v>Pending</x:v>
      </x:c>
      <x:c r="V3841" t="str">
        <x:v>Delivered</x:v>
      </x:c>
      <x:c r="W3841" t="n">
        <x:v>0</x:v>
      </x:c>
      <x:c r="X3841" t="str"/>
      <x:c r="Y3841" t="str">
        <x:v>Existing Customer</x:v>
      </x:c>
    </x:row>
    <x:row r="3842">
      <x:c r="A3842" t="str">
        <x:v>O003841</x:v>
      </x:c>
      <x:c r="B3842" s="20" t="n">
        <x:v>46241</x:v>
      </x:c>
      <x:c r="C3842" t="str">
        <x:v>C0018</x:v>
      </x:c>
      <x:c r="D3842" t="str">
        <x:v>Namma Canteen 18</x:v>
      </x:c>
      <x:c r="E3842" t="str">
        <x:v>Restaurant</x:v>
      </x:c>
      <x:c r="F3842" t="str">
        <x:v>Davanagere</x:v>
      </x:c>
      <x:c r="G3842" t="str">
        <x:v>Imran</x:v>
      </x:c>
      <x:c r="H3842" t="str">
        <x:v>P034</x:v>
      </x:c>
      <x:c r="I3842" t="str">
        <x:v>Chilli Powder 1kg</x:v>
      </x:c>
      <x:c r="J3842" t="str">
        <x:v>Spices</x:v>
      </x:c>
      <x:c r="K3842" t="str">
        <x:v>MDH</x:v>
      </x:c>
      <x:c r="L3842" s="22" t="n">
        <x:v>340</x:v>
      </x:c>
      <x:c r="M3842" t="n">
        <x:v>34</x:v>
      </x:c>
      <x:c r="N3842" s="24" t="n">
        <x:v>0.05</x:v>
      </x:c>
      <x:c r="O3842" s="22" t="n">
        <x:f>L3842*M3842</x:f>
        <x:v>11560</x:v>
      </x:c>
      <x:c r="P3842" s="22" t="n">
        <x:f>O3842*(1-N3842)</x:f>
        <x:v>10982</x:v>
      </x:c>
      <x:c r="Q3842" s="22" t="n">
        <x:v>295</x:v>
      </x:c>
      <x:c r="R3842" s="22" t="n">
        <x:f>Q3842*M3842</x:f>
        <x:v>10030</x:v>
      </x:c>
      <x:c r="S3842" s="22" t="n">
        <x:f>P3842-R3842</x:f>
        <x:v>952</x:v>
      </x:c>
      <x:c r="T3842" t="str">
        <x:v>Bank Transfer</x:v>
      </x:c>
      <x:c r="U3842" t="str">
        <x:v>Paid</x:v>
      </x:c>
      <x:c r="V3842" t="str">
        <x:v>Cancelled</x:v>
      </x:c>
      <x:c r="W3842" t="n">
        <x:v>34</x:v>
      </x:c>
      <x:c r="X3842" t="str">
        <x:v>Cancelled Order</x:v>
      </x:c>
      <x:c r="Y3842" t="str">
        <x:v>Outbound Call</x:v>
      </x:c>
    </x:row>
    <x:row r="3843">
      <x:c r="A3843" t="str">
        <x:v>O003842</x:v>
      </x:c>
      <x:c r="B3843" s="20" t="n">
        <x:v>45991</x:v>
      </x:c>
      <x:c r="C3843" t="str">
        <x:v>C0223</x:v>
      </x:c>
      <x:c r="D3843" t="str">
        <x:v>Classic Canteen 223</x:v>
      </x:c>
      <x:c r="E3843" t="str">
        <x:v>Restaurant</x:v>
      </x:c>
      <x:c r="F3843" t="str">
        <x:v>Tumakuru</x:v>
      </x:c>
      <x:c r="G3843" t="str">
        <x:v>Kavya</x:v>
      </x:c>
      <x:c r="H3843" t="str">
        <x:v>P037</x:v>
      </x:c>
      <x:c r="I3843" t="str">
        <x:v>Frozen Peas 1kg</x:v>
      </x:c>
      <x:c r="J3843" t="str">
        <x:v>Frozen</x:v>
      </x:c>
      <x:c r="K3843" t="str">
        <x:v>Safal</x:v>
      </x:c>
      <x:c r="L3843" s="22" t="n">
        <x:v>155</x:v>
      </x:c>
      <x:c r="M3843" t="n">
        <x:v>40</x:v>
      </x:c>
      <x:c r="N3843" s="24" t="n">
        <x:v>0.05</x:v>
      </x:c>
      <x:c r="O3843" s="22" t="n">
        <x:f>L3843*M3843</x:f>
        <x:v>6200</x:v>
      </x:c>
      <x:c r="P3843" s="22" t="n">
        <x:f>O3843*(1-N3843)</x:f>
        <x:v>5890</x:v>
      </x:c>
      <x:c r="Q3843" s="22" t="n">
        <x:v>138</x:v>
      </x:c>
      <x:c r="R3843" s="22" t="n">
        <x:f>Q3843*M3843</x:f>
        <x:v>5520</x:v>
      </x:c>
      <x:c r="S3843" s="22" t="n">
        <x:f>P3843-R3843</x:f>
        <x:v>370</x:v>
      </x:c>
      <x:c r="T3843" t="str">
        <x:v>Cash</x:v>
      </x:c>
      <x:c r="U3843" t="str">
        <x:v>Overdue</x:v>
      </x:c>
      <x:c r="V3843" t="str">
        <x:v>Delayed</x:v>
      </x:c>
      <x:c r="W3843" t="n">
        <x:v>0</x:v>
      </x:c>
      <x:c r="X3843" t="str"/>
      <x:c r="Y3843" t="str">
        <x:v>Referral</x:v>
      </x:c>
    </x:row>
    <x:row r="3844">
      <x:c r="A3844" t="str">
        <x:v>O003843</x:v>
      </x:c>
      <x:c r="B3844" s="20" t="n">
        <x:v>46231</x:v>
      </x:c>
      <x:c r="C3844" t="str">
        <x:v>C0017</x:v>
      </x:c>
      <x:c r="D3844" t="str">
        <x:v>City Foods 17</x:v>
      </x:c>
      <x:c r="E3844" t="str">
        <x:v>Restaurant</x:v>
      </x:c>
      <x:c r="F3844" t="str">
        <x:v>Tumakuru</x:v>
      </x:c>
      <x:c r="G3844" t="str">
        <x:v>Imran</x:v>
      </x:c>
      <x:c r="H3844" t="str">
        <x:v>P008</x:v>
      </x:c>
      <x:c r="I3844" t="str">
        <x:v>Palm Oil 15L</x:v>
      </x:c>
      <x:c r="J3844" t="str">
        <x:v>Edible Oil</x:v>
      </x:c>
      <x:c r="K3844" t="str">
        <x:v>Ruchi Gold</x:v>
      </x:c>
      <x:c r="L3844" s="22" t="n">
        <x:v>1760</x:v>
      </x:c>
      <x:c r="M3844" t="n">
        <x:v>12</x:v>
      </x:c>
      <x:c r="N3844" s="24" t="n">
        <x:v>0.03</x:v>
      </x:c>
      <x:c r="O3844" s="22" t="n">
        <x:f>L3844*M3844</x:f>
        <x:v>21120</x:v>
      </x:c>
      <x:c r="P3844" s="22" t="n">
        <x:f>O3844*(1-N3844)</x:f>
        <x:v>20486.399999999998</x:v>
      </x:c>
      <x:c r="Q3844" s="22" t="n">
        <x:v>1610</x:v>
      </x:c>
      <x:c r="R3844" s="22" t="n">
        <x:f>Q3844*M3844</x:f>
        <x:v>19320</x:v>
      </x:c>
      <x:c r="S3844" s="22" t="n">
        <x:f>P3844-R3844</x:f>
        <x:v>1166.3999999999978</x:v>
      </x:c>
      <x:c r="T3844" t="str">
        <x:v>Bank Transfer</x:v>
      </x:c>
      <x:c r="U3844" t="str">
        <x:v>Overdue</x:v>
      </x:c>
      <x:c r="V3844" t="str">
        <x:v>Delivered</x:v>
      </x:c>
      <x:c r="W3844" t="n">
        <x:v>0</x:v>
      </x:c>
      <x:c r="X3844" t="str"/>
      <x:c r="Y3844" t="str">
        <x:v>Outbound Call</x:v>
      </x:c>
    </x:row>
    <x:row r="3845">
      <x:c r="A3845" t="str">
        <x:v>O003844</x:v>
      </x:c>
      <x:c r="B3845" s="20" t="n">
        <x:v>45876</x:v>
      </x:c>
      <x:c r="C3845" t="str">
        <x:v>C0072</x:v>
      </x:c>
      <x:c r="D3845" t="str">
        <x:v>Grand Restaurant 72</x:v>
      </x:c>
      <x:c r="E3845" t="str">
        <x:v>Restaurant</x:v>
      </x:c>
      <x:c r="F3845" t="str">
        <x:v>Davanagere</x:v>
      </x:c>
      <x:c r="G3845" t="str">
        <x:v>Kavya</x:v>
      </x:c>
      <x:c r="H3845" t="str">
        <x:v>P030</x:v>
      </x:c>
      <x:c r="I3845" t="str">
        <x:v>Mayonnaise 1kg</x:v>
      </x:c>
      <x:c r="J3845" t="str">
        <x:v>Condiments</x:v>
      </x:c>
      <x:c r="K3845" t="str">
        <x:v>Veeba</x:v>
      </x:c>
      <x:c r="L3845" s="22" t="n">
        <x:v>210</x:v>
      </x:c>
      <x:c r="M3845" t="n">
        <x:v>32</x:v>
      </x:c>
      <x:c r="N3845" s="24" t="n">
        <x:v>0.03</x:v>
      </x:c>
      <x:c r="O3845" s="22" t="n">
        <x:f>L3845*M3845</x:f>
        <x:v>6720</x:v>
      </x:c>
      <x:c r="P3845" s="22" t="n">
        <x:f>O3845*(1-N3845)</x:f>
        <x:v>6518.4</x:v>
      </x:c>
      <x:c r="Q3845" s="22" t="n">
        <x:v>185</x:v>
      </x:c>
      <x:c r="R3845" s="22" t="n">
        <x:f>Q3845*M3845</x:f>
        <x:v>5920</x:v>
      </x:c>
      <x:c r="S3845" s="22" t="n">
        <x:f>P3845-R3845</x:f>
        <x:v>598.3999999999996</x:v>
      </x:c>
      <x:c r="T3845" t="str">
        <x:v>Credit</x:v>
      </x:c>
      <x:c r="U3845" t="str">
        <x:v>Paid</x:v>
      </x:c>
      <x:c r="V3845" t="str">
        <x:v>Cancelled</x:v>
      </x:c>
      <x:c r="W3845" t="n">
        <x:v>32</x:v>
      </x:c>
      <x:c r="X3845" t="str">
        <x:v>Cancelled Order</x:v>
      </x:c>
      <x:c r="Y3845" t="str">
        <x:v>Referral</x:v>
      </x:c>
    </x:row>
    <x:row r="3846">
      <x:c r="A3846" t="str">
        <x:v>O003845</x:v>
      </x:c>
      <x:c r="B3846" s="20" t="n">
        <x:v>46046</x:v>
      </x:c>
      <x:c r="C3846" t="str">
        <x:v>C0201</x:v>
      </x:c>
      <x:c r="D3846" t="str">
        <x:v>Metro Hotel 201</x:v>
      </x:c>
      <x:c r="E3846" t="str">
        <x:v>Kirana</x:v>
      </x:c>
      <x:c r="F3846" t="str">
        <x:v>Mysuru</x:v>
      </x:c>
      <x:c r="G3846" t="str">
        <x:v>Imran</x:v>
      </x:c>
      <x:c r="H3846" t="str">
        <x:v>P038</x:v>
      </x:c>
      <x:c r="I3846" t="str">
        <x:v>French Fries 2.5kg</x:v>
      </x:c>
      <x:c r="J3846" t="str">
        <x:v>Frozen</x:v>
      </x:c>
      <x:c r="K3846" t="str">
        <x:v>McCain</x:v>
      </x:c>
      <x:c r="L3846" s="22" t="n">
        <x:v>360</x:v>
      </x:c>
      <x:c r="M3846" t="n">
        <x:v>23</x:v>
      </x:c>
      <x:c r="N3846" s="24" t="n">
        <x:v>0.02</x:v>
      </x:c>
      <x:c r="O3846" s="22" t="n">
        <x:f>L3846*M3846</x:f>
        <x:v>8280</x:v>
      </x:c>
      <x:c r="P3846" s="22" t="n">
        <x:f>O3846*(1-N3846)</x:f>
        <x:v>8114.4</x:v>
      </x:c>
      <x:c r="Q3846" s="22" t="n">
        <x:v>315</x:v>
      </x:c>
      <x:c r="R3846" s="22" t="n">
        <x:f>Q3846*M3846</x:f>
        <x:v>7245</x:v>
      </x:c>
      <x:c r="S3846" s="22" t="n">
        <x:f>P3846-R3846</x:f>
        <x:v>869.3999999999996</x:v>
      </x:c>
      <x:c r="T3846" t="str">
        <x:v>Credit</x:v>
      </x:c>
      <x:c r="U3846" t="str">
        <x:v>Paid</x:v>
      </x:c>
      <x:c r="V3846" t="str">
        <x:v>Delayed</x:v>
      </x:c>
      <x:c r="W3846" t="n">
        <x:v>0</x:v>
      </x:c>
      <x:c r="X3846" t="str"/>
      <x:c r="Y3846" t="str">
        <x:v>Outbound Call</x:v>
      </x:c>
    </x:row>
    <x:row r="3847">
      <x:c r="A3847" t="str">
        <x:v>O003846</x:v>
      </x:c>
      <x:c r="B3847" s="20" t="n">
        <x:v>45815</x:v>
      </x:c>
      <x:c r="C3847" t="str">
        <x:v>C0142</x:v>
      </x:c>
      <x:c r="D3847" t="str">
        <x:v>Darshini Mart 142</x:v>
      </x:c>
      <x:c r="E3847" t="str">
        <x:v>Cafe</x:v>
      </x:c>
      <x:c r="F3847" t="str">
        <x:v>Bengaluru</x:v>
      </x:c>
      <x:c r="G3847" t="str">
        <x:v>Megha</x:v>
      </x:c>
      <x:c r="H3847" t="str">
        <x:v>P041</x:v>
      </x:c>
      <x:c r="I3847" t="str">
        <x:v>Burger Bun 6pc</x:v>
      </x:c>
      <x:c r="J3847" t="str">
        <x:v>Bakery</x:v>
      </x:c>
      <x:c r="K3847" t="str">
        <x:v>Modern</x:v>
      </x:c>
      <x:c r="L3847" s="22" t="n">
        <x:v>42</x:v>
      </x:c>
      <x:c r="M3847" t="n">
        <x:v>9</x:v>
      </x:c>
      <x:c r="N3847" s="24" t="n">
        <x:v>0</x:v>
      </x:c>
      <x:c r="O3847" s="22" t="n">
        <x:f>L3847*M3847</x:f>
        <x:v>378</x:v>
      </x:c>
      <x:c r="P3847" s="22" t="n">
        <x:f>O3847*(1-N3847)</x:f>
        <x:v>378</x:v>
      </x:c>
      <x:c r="Q3847" s="22" t="n">
        <x:v>32</x:v>
      </x:c>
      <x:c r="R3847" s="22" t="n">
        <x:f>Q3847*M3847</x:f>
        <x:v>288</x:v>
      </x:c>
      <x:c r="S3847" s="22" t="n">
        <x:f>P3847-R3847</x:f>
        <x:v>90</x:v>
      </x:c>
      <x:c r="T3847" t="str">
        <x:v>UPI</x:v>
      </x:c>
      <x:c r="U3847" t="str">
        <x:v>Paid</x:v>
      </x:c>
      <x:c r="V3847" t="str">
        <x:v>Delivered</x:v>
      </x:c>
      <x:c r="W3847" t="n">
        <x:v>0</x:v>
      </x:c>
      <x:c r="X3847" t="str"/>
      <x:c r="Y3847" t="str">
        <x:v>Field Visit</x:v>
      </x:c>
    </x:row>
    <x:row r="3848">
      <x:c r="A3848" t="str">
        <x:v>O003847</x:v>
      </x:c>
      <x:c r="B3848" s="20" t="n">
        <x:v>46084</x:v>
      </x:c>
      <x:c r="C3848" t="str">
        <x:v>C0210</x:v>
      </x:c>
      <x:c r="D3848" t="str">
        <x:v>Spice Stores 210</x:v>
      </x:c>
      <x:c r="E3848" t="str">
        <x:v>Cafe</x:v>
      </x:c>
      <x:c r="F3848" t="str">
        <x:v>Davanagere</x:v>
      </x:c>
      <x:c r="G3848" t="str">
        <x:v>Imran</x:v>
      </x:c>
      <x:c r="H3848" t="str">
        <x:v>P027</x:v>
      </x:c>
      <x:c r="I3848" t="str">
        <x:v>Biscuits 120g</x:v>
      </x:c>
      <x:c r="J3848" t="str">
        <x:v>Snacks</x:v>
      </x:c>
      <x:c r="K3848" t="str">
        <x:v>Parle-G</x:v>
      </x:c>
      <x:c r="L3848" s="22" t="n">
        <x:v>12</x:v>
      </x:c>
      <x:c r="M3848" t="n">
        <x:v>39</x:v>
      </x:c>
      <x:c r="N3848" s="24" t="n">
        <x:v>0</x:v>
      </x:c>
      <x:c r="O3848" s="22" t="n">
        <x:f>L3848*M3848</x:f>
        <x:v>468</x:v>
      </x:c>
      <x:c r="P3848" s="22" t="n">
        <x:f>O3848*(1-N3848)</x:f>
        <x:v>468</x:v>
      </x:c>
      <x:c r="Q3848" s="22" t="n">
        <x:v>9</x:v>
      </x:c>
      <x:c r="R3848" s="22" t="n">
        <x:f>Q3848*M3848</x:f>
        <x:v>351</x:v>
      </x:c>
      <x:c r="S3848" s="22" t="n">
        <x:f>P3848-R3848</x:f>
        <x:v>117</x:v>
      </x:c>
      <x:c r="T3848" t="str">
        <x:v>Bank Transfer</x:v>
      </x:c>
      <x:c r="U3848" t="str">
        <x:v>Paid</x:v>
      </x:c>
      <x:c r="V3848" t="str">
        <x:v>Delivered</x:v>
      </x:c>
      <x:c r="W3848" t="n">
        <x:v>0</x:v>
      </x:c>
      <x:c r="X3848" t="str"/>
      <x:c r="Y3848" t="str">
        <x:v>Existing Customer</x:v>
      </x:c>
    </x:row>
    <x:row r="3849">
      <x:c r="A3849" t="str">
        <x:v>O003848</x:v>
      </x:c>
      <x:c r="B3849" s="20" t="n">
        <x:v>45701</x:v>
      </x:c>
      <x:c r="C3849" t="str">
        <x:v>C0065</x:v>
      </x:c>
      <x:c r="D3849" t="str">
        <x:v>Mysore Stores 65</x:v>
      </x:c>
      <x:c r="E3849" t="str">
        <x:v>Kirana</x:v>
      </x:c>
      <x:c r="F3849" t="str">
        <x:v>Tumakuru</x:v>
      </x:c>
      <x:c r="G3849" t="str">
        <x:v>Sneha</x:v>
      </x:c>
      <x:c r="H3849" t="str">
        <x:v>P038</x:v>
      </x:c>
      <x:c r="I3849" t="str">
        <x:v>French Fries 2.5kg</x:v>
      </x:c>
      <x:c r="J3849" t="str">
        <x:v>Frozen</x:v>
      </x:c>
      <x:c r="K3849" t="str">
        <x:v>McCain</x:v>
      </x:c>
      <x:c r="L3849" s="22" t="n">
        <x:v>360</x:v>
      </x:c>
      <x:c r="M3849" t="n">
        <x:v>37</x:v>
      </x:c>
      <x:c r="N3849" s="24" t="n">
        <x:v>0.05</x:v>
      </x:c>
      <x:c r="O3849" s="22" t="n">
        <x:f>L3849*M3849</x:f>
        <x:v>13320</x:v>
      </x:c>
      <x:c r="P3849" s="22" t="n">
        <x:f>O3849*(1-N3849)</x:f>
        <x:v>12654</x:v>
      </x:c>
      <x:c r="Q3849" s="22" t="n">
        <x:v>315</x:v>
      </x:c>
      <x:c r="R3849" s="22" t="n">
        <x:f>Q3849*M3849</x:f>
        <x:v>11655</x:v>
      </x:c>
      <x:c r="S3849" s="22" t="n">
        <x:f>P3849-R3849</x:f>
        <x:v>999</x:v>
      </x:c>
      <x:c r="T3849" t="str">
        <x:v>Credit</x:v>
      </x:c>
      <x:c r="U3849" t="str">
        <x:v>Paid</x:v>
      </x:c>
      <x:c r="V3849" t="str">
        <x:v>Cancelled</x:v>
      </x:c>
      <x:c r="W3849" t="n">
        <x:v>37</x:v>
      </x:c>
      <x:c r="X3849" t="str">
        <x:v>Cancelled Order</x:v>
      </x:c>
      <x:c r="Y3849" t="str">
        <x:v>Outbound Call</x:v>
      </x:c>
    </x:row>
    <x:row r="3850">
      <x:c r="A3850" t="str">
        <x:v>O003849</x:v>
      </x:c>
      <x:c r="B3850" s="20" t="n">
        <x:v>45929</x:v>
      </x:c>
      <x:c r="C3850" t="str">
        <x:v>C0003</x:v>
      </x:c>
      <x:c r="D3850" t="str">
        <x:v>Grand Foods 3</x:v>
      </x:c>
      <x:c r="E3850" t="str">
        <x:v>Restaurant</x:v>
      </x:c>
      <x:c r="F3850" t="str">
        <x:v>Bengaluru</x:v>
      </x:c>
      <x:c r="G3850" t="str">
        <x:v>Vikram</x:v>
      </x:c>
      <x:c r="H3850" t="str">
        <x:v>P001</x:v>
      </x:c>
      <x:c r="I3850" t="str">
        <x:v>Steam Rice 25kg</x:v>
      </x:c>
      <x:c r="J3850" t="str">
        <x:v>Staples</x:v>
      </x:c>
      <x:c r="K3850" t="str">
        <x:v>Aishwarya</x:v>
      </x:c>
      <x:c r="L3850" s="22" t="n">
        <x:v>1180</x:v>
      </x:c>
      <x:c r="M3850" t="n">
        <x:v>9</x:v>
      </x:c>
      <x:c r="N3850" s="24" t="n">
        <x:v>0.05</x:v>
      </x:c>
      <x:c r="O3850" s="22" t="n">
        <x:f>L3850*M3850</x:f>
        <x:v>10620</x:v>
      </x:c>
      <x:c r="P3850" s="22" t="n">
        <x:f>O3850*(1-N3850)</x:f>
        <x:v>10089</x:v>
      </x:c>
      <x:c r="Q3850" s="22" t="n">
        <x:v>1040</x:v>
      </x:c>
      <x:c r="R3850" s="22" t="n">
        <x:f>Q3850*M3850</x:f>
        <x:v>9360</x:v>
      </x:c>
      <x:c r="S3850" s="22" t="n">
        <x:f>P3850-R3850</x:f>
        <x:v>729</x:v>
      </x:c>
      <x:c r="T3850" t="str">
        <x:v>Bank Transfer</x:v>
      </x:c>
      <x:c r="U3850" t="str">
        <x:v>Paid</x:v>
      </x:c>
      <x:c r="V3850" t="str">
        <x:v>Cancelled</x:v>
      </x:c>
      <x:c r="W3850" t="n">
        <x:v>9</x:v>
      </x:c>
      <x:c r="X3850" t="str">
        <x:v>Cancelled Order</x:v>
      </x:c>
      <x:c r="Y3850" t="str">
        <x:v>Referral</x:v>
      </x:c>
    </x:row>
    <x:row r="3851">
      <x:c r="A3851" t="str">
        <x:v>O003850</x:v>
      </x:c>
      <x:c r="B3851" s="20" t="n">
        <x:v>45958</x:v>
      </x:c>
      <x:c r="C3851" t="str">
        <x:v>C0173</x:v>
      </x:c>
      <x:c r="D3851" t="str">
        <x:v>Royal Kitchen 173</x:v>
      </x:c>
      <x:c r="E3851" t="str">
        <x:v>Hotel</x:v>
      </x:c>
      <x:c r="F3851" t="str">
        <x:v>Bengaluru</x:v>
      </x:c>
      <x:c r="G3851" t="str">
        <x:v>Priya</x:v>
      </x:c>
      <x:c r="H3851" t="str">
        <x:v>P042</x:v>
      </x:c>
      <x:c r="I3851" t="str">
        <x:v>Eggs 30pc Tray</x:v>
      </x:c>
      <x:c r="J3851" t="str">
        <x:v>Protein</x:v>
      </x:c>
      <x:c r="K3851" t="str">
        <x:v>Farm Fresh</x:v>
      </x:c>
      <x:c r="L3851" s="22" t="n">
        <x:v>195</x:v>
      </x:c>
      <x:c r="M3851" t="n">
        <x:v>38</x:v>
      </x:c>
      <x:c r="N3851" s="24" t="n">
        <x:v>0.1</x:v>
      </x:c>
      <x:c r="O3851" s="22" t="n">
        <x:f>L3851*M3851</x:f>
        <x:v>7410</x:v>
      </x:c>
      <x:c r="P3851" s="22" t="n">
        <x:f>O3851*(1-N3851)</x:f>
        <x:v>6669</x:v>
      </x:c>
      <x:c r="Q3851" s="22" t="n">
        <x:v>170</x:v>
      </x:c>
      <x:c r="R3851" s="22" t="n">
        <x:f>Q3851*M3851</x:f>
        <x:v>6460</x:v>
      </x:c>
      <x:c r="S3851" s="22" t="n">
        <x:f>P3851-R3851</x:f>
        <x:v>209</x:v>
      </x:c>
      <x:c r="T3851" t="str">
        <x:v>Credit</x:v>
      </x:c>
      <x:c r="U3851" t="str">
        <x:v>Paid</x:v>
      </x:c>
      <x:c r="V3851" t="str">
        <x:v>Cancelled</x:v>
      </x:c>
      <x:c r="W3851" t="n">
        <x:v>38</x:v>
      </x:c>
      <x:c r="X3851" t="str">
        <x:v>Cancelled Order</x:v>
      </x:c>
      <x:c r="Y3851" t="str">
        <x:v>Referral</x:v>
      </x:c>
    </x:row>
    <x:row r="3852">
      <x:c r="A3852" t="str">
        <x:v>O003851</x:v>
      </x:c>
      <x:c r="B3852" s="20" t="n">
        <x:v>45861</x:v>
      </x:c>
      <x:c r="C3852" t="str">
        <x:v>C0209</x:v>
      </x:c>
      <x:c r="D3852" t="str">
        <x:v>Shree Hotel 209</x:v>
      </x:c>
      <x:c r="E3852" t="str">
        <x:v>Restaurant</x:v>
      </x:c>
      <x:c r="F3852" t="str">
        <x:v>Tumakuru</x:v>
      </x:c>
      <x:c r="G3852" t="str">
        <x:v>Ramesh</x:v>
      </x:c>
      <x:c r="H3852" t="str">
        <x:v>P034</x:v>
      </x:c>
      <x:c r="I3852" t="str">
        <x:v>Chilli Powder 1kg</x:v>
      </x:c>
      <x:c r="J3852" t="str">
        <x:v>Spices</x:v>
      </x:c>
      <x:c r="K3852" t="str">
        <x:v>MDH</x:v>
      </x:c>
      <x:c r="L3852" s="22" t="n">
        <x:v>340</x:v>
      </x:c>
      <x:c r="M3852" t="n">
        <x:v>3</x:v>
      </x:c>
      <x:c r="N3852" s="24" t="n">
        <x:v>0.08</x:v>
      </x:c>
      <x:c r="O3852" s="22" t="n">
        <x:f>L3852*M3852</x:f>
        <x:v>1020</x:v>
      </x:c>
      <x:c r="P3852" s="22" t="n">
        <x:f>O3852*(1-N3852)</x:f>
        <x:v>938.4000000000001</x:v>
      </x:c>
      <x:c r="Q3852" s="22" t="n">
        <x:v>295</x:v>
      </x:c>
      <x:c r="R3852" s="22" t="n">
        <x:f>Q3852*M3852</x:f>
        <x:v>885</x:v>
      </x:c>
      <x:c r="S3852" s="22" t="n">
        <x:f>P3852-R3852</x:f>
        <x:v>53.40000000000009</x:v>
      </x:c>
      <x:c r="T3852" t="str">
        <x:v>Cash</x:v>
      </x:c>
      <x:c r="U3852" t="str">
        <x:v>Paid</x:v>
      </x:c>
      <x:c r="V3852" t="str">
        <x:v>Delivered</x:v>
      </x:c>
      <x:c r="W3852" t="n">
        <x:v>0</x:v>
      </x:c>
      <x:c r="X3852" t="str"/>
      <x:c r="Y3852" t="str">
        <x:v>Referral</x:v>
      </x:c>
    </x:row>
    <x:row r="3853">
      <x:c r="A3853" t="str">
        <x:v>O003852</x:v>
      </x:c>
      <x:c r="B3853" s="20" t="n">
        <x:v>45880</x:v>
      </x:c>
      <x:c r="C3853" t="str">
        <x:v>C0017</x:v>
      </x:c>
      <x:c r="D3853" t="str">
        <x:v>City Foods 17</x:v>
      </x:c>
      <x:c r="E3853" t="str">
        <x:v>Restaurant</x:v>
      </x:c>
      <x:c r="F3853" t="str">
        <x:v>Tumakuru</x:v>
      </x:c>
      <x:c r="G3853" t="str">
        <x:v>Imran</x:v>
      </x:c>
      <x:c r="H3853" t="str">
        <x:v>P012</x:v>
      </x:c>
      <x:c r="I3853" t="str">
        <x:v>Maida 10kg</x:v>
      </x:c>
      <x:c r="J3853" t="str">
        <x:v>Flour</x:v>
      </x:c>
      <x:c r="K3853" t="str">
        <x:v>Aashirvaad</x:v>
      </x:c>
      <x:c r="L3853" s="22" t="n">
        <x:v>520</x:v>
      </x:c>
      <x:c r="M3853" t="n">
        <x:v>17</x:v>
      </x:c>
      <x:c r="N3853" s="24" t="n">
        <x:v>0</x:v>
      </x:c>
      <x:c r="O3853" s="22" t="n">
        <x:f>L3853*M3853</x:f>
        <x:v>8840</x:v>
      </x:c>
      <x:c r="P3853" s="22" t="n">
        <x:f>O3853*(1-N3853)</x:f>
        <x:v>8840</x:v>
      </x:c>
      <x:c r="Q3853" s="22" t="n">
        <x:v>460</x:v>
      </x:c>
      <x:c r="R3853" s="22" t="n">
        <x:f>Q3853*M3853</x:f>
        <x:v>7820</x:v>
      </x:c>
      <x:c r="S3853" s="22" t="n">
        <x:f>P3853-R3853</x:f>
        <x:v>1020</x:v>
      </x:c>
      <x:c r="T3853" t="str">
        <x:v>Bank Transfer</x:v>
      </x:c>
      <x:c r="U3853" t="str">
        <x:v>Paid</x:v>
      </x:c>
      <x:c r="V3853" t="str">
        <x:v>Delivered</x:v>
      </x:c>
      <x:c r="W3853" t="n">
        <x:v>0</x:v>
      </x:c>
      <x:c r="X3853" t="str"/>
      <x:c r="Y3853" t="str">
        <x:v>WhatsApp</x:v>
      </x:c>
    </x:row>
    <x:row r="3854">
      <x:c r="A3854" t="str">
        <x:v>O003853</x:v>
      </x:c>
      <x:c r="B3854" s="20" t="n">
        <x:v>45875</x:v>
      </x:c>
      <x:c r="C3854" t="str">
        <x:v>C0128</x:v>
      </x:c>
      <x:c r="D3854" t="str">
        <x:v>Fresh Hotel 128</x:v>
      </x:c>
      <x:c r="E3854" t="str">
        <x:v>Kirana</x:v>
      </x:c>
      <x:c r="F3854" t="str">
        <x:v>Tumakuru</x:v>
      </x:c>
      <x:c r="G3854" t="str">
        <x:v>Priya</x:v>
      </x:c>
      <x:c r="H3854" t="str">
        <x:v>P029</x:v>
      </x:c>
      <x:c r="I3854" t="str">
        <x:v>Tomato Ketchup 1kg</x:v>
      </x:c>
      <x:c r="J3854" t="str">
        <x:v>Condiments</x:v>
      </x:c>
      <x:c r="K3854" t="str">
        <x:v>Kissan</x:v>
      </x:c>
      <x:c r="L3854" s="22" t="n">
        <x:v>145</x:v>
      </x:c>
      <x:c r="M3854" t="n">
        <x:v>17</x:v>
      </x:c>
      <x:c r="N3854" s="24" t="n">
        <x:v>0.08</x:v>
      </x:c>
      <x:c r="O3854" s="22" t="n">
        <x:f>L3854*M3854</x:f>
        <x:v>2465</x:v>
      </x:c>
      <x:c r="P3854" s="22" t="n">
        <x:f>O3854*(1-N3854)</x:f>
        <x:v>2267.8</x:v>
      </x:c>
      <x:c r="Q3854" s="22" t="n">
        <x:v>126</x:v>
      </x:c>
      <x:c r="R3854" s="22" t="n">
        <x:f>Q3854*M3854</x:f>
        <x:v>2142</x:v>
      </x:c>
      <x:c r="S3854" s="22" t="n">
        <x:f>P3854-R3854</x:f>
        <x:v>125.80000000000018</x:v>
      </x:c>
      <x:c r="T3854" t="str">
        <x:v>Bank Transfer</x:v>
      </x:c>
      <x:c r="U3854" t="str">
        <x:v>Paid</x:v>
      </x:c>
      <x:c r="V3854" t="str">
        <x:v>Delivered</x:v>
      </x:c>
      <x:c r="W3854" t="n">
        <x:v>0</x:v>
      </x:c>
      <x:c r="X3854" t="str"/>
      <x:c r="Y3854" t="str">
        <x:v>WhatsApp</x:v>
      </x:c>
    </x:row>
    <x:row r="3855">
      <x:c r="A3855" t="str">
        <x:v>O003854</x:v>
      </x:c>
      <x:c r="B3855" s="20" t="n">
        <x:v>45729</x:v>
      </x:c>
      <x:c r="C3855" t="str">
        <x:v>C0053</x:v>
      </x:c>
      <x:c r="D3855" t="str">
        <x:v>Fresh Cafe 53</x:v>
      </x:c>
      <x:c r="E3855" t="str">
        <x:v>Supermarket</x:v>
      </x:c>
      <x:c r="F3855" t="str">
        <x:v>Mangaluru</x:v>
      </x:c>
      <x:c r="G3855" t="str">
        <x:v>Megha</x:v>
      </x:c>
      <x:c r="H3855" t="str">
        <x:v>P043</x:v>
      </x:c>
      <x:c r="I3855" t="str">
        <x:v>Chicken Breast 1kg</x:v>
      </x:c>
      <x:c r="J3855" t="str">
        <x:v>Protein</x:v>
      </x:c>
      <x:c r="K3855" t="str">
        <x:v>FreshToHome</x:v>
      </x:c>
      <x:c r="L3855" s="22" t="n">
        <x:v>260</x:v>
      </x:c>
      <x:c r="M3855" t="n">
        <x:v>1</x:v>
      </x:c>
      <x:c r="N3855" s="24" t="n">
        <x:v>0.02</x:v>
      </x:c>
      <x:c r="O3855" s="22" t="n">
        <x:f>L3855*M3855</x:f>
        <x:v>260</x:v>
      </x:c>
      <x:c r="P3855" s="22" t="n">
        <x:f>O3855*(1-N3855)</x:f>
        <x:v>254.79999999999998</x:v>
      </x:c>
      <x:c r="Q3855" s="22" t="n">
        <x:v>235</x:v>
      </x:c>
      <x:c r="R3855" s="22" t="n">
        <x:f>Q3855*M3855</x:f>
        <x:v>235</x:v>
      </x:c>
      <x:c r="S3855" s="22" t="n">
        <x:f>P3855-R3855</x:f>
        <x:v>19.799999999999983</x:v>
      </x:c>
      <x:c r="T3855" t="str">
        <x:v>Credit</x:v>
      </x:c>
      <x:c r="U3855" t="str">
        <x:v>Paid</x:v>
      </x:c>
      <x:c r="V3855" t="str">
        <x:v>Delivered</x:v>
      </x:c>
      <x:c r="W3855" t="n">
        <x:v>1</x:v>
      </x:c>
      <x:c r="X3855" t="str">
        <x:v>Damaged</x:v>
      </x:c>
      <x:c r="Y3855" t="str">
        <x:v>Referral</x:v>
      </x:c>
    </x:row>
    <x:row r="3856">
      <x:c r="A3856" t="str">
        <x:v>O003855</x:v>
      </x:c>
      <x:c r="B3856" s="20" t="n">
        <x:v>45745</x:v>
      </x:c>
      <x:c r="C3856" t="str">
        <x:v>C0008</x:v>
      </x:c>
      <x:c r="D3856" t="str">
        <x:v>Namma Kitchen 8</x:v>
      </x:c>
      <x:c r="E3856" t="str">
        <x:v>Kirana</x:v>
      </x:c>
      <x:c r="F3856" t="str">
        <x:v>Bengaluru</x:v>
      </x:c>
      <x:c r="G3856" t="str">
        <x:v>Vikram</x:v>
      </x:c>
      <x:c r="H3856" t="str">
        <x:v>P027</x:v>
      </x:c>
      <x:c r="I3856" t="str">
        <x:v>Biscuits 120g</x:v>
      </x:c>
      <x:c r="J3856" t="str">
        <x:v>Snacks</x:v>
      </x:c>
      <x:c r="K3856" t="str">
        <x:v>Parle-G</x:v>
      </x:c>
      <x:c r="L3856" s="22" t="n">
        <x:v>12</x:v>
      </x:c>
      <x:c r="M3856" t="n">
        <x:v>37</x:v>
      </x:c>
      <x:c r="N3856" s="24" t="n">
        <x:v>0.03</x:v>
      </x:c>
      <x:c r="O3856" s="22" t="n">
        <x:f>L3856*M3856</x:f>
        <x:v>444</x:v>
      </x:c>
      <x:c r="P3856" s="22" t="n">
        <x:f>O3856*(1-N3856)</x:f>
        <x:v>430.68</x:v>
      </x:c>
      <x:c r="Q3856" s="22" t="n">
        <x:v>9</x:v>
      </x:c>
      <x:c r="R3856" s="22" t="n">
        <x:f>Q3856*M3856</x:f>
        <x:v>333</x:v>
      </x:c>
      <x:c r="S3856" s="22" t="n">
        <x:f>P3856-R3856</x:f>
        <x:v>97.68</x:v>
      </x:c>
      <x:c r="T3856" t="str">
        <x:v>Credit</x:v>
      </x:c>
      <x:c r="U3856" t="str">
        <x:v>Pending</x:v>
      </x:c>
      <x:c r="V3856" t="str">
        <x:v>Delivered</x:v>
      </x:c>
      <x:c r="W3856" t="n">
        <x:v>0</x:v>
      </x:c>
      <x:c r="X3856" t="str"/>
      <x:c r="Y3856" t="str">
        <x:v>WhatsApp</x:v>
      </x:c>
    </x:row>
    <x:row r="3857">
      <x:c r="A3857" t="str">
        <x:v>O003856</x:v>
      </x:c>
      <x:c r="B3857" s="20" t="n">
        <x:v>45937</x:v>
      </x:c>
      <x:c r="C3857" t="str">
        <x:v>C0128</x:v>
      </x:c>
      <x:c r="D3857" t="str">
        <x:v>Fresh Hotel 128</x:v>
      </x:c>
      <x:c r="E3857" t="str">
        <x:v>Kirana</x:v>
      </x:c>
      <x:c r="F3857" t="str">
        <x:v>Tumakuru</x:v>
      </x:c>
      <x:c r="G3857" t="str">
        <x:v>Priya</x:v>
      </x:c>
      <x:c r="H3857" t="str">
        <x:v>P043</x:v>
      </x:c>
      <x:c r="I3857" t="str">
        <x:v>Chicken Breast 1kg</x:v>
      </x:c>
      <x:c r="J3857" t="str">
        <x:v>Protein</x:v>
      </x:c>
      <x:c r="K3857" t="str">
        <x:v>FreshToHome</x:v>
      </x:c>
      <x:c r="L3857" s="22" t="n">
        <x:v>260</x:v>
      </x:c>
      <x:c r="M3857" t="n">
        <x:v>31</x:v>
      </x:c>
      <x:c r="N3857" s="24" t="n">
        <x:v>0</x:v>
      </x:c>
      <x:c r="O3857" s="22" t="n">
        <x:f>L3857*M3857</x:f>
        <x:v>8060</x:v>
      </x:c>
      <x:c r="P3857" s="22" t="n">
        <x:f>O3857*(1-N3857)</x:f>
        <x:v>8060</x:v>
      </x:c>
      <x:c r="Q3857" s="22" t="n">
        <x:v>235</x:v>
      </x:c>
      <x:c r="R3857" s="22" t="n">
        <x:f>Q3857*M3857</x:f>
        <x:v>7285</x:v>
      </x:c>
      <x:c r="S3857" s="22" t="n">
        <x:f>P3857-R3857</x:f>
        <x:v>775</x:v>
      </x:c>
      <x:c r="T3857" t="str">
        <x:v>UPI</x:v>
      </x:c>
      <x:c r="U3857" t="str">
        <x:v>Paid</x:v>
      </x:c>
      <x:c r="V3857" t="str">
        <x:v>Delivered</x:v>
      </x:c>
      <x:c r="W3857" t="n">
        <x:v>0</x:v>
      </x:c>
      <x:c r="X3857" t="str"/>
      <x:c r="Y3857" t="str">
        <x:v>Referral</x:v>
      </x:c>
    </x:row>
    <x:row r="3858">
      <x:c r="A3858" t="str">
        <x:v>O003857</x:v>
      </x:c>
      <x:c r="B3858" s="20" t="n">
        <x:v>45908</x:v>
      </x:c>
      <x:c r="C3858" t="str">
        <x:v>C0109</x:v>
      </x:c>
      <x:c r="D3858" t="str">
        <x:v>Annapurna Kitchen 109</x:v>
      </x:c>
      <x:c r="E3858" t="str">
        <x:v>Kirana</x:v>
      </x:c>
      <x:c r="F3858" t="str">
        <x:v>Mysuru</x:v>
      </x:c>
      <x:c r="G3858" t="str">
        <x:v>Kavya</x:v>
      </x:c>
      <x:c r="H3858" t="str">
        <x:v>P033</x:v>
      </x:c>
      <x:c r="I3858" t="str">
        <x:v>Turmeric Powder 1kg</x:v>
      </x:c>
      <x:c r="J3858" t="str">
        <x:v>Spices</x:v>
      </x:c>
      <x:c r="K3858" t="str">
        <x:v>Everest</x:v>
      </x:c>
      <x:c r="L3858" s="22" t="n">
        <x:v>310</x:v>
      </x:c>
      <x:c r="M3858" t="n">
        <x:v>4</x:v>
      </x:c>
      <x:c r="N3858" s="24" t="n">
        <x:v>0</x:v>
      </x:c>
      <x:c r="O3858" s="22" t="n">
        <x:f>L3858*M3858</x:f>
        <x:v>1240</x:v>
      </x:c>
      <x:c r="P3858" s="22" t="n">
        <x:f>O3858*(1-N3858)</x:f>
        <x:v>1240</x:v>
      </x:c>
      <x:c r="Q3858" s="22" t="n">
        <x:v>270</x:v>
      </x:c>
      <x:c r="R3858" s="22" t="n">
        <x:f>Q3858*M3858</x:f>
        <x:v>1080</x:v>
      </x:c>
      <x:c r="S3858" s="22" t="n">
        <x:f>P3858-R3858</x:f>
        <x:v>160</x:v>
      </x:c>
      <x:c r="T3858" t="str">
        <x:v>Cash</x:v>
      </x:c>
      <x:c r="U3858" t="str">
        <x:v>Pending</x:v>
      </x:c>
      <x:c r="V3858" t="str">
        <x:v>Delivered</x:v>
      </x:c>
      <x:c r="W3858" t="n">
        <x:v>0</x:v>
      </x:c>
      <x:c r="X3858" t="str"/>
      <x:c r="Y3858" t="str">
        <x:v>Existing Customer</x:v>
      </x:c>
    </x:row>
    <x:row r="3859">
      <x:c r="A3859" t="str">
        <x:v>O003858</x:v>
      </x:c>
      <x:c r="B3859" s="20" t="n">
        <x:v>45991</x:v>
      </x:c>
      <x:c r="C3859" t="str">
        <x:v>C0037</x:v>
      </x:c>
      <x:c r="D3859" t="str">
        <x:v>Royal Cafe 37</x:v>
      </x:c>
      <x:c r="E3859" t="str">
        <x:v>Hotel</x:v>
      </x:c>
      <x:c r="F3859" t="str">
        <x:v>Mysuru</x:v>
      </x:c>
      <x:c r="G3859" t="str">
        <x:v>Sneha</x:v>
      </x:c>
      <x:c r="H3859" t="str">
        <x:v>P024</x:v>
      </x:c>
      <x:c r="I3859" t="str">
        <x:v>Orange Drink 1L</x:v>
      </x:c>
      <x:c r="J3859" t="str">
        <x:v>Beverage</x:v>
      </x:c>
      <x:c r="K3859" t="str">
        <x:v>Minute Maid</x:v>
      </x:c>
      <x:c r="L3859" s="22" t="n">
        <x:v>105</x:v>
      </x:c>
      <x:c r="M3859" t="n">
        <x:v>35</x:v>
      </x:c>
      <x:c r="N3859" s="24" t="n">
        <x:v>0.03</x:v>
      </x:c>
      <x:c r="O3859" s="22" t="n">
        <x:f>L3859*M3859</x:f>
        <x:v>3675</x:v>
      </x:c>
      <x:c r="P3859" s="22" t="n">
        <x:f>O3859*(1-N3859)</x:f>
        <x:v>3564.75</x:v>
      </x:c>
      <x:c r="Q3859" s="22" t="n">
        <x:v>88</x:v>
      </x:c>
      <x:c r="R3859" s="22" t="n">
        <x:f>Q3859*M3859</x:f>
        <x:v>3080</x:v>
      </x:c>
      <x:c r="S3859" s="22" t="n">
        <x:f>P3859-R3859</x:f>
        <x:v>484.75</x:v>
      </x:c>
      <x:c r="T3859" t="str">
        <x:v>Credit</x:v>
      </x:c>
      <x:c r="U3859" t="str">
        <x:v>Paid</x:v>
      </x:c>
      <x:c r="V3859" t="str">
        <x:v>Delivered</x:v>
      </x:c>
      <x:c r="W3859" t="n">
        <x:v>0</x:v>
      </x:c>
      <x:c r="X3859" t="str"/>
      <x:c r="Y3859" t="str">
        <x:v>WhatsApp</x:v>
      </x:c>
    </x:row>
    <x:row r="3860">
      <x:c r="A3860" t="str">
        <x:v>O003859</x:v>
      </x:c>
      <x:c r="B3860" s="20" t="n">
        <x:v>45714</x:v>
      </x:c>
      <x:c r="C3860" t="str">
        <x:v>C0195</x:v>
      </x:c>
      <x:c r="D3860" t="str">
        <x:v>Classic Stores 195</x:v>
      </x:c>
      <x:c r="E3860" t="str">
        <x:v>Canteen</x:v>
      </x:c>
      <x:c r="F3860" t="str">
        <x:v>Davanagere</x:v>
      </x:c>
      <x:c r="G3860" t="str">
        <x:v>Kavya</x:v>
      </x:c>
      <x:c r="H3860" t="str">
        <x:v>P006</x:v>
      </x:c>
      <x:c r="I3860" t="str">
        <x:v>Moong Dal 5kg</x:v>
      </x:c>
      <x:c r="J3860" t="str">
        <x:v>Pulses</x:v>
      </x:c>
      <x:c r="K3860" t="str">
        <x:v>Local Select</x:v>
      </x:c>
      <x:c r="L3860" s="22" t="n">
        <x:v>610</x:v>
      </x:c>
      <x:c r="M3860" t="n">
        <x:v>32</x:v>
      </x:c>
      <x:c r="N3860" s="24" t="n">
        <x:v>0</x:v>
      </x:c>
      <x:c r="O3860" s="22" t="n">
        <x:f>L3860*M3860</x:f>
        <x:v>19520</x:v>
      </x:c>
      <x:c r="P3860" s="22" t="n">
        <x:f>O3860*(1-N3860)</x:f>
        <x:v>19520</x:v>
      </x:c>
      <x:c r="Q3860" s="22" t="n">
        <x:v>540</x:v>
      </x:c>
      <x:c r="R3860" s="22" t="n">
        <x:f>Q3860*M3860</x:f>
        <x:v>17280</x:v>
      </x:c>
      <x:c r="S3860" s="22" t="n">
        <x:f>P3860-R3860</x:f>
        <x:v>2240</x:v>
      </x:c>
      <x:c r="T3860" t="str">
        <x:v>Bank Transfer</x:v>
      </x:c>
      <x:c r="U3860" t="str">
        <x:v>Paid</x:v>
      </x:c>
      <x:c r="V3860" t="str">
        <x:v>Delivered</x:v>
      </x:c>
      <x:c r="W3860" t="n">
        <x:v>0</x:v>
      </x:c>
      <x:c r="X3860" t="str"/>
      <x:c r="Y3860" t="str">
        <x:v>WhatsApp</x:v>
      </x:c>
    </x:row>
    <x:row r="3861">
      <x:c r="A3861" t="str">
        <x:v>O003860</x:v>
      </x:c>
      <x:c r="B3861" s="20" t="n">
        <x:v>45731</x:v>
      </x:c>
      <x:c r="C3861" t="str">
        <x:v>C0186</x:v>
      </x:c>
      <x:c r="D3861" t="str">
        <x:v>Namma Stores 186</x:v>
      </x:c>
      <x:c r="E3861" t="str">
        <x:v>Supermarket</x:v>
      </x:c>
      <x:c r="F3861" t="str">
        <x:v>Mysuru</x:v>
      </x:c>
      <x:c r="G3861" t="str">
        <x:v>Vikram</x:v>
      </x:c>
      <x:c r="H3861" t="str">
        <x:v>P027</x:v>
      </x:c>
      <x:c r="I3861" t="str">
        <x:v>Biscuits 120g</x:v>
      </x:c>
      <x:c r="J3861" t="str">
        <x:v>Snacks</x:v>
      </x:c>
      <x:c r="K3861" t="str">
        <x:v>Parle-G</x:v>
      </x:c>
      <x:c r="L3861" s="22" t="n">
        <x:v>12</x:v>
      </x:c>
      <x:c r="M3861" t="n">
        <x:v>12</x:v>
      </x:c>
      <x:c r="N3861" s="24" t="n">
        <x:v>0.05</x:v>
      </x:c>
      <x:c r="O3861" s="22" t="n">
        <x:f>L3861*M3861</x:f>
        <x:v>144</x:v>
      </x:c>
      <x:c r="P3861" s="22" t="n">
        <x:f>O3861*(1-N3861)</x:f>
        <x:v>136.79999999999998</x:v>
      </x:c>
      <x:c r="Q3861" s="22" t="n">
        <x:v>9</x:v>
      </x:c>
      <x:c r="R3861" s="22" t="n">
        <x:f>Q3861*M3861</x:f>
        <x:v>108</x:v>
      </x:c>
      <x:c r="S3861" s="22" t="n">
        <x:f>P3861-R3861</x:f>
        <x:v>28.799999999999983</x:v>
      </x:c>
      <x:c r="T3861" t="str">
        <x:v>UPI</x:v>
      </x:c>
      <x:c r="U3861" t="str">
        <x:v>Paid</x:v>
      </x:c>
      <x:c r="V3861" t="str">
        <x:v>Cancelled</x:v>
      </x:c>
      <x:c r="W3861" t="n">
        <x:v>12</x:v>
      </x:c>
      <x:c r="X3861" t="str">
        <x:v>Cancelled Order</x:v>
      </x:c>
      <x:c r="Y3861" t="str">
        <x:v>Existing Customer</x:v>
      </x:c>
    </x:row>
    <x:row r="3862">
      <x:c r="A3862" t="str">
        <x:v>O003861</x:v>
      </x:c>
      <x:c r="B3862" s="20" t="n">
        <x:v>45900</x:v>
      </x:c>
      <x:c r="C3862" t="str">
        <x:v>C0104</x:v>
      </x:c>
      <x:c r="D3862" t="str">
        <x:v>Shree Foods 104</x:v>
      </x:c>
      <x:c r="E3862" t="str">
        <x:v>Cafe</x:v>
      </x:c>
      <x:c r="F3862" t="str">
        <x:v>Mangaluru</x:v>
      </x:c>
      <x:c r="G3862" t="str">
        <x:v>Megha</x:v>
      </x:c>
      <x:c r="H3862" t="str">
        <x:v>P043</x:v>
      </x:c>
      <x:c r="I3862" t="str">
        <x:v>Chicken Breast 1kg</x:v>
      </x:c>
      <x:c r="J3862" t="str">
        <x:v>Protein</x:v>
      </x:c>
      <x:c r="K3862" t="str">
        <x:v>FreshToHome</x:v>
      </x:c>
      <x:c r="L3862" s="22" t="n">
        <x:v>260</x:v>
      </x:c>
      <x:c r="M3862" t="n">
        <x:v>7</x:v>
      </x:c>
      <x:c r="N3862" s="24" t="n">
        <x:v>0.05</x:v>
      </x:c>
      <x:c r="O3862" s="22" t="n">
        <x:f>L3862*M3862</x:f>
        <x:v>1820</x:v>
      </x:c>
      <x:c r="P3862" s="22" t="n">
        <x:f>O3862*(1-N3862)</x:f>
        <x:v>1729</x:v>
      </x:c>
      <x:c r="Q3862" s="22" t="n">
        <x:v>235</x:v>
      </x:c>
      <x:c r="R3862" s="22" t="n">
        <x:f>Q3862*M3862</x:f>
        <x:v>1645</x:v>
      </x:c>
      <x:c r="S3862" s="22" t="n">
        <x:f>P3862-R3862</x:f>
        <x:v>84</x:v>
      </x:c>
      <x:c r="T3862" t="str">
        <x:v>Credit</x:v>
      </x:c>
      <x:c r="U3862" t="str">
        <x:v>Paid</x:v>
      </x:c>
      <x:c r="V3862" t="str">
        <x:v>Delivered</x:v>
      </x:c>
      <x:c r="W3862" t="n">
        <x:v>0</x:v>
      </x:c>
      <x:c r="X3862" t="str"/>
      <x:c r="Y3862" t="str">
        <x:v>Field Visit</x:v>
      </x:c>
    </x:row>
    <x:row r="3863">
      <x:c r="A3863" t="str">
        <x:v>O003862</x:v>
      </x:c>
      <x:c r="B3863" s="20" t="n">
        <x:v>45697</x:v>
      </x:c>
      <x:c r="C3863" t="str">
        <x:v>C0149</x:v>
      </x:c>
      <x:c r="D3863" t="str">
        <x:v>Annapurna Hotel 149</x:v>
      </x:c>
      <x:c r="E3863" t="str">
        <x:v>Cafe</x:v>
      </x:c>
      <x:c r="F3863" t="str">
        <x:v>Tumakuru</x:v>
      </x:c>
      <x:c r="G3863" t="str">
        <x:v>Megha</x:v>
      </x:c>
      <x:c r="H3863" t="str">
        <x:v>P049</x:v>
      </x:c>
      <x:c r="I3863" t="str">
        <x:v>Apple 10kg</x:v>
      </x:c>
      <x:c r="J3863" t="str">
        <x:v>Fresh Produce</x:v>
      </x:c>
      <x:c r="K3863" t="str">
        <x:v>Local Market</x:v>
      </x:c>
      <x:c r="L3863" s="22" t="n">
        <x:v>1450</x:v>
      </x:c>
      <x:c r="M3863" t="n">
        <x:v>6</x:v>
      </x:c>
      <x:c r="N3863" s="24" t="n">
        <x:v>0</x:v>
      </x:c>
      <x:c r="O3863" s="22" t="n">
        <x:f>L3863*M3863</x:f>
        <x:v>8700</x:v>
      </x:c>
      <x:c r="P3863" s="22" t="n">
        <x:f>O3863*(1-N3863)</x:f>
        <x:v>8700</x:v>
      </x:c>
      <x:c r="Q3863" s="22" t="n">
        <x:v>1280</x:v>
      </x:c>
      <x:c r="R3863" s="22" t="n">
        <x:f>Q3863*M3863</x:f>
        <x:v>7680</x:v>
      </x:c>
      <x:c r="S3863" s="22" t="n">
        <x:f>P3863-R3863</x:f>
        <x:v>1020</x:v>
      </x:c>
      <x:c r="T3863" t="str">
        <x:v>Cash</x:v>
      </x:c>
      <x:c r="U3863" t="str">
        <x:v>Paid</x:v>
      </x:c>
      <x:c r="V3863" t="str">
        <x:v>Delivered</x:v>
      </x:c>
      <x:c r="W3863" t="n">
        <x:v>0</x:v>
      </x:c>
      <x:c r="X3863" t="str"/>
      <x:c r="Y3863" t="str">
        <x:v>Outbound Call</x:v>
      </x:c>
    </x:row>
    <x:row r="3864">
      <x:c r="A3864" t="str">
        <x:v>O003863</x:v>
      </x:c>
      <x:c r="B3864" s="20" t="n">
        <x:v>46057</x:v>
      </x:c>
      <x:c r="C3864" t="str">
        <x:v>C0101</x:v>
      </x:c>
      <x:c r="D3864" t="str">
        <x:v>Namma Cafe 101</x:v>
      </x:c>
      <x:c r="E3864" t="str">
        <x:v>Supermarket</x:v>
      </x:c>
      <x:c r="F3864" t="str">
        <x:v>Bengaluru</x:v>
      </x:c>
      <x:c r="G3864" t="str">
        <x:v>Arjun</x:v>
      </x:c>
      <x:c r="H3864" t="str">
        <x:v>P013</x:v>
      </x:c>
      <x:c r="I3864" t="str">
        <x:v>Atta 10kg</x:v>
      </x:c>
      <x:c r="J3864" t="str">
        <x:v>Flour</x:v>
      </x:c>
      <x:c r="K3864" t="str">
        <x:v>Aashirvaad</x:v>
      </x:c>
      <x:c r="L3864" s="22" t="n">
        <x:v>560</x:v>
      </x:c>
      <x:c r="M3864" t="n">
        <x:v>10</x:v>
      </x:c>
      <x:c r="N3864" s="24" t="n">
        <x:v>0.05</x:v>
      </x:c>
      <x:c r="O3864" s="22" t="n">
        <x:f>L3864*M3864</x:f>
        <x:v>5600</x:v>
      </x:c>
      <x:c r="P3864" s="22" t="n">
        <x:f>O3864*(1-N3864)</x:f>
        <x:v>5320</x:v>
      </x:c>
      <x:c r="Q3864" s="22" t="n">
        <x:v>495</x:v>
      </x:c>
      <x:c r="R3864" s="22" t="n">
        <x:f>Q3864*M3864</x:f>
        <x:v>4950</x:v>
      </x:c>
      <x:c r="S3864" s="22" t="n">
        <x:f>P3864-R3864</x:f>
        <x:v>370</x:v>
      </x:c>
      <x:c r="T3864" t="str">
        <x:v>UPI</x:v>
      </x:c>
      <x:c r="U3864" t="str">
        <x:v>Pending</x:v>
      </x:c>
      <x:c r="V3864" t="str">
        <x:v>Delivered</x:v>
      </x:c>
      <x:c r="W3864" t="n">
        <x:v>0</x:v>
      </x:c>
      <x:c r="X3864" t="str"/>
      <x:c r="Y3864" t="str">
        <x:v>Outbound Call</x:v>
      </x:c>
    </x:row>
    <x:row r="3865">
      <x:c r="A3865" t="str">
        <x:v>O003864</x:v>
      </x:c>
      <x:c r="B3865" s="20" t="n">
        <x:v>46180</x:v>
      </x:c>
      <x:c r="C3865" t="str">
        <x:v>C0015</x:v>
      </x:c>
      <x:c r="D3865" t="str">
        <x:v>Royal Foods 15</x:v>
      </x:c>
      <x:c r="E3865" t="str">
        <x:v>Cafe</x:v>
      </x:c>
      <x:c r="F3865" t="str">
        <x:v>Mysuru</x:v>
      </x:c>
      <x:c r="G3865" t="str">
        <x:v>Ramesh</x:v>
      </x:c>
      <x:c r="H3865" t="str">
        <x:v>P029</x:v>
      </x:c>
      <x:c r="I3865" t="str">
        <x:v>Tomato Ketchup 1kg</x:v>
      </x:c>
      <x:c r="J3865" t="str">
        <x:v>Condiments</x:v>
      </x:c>
      <x:c r="K3865" t="str">
        <x:v>Kissan</x:v>
      </x:c>
      <x:c r="L3865" s="22" t="n">
        <x:v>145</x:v>
      </x:c>
      <x:c r="M3865" t="n">
        <x:v>30</x:v>
      </x:c>
      <x:c r="N3865" s="24" t="n">
        <x:v>0.08</x:v>
      </x:c>
      <x:c r="O3865" s="22" t="n">
        <x:f>L3865*M3865</x:f>
        <x:v>4350</x:v>
      </x:c>
      <x:c r="P3865" s="22" t="n">
        <x:f>O3865*(1-N3865)</x:f>
        <x:v>4002</x:v>
      </x:c>
      <x:c r="Q3865" s="22" t="n">
        <x:v>126</x:v>
      </x:c>
      <x:c r="R3865" s="22" t="n">
        <x:f>Q3865*M3865</x:f>
        <x:v>3780</x:v>
      </x:c>
      <x:c r="S3865" s="22" t="n">
        <x:f>P3865-R3865</x:f>
        <x:v>222</x:v>
      </x:c>
      <x:c r="T3865" t="str">
        <x:v>UPI</x:v>
      </x:c>
      <x:c r="U3865" t="str">
        <x:v>Pending</x:v>
      </x:c>
      <x:c r="V3865" t="str">
        <x:v>Delayed</x:v>
      </x:c>
      <x:c r="W3865" t="n">
        <x:v>0</x:v>
      </x:c>
      <x:c r="X3865" t="str"/>
      <x:c r="Y3865" t="str">
        <x:v>Outbound Call</x:v>
      </x:c>
    </x:row>
    <x:row r="3866">
      <x:c r="A3866" t="str">
        <x:v>O003865</x:v>
      </x:c>
      <x:c r="B3866" s="20" t="n">
        <x:v>46030</x:v>
      </x:c>
      <x:c r="C3866" t="str">
        <x:v>C0190</x:v>
      </x:c>
      <x:c r="D3866" t="str">
        <x:v>Shree Restaurant 190</x:v>
      </x:c>
      <x:c r="E3866" t="str">
        <x:v>Canteen</x:v>
      </x:c>
      <x:c r="F3866" t="str">
        <x:v>Bengaluru</x:v>
      </x:c>
      <x:c r="G3866" t="str">
        <x:v>Kavya</x:v>
      </x:c>
      <x:c r="H3866" t="str">
        <x:v>P042</x:v>
      </x:c>
      <x:c r="I3866" t="str">
        <x:v>Eggs 30pc Tray</x:v>
      </x:c>
      <x:c r="J3866" t="str">
        <x:v>Protein</x:v>
      </x:c>
      <x:c r="K3866" t="str">
        <x:v>Farm Fresh</x:v>
      </x:c>
      <x:c r="L3866" s="22" t="n">
        <x:v>195</x:v>
      </x:c>
      <x:c r="M3866" t="n">
        <x:v>13</x:v>
      </x:c>
      <x:c r="N3866" s="24" t="n">
        <x:v>0.08</x:v>
      </x:c>
      <x:c r="O3866" s="22" t="n">
        <x:f>L3866*M3866</x:f>
        <x:v>2535</x:v>
      </x:c>
      <x:c r="P3866" s="22" t="n">
        <x:f>O3866*(1-N3866)</x:f>
        <x:v>2332.2000000000003</x:v>
      </x:c>
      <x:c r="Q3866" s="22" t="n">
        <x:v>170</x:v>
      </x:c>
      <x:c r="R3866" s="22" t="n">
        <x:f>Q3866*M3866</x:f>
        <x:v>2210</x:v>
      </x:c>
      <x:c r="S3866" s="22" t="n">
        <x:f>P3866-R3866</x:f>
        <x:v>122.20000000000027</x:v>
      </x:c>
      <x:c r="T3866" t="str">
        <x:v>Credit</x:v>
      </x:c>
      <x:c r="U3866" t="str">
        <x:v>Pending</x:v>
      </x:c>
      <x:c r="V3866" t="str">
        <x:v>Cancelled</x:v>
      </x:c>
      <x:c r="W3866" t="n">
        <x:v>13</x:v>
      </x:c>
      <x:c r="X3866" t="str">
        <x:v>Cancelled Order</x:v>
      </x:c>
      <x:c r="Y3866" t="str">
        <x:v>Referral</x:v>
      </x:c>
    </x:row>
    <x:row r="3867">
      <x:c r="A3867" t="str">
        <x:v>O003866</x:v>
      </x:c>
      <x:c r="B3867" s="20" t="n">
        <x:v>46152</x:v>
      </x:c>
      <x:c r="C3867" t="str">
        <x:v>C0094</x:v>
      </x:c>
      <x:c r="D3867" t="str">
        <x:v>Mysore Mart 94</x:v>
      </x:c>
      <x:c r="E3867" t="str">
        <x:v>Restaurant</x:v>
      </x:c>
      <x:c r="F3867" t="str">
        <x:v>Hubballi</x:v>
      </x:c>
      <x:c r="G3867" t="str">
        <x:v>Sneha</x:v>
      </x:c>
      <x:c r="H3867" t="str">
        <x:v>P011</x:v>
      </x:c>
      <x:c r="I3867" t="str">
        <x:v>Salt 1kg</x:v>
      </x:c>
      <x:c r="J3867" t="str">
        <x:v>Staples</x:v>
      </x:c>
      <x:c r="K3867" t="str">
        <x:v>Tata</x:v>
      </x:c>
      <x:c r="L3867" s="22" t="n">
        <x:v>28</x:v>
      </x:c>
      <x:c r="M3867" t="n">
        <x:v>11</x:v>
      </x:c>
      <x:c r="N3867" s="24" t="n">
        <x:v>0.05</x:v>
      </x:c>
      <x:c r="O3867" s="22" t="n">
        <x:f>L3867*M3867</x:f>
        <x:v>308</x:v>
      </x:c>
      <x:c r="P3867" s="22" t="n">
        <x:f>O3867*(1-N3867)</x:f>
        <x:v>292.59999999999997</x:v>
      </x:c>
      <x:c r="Q3867" s="22" t="n">
        <x:v>23</x:v>
      </x:c>
      <x:c r="R3867" s="22" t="n">
        <x:f>Q3867*M3867</x:f>
        <x:v>253</x:v>
      </x:c>
      <x:c r="S3867" s="22" t="n">
        <x:f>P3867-R3867</x:f>
        <x:v>39.599999999999966</x:v>
      </x:c>
      <x:c r="T3867" t="str">
        <x:v>Cash</x:v>
      </x:c>
      <x:c r="U3867" t="str">
        <x:v>Paid</x:v>
      </x:c>
      <x:c r="V3867" t="str">
        <x:v>Delayed</x:v>
      </x:c>
      <x:c r="W3867" t="n">
        <x:v>0</x:v>
      </x:c>
      <x:c r="X3867" t="str"/>
      <x:c r="Y3867" t="str">
        <x:v>WhatsApp</x:v>
      </x:c>
    </x:row>
    <x:row r="3868">
      <x:c r="A3868" t="str">
        <x:v>O003867</x:v>
      </x:c>
      <x:c r="B3868" s="20" t="n">
        <x:v>45720</x:v>
      </x:c>
      <x:c r="C3868" t="str">
        <x:v>C0121</x:v>
      </x:c>
      <x:c r="D3868" t="str">
        <x:v>Mysore Restaurant 121</x:v>
      </x:c>
      <x:c r="E3868" t="str">
        <x:v>Cafe</x:v>
      </x:c>
      <x:c r="F3868" t="str">
        <x:v>Mysuru</x:v>
      </x:c>
      <x:c r="G3868" t="str">
        <x:v>Sneha</x:v>
      </x:c>
      <x:c r="H3868" t="str">
        <x:v>P045</x:v>
      </x:c>
      <x:c r="I3868" t="str">
        <x:v>Onion 25kg</x:v>
      </x:c>
      <x:c r="J3868" t="str">
        <x:v>Fresh Produce</x:v>
      </x:c>
      <x:c r="K3868" t="str">
        <x:v>Local Market</x:v>
      </x:c>
      <x:c r="L3868" s="22" t="n">
        <x:v>875</x:v>
      </x:c>
      <x:c r="M3868" t="n">
        <x:v>22</x:v>
      </x:c>
      <x:c r="N3868" s="24" t="n">
        <x:v>0.02</x:v>
      </x:c>
      <x:c r="O3868" s="22" t="n">
        <x:f>L3868*M3868</x:f>
        <x:v>19250</x:v>
      </x:c>
      <x:c r="P3868" s="22" t="n">
        <x:f>O3868*(1-N3868)</x:f>
        <x:v>18865</x:v>
      </x:c>
      <x:c r="Q3868" s="22" t="n">
        <x:v>760</x:v>
      </x:c>
      <x:c r="R3868" s="22" t="n">
        <x:f>Q3868*M3868</x:f>
        <x:v>16720</x:v>
      </x:c>
      <x:c r="S3868" s="22" t="n">
        <x:f>P3868-R3868</x:f>
        <x:v>2145</x:v>
      </x:c>
      <x:c r="T3868" t="str">
        <x:v>UPI</x:v>
      </x:c>
      <x:c r="U3868" t="str">
        <x:v>Paid</x:v>
      </x:c>
      <x:c r="V3868" t="str">
        <x:v>Delivered</x:v>
      </x:c>
      <x:c r="W3868" t="n">
        <x:v>0</x:v>
      </x:c>
      <x:c r="X3868" t="str"/>
      <x:c r="Y3868" t="str">
        <x:v>Existing Customer</x:v>
      </x:c>
    </x:row>
    <x:row r="3869">
      <x:c r="A3869" t="str">
        <x:v>O003868</x:v>
      </x:c>
      <x:c r="B3869" s="20" t="n">
        <x:v>45756</x:v>
      </x:c>
      <x:c r="C3869" t="str">
        <x:v>C0196</x:v>
      </x:c>
      <x:c r="D3869" t="str">
        <x:v>Namma Mart 196</x:v>
      </x:c>
      <x:c r="E3869" t="str">
        <x:v>Cafe</x:v>
      </x:c>
      <x:c r="F3869" t="str">
        <x:v>Mangaluru</x:v>
      </x:c>
      <x:c r="G3869" t="str">
        <x:v>Kavya</x:v>
      </x:c>
      <x:c r="H3869" t="str">
        <x:v>P039</x:v>
      </x:c>
      <x:c r="I3869" t="str">
        <x:v>Ice Cream 4L</x:v>
      </x:c>
      <x:c r="J3869" t="str">
        <x:v>Frozen</x:v>
      </x:c>
      <x:c r="K3869" t="str">
        <x:v>Amul</x:v>
      </x:c>
      <x:c r="L3869" s="22" t="n">
        <x:v>480</x:v>
      </x:c>
      <x:c r="M3869" t="n">
        <x:v>21</x:v>
      </x:c>
      <x:c r="N3869" s="24" t="n">
        <x:v>0.02</x:v>
      </x:c>
      <x:c r="O3869" s="22" t="n">
        <x:f>L3869*M3869</x:f>
        <x:v>10080</x:v>
      </x:c>
      <x:c r="P3869" s="22" t="n">
        <x:f>O3869*(1-N3869)</x:f>
        <x:v>9878.4</x:v>
      </x:c>
      <x:c r="Q3869" s="22" t="n">
        <x:v>420</x:v>
      </x:c>
      <x:c r="R3869" s="22" t="n">
        <x:f>Q3869*M3869</x:f>
        <x:v>8820</x:v>
      </x:c>
      <x:c r="S3869" s="22" t="n">
        <x:f>P3869-R3869</x:f>
        <x:v>1058.3999999999996</x:v>
      </x:c>
      <x:c r="T3869" t="str">
        <x:v>Bank Transfer</x:v>
      </x:c>
      <x:c r="U3869" t="str">
        <x:v>Overdue</x:v>
      </x:c>
      <x:c r="V3869" t="str">
        <x:v>Delivered</x:v>
      </x:c>
      <x:c r="W3869" t="n">
        <x:v>2</x:v>
      </x:c>
      <x:c r="X3869" t="str">
        <x:v>Wrong Item</x:v>
      </x:c>
      <x:c r="Y3869" t="str">
        <x:v>Referral</x:v>
      </x:c>
    </x:row>
    <x:row r="3870">
      <x:c r="A3870" t="str">
        <x:v>O003869</x:v>
      </x:c>
      <x:c r="B3870" s="20" t="n">
        <x:v>45875</x:v>
      </x:c>
      <x:c r="C3870" t="str">
        <x:v>C0212</x:v>
      </x:c>
      <x:c r="D3870" t="str">
        <x:v>Classic Restaurant 212</x:v>
      </x:c>
      <x:c r="E3870" t="str">
        <x:v>Restaurant</x:v>
      </x:c>
      <x:c r="F3870" t="str">
        <x:v>Mysuru</x:v>
      </x:c>
      <x:c r="G3870" t="str">
        <x:v>Vikram</x:v>
      </x:c>
      <x:c r="H3870" t="str">
        <x:v>P007</x:v>
      </x:c>
      <x:c r="I3870" t="str">
        <x:v>Sunflower Oil 15L</x:v>
      </x:c>
      <x:c r="J3870" t="str">
        <x:v>Edible Oil</x:v>
      </x:c>
      <x:c r="K3870" t="str">
        <x:v>Fortune</x:v>
      </x:c>
      <x:c r="L3870" s="22" t="n">
        <x:v>1980</x:v>
      </x:c>
      <x:c r="M3870" t="n">
        <x:v>7</x:v>
      </x:c>
      <x:c r="N3870" s="24" t="n">
        <x:v>0.03</x:v>
      </x:c>
      <x:c r="O3870" s="22" t="n">
        <x:f>L3870*M3870</x:f>
        <x:v>13860</x:v>
      </x:c>
      <x:c r="P3870" s="22" t="n">
        <x:f>O3870*(1-N3870)</x:f>
        <x:v>13444.199999999999</x:v>
      </x:c>
      <x:c r="Q3870" s="22" t="n">
        <x:v>1810</x:v>
      </x:c>
      <x:c r="R3870" s="22" t="n">
        <x:f>Q3870*M3870</x:f>
        <x:v>12670</x:v>
      </x:c>
      <x:c r="S3870" s="22" t="n">
        <x:f>P3870-R3870</x:f>
        <x:v>774.1999999999989</x:v>
      </x:c>
      <x:c r="T3870" t="str">
        <x:v>Bank Transfer</x:v>
      </x:c>
      <x:c r="U3870" t="str">
        <x:v>Paid</x:v>
      </x:c>
      <x:c r="V3870" t="str">
        <x:v>Delivered</x:v>
      </x:c>
      <x:c r="W3870" t="n">
        <x:v>0</x:v>
      </x:c>
      <x:c r="X3870" t="str"/>
      <x:c r="Y3870" t="str">
        <x:v>Referral</x:v>
      </x:c>
    </x:row>
    <x:row r="3871">
      <x:c r="A3871" t="str">
        <x:v>O003870</x:v>
      </x:c>
      <x:c r="B3871" s="20" t="n">
        <x:v>46216</x:v>
      </x:c>
      <x:c r="C3871" t="str">
        <x:v>C0112</x:v>
      </x:c>
      <x:c r="D3871" t="str">
        <x:v>Cafe Hotel 112</x:v>
      </x:c>
      <x:c r="E3871" t="str">
        <x:v>Hotel</x:v>
      </x:c>
      <x:c r="F3871" t="str">
        <x:v>Mangaluru</x:v>
      </x:c>
      <x:c r="G3871" t="str">
        <x:v>Kavya</x:v>
      </x:c>
      <x:c r="H3871" t="str">
        <x:v>P049</x:v>
      </x:c>
      <x:c r="I3871" t="str">
        <x:v>Apple 10kg</x:v>
      </x:c>
      <x:c r="J3871" t="str">
        <x:v>Fresh Produce</x:v>
      </x:c>
      <x:c r="K3871" t="str">
        <x:v>Local Market</x:v>
      </x:c>
      <x:c r="L3871" s="22" t="n">
        <x:v>1450</x:v>
      </x:c>
      <x:c r="M3871" t="n">
        <x:v>5</x:v>
      </x:c>
      <x:c r="N3871" s="24" t="n">
        <x:v>0</x:v>
      </x:c>
      <x:c r="O3871" s="22" t="n">
        <x:f>L3871*M3871</x:f>
        <x:v>7250</x:v>
      </x:c>
      <x:c r="P3871" s="22" t="n">
        <x:f>O3871*(1-N3871)</x:f>
        <x:v>7250</x:v>
      </x:c>
      <x:c r="Q3871" s="22" t="n">
        <x:v>1280</x:v>
      </x:c>
      <x:c r="R3871" s="22" t="n">
        <x:f>Q3871*M3871</x:f>
        <x:v>6400</x:v>
      </x:c>
      <x:c r="S3871" s="22" t="n">
        <x:f>P3871-R3871</x:f>
        <x:v>850</x:v>
      </x:c>
      <x:c r="T3871" t="str">
        <x:v>Credit</x:v>
      </x:c>
      <x:c r="U3871" t="str">
        <x:v>Paid</x:v>
      </x:c>
      <x:c r="V3871" t="str">
        <x:v>Cancelled</x:v>
      </x:c>
      <x:c r="W3871" t="n">
        <x:v>5</x:v>
      </x:c>
      <x:c r="X3871" t="str">
        <x:v>Cancelled Order</x:v>
      </x:c>
      <x:c r="Y3871" t="str">
        <x:v>Referral</x:v>
      </x:c>
    </x:row>
    <x:row r="3872">
      <x:c r="A3872" t="str">
        <x:v>O003871</x:v>
      </x:c>
      <x:c r="B3872" s="20" t="n">
        <x:v>45930</x:v>
      </x:c>
      <x:c r="C3872" t="str">
        <x:v>C0018</x:v>
      </x:c>
      <x:c r="D3872" t="str">
        <x:v>Namma Canteen 18</x:v>
      </x:c>
      <x:c r="E3872" t="str">
        <x:v>Restaurant</x:v>
      </x:c>
      <x:c r="F3872" t="str">
        <x:v>Davanagere</x:v>
      </x:c>
      <x:c r="G3872" t="str">
        <x:v>Imran</x:v>
      </x:c>
      <x:c r="H3872" t="str">
        <x:v>P034</x:v>
      </x:c>
      <x:c r="I3872" t="str">
        <x:v>Chilli Powder 1kg</x:v>
      </x:c>
      <x:c r="J3872" t="str">
        <x:v>Spices</x:v>
      </x:c>
      <x:c r="K3872" t="str">
        <x:v>MDH</x:v>
      </x:c>
      <x:c r="L3872" s="22" t="n">
        <x:v>340</x:v>
      </x:c>
      <x:c r="M3872" t="n">
        <x:v>12</x:v>
      </x:c>
      <x:c r="N3872" s="24" t="n">
        <x:v>0.05</x:v>
      </x:c>
      <x:c r="O3872" s="22" t="n">
        <x:f>L3872*M3872</x:f>
        <x:v>4080</x:v>
      </x:c>
      <x:c r="P3872" s="22" t="n">
        <x:f>O3872*(1-N3872)</x:f>
        <x:v>3876</x:v>
      </x:c>
      <x:c r="Q3872" s="22" t="n">
        <x:v>295</x:v>
      </x:c>
      <x:c r="R3872" s="22" t="n">
        <x:f>Q3872*M3872</x:f>
        <x:v>3540</x:v>
      </x:c>
      <x:c r="S3872" s="22" t="n">
        <x:f>P3872-R3872</x:f>
        <x:v>336</x:v>
      </x:c>
      <x:c r="T3872" t="str">
        <x:v>Cash</x:v>
      </x:c>
      <x:c r="U3872" t="str">
        <x:v>Paid</x:v>
      </x:c>
      <x:c r="V3872" t="str">
        <x:v>Delayed</x:v>
      </x:c>
      <x:c r="W3872" t="n">
        <x:v>0</x:v>
      </x:c>
      <x:c r="X3872" t="str"/>
      <x:c r="Y3872" t="str">
        <x:v>Field Visit</x:v>
      </x:c>
    </x:row>
    <x:row r="3873">
      <x:c r="A3873" t="str">
        <x:v>O003872</x:v>
      </x:c>
      <x:c r="B3873" s="20" t="n">
        <x:v>46142</x:v>
      </x:c>
      <x:c r="C3873" t="str">
        <x:v>C0193</x:v>
      </x:c>
      <x:c r="D3873" t="str">
        <x:v>Udupi Cafe 193</x:v>
      </x:c>
      <x:c r="E3873" t="str">
        <x:v>Restaurant</x:v>
      </x:c>
      <x:c r="F3873" t="str">
        <x:v>Hubballi</x:v>
      </x:c>
      <x:c r="G3873" t="str">
        <x:v>Sneha</x:v>
      </x:c>
      <x:c r="H3873" t="str">
        <x:v>P006</x:v>
      </x:c>
      <x:c r="I3873" t="str">
        <x:v>Moong Dal 5kg</x:v>
      </x:c>
      <x:c r="J3873" t="str">
        <x:v>Pulses</x:v>
      </x:c>
      <x:c r="K3873" t="str">
        <x:v>Local Select</x:v>
      </x:c>
      <x:c r="L3873" s="22" t="n">
        <x:v>610</x:v>
      </x:c>
      <x:c r="M3873" t="n">
        <x:v>28</x:v>
      </x:c>
      <x:c r="N3873" s="24" t="n">
        <x:v>0.05</x:v>
      </x:c>
      <x:c r="O3873" s="22" t="n">
        <x:f>L3873*M3873</x:f>
        <x:v>17080</x:v>
      </x:c>
      <x:c r="P3873" s="22" t="n">
        <x:f>O3873*(1-N3873)</x:f>
        <x:v>16226</x:v>
      </x:c>
      <x:c r="Q3873" s="22" t="n">
        <x:v>540</x:v>
      </x:c>
      <x:c r="R3873" s="22" t="n">
        <x:f>Q3873*M3873</x:f>
        <x:v>15120</x:v>
      </x:c>
      <x:c r="S3873" s="22" t="n">
        <x:f>P3873-R3873</x:f>
        <x:v>1106</x:v>
      </x:c>
      <x:c r="T3873" t="str">
        <x:v>Cash</x:v>
      </x:c>
      <x:c r="U3873" t="str">
        <x:v>Paid</x:v>
      </x:c>
      <x:c r="V3873" t="str">
        <x:v>Delayed</x:v>
      </x:c>
      <x:c r="W3873" t="n">
        <x:v>0</x:v>
      </x:c>
      <x:c r="X3873" t="str"/>
      <x:c r="Y3873" t="str">
        <x:v>Referral</x:v>
      </x:c>
    </x:row>
    <x:row r="3874">
      <x:c r="A3874" t="str">
        <x:v>O003873</x:v>
      </x:c>
      <x:c r="B3874" s="20" t="n">
        <x:v>46028</x:v>
      </x:c>
      <x:c r="C3874" t="str">
        <x:v>C0178</x:v>
      </x:c>
      <x:c r="D3874" t="str">
        <x:v>Annapurna Foods 178</x:v>
      </x:c>
      <x:c r="E3874" t="str">
        <x:v>Canteen</x:v>
      </x:c>
      <x:c r="F3874" t="str">
        <x:v>Tumakuru</x:v>
      </x:c>
      <x:c r="G3874" t="str">
        <x:v>Imran</x:v>
      </x:c>
      <x:c r="H3874" t="str">
        <x:v>P024</x:v>
      </x:c>
      <x:c r="I3874" t="str">
        <x:v>Orange Drink 1L</x:v>
      </x:c>
      <x:c r="J3874" t="str">
        <x:v>Beverage</x:v>
      </x:c>
      <x:c r="K3874" t="str">
        <x:v>Minute Maid</x:v>
      </x:c>
      <x:c r="L3874" s="22" t="n">
        <x:v>105</x:v>
      </x:c>
      <x:c r="M3874" t="n">
        <x:v>9</x:v>
      </x:c>
      <x:c r="N3874" s="24" t="n">
        <x:v>0.05</x:v>
      </x:c>
      <x:c r="O3874" s="22" t="n">
        <x:f>L3874*M3874</x:f>
        <x:v>945</x:v>
      </x:c>
      <x:c r="P3874" s="22" t="n">
        <x:f>O3874*(1-N3874)</x:f>
        <x:v>897.75</x:v>
      </x:c>
      <x:c r="Q3874" s="22" t="n">
        <x:v>88</x:v>
      </x:c>
      <x:c r="R3874" s="22" t="n">
        <x:f>Q3874*M3874</x:f>
        <x:v>792</x:v>
      </x:c>
      <x:c r="S3874" s="22" t="n">
        <x:f>P3874-R3874</x:f>
        <x:v>105.75</x:v>
      </x:c>
      <x:c r="T3874" t="str">
        <x:v>Cash</x:v>
      </x:c>
      <x:c r="U3874" t="str">
        <x:v>Paid</x:v>
      </x:c>
      <x:c r="V3874" t="str">
        <x:v>Cancelled</x:v>
      </x:c>
      <x:c r="W3874" t="n">
        <x:v>9</x:v>
      </x:c>
      <x:c r="X3874" t="str">
        <x:v>Cancelled Order</x:v>
      </x:c>
      <x:c r="Y3874" t="str">
        <x:v>Outbound Call</x:v>
      </x:c>
    </x:row>
    <x:row r="3875">
      <x:c r="A3875" t="str">
        <x:v>O003874</x:v>
      </x:c>
      <x:c r="B3875" s="20" t="n">
        <x:v>45857</x:v>
      </x:c>
      <x:c r="C3875" t="str">
        <x:v>C0230</x:v>
      </x:c>
      <x:c r="D3875" t="str">
        <x:v>Darshini Foods 230</x:v>
      </x:c>
      <x:c r="E3875" t="str">
        <x:v>Restaurant</x:v>
      </x:c>
      <x:c r="F3875" t="str">
        <x:v>Davanagere</x:v>
      </x:c>
      <x:c r="G3875" t="str">
        <x:v>Priya</x:v>
      </x:c>
      <x:c r="H3875" t="str">
        <x:v>P028</x:v>
      </x:c>
      <x:c r="I3875" t="str">
        <x:v>Cookies 200g</x:v>
      </x:c>
      <x:c r="J3875" t="str">
        <x:v>Snacks</x:v>
      </x:c>
      <x:c r="K3875" t="str">
        <x:v>Britannia</x:v>
      </x:c>
      <x:c r="L3875" s="22" t="n">
        <x:v>55</x:v>
      </x:c>
      <x:c r="M3875" t="n">
        <x:v>1</x:v>
      </x:c>
      <x:c r="N3875" s="24" t="n">
        <x:v>0.05</x:v>
      </x:c>
      <x:c r="O3875" s="22" t="n">
        <x:f>L3875*M3875</x:f>
        <x:v>55</x:v>
      </x:c>
      <x:c r="P3875" s="22" t="n">
        <x:f>O3875*(1-N3875)</x:f>
        <x:v>52.25</x:v>
      </x:c>
      <x:c r="Q3875" s="22" t="n">
        <x:v>42</x:v>
      </x:c>
      <x:c r="R3875" s="22" t="n">
        <x:f>Q3875*M3875</x:f>
        <x:v>42</x:v>
      </x:c>
      <x:c r="S3875" s="22" t="n">
        <x:f>P3875-R3875</x:f>
        <x:v>10.25</x:v>
      </x:c>
      <x:c r="T3875" t="str">
        <x:v>Bank Transfer</x:v>
      </x:c>
      <x:c r="U3875" t="str">
        <x:v>Pending</x:v>
      </x:c>
      <x:c r="V3875" t="str">
        <x:v>Delayed</x:v>
      </x:c>
      <x:c r="W3875" t="n">
        <x:v>0</x:v>
      </x:c>
      <x:c r="X3875" t="str"/>
      <x:c r="Y3875" t="str">
        <x:v>Referral</x:v>
      </x:c>
    </x:row>
    <x:row r="3876">
      <x:c r="A3876" t="str">
        <x:v>O003875</x:v>
      </x:c>
      <x:c r="B3876" s="20" t="n">
        <x:v>46023</x:v>
      </x:c>
      <x:c r="C3876" t="str">
        <x:v>C0058</x:v>
      </x:c>
      <x:c r="D3876" t="str">
        <x:v>Spice Kitchen 58</x:v>
      </x:c>
      <x:c r="E3876" t="str">
        <x:v>Supermarket</x:v>
      </x:c>
      <x:c r="F3876" t="str">
        <x:v>Davanagere</x:v>
      </x:c>
      <x:c r="G3876" t="str">
        <x:v>Sneha</x:v>
      </x:c>
      <x:c r="H3876" t="str">
        <x:v>P016</x:v>
      </x:c>
      <x:c r="I3876" t="str">
        <x:v>Curd 1kg</x:v>
      </x:c>
      <x:c r="J3876" t="str">
        <x:v>Dairy</x:v>
      </x:c>
      <x:c r="K3876" t="str">
        <x:v>Nandini</x:v>
      </x:c>
      <x:c r="L3876" s="22" t="n">
        <x:v>72</x:v>
      </x:c>
      <x:c r="M3876" t="n">
        <x:v>10</x:v>
      </x:c>
      <x:c r="N3876" s="24" t="n">
        <x:v>0.03</x:v>
      </x:c>
      <x:c r="O3876" s="22" t="n">
        <x:f>L3876*M3876</x:f>
        <x:v>720</x:v>
      </x:c>
      <x:c r="P3876" s="22" t="n">
        <x:f>O3876*(1-N3876)</x:f>
        <x:v>698.4</x:v>
      </x:c>
      <x:c r="Q3876" s="22" t="n">
        <x:v>64</x:v>
      </x:c>
      <x:c r="R3876" s="22" t="n">
        <x:f>Q3876*M3876</x:f>
        <x:v>640</x:v>
      </x:c>
      <x:c r="S3876" s="22" t="n">
        <x:f>P3876-R3876</x:f>
        <x:v>58.39999999999998</x:v>
      </x:c>
      <x:c r="T3876" t="str">
        <x:v>Credit</x:v>
      </x:c>
      <x:c r="U3876" t="str">
        <x:v>Paid</x:v>
      </x:c>
      <x:c r="V3876" t="str">
        <x:v>Delivered</x:v>
      </x:c>
      <x:c r="W3876" t="n">
        <x:v>0</x:v>
      </x:c>
      <x:c r="X3876" t="str"/>
      <x:c r="Y3876" t="str">
        <x:v>Referral</x:v>
      </x:c>
    </x:row>
    <x:row r="3877">
      <x:c r="A3877" t="str">
        <x:v>O003876</x:v>
      </x:c>
      <x:c r="B3877" s="20" t="n">
        <x:v>46077</x:v>
      </x:c>
      <x:c r="C3877" t="str">
        <x:v>C0232</x:v>
      </x:c>
      <x:c r="D3877" t="str">
        <x:v>Grand Mart 232</x:v>
      </x:c>
      <x:c r="E3877" t="str">
        <x:v>Cafe</x:v>
      </x:c>
      <x:c r="F3877" t="str">
        <x:v>Davanagere</x:v>
      </x:c>
      <x:c r="G3877" t="str">
        <x:v>Kavya</x:v>
      </x:c>
      <x:c r="H3877" t="str">
        <x:v>P039</x:v>
      </x:c>
      <x:c r="I3877" t="str">
        <x:v>Ice Cream 4L</x:v>
      </x:c>
      <x:c r="J3877" t="str">
        <x:v>Frozen</x:v>
      </x:c>
      <x:c r="K3877" t="str">
        <x:v>Amul</x:v>
      </x:c>
      <x:c r="L3877" s="22" t="n">
        <x:v>480</x:v>
      </x:c>
      <x:c r="M3877" t="n">
        <x:v>20</x:v>
      </x:c>
      <x:c r="N3877" s="24" t="n">
        <x:v>0.03</x:v>
      </x:c>
      <x:c r="O3877" s="22" t="n">
        <x:f>L3877*M3877</x:f>
        <x:v>9600</x:v>
      </x:c>
      <x:c r="P3877" s="22" t="n">
        <x:f>O3877*(1-N3877)</x:f>
        <x:v>9312</x:v>
      </x:c>
      <x:c r="Q3877" s="22" t="n">
        <x:v>420</x:v>
      </x:c>
      <x:c r="R3877" s="22" t="n">
        <x:f>Q3877*M3877</x:f>
        <x:v>8400</x:v>
      </x:c>
      <x:c r="S3877" s="22" t="n">
        <x:f>P3877-R3877</x:f>
        <x:v>912</x:v>
      </x:c>
      <x:c r="T3877" t="str">
        <x:v>Bank Transfer</x:v>
      </x:c>
      <x:c r="U3877" t="str">
        <x:v>Paid</x:v>
      </x:c>
      <x:c r="V3877" t="str">
        <x:v>Cancelled</x:v>
      </x:c>
      <x:c r="W3877" t="n">
        <x:v>20</x:v>
      </x:c>
      <x:c r="X3877" t="str">
        <x:v>Cancelled Order</x:v>
      </x:c>
      <x:c r="Y3877" t="str">
        <x:v>Field Visit</x:v>
      </x:c>
    </x:row>
    <x:row r="3878">
      <x:c r="A3878" t="str">
        <x:v>O003877</x:v>
      </x:c>
      <x:c r="B3878" s="20" t="n">
        <x:v>46080</x:v>
      </x:c>
      <x:c r="C3878" t="str">
        <x:v>C0128</x:v>
      </x:c>
      <x:c r="D3878" t="str">
        <x:v>Fresh Hotel 128</x:v>
      </x:c>
      <x:c r="E3878" t="str">
        <x:v>Kirana</x:v>
      </x:c>
      <x:c r="F3878" t="str">
        <x:v>Tumakuru</x:v>
      </x:c>
      <x:c r="G3878" t="str">
        <x:v>Priya</x:v>
      </x:c>
      <x:c r="H3878" t="str">
        <x:v>P018</x:v>
      </x:c>
      <x:c r="I3878" t="str">
        <x:v>Paneer 1kg</x:v>
      </x:c>
      <x:c r="J3878" t="str">
        <x:v>Dairy</x:v>
      </x:c>
      <x:c r="K3878" t="str">
        <x:v>Milky Mist</x:v>
      </x:c>
      <x:c r="L3878" s="22" t="n">
        <x:v>410</x:v>
      </x:c>
      <x:c r="M3878" t="n">
        <x:v>18</x:v>
      </x:c>
      <x:c r="N3878" s="24" t="n">
        <x:v>0.05</x:v>
      </x:c>
      <x:c r="O3878" s="22" t="n">
        <x:f>L3878*M3878</x:f>
        <x:v>7380</x:v>
      </x:c>
      <x:c r="P3878" s="22" t="n">
        <x:f>O3878*(1-N3878)</x:f>
        <x:v>7011</x:v>
      </x:c>
      <x:c r="Q3878" s="22" t="n">
        <x:v>370</x:v>
      </x:c>
      <x:c r="R3878" s="22" t="n">
        <x:f>Q3878*M3878</x:f>
        <x:v>6660</x:v>
      </x:c>
      <x:c r="S3878" s="22" t="n">
        <x:f>P3878-R3878</x:f>
        <x:v>351</x:v>
      </x:c>
      <x:c r="T3878" t="str">
        <x:v>Cash</x:v>
      </x:c>
      <x:c r="U3878" t="str">
        <x:v>Paid</x:v>
      </x:c>
      <x:c r="V3878" t="str">
        <x:v>Cancelled</x:v>
      </x:c>
      <x:c r="W3878" t="n">
        <x:v>18</x:v>
      </x:c>
      <x:c r="X3878" t="str">
        <x:v>Cancelled Order</x:v>
      </x:c>
      <x:c r="Y3878" t="str">
        <x:v>Referral</x:v>
      </x:c>
    </x:row>
    <x:row r="3879">
      <x:c r="A3879" t="str">
        <x:v>O003878</x:v>
      </x:c>
      <x:c r="B3879" s="20" t="n">
        <x:v>45668</x:v>
      </x:c>
      <x:c r="C3879" t="str">
        <x:v>C0063</x:v>
      </x:c>
      <x:c r="D3879" t="str">
        <x:v>Namma Mart 63</x:v>
      </x:c>
      <x:c r="E3879" t="str">
        <x:v>Supermarket</x:v>
      </x:c>
      <x:c r="F3879" t="str">
        <x:v>Tumakuru</x:v>
      </x:c>
      <x:c r="G3879" t="str">
        <x:v>Priya</x:v>
      </x:c>
      <x:c r="H3879" t="str">
        <x:v>P007</x:v>
      </x:c>
      <x:c r="I3879" t="str">
        <x:v>Sunflower Oil 15L</x:v>
      </x:c>
      <x:c r="J3879" t="str">
        <x:v>Edible Oil</x:v>
      </x:c>
      <x:c r="K3879" t="str">
        <x:v>Fortune</x:v>
      </x:c>
      <x:c r="L3879" s="22" t="n">
        <x:v>1980</x:v>
      </x:c>
      <x:c r="M3879" t="n">
        <x:v>9</x:v>
      </x:c>
      <x:c r="N3879" s="24" t="n">
        <x:v>0.08</x:v>
      </x:c>
      <x:c r="O3879" s="22" t="n">
        <x:f>L3879*M3879</x:f>
        <x:v>17820</x:v>
      </x:c>
      <x:c r="P3879" s="22" t="n">
        <x:f>O3879*(1-N3879)</x:f>
        <x:v>16394.4</x:v>
      </x:c>
      <x:c r="Q3879" s="22" t="n">
        <x:v>1810</x:v>
      </x:c>
      <x:c r="R3879" s="22" t="n">
        <x:f>Q3879*M3879</x:f>
        <x:v>16290</x:v>
      </x:c>
      <x:c r="S3879" s="22" t="n">
        <x:f>P3879-R3879</x:f>
        <x:v>104.40000000000146</x:v>
      </x:c>
      <x:c r="T3879" t="str">
        <x:v>UPI</x:v>
      </x:c>
      <x:c r="U3879" t="str">
        <x:v>Paid</x:v>
      </x:c>
      <x:c r="V3879" t="str">
        <x:v>Delivered</x:v>
      </x:c>
      <x:c r="W3879" t="n">
        <x:v>0</x:v>
      </x:c>
      <x:c r="X3879" t="str"/>
      <x:c r="Y3879" t="str">
        <x:v>WhatsApp</x:v>
      </x:c>
    </x:row>
    <x:row r="3880">
      <x:c r="A3880" t="str">
        <x:v>O003879</x:v>
      </x:c>
      <x:c r="B3880" s="20" t="n">
        <x:v>46017</x:v>
      </x:c>
      <x:c r="C3880" t="str">
        <x:v>C0190</x:v>
      </x:c>
      <x:c r="D3880" t="str">
        <x:v>Shree Restaurant 190</x:v>
      </x:c>
      <x:c r="E3880" t="str">
        <x:v>Canteen</x:v>
      </x:c>
      <x:c r="F3880" t="str">
        <x:v>Bengaluru</x:v>
      </x:c>
      <x:c r="G3880" t="str">
        <x:v>Kavya</x:v>
      </x:c>
      <x:c r="H3880" t="str">
        <x:v>P020</x:v>
      </x:c>
      <x:c r="I3880" t="str">
        <x:v>Coffee 500g</x:v>
      </x:c>
      <x:c r="J3880" t="str">
        <x:v>Beverage</x:v>
      </x:c>
      <x:c r="K3880" t="str">
        <x:v>Bru</x:v>
      </x:c>
      <x:c r="L3880" s="22" t="n">
        <x:v>390</x:v>
      </x:c>
      <x:c r="M3880" t="n">
        <x:v>2</x:v>
      </x:c>
      <x:c r="N3880" s="24" t="n">
        <x:v>0.05</x:v>
      </x:c>
      <x:c r="O3880" s="22" t="n">
        <x:f>L3880*M3880</x:f>
        <x:v>780</x:v>
      </x:c>
      <x:c r="P3880" s="22" t="n">
        <x:f>O3880*(1-N3880)</x:f>
        <x:v>741</x:v>
      </x:c>
      <x:c r="Q3880" s="22" t="n">
        <x:v>350</x:v>
      </x:c>
      <x:c r="R3880" s="22" t="n">
        <x:f>Q3880*M3880</x:f>
        <x:v>700</x:v>
      </x:c>
      <x:c r="S3880" s="22" t="n">
        <x:f>P3880-R3880</x:f>
        <x:v>41</x:v>
      </x:c>
      <x:c r="T3880" t="str">
        <x:v>Cash</x:v>
      </x:c>
      <x:c r="U3880" t="str">
        <x:v>Paid</x:v>
      </x:c>
      <x:c r="V3880" t="str">
        <x:v>Cancelled</x:v>
      </x:c>
      <x:c r="W3880" t="n">
        <x:v>2</x:v>
      </x:c>
      <x:c r="X3880" t="str">
        <x:v>Cancelled Order</x:v>
      </x:c>
      <x:c r="Y3880" t="str">
        <x:v>Outbound Call</x:v>
      </x:c>
    </x:row>
    <x:row r="3881">
      <x:c r="A3881" t="str">
        <x:v>O003880</x:v>
      </x:c>
      <x:c r="B3881" s="20" t="n">
        <x:v>45659</x:v>
      </x:c>
      <x:c r="C3881" t="str">
        <x:v>C0003</x:v>
      </x:c>
      <x:c r="D3881" t="str">
        <x:v>Grand Foods 3</x:v>
      </x:c>
      <x:c r="E3881" t="str">
        <x:v>Restaurant</x:v>
      </x:c>
      <x:c r="F3881" t="str">
        <x:v>Bengaluru</x:v>
      </x:c>
      <x:c r="G3881" t="str">
        <x:v>Vikram</x:v>
      </x:c>
      <x:c r="H3881" t="str">
        <x:v>P007</x:v>
      </x:c>
      <x:c r="I3881" t="str">
        <x:v>Sunflower Oil 15L</x:v>
      </x:c>
      <x:c r="J3881" t="str">
        <x:v>Edible Oil</x:v>
      </x:c>
      <x:c r="K3881" t="str">
        <x:v>Fortune</x:v>
      </x:c>
      <x:c r="L3881" s="22" t="n">
        <x:v>1980</x:v>
      </x:c>
      <x:c r="M3881" t="n">
        <x:v>11</x:v>
      </x:c>
      <x:c r="N3881" s="24" t="n">
        <x:v>0.03</x:v>
      </x:c>
      <x:c r="O3881" s="22" t="n">
        <x:f>L3881*M3881</x:f>
        <x:v>21780</x:v>
      </x:c>
      <x:c r="P3881" s="22" t="n">
        <x:f>O3881*(1-N3881)</x:f>
        <x:v>21126.6</x:v>
      </x:c>
      <x:c r="Q3881" s="22" t="n">
        <x:v>1810</x:v>
      </x:c>
      <x:c r="R3881" s="22" t="n">
        <x:f>Q3881*M3881</x:f>
        <x:v>19910</x:v>
      </x:c>
      <x:c r="S3881" s="22" t="n">
        <x:f>P3881-R3881</x:f>
        <x:v>1216.5999999999985</x:v>
      </x:c>
      <x:c r="T3881" t="str">
        <x:v>Credit</x:v>
      </x:c>
      <x:c r="U3881" t="str">
        <x:v>Paid</x:v>
      </x:c>
      <x:c r="V3881" t="str">
        <x:v>Delivered</x:v>
      </x:c>
      <x:c r="W3881" t="n">
        <x:v>0</x:v>
      </x:c>
      <x:c r="X3881" t="str"/>
      <x:c r="Y3881" t="str">
        <x:v>Field Visit</x:v>
      </x:c>
    </x:row>
    <x:row r="3882">
      <x:c r="A3882" t="str">
        <x:v>O003881</x:v>
      </x:c>
      <x:c r="B3882" s="20" t="n">
        <x:v>46260</x:v>
      </x:c>
      <x:c r="C3882" t="str">
        <x:v>C0112</x:v>
      </x:c>
      <x:c r="D3882" t="str">
        <x:v>Cafe Hotel 112</x:v>
      </x:c>
      <x:c r="E3882" t="str">
        <x:v>Hotel</x:v>
      </x:c>
      <x:c r="F3882" t="str">
        <x:v>Mangaluru</x:v>
      </x:c>
      <x:c r="G3882" t="str">
        <x:v>Kavya</x:v>
      </x:c>
      <x:c r="H3882" t="str">
        <x:v>P006</x:v>
      </x:c>
      <x:c r="I3882" t="str">
        <x:v>Moong Dal 5kg</x:v>
      </x:c>
      <x:c r="J3882" t="str">
        <x:v>Pulses</x:v>
      </x:c>
      <x:c r="K3882" t="str">
        <x:v>Local Select</x:v>
      </x:c>
      <x:c r="L3882" s="22" t="n">
        <x:v>610</x:v>
      </x:c>
      <x:c r="M3882" t="n">
        <x:v>14</x:v>
      </x:c>
      <x:c r="N3882" s="24" t="n">
        <x:v>0.03</x:v>
      </x:c>
      <x:c r="O3882" s="22" t="n">
        <x:f>L3882*M3882</x:f>
        <x:v>8540</x:v>
      </x:c>
      <x:c r="P3882" s="22" t="n">
        <x:f>O3882*(1-N3882)</x:f>
        <x:v>8283.8</x:v>
      </x:c>
      <x:c r="Q3882" s="22" t="n">
        <x:v>540</x:v>
      </x:c>
      <x:c r="R3882" s="22" t="n">
        <x:f>Q3882*M3882</x:f>
        <x:v>7560</x:v>
      </x:c>
      <x:c r="S3882" s="22" t="n">
        <x:f>P3882-R3882</x:f>
        <x:v>723.7999999999993</x:v>
      </x:c>
      <x:c r="T3882" t="str">
        <x:v>Credit</x:v>
      </x:c>
      <x:c r="U3882" t="str">
        <x:v>Paid</x:v>
      </x:c>
      <x:c r="V3882" t="str">
        <x:v>Delivered</x:v>
      </x:c>
      <x:c r="W3882" t="n">
        <x:v>0</x:v>
      </x:c>
      <x:c r="X3882" t="str"/>
      <x:c r="Y3882" t="str">
        <x:v>Field Visit</x:v>
      </x:c>
    </x:row>
    <x:row r="3883">
      <x:c r="A3883" t="str">
        <x:v>O003882</x:v>
      </x:c>
      <x:c r="B3883" s="20" t="n">
        <x:v>45882</x:v>
      </x:c>
      <x:c r="C3883" t="str">
        <x:v>C0085</x:v>
      </x:c>
      <x:c r="D3883" t="str">
        <x:v>Green Hotel 85</x:v>
      </x:c>
      <x:c r="E3883" t="str">
        <x:v>Kirana</x:v>
      </x:c>
      <x:c r="F3883" t="str">
        <x:v>Mysuru</x:v>
      </x:c>
      <x:c r="G3883" t="str">
        <x:v>Arjun</x:v>
      </x:c>
      <x:c r="H3883" t="str">
        <x:v>P016</x:v>
      </x:c>
      <x:c r="I3883" t="str">
        <x:v>Curd 1kg</x:v>
      </x:c>
      <x:c r="J3883" t="str">
        <x:v>Dairy</x:v>
      </x:c>
      <x:c r="K3883" t="str">
        <x:v>Nandini</x:v>
      </x:c>
      <x:c r="L3883" s="22" t="n">
        <x:v>72</x:v>
      </x:c>
      <x:c r="M3883" t="n">
        <x:v>15</x:v>
      </x:c>
      <x:c r="N3883" s="24" t="n">
        <x:v>0.02</x:v>
      </x:c>
      <x:c r="O3883" s="22" t="n">
        <x:f>L3883*M3883</x:f>
        <x:v>1080</x:v>
      </x:c>
      <x:c r="P3883" s="22" t="n">
        <x:f>O3883*(1-N3883)</x:f>
        <x:v>1058.4</x:v>
      </x:c>
      <x:c r="Q3883" s="22" t="n">
        <x:v>64</x:v>
      </x:c>
      <x:c r="R3883" s="22" t="n">
        <x:f>Q3883*M3883</x:f>
        <x:v>960</x:v>
      </x:c>
      <x:c r="S3883" s="22" t="n">
        <x:f>P3883-R3883</x:f>
        <x:v>98.40000000000009</x:v>
      </x:c>
      <x:c r="T3883" t="str">
        <x:v>Credit</x:v>
      </x:c>
      <x:c r="U3883" t="str">
        <x:v>Paid</x:v>
      </x:c>
      <x:c r="V3883" t="str">
        <x:v>Cancelled</x:v>
      </x:c>
      <x:c r="W3883" t="n">
        <x:v>15</x:v>
      </x:c>
      <x:c r="X3883" t="str">
        <x:v>Cancelled Order</x:v>
      </x:c>
      <x:c r="Y3883" t="str">
        <x:v>Existing Customer</x:v>
      </x:c>
    </x:row>
    <x:row r="3884">
      <x:c r="A3884" t="str">
        <x:v>O003883</x:v>
      </x:c>
      <x:c r="B3884" s="20" t="n">
        <x:v>46149</x:v>
      </x:c>
      <x:c r="C3884" t="str">
        <x:v>C0059</x:v>
      </x:c>
      <x:c r="D3884" t="str">
        <x:v>Spice Foods 59</x:v>
      </x:c>
      <x:c r="E3884" t="str">
        <x:v>Hotel</x:v>
      </x:c>
      <x:c r="F3884" t="str">
        <x:v>Hubballi</x:v>
      </x:c>
      <x:c r="G3884" t="str">
        <x:v>Sneha</x:v>
      </x:c>
      <x:c r="H3884" t="str">
        <x:v>P013</x:v>
      </x:c>
      <x:c r="I3884" t="str">
        <x:v>Atta 10kg</x:v>
      </x:c>
      <x:c r="J3884" t="str">
        <x:v>Flour</x:v>
      </x:c>
      <x:c r="K3884" t="str">
        <x:v>Aashirvaad</x:v>
      </x:c>
      <x:c r="L3884" s="22" t="n">
        <x:v>560</x:v>
      </x:c>
      <x:c r="M3884" t="n">
        <x:v>37</x:v>
      </x:c>
      <x:c r="N3884" s="24" t="n">
        <x:v>0.08</x:v>
      </x:c>
      <x:c r="O3884" s="22" t="n">
        <x:f>L3884*M3884</x:f>
        <x:v>20720</x:v>
      </x:c>
      <x:c r="P3884" s="22" t="n">
        <x:f>O3884*(1-N3884)</x:f>
        <x:v>19062.4</x:v>
      </x:c>
      <x:c r="Q3884" s="22" t="n">
        <x:v>495</x:v>
      </x:c>
      <x:c r="R3884" s="22" t="n">
        <x:f>Q3884*M3884</x:f>
        <x:v>18315</x:v>
      </x:c>
      <x:c r="S3884" s="22" t="n">
        <x:f>P3884-R3884</x:f>
        <x:v>747.4000000000015</x:v>
      </x:c>
      <x:c r="T3884" t="str">
        <x:v>Bank Transfer</x:v>
      </x:c>
      <x:c r="U3884" t="str">
        <x:v>Paid</x:v>
      </x:c>
      <x:c r="V3884" t="str">
        <x:v>Cancelled</x:v>
      </x:c>
      <x:c r="W3884" t="n">
        <x:v>37</x:v>
      </x:c>
      <x:c r="X3884" t="str">
        <x:v>Cancelled Order</x:v>
      </x:c>
      <x:c r="Y3884" t="str">
        <x:v>WhatsApp</x:v>
      </x:c>
    </x:row>
    <x:row r="3885">
      <x:c r="A3885" t="str">
        <x:v>O003884</x:v>
      </x:c>
      <x:c r="B3885" s="20" t="n">
        <x:v>45775</x:v>
      </x:c>
      <x:c r="C3885" t="str">
        <x:v>C0044</x:v>
      </x:c>
      <x:c r="D3885" t="str">
        <x:v>Annapurna Mart 44</x:v>
      </x:c>
      <x:c r="E3885" t="str">
        <x:v>Kirana</x:v>
      </x:c>
      <x:c r="F3885" t="str">
        <x:v>Davanagere</x:v>
      </x:c>
      <x:c r="G3885" t="str">
        <x:v>Priya</x:v>
      </x:c>
      <x:c r="H3885" t="str">
        <x:v>P033</x:v>
      </x:c>
      <x:c r="I3885" t="str">
        <x:v>Turmeric Powder 1kg</x:v>
      </x:c>
      <x:c r="J3885" t="str">
        <x:v>Spices</x:v>
      </x:c>
      <x:c r="K3885" t="str">
        <x:v>Everest</x:v>
      </x:c>
      <x:c r="L3885" s="22" t="n">
        <x:v>310</x:v>
      </x:c>
      <x:c r="M3885" t="n">
        <x:v>40</x:v>
      </x:c>
      <x:c r="N3885" s="24" t="n">
        <x:v>0.08</x:v>
      </x:c>
      <x:c r="O3885" s="22" t="n">
        <x:f>L3885*M3885</x:f>
        <x:v>12400</x:v>
      </x:c>
      <x:c r="P3885" s="22" t="n">
        <x:f>O3885*(1-N3885)</x:f>
        <x:v>11408</x:v>
      </x:c>
      <x:c r="Q3885" s="22" t="n">
        <x:v>270</x:v>
      </x:c>
      <x:c r="R3885" s="22" t="n">
        <x:f>Q3885*M3885</x:f>
        <x:v>10800</x:v>
      </x:c>
      <x:c r="S3885" s="22" t="n">
        <x:f>P3885-R3885</x:f>
        <x:v>608</x:v>
      </x:c>
      <x:c r="T3885" t="str">
        <x:v>Cash</x:v>
      </x:c>
      <x:c r="U3885" t="str">
        <x:v>Paid</x:v>
      </x:c>
      <x:c r="V3885" t="str">
        <x:v>Delivered</x:v>
      </x:c>
      <x:c r="W3885" t="n">
        <x:v>0</x:v>
      </x:c>
      <x:c r="X3885" t="str"/>
      <x:c r="Y3885" t="str">
        <x:v>Referral</x:v>
      </x:c>
    </x:row>
    <x:row r="3886">
      <x:c r="A3886" t="str">
        <x:v>O003885</x:v>
      </x:c>
      <x:c r="B3886" s="20" t="n">
        <x:v>45908</x:v>
      </x:c>
      <x:c r="C3886" t="str">
        <x:v>C0164</x:v>
      </x:c>
      <x:c r="D3886" t="str">
        <x:v>Sri Hotel 164</x:v>
      </x:c>
      <x:c r="E3886" t="str">
        <x:v>Kirana</x:v>
      </x:c>
      <x:c r="F3886" t="str">
        <x:v>Mysuru</x:v>
      </x:c>
      <x:c r="G3886" t="str">
        <x:v>Vikram</x:v>
      </x:c>
      <x:c r="H3886" t="str">
        <x:v>P032</x:v>
      </x:c>
      <x:c r="I3886" t="str">
        <x:v>Soy Sauce 700g</x:v>
      </x:c>
      <x:c r="J3886" t="str">
        <x:v>Condiments</x:v>
      </x:c>
      <x:c r="K3886" t="str">
        <x:v>Ching's</x:v>
      </x:c>
      <x:c r="L3886" s="22" t="n">
        <x:v>118</x:v>
      </x:c>
      <x:c r="M3886" t="n">
        <x:v>19</x:v>
      </x:c>
      <x:c r="N3886" s="24" t="n">
        <x:v>0.1</x:v>
      </x:c>
      <x:c r="O3886" s="22" t="n">
        <x:f>L3886*M3886</x:f>
        <x:v>2242</x:v>
      </x:c>
      <x:c r="P3886" s="22" t="n">
        <x:f>O3886*(1-N3886)</x:f>
        <x:v>2017.8</x:v>
      </x:c>
      <x:c r="Q3886" s="22" t="n">
        <x:v>101</x:v>
      </x:c>
      <x:c r="R3886" s="22" t="n">
        <x:f>Q3886*M3886</x:f>
        <x:v>1919</x:v>
      </x:c>
      <x:c r="S3886" s="22" t="n">
        <x:f>P3886-R3886</x:f>
        <x:v>98.79999999999995</x:v>
      </x:c>
      <x:c r="T3886" t="str">
        <x:v>UPI</x:v>
      </x:c>
      <x:c r="U3886" t="str">
        <x:v>Paid</x:v>
      </x:c>
      <x:c r="V3886" t="str">
        <x:v>Delivered</x:v>
      </x:c>
      <x:c r="W3886" t="n">
        <x:v>0</x:v>
      </x:c>
      <x:c r="X3886" t="str"/>
      <x:c r="Y3886" t="str"/>
    </x:row>
    <x:row r="3887">
      <x:c r="A3887" t="str">
        <x:v>O003886</x:v>
      </x:c>
      <x:c r="B3887" s="20" t="n">
        <x:v>45661</x:v>
      </x:c>
      <x:c r="C3887" t="str">
        <x:v>C0233</x:v>
      </x:c>
      <x:c r="D3887" t="str">
        <x:v>Shree Mart 233</x:v>
      </x:c>
      <x:c r="E3887" t="str">
        <x:v>Kirana</x:v>
      </x:c>
      <x:c r="F3887" t="str">
        <x:v>Mangaluru</x:v>
      </x:c>
      <x:c r="G3887" t="str">
        <x:v>Priya</x:v>
      </x:c>
      <x:c r="H3887" t="str">
        <x:v>P041</x:v>
      </x:c>
      <x:c r="I3887" t="str">
        <x:v>Burger Bun 6pc</x:v>
      </x:c>
      <x:c r="J3887" t="str">
        <x:v>Bakery</x:v>
      </x:c>
      <x:c r="K3887" t="str">
        <x:v>Modern</x:v>
      </x:c>
      <x:c r="L3887" s="22" t="n">
        <x:v>42</x:v>
      </x:c>
      <x:c r="M3887" t="n">
        <x:v>17</x:v>
      </x:c>
      <x:c r="N3887" s="24" t="n">
        <x:v>0.03</x:v>
      </x:c>
      <x:c r="O3887" s="22" t="n">
        <x:f>L3887*M3887</x:f>
        <x:v>714</x:v>
      </x:c>
      <x:c r="P3887" s="22" t="n">
        <x:f>O3887*(1-N3887)</x:f>
        <x:v>692.5799999999999</x:v>
      </x:c>
      <x:c r="Q3887" s="22" t="n">
        <x:v>32</x:v>
      </x:c>
      <x:c r="R3887" s="22" t="n">
        <x:f>Q3887*M3887</x:f>
        <x:v>544</x:v>
      </x:c>
      <x:c r="S3887" s="22" t="n">
        <x:f>P3887-R3887</x:f>
        <x:v>148.57999999999993</x:v>
      </x:c>
      <x:c r="T3887" t="str">
        <x:v>Credit</x:v>
      </x:c>
      <x:c r="U3887" t="str">
        <x:v>Paid</x:v>
      </x:c>
      <x:c r="V3887" t="str">
        <x:v>Delivered</x:v>
      </x:c>
      <x:c r="W3887" t="n">
        <x:v>0</x:v>
      </x:c>
      <x:c r="X3887" t="str"/>
      <x:c r="Y3887" t="str">
        <x:v>Existing Customer</x:v>
      </x:c>
    </x:row>
    <x:row r="3888">
      <x:c r="A3888" t="str">
        <x:v>O003887</x:v>
      </x:c>
      <x:c r="B3888" s="20" t="n">
        <x:v>45934</x:v>
      </x:c>
      <x:c r="C3888" t="str">
        <x:v>C0153</x:v>
      </x:c>
      <x:c r="D3888" t="str">
        <x:v>Fresh Foods 153</x:v>
      </x:c>
      <x:c r="E3888" t="str">
        <x:v>Kirana</x:v>
      </x:c>
      <x:c r="F3888" t="str">
        <x:v>Bengaluru</x:v>
      </x:c>
      <x:c r="G3888" t="str">
        <x:v>Priya</x:v>
      </x:c>
      <x:c r="H3888" t="str">
        <x:v>P005</x:v>
      </x:c>
      <x:c r="I3888" t="str">
        <x:v>Chana Dal 5kg</x:v>
      </x:c>
      <x:c r="J3888" t="str">
        <x:v>Pulses</x:v>
      </x:c>
      <x:c r="K3888" t="str">
        <x:v>Local Select</x:v>
      </x:c>
      <x:c r="L3888" s="22" t="n">
        <x:v>520</x:v>
      </x:c>
      <x:c r="M3888" t="n">
        <x:v>23</x:v>
      </x:c>
      <x:c r="N3888" s="24" t="n">
        <x:v>0.08</x:v>
      </x:c>
      <x:c r="O3888" s="22" t="n">
        <x:f>L3888*M3888</x:f>
        <x:v>11960</x:v>
      </x:c>
      <x:c r="P3888" s="22" t="n">
        <x:f>O3888*(1-N3888)</x:f>
        <x:v>11003.2</x:v>
      </x:c>
      <x:c r="Q3888" s="22" t="n">
        <x:v>455</x:v>
      </x:c>
      <x:c r="R3888" s="22" t="n">
        <x:f>Q3888*M3888</x:f>
        <x:v>10465</x:v>
      </x:c>
      <x:c r="S3888" s="22" t="n">
        <x:f>P3888-R3888</x:f>
        <x:v>538.2000000000007</x:v>
      </x:c>
      <x:c r="T3888" t="str">
        <x:v>Credit</x:v>
      </x:c>
      <x:c r="U3888" t="str">
        <x:v>Paid</x:v>
      </x:c>
      <x:c r="V3888" t="str">
        <x:v>Delivered</x:v>
      </x:c>
      <x:c r="W3888" t="n">
        <x:v>0</x:v>
      </x:c>
      <x:c r="X3888" t="str"/>
      <x:c r="Y3888" t="str">
        <x:v>Existing Customer</x:v>
      </x:c>
    </x:row>
    <x:row r="3889">
      <x:c r="A3889" t="str">
        <x:v>O003888</x:v>
      </x:c>
      <x:c r="B3889" s="20" t="n">
        <x:v>46252</x:v>
      </x:c>
      <x:c r="C3889" t="str">
        <x:v>C0190</x:v>
      </x:c>
      <x:c r="D3889" t="str">
        <x:v>Shree Restaurant 190</x:v>
      </x:c>
      <x:c r="E3889" t="str">
        <x:v>Canteen</x:v>
      </x:c>
      <x:c r="F3889" t="str">
        <x:v>Bengaluru</x:v>
      </x:c>
      <x:c r="G3889" t="str">
        <x:v>Kavya</x:v>
      </x:c>
      <x:c r="H3889" t="str">
        <x:v>P021</x:v>
      </x:c>
      <x:c r="I3889" t="str">
        <x:v>Instant Coffee 200g</x:v>
      </x:c>
      <x:c r="J3889" t="str">
        <x:v>Beverage</x:v>
      </x:c>
      <x:c r="K3889" t="str">
        <x:v>Nescafe</x:v>
      </x:c>
      <x:c r="L3889" s="22" t="n">
        <x:v>460</x:v>
      </x:c>
      <x:c r="M3889" t="n">
        <x:v>8</x:v>
      </x:c>
      <x:c r="N3889" s="24" t="n">
        <x:v>0.05</x:v>
      </x:c>
      <x:c r="O3889" s="22" t="n">
        <x:f>L3889*M3889</x:f>
        <x:v>3680</x:v>
      </x:c>
      <x:c r="P3889" s="22" t="n">
        <x:f>O3889*(1-N3889)</x:f>
        <x:v>3496</x:v>
      </x:c>
      <x:c r="Q3889" s="22" t="n">
        <x:v>410</x:v>
      </x:c>
      <x:c r="R3889" s="22" t="n">
        <x:f>Q3889*M3889</x:f>
        <x:v>3280</x:v>
      </x:c>
      <x:c r="S3889" s="22" t="n">
        <x:f>P3889-R3889</x:f>
        <x:v>216</x:v>
      </x:c>
      <x:c r="T3889" t="str">
        <x:v>UPI</x:v>
      </x:c>
      <x:c r="U3889" t="str">
        <x:v>Paid</x:v>
      </x:c>
      <x:c r="V3889" t="str">
        <x:v>Delivered</x:v>
      </x:c>
      <x:c r="W3889" t="n">
        <x:v>0</x:v>
      </x:c>
      <x:c r="X3889" t="str"/>
      <x:c r="Y3889" t="str">
        <x:v>Referral</x:v>
      </x:c>
    </x:row>
    <x:row r="3890">
      <x:c r="A3890" t="str">
        <x:v>O003889</x:v>
      </x:c>
      <x:c r="B3890" s="20" t="n">
        <x:v>46109</x:v>
      </x:c>
      <x:c r="C3890" t="str">
        <x:v>C0094</x:v>
      </x:c>
      <x:c r="D3890" t="str">
        <x:v>Mysore Mart 94</x:v>
      </x:c>
      <x:c r="E3890" t="str">
        <x:v>Restaurant</x:v>
      </x:c>
      <x:c r="F3890" t="str">
        <x:v>Hubballi</x:v>
      </x:c>
      <x:c r="G3890" t="str">
        <x:v>Sneha</x:v>
      </x:c>
      <x:c r="H3890" t="str">
        <x:v>P014</x:v>
      </x:c>
      <x:c r="I3890" t="str">
        <x:v>Rava 5kg</x:v>
      </x:c>
      <x:c r="J3890" t="str">
        <x:v>Flour</x:v>
      </x:c>
      <x:c r="K3890" t="str">
        <x:v>Local Select</x:v>
      </x:c>
      <x:c r="L3890" s="22" t="n">
        <x:v>245</x:v>
      </x:c>
      <x:c r="M3890" t="n">
        <x:v>34</x:v>
      </x:c>
      <x:c r="N3890" s="24" t="n">
        <x:v>0.03</x:v>
      </x:c>
      <x:c r="O3890" s="22" t="n">
        <x:f>L3890*M3890</x:f>
        <x:v>8330</x:v>
      </x:c>
      <x:c r="P3890" s="22" t="n">
        <x:f>O3890*(1-N3890)</x:f>
        <x:v>8080.099999999999</x:v>
      </x:c>
      <x:c r="Q3890" s="22" t="n">
        <x:v>215</x:v>
      </x:c>
      <x:c r="R3890" s="22" t="n">
        <x:f>Q3890*M3890</x:f>
        <x:v>7310</x:v>
      </x:c>
      <x:c r="S3890" s="22" t="n">
        <x:f>P3890-R3890</x:f>
        <x:v>770.0999999999995</x:v>
      </x:c>
      <x:c r="T3890" t="str">
        <x:v>Credit</x:v>
      </x:c>
      <x:c r="U3890" t="str">
        <x:v>Pending</x:v>
      </x:c>
      <x:c r="V3890" t="str">
        <x:v>Delayed</x:v>
      </x:c>
      <x:c r="W3890" t="n">
        <x:v>0</x:v>
      </x:c>
      <x:c r="X3890" t="str"/>
      <x:c r="Y3890" t="str">
        <x:v>Existing Customer</x:v>
      </x:c>
    </x:row>
    <x:row r="3891">
      <x:c r="A3891" t="str">
        <x:v>O003890</x:v>
      </x:c>
      <x:c r="B3891" s="20" t="n">
        <x:v>46028</x:v>
      </x:c>
      <x:c r="C3891" t="str">
        <x:v>C0089</x:v>
      </x:c>
      <x:c r="D3891" t="str">
        <x:v>Green Canteen 89</x:v>
      </x:c>
      <x:c r="E3891" t="str">
        <x:v>Supermarket</x:v>
      </x:c>
      <x:c r="F3891" t="str">
        <x:v>Mangaluru</x:v>
      </x:c>
      <x:c r="G3891" t="str">
        <x:v>Megha</x:v>
      </x:c>
      <x:c r="H3891" t="str">
        <x:v>P042</x:v>
      </x:c>
      <x:c r="I3891" t="str">
        <x:v>Eggs 30pc Tray</x:v>
      </x:c>
      <x:c r="J3891" t="str">
        <x:v>Protein</x:v>
      </x:c>
      <x:c r="K3891" t="str">
        <x:v>Farm Fresh</x:v>
      </x:c>
      <x:c r="L3891" s="22" t="n">
        <x:v>195</x:v>
      </x:c>
      <x:c r="M3891" t="n">
        <x:v>29</x:v>
      </x:c>
      <x:c r="N3891" s="24" t="n">
        <x:v>0</x:v>
      </x:c>
      <x:c r="O3891" s="22" t="n">
        <x:f>L3891*M3891</x:f>
        <x:v>5655</x:v>
      </x:c>
      <x:c r="P3891" s="22" t="n">
        <x:f>O3891*(1-N3891)</x:f>
        <x:v>5655</x:v>
      </x:c>
      <x:c r="Q3891" s="22" t="n">
        <x:v>170</x:v>
      </x:c>
      <x:c r="R3891" s="22" t="n">
        <x:f>Q3891*M3891</x:f>
        <x:v>4930</x:v>
      </x:c>
      <x:c r="S3891" s="22" t="n">
        <x:f>P3891-R3891</x:f>
        <x:v>725</x:v>
      </x:c>
      <x:c r="T3891" t="str">
        <x:v>UPI</x:v>
      </x:c>
      <x:c r="U3891" t="str">
        <x:v>Pending</x:v>
      </x:c>
      <x:c r="V3891" t="str">
        <x:v>Delayed</x:v>
      </x:c>
      <x:c r="W3891" t="n">
        <x:v>0</x:v>
      </x:c>
      <x:c r="X3891" t="str"/>
      <x:c r="Y3891" t="str">
        <x:v>Existing Customer</x:v>
      </x:c>
    </x:row>
    <x:row r="3892">
      <x:c r="A3892" t="str">
        <x:v>O003891</x:v>
      </x:c>
      <x:c r="B3892" s="20" t="n">
        <x:v>46273</x:v>
      </x:c>
      <x:c r="C3892" t="str">
        <x:v>C0068</x:v>
      </x:c>
      <x:c r="D3892" t="str">
        <x:v>Fresh Canteen 68</x:v>
      </x:c>
      <x:c r="E3892" t="str">
        <x:v>Kirana</x:v>
      </x:c>
      <x:c r="F3892" t="str">
        <x:v>Davanagere</x:v>
      </x:c>
      <x:c r="G3892" t="str">
        <x:v>Arjun</x:v>
      </x:c>
      <x:c r="H3892" t="str">
        <x:v>P017</x:v>
      </x:c>
      <x:c r="I3892" t="str">
        <x:v>Butter 500g</x:v>
      </x:c>
      <x:c r="J3892" t="str">
        <x:v>Dairy</x:v>
      </x:c>
      <x:c r="K3892" t="str">
        <x:v>Amul</x:v>
      </x:c>
      <x:c r="L3892" s="22" t="n">
        <x:v>285</x:v>
      </x:c>
      <x:c r="M3892" t="n">
        <x:v>25</x:v>
      </x:c>
      <x:c r="N3892" s="24" t="n">
        <x:v>0</x:v>
      </x:c>
      <x:c r="O3892" s="22" t="n">
        <x:f>L3892*M3892</x:f>
        <x:v>7125</x:v>
      </x:c>
      <x:c r="P3892" s="22" t="n">
        <x:f>O3892*(1-N3892)</x:f>
        <x:v>7125</x:v>
      </x:c>
      <x:c r="Q3892" s="22" t="n">
        <x:v>258</x:v>
      </x:c>
      <x:c r="R3892" s="22" t="n">
        <x:f>Q3892*M3892</x:f>
        <x:v>6450</x:v>
      </x:c>
      <x:c r="S3892" s="22" t="n">
        <x:f>P3892-R3892</x:f>
        <x:v>675</x:v>
      </x:c>
      <x:c r="T3892" t="str">
        <x:v>Credit</x:v>
      </x:c>
      <x:c r="U3892" t="str">
        <x:v>Paid</x:v>
      </x:c>
      <x:c r="V3892" t="str">
        <x:v>Delayed</x:v>
      </x:c>
      <x:c r="W3892" t="n">
        <x:v>0</x:v>
      </x:c>
      <x:c r="X3892" t="str"/>
      <x:c r="Y3892" t="str">
        <x:v>Field Visit</x:v>
      </x:c>
    </x:row>
    <x:row r="3893">
      <x:c r="A3893" t="str">
        <x:v>O003892</x:v>
      </x:c>
      <x:c r="B3893" s="20" t="n">
        <x:v>46146</x:v>
      </x:c>
      <x:c r="C3893" t="str">
        <x:v>C0123</x:v>
      </x:c>
      <x:c r="D3893" t="str">
        <x:v>City Foods 123</x:v>
      </x:c>
      <x:c r="E3893" t="str">
        <x:v>Restaurant</x:v>
      </x:c>
      <x:c r="F3893" t="str">
        <x:v>Davanagere</x:v>
      </x:c>
      <x:c r="G3893" t="str">
        <x:v>Sneha</x:v>
      </x:c>
      <x:c r="H3893" t="str">
        <x:v>P017</x:v>
      </x:c>
      <x:c r="I3893" t="str">
        <x:v>Butter 500g</x:v>
      </x:c>
      <x:c r="J3893" t="str">
        <x:v>Dairy</x:v>
      </x:c>
      <x:c r="K3893" t="str">
        <x:v>Amul</x:v>
      </x:c>
      <x:c r="L3893" s="22" t="n">
        <x:v>285</x:v>
      </x:c>
      <x:c r="M3893" t="n">
        <x:v>31</x:v>
      </x:c>
      <x:c r="N3893" s="24" t="n">
        <x:v>0.03</x:v>
      </x:c>
      <x:c r="O3893" s="22" t="n">
        <x:f>L3893*M3893</x:f>
        <x:v>8835</x:v>
      </x:c>
      <x:c r="P3893" s="22" t="n">
        <x:f>O3893*(1-N3893)</x:f>
        <x:v>8569.949999999999</x:v>
      </x:c>
      <x:c r="Q3893" s="22" t="n">
        <x:v>258</x:v>
      </x:c>
      <x:c r="R3893" s="22" t="n">
        <x:f>Q3893*M3893</x:f>
        <x:v>7998</x:v>
      </x:c>
      <x:c r="S3893" s="22" t="n">
        <x:f>P3893-R3893</x:f>
        <x:v>571.9499999999989</x:v>
      </x:c>
      <x:c r="T3893" t="str">
        <x:v>Bank Transfer</x:v>
      </x:c>
      <x:c r="U3893" t="str">
        <x:v>Paid</x:v>
      </x:c>
      <x:c r="V3893" t="str">
        <x:v>Delivered</x:v>
      </x:c>
      <x:c r="W3893" t="n">
        <x:v>0</x:v>
      </x:c>
      <x:c r="X3893" t="str"/>
      <x:c r="Y3893" t="str">
        <x:v>Referral</x:v>
      </x:c>
    </x:row>
    <x:row r="3894">
      <x:c r="A3894" t="str">
        <x:v>O003893</x:v>
      </x:c>
      <x:c r="B3894" s="20" t="n">
        <x:v>46113</x:v>
      </x:c>
      <x:c r="C3894" t="str">
        <x:v>C0132</x:v>
      </x:c>
      <x:c r="D3894" t="str">
        <x:v>Classic Stores 132</x:v>
      </x:c>
      <x:c r="E3894" t="str">
        <x:v>Cafe</x:v>
      </x:c>
      <x:c r="F3894" t="str">
        <x:v>Mysuru</x:v>
      </x:c>
      <x:c r="G3894" t="str">
        <x:v>Megha</x:v>
      </x:c>
      <x:c r="H3894" t="str">
        <x:v>P030</x:v>
      </x:c>
      <x:c r="I3894" t="str">
        <x:v>Mayonnaise 1kg</x:v>
      </x:c>
      <x:c r="J3894" t="str">
        <x:v>Condiments</x:v>
      </x:c>
      <x:c r="K3894" t="str">
        <x:v>Veeba</x:v>
      </x:c>
      <x:c r="L3894" s="22" t="n">
        <x:v>210</x:v>
      </x:c>
      <x:c r="M3894" t="n">
        <x:v>24</x:v>
      </x:c>
      <x:c r="N3894" s="24" t="n">
        <x:v>0.02</x:v>
      </x:c>
      <x:c r="O3894" s="22" t="n">
        <x:f>L3894*M3894</x:f>
        <x:v>5040</x:v>
      </x:c>
      <x:c r="P3894" s="22" t="n">
        <x:f>O3894*(1-N3894)</x:f>
        <x:v>4939.2</x:v>
      </x:c>
      <x:c r="Q3894" s="22" t="n">
        <x:v>185</x:v>
      </x:c>
      <x:c r="R3894" s="22" t="n">
        <x:f>Q3894*M3894</x:f>
        <x:v>4440</x:v>
      </x:c>
      <x:c r="S3894" s="22" t="n">
        <x:f>P3894-R3894</x:f>
        <x:v>499.1999999999998</x:v>
      </x:c>
      <x:c r="T3894" t="str">
        <x:v>UPI</x:v>
      </x:c>
      <x:c r="U3894" t="str">
        <x:v>Pending</x:v>
      </x:c>
      <x:c r="V3894" t="str">
        <x:v>Delayed</x:v>
      </x:c>
      <x:c r="W3894" t="n">
        <x:v>0</x:v>
      </x:c>
      <x:c r="X3894" t="str"/>
      <x:c r="Y3894" t="str">
        <x:v>Outbound Call</x:v>
      </x:c>
    </x:row>
    <x:row r="3895">
      <x:c r="A3895" t="str">
        <x:v>O003894</x:v>
      </x:c>
      <x:c r="B3895" s="20" t="n">
        <x:v>46189</x:v>
      </x:c>
      <x:c r="C3895" t="str">
        <x:v>C0194</x:v>
      </x:c>
      <x:c r="D3895" t="str">
        <x:v>Royal Hotel 194</x:v>
      </x:c>
      <x:c r="E3895" t="str">
        <x:v>Kirana</x:v>
      </x:c>
      <x:c r="F3895" t="str">
        <x:v>Mysuru</x:v>
      </x:c>
      <x:c r="G3895" t="str">
        <x:v>Megha</x:v>
      </x:c>
      <x:c r="H3895" t="str">
        <x:v>P037</x:v>
      </x:c>
      <x:c r="I3895" t="str">
        <x:v>Frozen Peas 1kg</x:v>
      </x:c>
      <x:c r="J3895" t="str">
        <x:v>Frozen</x:v>
      </x:c>
      <x:c r="K3895" t="str">
        <x:v>Safal</x:v>
      </x:c>
      <x:c r="L3895" s="22" t="n">
        <x:v>155</x:v>
      </x:c>
      <x:c r="M3895" t="n">
        <x:v>31</x:v>
      </x:c>
      <x:c r="N3895" s="24" t="n">
        <x:v>0.02</x:v>
      </x:c>
      <x:c r="O3895" s="22" t="n">
        <x:f>L3895*M3895</x:f>
        <x:v>4805</x:v>
      </x:c>
      <x:c r="P3895" s="22" t="n">
        <x:f>O3895*(1-N3895)</x:f>
        <x:v>4708.9</x:v>
      </x:c>
      <x:c r="Q3895" s="22" t="n">
        <x:v>138</x:v>
      </x:c>
      <x:c r="R3895" s="22" t="n">
        <x:f>Q3895*M3895</x:f>
        <x:v>4278</x:v>
      </x:c>
      <x:c r="S3895" s="22" t="n">
        <x:f>P3895-R3895</x:f>
        <x:v>430.89999999999964</x:v>
      </x:c>
      <x:c r="T3895" t="str">
        <x:v>Credit</x:v>
      </x:c>
      <x:c r="U3895" t="str">
        <x:v>Paid</x:v>
      </x:c>
      <x:c r="V3895" t="str">
        <x:v>Cancelled</x:v>
      </x:c>
      <x:c r="W3895" t="n">
        <x:v>31</x:v>
      </x:c>
      <x:c r="X3895" t="str">
        <x:v>Cancelled Order</x:v>
      </x:c>
      <x:c r="Y3895" t="str">
        <x:v>Existing Customer</x:v>
      </x:c>
    </x:row>
    <x:row r="3896">
      <x:c r="A3896" t="str">
        <x:v>O003895</x:v>
      </x:c>
      <x:c r="B3896" s="20" t="n">
        <x:v>45849</x:v>
      </x:c>
      <x:c r="C3896" t="str">
        <x:v>C0057</x:v>
      </x:c>
      <x:c r="D3896" t="str">
        <x:v>Annapurna Foods 57</x:v>
      </x:c>
      <x:c r="E3896" t="str">
        <x:v>Kirana</x:v>
      </x:c>
      <x:c r="F3896" t="str">
        <x:v>Mysuru</x:v>
      </x:c>
      <x:c r="G3896" t="str">
        <x:v>Priya</x:v>
      </x:c>
      <x:c r="H3896" t="str">
        <x:v>P009</x:v>
      </x:c>
      <x:c r="I3896" t="str">
        <x:v>Groundnut Oil 5L</x:v>
      </x:c>
      <x:c r="J3896" t="str">
        <x:v>Edible Oil</x:v>
      </x:c>
      <x:c r="K3896" t="str">
        <x:v>Dhara</x:v>
      </x:c>
      <x:c r="L3896" s="22" t="n">
        <x:v>890</x:v>
      </x:c>
      <x:c r="M3896" t="n">
        <x:v>39</x:v>
      </x:c>
      <x:c r="N3896" s="24" t="n">
        <x:v>0</x:v>
      </x:c>
      <x:c r="O3896" s="22" t="n">
        <x:f>L3896*M3896</x:f>
        <x:v>34710</x:v>
      </x:c>
      <x:c r="P3896" s="22" t="n">
        <x:f>O3896*(1-N3896)</x:f>
        <x:v>34710</x:v>
      </x:c>
      <x:c r="Q3896" s="22" t="n">
        <x:v>810</x:v>
      </x:c>
      <x:c r="R3896" s="22" t="n">
        <x:f>Q3896*M3896</x:f>
        <x:v>31590</x:v>
      </x:c>
      <x:c r="S3896" s="22" t="n">
        <x:f>P3896-R3896</x:f>
        <x:v>3120</x:v>
      </x:c>
      <x:c r="T3896" t="str">
        <x:v>UPI</x:v>
      </x:c>
      <x:c r="U3896" t="str">
        <x:v>Pending</x:v>
      </x:c>
      <x:c r="V3896" t="str">
        <x:v>Delivered</x:v>
      </x:c>
      <x:c r="W3896" t="n">
        <x:v>0</x:v>
      </x:c>
      <x:c r="X3896" t="str"/>
      <x:c r="Y3896" t="str">
        <x:v>Field Visit</x:v>
      </x:c>
    </x:row>
    <x:row r="3897">
      <x:c r="A3897" t="str">
        <x:v>O003896</x:v>
      </x:c>
      <x:c r="B3897" s="20" t="n">
        <x:v>46106</x:v>
      </x:c>
      <x:c r="C3897" t="str">
        <x:v>C0190</x:v>
      </x:c>
      <x:c r="D3897" t="str">
        <x:v>Shree Restaurant 190</x:v>
      </x:c>
      <x:c r="E3897" t="str">
        <x:v>Canteen</x:v>
      </x:c>
      <x:c r="F3897" t="str">
        <x:v>Bengaluru</x:v>
      </x:c>
      <x:c r="G3897" t="str">
        <x:v>Kavya</x:v>
      </x:c>
      <x:c r="H3897" t="str">
        <x:v>P008</x:v>
      </x:c>
      <x:c r="I3897" t="str">
        <x:v>Palm Oil 15L</x:v>
      </x:c>
      <x:c r="J3897" t="str">
        <x:v>Edible Oil</x:v>
      </x:c>
      <x:c r="K3897" t="str">
        <x:v>Ruchi Gold</x:v>
      </x:c>
      <x:c r="L3897" s="22" t="n">
        <x:v>1760</x:v>
      </x:c>
      <x:c r="M3897" t="n">
        <x:v>7</x:v>
      </x:c>
      <x:c r="N3897" s="24" t="n">
        <x:v>0.02</x:v>
      </x:c>
      <x:c r="O3897" s="22" t="n">
        <x:f>L3897*M3897</x:f>
        <x:v>12320</x:v>
      </x:c>
      <x:c r="P3897" s="22" t="n">
        <x:f>O3897*(1-N3897)</x:f>
        <x:v>12073.6</x:v>
      </x:c>
      <x:c r="Q3897" s="22" t="n">
        <x:v>1610</x:v>
      </x:c>
      <x:c r="R3897" s="22" t="n">
        <x:f>Q3897*M3897</x:f>
        <x:v>11270</x:v>
      </x:c>
      <x:c r="S3897" s="22" t="n">
        <x:f>P3897-R3897</x:f>
        <x:v>803.6000000000004</x:v>
      </x:c>
      <x:c r="T3897" t="str">
        <x:v>Cash</x:v>
      </x:c>
      <x:c r="U3897" t="str">
        <x:v>Paid</x:v>
      </x:c>
      <x:c r="V3897" t="str">
        <x:v>Delivered</x:v>
      </x:c>
      <x:c r="W3897" t="n">
        <x:v>0</x:v>
      </x:c>
      <x:c r="X3897" t="str"/>
      <x:c r="Y3897" t="str">
        <x:v>Outbound Call</x:v>
      </x:c>
    </x:row>
    <x:row r="3898">
      <x:c r="A3898" t="str">
        <x:v>O003897</x:v>
      </x:c>
      <x:c r="B3898" s="20" t="n">
        <x:v>45847</x:v>
      </x:c>
      <x:c r="C3898" t="str">
        <x:v>C0071</x:v>
      </x:c>
      <x:c r="D3898" t="str">
        <x:v>Shree Restaurant 71</x:v>
      </x:c>
      <x:c r="E3898" t="str">
        <x:v>Cafe</x:v>
      </x:c>
      <x:c r="F3898" t="str">
        <x:v>Tumakuru</x:v>
      </x:c>
      <x:c r="G3898" t="str">
        <x:v>Sneha</x:v>
      </x:c>
      <x:c r="H3898" t="str">
        <x:v>P020</x:v>
      </x:c>
      <x:c r="I3898" t="str">
        <x:v>Coffee 500g</x:v>
      </x:c>
      <x:c r="J3898" t="str">
        <x:v>Beverage</x:v>
      </x:c>
      <x:c r="K3898" t="str">
        <x:v>Bru</x:v>
      </x:c>
      <x:c r="L3898" s="22" t="n">
        <x:v>390</x:v>
      </x:c>
      <x:c r="M3898" t="n">
        <x:v>19</x:v>
      </x:c>
      <x:c r="N3898" s="24" t="n">
        <x:v>0.03</x:v>
      </x:c>
      <x:c r="O3898" s="22" t="n">
        <x:f>L3898*M3898</x:f>
        <x:v>7410</x:v>
      </x:c>
      <x:c r="P3898" s="22" t="n">
        <x:f>O3898*(1-N3898)</x:f>
        <x:v>7187.7</x:v>
      </x:c>
      <x:c r="Q3898" s="22" t="n">
        <x:v>350</x:v>
      </x:c>
      <x:c r="R3898" s="22" t="n">
        <x:f>Q3898*M3898</x:f>
        <x:v>6650</x:v>
      </x:c>
      <x:c r="S3898" s="22" t="n">
        <x:f>P3898-R3898</x:f>
        <x:v>537.6999999999998</x:v>
      </x:c>
      <x:c r="T3898" t="str">
        <x:v>Credit</x:v>
      </x:c>
      <x:c r="U3898" t="str">
        <x:v>Paid</x:v>
      </x:c>
      <x:c r="V3898" t="str">
        <x:v>Delivered</x:v>
      </x:c>
      <x:c r="W3898" t="n">
        <x:v>0</x:v>
      </x:c>
      <x:c r="X3898" t="str"/>
      <x:c r="Y3898" t="str">
        <x:v>Referral</x:v>
      </x:c>
    </x:row>
    <x:row r="3899">
      <x:c r="A3899" t="str">
        <x:v>O003898</x:v>
      </x:c>
      <x:c r="B3899" s="20" t="n">
        <x:v>46074</x:v>
      </x:c>
      <x:c r="C3899" t="str">
        <x:v>C0227</x:v>
      </x:c>
      <x:c r="D3899" t="str">
        <x:v>Metro Restaurant 227</x:v>
      </x:c>
      <x:c r="E3899" t="str">
        <x:v>Restaurant</x:v>
      </x:c>
      <x:c r="F3899" t="str">
        <x:v>Davanagere</x:v>
      </x:c>
      <x:c r="G3899" t="str">
        <x:v>Kavya</x:v>
      </x:c>
      <x:c r="H3899" t="str">
        <x:v>P004</x:v>
      </x:c>
      <x:c r="I3899" t="str">
        <x:v>Toor Dal 5kg</x:v>
      </x:c>
      <x:c r="J3899" t="str">
        <x:v>Pulses</x:v>
      </x:c>
      <x:c r="K3899" t="str">
        <x:v>Tata Sampann</x:v>
      </x:c>
      <x:c r="L3899" s="22" t="n">
        <x:v>780</x:v>
      </x:c>
      <x:c r="M3899" t="n">
        <x:v>22</x:v>
      </x:c>
      <x:c r="N3899" s="24" t="n">
        <x:v>0</x:v>
      </x:c>
      <x:c r="O3899" s="22" t="n">
        <x:f>L3899*M3899</x:f>
        <x:v>17160</x:v>
      </x:c>
      <x:c r="P3899" s="22" t="n">
        <x:f>O3899*(1-N3899)</x:f>
        <x:v>17160</x:v>
      </x:c>
      <x:c r="Q3899" s="22" t="n">
        <x:v>695</x:v>
      </x:c>
      <x:c r="R3899" s="22" t="n">
        <x:f>Q3899*M3899</x:f>
        <x:v>15290</x:v>
      </x:c>
      <x:c r="S3899" s="22" t="n">
        <x:f>P3899-R3899</x:f>
        <x:v>1870</x:v>
      </x:c>
      <x:c r="T3899" t="str">
        <x:v>Cash</x:v>
      </x:c>
      <x:c r="U3899" t="str">
        <x:v>Pending</x:v>
      </x:c>
      <x:c r="V3899" t="str">
        <x:v>Delivered</x:v>
      </x:c>
      <x:c r="W3899" t="n">
        <x:v>0</x:v>
      </x:c>
      <x:c r="X3899" t="str"/>
      <x:c r="Y3899" t="str">
        <x:v>Field Visit</x:v>
      </x:c>
    </x:row>
    <x:row r="3900">
      <x:c r="A3900" t="str">
        <x:v>O003899</x:v>
      </x:c>
      <x:c r="B3900" s="20" t="n">
        <x:v>46257</x:v>
      </x:c>
      <x:c r="C3900" t="str">
        <x:v>C0121</x:v>
      </x:c>
      <x:c r="D3900" t="str">
        <x:v>Mysore Restaurant 121</x:v>
      </x:c>
      <x:c r="E3900" t="str">
        <x:v>Cafe</x:v>
      </x:c>
      <x:c r="F3900" t="str">
        <x:v>Mysuru</x:v>
      </x:c>
      <x:c r="G3900" t="str">
        <x:v>Sneha</x:v>
      </x:c>
      <x:c r="H3900" t="str">
        <x:v>P021</x:v>
      </x:c>
      <x:c r="I3900" t="str">
        <x:v>Instant Coffee 200g</x:v>
      </x:c>
      <x:c r="J3900" t="str">
        <x:v>Beverage</x:v>
      </x:c>
      <x:c r="K3900" t="str">
        <x:v>Nescafe</x:v>
      </x:c>
      <x:c r="L3900" s="22" t="n">
        <x:v>460</x:v>
      </x:c>
      <x:c r="M3900" t="n">
        <x:v>35</x:v>
      </x:c>
      <x:c r="N3900" s="24" t="n">
        <x:v>0</x:v>
      </x:c>
      <x:c r="O3900" s="22" t="n">
        <x:f>L3900*M3900</x:f>
        <x:v>16100</x:v>
      </x:c>
      <x:c r="P3900" s="22" t="n">
        <x:f>O3900*(1-N3900)</x:f>
        <x:v>16100</x:v>
      </x:c>
      <x:c r="Q3900" s="22" t="n">
        <x:v>410</x:v>
      </x:c>
      <x:c r="R3900" s="22" t="n">
        <x:f>Q3900*M3900</x:f>
        <x:v>14350</x:v>
      </x:c>
      <x:c r="S3900" s="22" t="n">
        <x:f>P3900-R3900</x:f>
        <x:v>1750</x:v>
      </x:c>
      <x:c r="T3900" t="str">
        <x:v>Credit</x:v>
      </x:c>
      <x:c r="U3900" t="str">
        <x:v>Overdue</x:v>
      </x:c>
      <x:c r="V3900" t="str">
        <x:v>Delivered</x:v>
      </x:c>
      <x:c r="W3900" t="n">
        <x:v>0</x:v>
      </x:c>
      <x:c r="X3900" t="str"/>
      <x:c r="Y3900" t="str">
        <x:v>Outbound Call</x:v>
      </x:c>
    </x:row>
    <x:row r="3901">
      <x:c r="A3901" t="str">
        <x:v>O003900</x:v>
      </x:c>
      <x:c r="B3901" s="20" t="n">
        <x:v>46195</x:v>
      </x:c>
      <x:c r="C3901" t="str">
        <x:v>C0235</x:v>
      </x:c>
      <x:c r="D3901" t="str">
        <x:v>Darshini Canteen 235</x:v>
      </x:c>
      <x:c r="E3901" t="str">
        <x:v>Hotel</x:v>
      </x:c>
      <x:c r="F3901" t="str">
        <x:v>Mangaluru</x:v>
      </x:c>
      <x:c r="G3901" t="str">
        <x:v>Arjun</x:v>
      </x:c>
      <x:c r="H3901" t="str">
        <x:v>P001</x:v>
      </x:c>
      <x:c r="I3901" t="str">
        <x:v>Steam Rice 25kg</x:v>
      </x:c>
      <x:c r="J3901" t="str">
        <x:v>Staples</x:v>
      </x:c>
      <x:c r="K3901" t="str">
        <x:v>Aishwarya</x:v>
      </x:c>
      <x:c r="L3901" s="22" t="n">
        <x:v>1180</x:v>
      </x:c>
      <x:c r="M3901" t="n">
        <x:v>9</x:v>
      </x:c>
      <x:c r="N3901" s="24" t="n">
        <x:v>0.03</x:v>
      </x:c>
      <x:c r="O3901" s="22" t="n">
        <x:f>L3901*M3901</x:f>
        <x:v>10620</x:v>
      </x:c>
      <x:c r="P3901" s="22" t="n">
        <x:f>O3901*(1-N3901)</x:f>
        <x:v>10301.4</x:v>
      </x:c>
      <x:c r="Q3901" s="22" t="n">
        <x:v>1040</x:v>
      </x:c>
      <x:c r="R3901" s="22" t="n">
        <x:f>Q3901*M3901</x:f>
        <x:v>9360</x:v>
      </x:c>
      <x:c r="S3901" s="22" t="n">
        <x:f>P3901-R3901</x:f>
        <x:v>941.3999999999996</x:v>
      </x:c>
      <x:c r="T3901" t="str">
        <x:v>Cash</x:v>
      </x:c>
      <x:c r="U3901" t="str">
        <x:v>Paid</x:v>
      </x:c>
      <x:c r="V3901" t="str">
        <x:v>Delayed</x:v>
      </x:c>
      <x:c r="W3901" t="n">
        <x:v>0</x:v>
      </x:c>
      <x:c r="X3901" t="str"/>
      <x:c r="Y3901" t="str">
        <x:v>Existing Customer</x:v>
      </x:c>
    </x:row>
    <x:row r="3902">
      <x:c r="A3902" t="str">
        <x:v>O003901</x:v>
      </x:c>
      <x:c r="B3902" s="20" t="n">
        <x:v>45852</x:v>
      </x:c>
      <x:c r="C3902" t="str">
        <x:v>C0180</x:v>
      </x:c>
      <x:c r="D3902" t="str">
        <x:v>Sri Kitchen 180</x:v>
      </x:c>
      <x:c r="E3902" t="str">
        <x:v>Kirana</x:v>
      </x:c>
      <x:c r="F3902" t="str">
        <x:v>Mysuru</x:v>
      </x:c>
      <x:c r="G3902" t="str">
        <x:v>Vikram</x:v>
      </x:c>
      <x:c r="H3902" t="str">
        <x:v>P031</x:v>
      </x:c>
      <x:c r="I3902" t="str">
        <x:v>Chilli Sauce 700g</x:v>
      </x:c>
      <x:c r="J3902" t="str">
        <x:v>Condiments</x:v>
      </x:c>
      <x:c r="K3902" t="str">
        <x:v>Ching's</x:v>
      </x:c>
      <x:c r="L3902" s="22" t="n">
        <x:v>130</x:v>
      </x:c>
      <x:c r="M3902" t="n">
        <x:v>30</x:v>
      </x:c>
      <x:c r="N3902" s="24" t="n">
        <x:v>0.08</x:v>
      </x:c>
      <x:c r="O3902" s="22" t="n">
        <x:f>L3902*M3902</x:f>
        <x:v>3900</x:v>
      </x:c>
      <x:c r="P3902" s="22" t="n">
        <x:f>O3902*(1-N3902)</x:f>
        <x:v>3588</x:v>
      </x:c>
      <x:c r="Q3902" s="22" t="n">
        <x:v>112</x:v>
      </x:c>
      <x:c r="R3902" s="22" t="n">
        <x:f>Q3902*M3902</x:f>
        <x:v>3360</x:v>
      </x:c>
      <x:c r="S3902" s="22" t="n">
        <x:f>P3902-R3902</x:f>
        <x:v>228</x:v>
      </x:c>
      <x:c r="T3902" t="str">
        <x:v>Credit</x:v>
      </x:c>
      <x:c r="U3902" t="str">
        <x:v>Paid</x:v>
      </x:c>
      <x:c r="V3902" t="str">
        <x:v>Delayed</x:v>
      </x:c>
      <x:c r="W3902" t="n">
        <x:v>0</x:v>
      </x:c>
      <x:c r="X3902" t="str"/>
      <x:c r="Y3902" t="str">
        <x:v>WhatsApp</x:v>
      </x:c>
    </x:row>
    <x:row r="3903">
      <x:c r="A3903" t="str">
        <x:v>O003902</x:v>
      </x:c>
      <x:c r="B3903" s="20" t="n">
        <x:v>46185</x:v>
      </x:c>
      <x:c r="C3903" t="str">
        <x:v>C0149</x:v>
      </x:c>
      <x:c r="D3903" t="str">
        <x:v>Annapurna Hotel 149</x:v>
      </x:c>
      <x:c r="E3903" t="str">
        <x:v>Cafe</x:v>
      </x:c>
      <x:c r="F3903" t="str">
        <x:v>Tumakuru</x:v>
      </x:c>
      <x:c r="G3903" t="str">
        <x:v>Megha</x:v>
      </x:c>
      <x:c r="H3903" t="str">
        <x:v>P042</x:v>
      </x:c>
      <x:c r="I3903" t="str">
        <x:v>Eggs 30pc Tray</x:v>
      </x:c>
      <x:c r="J3903" t="str">
        <x:v>Protein</x:v>
      </x:c>
      <x:c r="K3903" t="str">
        <x:v>Farm Fresh</x:v>
      </x:c>
      <x:c r="L3903" s="22" t="n">
        <x:v>195</x:v>
      </x:c>
      <x:c r="M3903" t="n">
        <x:v>16</x:v>
      </x:c>
      <x:c r="N3903" s="24" t="n">
        <x:v>0.08</x:v>
      </x:c>
      <x:c r="O3903" s="22" t="n">
        <x:f>L3903*M3903</x:f>
        <x:v>3120</x:v>
      </x:c>
      <x:c r="P3903" s="22" t="n">
        <x:f>O3903*(1-N3903)</x:f>
        <x:v>2870.4</x:v>
      </x:c>
      <x:c r="Q3903" s="22" t="n">
        <x:v>170</x:v>
      </x:c>
      <x:c r="R3903" s="22" t="n">
        <x:f>Q3903*M3903</x:f>
        <x:v>2720</x:v>
      </x:c>
      <x:c r="S3903" s="22" t="n">
        <x:f>P3903-R3903</x:f>
        <x:v>150.4000000000001</x:v>
      </x:c>
      <x:c r="T3903" t="str">
        <x:v>Credit</x:v>
      </x:c>
      <x:c r="U3903" t="str">
        <x:v>Paid</x:v>
      </x:c>
      <x:c r="V3903" t="str">
        <x:v>Delayed</x:v>
      </x:c>
      <x:c r="W3903" t="n">
        <x:v>0</x:v>
      </x:c>
      <x:c r="X3903" t="str"/>
      <x:c r="Y3903" t="str">
        <x:v>WhatsApp</x:v>
      </x:c>
    </x:row>
    <x:row r="3904">
      <x:c r="A3904" t="str">
        <x:v>O003903</x:v>
      </x:c>
      <x:c r="B3904" s="20" t="n">
        <x:v>45991</x:v>
      </x:c>
      <x:c r="C3904" t="str">
        <x:v>C0128</x:v>
      </x:c>
      <x:c r="D3904" t="str">
        <x:v>Fresh Hotel 128</x:v>
      </x:c>
      <x:c r="E3904" t="str">
        <x:v>Kirana</x:v>
      </x:c>
      <x:c r="F3904" t="str">
        <x:v>Tumakuru</x:v>
      </x:c>
      <x:c r="G3904" t="str">
        <x:v>Priya</x:v>
      </x:c>
      <x:c r="H3904" t="str">
        <x:v>P033</x:v>
      </x:c>
      <x:c r="I3904" t="str">
        <x:v>Turmeric Powder 1kg</x:v>
      </x:c>
      <x:c r="J3904" t="str">
        <x:v>Spices</x:v>
      </x:c>
      <x:c r="K3904" t="str">
        <x:v>Everest</x:v>
      </x:c>
      <x:c r="L3904" s="22" t="n">
        <x:v>310</x:v>
      </x:c>
      <x:c r="M3904" t="n">
        <x:v>22</x:v>
      </x:c>
      <x:c r="N3904" s="24" t="n">
        <x:v>0.1</x:v>
      </x:c>
      <x:c r="O3904" s="22" t="n">
        <x:f>L3904*M3904</x:f>
        <x:v>6820</x:v>
      </x:c>
      <x:c r="P3904" s="22" t="n">
        <x:f>O3904*(1-N3904)</x:f>
        <x:v>6138</x:v>
      </x:c>
      <x:c r="Q3904" s="22" t="n">
        <x:v>270</x:v>
      </x:c>
      <x:c r="R3904" s="22" t="n">
        <x:f>Q3904*M3904</x:f>
        <x:v>5940</x:v>
      </x:c>
      <x:c r="S3904" s="22" t="n">
        <x:f>P3904-R3904</x:f>
        <x:v>198</x:v>
      </x:c>
      <x:c r="T3904" t="str">
        <x:v>UPI</x:v>
      </x:c>
      <x:c r="U3904" t="str">
        <x:v>Paid</x:v>
      </x:c>
      <x:c r="V3904" t="str">
        <x:v>Delivered</x:v>
      </x:c>
      <x:c r="W3904" t="n">
        <x:v>0</x:v>
      </x:c>
      <x:c r="X3904" t="str"/>
      <x:c r="Y3904" t="str">
        <x:v>Field Visit</x:v>
      </x:c>
    </x:row>
    <x:row r="3905">
      <x:c r="A3905" t="str">
        <x:v>O003904</x:v>
      </x:c>
      <x:c r="B3905" s="20" t="n">
        <x:v>45801</x:v>
      </x:c>
      <x:c r="C3905" t="str">
        <x:v>C0114</x:v>
      </x:c>
      <x:c r="D3905" t="str">
        <x:v>Annapurna Restaurant 114</x:v>
      </x:c>
      <x:c r="E3905" t="str">
        <x:v>Restaurant</x:v>
      </x:c>
      <x:c r="F3905" t="str">
        <x:v>Davanagere</x:v>
      </x:c>
      <x:c r="G3905" t="str">
        <x:v>Arjun</x:v>
      </x:c>
      <x:c r="H3905" t="str">
        <x:v>P046</x:v>
      </x:c>
      <x:c r="I3905" t="str">
        <x:v>Potato 25kg</x:v>
      </x:c>
      <x:c r="J3905" t="str">
        <x:v>Fresh Produce</x:v>
      </x:c>
      <x:c r="K3905" t="str">
        <x:v>Local Market</x:v>
      </x:c>
      <x:c r="L3905" s="22" t="n">
        <x:v>700</x:v>
      </x:c>
      <x:c r="M3905" t="n">
        <x:v>39</x:v>
      </x:c>
      <x:c r="N3905" s="24" t="n">
        <x:v>0.02</x:v>
      </x:c>
      <x:c r="O3905" s="22" t="n">
        <x:f>L3905*M3905</x:f>
        <x:v>27300</x:v>
      </x:c>
      <x:c r="P3905" s="22" t="n">
        <x:f>O3905*(1-N3905)</x:f>
        <x:v>26754</x:v>
      </x:c>
      <x:c r="Q3905" s="22" t="n">
        <x:v>610</x:v>
      </x:c>
      <x:c r="R3905" s="22" t="n">
        <x:f>Q3905*M3905</x:f>
        <x:v>23790</x:v>
      </x:c>
      <x:c r="S3905" s="22" t="n">
        <x:f>P3905-R3905</x:f>
        <x:v>2964</x:v>
      </x:c>
      <x:c r="T3905" t="str">
        <x:v>UPI</x:v>
      </x:c>
      <x:c r="U3905" t="str">
        <x:v>Paid</x:v>
      </x:c>
      <x:c r="V3905" t="str">
        <x:v>Delivered</x:v>
      </x:c>
      <x:c r="W3905" t="n">
        <x:v>0</x:v>
      </x:c>
      <x:c r="X3905" t="str"/>
      <x:c r="Y3905" t="str">
        <x:v>Existing Customer</x:v>
      </x:c>
    </x:row>
    <x:row r="3906">
      <x:c r="A3906" t="str">
        <x:v>O003905</x:v>
      </x:c>
      <x:c r="B3906" s="20" t="n">
        <x:v>45809</x:v>
      </x:c>
      <x:c r="C3906" t="str">
        <x:v>C0047</x:v>
      </x:c>
      <x:c r="D3906" t="str">
        <x:v>Shree Restaurant 47</x:v>
      </x:c>
      <x:c r="E3906" t="str">
        <x:v>Canteen</x:v>
      </x:c>
      <x:c r="F3906" t="str">
        <x:v>Davanagere</x:v>
      </x:c>
      <x:c r="G3906" t="str">
        <x:v>Arjun</x:v>
      </x:c>
      <x:c r="H3906" t="str">
        <x:v>P045</x:v>
      </x:c>
      <x:c r="I3906" t="str">
        <x:v>Onion 25kg</x:v>
      </x:c>
      <x:c r="J3906" t="str">
        <x:v>Fresh Produce</x:v>
      </x:c>
      <x:c r="K3906" t="str">
        <x:v>Local Market</x:v>
      </x:c>
      <x:c r="L3906" s="22" t="n">
        <x:v>875</x:v>
      </x:c>
      <x:c r="M3906" t="n">
        <x:v>26</x:v>
      </x:c>
      <x:c r="N3906" s="24" t="n">
        <x:v>0.02</x:v>
      </x:c>
      <x:c r="O3906" s="22" t="n">
        <x:f>L3906*M3906</x:f>
        <x:v>22750</x:v>
      </x:c>
      <x:c r="P3906" s="22" t="n">
        <x:f>O3906*(1-N3906)</x:f>
        <x:v>22295</x:v>
      </x:c>
      <x:c r="Q3906" s="22" t="n">
        <x:v>760</x:v>
      </x:c>
      <x:c r="R3906" s="22" t="n">
        <x:f>Q3906*M3906</x:f>
        <x:v>19760</x:v>
      </x:c>
      <x:c r="S3906" s="22" t="n">
        <x:f>P3906-R3906</x:f>
        <x:v>2535</x:v>
      </x:c>
      <x:c r="T3906" t="str">
        <x:v>Credit</x:v>
      </x:c>
      <x:c r="U3906" t="str">
        <x:v>Paid</x:v>
      </x:c>
      <x:c r="V3906" t="str">
        <x:v>Delivered</x:v>
      </x:c>
      <x:c r="W3906" t="n">
        <x:v>0</x:v>
      </x:c>
      <x:c r="X3906" t="str"/>
      <x:c r="Y3906" t="str">
        <x:v>Referral</x:v>
      </x:c>
    </x:row>
    <x:row r="3907">
      <x:c r="A3907" t="str">
        <x:v>O003906</x:v>
      </x:c>
      <x:c r="B3907" s="20" t="n">
        <x:v>45738</x:v>
      </x:c>
      <x:c r="C3907" t="str">
        <x:v>C0160</x:v>
      </x:c>
      <x:c r="D3907" t="str">
        <x:v>Hotel Foods 160</x:v>
      </x:c>
      <x:c r="E3907" t="str">
        <x:v>Hotel</x:v>
      </x:c>
      <x:c r="F3907" t="str">
        <x:v>Mangaluru</x:v>
      </x:c>
      <x:c r="G3907" t="str">
        <x:v>Sneha</x:v>
      </x:c>
      <x:c r="H3907" t="str">
        <x:v>P020</x:v>
      </x:c>
      <x:c r="I3907" t="str">
        <x:v>Coffee 500g</x:v>
      </x:c>
      <x:c r="J3907" t="str">
        <x:v>Beverage</x:v>
      </x:c>
      <x:c r="K3907" t="str">
        <x:v>Bru</x:v>
      </x:c>
      <x:c r="L3907" s="22" t="n">
        <x:v>390</x:v>
      </x:c>
      <x:c r="M3907" t="n">
        <x:v>23</x:v>
      </x:c>
      <x:c r="N3907" s="24" t="n">
        <x:v>0.03</x:v>
      </x:c>
      <x:c r="O3907" s="22" t="n">
        <x:f>L3907*M3907</x:f>
        <x:v>8970</x:v>
      </x:c>
      <x:c r="P3907" s="22" t="n">
        <x:f>O3907*(1-N3907)</x:f>
        <x:v>8700.9</x:v>
      </x:c>
      <x:c r="Q3907" s="22" t="n">
        <x:v>350</x:v>
      </x:c>
      <x:c r="R3907" s="22" t="n">
        <x:f>Q3907*M3907</x:f>
        <x:v>8050</x:v>
      </x:c>
      <x:c r="S3907" s="22" t="n">
        <x:f>P3907-R3907</x:f>
        <x:v>650.8999999999996</x:v>
      </x:c>
      <x:c r="T3907" t="str">
        <x:v>UPI</x:v>
      </x:c>
      <x:c r="U3907" t="str">
        <x:v>Paid</x:v>
      </x:c>
      <x:c r="V3907" t="str">
        <x:v>Delivered</x:v>
      </x:c>
      <x:c r="W3907" t="n">
        <x:v>0</x:v>
      </x:c>
      <x:c r="X3907" t="str"/>
      <x:c r="Y3907" t="str">
        <x:v>Existing Customer</x:v>
      </x:c>
    </x:row>
    <x:row r="3908">
      <x:c r="A3908" t="str">
        <x:v>O003907</x:v>
      </x:c>
      <x:c r="B3908" s="20" t="n">
        <x:v>46110</x:v>
      </x:c>
      <x:c r="C3908" t="str">
        <x:v>C0198</x:v>
      </x:c>
      <x:c r="D3908" t="str">
        <x:v>Royal Canteen 198</x:v>
      </x:c>
      <x:c r="E3908" t="str">
        <x:v>Supermarket</x:v>
      </x:c>
      <x:c r="F3908" t="str">
        <x:v>Davanagere</x:v>
      </x:c>
      <x:c r="G3908" t="str">
        <x:v>Arjun</x:v>
      </x:c>
      <x:c r="H3908" t="str">
        <x:v>P047</x:v>
      </x:c>
      <x:c r="I3908" t="str">
        <x:v>Tomato 25kg</x:v>
      </x:c>
      <x:c r="J3908" t="str">
        <x:v>Fresh Produce</x:v>
      </x:c>
      <x:c r="K3908" t="str">
        <x:v>Local Market</x:v>
      </x:c>
      <x:c r="L3908" s="22" t="n">
        <x:v>950</x:v>
      </x:c>
      <x:c r="M3908" t="n">
        <x:v>11</x:v>
      </x:c>
      <x:c r="N3908" s="24" t="n">
        <x:v>0.02</x:v>
      </x:c>
      <x:c r="O3908" s="22" t="n">
        <x:f>L3908*M3908</x:f>
        <x:v>10450</x:v>
      </x:c>
      <x:c r="P3908" s="22" t="n">
        <x:f>O3908*(1-N3908)</x:f>
        <x:v>10241</x:v>
      </x:c>
      <x:c r="Q3908" s="22" t="n">
        <x:v>810</x:v>
      </x:c>
      <x:c r="R3908" s="22" t="n">
        <x:f>Q3908*M3908</x:f>
        <x:v>8910</x:v>
      </x:c>
      <x:c r="S3908" s="22" t="n">
        <x:f>P3908-R3908</x:f>
        <x:v>1331</x:v>
      </x:c>
      <x:c r="T3908" t="str">
        <x:v>Cash</x:v>
      </x:c>
      <x:c r="U3908" t="str">
        <x:v>Paid</x:v>
      </x:c>
      <x:c r="V3908" t="str">
        <x:v>Cancelled</x:v>
      </x:c>
      <x:c r="W3908" t="n">
        <x:v>11</x:v>
      </x:c>
      <x:c r="X3908" t="str">
        <x:v>Cancelled Order</x:v>
      </x:c>
      <x:c r="Y3908" t="str">
        <x:v>Existing Customer</x:v>
      </x:c>
    </x:row>
    <x:row r="3909">
      <x:c r="A3909" t="str">
        <x:v>O003908</x:v>
      </x:c>
      <x:c r="B3909" s="20" t="n">
        <x:v>46129</x:v>
      </x:c>
      <x:c r="C3909" t="str">
        <x:v>C0217</x:v>
      </x:c>
      <x:c r="D3909" t="str">
        <x:v>Darshini Cafe 217</x:v>
      </x:c>
      <x:c r="E3909" t="str">
        <x:v>Restaurant</x:v>
      </x:c>
      <x:c r="F3909" t="str">
        <x:v>Bengaluru</x:v>
      </x:c>
      <x:c r="G3909" t="str">
        <x:v>Priya</x:v>
      </x:c>
      <x:c r="H3909" t="str">
        <x:v>P036</x:v>
      </x:c>
      <x:c r="I3909" t="str">
        <x:v>Garam Masala 500g</x:v>
      </x:c>
      <x:c r="J3909" t="str">
        <x:v>Spices</x:v>
      </x:c>
      <x:c r="K3909" t="str">
        <x:v>MDH</x:v>
      </x:c>
      <x:c r="L3909" s="22" t="n">
        <x:v>265</x:v>
      </x:c>
      <x:c r="M3909" t="n">
        <x:v>3</x:v>
      </x:c>
      <x:c r="N3909" s="24" t="n">
        <x:v>0.1</x:v>
      </x:c>
      <x:c r="O3909" s="22" t="n">
        <x:f>L3909*M3909</x:f>
        <x:v>795</x:v>
      </x:c>
      <x:c r="P3909" s="22" t="n">
        <x:f>O3909*(1-N3909)</x:f>
        <x:v>715.5</x:v>
      </x:c>
      <x:c r="Q3909" s="22" t="n">
        <x:v>230</x:v>
      </x:c>
      <x:c r="R3909" s="22" t="n">
        <x:f>Q3909*M3909</x:f>
        <x:v>690</x:v>
      </x:c>
      <x:c r="S3909" s="22" t="n">
        <x:f>P3909-R3909</x:f>
        <x:v>25.5</x:v>
      </x:c>
      <x:c r="T3909" t="str">
        <x:v>Cash</x:v>
      </x:c>
      <x:c r="U3909" t="str">
        <x:v>Paid</x:v>
      </x:c>
      <x:c r="V3909" t="str">
        <x:v>Delivered</x:v>
      </x:c>
      <x:c r="W3909" t="n">
        <x:v>0</x:v>
      </x:c>
      <x:c r="X3909" t="str"/>
      <x:c r="Y3909" t="str">
        <x:v>Referral</x:v>
      </x:c>
    </x:row>
    <x:row r="3910">
      <x:c r="A3910" t="str">
        <x:v>O003909</x:v>
      </x:c>
      <x:c r="B3910" s="20" t="n">
        <x:v>46031</x:v>
      </x:c>
      <x:c r="C3910" t="str">
        <x:v>C0207</x:v>
      </x:c>
      <x:c r="D3910" t="str">
        <x:v>Hotel Stores 207</x:v>
      </x:c>
      <x:c r="E3910" t="str">
        <x:v>Restaurant</x:v>
      </x:c>
      <x:c r="F3910" t="str">
        <x:v>Hubballi</x:v>
      </x:c>
      <x:c r="G3910" t="str">
        <x:v>Ramesh</x:v>
      </x:c>
      <x:c r="H3910" t="str">
        <x:v>P001</x:v>
      </x:c>
      <x:c r="I3910" t="str">
        <x:v>Steam Rice 25kg</x:v>
      </x:c>
      <x:c r="J3910" t="str">
        <x:v>Staples</x:v>
      </x:c>
      <x:c r="K3910" t="str">
        <x:v>Aishwarya</x:v>
      </x:c>
      <x:c r="L3910" s="22" t="n">
        <x:v>1180</x:v>
      </x:c>
      <x:c r="M3910" t="n">
        <x:v>12</x:v>
      </x:c>
      <x:c r="N3910" s="24" t="n">
        <x:v>0.02</x:v>
      </x:c>
      <x:c r="O3910" s="22" t="n">
        <x:f>L3910*M3910</x:f>
        <x:v>14160</x:v>
      </x:c>
      <x:c r="P3910" s="22" t="n">
        <x:f>O3910*(1-N3910)</x:f>
        <x:v>13876.8</x:v>
      </x:c>
      <x:c r="Q3910" s="22" t="n">
        <x:v>1040</x:v>
      </x:c>
      <x:c r="R3910" s="22" t="n">
        <x:f>Q3910*M3910</x:f>
        <x:v>12480</x:v>
      </x:c>
      <x:c r="S3910" s="22" t="n">
        <x:f>P3910-R3910</x:f>
        <x:v>1396.7999999999993</x:v>
      </x:c>
      <x:c r="T3910" t="str">
        <x:v>Credit</x:v>
      </x:c>
      <x:c r="U3910" t="str">
        <x:v>Paid</x:v>
      </x:c>
      <x:c r="V3910" t="str">
        <x:v>Delayed</x:v>
      </x:c>
      <x:c r="W3910" t="n">
        <x:v>0</x:v>
      </x:c>
      <x:c r="X3910" t="str"/>
      <x:c r="Y3910" t="str">
        <x:v>Referral</x:v>
      </x:c>
    </x:row>
    <x:row r="3911">
      <x:c r="A3911" t="str">
        <x:v>O003910</x:v>
      </x:c>
      <x:c r="B3911" s="20" t="n">
        <x:v>45692</x:v>
      </x:c>
      <x:c r="C3911" t="str">
        <x:v>C0243</x:v>
      </x:c>
      <x:c r="D3911" t="str">
        <x:v>Metro Kitchen 243</x:v>
      </x:c>
      <x:c r="E3911" t="str">
        <x:v>Restaurant</x:v>
      </x:c>
      <x:c r="F3911" t="str">
        <x:v>Mangaluru</x:v>
      </x:c>
      <x:c r="G3911" t="str">
        <x:v>Kavya</x:v>
      </x:c>
      <x:c r="H3911" t="str">
        <x:v>P024</x:v>
      </x:c>
      <x:c r="I3911" t="str">
        <x:v>Orange Drink 1L</x:v>
      </x:c>
      <x:c r="J3911" t="str">
        <x:v>Beverage</x:v>
      </x:c>
      <x:c r="K3911" t="str">
        <x:v>Minute Maid</x:v>
      </x:c>
      <x:c r="L3911" s="22" t="n">
        <x:v>105</x:v>
      </x:c>
      <x:c r="M3911" t="n">
        <x:v>30</x:v>
      </x:c>
      <x:c r="N3911" s="24" t="n">
        <x:v>0.05</x:v>
      </x:c>
      <x:c r="O3911" s="22" t="n">
        <x:f>L3911*M3911</x:f>
        <x:v>3150</x:v>
      </x:c>
      <x:c r="P3911" s="22" t="n">
        <x:f>O3911*(1-N3911)</x:f>
        <x:v>2992.5</x:v>
      </x:c>
      <x:c r="Q3911" s="22" t="n">
        <x:v>88</x:v>
      </x:c>
      <x:c r="R3911" s="22" t="n">
        <x:f>Q3911*M3911</x:f>
        <x:v>2640</x:v>
      </x:c>
      <x:c r="S3911" s="22" t="n">
        <x:f>P3911-R3911</x:f>
        <x:v>352.5</x:v>
      </x:c>
      <x:c r="T3911" t="str">
        <x:v>UPI</x:v>
      </x:c>
      <x:c r="U3911" t="str">
        <x:v>Paid</x:v>
      </x:c>
      <x:c r="V3911" t="str">
        <x:v>Delivered</x:v>
      </x:c>
      <x:c r="W3911" t="n">
        <x:v>0</x:v>
      </x:c>
      <x:c r="X3911" t="str"/>
      <x:c r="Y3911" t="str">
        <x:v>WhatsApp</x:v>
      </x:c>
    </x:row>
    <x:row r="3912">
      <x:c r="A3912" t="str">
        <x:v>O003911</x:v>
      </x:c>
      <x:c r="B3912" s="20" t="n">
        <x:v>45724</x:v>
      </x:c>
      <x:c r="C3912" t="str">
        <x:v>C0115</x:v>
      </x:c>
      <x:c r="D3912" t="str">
        <x:v>Mysore Mart 115</x:v>
      </x:c>
      <x:c r="E3912" t="str">
        <x:v>Kirana</x:v>
      </x:c>
      <x:c r="F3912" t="str">
        <x:v>Mangaluru</x:v>
      </x:c>
      <x:c r="G3912" t="str">
        <x:v>Arjun</x:v>
      </x:c>
      <x:c r="H3912" t="str">
        <x:v>P012</x:v>
      </x:c>
      <x:c r="I3912" t="str">
        <x:v>Maida 10kg</x:v>
      </x:c>
      <x:c r="J3912" t="str">
        <x:v>Flour</x:v>
      </x:c>
      <x:c r="K3912" t="str">
        <x:v>Aashirvaad</x:v>
      </x:c>
      <x:c r="L3912" s="22" t="n">
        <x:v>520</x:v>
      </x:c>
      <x:c r="M3912" t="n">
        <x:v>9</x:v>
      </x:c>
      <x:c r="N3912" s="24" t="n">
        <x:v>0.03</x:v>
      </x:c>
      <x:c r="O3912" s="22" t="n">
        <x:f>L3912*M3912</x:f>
        <x:v>4680</x:v>
      </x:c>
      <x:c r="P3912" s="22" t="n">
        <x:f>O3912*(1-N3912)</x:f>
        <x:v>4539.599999999999</x:v>
      </x:c>
      <x:c r="Q3912" s="22" t="n">
        <x:v>460</x:v>
      </x:c>
      <x:c r="R3912" s="22" t="n">
        <x:f>Q3912*M3912</x:f>
        <x:v>4140</x:v>
      </x:c>
      <x:c r="S3912" s="22" t="n">
        <x:f>P3912-R3912</x:f>
        <x:v>399.59999999999945</x:v>
      </x:c>
      <x:c r="T3912" t="str">
        <x:v>Cash</x:v>
      </x:c>
      <x:c r="U3912" t="str">
        <x:v>Paid</x:v>
      </x:c>
      <x:c r="V3912" t="str">
        <x:v>Delivered</x:v>
      </x:c>
      <x:c r="W3912" t="n">
        <x:v>0</x:v>
      </x:c>
      <x:c r="X3912" t="str"/>
      <x:c r="Y3912" t="str">
        <x:v>Outbound Call</x:v>
      </x:c>
    </x:row>
    <x:row r="3913">
      <x:c r="A3913" t="str">
        <x:v>O003912</x:v>
      </x:c>
      <x:c r="B3913" s="20" t="n">
        <x:v>46191</x:v>
      </x:c>
      <x:c r="C3913" t="str">
        <x:v>C0047</x:v>
      </x:c>
      <x:c r="D3913" t="str">
        <x:v>Shree Restaurant 47</x:v>
      </x:c>
      <x:c r="E3913" t="str">
        <x:v>Canteen</x:v>
      </x:c>
      <x:c r="F3913" t="str">
        <x:v>Davanagere</x:v>
      </x:c>
      <x:c r="G3913" t="str">
        <x:v>Arjun</x:v>
      </x:c>
      <x:c r="H3913" t="str">
        <x:v>P031</x:v>
      </x:c>
      <x:c r="I3913" t="str">
        <x:v>Chilli Sauce 700g</x:v>
      </x:c>
      <x:c r="J3913" t="str">
        <x:v>Condiments</x:v>
      </x:c>
      <x:c r="K3913" t="str">
        <x:v>Ching's</x:v>
      </x:c>
      <x:c r="L3913" s="22" t="n">
        <x:v>130</x:v>
      </x:c>
      <x:c r="M3913" t="n">
        <x:v>22</x:v>
      </x:c>
      <x:c r="N3913" s="24" t="n">
        <x:v>0</x:v>
      </x:c>
      <x:c r="O3913" s="22" t="n">
        <x:f>L3913*M3913</x:f>
        <x:v>2860</x:v>
      </x:c>
      <x:c r="P3913" s="22" t="n">
        <x:f>O3913*(1-N3913)</x:f>
        <x:v>2860</x:v>
      </x:c>
      <x:c r="Q3913" s="22" t="n">
        <x:v>112</x:v>
      </x:c>
      <x:c r="R3913" s="22" t="n">
        <x:f>Q3913*M3913</x:f>
        <x:v>2464</x:v>
      </x:c>
      <x:c r="S3913" s="22" t="n">
        <x:f>P3913-R3913</x:f>
        <x:v>396</x:v>
      </x:c>
      <x:c r="T3913" t="str">
        <x:v>Bank Transfer</x:v>
      </x:c>
      <x:c r="U3913" t="str">
        <x:v>Paid</x:v>
      </x:c>
      <x:c r="V3913" t="str">
        <x:v>Cancelled</x:v>
      </x:c>
      <x:c r="W3913" t="n">
        <x:v>22</x:v>
      </x:c>
      <x:c r="X3913" t="str">
        <x:v>Cancelled Order</x:v>
      </x:c>
      <x:c r="Y3913" t="str">
        <x:v>Existing Customer</x:v>
      </x:c>
    </x:row>
    <x:row r="3914">
      <x:c r="A3914" t="str">
        <x:v>O003913</x:v>
      </x:c>
      <x:c r="B3914" s="20" t="n">
        <x:v>46142</x:v>
      </x:c>
      <x:c r="C3914" t="str">
        <x:v>C0022</x:v>
      </x:c>
      <x:c r="D3914" t="str">
        <x:v>Royal Hotel 22</x:v>
      </x:c>
      <x:c r="E3914" t="str">
        <x:v>Kirana</x:v>
      </x:c>
      <x:c r="F3914" t="str">
        <x:v>Bengaluru</x:v>
      </x:c>
      <x:c r="G3914" t="str">
        <x:v>Ramesh</x:v>
      </x:c>
      <x:c r="H3914" t="str">
        <x:v>P015</x:v>
      </x:c>
      <x:c r="I3914" t="str">
        <x:v>Milk 1L</x:v>
      </x:c>
      <x:c r="J3914" t="str">
        <x:v>Dairy</x:v>
      </x:c>
      <x:c r="K3914" t="str">
        <x:v>Nandini</x:v>
      </x:c>
      <x:c r="L3914" s="22" t="n">
        <x:v>48</x:v>
      </x:c>
      <x:c r="M3914" t="n">
        <x:v>7</x:v>
      </x:c>
      <x:c r="N3914" s="24" t="n">
        <x:v>0.03</x:v>
      </x:c>
      <x:c r="O3914" s="22" t="n">
        <x:f>L3914*M3914</x:f>
        <x:v>336</x:v>
      </x:c>
      <x:c r="P3914" s="22" t="n">
        <x:f>O3914*(1-N3914)</x:f>
        <x:v>325.92</x:v>
      </x:c>
      <x:c r="Q3914" s="22" t="n">
        <x:v>43</x:v>
      </x:c>
      <x:c r="R3914" s="22" t="n">
        <x:f>Q3914*M3914</x:f>
        <x:v>301</x:v>
      </x:c>
      <x:c r="S3914" s="22" t="n">
        <x:f>P3914-R3914</x:f>
        <x:v>24.920000000000016</x:v>
      </x:c>
      <x:c r="T3914" t="str">
        <x:v>UPI</x:v>
      </x:c>
      <x:c r="U3914" t="str">
        <x:v>Pending</x:v>
      </x:c>
      <x:c r="V3914" t="str">
        <x:v>Delivered</x:v>
      </x:c>
      <x:c r="W3914" t="n">
        <x:v>0</x:v>
      </x:c>
      <x:c r="X3914" t="str"/>
      <x:c r="Y3914" t="str">
        <x:v>Existing Customer</x:v>
      </x:c>
    </x:row>
    <x:row r="3915">
      <x:c r="A3915" t="str">
        <x:v>O003914</x:v>
      </x:c>
      <x:c r="B3915" s="20" t="n">
        <x:v>46038</x:v>
      </x:c>
      <x:c r="C3915" t="str">
        <x:v>C0246</x:v>
      </x:c>
      <x:c r="D3915" t="str">
        <x:v>City Hotel 246</x:v>
      </x:c>
      <x:c r="E3915" t="str">
        <x:v>Supermarket</x:v>
      </x:c>
      <x:c r="F3915" t="str">
        <x:v>Mangaluru</x:v>
      </x:c>
      <x:c r="G3915" t="str">
        <x:v>Kavya</x:v>
      </x:c>
      <x:c r="H3915" t="str">
        <x:v>P034</x:v>
      </x:c>
      <x:c r="I3915" t="str">
        <x:v>Chilli Powder 1kg</x:v>
      </x:c>
      <x:c r="J3915" t="str">
        <x:v>Spices</x:v>
      </x:c>
      <x:c r="K3915" t="str">
        <x:v>MDH</x:v>
      </x:c>
      <x:c r="L3915" s="22" t="n">
        <x:v>340</x:v>
      </x:c>
      <x:c r="M3915" t="n">
        <x:v>34</x:v>
      </x:c>
      <x:c r="N3915" s="24" t="n">
        <x:v>0</x:v>
      </x:c>
      <x:c r="O3915" s="22" t="n">
        <x:f>L3915*M3915</x:f>
        <x:v>11560</x:v>
      </x:c>
      <x:c r="P3915" s="22" t="n">
        <x:f>O3915*(1-N3915)</x:f>
        <x:v>11560</x:v>
      </x:c>
      <x:c r="Q3915" s="22" t="n">
        <x:v>295</x:v>
      </x:c>
      <x:c r="R3915" s="22" t="n">
        <x:f>Q3915*M3915</x:f>
        <x:v>10030</x:v>
      </x:c>
      <x:c r="S3915" s="22" t="n">
        <x:f>P3915-R3915</x:f>
        <x:v>1530</x:v>
      </x:c>
      <x:c r="T3915" t="str">
        <x:v>Credit</x:v>
      </x:c>
      <x:c r="U3915" t="str">
        <x:v>Paid</x:v>
      </x:c>
      <x:c r="V3915" t="str">
        <x:v>Cancelled</x:v>
      </x:c>
      <x:c r="W3915" t="n">
        <x:v>34</x:v>
      </x:c>
      <x:c r="X3915" t="str">
        <x:v>Cancelled Order</x:v>
      </x:c>
      <x:c r="Y3915" t="str">
        <x:v>Existing Customer</x:v>
      </x:c>
    </x:row>
    <x:row r="3916">
      <x:c r="A3916" t="str">
        <x:v>O003915</x:v>
      </x:c>
      <x:c r="B3916" s="20" t="n">
        <x:v>46186</x:v>
      </x:c>
      <x:c r="C3916" t="str">
        <x:v>C0221</x:v>
      </x:c>
      <x:c r="D3916" t="str">
        <x:v>Cafe Canteen 221</x:v>
      </x:c>
      <x:c r="E3916" t="str">
        <x:v>Hotel</x:v>
      </x:c>
      <x:c r="F3916" t="str">
        <x:v>Hubballi</x:v>
      </x:c>
      <x:c r="G3916" t="str">
        <x:v>Kavya</x:v>
      </x:c>
      <x:c r="H3916" t="str">
        <x:v>P028</x:v>
      </x:c>
      <x:c r="I3916" t="str">
        <x:v>Cookies 200g</x:v>
      </x:c>
      <x:c r="J3916" t="str">
        <x:v>Snacks</x:v>
      </x:c>
      <x:c r="K3916" t="str">
        <x:v>Britannia</x:v>
      </x:c>
      <x:c r="L3916" s="22" t="n">
        <x:v>55</x:v>
      </x:c>
      <x:c r="M3916" t="n">
        <x:v>8</x:v>
      </x:c>
      <x:c r="N3916" s="24" t="n">
        <x:v>0.03</x:v>
      </x:c>
      <x:c r="O3916" s="22" t="n">
        <x:f>L3916*M3916</x:f>
        <x:v>440</x:v>
      </x:c>
      <x:c r="P3916" s="22" t="n">
        <x:f>O3916*(1-N3916)</x:f>
        <x:v>426.8</x:v>
      </x:c>
      <x:c r="Q3916" s="22" t="n">
        <x:v>42</x:v>
      </x:c>
      <x:c r="R3916" s="22" t="n">
        <x:f>Q3916*M3916</x:f>
        <x:v>336</x:v>
      </x:c>
      <x:c r="S3916" s="22" t="n">
        <x:f>P3916-R3916</x:f>
        <x:v>90.80000000000001</x:v>
      </x:c>
      <x:c r="T3916" t="str">
        <x:v>Bank Transfer</x:v>
      </x:c>
      <x:c r="U3916" t="str">
        <x:v>Paid</x:v>
      </x:c>
      <x:c r="V3916" t="str">
        <x:v>Delivered</x:v>
      </x:c>
      <x:c r="W3916" t="n">
        <x:v>0</x:v>
      </x:c>
      <x:c r="X3916" t="str"/>
      <x:c r="Y3916" t="str">
        <x:v>WhatsApp</x:v>
      </x:c>
    </x:row>
    <x:row r="3917">
      <x:c r="A3917" t="str">
        <x:v>O003916</x:v>
      </x:c>
      <x:c r="B3917" s="20" t="n">
        <x:v>46150</x:v>
      </x:c>
      <x:c r="C3917" t="str">
        <x:v>C0103</x:v>
      </x:c>
      <x:c r="D3917" t="str">
        <x:v>Fresh Kitchen 103</x:v>
      </x:c>
      <x:c r="E3917" t="str">
        <x:v>Supermarket</x:v>
      </x:c>
      <x:c r="F3917" t="str">
        <x:v>Davanagere</x:v>
      </x:c>
      <x:c r="G3917" t="str">
        <x:v>Megha</x:v>
      </x:c>
      <x:c r="H3917" t="str">
        <x:v>P031</x:v>
      </x:c>
      <x:c r="I3917" t="str">
        <x:v>Chilli Sauce 700g</x:v>
      </x:c>
      <x:c r="J3917" t="str">
        <x:v>Condiments</x:v>
      </x:c>
      <x:c r="K3917" t="str">
        <x:v>Ching's</x:v>
      </x:c>
      <x:c r="L3917" s="22" t="n">
        <x:v>130</x:v>
      </x:c>
      <x:c r="M3917" t="n">
        <x:v>24</x:v>
      </x:c>
      <x:c r="N3917" s="24" t="n">
        <x:v>0.1</x:v>
      </x:c>
      <x:c r="O3917" s="22" t="n">
        <x:f>L3917*M3917</x:f>
        <x:v>3120</x:v>
      </x:c>
      <x:c r="P3917" s="22" t="n">
        <x:f>O3917*(1-N3917)</x:f>
        <x:v>2808</x:v>
      </x:c>
      <x:c r="Q3917" s="22" t="n">
        <x:v>112</x:v>
      </x:c>
      <x:c r="R3917" s="22" t="n">
        <x:f>Q3917*M3917</x:f>
        <x:v>2688</x:v>
      </x:c>
      <x:c r="S3917" s="22" t="n">
        <x:f>P3917-R3917</x:f>
        <x:v>120</x:v>
      </x:c>
      <x:c r="T3917" t="str">
        <x:v>Cash</x:v>
      </x:c>
      <x:c r="U3917" t="str">
        <x:v>Paid</x:v>
      </x:c>
      <x:c r="V3917" t="str">
        <x:v>Delivered</x:v>
      </x:c>
      <x:c r="W3917" t="n">
        <x:v>0</x:v>
      </x:c>
      <x:c r="X3917" t="str"/>
      <x:c r="Y3917" t="str">
        <x:v>Field Visit</x:v>
      </x:c>
    </x:row>
    <x:row r="3918">
      <x:c r="A3918" t="str">
        <x:v>O003917</x:v>
      </x:c>
      <x:c r="B3918" s="20" t="n">
        <x:v>45984</x:v>
      </x:c>
      <x:c r="C3918" t="str">
        <x:v>C0208</x:v>
      </x:c>
      <x:c r="D3918" t="str">
        <x:v>Green Foods 208</x:v>
      </x:c>
      <x:c r="E3918" t="str">
        <x:v>Hotel</x:v>
      </x:c>
      <x:c r="F3918" t="str">
        <x:v>Mysuru</x:v>
      </x:c>
      <x:c r="G3918" t="str">
        <x:v>Ramesh</x:v>
      </x:c>
      <x:c r="H3918" t="str">
        <x:v>P001</x:v>
      </x:c>
      <x:c r="I3918" t="str">
        <x:v>Steam Rice 25kg</x:v>
      </x:c>
      <x:c r="J3918" t="str">
        <x:v>Staples</x:v>
      </x:c>
      <x:c r="K3918" t="str">
        <x:v>Aishwarya</x:v>
      </x:c>
      <x:c r="L3918" s="22" t="n">
        <x:v>1180</x:v>
      </x:c>
      <x:c r="M3918" t="n">
        <x:v>8</x:v>
      </x:c>
      <x:c r="N3918" s="24" t="n">
        <x:v>0.08</x:v>
      </x:c>
      <x:c r="O3918" s="22" t="n">
        <x:f>L3918*M3918</x:f>
        <x:v>9440</x:v>
      </x:c>
      <x:c r="P3918" s="22" t="n">
        <x:f>O3918*(1-N3918)</x:f>
        <x:v>8684.800000000001</x:v>
      </x:c>
      <x:c r="Q3918" s="22" t="n">
        <x:v>1040</x:v>
      </x:c>
      <x:c r="R3918" s="22" t="n">
        <x:f>Q3918*M3918</x:f>
        <x:v>8320</x:v>
      </x:c>
      <x:c r="S3918" s="22" t="n">
        <x:f>P3918-R3918</x:f>
        <x:v>364.8000000000011</x:v>
      </x:c>
      <x:c r="T3918" t="str">
        <x:v>Bank Transfer</x:v>
      </x:c>
      <x:c r="U3918" t="str">
        <x:v>Paid</x:v>
      </x:c>
      <x:c r="V3918" t="str">
        <x:v>Delivered</x:v>
      </x:c>
      <x:c r="W3918" t="n">
        <x:v>0</x:v>
      </x:c>
      <x:c r="X3918" t="str"/>
      <x:c r="Y3918" t="str">
        <x:v>Referral</x:v>
      </x:c>
    </x:row>
    <x:row r="3919">
      <x:c r="A3919" t="str">
        <x:v>O003918</x:v>
      </x:c>
      <x:c r="B3919" s="20" t="n">
        <x:v>46203</x:v>
      </x:c>
      <x:c r="C3919" t="str">
        <x:v>C0212</x:v>
      </x:c>
      <x:c r="D3919" t="str">
        <x:v>Classic Restaurant 212</x:v>
      </x:c>
      <x:c r="E3919" t="str">
        <x:v>Restaurant</x:v>
      </x:c>
      <x:c r="F3919" t="str">
        <x:v>Mysuru</x:v>
      </x:c>
      <x:c r="G3919" t="str">
        <x:v>Vikram</x:v>
      </x:c>
      <x:c r="H3919" t="str">
        <x:v>P048</x:v>
      </x:c>
      <x:c r="I3919" t="str">
        <x:v>Banana 10kg</x:v>
      </x:c>
      <x:c r="J3919" t="str">
        <x:v>Fresh Produce</x:v>
      </x:c>
      <x:c r="K3919" t="str">
        <x:v>Local Market</x:v>
      </x:c>
      <x:c r="L3919" s="22" t="n">
        <x:v>420</x:v>
      </x:c>
      <x:c r="M3919" t="n">
        <x:v>40</x:v>
      </x:c>
      <x:c r="N3919" s="24" t="n">
        <x:v>0.05</x:v>
      </x:c>
      <x:c r="O3919" s="22" t="n">
        <x:f>L3919*M3919</x:f>
        <x:v>16800</x:v>
      </x:c>
      <x:c r="P3919" s="22" t="n">
        <x:f>O3919*(1-N3919)</x:f>
        <x:v>15960</x:v>
      </x:c>
      <x:c r="Q3919" s="22" t="n">
        <x:v>350</x:v>
      </x:c>
      <x:c r="R3919" s="22" t="n">
        <x:f>Q3919*M3919</x:f>
        <x:v>14000</x:v>
      </x:c>
      <x:c r="S3919" s="22" t="n">
        <x:f>P3919-R3919</x:f>
        <x:v>1960</x:v>
      </x:c>
      <x:c r="T3919" t="str">
        <x:v>UPI</x:v>
      </x:c>
      <x:c r="U3919" t="str">
        <x:v>Paid</x:v>
      </x:c>
      <x:c r="V3919" t="str">
        <x:v>Delayed</x:v>
      </x:c>
      <x:c r="W3919" t="n">
        <x:v>0</x:v>
      </x:c>
      <x:c r="X3919" t="str"/>
      <x:c r="Y3919" t="str">
        <x:v>Field Visit</x:v>
      </x:c>
    </x:row>
    <x:row r="3920">
      <x:c r="A3920" t="str">
        <x:v>O003919</x:v>
      </x:c>
      <x:c r="B3920" s="20" t="n">
        <x:v>45812</x:v>
      </x:c>
      <x:c r="C3920" t="str">
        <x:v>C0136</x:v>
      </x:c>
      <x:c r="D3920" t="str">
        <x:v>Royal Cafe 136</x:v>
      </x:c>
      <x:c r="E3920" t="str">
        <x:v>Hotel</x:v>
      </x:c>
      <x:c r="F3920" t="str">
        <x:v>Tumakuru</x:v>
      </x:c>
      <x:c r="G3920" t="str">
        <x:v>Kavya</x:v>
      </x:c>
      <x:c r="H3920" t="str">
        <x:v>P029</x:v>
      </x:c>
      <x:c r="I3920" t="str">
        <x:v>Tomato Ketchup 1kg</x:v>
      </x:c>
      <x:c r="J3920" t="str">
        <x:v>Condiments</x:v>
      </x:c>
      <x:c r="K3920" t="str">
        <x:v>Kissan</x:v>
      </x:c>
      <x:c r="L3920" s="22" t="n">
        <x:v>145</x:v>
      </x:c>
      <x:c r="M3920" t="n">
        <x:v>14</x:v>
      </x:c>
      <x:c r="N3920" s="24" t="n">
        <x:v>0.02</x:v>
      </x:c>
      <x:c r="O3920" s="22" t="n">
        <x:f>L3920*M3920</x:f>
        <x:v>2030</x:v>
      </x:c>
      <x:c r="P3920" s="22" t="n">
        <x:f>O3920*(1-N3920)</x:f>
        <x:v>1989.3999999999999</x:v>
      </x:c>
      <x:c r="Q3920" s="22" t="n">
        <x:v>126</x:v>
      </x:c>
      <x:c r="R3920" s="22" t="n">
        <x:f>Q3920*M3920</x:f>
        <x:v>1764</x:v>
      </x:c>
      <x:c r="S3920" s="22" t="n">
        <x:f>P3920-R3920</x:f>
        <x:v>225.39999999999986</x:v>
      </x:c>
      <x:c r="T3920" t="str">
        <x:v>Cash</x:v>
      </x:c>
      <x:c r="U3920" t="str">
        <x:v>Pending</x:v>
      </x:c>
      <x:c r="V3920" t="str">
        <x:v>Delivered</x:v>
      </x:c>
      <x:c r="W3920" t="n">
        <x:v>0</x:v>
      </x:c>
      <x:c r="X3920" t="str"/>
      <x:c r="Y3920" t="str">
        <x:v>Outbound Call</x:v>
      </x:c>
    </x:row>
    <x:row r="3921">
      <x:c r="A3921" t="str">
        <x:v>O003920</x:v>
      </x:c>
      <x:c r="B3921" s="20" t="n">
        <x:v>45774</x:v>
      </x:c>
      <x:c r="C3921" t="str">
        <x:v>C0040</x:v>
      </x:c>
      <x:c r="D3921" t="str">
        <x:v>Royal Foods 40</x:v>
      </x:c>
      <x:c r="E3921" t="str">
        <x:v>Restaurant</x:v>
      </x:c>
      <x:c r="F3921" t="str">
        <x:v>Mangaluru</x:v>
      </x:c>
      <x:c r="G3921" t="str">
        <x:v>Kavya</x:v>
      </x:c>
      <x:c r="H3921" t="str">
        <x:v>P019</x:v>
      </x:c>
      <x:c r="I3921" t="str">
        <x:v>Tea 1kg</x:v>
      </x:c>
      <x:c r="J3921" t="str">
        <x:v>Beverage</x:v>
      </x:c>
      <x:c r="K3921" t="str">
        <x:v>Red Label</x:v>
      </x:c>
      <x:c r="L3921" s="22" t="n">
        <x:v>540</x:v>
      </x:c>
      <x:c r="M3921" t="n">
        <x:v>2</x:v>
      </x:c>
      <x:c r="N3921" s="24" t="n">
        <x:v>0.05</x:v>
      </x:c>
      <x:c r="O3921" s="22" t="n">
        <x:f>L3921*M3921</x:f>
        <x:v>1080</x:v>
      </x:c>
      <x:c r="P3921" s="22" t="n">
        <x:f>O3921*(1-N3921)</x:f>
        <x:v>1026</x:v>
      </x:c>
      <x:c r="Q3921" s="22" t="n">
        <x:v>485</x:v>
      </x:c>
      <x:c r="R3921" s="22" t="n">
        <x:f>Q3921*M3921</x:f>
        <x:v>970</x:v>
      </x:c>
      <x:c r="S3921" s="22" t="n">
        <x:f>P3921-R3921</x:f>
        <x:v>56</x:v>
      </x:c>
      <x:c r="T3921" t="str">
        <x:v>UPI</x:v>
      </x:c>
      <x:c r="U3921" t="str">
        <x:v>Paid</x:v>
      </x:c>
      <x:c r="V3921" t="str">
        <x:v>Delivered</x:v>
      </x:c>
      <x:c r="W3921" t="n">
        <x:v>0</x:v>
      </x:c>
      <x:c r="X3921" t="str"/>
      <x:c r="Y3921" t="str">
        <x:v>Field Visit</x:v>
      </x:c>
    </x:row>
    <x:row r="3922">
      <x:c r="A3922" t="str">
        <x:v>O003921</x:v>
      </x:c>
      <x:c r="B3922" s="20" t="n">
        <x:v>46046</x:v>
      </x:c>
      <x:c r="C3922" t="str">
        <x:v>C0030</x:v>
      </x:c>
      <x:c r="D3922" t="str">
        <x:v>Hotel Restaurant 30</x:v>
      </x:c>
      <x:c r="E3922" t="str">
        <x:v>Restaurant</x:v>
      </x:c>
      <x:c r="F3922" t="str">
        <x:v>Bengaluru</x:v>
      </x:c>
      <x:c r="G3922" t="str">
        <x:v>Imran</x:v>
      </x:c>
      <x:c r="H3922" t="str">
        <x:v>P026</x:v>
      </x:c>
      <x:c r="I3922" t="str">
        <x:v>Banana Chips 80g</x:v>
      </x:c>
      <x:c r="J3922" t="str">
        <x:v>Snacks</x:v>
      </x:c>
      <x:c r="K3922" t="str">
        <x:v>SSS</x:v>
      </x:c>
      <x:c r="L3922" s="22" t="n">
        <x:v>54</x:v>
      </x:c>
      <x:c r="M3922" t="n">
        <x:v>1</x:v>
      </x:c>
      <x:c r="N3922" s="24" t="n">
        <x:v>0.03</x:v>
      </x:c>
      <x:c r="O3922" s="22" t="n">
        <x:f>L3922*M3922</x:f>
        <x:v>54</x:v>
      </x:c>
      <x:c r="P3922" s="22" t="n">
        <x:f>O3922*(1-N3922)</x:f>
        <x:v>52.379999999999995</x:v>
      </x:c>
      <x:c r="Q3922" s="22" t="n">
        <x:v>39</x:v>
      </x:c>
      <x:c r="R3922" s="22" t="n">
        <x:f>Q3922*M3922</x:f>
        <x:v>39</x:v>
      </x:c>
      <x:c r="S3922" s="22" t="n">
        <x:f>P3922-R3922</x:f>
        <x:v>13.379999999999995</x:v>
      </x:c>
      <x:c r="T3922" t="str">
        <x:v>UPI</x:v>
      </x:c>
      <x:c r="U3922" t="str">
        <x:v>Paid</x:v>
      </x:c>
      <x:c r="V3922" t="str">
        <x:v>Cancelled</x:v>
      </x:c>
      <x:c r="W3922" t="n">
        <x:v>1</x:v>
      </x:c>
      <x:c r="X3922" t="str">
        <x:v>Cancelled Order</x:v>
      </x:c>
      <x:c r="Y3922" t="str">
        <x:v>Outbound Call</x:v>
      </x:c>
    </x:row>
    <x:row r="3923">
      <x:c r="A3923" t="str">
        <x:v>O003922</x:v>
      </x:c>
      <x:c r="B3923" s="20" t="n">
        <x:v>46049</x:v>
      </x:c>
      <x:c r="C3923" t="str">
        <x:v>C0163</x:v>
      </x:c>
      <x:c r="D3923" t="str">
        <x:v>Shree Kitchen 163</x:v>
      </x:c>
      <x:c r="E3923" t="str">
        <x:v>Kirana</x:v>
      </x:c>
      <x:c r="F3923" t="str">
        <x:v>Mysuru</x:v>
      </x:c>
      <x:c r="G3923" t="str">
        <x:v>Priya</x:v>
      </x:c>
      <x:c r="H3923" t="str">
        <x:v>P024</x:v>
      </x:c>
      <x:c r="I3923" t="str">
        <x:v>Orange Drink 1L</x:v>
      </x:c>
      <x:c r="J3923" t="str">
        <x:v>Beverage</x:v>
      </x:c>
      <x:c r="K3923" t="str">
        <x:v>Minute Maid</x:v>
      </x:c>
      <x:c r="L3923" s="22" t="n">
        <x:v>105</x:v>
      </x:c>
      <x:c r="M3923" t="n">
        <x:v>28</x:v>
      </x:c>
      <x:c r="N3923" s="24" t="n">
        <x:v>0</x:v>
      </x:c>
      <x:c r="O3923" s="22" t="n">
        <x:f>L3923*M3923</x:f>
        <x:v>2940</x:v>
      </x:c>
      <x:c r="P3923" s="22" t="n">
        <x:f>O3923*(1-N3923)</x:f>
        <x:v>2940</x:v>
      </x:c>
      <x:c r="Q3923" s="22" t="n">
        <x:v>88</x:v>
      </x:c>
      <x:c r="R3923" s="22" t="n">
        <x:f>Q3923*M3923</x:f>
        <x:v>2464</x:v>
      </x:c>
      <x:c r="S3923" s="22" t="n">
        <x:f>P3923-R3923</x:f>
        <x:v>476</x:v>
      </x:c>
      <x:c r="T3923" t="str">
        <x:v>Cash</x:v>
      </x:c>
      <x:c r="U3923" t="str">
        <x:v>Paid</x:v>
      </x:c>
      <x:c r="V3923" t="str">
        <x:v>Delivered</x:v>
      </x:c>
      <x:c r="W3923" t="n">
        <x:v>0</x:v>
      </x:c>
      <x:c r="X3923" t="str"/>
      <x:c r="Y3923" t="str">
        <x:v>Field Visit</x:v>
      </x:c>
    </x:row>
    <x:row r="3924">
      <x:c r="A3924" t="str">
        <x:v>O003923</x:v>
      </x:c>
      <x:c r="B3924" s="20" t="n">
        <x:v>46001</x:v>
      </x:c>
      <x:c r="C3924" t="str">
        <x:v>C0011</x:v>
      </x:c>
      <x:c r="D3924" t="str">
        <x:v>City Cafe 11</x:v>
      </x:c>
      <x:c r="E3924" t="str">
        <x:v>Restaurant</x:v>
      </x:c>
      <x:c r="F3924" t="str">
        <x:v>Mangaluru</x:v>
      </x:c>
      <x:c r="G3924" t="str">
        <x:v>Arjun</x:v>
      </x:c>
      <x:c r="H3924" t="str">
        <x:v>P020</x:v>
      </x:c>
      <x:c r="I3924" t="str">
        <x:v>Coffee 500g</x:v>
      </x:c>
      <x:c r="J3924" t="str">
        <x:v>Beverage</x:v>
      </x:c>
      <x:c r="K3924" t="str">
        <x:v>Bru</x:v>
      </x:c>
      <x:c r="L3924" s="22" t="n">
        <x:v>390</x:v>
      </x:c>
      <x:c r="M3924" t="n">
        <x:v>36</x:v>
      </x:c>
      <x:c r="N3924" s="24" t="n">
        <x:v>0.02</x:v>
      </x:c>
      <x:c r="O3924" s="22" t="n">
        <x:f>L3924*M3924</x:f>
        <x:v>14040</x:v>
      </x:c>
      <x:c r="P3924" s="22" t="n">
        <x:f>O3924*(1-N3924)</x:f>
        <x:v>13759.199999999999</x:v>
      </x:c>
      <x:c r="Q3924" s="22" t="n">
        <x:v>350</x:v>
      </x:c>
      <x:c r="R3924" s="22" t="n">
        <x:f>Q3924*M3924</x:f>
        <x:v>12600</x:v>
      </x:c>
      <x:c r="S3924" s="22" t="n">
        <x:f>P3924-R3924</x:f>
        <x:v>1159.199999999999</x:v>
      </x:c>
      <x:c r="T3924" t="str">
        <x:v>Bank Transfer</x:v>
      </x:c>
      <x:c r="U3924" t="str">
        <x:v>Paid</x:v>
      </x:c>
      <x:c r="V3924" t="str">
        <x:v>Delivered</x:v>
      </x:c>
      <x:c r="W3924" t="n">
        <x:v>1</x:v>
      </x:c>
      <x:c r="X3924" t="str">
        <x:v>Late Delivery</x:v>
      </x:c>
      <x:c r="Y3924" t="str">
        <x:v>Field Visit</x:v>
      </x:c>
    </x:row>
    <x:row r="3925">
      <x:c r="A3925" t="str">
        <x:v>O003924</x:v>
      </x:c>
      <x:c r="B3925" s="20" t="n">
        <x:v>45905</x:v>
      </x:c>
      <x:c r="C3925" t="str">
        <x:v>C0079</x:v>
      </x:c>
      <x:c r="D3925" t="str">
        <x:v>Foodie Foods 79</x:v>
      </x:c>
      <x:c r="E3925" t="str">
        <x:v>Cafe</x:v>
      </x:c>
      <x:c r="F3925" t="str">
        <x:v>Tumakuru</x:v>
      </x:c>
      <x:c r="G3925" t="str">
        <x:v>Ramesh</x:v>
      </x:c>
      <x:c r="H3925" t="str">
        <x:v>P040</x:v>
      </x:c>
      <x:c r="I3925" t="str">
        <x:v>Bread Loaf 400g</x:v>
      </x:c>
      <x:c r="J3925" t="str">
        <x:v>Bakery</x:v>
      </x:c>
      <x:c r="K3925" t="str">
        <x:v>Britannia</x:v>
      </x:c>
      <x:c r="L3925" s="22" t="n">
        <x:v>45</x:v>
      </x:c>
      <x:c r="M3925" t="n">
        <x:v>22</x:v>
      </x:c>
      <x:c r="N3925" s="24" t="n">
        <x:v>0.03</x:v>
      </x:c>
      <x:c r="O3925" s="22" t="n">
        <x:f>L3925*M3925</x:f>
        <x:v>990</x:v>
      </x:c>
      <x:c r="P3925" s="22" t="n">
        <x:f>O3925*(1-N3925)</x:f>
        <x:v>960.3</x:v>
      </x:c>
      <x:c r="Q3925" s="22" t="n">
        <x:v>35</x:v>
      </x:c>
      <x:c r="R3925" s="22" t="n">
        <x:f>Q3925*M3925</x:f>
        <x:v>770</x:v>
      </x:c>
      <x:c r="S3925" s="22" t="n">
        <x:f>P3925-R3925</x:f>
        <x:v>190.29999999999995</x:v>
      </x:c>
      <x:c r="T3925" t="str">
        <x:v>Cash</x:v>
      </x:c>
      <x:c r="U3925" t="str">
        <x:v>Pending</x:v>
      </x:c>
      <x:c r="V3925" t="str">
        <x:v>Cancelled</x:v>
      </x:c>
      <x:c r="W3925" t="n">
        <x:v>22</x:v>
      </x:c>
      <x:c r="X3925" t="str">
        <x:v>Cancelled Order</x:v>
      </x:c>
      <x:c r="Y3925" t="str">
        <x:v>Existing Customer</x:v>
      </x:c>
    </x:row>
    <x:row r="3926">
      <x:c r="A3926" t="str">
        <x:v>O003925</x:v>
      </x:c>
      <x:c r="B3926" s="20" t="n">
        <x:v>45888</x:v>
      </x:c>
      <x:c r="C3926" t="str">
        <x:v>C0236</x:v>
      </x:c>
      <x:c r="D3926" t="str">
        <x:v>Foodie Stores 236</x:v>
      </x:c>
      <x:c r="E3926" t="str">
        <x:v>Kirana</x:v>
      </x:c>
      <x:c r="F3926" t="str">
        <x:v>Bengaluru</x:v>
      </x:c>
      <x:c r="G3926" t="str">
        <x:v>Ramesh</x:v>
      </x:c>
      <x:c r="H3926" t="str">
        <x:v>P044</x:v>
      </x:c>
      <x:c r="I3926" t="str">
        <x:v>Chicken Curry Cut 1kg</x:v>
      </x:c>
      <x:c r="J3926" t="str">
        <x:v>Protein</x:v>
      </x:c>
      <x:c r="K3926" t="str">
        <x:v>FreshToHome</x:v>
      </x:c>
      <x:c r="L3926" s="22" t="n">
        <x:v>230</x:v>
      </x:c>
      <x:c r="M3926" t="n">
        <x:v>26</x:v>
      </x:c>
      <x:c r="N3926" s="24" t="n">
        <x:v>0</x:v>
      </x:c>
      <x:c r="O3926" s="22" t="n">
        <x:f>L3926*M3926</x:f>
        <x:v>5980</x:v>
      </x:c>
      <x:c r="P3926" s="22" t="n">
        <x:f>O3926*(1-N3926)</x:f>
        <x:v>5980</x:v>
      </x:c>
      <x:c r="Q3926" s="22" t="n">
        <x:v>205</x:v>
      </x:c>
      <x:c r="R3926" s="22" t="n">
        <x:f>Q3926*M3926</x:f>
        <x:v>5330</x:v>
      </x:c>
      <x:c r="S3926" s="22" t="n">
        <x:f>P3926-R3926</x:f>
        <x:v>650</x:v>
      </x:c>
      <x:c r="T3926" t="str">
        <x:v>Bank Transfer</x:v>
      </x:c>
      <x:c r="U3926" t="str">
        <x:v>Paid</x:v>
      </x:c>
      <x:c r="V3926" t="str">
        <x:v>Delivered</x:v>
      </x:c>
      <x:c r="W3926" t="n">
        <x:v>0</x:v>
      </x:c>
      <x:c r="X3926" t="str"/>
      <x:c r="Y3926" t="str">
        <x:v>Referral</x:v>
      </x:c>
    </x:row>
    <x:row r="3927">
      <x:c r="A3927" t="str">
        <x:v>O003926</x:v>
      </x:c>
      <x:c r="B3927" s="20" t="n">
        <x:v>46180</x:v>
      </x:c>
      <x:c r="C3927" t="str">
        <x:v>C0084</x:v>
      </x:c>
      <x:c r="D3927" t="str">
        <x:v>Green Cafe 84</x:v>
      </x:c>
      <x:c r="E3927" t="str">
        <x:v>Hotel</x:v>
      </x:c>
      <x:c r="F3927" t="str">
        <x:v>Mysuru</x:v>
      </x:c>
      <x:c r="G3927" t="str">
        <x:v>Priya</x:v>
      </x:c>
      <x:c r="H3927" t="str">
        <x:v>P050</x:v>
      </x:c>
      <x:c r="I3927" t="str">
        <x:v>Lemon 5kg</x:v>
      </x:c>
      <x:c r="J3927" t="str">
        <x:v>Fresh Produce</x:v>
      </x:c>
      <x:c r="K3927" t="str">
        <x:v>Local Market</x:v>
      </x:c>
      <x:c r="L3927" s="22" t="n">
        <x:v>360</x:v>
      </x:c>
      <x:c r="M3927" t="n">
        <x:v>7</x:v>
      </x:c>
      <x:c r="N3927" s="24" t="n">
        <x:v>0.03</x:v>
      </x:c>
      <x:c r="O3927" s="22" t="n">
        <x:f>L3927*M3927</x:f>
        <x:v>2520</x:v>
      </x:c>
      <x:c r="P3927" s="22" t="n">
        <x:f>O3927*(1-N3927)</x:f>
        <x:v>2444.4</x:v>
      </x:c>
      <x:c r="Q3927" s="22" t="n">
        <x:v>300</x:v>
      </x:c>
      <x:c r="R3927" s="22" t="n">
        <x:f>Q3927*M3927</x:f>
        <x:v>2100</x:v>
      </x:c>
      <x:c r="S3927" s="22" t="n">
        <x:f>P3927-R3927</x:f>
        <x:v>344.4000000000001</x:v>
      </x:c>
      <x:c r="T3927" t="str">
        <x:v>Bank Transfer</x:v>
      </x:c>
      <x:c r="U3927" t="str">
        <x:v>Paid</x:v>
      </x:c>
      <x:c r="V3927" t="str">
        <x:v>Delivered</x:v>
      </x:c>
      <x:c r="W3927" t="n">
        <x:v>0</x:v>
      </x:c>
      <x:c r="X3927" t="str"/>
      <x:c r="Y3927" t="str">
        <x:v>Field Visit</x:v>
      </x:c>
    </x:row>
    <x:row r="3928">
      <x:c r="A3928" t="str">
        <x:v>O003927</x:v>
      </x:c>
      <x:c r="B3928" s="20" t="n">
        <x:v>45924</x:v>
      </x:c>
      <x:c r="C3928" t="str">
        <x:v>C0171</x:v>
      </x:c>
      <x:c r="D3928" t="str">
        <x:v>Metro Canteen 171</x:v>
      </x:c>
      <x:c r="E3928" t="str">
        <x:v>Restaurant</x:v>
      </x:c>
      <x:c r="F3928" t="str">
        <x:v>Mangaluru</x:v>
      </x:c>
      <x:c r="G3928" t="str">
        <x:v>Priya</x:v>
      </x:c>
      <x:c r="H3928" t="str">
        <x:v>P012</x:v>
      </x:c>
      <x:c r="I3928" t="str">
        <x:v>Maida 10kg</x:v>
      </x:c>
      <x:c r="J3928" t="str">
        <x:v>Flour</x:v>
      </x:c>
      <x:c r="K3928" t="str">
        <x:v>Aashirvaad</x:v>
      </x:c>
      <x:c r="L3928" s="22" t="n">
        <x:v>520</x:v>
      </x:c>
      <x:c r="M3928" t="n">
        <x:v>18</x:v>
      </x:c>
      <x:c r="N3928" s="24" t="n">
        <x:v>0.05</x:v>
      </x:c>
      <x:c r="O3928" s="22" t="n">
        <x:f>L3928*M3928</x:f>
        <x:v>9360</x:v>
      </x:c>
      <x:c r="P3928" s="22" t="n">
        <x:f>O3928*(1-N3928)</x:f>
        <x:v>8892</x:v>
      </x:c>
      <x:c r="Q3928" s="22" t="n">
        <x:v>460</x:v>
      </x:c>
      <x:c r="R3928" s="22" t="n">
        <x:f>Q3928*M3928</x:f>
        <x:v>8280</x:v>
      </x:c>
      <x:c r="S3928" s="22" t="n">
        <x:f>P3928-R3928</x:f>
        <x:v>612</x:v>
      </x:c>
      <x:c r="T3928" t="str">
        <x:v>Credit</x:v>
      </x:c>
      <x:c r="U3928" t="str">
        <x:v>Paid</x:v>
      </x:c>
      <x:c r="V3928" t="str">
        <x:v>Delivered</x:v>
      </x:c>
      <x:c r="W3928" t="n">
        <x:v>0</x:v>
      </x:c>
      <x:c r="X3928" t="str"/>
      <x:c r="Y3928" t="str">
        <x:v>Outbound Call</x:v>
      </x:c>
    </x:row>
    <x:row r="3929">
      <x:c r="A3929" t="str">
        <x:v>O003928</x:v>
      </x:c>
      <x:c r="B3929" s="20" t="n">
        <x:v>45924</x:v>
      </x:c>
      <x:c r="C3929" t="str">
        <x:v>C0187</x:v>
      </x:c>
      <x:c r="D3929" t="str">
        <x:v>City Cafe 187</x:v>
      </x:c>
      <x:c r="E3929" t="str">
        <x:v>Hotel</x:v>
      </x:c>
      <x:c r="F3929" t="str">
        <x:v>Mysuru</x:v>
      </x:c>
      <x:c r="G3929" t="str">
        <x:v>Priya</x:v>
      </x:c>
      <x:c r="H3929" t="str">
        <x:v>P003</x:v>
      </x:c>
      <x:c r="I3929" t="str">
        <x:v>Basmati Rice 5kg</x:v>
      </x:c>
      <x:c r="J3929" t="str">
        <x:v>Staples</x:v>
      </x:c>
      <x:c r="K3929" t="str">
        <x:v>India Gate</x:v>
      </x:c>
      <x:c r="L3929" s="22" t="n">
        <x:v>690</x:v>
      </x:c>
      <x:c r="M3929" t="n">
        <x:v>23</x:v>
      </x:c>
      <x:c r="N3929" s="24" t="n">
        <x:v>0</x:v>
      </x:c>
      <x:c r="O3929" s="22" t="n">
        <x:f>L3929*M3929</x:f>
        <x:v>15870</x:v>
      </x:c>
      <x:c r="P3929" s="22" t="n">
        <x:f>O3929*(1-N3929)</x:f>
        <x:v>15870</x:v>
      </x:c>
      <x:c r="Q3929" s="22" t="n">
        <x:v>610</x:v>
      </x:c>
      <x:c r="R3929" s="22" t="n">
        <x:f>Q3929*M3929</x:f>
        <x:v>14030</x:v>
      </x:c>
      <x:c r="S3929" s="22" t="n">
        <x:f>P3929-R3929</x:f>
        <x:v>1840</x:v>
      </x:c>
      <x:c r="T3929" t="str">
        <x:v>UPI</x:v>
      </x:c>
      <x:c r="U3929" t="str">
        <x:v>Paid</x:v>
      </x:c>
      <x:c r="V3929" t="str">
        <x:v>Cancelled</x:v>
      </x:c>
      <x:c r="W3929" t="n">
        <x:v>23</x:v>
      </x:c>
      <x:c r="X3929" t="str">
        <x:v>Cancelled Order</x:v>
      </x:c>
      <x:c r="Y3929" t="str">
        <x:v>Existing Customer</x:v>
      </x:c>
    </x:row>
    <x:row r="3930">
      <x:c r="A3930" t="str">
        <x:v>O003929</x:v>
      </x:c>
      <x:c r="B3930" s="20" t="n">
        <x:v>46085</x:v>
      </x:c>
      <x:c r="C3930" t="str">
        <x:v>C0140</x:v>
      </x:c>
      <x:c r="D3930" t="str">
        <x:v>Fresh Hotel 140</x:v>
      </x:c>
      <x:c r="E3930" t="str">
        <x:v>Kirana</x:v>
      </x:c>
      <x:c r="F3930" t="str">
        <x:v>Tumakuru</x:v>
      </x:c>
      <x:c r="G3930" t="str">
        <x:v>Imran</x:v>
      </x:c>
      <x:c r="H3930" t="str">
        <x:v>P048</x:v>
      </x:c>
      <x:c r="I3930" t="str">
        <x:v>Banana 10kg</x:v>
      </x:c>
      <x:c r="J3930" t="str">
        <x:v>Fresh Produce</x:v>
      </x:c>
      <x:c r="K3930" t="str">
        <x:v>Local Market</x:v>
      </x:c>
      <x:c r="L3930" s="22" t="n">
        <x:v>420</x:v>
      </x:c>
      <x:c r="M3930" t="n">
        <x:v>32</x:v>
      </x:c>
      <x:c r="N3930" s="24" t="n">
        <x:v>0.05</x:v>
      </x:c>
      <x:c r="O3930" s="22" t="n">
        <x:f>L3930*M3930</x:f>
        <x:v>13440</x:v>
      </x:c>
      <x:c r="P3930" s="22" t="n">
        <x:f>O3930*(1-N3930)</x:f>
        <x:v>12768</x:v>
      </x:c>
      <x:c r="Q3930" s="22" t="n">
        <x:v>350</x:v>
      </x:c>
      <x:c r="R3930" s="22" t="n">
        <x:f>Q3930*M3930</x:f>
        <x:v>11200</x:v>
      </x:c>
      <x:c r="S3930" s="22" t="n">
        <x:f>P3930-R3930</x:f>
        <x:v>1568</x:v>
      </x:c>
      <x:c r="T3930" t="str">
        <x:v>Cash</x:v>
      </x:c>
      <x:c r="U3930" t="str">
        <x:v>Paid</x:v>
      </x:c>
      <x:c r="V3930" t="str">
        <x:v>Delivered</x:v>
      </x:c>
      <x:c r="W3930" t="n">
        <x:v>0</x:v>
      </x:c>
      <x:c r="X3930" t="str"/>
      <x:c r="Y3930" t="str">
        <x:v>WhatsApp</x:v>
      </x:c>
    </x:row>
    <x:row r="3931">
      <x:c r="A3931" t="str">
        <x:v>O003930</x:v>
      </x:c>
      <x:c r="B3931" s="20" t="n">
        <x:v>46236</x:v>
      </x:c>
      <x:c r="C3931" t="str">
        <x:v>C0113</x:v>
      </x:c>
      <x:c r="D3931" t="str">
        <x:v>Namma Mart 113</x:v>
      </x:c>
      <x:c r="E3931" t="str">
        <x:v>Restaurant</x:v>
      </x:c>
      <x:c r="F3931" t="str">
        <x:v>Bengaluru</x:v>
      </x:c>
      <x:c r="G3931" t="str">
        <x:v>Imran</x:v>
      </x:c>
      <x:c r="H3931" t="str">
        <x:v>P004</x:v>
      </x:c>
      <x:c r="I3931" t="str">
        <x:v>Toor Dal 5kg</x:v>
      </x:c>
      <x:c r="J3931" t="str">
        <x:v>Pulses</x:v>
      </x:c>
      <x:c r="K3931" t="str">
        <x:v>Tata Sampann</x:v>
      </x:c>
      <x:c r="L3931" s="22" t="n">
        <x:v>780</x:v>
      </x:c>
      <x:c r="M3931" t="n">
        <x:v>38</x:v>
      </x:c>
      <x:c r="N3931" s="24" t="n">
        <x:v>0.03</x:v>
      </x:c>
      <x:c r="O3931" s="22" t="n">
        <x:f>L3931*M3931</x:f>
        <x:v>29640</x:v>
      </x:c>
      <x:c r="P3931" s="22" t="n">
        <x:f>O3931*(1-N3931)</x:f>
        <x:v>28750.8</x:v>
      </x:c>
      <x:c r="Q3931" s="22" t="n">
        <x:v>695</x:v>
      </x:c>
      <x:c r="R3931" s="22" t="n">
        <x:f>Q3931*M3931</x:f>
        <x:v>26410</x:v>
      </x:c>
      <x:c r="S3931" s="22" t="n">
        <x:f>P3931-R3931</x:f>
        <x:v>2340.7999999999993</x:v>
      </x:c>
      <x:c r="T3931" t="str">
        <x:v>Credit</x:v>
      </x:c>
      <x:c r="U3931" t="str">
        <x:v>Paid</x:v>
      </x:c>
      <x:c r="V3931" t="str">
        <x:v>Delivered</x:v>
      </x:c>
      <x:c r="W3931" t="n">
        <x:v>0</x:v>
      </x:c>
      <x:c r="X3931" t="str"/>
      <x:c r="Y3931" t="str">
        <x:v>Existing Customer</x:v>
      </x:c>
    </x:row>
    <x:row r="3932">
      <x:c r="A3932" t="str">
        <x:v>O003931</x:v>
      </x:c>
      <x:c r="B3932" s="20" t="n">
        <x:v>46074</x:v>
      </x:c>
      <x:c r="C3932" t="str">
        <x:v>C0030</x:v>
      </x:c>
      <x:c r="D3932" t="str">
        <x:v>Hotel Restaurant 30</x:v>
      </x:c>
      <x:c r="E3932" t="str">
        <x:v>Restaurant</x:v>
      </x:c>
      <x:c r="F3932" t="str">
        <x:v>Bengaluru</x:v>
      </x:c>
      <x:c r="G3932" t="str">
        <x:v>Imran</x:v>
      </x:c>
      <x:c r="H3932" t="str">
        <x:v>P026</x:v>
      </x:c>
      <x:c r="I3932" t="str">
        <x:v>Banana Chips 80g</x:v>
      </x:c>
      <x:c r="J3932" t="str">
        <x:v>Snacks</x:v>
      </x:c>
      <x:c r="K3932" t="str">
        <x:v>SSS</x:v>
      </x:c>
      <x:c r="L3932" s="22" t="n">
        <x:v>54</x:v>
      </x:c>
      <x:c r="M3932" t="n">
        <x:v>35</x:v>
      </x:c>
      <x:c r="N3932" s="24" t="n">
        <x:v>0.08</x:v>
      </x:c>
      <x:c r="O3932" s="22" t="n">
        <x:f>L3932*M3932</x:f>
        <x:v>1890</x:v>
      </x:c>
      <x:c r="P3932" s="22" t="n">
        <x:f>O3932*(1-N3932)</x:f>
        <x:v>1738.8000000000002</x:v>
      </x:c>
      <x:c r="Q3932" s="22" t="n">
        <x:v>39</x:v>
      </x:c>
      <x:c r="R3932" s="22" t="n">
        <x:f>Q3932*M3932</x:f>
        <x:v>1365</x:v>
      </x:c>
      <x:c r="S3932" s="22" t="n">
        <x:f>P3932-R3932</x:f>
        <x:v>373.8000000000002</x:v>
      </x:c>
      <x:c r="T3932" t="str">
        <x:v>UPI</x:v>
      </x:c>
      <x:c r="U3932" t="str">
        <x:v>Paid</x:v>
      </x:c>
      <x:c r="V3932" t="str">
        <x:v>Delivered</x:v>
      </x:c>
      <x:c r="W3932" t="n">
        <x:v>0</x:v>
      </x:c>
      <x:c r="X3932" t="str"/>
      <x:c r="Y3932" t="str">
        <x:v>Existing Customer</x:v>
      </x:c>
    </x:row>
    <x:row r="3933">
      <x:c r="A3933" t="str">
        <x:v>O003932</x:v>
      </x:c>
      <x:c r="B3933" s="20" t="n">
        <x:v>45842</x:v>
      </x:c>
      <x:c r="C3933" t="str">
        <x:v>C0155</x:v>
      </x:c>
      <x:c r="D3933" t="str">
        <x:v>New Mart 155</x:v>
      </x:c>
      <x:c r="E3933" t="str">
        <x:v>Hotel</x:v>
      </x:c>
      <x:c r="F3933" t="str">
        <x:v>Mysuru</x:v>
      </x:c>
      <x:c r="G3933" t="str">
        <x:v>Sneha</x:v>
      </x:c>
      <x:c r="H3933" t="str">
        <x:v>P007</x:v>
      </x:c>
      <x:c r="I3933" t="str">
        <x:v>Sunflower Oil 15L</x:v>
      </x:c>
      <x:c r="J3933" t="str">
        <x:v>Edible Oil</x:v>
      </x:c>
      <x:c r="K3933" t="str">
        <x:v>Fortune</x:v>
      </x:c>
      <x:c r="L3933" s="22" t="n">
        <x:v>1980</x:v>
      </x:c>
      <x:c r="M3933" t="n">
        <x:v>2</x:v>
      </x:c>
      <x:c r="N3933" s="24" t="n">
        <x:v>0.02</x:v>
      </x:c>
      <x:c r="O3933" s="22" t="n">
        <x:f>L3933*M3933</x:f>
        <x:v>3960</x:v>
      </x:c>
      <x:c r="P3933" s="22" t="n">
        <x:f>O3933*(1-N3933)</x:f>
        <x:v>3880.7999999999997</x:v>
      </x:c>
      <x:c r="Q3933" s="22" t="n">
        <x:v>1810</x:v>
      </x:c>
      <x:c r="R3933" s="22" t="n">
        <x:f>Q3933*M3933</x:f>
        <x:v>3620</x:v>
      </x:c>
      <x:c r="S3933" s="22" t="n">
        <x:f>P3933-R3933</x:f>
        <x:v>260.7999999999997</x:v>
      </x:c>
      <x:c r="T3933" t="str">
        <x:v>UPI</x:v>
      </x:c>
      <x:c r="U3933" t="str">
        <x:v>Paid</x:v>
      </x:c>
      <x:c r="V3933" t="str">
        <x:v>Delivered</x:v>
      </x:c>
      <x:c r="W3933" t="n">
        <x:v>0</x:v>
      </x:c>
      <x:c r="X3933" t="str"/>
      <x:c r="Y3933" t="str">
        <x:v>WhatsApp</x:v>
      </x:c>
    </x:row>
    <x:row r="3934">
      <x:c r="A3934" t="str">
        <x:v>O003933</x:v>
      </x:c>
      <x:c r="B3934" s="20" t="n">
        <x:v>46107</x:v>
      </x:c>
      <x:c r="C3934" t="str">
        <x:v>C0040</x:v>
      </x:c>
      <x:c r="D3934" t="str">
        <x:v>Royal Foods 40</x:v>
      </x:c>
      <x:c r="E3934" t="str">
        <x:v>Restaurant</x:v>
      </x:c>
      <x:c r="F3934" t="str">
        <x:v>Mangaluru</x:v>
      </x:c>
      <x:c r="G3934" t="str">
        <x:v>Kavya</x:v>
      </x:c>
      <x:c r="H3934" t="str">
        <x:v>P024</x:v>
      </x:c>
      <x:c r="I3934" t="str">
        <x:v>Orange Drink 1L</x:v>
      </x:c>
      <x:c r="J3934" t="str">
        <x:v>Beverage</x:v>
      </x:c>
      <x:c r="K3934" t="str">
        <x:v>Minute Maid</x:v>
      </x:c>
      <x:c r="L3934" s="22" t="n">
        <x:v>105</x:v>
      </x:c>
      <x:c r="M3934" t="n">
        <x:v>15</x:v>
      </x:c>
      <x:c r="N3934" s="24" t="n">
        <x:v>0</x:v>
      </x:c>
      <x:c r="O3934" s="22" t="n">
        <x:f>L3934*M3934</x:f>
        <x:v>1575</x:v>
      </x:c>
      <x:c r="P3934" s="22" t="n">
        <x:f>O3934*(1-N3934)</x:f>
        <x:v>1575</x:v>
      </x:c>
      <x:c r="Q3934" s="22" t="n">
        <x:v>88</x:v>
      </x:c>
      <x:c r="R3934" s="22" t="n">
        <x:f>Q3934*M3934</x:f>
        <x:v>1320</x:v>
      </x:c>
      <x:c r="S3934" s="22" t="n">
        <x:f>P3934-R3934</x:f>
        <x:v>255</x:v>
      </x:c>
      <x:c r="T3934" t="str">
        <x:v>Cash</x:v>
      </x:c>
      <x:c r="U3934" t="str">
        <x:v>Paid</x:v>
      </x:c>
      <x:c r="V3934" t="str">
        <x:v>Delivered</x:v>
      </x:c>
      <x:c r="W3934" t="n">
        <x:v>0</x:v>
      </x:c>
      <x:c r="X3934" t="str"/>
      <x:c r="Y3934" t="str">
        <x:v>WhatsApp</x:v>
      </x:c>
    </x:row>
    <x:row r="3935">
      <x:c r="A3935" t="str">
        <x:v>O003934</x:v>
      </x:c>
      <x:c r="B3935" s="20" t="n">
        <x:v>45834</x:v>
      </x:c>
      <x:c r="C3935" t="str">
        <x:v>C0116</x:v>
      </x:c>
      <x:c r="D3935" t="str">
        <x:v>Classic Foods 116</x:v>
      </x:c>
      <x:c r="E3935" t="str">
        <x:v>Supermarket</x:v>
      </x:c>
      <x:c r="F3935" t="str">
        <x:v>Davanagere</x:v>
      </x:c>
      <x:c r="G3935" t="str">
        <x:v>Megha</x:v>
      </x:c>
      <x:c r="H3935" t="str">
        <x:v>P026</x:v>
      </x:c>
      <x:c r="I3935" t="str">
        <x:v>Banana Chips 80g</x:v>
      </x:c>
      <x:c r="J3935" t="str">
        <x:v>Snacks</x:v>
      </x:c>
      <x:c r="K3935" t="str">
        <x:v>SSS</x:v>
      </x:c>
      <x:c r="L3935" s="22" t="n">
        <x:v>54</x:v>
      </x:c>
      <x:c r="M3935" t="n">
        <x:v>11</x:v>
      </x:c>
      <x:c r="N3935" s="24" t="n">
        <x:v>0.05</x:v>
      </x:c>
      <x:c r="O3935" s="22" t="n">
        <x:f>L3935*M3935</x:f>
        <x:v>594</x:v>
      </x:c>
      <x:c r="P3935" s="22" t="n">
        <x:f>O3935*(1-N3935)</x:f>
        <x:v>564.3</x:v>
      </x:c>
      <x:c r="Q3935" s="22" t="n">
        <x:v>39</x:v>
      </x:c>
      <x:c r="R3935" s="22" t="n">
        <x:f>Q3935*M3935</x:f>
        <x:v>429</x:v>
      </x:c>
      <x:c r="S3935" s="22" t="n">
        <x:f>P3935-R3935</x:f>
        <x:v>135.29999999999995</x:v>
      </x:c>
      <x:c r="T3935" t="str">
        <x:v>Cash</x:v>
      </x:c>
      <x:c r="U3935" t="str">
        <x:v>Overdue</x:v>
      </x:c>
      <x:c r="V3935" t="str">
        <x:v>Cancelled</x:v>
      </x:c>
      <x:c r="W3935" t="n">
        <x:v>11</x:v>
      </x:c>
      <x:c r="X3935" t="str">
        <x:v>Cancelled Order</x:v>
      </x:c>
      <x:c r="Y3935" t="str">
        <x:v>Existing Customer</x:v>
      </x:c>
    </x:row>
    <x:row r="3936">
      <x:c r="A3936" t="str">
        <x:v>O003935</x:v>
      </x:c>
      <x:c r="B3936" s="20" t="n">
        <x:v>46030</x:v>
      </x:c>
      <x:c r="C3936" t="str">
        <x:v>C0126</x:v>
      </x:c>
      <x:c r="D3936" t="str">
        <x:v>Mysore Hotel 126</x:v>
      </x:c>
      <x:c r="E3936" t="str">
        <x:v>Restaurant</x:v>
      </x:c>
      <x:c r="F3936" t="str">
        <x:v>Mangaluru</x:v>
      </x:c>
      <x:c r="G3936" t="str">
        <x:v>Vikram</x:v>
      </x:c>
      <x:c r="H3936" t="str">
        <x:v>P018</x:v>
      </x:c>
      <x:c r="I3936" t="str">
        <x:v>Paneer 1kg</x:v>
      </x:c>
      <x:c r="J3936" t="str">
        <x:v>Dairy</x:v>
      </x:c>
      <x:c r="K3936" t="str">
        <x:v>Milky Mist</x:v>
      </x:c>
      <x:c r="L3936" s="22" t="n">
        <x:v>410</x:v>
      </x:c>
      <x:c r="M3936" t="n">
        <x:v>3</x:v>
      </x:c>
      <x:c r="N3936" s="24" t="n">
        <x:v>0.03</x:v>
      </x:c>
      <x:c r="O3936" s="22" t="n">
        <x:f>L3936*M3936</x:f>
        <x:v>1230</x:v>
      </x:c>
      <x:c r="P3936" s="22" t="n">
        <x:f>O3936*(1-N3936)</x:f>
        <x:v>1193.1</x:v>
      </x:c>
      <x:c r="Q3936" s="22" t="n">
        <x:v>370</x:v>
      </x:c>
      <x:c r="R3936" s="22" t="n">
        <x:f>Q3936*M3936</x:f>
        <x:v>1110</x:v>
      </x:c>
      <x:c r="S3936" s="22" t="n">
        <x:f>P3936-R3936</x:f>
        <x:v>83.09999999999991</x:v>
      </x:c>
      <x:c r="T3936" t="str">
        <x:v>Credit</x:v>
      </x:c>
      <x:c r="U3936" t="str">
        <x:v>Paid</x:v>
      </x:c>
      <x:c r="V3936" t="str">
        <x:v>Delivered</x:v>
      </x:c>
      <x:c r="W3936" t="n">
        <x:v>0</x:v>
      </x:c>
      <x:c r="X3936" t="str"/>
      <x:c r="Y3936" t="str">
        <x:v>Outbound Call</x:v>
      </x:c>
    </x:row>
    <x:row r="3937">
      <x:c r="A3937" t="str">
        <x:v>O003936</x:v>
      </x:c>
      <x:c r="B3937" s="20" t="n">
        <x:v>45754</x:v>
      </x:c>
      <x:c r="C3937" t="str">
        <x:v>C0199</x:v>
      </x:c>
      <x:c r="D3937" t="str">
        <x:v>Classic Cafe 199</x:v>
      </x:c>
      <x:c r="E3937" t="str">
        <x:v>Canteen</x:v>
      </x:c>
      <x:c r="F3937" t="str">
        <x:v>Mangaluru</x:v>
      </x:c>
      <x:c r="G3937" t="str">
        <x:v>Ramesh</x:v>
      </x:c>
      <x:c r="H3937" t="str">
        <x:v>P032</x:v>
      </x:c>
      <x:c r="I3937" t="str">
        <x:v>Soy Sauce 700g</x:v>
      </x:c>
      <x:c r="J3937" t="str">
        <x:v>Condiments</x:v>
      </x:c>
      <x:c r="K3937" t="str">
        <x:v>Ching's</x:v>
      </x:c>
      <x:c r="L3937" s="22" t="n">
        <x:v>118</x:v>
      </x:c>
      <x:c r="M3937" t="n">
        <x:v>28</x:v>
      </x:c>
      <x:c r="N3937" s="24" t="n">
        <x:v>0</x:v>
      </x:c>
      <x:c r="O3937" s="22" t="n">
        <x:f>L3937*M3937</x:f>
        <x:v>3304</x:v>
      </x:c>
      <x:c r="P3937" s="22" t="n">
        <x:f>O3937*(1-N3937)</x:f>
        <x:v>3304</x:v>
      </x:c>
      <x:c r="Q3937" s="22" t="n">
        <x:v>101</x:v>
      </x:c>
      <x:c r="R3937" s="22" t="n">
        <x:f>Q3937*M3937</x:f>
        <x:v>2828</x:v>
      </x:c>
      <x:c r="S3937" s="22" t="n">
        <x:f>P3937-R3937</x:f>
        <x:v>476</x:v>
      </x:c>
      <x:c r="T3937" t="str">
        <x:v>Cash</x:v>
      </x:c>
      <x:c r="U3937" t="str">
        <x:v>Paid</x:v>
      </x:c>
      <x:c r="V3937" t="str">
        <x:v>Delivered</x:v>
      </x:c>
      <x:c r="W3937" t="n">
        <x:v>0</x:v>
      </x:c>
      <x:c r="X3937" t="str"/>
      <x:c r="Y3937" t="str">
        <x:v>Field Visit</x:v>
      </x:c>
    </x:row>
    <x:row r="3938">
      <x:c r="A3938" t="str">
        <x:v>O003937</x:v>
      </x:c>
      <x:c r="B3938" s="20" t="n">
        <x:v>45998</x:v>
      </x:c>
      <x:c r="C3938" t="str">
        <x:v>C0230</x:v>
      </x:c>
      <x:c r="D3938" t="str">
        <x:v>Darshini Foods 230</x:v>
      </x:c>
      <x:c r="E3938" t="str">
        <x:v>Restaurant</x:v>
      </x:c>
      <x:c r="F3938" t="str">
        <x:v>Davanagere</x:v>
      </x:c>
      <x:c r="G3938" t="str">
        <x:v>Priya</x:v>
      </x:c>
      <x:c r="H3938" t="str">
        <x:v>P027</x:v>
      </x:c>
      <x:c r="I3938" t="str">
        <x:v>Biscuits 120g</x:v>
      </x:c>
      <x:c r="J3938" t="str">
        <x:v>Snacks</x:v>
      </x:c>
      <x:c r="K3938" t="str">
        <x:v>Parle-G</x:v>
      </x:c>
      <x:c r="L3938" s="22" t="n">
        <x:v>12</x:v>
      </x:c>
      <x:c r="M3938" t="n">
        <x:v>3</x:v>
      </x:c>
      <x:c r="N3938" s="24" t="n">
        <x:v>0.05</x:v>
      </x:c>
      <x:c r="O3938" s="22" t="n">
        <x:f>L3938*M3938</x:f>
        <x:v>36</x:v>
      </x:c>
      <x:c r="P3938" s="22" t="n">
        <x:f>O3938*(1-N3938)</x:f>
        <x:v>34.199999999999996</x:v>
      </x:c>
      <x:c r="Q3938" s="22" t="n">
        <x:v>9</x:v>
      </x:c>
      <x:c r="R3938" s="22" t="n">
        <x:f>Q3938*M3938</x:f>
        <x:v>27</x:v>
      </x:c>
      <x:c r="S3938" s="22" t="n">
        <x:f>P3938-R3938</x:f>
        <x:v>7.199999999999996</x:v>
      </x:c>
      <x:c r="T3938" t="str">
        <x:v>Cash</x:v>
      </x:c>
      <x:c r="U3938" t="str">
        <x:v>Pending</x:v>
      </x:c>
      <x:c r="V3938" t="str">
        <x:v>Delivered</x:v>
      </x:c>
      <x:c r="W3938" t="n">
        <x:v>0</x:v>
      </x:c>
      <x:c r="X3938" t="str"/>
      <x:c r="Y3938" t="str">
        <x:v>Field Visit</x:v>
      </x:c>
    </x:row>
    <x:row r="3939">
      <x:c r="A3939" t="str">
        <x:v>O003938</x:v>
      </x:c>
      <x:c r="B3939" s="20" t="n">
        <x:v>46170</x:v>
      </x:c>
      <x:c r="C3939" t="str">
        <x:v>C0089</x:v>
      </x:c>
      <x:c r="D3939" t="str">
        <x:v>Green Canteen 89</x:v>
      </x:c>
      <x:c r="E3939" t="str">
        <x:v>Supermarket</x:v>
      </x:c>
      <x:c r="F3939" t="str">
        <x:v>Mangaluru</x:v>
      </x:c>
      <x:c r="G3939" t="str">
        <x:v>Megha</x:v>
      </x:c>
      <x:c r="H3939" t="str">
        <x:v>P044</x:v>
      </x:c>
      <x:c r="I3939" t="str">
        <x:v>Chicken Curry Cut 1kg</x:v>
      </x:c>
      <x:c r="J3939" t="str">
        <x:v>Protein</x:v>
      </x:c>
      <x:c r="K3939" t="str">
        <x:v>FreshToHome</x:v>
      </x:c>
      <x:c r="L3939" s="22" t="n">
        <x:v>230</x:v>
      </x:c>
      <x:c r="M3939" t="n">
        <x:v>10</x:v>
      </x:c>
      <x:c r="N3939" s="24" t="n">
        <x:v>0.03</x:v>
      </x:c>
      <x:c r="O3939" s="22" t="n">
        <x:f>L3939*M3939</x:f>
        <x:v>2300</x:v>
      </x:c>
      <x:c r="P3939" s="22" t="n">
        <x:f>O3939*(1-N3939)</x:f>
        <x:v>2231</x:v>
      </x:c>
      <x:c r="Q3939" s="22" t="n">
        <x:v>205</x:v>
      </x:c>
      <x:c r="R3939" s="22" t="n">
        <x:f>Q3939*M3939</x:f>
        <x:v>2050</x:v>
      </x:c>
      <x:c r="S3939" s="22" t="n">
        <x:f>P3939-R3939</x:f>
        <x:v>181</x:v>
      </x:c>
      <x:c r="T3939" t="str">
        <x:v>Credit</x:v>
      </x:c>
      <x:c r="U3939" t="str">
        <x:v>Pending</x:v>
      </x:c>
      <x:c r="V3939" t="str">
        <x:v>Delivered</x:v>
      </x:c>
      <x:c r="W3939" t="n">
        <x:v>0</x:v>
      </x:c>
      <x:c r="X3939" t="str"/>
      <x:c r="Y3939" t="str">
        <x:v>Field Visit</x:v>
      </x:c>
    </x:row>
    <x:row r="3940">
      <x:c r="A3940" t="str">
        <x:v>O003939</x:v>
      </x:c>
      <x:c r="B3940" s="20" t="n">
        <x:v>46245</x:v>
      </x:c>
      <x:c r="C3940" t="str">
        <x:v>C0169</x:v>
      </x:c>
      <x:c r="D3940" t="str">
        <x:v>Grand Mart 169</x:v>
      </x:c>
      <x:c r="E3940" t="str">
        <x:v>Canteen</x:v>
      </x:c>
      <x:c r="F3940" t="str">
        <x:v>Mangaluru</x:v>
      </x:c>
      <x:c r="G3940" t="str">
        <x:v>Vikram</x:v>
      </x:c>
      <x:c r="H3940" t="str">
        <x:v>P044</x:v>
      </x:c>
      <x:c r="I3940" t="str">
        <x:v>Chicken Curry Cut 1kg</x:v>
      </x:c>
      <x:c r="J3940" t="str">
        <x:v>Protein</x:v>
      </x:c>
      <x:c r="K3940" t="str">
        <x:v>FreshToHome</x:v>
      </x:c>
      <x:c r="L3940" s="22" t="n">
        <x:v>230</x:v>
      </x:c>
      <x:c r="M3940" t="n">
        <x:v>8</x:v>
      </x:c>
      <x:c r="N3940" s="24" t="n">
        <x:v>0.05</x:v>
      </x:c>
      <x:c r="O3940" s="22" t="n">
        <x:f>L3940*M3940</x:f>
        <x:v>1840</x:v>
      </x:c>
      <x:c r="P3940" s="22" t="n">
        <x:f>O3940*(1-N3940)</x:f>
        <x:v>1748</x:v>
      </x:c>
      <x:c r="Q3940" s="22" t="n">
        <x:v>205</x:v>
      </x:c>
      <x:c r="R3940" s="22" t="n">
        <x:f>Q3940*M3940</x:f>
        <x:v>1640</x:v>
      </x:c>
      <x:c r="S3940" s="22" t="n">
        <x:f>P3940-R3940</x:f>
        <x:v>108</x:v>
      </x:c>
      <x:c r="T3940" t="str">
        <x:v>Credit</x:v>
      </x:c>
      <x:c r="U3940" t="str">
        <x:v>Paid</x:v>
      </x:c>
      <x:c r="V3940" t="str">
        <x:v>Delivered</x:v>
      </x:c>
      <x:c r="W3940" t="n">
        <x:v>0</x:v>
      </x:c>
      <x:c r="X3940" t="str"/>
      <x:c r="Y3940" t="str">
        <x:v>WhatsApp</x:v>
      </x:c>
    </x:row>
    <x:row r="3941">
      <x:c r="A3941" t="str">
        <x:v>O003940</x:v>
      </x:c>
      <x:c r="B3941" s="20" t="n">
        <x:v>46275</x:v>
      </x:c>
      <x:c r="C3941" t="str">
        <x:v>C0035</x:v>
      </x:c>
      <x:c r="D3941" t="str">
        <x:v>City Foods 35</x:v>
      </x:c>
      <x:c r="E3941" t="str">
        <x:v>Kirana</x:v>
      </x:c>
      <x:c r="F3941" t="str">
        <x:v>Bengaluru</x:v>
      </x:c>
      <x:c r="G3941" t="str">
        <x:v>Megha</x:v>
      </x:c>
      <x:c r="H3941" t="str">
        <x:v>P002</x:v>
      </x:c>
      <x:c r="I3941" t="str">
        <x:v>Sona Masoori Rice 25kg</x:v>
      </x:c>
      <x:c r="J3941" t="str">
        <x:v>Staples</x:v>
      </x:c>
      <x:c r="K3941" t="str">
        <x:v>Fortune</x:v>
      </x:c>
      <x:c r="L3941" s="22" t="n">
        <x:v>1320</x:v>
      </x:c>
      <x:c r="M3941" t="n">
        <x:v>9</x:v>
      </x:c>
      <x:c r="N3941" s="24" t="n">
        <x:v>0.05</x:v>
      </x:c>
      <x:c r="O3941" s="22" t="n">
        <x:f>L3941*M3941</x:f>
        <x:v>11880</x:v>
      </x:c>
      <x:c r="P3941" s="22" t="n">
        <x:f>O3941*(1-N3941)</x:f>
        <x:v>11286</x:v>
      </x:c>
      <x:c r="Q3941" s="22" t="n">
        <x:v>1160</x:v>
      </x:c>
      <x:c r="R3941" s="22" t="n">
        <x:f>Q3941*M3941</x:f>
        <x:v>10440</x:v>
      </x:c>
      <x:c r="S3941" s="22" t="n">
        <x:f>P3941-R3941</x:f>
        <x:v>846</x:v>
      </x:c>
      <x:c r="T3941" t="str">
        <x:v>Credit</x:v>
      </x:c>
      <x:c r="U3941" t="str">
        <x:v>Paid</x:v>
      </x:c>
      <x:c r="V3941" t="str">
        <x:v>Delivered</x:v>
      </x:c>
      <x:c r="W3941" t="n">
        <x:v>0</x:v>
      </x:c>
      <x:c r="X3941" t="str"/>
      <x:c r="Y3941" t="str">
        <x:v>Referral</x:v>
      </x:c>
    </x:row>
    <x:row r="3942">
      <x:c r="A3942" t="str">
        <x:v>O003941</x:v>
      </x:c>
      <x:c r="B3942" s="20" t="n">
        <x:v>46084</x:v>
      </x:c>
      <x:c r="C3942" t="str">
        <x:v>C0045</x:v>
      </x:c>
      <x:c r="D3942" t="str">
        <x:v>Annapurna Restaurant 45</x:v>
      </x:c>
      <x:c r="E3942" t="str">
        <x:v>Kirana</x:v>
      </x:c>
      <x:c r="F3942" t="str">
        <x:v>Mysuru</x:v>
      </x:c>
      <x:c r="G3942" t="str">
        <x:v>Arjun</x:v>
      </x:c>
      <x:c r="H3942" t="str">
        <x:v>P031</x:v>
      </x:c>
      <x:c r="I3942" t="str">
        <x:v>Chilli Sauce 700g</x:v>
      </x:c>
      <x:c r="J3942" t="str">
        <x:v>Condiments</x:v>
      </x:c>
      <x:c r="K3942" t="str">
        <x:v>Ching's</x:v>
      </x:c>
      <x:c r="L3942" s="22" t="n">
        <x:v>130</x:v>
      </x:c>
      <x:c r="M3942" t="n">
        <x:v>1</x:v>
      </x:c>
      <x:c r="N3942" s="24" t="n">
        <x:v>0.05</x:v>
      </x:c>
      <x:c r="O3942" s="22" t="n">
        <x:f>L3942*M3942</x:f>
        <x:v>130</x:v>
      </x:c>
      <x:c r="P3942" s="22" t="n">
        <x:f>O3942*(1-N3942)</x:f>
        <x:v>123.5</x:v>
      </x:c>
      <x:c r="Q3942" s="22" t="n">
        <x:v>112</x:v>
      </x:c>
      <x:c r="R3942" s="22" t="n">
        <x:f>Q3942*M3942</x:f>
        <x:v>112</x:v>
      </x:c>
      <x:c r="S3942" s="22" t="n">
        <x:f>P3942-R3942</x:f>
        <x:v>11.5</x:v>
      </x:c>
      <x:c r="T3942" t="str">
        <x:v>Credit</x:v>
      </x:c>
      <x:c r="U3942" t="str">
        <x:v>Paid</x:v>
      </x:c>
      <x:c r="V3942" t="str">
        <x:v>Cancelled</x:v>
      </x:c>
      <x:c r="W3942" t="n">
        <x:v>1</x:v>
      </x:c>
      <x:c r="X3942" t="str">
        <x:v>Cancelled Order</x:v>
      </x:c>
      <x:c r="Y3942" t="str">
        <x:v>Outbound Call</x:v>
      </x:c>
    </x:row>
    <x:row r="3943">
      <x:c r="A3943" t="str">
        <x:v>O003942</x:v>
      </x:c>
      <x:c r="B3943" s="20" t="n">
        <x:v>45934</x:v>
      </x:c>
      <x:c r="C3943" t="str">
        <x:v>C0067</x:v>
      </x:c>
      <x:c r="D3943" t="str">
        <x:v>Royal Restaurant 67</x:v>
      </x:c>
      <x:c r="E3943" t="str">
        <x:v>Supermarket</x:v>
      </x:c>
      <x:c r="F3943" t="str">
        <x:v>Tumakuru</x:v>
      </x:c>
      <x:c r="G3943" t="str">
        <x:v>Sneha</x:v>
      </x:c>
      <x:c r="H3943" t="str">
        <x:v>P049</x:v>
      </x:c>
      <x:c r="I3943" t="str">
        <x:v>Apple 10kg</x:v>
      </x:c>
      <x:c r="J3943" t="str">
        <x:v>Fresh Produce</x:v>
      </x:c>
      <x:c r="K3943" t="str">
        <x:v>Local Market</x:v>
      </x:c>
      <x:c r="L3943" s="22" t="n">
        <x:v>1450</x:v>
      </x:c>
      <x:c r="M3943" t="n">
        <x:v>3</x:v>
      </x:c>
      <x:c r="N3943" s="24" t="n">
        <x:v>0.03</x:v>
      </x:c>
      <x:c r="O3943" s="22" t="n">
        <x:f>L3943*M3943</x:f>
        <x:v>4350</x:v>
      </x:c>
      <x:c r="P3943" s="22" t="n">
        <x:f>O3943*(1-N3943)</x:f>
        <x:v>4219.5</x:v>
      </x:c>
      <x:c r="Q3943" s="22" t="n">
        <x:v>1280</x:v>
      </x:c>
      <x:c r="R3943" s="22" t="n">
        <x:f>Q3943*M3943</x:f>
        <x:v>3840</x:v>
      </x:c>
      <x:c r="S3943" s="22" t="n">
        <x:f>P3943-R3943</x:f>
        <x:v>379.5</x:v>
      </x:c>
      <x:c r="T3943" t="str">
        <x:v>UPI</x:v>
      </x:c>
      <x:c r="U3943" t="str">
        <x:v>Paid</x:v>
      </x:c>
      <x:c r="V3943" t="str">
        <x:v>Delivered</x:v>
      </x:c>
      <x:c r="W3943" t="n">
        <x:v>0</x:v>
      </x:c>
      <x:c r="X3943" t="str"/>
      <x:c r="Y3943" t="str">
        <x:v>Field Visit</x:v>
      </x:c>
    </x:row>
    <x:row r="3944">
      <x:c r="A3944" t="str">
        <x:v>O003943</x:v>
      </x:c>
      <x:c r="B3944" s="20" t="n">
        <x:v>46228</x:v>
      </x:c>
      <x:c r="C3944" t="str">
        <x:v>C0099</x:v>
      </x:c>
      <x:c r="D3944" t="str">
        <x:v>Green Cafe 99</x:v>
      </x:c>
      <x:c r="E3944" t="str">
        <x:v>Restaurant</x:v>
      </x:c>
      <x:c r="F3944" t="str">
        <x:v>Hubballi</x:v>
      </x:c>
      <x:c r="G3944" t="str">
        <x:v>Ramesh</x:v>
      </x:c>
      <x:c r="H3944" t="str">
        <x:v>P006</x:v>
      </x:c>
      <x:c r="I3944" t="str">
        <x:v>Moong Dal 5kg</x:v>
      </x:c>
      <x:c r="J3944" t="str">
        <x:v>Pulses</x:v>
      </x:c>
      <x:c r="K3944" t="str">
        <x:v>Local Select</x:v>
      </x:c>
      <x:c r="L3944" s="22" t="n">
        <x:v>610</x:v>
      </x:c>
      <x:c r="M3944" t="n">
        <x:v>13</x:v>
      </x:c>
      <x:c r="N3944" s="24" t="n">
        <x:v>0</x:v>
      </x:c>
      <x:c r="O3944" s="22" t="n">
        <x:f>L3944*M3944</x:f>
        <x:v>7930</x:v>
      </x:c>
      <x:c r="P3944" s="22" t="n">
        <x:f>O3944*(1-N3944)</x:f>
        <x:v>7930</x:v>
      </x:c>
      <x:c r="Q3944" s="22" t="n">
        <x:v>540</x:v>
      </x:c>
      <x:c r="R3944" s="22" t="n">
        <x:f>Q3944*M3944</x:f>
        <x:v>7020</x:v>
      </x:c>
      <x:c r="S3944" s="22" t="n">
        <x:f>P3944-R3944</x:f>
        <x:v>910</x:v>
      </x:c>
      <x:c r="T3944" t="str">
        <x:v>Credit</x:v>
      </x:c>
      <x:c r="U3944" t="str">
        <x:v>Paid</x:v>
      </x:c>
      <x:c r="V3944" t="str">
        <x:v>Delivered</x:v>
      </x:c>
      <x:c r="W3944" t="n">
        <x:v>0</x:v>
      </x:c>
      <x:c r="X3944" t="str"/>
      <x:c r="Y3944" t="str">
        <x:v>Field Visit</x:v>
      </x:c>
    </x:row>
    <x:row r="3945">
      <x:c r="A3945" t="str">
        <x:v>O003944</x:v>
      </x:c>
      <x:c r="B3945" s="20" t="n">
        <x:v>46026</x:v>
      </x:c>
      <x:c r="C3945" t="str">
        <x:v>C0221</x:v>
      </x:c>
      <x:c r="D3945" t="str">
        <x:v>Cafe Canteen 221</x:v>
      </x:c>
      <x:c r="E3945" t="str">
        <x:v>Hotel</x:v>
      </x:c>
      <x:c r="F3945" t="str">
        <x:v>Hubballi</x:v>
      </x:c>
      <x:c r="G3945" t="str">
        <x:v>Kavya</x:v>
      </x:c>
      <x:c r="H3945" t="str">
        <x:v>P045</x:v>
      </x:c>
      <x:c r="I3945" t="str">
        <x:v>Onion 25kg</x:v>
      </x:c>
      <x:c r="J3945" t="str">
        <x:v>Fresh Produce</x:v>
      </x:c>
      <x:c r="K3945" t="str">
        <x:v>Local Market</x:v>
      </x:c>
      <x:c r="L3945" s="22" t="n">
        <x:v>875</x:v>
      </x:c>
      <x:c r="M3945" t="n">
        <x:v>23</x:v>
      </x:c>
      <x:c r="N3945" s="24" t="n">
        <x:v>0</x:v>
      </x:c>
      <x:c r="O3945" s="22" t="n">
        <x:f>L3945*M3945</x:f>
        <x:v>20125</x:v>
      </x:c>
      <x:c r="P3945" s="22" t="n">
        <x:f>O3945*(1-N3945)</x:f>
        <x:v>20125</x:v>
      </x:c>
      <x:c r="Q3945" s="22" t="n">
        <x:v>760</x:v>
      </x:c>
      <x:c r="R3945" s="22" t="n">
        <x:f>Q3945*M3945</x:f>
        <x:v>17480</x:v>
      </x:c>
      <x:c r="S3945" s="22" t="n">
        <x:f>P3945-R3945</x:f>
        <x:v>2645</x:v>
      </x:c>
      <x:c r="T3945" t="str">
        <x:v>UPI</x:v>
      </x:c>
      <x:c r="U3945" t="str">
        <x:v>Paid</x:v>
      </x:c>
      <x:c r="V3945" t="str">
        <x:v>Delivered</x:v>
      </x:c>
      <x:c r="W3945" t="n">
        <x:v>0</x:v>
      </x:c>
      <x:c r="X3945" t="str"/>
      <x:c r="Y3945" t="str">
        <x:v>Referral</x:v>
      </x:c>
    </x:row>
    <x:row r="3946">
      <x:c r="A3946" t="str">
        <x:v>O003945</x:v>
      </x:c>
      <x:c r="B3946" s="20" t="n">
        <x:v>45802</x:v>
      </x:c>
      <x:c r="C3946" t="str">
        <x:v>C0161</x:v>
      </x:c>
      <x:c r="D3946" t="str">
        <x:v>Hotel Kitchen 161</x:v>
      </x:c>
      <x:c r="E3946" t="str">
        <x:v>Supermarket</x:v>
      </x:c>
      <x:c r="F3946" t="str">
        <x:v>Mysuru</x:v>
      </x:c>
      <x:c r="G3946" t="str">
        <x:v>Sneha</x:v>
      </x:c>
      <x:c r="H3946" t="str">
        <x:v>P024</x:v>
      </x:c>
      <x:c r="I3946" t="str">
        <x:v>Orange Drink 1L</x:v>
      </x:c>
      <x:c r="J3946" t="str">
        <x:v>Beverage</x:v>
      </x:c>
      <x:c r="K3946" t="str">
        <x:v>Minute Maid</x:v>
      </x:c>
      <x:c r="L3946" s="22" t="n">
        <x:v>105</x:v>
      </x:c>
      <x:c r="M3946" t="n">
        <x:v>31</x:v>
      </x:c>
      <x:c r="N3946" s="24" t="n">
        <x:v>0.02</x:v>
      </x:c>
      <x:c r="O3946" s="22" t="n">
        <x:f>L3946*M3946</x:f>
        <x:v>3255</x:v>
      </x:c>
      <x:c r="P3946" s="22" t="n">
        <x:f>O3946*(1-N3946)</x:f>
        <x:v>3189.9</x:v>
      </x:c>
      <x:c r="Q3946" s="22" t="n">
        <x:v>88</x:v>
      </x:c>
      <x:c r="R3946" s="22" t="n">
        <x:f>Q3946*M3946</x:f>
        <x:v>2728</x:v>
      </x:c>
      <x:c r="S3946" s="22" t="n">
        <x:f>P3946-R3946</x:f>
        <x:v>461.9000000000001</x:v>
      </x:c>
      <x:c r="T3946" t="str">
        <x:v>Cash</x:v>
      </x:c>
      <x:c r="U3946" t="str">
        <x:v>Paid</x:v>
      </x:c>
      <x:c r="V3946" t="str">
        <x:v>Delayed</x:v>
      </x:c>
      <x:c r="W3946" t="n">
        <x:v>0</x:v>
      </x:c>
      <x:c r="X3946" t="str"/>
      <x:c r="Y3946" t="str">
        <x:v>Existing Customer</x:v>
      </x:c>
    </x:row>
    <x:row r="3947">
      <x:c r="A3947" t="str">
        <x:v>O003946</x:v>
      </x:c>
      <x:c r="B3947" s="20" t="n">
        <x:v>46196</x:v>
      </x:c>
      <x:c r="C3947" t="str">
        <x:v>C0131</x:v>
      </x:c>
      <x:c r="D3947" t="str">
        <x:v>Foodie Canteen 131</x:v>
      </x:c>
      <x:c r="E3947" t="str">
        <x:v>Canteen</x:v>
      </x:c>
      <x:c r="F3947" t="str">
        <x:v>Davanagere</x:v>
      </x:c>
      <x:c r="G3947" t="str">
        <x:v>Arjun</x:v>
      </x:c>
      <x:c r="H3947" t="str">
        <x:v>P018</x:v>
      </x:c>
      <x:c r="I3947" t="str">
        <x:v>Paneer 1kg</x:v>
      </x:c>
      <x:c r="J3947" t="str">
        <x:v>Dairy</x:v>
      </x:c>
      <x:c r="K3947" t="str">
        <x:v>Milky Mist</x:v>
      </x:c>
      <x:c r="L3947" s="22" t="n">
        <x:v>410</x:v>
      </x:c>
      <x:c r="M3947" t="n">
        <x:v>12</x:v>
      </x:c>
      <x:c r="N3947" s="24" t="n">
        <x:v>0.05</x:v>
      </x:c>
      <x:c r="O3947" s="22" t="n">
        <x:f>L3947*M3947</x:f>
        <x:v>4920</x:v>
      </x:c>
      <x:c r="P3947" s="22" t="n">
        <x:f>O3947*(1-N3947)</x:f>
        <x:v>4674</x:v>
      </x:c>
      <x:c r="Q3947" s="22" t="n">
        <x:v>370</x:v>
      </x:c>
      <x:c r="R3947" s="22" t="n">
        <x:f>Q3947*M3947</x:f>
        <x:v>4440</x:v>
      </x:c>
      <x:c r="S3947" s="22" t="n">
        <x:f>P3947-R3947</x:f>
        <x:v>234</x:v>
      </x:c>
      <x:c r="T3947" t="str">
        <x:v>Credit</x:v>
      </x:c>
      <x:c r="U3947" t="str">
        <x:v>Paid</x:v>
      </x:c>
      <x:c r="V3947" t="str">
        <x:v>Delivered</x:v>
      </x:c>
      <x:c r="W3947" t="n">
        <x:v>0</x:v>
      </x:c>
      <x:c r="X3947" t="str"/>
      <x:c r="Y3947" t="str">
        <x:v>Referral</x:v>
      </x:c>
    </x:row>
    <x:row r="3948">
      <x:c r="A3948" t="str">
        <x:v>O003947</x:v>
      </x:c>
      <x:c r="B3948" s="20" t="n">
        <x:v>45846</x:v>
      </x:c>
      <x:c r="C3948" t="str">
        <x:v>C0009</x:v>
      </x:c>
      <x:c r="D3948" t="str">
        <x:v>Darshini Hotel 9</x:v>
      </x:c>
      <x:c r="E3948" t="str">
        <x:v>Cafe</x:v>
      </x:c>
      <x:c r="F3948" t="str">
        <x:v>Hubballi</x:v>
      </x:c>
      <x:c r="G3948" t="str">
        <x:v>Imran</x:v>
      </x:c>
      <x:c r="H3948" t="str">
        <x:v>P045</x:v>
      </x:c>
      <x:c r="I3948" t="str">
        <x:v>Onion 25kg</x:v>
      </x:c>
      <x:c r="J3948" t="str">
        <x:v>Fresh Produce</x:v>
      </x:c>
      <x:c r="K3948" t="str">
        <x:v>Local Market</x:v>
      </x:c>
      <x:c r="L3948" s="22" t="n">
        <x:v>875</x:v>
      </x:c>
      <x:c r="M3948" t="n">
        <x:v>40</x:v>
      </x:c>
      <x:c r="N3948" s="24" t="n">
        <x:v>0</x:v>
      </x:c>
      <x:c r="O3948" s="22" t="n">
        <x:f>L3948*M3948</x:f>
        <x:v>35000</x:v>
      </x:c>
      <x:c r="P3948" s="22" t="n">
        <x:f>O3948*(1-N3948)</x:f>
        <x:v>35000</x:v>
      </x:c>
      <x:c r="Q3948" s="22" t="n">
        <x:v>760</x:v>
      </x:c>
      <x:c r="R3948" s="22" t="n">
        <x:f>Q3948*M3948</x:f>
        <x:v>30400</x:v>
      </x:c>
      <x:c r="S3948" s="22" t="n">
        <x:f>P3948-R3948</x:f>
        <x:v>4600</x:v>
      </x:c>
      <x:c r="T3948" t="str">
        <x:v>UPI</x:v>
      </x:c>
      <x:c r="U3948" t="str">
        <x:v>Pending</x:v>
      </x:c>
      <x:c r="V3948" t="str">
        <x:v>Delivered</x:v>
      </x:c>
      <x:c r="W3948" t="n">
        <x:v>0</x:v>
      </x:c>
      <x:c r="X3948" t="str"/>
      <x:c r="Y3948" t="str">
        <x:v>WhatsApp</x:v>
      </x:c>
    </x:row>
    <x:row r="3949">
      <x:c r="A3949" t="str">
        <x:v>O003948</x:v>
      </x:c>
      <x:c r="B3949" s="20" t="n">
        <x:v>45816</x:v>
      </x:c>
      <x:c r="C3949" t="str">
        <x:v>C0064</x:v>
      </x:c>
      <x:c r="D3949" t="str">
        <x:v>Hotel Restaurant 64</x:v>
      </x:c>
      <x:c r="E3949" t="str">
        <x:v>Cafe</x:v>
      </x:c>
      <x:c r="F3949" t="str">
        <x:v>Mangaluru</x:v>
      </x:c>
      <x:c r="G3949" t="str">
        <x:v>Imran</x:v>
      </x:c>
      <x:c r="H3949" t="str">
        <x:v>P016</x:v>
      </x:c>
      <x:c r="I3949" t="str">
        <x:v>Curd 1kg</x:v>
      </x:c>
      <x:c r="J3949" t="str">
        <x:v>Dairy</x:v>
      </x:c>
      <x:c r="K3949" t="str">
        <x:v>Nandini</x:v>
      </x:c>
      <x:c r="L3949" s="22" t="n">
        <x:v>72</x:v>
      </x:c>
      <x:c r="M3949" t="n">
        <x:v>27</x:v>
      </x:c>
      <x:c r="N3949" s="24" t="n">
        <x:v>0</x:v>
      </x:c>
      <x:c r="O3949" s="22" t="n">
        <x:f>L3949*M3949</x:f>
        <x:v>1944</x:v>
      </x:c>
      <x:c r="P3949" s="22" t="n">
        <x:f>O3949*(1-N3949)</x:f>
        <x:v>1944</x:v>
      </x:c>
      <x:c r="Q3949" s="22" t="n">
        <x:v>64</x:v>
      </x:c>
      <x:c r="R3949" s="22" t="n">
        <x:f>Q3949*M3949</x:f>
        <x:v>1728</x:v>
      </x:c>
      <x:c r="S3949" s="22" t="n">
        <x:f>P3949-R3949</x:f>
        <x:v>216</x:v>
      </x:c>
      <x:c r="T3949" t="str">
        <x:v>Credit</x:v>
      </x:c>
      <x:c r="U3949" t="str">
        <x:v>Pending</x:v>
      </x:c>
      <x:c r="V3949" t="str">
        <x:v>Delivered</x:v>
      </x:c>
      <x:c r="W3949" t="n">
        <x:v>0</x:v>
      </x:c>
      <x:c r="X3949" t="str"/>
      <x:c r="Y3949" t="str">
        <x:v>WhatsApp</x:v>
      </x:c>
    </x:row>
    <x:row r="3950">
      <x:c r="A3950" t="str">
        <x:v>O003949</x:v>
      </x:c>
      <x:c r="B3950" s="20" t="n">
        <x:v>46178</x:v>
      </x:c>
      <x:c r="C3950" t="str">
        <x:v>C0086</x:v>
      </x:c>
      <x:c r="D3950" t="str">
        <x:v>Foodie Canteen 86</x:v>
      </x:c>
      <x:c r="E3950" t="str">
        <x:v>Kirana</x:v>
      </x:c>
      <x:c r="F3950" t="str">
        <x:v>Hubballi</x:v>
      </x:c>
      <x:c r="G3950" t="str">
        <x:v>Sneha</x:v>
      </x:c>
      <x:c r="H3950" t="str">
        <x:v>P033</x:v>
      </x:c>
      <x:c r="I3950" t="str">
        <x:v>Turmeric Powder 1kg</x:v>
      </x:c>
      <x:c r="J3950" t="str">
        <x:v>Spices</x:v>
      </x:c>
      <x:c r="K3950" t="str">
        <x:v>Everest</x:v>
      </x:c>
      <x:c r="L3950" s="22" t="n">
        <x:v>310</x:v>
      </x:c>
      <x:c r="M3950" t="n">
        <x:v>8</x:v>
      </x:c>
      <x:c r="N3950" s="24" t="n">
        <x:v>0.03</x:v>
      </x:c>
      <x:c r="O3950" s="22" t="n">
        <x:f>L3950*M3950</x:f>
        <x:v>2480</x:v>
      </x:c>
      <x:c r="P3950" s="22" t="n">
        <x:f>O3950*(1-N3950)</x:f>
        <x:v>2405.6</x:v>
      </x:c>
      <x:c r="Q3950" s="22" t="n">
        <x:v>270</x:v>
      </x:c>
      <x:c r="R3950" s="22" t="n">
        <x:f>Q3950*M3950</x:f>
        <x:v>2160</x:v>
      </x:c>
      <x:c r="S3950" s="22" t="n">
        <x:f>P3950-R3950</x:f>
        <x:v>245.5999999999999</x:v>
      </x:c>
      <x:c r="T3950" t="str">
        <x:v>Cash</x:v>
      </x:c>
      <x:c r="U3950" t="str">
        <x:v>Pending</x:v>
      </x:c>
      <x:c r="V3950" t="str">
        <x:v>Delayed</x:v>
      </x:c>
      <x:c r="W3950" t="n">
        <x:v>0</x:v>
      </x:c>
      <x:c r="X3950" t="str"/>
      <x:c r="Y3950" t="str">
        <x:v>WhatsApp</x:v>
      </x:c>
    </x:row>
    <x:row r="3951">
      <x:c r="A3951" t="str">
        <x:v>O003950</x:v>
      </x:c>
      <x:c r="B3951" s="20" t="n">
        <x:v>45959</x:v>
      </x:c>
      <x:c r="C3951" t="str">
        <x:v>C0118</x:v>
      </x:c>
      <x:c r="D3951" t="str">
        <x:v>Sagar Kitchen 118</x:v>
      </x:c>
      <x:c r="E3951" t="str">
        <x:v>Restaurant</x:v>
      </x:c>
      <x:c r="F3951" t="str">
        <x:v>Hubballi</x:v>
      </x:c>
      <x:c r="G3951" t="str">
        <x:v>Megha</x:v>
      </x:c>
      <x:c r="H3951" t="str">
        <x:v>P049</x:v>
      </x:c>
      <x:c r="I3951" t="str">
        <x:v>Apple 10kg</x:v>
      </x:c>
      <x:c r="J3951" t="str">
        <x:v>Fresh Produce</x:v>
      </x:c>
      <x:c r="K3951" t="str">
        <x:v>Local Market</x:v>
      </x:c>
      <x:c r="L3951" s="22" t="n">
        <x:v>1450</x:v>
      </x:c>
      <x:c r="M3951" t="n">
        <x:v>11</x:v>
      </x:c>
      <x:c r="N3951" s="24" t="n">
        <x:v>0</x:v>
      </x:c>
      <x:c r="O3951" s="22" t="n">
        <x:f>L3951*M3951</x:f>
        <x:v>15950</x:v>
      </x:c>
      <x:c r="P3951" s="22" t="n">
        <x:f>O3951*(1-N3951)</x:f>
        <x:v>15950</x:v>
      </x:c>
      <x:c r="Q3951" s="22" t="n">
        <x:v>1280</x:v>
      </x:c>
      <x:c r="R3951" s="22" t="n">
        <x:f>Q3951*M3951</x:f>
        <x:v>14080</x:v>
      </x:c>
      <x:c r="S3951" s="22" t="n">
        <x:f>P3951-R3951</x:f>
        <x:v>1870</x:v>
      </x:c>
      <x:c r="T3951" t="str">
        <x:v>Cash</x:v>
      </x:c>
      <x:c r="U3951" t="str">
        <x:v>Paid</x:v>
      </x:c>
      <x:c r="V3951" t="str">
        <x:v>Delayed</x:v>
      </x:c>
      <x:c r="W3951" t="n">
        <x:v>0</x:v>
      </x:c>
      <x:c r="X3951" t="str"/>
      <x:c r="Y3951" t="str">
        <x:v>Referral</x:v>
      </x:c>
    </x:row>
    <x:row r="3952">
      <x:c r="A3952" t="str">
        <x:v>O003951</x:v>
      </x:c>
      <x:c r="B3952" s="20" t="n">
        <x:v>46158</x:v>
      </x:c>
      <x:c r="C3952" t="str">
        <x:v>C0052</x:v>
      </x:c>
      <x:c r="D3952" t="str">
        <x:v>Sagar Canteen 52</x:v>
      </x:c>
      <x:c r="E3952" t="str">
        <x:v>Kirana</x:v>
      </x:c>
      <x:c r="F3952" t="str">
        <x:v>Mysuru</x:v>
      </x:c>
      <x:c r="G3952" t="str">
        <x:v>Kavya</x:v>
      </x:c>
      <x:c r="H3952" t="str">
        <x:v>P027</x:v>
      </x:c>
      <x:c r="I3952" t="str">
        <x:v>Biscuits 120g</x:v>
      </x:c>
      <x:c r="J3952" t="str">
        <x:v>Snacks</x:v>
      </x:c>
      <x:c r="K3952" t="str">
        <x:v>Parle-G</x:v>
      </x:c>
      <x:c r="L3952" s="22" t="n">
        <x:v>12</x:v>
      </x:c>
      <x:c r="M3952" t="n">
        <x:v>23</x:v>
      </x:c>
      <x:c r="N3952" s="24" t="n">
        <x:v>0.05</x:v>
      </x:c>
      <x:c r="O3952" s="22" t="n">
        <x:f>L3952*M3952</x:f>
        <x:v>276</x:v>
      </x:c>
      <x:c r="P3952" s="22" t="n">
        <x:f>O3952*(1-N3952)</x:f>
        <x:v>262.2</x:v>
      </x:c>
      <x:c r="Q3952" s="22" t="n">
        <x:v>9</x:v>
      </x:c>
      <x:c r="R3952" s="22" t="n">
        <x:f>Q3952*M3952</x:f>
        <x:v>207</x:v>
      </x:c>
      <x:c r="S3952" s="22" t="n">
        <x:f>P3952-R3952</x:f>
        <x:v>55.19999999999999</x:v>
      </x:c>
      <x:c r="T3952" t="str">
        <x:v>Credit</x:v>
      </x:c>
      <x:c r="U3952" t="str">
        <x:v>Paid</x:v>
      </x:c>
      <x:c r="V3952" t="str">
        <x:v>Cancelled</x:v>
      </x:c>
      <x:c r="W3952" t="n">
        <x:v>23</x:v>
      </x:c>
      <x:c r="X3952" t="str">
        <x:v>Cancelled Order</x:v>
      </x:c>
      <x:c r="Y3952" t="str">
        <x:v>WhatsApp</x:v>
      </x:c>
    </x:row>
    <x:row r="3953">
      <x:c r="A3953" t="str">
        <x:v>O003952</x:v>
      </x:c>
      <x:c r="B3953" s="20" t="n">
        <x:v>46276</x:v>
      </x:c>
      <x:c r="C3953" t="str">
        <x:v>C0067</x:v>
      </x:c>
      <x:c r="D3953" t="str">
        <x:v>Royal Restaurant 67</x:v>
      </x:c>
      <x:c r="E3953" t="str">
        <x:v>Supermarket</x:v>
      </x:c>
      <x:c r="F3953" t="str">
        <x:v>Tumakuru</x:v>
      </x:c>
      <x:c r="G3953" t="str">
        <x:v>Sneha</x:v>
      </x:c>
      <x:c r="H3953" t="str">
        <x:v>P046</x:v>
      </x:c>
      <x:c r="I3953" t="str">
        <x:v>Potato 25kg</x:v>
      </x:c>
      <x:c r="J3953" t="str">
        <x:v>Fresh Produce</x:v>
      </x:c>
      <x:c r="K3953" t="str">
        <x:v>Local Market</x:v>
      </x:c>
      <x:c r="L3953" s="22" t="n">
        <x:v>700</x:v>
      </x:c>
      <x:c r="M3953" t="n">
        <x:v>1</x:v>
      </x:c>
      <x:c r="N3953" s="24" t="n">
        <x:v>0.08</x:v>
      </x:c>
      <x:c r="O3953" s="22" t="n">
        <x:f>L3953*M3953</x:f>
        <x:v>700</x:v>
      </x:c>
      <x:c r="P3953" s="22" t="n">
        <x:f>O3953*(1-N3953)</x:f>
        <x:v>644</x:v>
      </x:c>
      <x:c r="Q3953" s="22" t="n">
        <x:v>610</x:v>
      </x:c>
      <x:c r="R3953" s="22" t="n">
        <x:f>Q3953*M3953</x:f>
        <x:v>610</x:v>
      </x:c>
      <x:c r="S3953" s="22" t="n">
        <x:f>P3953-R3953</x:f>
        <x:v>34</x:v>
      </x:c>
      <x:c r="T3953" t="str">
        <x:v>Cash</x:v>
      </x:c>
      <x:c r="U3953" t="str">
        <x:v>Paid</x:v>
      </x:c>
      <x:c r="V3953" t="str">
        <x:v>Cancelled</x:v>
      </x:c>
      <x:c r="W3953" t="n">
        <x:v>1</x:v>
      </x:c>
      <x:c r="X3953" t="str">
        <x:v>Cancelled Order</x:v>
      </x:c>
      <x:c r="Y3953" t="str">
        <x:v>WhatsApp</x:v>
      </x:c>
    </x:row>
    <x:row r="3954">
      <x:c r="A3954" t="str">
        <x:v>O003953</x:v>
      </x:c>
      <x:c r="B3954" s="20" t="n">
        <x:v>45872</x:v>
      </x:c>
      <x:c r="C3954" t="str">
        <x:v>C0166</x:v>
      </x:c>
      <x:c r="D3954" t="str">
        <x:v>Mysore Foods 166</x:v>
      </x:c>
      <x:c r="E3954" t="str">
        <x:v>Cafe</x:v>
      </x:c>
      <x:c r="F3954" t="str">
        <x:v>Mangaluru</x:v>
      </x:c>
      <x:c r="G3954" t="str">
        <x:v>Arjun</x:v>
      </x:c>
      <x:c r="H3954" t="str">
        <x:v>P033</x:v>
      </x:c>
      <x:c r="I3954" t="str">
        <x:v>Turmeric Powder 1kg</x:v>
      </x:c>
      <x:c r="J3954" t="str">
        <x:v>Spices</x:v>
      </x:c>
      <x:c r="K3954" t="str">
        <x:v>Everest</x:v>
      </x:c>
      <x:c r="L3954" s="22" t="n">
        <x:v>310</x:v>
      </x:c>
      <x:c r="M3954" t="n">
        <x:v>12</x:v>
      </x:c>
      <x:c r="N3954" s="24" t="n">
        <x:v>0</x:v>
      </x:c>
      <x:c r="O3954" s="22" t="n">
        <x:f>L3954*M3954</x:f>
        <x:v>3720</x:v>
      </x:c>
      <x:c r="P3954" s="22" t="n">
        <x:f>O3954*(1-N3954)</x:f>
        <x:v>3720</x:v>
      </x:c>
      <x:c r="Q3954" s="22" t="n">
        <x:v>270</x:v>
      </x:c>
      <x:c r="R3954" s="22" t="n">
        <x:f>Q3954*M3954</x:f>
        <x:v>3240</x:v>
      </x:c>
      <x:c r="S3954" s="22" t="n">
        <x:f>P3954-R3954</x:f>
        <x:v>480</x:v>
      </x:c>
      <x:c r="T3954" t="str">
        <x:v>UPI</x:v>
      </x:c>
      <x:c r="U3954" t="str">
        <x:v>Paid</x:v>
      </x:c>
      <x:c r="V3954" t="str">
        <x:v>Cancelled</x:v>
      </x:c>
      <x:c r="W3954" t="n">
        <x:v>12</x:v>
      </x:c>
      <x:c r="X3954" t="str">
        <x:v>Cancelled Order</x:v>
      </x:c>
      <x:c r="Y3954" t="str">
        <x:v>Referral</x:v>
      </x:c>
    </x:row>
    <x:row r="3955">
      <x:c r="A3955" t="str">
        <x:v>O003954</x:v>
      </x:c>
      <x:c r="B3955" s="20" t="n">
        <x:v>46269</x:v>
      </x:c>
      <x:c r="C3955" t="str">
        <x:v>C0124</x:v>
      </x:c>
      <x:c r="D3955" t="str">
        <x:v>Green Hotel 124</x:v>
      </x:c>
      <x:c r="E3955" t="str">
        <x:v>Cafe</x:v>
      </x:c>
      <x:c r="F3955" t="str">
        <x:v>Bengaluru</x:v>
      </x:c>
      <x:c r="G3955" t="str">
        <x:v>Imran</x:v>
      </x:c>
      <x:c r="H3955" t="str">
        <x:v>P029</x:v>
      </x:c>
      <x:c r="I3955" t="str">
        <x:v>Tomato Ketchup 1kg</x:v>
      </x:c>
      <x:c r="J3955" t="str">
        <x:v>Condiments</x:v>
      </x:c>
      <x:c r="K3955" t="str">
        <x:v>Kissan</x:v>
      </x:c>
      <x:c r="L3955" s="22" t="n">
        <x:v>145</x:v>
      </x:c>
      <x:c r="M3955" t="n">
        <x:v>1</x:v>
      </x:c>
      <x:c r="N3955" s="24" t="n">
        <x:v>0.02</x:v>
      </x:c>
      <x:c r="O3955" s="22" t="n">
        <x:f>L3955*M3955</x:f>
        <x:v>145</x:v>
      </x:c>
      <x:c r="P3955" s="22" t="n">
        <x:f>O3955*(1-N3955)</x:f>
        <x:v>142.1</x:v>
      </x:c>
      <x:c r="Q3955" s="22" t="n">
        <x:v>126</x:v>
      </x:c>
      <x:c r="R3955" s="22" t="n">
        <x:f>Q3955*M3955</x:f>
        <x:v>126</x:v>
      </x:c>
      <x:c r="S3955" s="22" t="n">
        <x:f>P3955-R3955</x:f>
        <x:v>16.099999999999994</x:v>
      </x:c>
      <x:c r="T3955" t="str">
        <x:v>Cash</x:v>
      </x:c>
      <x:c r="U3955" t="str">
        <x:v>Paid</x:v>
      </x:c>
      <x:c r="V3955" t="str">
        <x:v>Delivered</x:v>
      </x:c>
      <x:c r="W3955" t="n">
        <x:v>0</x:v>
      </x:c>
      <x:c r="X3955" t="str"/>
      <x:c r="Y3955" t="str">
        <x:v>Existing Customer</x:v>
      </x:c>
    </x:row>
    <x:row r="3956">
      <x:c r="A3956" t="str">
        <x:v>O003955</x:v>
      </x:c>
      <x:c r="B3956" s="20" t="n">
        <x:v>45984</x:v>
      </x:c>
      <x:c r="C3956" t="str">
        <x:v>C0052</x:v>
      </x:c>
      <x:c r="D3956" t="str">
        <x:v>Sagar Canteen 52</x:v>
      </x:c>
      <x:c r="E3956" t="str">
        <x:v>Kirana</x:v>
      </x:c>
      <x:c r="F3956" t="str">
        <x:v>Mysuru</x:v>
      </x:c>
      <x:c r="G3956" t="str">
        <x:v>Kavya</x:v>
      </x:c>
      <x:c r="H3956" t="str">
        <x:v>P007</x:v>
      </x:c>
      <x:c r="I3956" t="str">
        <x:v>Sunflower Oil 15L</x:v>
      </x:c>
      <x:c r="J3956" t="str">
        <x:v>Edible Oil</x:v>
      </x:c>
      <x:c r="K3956" t="str">
        <x:v>Fortune</x:v>
      </x:c>
      <x:c r="L3956" s="22" t="n">
        <x:v>1980</x:v>
      </x:c>
      <x:c r="M3956" t="n">
        <x:v>9</x:v>
      </x:c>
      <x:c r="N3956" s="24" t="n">
        <x:v>0</x:v>
      </x:c>
      <x:c r="O3956" s="22" t="n">
        <x:f>L3956*M3956</x:f>
        <x:v>17820</x:v>
      </x:c>
      <x:c r="P3956" s="22" t="n">
        <x:f>O3956*(1-N3956)</x:f>
        <x:v>17820</x:v>
      </x:c>
      <x:c r="Q3956" s="22" t="n">
        <x:v>1810</x:v>
      </x:c>
      <x:c r="R3956" s="22" t="n">
        <x:f>Q3956*M3956</x:f>
        <x:v>16290</x:v>
      </x:c>
      <x:c r="S3956" s="22" t="n">
        <x:f>P3956-R3956</x:f>
        <x:v>1530</x:v>
      </x:c>
      <x:c r="T3956" t="str">
        <x:v>Credit</x:v>
      </x:c>
      <x:c r="U3956" t="str">
        <x:v>Paid</x:v>
      </x:c>
      <x:c r="V3956" t="str">
        <x:v>Delayed</x:v>
      </x:c>
      <x:c r="W3956" t="n">
        <x:v>0</x:v>
      </x:c>
      <x:c r="X3956" t="str"/>
      <x:c r="Y3956" t="str">
        <x:v>Outbound Call</x:v>
      </x:c>
    </x:row>
    <x:row r="3957">
      <x:c r="A3957" t="str">
        <x:v>O003956</x:v>
      </x:c>
      <x:c r="B3957" s="20" t="n">
        <x:v>46208</x:v>
      </x:c>
      <x:c r="C3957" t="str">
        <x:v>C0109</x:v>
      </x:c>
      <x:c r="D3957" t="str">
        <x:v>Annapurna Kitchen 109</x:v>
      </x:c>
      <x:c r="E3957" t="str">
        <x:v>Kirana</x:v>
      </x:c>
      <x:c r="F3957" t="str">
        <x:v>Mysuru</x:v>
      </x:c>
      <x:c r="G3957" t="str">
        <x:v>Kavya</x:v>
      </x:c>
      <x:c r="H3957" t="str">
        <x:v>P009</x:v>
      </x:c>
      <x:c r="I3957" t="str">
        <x:v>Groundnut Oil 5L</x:v>
      </x:c>
      <x:c r="J3957" t="str">
        <x:v>Edible Oil</x:v>
      </x:c>
      <x:c r="K3957" t="str">
        <x:v>Dhara</x:v>
      </x:c>
      <x:c r="L3957" s="22" t="n">
        <x:v>890</x:v>
      </x:c>
      <x:c r="M3957" t="n">
        <x:v>4</x:v>
      </x:c>
      <x:c r="N3957" s="24" t="n">
        <x:v>0.08</x:v>
      </x:c>
      <x:c r="O3957" s="22" t="n">
        <x:f>L3957*M3957</x:f>
        <x:v>3560</x:v>
      </x:c>
      <x:c r="P3957" s="22" t="n">
        <x:f>O3957*(1-N3957)</x:f>
        <x:v>3275.2000000000003</x:v>
      </x:c>
      <x:c r="Q3957" s="22" t="n">
        <x:v>810</x:v>
      </x:c>
      <x:c r="R3957" s="22" t="n">
        <x:f>Q3957*M3957</x:f>
        <x:v>3240</x:v>
      </x:c>
      <x:c r="S3957" s="22" t="n">
        <x:f>P3957-R3957</x:f>
        <x:v>35.20000000000027</x:v>
      </x:c>
      <x:c r="T3957" t="str">
        <x:v>Bank Transfer</x:v>
      </x:c>
      <x:c r="U3957" t="str">
        <x:v>Paid</x:v>
      </x:c>
      <x:c r="V3957" t="str">
        <x:v>Cancelled</x:v>
      </x:c>
      <x:c r="W3957" t="n">
        <x:v>4</x:v>
      </x:c>
      <x:c r="X3957" t="str">
        <x:v>Cancelled Order</x:v>
      </x:c>
      <x:c r="Y3957" t="str">
        <x:v>Existing Customer</x:v>
      </x:c>
    </x:row>
    <x:row r="3958">
      <x:c r="A3958" t="str">
        <x:v>O003957</x:v>
      </x:c>
      <x:c r="B3958" s="20" t="n">
        <x:v>45731</x:v>
      </x:c>
      <x:c r="C3958" t="str">
        <x:v>C0094</x:v>
      </x:c>
      <x:c r="D3958" t="str">
        <x:v>Mysore Mart 94</x:v>
      </x:c>
      <x:c r="E3958" t="str">
        <x:v>Restaurant</x:v>
      </x:c>
      <x:c r="F3958" t="str">
        <x:v>Hubballi</x:v>
      </x:c>
      <x:c r="G3958" t="str">
        <x:v>Sneha</x:v>
      </x:c>
      <x:c r="H3958" t="str">
        <x:v>P013</x:v>
      </x:c>
      <x:c r="I3958" t="str">
        <x:v>Atta 10kg</x:v>
      </x:c>
      <x:c r="J3958" t="str">
        <x:v>Flour</x:v>
      </x:c>
      <x:c r="K3958" t="str">
        <x:v>Aashirvaad</x:v>
      </x:c>
      <x:c r="L3958" s="22" t="n">
        <x:v>560</x:v>
      </x:c>
      <x:c r="M3958" t="n">
        <x:v>8</x:v>
      </x:c>
      <x:c r="N3958" s="24" t="n">
        <x:v>0.02</x:v>
      </x:c>
      <x:c r="O3958" s="22" t="n">
        <x:f>L3958*M3958</x:f>
        <x:v>4480</x:v>
      </x:c>
      <x:c r="P3958" s="22" t="n">
        <x:f>O3958*(1-N3958)</x:f>
        <x:v>4390.4</x:v>
      </x:c>
      <x:c r="Q3958" s="22" t="n">
        <x:v>495</x:v>
      </x:c>
      <x:c r="R3958" s="22" t="n">
        <x:f>Q3958*M3958</x:f>
        <x:v>3960</x:v>
      </x:c>
      <x:c r="S3958" s="22" t="n">
        <x:f>P3958-R3958</x:f>
        <x:v>430.39999999999964</x:v>
      </x:c>
      <x:c r="T3958" t="str">
        <x:v>Bank Transfer</x:v>
      </x:c>
      <x:c r="U3958" t="str">
        <x:v>Paid</x:v>
      </x:c>
      <x:c r="V3958" t="str">
        <x:v>Delayed</x:v>
      </x:c>
      <x:c r="W3958" t="n">
        <x:v>0</x:v>
      </x:c>
      <x:c r="X3958" t="str"/>
      <x:c r="Y3958" t="str">
        <x:v>Outbound Call</x:v>
      </x:c>
    </x:row>
    <x:row r="3959">
      <x:c r="A3959" t="str">
        <x:v>O003958</x:v>
      </x:c>
      <x:c r="B3959" s="20" t="n">
        <x:v>45746</x:v>
      </x:c>
      <x:c r="C3959" t="str">
        <x:v>C0063</x:v>
      </x:c>
      <x:c r="D3959" t="str">
        <x:v>Namma Mart 63</x:v>
      </x:c>
      <x:c r="E3959" t="str">
        <x:v>Supermarket</x:v>
      </x:c>
      <x:c r="F3959" t="str">
        <x:v>Tumakuru</x:v>
      </x:c>
      <x:c r="G3959" t="str">
        <x:v>Priya</x:v>
      </x:c>
      <x:c r="H3959" t="str">
        <x:v>P017</x:v>
      </x:c>
      <x:c r="I3959" t="str">
        <x:v>Butter 500g</x:v>
      </x:c>
      <x:c r="J3959" t="str">
        <x:v>Dairy</x:v>
      </x:c>
      <x:c r="K3959" t="str">
        <x:v>Amul</x:v>
      </x:c>
      <x:c r="L3959" s="22" t="n">
        <x:v>285</x:v>
      </x:c>
      <x:c r="M3959" t="n">
        <x:v>21</x:v>
      </x:c>
      <x:c r="N3959" s="24" t="n">
        <x:v>0.03</x:v>
      </x:c>
      <x:c r="O3959" s="22" t="n">
        <x:f>L3959*M3959</x:f>
        <x:v>5985</x:v>
      </x:c>
      <x:c r="P3959" s="22" t="n">
        <x:f>O3959*(1-N3959)</x:f>
        <x:v>5805.45</x:v>
      </x:c>
      <x:c r="Q3959" s="22" t="n">
        <x:v>258</x:v>
      </x:c>
      <x:c r="R3959" s="22" t="n">
        <x:f>Q3959*M3959</x:f>
        <x:v>5418</x:v>
      </x:c>
      <x:c r="S3959" s="22" t="n">
        <x:f>P3959-R3959</x:f>
        <x:v>387.4499999999998</x:v>
      </x:c>
      <x:c r="T3959" t="str">
        <x:v>UPI</x:v>
      </x:c>
      <x:c r="U3959" t="str">
        <x:v>Paid</x:v>
      </x:c>
      <x:c r="V3959" t="str">
        <x:v>Delivered</x:v>
      </x:c>
      <x:c r="W3959" t="n">
        <x:v>0</x:v>
      </x:c>
      <x:c r="X3959" t="str"/>
      <x:c r="Y3959" t="str">
        <x:v>Outbound Call</x:v>
      </x:c>
    </x:row>
    <x:row r="3960">
      <x:c r="A3960" t="str">
        <x:v>O003959</x:v>
      </x:c>
      <x:c r="B3960" s="20" t="n">
        <x:v>45899</x:v>
      </x:c>
      <x:c r="C3960" t="str">
        <x:v>C0217</x:v>
      </x:c>
      <x:c r="D3960" t="str">
        <x:v>Darshini Cafe 217</x:v>
      </x:c>
      <x:c r="E3960" t="str">
        <x:v>Restaurant</x:v>
      </x:c>
      <x:c r="F3960" t="str">
        <x:v>Bengaluru</x:v>
      </x:c>
      <x:c r="G3960" t="str">
        <x:v>Priya</x:v>
      </x:c>
      <x:c r="H3960" t="str">
        <x:v>P012</x:v>
      </x:c>
      <x:c r="I3960" t="str">
        <x:v>Maida 10kg</x:v>
      </x:c>
      <x:c r="J3960" t="str">
        <x:v>Flour</x:v>
      </x:c>
      <x:c r="K3960" t="str">
        <x:v>Aashirvaad</x:v>
      </x:c>
      <x:c r="L3960" s="22" t="n">
        <x:v>520</x:v>
      </x:c>
      <x:c r="M3960" t="n">
        <x:v>25</x:v>
      </x:c>
      <x:c r="N3960" s="24" t="n">
        <x:v>0.02</x:v>
      </x:c>
      <x:c r="O3960" s="22" t="n">
        <x:f>L3960*M3960</x:f>
        <x:v>13000</x:v>
      </x:c>
      <x:c r="P3960" s="22" t="n">
        <x:f>O3960*(1-N3960)</x:f>
        <x:v>12740</x:v>
      </x:c>
      <x:c r="Q3960" s="22" t="n">
        <x:v>460</x:v>
      </x:c>
      <x:c r="R3960" s="22" t="n">
        <x:f>Q3960*M3960</x:f>
        <x:v>11500</x:v>
      </x:c>
      <x:c r="S3960" s="22" t="n">
        <x:f>P3960-R3960</x:f>
        <x:v>1240</x:v>
      </x:c>
      <x:c r="T3960" t="str">
        <x:v>Cash</x:v>
      </x:c>
      <x:c r="U3960" t="str">
        <x:v>Paid</x:v>
      </x:c>
      <x:c r="V3960" t="str">
        <x:v>Delivered</x:v>
      </x:c>
      <x:c r="W3960" t="n">
        <x:v>0</x:v>
      </x:c>
      <x:c r="X3960" t="str"/>
      <x:c r="Y3960" t="str">
        <x:v>Referral</x:v>
      </x:c>
    </x:row>
    <x:row r="3961">
      <x:c r="A3961" t="str">
        <x:v>O003960</x:v>
      </x:c>
      <x:c r="B3961" s="20" t="n">
        <x:v>46223</x:v>
      </x:c>
      <x:c r="C3961" t="str">
        <x:v>C0080</x:v>
      </x:c>
      <x:c r="D3961" t="str">
        <x:v>Annapurna Canteen 80</x:v>
      </x:c>
      <x:c r="E3961" t="str">
        <x:v>Restaurant</x:v>
      </x:c>
      <x:c r="F3961" t="str">
        <x:v>Mangaluru</x:v>
      </x:c>
      <x:c r="G3961" t="str">
        <x:v>Priya</x:v>
      </x:c>
      <x:c r="H3961" t="str">
        <x:v>P032</x:v>
      </x:c>
      <x:c r="I3961" t="str">
        <x:v>Soy Sauce 700g</x:v>
      </x:c>
      <x:c r="J3961" t="str">
        <x:v>Condiments</x:v>
      </x:c>
      <x:c r="K3961" t="str">
        <x:v>Ching's</x:v>
      </x:c>
      <x:c r="L3961" s="22" t="n">
        <x:v>118</x:v>
      </x:c>
      <x:c r="M3961" t="n">
        <x:v>39</x:v>
      </x:c>
      <x:c r="N3961" s="24" t="n">
        <x:v>0</x:v>
      </x:c>
      <x:c r="O3961" s="22" t="n">
        <x:f>L3961*M3961</x:f>
        <x:v>4602</x:v>
      </x:c>
      <x:c r="P3961" s="22" t="n">
        <x:f>O3961*(1-N3961)</x:f>
        <x:v>4602</x:v>
      </x:c>
      <x:c r="Q3961" s="22" t="n">
        <x:v>101</x:v>
      </x:c>
      <x:c r="R3961" s="22" t="n">
        <x:f>Q3961*M3961</x:f>
        <x:v>3939</x:v>
      </x:c>
      <x:c r="S3961" s="22" t="n">
        <x:f>P3961-R3961</x:f>
        <x:v>663</x:v>
      </x:c>
      <x:c r="T3961" t="str">
        <x:v>Cash</x:v>
      </x:c>
      <x:c r="U3961" t="str">
        <x:v>Paid</x:v>
      </x:c>
      <x:c r="V3961" t="str">
        <x:v>Delayed</x:v>
      </x:c>
      <x:c r="W3961" t="n">
        <x:v>0</x:v>
      </x:c>
      <x:c r="X3961" t="str"/>
      <x:c r="Y3961" t="str">
        <x:v>Referral</x:v>
      </x:c>
    </x:row>
    <x:row r="3962">
      <x:c r="A3962" t="str">
        <x:v>O003961</x:v>
      </x:c>
      <x:c r="B3962" s="20" t="n">
        <x:v>45759</x:v>
      </x:c>
      <x:c r="C3962" t="str">
        <x:v>C0229</x:v>
      </x:c>
      <x:c r="D3962" t="str">
        <x:v>Namma Canteen 229</x:v>
      </x:c>
      <x:c r="E3962" t="str">
        <x:v>Restaurant</x:v>
      </x:c>
      <x:c r="F3962" t="str">
        <x:v>Bengaluru</x:v>
      </x:c>
      <x:c r="G3962" t="str">
        <x:v>Arjun</x:v>
      </x:c>
      <x:c r="H3962" t="str">
        <x:v>P028</x:v>
      </x:c>
      <x:c r="I3962" t="str">
        <x:v>Cookies 200g</x:v>
      </x:c>
      <x:c r="J3962" t="str">
        <x:v>Snacks</x:v>
      </x:c>
      <x:c r="K3962" t="str">
        <x:v>Britannia</x:v>
      </x:c>
      <x:c r="L3962" s="22" t="n">
        <x:v>55</x:v>
      </x:c>
      <x:c r="M3962" t="n">
        <x:v>16</x:v>
      </x:c>
      <x:c r="N3962" s="24" t="n">
        <x:v>0.02</x:v>
      </x:c>
      <x:c r="O3962" s="22" t="n">
        <x:f>L3962*M3962</x:f>
        <x:v>880</x:v>
      </x:c>
      <x:c r="P3962" s="22" t="n">
        <x:f>O3962*(1-N3962)</x:f>
        <x:v>862.4</x:v>
      </x:c>
      <x:c r="Q3962" s="22" t="n">
        <x:v>42</x:v>
      </x:c>
      <x:c r="R3962" s="22" t="n">
        <x:f>Q3962*M3962</x:f>
        <x:v>672</x:v>
      </x:c>
      <x:c r="S3962" s="22" t="n">
        <x:f>P3962-R3962</x:f>
        <x:v>190.39999999999998</x:v>
      </x:c>
      <x:c r="T3962" t="str">
        <x:v>Credit</x:v>
      </x:c>
      <x:c r="U3962" t="str">
        <x:v>Paid</x:v>
      </x:c>
      <x:c r="V3962" t="str">
        <x:v>Delivered</x:v>
      </x:c>
      <x:c r="W3962" t="n">
        <x:v>0</x:v>
      </x:c>
      <x:c r="X3962" t="str"/>
      <x:c r="Y3962" t="str">
        <x:v>Outbound Call</x:v>
      </x:c>
    </x:row>
    <x:row r="3963">
      <x:c r="A3963" t="str">
        <x:v>O003962</x:v>
      </x:c>
      <x:c r="B3963" s="20" t="n">
        <x:v>46253</x:v>
      </x:c>
      <x:c r="C3963" t="str">
        <x:v>C0222</x:v>
      </x:c>
      <x:c r="D3963" t="str">
        <x:v>Sri Cafe 222</x:v>
      </x:c>
      <x:c r="E3963" t="str">
        <x:v>Kirana</x:v>
      </x:c>
      <x:c r="F3963" t="str">
        <x:v>Mangaluru</x:v>
      </x:c>
      <x:c r="G3963" t="str">
        <x:v>Arjun</x:v>
      </x:c>
      <x:c r="H3963" t="str">
        <x:v>P031</x:v>
      </x:c>
      <x:c r="I3963" t="str">
        <x:v>Chilli Sauce 700g</x:v>
      </x:c>
      <x:c r="J3963" t="str">
        <x:v>Condiments</x:v>
      </x:c>
      <x:c r="K3963" t="str">
        <x:v>Ching's</x:v>
      </x:c>
      <x:c r="L3963" s="22" t="n">
        <x:v>130</x:v>
      </x:c>
      <x:c r="M3963" t="n">
        <x:v>32</x:v>
      </x:c>
      <x:c r="N3963" s="24" t="n">
        <x:v>0.08</x:v>
      </x:c>
      <x:c r="O3963" s="22" t="n">
        <x:f>L3963*M3963</x:f>
        <x:v>4160</x:v>
      </x:c>
      <x:c r="P3963" s="22" t="n">
        <x:f>O3963*(1-N3963)</x:f>
        <x:v>3827.2000000000003</x:v>
      </x:c>
      <x:c r="Q3963" s="22" t="n">
        <x:v>112</x:v>
      </x:c>
      <x:c r="R3963" s="22" t="n">
        <x:f>Q3963*M3963</x:f>
        <x:v>3584</x:v>
      </x:c>
      <x:c r="S3963" s="22" t="n">
        <x:f>P3963-R3963</x:f>
        <x:v>243.20000000000027</x:v>
      </x:c>
      <x:c r="T3963" t="str">
        <x:v>UPI</x:v>
      </x:c>
      <x:c r="U3963" t="str">
        <x:v>Paid</x:v>
      </x:c>
      <x:c r="V3963" t="str">
        <x:v>Cancelled</x:v>
      </x:c>
      <x:c r="W3963" t="n">
        <x:v>32</x:v>
      </x:c>
      <x:c r="X3963" t="str">
        <x:v>Cancelled Order</x:v>
      </x:c>
      <x:c r="Y3963" t="str">
        <x:v>Existing Customer</x:v>
      </x:c>
    </x:row>
    <x:row r="3964">
      <x:c r="A3964" t="str">
        <x:v>O003963</x:v>
      </x:c>
      <x:c r="B3964" s="20" t="n">
        <x:v>46235</x:v>
      </x:c>
      <x:c r="C3964" t="str">
        <x:v>C0017</x:v>
      </x:c>
      <x:c r="D3964" t="str">
        <x:v>City Foods 17</x:v>
      </x:c>
      <x:c r="E3964" t="str">
        <x:v>Restaurant</x:v>
      </x:c>
      <x:c r="F3964" t="str">
        <x:v>Tumakuru</x:v>
      </x:c>
      <x:c r="G3964" t="str">
        <x:v>Imran</x:v>
      </x:c>
      <x:c r="H3964" t="str">
        <x:v>P003</x:v>
      </x:c>
      <x:c r="I3964" t="str">
        <x:v>Basmati Rice 5kg</x:v>
      </x:c>
      <x:c r="J3964" t="str">
        <x:v>Staples</x:v>
      </x:c>
      <x:c r="K3964" t="str">
        <x:v>India Gate</x:v>
      </x:c>
      <x:c r="L3964" s="22" t="n">
        <x:v>690</x:v>
      </x:c>
      <x:c r="M3964" t="n">
        <x:v>40</x:v>
      </x:c>
      <x:c r="N3964" s="24" t="n">
        <x:v>0.03</x:v>
      </x:c>
      <x:c r="O3964" s="22" t="n">
        <x:f>L3964*M3964</x:f>
        <x:v>27600</x:v>
      </x:c>
      <x:c r="P3964" s="22" t="n">
        <x:f>O3964*(1-N3964)</x:f>
        <x:v>26772</x:v>
      </x:c>
      <x:c r="Q3964" s="22" t="n">
        <x:v>610</x:v>
      </x:c>
      <x:c r="R3964" s="22" t="n">
        <x:f>Q3964*M3964</x:f>
        <x:v>24400</x:v>
      </x:c>
      <x:c r="S3964" s="22" t="n">
        <x:f>P3964-R3964</x:f>
        <x:v>2372</x:v>
      </x:c>
      <x:c r="T3964" t="str">
        <x:v>Cash</x:v>
      </x:c>
      <x:c r="U3964" t="str">
        <x:v>Paid</x:v>
      </x:c>
      <x:c r="V3964" t="str">
        <x:v>Delivered</x:v>
      </x:c>
      <x:c r="W3964" t="n">
        <x:v>0</x:v>
      </x:c>
      <x:c r="X3964" t="str"/>
      <x:c r="Y3964" t="str">
        <x:v>WhatsApp</x:v>
      </x:c>
    </x:row>
    <x:row r="3965">
      <x:c r="A3965" t="str">
        <x:v>O003964</x:v>
      </x:c>
      <x:c r="B3965" s="20" t="n">
        <x:v>45877</x:v>
      </x:c>
      <x:c r="C3965" t="str">
        <x:v>C0013</x:v>
      </x:c>
      <x:c r="D3965" t="str">
        <x:v>Foodie Restaurant 13</x:v>
      </x:c>
      <x:c r="E3965" t="str">
        <x:v>Kirana</x:v>
      </x:c>
      <x:c r="F3965" t="str">
        <x:v>Mysuru</x:v>
      </x:c>
      <x:c r="G3965" t="str">
        <x:v>Sneha</x:v>
      </x:c>
      <x:c r="H3965" t="str">
        <x:v>P035</x:v>
      </x:c>
      <x:c r="I3965" t="str">
        <x:v>Coriander Powder 1kg</x:v>
      </x:c>
      <x:c r="J3965" t="str">
        <x:v>Spices</x:v>
      </x:c>
      <x:c r="K3965" t="str">
        <x:v>Everest</x:v>
      </x:c>
      <x:c r="L3965" s="22" t="n">
        <x:v>280</x:v>
      </x:c>
      <x:c r="M3965" t="n">
        <x:v>27</x:v>
      </x:c>
      <x:c r="N3965" s="24" t="n">
        <x:v>0.03</x:v>
      </x:c>
      <x:c r="O3965" s="22" t="n">
        <x:f>L3965*M3965</x:f>
        <x:v>7560</x:v>
      </x:c>
      <x:c r="P3965" s="22" t="n">
        <x:f>O3965*(1-N3965)</x:f>
        <x:v>7333.2</x:v>
      </x:c>
      <x:c r="Q3965" s="22" t="n">
        <x:v>245</x:v>
      </x:c>
      <x:c r="R3965" s="22" t="n">
        <x:f>Q3965*M3965</x:f>
        <x:v>6615</x:v>
      </x:c>
      <x:c r="S3965" s="22" t="n">
        <x:f>P3965-R3965</x:f>
        <x:v>718.1999999999998</x:v>
      </x:c>
      <x:c r="T3965" t="str">
        <x:v>Credit</x:v>
      </x:c>
      <x:c r="U3965" t="str">
        <x:v>Paid</x:v>
      </x:c>
      <x:c r="V3965" t="str">
        <x:v>Cancelled</x:v>
      </x:c>
      <x:c r="W3965" t="n">
        <x:v>27</x:v>
      </x:c>
      <x:c r="X3965" t="str">
        <x:v>Cancelled Order</x:v>
      </x:c>
      <x:c r="Y3965" t="str">
        <x:v>Referral</x:v>
      </x:c>
    </x:row>
    <x:row r="3966">
      <x:c r="A3966" t="str">
        <x:v>O003965</x:v>
      </x:c>
      <x:c r="B3966" s="20" t="n">
        <x:v>45889</x:v>
      </x:c>
      <x:c r="C3966" t="str">
        <x:v>C0011</x:v>
      </x:c>
      <x:c r="D3966" t="str">
        <x:v>City Cafe 11</x:v>
      </x:c>
      <x:c r="E3966" t="str">
        <x:v>Restaurant</x:v>
      </x:c>
      <x:c r="F3966" t="str">
        <x:v>Mangaluru</x:v>
      </x:c>
      <x:c r="G3966" t="str">
        <x:v>Arjun</x:v>
      </x:c>
      <x:c r="H3966" t="str">
        <x:v>P029</x:v>
      </x:c>
      <x:c r="I3966" t="str">
        <x:v>Tomato Ketchup 1kg</x:v>
      </x:c>
      <x:c r="J3966" t="str">
        <x:v>Condiments</x:v>
      </x:c>
      <x:c r="K3966" t="str">
        <x:v>Kissan</x:v>
      </x:c>
      <x:c r="L3966" s="22" t="n">
        <x:v>145</x:v>
      </x:c>
      <x:c r="M3966" t="n">
        <x:v>31</x:v>
      </x:c>
      <x:c r="N3966" s="24" t="n">
        <x:v>0.1</x:v>
      </x:c>
      <x:c r="O3966" s="22" t="n">
        <x:f>L3966*M3966</x:f>
        <x:v>4495</x:v>
      </x:c>
      <x:c r="P3966" s="22" t="n">
        <x:f>O3966*(1-N3966)</x:f>
        <x:v>4045.5</x:v>
      </x:c>
      <x:c r="Q3966" s="22" t="n">
        <x:v>126</x:v>
      </x:c>
      <x:c r="R3966" s="22" t="n">
        <x:f>Q3966*M3966</x:f>
        <x:v>3906</x:v>
      </x:c>
      <x:c r="S3966" s="22" t="n">
        <x:f>P3966-R3966</x:f>
        <x:v>139.5</x:v>
      </x:c>
      <x:c r="T3966" t="str">
        <x:v>UPI</x:v>
      </x:c>
      <x:c r="U3966" t="str">
        <x:v>Paid</x:v>
      </x:c>
      <x:c r="V3966" t="str">
        <x:v>Delivered</x:v>
      </x:c>
      <x:c r="W3966" t="n">
        <x:v>0</x:v>
      </x:c>
      <x:c r="X3966" t="str"/>
      <x:c r="Y3966" t="str">
        <x:v>Field Visit</x:v>
      </x:c>
    </x:row>
    <x:row r="3967">
      <x:c r="A3967" t="str">
        <x:v>O003966</x:v>
      </x:c>
      <x:c r="B3967" s="20" t="n">
        <x:v>45857</x:v>
      </x:c>
      <x:c r="C3967" t="str">
        <x:v>C0149</x:v>
      </x:c>
      <x:c r="D3967" t="str">
        <x:v>Annapurna Hotel 149</x:v>
      </x:c>
      <x:c r="E3967" t="str">
        <x:v>Cafe</x:v>
      </x:c>
      <x:c r="F3967" t="str">
        <x:v>Tumakuru</x:v>
      </x:c>
      <x:c r="G3967" t="str">
        <x:v>Megha</x:v>
      </x:c>
      <x:c r="H3967" t="str">
        <x:v>P002</x:v>
      </x:c>
      <x:c r="I3967" t="str">
        <x:v>Sona Masoori Rice 25kg</x:v>
      </x:c>
      <x:c r="J3967" t="str">
        <x:v>Staples</x:v>
      </x:c>
      <x:c r="K3967" t="str">
        <x:v>Fortune</x:v>
      </x:c>
      <x:c r="L3967" s="22" t="n">
        <x:v>1320</x:v>
      </x:c>
      <x:c r="M3967" t="n">
        <x:v>1</x:v>
      </x:c>
      <x:c r="N3967" s="24" t="n">
        <x:v>0.05</x:v>
      </x:c>
      <x:c r="O3967" s="22" t="n">
        <x:f>L3967*M3967</x:f>
        <x:v>1320</x:v>
      </x:c>
      <x:c r="P3967" s="22" t="n">
        <x:f>O3967*(1-N3967)</x:f>
        <x:v>1254</x:v>
      </x:c>
      <x:c r="Q3967" s="22" t="n">
        <x:v>1160</x:v>
      </x:c>
      <x:c r="R3967" s="22" t="n">
        <x:f>Q3967*M3967</x:f>
        <x:v>1160</x:v>
      </x:c>
      <x:c r="S3967" s="22" t="n">
        <x:f>P3967-R3967</x:f>
        <x:v>94</x:v>
      </x:c>
      <x:c r="T3967" t="str">
        <x:v>Bank Transfer</x:v>
      </x:c>
      <x:c r="U3967" t="str">
        <x:v>Paid</x:v>
      </x:c>
      <x:c r="V3967" t="str">
        <x:v>Delivered</x:v>
      </x:c>
      <x:c r="W3967" t="n">
        <x:v>0</x:v>
      </x:c>
      <x:c r="X3967" t="str"/>
      <x:c r="Y3967" t="str">
        <x:v>WhatsApp</x:v>
      </x:c>
    </x:row>
    <x:row r="3968">
      <x:c r="A3968" t="str">
        <x:v>O003967</x:v>
      </x:c>
      <x:c r="B3968" s="20" t="n">
        <x:v>46151</x:v>
      </x:c>
      <x:c r="C3968" t="str">
        <x:v>C0204</x:v>
      </x:c>
      <x:c r="D3968" t="str">
        <x:v>Udupi Stores 204</x:v>
      </x:c>
      <x:c r="E3968" t="str">
        <x:v>Kirana</x:v>
      </x:c>
      <x:c r="F3968" t="str">
        <x:v>Bengaluru</x:v>
      </x:c>
      <x:c r="G3968" t="str">
        <x:v>Vikram</x:v>
      </x:c>
      <x:c r="H3968" t="str">
        <x:v>P003</x:v>
      </x:c>
      <x:c r="I3968" t="str">
        <x:v>Basmati Rice 5kg</x:v>
      </x:c>
      <x:c r="J3968" t="str">
        <x:v>Staples</x:v>
      </x:c>
      <x:c r="K3968" t="str">
        <x:v>India Gate</x:v>
      </x:c>
      <x:c r="L3968" s="22" t="n">
        <x:v>690</x:v>
      </x:c>
      <x:c r="M3968" t="n">
        <x:v>1</x:v>
      </x:c>
      <x:c r="N3968" s="24" t="n">
        <x:v>0.05</x:v>
      </x:c>
      <x:c r="O3968" s="22" t="n">
        <x:f>L3968*M3968</x:f>
        <x:v>690</x:v>
      </x:c>
      <x:c r="P3968" s="22" t="n">
        <x:f>O3968*(1-N3968)</x:f>
        <x:v>655.5</x:v>
      </x:c>
      <x:c r="Q3968" s="22" t="n">
        <x:v>610</x:v>
      </x:c>
      <x:c r="R3968" s="22" t="n">
        <x:f>Q3968*M3968</x:f>
        <x:v>610</x:v>
      </x:c>
      <x:c r="S3968" s="22" t="n">
        <x:f>P3968-R3968</x:f>
        <x:v>45.5</x:v>
      </x:c>
      <x:c r="T3968" t="str">
        <x:v>Cash</x:v>
      </x:c>
      <x:c r="U3968" t="str">
        <x:v>Paid</x:v>
      </x:c>
      <x:c r="V3968" t="str">
        <x:v>Delayed</x:v>
      </x:c>
      <x:c r="W3968" t="n">
        <x:v>0</x:v>
      </x:c>
      <x:c r="X3968" t="str"/>
      <x:c r="Y3968" t="str">
        <x:v>Field Visit</x:v>
      </x:c>
    </x:row>
    <x:row r="3969">
      <x:c r="A3969" t="str">
        <x:v>O003968</x:v>
      </x:c>
      <x:c r="B3969" s="20" t="n">
        <x:v>46193</x:v>
      </x:c>
      <x:c r="C3969" t="str">
        <x:v>C0115</x:v>
      </x:c>
      <x:c r="D3969" t="str">
        <x:v>Mysore Mart 115</x:v>
      </x:c>
      <x:c r="E3969" t="str">
        <x:v>Kirana</x:v>
      </x:c>
      <x:c r="F3969" t="str">
        <x:v>Mangaluru</x:v>
      </x:c>
      <x:c r="G3969" t="str">
        <x:v>Arjun</x:v>
      </x:c>
      <x:c r="H3969" t="str">
        <x:v>P040</x:v>
      </x:c>
      <x:c r="I3969" t="str">
        <x:v>Bread Loaf 400g</x:v>
      </x:c>
      <x:c r="J3969" t="str">
        <x:v>Bakery</x:v>
      </x:c>
      <x:c r="K3969" t="str">
        <x:v>Britannia</x:v>
      </x:c>
      <x:c r="L3969" s="22" t="n">
        <x:v>45</x:v>
      </x:c>
      <x:c r="M3969" t="n">
        <x:v>35</x:v>
      </x:c>
      <x:c r="N3969" s="24" t="n">
        <x:v>0.05</x:v>
      </x:c>
      <x:c r="O3969" s="22" t="n">
        <x:f>L3969*M3969</x:f>
        <x:v>1575</x:v>
      </x:c>
      <x:c r="P3969" s="22" t="n">
        <x:f>O3969*(1-N3969)</x:f>
        <x:v>1496.25</x:v>
      </x:c>
      <x:c r="Q3969" s="22" t="n">
        <x:v>35</x:v>
      </x:c>
      <x:c r="R3969" s="22" t="n">
        <x:f>Q3969*M3969</x:f>
        <x:v>1225</x:v>
      </x:c>
      <x:c r="S3969" s="22" t="n">
        <x:f>P3969-R3969</x:f>
        <x:v>271.25</x:v>
      </x:c>
      <x:c r="T3969" t="str">
        <x:v>Bank Transfer</x:v>
      </x:c>
      <x:c r="U3969" t="str">
        <x:v>Paid</x:v>
      </x:c>
      <x:c r="V3969" t="str">
        <x:v>Delivered</x:v>
      </x:c>
      <x:c r="W3969" t="n">
        <x:v>0</x:v>
      </x:c>
      <x:c r="X3969" t="str"/>
      <x:c r="Y3969" t="str">
        <x:v>Existing Customer</x:v>
      </x:c>
    </x:row>
    <x:row r="3970">
      <x:c r="A3970" t="str">
        <x:v>O003969</x:v>
      </x:c>
      <x:c r="B3970" s="20" t="n">
        <x:v>45814</x:v>
      </x:c>
      <x:c r="C3970" t="str">
        <x:v>C0085</x:v>
      </x:c>
      <x:c r="D3970" t="str">
        <x:v>Green Hotel 85</x:v>
      </x:c>
      <x:c r="E3970" t="str">
        <x:v>Kirana</x:v>
      </x:c>
      <x:c r="F3970" t="str">
        <x:v>Mysuru</x:v>
      </x:c>
      <x:c r="G3970" t="str">
        <x:v>Arjun</x:v>
      </x:c>
      <x:c r="H3970" t="str">
        <x:v>P012</x:v>
      </x:c>
      <x:c r="I3970" t="str">
        <x:v>Maida 10kg</x:v>
      </x:c>
      <x:c r="J3970" t="str">
        <x:v>Flour</x:v>
      </x:c>
      <x:c r="K3970" t="str">
        <x:v>Aashirvaad</x:v>
      </x:c>
      <x:c r="L3970" s="22" t="n">
        <x:v>520</x:v>
      </x:c>
      <x:c r="M3970" t="n">
        <x:v>39</x:v>
      </x:c>
      <x:c r="N3970" s="24" t="n">
        <x:v>0.05</x:v>
      </x:c>
      <x:c r="O3970" s="22" t="n">
        <x:f>L3970*M3970</x:f>
        <x:v>20280</x:v>
      </x:c>
      <x:c r="P3970" s="22" t="n">
        <x:f>O3970*(1-N3970)</x:f>
        <x:v>19266</x:v>
      </x:c>
      <x:c r="Q3970" s="22" t="n">
        <x:v>460</x:v>
      </x:c>
      <x:c r="R3970" s="22" t="n">
        <x:f>Q3970*M3970</x:f>
        <x:v>17940</x:v>
      </x:c>
      <x:c r="S3970" s="22" t="n">
        <x:f>P3970-R3970</x:f>
        <x:v>1326</x:v>
      </x:c>
      <x:c r="T3970" t="str">
        <x:v>Bank Transfer</x:v>
      </x:c>
      <x:c r="U3970" t="str">
        <x:v>Paid</x:v>
      </x:c>
      <x:c r="V3970" t="str">
        <x:v>Delayed</x:v>
      </x:c>
      <x:c r="W3970" t="n">
        <x:v>0</x:v>
      </x:c>
      <x:c r="X3970" t="str"/>
      <x:c r="Y3970" t="str">
        <x:v>WhatsApp</x:v>
      </x:c>
    </x:row>
    <x:row r="3971">
      <x:c r="A3971" t="str">
        <x:v>O003970</x:v>
      </x:c>
      <x:c r="B3971" s="20" t="n">
        <x:v>45993</x:v>
      </x:c>
      <x:c r="C3971" t="str">
        <x:v>C0045</x:v>
      </x:c>
      <x:c r="D3971" t="str">
        <x:v>Annapurna Restaurant 45</x:v>
      </x:c>
      <x:c r="E3971" t="str">
        <x:v>Kirana</x:v>
      </x:c>
      <x:c r="F3971" t="str">
        <x:v>Mysuru</x:v>
      </x:c>
      <x:c r="G3971" t="str">
        <x:v>Arjun</x:v>
      </x:c>
      <x:c r="H3971" t="str">
        <x:v>P050</x:v>
      </x:c>
      <x:c r="I3971" t="str">
        <x:v>Lemon 5kg</x:v>
      </x:c>
      <x:c r="J3971" t="str">
        <x:v>Fresh Produce</x:v>
      </x:c>
      <x:c r="K3971" t="str">
        <x:v>Local Market</x:v>
      </x:c>
      <x:c r="L3971" s="22" t="n">
        <x:v>360</x:v>
      </x:c>
      <x:c r="M3971" t="n">
        <x:v>17</x:v>
      </x:c>
      <x:c r="N3971" s="24" t="n">
        <x:v>0</x:v>
      </x:c>
      <x:c r="O3971" s="22" t="n">
        <x:f>L3971*M3971</x:f>
        <x:v>6120</x:v>
      </x:c>
      <x:c r="P3971" s="22" t="n">
        <x:f>O3971*(1-N3971)</x:f>
        <x:v>6120</x:v>
      </x:c>
      <x:c r="Q3971" s="22" t="n">
        <x:v>300</x:v>
      </x:c>
      <x:c r="R3971" s="22" t="n">
        <x:f>Q3971*M3971</x:f>
        <x:v>5100</x:v>
      </x:c>
      <x:c r="S3971" s="22" t="n">
        <x:f>P3971-R3971</x:f>
        <x:v>1020</x:v>
      </x:c>
      <x:c r="T3971" t="str">
        <x:v>Cash</x:v>
      </x:c>
      <x:c r="U3971" t="str">
        <x:v>Paid</x:v>
      </x:c>
      <x:c r="V3971" t="str">
        <x:v>Cancelled</x:v>
      </x:c>
      <x:c r="W3971" t="n">
        <x:v>17</x:v>
      </x:c>
      <x:c r="X3971" t="str">
        <x:v>Cancelled Order</x:v>
      </x:c>
      <x:c r="Y3971" t="str">
        <x:v>Referral</x:v>
      </x:c>
    </x:row>
    <x:row r="3972">
      <x:c r="A3972" t="str">
        <x:v>O003971</x:v>
      </x:c>
      <x:c r="B3972" s="20" t="n">
        <x:v>46159</x:v>
      </x:c>
      <x:c r="C3972" t="str">
        <x:v>C0244</x:v>
      </x:c>
      <x:c r="D3972" t="str">
        <x:v>Namma Hotel 244</x:v>
      </x:c>
      <x:c r="E3972" t="str">
        <x:v>Kirana</x:v>
      </x:c>
      <x:c r="F3972" t="str">
        <x:v>Tumakuru</x:v>
      </x:c>
      <x:c r="G3972" t="str">
        <x:v>Sneha</x:v>
      </x:c>
      <x:c r="H3972" t="str">
        <x:v>P019</x:v>
      </x:c>
      <x:c r="I3972" t="str">
        <x:v>Tea 1kg</x:v>
      </x:c>
      <x:c r="J3972" t="str">
        <x:v>Beverage</x:v>
      </x:c>
      <x:c r="K3972" t="str">
        <x:v>Red Label</x:v>
      </x:c>
      <x:c r="L3972" s="22" t="n">
        <x:v>540</x:v>
      </x:c>
      <x:c r="M3972" t="n">
        <x:v>24</x:v>
      </x:c>
      <x:c r="N3972" s="24" t="n">
        <x:v>0.02</x:v>
      </x:c>
      <x:c r="O3972" s="22" t="n">
        <x:f>L3972*M3972</x:f>
        <x:v>12960</x:v>
      </x:c>
      <x:c r="P3972" s="22" t="n">
        <x:f>O3972*(1-N3972)</x:f>
        <x:v>12700.8</x:v>
      </x:c>
      <x:c r="Q3972" s="22" t="n">
        <x:v>485</x:v>
      </x:c>
      <x:c r="R3972" s="22" t="n">
        <x:f>Q3972*M3972</x:f>
        <x:v>11640</x:v>
      </x:c>
      <x:c r="S3972" s="22" t="n">
        <x:f>P3972-R3972</x:f>
        <x:v>1060.7999999999993</x:v>
      </x:c>
      <x:c r="T3972" t="str">
        <x:v>UPI</x:v>
      </x:c>
      <x:c r="U3972" t="str">
        <x:v>Paid</x:v>
      </x:c>
      <x:c r="V3972" t="str">
        <x:v>Delivered</x:v>
      </x:c>
      <x:c r="W3972" t="n">
        <x:v>0</x:v>
      </x:c>
      <x:c r="X3972" t="str"/>
      <x:c r="Y3972" t="str">
        <x:v>Field Visit</x:v>
      </x:c>
    </x:row>
    <x:row r="3973">
      <x:c r="A3973" t="str">
        <x:v>O003972</x:v>
      </x:c>
      <x:c r="B3973" s="20" t="n">
        <x:v>45711</x:v>
      </x:c>
      <x:c r="C3973" t="str">
        <x:v>C0117</x:v>
      </x:c>
      <x:c r="D3973" t="str">
        <x:v>Classic Canteen 117</x:v>
      </x:c>
      <x:c r="E3973" t="str">
        <x:v>Restaurant</x:v>
      </x:c>
      <x:c r="F3973" t="str">
        <x:v>Hubballi</x:v>
      </x:c>
      <x:c r="G3973" t="str">
        <x:v>Megha</x:v>
      </x:c>
      <x:c r="H3973" t="str">
        <x:v>P035</x:v>
      </x:c>
      <x:c r="I3973" t="str">
        <x:v>Coriander Powder 1kg</x:v>
      </x:c>
      <x:c r="J3973" t="str">
        <x:v>Spices</x:v>
      </x:c>
      <x:c r="K3973" t="str">
        <x:v>Everest</x:v>
      </x:c>
      <x:c r="L3973" s="22" t="n">
        <x:v>280</x:v>
      </x:c>
      <x:c r="M3973" t="n">
        <x:v>4</x:v>
      </x:c>
      <x:c r="N3973" s="24" t="n">
        <x:v>0.03</x:v>
      </x:c>
      <x:c r="O3973" s="22" t="n">
        <x:f>L3973*M3973</x:f>
        <x:v>1120</x:v>
      </x:c>
      <x:c r="P3973" s="22" t="n">
        <x:f>O3973*(1-N3973)</x:f>
        <x:v>1086.3999999999999</x:v>
      </x:c>
      <x:c r="Q3973" s="22" t="n">
        <x:v>245</x:v>
      </x:c>
      <x:c r="R3973" s="22" t="n">
        <x:f>Q3973*M3973</x:f>
        <x:v>980</x:v>
      </x:c>
      <x:c r="S3973" s="22" t="n">
        <x:f>P3973-R3973</x:f>
        <x:v>106.39999999999986</x:v>
      </x:c>
      <x:c r="T3973" t="str">
        <x:v>Bank Transfer</x:v>
      </x:c>
      <x:c r="U3973" t="str">
        <x:v>Pending</x:v>
      </x:c>
      <x:c r="V3973" t="str">
        <x:v>Delivered</x:v>
      </x:c>
      <x:c r="W3973" t="n">
        <x:v>0</x:v>
      </x:c>
      <x:c r="X3973" t="str"/>
      <x:c r="Y3973" t="str">
        <x:v>Referral</x:v>
      </x:c>
    </x:row>
    <x:row r="3974">
      <x:c r="A3974" t="str">
        <x:v>O003973</x:v>
      </x:c>
      <x:c r="B3974" s="20" t="n">
        <x:v>45905</x:v>
      </x:c>
      <x:c r="C3974" t="str">
        <x:v>C0154</x:v>
      </x:c>
      <x:c r="D3974" t="str">
        <x:v>Royal Restaurant 154</x:v>
      </x:c>
      <x:c r="E3974" t="str">
        <x:v>Restaurant</x:v>
      </x:c>
      <x:c r="F3974" t="str">
        <x:v>Tumakuru</x:v>
      </x:c>
      <x:c r="G3974" t="str">
        <x:v>Kavya</x:v>
      </x:c>
      <x:c r="H3974" t="str">
        <x:v>P034</x:v>
      </x:c>
      <x:c r="I3974" t="str">
        <x:v>Chilli Powder 1kg</x:v>
      </x:c>
      <x:c r="J3974" t="str">
        <x:v>Spices</x:v>
      </x:c>
      <x:c r="K3974" t="str">
        <x:v>MDH</x:v>
      </x:c>
      <x:c r="L3974" s="22" t="n">
        <x:v>340</x:v>
      </x:c>
      <x:c r="M3974" t="n">
        <x:v>31</x:v>
      </x:c>
      <x:c r="N3974" s="24" t="n">
        <x:v>0.05</x:v>
      </x:c>
      <x:c r="O3974" s="22" t="n">
        <x:f>L3974*M3974</x:f>
        <x:v>10540</x:v>
      </x:c>
      <x:c r="P3974" s="22" t="n">
        <x:f>O3974*(1-N3974)</x:f>
        <x:v>10013</x:v>
      </x:c>
      <x:c r="Q3974" s="22" t="n">
        <x:v>295</x:v>
      </x:c>
      <x:c r="R3974" s="22" t="n">
        <x:f>Q3974*M3974</x:f>
        <x:v>9145</x:v>
      </x:c>
      <x:c r="S3974" s="22" t="n">
        <x:f>P3974-R3974</x:f>
        <x:v>868</x:v>
      </x:c>
      <x:c r="T3974" t="str">
        <x:v>Cash</x:v>
      </x:c>
      <x:c r="U3974" t="str">
        <x:v>Overdue</x:v>
      </x:c>
      <x:c r="V3974" t="str">
        <x:v>Cancelled</x:v>
      </x:c>
      <x:c r="W3974" t="n">
        <x:v>31</x:v>
      </x:c>
      <x:c r="X3974" t="str">
        <x:v>Cancelled Order</x:v>
      </x:c>
      <x:c r="Y3974" t="str">
        <x:v>Field Visit</x:v>
      </x:c>
    </x:row>
    <x:row r="3975">
      <x:c r="A3975" t="str">
        <x:v>O003974</x:v>
      </x:c>
      <x:c r="B3975" s="20" t="n">
        <x:v>46215</x:v>
      </x:c>
      <x:c r="C3975" t="str">
        <x:v>C0072</x:v>
      </x:c>
      <x:c r="D3975" t="str">
        <x:v>Grand Restaurant 72</x:v>
      </x:c>
      <x:c r="E3975" t="str">
        <x:v>Restaurant</x:v>
      </x:c>
      <x:c r="F3975" t="str">
        <x:v>Davanagere</x:v>
      </x:c>
      <x:c r="G3975" t="str">
        <x:v>Kavya</x:v>
      </x:c>
      <x:c r="H3975" t="str">
        <x:v>P022</x:v>
      </x:c>
      <x:c r="I3975" t="str">
        <x:v>Mineral Water 1L</x:v>
      </x:c>
      <x:c r="J3975" t="str">
        <x:v>Beverage</x:v>
      </x:c>
      <x:c r="K3975" t="str">
        <x:v>Bisleri</x:v>
      </x:c>
      <x:c r="L3975" s="22" t="n">
        <x:v>19</x:v>
      </x:c>
      <x:c r="M3975" t="n">
        <x:v>16</x:v>
      </x:c>
      <x:c r="N3975" s="24" t="n">
        <x:v>0.03</x:v>
      </x:c>
      <x:c r="O3975" s="22" t="n">
        <x:f>L3975*M3975</x:f>
        <x:v>304</x:v>
      </x:c>
      <x:c r="P3975" s="22" t="n">
        <x:f>O3975*(1-N3975)</x:f>
        <x:v>294.88</x:v>
      </x:c>
      <x:c r="Q3975" s="22" t="n">
        <x:v>15</x:v>
      </x:c>
      <x:c r="R3975" s="22" t="n">
        <x:f>Q3975*M3975</x:f>
        <x:v>240</x:v>
      </x:c>
      <x:c r="S3975" s="22" t="n">
        <x:f>P3975-R3975</x:f>
        <x:v>54.879999999999995</x:v>
      </x:c>
      <x:c r="T3975" t="str">
        <x:v>Cash</x:v>
      </x:c>
      <x:c r="U3975" t="str">
        <x:v>Paid</x:v>
      </x:c>
      <x:c r="V3975" t="str">
        <x:v>Cancelled</x:v>
      </x:c>
      <x:c r="W3975" t="n">
        <x:v>16</x:v>
      </x:c>
      <x:c r="X3975" t="str">
        <x:v>Cancelled Order</x:v>
      </x:c>
      <x:c r="Y3975" t="str">
        <x:v>WhatsApp</x:v>
      </x:c>
    </x:row>
    <x:row r="3976">
      <x:c r="A3976" t="str">
        <x:v>O003975</x:v>
      </x:c>
      <x:c r="B3976" s="20" t="n">
        <x:v>46253</x:v>
      </x:c>
      <x:c r="C3976" t="str">
        <x:v>C0249</x:v>
      </x:c>
      <x:c r="D3976" t="str">
        <x:v>City Hotel 249</x:v>
      </x:c>
      <x:c r="E3976" t="str">
        <x:v>Supermarket</x:v>
      </x:c>
      <x:c r="F3976" t="str">
        <x:v>Mysuru</x:v>
      </x:c>
      <x:c r="G3976" t="str">
        <x:v>Arjun</x:v>
      </x:c>
      <x:c r="H3976" t="str">
        <x:v>P003</x:v>
      </x:c>
      <x:c r="I3976" t="str">
        <x:v>Basmati Rice 5kg</x:v>
      </x:c>
      <x:c r="J3976" t="str">
        <x:v>Staples</x:v>
      </x:c>
      <x:c r="K3976" t="str">
        <x:v>India Gate</x:v>
      </x:c>
      <x:c r="L3976" s="22" t="n">
        <x:v>690</x:v>
      </x:c>
      <x:c r="M3976" t="n">
        <x:v>4</x:v>
      </x:c>
      <x:c r="N3976" s="24" t="n">
        <x:v>0.05</x:v>
      </x:c>
      <x:c r="O3976" s="22" t="n">
        <x:f>L3976*M3976</x:f>
        <x:v>2760</x:v>
      </x:c>
      <x:c r="P3976" s="22" t="n">
        <x:f>O3976*(1-N3976)</x:f>
        <x:v>2622</x:v>
      </x:c>
      <x:c r="Q3976" s="22" t="n">
        <x:v>610</x:v>
      </x:c>
      <x:c r="R3976" s="22" t="n">
        <x:f>Q3976*M3976</x:f>
        <x:v>2440</x:v>
      </x:c>
      <x:c r="S3976" s="22" t="n">
        <x:f>P3976-R3976</x:f>
        <x:v>182</x:v>
      </x:c>
      <x:c r="T3976" t="str">
        <x:v>UPI</x:v>
      </x:c>
      <x:c r="U3976" t="str">
        <x:v>Paid</x:v>
      </x:c>
      <x:c r="V3976" t="str">
        <x:v>Delivered</x:v>
      </x:c>
      <x:c r="W3976" t="n">
        <x:v>0</x:v>
      </x:c>
      <x:c r="X3976" t="str"/>
      <x:c r="Y3976" t="str">
        <x:v>Outbound Call</x:v>
      </x:c>
    </x:row>
    <x:row r="3977">
      <x:c r="A3977" t="str">
        <x:v>O003976</x:v>
      </x:c>
      <x:c r="B3977" s="20" t="n">
        <x:v>46259</x:v>
      </x:c>
      <x:c r="C3977" t="str">
        <x:v>C0197</x:v>
      </x:c>
      <x:c r="D3977" t="str">
        <x:v>New Foods 197</x:v>
      </x:c>
      <x:c r="E3977" t="str">
        <x:v>Cafe</x:v>
      </x:c>
      <x:c r="F3977" t="str">
        <x:v>Hubballi</x:v>
      </x:c>
      <x:c r="G3977" t="str">
        <x:v>Kavya</x:v>
      </x:c>
      <x:c r="H3977" t="str">
        <x:v>P024</x:v>
      </x:c>
      <x:c r="I3977" t="str">
        <x:v>Orange Drink 1L</x:v>
      </x:c>
      <x:c r="J3977" t="str">
        <x:v>Beverage</x:v>
      </x:c>
      <x:c r="K3977" t="str">
        <x:v>Minute Maid</x:v>
      </x:c>
      <x:c r="L3977" s="22" t="n">
        <x:v>105</x:v>
      </x:c>
      <x:c r="M3977" t="n">
        <x:v>33</x:v>
      </x:c>
      <x:c r="N3977" s="24" t="n">
        <x:v>0</x:v>
      </x:c>
      <x:c r="O3977" s="22" t="n">
        <x:f>L3977*M3977</x:f>
        <x:v>3465</x:v>
      </x:c>
      <x:c r="P3977" s="22" t="n">
        <x:f>O3977*(1-N3977)</x:f>
        <x:v>3465</x:v>
      </x:c>
      <x:c r="Q3977" s="22" t="n">
        <x:v>88</x:v>
      </x:c>
      <x:c r="R3977" s="22" t="n">
        <x:f>Q3977*M3977</x:f>
        <x:v>2904</x:v>
      </x:c>
      <x:c r="S3977" s="22" t="n">
        <x:f>P3977-R3977</x:f>
        <x:v>561</x:v>
      </x:c>
      <x:c r="T3977" t="str">
        <x:v>Bank Transfer</x:v>
      </x:c>
      <x:c r="U3977" t="str">
        <x:v>Paid</x:v>
      </x:c>
      <x:c r="V3977" t="str">
        <x:v>Delivered</x:v>
      </x:c>
      <x:c r="W3977" t="n">
        <x:v>0</x:v>
      </x:c>
      <x:c r="X3977" t="str"/>
      <x:c r="Y3977" t="str">
        <x:v>Field Visit</x:v>
      </x:c>
    </x:row>
    <x:row r="3978">
      <x:c r="A3978" t="str">
        <x:v>O003977</x:v>
      </x:c>
      <x:c r="B3978" s="20" t="n">
        <x:v>45928</x:v>
      </x:c>
      <x:c r="C3978" t="str">
        <x:v>C0149</x:v>
      </x:c>
      <x:c r="D3978" t="str">
        <x:v>Annapurna Hotel 149</x:v>
      </x:c>
      <x:c r="E3978" t="str">
        <x:v>Cafe</x:v>
      </x:c>
      <x:c r="F3978" t="str">
        <x:v>Tumakuru</x:v>
      </x:c>
      <x:c r="G3978" t="str">
        <x:v>Megha</x:v>
      </x:c>
      <x:c r="H3978" t="str">
        <x:v>P027</x:v>
      </x:c>
      <x:c r="I3978" t="str">
        <x:v>Biscuits 120g</x:v>
      </x:c>
      <x:c r="J3978" t="str">
        <x:v>Snacks</x:v>
      </x:c>
      <x:c r="K3978" t="str">
        <x:v>Parle-G</x:v>
      </x:c>
      <x:c r="L3978" s="22" t="n">
        <x:v>12</x:v>
      </x:c>
      <x:c r="M3978" t="n">
        <x:v>2</x:v>
      </x:c>
      <x:c r="N3978" s="24" t="n">
        <x:v>0</x:v>
      </x:c>
      <x:c r="O3978" s="22" t="n">
        <x:f>L3978*M3978</x:f>
        <x:v>24</x:v>
      </x:c>
      <x:c r="P3978" s="22" t="n">
        <x:f>O3978*(1-N3978)</x:f>
        <x:v>24</x:v>
      </x:c>
      <x:c r="Q3978" s="22" t="n">
        <x:v>9</x:v>
      </x:c>
      <x:c r="R3978" s="22" t="n">
        <x:f>Q3978*M3978</x:f>
        <x:v>18</x:v>
      </x:c>
      <x:c r="S3978" s="22" t="n">
        <x:f>P3978-R3978</x:f>
        <x:v>6</x:v>
      </x:c>
      <x:c r="T3978" t="str">
        <x:v>UPI</x:v>
      </x:c>
      <x:c r="U3978" t="str">
        <x:v>Paid</x:v>
      </x:c>
      <x:c r="V3978" t="str">
        <x:v>Delivered</x:v>
      </x:c>
      <x:c r="W3978" t="n">
        <x:v>0</x:v>
      </x:c>
      <x:c r="X3978" t="str"/>
      <x:c r="Y3978" t="str">
        <x:v>Existing Customer</x:v>
      </x:c>
    </x:row>
    <x:row r="3979">
      <x:c r="A3979" t="str">
        <x:v>O003978</x:v>
      </x:c>
      <x:c r="B3979" s="20" t="n">
        <x:v>45992</x:v>
      </x:c>
      <x:c r="C3979" t="str">
        <x:v>C0236</x:v>
      </x:c>
      <x:c r="D3979" t="str">
        <x:v>Foodie Stores 236</x:v>
      </x:c>
      <x:c r="E3979" t="str">
        <x:v>Kirana</x:v>
      </x:c>
      <x:c r="F3979" t="str">
        <x:v>Bengaluru</x:v>
      </x:c>
      <x:c r="G3979" t="str">
        <x:v>Ramesh</x:v>
      </x:c>
      <x:c r="H3979" t="str">
        <x:v>P014</x:v>
      </x:c>
      <x:c r="I3979" t="str">
        <x:v>Rava 5kg</x:v>
      </x:c>
      <x:c r="J3979" t="str">
        <x:v>Flour</x:v>
      </x:c>
      <x:c r="K3979" t="str">
        <x:v>Local Select</x:v>
      </x:c>
      <x:c r="L3979" s="22" t="n">
        <x:v>245</x:v>
      </x:c>
      <x:c r="M3979" t="n">
        <x:v>12</x:v>
      </x:c>
      <x:c r="N3979" s="24" t="n">
        <x:v>0</x:v>
      </x:c>
      <x:c r="O3979" s="22" t="n">
        <x:f>L3979*M3979</x:f>
        <x:v>2940</x:v>
      </x:c>
      <x:c r="P3979" s="22" t="n">
        <x:f>O3979*(1-N3979)</x:f>
        <x:v>2940</x:v>
      </x:c>
      <x:c r="Q3979" s="22" t="n">
        <x:v>215</x:v>
      </x:c>
      <x:c r="R3979" s="22" t="n">
        <x:f>Q3979*M3979</x:f>
        <x:v>2580</x:v>
      </x:c>
      <x:c r="S3979" s="22" t="n">
        <x:f>P3979-R3979</x:f>
        <x:v>360</x:v>
      </x:c>
      <x:c r="T3979" t="str">
        <x:v>Credit</x:v>
      </x:c>
      <x:c r="U3979" t="str">
        <x:v>Paid</x:v>
      </x:c>
      <x:c r="V3979" t="str">
        <x:v>Delivered</x:v>
      </x:c>
      <x:c r="W3979" t="n">
        <x:v>0</x:v>
      </x:c>
      <x:c r="X3979" t="str"/>
      <x:c r="Y3979" t="str">
        <x:v>WhatsApp</x:v>
      </x:c>
    </x:row>
    <x:row r="3980">
      <x:c r="A3980" t="str">
        <x:v>O003979</x:v>
      </x:c>
      <x:c r="B3980" s="20" t="n">
        <x:v>45737</x:v>
      </x:c>
      <x:c r="C3980" t="str">
        <x:v>C0146</x:v>
      </x:c>
      <x:c r="D3980" t="str">
        <x:v>Annapurna Hotel 146</x:v>
      </x:c>
      <x:c r="E3980" t="str">
        <x:v>Restaurant</x:v>
      </x:c>
      <x:c r="F3980" t="str">
        <x:v>Davanagere</x:v>
      </x:c>
      <x:c r="G3980" t="str">
        <x:v>Arjun</x:v>
      </x:c>
      <x:c r="H3980" t="str">
        <x:v>P014</x:v>
      </x:c>
      <x:c r="I3980" t="str">
        <x:v>Rava 5kg</x:v>
      </x:c>
      <x:c r="J3980" t="str">
        <x:v>Flour</x:v>
      </x:c>
      <x:c r="K3980" t="str">
        <x:v>Local Select</x:v>
      </x:c>
      <x:c r="L3980" s="22" t="n">
        <x:v>245</x:v>
      </x:c>
      <x:c r="M3980" t="n">
        <x:v>25</x:v>
      </x:c>
      <x:c r="N3980" s="24" t="n">
        <x:v>0.05</x:v>
      </x:c>
      <x:c r="O3980" s="22" t="n">
        <x:f>L3980*M3980</x:f>
        <x:v>6125</x:v>
      </x:c>
      <x:c r="P3980" s="22" t="n">
        <x:f>O3980*(1-N3980)</x:f>
        <x:v>5818.75</x:v>
      </x:c>
      <x:c r="Q3980" s="22" t="n">
        <x:v>215</x:v>
      </x:c>
      <x:c r="R3980" s="22" t="n">
        <x:f>Q3980*M3980</x:f>
        <x:v>5375</x:v>
      </x:c>
      <x:c r="S3980" s="22" t="n">
        <x:f>P3980-R3980</x:f>
        <x:v>443.75</x:v>
      </x:c>
      <x:c r="T3980" t="str">
        <x:v>Bank Transfer</x:v>
      </x:c>
      <x:c r="U3980" t="str">
        <x:v>Pending</x:v>
      </x:c>
      <x:c r="V3980" t="str">
        <x:v>Delivered</x:v>
      </x:c>
      <x:c r="W3980" t="n">
        <x:v>0</x:v>
      </x:c>
      <x:c r="X3980" t="str"/>
      <x:c r="Y3980" t="str">
        <x:v>Referral</x:v>
      </x:c>
    </x:row>
    <x:row r="3981">
      <x:c r="A3981" t="str">
        <x:v>O003980</x:v>
      </x:c>
      <x:c r="B3981" s="20" t="n">
        <x:v>45957</x:v>
      </x:c>
      <x:c r="C3981" t="str">
        <x:v>C0098</x:v>
      </x:c>
      <x:c r="D3981" t="str">
        <x:v>City Stores 98</x:v>
      </x:c>
      <x:c r="E3981" t="str">
        <x:v>Canteen</x:v>
      </x:c>
      <x:c r="F3981" t="str">
        <x:v>Mangaluru</x:v>
      </x:c>
      <x:c r="G3981" t="str">
        <x:v>Imran</x:v>
      </x:c>
      <x:c r="H3981" t="str">
        <x:v>P007</x:v>
      </x:c>
      <x:c r="I3981" t="str">
        <x:v>Sunflower Oil 15L</x:v>
      </x:c>
      <x:c r="J3981" t="str">
        <x:v>Edible Oil</x:v>
      </x:c>
      <x:c r="K3981" t="str">
        <x:v>Fortune</x:v>
      </x:c>
      <x:c r="L3981" s="22" t="n">
        <x:v>1980</x:v>
      </x:c>
      <x:c r="M3981" t="n">
        <x:v>9</x:v>
      </x:c>
      <x:c r="N3981" s="24" t="n">
        <x:v>0.1</x:v>
      </x:c>
      <x:c r="O3981" s="22" t="n">
        <x:f>L3981*M3981</x:f>
        <x:v>17820</x:v>
      </x:c>
      <x:c r="P3981" s="22" t="n">
        <x:f>O3981*(1-N3981)</x:f>
        <x:v>16038</x:v>
      </x:c>
      <x:c r="Q3981" s="22" t="n">
        <x:v>1810</x:v>
      </x:c>
      <x:c r="R3981" s="22" t="n">
        <x:f>Q3981*M3981</x:f>
        <x:v>16290</x:v>
      </x:c>
      <x:c r="S3981" s="22" t="n">
        <x:f>P3981-R3981</x:f>
        <x:v>-252</x:v>
      </x:c>
      <x:c r="T3981" t="str">
        <x:v>Bank Transfer</x:v>
      </x:c>
      <x:c r="U3981" t="str">
        <x:v>Paid</x:v>
      </x:c>
      <x:c r="V3981" t="str">
        <x:v>Delivered</x:v>
      </x:c>
      <x:c r="W3981" t="n">
        <x:v>0</x:v>
      </x:c>
      <x:c r="X3981" t="str"/>
      <x:c r="Y3981" t="str">
        <x:v>WhatsApp</x:v>
      </x:c>
    </x:row>
    <x:row r="3982">
      <x:c r="A3982" t="str">
        <x:v>O003981</x:v>
      </x:c>
      <x:c r="B3982" s="20" t="n">
        <x:v>45960</x:v>
      </x:c>
      <x:c r="C3982" t="str">
        <x:v>C0204</x:v>
      </x:c>
      <x:c r="D3982" t="str">
        <x:v>Udupi Stores 204</x:v>
      </x:c>
      <x:c r="E3982" t="str">
        <x:v>Kirana</x:v>
      </x:c>
      <x:c r="F3982" t="str">
        <x:v>Bengaluru</x:v>
      </x:c>
      <x:c r="G3982" t="str">
        <x:v>Vikram</x:v>
      </x:c>
      <x:c r="H3982" t="str">
        <x:v>P038</x:v>
      </x:c>
      <x:c r="I3982" t="str">
        <x:v>French Fries 2.5kg</x:v>
      </x:c>
      <x:c r="J3982" t="str">
        <x:v>Frozen</x:v>
      </x:c>
      <x:c r="K3982" t="str">
        <x:v>McCain</x:v>
      </x:c>
      <x:c r="L3982" s="22" t="n">
        <x:v>360</x:v>
      </x:c>
      <x:c r="M3982" t="n">
        <x:v>21</x:v>
      </x:c>
      <x:c r="N3982" s="24" t="n">
        <x:v>0.03</x:v>
      </x:c>
      <x:c r="O3982" s="22" t="n">
        <x:f>L3982*M3982</x:f>
        <x:v>7560</x:v>
      </x:c>
      <x:c r="P3982" s="22" t="n">
        <x:f>O3982*(1-N3982)</x:f>
        <x:v>7333.2</x:v>
      </x:c>
      <x:c r="Q3982" s="22" t="n">
        <x:v>315</x:v>
      </x:c>
      <x:c r="R3982" s="22" t="n">
        <x:f>Q3982*M3982</x:f>
        <x:v>6615</x:v>
      </x:c>
      <x:c r="S3982" s="22" t="n">
        <x:f>P3982-R3982</x:f>
        <x:v>718.1999999999998</x:v>
      </x:c>
      <x:c r="T3982" t="str">
        <x:v>Cash</x:v>
      </x:c>
      <x:c r="U3982" t="str">
        <x:v>Paid</x:v>
      </x:c>
      <x:c r="V3982" t="str">
        <x:v>Delivered</x:v>
      </x:c>
      <x:c r="W3982" t="n">
        <x:v>0</x:v>
      </x:c>
      <x:c r="X3982" t="str"/>
      <x:c r="Y3982" t="str">
        <x:v>Existing Customer</x:v>
      </x:c>
    </x:row>
    <x:row r="3983">
      <x:c r="A3983" t="str">
        <x:v>O003982</x:v>
      </x:c>
      <x:c r="B3983" s="20" t="n">
        <x:v>46270</x:v>
      </x:c>
      <x:c r="C3983" t="str">
        <x:v>C0142</x:v>
      </x:c>
      <x:c r="D3983" t="str">
        <x:v>Darshini Mart 142</x:v>
      </x:c>
      <x:c r="E3983" t="str">
        <x:v>Cafe</x:v>
      </x:c>
      <x:c r="F3983" t="str">
        <x:v>Bengaluru</x:v>
      </x:c>
      <x:c r="G3983" t="str">
        <x:v>Megha</x:v>
      </x:c>
      <x:c r="H3983" t="str">
        <x:v>P005</x:v>
      </x:c>
      <x:c r="I3983" t="str">
        <x:v>Chana Dal 5kg</x:v>
      </x:c>
      <x:c r="J3983" t="str">
        <x:v>Pulses</x:v>
      </x:c>
      <x:c r="K3983" t="str">
        <x:v>Local Select</x:v>
      </x:c>
      <x:c r="L3983" s="22" t="n">
        <x:v>520</x:v>
      </x:c>
      <x:c r="M3983" t="n">
        <x:v>1</x:v>
      </x:c>
      <x:c r="N3983" s="24" t="n">
        <x:v>0</x:v>
      </x:c>
      <x:c r="O3983" s="22" t="n">
        <x:f>L3983*M3983</x:f>
        <x:v>520</x:v>
      </x:c>
      <x:c r="P3983" s="22" t="n">
        <x:f>O3983*(1-N3983)</x:f>
        <x:v>520</x:v>
      </x:c>
      <x:c r="Q3983" s="22" t="n">
        <x:v>455</x:v>
      </x:c>
      <x:c r="R3983" s="22" t="n">
        <x:f>Q3983*M3983</x:f>
        <x:v>455</x:v>
      </x:c>
      <x:c r="S3983" s="22" t="n">
        <x:f>P3983-R3983</x:f>
        <x:v>65</x:v>
      </x:c>
      <x:c r="T3983" t="str">
        <x:v>Cash</x:v>
      </x:c>
      <x:c r="U3983" t="str">
        <x:v>Paid</x:v>
      </x:c>
      <x:c r="V3983" t="str">
        <x:v>Delivered</x:v>
      </x:c>
      <x:c r="W3983" t="n">
        <x:v>0</x:v>
      </x:c>
      <x:c r="X3983" t="str"/>
      <x:c r="Y3983" t="str">
        <x:v>Referral</x:v>
      </x:c>
    </x:row>
    <x:row r="3984">
      <x:c r="A3984" t="str">
        <x:v>O003983</x:v>
      </x:c>
      <x:c r="B3984" s="20" t="n">
        <x:v>45889</x:v>
      </x:c>
      <x:c r="C3984" t="str">
        <x:v>C0041</x:v>
      </x:c>
      <x:c r="D3984" t="str">
        <x:v>Grand Mart 41</x:v>
      </x:c>
      <x:c r="E3984" t="str">
        <x:v>Cafe</x:v>
      </x:c>
      <x:c r="F3984" t="str">
        <x:v>Bengaluru</x:v>
      </x:c>
      <x:c r="G3984" t="str">
        <x:v>Kavya</x:v>
      </x:c>
      <x:c r="H3984" t="str">
        <x:v>P027</x:v>
      </x:c>
      <x:c r="I3984" t="str">
        <x:v>Biscuits 120g</x:v>
      </x:c>
      <x:c r="J3984" t="str">
        <x:v>Snacks</x:v>
      </x:c>
      <x:c r="K3984" t="str">
        <x:v>Parle-G</x:v>
      </x:c>
      <x:c r="L3984" s="22" t="n">
        <x:v>12</x:v>
      </x:c>
      <x:c r="M3984" t="n">
        <x:v>24</x:v>
      </x:c>
      <x:c r="N3984" s="24" t="n">
        <x:v>0.03</x:v>
      </x:c>
      <x:c r="O3984" s="22" t="n">
        <x:f>L3984*M3984</x:f>
        <x:v>288</x:v>
      </x:c>
      <x:c r="P3984" s="22" t="n">
        <x:f>O3984*(1-N3984)</x:f>
        <x:v>279.36</x:v>
      </x:c>
      <x:c r="Q3984" s="22" t="n">
        <x:v>9</x:v>
      </x:c>
      <x:c r="R3984" s="22" t="n">
        <x:f>Q3984*M3984</x:f>
        <x:v>216</x:v>
      </x:c>
      <x:c r="S3984" s="22" t="n">
        <x:f>P3984-R3984</x:f>
        <x:v>63.360000000000014</x:v>
      </x:c>
      <x:c r="T3984" t="str">
        <x:v>UPI</x:v>
      </x:c>
      <x:c r="U3984" t="str">
        <x:v>Paid</x:v>
      </x:c>
      <x:c r="V3984" t="str">
        <x:v>Delivered</x:v>
      </x:c>
      <x:c r="W3984" t="n">
        <x:v>0</x:v>
      </x:c>
      <x:c r="X3984" t="str"/>
      <x:c r="Y3984" t="str">
        <x:v>Referral</x:v>
      </x:c>
    </x:row>
    <x:row r="3985">
      <x:c r="A3985" t="str">
        <x:v>O003984</x:v>
      </x:c>
      <x:c r="B3985" s="20" t="n">
        <x:v>45686</x:v>
      </x:c>
      <x:c r="C3985" t="str">
        <x:v>C0062</x:v>
      </x:c>
      <x:c r="D3985" t="str">
        <x:v>Foodie Hotel 62</x:v>
      </x:c>
      <x:c r="E3985" t="str">
        <x:v>Cafe</x:v>
      </x:c>
      <x:c r="F3985" t="str">
        <x:v>Mysuru</x:v>
      </x:c>
      <x:c r="G3985" t="str">
        <x:v>Vikram</x:v>
      </x:c>
      <x:c r="H3985" t="str">
        <x:v>P042</x:v>
      </x:c>
      <x:c r="I3985" t="str">
        <x:v>Eggs 30pc Tray</x:v>
      </x:c>
      <x:c r="J3985" t="str">
        <x:v>Protein</x:v>
      </x:c>
      <x:c r="K3985" t="str">
        <x:v>Farm Fresh</x:v>
      </x:c>
      <x:c r="L3985" s="22" t="n">
        <x:v>195</x:v>
      </x:c>
      <x:c r="M3985" t="n">
        <x:v>10</x:v>
      </x:c>
      <x:c r="N3985" s="24" t="n">
        <x:v>0.05</x:v>
      </x:c>
      <x:c r="O3985" s="22" t="n">
        <x:f>L3985*M3985</x:f>
        <x:v>1950</x:v>
      </x:c>
      <x:c r="P3985" s="22" t="n">
        <x:f>O3985*(1-N3985)</x:f>
        <x:v>1852.5</x:v>
      </x:c>
      <x:c r="Q3985" s="22" t="n">
        <x:v>170</x:v>
      </x:c>
      <x:c r="R3985" s="22" t="n">
        <x:f>Q3985*M3985</x:f>
        <x:v>1700</x:v>
      </x:c>
      <x:c r="S3985" s="22" t="n">
        <x:f>P3985-R3985</x:f>
        <x:v>152.5</x:v>
      </x:c>
      <x:c r="T3985" t="str">
        <x:v>Credit</x:v>
      </x:c>
      <x:c r="U3985" t="str">
        <x:v>Paid</x:v>
      </x:c>
      <x:c r="V3985" t="str">
        <x:v>Delivered</x:v>
      </x:c>
      <x:c r="W3985" t="n">
        <x:v>4</x:v>
      </x:c>
      <x:c r="X3985" t="str">
        <x:v>Quality Issue</x:v>
      </x:c>
      <x:c r="Y3985" t="str">
        <x:v>WhatsApp</x:v>
      </x:c>
    </x:row>
    <x:row r="3986">
      <x:c r="A3986" t="str">
        <x:v>O003985</x:v>
      </x:c>
      <x:c r="B3986" s="20" t="n">
        <x:v>45829</x:v>
      </x:c>
      <x:c r="C3986" t="str">
        <x:v>C0076</x:v>
      </x:c>
      <x:c r="D3986" t="str">
        <x:v>Sri Canteen 76</x:v>
      </x:c>
      <x:c r="E3986" t="str">
        <x:v>Canteen</x:v>
      </x:c>
      <x:c r="F3986" t="str">
        <x:v>Tumakuru</x:v>
      </x:c>
      <x:c r="G3986" t="str">
        <x:v>Priya</x:v>
      </x:c>
      <x:c r="H3986" t="str">
        <x:v>P038</x:v>
      </x:c>
      <x:c r="I3986" t="str">
        <x:v>French Fries 2.5kg</x:v>
      </x:c>
      <x:c r="J3986" t="str">
        <x:v>Frozen</x:v>
      </x:c>
      <x:c r="K3986" t="str">
        <x:v>McCain</x:v>
      </x:c>
      <x:c r="L3986" s="22" t="n">
        <x:v>360</x:v>
      </x:c>
      <x:c r="M3986" t="n">
        <x:v>13</x:v>
      </x:c>
      <x:c r="N3986" s="24" t="n">
        <x:v>0.02</x:v>
      </x:c>
      <x:c r="O3986" s="22" t="n">
        <x:f>L3986*M3986</x:f>
        <x:v>4680</x:v>
      </x:c>
      <x:c r="P3986" s="22" t="n">
        <x:f>O3986*(1-N3986)</x:f>
        <x:v>4586.4</x:v>
      </x:c>
      <x:c r="Q3986" s="22" t="n">
        <x:v>315</x:v>
      </x:c>
      <x:c r="R3986" s="22" t="n">
        <x:f>Q3986*M3986</x:f>
        <x:v>4095</x:v>
      </x:c>
      <x:c r="S3986" s="22" t="n">
        <x:f>P3986-R3986</x:f>
        <x:v>491.39999999999964</x:v>
      </x:c>
      <x:c r="T3986" t="str">
        <x:v>Credit</x:v>
      </x:c>
      <x:c r="U3986" t="str">
        <x:v>Paid</x:v>
      </x:c>
      <x:c r="V3986" t="str">
        <x:v>Delivered</x:v>
      </x:c>
      <x:c r="W3986" t="n">
        <x:v>0</x:v>
      </x:c>
      <x:c r="X3986" t="str"/>
      <x:c r="Y3986" t="str">
        <x:v>Field Visit</x:v>
      </x:c>
    </x:row>
    <x:row r="3987">
      <x:c r="A3987" t="str">
        <x:v>O003986</x:v>
      </x:c>
      <x:c r="B3987" s="20" t="n">
        <x:v>45745</x:v>
      </x:c>
      <x:c r="C3987" t="str">
        <x:v>C0095</x:v>
      </x:c>
      <x:c r="D3987" t="str">
        <x:v>Spice Restaurant 95</x:v>
      </x:c>
      <x:c r="E3987" t="str">
        <x:v>Restaurant</x:v>
      </x:c>
      <x:c r="F3987" t="str">
        <x:v>Bengaluru</x:v>
      </x:c>
      <x:c r="G3987" t="str">
        <x:v>Megha</x:v>
      </x:c>
      <x:c r="H3987" t="str">
        <x:v>P031</x:v>
      </x:c>
      <x:c r="I3987" t="str">
        <x:v>Chilli Sauce 700g</x:v>
      </x:c>
      <x:c r="J3987" t="str">
        <x:v>Condiments</x:v>
      </x:c>
      <x:c r="K3987" t="str">
        <x:v>Ching's</x:v>
      </x:c>
      <x:c r="L3987" s="22" t="n">
        <x:v>130</x:v>
      </x:c>
      <x:c r="M3987" t="n">
        <x:v>32</x:v>
      </x:c>
      <x:c r="N3987" s="24" t="n">
        <x:v>0.02</x:v>
      </x:c>
      <x:c r="O3987" s="22" t="n">
        <x:f>L3987*M3987</x:f>
        <x:v>4160</x:v>
      </x:c>
      <x:c r="P3987" s="22" t="n">
        <x:f>O3987*(1-N3987)</x:f>
        <x:v>4076.7999999999997</x:v>
      </x:c>
      <x:c r="Q3987" s="22" t="n">
        <x:v>112</x:v>
      </x:c>
      <x:c r="R3987" s="22" t="n">
        <x:f>Q3987*M3987</x:f>
        <x:v>3584</x:v>
      </x:c>
      <x:c r="S3987" s="22" t="n">
        <x:f>P3987-R3987</x:f>
        <x:v>492.7999999999997</x:v>
      </x:c>
      <x:c r="T3987" t="str">
        <x:v>Bank Transfer</x:v>
      </x:c>
      <x:c r="U3987" t="str">
        <x:v>Paid</x:v>
      </x:c>
      <x:c r="V3987" t="str">
        <x:v>Delivered</x:v>
      </x:c>
      <x:c r="W3987" t="n">
        <x:v>0</x:v>
      </x:c>
      <x:c r="X3987" t="str"/>
      <x:c r="Y3987" t="str">
        <x:v>Existing Customer</x:v>
      </x:c>
    </x:row>
    <x:row r="3988">
      <x:c r="A3988" t="str">
        <x:v>O003987</x:v>
      </x:c>
      <x:c r="B3988" s="20" t="n">
        <x:v>46014</x:v>
      </x:c>
      <x:c r="C3988" t="str">
        <x:v>C0217</x:v>
      </x:c>
      <x:c r="D3988" t="str">
        <x:v>Darshini Cafe 217</x:v>
      </x:c>
      <x:c r="E3988" t="str">
        <x:v>Restaurant</x:v>
      </x:c>
      <x:c r="F3988" t="str">
        <x:v>Bengaluru</x:v>
      </x:c>
      <x:c r="G3988" t="str">
        <x:v>Priya</x:v>
      </x:c>
      <x:c r="H3988" t="str">
        <x:v>P032</x:v>
      </x:c>
      <x:c r="I3988" t="str">
        <x:v>Soy Sauce 700g</x:v>
      </x:c>
      <x:c r="J3988" t="str">
        <x:v>Condiments</x:v>
      </x:c>
      <x:c r="K3988" t="str">
        <x:v>Ching's</x:v>
      </x:c>
      <x:c r="L3988" s="22" t="n">
        <x:v>118</x:v>
      </x:c>
      <x:c r="M3988" t="n">
        <x:v>11</x:v>
      </x:c>
      <x:c r="N3988" s="24" t="n">
        <x:v>0.02</x:v>
      </x:c>
      <x:c r="O3988" s="22" t="n">
        <x:f>L3988*M3988</x:f>
        <x:v>1298</x:v>
      </x:c>
      <x:c r="P3988" s="22" t="n">
        <x:f>O3988*(1-N3988)</x:f>
        <x:v>1272.04</x:v>
      </x:c>
      <x:c r="Q3988" s="22" t="n">
        <x:v>101</x:v>
      </x:c>
      <x:c r="R3988" s="22" t="n">
        <x:f>Q3988*M3988</x:f>
        <x:v>1111</x:v>
      </x:c>
      <x:c r="S3988" s="22" t="n">
        <x:f>P3988-R3988</x:f>
        <x:v>161.03999999999996</x:v>
      </x:c>
      <x:c r="T3988" t="str">
        <x:v>UPI</x:v>
      </x:c>
      <x:c r="U3988" t="str">
        <x:v>Paid</x:v>
      </x:c>
      <x:c r="V3988" t="str">
        <x:v>Delivered</x:v>
      </x:c>
      <x:c r="W3988" t="n">
        <x:v>0</x:v>
      </x:c>
      <x:c r="X3988" t="str"/>
      <x:c r="Y3988" t="str">
        <x:v>Existing Customer</x:v>
      </x:c>
    </x:row>
    <x:row r="3989">
      <x:c r="A3989" t="str">
        <x:v>O003988</x:v>
      </x:c>
      <x:c r="B3989" s="20" t="n">
        <x:v>46267</x:v>
      </x:c>
      <x:c r="C3989" t="str">
        <x:v>C0233</x:v>
      </x:c>
      <x:c r="D3989" t="str">
        <x:v>Shree Mart 233</x:v>
      </x:c>
      <x:c r="E3989" t="str">
        <x:v>Kirana</x:v>
      </x:c>
      <x:c r="F3989" t="str">
        <x:v>Mangaluru</x:v>
      </x:c>
      <x:c r="G3989" t="str">
        <x:v>Priya</x:v>
      </x:c>
      <x:c r="H3989" t="str">
        <x:v>P034</x:v>
      </x:c>
      <x:c r="I3989" t="str">
        <x:v>Chilli Powder 1kg</x:v>
      </x:c>
      <x:c r="J3989" t="str">
        <x:v>Spices</x:v>
      </x:c>
      <x:c r="K3989" t="str">
        <x:v>MDH</x:v>
      </x:c>
      <x:c r="L3989" s="22" t="n">
        <x:v>340</x:v>
      </x:c>
      <x:c r="M3989" t="n">
        <x:v>8</x:v>
      </x:c>
      <x:c r="N3989" s="24" t="n">
        <x:v>0.03</x:v>
      </x:c>
      <x:c r="O3989" s="22" t="n">
        <x:f>L3989*M3989</x:f>
        <x:v>2720</x:v>
      </x:c>
      <x:c r="P3989" s="22" t="n">
        <x:f>O3989*(1-N3989)</x:f>
        <x:v>2638.4</x:v>
      </x:c>
      <x:c r="Q3989" s="22" t="n">
        <x:v>295</x:v>
      </x:c>
      <x:c r="R3989" s="22" t="n">
        <x:f>Q3989*M3989</x:f>
        <x:v>2360</x:v>
      </x:c>
      <x:c r="S3989" s="22" t="n">
        <x:f>P3989-R3989</x:f>
        <x:v>278.4000000000001</x:v>
      </x:c>
      <x:c r="T3989" t="str">
        <x:v>Bank Transfer</x:v>
      </x:c>
      <x:c r="U3989" t="str">
        <x:v>Paid</x:v>
      </x:c>
      <x:c r="V3989" t="str">
        <x:v>Delivered</x:v>
      </x:c>
      <x:c r="W3989" t="n">
        <x:v>0</x:v>
      </x:c>
      <x:c r="X3989" t="str"/>
      <x:c r="Y3989" t="str">
        <x:v>Outbound Call</x:v>
      </x:c>
    </x:row>
    <x:row r="3990">
      <x:c r="A3990" t="str">
        <x:v>O003989</x:v>
      </x:c>
      <x:c r="B3990" s="20" t="n">
        <x:v>45927</x:v>
      </x:c>
      <x:c r="C3990" t="str">
        <x:v>C0067</x:v>
      </x:c>
      <x:c r="D3990" t="str">
        <x:v>Royal Restaurant 67</x:v>
      </x:c>
      <x:c r="E3990" t="str">
        <x:v>Supermarket</x:v>
      </x:c>
      <x:c r="F3990" t="str">
        <x:v>Tumakuru</x:v>
      </x:c>
      <x:c r="G3990" t="str">
        <x:v>Sneha</x:v>
      </x:c>
      <x:c r="H3990" t="str">
        <x:v>P011</x:v>
      </x:c>
      <x:c r="I3990" t="str">
        <x:v>Salt 1kg</x:v>
      </x:c>
      <x:c r="J3990" t="str">
        <x:v>Staples</x:v>
      </x:c>
      <x:c r="K3990" t="str">
        <x:v>Tata</x:v>
      </x:c>
      <x:c r="L3990" s="22" t="n">
        <x:v>28</x:v>
      </x:c>
      <x:c r="M3990" t="n">
        <x:v>8</x:v>
      </x:c>
      <x:c r="N3990" s="24" t="n">
        <x:v>0</x:v>
      </x:c>
      <x:c r="O3990" s="22" t="n">
        <x:f>L3990*M3990</x:f>
        <x:v>224</x:v>
      </x:c>
      <x:c r="P3990" s="22" t="n">
        <x:f>O3990*(1-N3990)</x:f>
        <x:v>224</x:v>
      </x:c>
      <x:c r="Q3990" s="22" t="n">
        <x:v>23</x:v>
      </x:c>
      <x:c r="R3990" s="22" t="n">
        <x:f>Q3990*M3990</x:f>
        <x:v>184</x:v>
      </x:c>
      <x:c r="S3990" s="22" t="n">
        <x:f>P3990-R3990</x:f>
        <x:v>40</x:v>
      </x:c>
      <x:c r="T3990" t="str">
        <x:v>Cash</x:v>
      </x:c>
      <x:c r="U3990" t="str">
        <x:v>Overdue</x:v>
      </x:c>
      <x:c r="V3990" t="str">
        <x:v>Delivered</x:v>
      </x:c>
      <x:c r="W3990" t="n">
        <x:v>0</x:v>
      </x:c>
      <x:c r="X3990" t="str"/>
      <x:c r="Y3990" t="str">
        <x:v>WhatsApp</x:v>
      </x:c>
    </x:row>
    <x:row r="3991">
      <x:c r="A3991" t="str">
        <x:v>O003990</x:v>
      </x:c>
      <x:c r="B3991" s="20" t="n">
        <x:v>45866</x:v>
      </x:c>
      <x:c r="C3991" t="str">
        <x:v>C0235</x:v>
      </x:c>
      <x:c r="D3991" t="str">
        <x:v>Darshini Canteen 235</x:v>
      </x:c>
      <x:c r="E3991" t="str">
        <x:v>Hotel</x:v>
      </x:c>
      <x:c r="F3991" t="str">
        <x:v>Mangaluru</x:v>
      </x:c>
      <x:c r="G3991" t="str">
        <x:v>Arjun</x:v>
      </x:c>
      <x:c r="H3991" t="str">
        <x:v>P044</x:v>
      </x:c>
      <x:c r="I3991" t="str">
        <x:v>Chicken Curry Cut 1kg</x:v>
      </x:c>
      <x:c r="J3991" t="str">
        <x:v>Protein</x:v>
      </x:c>
      <x:c r="K3991" t="str">
        <x:v>FreshToHome</x:v>
      </x:c>
      <x:c r="L3991" s="22" t="n">
        <x:v>230</x:v>
      </x:c>
      <x:c r="M3991" t="n">
        <x:v>29</x:v>
      </x:c>
      <x:c r="N3991" s="24" t="n">
        <x:v>0</x:v>
      </x:c>
      <x:c r="O3991" s="22" t="n">
        <x:f>L3991*M3991</x:f>
        <x:v>6670</x:v>
      </x:c>
      <x:c r="P3991" s="22" t="n">
        <x:f>O3991*(1-N3991)</x:f>
        <x:v>6670</x:v>
      </x:c>
      <x:c r="Q3991" s="22" t="n">
        <x:v>205</x:v>
      </x:c>
      <x:c r="R3991" s="22" t="n">
        <x:f>Q3991*M3991</x:f>
        <x:v>5945</x:v>
      </x:c>
      <x:c r="S3991" s="22" t="n">
        <x:f>P3991-R3991</x:f>
        <x:v>725</x:v>
      </x:c>
      <x:c r="T3991" t="str">
        <x:v>Credit</x:v>
      </x:c>
      <x:c r="U3991" t="str">
        <x:v>Pending</x:v>
      </x:c>
      <x:c r="V3991" t="str">
        <x:v>Cancelled</x:v>
      </x:c>
      <x:c r="W3991" t="n">
        <x:v>29</x:v>
      </x:c>
      <x:c r="X3991" t="str">
        <x:v>Cancelled Order</x:v>
      </x:c>
      <x:c r="Y3991" t="str">
        <x:v>Field Visit</x:v>
      </x:c>
    </x:row>
    <x:row r="3992">
      <x:c r="A3992" t="str">
        <x:v>O003991</x:v>
      </x:c>
      <x:c r="B3992" s="20" t="n">
        <x:v>46077</x:v>
      </x:c>
      <x:c r="C3992" t="str">
        <x:v>C0229</x:v>
      </x:c>
      <x:c r="D3992" t="str">
        <x:v>Namma Canteen 229</x:v>
      </x:c>
      <x:c r="E3992" t="str">
        <x:v>Restaurant</x:v>
      </x:c>
      <x:c r="F3992" t="str">
        <x:v>Bengaluru</x:v>
      </x:c>
      <x:c r="G3992" t="str">
        <x:v>Arjun</x:v>
      </x:c>
      <x:c r="H3992" t="str">
        <x:v>P001</x:v>
      </x:c>
      <x:c r="I3992" t="str">
        <x:v>Steam Rice 25kg</x:v>
      </x:c>
      <x:c r="J3992" t="str">
        <x:v>Staples</x:v>
      </x:c>
      <x:c r="K3992" t="str">
        <x:v>Aishwarya</x:v>
      </x:c>
      <x:c r="L3992" s="22" t="n">
        <x:v>1180</x:v>
      </x:c>
      <x:c r="M3992" t="n">
        <x:v>10</x:v>
      </x:c>
      <x:c r="N3992" s="24" t="n">
        <x:v>0.02</x:v>
      </x:c>
      <x:c r="O3992" s="22" t="n">
        <x:f>L3992*M3992</x:f>
        <x:v>11800</x:v>
      </x:c>
      <x:c r="P3992" s="22" t="n">
        <x:f>O3992*(1-N3992)</x:f>
        <x:v>11564</x:v>
      </x:c>
      <x:c r="Q3992" s="22" t="n">
        <x:v>1040</x:v>
      </x:c>
      <x:c r="R3992" s="22" t="n">
        <x:f>Q3992*M3992</x:f>
        <x:v>10400</x:v>
      </x:c>
      <x:c r="S3992" s="22" t="n">
        <x:f>P3992-R3992</x:f>
        <x:v>1164</x:v>
      </x:c>
      <x:c r="T3992" t="str">
        <x:v>Cash</x:v>
      </x:c>
      <x:c r="U3992" t="str">
        <x:v>Paid</x:v>
      </x:c>
      <x:c r="V3992" t="str">
        <x:v>Delayed</x:v>
      </x:c>
      <x:c r="W3992" t="n">
        <x:v>0</x:v>
      </x:c>
      <x:c r="X3992" t="str"/>
      <x:c r="Y3992" t="str">
        <x:v>Field Visit</x:v>
      </x:c>
    </x:row>
    <x:row r="3993">
      <x:c r="A3993" t="str">
        <x:v>O003992</x:v>
      </x:c>
      <x:c r="B3993" s="20" t="n">
        <x:v>45854</x:v>
      </x:c>
      <x:c r="C3993" t="str">
        <x:v>C0209</x:v>
      </x:c>
      <x:c r="D3993" t="str">
        <x:v>Shree Hotel 209</x:v>
      </x:c>
      <x:c r="E3993" t="str">
        <x:v>Restaurant</x:v>
      </x:c>
      <x:c r="F3993" t="str">
        <x:v>Tumakuru</x:v>
      </x:c>
      <x:c r="G3993" t="str">
        <x:v>Ramesh</x:v>
      </x:c>
      <x:c r="H3993" t="str">
        <x:v>P001</x:v>
      </x:c>
      <x:c r="I3993" t="str">
        <x:v>Steam Rice 25kg</x:v>
      </x:c>
      <x:c r="J3993" t="str">
        <x:v>Staples</x:v>
      </x:c>
      <x:c r="K3993" t="str">
        <x:v>Aishwarya</x:v>
      </x:c>
      <x:c r="L3993" s="22" t="n">
        <x:v>1180</x:v>
      </x:c>
      <x:c r="M3993" t="n">
        <x:v>1</x:v>
      </x:c>
      <x:c r="N3993" s="24" t="n">
        <x:v>0.08</x:v>
      </x:c>
      <x:c r="O3993" s="22" t="n">
        <x:f>L3993*M3993</x:f>
        <x:v>1180</x:v>
      </x:c>
      <x:c r="P3993" s="22" t="n">
        <x:f>O3993*(1-N3993)</x:f>
        <x:v>1085.6000000000001</x:v>
      </x:c>
      <x:c r="Q3993" s="22" t="n">
        <x:v>1040</x:v>
      </x:c>
      <x:c r="R3993" s="22" t="n">
        <x:f>Q3993*M3993</x:f>
        <x:v>1040</x:v>
      </x:c>
      <x:c r="S3993" s="22" t="n">
        <x:f>P3993-R3993</x:f>
        <x:v>45.600000000000136</x:v>
      </x:c>
      <x:c r="T3993" t="str">
        <x:v>UPI</x:v>
      </x:c>
      <x:c r="U3993" t="str">
        <x:v>Overdue</x:v>
      </x:c>
      <x:c r="V3993" t="str">
        <x:v>Delivered</x:v>
      </x:c>
      <x:c r="W3993" t="n">
        <x:v>0</x:v>
      </x:c>
      <x:c r="X3993" t="str"/>
      <x:c r="Y3993" t="str">
        <x:v>Outbound Call</x:v>
      </x:c>
    </x:row>
    <x:row r="3994">
      <x:c r="A3994" t="str">
        <x:v>O003993</x:v>
      </x:c>
      <x:c r="B3994" s="20" t="n">
        <x:v>45869</x:v>
      </x:c>
      <x:c r="C3994" t="str">
        <x:v>C0100</x:v>
      </x:c>
      <x:c r="D3994" t="str">
        <x:v>Fresh Mart 100</x:v>
      </x:c>
      <x:c r="E3994" t="str">
        <x:v>Restaurant</x:v>
      </x:c>
      <x:c r="F3994" t="str">
        <x:v>Mysuru</x:v>
      </x:c>
      <x:c r="G3994" t="str">
        <x:v>Imran</x:v>
      </x:c>
      <x:c r="H3994" t="str">
        <x:v>P007</x:v>
      </x:c>
      <x:c r="I3994" t="str">
        <x:v>Sunflower Oil 15L</x:v>
      </x:c>
      <x:c r="J3994" t="str">
        <x:v>Edible Oil</x:v>
      </x:c>
      <x:c r="K3994" t="str">
        <x:v>Fortune</x:v>
      </x:c>
      <x:c r="L3994" s="22" t="n">
        <x:v>1980</x:v>
      </x:c>
      <x:c r="M3994" t="n">
        <x:v>2</x:v>
      </x:c>
      <x:c r="N3994" s="24" t="n">
        <x:v>0</x:v>
      </x:c>
      <x:c r="O3994" s="22" t="n">
        <x:f>L3994*M3994</x:f>
        <x:v>3960</x:v>
      </x:c>
      <x:c r="P3994" s="22" t="n">
        <x:f>O3994*(1-N3994)</x:f>
        <x:v>3960</x:v>
      </x:c>
      <x:c r="Q3994" s="22" t="n">
        <x:v>1810</x:v>
      </x:c>
      <x:c r="R3994" s="22" t="n">
        <x:f>Q3994*M3994</x:f>
        <x:v>3620</x:v>
      </x:c>
      <x:c r="S3994" s="22" t="n">
        <x:f>P3994-R3994</x:f>
        <x:v>340</x:v>
      </x:c>
      <x:c r="T3994" t="str">
        <x:v>Bank Transfer</x:v>
      </x:c>
      <x:c r="U3994" t="str">
        <x:v>Paid</x:v>
      </x:c>
      <x:c r="V3994" t="str">
        <x:v>Delayed</x:v>
      </x:c>
      <x:c r="W3994" t="n">
        <x:v>0</x:v>
      </x:c>
      <x:c r="X3994" t="str"/>
      <x:c r="Y3994" t="str">
        <x:v>Referral</x:v>
      </x:c>
    </x:row>
    <x:row r="3995">
      <x:c r="A3995" t="str">
        <x:v>O003994</x:v>
      </x:c>
      <x:c r="B3995" s="20" t="n">
        <x:v>45747</x:v>
      </x:c>
      <x:c r="C3995" t="str">
        <x:v>C0171</x:v>
      </x:c>
      <x:c r="D3995" t="str">
        <x:v>Metro Canteen 171</x:v>
      </x:c>
      <x:c r="E3995" t="str">
        <x:v>Restaurant</x:v>
      </x:c>
      <x:c r="F3995" t="str">
        <x:v>Mangaluru</x:v>
      </x:c>
      <x:c r="G3995" t="str">
        <x:v>Priya</x:v>
      </x:c>
      <x:c r="H3995" t="str">
        <x:v>P034</x:v>
      </x:c>
      <x:c r="I3995" t="str">
        <x:v>Chilli Powder 1kg</x:v>
      </x:c>
      <x:c r="J3995" t="str">
        <x:v>Spices</x:v>
      </x:c>
      <x:c r="K3995" t="str">
        <x:v>MDH</x:v>
      </x:c>
      <x:c r="L3995" s="22" t="n">
        <x:v>340</x:v>
      </x:c>
      <x:c r="M3995" t="n">
        <x:v>30</x:v>
      </x:c>
      <x:c r="N3995" s="24" t="n">
        <x:v>0</x:v>
      </x:c>
      <x:c r="O3995" s="22" t="n">
        <x:f>L3995*M3995</x:f>
        <x:v>10200</x:v>
      </x:c>
      <x:c r="P3995" s="22" t="n">
        <x:f>O3995*(1-N3995)</x:f>
        <x:v>10200</x:v>
      </x:c>
      <x:c r="Q3995" s="22" t="n">
        <x:v>295</x:v>
      </x:c>
      <x:c r="R3995" s="22" t="n">
        <x:f>Q3995*M3995</x:f>
        <x:v>8850</x:v>
      </x:c>
      <x:c r="S3995" s="22" t="n">
        <x:f>P3995-R3995</x:f>
        <x:v>1350</x:v>
      </x:c>
      <x:c r="T3995" t="str">
        <x:v>Bank Transfer</x:v>
      </x:c>
      <x:c r="U3995" t="str">
        <x:v>Overdue</x:v>
      </x:c>
      <x:c r="V3995" t="str">
        <x:v>Delivered</x:v>
      </x:c>
      <x:c r="W3995" t="n">
        <x:v>0</x:v>
      </x:c>
      <x:c r="X3995" t="str"/>
      <x:c r="Y3995" t="str">
        <x:v>Field Visit</x:v>
      </x:c>
    </x:row>
    <x:row r="3996">
      <x:c r="A3996" t="str">
        <x:v>O003995</x:v>
      </x:c>
      <x:c r="B3996" s="20" t="n">
        <x:v>45670</x:v>
      </x:c>
      <x:c r="C3996" t="str">
        <x:v>C0109</x:v>
      </x:c>
      <x:c r="D3996" t="str">
        <x:v>Annapurna Kitchen 109</x:v>
      </x:c>
      <x:c r="E3996" t="str">
        <x:v>Kirana</x:v>
      </x:c>
      <x:c r="F3996" t="str">
        <x:v>Mysuru</x:v>
      </x:c>
      <x:c r="G3996" t="str">
        <x:v>Kavya</x:v>
      </x:c>
      <x:c r="H3996" t="str">
        <x:v>P017</x:v>
      </x:c>
      <x:c r="I3996" t="str">
        <x:v>Butter 500g</x:v>
      </x:c>
      <x:c r="J3996" t="str">
        <x:v>Dairy</x:v>
      </x:c>
      <x:c r="K3996" t="str">
        <x:v>Amul</x:v>
      </x:c>
      <x:c r="L3996" s="22" t="n">
        <x:v>285</x:v>
      </x:c>
      <x:c r="M3996" t="n">
        <x:v>2</x:v>
      </x:c>
      <x:c r="N3996" s="24" t="n">
        <x:v>0</x:v>
      </x:c>
      <x:c r="O3996" s="22" t="n">
        <x:f>L3996*M3996</x:f>
        <x:v>570</x:v>
      </x:c>
      <x:c r="P3996" s="22" t="n">
        <x:f>O3996*(1-N3996)</x:f>
        <x:v>570</x:v>
      </x:c>
      <x:c r="Q3996" s="22" t="n">
        <x:v>258</x:v>
      </x:c>
      <x:c r="R3996" s="22" t="n">
        <x:f>Q3996*M3996</x:f>
        <x:v>516</x:v>
      </x:c>
      <x:c r="S3996" s="22" t="n">
        <x:f>P3996-R3996</x:f>
        <x:v>54</x:v>
      </x:c>
      <x:c r="T3996" t="str">
        <x:v>UPI</x:v>
      </x:c>
      <x:c r="U3996" t="str">
        <x:v>Paid</x:v>
      </x:c>
      <x:c r="V3996" t="str">
        <x:v>Cancelled</x:v>
      </x:c>
      <x:c r="W3996" t="n">
        <x:v>2</x:v>
      </x:c>
      <x:c r="X3996" t="str">
        <x:v>Cancelled Order</x:v>
      </x:c>
      <x:c r="Y3996" t="str">
        <x:v>Field Visit</x:v>
      </x:c>
    </x:row>
    <x:row r="3997">
      <x:c r="A3997" t="str">
        <x:v>O003996</x:v>
      </x:c>
      <x:c r="B3997" s="20" t="n">
        <x:v>46066</x:v>
      </x:c>
      <x:c r="C3997" t="str">
        <x:v>C0034</x:v>
      </x:c>
      <x:c r="D3997" t="str">
        <x:v>City Restaurant 34</x:v>
      </x:c>
      <x:c r="E3997" t="str">
        <x:v>Restaurant</x:v>
      </x:c>
      <x:c r="F3997" t="str">
        <x:v>Mangaluru</x:v>
      </x:c>
      <x:c r="G3997" t="str">
        <x:v>Sneha</x:v>
      </x:c>
      <x:c r="H3997" t="str">
        <x:v>P050</x:v>
      </x:c>
      <x:c r="I3997" t="str">
        <x:v>Lemon 5kg</x:v>
      </x:c>
      <x:c r="J3997" t="str">
        <x:v>Fresh Produce</x:v>
      </x:c>
      <x:c r="K3997" t="str">
        <x:v>Local Market</x:v>
      </x:c>
      <x:c r="L3997" s="22" t="n">
        <x:v>360</x:v>
      </x:c>
      <x:c r="M3997" t="n">
        <x:v>4</x:v>
      </x:c>
      <x:c r="N3997" s="24" t="n">
        <x:v>0.05</x:v>
      </x:c>
      <x:c r="O3997" s="22" t="n">
        <x:f>L3997*M3997</x:f>
        <x:v>1440</x:v>
      </x:c>
      <x:c r="P3997" s="22" t="n">
        <x:f>O3997*(1-N3997)</x:f>
        <x:v>1368</x:v>
      </x:c>
      <x:c r="Q3997" s="22" t="n">
        <x:v>300</x:v>
      </x:c>
      <x:c r="R3997" s="22" t="n">
        <x:f>Q3997*M3997</x:f>
        <x:v>1200</x:v>
      </x:c>
      <x:c r="S3997" s="22" t="n">
        <x:f>P3997-R3997</x:f>
        <x:v>168</x:v>
      </x:c>
      <x:c r="T3997" t="str">
        <x:v>Credit</x:v>
      </x:c>
      <x:c r="U3997" t="str">
        <x:v>Paid</x:v>
      </x:c>
      <x:c r="V3997" t="str">
        <x:v>Delivered</x:v>
      </x:c>
      <x:c r="W3997" t="n">
        <x:v>0</x:v>
      </x:c>
      <x:c r="X3997" t="str"/>
      <x:c r="Y3997" t="str">
        <x:v>Outbound Call</x:v>
      </x:c>
    </x:row>
    <x:row r="3998">
      <x:c r="A3998" t="str">
        <x:v>O003997</x:v>
      </x:c>
      <x:c r="B3998" s="20" t="n">
        <x:v>45868</x:v>
      </x:c>
      <x:c r="C3998" t="str">
        <x:v>C0223</x:v>
      </x:c>
      <x:c r="D3998" t="str">
        <x:v>Classic Canteen 223</x:v>
      </x:c>
      <x:c r="E3998" t="str">
        <x:v>Restaurant</x:v>
      </x:c>
      <x:c r="F3998" t="str">
        <x:v>Tumakuru</x:v>
      </x:c>
      <x:c r="G3998" t="str">
        <x:v>Kavya</x:v>
      </x:c>
      <x:c r="H3998" t="str">
        <x:v>P018</x:v>
      </x:c>
      <x:c r="I3998" t="str">
        <x:v>Paneer 1kg</x:v>
      </x:c>
      <x:c r="J3998" t="str">
        <x:v>Dairy</x:v>
      </x:c>
      <x:c r="K3998" t="str">
        <x:v>Milky Mist</x:v>
      </x:c>
      <x:c r="L3998" s="22" t="n">
        <x:v>410</x:v>
      </x:c>
      <x:c r="M3998" t="n">
        <x:v>18</x:v>
      </x:c>
      <x:c r="N3998" s="24" t="n">
        <x:v>0.05</x:v>
      </x:c>
      <x:c r="O3998" s="22" t="n">
        <x:f>L3998*M3998</x:f>
        <x:v>7380</x:v>
      </x:c>
      <x:c r="P3998" s="22" t="n">
        <x:f>O3998*(1-N3998)</x:f>
        <x:v>7011</x:v>
      </x:c>
      <x:c r="Q3998" s="22" t="n">
        <x:v>370</x:v>
      </x:c>
      <x:c r="R3998" s="22" t="n">
        <x:f>Q3998*M3998</x:f>
        <x:v>6660</x:v>
      </x:c>
      <x:c r="S3998" s="22" t="n">
        <x:f>P3998-R3998</x:f>
        <x:v>351</x:v>
      </x:c>
      <x:c r="T3998" t="str">
        <x:v>Bank Transfer</x:v>
      </x:c>
      <x:c r="U3998" t="str">
        <x:v>Paid</x:v>
      </x:c>
      <x:c r="V3998" t="str">
        <x:v>Cancelled</x:v>
      </x:c>
      <x:c r="W3998" t="n">
        <x:v>18</x:v>
      </x:c>
      <x:c r="X3998" t="str">
        <x:v>Cancelled Order</x:v>
      </x:c>
      <x:c r="Y3998" t="str">
        <x:v>Outbound Call</x:v>
      </x:c>
    </x:row>
    <x:row r="3999">
      <x:c r="A3999" t="str">
        <x:v>O003998</x:v>
      </x:c>
      <x:c r="B3999" s="20" t="n">
        <x:v>45982</x:v>
      </x:c>
      <x:c r="C3999" t="str">
        <x:v>C0065</x:v>
      </x:c>
      <x:c r="D3999" t="str">
        <x:v>Mysore Stores 65</x:v>
      </x:c>
      <x:c r="E3999" t="str">
        <x:v>Kirana</x:v>
      </x:c>
      <x:c r="F3999" t="str">
        <x:v>Tumakuru</x:v>
      </x:c>
      <x:c r="G3999" t="str">
        <x:v>Sneha</x:v>
      </x:c>
      <x:c r="H3999" t="str">
        <x:v>P031</x:v>
      </x:c>
      <x:c r="I3999" t="str">
        <x:v>Chilli Sauce 700g</x:v>
      </x:c>
      <x:c r="J3999" t="str">
        <x:v>Condiments</x:v>
      </x:c>
      <x:c r="K3999" t="str">
        <x:v>Ching's</x:v>
      </x:c>
      <x:c r="L3999" s="22" t="n">
        <x:v>130</x:v>
      </x:c>
      <x:c r="M3999" t="n">
        <x:v>19</x:v>
      </x:c>
      <x:c r="N3999" s="24" t="n">
        <x:v>0.05</x:v>
      </x:c>
      <x:c r="O3999" s="22" t="n">
        <x:f>L3999*M3999</x:f>
        <x:v>2470</x:v>
      </x:c>
      <x:c r="P3999" s="22" t="n">
        <x:f>O3999*(1-N3999)</x:f>
        <x:v>2346.5</x:v>
      </x:c>
      <x:c r="Q3999" s="22" t="n">
        <x:v>112</x:v>
      </x:c>
      <x:c r="R3999" s="22" t="n">
        <x:f>Q3999*M3999</x:f>
        <x:v>2128</x:v>
      </x:c>
      <x:c r="S3999" s="22" t="n">
        <x:f>P3999-R3999</x:f>
        <x:v>218.5</x:v>
      </x:c>
      <x:c r="T3999" t="str">
        <x:v>Credit</x:v>
      </x:c>
      <x:c r="U3999" t="str">
        <x:v>Paid</x:v>
      </x:c>
      <x:c r="V3999" t="str">
        <x:v>Delayed</x:v>
      </x:c>
      <x:c r="W3999" t="n">
        <x:v>0</x:v>
      </x:c>
      <x:c r="X3999" t="str"/>
      <x:c r="Y3999" t="str">
        <x:v>Referral</x:v>
      </x:c>
    </x:row>
    <x:row r="4000">
      <x:c r="A4000" t="str">
        <x:v>O003999</x:v>
      </x:c>
      <x:c r="B4000" s="20" t="n">
        <x:v>46093</x:v>
      </x:c>
      <x:c r="C4000" t="str">
        <x:v>C0244</x:v>
      </x:c>
      <x:c r="D4000" t="str">
        <x:v>Namma Hotel 244</x:v>
      </x:c>
      <x:c r="E4000" t="str">
        <x:v>Kirana</x:v>
      </x:c>
      <x:c r="F4000" t="str">
        <x:v>Tumakuru</x:v>
      </x:c>
      <x:c r="G4000" t="str">
        <x:v>Sneha</x:v>
      </x:c>
      <x:c r="H4000" t="str">
        <x:v>P004</x:v>
      </x:c>
      <x:c r="I4000" t="str">
        <x:v>Toor Dal 5kg</x:v>
      </x:c>
      <x:c r="J4000" t="str">
        <x:v>Pulses</x:v>
      </x:c>
      <x:c r="K4000" t="str">
        <x:v>Tata Sampann</x:v>
      </x:c>
      <x:c r="L4000" s="22" t="n">
        <x:v>780</x:v>
      </x:c>
      <x:c r="M4000" t="n">
        <x:v>19</x:v>
      </x:c>
      <x:c r="N4000" s="24" t="n">
        <x:v>0</x:v>
      </x:c>
      <x:c r="O4000" s="22" t="n">
        <x:f>L4000*M4000</x:f>
        <x:v>14820</x:v>
      </x:c>
      <x:c r="P4000" s="22" t="n">
        <x:f>O4000*(1-N4000)</x:f>
        <x:v>14820</x:v>
      </x:c>
      <x:c r="Q4000" s="22" t="n">
        <x:v>695</x:v>
      </x:c>
      <x:c r="R4000" s="22" t="n">
        <x:f>Q4000*M4000</x:f>
        <x:v>13205</x:v>
      </x:c>
      <x:c r="S4000" s="22" t="n">
        <x:f>P4000-R4000</x:f>
        <x:v>1615</x:v>
      </x:c>
      <x:c r="T4000" t="str">
        <x:v>UPI</x:v>
      </x:c>
      <x:c r="U4000" t="str">
        <x:v>Pending</x:v>
      </x:c>
      <x:c r="V4000" t="str">
        <x:v>Delivered</x:v>
      </x:c>
      <x:c r="W4000" t="n">
        <x:v>0</x:v>
      </x:c>
      <x:c r="X4000" t="str"/>
      <x:c r="Y4000" t="str">
        <x:v>Field Visit</x:v>
      </x:c>
    </x:row>
    <x:row r="4001">
      <x:c r="A4001" t="str">
        <x:v>O004000</x:v>
      </x:c>
      <x:c r="B4001" s="20" t="n">
        <x:v>46269</x:v>
      </x:c>
      <x:c r="C4001" t="str">
        <x:v>C0058</x:v>
      </x:c>
      <x:c r="D4001" t="str">
        <x:v>Spice Kitchen 58</x:v>
      </x:c>
      <x:c r="E4001" t="str">
        <x:v>Supermarket</x:v>
      </x:c>
      <x:c r="F4001" t="str">
        <x:v>Davanagere</x:v>
      </x:c>
      <x:c r="G4001" t="str">
        <x:v>Sneha</x:v>
      </x:c>
      <x:c r="H4001" t="str">
        <x:v>P034</x:v>
      </x:c>
      <x:c r="I4001" t="str">
        <x:v>Chilli Powder 1kg</x:v>
      </x:c>
      <x:c r="J4001" t="str">
        <x:v>Spices</x:v>
      </x:c>
      <x:c r="K4001" t="str">
        <x:v>MDH</x:v>
      </x:c>
      <x:c r="L4001" s="22" t="n">
        <x:v>340</x:v>
      </x:c>
      <x:c r="M4001" t="n">
        <x:v>23</x:v>
      </x:c>
      <x:c r="N4001" s="24" t="n">
        <x:v>0</x:v>
      </x:c>
      <x:c r="O4001" s="22" t="n">
        <x:f>L4001*M4001</x:f>
        <x:v>7820</x:v>
      </x:c>
      <x:c r="P4001" s="22" t="n">
        <x:f>O4001*(1-N4001)</x:f>
        <x:v>7820</x:v>
      </x:c>
      <x:c r="Q4001" s="22" t="n">
        <x:v>295</x:v>
      </x:c>
      <x:c r="R4001" s="22" t="n">
        <x:f>Q4001*M4001</x:f>
        <x:v>6785</x:v>
      </x:c>
      <x:c r="S4001" s="22" t="n">
        <x:f>P4001-R4001</x:f>
        <x:v>1035</x:v>
      </x:c>
      <x:c r="T4001" t="str">
        <x:v>Cash</x:v>
      </x:c>
      <x:c r="U4001" t="str">
        <x:v>Paid</x:v>
      </x:c>
      <x:c r="V4001" t="str">
        <x:v>Delivered</x:v>
      </x:c>
      <x:c r="W4001" t="n">
        <x:v>0</x:v>
      </x:c>
      <x:c r="X4001" t="str"/>
      <x:c r="Y4001" t="str">
        <x:v>WhatsApp</x:v>
      </x:c>
    </x:row>
    <x:row r="4002">
      <x:c r="A4002" t="str">
        <x:v>O004001</x:v>
      </x:c>
      <x:c r="B4002" s="20" t="n">
        <x:v>46165</x:v>
      </x:c>
      <x:c r="C4002" t="str">
        <x:v>C0038</x:v>
      </x:c>
      <x:c r="D4002" t="str">
        <x:v>Mysore Kitchen 38</x:v>
      </x:c>
      <x:c r="E4002" t="str">
        <x:v>Kirana</x:v>
      </x:c>
      <x:c r="F4002" t="str">
        <x:v>Tumakuru</x:v>
      </x:c>
      <x:c r="G4002" t="str">
        <x:v>Priya</x:v>
      </x:c>
      <x:c r="H4002" t="str">
        <x:v>P005</x:v>
      </x:c>
      <x:c r="I4002" t="str">
        <x:v>Chana Dal 5kg</x:v>
      </x:c>
      <x:c r="J4002" t="str">
        <x:v>Pulses</x:v>
      </x:c>
      <x:c r="K4002" t="str">
        <x:v>Local Select</x:v>
      </x:c>
      <x:c r="L4002" s="22" t="n">
        <x:v>520</x:v>
      </x:c>
      <x:c r="M4002" t="n">
        <x:v>19</x:v>
      </x:c>
      <x:c r="N4002" s="24" t="n">
        <x:v>0.03</x:v>
      </x:c>
      <x:c r="O4002" s="22" t="n">
        <x:f>L4002*M4002</x:f>
        <x:v>9880</x:v>
      </x:c>
      <x:c r="P4002" s="22" t="n">
        <x:f>O4002*(1-N4002)</x:f>
        <x:v>9583.6</x:v>
      </x:c>
      <x:c r="Q4002" s="22" t="n">
        <x:v>455</x:v>
      </x:c>
      <x:c r="R4002" s="22" t="n">
        <x:f>Q4002*M4002</x:f>
        <x:v>8645</x:v>
      </x:c>
      <x:c r="S4002" s="22" t="n">
        <x:f>P4002-R4002</x:f>
        <x:v>938.6000000000004</x:v>
      </x:c>
      <x:c r="T4002" t="str">
        <x:v>Cash</x:v>
      </x:c>
      <x:c r="U4002" t="str">
        <x:v>Paid</x:v>
      </x:c>
      <x:c r="V4002" t="str">
        <x:v>Delivered</x:v>
      </x:c>
      <x:c r="W4002" t="n">
        <x:v>0</x:v>
      </x:c>
      <x:c r="X4002" t="str"/>
      <x:c r="Y4002" t="str">
        <x:v>WhatsApp</x:v>
      </x:c>
    </x:row>
    <x:row r="4003">
      <x:c r="A4003" t="str">
        <x:v>O004002</x:v>
      </x:c>
      <x:c r="B4003" s="20" t="n">
        <x:v>45980</x:v>
      </x:c>
      <x:c r="C4003" t="str">
        <x:v>C0070</x:v>
      </x:c>
      <x:c r="D4003" t="str">
        <x:v>Metro Stores 70</x:v>
      </x:c>
      <x:c r="E4003" t="str">
        <x:v>Cafe</x:v>
      </x:c>
      <x:c r="F4003" t="str">
        <x:v>Bengaluru</x:v>
      </x:c>
      <x:c r="G4003" t="str">
        <x:v>Vikram</x:v>
      </x:c>
      <x:c r="H4003" t="str">
        <x:v>P038</x:v>
      </x:c>
      <x:c r="I4003" t="str">
        <x:v>French Fries 2.5kg</x:v>
      </x:c>
      <x:c r="J4003" t="str">
        <x:v>Frozen</x:v>
      </x:c>
      <x:c r="K4003" t="str">
        <x:v>McCain</x:v>
      </x:c>
      <x:c r="L4003" s="22" t="n">
        <x:v>360</x:v>
      </x:c>
      <x:c r="M4003" t="n">
        <x:v>1</x:v>
      </x:c>
      <x:c r="N4003" s="24" t="n">
        <x:v>0.03</x:v>
      </x:c>
      <x:c r="O4003" s="22" t="n">
        <x:f>L4003*M4003</x:f>
        <x:v>360</x:v>
      </x:c>
      <x:c r="P4003" s="22" t="n">
        <x:f>O4003*(1-N4003)</x:f>
        <x:v>349.2</x:v>
      </x:c>
      <x:c r="Q4003" s="22" t="n">
        <x:v>315</x:v>
      </x:c>
      <x:c r="R4003" s="22" t="n">
        <x:f>Q4003*M4003</x:f>
        <x:v>315</x:v>
      </x:c>
      <x:c r="S4003" s="22" t="n">
        <x:f>P4003-R4003</x:f>
        <x:v>34.19999999999999</x:v>
      </x:c>
      <x:c r="T4003" t="str">
        <x:v>Cash</x:v>
      </x:c>
      <x:c r="U4003" t="str">
        <x:v>Paid</x:v>
      </x:c>
      <x:c r="V4003" t="str">
        <x:v>Delivered</x:v>
      </x:c>
      <x:c r="W4003" t="n">
        <x:v>0</x:v>
      </x:c>
      <x:c r="X4003" t="str"/>
      <x:c r="Y4003" t="str">
        <x:v>Referral</x:v>
      </x:c>
    </x:row>
    <x:row r="4004">
      <x:c r="A4004" t="str">
        <x:v>O004003</x:v>
      </x:c>
      <x:c r="B4004" s="20" t="n">
        <x:v>45764</x:v>
      </x:c>
      <x:c r="C4004" t="str">
        <x:v>C0238</x:v>
      </x:c>
      <x:c r="D4004" t="str">
        <x:v>Foodie Foods 238</x:v>
      </x:c>
      <x:c r="E4004" t="str">
        <x:v>Restaurant</x:v>
      </x:c>
      <x:c r="F4004" t="str">
        <x:v>Davanagere</x:v>
      </x:c>
      <x:c r="G4004" t="str">
        <x:v>Megha</x:v>
      </x:c>
      <x:c r="H4004" t="str">
        <x:v>P042</x:v>
      </x:c>
      <x:c r="I4004" t="str">
        <x:v>Eggs 30pc Tray</x:v>
      </x:c>
      <x:c r="J4004" t="str">
        <x:v>Protein</x:v>
      </x:c>
      <x:c r="K4004" t="str">
        <x:v>Farm Fresh</x:v>
      </x:c>
      <x:c r="L4004" s="22" t="n">
        <x:v>195</x:v>
      </x:c>
      <x:c r="M4004" t="n">
        <x:v>15</x:v>
      </x:c>
      <x:c r="N4004" s="24" t="n">
        <x:v>0.05</x:v>
      </x:c>
      <x:c r="O4004" s="22" t="n">
        <x:f>L4004*M4004</x:f>
        <x:v>2925</x:v>
      </x:c>
      <x:c r="P4004" s="22" t="n">
        <x:f>O4004*(1-N4004)</x:f>
        <x:v>2778.75</x:v>
      </x:c>
      <x:c r="Q4004" s="22" t="n">
        <x:v>170</x:v>
      </x:c>
      <x:c r="R4004" s="22" t="n">
        <x:f>Q4004*M4004</x:f>
        <x:v>2550</x:v>
      </x:c>
      <x:c r="S4004" s="22" t="n">
        <x:f>P4004-R4004</x:f>
        <x:v>228.75</x:v>
      </x:c>
      <x:c r="T4004" t="str">
        <x:v>Cash</x:v>
      </x:c>
      <x:c r="U4004" t="str">
        <x:v>Paid</x:v>
      </x:c>
      <x:c r="V4004" t="str">
        <x:v>Cancelled</x:v>
      </x:c>
      <x:c r="W4004" t="n">
        <x:v>15</x:v>
      </x:c>
      <x:c r="X4004" t="str">
        <x:v>Cancelled Order</x:v>
      </x:c>
      <x:c r="Y4004" t="str">
        <x:v>Referral</x:v>
      </x:c>
    </x:row>
    <x:row r="4005">
      <x:c r="A4005" t="str">
        <x:v>O004004</x:v>
      </x:c>
      <x:c r="B4005" s="20" t="n">
        <x:v>45670</x:v>
      </x:c>
      <x:c r="C4005" t="str">
        <x:v>C0194</x:v>
      </x:c>
      <x:c r="D4005" t="str">
        <x:v>Royal Hotel 194</x:v>
      </x:c>
      <x:c r="E4005" t="str">
        <x:v>Kirana</x:v>
      </x:c>
      <x:c r="F4005" t="str">
        <x:v>Mysuru</x:v>
      </x:c>
      <x:c r="G4005" t="str">
        <x:v>Megha</x:v>
      </x:c>
      <x:c r="H4005" t="str">
        <x:v>P044</x:v>
      </x:c>
      <x:c r="I4005" t="str">
        <x:v>Chicken Curry Cut 1kg</x:v>
      </x:c>
      <x:c r="J4005" t="str">
        <x:v>Protein</x:v>
      </x:c>
      <x:c r="K4005" t="str">
        <x:v>FreshToHome</x:v>
      </x:c>
      <x:c r="L4005" s="22" t="n">
        <x:v>230</x:v>
      </x:c>
      <x:c r="M4005" t="n">
        <x:v>32</x:v>
      </x:c>
      <x:c r="N4005" s="24" t="n">
        <x:v>0.03</x:v>
      </x:c>
      <x:c r="O4005" s="22" t="n">
        <x:f>L4005*M4005</x:f>
        <x:v>7360</x:v>
      </x:c>
      <x:c r="P4005" s="22" t="n">
        <x:f>O4005*(1-N4005)</x:f>
        <x:v>7139.2</x:v>
      </x:c>
      <x:c r="Q4005" s="22" t="n">
        <x:v>205</x:v>
      </x:c>
      <x:c r="R4005" s="22" t="n">
        <x:f>Q4005*M4005</x:f>
        <x:v>6560</x:v>
      </x:c>
      <x:c r="S4005" s="22" t="n">
        <x:f>P4005-R4005</x:f>
        <x:v>579.1999999999998</x:v>
      </x:c>
      <x:c r="T4005" t="str">
        <x:v>UPI</x:v>
      </x:c>
      <x:c r="U4005" t="str">
        <x:v>Paid</x:v>
      </x:c>
      <x:c r="V4005" t="str">
        <x:v>Delayed</x:v>
      </x:c>
      <x:c r="W4005" t="n">
        <x:v>0</x:v>
      </x:c>
      <x:c r="X4005" t="str"/>
      <x:c r="Y4005" t="str">
        <x:v>WhatsApp</x:v>
      </x:c>
    </x:row>
    <x:row r="4006">
      <x:c r="A4006" t="str">
        <x:v>O004005</x:v>
      </x:c>
      <x:c r="B4006" s="20" t="n">
        <x:v>45986</x:v>
      </x:c>
      <x:c r="C4006" t="str">
        <x:v>C0176</x:v>
      </x:c>
      <x:c r="D4006" t="str">
        <x:v>Cafe Kitchen 176</x:v>
      </x:c>
      <x:c r="E4006" t="str">
        <x:v>Kirana</x:v>
      </x:c>
      <x:c r="F4006" t="str">
        <x:v>Mysuru</x:v>
      </x:c>
      <x:c r="G4006" t="str">
        <x:v>Priya</x:v>
      </x:c>
      <x:c r="H4006" t="str">
        <x:v>P048</x:v>
      </x:c>
      <x:c r="I4006" t="str">
        <x:v>Banana 10kg</x:v>
      </x:c>
      <x:c r="J4006" t="str">
        <x:v>Fresh Produce</x:v>
      </x:c>
      <x:c r="K4006" t="str">
        <x:v>Local Market</x:v>
      </x:c>
      <x:c r="L4006" s="22" t="n">
        <x:v>420</x:v>
      </x:c>
      <x:c r="M4006" t="n">
        <x:v>29</x:v>
      </x:c>
      <x:c r="N4006" s="24" t="n">
        <x:v>0.05</x:v>
      </x:c>
      <x:c r="O4006" s="22" t="n">
        <x:f>L4006*M4006</x:f>
        <x:v>12180</x:v>
      </x:c>
      <x:c r="P4006" s="22" t="n">
        <x:f>O4006*(1-N4006)</x:f>
        <x:v>11571</x:v>
      </x:c>
      <x:c r="Q4006" s="22" t="n">
        <x:v>350</x:v>
      </x:c>
      <x:c r="R4006" s="22" t="n">
        <x:f>Q4006*M4006</x:f>
        <x:v>10150</x:v>
      </x:c>
      <x:c r="S4006" s="22" t="n">
        <x:f>P4006-R4006</x:f>
        <x:v>1421</x:v>
      </x:c>
      <x:c r="T4006" t="str">
        <x:v>UPI</x:v>
      </x:c>
      <x:c r="U4006" t="str">
        <x:v>Paid</x:v>
      </x:c>
      <x:c r="V4006" t="str">
        <x:v>Delayed</x:v>
      </x:c>
      <x:c r="W4006" t="n">
        <x:v>0</x:v>
      </x:c>
      <x:c r="X4006" t="str"/>
      <x:c r="Y4006" t="str">
        <x:v>Referral</x:v>
      </x:c>
    </x:row>
    <x:row r="4007">
      <x:c r="A4007" t="str">
        <x:v>O004006</x:v>
      </x:c>
      <x:c r="B4007" s="20" t="n">
        <x:v>45988</x:v>
      </x:c>
      <x:c r="C4007" t="str">
        <x:v>C0071</x:v>
      </x:c>
      <x:c r="D4007" t="str">
        <x:v>Shree Restaurant 71</x:v>
      </x:c>
      <x:c r="E4007" t="str">
        <x:v>Cafe</x:v>
      </x:c>
      <x:c r="F4007" t="str">
        <x:v>Tumakuru</x:v>
      </x:c>
      <x:c r="G4007" t="str">
        <x:v>Sneha</x:v>
      </x:c>
      <x:c r="H4007" t="str">
        <x:v>P007</x:v>
      </x:c>
      <x:c r="I4007" t="str">
        <x:v>Sunflower Oil 15L</x:v>
      </x:c>
      <x:c r="J4007" t="str">
        <x:v>Edible Oil</x:v>
      </x:c>
      <x:c r="K4007" t="str">
        <x:v>Fortune</x:v>
      </x:c>
      <x:c r="L4007" s="22" t="n">
        <x:v>1980</x:v>
      </x:c>
      <x:c r="M4007" t="n">
        <x:v>11</x:v>
      </x:c>
      <x:c r="N4007" s="24" t="n">
        <x:v>0.02</x:v>
      </x:c>
      <x:c r="O4007" s="22" t="n">
        <x:f>L4007*M4007</x:f>
        <x:v>21780</x:v>
      </x:c>
      <x:c r="P4007" s="22" t="n">
        <x:f>O4007*(1-N4007)</x:f>
        <x:v>21344.399999999998</x:v>
      </x:c>
      <x:c r="Q4007" s="22" t="n">
        <x:v>1810</x:v>
      </x:c>
      <x:c r="R4007" s="22" t="n">
        <x:f>Q4007*M4007</x:f>
        <x:v>19910</x:v>
      </x:c>
      <x:c r="S4007" s="22" t="n">
        <x:f>P4007-R4007</x:f>
        <x:v>1434.3999999999978</x:v>
      </x:c>
      <x:c r="T4007" t="str">
        <x:v>Cash</x:v>
      </x:c>
      <x:c r="U4007" t="str">
        <x:v>Pending</x:v>
      </x:c>
      <x:c r="V4007" t="str">
        <x:v>Delivered</x:v>
      </x:c>
      <x:c r="W4007" t="n">
        <x:v>0</x:v>
      </x:c>
      <x:c r="X4007" t="str"/>
      <x:c r="Y4007" t="str">
        <x:v>Referral</x:v>
      </x:c>
    </x:row>
    <x:row r="4008">
      <x:c r="A4008" t="str">
        <x:v>O004007</x:v>
      </x:c>
      <x:c r="B4008" s="20" t="n">
        <x:v>46281</x:v>
      </x:c>
      <x:c r="C4008" t="str">
        <x:v>C0168</x:v>
      </x:c>
      <x:c r="D4008" t="str">
        <x:v>Sagar Hotel 168</x:v>
      </x:c>
      <x:c r="E4008" t="str">
        <x:v>Canteen</x:v>
      </x:c>
      <x:c r="F4008" t="str">
        <x:v>Bengaluru</x:v>
      </x:c>
      <x:c r="G4008" t="str">
        <x:v>Priya</x:v>
      </x:c>
      <x:c r="H4008" t="str">
        <x:v>P042</x:v>
      </x:c>
      <x:c r="I4008" t="str">
        <x:v>Eggs 30pc Tray</x:v>
      </x:c>
      <x:c r="J4008" t="str">
        <x:v>Protein</x:v>
      </x:c>
      <x:c r="K4008" t="str">
        <x:v>Farm Fresh</x:v>
      </x:c>
      <x:c r="L4008" s="22" t="n">
        <x:v>195</x:v>
      </x:c>
      <x:c r="M4008" t="n">
        <x:v>31</x:v>
      </x:c>
      <x:c r="N4008" s="24" t="n">
        <x:v>0</x:v>
      </x:c>
      <x:c r="O4008" s="22" t="n">
        <x:f>L4008*M4008</x:f>
        <x:v>6045</x:v>
      </x:c>
      <x:c r="P4008" s="22" t="n">
        <x:f>O4008*(1-N4008)</x:f>
        <x:v>6045</x:v>
      </x:c>
      <x:c r="Q4008" s="22" t="n">
        <x:v>170</x:v>
      </x:c>
      <x:c r="R4008" s="22" t="n">
        <x:f>Q4008*M4008</x:f>
        <x:v>5270</x:v>
      </x:c>
      <x:c r="S4008" s="22" t="n">
        <x:f>P4008-R4008</x:f>
        <x:v>775</x:v>
      </x:c>
      <x:c r="T4008" t="str">
        <x:v>Credit</x:v>
      </x:c>
      <x:c r="U4008" t="str">
        <x:v>Paid</x:v>
      </x:c>
      <x:c r="V4008" t="str">
        <x:v>Cancelled</x:v>
      </x:c>
      <x:c r="W4008" t="n">
        <x:v>31</x:v>
      </x:c>
      <x:c r="X4008" t="str">
        <x:v>Cancelled Order</x:v>
      </x:c>
      <x:c r="Y4008" t="str">
        <x:v>WhatsApp</x:v>
      </x:c>
    </x:row>
    <x:row r="4009">
      <x:c r="A4009" t="str">
        <x:v>O004008</x:v>
      </x:c>
      <x:c r="B4009" s="20" t="n">
        <x:v>46029</x:v>
      </x:c>
      <x:c r="C4009" t="str">
        <x:v>C0093</x:v>
      </x:c>
      <x:c r="D4009" t="str">
        <x:v>Sagar Hotel 93</x:v>
      </x:c>
      <x:c r="E4009" t="str">
        <x:v>Hotel</x:v>
      </x:c>
      <x:c r="F4009" t="str">
        <x:v>Hubballi</x:v>
      </x:c>
      <x:c r="G4009" t="str">
        <x:v>Imran</x:v>
      </x:c>
      <x:c r="H4009" t="str">
        <x:v>P010</x:v>
      </x:c>
      <x:c r="I4009" t="str">
        <x:v>Sugar 25kg</x:v>
      </x:c>
      <x:c r="J4009" t="str">
        <x:v>Staples</x:v>
      </x:c>
      <x:c r="K4009" t="str">
        <x:v>Madhur</x:v>
      </x:c>
      <x:c r="L4009" s="22" t="n">
        <x:v>1190</x:v>
      </x:c>
      <x:c r="M4009" t="n">
        <x:v>2</x:v>
      </x:c>
      <x:c r="N4009" s="24" t="n">
        <x:v>0.05</x:v>
      </x:c>
      <x:c r="O4009" s="22" t="n">
        <x:f>L4009*M4009</x:f>
        <x:v>2380</x:v>
      </x:c>
      <x:c r="P4009" s="22" t="n">
        <x:f>O4009*(1-N4009)</x:f>
        <x:v>2261</x:v>
      </x:c>
      <x:c r="Q4009" s="22" t="n">
        <x:v>1080</x:v>
      </x:c>
      <x:c r="R4009" s="22" t="n">
        <x:f>Q4009*M4009</x:f>
        <x:v>2160</x:v>
      </x:c>
      <x:c r="S4009" s="22" t="n">
        <x:f>P4009-R4009</x:f>
        <x:v>101</x:v>
      </x:c>
      <x:c r="T4009" t="str">
        <x:v>Credit</x:v>
      </x:c>
      <x:c r="U4009" t="str">
        <x:v>Pending</x:v>
      </x:c>
      <x:c r="V4009" t="str">
        <x:v>Delivered</x:v>
      </x:c>
      <x:c r="W4009" t="n">
        <x:v>1</x:v>
      </x:c>
      <x:c r="X4009" t="str">
        <x:v>Wrong Item</x:v>
      </x:c>
      <x:c r="Y4009" t="str">
        <x:v>WhatsApp</x:v>
      </x:c>
    </x:row>
    <x:row r="4010">
      <x:c r="A4010" t="str">
        <x:v>O004009</x:v>
      </x:c>
      <x:c r="B4010" s="20" t="n">
        <x:v>45776</x:v>
      </x:c>
      <x:c r="C4010" t="str">
        <x:v>C0234</x:v>
      </x:c>
      <x:c r="D4010" t="str">
        <x:v>Metro Canteen 234</x:v>
      </x:c>
      <x:c r="E4010" t="str">
        <x:v>Restaurant</x:v>
      </x:c>
      <x:c r="F4010" t="str">
        <x:v>Davanagere</x:v>
      </x:c>
      <x:c r="G4010" t="str">
        <x:v>Priya</x:v>
      </x:c>
      <x:c r="H4010" t="str">
        <x:v>P048</x:v>
      </x:c>
      <x:c r="I4010" t="str">
        <x:v>Banana 10kg</x:v>
      </x:c>
      <x:c r="J4010" t="str">
        <x:v>Fresh Produce</x:v>
      </x:c>
      <x:c r="K4010" t="str">
        <x:v>Local Market</x:v>
      </x:c>
      <x:c r="L4010" s="22" t="n">
        <x:v>420</x:v>
      </x:c>
      <x:c r="M4010" t="n">
        <x:v>34</x:v>
      </x:c>
      <x:c r="N4010" s="24" t="n">
        <x:v>0.02</x:v>
      </x:c>
      <x:c r="O4010" s="22" t="n">
        <x:f>L4010*M4010</x:f>
        <x:v>14280</x:v>
      </x:c>
      <x:c r="P4010" s="22" t="n">
        <x:f>O4010*(1-N4010)</x:f>
        <x:v>13994.4</x:v>
      </x:c>
      <x:c r="Q4010" s="22" t="n">
        <x:v>350</x:v>
      </x:c>
      <x:c r="R4010" s="22" t="n">
        <x:f>Q4010*M4010</x:f>
        <x:v>11900</x:v>
      </x:c>
      <x:c r="S4010" s="22" t="n">
        <x:f>P4010-R4010</x:f>
        <x:v>2094.3999999999996</x:v>
      </x:c>
      <x:c r="T4010" t="str">
        <x:v>Credit</x:v>
      </x:c>
      <x:c r="U4010" t="str">
        <x:v>Paid</x:v>
      </x:c>
      <x:c r="V4010" t="str">
        <x:v>Cancelled</x:v>
      </x:c>
      <x:c r="W4010" t="n">
        <x:v>34</x:v>
      </x:c>
      <x:c r="X4010" t="str">
        <x:v>Cancelled Order</x:v>
      </x:c>
      <x:c r="Y4010" t="str">
        <x:v>WhatsApp</x:v>
      </x:c>
    </x:row>
    <x:row r="4011">
      <x:c r="A4011" t="str">
        <x:v>O004010</x:v>
      </x:c>
      <x:c r="B4011" s="20" t="n">
        <x:v>46025</x:v>
      </x:c>
      <x:c r="C4011" t="str">
        <x:v>C0005</x:v>
      </x:c>
      <x:c r="D4011" t="str">
        <x:v>Sagar Kitchen 5</x:v>
      </x:c>
      <x:c r="E4011" t="str">
        <x:v>Restaurant</x:v>
      </x:c>
      <x:c r="F4011" t="str">
        <x:v>Hubballi</x:v>
      </x:c>
      <x:c r="G4011" t="str">
        <x:v>Priya</x:v>
      </x:c>
      <x:c r="H4011" t="str">
        <x:v>P048</x:v>
      </x:c>
      <x:c r="I4011" t="str">
        <x:v>Banana 10kg</x:v>
      </x:c>
      <x:c r="J4011" t="str">
        <x:v>Fresh Produce</x:v>
      </x:c>
      <x:c r="K4011" t="str">
        <x:v>Local Market</x:v>
      </x:c>
      <x:c r="L4011" s="22" t="n">
        <x:v>420</x:v>
      </x:c>
      <x:c r="M4011" t="n">
        <x:v>11</x:v>
      </x:c>
      <x:c r="N4011" s="24" t="n">
        <x:v>0.03</x:v>
      </x:c>
      <x:c r="O4011" s="22" t="n">
        <x:f>L4011*M4011</x:f>
        <x:v>4620</x:v>
      </x:c>
      <x:c r="P4011" s="22" t="n">
        <x:f>O4011*(1-N4011)</x:f>
        <x:v>4481.4</x:v>
      </x:c>
      <x:c r="Q4011" s="22" t="n">
        <x:v>350</x:v>
      </x:c>
      <x:c r="R4011" s="22" t="n">
        <x:f>Q4011*M4011</x:f>
        <x:v>3850</x:v>
      </x:c>
      <x:c r="S4011" s="22" t="n">
        <x:f>P4011-R4011</x:f>
        <x:v>631.3999999999996</x:v>
      </x:c>
      <x:c r="T4011" t="str">
        <x:v>Cash</x:v>
      </x:c>
      <x:c r="U4011" t="str">
        <x:v>Pending</x:v>
      </x:c>
      <x:c r="V4011" t="str">
        <x:v>Cancelled</x:v>
      </x:c>
      <x:c r="W4011" t="n">
        <x:v>11</x:v>
      </x:c>
      <x:c r="X4011" t="str">
        <x:v>Cancelled Order</x:v>
      </x:c>
      <x:c r="Y4011" t="str">
        <x:v>Field Visit</x:v>
      </x:c>
    </x:row>
    <x:row r="4012">
      <x:c r="A4012" t="str">
        <x:v>O004011</x:v>
      </x:c>
      <x:c r="B4012" s="20" t="n">
        <x:v>46242</x:v>
      </x:c>
      <x:c r="C4012" t="str">
        <x:v>C0090</x:v>
      </x:c>
      <x:c r="D4012" t="str">
        <x:v>Shree Mart 90</x:v>
      </x:c>
      <x:c r="E4012" t="str">
        <x:v>Restaurant</x:v>
      </x:c>
      <x:c r="F4012" t="str">
        <x:v>Davanagere</x:v>
      </x:c>
      <x:c r="G4012" t="str">
        <x:v>Megha</x:v>
      </x:c>
      <x:c r="H4012" t="str">
        <x:v>P031</x:v>
      </x:c>
      <x:c r="I4012" t="str">
        <x:v>Chilli Sauce 700g</x:v>
      </x:c>
      <x:c r="J4012" t="str">
        <x:v>Condiments</x:v>
      </x:c>
      <x:c r="K4012" t="str">
        <x:v>Ching's</x:v>
      </x:c>
      <x:c r="L4012" s="22" t="n">
        <x:v>130</x:v>
      </x:c>
      <x:c r="M4012" t="n">
        <x:v>10</x:v>
      </x:c>
      <x:c r="N4012" s="24" t="n">
        <x:v>0.03</x:v>
      </x:c>
      <x:c r="O4012" s="22" t="n">
        <x:f>L4012*M4012</x:f>
        <x:v>1300</x:v>
      </x:c>
      <x:c r="P4012" s="22" t="n">
        <x:f>O4012*(1-N4012)</x:f>
        <x:v>1261</x:v>
      </x:c>
      <x:c r="Q4012" s="22" t="n">
        <x:v>112</x:v>
      </x:c>
      <x:c r="R4012" s="22" t="n">
        <x:f>Q4012*M4012</x:f>
        <x:v>1120</x:v>
      </x:c>
      <x:c r="S4012" s="22" t="n">
        <x:f>P4012-R4012</x:f>
        <x:v>141</x:v>
      </x:c>
      <x:c r="T4012" t="str">
        <x:v>Cash</x:v>
      </x:c>
      <x:c r="U4012" t="str">
        <x:v>Paid</x:v>
      </x:c>
      <x:c r="V4012" t="str">
        <x:v>Delivered</x:v>
      </x:c>
      <x:c r="W4012" t="n">
        <x:v>0</x:v>
      </x:c>
      <x:c r="X4012" t="str"/>
      <x:c r="Y4012" t="str">
        <x:v>Existing Customer</x:v>
      </x:c>
    </x:row>
    <x:row r="4013">
      <x:c r="A4013" t="str">
        <x:v>O004012</x:v>
      </x:c>
      <x:c r="B4013" s="20" t="n">
        <x:v>46278</x:v>
      </x:c>
      <x:c r="C4013" t="str">
        <x:v>C0243</x:v>
      </x:c>
      <x:c r="D4013" t="str">
        <x:v>Metro Kitchen 243</x:v>
      </x:c>
      <x:c r="E4013" t="str">
        <x:v>Restaurant</x:v>
      </x:c>
      <x:c r="F4013" t="str">
        <x:v>Mangaluru</x:v>
      </x:c>
      <x:c r="G4013" t="str">
        <x:v>Kavya</x:v>
      </x:c>
      <x:c r="H4013" t="str">
        <x:v>P014</x:v>
      </x:c>
      <x:c r="I4013" t="str">
        <x:v>Rava 5kg</x:v>
      </x:c>
      <x:c r="J4013" t="str">
        <x:v>Flour</x:v>
      </x:c>
      <x:c r="K4013" t="str">
        <x:v>Local Select</x:v>
      </x:c>
      <x:c r="L4013" s="22" t="n">
        <x:v>245</x:v>
      </x:c>
      <x:c r="M4013" t="n">
        <x:v>39</x:v>
      </x:c>
      <x:c r="N4013" s="24" t="n">
        <x:v>0.05</x:v>
      </x:c>
      <x:c r="O4013" s="22" t="n">
        <x:f>L4013*M4013</x:f>
        <x:v>9555</x:v>
      </x:c>
      <x:c r="P4013" s="22" t="n">
        <x:f>O4013*(1-N4013)</x:f>
        <x:v>9077.25</x:v>
      </x:c>
      <x:c r="Q4013" s="22" t="n">
        <x:v>215</x:v>
      </x:c>
      <x:c r="R4013" s="22" t="n">
        <x:f>Q4013*M4013</x:f>
        <x:v>8385</x:v>
      </x:c>
      <x:c r="S4013" s="22" t="n">
        <x:f>P4013-R4013</x:f>
        <x:v>692.25</x:v>
      </x:c>
      <x:c r="T4013" t="str">
        <x:v>Bank Transfer</x:v>
      </x:c>
      <x:c r="U4013" t="str">
        <x:v>Paid</x:v>
      </x:c>
      <x:c r="V4013" t="str">
        <x:v>Delivered</x:v>
      </x:c>
      <x:c r="W4013" t="n">
        <x:v>0</x:v>
      </x:c>
      <x:c r="X4013" t="str"/>
      <x:c r="Y4013" t="str">
        <x:v>Outbound Call</x:v>
      </x:c>
    </x:row>
    <x:row r="4014">
      <x:c r="A4014" t="str">
        <x:v>O004013</x:v>
      </x:c>
      <x:c r="B4014" s="20" t="n">
        <x:v>45694</x:v>
      </x:c>
      <x:c r="C4014" t="str">
        <x:v>C0089</x:v>
      </x:c>
      <x:c r="D4014" t="str">
        <x:v>Green Canteen 89</x:v>
      </x:c>
      <x:c r="E4014" t="str">
        <x:v>Supermarket</x:v>
      </x:c>
      <x:c r="F4014" t="str">
        <x:v>Mangaluru</x:v>
      </x:c>
      <x:c r="G4014" t="str">
        <x:v>Megha</x:v>
      </x:c>
      <x:c r="H4014" t="str">
        <x:v>P018</x:v>
      </x:c>
      <x:c r="I4014" t="str">
        <x:v>Paneer 1kg</x:v>
      </x:c>
      <x:c r="J4014" t="str">
        <x:v>Dairy</x:v>
      </x:c>
      <x:c r="K4014" t="str">
        <x:v>Milky Mist</x:v>
      </x:c>
      <x:c r="L4014" s="22" t="n">
        <x:v>410</x:v>
      </x:c>
      <x:c r="M4014" t="n">
        <x:v>25</x:v>
      </x:c>
      <x:c r="N4014" s="24" t="n">
        <x:v>0</x:v>
      </x:c>
      <x:c r="O4014" s="22" t="n">
        <x:f>L4014*M4014</x:f>
        <x:v>10250</x:v>
      </x:c>
      <x:c r="P4014" s="22" t="n">
        <x:f>O4014*(1-N4014)</x:f>
        <x:v>10250</x:v>
      </x:c>
      <x:c r="Q4014" s="22" t="n">
        <x:v>370</x:v>
      </x:c>
      <x:c r="R4014" s="22" t="n">
        <x:f>Q4014*M4014</x:f>
        <x:v>9250</x:v>
      </x:c>
      <x:c r="S4014" s="22" t="n">
        <x:f>P4014-R4014</x:f>
        <x:v>1000</x:v>
      </x:c>
      <x:c r="T4014" t="str">
        <x:v>Credit</x:v>
      </x:c>
      <x:c r="U4014" t="str">
        <x:v>Paid</x:v>
      </x:c>
      <x:c r="V4014" t="str">
        <x:v>Delayed</x:v>
      </x:c>
      <x:c r="W4014" t="n">
        <x:v>0</x:v>
      </x:c>
      <x:c r="X4014" t="str"/>
      <x:c r="Y4014" t="str">
        <x:v>Outbound Call</x:v>
      </x:c>
    </x:row>
    <x:row r="4015">
      <x:c r="A4015" t="str">
        <x:v>O004014</x:v>
      </x:c>
      <x:c r="B4015" s="20" t="n">
        <x:v>45713</x:v>
      </x:c>
      <x:c r="C4015" t="str">
        <x:v>C0137</x:v>
      </x:c>
      <x:c r="D4015" t="str">
        <x:v>Green Restaurant 137</x:v>
      </x:c>
      <x:c r="E4015" t="str">
        <x:v>Canteen</x:v>
      </x:c>
      <x:c r="F4015" t="str">
        <x:v>Mangaluru</x:v>
      </x:c>
      <x:c r="G4015" t="str">
        <x:v>Arjun</x:v>
      </x:c>
      <x:c r="H4015" t="str">
        <x:v>P048</x:v>
      </x:c>
      <x:c r="I4015" t="str">
        <x:v>Banana 10kg</x:v>
      </x:c>
      <x:c r="J4015" t="str">
        <x:v>Fresh Produce</x:v>
      </x:c>
      <x:c r="K4015" t="str">
        <x:v>Local Market</x:v>
      </x:c>
      <x:c r="L4015" s="22" t="n">
        <x:v>420</x:v>
      </x:c>
      <x:c r="M4015" t="n">
        <x:v>26</x:v>
      </x:c>
      <x:c r="N4015" s="24" t="n">
        <x:v>0.03</x:v>
      </x:c>
      <x:c r="O4015" s="22" t="n">
        <x:f>L4015*M4015</x:f>
        <x:v>10920</x:v>
      </x:c>
      <x:c r="P4015" s="22" t="n">
        <x:f>O4015*(1-N4015)</x:f>
        <x:v>10592.4</x:v>
      </x:c>
      <x:c r="Q4015" s="22" t="n">
        <x:v>350</x:v>
      </x:c>
      <x:c r="R4015" s="22" t="n">
        <x:f>Q4015*M4015</x:f>
        <x:v>9100</x:v>
      </x:c>
      <x:c r="S4015" s="22" t="n">
        <x:f>P4015-R4015</x:f>
        <x:v>1492.3999999999996</x:v>
      </x:c>
      <x:c r="T4015" t="str">
        <x:v>Bank Transfer</x:v>
      </x:c>
      <x:c r="U4015" t="str">
        <x:v>Paid</x:v>
      </x:c>
      <x:c r="V4015" t="str">
        <x:v>Delivered</x:v>
      </x:c>
      <x:c r="W4015" t="n">
        <x:v>0</x:v>
      </x:c>
      <x:c r="X4015" t="str"/>
      <x:c r="Y4015" t="str">
        <x:v>Outbound Call</x:v>
      </x:c>
    </x:row>
    <x:row r="4016">
      <x:c r="A4016" t="str">
        <x:v>O004015</x:v>
      </x:c>
      <x:c r="B4016" s="20" t="n">
        <x:v>46275</x:v>
      </x:c>
      <x:c r="C4016" t="str">
        <x:v>C0150</x:v>
      </x:c>
      <x:c r="D4016" t="str">
        <x:v>Sagar Kitchen 150</x:v>
      </x:c>
      <x:c r="E4016" t="str">
        <x:v>Kirana</x:v>
      </x:c>
      <x:c r="F4016" t="str">
        <x:v>Hubballi</x:v>
      </x:c>
      <x:c r="G4016" t="str">
        <x:v>Ramesh</x:v>
      </x:c>
      <x:c r="H4016" t="str">
        <x:v>P022</x:v>
      </x:c>
      <x:c r="I4016" t="str">
        <x:v>Mineral Water 1L</x:v>
      </x:c>
      <x:c r="J4016" t="str">
        <x:v>Beverage</x:v>
      </x:c>
      <x:c r="K4016" t="str">
        <x:v>Bisleri</x:v>
      </x:c>
      <x:c r="L4016" s="22" t="n">
        <x:v>19</x:v>
      </x:c>
      <x:c r="M4016" t="n">
        <x:v>9</x:v>
      </x:c>
      <x:c r="N4016" s="24" t="n">
        <x:v>0.08</x:v>
      </x:c>
      <x:c r="O4016" s="22" t="n">
        <x:f>L4016*M4016</x:f>
        <x:v>171</x:v>
      </x:c>
      <x:c r="P4016" s="22" t="n">
        <x:f>O4016*(1-N4016)</x:f>
        <x:v>157.32</x:v>
      </x:c>
      <x:c r="Q4016" s="22" t="n">
        <x:v>15</x:v>
      </x:c>
      <x:c r="R4016" s="22" t="n">
        <x:f>Q4016*M4016</x:f>
        <x:v>135</x:v>
      </x:c>
      <x:c r="S4016" s="22" t="n">
        <x:f>P4016-R4016</x:f>
        <x:v>22.319999999999993</x:v>
      </x:c>
      <x:c r="T4016" t="str">
        <x:v>Bank Transfer</x:v>
      </x:c>
      <x:c r="U4016" t="str">
        <x:v>Pending</x:v>
      </x:c>
      <x:c r="V4016" t="str">
        <x:v>Delivered</x:v>
      </x:c>
      <x:c r="W4016" t="n">
        <x:v>0</x:v>
      </x:c>
      <x:c r="X4016" t="str"/>
      <x:c r="Y4016" t="str">
        <x:v>Outbound Call</x:v>
      </x:c>
    </x:row>
    <x:row r="4017">
      <x:c r="A4017" t="str">
        <x:v>O004016</x:v>
      </x:c>
      <x:c r="B4017" s="20" t="n">
        <x:v>46168</x:v>
      </x:c>
      <x:c r="C4017" t="str">
        <x:v>C0100</x:v>
      </x:c>
      <x:c r="D4017" t="str">
        <x:v>Fresh Mart 100</x:v>
      </x:c>
      <x:c r="E4017" t="str">
        <x:v>Restaurant</x:v>
      </x:c>
      <x:c r="F4017" t="str">
        <x:v>Mysuru</x:v>
      </x:c>
      <x:c r="G4017" t="str">
        <x:v>Imran</x:v>
      </x:c>
      <x:c r="H4017" t="str">
        <x:v>P032</x:v>
      </x:c>
      <x:c r="I4017" t="str">
        <x:v>Soy Sauce 700g</x:v>
      </x:c>
      <x:c r="J4017" t="str">
        <x:v>Condiments</x:v>
      </x:c>
      <x:c r="K4017" t="str">
        <x:v>Ching's</x:v>
      </x:c>
      <x:c r="L4017" s="22" t="n">
        <x:v>118</x:v>
      </x:c>
      <x:c r="M4017" t="n">
        <x:v>9</x:v>
      </x:c>
      <x:c r="N4017" s="24" t="n">
        <x:v>0.02</x:v>
      </x:c>
      <x:c r="O4017" s="22" t="n">
        <x:f>L4017*M4017</x:f>
        <x:v>1062</x:v>
      </x:c>
      <x:c r="P4017" s="22" t="n">
        <x:f>O4017*(1-N4017)</x:f>
        <x:v>1040.76</x:v>
      </x:c>
      <x:c r="Q4017" s="22" t="n">
        <x:v>101</x:v>
      </x:c>
      <x:c r="R4017" s="22" t="n">
        <x:f>Q4017*M4017</x:f>
        <x:v>909</x:v>
      </x:c>
      <x:c r="S4017" s="22" t="n">
        <x:f>P4017-R4017</x:f>
        <x:v>131.76</x:v>
      </x:c>
      <x:c r="T4017" t="str">
        <x:v>Bank Transfer</x:v>
      </x:c>
      <x:c r="U4017" t="str">
        <x:v>Paid</x:v>
      </x:c>
      <x:c r="V4017" t="str">
        <x:v>Delivered</x:v>
      </x:c>
      <x:c r="W4017" t="n">
        <x:v>0</x:v>
      </x:c>
      <x:c r="X4017" t="str"/>
      <x:c r="Y4017" t="str">
        <x:v>WhatsApp</x:v>
      </x:c>
    </x:row>
    <x:row r="4018">
      <x:c r="A4018" t="str">
        <x:v>O004017</x:v>
      </x:c>
      <x:c r="B4018" s="20" t="n">
        <x:v>46129</x:v>
      </x:c>
      <x:c r="C4018" t="str">
        <x:v>C0045</x:v>
      </x:c>
      <x:c r="D4018" t="str">
        <x:v>Annapurna Restaurant 45</x:v>
      </x:c>
      <x:c r="E4018" t="str">
        <x:v>Kirana</x:v>
      </x:c>
      <x:c r="F4018" t="str">
        <x:v>Mysuru</x:v>
      </x:c>
      <x:c r="G4018" t="str">
        <x:v>Arjun</x:v>
      </x:c>
      <x:c r="H4018" t="str">
        <x:v>P045</x:v>
      </x:c>
      <x:c r="I4018" t="str">
        <x:v>Onion 25kg</x:v>
      </x:c>
      <x:c r="J4018" t="str">
        <x:v>Fresh Produce</x:v>
      </x:c>
      <x:c r="K4018" t="str">
        <x:v>Local Market</x:v>
      </x:c>
      <x:c r="L4018" s="22" t="n">
        <x:v>875</x:v>
      </x:c>
      <x:c r="M4018" t="n">
        <x:v>8</x:v>
      </x:c>
      <x:c r="N4018" s="24" t="n">
        <x:v>0.1</x:v>
      </x:c>
      <x:c r="O4018" s="22" t="n">
        <x:f>L4018*M4018</x:f>
        <x:v>7000</x:v>
      </x:c>
      <x:c r="P4018" s="22" t="n">
        <x:f>O4018*(1-N4018)</x:f>
        <x:v>6300</x:v>
      </x:c>
      <x:c r="Q4018" s="22" t="n">
        <x:v>760</x:v>
      </x:c>
      <x:c r="R4018" s="22" t="n">
        <x:f>Q4018*M4018</x:f>
        <x:v>6080</x:v>
      </x:c>
      <x:c r="S4018" s="22" t="n">
        <x:f>P4018-R4018</x:f>
        <x:v>220</x:v>
      </x:c>
      <x:c r="T4018" t="str">
        <x:v>Cash</x:v>
      </x:c>
      <x:c r="U4018" t="str">
        <x:v>Paid</x:v>
      </x:c>
      <x:c r="V4018" t="str">
        <x:v>Delivered</x:v>
      </x:c>
      <x:c r="W4018" t="n">
        <x:v>0</x:v>
      </x:c>
      <x:c r="X4018" t="str"/>
      <x:c r="Y4018" t="str">
        <x:v>WhatsApp</x:v>
      </x:c>
    </x:row>
    <x:row r="4019">
      <x:c r="A4019" t="str">
        <x:v>O004018</x:v>
      </x:c>
      <x:c r="B4019" s="20" t="n">
        <x:v>45805</x:v>
      </x:c>
      <x:c r="C4019" t="str">
        <x:v>C0127</x:v>
      </x:c>
      <x:c r="D4019" t="str">
        <x:v>Grand Mart 127</x:v>
      </x:c>
      <x:c r="E4019" t="str">
        <x:v>Canteen</x:v>
      </x:c>
      <x:c r="F4019" t="str">
        <x:v>Hubballi</x:v>
      </x:c>
      <x:c r="G4019" t="str">
        <x:v>Imran</x:v>
      </x:c>
      <x:c r="H4019" t="str">
        <x:v>P013</x:v>
      </x:c>
      <x:c r="I4019" t="str">
        <x:v>Atta 10kg</x:v>
      </x:c>
      <x:c r="J4019" t="str">
        <x:v>Flour</x:v>
      </x:c>
      <x:c r="K4019" t="str">
        <x:v>Aashirvaad</x:v>
      </x:c>
      <x:c r="L4019" s="22" t="n">
        <x:v>560</x:v>
      </x:c>
      <x:c r="M4019" t="n">
        <x:v>13</x:v>
      </x:c>
      <x:c r="N4019" s="24" t="n">
        <x:v>0.02</x:v>
      </x:c>
      <x:c r="O4019" s="22" t="n">
        <x:f>L4019*M4019</x:f>
        <x:v>7280</x:v>
      </x:c>
      <x:c r="P4019" s="22" t="n">
        <x:f>O4019*(1-N4019)</x:f>
        <x:v>7134.4</x:v>
      </x:c>
      <x:c r="Q4019" s="22" t="n">
        <x:v>495</x:v>
      </x:c>
      <x:c r="R4019" s="22" t="n">
        <x:f>Q4019*M4019</x:f>
        <x:v>6435</x:v>
      </x:c>
      <x:c r="S4019" s="22" t="n">
        <x:f>P4019-R4019</x:f>
        <x:v>699.3999999999996</x:v>
      </x:c>
      <x:c r="T4019" t="str">
        <x:v>Credit</x:v>
      </x:c>
      <x:c r="U4019" t="str">
        <x:v>Paid</x:v>
      </x:c>
      <x:c r="V4019" t="str">
        <x:v>Delivered</x:v>
      </x:c>
      <x:c r="W4019" t="n">
        <x:v>0</x:v>
      </x:c>
      <x:c r="X4019" t="str"/>
      <x:c r="Y4019" t="str">
        <x:v>Referral</x:v>
      </x:c>
    </x:row>
    <x:row r="4020">
      <x:c r="A4020" t="str">
        <x:v>O004019</x:v>
      </x:c>
      <x:c r="B4020" s="20" t="n">
        <x:v>45974</x:v>
      </x:c>
      <x:c r="C4020" t="str">
        <x:v>C0026</x:v>
      </x:c>
      <x:c r="D4020" t="str">
        <x:v>Cafe Kitchen 26</x:v>
      </x:c>
      <x:c r="E4020" t="str">
        <x:v>Kirana</x:v>
      </x:c>
      <x:c r="F4020" t="str">
        <x:v>Davanagere</x:v>
      </x:c>
      <x:c r="G4020" t="str">
        <x:v>Kavya</x:v>
      </x:c>
      <x:c r="H4020" t="str">
        <x:v>P044</x:v>
      </x:c>
      <x:c r="I4020" t="str">
        <x:v>Chicken Curry Cut 1kg</x:v>
      </x:c>
      <x:c r="J4020" t="str">
        <x:v>Protein</x:v>
      </x:c>
      <x:c r="K4020" t="str">
        <x:v>FreshToHome</x:v>
      </x:c>
      <x:c r="L4020" s="22" t="n">
        <x:v>230</x:v>
      </x:c>
      <x:c r="M4020" t="n">
        <x:v>10</x:v>
      </x:c>
      <x:c r="N4020" s="24" t="n">
        <x:v>0</x:v>
      </x:c>
      <x:c r="O4020" s="22" t="n">
        <x:f>L4020*M4020</x:f>
        <x:v>2300</x:v>
      </x:c>
      <x:c r="P4020" s="22" t="n">
        <x:f>O4020*(1-N4020)</x:f>
        <x:v>2300</x:v>
      </x:c>
      <x:c r="Q4020" s="22" t="n">
        <x:v>205</x:v>
      </x:c>
      <x:c r="R4020" s="22" t="n">
        <x:f>Q4020*M4020</x:f>
        <x:v>2050</x:v>
      </x:c>
      <x:c r="S4020" s="22" t="n">
        <x:f>P4020-R4020</x:f>
        <x:v>250</x:v>
      </x:c>
      <x:c r="T4020" t="str">
        <x:v>Cash</x:v>
      </x:c>
      <x:c r="U4020" t="str">
        <x:v>Paid</x:v>
      </x:c>
      <x:c r="V4020" t="str">
        <x:v>Delivered</x:v>
      </x:c>
      <x:c r="W4020" t="n">
        <x:v>0</x:v>
      </x:c>
      <x:c r="X4020" t="str"/>
      <x:c r="Y4020" t="str">
        <x:v>WhatsApp</x:v>
      </x:c>
    </x:row>
    <x:row r="4021">
      <x:c r="A4021" t="str">
        <x:v>O004020</x:v>
      </x:c>
      <x:c r="B4021" s="20" t="n">
        <x:v>46178</x:v>
      </x:c>
      <x:c r="C4021" t="str">
        <x:v>C0095</x:v>
      </x:c>
      <x:c r="D4021" t="str">
        <x:v>Spice Restaurant 95</x:v>
      </x:c>
      <x:c r="E4021" t="str">
        <x:v>Restaurant</x:v>
      </x:c>
      <x:c r="F4021" t="str">
        <x:v>Bengaluru</x:v>
      </x:c>
      <x:c r="G4021" t="str">
        <x:v>Megha</x:v>
      </x:c>
      <x:c r="H4021" t="str">
        <x:v>P042</x:v>
      </x:c>
      <x:c r="I4021" t="str">
        <x:v>Eggs 30pc Tray</x:v>
      </x:c>
      <x:c r="J4021" t="str">
        <x:v>Protein</x:v>
      </x:c>
      <x:c r="K4021" t="str">
        <x:v>Farm Fresh</x:v>
      </x:c>
      <x:c r="L4021" s="22" t="n">
        <x:v>195</x:v>
      </x:c>
      <x:c r="M4021" t="n">
        <x:v>30</x:v>
      </x:c>
      <x:c r="N4021" s="24" t="n">
        <x:v>0</x:v>
      </x:c>
      <x:c r="O4021" s="22" t="n">
        <x:f>L4021*M4021</x:f>
        <x:v>5850</x:v>
      </x:c>
      <x:c r="P4021" s="22" t="n">
        <x:f>O4021*(1-N4021)</x:f>
        <x:v>5850</x:v>
      </x:c>
      <x:c r="Q4021" s="22" t="n">
        <x:v>170</x:v>
      </x:c>
      <x:c r="R4021" s="22" t="n">
        <x:f>Q4021*M4021</x:f>
        <x:v>5100</x:v>
      </x:c>
      <x:c r="S4021" s="22" t="n">
        <x:f>P4021-R4021</x:f>
        <x:v>750</x:v>
      </x:c>
      <x:c r="T4021" t="str">
        <x:v>Cash</x:v>
      </x:c>
      <x:c r="U4021" t="str">
        <x:v>Paid</x:v>
      </x:c>
      <x:c r="V4021" t="str">
        <x:v>Delivered</x:v>
      </x:c>
      <x:c r="W4021" t="n">
        <x:v>0</x:v>
      </x:c>
      <x:c r="X4021" t="str"/>
      <x:c r="Y4021" t="str">
        <x:v>Field Visit</x:v>
      </x:c>
    </x:row>
    <x:row r="4022">
      <x:c r="A4022" t="str">
        <x:v>O004021</x:v>
      </x:c>
      <x:c r="B4022" s="20" t="n">
        <x:v>45995</x:v>
      </x:c>
      <x:c r="C4022" t="str">
        <x:v>C0035</x:v>
      </x:c>
      <x:c r="D4022" t="str">
        <x:v>City Foods 35</x:v>
      </x:c>
      <x:c r="E4022" t="str">
        <x:v>Kirana</x:v>
      </x:c>
      <x:c r="F4022" t="str">
        <x:v>Bengaluru</x:v>
      </x:c>
      <x:c r="G4022" t="str">
        <x:v>Megha</x:v>
      </x:c>
      <x:c r="H4022" t="str">
        <x:v>P043</x:v>
      </x:c>
      <x:c r="I4022" t="str">
        <x:v>Chicken Breast 1kg</x:v>
      </x:c>
      <x:c r="J4022" t="str">
        <x:v>Protein</x:v>
      </x:c>
      <x:c r="K4022" t="str">
        <x:v>FreshToHome</x:v>
      </x:c>
      <x:c r="L4022" s="22" t="n">
        <x:v>260</x:v>
      </x:c>
      <x:c r="M4022" t="n">
        <x:v>15</x:v>
      </x:c>
      <x:c r="N4022" s="24" t="n">
        <x:v>0.1</x:v>
      </x:c>
      <x:c r="O4022" s="22" t="n">
        <x:f>L4022*M4022</x:f>
        <x:v>3900</x:v>
      </x:c>
      <x:c r="P4022" s="22" t="n">
        <x:f>O4022*(1-N4022)</x:f>
        <x:v>3510</x:v>
      </x:c>
      <x:c r="Q4022" s="22" t="n">
        <x:v>235</x:v>
      </x:c>
      <x:c r="R4022" s="22" t="n">
        <x:f>Q4022*M4022</x:f>
        <x:v>3525</x:v>
      </x:c>
      <x:c r="S4022" s="22" t="n">
        <x:f>P4022-R4022</x:f>
        <x:v>-15</x:v>
      </x:c>
      <x:c r="T4022" t="str">
        <x:v>UPI</x:v>
      </x:c>
      <x:c r="U4022" t="str">
        <x:v>Pending</x:v>
      </x:c>
      <x:c r="V4022" t="str">
        <x:v>Delayed</x:v>
      </x:c>
      <x:c r="W4022" t="n">
        <x:v>0</x:v>
      </x:c>
      <x:c r="X4022" t="str"/>
      <x:c r="Y4022" t="str">
        <x:v>Field Visit</x:v>
      </x:c>
    </x:row>
    <x:row r="4023">
      <x:c r="A4023" t="str">
        <x:v>O004022</x:v>
      </x:c>
      <x:c r="B4023" s="20" t="n">
        <x:v>46218</x:v>
      </x:c>
      <x:c r="C4023" t="str">
        <x:v>C0218</x:v>
      </x:c>
      <x:c r="D4023" t="str">
        <x:v>Green Stores 218</x:v>
      </x:c>
      <x:c r="E4023" t="str">
        <x:v>Hotel</x:v>
      </x:c>
      <x:c r="F4023" t="str">
        <x:v>Mysuru</x:v>
      </x:c>
      <x:c r="G4023" t="str">
        <x:v>Imran</x:v>
      </x:c>
      <x:c r="H4023" t="str">
        <x:v>P048</x:v>
      </x:c>
      <x:c r="I4023" t="str">
        <x:v>Banana 10kg</x:v>
      </x:c>
      <x:c r="J4023" t="str">
        <x:v>Fresh Produce</x:v>
      </x:c>
      <x:c r="K4023" t="str">
        <x:v>Local Market</x:v>
      </x:c>
      <x:c r="L4023" s="22" t="n">
        <x:v>420</x:v>
      </x:c>
      <x:c r="M4023" t="n">
        <x:v>32</x:v>
      </x:c>
      <x:c r="N4023" s="24" t="n">
        <x:v>0.03</x:v>
      </x:c>
      <x:c r="O4023" s="22" t="n">
        <x:f>L4023*M4023</x:f>
        <x:v>13440</x:v>
      </x:c>
      <x:c r="P4023" s="22" t="n">
        <x:f>O4023*(1-N4023)</x:f>
        <x:v>13036.8</x:v>
      </x:c>
      <x:c r="Q4023" s="22" t="n">
        <x:v>350</x:v>
      </x:c>
      <x:c r="R4023" s="22" t="n">
        <x:f>Q4023*M4023</x:f>
        <x:v>11200</x:v>
      </x:c>
      <x:c r="S4023" s="22" t="n">
        <x:f>P4023-R4023</x:f>
        <x:v>1836.7999999999993</x:v>
      </x:c>
      <x:c r="T4023" t="str">
        <x:v>Bank Transfer</x:v>
      </x:c>
      <x:c r="U4023" t="str">
        <x:v>Paid</x:v>
      </x:c>
      <x:c r="V4023" t="str">
        <x:v>Cancelled</x:v>
      </x:c>
      <x:c r="W4023" t="n">
        <x:v>32</x:v>
      </x:c>
      <x:c r="X4023" t="str">
        <x:v>Cancelled Order</x:v>
      </x:c>
      <x:c r="Y4023" t="str">
        <x:v>Referral</x:v>
      </x:c>
    </x:row>
    <x:row r="4024">
      <x:c r="A4024" t="str">
        <x:v>O004023</x:v>
      </x:c>
      <x:c r="B4024" s="20" t="n">
        <x:v>46014</x:v>
      </x:c>
      <x:c r="C4024" t="str">
        <x:v>C0118</x:v>
      </x:c>
      <x:c r="D4024" t="str">
        <x:v>Sagar Kitchen 118</x:v>
      </x:c>
      <x:c r="E4024" t="str">
        <x:v>Restaurant</x:v>
      </x:c>
      <x:c r="F4024" t="str">
        <x:v>Hubballi</x:v>
      </x:c>
      <x:c r="G4024" t="str">
        <x:v>Megha</x:v>
      </x:c>
      <x:c r="H4024" t="str">
        <x:v>P038</x:v>
      </x:c>
      <x:c r="I4024" t="str">
        <x:v>French Fries 2.5kg</x:v>
      </x:c>
      <x:c r="J4024" t="str">
        <x:v>Frozen</x:v>
      </x:c>
      <x:c r="K4024" t="str">
        <x:v>McCain</x:v>
      </x:c>
      <x:c r="L4024" s="22" t="n">
        <x:v>360</x:v>
      </x:c>
      <x:c r="M4024" t="n">
        <x:v>30</x:v>
      </x:c>
      <x:c r="N4024" s="24" t="n">
        <x:v>0</x:v>
      </x:c>
      <x:c r="O4024" s="22" t="n">
        <x:f>L4024*M4024</x:f>
        <x:v>10800</x:v>
      </x:c>
      <x:c r="P4024" s="22" t="n">
        <x:f>O4024*(1-N4024)</x:f>
        <x:v>10800</x:v>
      </x:c>
      <x:c r="Q4024" s="22" t="n">
        <x:v>315</x:v>
      </x:c>
      <x:c r="R4024" s="22" t="n">
        <x:f>Q4024*M4024</x:f>
        <x:v>9450</x:v>
      </x:c>
      <x:c r="S4024" s="22" t="n">
        <x:f>P4024-R4024</x:f>
        <x:v>1350</x:v>
      </x:c>
      <x:c r="T4024" t="str">
        <x:v>UPI</x:v>
      </x:c>
      <x:c r="U4024" t="str">
        <x:v>Paid</x:v>
      </x:c>
      <x:c r="V4024" t="str">
        <x:v>Cancelled</x:v>
      </x:c>
      <x:c r="W4024" t="n">
        <x:v>30</x:v>
      </x:c>
      <x:c r="X4024" t="str">
        <x:v>Cancelled Order</x:v>
      </x:c>
      <x:c r="Y4024" t="str">
        <x:v>Outbound Call</x:v>
      </x:c>
    </x:row>
    <x:row r="4025">
      <x:c r="A4025" t="str">
        <x:v>O004024</x:v>
      </x:c>
      <x:c r="B4025" s="20" t="n">
        <x:v>45903</x:v>
      </x:c>
      <x:c r="C4025" t="str">
        <x:v>C0039</x:v>
      </x:c>
      <x:c r="D4025" t="str">
        <x:v>Sagar Cafe 39</x:v>
      </x:c>
      <x:c r="E4025" t="str">
        <x:v>Restaurant</x:v>
      </x:c>
      <x:c r="F4025" t="str">
        <x:v>Hubballi</x:v>
      </x:c>
      <x:c r="G4025" t="str">
        <x:v>Imran</x:v>
      </x:c>
      <x:c r="H4025" t="str">
        <x:v>P006</x:v>
      </x:c>
      <x:c r="I4025" t="str">
        <x:v>Moong Dal 5kg</x:v>
      </x:c>
      <x:c r="J4025" t="str">
        <x:v>Pulses</x:v>
      </x:c>
      <x:c r="K4025" t="str">
        <x:v>Local Select</x:v>
      </x:c>
      <x:c r="L4025" s="22" t="n">
        <x:v>610</x:v>
      </x:c>
      <x:c r="M4025" t="n">
        <x:v>21</x:v>
      </x:c>
      <x:c r="N4025" s="24" t="n">
        <x:v>0</x:v>
      </x:c>
      <x:c r="O4025" s="22" t="n">
        <x:f>L4025*M4025</x:f>
        <x:v>12810</x:v>
      </x:c>
      <x:c r="P4025" s="22" t="n">
        <x:f>O4025*(1-N4025)</x:f>
        <x:v>12810</x:v>
      </x:c>
      <x:c r="Q4025" s="22" t="n">
        <x:v>540</x:v>
      </x:c>
      <x:c r="R4025" s="22" t="n">
        <x:f>Q4025*M4025</x:f>
        <x:v>11340</x:v>
      </x:c>
      <x:c r="S4025" s="22" t="n">
        <x:f>P4025-R4025</x:f>
        <x:v>1470</x:v>
      </x:c>
      <x:c r="T4025" t="str">
        <x:v>UPI</x:v>
      </x:c>
      <x:c r="U4025" t="str">
        <x:v>Paid</x:v>
      </x:c>
      <x:c r="V4025" t="str">
        <x:v>Delivered</x:v>
      </x:c>
      <x:c r="W4025" t="n">
        <x:v>1</x:v>
      </x:c>
      <x:c r="X4025" t="str">
        <x:v>Late Delivery</x:v>
      </x:c>
      <x:c r="Y4025" t="str">
        <x:v>Field Visit</x:v>
      </x:c>
    </x:row>
    <x:row r="4026">
      <x:c r="A4026" t="str">
        <x:v>O004025</x:v>
      </x:c>
      <x:c r="B4026" s="20" t="n">
        <x:v>45703</x:v>
      </x:c>
      <x:c r="C4026" t="str">
        <x:v>C0243</x:v>
      </x:c>
      <x:c r="D4026" t="str">
        <x:v>Metro Kitchen 243</x:v>
      </x:c>
      <x:c r="E4026" t="str">
        <x:v>Restaurant</x:v>
      </x:c>
      <x:c r="F4026" t="str">
        <x:v>Mangaluru</x:v>
      </x:c>
      <x:c r="G4026" t="str">
        <x:v>Kavya</x:v>
      </x:c>
      <x:c r="H4026" t="str">
        <x:v>P049</x:v>
      </x:c>
      <x:c r="I4026" t="str">
        <x:v>Apple 10kg</x:v>
      </x:c>
      <x:c r="J4026" t="str">
        <x:v>Fresh Produce</x:v>
      </x:c>
      <x:c r="K4026" t="str">
        <x:v>Local Market</x:v>
      </x:c>
      <x:c r="L4026" s="22" t="n">
        <x:v>1450</x:v>
      </x:c>
      <x:c r="M4026" t="n">
        <x:v>5</x:v>
      </x:c>
      <x:c r="N4026" s="24" t="n">
        <x:v>0.03</x:v>
      </x:c>
      <x:c r="O4026" s="22" t="n">
        <x:f>L4026*M4026</x:f>
        <x:v>7250</x:v>
      </x:c>
      <x:c r="P4026" s="22" t="n">
        <x:f>O4026*(1-N4026)</x:f>
        <x:v>7032.5</x:v>
      </x:c>
      <x:c r="Q4026" s="22" t="n">
        <x:v>1280</x:v>
      </x:c>
      <x:c r="R4026" s="22" t="n">
        <x:f>Q4026*M4026</x:f>
        <x:v>6400</x:v>
      </x:c>
      <x:c r="S4026" s="22" t="n">
        <x:f>P4026-R4026</x:f>
        <x:v>632.5</x:v>
      </x:c>
      <x:c r="T4026" t="str">
        <x:v>Cash</x:v>
      </x:c>
      <x:c r="U4026" t="str">
        <x:v>Overdue</x:v>
      </x:c>
      <x:c r="V4026" t="str">
        <x:v>Delivered</x:v>
      </x:c>
      <x:c r="W4026" t="n">
        <x:v>0</x:v>
      </x:c>
      <x:c r="X4026" t="str"/>
      <x:c r="Y4026" t="str">
        <x:v>Outbound Call</x:v>
      </x:c>
    </x:row>
    <x:row r="4027">
      <x:c r="A4027" t="str">
        <x:v>O004026</x:v>
      </x:c>
      <x:c r="B4027" s="20" t="n">
        <x:v>45787</x:v>
      </x:c>
      <x:c r="C4027" t="str">
        <x:v>C0036</x:v>
      </x:c>
      <x:c r="D4027" t="str">
        <x:v>Grand Hotel 36</x:v>
      </x:c>
      <x:c r="E4027" t="str">
        <x:v>Canteen</x:v>
      </x:c>
      <x:c r="F4027" t="str">
        <x:v>Tumakuru</x:v>
      </x:c>
      <x:c r="G4027" t="str">
        <x:v>Kavya</x:v>
      </x:c>
      <x:c r="H4027" t="str">
        <x:v>P047</x:v>
      </x:c>
      <x:c r="I4027" t="str">
        <x:v>Tomato 25kg</x:v>
      </x:c>
      <x:c r="J4027" t="str">
        <x:v>Fresh Produce</x:v>
      </x:c>
      <x:c r="K4027" t="str">
        <x:v>Local Market</x:v>
      </x:c>
      <x:c r="L4027" s="22" t="n">
        <x:v>950</x:v>
      </x:c>
      <x:c r="M4027" t="n">
        <x:v>12</x:v>
      </x:c>
      <x:c r="N4027" s="24" t="n">
        <x:v>0</x:v>
      </x:c>
      <x:c r="O4027" s="22" t="n">
        <x:f>L4027*M4027</x:f>
        <x:v>11400</x:v>
      </x:c>
      <x:c r="P4027" s="22" t="n">
        <x:f>O4027*(1-N4027)</x:f>
        <x:v>11400</x:v>
      </x:c>
      <x:c r="Q4027" s="22" t="n">
        <x:v>810</x:v>
      </x:c>
      <x:c r="R4027" s="22" t="n">
        <x:f>Q4027*M4027</x:f>
        <x:v>9720</x:v>
      </x:c>
      <x:c r="S4027" s="22" t="n">
        <x:f>P4027-R4027</x:f>
        <x:v>1680</x:v>
      </x:c>
      <x:c r="T4027" t="str">
        <x:v>Bank Transfer</x:v>
      </x:c>
      <x:c r="U4027" t="str">
        <x:v>Pending</x:v>
      </x:c>
      <x:c r="V4027" t="str">
        <x:v>Delayed</x:v>
      </x:c>
      <x:c r="W4027" t="n">
        <x:v>0</x:v>
      </x:c>
      <x:c r="X4027" t="str"/>
      <x:c r="Y4027" t="str">
        <x:v>WhatsApp</x:v>
      </x:c>
    </x:row>
    <x:row r="4028">
      <x:c r="A4028" t="str">
        <x:v>O004027</x:v>
      </x:c>
      <x:c r="B4028" s="20" t="n">
        <x:v>45987</x:v>
      </x:c>
      <x:c r="C4028" t="str">
        <x:v>C0135</x:v>
      </x:c>
      <x:c r="D4028" t="str">
        <x:v>City Canteen 135</x:v>
      </x:c>
      <x:c r="E4028" t="str">
        <x:v>Supermarket</x:v>
      </x:c>
      <x:c r="F4028" t="str">
        <x:v>Hubballi</x:v>
      </x:c>
      <x:c r="G4028" t="str">
        <x:v>Megha</x:v>
      </x:c>
      <x:c r="H4028" t="str">
        <x:v>P049</x:v>
      </x:c>
      <x:c r="I4028" t="str">
        <x:v>Apple 10kg</x:v>
      </x:c>
      <x:c r="J4028" t="str">
        <x:v>Fresh Produce</x:v>
      </x:c>
      <x:c r="K4028" t="str">
        <x:v>Local Market</x:v>
      </x:c>
      <x:c r="L4028" s="22" t="n">
        <x:v>1450</x:v>
      </x:c>
      <x:c r="M4028" t="n">
        <x:v>1</x:v>
      </x:c>
      <x:c r="N4028" s="24" t="n">
        <x:v>0.08</x:v>
      </x:c>
      <x:c r="O4028" s="22" t="n">
        <x:f>L4028*M4028</x:f>
        <x:v>1450</x:v>
      </x:c>
      <x:c r="P4028" s="22" t="n">
        <x:f>O4028*(1-N4028)</x:f>
        <x:v>1334</x:v>
      </x:c>
      <x:c r="Q4028" s="22" t="n">
        <x:v>1280</x:v>
      </x:c>
      <x:c r="R4028" s="22" t="n">
        <x:f>Q4028*M4028</x:f>
        <x:v>1280</x:v>
      </x:c>
      <x:c r="S4028" s="22" t="n">
        <x:f>P4028-R4028</x:f>
        <x:v>54</x:v>
      </x:c>
      <x:c r="T4028" t="str">
        <x:v>Cash</x:v>
      </x:c>
      <x:c r="U4028" t="str">
        <x:v>Paid</x:v>
      </x:c>
      <x:c r="V4028" t="str">
        <x:v>Delivered</x:v>
      </x:c>
      <x:c r="W4028" t="n">
        <x:v>0</x:v>
      </x:c>
      <x:c r="X4028" t="str"/>
      <x:c r="Y4028" t="str">
        <x:v>Outbound Call</x:v>
      </x:c>
    </x:row>
    <x:row r="4029">
      <x:c r="A4029" t="str">
        <x:v>O004028</x:v>
      </x:c>
      <x:c r="B4029" s="20" t="n">
        <x:v>46233</x:v>
      </x:c>
      <x:c r="C4029" t="str">
        <x:v>C0250</x:v>
      </x:c>
      <x:c r="D4029" t="str">
        <x:v>Namma Hotel 250</x:v>
      </x:c>
      <x:c r="E4029" t="str">
        <x:v>Cafe</x:v>
      </x:c>
      <x:c r="F4029" t="str">
        <x:v>Bengaluru</x:v>
      </x:c>
      <x:c r="G4029" t="str">
        <x:v>Sneha</x:v>
      </x:c>
      <x:c r="H4029" t="str">
        <x:v>P023</x:v>
      </x:c>
      <x:c r="I4029" t="str">
        <x:v>Cola 750ml</x:v>
      </x:c>
      <x:c r="J4029" t="str">
        <x:v>Beverage</x:v>
      </x:c>
      <x:c r="K4029" t="str">
        <x:v>Coca-Cola</x:v>
      </x:c>
      <x:c r="L4029" s="22" t="n">
        <x:v>38</x:v>
      </x:c>
      <x:c r="M4029" t="n">
        <x:v>29</x:v>
      </x:c>
      <x:c r="N4029" s="24" t="n">
        <x:v>0.1</x:v>
      </x:c>
      <x:c r="O4029" s="22" t="n">
        <x:f>L4029*M4029</x:f>
        <x:v>1102</x:v>
      </x:c>
      <x:c r="P4029" s="22" t="n">
        <x:f>O4029*(1-N4029)</x:f>
        <x:v>991.8000000000001</x:v>
      </x:c>
      <x:c r="Q4029" s="22" t="n">
        <x:v>31</x:v>
      </x:c>
      <x:c r="R4029" s="22" t="n">
        <x:f>Q4029*M4029</x:f>
        <x:v>899</x:v>
      </x:c>
      <x:c r="S4029" s="22" t="n">
        <x:f>P4029-R4029</x:f>
        <x:v>92.80000000000007</x:v>
      </x:c>
      <x:c r="T4029" t="str">
        <x:v>Bank Transfer</x:v>
      </x:c>
      <x:c r="U4029" t="str">
        <x:v>Paid</x:v>
      </x:c>
      <x:c r="V4029" t="str">
        <x:v>Delivered</x:v>
      </x:c>
      <x:c r="W4029" t="n">
        <x:v>0</x:v>
      </x:c>
      <x:c r="X4029" t="str"/>
      <x:c r="Y4029" t="str">
        <x:v>Outbound Call</x:v>
      </x:c>
    </x:row>
    <x:row r="4030">
      <x:c r="A4030" t="str">
        <x:v>O004029</x:v>
      </x:c>
      <x:c r="B4030" s="20" t="n">
        <x:v>46225</x:v>
      </x:c>
      <x:c r="C4030" t="str">
        <x:v>C0243</x:v>
      </x:c>
      <x:c r="D4030" t="str">
        <x:v>Metro Kitchen 243</x:v>
      </x:c>
      <x:c r="E4030" t="str">
        <x:v>Restaurant</x:v>
      </x:c>
      <x:c r="F4030" t="str">
        <x:v>Mangaluru</x:v>
      </x:c>
      <x:c r="G4030" t="str">
        <x:v>Kavya</x:v>
      </x:c>
      <x:c r="H4030" t="str">
        <x:v>P048</x:v>
      </x:c>
      <x:c r="I4030" t="str">
        <x:v>Banana 10kg</x:v>
      </x:c>
      <x:c r="J4030" t="str">
        <x:v>Fresh Produce</x:v>
      </x:c>
      <x:c r="K4030" t="str">
        <x:v>Local Market</x:v>
      </x:c>
      <x:c r="L4030" s="22" t="n">
        <x:v>420</x:v>
      </x:c>
      <x:c r="M4030" t="n">
        <x:v>12</x:v>
      </x:c>
      <x:c r="N4030" s="24" t="n">
        <x:v>0</x:v>
      </x:c>
      <x:c r="O4030" s="22" t="n">
        <x:f>L4030*M4030</x:f>
        <x:v>5040</x:v>
      </x:c>
      <x:c r="P4030" s="22" t="n">
        <x:f>O4030*(1-N4030)</x:f>
        <x:v>5040</x:v>
      </x:c>
      <x:c r="Q4030" s="22" t="n">
        <x:v>350</x:v>
      </x:c>
      <x:c r="R4030" s="22" t="n">
        <x:f>Q4030*M4030</x:f>
        <x:v>4200</x:v>
      </x:c>
      <x:c r="S4030" s="22" t="n">
        <x:f>P4030-R4030</x:f>
        <x:v>840</x:v>
      </x:c>
      <x:c r="T4030" t="str">
        <x:v>UPI</x:v>
      </x:c>
      <x:c r="U4030" t="str">
        <x:v>Paid</x:v>
      </x:c>
      <x:c r="V4030" t="str">
        <x:v>Delayed</x:v>
      </x:c>
      <x:c r="W4030" t="n">
        <x:v>0</x:v>
      </x:c>
      <x:c r="X4030" t="str"/>
      <x:c r="Y4030" t="str">
        <x:v>Existing Customer</x:v>
      </x:c>
    </x:row>
    <x:row r="4031">
      <x:c r="A4031" t="str">
        <x:v>O004030</x:v>
      </x:c>
      <x:c r="B4031" s="20" t="n">
        <x:v>45767</x:v>
      </x:c>
      <x:c r="C4031" t="str">
        <x:v>C0018</x:v>
      </x:c>
      <x:c r="D4031" t="str">
        <x:v>Namma Canteen 18</x:v>
      </x:c>
      <x:c r="E4031" t="str">
        <x:v>Restaurant</x:v>
      </x:c>
      <x:c r="F4031" t="str">
        <x:v>Davanagere</x:v>
      </x:c>
      <x:c r="G4031" t="str">
        <x:v>Imran</x:v>
      </x:c>
      <x:c r="H4031" t="str">
        <x:v>P024</x:v>
      </x:c>
      <x:c r="I4031" t="str">
        <x:v>Orange Drink 1L</x:v>
      </x:c>
      <x:c r="J4031" t="str">
        <x:v>Beverage</x:v>
      </x:c>
      <x:c r="K4031" t="str">
        <x:v>Minute Maid</x:v>
      </x:c>
      <x:c r="L4031" s="22" t="n">
        <x:v>105</x:v>
      </x:c>
      <x:c r="M4031" t="n">
        <x:v>40</x:v>
      </x:c>
      <x:c r="N4031" s="24" t="n">
        <x:v>0</x:v>
      </x:c>
      <x:c r="O4031" s="22" t="n">
        <x:f>L4031*M4031</x:f>
        <x:v>4200</x:v>
      </x:c>
      <x:c r="P4031" s="22" t="n">
        <x:f>O4031*(1-N4031)</x:f>
        <x:v>4200</x:v>
      </x:c>
      <x:c r="Q4031" s="22" t="n">
        <x:v>88</x:v>
      </x:c>
      <x:c r="R4031" s="22" t="n">
        <x:f>Q4031*M4031</x:f>
        <x:v>3520</x:v>
      </x:c>
      <x:c r="S4031" s="22" t="n">
        <x:f>P4031-R4031</x:f>
        <x:v>680</x:v>
      </x:c>
      <x:c r="T4031" t="str">
        <x:v>Credit</x:v>
      </x:c>
      <x:c r="U4031" t="str">
        <x:v>Pending</x:v>
      </x:c>
      <x:c r="V4031" t="str">
        <x:v>Delivered</x:v>
      </x:c>
      <x:c r="W4031" t="n">
        <x:v>0</x:v>
      </x:c>
      <x:c r="X4031" t="str"/>
      <x:c r="Y4031" t="str">
        <x:v>Existing Customer</x:v>
      </x:c>
    </x:row>
    <x:row r="4032">
      <x:c r="A4032" t="str">
        <x:v>O004031</x:v>
      </x:c>
      <x:c r="B4032" s="20" t="n">
        <x:v>45910</x:v>
      </x:c>
      <x:c r="C4032" t="str">
        <x:v>C0202</x:v>
      </x:c>
      <x:c r="D4032" t="str">
        <x:v>Sagar Foods 202</x:v>
      </x:c>
      <x:c r="E4032" t="str">
        <x:v>Restaurant</x:v>
      </x:c>
      <x:c r="F4032" t="str">
        <x:v>Mangaluru</x:v>
      </x:c>
      <x:c r="G4032" t="str">
        <x:v>Kavya</x:v>
      </x:c>
      <x:c r="H4032" t="str">
        <x:v>P050</x:v>
      </x:c>
      <x:c r="I4032" t="str">
        <x:v>Lemon 5kg</x:v>
      </x:c>
      <x:c r="J4032" t="str">
        <x:v>Fresh Produce</x:v>
      </x:c>
      <x:c r="K4032" t="str">
        <x:v>Local Market</x:v>
      </x:c>
      <x:c r="L4032" s="22" t="n">
        <x:v>360</x:v>
      </x:c>
      <x:c r="M4032" t="n">
        <x:v>35</x:v>
      </x:c>
      <x:c r="N4032" s="24" t="n">
        <x:v>0</x:v>
      </x:c>
      <x:c r="O4032" s="22" t="n">
        <x:f>L4032*M4032</x:f>
        <x:v>12600</x:v>
      </x:c>
      <x:c r="P4032" s="22" t="n">
        <x:f>O4032*(1-N4032)</x:f>
        <x:v>12600</x:v>
      </x:c>
      <x:c r="Q4032" s="22" t="n">
        <x:v>300</x:v>
      </x:c>
      <x:c r="R4032" s="22" t="n">
        <x:f>Q4032*M4032</x:f>
        <x:v>10500</x:v>
      </x:c>
      <x:c r="S4032" s="22" t="n">
        <x:f>P4032-R4032</x:f>
        <x:v>2100</x:v>
      </x:c>
      <x:c r="T4032" t="str">
        <x:v>Credit</x:v>
      </x:c>
      <x:c r="U4032" t="str">
        <x:v>Paid</x:v>
      </x:c>
      <x:c r="V4032" t="str">
        <x:v>Cancelled</x:v>
      </x:c>
      <x:c r="W4032" t="n">
        <x:v>35</x:v>
      </x:c>
      <x:c r="X4032" t="str">
        <x:v>Cancelled Order</x:v>
      </x:c>
      <x:c r="Y4032" t="str">
        <x:v>WhatsApp</x:v>
      </x:c>
    </x:row>
    <x:row r="4033">
      <x:c r="A4033" t="str">
        <x:v>O004032</x:v>
      </x:c>
      <x:c r="B4033" s="20" t="n">
        <x:v>46214</x:v>
      </x:c>
      <x:c r="C4033" t="str">
        <x:v>C0206</x:v>
      </x:c>
      <x:c r="D4033" t="str">
        <x:v>Grand Kitchen 206</x:v>
      </x:c>
      <x:c r="E4033" t="str">
        <x:v>Kirana</x:v>
      </x:c>
      <x:c r="F4033" t="str">
        <x:v>Mysuru</x:v>
      </x:c>
      <x:c r="G4033" t="str">
        <x:v>Arjun</x:v>
      </x:c>
      <x:c r="H4033" t="str">
        <x:v>P015</x:v>
      </x:c>
      <x:c r="I4033" t="str">
        <x:v>Milk 1L</x:v>
      </x:c>
      <x:c r="J4033" t="str">
        <x:v>Dairy</x:v>
      </x:c>
      <x:c r="K4033" t="str">
        <x:v>Nandini</x:v>
      </x:c>
      <x:c r="L4033" s="22" t="n">
        <x:v>48</x:v>
      </x:c>
      <x:c r="M4033" t="n">
        <x:v>8</x:v>
      </x:c>
      <x:c r="N4033" s="24" t="n">
        <x:v>0</x:v>
      </x:c>
      <x:c r="O4033" s="22" t="n">
        <x:f>L4033*M4033</x:f>
        <x:v>384</x:v>
      </x:c>
      <x:c r="P4033" s="22" t="n">
        <x:f>O4033*(1-N4033)</x:f>
        <x:v>384</x:v>
      </x:c>
      <x:c r="Q4033" s="22" t="n">
        <x:v>43</x:v>
      </x:c>
      <x:c r="R4033" s="22" t="n">
        <x:f>Q4033*M4033</x:f>
        <x:v>344</x:v>
      </x:c>
      <x:c r="S4033" s="22" t="n">
        <x:f>P4033-R4033</x:f>
        <x:v>40</x:v>
      </x:c>
      <x:c r="T4033" t="str">
        <x:v>Bank Transfer</x:v>
      </x:c>
      <x:c r="U4033" t="str">
        <x:v>Paid</x:v>
      </x:c>
      <x:c r="V4033" t="str">
        <x:v>Cancelled</x:v>
      </x:c>
      <x:c r="W4033" t="n">
        <x:v>8</x:v>
      </x:c>
      <x:c r="X4033" t="str">
        <x:v>Cancelled Order</x:v>
      </x:c>
      <x:c r="Y4033" t="str">
        <x:v>Field Visit</x:v>
      </x:c>
    </x:row>
    <x:row r="4034">
      <x:c r="A4034" t="str">
        <x:v>O004033</x:v>
      </x:c>
      <x:c r="B4034" s="20" t="n">
        <x:v>45971</x:v>
      </x:c>
      <x:c r="C4034" t="str">
        <x:v>C0102</x:v>
      </x:c>
      <x:c r="D4034" t="str">
        <x:v>Annapurna Foods 102</x:v>
      </x:c>
      <x:c r="E4034" t="str">
        <x:v>Cafe</x:v>
      </x:c>
      <x:c r="F4034" t="str">
        <x:v>Davanagere</x:v>
      </x:c>
      <x:c r="G4034" t="str">
        <x:v>Ramesh</x:v>
      </x:c>
      <x:c r="H4034" t="str">
        <x:v>P011</x:v>
      </x:c>
      <x:c r="I4034" t="str">
        <x:v>Salt 1kg</x:v>
      </x:c>
      <x:c r="J4034" t="str">
        <x:v>Staples</x:v>
      </x:c>
      <x:c r="K4034" t="str">
        <x:v>Tata</x:v>
      </x:c>
      <x:c r="L4034" s="22" t="n">
        <x:v>28</x:v>
      </x:c>
      <x:c r="M4034" t="n">
        <x:v>24</x:v>
      </x:c>
      <x:c r="N4034" s="24" t="n">
        <x:v>0.02</x:v>
      </x:c>
      <x:c r="O4034" s="22" t="n">
        <x:f>L4034*M4034</x:f>
        <x:v>672</x:v>
      </x:c>
      <x:c r="P4034" s="22" t="n">
        <x:f>O4034*(1-N4034)</x:f>
        <x:v>658.56</x:v>
      </x:c>
      <x:c r="Q4034" s="22" t="n">
        <x:v>23</x:v>
      </x:c>
      <x:c r="R4034" s="22" t="n">
        <x:f>Q4034*M4034</x:f>
        <x:v>552</x:v>
      </x:c>
      <x:c r="S4034" s="22" t="n">
        <x:f>P4034-R4034</x:f>
        <x:v>106.55999999999995</x:v>
      </x:c>
      <x:c r="T4034" t="str">
        <x:v>UPI</x:v>
      </x:c>
      <x:c r="U4034" t="str">
        <x:v>Paid</x:v>
      </x:c>
      <x:c r="V4034" t="str">
        <x:v>Delivered</x:v>
      </x:c>
      <x:c r="W4034" t="n">
        <x:v>0</x:v>
      </x:c>
      <x:c r="X4034" t="str"/>
      <x:c r="Y4034" t="str">
        <x:v>Outbound Call</x:v>
      </x:c>
    </x:row>
    <x:row r="4035">
      <x:c r="A4035" t="str">
        <x:v>O004034</x:v>
      </x:c>
      <x:c r="B4035" s="20" t="n">
        <x:v>46022</x:v>
      </x:c>
      <x:c r="C4035" t="str">
        <x:v>C0234</x:v>
      </x:c>
      <x:c r="D4035" t="str">
        <x:v>Metro Canteen 234</x:v>
      </x:c>
      <x:c r="E4035" t="str">
        <x:v>Restaurant</x:v>
      </x:c>
      <x:c r="F4035" t="str">
        <x:v>Davanagere</x:v>
      </x:c>
      <x:c r="G4035" t="str">
        <x:v>Priya</x:v>
      </x:c>
      <x:c r="H4035" t="str">
        <x:v>P015</x:v>
      </x:c>
      <x:c r="I4035" t="str">
        <x:v>Milk 1L</x:v>
      </x:c>
      <x:c r="J4035" t="str">
        <x:v>Dairy</x:v>
      </x:c>
      <x:c r="K4035" t="str">
        <x:v>Nandini</x:v>
      </x:c>
      <x:c r="L4035" s="22" t="n">
        <x:v>48</x:v>
      </x:c>
      <x:c r="M4035" t="n">
        <x:v>21</x:v>
      </x:c>
      <x:c r="N4035" s="24" t="n">
        <x:v>0.05</x:v>
      </x:c>
      <x:c r="O4035" s="22" t="n">
        <x:f>L4035*M4035</x:f>
        <x:v>1008</x:v>
      </x:c>
      <x:c r="P4035" s="22" t="n">
        <x:f>O4035*(1-N4035)</x:f>
        <x:v>957.5999999999999</x:v>
      </x:c>
      <x:c r="Q4035" s="22" t="n">
        <x:v>43</x:v>
      </x:c>
      <x:c r="R4035" s="22" t="n">
        <x:f>Q4035*M4035</x:f>
        <x:v>903</x:v>
      </x:c>
      <x:c r="S4035" s="22" t="n">
        <x:f>P4035-R4035</x:f>
        <x:v>54.59999999999991</x:v>
      </x:c>
      <x:c r="T4035" t="str">
        <x:v>Bank Transfer</x:v>
      </x:c>
      <x:c r="U4035" t="str">
        <x:v>Pending</x:v>
      </x:c>
      <x:c r="V4035" t="str">
        <x:v>Delivered</x:v>
      </x:c>
      <x:c r="W4035" t="n">
        <x:v>0</x:v>
      </x:c>
      <x:c r="X4035" t="str"/>
      <x:c r="Y4035" t="str">
        <x:v>Outbound Call</x:v>
      </x:c>
    </x:row>
    <x:row r="4036">
      <x:c r="A4036" t="str">
        <x:v>O004035</x:v>
      </x:c>
      <x:c r="B4036" s="20" t="n">
        <x:v>45686</x:v>
      </x:c>
      <x:c r="C4036" t="str">
        <x:v>C0200</x:v>
      </x:c>
      <x:c r="D4036" t="str">
        <x:v>Sagar Kitchen 200</x:v>
      </x:c>
      <x:c r="E4036" t="str">
        <x:v>Cafe</x:v>
      </x:c>
      <x:c r="F4036" t="str">
        <x:v>Bengaluru</x:v>
      </x:c>
      <x:c r="G4036" t="str">
        <x:v>Arjun</x:v>
      </x:c>
      <x:c r="H4036" t="str">
        <x:v>P033</x:v>
      </x:c>
      <x:c r="I4036" t="str">
        <x:v>Turmeric Powder 1kg</x:v>
      </x:c>
      <x:c r="J4036" t="str">
        <x:v>Spices</x:v>
      </x:c>
      <x:c r="K4036" t="str">
        <x:v>Everest</x:v>
      </x:c>
      <x:c r="L4036" s="22" t="n">
        <x:v>310</x:v>
      </x:c>
      <x:c r="M4036" t="n">
        <x:v>36</x:v>
      </x:c>
      <x:c r="N4036" s="24" t="n">
        <x:v>0.05</x:v>
      </x:c>
      <x:c r="O4036" s="22" t="n">
        <x:f>L4036*M4036</x:f>
        <x:v>11160</x:v>
      </x:c>
      <x:c r="P4036" s="22" t="n">
        <x:f>O4036*(1-N4036)</x:f>
        <x:v>10602</x:v>
      </x:c>
      <x:c r="Q4036" s="22" t="n">
        <x:v>270</x:v>
      </x:c>
      <x:c r="R4036" s="22" t="n">
        <x:f>Q4036*M4036</x:f>
        <x:v>9720</x:v>
      </x:c>
      <x:c r="S4036" s="22" t="n">
        <x:f>P4036-R4036</x:f>
        <x:v>882</x:v>
      </x:c>
      <x:c r="T4036" t="str">
        <x:v>Bank Transfer</x:v>
      </x:c>
      <x:c r="U4036" t="str">
        <x:v>Paid</x:v>
      </x:c>
      <x:c r="V4036" t="str">
        <x:v>Delivered</x:v>
      </x:c>
      <x:c r="W4036" t="n">
        <x:v>2</x:v>
      </x:c>
      <x:c r="X4036" t="str">
        <x:v>Quality Issue</x:v>
      </x:c>
      <x:c r="Y4036" t="str">
        <x:v>WhatsApp</x:v>
      </x:c>
    </x:row>
    <x:row r="4037">
      <x:c r="A4037" t="str">
        <x:v>O004036</x:v>
      </x:c>
      <x:c r="B4037" s="20" t="n">
        <x:v>45827</x:v>
      </x:c>
      <x:c r="C4037" t="str">
        <x:v>C0250</x:v>
      </x:c>
      <x:c r="D4037" t="str">
        <x:v>Namma Hotel 250</x:v>
      </x:c>
      <x:c r="E4037" t="str">
        <x:v>Cafe</x:v>
      </x:c>
      <x:c r="F4037" t="str">
        <x:v>Bengaluru</x:v>
      </x:c>
      <x:c r="G4037" t="str">
        <x:v>Sneha</x:v>
      </x:c>
      <x:c r="H4037" t="str">
        <x:v>P036</x:v>
      </x:c>
      <x:c r="I4037" t="str">
        <x:v>Garam Masala 500g</x:v>
      </x:c>
      <x:c r="J4037" t="str">
        <x:v>Spices</x:v>
      </x:c>
      <x:c r="K4037" t="str">
        <x:v>MDH</x:v>
      </x:c>
      <x:c r="L4037" s="22" t="n">
        <x:v>265</x:v>
      </x:c>
      <x:c r="M4037" t="n">
        <x:v>22</x:v>
      </x:c>
      <x:c r="N4037" s="24" t="n">
        <x:v>0.03</x:v>
      </x:c>
      <x:c r="O4037" s="22" t="n">
        <x:f>L4037*M4037</x:f>
        <x:v>5830</x:v>
      </x:c>
      <x:c r="P4037" s="22" t="n">
        <x:f>O4037*(1-N4037)</x:f>
        <x:v>5655.099999999999</x:v>
      </x:c>
      <x:c r="Q4037" s="22" t="n">
        <x:v>230</x:v>
      </x:c>
      <x:c r="R4037" s="22" t="n">
        <x:f>Q4037*M4037</x:f>
        <x:v>5060</x:v>
      </x:c>
      <x:c r="S4037" s="22" t="n">
        <x:f>P4037-R4037</x:f>
        <x:v>595.0999999999995</x:v>
      </x:c>
      <x:c r="T4037" t="str">
        <x:v>Cash</x:v>
      </x:c>
      <x:c r="U4037" t="str">
        <x:v>Paid</x:v>
      </x:c>
      <x:c r="V4037" t="str">
        <x:v>Delivered</x:v>
      </x:c>
      <x:c r="W4037" t="n">
        <x:v>0</x:v>
      </x:c>
      <x:c r="X4037" t="str"/>
      <x:c r="Y4037" t="str">
        <x:v>WhatsApp</x:v>
      </x:c>
    </x:row>
    <x:row r="4038">
      <x:c r="A4038" t="str">
        <x:v>O004037</x:v>
      </x:c>
      <x:c r="B4038" s="20" t="n">
        <x:v>45898</x:v>
      </x:c>
      <x:c r="C4038" t="str">
        <x:v>C0026</x:v>
      </x:c>
      <x:c r="D4038" t="str">
        <x:v>Cafe Kitchen 26</x:v>
      </x:c>
      <x:c r="E4038" t="str">
        <x:v>Kirana</x:v>
      </x:c>
      <x:c r="F4038" t="str">
        <x:v>Davanagere</x:v>
      </x:c>
      <x:c r="G4038" t="str">
        <x:v>Kavya</x:v>
      </x:c>
      <x:c r="H4038" t="str">
        <x:v>P021</x:v>
      </x:c>
      <x:c r="I4038" t="str">
        <x:v>Instant Coffee 200g</x:v>
      </x:c>
      <x:c r="J4038" t="str">
        <x:v>Beverage</x:v>
      </x:c>
      <x:c r="K4038" t="str">
        <x:v>Nescafe</x:v>
      </x:c>
      <x:c r="L4038" s="22" t="n">
        <x:v>460</x:v>
      </x:c>
      <x:c r="M4038" t="n">
        <x:v>14</x:v>
      </x:c>
      <x:c r="N4038" s="24" t="n">
        <x:v>0.05</x:v>
      </x:c>
      <x:c r="O4038" s="22" t="n">
        <x:f>L4038*M4038</x:f>
        <x:v>6440</x:v>
      </x:c>
      <x:c r="P4038" s="22" t="n">
        <x:f>O4038*(1-N4038)</x:f>
        <x:v>6118</x:v>
      </x:c>
      <x:c r="Q4038" s="22" t="n">
        <x:v>410</x:v>
      </x:c>
      <x:c r="R4038" s="22" t="n">
        <x:f>Q4038*M4038</x:f>
        <x:v>5740</x:v>
      </x:c>
      <x:c r="S4038" s="22" t="n">
        <x:f>P4038-R4038</x:f>
        <x:v>378</x:v>
      </x:c>
      <x:c r="T4038" t="str">
        <x:v>Credit</x:v>
      </x:c>
      <x:c r="U4038" t="str">
        <x:v>Pending</x:v>
      </x:c>
      <x:c r="V4038" t="str">
        <x:v>Delivered</x:v>
      </x:c>
      <x:c r="W4038" t="n">
        <x:v>0</x:v>
      </x:c>
      <x:c r="X4038" t="str"/>
      <x:c r="Y4038" t="str">
        <x:v>WhatsApp</x:v>
      </x:c>
    </x:row>
    <x:row r="4039">
      <x:c r="A4039" t="str">
        <x:v>O004038</x:v>
      </x:c>
      <x:c r="B4039" s="20" t="n">
        <x:v>46069</x:v>
      </x:c>
      <x:c r="C4039" t="str">
        <x:v>C0228</x:v>
      </x:c>
      <x:c r="D4039" t="str">
        <x:v>Metro Foods 228</x:v>
      </x:c>
      <x:c r="E4039" t="str">
        <x:v>Supermarket</x:v>
      </x:c>
      <x:c r="F4039" t="str">
        <x:v>Davanagere</x:v>
      </x:c>
      <x:c r="G4039" t="str">
        <x:v>Sneha</x:v>
      </x:c>
      <x:c r="H4039" t="str">
        <x:v>P043</x:v>
      </x:c>
      <x:c r="I4039" t="str">
        <x:v>Chicken Breast 1kg</x:v>
      </x:c>
      <x:c r="J4039" t="str">
        <x:v>Protein</x:v>
      </x:c>
      <x:c r="K4039" t="str">
        <x:v>FreshToHome</x:v>
      </x:c>
      <x:c r="L4039" s="22" t="n">
        <x:v>260</x:v>
      </x:c>
      <x:c r="M4039" t="n">
        <x:v>14</x:v>
      </x:c>
      <x:c r="N4039" s="24" t="n">
        <x:v>0.05</x:v>
      </x:c>
      <x:c r="O4039" s="22" t="n">
        <x:f>L4039*M4039</x:f>
        <x:v>3640</x:v>
      </x:c>
      <x:c r="P4039" s="22" t="n">
        <x:f>O4039*(1-N4039)</x:f>
        <x:v>3458</x:v>
      </x:c>
      <x:c r="Q4039" s="22" t="n">
        <x:v>235</x:v>
      </x:c>
      <x:c r="R4039" s="22" t="n">
        <x:f>Q4039*M4039</x:f>
        <x:v>3290</x:v>
      </x:c>
      <x:c r="S4039" s="22" t="n">
        <x:f>P4039-R4039</x:f>
        <x:v>168</x:v>
      </x:c>
      <x:c r="T4039" t="str">
        <x:v>Bank Transfer</x:v>
      </x:c>
      <x:c r="U4039" t="str">
        <x:v>Paid</x:v>
      </x:c>
      <x:c r="V4039" t="str">
        <x:v>Delayed</x:v>
      </x:c>
      <x:c r="W4039" t="n">
        <x:v>0</x:v>
      </x:c>
      <x:c r="X4039" t="str"/>
      <x:c r="Y4039" t="str">
        <x:v>Outbound Call</x:v>
      </x:c>
    </x:row>
    <x:row r="4040">
      <x:c r="A4040" t="str">
        <x:v>O004039</x:v>
      </x:c>
      <x:c r="B4040" s="20" t="n">
        <x:v>45764</x:v>
      </x:c>
      <x:c r="C4040" t="str">
        <x:v>C0179</x:v>
      </x:c>
      <x:c r="D4040" t="str">
        <x:v>Shree Hotel 179</x:v>
      </x:c>
      <x:c r="E4040" t="str">
        <x:v>Restaurant</x:v>
      </x:c>
      <x:c r="F4040" t="str">
        <x:v>Hubballi</x:v>
      </x:c>
      <x:c r="G4040" t="str">
        <x:v>Kavya</x:v>
      </x:c>
      <x:c r="H4040" t="str">
        <x:v>P006</x:v>
      </x:c>
      <x:c r="I4040" t="str">
        <x:v>Moong Dal 5kg</x:v>
      </x:c>
      <x:c r="J4040" t="str">
        <x:v>Pulses</x:v>
      </x:c>
      <x:c r="K4040" t="str">
        <x:v>Local Select</x:v>
      </x:c>
      <x:c r="L4040" s="22" t="n">
        <x:v>610</x:v>
      </x:c>
      <x:c r="M4040" t="n">
        <x:v>38</x:v>
      </x:c>
      <x:c r="N4040" s="24" t="n">
        <x:v>0.02</x:v>
      </x:c>
      <x:c r="O4040" s="22" t="n">
        <x:f>L4040*M4040</x:f>
        <x:v>23180</x:v>
      </x:c>
      <x:c r="P4040" s="22" t="n">
        <x:f>O4040*(1-N4040)</x:f>
        <x:v>22716.399999999998</x:v>
      </x:c>
      <x:c r="Q4040" s="22" t="n">
        <x:v>540</x:v>
      </x:c>
      <x:c r="R4040" s="22" t="n">
        <x:f>Q4040*M4040</x:f>
        <x:v>20520</x:v>
      </x:c>
      <x:c r="S4040" s="22" t="n">
        <x:f>P4040-R4040</x:f>
        <x:v>2196.399999999998</x:v>
      </x:c>
      <x:c r="T4040" t="str">
        <x:v>Bank Transfer</x:v>
      </x:c>
      <x:c r="U4040" t="str">
        <x:v>Paid</x:v>
      </x:c>
      <x:c r="V4040" t="str">
        <x:v>Delivered</x:v>
      </x:c>
      <x:c r="W4040" t="n">
        <x:v>0</x:v>
      </x:c>
      <x:c r="X4040" t="str"/>
      <x:c r="Y4040" t="str">
        <x:v>Outbound Call</x:v>
      </x:c>
    </x:row>
    <x:row r="4041">
      <x:c r="A4041" t="str">
        <x:v>O004040</x:v>
      </x:c>
      <x:c r="B4041" s="20" t="n">
        <x:v>45716</x:v>
      </x:c>
      <x:c r="C4041" t="str">
        <x:v>C0066</x:v>
      </x:c>
      <x:c r="D4041" t="str">
        <x:v>Hotel Hotel 66</x:v>
      </x:c>
      <x:c r="E4041" t="str">
        <x:v>Restaurant</x:v>
      </x:c>
      <x:c r="F4041" t="str">
        <x:v>Davanagere</x:v>
      </x:c>
      <x:c r="G4041" t="str">
        <x:v>Megha</x:v>
      </x:c>
      <x:c r="H4041" t="str">
        <x:v>P044</x:v>
      </x:c>
      <x:c r="I4041" t="str">
        <x:v>Chicken Curry Cut 1kg</x:v>
      </x:c>
      <x:c r="J4041" t="str">
        <x:v>Protein</x:v>
      </x:c>
      <x:c r="K4041" t="str">
        <x:v>FreshToHome</x:v>
      </x:c>
      <x:c r="L4041" s="22" t="n">
        <x:v>230</x:v>
      </x:c>
      <x:c r="M4041" t="n">
        <x:v>15</x:v>
      </x:c>
      <x:c r="N4041" s="24" t="n">
        <x:v>0.03</x:v>
      </x:c>
      <x:c r="O4041" s="22" t="n">
        <x:f>L4041*M4041</x:f>
        <x:v>3450</x:v>
      </x:c>
      <x:c r="P4041" s="22" t="n">
        <x:f>O4041*(1-N4041)</x:f>
        <x:v>3346.5</x:v>
      </x:c>
      <x:c r="Q4041" s="22" t="n">
        <x:v>205</x:v>
      </x:c>
      <x:c r="R4041" s="22" t="n">
        <x:f>Q4041*M4041</x:f>
        <x:v>3075</x:v>
      </x:c>
      <x:c r="S4041" s="22" t="n">
        <x:f>P4041-R4041</x:f>
        <x:v>271.5</x:v>
      </x:c>
      <x:c r="T4041" t="str">
        <x:v>UPI</x:v>
      </x:c>
      <x:c r="U4041" t="str">
        <x:v>Overdue</x:v>
      </x:c>
      <x:c r="V4041" t="str">
        <x:v>Delivered</x:v>
      </x:c>
      <x:c r="W4041" t="n">
        <x:v>0</x:v>
      </x:c>
      <x:c r="X4041" t="str"/>
      <x:c r="Y4041" t="str">
        <x:v>Referral</x:v>
      </x:c>
    </x:row>
    <x:row r="4042">
      <x:c r="A4042" t="str">
        <x:v>O004041</x:v>
      </x:c>
      <x:c r="B4042" s="20" t="n">
        <x:v>45874</x:v>
      </x:c>
      <x:c r="C4042" t="str">
        <x:v>C0162</x:v>
      </x:c>
      <x:c r="D4042" t="str">
        <x:v>Udupi Foods 162</x:v>
      </x:c>
      <x:c r="E4042" t="str">
        <x:v>Restaurant</x:v>
      </x:c>
      <x:c r="F4042" t="str">
        <x:v>Mysuru</x:v>
      </x:c>
      <x:c r="G4042" t="str">
        <x:v>Ramesh</x:v>
      </x:c>
      <x:c r="H4042" t="str">
        <x:v>P042</x:v>
      </x:c>
      <x:c r="I4042" t="str">
        <x:v>Eggs 30pc Tray</x:v>
      </x:c>
      <x:c r="J4042" t="str">
        <x:v>Protein</x:v>
      </x:c>
      <x:c r="K4042" t="str">
        <x:v>Farm Fresh</x:v>
      </x:c>
      <x:c r="L4042" s="22" t="n">
        <x:v>195</x:v>
      </x:c>
      <x:c r="M4042" t="n">
        <x:v>2</x:v>
      </x:c>
      <x:c r="N4042" s="24" t="n">
        <x:v>0.03</x:v>
      </x:c>
      <x:c r="O4042" s="22" t="n">
        <x:f>L4042*M4042</x:f>
        <x:v>390</x:v>
      </x:c>
      <x:c r="P4042" s="22" t="n">
        <x:f>O4042*(1-N4042)</x:f>
        <x:v>378.3</x:v>
      </x:c>
      <x:c r="Q4042" s="22" t="n">
        <x:v>170</x:v>
      </x:c>
      <x:c r="R4042" s="22" t="n">
        <x:f>Q4042*M4042</x:f>
        <x:v>340</x:v>
      </x:c>
      <x:c r="S4042" s="22" t="n">
        <x:f>P4042-R4042</x:f>
        <x:v>38.30000000000001</x:v>
      </x:c>
      <x:c r="T4042" t="str">
        <x:v>Bank Transfer</x:v>
      </x:c>
      <x:c r="U4042" t="str">
        <x:v>Pending</x:v>
      </x:c>
      <x:c r="V4042" t="str">
        <x:v>Delivered</x:v>
      </x:c>
      <x:c r="W4042" t="n">
        <x:v>0</x:v>
      </x:c>
      <x:c r="X4042" t="str"/>
      <x:c r="Y4042" t="str">
        <x:v>Field Visit</x:v>
      </x:c>
    </x:row>
    <x:row r="4043">
      <x:c r="A4043" t="str">
        <x:v>O004042</x:v>
      </x:c>
      <x:c r="B4043" s="20" t="n">
        <x:v>45805</x:v>
      </x:c>
      <x:c r="C4043" t="str">
        <x:v>C0012</x:v>
      </x:c>
      <x:c r="D4043" t="str">
        <x:v>Sagar Canteen 12</x:v>
      </x:c>
      <x:c r="E4043" t="str">
        <x:v>Supermarket</x:v>
      </x:c>
      <x:c r="F4043" t="str">
        <x:v>Mysuru</x:v>
      </x:c>
      <x:c r="G4043" t="str">
        <x:v>Priya</x:v>
      </x:c>
      <x:c r="H4043" t="str">
        <x:v>P031</x:v>
      </x:c>
      <x:c r="I4043" t="str">
        <x:v>Chilli Sauce 700g</x:v>
      </x:c>
      <x:c r="J4043" t="str">
        <x:v>Condiments</x:v>
      </x:c>
      <x:c r="K4043" t="str">
        <x:v>Ching's</x:v>
      </x:c>
      <x:c r="L4043" s="22" t="n">
        <x:v>130</x:v>
      </x:c>
      <x:c r="M4043" t="n">
        <x:v>7</x:v>
      </x:c>
      <x:c r="N4043" s="24" t="n">
        <x:v>0.02</x:v>
      </x:c>
      <x:c r="O4043" s="22" t="n">
        <x:f>L4043*M4043</x:f>
        <x:v>910</x:v>
      </x:c>
      <x:c r="P4043" s="22" t="n">
        <x:f>O4043*(1-N4043)</x:f>
        <x:v>891.8</x:v>
      </x:c>
      <x:c r="Q4043" s="22" t="n">
        <x:v>112</x:v>
      </x:c>
      <x:c r="R4043" s="22" t="n">
        <x:f>Q4043*M4043</x:f>
        <x:v>784</x:v>
      </x:c>
      <x:c r="S4043" s="22" t="n">
        <x:f>P4043-R4043</x:f>
        <x:v>107.79999999999995</x:v>
      </x:c>
      <x:c r="T4043" t="str">
        <x:v>Cash</x:v>
      </x:c>
      <x:c r="U4043" t="str">
        <x:v>Paid</x:v>
      </x:c>
      <x:c r="V4043" t="str">
        <x:v>Cancelled</x:v>
      </x:c>
      <x:c r="W4043" t="n">
        <x:v>7</x:v>
      </x:c>
      <x:c r="X4043" t="str">
        <x:v>Cancelled Order</x:v>
      </x:c>
      <x:c r="Y4043" t="str">
        <x:v>Field Visit</x:v>
      </x:c>
    </x:row>
    <x:row r="4044">
      <x:c r="A4044" t="str">
        <x:v>O004043</x:v>
      </x:c>
      <x:c r="B4044" s="20" t="n">
        <x:v>45934</x:v>
      </x:c>
      <x:c r="C4044" t="str">
        <x:v>C0111</x:v>
      </x:c>
      <x:c r="D4044" t="str">
        <x:v>Metro Kitchen 111</x:v>
      </x:c>
      <x:c r="E4044" t="str">
        <x:v>Restaurant</x:v>
      </x:c>
      <x:c r="F4044" t="str">
        <x:v>Davanagere</x:v>
      </x:c>
      <x:c r="G4044" t="str">
        <x:v>Sneha</x:v>
      </x:c>
      <x:c r="H4044" t="str">
        <x:v>P036</x:v>
      </x:c>
      <x:c r="I4044" t="str">
        <x:v>Garam Masala 500g</x:v>
      </x:c>
      <x:c r="J4044" t="str">
        <x:v>Spices</x:v>
      </x:c>
      <x:c r="K4044" t="str">
        <x:v>MDH</x:v>
      </x:c>
      <x:c r="L4044" s="22" t="n">
        <x:v>265</x:v>
      </x:c>
      <x:c r="M4044" t="n">
        <x:v>31</x:v>
      </x:c>
      <x:c r="N4044" s="24" t="n">
        <x:v>0</x:v>
      </x:c>
      <x:c r="O4044" s="22" t="n">
        <x:f>L4044*M4044</x:f>
        <x:v>8215</x:v>
      </x:c>
      <x:c r="P4044" s="22" t="n">
        <x:f>O4044*(1-N4044)</x:f>
        <x:v>8215</x:v>
      </x:c>
      <x:c r="Q4044" s="22" t="n">
        <x:v>230</x:v>
      </x:c>
      <x:c r="R4044" s="22" t="n">
        <x:f>Q4044*M4044</x:f>
        <x:v>7130</x:v>
      </x:c>
      <x:c r="S4044" s="22" t="n">
        <x:f>P4044-R4044</x:f>
        <x:v>1085</x:v>
      </x:c>
      <x:c r="T4044" t="str">
        <x:v>Cash</x:v>
      </x:c>
      <x:c r="U4044" t="str">
        <x:v>Pending</x:v>
      </x:c>
      <x:c r="V4044" t="str">
        <x:v>Delivered</x:v>
      </x:c>
      <x:c r="W4044" t="n">
        <x:v>4</x:v>
      </x:c>
      <x:c r="X4044" t="str">
        <x:v>Quality Issue</x:v>
      </x:c>
      <x:c r="Y4044" t="str">
        <x:v>Referral</x:v>
      </x:c>
    </x:row>
    <x:row r="4045">
      <x:c r="A4045" t="str">
        <x:v>O004044</x:v>
      </x:c>
      <x:c r="B4045" s="20" t="n">
        <x:v>46001</x:v>
      </x:c>
      <x:c r="C4045" t="str">
        <x:v>C0156</x:v>
      </x:c>
      <x:c r="D4045" t="str">
        <x:v>Metro Stores 156</x:v>
      </x:c>
      <x:c r="E4045" t="str">
        <x:v>Hotel</x:v>
      </x:c>
      <x:c r="F4045" t="str">
        <x:v>Tumakuru</x:v>
      </x:c>
      <x:c r="G4045" t="str">
        <x:v>Ramesh</x:v>
      </x:c>
      <x:c r="H4045" t="str">
        <x:v>P002</x:v>
      </x:c>
      <x:c r="I4045" t="str">
        <x:v>Sona Masoori Rice 25kg</x:v>
      </x:c>
      <x:c r="J4045" t="str">
        <x:v>Staples</x:v>
      </x:c>
      <x:c r="K4045" t="str">
        <x:v>Fortune</x:v>
      </x:c>
      <x:c r="L4045" s="22" t="n">
        <x:v>1320</x:v>
      </x:c>
      <x:c r="M4045" t="n">
        <x:v>7</x:v>
      </x:c>
      <x:c r="N4045" s="24" t="n">
        <x:v>0.05</x:v>
      </x:c>
      <x:c r="O4045" s="22" t="n">
        <x:f>L4045*M4045</x:f>
        <x:v>9240</x:v>
      </x:c>
      <x:c r="P4045" s="22" t="n">
        <x:f>O4045*(1-N4045)</x:f>
        <x:v>8778</x:v>
      </x:c>
      <x:c r="Q4045" s="22" t="n">
        <x:v>1160</x:v>
      </x:c>
      <x:c r="R4045" s="22" t="n">
        <x:f>Q4045*M4045</x:f>
        <x:v>8120</x:v>
      </x:c>
      <x:c r="S4045" s="22" t="n">
        <x:f>P4045-R4045</x:f>
        <x:v>658</x:v>
      </x:c>
      <x:c r="T4045" t="str">
        <x:v>Credit</x:v>
      </x:c>
      <x:c r="U4045" t="str">
        <x:v>Paid</x:v>
      </x:c>
      <x:c r="V4045" t="str">
        <x:v>Delivered</x:v>
      </x:c>
      <x:c r="W4045" t="n">
        <x:v>0</x:v>
      </x:c>
      <x:c r="X4045" t="str"/>
      <x:c r="Y4045" t="str">
        <x:v>WhatsApp</x:v>
      </x:c>
    </x:row>
    <x:row r="4046">
      <x:c r="A4046" t="str">
        <x:v>O004045</x:v>
      </x:c>
      <x:c r="B4046" s="20" t="n">
        <x:v>45693</x:v>
      </x:c>
      <x:c r="C4046" t="str">
        <x:v>C0233</x:v>
      </x:c>
      <x:c r="D4046" t="str">
        <x:v>Shree Mart 233</x:v>
      </x:c>
      <x:c r="E4046" t="str">
        <x:v>Kirana</x:v>
      </x:c>
      <x:c r="F4046" t="str">
        <x:v>Mangaluru</x:v>
      </x:c>
      <x:c r="G4046" t="str">
        <x:v>Priya</x:v>
      </x:c>
      <x:c r="H4046" t="str">
        <x:v>P048</x:v>
      </x:c>
      <x:c r="I4046" t="str">
        <x:v>Banana 10kg</x:v>
      </x:c>
      <x:c r="J4046" t="str">
        <x:v>Fresh Produce</x:v>
      </x:c>
      <x:c r="K4046" t="str">
        <x:v>Local Market</x:v>
      </x:c>
      <x:c r="L4046" s="22" t="n">
        <x:v>420</x:v>
      </x:c>
      <x:c r="M4046" t="n">
        <x:v>40</x:v>
      </x:c>
      <x:c r="N4046" s="24" t="n">
        <x:v>0.02</x:v>
      </x:c>
      <x:c r="O4046" s="22" t="n">
        <x:f>L4046*M4046</x:f>
        <x:v>16800</x:v>
      </x:c>
      <x:c r="P4046" s="22" t="n">
        <x:f>O4046*(1-N4046)</x:f>
        <x:v>16464</x:v>
      </x:c>
      <x:c r="Q4046" s="22" t="n">
        <x:v>350</x:v>
      </x:c>
      <x:c r="R4046" s="22" t="n">
        <x:f>Q4046*M4046</x:f>
        <x:v>14000</x:v>
      </x:c>
      <x:c r="S4046" s="22" t="n">
        <x:f>P4046-R4046</x:f>
        <x:v>2464</x:v>
      </x:c>
      <x:c r="T4046" t="str">
        <x:v>UPI</x:v>
      </x:c>
      <x:c r="U4046" t="str">
        <x:v>Pending</x:v>
      </x:c>
      <x:c r="V4046" t="str">
        <x:v>Delivered</x:v>
      </x:c>
      <x:c r="W4046" t="n">
        <x:v>0</x:v>
      </x:c>
      <x:c r="X4046" t="str"/>
      <x:c r="Y4046" t="str"/>
    </x:row>
    <x:row r="4047">
      <x:c r="A4047" t="str">
        <x:v>O004046</x:v>
      </x:c>
      <x:c r="B4047" s="20" t="n">
        <x:v>46240</x:v>
      </x:c>
      <x:c r="C4047" t="str">
        <x:v>C0138</x:v>
      </x:c>
      <x:c r="D4047" t="str">
        <x:v>New Mart 138</x:v>
      </x:c>
      <x:c r="E4047" t="str">
        <x:v>Restaurant</x:v>
      </x:c>
      <x:c r="F4047" t="str">
        <x:v>Bengaluru</x:v>
      </x:c>
      <x:c r="G4047" t="str">
        <x:v>Ramesh</x:v>
      </x:c>
      <x:c r="H4047" t="str">
        <x:v>P007</x:v>
      </x:c>
      <x:c r="I4047" t="str">
        <x:v>Sunflower Oil 15L</x:v>
      </x:c>
      <x:c r="J4047" t="str">
        <x:v>Edible Oil</x:v>
      </x:c>
      <x:c r="K4047" t="str">
        <x:v>Fortune</x:v>
      </x:c>
      <x:c r="L4047" s="22" t="n">
        <x:v>1980</x:v>
      </x:c>
      <x:c r="M4047" t="n">
        <x:v>7</x:v>
      </x:c>
      <x:c r="N4047" s="24" t="n">
        <x:v>0.03</x:v>
      </x:c>
      <x:c r="O4047" s="22" t="n">
        <x:f>L4047*M4047</x:f>
        <x:v>13860</x:v>
      </x:c>
      <x:c r="P4047" s="22" t="n">
        <x:f>O4047*(1-N4047)</x:f>
        <x:v>13444.199999999999</x:v>
      </x:c>
      <x:c r="Q4047" s="22" t="n">
        <x:v>1810</x:v>
      </x:c>
      <x:c r="R4047" s="22" t="n">
        <x:f>Q4047*M4047</x:f>
        <x:v>12670</x:v>
      </x:c>
      <x:c r="S4047" s="22" t="n">
        <x:f>P4047-R4047</x:f>
        <x:v>774.1999999999989</x:v>
      </x:c>
      <x:c r="T4047" t="str">
        <x:v>Cash</x:v>
      </x:c>
      <x:c r="U4047" t="str">
        <x:v>Paid</x:v>
      </x:c>
      <x:c r="V4047" t="str">
        <x:v>Delivered</x:v>
      </x:c>
      <x:c r="W4047" t="n">
        <x:v>0</x:v>
      </x:c>
      <x:c r="X4047" t="str"/>
      <x:c r="Y4047" t="str">
        <x:v>WhatsApp</x:v>
      </x:c>
    </x:row>
    <x:row r="4048">
      <x:c r="A4048" t="str">
        <x:v>O004047</x:v>
      </x:c>
      <x:c r="B4048" s="20" t="n">
        <x:v>46209</x:v>
      </x:c>
      <x:c r="C4048" t="str">
        <x:v>C0191</x:v>
      </x:c>
      <x:c r="D4048" t="str">
        <x:v>Foodie Kitchen 191</x:v>
      </x:c>
      <x:c r="E4048" t="str">
        <x:v>Cafe</x:v>
      </x:c>
      <x:c r="F4048" t="str">
        <x:v>Mysuru</x:v>
      </x:c>
      <x:c r="G4048" t="str">
        <x:v>Priya</x:v>
      </x:c>
      <x:c r="H4048" t="str">
        <x:v>P045</x:v>
      </x:c>
      <x:c r="I4048" t="str">
        <x:v>Onion 25kg</x:v>
      </x:c>
      <x:c r="J4048" t="str">
        <x:v>Fresh Produce</x:v>
      </x:c>
      <x:c r="K4048" t="str">
        <x:v>Local Market</x:v>
      </x:c>
      <x:c r="L4048" s="22" t="n">
        <x:v>875</x:v>
      </x:c>
      <x:c r="M4048" t="n">
        <x:v>6</x:v>
      </x:c>
      <x:c r="N4048" s="24" t="n">
        <x:v>0.05</x:v>
      </x:c>
      <x:c r="O4048" s="22" t="n">
        <x:f>L4048*M4048</x:f>
        <x:v>5250</x:v>
      </x:c>
      <x:c r="P4048" s="22" t="n">
        <x:f>O4048*(1-N4048)</x:f>
        <x:v>4987.5</x:v>
      </x:c>
      <x:c r="Q4048" s="22" t="n">
        <x:v>760</x:v>
      </x:c>
      <x:c r="R4048" s="22" t="n">
        <x:f>Q4048*M4048</x:f>
        <x:v>4560</x:v>
      </x:c>
      <x:c r="S4048" s="22" t="n">
        <x:f>P4048-R4048</x:f>
        <x:v>427.5</x:v>
      </x:c>
      <x:c r="T4048" t="str">
        <x:v>Credit</x:v>
      </x:c>
      <x:c r="U4048" t="str">
        <x:v>Paid</x:v>
      </x:c>
      <x:c r="V4048" t="str">
        <x:v>Delivered</x:v>
      </x:c>
      <x:c r="W4048" t="n">
        <x:v>3</x:v>
      </x:c>
      <x:c r="X4048" t="str">
        <x:v>Quality Issue</x:v>
      </x:c>
      <x:c r="Y4048" t="str">
        <x:v>Outbound Call</x:v>
      </x:c>
    </x:row>
    <x:row r="4049">
      <x:c r="A4049" t="str">
        <x:v>O004048</x:v>
      </x:c>
      <x:c r="B4049" s="20" t="n">
        <x:v>45744</x:v>
      </x:c>
      <x:c r="C4049" t="str">
        <x:v>C0163</x:v>
      </x:c>
      <x:c r="D4049" t="str">
        <x:v>Shree Kitchen 163</x:v>
      </x:c>
      <x:c r="E4049" t="str">
        <x:v>Kirana</x:v>
      </x:c>
      <x:c r="F4049" t="str">
        <x:v>Mysuru</x:v>
      </x:c>
      <x:c r="G4049" t="str">
        <x:v>Priya</x:v>
      </x:c>
      <x:c r="H4049" t="str">
        <x:v>P024</x:v>
      </x:c>
      <x:c r="I4049" t="str">
        <x:v>Orange Drink 1L</x:v>
      </x:c>
      <x:c r="J4049" t="str">
        <x:v>Beverage</x:v>
      </x:c>
      <x:c r="K4049" t="str">
        <x:v>Minute Maid</x:v>
      </x:c>
      <x:c r="L4049" s="22" t="n">
        <x:v>105</x:v>
      </x:c>
      <x:c r="M4049" t="n">
        <x:v>24</x:v>
      </x:c>
      <x:c r="N4049" s="24" t="n">
        <x:v>0.08</x:v>
      </x:c>
      <x:c r="O4049" s="22" t="n">
        <x:f>L4049*M4049</x:f>
        <x:v>2520</x:v>
      </x:c>
      <x:c r="P4049" s="22" t="n">
        <x:f>O4049*(1-N4049)</x:f>
        <x:v>2318.4</x:v>
      </x:c>
      <x:c r="Q4049" s="22" t="n">
        <x:v>88</x:v>
      </x:c>
      <x:c r="R4049" s="22" t="n">
        <x:f>Q4049*M4049</x:f>
        <x:v>2112</x:v>
      </x:c>
      <x:c r="S4049" s="22" t="n">
        <x:f>P4049-R4049</x:f>
        <x:v>206.4000000000001</x:v>
      </x:c>
      <x:c r="T4049" t="str">
        <x:v>Cash</x:v>
      </x:c>
      <x:c r="U4049" t="str">
        <x:v>Paid</x:v>
      </x:c>
      <x:c r="V4049" t="str">
        <x:v>Delivered</x:v>
      </x:c>
      <x:c r="W4049" t="n">
        <x:v>2</x:v>
      </x:c>
      <x:c r="X4049" t="str">
        <x:v>Damaged</x:v>
      </x:c>
      <x:c r="Y4049" t="str">
        <x:v>Outbound Call</x:v>
      </x:c>
    </x:row>
    <x:row r="4050">
      <x:c r="A4050" t="str">
        <x:v>O004049</x:v>
      </x:c>
      <x:c r="B4050" s="20" t="n">
        <x:v>45981</x:v>
      </x:c>
      <x:c r="C4050" t="str">
        <x:v>C0166</x:v>
      </x:c>
      <x:c r="D4050" t="str">
        <x:v>Mysore Foods 166</x:v>
      </x:c>
      <x:c r="E4050" t="str">
        <x:v>Cafe</x:v>
      </x:c>
      <x:c r="F4050" t="str">
        <x:v>Mangaluru</x:v>
      </x:c>
      <x:c r="G4050" t="str">
        <x:v>Arjun</x:v>
      </x:c>
      <x:c r="H4050" t="str">
        <x:v>P032</x:v>
      </x:c>
      <x:c r="I4050" t="str">
        <x:v>Soy Sauce 700g</x:v>
      </x:c>
      <x:c r="J4050" t="str">
        <x:v>Condiments</x:v>
      </x:c>
      <x:c r="K4050" t="str">
        <x:v>Ching's</x:v>
      </x:c>
      <x:c r="L4050" s="22" t="n">
        <x:v>118</x:v>
      </x:c>
      <x:c r="M4050" t="n">
        <x:v>39</x:v>
      </x:c>
      <x:c r="N4050" s="24" t="n">
        <x:v>0.05</x:v>
      </x:c>
      <x:c r="O4050" s="22" t="n">
        <x:f>L4050*M4050</x:f>
        <x:v>4602</x:v>
      </x:c>
      <x:c r="P4050" s="22" t="n">
        <x:f>O4050*(1-N4050)</x:f>
        <x:v>4371.9</x:v>
      </x:c>
      <x:c r="Q4050" s="22" t="n">
        <x:v>101</x:v>
      </x:c>
      <x:c r="R4050" s="22" t="n">
        <x:f>Q4050*M4050</x:f>
        <x:v>3939</x:v>
      </x:c>
      <x:c r="S4050" s="22" t="n">
        <x:f>P4050-R4050</x:f>
        <x:v>432.89999999999964</x:v>
      </x:c>
      <x:c r="T4050" t="str">
        <x:v>Bank Transfer</x:v>
      </x:c>
      <x:c r="U4050" t="str">
        <x:v>Paid</x:v>
      </x:c>
      <x:c r="V4050" t="str">
        <x:v>Delivered</x:v>
      </x:c>
      <x:c r="W4050" t="n">
        <x:v>0</x:v>
      </x:c>
      <x:c r="X4050" t="str"/>
      <x:c r="Y4050" t="str">
        <x:v>Field Visit</x:v>
      </x:c>
    </x:row>
    <x:row r="4051">
      <x:c r="A4051" t="str">
        <x:v>O004050</x:v>
      </x:c>
      <x:c r="B4051" s="20" t="n">
        <x:v>45692</x:v>
      </x:c>
      <x:c r="C4051" t="str">
        <x:v>C0021</x:v>
      </x:c>
      <x:c r="D4051" t="str">
        <x:v>Namma Cafe 21</x:v>
      </x:c>
      <x:c r="E4051" t="str">
        <x:v>Canteen</x:v>
      </x:c>
      <x:c r="F4051" t="str">
        <x:v>Bengaluru</x:v>
      </x:c>
      <x:c r="G4051" t="str">
        <x:v>Kavya</x:v>
      </x:c>
      <x:c r="H4051" t="str">
        <x:v>P020</x:v>
      </x:c>
      <x:c r="I4051" t="str">
        <x:v>Coffee 500g</x:v>
      </x:c>
      <x:c r="J4051" t="str">
        <x:v>Beverage</x:v>
      </x:c>
      <x:c r="K4051" t="str">
        <x:v>Bru</x:v>
      </x:c>
      <x:c r="L4051" s="22" t="n">
        <x:v>390</x:v>
      </x:c>
      <x:c r="M4051" t="n">
        <x:v>23</x:v>
      </x:c>
      <x:c r="N4051" s="24" t="n">
        <x:v>0.05</x:v>
      </x:c>
      <x:c r="O4051" s="22" t="n">
        <x:f>L4051*M4051</x:f>
        <x:v>8970</x:v>
      </x:c>
      <x:c r="P4051" s="22" t="n">
        <x:f>O4051*(1-N4051)</x:f>
        <x:v>8521.5</x:v>
      </x:c>
      <x:c r="Q4051" s="22" t="n">
        <x:v>350</x:v>
      </x:c>
      <x:c r="R4051" s="22" t="n">
        <x:f>Q4051*M4051</x:f>
        <x:v>8050</x:v>
      </x:c>
      <x:c r="S4051" s="22" t="n">
        <x:f>P4051-R4051</x:f>
        <x:v>471.5</x:v>
      </x:c>
      <x:c r="T4051" t="str">
        <x:v>UPI</x:v>
      </x:c>
      <x:c r="U4051" t="str">
        <x:v>Paid</x:v>
      </x:c>
      <x:c r="V4051" t="str">
        <x:v>Delivered</x:v>
      </x:c>
      <x:c r="W4051" t="n">
        <x:v>1</x:v>
      </x:c>
      <x:c r="X4051" t="str">
        <x:v>Quality Issue</x:v>
      </x:c>
      <x:c r="Y4051" t="str">
        <x:v>Field Visit</x:v>
      </x:c>
    </x:row>
    <x:row r="4052">
      <x:c r="A4052" t="str">
        <x:v>O004051</x:v>
      </x:c>
      <x:c r="B4052" s="20" t="n">
        <x:v>46189</x:v>
      </x:c>
      <x:c r="C4052" t="str">
        <x:v>C0092</x:v>
      </x:c>
      <x:c r="D4052" t="str">
        <x:v>Cafe Restaurant 92</x:v>
      </x:c>
      <x:c r="E4052" t="str">
        <x:v>Canteen</x:v>
      </x:c>
      <x:c r="F4052" t="str">
        <x:v>Hubballi</x:v>
      </x:c>
      <x:c r="G4052" t="str">
        <x:v>Vikram</x:v>
      </x:c>
      <x:c r="H4052" t="str">
        <x:v>P020</x:v>
      </x:c>
      <x:c r="I4052" t="str">
        <x:v>Coffee 500g</x:v>
      </x:c>
      <x:c r="J4052" t="str">
        <x:v>Beverage</x:v>
      </x:c>
      <x:c r="K4052" t="str">
        <x:v>Bru</x:v>
      </x:c>
      <x:c r="L4052" s="22" t="n">
        <x:v>390</x:v>
      </x:c>
      <x:c r="M4052" t="n">
        <x:v>17</x:v>
      </x:c>
      <x:c r="N4052" s="24" t="n">
        <x:v>0</x:v>
      </x:c>
      <x:c r="O4052" s="22" t="n">
        <x:f>L4052*M4052</x:f>
        <x:v>6630</x:v>
      </x:c>
      <x:c r="P4052" s="22" t="n">
        <x:f>O4052*(1-N4052)</x:f>
        <x:v>6630</x:v>
      </x:c>
      <x:c r="Q4052" s="22" t="n">
        <x:v>350</x:v>
      </x:c>
      <x:c r="R4052" s="22" t="n">
        <x:f>Q4052*M4052</x:f>
        <x:v>5950</x:v>
      </x:c>
      <x:c r="S4052" s="22" t="n">
        <x:f>P4052-R4052</x:f>
        <x:v>680</x:v>
      </x:c>
      <x:c r="T4052" t="str">
        <x:v>UPI</x:v>
      </x:c>
      <x:c r="U4052" t="str">
        <x:v>Paid</x:v>
      </x:c>
      <x:c r="V4052" t="str">
        <x:v>Delivered</x:v>
      </x:c>
      <x:c r="W4052" t="n">
        <x:v>3</x:v>
      </x:c>
      <x:c r="X4052" t="str">
        <x:v>Late Delivery</x:v>
      </x:c>
      <x:c r="Y4052" t="str">
        <x:v>Field Visit</x:v>
      </x:c>
    </x:row>
    <x:row r="4053">
      <x:c r="A4053" t="str">
        <x:v>O004052</x:v>
      </x:c>
      <x:c r="B4053" s="20" t="n">
        <x:v>46131</x:v>
      </x:c>
      <x:c r="C4053" t="str">
        <x:v>C0065</x:v>
      </x:c>
      <x:c r="D4053" t="str">
        <x:v>Mysore Stores 65</x:v>
      </x:c>
      <x:c r="E4053" t="str">
        <x:v>Kirana</x:v>
      </x:c>
      <x:c r="F4053" t="str">
        <x:v>Tumakuru</x:v>
      </x:c>
      <x:c r="G4053" t="str">
        <x:v>Sneha</x:v>
      </x:c>
      <x:c r="H4053" t="str">
        <x:v>P040</x:v>
      </x:c>
      <x:c r="I4053" t="str">
        <x:v>Bread Loaf 400g</x:v>
      </x:c>
      <x:c r="J4053" t="str">
        <x:v>Bakery</x:v>
      </x:c>
      <x:c r="K4053" t="str">
        <x:v>Britannia</x:v>
      </x:c>
      <x:c r="L4053" s="22" t="n">
        <x:v>45</x:v>
      </x:c>
      <x:c r="M4053" t="n">
        <x:v>25</x:v>
      </x:c>
      <x:c r="N4053" s="24" t="n">
        <x:v>0.03</x:v>
      </x:c>
      <x:c r="O4053" s="22" t="n">
        <x:f>L4053*M4053</x:f>
        <x:v>1125</x:v>
      </x:c>
      <x:c r="P4053" s="22" t="n">
        <x:f>O4053*(1-N4053)</x:f>
        <x:v>1091.25</x:v>
      </x:c>
      <x:c r="Q4053" s="22" t="n">
        <x:v>35</x:v>
      </x:c>
      <x:c r="R4053" s="22" t="n">
        <x:f>Q4053*M4053</x:f>
        <x:v>875</x:v>
      </x:c>
      <x:c r="S4053" s="22" t="n">
        <x:f>P4053-R4053</x:f>
        <x:v>216.25</x:v>
      </x:c>
      <x:c r="T4053" t="str">
        <x:v>Bank Transfer</x:v>
      </x:c>
      <x:c r="U4053" t="str">
        <x:v>Paid</x:v>
      </x:c>
      <x:c r="V4053" t="str">
        <x:v>Delayed</x:v>
      </x:c>
      <x:c r="W4053" t="n">
        <x:v>0</x:v>
      </x:c>
      <x:c r="X4053" t="str"/>
      <x:c r="Y4053" t="str">
        <x:v>WhatsApp</x:v>
      </x:c>
    </x:row>
    <x:row r="4054">
      <x:c r="A4054" t="str">
        <x:v>O004053</x:v>
      </x:c>
      <x:c r="B4054" s="20" t="n">
        <x:v>45677</x:v>
      </x:c>
      <x:c r="C4054" t="str">
        <x:v>C0093</x:v>
      </x:c>
      <x:c r="D4054" t="str">
        <x:v>Sagar Hotel 93</x:v>
      </x:c>
      <x:c r="E4054" t="str">
        <x:v>Hotel</x:v>
      </x:c>
      <x:c r="F4054" t="str">
        <x:v>Hubballi</x:v>
      </x:c>
      <x:c r="G4054" t="str">
        <x:v>Imran</x:v>
      </x:c>
      <x:c r="H4054" t="str">
        <x:v>P027</x:v>
      </x:c>
      <x:c r="I4054" t="str">
        <x:v>Biscuits 120g</x:v>
      </x:c>
      <x:c r="J4054" t="str">
        <x:v>Snacks</x:v>
      </x:c>
      <x:c r="K4054" t="str">
        <x:v>Parle-G</x:v>
      </x:c>
      <x:c r="L4054" s="22" t="n">
        <x:v>12</x:v>
      </x:c>
      <x:c r="M4054" t="n">
        <x:v>19</x:v>
      </x:c>
      <x:c r="N4054" s="24" t="n">
        <x:v>0.1</x:v>
      </x:c>
      <x:c r="O4054" s="22" t="n">
        <x:f>L4054*M4054</x:f>
        <x:v>228</x:v>
      </x:c>
      <x:c r="P4054" s="22" t="n">
        <x:f>O4054*(1-N4054)</x:f>
        <x:v>205.20000000000002</x:v>
      </x:c>
      <x:c r="Q4054" s="22" t="n">
        <x:v>9</x:v>
      </x:c>
      <x:c r="R4054" s="22" t="n">
        <x:f>Q4054*M4054</x:f>
        <x:v>171</x:v>
      </x:c>
      <x:c r="S4054" s="22" t="n">
        <x:f>P4054-R4054</x:f>
        <x:v>34.20000000000002</x:v>
      </x:c>
      <x:c r="T4054" t="str">
        <x:v>Bank Transfer</x:v>
      </x:c>
      <x:c r="U4054" t="str">
        <x:v>Pending</x:v>
      </x:c>
      <x:c r="V4054" t="str">
        <x:v>Delivered</x:v>
      </x:c>
      <x:c r="W4054" t="n">
        <x:v>0</x:v>
      </x:c>
      <x:c r="X4054" t="str"/>
      <x:c r="Y4054" t="str">
        <x:v>Field Visit</x:v>
      </x:c>
    </x:row>
    <x:row r="4055">
      <x:c r="A4055" t="str">
        <x:v>O004054</x:v>
      </x:c>
      <x:c r="B4055" s="20" t="n">
        <x:v>45855</x:v>
      </x:c>
      <x:c r="C4055" t="str">
        <x:v>C0016</x:v>
      </x:c>
      <x:c r="D4055" t="str">
        <x:v>Royal Canteen 16</x:v>
      </x:c>
      <x:c r="E4055" t="str">
        <x:v>Cafe</x:v>
      </x:c>
      <x:c r="F4055" t="str">
        <x:v>Davanagere</x:v>
      </x:c>
      <x:c r="G4055" t="str">
        <x:v>Megha</x:v>
      </x:c>
      <x:c r="H4055" t="str">
        <x:v>P006</x:v>
      </x:c>
      <x:c r="I4055" t="str">
        <x:v>Moong Dal 5kg</x:v>
      </x:c>
      <x:c r="J4055" t="str">
        <x:v>Pulses</x:v>
      </x:c>
      <x:c r="K4055" t="str">
        <x:v>Local Select</x:v>
      </x:c>
      <x:c r="L4055" s="22" t="n">
        <x:v>610</x:v>
      </x:c>
      <x:c r="M4055" t="n">
        <x:v>34</x:v>
      </x:c>
      <x:c r="N4055" s="24" t="n">
        <x:v>0</x:v>
      </x:c>
      <x:c r="O4055" s="22" t="n">
        <x:f>L4055*M4055</x:f>
        <x:v>20740</x:v>
      </x:c>
      <x:c r="P4055" s="22" t="n">
        <x:f>O4055*(1-N4055)</x:f>
        <x:v>20740</x:v>
      </x:c>
      <x:c r="Q4055" s="22" t="n">
        <x:v>540</x:v>
      </x:c>
      <x:c r="R4055" s="22" t="n">
        <x:f>Q4055*M4055</x:f>
        <x:v>18360</x:v>
      </x:c>
      <x:c r="S4055" s="22" t="n">
        <x:f>P4055-R4055</x:f>
        <x:v>2380</x:v>
      </x:c>
      <x:c r="T4055" t="str">
        <x:v>Credit</x:v>
      </x:c>
      <x:c r="U4055" t="str">
        <x:v>Paid</x:v>
      </x:c>
      <x:c r="V4055" t="str">
        <x:v>Cancelled</x:v>
      </x:c>
      <x:c r="W4055" t="n">
        <x:v>34</x:v>
      </x:c>
      <x:c r="X4055" t="str">
        <x:v>Cancelled Order</x:v>
      </x:c>
      <x:c r="Y4055" t="str">
        <x:v>Outbound Call</x:v>
      </x:c>
    </x:row>
    <x:row r="4056">
      <x:c r="A4056" t="str">
        <x:v>O004055</x:v>
      </x:c>
      <x:c r="B4056" s="20" t="n">
        <x:v>45832</x:v>
      </x:c>
      <x:c r="C4056" t="str">
        <x:v>C0130</x:v>
      </x:c>
      <x:c r="D4056" t="str">
        <x:v>Foodie Cafe 130</x:v>
      </x:c>
      <x:c r="E4056" t="str">
        <x:v>Restaurant</x:v>
      </x:c>
      <x:c r="F4056" t="str">
        <x:v>Davanagere</x:v>
      </x:c>
      <x:c r="G4056" t="str">
        <x:v>Megha</x:v>
      </x:c>
      <x:c r="H4056" t="str">
        <x:v>P008</x:v>
      </x:c>
      <x:c r="I4056" t="str">
        <x:v>Palm Oil 15L</x:v>
      </x:c>
      <x:c r="J4056" t="str">
        <x:v>Edible Oil</x:v>
      </x:c>
      <x:c r="K4056" t="str">
        <x:v>Ruchi Gold</x:v>
      </x:c>
      <x:c r="L4056" s="22" t="n">
        <x:v>1760</x:v>
      </x:c>
      <x:c r="M4056" t="n">
        <x:v>7</x:v>
      </x:c>
      <x:c r="N4056" s="24" t="n">
        <x:v>0.02</x:v>
      </x:c>
      <x:c r="O4056" s="22" t="n">
        <x:f>L4056*M4056</x:f>
        <x:v>12320</x:v>
      </x:c>
      <x:c r="P4056" s="22" t="n">
        <x:f>O4056*(1-N4056)</x:f>
        <x:v>12073.6</x:v>
      </x:c>
      <x:c r="Q4056" s="22" t="n">
        <x:v>1610</x:v>
      </x:c>
      <x:c r="R4056" s="22" t="n">
        <x:f>Q4056*M4056</x:f>
        <x:v>11270</x:v>
      </x:c>
      <x:c r="S4056" s="22" t="n">
        <x:f>P4056-R4056</x:f>
        <x:v>803.6000000000004</x:v>
      </x:c>
      <x:c r="T4056" t="str">
        <x:v>Cash</x:v>
      </x:c>
      <x:c r="U4056" t="str">
        <x:v>Paid</x:v>
      </x:c>
      <x:c r="V4056" t="str">
        <x:v>Cancelled</x:v>
      </x:c>
      <x:c r="W4056" t="n">
        <x:v>7</x:v>
      </x:c>
      <x:c r="X4056" t="str">
        <x:v>Cancelled Order</x:v>
      </x:c>
      <x:c r="Y4056" t="str">
        <x:v>Outbound Call</x:v>
      </x:c>
    </x:row>
    <x:row r="4057">
      <x:c r="A4057" t="str">
        <x:v>O004056</x:v>
      </x:c>
      <x:c r="B4057" s="20" t="n">
        <x:v>45681</x:v>
      </x:c>
      <x:c r="C4057" t="str">
        <x:v>C0085</x:v>
      </x:c>
      <x:c r="D4057" t="str">
        <x:v>Green Hotel 85</x:v>
      </x:c>
      <x:c r="E4057" t="str">
        <x:v>Kirana</x:v>
      </x:c>
      <x:c r="F4057" t="str">
        <x:v>Mysuru</x:v>
      </x:c>
      <x:c r="G4057" t="str">
        <x:v>Arjun</x:v>
      </x:c>
      <x:c r="H4057" t="str">
        <x:v>P039</x:v>
      </x:c>
      <x:c r="I4057" t="str">
        <x:v>Ice Cream 4L</x:v>
      </x:c>
      <x:c r="J4057" t="str">
        <x:v>Frozen</x:v>
      </x:c>
      <x:c r="K4057" t="str">
        <x:v>Amul</x:v>
      </x:c>
      <x:c r="L4057" s="22" t="n">
        <x:v>480</x:v>
      </x:c>
      <x:c r="M4057" t="n">
        <x:v>20</x:v>
      </x:c>
      <x:c r="N4057" s="24" t="n">
        <x:v>0</x:v>
      </x:c>
      <x:c r="O4057" s="22" t="n">
        <x:f>L4057*M4057</x:f>
        <x:v>9600</x:v>
      </x:c>
      <x:c r="P4057" s="22" t="n">
        <x:f>O4057*(1-N4057)</x:f>
        <x:v>9600</x:v>
      </x:c>
      <x:c r="Q4057" s="22" t="n">
        <x:v>420</x:v>
      </x:c>
      <x:c r="R4057" s="22" t="n">
        <x:f>Q4057*M4057</x:f>
        <x:v>8400</x:v>
      </x:c>
      <x:c r="S4057" s="22" t="n">
        <x:f>P4057-R4057</x:f>
        <x:v>1200</x:v>
      </x:c>
      <x:c r="T4057" t="str">
        <x:v>Cash</x:v>
      </x:c>
      <x:c r="U4057" t="str">
        <x:v>Overdue</x:v>
      </x:c>
      <x:c r="V4057" t="str">
        <x:v>Delivered</x:v>
      </x:c>
      <x:c r="W4057" t="n">
        <x:v>0</x:v>
      </x:c>
      <x:c r="X4057" t="str"/>
      <x:c r="Y4057" t="str">
        <x:v>Outbound Call</x:v>
      </x:c>
    </x:row>
    <x:row r="4058">
      <x:c r="A4058" t="str">
        <x:v>O004057</x:v>
      </x:c>
      <x:c r="B4058" s="20" t="n">
        <x:v>46101</x:v>
      </x:c>
      <x:c r="C4058" t="str">
        <x:v>C0066</x:v>
      </x:c>
      <x:c r="D4058" t="str">
        <x:v>Hotel Hotel 66</x:v>
      </x:c>
      <x:c r="E4058" t="str">
        <x:v>Restaurant</x:v>
      </x:c>
      <x:c r="F4058" t="str">
        <x:v>Davanagere</x:v>
      </x:c>
      <x:c r="G4058" t="str">
        <x:v>Megha</x:v>
      </x:c>
      <x:c r="H4058" t="str">
        <x:v>P005</x:v>
      </x:c>
      <x:c r="I4058" t="str">
        <x:v>Chana Dal 5kg</x:v>
      </x:c>
      <x:c r="J4058" t="str">
        <x:v>Pulses</x:v>
      </x:c>
      <x:c r="K4058" t="str">
        <x:v>Local Select</x:v>
      </x:c>
      <x:c r="L4058" s="22" t="n">
        <x:v>520</x:v>
      </x:c>
      <x:c r="M4058" t="n">
        <x:v>18</x:v>
      </x:c>
      <x:c r="N4058" s="24" t="n">
        <x:v>0.03</x:v>
      </x:c>
      <x:c r="O4058" s="22" t="n">
        <x:f>L4058*M4058</x:f>
        <x:v>9360</x:v>
      </x:c>
      <x:c r="P4058" s="22" t="n">
        <x:f>O4058*(1-N4058)</x:f>
        <x:v>9079.199999999999</x:v>
      </x:c>
      <x:c r="Q4058" s="22" t="n">
        <x:v>455</x:v>
      </x:c>
      <x:c r="R4058" s="22" t="n">
        <x:f>Q4058*M4058</x:f>
        <x:v>8190</x:v>
      </x:c>
      <x:c r="S4058" s="22" t="n">
        <x:f>P4058-R4058</x:f>
        <x:v>889.1999999999989</x:v>
      </x:c>
      <x:c r="T4058" t="str">
        <x:v>Credit</x:v>
      </x:c>
      <x:c r="U4058" t="str">
        <x:v>Pending</x:v>
      </x:c>
      <x:c r="V4058" t="str">
        <x:v>Cancelled</x:v>
      </x:c>
      <x:c r="W4058" t="n">
        <x:v>18</x:v>
      </x:c>
      <x:c r="X4058" t="str">
        <x:v>Cancelled Order</x:v>
      </x:c>
      <x:c r="Y4058" t="str">
        <x:v>WhatsApp</x:v>
      </x:c>
    </x:row>
    <x:row r="4059">
      <x:c r="A4059" t="str">
        <x:v>O004058</x:v>
      </x:c>
      <x:c r="B4059" s="20" t="n">
        <x:v>45761</x:v>
      </x:c>
      <x:c r="C4059" t="str">
        <x:v>C0210</x:v>
      </x:c>
      <x:c r="D4059" t="str">
        <x:v>Spice Stores 210</x:v>
      </x:c>
      <x:c r="E4059" t="str">
        <x:v>Cafe</x:v>
      </x:c>
      <x:c r="F4059" t="str">
        <x:v>Davanagere</x:v>
      </x:c>
      <x:c r="G4059" t="str">
        <x:v>Imran</x:v>
      </x:c>
      <x:c r="H4059" t="str">
        <x:v>P050</x:v>
      </x:c>
      <x:c r="I4059" t="str">
        <x:v>Lemon 5kg</x:v>
      </x:c>
      <x:c r="J4059" t="str">
        <x:v>Fresh Produce</x:v>
      </x:c>
      <x:c r="K4059" t="str">
        <x:v>Local Market</x:v>
      </x:c>
      <x:c r="L4059" s="22" t="n">
        <x:v>360</x:v>
      </x:c>
      <x:c r="M4059" t="n">
        <x:v>3</x:v>
      </x:c>
      <x:c r="N4059" s="24" t="n">
        <x:v>0.05</x:v>
      </x:c>
      <x:c r="O4059" s="22" t="n">
        <x:f>L4059*M4059</x:f>
        <x:v>1080</x:v>
      </x:c>
      <x:c r="P4059" s="22" t="n">
        <x:f>O4059*(1-N4059)</x:f>
        <x:v>1026</x:v>
      </x:c>
      <x:c r="Q4059" s="22" t="n">
        <x:v>300</x:v>
      </x:c>
      <x:c r="R4059" s="22" t="n">
        <x:f>Q4059*M4059</x:f>
        <x:v>900</x:v>
      </x:c>
      <x:c r="S4059" s="22" t="n">
        <x:f>P4059-R4059</x:f>
        <x:v>126</x:v>
      </x:c>
      <x:c r="T4059" t="str">
        <x:v>Bank Transfer</x:v>
      </x:c>
      <x:c r="U4059" t="str">
        <x:v>Pending</x:v>
      </x:c>
      <x:c r="V4059" t="str">
        <x:v>Delivered</x:v>
      </x:c>
      <x:c r="W4059" t="n">
        <x:v>0</x:v>
      </x:c>
      <x:c r="X4059" t="str"/>
      <x:c r="Y4059" t="str">
        <x:v>Outbound Call</x:v>
      </x:c>
    </x:row>
    <x:row r="4060">
      <x:c r="A4060" t="str">
        <x:v>O004059</x:v>
      </x:c>
      <x:c r="B4060" s="20" t="n">
        <x:v>45717</x:v>
      </x:c>
      <x:c r="C4060" t="str">
        <x:v>C0103</x:v>
      </x:c>
      <x:c r="D4060" t="str">
        <x:v>Fresh Kitchen 103</x:v>
      </x:c>
      <x:c r="E4060" t="str">
        <x:v>Supermarket</x:v>
      </x:c>
      <x:c r="F4060" t="str">
        <x:v>Davanagere</x:v>
      </x:c>
      <x:c r="G4060" t="str">
        <x:v>Megha</x:v>
      </x:c>
      <x:c r="H4060" t="str">
        <x:v>P031</x:v>
      </x:c>
      <x:c r="I4060" t="str">
        <x:v>Chilli Sauce 700g</x:v>
      </x:c>
      <x:c r="J4060" t="str">
        <x:v>Condiments</x:v>
      </x:c>
      <x:c r="K4060" t="str">
        <x:v>Ching's</x:v>
      </x:c>
      <x:c r="L4060" s="22" t="n">
        <x:v>130</x:v>
      </x:c>
      <x:c r="M4060" t="n">
        <x:v>11</x:v>
      </x:c>
      <x:c r="N4060" s="24" t="n">
        <x:v>0.02</x:v>
      </x:c>
      <x:c r="O4060" s="22" t="n">
        <x:f>L4060*M4060</x:f>
        <x:v>1430</x:v>
      </x:c>
      <x:c r="P4060" s="22" t="n">
        <x:f>O4060*(1-N4060)</x:f>
        <x:v>1401.3999999999999</x:v>
      </x:c>
      <x:c r="Q4060" s="22" t="n">
        <x:v>112</x:v>
      </x:c>
      <x:c r="R4060" s="22" t="n">
        <x:f>Q4060*M4060</x:f>
        <x:v>1232</x:v>
      </x:c>
      <x:c r="S4060" s="22" t="n">
        <x:f>P4060-R4060</x:f>
        <x:v>169.39999999999986</x:v>
      </x:c>
      <x:c r="T4060" t="str">
        <x:v>Credit</x:v>
      </x:c>
      <x:c r="U4060" t="str">
        <x:v>Paid</x:v>
      </x:c>
      <x:c r="V4060" t="str">
        <x:v>Delayed</x:v>
      </x:c>
      <x:c r="W4060" t="n">
        <x:v>0</x:v>
      </x:c>
      <x:c r="X4060" t="str"/>
      <x:c r="Y4060" t="str">
        <x:v>Field Visit</x:v>
      </x:c>
    </x:row>
    <x:row r="4061">
      <x:c r="A4061" t="str">
        <x:v>O004060</x:v>
      </x:c>
      <x:c r="B4061" s="20" t="n">
        <x:v>46265</x:v>
      </x:c>
      <x:c r="C4061" t="str">
        <x:v>C0072</x:v>
      </x:c>
      <x:c r="D4061" t="str">
        <x:v>Grand Restaurant 72</x:v>
      </x:c>
      <x:c r="E4061" t="str">
        <x:v>Restaurant</x:v>
      </x:c>
      <x:c r="F4061" t="str">
        <x:v>Davanagere</x:v>
      </x:c>
      <x:c r="G4061" t="str">
        <x:v>Kavya</x:v>
      </x:c>
      <x:c r="H4061" t="str">
        <x:v>P025</x:v>
      </x:c>
      <x:c r="I4061" t="str">
        <x:v>Potato Chips 100g</x:v>
      </x:c>
      <x:c r="J4061" t="str">
        <x:v>Snacks</x:v>
      </x:c>
      <x:c r="K4061" t="str">
        <x:v>Lay's</x:v>
      </x:c>
      <x:c r="L4061" s="22" t="n">
        <x:v>35</x:v>
      </x:c>
      <x:c r="M4061" t="n">
        <x:v>27</x:v>
      </x:c>
      <x:c r="N4061" s="24" t="n">
        <x:v>0.02</x:v>
      </x:c>
      <x:c r="O4061" s="22" t="n">
        <x:f>L4061*M4061</x:f>
        <x:v>945</x:v>
      </x:c>
      <x:c r="P4061" s="22" t="n">
        <x:f>O4061*(1-N4061)</x:f>
        <x:v>926.1</x:v>
      </x:c>
      <x:c r="Q4061" s="22" t="n">
        <x:v>27</x:v>
      </x:c>
      <x:c r="R4061" s="22" t="n">
        <x:f>Q4061*M4061</x:f>
        <x:v>729</x:v>
      </x:c>
      <x:c r="S4061" s="22" t="n">
        <x:f>P4061-R4061</x:f>
        <x:v>197.10000000000002</x:v>
      </x:c>
      <x:c r="T4061" t="str">
        <x:v>Bank Transfer</x:v>
      </x:c>
      <x:c r="U4061" t="str">
        <x:v>Paid</x:v>
      </x:c>
      <x:c r="V4061" t="str">
        <x:v>Delivered</x:v>
      </x:c>
      <x:c r="W4061" t="n">
        <x:v>0</x:v>
      </x:c>
      <x:c r="X4061" t="str"/>
      <x:c r="Y4061" t="str">
        <x:v>Existing Customer</x:v>
      </x:c>
    </x:row>
    <x:row r="4062">
      <x:c r="A4062" t="str">
        <x:v>O004061</x:v>
      </x:c>
      <x:c r="B4062" s="20" t="n">
        <x:v>45726</x:v>
      </x:c>
      <x:c r="C4062" t="str">
        <x:v>C0131</x:v>
      </x:c>
      <x:c r="D4062" t="str">
        <x:v>Foodie Canteen 131</x:v>
      </x:c>
      <x:c r="E4062" t="str">
        <x:v>Canteen</x:v>
      </x:c>
      <x:c r="F4062" t="str">
        <x:v>Davanagere</x:v>
      </x:c>
      <x:c r="G4062" t="str">
        <x:v>Arjun</x:v>
      </x:c>
      <x:c r="H4062" t="str">
        <x:v>P050</x:v>
      </x:c>
      <x:c r="I4062" t="str">
        <x:v>Lemon 5kg</x:v>
      </x:c>
      <x:c r="J4062" t="str">
        <x:v>Fresh Produce</x:v>
      </x:c>
      <x:c r="K4062" t="str">
        <x:v>Local Market</x:v>
      </x:c>
      <x:c r="L4062" s="22" t="n">
        <x:v>360</x:v>
      </x:c>
      <x:c r="M4062" t="n">
        <x:v>6</x:v>
      </x:c>
      <x:c r="N4062" s="24" t="n">
        <x:v>0.08</x:v>
      </x:c>
      <x:c r="O4062" s="22" t="n">
        <x:f>L4062*M4062</x:f>
        <x:v>2160</x:v>
      </x:c>
      <x:c r="P4062" s="22" t="n">
        <x:f>O4062*(1-N4062)</x:f>
        <x:v>1987.2</x:v>
      </x:c>
      <x:c r="Q4062" s="22" t="n">
        <x:v>300</x:v>
      </x:c>
      <x:c r="R4062" s="22" t="n">
        <x:f>Q4062*M4062</x:f>
        <x:v>1800</x:v>
      </x:c>
      <x:c r="S4062" s="22" t="n">
        <x:f>P4062-R4062</x:f>
        <x:v>187.20000000000005</x:v>
      </x:c>
      <x:c r="T4062" t="str">
        <x:v>Bank Transfer</x:v>
      </x:c>
      <x:c r="U4062" t="str">
        <x:v>Pending</x:v>
      </x:c>
      <x:c r="V4062" t="str">
        <x:v>Cancelled</x:v>
      </x:c>
      <x:c r="W4062" t="n">
        <x:v>6</x:v>
      </x:c>
      <x:c r="X4062" t="str">
        <x:v>Cancelled Order</x:v>
      </x:c>
      <x:c r="Y4062" t="str">
        <x:v>Referral</x:v>
      </x:c>
    </x:row>
    <x:row r="4063">
      <x:c r="A4063" t="str">
        <x:v>O004062</x:v>
      </x:c>
      <x:c r="B4063" s="20" t="n">
        <x:v>45943</x:v>
      </x:c>
      <x:c r="C4063" t="str">
        <x:v>C0191</x:v>
      </x:c>
      <x:c r="D4063" t="str">
        <x:v>Foodie Kitchen 191</x:v>
      </x:c>
      <x:c r="E4063" t="str">
        <x:v>Cafe</x:v>
      </x:c>
      <x:c r="F4063" t="str">
        <x:v>Mysuru</x:v>
      </x:c>
      <x:c r="G4063" t="str">
        <x:v>Priya</x:v>
      </x:c>
      <x:c r="H4063" t="str">
        <x:v>P044</x:v>
      </x:c>
      <x:c r="I4063" t="str">
        <x:v>Chicken Curry Cut 1kg</x:v>
      </x:c>
      <x:c r="J4063" t="str">
        <x:v>Protein</x:v>
      </x:c>
      <x:c r="K4063" t="str">
        <x:v>FreshToHome</x:v>
      </x:c>
      <x:c r="L4063" s="22" t="n">
        <x:v>230</x:v>
      </x:c>
      <x:c r="M4063" t="n">
        <x:v>32</x:v>
      </x:c>
      <x:c r="N4063" s="24" t="n">
        <x:v>0.08</x:v>
      </x:c>
      <x:c r="O4063" s="22" t="n">
        <x:f>L4063*M4063</x:f>
        <x:v>7360</x:v>
      </x:c>
      <x:c r="P4063" s="22" t="n">
        <x:f>O4063*(1-N4063)</x:f>
        <x:v>6771.200000000001</x:v>
      </x:c>
      <x:c r="Q4063" s="22" t="n">
        <x:v>205</x:v>
      </x:c>
      <x:c r="R4063" s="22" t="n">
        <x:f>Q4063*M4063</x:f>
        <x:v>6560</x:v>
      </x:c>
      <x:c r="S4063" s="22" t="n">
        <x:f>P4063-R4063</x:f>
        <x:v>211.20000000000073</x:v>
      </x:c>
      <x:c r="T4063" t="str">
        <x:v>Bank Transfer</x:v>
      </x:c>
      <x:c r="U4063" t="str">
        <x:v>Pending</x:v>
      </x:c>
      <x:c r="V4063" t="str">
        <x:v>Delivered</x:v>
      </x:c>
      <x:c r="W4063" t="n">
        <x:v>0</x:v>
      </x:c>
      <x:c r="X4063" t="str"/>
      <x:c r="Y4063" t="str">
        <x:v>Field Visit</x:v>
      </x:c>
    </x:row>
    <x:row r="4064">
      <x:c r="A4064" t="str">
        <x:v>O004063</x:v>
      </x:c>
      <x:c r="B4064" s="20" t="n">
        <x:v>45930</x:v>
      </x:c>
      <x:c r="C4064" t="str">
        <x:v>C0024</x:v>
      </x:c>
      <x:c r="D4064" t="str">
        <x:v>Darshini Restaurant 24</x:v>
      </x:c>
      <x:c r="E4064" t="str">
        <x:v>Restaurant</x:v>
      </x:c>
      <x:c r="F4064" t="str">
        <x:v>Davanagere</x:v>
      </x:c>
      <x:c r="G4064" t="str">
        <x:v>Sneha</x:v>
      </x:c>
      <x:c r="H4064" t="str">
        <x:v>P046</x:v>
      </x:c>
      <x:c r="I4064" t="str">
        <x:v>Potato 25kg</x:v>
      </x:c>
      <x:c r="J4064" t="str">
        <x:v>Fresh Produce</x:v>
      </x:c>
      <x:c r="K4064" t="str">
        <x:v>Local Market</x:v>
      </x:c>
      <x:c r="L4064" s="22" t="n">
        <x:v>700</x:v>
      </x:c>
      <x:c r="M4064" t="n">
        <x:v>20</x:v>
      </x:c>
      <x:c r="N4064" s="24" t="n">
        <x:v>0.1</x:v>
      </x:c>
      <x:c r="O4064" s="22" t="n">
        <x:f>L4064*M4064</x:f>
        <x:v>14000</x:v>
      </x:c>
      <x:c r="P4064" s="22" t="n">
        <x:f>O4064*(1-N4064)</x:f>
        <x:v>12600</x:v>
      </x:c>
      <x:c r="Q4064" s="22" t="n">
        <x:v>610</x:v>
      </x:c>
      <x:c r="R4064" s="22" t="n">
        <x:f>Q4064*M4064</x:f>
        <x:v>12200</x:v>
      </x:c>
      <x:c r="S4064" s="22" t="n">
        <x:f>P4064-R4064</x:f>
        <x:v>400</x:v>
      </x:c>
      <x:c r="T4064" t="str">
        <x:v>Cash</x:v>
      </x:c>
      <x:c r="U4064" t="str">
        <x:v>Paid</x:v>
      </x:c>
      <x:c r="V4064" t="str">
        <x:v>Delivered</x:v>
      </x:c>
      <x:c r="W4064" t="n">
        <x:v>0</x:v>
      </x:c>
      <x:c r="X4064" t="str"/>
      <x:c r="Y4064" t="str">
        <x:v>Field Visit</x:v>
      </x:c>
    </x:row>
    <x:row r="4065">
      <x:c r="A4065" t="str">
        <x:v>O004064</x:v>
      </x:c>
      <x:c r="B4065" s="20" t="n">
        <x:v>46215</x:v>
      </x:c>
      <x:c r="C4065" t="str">
        <x:v>C0218</x:v>
      </x:c>
      <x:c r="D4065" t="str">
        <x:v>Green Stores 218</x:v>
      </x:c>
      <x:c r="E4065" t="str">
        <x:v>Hotel</x:v>
      </x:c>
      <x:c r="F4065" t="str">
        <x:v>Mysuru</x:v>
      </x:c>
      <x:c r="G4065" t="str">
        <x:v>Imran</x:v>
      </x:c>
      <x:c r="H4065" t="str">
        <x:v>P049</x:v>
      </x:c>
      <x:c r="I4065" t="str">
        <x:v>Apple 10kg</x:v>
      </x:c>
      <x:c r="J4065" t="str">
        <x:v>Fresh Produce</x:v>
      </x:c>
      <x:c r="K4065" t="str">
        <x:v>Local Market</x:v>
      </x:c>
      <x:c r="L4065" s="22" t="n">
        <x:v>1450</x:v>
      </x:c>
      <x:c r="M4065" t="n">
        <x:v>7</x:v>
      </x:c>
      <x:c r="N4065" s="24" t="n">
        <x:v>0</x:v>
      </x:c>
      <x:c r="O4065" s="22" t="n">
        <x:f>L4065*M4065</x:f>
        <x:v>10150</x:v>
      </x:c>
      <x:c r="P4065" s="22" t="n">
        <x:f>O4065*(1-N4065)</x:f>
        <x:v>10150</x:v>
      </x:c>
      <x:c r="Q4065" s="22" t="n">
        <x:v>1280</x:v>
      </x:c>
      <x:c r="R4065" s="22" t="n">
        <x:f>Q4065*M4065</x:f>
        <x:v>8960</x:v>
      </x:c>
      <x:c r="S4065" s="22" t="n">
        <x:f>P4065-R4065</x:f>
        <x:v>1190</x:v>
      </x:c>
      <x:c r="T4065" t="str">
        <x:v>Bank Transfer</x:v>
      </x:c>
      <x:c r="U4065" t="str">
        <x:v>Paid</x:v>
      </x:c>
      <x:c r="V4065" t="str">
        <x:v>Delivered</x:v>
      </x:c>
      <x:c r="W4065" t="n">
        <x:v>0</x:v>
      </x:c>
      <x:c r="X4065" t="str"/>
      <x:c r="Y4065" t="str">
        <x:v>Existing Customer</x:v>
      </x:c>
    </x:row>
    <x:row r="4066">
      <x:c r="A4066" t="str">
        <x:v>O004065</x:v>
      </x:c>
      <x:c r="B4066" s="20" t="n">
        <x:v>46146</x:v>
      </x:c>
      <x:c r="C4066" t="str">
        <x:v>C0005</x:v>
      </x:c>
      <x:c r="D4066" t="str">
        <x:v>Sagar Kitchen 5</x:v>
      </x:c>
      <x:c r="E4066" t="str">
        <x:v>Restaurant</x:v>
      </x:c>
      <x:c r="F4066" t="str">
        <x:v>Hubballi</x:v>
      </x:c>
      <x:c r="G4066" t="str">
        <x:v>Priya</x:v>
      </x:c>
      <x:c r="H4066" t="str">
        <x:v>P042</x:v>
      </x:c>
      <x:c r="I4066" t="str">
        <x:v>Eggs 30pc Tray</x:v>
      </x:c>
      <x:c r="J4066" t="str">
        <x:v>Protein</x:v>
      </x:c>
      <x:c r="K4066" t="str">
        <x:v>Farm Fresh</x:v>
      </x:c>
      <x:c r="L4066" s="22" t="n">
        <x:v>195</x:v>
      </x:c>
      <x:c r="M4066" t="n">
        <x:v>16</x:v>
      </x:c>
      <x:c r="N4066" s="24" t="n">
        <x:v>0.03</x:v>
      </x:c>
      <x:c r="O4066" s="22" t="n">
        <x:f>L4066*M4066</x:f>
        <x:v>3120</x:v>
      </x:c>
      <x:c r="P4066" s="22" t="n">
        <x:f>O4066*(1-N4066)</x:f>
        <x:v>3026.4</x:v>
      </x:c>
      <x:c r="Q4066" s="22" t="n">
        <x:v>170</x:v>
      </x:c>
      <x:c r="R4066" s="22" t="n">
        <x:f>Q4066*M4066</x:f>
        <x:v>2720</x:v>
      </x:c>
      <x:c r="S4066" s="22" t="n">
        <x:f>P4066-R4066</x:f>
        <x:v>306.4000000000001</x:v>
      </x:c>
      <x:c r="T4066" t="str">
        <x:v>Credit</x:v>
      </x:c>
      <x:c r="U4066" t="str">
        <x:v>Paid</x:v>
      </x:c>
      <x:c r="V4066" t="str">
        <x:v>Delivered</x:v>
      </x:c>
      <x:c r="W4066" t="n">
        <x:v>0</x:v>
      </x:c>
      <x:c r="X4066" t="str"/>
      <x:c r="Y4066" t="str">
        <x:v>WhatsApp</x:v>
      </x:c>
    </x:row>
    <x:row r="4067">
      <x:c r="A4067" t="str">
        <x:v>O004066</x:v>
      </x:c>
      <x:c r="B4067" s="20" t="n">
        <x:v>45704</x:v>
      </x:c>
      <x:c r="C4067" t="str">
        <x:v>C0116</x:v>
      </x:c>
      <x:c r="D4067" t="str">
        <x:v>Classic Foods 116</x:v>
      </x:c>
      <x:c r="E4067" t="str">
        <x:v>Supermarket</x:v>
      </x:c>
      <x:c r="F4067" t="str">
        <x:v>Davanagere</x:v>
      </x:c>
      <x:c r="G4067" t="str">
        <x:v>Megha</x:v>
      </x:c>
      <x:c r="H4067" t="str">
        <x:v>P034</x:v>
      </x:c>
      <x:c r="I4067" t="str">
        <x:v>Chilli Powder 1kg</x:v>
      </x:c>
      <x:c r="J4067" t="str">
        <x:v>Spices</x:v>
      </x:c>
      <x:c r="K4067" t="str">
        <x:v>MDH</x:v>
      </x:c>
      <x:c r="L4067" s="22" t="n">
        <x:v>340</x:v>
      </x:c>
      <x:c r="M4067" t="n">
        <x:v>21</x:v>
      </x:c>
      <x:c r="N4067" s="24" t="n">
        <x:v>0</x:v>
      </x:c>
      <x:c r="O4067" s="22" t="n">
        <x:f>L4067*M4067</x:f>
        <x:v>7140</x:v>
      </x:c>
      <x:c r="P4067" s="22" t="n">
        <x:f>O4067*(1-N4067)</x:f>
        <x:v>7140</x:v>
      </x:c>
      <x:c r="Q4067" s="22" t="n">
        <x:v>295</x:v>
      </x:c>
      <x:c r="R4067" s="22" t="n">
        <x:f>Q4067*M4067</x:f>
        <x:v>6195</x:v>
      </x:c>
      <x:c r="S4067" s="22" t="n">
        <x:f>P4067-R4067</x:f>
        <x:v>945</x:v>
      </x:c>
      <x:c r="T4067" t="str">
        <x:v>Bank Transfer</x:v>
      </x:c>
      <x:c r="U4067" t="str">
        <x:v>Paid</x:v>
      </x:c>
      <x:c r="V4067" t="str">
        <x:v>Delayed</x:v>
      </x:c>
      <x:c r="W4067" t="n">
        <x:v>0</x:v>
      </x:c>
      <x:c r="X4067" t="str"/>
      <x:c r="Y4067" t="str">
        <x:v>Outbound Call</x:v>
      </x:c>
    </x:row>
    <x:row r="4068">
      <x:c r="A4068" t="str">
        <x:v>O004067</x:v>
      </x:c>
      <x:c r="B4068" s="20" t="n">
        <x:v>46091</x:v>
      </x:c>
      <x:c r="C4068" t="str">
        <x:v>C0117</x:v>
      </x:c>
      <x:c r="D4068" t="str">
        <x:v>Classic Canteen 117</x:v>
      </x:c>
      <x:c r="E4068" t="str">
        <x:v>Restaurant</x:v>
      </x:c>
      <x:c r="F4068" t="str">
        <x:v>Hubballi</x:v>
      </x:c>
      <x:c r="G4068" t="str">
        <x:v>Megha</x:v>
      </x:c>
      <x:c r="H4068" t="str">
        <x:v>P008</x:v>
      </x:c>
      <x:c r="I4068" t="str">
        <x:v>Palm Oil 15L</x:v>
      </x:c>
      <x:c r="J4068" t="str">
        <x:v>Edible Oil</x:v>
      </x:c>
      <x:c r="K4068" t="str">
        <x:v>Ruchi Gold</x:v>
      </x:c>
      <x:c r="L4068" s="22" t="n">
        <x:v>1760</x:v>
      </x:c>
      <x:c r="M4068" t="n">
        <x:v>9</x:v>
      </x:c>
      <x:c r="N4068" s="24" t="n">
        <x:v>0.03</x:v>
      </x:c>
      <x:c r="O4068" s="22" t="n">
        <x:f>L4068*M4068</x:f>
        <x:v>15840</x:v>
      </x:c>
      <x:c r="P4068" s="22" t="n">
        <x:f>O4068*(1-N4068)</x:f>
        <x:v>15364.8</x:v>
      </x:c>
      <x:c r="Q4068" s="22" t="n">
        <x:v>1610</x:v>
      </x:c>
      <x:c r="R4068" s="22" t="n">
        <x:f>Q4068*M4068</x:f>
        <x:v>14490</x:v>
      </x:c>
      <x:c r="S4068" s="22" t="n">
        <x:f>P4068-R4068</x:f>
        <x:v>874.7999999999993</x:v>
      </x:c>
      <x:c r="T4068" t="str">
        <x:v>Cash</x:v>
      </x:c>
      <x:c r="U4068" t="str">
        <x:v>Paid</x:v>
      </x:c>
      <x:c r="V4068" t="str">
        <x:v>Delivered</x:v>
      </x:c>
      <x:c r="W4068" t="n">
        <x:v>0</x:v>
      </x:c>
      <x:c r="X4068" t="str"/>
      <x:c r="Y4068" t="str">
        <x:v>WhatsApp</x:v>
      </x:c>
    </x:row>
    <x:row r="4069">
      <x:c r="A4069" t="str">
        <x:v>O004068</x:v>
      </x:c>
      <x:c r="B4069" s="20" t="n">
        <x:v>45741</x:v>
      </x:c>
      <x:c r="C4069" t="str">
        <x:v>C0178</x:v>
      </x:c>
      <x:c r="D4069" t="str">
        <x:v>Annapurna Foods 178</x:v>
      </x:c>
      <x:c r="E4069" t="str">
        <x:v>Canteen</x:v>
      </x:c>
      <x:c r="F4069" t="str">
        <x:v>Tumakuru</x:v>
      </x:c>
      <x:c r="G4069" t="str">
        <x:v>Imran</x:v>
      </x:c>
      <x:c r="H4069" t="str">
        <x:v>P040</x:v>
      </x:c>
      <x:c r="I4069" t="str">
        <x:v>Bread Loaf 400g</x:v>
      </x:c>
      <x:c r="J4069" t="str">
        <x:v>Bakery</x:v>
      </x:c>
      <x:c r="K4069" t="str">
        <x:v>Britannia</x:v>
      </x:c>
      <x:c r="L4069" s="22" t="n">
        <x:v>45</x:v>
      </x:c>
      <x:c r="M4069" t="n">
        <x:v>38</x:v>
      </x:c>
      <x:c r="N4069" s="24" t="n">
        <x:v>0</x:v>
      </x:c>
      <x:c r="O4069" s="22" t="n">
        <x:f>L4069*M4069</x:f>
        <x:v>1710</x:v>
      </x:c>
      <x:c r="P4069" s="22" t="n">
        <x:f>O4069*(1-N4069)</x:f>
        <x:v>1710</x:v>
      </x:c>
      <x:c r="Q4069" s="22" t="n">
        <x:v>35</x:v>
      </x:c>
      <x:c r="R4069" s="22" t="n">
        <x:f>Q4069*M4069</x:f>
        <x:v>1330</x:v>
      </x:c>
      <x:c r="S4069" s="22" t="n">
        <x:f>P4069-R4069</x:f>
        <x:v>380</x:v>
      </x:c>
      <x:c r="T4069" t="str">
        <x:v>Bank Transfer</x:v>
      </x:c>
      <x:c r="U4069" t="str">
        <x:v>Pending</x:v>
      </x:c>
      <x:c r="V4069" t="str">
        <x:v>Delivered</x:v>
      </x:c>
      <x:c r="W4069" t="n">
        <x:v>0</x:v>
      </x:c>
      <x:c r="X4069" t="str"/>
      <x:c r="Y4069" t="str">
        <x:v>Field Visit</x:v>
      </x:c>
    </x:row>
    <x:row r="4070">
      <x:c r="A4070" t="str">
        <x:v>O004069</x:v>
      </x:c>
      <x:c r="B4070" s="20" t="n">
        <x:v>46283</x:v>
      </x:c>
      <x:c r="C4070" t="str">
        <x:v>C0148</x:v>
      </x:c>
      <x:c r="D4070" t="str">
        <x:v>Shree Cafe 148</x:v>
      </x:c>
      <x:c r="E4070" t="str">
        <x:v>Kirana</x:v>
      </x:c>
      <x:c r="F4070" t="str">
        <x:v>Hubballi</x:v>
      </x:c>
      <x:c r="G4070" t="str">
        <x:v>Priya</x:v>
      </x:c>
      <x:c r="H4070" t="str">
        <x:v>P043</x:v>
      </x:c>
      <x:c r="I4070" t="str">
        <x:v>Chicken Breast 1kg</x:v>
      </x:c>
      <x:c r="J4070" t="str">
        <x:v>Protein</x:v>
      </x:c>
      <x:c r="K4070" t="str">
        <x:v>FreshToHome</x:v>
      </x:c>
      <x:c r="L4070" s="22" t="n">
        <x:v>260</x:v>
      </x:c>
      <x:c r="M4070" t="n">
        <x:v>14</x:v>
      </x:c>
      <x:c r="N4070" s="24" t="n">
        <x:v>0</x:v>
      </x:c>
      <x:c r="O4070" s="22" t="n">
        <x:f>L4070*M4070</x:f>
        <x:v>3640</x:v>
      </x:c>
      <x:c r="P4070" s="22" t="n">
        <x:f>O4070*(1-N4070)</x:f>
        <x:v>3640</x:v>
      </x:c>
      <x:c r="Q4070" s="22" t="n">
        <x:v>235</x:v>
      </x:c>
      <x:c r="R4070" s="22" t="n">
        <x:f>Q4070*M4070</x:f>
        <x:v>3290</x:v>
      </x:c>
      <x:c r="S4070" s="22" t="n">
        <x:f>P4070-R4070</x:f>
        <x:v>350</x:v>
      </x:c>
      <x:c r="T4070" t="str">
        <x:v>Credit</x:v>
      </x:c>
      <x:c r="U4070" t="str">
        <x:v>Pending</x:v>
      </x:c>
      <x:c r="V4070" t="str">
        <x:v>Delivered</x:v>
      </x:c>
      <x:c r="W4070" t="n">
        <x:v>0</x:v>
      </x:c>
      <x:c r="X4070" t="str"/>
      <x:c r="Y4070" t="str">
        <x:v>Outbound Call</x:v>
      </x:c>
    </x:row>
    <x:row r="4071">
      <x:c r="A4071" t="str">
        <x:v>O004070</x:v>
      </x:c>
      <x:c r="B4071" s="20" t="n">
        <x:v>46116</x:v>
      </x:c>
      <x:c r="C4071" t="str">
        <x:v>C0091</x:v>
      </x:c>
      <x:c r="D4071" t="str">
        <x:v>Classic Mart 91</x:v>
      </x:c>
      <x:c r="E4071" t="str">
        <x:v>Cafe</x:v>
      </x:c>
      <x:c r="F4071" t="str">
        <x:v>Mangaluru</x:v>
      </x:c>
      <x:c r="G4071" t="str">
        <x:v>Kavya</x:v>
      </x:c>
      <x:c r="H4071" t="str">
        <x:v>P027</x:v>
      </x:c>
      <x:c r="I4071" t="str">
        <x:v>Biscuits 120g</x:v>
      </x:c>
      <x:c r="J4071" t="str">
        <x:v>Snacks</x:v>
      </x:c>
      <x:c r="K4071" t="str">
        <x:v>Parle-G</x:v>
      </x:c>
      <x:c r="L4071" s="22" t="n">
        <x:v>12</x:v>
      </x:c>
      <x:c r="M4071" t="n">
        <x:v>21</x:v>
      </x:c>
      <x:c r="N4071" s="24" t="n">
        <x:v>0.03</x:v>
      </x:c>
      <x:c r="O4071" s="22" t="n">
        <x:f>L4071*M4071</x:f>
        <x:v>252</x:v>
      </x:c>
      <x:c r="P4071" s="22" t="n">
        <x:f>O4071*(1-N4071)</x:f>
        <x:v>244.44</x:v>
      </x:c>
      <x:c r="Q4071" s="22" t="n">
        <x:v>9</x:v>
      </x:c>
      <x:c r="R4071" s="22" t="n">
        <x:f>Q4071*M4071</x:f>
        <x:v>189</x:v>
      </x:c>
      <x:c r="S4071" s="22" t="n">
        <x:f>P4071-R4071</x:f>
        <x:v>55.44</x:v>
      </x:c>
      <x:c r="T4071" t="str">
        <x:v>UPI</x:v>
      </x:c>
      <x:c r="U4071" t="str">
        <x:v>Paid</x:v>
      </x:c>
      <x:c r="V4071" t="str">
        <x:v>Cancelled</x:v>
      </x:c>
      <x:c r="W4071" t="n">
        <x:v>21</x:v>
      </x:c>
      <x:c r="X4071" t="str">
        <x:v>Cancelled Order</x:v>
      </x:c>
      <x:c r="Y4071" t="str">
        <x:v>WhatsApp</x:v>
      </x:c>
    </x:row>
    <x:row r="4072">
      <x:c r="A4072" t="str">
        <x:v>O004071</x:v>
      </x:c>
      <x:c r="B4072" s="20" t="n">
        <x:v>46263</x:v>
      </x:c>
      <x:c r="C4072" t="str">
        <x:v>C0055</x:v>
      </x:c>
      <x:c r="D4072" t="str">
        <x:v>Royal Mart 55</x:v>
      </x:c>
      <x:c r="E4072" t="str">
        <x:v>Restaurant</x:v>
      </x:c>
      <x:c r="F4072" t="str">
        <x:v>Hubballi</x:v>
      </x:c>
      <x:c r="G4072" t="str">
        <x:v>Vikram</x:v>
      </x:c>
      <x:c r="H4072" t="str">
        <x:v>P047</x:v>
      </x:c>
      <x:c r="I4072" t="str">
        <x:v>Tomato 25kg</x:v>
      </x:c>
      <x:c r="J4072" t="str">
        <x:v>Fresh Produce</x:v>
      </x:c>
      <x:c r="K4072" t="str">
        <x:v>Local Market</x:v>
      </x:c>
      <x:c r="L4072" s="22" t="n">
        <x:v>950</x:v>
      </x:c>
      <x:c r="M4072" t="n">
        <x:v>27</x:v>
      </x:c>
      <x:c r="N4072" s="24" t="n">
        <x:v>0.03</x:v>
      </x:c>
      <x:c r="O4072" s="22" t="n">
        <x:f>L4072*M4072</x:f>
        <x:v>25650</x:v>
      </x:c>
      <x:c r="P4072" s="22" t="n">
        <x:f>O4072*(1-N4072)</x:f>
        <x:v>24880.5</x:v>
      </x:c>
      <x:c r="Q4072" s="22" t="n">
        <x:v>810</x:v>
      </x:c>
      <x:c r="R4072" s="22" t="n">
        <x:f>Q4072*M4072</x:f>
        <x:v>21870</x:v>
      </x:c>
      <x:c r="S4072" s="22" t="n">
        <x:f>P4072-R4072</x:f>
        <x:v>3010.5</x:v>
      </x:c>
      <x:c r="T4072" t="str">
        <x:v>Cash</x:v>
      </x:c>
      <x:c r="U4072" t="str">
        <x:v>Pending</x:v>
      </x:c>
      <x:c r="V4072" t="str">
        <x:v>Delivered</x:v>
      </x:c>
      <x:c r="W4072" t="n">
        <x:v>0</x:v>
      </x:c>
      <x:c r="X4072" t="str"/>
      <x:c r="Y4072" t="str">
        <x:v>WhatsApp</x:v>
      </x:c>
    </x:row>
    <x:row r="4073">
      <x:c r="A4073" t="str">
        <x:v>O004072</x:v>
      </x:c>
      <x:c r="B4073" s="20" t="n">
        <x:v>45692</x:v>
      </x:c>
      <x:c r="C4073" t="str">
        <x:v>C0029</x:v>
      </x:c>
      <x:c r="D4073" t="str">
        <x:v>Metro Foods 29</x:v>
      </x:c>
      <x:c r="E4073" t="str">
        <x:v>Cafe</x:v>
      </x:c>
      <x:c r="F4073" t="str">
        <x:v>Hubballi</x:v>
      </x:c>
      <x:c r="G4073" t="str">
        <x:v>Priya</x:v>
      </x:c>
      <x:c r="H4073" t="str">
        <x:v>P018</x:v>
      </x:c>
      <x:c r="I4073" t="str">
        <x:v>Paneer 1kg</x:v>
      </x:c>
      <x:c r="J4073" t="str">
        <x:v>Dairy</x:v>
      </x:c>
      <x:c r="K4073" t="str">
        <x:v>Milky Mist</x:v>
      </x:c>
      <x:c r="L4073" s="22" t="n">
        <x:v>410</x:v>
      </x:c>
      <x:c r="M4073" t="n">
        <x:v>23</x:v>
      </x:c>
      <x:c r="N4073" s="24" t="n">
        <x:v>0.05</x:v>
      </x:c>
      <x:c r="O4073" s="22" t="n">
        <x:f>L4073*M4073</x:f>
        <x:v>9430</x:v>
      </x:c>
      <x:c r="P4073" s="22" t="n">
        <x:f>O4073*(1-N4073)</x:f>
        <x:v>8958.5</x:v>
      </x:c>
      <x:c r="Q4073" s="22" t="n">
        <x:v>370</x:v>
      </x:c>
      <x:c r="R4073" s="22" t="n">
        <x:f>Q4073*M4073</x:f>
        <x:v>8510</x:v>
      </x:c>
      <x:c r="S4073" s="22" t="n">
        <x:f>P4073-R4073</x:f>
        <x:v>448.5</x:v>
      </x:c>
      <x:c r="T4073" t="str">
        <x:v>Credit</x:v>
      </x:c>
      <x:c r="U4073" t="str">
        <x:v>Overdue</x:v>
      </x:c>
      <x:c r="V4073" t="str">
        <x:v>Delivered</x:v>
      </x:c>
      <x:c r="W4073" t="n">
        <x:v>0</x:v>
      </x:c>
      <x:c r="X4073" t="str"/>
      <x:c r="Y4073" t="str">
        <x:v>Field Visit</x:v>
      </x:c>
    </x:row>
    <x:row r="4074">
      <x:c r="A4074" t="str">
        <x:v>O004073</x:v>
      </x:c>
      <x:c r="B4074" s="20" t="n">
        <x:v>45745</x:v>
      </x:c>
      <x:c r="C4074" t="str">
        <x:v>C0192</x:v>
      </x:c>
      <x:c r="D4074" t="str">
        <x:v>Shree Kitchen 192</x:v>
      </x:c>
      <x:c r="E4074" t="str">
        <x:v>Restaurant</x:v>
      </x:c>
      <x:c r="F4074" t="str">
        <x:v>Mysuru</x:v>
      </x:c>
      <x:c r="G4074" t="str">
        <x:v>Sneha</x:v>
      </x:c>
      <x:c r="H4074" t="str">
        <x:v>P002</x:v>
      </x:c>
      <x:c r="I4074" t="str">
        <x:v>Sona Masoori Rice 25kg</x:v>
      </x:c>
      <x:c r="J4074" t="str">
        <x:v>Staples</x:v>
      </x:c>
      <x:c r="K4074" t="str">
        <x:v>Fortune</x:v>
      </x:c>
      <x:c r="L4074" s="22" t="n">
        <x:v>1320</x:v>
      </x:c>
      <x:c r="M4074" t="n">
        <x:v>6</x:v>
      </x:c>
      <x:c r="N4074" s="24" t="n">
        <x:v>0.1</x:v>
      </x:c>
      <x:c r="O4074" s="22" t="n">
        <x:f>L4074*M4074</x:f>
        <x:v>7920</x:v>
      </x:c>
      <x:c r="P4074" s="22" t="n">
        <x:f>O4074*(1-N4074)</x:f>
        <x:v>7128</x:v>
      </x:c>
      <x:c r="Q4074" s="22" t="n">
        <x:v>1160</x:v>
      </x:c>
      <x:c r="R4074" s="22" t="n">
        <x:f>Q4074*M4074</x:f>
        <x:v>6960</x:v>
      </x:c>
      <x:c r="S4074" s="22" t="n">
        <x:f>P4074-R4074</x:f>
        <x:v>168</x:v>
      </x:c>
      <x:c r="T4074" t="str">
        <x:v>Cash</x:v>
      </x:c>
      <x:c r="U4074" t="str">
        <x:v>Paid</x:v>
      </x:c>
      <x:c r="V4074" t="str">
        <x:v>Delivered</x:v>
      </x:c>
      <x:c r="W4074" t="n">
        <x:v>0</x:v>
      </x:c>
      <x:c r="X4074" t="str"/>
      <x:c r="Y4074" t="str">
        <x:v>Existing Customer</x:v>
      </x:c>
    </x:row>
    <x:row r="4075">
      <x:c r="A4075" t="str">
        <x:v>O004074</x:v>
      </x:c>
      <x:c r="B4075" s="20" t="n">
        <x:v>45986</x:v>
      </x:c>
      <x:c r="C4075" t="str">
        <x:v>C0225</x:v>
      </x:c>
      <x:c r="D4075" t="str">
        <x:v>Darshini Mart 225</x:v>
      </x:c>
      <x:c r="E4075" t="str">
        <x:v>Restaurant</x:v>
      </x:c>
      <x:c r="F4075" t="str">
        <x:v>Davanagere</x:v>
      </x:c>
      <x:c r="G4075" t="str">
        <x:v>Kavya</x:v>
      </x:c>
      <x:c r="H4075" t="str">
        <x:v>P035</x:v>
      </x:c>
      <x:c r="I4075" t="str">
        <x:v>Coriander Powder 1kg</x:v>
      </x:c>
      <x:c r="J4075" t="str">
        <x:v>Spices</x:v>
      </x:c>
      <x:c r="K4075" t="str">
        <x:v>Everest</x:v>
      </x:c>
      <x:c r="L4075" s="22" t="n">
        <x:v>280</x:v>
      </x:c>
      <x:c r="M4075" t="n">
        <x:v>30</x:v>
      </x:c>
      <x:c r="N4075" s="24" t="n">
        <x:v>0.05</x:v>
      </x:c>
      <x:c r="O4075" s="22" t="n">
        <x:f>L4075*M4075</x:f>
        <x:v>8400</x:v>
      </x:c>
      <x:c r="P4075" s="22" t="n">
        <x:f>O4075*(1-N4075)</x:f>
        <x:v>7980</x:v>
      </x:c>
      <x:c r="Q4075" s="22" t="n">
        <x:v>245</x:v>
      </x:c>
      <x:c r="R4075" s="22" t="n">
        <x:f>Q4075*M4075</x:f>
        <x:v>7350</x:v>
      </x:c>
      <x:c r="S4075" s="22" t="n">
        <x:f>P4075-R4075</x:f>
        <x:v>630</x:v>
      </x:c>
      <x:c r="T4075" t="str">
        <x:v>Bank Transfer</x:v>
      </x:c>
      <x:c r="U4075" t="str">
        <x:v>Paid</x:v>
      </x:c>
      <x:c r="V4075" t="str">
        <x:v>Cancelled</x:v>
      </x:c>
      <x:c r="W4075" t="n">
        <x:v>30</x:v>
      </x:c>
      <x:c r="X4075" t="str">
        <x:v>Cancelled Order</x:v>
      </x:c>
      <x:c r="Y4075" t="str">
        <x:v>Referral</x:v>
      </x:c>
    </x:row>
    <x:row r="4076">
      <x:c r="A4076" t="str">
        <x:v>O004075</x:v>
      </x:c>
      <x:c r="B4076" s="20" t="n">
        <x:v>46220</x:v>
      </x:c>
      <x:c r="C4076" t="str">
        <x:v>C0244</x:v>
      </x:c>
      <x:c r="D4076" t="str">
        <x:v>Namma Hotel 244</x:v>
      </x:c>
      <x:c r="E4076" t="str">
        <x:v>Kirana</x:v>
      </x:c>
      <x:c r="F4076" t="str">
        <x:v>Tumakuru</x:v>
      </x:c>
      <x:c r="G4076" t="str">
        <x:v>Sneha</x:v>
      </x:c>
      <x:c r="H4076" t="str">
        <x:v>P018</x:v>
      </x:c>
      <x:c r="I4076" t="str">
        <x:v>Paneer 1kg</x:v>
      </x:c>
      <x:c r="J4076" t="str">
        <x:v>Dairy</x:v>
      </x:c>
      <x:c r="K4076" t="str">
        <x:v>Milky Mist</x:v>
      </x:c>
      <x:c r="L4076" s="22" t="n">
        <x:v>410</x:v>
      </x:c>
      <x:c r="M4076" t="n">
        <x:v>18</x:v>
      </x:c>
      <x:c r="N4076" s="24" t="n">
        <x:v>0.02</x:v>
      </x:c>
      <x:c r="O4076" s="22" t="n">
        <x:f>L4076*M4076</x:f>
        <x:v>7380</x:v>
      </x:c>
      <x:c r="P4076" s="22" t="n">
        <x:f>O4076*(1-N4076)</x:f>
        <x:v>7232.4</x:v>
      </x:c>
      <x:c r="Q4076" s="22" t="n">
        <x:v>370</x:v>
      </x:c>
      <x:c r="R4076" s="22" t="n">
        <x:f>Q4076*M4076</x:f>
        <x:v>6660</x:v>
      </x:c>
      <x:c r="S4076" s="22" t="n">
        <x:f>P4076-R4076</x:f>
        <x:v>572.3999999999996</x:v>
      </x:c>
      <x:c r="T4076" t="str">
        <x:v>Cash</x:v>
      </x:c>
      <x:c r="U4076" t="str">
        <x:v>Paid</x:v>
      </x:c>
      <x:c r="V4076" t="str">
        <x:v>Cancelled</x:v>
      </x:c>
      <x:c r="W4076" t="n">
        <x:v>18</x:v>
      </x:c>
      <x:c r="X4076" t="str">
        <x:v>Cancelled Order</x:v>
      </x:c>
      <x:c r="Y4076" t="str">
        <x:v>WhatsApp</x:v>
      </x:c>
    </x:row>
    <x:row r="4077">
      <x:c r="A4077" t="str">
        <x:v>O004076</x:v>
      </x:c>
      <x:c r="B4077" s="20" t="n">
        <x:v>46077</x:v>
      </x:c>
      <x:c r="C4077" t="str">
        <x:v>C0214</x:v>
      </x:c>
      <x:c r="D4077" t="str">
        <x:v>Darshini Kitchen 214</x:v>
      </x:c>
      <x:c r="E4077" t="str">
        <x:v>Kirana</x:v>
      </x:c>
      <x:c r="F4077" t="str">
        <x:v>Bengaluru</x:v>
      </x:c>
      <x:c r="G4077" t="str">
        <x:v>Imran</x:v>
      </x:c>
      <x:c r="H4077" t="str">
        <x:v>P049</x:v>
      </x:c>
      <x:c r="I4077" t="str">
        <x:v>Apple 10kg</x:v>
      </x:c>
      <x:c r="J4077" t="str">
        <x:v>Fresh Produce</x:v>
      </x:c>
      <x:c r="K4077" t="str">
        <x:v>Local Market</x:v>
      </x:c>
      <x:c r="L4077" s="22" t="n">
        <x:v>1450</x:v>
      </x:c>
      <x:c r="M4077" t="n">
        <x:v>4</x:v>
      </x:c>
      <x:c r="N4077" s="24" t="n">
        <x:v>0.05</x:v>
      </x:c>
      <x:c r="O4077" s="22" t="n">
        <x:f>L4077*M4077</x:f>
        <x:v>5800</x:v>
      </x:c>
      <x:c r="P4077" s="22" t="n">
        <x:f>O4077*(1-N4077)</x:f>
        <x:v>5510</x:v>
      </x:c>
      <x:c r="Q4077" s="22" t="n">
        <x:v>1280</x:v>
      </x:c>
      <x:c r="R4077" s="22" t="n">
        <x:f>Q4077*M4077</x:f>
        <x:v>5120</x:v>
      </x:c>
      <x:c r="S4077" s="22" t="n">
        <x:f>P4077-R4077</x:f>
        <x:v>390</x:v>
      </x:c>
      <x:c r="T4077" t="str">
        <x:v>Cash</x:v>
      </x:c>
      <x:c r="U4077" t="str">
        <x:v>Overdue</x:v>
      </x:c>
      <x:c r="V4077" t="str">
        <x:v>Delivered</x:v>
      </x:c>
      <x:c r="W4077" t="n">
        <x:v>0</x:v>
      </x:c>
      <x:c r="X4077" t="str"/>
      <x:c r="Y4077" t="str">
        <x:v>Field Visit</x:v>
      </x:c>
    </x:row>
    <x:row r="4078">
      <x:c r="A4078" t="str">
        <x:v>O004077</x:v>
      </x:c>
      <x:c r="B4078" s="20" t="n">
        <x:v>45878</x:v>
      </x:c>
      <x:c r="C4078" t="str">
        <x:v>C0145</x:v>
      </x:c>
      <x:c r="D4078" t="str">
        <x:v>Namma Cafe 145</x:v>
      </x:c>
      <x:c r="E4078" t="str">
        <x:v>Kirana</x:v>
      </x:c>
      <x:c r="F4078" t="str">
        <x:v>Tumakuru</x:v>
      </x:c>
      <x:c r="G4078" t="str">
        <x:v>Sneha</x:v>
      </x:c>
      <x:c r="H4078" t="str">
        <x:v>P022</x:v>
      </x:c>
      <x:c r="I4078" t="str">
        <x:v>Mineral Water 1L</x:v>
      </x:c>
      <x:c r="J4078" t="str">
        <x:v>Beverage</x:v>
      </x:c>
      <x:c r="K4078" t="str">
        <x:v>Bisleri</x:v>
      </x:c>
      <x:c r="L4078" s="22" t="n">
        <x:v>19</x:v>
      </x:c>
      <x:c r="M4078" t="n">
        <x:v>1</x:v>
      </x:c>
      <x:c r="N4078" s="24" t="n">
        <x:v>0.05</x:v>
      </x:c>
      <x:c r="O4078" s="22" t="n">
        <x:f>L4078*M4078</x:f>
        <x:v>19</x:v>
      </x:c>
      <x:c r="P4078" s="22" t="n">
        <x:f>O4078*(1-N4078)</x:f>
        <x:v>18.05</x:v>
      </x:c>
      <x:c r="Q4078" s="22" t="n">
        <x:v>15</x:v>
      </x:c>
      <x:c r="R4078" s="22" t="n">
        <x:f>Q4078*M4078</x:f>
        <x:v>15</x:v>
      </x:c>
      <x:c r="S4078" s="22" t="n">
        <x:f>P4078-R4078</x:f>
        <x:v>3.0500000000000007</x:v>
      </x:c>
      <x:c r="T4078" t="str">
        <x:v>Bank Transfer</x:v>
      </x:c>
      <x:c r="U4078" t="str">
        <x:v>Paid</x:v>
      </x:c>
      <x:c r="V4078" t="str">
        <x:v>Cancelled</x:v>
      </x:c>
      <x:c r="W4078" t="n">
        <x:v>1</x:v>
      </x:c>
      <x:c r="X4078" t="str">
        <x:v>Cancelled Order</x:v>
      </x:c>
      <x:c r="Y4078" t="str">
        <x:v>WhatsApp</x:v>
      </x:c>
    </x:row>
    <x:row r="4079">
      <x:c r="A4079" t="str">
        <x:v>O004078</x:v>
      </x:c>
      <x:c r="B4079" s="20" t="n">
        <x:v>45804</x:v>
      </x:c>
      <x:c r="C4079" t="str">
        <x:v>C0161</x:v>
      </x:c>
      <x:c r="D4079" t="str">
        <x:v>Hotel Kitchen 161</x:v>
      </x:c>
      <x:c r="E4079" t="str">
        <x:v>Supermarket</x:v>
      </x:c>
      <x:c r="F4079" t="str">
        <x:v>Mysuru</x:v>
      </x:c>
      <x:c r="G4079" t="str">
        <x:v>Sneha</x:v>
      </x:c>
      <x:c r="H4079" t="str">
        <x:v>P046</x:v>
      </x:c>
      <x:c r="I4079" t="str">
        <x:v>Potato 25kg</x:v>
      </x:c>
      <x:c r="J4079" t="str">
        <x:v>Fresh Produce</x:v>
      </x:c>
      <x:c r="K4079" t="str">
        <x:v>Local Market</x:v>
      </x:c>
      <x:c r="L4079" s="22" t="n">
        <x:v>700</x:v>
      </x:c>
      <x:c r="M4079" t="n">
        <x:v>31</x:v>
      </x:c>
      <x:c r="N4079" s="24" t="n">
        <x:v>0.02</x:v>
      </x:c>
      <x:c r="O4079" s="22" t="n">
        <x:f>L4079*M4079</x:f>
        <x:v>21700</x:v>
      </x:c>
      <x:c r="P4079" s="22" t="n">
        <x:f>O4079*(1-N4079)</x:f>
        <x:v>21266</x:v>
      </x:c>
      <x:c r="Q4079" s="22" t="n">
        <x:v>610</x:v>
      </x:c>
      <x:c r="R4079" s="22" t="n">
        <x:f>Q4079*M4079</x:f>
        <x:v>18910</x:v>
      </x:c>
      <x:c r="S4079" s="22" t="n">
        <x:f>P4079-R4079</x:f>
        <x:v>2356</x:v>
      </x:c>
      <x:c r="T4079" t="str">
        <x:v>Cash</x:v>
      </x:c>
      <x:c r="U4079" t="str">
        <x:v>Paid</x:v>
      </x:c>
      <x:c r="V4079" t="str">
        <x:v>Delayed</x:v>
      </x:c>
      <x:c r="W4079" t="n">
        <x:v>0</x:v>
      </x:c>
      <x:c r="X4079" t="str"/>
      <x:c r="Y4079" t="str">
        <x:v>WhatsApp</x:v>
      </x:c>
    </x:row>
    <x:row r="4080">
      <x:c r="A4080" t="str">
        <x:v>O004079</x:v>
      </x:c>
      <x:c r="B4080" s="20" t="n">
        <x:v>46253</x:v>
      </x:c>
      <x:c r="C4080" t="str">
        <x:v>C0184</x:v>
      </x:c>
      <x:c r="D4080" t="str">
        <x:v>Namma Restaurant 184</x:v>
      </x:c>
      <x:c r="E4080" t="str">
        <x:v>Cafe</x:v>
      </x:c>
      <x:c r="F4080" t="str">
        <x:v>Hubballi</x:v>
      </x:c>
      <x:c r="G4080" t="str">
        <x:v>Arjun</x:v>
      </x:c>
      <x:c r="H4080" t="str">
        <x:v>P036</x:v>
      </x:c>
      <x:c r="I4080" t="str">
        <x:v>Garam Masala 500g</x:v>
      </x:c>
      <x:c r="J4080" t="str">
        <x:v>Spices</x:v>
      </x:c>
      <x:c r="K4080" t="str">
        <x:v>MDH</x:v>
      </x:c>
      <x:c r="L4080" s="22" t="n">
        <x:v>265</x:v>
      </x:c>
      <x:c r="M4080" t="n">
        <x:v>18</x:v>
      </x:c>
      <x:c r="N4080" s="24" t="n">
        <x:v>0.05</x:v>
      </x:c>
      <x:c r="O4080" s="22" t="n">
        <x:f>L4080*M4080</x:f>
        <x:v>4770</x:v>
      </x:c>
      <x:c r="P4080" s="22" t="n">
        <x:f>O4080*(1-N4080)</x:f>
        <x:v>4531.5</x:v>
      </x:c>
      <x:c r="Q4080" s="22" t="n">
        <x:v>230</x:v>
      </x:c>
      <x:c r="R4080" s="22" t="n">
        <x:f>Q4080*M4080</x:f>
        <x:v>4140</x:v>
      </x:c>
      <x:c r="S4080" s="22" t="n">
        <x:f>P4080-R4080</x:f>
        <x:v>391.5</x:v>
      </x:c>
      <x:c r="T4080" t="str">
        <x:v>Bank Transfer</x:v>
      </x:c>
      <x:c r="U4080" t="str">
        <x:v>Pending</x:v>
      </x:c>
      <x:c r="V4080" t="str">
        <x:v>Cancelled</x:v>
      </x:c>
      <x:c r="W4080" t="n">
        <x:v>18</x:v>
      </x:c>
      <x:c r="X4080" t="str">
        <x:v>Cancelled Order</x:v>
      </x:c>
      <x:c r="Y4080" t="str">
        <x:v>WhatsApp</x:v>
      </x:c>
    </x:row>
    <x:row r="4081">
      <x:c r="A4081" t="str">
        <x:v>O004080</x:v>
      </x:c>
      <x:c r="B4081" s="20" t="n">
        <x:v>46077</x:v>
      </x:c>
      <x:c r="C4081" t="str">
        <x:v>C0006</x:v>
      </x:c>
      <x:c r="D4081" t="str">
        <x:v>New Restaurant 6</x:v>
      </x:c>
      <x:c r="E4081" t="str">
        <x:v>Kirana</x:v>
      </x:c>
      <x:c r="F4081" t="str">
        <x:v>Hubballi</x:v>
      </x:c>
      <x:c r="G4081" t="str">
        <x:v>Vikram</x:v>
      </x:c>
      <x:c r="H4081" t="str">
        <x:v>P016</x:v>
      </x:c>
      <x:c r="I4081" t="str">
        <x:v>Curd 1kg</x:v>
      </x:c>
      <x:c r="J4081" t="str">
        <x:v>Dairy</x:v>
      </x:c>
      <x:c r="K4081" t="str">
        <x:v>Nandini</x:v>
      </x:c>
      <x:c r="L4081" s="22" t="n">
        <x:v>72</x:v>
      </x:c>
      <x:c r="M4081" t="n">
        <x:v>28</x:v>
      </x:c>
      <x:c r="N4081" s="24" t="n">
        <x:v>0.05</x:v>
      </x:c>
      <x:c r="O4081" s="22" t="n">
        <x:f>L4081*M4081</x:f>
        <x:v>2016</x:v>
      </x:c>
      <x:c r="P4081" s="22" t="n">
        <x:f>O4081*(1-N4081)</x:f>
        <x:v>1915.1999999999998</x:v>
      </x:c>
      <x:c r="Q4081" s="22" t="n">
        <x:v>64</x:v>
      </x:c>
      <x:c r="R4081" s="22" t="n">
        <x:f>Q4081*M4081</x:f>
        <x:v>1792</x:v>
      </x:c>
      <x:c r="S4081" s="22" t="n">
        <x:f>P4081-R4081</x:f>
        <x:v>123.19999999999982</x:v>
      </x:c>
      <x:c r="T4081" t="str">
        <x:v>UPI</x:v>
      </x:c>
      <x:c r="U4081" t="str">
        <x:v>Pending</x:v>
      </x:c>
      <x:c r="V4081" t="str">
        <x:v>Delivered</x:v>
      </x:c>
      <x:c r="W4081" t="n">
        <x:v>0</x:v>
      </x:c>
      <x:c r="X4081" t="str"/>
      <x:c r="Y4081" t="str">
        <x:v>WhatsApp</x:v>
      </x:c>
    </x:row>
    <x:row r="4082">
      <x:c r="A4082" t="str">
        <x:v>O004081</x:v>
      </x:c>
      <x:c r="B4082" s="20" t="n">
        <x:v>46211</x:v>
      </x:c>
      <x:c r="C4082" t="str">
        <x:v>C0079</x:v>
      </x:c>
      <x:c r="D4082" t="str">
        <x:v>Foodie Foods 79</x:v>
      </x:c>
      <x:c r="E4082" t="str">
        <x:v>Cafe</x:v>
      </x:c>
      <x:c r="F4082" t="str">
        <x:v>Tumakuru</x:v>
      </x:c>
      <x:c r="G4082" t="str">
        <x:v>Ramesh</x:v>
      </x:c>
      <x:c r="H4082" t="str">
        <x:v>P017</x:v>
      </x:c>
      <x:c r="I4082" t="str">
        <x:v>Butter 500g</x:v>
      </x:c>
      <x:c r="J4082" t="str">
        <x:v>Dairy</x:v>
      </x:c>
      <x:c r="K4082" t="str">
        <x:v>Amul</x:v>
      </x:c>
      <x:c r="L4082" s="22" t="n">
        <x:v>285</x:v>
      </x:c>
      <x:c r="M4082" t="n">
        <x:v>12</x:v>
      </x:c>
      <x:c r="N4082" s="24" t="n">
        <x:v>0.05</x:v>
      </x:c>
      <x:c r="O4082" s="22" t="n">
        <x:f>L4082*M4082</x:f>
        <x:v>3420</x:v>
      </x:c>
      <x:c r="P4082" s="22" t="n">
        <x:f>O4082*(1-N4082)</x:f>
        <x:v>3249</x:v>
      </x:c>
      <x:c r="Q4082" s="22" t="n">
        <x:v>258</x:v>
      </x:c>
      <x:c r="R4082" s="22" t="n">
        <x:f>Q4082*M4082</x:f>
        <x:v>3096</x:v>
      </x:c>
      <x:c r="S4082" s="22" t="n">
        <x:f>P4082-R4082</x:f>
        <x:v>153</x:v>
      </x:c>
      <x:c r="T4082" t="str">
        <x:v>Cash</x:v>
      </x:c>
      <x:c r="U4082" t="str">
        <x:v>Paid</x:v>
      </x:c>
      <x:c r="V4082" t="str">
        <x:v>Delivered</x:v>
      </x:c>
      <x:c r="W4082" t="n">
        <x:v>4</x:v>
      </x:c>
      <x:c r="X4082" t="str">
        <x:v>Late Delivery</x:v>
      </x:c>
      <x:c r="Y4082" t="str">
        <x:v>Outbound Call</x:v>
      </x:c>
    </x:row>
    <x:row r="4083">
      <x:c r="A4083" t="str">
        <x:v>O004082</x:v>
      </x:c>
      <x:c r="B4083" s="20" t="n">
        <x:v>46165</x:v>
      </x:c>
      <x:c r="C4083" t="str">
        <x:v>C0058</x:v>
      </x:c>
      <x:c r="D4083" t="str">
        <x:v>Spice Kitchen 58</x:v>
      </x:c>
      <x:c r="E4083" t="str">
        <x:v>Supermarket</x:v>
      </x:c>
      <x:c r="F4083" t="str">
        <x:v>Davanagere</x:v>
      </x:c>
      <x:c r="G4083" t="str">
        <x:v>Sneha</x:v>
      </x:c>
      <x:c r="H4083" t="str">
        <x:v>P031</x:v>
      </x:c>
      <x:c r="I4083" t="str">
        <x:v>Chilli Sauce 700g</x:v>
      </x:c>
      <x:c r="J4083" t="str">
        <x:v>Condiments</x:v>
      </x:c>
      <x:c r="K4083" t="str">
        <x:v>Ching's</x:v>
      </x:c>
      <x:c r="L4083" s="22" t="n">
        <x:v>130</x:v>
      </x:c>
      <x:c r="M4083" t="n">
        <x:v>30</x:v>
      </x:c>
      <x:c r="N4083" s="24" t="n">
        <x:v>0.05</x:v>
      </x:c>
      <x:c r="O4083" s="22" t="n">
        <x:f>L4083*M4083</x:f>
        <x:v>3900</x:v>
      </x:c>
      <x:c r="P4083" s="22" t="n">
        <x:f>O4083*(1-N4083)</x:f>
        <x:v>3705</x:v>
      </x:c>
      <x:c r="Q4083" s="22" t="n">
        <x:v>112</x:v>
      </x:c>
      <x:c r="R4083" s="22" t="n">
        <x:f>Q4083*M4083</x:f>
        <x:v>3360</x:v>
      </x:c>
      <x:c r="S4083" s="22" t="n">
        <x:f>P4083-R4083</x:f>
        <x:v>345</x:v>
      </x:c>
      <x:c r="T4083" t="str">
        <x:v>Cash</x:v>
      </x:c>
      <x:c r="U4083" t="str">
        <x:v>Paid</x:v>
      </x:c>
      <x:c r="V4083" t="str">
        <x:v>Delivered</x:v>
      </x:c>
      <x:c r="W4083" t="n">
        <x:v>0</x:v>
      </x:c>
      <x:c r="X4083" t="str"/>
      <x:c r="Y4083" t="str">
        <x:v>Field Visit</x:v>
      </x:c>
    </x:row>
    <x:row r="4084">
      <x:c r="A4084" t="str">
        <x:v>O004083</x:v>
      </x:c>
      <x:c r="B4084" s="20" t="n">
        <x:v>45772</x:v>
      </x:c>
      <x:c r="C4084" t="str">
        <x:v>C0017</x:v>
      </x:c>
      <x:c r="D4084" t="str">
        <x:v>City Foods 17</x:v>
      </x:c>
      <x:c r="E4084" t="str">
        <x:v>Restaurant</x:v>
      </x:c>
      <x:c r="F4084" t="str">
        <x:v>Tumakuru</x:v>
      </x:c>
      <x:c r="G4084" t="str">
        <x:v>Imran</x:v>
      </x:c>
      <x:c r="H4084" t="str">
        <x:v>P038</x:v>
      </x:c>
      <x:c r="I4084" t="str">
        <x:v>French Fries 2.5kg</x:v>
      </x:c>
      <x:c r="J4084" t="str">
        <x:v>Frozen</x:v>
      </x:c>
      <x:c r="K4084" t="str">
        <x:v>McCain</x:v>
      </x:c>
      <x:c r="L4084" s="22" t="n">
        <x:v>360</x:v>
      </x:c>
      <x:c r="M4084" t="n">
        <x:v>25</x:v>
      </x:c>
      <x:c r="N4084" s="24" t="n">
        <x:v>0</x:v>
      </x:c>
      <x:c r="O4084" s="22" t="n">
        <x:f>L4084*M4084</x:f>
        <x:v>9000</x:v>
      </x:c>
      <x:c r="P4084" s="22" t="n">
        <x:f>O4084*(1-N4084)</x:f>
        <x:v>9000</x:v>
      </x:c>
      <x:c r="Q4084" s="22" t="n">
        <x:v>315</x:v>
      </x:c>
      <x:c r="R4084" s="22" t="n">
        <x:f>Q4084*M4084</x:f>
        <x:v>7875</x:v>
      </x:c>
      <x:c r="S4084" s="22" t="n">
        <x:f>P4084-R4084</x:f>
        <x:v>1125</x:v>
      </x:c>
      <x:c r="T4084" t="str">
        <x:v>Credit</x:v>
      </x:c>
      <x:c r="U4084" t="str">
        <x:v>Paid</x:v>
      </x:c>
      <x:c r="V4084" t="str">
        <x:v>Delivered</x:v>
      </x:c>
      <x:c r="W4084" t="n">
        <x:v>0</x:v>
      </x:c>
      <x:c r="X4084" t="str"/>
      <x:c r="Y4084" t="str">
        <x:v>WhatsApp</x:v>
      </x:c>
    </x:row>
    <x:row r="4085">
      <x:c r="A4085" t="str">
        <x:v>O004084</x:v>
      </x:c>
      <x:c r="B4085" s="20" t="n">
        <x:v>45838</x:v>
      </x:c>
      <x:c r="C4085" t="str">
        <x:v>C0088</x:v>
      </x:c>
      <x:c r="D4085" t="str">
        <x:v>Darshini Kitchen 88</x:v>
      </x:c>
      <x:c r="E4085" t="str">
        <x:v>Cafe</x:v>
      </x:c>
      <x:c r="F4085" t="str">
        <x:v>Tumakuru</x:v>
      </x:c>
      <x:c r="G4085" t="str">
        <x:v>Arjun</x:v>
      </x:c>
      <x:c r="H4085" t="str">
        <x:v>P039</x:v>
      </x:c>
      <x:c r="I4085" t="str">
        <x:v>Ice Cream 4L</x:v>
      </x:c>
      <x:c r="J4085" t="str">
        <x:v>Frozen</x:v>
      </x:c>
      <x:c r="K4085" t="str">
        <x:v>Amul</x:v>
      </x:c>
      <x:c r="L4085" s="22" t="n">
        <x:v>480</x:v>
      </x:c>
      <x:c r="M4085" t="n">
        <x:v>23</x:v>
      </x:c>
      <x:c r="N4085" s="24" t="n">
        <x:v>0</x:v>
      </x:c>
      <x:c r="O4085" s="22" t="n">
        <x:f>L4085*M4085</x:f>
        <x:v>11040</x:v>
      </x:c>
      <x:c r="P4085" s="22" t="n">
        <x:f>O4085*(1-N4085)</x:f>
        <x:v>11040</x:v>
      </x:c>
      <x:c r="Q4085" s="22" t="n">
        <x:v>420</x:v>
      </x:c>
      <x:c r="R4085" s="22" t="n">
        <x:f>Q4085*M4085</x:f>
        <x:v>9660</x:v>
      </x:c>
      <x:c r="S4085" s="22" t="n">
        <x:f>P4085-R4085</x:f>
        <x:v>1380</x:v>
      </x:c>
      <x:c r="T4085" t="str">
        <x:v>Credit</x:v>
      </x:c>
      <x:c r="U4085" t="str">
        <x:v>Paid</x:v>
      </x:c>
      <x:c r="V4085" t="str">
        <x:v>Delivered</x:v>
      </x:c>
      <x:c r="W4085" t="n">
        <x:v>0</x:v>
      </x:c>
      <x:c r="X4085" t="str"/>
      <x:c r="Y4085" t="str">
        <x:v>WhatsApp</x:v>
      </x:c>
    </x:row>
    <x:row r="4086">
      <x:c r="A4086" t="str">
        <x:v>O004085</x:v>
      </x:c>
      <x:c r="B4086" s="20" t="n">
        <x:v>46179</x:v>
      </x:c>
      <x:c r="C4086" t="str">
        <x:v>C0123</x:v>
      </x:c>
      <x:c r="D4086" t="str">
        <x:v>City Foods 123</x:v>
      </x:c>
      <x:c r="E4086" t="str">
        <x:v>Restaurant</x:v>
      </x:c>
      <x:c r="F4086" t="str">
        <x:v>Davanagere</x:v>
      </x:c>
      <x:c r="G4086" t="str">
        <x:v>Sneha</x:v>
      </x:c>
      <x:c r="H4086" t="str">
        <x:v>P040</x:v>
      </x:c>
      <x:c r="I4086" t="str">
        <x:v>Bread Loaf 400g</x:v>
      </x:c>
      <x:c r="J4086" t="str">
        <x:v>Bakery</x:v>
      </x:c>
      <x:c r="K4086" t="str">
        <x:v>Britannia</x:v>
      </x:c>
      <x:c r="L4086" s="22" t="n">
        <x:v>45</x:v>
      </x:c>
      <x:c r="M4086" t="n">
        <x:v>10</x:v>
      </x:c>
      <x:c r="N4086" s="24" t="n">
        <x:v>0</x:v>
      </x:c>
      <x:c r="O4086" s="22" t="n">
        <x:f>L4086*M4086</x:f>
        <x:v>450</x:v>
      </x:c>
      <x:c r="P4086" s="22" t="n">
        <x:f>O4086*(1-N4086)</x:f>
        <x:v>450</x:v>
      </x:c>
      <x:c r="Q4086" s="22" t="n">
        <x:v>35</x:v>
      </x:c>
      <x:c r="R4086" s="22" t="n">
        <x:f>Q4086*M4086</x:f>
        <x:v>350</x:v>
      </x:c>
      <x:c r="S4086" s="22" t="n">
        <x:f>P4086-R4086</x:f>
        <x:v>100</x:v>
      </x:c>
      <x:c r="T4086" t="str">
        <x:v>Credit</x:v>
      </x:c>
      <x:c r="U4086" t="str">
        <x:v>Paid</x:v>
      </x:c>
      <x:c r="V4086" t="str">
        <x:v>Delivered</x:v>
      </x:c>
      <x:c r="W4086" t="n">
        <x:v>0</x:v>
      </x:c>
      <x:c r="X4086" t="str"/>
      <x:c r="Y4086" t="str">
        <x:v>Referral</x:v>
      </x:c>
    </x:row>
    <x:row r="4087">
      <x:c r="A4087" t="str">
        <x:v>O004086</x:v>
      </x:c>
      <x:c r="B4087" s="20" t="n">
        <x:v>45973</x:v>
      </x:c>
      <x:c r="C4087" t="str">
        <x:v>C0218</x:v>
      </x:c>
      <x:c r="D4087" t="str">
        <x:v>Green Stores 218</x:v>
      </x:c>
      <x:c r="E4087" t="str">
        <x:v>Hotel</x:v>
      </x:c>
      <x:c r="F4087" t="str">
        <x:v>Mysuru</x:v>
      </x:c>
      <x:c r="G4087" t="str">
        <x:v>Imran</x:v>
      </x:c>
      <x:c r="H4087" t="str">
        <x:v>P048</x:v>
      </x:c>
      <x:c r="I4087" t="str">
        <x:v>Banana 10kg</x:v>
      </x:c>
      <x:c r="J4087" t="str">
        <x:v>Fresh Produce</x:v>
      </x:c>
      <x:c r="K4087" t="str">
        <x:v>Local Market</x:v>
      </x:c>
      <x:c r="L4087" s="22" t="n">
        <x:v>420</x:v>
      </x:c>
      <x:c r="M4087" t="n">
        <x:v>38</x:v>
      </x:c>
      <x:c r="N4087" s="24" t="n">
        <x:v>0</x:v>
      </x:c>
      <x:c r="O4087" s="22" t="n">
        <x:f>L4087*M4087</x:f>
        <x:v>15960</x:v>
      </x:c>
      <x:c r="P4087" s="22" t="n">
        <x:f>O4087*(1-N4087)</x:f>
        <x:v>15960</x:v>
      </x:c>
      <x:c r="Q4087" s="22" t="n">
        <x:v>350</x:v>
      </x:c>
      <x:c r="R4087" s="22" t="n">
        <x:f>Q4087*M4087</x:f>
        <x:v>13300</x:v>
      </x:c>
      <x:c r="S4087" s="22" t="n">
        <x:f>P4087-R4087</x:f>
        <x:v>2660</x:v>
      </x:c>
      <x:c r="T4087" t="str">
        <x:v>Bank Transfer</x:v>
      </x:c>
      <x:c r="U4087" t="str">
        <x:v>Overdue</x:v>
      </x:c>
      <x:c r="V4087" t="str">
        <x:v>Delivered</x:v>
      </x:c>
      <x:c r="W4087" t="n">
        <x:v>0</x:v>
      </x:c>
      <x:c r="X4087" t="str"/>
      <x:c r="Y4087" t="str">
        <x:v>Referral</x:v>
      </x:c>
    </x:row>
    <x:row r="4088">
      <x:c r="A4088" t="str">
        <x:v>O004087</x:v>
      </x:c>
      <x:c r="B4088" s="20" t="n">
        <x:v>45837</x:v>
      </x:c>
      <x:c r="C4088" t="str">
        <x:v>C0111</x:v>
      </x:c>
      <x:c r="D4088" t="str">
        <x:v>Metro Kitchen 111</x:v>
      </x:c>
      <x:c r="E4088" t="str">
        <x:v>Restaurant</x:v>
      </x:c>
      <x:c r="F4088" t="str">
        <x:v>Davanagere</x:v>
      </x:c>
      <x:c r="G4088" t="str">
        <x:v>Sneha</x:v>
      </x:c>
      <x:c r="H4088" t="str">
        <x:v>P037</x:v>
      </x:c>
      <x:c r="I4088" t="str">
        <x:v>Frozen Peas 1kg</x:v>
      </x:c>
      <x:c r="J4088" t="str">
        <x:v>Frozen</x:v>
      </x:c>
      <x:c r="K4088" t="str">
        <x:v>Safal</x:v>
      </x:c>
      <x:c r="L4088" s="22" t="n">
        <x:v>155</x:v>
      </x:c>
      <x:c r="M4088" t="n">
        <x:v>18</x:v>
      </x:c>
      <x:c r="N4088" s="24" t="n">
        <x:v>0.05</x:v>
      </x:c>
      <x:c r="O4088" s="22" t="n">
        <x:f>L4088*M4088</x:f>
        <x:v>2790</x:v>
      </x:c>
      <x:c r="P4088" s="22" t="n">
        <x:f>O4088*(1-N4088)</x:f>
        <x:v>2650.5</x:v>
      </x:c>
      <x:c r="Q4088" s="22" t="n">
        <x:v>138</x:v>
      </x:c>
      <x:c r="R4088" s="22" t="n">
        <x:f>Q4088*M4088</x:f>
        <x:v>2484</x:v>
      </x:c>
      <x:c r="S4088" s="22" t="n">
        <x:f>P4088-R4088</x:f>
        <x:v>166.5</x:v>
      </x:c>
      <x:c r="T4088" t="str">
        <x:v>UPI</x:v>
      </x:c>
      <x:c r="U4088" t="str">
        <x:v>Paid</x:v>
      </x:c>
      <x:c r="V4088" t="str">
        <x:v>Delivered</x:v>
      </x:c>
      <x:c r="W4088" t="n">
        <x:v>0</x:v>
      </x:c>
      <x:c r="X4088" t="str"/>
      <x:c r="Y4088" t="str">
        <x:v>Existing Customer</x:v>
      </x:c>
    </x:row>
    <x:row r="4089">
      <x:c r="A4089" t="str">
        <x:v>O004088</x:v>
      </x:c>
      <x:c r="B4089" s="20" t="n">
        <x:v>46285</x:v>
      </x:c>
      <x:c r="C4089" t="str">
        <x:v>C0233</x:v>
      </x:c>
      <x:c r="D4089" t="str">
        <x:v>Shree Mart 233</x:v>
      </x:c>
      <x:c r="E4089" t="str">
        <x:v>Kirana</x:v>
      </x:c>
      <x:c r="F4089" t="str">
        <x:v>Mangaluru</x:v>
      </x:c>
      <x:c r="G4089" t="str">
        <x:v>Priya</x:v>
      </x:c>
      <x:c r="H4089" t="str">
        <x:v>P040</x:v>
      </x:c>
      <x:c r="I4089" t="str">
        <x:v>Bread Loaf 400g</x:v>
      </x:c>
      <x:c r="J4089" t="str">
        <x:v>Bakery</x:v>
      </x:c>
      <x:c r="K4089" t="str">
        <x:v>Britannia</x:v>
      </x:c>
      <x:c r="L4089" s="22" t="n">
        <x:v>45</x:v>
      </x:c>
      <x:c r="M4089" t="n">
        <x:v>8</x:v>
      </x:c>
      <x:c r="N4089" s="24" t="n">
        <x:v>0</x:v>
      </x:c>
      <x:c r="O4089" s="22" t="n">
        <x:f>L4089*M4089</x:f>
        <x:v>360</x:v>
      </x:c>
      <x:c r="P4089" s="22" t="n">
        <x:f>O4089*(1-N4089)</x:f>
        <x:v>360</x:v>
      </x:c>
      <x:c r="Q4089" s="22" t="n">
        <x:v>35</x:v>
      </x:c>
      <x:c r="R4089" s="22" t="n">
        <x:f>Q4089*M4089</x:f>
        <x:v>280</x:v>
      </x:c>
      <x:c r="S4089" s="22" t="n">
        <x:f>P4089-R4089</x:f>
        <x:v>80</x:v>
      </x:c>
      <x:c r="T4089" t="str">
        <x:v>Bank Transfer</x:v>
      </x:c>
      <x:c r="U4089" t="str">
        <x:v>Paid</x:v>
      </x:c>
      <x:c r="V4089" t="str">
        <x:v>Delivered</x:v>
      </x:c>
      <x:c r="W4089" t="n">
        <x:v>0</x:v>
      </x:c>
      <x:c r="X4089" t="str"/>
      <x:c r="Y4089" t="str">
        <x:v>Field Visit</x:v>
      </x:c>
    </x:row>
    <x:row r="4090">
      <x:c r="A4090" t="str">
        <x:v>O004089</x:v>
      </x:c>
      <x:c r="B4090" s="20" t="n">
        <x:v>46213</x:v>
      </x:c>
      <x:c r="C4090" t="str">
        <x:v>C0018</x:v>
      </x:c>
      <x:c r="D4090" t="str">
        <x:v>Namma Canteen 18</x:v>
      </x:c>
      <x:c r="E4090" t="str">
        <x:v>Restaurant</x:v>
      </x:c>
      <x:c r="F4090" t="str">
        <x:v>Davanagere</x:v>
      </x:c>
      <x:c r="G4090" t="str">
        <x:v>Imran</x:v>
      </x:c>
      <x:c r="H4090" t="str">
        <x:v>P007</x:v>
      </x:c>
      <x:c r="I4090" t="str">
        <x:v>Sunflower Oil 15L</x:v>
      </x:c>
      <x:c r="J4090" t="str">
        <x:v>Edible Oil</x:v>
      </x:c>
      <x:c r="K4090" t="str">
        <x:v>Fortune</x:v>
      </x:c>
      <x:c r="L4090" s="22" t="n">
        <x:v>1980</x:v>
      </x:c>
      <x:c r="M4090" t="n">
        <x:v>9</x:v>
      </x:c>
      <x:c r="N4090" s="24" t="n">
        <x:v>0.03</x:v>
      </x:c>
      <x:c r="O4090" s="22" t="n">
        <x:f>L4090*M4090</x:f>
        <x:v>17820</x:v>
      </x:c>
      <x:c r="P4090" s="22" t="n">
        <x:f>O4090*(1-N4090)</x:f>
        <x:v>17285.399999999998</x:v>
      </x:c>
      <x:c r="Q4090" s="22" t="n">
        <x:v>1810</x:v>
      </x:c>
      <x:c r="R4090" s="22" t="n">
        <x:f>Q4090*M4090</x:f>
        <x:v>16290</x:v>
      </x:c>
      <x:c r="S4090" s="22" t="n">
        <x:f>P4090-R4090</x:f>
        <x:v>995.3999999999978</x:v>
      </x:c>
      <x:c r="T4090" t="str">
        <x:v>UPI</x:v>
      </x:c>
      <x:c r="U4090" t="str">
        <x:v>Paid</x:v>
      </x:c>
      <x:c r="V4090" t="str">
        <x:v>Delivered</x:v>
      </x:c>
      <x:c r="W4090" t="n">
        <x:v>0</x:v>
      </x:c>
      <x:c r="X4090" t="str"/>
      <x:c r="Y4090" t="str">
        <x:v>Outbound Call</x:v>
      </x:c>
    </x:row>
    <x:row r="4091">
      <x:c r="A4091" t="str">
        <x:v>O004090</x:v>
      </x:c>
      <x:c r="B4091" s="20" t="n">
        <x:v>45686</x:v>
      </x:c>
      <x:c r="C4091" t="str">
        <x:v>C0168</x:v>
      </x:c>
      <x:c r="D4091" t="str">
        <x:v>Sagar Hotel 168</x:v>
      </x:c>
      <x:c r="E4091" t="str">
        <x:v>Canteen</x:v>
      </x:c>
      <x:c r="F4091" t="str">
        <x:v>Bengaluru</x:v>
      </x:c>
      <x:c r="G4091" t="str">
        <x:v>Priya</x:v>
      </x:c>
      <x:c r="H4091" t="str">
        <x:v>P010</x:v>
      </x:c>
      <x:c r="I4091" t="str">
        <x:v>Sugar 25kg</x:v>
      </x:c>
      <x:c r="J4091" t="str">
        <x:v>Staples</x:v>
      </x:c>
      <x:c r="K4091" t="str">
        <x:v>Madhur</x:v>
      </x:c>
      <x:c r="L4091" s="22" t="n">
        <x:v>1190</x:v>
      </x:c>
      <x:c r="M4091" t="n">
        <x:v>4</x:v>
      </x:c>
      <x:c r="N4091" s="24" t="n">
        <x:v>0.03</x:v>
      </x:c>
      <x:c r="O4091" s="22" t="n">
        <x:f>L4091*M4091</x:f>
        <x:v>4760</x:v>
      </x:c>
      <x:c r="P4091" s="22" t="n">
        <x:f>O4091*(1-N4091)</x:f>
        <x:v>4617.2</x:v>
      </x:c>
      <x:c r="Q4091" s="22" t="n">
        <x:v>1080</x:v>
      </x:c>
      <x:c r="R4091" s="22" t="n">
        <x:f>Q4091*M4091</x:f>
        <x:v>4320</x:v>
      </x:c>
      <x:c r="S4091" s="22" t="n">
        <x:f>P4091-R4091</x:f>
        <x:v>297.1999999999998</x:v>
      </x:c>
      <x:c r="T4091" t="str">
        <x:v>UPI</x:v>
      </x:c>
      <x:c r="U4091" t="str">
        <x:v>Overdue</x:v>
      </x:c>
      <x:c r="V4091" t="str">
        <x:v>Delayed</x:v>
      </x:c>
      <x:c r="W4091" t="n">
        <x:v>0</x:v>
      </x:c>
      <x:c r="X4091" t="str"/>
      <x:c r="Y4091" t="str">
        <x:v>WhatsApp</x:v>
      </x:c>
    </x:row>
    <x:row r="4092">
      <x:c r="A4092" t="str">
        <x:v>O004091</x:v>
      </x:c>
      <x:c r="B4092" s="20" t="n">
        <x:v>46251</x:v>
      </x:c>
      <x:c r="C4092" t="str">
        <x:v>C0175</x:v>
      </x:c>
      <x:c r="D4092" t="str">
        <x:v>Namma Mart 175</x:v>
      </x:c>
      <x:c r="E4092" t="str">
        <x:v>Hotel</x:v>
      </x:c>
      <x:c r="F4092" t="str">
        <x:v>Davanagere</x:v>
      </x:c>
      <x:c r="G4092" t="str">
        <x:v>Sneha</x:v>
      </x:c>
      <x:c r="H4092" t="str">
        <x:v>P028</x:v>
      </x:c>
      <x:c r="I4092" t="str">
        <x:v>Cookies 200g</x:v>
      </x:c>
      <x:c r="J4092" t="str">
        <x:v>Snacks</x:v>
      </x:c>
      <x:c r="K4092" t="str">
        <x:v>Britannia</x:v>
      </x:c>
      <x:c r="L4092" s="22" t="n">
        <x:v>55</x:v>
      </x:c>
      <x:c r="M4092" t="n">
        <x:v>17</x:v>
      </x:c>
      <x:c r="N4092" s="24" t="n">
        <x:v>0</x:v>
      </x:c>
      <x:c r="O4092" s="22" t="n">
        <x:f>L4092*M4092</x:f>
        <x:v>935</x:v>
      </x:c>
      <x:c r="P4092" s="22" t="n">
        <x:f>O4092*(1-N4092)</x:f>
        <x:v>935</x:v>
      </x:c>
      <x:c r="Q4092" s="22" t="n">
        <x:v>42</x:v>
      </x:c>
      <x:c r="R4092" s="22" t="n">
        <x:f>Q4092*M4092</x:f>
        <x:v>714</x:v>
      </x:c>
      <x:c r="S4092" s="22" t="n">
        <x:f>P4092-R4092</x:f>
        <x:v>221</x:v>
      </x:c>
      <x:c r="T4092" t="str">
        <x:v>Cash</x:v>
      </x:c>
      <x:c r="U4092" t="str">
        <x:v>Pending</x:v>
      </x:c>
      <x:c r="V4092" t="str">
        <x:v>Delayed</x:v>
      </x:c>
      <x:c r="W4092" t="n">
        <x:v>0</x:v>
      </x:c>
      <x:c r="X4092" t="str"/>
      <x:c r="Y4092" t="str">
        <x:v>Referral</x:v>
      </x:c>
    </x:row>
    <x:row r="4093">
      <x:c r="A4093" t="str">
        <x:v>O004092</x:v>
      </x:c>
      <x:c r="B4093" s="20" t="n">
        <x:v>45951</x:v>
      </x:c>
      <x:c r="C4093" t="str">
        <x:v>C0092</x:v>
      </x:c>
      <x:c r="D4093" t="str">
        <x:v>Cafe Restaurant 92</x:v>
      </x:c>
      <x:c r="E4093" t="str">
        <x:v>Canteen</x:v>
      </x:c>
      <x:c r="F4093" t="str">
        <x:v>Hubballi</x:v>
      </x:c>
      <x:c r="G4093" t="str">
        <x:v>Vikram</x:v>
      </x:c>
      <x:c r="H4093" t="str">
        <x:v>P044</x:v>
      </x:c>
      <x:c r="I4093" t="str">
        <x:v>Chicken Curry Cut 1kg</x:v>
      </x:c>
      <x:c r="J4093" t="str">
        <x:v>Protein</x:v>
      </x:c>
      <x:c r="K4093" t="str">
        <x:v>FreshToHome</x:v>
      </x:c>
      <x:c r="L4093" s="22" t="n">
        <x:v>230</x:v>
      </x:c>
      <x:c r="M4093" t="n">
        <x:v>11</x:v>
      </x:c>
      <x:c r="N4093" s="24" t="n">
        <x:v>0.03</x:v>
      </x:c>
      <x:c r="O4093" s="22" t="n">
        <x:f>L4093*M4093</x:f>
        <x:v>2530</x:v>
      </x:c>
      <x:c r="P4093" s="22" t="n">
        <x:f>O4093*(1-N4093)</x:f>
        <x:v>2454.1</x:v>
      </x:c>
      <x:c r="Q4093" s="22" t="n">
        <x:v>205</x:v>
      </x:c>
      <x:c r="R4093" s="22" t="n">
        <x:f>Q4093*M4093</x:f>
        <x:v>2255</x:v>
      </x:c>
      <x:c r="S4093" s="22" t="n">
        <x:f>P4093-R4093</x:f>
        <x:v>199.0999999999999</x:v>
      </x:c>
      <x:c r="T4093" t="str">
        <x:v>Cash</x:v>
      </x:c>
      <x:c r="U4093" t="str">
        <x:v>Paid</x:v>
      </x:c>
      <x:c r="V4093" t="str">
        <x:v>Delivered</x:v>
      </x:c>
      <x:c r="W4093" t="n">
        <x:v>0</x:v>
      </x:c>
      <x:c r="X4093" t="str"/>
      <x:c r="Y4093" t="str">
        <x:v>Referral</x:v>
      </x:c>
    </x:row>
    <x:row r="4094">
      <x:c r="A4094" t="str">
        <x:v>O004093</x:v>
      </x:c>
      <x:c r="B4094" s="20" t="n">
        <x:v>45990</x:v>
      </x:c>
      <x:c r="C4094" t="str">
        <x:v>C0141</x:v>
      </x:c>
      <x:c r="D4094" t="str">
        <x:v>Sri Restaurant 141</x:v>
      </x:c>
      <x:c r="E4094" t="str">
        <x:v>Restaurant</x:v>
      </x:c>
      <x:c r="F4094" t="str">
        <x:v>Mangaluru</x:v>
      </x:c>
      <x:c r="G4094" t="str">
        <x:v>Ramesh</x:v>
      </x:c>
      <x:c r="H4094" t="str">
        <x:v>P041</x:v>
      </x:c>
      <x:c r="I4094" t="str">
        <x:v>Burger Bun 6pc</x:v>
      </x:c>
      <x:c r="J4094" t="str">
        <x:v>Bakery</x:v>
      </x:c>
      <x:c r="K4094" t="str">
        <x:v>Modern</x:v>
      </x:c>
      <x:c r="L4094" s="22" t="n">
        <x:v>42</x:v>
      </x:c>
      <x:c r="M4094" t="n">
        <x:v>4</x:v>
      </x:c>
      <x:c r="N4094" s="24" t="n">
        <x:v>0.05</x:v>
      </x:c>
      <x:c r="O4094" s="22" t="n">
        <x:f>L4094*M4094</x:f>
        <x:v>168</x:v>
      </x:c>
      <x:c r="P4094" s="22" t="n">
        <x:f>O4094*(1-N4094)</x:f>
        <x:v>159.6</x:v>
      </x:c>
      <x:c r="Q4094" s="22" t="n">
        <x:v>32</x:v>
      </x:c>
      <x:c r="R4094" s="22" t="n">
        <x:f>Q4094*M4094</x:f>
        <x:v>128</x:v>
      </x:c>
      <x:c r="S4094" s="22" t="n">
        <x:f>P4094-R4094</x:f>
        <x:v>31.599999999999994</x:v>
      </x:c>
      <x:c r="T4094" t="str">
        <x:v>UPI</x:v>
      </x:c>
      <x:c r="U4094" t="str">
        <x:v>Pending</x:v>
      </x:c>
      <x:c r="V4094" t="str">
        <x:v>Cancelled</x:v>
      </x:c>
      <x:c r="W4094" t="n">
        <x:v>4</x:v>
      </x:c>
      <x:c r="X4094" t="str">
        <x:v>Cancelled Order</x:v>
      </x:c>
      <x:c r="Y4094" t="str">
        <x:v>Referral</x:v>
      </x:c>
    </x:row>
    <x:row r="4095">
      <x:c r="A4095" t="str">
        <x:v>O004094</x:v>
      </x:c>
      <x:c r="B4095" s="20" t="n">
        <x:v>45739</x:v>
      </x:c>
      <x:c r="C4095" t="str">
        <x:v>C0122</x:v>
      </x:c>
      <x:c r="D4095" t="str">
        <x:v>Namma Restaurant 122</x:v>
      </x:c>
      <x:c r="E4095" t="str">
        <x:v>Kirana</x:v>
      </x:c>
      <x:c r="F4095" t="str">
        <x:v>Hubballi</x:v>
      </x:c>
      <x:c r="G4095" t="str">
        <x:v>Sneha</x:v>
      </x:c>
      <x:c r="H4095" t="str">
        <x:v>P009</x:v>
      </x:c>
      <x:c r="I4095" t="str">
        <x:v>Groundnut Oil 5L</x:v>
      </x:c>
      <x:c r="J4095" t="str">
        <x:v>Edible Oil</x:v>
      </x:c>
      <x:c r="K4095" t="str">
        <x:v>Dhara</x:v>
      </x:c>
      <x:c r="L4095" s="22" t="n">
        <x:v>890</x:v>
      </x:c>
      <x:c r="M4095" t="n">
        <x:v>30</x:v>
      </x:c>
      <x:c r="N4095" s="24" t="n">
        <x:v>0.03</x:v>
      </x:c>
      <x:c r="O4095" s="22" t="n">
        <x:f>L4095*M4095</x:f>
        <x:v>26700</x:v>
      </x:c>
      <x:c r="P4095" s="22" t="n">
        <x:f>O4095*(1-N4095)</x:f>
        <x:v>25899</x:v>
      </x:c>
      <x:c r="Q4095" s="22" t="n">
        <x:v>810</x:v>
      </x:c>
      <x:c r="R4095" s="22" t="n">
        <x:f>Q4095*M4095</x:f>
        <x:v>24300</x:v>
      </x:c>
      <x:c r="S4095" s="22" t="n">
        <x:f>P4095-R4095</x:f>
        <x:v>1599</x:v>
      </x:c>
      <x:c r="T4095" t="str">
        <x:v>UPI</x:v>
      </x:c>
      <x:c r="U4095" t="str">
        <x:v>Paid</x:v>
      </x:c>
      <x:c r="V4095" t="str">
        <x:v>Delivered</x:v>
      </x:c>
      <x:c r="W4095" t="n">
        <x:v>3</x:v>
      </x:c>
      <x:c r="X4095" t="str">
        <x:v>Quality Issue</x:v>
      </x:c>
      <x:c r="Y4095" t="str">
        <x:v>Referral</x:v>
      </x:c>
    </x:row>
    <x:row r="4096">
      <x:c r="A4096" t="str">
        <x:v>O004095</x:v>
      </x:c>
      <x:c r="B4096" s="20" t="n">
        <x:v>46278</x:v>
      </x:c>
      <x:c r="C4096" t="str">
        <x:v>C0114</x:v>
      </x:c>
      <x:c r="D4096" t="str">
        <x:v>Annapurna Restaurant 114</x:v>
      </x:c>
      <x:c r="E4096" t="str">
        <x:v>Restaurant</x:v>
      </x:c>
      <x:c r="F4096" t="str">
        <x:v>Davanagere</x:v>
      </x:c>
      <x:c r="G4096" t="str">
        <x:v>Arjun</x:v>
      </x:c>
      <x:c r="H4096" t="str">
        <x:v>P040</x:v>
      </x:c>
      <x:c r="I4096" t="str">
        <x:v>Bread Loaf 400g</x:v>
      </x:c>
      <x:c r="J4096" t="str">
        <x:v>Bakery</x:v>
      </x:c>
      <x:c r="K4096" t="str">
        <x:v>Britannia</x:v>
      </x:c>
      <x:c r="L4096" s="22" t="n">
        <x:v>45</x:v>
      </x:c>
      <x:c r="M4096" t="n">
        <x:v>10</x:v>
      </x:c>
      <x:c r="N4096" s="24" t="n">
        <x:v>0.02</x:v>
      </x:c>
      <x:c r="O4096" s="22" t="n">
        <x:f>L4096*M4096</x:f>
        <x:v>450</x:v>
      </x:c>
      <x:c r="P4096" s="22" t="n">
        <x:f>O4096*(1-N4096)</x:f>
        <x:v>441</x:v>
      </x:c>
      <x:c r="Q4096" s="22" t="n">
        <x:v>35</x:v>
      </x:c>
      <x:c r="R4096" s="22" t="n">
        <x:f>Q4096*M4096</x:f>
        <x:v>350</x:v>
      </x:c>
      <x:c r="S4096" s="22" t="n">
        <x:f>P4096-R4096</x:f>
        <x:v>91</x:v>
      </x:c>
      <x:c r="T4096" t="str">
        <x:v>Cash</x:v>
      </x:c>
      <x:c r="U4096" t="str">
        <x:v>Paid</x:v>
      </x:c>
      <x:c r="V4096" t="str">
        <x:v>Cancelled</x:v>
      </x:c>
      <x:c r="W4096" t="n">
        <x:v>10</x:v>
      </x:c>
      <x:c r="X4096" t="str">
        <x:v>Cancelled Order</x:v>
      </x:c>
      <x:c r="Y4096" t="str">
        <x:v>Existing Customer</x:v>
      </x:c>
    </x:row>
    <x:row r="4097">
      <x:c r="A4097" t="str">
        <x:v>O004096</x:v>
      </x:c>
      <x:c r="B4097" s="20" t="n">
        <x:v>46062</x:v>
      </x:c>
      <x:c r="C4097" t="str">
        <x:v>C0120</x:v>
      </x:c>
      <x:c r="D4097" t="str">
        <x:v>Foodie Foods 120</x:v>
      </x:c>
      <x:c r="E4097" t="str">
        <x:v>Hotel</x:v>
      </x:c>
      <x:c r="F4097" t="str">
        <x:v>Hubballi</x:v>
      </x:c>
      <x:c r="G4097" t="str">
        <x:v>Arjun</x:v>
      </x:c>
      <x:c r="H4097" t="str">
        <x:v>P010</x:v>
      </x:c>
      <x:c r="I4097" t="str">
        <x:v>Sugar 25kg</x:v>
      </x:c>
      <x:c r="J4097" t="str">
        <x:v>Staples</x:v>
      </x:c>
      <x:c r="K4097" t="str">
        <x:v>Madhur</x:v>
      </x:c>
      <x:c r="L4097" s="22" t="n">
        <x:v>1190</x:v>
      </x:c>
      <x:c r="M4097" t="n">
        <x:v>12</x:v>
      </x:c>
      <x:c r="N4097" s="24" t="n">
        <x:v>0.03</x:v>
      </x:c>
      <x:c r="O4097" s="22" t="n">
        <x:f>L4097*M4097</x:f>
        <x:v>14280</x:v>
      </x:c>
      <x:c r="P4097" s="22" t="n">
        <x:f>O4097*(1-N4097)</x:f>
        <x:v>13851.6</x:v>
      </x:c>
      <x:c r="Q4097" s="22" t="n">
        <x:v>1080</x:v>
      </x:c>
      <x:c r="R4097" s="22" t="n">
        <x:f>Q4097*M4097</x:f>
        <x:v>12960</x:v>
      </x:c>
      <x:c r="S4097" s="22" t="n">
        <x:f>P4097-R4097</x:f>
        <x:v>891.6000000000004</x:v>
      </x:c>
      <x:c r="T4097" t="str">
        <x:v>Credit</x:v>
      </x:c>
      <x:c r="U4097" t="str">
        <x:v>Paid</x:v>
      </x:c>
      <x:c r="V4097" t="str">
        <x:v>Delivered</x:v>
      </x:c>
      <x:c r="W4097" t="n">
        <x:v>0</x:v>
      </x:c>
      <x:c r="X4097" t="str"/>
      <x:c r="Y4097" t="str">
        <x:v>Existing Customer</x:v>
      </x:c>
    </x:row>
    <x:row r="4098">
      <x:c r="A4098" t="str">
        <x:v>O004097</x:v>
      </x:c>
      <x:c r="B4098" s="20" t="n">
        <x:v>45739</x:v>
      </x:c>
      <x:c r="C4098" t="str">
        <x:v>C0069</x:v>
      </x:c>
      <x:c r="D4098" t="str">
        <x:v>Cafe Hotel 69</x:v>
      </x:c>
      <x:c r="E4098" t="str">
        <x:v>Supermarket</x:v>
      </x:c>
      <x:c r="F4098" t="str">
        <x:v>Bengaluru</x:v>
      </x:c>
      <x:c r="G4098" t="str">
        <x:v>Sneha</x:v>
      </x:c>
      <x:c r="H4098" t="str">
        <x:v>P039</x:v>
      </x:c>
      <x:c r="I4098" t="str">
        <x:v>Ice Cream 4L</x:v>
      </x:c>
      <x:c r="J4098" t="str">
        <x:v>Frozen</x:v>
      </x:c>
      <x:c r="K4098" t="str">
        <x:v>Amul</x:v>
      </x:c>
      <x:c r="L4098" s="22" t="n">
        <x:v>480</x:v>
      </x:c>
      <x:c r="M4098" t="n">
        <x:v>11</x:v>
      </x:c>
      <x:c r="N4098" s="24" t="n">
        <x:v>0.08</x:v>
      </x:c>
      <x:c r="O4098" s="22" t="n">
        <x:f>L4098*M4098</x:f>
        <x:v>5280</x:v>
      </x:c>
      <x:c r="P4098" s="22" t="n">
        <x:f>O4098*(1-N4098)</x:f>
        <x:v>4857.6</x:v>
      </x:c>
      <x:c r="Q4098" s="22" t="n">
        <x:v>420</x:v>
      </x:c>
      <x:c r="R4098" s="22" t="n">
        <x:f>Q4098*M4098</x:f>
        <x:v>4620</x:v>
      </x:c>
      <x:c r="S4098" s="22" t="n">
        <x:f>P4098-R4098</x:f>
        <x:v>237.60000000000036</x:v>
      </x:c>
      <x:c r="T4098" t="str">
        <x:v>Credit</x:v>
      </x:c>
      <x:c r="U4098" t="str">
        <x:v>Paid</x:v>
      </x:c>
      <x:c r="V4098" t="str">
        <x:v>Delayed</x:v>
      </x:c>
      <x:c r="W4098" t="n">
        <x:v>0</x:v>
      </x:c>
      <x:c r="X4098" t="str"/>
      <x:c r="Y4098" t="str">
        <x:v>WhatsApp</x:v>
      </x:c>
    </x:row>
    <x:row r="4099">
      <x:c r="A4099" t="str">
        <x:v>O004098</x:v>
      </x:c>
      <x:c r="B4099" s="20" t="n">
        <x:v>46050</x:v>
      </x:c>
      <x:c r="C4099" t="str">
        <x:v>C0128</x:v>
      </x:c>
      <x:c r="D4099" t="str">
        <x:v>Fresh Hotel 128</x:v>
      </x:c>
      <x:c r="E4099" t="str">
        <x:v>Kirana</x:v>
      </x:c>
      <x:c r="F4099" t="str">
        <x:v>Tumakuru</x:v>
      </x:c>
      <x:c r="G4099" t="str">
        <x:v>Priya</x:v>
      </x:c>
      <x:c r="H4099" t="str">
        <x:v>P035</x:v>
      </x:c>
      <x:c r="I4099" t="str">
        <x:v>Coriander Powder 1kg</x:v>
      </x:c>
      <x:c r="J4099" t="str">
        <x:v>Spices</x:v>
      </x:c>
      <x:c r="K4099" t="str">
        <x:v>Everest</x:v>
      </x:c>
      <x:c r="L4099" s="22" t="n">
        <x:v>280</x:v>
      </x:c>
      <x:c r="M4099" t="n">
        <x:v>40</x:v>
      </x:c>
      <x:c r="N4099" s="24" t="n">
        <x:v>0</x:v>
      </x:c>
      <x:c r="O4099" s="22" t="n">
        <x:f>L4099*M4099</x:f>
        <x:v>11200</x:v>
      </x:c>
      <x:c r="P4099" s="22" t="n">
        <x:f>O4099*(1-N4099)</x:f>
        <x:v>11200</x:v>
      </x:c>
      <x:c r="Q4099" s="22" t="n">
        <x:v>245</x:v>
      </x:c>
      <x:c r="R4099" s="22" t="n">
        <x:f>Q4099*M4099</x:f>
        <x:v>9800</x:v>
      </x:c>
      <x:c r="S4099" s="22" t="n">
        <x:f>P4099-R4099</x:f>
        <x:v>1400</x:v>
      </x:c>
      <x:c r="T4099" t="str">
        <x:v>Cash</x:v>
      </x:c>
      <x:c r="U4099" t="str">
        <x:v>Paid</x:v>
      </x:c>
      <x:c r="V4099" t="str">
        <x:v>Delivered</x:v>
      </x:c>
      <x:c r="W4099" t="n">
        <x:v>0</x:v>
      </x:c>
      <x:c r="X4099" t="str"/>
      <x:c r="Y4099" t="str">
        <x:v>Referral</x:v>
      </x:c>
    </x:row>
    <x:row r="4100">
      <x:c r="A4100" t="str">
        <x:v>O004099</x:v>
      </x:c>
      <x:c r="B4100" s="20" t="n">
        <x:v>46048</x:v>
      </x:c>
      <x:c r="C4100" t="str">
        <x:v>C0222</x:v>
      </x:c>
      <x:c r="D4100" t="str">
        <x:v>Sri Cafe 222</x:v>
      </x:c>
      <x:c r="E4100" t="str">
        <x:v>Kirana</x:v>
      </x:c>
      <x:c r="F4100" t="str">
        <x:v>Mangaluru</x:v>
      </x:c>
      <x:c r="G4100" t="str">
        <x:v>Arjun</x:v>
      </x:c>
      <x:c r="H4100" t="str">
        <x:v>P040</x:v>
      </x:c>
      <x:c r="I4100" t="str">
        <x:v>Bread Loaf 400g</x:v>
      </x:c>
      <x:c r="J4100" t="str">
        <x:v>Bakery</x:v>
      </x:c>
      <x:c r="K4100" t="str">
        <x:v>Britannia</x:v>
      </x:c>
      <x:c r="L4100" s="22" t="n">
        <x:v>45</x:v>
      </x:c>
      <x:c r="M4100" t="n">
        <x:v>21</x:v>
      </x:c>
      <x:c r="N4100" s="24" t="n">
        <x:v>0</x:v>
      </x:c>
      <x:c r="O4100" s="22" t="n">
        <x:f>L4100*M4100</x:f>
        <x:v>945</x:v>
      </x:c>
      <x:c r="P4100" s="22" t="n">
        <x:f>O4100*(1-N4100)</x:f>
        <x:v>945</x:v>
      </x:c>
      <x:c r="Q4100" s="22" t="n">
        <x:v>35</x:v>
      </x:c>
      <x:c r="R4100" s="22" t="n">
        <x:f>Q4100*M4100</x:f>
        <x:v>735</x:v>
      </x:c>
      <x:c r="S4100" s="22" t="n">
        <x:f>P4100-R4100</x:f>
        <x:v>210</x:v>
      </x:c>
      <x:c r="T4100" t="str">
        <x:v>Cash</x:v>
      </x:c>
      <x:c r="U4100" t="str">
        <x:v>Paid</x:v>
      </x:c>
      <x:c r="V4100" t="str">
        <x:v>Delivered</x:v>
      </x:c>
      <x:c r="W4100" t="n">
        <x:v>0</x:v>
      </x:c>
      <x:c r="X4100" t="str"/>
      <x:c r="Y4100" t="str">
        <x:v>Outbound Call</x:v>
      </x:c>
    </x:row>
    <x:row r="4101">
      <x:c r="A4101" t="str">
        <x:v>O004100</x:v>
      </x:c>
      <x:c r="B4101" s="20" t="n">
        <x:v>45676</x:v>
      </x:c>
      <x:c r="C4101" t="str">
        <x:v>C0013</x:v>
      </x:c>
      <x:c r="D4101" t="str">
        <x:v>Foodie Restaurant 13</x:v>
      </x:c>
      <x:c r="E4101" t="str">
        <x:v>Kirana</x:v>
      </x:c>
      <x:c r="F4101" t="str">
        <x:v>Mysuru</x:v>
      </x:c>
      <x:c r="G4101" t="str">
        <x:v>Sneha</x:v>
      </x:c>
      <x:c r="H4101" t="str">
        <x:v>P010</x:v>
      </x:c>
      <x:c r="I4101" t="str">
        <x:v>Sugar 25kg</x:v>
      </x:c>
      <x:c r="J4101" t="str">
        <x:v>Staples</x:v>
      </x:c>
      <x:c r="K4101" t="str">
        <x:v>Madhur</x:v>
      </x:c>
      <x:c r="L4101" s="22" t="n">
        <x:v>1190</x:v>
      </x:c>
      <x:c r="M4101" t="n">
        <x:v>1</x:v>
      </x:c>
      <x:c r="N4101" s="24" t="n">
        <x:v>0.02</x:v>
      </x:c>
      <x:c r="O4101" s="22" t="n">
        <x:f>L4101*M4101</x:f>
        <x:v>1190</x:v>
      </x:c>
      <x:c r="P4101" s="22" t="n">
        <x:f>O4101*(1-N4101)</x:f>
        <x:v>1166.2</x:v>
      </x:c>
      <x:c r="Q4101" s="22" t="n">
        <x:v>1080</x:v>
      </x:c>
      <x:c r="R4101" s="22" t="n">
        <x:f>Q4101*M4101</x:f>
        <x:v>1080</x:v>
      </x:c>
      <x:c r="S4101" s="22" t="n">
        <x:f>P4101-R4101</x:f>
        <x:v>86.20000000000005</x:v>
      </x:c>
      <x:c r="T4101" t="str">
        <x:v>UPI</x:v>
      </x:c>
      <x:c r="U4101" t="str">
        <x:v>Paid</x:v>
      </x:c>
      <x:c r="V4101" t="str">
        <x:v>Delivered</x:v>
      </x:c>
      <x:c r="W4101" t="n">
        <x:v>0</x:v>
      </x:c>
      <x:c r="X4101" t="str"/>
      <x:c r="Y4101" t="str">
        <x:v>Referral</x:v>
      </x:c>
    </x:row>
    <x:row r="4102">
      <x:c r="A4102" t="str">
        <x:v>O004101</x:v>
      </x:c>
      <x:c r="B4102" s="20" t="n">
        <x:v>45913</x:v>
      </x:c>
      <x:c r="C4102" t="str">
        <x:v>C0206</x:v>
      </x:c>
      <x:c r="D4102" t="str">
        <x:v>Grand Kitchen 206</x:v>
      </x:c>
      <x:c r="E4102" t="str">
        <x:v>Kirana</x:v>
      </x:c>
      <x:c r="F4102" t="str">
        <x:v>Mysuru</x:v>
      </x:c>
      <x:c r="G4102" t="str">
        <x:v>Arjun</x:v>
      </x:c>
      <x:c r="H4102" t="str">
        <x:v>P018</x:v>
      </x:c>
      <x:c r="I4102" t="str">
        <x:v>Paneer 1kg</x:v>
      </x:c>
      <x:c r="J4102" t="str">
        <x:v>Dairy</x:v>
      </x:c>
      <x:c r="K4102" t="str">
        <x:v>Milky Mist</x:v>
      </x:c>
      <x:c r="L4102" s="22" t="n">
        <x:v>410</x:v>
      </x:c>
      <x:c r="M4102" t="n">
        <x:v>16</x:v>
      </x:c>
      <x:c r="N4102" s="24" t="n">
        <x:v>0.03</x:v>
      </x:c>
      <x:c r="O4102" s="22" t="n">
        <x:f>L4102*M4102</x:f>
        <x:v>6560</x:v>
      </x:c>
      <x:c r="P4102" s="22" t="n">
        <x:f>O4102*(1-N4102)</x:f>
        <x:v>6363.2</x:v>
      </x:c>
      <x:c r="Q4102" s="22" t="n">
        <x:v>370</x:v>
      </x:c>
      <x:c r="R4102" s="22" t="n">
        <x:f>Q4102*M4102</x:f>
        <x:v>5920</x:v>
      </x:c>
      <x:c r="S4102" s="22" t="n">
        <x:f>P4102-R4102</x:f>
        <x:v>443.1999999999998</x:v>
      </x:c>
      <x:c r="T4102" t="str">
        <x:v>Bank Transfer</x:v>
      </x:c>
      <x:c r="U4102" t="str">
        <x:v>Paid</x:v>
      </x:c>
      <x:c r="V4102" t="str">
        <x:v>Delivered</x:v>
      </x:c>
      <x:c r="W4102" t="n">
        <x:v>0</x:v>
      </x:c>
      <x:c r="X4102" t="str"/>
      <x:c r="Y4102" t="str">
        <x:v>Outbound Call</x:v>
      </x:c>
    </x:row>
    <x:row r="4103">
      <x:c r="A4103" t="str">
        <x:v>O004102</x:v>
      </x:c>
      <x:c r="B4103" s="20" t="n">
        <x:v>46024</x:v>
      </x:c>
      <x:c r="C4103" t="str">
        <x:v>C0102</x:v>
      </x:c>
      <x:c r="D4103" t="str">
        <x:v>Annapurna Foods 102</x:v>
      </x:c>
      <x:c r="E4103" t="str">
        <x:v>Cafe</x:v>
      </x:c>
      <x:c r="F4103" t="str">
        <x:v>Davanagere</x:v>
      </x:c>
      <x:c r="G4103" t="str">
        <x:v>Ramesh</x:v>
      </x:c>
      <x:c r="H4103" t="str">
        <x:v>P015</x:v>
      </x:c>
      <x:c r="I4103" t="str">
        <x:v>Milk 1L</x:v>
      </x:c>
      <x:c r="J4103" t="str">
        <x:v>Dairy</x:v>
      </x:c>
      <x:c r="K4103" t="str">
        <x:v>Nandini</x:v>
      </x:c>
      <x:c r="L4103" s="22" t="n">
        <x:v>48</x:v>
      </x:c>
      <x:c r="M4103" t="n">
        <x:v>21</x:v>
      </x:c>
      <x:c r="N4103" s="24" t="n">
        <x:v>0</x:v>
      </x:c>
      <x:c r="O4103" s="22" t="n">
        <x:f>L4103*M4103</x:f>
        <x:v>1008</x:v>
      </x:c>
      <x:c r="P4103" s="22" t="n">
        <x:f>O4103*(1-N4103)</x:f>
        <x:v>1008</x:v>
      </x:c>
      <x:c r="Q4103" s="22" t="n">
        <x:v>43</x:v>
      </x:c>
      <x:c r="R4103" s="22" t="n">
        <x:f>Q4103*M4103</x:f>
        <x:v>903</x:v>
      </x:c>
      <x:c r="S4103" s="22" t="n">
        <x:f>P4103-R4103</x:f>
        <x:v>105</x:v>
      </x:c>
      <x:c r="T4103" t="str">
        <x:v>Bank Transfer</x:v>
      </x:c>
      <x:c r="U4103" t="str">
        <x:v>Paid</x:v>
      </x:c>
      <x:c r="V4103" t="str">
        <x:v>Delivered</x:v>
      </x:c>
      <x:c r="W4103" t="n">
        <x:v>0</x:v>
      </x:c>
      <x:c r="X4103" t="str"/>
      <x:c r="Y4103" t="str">
        <x:v>Outbound Call</x:v>
      </x:c>
    </x:row>
    <x:row r="4104">
      <x:c r="A4104" t="str">
        <x:v>O004103</x:v>
      </x:c>
      <x:c r="B4104" s="20" t="n">
        <x:v>46181</x:v>
      </x:c>
      <x:c r="C4104" t="str">
        <x:v>C0185</x:v>
      </x:c>
      <x:c r="D4104" t="str">
        <x:v>Mysore Foods 185</x:v>
      </x:c>
      <x:c r="E4104" t="str">
        <x:v>Restaurant</x:v>
      </x:c>
      <x:c r="F4104" t="str">
        <x:v>Mysuru</x:v>
      </x:c>
      <x:c r="G4104" t="str">
        <x:v>Sneha</x:v>
      </x:c>
      <x:c r="H4104" t="str">
        <x:v>P021</x:v>
      </x:c>
      <x:c r="I4104" t="str">
        <x:v>Instant Coffee 200g</x:v>
      </x:c>
      <x:c r="J4104" t="str">
        <x:v>Beverage</x:v>
      </x:c>
      <x:c r="K4104" t="str">
        <x:v>Nescafe</x:v>
      </x:c>
      <x:c r="L4104" s="22" t="n">
        <x:v>460</x:v>
      </x:c>
      <x:c r="M4104" t="n">
        <x:v>20</x:v>
      </x:c>
      <x:c r="N4104" s="24" t="n">
        <x:v>0.02</x:v>
      </x:c>
      <x:c r="O4104" s="22" t="n">
        <x:f>L4104*M4104</x:f>
        <x:v>9200</x:v>
      </x:c>
      <x:c r="P4104" s="22" t="n">
        <x:f>O4104*(1-N4104)</x:f>
        <x:v>9016</x:v>
      </x:c>
      <x:c r="Q4104" s="22" t="n">
        <x:v>410</x:v>
      </x:c>
      <x:c r="R4104" s="22" t="n">
        <x:f>Q4104*M4104</x:f>
        <x:v>8200</x:v>
      </x:c>
      <x:c r="S4104" s="22" t="n">
        <x:f>P4104-R4104</x:f>
        <x:v>816</x:v>
      </x:c>
      <x:c r="T4104" t="str">
        <x:v>Credit</x:v>
      </x:c>
      <x:c r="U4104" t="str">
        <x:v>Pending</x:v>
      </x:c>
      <x:c r="V4104" t="str">
        <x:v>Delivered</x:v>
      </x:c>
      <x:c r="W4104" t="n">
        <x:v>0</x:v>
      </x:c>
      <x:c r="X4104" t="str"/>
      <x:c r="Y4104" t="str">
        <x:v>WhatsApp</x:v>
      </x:c>
    </x:row>
    <x:row r="4105">
      <x:c r="A4105" t="str">
        <x:v>O004104</x:v>
      </x:c>
      <x:c r="B4105" s="20" t="n">
        <x:v>45725</x:v>
      </x:c>
      <x:c r="C4105" t="str">
        <x:v>C0012</x:v>
      </x:c>
      <x:c r="D4105" t="str">
        <x:v>Sagar Canteen 12</x:v>
      </x:c>
      <x:c r="E4105" t="str">
        <x:v>Supermarket</x:v>
      </x:c>
      <x:c r="F4105" t="str">
        <x:v>Mysuru</x:v>
      </x:c>
      <x:c r="G4105" t="str">
        <x:v>Priya</x:v>
      </x:c>
      <x:c r="H4105" t="str">
        <x:v>P047</x:v>
      </x:c>
      <x:c r="I4105" t="str">
        <x:v>Tomato 25kg</x:v>
      </x:c>
      <x:c r="J4105" t="str">
        <x:v>Fresh Produce</x:v>
      </x:c>
      <x:c r="K4105" t="str">
        <x:v>Local Market</x:v>
      </x:c>
      <x:c r="L4105" s="22" t="n">
        <x:v>950</x:v>
      </x:c>
      <x:c r="M4105" t="n">
        <x:v>30</x:v>
      </x:c>
      <x:c r="N4105" s="24" t="n">
        <x:v>0.02</x:v>
      </x:c>
      <x:c r="O4105" s="22" t="n">
        <x:f>L4105*M4105</x:f>
        <x:v>28500</x:v>
      </x:c>
      <x:c r="P4105" s="22" t="n">
        <x:f>O4105*(1-N4105)</x:f>
        <x:v>27930</x:v>
      </x:c>
      <x:c r="Q4105" s="22" t="n">
        <x:v>810</x:v>
      </x:c>
      <x:c r="R4105" s="22" t="n">
        <x:f>Q4105*M4105</x:f>
        <x:v>24300</x:v>
      </x:c>
      <x:c r="S4105" s="22" t="n">
        <x:f>P4105-R4105</x:f>
        <x:v>3630</x:v>
      </x:c>
      <x:c r="T4105" t="str">
        <x:v>Bank Transfer</x:v>
      </x:c>
      <x:c r="U4105" t="str">
        <x:v>Paid</x:v>
      </x:c>
      <x:c r="V4105" t="str">
        <x:v>Delivered</x:v>
      </x:c>
      <x:c r="W4105" t="n">
        <x:v>0</x:v>
      </x:c>
      <x:c r="X4105" t="str"/>
      <x:c r="Y4105" t="str">
        <x:v>Outbound Call</x:v>
      </x:c>
    </x:row>
    <x:row r="4106">
      <x:c r="A4106" t="str">
        <x:v>O004105</x:v>
      </x:c>
      <x:c r="B4106" s="20" t="n">
        <x:v>45847</x:v>
      </x:c>
      <x:c r="C4106" t="str">
        <x:v>C0060</x:v>
      </x:c>
      <x:c r="D4106" t="str">
        <x:v>Sagar Stores 60</x:v>
      </x:c>
      <x:c r="E4106" t="str">
        <x:v>Cafe</x:v>
      </x:c>
      <x:c r="F4106" t="str">
        <x:v>Hubballi</x:v>
      </x:c>
      <x:c r="G4106" t="str">
        <x:v>Imran</x:v>
      </x:c>
      <x:c r="H4106" t="str">
        <x:v>P001</x:v>
      </x:c>
      <x:c r="I4106" t="str">
        <x:v>Steam Rice 25kg</x:v>
      </x:c>
      <x:c r="J4106" t="str">
        <x:v>Staples</x:v>
      </x:c>
      <x:c r="K4106" t="str">
        <x:v>Aishwarya</x:v>
      </x:c>
      <x:c r="L4106" s="22" t="n">
        <x:v>1180</x:v>
      </x:c>
      <x:c r="M4106" t="n">
        <x:v>12</x:v>
      </x:c>
      <x:c r="N4106" s="24" t="n">
        <x:v>0.08</x:v>
      </x:c>
      <x:c r="O4106" s="22" t="n">
        <x:f>L4106*M4106</x:f>
        <x:v>14160</x:v>
      </x:c>
      <x:c r="P4106" s="22" t="n">
        <x:f>O4106*(1-N4106)</x:f>
        <x:v>13027.2</x:v>
      </x:c>
      <x:c r="Q4106" s="22" t="n">
        <x:v>1040</x:v>
      </x:c>
      <x:c r="R4106" s="22" t="n">
        <x:f>Q4106*M4106</x:f>
        <x:v>12480</x:v>
      </x:c>
      <x:c r="S4106" s="22" t="n">
        <x:f>P4106-R4106</x:f>
        <x:v>547.2000000000007</x:v>
      </x:c>
      <x:c r="T4106" t="str">
        <x:v>Credit</x:v>
      </x:c>
      <x:c r="U4106" t="str">
        <x:v>Paid</x:v>
      </x:c>
      <x:c r="V4106" t="str">
        <x:v>Delivered</x:v>
      </x:c>
      <x:c r="W4106" t="n">
        <x:v>0</x:v>
      </x:c>
      <x:c r="X4106" t="str"/>
      <x:c r="Y4106" t="str">
        <x:v>Existing Customer</x:v>
      </x:c>
    </x:row>
    <x:row r="4107">
      <x:c r="A4107" t="str">
        <x:v>O004106</x:v>
      </x:c>
      <x:c r="B4107" s="20" t="n">
        <x:v>45703</x:v>
      </x:c>
      <x:c r="C4107" t="str">
        <x:v>C0163</x:v>
      </x:c>
      <x:c r="D4107" t="str">
        <x:v>Shree Kitchen 163</x:v>
      </x:c>
      <x:c r="E4107" t="str">
        <x:v>Kirana</x:v>
      </x:c>
      <x:c r="F4107" t="str">
        <x:v>Mysuru</x:v>
      </x:c>
      <x:c r="G4107" t="str">
        <x:v>Priya</x:v>
      </x:c>
      <x:c r="H4107" t="str">
        <x:v>P043</x:v>
      </x:c>
      <x:c r="I4107" t="str">
        <x:v>Chicken Breast 1kg</x:v>
      </x:c>
      <x:c r="J4107" t="str">
        <x:v>Protein</x:v>
      </x:c>
      <x:c r="K4107" t="str">
        <x:v>FreshToHome</x:v>
      </x:c>
      <x:c r="L4107" s="22" t="n">
        <x:v>260</x:v>
      </x:c>
      <x:c r="M4107" t="n">
        <x:v>6</x:v>
      </x:c>
      <x:c r="N4107" s="24" t="n">
        <x:v>0.05</x:v>
      </x:c>
      <x:c r="O4107" s="22" t="n">
        <x:f>L4107*M4107</x:f>
        <x:v>1560</x:v>
      </x:c>
      <x:c r="P4107" s="22" t="n">
        <x:f>O4107*(1-N4107)</x:f>
        <x:v>1482</x:v>
      </x:c>
      <x:c r="Q4107" s="22" t="n">
        <x:v>235</x:v>
      </x:c>
      <x:c r="R4107" s="22" t="n">
        <x:f>Q4107*M4107</x:f>
        <x:v>1410</x:v>
      </x:c>
      <x:c r="S4107" s="22" t="n">
        <x:f>P4107-R4107</x:f>
        <x:v>72</x:v>
      </x:c>
      <x:c r="T4107" t="str">
        <x:v>UPI</x:v>
      </x:c>
      <x:c r="U4107" t="str">
        <x:v>Paid</x:v>
      </x:c>
      <x:c r="V4107" t="str">
        <x:v>Delivered</x:v>
      </x:c>
      <x:c r="W4107" t="n">
        <x:v>0</x:v>
      </x:c>
      <x:c r="X4107" t="str"/>
      <x:c r="Y4107" t="str">
        <x:v>WhatsApp</x:v>
      </x:c>
    </x:row>
    <x:row r="4108">
      <x:c r="A4108" t="str">
        <x:v>O004107</x:v>
      </x:c>
      <x:c r="B4108" s="20" t="n">
        <x:v>45819</x:v>
      </x:c>
      <x:c r="C4108" t="str">
        <x:v>C0212</x:v>
      </x:c>
      <x:c r="D4108" t="str">
        <x:v>Classic Restaurant 212</x:v>
      </x:c>
      <x:c r="E4108" t="str">
        <x:v>Restaurant</x:v>
      </x:c>
      <x:c r="F4108" t="str">
        <x:v>Mysuru</x:v>
      </x:c>
      <x:c r="G4108" t="str">
        <x:v>Vikram</x:v>
      </x:c>
      <x:c r="H4108" t="str">
        <x:v>P036</x:v>
      </x:c>
      <x:c r="I4108" t="str">
        <x:v>Garam Masala 500g</x:v>
      </x:c>
      <x:c r="J4108" t="str">
        <x:v>Spices</x:v>
      </x:c>
      <x:c r="K4108" t="str">
        <x:v>MDH</x:v>
      </x:c>
      <x:c r="L4108" s="22" t="n">
        <x:v>265</x:v>
      </x:c>
      <x:c r="M4108" t="n">
        <x:v>11</x:v>
      </x:c>
      <x:c r="N4108" s="24" t="n">
        <x:v>0.08</x:v>
      </x:c>
      <x:c r="O4108" s="22" t="n">
        <x:f>L4108*M4108</x:f>
        <x:v>2915</x:v>
      </x:c>
      <x:c r="P4108" s="22" t="n">
        <x:f>O4108*(1-N4108)</x:f>
        <x:v>2681.8</x:v>
      </x:c>
      <x:c r="Q4108" s="22" t="n">
        <x:v>230</x:v>
      </x:c>
      <x:c r="R4108" s="22" t="n">
        <x:f>Q4108*M4108</x:f>
        <x:v>2530</x:v>
      </x:c>
      <x:c r="S4108" s="22" t="n">
        <x:f>P4108-R4108</x:f>
        <x:v>151.80000000000018</x:v>
      </x:c>
      <x:c r="T4108" t="str">
        <x:v>Cash</x:v>
      </x:c>
      <x:c r="U4108" t="str">
        <x:v>Paid</x:v>
      </x:c>
      <x:c r="V4108" t="str">
        <x:v>Delivered</x:v>
      </x:c>
      <x:c r="W4108" t="n">
        <x:v>0</x:v>
      </x:c>
      <x:c r="X4108" t="str"/>
      <x:c r="Y4108" t="str">
        <x:v>Referral</x:v>
      </x:c>
    </x:row>
    <x:row r="4109">
      <x:c r="A4109" t="str">
        <x:v>O004108</x:v>
      </x:c>
      <x:c r="B4109" s="20" t="n">
        <x:v>46265</x:v>
      </x:c>
      <x:c r="C4109" t="str">
        <x:v>C0086</x:v>
      </x:c>
      <x:c r="D4109" t="str">
        <x:v>Foodie Canteen 86</x:v>
      </x:c>
      <x:c r="E4109" t="str">
        <x:v>Kirana</x:v>
      </x:c>
      <x:c r="F4109" t="str">
        <x:v>Hubballi</x:v>
      </x:c>
      <x:c r="G4109" t="str">
        <x:v>Sneha</x:v>
      </x:c>
      <x:c r="H4109" t="str">
        <x:v>P018</x:v>
      </x:c>
      <x:c r="I4109" t="str">
        <x:v>Paneer 1kg</x:v>
      </x:c>
      <x:c r="J4109" t="str">
        <x:v>Dairy</x:v>
      </x:c>
      <x:c r="K4109" t="str">
        <x:v>Milky Mist</x:v>
      </x:c>
      <x:c r="L4109" s="22" t="n">
        <x:v>410</x:v>
      </x:c>
      <x:c r="M4109" t="n">
        <x:v>28</x:v>
      </x:c>
      <x:c r="N4109" s="24" t="n">
        <x:v>0.08</x:v>
      </x:c>
      <x:c r="O4109" s="22" t="n">
        <x:f>L4109*M4109</x:f>
        <x:v>11480</x:v>
      </x:c>
      <x:c r="P4109" s="22" t="n">
        <x:f>O4109*(1-N4109)</x:f>
        <x:v>10561.6</x:v>
      </x:c>
      <x:c r="Q4109" s="22" t="n">
        <x:v>370</x:v>
      </x:c>
      <x:c r="R4109" s="22" t="n">
        <x:f>Q4109*M4109</x:f>
        <x:v>10360</x:v>
      </x:c>
      <x:c r="S4109" s="22" t="n">
        <x:f>P4109-R4109</x:f>
        <x:v>201.60000000000036</x:v>
      </x:c>
      <x:c r="T4109" t="str">
        <x:v>UPI</x:v>
      </x:c>
      <x:c r="U4109" t="str">
        <x:v>Paid</x:v>
      </x:c>
      <x:c r="V4109" t="str">
        <x:v>Cancelled</x:v>
      </x:c>
      <x:c r="W4109" t="n">
        <x:v>28</x:v>
      </x:c>
      <x:c r="X4109" t="str">
        <x:v>Cancelled Order</x:v>
      </x:c>
      <x:c r="Y4109" t="str">
        <x:v>Field Visit</x:v>
      </x:c>
    </x:row>
    <x:row r="4110">
      <x:c r="A4110" t="str">
        <x:v>O004109</x:v>
      </x:c>
      <x:c r="B4110" s="20" t="n">
        <x:v>45913</x:v>
      </x:c>
      <x:c r="C4110" t="str">
        <x:v>C0250</x:v>
      </x:c>
      <x:c r="D4110" t="str">
        <x:v>Namma Hotel 250</x:v>
      </x:c>
      <x:c r="E4110" t="str">
        <x:v>Cafe</x:v>
      </x:c>
      <x:c r="F4110" t="str">
        <x:v>Bengaluru</x:v>
      </x:c>
      <x:c r="G4110" t="str">
        <x:v>Sneha</x:v>
      </x:c>
      <x:c r="H4110" t="str">
        <x:v>P018</x:v>
      </x:c>
      <x:c r="I4110" t="str">
        <x:v>Paneer 1kg</x:v>
      </x:c>
      <x:c r="J4110" t="str">
        <x:v>Dairy</x:v>
      </x:c>
      <x:c r="K4110" t="str">
        <x:v>Milky Mist</x:v>
      </x:c>
      <x:c r="L4110" s="22" t="n">
        <x:v>410</x:v>
      </x:c>
      <x:c r="M4110" t="n">
        <x:v>22</x:v>
      </x:c>
      <x:c r="N4110" s="24" t="n">
        <x:v>0.03</x:v>
      </x:c>
      <x:c r="O4110" s="22" t="n">
        <x:f>L4110*M4110</x:f>
        <x:v>9020</x:v>
      </x:c>
      <x:c r="P4110" s="22" t="n">
        <x:f>O4110*(1-N4110)</x:f>
        <x:v>8749.4</x:v>
      </x:c>
      <x:c r="Q4110" s="22" t="n">
        <x:v>370</x:v>
      </x:c>
      <x:c r="R4110" s="22" t="n">
        <x:f>Q4110*M4110</x:f>
        <x:v>8140</x:v>
      </x:c>
      <x:c r="S4110" s="22" t="n">
        <x:f>P4110-R4110</x:f>
        <x:v>609.3999999999996</x:v>
      </x:c>
      <x:c r="T4110" t="str">
        <x:v>UPI</x:v>
      </x:c>
      <x:c r="U4110" t="str">
        <x:v>Pending</x:v>
      </x:c>
      <x:c r="V4110" t="str">
        <x:v>Delivered</x:v>
      </x:c>
      <x:c r="W4110" t="n">
        <x:v>0</x:v>
      </x:c>
      <x:c r="X4110" t="str"/>
      <x:c r="Y4110" t="str">
        <x:v>Existing Customer</x:v>
      </x:c>
    </x:row>
    <x:row r="4111">
      <x:c r="A4111" t="str">
        <x:v>O004110</x:v>
      </x:c>
      <x:c r="B4111" s="20" t="n">
        <x:v>45968</x:v>
      </x:c>
      <x:c r="C4111" t="str">
        <x:v>C0008</x:v>
      </x:c>
      <x:c r="D4111" t="str">
        <x:v>Namma Kitchen 8</x:v>
      </x:c>
      <x:c r="E4111" t="str">
        <x:v>Kirana</x:v>
      </x:c>
      <x:c r="F4111" t="str">
        <x:v>Bengaluru</x:v>
      </x:c>
      <x:c r="G4111" t="str">
        <x:v>Vikram</x:v>
      </x:c>
      <x:c r="H4111" t="str">
        <x:v>P003</x:v>
      </x:c>
      <x:c r="I4111" t="str">
        <x:v>Basmati Rice 5kg</x:v>
      </x:c>
      <x:c r="J4111" t="str">
        <x:v>Staples</x:v>
      </x:c>
      <x:c r="K4111" t="str">
        <x:v>India Gate</x:v>
      </x:c>
      <x:c r="L4111" s="22" t="n">
        <x:v>690</x:v>
      </x:c>
      <x:c r="M4111" t="n">
        <x:v>22</x:v>
      </x:c>
      <x:c r="N4111" s="24" t="n">
        <x:v>0</x:v>
      </x:c>
      <x:c r="O4111" s="22" t="n">
        <x:f>L4111*M4111</x:f>
        <x:v>15180</x:v>
      </x:c>
      <x:c r="P4111" s="22" t="n">
        <x:f>O4111*(1-N4111)</x:f>
        <x:v>15180</x:v>
      </x:c>
      <x:c r="Q4111" s="22" t="n">
        <x:v>610</x:v>
      </x:c>
      <x:c r="R4111" s="22" t="n">
        <x:f>Q4111*M4111</x:f>
        <x:v>13420</x:v>
      </x:c>
      <x:c r="S4111" s="22" t="n">
        <x:f>P4111-R4111</x:f>
        <x:v>1760</x:v>
      </x:c>
      <x:c r="T4111" t="str">
        <x:v>Cash</x:v>
      </x:c>
      <x:c r="U4111" t="str">
        <x:v>Pending</x:v>
      </x:c>
      <x:c r="V4111" t="str">
        <x:v>Delivered</x:v>
      </x:c>
      <x:c r="W4111" t="n">
        <x:v>0</x:v>
      </x:c>
      <x:c r="X4111" t="str"/>
      <x:c r="Y4111" t="str">
        <x:v>Existing Customer</x:v>
      </x:c>
    </x:row>
    <x:row r="4112">
      <x:c r="A4112" t="str">
        <x:v>O004111</x:v>
      </x:c>
      <x:c r="B4112" s="20" t="n">
        <x:v>46074</x:v>
      </x:c>
      <x:c r="C4112" t="str">
        <x:v>C0157</x:v>
      </x:c>
      <x:c r="D4112" t="str">
        <x:v>Fresh Canteen 157</x:v>
      </x:c>
      <x:c r="E4112" t="str">
        <x:v>Kirana</x:v>
      </x:c>
      <x:c r="F4112" t="str">
        <x:v>Mangaluru</x:v>
      </x:c>
      <x:c r="G4112" t="str">
        <x:v>Priya</x:v>
      </x:c>
      <x:c r="H4112" t="str">
        <x:v>P041</x:v>
      </x:c>
      <x:c r="I4112" t="str">
        <x:v>Burger Bun 6pc</x:v>
      </x:c>
      <x:c r="J4112" t="str">
        <x:v>Bakery</x:v>
      </x:c>
      <x:c r="K4112" t="str">
        <x:v>Modern</x:v>
      </x:c>
      <x:c r="L4112" s="22" t="n">
        <x:v>42</x:v>
      </x:c>
      <x:c r="M4112" t="n">
        <x:v>4</x:v>
      </x:c>
      <x:c r="N4112" s="24" t="n">
        <x:v>0.05</x:v>
      </x:c>
      <x:c r="O4112" s="22" t="n">
        <x:f>L4112*M4112</x:f>
        <x:v>168</x:v>
      </x:c>
      <x:c r="P4112" s="22" t="n">
        <x:f>O4112*(1-N4112)</x:f>
        <x:v>159.6</x:v>
      </x:c>
      <x:c r="Q4112" s="22" t="n">
        <x:v>32</x:v>
      </x:c>
      <x:c r="R4112" s="22" t="n">
        <x:f>Q4112*M4112</x:f>
        <x:v>128</x:v>
      </x:c>
      <x:c r="S4112" s="22" t="n">
        <x:f>P4112-R4112</x:f>
        <x:v>31.599999999999994</x:v>
      </x:c>
      <x:c r="T4112" t="str">
        <x:v>Bank Transfer</x:v>
      </x:c>
      <x:c r="U4112" t="str">
        <x:v>Paid</x:v>
      </x:c>
      <x:c r="V4112" t="str">
        <x:v>Delayed</x:v>
      </x:c>
      <x:c r="W4112" t="n">
        <x:v>0</x:v>
      </x:c>
      <x:c r="X4112" t="str"/>
      <x:c r="Y4112" t="str">
        <x:v>Referral</x:v>
      </x:c>
    </x:row>
    <x:row r="4113">
      <x:c r="A4113" t="str">
        <x:v>O004112</x:v>
      </x:c>
      <x:c r="B4113" s="20" t="n">
        <x:v>46164</x:v>
      </x:c>
      <x:c r="C4113" t="str">
        <x:v>C0180</x:v>
      </x:c>
      <x:c r="D4113" t="str">
        <x:v>Sri Kitchen 180</x:v>
      </x:c>
      <x:c r="E4113" t="str">
        <x:v>Kirana</x:v>
      </x:c>
      <x:c r="F4113" t="str">
        <x:v>Mysuru</x:v>
      </x:c>
      <x:c r="G4113" t="str">
        <x:v>Vikram</x:v>
      </x:c>
      <x:c r="H4113" t="str">
        <x:v>P018</x:v>
      </x:c>
      <x:c r="I4113" t="str">
        <x:v>Paneer 1kg</x:v>
      </x:c>
      <x:c r="J4113" t="str">
        <x:v>Dairy</x:v>
      </x:c>
      <x:c r="K4113" t="str">
        <x:v>Milky Mist</x:v>
      </x:c>
      <x:c r="L4113" s="22" t="n">
        <x:v>410</x:v>
      </x:c>
      <x:c r="M4113" t="n">
        <x:v>32</x:v>
      </x:c>
      <x:c r="N4113" s="24" t="n">
        <x:v>0.05</x:v>
      </x:c>
      <x:c r="O4113" s="22" t="n">
        <x:f>L4113*M4113</x:f>
        <x:v>13120</x:v>
      </x:c>
      <x:c r="P4113" s="22" t="n">
        <x:f>O4113*(1-N4113)</x:f>
        <x:v>12464</x:v>
      </x:c>
      <x:c r="Q4113" s="22" t="n">
        <x:v>370</x:v>
      </x:c>
      <x:c r="R4113" s="22" t="n">
        <x:f>Q4113*M4113</x:f>
        <x:v>11840</x:v>
      </x:c>
      <x:c r="S4113" s="22" t="n">
        <x:f>P4113-R4113</x:f>
        <x:v>624</x:v>
      </x:c>
      <x:c r="T4113" t="str">
        <x:v>Credit</x:v>
      </x:c>
      <x:c r="U4113" t="str">
        <x:v>Paid</x:v>
      </x:c>
      <x:c r="V4113" t="str">
        <x:v>Delivered</x:v>
      </x:c>
      <x:c r="W4113" t="n">
        <x:v>0</x:v>
      </x:c>
      <x:c r="X4113" t="str"/>
      <x:c r="Y4113" t="str">
        <x:v>Existing Customer</x:v>
      </x:c>
    </x:row>
    <x:row r="4114">
      <x:c r="A4114" t="str">
        <x:v>O004113</x:v>
      </x:c>
      <x:c r="B4114" s="20" t="n">
        <x:v>45811</x:v>
      </x:c>
      <x:c r="C4114" t="str">
        <x:v>C0086</x:v>
      </x:c>
      <x:c r="D4114" t="str">
        <x:v>Foodie Canteen 86</x:v>
      </x:c>
      <x:c r="E4114" t="str">
        <x:v>Kirana</x:v>
      </x:c>
      <x:c r="F4114" t="str">
        <x:v>Hubballi</x:v>
      </x:c>
      <x:c r="G4114" t="str">
        <x:v>Sneha</x:v>
      </x:c>
      <x:c r="H4114" t="str">
        <x:v>P025</x:v>
      </x:c>
      <x:c r="I4114" t="str">
        <x:v>Potato Chips 100g</x:v>
      </x:c>
      <x:c r="J4114" t="str">
        <x:v>Snacks</x:v>
      </x:c>
      <x:c r="K4114" t="str">
        <x:v>Lay's</x:v>
      </x:c>
      <x:c r="L4114" s="22" t="n">
        <x:v>35</x:v>
      </x:c>
      <x:c r="M4114" t="n">
        <x:v>21</x:v>
      </x:c>
      <x:c r="N4114" s="24" t="n">
        <x:v>0.03</x:v>
      </x:c>
      <x:c r="O4114" s="22" t="n">
        <x:f>L4114*M4114</x:f>
        <x:v>735</x:v>
      </x:c>
      <x:c r="P4114" s="22" t="n">
        <x:f>O4114*(1-N4114)</x:f>
        <x:v>712.9499999999999</x:v>
      </x:c>
      <x:c r="Q4114" s="22" t="n">
        <x:v>27</x:v>
      </x:c>
      <x:c r="R4114" s="22" t="n">
        <x:f>Q4114*M4114</x:f>
        <x:v>567</x:v>
      </x:c>
      <x:c r="S4114" s="22" t="n">
        <x:f>P4114-R4114</x:f>
        <x:v>145.94999999999993</x:v>
      </x:c>
      <x:c r="T4114" t="str">
        <x:v>UPI</x:v>
      </x:c>
      <x:c r="U4114" t="str">
        <x:v>Pending</x:v>
      </x:c>
      <x:c r="V4114" t="str">
        <x:v>Delivered</x:v>
      </x:c>
      <x:c r="W4114" t="n">
        <x:v>0</x:v>
      </x:c>
      <x:c r="X4114" t="str"/>
      <x:c r="Y4114" t="str">
        <x:v>WhatsApp</x:v>
      </x:c>
    </x:row>
    <x:row r="4115">
      <x:c r="A4115" t="str">
        <x:v>O004114</x:v>
      </x:c>
      <x:c r="B4115" s="20" t="n">
        <x:v>46054</x:v>
      </x:c>
      <x:c r="C4115" t="str">
        <x:v>C0194</x:v>
      </x:c>
      <x:c r="D4115" t="str">
        <x:v>Royal Hotel 194</x:v>
      </x:c>
      <x:c r="E4115" t="str">
        <x:v>Kirana</x:v>
      </x:c>
      <x:c r="F4115" t="str">
        <x:v>Mysuru</x:v>
      </x:c>
      <x:c r="G4115" t="str">
        <x:v>Megha</x:v>
      </x:c>
      <x:c r="H4115" t="str">
        <x:v>P004</x:v>
      </x:c>
      <x:c r="I4115" t="str">
        <x:v>Toor Dal 5kg</x:v>
      </x:c>
      <x:c r="J4115" t="str">
        <x:v>Pulses</x:v>
      </x:c>
      <x:c r="K4115" t="str">
        <x:v>Tata Sampann</x:v>
      </x:c>
      <x:c r="L4115" s="22" t="n">
        <x:v>780</x:v>
      </x:c>
      <x:c r="M4115" t="n">
        <x:v>38</x:v>
      </x:c>
      <x:c r="N4115" s="24" t="n">
        <x:v>0.08</x:v>
      </x:c>
      <x:c r="O4115" s="22" t="n">
        <x:f>L4115*M4115</x:f>
        <x:v>29640</x:v>
      </x:c>
      <x:c r="P4115" s="22" t="n">
        <x:f>O4115*(1-N4115)</x:f>
        <x:v>27268.800000000003</x:v>
      </x:c>
      <x:c r="Q4115" s="22" t="n">
        <x:v>695</x:v>
      </x:c>
      <x:c r="R4115" s="22" t="n">
        <x:f>Q4115*M4115</x:f>
        <x:v>26410</x:v>
      </x:c>
      <x:c r="S4115" s="22" t="n">
        <x:f>P4115-R4115</x:f>
        <x:v>858.8000000000029</x:v>
      </x:c>
      <x:c r="T4115" t="str">
        <x:v>Credit</x:v>
      </x:c>
      <x:c r="U4115" t="str">
        <x:v>Pending</x:v>
      </x:c>
      <x:c r="V4115" t="str">
        <x:v>Cancelled</x:v>
      </x:c>
      <x:c r="W4115" t="n">
        <x:v>38</x:v>
      </x:c>
      <x:c r="X4115" t="str">
        <x:v>Cancelled Order</x:v>
      </x:c>
      <x:c r="Y4115" t="str">
        <x:v>WhatsApp</x:v>
      </x:c>
    </x:row>
    <x:row r="4116">
      <x:c r="A4116" t="str">
        <x:v>O004115</x:v>
      </x:c>
      <x:c r="B4116" s="20" t="n">
        <x:v>46188</x:v>
      </x:c>
      <x:c r="C4116" t="str">
        <x:v>C0067</x:v>
      </x:c>
      <x:c r="D4116" t="str">
        <x:v>Royal Restaurant 67</x:v>
      </x:c>
      <x:c r="E4116" t="str">
        <x:v>Supermarket</x:v>
      </x:c>
      <x:c r="F4116" t="str">
        <x:v>Tumakuru</x:v>
      </x:c>
      <x:c r="G4116" t="str">
        <x:v>Sneha</x:v>
      </x:c>
      <x:c r="H4116" t="str">
        <x:v>P007</x:v>
      </x:c>
      <x:c r="I4116" t="str">
        <x:v>Sunflower Oil 15L</x:v>
      </x:c>
      <x:c r="J4116" t="str">
        <x:v>Edible Oil</x:v>
      </x:c>
      <x:c r="K4116" t="str">
        <x:v>Fortune</x:v>
      </x:c>
      <x:c r="L4116" s="22" t="n">
        <x:v>1980</x:v>
      </x:c>
      <x:c r="M4116" t="n">
        <x:v>8</x:v>
      </x:c>
      <x:c r="N4116" s="24" t="n">
        <x:v>0.05</x:v>
      </x:c>
      <x:c r="O4116" s="22" t="n">
        <x:f>L4116*M4116</x:f>
        <x:v>15840</x:v>
      </x:c>
      <x:c r="P4116" s="22" t="n">
        <x:f>O4116*(1-N4116)</x:f>
        <x:v>15048</x:v>
      </x:c>
      <x:c r="Q4116" s="22" t="n">
        <x:v>1810</x:v>
      </x:c>
      <x:c r="R4116" s="22" t="n">
        <x:f>Q4116*M4116</x:f>
        <x:v>14480</x:v>
      </x:c>
      <x:c r="S4116" s="22" t="n">
        <x:f>P4116-R4116</x:f>
        <x:v>568</x:v>
      </x:c>
      <x:c r="T4116" t="str">
        <x:v>UPI</x:v>
      </x:c>
      <x:c r="U4116" t="str">
        <x:v>Pending</x:v>
      </x:c>
      <x:c r="V4116" t="str">
        <x:v>Delivered</x:v>
      </x:c>
      <x:c r="W4116" t="n">
        <x:v>0</x:v>
      </x:c>
      <x:c r="X4116" t="str"/>
      <x:c r="Y4116" t="str">
        <x:v>Outbound Call</x:v>
      </x:c>
    </x:row>
    <x:row r="4117">
      <x:c r="A4117" t="str">
        <x:v>O004116</x:v>
      </x:c>
      <x:c r="B4117" s="20" t="n">
        <x:v>45679</x:v>
      </x:c>
      <x:c r="C4117" t="str">
        <x:v>C0095</x:v>
      </x:c>
      <x:c r="D4117" t="str">
        <x:v>Spice Restaurant 95</x:v>
      </x:c>
      <x:c r="E4117" t="str">
        <x:v>Restaurant</x:v>
      </x:c>
      <x:c r="F4117" t="str">
        <x:v>Bengaluru</x:v>
      </x:c>
      <x:c r="G4117" t="str">
        <x:v>Megha</x:v>
      </x:c>
      <x:c r="H4117" t="str">
        <x:v>P036</x:v>
      </x:c>
      <x:c r="I4117" t="str">
        <x:v>Garam Masala 500g</x:v>
      </x:c>
      <x:c r="J4117" t="str">
        <x:v>Spices</x:v>
      </x:c>
      <x:c r="K4117" t="str">
        <x:v>MDH</x:v>
      </x:c>
      <x:c r="L4117" s="22" t="n">
        <x:v>265</x:v>
      </x:c>
      <x:c r="M4117" t="n">
        <x:v>5</x:v>
      </x:c>
      <x:c r="N4117" s="24" t="n">
        <x:v>0.03</x:v>
      </x:c>
      <x:c r="O4117" s="22" t="n">
        <x:f>L4117*M4117</x:f>
        <x:v>1325</x:v>
      </x:c>
      <x:c r="P4117" s="22" t="n">
        <x:f>O4117*(1-N4117)</x:f>
        <x:v>1285.25</x:v>
      </x:c>
      <x:c r="Q4117" s="22" t="n">
        <x:v>230</x:v>
      </x:c>
      <x:c r="R4117" s="22" t="n">
        <x:f>Q4117*M4117</x:f>
        <x:v>1150</x:v>
      </x:c>
      <x:c r="S4117" s="22" t="n">
        <x:f>P4117-R4117</x:f>
        <x:v>135.25</x:v>
      </x:c>
      <x:c r="T4117" t="str">
        <x:v>Cash</x:v>
      </x:c>
      <x:c r="U4117" t="str">
        <x:v>Paid</x:v>
      </x:c>
      <x:c r="V4117" t="str">
        <x:v>Delivered</x:v>
      </x:c>
      <x:c r="W4117" t="n">
        <x:v>2</x:v>
      </x:c>
      <x:c r="X4117" t="str">
        <x:v>Late Delivery</x:v>
      </x:c>
      <x:c r="Y4117" t="str">
        <x:v>WhatsApp</x:v>
      </x:c>
    </x:row>
    <x:row r="4118">
      <x:c r="A4118" t="str">
        <x:v>O004117</x:v>
      </x:c>
      <x:c r="B4118" s="20" t="n">
        <x:v>45705</x:v>
      </x:c>
      <x:c r="C4118" t="str">
        <x:v>C0098</x:v>
      </x:c>
      <x:c r="D4118" t="str">
        <x:v>City Stores 98</x:v>
      </x:c>
      <x:c r="E4118" t="str">
        <x:v>Canteen</x:v>
      </x:c>
      <x:c r="F4118" t="str">
        <x:v>Mangaluru</x:v>
      </x:c>
      <x:c r="G4118" t="str">
        <x:v>Imran</x:v>
      </x:c>
      <x:c r="H4118" t="str">
        <x:v>P021</x:v>
      </x:c>
      <x:c r="I4118" t="str">
        <x:v>Instant Coffee 200g</x:v>
      </x:c>
      <x:c r="J4118" t="str">
        <x:v>Beverage</x:v>
      </x:c>
      <x:c r="K4118" t="str">
        <x:v>Nescafe</x:v>
      </x:c>
      <x:c r="L4118" s="22" t="n">
        <x:v>460</x:v>
      </x:c>
      <x:c r="M4118" t="n">
        <x:v>17</x:v>
      </x:c>
      <x:c r="N4118" s="24" t="n">
        <x:v>0.02</x:v>
      </x:c>
      <x:c r="O4118" s="22" t="n">
        <x:f>L4118*M4118</x:f>
        <x:v>7820</x:v>
      </x:c>
      <x:c r="P4118" s="22" t="n">
        <x:f>O4118*(1-N4118)</x:f>
        <x:v>7663.599999999999</x:v>
      </x:c>
      <x:c r="Q4118" s="22" t="n">
        <x:v>410</x:v>
      </x:c>
      <x:c r="R4118" s="22" t="n">
        <x:f>Q4118*M4118</x:f>
        <x:v>6970</x:v>
      </x:c>
      <x:c r="S4118" s="22" t="n">
        <x:f>P4118-R4118</x:f>
        <x:v>693.5999999999995</x:v>
      </x:c>
      <x:c r="T4118" t="str">
        <x:v>Cash</x:v>
      </x:c>
      <x:c r="U4118" t="str">
        <x:v>Paid</x:v>
      </x:c>
      <x:c r="V4118" t="str">
        <x:v>Delivered</x:v>
      </x:c>
      <x:c r="W4118" t="n">
        <x:v>0</x:v>
      </x:c>
      <x:c r="X4118" t="str"/>
      <x:c r="Y4118" t="str">
        <x:v>Field Visit</x:v>
      </x:c>
    </x:row>
    <x:row r="4119">
      <x:c r="A4119" t="str">
        <x:v>O004118</x:v>
      </x:c>
      <x:c r="B4119" s="20" t="n">
        <x:v>45806</x:v>
      </x:c>
      <x:c r="C4119" t="str">
        <x:v>C0160</x:v>
      </x:c>
      <x:c r="D4119" t="str">
        <x:v>Hotel Foods 160</x:v>
      </x:c>
      <x:c r="E4119" t="str">
        <x:v>Hotel</x:v>
      </x:c>
      <x:c r="F4119" t="str">
        <x:v>Mangaluru</x:v>
      </x:c>
      <x:c r="G4119" t="str">
        <x:v>Sneha</x:v>
      </x:c>
      <x:c r="H4119" t="str">
        <x:v>P017</x:v>
      </x:c>
      <x:c r="I4119" t="str">
        <x:v>Butter 500g</x:v>
      </x:c>
      <x:c r="J4119" t="str">
        <x:v>Dairy</x:v>
      </x:c>
      <x:c r="K4119" t="str">
        <x:v>Amul</x:v>
      </x:c>
      <x:c r="L4119" s="22" t="n">
        <x:v>285</x:v>
      </x:c>
      <x:c r="M4119" t="n">
        <x:v>26</x:v>
      </x:c>
      <x:c r="N4119" s="24" t="n">
        <x:v>0.03</x:v>
      </x:c>
      <x:c r="O4119" s="22" t="n">
        <x:f>L4119*M4119</x:f>
        <x:v>7410</x:v>
      </x:c>
      <x:c r="P4119" s="22" t="n">
        <x:f>O4119*(1-N4119)</x:f>
        <x:v>7187.7</x:v>
      </x:c>
      <x:c r="Q4119" s="22" t="n">
        <x:v>258</x:v>
      </x:c>
      <x:c r="R4119" s="22" t="n">
        <x:f>Q4119*M4119</x:f>
        <x:v>6708</x:v>
      </x:c>
      <x:c r="S4119" s="22" t="n">
        <x:f>P4119-R4119</x:f>
        <x:v>479.6999999999998</x:v>
      </x:c>
      <x:c r="T4119" t="str">
        <x:v>UPI</x:v>
      </x:c>
      <x:c r="U4119" t="str">
        <x:v>Paid</x:v>
      </x:c>
      <x:c r="V4119" t="str">
        <x:v>Delivered</x:v>
      </x:c>
      <x:c r="W4119" t="n">
        <x:v>0</x:v>
      </x:c>
      <x:c r="X4119" t="str"/>
      <x:c r="Y4119" t="str">
        <x:v>Outbound Call</x:v>
      </x:c>
    </x:row>
    <x:row r="4120">
      <x:c r="A4120" t="str">
        <x:v>O004119</x:v>
      </x:c>
      <x:c r="B4120" s="20" t="n">
        <x:v>45890</x:v>
      </x:c>
      <x:c r="C4120" t="str">
        <x:v>C0210</x:v>
      </x:c>
      <x:c r="D4120" t="str">
        <x:v>Spice Stores 210</x:v>
      </x:c>
      <x:c r="E4120" t="str">
        <x:v>Cafe</x:v>
      </x:c>
      <x:c r="F4120" t="str">
        <x:v>Davanagere</x:v>
      </x:c>
      <x:c r="G4120" t="str">
        <x:v>Imran</x:v>
      </x:c>
      <x:c r="H4120" t="str">
        <x:v>P008</x:v>
      </x:c>
      <x:c r="I4120" t="str">
        <x:v>Palm Oil 15L</x:v>
      </x:c>
      <x:c r="J4120" t="str">
        <x:v>Edible Oil</x:v>
      </x:c>
      <x:c r="K4120" t="str">
        <x:v>Ruchi Gold</x:v>
      </x:c>
      <x:c r="L4120" s="22" t="n">
        <x:v>1760</x:v>
      </x:c>
      <x:c r="M4120" t="n">
        <x:v>11</x:v>
      </x:c>
      <x:c r="N4120" s="24" t="n">
        <x:v>0.03</x:v>
      </x:c>
      <x:c r="O4120" s="22" t="n">
        <x:f>L4120*M4120</x:f>
        <x:v>19360</x:v>
      </x:c>
      <x:c r="P4120" s="22" t="n">
        <x:f>O4120*(1-N4120)</x:f>
        <x:v>18779.2</x:v>
      </x:c>
      <x:c r="Q4120" s="22" t="n">
        <x:v>1610</x:v>
      </x:c>
      <x:c r="R4120" s="22" t="n">
        <x:f>Q4120*M4120</x:f>
        <x:v>17710</x:v>
      </x:c>
      <x:c r="S4120" s="22" t="n">
        <x:f>P4120-R4120</x:f>
        <x:v>1069.2000000000007</x:v>
      </x:c>
      <x:c r="T4120" t="str">
        <x:v>Credit</x:v>
      </x:c>
      <x:c r="U4120" t="str">
        <x:v>Overdue</x:v>
      </x:c>
      <x:c r="V4120" t="str">
        <x:v>Delivered</x:v>
      </x:c>
      <x:c r="W4120" t="n">
        <x:v>0</x:v>
      </x:c>
      <x:c r="X4120" t="str"/>
      <x:c r="Y4120" t="str">
        <x:v>Field Visit</x:v>
      </x:c>
    </x:row>
    <x:row r="4121">
      <x:c r="A4121" t="str">
        <x:v>O004120</x:v>
      </x:c>
      <x:c r="B4121" s="20" t="n">
        <x:v>45702</x:v>
      </x:c>
      <x:c r="C4121" t="str">
        <x:v>C0243</x:v>
      </x:c>
      <x:c r="D4121" t="str">
        <x:v>Metro Kitchen 243</x:v>
      </x:c>
      <x:c r="E4121" t="str">
        <x:v>Restaurant</x:v>
      </x:c>
      <x:c r="F4121" t="str">
        <x:v>Mangaluru</x:v>
      </x:c>
      <x:c r="G4121" t="str">
        <x:v>Kavya</x:v>
      </x:c>
      <x:c r="H4121" t="str">
        <x:v>P029</x:v>
      </x:c>
      <x:c r="I4121" t="str">
        <x:v>Tomato Ketchup 1kg</x:v>
      </x:c>
      <x:c r="J4121" t="str">
        <x:v>Condiments</x:v>
      </x:c>
      <x:c r="K4121" t="str">
        <x:v>Kissan</x:v>
      </x:c>
      <x:c r="L4121" s="22" t="n">
        <x:v>145</x:v>
      </x:c>
      <x:c r="M4121" t="n">
        <x:v>19</x:v>
      </x:c>
      <x:c r="N4121" s="24" t="n">
        <x:v>0</x:v>
      </x:c>
      <x:c r="O4121" s="22" t="n">
        <x:f>L4121*M4121</x:f>
        <x:v>2755</x:v>
      </x:c>
      <x:c r="P4121" s="22" t="n">
        <x:f>O4121*(1-N4121)</x:f>
        <x:v>2755</x:v>
      </x:c>
      <x:c r="Q4121" s="22" t="n">
        <x:v>126</x:v>
      </x:c>
      <x:c r="R4121" s="22" t="n">
        <x:f>Q4121*M4121</x:f>
        <x:v>2394</x:v>
      </x:c>
      <x:c r="S4121" s="22" t="n">
        <x:f>P4121-R4121</x:f>
        <x:v>361</x:v>
      </x:c>
      <x:c r="T4121" t="str">
        <x:v>UPI</x:v>
      </x:c>
      <x:c r="U4121" t="str">
        <x:v>Paid</x:v>
      </x:c>
      <x:c r="V4121" t="str">
        <x:v>Delayed</x:v>
      </x:c>
      <x:c r="W4121" t="n">
        <x:v>0</x:v>
      </x:c>
      <x:c r="X4121" t="str"/>
      <x:c r="Y4121" t="str">
        <x:v>Existing Customer</x:v>
      </x:c>
    </x:row>
    <x:row r="4122">
      <x:c r="A4122" t="str">
        <x:v>O004121</x:v>
      </x:c>
      <x:c r="B4122" s="20" t="n">
        <x:v>46113</x:v>
      </x:c>
      <x:c r="C4122" t="str">
        <x:v>C0039</x:v>
      </x:c>
      <x:c r="D4122" t="str">
        <x:v>Sagar Cafe 39</x:v>
      </x:c>
      <x:c r="E4122" t="str">
        <x:v>Restaurant</x:v>
      </x:c>
      <x:c r="F4122" t="str">
        <x:v>Hubballi</x:v>
      </x:c>
      <x:c r="G4122" t="str">
        <x:v>Imran</x:v>
      </x:c>
      <x:c r="H4122" t="str">
        <x:v>P001</x:v>
      </x:c>
      <x:c r="I4122" t="str">
        <x:v>Steam Rice 25kg</x:v>
      </x:c>
      <x:c r="J4122" t="str">
        <x:v>Staples</x:v>
      </x:c>
      <x:c r="K4122" t="str">
        <x:v>Aishwarya</x:v>
      </x:c>
      <x:c r="L4122" s="22" t="n">
        <x:v>1180</x:v>
      </x:c>
      <x:c r="M4122" t="n">
        <x:v>11</x:v>
      </x:c>
      <x:c r="N4122" s="24" t="n">
        <x:v>0.03</x:v>
      </x:c>
      <x:c r="O4122" s="22" t="n">
        <x:f>L4122*M4122</x:f>
        <x:v>12980</x:v>
      </x:c>
      <x:c r="P4122" s="22" t="n">
        <x:f>O4122*(1-N4122)</x:f>
        <x:v>12590.6</x:v>
      </x:c>
      <x:c r="Q4122" s="22" t="n">
        <x:v>1040</x:v>
      </x:c>
      <x:c r="R4122" s="22" t="n">
        <x:f>Q4122*M4122</x:f>
        <x:v>11440</x:v>
      </x:c>
      <x:c r="S4122" s="22" t="n">
        <x:f>P4122-R4122</x:f>
        <x:v>1150.6000000000004</x:v>
      </x:c>
      <x:c r="T4122" t="str">
        <x:v>Credit</x:v>
      </x:c>
      <x:c r="U4122" t="str">
        <x:v>Paid</x:v>
      </x:c>
      <x:c r="V4122" t="str">
        <x:v>Delivered</x:v>
      </x:c>
      <x:c r="W4122" t="n">
        <x:v>0</x:v>
      </x:c>
      <x:c r="X4122" t="str"/>
      <x:c r="Y4122" t="str">
        <x:v>Outbound Call</x:v>
      </x:c>
    </x:row>
    <x:row r="4123">
      <x:c r="A4123" t="str">
        <x:v>O004122</x:v>
      </x:c>
      <x:c r="B4123" s="20" t="n">
        <x:v>46026</x:v>
      </x:c>
      <x:c r="C4123" t="str">
        <x:v>C0057</x:v>
      </x:c>
      <x:c r="D4123" t="str">
        <x:v>Annapurna Foods 57</x:v>
      </x:c>
      <x:c r="E4123" t="str">
        <x:v>Kirana</x:v>
      </x:c>
      <x:c r="F4123" t="str">
        <x:v>Mysuru</x:v>
      </x:c>
      <x:c r="G4123" t="str">
        <x:v>Priya</x:v>
      </x:c>
      <x:c r="H4123" t="str">
        <x:v>P028</x:v>
      </x:c>
      <x:c r="I4123" t="str">
        <x:v>Cookies 200g</x:v>
      </x:c>
      <x:c r="J4123" t="str">
        <x:v>Snacks</x:v>
      </x:c>
      <x:c r="K4123" t="str">
        <x:v>Britannia</x:v>
      </x:c>
      <x:c r="L4123" s="22" t="n">
        <x:v>55</x:v>
      </x:c>
      <x:c r="M4123" t="n">
        <x:v>37</x:v>
      </x:c>
      <x:c r="N4123" s="24" t="n">
        <x:v>0.03</x:v>
      </x:c>
      <x:c r="O4123" s="22" t="n">
        <x:f>L4123*M4123</x:f>
        <x:v>2035</x:v>
      </x:c>
      <x:c r="P4123" s="22" t="n">
        <x:f>O4123*(1-N4123)</x:f>
        <x:v>1973.95</x:v>
      </x:c>
      <x:c r="Q4123" s="22" t="n">
        <x:v>42</x:v>
      </x:c>
      <x:c r="R4123" s="22" t="n">
        <x:f>Q4123*M4123</x:f>
        <x:v>1554</x:v>
      </x:c>
      <x:c r="S4123" s="22" t="n">
        <x:f>P4123-R4123</x:f>
        <x:v>419.95000000000005</x:v>
      </x:c>
      <x:c r="T4123" t="str">
        <x:v>Bank Transfer</x:v>
      </x:c>
      <x:c r="U4123" t="str">
        <x:v>Paid</x:v>
      </x:c>
      <x:c r="V4123" t="str">
        <x:v>Cancelled</x:v>
      </x:c>
      <x:c r="W4123" t="n">
        <x:v>37</x:v>
      </x:c>
      <x:c r="X4123" t="str">
        <x:v>Cancelled Order</x:v>
      </x:c>
      <x:c r="Y4123" t="str">
        <x:v>WhatsApp</x:v>
      </x:c>
    </x:row>
    <x:row r="4124">
      <x:c r="A4124" t="str">
        <x:v>O004123</x:v>
      </x:c>
      <x:c r="B4124" s="20" t="n">
        <x:v>45706</x:v>
      </x:c>
      <x:c r="C4124" t="str">
        <x:v>C0189</x:v>
      </x:c>
      <x:c r="D4124" t="str">
        <x:v>Classic Canteen 189</x:v>
      </x:c>
      <x:c r="E4124" t="str">
        <x:v>Kirana</x:v>
      </x:c>
      <x:c r="F4124" t="str">
        <x:v>Hubballi</x:v>
      </x:c>
      <x:c r="G4124" t="str">
        <x:v>Vikram</x:v>
      </x:c>
      <x:c r="H4124" t="str">
        <x:v>P007</x:v>
      </x:c>
      <x:c r="I4124" t="str">
        <x:v>Sunflower Oil 15L</x:v>
      </x:c>
      <x:c r="J4124" t="str">
        <x:v>Edible Oil</x:v>
      </x:c>
      <x:c r="K4124" t="str">
        <x:v>Fortune</x:v>
      </x:c>
      <x:c r="L4124" s="22" t="n">
        <x:v>1980</x:v>
      </x:c>
      <x:c r="M4124" t="n">
        <x:v>5</x:v>
      </x:c>
      <x:c r="N4124" s="24" t="n">
        <x:v>0</x:v>
      </x:c>
      <x:c r="O4124" s="22" t="n">
        <x:f>L4124*M4124</x:f>
        <x:v>9900</x:v>
      </x:c>
      <x:c r="P4124" s="22" t="n">
        <x:f>O4124*(1-N4124)</x:f>
        <x:v>9900</x:v>
      </x:c>
      <x:c r="Q4124" s="22" t="n">
        <x:v>1810</x:v>
      </x:c>
      <x:c r="R4124" s="22" t="n">
        <x:f>Q4124*M4124</x:f>
        <x:v>9050</x:v>
      </x:c>
      <x:c r="S4124" s="22" t="n">
        <x:f>P4124-R4124</x:f>
        <x:v>850</x:v>
      </x:c>
      <x:c r="T4124" t="str">
        <x:v>Credit</x:v>
      </x:c>
      <x:c r="U4124" t="str">
        <x:v>Pending</x:v>
      </x:c>
      <x:c r="V4124" t="str">
        <x:v>Delivered</x:v>
      </x:c>
      <x:c r="W4124" t="n">
        <x:v>4</x:v>
      </x:c>
      <x:c r="X4124" t="str">
        <x:v>Late Delivery</x:v>
      </x:c>
      <x:c r="Y4124" t="str">
        <x:v>Outbound Call</x:v>
      </x:c>
    </x:row>
    <x:row r="4125">
      <x:c r="A4125" t="str">
        <x:v>O004124</x:v>
      </x:c>
      <x:c r="B4125" s="20" t="n">
        <x:v>46014</x:v>
      </x:c>
      <x:c r="C4125" t="str">
        <x:v>C0213</x:v>
      </x:c>
      <x:c r="D4125" t="str">
        <x:v>Shree Cafe 213</x:v>
      </x:c>
      <x:c r="E4125" t="str">
        <x:v>Cafe</x:v>
      </x:c>
      <x:c r="F4125" t="str">
        <x:v>Tumakuru</x:v>
      </x:c>
      <x:c r="G4125" t="str">
        <x:v>Imran</x:v>
      </x:c>
      <x:c r="H4125" t="str">
        <x:v>P030</x:v>
      </x:c>
      <x:c r="I4125" t="str">
        <x:v>Mayonnaise 1kg</x:v>
      </x:c>
      <x:c r="J4125" t="str">
        <x:v>Condiments</x:v>
      </x:c>
      <x:c r="K4125" t="str">
        <x:v>Veeba</x:v>
      </x:c>
      <x:c r="L4125" s="22" t="n">
        <x:v>210</x:v>
      </x:c>
      <x:c r="M4125" t="n">
        <x:v>8</x:v>
      </x:c>
      <x:c r="N4125" s="24" t="n">
        <x:v>0.05</x:v>
      </x:c>
      <x:c r="O4125" s="22" t="n">
        <x:f>L4125*M4125</x:f>
        <x:v>1680</x:v>
      </x:c>
      <x:c r="P4125" s="22" t="n">
        <x:f>O4125*(1-N4125)</x:f>
        <x:v>1596</x:v>
      </x:c>
      <x:c r="Q4125" s="22" t="n">
        <x:v>185</x:v>
      </x:c>
      <x:c r="R4125" s="22" t="n">
        <x:f>Q4125*M4125</x:f>
        <x:v>1480</x:v>
      </x:c>
      <x:c r="S4125" s="22" t="n">
        <x:f>P4125-R4125</x:f>
        <x:v>116</x:v>
      </x:c>
      <x:c r="T4125" t="str">
        <x:v>UPI</x:v>
      </x:c>
      <x:c r="U4125" t="str">
        <x:v>Paid</x:v>
      </x:c>
      <x:c r="V4125" t="str">
        <x:v>Delivered</x:v>
      </x:c>
      <x:c r="W4125" t="n">
        <x:v>0</x:v>
      </x:c>
      <x:c r="X4125" t="str"/>
      <x:c r="Y4125" t="str">
        <x:v>Existing Customer</x:v>
      </x:c>
    </x:row>
    <x:row r="4126">
      <x:c r="A4126" t="str">
        <x:v>O004125</x:v>
      </x:c>
      <x:c r="B4126" s="20" t="n">
        <x:v>46034</x:v>
      </x:c>
      <x:c r="C4126" t="str">
        <x:v>C0130</x:v>
      </x:c>
      <x:c r="D4126" t="str">
        <x:v>Foodie Cafe 130</x:v>
      </x:c>
      <x:c r="E4126" t="str">
        <x:v>Restaurant</x:v>
      </x:c>
      <x:c r="F4126" t="str">
        <x:v>Davanagere</x:v>
      </x:c>
      <x:c r="G4126" t="str">
        <x:v>Megha</x:v>
      </x:c>
      <x:c r="H4126" t="str">
        <x:v>P019</x:v>
      </x:c>
      <x:c r="I4126" t="str">
        <x:v>Tea 1kg</x:v>
      </x:c>
      <x:c r="J4126" t="str">
        <x:v>Beverage</x:v>
      </x:c>
      <x:c r="K4126" t="str">
        <x:v>Red Label</x:v>
      </x:c>
      <x:c r="L4126" s="22" t="n">
        <x:v>540</x:v>
      </x:c>
      <x:c r="M4126" t="n">
        <x:v>24</x:v>
      </x:c>
      <x:c r="N4126" s="24" t="n">
        <x:v>0.03</x:v>
      </x:c>
      <x:c r="O4126" s="22" t="n">
        <x:f>L4126*M4126</x:f>
        <x:v>12960</x:v>
      </x:c>
      <x:c r="P4126" s="22" t="n">
        <x:f>O4126*(1-N4126)</x:f>
        <x:v>12571.199999999999</x:v>
      </x:c>
      <x:c r="Q4126" s="22" t="n">
        <x:v>485</x:v>
      </x:c>
      <x:c r="R4126" s="22" t="n">
        <x:f>Q4126*M4126</x:f>
        <x:v>11640</x:v>
      </x:c>
      <x:c r="S4126" s="22" t="n">
        <x:f>P4126-R4126</x:f>
        <x:v>931.1999999999989</x:v>
      </x:c>
      <x:c r="T4126" t="str">
        <x:v>UPI</x:v>
      </x:c>
      <x:c r="U4126" t="str">
        <x:v>Paid</x:v>
      </x:c>
      <x:c r="V4126" t="str">
        <x:v>Delivered</x:v>
      </x:c>
      <x:c r="W4126" t="n">
        <x:v>0</x:v>
      </x:c>
      <x:c r="X4126" t="str"/>
      <x:c r="Y4126" t="str">
        <x:v>WhatsApp</x:v>
      </x:c>
    </x:row>
    <x:row r="4127">
      <x:c r="A4127" t="str">
        <x:v>O004126</x:v>
      </x:c>
      <x:c r="B4127" s="20" t="n">
        <x:v>46157</x:v>
      </x:c>
      <x:c r="C4127" t="str">
        <x:v>C0111</x:v>
      </x:c>
      <x:c r="D4127" t="str">
        <x:v>Metro Kitchen 111</x:v>
      </x:c>
      <x:c r="E4127" t="str">
        <x:v>Restaurant</x:v>
      </x:c>
      <x:c r="F4127" t="str">
        <x:v>Davanagere</x:v>
      </x:c>
      <x:c r="G4127" t="str">
        <x:v>Sneha</x:v>
      </x:c>
      <x:c r="H4127" t="str">
        <x:v>P028</x:v>
      </x:c>
      <x:c r="I4127" t="str">
        <x:v>Cookies 200g</x:v>
      </x:c>
      <x:c r="J4127" t="str">
        <x:v>Snacks</x:v>
      </x:c>
      <x:c r="K4127" t="str">
        <x:v>Britannia</x:v>
      </x:c>
      <x:c r="L4127" s="22" t="n">
        <x:v>55</x:v>
      </x:c>
      <x:c r="M4127" t="n">
        <x:v>9</x:v>
      </x:c>
      <x:c r="N4127" s="24" t="n">
        <x:v>0.05</x:v>
      </x:c>
      <x:c r="O4127" s="22" t="n">
        <x:f>L4127*M4127</x:f>
        <x:v>495</x:v>
      </x:c>
      <x:c r="P4127" s="22" t="n">
        <x:f>O4127*(1-N4127)</x:f>
        <x:v>470.25</x:v>
      </x:c>
      <x:c r="Q4127" s="22" t="n">
        <x:v>42</x:v>
      </x:c>
      <x:c r="R4127" s="22" t="n">
        <x:f>Q4127*M4127</x:f>
        <x:v>378</x:v>
      </x:c>
      <x:c r="S4127" s="22" t="n">
        <x:f>P4127-R4127</x:f>
        <x:v>92.25</x:v>
      </x:c>
      <x:c r="T4127" t="str">
        <x:v>Bank Transfer</x:v>
      </x:c>
      <x:c r="U4127" t="str">
        <x:v>Pending</x:v>
      </x:c>
      <x:c r="V4127" t="str">
        <x:v>Delivered</x:v>
      </x:c>
      <x:c r="W4127" t="n">
        <x:v>0</x:v>
      </x:c>
      <x:c r="X4127" t="str"/>
      <x:c r="Y4127" t="str">
        <x:v>Referral</x:v>
      </x:c>
    </x:row>
    <x:row r="4128">
      <x:c r="A4128" t="str">
        <x:v>O004127</x:v>
      </x:c>
      <x:c r="B4128" s="20" t="n">
        <x:v>45923</x:v>
      </x:c>
      <x:c r="C4128" t="str">
        <x:v>C0222</x:v>
      </x:c>
      <x:c r="D4128" t="str">
        <x:v>Sri Cafe 222</x:v>
      </x:c>
      <x:c r="E4128" t="str">
        <x:v>Kirana</x:v>
      </x:c>
      <x:c r="F4128" t="str">
        <x:v>Mangaluru</x:v>
      </x:c>
      <x:c r="G4128" t="str">
        <x:v>Arjun</x:v>
      </x:c>
      <x:c r="H4128" t="str">
        <x:v>P008</x:v>
      </x:c>
      <x:c r="I4128" t="str">
        <x:v>Palm Oil 15L</x:v>
      </x:c>
      <x:c r="J4128" t="str">
        <x:v>Edible Oil</x:v>
      </x:c>
      <x:c r="K4128" t="str">
        <x:v>Ruchi Gold</x:v>
      </x:c>
      <x:c r="L4128" s="22" t="n">
        <x:v>1760</x:v>
      </x:c>
      <x:c r="M4128" t="n">
        <x:v>1</x:v>
      </x:c>
      <x:c r="N4128" s="24" t="n">
        <x:v>0.1</x:v>
      </x:c>
      <x:c r="O4128" s="22" t="n">
        <x:f>L4128*M4128</x:f>
        <x:v>1760</x:v>
      </x:c>
      <x:c r="P4128" s="22" t="n">
        <x:f>O4128*(1-N4128)</x:f>
        <x:v>1584</x:v>
      </x:c>
      <x:c r="Q4128" s="22" t="n">
        <x:v>1610</x:v>
      </x:c>
      <x:c r="R4128" s="22" t="n">
        <x:f>Q4128*M4128</x:f>
        <x:v>1610</x:v>
      </x:c>
      <x:c r="S4128" s="22" t="n">
        <x:f>P4128-R4128</x:f>
        <x:v>-26</x:v>
      </x:c>
      <x:c r="T4128" t="str">
        <x:v>Bank Transfer</x:v>
      </x:c>
      <x:c r="U4128" t="str">
        <x:v>Paid</x:v>
      </x:c>
      <x:c r="V4128" t="str">
        <x:v>Delivered</x:v>
      </x:c>
      <x:c r="W4128" t="n">
        <x:v>0</x:v>
      </x:c>
      <x:c r="X4128" t="str"/>
      <x:c r="Y4128" t="str">
        <x:v>Referral</x:v>
      </x:c>
    </x:row>
    <x:row r="4129">
      <x:c r="A4129" t="str">
        <x:v>O004128</x:v>
      </x:c>
      <x:c r="B4129" s="20" t="n">
        <x:v>46205</x:v>
      </x:c>
      <x:c r="C4129" t="str">
        <x:v>C0160</x:v>
      </x:c>
      <x:c r="D4129" t="str">
        <x:v>Hotel Foods 160</x:v>
      </x:c>
      <x:c r="E4129" t="str">
        <x:v>Hotel</x:v>
      </x:c>
      <x:c r="F4129" t="str">
        <x:v>Mangaluru</x:v>
      </x:c>
      <x:c r="G4129" t="str">
        <x:v>Sneha</x:v>
      </x:c>
      <x:c r="H4129" t="str">
        <x:v>P032</x:v>
      </x:c>
      <x:c r="I4129" t="str">
        <x:v>Soy Sauce 700g</x:v>
      </x:c>
      <x:c r="J4129" t="str">
        <x:v>Condiments</x:v>
      </x:c>
      <x:c r="K4129" t="str">
        <x:v>Ching's</x:v>
      </x:c>
      <x:c r="L4129" s="22" t="n">
        <x:v>118</x:v>
      </x:c>
      <x:c r="M4129" t="n">
        <x:v>15</x:v>
      </x:c>
      <x:c r="N4129" s="24" t="n">
        <x:v>0</x:v>
      </x:c>
      <x:c r="O4129" s="22" t="n">
        <x:f>L4129*M4129</x:f>
        <x:v>1770</x:v>
      </x:c>
      <x:c r="P4129" s="22" t="n">
        <x:f>O4129*(1-N4129)</x:f>
        <x:v>1770</x:v>
      </x:c>
      <x:c r="Q4129" s="22" t="n">
        <x:v>101</x:v>
      </x:c>
      <x:c r="R4129" s="22" t="n">
        <x:f>Q4129*M4129</x:f>
        <x:v>1515</x:v>
      </x:c>
      <x:c r="S4129" s="22" t="n">
        <x:f>P4129-R4129</x:f>
        <x:v>255</x:v>
      </x:c>
      <x:c r="T4129" t="str">
        <x:v>Credit</x:v>
      </x:c>
      <x:c r="U4129" t="str">
        <x:v>Pending</x:v>
      </x:c>
      <x:c r="V4129" t="str">
        <x:v>Delivered</x:v>
      </x:c>
      <x:c r="W4129" t="n">
        <x:v>0</x:v>
      </x:c>
      <x:c r="X4129" t="str"/>
      <x:c r="Y4129" t="str">
        <x:v>Outbound Call</x:v>
      </x:c>
    </x:row>
    <x:row r="4130">
      <x:c r="A4130" t="str">
        <x:v>O004129</x:v>
      </x:c>
      <x:c r="B4130" s="20" t="n">
        <x:v>45762</x:v>
      </x:c>
      <x:c r="C4130" t="str">
        <x:v>C0174</x:v>
      </x:c>
      <x:c r="D4130" t="str">
        <x:v>Classic Stores 174</x:v>
      </x:c>
      <x:c r="E4130" t="str">
        <x:v>Kirana</x:v>
      </x:c>
      <x:c r="F4130" t="str">
        <x:v>Mysuru</x:v>
      </x:c>
      <x:c r="G4130" t="str">
        <x:v>Vikram</x:v>
      </x:c>
      <x:c r="H4130" t="str">
        <x:v>P037</x:v>
      </x:c>
      <x:c r="I4130" t="str">
        <x:v>Frozen Peas 1kg</x:v>
      </x:c>
      <x:c r="J4130" t="str">
        <x:v>Frozen</x:v>
      </x:c>
      <x:c r="K4130" t="str">
        <x:v>Safal</x:v>
      </x:c>
      <x:c r="L4130" s="22" t="n">
        <x:v>155</x:v>
      </x:c>
      <x:c r="M4130" t="n">
        <x:v>11</x:v>
      </x:c>
      <x:c r="N4130" s="24" t="n">
        <x:v>0.05</x:v>
      </x:c>
      <x:c r="O4130" s="22" t="n">
        <x:f>L4130*M4130</x:f>
        <x:v>1705</x:v>
      </x:c>
      <x:c r="P4130" s="22" t="n">
        <x:f>O4130*(1-N4130)</x:f>
        <x:v>1619.75</x:v>
      </x:c>
      <x:c r="Q4130" s="22" t="n">
        <x:v>138</x:v>
      </x:c>
      <x:c r="R4130" s="22" t="n">
        <x:f>Q4130*M4130</x:f>
        <x:v>1518</x:v>
      </x:c>
      <x:c r="S4130" s="22" t="n">
        <x:f>P4130-R4130</x:f>
        <x:v>101.75</x:v>
      </x:c>
      <x:c r="T4130" t="str">
        <x:v>UPI</x:v>
      </x:c>
      <x:c r="U4130" t="str">
        <x:v>Paid</x:v>
      </x:c>
      <x:c r="V4130" t="str">
        <x:v>Delayed</x:v>
      </x:c>
      <x:c r="W4130" t="n">
        <x:v>0</x:v>
      </x:c>
      <x:c r="X4130" t="str"/>
      <x:c r="Y4130" t="str">
        <x:v>Field Visit</x:v>
      </x:c>
    </x:row>
    <x:row r="4131">
      <x:c r="A4131" t="str">
        <x:v>O004130</x:v>
      </x:c>
      <x:c r="B4131" s="20" t="n">
        <x:v>46058</x:v>
      </x:c>
      <x:c r="C4131" t="str">
        <x:v>C0177</x:v>
      </x:c>
      <x:c r="D4131" t="str">
        <x:v>Classic Cafe 177</x:v>
      </x:c>
      <x:c r="E4131" t="str">
        <x:v>Supermarket</x:v>
      </x:c>
      <x:c r="F4131" t="str">
        <x:v>Bengaluru</x:v>
      </x:c>
      <x:c r="G4131" t="str">
        <x:v>Arjun</x:v>
      </x:c>
      <x:c r="H4131" t="str">
        <x:v>P030</x:v>
      </x:c>
      <x:c r="I4131" t="str">
        <x:v>Mayonnaise 1kg</x:v>
      </x:c>
      <x:c r="J4131" t="str">
        <x:v>Condiments</x:v>
      </x:c>
      <x:c r="K4131" t="str">
        <x:v>Veeba</x:v>
      </x:c>
      <x:c r="L4131" s="22" t="n">
        <x:v>210</x:v>
      </x:c>
      <x:c r="M4131" t="n">
        <x:v>38</x:v>
      </x:c>
      <x:c r="N4131" s="24" t="n">
        <x:v>0.05</x:v>
      </x:c>
      <x:c r="O4131" s="22" t="n">
        <x:f>L4131*M4131</x:f>
        <x:v>7980</x:v>
      </x:c>
      <x:c r="P4131" s="22" t="n">
        <x:f>O4131*(1-N4131)</x:f>
        <x:v>7581</x:v>
      </x:c>
      <x:c r="Q4131" s="22" t="n">
        <x:v>185</x:v>
      </x:c>
      <x:c r="R4131" s="22" t="n">
        <x:f>Q4131*M4131</x:f>
        <x:v>7030</x:v>
      </x:c>
      <x:c r="S4131" s="22" t="n">
        <x:f>P4131-R4131</x:f>
        <x:v>551</x:v>
      </x:c>
      <x:c r="T4131" t="str">
        <x:v>UPI</x:v>
      </x:c>
      <x:c r="U4131" t="str">
        <x:v>Paid</x:v>
      </x:c>
      <x:c r="V4131" t="str">
        <x:v>Cancelled</x:v>
      </x:c>
      <x:c r="W4131" t="n">
        <x:v>38</x:v>
      </x:c>
      <x:c r="X4131" t="str">
        <x:v>Cancelled Order</x:v>
      </x:c>
      <x:c r="Y4131" t="str">
        <x:v>Referral</x:v>
      </x:c>
    </x:row>
    <x:row r="4132">
      <x:c r="A4132" t="str">
        <x:v>O004131</x:v>
      </x:c>
      <x:c r="B4132" s="20" t="n">
        <x:v>45720</x:v>
      </x:c>
      <x:c r="C4132" t="str">
        <x:v>C0104</x:v>
      </x:c>
      <x:c r="D4132" t="str">
        <x:v>Shree Foods 104</x:v>
      </x:c>
      <x:c r="E4132" t="str">
        <x:v>Cafe</x:v>
      </x:c>
      <x:c r="F4132" t="str">
        <x:v>Mangaluru</x:v>
      </x:c>
      <x:c r="G4132" t="str">
        <x:v>Megha</x:v>
      </x:c>
      <x:c r="H4132" t="str">
        <x:v>P009</x:v>
      </x:c>
      <x:c r="I4132" t="str">
        <x:v>Groundnut Oil 5L</x:v>
      </x:c>
      <x:c r="J4132" t="str">
        <x:v>Edible Oil</x:v>
      </x:c>
      <x:c r="K4132" t="str">
        <x:v>Dhara</x:v>
      </x:c>
      <x:c r="L4132" s="22" t="n">
        <x:v>890</x:v>
      </x:c>
      <x:c r="M4132" t="n">
        <x:v>35</x:v>
      </x:c>
      <x:c r="N4132" s="24" t="n">
        <x:v>0</x:v>
      </x:c>
      <x:c r="O4132" s="22" t="n">
        <x:f>L4132*M4132</x:f>
        <x:v>31150</x:v>
      </x:c>
      <x:c r="P4132" s="22" t="n">
        <x:f>O4132*(1-N4132)</x:f>
        <x:v>31150</x:v>
      </x:c>
      <x:c r="Q4132" s="22" t="n">
        <x:v>810</x:v>
      </x:c>
      <x:c r="R4132" s="22" t="n">
        <x:f>Q4132*M4132</x:f>
        <x:v>28350</x:v>
      </x:c>
      <x:c r="S4132" s="22" t="n">
        <x:f>P4132-R4132</x:f>
        <x:v>2800</x:v>
      </x:c>
      <x:c r="T4132" t="str">
        <x:v>UPI</x:v>
      </x:c>
      <x:c r="U4132" t="str">
        <x:v>Pending</x:v>
      </x:c>
      <x:c r="V4132" t="str">
        <x:v>Delayed</x:v>
      </x:c>
      <x:c r="W4132" t="n">
        <x:v>0</x:v>
      </x:c>
      <x:c r="X4132" t="str"/>
      <x:c r="Y4132" t="str">
        <x:v>Existing Customer</x:v>
      </x:c>
    </x:row>
    <x:row r="4133">
      <x:c r="A4133" t="str">
        <x:v>O004132</x:v>
      </x:c>
      <x:c r="B4133" s="20" t="n">
        <x:v>45697</x:v>
      </x:c>
      <x:c r="C4133" t="str">
        <x:v>C0092</x:v>
      </x:c>
      <x:c r="D4133" t="str">
        <x:v>Cafe Restaurant 92</x:v>
      </x:c>
      <x:c r="E4133" t="str">
        <x:v>Canteen</x:v>
      </x:c>
      <x:c r="F4133" t="str">
        <x:v>Hubballi</x:v>
      </x:c>
      <x:c r="G4133" t="str">
        <x:v>Vikram</x:v>
      </x:c>
      <x:c r="H4133" t="str">
        <x:v>P032</x:v>
      </x:c>
      <x:c r="I4133" t="str">
        <x:v>Soy Sauce 700g</x:v>
      </x:c>
      <x:c r="J4133" t="str">
        <x:v>Condiments</x:v>
      </x:c>
      <x:c r="K4133" t="str">
        <x:v>Ching's</x:v>
      </x:c>
      <x:c r="L4133" s="22" t="n">
        <x:v>118</x:v>
      </x:c>
      <x:c r="M4133" t="n">
        <x:v>5</x:v>
      </x:c>
      <x:c r="N4133" s="24" t="n">
        <x:v>0.05</x:v>
      </x:c>
      <x:c r="O4133" s="22" t="n">
        <x:f>L4133*M4133</x:f>
        <x:v>590</x:v>
      </x:c>
      <x:c r="P4133" s="22" t="n">
        <x:f>O4133*(1-N4133)</x:f>
        <x:v>560.5</x:v>
      </x:c>
      <x:c r="Q4133" s="22" t="n">
        <x:v>101</x:v>
      </x:c>
      <x:c r="R4133" s="22" t="n">
        <x:f>Q4133*M4133</x:f>
        <x:v>505</x:v>
      </x:c>
      <x:c r="S4133" s="22" t="n">
        <x:f>P4133-R4133</x:f>
        <x:v>55.5</x:v>
      </x:c>
      <x:c r="T4133" t="str">
        <x:v>Bank Transfer</x:v>
      </x:c>
      <x:c r="U4133" t="str">
        <x:v>Paid</x:v>
      </x:c>
      <x:c r="V4133" t="str">
        <x:v>Cancelled</x:v>
      </x:c>
      <x:c r="W4133" t="n">
        <x:v>5</x:v>
      </x:c>
      <x:c r="X4133" t="str">
        <x:v>Cancelled Order</x:v>
      </x:c>
      <x:c r="Y4133" t="str">
        <x:v>WhatsApp</x:v>
      </x:c>
    </x:row>
    <x:row r="4134">
      <x:c r="A4134" t="str">
        <x:v>O004133</x:v>
      </x:c>
      <x:c r="B4134" s="20" t="n">
        <x:v>45889</x:v>
      </x:c>
      <x:c r="C4134" t="str">
        <x:v>C0118</x:v>
      </x:c>
      <x:c r="D4134" t="str">
        <x:v>Sagar Kitchen 118</x:v>
      </x:c>
      <x:c r="E4134" t="str">
        <x:v>Restaurant</x:v>
      </x:c>
      <x:c r="F4134" t="str">
        <x:v>Hubballi</x:v>
      </x:c>
      <x:c r="G4134" t="str">
        <x:v>Megha</x:v>
      </x:c>
      <x:c r="H4134" t="str">
        <x:v>P004</x:v>
      </x:c>
      <x:c r="I4134" t="str">
        <x:v>Toor Dal 5kg</x:v>
      </x:c>
      <x:c r="J4134" t="str">
        <x:v>Pulses</x:v>
      </x:c>
      <x:c r="K4134" t="str">
        <x:v>Tata Sampann</x:v>
      </x:c>
      <x:c r="L4134" s="22" t="n">
        <x:v>780</x:v>
      </x:c>
      <x:c r="M4134" t="n">
        <x:v>24</x:v>
      </x:c>
      <x:c r="N4134" s="24" t="n">
        <x:v>0.08</x:v>
      </x:c>
      <x:c r="O4134" s="22" t="n">
        <x:f>L4134*M4134</x:f>
        <x:v>18720</x:v>
      </x:c>
      <x:c r="P4134" s="22" t="n">
        <x:f>O4134*(1-N4134)</x:f>
        <x:v>17222.4</x:v>
      </x:c>
      <x:c r="Q4134" s="22" t="n">
        <x:v>695</x:v>
      </x:c>
      <x:c r="R4134" s="22" t="n">
        <x:f>Q4134*M4134</x:f>
        <x:v>16680</x:v>
      </x:c>
      <x:c r="S4134" s="22" t="n">
        <x:f>P4134-R4134</x:f>
        <x:v>542.4000000000015</x:v>
      </x:c>
      <x:c r="T4134" t="str">
        <x:v>Cash</x:v>
      </x:c>
      <x:c r="U4134" t="str">
        <x:v>Pending</x:v>
      </x:c>
      <x:c r="V4134" t="str">
        <x:v>Delayed</x:v>
      </x:c>
      <x:c r="W4134" t="n">
        <x:v>0</x:v>
      </x:c>
      <x:c r="X4134" t="str"/>
      <x:c r="Y4134" t="str">
        <x:v>Outbound Call</x:v>
      </x:c>
    </x:row>
    <x:row r="4135">
      <x:c r="A4135" t="str">
        <x:v>O004134</x:v>
      </x:c>
      <x:c r="B4135" s="20" t="n">
        <x:v>46045</x:v>
      </x:c>
      <x:c r="C4135" t="str">
        <x:v>C0101</x:v>
      </x:c>
      <x:c r="D4135" t="str">
        <x:v>Namma Cafe 101</x:v>
      </x:c>
      <x:c r="E4135" t="str">
        <x:v>Supermarket</x:v>
      </x:c>
      <x:c r="F4135" t="str">
        <x:v>Bengaluru</x:v>
      </x:c>
      <x:c r="G4135" t="str">
        <x:v>Arjun</x:v>
      </x:c>
      <x:c r="H4135" t="str">
        <x:v>P029</x:v>
      </x:c>
      <x:c r="I4135" t="str">
        <x:v>Tomato Ketchup 1kg</x:v>
      </x:c>
      <x:c r="J4135" t="str">
        <x:v>Condiments</x:v>
      </x:c>
      <x:c r="K4135" t="str">
        <x:v>Kissan</x:v>
      </x:c>
      <x:c r="L4135" s="22" t="n">
        <x:v>145</x:v>
      </x:c>
      <x:c r="M4135" t="n">
        <x:v>5</x:v>
      </x:c>
      <x:c r="N4135" s="24" t="n">
        <x:v>0.03</x:v>
      </x:c>
      <x:c r="O4135" s="22" t="n">
        <x:f>L4135*M4135</x:f>
        <x:v>725</x:v>
      </x:c>
      <x:c r="P4135" s="22" t="n">
        <x:f>O4135*(1-N4135)</x:f>
        <x:v>703.25</x:v>
      </x:c>
      <x:c r="Q4135" s="22" t="n">
        <x:v>126</x:v>
      </x:c>
      <x:c r="R4135" s="22" t="n">
        <x:f>Q4135*M4135</x:f>
        <x:v>630</x:v>
      </x:c>
      <x:c r="S4135" s="22" t="n">
        <x:f>P4135-R4135</x:f>
        <x:v>73.25</x:v>
      </x:c>
      <x:c r="T4135" t="str">
        <x:v>Credit</x:v>
      </x:c>
      <x:c r="U4135" t="str">
        <x:v>Paid</x:v>
      </x:c>
      <x:c r="V4135" t="str">
        <x:v>Delayed</x:v>
      </x:c>
      <x:c r="W4135" t="n">
        <x:v>0</x:v>
      </x:c>
      <x:c r="X4135" t="str"/>
      <x:c r="Y4135" t="str">
        <x:v>WhatsApp</x:v>
      </x:c>
    </x:row>
    <x:row r="4136">
      <x:c r="A4136" t="str">
        <x:v>O004135</x:v>
      </x:c>
      <x:c r="B4136" s="20" t="n">
        <x:v>46212</x:v>
      </x:c>
      <x:c r="C4136" t="str">
        <x:v>C0248</x:v>
      </x:c>
      <x:c r="D4136" t="str">
        <x:v>Royal Restaurant 248</x:v>
      </x:c>
      <x:c r="E4136" t="str">
        <x:v>Canteen</x:v>
      </x:c>
      <x:c r="F4136" t="str">
        <x:v>Mysuru</x:v>
      </x:c>
      <x:c r="G4136" t="str">
        <x:v>Priya</x:v>
      </x:c>
      <x:c r="H4136" t="str">
        <x:v>P023</x:v>
      </x:c>
      <x:c r="I4136" t="str">
        <x:v>Cola 750ml</x:v>
      </x:c>
      <x:c r="J4136" t="str">
        <x:v>Beverage</x:v>
      </x:c>
      <x:c r="K4136" t="str">
        <x:v>Coca-Cola</x:v>
      </x:c>
      <x:c r="L4136" s="22" t="n">
        <x:v>38</x:v>
      </x:c>
      <x:c r="M4136" t="n">
        <x:v>26</x:v>
      </x:c>
      <x:c r="N4136" s="24" t="n">
        <x:v>0.08</x:v>
      </x:c>
      <x:c r="O4136" s="22" t="n">
        <x:f>L4136*M4136</x:f>
        <x:v>988</x:v>
      </x:c>
      <x:c r="P4136" s="22" t="n">
        <x:f>O4136*(1-N4136)</x:f>
        <x:v>908.96</x:v>
      </x:c>
      <x:c r="Q4136" s="22" t="n">
        <x:v>31</x:v>
      </x:c>
      <x:c r="R4136" s="22" t="n">
        <x:f>Q4136*M4136</x:f>
        <x:v>806</x:v>
      </x:c>
      <x:c r="S4136" s="22" t="n">
        <x:f>P4136-R4136</x:f>
        <x:v>102.96000000000004</x:v>
      </x:c>
      <x:c r="T4136" t="str">
        <x:v>Bank Transfer</x:v>
      </x:c>
      <x:c r="U4136" t="str">
        <x:v>Paid</x:v>
      </x:c>
      <x:c r="V4136" t="str">
        <x:v>Delivered</x:v>
      </x:c>
      <x:c r="W4136" t="n">
        <x:v>0</x:v>
      </x:c>
      <x:c r="X4136" t="str"/>
      <x:c r="Y4136" t="str">
        <x:v>Field Visit</x:v>
      </x:c>
    </x:row>
    <x:row r="4137">
      <x:c r="A4137" t="str">
        <x:v>O004136</x:v>
      </x:c>
      <x:c r="B4137" s="20" t="n">
        <x:v>46183</x:v>
      </x:c>
      <x:c r="C4137" t="str">
        <x:v>C0221</x:v>
      </x:c>
      <x:c r="D4137" t="str">
        <x:v>Cafe Canteen 221</x:v>
      </x:c>
      <x:c r="E4137" t="str">
        <x:v>Hotel</x:v>
      </x:c>
      <x:c r="F4137" t="str">
        <x:v>Hubballi</x:v>
      </x:c>
      <x:c r="G4137" t="str">
        <x:v>Kavya</x:v>
      </x:c>
      <x:c r="H4137" t="str">
        <x:v>P025</x:v>
      </x:c>
      <x:c r="I4137" t="str">
        <x:v>Potato Chips 100g</x:v>
      </x:c>
      <x:c r="J4137" t="str">
        <x:v>Snacks</x:v>
      </x:c>
      <x:c r="K4137" t="str">
        <x:v>Lay's</x:v>
      </x:c>
      <x:c r="L4137" s="22" t="n">
        <x:v>35</x:v>
      </x:c>
      <x:c r="M4137" t="n">
        <x:v>32</x:v>
      </x:c>
      <x:c r="N4137" s="24" t="n">
        <x:v>0</x:v>
      </x:c>
      <x:c r="O4137" s="22" t="n">
        <x:f>L4137*M4137</x:f>
        <x:v>1120</x:v>
      </x:c>
      <x:c r="P4137" s="22" t="n">
        <x:f>O4137*(1-N4137)</x:f>
        <x:v>1120</x:v>
      </x:c>
      <x:c r="Q4137" s="22" t="n">
        <x:v>27</x:v>
      </x:c>
      <x:c r="R4137" s="22" t="n">
        <x:f>Q4137*M4137</x:f>
        <x:v>864</x:v>
      </x:c>
      <x:c r="S4137" s="22" t="n">
        <x:f>P4137-R4137</x:f>
        <x:v>256</x:v>
      </x:c>
      <x:c r="T4137" t="str">
        <x:v>Bank Transfer</x:v>
      </x:c>
      <x:c r="U4137" t="str">
        <x:v>Pending</x:v>
      </x:c>
      <x:c r="V4137" t="str">
        <x:v>Delayed</x:v>
      </x:c>
      <x:c r="W4137" t="n">
        <x:v>0</x:v>
      </x:c>
      <x:c r="X4137" t="str"/>
      <x:c r="Y4137" t="str">
        <x:v>Referral</x:v>
      </x:c>
    </x:row>
    <x:row r="4138">
      <x:c r="A4138" t="str">
        <x:v>O004137</x:v>
      </x:c>
      <x:c r="B4138" s="20" t="n">
        <x:v>46026</x:v>
      </x:c>
      <x:c r="C4138" t="str">
        <x:v>C0224</x:v>
      </x:c>
      <x:c r="D4138" t="str">
        <x:v>Royal Foods 224</x:v>
      </x:c>
      <x:c r="E4138" t="str">
        <x:v>Canteen</x:v>
      </x:c>
      <x:c r="F4138" t="str">
        <x:v>Tumakuru</x:v>
      </x:c>
      <x:c r="G4138" t="str">
        <x:v>Arjun</x:v>
      </x:c>
      <x:c r="H4138" t="str">
        <x:v>P018</x:v>
      </x:c>
      <x:c r="I4138" t="str">
        <x:v>Paneer 1kg</x:v>
      </x:c>
      <x:c r="J4138" t="str">
        <x:v>Dairy</x:v>
      </x:c>
      <x:c r="K4138" t="str">
        <x:v>Milky Mist</x:v>
      </x:c>
      <x:c r="L4138" s="22" t="n">
        <x:v>410</x:v>
      </x:c>
      <x:c r="M4138" t="n">
        <x:v>3</x:v>
      </x:c>
      <x:c r="N4138" s="24" t="n">
        <x:v>0.05</x:v>
      </x:c>
      <x:c r="O4138" s="22" t="n">
        <x:f>L4138*M4138</x:f>
        <x:v>1230</x:v>
      </x:c>
      <x:c r="P4138" s="22" t="n">
        <x:f>O4138*(1-N4138)</x:f>
        <x:v>1168.5</x:v>
      </x:c>
      <x:c r="Q4138" s="22" t="n">
        <x:v>370</x:v>
      </x:c>
      <x:c r="R4138" s="22" t="n">
        <x:f>Q4138*M4138</x:f>
        <x:v>1110</x:v>
      </x:c>
      <x:c r="S4138" s="22" t="n">
        <x:f>P4138-R4138</x:f>
        <x:v>58.5</x:v>
      </x:c>
      <x:c r="T4138" t="str">
        <x:v>UPI</x:v>
      </x:c>
      <x:c r="U4138" t="str">
        <x:v>Paid</x:v>
      </x:c>
      <x:c r="V4138" t="str">
        <x:v>Delivered</x:v>
      </x:c>
      <x:c r="W4138" t="n">
        <x:v>2</x:v>
      </x:c>
      <x:c r="X4138" t="str">
        <x:v>Late Delivery</x:v>
      </x:c>
      <x:c r="Y4138" t="str">
        <x:v>Referral</x:v>
      </x:c>
    </x:row>
    <x:row r="4139">
      <x:c r="A4139" t="str">
        <x:v>O004138</x:v>
      </x:c>
      <x:c r="B4139" s="20" t="n">
        <x:v>46230</x:v>
      </x:c>
      <x:c r="C4139" t="str">
        <x:v>C0232</x:v>
      </x:c>
      <x:c r="D4139" t="str">
        <x:v>Grand Mart 232</x:v>
      </x:c>
      <x:c r="E4139" t="str">
        <x:v>Cafe</x:v>
      </x:c>
      <x:c r="F4139" t="str">
        <x:v>Davanagere</x:v>
      </x:c>
      <x:c r="G4139" t="str">
        <x:v>Kavya</x:v>
      </x:c>
      <x:c r="H4139" t="str">
        <x:v>P042</x:v>
      </x:c>
      <x:c r="I4139" t="str">
        <x:v>Eggs 30pc Tray</x:v>
      </x:c>
      <x:c r="J4139" t="str">
        <x:v>Protein</x:v>
      </x:c>
      <x:c r="K4139" t="str">
        <x:v>Farm Fresh</x:v>
      </x:c>
      <x:c r="L4139" s="22" t="n">
        <x:v>195</x:v>
      </x:c>
      <x:c r="M4139" t="n">
        <x:v>32</x:v>
      </x:c>
      <x:c r="N4139" s="24" t="n">
        <x:v>0.08</x:v>
      </x:c>
      <x:c r="O4139" s="22" t="n">
        <x:f>L4139*M4139</x:f>
        <x:v>6240</x:v>
      </x:c>
      <x:c r="P4139" s="22" t="n">
        <x:f>O4139*(1-N4139)</x:f>
        <x:v>5740.8</x:v>
      </x:c>
      <x:c r="Q4139" s="22" t="n">
        <x:v>170</x:v>
      </x:c>
      <x:c r="R4139" s="22" t="n">
        <x:f>Q4139*M4139</x:f>
        <x:v>5440</x:v>
      </x:c>
      <x:c r="S4139" s="22" t="n">
        <x:f>P4139-R4139</x:f>
        <x:v>300.8000000000002</x:v>
      </x:c>
      <x:c r="T4139" t="str">
        <x:v>Bank Transfer</x:v>
      </x:c>
      <x:c r="U4139" t="str">
        <x:v>Paid</x:v>
      </x:c>
      <x:c r="V4139" t="str">
        <x:v>Delivered</x:v>
      </x:c>
      <x:c r="W4139" t="n">
        <x:v>0</x:v>
      </x:c>
      <x:c r="X4139" t="str"/>
      <x:c r="Y4139" t="str">
        <x:v>Outbound Call</x:v>
      </x:c>
    </x:row>
    <x:row r="4140">
      <x:c r="A4140" t="str">
        <x:v>O004139</x:v>
      </x:c>
      <x:c r="B4140" s="20" t="n">
        <x:v>46105</x:v>
      </x:c>
      <x:c r="C4140" t="str">
        <x:v>C0164</x:v>
      </x:c>
      <x:c r="D4140" t="str">
        <x:v>Sri Hotel 164</x:v>
      </x:c>
      <x:c r="E4140" t="str">
        <x:v>Kirana</x:v>
      </x:c>
      <x:c r="F4140" t="str">
        <x:v>Mysuru</x:v>
      </x:c>
      <x:c r="G4140" t="str">
        <x:v>Vikram</x:v>
      </x:c>
      <x:c r="H4140" t="str">
        <x:v>P001</x:v>
      </x:c>
      <x:c r="I4140" t="str">
        <x:v>Steam Rice 25kg</x:v>
      </x:c>
      <x:c r="J4140" t="str">
        <x:v>Staples</x:v>
      </x:c>
      <x:c r="K4140" t="str">
        <x:v>Aishwarya</x:v>
      </x:c>
      <x:c r="L4140" s="22" t="n">
        <x:v>1180</x:v>
      </x:c>
      <x:c r="M4140" t="n">
        <x:v>6</x:v>
      </x:c>
      <x:c r="N4140" s="24" t="n">
        <x:v>0.03</x:v>
      </x:c>
      <x:c r="O4140" s="22" t="n">
        <x:f>L4140*M4140</x:f>
        <x:v>7080</x:v>
      </x:c>
      <x:c r="P4140" s="22" t="n">
        <x:f>O4140*(1-N4140)</x:f>
        <x:v>6867.599999999999</x:v>
      </x:c>
      <x:c r="Q4140" s="22" t="n">
        <x:v>1040</x:v>
      </x:c>
      <x:c r="R4140" s="22" t="n">
        <x:f>Q4140*M4140</x:f>
        <x:v>6240</x:v>
      </x:c>
      <x:c r="S4140" s="22" t="n">
        <x:f>P4140-R4140</x:f>
        <x:v>627.5999999999995</x:v>
      </x:c>
      <x:c r="T4140" t="str">
        <x:v>Cash</x:v>
      </x:c>
      <x:c r="U4140" t="str">
        <x:v>Overdue</x:v>
      </x:c>
      <x:c r="V4140" t="str">
        <x:v>Delivered</x:v>
      </x:c>
      <x:c r="W4140" t="n">
        <x:v>0</x:v>
      </x:c>
      <x:c r="X4140" t="str"/>
      <x:c r="Y4140" t="str">
        <x:v>Existing Customer</x:v>
      </x:c>
    </x:row>
    <x:row r="4141">
      <x:c r="A4141" t="str">
        <x:v>O004140</x:v>
      </x:c>
      <x:c r="B4141" s="20" t="n">
        <x:v>45663</x:v>
      </x:c>
      <x:c r="C4141" t="str">
        <x:v>C0007</x:v>
      </x:c>
      <x:c r="D4141" t="str">
        <x:v>Mysore Stores 7</x:v>
      </x:c>
      <x:c r="E4141" t="str">
        <x:v>Kirana</x:v>
      </x:c>
      <x:c r="F4141" t="str">
        <x:v>Bengaluru</x:v>
      </x:c>
      <x:c r="G4141" t="str">
        <x:v>Kavya</x:v>
      </x:c>
      <x:c r="H4141" t="str">
        <x:v>P049</x:v>
      </x:c>
      <x:c r="I4141" t="str">
        <x:v>Apple 10kg</x:v>
      </x:c>
      <x:c r="J4141" t="str">
        <x:v>Fresh Produce</x:v>
      </x:c>
      <x:c r="K4141" t="str">
        <x:v>Local Market</x:v>
      </x:c>
      <x:c r="L4141" s="22" t="n">
        <x:v>1450</x:v>
      </x:c>
      <x:c r="M4141" t="n">
        <x:v>7</x:v>
      </x:c>
      <x:c r="N4141" s="24" t="n">
        <x:v>0</x:v>
      </x:c>
      <x:c r="O4141" s="22" t="n">
        <x:f>L4141*M4141</x:f>
        <x:v>10150</x:v>
      </x:c>
      <x:c r="P4141" s="22" t="n">
        <x:f>O4141*(1-N4141)</x:f>
        <x:v>10150</x:v>
      </x:c>
      <x:c r="Q4141" s="22" t="n">
        <x:v>1280</x:v>
      </x:c>
      <x:c r="R4141" s="22" t="n">
        <x:f>Q4141*M4141</x:f>
        <x:v>8960</x:v>
      </x:c>
      <x:c r="S4141" s="22" t="n">
        <x:f>P4141-R4141</x:f>
        <x:v>1190</x:v>
      </x:c>
      <x:c r="T4141" t="str">
        <x:v>Cash</x:v>
      </x:c>
      <x:c r="U4141" t="str">
        <x:v>Pending</x:v>
      </x:c>
      <x:c r="V4141" t="str">
        <x:v>Cancelled</x:v>
      </x:c>
      <x:c r="W4141" t="n">
        <x:v>7</x:v>
      </x:c>
      <x:c r="X4141" t="str">
        <x:v>Cancelled Order</x:v>
      </x:c>
      <x:c r="Y4141" t="str"/>
    </x:row>
    <x:row r="4142">
      <x:c r="A4142" t="str">
        <x:v>O004141</x:v>
      </x:c>
      <x:c r="B4142" s="20" t="n">
        <x:v>46166</x:v>
      </x:c>
      <x:c r="C4142" t="str">
        <x:v>C0137</x:v>
      </x:c>
      <x:c r="D4142" t="str">
        <x:v>Green Restaurant 137</x:v>
      </x:c>
      <x:c r="E4142" t="str">
        <x:v>Canteen</x:v>
      </x:c>
      <x:c r="F4142" t="str">
        <x:v>Mangaluru</x:v>
      </x:c>
      <x:c r="G4142" t="str">
        <x:v>Arjun</x:v>
      </x:c>
      <x:c r="H4142" t="str">
        <x:v>P039</x:v>
      </x:c>
      <x:c r="I4142" t="str">
        <x:v>Ice Cream 4L</x:v>
      </x:c>
      <x:c r="J4142" t="str">
        <x:v>Frozen</x:v>
      </x:c>
      <x:c r="K4142" t="str">
        <x:v>Amul</x:v>
      </x:c>
      <x:c r="L4142" s="22" t="n">
        <x:v>480</x:v>
      </x:c>
      <x:c r="M4142" t="n">
        <x:v>3</x:v>
      </x:c>
      <x:c r="N4142" s="24" t="n">
        <x:v>0.02</x:v>
      </x:c>
      <x:c r="O4142" s="22" t="n">
        <x:f>L4142*M4142</x:f>
        <x:v>1440</x:v>
      </x:c>
      <x:c r="P4142" s="22" t="n">
        <x:f>O4142*(1-N4142)</x:f>
        <x:v>1411.2</x:v>
      </x:c>
      <x:c r="Q4142" s="22" t="n">
        <x:v>420</x:v>
      </x:c>
      <x:c r="R4142" s="22" t="n">
        <x:f>Q4142*M4142</x:f>
        <x:v>1260</x:v>
      </x:c>
      <x:c r="S4142" s="22" t="n">
        <x:f>P4142-R4142</x:f>
        <x:v>151.20000000000005</x:v>
      </x:c>
      <x:c r="T4142" t="str">
        <x:v>Bank Transfer</x:v>
      </x:c>
      <x:c r="U4142" t="str">
        <x:v>Paid</x:v>
      </x:c>
      <x:c r="V4142" t="str">
        <x:v>Delayed</x:v>
      </x:c>
      <x:c r="W4142" t="n">
        <x:v>0</x:v>
      </x:c>
      <x:c r="X4142" t="str"/>
      <x:c r="Y4142" t="str">
        <x:v>Outbound Call</x:v>
      </x:c>
    </x:row>
    <x:row r="4143">
      <x:c r="A4143" t="str">
        <x:v>O004142</x:v>
      </x:c>
      <x:c r="B4143" s="20" t="n">
        <x:v>45710</x:v>
      </x:c>
      <x:c r="C4143" t="str">
        <x:v>C0120</x:v>
      </x:c>
      <x:c r="D4143" t="str">
        <x:v>Foodie Foods 120</x:v>
      </x:c>
      <x:c r="E4143" t="str">
        <x:v>Hotel</x:v>
      </x:c>
      <x:c r="F4143" t="str">
        <x:v>Hubballi</x:v>
      </x:c>
      <x:c r="G4143" t="str">
        <x:v>Arjun</x:v>
      </x:c>
      <x:c r="H4143" t="str">
        <x:v>P040</x:v>
      </x:c>
      <x:c r="I4143" t="str">
        <x:v>Bread Loaf 400g</x:v>
      </x:c>
      <x:c r="J4143" t="str">
        <x:v>Bakery</x:v>
      </x:c>
      <x:c r="K4143" t="str">
        <x:v>Britannia</x:v>
      </x:c>
      <x:c r="L4143" s="22" t="n">
        <x:v>45</x:v>
      </x:c>
      <x:c r="M4143" t="n">
        <x:v>21</x:v>
      </x:c>
      <x:c r="N4143" s="24" t="n">
        <x:v>0.05</x:v>
      </x:c>
      <x:c r="O4143" s="22" t="n">
        <x:f>L4143*M4143</x:f>
        <x:v>945</x:v>
      </x:c>
      <x:c r="P4143" s="22" t="n">
        <x:f>O4143*(1-N4143)</x:f>
        <x:v>897.75</x:v>
      </x:c>
      <x:c r="Q4143" s="22" t="n">
        <x:v>35</x:v>
      </x:c>
      <x:c r="R4143" s="22" t="n">
        <x:f>Q4143*M4143</x:f>
        <x:v>735</x:v>
      </x:c>
      <x:c r="S4143" s="22" t="n">
        <x:f>P4143-R4143</x:f>
        <x:v>162.75</x:v>
      </x:c>
      <x:c r="T4143" t="str">
        <x:v>Bank Transfer</x:v>
      </x:c>
      <x:c r="U4143" t="str">
        <x:v>Paid</x:v>
      </x:c>
      <x:c r="V4143" t="str">
        <x:v>Delivered</x:v>
      </x:c>
      <x:c r="W4143" t="n">
        <x:v>4</x:v>
      </x:c>
      <x:c r="X4143" t="str">
        <x:v>Damaged</x:v>
      </x:c>
      <x:c r="Y4143" t="str">
        <x:v>Referral</x:v>
      </x:c>
    </x:row>
    <x:row r="4144">
      <x:c r="A4144" t="str">
        <x:v>O004143</x:v>
      </x:c>
      <x:c r="B4144" s="20" t="n">
        <x:v>46035</x:v>
      </x:c>
      <x:c r="C4144" t="str">
        <x:v>C0109</x:v>
      </x:c>
      <x:c r="D4144" t="str">
        <x:v>Annapurna Kitchen 109</x:v>
      </x:c>
      <x:c r="E4144" t="str">
        <x:v>Kirana</x:v>
      </x:c>
      <x:c r="F4144" t="str">
        <x:v>Mysuru</x:v>
      </x:c>
      <x:c r="G4144" t="str">
        <x:v>Kavya</x:v>
      </x:c>
      <x:c r="H4144" t="str">
        <x:v>P017</x:v>
      </x:c>
      <x:c r="I4144" t="str">
        <x:v>Butter 500g</x:v>
      </x:c>
      <x:c r="J4144" t="str">
        <x:v>Dairy</x:v>
      </x:c>
      <x:c r="K4144" t="str">
        <x:v>Amul</x:v>
      </x:c>
      <x:c r="L4144" s="22" t="n">
        <x:v>285</x:v>
      </x:c>
      <x:c r="M4144" t="n">
        <x:v>8</x:v>
      </x:c>
      <x:c r="N4144" s="24" t="n">
        <x:v>0.1</x:v>
      </x:c>
      <x:c r="O4144" s="22" t="n">
        <x:f>L4144*M4144</x:f>
        <x:v>2280</x:v>
      </x:c>
      <x:c r="P4144" s="22" t="n">
        <x:f>O4144*(1-N4144)</x:f>
        <x:v>2052</x:v>
      </x:c>
      <x:c r="Q4144" s="22" t="n">
        <x:v>258</x:v>
      </x:c>
      <x:c r="R4144" s="22" t="n">
        <x:f>Q4144*M4144</x:f>
        <x:v>2064</x:v>
      </x:c>
      <x:c r="S4144" s="22" t="n">
        <x:f>P4144-R4144</x:f>
        <x:v>-12</x:v>
      </x:c>
      <x:c r="T4144" t="str">
        <x:v>UPI</x:v>
      </x:c>
      <x:c r="U4144" t="str">
        <x:v>Paid</x:v>
      </x:c>
      <x:c r="V4144" t="str">
        <x:v>Delivered</x:v>
      </x:c>
      <x:c r="W4144" t="n">
        <x:v>0</x:v>
      </x:c>
      <x:c r="X4144" t="str"/>
      <x:c r="Y4144" t="str">
        <x:v>Outbound Call</x:v>
      </x:c>
    </x:row>
    <x:row r="4145">
      <x:c r="A4145" t="str">
        <x:v>O004144</x:v>
      </x:c>
      <x:c r="B4145" s="20" t="n">
        <x:v>46216</x:v>
      </x:c>
      <x:c r="C4145" t="str">
        <x:v>C0031</x:v>
      </x:c>
      <x:c r="D4145" t="str">
        <x:v>Royal Restaurant 31</x:v>
      </x:c>
      <x:c r="E4145" t="str">
        <x:v>Restaurant</x:v>
      </x:c>
      <x:c r="F4145" t="str">
        <x:v>Mangaluru</x:v>
      </x:c>
      <x:c r="G4145" t="str">
        <x:v>Arjun</x:v>
      </x:c>
      <x:c r="H4145" t="str">
        <x:v>P040</x:v>
      </x:c>
      <x:c r="I4145" t="str">
        <x:v>Bread Loaf 400g</x:v>
      </x:c>
      <x:c r="J4145" t="str">
        <x:v>Bakery</x:v>
      </x:c>
      <x:c r="K4145" t="str">
        <x:v>Britannia</x:v>
      </x:c>
      <x:c r="L4145" s="22" t="n">
        <x:v>45</x:v>
      </x:c>
      <x:c r="M4145" t="n">
        <x:v>21</x:v>
      </x:c>
      <x:c r="N4145" s="24" t="n">
        <x:v>0.08</x:v>
      </x:c>
      <x:c r="O4145" s="22" t="n">
        <x:f>L4145*M4145</x:f>
        <x:v>945</x:v>
      </x:c>
      <x:c r="P4145" s="22" t="n">
        <x:f>O4145*(1-N4145)</x:f>
        <x:v>869.4000000000001</x:v>
      </x:c>
      <x:c r="Q4145" s="22" t="n">
        <x:v>35</x:v>
      </x:c>
      <x:c r="R4145" s="22" t="n">
        <x:f>Q4145*M4145</x:f>
        <x:v>735</x:v>
      </x:c>
      <x:c r="S4145" s="22" t="n">
        <x:f>P4145-R4145</x:f>
        <x:v>134.4000000000001</x:v>
      </x:c>
      <x:c r="T4145" t="str">
        <x:v>Cash</x:v>
      </x:c>
      <x:c r="U4145" t="str">
        <x:v>Paid</x:v>
      </x:c>
      <x:c r="V4145" t="str">
        <x:v>Delivered</x:v>
      </x:c>
      <x:c r="W4145" t="n">
        <x:v>0</x:v>
      </x:c>
      <x:c r="X4145" t="str"/>
      <x:c r="Y4145" t="str">
        <x:v>Existing Customer</x:v>
      </x:c>
    </x:row>
    <x:row r="4146">
      <x:c r="A4146" t="str">
        <x:v>O004145</x:v>
      </x:c>
      <x:c r="B4146" s="20" t="n">
        <x:v>45842</x:v>
      </x:c>
      <x:c r="C4146" t="str">
        <x:v>C0139</x:v>
      </x:c>
      <x:c r="D4146" t="str">
        <x:v>Classic Hotel 139</x:v>
      </x:c>
      <x:c r="E4146" t="str">
        <x:v>Cafe</x:v>
      </x:c>
      <x:c r="F4146" t="str">
        <x:v>Mysuru</x:v>
      </x:c>
      <x:c r="G4146" t="str">
        <x:v>Vikram</x:v>
      </x:c>
      <x:c r="H4146" t="str">
        <x:v>P019</x:v>
      </x:c>
      <x:c r="I4146" t="str">
        <x:v>Tea 1kg</x:v>
      </x:c>
      <x:c r="J4146" t="str">
        <x:v>Beverage</x:v>
      </x:c>
      <x:c r="K4146" t="str">
        <x:v>Red Label</x:v>
      </x:c>
      <x:c r="L4146" s="22" t="n">
        <x:v>540</x:v>
      </x:c>
      <x:c r="M4146" t="n">
        <x:v>32</x:v>
      </x:c>
      <x:c r="N4146" s="24" t="n">
        <x:v>0.02</x:v>
      </x:c>
      <x:c r="O4146" s="22" t="n">
        <x:f>L4146*M4146</x:f>
        <x:v>17280</x:v>
      </x:c>
      <x:c r="P4146" s="22" t="n">
        <x:f>O4146*(1-N4146)</x:f>
        <x:v>16934.4</x:v>
      </x:c>
      <x:c r="Q4146" s="22" t="n">
        <x:v>485</x:v>
      </x:c>
      <x:c r="R4146" s="22" t="n">
        <x:f>Q4146*M4146</x:f>
        <x:v>15520</x:v>
      </x:c>
      <x:c r="S4146" s="22" t="n">
        <x:f>P4146-R4146</x:f>
        <x:v>1414.4000000000015</x:v>
      </x:c>
      <x:c r="T4146" t="str">
        <x:v>Credit</x:v>
      </x:c>
      <x:c r="U4146" t="str">
        <x:v>Paid</x:v>
      </x:c>
      <x:c r="V4146" t="str">
        <x:v>Delivered</x:v>
      </x:c>
      <x:c r="W4146" t="n">
        <x:v>0</x:v>
      </x:c>
      <x:c r="X4146" t="str"/>
      <x:c r="Y4146" t="str">
        <x:v>Outbound Call</x:v>
      </x:c>
    </x:row>
    <x:row r="4147">
      <x:c r="A4147" t="str">
        <x:v>O004146</x:v>
      </x:c>
      <x:c r="B4147" s="20" t="n">
        <x:v>45887</x:v>
      </x:c>
      <x:c r="C4147" t="str">
        <x:v>C0089</x:v>
      </x:c>
      <x:c r="D4147" t="str">
        <x:v>Green Canteen 89</x:v>
      </x:c>
      <x:c r="E4147" t="str">
        <x:v>Supermarket</x:v>
      </x:c>
      <x:c r="F4147" t="str">
        <x:v>Mangaluru</x:v>
      </x:c>
      <x:c r="G4147" t="str">
        <x:v>Megha</x:v>
      </x:c>
      <x:c r="H4147" t="str">
        <x:v>P021</x:v>
      </x:c>
      <x:c r="I4147" t="str">
        <x:v>Instant Coffee 200g</x:v>
      </x:c>
      <x:c r="J4147" t="str">
        <x:v>Beverage</x:v>
      </x:c>
      <x:c r="K4147" t="str">
        <x:v>Nescafe</x:v>
      </x:c>
      <x:c r="L4147" s="22" t="n">
        <x:v>460</x:v>
      </x:c>
      <x:c r="M4147" t="n">
        <x:v>12</x:v>
      </x:c>
      <x:c r="N4147" s="24" t="n">
        <x:v>0</x:v>
      </x:c>
      <x:c r="O4147" s="22" t="n">
        <x:f>L4147*M4147</x:f>
        <x:v>5520</x:v>
      </x:c>
      <x:c r="P4147" s="22" t="n">
        <x:f>O4147*(1-N4147)</x:f>
        <x:v>5520</x:v>
      </x:c>
      <x:c r="Q4147" s="22" t="n">
        <x:v>410</x:v>
      </x:c>
      <x:c r="R4147" s="22" t="n">
        <x:f>Q4147*M4147</x:f>
        <x:v>4920</x:v>
      </x:c>
      <x:c r="S4147" s="22" t="n">
        <x:f>P4147-R4147</x:f>
        <x:v>600</x:v>
      </x:c>
      <x:c r="T4147" t="str">
        <x:v>Bank Transfer</x:v>
      </x:c>
      <x:c r="U4147" t="str">
        <x:v>Overdue</x:v>
      </x:c>
      <x:c r="V4147" t="str">
        <x:v>Delivered</x:v>
      </x:c>
      <x:c r="W4147" t="n">
        <x:v>0</x:v>
      </x:c>
      <x:c r="X4147" t="str"/>
      <x:c r="Y4147" t="str">
        <x:v>Field Visit</x:v>
      </x:c>
    </x:row>
    <x:row r="4148">
      <x:c r="A4148" t="str">
        <x:v>O004147</x:v>
      </x:c>
      <x:c r="B4148" s="20" t="n">
        <x:v>45995</x:v>
      </x:c>
      <x:c r="C4148" t="str">
        <x:v>C0030</x:v>
      </x:c>
      <x:c r="D4148" t="str">
        <x:v>Hotel Restaurant 30</x:v>
      </x:c>
      <x:c r="E4148" t="str">
        <x:v>Restaurant</x:v>
      </x:c>
      <x:c r="F4148" t="str">
        <x:v>Bengaluru</x:v>
      </x:c>
      <x:c r="G4148" t="str">
        <x:v>Imran</x:v>
      </x:c>
      <x:c r="H4148" t="str">
        <x:v>P013</x:v>
      </x:c>
      <x:c r="I4148" t="str">
        <x:v>Atta 10kg</x:v>
      </x:c>
      <x:c r="J4148" t="str">
        <x:v>Flour</x:v>
      </x:c>
      <x:c r="K4148" t="str">
        <x:v>Aashirvaad</x:v>
      </x:c>
      <x:c r="L4148" s="22" t="n">
        <x:v>560</x:v>
      </x:c>
      <x:c r="M4148" t="n">
        <x:v>11</x:v>
      </x:c>
      <x:c r="N4148" s="24" t="n">
        <x:v>0.02</x:v>
      </x:c>
      <x:c r="O4148" s="22" t="n">
        <x:f>L4148*M4148</x:f>
        <x:v>6160</x:v>
      </x:c>
      <x:c r="P4148" s="22" t="n">
        <x:f>O4148*(1-N4148)</x:f>
        <x:v>6036.8</x:v>
      </x:c>
      <x:c r="Q4148" s="22" t="n">
        <x:v>495</x:v>
      </x:c>
      <x:c r="R4148" s="22" t="n">
        <x:f>Q4148*M4148</x:f>
        <x:v>5445</x:v>
      </x:c>
      <x:c r="S4148" s="22" t="n">
        <x:f>P4148-R4148</x:f>
        <x:v>591.8000000000002</x:v>
      </x:c>
      <x:c r="T4148" t="str">
        <x:v>UPI</x:v>
      </x:c>
      <x:c r="U4148" t="str">
        <x:v>Paid</x:v>
      </x:c>
      <x:c r="V4148" t="str">
        <x:v>Delivered</x:v>
      </x:c>
      <x:c r="W4148" t="n">
        <x:v>0</x:v>
      </x:c>
      <x:c r="X4148" t="str"/>
      <x:c r="Y4148" t="str">
        <x:v>WhatsApp</x:v>
      </x:c>
    </x:row>
    <x:row r="4149">
      <x:c r="A4149" t="str">
        <x:v>O004148</x:v>
      </x:c>
      <x:c r="B4149" s="20" t="n">
        <x:v>45671</x:v>
      </x:c>
      <x:c r="C4149" t="str">
        <x:v>C0199</x:v>
      </x:c>
      <x:c r="D4149" t="str">
        <x:v>Classic Cafe 199</x:v>
      </x:c>
      <x:c r="E4149" t="str">
        <x:v>Canteen</x:v>
      </x:c>
      <x:c r="F4149" t="str">
        <x:v>Mangaluru</x:v>
      </x:c>
      <x:c r="G4149" t="str">
        <x:v>Ramesh</x:v>
      </x:c>
      <x:c r="H4149" t="str">
        <x:v>P023</x:v>
      </x:c>
      <x:c r="I4149" t="str">
        <x:v>Cola 750ml</x:v>
      </x:c>
      <x:c r="J4149" t="str">
        <x:v>Beverage</x:v>
      </x:c>
      <x:c r="K4149" t="str">
        <x:v>Coca-Cola</x:v>
      </x:c>
      <x:c r="L4149" s="22" t="n">
        <x:v>38</x:v>
      </x:c>
      <x:c r="M4149" t="n">
        <x:v>24</x:v>
      </x:c>
      <x:c r="N4149" s="24" t="n">
        <x:v>0</x:v>
      </x:c>
      <x:c r="O4149" s="22" t="n">
        <x:f>L4149*M4149</x:f>
        <x:v>912</x:v>
      </x:c>
      <x:c r="P4149" s="22" t="n">
        <x:f>O4149*(1-N4149)</x:f>
        <x:v>912</x:v>
      </x:c>
      <x:c r="Q4149" s="22" t="n">
        <x:v>31</x:v>
      </x:c>
      <x:c r="R4149" s="22" t="n">
        <x:f>Q4149*M4149</x:f>
        <x:v>744</x:v>
      </x:c>
      <x:c r="S4149" s="22" t="n">
        <x:f>P4149-R4149</x:f>
        <x:v>168</x:v>
      </x:c>
      <x:c r="T4149" t="str">
        <x:v>UPI</x:v>
      </x:c>
      <x:c r="U4149" t="str">
        <x:v>Pending</x:v>
      </x:c>
      <x:c r="V4149" t="str">
        <x:v>Cancelled</x:v>
      </x:c>
      <x:c r="W4149" t="n">
        <x:v>24</x:v>
      </x:c>
      <x:c r="X4149" t="str">
        <x:v>Cancelled Order</x:v>
      </x:c>
      <x:c r="Y4149" t="str">
        <x:v>Field Visit</x:v>
      </x:c>
    </x:row>
    <x:row r="4150">
      <x:c r="A4150" t="str">
        <x:v>O004149</x:v>
      </x:c>
      <x:c r="B4150" s="20" t="n">
        <x:v>45752</x:v>
      </x:c>
      <x:c r="C4150" t="str">
        <x:v>C0007</x:v>
      </x:c>
      <x:c r="D4150" t="str">
        <x:v>Mysore Stores 7</x:v>
      </x:c>
      <x:c r="E4150" t="str">
        <x:v>Kirana</x:v>
      </x:c>
      <x:c r="F4150" t="str">
        <x:v>Bengaluru</x:v>
      </x:c>
      <x:c r="G4150" t="str">
        <x:v>Kavya</x:v>
      </x:c>
      <x:c r="H4150" t="str">
        <x:v>P023</x:v>
      </x:c>
      <x:c r="I4150" t="str">
        <x:v>Cola 750ml</x:v>
      </x:c>
      <x:c r="J4150" t="str">
        <x:v>Beverage</x:v>
      </x:c>
      <x:c r="K4150" t="str">
        <x:v>Coca-Cola</x:v>
      </x:c>
      <x:c r="L4150" s="22" t="n">
        <x:v>38</x:v>
      </x:c>
      <x:c r="M4150" t="n">
        <x:v>19</x:v>
      </x:c>
      <x:c r="N4150" s="24" t="n">
        <x:v>0</x:v>
      </x:c>
      <x:c r="O4150" s="22" t="n">
        <x:f>L4150*M4150</x:f>
        <x:v>722</x:v>
      </x:c>
      <x:c r="P4150" s="22" t="n">
        <x:f>O4150*(1-N4150)</x:f>
        <x:v>722</x:v>
      </x:c>
      <x:c r="Q4150" s="22" t="n">
        <x:v>31</x:v>
      </x:c>
      <x:c r="R4150" s="22" t="n">
        <x:f>Q4150*M4150</x:f>
        <x:v>589</x:v>
      </x:c>
      <x:c r="S4150" s="22" t="n">
        <x:f>P4150-R4150</x:f>
        <x:v>133</x:v>
      </x:c>
      <x:c r="T4150" t="str">
        <x:v>UPI</x:v>
      </x:c>
      <x:c r="U4150" t="str">
        <x:v>Overdue</x:v>
      </x:c>
      <x:c r="V4150" t="str">
        <x:v>Delivered</x:v>
      </x:c>
      <x:c r="W4150" t="n">
        <x:v>0</x:v>
      </x:c>
      <x:c r="X4150" t="str"/>
      <x:c r="Y4150" t="str">
        <x:v>Outbound Call</x:v>
      </x:c>
    </x:row>
    <x:row r="4151">
      <x:c r="A4151" t="str">
        <x:v>O004150</x:v>
      </x:c>
      <x:c r="B4151" s="20" t="n">
        <x:v>45727</x:v>
      </x:c>
      <x:c r="C4151" t="str">
        <x:v>C0189</x:v>
      </x:c>
      <x:c r="D4151" t="str">
        <x:v>Classic Canteen 189</x:v>
      </x:c>
      <x:c r="E4151" t="str">
        <x:v>Kirana</x:v>
      </x:c>
      <x:c r="F4151" t="str">
        <x:v>Hubballi</x:v>
      </x:c>
      <x:c r="G4151" t="str">
        <x:v>Vikram</x:v>
      </x:c>
      <x:c r="H4151" t="str">
        <x:v>P024</x:v>
      </x:c>
      <x:c r="I4151" t="str">
        <x:v>Orange Drink 1L</x:v>
      </x:c>
      <x:c r="J4151" t="str">
        <x:v>Beverage</x:v>
      </x:c>
      <x:c r="K4151" t="str">
        <x:v>Minute Maid</x:v>
      </x:c>
      <x:c r="L4151" s="22" t="n">
        <x:v>105</x:v>
      </x:c>
      <x:c r="M4151" t="n">
        <x:v>22</x:v>
      </x:c>
      <x:c r="N4151" s="24" t="n">
        <x:v>0.03</x:v>
      </x:c>
      <x:c r="O4151" s="22" t="n">
        <x:f>L4151*M4151</x:f>
        <x:v>2310</x:v>
      </x:c>
      <x:c r="P4151" s="22" t="n">
        <x:f>O4151*(1-N4151)</x:f>
        <x:v>2240.7</x:v>
      </x:c>
      <x:c r="Q4151" s="22" t="n">
        <x:v>88</x:v>
      </x:c>
      <x:c r="R4151" s="22" t="n">
        <x:f>Q4151*M4151</x:f>
        <x:v>1936</x:v>
      </x:c>
      <x:c r="S4151" s="22" t="n">
        <x:f>P4151-R4151</x:f>
        <x:v>304.6999999999998</x:v>
      </x:c>
      <x:c r="T4151" t="str">
        <x:v>Bank Transfer</x:v>
      </x:c>
      <x:c r="U4151" t="str">
        <x:v>Paid</x:v>
      </x:c>
      <x:c r="V4151" t="str">
        <x:v>Delivered</x:v>
      </x:c>
      <x:c r="W4151" t="n">
        <x:v>0</x:v>
      </x:c>
      <x:c r="X4151" t="str"/>
      <x:c r="Y4151" t="str">
        <x:v>Existing Customer</x:v>
      </x:c>
    </x:row>
    <x:row r="4152">
      <x:c r="A4152" t="str">
        <x:v>O004151</x:v>
      </x:c>
      <x:c r="B4152" s="20" t="n">
        <x:v>46233</x:v>
      </x:c>
      <x:c r="C4152" t="str">
        <x:v>C0199</x:v>
      </x:c>
      <x:c r="D4152" t="str">
        <x:v>Classic Cafe 199</x:v>
      </x:c>
      <x:c r="E4152" t="str">
        <x:v>Canteen</x:v>
      </x:c>
      <x:c r="F4152" t="str">
        <x:v>Mangaluru</x:v>
      </x:c>
      <x:c r="G4152" t="str">
        <x:v>Ramesh</x:v>
      </x:c>
      <x:c r="H4152" t="str">
        <x:v>P025</x:v>
      </x:c>
      <x:c r="I4152" t="str">
        <x:v>Potato Chips 100g</x:v>
      </x:c>
      <x:c r="J4152" t="str">
        <x:v>Snacks</x:v>
      </x:c>
      <x:c r="K4152" t="str">
        <x:v>Lay's</x:v>
      </x:c>
      <x:c r="L4152" s="22" t="n">
        <x:v>35</x:v>
      </x:c>
      <x:c r="M4152" t="n">
        <x:v>37</x:v>
      </x:c>
      <x:c r="N4152" s="24" t="n">
        <x:v>0.08</x:v>
      </x:c>
      <x:c r="O4152" s="22" t="n">
        <x:f>L4152*M4152</x:f>
        <x:v>1295</x:v>
      </x:c>
      <x:c r="P4152" s="22" t="n">
        <x:f>O4152*(1-N4152)</x:f>
        <x:v>1191.4</x:v>
      </x:c>
      <x:c r="Q4152" s="22" t="n">
        <x:v>27</x:v>
      </x:c>
      <x:c r="R4152" s="22" t="n">
        <x:f>Q4152*M4152</x:f>
        <x:v>999</x:v>
      </x:c>
      <x:c r="S4152" s="22" t="n">
        <x:f>P4152-R4152</x:f>
        <x:v>192.4000000000001</x:v>
      </x:c>
      <x:c r="T4152" t="str">
        <x:v>Cash</x:v>
      </x:c>
      <x:c r="U4152" t="str">
        <x:v>Paid</x:v>
      </x:c>
      <x:c r="V4152" t="str">
        <x:v>Delayed</x:v>
      </x:c>
      <x:c r="W4152" t="n">
        <x:v>0</x:v>
      </x:c>
      <x:c r="X4152" t="str"/>
      <x:c r="Y4152" t="str">
        <x:v>WhatsApp</x:v>
      </x:c>
    </x:row>
    <x:row r="4153">
      <x:c r="A4153" t="str">
        <x:v>O004152</x:v>
      </x:c>
      <x:c r="B4153" s="20" t="n">
        <x:v>46238</x:v>
      </x:c>
      <x:c r="C4153" t="str">
        <x:v>C0052</x:v>
      </x:c>
      <x:c r="D4153" t="str">
        <x:v>Sagar Canteen 52</x:v>
      </x:c>
      <x:c r="E4153" t="str">
        <x:v>Kirana</x:v>
      </x:c>
      <x:c r="F4153" t="str">
        <x:v>Mysuru</x:v>
      </x:c>
      <x:c r="G4153" t="str">
        <x:v>Kavya</x:v>
      </x:c>
      <x:c r="H4153" t="str">
        <x:v>P003</x:v>
      </x:c>
      <x:c r="I4153" t="str">
        <x:v>Basmati Rice 5kg</x:v>
      </x:c>
      <x:c r="J4153" t="str">
        <x:v>Staples</x:v>
      </x:c>
      <x:c r="K4153" t="str">
        <x:v>India Gate</x:v>
      </x:c>
      <x:c r="L4153" s="22" t="n">
        <x:v>690</x:v>
      </x:c>
      <x:c r="M4153" t="n">
        <x:v>10</x:v>
      </x:c>
      <x:c r="N4153" s="24" t="n">
        <x:v>0.05</x:v>
      </x:c>
      <x:c r="O4153" s="22" t="n">
        <x:f>L4153*M4153</x:f>
        <x:v>6900</x:v>
      </x:c>
      <x:c r="P4153" s="22" t="n">
        <x:f>O4153*(1-N4153)</x:f>
        <x:v>6555</x:v>
      </x:c>
      <x:c r="Q4153" s="22" t="n">
        <x:v>610</x:v>
      </x:c>
      <x:c r="R4153" s="22" t="n">
        <x:f>Q4153*M4153</x:f>
        <x:v>6100</x:v>
      </x:c>
      <x:c r="S4153" s="22" t="n">
        <x:f>P4153-R4153</x:f>
        <x:v>455</x:v>
      </x:c>
      <x:c r="T4153" t="str">
        <x:v>Bank Transfer</x:v>
      </x:c>
      <x:c r="U4153" t="str">
        <x:v>Pending</x:v>
      </x:c>
      <x:c r="V4153" t="str">
        <x:v>Delayed</x:v>
      </x:c>
      <x:c r="W4153" t="n">
        <x:v>0</x:v>
      </x:c>
      <x:c r="X4153" t="str"/>
      <x:c r="Y4153" t="str">
        <x:v>Outbound Call</x:v>
      </x:c>
    </x:row>
    <x:row r="4154">
      <x:c r="A4154" t="str">
        <x:v>O004153</x:v>
      </x:c>
      <x:c r="B4154" s="20" t="n">
        <x:v>46080</x:v>
      </x:c>
      <x:c r="C4154" t="str">
        <x:v>C0014</x:v>
      </x:c>
      <x:c r="D4154" t="str">
        <x:v>Annapurna Canteen 14</x:v>
      </x:c>
      <x:c r="E4154" t="str">
        <x:v>Kirana</x:v>
      </x:c>
      <x:c r="F4154" t="str">
        <x:v>Davanagere</x:v>
      </x:c>
      <x:c r="G4154" t="str">
        <x:v>Sneha</x:v>
      </x:c>
      <x:c r="H4154" t="str">
        <x:v>P024</x:v>
      </x:c>
      <x:c r="I4154" t="str">
        <x:v>Orange Drink 1L</x:v>
      </x:c>
      <x:c r="J4154" t="str">
        <x:v>Beverage</x:v>
      </x:c>
      <x:c r="K4154" t="str">
        <x:v>Minute Maid</x:v>
      </x:c>
      <x:c r="L4154" s="22" t="n">
        <x:v>105</x:v>
      </x:c>
      <x:c r="M4154" t="n">
        <x:v>13</x:v>
      </x:c>
      <x:c r="N4154" s="24" t="n">
        <x:v>0.03</x:v>
      </x:c>
      <x:c r="O4154" s="22" t="n">
        <x:f>L4154*M4154</x:f>
        <x:v>1365</x:v>
      </x:c>
      <x:c r="P4154" s="22" t="n">
        <x:f>O4154*(1-N4154)</x:f>
        <x:v>1324.05</x:v>
      </x:c>
      <x:c r="Q4154" s="22" t="n">
        <x:v>88</x:v>
      </x:c>
      <x:c r="R4154" s="22" t="n">
        <x:f>Q4154*M4154</x:f>
        <x:v>1144</x:v>
      </x:c>
      <x:c r="S4154" s="22" t="n">
        <x:f>P4154-R4154</x:f>
        <x:v>180.04999999999995</x:v>
      </x:c>
      <x:c r="T4154" t="str">
        <x:v>UPI</x:v>
      </x:c>
      <x:c r="U4154" t="str">
        <x:v>Paid</x:v>
      </x:c>
      <x:c r="V4154" t="str">
        <x:v>Delivered</x:v>
      </x:c>
      <x:c r="W4154" t="n">
        <x:v>0</x:v>
      </x:c>
      <x:c r="X4154" t="str"/>
      <x:c r="Y4154" t="str">
        <x:v>Outbound Call</x:v>
      </x:c>
    </x:row>
    <x:row r="4155">
      <x:c r="A4155" t="str">
        <x:v>O004154</x:v>
      </x:c>
      <x:c r="B4155" s="20" t="n">
        <x:v>45962</x:v>
      </x:c>
      <x:c r="C4155" t="str">
        <x:v>C0053</x:v>
      </x:c>
      <x:c r="D4155" t="str">
        <x:v>Fresh Cafe 53</x:v>
      </x:c>
      <x:c r="E4155" t="str">
        <x:v>Supermarket</x:v>
      </x:c>
      <x:c r="F4155" t="str">
        <x:v>Mangaluru</x:v>
      </x:c>
      <x:c r="G4155" t="str">
        <x:v>Megha</x:v>
      </x:c>
      <x:c r="H4155" t="str">
        <x:v>P040</x:v>
      </x:c>
      <x:c r="I4155" t="str">
        <x:v>Bread Loaf 400g</x:v>
      </x:c>
      <x:c r="J4155" t="str">
        <x:v>Bakery</x:v>
      </x:c>
      <x:c r="K4155" t="str">
        <x:v>Britannia</x:v>
      </x:c>
      <x:c r="L4155" s="22" t="n">
        <x:v>45</x:v>
      </x:c>
      <x:c r="M4155" t="n">
        <x:v>40</x:v>
      </x:c>
      <x:c r="N4155" s="24" t="n">
        <x:v>0</x:v>
      </x:c>
      <x:c r="O4155" s="22" t="n">
        <x:f>L4155*M4155</x:f>
        <x:v>1800</x:v>
      </x:c>
      <x:c r="P4155" s="22" t="n">
        <x:f>O4155*(1-N4155)</x:f>
        <x:v>1800</x:v>
      </x:c>
      <x:c r="Q4155" s="22" t="n">
        <x:v>35</x:v>
      </x:c>
      <x:c r="R4155" s="22" t="n">
        <x:f>Q4155*M4155</x:f>
        <x:v>1400</x:v>
      </x:c>
      <x:c r="S4155" s="22" t="n">
        <x:f>P4155-R4155</x:f>
        <x:v>400</x:v>
      </x:c>
      <x:c r="T4155" t="str">
        <x:v>Cash</x:v>
      </x:c>
      <x:c r="U4155" t="str">
        <x:v>Paid</x:v>
      </x:c>
      <x:c r="V4155" t="str">
        <x:v>Delivered</x:v>
      </x:c>
      <x:c r="W4155" t="n">
        <x:v>0</x:v>
      </x:c>
      <x:c r="X4155" t="str"/>
      <x:c r="Y4155" t="str">
        <x:v>WhatsApp</x:v>
      </x:c>
    </x:row>
    <x:row r="4156">
      <x:c r="A4156" t="str">
        <x:v>O004155</x:v>
      </x:c>
      <x:c r="B4156" s="20" t="n">
        <x:v>46099</x:v>
      </x:c>
      <x:c r="C4156" t="str">
        <x:v>C0074</x:v>
      </x:c>
      <x:c r="D4156" t="str">
        <x:v>Foodie Hotel 74</x:v>
      </x:c>
      <x:c r="E4156" t="str">
        <x:v>Restaurant</x:v>
      </x:c>
      <x:c r="F4156" t="str">
        <x:v>Mysuru</x:v>
      </x:c>
      <x:c r="G4156" t="str">
        <x:v>Vikram</x:v>
      </x:c>
      <x:c r="H4156" t="str">
        <x:v>P013</x:v>
      </x:c>
      <x:c r="I4156" t="str">
        <x:v>Atta 10kg</x:v>
      </x:c>
      <x:c r="J4156" t="str">
        <x:v>Flour</x:v>
      </x:c>
      <x:c r="K4156" t="str">
        <x:v>Aashirvaad</x:v>
      </x:c>
      <x:c r="L4156" s="22" t="n">
        <x:v>560</x:v>
      </x:c>
      <x:c r="M4156" t="n">
        <x:v>20</x:v>
      </x:c>
      <x:c r="N4156" s="24" t="n">
        <x:v>0</x:v>
      </x:c>
      <x:c r="O4156" s="22" t="n">
        <x:f>L4156*M4156</x:f>
        <x:v>11200</x:v>
      </x:c>
      <x:c r="P4156" s="22" t="n">
        <x:f>O4156*(1-N4156)</x:f>
        <x:v>11200</x:v>
      </x:c>
      <x:c r="Q4156" s="22" t="n">
        <x:v>495</x:v>
      </x:c>
      <x:c r="R4156" s="22" t="n">
        <x:f>Q4156*M4156</x:f>
        <x:v>9900</x:v>
      </x:c>
      <x:c r="S4156" s="22" t="n">
        <x:f>P4156-R4156</x:f>
        <x:v>1300</x:v>
      </x:c>
      <x:c r="T4156" t="str">
        <x:v>Credit</x:v>
      </x:c>
      <x:c r="U4156" t="str">
        <x:v>Paid</x:v>
      </x:c>
      <x:c r="V4156" t="str">
        <x:v>Cancelled</x:v>
      </x:c>
      <x:c r="W4156" t="n">
        <x:v>20</x:v>
      </x:c>
      <x:c r="X4156" t="str">
        <x:v>Cancelled Order</x:v>
      </x:c>
      <x:c r="Y4156" t="str">
        <x:v>Referral</x:v>
      </x:c>
    </x:row>
    <x:row r="4157">
      <x:c r="A4157" t="str">
        <x:v>O004156</x:v>
      </x:c>
      <x:c r="B4157" s="20" t="n">
        <x:v>45980</x:v>
      </x:c>
      <x:c r="C4157" t="str">
        <x:v>C0079</x:v>
      </x:c>
      <x:c r="D4157" t="str">
        <x:v>Foodie Foods 79</x:v>
      </x:c>
      <x:c r="E4157" t="str">
        <x:v>Cafe</x:v>
      </x:c>
      <x:c r="F4157" t="str">
        <x:v>Tumakuru</x:v>
      </x:c>
      <x:c r="G4157" t="str">
        <x:v>Ramesh</x:v>
      </x:c>
      <x:c r="H4157" t="str">
        <x:v>P048</x:v>
      </x:c>
      <x:c r="I4157" t="str">
        <x:v>Banana 10kg</x:v>
      </x:c>
      <x:c r="J4157" t="str">
        <x:v>Fresh Produce</x:v>
      </x:c>
      <x:c r="K4157" t="str">
        <x:v>Local Market</x:v>
      </x:c>
      <x:c r="L4157" s="22" t="n">
        <x:v>420</x:v>
      </x:c>
      <x:c r="M4157" t="n">
        <x:v>39</x:v>
      </x:c>
      <x:c r="N4157" s="24" t="n">
        <x:v>0.1</x:v>
      </x:c>
      <x:c r="O4157" s="22" t="n">
        <x:f>L4157*M4157</x:f>
        <x:v>16380</x:v>
      </x:c>
      <x:c r="P4157" s="22" t="n">
        <x:f>O4157*(1-N4157)</x:f>
        <x:v>14742</x:v>
      </x:c>
      <x:c r="Q4157" s="22" t="n">
        <x:v>350</x:v>
      </x:c>
      <x:c r="R4157" s="22" t="n">
        <x:f>Q4157*M4157</x:f>
        <x:v>13650</x:v>
      </x:c>
      <x:c r="S4157" s="22" t="n">
        <x:f>P4157-R4157</x:f>
        <x:v>1092</x:v>
      </x:c>
      <x:c r="T4157" t="str">
        <x:v>Cash</x:v>
      </x:c>
      <x:c r="U4157" t="str">
        <x:v>Paid</x:v>
      </x:c>
      <x:c r="V4157" t="str">
        <x:v>Delivered</x:v>
      </x:c>
      <x:c r="W4157" t="n">
        <x:v>0</x:v>
      </x:c>
      <x:c r="X4157" t="str"/>
      <x:c r="Y4157" t="str">
        <x:v>Outbound Call</x:v>
      </x:c>
    </x:row>
    <x:row r="4158">
      <x:c r="A4158" t="str">
        <x:v>O004157</x:v>
      </x:c>
      <x:c r="B4158" s="20" t="n">
        <x:v>46255</x:v>
      </x:c>
      <x:c r="C4158" t="str">
        <x:v>C0194</x:v>
      </x:c>
      <x:c r="D4158" t="str">
        <x:v>Royal Hotel 194</x:v>
      </x:c>
      <x:c r="E4158" t="str">
        <x:v>Kirana</x:v>
      </x:c>
      <x:c r="F4158" t="str">
        <x:v>Mysuru</x:v>
      </x:c>
      <x:c r="G4158" t="str">
        <x:v>Megha</x:v>
      </x:c>
      <x:c r="H4158" t="str">
        <x:v>P035</x:v>
      </x:c>
      <x:c r="I4158" t="str">
        <x:v>Coriander Powder 1kg</x:v>
      </x:c>
      <x:c r="J4158" t="str">
        <x:v>Spices</x:v>
      </x:c>
      <x:c r="K4158" t="str">
        <x:v>Everest</x:v>
      </x:c>
      <x:c r="L4158" s="22" t="n">
        <x:v>280</x:v>
      </x:c>
      <x:c r="M4158" t="n">
        <x:v>21</x:v>
      </x:c>
      <x:c r="N4158" s="24" t="n">
        <x:v>0.1</x:v>
      </x:c>
      <x:c r="O4158" s="22" t="n">
        <x:f>L4158*M4158</x:f>
        <x:v>5880</x:v>
      </x:c>
      <x:c r="P4158" s="22" t="n">
        <x:f>O4158*(1-N4158)</x:f>
        <x:v>5292</x:v>
      </x:c>
      <x:c r="Q4158" s="22" t="n">
        <x:v>245</x:v>
      </x:c>
      <x:c r="R4158" s="22" t="n">
        <x:f>Q4158*M4158</x:f>
        <x:v>5145</x:v>
      </x:c>
      <x:c r="S4158" s="22" t="n">
        <x:f>P4158-R4158</x:f>
        <x:v>147</x:v>
      </x:c>
      <x:c r="T4158" t="str">
        <x:v>Cash</x:v>
      </x:c>
      <x:c r="U4158" t="str">
        <x:v>Paid</x:v>
      </x:c>
      <x:c r="V4158" t="str">
        <x:v>Delivered</x:v>
      </x:c>
      <x:c r="W4158" t="n">
        <x:v>0</x:v>
      </x:c>
      <x:c r="X4158" t="str"/>
      <x:c r="Y4158" t="str">
        <x:v>Outbound Call</x:v>
      </x:c>
    </x:row>
    <x:row r="4159">
      <x:c r="A4159" t="str">
        <x:v>O004158</x:v>
      </x:c>
      <x:c r="B4159" s="20" t="n">
        <x:v>46250</x:v>
      </x:c>
      <x:c r="C4159" t="str">
        <x:v>C0159</x:v>
      </x:c>
      <x:c r="D4159" t="str">
        <x:v>Darshini Foods 159</x:v>
      </x:c>
      <x:c r="E4159" t="str">
        <x:v>Canteen</x:v>
      </x:c>
      <x:c r="F4159" t="str">
        <x:v>Tumakuru</x:v>
      </x:c>
      <x:c r="G4159" t="str">
        <x:v>Kavya</x:v>
      </x:c>
      <x:c r="H4159" t="str">
        <x:v>P036</x:v>
      </x:c>
      <x:c r="I4159" t="str">
        <x:v>Garam Masala 500g</x:v>
      </x:c>
      <x:c r="J4159" t="str">
        <x:v>Spices</x:v>
      </x:c>
      <x:c r="K4159" t="str">
        <x:v>MDH</x:v>
      </x:c>
      <x:c r="L4159" s="22" t="n">
        <x:v>265</x:v>
      </x:c>
      <x:c r="M4159" t="n">
        <x:v>31</x:v>
      </x:c>
      <x:c r="N4159" s="24" t="n">
        <x:v>0.08</x:v>
      </x:c>
      <x:c r="O4159" s="22" t="n">
        <x:f>L4159*M4159</x:f>
        <x:v>8215</x:v>
      </x:c>
      <x:c r="P4159" s="22" t="n">
        <x:f>O4159*(1-N4159)</x:f>
        <x:v>7557.8</x:v>
      </x:c>
      <x:c r="Q4159" s="22" t="n">
        <x:v>230</x:v>
      </x:c>
      <x:c r="R4159" s="22" t="n">
        <x:f>Q4159*M4159</x:f>
        <x:v>7130</x:v>
      </x:c>
      <x:c r="S4159" s="22" t="n">
        <x:f>P4159-R4159</x:f>
        <x:v>427.8000000000002</x:v>
      </x:c>
      <x:c r="T4159" t="str">
        <x:v>Bank Transfer</x:v>
      </x:c>
      <x:c r="U4159" t="str">
        <x:v>Paid</x:v>
      </x:c>
      <x:c r="V4159" t="str">
        <x:v>Cancelled</x:v>
      </x:c>
      <x:c r="W4159" t="n">
        <x:v>31</x:v>
      </x:c>
      <x:c r="X4159" t="str">
        <x:v>Cancelled Order</x:v>
      </x:c>
      <x:c r="Y4159" t="str">
        <x:v>Outbound Call</x:v>
      </x:c>
    </x:row>
    <x:row r="4160">
      <x:c r="A4160" t="str">
        <x:v>O004159</x:v>
      </x:c>
      <x:c r="B4160" s="20" t="n">
        <x:v>45817</x:v>
      </x:c>
      <x:c r="C4160" t="str">
        <x:v>C0003</x:v>
      </x:c>
      <x:c r="D4160" t="str">
        <x:v>Grand Foods 3</x:v>
      </x:c>
      <x:c r="E4160" t="str">
        <x:v>Restaurant</x:v>
      </x:c>
      <x:c r="F4160" t="str">
        <x:v>Bengaluru</x:v>
      </x:c>
      <x:c r="G4160" t="str">
        <x:v>Vikram</x:v>
      </x:c>
      <x:c r="H4160" t="str">
        <x:v>P018</x:v>
      </x:c>
      <x:c r="I4160" t="str">
        <x:v>Paneer 1kg</x:v>
      </x:c>
      <x:c r="J4160" t="str">
        <x:v>Dairy</x:v>
      </x:c>
      <x:c r="K4160" t="str">
        <x:v>Milky Mist</x:v>
      </x:c>
      <x:c r="L4160" s="22" t="n">
        <x:v>410</x:v>
      </x:c>
      <x:c r="M4160" t="n">
        <x:v>14</x:v>
      </x:c>
      <x:c r="N4160" s="24" t="n">
        <x:v>0</x:v>
      </x:c>
      <x:c r="O4160" s="22" t="n">
        <x:f>L4160*M4160</x:f>
        <x:v>5740</x:v>
      </x:c>
      <x:c r="P4160" s="22" t="n">
        <x:f>O4160*(1-N4160)</x:f>
        <x:v>5740</x:v>
      </x:c>
      <x:c r="Q4160" s="22" t="n">
        <x:v>370</x:v>
      </x:c>
      <x:c r="R4160" s="22" t="n">
        <x:f>Q4160*M4160</x:f>
        <x:v>5180</x:v>
      </x:c>
      <x:c r="S4160" s="22" t="n">
        <x:f>P4160-R4160</x:f>
        <x:v>560</x:v>
      </x:c>
      <x:c r="T4160" t="str">
        <x:v>Bank Transfer</x:v>
      </x:c>
      <x:c r="U4160" t="str">
        <x:v>Paid</x:v>
      </x:c>
      <x:c r="V4160" t="str">
        <x:v>Delayed</x:v>
      </x:c>
      <x:c r="W4160" t="n">
        <x:v>0</x:v>
      </x:c>
      <x:c r="X4160" t="str"/>
      <x:c r="Y4160" t="str">
        <x:v>Referral</x:v>
      </x:c>
    </x:row>
    <x:row r="4161">
      <x:c r="A4161" t="str">
        <x:v>O004160</x:v>
      </x:c>
      <x:c r="B4161" s="20" t="n">
        <x:v>45662</x:v>
      </x:c>
      <x:c r="C4161" t="str">
        <x:v>C0146</x:v>
      </x:c>
      <x:c r="D4161" t="str">
        <x:v>Annapurna Hotel 146</x:v>
      </x:c>
      <x:c r="E4161" t="str">
        <x:v>Restaurant</x:v>
      </x:c>
      <x:c r="F4161" t="str">
        <x:v>Davanagere</x:v>
      </x:c>
      <x:c r="G4161" t="str">
        <x:v>Arjun</x:v>
      </x:c>
      <x:c r="H4161" t="str">
        <x:v>P025</x:v>
      </x:c>
      <x:c r="I4161" t="str">
        <x:v>Potato Chips 100g</x:v>
      </x:c>
      <x:c r="J4161" t="str">
        <x:v>Snacks</x:v>
      </x:c>
      <x:c r="K4161" t="str">
        <x:v>Lay's</x:v>
      </x:c>
      <x:c r="L4161" s="22" t="n">
        <x:v>35</x:v>
      </x:c>
      <x:c r="M4161" t="n">
        <x:v>10</x:v>
      </x:c>
      <x:c r="N4161" s="24" t="n">
        <x:v>0.02</x:v>
      </x:c>
      <x:c r="O4161" s="22" t="n">
        <x:f>L4161*M4161</x:f>
        <x:v>350</x:v>
      </x:c>
      <x:c r="P4161" s="22" t="n">
        <x:f>O4161*(1-N4161)</x:f>
        <x:v>343</x:v>
      </x:c>
      <x:c r="Q4161" s="22" t="n">
        <x:v>27</x:v>
      </x:c>
      <x:c r="R4161" s="22" t="n">
        <x:f>Q4161*M4161</x:f>
        <x:v>270</x:v>
      </x:c>
      <x:c r="S4161" s="22" t="n">
        <x:f>P4161-R4161</x:f>
        <x:v>73</x:v>
      </x:c>
      <x:c r="T4161" t="str">
        <x:v>Bank Transfer</x:v>
      </x:c>
      <x:c r="U4161" t="str">
        <x:v>Paid</x:v>
      </x:c>
      <x:c r="V4161" t="str">
        <x:v>Delivered</x:v>
      </x:c>
      <x:c r="W4161" t="n">
        <x:v>3</x:v>
      </x:c>
      <x:c r="X4161" t="str">
        <x:v>Wrong Item</x:v>
      </x:c>
      <x:c r="Y4161" t="str">
        <x:v>Existing Customer</x:v>
      </x:c>
    </x:row>
    <x:row r="4162">
      <x:c r="A4162" t="str">
        <x:v>O004161</x:v>
      </x:c>
      <x:c r="B4162" s="20" t="n">
        <x:v>46097</x:v>
      </x:c>
      <x:c r="C4162" t="str">
        <x:v>C0238</x:v>
      </x:c>
      <x:c r="D4162" t="str">
        <x:v>Foodie Foods 238</x:v>
      </x:c>
      <x:c r="E4162" t="str">
        <x:v>Restaurant</x:v>
      </x:c>
      <x:c r="F4162" t="str">
        <x:v>Davanagere</x:v>
      </x:c>
      <x:c r="G4162" t="str">
        <x:v>Megha</x:v>
      </x:c>
      <x:c r="H4162" t="str">
        <x:v>P025</x:v>
      </x:c>
      <x:c r="I4162" t="str">
        <x:v>Potato Chips 100g</x:v>
      </x:c>
      <x:c r="J4162" t="str">
        <x:v>Snacks</x:v>
      </x:c>
      <x:c r="K4162" t="str">
        <x:v>Lay's</x:v>
      </x:c>
      <x:c r="L4162" s="22" t="n">
        <x:v>35</x:v>
      </x:c>
      <x:c r="M4162" t="n">
        <x:v>33</x:v>
      </x:c>
      <x:c r="N4162" s="24" t="n">
        <x:v>0.02</x:v>
      </x:c>
      <x:c r="O4162" s="22" t="n">
        <x:f>L4162*M4162</x:f>
        <x:v>1155</x:v>
      </x:c>
      <x:c r="P4162" s="22" t="n">
        <x:f>O4162*(1-N4162)</x:f>
        <x:v>1131.9</x:v>
      </x:c>
      <x:c r="Q4162" s="22" t="n">
        <x:v>27</x:v>
      </x:c>
      <x:c r="R4162" s="22" t="n">
        <x:f>Q4162*M4162</x:f>
        <x:v>891</x:v>
      </x:c>
      <x:c r="S4162" s="22" t="n">
        <x:f>P4162-R4162</x:f>
        <x:v>240.9000000000001</x:v>
      </x:c>
      <x:c r="T4162" t="str">
        <x:v>UPI</x:v>
      </x:c>
      <x:c r="U4162" t="str">
        <x:v>Pending</x:v>
      </x:c>
      <x:c r="V4162" t="str">
        <x:v>Cancelled</x:v>
      </x:c>
      <x:c r="W4162" t="n">
        <x:v>33</x:v>
      </x:c>
      <x:c r="X4162" t="str">
        <x:v>Cancelled Order</x:v>
      </x:c>
      <x:c r="Y4162" t="str">
        <x:v>Referral</x:v>
      </x:c>
    </x:row>
    <x:row r="4163">
      <x:c r="A4163" t="str">
        <x:v>O004162</x:v>
      </x:c>
      <x:c r="B4163" s="20" t="n">
        <x:v>46133</x:v>
      </x:c>
      <x:c r="C4163" t="str">
        <x:v>C0189</x:v>
      </x:c>
      <x:c r="D4163" t="str">
        <x:v>Classic Canteen 189</x:v>
      </x:c>
      <x:c r="E4163" t="str">
        <x:v>Kirana</x:v>
      </x:c>
      <x:c r="F4163" t="str">
        <x:v>Hubballi</x:v>
      </x:c>
      <x:c r="G4163" t="str">
        <x:v>Vikram</x:v>
      </x:c>
      <x:c r="H4163" t="str">
        <x:v>P011</x:v>
      </x:c>
      <x:c r="I4163" t="str">
        <x:v>Salt 1kg</x:v>
      </x:c>
      <x:c r="J4163" t="str">
        <x:v>Staples</x:v>
      </x:c>
      <x:c r="K4163" t="str">
        <x:v>Tata</x:v>
      </x:c>
      <x:c r="L4163" s="22" t="n">
        <x:v>28</x:v>
      </x:c>
      <x:c r="M4163" t="n">
        <x:v>21</x:v>
      </x:c>
      <x:c r="N4163" s="24" t="n">
        <x:v>0.03</x:v>
      </x:c>
      <x:c r="O4163" s="22" t="n">
        <x:f>L4163*M4163</x:f>
        <x:v>588</x:v>
      </x:c>
      <x:c r="P4163" s="22" t="n">
        <x:f>O4163*(1-N4163)</x:f>
        <x:v>570.36</x:v>
      </x:c>
      <x:c r="Q4163" s="22" t="n">
        <x:v>23</x:v>
      </x:c>
      <x:c r="R4163" s="22" t="n">
        <x:f>Q4163*M4163</x:f>
        <x:v>483</x:v>
      </x:c>
      <x:c r="S4163" s="22" t="n">
        <x:f>P4163-R4163</x:f>
        <x:v>87.36000000000001</x:v>
      </x:c>
      <x:c r="T4163" t="str">
        <x:v>Credit</x:v>
      </x:c>
      <x:c r="U4163" t="str">
        <x:v>Overdue</x:v>
      </x:c>
      <x:c r="V4163" t="str">
        <x:v>Delivered</x:v>
      </x:c>
      <x:c r="W4163" t="n">
        <x:v>0</x:v>
      </x:c>
      <x:c r="X4163" t="str"/>
      <x:c r="Y4163" t="str">
        <x:v>Outbound Call</x:v>
      </x:c>
    </x:row>
    <x:row r="4164">
      <x:c r="A4164" t="str">
        <x:v>O004163</x:v>
      </x:c>
      <x:c r="B4164" s="20" t="n">
        <x:v>45856</x:v>
      </x:c>
      <x:c r="C4164" t="str">
        <x:v>C0249</x:v>
      </x:c>
      <x:c r="D4164" t="str">
        <x:v>City Hotel 249</x:v>
      </x:c>
      <x:c r="E4164" t="str">
        <x:v>Supermarket</x:v>
      </x:c>
      <x:c r="F4164" t="str">
        <x:v>Mysuru</x:v>
      </x:c>
      <x:c r="G4164" t="str">
        <x:v>Arjun</x:v>
      </x:c>
      <x:c r="H4164" t="str">
        <x:v>P032</x:v>
      </x:c>
      <x:c r="I4164" t="str">
        <x:v>Soy Sauce 700g</x:v>
      </x:c>
      <x:c r="J4164" t="str">
        <x:v>Condiments</x:v>
      </x:c>
      <x:c r="K4164" t="str">
        <x:v>Ching's</x:v>
      </x:c>
      <x:c r="L4164" s="22" t="n">
        <x:v>118</x:v>
      </x:c>
      <x:c r="M4164" t="n">
        <x:v>34</x:v>
      </x:c>
      <x:c r="N4164" s="24" t="n">
        <x:v>0</x:v>
      </x:c>
      <x:c r="O4164" s="22" t="n">
        <x:f>L4164*M4164</x:f>
        <x:v>4012</x:v>
      </x:c>
      <x:c r="P4164" s="22" t="n">
        <x:f>O4164*(1-N4164)</x:f>
        <x:v>4012</x:v>
      </x:c>
      <x:c r="Q4164" s="22" t="n">
        <x:v>101</x:v>
      </x:c>
      <x:c r="R4164" s="22" t="n">
        <x:f>Q4164*M4164</x:f>
        <x:v>3434</x:v>
      </x:c>
      <x:c r="S4164" s="22" t="n">
        <x:f>P4164-R4164</x:f>
        <x:v>578</x:v>
      </x:c>
      <x:c r="T4164" t="str">
        <x:v>Bank Transfer</x:v>
      </x:c>
      <x:c r="U4164" t="str">
        <x:v>Paid</x:v>
      </x:c>
      <x:c r="V4164" t="str">
        <x:v>Delivered</x:v>
      </x:c>
      <x:c r="W4164" t="n">
        <x:v>0</x:v>
      </x:c>
      <x:c r="X4164" t="str"/>
      <x:c r="Y4164" t="str">
        <x:v>Outbound Call</x:v>
      </x:c>
    </x:row>
    <x:row r="4165">
      <x:c r="A4165" t="str">
        <x:v>O004164</x:v>
      </x:c>
      <x:c r="B4165" s="20" t="n">
        <x:v>46213</x:v>
      </x:c>
      <x:c r="C4165" t="str">
        <x:v>C0205</x:v>
      </x:c>
      <x:c r="D4165" t="str">
        <x:v>Royal Mart 205</x:v>
      </x:c>
      <x:c r="E4165" t="str">
        <x:v>Kirana</x:v>
      </x:c>
      <x:c r="F4165" t="str">
        <x:v>Mysuru</x:v>
      </x:c>
      <x:c r="G4165" t="str">
        <x:v>Priya</x:v>
      </x:c>
      <x:c r="H4165" t="str">
        <x:v>P038</x:v>
      </x:c>
      <x:c r="I4165" t="str">
        <x:v>French Fries 2.5kg</x:v>
      </x:c>
      <x:c r="J4165" t="str">
        <x:v>Frozen</x:v>
      </x:c>
      <x:c r="K4165" t="str">
        <x:v>McCain</x:v>
      </x:c>
      <x:c r="L4165" s="22" t="n">
        <x:v>360</x:v>
      </x:c>
      <x:c r="M4165" t="n">
        <x:v>11</x:v>
      </x:c>
      <x:c r="N4165" s="24" t="n">
        <x:v>0.02</x:v>
      </x:c>
      <x:c r="O4165" s="22" t="n">
        <x:f>L4165*M4165</x:f>
        <x:v>3960</x:v>
      </x:c>
      <x:c r="P4165" s="22" t="n">
        <x:f>O4165*(1-N4165)</x:f>
        <x:v>3880.7999999999997</x:v>
      </x:c>
      <x:c r="Q4165" s="22" t="n">
        <x:v>315</x:v>
      </x:c>
      <x:c r="R4165" s="22" t="n">
        <x:f>Q4165*M4165</x:f>
        <x:v>3465</x:v>
      </x:c>
      <x:c r="S4165" s="22" t="n">
        <x:f>P4165-R4165</x:f>
        <x:v>415.7999999999997</x:v>
      </x:c>
      <x:c r="T4165" t="str">
        <x:v>Credit</x:v>
      </x:c>
      <x:c r="U4165" t="str">
        <x:v>Paid</x:v>
      </x:c>
      <x:c r="V4165" t="str">
        <x:v>Cancelled</x:v>
      </x:c>
      <x:c r="W4165" t="n">
        <x:v>11</x:v>
      </x:c>
      <x:c r="X4165" t="str">
        <x:v>Cancelled Order</x:v>
      </x:c>
      <x:c r="Y4165" t="str">
        <x:v>WhatsApp</x:v>
      </x:c>
    </x:row>
    <x:row r="4166">
      <x:c r="A4166" t="str">
        <x:v>O004165</x:v>
      </x:c>
      <x:c r="B4166" s="20" t="n">
        <x:v>46063</x:v>
      </x:c>
      <x:c r="C4166" t="str">
        <x:v>C0135</x:v>
      </x:c>
      <x:c r="D4166" t="str">
        <x:v>City Canteen 135</x:v>
      </x:c>
      <x:c r="E4166" t="str">
        <x:v>Supermarket</x:v>
      </x:c>
      <x:c r="F4166" t="str">
        <x:v>Hubballi</x:v>
      </x:c>
      <x:c r="G4166" t="str">
        <x:v>Megha</x:v>
      </x:c>
      <x:c r="H4166" t="str">
        <x:v>P045</x:v>
      </x:c>
      <x:c r="I4166" t="str">
        <x:v>Onion 25kg</x:v>
      </x:c>
      <x:c r="J4166" t="str">
        <x:v>Fresh Produce</x:v>
      </x:c>
      <x:c r="K4166" t="str">
        <x:v>Local Market</x:v>
      </x:c>
      <x:c r="L4166" s="22" t="n">
        <x:v>875</x:v>
      </x:c>
      <x:c r="M4166" t="n">
        <x:v>9</x:v>
      </x:c>
      <x:c r="N4166" s="24" t="n">
        <x:v>0</x:v>
      </x:c>
      <x:c r="O4166" s="22" t="n">
        <x:f>L4166*M4166</x:f>
        <x:v>7875</x:v>
      </x:c>
      <x:c r="P4166" s="22" t="n">
        <x:f>O4166*(1-N4166)</x:f>
        <x:v>7875</x:v>
      </x:c>
      <x:c r="Q4166" s="22" t="n">
        <x:v>760</x:v>
      </x:c>
      <x:c r="R4166" s="22" t="n">
        <x:f>Q4166*M4166</x:f>
        <x:v>6840</x:v>
      </x:c>
      <x:c r="S4166" s="22" t="n">
        <x:f>P4166-R4166</x:f>
        <x:v>1035</x:v>
      </x:c>
      <x:c r="T4166" t="str">
        <x:v>Credit</x:v>
      </x:c>
      <x:c r="U4166" t="str">
        <x:v>Pending</x:v>
      </x:c>
      <x:c r="V4166" t="str">
        <x:v>Delivered</x:v>
      </x:c>
      <x:c r="W4166" t="n">
        <x:v>0</x:v>
      </x:c>
      <x:c r="X4166" t="str"/>
      <x:c r="Y4166" t="str">
        <x:v>Referral</x:v>
      </x:c>
    </x:row>
    <x:row r="4167">
      <x:c r="A4167" t="str">
        <x:v>O004166</x:v>
      </x:c>
      <x:c r="B4167" s="20" t="n">
        <x:v>46091</x:v>
      </x:c>
      <x:c r="C4167" t="str">
        <x:v>C0167</x:v>
      </x:c>
      <x:c r="D4167" t="str">
        <x:v>Foodie Canteen 167</x:v>
      </x:c>
      <x:c r="E4167" t="str">
        <x:v>Canteen</x:v>
      </x:c>
      <x:c r="F4167" t="str">
        <x:v>Bengaluru</x:v>
      </x:c>
      <x:c r="G4167" t="str">
        <x:v>Megha</x:v>
      </x:c>
      <x:c r="H4167" t="str">
        <x:v>P005</x:v>
      </x:c>
      <x:c r="I4167" t="str">
        <x:v>Chana Dal 5kg</x:v>
      </x:c>
      <x:c r="J4167" t="str">
        <x:v>Pulses</x:v>
      </x:c>
      <x:c r="K4167" t="str">
        <x:v>Local Select</x:v>
      </x:c>
      <x:c r="L4167" s="22" t="n">
        <x:v>520</x:v>
      </x:c>
      <x:c r="M4167" t="n">
        <x:v>35</x:v>
      </x:c>
      <x:c r="N4167" s="24" t="n">
        <x:v>0.08</x:v>
      </x:c>
      <x:c r="O4167" s="22" t="n">
        <x:f>L4167*M4167</x:f>
        <x:v>18200</x:v>
      </x:c>
      <x:c r="P4167" s="22" t="n">
        <x:f>O4167*(1-N4167)</x:f>
        <x:v>16744</x:v>
      </x:c>
      <x:c r="Q4167" s="22" t="n">
        <x:v>455</x:v>
      </x:c>
      <x:c r="R4167" s="22" t="n">
        <x:f>Q4167*M4167</x:f>
        <x:v>15925</x:v>
      </x:c>
      <x:c r="S4167" s="22" t="n">
        <x:f>P4167-R4167</x:f>
        <x:v>819</x:v>
      </x:c>
      <x:c r="T4167" t="str">
        <x:v>Credit</x:v>
      </x:c>
      <x:c r="U4167" t="str">
        <x:v>Paid</x:v>
      </x:c>
      <x:c r="V4167" t="str">
        <x:v>Delivered</x:v>
      </x:c>
      <x:c r="W4167" t="n">
        <x:v>0</x:v>
      </x:c>
      <x:c r="X4167" t="str"/>
      <x:c r="Y4167" t="str">
        <x:v>WhatsApp</x:v>
      </x:c>
    </x:row>
    <x:row r="4168">
      <x:c r="A4168" t="str">
        <x:v>O004167</x:v>
      </x:c>
      <x:c r="B4168" s="20" t="n">
        <x:v>46194</x:v>
      </x:c>
      <x:c r="C4168" t="str">
        <x:v>C0130</x:v>
      </x:c>
      <x:c r="D4168" t="str">
        <x:v>Foodie Cafe 130</x:v>
      </x:c>
      <x:c r="E4168" t="str">
        <x:v>Restaurant</x:v>
      </x:c>
      <x:c r="F4168" t="str">
        <x:v>Davanagere</x:v>
      </x:c>
      <x:c r="G4168" t="str">
        <x:v>Megha</x:v>
      </x:c>
      <x:c r="H4168" t="str">
        <x:v>P044</x:v>
      </x:c>
      <x:c r="I4168" t="str">
        <x:v>Chicken Curry Cut 1kg</x:v>
      </x:c>
      <x:c r="J4168" t="str">
        <x:v>Protein</x:v>
      </x:c>
      <x:c r="K4168" t="str">
        <x:v>FreshToHome</x:v>
      </x:c>
      <x:c r="L4168" s="22" t="n">
        <x:v>230</x:v>
      </x:c>
      <x:c r="M4168" t="n">
        <x:v>5</x:v>
      </x:c>
      <x:c r="N4168" s="24" t="n">
        <x:v>0.08</x:v>
      </x:c>
      <x:c r="O4168" s="22" t="n">
        <x:f>L4168*M4168</x:f>
        <x:v>1150</x:v>
      </x:c>
      <x:c r="P4168" s="22" t="n">
        <x:f>O4168*(1-N4168)</x:f>
        <x:v>1058</x:v>
      </x:c>
      <x:c r="Q4168" s="22" t="n">
        <x:v>205</x:v>
      </x:c>
      <x:c r="R4168" s="22" t="n">
        <x:f>Q4168*M4168</x:f>
        <x:v>1025</x:v>
      </x:c>
      <x:c r="S4168" s="22" t="n">
        <x:f>P4168-R4168</x:f>
        <x:v>33</x:v>
      </x:c>
      <x:c r="T4168" t="str">
        <x:v>Bank Transfer</x:v>
      </x:c>
      <x:c r="U4168" t="str">
        <x:v>Paid</x:v>
      </x:c>
      <x:c r="V4168" t="str">
        <x:v>Delivered</x:v>
      </x:c>
      <x:c r="W4168" t="n">
        <x:v>0</x:v>
      </x:c>
      <x:c r="X4168" t="str"/>
      <x:c r="Y4168" t="str">
        <x:v>Referral</x:v>
      </x:c>
    </x:row>
    <x:row r="4169">
      <x:c r="A4169" t="str">
        <x:v>O004168</x:v>
      </x:c>
      <x:c r="B4169" s="20" t="n">
        <x:v>45930</x:v>
      </x:c>
      <x:c r="C4169" t="str">
        <x:v>C0140</x:v>
      </x:c>
      <x:c r="D4169" t="str">
        <x:v>Fresh Hotel 140</x:v>
      </x:c>
      <x:c r="E4169" t="str">
        <x:v>Kirana</x:v>
      </x:c>
      <x:c r="F4169" t="str">
        <x:v>Tumakuru</x:v>
      </x:c>
      <x:c r="G4169" t="str">
        <x:v>Imran</x:v>
      </x:c>
      <x:c r="H4169" t="str">
        <x:v>P044</x:v>
      </x:c>
      <x:c r="I4169" t="str">
        <x:v>Chicken Curry Cut 1kg</x:v>
      </x:c>
      <x:c r="J4169" t="str">
        <x:v>Protein</x:v>
      </x:c>
      <x:c r="K4169" t="str">
        <x:v>FreshToHome</x:v>
      </x:c>
      <x:c r="L4169" s="22" t="n">
        <x:v>230</x:v>
      </x:c>
      <x:c r="M4169" t="n">
        <x:v>25</x:v>
      </x:c>
      <x:c r="N4169" s="24" t="n">
        <x:v>0.02</x:v>
      </x:c>
      <x:c r="O4169" s="22" t="n">
        <x:f>L4169*M4169</x:f>
        <x:v>5750</x:v>
      </x:c>
      <x:c r="P4169" s="22" t="n">
        <x:f>O4169*(1-N4169)</x:f>
        <x:v>5635</x:v>
      </x:c>
      <x:c r="Q4169" s="22" t="n">
        <x:v>205</x:v>
      </x:c>
      <x:c r="R4169" s="22" t="n">
        <x:f>Q4169*M4169</x:f>
        <x:v>5125</x:v>
      </x:c>
      <x:c r="S4169" s="22" t="n">
        <x:f>P4169-R4169</x:f>
        <x:v>510</x:v>
      </x:c>
      <x:c r="T4169" t="str">
        <x:v>UPI</x:v>
      </x:c>
      <x:c r="U4169" t="str">
        <x:v>Paid</x:v>
      </x:c>
      <x:c r="V4169" t="str">
        <x:v>Delivered</x:v>
      </x:c>
      <x:c r="W4169" t="n">
        <x:v>0</x:v>
      </x:c>
      <x:c r="X4169" t="str"/>
      <x:c r="Y4169" t="str">
        <x:v>Existing Customer</x:v>
      </x:c>
    </x:row>
    <x:row r="4170">
      <x:c r="A4170" t="str">
        <x:v>O004169</x:v>
      </x:c>
      <x:c r="B4170" s="20" t="n">
        <x:v>45761</x:v>
      </x:c>
      <x:c r="C4170" t="str">
        <x:v>C0162</x:v>
      </x:c>
      <x:c r="D4170" t="str">
        <x:v>Udupi Foods 162</x:v>
      </x:c>
      <x:c r="E4170" t="str">
        <x:v>Restaurant</x:v>
      </x:c>
      <x:c r="F4170" t="str">
        <x:v>Mysuru</x:v>
      </x:c>
      <x:c r="G4170" t="str">
        <x:v>Ramesh</x:v>
      </x:c>
      <x:c r="H4170" t="str">
        <x:v>P019</x:v>
      </x:c>
      <x:c r="I4170" t="str">
        <x:v>Tea 1kg</x:v>
      </x:c>
      <x:c r="J4170" t="str">
        <x:v>Beverage</x:v>
      </x:c>
      <x:c r="K4170" t="str">
        <x:v>Red Label</x:v>
      </x:c>
      <x:c r="L4170" s="22" t="n">
        <x:v>540</x:v>
      </x:c>
      <x:c r="M4170" t="n">
        <x:v>40</x:v>
      </x:c>
      <x:c r="N4170" s="24" t="n">
        <x:v>0.05</x:v>
      </x:c>
      <x:c r="O4170" s="22" t="n">
        <x:f>L4170*M4170</x:f>
        <x:v>21600</x:v>
      </x:c>
      <x:c r="P4170" s="22" t="n">
        <x:f>O4170*(1-N4170)</x:f>
        <x:v>20520</x:v>
      </x:c>
      <x:c r="Q4170" s="22" t="n">
        <x:v>485</x:v>
      </x:c>
      <x:c r="R4170" s="22" t="n">
        <x:f>Q4170*M4170</x:f>
        <x:v>19400</x:v>
      </x:c>
      <x:c r="S4170" s="22" t="n">
        <x:f>P4170-R4170</x:f>
        <x:v>1120</x:v>
      </x:c>
      <x:c r="T4170" t="str">
        <x:v>Credit</x:v>
      </x:c>
      <x:c r="U4170" t="str">
        <x:v>Overdue</x:v>
      </x:c>
      <x:c r="V4170" t="str">
        <x:v>Delivered</x:v>
      </x:c>
      <x:c r="W4170" t="n">
        <x:v>1</x:v>
      </x:c>
      <x:c r="X4170" t="str">
        <x:v>Damaged</x:v>
      </x:c>
      <x:c r="Y4170" t="str">
        <x:v>Existing Customer</x:v>
      </x:c>
    </x:row>
    <x:row r="4171">
      <x:c r="A4171" t="str">
        <x:v>O004170</x:v>
      </x:c>
      <x:c r="B4171" s="20" t="n">
        <x:v>46230</x:v>
      </x:c>
      <x:c r="C4171" t="str">
        <x:v>C0055</x:v>
      </x:c>
      <x:c r="D4171" t="str">
        <x:v>Royal Mart 55</x:v>
      </x:c>
      <x:c r="E4171" t="str">
        <x:v>Restaurant</x:v>
      </x:c>
      <x:c r="F4171" t="str">
        <x:v>Hubballi</x:v>
      </x:c>
      <x:c r="G4171" t="str">
        <x:v>Vikram</x:v>
      </x:c>
      <x:c r="H4171" t="str">
        <x:v>P017</x:v>
      </x:c>
      <x:c r="I4171" t="str">
        <x:v>Butter 500g</x:v>
      </x:c>
      <x:c r="J4171" t="str">
        <x:v>Dairy</x:v>
      </x:c>
      <x:c r="K4171" t="str">
        <x:v>Amul</x:v>
      </x:c>
      <x:c r="L4171" s="22" t="n">
        <x:v>285</x:v>
      </x:c>
      <x:c r="M4171" t="n">
        <x:v>1</x:v>
      </x:c>
      <x:c r="N4171" s="24" t="n">
        <x:v>0.05</x:v>
      </x:c>
      <x:c r="O4171" s="22" t="n">
        <x:f>L4171*M4171</x:f>
        <x:v>285</x:v>
      </x:c>
      <x:c r="P4171" s="22" t="n">
        <x:f>O4171*(1-N4171)</x:f>
        <x:v>270.75</x:v>
      </x:c>
      <x:c r="Q4171" s="22" t="n">
        <x:v>258</x:v>
      </x:c>
      <x:c r="R4171" s="22" t="n">
        <x:f>Q4171*M4171</x:f>
        <x:v>258</x:v>
      </x:c>
      <x:c r="S4171" s="22" t="n">
        <x:f>P4171-R4171</x:f>
        <x:v>12.75</x:v>
      </x:c>
      <x:c r="T4171" t="str">
        <x:v>Cash</x:v>
      </x:c>
      <x:c r="U4171" t="str">
        <x:v>Pending</x:v>
      </x:c>
      <x:c r="V4171" t="str">
        <x:v>Delivered</x:v>
      </x:c>
      <x:c r="W4171" t="n">
        <x:v>0</x:v>
      </x:c>
      <x:c r="X4171" t="str"/>
      <x:c r="Y4171" t="str">
        <x:v>Existing Customer</x:v>
      </x:c>
    </x:row>
    <x:row r="4172">
      <x:c r="A4172" t="str">
        <x:v>O004171</x:v>
      </x:c>
      <x:c r="B4172" s="20" t="n">
        <x:v>45703</x:v>
      </x:c>
      <x:c r="C4172" t="str">
        <x:v>C0142</x:v>
      </x:c>
      <x:c r="D4172" t="str">
        <x:v>Darshini Mart 142</x:v>
      </x:c>
      <x:c r="E4172" t="str">
        <x:v>Cafe</x:v>
      </x:c>
      <x:c r="F4172" t="str">
        <x:v>Bengaluru</x:v>
      </x:c>
      <x:c r="G4172" t="str">
        <x:v>Megha</x:v>
      </x:c>
      <x:c r="H4172" t="str">
        <x:v>P037</x:v>
      </x:c>
      <x:c r="I4172" t="str">
        <x:v>Frozen Peas 1kg</x:v>
      </x:c>
      <x:c r="J4172" t="str">
        <x:v>Frozen</x:v>
      </x:c>
      <x:c r="K4172" t="str">
        <x:v>Safal</x:v>
      </x:c>
      <x:c r="L4172" s="22" t="n">
        <x:v>155</x:v>
      </x:c>
      <x:c r="M4172" t="n">
        <x:v>18</x:v>
      </x:c>
      <x:c r="N4172" s="24" t="n">
        <x:v>0.08</x:v>
      </x:c>
      <x:c r="O4172" s="22" t="n">
        <x:f>L4172*M4172</x:f>
        <x:v>2790</x:v>
      </x:c>
      <x:c r="P4172" s="22" t="n">
        <x:f>O4172*(1-N4172)</x:f>
        <x:v>2566.8</x:v>
      </x:c>
      <x:c r="Q4172" s="22" t="n">
        <x:v>138</x:v>
      </x:c>
      <x:c r="R4172" s="22" t="n">
        <x:f>Q4172*M4172</x:f>
        <x:v>2484</x:v>
      </x:c>
      <x:c r="S4172" s="22" t="n">
        <x:f>P4172-R4172</x:f>
        <x:v>82.80000000000018</x:v>
      </x:c>
      <x:c r="T4172" t="str">
        <x:v>Bank Transfer</x:v>
      </x:c>
      <x:c r="U4172" t="str">
        <x:v>Paid</x:v>
      </x:c>
      <x:c r="V4172" t="str">
        <x:v>Delivered</x:v>
      </x:c>
      <x:c r="W4172" t="n">
        <x:v>0</x:v>
      </x:c>
      <x:c r="X4172" t="str"/>
      <x:c r="Y4172" t="str">
        <x:v>Field Visit</x:v>
      </x:c>
    </x:row>
    <x:row r="4173">
      <x:c r="A4173" t="str">
        <x:v>O004172</x:v>
      </x:c>
      <x:c r="B4173" s="20" t="n">
        <x:v>46126</x:v>
      </x:c>
      <x:c r="C4173" t="str">
        <x:v>C0235</x:v>
      </x:c>
      <x:c r="D4173" t="str">
        <x:v>Darshini Canteen 235</x:v>
      </x:c>
      <x:c r="E4173" t="str">
        <x:v>Hotel</x:v>
      </x:c>
      <x:c r="F4173" t="str">
        <x:v>Mangaluru</x:v>
      </x:c>
      <x:c r="G4173" t="str">
        <x:v>Arjun</x:v>
      </x:c>
      <x:c r="H4173" t="str">
        <x:v>P045</x:v>
      </x:c>
      <x:c r="I4173" t="str">
        <x:v>Onion 25kg</x:v>
      </x:c>
      <x:c r="J4173" t="str">
        <x:v>Fresh Produce</x:v>
      </x:c>
      <x:c r="K4173" t="str">
        <x:v>Local Market</x:v>
      </x:c>
      <x:c r="L4173" s="22" t="n">
        <x:v>875</x:v>
      </x:c>
      <x:c r="M4173" t="n">
        <x:v>9</x:v>
      </x:c>
      <x:c r="N4173" s="24" t="n">
        <x:v>0.02</x:v>
      </x:c>
      <x:c r="O4173" s="22" t="n">
        <x:f>L4173*M4173</x:f>
        <x:v>7875</x:v>
      </x:c>
      <x:c r="P4173" s="22" t="n">
        <x:f>O4173*(1-N4173)</x:f>
        <x:v>7717.5</x:v>
      </x:c>
      <x:c r="Q4173" s="22" t="n">
        <x:v>760</x:v>
      </x:c>
      <x:c r="R4173" s="22" t="n">
        <x:f>Q4173*M4173</x:f>
        <x:v>6840</x:v>
      </x:c>
      <x:c r="S4173" s="22" t="n">
        <x:f>P4173-R4173</x:f>
        <x:v>877.5</x:v>
      </x:c>
      <x:c r="T4173" t="str">
        <x:v>Bank Transfer</x:v>
      </x:c>
      <x:c r="U4173" t="str">
        <x:v>Paid</x:v>
      </x:c>
      <x:c r="V4173" t="str">
        <x:v>Delivered</x:v>
      </x:c>
      <x:c r="W4173" t="n">
        <x:v>0</x:v>
      </x:c>
      <x:c r="X4173" t="str"/>
      <x:c r="Y4173" t="str">
        <x:v>Existing Customer</x:v>
      </x:c>
    </x:row>
    <x:row r="4174">
      <x:c r="A4174" t="str">
        <x:v>O004173</x:v>
      </x:c>
      <x:c r="B4174" s="20" t="n">
        <x:v>46090</x:v>
      </x:c>
      <x:c r="C4174" t="str">
        <x:v>C0109</x:v>
      </x:c>
      <x:c r="D4174" t="str">
        <x:v>Annapurna Kitchen 109</x:v>
      </x:c>
      <x:c r="E4174" t="str">
        <x:v>Kirana</x:v>
      </x:c>
      <x:c r="F4174" t="str">
        <x:v>Mysuru</x:v>
      </x:c>
      <x:c r="G4174" t="str">
        <x:v>Kavya</x:v>
      </x:c>
      <x:c r="H4174" t="str">
        <x:v>P046</x:v>
      </x:c>
      <x:c r="I4174" t="str">
        <x:v>Potato 25kg</x:v>
      </x:c>
      <x:c r="J4174" t="str">
        <x:v>Fresh Produce</x:v>
      </x:c>
      <x:c r="K4174" t="str">
        <x:v>Local Market</x:v>
      </x:c>
      <x:c r="L4174" s="22" t="n">
        <x:v>700</x:v>
      </x:c>
      <x:c r="M4174" t="n">
        <x:v>27</x:v>
      </x:c>
      <x:c r="N4174" s="24" t="n">
        <x:v>0.02</x:v>
      </x:c>
      <x:c r="O4174" s="22" t="n">
        <x:f>L4174*M4174</x:f>
        <x:v>18900</x:v>
      </x:c>
      <x:c r="P4174" s="22" t="n">
        <x:f>O4174*(1-N4174)</x:f>
        <x:v>18522</x:v>
      </x:c>
      <x:c r="Q4174" s="22" t="n">
        <x:v>610</x:v>
      </x:c>
      <x:c r="R4174" s="22" t="n">
        <x:f>Q4174*M4174</x:f>
        <x:v>16470</x:v>
      </x:c>
      <x:c r="S4174" s="22" t="n">
        <x:f>P4174-R4174</x:f>
        <x:v>2052</x:v>
      </x:c>
      <x:c r="T4174" t="str">
        <x:v>Cash</x:v>
      </x:c>
      <x:c r="U4174" t="str">
        <x:v>Overdue</x:v>
      </x:c>
      <x:c r="V4174" t="str">
        <x:v>Delayed</x:v>
      </x:c>
      <x:c r="W4174" t="n">
        <x:v>0</x:v>
      </x:c>
      <x:c r="X4174" t="str"/>
      <x:c r="Y4174" t="str">
        <x:v>Existing Customer</x:v>
      </x:c>
    </x:row>
    <x:row r="4175">
      <x:c r="A4175" t="str">
        <x:v>O004174</x:v>
      </x:c>
      <x:c r="B4175" s="20" t="n">
        <x:v>45885</x:v>
      </x:c>
      <x:c r="C4175" t="str">
        <x:v>C0176</x:v>
      </x:c>
      <x:c r="D4175" t="str">
        <x:v>Cafe Kitchen 176</x:v>
      </x:c>
      <x:c r="E4175" t="str">
        <x:v>Kirana</x:v>
      </x:c>
      <x:c r="F4175" t="str">
        <x:v>Mysuru</x:v>
      </x:c>
      <x:c r="G4175" t="str">
        <x:v>Priya</x:v>
      </x:c>
      <x:c r="H4175" t="str">
        <x:v>P020</x:v>
      </x:c>
      <x:c r="I4175" t="str">
        <x:v>Coffee 500g</x:v>
      </x:c>
      <x:c r="J4175" t="str">
        <x:v>Beverage</x:v>
      </x:c>
      <x:c r="K4175" t="str">
        <x:v>Bru</x:v>
      </x:c>
      <x:c r="L4175" s="22" t="n">
        <x:v>390</x:v>
      </x:c>
      <x:c r="M4175" t="n">
        <x:v>2</x:v>
      </x:c>
      <x:c r="N4175" s="24" t="n">
        <x:v>0.03</x:v>
      </x:c>
      <x:c r="O4175" s="22" t="n">
        <x:f>L4175*M4175</x:f>
        <x:v>780</x:v>
      </x:c>
      <x:c r="P4175" s="22" t="n">
        <x:f>O4175*(1-N4175)</x:f>
        <x:v>756.6</x:v>
      </x:c>
      <x:c r="Q4175" s="22" t="n">
        <x:v>350</x:v>
      </x:c>
      <x:c r="R4175" s="22" t="n">
        <x:f>Q4175*M4175</x:f>
        <x:v>700</x:v>
      </x:c>
      <x:c r="S4175" s="22" t="n">
        <x:f>P4175-R4175</x:f>
        <x:v>56.60000000000002</x:v>
      </x:c>
      <x:c r="T4175" t="str">
        <x:v>UPI</x:v>
      </x:c>
      <x:c r="U4175" t="str">
        <x:v>Pending</x:v>
      </x:c>
      <x:c r="V4175" t="str">
        <x:v>Delivered</x:v>
      </x:c>
      <x:c r="W4175" t="n">
        <x:v>0</x:v>
      </x:c>
      <x:c r="X4175" t="str"/>
      <x:c r="Y4175" t="str">
        <x:v>Referral</x:v>
      </x:c>
    </x:row>
    <x:row r="4176">
      <x:c r="A4176" t="str">
        <x:v>O004175</x:v>
      </x:c>
      <x:c r="B4176" s="20" t="n">
        <x:v>46000</x:v>
      </x:c>
      <x:c r="C4176" t="str">
        <x:v>C0165</x:v>
      </x:c>
      <x:c r="D4176" t="str">
        <x:v>Royal Restaurant 165</x:v>
      </x:c>
      <x:c r="E4176" t="str">
        <x:v>Hotel</x:v>
      </x:c>
      <x:c r="F4176" t="str">
        <x:v>Tumakuru</x:v>
      </x:c>
      <x:c r="G4176" t="str">
        <x:v>Kavya</x:v>
      </x:c>
      <x:c r="H4176" t="str">
        <x:v>P050</x:v>
      </x:c>
      <x:c r="I4176" t="str">
        <x:v>Lemon 5kg</x:v>
      </x:c>
      <x:c r="J4176" t="str">
        <x:v>Fresh Produce</x:v>
      </x:c>
      <x:c r="K4176" t="str">
        <x:v>Local Market</x:v>
      </x:c>
      <x:c r="L4176" s="22" t="n">
        <x:v>360</x:v>
      </x:c>
      <x:c r="M4176" t="n">
        <x:v>16</x:v>
      </x:c>
      <x:c r="N4176" s="24" t="n">
        <x:v>0.03</x:v>
      </x:c>
      <x:c r="O4176" s="22" t="n">
        <x:f>L4176*M4176</x:f>
        <x:v>5760</x:v>
      </x:c>
      <x:c r="P4176" s="22" t="n">
        <x:f>O4176*(1-N4176)</x:f>
        <x:v>5587.2</x:v>
      </x:c>
      <x:c r="Q4176" s="22" t="n">
        <x:v>300</x:v>
      </x:c>
      <x:c r="R4176" s="22" t="n">
        <x:f>Q4176*M4176</x:f>
        <x:v>4800</x:v>
      </x:c>
      <x:c r="S4176" s="22" t="n">
        <x:f>P4176-R4176</x:f>
        <x:v>787.1999999999998</x:v>
      </x:c>
      <x:c r="T4176" t="str">
        <x:v>Bank Transfer</x:v>
      </x:c>
      <x:c r="U4176" t="str">
        <x:v>Paid</x:v>
      </x:c>
      <x:c r="V4176" t="str">
        <x:v>Delayed</x:v>
      </x:c>
      <x:c r="W4176" t="n">
        <x:v>0</x:v>
      </x:c>
      <x:c r="X4176" t="str"/>
      <x:c r="Y4176" t="str">
        <x:v>Existing Customer</x:v>
      </x:c>
    </x:row>
    <x:row r="4177">
      <x:c r="A4177" t="str">
        <x:v>O004176</x:v>
      </x:c>
      <x:c r="B4177" s="20" t="n">
        <x:v>45999</x:v>
      </x:c>
      <x:c r="C4177" t="str">
        <x:v>C0074</x:v>
      </x:c>
      <x:c r="D4177" t="str">
        <x:v>Foodie Hotel 74</x:v>
      </x:c>
      <x:c r="E4177" t="str">
        <x:v>Restaurant</x:v>
      </x:c>
      <x:c r="F4177" t="str">
        <x:v>Mysuru</x:v>
      </x:c>
      <x:c r="G4177" t="str">
        <x:v>Vikram</x:v>
      </x:c>
      <x:c r="H4177" t="str">
        <x:v>P006</x:v>
      </x:c>
      <x:c r="I4177" t="str">
        <x:v>Moong Dal 5kg</x:v>
      </x:c>
      <x:c r="J4177" t="str">
        <x:v>Pulses</x:v>
      </x:c>
      <x:c r="K4177" t="str">
        <x:v>Local Select</x:v>
      </x:c>
      <x:c r="L4177" s="22" t="n">
        <x:v>610</x:v>
      </x:c>
      <x:c r="M4177" t="n">
        <x:v>21</x:v>
      </x:c>
      <x:c r="N4177" s="24" t="n">
        <x:v>0.03</x:v>
      </x:c>
      <x:c r="O4177" s="22" t="n">
        <x:f>L4177*M4177</x:f>
        <x:v>12810</x:v>
      </x:c>
      <x:c r="P4177" s="22" t="n">
        <x:f>O4177*(1-N4177)</x:f>
        <x:v>12425.699999999999</x:v>
      </x:c>
      <x:c r="Q4177" s="22" t="n">
        <x:v>540</x:v>
      </x:c>
      <x:c r="R4177" s="22" t="n">
        <x:f>Q4177*M4177</x:f>
        <x:v>11340</x:v>
      </x:c>
      <x:c r="S4177" s="22" t="n">
        <x:f>P4177-R4177</x:f>
        <x:v>1085.699999999999</x:v>
      </x:c>
      <x:c r="T4177" t="str">
        <x:v>UPI</x:v>
      </x:c>
      <x:c r="U4177" t="str">
        <x:v>Paid</x:v>
      </x:c>
      <x:c r="V4177" t="str">
        <x:v>Cancelled</x:v>
      </x:c>
      <x:c r="W4177" t="n">
        <x:v>21</x:v>
      </x:c>
      <x:c r="X4177" t="str">
        <x:v>Cancelled Order</x:v>
      </x:c>
      <x:c r="Y4177" t="str">
        <x:v>WhatsApp</x:v>
      </x:c>
    </x:row>
    <x:row r="4178">
      <x:c r="A4178" t="str">
        <x:v>O004177</x:v>
      </x:c>
      <x:c r="B4178" s="20" t="n">
        <x:v>45829</x:v>
      </x:c>
      <x:c r="C4178" t="str">
        <x:v>C0020</x:v>
      </x:c>
      <x:c r="D4178" t="str">
        <x:v>Shree Foods 20</x:v>
      </x:c>
      <x:c r="E4178" t="str">
        <x:v>Restaurant</x:v>
      </x:c>
      <x:c r="F4178" t="str">
        <x:v>Mysuru</x:v>
      </x:c>
      <x:c r="G4178" t="str">
        <x:v>Arjun</x:v>
      </x:c>
      <x:c r="H4178" t="str">
        <x:v>P019</x:v>
      </x:c>
      <x:c r="I4178" t="str">
        <x:v>Tea 1kg</x:v>
      </x:c>
      <x:c r="J4178" t="str">
        <x:v>Beverage</x:v>
      </x:c>
      <x:c r="K4178" t="str">
        <x:v>Red Label</x:v>
      </x:c>
      <x:c r="L4178" s="22" t="n">
        <x:v>540</x:v>
      </x:c>
      <x:c r="M4178" t="n">
        <x:v>8</x:v>
      </x:c>
      <x:c r="N4178" s="24" t="n">
        <x:v>0.05</x:v>
      </x:c>
      <x:c r="O4178" s="22" t="n">
        <x:f>L4178*M4178</x:f>
        <x:v>4320</x:v>
      </x:c>
      <x:c r="P4178" s="22" t="n">
        <x:f>O4178*(1-N4178)</x:f>
        <x:v>4104</x:v>
      </x:c>
      <x:c r="Q4178" s="22" t="n">
        <x:v>485</x:v>
      </x:c>
      <x:c r="R4178" s="22" t="n">
        <x:f>Q4178*M4178</x:f>
        <x:v>3880</x:v>
      </x:c>
      <x:c r="S4178" s="22" t="n">
        <x:f>P4178-R4178</x:f>
        <x:v>224</x:v>
      </x:c>
      <x:c r="T4178" t="str">
        <x:v>Cash</x:v>
      </x:c>
      <x:c r="U4178" t="str">
        <x:v>Paid</x:v>
      </x:c>
      <x:c r="V4178" t="str">
        <x:v>Delivered</x:v>
      </x:c>
      <x:c r="W4178" t="n">
        <x:v>0</x:v>
      </x:c>
      <x:c r="X4178" t="str"/>
      <x:c r="Y4178" t="str">
        <x:v>Existing Customer</x:v>
      </x:c>
    </x:row>
    <x:row r="4179">
      <x:c r="A4179" t="str">
        <x:v>O004178</x:v>
      </x:c>
      <x:c r="B4179" s="20" t="n">
        <x:v>45916</x:v>
      </x:c>
      <x:c r="C4179" t="str">
        <x:v>C0248</x:v>
      </x:c>
      <x:c r="D4179" t="str">
        <x:v>Royal Restaurant 248</x:v>
      </x:c>
      <x:c r="E4179" t="str">
        <x:v>Canteen</x:v>
      </x:c>
      <x:c r="F4179" t="str">
        <x:v>Mysuru</x:v>
      </x:c>
      <x:c r="G4179" t="str">
        <x:v>Priya</x:v>
      </x:c>
      <x:c r="H4179" t="str">
        <x:v>P047</x:v>
      </x:c>
      <x:c r="I4179" t="str">
        <x:v>Tomato 25kg</x:v>
      </x:c>
      <x:c r="J4179" t="str">
        <x:v>Fresh Produce</x:v>
      </x:c>
      <x:c r="K4179" t="str">
        <x:v>Local Market</x:v>
      </x:c>
      <x:c r="L4179" s="22" t="n">
        <x:v>950</x:v>
      </x:c>
      <x:c r="M4179" t="n">
        <x:v>16</x:v>
      </x:c>
      <x:c r="N4179" s="24" t="n">
        <x:v>0</x:v>
      </x:c>
      <x:c r="O4179" s="22" t="n">
        <x:f>L4179*M4179</x:f>
        <x:v>15200</x:v>
      </x:c>
      <x:c r="P4179" s="22" t="n">
        <x:f>O4179*(1-N4179)</x:f>
        <x:v>15200</x:v>
      </x:c>
      <x:c r="Q4179" s="22" t="n">
        <x:v>810</x:v>
      </x:c>
      <x:c r="R4179" s="22" t="n">
        <x:f>Q4179*M4179</x:f>
        <x:v>12960</x:v>
      </x:c>
      <x:c r="S4179" s="22" t="n">
        <x:f>P4179-R4179</x:f>
        <x:v>2240</x:v>
      </x:c>
      <x:c r="T4179" t="str">
        <x:v>UPI</x:v>
      </x:c>
      <x:c r="U4179" t="str">
        <x:v>Paid</x:v>
      </x:c>
      <x:c r="V4179" t="str">
        <x:v>Delayed</x:v>
      </x:c>
      <x:c r="W4179" t="n">
        <x:v>0</x:v>
      </x:c>
      <x:c r="X4179" t="str"/>
      <x:c r="Y4179" t="str">
        <x:v>Referral</x:v>
      </x:c>
    </x:row>
    <x:row r="4180">
      <x:c r="A4180" t="str">
        <x:v>O004179</x:v>
      </x:c>
      <x:c r="B4180" s="20" t="n">
        <x:v>46018</x:v>
      </x:c>
      <x:c r="C4180" t="str">
        <x:v>C0185</x:v>
      </x:c>
      <x:c r="D4180" t="str">
        <x:v>Mysore Foods 185</x:v>
      </x:c>
      <x:c r="E4180" t="str">
        <x:v>Restaurant</x:v>
      </x:c>
      <x:c r="F4180" t="str">
        <x:v>Mysuru</x:v>
      </x:c>
      <x:c r="G4180" t="str">
        <x:v>Sneha</x:v>
      </x:c>
      <x:c r="H4180" t="str">
        <x:v>P003</x:v>
      </x:c>
      <x:c r="I4180" t="str">
        <x:v>Basmati Rice 5kg</x:v>
      </x:c>
      <x:c r="J4180" t="str">
        <x:v>Staples</x:v>
      </x:c>
      <x:c r="K4180" t="str">
        <x:v>India Gate</x:v>
      </x:c>
      <x:c r="L4180" s="22" t="n">
        <x:v>690</x:v>
      </x:c>
      <x:c r="M4180" t="n">
        <x:v>40</x:v>
      </x:c>
      <x:c r="N4180" s="24" t="n">
        <x:v>0.03</x:v>
      </x:c>
      <x:c r="O4180" s="22" t="n">
        <x:f>L4180*M4180</x:f>
        <x:v>27600</x:v>
      </x:c>
      <x:c r="P4180" s="22" t="n">
        <x:f>O4180*(1-N4180)</x:f>
        <x:v>26772</x:v>
      </x:c>
      <x:c r="Q4180" s="22" t="n">
        <x:v>610</x:v>
      </x:c>
      <x:c r="R4180" s="22" t="n">
        <x:f>Q4180*M4180</x:f>
        <x:v>24400</x:v>
      </x:c>
      <x:c r="S4180" s="22" t="n">
        <x:f>P4180-R4180</x:f>
        <x:v>2372</x:v>
      </x:c>
      <x:c r="T4180" t="str">
        <x:v>Credit</x:v>
      </x:c>
      <x:c r="U4180" t="str">
        <x:v>Paid</x:v>
      </x:c>
      <x:c r="V4180" t="str">
        <x:v>Delayed</x:v>
      </x:c>
      <x:c r="W4180" t="n">
        <x:v>0</x:v>
      </x:c>
      <x:c r="X4180" t="str"/>
      <x:c r="Y4180" t="str">
        <x:v>Field Visit</x:v>
      </x:c>
    </x:row>
    <x:row r="4181">
      <x:c r="A4181" t="str">
        <x:v>O004180</x:v>
      </x:c>
      <x:c r="B4181" s="20" t="n">
        <x:v>46191</x:v>
      </x:c>
      <x:c r="C4181" t="str">
        <x:v>C0236</x:v>
      </x:c>
      <x:c r="D4181" t="str">
        <x:v>Foodie Stores 236</x:v>
      </x:c>
      <x:c r="E4181" t="str">
        <x:v>Kirana</x:v>
      </x:c>
      <x:c r="F4181" t="str">
        <x:v>Bengaluru</x:v>
      </x:c>
      <x:c r="G4181" t="str">
        <x:v>Ramesh</x:v>
      </x:c>
      <x:c r="H4181" t="str">
        <x:v>P029</x:v>
      </x:c>
      <x:c r="I4181" t="str">
        <x:v>Tomato Ketchup 1kg</x:v>
      </x:c>
      <x:c r="J4181" t="str">
        <x:v>Condiments</x:v>
      </x:c>
      <x:c r="K4181" t="str">
        <x:v>Kissan</x:v>
      </x:c>
      <x:c r="L4181" s="22" t="n">
        <x:v>145</x:v>
      </x:c>
      <x:c r="M4181" t="n">
        <x:v>18</x:v>
      </x:c>
      <x:c r="N4181" s="24" t="n">
        <x:v>0.05</x:v>
      </x:c>
      <x:c r="O4181" s="22" t="n">
        <x:f>L4181*M4181</x:f>
        <x:v>2610</x:v>
      </x:c>
      <x:c r="P4181" s="22" t="n">
        <x:f>O4181*(1-N4181)</x:f>
        <x:v>2479.5</x:v>
      </x:c>
      <x:c r="Q4181" s="22" t="n">
        <x:v>126</x:v>
      </x:c>
      <x:c r="R4181" s="22" t="n">
        <x:f>Q4181*M4181</x:f>
        <x:v>2268</x:v>
      </x:c>
      <x:c r="S4181" s="22" t="n">
        <x:f>P4181-R4181</x:f>
        <x:v>211.5</x:v>
      </x:c>
      <x:c r="T4181" t="str">
        <x:v>Credit</x:v>
      </x:c>
      <x:c r="U4181" t="str">
        <x:v>Paid</x:v>
      </x:c>
      <x:c r="V4181" t="str">
        <x:v>Delivered</x:v>
      </x:c>
      <x:c r="W4181" t="n">
        <x:v>0</x:v>
      </x:c>
      <x:c r="X4181" t="str"/>
      <x:c r="Y4181" t="str">
        <x:v>Field Visit</x:v>
      </x:c>
    </x:row>
    <x:row r="4182">
      <x:c r="A4182" t="str">
        <x:v>O004181</x:v>
      </x:c>
      <x:c r="B4182" s="20" t="n">
        <x:v>46053</x:v>
      </x:c>
      <x:c r="C4182" t="str">
        <x:v>C0076</x:v>
      </x:c>
      <x:c r="D4182" t="str">
        <x:v>Sri Canteen 76</x:v>
      </x:c>
      <x:c r="E4182" t="str">
        <x:v>Canteen</x:v>
      </x:c>
      <x:c r="F4182" t="str">
        <x:v>Tumakuru</x:v>
      </x:c>
      <x:c r="G4182" t="str">
        <x:v>Priya</x:v>
      </x:c>
      <x:c r="H4182" t="str">
        <x:v>P027</x:v>
      </x:c>
      <x:c r="I4182" t="str">
        <x:v>Biscuits 120g</x:v>
      </x:c>
      <x:c r="J4182" t="str">
        <x:v>Snacks</x:v>
      </x:c>
      <x:c r="K4182" t="str">
        <x:v>Parle-G</x:v>
      </x:c>
      <x:c r="L4182" s="22" t="n">
        <x:v>12</x:v>
      </x:c>
      <x:c r="M4182" t="n">
        <x:v>9</x:v>
      </x:c>
      <x:c r="N4182" s="24" t="n">
        <x:v>0</x:v>
      </x:c>
      <x:c r="O4182" s="22" t="n">
        <x:f>L4182*M4182</x:f>
        <x:v>108</x:v>
      </x:c>
      <x:c r="P4182" s="22" t="n">
        <x:f>O4182*(1-N4182)</x:f>
        <x:v>108</x:v>
      </x:c>
      <x:c r="Q4182" s="22" t="n">
        <x:v>9</x:v>
      </x:c>
      <x:c r="R4182" s="22" t="n">
        <x:f>Q4182*M4182</x:f>
        <x:v>81</x:v>
      </x:c>
      <x:c r="S4182" s="22" t="n">
        <x:f>P4182-R4182</x:f>
        <x:v>27</x:v>
      </x:c>
      <x:c r="T4182" t="str">
        <x:v>Credit</x:v>
      </x:c>
      <x:c r="U4182" t="str">
        <x:v>Paid</x:v>
      </x:c>
      <x:c r="V4182" t="str">
        <x:v>Delivered</x:v>
      </x:c>
      <x:c r="W4182" t="n">
        <x:v>0</x:v>
      </x:c>
      <x:c r="X4182" t="str"/>
      <x:c r="Y4182" t="str">
        <x:v>Field Visit</x:v>
      </x:c>
    </x:row>
    <x:row r="4183">
      <x:c r="A4183" t="str">
        <x:v>O004182</x:v>
      </x:c>
      <x:c r="B4183" s="20" t="n">
        <x:v>45965</x:v>
      </x:c>
      <x:c r="C4183" t="str">
        <x:v>C0081</x:v>
      </x:c>
      <x:c r="D4183" t="str">
        <x:v>Foodie Mart 81</x:v>
      </x:c>
      <x:c r="E4183" t="str">
        <x:v>Supermarket</x:v>
      </x:c>
      <x:c r="F4183" t="str">
        <x:v>Hubballi</x:v>
      </x:c>
      <x:c r="G4183" t="str">
        <x:v>Kavya</x:v>
      </x:c>
      <x:c r="H4183" t="str">
        <x:v>P022</x:v>
      </x:c>
      <x:c r="I4183" t="str">
        <x:v>Mineral Water 1L</x:v>
      </x:c>
      <x:c r="J4183" t="str">
        <x:v>Beverage</x:v>
      </x:c>
      <x:c r="K4183" t="str">
        <x:v>Bisleri</x:v>
      </x:c>
      <x:c r="L4183" s="22" t="n">
        <x:v>19</x:v>
      </x:c>
      <x:c r="M4183" t="n">
        <x:v>10</x:v>
      </x:c>
      <x:c r="N4183" s="24" t="n">
        <x:v>0.02</x:v>
      </x:c>
      <x:c r="O4183" s="22" t="n">
        <x:f>L4183*M4183</x:f>
        <x:v>190</x:v>
      </x:c>
      <x:c r="P4183" s="22" t="n">
        <x:f>O4183*(1-N4183)</x:f>
        <x:v>186.2</x:v>
      </x:c>
      <x:c r="Q4183" s="22" t="n">
        <x:v>15</x:v>
      </x:c>
      <x:c r="R4183" s="22" t="n">
        <x:f>Q4183*M4183</x:f>
        <x:v>150</x:v>
      </x:c>
      <x:c r="S4183" s="22" t="n">
        <x:f>P4183-R4183</x:f>
        <x:v>36.19999999999999</x:v>
      </x:c>
      <x:c r="T4183" t="str">
        <x:v>Credit</x:v>
      </x:c>
      <x:c r="U4183" t="str">
        <x:v>Paid</x:v>
      </x:c>
      <x:c r="V4183" t="str">
        <x:v>Delivered</x:v>
      </x:c>
      <x:c r="W4183" t="n">
        <x:v>0</x:v>
      </x:c>
      <x:c r="X4183" t="str"/>
      <x:c r="Y4183" t="str">
        <x:v>Existing Customer</x:v>
      </x:c>
    </x:row>
    <x:row r="4184">
      <x:c r="A4184" t="str">
        <x:v>O004183</x:v>
      </x:c>
      <x:c r="B4184" s="20" t="n">
        <x:v>45796</x:v>
      </x:c>
      <x:c r="C4184" t="str">
        <x:v>C0119</x:v>
      </x:c>
      <x:c r="D4184" t="str">
        <x:v>Foodie Foods 119</x:v>
      </x:c>
      <x:c r="E4184" t="str">
        <x:v>Kirana</x:v>
      </x:c>
      <x:c r="F4184" t="str">
        <x:v>Hubballi</x:v>
      </x:c>
      <x:c r="G4184" t="str">
        <x:v>Imran</x:v>
      </x:c>
      <x:c r="H4184" t="str">
        <x:v>P011</x:v>
      </x:c>
      <x:c r="I4184" t="str">
        <x:v>Salt 1kg</x:v>
      </x:c>
      <x:c r="J4184" t="str">
        <x:v>Staples</x:v>
      </x:c>
      <x:c r="K4184" t="str">
        <x:v>Tata</x:v>
      </x:c>
      <x:c r="L4184" s="22" t="n">
        <x:v>28</x:v>
      </x:c>
      <x:c r="M4184" t="n">
        <x:v>27</x:v>
      </x:c>
      <x:c r="N4184" s="24" t="n">
        <x:v>0.03</x:v>
      </x:c>
      <x:c r="O4184" s="22" t="n">
        <x:f>L4184*M4184</x:f>
        <x:v>756</x:v>
      </x:c>
      <x:c r="P4184" s="22" t="n">
        <x:f>O4184*(1-N4184)</x:f>
        <x:v>733.3199999999999</x:v>
      </x:c>
      <x:c r="Q4184" s="22" t="n">
        <x:v>23</x:v>
      </x:c>
      <x:c r="R4184" s="22" t="n">
        <x:f>Q4184*M4184</x:f>
        <x:v>621</x:v>
      </x:c>
      <x:c r="S4184" s="22" t="n">
        <x:f>P4184-R4184</x:f>
        <x:v>112.31999999999994</x:v>
      </x:c>
      <x:c r="T4184" t="str">
        <x:v>Cash</x:v>
      </x:c>
      <x:c r="U4184" t="str">
        <x:v>Paid</x:v>
      </x:c>
      <x:c r="V4184" t="str">
        <x:v>Cancelled</x:v>
      </x:c>
      <x:c r="W4184" t="n">
        <x:v>27</x:v>
      </x:c>
      <x:c r="X4184" t="str">
        <x:v>Cancelled Order</x:v>
      </x:c>
      <x:c r="Y4184" t="str">
        <x:v>Outbound Call</x:v>
      </x:c>
    </x:row>
    <x:row r="4185">
      <x:c r="A4185" t="str">
        <x:v>O004184</x:v>
      </x:c>
      <x:c r="B4185" s="20" t="n">
        <x:v>45764</x:v>
      </x:c>
      <x:c r="C4185" t="str">
        <x:v>C0199</x:v>
      </x:c>
      <x:c r="D4185" t="str">
        <x:v>Classic Cafe 199</x:v>
      </x:c>
      <x:c r="E4185" t="str">
        <x:v>Canteen</x:v>
      </x:c>
      <x:c r="F4185" t="str">
        <x:v>Mangaluru</x:v>
      </x:c>
      <x:c r="G4185" t="str">
        <x:v>Ramesh</x:v>
      </x:c>
      <x:c r="H4185" t="str">
        <x:v>P017</x:v>
      </x:c>
      <x:c r="I4185" t="str">
        <x:v>Butter 500g</x:v>
      </x:c>
      <x:c r="J4185" t="str">
        <x:v>Dairy</x:v>
      </x:c>
      <x:c r="K4185" t="str">
        <x:v>Amul</x:v>
      </x:c>
      <x:c r="L4185" s="22" t="n">
        <x:v>285</x:v>
      </x:c>
      <x:c r="M4185" t="n">
        <x:v>15</x:v>
      </x:c>
      <x:c r="N4185" s="24" t="n">
        <x:v>0.03</x:v>
      </x:c>
      <x:c r="O4185" s="22" t="n">
        <x:f>L4185*M4185</x:f>
        <x:v>4275</x:v>
      </x:c>
      <x:c r="P4185" s="22" t="n">
        <x:f>O4185*(1-N4185)</x:f>
        <x:v>4146.75</x:v>
      </x:c>
      <x:c r="Q4185" s="22" t="n">
        <x:v>258</x:v>
      </x:c>
      <x:c r="R4185" s="22" t="n">
        <x:f>Q4185*M4185</x:f>
        <x:v>3870</x:v>
      </x:c>
      <x:c r="S4185" s="22" t="n">
        <x:f>P4185-R4185</x:f>
        <x:v>276.75</x:v>
      </x:c>
      <x:c r="T4185" t="str">
        <x:v>Credit</x:v>
      </x:c>
      <x:c r="U4185" t="str">
        <x:v>Paid</x:v>
      </x:c>
      <x:c r="V4185" t="str">
        <x:v>Delivered</x:v>
      </x:c>
      <x:c r="W4185" t="n">
        <x:v>0</x:v>
      </x:c>
      <x:c r="X4185" t="str"/>
      <x:c r="Y4185" t="str">
        <x:v>Existing Customer</x:v>
      </x:c>
    </x:row>
    <x:row r="4186">
      <x:c r="A4186" t="str">
        <x:v>O004185</x:v>
      </x:c>
      <x:c r="B4186" s="20" t="n">
        <x:v>45796</x:v>
      </x:c>
      <x:c r="C4186" t="str">
        <x:v>C0061</x:v>
      </x:c>
      <x:c r="D4186" t="str">
        <x:v>Spice Stores 61</x:v>
      </x:c>
      <x:c r="E4186" t="str">
        <x:v>Restaurant</x:v>
      </x:c>
      <x:c r="F4186" t="str">
        <x:v>Tumakuru</x:v>
      </x:c>
      <x:c r="G4186" t="str">
        <x:v>Ramesh</x:v>
      </x:c>
      <x:c r="H4186" t="str">
        <x:v>P040</x:v>
      </x:c>
      <x:c r="I4186" t="str">
        <x:v>Bread Loaf 400g</x:v>
      </x:c>
      <x:c r="J4186" t="str">
        <x:v>Bakery</x:v>
      </x:c>
      <x:c r="K4186" t="str">
        <x:v>Britannia</x:v>
      </x:c>
      <x:c r="L4186" s="22" t="n">
        <x:v>45</x:v>
      </x:c>
      <x:c r="M4186" t="n">
        <x:v>13</x:v>
      </x:c>
      <x:c r="N4186" s="24" t="n">
        <x:v>0.05</x:v>
      </x:c>
      <x:c r="O4186" s="22" t="n">
        <x:f>L4186*M4186</x:f>
        <x:v>585</x:v>
      </x:c>
      <x:c r="P4186" s="22" t="n">
        <x:f>O4186*(1-N4186)</x:f>
        <x:v>555.75</x:v>
      </x:c>
      <x:c r="Q4186" s="22" t="n">
        <x:v>35</x:v>
      </x:c>
      <x:c r="R4186" s="22" t="n">
        <x:f>Q4186*M4186</x:f>
        <x:v>455</x:v>
      </x:c>
      <x:c r="S4186" s="22" t="n">
        <x:f>P4186-R4186</x:f>
        <x:v>100.75</x:v>
      </x:c>
      <x:c r="T4186" t="str">
        <x:v>Credit</x:v>
      </x:c>
      <x:c r="U4186" t="str">
        <x:v>Paid</x:v>
      </x:c>
      <x:c r="V4186" t="str">
        <x:v>Delivered</x:v>
      </x:c>
      <x:c r="W4186" t="n">
        <x:v>0</x:v>
      </x:c>
      <x:c r="X4186" t="str"/>
      <x:c r="Y4186" t="str">
        <x:v>Field Visit</x:v>
      </x:c>
    </x:row>
    <x:row r="4187">
      <x:c r="A4187" t="str">
        <x:v>O004186</x:v>
      </x:c>
      <x:c r="B4187" s="20" t="n">
        <x:v>46089</x:v>
      </x:c>
      <x:c r="C4187" t="str">
        <x:v>C0129</x:v>
      </x:c>
      <x:c r="D4187" t="str">
        <x:v>City Canteen 129</x:v>
      </x:c>
      <x:c r="E4187" t="str">
        <x:v>Kirana</x:v>
      </x:c>
      <x:c r="F4187" t="str">
        <x:v>Hubballi</x:v>
      </x:c>
      <x:c r="G4187" t="str">
        <x:v>Sneha</x:v>
      </x:c>
      <x:c r="H4187" t="str">
        <x:v>P048</x:v>
      </x:c>
      <x:c r="I4187" t="str">
        <x:v>Banana 10kg</x:v>
      </x:c>
      <x:c r="J4187" t="str">
        <x:v>Fresh Produce</x:v>
      </x:c>
      <x:c r="K4187" t="str">
        <x:v>Local Market</x:v>
      </x:c>
      <x:c r="L4187" s="22" t="n">
        <x:v>420</x:v>
      </x:c>
      <x:c r="M4187" t="n">
        <x:v>12</x:v>
      </x:c>
      <x:c r="N4187" s="24" t="n">
        <x:v>0.03</x:v>
      </x:c>
      <x:c r="O4187" s="22" t="n">
        <x:f>L4187*M4187</x:f>
        <x:v>5040</x:v>
      </x:c>
      <x:c r="P4187" s="22" t="n">
        <x:f>O4187*(1-N4187)</x:f>
        <x:v>4888.8</x:v>
      </x:c>
      <x:c r="Q4187" s="22" t="n">
        <x:v>350</x:v>
      </x:c>
      <x:c r="R4187" s="22" t="n">
        <x:f>Q4187*M4187</x:f>
        <x:v>4200</x:v>
      </x:c>
      <x:c r="S4187" s="22" t="n">
        <x:f>P4187-R4187</x:f>
        <x:v>688.8000000000002</x:v>
      </x:c>
      <x:c r="T4187" t="str">
        <x:v>Credit</x:v>
      </x:c>
      <x:c r="U4187" t="str">
        <x:v>Overdue</x:v>
      </x:c>
      <x:c r="V4187" t="str">
        <x:v>Delivered</x:v>
      </x:c>
      <x:c r="W4187" t="n">
        <x:v>0</x:v>
      </x:c>
      <x:c r="X4187" t="str"/>
      <x:c r="Y4187" t="str">
        <x:v>WhatsApp</x:v>
      </x:c>
    </x:row>
    <x:row r="4188">
      <x:c r="A4188" t="str">
        <x:v>O004187</x:v>
      </x:c>
      <x:c r="B4188" s="20" t="n">
        <x:v>46225</x:v>
      </x:c>
      <x:c r="C4188" t="str">
        <x:v>C0069</x:v>
      </x:c>
      <x:c r="D4188" t="str">
        <x:v>Cafe Hotel 69</x:v>
      </x:c>
      <x:c r="E4188" t="str">
        <x:v>Supermarket</x:v>
      </x:c>
      <x:c r="F4188" t="str">
        <x:v>Bengaluru</x:v>
      </x:c>
      <x:c r="G4188" t="str">
        <x:v>Sneha</x:v>
      </x:c>
      <x:c r="H4188" t="str">
        <x:v>P042</x:v>
      </x:c>
      <x:c r="I4188" t="str">
        <x:v>Eggs 30pc Tray</x:v>
      </x:c>
      <x:c r="J4188" t="str">
        <x:v>Protein</x:v>
      </x:c>
      <x:c r="K4188" t="str">
        <x:v>Farm Fresh</x:v>
      </x:c>
      <x:c r="L4188" s="22" t="n">
        <x:v>195</x:v>
      </x:c>
      <x:c r="M4188" t="n">
        <x:v>4</x:v>
      </x:c>
      <x:c r="N4188" s="24" t="n">
        <x:v>0.03</x:v>
      </x:c>
      <x:c r="O4188" s="22" t="n">
        <x:f>L4188*M4188</x:f>
        <x:v>780</x:v>
      </x:c>
      <x:c r="P4188" s="22" t="n">
        <x:f>O4188*(1-N4188)</x:f>
        <x:v>756.6</x:v>
      </x:c>
      <x:c r="Q4188" s="22" t="n">
        <x:v>170</x:v>
      </x:c>
      <x:c r="R4188" s="22" t="n">
        <x:f>Q4188*M4188</x:f>
        <x:v>680</x:v>
      </x:c>
      <x:c r="S4188" s="22" t="n">
        <x:f>P4188-R4188</x:f>
        <x:v>76.60000000000002</x:v>
      </x:c>
      <x:c r="T4188" t="str">
        <x:v>Cash</x:v>
      </x:c>
      <x:c r="U4188" t="str">
        <x:v>Paid</x:v>
      </x:c>
      <x:c r="V4188" t="str">
        <x:v>Cancelled</x:v>
      </x:c>
      <x:c r="W4188" t="n">
        <x:v>4</x:v>
      </x:c>
      <x:c r="X4188" t="str">
        <x:v>Cancelled Order</x:v>
      </x:c>
      <x:c r="Y4188" t="str">
        <x:v>Outbound Call</x:v>
      </x:c>
    </x:row>
    <x:row r="4189">
      <x:c r="A4189" t="str">
        <x:v>O004188</x:v>
      </x:c>
      <x:c r="B4189" s="20" t="n">
        <x:v>46251</x:v>
      </x:c>
      <x:c r="C4189" t="str">
        <x:v>C0214</x:v>
      </x:c>
      <x:c r="D4189" t="str">
        <x:v>Darshini Kitchen 214</x:v>
      </x:c>
      <x:c r="E4189" t="str">
        <x:v>Kirana</x:v>
      </x:c>
      <x:c r="F4189" t="str">
        <x:v>Bengaluru</x:v>
      </x:c>
      <x:c r="G4189" t="str">
        <x:v>Imran</x:v>
      </x:c>
      <x:c r="H4189" t="str">
        <x:v>P050</x:v>
      </x:c>
      <x:c r="I4189" t="str">
        <x:v>Lemon 5kg</x:v>
      </x:c>
      <x:c r="J4189" t="str">
        <x:v>Fresh Produce</x:v>
      </x:c>
      <x:c r="K4189" t="str">
        <x:v>Local Market</x:v>
      </x:c>
      <x:c r="L4189" s="22" t="n">
        <x:v>360</x:v>
      </x:c>
      <x:c r="M4189" t="n">
        <x:v>11</x:v>
      </x:c>
      <x:c r="N4189" s="24" t="n">
        <x:v>0.03</x:v>
      </x:c>
      <x:c r="O4189" s="22" t="n">
        <x:f>L4189*M4189</x:f>
        <x:v>3960</x:v>
      </x:c>
      <x:c r="P4189" s="22" t="n">
        <x:f>O4189*(1-N4189)</x:f>
        <x:v>3841.2</x:v>
      </x:c>
      <x:c r="Q4189" s="22" t="n">
        <x:v>300</x:v>
      </x:c>
      <x:c r="R4189" s="22" t="n">
        <x:f>Q4189*M4189</x:f>
        <x:v>3300</x:v>
      </x:c>
      <x:c r="S4189" s="22" t="n">
        <x:f>P4189-R4189</x:f>
        <x:v>541.1999999999998</x:v>
      </x:c>
      <x:c r="T4189" t="str">
        <x:v>Credit</x:v>
      </x:c>
      <x:c r="U4189" t="str">
        <x:v>Paid</x:v>
      </x:c>
      <x:c r="V4189" t="str">
        <x:v>Delivered</x:v>
      </x:c>
      <x:c r="W4189" t="n">
        <x:v>4</x:v>
      </x:c>
      <x:c r="X4189" t="str">
        <x:v>Damaged</x:v>
      </x:c>
      <x:c r="Y4189" t="str">
        <x:v>Outbound Call</x:v>
      </x:c>
    </x:row>
    <x:row r="4190">
      <x:c r="A4190" t="str">
        <x:v>O004189</x:v>
      </x:c>
      <x:c r="B4190" s="20" t="n">
        <x:v>46080</x:v>
      </x:c>
      <x:c r="C4190" t="str">
        <x:v>C0039</x:v>
      </x:c>
      <x:c r="D4190" t="str">
        <x:v>Sagar Cafe 39</x:v>
      </x:c>
      <x:c r="E4190" t="str">
        <x:v>Restaurant</x:v>
      </x:c>
      <x:c r="F4190" t="str">
        <x:v>Hubballi</x:v>
      </x:c>
      <x:c r="G4190" t="str">
        <x:v>Imran</x:v>
      </x:c>
      <x:c r="H4190" t="str">
        <x:v>P028</x:v>
      </x:c>
      <x:c r="I4190" t="str">
        <x:v>Cookies 200g</x:v>
      </x:c>
      <x:c r="J4190" t="str">
        <x:v>Snacks</x:v>
      </x:c>
      <x:c r="K4190" t="str">
        <x:v>Britannia</x:v>
      </x:c>
      <x:c r="L4190" s="22" t="n">
        <x:v>55</x:v>
      </x:c>
      <x:c r="M4190" t="n">
        <x:v>19</x:v>
      </x:c>
      <x:c r="N4190" s="24" t="n">
        <x:v>0.08</x:v>
      </x:c>
      <x:c r="O4190" s="22" t="n">
        <x:f>L4190*M4190</x:f>
        <x:v>1045</x:v>
      </x:c>
      <x:c r="P4190" s="22" t="n">
        <x:f>O4190*(1-N4190)</x:f>
        <x:v>961.4000000000001</x:v>
      </x:c>
      <x:c r="Q4190" s="22" t="n">
        <x:v>42</x:v>
      </x:c>
      <x:c r="R4190" s="22" t="n">
        <x:f>Q4190*M4190</x:f>
        <x:v>798</x:v>
      </x:c>
      <x:c r="S4190" s="22" t="n">
        <x:f>P4190-R4190</x:f>
        <x:v>163.4000000000001</x:v>
      </x:c>
      <x:c r="T4190" t="str">
        <x:v>UPI</x:v>
      </x:c>
      <x:c r="U4190" t="str">
        <x:v>Paid</x:v>
      </x:c>
      <x:c r="V4190" t="str">
        <x:v>Delivered</x:v>
      </x:c>
      <x:c r="W4190" t="n">
        <x:v>0</x:v>
      </x:c>
      <x:c r="X4190" t="str"/>
      <x:c r="Y4190" t="str">
        <x:v>Existing Customer</x:v>
      </x:c>
    </x:row>
    <x:row r="4191">
      <x:c r="A4191" t="str">
        <x:v>O004190</x:v>
      </x:c>
      <x:c r="B4191" s="20" t="n">
        <x:v>45664</x:v>
      </x:c>
      <x:c r="C4191" t="str">
        <x:v>C0146</x:v>
      </x:c>
      <x:c r="D4191" t="str">
        <x:v>Annapurna Hotel 146</x:v>
      </x:c>
      <x:c r="E4191" t="str">
        <x:v>Restaurant</x:v>
      </x:c>
      <x:c r="F4191" t="str">
        <x:v>Davanagere</x:v>
      </x:c>
      <x:c r="G4191" t="str">
        <x:v>Arjun</x:v>
      </x:c>
      <x:c r="H4191" t="str">
        <x:v>P006</x:v>
      </x:c>
      <x:c r="I4191" t="str">
        <x:v>Moong Dal 5kg</x:v>
      </x:c>
      <x:c r="J4191" t="str">
        <x:v>Pulses</x:v>
      </x:c>
      <x:c r="K4191" t="str">
        <x:v>Local Select</x:v>
      </x:c>
      <x:c r="L4191" s="22" t="n">
        <x:v>610</x:v>
      </x:c>
      <x:c r="M4191" t="n">
        <x:v>4</x:v>
      </x:c>
      <x:c r="N4191" s="24" t="n">
        <x:v>0.03</x:v>
      </x:c>
      <x:c r="O4191" s="22" t="n">
        <x:f>L4191*M4191</x:f>
        <x:v>2440</x:v>
      </x:c>
      <x:c r="P4191" s="22" t="n">
        <x:f>O4191*(1-N4191)</x:f>
        <x:v>2366.7999999999997</x:v>
      </x:c>
      <x:c r="Q4191" s="22" t="n">
        <x:v>540</x:v>
      </x:c>
      <x:c r="R4191" s="22" t="n">
        <x:f>Q4191*M4191</x:f>
        <x:v>2160</x:v>
      </x:c>
      <x:c r="S4191" s="22" t="n">
        <x:f>P4191-R4191</x:f>
        <x:v>206.79999999999973</x:v>
      </x:c>
      <x:c r="T4191" t="str">
        <x:v>Credit</x:v>
      </x:c>
      <x:c r="U4191" t="str">
        <x:v>Paid</x:v>
      </x:c>
      <x:c r="V4191" t="str">
        <x:v>Cancelled</x:v>
      </x:c>
      <x:c r="W4191" t="n">
        <x:v>4</x:v>
      </x:c>
      <x:c r="X4191" t="str">
        <x:v>Cancelled Order</x:v>
      </x:c>
      <x:c r="Y4191" t="str">
        <x:v>Existing Customer</x:v>
      </x:c>
    </x:row>
    <x:row r="4192">
      <x:c r="A4192" t="str">
        <x:v>O004191</x:v>
      </x:c>
      <x:c r="B4192" s="20" t="n">
        <x:v>45976</x:v>
      </x:c>
      <x:c r="C4192" t="str">
        <x:v>C0080</x:v>
      </x:c>
      <x:c r="D4192" t="str">
        <x:v>Annapurna Canteen 80</x:v>
      </x:c>
      <x:c r="E4192" t="str">
        <x:v>Restaurant</x:v>
      </x:c>
      <x:c r="F4192" t="str">
        <x:v>Mangaluru</x:v>
      </x:c>
      <x:c r="G4192" t="str">
        <x:v>Priya</x:v>
      </x:c>
      <x:c r="H4192" t="str">
        <x:v>P022</x:v>
      </x:c>
      <x:c r="I4192" t="str">
        <x:v>Mineral Water 1L</x:v>
      </x:c>
      <x:c r="J4192" t="str">
        <x:v>Beverage</x:v>
      </x:c>
      <x:c r="K4192" t="str">
        <x:v>Bisleri</x:v>
      </x:c>
      <x:c r="L4192" s="22" t="n">
        <x:v>19</x:v>
      </x:c>
      <x:c r="M4192" t="n">
        <x:v>16</x:v>
      </x:c>
      <x:c r="N4192" s="24" t="n">
        <x:v>0</x:v>
      </x:c>
      <x:c r="O4192" s="22" t="n">
        <x:f>L4192*M4192</x:f>
        <x:v>304</x:v>
      </x:c>
      <x:c r="P4192" s="22" t="n">
        <x:f>O4192*(1-N4192)</x:f>
        <x:v>304</x:v>
      </x:c>
      <x:c r="Q4192" s="22" t="n">
        <x:v>15</x:v>
      </x:c>
      <x:c r="R4192" s="22" t="n">
        <x:f>Q4192*M4192</x:f>
        <x:v>240</x:v>
      </x:c>
      <x:c r="S4192" s="22" t="n">
        <x:f>P4192-R4192</x:f>
        <x:v>64</x:v>
      </x:c>
      <x:c r="T4192" t="str">
        <x:v>UPI</x:v>
      </x:c>
      <x:c r="U4192" t="str">
        <x:v>Paid</x:v>
      </x:c>
      <x:c r="V4192" t="str">
        <x:v>Delayed</x:v>
      </x:c>
      <x:c r="W4192" t="n">
        <x:v>0</x:v>
      </x:c>
      <x:c r="X4192" t="str"/>
      <x:c r="Y4192" t="str">
        <x:v>Field Visit</x:v>
      </x:c>
    </x:row>
    <x:row r="4193">
      <x:c r="A4193" t="str">
        <x:v>O004192</x:v>
      </x:c>
      <x:c r="B4193" s="20" t="n">
        <x:v>46160</x:v>
      </x:c>
      <x:c r="C4193" t="str">
        <x:v>C0034</x:v>
      </x:c>
      <x:c r="D4193" t="str">
        <x:v>City Restaurant 34</x:v>
      </x:c>
      <x:c r="E4193" t="str">
        <x:v>Restaurant</x:v>
      </x:c>
      <x:c r="F4193" t="str">
        <x:v>Mangaluru</x:v>
      </x:c>
      <x:c r="G4193" t="str">
        <x:v>Sneha</x:v>
      </x:c>
      <x:c r="H4193" t="str">
        <x:v>P042</x:v>
      </x:c>
      <x:c r="I4193" t="str">
        <x:v>Eggs 30pc Tray</x:v>
      </x:c>
      <x:c r="J4193" t="str">
        <x:v>Protein</x:v>
      </x:c>
      <x:c r="K4193" t="str">
        <x:v>Farm Fresh</x:v>
      </x:c>
      <x:c r="L4193" s="22" t="n">
        <x:v>195</x:v>
      </x:c>
      <x:c r="M4193" t="n">
        <x:v>20</x:v>
      </x:c>
      <x:c r="N4193" s="24" t="n">
        <x:v>0.08</x:v>
      </x:c>
      <x:c r="O4193" s="22" t="n">
        <x:f>L4193*M4193</x:f>
        <x:v>3900</x:v>
      </x:c>
      <x:c r="P4193" s="22" t="n">
        <x:f>O4193*(1-N4193)</x:f>
        <x:v>3588</x:v>
      </x:c>
      <x:c r="Q4193" s="22" t="n">
        <x:v>170</x:v>
      </x:c>
      <x:c r="R4193" s="22" t="n">
        <x:f>Q4193*M4193</x:f>
        <x:v>3400</x:v>
      </x:c>
      <x:c r="S4193" s="22" t="n">
        <x:f>P4193-R4193</x:f>
        <x:v>188</x:v>
      </x:c>
      <x:c r="T4193" t="str">
        <x:v>Bank Transfer</x:v>
      </x:c>
      <x:c r="U4193" t="str">
        <x:v>Pending</x:v>
      </x:c>
      <x:c r="V4193" t="str">
        <x:v>Delivered</x:v>
      </x:c>
      <x:c r="W4193" t="n">
        <x:v>0</x:v>
      </x:c>
      <x:c r="X4193" t="str"/>
      <x:c r="Y4193" t="str">
        <x:v>Field Visit</x:v>
      </x:c>
    </x:row>
    <x:row r="4194">
      <x:c r="A4194" t="str">
        <x:v>O004193</x:v>
      </x:c>
      <x:c r="B4194" s="20" t="n">
        <x:v>46006</x:v>
      </x:c>
      <x:c r="C4194" t="str">
        <x:v>C0183</x:v>
      </x:c>
      <x:c r="D4194" t="str">
        <x:v>Spice Mart 183</x:v>
      </x:c>
      <x:c r="E4194" t="str">
        <x:v>Kirana</x:v>
      </x:c>
      <x:c r="F4194" t="str">
        <x:v>Mangaluru</x:v>
      </x:c>
      <x:c r="G4194" t="str">
        <x:v>Kavya</x:v>
      </x:c>
      <x:c r="H4194" t="str">
        <x:v>P009</x:v>
      </x:c>
      <x:c r="I4194" t="str">
        <x:v>Groundnut Oil 5L</x:v>
      </x:c>
      <x:c r="J4194" t="str">
        <x:v>Edible Oil</x:v>
      </x:c>
      <x:c r="K4194" t="str">
        <x:v>Dhara</x:v>
      </x:c>
      <x:c r="L4194" s="22" t="n">
        <x:v>890</x:v>
      </x:c>
      <x:c r="M4194" t="n">
        <x:v>36</x:v>
      </x:c>
      <x:c r="N4194" s="24" t="n">
        <x:v>0.03</x:v>
      </x:c>
      <x:c r="O4194" s="22" t="n">
        <x:f>L4194*M4194</x:f>
        <x:v>32040</x:v>
      </x:c>
      <x:c r="P4194" s="22" t="n">
        <x:f>O4194*(1-N4194)</x:f>
        <x:v>31078.8</x:v>
      </x:c>
      <x:c r="Q4194" s="22" t="n">
        <x:v>810</x:v>
      </x:c>
      <x:c r="R4194" s="22" t="n">
        <x:f>Q4194*M4194</x:f>
        <x:v>29160</x:v>
      </x:c>
      <x:c r="S4194" s="22" t="n">
        <x:f>P4194-R4194</x:f>
        <x:v>1918.7999999999993</x:v>
      </x:c>
      <x:c r="T4194" t="str">
        <x:v>Credit</x:v>
      </x:c>
      <x:c r="U4194" t="str">
        <x:v>Paid</x:v>
      </x:c>
      <x:c r="V4194" t="str">
        <x:v>Delivered</x:v>
      </x:c>
      <x:c r="W4194" t="n">
        <x:v>2</x:v>
      </x:c>
      <x:c r="X4194" t="str">
        <x:v>Wrong Item</x:v>
      </x:c>
      <x:c r="Y4194" t="str">
        <x:v>Outbound Call</x:v>
      </x:c>
    </x:row>
    <x:row r="4195">
      <x:c r="A4195" t="str">
        <x:v>O004194</x:v>
      </x:c>
      <x:c r="B4195" s="20" t="n">
        <x:v>46067</x:v>
      </x:c>
      <x:c r="C4195" t="str">
        <x:v>C0102</x:v>
      </x:c>
      <x:c r="D4195" t="str">
        <x:v>Annapurna Foods 102</x:v>
      </x:c>
      <x:c r="E4195" t="str">
        <x:v>Cafe</x:v>
      </x:c>
      <x:c r="F4195" t="str">
        <x:v>Davanagere</x:v>
      </x:c>
      <x:c r="G4195" t="str">
        <x:v>Ramesh</x:v>
      </x:c>
      <x:c r="H4195" t="str">
        <x:v>P024</x:v>
      </x:c>
      <x:c r="I4195" t="str">
        <x:v>Orange Drink 1L</x:v>
      </x:c>
      <x:c r="J4195" t="str">
        <x:v>Beverage</x:v>
      </x:c>
      <x:c r="K4195" t="str">
        <x:v>Minute Maid</x:v>
      </x:c>
      <x:c r="L4195" s="22" t="n">
        <x:v>105</x:v>
      </x:c>
      <x:c r="M4195" t="n">
        <x:v>37</x:v>
      </x:c>
      <x:c r="N4195" s="24" t="n">
        <x:v>0.08</x:v>
      </x:c>
      <x:c r="O4195" s="22" t="n">
        <x:f>L4195*M4195</x:f>
        <x:v>3885</x:v>
      </x:c>
      <x:c r="P4195" s="22" t="n">
        <x:f>O4195*(1-N4195)</x:f>
        <x:v>3574.2000000000003</x:v>
      </x:c>
      <x:c r="Q4195" s="22" t="n">
        <x:v>88</x:v>
      </x:c>
      <x:c r="R4195" s="22" t="n">
        <x:f>Q4195*M4195</x:f>
        <x:v>3256</x:v>
      </x:c>
      <x:c r="S4195" s="22" t="n">
        <x:f>P4195-R4195</x:f>
        <x:v>318.2000000000003</x:v>
      </x:c>
      <x:c r="T4195" t="str">
        <x:v>UPI</x:v>
      </x:c>
      <x:c r="U4195" t="str">
        <x:v>Pending</x:v>
      </x:c>
      <x:c r="V4195" t="str">
        <x:v>Delivered</x:v>
      </x:c>
      <x:c r="W4195" t="n">
        <x:v>0</x:v>
      </x:c>
      <x:c r="X4195" t="str"/>
      <x:c r="Y4195" t="str">
        <x:v>WhatsApp</x:v>
      </x:c>
    </x:row>
    <x:row r="4196">
      <x:c r="A4196" t="str">
        <x:v>O004195</x:v>
      </x:c>
      <x:c r="B4196" s="20" t="n">
        <x:v>46164</x:v>
      </x:c>
      <x:c r="C4196" t="str">
        <x:v>C0017</x:v>
      </x:c>
      <x:c r="D4196" t="str">
        <x:v>City Foods 17</x:v>
      </x:c>
      <x:c r="E4196" t="str">
        <x:v>Restaurant</x:v>
      </x:c>
      <x:c r="F4196" t="str">
        <x:v>Tumakuru</x:v>
      </x:c>
      <x:c r="G4196" t="str">
        <x:v>Imran</x:v>
      </x:c>
      <x:c r="H4196" t="str">
        <x:v>P008</x:v>
      </x:c>
      <x:c r="I4196" t="str">
        <x:v>Palm Oil 15L</x:v>
      </x:c>
      <x:c r="J4196" t="str">
        <x:v>Edible Oil</x:v>
      </x:c>
      <x:c r="K4196" t="str">
        <x:v>Ruchi Gold</x:v>
      </x:c>
      <x:c r="L4196" s="22" t="n">
        <x:v>1760</x:v>
      </x:c>
      <x:c r="M4196" t="n">
        <x:v>4</x:v>
      </x:c>
      <x:c r="N4196" s="24" t="n">
        <x:v>0.05</x:v>
      </x:c>
      <x:c r="O4196" s="22" t="n">
        <x:f>L4196*M4196</x:f>
        <x:v>7040</x:v>
      </x:c>
      <x:c r="P4196" s="22" t="n">
        <x:f>O4196*(1-N4196)</x:f>
        <x:v>6688</x:v>
      </x:c>
      <x:c r="Q4196" s="22" t="n">
        <x:v>1610</x:v>
      </x:c>
      <x:c r="R4196" s="22" t="n">
        <x:f>Q4196*M4196</x:f>
        <x:v>6440</x:v>
      </x:c>
      <x:c r="S4196" s="22" t="n">
        <x:f>P4196-R4196</x:f>
        <x:v>248</x:v>
      </x:c>
      <x:c r="T4196" t="str">
        <x:v>Cash</x:v>
      </x:c>
      <x:c r="U4196" t="str">
        <x:v>Paid</x:v>
      </x:c>
      <x:c r="V4196" t="str">
        <x:v>Delivered</x:v>
      </x:c>
      <x:c r="W4196" t="n">
        <x:v>0</x:v>
      </x:c>
      <x:c r="X4196" t="str"/>
      <x:c r="Y4196" t="str">
        <x:v>Outbound Call</x:v>
      </x:c>
    </x:row>
    <x:row r="4197">
      <x:c r="A4197" t="str">
        <x:v>O004196</x:v>
      </x:c>
      <x:c r="B4197" s="20" t="n">
        <x:v>46127</x:v>
      </x:c>
      <x:c r="C4197" t="str">
        <x:v>C0046</x:v>
      </x:c>
      <x:c r="D4197" t="str">
        <x:v>Annapurna Foods 46</x:v>
      </x:c>
      <x:c r="E4197" t="str">
        <x:v>Kirana</x:v>
      </x:c>
      <x:c r="F4197" t="str">
        <x:v>Bengaluru</x:v>
      </x:c>
      <x:c r="G4197" t="str">
        <x:v>Ramesh</x:v>
      </x:c>
      <x:c r="H4197" t="str">
        <x:v>P010</x:v>
      </x:c>
      <x:c r="I4197" t="str">
        <x:v>Sugar 25kg</x:v>
      </x:c>
      <x:c r="J4197" t="str">
        <x:v>Staples</x:v>
      </x:c>
      <x:c r="K4197" t="str">
        <x:v>Madhur</x:v>
      </x:c>
      <x:c r="L4197" s="22" t="n">
        <x:v>1190</x:v>
      </x:c>
      <x:c r="M4197" t="n">
        <x:v>5</x:v>
      </x:c>
      <x:c r="N4197" s="24" t="n">
        <x:v>0</x:v>
      </x:c>
      <x:c r="O4197" s="22" t="n">
        <x:f>L4197*M4197</x:f>
        <x:v>5950</x:v>
      </x:c>
      <x:c r="P4197" s="22" t="n">
        <x:f>O4197*(1-N4197)</x:f>
        <x:v>5950</x:v>
      </x:c>
      <x:c r="Q4197" s="22" t="n">
        <x:v>1080</x:v>
      </x:c>
      <x:c r="R4197" s="22" t="n">
        <x:f>Q4197*M4197</x:f>
        <x:v>5400</x:v>
      </x:c>
      <x:c r="S4197" s="22" t="n">
        <x:f>P4197-R4197</x:f>
        <x:v>550</x:v>
      </x:c>
      <x:c r="T4197" t="str">
        <x:v>Cash</x:v>
      </x:c>
      <x:c r="U4197" t="str">
        <x:v>Pending</x:v>
      </x:c>
      <x:c r="V4197" t="str">
        <x:v>Delivered</x:v>
      </x:c>
      <x:c r="W4197" t="n">
        <x:v>0</x:v>
      </x:c>
      <x:c r="X4197" t="str"/>
      <x:c r="Y4197" t="str">
        <x:v>WhatsApp</x:v>
      </x:c>
    </x:row>
    <x:row r="4198">
      <x:c r="A4198" t="str">
        <x:v>O004197</x:v>
      </x:c>
      <x:c r="B4198" s="20" t="n">
        <x:v>45720</x:v>
      </x:c>
      <x:c r="C4198" t="str">
        <x:v>C0235</x:v>
      </x:c>
      <x:c r="D4198" t="str">
        <x:v>Darshini Canteen 235</x:v>
      </x:c>
      <x:c r="E4198" t="str">
        <x:v>Hotel</x:v>
      </x:c>
      <x:c r="F4198" t="str">
        <x:v>Mangaluru</x:v>
      </x:c>
      <x:c r="G4198" t="str">
        <x:v>Arjun</x:v>
      </x:c>
      <x:c r="H4198" t="str">
        <x:v>P023</x:v>
      </x:c>
      <x:c r="I4198" t="str">
        <x:v>Cola 750ml</x:v>
      </x:c>
      <x:c r="J4198" t="str">
        <x:v>Beverage</x:v>
      </x:c>
      <x:c r="K4198" t="str">
        <x:v>Coca-Cola</x:v>
      </x:c>
      <x:c r="L4198" s="22" t="n">
        <x:v>38</x:v>
      </x:c>
      <x:c r="M4198" t="n">
        <x:v>21</x:v>
      </x:c>
      <x:c r="N4198" s="24" t="n">
        <x:v>0.1</x:v>
      </x:c>
      <x:c r="O4198" s="22" t="n">
        <x:f>L4198*M4198</x:f>
        <x:v>798</x:v>
      </x:c>
      <x:c r="P4198" s="22" t="n">
        <x:f>O4198*(1-N4198)</x:f>
        <x:v>718.2</x:v>
      </x:c>
      <x:c r="Q4198" s="22" t="n">
        <x:v>31</x:v>
      </x:c>
      <x:c r="R4198" s="22" t="n">
        <x:f>Q4198*M4198</x:f>
        <x:v>651</x:v>
      </x:c>
      <x:c r="S4198" s="22" t="n">
        <x:f>P4198-R4198</x:f>
        <x:v>67.20000000000005</x:v>
      </x:c>
      <x:c r="T4198" t="str">
        <x:v>Cash</x:v>
      </x:c>
      <x:c r="U4198" t="str">
        <x:v>Paid</x:v>
      </x:c>
      <x:c r="V4198" t="str">
        <x:v>Delivered</x:v>
      </x:c>
      <x:c r="W4198" t="n">
        <x:v>0</x:v>
      </x:c>
      <x:c r="X4198" t="str"/>
      <x:c r="Y4198" t="str">
        <x:v>Field Visit</x:v>
      </x:c>
    </x:row>
    <x:row r="4199">
      <x:c r="A4199" t="str">
        <x:v>O004198</x:v>
      </x:c>
      <x:c r="B4199" s="20" t="n">
        <x:v>45818</x:v>
      </x:c>
      <x:c r="C4199" t="str">
        <x:v>C0106</x:v>
      </x:c>
      <x:c r="D4199" t="str">
        <x:v>Classic Mart 106</x:v>
      </x:c>
      <x:c r="E4199" t="str">
        <x:v>Restaurant</x:v>
      </x:c>
      <x:c r="F4199" t="str">
        <x:v>Mysuru</x:v>
      </x:c>
      <x:c r="G4199" t="str">
        <x:v>Kavya</x:v>
      </x:c>
      <x:c r="H4199" t="str">
        <x:v>P001</x:v>
      </x:c>
      <x:c r="I4199" t="str">
        <x:v>Steam Rice 25kg</x:v>
      </x:c>
      <x:c r="J4199" t="str">
        <x:v>Staples</x:v>
      </x:c>
      <x:c r="K4199" t="str">
        <x:v>Aishwarya</x:v>
      </x:c>
      <x:c r="L4199" s="22" t="n">
        <x:v>1180</x:v>
      </x:c>
      <x:c r="M4199" t="n">
        <x:v>6</x:v>
      </x:c>
      <x:c r="N4199" s="24" t="n">
        <x:v>0.05</x:v>
      </x:c>
      <x:c r="O4199" s="22" t="n">
        <x:f>L4199*M4199</x:f>
        <x:v>7080</x:v>
      </x:c>
      <x:c r="P4199" s="22" t="n">
        <x:f>O4199*(1-N4199)</x:f>
        <x:v>6726</x:v>
      </x:c>
      <x:c r="Q4199" s="22" t="n">
        <x:v>1040</x:v>
      </x:c>
      <x:c r="R4199" s="22" t="n">
        <x:f>Q4199*M4199</x:f>
        <x:v>6240</x:v>
      </x:c>
      <x:c r="S4199" s="22" t="n">
        <x:f>P4199-R4199</x:f>
        <x:v>486</x:v>
      </x:c>
      <x:c r="T4199" t="str">
        <x:v>Cash</x:v>
      </x:c>
      <x:c r="U4199" t="str">
        <x:v>Paid</x:v>
      </x:c>
      <x:c r="V4199" t="str">
        <x:v>Delayed</x:v>
      </x:c>
      <x:c r="W4199" t="n">
        <x:v>0</x:v>
      </x:c>
      <x:c r="X4199" t="str"/>
      <x:c r="Y4199" t="str">
        <x:v>Existing Customer</x:v>
      </x:c>
    </x:row>
    <x:row r="4200">
      <x:c r="A4200" t="str">
        <x:v>O004199</x:v>
      </x:c>
      <x:c r="B4200" s="20" t="n">
        <x:v>46271</x:v>
      </x:c>
      <x:c r="C4200" t="str">
        <x:v>C0088</x:v>
      </x:c>
      <x:c r="D4200" t="str">
        <x:v>Darshini Kitchen 88</x:v>
      </x:c>
      <x:c r="E4200" t="str">
        <x:v>Cafe</x:v>
      </x:c>
      <x:c r="F4200" t="str">
        <x:v>Tumakuru</x:v>
      </x:c>
      <x:c r="G4200" t="str">
        <x:v>Arjun</x:v>
      </x:c>
      <x:c r="H4200" t="str">
        <x:v>P023</x:v>
      </x:c>
      <x:c r="I4200" t="str">
        <x:v>Cola 750ml</x:v>
      </x:c>
      <x:c r="J4200" t="str">
        <x:v>Beverage</x:v>
      </x:c>
      <x:c r="K4200" t="str">
        <x:v>Coca-Cola</x:v>
      </x:c>
      <x:c r="L4200" s="22" t="n">
        <x:v>38</x:v>
      </x:c>
      <x:c r="M4200" t="n">
        <x:v>36</x:v>
      </x:c>
      <x:c r="N4200" s="24" t="n">
        <x:v>0.03</x:v>
      </x:c>
      <x:c r="O4200" s="22" t="n">
        <x:f>L4200*M4200</x:f>
        <x:v>1368</x:v>
      </x:c>
      <x:c r="P4200" s="22" t="n">
        <x:f>O4200*(1-N4200)</x:f>
        <x:v>1326.96</x:v>
      </x:c>
      <x:c r="Q4200" s="22" t="n">
        <x:v>31</x:v>
      </x:c>
      <x:c r="R4200" s="22" t="n">
        <x:f>Q4200*M4200</x:f>
        <x:v>1116</x:v>
      </x:c>
      <x:c r="S4200" s="22" t="n">
        <x:f>P4200-R4200</x:f>
        <x:v>210.96000000000004</x:v>
      </x:c>
      <x:c r="T4200" t="str">
        <x:v>Cash</x:v>
      </x:c>
      <x:c r="U4200" t="str">
        <x:v>Paid</x:v>
      </x:c>
      <x:c r="V4200" t="str">
        <x:v>Cancelled</x:v>
      </x:c>
      <x:c r="W4200" t="n">
        <x:v>36</x:v>
      </x:c>
      <x:c r="X4200" t="str">
        <x:v>Cancelled Order</x:v>
      </x:c>
      <x:c r="Y4200" t="str">
        <x:v>Referral</x:v>
      </x:c>
    </x:row>
    <x:row r="4201">
      <x:c r="A4201" t="str">
        <x:v>O004200</x:v>
      </x:c>
      <x:c r="B4201" s="20" t="n">
        <x:v>46010</x:v>
      </x:c>
      <x:c r="C4201" t="str">
        <x:v>C0186</x:v>
      </x:c>
      <x:c r="D4201" t="str">
        <x:v>Namma Stores 186</x:v>
      </x:c>
      <x:c r="E4201" t="str">
        <x:v>Supermarket</x:v>
      </x:c>
      <x:c r="F4201" t="str">
        <x:v>Mysuru</x:v>
      </x:c>
      <x:c r="G4201" t="str">
        <x:v>Vikram</x:v>
      </x:c>
      <x:c r="H4201" t="str">
        <x:v>P005</x:v>
      </x:c>
      <x:c r="I4201" t="str">
        <x:v>Chana Dal 5kg</x:v>
      </x:c>
      <x:c r="J4201" t="str">
        <x:v>Pulses</x:v>
      </x:c>
      <x:c r="K4201" t="str">
        <x:v>Local Select</x:v>
      </x:c>
      <x:c r="L4201" s="22" t="n">
        <x:v>520</x:v>
      </x:c>
      <x:c r="M4201" t="n">
        <x:v>21</x:v>
      </x:c>
      <x:c r="N4201" s="24" t="n">
        <x:v>0</x:v>
      </x:c>
      <x:c r="O4201" s="22" t="n">
        <x:f>L4201*M4201</x:f>
        <x:v>10920</x:v>
      </x:c>
      <x:c r="P4201" s="22" t="n">
        <x:f>O4201*(1-N4201)</x:f>
        <x:v>10920</x:v>
      </x:c>
      <x:c r="Q4201" s="22" t="n">
        <x:v>455</x:v>
      </x:c>
      <x:c r="R4201" s="22" t="n">
        <x:f>Q4201*M4201</x:f>
        <x:v>9555</x:v>
      </x:c>
      <x:c r="S4201" s="22" t="n">
        <x:f>P4201-R4201</x:f>
        <x:v>1365</x:v>
      </x:c>
      <x:c r="T4201" t="str">
        <x:v>Bank Transfer</x:v>
      </x:c>
      <x:c r="U4201" t="str">
        <x:v>Pending</x:v>
      </x:c>
      <x:c r="V4201" t="str">
        <x:v>Delivered</x:v>
      </x:c>
      <x:c r="W4201" t="n">
        <x:v>0</x:v>
      </x:c>
      <x:c r="X4201" t="str"/>
      <x:c r="Y4201" t="str">
        <x:v>Outbound Call</x:v>
      </x:c>
    </x:row>
    <x:row r="4202">
      <x:c r="A4202" t="str">
        <x:v>O004201</x:v>
      </x:c>
      <x:c r="B4202" s="20" t="n">
        <x:v>45894</x:v>
      </x:c>
      <x:c r="C4202" t="str">
        <x:v>C0242</x:v>
      </x:c>
      <x:c r="D4202" t="str">
        <x:v>Fresh Cafe 242</x:v>
      </x:c>
      <x:c r="E4202" t="str">
        <x:v>Canteen</x:v>
      </x:c>
      <x:c r="F4202" t="str">
        <x:v>Davanagere</x:v>
      </x:c>
      <x:c r="G4202" t="str">
        <x:v>Kavya</x:v>
      </x:c>
      <x:c r="H4202" t="str">
        <x:v>P018</x:v>
      </x:c>
      <x:c r="I4202" t="str">
        <x:v>Paneer 1kg</x:v>
      </x:c>
      <x:c r="J4202" t="str">
        <x:v>Dairy</x:v>
      </x:c>
      <x:c r="K4202" t="str">
        <x:v>Milky Mist</x:v>
      </x:c>
      <x:c r="L4202" s="22" t="n">
        <x:v>410</x:v>
      </x:c>
      <x:c r="M4202" t="n">
        <x:v>2</x:v>
      </x:c>
      <x:c r="N4202" s="24" t="n">
        <x:v>0.08</x:v>
      </x:c>
      <x:c r="O4202" s="22" t="n">
        <x:f>L4202*M4202</x:f>
        <x:v>820</x:v>
      </x:c>
      <x:c r="P4202" s="22" t="n">
        <x:f>O4202*(1-N4202)</x:f>
        <x:v>754.4</x:v>
      </x:c>
      <x:c r="Q4202" s="22" t="n">
        <x:v>370</x:v>
      </x:c>
      <x:c r="R4202" s="22" t="n">
        <x:f>Q4202*M4202</x:f>
        <x:v>740</x:v>
      </x:c>
      <x:c r="S4202" s="22" t="n">
        <x:f>P4202-R4202</x:f>
        <x:v>14.399999999999977</x:v>
      </x:c>
      <x:c r="T4202" t="str">
        <x:v>Bank Transfer</x:v>
      </x:c>
      <x:c r="U4202" t="str">
        <x:v>Paid</x:v>
      </x:c>
      <x:c r="V4202" t="str">
        <x:v>Delivered</x:v>
      </x:c>
      <x:c r="W4202" t="n">
        <x:v>0</x:v>
      </x:c>
      <x:c r="X4202" t="str"/>
      <x:c r="Y4202" t="str">
        <x:v>WhatsApp</x:v>
      </x:c>
    </x:row>
    <x:row r="4203">
      <x:c r="A4203" t="str">
        <x:v>O004202</x:v>
      </x:c>
      <x:c r="B4203" s="20" t="n">
        <x:v>45952</x:v>
      </x:c>
      <x:c r="C4203" t="str">
        <x:v>C0072</x:v>
      </x:c>
      <x:c r="D4203" t="str">
        <x:v>Grand Restaurant 72</x:v>
      </x:c>
      <x:c r="E4203" t="str">
        <x:v>Restaurant</x:v>
      </x:c>
      <x:c r="F4203" t="str">
        <x:v>Davanagere</x:v>
      </x:c>
      <x:c r="G4203" t="str">
        <x:v>Kavya</x:v>
      </x:c>
      <x:c r="H4203" t="str">
        <x:v>P019</x:v>
      </x:c>
      <x:c r="I4203" t="str">
        <x:v>Tea 1kg</x:v>
      </x:c>
      <x:c r="J4203" t="str">
        <x:v>Beverage</x:v>
      </x:c>
      <x:c r="K4203" t="str">
        <x:v>Red Label</x:v>
      </x:c>
      <x:c r="L4203" s="22" t="n">
        <x:v>540</x:v>
      </x:c>
      <x:c r="M4203" t="n">
        <x:v>15</x:v>
      </x:c>
      <x:c r="N4203" s="24" t="n">
        <x:v>0</x:v>
      </x:c>
      <x:c r="O4203" s="22" t="n">
        <x:f>L4203*M4203</x:f>
        <x:v>8100</x:v>
      </x:c>
      <x:c r="P4203" s="22" t="n">
        <x:f>O4203*(1-N4203)</x:f>
        <x:v>8100</x:v>
      </x:c>
      <x:c r="Q4203" s="22" t="n">
        <x:v>485</x:v>
      </x:c>
      <x:c r="R4203" s="22" t="n">
        <x:f>Q4203*M4203</x:f>
        <x:v>7275</x:v>
      </x:c>
      <x:c r="S4203" s="22" t="n">
        <x:f>P4203-R4203</x:f>
        <x:v>825</x:v>
      </x:c>
      <x:c r="T4203" t="str">
        <x:v>Bank Transfer</x:v>
      </x:c>
      <x:c r="U4203" t="str">
        <x:v>Paid</x:v>
      </x:c>
      <x:c r="V4203" t="str">
        <x:v>Delivered</x:v>
      </x:c>
      <x:c r="W4203" t="n">
        <x:v>0</x:v>
      </x:c>
      <x:c r="X4203" t="str"/>
      <x:c r="Y4203" t="str">
        <x:v>WhatsApp</x:v>
      </x:c>
    </x:row>
    <x:row r="4204">
      <x:c r="A4204" t="str">
        <x:v>O004203</x:v>
      </x:c>
      <x:c r="B4204" s="20" t="n">
        <x:v>45947</x:v>
      </x:c>
      <x:c r="C4204" t="str">
        <x:v>C0243</x:v>
      </x:c>
      <x:c r="D4204" t="str">
        <x:v>Metro Kitchen 243</x:v>
      </x:c>
      <x:c r="E4204" t="str">
        <x:v>Restaurant</x:v>
      </x:c>
      <x:c r="F4204" t="str">
        <x:v>Mangaluru</x:v>
      </x:c>
      <x:c r="G4204" t="str">
        <x:v>Kavya</x:v>
      </x:c>
      <x:c r="H4204" t="str">
        <x:v>P032</x:v>
      </x:c>
      <x:c r="I4204" t="str">
        <x:v>Soy Sauce 700g</x:v>
      </x:c>
      <x:c r="J4204" t="str">
        <x:v>Condiments</x:v>
      </x:c>
      <x:c r="K4204" t="str">
        <x:v>Ching's</x:v>
      </x:c>
      <x:c r="L4204" s="22" t="n">
        <x:v>118</x:v>
      </x:c>
      <x:c r="M4204" t="n">
        <x:v>4</x:v>
      </x:c>
      <x:c r="N4204" s="24" t="n">
        <x:v>0.02</x:v>
      </x:c>
      <x:c r="O4204" s="22" t="n">
        <x:f>L4204*M4204</x:f>
        <x:v>472</x:v>
      </x:c>
      <x:c r="P4204" s="22" t="n">
        <x:f>O4204*(1-N4204)</x:f>
        <x:v>462.56</x:v>
      </x:c>
      <x:c r="Q4204" s="22" t="n">
        <x:v>101</x:v>
      </x:c>
      <x:c r="R4204" s="22" t="n">
        <x:f>Q4204*M4204</x:f>
        <x:v>404</x:v>
      </x:c>
      <x:c r="S4204" s="22" t="n">
        <x:f>P4204-R4204</x:f>
        <x:v>58.56</x:v>
      </x:c>
      <x:c r="T4204" t="str">
        <x:v>Credit</x:v>
      </x:c>
      <x:c r="U4204" t="str">
        <x:v>Overdue</x:v>
      </x:c>
      <x:c r="V4204" t="str">
        <x:v>Delivered</x:v>
      </x:c>
      <x:c r="W4204" t="n">
        <x:v>0</x:v>
      </x:c>
      <x:c r="X4204" t="str"/>
      <x:c r="Y4204" t="str">
        <x:v>WhatsApp</x:v>
      </x:c>
    </x:row>
    <x:row r="4205">
      <x:c r="A4205" t="str">
        <x:v>O004204</x:v>
      </x:c>
      <x:c r="B4205" s="20" t="n">
        <x:v>46150</x:v>
      </x:c>
      <x:c r="C4205" t="str">
        <x:v>C0234</x:v>
      </x:c>
      <x:c r="D4205" t="str">
        <x:v>Metro Canteen 234</x:v>
      </x:c>
      <x:c r="E4205" t="str">
        <x:v>Restaurant</x:v>
      </x:c>
      <x:c r="F4205" t="str">
        <x:v>Davanagere</x:v>
      </x:c>
      <x:c r="G4205" t="str">
        <x:v>Priya</x:v>
      </x:c>
      <x:c r="H4205" t="str">
        <x:v>P040</x:v>
      </x:c>
      <x:c r="I4205" t="str">
        <x:v>Bread Loaf 400g</x:v>
      </x:c>
      <x:c r="J4205" t="str">
        <x:v>Bakery</x:v>
      </x:c>
      <x:c r="K4205" t="str">
        <x:v>Britannia</x:v>
      </x:c>
      <x:c r="L4205" s="22" t="n">
        <x:v>45</x:v>
      </x:c>
      <x:c r="M4205" t="n">
        <x:v>10</x:v>
      </x:c>
      <x:c r="N4205" s="24" t="n">
        <x:v>0.05</x:v>
      </x:c>
      <x:c r="O4205" s="22" t="n">
        <x:f>L4205*M4205</x:f>
        <x:v>450</x:v>
      </x:c>
      <x:c r="P4205" s="22" t="n">
        <x:f>O4205*(1-N4205)</x:f>
        <x:v>427.5</x:v>
      </x:c>
      <x:c r="Q4205" s="22" t="n">
        <x:v>35</x:v>
      </x:c>
      <x:c r="R4205" s="22" t="n">
        <x:f>Q4205*M4205</x:f>
        <x:v>350</x:v>
      </x:c>
      <x:c r="S4205" s="22" t="n">
        <x:f>P4205-R4205</x:f>
        <x:v>77.5</x:v>
      </x:c>
      <x:c r="T4205" t="str">
        <x:v>Bank Transfer</x:v>
      </x:c>
      <x:c r="U4205" t="str">
        <x:v>Paid</x:v>
      </x:c>
      <x:c r="V4205" t="str">
        <x:v>Delivered</x:v>
      </x:c>
      <x:c r="W4205" t="n">
        <x:v>0</x:v>
      </x:c>
      <x:c r="X4205" t="str"/>
      <x:c r="Y4205" t="str">
        <x:v>Outbound Call</x:v>
      </x:c>
    </x:row>
    <x:row r="4206">
      <x:c r="A4206" t="str">
        <x:v>O004205</x:v>
      </x:c>
      <x:c r="B4206" s="20" t="n">
        <x:v>45734</x:v>
      </x:c>
      <x:c r="C4206" t="str">
        <x:v>C0161</x:v>
      </x:c>
      <x:c r="D4206" t="str">
        <x:v>Hotel Kitchen 161</x:v>
      </x:c>
      <x:c r="E4206" t="str">
        <x:v>Supermarket</x:v>
      </x:c>
      <x:c r="F4206" t="str">
        <x:v>Mysuru</x:v>
      </x:c>
      <x:c r="G4206" t="str">
        <x:v>Sneha</x:v>
      </x:c>
      <x:c r="H4206" t="str">
        <x:v>P043</x:v>
      </x:c>
      <x:c r="I4206" t="str">
        <x:v>Chicken Breast 1kg</x:v>
      </x:c>
      <x:c r="J4206" t="str">
        <x:v>Protein</x:v>
      </x:c>
      <x:c r="K4206" t="str">
        <x:v>FreshToHome</x:v>
      </x:c>
      <x:c r="L4206" s="22" t="n">
        <x:v>260</x:v>
      </x:c>
      <x:c r="M4206" t="n">
        <x:v>2</x:v>
      </x:c>
      <x:c r="N4206" s="24" t="n">
        <x:v>0</x:v>
      </x:c>
      <x:c r="O4206" s="22" t="n">
        <x:f>L4206*M4206</x:f>
        <x:v>520</x:v>
      </x:c>
      <x:c r="P4206" s="22" t="n">
        <x:f>O4206*(1-N4206)</x:f>
        <x:v>520</x:v>
      </x:c>
      <x:c r="Q4206" s="22" t="n">
        <x:v>235</x:v>
      </x:c>
      <x:c r="R4206" s="22" t="n">
        <x:f>Q4206*M4206</x:f>
        <x:v>470</x:v>
      </x:c>
      <x:c r="S4206" s="22" t="n">
        <x:f>P4206-R4206</x:f>
        <x:v>50</x:v>
      </x:c>
      <x:c r="T4206" t="str">
        <x:v>Credit</x:v>
      </x:c>
      <x:c r="U4206" t="str">
        <x:v>Paid</x:v>
      </x:c>
      <x:c r="V4206" t="str">
        <x:v>Delivered</x:v>
      </x:c>
      <x:c r="W4206" t="n">
        <x:v>0</x:v>
      </x:c>
      <x:c r="X4206" t="str"/>
      <x:c r="Y4206" t="str">
        <x:v>Existing Customer</x:v>
      </x:c>
    </x:row>
    <x:row r="4207">
      <x:c r="A4207" t="str">
        <x:v>O004206</x:v>
      </x:c>
      <x:c r="B4207" s="20" t="n">
        <x:v>45911</x:v>
      </x:c>
      <x:c r="C4207" t="str">
        <x:v>C0149</x:v>
      </x:c>
      <x:c r="D4207" t="str">
        <x:v>Annapurna Hotel 149</x:v>
      </x:c>
      <x:c r="E4207" t="str">
        <x:v>Cafe</x:v>
      </x:c>
      <x:c r="F4207" t="str">
        <x:v>Tumakuru</x:v>
      </x:c>
      <x:c r="G4207" t="str">
        <x:v>Megha</x:v>
      </x:c>
      <x:c r="H4207" t="str">
        <x:v>P037</x:v>
      </x:c>
      <x:c r="I4207" t="str">
        <x:v>Frozen Peas 1kg</x:v>
      </x:c>
      <x:c r="J4207" t="str">
        <x:v>Frozen</x:v>
      </x:c>
      <x:c r="K4207" t="str">
        <x:v>Safal</x:v>
      </x:c>
      <x:c r="L4207" s="22" t="n">
        <x:v>155</x:v>
      </x:c>
      <x:c r="M4207" t="n">
        <x:v>5</x:v>
      </x:c>
      <x:c r="N4207" s="24" t="n">
        <x:v>0.02</x:v>
      </x:c>
      <x:c r="O4207" s="22" t="n">
        <x:f>L4207*M4207</x:f>
        <x:v>775</x:v>
      </x:c>
      <x:c r="P4207" s="22" t="n">
        <x:f>O4207*(1-N4207)</x:f>
        <x:v>759.5</x:v>
      </x:c>
      <x:c r="Q4207" s="22" t="n">
        <x:v>138</x:v>
      </x:c>
      <x:c r="R4207" s="22" t="n">
        <x:f>Q4207*M4207</x:f>
        <x:v>690</x:v>
      </x:c>
      <x:c r="S4207" s="22" t="n">
        <x:f>P4207-R4207</x:f>
        <x:v>69.5</x:v>
      </x:c>
      <x:c r="T4207" t="str">
        <x:v>Cash</x:v>
      </x:c>
      <x:c r="U4207" t="str">
        <x:v>Paid</x:v>
      </x:c>
      <x:c r="V4207" t="str">
        <x:v>Delivered</x:v>
      </x:c>
      <x:c r="W4207" t="n">
        <x:v>0</x:v>
      </x:c>
      <x:c r="X4207" t="str"/>
      <x:c r="Y4207" t="str">
        <x:v>WhatsApp</x:v>
      </x:c>
    </x:row>
    <x:row r="4208">
      <x:c r="A4208" t="str">
        <x:v>O004207</x:v>
      </x:c>
      <x:c r="B4208" s="20" t="n">
        <x:v>46139</x:v>
      </x:c>
      <x:c r="C4208" t="str">
        <x:v>C0090</x:v>
      </x:c>
      <x:c r="D4208" t="str">
        <x:v>Shree Mart 90</x:v>
      </x:c>
      <x:c r="E4208" t="str">
        <x:v>Restaurant</x:v>
      </x:c>
      <x:c r="F4208" t="str">
        <x:v>Davanagere</x:v>
      </x:c>
      <x:c r="G4208" t="str">
        <x:v>Megha</x:v>
      </x:c>
      <x:c r="H4208" t="str">
        <x:v>P039</x:v>
      </x:c>
      <x:c r="I4208" t="str">
        <x:v>Ice Cream 4L</x:v>
      </x:c>
      <x:c r="J4208" t="str">
        <x:v>Frozen</x:v>
      </x:c>
      <x:c r="K4208" t="str">
        <x:v>Amul</x:v>
      </x:c>
      <x:c r="L4208" s="22" t="n">
        <x:v>480</x:v>
      </x:c>
      <x:c r="M4208" t="n">
        <x:v>4</x:v>
      </x:c>
      <x:c r="N4208" s="24" t="n">
        <x:v>0.1</x:v>
      </x:c>
      <x:c r="O4208" s="22" t="n">
        <x:f>L4208*M4208</x:f>
        <x:v>1920</x:v>
      </x:c>
      <x:c r="P4208" s="22" t="n">
        <x:f>O4208*(1-N4208)</x:f>
        <x:v>1728</x:v>
      </x:c>
      <x:c r="Q4208" s="22" t="n">
        <x:v>420</x:v>
      </x:c>
      <x:c r="R4208" s="22" t="n">
        <x:f>Q4208*M4208</x:f>
        <x:v>1680</x:v>
      </x:c>
      <x:c r="S4208" s="22" t="n">
        <x:f>P4208-R4208</x:f>
        <x:v>48</x:v>
      </x:c>
      <x:c r="T4208" t="str">
        <x:v>Bank Transfer</x:v>
      </x:c>
      <x:c r="U4208" t="str">
        <x:v>Paid</x:v>
      </x:c>
      <x:c r="V4208" t="str">
        <x:v>Delayed</x:v>
      </x:c>
      <x:c r="W4208" t="n">
        <x:v>0</x:v>
      </x:c>
      <x:c r="X4208" t="str"/>
      <x:c r="Y4208" t="str"/>
    </x:row>
    <x:row r="4209">
      <x:c r="A4209" t="str">
        <x:v>O004208</x:v>
      </x:c>
      <x:c r="B4209" s="20" t="n">
        <x:v>46138</x:v>
      </x:c>
      <x:c r="C4209" t="str">
        <x:v>C0165</x:v>
      </x:c>
      <x:c r="D4209" t="str">
        <x:v>Royal Restaurant 165</x:v>
      </x:c>
      <x:c r="E4209" t="str">
        <x:v>Hotel</x:v>
      </x:c>
      <x:c r="F4209" t="str">
        <x:v>Tumakuru</x:v>
      </x:c>
      <x:c r="G4209" t="str">
        <x:v>Kavya</x:v>
      </x:c>
      <x:c r="H4209" t="str">
        <x:v>P024</x:v>
      </x:c>
      <x:c r="I4209" t="str">
        <x:v>Orange Drink 1L</x:v>
      </x:c>
      <x:c r="J4209" t="str">
        <x:v>Beverage</x:v>
      </x:c>
      <x:c r="K4209" t="str">
        <x:v>Minute Maid</x:v>
      </x:c>
      <x:c r="L4209" s="22" t="n">
        <x:v>105</x:v>
      </x:c>
      <x:c r="M4209" t="n">
        <x:v>37</x:v>
      </x:c>
      <x:c r="N4209" s="24" t="n">
        <x:v>0.03</x:v>
      </x:c>
      <x:c r="O4209" s="22" t="n">
        <x:f>L4209*M4209</x:f>
        <x:v>3885</x:v>
      </x:c>
      <x:c r="P4209" s="22" t="n">
        <x:f>O4209*(1-N4209)</x:f>
        <x:v>3768.45</x:v>
      </x:c>
      <x:c r="Q4209" s="22" t="n">
        <x:v>88</x:v>
      </x:c>
      <x:c r="R4209" s="22" t="n">
        <x:f>Q4209*M4209</x:f>
        <x:v>3256</x:v>
      </x:c>
      <x:c r="S4209" s="22" t="n">
        <x:f>P4209-R4209</x:f>
        <x:v>512.4499999999998</x:v>
      </x:c>
      <x:c r="T4209" t="str">
        <x:v>UPI</x:v>
      </x:c>
      <x:c r="U4209" t="str">
        <x:v>Paid</x:v>
      </x:c>
      <x:c r="V4209" t="str">
        <x:v>Delayed</x:v>
      </x:c>
      <x:c r="W4209" t="n">
        <x:v>0</x:v>
      </x:c>
      <x:c r="X4209" t="str"/>
      <x:c r="Y4209" t="str">
        <x:v>Field Visit</x:v>
      </x:c>
    </x:row>
    <x:row r="4210">
      <x:c r="A4210" t="str">
        <x:v>O004209</x:v>
      </x:c>
      <x:c r="B4210" s="20" t="n">
        <x:v>46045</x:v>
      </x:c>
      <x:c r="C4210" t="str">
        <x:v>C0174</x:v>
      </x:c>
      <x:c r="D4210" t="str">
        <x:v>Classic Stores 174</x:v>
      </x:c>
      <x:c r="E4210" t="str">
        <x:v>Kirana</x:v>
      </x:c>
      <x:c r="F4210" t="str">
        <x:v>Mysuru</x:v>
      </x:c>
      <x:c r="G4210" t="str">
        <x:v>Vikram</x:v>
      </x:c>
      <x:c r="H4210" t="str">
        <x:v>P023</x:v>
      </x:c>
      <x:c r="I4210" t="str">
        <x:v>Cola 750ml</x:v>
      </x:c>
      <x:c r="J4210" t="str">
        <x:v>Beverage</x:v>
      </x:c>
      <x:c r="K4210" t="str">
        <x:v>Coca-Cola</x:v>
      </x:c>
      <x:c r="L4210" s="22" t="n">
        <x:v>38</x:v>
      </x:c>
      <x:c r="M4210" t="n">
        <x:v>23</x:v>
      </x:c>
      <x:c r="N4210" s="24" t="n">
        <x:v>0.1</x:v>
      </x:c>
      <x:c r="O4210" s="22" t="n">
        <x:f>L4210*M4210</x:f>
        <x:v>874</x:v>
      </x:c>
      <x:c r="P4210" s="22" t="n">
        <x:f>O4210*(1-N4210)</x:f>
        <x:v>786.6</x:v>
      </x:c>
      <x:c r="Q4210" s="22" t="n">
        <x:v>31</x:v>
      </x:c>
      <x:c r="R4210" s="22" t="n">
        <x:f>Q4210*M4210</x:f>
        <x:v>713</x:v>
      </x:c>
      <x:c r="S4210" s="22" t="n">
        <x:f>P4210-R4210</x:f>
        <x:v>73.60000000000002</x:v>
      </x:c>
      <x:c r="T4210" t="str">
        <x:v>Bank Transfer</x:v>
      </x:c>
      <x:c r="U4210" t="str">
        <x:v>Overdue</x:v>
      </x:c>
      <x:c r="V4210" t="str">
        <x:v>Delivered</x:v>
      </x:c>
      <x:c r="W4210" t="n">
        <x:v>0</x:v>
      </x:c>
      <x:c r="X4210" t="str"/>
      <x:c r="Y4210" t="str">
        <x:v>Field Visit</x:v>
      </x:c>
    </x:row>
    <x:row r="4211">
      <x:c r="A4211" t="str">
        <x:v>O004210</x:v>
      </x:c>
      <x:c r="B4211" s="20" t="n">
        <x:v>45685</x:v>
      </x:c>
      <x:c r="C4211" t="str">
        <x:v>C0184</x:v>
      </x:c>
      <x:c r="D4211" t="str">
        <x:v>Namma Restaurant 184</x:v>
      </x:c>
      <x:c r="E4211" t="str">
        <x:v>Cafe</x:v>
      </x:c>
      <x:c r="F4211" t="str">
        <x:v>Hubballi</x:v>
      </x:c>
      <x:c r="G4211" t="str">
        <x:v>Arjun</x:v>
      </x:c>
      <x:c r="H4211" t="str">
        <x:v>P030</x:v>
      </x:c>
      <x:c r="I4211" t="str">
        <x:v>Mayonnaise 1kg</x:v>
      </x:c>
      <x:c r="J4211" t="str">
        <x:v>Condiments</x:v>
      </x:c>
      <x:c r="K4211" t="str">
        <x:v>Veeba</x:v>
      </x:c>
      <x:c r="L4211" s="22" t="n">
        <x:v>210</x:v>
      </x:c>
      <x:c r="M4211" t="n">
        <x:v>33</x:v>
      </x:c>
      <x:c r="N4211" s="24" t="n">
        <x:v>0.05</x:v>
      </x:c>
      <x:c r="O4211" s="22" t="n">
        <x:f>L4211*M4211</x:f>
        <x:v>6930</x:v>
      </x:c>
      <x:c r="P4211" s="22" t="n">
        <x:f>O4211*(1-N4211)</x:f>
        <x:v>6583.5</x:v>
      </x:c>
      <x:c r="Q4211" s="22" t="n">
        <x:v>185</x:v>
      </x:c>
      <x:c r="R4211" s="22" t="n">
        <x:f>Q4211*M4211</x:f>
        <x:v>6105</x:v>
      </x:c>
      <x:c r="S4211" s="22" t="n">
        <x:f>P4211-R4211</x:f>
        <x:v>478.5</x:v>
      </x:c>
      <x:c r="T4211" t="str">
        <x:v>Credit</x:v>
      </x:c>
      <x:c r="U4211" t="str">
        <x:v>Pending</x:v>
      </x:c>
      <x:c r="V4211" t="str">
        <x:v>Delivered</x:v>
      </x:c>
      <x:c r="W4211" t="n">
        <x:v>0</x:v>
      </x:c>
      <x:c r="X4211" t="str"/>
      <x:c r="Y4211" t="str">
        <x:v>Referral</x:v>
      </x:c>
    </x:row>
    <x:row r="4212">
      <x:c r="A4212" t="str">
        <x:v>O004211</x:v>
      </x:c>
      <x:c r="B4212" s="20" t="n">
        <x:v>45957</x:v>
      </x:c>
      <x:c r="C4212" t="str">
        <x:v>C0157</x:v>
      </x:c>
      <x:c r="D4212" t="str">
        <x:v>Fresh Canteen 157</x:v>
      </x:c>
      <x:c r="E4212" t="str">
        <x:v>Kirana</x:v>
      </x:c>
      <x:c r="F4212" t="str">
        <x:v>Mangaluru</x:v>
      </x:c>
      <x:c r="G4212" t="str">
        <x:v>Priya</x:v>
      </x:c>
      <x:c r="H4212" t="str">
        <x:v>P042</x:v>
      </x:c>
      <x:c r="I4212" t="str">
        <x:v>Eggs 30pc Tray</x:v>
      </x:c>
      <x:c r="J4212" t="str">
        <x:v>Protein</x:v>
      </x:c>
      <x:c r="K4212" t="str">
        <x:v>Farm Fresh</x:v>
      </x:c>
      <x:c r="L4212" s="22" t="n">
        <x:v>195</x:v>
      </x:c>
      <x:c r="M4212" t="n">
        <x:v>16</x:v>
      </x:c>
      <x:c r="N4212" s="24" t="n">
        <x:v>0.02</x:v>
      </x:c>
      <x:c r="O4212" s="22" t="n">
        <x:f>L4212*M4212</x:f>
        <x:v>3120</x:v>
      </x:c>
      <x:c r="P4212" s="22" t="n">
        <x:f>O4212*(1-N4212)</x:f>
        <x:v>3057.6</x:v>
      </x:c>
      <x:c r="Q4212" s="22" t="n">
        <x:v>170</x:v>
      </x:c>
      <x:c r="R4212" s="22" t="n">
        <x:f>Q4212*M4212</x:f>
        <x:v>2720</x:v>
      </x:c>
      <x:c r="S4212" s="22" t="n">
        <x:f>P4212-R4212</x:f>
        <x:v>337.5999999999999</x:v>
      </x:c>
      <x:c r="T4212" t="str">
        <x:v>Credit</x:v>
      </x:c>
      <x:c r="U4212" t="str">
        <x:v>Paid</x:v>
      </x:c>
      <x:c r="V4212" t="str">
        <x:v>Cancelled</x:v>
      </x:c>
      <x:c r="W4212" t="n">
        <x:v>16</x:v>
      </x:c>
      <x:c r="X4212" t="str">
        <x:v>Cancelled Order</x:v>
      </x:c>
      <x:c r="Y4212" t="str">
        <x:v>Field Visit</x:v>
      </x:c>
    </x:row>
    <x:row r="4213">
      <x:c r="A4213" t="str">
        <x:v>O004212</x:v>
      </x:c>
      <x:c r="B4213" s="20" t="n">
        <x:v>46141</x:v>
      </x:c>
      <x:c r="C4213" t="str">
        <x:v>C0159</x:v>
      </x:c>
      <x:c r="D4213" t="str">
        <x:v>Darshini Foods 159</x:v>
      </x:c>
      <x:c r="E4213" t="str">
        <x:v>Canteen</x:v>
      </x:c>
      <x:c r="F4213" t="str">
        <x:v>Tumakuru</x:v>
      </x:c>
      <x:c r="G4213" t="str">
        <x:v>Kavya</x:v>
      </x:c>
      <x:c r="H4213" t="str">
        <x:v>P002</x:v>
      </x:c>
      <x:c r="I4213" t="str">
        <x:v>Sona Masoori Rice 25kg</x:v>
      </x:c>
      <x:c r="J4213" t="str">
        <x:v>Staples</x:v>
      </x:c>
      <x:c r="K4213" t="str">
        <x:v>Fortune</x:v>
      </x:c>
      <x:c r="L4213" s="22" t="n">
        <x:v>1320</x:v>
      </x:c>
      <x:c r="M4213" t="n">
        <x:v>12</x:v>
      </x:c>
      <x:c r="N4213" s="24" t="n">
        <x:v>0.05</x:v>
      </x:c>
      <x:c r="O4213" s="22" t="n">
        <x:f>L4213*M4213</x:f>
        <x:v>15840</x:v>
      </x:c>
      <x:c r="P4213" s="22" t="n">
        <x:f>O4213*(1-N4213)</x:f>
        <x:v>15048</x:v>
      </x:c>
      <x:c r="Q4213" s="22" t="n">
        <x:v>1160</x:v>
      </x:c>
      <x:c r="R4213" s="22" t="n">
        <x:f>Q4213*M4213</x:f>
        <x:v>13920</x:v>
      </x:c>
      <x:c r="S4213" s="22" t="n">
        <x:f>P4213-R4213</x:f>
        <x:v>1128</x:v>
      </x:c>
      <x:c r="T4213" t="str">
        <x:v>UPI</x:v>
      </x:c>
      <x:c r="U4213" t="str">
        <x:v>Paid</x:v>
      </x:c>
      <x:c r="V4213" t="str">
        <x:v>Delivered</x:v>
      </x:c>
      <x:c r="W4213" t="n">
        <x:v>0</x:v>
      </x:c>
      <x:c r="X4213" t="str"/>
      <x:c r="Y4213" t="str">
        <x:v>Outbound Call</x:v>
      </x:c>
    </x:row>
    <x:row r="4214">
      <x:c r="A4214" t="str">
        <x:v>O004213</x:v>
      </x:c>
      <x:c r="B4214" s="20" t="n">
        <x:v>45973</x:v>
      </x:c>
      <x:c r="C4214" t="str">
        <x:v>C0047</x:v>
      </x:c>
      <x:c r="D4214" t="str">
        <x:v>Shree Restaurant 47</x:v>
      </x:c>
      <x:c r="E4214" t="str">
        <x:v>Canteen</x:v>
      </x:c>
      <x:c r="F4214" t="str">
        <x:v>Davanagere</x:v>
      </x:c>
      <x:c r="G4214" t="str">
        <x:v>Arjun</x:v>
      </x:c>
      <x:c r="H4214" t="str">
        <x:v>P026</x:v>
      </x:c>
      <x:c r="I4214" t="str">
        <x:v>Banana Chips 80g</x:v>
      </x:c>
      <x:c r="J4214" t="str">
        <x:v>Snacks</x:v>
      </x:c>
      <x:c r="K4214" t="str">
        <x:v>SSS</x:v>
      </x:c>
      <x:c r="L4214" s="22" t="n">
        <x:v>54</x:v>
      </x:c>
      <x:c r="M4214" t="n">
        <x:v>10</x:v>
      </x:c>
      <x:c r="N4214" s="24" t="n">
        <x:v>0</x:v>
      </x:c>
      <x:c r="O4214" s="22" t="n">
        <x:f>L4214*M4214</x:f>
        <x:v>540</x:v>
      </x:c>
      <x:c r="P4214" s="22" t="n">
        <x:f>O4214*(1-N4214)</x:f>
        <x:v>540</x:v>
      </x:c>
      <x:c r="Q4214" s="22" t="n">
        <x:v>39</x:v>
      </x:c>
      <x:c r="R4214" s="22" t="n">
        <x:f>Q4214*M4214</x:f>
        <x:v>390</x:v>
      </x:c>
      <x:c r="S4214" s="22" t="n">
        <x:f>P4214-R4214</x:f>
        <x:v>150</x:v>
      </x:c>
      <x:c r="T4214" t="str">
        <x:v>UPI</x:v>
      </x:c>
      <x:c r="U4214" t="str">
        <x:v>Paid</x:v>
      </x:c>
      <x:c r="V4214" t="str">
        <x:v>Delivered</x:v>
      </x:c>
      <x:c r="W4214" t="n">
        <x:v>0</x:v>
      </x:c>
      <x:c r="X4214" t="str"/>
      <x:c r="Y4214" t="str">
        <x:v>Existing Customer</x:v>
      </x:c>
    </x:row>
    <x:row r="4215">
      <x:c r="A4215" t="str">
        <x:v>O004214</x:v>
      </x:c>
      <x:c r="B4215" s="20" t="n">
        <x:v>46133</x:v>
      </x:c>
      <x:c r="C4215" t="str">
        <x:v>C0056</x:v>
      </x:c>
      <x:c r="D4215" t="str">
        <x:v>City Stores 56</x:v>
      </x:c>
      <x:c r="E4215" t="str">
        <x:v>Canteen</x:v>
      </x:c>
      <x:c r="F4215" t="str">
        <x:v>Davanagere</x:v>
      </x:c>
      <x:c r="G4215" t="str">
        <x:v>Imran</x:v>
      </x:c>
      <x:c r="H4215" t="str">
        <x:v>P050</x:v>
      </x:c>
      <x:c r="I4215" t="str">
        <x:v>Lemon 5kg</x:v>
      </x:c>
      <x:c r="J4215" t="str">
        <x:v>Fresh Produce</x:v>
      </x:c>
      <x:c r="K4215" t="str">
        <x:v>Local Market</x:v>
      </x:c>
      <x:c r="L4215" s="22" t="n">
        <x:v>360</x:v>
      </x:c>
      <x:c r="M4215" t="n">
        <x:v>30</x:v>
      </x:c>
      <x:c r="N4215" s="24" t="n">
        <x:v>0</x:v>
      </x:c>
      <x:c r="O4215" s="22" t="n">
        <x:f>L4215*M4215</x:f>
        <x:v>10800</x:v>
      </x:c>
      <x:c r="P4215" s="22" t="n">
        <x:f>O4215*(1-N4215)</x:f>
        <x:v>10800</x:v>
      </x:c>
      <x:c r="Q4215" s="22" t="n">
        <x:v>300</x:v>
      </x:c>
      <x:c r="R4215" s="22" t="n">
        <x:f>Q4215*M4215</x:f>
        <x:v>9000</x:v>
      </x:c>
      <x:c r="S4215" s="22" t="n">
        <x:f>P4215-R4215</x:f>
        <x:v>1800</x:v>
      </x:c>
      <x:c r="T4215" t="str">
        <x:v>UPI</x:v>
      </x:c>
      <x:c r="U4215" t="str">
        <x:v>Paid</x:v>
      </x:c>
      <x:c r="V4215" t="str">
        <x:v>Delivered</x:v>
      </x:c>
      <x:c r="W4215" t="n">
        <x:v>0</x:v>
      </x:c>
      <x:c r="X4215" t="str"/>
      <x:c r="Y4215" t="str">
        <x:v>Existing Customer</x:v>
      </x:c>
    </x:row>
    <x:row r="4216">
      <x:c r="A4216" t="str">
        <x:v>O004215</x:v>
      </x:c>
      <x:c r="B4216" s="20" t="n">
        <x:v>45678</x:v>
      </x:c>
      <x:c r="C4216" t="str">
        <x:v>C0166</x:v>
      </x:c>
      <x:c r="D4216" t="str">
        <x:v>Mysore Foods 166</x:v>
      </x:c>
      <x:c r="E4216" t="str">
        <x:v>Cafe</x:v>
      </x:c>
      <x:c r="F4216" t="str">
        <x:v>Mangaluru</x:v>
      </x:c>
      <x:c r="G4216" t="str">
        <x:v>Arjun</x:v>
      </x:c>
      <x:c r="H4216" t="str">
        <x:v>P047</x:v>
      </x:c>
      <x:c r="I4216" t="str">
        <x:v>Tomato 25kg</x:v>
      </x:c>
      <x:c r="J4216" t="str">
        <x:v>Fresh Produce</x:v>
      </x:c>
      <x:c r="K4216" t="str">
        <x:v>Local Market</x:v>
      </x:c>
      <x:c r="L4216" s="22" t="n">
        <x:v>950</x:v>
      </x:c>
      <x:c r="M4216" t="n">
        <x:v>26</x:v>
      </x:c>
      <x:c r="N4216" s="24" t="n">
        <x:v>0.08</x:v>
      </x:c>
      <x:c r="O4216" s="22" t="n">
        <x:f>L4216*M4216</x:f>
        <x:v>24700</x:v>
      </x:c>
      <x:c r="P4216" s="22" t="n">
        <x:f>O4216*(1-N4216)</x:f>
        <x:v>22724</x:v>
      </x:c>
      <x:c r="Q4216" s="22" t="n">
        <x:v>810</x:v>
      </x:c>
      <x:c r="R4216" s="22" t="n">
        <x:f>Q4216*M4216</x:f>
        <x:v>21060</x:v>
      </x:c>
      <x:c r="S4216" s="22" t="n">
        <x:f>P4216-R4216</x:f>
        <x:v>1664</x:v>
      </x:c>
      <x:c r="T4216" t="str">
        <x:v>Credit</x:v>
      </x:c>
      <x:c r="U4216" t="str">
        <x:v>Paid</x:v>
      </x:c>
      <x:c r="V4216" t="str">
        <x:v>Delivered</x:v>
      </x:c>
      <x:c r="W4216" t="n">
        <x:v>0</x:v>
      </x:c>
      <x:c r="X4216" t="str"/>
      <x:c r="Y4216" t="str">
        <x:v>Referral</x:v>
      </x:c>
    </x:row>
    <x:row r="4217">
      <x:c r="A4217" t="str">
        <x:v>O004216</x:v>
      </x:c>
      <x:c r="B4217" s="20" t="n">
        <x:v>45865</x:v>
      </x:c>
      <x:c r="C4217" t="str">
        <x:v>C0183</x:v>
      </x:c>
      <x:c r="D4217" t="str">
        <x:v>Spice Mart 183</x:v>
      </x:c>
      <x:c r="E4217" t="str">
        <x:v>Kirana</x:v>
      </x:c>
      <x:c r="F4217" t="str">
        <x:v>Mangaluru</x:v>
      </x:c>
      <x:c r="G4217" t="str">
        <x:v>Kavya</x:v>
      </x:c>
      <x:c r="H4217" t="str">
        <x:v>P043</x:v>
      </x:c>
      <x:c r="I4217" t="str">
        <x:v>Chicken Breast 1kg</x:v>
      </x:c>
      <x:c r="J4217" t="str">
        <x:v>Protein</x:v>
      </x:c>
      <x:c r="K4217" t="str">
        <x:v>FreshToHome</x:v>
      </x:c>
      <x:c r="L4217" s="22" t="n">
        <x:v>260</x:v>
      </x:c>
      <x:c r="M4217" t="n">
        <x:v>9</x:v>
      </x:c>
      <x:c r="N4217" s="24" t="n">
        <x:v>0.03</x:v>
      </x:c>
      <x:c r="O4217" s="22" t="n">
        <x:f>L4217*M4217</x:f>
        <x:v>2340</x:v>
      </x:c>
      <x:c r="P4217" s="22" t="n">
        <x:f>O4217*(1-N4217)</x:f>
        <x:v>2269.7999999999997</x:v>
      </x:c>
      <x:c r="Q4217" s="22" t="n">
        <x:v>235</x:v>
      </x:c>
      <x:c r="R4217" s="22" t="n">
        <x:f>Q4217*M4217</x:f>
        <x:v>2115</x:v>
      </x:c>
      <x:c r="S4217" s="22" t="n">
        <x:f>P4217-R4217</x:f>
        <x:v>154.79999999999973</x:v>
      </x:c>
      <x:c r="T4217" t="str">
        <x:v>Credit</x:v>
      </x:c>
      <x:c r="U4217" t="str">
        <x:v>Paid</x:v>
      </x:c>
      <x:c r="V4217" t="str">
        <x:v>Delivered</x:v>
      </x:c>
      <x:c r="W4217" t="n">
        <x:v>0</x:v>
      </x:c>
      <x:c r="X4217" t="str"/>
      <x:c r="Y4217" t="str">
        <x:v>Outbound Call</x:v>
      </x:c>
    </x:row>
    <x:row r="4218">
      <x:c r="A4218" t="str">
        <x:v>O004217</x:v>
      </x:c>
      <x:c r="B4218" s="20" t="n">
        <x:v>46150</x:v>
      </x:c>
      <x:c r="C4218" t="str">
        <x:v>C0126</x:v>
      </x:c>
      <x:c r="D4218" t="str">
        <x:v>Mysore Hotel 126</x:v>
      </x:c>
      <x:c r="E4218" t="str">
        <x:v>Restaurant</x:v>
      </x:c>
      <x:c r="F4218" t="str">
        <x:v>Mangaluru</x:v>
      </x:c>
      <x:c r="G4218" t="str">
        <x:v>Vikram</x:v>
      </x:c>
      <x:c r="H4218" t="str">
        <x:v>P003</x:v>
      </x:c>
      <x:c r="I4218" t="str">
        <x:v>Basmati Rice 5kg</x:v>
      </x:c>
      <x:c r="J4218" t="str">
        <x:v>Staples</x:v>
      </x:c>
      <x:c r="K4218" t="str">
        <x:v>India Gate</x:v>
      </x:c>
      <x:c r="L4218" s="22" t="n">
        <x:v>690</x:v>
      </x:c>
      <x:c r="M4218" t="n">
        <x:v>33</x:v>
      </x:c>
      <x:c r="N4218" s="24" t="n">
        <x:v>0.05</x:v>
      </x:c>
      <x:c r="O4218" s="22" t="n">
        <x:f>L4218*M4218</x:f>
        <x:v>22770</x:v>
      </x:c>
      <x:c r="P4218" s="22" t="n">
        <x:f>O4218*(1-N4218)</x:f>
        <x:v>21631.5</x:v>
      </x:c>
      <x:c r="Q4218" s="22" t="n">
        <x:v>610</x:v>
      </x:c>
      <x:c r="R4218" s="22" t="n">
        <x:f>Q4218*M4218</x:f>
        <x:v>20130</x:v>
      </x:c>
      <x:c r="S4218" s="22" t="n">
        <x:f>P4218-R4218</x:f>
        <x:v>1501.5</x:v>
      </x:c>
      <x:c r="T4218" t="str">
        <x:v>Bank Transfer</x:v>
      </x:c>
      <x:c r="U4218" t="str">
        <x:v>Paid</x:v>
      </x:c>
      <x:c r="V4218" t="str">
        <x:v>Delayed</x:v>
      </x:c>
      <x:c r="W4218" t="n">
        <x:v>0</x:v>
      </x:c>
      <x:c r="X4218" t="str"/>
      <x:c r="Y4218" t="str">
        <x:v>WhatsApp</x:v>
      </x:c>
    </x:row>
    <x:row r="4219">
      <x:c r="A4219" t="str">
        <x:v>O004218</x:v>
      </x:c>
      <x:c r="B4219" s="20" t="n">
        <x:v>45853</x:v>
      </x:c>
      <x:c r="C4219" t="str">
        <x:v>C0085</x:v>
      </x:c>
      <x:c r="D4219" t="str">
        <x:v>Green Hotel 85</x:v>
      </x:c>
      <x:c r="E4219" t="str">
        <x:v>Kirana</x:v>
      </x:c>
      <x:c r="F4219" t="str">
        <x:v>Mysuru</x:v>
      </x:c>
      <x:c r="G4219" t="str">
        <x:v>Arjun</x:v>
      </x:c>
      <x:c r="H4219" t="str">
        <x:v>P011</x:v>
      </x:c>
      <x:c r="I4219" t="str">
        <x:v>Salt 1kg</x:v>
      </x:c>
      <x:c r="J4219" t="str">
        <x:v>Staples</x:v>
      </x:c>
      <x:c r="K4219" t="str">
        <x:v>Tata</x:v>
      </x:c>
      <x:c r="L4219" s="22" t="n">
        <x:v>28</x:v>
      </x:c>
      <x:c r="M4219" t="n">
        <x:v>40</x:v>
      </x:c>
      <x:c r="N4219" s="24" t="n">
        <x:v>0.03</x:v>
      </x:c>
      <x:c r="O4219" s="22" t="n">
        <x:f>L4219*M4219</x:f>
        <x:v>1120</x:v>
      </x:c>
      <x:c r="P4219" s="22" t="n">
        <x:f>O4219*(1-N4219)</x:f>
        <x:v>1086.3999999999999</x:v>
      </x:c>
      <x:c r="Q4219" s="22" t="n">
        <x:v>23</x:v>
      </x:c>
      <x:c r="R4219" s="22" t="n">
        <x:f>Q4219*M4219</x:f>
        <x:v>920</x:v>
      </x:c>
      <x:c r="S4219" s="22" t="n">
        <x:f>P4219-R4219</x:f>
        <x:v>166.39999999999986</x:v>
      </x:c>
      <x:c r="T4219" t="str">
        <x:v>Credit</x:v>
      </x:c>
      <x:c r="U4219" t="str">
        <x:v>Pending</x:v>
      </x:c>
      <x:c r="V4219" t="str">
        <x:v>Delivered</x:v>
      </x:c>
      <x:c r="W4219" t="n">
        <x:v>0</x:v>
      </x:c>
      <x:c r="X4219" t="str"/>
      <x:c r="Y4219" t="str">
        <x:v>Outbound Call</x:v>
      </x:c>
    </x:row>
    <x:row r="4220">
      <x:c r="A4220" t="str">
        <x:v>O004219</x:v>
      </x:c>
      <x:c r="B4220" s="20" t="n">
        <x:v>45941</x:v>
      </x:c>
      <x:c r="C4220" t="str">
        <x:v>C0077</x:v>
      </x:c>
      <x:c r="D4220" t="str">
        <x:v>Spice Cafe 77</x:v>
      </x:c>
      <x:c r="E4220" t="str">
        <x:v>Kirana</x:v>
      </x:c>
      <x:c r="F4220" t="str">
        <x:v>Hubballi</x:v>
      </x:c>
      <x:c r="G4220" t="str">
        <x:v>Vikram</x:v>
      </x:c>
      <x:c r="H4220" t="str">
        <x:v>P024</x:v>
      </x:c>
      <x:c r="I4220" t="str">
        <x:v>Orange Drink 1L</x:v>
      </x:c>
      <x:c r="J4220" t="str">
        <x:v>Beverage</x:v>
      </x:c>
      <x:c r="K4220" t="str">
        <x:v>Minute Maid</x:v>
      </x:c>
      <x:c r="L4220" s="22" t="n">
        <x:v>105</x:v>
      </x:c>
      <x:c r="M4220" t="n">
        <x:v>18</x:v>
      </x:c>
      <x:c r="N4220" s="24" t="n">
        <x:v>0</x:v>
      </x:c>
      <x:c r="O4220" s="22" t="n">
        <x:f>L4220*M4220</x:f>
        <x:v>1890</x:v>
      </x:c>
      <x:c r="P4220" s="22" t="n">
        <x:f>O4220*(1-N4220)</x:f>
        <x:v>1890</x:v>
      </x:c>
      <x:c r="Q4220" s="22" t="n">
        <x:v>88</x:v>
      </x:c>
      <x:c r="R4220" s="22" t="n">
        <x:f>Q4220*M4220</x:f>
        <x:v>1584</x:v>
      </x:c>
      <x:c r="S4220" s="22" t="n">
        <x:f>P4220-R4220</x:f>
        <x:v>306</x:v>
      </x:c>
      <x:c r="T4220" t="str">
        <x:v>Bank Transfer</x:v>
      </x:c>
      <x:c r="U4220" t="str">
        <x:v>Overdue</x:v>
      </x:c>
      <x:c r="V4220" t="str">
        <x:v>Delivered</x:v>
      </x:c>
      <x:c r="W4220" t="n">
        <x:v>0</x:v>
      </x:c>
      <x:c r="X4220" t="str"/>
      <x:c r="Y4220" t="str">
        <x:v>Existing Customer</x:v>
      </x:c>
    </x:row>
    <x:row r="4221">
      <x:c r="A4221" t="str">
        <x:v>O004220</x:v>
      </x:c>
      <x:c r="B4221" s="20" t="n">
        <x:v>45808</x:v>
      </x:c>
      <x:c r="C4221" t="str">
        <x:v>C0043</x:v>
      </x:c>
      <x:c r="D4221" t="str">
        <x:v>Namma Kitchen 43</x:v>
      </x:c>
      <x:c r="E4221" t="str">
        <x:v>Supermarket</x:v>
      </x:c>
      <x:c r="F4221" t="str">
        <x:v>Davanagere</x:v>
      </x:c>
      <x:c r="G4221" t="str">
        <x:v>Kavya</x:v>
      </x:c>
      <x:c r="H4221" t="str">
        <x:v>P026</x:v>
      </x:c>
      <x:c r="I4221" t="str">
        <x:v>Banana Chips 80g</x:v>
      </x:c>
      <x:c r="J4221" t="str">
        <x:v>Snacks</x:v>
      </x:c>
      <x:c r="K4221" t="str">
        <x:v>SSS</x:v>
      </x:c>
      <x:c r="L4221" s="22" t="n">
        <x:v>54</x:v>
      </x:c>
      <x:c r="M4221" t="n">
        <x:v>39</x:v>
      </x:c>
      <x:c r="N4221" s="24" t="n">
        <x:v>0</x:v>
      </x:c>
      <x:c r="O4221" s="22" t="n">
        <x:f>L4221*M4221</x:f>
        <x:v>2106</x:v>
      </x:c>
      <x:c r="P4221" s="22" t="n">
        <x:f>O4221*(1-N4221)</x:f>
        <x:v>2106</x:v>
      </x:c>
      <x:c r="Q4221" s="22" t="n">
        <x:v>39</x:v>
      </x:c>
      <x:c r="R4221" s="22" t="n">
        <x:f>Q4221*M4221</x:f>
        <x:v>1521</x:v>
      </x:c>
      <x:c r="S4221" s="22" t="n">
        <x:f>P4221-R4221</x:f>
        <x:v>585</x:v>
      </x:c>
      <x:c r="T4221" t="str">
        <x:v>Credit</x:v>
      </x:c>
      <x:c r="U4221" t="str">
        <x:v>Pending</x:v>
      </x:c>
      <x:c r="V4221" t="str">
        <x:v>Delivered</x:v>
      </x:c>
      <x:c r="W4221" t="n">
        <x:v>0</x:v>
      </x:c>
      <x:c r="X4221" t="str"/>
      <x:c r="Y4221" t="str">
        <x:v>Existing Customer</x:v>
      </x:c>
    </x:row>
    <x:row r="4222">
      <x:c r="A4222" t="str">
        <x:v>O004221</x:v>
      </x:c>
      <x:c r="B4222" s="20" t="n">
        <x:v>46151</x:v>
      </x:c>
      <x:c r="C4222" t="str">
        <x:v>C0081</x:v>
      </x:c>
      <x:c r="D4222" t="str">
        <x:v>Foodie Mart 81</x:v>
      </x:c>
      <x:c r="E4222" t="str">
        <x:v>Supermarket</x:v>
      </x:c>
      <x:c r="F4222" t="str">
        <x:v>Hubballi</x:v>
      </x:c>
      <x:c r="G4222" t="str">
        <x:v>Kavya</x:v>
      </x:c>
      <x:c r="H4222" t="str">
        <x:v>P011</x:v>
      </x:c>
      <x:c r="I4222" t="str">
        <x:v>Salt 1kg</x:v>
      </x:c>
      <x:c r="J4222" t="str">
        <x:v>Staples</x:v>
      </x:c>
      <x:c r="K4222" t="str">
        <x:v>Tata</x:v>
      </x:c>
      <x:c r="L4222" s="22" t="n">
        <x:v>28</x:v>
      </x:c>
      <x:c r="M4222" t="n">
        <x:v>19</x:v>
      </x:c>
      <x:c r="N4222" s="24" t="n">
        <x:v>0.03</x:v>
      </x:c>
      <x:c r="O4222" s="22" t="n">
        <x:f>L4222*M4222</x:f>
        <x:v>532</x:v>
      </x:c>
      <x:c r="P4222" s="22" t="n">
        <x:f>O4222*(1-N4222)</x:f>
        <x:v>516.04</x:v>
      </x:c>
      <x:c r="Q4222" s="22" t="n">
        <x:v>23</x:v>
      </x:c>
      <x:c r="R4222" s="22" t="n">
        <x:f>Q4222*M4222</x:f>
        <x:v>437</x:v>
      </x:c>
      <x:c r="S4222" s="22" t="n">
        <x:f>P4222-R4222</x:f>
        <x:v>79.03999999999996</x:v>
      </x:c>
      <x:c r="T4222" t="str">
        <x:v>Credit</x:v>
      </x:c>
      <x:c r="U4222" t="str">
        <x:v>Overdue</x:v>
      </x:c>
      <x:c r="V4222" t="str">
        <x:v>Delivered</x:v>
      </x:c>
      <x:c r="W4222" t="n">
        <x:v>0</x:v>
      </x:c>
      <x:c r="X4222" t="str"/>
      <x:c r="Y4222" t="str">
        <x:v>Referral</x:v>
      </x:c>
    </x:row>
    <x:row r="4223">
      <x:c r="A4223" t="str">
        <x:v>O004222</x:v>
      </x:c>
      <x:c r="B4223" s="20" t="n">
        <x:v>46114</x:v>
      </x:c>
      <x:c r="C4223" t="str">
        <x:v>C0053</x:v>
      </x:c>
      <x:c r="D4223" t="str">
        <x:v>Fresh Cafe 53</x:v>
      </x:c>
      <x:c r="E4223" t="str">
        <x:v>Supermarket</x:v>
      </x:c>
      <x:c r="F4223" t="str">
        <x:v>Mangaluru</x:v>
      </x:c>
      <x:c r="G4223" t="str">
        <x:v>Megha</x:v>
      </x:c>
      <x:c r="H4223" t="str">
        <x:v>P005</x:v>
      </x:c>
      <x:c r="I4223" t="str">
        <x:v>Chana Dal 5kg</x:v>
      </x:c>
      <x:c r="J4223" t="str">
        <x:v>Pulses</x:v>
      </x:c>
      <x:c r="K4223" t="str">
        <x:v>Local Select</x:v>
      </x:c>
      <x:c r="L4223" s="22" t="n">
        <x:v>520</x:v>
      </x:c>
      <x:c r="M4223" t="n">
        <x:v>37</x:v>
      </x:c>
      <x:c r="N4223" s="24" t="n">
        <x:v>0.08</x:v>
      </x:c>
      <x:c r="O4223" s="22" t="n">
        <x:f>L4223*M4223</x:f>
        <x:v>19240</x:v>
      </x:c>
      <x:c r="P4223" s="22" t="n">
        <x:f>O4223*(1-N4223)</x:f>
        <x:v>17700.8</x:v>
      </x:c>
      <x:c r="Q4223" s="22" t="n">
        <x:v>455</x:v>
      </x:c>
      <x:c r="R4223" s="22" t="n">
        <x:f>Q4223*M4223</x:f>
        <x:v>16835</x:v>
      </x:c>
      <x:c r="S4223" s="22" t="n">
        <x:f>P4223-R4223</x:f>
        <x:v>865.7999999999993</x:v>
      </x:c>
      <x:c r="T4223" t="str">
        <x:v>Bank Transfer</x:v>
      </x:c>
      <x:c r="U4223" t="str">
        <x:v>Paid</x:v>
      </x:c>
      <x:c r="V4223" t="str">
        <x:v>Cancelled</x:v>
      </x:c>
      <x:c r="W4223" t="n">
        <x:v>37</x:v>
      </x:c>
      <x:c r="X4223" t="str">
        <x:v>Cancelled Order</x:v>
      </x:c>
      <x:c r="Y4223" t="str">
        <x:v>Referral</x:v>
      </x:c>
    </x:row>
    <x:row r="4224">
      <x:c r="A4224" t="str">
        <x:v>O004223</x:v>
      </x:c>
      <x:c r="B4224" s="20" t="n">
        <x:v>45995</x:v>
      </x:c>
      <x:c r="C4224" t="str">
        <x:v>C0210</x:v>
      </x:c>
      <x:c r="D4224" t="str">
        <x:v>Spice Stores 210</x:v>
      </x:c>
      <x:c r="E4224" t="str">
        <x:v>Cafe</x:v>
      </x:c>
      <x:c r="F4224" t="str">
        <x:v>Davanagere</x:v>
      </x:c>
      <x:c r="G4224" t="str">
        <x:v>Imran</x:v>
      </x:c>
      <x:c r="H4224" t="str">
        <x:v>P032</x:v>
      </x:c>
      <x:c r="I4224" t="str">
        <x:v>Soy Sauce 700g</x:v>
      </x:c>
      <x:c r="J4224" t="str">
        <x:v>Condiments</x:v>
      </x:c>
      <x:c r="K4224" t="str">
        <x:v>Ching's</x:v>
      </x:c>
      <x:c r="L4224" s="22" t="n">
        <x:v>118</x:v>
      </x:c>
      <x:c r="M4224" t="n">
        <x:v>25</x:v>
      </x:c>
      <x:c r="N4224" s="24" t="n">
        <x:v>0.08</x:v>
      </x:c>
      <x:c r="O4224" s="22" t="n">
        <x:f>L4224*M4224</x:f>
        <x:v>2950</x:v>
      </x:c>
      <x:c r="P4224" s="22" t="n">
        <x:f>O4224*(1-N4224)</x:f>
        <x:v>2714</x:v>
      </x:c>
      <x:c r="Q4224" s="22" t="n">
        <x:v>101</x:v>
      </x:c>
      <x:c r="R4224" s="22" t="n">
        <x:f>Q4224*M4224</x:f>
        <x:v>2525</x:v>
      </x:c>
      <x:c r="S4224" s="22" t="n">
        <x:f>P4224-R4224</x:f>
        <x:v>189</x:v>
      </x:c>
      <x:c r="T4224" t="str">
        <x:v>Credit</x:v>
      </x:c>
      <x:c r="U4224" t="str">
        <x:v>Pending</x:v>
      </x:c>
      <x:c r="V4224" t="str">
        <x:v>Delivered</x:v>
      </x:c>
      <x:c r="W4224" t="n">
        <x:v>0</x:v>
      </x:c>
      <x:c r="X4224" t="str"/>
      <x:c r="Y4224" t="str">
        <x:v>Outbound Call</x:v>
      </x:c>
    </x:row>
    <x:row r="4225">
      <x:c r="A4225" t="str">
        <x:v>O004224</x:v>
      </x:c>
      <x:c r="B4225" s="20" t="n">
        <x:v>45678</x:v>
      </x:c>
      <x:c r="C4225" t="str">
        <x:v>C0206</x:v>
      </x:c>
      <x:c r="D4225" t="str">
        <x:v>Grand Kitchen 206</x:v>
      </x:c>
      <x:c r="E4225" t="str">
        <x:v>Kirana</x:v>
      </x:c>
      <x:c r="F4225" t="str">
        <x:v>Mysuru</x:v>
      </x:c>
      <x:c r="G4225" t="str">
        <x:v>Arjun</x:v>
      </x:c>
      <x:c r="H4225" t="str">
        <x:v>P002</x:v>
      </x:c>
      <x:c r="I4225" t="str">
        <x:v>Sona Masoori Rice 25kg</x:v>
      </x:c>
      <x:c r="J4225" t="str">
        <x:v>Staples</x:v>
      </x:c>
      <x:c r="K4225" t="str">
        <x:v>Fortune</x:v>
      </x:c>
      <x:c r="L4225" s="22" t="n">
        <x:v>1320</x:v>
      </x:c>
      <x:c r="M4225" t="n">
        <x:v>3</x:v>
      </x:c>
      <x:c r="N4225" s="24" t="n">
        <x:v>0.03</x:v>
      </x:c>
      <x:c r="O4225" s="22" t="n">
        <x:f>L4225*M4225</x:f>
        <x:v>3960</x:v>
      </x:c>
      <x:c r="P4225" s="22" t="n">
        <x:f>O4225*(1-N4225)</x:f>
        <x:v>3841.2</x:v>
      </x:c>
      <x:c r="Q4225" s="22" t="n">
        <x:v>1160</x:v>
      </x:c>
      <x:c r="R4225" s="22" t="n">
        <x:f>Q4225*M4225</x:f>
        <x:v>3480</x:v>
      </x:c>
      <x:c r="S4225" s="22" t="n">
        <x:f>P4225-R4225</x:f>
        <x:v>361.1999999999998</x:v>
      </x:c>
      <x:c r="T4225" t="str">
        <x:v>Credit</x:v>
      </x:c>
      <x:c r="U4225" t="str">
        <x:v>Paid</x:v>
      </x:c>
      <x:c r="V4225" t="str">
        <x:v>Delayed</x:v>
      </x:c>
      <x:c r="W4225" t="n">
        <x:v>0</x:v>
      </x:c>
      <x:c r="X4225" t="str"/>
      <x:c r="Y4225" t="str">
        <x:v>Existing Customer</x:v>
      </x:c>
    </x:row>
    <x:row r="4226">
      <x:c r="A4226" t="str">
        <x:v>O004225</x:v>
      </x:c>
      <x:c r="B4226" s="20" t="n">
        <x:v>46133</x:v>
      </x:c>
      <x:c r="C4226" t="str">
        <x:v>C0210</x:v>
      </x:c>
      <x:c r="D4226" t="str">
        <x:v>Spice Stores 210</x:v>
      </x:c>
      <x:c r="E4226" t="str">
        <x:v>Cafe</x:v>
      </x:c>
      <x:c r="F4226" t="str">
        <x:v>Davanagere</x:v>
      </x:c>
      <x:c r="G4226" t="str">
        <x:v>Imran</x:v>
      </x:c>
      <x:c r="H4226" t="str">
        <x:v>P034</x:v>
      </x:c>
      <x:c r="I4226" t="str">
        <x:v>Chilli Powder 1kg</x:v>
      </x:c>
      <x:c r="J4226" t="str">
        <x:v>Spices</x:v>
      </x:c>
      <x:c r="K4226" t="str">
        <x:v>MDH</x:v>
      </x:c>
      <x:c r="L4226" s="22" t="n">
        <x:v>340</x:v>
      </x:c>
      <x:c r="M4226" t="n">
        <x:v>4</x:v>
      </x:c>
      <x:c r="N4226" s="24" t="n">
        <x:v>0.05</x:v>
      </x:c>
      <x:c r="O4226" s="22" t="n">
        <x:f>L4226*M4226</x:f>
        <x:v>1360</x:v>
      </x:c>
      <x:c r="P4226" s="22" t="n">
        <x:f>O4226*(1-N4226)</x:f>
        <x:v>1292</x:v>
      </x:c>
      <x:c r="Q4226" s="22" t="n">
        <x:v>295</x:v>
      </x:c>
      <x:c r="R4226" s="22" t="n">
        <x:f>Q4226*M4226</x:f>
        <x:v>1180</x:v>
      </x:c>
      <x:c r="S4226" s="22" t="n">
        <x:f>P4226-R4226</x:f>
        <x:v>112</x:v>
      </x:c>
      <x:c r="T4226" t="str">
        <x:v>Cash</x:v>
      </x:c>
      <x:c r="U4226" t="str">
        <x:v>Paid</x:v>
      </x:c>
      <x:c r="V4226" t="str">
        <x:v>Delivered</x:v>
      </x:c>
      <x:c r="W4226" t="n">
        <x:v>0</x:v>
      </x:c>
      <x:c r="X4226" t="str"/>
      <x:c r="Y4226" t="str">
        <x:v>Referral</x:v>
      </x:c>
    </x:row>
    <x:row r="4227">
      <x:c r="A4227" t="str">
        <x:v>O004226</x:v>
      </x:c>
      <x:c r="B4227" s="20" t="n">
        <x:v>46089</x:v>
      </x:c>
      <x:c r="C4227" t="str">
        <x:v>C0167</x:v>
      </x:c>
      <x:c r="D4227" t="str">
        <x:v>Foodie Canteen 167</x:v>
      </x:c>
      <x:c r="E4227" t="str">
        <x:v>Canteen</x:v>
      </x:c>
      <x:c r="F4227" t="str">
        <x:v>Bengaluru</x:v>
      </x:c>
      <x:c r="G4227" t="str">
        <x:v>Megha</x:v>
      </x:c>
      <x:c r="H4227" t="str">
        <x:v>P004</x:v>
      </x:c>
      <x:c r="I4227" t="str">
        <x:v>Toor Dal 5kg</x:v>
      </x:c>
      <x:c r="J4227" t="str">
        <x:v>Pulses</x:v>
      </x:c>
      <x:c r="K4227" t="str">
        <x:v>Tata Sampann</x:v>
      </x:c>
      <x:c r="L4227" s="22" t="n">
        <x:v>780</x:v>
      </x:c>
      <x:c r="M4227" t="n">
        <x:v>13</x:v>
      </x:c>
      <x:c r="N4227" s="24" t="n">
        <x:v>0</x:v>
      </x:c>
      <x:c r="O4227" s="22" t="n">
        <x:f>L4227*M4227</x:f>
        <x:v>10140</x:v>
      </x:c>
      <x:c r="P4227" s="22" t="n">
        <x:f>O4227*(1-N4227)</x:f>
        <x:v>10140</x:v>
      </x:c>
      <x:c r="Q4227" s="22" t="n">
        <x:v>695</x:v>
      </x:c>
      <x:c r="R4227" s="22" t="n">
        <x:f>Q4227*M4227</x:f>
        <x:v>9035</x:v>
      </x:c>
      <x:c r="S4227" s="22" t="n">
        <x:f>P4227-R4227</x:f>
        <x:v>1105</x:v>
      </x:c>
      <x:c r="T4227" t="str">
        <x:v>UPI</x:v>
      </x:c>
      <x:c r="U4227" t="str">
        <x:v>Paid</x:v>
      </x:c>
      <x:c r="V4227" t="str">
        <x:v>Delivered</x:v>
      </x:c>
      <x:c r="W4227" t="n">
        <x:v>0</x:v>
      </x:c>
      <x:c r="X4227" t="str"/>
      <x:c r="Y4227" t="str">
        <x:v>WhatsApp</x:v>
      </x:c>
    </x:row>
    <x:row r="4228">
      <x:c r="A4228" t="str">
        <x:v>O004227</x:v>
      </x:c>
      <x:c r="B4228" s="20" t="n">
        <x:v>46227</x:v>
      </x:c>
      <x:c r="C4228" t="str">
        <x:v>C0054</x:v>
      </x:c>
      <x:c r="D4228" t="str">
        <x:v>Cafe Cafe 54</x:v>
      </x:c>
      <x:c r="E4228" t="str">
        <x:v>Restaurant</x:v>
      </x:c>
      <x:c r="F4228" t="str">
        <x:v>Hubballi</x:v>
      </x:c>
      <x:c r="G4228" t="str">
        <x:v>Vikram</x:v>
      </x:c>
      <x:c r="H4228" t="str">
        <x:v>P011</x:v>
      </x:c>
      <x:c r="I4228" t="str">
        <x:v>Salt 1kg</x:v>
      </x:c>
      <x:c r="J4228" t="str">
        <x:v>Staples</x:v>
      </x:c>
      <x:c r="K4228" t="str">
        <x:v>Tata</x:v>
      </x:c>
      <x:c r="L4228" s="22" t="n">
        <x:v>28</x:v>
      </x:c>
      <x:c r="M4228" t="n">
        <x:v>30</x:v>
      </x:c>
      <x:c r="N4228" s="24" t="n">
        <x:v>0.05</x:v>
      </x:c>
      <x:c r="O4228" s="22" t="n">
        <x:f>L4228*M4228</x:f>
        <x:v>840</x:v>
      </x:c>
      <x:c r="P4228" s="22" t="n">
        <x:f>O4228*(1-N4228)</x:f>
        <x:v>798</x:v>
      </x:c>
      <x:c r="Q4228" s="22" t="n">
        <x:v>23</x:v>
      </x:c>
      <x:c r="R4228" s="22" t="n">
        <x:f>Q4228*M4228</x:f>
        <x:v>690</x:v>
      </x:c>
      <x:c r="S4228" s="22" t="n">
        <x:f>P4228-R4228</x:f>
        <x:v>108</x:v>
      </x:c>
      <x:c r="T4228" t="str">
        <x:v>Bank Transfer</x:v>
      </x:c>
      <x:c r="U4228" t="str">
        <x:v>Paid</x:v>
      </x:c>
      <x:c r="V4228" t="str">
        <x:v>Delivered</x:v>
      </x:c>
      <x:c r="W4228" t="n">
        <x:v>0</x:v>
      </x:c>
      <x:c r="X4228" t="str"/>
      <x:c r="Y4228" t="str">
        <x:v>WhatsApp</x:v>
      </x:c>
    </x:row>
    <x:row r="4229">
      <x:c r="A4229" t="str">
        <x:v>O004228</x:v>
      </x:c>
      <x:c r="B4229" s="20" t="n">
        <x:v>46185</x:v>
      </x:c>
      <x:c r="C4229" t="str">
        <x:v>C0046</x:v>
      </x:c>
      <x:c r="D4229" t="str">
        <x:v>Annapurna Foods 46</x:v>
      </x:c>
      <x:c r="E4229" t="str">
        <x:v>Kirana</x:v>
      </x:c>
      <x:c r="F4229" t="str">
        <x:v>Bengaluru</x:v>
      </x:c>
      <x:c r="G4229" t="str">
        <x:v>Ramesh</x:v>
      </x:c>
      <x:c r="H4229" t="str">
        <x:v>P026</x:v>
      </x:c>
      <x:c r="I4229" t="str">
        <x:v>Banana Chips 80g</x:v>
      </x:c>
      <x:c r="J4229" t="str">
        <x:v>Snacks</x:v>
      </x:c>
      <x:c r="K4229" t="str">
        <x:v>SSS</x:v>
      </x:c>
      <x:c r="L4229" s="22" t="n">
        <x:v>54</x:v>
      </x:c>
      <x:c r="M4229" t="n">
        <x:v>40</x:v>
      </x:c>
      <x:c r="N4229" s="24" t="n">
        <x:v>0.03</x:v>
      </x:c>
      <x:c r="O4229" s="22" t="n">
        <x:f>L4229*M4229</x:f>
        <x:v>2160</x:v>
      </x:c>
      <x:c r="P4229" s="22" t="n">
        <x:f>O4229*(1-N4229)</x:f>
        <x:v>2095.2</x:v>
      </x:c>
      <x:c r="Q4229" s="22" t="n">
        <x:v>39</x:v>
      </x:c>
      <x:c r="R4229" s="22" t="n">
        <x:f>Q4229*M4229</x:f>
        <x:v>1560</x:v>
      </x:c>
      <x:c r="S4229" s="22" t="n">
        <x:f>P4229-R4229</x:f>
        <x:v>535.1999999999998</x:v>
      </x:c>
      <x:c r="T4229" t="str">
        <x:v>Bank Transfer</x:v>
      </x:c>
      <x:c r="U4229" t="str">
        <x:v>Paid</x:v>
      </x:c>
      <x:c r="V4229" t="str">
        <x:v>Cancelled</x:v>
      </x:c>
      <x:c r="W4229" t="n">
        <x:v>40</x:v>
      </x:c>
      <x:c r="X4229" t="str">
        <x:v>Cancelled Order</x:v>
      </x:c>
      <x:c r="Y4229" t="str">
        <x:v>Field Visit</x:v>
      </x:c>
    </x:row>
    <x:row r="4230">
      <x:c r="A4230" t="str">
        <x:v>O004229</x:v>
      </x:c>
      <x:c r="B4230" s="20" t="n">
        <x:v>45869</x:v>
      </x:c>
      <x:c r="C4230" t="str">
        <x:v>C0067</x:v>
      </x:c>
      <x:c r="D4230" t="str">
        <x:v>Royal Restaurant 67</x:v>
      </x:c>
      <x:c r="E4230" t="str">
        <x:v>Supermarket</x:v>
      </x:c>
      <x:c r="F4230" t="str">
        <x:v>Tumakuru</x:v>
      </x:c>
      <x:c r="G4230" t="str">
        <x:v>Sneha</x:v>
      </x:c>
      <x:c r="H4230" t="str">
        <x:v>P049</x:v>
      </x:c>
      <x:c r="I4230" t="str">
        <x:v>Apple 10kg</x:v>
      </x:c>
      <x:c r="J4230" t="str">
        <x:v>Fresh Produce</x:v>
      </x:c>
      <x:c r="K4230" t="str">
        <x:v>Local Market</x:v>
      </x:c>
      <x:c r="L4230" s="22" t="n">
        <x:v>1450</x:v>
      </x:c>
      <x:c r="M4230" t="n">
        <x:v>8</x:v>
      </x:c>
      <x:c r="N4230" s="24" t="n">
        <x:v>0</x:v>
      </x:c>
      <x:c r="O4230" s="22" t="n">
        <x:f>L4230*M4230</x:f>
        <x:v>11600</x:v>
      </x:c>
      <x:c r="P4230" s="22" t="n">
        <x:f>O4230*(1-N4230)</x:f>
        <x:v>11600</x:v>
      </x:c>
      <x:c r="Q4230" s="22" t="n">
        <x:v>1280</x:v>
      </x:c>
      <x:c r="R4230" s="22" t="n">
        <x:f>Q4230*M4230</x:f>
        <x:v>10240</x:v>
      </x:c>
      <x:c r="S4230" s="22" t="n">
        <x:f>P4230-R4230</x:f>
        <x:v>1360</x:v>
      </x:c>
      <x:c r="T4230" t="str">
        <x:v>UPI</x:v>
      </x:c>
      <x:c r="U4230" t="str">
        <x:v>Paid</x:v>
      </x:c>
      <x:c r="V4230" t="str">
        <x:v>Delivered</x:v>
      </x:c>
      <x:c r="W4230" t="n">
        <x:v>0</x:v>
      </x:c>
      <x:c r="X4230" t="str"/>
      <x:c r="Y4230" t="str">
        <x:v>Outbound Call</x:v>
      </x:c>
    </x:row>
    <x:row r="4231">
      <x:c r="A4231" t="str">
        <x:v>O004230</x:v>
      </x:c>
      <x:c r="B4231" s="20" t="n">
        <x:v>45915</x:v>
      </x:c>
      <x:c r="C4231" t="str">
        <x:v>C0167</x:v>
      </x:c>
      <x:c r="D4231" t="str">
        <x:v>Foodie Canteen 167</x:v>
      </x:c>
      <x:c r="E4231" t="str">
        <x:v>Canteen</x:v>
      </x:c>
      <x:c r="F4231" t="str">
        <x:v>Bengaluru</x:v>
      </x:c>
      <x:c r="G4231" t="str">
        <x:v>Megha</x:v>
      </x:c>
      <x:c r="H4231" t="str">
        <x:v>P020</x:v>
      </x:c>
      <x:c r="I4231" t="str">
        <x:v>Coffee 500g</x:v>
      </x:c>
      <x:c r="J4231" t="str">
        <x:v>Beverage</x:v>
      </x:c>
      <x:c r="K4231" t="str">
        <x:v>Bru</x:v>
      </x:c>
      <x:c r="L4231" s="22" t="n">
        <x:v>390</x:v>
      </x:c>
      <x:c r="M4231" t="n">
        <x:v>39</x:v>
      </x:c>
      <x:c r="N4231" s="24" t="n">
        <x:v>0.02</x:v>
      </x:c>
      <x:c r="O4231" s="22" t="n">
        <x:f>L4231*M4231</x:f>
        <x:v>15210</x:v>
      </x:c>
      <x:c r="P4231" s="22" t="n">
        <x:f>O4231*(1-N4231)</x:f>
        <x:v>14905.8</x:v>
      </x:c>
      <x:c r="Q4231" s="22" t="n">
        <x:v>350</x:v>
      </x:c>
      <x:c r="R4231" s="22" t="n">
        <x:f>Q4231*M4231</x:f>
        <x:v>13650</x:v>
      </x:c>
      <x:c r="S4231" s="22" t="n">
        <x:f>P4231-R4231</x:f>
        <x:v>1255.7999999999993</x:v>
      </x:c>
      <x:c r="T4231" t="str">
        <x:v>UPI</x:v>
      </x:c>
      <x:c r="U4231" t="str">
        <x:v>Paid</x:v>
      </x:c>
      <x:c r="V4231" t="str">
        <x:v>Delayed</x:v>
      </x:c>
      <x:c r="W4231" t="n">
        <x:v>0</x:v>
      </x:c>
      <x:c r="X4231" t="str"/>
      <x:c r="Y4231" t="str">
        <x:v>WhatsApp</x:v>
      </x:c>
    </x:row>
    <x:row r="4232">
      <x:c r="A4232" t="str">
        <x:v>O004231</x:v>
      </x:c>
      <x:c r="B4232" s="20" t="n">
        <x:v>46246</x:v>
      </x:c>
      <x:c r="C4232" t="str">
        <x:v>C0081</x:v>
      </x:c>
      <x:c r="D4232" t="str">
        <x:v>Foodie Mart 81</x:v>
      </x:c>
      <x:c r="E4232" t="str">
        <x:v>Supermarket</x:v>
      </x:c>
      <x:c r="F4232" t="str">
        <x:v>Hubballi</x:v>
      </x:c>
      <x:c r="G4232" t="str">
        <x:v>Kavya</x:v>
      </x:c>
      <x:c r="H4232" t="str">
        <x:v>P044</x:v>
      </x:c>
      <x:c r="I4232" t="str">
        <x:v>Chicken Curry Cut 1kg</x:v>
      </x:c>
      <x:c r="J4232" t="str">
        <x:v>Protein</x:v>
      </x:c>
      <x:c r="K4232" t="str">
        <x:v>FreshToHome</x:v>
      </x:c>
      <x:c r="L4232" s="22" t="n">
        <x:v>230</x:v>
      </x:c>
      <x:c r="M4232" t="n">
        <x:v>25</x:v>
      </x:c>
      <x:c r="N4232" s="24" t="n">
        <x:v>0</x:v>
      </x:c>
      <x:c r="O4232" s="22" t="n">
        <x:f>L4232*M4232</x:f>
        <x:v>5750</x:v>
      </x:c>
      <x:c r="P4232" s="22" t="n">
        <x:f>O4232*(1-N4232)</x:f>
        <x:v>5750</x:v>
      </x:c>
      <x:c r="Q4232" s="22" t="n">
        <x:v>205</x:v>
      </x:c>
      <x:c r="R4232" s="22" t="n">
        <x:f>Q4232*M4232</x:f>
        <x:v>5125</x:v>
      </x:c>
      <x:c r="S4232" s="22" t="n">
        <x:f>P4232-R4232</x:f>
        <x:v>625</x:v>
      </x:c>
      <x:c r="T4232" t="str">
        <x:v>Cash</x:v>
      </x:c>
      <x:c r="U4232" t="str">
        <x:v>Paid</x:v>
      </x:c>
      <x:c r="V4232" t="str">
        <x:v>Delayed</x:v>
      </x:c>
      <x:c r="W4232" t="n">
        <x:v>0</x:v>
      </x:c>
      <x:c r="X4232" t="str"/>
      <x:c r="Y4232" t="str"/>
    </x:row>
    <x:row r="4233">
      <x:c r="A4233" t="str">
        <x:v>O004232</x:v>
      </x:c>
      <x:c r="B4233" s="20" t="n">
        <x:v>45802</x:v>
      </x:c>
      <x:c r="C4233" t="str">
        <x:v>C0148</x:v>
      </x:c>
      <x:c r="D4233" t="str">
        <x:v>Shree Cafe 148</x:v>
      </x:c>
      <x:c r="E4233" t="str">
        <x:v>Kirana</x:v>
      </x:c>
      <x:c r="F4233" t="str">
        <x:v>Hubballi</x:v>
      </x:c>
      <x:c r="G4233" t="str">
        <x:v>Priya</x:v>
      </x:c>
      <x:c r="H4233" t="str">
        <x:v>P046</x:v>
      </x:c>
      <x:c r="I4233" t="str">
        <x:v>Potato 25kg</x:v>
      </x:c>
      <x:c r="J4233" t="str">
        <x:v>Fresh Produce</x:v>
      </x:c>
      <x:c r="K4233" t="str">
        <x:v>Local Market</x:v>
      </x:c>
      <x:c r="L4233" s="22" t="n">
        <x:v>700</x:v>
      </x:c>
      <x:c r="M4233" t="n">
        <x:v>32</x:v>
      </x:c>
      <x:c r="N4233" s="24" t="n">
        <x:v>0.03</x:v>
      </x:c>
      <x:c r="O4233" s="22" t="n">
        <x:f>L4233*M4233</x:f>
        <x:v>22400</x:v>
      </x:c>
      <x:c r="P4233" s="22" t="n">
        <x:f>O4233*(1-N4233)</x:f>
        <x:v>21728</x:v>
      </x:c>
      <x:c r="Q4233" s="22" t="n">
        <x:v>610</x:v>
      </x:c>
      <x:c r="R4233" s="22" t="n">
        <x:f>Q4233*M4233</x:f>
        <x:v>19520</x:v>
      </x:c>
      <x:c r="S4233" s="22" t="n">
        <x:f>P4233-R4233</x:f>
        <x:v>2208</x:v>
      </x:c>
      <x:c r="T4233" t="str">
        <x:v>UPI</x:v>
      </x:c>
      <x:c r="U4233" t="str">
        <x:v>Pending</x:v>
      </x:c>
      <x:c r="V4233" t="str">
        <x:v>Delivered</x:v>
      </x:c>
      <x:c r="W4233" t="n">
        <x:v>0</x:v>
      </x:c>
      <x:c r="X4233" t="str"/>
      <x:c r="Y4233" t="str">
        <x:v>Referral</x:v>
      </x:c>
    </x:row>
    <x:row r="4234">
      <x:c r="A4234" t="str">
        <x:v>O004233</x:v>
      </x:c>
      <x:c r="B4234" s="20" t="n">
        <x:v>45997</x:v>
      </x:c>
      <x:c r="C4234" t="str">
        <x:v>C0106</x:v>
      </x:c>
      <x:c r="D4234" t="str">
        <x:v>Classic Mart 106</x:v>
      </x:c>
      <x:c r="E4234" t="str">
        <x:v>Restaurant</x:v>
      </x:c>
      <x:c r="F4234" t="str">
        <x:v>Mysuru</x:v>
      </x:c>
      <x:c r="G4234" t="str">
        <x:v>Kavya</x:v>
      </x:c>
      <x:c r="H4234" t="str">
        <x:v>P034</x:v>
      </x:c>
      <x:c r="I4234" t="str">
        <x:v>Chilli Powder 1kg</x:v>
      </x:c>
      <x:c r="J4234" t="str">
        <x:v>Spices</x:v>
      </x:c>
      <x:c r="K4234" t="str">
        <x:v>MDH</x:v>
      </x:c>
      <x:c r="L4234" s="22" t="n">
        <x:v>340</x:v>
      </x:c>
      <x:c r="M4234" t="n">
        <x:v>1</x:v>
      </x:c>
      <x:c r="N4234" s="24" t="n">
        <x:v>0.05</x:v>
      </x:c>
      <x:c r="O4234" s="22" t="n">
        <x:f>L4234*M4234</x:f>
        <x:v>340</x:v>
      </x:c>
      <x:c r="P4234" s="22" t="n">
        <x:f>O4234*(1-N4234)</x:f>
        <x:v>323</x:v>
      </x:c>
      <x:c r="Q4234" s="22" t="n">
        <x:v>295</x:v>
      </x:c>
      <x:c r="R4234" s="22" t="n">
        <x:f>Q4234*M4234</x:f>
        <x:v>295</x:v>
      </x:c>
      <x:c r="S4234" s="22" t="n">
        <x:f>P4234-R4234</x:f>
        <x:v>28</x:v>
      </x:c>
      <x:c r="T4234" t="str">
        <x:v>UPI</x:v>
      </x:c>
      <x:c r="U4234" t="str">
        <x:v>Paid</x:v>
      </x:c>
      <x:c r="V4234" t="str">
        <x:v>Delivered</x:v>
      </x:c>
      <x:c r="W4234" t="n">
        <x:v>0</x:v>
      </x:c>
      <x:c r="X4234" t="str"/>
      <x:c r="Y4234" t="str">
        <x:v>Referral</x:v>
      </x:c>
    </x:row>
    <x:row r="4235">
      <x:c r="A4235" t="str">
        <x:v>O004234</x:v>
      </x:c>
      <x:c r="B4235" s="20" t="n">
        <x:v>45689</x:v>
      </x:c>
      <x:c r="C4235" t="str">
        <x:v>C0166</x:v>
      </x:c>
      <x:c r="D4235" t="str">
        <x:v>Mysore Foods 166</x:v>
      </x:c>
      <x:c r="E4235" t="str">
        <x:v>Cafe</x:v>
      </x:c>
      <x:c r="F4235" t="str">
        <x:v>Mangaluru</x:v>
      </x:c>
      <x:c r="G4235" t="str">
        <x:v>Arjun</x:v>
      </x:c>
      <x:c r="H4235" t="str">
        <x:v>P008</x:v>
      </x:c>
      <x:c r="I4235" t="str">
        <x:v>Palm Oil 15L</x:v>
      </x:c>
      <x:c r="J4235" t="str">
        <x:v>Edible Oil</x:v>
      </x:c>
      <x:c r="K4235" t="str">
        <x:v>Ruchi Gold</x:v>
      </x:c>
      <x:c r="L4235" s="22" t="n">
        <x:v>1760</x:v>
      </x:c>
      <x:c r="M4235" t="n">
        <x:v>2</x:v>
      </x:c>
      <x:c r="N4235" s="24" t="n">
        <x:v>0.05</x:v>
      </x:c>
      <x:c r="O4235" s="22" t="n">
        <x:f>L4235*M4235</x:f>
        <x:v>3520</x:v>
      </x:c>
      <x:c r="P4235" s="22" t="n">
        <x:f>O4235*(1-N4235)</x:f>
        <x:v>3344</x:v>
      </x:c>
      <x:c r="Q4235" s="22" t="n">
        <x:v>1610</x:v>
      </x:c>
      <x:c r="R4235" s="22" t="n">
        <x:f>Q4235*M4235</x:f>
        <x:v>3220</x:v>
      </x:c>
      <x:c r="S4235" s="22" t="n">
        <x:f>P4235-R4235</x:f>
        <x:v>124</x:v>
      </x:c>
      <x:c r="T4235" t="str">
        <x:v>Credit</x:v>
      </x:c>
      <x:c r="U4235" t="str">
        <x:v>Paid</x:v>
      </x:c>
      <x:c r="V4235" t="str">
        <x:v>Delivered</x:v>
      </x:c>
      <x:c r="W4235" t="n">
        <x:v>0</x:v>
      </x:c>
      <x:c r="X4235" t="str"/>
      <x:c r="Y4235" t="str">
        <x:v>Existing Customer</x:v>
      </x:c>
    </x:row>
    <x:row r="4236">
      <x:c r="A4236" t="str">
        <x:v>O004235</x:v>
      </x:c>
      <x:c r="B4236" s="20" t="n">
        <x:v>46040</x:v>
      </x:c>
      <x:c r="C4236" t="str">
        <x:v>C0072</x:v>
      </x:c>
      <x:c r="D4236" t="str">
        <x:v>Grand Restaurant 72</x:v>
      </x:c>
      <x:c r="E4236" t="str">
        <x:v>Restaurant</x:v>
      </x:c>
      <x:c r="F4236" t="str">
        <x:v>Davanagere</x:v>
      </x:c>
      <x:c r="G4236" t="str">
        <x:v>Kavya</x:v>
      </x:c>
      <x:c r="H4236" t="str">
        <x:v>P048</x:v>
      </x:c>
      <x:c r="I4236" t="str">
        <x:v>Banana 10kg</x:v>
      </x:c>
      <x:c r="J4236" t="str">
        <x:v>Fresh Produce</x:v>
      </x:c>
      <x:c r="K4236" t="str">
        <x:v>Local Market</x:v>
      </x:c>
      <x:c r="L4236" s="22" t="n">
        <x:v>420</x:v>
      </x:c>
      <x:c r="M4236" t="n">
        <x:v>27</x:v>
      </x:c>
      <x:c r="N4236" s="24" t="n">
        <x:v>0.03</x:v>
      </x:c>
      <x:c r="O4236" s="22" t="n">
        <x:f>L4236*M4236</x:f>
        <x:v>11340</x:v>
      </x:c>
      <x:c r="P4236" s="22" t="n">
        <x:f>O4236*(1-N4236)</x:f>
        <x:v>10999.8</x:v>
      </x:c>
      <x:c r="Q4236" s="22" t="n">
        <x:v>350</x:v>
      </x:c>
      <x:c r="R4236" s="22" t="n">
        <x:f>Q4236*M4236</x:f>
        <x:v>9450</x:v>
      </x:c>
      <x:c r="S4236" s="22" t="n">
        <x:f>P4236-R4236</x:f>
        <x:v>1549.7999999999993</x:v>
      </x:c>
      <x:c r="T4236" t="str">
        <x:v>UPI</x:v>
      </x:c>
      <x:c r="U4236" t="str">
        <x:v>Paid</x:v>
      </x:c>
      <x:c r="V4236" t="str">
        <x:v>Delivered</x:v>
      </x:c>
      <x:c r="W4236" t="n">
        <x:v>0</x:v>
      </x:c>
      <x:c r="X4236" t="str"/>
      <x:c r="Y4236" t="str">
        <x:v>WhatsApp</x:v>
      </x:c>
    </x:row>
    <x:row r="4237">
      <x:c r="A4237" t="str">
        <x:v>O004236</x:v>
      </x:c>
      <x:c r="B4237" s="20" t="n">
        <x:v>45998</x:v>
      </x:c>
      <x:c r="C4237" t="str">
        <x:v>C0248</x:v>
      </x:c>
      <x:c r="D4237" t="str">
        <x:v>Royal Restaurant 248</x:v>
      </x:c>
      <x:c r="E4237" t="str">
        <x:v>Canteen</x:v>
      </x:c>
      <x:c r="F4237" t="str">
        <x:v>Mysuru</x:v>
      </x:c>
      <x:c r="G4237" t="str">
        <x:v>Priya</x:v>
      </x:c>
      <x:c r="H4237" t="str">
        <x:v>P006</x:v>
      </x:c>
      <x:c r="I4237" t="str">
        <x:v>Moong Dal 5kg</x:v>
      </x:c>
      <x:c r="J4237" t="str">
        <x:v>Pulses</x:v>
      </x:c>
      <x:c r="K4237" t="str">
        <x:v>Local Select</x:v>
      </x:c>
      <x:c r="L4237" s="22" t="n">
        <x:v>610</x:v>
      </x:c>
      <x:c r="M4237" t="n">
        <x:v>4</x:v>
      </x:c>
      <x:c r="N4237" s="24" t="n">
        <x:v>0.05</x:v>
      </x:c>
      <x:c r="O4237" s="22" t="n">
        <x:f>L4237*M4237</x:f>
        <x:v>2440</x:v>
      </x:c>
      <x:c r="P4237" s="22" t="n">
        <x:f>O4237*(1-N4237)</x:f>
        <x:v>2318</x:v>
      </x:c>
      <x:c r="Q4237" s="22" t="n">
        <x:v>540</x:v>
      </x:c>
      <x:c r="R4237" s="22" t="n">
        <x:f>Q4237*M4237</x:f>
        <x:v>2160</x:v>
      </x:c>
      <x:c r="S4237" s="22" t="n">
        <x:f>P4237-R4237</x:f>
        <x:v>158</x:v>
      </x:c>
      <x:c r="T4237" t="str">
        <x:v>Bank Transfer</x:v>
      </x:c>
      <x:c r="U4237" t="str">
        <x:v>Paid</x:v>
      </x:c>
      <x:c r="V4237" t="str">
        <x:v>Delivered</x:v>
      </x:c>
      <x:c r="W4237" t="n">
        <x:v>0</x:v>
      </x:c>
      <x:c r="X4237" t="str"/>
      <x:c r="Y4237" t="str">
        <x:v>Outbound Call</x:v>
      </x:c>
    </x:row>
    <x:row r="4238">
      <x:c r="A4238" t="str">
        <x:v>O004237</x:v>
      </x:c>
      <x:c r="B4238" s="20" t="n">
        <x:v>46038</x:v>
      </x:c>
      <x:c r="C4238" t="str">
        <x:v>C0101</x:v>
      </x:c>
      <x:c r="D4238" t="str">
        <x:v>Namma Cafe 101</x:v>
      </x:c>
      <x:c r="E4238" t="str">
        <x:v>Supermarket</x:v>
      </x:c>
      <x:c r="F4238" t="str">
        <x:v>Bengaluru</x:v>
      </x:c>
      <x:c r="G4238" t="str">
        <x:v>Arjun</x:v>
      </x:c>
      <x:c r="H4238" t="str">
        <x:v>P042</x:v>
      </x:c>
      <x:c r="I4238" t="str">
        <x:v>Eggs 30pc Tray</x:v>
      </x:c>
      <x:c r="J4238" t="str">
        <x:v>Protein</x:v>
      </x:c>
      <x:c r="K4238" t="str">
        <x:v>Farm Fresh</x:v>
      </x:c>
      <x:c r="L4238" s="22" t="n">
        <x:v>195</x:v>
      </x:c>
      <x:c r="M4238" t="n">
        <x:v>22</x:v>
      </x:c>
      <x:c r="N4238" s="24" t="n">
        <x:v>0.03</x:v>
      </x:c>
      <x:c r="O4238" s="22" t="n">
        <x:f>L4238*M4238</x:f>
        <x:v>4290</x:v>
      </x:c>
      <x:c r="P4238" s="22" t="n">
        <x:f>O4238*(1-N4238)</x:f>
        <x:v>4161.3</x:v>
      </x:c>
      <x:c r="Q4238" s="22" t="n">
        <x:v>170</x:v>
      </x:c>
      <x:c r="R4238" s="22" t="n">
        <x:f>Q4238*M4238</x:f>
        <x:v>3740</x:v>
      </x:c>
      <x:c r="S4238" s="22" t="n">
        <x:f>P4238-R4238</x:f>
        <x:v>421.3000000000002</x:v>
      </x:c>
      <x:c r="T4238" t="str">
        <x:v>Cash</x:v>
      </x:c>
      <x:c r="U4238" t="str">
        <x:v>Paid</x:v>
      </x:c>
      <x:c r="V4238" t="str">
        <x:v>Delivered</x:v>
      </x:c>
      <x:c r="W4238" t="n">
        <x:v>0</x:v>
      </x:c>
      <x:c r="X4238" t="str"/>
      <x:c r="Y4238" t="str">
        <x:v>WhatsApp</x:v>
      </x:c>
    </x:row>
    <x:row r="4239">
      <x:c r="A4239" t="str">
        <x:v>O004238</x:v>
      </x:c>
      <x:c r="B4239" s="20" t="n">
        <x:v>45800</x:v>
      </x:c>
      <x:c r="C4239" t="str">
        <x:v>C0118</x:v>
      </x:c>
      <x:c r="D4239" t="str">
        <x:v>Sagar Kitchen 118</x:v>
      </x:c>
      <x:c r="E4239" t="str">
        <x:v>Restaurant</x:v>
      </x:c>
      <x:c r="F4239" t="str">
        <x:v>Hubballi</x:v>
      </x:c>
      <x:c r="G4239" t="str">
        <x:v>Megha</x:v>
      </x:c>
      <x:c r="H4239" t="str">
        <x:v>P013</x:v>
      </x:c>
      <x:c r="I4239" t="str">
        <x:v>Atta 10kg</x:v>
      </x:c>
      <x:c r="J4239" t="str">
        <x:v>Flour</x:v>
      </x:c>
      <x:c r="K4239" t="str">
        <x:v>Aashirvaad</x:v>
      </x:c>
      <x:c r="L4239" s="22" t="n">
        <x:v>560</x:v>
      </x:c>
      <x:c r="M4239" t="n">
        <x:v>38</x:v>
      </x:c>
      <x:c r="N4239" s="24" t="n">
        <x:v>0.05</x:v>
      </x:c>
      <x:c r="O4239" s="22" t="n">
        <x:f>L4239*M4239</x:f>
        <x:v>21280</x:v>
      </x:c>
      <x:c r="P4239" s="22" t="n">
        <x:f>O4239*(1-N4239)</x:f>
        <x:v>20216</x:v>
      </x:c>
      <x:c r="Q4239" s="22" t="n">
        <x:v>495</x:v>
      </x:c>
      <x:c r="R4239" s="22" t="n">
        <x:f>Q4239*M4239</x:f>
        <x:v>18810</x:v>
      </x:c>
      <x:c r="S4239" s="22" t="n">
        <x:f>P4239-R4239</x:f>
        <x:v>1406</x:v>
      </x:c>
      <x:c r="T4239" t="str">
        <x:v>Credit</x:v>
      </x:c>
      <x:c r="U4239" t="str">
        <x:v>Overdue</x:v>
      </x:c>
      <x:c r="V4239" t="str">
        <x:v>Delivered</x:v>
      </x:c>
      <x:c r="W4239" t="n">
        <x:v>0</x:v>
      </x:c>
      <x:c r="X4239" t="str"/>
      <x:c r="Y4239" t="str"/>
    </x:row>
    <x:row r="4240">
      <x:c r="A4240" t="str">
        <x:v>O004239</x:v>
      </x:c>
      <x:c r="B4240" s="20" t="n">
        <x:v>45679</x:v>
      </x:c>
      <x:c r="C4240" t="str">
        <x:v>C0134</x:v>
      </x:c>
      <x:c r="D4240" t="str">
        <x:v>Annapurna Stores 134</x:v>
      </x:c>
      <x:c r="E4240" t="str">
        <x:v>Cafe</x:v>
      </x:c>
      <x:c r="F4240" t="str">
        <x:v>Bengaluru</x:v>
      </x:c>
      <x:c r="G4240" t="str">
        <x:v>Kavya</x:v>
      </x:c>
      <x:c r="H4240" t="str">
        <x:v>P021</x:v>
      </x:c>
      <x:c r="I4240" t="str">
        <x:v>Instant Coffee 200g</x:v>
      </x:c>
      <x:c r="J4240" t="str">
        <x:v>Beverage</x:v>
      </x:c>
      <x:c r="K4240" t="str">
        <x:v>Nescafe</x:v>
      </x:c>
      <x:c r="L4240" s="22" t="n">
        <x:v>460</x:v>
      </x:c>
      <x:c r="M4240" t="n">
        <x:v>10</x:v>
      </x:c>
      <x:c r="N4240" s="24" t="n">
        <x:v>0</x:v>
      </x:c>
      <x:c r="O4240" s="22" t="n">
        <x:f>L4240*M4240</x:f>
        <x:v>4600</x:v>
      </x:c>
      <x:c r="P4240" s="22" t="n">
        <x:f>O4240*(1-N4240)</x:f>
        <x:v>4600</x:v>
      </x:c>
      <x:c r="Q4240" s="22" t="n">
        <x:v>410</x:v>
      </x:c>
      <x:c r="R4240" s="22" t="n">
        <x:f>Q4240*M4240</x:f>
        <x:v>4100</x:v>
      </x:c>
      <x:c r="S4240" s="22" t="n">
        <x:f>P4240-R4240</x:f>
        <x:v>500</x:v>
      </x:c>
      <x:c r="T4240" t="str">
        <x:v>UPI</x:v>
      </x:c>
      <x:c r="U4240" t="str">
        <x:v>Paid</x:v>
      </x:c>
      <x:c r="V4240" t="str">
        <x:v>Delivered</x:v>
      </x:c>
      <x:c r="W4240" t="n">
        <x:v>0</x:v>
      </x:c>
      <x:c r="X4240" t="str"/>
      <x:c r="Y4240" t="str">
        <x:v>WhatsApp</x:v>
      </x:c>
    </x:row>
    <x:row r="4241">
      <x:c r="A4241" t="str">
        <x:v>O004240</x:v>
      </x:c>
      <x:c r="B4241" s="20" t="n">
        <x:v>45976</x:v>
      </x:c>
      <x:c r="C4241" t="str">
        <x:v>C0048</x:v>
      </x:c>
      <x:c r="D4241" t="str">
        <x:v>Udupi Foods 48</x:v>
      </x:c>
      <x:c r="E4241" t="str">
        <x:v>Hotel</x:v>
      </x:c>
      <x:c r="F4241" t="str">
        <x:v>Bengaluru</x:v>
      </x:c>
      <x:c r="G4241" t="str">
        <x:v>Ramesh</x:v>
      </x:c>
      <x:c r="H4241" t="str">
        <x:v>P008</x:v>
      </x:c>
      <x:c r="I4241" t="str">
        <x:v>Palm Oil 15L</x:v>
      </x:c>
      <x:c r="J4241" t="str">
        <x:v>Edible Oil</x:v>
      </x:c>
      <x:c r="K4241" t="str">
        <x:v>Ruchi Gold</x:v>
      </x:c>
      <x:c r="L4241" s="22" t="n">
        <x:v>1760</x:v>
      </x:c>
      <x:c r="M4241" t="n">
        <x:v>11</x:v>
      </x:c>
      <x:c r="N4241" s="24" t="n">
        <x:v>0</x:v>
      </x:c>
      <x:c r="O4241" s="22" t="n">
        <x:f>L4241*M4241</x:f>
        <x:v>19360</x:v>
      </x:c>
      <x:c r="P4241" s="22" t="n">
        <x:f>O4241*(1-N4241)</x:f>
        <x:v>19360</x:v>
      </x:c>
      <x:c r="Q4241" s="22" t="n">
        <x:v>1610</x:v>
      </x:c>
      <x:c r="R4241" s="22" t="n">
        <x:f>Q4241*M4241</x:f>
        <x:v>17710</x:v>
      </x:c>
      <x:c r="S4241" s="22" t="n">
        <x:f>P4241-R4241</x:f>
        <x:v>1650</x:v>
      </x:c>
      <x:c r="T4241" t="str">
        <x:v>Credit</x:v>
      </x:c>
      <x:c r="U4241" t="str">
        <x:v>Pending</x:v>
      </x:c>
      <x:c r="V4241" t="str">
        <x:v>Delivered</x:v>
      </x:c>
      <x:c r="W4241" t="n">
        <x:v>0</x:v>
      </x:c>
      <x:c r="X4241" t="str"/>
      <x:c r="Y4241" t="str">
        <x:v>Field Visit</x:v>
      </x:c>
    </x:row>
    <x:row r="4242">
      <x:c r="A4242" t="str">
        <x:v>O004241</x:v>
      </x:c>
      <x:c r="B4242" s="20" t="n">
        <x:v>45883</x:v>
      </x:c>
      <x:c r="C4242" t="str">
        <x:v>C0215</x:v>
      </x:c>
      <x:c r="D4242" t="str">
        <x:v>Annapurna Restaurant 215</x:v>
      </x:c>
      <x:c r="E4242" t="str">
        <x:v>Supermarket</x:v>
      </x:c>
      <x:c r="F4242" t="str">
        <x:v>Bengaluru</x:v>
      </x:c>
      <x:c r="G4242" t="str">
        <x:v>Vikram</x:v>
      </x:c>
      <x:c r="H4242" t="str">
        <x:v>P030</x:v>
      </x:c>
      <x:c r="I4242" t="str">
        <x:v>Mayonnaise 1kg</x:v>
      </x:c>
      <x:c r="J4242" t="str">
        <x:v>Condiments</x:v>
      </x:c>
      <x:c r="K4242" t="str">
        <x:v>Veeba</x:v>
      </x:c>
      <x:c r="L4242" s="22" t="n">
        <x:v>210</x:v>
      </x:c>
      <x:c r="M4242" t="n">
        <x:v>1</x:v>
      </x:c>
      <x:c r="N4242" s="24" t="n">
        <x:v>0.02</x:v>
      </x:c>
      <x:c r="O4242" s="22" t="n">
        <x:f>L4242*M4242</x:f>
        <x:v>210</x:v>
      </x:c>
      <x:c r="P4242" s="22" t="n">
        <x:f>O4242*(1-N4242)</x:f>
        <x:v>205.79999999999998</x:v>
      </x:c>
      <x:c r="Q4242" s="22" t="n">
        <x:v>185</x:v>
      </x:c>
      <x:c r="R4242" s="22" t="n">
        <x:f>Q4242*M4242</x:f>
        <x:v>185</x:v>
      </x:c>
      <x:c r="S4242" s="22" t="n">
        <x:f>P4242-R4242</x:f>
        <x:v>20.799999999999983</x:v>
      </x:c>
      <x:c r="T4242" t="str">
        <x:v>Cash</x:v>
      </x:c>
      <x:c r="U4242" t="str">
        <x:v>Paid</x:v>
      </x:c>
      <x:c r="V4242" t="str">
        <x:v>Delayed</x:v>
      </x:c>
      <x:c r="W4242" t="n">
        <x:v>0</x:v>
      </x:c>
      <x:c r="X4242" t="str"/>
      <x:c r="Y4242" t="str">
        <x:v>Outbound Call</x:v>
      </x:c>
    </x:row>
    <x:row r="4243">
      <x:c r="A4243" t="str">
        <x:v>O004242</x:v>
      </x:c>
      <x:c r="B4243" s="20" t="n">
        <x:v>45729</x:v>
      </x:c>
      <x:c r="C4243" t="str">
        <x:v>C0182</x:v>
      </x:c>
      <x:c r="D4243" t="str">
        <x:v>Mysore Foods 182</x:v>
      </x:c>
      <x:c r="E4243" t="str">
        <x:v>Restaurant</x:v>
      </x:c>
      <x:c r="F4243" t="str">
        <x:v>Bengaluru</x:v>
      </x:c>
      <x:c r="G4243" t="str">
        <x:v>Vikram</x:v>
      </x:c>
      <x:c r="H4243" t="str">
        <x:v>P034</x:v>
      </x:c>
      <x:c r="I4243" t="str">
        <x:v>Chilli Powder 1kg</x:v>
      </x:c>
      <x:c r="J4243" t="str">
        <x:v>Spices</x:v>
      </x:c>
      <x:c r="K4243" t="str">
        <x:v>MDH</x:v>
      </x:c>
      <x:c r="L4243" s="22" t="n">
        <x:v>340</x:v>
      </x:c>
      <x:c r="M4243" t="n">
        <x:v>27</x:v>
      </x:c>
      <x:c r="N4243" s="24" t="n">
        <x:v>0</x:v>
      </x:c>
      <x:c r="O4243" s="22" t="n">
        <x:f>L4243*M4243</x:f>
        <x:v>9180</x:v>
      </x:c>
      <x:c r="P4243" s="22" t="n">
        <x:f>O4243*(1-N4243)</x:f>
        <x:v>9180</x:v>
      </x:c>
      <x:c r="Q4243" s="22" t="n">
        <x:v>295</x:v>
      </x:c>
      <x:c r="R4243" s="22" t="n">
        <x:f>Q4243*M4243</x:f>
        <x:v>7965</x:v>
      </x:c>
      <x:c r="S4243" s="22" t="n">
        <x:f>P4243-R4243</x:f>
        <x:v>1215</x:v>
      </x:c>
      <x:c r="T4243" t="str">
        <x:v>Bank Transfer</x:v>
      </x:c>
      <x:c r="U4243" t="str">
        <x:v>Paid</x:v>
      </x:c>
      <x:c r="V4243" t="str">
        <x:v>Delayed</x:v>
      </x:c>
      <x:c r="W4243" t="n">
        <x:v>0</x:v>
      </x:c>
      <x:c r="X4243" t="str"/>
      <x:c r="Y4243" t="str">
        <x:v>WhatsApp</x:v>
      </x:c>
    </x:row>
    <x:row r="4244">
      <x:c r="A4244" t="str">
        <x:v>O004243</x:v>
      </x:c>
      <x:c r="B4244" s="20" t="n">
        <x:v>46148</x:v>
      </x:c>
      <x:c r="C4244" t="str">
        <x:v>C0223</x:v>
      </x:c>
      <x:c r="D4244" t="str">
        <x:v>Classic Canteen 223</x:v>
      </x:c>
      <x:c r="E4244" t="str">
        <x:v>Restaurant</x:v>
      </x:c>
      <x:c r="F4244" t="str">
        <x:v>Tumakuru</x:v>
      </x:c>
      <x:c r="G4244" t="str">
        <x:v>Kavya</x:v>
      </x:c>
      <x:c r="H4244" t="str">
        <x:v>P004</x:v>
      </x:c>
      <x:c r="I4244" t="str">
        <x:v>Toor Dal 5kg</x:v>
      </x:c>
      <x:c r="J4244" t="str">
        <x:v>Pulses</x:v>
      </x:c>
      <x:c r="K4244" t="str">
        <x:v>Tata Sampann</x:v>
      </x:c>
      <x:c r="L4244" s="22" t="n">
        <x:v>780</x:v>
      </x:c>
      <x:c r="M4244" t="n">
        <x:v>8</x:v>
      </x:c>
      <x:c r="N4244" s="24" t="n">
        <x:v>0.08</x:v>
      </x:c>
      <x:c r="O4244" s="22" t="n">
        <x:f>L4244*M4244</x:f>
        <x:v>6240</x:v>
      </x:c>
      <x:c r="P4244" s="22" t="n">
        <x:f>O4244*(1-N4244)</x:f>
        <x:v>5740.8</x:v>
      </x:c>
      <x:c r="Q4244" s="22" t="n">
        <x:v>695</x:v>
      </x:c>
      <x:c r="R4244" s="22" t="n">
        <x:f>Q4244*M4244</x:f>
        <x:v>5560</x:v>
      </x:c>
      <x:c r="S4244" s="22" t="n">
        <x:f>P4244-R4244</x:f>
        <x:v>180.80000000000018</x:v>
      </x:c>
      <x:c r="T4244" t="str">
        <x:v>UPI</x:v>
      </x:c>
      <x:c r="U4244" t="str">
        <x:v>Paid</x:v>
      </x:c>
      <x:c r="V4244" t="str">
        <x:v>Delivered</x:v>
      </x:c>
      <x:c r="W4244" t="n">
        <x:v>0</x:v>
      </x:c>
      <x:c r="X4244" t="str"/>
      <x:c r="Y4244" t="str">
        <x:v>Outbound Call</x:v>
      </x:c>
    </x:row>
    <x:row r="4245">
      <x:c r="A4245" t="str">
        <x:v>O004244</x:v>
      </x:c>
      <x:c r="B4245" s="20" t="n">
        <x:v>45717</x:v>
      </x:c>
      <x:c r="C4245" t="str">
        <x:v>C0217</x:v>
      </x:c>
      <x:c r="D4245" t="str">
        <x:v>Darshini Cafe 217</x:v>
      </x:c>
      <x:c r="E4245" t="str">
        <x:v>Restaurant</x:v>
      </x:c>
      <x:c r="F4245" t="str">
        <x:v>Bengaluru</x:v>
      </x:c>
      <x:c r="G4245" t="str">
        <x:v>Priya</x:v>
      </x:c>
      <x:c r="H4245" t="str">
        <x:v>P030</x:v>
      </x:c>
      <x:c r="I4245" t="str">
        <x:v>Mayonnaise 1kg</x:v>
      </x:c>
      <x:c r="J4245" t="str">
        <x:v>Condiments</x:v>
      </x:c>
      <x:c r="K4245" t="str">
        <x:v>Veeba</x:v>
      </x:c>
      <x:c r="L4245" s="22" t="n">
        <x:v>210</x:v>
      </x:c>
      <x:c r="M4245" t="n">
        <x:v>22</x:v>
      </x:c>
      <x:c r="N4245" s="24" t="n">
        <x:v>0.03</x:v>
      </x:c>
      <x:c r="O4245" s="22" t="n">
        <x:f>L4245*M4245</x:f>
        <x:v>4620</x:v>
      </x:c>
      <x:c r="P4245" s="22" t="n">
        <x:f>O4245*(1-N4245)</x:f>
        <x:v>4481.4</x:v>
      </x:c>
      <x:c r="Q4245" s="22" t="n">
        <x:v>185</x:v>
      </x:c>
      <x:c r="R4245" s="22" t="n">
        <x:f>Q4245*M4245</x:f>
        <x:v>4070</x:v>
      </x:c>
      <x:c r="S4245" s="22" t="n">
        <x:f>P4245-R4245</x:f>
        <x:v>411.39999999999964</x:v>
      </x:c>
      <x:c r="T4245" t="str">
        <x:v>Cash</x:v>
      </x:c>
      <x:c r="U4245" t="str">
        <x:v>Paid</x:v>
      </x:c>
      <x:c r="V4245" t="str">
        <x:v>Delivered</x:v>
      </x:c>
      <x:c r="W4245" t="n">
        <x:v>0</x:v>
      </x:c>
      <x:c r="X4245" t="str"/>
      <x:c r="Y4245" t="str">
        <x:v>Existing Customer</x:v>
      </x:c>
    </x:row>
    <x:row r="4246">
      <x:c r="A4246" t="str">
        <x:v>O004245</x:v>
      </x:c>
      <x:c r="B4246" s="20" t="n">
        <x:v>46111</x:v>
      </x:c>
      <x:c r="C4246" t="str">
        <x:v>C0175</x:v>
      </x:c>
      <x:c r="D4246" t="str">
        <x:v>Namma Mart 175</x:v>
      </x:c>
      <x:c r="E4246" t="str">
        <x:v>Hotel</x:v>
      </x:c>
      <x:c r="F4246" t="str">
        <x:v>Davanagere</x:v>
      </x:c>
      <x:c r="G4246" t="str">
        <x:v>Sneha</x:v>
      </x:c>
      <x:c r="H4246" t="str">
        <x:v>P031</x:v>
      </x:c>
      <x:c r="I4246" t="str">
        <x:v>Chilli Sauce 700g</x:v>
      </x:c>
      <x:c r="J4246" t="str">
        <x:v>Condiments</x:v>
      </x:c>
      <x:c r="K4246" t="str">
        <x:v>Ching's</x:v>
      </x:c>
      <x:c r="L4246" s="22" t="n">
        <x:v>130</x:v>
      </x:c>
      <x:c r="M4246" t="n">
        <x:v>39</x:v>
      </x:c>
      <x:c r="N4246" s="24" t="n">
        <x:v>0.03</x:v>
      </x:c>
      <x:c r="O4246" s="22" t="n">
        <x:f>L4246*M4246</x:f>
        <x:v>5070</x:v>
      </x:c>
      <x:c r="P4246" s="22" t="n">
        <x:f>O4246*(1-N4246)</x:f>
        <x:v>4917.9</x:v>
      </x:c>
      <x:c r="Q4246" s="22" t="n">
        <x:v>112</x:v>
      </x:c>
      <x:c r="R4246" s="22" t="n">
        <x:f>Q4246*M4246</x:f>
        <x:v>4368</x:v>
      </x:c>
      <x:c r="S4246" s="22" t="n">
        <x:f>P4246-R4246</x:f>
        <x:v>549.8999999999996</x:v>
      </x:c>
      <x:c r="T4246" t="str">
        <x:v>Bank Transfer</x:v>
      </x:c>
      <x:c r="U4246" t="str">
        <x:v>Paid</x:v>
      </x:c>
      <x:c r="V4246" t="str">
        <x:v>Delayed</x:v>
      </x:c>
      <x:c r="W4246" t="n">
        <x:v>0</x:v>
      </x:c>
      <x:c r="X4246" t="str"/>
      <x:c r="Y4246" t="str">
        <x:v>Field Visit</x:v>
      </x:c>
    </x:row>
    <x:row r="4247">
      <x:c r="A4247" t="str">
        <x:v>O004246</x:v>
      </x:c>
      <x:c r="B4247" s="20" t="n">
        <x:v>46054</x:v>
      </x:c>
      <x:c r="C4247" t="str">
        <x:v>C0009</x:v>
      </x:c>
      <x:c r="D4247" t="str">
        <x:v>Darshini Hotel 9</x:v>
      </x:c>
      <x:c r="E4247" t="str">
        <x:v>Cafe</x:v>
      </x:c>
      <x:c r="F4247" t="str">
        <x:v>Hubballi</x:v>
      </x:c>
      <x:c r="G4247" t="str">
        <x:v>Imran</x:v>
      </x:c>
      <x:c r="H4247" t="str">
        <x:v>P037</x:v>
      </x:c>
      <x:c r="I4247" t="str">
        <x:v>Frozen Peas 1kg</x:v>
      </x:c>
      <x:c r="J4247" t="str">
        <x:v>Frozen</x:v>
      </x:c>
      <x:c r="K4247" t="str">
        <x:v>Safal</x:v>
      </x:c>
      <x:c r="L4247" s="22" t="n">
        <x:v>155</x:v>
      </x:c>
      <x:c r="M4247" t="n">
        <x:v>4</x:v>
      </x:c>
      <x:c r="N4247" s="24" t="n">
        <x:v>0.03</x:v>
      </x:c>
      <x:c r="O4247" s="22" t="n">
        <x:f>L4247*M4247</x:f>
        <x:v>620</x:v>
      </x:c>
      <x:c r="P4247" s="22" t="n">
        <x:f>O4247*(1-N4247)</x:f>
        <x:v>601.4</x:v>
      </x:c>
      <x:c r="Q4247" s="22" t="n">
        <x:v>138</x:v>
      </x:c>
      <x:c r="R4247" s="22" t="n">
        <x:f>Q4247*M4247</x:f>
        <x:v>552</x:v>
      </x:c>
      <x:c r="S4247" s="22" t="n">
        <x:f>P4247-R4247</x:f>
        <x:v>49.39999999999998</x:v>
      </x:c>
      <x:c r="T4247" t="str">
        <x:v>Cash</x:v>
      </x:c>
      <x:c r="U4247" t="str">
        <x:v>Paid</x:v>
      </x:c>
      <x:c r="V4247" t="str">
        <x:v>Delivered</x:v>
      </x:c>
      <x:c r="W4247" t="n">
        <x:v>0</x:v>
      </x:c>
      <x:c r="X4247" t="str"/>
      <x:c r="Y4247" t="str">
        <x:v>Referral</x:v>
      </x:c>
    </x:row>
    <x:row r="4248">
      <x:c r="A4248" t="str">
        <x:v>O004247</x:v>
      </x:c>
      <x:c r="B4248" s="20" t="n">
        <x:v>45882</x:v>
      </x:c>
      <x:c r="C4248" t="str">
        <x:v>C0239</x:v>
      </x:c>
      <x:c r="D4248" t="str">
        <x:v>Royal Hotel 239</x:v>
      </x:c>
      <x:c r="E4248" t="str">
        <x:v>Restaurant</x:v>
      </x:c>
      <x:c r="F4248" t="str">
        <x:v>Hubballi</x:v>
      </x:c>
      <x:c r="G4248" t="str">
        <x:v>Priya</x:v>
      </x:c>
      <x:c r="H4248" t="str">
        <x:v>P033</x:v>
      </x:c>
      <x:c r="I4248" t="str">
        <x:v>Turmeric Powder 1kg</x:v>
      </x:c>
      <x:c r="J4248" t="str">
        <x:v>Spices</x:v>
      </x:c>
      <x:c r="K4248" t="str">
        <x:v>Everest</x:v>
      </x:c>
      <x:c r="L4248" s="22" t="n">
        <x:v>310</x:v>
      </x:c>
      <x:c r="M4248" t="n">
        <x:v>2</x:v>
      </x:c>
      <x:c r="N4248" s="24" t="n">
        <x:v>0.03</x:v>
      </x:c>
      <x:c r="O4248" s="22" t="n">
        <x:f>L4248*M4248</x:f>
        <x:v>620</x:v>
      </x:c>
      <x:c r="P4248" s="22" t="n">
        <x:f>O4248*(1-N4248)</x:f>
        <x:v>601.4</x:v>
      </x:c>
      <x:c r="Q4248" s="22" t="n">
        <x:v>270</x:v>
      </x:c>
      <x:c r="R4248" s="22" t="n">
        <x:f>Q4248*M4248</x:f>
        <x:v>540</x:v>
      </x:c>
      <x:c r="S4248" s="22" t="n">
        <x:f>P4248-R4248</x:f>
        <x:v>61.39999999999998</x:v>
      </x:c>
      <x:c r="T4248" t="str">
        <x:v>Credit</x:v>
      </x:c>
      <x:c r="U4248" t="str">
        <x:v>Paid</x:v>
      </x:c>
      <x:c r="V4248" t="str">
        <x:v>Delivered</x:v>
      </x:c>
      <x:c r="W4248" t="n">
        <x:v>0</x:v>
      </x:c>
      <x:c r="X4248" t="str"/>
      <x:c r="Y4248" t="str">
        <x:v>WhatsApp</x:v>
      </x:c>
    </x:row>
    <x:row r="4249">
      <x:c r="A4249" t="str">
        <x:v>O004248</x:v>
      </x:c>
      <x:c r="B4249" s="20" t="n">
        <x:v>46174</x:v>
      </x:c>
      <x:c r="C4249" t="str">
        <x:v>C0139</x:v>
      </x:c>
      <x:c r="D4249" t="str">
        <x:v>Classic Hotel 139</x:v>
      </x:c>
      <x:c r="E4249" t="str">
        <x:v>Cafe</x:v>
      </x:c>
      <x:c r="F4249" t="str">
        <x:v>Mysuru</x:v>
      </x:c>
      <x:c r="G4249" t="str">
        <x:v>Vikram</x:v>
      </x:c>
      <x:c r="H4249" t="str">
        <x:v>P033</x:v>
      </x:c>
      <x:c r="I4249" t="str">
        <x:v>Turmeric Powder 1kg</x:v>
      </x:c>
      <x:c r="J4249" t="str">
        <x:v>Spices</x:v>
      </x:c>
      <x:c r="K4249" t="str">
        <x:v>Everest</x:v>
      </x:c>
      <x:c r="L4249" s="22" t="n">
        <x:v>310</x:v>
      </x:c>
      <x:c r="M4249" t="n">
        <x:v>10</x:v>
      </x:c>
      <x:c r="N4249" s="24" t="n">
        <x:v>0.02</x:v>
      </x:c>
      <x:c r="O4249" s="22" t="n">
        <x:f>L4249*M4249</x:f>
        <x:v>3100</x:v>
      </x:c>
      <x:c r="P4249" s="22" t="n">
        <x:f>O4249*(1-N4249)</x:f>
        <x:v>3038</x:v>
      </x:c>
      <x:c r="Q4249" s="22" t="n">
        <x:v>270</x:v>
      </x:c>
      <x:c r="R4249" s="22" t="n">
        <x:f>Q4249*M4249</x:f>
        <x:v>2700</x:v>
      </x:c>
      <x:c r="S4249" s="22" t="n">
        <x:f>P4249-R4249</x:f>
        <x:v>338</x:v>
      </x:c>
      <x:c r="T4249" t="str">
        <x:v>Bank Transfer</x:v>
      </x:c>
      <x:c r="U4249" t="str">
        <x:v>Paid</x:v>
      </x:c>
      <x:c r="V4249" t="str">
        <x:v>Delayed</x:v>
      </x:c>
      <x:c r="W4249" t="n">
        <x:v>0</x:v>
      </x:c>
      <x:c r="X4249" t="str"/>
      <x:c r="Y4249" t="str">
        <x:v>WhatsApp</x:v>
      </x:c>
    </x:row>
    <x:row r="4250">
      <x:c r="A4250" t="str">
        <x:v>O004249</x:v>
      </x:c>
      <x:c r="B4250" s="20" t="n">
        <x:v>46208</x:v>
      </x:c>
      <x:c r="C4250" t="str">
        <x:v>C0190</x:v>
      </x:c>
      <x:c r="D4250" t="str">
        <x:v>Shree Restaurant 190</x:v>
      </x:c>
      <x:c r="E4250" t="str">
        <x:v>Canteen</x:v>
      </x:c>
      <x:c r="F4250" t="str">
        <x:v>Bengaluru</x:v>
      </x:c>
      <x:c r="G4250" t="str">
        <x:v>Kavya</x:v>
      </x:c>
      <x:c r="H4250" t="str">
        <x:v>P026</x:v>
      </x:c>
      <x:c r="I4250" t="str">
        <x:v>Banana Chips 80g</x:v>
      </x:c>
      <x:c r="J4250" t="str">
        <x:v>Snacks</x:v>
      </x:c>
      <x:c r="K4250" t="str">
        <x:v>SSS</x:v>
      </x:c>
      <x:c r="L4250" s="22" t="n">
        <x:v>54</x:v>
      </x:c>
      <x:c r="M4250" t="n">
        <x:v>28</x:v>
      </x:c>
      <x:c r="N4250" s="24" t="n">
        <x:v>0.1</x:v>
      </x:c>
      <x:c r="O4250" s="22" t="n">
        <x:f>L4250*M4250</x:f>
        <x:v>1512</x:v>
      </x:c>
      <x:c r="P4250" s="22" t="n">
        <x:f>O4250*(1-N4250)</x:f>
        <x:v>1360.8</x:v>
      </x:c>
      <x:c r="Q4250" s="22" t="n">
        <x:v>39</x:v>
      </x:c>
      <x:c r="R4250" s="22" t="n">
        <x:f>Q4250*M4250</x:f>
        <x:v>1092</x:v>
      </x:c>
      <x:c r="S4250" s="22" t="n">
        <x:f>P4250-R4250</x:f>
        <x:v>268.79999999999995</x:v>
      </x:c>
      <x:c r="T4250" t="str">
        <x:v>Credit</x:v>
      </x:c>
      <x:c r="U4250" t="str">
        <x:v>Overdue</x:v>
      </x:c>
      <x:c r="V4250" t="str">
        <x:v>Delayed</x:v>
      </x:c>
      <x:c r="W4250" t="n">
        <x:v>0</x:v>
      </x:c>
      <x:c r="X4250" t="str"/>
      <x:c r="Y4250" t="str">
        <x:v>Referral</x:v>
      </x:c>
    </x:row>
    <x:row r="4251">
      <x:c r="A4251" t="str">
        <x:v>O004250</x:v>
      </x:c>
      <x:c r="B4251" s="20" t="n">
        <x:v>45694</x:v>
      </x:c>
      <x:c r="C4251" t="str">
        <x:v>C0060</x:v>
      </x:c>
      <x:c r="D4251" t="str">
        <x:v>Sagar Stores 60</x:v>
      </x:c>
      <x:c r="E4251" t="str">
        <x:v>Cafe</x:v>
      </x:c>
      <x:c r="F4251" t="str">
        <x:v>Hubballi</x:v>
      </x:c>
      <x:c r="G4251" t="str">
        <x:v>Imran</x:v>
      </x:c>
      <x:c r="H4251" t="str">
        <x:v>P001</x:v>
      </x:c>
      <x:c r="I4251" t="str">
        <x:v>Steam Rice 25kg</x:v>
      </x:c>
      <x:c r="J4251" t="str">
        <x:v>Staples</x:v>
      </x:c>
      <x:c r="K4251" t="str">
        <x:v>Aishwarya</x:v>
      </x:c>
      <x:c r="L4251" s="22" t="n">
        <x:v>1180</x:v>
      </x:c>
      <x:c r="M4251" t="n">
        <x:v>12</x:v>
      </x:c>
      <x:c r="N4251" s="24" t="n">
        <x:v>0.03</x:v>
      </x:c>
      <x:c r="O4251" s="22" t="n">
        <x:f>L4251*M4251</x:f>
        <x:v>14160</x:v>
      </x:c>
      <x:c r="P4251" s="22" t="n">
        <x:f>O4251*(1-N4251)</x:f>
        <x:v>13735.199999999999</x:v>
      </x:c>
      <x:c r="Q4251" s="22" t="n">
        <x:v>1040</x:v>
      </x:c>
      <x:c r="R4251" s="22" t="n">
        <x:f>Q4251*M4251</x:f>
        <x:v>12480</x:v>
      </x:c>
      <x:c r="S4251" s="22" t="n">
        <x:f>P4251-R4251</x:f>
        <x:v>1255.199999999999</x:v>
      </x:c>
      <x:c r="T4251" t="str">
        <x:v>Cash</x:v>
      </x:c>
      <x:c r="U4251" t="str">
        <x:v>Paid</x:v>
      </x:c>
      <x:c r="V4251" t="str">
        <x:v>Delivered</x:v>
      </x:c>
      <x:c r="W4251" t="n">
        <x:v>0</x:v>
      </x:c>
      <x:c r="X4251" t="str"/>
      <x:c r="Y4251" t="str">
        <x:v>Field Visit</x:v>
      </x:c>
    </x:row>
    <x:row r="4252">
      <x:c r="A4252" t="str">
        <x:v>O004251</x:v>
      </x:c>
      <x:c r="B4252" s="20" t="n">
        <x:v>45879</x:v>
      </x:c>
      <x:c r="C4252" t="str">
        <x:v>C0208</x:v>
      </x:c>
      <x:c r="D4252" t="str">
        <x:v>Green Foods 208</x:v>
      </x:c>
      <x:c r="E4252" t="str">
        <x:v>Hotel</x:v>
      </x:c>
      <x:c r="F4252" t="str">
        <x:v>Mysuru</x:v>
      </x:c>
      <x:c r="G4252" t="str">
        <x:v>Ramesh</x:v>
      </x:c>
      <x:c r="H4252" t="str">
        <x:v>P013</x:v>
      </x:c>
      <x:c r="I4252" t="str">
        <x:v>Atta 10kg</x:v>
      </x:c>
      <x:c r="J4252" t="str">
        <x:v>Flour</x:v>
      </x:c>
      <x:c r="K4252" t="str">
        <x:v>Aashirvaad</x:v>
      </x:c>
      <x:c r="L4252" s="22" t="n">
        <x:v>560</x:v>
      </x:c>
      <x:c r="M4252" t="n">
        <x:v>25</x:v>
      </x:c>
      <x:c r="N4252" s="24" t="n">
        <x:v>0.03</x:v>
      </x:c>
      <x:c r="O4252" s="22" t="n">
        <x:f>L4252*M4252</x:f>
        <x:v>14000</x:v>
      </x:c>
      <x:c r="P4252" s="22" t="n">
        <x:f>O4252*(1-N4252)</x:f>
        <x:v>13580</x:v>
      </x:c>
      <x:c r="Q4252" s="22" t="n">
        <x:v>495</x:v>
      </x:c>
      <x:c r="R4252" s="22" t="n">
        <x:f>Q4252*M4252</x:f>
        <x:v>12375</x:v>
      </x:c>
      <x:c r="S4252" s="22" t="n">
        <x:f>P4252-R4252</x:f>
        <x:v>1205</x:v>
      </x:c>
      <x:c r="T4252" t="str">
        <x:v>Bank Transfer</x:v>
      </x:c>
      <x:c r="U4252" t="str">
        <x:v>Pending</x:v>
      </x:c>
      <x:c r="V4252" t="str">
        <x:v>Delivered</x:v>
      </x:c>
      <x:c r="W4252" t="n">
        <x:v>3</x:v>
      </x:c>
      <x:c r="X4252" t="str">
        <x:v>Late Delivery</x:v>
      </x:c>
      <x:c r="Y4252" t="str">
        <x:v>WhatsApp</x:v>
      </x:c>
    </x:row>
    <x:row r="4253">
      <x:c r="A4253" t="str">
        <x:v>O004252</x:v>
      </x:c>
      <x:c r="B4253" s="20" t="n">
        <x:v>45941</x:v>
      </x:c>
      <x:c r="C4253" t="str">
        <x:v>C0134</x:v>
      </x:c>
      <x:c r="D4253" t="str">
        <x:v>Annapurna Stores 134</x:v>
      </x:c>
      <x:c r="E4253" t="str">
        <x:v>Cafe</x:v>
      </x:c>
      <x:c r="F4253" t="str">
        <x:v>Bengaluru</x:v>
      </x:c>
      <x:c r="G4253" t="str">
        <x:v>Kavya</x:v>
      </x:c>
      <x:c r="H4253" t="str">
        <x:v>P005</x:v>
      </x:c>
      <x:c r="I4253" t="str">
        <x:v>Chana Dal 5kg</x:v>
      </x:c>
      <x:c r="J4253" t="str">
        <x:v>Pulses</x:v>
      </x:c>
      <x:c r="K4253" t="str">
        <x:v>Local Select</x:v>
      </x:c>
      <x:c r="L4253" s="22" t="n">
        <x:v>520</x:v>
      </x:c>
      <x:c r="M4253" t="n">
        <x:v>2</x:v>
      </x:c>
      <x:c r="N4253" s="24" t="n">
        <x:v>0.03</x:v>
      </x:c>
      <x:c r="O4253" s="22" t="n">
        <x:f>L4253*M4253</x:f>
        <x:v>1040</x:v>
      </x:c>
      <x:c r="P4253" s="22" t="n">
        <x:f>O4253*(1-N4253)</x:f>
        <x:v>1008.8</x:v>
      </x:c>
      <x:c r="Q4253" s="22" t="n">
        <x:v>455</x:v>
      </x:c>
      <x:c r="R4253" s="22" t="n">
        <x:f>Q4253*M4253</x:f>
        <x:v>910</x:v>
      </x:c>
      <x:c r="S4253" s="22" t="n">
        <x:f>P4253-R4253</x:f>
        <x:v>98.79999999999995</x:v>
      </x:c>
      <x:c r="T4253" t="str">
        <x:v>Bank Transfer</x:v>
      </x:c>
      <x:c r="U4253" t="str">
        <x:v>Overdue</x:v>
      </x:c>
      <x:c r="V4253" t="str">
        <x:v>Delivered</x:v>
      </x:c>
      <x:c r="W4253" t="n">
        <x:v>0</x:v>
      </x:c>
      <x:c r="X4253" t="str"/>
      <x:c r="Y4253" t="str">
        <x:v>Existing Customer</x:v>
      </x:c>
    </x:row>
    <x:row r="4254">
      <x:c r="A4254" t="str">
        <x:v>O004253</x:v>
      </x:c>
      <x:c r="B4254" s="20" t="n">
        <x:v>45903</x:v>
      </x:c>
      <x:c r="C4254" t="str">
        <x:v>C0214</x:v>
      </x:c>
      <x:c r="D4254" t="str">
        <x:v>Darshini Kitchen 214</x:v>
      </x:c>
      <x:c r="E4254" t="str">
        <x:v>Kirana</x:v>
      </x:c>
      <x:c r="F4254" t="str">
        <x:v>Bengaluru</x:v>
      </x:c>
      <x:c r="G4254" t="str">
        <x:v>Imran</x:v>
      </x:c>
      <x:c r="H4254" t="str">
        <x:v>P008</x:v>
      </x:c>
      <x:c r="I4254" t="str">
        <x:v>Palm Oil 15L</x:v>
      </x:c>
      <x:c r="J4254" t="str">
        <x:v>Edible Oil</x:v>
      </x:c>
      <x:c r="K4254" t="str">
        <x:v>Ruchi Gold</x:v>
      </x:c>
      <x:c r="L4254" s="22" t="n">
        <x:v>1760</x:v>
      </x:c>
      <x:c r="M4254" t="n">
        <x:v>2</x:v>
      </x:c>
      <x:c r="N4254" s="24" t="n">
        <x:v>0.03</x:v>
      </x:c>
      <x:c r="O4254" s="22" t="n">
        <x:f>L4254*M4254</x:f>
        <x:v>3520</x:v>
      </x:c>
      <x:c r="P4254" s="22" t="n">
        <x:f>O4254*(1-N4254)</x:f>
        <x:v>3414.4</x:v>
      </x:c>
      <x:c r="Q4254" s="22" t="n">
        <x:v>1610</x:v>
      </x:c>
      <x:c r="R4254" s="22" t="n">
        <x:f>Q4254*M4254</x:f>
        <x:v>3220</x:v>
      </x:c>
      <x:c r="S4254" s="22" t="n">
        <x:f>P4254-R4254</x:f>
        <x:v>194.4000000000001</x:v>
      </x:c>
      <x:c r="T4254" t="str">
        <x:v>Cash</x:v>
      </x:c>
      <x:c r="U4254" t="str">
        <x:v>Paid</x:v>
      </x:c>
      <x:c r="V4254" t="str">
        <x:v>Delivered</x:v>
      </x:c>
      <x:c r="W4254" t="n">
        <x:v>0</x:v>
      </x:c>
      <x:c r="X4254" t="str"/>
      <x:c r="Y4254" t="str">
        <x:v>Referral</x:v>
      </x:c>
    </x:row>
    <x:row r="4255">
      <x:c r="A4255" t="str">
        <x:v>O004254</x:v>
      </x:c>
      <x:c r="B4255" s="20" t="n">
        <x:v>45766</x:v>
      </x:c>
      <x:c r="C4255" t="str">
        <x:v>C0201</x:v>
      </x:c>
      <x:c r="D4255" t="str">
        <x:v>Metro Hotel 201</x:v>
      </x:c>
      <x:c r="E4255" t="str">
        <x:v>Kirana</x:v>
      </x:c>
      <x:c r="F4255" t="str">
        <x:v>Mysuru</x:v>
      </x:c>
      <x:c r="G4255" t="str">
        <x:v>Imran</x:v>
      </x:c>
      <x:c r="H4255" t="str">
        <x:v>P014</x:v>
      </x:c>
      <x:c r="I4255" t="str">
        <x:v>Rava 5kg</x:v>
      </x:c>
      <x:c r="J4255" t="str">
        <x:v>Flour</x:v>
      </x:c>
      <x:c r="K4255" t="str">
        <x:v>Local Select</x:v>
      </x:c>
      <x:c r="L4255" s="22" t="n">
        <x:v>245</x:v>
      </x:c>
      <x:c r="M4255" t="n">
        <x:v>24</x:v>
      </x:c>
      <x:c r="N4255" s="24" t="n">
        <x:v>0.08</x:v>
      </x:c>
      <x:c r="O4255" s="22" t="n">
        <x:f>L4255*M4255</x:f>
        <x:v>5880</x:v>
      </x:c>
      <x:c r="P4255" s="22" t="n">
        <x:f>O4255*(1-N4255)</x:f>
        <x:v>5409.6</x:v>
      </x:c>
      <x:c r="Q4255" s="22" t="n">
        <x:v>215</x:v>
      </x:c>
      <x:c r="R4255" s="22" t="n">
        <x:f>Q4255*M4255</x:f>
        <x:v>5160</x:v>
      </x:c>
      <x:c r="S4255" s="22" t="n">
        <x:f>P4255-R4255</x:f>
        <x:v>249.60000000000036</x:v>
      </x:c>
      <x:c r="T4255" t="str">
        <x:v>Credit</x:v>
      </x:c>
      <x:c r="U4255" t="str">
        <x:v>Paid</x:v>
      </x:c>
      <x:c r="V4255" t="str">
        <x:v>Delivered</x:v>
      </x:c>
      <x:c r="W4255" t="n">
        <x:v>0</x:v>
      </x:c>
      <x:c r="X4255" t="str"/>
      <x:c r="Y4255" t="str">
        <x:v>Outbound Call</x:v>
      </x:c>
    </x:row>
    <x:row r="4256">
      <x:c r="A4256" t="str">
        <x:v>O004255</x:v>
      </x:c>
      <x:c r="B4256" s="20" t="n">
        <x:v>46283</x:v>
      </x:c>
      <x:c r="C4256" t="str">
        <x:v>C0031</x:v>
      </x:c>
      <x:c r="D4256" t="str">
        <x:v>Royal Restaurant 31</x:v>
      </x:c>
      <x:c r="E4256" t="str">
        <x:v>Restaurant</x:v>
      </x:c>
      <x:c r="F4256" t="str">
        <x:v>Mangaluru</x:v>
      </x:c>
      <x:c r="G4256" t="str">
        <x:v>Arjun</x:v>
      </x:c>
      <x:c r="H4256" t="str">
        <x:v>P042</x:v>
      </x:c>
      <x:c r="I4256" t="str">
        <x:v>Eggs 30pc Tray</x:v>
      </x:c>
      <x:c r="J4256" t="str">
        <x:v>Protein</x:v>
      </x:c>
      <x:c r="K4256" t="str">
        <x:v>Farm Fresh</x:v>
      </x:c>
      <x:c r="L4256" s="22" t="n">
        <x:v>195</x:v>
      </x:c>
      <x:c r="M4256" t="n">
        <x:v>5</x:v>
      </x:c>
      <x:c r="N4256" s="24" t="n">
        <x:v>0.02</x:v>
      </x:c>
      <x:c r="O4256" s="22" t="n">
        <x:f>L4256*M4256</x:f>
        <x:v>975</x:v>
      </x:c>
      <x:c r="P4256" s="22" t="n">
        <x:f>O4256*(1-N4256)</x:f>
        <x:v>955.5</x:v>
      </x:c>
      <x:c r="Q4256" s="22" t="n">
        <x:v>170</x:v>
      </x:c>
      <x:c r="R4256" s="22" t="n">
        <x:f>Q4256*M4256</x:f>
        <x:v>850</x:v>
      </x:c>
      <x:c r="S4256" s="22" t="n">
        <x:f>P4256-R4256</x:f>
        <x:v>105.5</x:v>
      </x:c>
      <x:c r="T4256" t="str">
        <x:v>UPI</x:v>
      </x:c>
      <x:c r="U4256" t="str">
        <x:v>Paid</x:v>
      </x:c>
      <x:c r="V4256" t="str">
        <x:v>Delivered</x:v>
      </x:c>
      <x:c r="W4256" t="n">
        <x:v>0</x:v>
      </x:c>
      <x:c r="X4256" t="str"/>
      <x:c r="Y4256" t="str">
        <x:v>Outbound Call</x:v>
      </x:c>
    </x:row>
    <x:row r="4257">
      <x:c r="A4257" t="str">
        <x:v>O004256</x:v>
      </x:c>
      <x:c r="B4257" s="20" t="n">
        <x:v>46266</x:v>
      </x:c>
      <x:c r="C4257" t="str">
        <x:v>C0232</x:v>
      </x:c>
      <x:c r="D4257" t="str">
        <x:v>Grand Mart 232</x:v>
      </x:c>
      <x:c r="E4257" t="str">
        <x:v>Cafe</x:v>
      </x:c>
      <x:c r="F4257" t="str">
        <x:v>Davanagere</x:v>
      </x:c>
      <x:c r="G4257" t="str">
        <x:v>Kavya</x:v>
      </x:c>
      <x:c r="H4257" t="str">
        <x:v>P029</x:v>
      </x:c>
      <x:c r="I4257" t="str">
        <x:v>Tomato Ketchup 1kg</x:v>
      </x:c>
      <x:c r="J4257" t="str">
        <x:v>Condiments</x:v>
      </x:c>
      <x:c r="K4257" t="str">
        <x:v>Kissan</x:v>
      </x:c>
      <x:c r="L4257" s="22" t="n">
        <x:v>145</x:v>
      </x:c>
      <x:c r="M4257" t="n">
        <x:v>4</x:v>
      </x:c>
      <x:c r="N4257" s="24" t="n">
        <x:v>0.02</x:v>
      </x:c>
      <x:c r="O4257" s="22" t="n">
        <x:f>L4257*M4257</x:f>
        <x:v>580</x:v>
      </x:c>
      <x:c r="P4257" s="22" t="n">
        <x:f>O4257*(1-N4257)</x:f>
        <x:v>568.4</x:v>
      </x:c>
      <x:c r="Q4257" s="22" t="n">
        <x:v>126</x:v>
      </x:c>
      <x:c r="R4257" s="22" t="n">
        <x:f>Q4257*M4257</x:f>
        <x:v>504</x:v>
      </x:c>
      <x:c r="S4257" s="22" t="n">
        <x:f>P4257-R4257</x:f>
        <x:v>64.39999999999998</x:v>
      </x:c>
      <x:c r="T4257" t="str">
        <x:v>Cash</x:v>
      </x:c>
      <x:c r="U4257" t="str">
        <x:v>Paid</x:v>
      </x:c>
      <x:c r="V4257" t="str">
        <x:v>Delivered</x:v>
      </x:c>
      <x:c r="W4257" t="n">
        <x:v>3</x:v>
      </x:c>
      <x:c r="X4257" t="str">
        <x:v>Damaged</x:v>
      </x:c>
      <x:c r="Y4257" t="str">
        <x:v>Field Visit</x:v>
      </x:c>
    </x:row>
    <x:row r="4258">
      <x:c r="A4258" t="str">
        <x:v>O004257</x:v>
      </x:c>
      <x:c r="B4258" s="20" t="n">
        <x:v>45919</x:v>
      </x:c>
      <x:c r="C4258" t="str">
        <x:v>C0195</x:v>
      </x:c>
      <x:c r="D4258" t="str">
        <x:v>Classic Stores 195</x:v>
      </x:c>
      <x:c r="E4258" t="str">
        <x:v>Canteen</x:v>
      </x:c>
      <x:c r="F4258" t="str">
        <x:v>Davanagere</x:v>
      </x:c>
      <x:c r="G4258" t="str">
        <x:v>Kavya</x:v>
      </x:c>
      <x:c r="H4258" t="str">
        <x:v>P015</x:v>
      </x:c>
      <x:c r="I4258" t="str">
        <x:v>Milk 1L</x:v>
      </x:c>
      <x:c r="J4258" t="str">
        <x:v>Dairy</x:v>
      </x:c>
      <x:c r="K4258" t="str">
        <x:v>Nandini</x:v>
      </x:c>
      <x:c r="L4258" s="22" t="n">
        <x:v>48</x:v>
      </x:c>
      <x:c r="M4258" t="n">
        <x:v>10</x:v>
      </x:c>
      <x:c r="N4258" s="24" t="n">
        <x:v>0.03</x:v>
      </x:c>
      <x:c r="O4258" s="22" t="n">
        <x:f>L4258*M4258</x:f>
        <x:v>480</x:v>
      </x:c>
      <x:c r="P4258" s="22" t="n">
        <x:f>O4258*(1-N4258)</x:f>
        <x:v>465.59999999999997</x:v>
      </x:c>
      <x:c r="Q4258" s="22" t="n">
        <x:v>43</x:v>
      </x:c>
      <x:c r="R4258" s="22" t="n">
        <x:f>Q4258*M4258</x:f>
        <x:v>430</x:v>
      </x:c>
      <x:c r="S4258" s="22" t="n">
        <x:f>P4258-R4258</x:f>
        <x:v>35.599999999999966</x:v>
      </x:c>
      <x:c r="T4258" t="str">
        <x:v>UPI</x:v>
      </x:c>
      <x:c r="U4258" t="str">
        <x:v>Overdue</x:v>
      </x:c>
      <x:c r="V4258" t="str">
        <x:v>Cancelled</x:v>
      </x:c>
      <x:c r="W4258" t="n">
        <x:v>10</x:v>
      </x:c>
      <x:c r="X4258" t="str">
        <x:v>Cancelled Order</x:v>
      </x:c>
      <x:c r="Y4258" t="str">
        <x:v>Outbound Call</x:v>
      </x:c>
    </x:row>
    <x:row r="4259">
      <x:c r="A4259" t="str">
        <x:v>O004258</x:v>
      </x:c>
      <x:c r="B4259" s="20" t="n">
        <x:v>46102</x:v>
      </x:c>
      <x:c r="C4259" t="str">
        <x:v>C0176</x:v>
      </x:c>
      <x:c r="D4259" t="str">
        <x:v>Cafe Kitchen 176</x:v>
      </x:c>
      <x:c r="E4259" t="str">
        <x:v>Kirana</x:v>
      </x:c>
      <x:c r="F4259" t="str">
        <x:v>Mysuru</x:v>
      </x:c>
      <x:c r="G4259" t="str">
        <x:v>Priya</x:v>
      </x:c>
      <x:c r="H4259" t="str">
        <x:v>P011</x:v>
      </x:c>
      <x:c r="I4259" t="str">
        <x:v>Salt 1kg</x:v>
      </x:c>
      <x:c r="J4259" t="str">
        <x:v>Staples</x:v>
      </x:c>
      <x:c r="K4259" t="str">
        <x:v>Tata</x:v>
      </x:c>
      <x:c r="L4259" s="22" t="n">
        <x:v>28</x:v>
      </x:c>
      <x:c r="M4259" t="n">
        <x:v>35</x:v>
      </x:c>
      <x:c r="N4259" s="24" t="n">
        <x:v>0.03</x:v>
      </x:c>
      <x:c r="O4259" s="22" t="n">
        <x:f>L4259*M4259</x:f>
        <x:v>980</x:v>
      </x:c>
      <x:c r="P4259" s="22" t="n">
        <x:f>O4259*(1-N4259)</x:f>
        <x:v>950.6</x:v>
      </x:c>
      <x:c r="Q4259" s="22" t="n">
        <x:v>23</x:v>
      </x:c>
      <x:c r="R4259" s="22" t="n">
        <x:f>Q4259*M4259</x:f>
        <x:v>805</x:v>
      </x:c>
      <x:c r="S4259" s="22" t="n">
        <x:f>P4259-R4259</x:f>
        <x:v>145.60000000000002</x:v>
      </x:c>
      <x:c r="T4259" t="str">
        <x:v>UPI</x:v>
      </x:c>
      <x:c r="U4259" t="str">
        <x:v>Paid</x:v>
      </x:c>
      <x:c r="V4259" t="str">
        <x:v>Delivered</x:v>
      </x:c>
      <x:c r="W4259" t="n">
        <x:v>0</x:v>
      </x:c>
      <x:c r="X4259" t="str"/>
      <x:c r="Y4259" t="str">
        <x:v>Outbound Call</x:v>
      </x:c>
    </x:row>
    <x:row r="4260">
      <x:c r="A4260" t="str">
        <x:v>O004259</x:v>
      </x:c>
      <x:c r="B4260" s="20" t="n">
        <x:v>45732</x:v>
      </x:c>
      <x:c r="C4260" t="str">
        <x:v>C0212</x:v>
      </x:c>
      <x:c r="D4260" t="str">
        <x:v>Classic Restaurant 212</x:v>
      </x:c>
      <x:c r="E4260" t="str">
        <x:v>Restaurant</x:v>
      </x:c>
      <x:c r="F4260" t="str">
        <x:v>Mysuru</x:v>
      </x:c>
      <x:c r="G4260" t="str">
        <x:v>Vikram</x:v>
      </x:c>
      <x:c r="H4260" t="str">
        <x:v>P034</x:v>
      </x:c>
      <x:c r="I4260" t="str">
        <x:v>Chilli Powder 1kg</x:v>
      </x:c>
      <x:c r="J4260" t="str">
        <x:v>Spices</x:v>
      </x:c>
      <x:c r="K4260" t="str">
        <x:v>MDH</x:v>
      </x:c>
      <x:c r="L4260" s="22" t="n">
        <x:v>340</x:v>
      </x:c>
      <x:c r="M4260" t="n">
        <x:v>19</x:v>
      </x:c>
      <x:c r="N4260" s="24" t="n">
        <x:v>0.02</x:v>
      </x:c>
      <x:c r="O4260" s="22" t="n">
        <x:f>L4260*M4260</x:f>
        <x:v>6460</x:v>
      </x:c>
      <x:c r="P4260" s="22" t="n">
        <x:f>O4260*(1-N4260)</x:f>
        <x:v>6330.8</x:v>
      </x:c>
      <x:c r="Q4260" s="22" t="n">
        <x:v>295</x:v>
      </x:c>
      <x:c r="R4260" s="22" t="n">
        <x:f>Q4260*M4260</x:f>
        <x:v>5605</x:v>
      </x:c>
      <x:c r="S4260" s="22" t="n">
        <x:f>P4260-R4260</x:f>
        <x:v>725.8000000000002</x:v>
      </x:c>
      <x:c r="T4260" t="str">
        <x:v>UPI</x:v>
      </x:c>
      <x:c r="U4260" t="str">
        <x:v>Paid</x:v>
      </x:c>
      <x:c r="V4260" t="str">
        <x:v>Cancelled</x:v>
      </x:c>
      <x:c r="W4260" t="n">
        <x:v>19</x:v>
      </x:c>
      <x:c r="X4260" t="str">
        <x:v>Cancelled Order</x:v>
      </x:c>
      <x:c r="Y4260" t="str">
        <x:v>WhatsApp</x:v>
      </x:c>
    </x:row>
    <x:row r="4261">
      <x:c r="A4261" t="str">
        <x:v>O004260</x:v>
      </x:c>
      <x:c r="B4261" s="20" t="n">
        <x:v>45763</x:v>
      </x:c>
      <x:c r="C4261" t="str">
        <x:v>C0100</x:v>
      </x:c>
      <x:c r="D4261" t="str">
        <x:v>Fresh Mart 100</x:v>
      </x:c>
      <x:c r="E4261" t="str">
        <x:v>Restaurant</x:v>
      </x:c>
      <x:c r="F4261" t="str">
        <x:v>Mysuru</x:v>
      </x:c>
      <x:c r="G4261" t="str">
        <x:v>Imran</x:v>
      </x:c>
      <x:c r="H4261" t="str">
        <x:v>P007</x:v>
      </x:c>
      <x:c r="I4261" t="str">
        <x:v>Sunflower Oil 15L</x:v>
      </x:c>
      <x:c r="J4261" t="str">
        <x:v>Edible Oil</x:v>
      </x:c>
      <x:c r="K4261" t="str">
        <x:v>Fortune</x:v>
      </x:c>
      <x:c r="L4261" s="22" t="n">
        <x:v>1980</x:v>
      </x:c>
      <x:c r="M4261" t="n">
        <x:v>8</x:v>
      </x:c>
      <x:c r="N4261" s="24" t="n">
        <x:v>0.05</x:v>
      </x:c>
      <x:c r="O4261" s="22" t="n">
        <x:f>L4261*M4261</x:f>
        <x:v>15840</x:v>
      </x:c>
      <x:c r="P4261" s="22" t="n">
        <x:f>O4261*(1-N4261)</x:f>
        <x:v>15048</x:v>
      </x:c>
      <x:c r="Q4261" s="22" t="n">
        <x:v>1810</x:v>
      </x:c>
      <x:c r="R4261" s="22" t="n">
        <x:f>Q4261*M4261</x:f>
        <x:v>14480</x:v>
      </x:c>
      <x:c r="S4261" s="22" t="n">
        <x:f>P4261-R4261</x:f>
        <x:v>568</x:v>
      </x:c>
      <x:c r="T4261" t="str">
        <x:v>Cash</x:v>
      </x:c>
      <x:c r="U4261" t="str">
        <x:v>Paid</x:v>
      </x:c>
      <x:c r="V4261" t="str">
        <x:v>Delivered</x:v>
      </x:c>
      <x:c r="W4261" t="n">
        <x:v>0</x:v>
      </x:c>
      <x:c r="X4261" t="str"/>
      <x:c r="Y4261" t="str">
        <x:v>WhatsApp</x:v>
      </x:c>
    </x:row>
    <x:row r="4262">
      <x:c r="A4262" t="str">
        <x:v>O004261</x:v>
      </x:c>
      <x:c r="B4262" s="20" t="n">
        <x:v>46008</x:v>
      </x:c>
      <x:c r="C4262" t="str">
        <x:v>C0249</x:v>
      </x:c>
      <x:c r="D4262" t="str">
        <x:v>City Hotel 249</x:v>
      </x:c>
      <x:c r="E4262" t="str">
        <x:v>Supermarket</x:v>
      </x:c>
      <x:c r="F4262" t="str">
        <x:v>Mysuru</x:v>
      </x:c>
      <x:c r="G4262" t="str">
        <x:v>Arjun</x:v>
      </x:c>
      <x:c r="H4262" t="str">
        <x:v>P002</x:v>
      </x:c>
      <x:c r="I4262" t="str">
        <x:v>Sona Masoori Rice 25kg</x:v>
      </x:c>
      <x:c r="J4262" t="str">
        <x:v>Staples</x:v>
      </x:c>
      <x:c r="K4262" t="str">
        <x:v>Fortune</x:v>
      </x:c>
      <x:c r="L4262" s="22" t="n">
        <x:v>1320</x:v>
      </x:c>
      <x:c r="M4262" t="n">
        <x:v>12</x:v>
      </x:c>
      <x:c r="N4262" s="24" t="n">
        <x:v>0.1</x:v>
      </x:c>
      <x:c r="O4262" s="22" t="n">
        <x:f>L4262*M4262</x:f>
        <x:v>15840</x:v>
      </x:c>
      <x:c r="P4262" s="22" t="n">
        <x:f>O4262*(1-N4262)</x:f>
        <x:v>14256</x:v>
      </x:c>
      <x:c r="Q4262" s="22" t="n">
        <x:v>1160</x:v>
      </x:c>
      <x:c r="R4262" s="22" t="n">
        <x:f>Q4262*M4262</x:f>
        <x:v>13920</x:v>
      </x:c>
      <x:c r="S4262" s="22" t="n">
        <x:f>P4262-R4262</x:f>
        <x:v>336</x:v>
      </x:c>
      <x:c r="T4262" t="str">
        <x:v>Bank Transfer</x:v>
      </x:c>
      <x:c r="U4262" t="str">
        <x:v>Paid</x:v>
      </x:c>
      <x:c r="V4262" t="str">
        <x:v>Cancelled</x:v>
      </x:c>
      <x:c r="W4262" t="n">
        <x:v>12</x:v>
      </x:c>
      <x:c r="X4262" t="str">
        <x:v>Cancelled Order</x:v>
      </x:c>
      <x:c r="Y4262" t="str">
        <x:v>Outbound Call</x:v>
      </x:c>
    </x:row>
    <x:row r="4263">
      <x:c r="A4263" t="str">
        <x:v>O004262</x:v>
      </x:c>
      <x:c r="B4263" s="20" t="n">
        <x:v>46154</x:v>
      </x:c>
      <x:c r="C4263" t="str">
        <x:v>C0166</x:v>
      </x:c>
      <x:c r="D4263" t="str">
        <x:v>Mysore Foods 166</x:v>
      </x:c>
      <x:c r="E4263" t="str">
        <x:v>Cafe</x:v>
      </x:c>
      <x:c r="F4263" t="str">
        <x:v>Mangaluru</x:v>
      </x:c>
      <x:c r="G4263" t="str">
        <x:v>Arjun</x:v>
      </x:c>
      <x:c r="H4263" t="str">
        <x:v>P031</x:v>
      </x:c>
      <x:c r="I4263" t="str">
        <x:v>Chilli Sauce 700g</x:v>
      </x:c>
      <x:c r="J4263" t="str">
        <x:v>Condiments</x:v>
      </x:c>
      <x:c r="K4263" t="str">
        <x:v>Ching's</x:v>
      </x:c>
      <x:c r="L4263" s="22" t="n">
        <x:v>130</x:v>
      </x:c>
      <x:c r="M4263" t="n">
        <x:v>38</x:v>
      </x:c>
      <x:c r="N4263" s="24" t="n">
        <x:v>0.1</x:v>
      </x:c>
      <x:c r="O4263" s="22" t="n">
        <x:f>L4263*M4263</x:f>
        <x:v>4940</x:v>
      </x:c>
      <x:c r="P4263" s="22" t="n">
        <x:f>O4263*(1-N4263)</x:f>
        <x:v>4446</x:v>
      </x:c>
      <x:c r="Q4263" s="22" t="n">
        <x:v>112</x:v>
      </x:c>
      <x:c r="R4263" s="22" t="n">
        <x:f>Q4263*M4263</x:f>
        <x:v>4256</x:v>
      </x:c>
      <x:c r="S4263" s="22" t="n">
        <x:f>P4263-R4263</x:f>
        <x:v>190</x:v>
      </x:c>
      <x:c r="T4263" t="str">
        <x:v>Cash</x:v>
      </x:c>
      <x:c r="U4263" t="str">
        <x:v>Paid</x:v>
      </x:c>
      <x:c r="V4263" t="str">
        <x:v>Delivered</x:v>
      </x:c>
      <x:c r="W4263" t="n">
        <x:v>0</x:v>
      </x:c>
      <x:c r="X4263" t="str"/>
      <x:c r="Y4263" t="str">
        <x:v>Outbound Call</x:v>
      </x:c>
    </x:row>
    <x:row r="4264">
      <x:c r="A4264" t="str">
        <x:v>O004263</x:v>
      </x:c>
      <x:c r="B4264" s="20" t="n">
        <x:v>45743</x:v>
      </x:c>
      <x:c r="C4264" t="str">
        <x:v>C0016</x:v>
      </x:c>
      <x:c r="D4264" t="str">
        <x:v>Royal Canteen 16</x:v>
      </x:c>
      <x:c r="E4264" t="str">
        <x:v>Cafe</x:v>
      </x:c>
      <x:c r="F4264" t="str">
        <x:v>Davanagere</x:v>
      </x:c>
      <x:c r="G4264" t="str">
        <x:v>Megha</x:v>
      </x:c>
      <x:c r="H4264" t="str">
        <x:v>P013</x:v>
      </x:c>
      <x:c r="I4264" t="str">
        <x:v>Atta 10kg</x:v>
      </x:c>
      <x:c r="J4264" t="str">
        <x:v>Flour</x:v>
      </x:c>
      <x:c r="K4264" t="str">
        <x:v>Aashirvaad</x:v>
      </x:c>
      <x:c r="L4264" s="22" t="n">
        <x:v>560</x:v>
      </x:c>
      <x:c r="M4264" t="n">
        <x:v>24</x:v>
      </x:c>
      <x:c r="N4264" s="24" t="n">
        <x:v>0</x:v>
      </x:c>
      <x:c r="O4264" s="22" t="n">
        <x:f>L4264*M4264</x:f>
        <x:v>13440</x:v>
      </x:c>
      <x:c r="P4264" s="22" t="n">
        <x:f>O4264*(1-N4264)</x:f>
        <x:v>13440</x:v>
      </x:c>
      <x:c r="Q4264" s="22" t="n">
        <x:v>495</x:v>
      </x:c>
      <x:c r="R4264" s="22" t="n">
        <x:f>Q4264*M4264</x:f>
        <x:v>11880</x:v>
      </x:c>
      <x:c r="S4264" s="22" t="n">
        <x:f>P4264-R4264</x:f>
        <x:v>1560</x:v>
      </x:c>
      <x:c r="T4264" t="str">
        <x:v>Credit</x:v>
      </x:c>
      <x:c r="U4264" t="str">
        <x:v>Paid</x:v>
      </x:c>
      <x:c r="V4264" t="str">
        <x:v>Delivered</x:v>
      </x:c>
      <x:c r="W4264" t="n">
        <x:v>0</x:v>
      </x:c>
      <x:c r="X4264" t="str"/>
      <x:c r="Y4264" t="str">
        <x:v>Existing Customer</x:v>
      </x:c>
    </x:row>
    <x:row r="4265">
      <x:c r="A4265" t="str">
        <x:v>O004264</x:v>
      </x:c>
      <x:c r="B4265" s="20" t="n">
        <x:v>45975</x:v>
      </x:c>
      <x:c r="C4265" t="str">
        <x:v>C0198</x:v>
      </x:c>
      <x:c r="D4265" t="str">
        <x:v>Royal Canteen 198</x:v>
      </x:c>
      <x:c r="E4265" t="str">
        <x:v>Supermarket</x:v>
      </x:c>
      <x:c r="F4265" t="str">
        <x:v>Davanagere</x:v>
      </x:c>
      <x:c r="G4265" t="str">
        <x:v>Arjun</x:v>
      </x:c>
      <x:c r="H4265" t="str">
        <x:v>P010</x:v>
      </x:c>
      <x:c r="I4265" t="str">
        <x:v>Sugar 25kg</x:v>
      </x:c>
      <x:c r="J4265" t="str">
        <x:v>Staples</x:v>
      </x:c>
      <x:c r="K4265" t="str">
        <x:v>Madhur</x:v>
      </x:c>
      <x:c r="L4265" s="22" t="n">
        <x:v>1190</x:v>
      </x:c>
      <x:c r="M4265" t="n">
        <x:v>5</x:v>
      </x:c>
      <x:c r="N4265" s="24" t="n">
        <x:v>0.05</x:v>
      </x:c>
      <x:c r="O4265" s="22" t="n">
        <x:f>L4265*M4265</x:f>
        <x:v>5950</x:v>
      </x:c>
      <x:c r="P4265" s="22" t="n">
        <x:f>O4265*(1-N4265)</x:f>
        <x:v>5652.5</x:v>
      </x:c>
      <x:c r="Q4265" s="22" t="n">
        <x:v>1080</x:v>
      </x:c>
      <x:c r="R4265" s="22" t="n">
        <x:f>Q4265*M4265</x:f>
        <x:v>5400</x:v>
      </x:c>
      <x:c r="S4265" s="22" t="n">
        <x:f>P4265-R4265</x:f>
        <x:v>252.5</x:v>
      </x:c>
      <x:c r="T4265" t="str">
        <x:v>Credit</x:v>
      </x:c>
      <x:c r="U4265" t="str">
        <x:v>Paid</x:v>
      </x:c>
      <x:c r="V4265" t="str">
        <x:v>Cancelled</x:v>
      </x:c>
      <x:c r="W4265" t="n">
        <x:v>5</x:v>
      </x:c>
      <x:c r="X4265" t="str">
        <x:v>Cancelled Order</x:v>
      </x:c>
      <x:c r="Y4265" t="str">
        <x:v>Outbound Call</x:v>
      </x:c>
    </x:row>
    <x:row r="4266">
      <x:c r="A4266" t="str">
        <x:v>O004265</x:v>
      </x:c>
      <x:c r="B4266" s="20" t="n">
        <x:v>46176</x:v>
      </x:c>
      <x:c r="C4266" t="str">
        <x:v>C0151</x:v>
      </x:c>
      <x:c r="D4266" t="str">
        <x:v>Foodie Stores 151</x:v>
      </x:c>
      <x:c r="E4266" t="str">
        <x:v>Supermarket</x:v>
      </x:c>
      <x:c r="F4266" t="str">
        <x:v>Mysuru</x:v>
      </x:c>
      <x:c r="G4266" t="str">
        <x:v>Arjun</x:v>
      </x:c>
      <x:c r="H4266" t="str">
        <x:v>P023</x:v>
      </x:c>
      <x:c r="I4266" t="str">
        <x:v>Cola 750ml</x:v>
      </x:c>
      <x:c r="J4266" t="str">
        <x:v>Beverage</x:v>
      </x:c>
      <x:c r="K4266" t="str">
        <x:v>Coca-Cola</x:v>
      </x:c>
      <x:c r="L4266" s="22" t="n">
        <x:v>38</x:v>
      </x:c>
      <x:c r="M4266" t="n">
        <x:v>14</x:v>
      </x:c>
      <x:c r="N4266" s="24" t="n">
        <x:v>0</x:v>
      </x:c>
      <x:c r="O4266" s="22" t="n">
        <x:f>L4266*M4266</x:f>
        <x:v>532</x:v>
      </x:c>
      <x:c r="P4266" s="22" t="n">
        <x:f>O4266*(1-N4266)</x:f>
        <x:v>532</x:v>
      </x:c>
      <x:c r="Q4266" s="22" t="n">
        <x:v>31</x:v>
      </x:c>
      <x:c r="R4266" s="22" t="n">
        <x:f>Q4266*M4266</x:f>
        <x:v>434</x:v>
      </x:c>
      <x:c r="S4266" s="22" t="n">
        <x:f>P4266-R4266</x:f>
        <x:v>98</x:v>
      </x:c>
      <x:c r="T4266" t="str">
        <x:v>Cash</x:v>
      </x:c>
      <x:c r="U4266" t="str">
        <x:v>Paid</x:v>
      </x:c>
      <x:c r="V4266" t="str">
        <x:v>Delayed</x:v>
      </x:c>
      <x:c r="W4266" t="n">
        <x:v>0</x:v>
      </x:c>
      <x:c r="X4266" t="str"/>
      <x:c r="Y4266" t="str">
        <x:v>Outbound Call</x:v>
      </x:c>
    </x:row>
    <x:row r="4267">
      <x:c r="A4267" t="str">
        <x:v>O004266</x:v>
      </x:c>
      <x:c r="B4267" s="20" t="n">
        <x:v>45895</x:v>
      </x:c>
      <x:c r="C4267" t="str">
        <x:v>C0035</x:v>
      </x:c>
      <x:c r="D4267" t="str">
        <x:v>City Foods 35</x:v>
      </x:c>
      <x:c r="E4267" t="str">
        <x:v>Kirana</x:v>
      </x:c>
      <x:c r="F4267" t="str">
        <x:v>Bengaluru</x:v>
      </x:c>
      <x:c r="G4267" t="str">
        <x:v>Megha</x:v>
      </x:c>
      <x:c r="H4267" t="str">
        <x:v>P026</x:v>
      </x:c>
      <x:c r="I4267" t="str">
        <x:v>Banana Chips 80g</x:v>
      </x:c>
      <x:c r="J4267" t="str">
        <x:v>Snacks</x:v>
      </x:c>
      <x:c r="K4267" t="str">
        <x:v>SSS</x:v>
      </x:c>
      <x:c r="L4267" s="22" t="n">
        <x:v>54</x:v>
      </x:c>
      <x:c r="M4267" t="n">
        <x:v>14</x:v>
      </x:c>
      <x:c r="N4267" s="24" t="n">
        <x:v>0.02</x:v>
      </x:c>
      <x:c r="O4267" s="22" t="n">
        <x:f>L4267*M4267</x:f>
        <x:v>756</x:v>
      </x:c>
      <x:c r="P4267" s="22" t="n">
        <x:f>O4267*(1-N4267)</x:f>
        <x:v>740.88</x:v>
      </x:c>
      <x:c r="Q4267" s="22" t="n">
        <x:v>39</x:v>
      </x:c>
      <x:c r="R4267" s="22" t="n">
        <x:f>Q4267*M4267</x:f>
        <x:v>546</x:v>
      </x:c>
      <x:c r="S4267" s="22" t="n">
        <x:f>P4267-R4267</x:f>
        <x:v>194.88</x:v>
      </x:c>
      <x:c r="T4267" t="str">
        <x:v>Bank Transfer</x:v>
      </x:c>
      <x:c r="U4267" t="str">
        <x:v>Overdue</x:v>
      </x:c>
      <x:c r="V4267" t="str">
        <x:v>Delivered</x:v>
      </x:c>
      <x:c r="W4267" t="n">
        <x:v>0</x:v>
      </x:c>
      <x:c r="X4267" t="str"/>
      <x:c r="Y4267" t="str">
        <x:v>WhatsApp</x:v>
      </x:c>
    </x:row>
    <x:row r="4268">
      <x:c r="A4268" t="str">
        <x:v>O004267</x:v>
      </x:c>
      <x:c r="B4268" s="20" t="n">
        <x:v>46202</x:v>
      </x:c>
      <x:c r="C4268" t="str">
        <x:v>C0122</x:v>
      </x:c>
      <x:c r="D4268" t="str">
        <x:v>Namma Restaurant 122</x:v>
      </x:c>
      <x:c r="E4268" t="str">
        <x:v>Kirana</x:v>
      </x:c>
      <x:c r="F4268" t="str">
        <x:v>Hubballi</x:v>
      </x:c>
      <x:c r="G4268" t="str">
        <x:v>Sneha</x:v>
      </x:c>
      <x:c r="H4268" t="str">
        <x:v>P004</x:v>
      </x:c>
      <x:c r="I4268" t="str">
        <x:v>Toor Dal 5kg</x:v>
      </x:c>
      <x:c r="J4268" t="str">
        <x:v>Pulses</x:v>
      </x:c>
      <x:c r="K4268" t="str">
        <x:v>Tata Sampann</x:v>
      </x:c>
      <x:c r="L4268" s="22" t="n">
        <x:v>780</x:v>
      </x:c>
      <x:c r="M4268" t="n">
        <x:v>21</x:v>
      </x:c>
      <x:c r="N4268" s="24" t="n">
        <x:v>0.03</x:v>
      </x:c>
      <x:c r="O4268" s="22" t="n">
        <x:f>L4268*M4268</x:f>
        <x:v>16380</x:v>
      </x:c>
      <x:c r="P4268" s="22" t="n">
        <x:f>O4268*(1-N4268)</x:f>
        <x:v>15888.6</x:v>
      </x:c>
      <x:c r="Q4268" s="22" t="n">
        <x:v>695</x:v>
      </x:c>
      <x:c r="R4268" s="22" t="n">
        <x:f>Q4268*M4268</x:f>
        <x:v>14595</x:v>
      </x:c>
      <x:c r="S4268" s="22" t="n">
        <x:f>P4268-R4268</x:f>
        <x:v>1293.6000000000004</x:v>
      </x:c>
      <x:c r="T4268" t="str">
        <x:v>Bank Transfer</x:v>
      </x:c>
      <x:c r="U4268" t="str">
        <x:v>Paid</x:v>
      </x:c>
      <x:c r="V4268" t="str">
        <x:v>Delivered</x:v>
      </x:c>
      <x:c r="W4268" t="n">
        <x:v>0</x:v>
      </x:c>
      <x:c r="X4268" t="str"/>
      <x:c r="Y4268" t="str">
        <x:v>Field Visit</x:v>
      </x:c>
    </x:row>
    <x:row r="4269">
      <x:c r="A4269" t="str">
        <x:v>O004268</x:v>
      </x:c>
      <x:c r="B4269" s="20" t="n">
        <x:v>45942</x:v>
      </x:c>
      <x:c r="C4269" t="str">
        <x:v>C0068</x:v>
      </x:c>
      <x:c r="D4269" t="str">
        <x:v>Fresh Canteen 68</x:v>
      </x:c>
      <x:c r="E4269" t="str">
        <x:v>Kirana</x:v>
      </x:c>
      <x:c r="F4269" t="str">
        <x:v>Davanagere</x:v>
      </x:c>
      <x:c r="G4269" t="str">
        <x:v>Arjun</x:v>
      </x:c>
      <x:c r="H4269" t="str">
        <x:v>P013</x:v>
      </x:c>
      <x:c r="I4269" t="str">
        <x:v>Atta 10kg</x:v>
      </x:c>
      <x:c r="J4269" t="str">
        <x:v>Flour</x:v>
      </x:c>
      <x:c r="K4269" t="str">
        <x:v>Aashirvaad</x:v>
      </x:c>
      <x:c r="L4269" s="22" t="n">
        <x:v>560</x:v>
      </x:c>
      <x:c r="M4269" t="n">
        <x:v>17</x:v>
      </x:c>
      <x:c r="N4269" s="24" t="n">
        <x:v>0.03</x:v>
      </x:c>
      <x:c r="O4269" s="22" t="n">
        <x:f>L4269*M4269</x:f>
        <x:v>9520</x:v>
      </x:c>
      <x:c r="P4269" s="22" t="n">
        <x:f>O4269*(1-N4269)</x:f>
        <x:v>9234.4</x:v>
      </x:c>
      <x:c r="Q4269" s="22" t="n">
        <x:v>495</x:v>
      </x:c>
      <x:c r="R4269" s="22" t="n">
        <x:f>Q4269*M4269</x:f>
        <x:v>8415</x:v>
      </x:c>
      <x:c r="S4269" s="22" t="n">
        <x:f>P4269-R4269</x:f>
        <x:v>819.3999999999996</x:v>
      </x:c>
      <x:c r="T4269" t="str">
        <x:v>Bank Transfer</x:v>
      </x:c>
      <x:c r="U4269" t="str">
        <x:v>Paid</x:v>
      </x:c>
      <x:c r="V4269" t="str">
        <x:v>Delayed</x:v>
      </x:c>
      <x:c r="W4269" t="n">
        <x:v>0</x:v>
      </x:c>
      <x:c r="X4269" t="str"/>
      <x:c r="Y4269" t="str">
        <x:v>Outbound Call</x:v>
      </x:c>
    </x:row>
    <x:row r="4270">
      <x:c r="A4270" t="str">
        <x:v>O004269</x:v>
      </x:c>
      <x:c r="B4270" s="20" t="n">
        <x:v>46005</x:v>
      </x:c>
      <x:c r="C4270" t="str">
        <x:v>C0081</x:v>
      </x:c>
      <x:c r="D4270" t="str">
        <x:v>Foodie Mart 81</x:v>
      </x:c>
      <x:c r="E4270" t="str">
        <x:v>Supermarket</x:v>
      </x:c>
      <x:c r="F4270" t="str">
        <x:v>Hubballi</x:v>
      </x:c>
      <x:c r="G4270" t="str">
        <x:v>Kavya</x:v>
      </x:c>
      <x:c r="H4270" t="str">
        <x:v>P042</x:v>
      </x:c>
      <x:c r="I4270" t="str">
        <x:v>Eggs 30pc Tray</x:v>
      </x:c>
      <x:c r="J4270" t="str">
        <x:v>Protein</x:v>
      </x:c>
      <x:c r="K4270" t="str">
        <x:v>Farm Fresh</x:v>
      </x:c>
      <x:c r="L4270" s="22" t="n">
        <x:v>195</x:v>
      </x:c>
      <x:c r="M4270" t="n">
        <x:v>31</x:v>
      </x:c>
      <x:c r="N4270" s="24" t="n">
        <x:v>0.03</x:v>
      </x:c>
      <x:c r="O4270" s="22" t="n">
        <x:f>L4270*M4270</x:f>
        <x:v>6045</x:v>
      </x:c>
      <x:c r="P4270" s="22" t="n">
        <x:f>O4270*(1-N4270)</x:f>
        <x:v>5863.65</x:v>
      </x:c>
      <x:c r="Q4270" s="22" t="n">
        <x:v>170</x:v>
      </x:c>
      <x:c r="R4270" s="22" t="n">
        <x:f>Q4270*M4270</x:f>
        <x:v>5270</x:v>
      </x:c>
      <x:c r="S4270" s="22" t="n">
        <x:f>P4270-R4270</x:f>
        <x:v>593.6499999999996</x:v>
      </x:c>
      <x:c r="T4270" t="str">
        <x:v>Cash</x:v>
      </x:c>
      <x:c r="U4270" t="str">
        <x:v>Pending</x:v>
      </x:c>
      <x:c r="V4270" t="str">
        <x:v>Cancelled</x:v>
      </x:c>
      <x:c r="W4270" t="n">
        <x:v>31</x:v>
      </x:c>
      <x:c r="X4270" t="str">
        <x:v>Cancelled Order</x:v>
      </x:c>
      <x:c r="Y4270" t="str">
        <x:v>Field Visit</x:v>
      </x:c>
    </x:row>
    <x:row r="4271">
      <x:c r="A4271" t="str">
        <x:v>O004270</x:v>
      </x:c>
      <x:c r="B4271" s="20" t="n">
        <x:v>46216</x:v>
      </x:c>
      <x:c r="C4271" t="str">
        <x:v>C0027</x:v>
      </x:c>
      <x:c r="D4271" t="str">
        <x:v>Fresh Cafe 27</x:v>
      </x:c>
      <x:c r="E4271" t="str">
        <x:v>Restaurant</x:v>
      </x:c>
      <x:c r="F4271" t="str">
        <x:v>Tumakuru</x:v>
      </x:c>
      <x:c r="G4271" t="str">
        <x:v>Megha</x:v>
      </x:c>
      <x:c r="H4271" t="str">
        <x:v>P014</x:v>
      </x:c>
      <x:c r="I4271" t="str">
        <x:v>Rava 5kg</x:v>
      </x:c>
      <x:c r="J4271" t="str">
        <x:v>Flour</x:v>
      </x:c>
      <x:c r="K4271" t="str">
        <x:v>Local Select</x:v>
      </x:c>
      <x:c r="L4271" s="22" t="n">
        <x:v>245</x:v>
      </x:c>
      <x:c r="M4271" t="n">
        <x:v>24</x:v>
      </x:c>
      <x:c r="N4271" s="24" t="n">
        <x:v>0.1</x:v>
      </x:c>
      <x:c r="O4271" s="22" t="n">
        <x:f>L4271*M4271</x:f>
        <x:v>5880</x:v>
      </x:c>
      <x:c r="P4271" s="22" t="n">
        <x:f>O4271*(1-N4271)</x:f>
        <x:v>5292</x:v>
      </x:c>
      <x:c r="Q4271" s="22" t="n">
        <x:v>215</x:v>
      </x:c>
      <x:c r="R4271" s="22" t="n">
        <x:f>Q4271*M4271</x:f>
        <x:v>5160</x:v>
      </x:c>
      <x:c r="S4271" s="22" t="n">
        <x:f>P4271-R4271</x:f>
        <x:v>132</x:v>
      </x:c>
      <x:c r="T4271" t="str">
        <x:v>Bank Transfer</x:v>
      </x:c>
      <x:c r="U4271" t="str">
        <x:v>Paid</x:v>
      </x:c>
      <x:c r="V4271" t="str">
        <x:v>Delivered</x:v>
      </x:c>
      <x:c r="W4271" t="n">
        <x:v>0</x:v>
      </x:c>
      <x:c r="X4271" t="str"/>
      <x:c r="Y4271" t="str">
        <x:v>Outbound Call</x:v>
      </x:c>
    </x:row>
    <x:row r="4272">
      <x:c r="A4272" t="str">
        <x:v>O004271</x:v>
      </x:c>
      <x:c r="B4272" s="20" t="n">
        <x:v>46164</x:v>
      </x:c>
      <x:c r="C4272" t="str">
        <x:v>C0056</x:v>
      </x:c>
      <x:c r="D4272" t="str">
        <x:v>City Stores 56</x:v>
      </x:c>
      <x:c r="E4272" t="str">
        <x:v>Canteen</x:v>
      </x:c>
      <x:c r="F4272" t="str">
        <x:v>Davanagere</x:v>
      </x:c>
      <x:c r="G4272" t="str">
        <x:v>Imran</x:v>
      </x:c>
      <x:c r="H4272" t="str">
        <x:v>P040</x:v>
      </x:c>
      <x:c r="I4272" t="str">
        <x:v>Bread Loaf 400g</x:v>
      </x:c>
      <x:c r="J4272" t="str">
        <x:v>Bakery</x:v>
      </x:c>
      <x:c r="K4272" t="str">
        <x:v>Britannia</x:v>
      </x:c>
      <x:c r="L4272" s="22" t="n">
        <x:v>45</x:v>
      </x:c>
      <x:c r="M4272" t="n">
        <x:v>16</x:v>
      </x:c>
      <x:c r="N4272" s="24" t="n">
        <x:v>0</x:v>
      </x:c>
      <x:c r="O4272" s="22" t="n">
        <x:f>L4272*M4272</x:f>
        <x:v>720</x:v>
      </x:c>
      <x:c r="P4272" s="22" t="n">
        <x:f>O4272*(1-N4272)</x:f>
        <x:v>720</x:v>
      </x:c>
      <x:c r="Q4272" s="22" t="n">
        <x:v>35</x:v>
      </x:c>
      <x:c r="R4272" s="22" t="n">
        <x:f>Q4272*M4272</x:f>
        <x:v>560</x:v>
      </x:c>
      <x:c r="S4272" s="22" t="n">
        <x:f>P4272-R4272</x:f>
        <x:v>160</x:v>
      </x:c>
      <x:c r="T4272" t="str">
        <x:v>Cash</x:v>
      </x:c>
      <x:c r="U4272" t="str">
        <x:v>Pending</x:v>
      </x:c>
      <x:c r="V4272" t="str">
        <x:v>Delivered</x:v>
      </x:c>
      <x:c r="W4272" t="n">
        <x:v>0</x:v>
      </x:c>
      <x:c r="X4272" t="str"/>
      <x:c r="Y4272" t="str">
        <x:v>Referral</x:v>
      </x:c>
    </x:row>
    <x:row r="4273">
      <x:c r="A4273" t="str">
        <x:v>O004272</x:v>
      </x:c>
      <x:c r="B4273" s="20" t="n">
        <x:v>45806</x:v>
      </x:c>
      <x:c r="C4273" t="str">
        <x:v>C0061</x:v>
      </x:c>
      <x:c r="D4273" t="str">
        <x:v>Spice Stores 61</x:v>
      </x:c>
      <x:c r="E4273" t="str">
        <x:v>Restaurant</x:v>
      </x:c>
      <x:c r="F4273" t="str">
        <x:v>Tumakuru</x:v>
      </x:c>
      <x:c r="G4273" t="str">
        <x:v>Ramesh</x:v>
      </x:c>
      <x:c r="H4273" t="str">
        <x:v>P017</x:v>
      </x:c>
      <x:c r="I4273" t="str">
        <x:v>Butter 500g</x:v>
      </x:c>
      <x:c r="J4273" t="str">
        <x:v>Dairy</x:v>
      </x:c>
      <x:c r="K4273" t="str">
        <x:v>Amul</x:v>
      </x:c>
      <x:c r="L4273" s="22" t="n">
        <x:v>285</x:v>
      </x:c>
      <x:c r="M4273" t="n">
        <x:v>7</x:v>
      </x:c>
      <x:c r="N4273" s="24" t="n">
        <x:v>0.05</x:v>
      </x:c>
      <x:c r="O4273" s="22" t="n">
        <x:f>L4273*M4273</x:f>
        <x:v>1995</x:v>
      </x:c>
      <x:c r="P4273" s="22" t="n">
        <x:f>O4273*(1-N4273)</x:f>
        <x:v>1895.25</x:v>
      </x:c>
      <x:c r="Q4273" s="22" t="n">
        <x:v>258</x:v>
      </x:c>
      <x:c r="R4273" s="22" t="n">
        <x:f>Q4273*M4273</x:f>
        <x:v>1806</x:v>
      </x:c>
      <x:c r="S4273" s="22" t="n">
        <x:f>P4273-R4273</x:f>
        <x:v>89.25</x:v>
      </x:c>
      <x:c r="T4273" t="str">
        <x:v>Cash</x:v>
      </x:c>
      <x:c r="U4273" t="str">
        <x:v>Pending</x:v>
      </x:c>
      <x:c r="V4273" t="str">
        <x:v>Delivered</x:v>
      </x:c>
      <x:c r="W4273" t="n">
        <x:v>0</x:v>
      </x:c>
      <x:c r="X4273" t="str"/>
      <x:c r="Y4273" t="str">
        <x:v>WhatsApp</x:v>
      </x:c>
    </x:row>
    <x:row r="4274">
      <x:c r="A4274" t="str">
        <x:v>O004273</x:v>
      </x:c>
      <x:c r="B4274" s="20" t="n">
        <x:v>46222</x:v>
      </x:c>
      <x:c r="C4274" t="str">
        <x:v>C0112</x:v>
      </x:c>
      <x:c r="D4274" t="str">
        <x:v>Cafe Hotel 112</x:v>
      </x:c>
      <x:c r="E4274" t="str">
        <x:v>Hotel</x:v>
      </x:c>
      <x:c r="F4274" t="str">
        <x:v>Mangaluru</x:v>
      </x:c>
      <x:c r="G4274" t="str">
        <x:v>Kavya</x:v>
      </x:c>
      <x:c r="H4274" t="str">
        <x:v>P011</x:v>
      </x:c>
      <x:c r="I4274" t="str">
        <x:v>Salt 1kg</x:v>
      </x:c>
      <x:c r="J4274" t="str">
        <x:v>Staples</x:v>
      </x:c>
      <x:c r="K4274" t="str">
        <x:v>Tata</x:v>
      </x:c>
      <x:c r="L4274" s="22" t="n">
        <x:v>28</x:v>
      </x:c>
      <x:c r="M4274" t="n">
        <x:v>1</x:v>
      </x:c>
      <x:c r="N4274" s="24" t="n">
        <x:v>0.03</x:v>
      </x:c>
      <x:c r="O4274" s="22" t="n">
        <x:f>L4274*M4274</x:f>
        <x:v>28</x:v>
      </x:c>
      <x:c r="P4274" s="22" t="n">
        <x:f>O4274*(1-N4274)</x:f>
        <x:v>27.16</x:v>
      </x:c>
      <x:c r="Q4274" s="22" t="n">
        <x:v>23</x:v>
      </x:c>
      <x:c r="R4274" s="22" t="n">
        <x:f>Q4274*M4274</x:f>
        <x:v>23</x:v>
      </x:c>
      <x:c r="S4274" s="22" t="n">
        <x:f>P4274-R4274</x:f>
        <x:v>4.16</x:v>
      </x:c>
      <x:c r="T4274" t="str">
        <x:v>Bank Transfer</x:v>
      </x:c>
      <x:c r="U4274" t="str">
        <x:v>Paid</x:v>
      </x:c>
      <x:c r="V4274" t="str">
        <x:v>Delivered</x:v>
      </x:c>
      <x:c r="W4274" t="n">
        <x:v>0</x:v>
      </x:c>
      <x:c r="X4274" t="str"/>
      <x:c r="Y4274" t="str">
        <x:v>Field Visit</x:v>
      </x:c>
    </x:row>
    <x:row r="4275">
      <x:c r="A4275" t="str">
        <x:v>O004274</x:v>
      </x:c>
      <x:c r="B4275" s="20" t="n">
        <x:v>45991</x:v>
      </x:c>
      <x:c r="C4275" t="str">
        <x:v>C0084</x:v>
      </x:c>
      <x:c r="D4275" t="str">
        <x:v>Green Cafe 84</x:v>
      </x:c>
      <x:c r="E4275" t="str">
        <x:v>Hotel</x:v>
      </x:c>
      <x:c r="F4275" t="str">
        <x:v>Mysuru</x:v>
      </x:c>
      <x:c r="G4275" t="str">
        <x:v>Priya</x:v>
      </x:c>
      <x:c r="H4275" t="str">
        <x:v>P050</x:v>
      </x:c>
      <x:c r="I4275" t="str">
        <x:v>Lemon 5kg</x:v>
      </x:c>
      <x:c r="J4275" t="str">
        <x:v>Fresh Produce</x:v>
      </x:c>
      <x:c r="K4275" t="str">
        <x:v>Local Market</x:v>
      </x:c>
      <x:c r="L4275" s="22" t="n">
        <x:v>360</x:v>
      </x:c>
      <x:c r="M4275" t="n">
        <x:v>34</x:v>
      </x:c>
      <x:c r="N4275" s="24" t="n">
        <x:v>0</x:v>
      </x:c>
      <x:c r="O4275" s="22" t="n">
        <x:f>L4275*M4275</x:f>
        <x:v>12240</x:v>
      </x:c>
      <x:c r="P4275" s="22" t="n">
        <x:f>O4275*(1-N4275)</x:f>
        <x:v>12240</x:v>
      </x:c>
      <x:c r="Q4275" s="22" t="n">
        <x:v>300</x:v>
      </x:c>
      <x:c r="R4275" s="22" t="n">
        <x:f>Q4275*M4275</x:f>
        <x:v>10200</x:v>
      </x:c>
      <x:c r="S4275" s="22" t="n">
        <x:f>P4275-R4275</x:f>
        <x:v>2040</x:v>
      </x:c>
      <x:c r="T4275" t="str">
        <x:v>Cash</x:v>
      </x:c>
      <x:c r="U4275" t="str">
        <x:v>Pending</x:v>
      </x:c>
      <x:c r="V4275" t="str">
        <x:v>Delivered</x:v>
      </x:c>
      <x:c r="W4275" t="n">
        <x:v>0</x:v>
      </x:c>
      <x:c r="X4275" t="str"/>
      <x:c r="Y4275" t="str">
        <x:v>Field Visit</x:v>
      </x:c>
    </x:row>
    <x:row r="4276">
      <x:c r="A4276" t="str">
        <x:v>O004275</x:v>
      </x:c>
      <x:c r="B4276" s="20" t="n">
        <x:v>46212</x:v>
      </x:c>
      <x:c r="C4276" t="str">
        <x:v>C0220</x:v>
      </x:c>
      <x:c r="D4276" t="str">
        <x:v>Udupi Canteen 220</x:v>
      </x:c>
      <x:c r="E4276" t="str">
        <x:v>Restaurant</x:v>
      </x:c>
      <x:c r="F4276" t="str">
        <x:v>Bengaluru</x:v>
      </x:c>
      <x:c r="G4276" t="str">
        <x:v>Sneha</x:v>
      </x:c>
      <x:c r="H4276" t="str">
        <x:v>P044</x:v>
      </x:c>
      <x:c r="I4276" t="str">
        <x:v>Chicken Curry Cut 1kg</x:v>
      </x:c>
      <x:c r="J4276" t="str">
        <x:v>Protein</x:v>
      </x:c>
      <x:c r="K4276" t="str">
        <x:v>FreshToHome</x:v>
      </x:c>
      <x:c r="L4276" s="22" t="n">
        <x:v>230</x:v>
      </x:c>
      <x:c r="M4276" t="n">
        <x:v>11</x:v>
      </x:c>
      <x:c r="N4276" s="24" t="n">
        <x:v>0.03</x:v>
      </x:c>
      <x:c r="O4276" s="22" t="n">
        <x:f>L4276*M4276</x:f>
        <x:v>2530</x:v>
      </x:c>
      <x:c r="P4276" s="22" t="n">
        <x:f>O4276*(1-N4276)</x:f>
        <x:v>2454.1</x:v>
      </x:c>
      <x:c r="Q4276" s="22" t="n">
        <x:v>205</x:v>
      </x:c>
      <x:c r="R4276" s="22" t="n">
        <x:f>Q4276*M4276</x:f>
        <x:v>2255</x:v>
      </x:c>
      <x:c r="S4276" s="22" t="n">
        <x:f>P4276-R4276</x:f>
        <x:v>199.0999999999999</x:v>
      </x:c>
      <x:c r="T4276" t="str">
        <x:v>Bank Transfer</x:v>
      </x:c>
      <x:c r="U4276" t="str">
        <x:v>Paid</x:v>
      </x:c>
      <x:c r="V4276" t="str">
        <x:v>Delivered</x:v>
      </x:c>
      <x:c r="W4276" t="n">
        <x:v>0</x:v>
      </x:c>
      <x:c r="X4276" t="str"/>
      <x:c r="Y4276" t="str">
        <x:v>Referral</x:v>
      </x:c>
    </x:row>
    <x:row r="4277">
      <x:c r="A4277" t="str">
        <x:v>O004276</x:v>
      </x:c>
      <x:c r="B4277" s="20" t="n">
        <x:v>46120</x:v>
      </x:c>
      <x:c r="C4277" t="str">
        <x:v>C0223</x:v>
      </x:c>
      <x:c r="D4277" t="str">
        <x:v>Classic Canteen 223</x:v>
      </x:c>
      <x:c r="E4277" t="str">
        <x:v>Restaurant</x:v>
      </x:c>
      <x:c r="F4277" t="str">
        <x:v>Tumakuru</x:v>
      </x:c>
      <x:c r="G4277" t="str">
        <x:v>Kavya</x:v>
      </x:c>
      <x:c r="H4277" t="str">
        <x:v>P047</x:v>
      </x:c>
      <x:c r="I4277" t="str">
        <x:v>Tomato 25kg</x:v>
      </x:c>
      <x:c r="J4277" t="str">
        <x:v>Fresh Produce</x:v>
      </x:c>
      <x:c r="K4277" t="str">
        <x:v>Local Market</x:v>
      </x:c>
      <x:c r="L4277" s="22" t="n">
        <x:v>950</x:v>
      </x:c>
      <x:c r="M4277" t="n">
        <x:v>2</x:v>
      </x:c>
      <x:c r="N4277" s="24" t="n">
        <x:v>0.05</x:v>
      </x:c>
      <x:c r="O4277" s="22" t="n">
        <x:f>L4277*M4277</x:f>
        <x:v>1900</x:v>
      </x:c>
      <x:c r="P4277" s="22" t="n">
        <x:f>O4277*(1-N4277)</x:f>
        <x:v>1805</x:v>
      </x:c>
      <x:c r="Q4277" s="22" t="n">
        <x:v>810</x:v>
      </x:c>
      <x:c r="R4277" s="22" t="n">
        <x:f>Q4277*M4277</x:f>
        <x:v>1620</x:v>
      </x:c>
      <x:c r="S4277" s="22" t="n">
        <x:f>P4277-R4277</x:f>
        <x:v>185</x:v>
      </x:c>
      <x:c r="T4277" t="str">
        <x:v>Bank Transfer</x:v>
      </x:c>
      <x:c r="U4277" t="str">
        <x:v>Paid</x:v>
      </x:c>
      <x:c r="V4277" t="str">
        <x:v>Delivered</x:v>
      </x:c>
      <x:c r="W4277" t="n">
        <x:v>0</x:v>
      </x:c>
      <x:c r="X4277" t="str"/>
      <x:c r="Y4277" t="str">
        <x:v>WhatsApp</x:v>
      </x:c>
    </x:row>
    <x:row r="4278">
      <x:c r="A4278" t="str">
        <x:v>O004277</x:v>
      </x:c>
      <x:c r="B4278" s="20" t="n">
        <x:v>46194</x:v>
      </x:c>
      <x:c r="C4278" t="str">
        <x:v>C0098</x:v>
      </x:c>
      <x:c r="D4278" t="str">
        <x:v>City Stores 98</x:v>
      </x:c>
      <x:c r="E4278" t="str">
        <x:v>Canteen</x:v>
      </x:c>
      <x:c r="F4278" t="str">
        <x:v>Mangaluru</x:v>
      </x:c>
      <x:c r="G4278" t="str">
        <x:v>Imran</x:v>
      </x:c>
      <x:c r="H4278" t="str">
        <x:v>P002</x:v>
      </x:c>
      <x:c r="I4278" t="str">
        <x:v>Sona Masoori Rice 25kg</x:v>
      </x:c>
      <x:c r="J4278" t="str">
        <x:v>Staples</x:v>
      </x:c>
      <x:c r="K4278" t="str">
        <x:v>Fortune</x:v>
      </x:c>
      <x:c r="L4278" s="22" t="n">
        <x:v>1320</x:v>
      </x:c>
      <x:c r="M4278" t="n">
        <x:v>6</x:v>
      </x:c>
      <x:c r="N4278" s="24" t="n">
        <x:v>0.02</x:v>
      </x:c>
      <x:c r="O4278" s="22" t="n">
        <x:f>L4278*M4278</x:f>
        <x:v>7920</x:v>
      </x:c>
      <x:c r="P4278" s="22" t="n">
        <x:f>O4278*(1-N4278)</x:f>
        <x:v>7761.599999999999</x:v>
      </x:c>
      <x:c r="Q4278" s="22" t="n">
        <x:v>1160</x:v>
      </x:c>
      <x:c r="R4278" s="22" t="n">
        <x:f>Q4278*M4278</x:f>
        <x:v>6960</x:v>
      </x:c>
      <x:c r="S4278" s="22" t="n">
        <x:f>P4278-R4278</x:f>
        <x:v>801.5999999999995</x:v>
      </x:c>
      <x:c r="T4278" t="str">
        <x:v>Bank Transfer</x:v>
      </x:c>
      <x:c r="U4278" t="str">
        <x:v>Pending</x:v>
      </x:c>
      <x:c r="V4278" t="str">
        <x:v>Delivered</x:v>
      </x:c>
      <x:c r="W4278" t="n">
        <x:v>0</x:v>
      </x:c>
      <x:c r="X4278" t="str"/>
      <x:c r="Y4278" t="str">
        <x:v>Referral</x:v>
      </x:c>
    </x:row>
    <x:row r="4279">
      <x:c r="A4279" t="str">
        <x:v>O004278</x:v>
      </x:c>
      <x:c r="B4279" s="20" t="n">
        <x:v>46076</x:v>
      </x:c>
      <x:c r="C4279" t="str">
        <x:v>C0171</x:v>
      </x:c>
      <x:c r="D4279" t="str">
        <x:v>Metro Canteen 171</x:v>
      </x:c>
      <x:c r="E4279" t="str">
        <x:v>Restaurant</x:v>
      </x:c>
      <x:c r="F4279" t="str">
        <x:v>Mangaluru</x:v>
      </x:c>
      <x:c r="G4279" t="str">
        <x:v>Priya</x:v>
      </x:c>
      <x:c r="H4279" t="str">
        <x:v>P006</x:v>
      </x:c>
      <x:c r="I4279" t="str">
        <x:v>Moong Dal 5kg</x:v>
      </x:c>
      <x:c r="J4279" t="str">
        <x:v>Pulses</x:v>
      </x:c>
      <x:c r="K4279" t="str">
        <x:v>Local Select</x:v>
      </x:c>
      <x:c r="L4279" s="22" t="n">
        <x:v>610</x:v>
      </x:c>
      <x:c r="M4279" t="n">
        <x:v>30</x:v>
      </x:c>
      <x:c r="N4279" s="24" t="n">
        <x:v>0.02</x:v>
      </x:c>
      <x:c r="O4279" s="22" t="n">
        <x:f>L4279*M4279</x:f>
        <x:v>18300</x:v>
      </x:c>
      <x:c r="P4279" s="22" t="n">
        <x:f>O4279*(1-N4279)</x:f>
        <x:v>17934</x:v>
      </x:c>
      <x:c r="Q4279" s="22" t="n">
        <x:v>540</x:v>
      </x:c>
      <x:c r="R4279" s="22" t="n">
        <x:f>Q4279*M4279</x:f>
        <x:v>16200</x:v>
      </x:c>
      <x:c r="S4279" s="22" t="n">
        <x:f>P4279-R4279</x:f>
        <x:v>1734</x:v>
      </x:c>
      <x:c r="T4279" t="str">
        <x:v>UPI</x:v>
      </x:c>
      <x:c r="U4279" t="str">
        <x:v>Paid</x:v>
      </x:c>
      <x:c r="V4279" t="str">
        <x:v>Delivered</x:v>
      </x:c>
      <x:c r="W4279" t="n">
        <x:v>0</x:v>
      </x:c>
      <x:c r="X4279" t="str"/>
      <x:c r="Y4279" t="str">
        <x:v>Referral</x:v>
      </x:c>
    </x:row>
    <x:row r="4280">
      <x:c r="A4280" t="str">
        <x:v>O004279</x:v>
      </x:c>
      <x:c r="B4280" s="20" t="n">
        <x:v>45683</x:v>
      </x:c>
      <x:c r="C4280" t="str">
        <x:v>C0116</x:v>
      </x:c>
      <x:c r="D4280" t="str">
        <x:v>Classic Foods 116</x:v>
      </x:c>
      <x:c r="E4280" t="str">
        <x:v>Supermarket</x:v>
      </x:c>
      <x:c r="F4280" t="str">
        <x:v>Davanagere</x:v>
      </x:c>
      <x:c r="G4280" t="str">
        <x:v>Megha</x:v>
      </x:c>
      <x:c r="H4280" t="str">
        <x:v>P048</x:v>
      </x:c>
      <x:c r="I4280" t="str">
        <x:v>Banana 10kg</x:v>
      </x:c>
      <x:c r="J4280" t="str">
        <x:v>Fresh Produce</x:v>
      </x:c>
      <x:c r="K4280" t="str">
        <x:v>Local Market</x:v>
      </x:c>
      <x:c r="L4280" s="22" t="n">
        <x:v>420</x:v>
      </x:c>
      <x:c r="M4280" t="n">
        <x:v>14</x:v>
      </x:c>
      <x:c r="N4280" s="24" t="n">
        <x:v>0.05</x:v>
      </x:c>
      <x:c r="O4280" s="22" t="n">
        <x:f>L4280*M4280</x:f>
        <x:v>5880</x:v>
      </x:c>
      <x:c r="P4280" s="22" t="n">
        <x:f>O4280*(1-N4280)</x:f>
        <x:v>5586</x:v>
      </x:c>
      <x:c r="Q4280" s="22" t="n">
        <x:v>350</x:v>
      </x:c>
      <x:c r="R4280" s="22" t="n">
        <x:f>Q4280*M4280</x:f>
        <x:v>4900</x:v>
      </x:c>
      <x:c r="S4280" s="22" t="n">
        <x:f>P4280-R4280</x:f>
        <x:v>686</x:v>
      </x:c>
      <x:c r="T4280" t="str">
        <x:v>UPI</x:v>
      </x:c>
      <x:c r="U4280" t="str">
        <x:v>Pending</x:v>
      </x:c>
      <x:c r="V4280" t="str">
        <x:v>Delivered</x:v>
      </x:c>
      <x:c r="W4280" t="n">
        <x:v>0</x:v>
      </x:c>
      <x:c r="X4280" t="str"/>
      <x:c r="Y4280" t="str">
        <x:v>WhatsApp</x:v>
      </x:c>
    </x:row>
    <x:row r="4281">
      <x:c r="A4281" t="str">
        <x:v>O004280</x:v>
      </x:c>
      <x:c r="B4281" s="20" t="n">
        <x:v>46046</x:v>
      </x:c>
      <x:c r="C4281" t="str">
        <x:v>C0087</x:v>
      </x:c>
      <x:c r="D4281" t="str">
        <x:v>Namma Kitchen 87</x:v>
      </x:c>
      <x:c r="E4281" t="str">
        <x:v>Kirana</x:v>
      </x:c>
      <x:c r="F4281" t="str">
        <x:v>Bengaluru</x:v>
      </x:c>
      <x:c r="G4281" t="str">
        <x:v>Priya</x:v>
      </x:c>
      <x:c r="H4281" t="str">
        <x:v>P049</x:v>
      </x:c>
      <x:c r="I4281" t="str">
        <x:v>Apple 10kg</x:v>
      </x:c>
      <x:c r="J4281" t="str">
        <x:v>Fresh Produce</x:v>
      </x:c>
      <x:c r="K4281" t="str">
        <x:v>Local Market</x:v>
      </x:c>
      <x:c r="L4281" s="22" t="n">
        <x:v>1450</x:v>
      </x:c>
      <x:c r="M4281" t="n">
        <x:v>9</x:v>
      </x:c>
      <x:c r="N4281" s="24" t="n">
        <x:v>0.05</x:v>
      </x:c>
      <x:c r="O4281" s="22" t="n">
        <x:f>L4281*M4281</x:f>
        <x:v>13050</x:v>
      </x:c>
      <x:c r="P4281" s="22" t="n">
        <x:f>O4281*(1-N4281)</x:f>
        <x:v>12397.5</x:v>
      </x:c>
      <x:c r="Q4281" s="22" t="n">
        <x:v>1280</x:v>
      </x:c>
      <x:c r="R4281" s="22" t="n">
        <x:f>Q4281*M4281</x:f>
        <x:v>11520</x:v>
      </x:c>
      <x:c r="S4281" s="22" t="n">
        <x:f>P4281-R4281</x:f>
        <x:v>877.5</x:v>
      </x:c>
      <x:c r="T4281" t="str">
        <x:v>Credit</x:v>
      </x:c>
      <x:c r="U4281" t="str">
        <x:v>Paid</x:v>
      </x:c>
      <x:c r="V4281" t="str">
        <x:v>Delivered</x:v>
      </x:c>
      <x:c r="W4281" t="n">
        <x:v>0</x:v>
      </x:c>
      <x:c r="X4281" t="str"/>
      <x:c r="Y4281" t="str">
        <x:v>WhatsApp</x:v>
      </x:c>
    </x:row>
    <x:row r="4282">
      <x:c r="A4282" t="str">
        <x:v>O004281</x:v>
      </x:c>
      <x:c r="B4282" s="20" t="n">
        <x:v>46141</x:v>
      </x:c>
      <x:c r="C4282" t="str">
        <x:v>C0151</x:v>
      </x:c>
      <x:c r="D4282" t="str">
        <x:v>Foodie Stores 151</x:v>
      </x:c>
      <x:c r="E4282" t="str">
        <x:v>Supermarket</x:v>
      </x:c>
      <x:c r="F4282" t="str">
        <x:v>Mysuru</x:v>
      </x:c>
      <x:c r="G4282" t="str">
        <x:v>Arjun</x:v>
      </x:c>
      <x:c r="H4282" t="str">
        <x:v>P035</x:v>
      </x:c>
      <x:c r="I4282" t="str">
        <x:v>Coriander Powder 1kg</x:v>
      </x:c>
      <x:c r="J4282" t="str">
        <x:v>Spices</x:v>
      </x:c>
      <x:c r="K4282" t="str">
        <x:v>Everest</x:v>
      </x:c>
      <x:c r="L4282" s="22" t="n">
        <x:v>280</x:v>
      </x:c>
      <x:c r="M4282" t="n">
        <x:v>1</x:v>
      </x:c>
      <x:c r="N4282" s="24" t="n">
        <x:v>0.03</x:v>
      </x:c>
      <x:c r="O4282" s="22" t="n">
        <x:f>L4282*M4282</x:f>
        <x:v>280</x:v>
      </x:c>
      <x:c r="P4282" s="22" t="n">
        <x:f>O4282*(1-N4282)</x:f>
        <x:v>271.59999999999997</x:v>
      </x:c>
      <x:c r="Q4282" s="22" t="n">
        <x:v>245</x:v>
      </x:c>
      <x:c r="R4282" s="22" t="n">
        <x:f>Q4282*M4282</x:f>
        <x:v>245</x:v>
      </x:c>
      <x:c r="S4282" s="22" t="n">
        <x:f>P4282-R4282</x:f>
        <x:v>26.599999999999966</x:v>
      </x:c>
      <x:c r="T4282" t="str">
        <x:v>Cash</x:v>
      </x:c>
      <x:c r="U4282" t="str">
        <x:v>Paid</x:v>
      </x:c>
      <x:c r="V4282" t="str">
        <x:v>Delivered</x:v>
      </x:c>
      <x:c r="W4282" t="n">
        <x:v>0</x:v>
      </x:c>
      <x:c r="X4282" t="str"/>
      <x:c r="Y4282" t="str">
        <x:v>Existing Customer</x:v>
      </x:c>
    </x:row>
    <x:row r="4283">
      <x:c r="A4283" t="str">
        <x:v>O004282</x:v>
      </x:c>
      <x:c r="B4283" s="20" t="n">
        <x:v>45811</x:v>
      </x:c>
      <x:c r="C4283" t="str">
        <x:v>C0020</x:v>
      </x:c>
      <x:c r="D4283" t="str">
        <x:v>Shree Foods 20</x:v>
      </x:c>
      <x:c r="E4283" t="str">
        <x:v>Restaurant</x:v>
      </x:c>
      <x:c r="F4283" t="str">
        <x:v>Mysuru</x:v>
      </x:c>
      <x:c r="G4283" t="str">
        <x:v>Arjun</x:v>
      </x:c>
      <x:c r="H4283" t="str">
        <x:v>P012</x:v>
      </x:c>
      <x:c r="I4283" t="str">
        <x:v>Maida 10kg</x:v>
      </x:c>
      <x:c r="J4283" t="str">
        <x:v>Flour</x:v>
      </x:c>
      <x:c r="K4283" t="str">
        <x:v>Aashirvaad</x:v>
      </x:c>
      <x:c r="L4283" s="22" t="n">
        <x:v>520</x:v>
      </x:c>
      <x:c r="M4283" t="n">
        <x:v>15</x:v>
      </x:c>
      <x:c r="N4283" s="24" t="n">
        <x:v>0.1</x:v>
      </x:c>
      <x:c r="O4283" s="22" t="n">
        <x:f>L4283*M4283</x:f>
        <x:v>7800</x:v>
      </x:c>
      <x:c r="P4283" s="22" t="n">
        <x:f>O4283*(1-N4283)</x:f>
        <x:v>7020</x:v>
      </x:c>
      <x:c r="Q4283" s="22" t="n">
        <x:v>460</x:v>
      </x:c>
      <x:c r="R4283" s="22" t="n">
        <x:f>Q4283*M4283</x:f>
        <x:v>6900</x:v>
      </x:c>
      <x:c r="S4283" s="22" t="n">
        <x:f>P4283-R4283</x:f>
        <x:v>120</x:v>
      </x:c>
      <x:c r="T4283" t="str">
        <x:v>Credit</x:v>
      </x:c>
      <x:c r="U4283" t="str">
        <x:v>Pending</x:v>
      </x:c>
      <x:c r="V4283" t="str">
        <x:v>Delivered</x:v>
      </x:c>
      <x:c r="W4283" t="n">
        <x:v>0</x:v>
      </x:c>
      <x:c r="X4283" t="str"/>
      <x:c r="Y4283" t="str">
        <x:v>Field Visit</x:v>
      </x:c>
    </x:row>
    <x:row r="4284">
      <x:c r="A4284" t="str">
        <x:v>O004283</x:v>
      </x:c>
      <x:c r="B4284" s="20" t="n">
        <x:v>46156</x:v>
      </x:c>
      <x:c r="C4284" t="str">
        <x:v>C0195</x:v>
      </x:c>
      <x:c r="D4284" t="str">
        <x:v>Classic Stores 195</x:v>
      </x:c>
      <x:c r="E4284" t="str">
        <x:v>Canteen</x:v>
      </x:c>
      <x:c r="F4284" t="str">
        <x:v>Davanagere</x:v>
      </x:c>
      <x:c r="G4284" t="str">
        <x:v>Kavya</x:v>
      </x:c>
      <x:c r="H4284" t="str">
        <x:v>P042</x:v>
      </x:c>
      <x:c r="I4284" t="str">
        <x:v>Eggs 30pc Tray</x:v>
      </x:c>
      <x:c r="J4284" t="str">
        <x:v>Protein</x:v>
      </x:c>
      <x:c r="K4284" t="str">
        <x:v>Farm Fresh</x:v>
      </x:c>
      <x:c r="L4284" s="22" t="n">
        <x:v>195</x:v>
      </x:c>
      <x:c r="M4284" t="n">
        <x:v>25</x:v>
      </x:c>
      <x:c r="N4284" s="24" t="n">
        <x:v>0.02</x:v>
      </x:c>
      <x:c r="O4284" s="22" t="n">
        <x:f>L4284*M4284</x:f>
        <x:v>4875</x:v>
      </x:c>
      <x:c r="P4284" s="22" t="n">
        <x:f>O4284*(1-N4284)</x:f>
        <x:v>4777.5</x:v>
      </x:c>
      <x:c r="Q4284" s="22" t="n">
        <x:v>170</x:v>
      </x:c>
      <x:c r="R4284" s="22" t="n">
        <x:f>Q4284*M4284</x:f>
        <x:v>4250</x:v>
      </x:c>
      <x:c r="S4284" s="22" t="n">
        <x:f>P4284-R4284</x:f>
        <x:v>527.5</x:v>
      </x:c>
      <x:c r="T4284" t="str">
        <x:v>Cash</x:v>
      </x:c>
      <x:c r="U4284" t="str">
        <x:v>Paid</x:v>
      </x:c>
      <x:c r="V4284" t="str">
        <x:v>Delivered</x:v>
      </x:c>
      <x:c r="W4284" t="n">
        <x:v>0</x:v>
      </x:c>
      <x:c r="X4284" t="str"/>
      <x:c r="Y4284" t="str">
        <x:v>WhatsApp</x:v>
      </x:c>
    </x:row>
    <x:row r="4285">
      <x:c r="A4285" t="str">
        <x:v>O004284</x:v>
      </x:c>
      <x:c r="B4285" s="20" t="n">
        <x:v>45670</x:v>
      </x:c>
      <x:c r="C4285" t="str">
        <x:v>C0044</x:v>
      </x:c>
      <x:c r="D4285" t="str">
        <x:v>Annapurna Mart 44</x:v>
      </x:c>
      <x:c r="E4285" t="str">
        <x:v>Kirana</x:v>
      </x:c>
      <x:c r="F4285" t="str">
        <x:v>Davanagere</x:v>
      </x:c>
      <x:c r="G4285" t="str">
        <x:v>Priya</x:v>
      </x:c>
      <x:c r="H4285" t="str">
        <x:v>P010</x:v>
      </x:c>
      <x:c r="I4285" t="str">
        <x:v>Sugar 25kg</x:v>
      </x:c>
      <x:c r="J4285" t="str">
        <x:v>Staples</x:v>
      </x:c>
      <x:c r="K4285" t="str">
        <x:v>Madhur</x:v>
      </x:c>
      <x:c r="L4285" s="22" t="n">
        <x:v>1190</x:v>
      </x:c>
      <x:c r="M4285" t="n">
        <x:v>11</x:v>
      </x:c>
      <x:c r="N4285" s="24" t="n">
        <x:v>0</x:v>
      </x:c>
      <x:c r="O4285" s="22" t="n">
        <x:f>L4285*M4285</x:f>
        <x:v>13090</x:v>
      </x:c>
      <x:c r="P4285" s="22" t="n">
        <x:f>O4285*(1-N4285)</x:f>
        <x:v>13090</x:v>
      </x:c>
      <x:c r="Q4285" s="22" t="n">
        <x:v>1080</x:v>
      </x:c>
      <x:c r="R4285" s="22" t="n">
        <x:f>Q4285*M4285</x:f>
        <x:v>11880</x:v>
      </x:c>
      <x:c r="S4285" s="22" t="n">
        <x:f>P4285-R4285</x:f>
        <x:v>1210</x:v>
      </x:c>
      <x:c r="T4285" t="str">
        <x:v>Cash</x:v>
      </x:c>
      <x:c r="U4285" t="str">
        <x:v>Pending</x:v>
      </x:c>
      <x:c r="V4285" t="str">
        <x:v>Delivered</x:v>
      </x:c>
      <x:c r="W4285" t="n">
        <x:v>0</x:v>
      </x:c>
      <x:c r="X4285" t="str"/>
      <x:c r="Y4285" t="str">
        <x:v>Referral</x:v>
      </x:c>
    </x:row>
    <x:row r="4286">
      <x:c r="A4286" t="str">
        <x:v>O004285</x:v>
      </x:c>
      <x:c r="B4286" s="20" t="n">
        <x:v>46053</x:v>
      </x:c>
      <x:c r="C4286" t="str">
        <x:v>C0176</x:v>
      </x:c>
      <x:c r="D4286" t="str">
        <x:v>Cafe Kitchen 176</x:v>
      </x:c>
      <x:c r="E4286" t="str">
        <x:v>Kirana</x:v>
      </x:c>
      <x:c r="F4286" t="str">
        <x:v>Mysuru</x:v>
      </x:c>
      <x:c r="G4286" t="str">
        <x:v>Priya</x:v>
      </x:c>
      <x:c r="H4286" t="str">
        <x:v>P047</x:v>
      </x:c>
      <x:c r="I4286" t="str">
        <x:v>Tomato 25kg</x:v>
      </x:c>
      <x:c r="J4286" t="str">
        <x:v>Fresh Produce</x:v>
      </x:c>
      <x:c r="K4286" t="str">
        <x:v>Local Market</x:v>
      </x:c>
      <x:c r="L4286" s="22" t="n">
        <x:v>950</x:v>
      </x:c>
      <x:c r="M4286" t="n">
        <x:v>8</x:v>
      </x:c>
      <x:c r="N4286" s="24" t="n">
        <x:v>0</x:v>
      </x:c>
      <x:c r="O4286" s="22" t="n">
        <x:f>L4286*M4286</x:f>
        <x:v>7600</x:v>
      </x:c>
      <x:c r="P4286" s="22" t="n">
        <x:f>O4286*(1-N4286)</x:f>
        <x:v>7600</x:v>
      </x:c>
      <x:c r="Q4286" s="22" t="n">
        <x:v>810</x:v>
      </x:c>
      <x:c r="R4286" s="22" t="n">
        <x:f>Q4286*M4286</x:f>
        <x:v>6480</x:v>
      </x:c>
      <x:c r="S4286" s="22" t="n">
        <x:f>P4286-R4286</x:f>
        <x:v>1120</x:v>
      </x:c>
      <x:c r="T4286" t="str">
        <x:v>UPI</x:v>
      </x:c>
      <x:c r="U4286" t="str">
        <x:v>Paid</x:v>
      </x:c>
      <x:c r="V4286" t="str">
        <x:v>Delayed</x:v>
      </x:c>
      <x:c r="W4286" t="n">
        <x:v>0</x:v>
      </x:c>
      <x:c r="X4286" t="str"/>
      <x:c r="Y4286" t="str">
        <x:v>WhatsApp</x:v>
      </x:c>
    </x:row>
    <x:row r="4287">
      <x:c r="A4287" t="str">
        <x:v>O004286</x:v>
      </x:c>
      <x:c r="B4287" s="20" t="n">
        <x:v>46241</x:v>
      </x:c>
      <x:c r="C4287" t="str">
        <x:v>C0187</x:v>
      </x:c>
      <x:c r="D4287" t="str">
        <x:v>City Cafe 187</x:v>
      </x:c>
      <x:c r="E4287" t="str">
        <x:v>Hotel</x:v>
      </x:c>
      <x:c r="F4287" t="str">
        <x:v>Mysuru</x:v>
      </x:c>
      <x:c r="G4287" t="str">
        <x:v>Priya</x:v>
      </x:c>
      <x:c r="H4287" t="str">
        <x:v>P028</x:v>
      </x:c>
      <x:c r="I4287" t="str">
        <x:v>Cookies 200g</x:v>
      </x:c>
      <x:c r="J4287" t="str">
        <x:v>Snacks</x:v>
      </x:c>
      <x:c r="K4287" t="str">
        <x:v>Britannia</x:v>
      </x:c>
      <x:c r="L4287" s="22" t="n">
        <x:v>55</x:v>
      </x:c>
      <x:c r="M4287" t="n">
        <x:v>38</x:v>
      </x:c>
      <x:c r="N4287" s="24" t="n">
        <x:v>0.05</x:v>
      </x:c>
      <x:c r="O4287" s="22" t="n">
        <x:f>L4287*M4287</x:f>
        <x:v>2090</x:v>
      </x:c>
      <x:c r="P4287" s="22" t="n">
        <x:f>O4287*(1-N4287)</x:f>
        <x:v>1985.5</x:v>
      </x:c>
      <x:c r="Q4287" s="22" t="n">
        <x:v>42</x:v>
      </x:c>
      <x:c r="R4287" s="22" t="n">
        <x:f>Q4287*M4287</x:f>
        <x:v>1596</x:v>
      </x:c>
      <x:c r="S4287" s="22" t="n">
        <x:f>P4287-R4287</x:f>
        <x:v>389.5</x:v>
      </x:c>
      <x:c r="T4287" t="str">
        <x:v>Bank Transfer</x:v>
      </x:c>
      <x:c r="U4287" t="str">
        <x:v>Paid</x:v>
      </x:c>
      <x:c r="V4287" t="str">
        <x:v>Delivered</x:v>
      </x:c>
      <x:c r="W4287" t="n">
        <x:v>0</x:v>
      </x:c>
      <x:c r="X4287" t="str"/>
      <x:c r="Y4287" t="str">
        <x:v>Outbound Call</x:v>
      </x:c>
    </x:row>
    <x:row r="4288">
      <x:c r="A4288" t="str">
        <x:v>O004287</x:v>
      </x:c>
      <x:c r="B4288" s="20" t="n">
        <x:v>45862</x:v>
      </x:c>
      <x:c r="C4288" t="str">
        <x:v>C0169</x:v>
      </x:c>
      <x:c r="D4288" t="str">
        <x:v>Grand Mart 169</x:v>
      </x:c>
      <x:c r="E4288" t="str">
        <x:v>Canteen</x:v>
      </x:c>
      <x:c r="F4288" t="str">
        <x:v>Mangaluru</x:v>
      </x:c>
      <x:c r="G4288" t="str">
        <x:v>Vikram</x:v>
      </x:c>
      <x:c r="H4288" t="str">
        <x:v>P034</x:v>
      </x:c>
      <x:c r="I4288" t="str">
        <x:v>Chilli Powder 1kg</x:v>
      </x:c>
      <x:c r="J4288" t="str">
        <x:v>Spices</x:v>
      </x:c>
      <x:c r="K4288" t="str">
        <x:v>MDH</x:v>
      </x:c>
      <x:c r="L4288" s="22" t="n">
        <x:v>340</x:v>
      </x:c>
      <x:c r="M4288" t="n">
        <x:v>34</x:v>
      </x:c>
      <x:c r="N4288" s="24" t="n">
        <x:v>0.05</x:v>
      </x:c>
      <x:c r="O4288" s="22" t="n">
        <x:f>L4288*M4288</x:f>
        <x:v>11560</x:v>
      </x:c>
      <x:c r="P4288" s="22" t="n">
        <x:f>O4288*(1-N4288)</x:f>
        <x:v>10982</x:v>
      </x:c>
      <x:c r="Q4288" s="22" t="n">
        <x:v>295</x:v>
      </x:c>
      <x:c r="R4288" s="22" t="n">
        <x:f>Q4288*M4288</x:f>
        <x:v>10030</x:v>
      </x:c>
      <x:c r="S4288" s="22" t="n">
        <x:f>P4288-R4288</x:f>
        <x:v>952</x:v>
      </x:c>
      <x:c r="T4288" t="str">
        <x:v>Bank Transfer</x:v>
      </x:c>
      <x:c r="U4288" t="str">
        <x:v>Paid</x:v>
      </x:c>
      <x:c r="V4288" t="str">
        <x:v>Delivered</x:v>
      </x:c>
      <x:c r="W4288" t="n">
        <x:v>0</x:v>
      </x:c>
      <x:c r="X4288" t="str"/>
      <x:c r="Y4288" t="str">
        <x:v>Existing Customer</x:v>
      </x:c>
    </x:row>
    <x:row r="4289">
      <x:c r="A4289" t="str">
        <x:v>O004288</x:v>
      </x:c>
      <x:c r="B4289" s="20" t="n">
        <x:v>45971</x:v>
      </x:c>
      <x:c r="C4289" t="str">
        <x:v>C0097</x:v>
      </x:c>
      <x:c r="D4289" t="str">
        <x:v>Classic Stores 97</x:v>
      </x:c>
      <x:c r="E4289" t="str">
        <x:v>Restaurant</x:v>
      </x:c>
      <x:c r="F4289" t="str">
        <x:v>Davanagere</x:v>
      </x:c>
      <x:c r="G4289" t="str">
        <x:v>Priya</x:v>
      </x:c>
      <x:c r="H4289" t="str">
        <x:v>P001</x:v>
      </x:c>
      <x:c r="I4289" t="str">
        <x:v>Steam Rice 25kg</x:v>
      </x:c>
      <x:c r="J4289" t="str">
        <x:v>Staples</x:v>
      </x:c>
      <x:c r="K4289" t="str">
        <x:v>Aishwarya</x:v>
      </x:c>
      <x:c r="L4289" s="22" t="n">
        <x:v>1180</x:v>
      </x:c>
      <x:c r="M4289" t="n">
        <x:v>8</x:v>
      </x:c>
      <x:c r="N4289" s="24" t="n">
        <x:v>0.03</x:v>
      </x:c>
      <x:c r="O4289" s="22" t="n">
        <x:f>L4289*M4289</x:f>
        <x:v>9440</x:v>
      </x:c>
      <x:c r="P4289" s="22" t="n">
        <x:f>O4289*(1-N4289)</x:f>
        <x:v>9156.8</x:v>
      </x:c>
      <x:c r="Q4289" s="22" t="n">
        <x:v>1040</x:v>
      </x:c>
      <x:c r="R4289" s="22" t="n">
        <x:f>Q4289*M4289</x:f>
        <x:v>8320</x:v>
      </x:c>
      <x:c r="S4289" s="22" t="n">
        <x:f>P4289-R4289</x:f>
        <x:v>836.7999999999993</x:v>
      </x:c>
      <x:c r="T4289" t="str">
        <x:v>Credit</x:v>
      </x:c>
      <x:c r="U4289" t="str">
        <x:v>Pending</x:v>
      </x:c>
      <x:c r="V4289" t="str">
        <x:v>Delivered</x:v>
      </x:c>
      <x:c r="W4289" t="n">
        <x:v>0</x:v>
      </x:c>
      <x:c r="X4289" t="str"/>
      <x:c r="Y4289" t="str">
        <x:v>Referral</x:v>
      </x:c>
    </x:row>
    <x:row r="4290">
      <x:c r="A4290" t="str">
        <x:v>O004289</x:v>
      </x:c>
      <x:c r="B4290" s="20" t="n">
        <x:v>45670</x:v>
      </x:c>
      <x:c r="C4290" t="str">
        <x:v>C0049</x:v>
      </x:c>
      <x:c r="D4290" t="str">
        <x:v>Namma Stores 49</x:v>
      </x:c>
      <x:c r="E4290" t="str">
        <x:v>Hotel</x:v>
      </x:c>
      <x:c r="F4290" t="str">
        <x:v>Mangaluru</x:v>
      </x:c>
      <x:c r="G4290" t="str">
        <x:v>Sneha</x:v>
      </x:c>
      <x:c r="H4290" t="str">
        <x:v>P041</x:v>
      </x:c>
      <x:c r="I4290" t="str">
        <x:v>Burger Bun 6pc</x:v>
      </x:c>
      <x:c r="J4290" t="str">
        <x:v>Bakery</x:v>
      </x:c>
      <x:c r="K4290" t="str">
        <x:v>Modern</x:v>
      </x:c>
      <x:c r="L4290" s="22" t="n">
        <x:v>42</x:v>
      </x:c>
      <x:c r="M4290" t="n">
        <x:v>24</x:v>
      </x:c>
      <x:c r="N4290" s="24" t="n">
        <x:v>0.02</x:v>
      </x:c>
      <x:c r="O4290" s="22" t="n">
        <x:f>L4290*M4290</x:f>
        <x:v>1008</x:v>
      </x:c>
      <x:c r="P4290" s="22" t="n">
        <x:f>O4290*(1-N4290)</x:f>
        <x:v>987.84</x:v>
      </x:c>
      <x:c r="Q4290" s="22" t="n">
        <x:v>32</x:v>
      </x:c>
      <x:c r="R4290" s="22" t="n">
        <x:f>Q4290*M4290</x:f>
        <x:v>768</x:v>
      </x:c>
      <x:c r="S4290" s="22" t="n">
        <x:f>P4290-R4290</x:f>
        <x:v>219.84000000000003</x:v>
      </x:c>
      <x:c r="T4290" t="str">
        <x:v>Cash</x:v>
      </x:c>
      <x:c r="U4290" t="str">
        <x:v>Paid</x:v>
      </x:c>
      <x:c r="V4290" t="str">
        <x:v>Cancelled</x:v>
      </x:c>
      <x:c r="W4290" t="n">
        <x:v>24</x:v>
      </x:c>
      <x:c r="X4290" t="str">
        <x:v>Cancelled Order</x:v>
      </x:c>
      <x:c r="Y4290" t="str">
        <x:v>WhatsApp</x:v>
      </x:c>
    </x:row>
    <x:row r="4291">
      <x:c r="A4291" t="str">
        <x:v>O004290</x:v>
      </x:c>
      <x:c r="B4291" s="20" t="n">
        <x:v>45693</x:v>
      </x:c>
      <x:c r="C4291" t="str">
        <x:v>C0081</x:v>
      </x:c>
      <x:c r="D4291" t="str">
        <x:v>Foodie Mart 81</x:v>
      </x:c>
      <x:c r="E4291" t="str">
        <x:v>Supermarket</x:v>
      </x:c>
      <x:c r="F4291" t="str">
        <x:v>Hubballi</x:v>
      </x:c>
      <x:c r="G4291" t="str">
        <x:v>Kavya</x:v>
      </x:c>
      <x:c r="H4291" t="str">
        <x:v>P041</x:v>
      </x:c>
      <x:c r="I4291" t="str">
        <x:v>Burger Bun 6pc</x:v>
      </x:c>
      <x:c r="J4291" t="str">
        <x:v>Bakery</x:v>
      </x:c>
      <x:c r="K4291" t="str">
        <x:v>Modern</x:v>
      </x:c>
      <x:c r="L4291" s="22" t="n">
        <x:v>42</x:v>
      </x:c>
      <x:c r="M4291" t="n">
        <x:v>38</x:v>
      </x:c>
      <x:c r="N4291" s="24" t="n">
        <x:v>0.02</x:v>
      </x:c>
      <x:c r="O4291" s="22" t="n">
        <x:f>L4291*M4291</x:f>
        <x:v>1596</x:v>
      </x:c>
      <x:c r="P4291" s="22" t="n">
        <x:f>O4291*(1-N4291)</x:f>
        <x:v>1564.08</x:v>
      </x:c>
      <x:c r="Q4291" s="22" t="n">
        <x:v>32</x:v>
      </x:c>
      <x:c r="R4291" s="22" t="n">
        <x:f>Q4291*M4291</x:f>
        <x:v>1216</x:v>
      </x:c>
      <x:c r="S4291" s="22" t="n">
        <x:f>P4291-R4291</x:f>
        <x:v>348.0799999999999</x:v>
      </x:c>
      <x:c r="T4291" t="str">
        <x:v>Cash</x:v>
      </x:c>
      <x:c r="U4291" t="str">
        <x:v>Paid</x:v>
      </x:c>
      <x:c r="V4291" t="str">
        <x:v>Delivered</x:v>
      </x:c>
      <x:c r="W4291" t="n">
        <x:v>0</x:v>
      </x:c>
      <x:c r="X4291" t="str"/>
      <x:c r="Y4291" t="str">
        <x:v>Existing Customer</x:v>
      </x:c>
    </x:row>
    <x:row r="4292">
      <x:c r="A4292" t="str">
        <x:v>O004291</x:v>
      </x:c>
      <x:c r="B4292" s="20" t="n">
        <x:v>45659</x:v>
      </x:c>
      <x:c r="C4292" t="str">
        <x:v>C0158</x:v>
      </x:c>
      <x:c r="D4292" t="str">
        <x:v>Cafe Stores 158</x:v>
      </x:c>
      <x:c r="E4292" t="str">
        <x:v>Cafe</x:v>
      </x:c>
      <x:c r="F4292" t="str">
        <x:v>Mysuru</x:v>
      </x:c>
      <x:c r="G4292" t="str">
        <x:v>Priya</x:v>
      </x:c>
      <x:c r="H4292" t="str">
        <x:v>P038</x:v>
      </x:c>
      <x:c r="I4292" t="str">
        <x:v>French Fries 2.5kg</x:v>
      </x:c>
      <x:c r="J4292" t="str">
        <x:v>Frozen</x:v>
      </x:c>
      <x:c r="K4292" t="str">
        <x:v>McCain</x:v>
      </x:c>
      <x:c r="L4292" s="22" t="n">
        <x:v>360</x:v>
      </x:c>
      <x:c r="M4292" t="n">
        <x:v>36</x:v>
      </x:c>
      <x:c r="N4292" s="24" t="n">
        <x:v>0.08</x:v>
      </x:c>
      <x:c r="O4292" s="22" t="n">
        <x:f>L4292*M4292</x:f>
        <x:v>12960</x:v>
      </x:c>
      <x:c r="P4292" s="22" t="n">
        <x:f>O4292*(1-N4292)</x:f>
        <x:v>11923.2</x:v>
      </x:c>
      <x:c r="Q4292" s="22" t="n">
        <x:v>315</x:v>
      </x:c>
      <x:c r="R4292" s="22" t="n">
        <x:f>Q4292*M4292</x:f>
        <x:v>11340</x:v>
      </x:c>
      <x:c r="S4292" s="22" t="n">
        <x:f>P4292-R4292</x:f>
        <x:v>583.2000000000007</x:v>
      </x:c>
      <x:c r="T4292" t="str">
        <x:v>Credit</x:v>
      </x:c>
      <x:c r="U4292" t="str">
        <x:v>Pending</x:v>
      </x:c>
      <x:c r="V4292" t="str">
        <x:v>Delayed</x:v>
      </x:c>
      <x:c r="W4292" t="n">
        <x:v>0</x:v>
      </x:c>
      <x:c r="X4292" t="str"/>
      <x:c r="Y4292" t="str">
        <x:v>Outbound Call</x:v>
      </x:c>
    </x:row>
    <x:row r="4293">
      <x:c r="A4293" t="str">
        <x:v>O004292</x:v>
      </x:c>
      <x:c r="B4293" s="20" t="n">
        <x:v>46129</x:v>
      </x:c>
      <x:c r="C4293" t="str">
        <x:v>C0230</x:v>
      </x:c>
      <x:c r="D4293" t="str">
        <x:v>Darshini Foods 230</x:v>
      </x:c>
      <x:c r="E4293" t="str">
        <x:v>Restaurant</x:v>
      </x:c>
      <x:c r="F4293" t="str">
        <x:v>Davanagere</x:v>
      </x:c>
      <x:c r="G4293" t="str">
        <x:v>Priya</x:v>
      </x:c>
      <x:c r="H4293" t="str">
        <x:v>P001</x:v>
      </x:c>
      <x:c r="I4293" t="str">
        <x:v>Steam Rice 25kg</x:v>
      </x:c>
      <x:c r="J4293" t="str">
        <x:v>Staples</x:v>
      </x:c>
      <x:c r="K4293" t="str">
        <x:v>Aishwarya</x:v>
      </x:c>
      <x:c r="L4293" s="22" t="n">
        <x:v>1180</x:v>
      </x:c>
      <x:c r="M4293" t="n">
        <x:v>5</x:v>
      </x:c>
      <x:c r="N4293" s="24" t="n">
        <x:v>0.03</x:v>
      </x:c>
      <x:c r="O4293" s="22" t="n">
        <x:f>L4293*M4293</x:f>
        <x:v>5900</x:v>
      </x:c>
      <x:c r="P4293" s="22" t="n">
        <x:f>O4293*(1-N4293)</x:f>
        <x:v>5723</x:v>
      </x:c>
      <x:c r="Q4293" s="22" t="n">
        <x:v>1040</x:v>
      </x:c>
      <x:c r="R4293" s="22" t="n">
        <x:f>Q4293*M4293</x:f>
        <x:v>5200</x:v>
      </x:c>
      <x:c r="S4293" s="22" t="n">
        <x:f>P4293-R4293</x:f>
        <x:v>523</x:v>
      </x:c>
      <x:c r="T4293" t="str">
        <x:v>Bank Transfer</x:v>
      </x:c>
      <x:c r="U4293" t="str">
        <x:v>Pending</x:v>
      </x:c>
      <x:c r="V4293" t="str">
        <x:v>Delivered</x:v>
      </x:c>
      <x:c r="W4293" t="n">
        <x:v>0</x:v>
      </x:c>
      <x:c r="X4293" t="str"/>
      <x:c r="Y4293" t="str">
        <x:v>Outbound Call</x:v>
      </x:c>
    </x:row>
    <x:row r="4294">
      <x:c r="A4294" t="str">
        <x:v>O004293</x:v>
      </x:c>
      <x:c r="B4294" s="20" t="n">
        <x:v>46181</x:v>
      </x:c>
      <x:c r="C4294" t="str">
        <x:v>C0250</x:v>
      </x:c>
      <x:c r="D4294" t="str">
        <x:v>Namma Hotel 250</x:v>
      </x:c>
      <x:c r="E4294" t="str">
        <x:v>Cafe</x:v>
      </x:c>
      <x:c r="F4294" t="str">
        <x:v>Bengaluru</x:v>
      </x:c>
      <x:c r="G4294" t="str">
        <x:v>Sneha</x:v>
      </x:c>
      <x:c r="H4294" t="str">
        <x:v>P027</x:v>
      </x:c>
      <x:c r="I4294" t="str">
        <x:v>Biscuits 120g</x:v>
      </x:c>
      <x:c r="J4294" t="str">
        <x:v>Snacks</x:v>
      </x:c>
      <x:c r="K4294" t="str">
        <x:v>Parle-G</x:v>
      </x:c>
      <x:c r="L4294" s="22" t="n">
        <x:v>12</x:v>
      </x:c>
      <x:c r="M4294" t="n">
        <x:v>2</x:v>
      </x:c>
      <x:c r="N4294" s="24" t="n">
        <x:v>0.03</x:v>
      </x:c>
      <x:c r="O4294" s="22" t="n">
        <x:f>L4294*M4294</x:f>
        <x:v>24</x:v>
      </x:c>
      <x:c r="P4294" s="22" t="n">
        <x:f>O4294*(1-N4294)</x:f>
        <x:v>23.28</x:v>
      </x:c>
      <x:c r="Q4294" s="22" t="n">
        <x:v>9</x:v>
      </x:c>
      <x:c r="R4294" s="22" t="n">
        <x:f>Q4294*M4294</x:f>
        <x:v>18</x:v>
      </x:c>
      <x:c r="S4294" s="22" t="n">
        <x:f>P4294-R4294</x:f>
        <x:v>5.280000000000001</x:v>
      </x:c>
      <x:c r="T4294" t="str">
        <x:v>Cash</x:v>
      </x:c>
      <x:c r="U4294" t="str">
        <x:v>Overdue</x:v>
      </x:c>
      <x:c r="V4294" t="str">
        <x:v>Cancelled</x:v>
      </x:c>
      <x:c r="W4294" t="n">
        <x:v>2</x:v>
      </x:c>
      <x:c r="X4294" t="str">
        <x:v>Cancelled Order</x:v>
      </x:c>
      <x:c r="Y4294" t="str">
        <x:v>Existing Customer</x:v>
      </x:c>
    </x:row>
    <x:row r="4295">
      <x:c r="A4295" t="str">
        <x:v>O004294</x:v>
      </x:c>
      <x:c r="B4295" s="20" t="n">
        <x:v>45936</x:v>
      </x:c>
      <x:c r="C4295" t="str">
        <x:v>C0201</x:v>
      </x:c>
      <x:c r="D4295" t="str">
        <x:v>Metro Hotel 201</x:v>
      </x:c>
      <x:c r="E4295" t="str">
        <x:v>Kirana</x:v>
      </x:c>
      <x:c r="F4295" t="str">
        <x:v>Mysuru</x:v>
      </x:c>
      <x:c r="G4295" t="str">
        <x:v>Imran</x:v>
      </x:c>
      <x:c r="H4295" t="str">
        <x:v>P050</x:v>
      </x:c>
      <x:c r="I4295" t="str">
        <x:v>Lemon 5kg</x:v>
      </x:c>
      <x:c r="J4295" t="str">
        <x:v>Fresh Produce</x:v>
      </x:c>
      <x:c r="K4295" t="str">
        <x:v>Local Market</x:v>
      </x:c>
      <x:c r="L4295" s="22" t="n">
        <x:v>360</x:v>
      </x:c>
      <x:c r="M4295" t="n">
        <x:v>14</x:v>
      </x:c>
      <x:c r="N4295" s="24" t="n">
        <x:v>0.05</x:v>
      </x:c>
      <x:c r="O4295" s="22" t="n">
        <x:f>L4295*M4295</x:f>
        <x:v>5040</x:v>
      </x:c>
      <x:c r="P4295" s="22" t="n">
        <x:f>O4295*(1-N4295)</x:f>
        <x:v>4788</x:v>
      </x:c>
      <x:c r="Q4295" s="22" t="n">
        <x:v>300</x:v>
      </x:c>
      <x:c r="R4295" s="22" t="n">
        <x:f>Q4295*M4295</x:f>
        <x:v>4200</x:v>
      </x:c>
      <x:c r="S4295" s="22" t="n">
        <x:f>P4295-R4295</x:f>
        <x:v>588</x:v>
      </x:c>
      <x:c r="T4295" t="str">
        <x:v>Credit</x:v>
      </x:c>
      <x:c r="U4295" t="str">
        <x:v>Paid</x:v>
      </x:c>
      <x:c r="V4295" t="str">
        <x:v>Delivered</x:v>
      </x:c>
      <x:c r="W4295" t="n">
        <x:v>0</x:v>
      </x:c>
      <x:c r="X4295" t="str"/>
      <x:c r="Y4295" t="str">
        <x:v>Referral</x:v>
      </x:c>
    </x:row>
    <x:row r="4296">
      <x:c r="A4296" t="str">
        <x:v>O004295</x:v>
      </x:c>
      <x:c r="B4296" s="20" t="n">
        <x:v>46164</x:v>
      </x:c>
      <x:c r="C4296" t="str">
        <x:v>C0203</x:v>
      </x:c>
      <x:c r="D4296" t="str">
        <x:v>Namma Mart 203</x:v>
      </x:c>
      <x:c r="E4296" t="str">
        <x:v>Kirana</x:v>
      </x:c>
      <x:c r="F4296" t="str">
        <x:v>Tumakuru</x:v>
      </x:c>
      <x:c r="G4296" t="str">
        <x:v>Priya</x:v>
      </x:c>
      <x:c r="H4296" t="str">
        <x:v>P046</x:v>
      </x:c>
      <x:c r="I4296" t="str">
        <x:v>Potato 25kg</x:v>
      </x:c>
      <x:c r="J4296" t="str">
        <x:v>Fresh Produce</x:v>
      </x:c>
      <x:c r="K4296" t="str">
        <x:v>Local Market</x:v>
      </x:c>
      <x:c r="L4296" s="22" t="n">
        <x:v>700</x:v>
      </x:c>
      <x:c r="M4296" t="n">
        <x:v>32</x:v>
      </x:c>
      <x:c r="N4296" s="24" t="n">
        <x:v>0.08</x:v>
      </x:c>
      <x:c r="O4296" s="22" t="n">
        <x:f>L4296*M4296</x:f>
        <x:v>22400</x:v>
      </x:c>
      <x:c r="P4296" s="22" t="n">
        <x:f>O4296*(1-N4296)</x:f>
        <x:v>20608</x:v>
      </x:c>
      <x:c r="Q4296" s="22" t="n">
        <x:v>610</x:v>
      </x:c>
      <x:c r="R4296" s="22" t="n">
        <x:f>Q4296*M4296</x:f>
        <x:v>19520</x:v>
      </x:c>
      <x:c r="S4296" s="22" t="n">
        <x:f>P4296-R4296</x:f>
        <x:v>1088</x:v>
      </x:c>
      <x:c r="T4296" t="str">
        <x:v>Bank Transfer</x:v>
      </x:c>
      <x:c r="U4296" t="str">
        <x:v>Pending</x:v>
      </x:c>
      <x:c r="V4296" t="str">
        <x:v>Delivered</x:v>
      </x:c>
      <x:c r="W4296" t="n">
        <x:v>0</x:v>
      </x:c>
      <x:c r="X4296" t="str"/>
      <x:c r="Y4296" t="str">
        <x:v>Outbound Call</x:v>
      </x:c>
    </x:row>
    <x:row r="4297">
      <x:c r="A4297" t="str">
        <x:v>O004296</x:v>
      </x:c>
      <x:c r="B4297" s="20" t="n">
        <x:v>46174</x:v>
      </x:c>
      <x:c r="C4297" t="str">
        <x:v>C0020</x:v>
      </x:c>
      <x:c r="D4297" t="str">
        <x:v>Shree Foods 20</x:v>
      </x:c>
      <x:c r="E4297" t="str">
        <x:v>Restaurant</x:v>
      </x:c>
      <x:c r="F4297" t="str">
        <x:v>Mysuru</x:v>
      </x:c>
      <x:c r="G4297" t="str">
        <x:v>Arjun</x:v>
      </x:c>
      <x:c r="H4297" t="str">
        <x:v>P044</x:v>
      </x:c>
      <x:c r="I4297" t="str">
        <x:v>Chicken Curry Cut 1kg</x:v>
      </x:c>
      <x:c r="J4297" t="str">
        <x:v>Protein</x:v>
      </x:c>
      <x:c r="K4297" t="str">
        <x:v>FreshToHome</x:v>
      </x:c>
      <x:c r="L4297" s="22" t="n">
        <x:v>230</x:v>
      </x:c>
      <x:c r="M4297" t="n">
        <x:v>4</x:v>
      </x:c>
      <x:c r="N4297" s="24" t="n">
        <x:v>0.05</x:v>
      </x:c>
      <x:c r="O4297" s="22" t="n">
        <x:f>L4297*M4297</x:f>
        <x:v>920</x:v>
      </x:c>
      <x:c r="P4297" s="22" t="n">
        <x:f>O4297*(1-N4297)</x:f>
        <x:v>874</x:v>
      </x:c>
      <x:c r="Q4297" s="22" t="n">
        <x:v>205</x:v>
      </x:c>
      <x:c r="R4297" s="22" t="n">
        <x:f>Q4297*M4297</x:f>
        <x:v>820</x:v>
      </x:c>
      <x:c r="S4297" s="22" t="n">
        <x:f>P4297-R4297</x:f>
        <x:v>54</x:v>
      </x:c>
      <x:c r="T4297" t="str">
        <x:v>Bank Transfer</x:v>
      </x:c>
      <x:c r="U4297" t="str">
        <x:v>Paid</x:v>
      </x:c>
      <x:c r="V4297" t="str">
        <x:v>Delivered</x:v>
      </x:c>
      <x:c r="W4297" t="n">
        <x:v>0</x:v>
      </x:c>
      <x:c r="X4297" t="str"/>
      <x:c r="Y4297" t="str">
        <x:v>Outbound Call</x:v>
      </x:c>
    </x:row>
    <x:row r="4298">
      <x:c r="A4298" t="str">
        <x:v>O004297</x:v>
      </x:c>
      <x:c r="B4298" s="20" t="n">
        <x:v>46157</x:v>
      </x:c>
      <x:c r="C4298" t="str">
        <x:v>C0121</x:v>
      </x:c>
      <x:c r="D4298" t="str">
        <x:v>Mysore Restaurant 121</x:v>
      </x:c>
      <x:c r="E4298" t="str">
        <x:v>Cafe</x:v>
      </x:c>
      <x:c r="F4298" t="str">
        <x:v>Mysuru</x:v>
      </x:c>
      <x:c r="G4298" t="str">
        <x:v>Sneha</x:v>
      </x:c>
      <x:c r="H4298" t="str">
        <x:v>P037</x:v>
      </x:c>
      <x:c r="I4298" t="str">
        <x:v>Frozen Peas 1kg</x:v>
      </x:c>
      <x:c r="J4298" t="str">
        <x:v>Frozen</x:v>
      </x:c>
      <x:c r="K4298" t="str">
        <x:v>Safal</x:v>
      </x:c>
      <x:c r="L4298" s="22" t="n">
        <x:v>155</x:v>
      </x:c>
      <x:c r="M4298" t="n">
        <x:v>22</x:v>
      </x:c>
      <x:c r="N4298" s="24" t="n">
        <x:v>0.1</x:v>
      </x:c>
      <x:c r="O4298" s="22" t="n">
        <x:f>L4298*M4298</x:f>
        <x:v>3410</x:v>
      </x:c>
      <x:c r="P4298" s="22" t="n">
        <x:f>O4298*(1-N4298)</x:f>
        <x:v>3069</x:v>
      </x:c>
      <x:c r="Q4298" s="22" t="n">
        <x:v>138</x:v>
      </x:c>
      <x:c r="R4298" s="22" t="n">
        <x:f>Q4298*M4298</x:f>
        <x:v>3036</x:v>
      </x:c>
      <x:c r="S4298" s="22" t="n">
        <x:f>P4298-R4298</x:f>
        <x:v>33</x:v>
      </x:c>
      <x:c r="T4298" t="str">
        <x:v>Credit</x:v>
      </x:c>
      <x:c r="U4298" t="str">
        <x:v>Paid</x:v>
      </x:c>
      <x:c r="V4298" t="str">
        <x:v>Delivered</x:v>
      </x:c>
      <x:c r="W4298" t="n">
        <x:v>0</x:v>
      </x:c>
      <x:c r="X4298" t="str"/>
      <x:c r="Y4298" t="str">
        <x:v>Existing Customer</x:v>
      </x:c>
    </x:row>
    <x:row r="4299">
      <x:c r="A4299" t="str">
        <x:v>O004298</x:v>
      </x:c>
      <x:c r="B4299" s="20" t="n">
        <x:v>45725</x:v>
      </x:c>
      <x:c r="C4299" t="str">
        <x:v>C0195</x:v>
      </x:c>
      <x:c r="D4299" t="str">
        <x:v>Classic Stores 195</x:v>
      </x:c>
      <x:c r="E4299" t="str">
        <x:v>Canteen</x:v>
      </x:c>
      <x:c r="F4299" t="str">
        <x:v>Davanagere</x:v>
      </x:c>
      <x:c r="G4299" t="str">
        <x:v>Kavya</x:v>
      </x:c>
      <x:c r="H4299" t="str">
        <x:v>P003</x:v>
      </x:c>
      <x:c r="I4299" t="str">
        <x:v>Basmati Rice 5kg</x:v>
      </x:c>
      <x:c r="J4299" t="str">
        <x:v>Staples</x:v>
      </x:c>
      <x:c r="K4299" t="str">
        <x:v>India Gate</x:v>
      </x:c>
      <x:c r="L4299" s="22" t="n">
        <x:v>690</x:v>
      </x:c>
      <x:c r="M4299" t="n">
        <x:v>34</x:v>
      </x:c>
      <x:c r="N4299" s="24" t="n">
        <x:v>0.05</x:v>
      </x:c>
      <x:c r="O4299" s="22" t="n">
        <x:f>L4299*M4299</x:f>
        <x:v>23460</x:v>
      </x:c>
      <x:c r="P4299" s="22" t="n">
        <x:f>O4299*(1-N4299)</x:f>
        <x:v>22287</x:v>
      </x:c>
      <x:c r="Q4299" s="22" t="n">
        <x:v>610</x:v>
      </x:c>
      <x:c r="R4299" s="22" t="n">
        <x:f>Q4299*M4299</x:f>
        <x:v>20740</x:v>
      </x:c>
      <x:c r="S4299" s="22" t="n">
        <x:f>P4299-R4299</x:f>
        <x:v>1547</x:v>
      </x:c>
      <x:c r="T4299" t="str">
        <x:v>Credit</x:v>
      </x:c>
      <x:c r="U4299" t="str">
        <x:v>Paid</x:v>
      </x:c>
      <x:c r="V4299" t="str">
        <x:v>Delivered</x:v>
      </x:c>
      <x:c r="W4299" t="n">
        <x:v>0</x:v>
      </x:c>
      <x:c r="X4299" t="str"/>
      <x:c r="Y4299" t="str">
        <x:v>Referral</x:v>
      </x:c>
    </x:row>
    <x:row r="4300">
      <x:c r="A4300" t="str">
        <x:v>O004299</x:v>
      </x:c>
      <x:c r="B4300" s="20" t="n">
        <x:v>46023</x:v>
      </x:c>
      <x:c r="C4300" t="str">
        <x:v>C0041</x:v>
      </x:c>
      <x:c r="D4300" t="str">
        <x:v>Grand Mart 41</x:v>
      </x:c>
      <x:c r="E4300" t="str">
        <x:v>Cafe</x:v>
      </x:c>
      <x:c r="F4300" t="str">
        <x:v>Bengaluru</x:v>
      </x:c>
      <x:c r="G4300" t="str">
        <x:v>Kavya</x:v>
      </x:c>
      <x:c r="H4300" t="str">
        <x:v>P025</x:v>
      </x:c>
      <x:c r="I4300" t="str">
        <x:v>Potato Chips 100g</x:v>
      </x:c>
      <x:c r="J4300" t="str">
        <x:v>Snacks</x:v>
      </x:c>
      <x:c r="K4300" t="str">
        <x:v>Lay's</x:v>
      </x:c>
      <x:c r="L4300" s="22" t="n">
        <x:v>35</x:v>
      </x:c>
      <x:c r="M4300" t="n">
        <x:v>40</x:v>
      </x:c>
      <x:c r="N4300" s="24" t="n">
        <x:v>0.05</x:v>
      </x:c>
      <x:c r="O4300" s="22" t="n">
        <x:f>L4300*M4300</x:f>
        <x:v>1400</x:v>
      </x:c>
      <x:c r="P4300" s="22" t="n">
        <x:f>O4300*(1-N4300)</x:f>
        <x:v>1330</x:v>
      </x:c>
      <x:c r="Q4300" s="22" t="n">
        <x:v>27</x:v>
      </x:c>
      <x:c r="R4300" s="22" t="n">
        <x:f>Q4300*M4300</x:f>
        <x:v>1080</x:v>
      </x:c>
      <x:c r="S4300" s="22" t="n">
        <x:f>P4300-R4300</x:f>
        <x:v>250</x:v>
      </x:c>
      <x:c r="T4300" t="str">
        <x:v>Cash</x:v>
      </x:c>
      <x:c r="U4300" t="str">
        <x:v>Paid</x:v>
      </x:c>
      <x:c r="V4300" t="str">
        <x:v>Delivered</x:v>
      </x:c>
      <x:c r="W4300" t="n">
        <x:v>2</x:v>
      </x:c>
      <x:c r="X4300" t="str">
        <x:v>Damaged</x:v>
      </x:c>
      <x:c r="Y4300" t="str">
        <x:v>Referral</x:v>
      </x:c>
    </x:row>
    <x:row r="4301">
      <x:c r="A4301" t="str">
        <x:v>O004300</x:v>
      </x:c>
      <x:c r="B4301" s="20" t="n">
        <x:v>46116</x:v>
      </x:c>
      <x:c r="C4301" t="str">
        <x:v>C0136</x:v>
      </x:c>
      <x:c r="D4301" t="str">
        <x:v>Royal Cafe 136</x:v>
      </x:c>
      <x:c r="E4301" t="str">
        <x:v>Hotel</x:v>
      </x:c>
      <x:c r="F4301" t="str">
        <x:v>Tumakuru</x:v>
      </x:c>
      <x:c r="G4301" t="str">
        <x:v>Kavya</x:v>
      </x:c>
      <x:c r="H4301" t="str">
        <x:v>P008</x:v>
      </x:c>
      <x:c r="I4301" t="str">
        <x:v>Palm Oil 15L</x:v>
      </x:c>
      <x:c r="J4301" t="str">
        <x:v>Edible Oil</x:v>
      </x:c>
      <x:c r="K4301" t="str">
        <x:v>Ruchi Gold</x:v>
      </x:c>
      <x:c r="L4301" s="22" t="n">
        <x:v>1760</x:v>
      </x:c>
      <x:c r="M4301" t="n">
        <x:v>5</x:v>
      </x:c>
      <x:c r="N4301" s="24" t="n">
        <x:v>0</x:v>
      </x:c>
      <x:c r="O4301" s="22" t="n">
        <x:f>L4301*M4301</x:f>
        <x:v>8800</x:v>
      </x:c>
      <x:c r="P4301" s="22" t="n">
        <x:f>O4301*(1-N4301)</x:f>
        <x:v>8800</x:v>
      </x:c>
      <x:c r="Q4301" s="22" t="n">
        <x:v>1610</x:v>
      </x:c>
      <x:c r="R4301" s="22" t="n">
        <x:f>Q4301*M4301</x:f>
        <x:v>8050</x:v>
      </x:c>
      <x:c r="S4301" s="22" t="n">
        <x:f>P4301-R4301</x:f>
        <x:v>750</x:v>
      </x:c>
      <x:c r="T4301" t="str">
        <x:v>Bank Transfer</x:v>
      </x:c>
      <x:c r="U4301" t="str">
        <x:v>Pending</x:v>
      </x:c>
      <x:c r="V4301" t="str">
        <x:v>Delivered</x:v>
      </x:c>
      <x:c r="W4301" t="n">
        <x:v>0</x:v>
      </x:c>
      <x:c r="X4301" t="str"/>
      <x:c r="Y4301" t="str">
        <x:v>Existing Customer</x:v>
      </x:c>
    </x:row>
    <x:row r="4302">
      <x:c r="A4302" t="str">
        <x:v>O004301</x:v>
      </x:c>
      <x:c r="B4302" s="20" t="n">
        <x:v>46203</x:v>
      </x:c>
      <x:c r="C4302" t="str">
        <x:v>C0024</x:v>
      </x:c>
      <x:c r="D4302" t="str">
        <x:v>Darshini Restaurant 24</x:v>
      </x:c>
      <x:c r="E4302" t="str">
        <x:v>Restaurant</x:v>
      </x:c>
      <x:c r="F4302" t="str">
        <x:v>Davanagere</x:v>
      </x:c>
      <x:c r="G4302" t="str">
        <x:v>Sneha</x:v>
      </x:c>
      <x:c r="H4302" t="str">
        <x:v>P006</x:v>
      </x:c>
      <x:c r="I4302" t="str">
        <x:v>Moong Dal 5kg</x:v>
      </x:c>
      <x:c r="J4302" t="str">
        <x:v>Pulses</x:v>
      </x:c>
      <x:c r="K4302" t="str">
        <x:v>Local Select</x:v>
      </x:c>
      <x:c r="L4302" s="22" t="n">
        <x:v>610</x:v>
      </x:c>
      <x:c r="M4302" t="n">
        <x:v>21</x:v>
      </x:c>
      <x:c r="N4302" s="24" t="n">
        <x:v>0.05</x:v>
      </x:c>
      <x:c r="O4302" s="22" t="n">
        <x:f>L4302*M4302</x:f>
        <x:v>12810</x:v>
      </x:c>
      <x:c r="P4302" s="22" t="n">
        <x:f>O4302*(1-N4302)</x:f>
        <x:v>12169.5</x:v>
      </x:c>
      <x:c r="Q4302" s="22" t="n">
        <x:v>540</x:v>
      </x:c>
      <x:c r="R4302" s="22" t="n">
        <x:f>Q4302*M4302</x:f>
        <x:v>11340</x:v>
      </x:c>
      <x:c r="S4302" s="22" t="n">
        <x:f>P4302-R4302</x:f>
        <x:v>829.5</x:v>
      </x:c>
      <x:c r="T4302" t="str">
        <x:v>Bank Transfer</x:v>
      </x:c>
      <x:c r="U4302" t="str">
        <x:v>Paid</x:v>
      </x:c>
      <x:c r="V4302" t="str">
        <x:v>Delivered</x:v>
      </x:c>
      <x:c r="W4302" t="n">
        <x:v>3</x:v>
      </x:c>
      <x:c r="X4302" t="str">
        <x:v>Damaged</x:v>
      </x:c>
      <x:c r="Y4302" t="str">
        <x:v>WhatsApp</x:v>
      </x:c>
    </x:row>
    <x:row r="4303">
      <x:c r="A4303" t="str">
        <x:v>O004302</x:v>
      </x:c>
      <x:c r="B4303" s="20" t="n">
        <x:v>45829</x:v>
      </x:c>
      <x:c r="C4303" t="str">
        <x:v>C0222</x:v>
      </x:c>
      <x:c r="D4303" t="str">
        <x:v>Sri Cafe 222</x:v>
      </x:c>
      <x:c r="E4303" t="str">
        <x:v>Kirana</x:v>
      </x:c>
      <x:c r="F4303" t="str">
        <x:v>Mangaluru</x:v>
      </x:c>
      <x:c r="G4303" t="str">
        <x:v>Arjun</x:v>
      </x:c>
      <x:c r="H4303" t="str">
        <x:v>P030</x:v>
      </x:c>
      <x:c r="I4303" t="str">
        <x:v>Mayonnaise 1kg</x:v>
      </x:c>
      <x:c r="J4303" t="str">
        <x:v>Condiments</x:v>
      </x:c>
      <x:c r="K4303" t="str">
        <x:v>Veeba</x:v>
      </x:c>
      <x:c r="L4303" s="22" t="n">
        <x:v>210</x:v>
      </x:c>
      <x:c r="M4303" t="n">
        <x:v>26</x:v>
      </x:c>
      <x:c r="N4303" s="24" t="n">
        <x:v>0</x:v>
      </x:c>
      <x:c r="O4303" s="22" t="n">
        <x:f>L4303*M4303</x:f>
        <x:v>5460</x:v>
      </x:c>
      <x:c r="P4303" s="22" t="n">
        <x:f>O4303*(1-N4303)</x:f>
        <x:v>5460</x:v>
      </x:c>
      <x:c r="Q4303" s="22" t="n">
        <x:v>185</x:v>
      </x:c>
      <x:c r="R4303" s="22" t="n">
        <x:f>Q4303*M4303</x:f>
        <x:v>4810</x:v>
      </x:c>
      <x:c r="S4303" s="22" t="n">
        <x:f>P4303-R4303</x:f>
        <x:v>650</x:v>
      </x:c>
      <x:c r="T4303" t="str">
        <x:v>UPI</x:v>
      </x:c>
      <x:c r="U4303" t="str">
        <x:v>Paid</x:v>
      </x:c>
      <x:c r="V4303" t="str">
        <x:v>Delivered</x:v>
      </x:c>
      <x:c r="W4303" t="n">
        <x:v>0</x:v>
      </x:c>
      <x:c r="X4303" t="str"/>
      <x:c r="Y4303" t="str">
        <x:v>Outbound Call</x:v>
      </x:c>
    </x:row>
    <x:row r="4304">
      <x:c r="A4304" t="str">
        <x:v>O004303</x:v>
      </x:c>
      <x:c r="B4304" s="20" t="n">
        <x:v>46128</x:v>
      </x:c>
      <x:c r="C4304" t="str">
        <x:v>C0231</x:v>
      </x:c>
      <x:c r="D4304" t="str">
        <x:v>Metro Canteen 231</x:v>
      </x:c>
      <x:c r="E4304" t="str">
        <x:v>Canteen</x:v>
      </x:c>
      <x:c r="F4304" t="str">
        <x:v>Mangaluru</x:v>
      </x:c>
      <x:c r="G4304" t="str">
        <x:v>Megha</x:v>
      </x:c>
      <x:c r="H4304" t="str">
        <x:v>P005</x:v>
      </x:c>
      <x:c r="I4304" t="str">
        <x:v>Chana Dal 5kg</x:v>
      </x:c>
      <x:c r="J4304" t="str">
        <x:v>Pulses</x:v>
      </x:c>
      <x:c r="K4304" t="str">
        <x:v>Local Select</x:v>
      </x:c>
      <x:c r="L4304" s="22" t="n">
        <x:v>520</x:v>
      </x:c>
      <x:c r="M4304" t="n">
        <x:v>39</x:v>
      </x:c>
      <x:c r="N4304" s="24" t="n">
        <x:v>0.05</x:v>
      </x:c>
      <x:c r="O4304" s="22" t="n">
        <x:f>L4304*M4304</x:f>
        <x:v>20280</x:v>
      </x:c>
      <x:c r="P4304" s="22" t="n">
        <x:f>O4304*(1-N4304)</x:f>
        <x:v>19266</x:v>
      </x:c>
      <x:c r="Q4304" s="22" t="n">
        <x:v>455</x:v>
      </x:c>
      <x:c r="R4304" s="22" t="n">
        <x:f>Q4304*M4304</x:f>
        <x:v>17745</x:v>
      </x:c>
      <x:c r="S4304" s="22" t="n">
        <x:f>P4304-R4304</x:f>
        <x:v>1521</x:v>
      </x:c>
      <x:c r="T4304" t="str">
        <x:v>Bank Transfer</x:v>
      </x:c>
      <x:c r="U4304" t="str">
        <x:v>Pending</x:v>
      </x:c>
      <x:c r="V4304" t="str">
        <x:v>Delivered</x:v>
      </x:c>
      <x:c r="W4304" t="n">
        <x:v>0</x:v>
      </x:c>
      <x:c r="X4304" t="str"/>
      <x:c r="Y4304" t="str">
        <x:v>Referral</x:v>
      </x:c>
    </x:row>
    <x:row r="4305">
      <x:c r="A4305" t="str">
        <x:v>O004304</x:v>
      </x:c>
      <x:c r="B4305" s="20" t="n">
        <x:v>45676</x:v>
      </x:c>
      <x:c r="C4305" t="str">
        <x:v>C0140</x:v>
      </x:c>
      <x:c r="D4305" t="str">
        <x:v>Fresh Hotel 140</x:v>
      </x:c>
      <x:c r="E4305" t="str">
        <x:v>Kirana</x:v>
      </x:c>
      <x:c r="F4305" t="str">
        <x:v>Tumakuru</x:v>
      </x:c>
      <x:c r="G4305" t="str">
        <x:v>Imran</x:v>
      </x:c>
      <x:c r="H4305" t="str">
        <x:v>P042</x:v>
      </x:c>
      <x:c r="I4305" t="str">
        <x:v>Eggs 30pc Tray</x:v>
      </x:c>
      <x:c r="J4305" t="str">
        <x:v>Protein</x:v>
      </x:c>
      <x:c r="K4305" t="str">
        <x:v>Farm Fresh</x:v>
      </x:c>
      <x:c r="L4305" s="22" t="n">
        <x:v>195</x:v>
      </x:c>
      <x:c r="M4305" t="n">
        <x:v>5</x:v>
      </x:c>
      <x:c r="N4305" s="24" t="n">
        <x:v>0</x:v>
      </x:c>
      <x:c r="O4305" s="22" t="n">
        <x:f>L4305*M4305</x:f>
        <x:v>975</x:v>
      </x:c>
      <x:c r="P4305" s="22" t="n">
        <x:f>O4305*(1-N4305)</x:f>
        <x:v>975</x:v>
      </x:c>
      <x:c r="Q4305" s="22" t="n">
        <x:v>170</x:v>
      </x:c>
      <x:c r="R4305" s="22" t="n">
        <x:f>Q4305*M4305</x:f>
        <x:v>850</x:v>
      </x:c>
      <x:c r="S4305" s="22" t="n">
        <x:f>P4305-R4305</x:f>
        <x:v>125</x:v>
      </x:c>
      <x:c r="T4305" t="str">
        <x:v>Credit</x:v>
      </x:c>
      <x:c r="U4305" t="str">
        <x:v>Overdue</x:v>
      </x:c>
      <x:c r="V4305" t="str">
        <x:v>Delivered</x:v>
      </x:c>
      <x:c r="W4305" t="n">
        <x:v>1</x:v>
      </x:c>
      <x:c r="X4305" t="str">
        <x:v>Quality Issue</x:v>
      </x:c>
      <x:c r="Y4305" t="str">
        <x:v>Outbound Call</x:v>
      </x:c>
    </x:row>
    <x:row r="4306">
      <x:c r="A4306" t="str">
        <x:v>O004305</x:v>
      </x:c>
      <x:c r="B4306" s="20" t="n">
        <x:v>45941</x:v>
      </x:c>
      <x:c r="C4306" t="str">
        <x:v>C0235</x:v>
      </x:c>
      <x:c r="D4306" t="str">
        <x:v>Darshini Canteen 235</x:v>
      </x:c>
      <x:c r="E4306" t="str">
        <x:v>Hotel</x:v>
      </x:c>
      <x:c r="F4306" t="str">
        <x:v>Mangaluru</x:v>
      </x:c>
      <x:c r="G4306" t="str">
        <x:v>Arjun</x:v>
      </x:c>
      <x:c r="H4306" t="str">
        <x:v>P049</x:v>
      </x:c>
      <x:c r="I4306" t="str">
        <x:v>Apple 10kg</x:v>
      </x:c>
      <x:c r="J4306" t="str">
        <x:v>Fresh Produce</x:v>
      </x:c>
      <x:c r="K4306" t="str">
        <x:v>Local Market</x:v>
      </x:c>
      <x:c r="L4306" s="22" t="n">
        <x:v>1450</x:v>
      </x:c>
      <x:c r="M4306" t="n">
        <x:v>10</x:v>
      </x:c>
      <x:c r="N4306" s="24" t="n">
        <x:v>0.02</x:v>
      </x:c>
      <x:c r="O4306" s="22" t="n">
        <x:f>L4306*M4306</x:f>
        <x:v>14500</x:v>
      </x:c>
      <x:c r="P4306" s="22" t="n">
        <x:f>O4306*(1-N4306)</x:f>
        <x:v>14210</x:v>
      </x:c>
      <x:c r="Q4306" s="22" t="n">
        <x:v>1280</x:v>
      </x:c>
      <x:c r="R4306" s="22" t="n">
        <x:f>Q4306*M4306</x:f>
        <x:v>12800</x:v>
      </x:c>
      <x:c r="S4306" s="22" t="n">
        <x:f>P4306-R4306</x:f>
        <x:v>1410</x:v>
      </x:c>
      <x:c r="T4306" t="str">
        <x:v>Bank Transfer</x:v>
      </x:c>
      <x:c r="U4306" t="str">
        <x:v>Pending</x:v>
      </x:c>
      <x:c r="V4306" t="str">
        <x:v>Delivered</x:v>
      </x:c>
      <x:c r="W4306" t="n">
        <x:v>0</x:v>
      </x:c>
      <x:c r="X4306" t="str"/>
      <x:c r="Y4306" t="str">
        <x:v>WhatsApp</x:v>
      </x:c>
    </x:row>
    <x:row r="4307">
      <x:c r="A4307" t="str">
        <x:v>O004306</x:v>
      </x:c>
      <x:c r="B4307" s="20" t="n">
        <x:v>45695</x:v>
      </x:c>
      <x:c r="C4307" t="str">
        <x:v>C0126</x:v>
      </x:c>
      <x:c r="D4307" t="str">
        <x:v>Mysore Hotel 126</x:v>
      </x:c>
      <x:c r="E4307" t="str">
        <x:v>Restaurant</x:v>
      </x:c>
      <x:c r="F4307" t="str">
        <x:v>Mangaluru</x:v>
      </x:c>
      <x:c r="G4307" t="str">
        <x:v>Vikram</x:v>
      </x:c>
      <x:c r="H4307" t="str">
        <x:v>P011</x:v>
      </x:c>
      <x:c r="I4307" t="str">
        <x:v>Salt 1kg</x:v>
      </x:c>
      <x:c r="J4307" t="str">
        <x:v>Staples</x:v>
      </x:c>
      <x:c r="K4307" t="str">
        <x:v>Tata</x:v>
      </x:c>
      <x:c r="L4307" s="22" t="n">
        <x:v>28</x:v>
      </x:c>
      <x:c r="M4307" t="n">
        <x:v>19</x:v>
      </x:c>
      <x:c r="N4307" s="24" t="n">
        <x:v>0.02</x:v>
      </x:c>
      <x:c r="O4307" s="22" t="n">
        <x:f>L4307*M4307</x:f>
        <x:v>532</x:v>
      </x:c>
      <x:c r="P4307" s="22" t="n">
        <x:f>O4307*(1-N4307)</x:f>
        <x:v>521.36</x:v>
      </x:c>
      <x:c r="Q4307" s="22" t="n">
        <x:v>23</x:v>
      </x:c>
      <x:c r="R4307" s="22" t="n">
        <x:f>Q4307*M4307</x:f>
        <x:v>437</x:v>
      </x:c>
      <x:c r="S4307" s="22" t="n">
        <x:f>P4307-R4307</x:f>
        <x:v>84.36000000000001</x:v>
      </x:c>
      <x:c r="T4307" t="str">
        <x:v>UPI</x:v>
      </x:c>
      <x:c r="U4307" t="str">
        <x:v>Paid</x:v>
      </x:c>
      <x:c r="V4307" t="str">
        <x:v>Delivered</x:v>
      </x:c>
      <x:c r="W4307" t="n">
        <x:v>0</x:v>
      </x:c>
      <x:c r="X4307" t="str"/>
      <x:c r="Y4307" t="str">
        <x:v>Field Visit</x:v>
      </x:c>
    </x:row>
    <x:row r="4308">
      <x:c r="A4308" t="str">
        <x:v>O004307</x:v>
      </x:c>
      <x:c r="B4308" s="20" t="n">
        <x:v>46029</x:v>
      </x:c>
      <x:c r="C4308" t="str">
        <x:v>C0246</x:v>
      </x:c>
      <x:c r="D4308" t="str">
        <x:v>City Hotel 246</x:v>
      </x:c>
      <x:c r="E4308" t="str">
        <x:v>Supermarket</x:v>
      </x:c>
      <x:c r="F4308" t="str">
        <x:v>Mangaluru</x:v>
      </x:c>
      <x:c r="G4308" t="str">
        <x:v>Kavya</x:v>
      </x:c>
      <x:c r="H4308" t="str">
        <x:v>P014</x:v>
      </x:c>
      <x:c r="I4308" t="str">
        <x:v>Rava 5kg</x:v>
      </x:c>
      <x:c r="J4308" t="str">
        <x:v>Flour</x:v>
      </x:c>
      <x:c r="K4308" t="str">
        <x:v>Local Select</x:v>
      </x:c>
      <x:c r="L4308" s="22" t="n">
        <x:v>245</x:v>
      </x:c>
      <x:c r="M4308" t="n">
        <x:v>2</x:v>
      </x:c>
      <x:c r="N4308" s="24" t="n">
        <x:v>0</x:v>
      </x:c>
      <x:c r="O4308" s="22" t="n">
        <x:f>L4308*M4308</x:f>
        <x:v>490</x:v>
      </x:c>
      <x:c r="P4308" s="22" t="n">
        <x:f>O4308*(1-N4308)</x:f>
        <x:v>490</x:v>
      </x:c>
      <x:c r="Q4308" s="22" t="n">
        <x:v>215</x:v>
      </x:c>
      <x:c r="R4308" s="22" t="n">
        <x:f>Q4308*M4308</x:f>
        <x:v>430</x:v>
      </x:c>
      <x:c r="S4308" s="22" t="n">
        <x:f>P4308-R4308</x:f>
        <x:v>60</x:v>
      </x:c>
      <x:c r="T4308" t="str">
        <x:v>Credit</x:v>
      </x:c>
      <x:c r="U4308" t="str">
        <x:v>Paid</x:v>
      </x:c>
      <x:c r="V4308" t="str">
        <x:v>Delivered</x:v>
      </x:c>
      <x:c r="W4308" t="n">
        <x:v>0</x:v>
      </x:c>
      <x:c r="X4308" t="str"/>
      <x:c r="Y4308" t="str">
        <x:v>Outbound Call</x:v>
      </x:c>
    </x:row>
    <x:row r="4309">
      <x:c r="A4309" t="str">
        <x:v>O004308</x:v>
      </x:c>
      <x:c r="B4309" s="20" t="n">
        <x:v>45936</x:v>
      </x:c>
      <x:c r="C4309" t="str">
        <x:v>C0216</x:v>
      </x:c>
      <x:c r="D4309" t="str">
        <x:v>Cafe Restaurant 216</x:v>
      </x:c>
      <x:c r="E4309" t="str">
        <x:v>Canteen</x:v>
      </x:c>
      <x:c r="F4309" t="str">
        <x:v>Bengaluru</x:v>
      </x:c>
      <x:c r="G4309" t="str">
        <x:v>Vikram</x:v>
      </x:c>
      <x:c r="H4309" t="str">
        <x:v>P037</x:v>
      </x:c>
      <x:c r="I4309" t="str">
        <x:v>Frozen Peas 1kg</x:v>
      </x:c>
      <x:c r="J4309" t="str">
        <x:v>Frozen</x:v>
      </x:c>
      <x:c r="K4309" t="str">
        <x:v>Safal</x:v>
      </x:c>
      <x:c r="L4309" s="22" t="n">
        <x:v>155</x:v>
      </x:c>
      <x:c r="M4309" t="n">
        <x:v>25</x:v>
      </x:c>
      <x:c r="N4309" s="24" t="n">
        <x:v>0.08</x:v>
      </x:c>
      <x:c r="O4309" s="22" t="n">
        <x:f>L4309*M4309</x:f>
        <x:v>3875</x:v>
      </x:c>
      <x:c r="P4309" s="22" t="n">
        <x:f>O4309*(1-N4309)</x:f>
        <x:v>3565</x:v>
      </x:c>
      <x:c r="Q4309" s="22" t="n">
        <x:v>138</x:v>
      </x:c>
      <x:c r="R4309" s="22" t="n">
        <x:f>Q4309*M4309</x:f>
        <x:v>3450</x:v>
      </x:c>
      <x:c r="S4309" s="22" t="n">
        <x:f>P4309-R4309</x:f>
        <x:v>115</x:v>
      </x:c>
      <x:c r="T4309" t="str">
        <x:v>Credit</x:v>
      </x:c>
      <x:c r="U4309" t="str">
        <x:v>Paid</x:v>
      </x:c>
      <x:c r="V4309" t="str">
        <x:v>Delivered</x:v>
      </x:c>
      <x:c r="W4309" t="n">
        <x:v>0</x:v>
      </x:c>
      <x:c r="X4309" t="str"/>
      <x:c r="Y4309" t="str">
        <x:v>Field Visit</x:v>
      </x:c>
    </x:row>
    <x:row r="4310">
      <x:c r="A4310" t="str">
        <x:v>O004309</x:v>
      </x:c>
      <x:c r="B4310" s="20" t="n">
        <x:v>45786</x:v>
      </x:c>
      <x:c r="C4310" t="str">
        <x:v>C0057</x:v>
      </x:c>
      <x:c r="D4310" t="str">
        <x:v>Annapurna Foods 57</x:v>
      </x:c>
      <x:c r="E4310" t="str">
        <x:v>Kirana</x:v>
      </x:c>
      <x:c r="F4310" t="str">
        <x:v>Mysuru</x:v>
      </x:c>
      <x:c r="G4310" t="str">
        <x:v>Priya</x:v>
      </x:c>
      <x:c r="H4310" t="str">
        <x:v>P043</x:v>
      </x:c>
      <x:c r="I4310" t="str">
        <x:v>Chicken Breast 1kg</x:v>
      </x:c>
      <x:c r="J4310" t="str">
        <x:v>Protein</x:v>
      </x:c>
      <x:c r="K4310" t="str">
        <x:v>FreshToHome</x:v>
      </x:c>
      <x:c r="L4310" s="22" t="n">
        <x:v>260</x:v>
      </x:c>
      <x:c r="M4310" t="n">
        <x:v>2</x:v>
      </x:c>
      <x:c r="N4310" s="24" t="n">
        <x:v>0.03</x:v>
      </x:c>
      <x:c r="O4310" s="22" t="n">
        <x:f>L4310*M4310</x:f>
        <x:v>520</x:v>
      </x:c>
      <x:c r="P4310" s="22" t="n">
        <x:f>O4310*(1-N4310)</x:f>
        <x:v>504.4</x:v>
      </x:c>
      <x:c r="Q4310" s="22" t="n">
        <x:v>235</x:v>
      </x:c>
      <x:c r="R4310" s="22" t="n">
        <x:f>Q4310*M4310</x:f>
        <x:v>470</x:v>
      </x:c>
      <x:c r="S4310" s="22" t="n">
        <x:f>P4310-R4310</x:f>
        <x:v>34.39999999999998</x:v>
      </x:c>
      <x:c r="T4310" t="str">
        <x:v>Credit</x:v>
      </x:c>
      <x:c r="U4310" t="str">
        <x:v>Paid</x:v>
      </x:c>
      <x:c r="V4310" t="str">
        <x:v>Delayed</x:v>
      </x:c>
      <x:c r="W4310" t="n">
        <x:v>0</x:v>
      </x:c>
      <x:c r="X4310" t="str"/>
      <x:c r="Y4310" t="str">
        <x:v>Referral</x:v>
      </x:c>
    </x:row>
    <x:row r="4311">
      <x:c r="A4311" t="str">
        <x:v>O004310</x:v>
      </x:c>
      <x:c r="B4311" s="20" t="n">
        <x:v>45974</x:v>
      </x:c>
      <x:c r="C4311" t="str">
        <x:v>C0001</x:v>
      </x:c>
      <x:c r="D4311" t="str">
        <x:v>Annapurna Cafe 1</x:v>
      </x:c>
      <x:c r="E4311" t="str">
        <x:v>Hotel</x:v>
      </x:c>
      <x:c r="F4311" t="str">
        <x:v>Davanagere</x:v>
      </x:c>
      <x:c r="G4311" t="str">
        <x:v>Kavya</x:v>
      </x:c>
      <x:c r="H4311" t="str">
        <x:v>P031</x:v>
      </x:c>
      <x:c r="I4311" t="str">
        <x:v>Chilli Sauce 700g</x:v>
      </x:c>
      <x:c r="J4311" t="str">
        <x:v>Condiments</x:v>
      </x:c>
      <x:c r="K4311" t="str">
        <x:v>Ching's</x:v>
      </x:c>
      <x:c r="L4311" s="22" t="n">
        <x:v>130</x:v>
      </x:c>
      <x:c r="M4311" t="n">
        <x:v>6</x:v>
      </x:c>
      <x:c r="N4311" s="24" t="n">
        <x:v>0.05</x:v>
      </x:c>
      <x:c r="O4311" s="22" t="n">
        <x:f>L4311*M4311</x:f>
        <x:v>780</x:v>
      </x:c>
      <x:c r="P4311" s="22" t="n">
        <x:f>O4311*(1-N4311)</x:f>
        <x:v>741</x:v>
      </x:c>
      <x:c r="Q4311" s="22" t="n">
        <x:v>112</x:v>
      </x:c>
      <x:c r="R4311" s="22" t="n">
        <x:f>Q4311*M4311</x:f>
        <x:v>672</x:v>
      </x:c>
      <x:c r="S4311" s="22" t="n">
        <x:f>P4311-R4311</x:f>
        <x:v>69</x:v>
      </x:c>
      <x:c r="T4311" t="str">
        <x:v>Bank Transfer</x:v>
      </x:c>
      <x:c r="U4311" t="str">
        <x:v>Paid</x:v>
      </x:c>
      <x:c r="V4311" t="str">
        <x:v>Cancelled</x:v>
      </x:c>
      <x:c r="W4311" t="n">
        <x:v>6</x:v>
      </x:c>
      <x:c r="X4311" t="str">
        <x:v>Cancelled Order</x:v>
      </x:c>
      <x:c r="Y4311" t="str">
        <x:v>WhatsApp</x:v>
      </x:c>
    </x:row>
    <x:row r="4312">
      <x:c r="A4312" t="str">
        <x:v>O004311</x:v>
      </x:c>
      <x:c r="B4312" s="20" t="n">
        <x:v>46234</x:v>
      </x:c>
      <x:c r="C4312" t="str">
        <x:v>C0062</x:v>
      </x:c>
      <x:c r="D4312" t="str">
        <x:v>Foodie Hotel 62</x:v>
      </x:c>
      <x:c r="E4312" t="str">
        <x:v>Cafe</x:v>
      </x:c>
      <x:c r="F4312" t="str">
        <x:v>Mysuru</x:v>
      </x:c>
      <x:c r="G4312" t="str">
        <x:v>Vikram</x:v>
      </x:c>
      <x:c r="H4312" t="str">
        <x:v>P016</x:v>
      </x:c>
      <x:c r="I4312" t="str">
        <x:v>Curd 1kg</x:v>
      </x:c>
      <x:c r="J4312" t="str">
        <x:v>Dairy</x:v>
      </x:c>
      <x:c r="K4312" t="str">
        <x:v>Nandini</x:v>
      </x:c>
      <x:c r="L4312" s="22" t="n">
        <x:v>72</x:v>
      </x:c>
      <x:c r="M4312" t="n">
        <x:v>4</x:v>
      </x:c>
      <x:c r="N4312" s="24" t="n">
        <x:v>0</x:v>
      </x:c>
      <x:c r="O4312" s="22" t="n">
        <x:f>L4312*M4312</x:f>
        <x:v>288</x:v>
      </x:c>
      <x:c r="P4312" s="22" t="n">
        <x:f>O4312*(1-N4312)</x:f>
        <x:v>288</x:v>
      </x:c>
      <x:c r="Q4312" s="22" t="n">
        <x:v>64</x:v>
      </x:c>
      <x:c r="R4312" s="22" t="n">
        <x:f>Q4312*M4312</x:f>
        <x:v>256</x:v>
      </x:c>
      <x:c r="S4312" s="22" t="n">
        <x:f>P4312-R4312</x:f>
        <x:v>32</x:v>
      </x:c>
      <x:c r="T4312" t="str">
        <x:v>Credit</x:v>
      </x:c>
      <x:c r="U4312" t="str">
        <x:v>Paid</x:v>
      </x:c>
      <x:c r="V4312" t="str">
        <x:v>Delayed</x:v>
      </x:c>
      <x:c r="W4312" t="n">
        <x:v>0</x:v>
      </x:c>
      <x:c r="X4312" t="str"/>
      <x:c r="Y4312" t="str">
        <x:v>Field Visit</x:v>
      </x:c>
    </x:row>
    <x:row r="4313">
      <x:c r="A4313" t="str">
        <x:v>O004312</x:v>
      </x:c>
      <x:c r="B4313" s="20" t="n">
        <x:v>46277</x:v>
      </x:c>
      <x:c r="C4313" t="str">
        <x:v>C0052</x:v>
      </x:c>
      <x:c r="D4313" t="str">
        <x:v>Sagar Canteen 52</x:v>
      </x:c>
      <x:c r="E4313" t="str">
        <x:v>Kirana</x:v>
      </x:c>
      <x:c r="F4313" t="str">
        <x:v>Mysuru</x:v>
      </x:c>
      <x:c r="G4313" t="str">
        <x:v>Kavya</x:v>
      </x:c>
      <x:c r="H4313" t="str">
        <x:v>P015</x:v>
      </x:c>
      <x:c r="I4313" t="str">
        <x:v>Milk 1L</x:v>
      </x:c>
      <x:c r="J4313" t="str">
        <x:v>Dairy</x:v>
      </x:c>
      <x:c r="K4313" t="str">
        <x:v>Nandini</x:v>
      </x:c>
      <x:c r="L4313" s="22" t="n">
        <x:v>48</x:v>
      </x:c>
      <x:c r="M4313" t="n">
        <x:v>7</x:v>
      </x:c>
      <x:c r="N4313" s="24" t="n">
        <x:v>0.03</x:v>
      </x:c>
      <x:c r="O4313" s="22" t="n">
        <x:f>L4313*M4313</x:f>
        <x:v>336</x:v>
      </x:c>
      <x:c r="P4313" s="22" t="n">
        <x:f>O4313*(1-N4313)</x:f>
        <x:v>325.92</x:v>
      </x:c>
      <x:c r="Q4313" s="22" t="n">
        <x:v>43</x:v>
      </x:c>
      <x:c r="R4313" s="22" t="n">
        <x:f>Q4313*M4313</x:f>
        <x:v>301</x:v>
      </x:c>
      <x:c r="S4313" s="22" t="n">
        <x:f>P4313-R4313</x:f>
        <x:v>24.920000000000016</x:v>
      </x:c>
      <x:c r="T4313" t="str">
        <x:v>UPI</x:v>
      </x:c>
      <x:c r="U4313" t="str">
        <x:v>Paid</x:v>
      </x:c>
      <x:c r="V4313" t="str">
        <x:v>Delivered</x:v>
      </x:c>
      <x:c r="W4313" t="n">
        <x:v>0</x:v>
      </x:c>
      <x:c r="X4313" t="str"/>
      <x:c r="Y4313" t="str">
        <x:v>Field Visit</x:v>
      </x:c>
    </x:row>
    <x:row r="4314">
      <x:c r="A4314" t="str">
        <x:v>O004313</x:v>
      </x:c>
      <x:c r="B4314" s="20" t="n">
        <x:v>46044</x:v>
      </x:c>
      <x:c r="C4314" t="str">
        <x:v>C0037</x:v>
      </x:c>
      <x:c r="D4314" t="str">
        <x:v>Royal Cafe 37</x:v>
      </x:c>
      <x:c r="E4314" t="str">
        <x:v>Hotel</x:v>
      </x:c>
      <x:c r="F4314" t="str">
        <x:v>Mysuru</x:v>
      </x:c>
      <x:c r="G4314" t="str">
        <x:v>Sneha</x:v>
      </x:c>
      <x:c r="H4314" t="str">
        <x:v>P044</x:v>
      </x:c>
      <x:c r="I4314" t="str">
        <x:v>Chicken Curry Cut 1kg</x:v>
      </x:c>
      <x:c r="J4314" t="str">
        <x:v>Protein</x:v>
      </x:c>
      <x:c r="K4314" t="str">
        <x:v>FreshToHome</x:v>
      </x:c>
      <x:c r="L4314" s="22" t="n">
        <x:v>230</x:v>
      </x:c>
      <x:c r="M4314" t="n">
        <x:v>32</x:v>
      </x:c>
      <x:c r="N4314" s="24" t="n">
        <x:v>0.02</x:v>
      </x:c>
      <x:c r="O4314" s="22" t="n">
        <x:f>L4314*M4314</x:f>
        <x:v>7360</x:v>
      </x:c>
      <x:c r="P4314" s="22" t="n">
        <x:f>O4314*(1-N4314)</x:f>
        <x:v>7212.8</x:v>
      </x:c>
      <x:c r="Q4314" s="22" t="n">
        <x:v>205</x:v>
      </x:c>
      <x:c r="R4314" s="22" t="n">
        <x:f>Q4314*M4314</x:f>
        <x:v>6560</x:v>
      </x:c>
      <x:c r="S4314" s="22" t="n">
        <x:f>P4314-R4314</x:f>
        <x:v>652.8000000000002</x:v>
      </x:c>
      <x:c r="T4314" t="str">
        <x:v>UPI</x:v>
      </x:c>
      <x:c r="U4314" t="str">
        <x:v>Paid</x:v>
      </x:c>
      <x:c r="V4314" t="str">
        <x:v>Delivered</x:v>
      </x:c>
      <x:c r="W4314" t="n">
        <x:v>0</x:v>
      </x:c>
      <x:c r="X4314" t="str"/>
      <x:c r="Y4314" t="str">
        <x:v>Outbound Call</x:v>
      </x:c>
    </x:row>
    <x:row r="4315">
      <x:c r="A4315" t="str">
        <x:v>O004314</x:v>
      </x:c>
      <x:c r="B4315" s="20" t="n">
        <x:v>45676</x:v>
      </x:c>
      <x:c r="C4315" t="str">
        <x:v>C0093</x:v>
      </x:c>
      <x:c r="D4315" t="str">
        <x:v>Sagar Hotel 93</x:v>
      </x:c>
      <x:c r="E4315" t="str">
        <x:v>Hotel</x:v>
      </x:c>
      <x:c r="F4315" t="str">
        <x:v>Hubballi</x:v>
      </x:c>
      <x:c r="G4315" t="str">
        <x:v>Imran</x:v>
      </x:c>
      <x:c r="H4315" t="str">
        <x:v>P001</x:v>
      </x:c>
      <x:c r="I4315" t="str">
        <x:v>Steam Rice 25kg</x:v>
      </x:c>
      <x:c r="J4315" t="str">
        <x:v>Staples</x:v>
      </x:c>
      <x:c r="K4315" t="str">
        <x:v>Aishwarya</x:v>
      </x:c>
      <x:c r="L4315" s="22" t="n">
        <x:v>1180</x:v>
      </x:c>
      <x:c r="M4315" t="n">
        <x:v>10</x:v>
      </x:c>
      <x:c r="N4315" s="24" t="n">
        <x:v>0.02</x:v>
      </x:c>
      <x:c r="O4315" s="22" t="n">
        <x:f>L4315*M4315</x:f>
        <x:v>11800</x:v>
      </x:c>
      <x:c r="P4315" s="22" t="n">
        <x:f>O4315*(1-N4315)</x:f>
        <x:v>11564</x:v>
      </x:c>
      <x:c r="Q4315" s="22" t="n">
        <x:v>1040</x:v>
      </x:c>
      <x:c r="R4315" s="22" t="n">
        <x:f>Q4315*M4315</x:f>
        <x:v>10400</x:v>
      </x:c>
      <x:c r="S4315" s="22" t="n">
        <x:f>P4315-R4315</x:f>
        <x:v>1164</x:v>
      </x:c>
      <x:c r="T4315" t="str">
        <x:v>Cash</x:v>
      </x:c>
      <x:c r="U4315" t="str">
        <x:v>Pending</x:v>
      </x:c>
      <x:c r="V4315" t="str">
        <x:v>Delivered</x:v>
      </x:c>
      <x:c r="W4315" t="n">
        <x:v>0</x:v>
      </x:c>
      <x:c r="X4315" t="str"/>
      <x:c r="Y4315" t="str">
        <x:v>Field Visit</x:v>
      </x:c>
    </x:row>
    <x:row r="4316">
      <x:c r="A4316" t="str">
        <x:v>O004315</x:v>
      </x:c>
      <x:c r="B4316" s="20" t="n">
        <x:v>45823</x:v>
      </x:c>
      <x:c r="C4316" t="str">
        <x:v>C0191</x:v>
      </x:c>
      <x:c r="D4316" t="str">
        <x:v>Foodie Kitchen 191</x:v>
      </x:c>
      <x:c r="E4316" t="str">
        <x:v>Cafe</x:v>
      </x:c>
      <x:c r="F4316" t="str">
        <x:v>Mysuru</x:v>
      </x:c>
      <x:c r="G4316" t="str">
        <x:v>Priya</x:v>
      </x:c>
      <x:c r="H4316" t="str">
        <x:v>P019</x:v>
      </x:c>
      <x:c r="I4316" t="str">
        <x:v>Tea 1kg</x:v>
      </x:c>
      <x:c r="J4316" t="str">
        <x:v>Beverage</x:v>
      </x:c>
      <x:c r="K4316" t="str">
        <x:v>Red Label</x:v>
      </x:c>
      <x:c r="L4316" s="22" t="n">
        <x:v>540</x:v>
      </x:c>
      <x:c r="M4316" t="n">
        <x:v>4</x:v>
      </x:c>
      <x:c r="N4316" s="24" t="n">
        <x:v>0</x:v>
      </x:c>
      <x:c r="O4316" s="22" t="n">
        <x:f>L4316*M4316</x:f>
        <x:v>2160</x:v>
      </x:c>
      <x:c r="P4316" s="22" t="n">
        <x:f>O4316*(1-N4316)</x:f>
        <x:v>2160</x:v>
      </x:c>
      <x:c r="Q4316" s="22" t="n">
        <x:v>485</x:v>
      </x:c>
      <x:c r="R4316" s="22" t="n">
        <x:f>Q4316*M4316</x:f>
        <x:v>1940</x:v>
      </x:c>
      <x:c r="S4316" s="22" t="n">
        <x:f>P4316-R4316</x:f>
        <x:v>220</x:v>
      </x:c>
      <x:c r="T4316" t="str">
        <x:v>UPI</x:v>
      </x:c>
      <x:c r="U4316" t="str">
        <x:v>Pending</x:v>
      </x:c>
      <x:c r="V4316" t="str">
        <x:v>Delayed</x:v>
      </x:c>
      <x:c r="W4316" t="n">
        <x:v>0</x:v>
      </x:c>
      <x:c r="X4316" t="str"/>
      <x:c r="Y4316" t="str">
        <x:v>Outbound Call</x:v>
      </x:c>
    </x:row>
    <x:row r="4317">
      <x:c r="A4317" t="str">
        <x:v>O004316</x:v>
      </x:c>
      <x:c r="B4317" s="20" t="n">
        <x:v>45755</x:v>
      </x:c>
      <x:c r="C4317" t="str">
        <x:v>C0044</x:v>
      </x:c>
      <x:c r="D4317" t="str">
        <x:v>Annapurna Mart 44</x:v>
      </x:c>
      <x:c r="E4317" t="str">
        <x:v>Kirana</x:v>
      </x:c>
      <x:c r="F4317" t="str">
        <x:v>Davanagere</x:v>
      </x:c>
      <x:c r="G4317" t="str">
        <x:v>Priya</x:v>
      </x:c>
      <x:c r="H4317" t="str">
        <x:v>P001</x:v>
      </x:c>
      <x:c r="I4317" t="str">
        <x:v>Steam Rice 25kg</x:v>
      </x:c>
      <x:c r="J4317" t="str">
        <x:v>Staples</x:v>
      </x:c>
      <x:c r="K4317" t="str">
        <x:v>Aishwarya</x:v>
      </x:c>
      <x:c r="L4317" s="22" t="n">
        <x:v>1180</x:v>
      </x:c>
      <x:c r="M4317" t="n">
        <x:v>6</x:v>
      </x:c>
      <x:c r="N4317" s="24" t="n">
        <x:v>0</x:v>
      </x:c>
      <x:c r="O4317" s="22" t="n">
        <x:f>L4317*M4317</x:f>
        <x:v>7080</x:v>
      </x:c>
      <x:c r="P4317" s="22" t="n">
        <x:f>O4317*(1-N4317)</x:f>
        <x:v>7080</x:v>
      </x:c>
      <x:c r="Q4317" s="22" t="n">
        <x:v>1040</x:v>
      </x:c>
      <x:c r="R4317" s="22" t="n">
        <x:f>Q4317*M4317</x:f>
        <x:v>6240</x:v>
      </x:c>
      <x:c r="S4317" s="22" t="n">
        <x:f>P4317-R4317</x:f>
        <x:v>840</x:v>
      </x:c>
      <x:c r="T4317" t="str">
        <x:v>UPI</x:v>
      </x:c>
      <x:c r="U4317" t="str">
        <x:v>Paid</x:v>
      </x:c>
      <x:c r="V4317" t="str">
        <x:v>Delivered</x:v>
      </x:c>
      <x:c r="W4317" t="n">
        <x:v>0</x:v>
      </x:c>
      <x:c r="X4317" t="str"/>
      <x:c r="Y4317" t="str">
        <x:v>Outbound Call</x:v>
      </x:c>
    </x:row>
    <x:row r="4318">
      <x:c r="A4318" t="str">
        <x:v>O004317</x:v>
      </x:c>
      <x:c r="B4318" s="20" t="n">
        <x:v>45691</x:v>
      </x:c>
      <x:c r="C4318" t="str">
        <x:v>C0197</x:v>
      </x:c>
      <x:c r="D4318" t="str">
        <x:v>New Foods 197</x:v>
      </x:c>
      <x:c r="E4318" t="str">
        <x:v>Cafe</x:v>
      </x:c>
      <x:c r="F4318" t="str">
        <x:v>Hubballi</x:v>
      </x:c>
      <x:c r="G4318" t="str">
        <x:v>Kavya</x:v>
      </x:c>
      <x:c r="H4318" t="str">
        <x:v>P023</x:v>
      </x:c>
      <x:c r="I4318" t="str">
        <x:v>Cola 750ml</x:v>
      </x:c>
      <x:c r="J4318" t="str">
        <x:v>Beverage</x:v>
      </x:c>
      <x:c r="K4318" t="str">
        <x:v>Coca-Cola</x:v>
      </x:c>
      <x:c r="L4318" s="22" t="n">
        <x:v>38</x:v>
      </x:c>
      <x:c r="M4318" t="n">
        <x:v>30</x:v>
      </x:c>
      <x:c r="N4318" s="24" t="n">
        <x:v>0.1</x:v>
      </x:c>
      <x:c r="O4318" s="22" t="n">
        <x:f>L4318*M4318</x:f>
        <x:v>1140</x:v>
      </x:c>
      <x:c r="P4318" s="22" t="n">
        <x:f>O4318*(1-N4318)</x:f>
        <x:v>1026</x:v>
      </x:c>
      <x:c r="Q4318" s="22" t="n">
        <x:v>31</x:v>
      </x:c>
      <x:c r="R4318" s="22" t="n">
        <x:f>Q4318*M4318</x:f>
        <x:v>930</x:v>
      </x:c>
      <x:c r="S4318" s="22" t="n">
        <x:f>P4318-R4318</x:f>
        <x:v>96</x:v>
      </x:c>
      <x:c r="T4318" t="str">
        <x:v>UPI</x:v>
      </x:c>
      <x:c r="U4318" t="str">
        <x:v>Pending</x:v>
      </x:c>
      <x:c r="V4318" t="str">
        <x:v>Cancelled</x:v>
      </x:c>
      <x:c r="W4318" t="n">
        <x:v>30</x:v>
      </x:c>
      <x:c r="X4318" t="str">
        <x:v>Cancelled Order</x:v>
      </x:c>
      <x:c r="Y4318" t="str">
        <x:v>Existing Customer</x:v>
      </x:c>
    </x:row>
    <x:row r="4319">
      <x:c r="A4319" t="str">
        <x:v>O004318</x:v>
      </x:c>
      <x:c r="B4319" s="20" t="n">
        <x:v>46142</x:v>
      </x:c>
      <x:c r="C4319" t="str">
        <x:v>C0100</x:v>
      </x:c>
      <x:c r="D4319" t="str">
        <x:v>Fresh Mart 100</x:v>
      </x:c>
      <x:c r="E4319" t="str">
        <x:v>Restaurant</x:v>
      </x:c>
      <x:c r="F4319" t="str">
        <x:v>Mysuru</x:v>
      </x:c>
      <x:c r="G4319" t="str">
        <x:v>Imran</x:v>
      </x:c>
      <x:c r="H4319" t="str">
        <x:v>P030</x:v>
      </x:c>
      <x:c r="I4319" t="str">
        <x:v>Mayonnaise 1kg</x:v>
      </x:c>
      <x:c r="J4319" t="str">
        <x:v>Condiments</x:v>
      </x:c>
      <x:c r="K4319" t="str">
        <x:v>Veeba</x:v>
      </x:c>
      <x:c r="L4319" s="22" t="n">
        <x:v>210</x:v>
      </x:c>
      <x:c r="M4319" t="n">
        <x:v>23</x:v>
      </x:c>
      <x:c r="N4319" s="24" t="n">
        <x:v>0.05</x:v>
      </x:c>
      <x:c r="O4319" s="22" t="n">
        <x:f>L4319*M4319</x:f>
        <x:v>4830</x:v>
      </x:c>
      <x:c r="P4319" s="22" t="n">
        <x:f>O4319*(1-N4319)</x:f>
        <x:v>4588.5</x:v>
      </x:c>
      <x:c r="Q4319" s="22" t="n">
        <x:v>185</x:v>
      </x:c>
      <x:c r="R4319" s="22" t="n">
        <x:f>Q4319*M4319</x:f>
        <x:v>4255</x:v>
      </x:c>
      <x:c r="S4319" s="22" t="n">
        <x:f>P4319-R4319</x:f>
        <x:v>333.5</x:v>
      </x:c>
      <x:c r="T4319" t="str">
        <x:v>Cash</x:v>
      </x:c>
      <x:c r="U4319" t="str">
        <x:v>Paid</x:v>
      </x:c>
      <x:c r="V4319" t="str">
        <x:v>Delivered</x:v>
      </x:c>
      <x:c r="W4319" t="n">
        <x:v>0</x:v>
      </x:c>
      <x:c r="X4319" t="str"/>
      <x:c r="Y4319" t="str">
        <x:v>Referral</x:v>
      </x:c>
    </x:row>
    <x:row r="4320">
      <x:c r="A4320" t="str">
        <x:v>O004319</x:v>
      </x:c>
      <x:c r="B4320" s="20" t="n">
        <x:v>45948</x:v>
      </x:c>
      <x:c r="C4320" t="str">
        <x:v>C0233</x:v>
      </x:c>
      <x:c r="D4320" t="str">
        <x:v>Shree Mart 233</x:v>
      </x:c>
      <x:c r="E4320" t="str">
        <x:v>Kirana</x:v>
      </x:c>
      <x:c r="F4320" t="str">
        <x:v>Mangaluru</x:v>
      </x:c>
      <x:c r="G4320" t="str">
        <x:v>Priya</x:v>
      </x:c>
      <x:c r="H4320" t="str">
        <x:v>P033</x:v>
      </x:c>
      <x:c r="I4320" t="str">
        <x:v>Turmeric Powder 1kg</x:v>
      </x:c>
      <x:c r="J4320" t="str">
        <x:v>Spices</x:v>
      </x:c>
      <x:c r="K4320" t="str">
        <x:v>Everest</x:v>
      </x:c>
      <x:c r="L4320" s="22" t="n">
        <x:v>310</x:v>
      </x:c>
      <x:c r="M4320" t="n">
        <x:v>13</x:v>
      </x:c>
      <x:c r="N4320" s="24" t="n">
        <x:v>0.05</x:v>
      </x:c>
      <x:c r="O4320" s="22" t="n">
        <x:f>L4320*M4320</x:f>
        <x:v>4030</x:v>
      </x:c>
      <x:c r="P4320" s="22" t="n">
        <x:f>O4320*(1-N4320)</x:f>
        <x:v>3828.5</x:v>
      </x:c>
      <x:c r="Q4320" s="22" t="n">
        <x:v>270</x:v>
      </x:c>
      <x:c r="R4320" s="22" t="n">
        <x:f>Q4320*M4320</x:f>
        <x:v>3510</x:v>
      </x:c>
      <x:c r="S4320" s="22" t="n">
        <x:f>P4320-R4320</x:f>
        <x:v>318.5</x:v>
      </x:c>
      <x:c r="T4320" t="str">
        <x:v>Credit</x:v>
      </x:c>
      <x:c r="U4320" t="str">
        <x:v>Paid</x:v>
      </x:c>
      <x:c r="V4320" t="str">
        <x:v>Delayed</x:v>
      </x:c>
      <x:c r="W4320" t="n">
        <x:v>0</x:v>
      </x:c>
      <x:c r="X4320" t="str"/>
      <x:c r="Y4320" t="str">
        <x:v>Existing Customer</x:v>
      </x:c>
    </x:row>
    <x:row r="4321">
      <x:c r="A4321" t="str">
        <x:v>O004320</x:v>
      </x:c>
      <x:c r="B4321" s="20" t="n">
        <x:v>45826</x:v>
      </x:c>
      <x:c r="C4321" t="str">
        <x:v>C0164</x:v>
      </x:c>
      <x:c r="D4321" t="str">
        <x:v>Sri Hotel 164</x:v>
      </x:c>
      <x:c r="E4321" t="str">
        <x:v>Kirana</x:v>
      </x:c>
      <x:c r="F4321" t="str">
        <x:v>Mysuru</x:v>
      </x:c>
      <x:c r="G4321" t="str">
        <x:v>Vikram</x:v>
      </x:c>
      <x:c r="H4321" t="str">
        <x:v>P032</x:v>
      </x:c>
      <x:c r="I4321" t="str">
        <x:v>Soy Sauce 700g</x:v>
      </x:c>
      <x:c r="J4321" t="str">
        <x:v>Condiments</x:v>
      </x:c>
      <x:c r="K4321" t="str">
        <x:v>Ching's</x:v>
      </x:c>
      <x:c r="L4321" s="22" t="n">
        <x:v>118</x:v>
      </x:c>
      <x:c r="M4321" t="n">
        <x:v>1</x:v>
      </x:c>
      <x:c r="N4321" s="24" t="n">
        <x:v>0</x:v>
      </x:c>
      <x:c r="O4321" s="22" t="n">
        <x:f>L4321*M4321</x:f>
        <x:v>118</x:v>
      </x:c>
      <x:c r="P4321" s="22" t="n">
        <x:f>O4321*(1-N4321)</x:f>
        <x:v>118</x:v>
      </x:c>
      <x:c r="Q4321" s="22" t="n">
        <x:v>101</x:v>
      </x:c>
      <x:c r="R4321" s="22" t="n">
        <x:f>Q4321*M4321</x:f>
        <x:v>101</x:v>
      </x:c>
      <x:c r="S4321" s="22" t="n">
        <x:f>P4321-R4321</x:f>
        <x:v>17</x:v>
      </x:c>
      <x:c r="T4321" t="str">
        <x:v>UPI</x:v>
      </x:c>
      <x:c r="U4321" t="str">
        <x:v>Paid</x:v>
      </x:c>
      <x:c r="V4321" t="str">
        <x:v>Delayed</x:v>
      </x:c>
      <x:c r="W4321" t="n">
        <x:v>0</x:v>
      </x:c>
      <x:c r="X4321" t="str"/>
      <x:c r="Y4321" t="str">
        <x:v>WhatsApp</x:v>
      </x:c>
    </x:row>
    <x:row r="4322">
      <x:c r="A4322" t="str">
        <x:v>O004321</x:v>
      </x:c>
      <x:c r="B4322" s="20" t="n">
        <x:v>46050</x:v>
      </x:c>
      <x:c r="C4322" t="str">
        <x:v>C0008</x:v>
      </x:c>
      <x:c r="D4322" t="str">
        <x:v>Namma Kitchen 8</x:v>
      </x:c>
      <x:c r="E4322" t="str">
        <x:v>Kirana</x:v>
      </x:c>
      <x:c r="F4322" t="str">
        <x:v>Bengaluru</x:v>
      </x:c>
      <x:c r="G4322" t="str">
        <x:v>Vikram</x:v>
      </x:c>
      <x:c r="H4322" t="str">
        <x:v>P015</x:v>
      </x:c>
      <x:c r="I4322" t="str">
        <x:v>Milk 1L</x:v>
      </x:c>
      <x:c r="J4322" t="str">
        <x:v>Dairy</x:v>
      </x:c>
      <x:c r="K4322" t="str">
        <x:v>Nandini</x:v>
      </x:c>
      <x:c r="L4322" s="22" t="n">
        <x:v>48</x:v>
      </x:c>
      <x:c r="M4322" t="n">
        <x:v>22</x:v>
      </x:c>
      <x:c r="N4322" s="24" t="n">
        <x:v>0</x:v>
      </x:c>
      <x:c r="O4322" s="22" t="n">
        <x:f>L4322*M4322</x:f>
        <x:v>1056</x:v>
      </x:c>
      <x:c r="P4322" s="22" t="n">
        <x:f>O4322*(1-N4322)</x:f>
        <x:v>1056</x:v>
      </x:c>
      <x:c r="Q4322" s="22" t="n">
        <x:v>43</x:v>
      </x:c>
      <x:c r="R4322" s="22" t="n">
        <x:f>Q4322*M4322</x:f>
        <x:v>946</x:v>
      </x:c>
      <x:c r="S4322" s="22" t="n">
        <x:f>P4322-R4322</x:f>
        <x:v>110</x:v>
      </x:c>
      <x:c r="T4322" t="str">
        <x:v>Credit</x:v>
      </x:c>
      <x:c r="U4322" t="str">
        <x:v>Paid</x:v>
      </x:c>
      <x:c r="V4322" t="str">
        <x:v>Delivered</x:v>
      </x:c>
      <x:c r="W4322" t="n">
        <x:v>0</x:v>
      </x:c>
      <x:c r="X4322" t="str"/>
      <x:c r="Y4322" t="str">
        <x:v>Field Visit</x:v>
      </x:c>
    </x:row>
    <x:row r="4323">
      <x:c r="A4323" t="str">
        <x:v>O004322</x:v>
      </x:c>
      <x:c r="B4323" s="20" t="n">
        <x:v>46138</x:v>
      </x:c>
      <x:c r="C4323" t="str">
        <x:v>C0185</x:v>
      </x:c>
      <x:c r="D4323" t="str">
        <x:v>Mysore Foods 185</x:v>
      </x:c>
      <x:c r="E4323" t="str">
        <x:v>Restaurant</x:v>
      </x:c>
      <x:c r="F4323" t="str">
        <x:v>Mysuru</x:v>
      </x:c>
      <x:c r="G4323" t="str">
        <x:v>Sneha</x:v>
      </x:c>
      <x:c r="H4323" t="str">
        <x:v>P046</x:v>
      </x:c>
      <x:c r="I4323" t="str">
        <x:v>Potato 25kg</x:v>
      </x:c>
      <x:c r="J4323" t="str">
        <x:v>Fresh Produce</x:v>
      </x:c>
      <x:c r="K4323" t="str">
        <x:v>Local Market</x:v>
      </x:c>
      <x:c r="L4323" s="22" t="n">
        <x:v>700</x:v>
      </x:c>
      <x:c r="M4323" t="n">
        <x:v>8</x:v>
      </x:c>
      <x:c r="N4323" s="24" t="n">
        <x:v>0.05</x:v>
      </x:c>
      <x:c r="O4323" s="22" t="n">
        <x:f>L4323*M4323</x:f>
        <x:v>5600</x:v>
      </x:c>
      <x:c r="P4323" s="22" t="n">
        <x:f>O4323*(1-N4323)</x:f>
        <x:v>5320</x:v>
      </x:c>
      <x:c r="Q4323" s="22" t="n">
        <x:v>610</x:v>
      </x:c>
      <x:c r="R4323" s="22" t="n">
        <x:f>Q4323*M4323</x:f>
        <x:v>4880</x:v>
      </x:c>
      <x:c r="S4323" s="22" t="n">
        <x:f>P4323-R4323</x:f>
        <x:v>440</x:v>
      </x:c>
      <x:c r="T4323" t="str">
        <x:v>Credit</x:v>
      </x:c>
      <x:c r="U4323" t="str">
        <x:v>Overdue</x:v>
      </x:c>
      <x:c r="V4323" t="str">
        <x:v>Delivered</x:v>
      </x:c>
      <x:c r="W4323" t="n">
        <x:v>0</x:v>
      </x:c>
      <x:c r="X4323" t="str"/>
      <x:c r="Y4323" t="str">
        <x:v>Field Visit</x:v>
      </x:c>
    </x:row>
    <x:row r="4324">
      <x:c r="A4324" t="str">
        <x:v>O004323</x:v>
      </x:c>
      <x:c r="B4324" s="20" t="n">
        <x:v>45673</x:v>
      </x:c>
      <x:c r="C4324" t="str">
        <x:v>C0095</x:v>
      </x:c>
      <x:c r="D4324" t="str">
        <x:v>Spice Restaurant 95</x:v>
      </x:c>
      <x:c r="E4324" t="str">
        <x:v>Restaurant</x:v>
      </x:c>
      <x:c r="F4324" t="str">
        <x:v>Bengaluru</x:v>
      </x:c>
      <x:c r="G4324" t="str">
        <x:v>Megha</x:v>
      </x:c>
      <x:c r="H4324" t="str">
        <x:v>P023</x:v>
      </x:c>
      <x:c r="I4324" t="str">
        <x:v>Cola 750ml</x:v>
      </x:c>
      <x:c r="J4324" t="str">
        <x:v>Beverage</x:v>
      </x:c>
      <x:c r="K4324" t="str">
        <x:v>Coca-Cola</x:v>
      </x:c>
      <x:c r="L4324" s="22" t="n">
        <x:v>38</x:v>
      </x:c>
      <x:c r="M4324" t="n">
        <x:v>36</x:v>
      </x:c>
      <x:c r="N4324" s="24" t="n">
        <x:v>0.1</x:v>
      </x:c>
      <x:c r="O4324" s="22" t="n">
        <x:f>L4324*M4324</x:f>
        <x:v>1368</x:v>
      </x:c>
      <x:c r="P4324" s="22" t="n">
        <x:f>O4324*(1-N4324)</x:f>
        <x:v>1231.2</x:v>
      </x:c>
      <x:c r="Q4324" s="22" t="n">
        <x:v>31</x:v>
      </x:c>
      <x:c r="R4324" s="22" t="n">
        <x:f>Q4324*M4324</x:f>
        <x:v>1116</x:v>
      </x:c>
      <x:c r="S4324" s="22" t="n">
        <x:f>P4324-R4324</x:f>
        <x:v>115.20000000000005</x:v>
      </x:c>
      <x:c r="T4324" t="str">
        <x:v>UPI</x:v>
      </x:c>
      <x:c r="U4324" t="str">
        <x:v>Paid</x:v>
      </x:c>
      <x:c r="V4324" t="str">
        <x:v>Delayed</x:v>
      </x:c>
      <x:c r="W4324" t="n">
        <x:v>0</x:v>
      </x:c>
      <x:c r="X4324" t="str"/>
      <x:c r="Y4324" t="str">
        <x:v>Outbound Call</x:v>
      </x:c>
    </x:row>
    <x:row r="4325">
      <x:c r="A4325" t="str">
        <x:v>O004324</x:v>
      </x:c>
      <x:c r="B4325" s="20" t="n">
        <x:v>46016</x:v>
      </x:c>
      <x:c r="C4325" t="str">
        <x:v>C0185</x:v>
      </x:c>
      <x:c r="D4325" t="str">
        <x:v>Mysore Foods 185</x:v>
      </x:c>
      <x:c r="E4325" t="str">
        <x:v>Restaurant</x:v>
      </x:c>
      <x:c r="F4325" t="str">
        <x:v>Mysuru</x:v>
      </x:c>
      <x:c r="G4325" t="str">
        <x:v>Sneha</x:v>
      </x:c>
      <x:c r="H4325" t="str">
        <x:v>P038</x:v>
      </x:c>
      <x:c r="I4325" t="str">
        <x:v>French Fries 2.5kg</x:v>
      </x:c>
      <x:c r="J4325" t="str">
        <x:v>Frozen</x:v>
      </x:c>
      <x:c r="K4325" t="str">
        <x:v>McCain</x:v>
      </x:c>
      <x:c r="L4325" s="22" t="n">
        <x:v>360</x:v>
      </x:c>
      <x:c r="M4325" t="n">
        <x:v>20</x:v>
      </x:c>
      <x:c r="N4325" s="24" t="n">
        <x:v>0.03</x:v>
      </x:c>
      <x:c r="O4325" s="22" t="n">
        <x:f>L4325*M4325</x:f>
        <x:v>7200</x:v>
      </x:c>
      <x:c r="P4325" s="22" t="n">
        <x:f>O4325*(1-N4325)</x:f>
        <x:v>6984</x:v>
      </x:c>
      <x:c r="Q4325" s="22" t="n">
        <x:v>315</x:v>
      </x:c>
      <x:c r="R4325" s="22" t="n">
        <x:f>Q4325*M4325</x:f>
        <x:v>6300</x:v>
      </x:c>
      <x:c r="S4325" s="22" t="n">
        <x:f>P4325-R4325</x:f>
        <x:v>684</x:v>
      </x:c>
      <x:c r="T4325" t="str">
        <x:v>Cash</x:v>
      </x:c>
      <x:c r="U4325" t="str">
        <x:v>Paid</x:v>
      </x:c>
      <x:c r="V4325" t="str">
        <x:v>Delivered</x:v>
      </x:c>
      <x:c r="W4325" t="n">
        <x:v>0</x:v>
      </x:c>
      <x:c r="X4325" t="str"/>
      <x:c r="Y4325" t="str">
        <x:v>WhatsApp</x:v>
      </x:c>
    </x:row>
    <x:row r="4326">
      <x:c r="A4326" t="str">
        <x:v>O004325</x:v>
      </x:c>
      <x:c r="B4326" s="20" t="n">
        <x:v>45866</x:v>
      </x:c>
      <x:c r="C4326" t="str">
        <x:v>C0152</x:v>
      </x:c>
      <x:c r="D4326" t="str">
        <x:v>Metro Stores 152</x:v>
      </x:c>
      <x:c r="E4326" t="str">
        <x:v>Cafe</x:v>
      </x:c>
      <x:c r="F4326" t="str">
        <x:v>Hubballi</x:v>
      </x:c>
      <x:c r="G4326" t="str">
        <x:v>Priya</x:v>
      </x:c>
      <x:c r="H4326" t="str">
        <x:v>P017</x:v>
      </x:c>
      <x:c r="I4326" t="str">
        <x:v>Butter 500g</x:v>
      </x:c>
      <x:c r="J4326" t="str">
        <x:v>Dairy</x:v>
      </x:c>
      <x:c r="K4326" t="str">
        <x:v>Amul</x:v>
      </x:c>
      <x:c r="L4326" s="22" t="n">
        <x:v>285</x:v>
      </x:c>
      <x:c r="M4326" t="n">
        <x:v>27</x:v>
      </x:c>
      <x:c r="N4326" s="24" t="n">
        <x:v>0.05</x:v>
      </x:c>
      <x:c r="O4326" s="22" t="n">
        <x:f>L4326*M4326</x:f>
        <x:v>7695</x:v>
      </x:c>
      <x:c r="P4326" s="22" t="n">
        <x:f>O4326*(1-N4326)</x:f>
        <x:v>7310.25</x:v>
      </x:c>
      <x:c r="Q4326" s="22" t="n">
        <x:v>258</x:v>
      </x:c>
      <x:c r="R4326" s="22" t="n">
        <x:f>Q4326*M4326</x:f>
        <x:v>6966</x:v>
      </x:c>
      <x:c r="S4326" s="22" t="n">
        <x:f>P4326-R4326</x:f>
        <x:v>344.25</x:v>
      </x:c>
      <x:c r="T4326" t="str">
        <x:v>UPI</x:v>
      </x:c>
      <x:c r="U4326" t="str">
        <x:v>Overdue</x:v>
      </x:c>
      <x:c r="V4326" t="str">
        <x:v>Delayed</x:v>
      </x:c>
      <x:c r="W4326" t="n">
        <x:v>0</x:v>
      </x:c>
      <x:c r="X4326" t="str"/>
      <x:c r="Y4326" t="str">
        <x:v>Outbound Call</x:v>
      </x:c>
    </x:row>
    <x:row r="4327">
      <x:c r="A4327" t="str">
        <x:v>O004326</x:v>
      </x:c>
      <x:c r="B4327" s="20" t="n">
        <x:v>45925</x:v>
      </x:c>
      <x:c r="C4327" t="str">
        <x:v>C0241</x:v>
      </x:c>
      <x:c r="D4327" t="str">
        <x:v>Annapurna Restaurant 241</x:v>
      </x:c>
      <x:c r="E4327" t="str">
        <x:v>Hotel</x:v>
      </x:c>
      <x:c r="F4327" t="str">
        <x:v>Tumakuru</x:v>
      </x:c>
      <x:c r="G4327" t="str">
        <x:v>Imran</x:v>
      </x:c>
      <x:c r="H4327" t="str">
        <x:v>P011</x:v>
      </x:c>
      <x:c r="I4327" t="str">
        <x:v>Salt 1kg</x:v>
      </x:c>
      <x:c r="J4327" t="str">
        <x:v>Staples</x:v>
      </x:c>
      <x:c r="K4327" t="str">
        <x:v>Tata</x:v>
      </x:c>
      <x:c r="L4327" s="22" t="n">
        <x:v>28</x:v>
      </x:c>
      <x:c r="M4327" t="n">
        <x:v>21</x:v>
      </x:c>
      <x:c r="N4327" s="24" t="n">
        <x:v>0</x:v>
      </x:c>
      <x:c r="O4327" s="22" t="n">
        <x:f>L4327*M4327</x:f>
        <x:v>588</x:v>
      </x:c>
      <x:c r="P4327" s="22" t="n">
        <x:f>O4327*(1-N4327)</x:f>
        <x:v>588</x:v>
      </x:c>
      <x:c r="Q4327" s="22" t="n">
        <x:v>23</x:v>
      </x:c>
      <x:c r="R4327" s="22" t="n">
        <x:f>Q4327*M4327</x:f>
        <x:v>483</x:v>
      </x:c>
      <x:c r="S4327" s="22" t="n">
        <x:f>P4327-R4327</x:f>
        <x:v>105</x:v>
      </x:c>
      <x:c r="T4327" t="str">
        <x:v>UPI</x:v>
      </x:c>
      <x:c r="U4327" t="str">
        <x:v>Paid</x:v>
      </x:c>
      <x:c r="V4327" t="str">
        <x:v>Delivered</x:v>
      </x:c>
      <x:c r="W4327" t="n">
        <x:v>0</x:v>
      </x:c>
      <x:c r="X4327" t="str"/>
      <x:c r="Y4327" t="str">
        <x:v>WhatsApp</x:v>
      </x:c>
    </x:row>
    <x:row r="4328">
      <x:c r="A4328" t="str">
        <x:v>O004327</x:v>
      </x:c>
      <x:c r="B4328" s="20" t="n">
        <x:v>46086</x:v>
      </x:c>
      <x:c r="C4328" t="str">
        <x:v>C0215</x:v>
      </x:c>
      <x:c r="D4328" t="str">
        <x:v>Annapurna Restaurant 215</x:v>
      </x:c>
      <x:c r="E4328" t="str">
        <x:v>Supermarket</x:v>
      </x:c>
      <x:c r="F4328" t="str">
        <x:v>Bengaluru</x:v>
      </x:c>
      <x:c r="G4328" t="str">
        <x:v>Vikram</x:v>
      </x:c>
      <x:c r="H4328" t="str">
        <x:v>P013</x:v>
      </x:c>
      <x:c r="I4328" t="str">
        <x:v>Atta 10kg</x:v>
      </x:c>
      <x:c r="J4328" t="str">
        <x:v>Flour</x:v>
      </x:c>
      <x:c r="K4328" t="str">
        <x:v>Aashirvaad</x:v>
      </x:c>
      <x:c r="L4328" s="22" t="n">
        <x:v>560</x:v>
      </x:c>
      <x:c r="M4328" t="n">
        <x:v>1</x:v>
      </x:c>
      <x:c r="N4328" s="24" t="n">
        <x:v>0.03</x:v>
      </x:c>
      <x:c r="O4328" s="22" t="n">
        <x:f>L4328*M4328</x:f>
        <x:v>560</x:v>
      </x:c>
      <x:c r="P4328" s="22" t="n">
        <x:f>O4328*(1-N4328)</x:f>
        <x:v>543.1999999999999</x:v>
      </x:c>
      <x:c r="Q4328" s="22" t="n">
        <x:v>495</x:v>
      </x:c>
      <x:c r="R4328" s="22" t="n">
        <x:f>Q4328*M4328</x:f>
        <x:v>495</x:v>
      </x:c>
      <x:c r="S4328" s="22" t="n">
        <x:f>P4328-R4328</x:f>
        <x:v>48.19999999999993</x:v>
      </x:c>
      <x:c r="T4328" t="str">
        <x:v>UPI</x:v>
      </x:c>
      <x:c r="U4328" t="str">
        <x:v>Paid</x:v>
      </x:c>
      <x:c r="V4328" t="str">
        <x:v>Delivered</x:v>
      </x:c>
      <x:c r="W4328" t="n">
        <x:v>1</x:v>
      </x:c>
      <x:c r="X4328" t="str">
        <x:v>Quality Issue</x:v>
      </x:c>
      <x:c r="Y4328" t="str">
        <x:v>Referral</x:v>
      </x:c>
    </x:row>
    <x:row r="4329">
      <x:c r="A4329" t="str">
        <x:v>O004328</x:v>
      </x:c>
      <x:c r="B4329" s="20" t="n">
        <x:v>45740</x:v>
      </x:c>
      <x:c r="C4329" t="str">
        <x:v>C0233</x:v>
      </x:c>
      <x:c r="D4329" t="str">
        <x:v>Shree Mart 233</x:v>
      </x:c>
      <x:c r="E4329" t="str">
        <x:v>Kirana</x:v>
      </x:c>
      <x:c r="F4329" t="str">
        <x:v>Mangaluru</x:v>
      </x:c>
      <x:c r="G4329" t="str">
        <x:v>Priya</x:v>
      </x:c>
      <x:c r="H4329" t="str">
        <x:v>P013</x:v>
      </x:c>
      <x:c r="I4329" t="str">
        <x:v>Atta 10kg</x:v>
      </x:c>
      <x:c r="J4329" t="str">
        <x:v>Flour</x:v>
      </x:c>
      <x:c r="K4329" t="str">
        <x:v>Aashirvaad</x:v>
      </x:c>
      <x:c r="L4329" s="22" t="n">
        <x:v>560</x:v>
      </x:c>
      <x:c r="M4329" t="n">
        <x:v>13</x:v>
      </x:c>
      <x:c r="N4329" s="24" t="n">
        <x:v>0.02</x:v>
      </x:c>
      <x:c r="O4329" s="22" t="n">
        <x:f>L4329*M4329</x:f>
        <x:v>7280</x:v>
      </x:c>
      <x:c r="P4329" s="22" t="n">
        <x:f>O4329*(1-N4329)</x:f>
        <x:v>7134.4</x:v>
      </x:c>
      <x:c r="Q4329" s="22" t="n">
        <x:v>495</x:v>
      </x:c>
      <x:c r="R4329" s="22" t="n">
        <x:f>Q4329*M4329</x:f>
        <x:v>6435</x:v>
      </x:c>
      <x:c r="S4329" s="22" t="n">
        <x:f>P4329-R4329</x:f>
        <x:v>699.3999999999996</x:v>
      </x:c>
      <x:c r="T4329" t="str">
        <x:v>UPI</x:v>
      </x:c>
      <x:c r="U4329" t="str">
        <x:v>Paid</x:v>
      </x:c>
      <x:c r="V4329" t="str">
        <x:v>Delivered</x:v>
      </x:c>
      <x:c r="W4329" t="n">
        <x:v>0</x:v>
      </x:c>
      <x:c r="X4329" t="str"/>
      <x:c r="Y4329" t="str">
        <x:v>Existing Customer</x:v>
      </x:c>
    </x:row>
    <x:row r="4330">
      <x:c r="A4330" t="str">
        <x:v>O004329</x:v>
      </x:c>
      <x:c r="B4330" s="20" t="n">
        <x:v>45964</x:v>
      </x:c>
      <x:c r="C4330" t="str">
        <x:v>C0148</x:v>
      </x:c>
      <x:c r="D4330" t="str">
        <x:v>Shree Cafe 148</x:v>
      </x:c>
      <x:c r="E4330" t="str">
        <x:v>Kirana</x:v>
      </x:c>
      <x:c r="F4330" t="str">
        <x:v>Hubballi</x:v>
      </x:c>
      <x:c r="G4330" t="str">
        <x:v>Priya</x:v>
      </x:c>
      <x:c r="H4330" t="str">
        <x:v>P023</x:v>
      </x:c>
      <x:c r="I4330" t="str">
        <x:v>Cola 750ml</x:v>
      </x:c>
      <x:c r="J4330" t="str">
        <x:v>Beverage</x:v>
      </x:c>
      <x:c r="K4330" t="str">
        <x:v>Coca-Cola</x:v>
      </x:c>
      <x:c r="L4330" s="22" t="n">
        <x:v>38</x:v>
      </x:c>
      <x:c r="M4330" t="n">
        <x:v>5</x:v>
      </x:c>
      <x:c r="N4330" s="24" t="n">
        <x:v>0.03</x:v>
      </x:c>
      <x:c r="O4330" s="22" t="n">
        <x:f>L4330*M4330</x:f>
        <x:v>190</x:v>
      </x:c>
      <x:c r="P4330" s="22" t="n">
        <x:f>O4330*(1-N4330)</x:f>
        <x:v>184.29999999999998</x:v>
      </x:c>
      <x:c r="Q4330" s="22" t="n">
        <x:v>31</x:v>
      </x:c>
      <x:c r="R4330" s="22" t="n">
        <x:f>Q4330*M4330</x:f>
        <x:v>155</x:v>
      </x:c>
      <x:c r="S4330" s="22" t="n">
        <x:f>P4330-R4330</x:f>
        <x:v>29.299999999999983</x:v>
      </x:c>
      <x:c r="T4330" t="str">
        <x:v>Cash</x:v>
      </x:c>
      <x:c r="U4330" t="str">
        <x:v>Paid</x:v>
      </x:c>
      <x:c r="V4330" t="str">
        <x:v>Delivered</x:v>
      </x:c>
      <x:c r="W4330" t="n">
        <x:v>0</x:v>
      </x:c>
      <x:c r="X4330" t="str"/>
      <x:c r="Y4330" t="str">
        <x:v>WhatsApp</x:v>
      </x:c>
    </x:row>
    <x:row r="4331">
      <x:c r="A4331" t="str">
        <x:v>O004330</x:v>
      </x:c>
      <x:c r="B4331" s="20" t="n">
        <x:v>46220</x:v>
      </x:c>
      <x:c r="C4331" t="str">
        <x:v>C0090</x:v>
      </x:c>
      <x:c r="D4331" t="str">
        <x:v>Shree Mart 90</x:v>
      </x:c>
      <x:c r="E4331" t="str">
        <x:v>Restaurant</x:v>
      </x:c>
      <x:c r="F4331" t="str">
        <x:v>Davanagere</x:v>
      </x:c>
      <x:c r="G4331" t="str">
        <x:v>Megha</x:v>
      </x:c>
      <x:c r="H4331" t="str">
        <x:v>P050</x:v>
      </x:c>
      <x:c r="I4331" t="str">
        <x:v>Lemon 5kg</x:v>
      </x:c>
      <x:c r="J4331" t="str">
        <x:v>Fresh Produce</x:v>
      </x:c>
      <x:c r="K4331" t="str">
        <x:v>Local Market</x:v>
      </x:c>
      <x:c r="L4331" s="22" t="n">
        <x:v>360</x:v>
      </x:c>
      <x:c r="M4331" t="n">
        <x:v>18</x:v>
      </x:c>
      <x:c r="N4331" s="24" t="n">
        <x:v>0.03</x:v>
      </x:c>
      <x:c r="O4331" s="22" t="n">
        <x:f>L4331*M4331</x:f>
        <x:v>6480</x:v>
      </x:c>
      <x:c r="P4331" s="22" t="n">
        <x:f>O4331*(1-N4331)</x:f>
        <x:v>6285.599999999999</x:v>
      </x:c>
      <x:c r="Q4331" s="22" t="n">
        <x:v>300</x:v>
      </x:c>
      <x:c r="R4331" s="22" t="n">
        <x:f>Q4331*M4331</x:f>
        <x:v>5400</x:v>
      </x:c>
      <x:c r="S4331" s="22" t="n">
        <x:f>P4331-R4331</x:f>
        <x:v>885.5999999999995</x:v>
      </x:c>
      <x:c r="T4331" t="str">
        <x:v>UPI</x:v>
      </x:c>
      <x:c r="U4331" t="str">
        <x:v>Paid</x:v>
      </x:c>
      <x:c r="V4331" t="str">
        <x:v>Delayed</x:v>
      </x:c>
      <x:c r="W4331" t="n">
        <x:v>0</x:v>
      </x:c>
      <x:c r="X4331" t="str"/>
      <x:c r="Y4331" t="str">
        <x:v>Referral</x:v>
      </x:c>
    </x:row>
    <x:row r="4332">
      <x:c r="A4332" t="str">
        <x:v>O004331</x:v>
      </x:c>
      <x:c r="B4332" s="20" t="n">
        <x:v>46073</x:v>
      </x:c>
      <x:c r="C4332" t="str">
        <x:v>C0218</x:v>
      </x:c>
      <x:c r="D4332" t="str">
        <x:v>Green Stores 218</x:v>
      </x:c>
      <x:c r="E4332" t="str">
        <x:v>Hotel</x:v>
      </x:c>
      <x:c r="F4332" t="str">
        <x:v>Mysuru</x:v>
      </x:c>
      <x:c r="G4332" t="str">
        <x:v>Imran</x:v>
      </x:c>
      <x:c r="H4332" t="str">
        <x:v>P040</x:v>
      </x:c>
      <x:c r="I4332" t="str">
        <x:v>Bread Loaf 400g</x:v>
      </x:c>
      <x:c r="J4332" t="str">
        <x:v>Bakery</x:v>
      </x:c>
      <x:c r="K4332" t="str">
        <x:v>Britannia</x:v>
      </x:c>
      <x:c r="L4332" s="22" t="n">
        <x:v>45</x:v>
      </x:c>
      <x:c r="M4332" t="n">
        <x:v>40</x:v>
      </x:c>
      <x:c r="N4332" s="24" t="n">
        <x:v>0.05</x:v>
      </x:c>
      <x:c r="O4332" s="22" t="n">
        <x:f>L4332*M4332</x:f>
        <x:v>1800</x:v>
      </x:c>
      <x:c r="P4332" s="22" t="n">
        <x:f>O4332*(1-N4332)</x:f>
        <x:v>1710</x:v>
      </x:c>
      <x:c r="Q4332" s="22" t="n">
        <x:v>35</x:v>
      </x:c>
      <x:c r="R4332" s="22" t="n">
        <x:f>Q4332*M4332</x:f>
        <x:v>1400</x:v>
      </x:c>
      <x:c r="S4332" s="22" t="n">
        <x:f>P4332-R4332</x:f>
        <x:v>310</x:v>
      </x:c>
      <x:c r="T4332" t="str">
        <x:v>UPI</x:v>
      </x:c>
      <x:c r="U4332" t="str">
        <x:v>Paid</x:v>
      </x:c>
      <x:c r="V4332" t="str">
        <x:v>Delayed</x:v>
      </x:c>
      <x:c r="W4332" t="n">
        <x:v>0</x:v>
      </x:c>
      <x:c r="X4332" t="str"/>
      <x:c r="Y4332" t="str">
        <x:v>Referral</x:v>
      </x:c>
    </x:row>
    <x:row r="4333">
      <x:c r="A4333" t="str">
        <x:v>O004332</x:v>
      </x:c>
      <x:c r="B4333" s="20" t="n">
        <x:v>46020</x:v>
      </x:c>
      <x:c r="C4333" t="str">
        <x:v>C0109</x:v>
      </x:c>
      <x:c r="D4333" t="str">
        <x:v>Annapurna Kitchen 109</x:v>
      </x:c>
      <x:c r="E4333" t="str">
        <x:v>Kirana</x:v>
      </x:c>
      <x:c r="F4333" t="str">
        <x:v>Mysuru</x:v>
      </x:c>
      <x:c r="G4333" t="str">
        <x:v>Kavya</x:v>
      </x:c>
      <x:c r="H4333" t="str">
        <x:v>P042</x:v>
      </x:c>
      <x:c r="I4333" t="str">
        <x:v>Eggs 30pc Tray</x:v>
      </x:c>
      <x:c r="J4333" t="str">
        <x:v>Protein</x:v>
      </x:c>
      <x:c r="K4333" t="str">
        <x:v>Farm Fresh</x:v>
      </x:c>
      <x:c r="L4333" s="22" t="n">
        <x:v>195</x:v>
      </x:c>
      <x:c r="M4333" t="n">
        <x:v>28</x:v>
      </x:c>
      <x:c r="N4333" s="24" t="n">
        <x:v>0.1</x:v>
      </x:c>
      <x:c r="O4333" s="22" t="n">
        <x:f>L4333*M4333</x:f>
        <x:v>5460</x:v>
      </x:c>
      <x:c r="P4333" s="22" t="n">
        <x:f>O4333*(1-N4333)</x:f>
        <x:v>4914</x:v>
      </x:c>
      <x:c r="Q4333" s="22" t="n">
        <x:v>170</x:v>
      </x:c>
      <x:c r="R4333" s="22" t="n">
        <x:f>Q4333*M4333</x:f>
        <x:v>4760</x:v>
      </x:c>
      <x:c r="S4333" s="22" t="n">
        <x:f>P4333-R4333</x:f>
        <x:v>154</x:v>
      </x:c>
      <x:c r="T4333" t="str">
        <x:v>Bank Transfer</x:v>
      </x:c>
      <x:c r="U4333" t="str">
        <x:v>Pending</x:v>
      </x:c>
      <x:c r="V4333" t="str">
        <x:v>Delivered</x:v>
      </x:c>
      <x:c r="W4333" t="n">
        <x:v>0</x:v>
      </x:c>
      <x:c r="X4333" t="str"/>
      <x:c r="Y4333" t="str">
        <x:v>Field Visit</x:v>
      </x:c>
    </x:row>
    <x:row r="4334">
      <x:c r="A4334" t="str">
        <x:v>O004333</x:v>
      </x:c>
      <x:c r="B4334" s="20" t="n">
        <x:v>46043</x:v>
      </x:c>
      <x:c r="C4334" t="str">
        <x:v>C0215</x:v>
      </x:c>
      <x:c r="D4334" t="str">
        <x:v>Annapurna Restaurant 215</x:v>
      </x:c>
      <x:c r="E4334" t="str">
        <x:v>Supermarket</x:v>
      </x:c>
      <x:c r="F4334" t="str">
        <x:v>Bengaluru</x:v>
      </x:c>
      <x:c r="G4334" t="str">
        <x:v>Vikram</x:v>
      </x:c>
      <x:c r="H4334" t="str">
        <x:v>P031</x:v>
      </x:c>
      <x:c r="I4334" t="str">
        <x:v>Chilli Sauce 700g</x:v>
      </x:c>
      <x:c r="J4334" t="str">
        <x:v>Condiments</x:v>
      </x:c>
      <x:c r="K4334" t="str">
        <x:v>Ching's</x:v>
      </x:c>
      <x:c r="L4334" s="22" t="n">
        <x:v>130</x:v>
      </x:c>
      <x:c r="M4334" t="n">
        <x:v>17</x:v>
      </x:c>
      <x:c r="N4334" s="24" t="n">
        <x:v>0.03</x:v>
      </x:c>
      <x:c r="O4334" s="22" t="n">
        <x:f>L4334*M4334</x:f>
        <x:v>2210</x:v>
      </x:c>
      <x:c r="P4334" s="22" t="n">
        <x:f>O4334*(1-N4334)</x:f>
        <x:v>2143.7</x:v>
      </x:c>
      <x:c r="Q4334" s="22" t="n">
        <x:v>112</x:v>
      </x:c>
      <x:c r="R4334" s="22" t="n">
        <x:f>Q4334*M4334</x:f>
        <x:v>1904</x:v>
      </x:c>
      <x:c r="S4334" s="22" t="n">
        <x:f>P4334-R4334</x:f>
        <x:v>239.69999999999982</x:v>
      </x:c>
      <x:c r="T4334" t="str">
        <x:v>Cash</x:v>
      </x:c>
      <x:c r="U4334" t="str">
        <x:v>Paid</x:v>
      </x:c>
      <x:c r="V4334" t="str">
        <x:v>Delivered</x:v>
      </x:c>
      <x:c r="W4334" t="n">
        <x:v>0</x:v>
      </x:c>
      <x:c r="X4334" t="str"/>
      <x:c r="Y4334" t="str">
        <x:v>Existing Customer</x:v>
      </x:c>
    </x:row>
    <x:row r="4335">
      <x:c r="A4335" t="str">
        <x:v>O004334</x:v>
      </x:c>
      <x:c r="B4335" s="20" t="n">
        <x:v>45737</x:v>
      </x:c>
      <x:c r="C4335" t="str">
        <x:v>C0091</x:v>
      </x:c>
      <x:c r="D4335" t="str">
        <x:v>Classic Mart 91</x:v>
      </x:c>
      <x:c r="E4335" t="str">
        <x:v>Cafe</x:v>
      </x:c>
      <x:c r="F4335" t="str">
        <x:v>Mangaluru</x:v>
      </x:c>
      <x:c r="G4335" t="str">
        <x:v>Kavya</x:v>
      </x:c>
      <x:c r="H4335" t="str">
        <x:v>P004</x:v>
      </x:c>
      <x:c r="I4335" t="str">
        <x:v>Toor Dal 5kg</x:v>
      </x:c>
      <x:c r="J4335" t="str">
        <x:v>Pulses</x:v>
      </x:c>
      <x:c r="K4335" t="str">
        <x:v>Tata Sampann</x:v>
      </x:c>
      <x:c r="L4335" s="22" t="n">
        <x:v>780</x:v>
      </x:c>
      <x:c r="M4335" t="n">
        <x:v>20</x:v>
      </x:c>
      <x:c r="N4335" s="24" t="n">
        <x:v>0</x:v>
      </x:c>
      <x:c r="O4335" s="22" t="n">
        <x:f>L4335*M4335</x:f>
        <x:v>15600</x:v>
      </x:c>
      <x:c r="P4335" s="22" t="n">
        <x:f>O4335*(1-N4335)</x:f>
        <x:v>15600</x:v>
      </x:c>
      <x:c r="Q4335" s="22" t="n">
        <x:v>695</x:v>
      </x:c>
      <x:c r="R4335" s="22" t="n">
        <x:f>Q4335*M4335</x:f>
        <x:v>13900</x:v>
      </x:c>
      <x:c r="S4335" s="22" t="n">
        <x:f>P4335-R4335</x:f>
        <x:v>1700</x:v>
      </x:c>
      <x:c r="T4335" t="str">
        <x:v>Bank Transfer</x:v>
      </x:c>
      <x:c r="U4335" t="str">
        <x:v>Paid</x:v>
      </x:c>
      <x:c r="V4335" t="str">
        <x:v>Delivered</x:v>
      </x:c>
      <x:c r="W4335" t="n">
        <x:v>0</x:v>
      </x:c>
      <x:c r="X4335" t="str"/>
      <x:c r="Y4335" t="str">
        <x:v>Existing Customer</x:v>
      </x:c>
    </x:row>
    <x:row r="4336">
      <x:c r="A4336" t="str">
        <x:v>O004335</x:v>
      </x:c>
      <x:c r="B4336" s="20" t="n">
        <x:v>45780</x:v>
      </x:c>
      <x:c r="C4336" t="str">
        <x:v>C0132</x:v>
      </x:c>
      <x:c r="D4336" t="str">
        <x:v>Classic Stores 132</x:v>
      </x:c>
      <x:c r="E4336" t="str">
        <x:v>Cafe</x:v>
      </x:c>
      <x:c r="F4336" t="str">
        <x:v>Mysuru</x:v>
      </x:c>
      <x:c r="G4336" t="str">
        <x:v>Megha</x:v>
      </x:c>
      <x:c r="H4336" t="str">
        <x:v>P028</x:v>
      </x:c>
      <x:c r="I4336" t="str">
        <x:v>Cookies 200g</x:v>
      </x:c>
      <x:c r="J4336" t="str">
        <x:v>Snacks</x:v>
      </x:c>
      <x:c r="K4336" t="str">
        <x:v>Britannia</x:v>
      </x:c>
      <x:c r="L4336" s="22" t="n">
        <x:v>55</x:v>
      </x:c>
      <x:c r="M4336" t="n">
        <x:v>1</x:v>
      </x:c>
      <x:c r="N4336" s="24" t="n">
        <x:v>0</x:v>
      </x:c>
      <x:c r="O4336" s="22" t="n">
        <x:f>L4336*M4336</x:f>
        <x:v>55</x:v>
      </x:c>
      <x:c r="P4336" s="22" t="n">
        <x:f>O4336*(1-N4336)</x:f>
        <x:v>55</x:v>
      </x:c>
      <x:c r="Q4336" s="22" t="n">
        <x:v>42</x:v>
      </x:c>
      <x:c r="R4336" s="22" t="n">
        <x:f>Q4336*M4336</x:f>
        <x:v>42</x:v>
      </x:c>
      <x:c r="S4336" s="22" t="n">
        <x:f>P4336-R4336</x:f>
        <x:v>13</x:v>
      </x:c>
      <x:c r="T4336" t="str">
        <x:v>Cash</x:v>
      </x:c>
      <x:c r="U4336" t="str">
        <x:v>Paid</x:v>
      </x:c>
      <x:c r="V4336" t="str">
        <x:v>Delivered</x:v>
      </x:c>
      <x:c r="W4336" t="n">
        <x:v>0</x:v>
      </x:c>
      <x:c r="X4336" t="str"/>
      <x:c r="Y4336" t="str">
        <x:v>Existing Customer</x:v>
      </x:c>
    </x:row>
    <x:row r="4337">
      <x:c r="A4337" t="str">
        <x:v>O004336</x:v>
      </x:c>
      <x:c r="B4337" s="20" t="n">
        <x:v>45999</x:v>
      </x:c>
      <x:c r="C4337" t="str">
        <x:v>C0040</x:v>
      </x:c>
      <x:c r="D4337" t="str">
        <x:v>Royal Foods 40</x:v>
      </x:c>
      <x:c r="E4337" t="str">
        <x:v>Restaurant</x:v>
      </x:c>
      <x:c r="F4337" t="str">
        <x:v>Mangaluru</x:v>
      </x:c>
      <x:c r="G4337" t="str">
        <x:v>Kavya</x:v>
      </x:c>
      <x:c r="H4337" t="str">
        <x:v>P021</x:v>
      </x:c>
      <x:c r="I4337" t="str">
        <x:v>Instant Coffee 200g</x:v>
      </x:c>
      <x:c r="J4337" t="str">
        <x:v>Beverage</x:v>
      </x:c>
      <x:c r="K4337" t="str">
        <x:v>Nescafe</x:v>
      </x:c>
      <x:c r="L4337" s="22" t="n">
        <x:v>460</x:v>
      </x:c>
      <x:c r="M4337" t="n">
        <x:v>10</x:v>
      </x:c>
      <x:c r="N4337" s="24" t="n">
        <x:v>0</x:v>
      </x:c>
      <x:c r="O4337" s="22" t="n">
        <x:f>L4337*M4337</x:f>
        <x:v>4600</x:v>
      </x:c>
      <x:c r="P4337" s="22" t="n">
        <x:f>O4337*(1-N4337)</x:f>
        <x:v>4600</x:v>
      </x:c>
      <x:c r="Q4337" s="22" t="n">
        <x:v>410</x:v>
      </x:c>
      <x:c r="R4337" s="22" t="n">
        <x:f>Q4337*M4337</x:f>
        <x:v>4100</x:v>
      </x:c>
      <x:c r="S4337" s="22" t="n">
        <x:f>P4337-R4337</x:f>
        <x:v>500</x:v>
      </x:c>
      <x:c r="T4337" t="str">
        <x:v>Bank Transfer</x:v>
      </x:c>
      <x:c r="U4337" t="str">
        <x:v>Overdue</x:v>
      </x:c>
      <x:c r="V4337" t="str">
        <x:v>Cancelled</x:v>
      </x:c>
      <x:c r="W4337" t="n">
        <x:v>10</x:v>
      </x:c>
      <x:c r="X4337" t="str">
        <x:v>Cancelled Order</x:v>
      </x:c>
      <x:c r="Y4337" t="str">
        <x:v>Existing Customer</x:v>
      </x:c>
    </x:row>
    <x:row r="4338">
      <x:c r="A4338" t="str">
        <x:v>O004337</x:v>
      </x:c>
      <x:c r="B4338" s="20" t="n">
        <x:v>45778</x:v>
      </x:c>
      <x:c r="C4338" t="str">
        <x:v>C0087</x:v>
      </x:c>
      <x:c r="D4338" t="str">
        <x:v>Namma Kitchen 87</x:v>
      </x:c>
      <x:c r="E4338" t="str">
        <x:v>Kirana</x:v>
      </x:c>
      <x:c r="F4338" t="str">
        <x:v>Bengaluru</x:v>
      </x:c>
      <x:c r="G4338" t="str">
        <x:v>Priya</x:v>
      </x:c>
      <x:c r="H4338" t="str">
        <x:v>P037</x:v>
      </x:c>
      <x:c r="I4338" t="str">
        <x:v>Frozen Peas 1kg</x:v>
      </x:c>
      <x:c r="J4338" t="str">
        <x:v>Frozen</x:v>
      </x:c>
      <x:c r="K4338" t="str">
        <x:v>Safal</x:v>
      </x:c>
      <x:c r="L4338" s="22" t="n">
        <x:v>155</x:v>
      </x:c>
      <x:c r="M4338" t="n">
        <x:v>35</x:v>
      </x:c>
      <x:c r="N4338" s="24" t="n">
        <x:v>0.05</x:v>
      </x:c>
      <x:c r="O4338" s="22" t="n">
        <x:f>L4338*M4338</x:f>
        <x:v>5425</x:v>
      </x:c>
      <x:c r="P4338" s="22" t="n">
        <x:f>O4338*(1-N4338)</x:f>
        <x:v>5153.75</x:v>
      </x:c>
      <x:c r="Q4338" s="22" t="n">
        <x:v>138</x:v>
      </x:c>
      <x:c r="R4338" s="22" t="n">
        <x:f>Q4338*M4338</x:f>
        <x:v>4830</x:v>
      </x:c>
      <x:c r="S4338" s="22" t="n">
        <x:f>P4338-R4338</x:f>
        <x:v>323.75</x:v>
      </x:c>
      <x:c r="T4338" t="str">
        <x:v>UPI</x:v>
      </x:c>
      <x:c r="U4338" t="str">
        <x:v>Pending</x:v>
      </x:c>
      <x:c r="V4338" t="str">
        <x:v>Delayed</x:v>
      </x:c>
      <x:c r="W4338" t="n">
        <x:v>0</x:v>
      </x:c>
      <x:c r="X4338" t="str"/>
      <x:c r="Y4338" t="str">
        <x:v>Existing Customer</x:v>
      </x:c>
    </x:row>
    <x:row r="4339">
      <x:c r="A4339" t="str">
        <x:v>O004338</x:v>
      </x:c>
      <x:c r="B4339" s="20" t="n">
        <x:v>46200</x:v>
      </x:c>
      <x:c r="C4339" t="str">
        <x:v>C0090</x:v>
      </x:c>
      <x:c r="D4339" t="str">
        <x:v>Shree Mart 90</x:v>
      </x:c>
      <x:c r="E4339" t="str">
        <x:v>Restaurant</x:v>
      </x:c>
      <x:c r="F4339" t="str">
        <x:v>Davanagere</x:v>
      </x:c>
      <x:c r="G4339" t="str">
        <x:v>Megha</x:v>
      </x:c>
      <x:c r="H4339" t="str">
        <x:v>P012</x:v>
      </x:c>
      <x:c r="I4339" t="str">
        <x:v>Maida 10kg</x:v>
      </x:c>
      <x:c r="J4339" t="str">
        <x:v>Flour</x:v>
      </x:c>
      <x:c r="K4339" t="str">
        <x:v>Aashirvaad</x:v>
      </x:c>
      <x:c r="L4339" s="22" t="n">
        <x:v>520</x:v>
      </x:c>
      <x:c r="M4339" t="n">
        <x:v>14</x:v>
      </x:c>
      <x:c r="N4339" s="24" t="n">
        <x:v>0.05</x:v>
      </x:c>
      <x:c r="O4339" s="22" t="n">
        <x:f>L4339*M4339</x:f>
        <x:v>7280</x:v>
      </x:c>
      <x:c r="P4339" s="22" t="n">
        <x:f>O4339*(1-N4339)</x:f>
        <x:v>6916</x:v>
      </x:c>
      <x:c r="Q4339" s="22" t="n">
        <x:v>460</x:v>
      </x:c>
      <x:c r="R4339" s="22" t="n">
        <x:f>Q4339*M4339</x:f>
        <x:v>6440</x:v>
      </x:c>
      <x:c r="S4339" s="22" t="n">
        <x:f>P4339-R4339</x:f>
        <x:v>476</x:v>
      </x:c>
      <x:c r="T4339" t="str">
        <x:v>UPI</x:v>
      </x:c>
      <x:c r="U4339" t="str">
        <x:v>Pending</x:v>
      </x:c>
      <x:c r="V4339" t="str">
        <x:v>Delivered</x:v>
      </x:c>
      <x:c r="W4339" t="n">
        <x:v>0</x:v>
      </x:c>
      <x:c r="X4339" t="str"/>
      <x:c r="Y4339" t="str">
        <x:v>WhatsApp</x:v>
      </x:c>
    </x:row>
    <x:row r="4340">
      <x:c r="A4340" t="str">
        <x:v>O004339</x:v>
      </x:c>
      <x:c r="B4340" s="20" t="n">
        <x:v>46212</x:v>
      </x:c>
      <x:c r="C4340" t="str">
        <x:v>C0228</x:v>
      </x:c>
      <x:c r="D4340" t="str">
        <x:v>Metro Foods 228</x:v>
      </x:c>
      <x:c r="E4340" t="str">
        <x:v>Supermarket</x:v>
      </x:c>
      <x:c r="F4340" t="str">
        <x:v>Davanagere</x:v>
      </x:c>
      <x:c r="G4340" t="str">
        <x:v>Sneha</x:v>
      </x:c>
      <x:c r="H4340" t="str">
        <x:v>P001</x:v>
      </x:c>
      <x:c r="I4340" t="str">
        <x:v>Steam Rice 25kg</x:v>
      </x:c>
      <x:c r="J4340" t="str">
        <x:v>Staples</x:v>
      </x:c>
      <x:c r="K4340" t="str">
        <x:v>Aishwarya</x:v>
      </x:c>
      <x:c r="L4340" s="22" t="n">
        <x:v>1180</x:v>
      </x:c>
      <x:c r="M4340" t="n">
        <x:v>1</x:v>
      </x:c>
      <x:c r="N4340" s="24" t="n">
        <x:v>0</x:v>
      </x:c>
      <x:c r="O4340" s="22" t="n">
        <x:f>L4340*M4340</x:f>
        <x:v>1180</x:v>
      </x:c>
      <x:c r="P4340" s="22" t="n">
        <x:f>O4340*(1-N4340)</x:f>
        <x:v>1180</x:v>
      </x:c>
      <x:c r="Q4340" s="22" t="n">
        <x:v>1040</x:v>
      </x:c>
      <x:c r="R4340" s="22" t="n">
        <x:f>Q4340*M4340</x:f>
        <x:v>1040</x:v>
      </x:c>
      <x:c r="S4340" s="22" t="n">
        <x:f>P4340-R4340</x:f>
        <x:v>140</x:v>
      </x:c>
      <x:c r="T4340" t="str">
        <x:v>Cash</x:v>
      </x:c>
      <x:c r="U4340" t="str">
        <x:v>Paid</x:v>
      </x:c>
      <x:c r="V4340" t="str">
        <x:v>Cancelled</x:v>
      </x:c>
      <x:c r="W4340" t="n">
        <x:v>1</x:v>
      </x:c>
      <x:c r="X4340" t="str">
        <x:v>Cancelled Order</x:v>
      </x:c>
      <x:c r="Y4340" t="str">
        <x:v>WhatsApp</x:v>
      </x:c>
    </x:row>
    <x:row r="4341">
      <x:c r="A4341" t="str">
        <x:v>O004340</x:v>
      </x:c>
      <x:c r="B4341" s="20" t="n">
        <x:v>46264</x:v>
      </x:c>
      <x:c r="C4341" t="str">
        <x:v>C0119</x:v>
      </x:c>
      <x:c r="D4341" t="str">
        <x:v>Foodie Foods 119</x:v>
      </x:c>
      <x:c r="E4341" t="str">
        <x:v>Kirana</x:v>
      </x:c>
      <x:c r="F4341" t="str">
        <x:v>Hubballi</x:v>
      </x:c>
      <x:c r="G4341" t="str">
        <x:v>Imran</x:v>
      </x:c>
      <x:c r="H4341" t="str">
        <x:v>P026</x:v>
      </x:c>
      <x:c r="I4341" t="str">
        <x:v>Banana Chips 80g</x:v>
      </x:c>
      <x:c r="J4341" t="str">
        <x:v>Snacks</x:v>
      </x:c>
      <x:c r="K4341" t="str">
        <x:v>SSS</x:v>
      </x:c>
      <x:c r="L4341" s="22" t="n">
        <x:v>54</x:v>
      </x:c>
      <x:c r="M4341" t="n">
        <x:v>10</x:v>
      </x:c>
      <x:c r="N4341" s="24" t="n">
        <x:v>0.05</x:v>
      </x:c>
      <x:c r="O4341" s="22" t="n">
        <x:f>L4341*M4341</x:f>
        <x:v>540</x:v>
      </x:c>
      <x:c r="P4341" s="22" t="n">
        <x:f>O4341*(1-N4341)</x:f>
        <x:v>513</x:v>
      </x:c>
      <x:c r="Q4341" s="22" t="n">
        <x:v>39</x:v>
      </x:c>
      <x:c r="R4341" s="22" t="n">
        <x:f>Q4341*M4341</x:f>
        <x:v>390</x:v>
      </x:c>
      <x:c r="S4341" s="22" t="n">
        <x:f>P4341-R4341</x:f>
        <x:v>123</x:v>
      </x:c>
      <x:c r="T4341" t="str">
        <x:v>UPI</x:v>
      </x:c>
      <x:c r="U4341" t="str">
        <x:v>Paid</x:v>
      </x:c>
      <x:c r="V4341" t="str">
        <x:v>Cancelled</x:v>
      </x:c>
      <x:c r="W4341" t="n">
        <x:v>10</x:v>
      </x:c>
      <x:c r="X4341" t="str">
        <x:v>Cancelled Order</x:v>
      </x:c>
      <x:c r="Y4341" t="str">
        <x:v>Outbound Call</x:v>
      </x:c>
    </x:row>
    <x:row r="4342">
      <x:c r="A4342" t="str">
        <x:v>O004341</x:v>
      </x:c>
      <x:c r="B4342" s="20" t="n">
        <x:v>46159</x:v>
      </x:c>
      <x:c r="C4342" t="str">
        <x:v>C0085</x:v>
      </x:c>
      <x:c r="D4342" t="str">
        <x:v>Green Hotel 85</x:v>
      </x:c>
      <x:c r="E4342" t="str">
        <x:v>Kirana</x:v>
      </x:c>
      <x:c r="F4342" t="str">
        <x:v>Mysuru</x:v>
      </x:c>
      <x:c r="G4342" t="str">
        <x:v>Arjun</x:v>
      </x:c>
      <x:c r="H4342" t="str">
        <x:v>P001</x:v>
      </x:c>
      <x:c r="I4342" t="str">
        <x:v>Steam Rice 25kg</x:v>
      </x:c>
      <x:c r="J4342" t="str">
        <x:v>Staples</x:v>
      </x:c>
      <x:c r="K4342" t="str">
        <x:v>Aishwarya</x:v>
      </x:c>
      <x:c r="L4342" s="22" t="n">
        <x:v>1180</x:v>
      </x:c>
      <x:c r="M4342" t="n">
        <x:v>10</x:v>
      </x:c>
      <x:c r="N4342" s="24" t="n">
        <x:v>0.03</x:v>
      </x:c>
      <x:c r="O4342" s="22" t="n">
        <x:f>L4342*M4342</x:f>
        <x:v>11800</x:v>
      </x:c>
      <x:c r="P4342" s="22" t="n">
        <x:f>O4342*(1-N4342)</x:f>
        <x:v>11446</x:v>
      </x:c>
      <x:c r="Q4342" s="22" t="n">
        <x:v>1040</x:v>
      </x:c>
      <x:c r="R4342" s="22" t="n">
        <x:f>Q4342*M4342</x:f>
        <x:v>10400</x:v>
      </x:c>
      <x:c r="S4342" s="22" t="n">
        <x:f>P4342-R4342</x:f>
        <x:v>1046</x:v>
      </x:c>
      <x:c r="T4342" t="str">
        <x:v>Cash</x:v>
      </x:c>
      <x:c r="U4342" t="str">
        <x:v>Overdue</x:v>
      </x:c>
      <x:c r="V4342" t="str">
        <x:v>Delivered</x:v>
      </x:c>
      <x:c r="W4342" t="n">
        <x:v>0</x:v>
      </x:c>
      <x:c r="X4342" t="str"/>
      <x:c r="Y4342" t="str">
        <x:v>Field Visit</x:v>
      </x:c>
    </x:row>
    <x:row r="4343">
      <x:c r="A4343" t="str">
        <x:v>O004342</x:v>
      </x:c>
      <x:c r="B4343" s="20" t="n">
        <x:v>45683</x:v>
      </x:c>
      <x:c r="C4343" t="str">
        <x:v>C0181</x:v>
      </x:c>
      <x:c r="D4343" t="str">
        <x:v>Darshini Mart 181</x:v>
      </x:c>
      <x:c r="E4343" t="str">
        <x:v>Restaurant</x:v>
      </x:c>
      <x:c r="F4343" t="str">
        <x:v>Mangaluru</x:v>
      </x:c>
      <x:c r="G4343" t="str">
        <x:v>Kavya</x:v>
      </x:c>
      <x:c r="H4343" t="str">
        <x:v>P018</x:v>
      </x:c>
      <x:c r="I4343" t="str">
        <x:v>Paneer 1kg</x:v>
      </x:c>
      <x:c r="J4343" t="str">
        <x:v>Dairy</x:v>
      </x:c>
      <x:c r="K4343" t="str">
        <x:v>Milky Mist</x:v>
      </x:c>
      <x:c r="L4343" s="22" t="n">
        <x:v>410</x:v>
      </x:c>
      <x:c r="M4343" t="n">
        <x:v>28</x:v>
      </x:c>
      <x:c r="N4343" s="24" t="n">
        <x:v>0.03</x:v>
      </x:c>
      <x:c r="O4343" s="22" t="n">
        <x:f>L4343*M4343</x:f>
        <x:v>11480</x:v>
      </x:c>
      <x:c r="P4343" s="22" t="n">
        <x:f>O4343*(1-N4343)</x:f>
        <x:v>11135.6</x:v>
      </x:c>
      <x:c r="Q4343" s="22" t="n">
        <x:v>370</x:v>
      </x:c>
      <x:c r="R4343" s="22" t="n">
        <x:f>Q4343*M4343</x:f>
        <x:v>10360</x:v>
      </x:c>
      <x:c r="S4343" s="22" t="n">
        <x:f>P4343-R4343</x:f>
        <x:v>775.6000000000004</x:v>
      </x:c>
      <x:c r="T4343" t="str">
        <x:v>UPI</x:v>
      </x:c>
      <x:c r="U4343" t="str">
        <x:v>Pending</x:v>
      </x:c>
      <x:c r="V4343" t="str">
        <x:v>Delivered</x:v>
      </x:c>
      <x:c r="W4343" t="n">
        <x:v>0</x:v>
      </x:c>
      <x:c r="X4343" t="str"/>
      <x:c r="Y4343" t="str">
        <x:v>WhatsApp</x:v>
      </x:c>
    </x:row>
    <x:row r="4344">
      <x:c r="A4344" t="str">
        <x:v>O004343</x:v>
      </x:c>
      <x:c r="B4344" s="20" t="n">
        <x:v>45970</x:v>
      </x:c>
      <x:c r="C4344" t="str">
        <x:v>C0142</x:v>
      </x:c>
      <x:c r="D4344" t="str">
        <x:v>Darshini Mart 142</x:v>
      </x:c>
      <x:c r="E4344" t="str">
        <x:v>Cafe</x:v>
      </x:c>
      <x:c r="F4344" t="str">
        <x:v>Bengaluru</x:v>
      </x:c>
      <x:c r="G4344" t="str">
        <x:v>Megha</x:v>
      </x:c>
      <x:c r="H4344" t="str">
        <x:v>P042</x:v>
      </x:c>
      <x:c r="I4344" t="str">
        <x:v>Eggs 30pc Tray</x:v>
      </x:c>
      <x:c r="J4344" t="str">
        <x:v>Protein</x:v>
      </x:c>
      <x:c r="K4344" t="str">
        <x:v>Farm Fresh</x:v>
      </x:c>
      <x:c r="L4344" s="22" t="n">
        <x:v>195</x:v>
      </x:c>
      <x:c r="M4344" t="n">
        <x:v>16</x:v>
      </x:c>
      <x:c r="N4344" s="24" t="n">
        <x:v>0</x:v>
      </x:c>
      <x:c r="O4344" s="22" t="n">
        <x:f>L4344*M4344</x:f>
        <x:v>3120</x:v>
      </x:c>
      <x:c r="P4344" s="22" t="n">
        <x:f>O4344*(1-N4344)</x:f>
        <x:v>3120</x:v>
      </x:c>
      <x:c r="Q4344" s="22" t="n">
        <x:v>170</x:v>
      </x:c>
      <x:c r="R4344" s="22" t="n">
        <x:f>Q4344*M4344</x:f>
        <x:v>2720</x:v>
      </x:c>
      <x:c r="S4344" s="22" t="n">
        <x:f>P4344-R4344</x:f>
        <x:v>400</x:v>
      </x:c>
      <x:c r="T4344" t="str">
        <x:v>Cash</x:v>
      </x:c>
      <x:c r="U4344" t="str">
        <x:v>Pending</x:v>
      </x:c>
      <x:c r="V4344" t="str">
        <x:v>Delivered</x:v>
      </x:c>
      <x:c r="W4344" t="n">
        <x:v>0</x:v>
      </x:c>
      <x:c r="X4344" t="str"/>
      <x:c r="Y4344" t="str">
        <x:v>WhatsApp</x:v>
      </x:c>
    </x:row>
    <x:row r="4345">
      <x:c r="A4345" t="str">
        <x:v>O004344</x:v>
      </x:c>
      <x:c r="B4345" s="20" t="n">
        <x:v>45825</x:v>
      </x:c>
      <x:c r="C4345" t="str">
        <x:v>C0154</x:v>
      </x:c>
      <x:c r="D4345" t="str">
        <x:v>Royal Restaurant 154</x:v>
      </x:c>
      <x:c r="E4345" t="str">
        <x:v>Restaurant</x:v>
      </x:c>
      <x:c r="F4345" t="str">
        <x:v>Tumakuru</x:v>
      </x:c>
      <x:c r="G4345" t="str">
        <x:v>Kavya</x:v>
      </x:c>
      <x:c r="H4345" t="str">
        <x:v>P030</x:v>
      </x:c>
      <x:c r="I4345" t="str">
        <x:v>Mayonnaise 1kg</x:v>
      </x:c>
      <x:c r="J4345" t="str">
        <x:v>Condiments</x:v>
      </x:c>
      <x:c r="K4345" t="str">
        <x:v>Veeba</x:v>
      </x:c>
      <x:c r="L4345" s="22" t="n">
        <x:v>210</x:v>
      </x:c>
      <x:c r="M4345" t="n">
        <x:v>37</x:v>
      </x:c>
      <x:c r="N4345" s="24" t="n">
        <x:v>0.02</x:v>
      </x:c>
      <x:c r="O4345" s="22" t="n">
        <x:f>L4345*M4345</x:f>
        <x:v>7770</x:v>
      </x:c>
      <x:c r="P4345" s="22" t="n">
        <x:f>O4345*(1-N4345)</x:f>
        <x:v>7614.599999999999</x:v>
      </x:c>
      <x:c r="Q4345" s="22" t="n">
        <x:v>185</x:v>
      </x:c>
      <x:c r="R4345" s="22" t="n">
        <x:f>Q4345*M4345</x:f>
        <x:v>6845</x:v>
      </x:c>
      <x:c r="S4345" s="22" t="n">
        <x:f>P4345-R4345</x:f>
        <x:v>769.5999999999995</x:v>
      </x:c>
      <x:c r="T4345" t="str">
        <x:v>Credit</x:v>
      </x:c>
      <x:c r="U4345" t="str">
        <x:v>Paid</x:v>
      </x:c>
      <x:c r="V4345" t="str">
        <x:v>Cancelled</x:v>
      </x:c>
      <x:c r="W4345" t="n">
        <x:v>37</x:v>
      </x:c>
      <x:c r="X4345" t="str">
        <x:v>Cancelled Order</x:v>
      </x:c>
      <x:c r="Y4345" t="str">
        <x:v>WhatsApp</x:v>
      </x:c>
    </x:row>
    <x:row r="4346">
      <x:c r="A4346" t="str">
        <x:v>O004345</x:v>
      </x:c>
      <x:c r="B4346" s="20" t="n">
        <x:v>45891</x:v>
      </x:c>
      <x:c r="C4346" t="str">
        <x:v>C0247</x:v>
      </x:c>
      <x:c r="D4346" t="str">
        <x:v>Fresh Canteen 247</x:v>
      </x:c>
      <x:c r="E4346" t="str">
        <x:v>Restaurant</x:v>
      </x:c>
      <x:c r="F4346" t="str">
        <x:v>Hubballi</x:v>
      </x:c>
      <x:c r="G4346" t="str">
        <x:v>Kavya</x:v>
      </x:c>
      <x:c r="H4346" t="str">
        <x:v>P017</x:v>
      </x:c>
      <x:c r="I4346" t="str">
        <x:v>Butter 500g</x:v>
      </x:c>
      <x:c r="J4346" t="str">
        <x:v>Dairy</x:v>
      </x:c>
      <x:c r="K4346" t="str">
        <x:v>Amul</x:v>
      </x:c>
      <x:c r="L4346" s="22" t="n">
        <x:v>285</x:v>
      </x:c>
      <x:c r="M4346" t="n">
        <x:v>32</x:v>
      </x:c>
      <x:c r="N4346" s="24" t="n">
        <x:v>0.05</x:v>
      </x:c>
      <x:c r="O4346" s="22" t="n">
        <x:f>L4346*M4346</x:f>
        <x:v>9120</x:v>
      </x:c>
      <x:c r="P4346" s="22" t="n">
        <x:f>O4346*(1-N4346)</x:f>
        <x:v>8664</x:v>
      </x:c>
      <x:c r="Q4346" s="22" t="n">
        <x:v>258</x:v>
      </x:c>
      <x:c r="R4346" s="22" t="n">
        <x:f>Q4346*M4346</x:f>
        <x:v>8256</x:v>
      </x:c>
      <x:c r="S4346" s="22" t="n">
        <x:f>P4346-R4346</x:f>
        <x:v>408</x:v>
      </x:c>
      <x:c r="T4346" t="str">
        <x:v>Bank Transfer</x:v>
      </x:c>
      <x:c r="U4346" t="str">
        <x:v>Paid</x:v>
      </x:c>
      <x:c r="V4346" t="str">
        <x:v>Cancelled</x:v>
      </x:c>
      <x:c r="W4346" t="n">
        <x:v>32</x:v>
      </x:c>
      <x:c r="X4346" t="str">
        <x:v>Cancelled Order</x:v>
      </x:c>
      <x:c r="Y4346" t="str">
        <x:v>Existing Customer</x:v>
      </x:c>
    </x:row>
    <x:row r="4347">
      <x:c r="A4347" t="str">
        <x:v>O004346</x:v>
      </x:c>
      <x:c r="B4347" s="20" t="n">
        <x:v>45992</x:v>
      </x:c>
      <x:c r="C4347" t="str">
        <x:v>C0171</x:v>
      </x:c>
      <x:c r="D4347" t="str">
        <x:v>Metro Canteen 171</x:v>
      </x:c>
      <x:c r="E4347" t="str">
        <x:v>Restaurant</x:v>
      </x:c>
      <x:c r="F4347" t="str">
        <x:v>Mangaluru</x:v>
      </x:c>
      <x:c r="G4347" t="str">
        <x:v>Priya</x:v>
      </x:c>
      <x:c r="H4347" t="str">
        <x:v>P003</x:v>
      </x:c>
      <x:c r="I4347" t="str">
        <x:v>Basmati Rice 5kg</x:v>
      </x:c>
      <x:c r="J4347" t="str">
        <x:v>Staples</x:v>
      </x:c>
      <x:c r="K4347" t="str">
        <x:v>India Gate</x:v>
      </x:c>
      <x:c r="L4347" s="22" t="n">
        <x:v>690</x:v>
      </x:c>
      <x:c r="M4347" t="n">
        <x:v>27</x:v>
      </x:c>
      <x:c r="N4347" s="24" t="n">
        <x:v>0.03</x:v>
      </x:c>
      <x:c r="O4347" s="22" t="n">
        <x:f>L4347*M4347</x:f>
        <x:v>18630</x:v>
      </x:c>
      <x:c r="P4347" s="22" t="n">
        <x:f>O4347*(1-N4347)</x:f>
        <x:v>18071.1</x:v>
      </x:c>
      <x:c r="Q4347" s="22" t="n">
        <x:v>610</x:v>
      </x:c>
      <x:c r="R4347" s="22" t="n">
        <x:f>Q4347*M4347</x:f>
        <x:v>16470</x:v>
      </x:c>
      <x:c r="S4347" s="22" t="n">
        <x:f>P4347-R4347</x:f>
        <x:v>1601.0999999999985</x:v>
      </x:c>
      <x:c r="T4347" t="str">
        <x:v>Cash</x:v>
      </x:c>
      <x:c r="U4347" t="str">
        <x:v>Paid</x:v>
      </x:c>
      <x:c r="V4347" t="str">
        <x:v>Delivered</x:v>
      </x:c>
      <x:c r="W4347" t="n">
        <x:v>0</x:v>
      </x:c>
      <x:c r="X4347" t="str"/>
      <x:c r="Y4347" t="str">
        <x:v>Field Visit</x:v>
      </x:c>
    </x:row>
    <x:row r="4348">
      <x:c r="A4348" t="str">
        <x:v>O004347</x:v>
      </x:c>
      <x:c r="B4348" s="20" t="n">
        <x:v>45853</x:v>
      </x:c>
      <x:c r="C4348" t="str">
        <x:v>C0060</x:v>
      </x:c>
      <x:c r="D4348" t="str">
        <x:v>Sagar Stores 60</x:v>
      </x:c>
      <x:c r="E4348" t="str">
        <x:v>Cafe</x:v>
      </x:c>
      <x:c r="F4348" t="str">
        <x:v>Hubballi</x:v>
      </x:c>
      <x:c r="G4348" t="str">
        <x:v>Imran</x:v>
      </x:c>
      <x:c r="H4348" t="str">
        <x:v>P020</x:v>
      </x:c>
      <x:c r="I4348" t="str">
        <x:v>Coffee 500g</x:v>
      </x:c>
      <x:c r="J4348" t="str">
        <x:v>Beverage</x:v>
      </x:c>
      <x:c r="K4348" t="str">
        <x:v>Bru</x:v>
      </x:c>
      <x:c r="L4348" s="22" t="n">
        <x:v>390</x:v>
      </x:c>
      <x:c r="M4348" t="n">
        <x:v>2</x:v>
      </x:c>
      <x:c r="N4348" s="24" t="n">
        <x:v>0.08</x:v>
      </x:c>
      <x:c r="O4348" s="22" t="n">
        <x:f>L4348*M4348</x:f>
        <x:v>780</x:v>
      </x:c>
      <x:c r="P4348" s="22" t="n">
        <x:f>O4348*(1-N4348)</x:f>
        <x:v>717.6</x:v>
      </x:c>
      <x:c r="Q4348" s="22" t="n">
        <x:v>350</x:v>
      </x:c>
      <x:c r="R4348" s="22" t="n">
        <x:f>Q4348*M4348</x:f>
        <x:v>700</x:v>
      </x:c>
      <x:c r="S4348" s="22" t="n">
        <x:f>P4348-R4348</x:f>
        <x:v>17.600000000000023</x:v>
      </x:c>
      <x:c r="T4348" t="str">
        <x:v>Credit</x:v>
      </x:c>
      <x:c r="U4348" t="str">
        <x:v>Paid</x:v>
      </x:c>
      <x:c r="V4348" t="str">
        <x:v>Delivered</x:v>
      </x:c>
      <x:c r="W4348" t="n">
        <x:v>0</x:v>
      </x:c>
      <x:c r="X4348" t="str"/>
      <x:c r="Y4348" t="str">
        <x:v>Existing Customer</x:v>
      </x:c>
    </x:row>
    <x:row r="4349">
      <x:c r="A4349" t="str">
        <x:v>O004348</x:v>
      </x:c>
      <x:c r="B4349" s="20" t="n">
        <x:v>46218</x:v>
      </x:c>
      <x:c r="C4349" t="str">
        <x:v>C0114</x:v>
      </x:c>
      <x:c r="D4349" t="str">
        <x:v>Annapurna Restaurant 114</x:v>
      </x:c>
      <x:c r="E4349" t="str">
        <x:v>Restaurant</x:v>
      </x:c>
      <x:c r="F4349" t="str">
        <x:v>Davanagere</x:v>
      </x:c>
      <x:c r="G4349" t="str">
        <x:v>Arjun</x:v>
      </x:c>
      <x:c r="H4349" t="str">
        <x:v>P025</x:v>
      </x:c>
      <x:c r="I4349" t="str">
        <x:v>Potato Chips 100g</x:v>
      </x:c>
      <x:c r="J4349" t="str">
        <x:v>Snacks</x:v>
      </x:c>
      <x:c r="K4349" t="str">
        <x:v>Lay's</x:v>
      </x:c>
      <x:c r="L4349" s="22" t="n">
        <x:v>35</x:v>
      </x:c>
      <x:c r="M4349" t="n">
        <x:v>6</x:v>
      </x:c>
      <x:c r="N4349" s="24" t="n">
        <x:v>0.05</x:v>
      </x:c>
      <x:c r="O4349" s="22" t="n">
        <x:f>L4349*M4349</x:f>
        <x:v>210</x:v>
      </x:c>
      <x:c r="P4349" s="22" t="n">
        <x:f>O4349*(1-N4349)</x:f>
        <x:v>199.5</x:v>
      </x:c>
      <x:c r="Q4349" s="22" t="n">
        <x:v>27</x:v>
      </x:c>
      <x:c r="R4349" s="22" t="n">
        <x:f>Q4349*M4349</x:f>
        <x:v>162</x:v>
      </x:c>
      <x:c r="S4349" s="22" t="n">
        <x:f>P4349-R4349</x:f>
        <x:v>37.5</x:v>
      </x:c>
      <x:c r="T4349" t="str">
        <x:v>Credit</x:v>
      </x:c>
      <x:c r="U4349" t="str">
        <x:v>Paid</x:v>
      </x:c>
      <x:c r="V4349" t="str">
        <x:v>Delivered</x:v>
      </x:c>
      <x:c r="W4349" t="n">
        <x:v>0</x:v>
      </x:c>
      <x:c r="X4349" t="str"/>
      <x:c r="Y4349" t="str">
        <x:v>Outbound Call</x:v>
      </x:c>
    </x:row>
    <x:row r="4350">
      <x:c r="A4350" t="str">
        <x:v>O004349</x:v>
      </x:c>
      <x:c r="B4350" s="20" t="n">
        <x:v>45821</x:v>
      </x:c>
      <x:c r="C4350" t="str">
        <x:v>C0121</x:v>
      </x:c>
      <x:c r="D4350" t="str">
        <x:v>Mysore Restaurant 121</x:v>
      </x:c>
      <x:c r="E4350" t="str">
        <x:v>Cafe</x:v>
      </x:c>
      <x:c r="F4350" t="str">
        <x:v>Mysuru</x:v>
      </x:c>
      <x:c r="G4350" t="str">
        <x:v>Sneha</x:v>
      </x:c>
      <x:c r="H4350" t="str">
        <x:v>P001</x:v>
      </x:c>
      <x:c r="I4350" t="str">
        <x:v>Steam Rice 25kg</x:v>
      </x:c>
      <x:c r="J4350" t="str">
        <x:v>Staples</x:v>
      </x:c>
      <x:c r="K4350" t="str">
        <x:v>Aishwarya</x:v>
      </x:c>
      <x:c r="L4350" s="22" t="n">
        <x:v>1180</x:v>
      </x:c>
      <x:c r="M4350" t="n">
        <x:v>3</x:v>
      </x:c>
      <x:c r="N4350" s="24" t="n">
        <x:v>0.08</x:v>
      </x:c>
      <x:c r="O4350" s="22" t="n">
        <x:f>L4350*M4350</x:f>
        <x:v>3540</x:v>
      </x:c>
      <x:c r="P4350" s="22" t="n">
        <x:f>O4350*(1-N4350)</x:f>
        <x:v>3256.8</x:v>
      </x:c>
      <x:c r="Q4350" s="22" t="n">
        <x:v>1040</x:v>
      </x:c>
      <x:c r="R4350" s="22" t="n">
        <x:f>Q4350*M4350</x:f>
        <x:v>3120</x:v>
      </x:c>
      <x:c r="S4350" s="22" t="n">
        <x:f>P4350-R4350</x:f>
        <x:v>136.80000000000018</x:v>
      </x:c>
      <x:c r="T4350" t="str">
        <x:v>Credit</x:v>
      </x:c>
      <x:c r="U4350" t="str">
        <x:v>Pending</x:v>
      </x:c>
      <x:c r="V4350" t="str">
        <x:v>Delivered</x:v>
      </x:c>
      <x:c r="W4350" t="n">
        <x:v>0</x:v>
      </x:c>
      <x:c r="X4350" t="str"/>
      <x:c r="Y4350" t="str">
        <x:v>Referral</x:v>
      </x:c>
    </x:row>
    <x:row r="4351">
      <x:c r="A4351" t="str">
        <x:v>O004350</x:v>
      </x:c>
      <x:c r="B4351" s="20" t="n">
        <x:v>45726</x:v>
      </x:c>
      <x:c r="C4351" t="str">
        <x:v>C0137</x:v>
      </x:c>
      <x:c r="D4351" t="str">
        <x:v>Green Restaurant 137</x:v>
      </x:c>
      <x:c r="E4351" t="str">
        <x:v>Canteen</x:v>
      </x:c>
      <x:c r="F4351" t="str">
        <x:v>Mangaluru</x:v>
      </x:c>
      <x:c r="G4351" t="str">
        <x:v>Arjun</x:v>
      </x:c>
      <x:c r="H4351" t="str">
        <x:v>P003</x:v>
      </x:c>
      <x:c r="I4351" t="str">
        <x:v>Basmati Rice 5kg</x:v>
      </x:c>
      <x:c r="J4351" t="str">
        <x:v>Staples</x:v>
      </x:c>
      <x:c r="K4351" t="str">
        <x:v>India Gate</x:v>
      </x:c>
      <x:c r="L4351" s="22" t="n">
        <x:v>690</x:v>
      </x:c>
      <x:c r="M4351" t="n">
        <x:v>14</x:v>
      </x:c>
      <x:c r="N4351" s="24" t="n">
        <x:v>0.1</x:v>
      </x:c>
      <x:c r="O4351" s="22" t="n">
        <x:f>L4351*M4351</x:f>
        <x:v>9660</x:v>
      </x:c>
      <x:c r="P4351" s="22" t="n">
        <x:f>O4351*(1-N4351)</x:f>
        <x:v>8694</x:v>
      </x:c>
      <x:c r="Q4351" s="22" t="n">
        <x:v>610</x:v>
      </x:c>
      <x:c r="R4351" s="22" t="n">
        <x:f>Q4351*M4351</x:f>
        <x:v>8540</x:v>
      </x:c>
      <x:c r="S4351" s="22" t="n">
        <x:f>P4351-R4351</x:f>
        <x:v>154</x:v>
      </x:c>
      <x:c r="T4351" t="str">
        <x:v>Cash</x:v>
      </x:c>
      <x:c r="U4351" t="str">
        <x:v>Paid</x:v>
      </x:c>
      <x:c r="V4351" t="str">
        <x:v>Delivered</x:v>
      </x:c>
      <x:c r="W4351" t="n">
        <x:v>0</x:v>
      </x:c>
      <x:c r="X4351" t="str"/>
      <x:c r="Y4351" t="str">
        <x:v>WhatsApp</x:v>
      </x:c>
    </x:row>
    <x:row r="4352">
      <x:c r="A4352" t="str">
        <x:v>O004351</x:v>
      </x:c>
      <x:c r="B4352" s="20" t="n">
        <x:v>46233</x:v>
      </x:c>
      <x:c r="C4352" t="str">
        <x:v>C0207</x:v>
      </x:c>
      <x:c r="D4352" t="str">
        <x:v>Hotel Stores 207</x:v>
      </x:c>
      <x:c r="E4352" t="str">
        <x:v>Restaurant</x:v>
      </x:c>
      <x:c r="F4352" t="str">
        <x:v>Hubballi</x:v>
      </x:c>
      <x:c r="G4352" t="str">
        <x:v>Ramesh</x:v>
      </x:c>
      <x:c r="H4352" t="str">
        <x:v>P028</x:v>
      </x:c>
      <x:c r="I4352" t="str">
        <x:v>Cookies 200g</x:v>
      </x:c>
      <x:c r="J4352" t="str">
        <x:v>Snacks</x:v>
      </x:c>
      <x:c r="K4352" t="str">
        <x:v>Britannia</x:v>
      </x:c>
      <x:c r="L4352" s="22" t="n">
        <x:v>55</x:v>
      </x:c>
      <x:c r="M4352" t="n">
        <x:v>10</x:v>
      </x:c>
      <x:c r="N4352" s="24" t="n">
        <x:v>0.03</x:v>
      </x:c>
      <x:c r="O4352" s="22" t="n">
        <x:f>L4352*M4352</x:f>
        <x:v>550</x:v>
      </x:c>
      <x:c r="P4352" s="22" t="n">
        <x:f>O4352*(1-N4352)</x:f>
        <x:v>533.5</x:v>
      </x:c>
      <x:c r="Q4352" s="22" t="n">
        <x:v>42</x:v>
      </x:c>
      <x:c r="R4352" s="22" t="n">
        <x:f>Q4352*M4352</x:f>
        <x:v>420</x:v>
      </x:c>
      <x:c r="S4352" s="22" t="n">
        <x:f>P4352-R4352</x:f>
        <x:v>113.5</x:v>
      </x:c>
      <x:c r="T4352" t="str">
        <x:v>UPI</x:v>
      </x:c>
      <x:c r="U4352" t="str">
        <x:v>Paid</x:v>
      </x:c>
      <x:c r="V4352" t="str">
        <x:v>Delivered</x:v>
      </x:c>
      <x:c r="W4352" t="n">
        <x:v>0</x:v>
      </x:c>
      <x:c r="X4352" t="str"/>
      <x:c r="Y4352" t="str">
        <x:v>Referral</x:v>
      </x:c>
    </x:row>
    <x:row r="4353">
      <x:c r="A4353" t="str">
        <x:v>O004352</x:v>
      </x:c>
      <x:c r="B4353" s="20" t="n">
        <x:v>46130</x:v>
      </x:c>
      <x:c r="C4353" t="str">
        <x:v>C0053</x:v>
      </x:c>
      <x:c r="D4353" t="str">
        <x:v>Fresh Cafe 53</x:v>
      </x:c>
      <x:c r="E4353" t="str">
        <x:v>Supermarket</x:v>
      </x:c>
      <x:c r="F4353" t="str">
        <x:v>Mangaluru</x:v>
      </x:c>
      <x:c r="G4353" t="str">
        <x:v>Megha</x:v>
      </x:c>
      <x:c r="H4353" t="str">
        <x:v>P017</x:v>
      </x:c>
      <x:c r="I4353" t="str">
        <x:v>Butter 500g</x:v>
      </x:c>
      <x:c r="J4353" t="str">
        <x:v>Dairy</x:v>
      </x:c>
      <x:c r="K4353" t="str">
        <x:v>Amul</x:v>
      </x:c>
      <x:c r="L4353" s="22" t="n">
        <x:v>285</x:v>
      </x:c>
      <x:c r="M4353" t="n">
        <x:v>35</x:v>
      </x:c>
      <x:c r="N4353" s="24" t="n">
        <x:v>0.03</x:v>
      </x:c>
      <x:c r="O4353" s="22" t="n">
        <x:f>L4353*M4353</x:f>
        <x:v>9975</x:v>
      </x:c>
      <x:c r="P4353" s="22" t="n">
        <x:f>O4353*(1-N4353)</x:f>
        <x:v>9675.75</x:v>
      </x:c>
      <x:c r="Q4353" s="22" t="n">
        <x:v>258</x:v>
      </x:c>
      <x:c r="R4353" s="22" t="n">
        <x:f>Q4353*M4353</x:f>
        <x:v>9030</x:v>
      </x:c>
      <x:c r="S4353" s="22" t="n">
        <x:f>P4353-R4353</x:f>
        <x:v>645.75</x:v>
      </x:c>
      <x:c r="T4353" t="str">
        <x:v>Bank Transfer</x:v>
      </x:c>
      <x:c r="U4353" t="str">
        <x:v>Pending</x:v>
      </x:c>
      <x:c r="V4353" t="str">
        <x:v>Delivered</x:v>
      </x:c>
      <x:c r="W4353" t="n">
        <x:v>0</x:v>
      </x:c>
      <x:c r="X4353" t="str"/>
      <x:c r="Y4353" t="str">
        <x:v>Field Visit</x:v>
      </x:c>
    </x:row>
    <x:row r="4354">
      <x:c r="A4354" t="str">
        <x:v>O004353</x:v>
      </x:c>
      <x:c r="B4354" s="20" t="n">
        <x:v>45970</x:v>
      </x:c>
      <x:c r="C4354" t="str">
        <x:v>C0204</x:v>
      </x:c>
      <x:c r="D4354" t="str">
        <x:v>Udupi Stores 204</x:v>
      </x:c>
      <x:c r="E4354" t="str">
        <x:v>Kirana</x:v>
      </x:c>
      <x:c r="F4354" t="str">
        <x:v>Bengaluru</x:v>
      </x:c>
      <x:c r="G4354" t="str">
        <x:v>Vikram</x:v>
      </x:c>
      <x:c r="H4354" t="str">
        <x:v>P027</x:v>
      </x:c>
      <x:c r="I4354" t="str">
        <x:v>Biscuits 120g</x:v>
      </x:c>
      <x:c r="J4354" t="str">
        <x:v>Snacks</x:v>
      </x:c>
      <x:c r="K4354" t="str">
        <x:v>Parle-G</x:v>
      </x:c>
      <x:c r="L4354" s="22" t="n">
        <x:v>12</x:v>
      </x:c>
      <x:c r="M4354" t="n">
        <x:v>29</x:v>
      </x:c>
      <x:c r="N4354" s="24" t="n">
        <x:v>0.08</x:v>
      </x:c>
      <x:c r="O4354" s="22" t="n">
        <x:f>L4354*M4354</x:f>
        <x:v>348</x:v>
      </x:c>
      <x:c r="P4354" s="22" t="n">
        <x:f>O4354*(1-N4354)</x:f>
        <x:v>320.16</x:v>
      </x:c>
      <x:c r="Q4354" s="22" t="n">
        <x:v>9</x:v>
      </x:c>
      <x:c r="R4354" s="22" t="n">
        <x:f>Q4354*M4354</x:f>
        <x:v>261</x:v>
      </x:c>
      <x:c r="S4354" s="22" t="n">
        <x:f>P4354-R4354</x:f>
        <x:v>59.160000000000025</x:v>
      </x:c>
      <x:c r="T4354" t="str">
        <x:v>Bank Transfer</x:v>
      </x:c>
      <x:c r="U4354" t="str">
        <x:v>Paid</x:v>
      </x:c>
      <x:c r="V4354" t="str">
        <x:v>Delivered</x:v>
      </x:c>
      <x:c r="W4354" t="n">
        <x:v>0</x:v>
      </x:c>
      <x:c r="X4354" t="str"/>
      <x:c r="Y4354" t="str">
        <x:v>Existing Customer</x:v>
      </x:c>
    </x:row>
    <x:row r="4355">
      <x:c r="A4355" t="str">
        <x:v>O004354</x:v>
      </x:c>
      <x:c r="B4355" s="20" t="n">
        <x:v>46072</x:v>
      </x:c>
      <x:c r="C4355" t="str">
        <x:v>C0152</x:v>
      </x:c>
      <x:c r="D4355" t="str">
        <x:v>Metro Stores 152</x:v>
      </x:c>
      <x:c r="E4355" t="str">
        <x:v>Cafe</x:v>
      </x:c>
      <x:c r="F4355" t="str">
        <x:v>Hubballi</x:v>
      </x:c>
      <x:c r="G4355" t="str">
        <x:v>Priya</x:v>
      </x:c>
      <x:c r="H4355" t="str">
        <x:v>P012</x:v>
      </x:c>
      <x:c r="I4355" t="str">
        <x:v>Maida 10kg</x:v>
      </x:c>
      <x:c r="J4355" t="str">
        <x:v>Flour</x:v>
      </x:c>
      <x:c r="K4355" t="str">
        <x:v>Aashirvaad</x:v>
      </x:c>
      <x:c r="L4355" s="22" t="n">
        <x:v>520</x:v>
      </x:c>
      <x:c r="M4355" t="n">
        <x:v>26</x:v>
      </x:c>
      <x:c r="N4355" s="24" t="n">
        <x:v>0</x:v>
      </x:c>
      <x:c r="O4355" s="22" t="n">
        <x:f>L4355*M4355</x:f>
        <x:v>13520</x:v>
      </x:c>
      <x:c r="P4355" s="22" t="n">
        <x:f>O4355*(1-N4355)</x:f>
        <x:v>13520</x:v>
      </x:c>
      <x:c r="Q4355" s="22" t="n">
        <x:v>460</x:v>
      </x:c>
      <x:c r="R4355" s="22" t="n">
        <x:f>Q4355*M4355</x:f>
        <x:v>11960</x:v>
      </x:c>
      <x:c r="S4355" s="22" t="n">
        <x:f>P4355-R4355</x:f>
        <x:v>1560</x:v>
      </x:c>
      <x:c r="T4355" t="str">
        <x:v>UPI</x:v>
      </x:c>
      <x:c r="U4355" t="str">
        <x:v>Paid</x:v>
      </x:c>
      <x:c r="V4355" t="str">
        <x:v>Cancelled</x:v>
      </x:c>
      <x:c r="W4355" t="n">
        <x:v>26</x:v>
      </x:c>
      <x:c r="X4355" t="str">
        <x:v>Cancelled Order</x:v>
      </x:c>
      <x:c r="Y4355" t="str">
        <x:v>Existing Customer</x:v>
      </x:c>
    </x:row>
    <x:row r="4356">
      <x:c r="A4356" t="str">
        <x:v>O004355</x:v>
      </x:c>
      <x:c r="B4356" s="20" t="n">
        <x:v>46219</x:v>
      </x:c>
      <x:c r="C4356" t="str">
        <x:v>C0069</x:v>
      </x:c>
      <x:c r="D4356" t="str">
        <x:v>Cafe Hotel 69</x:v>
      </x:c>
      <x:c r="E4356" t="str">
        <x:v>Supermarket</x:v>
      </x:c>
      <x:c r="F4356" t="str">
        <x:v>Bengaluru</x:v>
      </x:c>
      <x:c r="G4356" t="str">
        <x:v>Sneha</x:v>
      </x:c>
      <x:c r="H4356" t="str">
        <x:v>P015</x:v>
      </x:c>
      <x:c r="I4356" t="str">
        <x:v>Milk 1L</x:v>
      </x:c>
      <x:c r="J4356" t="str">
        <x:v>Dairy</x:v>
      </x:c>
      <x:c r="K4356" t="str">
        <x:v>Nandini</x:v>
      </x:c>
      <x:c r="L4356" s="22" t="n">
        <x:v>48</x:v>
      </x:c>
      <x:c r="M4356" t="n">
        <x:v>13</x:v>
      </x:c>
      <x:c r="N4356" s="24" t="n">
        <x:v>0</x:v>
      </x:c>
      <x:c r="O4356" s="22" t="n">
        <x:f>L4356*M4356</x:f>
        <x:v>624</x:v>
      </x:c>
      <x:c r="P4356" s="22" t="n">
        <x:f>O4356*(1-N4356)</x:f>
        <x:v>624</x:v>
      </x:c>
      <x:c r="Q4356" s="22" t="n">
        <x:v>43</x:v>
      </x:c>
      <x:c r="R4356" s="22" t="n">
        <x:f>Q4356*M4356</x:f>
        <x:v>559</x:v>
      </x:c>
      <x:c r="S4356" s="22" t="n">
        <x:f>P4356-R4356</x:f>
        <x:v>65</x:v>
      </x:c>
      <x:c r="T4356" t="str">
        <x:v>Cash</x:v>
      </x:c>
      <x:c r="U4356" t="str">
        <x:v>Paid</x:v>
      </x:c>
      <x:c r="V4356" t="str">
        <x:v>Delivered</x:v>
      </x:c>
      <x:c r="W4356" t="n">
        <x:v>0</x:v>
      </x:c>
      <x:c r="X4356" t="str"/>
      <x:c r="Y4356" t="str">
        <x:v>Outbound Call</x:v>
      </x:c>
    </x:row>
    <x:row r="4357">
      <x:c r="A4357" t="str">
        <x:v>O004356</x:v>
      </x:c>
      <x:c r="B4357" s="20" t="n">
        <x:v>45668</x:v>
      </x:c>
      <x:c r="C4357" t="str">
        <x:v>C0231</x:v>
      </x:c>
      <x:c r="D4357" t="str">
        <x:v>Metro Canteen 231</x:v>
      </x:c>
      <x:c r="E4357" t="str">
        <x:v>Canteen</x:v>
      </x:c>
      <x:c r="F4357" t="str">
        <x:v>Mangaluru</x:v>
      </x:c>
      <x:c r="G4357" t="str">
        <x:v>Megha</x:v>
      </x:c>
      <x:c r="H4357" t="str">
        <x:v>P028</x:v>
      </x:c>
      <x:c r="I4357" t="str">
        <x:v>Cookies 200g</x:v>
      </x:c>
      <x:c r="J4357" t="str">
        <x:v>Snacks</x:v>
      </x:c>
      <x:c r="K4357" t="str">
        <x:v>Britannia</x:v>
      </x:c>
      <x:c r="L4357" s="22" t="n">
        <x:v>55</x:v>
      </x:c>
      <x:c r="M4357" t="n">
        <x:v>34</x:v>
      </x:c>
      <x:c r="N4357" s="24" t="n">
        <x:v>0.03</x:v>
      </x:c>
      <x:c r="O4357" s="22" t="n">
        <x:f>L4357*M4357</x:f>
        <x:v>1870</x:v>
      </x:c>
      <x:c r="P4357" s="22" t="n">
        <x:f>O4357*(1-N4357)</x:f>
        <x:v>1813.8999999999999</x:v>
      </x:c>
      <x:c r="Q4357" s="22" t="n">
        <x:v>42</x:v>
      </x:c>
      <x:c r="R4357" s="22" t="n">
        <x:f>Q4357*M4357</x:f>
        <x:v>1428</x:v>
      </x:c>
      <x:c r="S4357" s="22" t="n">
        <x:f>P4357-R4357</x:f>
        <x:v>385.89999999999986</x:v>
      </x:c>
      <x:c r="T4357" t="str">
        <x:v>UPI</x:v>
      </x:c>
      <x:c r="U4357" t="str">
        <x:v>Pending</x:v>
      </x:c>
      <x:c r="V4357" t="str">
        <x:v>Delivered</x:v>
      </x:c>
      <x:c r="W4357" t="n">
        <x:v>0</x:v>
      </x:c>
      <x:c r="X4357" t="str"/>
      <x:c r="Y4357" t="str">
        <x:v>Existing Customer</x:v>
      </x:c>
    </x:row>
    <x:row r="4358">
      <x:c r="A4358" t="str">
        <x:v>O004357</x:v>
      </x:c>
      <x:c r="B4358" s="20" t="n">
        <x:v>45790</x:v>
      </x:c>
      <x:c r="C4358" t="str">
        <x:v>C0010</x:v>
      </x:c>
      <x:c r="D4358" t="str">
        <x:v>Royal Hotel 10</x:v>
      </x:c>
      <x:c r="E4358" t="str">
        <x:v>Canteen</x:v>
      </x:c>
      <x:c r="F4358" t="str">
        <x:v>Davanagere</x:v>
      </x:c>
      <x:c r="G4358" t="str">
        <x:v>Ramesh</x:v>
      </x:c>
      <x:c r="H4358" t="str">
        <x:v>P049</x:v>
      </x:c>
      <x:c r="I4358" t="str">
        <x:v>Apple 10kg</x:v>
      </x:c>
      <x:c r="J4358" t="str">
        <x:v>Fresh Produce</x:v>
      </x:c>
      <x:c r="K4358" t="str">
        <x:v>Local Market</x:v>
      </x:c>
      <x:c r="L4358" s="22" t="n">
        <x:v>1450</x:v>
      </x:c>
      <x:c r="M4358" t="n">
        <x:v>5</x:v>
      </x:c>
      <x:c r="N4358" s="24" t="n">
        <x:v>0.08</x:v>
      </x:c>
      <x:c r="O4358" s="22" t="n">
        <x:f>L4358*M4358</x:f>
        <x:v>7250</x:v>
      </x:c>
      <x:c r="P4358" s="22" t="n">
        <x:f>O4358*(1-N4358)</x:f>
        <x:v>6670</x:v>
      </x:c>
      <x:c r="Q4358" s="22" t="n">
        <x:v>1280</x:v>
      </x:c>
      <x:c r="R4358" s="22" t="n">
        <x:f>Q4358*M4358</x:f>
        <x:v>6400</x:v>
      </x:c>
      <x:c r="S4358" s="22" t="n">
        <x:f>P4358-R4358</x:f>
        <x:v>270</x:v>
      </x:c>
      <x:c r="T4358" t="str">
        <x:v>Bank Transfer</x:v>
      </x:c>
      <x:c r="U4358" t="str">
        <x:v>Paid</x:v>
      </x:c>
      <x:c r="V4358" t="str">
        <x:v>Delivered</x:v>
      </x:c>
      <x:c r="W4358" t="n">
        <x:v>0</x:v>
      </x:c>
      <x:c r="X4358" t="str"/>
      <x:c r="Y4358" t="str">
        <x:v>WhatsApp</x:v>
      </x:c>
    </x:row>
    <x:row r="4359">
      <x:c r="A4359" t="str">
        <x:v>O004358</x:v>
      </x:c>
      <x:c r="B4359" s="20" t="n">
        <x:v>45692</x:v>
      </x:c>
      <x:c r="C4359" t="str">
        <x:v>C0178</x:v>
      </x:c>
      <x:c r="D4359" t="str">
        <x:v>Annapurna Foods 178</x:v>
      </x:c>
      <x:c r="E4359" t="str">
        <x:v>Canteen</x:v>
      </x:c>
      <x:c r="F4359" t="str">
        <x:v>Tumakuru</x:v>
      </x:c>
      <x:c r="G4359" t="str">
        <x:v>Imran</x:v>
      </x:c>
      <x:c r="H4359" t="str">
        <x:v>P025</x:v>
      </x:c>
      <x:c r="I4359" t="str">
        <x:v>Potato Chips 100g</x:v>
      </x:c>
      <x:c r="J4359" t="str">
        <x:v>Snacks</x:v>
      </x:c>
      <x:c r="K4359" t="str">
        <x:v>Lay's</x:v>
      </x:c>
      <x:c r="L4359" s="22" t="n">
        <x:v>35</x:v>
      </x:c>
      <x:c r="M4359" t="n">
        <x:v>35</x:v>
      </x:c>
      <x:c r="N4359" s="24" t="n">
        <x:v>0.03</x:v>
      </x:c>
      <x:c r="O4359" s="22" t="n">
        <x:f>L4359*M4359</x:f>
        <x:v>1225</x:v>
      </x:c>
      <x:c r="P4359" s="22" t="n">
        <x:f>O4359*(1-N4359)</x:f>
        <x:v>1188.25</x:v>
      </x:c>
      <x:c r="Q4359" s="22" t="n">
        <x:v>27</x:v>
      </x:c>
      <x:c r="R4359" s="22" t="n">
        <x:f>Q4359*M4359</x:f>
        <x:v>945</x:v>
      </x:c>
      <x:c r="S4359" s="22" t="n">
        <x:f>P4359-R4359</x:f>
        <x:v>243.25</x:v>
      </x:c>
      <x:c r="T4359" t="str">
        <x:v>Credit</x:v>
      </x:c>
      <x:c r="U4359" t="str">
        <x:v>Pending</x:v>
      </x:c>
      <x:c r="V4359" t="str">
        <x:v>Delivered</x:v>
      </x:c>
      <x:c r="W4359" t="n">
        <x:v>0</x:v>
      </x:c>
      <x:c r="X4359" t="str"/>
      <x:c r="Y4359" t="str">
        <x:v>Referral</x:v>
      </x:c>
    </x:row>
    <x:row r="4360">
      <x:c r="A4360" t="str">
        <x:v>O004359</x:v>
      </x:c>
      <x:c r="B4360" s="20" t="n">
        <x:v>45852</x:v>
      </x:c>
      <x:c r="C4360" t="str">
        <x:v>C0133</x:v>
      </x:c>
      <x:c r="D4360" t="str">
        <x:v>Metro Foods 133</x:v>
      </x:c>
      <x:c r="E4360" t="str">
        <x:v>Cafe</x:v>
      </x:c>
      <x:c r="F4360" t="str">
        <x:v>Bengaluru</x:v>
      </x:c>
      <x:c r="G4360" t="str">
        <x:v>Ramesh</x:v>
      </x:c>
      <x:c r="H4360" t="str">
        <x:v>P006</x:v>
      </x:c>
      <x:c r="I4360" t="str">
        <x:v>Moong Dal 5kg</x:v>
      </x:c>
      <x:c r="J4360" t="str">
        <x:v>Pulses</x:v>
      </x:c>
      <x:c r="K4360" t="str">
        <x:v>Local Select</x:v>
      </x:c>
      <x:c r="L4360" s="22" t="n">
        <x:v>610</x:v>
      </x:c>
      <x:c r="M4360" t="n">
        <x:v>29</x:v>
      </x:c>
      <x:c r="N4360" s="24" t="n">
        <x:v>0.08</x:v>
      </x:c>
      <x:c r="O4360" s="22" t="n">
        <x:f>L4360*M4360</x:f>
        <x:v>17690</x:v>
      </x:c>
      <x:c r="P4360" s="22" t="n">
        <x:f>O4360*(1-N4360)</x:f>
        <x:v>16274.800000000001</x:v>
      </x:c>
      <x:c r="Q4360" s="22" t="n">
        <x:v>540</x:v>
      </x:c>
      <x:c r="R4360" s="22" t="n">
        <x:f>Q4360*M4360</x:f>
        <x:v>15660</x:v>
      </x:c>
      <x:c r="S4360" s="22" t="n">
        <x:f>P4360-R4360</x:f>
        <x:v>614.8000000000011</x:v>
      </x:c>
      <x:c r="T4360" t="str">
        <x:v>Bank Transfer</x:v>
      </x:c>
      <x:c r="U4360" t="str">
        <x:v>Paid</x:v>
      </x:c>
      <x:c r="V4360" t="str">
        <x:v>Delivered</x:v>
      </x:c>
      <x:c r="W4360" t="n">
        <x:v>0</x:v>
      </x:c>
      <x:c r="X4360" t="str"/>
      <x:c r="Y4360" t="str">
        <x:v>Outbound Call</x:v>
      </x:c>
    </x:row>
    <x:row r="4361">
      <x:c r="A4361" t="str">
        <x:v>O004360</x:v>
      </x:c>
      <x:c r="B4361" s="20" t="n">
        <x:v>45892</x:v>
      </x:c>
      <x:c r="C4361" t="str">
        <x:v>C0002</x:v>
      </x:c>
      <x:c r="D4361" t="str">
        <x:v>City Kitchen 2</x:v>
      </x:c>
      <x:c r="E4361" t="str">
        <x:v>Kirana</x:v>
      </x:c>
      <x:c r="F4361" t="str">
        <x:v>Davanagere</x:v>
      </x:c>
      <x:c r="G4361" t="str">
        <x:v>Arjun</x:v>
      </x:c>
      <x:c r="H4361" t="str">
        <x:v>P042</x:v>
      </x:c>
      <x:c r="I4361" t="str">
        <x:v>Eggs 30pc Tray</x:v>
      </x:c>
      <x:c r="J4361" t="str">
        <x:v>Protein</x:v>
      </x:c>
      <x:c r="K4361" t="str">
        <x:v>Farm Fresh</x:v>
      </x:c>
      <x:c r="L4361" s="22" t="n">
        <x:v>195</x:v>
      </x:c>
      <x:c r="M4361" t="n">
        <x:v>1</x:v>
      </x:c>
      <x:c r="N4361" s="24" t="n">
        <x:v>0.05</x:v>
      </x:c>
      <x:c r="O4361" s="22" t="n">
        <x:f>L4361*M4361</x:f>
        <x:v>195</x:v>
      </x:c>
      <x:c r="P4361" s="22" t="n">
        <x:f>O4361*(1-N4361)</x:f>
        <x:v>185.25</x:v>
      </x:c>
      <x:c r="Q4361" s="22" t="n">
        <x:v>170</x:v>
      </x:c>
      <x:c r="R4361" s="22" t="n">
        <x:f>Q4361*M4361</x:f>
        <x:v>170</x:v>
      </x:c>
      <x:c r="S4361" s="22" t="n">
        <x:f>P4361-R4361</x:f>
        <x:v>15.25</x:v>
      </x:c>
      <x:c r="T4361" t="str">
        <x:v>Bank Transfer</x:v>
      </x:c>
      <x:c r="U4361" t="str">
        <x:v>Paid</x:v>
      </x:c>
      <x:c r="V4361" t="str">
        <x:v>Delivered</x:v>
      </x:c>
      <x:c r="W4361" t="n">
        <x:v>0</x:v>
      </x:c>
      <x:c r="X4361" t="str"/>
      <x:c r="Y4361" t="str">
        <x:v>WhatsApp</x:v>
      </x:c>
    </x:row>
    <x:row r="4362">
      <x:c r="A4362" t="str">
        <x:v>O004361</x:v>
      </x:c>
      <x:c r="B4362" s="20" t="n">
        <x:v>46252</x:v>
      </x:c>
      <x:c r="C4362" t="str">
        <x:v>C0106</x:v>
      </x:c>
      <x:c r="D4362" t="str">
        <x:v>Classic Mart 106</x:v>
      </x:c>
      <x:c r="E4362" t="str">
        <x:v>Restaurant</x:v>
      </x:c>
      <x:c r="F4362" t="str">
        <x:v>Mysuru</x:v>
      </x:c>
      <x:c r="G4362" t="str">
        <x:v>Kavya</x:v>
      </x:c>
      <x:c r="H4362" t="str">
        <x:v>P017</x:v>
      </x:c>
      <x:c r="I4362" t="str">
        <x:v>Butter 500g</x:v>
      </x:c>
      <x:c r="J4362" t="str">
        <x:v>Dairy</x:v>
      </x:c>
      <x:c r="K4362" t="str">
        <x:v>Amul</x:v>
      </x:c>
      <x:c r="L4362" s="22" t="n">
        <x:v>285</x:v>
      </x:c>
      <x:c r="M4362" t="n">
        <x:v>12</x:v>
      </x:c>
      <x:c r="N4362" s="24" t="n">
        <x:v>0.05</x:v>
      </x:c>
      <x:c r="O4362" s="22" t="n">
        <x:f>L4362*M4362</x:f>
        <x:v>3420</x:v>
      </x:c>
      <x:c r="P4362" s="22" t="n">
        <x:f>O4362*(1-N4362)</x:f>
        <x:v>3249</x:v>
      </x:c>
      <x:c r="Q4362" s="22" t="n">
        <x:v>258</x:v>
      </x:c>
      <x:c r="R4362" s="22" t="n">
        <x:f>Q4362*M4362</x:f>
        <x:v>3096</x:v>
      </x:c>
      <x:c r="S4362" s="22" t="n">
        <x:f>P4362-R4362</x:f>
        <x:v>153</x:v>
      </x:c>
      <x:c r="T4362" t="str">
        <x:v>Bank Transfer</x:v>
      </x:c>
      <x:c r="U4362" t="str">
        <x:v>Paid</x:v>
      </x:c>
      <x:c r="V4362" t="str">
        <x:v>Delivered</x:v>
      </x:c>
      <x:c r="W4362" t="n">
        <x:v>0</x:v>
      </x:c>
      <x:c r="X4362" t="str"/>
      <x:c r="Y4362" t="str">
        <x:v>Outbound Call</x:v>
      </x:c>
    </x:row>
    <x:row r="4363">
      <x:c r="A4363" t="str">
        <x:v>O004362</x:v>
      </x:c>
      <x:c r="B4363" s="20" t="n">
        <x:v>46144</x:v>
      </x:c>
      <x:c r="C4363" t="str">
        <x:v>C0060</x:v>
      </x:c>
      <x:c r="D4363" t="str">
        <x:v>Sagar Stores 60</x:v>
      </x:c>
      <x:c r="E4363" t="str">
        <x:v>Cafe</x:v>
      </x:c>
      <x:c r="F4363" t="str">
        <x:v>Hubballi</x:v>
      </x:c>
      <x:c r="G4363" t="str">
        <x:v>Imran</x:v>
      </x:c>
      <x:c r="H4363" t="str">
        <x:v>P047</x:v>
      </x:c>
      <x:c r="I4363" t="str">
        <x:v>Tomato 25kg</x:v>
      </x:c>
      <x:c r="J4363" t="str">
        <x:v>Fresh Produce</x:v>
      </x:c>
      <x:c r="K4363" t="str">
        <x:v>Local Market</x:v>
      </x:c>
      <x:c r="L4363" s="22" t="n">
        <x:v>950</x:v>
      </x:c>
      <x:c r="M4363" t="n">
        <x:v>9</x:v>
      </x:c>
      <x:c r="N4363" s="24" t="n">
        <x:v>0.08</x:v>
      </x:c>
      <x:c r="O4363" s="22" t="n">
        <x:f>L4363*M4363</x:f>
        <x:v>8550</x:v>
      </x:c>
      <x:c r="P4363" s="22" t="n">
        <x:f>O4363*(1-N4363)</x:f>
        <x:v>7866</x:v>
      </x:c>
      <x:c r="Q4363" s="22" t="n">
        <x:v>810</x:v>
      </x:c>
      <x:c r="R4363" s="22" t="n">
        <x:f>Q4363*M4363</x:f>
        <x:v>7290</x:v>
      </x:c>
      <x:c r="S4363" s="22" t="n">
        <x:f>P4363-R4363</x:f>
        <x:v>576</x:v>
      </x:c>
      <x:c r="T4363" t="str">
        <x:v>Bank Transfer</x:v>
      </x:c>
      <x:c r="U4363" t="str">
        <x:v>Paid</x:v>
      </x:c>
      <x:c r="V4363" t="str">
        <x:v>Cancelled</x:v>
      </x:c>
      <x:c r="W4363" t="n">
        <x:v>9</x:v>
      </x:c>
      <x:c r="X4363" t="str">
        <x:v>Cancelled Order</x:v>
      </x:c>
      <x:c r="Y4363" t="str">
        <x:v>Existing Customer</x:v>
      </x:c>
    </x:row>
    <x:row r="4364">
      <x:c r="A4364" t="str">
        <x:v>O004363</x:v>
      </x:c>
      <x:c r="B4364" s="20" t="n">
        <x:v>46011</x:v>
      </x:c>
      <x:c r="C4364" t="str">
        <x:v>C0020</x:v>
      </x:c>
      <x:c r="D4364" t="str">
        <x:v>Shree Foods 20</x:v>
      </x:c>
      <x:c r="E4364" t="str">
        <x:v>Restaurant</x:v>
      </x:c>
      <x:c r="F4364" t="str">
        <x:v>Mysuru</x:v>
      </x:c>
      <x:c r="G4364" t="str">
        <x:v>Arjun</x:v>
      </x:c>
      <x:c r="H4364" t="str">
        <x:v>P024</x:v>
      </x:c>
      <x:c r="I4364" t="str">
        <x:v>Orange Drink 1L</x:v>
      </x:c>
      <x:c r="J4364" t="str">
        <x:v>Beverage</x:v>
      </x:c>
      <x:c r="K4364" t="str">
        <x:v>Minute Maid</x:v>
      </x:c>
      <x:c r="L4364" s="22" t="n">
        <x:v>105</x:v>
      </x:c>
      <x:c r="M4364" t="n">
        <x:v>14</x:v>
      </x:c>
      <x:c r="N4364" s="24" t="n">
        <x:v>0.05</x:v>
      </x:c>
      <x:c r="O4364" s="22" t="n">
        <x:f>L4364*M4364</x:f>
        <x:v>1470</x:v>
      </x:c>
      <x:c r="P4364" s="22" t="n">
        <x:f>O4364*(1-N4364)</x:f>
        <x:v>1396.5</x:v>
      </x:c>
      <x:c r="Q4364" s="22" t="n">
        <x:v>88</x:v>
      </x:c>
      <x:c r="R4364" s="22" t="n">
        <x:f>Q4364*M4364</x:f>
        <x:v>1232</x:v>
      </x:c>
      <x:c r="S4364" s="22" t="n">
        <x:f>P4364-R4364</x:f>
        <x:v>164.5</x:v>
      </x:c>
      <x:c r="T4364" t="str">
        <x:v>Bank Transfer</x:v>
      </x:c>
      <x:c r="U4364" t="str">
        <x:v>Paid</x:v>
      </x:c>
      <x:c r="V4364" t="str">
        <x:v>Delayed</x:v>
      </x:c>
      <x:c r="W4364" t="n">
        <x:v>0</x:v>
      </x:c>
      <x:c r="X4364" t="str"/>
      <x:c r="Y4364" t="str">
        <x:v>Existing Customer</x:v>
      </x:c>
    </x:row>
    <x:row r="4365">
      <x:c r="A4365" t="str">
        <x:v>O004364</x:v>
      </x:c>
      <x:c r="B4365" s="20" t="n">
        <x:v>45748</x:v>
      </x:c>
      <x:c r="C4365" t="str">
        <x:v>C0239</x:v>
      </x:c>
      <x:c r="D4365" t="str">
        <x:v>Royal Hotel 239</x:v>
      </x:c>
      <x:c r="E4365" t="str">
        <x:v>Restaurant</x:v>
      </x:c>
      <x:c r="F4365" t="str">
        <x:v>Hubballi</x:v>
      </x:c>
      <x:c r="G4365" t="str">
        <x:v>Priya</x:v>
      </x:c>
      <x:c r="H4365" t="str">
        <x:v>P012</x:v>
      </x:c>
      <x:c r="I4365" t="str">
        <x:v>Maida 10kg</x:v>
      </x:c>
      <x:c r="J4365" t="str">
        <x:v>Flour</x:v>
      </x:c>
      <x:c r="K4365" t="str">
        <x:v>Aashirvaad</x:v>
      </x:c>
      <x:c r="L4365" s="22" t="n">
        <x:v>520</x:v>
      </x:c>
      <x:c r="M4365" t="n">
        <x:v>13</x:v>
      </x:c>
      <x:c r="N4365" s="24" t="n">
        <x:v>0.02</x:v>
      </x:c>
      <x:c r="O4365" s="22" t="n">
        <x:f>L4365*M4365</x:f>
        <x:v>6760</x:v>
      </x:c>
      <x:c r="P4365" s="22" t="n">
        <x:f>O4365*(1-N4365)</x:f>
        <x:v>6624.8</x:v>
      </x:c>
      <x:c r="Q4365" s="22" t="n">
        <x:v>460</x:v>
      </x:c>
      <x:c r="R4365" s="22" t="n">
        <x:f>Q4365*M4365</x:f>
        <x:v>5980</x:v>
      </x:c>
      <x:c r="S4365" s="22" t="n">
        <x:f>P4365-R4365</x:f>
        <x:v>644.8000000000002</x:v>
      </x:c>
      <x:c r="T4365" t="str">
        <x:v>UPI</x:v>
      </x:c>
      <x:c r="U4365" t="str">
        <x:v>Paid</x:v>
      </x:c>
      <x:c r="V4365" t="str">
        <x:v>Cancelled</x:v>
      </x:c>
      <x:c r="W4365" t="n">
        <x:v>13</x:v>
      </x:c>
      <x:c r="X4365" t="str">
        <x:v>Cancelled Order</x:v>
      </x:c>
      <x:c r="Y4365" t="str">
        <x:v>Referral</x:v>
      </x:c>
    </x:row>
    <x:row r="4366">
      <x:c r="A4366" t="str">
        <x:v>O004365</x:v>
      </x:c>
      <x:c r="B4366" s="20" t="n">
        <x:v>46142</x:v>
      </x:c>
      <x:c r="C4366" t="str">
        <x:v>C0080</x:v>
      </x:c>
      <x:c r="D4366" t="str">
        <x:v>Annapurna Canteen 80</x:v>
      </x:c>
      <x:c r="E4366" t="str">
        <x:v>Restaurant</x:v>
      </x:c>
      <x:c r="F4366" t="str">
        <x:v>Mangaluru</x:v>
      </x:c>
      <x:c r="G4366" t="str">
        <x:v>Priya</x:v>
      </x:c>
      <x:c r="H4366" t="str">
        <x:v>P005</x:v>
      </x:c>
      <x:c r="I4366" t="str">
        <x:v>Chana Dal 5kg</x:v>
      </x:c>
      <x:c r="J4366" t="str">
        <x:v>Pulses</x:v>
      </x:c>
      <x:c r="K4366" t="str">
        <x:v>Local Select</x:v>
      </x:c>
      <x:c r="L4366" s="22" t="n">
        <x:v>520</x:v>
      </x:c>
      <x:c r="M4366" t="n">
        <x:v>34</x:v>
      </x:c>
      <x:c r="N4366" s="24" t="n">
        <x:v>0.03</x:v>
      </x:c>
      <x:c r="O4366" s="22" t="n">
        <x:f>L4366*M4366</x:f>
        <x:v>17680</x:v>
      </x:c>
      <x:c r="P4366" s="22" t="n">
        <x:f>O4366*(1-N4366)</x:f>
        <x:v>17149.6</x:v>
      </x:c>
      <x:c r="Q4366" s="22" t="n">
        <x:v>455</x:v>
      </x:c>
      <x:c r="R4366" s="22" t="n">
        <x:f>Q4366*M4366</x:f>
        <x:v>15470</x:v>
      </x:c>
      <x:c r="S4366" s="22" t="n">
        <x:f>P4366-R4366</x:f>
        <x:v>1679.5999999999985</x:v>
      </x:c>
      <x:c r="T4366" t="str">
        <x:v>UPI</x:v>
      </x:c>
      <x:c r="U4366" t="str">
        <x:v>Paid</x:v>
      </x:c>
      <x:c r="V4366" t="str">
        <x:v>Delivered</x:v>
      </x:c>
      <x:c r="W4366" t="n">
        <x:v>0</x:v>
      </x:c>
      <x:c r="X4366" t="str"/>
      <x:c r="Y4366" t="str">
        <x:v>Outbound Call</x:v>
      </x:c>
    </x:row>
    <x:row r="4367">
      <x:c r="A4367" t="str">
        <x:v>O004366</x:v>
      </x:c>
      <x:c r="B4367" s="20" t="n">
        <x:v>45914</x:v>
      </x:c>
      <x:c r="C4367" t="str">
        <x:v>C0106</x:v>
      </x:c>
      <x:c r="D4367" t="str">
        <x:v>Classic Mart 106</x:v>
      </x:c>
      <x:c r="E4367" t="str">
        <x:v>Restaurant</x:v>
      </x:c>
      <x:c r="F4367" t="str">
        <x:v>Mysuru</x:v>
      </x:c>
      <x:c r="G4367" t="str">
        <x:v>Kavya</x:v>
      </x:c>
      <x:c r="H4367" t="str">
        <x:v>P045</x:v>
      </x:c>
      <x:c r="I4367" t="str">
        <x:v>Onion 25kg</x:v>
      </x:c>
      <x:c r="J4367" t="str">
        <x:v>Fresh Produce</x:v>
      </x:c>
      <x:c r="K4367" t="str">
        <x:v>Local Market</x:v>
      </x:c>
      <x:c r="L4367" s="22" t="n">
        <x:v>875</x:v>
      </x:c>
      <x:c r="M4367" t="n">
        <x:v>34</x:v>
      </x:c>
      <x:c r="N4367" s="24" t="n">
        <x:v>0.03</x:v>
      </x:c>
      <x:c r="O4367" s="22" t="n">
        <x:f>L4367*M4367</x:f>
        <x:v>29750</x:v>
      </x:c>
      <x:c r="P4367" s="22" t="n">
        <x:f>O4367*(1-N4367)</x:f>
        <x:v>28857.5</x:v>
      </x:c>
      <x:c r="Q4367" s="22" t="n">
        <x:v>760</x:v>
      </x:c>
      <x:c r="R4367" s="22" t="n">
        <x:f>Q4367*M4367</x:f>
        <x:v>25840</x:v>
      </x:c>
      <x:c r="S4367" s="22" t="n">
        <x:f>P4367-R4367</x:f>
        <x:v>3017.5</x:v>
      </x:c>
      <x:c r="T4367" t="str">
        <x:v>UPI</x:v>
      </x:c>
      <x:c r="U4367" t="str">
        <x:v>Paid</x:v>
      </x:c>
      <x:c r="V4367" t="str">
        <x:v>Delivered</x:v>
      </x:c>
      <x:c r="W4367" t="n">
        <x:v>0</x:v>
      </x:c>
      <x:c r="X4367" t="str"/>
      <x:c r="Y4367" t="str">
        <x:v>Outbound Call</x:v>
      </x:c>
    </x:row>
    <x:row r="4368">
      <x:c r="A4368" t="str">
        <x:v>O004367</x:v>
      </x:c>
      <x:c r="B4368" s="20" t="n">
        <x:v>45835</x:v>
      </x:c>
      <x:c r="C4368" t="str">
        <x:v>C0138</x:v>
      </x:c>
      <x:c r="D4368" t="str">
        <x:v>New Mart 138</x:v>
      </x:c>
      <x:c r="E4368" t="str">
        <x:v>Restaurant</x:v>
      </x:c>
      <x:c r="F4368" t="str">
        <x:v>Bengaluru</x:v>
      </x:c>
      <x:c r="G4368" t="str">
        <x:v>Ramesh</x:v>
      </x:c>
      <x:c r="H4368" t="str">
        <x:v>P005</x:v>
      </x:c>
      <x:c r="I4368" t="str">
        <x:v>Chana Dal 5kg</x:v>
      </x:c>
      <x:c r="J4368" t="str">
        <x:v>Pulses</x:v>
      </x:c>
      <x:c r="K4368" t="str">
        <x:v>Local Select</x:v>
      </x:c>
      <x:c r="L4368" s="22" t="n">
        <x:v>520</x:v>
      </x:c>
      <x:c r="M4368" t="n">
        <x:v>34</x:v>
      </x:c>
      <x:c r="N4368" s="24" t="n">
        <x:v>0.03</x:v>
      </x:c>
      <x:c r="O4368" s="22" t="n">
        <x:f>L4368*M4368</x:f>
        <x:v>17680</x:v>
      </x:c>
      <x:c r="P4368" s="22" t="n">
        <x:f>O4368*(1-N4368)</x:f>
        <x:v>17149.6</x:v>
      </x:c>
      <x:c r="Q4368" s="22" t="n">
        <x:v>455</x:v>
      </x:c>
      <x:c r="R4368" s="22" t="n">
        <x:f>Q4368*M4368</x:f>
        <x:v>15470</x:v>
      </x:c>
      <x:c r="S4368" s="22" t="n">
        <x:f>P4368-R4368</x:f>
        <x:v>1679.5999999999985</x:v>
      </x:c>
      <x:c r="T4368" t="str">
        <x:v>Bank Transfer</x:v>
      </x:c>
      <x:c r="U4368" t="str">
        <x:v>Paid</x:v>
      </x:c>
      <x:c r="V4368" t="str">
        <x:v>Cancelled</x:v>
      </x:c>
      <x:c r="W4368" t="n">
        <x:v>34</x:v>
      </x:c>
      <x:c r="X4368" t="str">
        <x:v>Cancelled Order</x:v>
      </x:c>
      <x:c r="Y4368" t="str">
        <x:v>Referral</x:v>
      </x:c>
    </x:row>
    <x:row r="4369">
      <x:c r="A4369" t="str">
        <x:v>O004368</x:v>
      </x:c>
      <x:c r="B4369" s="20" t="n">
        <x:v>46238</x:v>
      </x:c>
      <x:c r="C4369" t="str">
        <x:v>C0139</x:v>
      </x:c>
      <x:c r="D4369" t="str">
        <x:v>Classic Hotel 139</x:v>
      </x:c>
      <x:c r="E4369" t="str">
        <x:v>Cafe</x:v>
      </x:c>
      <x:c r="F4369" t="str">
        <x:v>Mysuru</x:v>
      </x:c>
      <x:c r="G4369" t="str">
        <x:v>Vikram</x:v>
      </x:c>
      <x:c r="H4369" t="str">
        <x:v>P022</x:v>
      </x:c>
      <x:c r="I4369" t="str">
        <x:v>Mineral Water 1L</x:v>
      </x:c>
      <x:c r="J4369" t="str">
        <x:v>Beverage</x:v>
      </x:c>
      <x:c r="K4369" t="str">
        <x:v>Bisleri</x:v>
      </x:c>
      <x:c r="L4369" s="22" t="n">
        <x:v>19</x:v>
      </x:c>
      <x:c r="M4369" t="n">
        <x:v>15</x:v>
      </x:c>
      <x:c r="N4369" s="24" t="n">
        <x:v>0.08</x:v>
      </x:c>
      <x:c r="O4369" s="22" t="n">
        <x:f>L4369*M4369</x:f>
        <x:v>285</x:v>
      </x:c>
      <x:c r="P4369" s="22" t="n">
        <x:f>O4369*(1-N4369)</x:f>
        <x:v>262.2</x:v>
      </x:c>
      <x:c r="Q4369" s="22" t="n">
        <x:v>15</x:v>
      </x:c>
      <x:c r="R4369" s="22" t="n">
        <x:f>Q4369*M4369</x:f>
        <x:v>225</x:v>
      </x:c>
      <x:c r="S4369" s="22" t="n">
        <x:f>P4369-R4369</x:f>
        <x:v>37.19999999999999</x:v>
      </x:c>
      <x:c r="T4369" t="str">
        <x:v>UPI</x:v>
      </x:c>
      <x:c r="U4369" t="str">
        <x:v>Pending</x:v>
      </x:c>
      <x:c r="V4369" t="str">
        <x:v>Delivered</x:v>
      </x:c>
      <x:c r="W4369" t="n">
        <x:v>0</x:v>
      </x:c>
      <x:c r="X4369" t="str"/>
      <x:c r="Y4369" t="str">
        <x:v>Referral</x:v>
      </x:c>
    </x:row>
    <x:row r="4370">
      <x:c r="A4370" t="str">
        <x:v>O004369</x:v>
      </x:c>
      <x:c r="B4370" s="20" t="n">
        <x:v>45756</x:v>
      </x:c>
      <x:c r="C4370" t="str">
        <x:v>C0166</x:v>
      </x:c>
      <x:c r="D4370" t="str">
        <x:v>Mysore Foods 166</x:v>
      </x:c>
      <x:c r="E4370" t="str">
        <x:v>Cafe</x:v>
      </x:c>
      <x:c r="F4370" t="str">
        <x:v>Mangaluru</x:v>
      </x:c>
      <x:c r="G4370" t="str">
        <x:v>Arjun</x:v>
      </x:c>
      <x:c r="H4370" t="str">
        <x:v>P034</x:v>
      </x:c>
      <x:c r="I4370" t="str">
        <x:v>Chilli Powder 1kg</x:v>
      </x:c>
      <x:c r="J4370" t="str">
        <x:v>Spices</x:v>
      </x:c>
      <x:c r="K4370" t="str">
        <x:v>MDH</x:v>
      </x:c>
      <x:c r="L4370" s="22" t="n">
        <x:v>340</x:v>
      </x:c>
      <x:c r="M4370" t="n">
        <x:v>18</x:v>
      </x:c>
      <x:c r="N4370" s="24" t="n">
        <x:v>0.03</x:v>
      </x:c>
      <x:c r="O4370" s="22" t="n">
        <x:f>L4370*M4370</x:f>
        <x:v>6120</x:v>
      </x:c>
      <x:c r="P4370" s="22" t="n">
        <x:f>O4370*(1-N4370)</x:f>
        <x:v>5936.4</x:v>
      </x:c>
      <x:c r="Q4370" s="22" t="n">
        <x:v>295</x:v>
      </x:c>
      <x:c r="R4370" s="22" t="n">
        <x:f>Q4370*M4370</x:f>
        <x:v>5310</x:v>
      </x:c>
      <x:c r="S4370" s="22" t="n">
        <x:f>P4370-R4370</x:f>
        <x:v>626.3999999999996</x:v>
      </x:c>
      <x:c r="T4370" t="str">
        <x:v>Cash</x:v>
      </x:c>
      <x:c r="U4370" t="str">
        <x:v>Paid</x:v>
      </x:c>
      <x:c r="V4370" t="str">
        <x:v>Delivered</x:v>
      </x:c>
      <x:c r="W4370" t="n">
        <x:v>0</x:v>
      </x:c>
      <x:c r="X4370" t="str"/>
      <x:c r="Y4370" t="str">
        <x:v>WhatsApp</x:v>
      </x:c>
    </x:row>
    <x:row r="4371">
      <x:c r="A4371" t="str">
        <x:v>O004370</x:v>
      </x:c>
      <x:c r="B4371" s="20" t="n">
        <x:v>45906</x:v>
      </x:c>
      <x:c r="C4371" t="str">
        <x:v>C0187</x:v>
      </x:c>
      <x:c r="D4371" t="str">
        <x:v>City Cafe 187</x:v>
      </x:c>
      <x:c r="E4371" t="str">
        <x:v>Hotel</x:v>
      </x:c>
      <x:c r="F4371" t="str">
        <x:v>Mysuru</x:v>
      </x:c>
      <x:c r="G4371" t="str">
        <x:v>Priya</x:v>
      </x:c>
      <x:c r="H4371" t="str">
        <x:v>P010</x:v>
      </x:c>
      <x:c r="I4371" t="str">
        <x:v>Sugar 25kg</x:v>
      </x:c>
      <x:c r="J4371" t="str">
        <x:v>Staples</x:v>
      </x:c>
      <x:c r="K4371" t="str">
        <x:v>Madhur</x:v>
      </x:c>
      <x:c r="L4371" s="22" t="n">
        <x:v>1190</x:v>
      </x:c>
      <x:c r="M4371" t="n">
        <x:v>1</x:v>
      </x:c>
      <x:c r="N4371" s="24" t="n">
        <x:v>0.03</x:v>
      </x:c>
      <x:c r="O4371" s="22" t="n">
        <x:f>L4371*M4371</x:f>
        <x:v>1190</x:v>
      </x:c>
      <x:c r="P4371" s="22" t="n">
        <x:f>O4371*(1-N4371)</x:f>
        <x:v>1154.3</x:v>
      </x:c>
      <x:c r="Q4371" s="22" t="n">
        <x:v>1080</x:v>
      </x:c>
      <x:c r="R4371" s="22" t="n">
        <x:f>Q4371*M4371</x:f>
        <x:v>1080</x:v>
      </x:c>
      <x:c r="S4371" s="22" t="n">
        <x:f>P4371-R4371</x:f>
        <x:v>74.29999999999995</x:v>
      </x:c>
      <x:c r="T4371" t="str">
        <x:v>Cash</x:v>
      </x:c>
      <x:c r="U4371" t="str">
        <x:v>Pending</x:v>
      </x:c>
      <x:c r="V4371" t="str">
        <x:v>Delivered</x:v>
      </x:c>
      <x:c r="W4371" t="n">
        <x:v>0</x:v>
      </x:c>
      <x:c r="X4371" t="str"/>
      <x:c r="Y4371" t="str">
        <x:v>Outbound Call</x:v>
      </x:c>
    </x:row>
    <x:row r="4372">
      <x:c r="A4372" t="str">
        <x:v>O004371</x:v>
      </x:c>
      <x:c r="B4372" s="20" t="n">
        <x:v>45821</x:v>
      </x:c>
      <x:c r="C4372" t="str">
        <x:v>C0205</x:v>
      </x:c>
      <x:c r="D4372" t="str">
        <x:v>Royal Mart 205</x:v>
      </x:c>
      <x:c r="E4372" t="str">
        <x:v>Kirana</x:v>
      </x:c>
      <x:c r="F4372" t="str">
        <x:v>Mysuru</x:v>
      </x:c>
      <x:c r="G4372" t="str">
        <x:v>Priya</x:v>
      </x:c>
      <x:c r="H4372" t="str">
        <x:v>P044</x:v>
      </x:c>
      <x:c r="I4372" t="str">
        <x:v>Chicken Curry Cut 1kg</x:v>
      </x:c>
      <x:c r="J4372" t="str">
        <x:v>Protein</x:v>
      </x:c>
      <x:c r="K4372" t="str">
        <x:v>FreshToHome</x:v>
      </x:c>
      <x:c r="L4372" s="22" t="n">
        <x:v>230</x:v>
      </x:c>
      <x:c r="M4372" t="n">
        <x:v>15</x:v>
      </x:c>
      <x:c r="N4372" s="24" t="n">
        <x:v>0.1</x:v>
      </x:c>
      <x:c r="O4372" s="22" t="n">
        <x:f>L4372*M4372</x:f>
        <x:v>3450</x:v>
      </x:c>
      <x:c r="P4372" s="22" t="n">
        <x:f>O4372*(1-N4372)</x:f>
        <x:v>3105</x:v>
      </x:c>
      <x:c r="Q4372" s="22" t="n">
        <x:v>205</x:v>
      </x:c>
      <x:c r="R4372" s="22" t="n">
        <x:f>Q4372*M4372</x:f>
        <x:v>3075</x:v>
      </x:c>
      <x:c r="S4372" s="22" t="n">
        <x:f>P4372-R4372</x:f>
        <x:v>30</x:v>
      </x:c>
      <x:c r="T4372" t="str">
        <x:v>Credit</x:v>
      </x:c>
      <x:c r="U4372" t="str">
        <x:v>Paid</x:v>
      </x:c>
      <x:c r="V4372" t="str">
        <x:v>Delivered</x:v>
      </x:c>
      <x:c r="W4372" t="n">
        <x:v>3</x:v>
      </x:c>
      <x:c r="X4372" t="str">
        <x:v>Late Delivery</x:v>
      </x:c>
      <x:c r="Y4372" t="str">
        <x:v>WhatsApp</x:v>
      </x:c>
    </x:row>
    <x:row r="4373">
      <x:c r="A4373" t="str">
        <x:v>O004372</x:v>
      </x:c>
      <x:c r="B4373" s="20" t="n">
        <x:v>45737</x:v>
      </x:c>
      <x:c r="C4373" t="str">
        <x:v>C0022</x:v>
      </x:c>
      <x:c r="D4373" t="str">
        <x:v>Royal Hotel 22</x:v>
      </x:c>
      <x:c r="E4373" t="str">
        <x:v>Kirana</x:v>
      </x:c>
      <x:c r="F4373" t="str">
        <x:v>Bengaluru</x:v>
      </x:c>
      <x:c r="G4373" t="str">
        <x:v>Ramesh</x:v>
      </x:c>
      <x:c r="H4373" t="str">
        <x:v>P018</x:v>
      </x:c>
      <x:c r="I4373" t="str">
        <x:v>Paneer 1kg</x:v>
      </x:c>
      <x:c r="J4373" t="str">
        <x:v>Dairy</x:v>
      </x:c>
      <x:c r="K4373" t="str">
        <x:v>Milky Mist</x:v>
      </x:c>
      <x:c r="L4373" s="22" t="n">
        <x:v>410</x:v>
      </x:c>
      <x:c r="M4373" t="n">
        <x:v>10</x:v>
      </x:c>
      <x:c r="N4373" s="24" t="n">
        <x:v>0.03</x:v>
      </x:c>
      <x:c r="O4373" s="22" t="n">
        <x:f>L4373*M4373</x:f>
        <x:v>4100</x:v>
      </x:c>
      <x:c r="P4373" s="22" t="n">
        <x:f>O4373*(1-N4373)</x:f>
        <x:v>3977</x:v>
      </x:c>
      <x:c r="Q4373" s="22" t="n">
        <x:v>370</x:v>
      </x:c>
      <x:c r="R4373" s="22" t="n">
        <x:f>Q4373*M4373</x:f>
        <x:v>3700</x:v>
      </x:c>
      <x:c r="S4373" s="22" t="n">
        <x:f>P4373-R4373</x:f>
        <x:v>277</x:v>
      </x:c>
      <x:c r="T4373" t="str">
        <x:v>UPI</x:v>
      </x:c>
      <x:c r="U4373" t="str">
        <x:v>Paid</x:v>
      </x:c>
      <x:c r="V4373" t="str">
        <x:v>Delivered</x:v>
      </x:c>
      <x:c r="W4373" t="n">
        <x:v>0</x:v>
      </x:c>
      <x:c r="X4373" t="str"/>
      <x:c r="Y4373" t="str">
        <x:v>Referral</x:v>
      </x:c>
    </x:row>
    <x:row r="4374">
      <x:c r="A4374" t="str">
        <x:v>O004373</x:v>
      </x:c>
      <x:c r="B4374" s="20" t="n">
        <x:v>46087</x:v>
      </x:c>
      <x:c r="C4374" t="str">
        <x:v>C0144</x:v>
      </x:c>
      <x:c r="D4374" t="str">
        <x:v>Namma Foods 144</x:v>
      </x:c>
      <x:c r="E4374" t="str">
        <x:v>Restaurant</x:v>
      </x:c>
      <x:c r="F4374" t="str">
        <x:v>Tumakuru</x:v>
      </x:c>
      <x:c r="G4374" t="str">
        <x:v>Arjun</x:v>
      </x:c>
      <x:c r="H4374" t="str">
        <x:v>P013</x:v>
      </x:c>
      <x:c r="I4374" t="str">
        <x:v>Atta 10kg</x:v>
      </x:c>
      <x:c r="J4374" t="str">
        <x:v>Flour</x:v>
      </x:c>
      <x:c r="K4374" t="str">
        <x:v>Aashirvaad</x:v>
      </x:c>
      <x:c r="L4374" s="22" t="n">
        <x:v>560</x:v>
      </x:c>
      <x:c r="M4374" t="n">
        <x:v>9</x:v>
      </x:c>
      <x:c r="N4374" s="24" t="n">
        <x:v>0.02</x:v>
      </x:c>
      <x:c r="O4374" s="22" t="n">
        <x:f>L4374*M4374</x:f>
        <x:v>5040</x:v>
      </x:c>
      <x:c r="P4374" s="22" t="n">
        <x:f>O4374*(1-N4374)</x:f>
        <x:v>4939.2</x:v>
      </x:c>
      <x:c r="Q4374" s="22" t="n">
        <x:v>495</x:v>
      </x:c>
      <x:c r="R4374" s="22" t="n">
        <x:f>Q4374*M4374</x:f>
        <x:v>4455</x:v>
      </x:c>
      <x:c r="S4374" s="22" t="n">
        <x:f>P4374-R4374</x:f>
        <x:v>484.1999999999998</x:v>
      </x:c>
      <x:c r="T4374" t="str">
        <x:v>Credit</x:v>
      </x:c>
      <x:c r="U4374" t="str">
        <x:v>Paid</x:v>
      </x:c>
      <x:c r="V4374" t="str">
        <x:v>Delivered</x:v>
      </x:c>
      <x:c r="W4374" t="n">
        <x:v>0</x:v>
      </x:c>
      <x:c r="X4374" t="str"/>
      <x:c r="Y4374" t="str">
        <x:v>Referral</x:v>
      </x:c>
    </x:row>
    <x:row r="4375">
      <x:c r="A4375" t="str">
        <x:v>O004374</x:v>
      </x:c>
      <x:c r="B4375" s="20" t="n">
        <x:v>46227</x:v>
      </x:c>
      <x:c r="C4375" t="str">
        <x:v>C0140</x:v>
      </x:c>
      <x:c r="D4375" t="str">
        <x:v>Fresh Hotel 140</x:v>
      </x:c>
      <x:c r="E4375" t="str">
        <x:v>Kirana</x:v>
      </x:c>
      <x:c r="F4375" t="str">
        <x:v>Tumakuru</x:v>
      </x:c>
      <x:c r="G4375" t="str">
        <x:v>Imran</x:v>
      </x:c>
      <x:c r="H4375" t="str">
        <x:v>P042</x:v>
      </x:c>
      <x:c r="I4375" t="str">
        <x:v>Eggs 30pc Tray</x:v>
      </x:c>
      <x:c r="J4375" t="str">
        <x:v>Protein</x:v>
      </x:c>
      <x:c r="K4375" t="str">
        <x:v>Farm Fresh</x:v>
      </x:c>
      <x:c r="L4375" s="22" t="n">
        <x:v>195</x:v>
      </x:c>
      <x:c r="M4375" t="n">
        <x:v>28</x:v>
      </x:c>
      <x:c r="N4375" s="24" t="n">
        <x:v>0.05</x:v>
      </x:c>
      <x:c r="O4375" s="22" t="n">
        <x:f>L4375*M4375</x:f>
        <x:v>5460</x:v>
      </x:c>
      <x:c r="P4375" s="22" t="n">
        <x:f>O4375*(1-N4375)</x:f>
        <x:v>5187</x:v>
      </x:c>
      <x:c r="Q4375" s="22" t="n">
        <x:v>170</x:v>
      </x:c>
      <x:c r="R4375" s="22" t="n">
        <x:f>Q4375*M4375</x:f>
        <x:v>4760</x:v>
      </x:c>
      <x:c r="S4375" s="22" t="n">
        <x:f>P4375-R4375</x:f>
        <x:v>427</x:v>
      </x:c>
      <x:c r="T4375" t="str">
        <x:v>Credit</x:v>
      </x:c>
      <x:c r="U4375" t="str">
        <x:v>Overdue</x:v>
      </x:c>
      <x:c r="V4375" t="str">
        <x:v>Delivered</x:v>
      </x:c>
      <x:c r="W4375" t="n">
        <x:v>0</x:v>
      </x:c>
      <x:c r="X4375" t="str"/>
      <x:c r="Y4375" t="str">
        <x:v>WhatsApp</x:v>
      </x:c>
    </x:row>
    <x:row r="4376">
      <x:c r="A4376" t="str">
        <x:v>O004375</x:v>
      </x:c>
      <x:c r="B4376" s="20" t="n">
        <x:v>46083</x:v>
      </x:c>
      <x:c r="C4376" t="str">
        <x:v>C0007</x:v>
      </x:c>
      <x:c r="D4376" t="str">
        <x:v>Mysore Stores 7</x:v>
      </x:c>
      <x:c r="E4376" t="str">
        <x:v>Kirana</x:v>
      </x:c>
      <x:c r="F4376" t="str">
        <x:v>Bengaluru</x:v>
      </x:c>
      <x:c r="G4376" t="str">
        <x:v>Kavya</x:v>
      </x:c>
      <x:c r="H4376" t="str">
        <x:v>P046</x:v>
      </x:c>
      <x:c r="I4376" t="str">
        <x:v>Potato 25kg</x:v>
      </x:c>
      <x:c r="J4376" t="str">
        <x:v>Fresh Produce</x:v>
      </x:c>
      <x:c r="K4376" t="str">
        <x:v>Local Market</x:v>
      </x:c>
      <x:c r="L4376" s="22" t="n">
        <x:v>700</x:v>
      </x:c>
      <x:c r="M4376" t="n">
        <x:v>13</x:v>
      </x:c>
      <x:c r="N4376" s="24" t="n">
        <x:v>0.05</x:v>
      </x:c>
      <x:c r="O4376" s="22" t="n">
        <x:f>L4376*M4376</x:f>
        <x:v>9100</x:v>
      </x:c>
      <x:c r="P4376" s="22" t="n">
        <x:f>O4376*(1-N4376)</x:f>
        <x:v>8645</x:v>
      </x:c>
      <x:c r="Q4376" s="22" t="n">
        <x:v>610</x:v>
      </x:c>
      <x:c r="R4376" s="22" t="n">
        <x:f>Q4376*M4376</x:f>
        <x:v>7930</x:v>
      </x:c>
      <x:c r="S4376" s="22" t="n">
        <x:f>P4376-R4376</x:f>
        <x:v>715</x:v>
      </x:c>
      <x:c r="T4376" t="str">
        <x:v>Cash</x:v>
      </x:c>
      <x:c r="U4376" t="str">
        <x:v>Paid</x:v>
      </x:c>
      <x:c r="V4376" t="str">
        <x:v>Cancelled</x:v>
      </x:c>
      <x:c r="W4376" t="n">
        <x:v>13</x:v>
      </x:c>
      <x:c r="X4376" t="str">
        <x:v>Cancelled Order</x:v>
      </x:c>
      <x:c r="Y4376" t="str">
        <x:v>Referral</x:v>
      </x:c>
    </x:row>
    <x:row r="4377">
      <x:c r="A4377" t="str">
        <x:v>O004376</x:v>
      </x:c>
      <x:c r="B4377" s="20" t="n">
        <x:v>45708</x:v>
      </x:c>
      <x:c r="C4377" t="str">
        <x:v>C0146</x:v>
      </x:c>
      <x:c r="D4377" t="str">
        <x:v>Annapurna Hotel 146</x:v>
      </x:c>
      <x:c r="E4377" t="str">
        <x:v>Restaurant</x:v>
      </x:c>
      <x:c r="F4377" t="str">
        <x:v>Davanagere</x:v>
      </x:c>
      <x:c r="G4377" t="str">
        <x:v>Arjun</x:v>
      </x:c>
      <x:c r="H4377" t="str">
        <x:v>P038</x:v>
      </x:c>
      <x:c r="I4377" t="str">
        <x:v>French Fries 2.5kg</x:v>
      </x:c>
      <x:c r="J4377" t="str">
        <x:v>Frozen</x:v>
      </x:c>
      <x:c r="K4377" t="str">
        <x:v>McCain</x:v>
      </x:c>
      <x:c r="L4377" s="22" t="n">
        <x:v>360</x:v>
      </x:c>
      <x:c r="M4377" t="n">
        <x:v>28</x:v>
      </x:c>
      <x:c r="N4377" s="24" t="n">
        <x:v>0.02</x:v>
      </x:c>
      <x:c r="O4377" s="22" t="n">
        <x:f>L4377*M4377</x:f>
        <x:v>10080</x:v>
      </x:c>
      <x:c r="P4377" s="22" t="n">
        <x:f>O4377*(1-N4377)</x:f>
        <x:v>9878.4</x:v>
      </x:c>
      <x:c r="Q4377" s="22" t="n">
        <x:v>315</x:v>
      </x:c>
      <x:c r="R4377" s="22" t="n">
        <x:f>Q4377*M4377</x:f>
        <x:v>8820</x:v>
      </x:c>
      <x:c r="S4377" s="22" t="n">
        <x:f>P4377-R4377</x:f>
        <x:v>1058.3999999999996</x:v>
      </x:c>
      <x:c r="T4377" t="str">
        <x:v>Credit</x:v>
      </x:c>
      <x:c r="U4377" t="str">
        <x:v>Paid</x:v>
      </x:c>
      <x:c r="V4377" t="str">
        <x:v>Cancelled</x:v>
      </x:c>
      <x:c r="W4377" t="n">
        <x:v>28</x:v>
      </x:c>
      <x:c r="X4377" t="str">
        <x:v>Cancelled Order</x:v>
      </x:c>
      <x:c r="Y4377" t="str">
        <x:v>WhatsApp</x:v>
      </x:c>
    </x:row>
    <x:row r="4378">
      <x:c r="A4378" t="str">
        <x:v>O004377</x:v>
      </x:c>
      <x:c r="B4378" s="20" t="n">
        <x:v>45882</x:v>
      </x:c>
      <x:c r="C4378" t="str">
        <x:v>C0065</x:v>
      </x:c>
      <x:c r="D4378" t="str">
        <x:v>Mysore Stores 65</x:v>
      </x:c>
      <x:c r="E4378" t="str">
        <x:v>Kirana</x:v>
      </x:c>
      <x:c r="F4378" t="str">
        <x:v>Tumakuru</x:v>
      </x:c>
      <x:c r="G4378" t="str">
        <x:v>Sneha</x:v>
      </x:c>
      <x:c r="H4378" t="str">
        <x:v>P042</x:v>
      </x:c>
      <x:c r="I4378" t="str">
        <x:v>Eggs 30pc Tray</x:v>
      </x:c>
      <x:c r="J4378" t="str">
        <x:v>Protein</x:v>
      </x:c>
      <x:c r="K4378" t="str">
        <x:v>Farm Fresh</x:v>
      </x:c>
      <x:c r="L4378" s="22" t="n">
        <x:v>195</x:v>
      </x:c>
      <x:c r="M4378" t="n">
        <x:v>27</x:v>
      </x:c>
      <x:c r="N4378" s="24" t="n">
        <x:v>0.03</x:v>
      </x:c>
      <x:c r="O4378" s="22" t="n">
        <x:f>L4378*M4378</x:f>
        <x:v>5265</x:v>
      </x:c>
      <x:c r="P4378" s="22" t="n">
        <x:f>O4378*(1-N4378)</x:f>
        <x:v>5107.05</x:v>
      </x:c>
      <x:c r="Q4378" s="22" t="n">
        <x:v>170</x:v>
      </x:c>
      <x:c r="R4378" s="22" t="n">
        <x:f>Q4378*M4378</x:f>
        <x:v>4590</x:v>
      </x:c>
      <x:c r="S4378" s="22" t="n">
        <x:f>P4378-R4378</x:f>
        <x:v>517.0500000000002</x:v>
      </x:c>
      <x:c r="T4378" t="str">
        <x:v>Bank Transfer</x:v>
      </x:c>
      <x:c r="U4378" t="str">
        <x:v>Paid</x:v>
      </x:c>
      <x:c r="V4378" t="str">
        <x:v>Delivered</x:v>
      </x:c>
      <x:c r="W4378" t="n">
        <x:v>0</x:v>
      </x:c>
      <x:c r="X4378" t="str"/>
      <x:c r="Y4378" t="str">
        <x:v>Field Visit</x:v>
      </x:c>
    </x:row>
    <x:row r="4379">
      <x:c r="A4379" t="str">
        <x:v>O004378</x:v>
      </x:c>
      <x:c r="B4379" s="20" t="n">
        <x:v>45936</x:v>
      </x:c>
      <x:c r="C4379" t="str">
        <x:v>C0022</x:v>
      </x:c>
      <x:c r="D4379" t="str">
        <x:v>Royal Hotel 22</x:v>
      </x:c>
      <x:c r="E4379" t="str">
        <x:v>Kirana</x:v>
      </x:c>
      <x:c r="F4379" t="str">
        <x:v>Bengaluru</x:v>
      </x:c>
      <x:c r="G4379" t="str">
        <x:v>Ramesh</x:v>
      </x:c>
      <x:c r="H4379" t="str">
        <x:v>P033</x:v>
      </x:c>
      <x:c r="I4379" t="str">
        <x:v>Turmeric Powder 1kg</x:v>
      </x:c>
      <x:c r="J4379" t="str">
        <x:v>Spices</x:v>
      </x:c>
      <x:c r="K4379" t="str">
        <x:v>Everest</x:v>
      </x:c>
      <x:c r="L4379" s="22" t="n">
        <x:v>310</x:v>
      </x:c>
      <x:c r="M4379" t="n">
        <x:v>23</x:v>
      </x:c>
      <x:c r="N4379" s="24" t="n">
        <x:v>0</x:v>
      </x:c>
      <x:c r="O4379" s="22" t="n">
        <x:f>L4379*M4379</x:f>
        <x:v>7130</x:v>
      </x:c>
      <x:c r="P4379" s="22" t="n">
        <x:f>O4379*(1-N4379)</x:f>
        <x:v>7130</x:v>
      </x:c>
      <x:c r="Q4379" s="22" t="n">
        <x:v>270</x:v>
      </x:c>
      <x:c r="R4379" s="22" t="n">
        <x:f>Q4379*M4379</x:f>
        <x:v>6210</x:v>
      </x:c>
      <x:c r="S4379" s="22" t="n">
        <x:f>P4379-R4379</x:f>
        <x:v>920</x:v>
      </x:c>
      <x:c r="T4379" t="str">
        <x:v>Credit</x:v>
      </x:c>
      <x:c r="U4379" t="str">
        <x:v>Paid</x:v>
      </x:c>
      <x:c r="V4379" t="str">
        <x:v>Cancelled</x:v>
      </x:c>
      <x:c r="W4379" t="n">
        <x:v>23</x:v>
      </x:c>
      <x:c r="X4379" t="str">
        <x:v>Cancelled Order</x:v>
      </x:c>
      <x:c r="Y4379" t="str">
        <x:v>WhatsApp</x:v>
      </x:c>
    </x:row>
    <x:row r="4380">
      <x:c r="A4380" t="str">
        <x:v>O004379</x:v>
      </x:c>
      <x:c r="B4380" s="20" t="n">
        <x:v>45799</x:v>
      </x:c>
      <x:c r="C4380" t="str">
        <x:v>C0093</x:v>
      </x:c>
      <x:c r="D4380" t="str">
        <x:v>Sagar Hotel 93</x:v>
      </x:c>
      <x:c r="E4380" t="str">
        <x:v>Hotel</x:v>
      </x:c>
      <x:c r="F4380" t="str">
        <x:v>Hubballi</x:v>
      </x:c>
      <x:c r="G4380" t="str">
        <x:v>Imran</x:v>
      </x:c>
      <x:c r="H4380" t="str">
        <x:v>P037</x:v>
      </x:c>
      <x:c r="I4380" t="str">
        <x:v>Frozen Peas 1kg</x:v>
      </x:c>
      <x:c r="J4380" t="str">
        <x:v>Frozen</x:v>
      </x:c>
      <x:c r="K4380" t="str">
        <x:v>Safal</x:v>
      </x:c>
      <x:c r="L4380" s="22" t="n">
        <x:v>155</x:v>
      </x:c>
      <x:c r="M4380" t="n">
        <x:v>40</x:v>
      </x:c>
      <x:c r="N4380" s="24" t="n">
        <x:v>0.02</x:v>
      </x:c>
      <x:c r="O4380" s="22" t="n">
        <x:f>L4380*M4380</x:f>
        <x:v>6200</x:v>
      </x:c>
      <x:c r="P4380" s="22" t="n">
        <x:f>O4380*(1-N4380)</x:f>
        <x:v>6076</x:v>
      </x:c>
      <x:c r="Q4380" s="22" t="n">
        <x:v>138</x:v>
      </x:c>
      <x:c r="R4380" s="22" t="n">
        <x:f>Q4380*M4380</x:f>
        <x:v>5520</x:v>
      </x:c>
      <x:c r="S4380" s="22" t="n">
        <x:f>P4380-R4380</x:f>
        <x:v>556</x:v>
      </x:c>
      <x:c r="T4380" t="str">
        <x:v>Cash</x:v>
      </x:c>
      <x:c r="U4380" t="str">
        <x:v>Paid</x:v>
      </x:c>
      <x:c r="V4380" t="str">
        <x:v>Delivered</x:v>
      </x:c>
      <x:c r="W4380" t="n">
        <x:v>0</x:v>
      </x:c>
      <x:c r="X4380" t="str"/>
      <x:c r="Y4380" t="str">
        <x:v>Existing Customer</x:v>
      </x:c>
    </x:row>
    <x:row r="4381">
      <x:c r="A4381" t="str">
        <x:v>O004380</x:v>
      </x:c>
      <x:c r="B4381" s="20" t="n">
        <x:v>45956</x:v>
      </x:c>
      <x:c r="C4381" t="str">
        <x:v>C0050</x:v>
      </x:c>
      <x:c r="D4381" t="str">
        <x:v>Green Stores 50</x:v>
      </x:c>
      <x:c r="E4381" t="str">
        <x:v>Restaurant</x:v>
      </x:c>
      <x:c r="F4381" t="str">
        <x:v>Davanagere</x:v>
      </x:c>
      <x:c r="G4381" t="str">
        <x:v>Vikram</x:v>
      </x:c>
      <x:c r="H4381" t="str">
        <x:v>P029</x:v>
      </x:c>
      <x:c r="I4381" t="str">
        <x:v>Tomato Ketchup 1kg</x:v>
      </x:c>
      <x:c r="J4381" t="str">
        <x:v>Condiments</x:v>
      </x:c>
      <x:c r="K4381" t="str">
        <x:v>Kissan</x:v>
      </x:c>
      <x:c r="L4381" s="22" t="n">
        <x:v>145</x:v>
      </x:c>
      <x:c r="M4381" t="n">
        <x:v>20</x:v>
      </x:c>
      <x:c r="N4381" s="24" t="n">
        <x:v>0.03</x:v>
      </x:c>
      <x:c r="O4381" s="22" t="n">
        <x:f>L4381*M4381</x:f>
        <x:v>2900</x:v>
      </x:c>
      <x:c r="P4381" s="22" t="n">
        <x:f>O4381*(1-N4381)</x:f>
        <x:v>2813</x:v>
      </x:c>
      <x:c r="Q4381" s="22" t="n">
        <x:v>126</x:v>
      </x:c>
      <x:c r="R4381" s="22" t="n">
        <x:f>Q4381*M4381</x:f>
        <x:v>2520</x:v>
      </x:c>
      <x:c r="S4381" s="22" t="n">
        <x:f>P4381-R4381</x:f>
        <x:v>293</x:v>
      </x:c>
      <x:c r="T4381" t="str">
        <x:v>Bank Transfer</x:v>
      </x:c>
      <x:c r="U4381" t="str">
        <x:v>Paid</x:v>
      </x:c>
      <x:c r="V4381" t="str">
        <x:v>Delayed</x:v>
      </x:c>
      <x:c r="W4381" t="n">
        <x:v>0</x:v>
      </x:c>
      <x:c r="X4381" t="str"/>
      <x:c r="Y4381" t="str">
        <x:v>WhatsApp</x:v>
      </x:c>
    </x:row>
    <x:row r="4382">
      <x:c r="A4382" t="str">
        <x:v>O004381</x:v>
      </x:c>
      <x:c r="B4382" s="20" t="n">
        <x:v>45931</x:v>
      </x:c>
      <x:c r="C4382" t="str">
        <x:v>C0034</x:v>
      </x:c>
      <x:c r="D4382" t="str">
        <x:v>City Restaurant 34</x:v>
      </x:c>
      <x:c r="E4382" t="str">
        <x:v>Restaurant</x:v>
      </x:c>
      <x:c r="F4382" t="str">
        <x:v>Mangaluru</x:v>
      </x:c>
      <x:c r="G4382" t="str">
        <x:v>Sneha</x:v>
      </x:c>
      <x:c r="H4382" t="str">
        <x:v>P018</x:v>
      </x:c>
      <x:c r="I4382" t="str">
        <x:v>Paneer 1kg</x:v>
      </x:c>
      <x:c r="J4382" t="str">
        <x:v>Dairy</x:v>
      </x:c>
      <x:c r="K4382" t="str">
        <x:v>Milky Mist</x:v>
      </x:c>
      <x:c r="L4382" s="22" t="n">
        <x:v>410</x:v>
      </x:c>
      <x:c r="M4382" t="n">
        <x:v>21</x:v>
      </x:c>
      <x:c r="N4382" s="24" t="n">
        <x:v>0</x:v>
      </x:c>
      <x:c r="O4382" s="22" t="n">
        <x:f>L4382*M4382</x:f>
        <x:v>8610</x:v>
      </x:c>
      <x:c r="P4382" s="22" t="n">
        <x:f>O4382*(1-N4382)</x:f>
        <x:v>8610</x:v>
      </x:c>
      <x:c r="Q4382" s="22" t="n">
        <x:v>370</x:v>
      </x:c>
      <x:c r="R4382" s="22" t="n">
        <x:f>Q4382*M4382</x:f>
        <x:v>7770</x:v>
      </x:c>
      <x:c r="S4382" s="22" t="n">
        <x:f>P4382-R4382</x:f>
        <x:v>840</x:v>
      </x:c>
      <x:c r="T4382" t="str">
        <x:v>Cash</x:v>
      </x:c>
      <x:c r="U4382" t="str">
        <x:v>Pending</x:v>
      </x:c>
      <x:c r="V4382" t="str">
        <x:v>Delivered</x:v>
      </x:c>
      <x:c r="W4382" t="n">
        <x:v>0</x:v>
      </x:c>
      <x:c r="X4382" t="str"/>
      <x:c r="Y4382" t="str">
        <x:v>Outbound Call</x:v>
      </x:c>
    </x:row>
    <x:row r="4383">
      <x:c r="A4383" t="str">
        <x:v>O004382</x:v>
      </x:c>
      <x:c r="B4383" s="20" t="n">
        <x:v>45835</x:v>
      </x:c>
      <x:c r="C4383" t="str">
        <x:v>C0123</x:v>
      </x:c>
      <x:c r="D4383" t="str">
        <x:v>City Foods 123</x:v>
      </x:c>
      <x:c r="E4383" t="str">
        <x:v>Restaurant</x:v>
      </x:c>
      <x:c r="F4383" t="str">
        <x:v>Davanagere</x:v>
      </x:c>
      <x:c r="G4383" t="str">
        <x:v>Sneha</x:v>
      </x:c>
      <x:c r="H4383" t="str">
        <x:v>P034</x:v>
      </x:c>
      <x:c r="I4383" t="str">
        <x:v>Chilli Powder 1kg</x:v>
      </x:c>
      <x:c r="J4383" t="str">
        <x:v>Spices</x:v>
      </x:c>
      <x:c r="K4383" t="str">
        <x:v>MDH</x:v>
      </x:c>
      <x:c r="L4383" s="22" t="n">
        <x:v>340</x:v>
      </x:c>
      <x:c r="M4383" t="n">
        <x:v>40</x:v>
      </x:c>
      <x:c r="N4383" s="24" t="n">
        <x:v>0.02</x:v>
      </x:c>
      <x:c r="O4383" s="22" t="n">
        <x:f>L4383*M4383</x:f>
        <x:v>13600</x:v>
      </x:c>
      <x:c r="P4383" s="22" t="n">
        <x:f>O4383*(1-N4383)</x:f>
        <x:v>13328</x:v>
      </x:c>
      <x:c r="Q4383" s="22" t="n">
        <x:v>295</x:v>
      </x:c>
      <x:c r="R4383" s="22" t="n">
        <x:f>Q4383*M4383</x:f>
        <x:v>11800</x:v>
      </x:c>
      <x:c r="S4383" s="22" t="n">
        <x:f>P4383-R4383</x:f>
        <x:v>1528</x:v>
      </x:c>
      <x:c r="T4383" t="str">
        <x:v>UPI</x:v>
      </x:c>
      <x:c r="U4383" t="str">
        <x:v>Pending</x:v>
      </x:c>
      <x:c r="V4383" t="str">
        <x:v>Delivered</x:v>
      </x:c>
      <x:c r="W4383" t="n">
        <x:v>0</x:v>
      </x:c>
      <x:c r="X4383" t="str"/>
      <x:c r="Y4383" t="str">
        <x:v>Referral</x:v>
      </x:c>
    </x:row>
    <x:row r="4384">
      <x:c r="A4384" t="str">
        <x:v>O004383</x:v>
      </x:c>
      <x:c r="B4384" s="20" t="n">
        <x:v>45823</x:v>
      </x:c>
      <x:c r="C4384" t="str">
        <x:v>C0106</x:v>
      </x:c>
      <x:c r="D4384" t="str">
        <x:v>Classic Mart 106</x:v>
      </x:c>
      <x:c r="E4384" t="str">
        <x:v>Restaurant</x:v>
      </x:c>
      <x:c r="F4384" t="str">
        <x:v>Mysuru</x:v>
      </x:c>
      <x:c r="G4384" t="str">
        <x:v>Kavya</x:v>
      </x:c>
      <x:c r="H4384" t="str">
        <x:v>P014</x:v>
      </x:c>
      <x:c r="I4384" t="str">
        <x:v>Rava 5kg</x:v>
      </x:c>
      <x:c r="J4384" t="str">
        <x:v>Flour</x:v>
      </x:c>
      <x:c r="K4384" t="str">
        <x:v>Local Select</x:v>
      </x:c>
      <x:c r="L4384" s="22" t="n">
        <x:v>245</x:v>
      </x:c>
      <x:c r="M4384" t="n">
        <x:v>38</x:v>
      </x:c>
      <x:c r="N4384" s="24" t="n">
        <x:v>0.02</x:v>
      </x:c>
      <x:c r="O4384" s="22" t="n">
        <x:f>L4384*M4384</x:f>
        <x:v>9310</x:v>
      </x:c>
      <x:c r="P4384" s="22" t="n">
        <x:f>O4384*(1-N4384)</x:f>
        <x:v>9123.8</x:v>
      </x:c>
      <x:c r="Q4384" s="22" t="n">
        <x:v>215</x:v>
      </x:c>
      <x:c r="R4384" s="22" t="n">
        <x:f>Q4384*M4384</x:f>
        <x:v>8170</x:v>
      </x:c>
      <x:c r="S4384" s="22" t="n">
        <x:f>P4384-R4384</x:f>
        <x:v>953.7999999999993</x:v>
      </x:c>
      <x:c r="T4384" t="str">
        <x:v>Bank Transfer</x:v>
      </x:c>
      <x:c r="U4384" t="str">
        <x:v>Pending</x:v>
      </x:c>
      <x:c r="V4384" t="str">
        <x:v>Delayed</x:v>
      </x:c>
      <x:c r="W4384" t="n">
        <x:v>0</x:v>
      </x:c>
      <x:c r="X4384" t="str"/>
      <x:c r="Y4384" t="str">
        <x:v>Outbound Call</x:v>
      </x:c>
    </x:row>
    <x:row r="4385">
      <x:c r="A4385" t="str">
        <x:v>O004384</x:v>
      </x:c>
      <x:c r="B4385" s="20" t="n">
        <x:v>45750</x:v>
      </x:c>
      <x:c r="C4385" t="str">
        <x:v>C0126</x:v>
      </x:c>
      <x:c r="D4385" t="str">
        <x:v>Mysore Hotel 126</x:v>
      </x:c>
      <x:c r="E4385" t="str">
        <x:v>Restaurant</x:v>
      </x:c>
      <x:c r="F4385" t="str">
        <x:v>Mangaluru</x:v>
      </x:c>
      <x:c r="G4385" t="str">
        <x:v>Vikram</x:v>
      </x:c>
      <x:c r="H4385" t="str">
        <x:v>P017</x:v>
      </x:c>
      <x:c r="I4385" t="str">
        <x:v>Butter 500g</x:v>
      </x:c>
      <x:c r="J4385" t="str">
        <x:v>Dairy</x:v>
      </x:c>
      <x:c r="K4385" t="str">
        <x:v>Amul</x:v>
      </x:c>
      <x:c r="L4385" s="22" t="n">
        <x:v>285</x:v>
      </x:c>
      <x:c r="M4385" t="n">
        <x:v>11</x:v>
      </x:c>
      <x:c r="N4385" s="24" t="n">
        <x:v>0.03</x:v>
      </x:c>
      <x:c r="O4385" s="22" t="n">
        <x:f>L4385*M4385</x:f>
        <x:v>3135</x:v>
      </x:c>
      <x:c r="P4385" s="22" t="n">
        <x:f>O4385*(1-N4385)</x:f>
        <x:v>3040.95</x:v>
      </x:c>
      <x:c r="Q4385" s="22" t="n">
        <x:v>258</x:v>
      </x:c>
      <x:c r="R4385" s="22" t="n">
        <x:f>Q4385*M4385</x:f>
        <x:v>2838</x:v>
      </x:c>
      <x:c r="S4385" s="22" t="n">
        <x:f>P4385-R4385</x:f>
        <x:v>202.94999999999982</x:v>
      </x:c>
      <x:c r="T4385" t="str">
        <x:v>UPI</x:v>
      </x:c>
      <x:c r="U4385" t="str">
        <x:v>Paid</x:v>
      </x:c>
      <x:c r="V4385" t="str">
        <x:v>Delivered</x:v>
      </x:c>
      <x:c r="W4385" t="n">
        <x:v>0</x:v>
      </x:c>
      <x:c r="X4385" t="str"/>
      <x:c r="Y4385" t="str">
        <x:v>Outbound Call</x:v>
      </x:c>
    </x:row>
    <x:row r="4386">
      <x:c r="A4386" t="str">
        <x:v>O004385</x:v>
      </x:c>
      <x:c r="B4386" s="20" t="n">
        <x:v>45762</x:v>
      </x:c>
      <x:c r="C4386" t="str">
        <x:v>C0106</x:v>
      </x:c>
      <x:c r="D4386" t="str">
        <x:v>Classic Mart 106</x:v>
      </x:c>
      <x:c r="E4386" t="str">
        <x:v>Restaurant</x:v>
      </x:c>
      <x:c r="F4386" t="str">
        <x:v>Mysuru</x:v>
      </x:c>
      <x:c r="G4386" t="str">
        <x:v>Kavya</x:v>
      </x:c>
      <x:c r="H4386" t="str">
        <x:v>P050</x:v>
      </x:c>
      <x:c r="I4386" t="str">
        <x:v>Lemon 5kg</x:v>
      </x:c>
      <x:c r="J4386" t="str">
        <x:v>Fresh Produce</x:v>
      </x:c>
      <x:c r="K4386" t="str">
        <x:v>Local Market</x:v>
      </x:c>
      <x:c r="L4386" s="22" t="n">
        <x:v>360</x:v>
      </x:c>
      <x:c r="M4386" t="n">
        <x:v>40</x:v>
      </x:c>
      <x:c r="N4386" s="24" t="n">
        <x:v>0.05</x:v>
      </x:c>
      <x:c r="O4386" s="22" t="n">
        <x:f>L4386*M4386</x:f>
        <x:v>14400</x:v>
      </x:c>
      <x:c r="P4386" s="22" t="n">
        <x:f>O4386*(1-N4386)</x:f>
        <x:v>13680</x:v>
      </x:c>
      <x:c r="Q4386" s="22" t="n">
        <x:v>300</x:v>
      </x:c>
      <x:c r="R4386" s="22" t="n">
        <x:f>Q4386*M4386</x:f>
        <x:v>12000</x:v>
      </x:c>
      <x:c r="S4386" s="22" t="n">
        <x:f>P4386-R4386</x:f>
        <x:v>1680</x:v>
      </x:c>
      <x:c r="T4386" t="str">
        <x:v>Credit</x:v>
      </x:c>
      <x:c r="U4386" t="str">
        <x:v>Pending</x:v>
      </x:c>
      <x:c r="V4386" t="str">
        <x:v>Delivered</x:v>
      </x:c>
      <x:c r="W4386" t="n">
        <x:v>0</x:v>
      </x:c>
      <x:c r="X4386" t="str"/>
      <x:c r="Y4386" t="str">
        <x:v>Existing Customer</x:v>
      </x:c>
    </x:row>
    <x:row r="4387">
      <x:c r="A4387" t="str">
        <x:v>O004386</x:v>
      </x:c>
      <x:c r="B4387" s="20" t="n">
        <x:v>45739</x:v>
      </x:c>
      <x:c r="C4387" t="str">
        <x:v>C0203</x:v>
      </x:c>
      <x:c r="D4387" t="str">
        <x:v>Namma Mart 203</x:v>
      </x:c>
      <x:c r="E4387" t="str">
        <x:v>Kirana</x:v>
      </x:c>
      <x:c r="F4387" t="str">
        <x:v>Tumakuru</x:v>
      </x:c>
      <x:c r="G4387" t="str">
        <x:v>Priya</x:v>
      </x:c>
      <x:c r="H4387" t="str">
        <x:v>P014</x:v>
      </x:c>
      <x:c r="I4387" t="str">
        <x:v>Rava 5kg</x:v>
      </x:c>
      <x:c r="J4387" t="str">
        <x:v>Flour</x:v>
      </x:c>
      <x:c r="K4387" t="str">
        <x:v>Local Select</x:v>
      </x:c>
      <x:c r="L4387" s="22" t="n">
        <x:v>245</x:v>
      </x:c>
      <x:c r="M4387" t="n">
        <x:v>16</x:v>
      </x:c>
      <x:c r="N4387" s="24" t="n">
        <x:v>0</x:v>
      </x:c>
      <x:c r="O4387" s="22" t="n">
        <x:f>L4387*M4387</x:f>
        <x:v>3920</x:v>
      </x:c>
      <x:c r="P4387" s="22" t="n">
        <x:f>O4387*(1-N4387)</x:f>
        <x:v>3920</x:v>
      </x:c>
      <x:c r="Q4387" s="22" t="n">
        <x:v>215</x:v>
      </x:c>
      <x:c r="R4387" s="22" t="n">
        <x:f>Q4387*M4387</x:f>
        <x:v>3440</x:v>
      </x:c>
      <x:c r="S4387" s="22" t="n">
        <x:f>P4387-R4387</x:f>
        <x:v>480</x:v>
      </x:c>
      <x:c r="T4387" t="str">
        <x:v>Cash</x:v>
      </x:c>
      <x:c r="U4387" t="str">
        <x:v>Paid</x:v>
      </x:c>
      <x:c r="V4387" t="str">
        <x:v>Cancelled</x:v>
      </x:c>
      <x:c r="W4387" t="n">
        <x:v>16</x:v>
      </x:c>
      <x:c r="X4387" t="str">
        <x:v>Cancelled Order</x:v>
      </x:c>
      <x:c r="Y4387" t="str">
        <x:v>WhatsApp</x:v>
      </x:c>
    </x:row>
    <x:row r="4388">
      <x:c r="A4388" t="str">
        <x:v>O004387</x:v>
      </x:c>
      <x:c r="B4388" s="20" t="n">
        <x:v>45843</x:v>
      </x:c>
      <x:c r="C4388" t="str">
        <x:v>C0151</x:v>
      </x:c>
      <x:c r="D4388" t="str">
        <x:v>Foodie Stores 151</x:v>
      </x:c>
      <x:c r="E4388" t="str">
        <x:v>Supermarket</x:v>
      </x:c>
      <x:c r="F4388" t="str">
        <x:v>Mysuru</x:v>
      </x:c>
      <x:c r="G4388" t="str">
        <x:v>Arjun</x:v>
      </x:c>
      <x:c r="H4388" t="str">
        <x:v>P019</x:v>
      </x:c>
      <x:c r="I4388" t="str">
        <x:v>Tea 1kg</x:v>
      </x:c>
      <x:c r="J4388" t="str">
        <x:v>Beverage</x:v>
      </x:c>
      <x:c r="K4388" t="str">
        <x:v>Red Label</x:v>
      </x:c>
      <x:c r="L4388" s="22" t="n">
        <x:v>540</x:v>
      </x:c>
      <x:c r="M4388" t="n">
        <x:v>23</x:v>
      </x:c>
      <x:c r="N4388" s="24" t="n">
        <x:v>0.08</x:v>
      </x:c>
      <x:c r="O4388" s="22" t="n">
        <x:f>L4388*M4388</x:f>
        <x:v>12420</x:v>
      </x:c>
      <x:c r="P4388" s="22" t="n">
        <x:f>O4388*(1-N4388)</x:f>
        <x:v>11426.4</x:v>
      </x:c>
      <x:c r="Q4388" s="22" t="n">
        <x:v>485</x:v>
      </x:c>
      <x:c r="R4388" s="22" t="n">
        <x:f>Q4388*M4388</x:f>
        <x:v>11155</x:v>
      </x:c>
      <x:c r="S4388" s="22" t="n">
        <x:f>P4388-R4388</x:f>
        <x:v>271.39999999999964</x:v>
      </x:c>
      <x:c r="T4388" t="str">
        <x:v>UPI</x:v>
      </x:c>
      <x:c r="U4388" t="str">
        <x:v>Pending</x:v>
      </x:c>
      <x:c r="V4388" t="str">
        <x:v>Delivered</x:v>
      </x:c>
      <x:c r="W4388" t="n">
        <x:v>0</x:v>
      </x:c>
      <x:c r="X4388" t="str"/>
      <x:c r="Y4388" t="str">
        <x:v>Field Visit</x:v>
      </x:c>
    </x:row>
    <x:row r="4389">
      <x:c r="A4389" t="str">
        <x:v>O004388</x:v>
      </x:c>
      <x:c r="B4389" s="20" t="n">
        <x:v>46191</x:v>
      </x:c>
      <x:c r="C4389" t="str">
        <x:v>C0122</x:v>
      </x:c>
      <x:c r="D4389" t="str">
        <x:v>Namma Restaurant 122</x:v>
      </x:c>
      <x:c r="E4389" t="str">
        <x:v>Kirana</x:v>
      </x:c>
      <x:c r="F4389" t="str">
        <x:v>Hubballi</x:v>
      </x:c>
      <x:c r="G4389" t="str">
        <x:v>Sneha</x:v>
      </x:c>
      <x:c r="H4389" t="str">
        <x:v>P020</x:v>
      </x:c>
      <x:c r="I4389" t="str">
        <x:v>Coffee 500g</x:v>
      </x:c>
      <x:c r="J4389" t="str">
        <x:v>Beverage</x:v>
      </x:c>
      <x:c r="K4389" t="str">
        <x:v>Bru</x:v>
      </x:c>
      <x:c r="L4389" s="22" t="n">
        <x:v>390</x:v>
      </x:c>
      <x:c r="M4389" t="n">
        <x:v>25</x:v>
      </x:c>
      <x:c r="N4389" s="24" t="n">
        <x:v>0</x:v>
      </x:c>
      <x:c r="O4389" s="22" t="n">
        <x:f>L4389*M4389</x:f>
        <x:v>9750</x:v>
      </x:c>
      <x:c r="P4389" s="22" t="n">
        <x:f>O4389*(1-N4389)</x:f>
        <x:v>9750</x:v>
      </x:c>
      <x:c r="Q4389" s="22" t="n">
        <x:v>350</x:v>
      </x:c>
      <x:c r="R4389" s="22" t="n">
        <x:f>Q4389*M4389</x:f>
        <x:v>8750</x:v>
      </x:c>
      <x:c r="S4389" s="22" t="n">
        <x:f>P4389-R4389</x:f>
        <x:v>1000</x:v>
      </x:c>
      <x:c r="T4389" t="str">
        <x:v>Bank Transfer</x:v>
      </x:c>
      <x:c r="U4389" t="str">
        <x:v>Paid</x:v>
      </x:c>
      <x:c r="V4389" t="str">
        <x:v>Delivered</x:v>
      </x:c>
      <x:c r="W4389" t="n">
        <x:v>0</x:v>
      </x:c>
      <x:c r="X4389" t="str"/>
      <x:c r="Y4389" t="str">
        <x:v>WhatsApp</x:v>
      </x:c>
    </x:row>
    <x:row r="4390">
      <x:c r="A4390" t="str">
        <x:v>O004389</x:v>
      </x:c>
      <x:c r="B4390" s="20" t="n">
        <x:v>46007</x:v>
      </x:c>
      <x:c r="C4390" t="str">
        <x:v>C0194</x:v>
      </x:c>
      <x:c r="D4390" t="str">
        <x:v>Royal Hotel 194</x:v>
      </x:c>
      <x:c r="E4390" t="str">
        <x:v>Kirana</x:v>
      </x:c>
      <x:c r="F4390" t="str">
        <x:v>Mysuru</x:v>
      </x:c>
      <x:c r="G4390" t="str">
        <x:v>Megha</x:v>
      </x:c>
      <x:c r="H4390" t="str">
        <x:v>P001</x:v>
      </x:c>
      <x:c r="I4390" t="str">
        <x:v>Steam Rice 25kg</x:v>
      </x:c>
      <x:c r="J4390" t="str">
        <x:v>Staples</x:v>
      </x:c>
      <x:c r="K4390" t="str">
        <x:v>Aishwarya</x:v>
      </x:c>
      <x:c r="L4390" s="22" t="n">
        <x:v>1180</x:v>
      </x:c>
      <x:c r="M4390" t="n">
        <x:v>1</x:v>
      </x:c>
      <x:c r="N4390" s="24" t="n">
        <x:v>0.08</x:v>
      </x:c>
      <x:c r="O4390" s="22" t="n">
        <x:f>L4390*M4390</x:f>
        <x:v>1180</x:v>
      </x:c>
      <x:c r="P4390" s="22" t="n">
        <x:f>O4390*(1-N4390)</x:f>
        <x:v>1085.6000000000001</x:v>
      </x:c>
      <x:c r="Q4390" s="22" t="n">
        <x:v>1040</x:v>
      </x:c>
      <x:c r="R4390" s="22" t="n">
        <x:f>Q4390*M4390</x:f>
        <x:v>1040</x:v>
      </x:c>
      <x:c r="S4390" s="22" t="n">
        <x:f>P4390-R4390</x:f>
        <x:v>45.600000000000136</x:v>
      </x:c>
      <x:c r="T4390" t="str">
        <x:v>Cash</x:v>
      </x:c>
      <x:c r="U4390" t="str">
        <x:v>Overdue</x:v>
      </x:c>
      <x:c r="V4390" t="str">
        <x:v>Delivered</x:v>
      </x:c>
      <x:c r="W4390" t="n">
        <x:v>0</x:v>
      </x:c>
      <x:c r="X4390" t="str"/>
      <x:c r="Y4390" t="str">
        <x:v>Field Visit</x:v>
      </x:c>
    </x:row>
    <x:row r="4391">
      <x:c r="A4391" t="str">
        <x:v>O004390</x:v>
      </x:c>
      <x:c r="B4391" s="20" t="n">
        <x:v>45664</x:v>
      </x:c>
      <x:c r="C4391" t="str">
        <x:v>C0147</x:v>
      </x:c>
      <x:c r="D4391" t="str">
        <x:v>New Stores 147</x:v>
      </x:c>
      <x:c r="E4391" t="str">
        <x:v>Supermarket</x:v>
      </x:c>
      <x:c r="F4391" t="str">
        <x:v>Hubballi</x:v>
      </x:c>
      <x:c r="G4391" t="str">
        <x:v>Imran</x:v>
      </x:c>
      <x:c r="H4391" t="str">
        <x:v>P026</x:v>
      </x:c>
      <x:c r="I4391" t="str">
        <x:v>Banana Chips 80g</x:v>
      </x:c>
      <x:c r="J4391" t="str">
        <x:v>Snacks</x:v>
      </x:c>
      <x:c r="K4391" t="str">
        <x:v>SSS</x:v>
      </x:c>
      <x:c r="L4391" s="22" t="n">
        <x:v>54</x:v>
      </x:c>
      <x:c r="M4391" t="n">
        <x:v>2</x:v>
      </x:c>
      <x:c r="N4391" s="24" t="n">
        <x:v>0.05</x:v>
      </x:c>
      <x:c r="O4391" s="22" t="n">
        <x:f>L4391*M4391</x:f>
        <x:v>108</x:v>
      </x:c>
      <x:c r="P4391" s="22" t="n">
        <x:f>O4391*(1-N4391)</x:f>
        <x:v>102.6</x:v>
      </x:c>
      <x:c r="Q4391" s="22" t="n">
        <x:v>39</x:v>
      </x:c>
      <x:c r="R4391" s="22" t="n">
        <x:f>Q4391*M4391</x:f>
        <x:v>78</x:v>
      </x:c>
      <x:c r="S4391" s="22" t="n">
        <x:f>P4391-R4391</x:f>
        <x:v>24.599999999999994</x:v>
      </x:c>
      <x:c r="T4391" t="str">
        <x:v>Credit</x:v>
      </x:c>
      <x:c r="U4391" t="str">
        <x:v>Pending</x:v>
      </x:c>
      <x:c r="V4391" t="str">
        <x:v>Delivered</x:v>
      </x:c>
      <x:c r="W4391" t="n">
        <x:v>0</x:v>
      </x:c>
      <x:c r="X4391" t="str"/>
      <x:c r="Y4391" t="str">
        <x:v>Outbound Call</x:v>
      </x:c>
    </x:row>
    <x:row r="4392">
      <x:c r="A4392" t="str">
        <x:v>O004391</x:v>
      </x:c>
      <x:c r="B4392" s="20" t="n">
        <x:v>46109</x:v>
      </x:c>
      <x:c r="C4392" t="str">
        <x:v>C0050</x:v>
      </x:c>
      <x:c r="D4392" t="str">
        <x:v>Green Stores 50</x:v>
      </x:c>
      <x:c r="E4392" t="str">
        <x:v>Restaurant</x:v>
      </x:c>
      <x:c r="F4392" t="str">
        <x:v>Davanagere</x:v>
      </x:c>
      <x:c r="G4392" t="str">
        <x:v>Vikram</x:v>
      </x:c>
      <x:c r="H4392" t="str">
        <x:v>P006</x:v>
      </x:c>
      <x:c r="I4392" t="str">
        <x:v>Moong Dal 5kg</x:v>
      </x:c>
      <x:c r="J4392" t="str">
        <x:v>Pulses</x:v>
      </x:c>
      <x:c r="K4392" t="str">
        <x:v>Local Select</x:v>
      </x:c>
      <x:c r="L4392" s="22" t="n">
        <x:v>610</x:v>
      </x:c>
      <x:c r="M4392" t="n">
        <x:v>25</x:v>
      </x:c>
      <x:c r="N4392" s="24" t="n">
        <x:v>0.03</x:v>
      </x:c>
      <x:c r="O4392" s="22" t="n">
        <x:f>L4392*M4392</x:f>
        <x:v>15250</x:v>
      </x:c>
      <x:c r="P4392" s="22" t="n">
        <x:f>O4392*(1-N4392)</x:f>
        <x:v>14792.5</x:v>
      </x:c>
      <x:c r="Q4392" s="22" t="n">
        <x:v>540</x:v>
      </x:c>
      <x:c r="R4392" s="22" t="n">
        <x:f>Q4392*M4392</x:f>
        <x:v>13500</x:v>
      </x:c>
      <x:c r="S4392" s="22" t="n">
        <x:f>P4392-R4392</x:f>
        <x:v>1292.5</x:v>
      </x:c>
      <x:c r="T4392" t="str">
        <x:v>Bank Transfer</x:v>
      </x:c>
      <x:c r="U4392" t="str">
        <x:v>Paid</x:v>
      </x:c>
      <x:c r="V4392" t="str">
        <x:v>Cancelled</x:v>
      </x:c>
      <x:c r="W4392" t="n">
        <x:v>25</x:v>
      </x:c>
      <x:c r="X4392" t="str">
        <x:v>Cancelled Order</x:v>
      </x:c>
      <x:c r="Y4392" t="str">
        <x:v>Field Visit</x:v>
      </x:c>
    </x:row>
    <x:row r="4393">
      <x:c r="A4393" t="str">
        <x:v>O004392</x:v>
      </x:c>
      <x:c r="B4393" s="20" t="n">
        <x:v>46262</x:v>
      </x:c>
      <x:c r="C4393" t="str">
        <x:v>C0119</x:v>
      </x:c>
      <x:c r="D4393" t="str">
        <x:v>Foodie Foods 119</x:v>
      </x:c>
      <x:c r="E4393" t="str">
        <x:v>Kirana</x:v>
      </x:c>
      <x:c r="F4393" t="str">
        <x:v>Hubballi</x:v>
      </x:c>
      <x:c r="G4393" t="str">
        <x:v>Imran</x:v>
      </x:c>
      <x:c r="H4393" t="str">
        <x:v>P045</x:v>
      </x:c>
      <x:c r="I4393" t="str">
        <x:v>Onion 25kg</x:v>
      </x:c>
      <x:c r="J4393" t="str">
        <x:v>Fresh Produce</x:v>
      </x:c>
      <x:c r="K4393" t="str">
        <x:v>Local Market</x:v>
      </x:c>
      <x:c r="L4393" s="22" t="n">
        <x:v>875</x:v>
      </x:c>
      <x:c r="M4393" t="n">
        <x:v>6</x:v>
      </x:c>
      <x:c r="N4393" s="24" t="n">
        <x:v>0.03</x:v>
      </x:c>
      <x:c r="O4393" s="22" t="n">
        <x:f>L4393*M4393</x:f>
        <x:v>5250</x:v>
      </x:c>
      <x:c r="P4393" s="22" t="n">
        <x:f>O4393*(1-N4393)</x:f>
        <x:v>5092.5</x:v>
      </x:c>
      <x:c r="Q4393" s="22" t="n">
        <x:v>760</x:v>
      </x:c>
      <x:c r="R4393" s="22" t="n">
        <x:f>Q4393*M4393</x:f>
        <x:v>4560</x:v>
      </x:c>
      <x:c r="S4393" s="22" t="n">
        <x:f>P4393-R4393</x:f>
        <x:v>532.5</x:v>
      </x:c>
      <x:c r="T4393" t="str">
        <x:v>Cash</x:v>
      </x:c>
      <x:c r="U4393" t="str">
        <x:v>Paid</x:v>
      </x:c>
      <x:c r="V4393" t="str">
        <x:v>Cancelled</x:v>
      </x:c>
      <x:c r="W4393" t="n">
        <x:v>6</x:v>
      </x:c>
      <x:c r="X4393" t="str">
        <x:v>Cancelled Order</x:v>
      </x:c>
      <x:c r="Y4393" t="str">
        <x:v>WhatsApp</x:v>
      </x:c>
    </x:row>
    <x:row r="4394">
      <x:c r="A4394" t="str">
        <x:v>O004393</x:v>
      </x:c>
      <x:c r="B4394" s="20" t="n">
        <x:v>45994</x:v>
      </x:c>
      <x:c r="C4394" t="str">
        <x:v>C0250</x:v>
      </x:c>
      <x:c r="D4394" t="str">
        <x:v>Namma Hotel 250</x:v>
      </x:c>
      <x:c r="E4394" t="str">
        <x:v>Cafe</x:v>
      </x:c>
      <x:c r="F4394" t="str">
        <x:v>Bengaluru</x:v>
      </x:c>
      <x:c r="G4394" t="str">
        <x:v>Sneha</x:v>
      </x:c>
      <x:c r="H4394" t="str">
        <x:v>P029</x:v>
      </x:c>
      <x:c r="I4394" t="str">
        <x:v>Tomato Ketchup 1kg</x:v>
      </x:c>
      <x:c r="J4394" t="str">
        <x:v>Condiments</x:v>
      </x:c>
      <x:c r="K4394" t="str">
        <x:v>Kissan</x:v>
      </x:c>
      <x:c r="L4394" s="22" t="n">
        <x:v>145</x:v>
      </x:c>
      <x:c r="M4394" t="n">
        <x:v>30</x:v>
      </x:c>
      <x:c r="N4394" s="24" t="n">
        <x:v>0.02</x:v>
      </x:c>
      <x:c r="O4394" s="22" t="n">
        <x:f>L4394*M4394</x:f>
        <x:v>4350</x:v>
      </x:c>
      <x:c r="P4394" s="22" t="n">
        <x:f>O4394*(1-N4394)</x:f>
        <x:v>4263</x:v>
      </x:c>
      <x:c r="Q4394" s="22" t="n">
        <x:v>126</x:v>
      </x:c>
      <x:c r="R4394" s="22" t="n">
        <x:f>Q4394*M4394</x:f>
        <x:v>3780</x:v>
      </x:c>
      <x:c r="S4394" s="22" t="n">
        <x:f>P4394-R4394</x:f>
        <x:v>483</x:v>
      </x:c>
      <x:c r="T4394" t="str">
        <x:v>Cash</x:v>
      </x:c>
      <x:c r="U4394" t="str">
        <x:v>Paid</x:v>
      </x:c>
      <x:c r="V4394" t="str">
        <x:v>Delivered</x:v>
      </x:c>
      <x:c r="W4394" t="n">
        <x:v>0</x:v>
      </x:c>
      <x:c r="X4394" t="str"/>
      <x:c r="Y4394" t="str">
        <x:v>Referral</x:v>
      </x:c>
    </x:row>
    <x:row r="4395">
      <x:c r="A4395" t="str">
        <x:v>O004394</x:v>
      </x:c>
      <x:c r="B4395" s="20" t="n">
        <x:v>45679</x:v>
      </x:c>
      <x:c r="C4395" t="str">
        <x:v>C0047</x:v>
      </x:c>
      <x:c r="D4395" t="str">
        <x:v>Shree Restaurant 47</x:v>
      </x:c>
      <x:c r="E4395" t="str">
        <x:v>Canteen</x:v>
      </x:c>
      <x:c r="F4395" t="str">
        <x:v>Davanagere</x:v>
      </x:c>
      <x:c r="G4395" t="str">
        <x:v>Arjun</x:v>
      </x:c>
      <x:c r="H4395" t="str">
        <x:v>P027</x:v>
      </x:c>
      <x:c r="I4395" t="str">
        <x:v>Biscuits 120g</x:v>
      </x:c>
      <x:c r="J4395" t="str">
        <x:v>Snacks</x:v>
      </x:c>
      <x:c r="K4395" t="str">
        <x:v>Parle-G</x:v>
      </x:c>
      <x:c r="L4395" s="22" t="n">
        <x:v>12</x:v>
      </x:c>
      <x:c r="M4395" t="n">
        <x:v>24</x:v>
      </x:c>
      <x:c r="N4395" s="24" t="n">
        <x:v>0</x:v>
      </x:c>
      <x:c r="O4395" s="22" t="n">
        <x:f>L4395*M4395</x:f>
        <x:v>288</x:v>
      </x:c>
      <x:c r="P4395" s="22" t="n">
        <x:f>O4395*(1-N4395)</x:f>
        <x:v>288</x:v>
      </x:c>
      <x:c r="Q4395" s="22" t="n">
        <x:v>9</x:v>
      </x:c>
      <x:c r="R4395" s="22" t="n">
        <x:f>Q4395*M4395</x:f>
        <x:v>216</x:v>
      </x:c>
      <x:c r="S4395" s="22" t="n">
        <x:f>P4395-R4395</x:f>
        <x:v>72</x:v>
      </x:c>
      <x:c r="T4395" t="str">
        <x:v>Bank Transfer</x:v>
      </x:c>
      <x:c r="U4395" t="str">
        <x:v>Pending</x:v>
      </x:c>
      <x:c r="V4395" t="str">
        <x:v>Delivered</x:v>
      </x:c>
      <x:c r="W4395" t="n">
        <x:v>0</x:v>
      </x:c>
      <x:c r="X4395" t="str"/>
      <x:c r="Y4395" t="str">
        <x:v>Existing Customer</x:v>
      </x:c>
    </x:row>
    <x:row r="4396">
      <x:c r="A4396" t="str">
        <x:v>O004395</x:v>
      </x:c>
      <x:c r="B4396" s="20" t="n">
        <x:v>46044</x:v>
      </x:c>
      <x:c r="C4396" t="str">
        <x:v>C0151</x:v>
      </x:c>
      <x:c r="D4396" t="str">
        <x:v>Foodie Stores 151</x:v>
      </x:c>
      <x:c r="E4396" t="str">
        <x:v>Supermarket</x:v>
      </x:c>
      <x:c r="F4396" t="str">
        <x:v>Mysuru</x:v>
      </x:c>
      <x:c r="G4396" t="str">
        <x:v>Arjun</x:v>
      </x:c>
      <x:c r="H4396" t="str">
        <x:v>P026</x:v>
      </x:c>
      <x:c r="I4396" t="str">
        <x:v>Banana Chips 80g</x:v>
      </x:c>
      <x:c r="J4396" t="str">
        <x:v>Snacks</x:v>
      </x:c>
      <x:c r="K4396" t="str">
        <x:v>SSS</x:v>
      </x:c>
      <x:c r="L4396" s="22" t="n">
        <x:v>54</x:v>
      </x:c>
      <x:c r="M4396" t="n">
        <x:v>4</x:v>
      </x:c>
      <x:c r="N4396" s="24" t="n">
        <x:v>0.03</x:v>
      </x:c>
      <x:c r="O4396" s="22" t="n">
        <x:f>L4396*M4396</x:f>
        <x:v>216</x:v>
      </x:c>
      <x:c r="P4396" s="22" t="n">
        <x:f>O4396*(1-N4396)</x:f>
        <x:v>209.51999999999998</x:v>
      </x:c>
      <x:c r="Q4396" s="22" t="n">
        <x:v>39</x:v>
      </x:c>
      <x:c r="R4396" s="22" t="n">
        <x:f>Q4396*M4396</x:f>
        <x:v>156</x:v>
      </x:c>
      <x:c r="S4396" s="22" t="n">
        <x:f>P4396-R4396</x:f>
        <x:v>53.51999999999998</x:v>
      </x:c>
      <x:c r="T4396" t="str">
        <x:v>UPI</x:v>
      </x:c>
      <x:c r="U4396" t="str">
        <x:v>Paid</x:v>
      </x:c>
      <x:c r="V4396" t="str">
        <x:v>Delivered</x:v>
      </x:c>
      <x:c r="W4396" t="n">
        <x:v>0</x:v>
      </x:c>
      <x:c r="X4396" t="str"/>
      <x:c r="Y4396" t="str">
        <x:v>Outbound Call</x:v>
      </x:c>
    </x:row>
    <x:row r="4397">
      <x:c r="A4397" t="str">
        <x:v>O004396</x:v>
      </x:c>
      <x:c r="B4397" s="20" t="n">
        <x:v>45678</x:v>
      </x:c>
      <x:c r="C4397" t="str">
        <x:v>C0075</x:v>
      </x:c>
      <x:c r="D4397" t="str">
        <x:v>Spice Foods 75</x:v>
      </x:c>
      <x:c r="E4397" t="str">
        <x:v>Kirana</x:v>
      </x:c>
      <x:c r="F4397" t="str">
        <x:v>Hubballi</x:v>
      </x:c>
      <x:c r="G4397" t="str">
        <x:v>Vikram</x:v>
      </x:c>
      <x:c r="H4397" t="str">
        <x:v>P041</x:v>
      </x:c>
      <x:c r="I4397" t="str">
        <x:v>Burger Bun 6pc</x:v>
      </x:c>
      <x:c r="J4397" t="str">
        <x:v>Bakery</x:v>
      </x:c>
      <x:c r="K4397" t="str">
        <x:v>Modern</x:v>
      </x:c>
      <x:c r="L4397" s="22" t="n">
        <x:v>42</x:v>
      </x:c>
      <x:c r="M4397" t="n">
        <x:v>13</x:v>
      </x:c>
      <x:c r="N4397" s="24" t="n">
        <x:v>0.03</x:v>
      </x:c>
      <x:c r="O4397" s="22" t="n">
        <x:f>L4397*M4397</x:f>
        <x:v>546</x:v>
      </x:c>
      <x:c r="P4397" s="22" t="n">
        <x:f>O4397*(1-N4397)</x:f>
        <x:v>529.62</x:v>
      </x:c>
      <x:c r="Q4397" s="22" t="n">
        <x:v>32</x:v>
      </x:c>
      <x:c r="R4397" s="22" t="n">
        <x:f>Q4397*M4397</x:f>
        <x:v>416</x:v>
      </x:c>
      <x:c r="S4397" s="22" t="n">
        <x:f>P4397-R4397</x:f>
        <x:v>113.62</x:v>
      </x:c>
      <x:c r="T4397" t="str">
        <x:v>Bank Transfer</x:v>
      </x:c>
      <x:c r="U4397" t="str">
        <x:v>Overdue</x:v>
      </x:c>
      <x:c r="V4397" t="str">
        <x:v>Delayed</x:v>
      </x:c>
      <x:c r="W4397" t="n">
        <x:v>0</x:v>
      </x:c>
      <x:c r="X4397" t="str"/>
      <x:c r="Y4397" t="str">
        <x:v>WhatsApp</x:v>
      </x:c>
    </x:row>
    <x:row r="4398">
      <x:c r="A4398" t="str">
        <x:v>O004397</x:v>
      </x:c>
      <x:c r="B4398" s="20" t="n">
        <x:v>46057</x:v>
      </x:c>
      <x:c r="C4398" t="str">
        <x:v>C0027</x:v>
      </x:c>
      <x:c r="D4398" t="str">
        <x:v>Fresh Cafe 27</x:v>
      </x:c>
      <x:c r="E4398" t="str">
        <x:v>Restaurant</x:v>
      </x:c>
      <x:c r="F4398" t="str">
        <x:v>Tumakuru</x:v>
      </x:c>
      <x:c r="G4398" t="str">
        <x:v>Megha</x:v>
      </x:c>
      <x:c r="H4398" t="str">
        <x:v>P009</x:v>
      </x:c>
      <x:c r="I4398" t="str">
        <x:v>Groundnut Oil 5L</x:v>
      </x:c>
      <x:c r="J4398" t="str">
        <x:v>Edible Oil</x:v>
      </x:c>
      <x:c r="K4398" t="str">
        <x:v>Dhara</x:v>
      </x:c>
      <x:c r="L4398" s="22" t="n">
        <x:v>890</x:v>
      </x:c>
      <x:c r="M4398" t="n">
        <x:v>8</x:v>
      </x:c>
      <x:c r="N4398" s="24" t="n">
        <x:v>0.08</x:v>
      </x:c>
      <x:c r="O4398" s="22" t="n">
        <x:f>L4398*M4398</x:f>
        <x:v>7120</x:v>
      </x:c>
      <x:c r="P4398" s="22" t="n">
        <x:f>O4398*(1-N4398)</x:f>
        <x:v>6550.400000000001</x:v>
      </x:c>
      <x:c r="Q4398" s="22" t="n">
        <x:v>810</x:v>
      </x:c>
      <x:c r="R4398" s="22" t="n">
        <x:f>Q4398*M4398</x:f>
        <x:v>6480</x:v>
      </x:c>
      <x:c r="S4398" s="22" t="n">
        <x:f>P4398-R4398</x:f>
        <x:v>70.40000000000055</x:v>
      </x:c>
      <x:c r="T4398" t="str">
        <x:v>Bank Transfer</x:v>
      </x:c>
      <x:c r="U4398" t="str">
        <x:v>Pending</x:v>
      </x:c>
      <x:c r="V4398" t="str">
        <x:v>Delayed</x:v>
      </x:c>
      <x:c r="W4398" t="n">
        <x:v>0</x:v>
      </x:c>
      <x:c r="X4398" t="str"/>
      <x:c r="Y4398" t="str">
        <x:v>Outbound Call</x:v>
      </x:c>
    </x:row>
    <x:row r="4399">
      <x:c r="A4399" t="str">
        <x:v>O004398</x:v>
      </x:c>
      <x:c r="B4399" s="20" t="n">
        <x:v>46279</x:v>
      </x:c>
      <x:c r="C4399" t="str">
        <x:v>C0041</x:v>
      </x:c>
      <x:c r="D4399" t="str">
        <x:v>Grand Mart 41</x:v>
      </x:c>
      <x:c r="E4399" t="str">
        <x:v>Cafe</x:v>
      </x:c>
      <x:c r="F4399" t="str">
        <x:v>Bengaluru</x:v>
      </x:c>
      <x:c r="G4399" t="str">
        <x:v>Kavya</x:v>
      </x:c>
      <x:c r="H4399" t="str">
        <x:v>P042</x:v>
      </x:c>
      <x:c r="I4399" t="str">
        <x:v>Eggs 30pc Tray</x:v>
      </x:c>
      <x:c r="J4399" t="str">
        <x:v>Protein</x:v>
      </x:c>
      <x:c r="K4399" t="str">
        <x:v>Farm Fresh</x:v>
      </x:c>
      <x:c r="L4399" s="22" t="n">
        <x:v>195</x:v>
      </x:c>
      <x:c r="M4399" t="n">
        <x:v>14</x:v>
      </x:c>
      <x:c r="N4399" s="24" t="n">
        <x:v>0.08</x:v>
      </x:c>
      <x:c r="O4399" s="22" t="n">
        <x:f>L4399*M4399</x:f>
        <x:v>2730</x:v>
      </x:c>
      <x:c r="P4399" s="22" t="n">
        <x:f>O4399*(1-N4399)</x:f>
        <x:v>2511.6</x:v>
      </x:c>
      <x:c r="Q4399" s="22" t="n">
        <x:v>170</x:v>
      </x:c>
      <x:c r="R4399" s="22" t="n">
        <x:f>Q4399*M4399</x:f>
        <x:v>2380</x:v>
      </x:c>
      <x:c r="S4399" s="22" t="n">
        <x:f>P4399-R4399</x:f>
        <x:v>131.5999999999999</x:v>
      </x:c>
      <x:c r="T4399" t="str">
        <x:v>Cash</x:v>
      </x:c>
      <x:c r="U4399" t="str">
        <x:v>Paid</x:v>
      </x:c>
      <x:c r="V4399" t="str">
        <x:v>Delivered</x:v>
      </x:c>
      <x:c r="W4399" t="n">
        <x:v>0</x:v>
      </x:c>
      <x:c r="X4399" t="str"/>
      <x:c r="Y4399" t="str">
        <x:v>Outbound Call</x:v>
      </x:c>
    </x:row>
    <x:row r="4400">
      <x:c r="A4400" t="str">
        <x:v>O004399</x:v>
      </x:c>
      <x:c r="B4400" s="20" t="n">
        <x:v>45989</x:v>
      </x:c>
      <x:c r="C4400" t="str">
        <x:v>C0071</x:v>
      </x:c>
      <x:c r="D4400" t="str">
        <x:v>Shree Restaurant 71</x:v>
      </x:c>
      <x:c r="E4400" t="str">
        <x:v>Cafe</x:v>
      </x:c>
      <x:c r="F4400" t="str">
        <x:v>Tumakuru</x:v>
      </x:c>
      <x:c r="G4400" t="str">
        <x:v>Sneha</x:v>
      </x:c>
      <x:c r="H4400" t="str">
        <x:v>P046</x:v>
      </x:c>
      <x:c r="I4400" t="str">
        <x:v>Potato 25kg</x:v>
      </x:c>
      <x:c r="J4400" t="str">
        <x:v>Fresh Produce</x:v>
      </x:c>
      <x:c r="K4400" t="str">
        <x:v>Local Market</x:v>
      </x:c>
      <x:c r="L4400" s="22" t="n">
        <x:v>700</x:v>
      </x:c>
      <x:c r="M4400" t="n">
        <x:v>22</x:v>
      </x:c>
      <x:c r="N4400" s="24" t="n">
        <x:v>0.05</x:v>
      </x:c>
      <x:c r="O4400" s="22" t="n">
        <x:f>L4400*M4400</x:f>
        <x:v>15400</x:v>
      </x:c>
      <x:c r="P4400" s="22" t="n">
        <x:f>O4400*(1-N4400)</x:f>
        <x:v>14630</x:v>
      </x:c>
      <x:c r="Q4400" s="22" t="n">
        <x:v>610</x:v>
      </x:c>
      <x:c r="R4400" s="22" t="n">
        <x:f>Q4400*M4400</x:f>
        <x:v>13420</x:v>
      </x:c>
      <x:c r="S4400" s="22" t="n">
        <x:f>P4400-R4400</x:f>
        <x:v>1210</x:v>
      </x:c>
      <x:c r="T4400" t="str">
        <x:v>UPI</x:v>
      </x:c>
      <x:c r="U4400" t="str">
        <x:v>Pending</x:v>
      </x:c>
      <x:c r="V4400" t="str">
        <x:v>Delivered</x:v>
      </x:c>
      <x:c r="W4400" t="n">
        <x:v>0</x:v>
      </x:c>
      <x:c r="X4400" t="str"/>
      <x:c r="Y4400" t="str">
        <x:v>WhatsApp</x:v>
      </x:c>
    </x:row>
    <x:row r="4401">
      <x:c r="A4401" t="str">
        <x:v>O004400</x:v>
      </x:c>
      <x:c r="B4401" s="20" t="n">
        <x:v>46228</x:v>
      </x:c>
      <x:c r="C4401" t="str">
        <x:v>C0219</x:v>
      </x:c>
      <x:c r="D4401" t="str">
        <x:v>Udupi Restaurant 219</x:v>
      </x:c>
      <x:c r="E4401" t="str">
        <x:v>Kirana</x:v>
      </x:c>
      <x:c r="F4401" t="str">
        <x:v>Mangaluru</x:v>
      </x:c>
      <x:c r="G4401" t="str">
        <x:v>Kavya</x:v>
      </x:c>
      <x:c r="H4401" t="str">
        <x:v>P049</x:v>
      </x:c>
      <x:c r="I4401" t="str">
        <x:v>Apple 10kg</x:v>
      </x:c>
      <x:c r="J4401" t="str">
        <x:v>Fresh Produce</x:v>
      </x:c>
      <x:c r="K4401" t="str">
        <x:v>Local Market</x:v>
      </x:c>
      <x:c r="L4401" s="22" t="n">
        <x:v>1450</x:v>
      </x:c>
      <x:c r="M4401" t="n">
        <x:v>3</x:v>
      </x:c>
      <x:c r="N4401" s="24" t="n">
        <x:v>0.08</x:v>
      </x:c>
      <x:c r="O4401" s="22" t="n">
        <x:f>L4401*M4401</x:f>
        <x:v>4350</x:v>
      </x:c>
      <x:c r="P4401" s="22" t="n">
        <x:f>O4401*(1-N4401)</x:f>
        <x:v>4002</x:v>
      </x:c>
      <x:c r="Q4401" s="22" t="n">
        <x:v>1280</x:v>
      </x:c>
      <x:c r="R4401" s="22" t="n">
        <x:f>Q4401*M4401</x:f>
        <x:v>3840</x:v>
      </x:c>
      <x:c r="S4401" s="22" t="n">
        <x:f>P4401-R4401</x:f>
        <x:v>162</x:v>
      </x:c>
      <x:c r="T4401" t="str">
        <x:v>UPI</x:v>
      </x:c>
      <x:c r="U4401" t="str">
        <x:v>Paid</x:v>
      </x:c>
      <x:c r="V4401" t="str">
        <x:v>Delivered</x:v>
      </x:c>
      <x:c r="W4401" t="n">
        <x:v>0</x:v>
      </x:c>
      <x:c r="X4401" t="str"/>
      <x:c r="Y4401" t="str">
        <x:v>Field Visit</x:v>
      </x:c>
    </x:row>
    <x:row r="4402">
      <x:c r="A4402" t="str">
        <x:v>O004401</x:v>
      </x:c>
      <x:c r="B4402" s="20" t="n">
        <x:v>46110</x:v>
      </x:c>
      <x:c r="C4402" t="str">
        <x:v>C0135</x:v>
      </x:c>
      <x:c r="D4402" t="str">
        <x:v>City Canteen 135</x:v>
      </x:c>
      <x:c r="E4402" t="str">
        <x:v>Supermarket</x:v>
      </x:c>
      <x:c r="F4402" t="str">
        <x:v>Hubballi</x:v>
      </x:c>
      <x:c r="G4402" t="str">
        <x:v>Megha</x:v>
      </x:c>
      <x:c r="H4402" t="str">
        <x:v>P013</x:v>
      </x:c>
      <x:c r="I4402" t="str">
        <x:v>Atta 10kg</x:v>
      </x:c>
      <x:c r="J4402" t="str">
        <x:v>Flour</x:v>
      </x:c>
      <x:c r="K4402" t="str">
        <x:v>Aashirvaad</x:v>
      </x:c>
      <x:c r="L4402" s="22" t="n">
        <x:v>560</x:v>
      </x:c>
      <x:c r="M4402" t="n">
        <x:v>5</x:v>
      </x:c>
      <x:c r="N4402" s="24" t="n">
        <x:v>0.05</x:v>
      </x:c>
      <x:c r="O4402" s="22" t="n">
        <x:f>L4402*M4402</x:f>
        <x:v>2800</x:v>
      </x:c>
      <x:c r="P4402" s="22" t="n">
        <x:f>O4402*(1-N4402)</x:f>
        <x:v>2660</x:v>
      </x:c>
      <x:c r="Q4402" s="22" t="n">
        <x:v>495</x:v>
      </x:c>
      <x:c r="R4402" s="22" t="n">
        <x:f>Q4402*M4402</x:f>
        <x:v>2475</x:v>
      </x:c>
      <x:c r="S4402" s="22" t="n">
        <x:f>P4402-R4402</x:f>
        <x:v>185</x:v>
      </x:c>
      <x:c r="T4402" t="str">
        <x:v>Cash</x:v>
      </x:c>
      <x:c r="U4402" t="str">
        <x:v>Paid</x:v>
      </x:c>
      <x:c r="V4402" t="str">
        <x:v>Delivered</x:v>
      </x:c>
      <x:c r="W4402" t="n">
        <x:v>0</x:v>
      </x:c>
      <x:c r="X4402" t="str"/>
      <x:c r="Y4402" t="str">
        <x:v>Referral</x:v>
      </x:c>
    </x:row>
    <x:row r="4403">
      <x:c r="A4403" t="str">
        <x:v>O004402</x:v>
      </x:c>
      <x:c r="B4403" s="20" t="n">
        <x:v>46046</x:v>
      </x:c>
      <x:c r="C4403" t="str">
        <x:v>C0117</x:v>
      </x:c>
      <x:c r="D4403" t="str">
        <x:v>Classic Canteen 117</x:v>
      </x:c>
      <x:c r="E4403" t="str">
        <x:v>Restaurant</x:v>
      </x:c>
      <x:c r="F4403" t="str">
        <x:v>Hubballi</x:v>
      </x:c>
      <x:c r="G4403" t="str">
        <x:v>Megha</x:v>
      </x:c>
      <x:c r="H4403" t="str">
        <x:v>P031</x:v>
      </x:c>
      <x:c r="I4403" t="str">
        <x:v>Chilli Sauce 700g</x:v>
      </x:c>
      <x:c r="J4403" t="str">
        <x:v>Condiments</x:v>
      </x:c>
      <x:c r="K4403" t="str">
        <x:v>Ching's</x:v>
      </x:c>
      <x:c r="L4403" s="22" t="n">
        <x:v>130</x:v>
      </x:c>
      <x:c r="M4403" t="n">
        <x:v>32</x:v>
      </x:c>
      <x:c r="N4403" s="24" t="n">
        <x:v>0.05</x:v>
      </x:c>
      <x:c r="O4403" s="22" t="n">
        <x:f>L4403*M4403</x:f>
        <x:v>4160</x:v>
      </x:c>
      <x:c r="P4403" s="22" t="n">
        <x:f>O4403*(1-N4403)</x:f>
        <x:v>3952</x:v>
      </x:c>
      <x:c r="Q4403" s="22" t="n">
        <x:v>112</x:v>
      </x:c>
      <x:c r="R4403" s="22" t="n">
        <x:f>Q4403*M4403</x:f>
        <x:v>3584</x:v>
      </x:c>
      <x:c r="S4403" s="22" t="n">
        <x:f>P4403-R4403</x:f>
        <x:v>368</x:v>
      </x:c>
      <x:c r="T4403" t="str">
        <x:v>Bank Transfer</x:v>
      </x:c>
      <x:c r="U4403" t="str">
        <x:v>Pending</x:v>
      </x:c>
      <x:c r="V4403" t="str">
        <x:v>Cancelled</x:v>
      </x:c>
      <x:c r="W4403" t="n">
        <x:v>32</x:v>
      </x:c>
      <x:c r="X4403" t="str">
        <x:v>Cancelled Order</x:v>
      </x:c>
      <x:c r="Y4403" t="str">
        <x:v>Referral</x:v>
      </x:c>
    </x:row>
    <x:row r="4404">
      <x:c r="A4404" t="str">
        <x:v>O004403</x:v>
      </x:c>
      <x:c r="B4404" s="20" t="n">
        <x:v>46148</x:v>
      </x:c>
      <x:c r="C4404" t="str">
        <x:v>C0154</x:v>
      </x:c>
      <x:c r="D4404" t="str">
        <x:v>Royal Restaurant 154</x:v>
      </x:c>
      <x:c r="E4404" t="str">
        <x:v>Restaurant</x:v>
      </x:c>
      <x:c r="F4404" t="str">
        <x:v>Tumakuru</x:v>
      </x:c>
      <x:c r="G4404" t="str">
        <x:v>Kavya</x:v>
      </x:c>
      <x:c r="H4404" t="str">
        <x:v>P025</x:v>
      </x:c>
      <x:c r="I4404" t="str">
        <x:v>Potato Chips 100g</x:v>
      </x:c>
      <x:c r="J4404" t="str">
        <x:v>Snacks</x:v>
      </x:c>
      <x:c r="K4404" t="str">
        <x:v>Lay's</x:v>
      </x:c>
      <x:c r="L4404" s="22" t="n">
        <x:v>35</x:v>
      </x:c>
      <x:c r="M4404" t="n">
        <x:v>14</x:v>
      </x:c>
      <x:c r="N4404" s="24" t="n">
        <x:v>0.03</x:v>
      </x:c>
      <x:c r="O4404" s="22" t="n">
        <x:f>L4404*M4404</x:f>
        <x:v>490</x:v>
      </x:c>
      <x:c r="P4404" s="22" t="n">
        <x:f>O4404*(1-N4404)</x:f>
        <x:v>475.3</x:v>
      </x:c>
      <x:c r="Q4404" s="22" t="n">
        <x:v>27</x:v>
      </x:c>
      <x:c r="R4404" s="22" t="n">
        <x:f>Q4404*M4404</x:f>
        <x:v>378</x:v>
      </x:c>
      <x:c r="S4404" s="22" t="n">
        <x:f>P4404-R4404</x:f>
        <x:v>97.30000000000001</x:v>
      </x:c>
      <x:c r="T4404" t="str">
        <x:v>Credit</x:v>
      </x:c>
      <x:c r="U4404" t="str">
        <x:v>Paid</x:v>
      </x:c>
      <x:c r="V4404" t="str">
        <x:v>Delivered</x:v>
      </x:c>
      <x:c r="W4404" t="n">
        <x:v>0</x:v>
      </x:c>
      <x:c r="X4404" t="str"/>
      <x:c r="Y4404" t="str">
        <x:v>Existing Customer</x:v>
      </x:c>
    </x:row>
    <x:row r="4405">
      <x:c r="A4405" t="str">
        <x:v>O004404</x:v>
      </x:c>
      <x:c r="B4405" s="20" t="n">
        <x:v>45688</x:v>
      </x:c>
      <x:c r="C4405" t="str">
        <x:v>C0208</x:v>
      </x:c>
      <x:c r="D4405" t="str">
        <x:v>Green Foods 208</x:v>
      </x:c>
      <x:c r="E4405" t="str">
        <x:v>Hotel</x:v>
      </x:c>
      <x:c r="F4405" t="str">
        <x:v>Mysuru</x:v>
      </x:c>
      <x:c r="G4405" t="str">
        <x:v>Ramesh</x:v>
      </x:c>
      <x:c r="H4405" t="str">
        <x:v>P009</x:v>
      </x:c>
      <x:c r="I4405" t="str">
        <x:v>Groundnut Oil 5L</x:v>
      </x:c>
      <x:c r="J4405" t="str">
        <x:v>Edible Oil</x:v>
      </x:c>
      <x:c r="K4405" t="str">
        <x:v>Dhara</x:v>
      </x:c>
      <x:c r="L4405" s="22" t="n">
        <x:v>890</x:v>
      </x:c>
      <x:c r="M4405" t="n">
        <x:v>39</x:v>
      </x:c>
      <x:c r="N4405" s="24" t="n">
        <x:v>0.02</x:v>
      </x:c>
      <x:c r="O4405" s="22" t="n">
        <x:f>L4405*M4405</x:f>
        <x:v>34710</x:v>
      </x:c>
      <x:c r="P4405" s="22" t="n">
        <x:f>O4405*(1-N4405)</x:f>
        <x:v>34015.8</x:v>
      </x:c>
      <x:c r="Q4405" s="22" t="n">
        <x:v>810</x:v>
      </x:c>
      <x:c r="R4405" s="22" t="n">
        <x:f>Q4405*M4405</x:f>
        <x:v>31590</x:v>
      </x:c>
      <x:c r="S4405" s="22" t="n">
        <x:f>P4405-R4405</x:f>
        <x:v>2425.800000000003</x:v>
      </x:c>
      <x:c r="T4405" t="str">
        <x:v>Cash</x:v>
      </x:c>
      <x:c r="U4405" t="str">
        <x:v>Paid</x:v>
      </x:c>
      <x:c r="V4405" t="str">
        <x:v>Delivered</x:v>
      </x:c>
      <x:c r="W4405" t="n">
        <x:v>0</x:v>
      </x:c>
      <x:c r="X4405" t="str"/>
      <x:c r="Y4405" t="str">
        <x:v>Existing Customer</x:v>
      </x:c>
    </x:row>
    <x:row r="4406">
      <x:c r="A4406" t="str">
        <x:v>O004405</x:v>
      </x:c>
      <x:c r="B4406" s="20" t="n">
        <x:v>45866</x:v>
      </x:c>
      <x:c r="C4406" t="str">
        <x:v>C0072</x:v>
      </x:c>
      <x:c r="D4406" t="str">
        <x:v>Grand Restaurant 72</x:v>
      </x:c>
      <x:c r="E4406" t="str">
        <x:v>Restaurant</x:v>
      </x:c>
      <x:c r="F4406" t="str">
        <x:v>Davanagere</x:v>
      </x:c>
      <x:c r="G4406" t="str">
        <x:v>Kavya</x:v>
      </x:c>
      <x:c r="H4406" t="str">
        <x:v>P020</x:v>
      </x:c>
      <x:c r="I4406" t="str">
        <x:v>Coffee 500g</x:v>
      </x:c>
      <x:c r="J4406" t="str">
        <x:v>Beverage</x:v>
      </x:c>
      <x:c r="K4406" t="str">
        <x:v>Bru</x:v>
      </x:c>
      <x:c r="L4406" s="22" t="n">
        <x:v>390</x:v>
      </x:c>
      <x:c r="M4406" t="n">
        <x:v>36</x:v>
      </x:c>
      <x:c r="N4406" s="24" t="n">
        <x:v>0.08</x:v>
      </x:c>
      <x:c r="O4406" s="22" t="n">
        <x:f>L4406*M4406</x:f>
        <x:v>14040</x:v>
      </x:c>
      <x:c r="P4406" s="22" t="n">
        <x:f>O4406*(1-N4406)</x:f>
        <x:v>12916.800000000001</x:v>
      </x:c>
      <x:c r="Q4406" s="22" t="n">
        <x:v>350</x:v>
      </x:c>
      <x:c r="R4406" s="22" t="n">
        <x:f>Q4406*M4406</x:f>
        <x:v>12600</x:v>
      </x:c>
      <x:c r="S4406" s="22" t="n">
        <x:f>P4406-R4406</x:f>
        <x:v>316.8000000000011</x:v>
      </x:c>
      <x:c r="T4406" t="str">
        <x:v>Bank Transfer</x:v>
      </x:c>
      <x:c r="U4406" t="str">
        <x:v>Paid</x:v>
      </x:c>
      <x:c r="V4406" t="str">
        <x:v>Delayed</x:v>
      </x:c>
      <x:c r="W4406" t="n">
        <x:v>0</x:v>
      </x:c>
      <x:c r="X4406" t="str"/>
      <x:c r="Y4406" t="str">
        <x:v>WhatsApp</x:v>
      </x:c>
    </x:row>
    <x:row r="4407">
      <x:c r="A4407" t="str">
        <x:v>O004406</x:v>
      </x:c>
      <x:c r="B4407" s="20" t="n">
        <x:v>45899</x:v>
      </x:c>
      <x:c r="C4407" t="str">
        <x:v>C0072</x:v>
      </x:c>
      <x:c r="D4407" t="str">
        <x:v>Grand Restaurant 72</x:v>
      </x:c>
      <x:c r="E4407" t="str">
        <x:v>Restaurant</x:v>
      </x:c>
      <x:c r="F4407" t="str">
        <x:v>Davanagere</x:v>
      </x:c>
      <x:c r="G4407" t="str">
        <x:v>Kavya</x:v>
      </x:c>
      <x:c r="H4407" t="str">
        <x:v>P008</x:v>
      </x:c>
      <x:c r="I4407" t="str">
        <x:v>Palm Oil 15L</x:v>
      </x:c>
      <x:c r="J4407" t="str">
        <x:v>Edible Oil</x:v>
      </x:c>
      <x:c r="K4407" t="str">
        <x:v>Ruchi Gold</x:v>
      </x:c>
      <x:c r="L4407" s="22" t="n">
        <x:v>1760</x:v>
      </x:c>
      <x:c r="M4407" t="n">
        <x:v>7</x:v>
      </x:c>
      <x:c r="N4407" s="24" t="n">
        <x:v>0.03</x:v>
      </x:c>
      <x:c r="O4407" s="22" t="n">
        <x:f>L4407*M4407</x:f>
        <x:v>12320</x:v>
      </x:c>
      <x:c r="P4407" s="22" t="n">
        <x:f>O4407*(1-N4407)</x:f>
        <x:v>11950.4</x:v>
      </x:c>
      <x:c r="Q4407" s="22" t="n">
        <x:v>1610</x:v>
      </x:c>
      <x:c r="R4407" s="22" t="n">
        <x:f>Q4407*M4407</x:f>
        <x:v>11270</x:v>
      </x:c>
      <x:c r="S4407" s="22" t="n">
        <x:f>P4407-R4407</x:f>
        <x:v>680.3999999999996</x:v>
      </x:c>
      <x:c r="T4407" t="str">
        <x:v>Credit</x:v>
      </x:c>
      <x:c r="U4407" t="str">
        <x:v>Pending</x:v>
      </x:c>
      <x:c r="V4407" t="str">
        <x:v>Delayed</x:v>
      </x:c>
      <x:c r="W4407" t="n">
        <x:v>0</x:v>
      </x:c>
      <x:c r="X4407" t="str"/>
      <x:c r="Y4407" t="str">
        <x:v>Existing Customer</x:v>
      </x:c>
    </x:row>
    <x:row r="4408">
      <x:c r="A4408" t="str">
        <x:v>O004407</x:v>
      </x:c>
      <x:c r="B4408" s="20" t="n">
        <x:v>46189</x:v>
      </x:c>
      <x:c r="C4408" t="str">
        <x:v>C0224</x:v>
      </x:c>
      <x:c r="D4408" t="str">
        <x:v>Royal Foods 224</x:v>
      </x:c>
      <x:c r="E4408" t="str">
        <x:v>Canteen</x:v>
      </x:c>
      <x:c r="F4408" t="str">
        <x:v>Tumakuru</x:v>
      </x:c>
      <x:c r="G4408" t="str">
        <x:v>Arjun</x:v>
      </x:c>
      <x:c r="H4408" t="str">
        <x:v>P001</x:v>
      </x:c>
      <x:c r="I4408" t="str">
        <x:v>Steam Rice 25kg</x:v>
      </x:c>
      <x:c r="J4408" t="str">
        <x:v>Staples</x:v>
      </x:c>
      <x:c r="K4408" t="str">
        <x:v>Aishwarya</x:v>
      </x:c>
      <x:c r="L4408" s="22" t="n">
        <x:v>1180</x:v>
      </x:c>
      <x:c r="M4408" t="n">
        <x:v>9</x:v>
      </x:c>
      <x:c r="N4408" s="24" t="n">
        <x:v>0.03</x:v>
      </x:c>
      <x:c r="O4408" s="22" t="n">
        <x:f>L4408*M4408</x:f>
        <x:v>10620</x:v>
      </x:c>
      <x:c r="P4408" s="22" t="n">
        <x:f>O4408*(1-N4408)</x:f>
        <x:v>10301.4</x:v>
      </x:c>
      <x:c r="Q4408" s="22" t="n">
        <x:v>1040</x:v>
      </x:c>
      <x:c r="R4408" s="22" t="n">
        <x:f>Q4408*M4408</x:f>
        <x:v>9360</x:v>
      </x:c>
      <x:c r="S4408" s="22" t="n">
        <x:f>P4408-R4408</x:f>
        <x:v>941.3999999999996</x:v>
      </x:c>
      <x:c r="T4408" t="str">
        <x:v>UPI</x:v>
      </x:c>
      <x:c r="U4408" t="str">
        <x:v>Overdue</x:v>
      </x:c>
      <x:c r="V4408" t="str">
        <x:v>Delivered</x:v>
      </x:c>
      <x:c r="W4408" t="n">
        <x:v>0</x:v>
      </x:c>
      <x:c r="X4408" t="str"/>
      <x:c r="Y4408" t="str">
        <x:v>Referral</x:v>
      </x:c>
    </x:row>
    <x:row r="4409">
      <x:c r="A4409" t="str">
        <x:v>O004408</x:v>
      </x:c>
      <x:c r="B4409" s="20" t="n">
        <x:v>45950</x:v>
      </x:c>
      <x:c r="C4409" t="str">
        <x:v>C0010</x:v>
      </x:c>
      <x:c r="D4409" t="str">
        <x:v>Royal Hotel 10</x:v>
      </x:c>
      <x:c r="E4409" t="str">
        <x:v>Canteen</x:v>
      </x:c>
      <x:c r="F4409" t="str">
        <x:v>Davanagere</x:v>
      </x:c>
      <x:c r="G4409" t="str">
        <x:v>Ramesh</x:v>
      </x:c>
      <x:c r="H4409" t="str">
        <x:v>P048</x:v>
      </x:c>
      <x:c r="I4409" t="str">
        <x:v>Banana 10kg</x:v>
      </x:c>
      <x:c r="J4409" t="str">
        <x:v>Fresh Produce</x:v>
      </x:c>
      <x:c r="K4409" t="str">
        <x:v>Local Market</x:v>
      </x:c>
      <x:c r="L4409" s="22" t="n">
        <x:v>420</x:v>
      </x:c>
      <x:c r="M4409" t="n">
        <x:v>40</x:v>
      </x:c>
      <x:c r="N4409" s="24" t="n">
        <x:v>0</x:v>
      </x:c>
      <x:c r="O4409" s="22" t="n">
        <x:f>L4409*M4409</x:f>
        <x:v>16800</x:v>
      </x:c>
      <x:c r="P4409" s="22" t="n">
        <x:f>O4409*(1-N4409)</x:f>
        <x:v>16800</x:v>
      </x:c>
      <x:c r="Q4409" s="22" t="n">
        <x:v>350</x:v>
      </x:c>
      <x:c r="R4409" s="22" t="n">
        <x:f>Q4409*M4409</x:f>
        <x:v>14000</x:v>
      </x:c>
      <x:c r="S4409" s="22" t="n">
        <x:f>P4409-R4409</x:f>
        <x:v>2800</x:v>
      </x:c>
      <x:c r="T4409" t="str">
        <x:v>Cash</x:v>
      </x:c>
      <x:c r="U4409" t="str">
        <x:v>Pending</x:v>
      </x:c>
      <x:c r="V4409" t="str">
        <x:v>Delivered</x:v>
      </x:c>
      <x:c r="W4409" t="n">
        <x:v>0</x:v>
      </x:c>
      <x:c r="X4409" t="str"/>
      <x:c r="Y4409" t="str">
        <x:v>Referral</x:v>
      </x:c>
    </x:row>
    <x:row r="4410">
      <x:c r="A4410" t="str">
        <x:v>O004409</x:v>
      </x:c>
      <x:c r="B4410" s="20" t="n">
        <x:v>46028</x:v>
      </x:c>
      <x:c r="C4410" t="str">
        <x:v>C0116</x:v>
      </x:c>
      <x:c r="D4410" t="str">
        <x:v>Classic Foods 116</x:v>
      </x:c>
      <x:c r="E4410" t="str">
        <x:v>Supermarket</x:v>
      </x:c>
      <x:c r="F4410" t="str">
        <x:v>Davanagere</x:v>
      </x:c>
      <x:c r="G4410" t="str">
        <x:v>Megha</x:v>
      </x:c>
      <x:c r="H4410" t="str">
        <x:v>P009</x:v>
      </x:c>
      <x:c r="I4410" t="str">
        <x:v>Groundnut Oil 5L</x:v>
      </x:c>
      <x:c r="J4410" t="str">
        <x:v>Edible Oil</x:v>
      </x:c>
      <x:c r="K4410" t="str">
        <x:v>Dhara</x:v>
      </x:c>
      <x:c r="L4410" s="22" t="n">
        <x:v>890</x:v>
      </x:c>
      <x:c r="M4410" t="n">
        <x:v>20</x:v>
      </x:c>
      <x:c r="N4410" s="24" t="n">
        <x:v>0.02</x:v>
      </x:c>
      <x:c r="O4410" s="22" t="n">
        <x:f>L4410*M4410</x:f>
        <x:v>17800</x:v>
      </x:c>
      <x:c r="P4410" s="22" t="n">
        <x:f>O4410*(1-N4410)</x:f>
        <x:v>17444</x:v>
      </x:c>
      <x:c r="Q4410" s="22" t="n">
        <x:v>810</x:v>
      </x:c>
      <x:c r="R4410" s="22" t="n">
        <x:f>Q4410*M4410</x:f>
        <x:v>16200</x:v>
      </x:c>
      <x:c r="S4410" s="22" t="n">
        <x:f>P4410-R4410</x:f>
        <x:v>1244</x:v>
      </x:c>
      <x:c r="T4410" t="str">
        <x:v>Bank Transfer</x:v>
      </x:c>
      <x:c r="U4410" t="str">
        <x:v>Paid</x:v>
      </x:c>
      <x:c r="V4410" t="str">
        <x:v>Delivered</x:v>
      </x:c>
      <x:c r="W4410" t="n">
        <x:v>3</x:v>
      </x:c>
      <x:c r="X4410" t="str">
        <x:v>Quality Issue</x:v>
      </x:c>
      <x:c r="Y4410" t="str">
        <x:v>WhatsApp</x:v>
      </x:c>
    </x:row>
    <x:row r="4411">
      <x:c r="A4411" t="str">
        <x:v>O004410</x:v>
      </x:c>
      <x:c r="B4411" s="20" t="n">
        <x:v>46144</x:v>
      </x:c>
      <x:c r="C4411" t="str">
        <x:v>C0042</x:v>
      </x:c>
      <x:c r="D4411" t="str">
        <x:v>Shree Restaurant 42</x:v>
      </x:c>
      <x:c r="E4411" t="str">
        <x:v>Restaurant</x:v>
      </x:c>
      <x:c r="F4411" t="str">
        <x:v>Mysuru</x:v>
      </x:c>
      <x:c r="G4411" t="str">
        <x:v>Arjun</x:v>
      </x:c>
      <x:c r="H4411" t="str">
        <x:v>P036</x:v>
      </x:c>
      <x:c r="I4411" t="str">
        <x:v>Garam Masala 500g</x:v>
      </x:c>
      <x:c r="J4411" t="str">
        <x:v>Spices</x:v>
      </x:c>
      <x:c r="K4411" t="str">
        <x:v>MDH</x:v>
      </x:c>
      <x:c r="L4411" s="22" t="n">
        <x:v>265</x:v>
      </x:c>
      <x:c r="M4411" t="n">
        <x:v>18</x:v>
      </x:c>
      <x:c r="N4411" s="24" t="n">
        <x:v>0.08</x:v>
      </x:c>
      <x:c r="O4411" s="22" t="n">
        <x:f>L4411*M4411</x:f>
        <x:v>4770</x:v>
      </x:c>
      <x:c r="P4411" s="22" t="n">
        <x:f>O4411*(1-N4411)</x:f>
        <x:v>4388.400000000001</x:v>
      </x:c>
      <x:c r="Q4411" s="22" t="n">
        <x:v>230</x:v>
      </x:c>
      <x:c r="R4411" s="22" t="n">
        <x:f>Q4411*M4411</x:f>
        <x:v>4140</x:v>
      </x:c>
      <x:c r="S4411" s="22" t="n">
        <x:f>P4411-R4411</x:f>
        <x:v>248.40000000000055</x:v>
      </x:c>
      <x:c r="T4411" t="str">
        <x:v>Credit</x:v>
      </x:c>
      <x:c r="U4411" t="str">
        <x:v>Paid</x:v>
      </x:c>
      <x:c r="V4411" t="str">
        <x:v>Delivered</x:v>
      </x:c>
      <x:c r="W4411" t="n">
        <x:v>0</x:v>
      </x:c>
      <x:c r="X4411" t="str"/>
      <x:c r="Y4411" t="str">
        <x:v>Referral</x:v>
      </x:c>
    </x:row>
    <x:row r="4412">
      <x:c r="A4412" t="str">
        <x:v>O004411</x:v>
      </x:c>
      <x:c r="B4412" s="20" t="n">
        <x:v>46048</x:v>
      </x:c>
      <x:c r="C4412" t="str">
        <x:v>C0239</x:v>
      </x:c>
      <x:c r="D4412" t="str">
        <x:v>Royal Hotel 239</x:v>
      </x:c>
      <x:c r="E4412" t="str">
        <x:v>Restaurant</x:v>
      </x:c>
      <x:c r="F4412" t="str">
        <x:v>Hubballi</x:v>
      </x:c>
      <x:c r="G4412" t="str">
        <x:v>Priya</x:v>
      </x:c>
      <x:c r="H4412" t="str">
        <x:v>P017</x:v>
      </x:c>
      <x:c r="I4412" t="str">
        <x:v>Butter 500g</x:v>
      </x:c>
      <x:c r="J4412" t="str">
        <x:v>Dairy</x:v>
      </x:c>
      <x:c r="K4412" t="str">
        <x:v>Amul</x:v>
      </x:c>
      <x:c r="L4412" s="22" t="n">
        <x:v>285</x:v>
      </x:c>
      <x:c r="M4412" t="n">
        <x:v>1</x:v>
      </x:c>
      <x:c r="N4412" s="24" t="n">
        <x:v>0</x:v>
      </x:c>
      <x:c r="O4412" s="22" t="n">
        <x:f>L4412*M4412</x:f>
        <x:v>285</x:v>
      </x:c>
      <x:c r="P4412" s="22" t="n">
        <x:f>O4412*(1-N4412)</x:f>
        <x:v>285</x:v>
      </x:c>
      <x:c r="Q4412" s="22" t="n">
        <x:v>258</x:v>
      </x:c>
      <x:c r="R4412" s="22" t="n">
        <x:f>Q4412*M4412</x:f>
        <x:v>258</x:v>
      </x:c>
      <x:c r="S4412" s="22" t="n">
        <x:f>P4412-R4412</x:f>
        <x:v>27</x:v>
      </x:c>
      <x:c r="T4412" t="str">
        <x:v>Bank Transfer</x:v>
      </x:c>
      <x:c r="U4412" t="str">
        <x:v>Overdue</x:v>
      </x:c>
      <x:c r="V4412" t="str">
        <x:v>Delivered</x:v>
      </x:c>
      <x:c r="W4412" t="n">
        <x:v>0</x:v>
      </x:c>
      <x:c r="X4412" t="str"/>
      <x:c r="Y4412" t="str">
        <x:v>WhatsApp</x:v>
      </x:c>
    </x:row>
    <x:row r="4413">
      <x:c r="A4413" t="str">
        <x:v>O004412</x:v>
      </x:c>
      <x:c r="B4413" s="20" t="n">
        <x:v>45775</x:v>
      </x:c>
      <x:c r="C4413" t="str">
        <x:v>C0154</x:v>
      </x:c>
      <x:c r="D4413" t="str">
        <x:v>Royal Restaurant 154</x:v>
      </x:c>
      <x:c r="E4413" t="str">
        <x:v>Restaurant</x:v>
      </x:c>
      <x:c r="F4413" t="str">
        <x:v>Tumakuru</x:v>
      </x:c>
      <x:c r="G4413" t="str">
        <x:v>Kavya</x:v>
      </x:c>
      <x:c r="H4413" t="str">
        <x:v>P039</x:v>
      </x:c>
      <x:c r="I4413" t="str">
        <x:v>Ice Cream 4L</x:v>
      </x:c>
      <x:c r="J4413" t="str">
        <x:v>Frozen</x:v>
      </x:c>
      <x:c r="K4413" t="str">
        <x:v>Amul</x:v>
      </x:c>
      <x:c r="L4413" s="22" t="n">
        <x:v>480</x:v>
      </x:c>
      <x:c r="M4413" t="n">
        <x:v>2</x:v>
      </x:c>
      <x:c r="N4413" s="24" t="n">
        <x:v>0.03</x:v>
      </x:c>
      <x:c r="O4413" s="22" t="n">
        <x:f>L4413*M4413</x:f>
        <x:v>960</x:v>
      </x:c>
      <x:c r="P4413" s="22" t="n">
        <x:f>O4413*(1-N4413)</x:f>
        <x:v>931.1999999999999</x:v>
      </x:c>
      <x:c r="Q4413" s="22" t="n">
        <x:v>420</x:v>
      </x:c>
      <x:c r="R4413" s="22" t="n">
        <x:f>Q4413*M4413</x:f>
        <x:v>840</x:v>
      </x:c>
      <x:c r="S4413" s="22" t="n">
        <x:f>P4413-R4413</x:f>
        <x:v>91.19999999999993</x:v>
      </x:c>
      <x:c r="T4413" t="str">
        <x:v>Cash</x:v>
      </x:c>
      <x:c r="U4413" t="str">
        <x:v>Paid</x:v>
      </x:c>
      <x:c r="V4413" t="str">
        <x:v>Delivered</x:v>
      </x:c>
      <x:c r="W4413" t="n">
        <x:v>0</x:v>
      </x:c>
      <x:c r="X4413" t="str"/>
      <x:c r="Y4413" t="str">
        <x:v>WhatsApp</x:v>
      </x:c>
    </x:row>
    <x:row r="4414">
      <x:c r="A4414" t="str">
        <x:v>O004413</x:v>
      </x:c>
      <x:c r="B4414" s="20" t="n">
        <x:v>46247</x:v>
      </x:c>
      <x:c r="C4414" t="str">
        <x:v>C0028</x:v>
      </x:c>
      <x:c r="D4414" t="str">
        <x:v>Spice Cafe 28</x:v>
      </x:c>
      <x:c r="E4414" t="str">
        <x:v>Supermarket</x:v>
      </x:c>
      <x:c r="F4414" t="str">
        <x:v>Mysuru</x:v>
      </x:c>
      <x:c r="G4414" t="str">
        <x:v>Vikram</x:v>
      </x:c>
      <x:c r="H4414" t="str">
        <x:v>P013</x:v>
      </x:c>
      <x:c r="I4414" t="str">
        <x:v>Atta 10kg</x:v>
      </x:c>
      <x:c r="J4414" t="str">
        <x:v>Flour</x:v>
      </x:c>
      <x:c r="K4414" t="str">
        <x:v>Aashirvaad</x:v>
      </x:c>
      <x:c r="L4414" s="22" t="n">
        <x:v>560</x:v>
      </x:c>
      <x:c r="M4414" t="n">
        <x:v>40</x:v>
      </x:c>
      <x:c r="N4414" s="24" t="n">
        <x:v>0</x:v>
      </x:c>
      <x:c r="O4414" s="22" t="n">
        <x:f>L4414*M4414</x:f>
        <x:v>22400</x:v>
      </x:c>
      <x:c r="P4414" s="22" t="n">
        <x:f>O4414*(1-N4414)</x:f>
        <x:v>22400</x:v>
      </x:c>
      <x:c r="Q4414" s="22" t="n">
        <x:v>495</x:v>
      </x:c>
      <x:c r="R4414" s="22" t="n">
        <x:f>Q4414*M4414</x:f>
        <x:v>19800</x:v>
      </x:c>
      <x:c r="S4414" s="22" t="n">
        <x:f>P4414-R4414</x:f>
        <x:v>2600</x:v>
      </x:c>
      <x:c r="T4414" t="str">
        <x:v>Bank Transfer</x:v>
      </x:c>
      <x:c r="U4414" t="str">
        <x:v>Overdue</x:v>
      </x:c>
      <x:c r="V4414" t="str">
        <x:v>Delivered</x:v>
      </x:c>
      <x:c r="W4414" t="n">
        <x:v>0</x:v>
      </x:c>
      <x:c r="X4414" t="str"/>
      <x:c r="Y4414" t="str">
        <x:v>WhatsApp</x:v>
      </x:c>
    </x:row>
    <x:row r="4415">
      <x:c r="A4415" t="str">
        <x:v>O004414</x:v>
      </x:c>
      <x:c r="B4415" s="20" t="n">
        <x:v>45969</x:v>
      </x:c>
      <x:c r="C4415" t="str">
        <x:v>C0239</x:v>
      </x:c>
      <x:c r="D4415" t="str">
        <x:v>Royal Hotel 239</x:v>
      </x:c>
      <x:c r="E4415" t="str">
        <x:v>Restaurant</x:v>
      </x:c>
      <x:c r="F4415" t="str">
        <x:v>Hubballi</x:v>
      </x:c>
      <x:c r="G4415" t="str">
        <x:v>Priya</x:v>
      </x:c>
      <x:c r="H4415" t="str">
        <x:v>P031</x:v>
      </x:c>
      <x:c r="I4415" t="str">
        <x:v>Chilli Sauce 700g</x:v>
      </x:c>
      <x:c r="J4415" t="str">
        <x:v>Condiments</x:v>
      </x:c>
      <x:c r="K4415" t="str">
        <x:v>Ching's</x:v>
      </x:c>
      <x:c r="L4415" s="22" t="n">
        <x:v>130</x:v>
      </x:c>
      <x:c r="M4415" t="n">
        <x:v>26</x:v>
      </x:c>
      <x:c r="N4415" s="24" t="n">
        <x:v>0.05</x:v>
      </x:c>
      <x:c r="O4415" s="22" t="n">
        <x:f>L4415*M4415</x:f>
        <x:v>3380</x:v>
      </x:c>
      <x:c r="P4415" s="22" t="n">
        <x:f>O4415*(1-N4415)</x:f>
        <x:v>3211</x:v>
      </x:c>
      <x:c r="Q4415" s="22" t="n">
        <x:v>112</x:v>
      </x:c>
      <x:c r="R4415" s="22" t="n">
        <x:f>Q4415*M4415</x:f>
        <x:v>2912</x:v>
      </x:c>
      <x:c r="S4415" s="22" t="n">
        <x:f>P4415-R4415</x:f>
        <x:v>299</x:v>
      </x:c>
      <x:c r="T4415" t="str">
        <x:v>UPI</x:v>
      </x:c>
      <x:c r="U4415" t="str">
        <x:v>Pending</x:v>
      </x:c>
      <x:c r="V4415" t="str">
        <x:v>Delivered</x:v>
      </x:c>
      <x:c r="W4415" t="n">
        <x:v>0</x:v>
      </x:c>
      <x:c r="X4415" t="str"/>
      <x:c r="Y4415" t="str">
        <x:v>Outbound Call</x:v>
      </x:c>
    </x:row>
    <x:row r="4416">
      <x:c r="A4416" t="str">
        <x:v>O004415</x:v>
      </x:c>
      <x:c r="B4416" s="20" t="n">
        <x:v>46074</x:v>
      </x:c>
      <x:c r="C4416" t="str">
        <x:v>C0047</x:v>
      </x:c>
      <x:c r="D4416" t="str">
        <x:v>Shree Restaurant 47</x:v>
      </x:c>
      <x:c r="E4416" t="str">
        <x:v>Canteen</x:v>
      </x:c>
      <x:c r="F4416" t="str">
        <x:v>Davanagere</x:v>
      </x:c>
      <x:c r="G4416" t="str">
        <x:v>Arjun</x:v>
      </x:c>
      <x:c r="H4416" t="str">
        <x:v>P027</x:v>
      </x:c>
      <x:c r="I4416" t="str">
        <x:v>Biscuits 120g</x:v>
      </x:c>
      <x:c r="J4416" t="str">
        <x:v>Snacks</x:v>
      </x:c>
      <x:c r="K4416" t="str">
        <x:v>Parle-G</x:v>
      </x:c>
      <x:c r="L4416" s="22" t="n">
        <x:v>12</x:v>
      </x:c>
      <x:c r="M4416" t="n">
        <x:v>29</x:v>
      </x:c>
      <x:c r="N4416" s="24" t="n">
        <x:v>0.05</x:v>
      </x:c>
      <x:c r="O4416" s="22" t="n">
        <x:f>L4416*M4416</x:f>
        <x:v>348</x:v>
      </x:c>
      <x:c r="P4416" s="22" t="n">
        <x:f>O4416*(1-N4416)</x:f>
        <x:v>330.59999999999997</x:v>
      </x:c>
      <x:c r="Q4416" s="22" t="n">
        <x:v>9</x:v>
      </x:c>
      <x:c r="R4416" s="22" t="n">
        <x:f>Q4416*M4416</x:f>
        <x:v>261</x:v>
      </x:c>
      <x:c r="S4416" s="22" t="n">
        <x:f>P4416-R4416</x:f>
        <x:v>69.59999999999997</x:v>
      </x:c>
      <x:c r="T4416" t="str">
        <x:v>Credit</x:v>
      </x:c>
      <x:c r="U4416" t="str">
        <x:v>Paid</x:v>
      </x:c>
      <x:c r="V4416" t="str">
        <x:v>Delivered</x:v>
      </x:c>
      <x:c r="W4416" t="n">
        <x:v>0</x:v>
      </x:c>
      <x:c r="X4416" t="str"/>
      <x:c r="Y4416" t="str">
        <x:v>Existing Customer</x:v>
      </x:c>
    </x:row>
    <x:row r="4417">
      <x:c r="A4417" t="str">
        <x:v>O004416</x:v>
      </x:c>
      <x:c r="B4417" s="20" t="n">
        <x:v>45780</x:v>
      </x:c>
      <x:c r="C4417" t="str">
        <x:v>C0203</x:v>
      </x:c>
      <x:c r="D4417" t="str">
        <x:v>Namma Mart 203</x:v>
      </x:c>
      <x:c r="E4417" t="str">
        <x:v>Kirana</x:v>
      </x:c>
      <x:c r="F4417" t="str">
        <x:v>Tumakuru</x:v>
      </x:c>
      <x:c r="G4417" t="str">
        <x:v>Priya</x:v>
      </x:c>
      <x:c r="H4417" t="str">
        <x:v>P035</x:v>
      </x:c>
      <x:c r="I4417" t="str">
        <x:v>Coriander Powder 1kg</x:v>
      </x:c>
      <x:c r="J4417" t="str">
        <x:v>Spices</x:v>
      </x:c>
      <x:c r="K4417" t="str">
        <x:v>Everest</x:v>
      </x:c>
      <x:c r="L4417" s="22" t="n">
        <x:v>280</x:v>
      </x:c>
      <x:c r="M4417" t="n">
        <x:v>16</x:v>
      </x:c>
      <x:c r="N4417" s="24" t="n">
        <x:v>0</x:v>
      </x:c>
      <x:c r="O4417" s="22" t="n">
        <x:f>L4417*M4417</x:f>
        <x:v>4480</x:v>
      </x:c>
      <x:c r="P4417" s="22" t="n">
        <x:f>O4417*(1-N4417)</x:f>
        <x:v>4480</x:v>
      </x:c>
      <x:c r="Q4417" s="22" t="n">
        <x:v>245</x:v>
      </x:c>
      <x:c r="R4417" s="22" t="n">
        <x:f>Q4417*M4417</x:f>
        <x:v>3920</x:v>
      </x:c>
      <x:c r="S4417" s="22" t="n">
        <x:f>P4417-R4417</x:f>
        <x:v>560</x:v>
      </x:c>
      <x:c r="T4417" t="str">
        <x:v>Bank Transfer</x:v>
      </x:c>
      <x:c r="U4417" t="str">
        <x:v>Paid</x:v>
      </x:c>
      <x:c r="V4417" t="str">
        <x:v>Delivered</x:v>
      </x:c>
      <x:c r="W4417" t="n">
        <x:v>0</x:v>
      </x:c>
      <x:c r="X4417" t="str"/>
      <x:c r="Y4417" t="str">
        <x:v>Existing Customer</x:v>
      </x:c>
    </x:row>
    <x:row r="4418">
      <x:c r="A4418" t="str">
        <x:v>O004417</x:v>
      </x:c>
      <x:c r="B4418" s="20" t="n">
        <x:v>46282</x:v>
      </x:c>
      <x:c r="C4418" t="str">
        <x:v>C0078</x:v>
      </x:c>
      <x:c r="D4418" t="str">
        <x:v>Sagar Canteen 78</x:v>
      </x:c>
      <x:c r="E4418" t="str">
        <x:v>Hotel</x:v>
      </x:c>
      <x:c r="F4418" t="str">
        <x:v>Mangaluru</x:v>
      </x:c>
      <x:c r="G4418" t="str">
        <x:v>Ramesh</x:v>
      </x:c>
      <x:c r="H4418" t="str">
        <x:v>P002</x:v>
      </x:c>
      <x:c r="I4418" t="str">
        <x:v>Sona Masoori Rice 25kg</x:v>
      </x:c>
      <x:c r="J4418" t="str">
        <x:v>Staples</x:v>
      </x:c>
      <x:c r="K4418" t="str">
        <x:v>Fortune</x:v>
      </x:c>
      <x:c r="L4418" s="22" t="n">
        <x:v>1320</x:v>
      </x:c>
      <x:c r="M4418" t="n">
        <x:v>7</x:v>
      </x:c>
      <x:c r="N4418" s="24" t="n">
        <x:v>0.02</x:v>
      </x:c>
      <x:c r="O4418" s="22" t="n">
        <x:f>L4418*M4418</x:f>
        <x:v>9240</x:v>
      </x:c>
      <x:c r="P4418" s="22" t="n">
        <x:f>O4418*(1-N4418)</x:f>
        <x:v>9055.2</x:v>
      </x:c>
      <x:c r="Q4418" s="22" t="n">
        <x:v>1160</x:v>
      </x:c>
      <x:c r="R4418" s="22" t="n">
        <x:f>Q4418*M4418</x:f>
        <x:v>8120</x:v>
      </x:c>
      <x:c r="S4418" s="22" t="n">
        <x:f>P4418-R4418</x:f>
        <x:v>935.2000000000007</x:v>
      </x:c>
      <x:c r="T4418" t="str">
        <x:v>Cash</x:v>
      </x:c>
      <x:c r="U4418" t="str">
        <x:v>Paid</x:v>
      </x:c>
      <x:c r="V4418" t="str">
        <x:v>Delivered</x:v>
      </x:c>
      <x:c r="W4418" t="n">
        <x:v>3</x:v>
      </x:c>
      <x:c r="X4418" t="str">
        <x:v>Wrong Item</x:v>
      </x:c>
      <x:c r="Y4418" t="str">
        <x:v>WhatsApp</x:v>
      </x:c>
    </x:row>
    <x:row r="4419">
      <x:c r="A4419" t="str">
        <x:v>O004418</x:v>
      </x:c>
      <x:c r="B4419" s="20" t="n">
        <x:v>45920</x:v>
      </x:c>
      <x:c r="C4419" t="str">
        <x:v>C0247</x:v>
      </x:c>
      <x:c r="D4419" t="str">
        <x:v>Fresh Canteen 247</x:v>
      </x:c>
      <x:c r="E4419" t="str">
        <x:v>Restaurant</x:v>
      </x:c>
      <x:c r="F4419" t="str">
        <x:v>Hubballi</x:v>
      </x:c>
      <x:c r="G4419" t="str">
        <x:v>Kavya</x:v>
      </x:c>
      <x:c r="H4419" t="str">
        <x:v>P016</x:v>
      </x:c>
      <x:c r="I4419" t="str">
        <x:v>Curd 1kg</x:v>
      </x:c>
      <x:c r="J4419" t="str">
        <x:v>Dairy</x:v>
      </x:c>
      <x:c r="K4419" t="str">
        <x:v>Nandini</x:v>
      </x:c>
      <x:c r="L4419" s="22" t="n">
        <x:v>72</x:v>
      </x:c>
      <x:c r="M4419" t="n">
        <x:v>37</x:v>
      </x:c>
      <x:c r="N4419" s="24" t="n">
        <x:v>0.05</x:v>
      </x:c>
      <x:c r="O4419" s="22" t="n">
        <x:f>L4419*M4419</x:f>
        <x:v>2664</x:v>
      </x:c>
      <x:c r="P4419" s="22" t="n">
        <x:f>O4419*(1-N4419)</x:f>
        <x:v>2530.7999999999997</x:v>
      </x:c>
      <x:c r="Q4419" s="22" t="n">
        <x:v>64</x:v>
      </x:c>
      <x:c r="R4419" s="22" t="n">
        <x:f>Q4419*M4419</x:f>
        <x:v>2368</x:v>
      </x:c>
      <x:c r="S4419" s="22" t="n">
        <x:f>P4419-R4419</x:f>
        <x:v>162.79999999999973</x:v>
      </x:c>
      <x:c r="T4419" t="str">
        <x:v>Cash</x:v>
      </x:c>
      <x:c r="U4419" t="str">
        <x:v>Paid</x:v>
      </x:c>
      <x:c r="V4419" t="str">
        <x:v>Delivered</x:v>
      </x:c>
      <x:c r="W4419" t="n">
        <x:v>0</x:v>
      </x:c>
      <x:c r="X4419" t="str"/>
      <x:c r="Y4419" t="str">
        <x:v>WhatsApp</x:v>
      </x:c>
    </x:row>
    <x:row r="4420">
      <x:c r="A4420" t="str">
        <x:v>O004419</x:v>
      </x:c>
      <x:c r="B4420" s="20" t="n">
        <x:v>45690</x:v>
      </x:c>
      <x:c r="C4420" t="str">
        <x:v>C0232</x:v>
      </x:c>
      <x:c r="D4420" t="str">
        <x:v>Grand Mart 232</x:v>
      </x:c>
      <x:c r="E4420" t="str">
        <x:v>Cafe</x:v>
      </x:c>
      <x:c r="F4420" t="str">
        <x:v>Davanagere</x:v>
      </x:c>
      <x:c r="G4420" t="str">
        <x:v>Kavya</x:v>
      </x:c>
      <x:c r="H4420" t="str">
        <x:v>P035</x:v>
      </x:c>
      <x:c r="I4420" t="str">
        <x:v>Coriander Powder 1kg</x:v>
      </x:c>
      <x:c r="J4420" t="str">
        <x:v>Spices</x:v>
      </x:c>
      <x:c r="K4420" t="str">
        <x:v>Everest</x:v>
      </x:c>
      <x:c r="L4420" s="22" t="n">
        <x:v>280</x:v>
      </x:c>
      <x:c r="M4420" t="n">
        <x:v>5</x:v>
      </x:c>
      <x:c r="N4420" s="24" t="n">
        <x:v>0.05</x:v>
      </x:c>
      <x:c r="O4420" s="22" t="n">
        <x:f>L4420*M4420</x:f>
        <x:v>1400</x:v>
      </x:c>
      <x:c r="P4420" s="22" t="n">
        <x:f>O4420*(1-N4420)</x:f>
        <x:v>1330</x:v>
      </x:c>
      <x:c r="Q4420" s="22" t="n">
        <x:v>245</x:v>
      </x:c>
      <x:c r="R4420" s="22" t="n">
        <x:f>Q4420*M4420</x:f>
        <x:v>1225</x:v>
      </x:c>
      <x:c r="S4420" s="22" t="n">
        <x:f>P4420-R4420</x:f>
        <x:v>105</x:v>
      </x:c>
      <x:c r="T4420" t="str">
        <x:v>Bank Transfer</x:v>
      </x:c>
      <x:c r="U4420" t="str">
        <x:v>Pending</x:v>
      </x:c>
      <x:c r="V4420" t="str">
        <x:v>Delayed</x:v>
      </x:c>
      <x:c r="W4420" t="n">
        <x:v>0</x:v>
      </x:c>
      <x:c r="X4420" t="str"/>
      <x:c r="Y4420" t="str">
        <x:v>Referral</x:v>
      </x:c>
    </x:row>
    <x:row r="4421">
      <x:c r="A4421" t="str">
        <x:v>O004420</x:v>
      </x:c>
      <x:c r="B4421" s="20" t="n">
        <x:v>46261</x:v>
      </x:c>
      <x:c r="C4421" t="str">
        <x:v>C0235</x:v>
      </x:c>
      <x:c r="D4421" t="str">
        <x:v>Darshini Canteen 235</x:v>
      </x:c>
      <x:c r="E4421" t="str">
        <x:v>Hotel</x:v>
      </x:c>
      <x:c r="F4421" t="str">
        <x:v>Mangaluru</x:v>
      </x:c>
      <x:c r="G4421" t="str">
        <x:v>Arjun</x:v>
      </x:c>
      <x:c r="H4421" t="str">
        <x:v>P002</x:v>
      </x:c>
      <x:c r="I4421" t="str">
        <x:v>Sona Masoori Rice 25kg</x:v>
      </x:c>
      <x:c r="J4421" t="str">
        <x:v>Staples</x:v>
      </x:c>
      <x:c r="K4421" t="str">
        <x:v>Fortune</x:v>
      </x:c>
      <x:c r="L4421" s="22" t="n">
        <x:v>1320</x:v>
      </x:c>
      <x:c r="M4421" t="n">
        <x:v>1</x:v>
      </x:c>
      <x:c r="N4421" s="24" t="n">
        <x:v>0.02</x:v>
      </x:c>
      <x:c r="O4421" s="22" t="n">
        <x:f>L4421*M4421</x:f>
        <x:v>1320</x:v>
      </x:c>
      <x:c r="P4421" s="22" t="n">
        <x:f>O4421*(1-N4421)</x:f>
        <x:v>1293.6</x:v>
      </x:c>
      <x:c r="Q4421" s="22" t="n">
        <x:v>1160</x:v>
      </x:c>
      <x:c r="R4421" s="22" t="n">
        <x:f>Q4421*M4421</x:f>
        <x:v>1160</x:v>
      </x:c>
      <x:c r="S4421" s="22" t="n">
        <x:f>P4421-R4421</x:f>
        <x:v>133.5999999999999</x:v>
      </x:c>
      <x:c r="T4421" t="str">
        <x:v>Credit</x:v>
      </x:c>
      <x:c r="U4421" t="str">
        <x:v>Paid</x:v>
      </x:c>
      <x:c r="V4421" t="str">
        <x:v>Delivered</x:v>
      </x:c>
      <x:c r="W4421" t="n">
        <x:v>0</x:v>
      </x:c>
      <x:c r="X4421" t="str"/>
      <x:c r="Y4421" t="str">
        <x:v>WhatsApp</x:v>
      </x:c>
    </x:row>
    <x:row r="4422">
      <x:c r="A4422" t="str">
        <x:v>O004421</x:v>
      </x:c>
      <x:c r="B4422" s="20" t="n">
        <x:v>46271</x:v>
      </x:c>
      <x:c r="C4422" t="str">
        <x:v>C0159</x:v>
      </x:c>
      <x:c r="D4422" t="str">
        <x:v>Darshini Foods 159</x:v>
      </x:c>
      <x:c r="E4422" t="str">
        <x:v>Canteen</x:v>
      </x:c>
      <x:c r="F4422" t="str">
        <x:v>Tumakuru</x:v>
      </x:c>
      <x:c r="G4422" t="str">
        <x:v>Kavya</x:v>
      </x:c>
      <x:c r="H4422" t="str">
        <x:v>P027</x:v>
      </x:c>
      <x:c r="I4422" t="str">
        <x:v>Biscuits 120g</x:v>
      </x:c>
      <x:c r="J4422" t="str">
        <x:v>Snacks</x:v>
      </x:c>
      <x:c r="K4422" t="str">
        <x:v>Parle-G</x:v>
      </x:c>
      <x:c r="L4422" s="22" t="n">
        <x:v>12</x:v>
      </x:c>
      <x:c r="M4422" t="n">
        <x:v>3</x:v>
      </x:c>
      <x:c r="N4422" s="24" t="n">
        <x:v>0</x:v>
      </x:c>
      <x:c r="O4422" s="22" t="n">
        <x:f>L4422*M4422</x:f>
        <x:v>36</x:v>
      </x:c>
      <x:c r="P4422" s="22" t="n">
        <x:f>O4422*(1-N4422)</x:f>
        <x:v>36</x:v>
      </x:c>
      <x:c r="Q4422" s="22" t="n">
        <x:v>9</x:v>
      </x:c>
      <x:c r="R4422" s="22" t="n">
        <x:f>Q4422*M4422</x:f>
        <x:v>27</x:v>
      </x:c>
      <x:c r="S4422" s="22" t="n">
        <x:f>P4422-R4422</x:f>
        <x:v>9</x:v>
      </x:c>
      <x:c r="T4422" t="str">
        <x:v>UPI</x:v>
      </x:c>
      <x:c r="U4422" t="str">
        <x:v>Paid</x:v>
      </x:c>
      <x:c r="V4422" t="str">
        <x:v>Delivered</x:v>
      </x:c>
      <x:c r="W4422" t="n">
        <x:v>0</x:v>
      </x:c>
      <x:c r="X4422" t="str"/>
      <x:c r="Y4422" t="str">
        <x:v>Field Visit</x:v>
      </x:c>
    </x:row>
    <x:row r="4423">
      <x:c r="A4423" t="str">
        <x:v>O004422</x:v>
      </x:c>
      <x:c r="B4423" s="20" t="n">
        <x:v>45936</x:v>
      </x:c>
      <x:c r="C4423" t="str">
        <x:v>C0077</x:v>
      </x:c>
      <x:c r="D4423" t="str">
        <x:v>Spice Cafe 77</x:v>
      </x:c>
      <x:c r="E4423" t="str">
        <x:v>Kirana</x:v>
      </x:c>
      <x:c r="F4423" t="str">
        <x:v>Hubballi</x:v>
      </x:c>
      <x:c r="G4423" t="str">
        <x:v>Vikram</x:v>
      </x:c>
      <x:c r="H4423" t="str">
        <x:v>P001</x:v>
      </x:c>
      <x:c r="I4423" t="str">
        <x:v>Steam Rice 25kg</x:v>
      </x:c>
      <x:c r="J4423" t="str">
        <x:v>Staples</x:v>
      </x:c>
      <x:c r="K4423" t="str">
        <x:v>Aishwarya</x:v>
      </x:c>
      <x:c r="L4423" s="22" t="n">
        <x:v>1180</x:v>
      </x:c>
      <x:c r="M4423" t="n">
        <x:v>6</x:v>
      </x:c>
      <x:c r="N4423" s="24" t="n">
        <x:v>0.05</x:v>
      </x:c>
      <x:c r="O4423" s="22" t="n">
        <x:f>L4423*M4423</x:f>
        <x:v>7080</x:v>
      </x:c>
      <x:c r="P4423" s="22" t="n">
        <x:f>O4423*(1-N4423)</x:f>
        <x:v>6726</x:v>
      </x:c>
      <x:c r="Q4423" s="22" t="n">
        <x:v>1040</x:v>
      </x:c>
      <x:c r="R4423" s="22" t="n">
        <x:f>Q4423*M4423</x:f>
        <x:v>6240</x:v>
      </x:c>
      <x:c r="S4423" s="22" t="n">
        <x:f>P4423-R4423</x:f>
        <x:v>486</x:v>
      </x:c>
      <x:c r="T4423" t="str">
        <x:v>Cash</x:v>
      </x:c>
      <x:c r="U4423" t="str">
        <x:v>Paid</x:v>
      </x:c>
      <x:c r="V4423" t="str">
        <x:v>Delivered</x:v>
      </x:c>
      <x:c r="W4423" t="n">
        <x:v>0</x:v>
      </x:c>
      <x:c r="X4423" t="str"/>
      <x:c r="Y4423" t="str">
        <x:v>Referral</x:v>
      </x:c>
    </x:row>
    <x:row r="4424">
      <x:c r="A4424" t="str">
        <x:v>O004423</x:v>
      </x:c>
      <x:c r="B4424" s="20" t="n">
        <x:v>45753</x:v>
      </x:c>
      <x:c r="C4424" t="str">
        <x:v>C0133</x:v>
      </x:c>
      <x:c r="D4424" t="str">
        <x:v>Metro Foods 133</x:v>
      </x:c>
      <x:c r="E4424" t="str">
        <x:v>Cafe</x:v>
      </x:c>
      <x:c r="F4424" t="str">
        <x:v>Bengaluru</x:v>
      </x:c>
      <x:c r="G4424" t="str">
        <x:v>Ramesh</x:v>
      </x:c>
      <x:c r="H4424" t="str">
        <x:v>P027</x:v>
      </x:c>
      <x:c r="I4424" t="str">
        <x:v>Biscuits 120g</x:v>
      </x:c>
      <x:c r="J4424" t="str">
        <x:v>Snacks</x:v>
      </x:c>
      <x:c r="K4424" t="str">
        <x:v>Parle-G</x:v>
      </x:c>
      <x:c r="L4424" s="22" t="n">
        <x:v>12</x:v>
      </x:c>
      <x:c r="M4424" t="n">
        <x:v>12</x:v>
      </x:c>
      <x:c r="N4424" s="24" t="n">
        <x:v>0.03</x:v>
      </x:c>
      <x:c r="O4424" s="22" t="n">
        <x:f>L4424*M4424</x:f>
        <x:v>144</x:v>
      </x:c>
      <x:c r="P4424" s="22" t="n">
        <x:f>O4424*(1-N4424)</x:f>
        <x:v>139.68</x:v>
      </x:c>
      <x:c r="Q4424" s="22" t="n">
        <x:v>9</x:v>
      </x:c>
      <x:c r="R4424" s="22" t="n">
        <x:f>Q4424*M4424</x:f>
        <x:v>108</x:v>
      </x:c>
      <x:c r="S4424" s="22" t="n">
        <x:f>P4424-R4424</x:f>
        <x:v>31.680000000000007</x:v>
      </x:c>
      <x:c r="T4424" t="str">
        <x:v>Bank Transfer</x:v>
      </x:c>
      <x:c r="U4424" t="str">
        <x:v>Pending</x:v>
      </x:c>
      <x:c r="V4424" t="str">
        <x:v>Delivered</x:v>
      </x:c>
      <x:c r="W4424" t="n">
        <x:v>0</x:v>
      </x:c>
      <x:c r="X4424" t="str"/>
      <x:c r="Y4424" t="str">
        <x:v>Field Visit</x:v>
      </x:c>
    </x:row>
    <x:row r="4425">
      <x:c r="A4425" t="str">
        <x:v>O004424</x:v>
      </x:c>
      <x:c r="B4425" s="20" t="n">
        <x:v>45976</x:v>
      </x:c>
      <x:c r="C4425" t="str">
        <x:v>C0216</x:v>
      </x:c>
      <x:c r="D4425" t="str">
        <x:v>Cafe Restaurant 216</x:v>
      </x:c>
      <x:c r="E4425" t="str">
        <x:v>Canteen</x:v>
      </x:c>
      <x:c r="F4425" t="str">
        <x:v>Bengaluru</x:v>
      </x:c>
      <x:c r="G4425" t="str">
        <x:v>Vikram</x:v>
      </x:c>
      <x:c r="H4425" t="str">
        <x:v>P040</x:v>
      </x:c>
      <x:c r="I4425" t="str">
        <x:v>Bread Loaf 400g</x:v>
      </x:c>
      <x:c r="J4425" t="str">
        <x:v>Bakery</x:v>
      </x:c>
      <x:c r="K4425" t="str">
        <x:v>Britannia</x:v>
      </x:c>
      <x:c r="L4425" s="22" t="n">
        <x:v>45</x:v>
      </x:c>
      <x:c r="M4425" t="n">
        <x:v>10</x:v>
      </x:c>
      <x:c r="N4425" s="24" t="n">
        <x:v>0</x:v>
      </x:c>
      <x:c r="O4425" s="22" t="n">
        <x:f>L4425*M4425</x:f>
        <x:v>450</x:v>
      </x:c>
      <x:c r="P4425" s="22" t="n">
        <x:f>O4425*(1-N4425)</x:f>
        <x:v>450</x:v>
      </x:c>
      <x:c r="Q4425" s="22" t="n">
        <x:v>35</x:v>
      </x:c>
      <x:c r="R4425" s="22" t="n">
        <x:f>Q4425*M4425</x:f>
        <x:v>350</x:v>
      </x:c>
      <x:c r="S4425" s="22" t="n">
        <x:f>P4425-R4425</x:f>
        <x:v>100</x:v>
      </x:c>
      <x:c r="T4425" t="str">
        <x:v>Cash</x:v>
      </x:c>
      <x:c r="U4425" t="str">
        <x:v>Paid</x:v>
      </x:c>
      <x:c r="V4425" t="str">
        <x:v>Delivered</x:v>
      </x:c>
      <x:c r="W4425" t="n">
        <x:v>0</x:v>
      </x:c>
      <x:c r="X4425" t="str"/>
      <x:c r="Y4425" t="str">
        <x:v>WhatsApp</x:v>
      </x:c>
    </x:row>
    <x:row r="4426">
      <x:c r="A4426" t="str">
        <x:v>O004425</x:v>
      </x:c>
      <x:c r="B4426" s="20" t="n">
        <x:v>45837</x:v>
      </x:c>
      <x:c r="C4426" t="str">
        <x:v>C0223</x:v>
      </x:c>
      <x:c r="D4426" t="str">
        <x:v>Classic Canteen 223</x:v>
      </x:c>
      <x:c r="E4426" t="str">
        <x:v>Restaurant</x:v>
      </x:c>
      <x:c r="F4426" t="str">
        <x:v>Tumakuru</x:v>
      </x:c>
      <x:c r="G4426" t="str">
        <x:v>Kavya</x:v>
      </x:c>
      <x:c r="H4426" t="str">
        <x:v>P046</x:v>
      </x:c>
      <x:c r="I4426" t="str">
        <x:v>Potato 25kg</x:v>
      </x:c>
      <x:c r="J4426" t="str">
        <x:v>Fresh Produce</x:v>
      </x:c>
      <x:c r="K4426" t="str">
        <x:v>Local Market</x:v>
      </x:c>
      <x:c r="L4426" s="22" t="n">
        <x:v>700</x:v>
      </x:c>
      <x:c r="M4426" t="n">
        <x:v>37</x:v>
      </x:c>
      <x:c r="N4426" s="24" t="n">
        <x:v>0.05</x:v>
      </x:c>
      <x:c r="O4426" s="22" t="n">
        <x:f>L4426*M4426</x:f>
        <x:v>25900</x:v>
      </x:c>
      <x:c r="P4426" s="22" t="n">
        <x:f>O4426*(1-N4426)</x:f>
        <x:v>24605</x:v>
      </x:c>
      <x:c r="Q4426" s="22" t="n">
        <x:v>610</x:v>
      </x:c>
      <x:c r="R4426" s="22" t="n">
        <x:f>Q4426*M4426</x:f>
        <x:v>22570</x:v>
      </x:c>
      <x:c r="S4426" s="22" t="n">
        <x:f>P4426-R4426</x:f>
        <x:v>2035</x:v>
      </x:c>
      <x:c r="T4426" t="str">
        <x:v>Cash</x:v>
      </x:c>
      <x:c r="U4426" t="str">
        <x:v>Paid</x:v>
      </x:c>
      <x:c r="V4426" t="str">
        <x:v>Delivered</x:v>
      </x:c>
      <x:c r="W4426" t="n">
        <x:v>0</x:v>
      </x:c>
      <x:c r="X4426" t="str"/>
      <x:c r="Y4426" t="str">
        <x:v>Outbound Call</x:v>
      </x:c>
    </x:row>
    <x:row r="4427">
      <x:c r="A4427" t="str">
        <x:v>O004426</x:v>
      </x:c>
      <x:c r="B4427" s="20" t="n">
        <x:v>45722</x:v>
      </x:c>
      <x:c r="C4427" t="str">
        <x:v>C0137</x:v>
      </x:c>
      <x:c r="D4427" t="str">
        <x:v>Green Restaurant 137</x:v>
      </x:c>
      <x:c r="E4427" t="str">
        <x:v>Canteen</x:v>
      </x:c>
      <x:c r="F4427" t="str">
        <x:v>Mangaluru</x:v>
      </x:c>
      <x:c r="G4427" t="str">
        <x:v>Arjun</x:v>
      </x:c>
      <x:c r="H4427" t="str">
        <x:v>P020</x:v>
      </x:c>
      <x:c r="I4427" t="str">
        <x:v>Coffee 500g</x:v>
      </x:c>
      <x:c r="J4427" t="str">
        <x:v>Beverage</x:v>
      </x:c>
      <x:c r="K4427" t="str">
        <x:v>Bru</x:v>
      </x:c>
      <x:c r="L4427" s="22" t="n">
        <x:v>390</x:v>
      </x:c>
      <x:c r="M4427" t="n">
        <x:v>32</x:v>
      </x:c>
      <x:c r="N4427" s="24" t="n">
        <x:v>0.08</x:v>
      </x:c>
      <x:c r="O4427" s="22" t="n">
        <x:f>L4427*M4427</x:f>
        <x:v>12480</x:v>
      </x:c>
      <x:c r="P4427" s="22" t="n">
        <x:f>O4427*(1-N4427)</x:f>
        <x:v>11481.6</x:v>
      </x:c>
      <x:c r="Q4427" s="22" t="n">
        <x:v>350</x:v>
      </x:c>
      <x:c r="R4427" s="22" t="n">
        <x:f>Q4427*M4427</x:f>
        <x:v>11200</x:v>
      </x:c>
      <x:c r="S4427" s="22" t="n">
        <x:f>P4427-R4427</x:f>
        <x:v>281.60000000000036</x:v>
      </x:c>
      <x:c r="T4427" t="str">
        <x:v>Bank Transfer</x:v>
      </x:c>
      <x:c r="U4427" t="str">
        <x:v>Paid</x:v>
      </x:c>
      <x:c r="V4427" t="str">
        <x:v>Delivered</x:v>
      </x:c>
      <x:c r="W4427" t="n">
        <x:v>0</x:v>
      </x:c>
      <x:c r="X4427" t="str"/>
      <x:c r="Y4427" t="str">
        <x:v>Referral</x:v>
      </x:c>
    </x:row>
    <x:row r="4428">
      <x:c r="A4428" t="str">
        <x:v>O004427</x:v>
      </x:c>
      <x:c r="B4428" s="20" t="n">
        <x:v>46028</x:v>
      </x:c>
      <x:c r="C4428" t="str">
        <x:v>C0110</x:v>
      </x:c>
      <x:c r="D4428" t="str">
        <x:v>Metro Restaurant 110</x:v>
      </x:c>
      <x:c r="E4428" t="str">
        <x:v>Hotel</x:v>
      </x:c>
      <x:c r="F4428" t="str">
        <x:v>Mysuru</x:v>
      </x:c>
      <x:c r="G4428" t="str">
        <x:v>Imran</x:v>
      </x:c>
      <x:c r="H4428" t="str">
        <x:v>P024</x:v>
      </x:c>
      <x:c r="I4428" t="str">
        <x:v>Orange Drink 1L</x:v>
      </x:c>
      <x:c r="J4428" t="str">
        <x:v>Beverage</x:v>
      </x:c>
      <x:c r="K4428" t="str">
        <x:v>Minute Maid</x:v>
      </x:c>
      <x:c r="L4428" s="22" t="n">
        <x:v>105</x:v>
      </x:c>
      <x:c r="M4428" t="n">
        <x:v>19</x:v>
      </x:c>
      <x:c r="N4428" s="24" t="n">
        <x:v>0.03</x:v>
      </x:c>
      <x:c r="O4428" s="22" t="n">
        <x:f>L4428*M4428</x:f>
        <x:v>1995</x:v>
      </x:c>
      <x:c r="P4428" s="22" t="n">
        <x:f>O4428*(1-N4428)</x:f>
        <x:v>1935.1499999999999</x:v>
      </x:c>
      <x:c r="Q4428" s="22" t="n">
        <x:v>88</x:v>
      </x:c>
      <x:c r="R4428" s="22" t="n">
        <x:f>Q4428*M4428</x:f>
        <x:v>1672</x:v>
      </x:c>
      <x:c r="S4428" s="22" t="n">
        <x:f>P4428-R4428</x:f>
        <x:v>263.14999999999986</x:v>
      </x:c>
      <x:c r="T4428" t="str">
        <x:v>UPI</x:v>
      </x:c>
      <x:c r="U4428" t="str">
        <x:v>Paid</x:v>
      </x:c>
      <x:c r="V4428" t="str">
        <x:v>Cancelled</x:v>
      </x:c>
      <x:c r="W4428" t="n">
        <x:v>19</x:v>
      </x:c>
      <x:c r="X4428" t="str">
        <x:v>Cancelled Order</x:v>
      </x:c>
      <x:c r="Y4428" t="str">
        <x:v>Outbound Call</x:v>
      </x:c>
    </x:row>
    <x:row r="4429">
      <x:c r="A4429" t="str">
        <x:v>O004428</x:v>
      </x:c>
      <x:c r="B4429" s="20" t="n">
        <x:v>45945</x:v>
      </x:c>
      <x:c r="C4429" t="str">
        <x:v>C0195</x:v>
      </x:c>
      <x:c r="D4429" t="str">
        <x:v>Classic Stores 195</x:v>
      </x:c>
      <x:c r="E4429" t="str">
        <x:v>Canteen</x:v>
      </x:c>
      <x:c r="F4429" t="str">
        <x:v>Davanagere</x:v>
      </x:c>
      <x:c r="G4429" t="str">
        <x:v>Kavya</x:v>
      </x:c>
      <x:c r="H4429" t="str">
        <x:v>P035</x:v>
      </x:c>
      <x:c r="I4429" t="str">
        <x:v>Coriander Powder 1kg</x:v>
      </x:c>
      <x:c r="J4429" t="str">
        <x:v>Spices</x:v>
      </x:c>
      <x:c r="K4429" t="str">
        <x:v>Everest</x:v>
      </x:c>
      <x:c r="L4429" s="22" t="n">
        <x:v>280</x:v>
      </x:c>
      <x:c r="M4429" t="n">
        <x:v>27</x:v>
      </x:c>
      <x:c r="N4429" s="24" t="n">
        <x:v>0.03</x:v>
      </x:c>
      <x:c r="O4429" s="22" t="n">
        <x:f>L4429*M4429</x:f>
        <x:v>7560</x:v>
      </x:c>
      <x:c r="P4429" s="22" t="n">
        <x:f>O4429*(1-N4429)</x:f>
        <x:v>7333.2</x:v>
      </x:c>
      <x:c r="Q4429" s="22" t="n">
        <x:v>245</x:v>
      </x:c>
      <x:c r="R4429" s="22" t="n">
        <x:f>Q4429*M4429</x:f>
        <x:v>6615</x:v>
      </x:c>
      <x:c r="S4429" s="22" t="n">
        <x:f>P4429-R4429</x:f>
        <x:v>718.1999999999998</x:v>
      </x:c>
      <x:c r="T4429" t="str">
        <x:v>Bank Transfer</x:v>
      </x:c>
      <x:c r="U4429" t="str">
        <x:v>Paid</x:v>
      </x:c>
      <x:c r="V4429" t="str">
        <x:v>Delivered</x:v>
      </x:c>
      <x:c r="W4429" t="n">
        <x:v>0</x:v>
      </x:c>
      <x:c r="X4429" t="str"/>
      <x:c r="Y4429" t="str">
        <x:v>Outbound Call</x:v>
      </x:c>
    </x:row>
    <x:row r="4430">
      <x:c r="A4430" t="str">
        <x:v>O004429</x:v>
      </x:c>
      <x:c r="B4430" s="20" t="n">
        <x:v>46183</x:v>
      </x:c>
      <x:c r="C4430" t="str">
        <x:v>C0242</x:v>
      </x:c>
      <x:c r="D4430" t="str">
        <x:v>Fresh Cafe 242</x:v>
      </x:c>
      <x:c r="E4430" t="str">
        <x:v>Canteen</x:v>
      </x:c>
      <x:c r="F4430" t="str">
        <x:v>Davanagere</x:v>
      </x:c>
      <x:c r="G4430" t="str">
        <x:v>Kavya</x:v>
      </x:c>
      <x:c r="H4430" t="str">
        <x:v>P049</x:v>
      </x:c>
      <x:c r="I4430" t="str">
        <x:v>Apple 10kg</x:v>
      </x:c>
      <x:c r="J4430" t="str">
        <x:v>Fresh Produce</x:v>
      </x:c>
      <x:c r="K4430" t="str">
        <x:v>Local Market</x:v>
      </x:c>
      <x:c r="L4430" s="22" t="n">
        <x:v>1450</x:v>
      </x:c>
      <x:c r="M4430" t="n">
        <x:v>3</x:v>
      </x:c>
      <x:c r="N4430" s="24" t="n">
        <x:v>0.05</x:v>
      </x:c>
      <x:c r="O4430" s="22" t="n">
        <x:f>L4430*M4430</x:f>
        <x:v>4350</x:v>
      </x:c>
      <x:c r="P4430" s="22" t="n">
        <x:f>O4430*(1-N4430)</x:f>
        <x:v>4132.5</x:v>
      </x:c>
      <x:c r="Q4430" s="22" t="n">
        <x:v>1280</x:v>
      </x:c>
      <x:c r="R4430" s="22" t="n">
        <x:f>Q4430*M4430</x:f>
        <x:v>3840</x:v>
      </x:c>
      <x:c r="S4430" s="22" t="n">
        <x:f>P4430-R4430</x:f>
        <x:v>292.5</x:v>
      </x:c>
      <x:c r="T4430" t="str">
        <x:v>UPI</x:v>
      </x:c>
      <x:c r="U4430" t="str">
        <x:v>Pending</x:v>
      </x:c>
      <x:c r="V4430" t="str">
        <x:v>Cancelled</x:v>
      </x:c>
      <x:c r="W4430" t="n">
        <x:v>3</x:v>
      </x:c>
      <x:c r="X4430" t="str">
        <x:v>Cancelled Order</x:v>
      </x:c>
      <x:c r="Y4430" t="str">
        <x:v>Referral</x:v>
      </x:c>
    </x:row>
    <x:row r="4431">
      <x:c r="A4431" t="str">
        <x:v>O004430</x:v>
      </x:c>
      <x:c r="B4431" s="20" t="n">
        <x:v>45926</x:v>
      </x:c>
      <x:c r="C4431" t="str">
        <x:v>C0055</x:v>
      </x:c>
      <x:c r="D4431" t="str">
        <x:v>Royal Mart 55</x:v>
      </x:c>
      <x:c r="E4431" t="str">
        <x:v>Restaurant</x:v>
      </x:c>
      <x:c r="F4431" t="str">
        <x:v>Hubballi</x:v>
      </x:c>
      <x:c r="G4431" t="str">
        <x:v>Vikram</x:v>
      </x:c>
      <x:c r="H4431" t="str">
        <x:v>P022</x:v>
      </x:c>
      <x:c r="I4431" t="str">
        <x:v>Mineral Water 1L</x:v>
      </x:c>
      <x:c r="J4431" t="str">
        <x:v>Beverage</x:v>
      </x:c>
      <x:c r="K4431" t="str">
        <x:v>Bisleri</x:v>
      </x:c>
      <x:c r="L4431" s="22" t="n">
        <x:v>19</x:v>
      </x:c>
      <x:c r="M4431" t="n">
        <x:v>12</x:v>
      </x:c>
      <x:c r="N4431" s="24" t="n">
        <x:v>0.02</x:v>
      </x:c>
      <x:c r="O4431" s="22" t="n">
        <x:f>L4431*M4431</x:f>
        <x:v>228</x:v>
      </x:c>
      <x:c r="P4431" s="22" t="n">
        <x:f>O4431*(1-N4431)</x:f>
        <x:v>223.44</x:v>
      </x:c>
      <x:c r="Q4431" s="22" t="n">
        <x:v>15</x:v>
      </x:c>
      <x:c r="R4431" s="22" t="n">
        <x:f>Q4431*M4431</x:f>
        <x:v>180</x:v>
      </x:c>
      <x:c r="S4431" s="22" t="n">
        <x:f>P4431-R4431</x:f>
        <x:v>43.44</x:v>
      </x:c>
      <x:c r="T4431" t="str">
        <x:v>Credit</x:v>
      </x:c>
      <x:c r="U4431" t="str">
        <x:v>Paid</x:v>
      </x:c>
      <x:c r="V4431" t="str">
        <x:v>Delayed</x:v>
      </x:c>
      <x:c r="W4431" t="n">
        <x:v>0</x:v>
      </x:c>
      <x:c r="X4431" t="str"/>
      <x:c r="Y4431" t="str">
        <x:v>WhatsApp</x:v>
      </x:c>
    </x:row>
    <x:row r="4432">
      <x:c r="A4432" t="str">
        <x:v>O004431</x:v>
      </x:c>
      <x:c r="B4432" s="20" t="n">
        <x:v>46166</x:v>
      </x:c>
      <x:c r="C4432" t="str">
        <x:v>C0166</x:v>
      </x:c>
      <x:c r="D4432" t="str">
        <x:v>Mysore Foods 166</x:v>
      </x:c>
      <x:c r="E4432" t="str">
        <x:v>Cafe</x:v>
      </x:c>
      <x:c r="F4432" t="str">
        <x:v>Mangaluru</x:v>
      </x:c>
      <x:c r="G4432" t="str">
        <x:v>Arjun</x:v>
      </x:c>
      <x:c r="H4432" t="str">
        <x:v>P001</x:v>
      </x:c>
      <x:c r="I4432" t="str">
        <x:v>Steam Rice 25kg</x:v>
      </x:c>
      <x:c r="J4432" t="str">
        <x:v>Staples</x:v>
      </x:c>
      <x:c r="K4432" t="str">
        <x:v>Aishwarya</x:v>
      </x:c>
      <x:c r="L4432" s="22" t="n">
        <x:v>1180</x:v>
      </x:c>
      <x:c r="M4432" t="n">
        <x:v>2</x:v>
      </x:c>
      <x:c r="N4432" s="24" t="n">
        <x:v>0.05</x:v>
      </x:c>
      <x:c r="O4432" s="22" t="n">
        <x:f>L4432*M4432</x:f>
        <x:v>2360</x:v>
      </x:c>
      <x:c r="P4432" s="22" t="n">
        <x:f>O4432*(1-N4432)</x:f>
        <x:v>2242</x:v>
      </x:c>
      <x:c r="Q4432" s="22" t="n">
        <x:v>1040</x:v>
      </x:c>
      <x:c r="R4432" s="22" t="n">
        <x:f>Q4432*M4432</x:f>
        <x:v>2080</x:v>
      </x:c>
      <x:c r="S4432" s="22" t="n">
        <x:f>P4432-R4432</x:f>
        <x:v>162</x:v>
      </x:c>
      <x:c r="T4432" t="str">
        <x:v>Bank Transfer</x:v>
      </x:c>
      <x:c r="U4432" t="str">
        <x:v>Pending</x:v>
      </x:c>
      <x:c r="V4432" t="str">
        <x:v>Delayed</x:v>
      </x:c>
      <x:c r="W4432" t="n">
        <x:v>0</x:v>
      </x:c>
      <x:c r="X4432" t="str"/>
      <x:c r="Y4432" t="str">
        <x:v>Field Visit</x:v>
      </x:c>
    </x:row>
    <x:row r="4433">
      <x:c r="A4433" t="str">
        <x:v>O004432</x:v>
      </x:c>
      <x:c r="B4433" s="20" t="n">
        <x:v>45732</x:v>
      </x:c>
      <x:c r="C4433" t="str">
        <x:v>C0117</x:v>
      </x:c>
      <x:c r="D4433" t="str">
        <x:v>Classic Canteen 117</x:v>
      </x:c>
      <x:c r="E4433" t="str">
        <x:v>Restaurant</x:v>
      </x:c>
      <x:c r="F4433" t="str">
        <x:v>Hubballi</x:v>
      </x:c>
      <x:c r="G4433" t="str">
        <x:v>Megha</x:v>
      </x:c>
      <x:c r="H4433" t="str">
        <x:v>P022</x:v>
      </x:c>
      <x:c r="I4433" t="str">
        <x:v>Mineral Water 1L</x:v>
      </x:c>
      <x:c r="J4433" t="str">
        <x:v>Beverage</x:v>
      </x:c>
      <x:c r="K4433" t="str">
        <x:v>Bisleri</x:v>
      </x:c>
      <x:c r="L4433" s="22" t="n">
        <x:v>19</x:v>
      </x:c>
      <x:c r="M4433" t="n">
        <x:v>16</x:v>
      </x:c>
      <x:c r="N4433" s="24" t="n">
        <x:v>0.05</x:v>
      </x:c>
      <x:c r="O4433" s="22" t="n">
        <x:f>L4433*M4433</x:f>
        <x:v>304</x:v>
      </x:c>
      <x:c r="P4433" s="22" t="n">
        <x:f>O4433*(1-N4433)</x:f>
        <x:v>288.8</x:v>
      </x:c>
      <x:c r="Q4433" s="22" t="n">
        <x:v>15</x:v>
      </x:c>
      <x:c r="R4433" s="22" t="n">
        <x:f>Q4433*M4433</x:f>
        <x:v>240</x:v>
      </x:c>
      <x:c r="S4433" s="22" t="n">
        <x:f>P4433-R4433</x:f>
        <x:v>48.80000000000001</x:v>
      </x:c>
      <x:c r="T4433" t="str">
        <x:v>Cash</x:v>
      </x:c>
      <x:c r="U4433" t="str">
        <x:v>Pending</x:v>
      </x:c>
      <x:c r="V4433" t="str">
        <x:v>Delivered</x:v>
      </x:c>
      <x:c r="W4433" t="n">
        <x:v>0</x:v>
      </x:c>
      <x:c r="X4433" t="str"/>
      <x:c r="Y4433" t="str">
        <x:v>Existing Customer</x:v>
      </x:c>
    </x:row>
    <x:row r="4434">
      <x:c r="A4434" t="str">
        <x:v>O004433</x:v>
      </x:c>
      <x:c r="B4434" s="20" t="n">
        <x:v>45982</x:v>
      </x:c>
      <x:c r="C4434" t="str">
        <x:v>C0223</x:v>
      </x:c>
      <x:c r="D4434" t="str">
        <x:v>Classic Canteen 223</x:v>
      </x:c>
      <x:c r="E4434" t="str">
        <x:v>Restaurant</x:v>
      </x:c>
      <x:c r="F4434" t="str">
        <x:v>Tumakuru</x:v>
      </x:c>
      <x:c r="G4434" t="str">
        <x:v>Kavya</x:v>
      </x:c>
      <x:c r="H4434" t="str">
        <x:v>P048</x:v>
      </x:c>
      <x:c r="I4434" t="str">
        <x:v>Banana 10kg</x:v>
      </x:c>
      <x:c r="J4434" t="str">
        <x:v>Fresh Produce</x:v>
      </x:c>
      <x:c r="K4434" t="str">
        <x:v>Local Market</x:v>
      </x:c>
      <x:c r="L4434" s="22" t="n">
        <x:v>420</x:v>
      </x:c>
      <x:c r="M4434" t="n">
        <x:v>2</x:v>
      </x:c>
      <x:c r="N4434" s="24" t="n">
        <x:v>0.02</x:v>
      </x:c>
      <x:c r="O4434" s="22" t="n">
        <x:f>L4434*M4434</x:f>
        <x:v>840</x:v>
      </x:c>
      <x:c r="P4434" s="22" t="n">
        <x:f>O4434*(1-N4434)</x:f>
        <x:v>823.1999999999999</x:v>
      </x:c>
      <x:c r="Q4434" s="22" t="n">
        <x:v>350</x:v>
      </x:c>
      <x:c r="R4434" s="22" t="n">
        <x:f>Q4434*M4434</x:f>
        <x:v>700</x:v>
      </x:c>
      <x:c r="S4434" s="22" t="n">
        <x:f>P4434-R4434</x:f>
        <x:v>123.19999999999993</x:v>
      </x:c>
      <x:c r="T4434" t="str">
        <x:v>Bank Transfer</x:v>
      </x:c>
      <x:c r="U4434" t="str">
        <x:v>Paid</x:v>
      </x:c>
      <x:c r="V4434" t="str">
        <x:v>Delivered</x:v>
      </x:c>
      <x:c r="W4434" t="n">
        <x:v>0</x:v>
      </x:c>
      <x:c r="X4434" t="str"/>
      <x:c r="Y4434" t="str">
        <x:v>Field Visit</x:v>
      </x:c>
    </x:row>
    <x:row r="4435">
      <x:c r="A4435" t="str">
        <x:v>O004434</x:v>
      </x:c>
      <x:c r="B4435" s="20" t="n">
        <x:v>46017</x:v>
      </x:c>
      <x:c r="C4435" t="str">
        <x:v>C0107</x:v>
      </x:c>
      <x:c r="D4435" t="str">
        <x:v>Mysore Cafe 107</x:v>
      </x:c>
      <x:c r="E4435" t="str">
        <x:v>Supermarket</x:v>
      </x:c>
      <x:c r="F4435" t="str">
        <x:v>Tumakuru</x:v>
      </x:c>
      <x:c r="G4435" t="str">
        <x:v>Megha</x:v>
      </x:c>
      <x:c r="H4435" t="str">
        <x:v>P046</x:v>
      </x:c>
      <x:c r="I4435" t="str">
        <x:v>Potato 25kg</x:v>
      </x:c>
      <x:c r="J4435" t="str">
        <x:v>Fresh Produce</x:v>
      </x:c>
      <x:c r="K4435" t="str">
        <x:v>Local Market</x:v>
      </x:c>
      <x:c r="L4435" s="22" t="n">
        <x:v>700</x:v>
      </x:c>
      <x:c r="M4435" t="n">
        <x:v>5</x:v>
      </x:c>
      <x:c r="N4435" s="24" t="n">
        <x:v>0</x:v>
      </x:c>
      <x:c r="O4435" s="22" t="n">
        <x:f>L4435*M4435</x:f>
        <x:v>3500</x:v>
      </x:c>
      <x:c r="P4435" s="22" t="n">
        <x:f>O4435*(1-N4435)</x:f>
        <x:v>3500</x:v>
      </x:c>
      <x:c r="Q4435" s="22" t="n">
        <x:v>610</x:v>
      </x:c>
      <x:c r="R4435" s="22" t="n">
        <x:f>Q4435*M4435</x:f>
        <x:v>3050</x:v>
      </x:c>
      <x:c r="S4435" s="22" t="n">
        <x:f>P4435-R4435</x:f>
        <x:v>450</x:v>
      </x:c>
      <x:c r="T4435" t="str">
        <x:v>Credit</x:v>
      </x:c>
      <x:c r="U4435" t="str">
        <x:v>Paid</x:v>
      </x:c>
      <x:c r="V4435" t="str">
        <x:v>Cancelled</x:v>
      </x:c>
      <x:c r="W4435" t="n">
        <x:v>5</x:v>
      </x:c>
      <x:c r="X4435" t="str">
        <x:v>Cancelled Order</x:v>
      </x:c>
      <x:c r="Y4435" t="str">
        <x:v>WhatsApp</x:v>
      </x:c>
    </x:row>
    <x:row r="4436">
      <x:c r="A4436" t="str">
        <x:v>O004435</x:v>
      </x:c>
      <x:c r="B4436" s="20" t="n">
        <x:v>46015</x:v>
      </x:c>
      <x:c r="C4436" t="str">
        <x:v>C0160</x:v>
      </x:c>
      <x:c r="D4436" t="str">
        <x:v>Hotel Foods 160</x:v>
      </x:c>
      <x:c r="E4436" t="str">
        <x:v>Hotel</x:v>
      </x:c>
      <x:c r="F4436" t="str">
        <x:v>Mangaluru</x:v>
      </x:c>
      <x:c r="G4436" t="str">
        <x:v>Sneha</x:v>
      </x:c>
      <x:c r="H4436" t="str">
        <x:v>P047</x:v>
      </x:c>
      <x:c r="I4436" t="str">
        <x:v>Tomato 25kg</x:v>
      </x:c>
      <x:c r="J4436" t="str">
        <x:v>Fresh Produce</x:v>
      </x:c>
      <x:c r="K4436" t="str">
        <x:v>Local Market</x:v>
      </x:c>
      <x:c r="L4436" s="22" t="n">
        <x:v>950</x:v>
      </x:c>
      <x:c r="M4436" t="n">
        <x:v>38</x:v>
      </x:c>
      <x:c r="N4436" s="24" t="n">
        <x:v>0.03</x:v>
      </x:c>
      <x:c r="O4436" s="22" t="n">
        <x:f>L4436*M4436</x:f>
        <x:v>36100</x:v>
      </x:c>
      <x:c r="P4436" s="22" t="n">
        <x:f>O4436*(1-N4436)</x:f>
        <x:v>35017</x:v>
      </x:c>
      <x:c r="Q4436" s="22" t="n">
        <x:v>810</x:v>
      </x:c>
      <x:c r="R4436" s="22" t="n">
        <x:f>Q4436*M4436</x:f>
        <x:v>30780</x:v>
      </x:c>
      <x:c r="S4436" s="22" t="n">
        <x:f>P4436-R4436</x:f>
        <x:v>4237</x:v>
      </x:c>
      <x:c r="T4436" t="str">
        <x:v>Credit</x:v>
      </x:c>
      <x:c r="U4436" t="str">
        <x:v>Paid</x:v>
      </x:c>
      <x:c r="V4436" t="str">
        <x:v>Delivered</x:v>
      </x:c>
      <x:c r="W4436" t="n">
        <x:v>0</x:v>
      </x:c>
      <x:c r="X4436" t="str"/>
      <x:c r="Y4436" t="str">
        <x:v>Referral</x:v>
      </x:c>
    </x:row>
    <x:row r="4437">
      <x:c r="A4437" t="str">
        <x:v>O004436</x:v>
      </x:c>
      <x:c r="B4437" s="20" t="n">
        <x:v>46045</x:v>
      </x:c>
      <x:c r="C4437" t="str">
        <x:v>C0137</x:v>
      </x:c>
      <x:c r="D4437" t="str">
        <x:v>Green Restaurant 137</x:v>
      </x:c>
      <x:c r="E4437" t="str">
        <x:v>Canteen</x:v>
      </x:c>
      <x:c r="F4437" t="str">
        <x:v>Mangaluru</x:v>
      </x:c>
      <x:c r="G4437" t="str">
        <x:v>Arjun</x:v>
      </x:c>
      <x:c r="H4437" t="str">
        <x:v>P018</x:v>
      </x:c>
      <x:c r="I4437" t="str">
        <x:v>Paneer 1kg</x:v>
      </x:c>
      <x:c r="J4437" t="str">
        <x:v>Dairy</x:v>
      </x:c>
      <x:c r="K4437" t="str">
        <x:v>Milky Mist</x:v>
      </x:c>
      <x:c r="L4437" s="22" t="n">
        <x:v>410</x:v>
      </x:c>
      <x:c r="M4437" t="n">
        <x:v>20</x:v>
      </x:c>
      <x:c r="N4437" s="24" t="n">
        <x:v>0</x:v>
      </x:c>
      <x:c r="O4437" s="22" t="n">
        <x:f>L4437*M4437</x:f>
        <x:v>8200</x:v>
      </x:c>
      <x:c r="P4437" s="22" t="n">
        <x:f>O4437*(1-N4437)</x:f>
        <x:v>8200</x:v>
      </x:c>
      <x:c r="Q4437" s="22" t="n">
        <x:v>370</x:v>
      </x:c>
      <x:c r="R4437" s="22" t="n">
        <x:f>Q4437*M4437</x:f>
        <x:v>7400</x:v>
      </x:c>
      <x:c r="S4437" s="22" t="n">
        <x:f>P4437-R4437</x:f>
        <x:v>800</x:v>
      </x:c>
      <x:c r="T4437" t="str">
        <x:v>Cash</x:v>
      </x:c>
      <x:c r="U4437" t="str">
        <x:v>Paid</x:v>
      </x:c>
      <x:c r="V4437" t="str">
        <x:v>Delivered</x:v>
      </x:c>
      <x:c r="W4437" t="n">
        <x:v>0</x:v>
      </x:c>
      <x:c r="X4437" t="str"/>
      <x:c r="Y4437" t="str">
        <x:v>Field Visit</x:v>
      </x:c>
    </x:row>
    <x:row r="4438">
      <x:c r="A4438" t="str">
        <x:v>O004437</x:v>
      </x:c>
      <x:c r="B4438" s="20" t="n">
        <x:v>46256</x:v>
      </x:c>
      <x:c r="C4438" t="str">
        <x:v>C0005</x:v>
      </x:c>
      <x:c r="D4438" t="str">
        <x:v>Sagar Kitchen 5</x:v>
      </x:c>
      <x:c r="E4438" t="str">
        <x:v>Restaurant</x:v>
      </x:c>
      <x:c r="F4438" t="str">
        <x:v>Hubballi</x:v>
      </x:c>
      <x:c r="G4438" t="str">
        <x:v>Priya</x:v>
      </x:c>
      <x:c r="H4438" t="str">
        <x:v>P004</x:v>
      </x:c>
      <x:c r="I4438" t="str">
        <x:v>Toor Dal 5kg</x:v>
      </x:c>
      <x:c r="J4438" t="str">
        <x:v>Pulses</x:v>
      </x:c>
      <x:c r="K4438" t="str">
        <x:v>Tata Sampann</x:v>
      </x:c>
      <x:c r="L4438" s="22" t="n">
        <x:v>780</x:v>
      </x:c>
      <x:c r="M4438" t="n">
        <x:v>11</x:v>
      </x:c>
      <x:c r="N4438" s="24" t="n">
        <x:v>0.05</x:v>
      </x:c>
      <x:c r="O4438" s="22" t="n">
        <x:f>L4438*M4438</x:f>
        <x:v>8580</x:v>
      </x:c>
      <x:c r="P4438" s="22" t="n">
        <x:f>O4438*(1-N4438)</x:f>
        <x:v>8151</x:v>
      </x:c>
      <x:c r="Q4438" s="22" t="n">
        <x:v>695</x:v>
      </x:c>
      <x:c r="R4438" s="22" t="n">
        <x:f>Q4438*M4438</x:f>
        <x:v>7645</x:v>
      </x:c>
      <x:c r="S4438" s="22" t="n">
        <x:f>P4438-R4438</x:f>
        <x:v>506</x:v>
      </x:c>
      <x:c r="T4438" t="str">
        <x:v>Bank Transfer</x:v>
      </x:c>
      <x:c r="U4438" t="str">
        <x:v>Paid</x:v>
      </x:c>
      <x:c r="V4438" t="str">
        <x:v>Delivered</x:v>
      </x:c>
      <x:c r="W4438" t="n">
        <x:v>0</x:v>
      </x:c>
      <x:c r="X4438" t="str"/>
      <x:c r="Y4438" t="str">
        <x:v>Outbound Call</x:v>
      </x:c>
    </x:row>
    <x:row r="4439">
      <x:c r="A4439" t="str">
        <x:v>O004438</x:v>
      </x:c>
      <x:c r="B4439" s="20" t="n">
        <x:v>45906</x:v>
      </x:c>
      <x:c r="C4439" t="str">
        <x:v>C0144</x:v>
      </x:c>
      <x:c r="D4439" t="str">
        <x:v>Namma Foods 144</x:v>
      </x:c>
      <x:c r="E4439" t="str">
        <x:v>Restaurant</x:v>
      </x:c>
      <x:c r="F4439" t="str">
        <x:v>Tumakuru</x:v>
      </x:c>
      <x:c r="G4439" t="str">
        <x:v>Arjun</x:v>
      </x:c>
      <x:c r="H4439" t="str">
        <x:v>P032</x:v>
      </x:c>
      <x:c r="I4439" t="str">
        <x:v>Soy Sauce 700g</x:v>
      </x:c>
      <x:c r="J4439" t="str">
        <x:v>Condiments</x:v>
      </x:c>
      <x:c r="K4439" t="str">
        <x:v>Ching's</x:v>
      </x:c>
      <x:c r="L4439" s="22" t="n">
        <x:v>118</x:v>
      </x:c>
      <x:c r="M4439" t="n">
        <x:v>1</x:v>
      </x:c>
      <x:c r="N4439" s="24" t="n">
        <x:v>0.08</x:v>
      </x:c>
      <x:c r="O4439" s="22" t="n">
        <x:f>L4439*M4439</x:f>
        <x:v>118</x:v>
      </x:c>
      <x:c r="P4439" s="22" t="n">
        <x:f>O4439*(1-N4439)</x:f>
        <x:v>108.56</x:v>
      </x:c>
      <x:c r="Q4439" s="22" t="n">
        <x:v>101</x:v>
      </x:c>
      <x:c r="R4439" s="22" t="n">
        <x:f>Q4439*M4439</x:f>
        <x:v>101</x:v>
      </x:c>
      <x:c r="S4439" s="22" t="n">
        <x:f>P4439-R4439</x:f>
        <x:v>7.560000000000002</x:v>
      </x:c>
      <x:c r="T4439" t="str">
        <x:v>Cash</x:v>
      </x:c>
      <x:c r="U4439" t="str">
        <x:v>Paid</x:v>
      </x:c>
      <x:c r="V4439" t="str">
        <x:v>Delayed</x:v>
      </x:c>
      <x:c r="W4439" t="n">
        <x:v>0</x:v>
      </x:c>
      <x:c r="X4439" t="str"/>
      <x:c r="Y4439" t="str">
        <x:v>Outbound Call</x:v>
      </x:c>
    </x:row>
    <x:row r="4440">
      <x:c r="A4440" t="str">
        <x:v>O004439</x:v>
      </x:c>
      <x:c r="B4440" s="20" t="n">
        <x:v>45936</x:v>
      </x:c>
      <x:c r="C4440" t="str">
        <x:v>C0062</x:v>
      </x:c>
      <x:c r="D4440" t="str">
        <x:v>Foodie Hotel 62</x:v>
      </x:c>
      <x:c r="E4440" t="str">
        <x:v>Cafe</x:v>
      </x:c>
      <x:c r="F4440" t="str">
        <x:v>Mysuru</x:v>
      </x:c>
      <x:c r="G4440" t="str">
        <x:v>Vikram</x:v>
      </x:c>
      <x:c r="H4440" t="str">
        <x:v>P049</x:v>
      </x:c>
      <x:c r="I4440" t="str">
        <x:v>Apple 10kg</x:v>
      </x:c>
      <x:c r="J4440" t="str">
        <x:v>Fresh Produce</x:v>
      </x:c>
      <x:c r="K4440" t="str">
        <x:v>Local Market</x:v>
      </x:c>
      <x:c r="L4440" s="22" t="n">
        <x:v>1450</x:v>
      </x:c>
      <x:c r="M4440" t="n">
        <x:v>3</x:v>
      </x:c>
      <x:c r="N4440" s="24" t="n">
        <x:v>0.05</x:v>
      </x:c>
      <x:c r="O4440" s="22" t="n">
        <x:f>L4440*M4440</x:f>
        <x:v>4350</x:v>
      </x:c>
      <x:c r="P4440" s="22" t="n">
        <x:f>O4440*(1-N4440)</x:f>
        <x:v>4132.5</x:v>
      </x:c>
      <x:c r="Q4440" s="22" t="n">
        <x:v>1280</x:v>
      </x:c>
      <x:c r="R4440" s="22" t="n">
        <x:f>Q4440*M4440</x:f>
        <x:v>3840</x:v>
      </x:c>
      <x:c r="S4440" s="22" t="n">
        <x:f>P4440-R4440</x:f>
        <x:v>292.5</x:v>
      </x:c>
      <x:c r="T4440" t="str">
        <x:v>Bank Transfer</x:v>
      </x:c>
      <x:c r="U4440" t="str">
        <x:v>Pending</x:v>
      </x:c>
      <x:c r="V4440" t="str">
        <x:v>Delivered</x:v>
      </x:c>
      <x:c r="W4440" t="n">
        <x:v>2</x:v>
      </x:c>
      <x:c r="X4440" t="str">
        <x:v>Quality Issue</x:v>
      </x:c>
      <x:c r="Y4440" t="str">
        <x:v>Field Visit</x:v>
      </x:c>
    </x:row>
    <x:row r="4441">
      <x:c r="A4441" t="str">
        <x:v>O004440</x:v>
      </x:c>
      <x:c r="B4441" s="20" t="n">
        <x:v>46049</x:v>
      </x:c>
      <x:c r="C4441" t="str">
        <x:v>C0241</x:v>
      </x:c>
      <x:c r="D4441" t="str">
        <x:v>Annapurna Restaurant 241</x:v>
      </x:c>
      <x:c r="E4441" t="str">
        <x:v>Hotel</x:v>
      </x:c>
      <x:c r="F4441" t="str">
        <x:v>Tumakuru</x:v>
      </x:c>
      <x:c r="G4441" t="str">
        <x:v>Imran</x:v>
      </x:c>
      <x:c r="H4441" t="str">
        <x:v>P047</x:v>
      </x:c>
      <x:c r="I4441" t="str">
        <x:v>Tomato 25kg</x:v>
      </x:c>
      <x:c r="J4441" t="str">
        <x:v>Fresh Produce</x:v>
      </x:c>
      <x:c r="K4441" t="str">
        <x:v>Local Market</x:v>
      </x:c>
      <x:c r="L4441" s="22" t="n">
        <x:v>950</x:v>
      </x:c>
      <x:c r="M4441" t="n">
        <x:v>10</x:v>
      </x:c>
      <x:c r="N4441" s="24" t="n">
        <x:v>0.08</x:v>
      </x:c>
      <x:c r="O4441" s="22" t="n">
        <x:f>L4441*M4441</x:f>
        <x:v>9500</x:v>
      </x:c>
      <x:c r="P4441" s="22" t="n">
        <x:f>O4441*(1-N4441)</x:f>
        <x:v>8740</x:v>
      </x:c>
      <x:c r="Q4441" s="22" t="n">
        <x:v>810</x:v>
      </x:c>
      <x:c r="R4441" s="22" t="n">
        <x:f>Q4441*M4441</x:f>
        <x:v>8100</x:v>
      </x:c>
      <x:c r="S4441" s="22" t="n">
        <x:f>P4441-R4441</x:f>
        <x:v>640</x:v>
      </x:c>
      <x:c r="T4441" t="str">
        <x:v>Cash</x:v>
      </x:c>
      <x:c r="U4441" t="str">
        <x:v>Paid</x:v>
      </x:c>
      <x:c r="V4441" t="str">
        <x:v>Delivered</x:v>
      </x:c>
      <x:c r="W4441" t="n">
        <x:v>0</x:v>
      </x:c>
      <x:c r="X4441" t="str"/>
      <x:c r="Y4441" t="str">
        <x:v>Field Visit</x:v>
      </x:c>
    </x:row>
    <x:row r="4442">
      <x:c r="A4442" t="str">
        <x:v>O004441</x:v>
      </x:c>
      <x:c r="B4442" s="20" t="n">
        <x:v>45882</x:v>
      </x:c>
      <x:c r="C4442" t="str">
        <x:v>C0114</x:v>
      </x:c>
      <x:c r="D4442" t="str">
        <x:v>Annapurna Restaurant 114</x:v>
      </x:c>
      <x:c r="E4442" t="str">
        <x:v>Restaurant</x:v>
      </x:c>
      <x:c r="F4442" t="str">
        <x:v>Davanagere</x:v>
      </x:c>
      <x:c r="G4442" t="str">
        <x:v>Arjun</x:v>
      </x:c>
      <x:c r="H4442" t="str">
        <x:v>P035</x:v>
      </x:c>
      <x:c r="I4442" t="str">
        <x:v>Coriander Powder 1kg</x:v>
      </x:c>
      <x:c r="J4442" t="str">
        <x:v>Spices</x:v>
      </x:c>
      <x:c r="K4442" t="str">
        <x:v>Everest</x:v>
      </x:c>
      <x:c r="L4442" s="22" t="n">
        <x:v>280</x:v>
      </x:c>
      <x:c r="M4442" t="n">
        <x:v>15</x:v>
      </x:c>
      <x:c r="N4442" s="24" t="n">
        <x:v>0.03</x:v>
      </x:c>
      <x:c r="O4442" s="22" t="n">
        <x:f>L4442*M4442</x:f>
        <x:v>4200</x:v>
      </x:c>
      <x:c r="P4442" s="22" t="n">
        <x:f>O4442*(1-N4442)</x:f>
        <x:v>4074</x:v>
      </x:c>
      <x:c r="Q4442" s="22" t="n">
        <x:v>245</x:v>
      </x:c>
      <x:c r="R4442" s="22" t="n">
        <x:f>Q4442*M4442</x:f>
        <x:v>3675</x:v>
      </x:c>
      <x:c r="S4442" s="22" t="n">
        <x:f>P4442-R4442</x:f>
        <x:v>399</x:v>
      </x:c>
      <x:c r="T4442" t="str">
        <x:v>Cash</x:v>
      </x:c>
      <x:c r="U4442" t="str">
        <x:v>Paid</x:v>
      </x:c>
      <x:c r="V4442" t="str">
        <x:v>Delivered</x:v>
      </x:c>
      <x:c r="W4442" t="n">
        <x:v>0</x:v>
      </x:c>
      <x:c r="X4442" t="str"/>
      <x:c r="Y4442" t="str">
        <x:v>Field Visit</x:v>
      </x:c>
    </x:row>
    <x:row r="4443">
      <x:c r="A4443" t="str">
        <x:v>O004442</x:v>
      </x:c>
      <x:c r="B4443" s="20" t="n">
        <x:v>46178</x:v>
      </x:c>
      <x:c r="C4443" t="str">
        <x:v>C0139</x:v>
      </x:c>
      <x:c r="D4443" t="str">
        <x:v>Classic Hotel 139</x:v>
      </x:c>
      <x:c r="E4443" t="str">
        <x:v>Cafe</x:v>
      </x:c>
      <x:c r="F4443" t="str">
        <x:v>Mysuru</x:v>
      </x:c>
      <x:c r="G4443" t="str">
        <x:v>Vikram</x:v>
      </x:c>
      <x:c r="H4443" t="str">
        <x:v>P033</x:v>
      </x:c>
      <x:c r="I4443" t="str">
        <x:v>Turmeric Powder 1kg</x:v>
      </x:c>
      <x:c r="J4443" t="str">
        <x:v>Spices</x:v>
      </x:c>
      <x:c r="K4443" t="str">
        <x:v>Everest</x:v>
      </x:c>
      <x:c r="L4443" s="22" t="n">
        <x:v>310</x:v>
      </x:c>
      <x:c r="M4443" t="n">
        <x:v>23</x:v>
      </x:c>
      <x:c r="N4443" s="24" t="n">
        <x:v>0.05</x:v>
      </x:c>
      <x:c r="O4443" s="22" t="n">
        <x:f>L4443*M4443</x:f>
        <x:v>7130</x:v>
      </x:c>
      <x:c r="P4443" s="22" t="n">
        <x:f>O4443*(1-N4443)</x:f>
        <x:v>6773.5</x:v>
      </x:c>
      <x:c r="Q4443" s="22" t="n">
        <x:v>270</x:v>
      </x:c>
      <x:c r="R4443" s="22" t="n">
        <x:f>Q4443*M4443</x:f>
        <x:v>6210</x:v>
      </x:c>
      <x:c r="S4443" s="22" t="n">
        <x:f>P4443-R4443</x:f>
        <x:v>563.5</x:v>
      </x:c>
      <x:c r="T4443" t="str">
        <x:v>Credit</x:v>
      </x:c>
      <x:c r="U4443" t="str">
        <x:v>Paid</x:v>
      </x:c>
      <x:c r="V4443" t="str">
        <x:v>Delivered</x:v>
      </x:c>
      <x:c r="W4443" t="n">
        <x:v>0</x:v>
      </x:c>
      <x:c r="X4443" t="str"/>
      <x:c r="Y4443" t="str">
        <x:v>Existing Customer</x:v>
      </x:c>
    </x:row>
    <x:row r="4444">
      <x:c r="A4444" t="str">
        <x:v>O004443</x:v>
      </x:c>
      <x:c r="B4444" s="20" t="n">
        <x:v>46237</x:v>
      </x:c>
      <x:c r="C4444" t="str">
        <x:v>C0004</x:v>
      </x:c>
      <x:c r="D4444" t="str">
        <x:v>Annapurna Foods 4</x:v>
      </x:c>
      <x:c r="E4444" t="str">
        <x:v>Cafe</x:v>
      </x:c>
      <x:c r="F4444" t="str">
        <x:v>Mysuru</x:v>
      </x:c>
      <x:c r="G4444" t="str">
        <x:v>Priya</x:v>
      </x:c>
      <x:c r="H4444" t="str">
        <x:v>P044</x:v>
      </x:c>
      <x:c r="I4444" t="str">
        <x:v>Chicken Curry Cut 1kg</x:v>
      </x:c>
      <x:c r="J4444" t="str">
        <x:v>Protein</x:v>
      </x:c>
      <x:c r="K4444" t="str">
        <x:v>FreshToHome</x:v>
      </x:c>
      <x:c r="L4444" s="22" t="n">
        <x:v>230</x:v>
      </x:c>
      <x:c r="M4444" t="n">
        <x:v>22</x:v>
      </x:c>
      <x:c r="N4444" s="24" t="n">
        <x:v>0.03</x:v>
      </x:c>
      <x:c r="O4444" s="22" t="n">
        <x:f>L4444*M4444</x:f>
        <x:v>5060</x:v>
      </x:c>
      <x:c r="P4444" s="22" t="n">
        <x:f>O4444*(1-N4444)</x:f>
        <x:v>4908.2</x:v>
      </x:c>
      <x:c r="Q4444" s="22" t="n">
        <x:v>205</x:v>
      </x:c>
      <x:c r="R4444" s="22" t="n">
        <x:f>Q4444*M4444</x:f>
        <x:v>4510</x:v>
      </x:c>
      <x:c r="S4444" s="22" t="n">
        <x:f>P4444-R4444</x:f>
        <x:v>398.1999999999998</x:v>
      </x:c>
      <x:c r="T4444" t="str">
        <x:v>Bank Transfer</x:v>
      </x:c>
      <x:c r="U4444" t="str">
        <x:v>Paid</x:v>
      </x:c>
      <x:c r="V4444" t="str">
        <x:v>Delayed</x:v>
      </x:c>
      <x:c r="W4444" t="n">
        <x:v>0</x:v>
      </x:c>
      <x:c r="X4444" t="str"/>
      <x:c r="Y4444" t="str"/>
    </x:row>
    <x:row r="4445">
      <x:c r="A4445" t="str">
        <x:v>O004444</x:v>
      </x:c>
      <x:c r="B4445" s="20" t="n">
        <x:v>46232</x:v>
      </x:c>
      <x:c r="C4445" t="str">
        <x:v>C0219</x:v>
      </x:c>
      <x:c r="D4445" t="str">
        <x:v>Udupi Restaurant 219</x:v>
      </x:c>
      <x:c r="E4445" t="str">
        <x:v>Kirana</x:v>
      </x:c>
      <x:c r="F4445" t="str">
        <x:v>Mangaluru</x:v>
      </x:c>
      <x:c r="G4445" t="str">
        <x:v>Kavya</x:v>
      </x:c>
      <x:c r="H4445" t="str">
        <x:v>P005</x:v>
      </x:c>
      <x:c r="I4445" t="str">
        <x:v>Chana Dal 5kg</x:v>
      </x:c>
      <x:c r="J4445" t="str">
        <x:v>Pulses</x:v>
      </x:c>
      <x:c r="K4445" t="str">
        <x:v>Local Select</x:v>
      </x:c>
      <x:c r="L4445" s="22" t="n">
        <x:v>520</x:v>
      </x:c>
      <x:c r="M4445" t="n">
        <x:v>39</x:v>
      </x:c>
      <x:c r="N4445" s="24" t="n">
        <x:v>0.03</x:v>
      </x:c>
      <x:c r="O4445" s="22" t="n">
        <x:f>L4445*M4445</x:f>
        <x:v>20280</x:v>
      </x:c>
      <x:c r="P4445" s="22" t="n">
        <x:f>O4445*(1-N4445)</x:f>
        <x:v>19671.6</x:v>
      </x:c>
      <x:c r="Q4445" s="22" t="n">
        <x:v>455</x:v>
      </x:c>
      <x:c r="R4445" s="22" t="n">
        <x:f>Q4445*M4445</x:f>
        <x:v>17745</x:v>
      </x:c>
      <x:c r="S4445" s="22" t="n">
        <x:f>P4445-R4445</x:f>
        <x:v>1926.5999999999985</x:v>
      </x:c>
      <x:c r="T4445" t="str">
        <x:v>Cash</x:v>
      </x:c>
      <x:c r="U4445" t="str">
        <x:v>Paid</x:v>
      </x:c>
      <x:c r="V4445" t="str">
        <x:v>Delayed</x:v>
      </x:c>
      <x:c r="W4445" t="n">
        <x:v>0</x:v>
      </x:c>
      <x:c r="X4445" t="str"/>
      <x:c r="Y4445" t="str">
        <x:v>Existing Customer</x:v>
      </x:c>
    </x:row>
    <x:row r="4446">
      <x:c r="A4446" t="str">
        <x:v>O004445</x:v>
      </x:c>
      <x:c r="B4446" s="20" t="n">
        <x:v>45676</x:v>
      </x:c>
      <x:c r="C4446" t="str">
        <x:v>C0194</x:v>
      </x:c>
      <x:c r="D4446" t="str">
        <x:v>Royal Hotel 194</x:v>
      </x:c>
      <x:c r="E4446" t="str">
        <x:v>Kirana</x:v>
      </x:c>
      <x:c r="F4446" t="str">
        <x:v>Mysuru</x:v>
      </x:c>
      <x:c r="G4446" t="str">
        <x:v>Megha</x:v>
      </x:c>
      <x:c r="H4446" t="str">
        <x:v>P041</x:v>
      </x:c>
      <x:c r="I4446" t="str">
        <x:v>Burger Bun 6pc</x:v>
      </x:c>
      <x:c r="J4446" t="str">
        <x:v>Bakery</x:v>
      </x:c>
      <x:c r="K4446" t="str">
        <x:v>Modern</x:v>
      </x:c>
      <x:c r="L4446" s="22" t="n">
        <x:v>42</x:v>
      </x:c>
      <x:c r="M4446" t="n">
        <x:v>29</x:v>
      </x:c>
      <x:c r="N4446" s="24" t="n">
        <x:v>0.05</x:v>
      </x:c>
      <x:c r="O4446" s="22" t="n">
        <x:f>L4446*M4446</x:f>
        <x:v>1218</x:v>
      </x:c>
      <x:c r="P4446" s="22" t="n">
        <x:f>O4446*(1-N4446)</x:f>
        <x:v>1157.1</x:v>
      </x:c>
      <x:c r="Q4446" s="22" t="n">
        <x:v>32</x:v>
      </x:c>
      <x:c r="R4446" s="22" t="n">
        <x:f>Q4446*M4446</x:f>
        <x:v>928</x:v>
      </x:c>
      <x:c r="S4446" s="22" t="n">
        <x:f>P4446-R4446</x:f>
        <x:v>229.0999999999999</x:v>
      </x:c>
      <x:c r="T4446" t="str">
        <x:v>Cash</x:v>
      </x:c>
      <x:c r="U4446" t="str">
        <x:v>Pending</x:v>
      </x:c>
      <x:c r="V4446" t="str">
        <x:v>Delivered</x:v>
      </x:c>
      <x:c r="W4446" t="n">
        <x:v>0</x:v>
      </x:c>
      <x:c r="X4446" t="str"/>
      <x:c r="Y4446" t="str">
        <x:v>WhatsApp</x:v>
      </x:c>
    </x:row>
    <x:row r="4447">
      <x:c r="A4447" t="str">
        <x:v>O004446</x:v>
      </x:c>
      <x:c r="B4447" s="20" t="n">
        <x:v>45818</x:v>
      </x:c>
      <x:c r="C4447" t="str">
        <x:v>C0001</x:v>
      </x:c>
      <x:c r="D4447" t="str">
        <x:v>Annapurna Cafe 1</x:v>
      </x:c>
      <x:c r="E4447" t="str">
        <x:v>Hotel</x:v>
      </x:c>
      <x:c r="F4447" t="str">
        <x:v>Davanagere</x:v>
      </x:c>
      <x:c r="G4447" t="str">
        <x:v>Kavya</x:v>
      </x:c>
      <x:c r="H4447" t="str">
        <x:v>P014</x:v>
      </x:c>
      <x:c r="I4447" t="str">
        <x:v>Rava 5kg</x:v>
      </x:c>
      <x:c r="J4447" t="str">
        <x:v>Flour</x:v>
      </x:c>
      <x:c r="K4447" t="str">
        <x:v>Local Select</x:v>
      </x:c>
      <x:c r="L4447" s="22" t="n">
        <x:v>245</x:v>
      </x:c>
      <x:c r="M4447" t="n">
        <x:v>29</x:v>
      </x:c>
      <x:c r="N4447" s="24" t="n">
        <x:v>0</x:v>
      </x:c>
      <x:c r="O4447" s="22" t="n">
        <x:f>L4447*M4447</x:f>
        <x:v>7105</x:v>
      </x:c>
      <x:c r="P4447" s="22" t="n">
        <x:f>O4447*(1-N4447)</x:f>
        <x:v>7105</x:v>
      </x:c>
      <x:c r="Q4447" s="22" t="n">
        <x:v>215</x:v>
      </x:c>
      <x:c r="R4447" s="22" t="n">
        <x:f>Q4447*M4447</x:f>
        <x:v>6235</x:v>
      </x:c>
      <x:c r="S4447" s="22" t="n">
        <x:f>P4447-R4447</x:f>
        <x:v>870</x:v>
      </x:c>
      <x:c r="T4447" t="str">
        <x:v>Credit</x:v>
      </x:c>
      <x:c r="U4447" t="str">
        <x:v>Paid</x:v>
      </x:c>
      <x:c r="V4447" t="str">
        <x:v>Delivered</x:v>
      </x:c>
      <x:c r="W4447" t="n">
        <x:v>0</x:v>
      </x:c>
      <x:c r="X4447" t="str"/>
      <x:c r="Y4447" t="str">
        <x:v>Outbound Call</x:v>
      </x:c>
    </x:row>
    <x:row r="4448">
      <x:c r="A4448" t="str">
        <x:v>O004447</x:v>
      </x:c>
      <x:c r="B4448" s="20" t="n">
        <x:v>45793</x:v>
      </x:c>
      <x:c r="C4448" t="str">
        <x:v>C0142</x:v>
      </x:c>
      <x:c r="D4448" t="str">
        <x:v>Darshini Mart 142</x:v>
      </x:c>
      <x:c r="E4448" t="str">
        <x:v>Cafe</x:v>
      </x:c>
      <x:c r="F4448" t="str">
        <x:v>Bengaluru</x:v>
      </x:c>
      <x:c r="G4448" t="str">
        <x:v>Megha</x:v>
      </x:c>
      <x:c r="H4448" t="str">
        <x:v>P003</x:v>
      </x:c>
      <x:c r="I4448" t="str">
        <x:v>Basmati Rice 5kg</x:v>
      </x:c>
      <x:c r="J4448" t="str">
        <x:v>Staples</x:v>
      </x:c>
      <x:c r="K4448" t="str">
        <x:v>India Gate</x:v>
      </x:c>
      <x:c r="L4448" s="22" t="n">
        <x:v>690</x:v>
      </x:c>
      <x:c r="M4448" t="n">
        <x:v>3</x:v>
      </x:c>
      <x:c r="N4448" s="24" t="n">
        <x:v>0.03</x:v>
      </x:c>
      <x:c r="O4448" s="22" t="n">
        <x:f>L4448*M4448</x:f>
        <x:v>2070</x:v>
      </x:c>
      <x:c r="P4448" s="22" t="n">
        <x:f>O4448*(1-N4448)</x:f>
        <x:v>2007.8999999999999</x:v>
      </x:c>
      <x:c r="Q4448" s="22" t="n">
        <x:v>610</x:v>
      </x:c>
      <x:c r="R4448" s="22" t="n">
        <x:f>Q4448*M4448</x:f>
        <x:v>1830</x:v>
      </x:c>
      <x:c r="S4448" s="22" t="n">
        <x:f>P4448-R4448</x:f>
        <x:v>177.89999999999986</x:v>
      </x:c>
      <x:c r="T4448" t="str">
        <x:v>Bank Transfer</x:v>
      </x:c>
      <x:c r="U4448" t="str">
        <x:v>Paid</x:v>
      </x:c>
      <x:c r="V4448" t="str">
        <x:v>Delivered</x:v>
      </x:c>
      <x:c r="W4448" t="n">
        <x:v>0</x:v>
      </x:c>
      <x:c r="X4448" t="str"/>
      <x:c r="Y4448" t="str">
        <x:v>Existing Customer</x:v>
      </x:c>
    </x:row>
    <x:row r="4449">
      <x:c r="A4449" t="str">
        <x:v>O004448</x:v>
      </x:c>
      <x:c r="B4449" s="20" t="n">
        <x:v>45952</x:v>
      </x:c>
      <x:c r="C4449" t="str">
        <x:v>C0227</x:v>
      </x:c>
      <x:c r="D4449" t="str">
        <x:v>Metro Restaurant 227</x:v>
      </x:c>
      <x:c r="E4449" t="str">
        <x:v>Restaurant</x:v>
      </x:c>
      <x:c r="F4449" t="str">
        <x:v>Davanagere</x:v>
      </x:c>
      <x:c r="G4449" t="str">
        <x:v>Kavya</x:v>
      </x:c>
      <x:c r="H4449" t="str">
        <x:v>P030</x:v>
      </x:c>
      <x:c r="I4449" t="str">
        <x:v>Mayonnaise 1kg</x:v>
      </x:c>
      <x:c r="J4449" t="str">
        <x:v>Condiments</x:v>
      </x:c>
      <x:c r="K4449" t="str">
        <x:v>Veeba</x:v>
      </x:c>
      <x:c r="L4449" s="22" t="n">
        <x:v>210</x:v>
      </x:c>
      <x:c r="M4449" t="n">
        <x:v>14</x:v>
      </x:c>
      <x:c r="N4449" s="24" t="n">
        <x:v>0.03</x:v>
      </x:c>
      <x:c r="O4449" s="22" t="n">
        <x:f>L4449*M4449</x:f>
        <x:v>2940</x:v>
      </x:c>
      <x:c r="P4449" s="22" t="n">
        <x:f>O4449*(1-N4449)</x:f>
        <x:v>2851.7999999999997</x:v>
      </x:c>
      <x:c r="Q4449" s="22" t="n">
        <x:v>185</x:v>
      </x:c>
      <x:c r="R4449" s="22" t="n">
        <x:f>Q4449*M4449</x:f>
        <x:v>2590</x:v>
      </x:c>
      <x:c r="S4449" s="22" t="n">
        <x:f>P4449-R4449</x:f>
        <x:v>261.7999999999997</x:v>
      </x:c>
      <x:c r="T4449" t="str">
        <x:v>Credit</x:v>
      </x:c>
      <x:c r="U4449" t="str">
        <x:v>Pending</x:v>
      </x:c>
      <x:c r="V4449" t="str">
        <x:v>Delayed</x:v>
      </x:c>
      <x:c r="W4449" t="n">
        <x:v>0</x:v>
      </x:c>
      <x:c r="X4449" t="str"/>
      <x:c r="Y4449" t="str">
        <x:v>Field Visit</x:v>
      </x:c>
    </x:row>
    <x:row r="4450">
      <x:c r="A4450" t="str">
        <x:v>O004449</x:v>
      </x:c>
      <x:c r="B4450" s="20" t="n">
        <x:v>45829</x:v>
      </x:c>
      <x:c r="C4450" t="str">
        <x:v>C0127</x:v>
      </x:c>
      <x:c r="D4450" t="str">
        <x:v>Grand Mart 127</x:v>
      </x:c>
      <x:c r="E4450" t="str">
        <x:v>Canteen</x:v>
      </x:c>
      <x:c r="F4450" t="str">
        <x:v>Hubballi</x:v>
      </x:c>
      <x:c r="G4450" t="str">
        <x:v>Imran</x:v>
      </x:c>
      <x:c r="H4450" t="str">
        <x:v>P013</x:v>
      </x:c>
      <x:c r="I4450" t="str">
        <x:v>Atta 10kg</x:v>
      </x:c>
      <x:c r="J4450" t="str">
        <x:v>Flour</x:v>
      </x:c>
      <x:c r="K4450" t="str">
        <x:v>Aashirvaad</x:v>
      </x:c>
      <x:c r="L4450" s="22" t="n">
        <x:v>560</x:v>
      </x:c>
      <x:c r="M4450" t="n">
        <x:v>3</x:v>
      </x:c>
      <x:c r="N4450" s="24" t="n">
        <x:v>0</x:v>
      </x:c>
      <x:c r="O4450" s="22" t="n">
        <x:f>L4450*M4450</x:f>
        <x:v>1680</x:v>
      </x:c>
      <x:c r="P4450" s="22" t="n">
        <x:f>O4450*(1-N4450)</x:f>
        <x:v>1680</x:v>
      </x:c>
      <x:c r="Q4450" s="22" t="n">
        <x:v>495</x:v>
      </x:c>
      <x:c r="R4450" s="22" t="n">
        <x:f>Q4450*M4450</x:f>
        <x:v>1485</x:v>
      </x:c>
      <x:c r="S4450" s="22" t="n">
        <x:f>P4450-R4450</x:f>
        <x:v>195</x:v>
      </x:c>
      <x:c r="T4450" t="str">
        <x:v>Cash</x:v>
      </x:c>
      <x:c r="U4450" t="str">
        <x:v>Pending</x:v>
      </x:c>
      <x:c r="V4450" t="str">
        <x:v>Delivered</x:v>
      </x:c>
      <x:c r="W4450" t="n">
        <x:v>2</x:v>
      </x:c>
      <x:c r="X4450" t="str">
        <x:v>Wrong Item</x:v>
      </x:c>
      <x:c r="Y4450" t="str">
        <x:v>Outbound Call</x:v>
      </x:c>
    </x:row>
    <x:row r="4451">
      <x:c r="A4451" t="str">
        <x:v>O004450</x:v>
      </x:c>
      <x:c r="B4451" s="20" t="n">
        <x:v>45658</x:v>
      </x:c>
      <x:c r="C4451" t="str">
        <x:v>C0021</x:v>
      </x:c>
      <x:c r="D4451" t="str">
        <x:v>Namma Cafe 21</x:v>
      </x:c>
      <x:c r="E4451" t="str">
        <x:v>Canteen</x:v>
      </x:c>
      <x:c r="F4451" t="str">
        <x:v>Bengaluru</x:v>
      </x:c>
      <x:c r="G4451" t="str">
        <x:v>Kavya</x:v>
      </x:c>
      <x:c r="H4451" t="str">
        <x:v>P035</x:v>
      </x:c>
      <x:c r="I4451" t="str">
        <x:v>Coriander Powder 1kg</x:v>
      </x:c>
      <x:c r="J4451" t="str">
        <x:v>Spices</x:v>
      </x:c>
      <x:c r="K4451" t="str">
        <x:v>Everest</x:v>
      </x:c>
      <x:c r="L4451" s="22" t="n">
        <x:v>280</x:v>
      </x:c>
      <x:c r="M4451" t="n">
        <x:v>8</x:v>
      </x:c>
      <x:c r="N4451" s="24" t="n">
        <x:v>0</x:v>
      </x:c>
      <x:c r="O4451" s="22" t="n">
        <x:f>L4451*M4451</x:f>
        <x:v>2240</x:v>
      </x:c>
      <x:c r="P4451" s="22" t="n">
        <x:f>O4451*(1-N4451)</x:f>
        <x:v>2240</x:v>
      </x:c>
      <x:c r="Q4451" s="22" t="n">
        <x:v>245</x:v>
      </x:c>
      <x:c r="R4451" s="22" t="n">
        <x:f>Q4451*M4451</x:f>
        <x:v>1960</x:v>
      </x:c>
      <x:c r="S4451" s="22" t="n">
        <x:f>P4451-R4451</x:f>
        <x:v>280</x:v>
      </x:c>
      <x:c r="T4451" t="str">
        <x:v>UPI</x:v>
      </x:c>
      <x:c r="U4451" t="str">
        <x:v>Pending</x:v>
      </x:c>
      <x:c r="V4451" t="str">
        <x:v>Delivered</x:v>
      </x:c>
      <x:c r="W4451" t="n">
        <x:v>0</x:v>
      </x:c>
      <x:c r="X4451" t="str"/>
      <x:c r="Y4451" t="str">
        <x:v>Referral</x:v>
      </x:c>
    </x:row>
    <x:row r="4452">
      <x:c r="A4452" t="str">
        <x:v>O004451</x:v>
      </x:c>
      <x:c r="B4452" s="20" t="n">
        <x:v>45731</x:v>
      </x:c>
      <x:c r="C4452" t="str">
        <x:v>C0249</x:v>
      </x:c>
      <x:c r="D4452" t="str">
        <x:v>City Hotel 249</x:v>
      </x:c>
      <x:c r="E4452" t="str">
        <x:v>Supermarket</x:v>
      </x:c>
      <x:c r="F4452" t="str">
        <x:v>Mysuru</x:v>
      </x:c>
      <x:c r="G4452" t="str">
        <x:v>Arjun</x:v>
      </x:c>
      <x:c r="H4452" t="str">
        <x:v>P042</x:v>
      </x:c>
      <x:c r="I4452" t="str">
        <x:v>Eggs 30pc Tray</x:v>
      </x:c>
      <x:c r="J4452" t="str">
        <x:v>Protein</x:v>
      </x:c>
      <x:c r="K4452" t="str">
        <x:v>Farm Fresh</x:v>
      </x:c>
      <x:c r="L4452" s="22" t="n">
        <x:v>195</x:v>
      </x:c>
      <x:c r="M4452" t="n">
        <x:v>26</x:v>
      </x:c>
      <x:c r="N4452" s="24" t="n">
        <x:v>0.05</x:v>
      </x:c>
      <x:c r="O4452" s="22" t="n">
        <x:f>L4452*M4452</x:f>
        <x:v>5070</x:v>
      </x:c>
      <x:c r="P4452" s="22" t="n">
        <x:f>O4452*(1-N4452)</x:f>
        <x:v>4816.5</x:v>
      </x:c>
      <x:c r="Q4452" s="22" t="n">
        <x:v>170</x:v>
      </x:c>
      <x:c r="R4452" s="22" t="n">
        <x:f>Q4452*M4452</x:f>
        <x:v>4420</x:v>
      </x:c>
      <x:c r="S4452" s="22" t="n">
        <x:f>P4452-R4452</x:f>
        <x:v>396.5</x:v>
      </x:c>
      <x:c r="T4452" t="str">
        <x:v>Cash</x:v>
      </x:c>
      <x:c r="U4452" t="str">
        <x:v>Overdue</x:v>
      </x:c>
      <x:c r="V4452" t="str">
        <x:v>Delivered</x:v>
      </x:c>
      <x:c r="W4452" t="n">
        <x:v>0</x:v>
      </x:c>
      <x:c r="X4452" t="str"/>
      <x:c r="Y4452" t="str">
        <x:v>WhatsApp</x:v>
      </x:c>
    </x:row>
    <x:row r="4453">
      <x:c r="A4453" t="str">
        <x:v>O004452</x:v>
      </x:c>
      <x:c r="B4453" s="20" t="n">
        <x:v>46153</x:v>
      </x:c>
      <x:c r="C4453" t="str">
        <x:v>C0108</x:v>
      </x:c>
      <x:c r="D4453" t="str">
        <x:v>Spice Mart 108</x:v>
      </x:c>
      <x:c r="E4453" t="str">
        <x:v>Supermarket</x:v>
      </x:c>
      <x:c r="F4453" t="str">
        <x:v>Hubballi</x:v>
      </x:c>
      <x:c r="G4453" t="str">
        <x:v>Kavya</x:v>
      </x:c>
      <x:c r="H4453" t="str">
        <x:v>P018</x:v>
      </x:c>
      <x:c r="I4453" t="str">
        <x:v>Paneer 1kg</x:v>
      </x:c>
      <x:c r="J4453" t="str">
        <x:v>Dairy</x:v>
      </x:c>
      <x:c r="K4453" t="str">
        <x:v>Milky Mist</x:v>
      </x:c>
      <x:c r="L4453" s="22" t="n">
        <x:v>410</x:v>
      </x:c>
      <x:c r="M4453" t="n">
        <x:v>5</x:v>
      </x:c>
      <x:c r="N4453" s="24" t="n">
        <x:v>0.1</x:v>
      </x:c>
      <x:c r="O4453" s="22" t="n">
        <x:f>L4453*M4453</x:f>
        <x:v>2050</x:v>
      </x:c>
      <x:c r="P4453" s="22" t="n">
        <x:f>O4453*(1-N4453)</x:f>
        <x:v>1845</x:v>
      </x:c>
      <x:c r="Q4453" s="22" t="n">
        <x:v>370</x:v>
      </x:c>
      <x:c r="R4453" s="22" t="n">
        <x:f>Q4453*M4453</x:f>
        <x:v>1850</x:v>
      </x:c>
      <x:c r="S4453" s="22" t="n">
        <x:f>P4453-R4453</x:f>
        <x:v>-5</x:v>
      </x:c>
      <x:c r="T4453" t="str">
        <x:v>Credit</x:v>
      </x:c>
      <x:c r="U4453" t="str">
        <x:v>Paid</x:v>
      </x:c>
      <x:c r="V4453" t="str">
        <x:v>Delivered</x:v>
      </x:c>
      <x:c r="W4453" t="n">
        <x:v>0</x:v>
      </x:c>
      <x:c r="X4453" t="str"/>
      <x:c r="Y4453" t="str">
        <x:v>WhatsApp</x:v>
      </x:c>
    </x:row>
    <x:row r="4454">
      <x:c r="A4454" t="str">
        <x:v>O004453</x:v>
      </x:c>
      <x:c r="B4454" s="20" t="n">
        <x:v>45683</x:v>
      </x:c>
      <x:c r="C4454" t="str">
        <x:v>C0094</x:v>
      </x:c>
      <x:c r="D4454" t="str">
        <x:v>Mysore Mart 94</x:v>
      </x:c>
      <x:c r="E4454" t="str">
        <x:v>Restaurant</x:v>
      </x:c>
      <x:c r="F4454" t="str">
        <x:v>Hubballi</x:v>
      </x:c>
      <x:c r="G4454" t="str">
        <x:v>Sneha</x:v>
      </x:c>
      <x:c r="H4454" t="str">
        <x:v>P009</x:v>
      </x:c>
      <x:c r="I4454" t="str">
        <x:v>Groundnut Oil 5L</x:v>
      </x:c>
      <x:c r="J4454" t="str">
        <x:v>Edible Oil</x:v>
      </x:c>
      <x:c r="K4454" t="str">
        <x:v>Dhara</x:v>
      </x:c>
      <x:c r="L4454" s="22" t="n">
        <x:v>890</x:v>
      </x:c>
      <x:c r="M4454" t="n">
        <x:v>35</x:v>
      </x:c>
      <x:c r="N4454" s="24" t="n">
        <x:v>0</x:v>
      </x:c>
      <x:c r="O4454" s="22" t="n">
        <x:f>L4454*M4454</x:f>
        <x:v>31150</x:v>
      </x:c>
      <x:c r="P4454" s="22" t="n">
        <x:f>O4454*(1-N4454)</x:f>
        <x:v>31150</x:v>
      </x:c>
      <x:c r="Q4454" s="22" t="n">
        <x:v>810</x:v>
      </x:c>
      <x:c r="R4454" s="22" t="n">
        <x:f>Q4454*M4454</x:f>
        <x:v>28350</x:v>
      </x:c>
      <x:c r="S4454" s="22" t="n">
        <x:f>P4454-R4454</x:f>
        <x:v>2800</x:v>
      </x:c>
      <x:c r="T4454" t="str">
        <x:v>Bank Transfer</x:v>
      </x:c>
      <x:c r="U4454" t="str">
        <x:v>Paid</x:v>
      </x:c>
      <x:c r="V4454" t="str">
        <x:v>Delivered</x:v>
      </x:c>
      <x:c r="W4454" t="n">
        <x:v>0</x:v>
      </x:c>
      <x:c r="X4454" t="str"/>
      <x:c r="Y4454" t="str">
        <x:v>WhatsApp</x:v>
      </x:c>
    </x:row>
    <x:row r="4455">
      <x:c r="A4455" t="str">
        <x:v>O004454</x:v>
      </x:c>
      <x:c r="B4455" s="20" t="n">
        <x:v>45884</x:v>
      </x:c>
      <x:c r="C4455" t="str">
        <x:v>C0222</x:v>
      </x:c>
      <x:c r="D4455" t="str">
        <x:v>Sri Cafe 222</x:v>
      </x:c>
      <x:c r="E4455" t="str">
        <x:v>Kirana</x:v>
      </x:c>
      <x:c r="F4455" t="str">
        <x:v>Mangaluru</x:v>
      </x:c>
      <x:c r="G4455" t="str">
        <x:v>Arjun</x:v>
      </x:c>
      <x:c r="H4455" t="str">
        <x:v>P034</x:v>
      </x:c>
      <x:c r="I4455" t="str">
        <x:v>Chilli Powder 1kg</x:v>
      </x:c>
      <x:c r="J4455" t="str">
        <x:v>Spices</x:v>
      </x:c>
      <x:c r="K4455" t="str">
        <x:v>MDH</x:v>
      </x:c>
      <x:c r="L4455" s="22" t="n">
        <x:v>340</x:v>
      </x:c>
      <x:c r="M4455" t="n">
        <x:v>12</x:v>
      </x:c>
      <x:c r="N4455" s="24" t="n">
        <x:v>0</x:v>
      </x:c>
      <x:c r="O4455" s="22" t="n">
        <x:f>L4455*M4455</x:f>
        <x:v>4080</x:v>
      </x:c>
      <x:c r="P4455" s="22" t="n">
        <x:f>O4455*(1-N4455)</x:f>
        <x:v>4080</x:v>
      </x:c>
      <x:c r="Q4455" s="22" t="n">
        <x:v>295</x:v>
      </x:c>
      <x:c r="R4455" s="22" t="n">
        <x:f>Q4455*M4455</x:f>
        <x:v>3540</x:v>
      </x:c>
      <x:c r="S4455" s="22" t="n">
        <x:f>P4455-R4455</x:f>
        <x:v>540</x:v>
      </x:c>
      <x:c r="T4455" t="str">
        <x:v>Bank Transfer</x:v>
      </x:c>
      <x:c r="U4455" t="str">
        <x:v>Overdue</x:v>
      </x:c>
      <x:c r="V4455" t="str">
        <x:v>Delivered</x:v>
      </x:c>
      <x:c r="W4455" t="n">
        <x:v>4</x:v>
      </x:c>
      <x:c r="X4455" t="str">
        <x:v>Quality Issue</x:v>
      </x:c>
      <x:c r="Y4455" t="str">
        <x:v>Outbound Call</x:v>
      </x:c>
    </x:row>
    <x:row r="4456">
      <x:c r="A4456" t="str">
        <x:v>O004455</x:v>
      </x:c>
      <x:c r="B4456" s="20" t="n">
        <x:v>45932</x:v>
      </x:c>
      <x:c r="C4456" t="str">
        <x:v>C0099</x:v>
      </x:c>
      <x:c r="D4456" t="str">
        <x:v>Green Cafe 99</x:v>
      </x:c>
      <x:c r="E4456" t="str">
        <x:v>Restaurant</x:v>
      </x:c>
      <x:c r="F4456" t="str">
        <x:v>Hubballi</x:v>
      </x:c>
      <x:c r="G4456" t="str">
        <x:v>Ramesh</x:v>
      </x:c>
      <x:c r="H4456" t="str">
        <x:v>P025</x:v>
      </x:c>
      <x:c r="I4456" t="str">
        <x:v>Potato Chips 100g</x:v>
      </x:c>
      <x:c r="J4456" t="str">
        <x:v>Snacks</x:v>
      </x:c>
      <x:c r="K4456" t="str">
        <x:v>Lay's</x:v>
      </x:c>
      <x:c r="L4456" s="22" t="n">
        <x:v>35</x:v>
      </x:c>
      <x:c r="M4456" t="n">
        <x:v>14</x:v>
      </x:c>
      <x:c r="N4456" s="24" t="n">
        <x:v>0.08</x:v>
      </x:c>
      <x:c r="O4456" s="22" t="n">
        <x:f>L4456*M4456</x:f>
        <x:v>490</x:v>
      </x:c>
      <x:c r="P4456" s="22" t="n">
        <x:f>O4456*(1-N4456)</x:f>
        <x:v>450.8</x:v>
      </x:c>
      <x:c r="Q4456" s="22" t="n">
        <x:v>27</x:v>
      </x:c>
      <x:c r="R4456" s="22" t="n">
        <x:f>Q4456*M4456</x:f>
        <x:v>378</x:v>
      </x:c>
      <x:c r="S4456" s="22" t="n">
        <x:f>P4456-R4456</x:f>
        <x:v>72.80000000000001</x:v>
      </x:c>
      <x:c r="T4456" t="str">
        <x:v>Credit</x:v>
      </x:c>
      <x:c r="U4456" t="str">
        <x:v>Paid</x:v>
      </x:c>
      <x:c r="V4456" t="str">
        <x:v>Delivered</x:v>
      </x:c>
      <x:c r="W4456" t="n">
        <x:v>0</x:v>
      </x:c>
      <x:c r="X4456" t="str"/>
      <x:c r="Y4456" t="str">
        <x:v>Referral</x:v>
      </x:c>
    </x:row>
    <x:row r="4457">
      <x:c r="A4457" t="str">
        <x:v>O004456</x:v>
      </x:c>
      <x:c r="B4457" s="20" t="n">
        <x:v>45875</x:v>
      </x:c>
      <x:c r="C4457" t="str">
        <x:v>C0126</x:v>
      </x:c>
      <x:c r="D4457" t="str">
        <x:v>Mysore Hotel 126</x:v>
      </x:c>
      <x:c r="E4457" t="str">
        <x:v>Restaurant</x:v>
      </x:c>
      <x:c r="F4457" t="str">
        <x:v>Mangaluru</x:v>
      </x:c>
      <x:c r="G4457" t="str">
        <x:v>Vikram</x:v>
      </x:c>
      <x:c r="H4457" t="str">
        <x:v>P009</x:v>
      </x:c>
      <x:c r="I4457" t="str">
        <x:v>Groundnut Oil 5L</x:v>
      </x:c>
      <x:c r="J4457" t="str">
        <x:v>Edible Oil</x:v>
      </x:c>
      <x:c r="K4457" t="str">
        <x:v>Dhara</x:v>
      </x:c>
      <x:c r="L4457" s="22" t="n">
        <x:v>890</x:v>
      </x:c>
      <x:c r="M4457" t="n">
        <x:v>9</x:v>
      </x:c>
      <x:c r="N4457" s="24" t="n">
        <x:v>0.08</x:v>
      </x:c>
      <x:c r="O4457" s="22" t="n">
        <x:f>L4457*M4457</x:f>
        <x:v>8010</x:v>
      </x:c>
      <x:c r="P4457" s="22" t="n">
        <x:f>O4457*(1-N4457)</x:f>
        <x:v>7369.200000000001</x:v>
      </x:c>
      <x:c r="Q4457" s="22" t="n">
        <x:v>810</x:v>
      </x:c>
      <x:c r="R4457" s="22" t="n">
        <x:f>Q4457*M4457</x:f>
        <x:v>7290</x:v>
      </x:c>
      <x:c r="S4457" s="22" t="n">
        <x:f>P4457-R4457</x:f>
        <x:v>79.20000000000073</x:v>
      </x:c>
      <x:c r="T4457" t="str">
        <x:v>Cash</x:v>
      </x:c>
      <x:c r="U4457" t="str">
        <x:v>Paid</x:v>
      </x:c>
      <x:c r="V4457" t="str">
        <x:v>Cancelled</x:v>
      </x:c>
      <x:c r="W4457" t="n">
        <x:v>9</x:v>
      </x:c>
      <x:c r="X4457" t="str">
        <x:v>Cancelled Order</x:v>
      </x:c>
      <x:c r="Y4457" t="str">
        <x:v>Field Visit</x:v>
      </x:c>
    </x:row>
    <x:row r="4458">
      <x:c r="A4458" t="str">
        <x:v>O004457</x:v>
      </x:c>
      <x:c r="B4458" s="20" t="n">
        <x:v>45697</x:v>
      </x:c>
      <x:c r="C4458" t="str">
        <x:v>C0122</x:v>
      </x:c>
      <x:c r="D4458" t="str">
        <x:v>Namma Restaurant 122</x:v>
      </x:c>
      <x:c r="E4458" t="str">
        <x:v>Kirana</x:v>
      </x:c>
      <x:c r="F4458" t="str">
        <x:v>Hubballi</x:v>
      </x:c>
      <x:c r="G4458" t="str">
        <x:v>Sneha</x:v>
      </x:c>
      <x:c r="H4458" t="str">
        <x:v>P008</x:v>
      </x:c>
      <x:c r="I4458" t="str">
        <x:v>Palm Oil 15L</x:v>
      </x:c>
      <x:c r="J4458" t="str">
        <x:v>Edible Oil</x:v>
      </x:c>
      <x:c r="K4458" t="str">
        <x:v>Ruchi Gold</x:v>
      </x:c>
      <x:c r="L4458" s="22" t="n">
        <x:v>1760</x:v>
      </x:c>
      <x:c r="M4458" t="n">
        <x:v>1</x:v>
      </x:c>
      <x:c r="N4458" s="24" t="n">
        <x:v>0.05</x:v>
      </x:c>
      <x:c r="O4458" s="22" t="n">
        <x:f>L4458*M4458</x:f>
        <x:v>1760</x:v>
      </x:c>
      <x:c r="P4458" s="22" t="n">
        <x:f>O4458*(1-N4458)</x:f>
        <x:v>1672</x:v>
      </x:c>
      <x:c r="Q4458" s="22" t="n">
        <x:v>1610</x:v>
      </x:c>
      <x:c r="R4458" s="22" t="n">
        <x:f>Q4458*M4458</x:f>
        <x:v>1610</x:v>
      </x:c>
      <x:c r="S4458" s="22" t="n">
        <x:f>P4458-R4458</x:f>
        <x:v>62</x:v>
      </x:c>
      <x:c r="T4458" t="str">
        <x:v>UPI</x:v>
      </x:c>
      <x:c r="U4458" t="str">
        <x:v>Paid</x:v>
      </x:c>
      <x:c r="V4458" t="str">
        <x:v>Cancelled</x:v>
      </x:c>
      <x:c r="W4458" t="n">
        <x:v>1</x:v>
      </x:c>
      <x:c r="X4458" t="str">
        <x:v>Cancelled Order</x:v>
      </x:c>
      <x:c r="Y4458" t="str">
        <x:v>Referral</x:v>
      </x:c>
    </x:row>
    <x:row r="4459">
      <x:c r="A4459" t="str">
        <x:v>O004458</x:v>
      </x:c>
      <x:c r="B4459" s="20" t="n">
        <x:v>46202</x:v>
      </x:c>
      <x:c r="C4459" t="str">
        <x:v>C0117</x:v>
      </x:c>
      <x:c r="D4459" t="str">
        <x:v>Classic Canteen 117</x:v>
      </x:c>
      <x:c r="E4459" t="str">
        <x:v>Restaurant</x:v>
      </x:c>
      <x:c r="F4459" t="str">
        <x:v>Hubballi</x:v>
      </x:c>
      <x:c r="G4459" t="str">
        <x:v>Megha</x:v>
      </x:c>
      <x:c r="H4459" t="str">
        <x:v>P034</x:v>
      </x:c>
      <x:c r="I4459" t="str">
        <x:v>Chilli Powder 1kg</x:v>
      </x:c>
      <x:c r="J4459" t="str">
        <x:v>Spices</x:v>
      </x:c>
      <x:c r="K4459" t="str">
        <x:v>MDH</x:v>
      </x:c>
      <x:c r="L4459" s="22" t="n">
        <x:v>340</x:v>
      </x:c>
      <x:c r="M4459" t="n">
        <x:v>40</x:v>
      </x:c>
      <x:c r="N4459" s="24" t="n">
        <x:v>0</x:v>
      </x:c>
      <x:c r="O4459" s="22" t="n">
        <x:f>L4459*M4459</x:f>
        <x:v>13600</x:v>
      </x:c>
      <x:c r="P4459" s="22" t="n">
        <x:f>O4459*(1-N4459)</x:f>
        <x:v>13600</x:v>
      </x:c>
      <x:c r="Q4459" s="22" t="n">
        <x:v>295</x:v>
      </x:c>
      <x:c r="R4459" s="22" t="n">
        <x:f>Q4459*M4459</x:f>
        <x:v>11800</x:v>
      </x:c>
      <x:c r="S4459" s="22" t="n">
        <x:f>P4459-R4459</x:f>
        <x:v>1800</x:v>
      </x:c>
      <x:c r="T4459" t="str">
        <x:v>Cash</x:v>
      </x:c>
      <x:c r="U4459" t="str">
        <x:v>Paid</x:v>
      </x:c>
      <x:c r="V4459" t="str">
        <x:v>Delivered</x:v>
      </x:c>
      <x:c r="W4459" t="n">
        <x:v>4</x:v>
      </x:c>
      <x:c r="X4459" t="str">
        <x:v>Wrong Item</x:v>
      </x:c>
      <x:c r="Y4459" t="str">
        <x:v>Existing Customer</x:v>
      </x:c>
    </x:row>
    <x:row r="4460">
      <x:c r="A4460" t="str">
        <x:v>O004459</x:v>
      </x:c>
      <x:c r="B4460" s="20" t="n">
        <x:v>46140</x:v>
      </x:c>
      <x:c r="C4460" t="str">
        <x:v>C0170</x:v>
      </x:c>
      <x:c r="D4460" t="str">
        <x:v>Green Cafe 170</x:v>
      </x:c>
      <x:c r="E4460" t="str">
        <x:v>Supermarket</x:v>
      </x:c>
      <x:c r="F4460" t="str">
        <x:v>Bengaluru</x:v>
      </x:c>
      <x:c r="G4460" t="str">
        <x:v>Sneha</x:v>
      </x:c>
      <x:c r="H4460" t="str">
        <x:v>P017</x:v>
      </x:c>
      <x:c r="I4460" t="str">
        <x:v>Butter 500g</x:v>
      </x:c>
      <x:c r="J4460" t="str">
        <x:v>Dairy</x:v>
      </x:c>
      <x:c r="K4460" t="str">
        <x:v>Amul</x:v>
      </x:c>
      <x:c r="L4460" s="22" t="n">
        <x:v>285</x:v>
      </x:c>
      <x:c r="M4460" t="n">
        <x:v>40</x:v>
      </x:c>
      <x:c r="N4460" s="24" t="n">
        <x:v>0.05</x:v>
      </x:c>
      <x:c r="O4460" s="22" t="n">
        <x:f>L4460*M4460</x:f>
        <x:v>11400</x:v>
      </x:c>
      <x:c r="P4460" s="22" t="n">
        <x:f>O4460*(1-N4460)</x:f>
        <x:v>10830</x:v>
      </x:c>
      <x:c r="Q4460" s="22" t="n">
        <x:v>258</x:v>
      </x:c>
      <x:c r="R4460" s="22" t="n">
        <x:f>Q4460*M4460</x:f>
        <x:v>10320</x:v>
      </x:c>
      <x:c r="S4460" s="22" t="n">
        <x:f>P4460-R4460</x:f>
        <x:v>510</x:v>
      </x:c>
      <x:c r="T4460" t="str">
        <x:v>UPI</x:v>
      </x:c>
      <x:c r="U4460" t="str">
        <x:v>Pending</x:v>
      </x:c>
      <x:c r="V4460" t="str">
        <x:v>Cancelled</x:v>
      </x:c>
      <x:c r="W4460" t="n">
        <x:v>40</x:v>
      </x:c>
      <x:c r="X4460" t="str">
        <x:v>Cancelled Order</x:v>
      </x:c>
      <x:c r="Y4460" t="str">
        <x:v>Outbound Call</x:v>
      </x:c>
    </x:row>
    <x:row r="4461">
      <x:c r="A4461" t="str">
        <x:v>O004460</x:v>
      </x:c>
      <x:c r="B4461" s="20" t="n">
        <x:v>46058</x:v>
      </x:c>
      <x:c r="C4461" t="str">
        <x:v>C0189</x:v>
      </x:c>
      <x:c r="D4461" t="str">
        <x:v>Classic Canteen 189</x:v>
      </x:c>
      <x:c r="E4461" t="str">
        <x:v>Kirana</x:v>
      </x:c>
      <x:c r="F4461" t="str">
        <x:v>Hubballi</x:v>
      </x:c>
      <x:c r="G4461" t="str">
        <x:v>Vikram</x:v>
      </x:c>
      <x:c r="H4461" t="str">
        <x:v>P023</x:v>
      </x:c>
      <x:c r="I4461" t="str">
        <x:v>Cola 750ml</x:v>
      </x:c>
      <x:c r="J4461" t="str">
        <x:v>Beverage</x:v>
      </x:c>
      <x:c r="K4461" t="str">
        <x:v>Coca-Cola</x:v>
      </x:c>
      <x:c r="L4461" s="22" t="n">
        <x:v>38</x:v>
      </x:c>
      <x:c r="M4461" t="n">
        <x:v>18</x:v>
      </x:c>
      <x:c r="N4461" s="24" t="n">
        <x:v>0.03</x:v>
      </x:c>
      <x:c r="O4461" s="22" t="n">
        <x:f>L4461*M4461</x:f>
        <x:v>684</x:v>
      </x:c>
      <x:c r="P4461" s="22" t="n">
        <x:f>O4461*(1-N4461)</x:f>
        <x:v>663.48</x:v>
      </x:c>
      <x:c r="Q4461" s="22" t="n">
        <x:v>31</x:v>
      </x:c>
      <x:c r="R4461" s="22" t="n">
        <x:f>Q4461*M4461</x:f>
        <x:v>558</x:v>
      </x:c>
      <x:c r="S4461" s="22" t="n">
        <x:f>P4461-R4461</x:f>
        <x:v>105.48000000000002</x:v>
      </x:c>
      <x:c r="T4461" t="str">
        <x:v>Credit</x:v>
      </x:c>
      <x:c r="U4461" t="str">
        <x:v>Pending</x:v>
      </x:c>
      <x:c r="V4461" t="str">
        <x:v>Delayed</x:v>
      </x:c>
      <x:c r="W4461" t="n">
        <x:v>0</x:v>
      </x:c>
      <x:c r="X4461" t="str"/>
      <x:c r="Y4461" t="str">
        <x:v>Field Visit</x:v>
      </x:c>
    </x:row>
    <x:row r="4462">
      <x:c r="A4462" t="str">
        <x:v>O004461</x:v>
      </x:c>
      <x:c r="B4462" s="20" t="n">
        <x:v>46264</x:v>
      </x:c>
      <x:c r="C4462" t="str">
        <x:v>C0094</x:v>
      </x:c>
      <x:c r="D4462" t="str">
        <x:v>Mysore Mart 94</x:v>
      </x:c>
      <x:c r="E4462" t="str">
        <x:v>Restaurant</x:v>
      </x:c>
      <x:c r="F4462" t="str">
        <x:v>Hubballi</x:v>
      </x:c>
      <x:c r="G4462" t="str">
        <x:v>Sneha</x:v>
      </x:c>
      <x:c r="H4462" t="str">
        <x:v>P029</x:v>
      </x:c>
      <x:c r="I4462" t="str">
        <x:v>Tomato Ketchup 1kg</x:v>
      </x:c>
      <x:c r="J4462" t="str">
        <x:v>Condiments</x:v>
      </x:c>
      <x:c r="K4462" t="str">
        <x:v>Kissan</x:v>
      </x:c>
      <x:c r="L4462" s="22" t="n">
        <x:v>145</x:v>
      </x:c>
      <x:c r="M4462" t="n">
        <x:v>2</x:v>
      </x:c>
      <x:c r="N4462" s="24" t="n">
        <x:v>0.08</x:v>
      </x:c>
      <x:c r="O4462" s="22" t="n">
        <x:f>L4462*M4462</x:f>
        <x:v>290</x:v>
      </x:c>
      <x:c r="P4462" s="22" t="n">
        <x:f>O4462*(1-N4462)</x:f>
        <x:v>266.8</x:v>
      </x:c>
      <x:c r="Q4462" s="22" t="n">
        <x:v>126</x:v>
      </x:c>
      <x:c r="R4462" s="22" t="n">
        <x:f>Q4462*M4462</x:f>
        <x:v>252</x:v>
      </x:c>
      <x:c r="S4462" s="22" t="n">
        <x:f>P4462-R4462</x:f>
        <x:v>14.800000000000011</x:v>
      </x:c>
      <x:c r="T4462" t="str">
        <x:v>Bank Transfer</x:v>
      </x:c>
      <x:c r="U4462" t="str">
        <x:v>Paid</x:v>
      </x:c>
      <x:c r="V4462" t="str">
        <x:v>Delivered</x:v>
      </x:c>
      <x:c r="W4462" t="n">
        <x:v>0</x:v>
      </x:c>
      <x:c r="X4462" t="str"/>
      <x:c r="Y4462" t="str">
        <x:v>Field Visit</x:v>
      </x:c>
    </x:row>
    <x:row r="4463">
      <x:c r="A4463" t="str">
        <x:v>O004462</x:v>
      </x:c>
      <x:c r="B4463" s="20" t="n">
        <x:v>45944</x:v>
      </x:c>
      <x:c r="C4463" t="str">
        <x:v>C0193</x:v>
      </x:c>
      <x:c r="D4463" t="str">
        <x:v>Udupi Cafe 193</x:v>
      </x:c>
      <x:c r="E4463" t="str">
        <x:v>Restaurant</x:v>
      </x:c>
      <x:c r="F4463" t="str">
        <x:v>Hubballi</x:v>
      </x:c>
      <x:c r="G4463" t="str">
        <x:v>Sneha</x:v>
      </x:c>
      <x:c r="H4463" t="str">
        <x:v>P047</x:v>
      </x:c>
      <x:c r="I4463" t="str">
        <x:v>Tomato 25kg</x:v>
      </x:c>
      <x:c r="J4463" t="str">
        <x:v>Fresh Produce</x:v>
      </x:c>
      <x:c r="K4463" t="str">
        <x:v>Local Market</x:v>
      </x:c>
      <x:c r="L4463" s="22" t="n">
        <x:v>950</x:v>
      </x:c>
      <x:c r="M4463" t="n">
        <x:v>32</x:v>
      </x:c>
      <x:c r="N4463" s="24" t="n">
        <x:v>0.08</x:v>
      </x:c>
      <x:c r="O4463" s="22" t="n">
        <x:f>L4463*M4463</x:f>
        <x:v>30400</x:v>
      </x:c>
      <x:c r="P4463" s="22" t="n">
        <x:f>O4463*(1-N4463)</x:f>
        <x:v>27968</x:v>
      </x:c>
      <x:c r="Q4463" s="22" t="n">
        <x:v>810</x:v>
      </x:c>
      <x:c r="R4463" s="22" t="n">
        <x:f>Q4463*M4463</x:f>
        <x:v>25920</x:v>
      </x:c>
      <x:c r="S4463" s="22" t="n">
        <x:f>P4463-R4463</x:f>
        <x:v>2048</x:v>
      </x:c>
      <x:c r="T4463" t="str">
        <x:v>UPI</x:v>
      </x:c>
      <x:c r="U4463" t="str">
        <x:v>Pending</x:v>
      </x:c>
      <x:c r="V4463" t="str">
        <x:v>Delivered</x:v>
      </x:c>
      <x:c r="W4463" t="n">
        <x:v>0</x:v>
      </x:c>
      <x:c r="X4463" t="str"/>
      <x:c r="Y4463" t="str">
        <x:v>Existing Customer</x:v>
      </x:c>
    </x:row>
    <x:row r="4464">
      <x:c r="A4464" t="str">
        <x:v>O004463</x:v>
      </x:c>
      <x:c r="B4464" s="20" t="n">
        <x:v>45880</x:v>
      </x:c>
      <x:c r="C4464" t="str">
        <x:v>C0150</x:v>
      </x:c>
      <x:c r="D4464" t="str">
        <x:v>Sagar Kitchen 150</x:v>
      </x:c>
      <x:c r="E4464" t="str">
        <x:v>Kirana</x:v>
      </x:c>
      <x:c r="F4464" t="str">
        <x:v>Hubballi</x:v>
      </x:c>
      <x:c r="G4464" t="str">
        <x:v>Ramesh</x:v>
      </x:c>
      <x:c r="H4464" t="str">
        <x:v>P041</x:v>
      </x:c>
      <x:c r="I4464" t="str">
        <x:v>Burger Bun 6pc</x:v>
      </x:c>
      <x:c r="J4464" t="str">
        <x:v>Bakery</x:v>
      </x:c>
      <x:c r="K4464" t="str">
        <x:v>Modern</x:v>
      </x:c>
      <x:c r="L4464" s="22" t="n">
        <x:v>42</x:v>
      </x:c>
      <x:c r="M4464" t="n">
        <x:v>31</x:v>
      </x:c>
      <x:c r="N4464" s="24" t="n">
        <x:v>0.03</x:v>
      </x:c>
      <x:c r="O4464" s="22" t="n">
        <x:f>L4464*M4464</x:f>
        <x:v>1302</x:v>
      </x:c>
      <x:c r="P4464" s="22" t="n">
        <x:f>O4464*(1-N4464)</x:f>
        <x:v>1262.94</x:v>
      </x:c>
      <x:c r="Q4464" s="22" t="n">
        <x:v>32</x:v>
      </x:c>
      <x:c r="R4464" s="22" t="n">
        <x:f>Q4464*M4464</x:f>
        <x:v>992</x:v>
      </x:c>
      <x:c r="S4464" s="22" t="n">
        <x:f>P4464-R4464</x:f>
        <x:v>270.94000000000005</x:v>
      </x:c>
      <x:c r="T4464" t="str">
        <x:v>Credit</x:v>
      </x:c>
      <x:c r="U4464" t="str">
        <x:v>Paid</x:v>
      </x:c>
      <x:c r="V4464" t="str">
        <x:v>Delivered</x:v>
      </x:c>
      <x:c r="W4464" t="n">
        <x:v>0</x:v>
      </x:c>
      <x:c r="X4464" t="str"/>
      <x:c r="Y4464" t="str"/>
    </x:row>
    <x:row r="4465">
      <x:c r="A4465" t="str">
        <x:v>O004464</x:v>
      </x:c>
      <x:c r="B4465" s="20" t="n">
        <x:v>45856</x:v>
      </x:c>
      <x:c r="C4465" t="str">
        <x:v>C0081</x:v>
      </x:c>
      <x:c r="D4465" t="str">
        <x:v>Foodie Mart 81</x:v>
      </x:c>
      <x:c r="E4465" t="str">
        <x:v>Supermarket</x:v>
      </x:c>
      <x:c r="F4465" t="str">
        <x:v>Hubballi</x:v>
      </x:c>
      <x:c r="G4465" t="str">
        <x:v>Kavya</x:v>
      </x:c>
      <x:c r="H4465" t="str">
        <x:v>P014</x:v>
      </x:c>
      <x:c r="I4465" t="str">
        <x:v>Rava 5kg</x:v>
      </x:c>
      <x:c r="J4465" t="str">
        <x:v>Flour</x:v>
      </x:c>
      <x:c r="K4465" t="str">
        <x:v>Local Select</x:v>
      </x:c>
      <x:c r="L4465" s="22" t="n">
        <x:v>245</x:v>
      </x:c>
      <x:c r="M4465" t="n">
        <x:v>17</x:v>
      </x:c>
      <x:c r="N4465" s="24" t="n">
        <x:v>0.08</x:v>
      </x:c>
      <x:c r="O4465" s="22" t="n">
        <x:f>L4465*M4465</x:f>
        <x:v>4165</x:v>
      </x:c>
      <x:c r="P4465" s="22" t="n">
        <x:f>O4465*(1-N4465)</x:f>
        <x:v>3831.8</x:v>
      </x:c>
      <x:c r="Q4465" s="22" t="n">
        <x:v>215</x:v>
      </x:c>
      <x:c r="R4465" s="22" t="n">
        <x:f>Q4465*M4465</x:f>
        <x:v>3655</x:v>
      </x:c>
      <x:c r="S4465" s="22" t="n">
        <x:f>P4465-R4465</x:f>
        <x:v>176.80000000000018</x:v>
      </x:c>
      <x:c r="T4465" t="str">
        <x:v>UPI</x:v>
      </x:c>
      <x:c r="U4465" t="str">
        <x:v>Paid</x:v>
      </x:c>
      <x:c r="V4465" t="str">
        <x:v>Delayed</x:v>
      </x:c>
      <x:c r="W4465" t="n">
        <x:v>0</x:v>
      </x:c>
      <x:c r="X4465" t="str"/>
      <x:c r="Y4465" t="str">
        <x:v>Referral</x:v>
      </x:c>
    </x:row>
    <x:row r="4466">
      <x:c r="A4466" t="str">
        <x:v>O004465</x:v>
      </x:c>
      <x:c r="B4466" s="20" t="n">
        <x:v>45660</x:v>
      </x:c>
      <x:c r="C4466" t="str">
        <x:v>C0119</x:v>
      </x:c>
      <x:c r="D4466" t="str">
        <x:v>Foodie Foods 119</x:v>
      </x:c>
      <x:c r="E4466" t="str">
        <x:v>Kirana</x:v>
      </x:c>
      <x:c r="F4466" t="str">
        <x:v>Hubballi</x:v>
      </x:c>
      <x:c r="G4466" t="str">
        <x:v>Imran</x:v>
      </x:c>
      <x:c r="H4466" t="str">
        <x:v>P003</x:v>
      </x:c>
      <x:c r="I4466" t="str">
        <x:v>Basmati Rice 5kg</x:v>
      </x:c>
      <x:c r="J4466" t="str">
        <x:v>Staples</x:v>
      </x:c>
      <x:c r="K4466" t="str">
        <x:v>India Gate</x:v>
      </x:c>
      <x:c r="L4466" s="22" t="n">
        <x:v>690</x:v>
      </x:c>
      <x:c r="M4466" t="n">
        <x:v>2</x:v>
      </x:c>
      <x:c r="N4466" s="24" t="n">
        <x:v>0</x:v>
      </x:c>
      <x:c r="O4466" s="22" t="n">
        <x:f>L4466*M4466</x:f>
        <x:v>1380</x:v>
      </x:c>
      <x:c r="P4466" s="22" t="n">
        <x:f>O4466*(1-N4466)</x:f>
        <x:v>1380</x:v>
      </x:c>
      <x:c r="Q4466" s="22" t="n">
        <x:v>610</x:v>
      </x:c>
      <x:c r="R4466" s="22" t="n">
        <x:f>Q4466*M4466</x:f>
        <x:v>1220</x:v>
      </x:c>
      <x:c r="S4466" s="22" t="n">
        <x:f>P4466-R4466</x:f>
        <x:v>160</x:v>
      </x:c>
      <x:c r="T4466" t="str">
        <x:v>Credit</x:v>
      </x:c>
      <x:c r="U4466" t="str">
        <x:v>Paid</x:v>
      </x:c>
      <x:c r="V4466" t="str">
        <x:v>Delivered</x:v>
      </x:c>
      <x:c r="W4466" t="n">
        <x:v>0</x:v>
      </x:c>
      <x:c r="X4466" t="str"/>
      <x:c r="Y4466" t="str">
        <x:v>Referral</x:v>
      </x:c>
    </x:row>
    <x:row r="4467">
      <x:c r="A4467" t="str">
        <x:v>O004466</x:v>
      </x:c>
      <x:c r="B4467" s="20" t="n">
        <x:v>46102</x:v>
      </x:c>
      <x:c r="C4467" t="str">
        <x:v>C0199</x:v>
      </x:c>
      <x:c r="D4467" t="str">
        <x:v>Classic Cafe 199</x:v>
      </x:c>
      <x:c r="E4467" t="str">
        <x:v>Canteen</x:v>
      </x:c>
      <x:c r="F4467" t="str">
        <x:v>Mangaluru</x:v>
      </x:c>
      <x:c r="G4467" t="str">
        <x:v>Ramesh</x:v>
      </x:c>
      <x:c r="H4467" t="str">
        <x:v>P040</x:v>
      </x:c>
      <x:c r="I4467" t="str">
        <x:v>Bread Loaf 400g</x:v>
      </x:c>
      <x:c r="J4467" t="str">
        <x:v>Bakery</x:v>
      </x:c>
      <x:c r="K4467" t="str">
        <x:v>Britannia</x:v>
      </x:c>
      <x:c r="L4467" s="22" t="n">
        <x:v>45</x:v>
      </x:c>
      <x:c r="M4467" t="n">
        <x:v>19</x:v>
      </x:c>
      <x:c r="N4467" s="24" t="n">
        <x:v>0.05</x:v>
      </x:c>
      <x:c r="O4467" s="22" t="n">
        <x:f>L4467*M4467</x:f>
        <x:v>855</x:v>
      </x:c>
      <x:c r="P4467" s="22" t="n">
        <x:f>O4467*(1-N4467)</x:f>
        <x:v>812.25</x:v>
      </x:c>
      <x:c r="Q4467" s="22" t="n">
        <x:v>35</x:v>
      </x:c>
      <x:c r="R4467" s="22" t="n">
        <x:f>Q4467*M4467</x:f>
        <x:v>665</x:v>
      </x:c>
      <x:c r="S4467" s="22" t="n">
        <x:f>P4467-R4467</x:f>
        <x:v>147.25</x:v>
      </x:c>
      <x:c r="T4467" t="str">
        <x:v>UPI</x:v>
      </x:c>
      <x:c r="U4467" t="str">
        <x:v>Overdue</x:v>
      </x:c>
      <x:c r="V4467" t="str">
        <x:v>Delivered</x:v>
      </x:c>
      <x:c r="W4467" t="n">
        <x:v>0</x:v>
      </x:c>
      <x:c r="X4467" t="str"/>
      <x:c r="Y4467" t="str">
        <x:v>Field Visit</x:v>
      </x:c>
    </x:row>
    <x:row r="4468">
      <x:c r="A4468" t="str">
        <x:v>O004467</x:v>
      </x:c>
      <x:c r="B4468" s="20" t="n">
        <x:v>45865</x:v>
      </x:c>
      <x:c r="C4468" t="str">
        <x:v>C0121</x:v>
      </x:c>
      <x:c r="D4468" t="str">
        <x:v>Mysore Restaurant 121</x:v>
      </x:c>
      <x:c r="E4468" t="str">
        <x:v>Cafe</x:v>
      </x:c>
      <x:c r="F4468" t="str">
        <x:v>Mysuru</x:v>
      </x:c>
      <x:c r="G4468" t="str">
        <x:v>Sneha</x:v>
      </x:c>
      <x:c r="H4468" t="str">
        <x:v>P010</x:v>
      </x:c>
      <x:c r="I4468" t="str">
        <x:v>Sugar 25kg</x:v>
      </x:c>
      <x:c r="J4468" t="str">
        <x:v>Staples</x:v>
      </x:c>
      <x:c r="K4468" t="str">
        <x:v>Madhur</x:v>
      </x:c>
      <x:c r="L4468" s="22" t="n">
        <x:v>1190</x:v>
      </x:c>
      <x:c r="M4468" t="n">
        <x:v>4</x:v>
      </x:c>
      <x:c r="N4468" s="24" t="n">
        <x:v>0.05</x:v>
      </x:c>
      <x:c r="O4468" s="22" t="n">
        <x:f>L4468*M4468</x:f>
        <x:v>4760</x:v>
      </x:c>
      <x:c r="P4468" s="22" t="n">
        <x:f>O4468*(1-N4468)</x:f>
        <x:v>4522</x:v>
      </x:c>
      <x:c r="Q4468" s="22" t="n">
        <x:v>1080</x:v>
      </x:c>
      <x:c r="R4468" s="22" t="n">
        <x:f>Q4468*M4468</x:f>
        <x:v>4320</x:v>
      </x:c>
      <x:c r="S4468" s="22" t="n">
        <x:f>P4468-R4468</x:f>
        <x:v>202</x:v>
      </x:c>
      <x:c r="T4468" t="str">
        <x:v>Cash</x:v>
      </x:c>
      <x:c r="U4468" t="str">
        <x:v>Paid</x:v>
      </x:c>
      <x:c r="V4468" t="str">
        <x:v>Delivered</x:v>
      </x:c>
      <x:c r="W4468" t="n">
        <x:v>0</x:v>
      </x:c>
      <x:c r="X4468" t="str"/>
      <x:c r="Y4468" t="str">
        <x:v>Referral</x:v>
      </x:c>
    </x:row>
    <x:row r="4469">
      <x:c r="A4469" t="str">
        <x:v>O004468</x:v>
      </x:c>
      <x:c r="B4469" s="20" t="n">
        <x:v>45912</x:v>
      </x:c>
      <x:c r="C4469" t="str">
        <x:v>C0245</x:v>
      </x:c>
      <x:c r="D4469" t="str">
        <x:v>Udupi Cafe 245</x:v>
      </x:c>
      <x:c r="E4469" t="str">
        <x:v>Canteen</x:v>
      </x:c>
      <x:c r="F4469" t="str">
        <x:v>Bengaluru</x:v>
      </x:c>
      <x:c r="G4469" t="str">
        <x:v>Priya</x:v>
      </x:c>
      <x:c r="H4469" t="str">
        <x:v>P015</x:v>
      </x:c>
      <x:c r="I4469" t="str">
        <x:v>Milk 1L</x:v>
      </x:c>
      <x:c r="J4469" t="str">
        <x:v>Dairy</x:v>
      </x:c>
      <x:c r="K4469" t="str">
        <x:v>Nandini</x:v>
      </x:c>
      <x:c r="L4469" s="22" t="n">
        <x:v>48</x:v>
      </x:c>
      <x:c r="M4469" t="n">
        <x:v>2</x:v>
      </x:c>
      <x:c r="N4469" s="24" t="n">
        <x:v>0.03</x:v>
      </x:c>
      <x:c r="O4469" s="22" t="n">
        <x:f>L4469*M4469</x:f>
        <x:v>96</x:v>
      </x:c>
      <x:c r="P4469" s="22" t="n">
        <x:f>O4469*(1-N4469)</x:f>
        <x:v>93.12</x:v>
      </x:c>
      <x:c r="Q4469" s="22" t="n">
        <x:v>43</x:v>
      </x:c>
      <x:c r="R4469" s="22" t="n">
        <x:f>Q4469*M4469</x:f>
        <x:v>86</x:v>
      </x:c>
      <x:c r="S4469" s="22" t="n">
        <x:f>P4469-R4469</x:f>
        <x:v>7.1200000000000045</x:v>
      </x:c>
      <x:c r="T4469" t="str">
        <x:v>UPI</x:v>
      </x:c>
      <x:c r="U4469" t="str">
        <x:v>Pending</x:v>
      </x:c>
      <x:c r="V4469" t="str">
        <x:v>Cancelled</x:v>
      </x:c>
      <x:c r="W4469" t="n">
        <x:v>2</x:v>
      </x:c>
      <x:c r="X4469" t="str">
        <x:v>Cancelled Order</x:v>
      </x:c>
      <x:c r="Y4469" t="str">
        <x:v>Field Visit</x:v>
      </x:c>
    </x:row>
    <x:row r="4470">
      <x:c r="A4470" t="str">
        <x:v>O004469</x:v>
      </x:c>
      <x:c r="B4470" s="20" t="n">
        <x:v>45671</x:v>
      </x:c>
      <x:c r="C4470" t="str">
        <x:v>C0250</x:v>
      </x:c>
      <x:c r="D4470" t="str">
        <x:v>Namma Hotel 250</x:v>
      </x:c>
      <x:c r="E4470" t="str">
        <x:v>Cafe</x:v>
      </x:c>
      <x:c r="F4470" t="str">
        <x:v>Bengaluru</x:v>
      </x:c>
      <x:c r="G4470" t="str">
        <x:v>Sneha</x:v>
      </x:c>
      <x:c r="H4470" t="str">
        <x:v>P041</x:v>
      </x:c>
      <x:c r="I4470" t="str">
        <x:v>Burger Bun 6pc</x:v>
      </x:c>
      <x:c r="J4470" t="str">
        <x:v>Bakery</x:v>
      </x:c>
      <x:c r="K4470" t="str">
        <x:v>Modern</x:v>
      </x:c>
      <x:c r="L4470" s="22" t="n">
        <x:v>42</x:v>
      </x:c>
      <x:c r="M4470" t="n">
        <x:v>35</x:v>
      </x:c>
      <x:c r="N4470" s="24" t="n">
        <x:v>0.08</x:v>
      </x:c>
      <x:c r="O4470" s="22" t="n">
        <x:f>L4470*M4470</x:f>
        <x:v>1470</x:v>
      </x:c>
      <x:c r="P4470" s="22" t="n">
        <x:f>O4470*(1-N4470)</x:f>
        <x:v>1352.4</x:v>
      </x:c>
      <x:c r="Q4470" s="22" t="n">
        <x:v>32</x:v>
      </x:c>
      <x:c r="R4470" s="22" t="n">
        <x:f>Q4470*M4470</x:f>
        <x:v>1120</x:v>
      </x:c>
      <x:c r="S4470" s="22" t="n">
        <x:f>P4470-R4470</x:f>
        <x:v>232.4000000000001</x:v>
      </x:c>
      <x:c r="T4470" t="str">
        <x:v>Credit</x:v>
      </x:c>
      <x:c r="U4470" t="str">
        <x:v>Pending</x:v>
      </x:c>
      <x:c r="V4470" t="str">
        <x:v>Delivered</x:v>
      </x:c>
      <x:c r="W4470" t="n">
        <x:v>0</x:v>
      </x:c>
      <x:c r="X4470" t="str"/>
      <x:c r="Y4470" t="str">
        <x:v>Field Visit</x:v>
      </x:c>
    </x:row>
    <x:row r="4471">
      <x:c r="A4471" t="str">
        <x:v>O004470</x:v>
      </x:c>
      <x:c r="B4471" s="20" t="n">
        <x:v>45895</x:v>
      </x:c>
      <x:c r="C4471" t="str">
        <x:v>C0078</x:v>
      </x:c>
      <x:c r="D4471" t="str">
        <x:v>Sagar Canteen 78</x:v>
      </x:c>
      <x:c r="E4471" t="str">
        <x:v>Hotel</x:v>
      </x:c>
      <x:c r="F4471" t="str">
        <x:v>Mangaluru</x:v>
      </x:c>
      <x:c r="G4471" t="str">
        <x:v>Ramesh</x:v>
      </x:c>
      <x:c r="H4471" t="str">
        <x:v>P020</x:v>
      </x:c>
      <x:c r="I4471" t="str">
        <x:v>Coffee 500g</x:v>
      </x:c>
      <x:c r="J4471" t="str">
        <x:v>Beverage</x:v>
      </x:c>
      <x:c r="K4471" t="str">
        <x:v>Bru</x:v>
      </x:c>
      <x:c r="L4471" s="22" t="n">
        <x:v>390</x:v>
      </x:c>
      <x:c r="M4471" t="n">
        <x:v>4</x:v>
      </x:c>
      <x:c r="N4471" s="24" t="n">
        <x:v>0.02</x:v>
      </x:c>
      <x:c r="O4471" s="22" t="n">
        <x:f>L4471*M4471</x:f>
        <x:v>1560</x:v>
      </x:c>
      <x:c r="P4471" s="22" t="n">
        <x:f>O4471*(1-N4471)</x:f>
        <x:v>1528.8</x:v>
      </x:c>
      <x:c r="Q4471" s="22" t="n">
        <x:v>350</x:v>
      </x:c>
      <x:c r="R4471" s="22" t="n">
        <x:f>Q4471*M4471</x:f>
        <x:v>1400</x:v>
      </x:c>
      <x:c r="S4471" s="22" t="n">
        <x:f>P4471-R4471</x:f>
        <x:v>128.79999999999995</x:v>
      </x:c>
      <x:c r="T4471" t="str">
        <x:v>Cash</x:v>
      </x:c>
      <x:c r="U4471" t="str">
        <x:v>Paid</x:v>
      </x:c>
      <x:c r="V4471" t="str">
        <x:v>Delivered</x:v>
      </x:c>
      <x:c r="W4471" t="n">
        <x:v>0</x:v>
      </x:c>
      <x:c r="X4471" t="str"/>
      <x:c r="Y4471" t="str">
        <x:v>Referral</x:v>
      </x:c>
    </x:row>
    <x:row r="4472">
      <x:c r="A4472" t="str">
        <x:v>O004471</x:v>
      </x:c>
      <x:c r="B4472" s="20" t="n">
        <x:v>45767</x:v>
      </x:c>
      <x:c r="C4472" t="str">
        <x:v>C0035</x:v>
      </x:c>
      <x:c r="D4472" t="str">
        <x:v>City Foods 35</x:v>
      </x:c>
      <x:c r="E4472" t="str">
        <x:v>Kirana</x:v>
      </x:c>
      <x:c r="F4472" t="str">
        <x:v>Bengaluru</x:v>
      </x:c>
      <x:c r="G4472" t="str">
        <x:v>Megha</x:v>
      </x:c>
      <x:c r="H4472" t="str">
        <x:v>P029</x:v>
      </x:c>
      <x:c r="I4472" t="str">
        <x:v>Tomato Ketchup 1kg</x:v>
      </x:c>
      <x:c r="J4472" t="str">
        <x:v>Condiments</x:v>
      </x:c>
      <x:c r="K4472" t="str">
        <x:v>Kissan</x:v>
      </x:c>
      <x:c r="L4472" s="22" t="n">
        <x:v>145</x:v>
      </x:c>
      <x:c r="M4472" t="n">
        <x:v>26</x:v>
      </x:c>
      <x:c r="N4472" s="24" t="n">
        <x:v>0.03</x:v>
      </x:c>
      <x:c r="O4472" s="22" t="n">
        <x:f>L4472*M4472</x:f>
        <x:v>3770</x:v>
      </x:c>
      <x:c r="P4472" s="22" t="n">
        <x:f>O4472*(1-N4472)</x:f>
        <x:v>3656.9</x:v>
      </x:c>
      <x:c r="Q4472" s="22" t="n">
        <x:v>126</x:v>
      </x:c>
      <x:c r="R4472" s="22" t="n">
        <x:f>Q4472*M4472</x:f>
        <x:v>3276</x:v>
      </x:c>
      <x:c r="S4472" s="22" t="n">
        <x:f>P4472-R4472</x:f>
        <x:v>380.9000000000001</x:v>
      </x:c>
      <x:c r="T4472" t="str">
        <x:v>UPI</x:v>
      </x:c>
      <x:c r="U4472" t="str">
        <x:v>Paid</x:v>
      </x:c>
      <x:c r="V4472" t="str">
        <x:v>Delivered</x:v>
      </x:c>
      <x:c r="W4472" t="n">
        <x:v>0</x:v>
      </x:c>
      <x:c r="X4472" t="str"/>
      <x:c r="Y4472" t="str">
        <x:v>WhatsApp</x:v>
      </x:c>
    </x:row>
    <x:row r="4473">
      <x:c r="A4473" t="str">
        <x:v>O004472</x:v>
      </x:c>
      <x:c r="B4473" s="20" t="n">
        <x:v>45896</x:v>
      </x:c>
      <x:c r="C4473" t="str">
        <x:v>C0231</x:v>
      </x:c>
      <x:c r="D4473" t="str">
        <x:v>Metro Canteen 231</x:v>
      </x:c>
      <x:c r="E4473" t="str">
        <x:v>Canteen</x:v>
      </x:c>
      <x:c r="F4473" t="str">
        <x:v>Mangaluru</x:v>
      </x:c>
      <x:c r="G4473" t="str">
        <x:v>Megha</x:v>
      </x:c>
      <x:c r="H4473" t="str">
        <x:v>P028</x:v>
      </x:c>
      <x:c r="I4473" t="str">
        <x:v>Cookies 200g</x:v>
      </x:c>
      <x:c r="J4473" t="str">
        <x:v>Snacks</x:v>
      </x:c>
      <x:c r="K4473" t="str">
        <x:v>Britannia</x:v>
      </x:c>
      <x:c r="L4473" s="22" t="n">
        <x:v>55</x:v>
      </x:c>
      <x:c r="M4473" t="n">
        <x:v>24</x:v>
      </x:c>
      <x:c r="N4473" s="24" t="n">
        <x:v>0</x:v>
      </x:c>
      <x:c r="O4473" s="22" t="n">
        <x:f>L4473*M4473</x:f>
        <x:v>1320</x:v>
      </x:c>
      <x:c r="P4473" s="22" t="n">
        <x:f>O4473*(1-N4473)</x:f>
        <x:v>1320</x:v>
      </x:c>
      <x:c r="Q4473" s="22" t="n">
        <x:v>42</x:v>
      </x:c>
      <x:c r="R4473" s="22" t="n">
        <x:f>Q4473*M4473</x:f>
        <x:v>1008</x:v>
      </x:c>
      <x:c r="S4473" s="22" t="n">
        <x:f>P4473-R4473</x:f>
        <x:v>312</x:v>
      </x:c>
      <x:c r="T4473" t="str">
        <x:v>Cash</x:v>
      </x:c>
      <x:c r="U4473" t="str">
        <x:v>Paid</x:v>
      </x:c>
      <x:c r="V4473" t="str">
        <x:v>Delivered</x:v>
      </x:c>
      <x:c r="W4473" t="n">
        <x:v>0</x:v>
      </x:c>
      <x:c r="X4473" t="str"/>
      <x:c r="Y4473" t="str">
        <x:v>WhatsApp</x:v>
      </x:c>
    </x:row>
    <x:row r="4474">
      <x:c r="A4474" t="str">
        <x:v>O004473</x:v>
      </x:c>
      <x:c r="B4474" s="20" t="n">
        <x:v>45664</x:v>
      </x:c>
      <x:c r="C4474" t="str">
        <x:v>C0004</x:v>
      </x:c>
      <x:c r="D4474" t="str">
        <x:v>Annapurna Foods 4</x:v>
      </x:c>
      <x:c r="E4474" t="str">
        <x:v>Cafe</x:v>
      </x:c>
      <x:c r="F4474" t="str">
        <x:v>Mysuru</x:v>
      </x:c>
      <x:c r="G4474" t="str">
        <x:v>Priya</x:v>
      </x:c>
      <x:c r="H4474" t="str">
        <x:v>P029</x:v>
      </x:c>
      <x:c r="I4474" t="str">
        <x:v>Tomato Ketchup 1kg</x:v>
      </x:c>
      <x:c r="J4474" t="str">
        <x:v>Condiments</x:v>
      </x:c>
      <x:c r="K4474" t="str">
        <x:v>Kissan</x:v>
      </x:c>
      <x:c r="L4474" s="22" t="n">
        <x:v>145</x:v>
      </x:c>
      <x:c r="M4474" t="n">
        <x:v>26</x:v>
      </x:c>
      <x:c r="N4474" s="24" t="n">
        <x:v>0.03</x:v>
      </x:c>
      <x:c r="O4474" s="22" t="n">
        <x:f>L4474*M4474</x:f>
        <x:v>3770</x:v>
      </x:c>
      <x:c r="P4474" s="22" t="n">
        <x:f>O4474*(1-N4474)</x:f>
        <x:v>3656.9</x:v>
      </x:c>
      <x:c r="Q4474" s="22" t="n">
        <x:v>126</x:v>
      </x:c>
      <x:c r="R4474" s="22" t="n">
        <x:f>Q4474*M4474</x:f>
        <x:v>3276</x:v>
      </x:c>
      <x:c r="S4474" s="22" t="n">
        <x:f>P4474-R4474</x:f>
        <x:v>380.9000000000001</x:v>
      </x:c>
      <x:c r="T4474" t="str">
        <x:v>Credit</x:v>
      </x:c>
      <x:c r="U4474" t="str">
        <x:v>Paid</x:v>
      </x:c>
      <x:c r="V4474" t="str">
        <x:v>Cancelled</x:v>
      </x:c>
      <x:c r="W4474" t="n">
        <x:v>26</x:v>
      </x:c>
      <x:c r="X4474" t="str">
        <x:v>Cancelled Order</x:v>
      </x:c>
      <x:c r="Y4474" t="str">
        <x:v>Field Visit</x:v>
      </x:c>
    </x:row>
    <x:row r="4475">
      <x:c r="A4475" t="str">
        <x:v>O004474</x:v>
      </x:c>
      <x:c r="B4475" s="20" t="n">
        <x:v>46016</x:v>
      </x:c>
      <x:c r="C4475" t="str">
        <x:v>C0122</x:v>
      </x:c>
      <x:c r="D4475" t="str">
        <x:v>Namma Restaurant 122</x:v>
      </x:c>
      <x:c r="E4475" t="str">
        <x:v>Kirana</x:v>
      </x:c>
      <x:c r="F4475" t="str">
        <x:v>Hubballi</x:v>
      </x:c>
      <x:c r="G4475" t="str">
        <x:v>Sneha</x:v>
      </x:c>
      <x:c r="H4475" t="str">
        <x:v>P016</x:v>
      </x:c>
      <x:c r="I4475" t="str">
        <x:v>Curd 1kg</x:v>
      </x:c>
      <x:c r="J4475" t="str">
        <x:v>Dairy</x:v>
      </x:c>
      <x:c r="K4475" t="str">
        <x:v>Nandini</x:v>
      </x:c>
      <x:c r="L4475" s="22" t="n">
        <x:v>72</x:v>
      </x:c>
      <x:c r="M4475" t="n">
        <x:v>39</x:v>
      </x:c>
      <x:c r="N4475" s="24" t="n">
        <x:v>0.05</x:v>
      </x:c>
      <x:c r="O4475" s="22" t="n">
        <x:f>L4475*M4475</x:f>
        <x:v>2808</x:v>
      </x:c>
      <x:c r="P4475" s="22" t="n">
        <x:f>O4475*(1-N4475)</x:f>
        <x:v>2667.6</x:v>
      </x:c>
      <x:c r="Q4475" s="22" t="n">
        <x:v>64</x:v>
      </x:c>
      <x:c r="R4475" s="22" t="n">
        <x:f>Q4475*M4475</x:f>
        <x:v>2496</x:v>
      </x:c>
      <x:c r="S4475" s="22" t="n">
        <x:f>P4475-R4475</x:f>
        <x:v>171.5999999999999</x:v>
      </x:c>
      <x:c r="T4475" t="str">
        <x:v>Credit</x:v>
      </x:c>
      <x:c r="U4475" t="str">
        <x:v>Paid</x:v>
      </x:c>
      <x:c r="V4475" t="str">
        <x:v>Delivered</x:v>
      </x:c>
      <x:c r="W4475" t="n">
        <x:v>0</x:v>
      </x:c>
      <x:c r="X4475" t="str"/>
      <x:c r="Y4475" t="str">
        <x:v>WhatsApp</x:v>
      </x:c>
    </x:row>
    <x:row r="4476">
      <x:c r="A4476" t="str">
        <x:v>O004475</x:v>
      </x:c>
      <x:c r="B4476" s="20" t="n">
        <x:v>45834</x:v>
      </x:c>
      <x:c r="C4476" t="str">
        <x:v>C0048</x:v>
      </x:c>
      <x:c r="D4476" t="str">
        <x:v>Udupi Foods 48</x:v>
      </x:c>
      <x:c r="E4476" t="str">
        <x:v>Hotel</x:v>
      </x:c>
      <x:c r="F4476" t="str">
        <x:v>Bengaluru</x:v>
      </x:c>
      <x:c r="G4476" t="str">
        <x:v>Ramesh</x:v>
      </x:c>
      <x:c r="H4476" t="str">
        <x:v>P022</x:v>
      </x:c>
      <x:c r="I4476" t="str">
        <x:v>Mineral Water 1L</x:v>
      </x:c>
      <x:c r="J4476" t="str">
        <x:v>Beverage</x:v>
      </x:c>
      <x:c r="K4476" t="str">
        <x:v>Bisleri</x:v>
      </x:c>
      <x:c r="L4476" s="22" t="n">
        <x:v>19</x:v>
      </x:c>
      <x:c r="M4476" t="n">
        <x:v>21</x:v>
      </x:c>
      <x:c r="N4476" s="24" t="n">
        <x:v>0.03</x:v>
      </x:c>
      <x:c r="O4476" s="22" t="n">
        <x:f>L4476*M4476</x:f>
        <x:v>399</x:v>
      </x:c>
      <x:c r="P4476" s="22" t="n">
        <x:f>O4476*(1-N4476)</x:f>
        <x:v>387.03</x:v>
      </x:c>
      <x:c r="Q4476" s="22" t="n">
        <x:v>15</x:v>
      </x:c>
      <x:c r="R4476" s="22" t="n">
        <x:f>Q4476*M4476</x:f>
        <x:v>315</x:v>
      </x:c>
      <x:c r="S4476" s="22" t="n">
        <x:f>P4476-R4476</x:f>
        <x:v>72.02999999999997</x:v>
      </x:c>
      <x:c r="T4476" t="str">
        <x:v>Credit</x:v>
      </x:c>
      <x:c r="U4476" t="str">
        <x:v>Paid</x:v>
      </x:c>
      <x:c r="V4476" t="str">
        <x:v>Delayed</x:v>
      </x:c>
      <x:c r="W4476" t="n">
        <x:v>0</x:v>
      </x:c>
      <x:c r="X4476" t="str"/>
      <x:c r="Y4476" t="str">
        <x:v>WhatsApp</x:v>
      </x:c>
    </x:row>
    <x:row r="4477">
      <x:c r="A4477" t="str">
        <x:v>O004476</x:v>
      </x:c>
      <x:c r="B4477" s="20" t="n">
        <x:v>45884</x:v>
      </x:c>
      <x:c r="C4477" t="str">
        <x:v>C0208</x:v>
      </x:c>
      <x:c r="D4477" t="str">
        <x:v>Green Foods 208</x:v>
      </x:c>
      <x:c r="E4477" t="str">
        <x:v>Hotel</x:v>
      </x:c>
      <x:c r="F4477" t="str">
        <x:v>Mysuru</x:v>
      </x:c>
      <x:c r="G4477" t="str">
        <x:v>Ramesh</x:v>
      </x:c>
      <x:c r="H4477" t="str">
        <x:v>P049</x:v>
      </x:c>
      <x:c r="I4477" t="str">
        <x:v>Apple 10kg</x:v>
      </x:c>
      <x:c r="J4477" t="str">
        <x:v>Fresh Produce</x:v>
      </x:c>
      <x:c r="K4477" t="str">
        <x:v>Local Market</x:v>
      </x:c>
      <x:c r="L4477" s="22" t="n">
        <x:v>1450</x:v>
      </x:c>
      <x:c r="M4477" t="n">
        <x:v>6</x:v>
      </x:c>
      <x:c r="N4477" s="24" t="n">
        <x:v>0</x:v>
      </x:c>
      <x:c r="O4477" s="22" t="n">
        <x:f>L4477*M4477</x:f>
        <x:v>8700</x:v>
      </x:c>
      <x:c r="P4477" s="22" t="n">
        <x:f>O4477*(1-N4477)</x:f>
        <x:v>8700</x:v>
      </x:c>
      <x:c r="Q4477" s="22" t="n">
        <x:v>1280</x:v>
      </x:c>
      <x:c r="R4477" s="22" t="n">
        <x:f>Q4477*M4477</x:f>
        <x:v>7680</x:v>
      </x:c>
      <x:c r="S4477" s="22" t="n">
        <x:f>P4477-R4477</x:f>
        <x:v>1020</x:v>
      </x:c>
      <x:c r="T4477" t="str">
        <x:v>Credit</x:v>
      </x:c>
      <x:c r="U4477" t="str">
        <x:v>Paid</x:v>
      </x:c>
      <x:c r="V4477" t="str">
        <x:v>Cancelled</x:v>
      </x:c>
      <x:c r="W4477" t="n">
        <x:v>6</x:v>
      </x:c>
      <x:c r="X4477" t="str">
        <x:v>Cancelled Order</x:v>
      </x:c>
      <x:c r="Y4477" t="str">
        <x:v>Referral</x:v>
      </x:c>
    </x:row>
    <x:row r="4478">
      <x:c r="A4478" t="str">
        <x:v>O004477</x:v>
      </x:c>
      <x:c r="B4478" s="20" t="n">
        <x:v>46149</x:v>
      </x:c>
      <x:c r="C4478" t="str">
        <x:v>C0167</x:v>
      </x:c>
      <x:c r="D4478" t="str">
        <x:v>Foodie Canteen 167</x:v>
      </x:c>
      <x:c r="E4478" t="str">
        <x:v>Canteen</x:v>
      </x:c>
      <x:c r="F4478" t="str">
        <x:v>Bengaluru</x:v>
      </x:c>
      <x:c r="G4478" t="str">
        <x:v>Megha</x:v>
      </x:c>
      <x:c r="H4478" t="str">
        <x:v>P016</x:v>
      </x:c>
      <x:c r="I4478" t="str">
        <x:v>Curd 1kg</x:v>
      </x:c>
      <x:c r="J4478" t="str">
        <x:v>Dairy</x:v>
      </x:c>
      <x:c r="K4478" t="str">
        <x:v>Nandini</x:v>
      </x:c>
      <x:c r="L4478" s="22" t="n">
        <x:v>72</x:v>
      </x:c>
      <x:c r="M4478" t="n">
        <x:v>2</x:v>
      </x:c>
      <x:c r="N4478" s="24" t="n">
        <x:v>0</x:v>
      </x:c>
      <x:c r="O4478" s="22" t="n">
        <x:f>L4478*M4478</x:f>
        <x:v>144</x:v>
      </x:c>
      <x:c r="P4478" s="22" t="n">
        <x:f>O4478*(1-N4478)</x:f>
        <x:v>144</x:v>
      </x:c>
      <x:c r="Q4478" s="22" t="n">
        <x:v>64</x:v>
      </x:c>
      <x:c r="R4478" s="22" t="n">
        <x:f>Q4478*M4478</x:f>
        <x:v>128</x:v>
      </x:c>
      <x:c r="S4478" s="22" t="n">
        <x:f>P4478-R4478</x:f>
        <x:v>16</x:v>
      </x:c>
      <x:c r="T4478" t="str">
        <x:v>UPI</x:v>
      </x:c>
      <x:c r="U4478" t="str">
        <x:v>Pending</x:v>
      </x:c>
      <x:c r="V4478" t="str">
        <x:v>Delivered</x:v>
      </x:c>
      <x:c r="W4478" t="n">
        <x:v>0</x:v>
      </x:c>
      <x:c r="X4478" t="str"/>
      <x:c r="Y4478" t="str">
        <x:v>Outbound Call</x:v>
      </x:c>
    </x:row>
    <x:row r="4479">
      <x:c r="A4479" t="str">
        <x:v>O004478</x:v>
      </x:c>
      <x:c r="B4479" s="20" t="n">
        <x:v>45736</x:v>
      </x:c>
      <x:c r="C4479" t="str">
        <x:v>C0204</x:v>
      </x:c>
      <x:c r="D4479" t="str">
        <x:v>Udupi Stores 204</x:v>
      </x:c>
      <x:c r="E4479" t="str">
        <x:v>Kirana</x:v>
      </x:c>
      <x:c r="F4479" t="str">
        <x:v>Bengaluru</x:v>
      </x:c>
      <x:c r="G4479" t="str">
        <x:v>Vikram</x:v>
      </x:c>
      <x:c r="H4479" t="str">
        <x:v>P042</x:v>
      </x:c>
      <x:c r="I4479" t="str">
        <x:v>Eggs 30pc Tray</x:v>
      </x:c>
      <x:c r="J4479" t="str">
        <x:v>Protein</x:v>
      </x:c>
      <x:c r="K4479" t="str">
        <x:v>Farm Fresh</x:v>
      </x:c>
      <x:c r="L4479" s="22" t="n">
        <x:v>195</x:v>
      </x:c>
      <x:c r="M4479" t="n">
        <x:v>23</x:v>
      </x:c>
      <x:c r="N4479" s="24" t="n">
        <x:v>0.05</x:v>
      </x:c>
      <x:c r="O4479" s="22" t="n">
        <x:f>L4479*M4479</x:f>
        <x:v>4485</x:v>
      </x:c>
      <x:c r="P4479" s="22" t="n">
        <x:f>O4479*(1-N4479)</x:f>
        <x:v>4260.75</x:v>
      </x:c>
      <x:c r="Q4479" s="22" t="n">
        <x:v>170</x:v>
      </x:c>
      <x:c r="R4479" s="22" t="n">
        <x:f>Q4479*M4479</x:f>
        <x:v>3910</x:v>
      </x:c>
      <x:c r="S4479" s="22" t="n">
        <x:f>P4479-R4479</x:f>
        <x:v>350.75</x:v>
      </x:c>
      <x:c r="T4479" t="str">
        <x:v>UPI</x:v>
      </x:c>
      <x:c r="U4479" t="str">
        <x:v>Paid</x:v>
      </x:c>
      <x:c r="V4479" t="str">
        <x:v>Delivered</x:v>
      </x:c>
      <x:c r="W4479" t="n">
        <x:v>0</x:v>
      </x:c>
      <x:c r="X4479" t="str"/>
      <x:c r="Y4479" t="str">
        <x:v>Referral</x:v>
      </x:c>
    </x:row>
    <x:row r="4480">
      <x:c r="A4480" t="str">
        <x:v>O004479</x:v>
      </x:c>
      <x:c r="B4480" s="20" t="n">
        <x:v>45972</x:v>
      </x:c>
      <x:c r="C4480" t="str">
        <x:v>C0015</x:v>
      </x:c>
      <x:c r="D4480" t="str">
        <x:v>Royal Foods 15</x:v>
      </x:c>
      <x:c r="E4480" t="str">
        <x:v>Cafe</x:v>
      </x:c>
      <x:c r="F4480" t="str">
        <x:v>Mysuru</x:v>
      </x:c>
      <x:c r="G4480" t="str">
        <x:v>Ramesh</x:v>
      </x:c>
      <x:c r="H4480" t="str">
        <x:v>P042</x:v>
      </x:c>
      <x:c r="I4480" t="str">
        <x:v>Eggs 30pc Tray</x:v>
      </x:c>
      <x:c r="J4480" t="str">
        <x:v>Protein</x:v>
      </x:c>
      <x:c r="K4480" t="str">
        <x:v>Farm Fresh</x:v>
      </x:c>
      <x:c r="L4480" s="22" t="n">
        <x:v>195</x:v>
      </x:c>
      <x:c r="M4480" t="n">
        <x:v>32</x:v>
      </x:c>
      <x:c r="N4480" s="24" t="n">
        <x:v>0.08</x:v>
      </x:c>
      <x:c r="O4480" s="22" t="n">
        <x:f>L4480*M4480</x:f>
        <x:v>6240</x:v>
      </x:c>
      <x:c r="P4480" s="22" t="n">
        <x:f>O4480*(1-N4480)</x:f>
        <x:v>5740.8</x:v>
      </x:c>
      <x:c r="Q4480" s="22" t="n">
        <x:v>170</x:v>
      </x:c>
      <x:c r="R4480" s="22" t="n">
        <x:f>Q4480*M4480</x:f>
        <x:v>5440</x:v>
      </x:c>
      <x:c r="S4480" s="22" t="n">
        <x:f>P4480-R4480</x:f>
        <x:v>300.8000000000002</x:v>
      </x:c>
      <x:c r="T4480" t="str">
        <x:v>Bank Transfer</x:v>
      </x:c>
      <x:c r="U4480" t="str">
        <x:v>Paid</x:v>
      </x:c>
      <x:c r="V4480" t="str">
        <x:v>Delayed</x:v>
      </x:c>
      <x:c r="W4480" t="n">
        <x:v>0</x:v>
      </x:c>
      <x:c r="X4480" t="str"/>
      <x:c r="Y4480" t="str">
        <x:v>WhatsApp</x:v>
      </x:c>
    </x:row>
    <x:row r="4481">
      <x:c r="A4481" t="str">
        <x:v>O004480</x:v>
      </x:c>
      <x:c r="B4481" s="20" t="n">
        <x:v>46281</x:v>
      </x:c>
      <x:c r="C4481" t="str">
        <x:v>C0024</x:v>
      </x:c>
      <x:c r="D4481" t="str">
        <x:v>Darshini Restaurant 24</x:v>
      </x:c>
      <x:c r="E4481" t="str">
        <x:v>Restaurant</x:v>
      </x:c>
      <x:c r="F4481" t="str">
        <x:v>Davanagere</x:v>
      </x:c>
      <x:c r="G4481" t="str">
        <x:v>Sneha</x:v>
      </x:c>
      <x:c r="H4481" t="str">
        <x:v>P024</x:v>
      </x:c>
      <x:c r="I4481" t="str">
        <x:v>Orange Drink 1L</x:v>
      </x:c>
      <x:c r="J4481" t="str">
        <x:v>Beverage</x:v>
      </x:c>
      <x:c r="K4481" t="str">
        <x:v>Minute Maid</x:v>
      </x:c>
      <x:c r="L4481" s="22" t="n">
        <x:v>105</x:v>
      </x:c>
      <x:c r="M4481" t="n">
        <x:v>23</x:v>
      </x:c>
      <x:c r="N4481" s="24" t="n">
        <x:v>0.05</x:v>
      </x:c>
      <x:c r="O4481" s="22" t="n">
        <x:f>L4481*M4481</x:f>
        <x:v>2415</x:v>
      </x:c>
      <x:c r="P4481" s="22" t="n">
        <x:f>O4481*(1-N4481)</x:f>
        <x:v>2294.25</x:v>
      </x:c>
      <x:c r="Q4481" s="22" t="n">
        <x:v>88</x:v>
      </x:c>
      <x:c r="R4481" s="22" t="n">
        <x:f>Q4481*M4481</x:f>
        <x:v>2024</x:v>
      </x:c>
      <x:c r="S4481" s="22" t="n">
        <x:f>P4481-R4481</x:f>
        <x:v>270.25</x:v>
      </x:c>
      <x:c r="T4481" t="str">
        <x:v>Bank Transfer</x:v>
      </x:c>
      <x:c r="U4481" t="str">
        <x:v>Paid</x:v>
      </x:c>
      <x:c r="V4481" t="str">
        <x:v>Delayed</x:v>
      </x:c>
      <x:c r="W4481" t="n">
        <x:v>0</x:v>
      </x:c>
      <x:c r="X4481" t="str"/>
      <x:c r="Y4481" t="str">
        <x:v>Field Visit</x:v>
      </x:c>
    </x:row>
    <x:row r="4482">
      <x:c r="A4482" t="str">
        <x:v>O004481</x:v>
      </x:c>
      <x:c r="B4482" s="20" t="n">
        <x:v>46251</x:v>
      </x:c>
      <x:c r="C4482" t="str">
        <x:v>C0033</x:v>
      </x:c>
      <x:c r="D4482" t="str">
        <x:v>Shree Canteen 33</x:v>
      </x:c>
      <x:c r="E4482" t="str">
        <x:v>Canteen</x:v>
      </x:c>
      <x:c r="F4482" t="str">
        <x:v>Mangaluru</x:v>
      </x:c>
      <x:c r="G4482" t="str">
        <x:v>Imran</x:v>
      </x:c>
      <x:c r="H4482" t="str">
        <x:v>P049</x:v>
      </x:c>
      <x:c r="I4482" t="str">
        <x:v>Apple 10kg</x:v>
      </x:c>
      <x:c r="J4482" t="str">
        <x:v>Fresh Produce</x:v>
      </x:c>
      <x:c r="K4482" t="str">
        <x:v>Local Market</x:v>
      </x:c>
      <x:c r="L4482" s="22" t="n">
        <x:v>1450</x:v>
      </x:c>
      <x:c r="M4482" t="n">
        <x:v>7</x:v>
      </x:c>
      <x:c r="N4482" s="24" t="n">
        <x:v>0</x:v>
      </x:c>
      <x:c r="O4482" s="22" t="n">
        <x:f>L4482*M4482</x:f>
        <x:v>10150</x:v>
      </x:c>
      <x:c r="P4482" s="22" t="n">
        <x:f>O4482*(1-N4482)</x:f>
        <x:v>10150</x:v>
      </x:c>
      <x:c r="Q4482" s="22" t="n">
        <x:v>1280</x:v>
      </x:c>
      <x:c r="R4482" s="22" t="n">
        <x:f>Q4482*M4482</x:f>
        <x:v>8960</x:v>
      </x:c>
      <x:c r="S4482" s="22" t="n">
        <x:f>P4482-R4482</x:f>
        <x:v>1190</x:v>
      </x:c>
      <x:c r="T4482" t="str">
        <x:v>UPI</x:v>
      </x:c>
      <x:c r="U4482" t="str">
        <x:v>Paid</x:v>
      </x:c>
      <x:c r="V4482" t="str">
        <x:v>Cancelled</x:v>
      </x:c>
      <x:c r="W4482" t="n">
        <x:v>7</x:v>
      </x:c>
      <x:c r="X4482" t="str">
        <x:v>Cancelled Order</x:v>
      </x:c>
      <x:c r="Y4482" t="str">
        <x:v>WhatsApp</x:v>
      </x:c>
    </x:row>
    <x:row r="4483">
      <x:c r="A4483" t="str">
        <x:v>O004482</x:v>
      </x:c>
      <x:c r="B4483" s="20" t="n">
        <x:v>45685</x:v>
      </x:c>
      <x:c r="C4483" t="str">
        <x:v>C0170</x:v>
      </x:c>
      <x:c r="D4483" t="str">
        <x:v>Green Cafe 170</x:v>
      </x:c>
      <x:c r="E4483" t="str">
        <x:v>Supermarket</x:v>
      </x:c>
      <x:c r="F4483" t="str">
        <x:v>Bengaluru</x:v>
      </x:c>
      <x:c r="G4483" t="str">
        <x:v>Sneha</x:v>
      </x:c>
      <x:c r="H4483" t="str">
        <x:v>P013</x:v>
      </x:c>
      <x:c r="I4483" t="str">
        <x:v>Atta 10kg</x:v>
      </x:c>
      <x:c r="J4483" t="str">
        <x:v>Flour</x:v>
      </x:c>
      <x:c r="K4483" t="str">
        <x:v>Aashirvaad</x:v>
      </x:c>
      <x:c r="L4483" s="22" t="n">
        <x:v>560</x:v>
      </x:c>
      <x:c r="M4483" t="n">
        <x:v>37</x:v>
      </x:c>
      <x:c r="N4483" s="24" t="n">
        <x:v>0.03</x:v>
      </x:c>
      <x:c r="O4483" s="22" t="n">
        <x:f>L4483*M4483</x:f>
        <x:v>20720</x:v>
      </x:c>
      <x:c r="P4483" s="22" t="n">
        <x:f>O4483*(1-N4483)</x:f>
        <x:v>20098.399999999998</x:v>
      </x:c>
      <x:c r="Q4483" s="22" t="n">
        <x:v>495</x:v>
      </x:c>
      <x:c r="R4483" s="22" t="n">
        <x:f>Q4483*M4483</x:f>
        <x:v>18315</x:v>
      </x:c>
      <x:c r="S4483" s="22" t="n">
        <x:f>P4483-R4483</x:f>
        <x:v>1783.3999999999978</x:v>
      </x:c>
      <x:c r="T4483" t="str">
        <x:v>Cash</x:v>
      </x:c>
      <x:c r="U4483" t="str">
        <x:v>Overdue</x:v>
      </x:c>
      <x:c r="V4483" t="str">
        <x:v>Cancelled</x:v>
      </x:c>
      <x:c r="W4483" t="n">
        <x:v>37</x:v>
      </x:c>
      <x:c r="X4483" t="str">
        <x:v>Cancelled Order</x:v>
      </x:c>
      <x:c r="Y4483" t="str">
        <x:v>Existing Customer</x:v>
      </x:c>
    </x:row>
    <x:row r="4484">
      <x:c r="A4484" t="str">
        <x:v>O004483</x:v>
      </x:c>
      <x:c r="B4484" s="20" t="n">
        <x:v>45938</x:v>
      </x:c>
      <x:c r="C4484" t="str">
        <x:v>C0239</x:v>
      </x:c>
      <x:c r="D4484" t="str">
        <x:v>Royal Hotel 239</x:v>
      </x:c>
      <x:c r="E4484" t="str">
        <x:v>Restaurant</x:v>
      </x:c>
      <x:c r="F4484" t="str">
        <x:v>Hubballi</x:v>
      </x:c>
      <x:c r="G4484" t="str">
        <x:v>Priya</x:v>
      </x:c>
      <x:c r="H4484" t="str">
        <x:v>P013</x:v>
      </x:c>
      <x:c r="I4484" t="str">
        <x:v>Atta 10kg</x:v>
      </x:c>
      <x:c r="J4484" t="str">
        <x:v>Flour</x:v>
      </x:c>
      <x:c r="K4484" t="str">
        <x:v>Aashirvaad</x:v>
      </x:c>
      <x:c r="L4484" s="22" t="n">
        <x:v>560</x:v>
      </x:c>
      <x:c r="M4484" t="n">
        <x:v>37</x:v>
      </x:c>
      <x:c r="N4484" s="24" t="n">
        <x:v>0</x:v>
      </x:c>
      <x:c r="O4484" s="22" t="n">
        <x:f>L4484*M4484</x:f>
        <x:v>20720</x:v>
      </x:c>
      <x:c r="P4484" s="22" t="n">
        <x:f>O4484*(1-N4484)</x:f>
        <x:v>20720</x:v>
      </x:c>
      <x:c r="Q4484" s="22" t="n">
        <x:v>495</x:v>
      </x:c>
      <x:c r="R4484" s="22" t="n">
        <x:f>Q4484*M4484</x:f>
        <x:v>18315</x:v>
      </x:c>
      <x:c r="S4484" s="22" t="n">
        <x:f>P4484-R4484</x:f>
        <x:v>2405</x:v>
      </x:c>
      <x:c r="T4484" t="str">
        <x:v>Bank Transfer</x:v>
      </x:c>
      <x:c r="U4484" t="str">
        <x:v>Paid</x:v>
      </x:c>
      <x:c r="V4484" t="str">
        <x:v>Delayed</x:v>
      </x:c>
      <x:c r="W4484" t="n">
        <x:v>0</x:v>
      </x:c>
      <x:c r="X4484" t="str"/>
      <x:c r="Y4484" t="str">
        <x:v>Outbound Call</x:v>
      </x:c>
    </x:row>
    <x:row r="4485">
      <x:c r="A4485" t="str">
        <x:v>O004484</x:v>
      </x:c>
      <x:c r="B4485" s="20" t="n">
        <x:v>46168</x:v>
      </x:c>
      <x:c r="C4485" t="str">
        <x:v>C0239</x:v>
      </x:c>
      <x:c r="D4485" t="str">
        <x:v>Royal Hotel 239</x:v>
      </x:c>
      <x:c r="E4485" t="str">
        <x:v>Restaurant</x:v>
      </x:c>
      <x:c r="F4485" t="str">
        <x:v>Hubballi</x:v>
      </x:c>
      <x:c r="G4485" t="str">
        <x:v>Priya</x:v>
      </x:c>
      <x:c r="H4485" t="str">
        <x:v>P034</x:v>
      </x:c>
      <x:c r="I4485" t="str">
        <x:v>Chilli Powder 1kg</x:v>
      </x:c>
      <x:c r="J4485" t="str">
        <x:v>Spices</x:v>
      </x:c>
      <x:c r="K4485" t="str">
        <x:v>MDH</x:v>
      </x:c>
      <x:c r="L4485" s="22" t="n">
        <x:v>340</x:v>
      </x:c>
      <x:c r="M4485" t="n">
        <x:v>29</x:v>
      </x:c>
      <x:c r="N4485" s="24" t="n">
        <x:v>0.05</x:v>
      </x:c>
      <x:c r="O4485" s="22" t="n">
        <x:f>L4485*M4485</x:f>
        <x:v>9860</x:v>
      </x:c>
      <x:c r="P4485" s="22" t="n">
        <x:f>O4485*(1-N4485)</x:f>
        <x:v>9367</x:v>
      </x:c>
      <x:c r="Q4485" s="22" t="n">
        <x:v>295</x:v>
      </x:c>
      <x:c r="R4485" s="22" t="n">
        <x:f>Q4485*M4485</x:f>
        <x:v>8555</x:v>
      </x:c>
      <x:c r="S4485" s="22" t="n">
        <x:f>P4485-R4485</x:f>
        <x:v>812</x:v>
      </x:c>
      <x:c r="T4485" t="str">
        <x:v>Bank Transfer</x:v>
      </x:c>
      <x:c r="U4485" t="str">
        <x:v>Paid</x:v>
      </x:c>
      <x:c r="V4485" t="str">
        <x:v>Delivered</x:v>
      </x:c>
      <x:c r="W4485" t="n">
        <x:v>0</x:v>
      </x:c>
      <x:c r="X4485" t="str"/>
      <x:c r="Y4485" t="str">
        <x:v>Field Visit</x:v>
      </x:c>
    </x:row>
    <x:row r="4486">
      <x:c r="A4486" t="str">
        <x:v>O004485</x:v>
      </x:c>
      <x:c r="B4486" s="20" t="n">
        <x:v>46054</x:v>
      </x:c>
      <x:c r="C4486" t="str">
        <x:v>C0109</x:v>
      </x:c>
      <x:c r="D4486" t="str">
        <x:v>Annapurna Kitchen 109</x:v>
      </x:c>
      <x:c r="E4486" t="str">
        <x:v>Kirana</x:v>
      </x:c>
      <x:c r="F4486" t="str">
        <x:v>Mysuru</x:v>
      </x:c>
      <x:c r="G4486" t="str">
        <x:v>Kavya</x:v>
      </x:c>
      <x:c r="H4486" t="str">
        <x:v>P030</x:v>
      </x:c>
      <x:c r="I4486" t="str">
        <x:v>Mayonnaise 1kg</x:v>
      </x:c>
      <x:c r="J4486" t="str">
        <x:v>Condiments</x:v>
      </x:c>
      <x:c r="K4486" t="str">
        <x:v>Veeba</x:v>
      </x:c>
      <x:c r="L4486" s="22" t="n">
        <x:v>210</x:v>
      </x:c>
      <x:c r="M4486" t="n">
        <x:v>10</x:v>
      </x:c>
      <x:c r="N4486" s="24" t="n">
        <x:v>0</x:v>
      </x:c>
      <x:c r="O4486" s="22" t="n">
        <x:f>L4486*M4486</x:f>
        <x:v>2100</x:v>
      </x:c>
      <x:c r="P4486" s="22" t="n">
        <x:f>O4486*(1-N4486)</x:f>
        <x:v>2100</x:v>
      </x:c>
      <x:c r="Q4486" s="22" t="n">
        <x:v>185</x:v>
      </x:c>
      <x:c r="R4486" s="22" t="n">
        <x:f>Q4486*M4486</x:f>
        <x:v>1850</x:v>
      </x:c>
      <x:c r="S4486" s="22" t="n">
        <x:f>P4486-R4486</x:f>
        <x:v>250</x:v>
      </x:c>
      <x:c r="T4486" t="str">
        <x:v>Credit</x:v>
      </x:c>
      <x:c r="U4486" t="str">
        <x:v>Pending</x:v>
      </x:c>
      <x:c r="V4486" t="str">
        <x:v>Delivered</x:v>
      </x:c>
      <x:c r="W4486" t="n">
        <x:v>4</x:v>
      </x:c>
      <x:c r="X4486" t="str">
        <x:v>Quality Issue</x:v>
      </x:c>
      <x:c r="Y4486" t="str">
        <x:v>WhatsApp</x:v>
      </x:c>
    </x:row>
    <x:row r="4487">
      <x:c r="A4487" t="str">
        <x:v>O004486</x:v>
      </x:c>
      <x:c r="B4487" s="20" t="n">
        <x:v>45863</x:v>
      </x:c>
      <x:c r="C4487" t="str">
        <x:v>C0155</x:v>
      </x:c>
      <x:c r="D4487" t="str">
        <x:v>New Mart 155</x:v>
      </x:c>
      <x:c r="E4487" t="str">
        <x:v>Hotel</x:v>
      </x:c>
      <x:c r="F4487" t="str">
        <x:v>Mysuru</x:v>
      </x:c>
      <x:c r="G4487" t="str">
        <x:v>Sneha</x:v>
      </x:c>
      <x:c r="H4487" t="str">
        <x:v>P041</x:v>
      </x:c>
      <x:c r="I4487" t="str">
        <x:v>Burger Bun 6pc</x:v>
      </x:c>
      <x:c r="J4487" t="str">
        <x:v>Bakery</x:v>
      </x:c>
      <x:c r="K4487" t="str">
        <x:v>Modern</x:v>
      </x:c>
      <x:c r="L4487" s="22" t="n">
        <x:v>42</x:v>
      </x:c>
      <x:c r="M4487" t="n">
        <x:v>9</x:v>
      </x:c>
      <x:c r="N4487" s="24" t="n">
        <x:v>0.02</x:v>
      </x:c>
      <x:c r="O4487" s="22" t="n">
        <x:f>L4487*M4487</x:f>
        <x:v>378</x:v>
      </x:c>
      <x:c r="P4487" s="22" t="n">
        <x:f>O4487*(1-N4487)</x:f>
        <x:v>370.44</x:v>
      </x:c>
      <x:c r="Q4487" s="22" t="n">
        <x:v>32</x:v>
      </x:c>
      <x:c r="R4487" s="22" t="n">
        <x:f>Q4487*M4487</x:f>
        <x:v>288</x:v>
      </x:c>
      <x:c r="S4487" s="22" t="n">
        <x:f>P4487-R4487</x:f>
        <x:v>82.44</x:v>
      </x:c>
      <x:c r="T4487" t="str">
        <x:v>Bank Transfer</x:v>
      </x:c>
      <x:c r="U4487" t="str">
        <x:v>Pending</x:v>
      </x:c>
      <x:c r="V4487" t="str">
        <x:v>Delayed</x:v>
      </x:c>
      <x:c r="W4487" t="n">
        <x:v>0</x:v>
      </x:c>
      <x:c r="X4487" t="str"/>
      <x:c r="Y4487" t="str">
        <x:v>WhatsApp</x:v>
      </x:c>
    </x:row>
    <x:row r="4488">
      <x:c r="A4488" t="str">
        <x:v>O004487</x:v>
      </x:c>
      <x:c r="B4488" s="20" t="n">
        <x:v>45834</x:v>
      </x:c>
      <x:c r="C4488" t="str">
        <x:v>C0185</x:v>
      </x:c>
      <x:c r="D4488" t="str">
        <x:v>Mysore Foods 185</x:v>
      </x:c>
      <x:c r="E4488" t="str">
        <x:v>Restaurant</x:v>
      </x:c>
      <x:c r="F4488" t="str">
        <x:v>Mysuru</x:v>
      </x:c>
      <x:c r="G4488" t="str">
        <x:v>Sneha</x:v>
      </x:c>
      <x:c r="H4488" t="str">
        <x:v>P041</x:v>
      </x:c>
      <x:c r="I4488" t="str">
        <x:v>Burger Bun 6pc</x:v>
      </x:c>
      <x:c r="J4488" t="str">
        <x:v>Bakery</x:v>
      </x:c>
      <x:c r="K4488" t="str">
        <x:v>Modern</x:v>
      </x:c>
      <x:c r="L4488" s="22" t="n">
        <x:v>42</x:v>
      </x:c>
      <x:c r="M4488" t="n">
        <x:v>38</x:v>
      </x:c>
      <x:c r="N4488" s="24" t="n">
        <x:v>0.05</x:v>
      </x:c>
      <x:c r="O4488" s="22" t="n">
        <x:f>L4488*M4488</x:f>
        <x:v>1596</x:v>
      </x:c>
      <x:c r="P4488" s="22" t="n">
        <x:f>O4488*(1-N4488)</x:f>
        <x:v>1516.1999999999998</x:v>
      </x:c>
      <x:c r="Q4488" s="22" t="n">
        <x:v>32</x:v>
      </x:c>
      <x:c r="R4488" s="22" t="n">
        <x:f>Q4488*M4488</x:f>
        <x:v>1216</x:v>
      </x:c>
      <x:c r="S4488" s="22" t="n">
        <x:f>P4488-R4488</x:f>
        <x:v>300.1999999999998</x:v>
      </x:c>
      <x:c r="T4488" t="str">
        <x:v>UPI</x:v>
      </x:c>
      <x:c r="U4488" t="str">
        <x:v>Paid</x:v>
      </x:c>
      <x:c r="V4488" t="str">
        <x:v>Delivered</x:v>
      </x:c>
      <x:c r="W4488" t="n">
        <x:v>0</x:v>
      </x:c>
      <x:c r="X4488" t="str"/>
      <x:c r="Y4488" t="str">
        <x:v>Existing Customer</x:v>
      </x:c>
    </x:row>
    <x:row r="4489">
      <x:c r="A4489" t="str">
        <x:v>O004488</x:v>
      </x:c>
      <x:c r="B4489" s="20" t="n">
        <x:v>45929</x:v>
      </x:c>
      <x:c r="C4489" t="str">
        <x:v>C0080</x:v>
      </x:c>
      <x:c r="D4489" t="str">
        <x:v>Annapurna Canteen 80</x:v>
      </x:c>
      <x:c r="E4489" t="str">
        <x:v>Restaurant</x:v>
      </x:c>
      <x:c r="F4489" t="str">
        <x:v>Mangaluru</x:v>
      </x:c>
      <x:c r="G4489" t="str">
        <x:v>Priya</x:v>
      </x:c>
      <x:c r="H4489" t="str">
        <x:v>P023</x:v>
      </x:c>
      <x:c r="I4489" t="str">
        <x:v>Cola 750ml</x:v>
      </x:c>
      <x:c r="J4489" t="str">
        <x:v>Beverage</x:v>
      </x:c>
      <x:c r="K4489" t="str">
        <x:v>Coca-Cola</x:v>
      </x:c>
      <x:c r="L4489" s="22" t="n">
        <x:v>38</x:v>
      </x:c>
      <x:c r="M4489" t="n">
        <x:v>34</x:v>
      </x:c>
      <x:c r="N4489" s="24" t="n">
        <x:v>0.05</x:v>
      </x:c>
      <x:c r="O4489" s="22" t="n">
        <x:f>L4489*M4489</x:f>
        <x:v>1292</x:v>
      </x:c>
      <x:c r="P4489" s="22" t="n">
        <x:f>O4489*(1-N4489)</x:f>
        <x:v>1227.3999999999999</x:v>
      </x:c>
      <x:c r="Q4489" s="22" t="n">
        <x:v>31</x:v>
      </x:c>
      <x:c r="R4489" s="22" t="n">
        <x:f>Q4489*M4489</x:f>
        <x:v>1054</x:v>
      </x:c>
      <x:c r="S4489" s="22" t="n">
        <x:f>P4489-R4489</x:f>
        <x:v>173.39999999999986</x:v>
      </x:c>
      <x:c r="T4489" t="str">
        <x:v>Credit</x:v>
      </x:c>
      <x:c r="U4489" t="str">
        <x:v>Paid</x:v>
      </x:c>
      <x:c r="V4489" t="str">
        <x:v>Delivered</x:v>
      </x:c>
      <x:c r="W4489" t="n">
        <x:v>0</x:v>
      </x:c>
      <x:c r="X4489" t="str"/>
      <x:c r="Y4489" t="str">
        <x:v>Referral</x:v>
      </x:c>
    </x:row>
    <x:row r="4490">
      <x:c r="A4490" t="str">
        <x:v>O004489</x:v>
      </x:c>
      <x:c r="B4490" s="20" t="n">
        <x:v>46003</x:v>
      </x:c>
      <x:c r="C4490" t="str">
        <x:v>C0237</x:v>
      </x:c>
      <x:c r="D4490" t="str">
        <x:v>Mysore Restaurant 237</x:v>
      </x:c>
      <x:c r="E4490" t="str">
        <x:v>Restaurant</x:v>
      </x:c>
      <x:c r="F4490" t="str">
        <x:v>Bengaluru</x:v>
      </x:c>
      <x:c r="G4490" t="str">
        <x:v>Sneha</x:v>
      </x:c>
      <x:c r="H4490" t="str">
        <x:v>P012</x:v>
      </x:c>
      <x:c r="I4490" t="str">
        <x:v>Maida 10kg</x:v>
      </x:c>
      <x:c r="J4490" t="str">
        <x:v>Flour</x:v>
      </x:c>
      <x:c r="K4490" t="str">
        <x:v>Aashirvaad</x:v>
      </x:c>
      <x:c r="L4490" s="22" t="n">
        <x:v>520</x:v>
      </x:c>
      <x:c r="M4490" t="n">
        <x:v>34</x:v>
      </x:c>
      <x:c r="N4490" s="24" t="n">
        <x:v>0</x:v>
      </x:c>
      <x:c r="O4490" s="22" t="n">
        <x:f>L4490*M4490</x:f>
        <x:v>17680</x:v>
      </x:c>
      <x:c r="P4490" s="22" t="n">
        <x:f>O4490*(1-N4490)</x:f>
        <x:v>17680</x:v>
      </x:c>
      <x:c r="Q4490" s="22" t="n">
        <x:v>460</x:v>
      </x:c>
      <x:c r="R4490" s="22" t="n">
        <x:f>Q4490*M4490</x:f>
        <x:v>15640</x:v>
      </x:c>
      <x:c r="S4490" s="22" t="n">
        <x:f>P4490-R4490</x:f>
        <x:v>2040</x:v>
      </x:c>
      <x:c r="T4490" t="str">
        <x:v>Credit</x:v>
      </x:c>
      <x:c r="U4490" t="str">
        <x:v>Paid</x:v>
      </x:c>
      <x:c r="V4490" t="str">
        <x:v>Delivered</x:v>
      </x:c>
      <x:c r="W4490" t="n">
        <x:v>0</x:v>
      </x:c>
      <x:c r="X4490" t="str"/>
      <x:c r="Y4490" t="str">
        <x:v>Outbound Call</x:v>
      </x:c>
    </x:row>
    <x:row r="4491">
      <x:c r="A4491" t="str">
        <x:v>O004490</x:v>
      </x:c>
      <x:c r="B4491" s="20" t="n">
        <x:v>46110</x:v>
      </x:c>
      <x:c r="C4491" t="str">
        <x:v>C0027</x:v>
      </x:c>
      <x:c r="D4491" t="str">
        <x:v>Fresh Cafe 27</x:v>
      </x:c>
      <x:c r="E4491" t="str">
        <x:v>Restaurant</x:v>
      </x:c>
      <x:c r="F4491" t="str">
        <x:v>Tumakuru</x:v>
      </x:c>
      <x:c r="G4491" t="str">
        <x:v>Megha</x:v>
      </x:c>
      <x:c r="H4491" t="str">
        <x:v>P040</x:v>
      </x:c>
      <x:c r="I4491" t="str">
        <x:v>Bread Loaf 400g</x:v>
      </x:c>
      <x:c r="J4491" t="str">
        <x:v>Bakery</x:v>
      </x:c>
      <x:c r="K4491" t="str">
        <x:v>Britannia</x:v>
      </x:c>
      <x:c r="L4491" s="22" t="n">
        <x:v>45</x:v>
      </x:c>
      <x:c r="M4491" t="n">
        <x:v>17</x:v>
      </x:c>
      <x:c r="N4491" s="24" t="n">
        <x:v>0.02</x:v>
      </x:c>
      <x:c r="O4491" s="22" t="n">
        <x:f>L4491*M4491</x:f>
        <x:v>765</x:v>
      </x:c>
      <x:c r="P4491" s="22" t="n">
        <x:f>O4491*(1-N4491)</x:f>
        <x:v>749.6999999999999</x:v>
      </x:c>
      <x:c r="Q4491" s="22" t="n">
        <x:v>35</x:v>
      </x:c>
      <x:c r="R4491" s="22" t="n">
        <x:f>Q4491*M4491</x:f>
        <x:v>595</x:v>
      </x:c>
      <x:c r="S4491" s="22" t="n">
        <x:f>P4491-R4491</x:f>
        <x:v>154.69999999999993</x:v>
      </x:c>
      <x:c r="T4491" t="str">
        <x:v>Credit</x:v>
      </x:c>
      <x:c r="U4491" t="str">
        <x:v>Paid</x:v>
      </x:c>
      <x:c r="V4491" t="str">
        <x:v>Cancelled</x:v>
      </x:c>
      <x:c r="W4491" t="n">
        <x:v>17</x:v>
      </x:c>
      <x:c r="X4491" t="str">
        <x:v>Cancelled Order</x:v>
      </x:c>
      <x:c r="Y4491" t="str">
        <x:v>Referral</x:v>
      </x:c>
    </x:row>
    <x:row r="4492">
      <x:c r="A4492" t="str">
        <x:v>O004491</x:v>
      </x:c>
      <x:c r="B4492" s="20" t="n">
        <x:v>46068</x:v>
      </x:c>
      <x:c r="C4492" t="str">
        <x:v>C0034</x:v>
      </x:c>
      <x:c r="D4492" t="str">
        <x:v>City Restaurant 34</x:v>
      </x:c>
      <x:c r="E4492" t="str">
        <x:v>Restaurant</x:v>
      </x:c>
      <x:c r="F4492" t="str">
        <x:v>Mangaluru</x:v>
      </x:c>
      <x:c r="G4492" t="str">
        <x:v>Sneha</x:v>
      </x:c>
      <x:c r="H4492" t="str">
        <x:v>P020</x:v>
      </x:c>
      <x:c r="I4492" t="str">
        <x:v>Coffee 500g</x:v>
      </x:c>
      <x:c r="J4492" t="str">
        <x:v>Beverage</x:v>
      </x:c>
      <x:c r="K4492" t="str">
        <x:v>Bru</x:v>
      </x:c>
      <x:c r="L4492" s="22" t="n">
        <x:v>390</x:v>
      </x:c>
      <x:c r="M4492" t="n">
        <x:v>40</x:v>
      </x:c>
      <x:c r="N4492" s="24" t="n">
        <x:v>0.03</x:v>
      </x:c>
      <x:c r="O4492" s="22" t="n">
        <x:f>L4492*M4492</x:f>
        <x:v>15600</x:v>
      </x:c>
      <x:c r="P4492" s="22" t="n">
        <x:f>O4492*(1-N4492)</x:f>
        <x:v>15132</x:v>
      </x:c>
      <x:c r="Q4492" s="22" t="n">
        <x:v>350</x:v>
      </x:c>
      <x:c r="R4492" s="22" t="n">
        <x:f>Q4492*M4492</x:f>
        <x:v>14000</x:v>
      </x:c>
      <x:c r="S4492" s="22" t="n">
        <x:f>P4492-R4492</x:f>
        <x:v>1132</x:v>
      </x:c>
      <x:c r="T4492" t="str">
        <x:v>Cash</x:v>
      </x:c>
      <x:c r="U4492" t="str">
        <x:v>Overdue</x:v>
      </x:c>
      <x:c r="V4492" t="str">
        <x:v>Delivered</x:v>
      </x:c>
      <x:c r="W4492" t="n">
        <x:v>0</x:v>
      </x:c>
      <x:c r="X4492" t="str"/>
      <x:c r="Y4492" t="str">
        <x:v>Referral</x:v>
      </x:c>
    </x:row>
    <x:row r="4493">
      <x:c r="A4493" t="str">
        <x:v>O004492</x:v>
      </x:c>
      <x:c r="B4493" s="20" t="n">
        <x:v>46130</x:v>
      </x:c>
      <x:c r="C4493" t="str">
        <x:v>C0095</x:v>
      </x:c>
      <x:c r="D4493" t="str">
        <x:v>Spice Restaurant 95</x:v>
      </x:c>
      <x:c r="E4493" t="str">
        <x:v>Restaurant</x:v>
      </x:c>
      <x:c r="F4493" t="str">
        <x:v>Bengaluru</x:v>
      </x:c>
      <x:c r="G4493" t="str">
        <x:v>Megha</x:v>
      </x:c>
      <x:c r="H4493" t="str">
        <x:v>P005</x:v>
      </x:c>
      <x:c r="I4493" t="str">
        <x:v>Chana Dal 5kg</x:v>
      </x:c>
      <x:c r="J4493" t="str">
        <x:v>Pulses</x:v>
      </x:c>
      <x:c r="K4493" t="str">
        <x:v>Local Select</x:v>
      </x:c>
      <x:c r="L4493" s="22" t="n">
        <x:v>520</x:v>
      </x:c>
      <x:c r="M4493" t="n">
        <x:v>7</x:v>
      </x:c>
      <x:c r="N4493" s="24" t="n">
        <x:v>0</x:v>
      </x:c>
      <x:c r="O4493" s="22" t="n">
        <x:f>L4493*M4493</x:f>
        <x:v>3640</x:v>
      </x:c>
      <x:c r="P4493" s="22" t="n">
        <x:f>O4493*(1-N4493)</x:f>
        <x:v>3640</x:v>
      </x:c>
      <x:c r="Q4493" s="22" t="n">
        <x:v>455</x:v>
      </x:c>
      <x:c r="R4493" s="22" t="n">
        <x:f>Q4493*M4493</x:f>
        <x:v>3185</x:v>
      </x:c>
      <x:c r="S4493" s="22" t="n">
        <x:f>P4493-R4493</x:f>
        <x:v>455</x:v>
      </x:c>
      <x:c r="T4493" t="str">
        <x:v>Bank Transfer</x:v>
      </x:c>
      <x:c r="U4493" t="str">
        <x:v>Paid</x:v>
      </x:c>
      <x:c r="V4493" t="str">
        <x:v>Delivered</x:v>
      </x:c>
      <x:c r="W4493" t="n">
        <x:v>0</x:v>
      </x:c>
      <x:c r="X4493" t="str"/>
      <x:c r="Y4493" t="str">
        <x:v>WhatsApp</x:v>
      </x:c>
    </x:row>
    <x:row r="4494">
      <x:c r="A4494" t="str">
        <x:v>O004493</x:v>
      </x:c>
      <x:c r="B4494" s="20" t="n">
        <x:v>45665</x:v>
      </x:c>
      <x:c r="C4494" t="str">
        <x:v>C0161</x:v>
      </x:c>
      <x:c r="D4494" t="str">
        <x:v>Hotel Kitchen 161</x:v>
      </x:c>
      <x:c r="E4494" t="str">
        <x:v>Supermarket</x:v>
      </x:c>
      <x:c r="F4494" t="str">
        <x:v>Mysuru</x:v>
      </x:c>
      <x:c r="G4494" t="str">
        <x:v>Sneha</x:v>
      </x:c>
      <x:c r="H4494" t="str">
        <x:v>P021</x:v>
      </x:c>
      <x:c r="I4494" t="str">
        <x:v>Instant Coffee 200g</x:v>
      </x:c>
      <x:c r="J4494" t="str">
        <x:v>Beverage</x:v>
      </x:c>
      <x:c r="K4494" t="str">
        <x:v>Nescafe</x:v>
      </x:c>
      <x:c r="L4494" s="22" t="n">
        <x:v>460</x:v>
      </x:c>
      <x:c r="M4494" t="n">
        <x:v>2</x:v>
      </x:c>
      <x:c r="N4494" s="24" t="n">
        <x:v>0.02</x:v>
      </x:c>
      <x:c r="O4494" s="22" t="n">
        <x:f>L4494*M4494</x:f>
        <x:v>920</x:v>
      </x:c>
      <x:c r="P4494" s="22" t="n">
        <x:f>O4494*(1-N4494)</x:f>
        <x:v>901.6</x:v>
      </x:c>
      <x:c r="Q4494" s="22" t="n">
        <x:v>410</x:v>
      </x:c>
      <x:c r="R4494" s="22" t="n">
        <x:f>Q4494*M4494</x:f>
        <x:v>820</x:v>
      </x:c>
      <x:c r="S4494" s="22" t="n">
        <x:f>P4494-R4494</x:f>
        <x:v>81.60000000000002</x:v>
      </x:c>
      <x:c r="T4494" t="str">
        <x:v>Credit</x:v>
      </x:c>
      <x:c r="U4494" t="str">
        <x:v>Paid</x:v>
      </x:c>
      <x:c r="V4494" t="str">
        <x:v>Delivered</x:v>
      </x:c>
      <x:c r="W4494" t="n">
        <x:v>0</x:v>
      </x:c>
      <x:c r="X4494" t="str"/>
      <x:c r="Y4494" t="str">
        <x:v>Outbound Call</x:v>
      </x:c>
    </x:row>
    <x:row r="4495">
      <x:c r="A4495" t="str">
        <x:v>O004494</x:v>
      </x:c>
      <x:c r="B4495" s="20" t="n">
        <x:v>46205</x:v>
      </x:c>
      <x:c r="C4495" t="str">
        <x:v>C0108</x:v>
      </x:c>
      <x:c r="D4495" t="str">
        <x:v>Spice Mart 108</x:v>
      </x:c>
      <x:c r="E4495" t="str">
        <x:v>Supermarket</x:v>
      </x:c>
      <x:c r="F4495" t="str">
        <x:v>Hubballi</x:v>
      </x:c>
      <x:c r="G4495" t="str">
        <x:v>Kavya</x:v>
      </x:c>
      <x:c r="H4495" t="str">
        <x:v>P020</x:v>
      </x:c>
      <x:c r="I4495" t="str">
        <x:v>Coffee 500g</x:v>
      </x:c>
      <x:c r="J4495" t="str">
        <x:v>Beverage</x:v>
      </x:c>
      <x:c r="K4495" t="str">
        <x:v>Bru</x:v>
      </x:c>
      <x:c r="L4495" s="22" t="n">
        <x:v>390</x:v>
      </x:c>
      <x:c r="M4495" t="n">
        <x:v>30</x:v>
      </x:c>
      <x:c r="N4495" s="24" t="n">
        <x:v>0.03</x:v>
      </x:c>
      <x:c r="O4495" s="22" t="n">
        <x:f>L4495*M4495</x:f>
        <x:v>11700</x:v>
      </x:c>
      <x:c r="P4495" s="22" t="n">
        <x:f>O4495*(1-N4495)</x:f>
        <x:v>11349</x:v>
      </x:c>
      <x:c r="Q4495" s="22" t="n">
        <x:v>350</x:v>
      </x:c>
      <x:c r="R4495" s="22" t="n">
        <x:f>Q4495*M4495</x:f>
        <x:v>10500</x:v>
      </x:c>
      <x:c r="S4495" s="22" t="n">
        <x:f>P4495-R4495</x:f>
        <x:v>849</x:v>
      </x:c>
      <x:c r="T4495" t="str">
        <x:v>UPI</x:v>
      </x:c>
      <x:c r="U4495" t="str">
        <x:v>Paid</x:v>
      </x:c>
      <x:c r="V4495" t="str">
        <x:v>Cancelled</x:v>
      </x:c>
      <x:c r="W4495" t="n">
        <x:v>30</x:v>
      </x:c>
      <x:c r="X4495" t="str">
        <x:v>Cancelled Order</x:v>
      </x:c>
      <x:c r="Y4495" t="str">
        <x:v>Referral</x:v>
      </x:c>
    </x:row>
    <x:row r="4496">
      <x:c r="A4496" t="str">
        <x:v>O004495</x:v>
      </x:c>
      <x:c r="B4496" s="20" t="n">
        <x:v>45705</x:v>
      </x:c>
      <x:c r="C4496" t="str">
        <x:v>C0117</x:v>
      </x:c>
      <x:c r="D4496" t="str">
        <x:v>Classic Canteen 117</x:v>
      </x:c>
      <x:c r="E4496" t="str">
        <x:v>Restaurant</x:v>
      </x:c>
      <x:c r="F4496" t="str">
        <x:v>Hubballi</x:v>
      </x:c>
      <x:c r="G4496" t="str">
        <x:v>Megha</x:v>
      </x:c>
      <x:c r="H4496" t="str">
        <x:v>P028</x:v>
      </x:c>
      <x:c r="I4496" t="str">
        <x:v>Cookies 200g</x:v>
      </x:c>
      <x:c r="J4496" t="str">
        <x:v>Snacks</x:v>
      </x:c>
      <x:c r="K4496" t="str">
        <x:v>Britannia</x:v>
      </x:c>
      <x:c r="L4496" s="22" t="n">
        <x:v>55</x:v>
      </x:c>
      <x:c r="M4496" t="n">
        <x:v>32</x:v>
      </x:c>
      <x:c r="N4496" s="24" t="n">
        <x:v>0.03</x:v>
      </x:c>
      <x:c r="O4496" s="22" t="n">
        <x:f>L4496*M4496</x:f>
        <x:v>1760</x:v>
      </x:c>
      <x:c r="P4496" s="22" t="n">
        <x:f>O4496*(1-N4496)</x:f>
        <x:v>1707.2</x:v>
      </x:c>
      <x:c r="Q4496" s="22" t="n">
        <x:v>42</x:v>
      </x:c>
      <x:c r="R4496" s="22" t="n">
        <x:f>Q4496*M4496</x:f>
        <x:v>1344</x:v>
      </x:c>
      <x:c r="S4496" s="22" t="n">
        <x:f>P4496-R4496</x:f>
        <x:v>363.20000000000005</x:v>
      </x:c>
      <x:c r="T4496" t="str">
        <x:v>Bank Transfer</x:v>
      </x:c>
      <x:c r="U4496" t="str">
        <x:v>Paid</x:v>
      </x:c>
      <x:c r="V4496" t="str">
        <x:v>Delayed</x:v>
      </x:c>
      <x:c r="W4496" t="n">
        <x:v>0</x:v>
      </x:c>
      <x:c r="X4496" t="str"/>
      <x:c r="Y4496" t="str">
        <x:v>Field Visit</x:v>
      </x:c>
    </x:row>
    <x:row r="4497">
      <x:c r="A4497" t="str">
        <x:v>O004496</x:v>
      </x:c>
      <x:c r="B4497" s="20" t="n">
        <x:v>45920</x:v>
      </x:c>
      <x:c r="C4497" t="str">
        <x:v>C0164</x:v>
      </x:c>
      <x:c r="D4497" t="str">
        <x:v>Sri Hotel 164</x:v>
      </x:c>
      <x:c r="E4497" t="str">
        <x:v>Kirana</x:v>
      </x:c>
      <x:c r="F4497" t="str">
        <x:v>Mysuru</x:v>
      </x:c>
      <x:c r="G4497" t="str">
        <x:v>Vikram</x:v>
      </x:c>
      <x:c r="H4497" t="str">
        <x:v>P009</x:v>
      </x:c>
      <x:c r="I4497" t="str">
        <x:v>Groundnut Oil 5L</x:v>
      </x:c>
      <x:c r="J4497" t="str">
        <x:v>Edible Oil</x:v>
      </x:c>
      <x:c r="K4497" t="str">
        <x:v>Dhara</x:v>
      </x:c>
      <x:c r="L4497" s="22" t="n">
        <x:v>890</x:v>
      </x:c>
      <x:c r="M4497" t="n">
        <x:v>24</x:v>
      </x:c>
      <x:c r="N4497" s="24" t="n">
        <x:v>0</x:v>
      </x:c>
      <x:c r="O4497" s="22" t="n">
        <x:f>L4497*M4497</x:f>
        <x:v>21360</x:v>
      </x:c>
      <x:c r="P4497" s="22" t="n">
        <x:f>O4497*(1-N4497)</x:f>
        <x:v>21360</x:v>
      </x:c>
      <x:c r="Q4497" s="22" t="n">
        <x:v>810</x:v>
      </x:c>
      <x:c r="R4497" s="22" t="n">
        <x:f>Q4497*M4497</x:f>
        <x:v>19440</x:v>
      </x:c>
      <x:c r="S4497" s="22" t="n">
        <x:f>P4497-R4497</x:f>
        <x:v>1920</x:v>
      </x:c>
      <x:c r="T4497" t="str">
        <x:v>UPI</x:v>
      </x:c>
      <x:c r="U4497" t="str">
        <x:v>Paid</x:v>
      </x:c>
      <x:c r="V4497" t="str">
        <x:v>Delivered</x:v>
      </x:c>
      <x:c r="W4497" t="n">
        <x:v>0</x:v>
      </x:c>
      <x:c r="X4497" t="str"/>
      <x:c r="Y4497" t="str">
        <x:v>Field Visit</x:v>
      </x:c>
    </x:row>
    <x:row r="4498">
      <x:c r="A4498" t="str">
        <x:v>O004497</x:v>
      </x:c>
      <x:c r="B4498" s="20" t="n">
        <x:v>46156</x:v>
      </x:c>
      <x:c r="C4498" t="str">
        <x:v>C0080</x:v>
      </x:c>
      <x:c r="D4498" t="str">
        <x:v>Annapurna Canteen 80</x:v>
      </x:c>
      <x:c r="E4498" t="str">
        <x:v>Restaurant</x:v>
      </x:c>
      <x:c r="F4498" t="str">
        <x:v>Mangaluru</x:v>
      </x:c>
      <x:c r="G4498" t="str">
        <x:v>Priya</x:v>
      </x:c>
      <x:c r="H4498" t="str">
        <x:v>P007</x:v>
      </x:c>
      <x:c r="I4498" t="str">
        <x:v>Sunflower Oil 15L</x:v>
      </x:c>
      <x:c r="J4498" t="str">
        <x:v>Edible Oil</x:v>
      </x:c>
      <x:c r="K4498" t="str">
        <x:v>Fortune</x:v>
      </x:c>
      <x:c r="L4498" s="22" t="n">
        <x:v>1980</x:v>
      </x:c>
      <x:c r="M4498" t="n">
        <x:v>12</x:v>
      </x:c>
      <x:c r="N4498" s="24" t="n">
        <x:v>0.05</x:v>
      </x:c>
      <x:c r="O4498" s="22" t="n">
        <x:f>L4498*M4498</x:f>
        <x:v>23760</x:v>
      </x:c>
      <x:c r="P4498" s="22" t="n">
        <x:f>O4498*(1-N4498)</x:f>
        <x:v>22572</x:v>
      </x:c>
      <x:c r="Q4498" s="22" t="n">
        <x:v>1810</x:v>
      </x:c>
      <x:c r="R4498" s="22" t="n">
        <x:f>Q4498*M4498</x:f>
        <x:v>21720</x:v>
      </x:c>
      <x:c r="S4498" s="22" t="n">
        <x:f>P4498-R4498</x:f>
        <x:v>852</x:v>
      </x:c>
      <x:c r="T4498" t="str">
        <x:v>Cash</x:v>
      </x:c>
      <x:c r="U4498" t="str">
        <x:v>Paid</x:v>
      </x:c>
      <x:c r="V4498" t="str">
        <x:v>Delivered</x:v>
      </x:c>
      <x:c r="W4498" t="n">
        <x:v>0</x:v>
      </x:c>
      <x:c r="X4498" t="str"/>
      <x:c r="Y4498" t="str">
        <x:v>Existing Customer</x:v>
      </x:c>
    </x:row>
    <x:row r="4499">
      <x:c r="A4499" t="str">
        <x:v>O004498</x:v>
      </x:c>
      <x:c r="B4499" s="20" t="n">
        <x:v>45760</x:v>
      </x:c>
      <x:c r="C4499" t="str">
        <x:v>C0009</x:v>
      </x:c>
      <x:c r="D4499" t="str">
        <x:v>Darshini Hotel 9</x:v>
      </x:c>
      <x:c r="E4499" t="str">
        <x:v>Cafe</x:v>
      </x:c>
      <x:c r="F4499" t="str">
        <x:v>Hubballi</x:v>
      </x:c>
      <x:c r="G4499" t="str">
        <x:v>Imran</x:v>
      </x:c>
      <x:c r="H4499" t="str">
        <x:v>P042</x:v>
      </x:c>
      <x:c r="I4499" t="str">
        <x:v>Eggs 30pc Tray</x:v>
      </x:c>
      <x:c r="J4499" t="str">
        <x:v>Protein</x:v>
      </x:c>
      <x:c r="K4499" t="str">
        <x:v>Farm Fresh</x:v>
      </x:c>
      <x:c r="L4499" s="22" t="n">
        <x:v>195</x:v>
      </x:c>
      <x:c r="M4499" t="n">
        <x:v>19</x:v>
      </x:c>
      <x:c r="N4499" s="24" t="n">
        <x:v>0.05</x:v>
      </x:c>
      <x:c r="O4499" s="22" t="n">
        <x:f>L4499*M4499</x:f>
        <x:v>3705</x:v>
      </x:c>
      <x:c r="P4499" s="22" t="n">
        <x:f>O4499*(1-N4499)</x:f>
        <x:v>3519.75</x:v>
      </x:c>
      <x:c r="Q4499" s="22" t="n">
        <x:v>170</x:v>
      </x:c>
      <x:c r="R4499" s="22" t="n">
        <x:f>Q4499*M4499</x:f>
        <x:v>3230</x:v>
      </x:c>
      <x:c r="S4499" s="22" t="n">
        <x:f>P4499-R4499</x:f>
        <x:v>289.75</x:v>
      </x:c>
      <x:c r="T4499" t="str">
        <x:v>Credit</x:v>
      </x:c>
      <x:c r="U4499" t="str">
        <x:v>Pending</x:v>
      </x:c>
      <x:c r="V4499" t="str">
        <x:v>Delayed</x:v>
      </x:c>
      <x:c r="W4499" t="n">
        <x:v>0</x:v>
      </x:c>
      <x:c r="X4499" t="str"/>
      <x:c r="Y4499" t="str">
        <x:v>Outbound Call</x:v>
      </x:c>
    </x:row>
    <x:row r="4500">
      <x:c r="A4500" t="str">
        <x:v>O004499</x:v>
      </x:c>
      <x:c r="B4500" s="20" t="n">
        <x:v>46176</x:v>
      </x:c>
      <x:c r="C4500" t="str">
        <x:v>C0213</x:v>
      </x:c>
      <x:c r="D4500" t="str">
        <x:v>Shree Cafe 213</x:v>
      </x:c>
      <x:c r="E4500" t="str">
        <x:v>Cafe</x:v>
      </x:c>
      <x:c r="F4500" t="str">
        <x:v>Tumakuru</x:v>
      </x:c>
      <x:c r="G4500" t="str">
        <x:v>Imran</x:v>
      </x:c>
      <x:c r="H4500" t="str">
        <x:v>P037</x:v>
      </x:c>
      <x:c r="I4500" t="str">
        <x:v>Frozen Peas 1kg</x:v>
      </x:c>
      <x:c r="J4500" t="str">
        <x:v>Frozen</x:v>
      </x:c>
      <x:c r="K4500" t="str">
        <x:v>Safal</x:v>
      </x:c>
      <x:c r="L4500" s="22" t="n">
        <x:v>155</x:v>
      </x:c>
      <x:c r="M4500" t="n">
        <x:v>16</x:v>
      </x:c>
      <x:c r="N4500" s="24" t="n">
        <x:v>0.08</x:v>
      </x:c>
      <x:c r="O4500" s="22" t="n">
        <x:f>L4500*M4500</x:f>
        <x:v>2480</x:v>
      </x:c>
      <x:c r="P4500" s="22" t="n">
        <x:f>O4500*(1-N4500)</x:f>
        <x:v>2281.6</x:v>
      </x:c>
      <x:c r="Q4500" s="22" t="n">
        <x:v>138</x:v>
      </x:c>
      <x:c r="R4500" s="22" t="n">
        <x:f>Q4500*M4500</x:f>
        <x:v>2208</x:v>
      </x:c>
      <x:c r="S4500" s="22" t="n">
        <x:f>P4500-R4500</x:f>
        <x:v>73.59999999999991</x:v>
      </x:c>
      <x:c r="T4500" t="str">
        <x:v>Cash</x:v>
      </x:c>
      <x:c r="U4500" t="str">
        <x:v>Paid</x:v>
      </x:c>
      <x:c r="V4500" t="str">
        <x:v>Delivered</x:v>
      </x:c>
      <x:c r="W4500" t="n">
        <x:v>0</x:v>
      </x:c>
      <x:c r="X4500" t="str"/>
      <x:c r="Y4500" t="str">
        <x:v>Outbound Call</x:v>
      </x:c>
    </x:row>
    <x:row r="4501">
      <x:c r="A4501" t="str">
        <x:v>O004500</x:v>
      </x:c>
      <x:c r="B4501" s="20" t="n">
        <x:v>46144</x:v>
      </x:c>
      <x:c r="C4501" t="str">
        <x:v>C0035</x:v>
      </x:c>
      <x:c r="D4501" t="str">
        <x:v>City Foods 35</x:v>
      </x:c>
      <x:c r="E4501" t="str">
        <x:v>Kirana</x:v>
      </x:c>
      <x:c r="F4501" t="str">
        <x:v>Bengaluru</x:v>
      </x:c>
      <x:c r="G4501" t="str">
        <x:v>Megha</x:v>
      </x:c>
      <x:c r="H4501" t="str">
        <x:v>P030</x:v>
      </x:c>
      <x:c r="I4501" t="str">
        <x:v>Mayonnaise 1kg</x:v>
      </x:c>
      <x:c r="J4501" t="str">
        <x:v>Condiments</x:v>
      </x:c>
      <x:c r="K4501" t="str">
        <x:v>Veeba</x:v>
      </x:c>
      <x:c r="L4501" s="22" t="n">
        <x:v>210</x:v>
      </x:c>
      <x:c r="M4501" t="n">
        <x:v>5</x:v>
      </x:c>
      <x:c r="N4501" s="24" t="n">
        <x:v>0</x:v>
      </x:c>
      <x:c r="O4501" s="22" t="n">
        <x:f>L4501*M4501</x:f>
        <x:v>1050</x:v>
      </x:c>
      <x:c r="P4501" s="22" t="n">
        <x:f>O4501*(1-N4501)</x:f>
        <x:v>1050</x:v>
      </x:c>
      <x:c r="Q4501" s="22" t="n">
        <x:v>185</x:v>
      </x:c>
      <x:c r="R4501" s="22" t="n">
        <x:f>Q4501*M4501</x:f>
        <x:v>925</x:v>
      </x:c>
      <x:c r="S4501" s="22" t="n">
        <x:f>P4501-R4501</x:f>
        <x:v>125</x:v>
      </x:c>
      <x:c r="T4501" t="str">
        <x:v>Credit</x:v>
      </x:c>
      <x:c r="U4501" t="str">
        <x:v>Overdue</x:v>
      </x:c>
      <x:c r="V4501" t="str">
        <x:v>Cancelled</x:v>
      </x:c>
      <x:c r="W4501" t="n">
        <x:v>5</x:v>
      </x:c>
      <x:c r="X4501" t="str">
        <x:v>Cancelled Order</x:v>
      </x:c>
      <x:c r="Y4501" t="str">
        <x:v>Outbound Call</x:v>
      </x:c>
    </x:row>
    <x:row r="4502">
      <x:c r="A4502" t="str">
        <x:v>O004501</x:v>
      </x:c>
      <x:c r="B4502" s="20" t="n">
        <x:v>46171</x:v>
      </x:c>
      <x:c r="C4502" t="str">
        <x:v>C0099</x:v>
      </x:c>
      <x:c r="D4502" t="str">
        <x:v>Green Cafe 99</x:v>
      </x:c>
      <x:c r="E4502" t="str">
        <x:v>Restaurant</x:v>
      </x:c>
      <x:c r="F4502" t="str">
        <x:v>Hubballi</x:v>
      </x:c>
      <x:c r="G4502" t="str">
        <x:v>Ramesh</x:v>
      </x:c>
      <x:c r="H4502" t="str">
        <x:v>P042</x:v>
      </x:c>
      <x:c r="I4502" t="str">
        <x:v>Eggs 30pc Tray</x:v>
      </x:c>
      <x:c r="J4502" t="str">
        <x:v>Protein</x:v>
      </x:c>
      <x:c r="K4502" t="str">
        <x:v>Farm Fresh</x:v>
      </x:c>
      <x:c r="L4502" s="22" t="n">
        <x:v>195</x:v>
      </x:c>
      <x:c r="M4502" t="n">
        <x:v>22</x:v>
      </x:c>
      <x:c r="N4502" s="24" t="n">
        <x:v>0</x:v>
      </x:c>
      <x:c r="O4502" s="22" t="n">
        <x:f>L4502*M4502</x:f>
        <x:v>4290</x:v>
      </x:c>
      <x:c r="P4502" s="22" t="n">
        <x:f>O4502*(1-N4502)</x:f>
        <x:v>4290</x:v>
      </x:c>
      <x:c r="Q4502" s="22" t="n">
        <x:v>170</x:v>
      </x:c>
      <x:c r="R4502" s="22" t="n">
        <x:f>Q4502*M4502</x:f>
        <x:v>3740</x:v>
      </x:c>
      <x:c r="S4502" s="22" t="n">
        <x:f>P4502-R4502</x:f>
        <x:v>550</x:v>
      </x:c>
      <x:c r="T4502" t="str">
        <x:v>UPI</x:v>
      </x:c>
      <x:c r="U4502" t="str">
        <x:v>Pending</x:v>
      </x:c>
      <x:c r="V4502" t="str">
        <x:v>Delivered</x:v>
      </x:c>
      <x:c r="W4502" t="n">
        <x:v>0</x:v>
      </x:c>
      <x:c r="X4502" t="str"/>
      <x:c r="Y4502" t="str">
        <x:v>Field Visit</x:v>
      </x:c>
    </x:row>
    <x:row r="4503">
      <x:c r="A4503" t="str">
        <x:v>O004502</x:v>
      </x:c>
      <x:c r="B4503" s="20" t="n">
        <x:v>45672</x:v>
      </x:c>
      <x:c r="C4503" t="str">
        <x:v>C0146</x:v>
      </x:c>
      <x:c r="D4503" t="str">
        <x:v>Annapurna Hotel 146</x:v>
      </x:c>
      <x:c r="E4503" t="str">
        <x:v>Restaurant</x:v>
      </x:c>
      <x:c r="F4503" t="str">
        <x:v>Davanagere</x:v>
      </x:c>
      <x:c r="G4503" t="str">
        <x:v>Arjun</x:v>
      </x:c>
      <x:c r="H4503" t="str">
        <x:v>P017</x:v>
      </x:c>
      <x:c r="I4503" t="str">
        <x:v>Butter 500g</x:v>
      </x:c>
      <x:c r="J4503" t="str">
        <x:v>Dairy</x:v>
      </x:c>
      <x:c r="K4503" t="str">
        <x:v>Amul</x:v>
      </x:c>
      <x:c r="L4503" s="22" t="n">
        <x:v>285</x:v>
      </x:c>
      <x:c r="M4503" t="n">
        <x:v>34</x:v>
      </x:c>
      <x:c r="N4503" s="24" t="n">
        <x:v>0</x:v>
      </x:c>
      <x:c r="O4503" s="22" t="n">
        <x:f>L4503*M4503</x:f>
        <x:v>9690</x:v>
      </x:c>
      <x:c r="P4503" s="22" t="n">
        <x:f>O4503*(1-N4503)</x:f>
        <x:v>9690</x:v>
      </x:c>
      <x:c r="Q4503" s="22" t="n">
        <x:v>258</x:v>
      </x:c>
      <x:c r="R4503" s="22" t="n">
        <x:f>Q4503*M4503</x:f>
        <x:v>8772</x:v>
      </x:c>
      <x:c r="S4503" s="22" t="n">
        <x:f>P4503-R4503</x:f>
        <x:v>918</x:v>
      </x:c>
      <x:c r="T4503" t="str">
        <x:v>Bank Transfer</x:v>
      </x:c>
      <x:c r="U4503" t="str">
        <x:v>Paid</x:v>
      </x:c>
      <x:c r="V4503" t="str">
        <x:v>Delayed</x:v>
      </x:c>
      <x:c r="W4503" t="n">
        <x:v>0</x:v>
      </x:c>
      <x:c r="X4503" t="str"/>
      <x:c r="Y4503" t="str">
        <x:v>Existing Customer</x:v>
      </x:c>
    </x:row>
    <x:row r="4504">
      <x:c r="A4504" t="str">
        <x:v>O004503</x:v>
      </x:c>
      <x:c r="B4504" s="20" t="n">
        <x:v>45703</x:v>
      </x:c>
      <x:c r="C4504" t="str">
        <x:v>C0043</x:v>
      </x:c>
      <x:c r="D4504" t="str">
        <x:v>Namma Kitchen 43</x:v>
      </x:c>
      <x:c r="E4504" t="str">
        <x:v>Supermarket</x:v>
      </x:c>
      <x:c r="F4504" t="str">
        <x:v>Davanagere</x:v>
      </x:c>
      <x:c r="G4504" t="str">
        <x:v>Kavya</x:v>
      </x:c>
      <x:c r="H4504" t="str">
        <x:v>P037</x:v>
      </x:c>
      <x:c r="I4504" t="str">
        <x:v>Frozen Peas 1kg</x:v>
      </x:c>
      <x:c r="J4504" t="str">
        <x:v>Frozen</x:v>
      </x:c>
      <x:c r="K4504" t="str">
        <x:v>Safal</x:v>
      </x:c>
      <x:c r="L4504" s="22" t="n">
        <x:v>155</x:v>
      </x:c>
      <x:c r="M4504" t="n">
        <x:v>26</x:v>
      </x:c>
      <x:c r="N4504" s="24" t="n">
        <x:v>0.02</x:v>
      </x:c>
      <x:c r="O4504" s="22" t="n">
        <x:f>L4504*M4504</x:f>
        <x:v>4030</x:v>
      </x:c>
      <x:c r="P4504" s="22" t="n">
        <x:f>O4504*(1-N4504)</x:f>
        <x:v>3949.4</x:v>
      </x:c>
      <x:c r="Q4504" s="22" t="n">
        <x:v>138</x:v>
      </x:c>
      <x:c r="R4504" s="22" t="n">
        <x:f>Q4504*M4504</x:f>
        <x:v>3588</x:v>
      </x:c>
      <x:c r="S4504" s="22" t="n">
        <x:f>P4504-R4504</x:f>
        <x:v>361.4000000000001</x:v>
      </x:c>
      <x:c r="T4504" t="str">
        <x:v>UPI</x:v>
      </x:c>
      <x:c r="U4504" t="str">
        <x:v>Paid</x:v>
      </x:c>
      <x:c r="V4504" t="str">
        <x:v>Delivered</x:v>
      </x:c>
      <x:c r="W4504" t="n">
        <x:v>0</x:v>
      </x:c>
      <x:c r="X4504" t="str"/>
      <x:c r="Y4504" t="str">
        <x:v>Field Visit</x:v>
      </x:c>
    </x:row>
    <x:row r="4505">
      <x:c r="A4505" t="str">
        <x:v>O004504</x:v>
      </x:c>
      <x:c r="B4505" s="20" t="n">
        <x:v>45908</x:v>
      </x:c>
      <x:c r="C4505" t="str">
        <x:v>C0178</x:v>
      </x:c>
      <x:c r="D4505" t="str">
        <x:v>Annapurna Foods 178</x:v>
      </x:c>
      <x:c r="E4505" t="str">
        <x:v>Canteen</x:v>
      </x:c>
      <x:c r="F4505" t="str">
        <x:v>Tumakuru</x:v>
      </x:c>
      <x:c r="G4505" t="str">
        <x:v>Imran</x:v>
      </x:c>
      <x:c r="H4505" t="str">
        <x:v>P037</x:v>
      </x:c>
      <x:c r="I4505" t="str">
        <x:v>Frozen Peas 1kg</x:v>
      </x:c>
      <x:c r="J4505" t="str">
        <x:v>Frozen</x:v>
      </x:c>
      <x:c r="K4505" t="str">
        <x:v>Safal</x:v>
      </x:c>
      <x:c r="L4505" s="22" t="n">
        <x:v>155</x:v>
      </x:c>
      <x:c r="M4505" t="n">
        <x:v>30</x:v>
      </x:c>
      <x:c r="N4505" s="24" t="n">
        <x:v>0.03</x:v>
      </x:c>
      <x:c r="O4505" s="22" t="n">
        <x:f>L4505*M4505</x:f>
        <x:v>4650</x:v>
      </x:c>
      <x:c r="P4505" s="22" t="n">
        <x:f>O4505*(1-N4505)</x:f>
        <x:v>4510.5</x:v>
      </x:c>
      <x:c r="Q4505" s="22" t="n">
        <x:v>138</x:v>
      </x:c>
      <x:c r="R4505" s="22" t="n">
        <x:f>Q4505*M4505</x:f>
        <x:v>4140</x:v>
      </x:c>
      <x:c r="S4505" s="22" t="n">
        <x:f>P4505-R4505</x:f>
        <x:v>370.5</x:v>
      </x:c>
      <x:c r="T4505" t="str">
        <x:v>Cash</x:v>
      </x:c>
      <x:c r="U4505" t="str">
        <x:v>Paid</x:v>
      </x:c>
      <x:c r="V4505" t="str">
        <x:v>Delivered</x:v>
      </x:c>
      <x:c r="W4505" t="n">
        <x:v>0</x:v>
      </x:c>
      <x:c r="X4505" t="str"/>
      <x:c r="Y4505" t="str">
        <x:v>Existing Customer</x:v>
      </x:c>
    </x:row>
    <x:row r="4506">
      <x:c r="A4506" t="str">
        <x:v>O004505</x:v>
      </x:c>
      <x:c r="B4506" s="20" t="n">
        <x:v>45672</x:v>
      </x:c>
      <x:c r="C4506" t="str">
        <x:v>C0034</x:v>
      </x:c>
      <x:c r="D4506" t="str">
        <x:v>City Restaurant 34</x:v>
      </x:c>
      <x:c r="E4506" t="str">
        <x:v>Restaurant</x:v>
      </x:c>
      <x:c r="F4506" t="str">
        <x:v>Mangaluru</x:v>
      </x:c>
      <x:c r="G4506" t="str">
        <x:v>Sneha</x:v>
      </x:c>
      <x:c r="H4506" t="str">
        <x:v>P034</x:v>
      </x:c>
      <x:c r="I4506" t="str">
        <x:v>Chilli Powder 1kg</x:v>
      </x:c>
      <x:c r="J4506" t="str">
        <x:v>Spices</x:v>
      </x:c>
      <x:c r="K4506" t="str">
        <x:v>MDH</x:v>
      </x:c>
      <x:c r="L4506" s="22" t="n">
        <x:v>340</x:v>
      </x:c>
      <x:c r="M4506" t="n">
        <x:v>11</x:v>
      </x:c>
      <x:c r="N4506" s="24" t="n">
        <x:v>0</x:v>
      </x:c>
      <x:c r="O4506" s="22" t="n">
        <x:f>L4506*M4506</x:f>
        <x:v>3740</x:v>
      </x:c>
      <x:c r="P4506" s="22" t="n">
        <x:f>O4506*(1-N4506)</x:f>
        <x:v>3740</x:v>
      </x:c>
      <x:c r="Q4506" s="22" t="n">
        <x:v>295</x:v>
      </x:c>
      <x:c r="R4506" s="22" t="n">
        <x:f>Q4506*M4506</x:f>
        <x:v>3245</x:v>
      </x:c>
      <x:c r="S4506" s="22" t="n">
        <x:f>P4506-R4506</x:f>
        <x:v>495</x:v>
      </x:c>
      <x:c r="T4506" t="str">
        <x:v>Credit</x:v>
      </x:c>
      <x:c r="U4506" t="str">
        <x:v>Paid</x:v>
      </x:c>
      <x:c r="V4506" t="str">
        <x:v>Delivered</x:v>
      </x:c>
      <x:c r="W4506" t="n">
        <x:v>0</x:v>
      </x:c>
      <x:c r="X4506" t="str"/>
      <x:c r="Y4506" t="str">
        <x:v>Outbound Call</x:v>
      </x:c>
    </x:row>
    <x:row r="4507">
      <x:c r="A4507" t="str">
        <x:v>O004506</x:v>
      </x:c>
      <x:c r="B4507" s="20" t="n">
        <x:v>46031</x:v>
      </x:c>
      <x:c r="C4507" t="str">
        <x:v>C0142</x:v>
      </x:c>
      <x:c r="D4507" t="str">
        <x:v>Darshini Mart 142</x:v>
      </x:c>
      <x:c r="E4507" t="str">
        <x:v>Cafe</x:v>
      </x:c>
      <x:c r="F4507" t="str">
        <x:v>Bengaluru</x:v>
      </x:c>
      <x:c r="G4507" t="str">
        <x:v>Megha</x:v>
      </x:c>
      <x:c r="H4507" t="str">
        <x:v>P001</x:v>
      </x:c>
      <x:c r="I4507" t="str">
        <x:v>Steam Rice 25kg</x:v>
      </x:c>
      <x:c r="J4507" t="str">
        <x:v>Staples</x:v>
      </x:c>
      <x:c r="K4507" t="str">
        <x:v>Aishwarya</x:v>
      </x:c>
      <x:c r="L4507" s="22" t="n">
        <x:v>1180</x:v>
      </x:c>
      <x:c r="M4507" t="n">
        <x:v>9</x:v>
      </x:c>
      <x:c r="N4507" s="24" t="n">
        <x:v>0</x:v>
      </x:c>
      <x:c r="O4507" s="22" t="n">
        <x:f>L4507*M4507</x:f>
        <x:v>10620</x:v>
      </x:c>
      <x:c r="P4507" s="22" t="n">
        <x:f>O4507*(1-N4507)</x:f>
        <x:v>10620</x:v>
      </x:c>
      <x:c r="Q4507" s="22" t="n">
        <x:v>1040</x:v>
      </x:c>
      <x:c r="R4507" s="22" t="n">
        <x:f>Q4507*M4507</x:f>
        <x:v>9360</x:v>
      </x:c>
      <x:c r="S4507" s="22" t="n">
        <x:f>P4507-R4507</x:f>
        <x:v>1260</x:v>
      </x:c>
      <x:c r="T4507" t="str">
        <x:v>UPI</x:v>
      </x:c>
      <x:c r="U4507" t="str">
        <x:v>Pending</x:v>
      </x:c>
      <x:c r="V4507" t="str">
        <x:v>Delayed</x:v>
      </x:c>
      <x:c r="W4507" t="n">
        <x:v>0</x:v>
      </x:c>
      <x:c r="X4507" t="str"/>
      <x:c r="Y4507" t="str"/>
    </x:row>
    <x:row r="4508">
      <x:c r="A4508" t="str">
        <x:v>O004507</x:v>
      </x:c>
      <x:c r="B4508" s="20" t="n">
        <x:v>45658</x:v>
      </x:c>
      <x:c r="C4508" t="str">
        <x:v>C0179</x:v>
      </x:c>
      <x:c r="D4508" t="str">
        <x:v>Shree Hotel 179</x:v>
      </x:c>
      <x:c r="E4508" t="str">
        <x:v>Restaurant</x:v>
      </x:c>
      <x:c r="F4508" t="str">
        <x:v>Hubballi</x:v>
      </x:c>
      <x:c r="G4508" t="str">
        <x:v>Kavya</x:v>
      </x:c>
      <x:c r="H4508" t="str">
        <x:v>P016</x:v>
      </x:c>
      <x:c r="I4508" t="str">
        <x:v>Curd 1kg</x:v>
      </x:c>
      <x:c r="J4508" t="str">
        <x:v>Dairy</x:v>
      </x:c>
      <x:c r="K4508" t="str">
        <x:v>Nandini</x:v>
      </x:c>
      <x:c r="L4508" s="22" t="n">
        <x:v>72</x:v>
      </x:c>
      <x:c r="M4508" t="n">
        <x:v>1</x:v>
      </x:c>
      <x:c r="N4508" s="24" t="n">
        <x:v>0.02</x:v>
      </x:c>
      <x:c r="O4508" s="22" t="n">
        <x:f>L4508*M4508</x:f>
        <x:v>72</x:v>
      </x:c>
      <x:c r="P4508" s="22" t="n">
        <x:f>O4508*(1-N4508)</x:f>
        <x:v>70.56</x:v>
      </x:c>
      <x:c r="Q4508" s="22" t="n">
        <x:v>64</x:v>
      </x:c>
      <x:c r="R4508" s="22" t="n">
        <x:f>Q4508*M4508</x:f>
        <x:v>64</x:v>
      </x:c>
      <x:c r="S4508" s="22" t="n">
        <x:f>P4508-R4508</x:f>
        <x:v>6.560000000000002</x:v>
      </x:c>
      <x:c r="T4508" t="str">
        <x:v>Bank Transfer</x:v>
      </x:c>
      <x:c r="U4508" t="str">
        <x:v>Paid</x:v>
      </x:c>
      <x:c r="V4508" t="str">
        <x:v>Delivered</x:v>
      </x:c>
      <x:c r="W4508" t="n">
        <x:v>0</x:v>
      </x:c>
      <x:c r="X4508" t="str"/>
      <x:c r="Y4508" t="str">
        <x:v>WhatsApp</x:v>
      </x:c>
    </x:row>
    <x:row r="4509">
      <x:c r="A4509" t="str">
        <x:v>O004508</x:v>
      </x:c>
      <x:c r="B4509" s="20" t="n">
        <x:v>45822</x:v>
      </x:c>
      <x:c r="C4509" t="str">
        <x:v>C0189</x:v>
      </x:c>
      <x:c r="D4509" t="str">
        <x:v>Classic Canteen 189</x:v>
      </x:c>
      <x:c r="E4509" t="str">
        <x:v>Kirana</x:v>
      </x:c>
      <x:c r="F4509" t="str">
        <x:v>Hubballi</x:v>
      </x:c>
      <x:c r="G4509" t="str">
        <x:v>Vikram</x:v>
      </x:c>
      <x:c r="H4509" t="str">
        <x:v>P031</x:v>
      </x:c>
      <x:c r="I4509" t="str">
        <x:v>Chilli Sauce 700g</x:v>
      </x:c>
      <x:c r="J4509" t="str">
        <x:v>Condiments</x:v>
      </x:c>
      <x:c r="K4509" t="str">
        <x:v>Ching's</x:v>
      </x:c>
      <x:c r="L4509" s="22" t="n">
        <x:v>130</x:v>
      </x:c>
      <x:c r="M4509" t="n">
        <x:v>10</x:v>
      </x:c>
      <x:c r="N4509" s="24" t="n">
        <x:v>0</x:v>
      </x:c>
      <x:c r="O4509" s="22" t="n">
        <x:f>L4509*M4509</x:f>
        <x:v>1300</x:v>
      </x:c>
      <x:c r="P4509" s="22" t="n">
        <x:f>O4509*(1-N4509)</x:f>
        <x:v>1300</x:v>
      </x:c>
      <x:c r="Q4509" s="22" t="n">
        <x:v>112</x:v>
      </x:c>
      <x:c r="R4509" s="22" t="n">
        <x:f>Q4509*M4509</x:f>
        <x:v>1120</x:v>
      </x:c>
      <x:c r="S4509" s="22" t="n">
        <x:f>P4509-R4509</x:f>
        <x:v>180</x:v>
      </x:c>
      <x:c r="T4509" t="str">
        <x:v>Bank Transfer</x:v>
      </x:c>
      <x:c r="U4509" t="str">
        <x:v>Paid</x:v>
      </x:c>
      <x:c r="V4509" t="str">
        <x:v>Delivered</x:v>
      </x:c>
      <x:c r="W4509" t="n">
        <x:v>1</x:v>
      </x:c>
      <x:c r="X4509" t="str">
        <x:v>Late Delivery</x:v>
      </x:c>
      <x:c r="Y4509" t="str">
        <x:v>Existing Customer</x:v>
      </x:c>
    </x:row>
    <x:row r="4510">
      <x:c r="A4510" t="str">
        <x:v>O004509</x:v>
      </x:c>
      <x:c r="B4510" s="20" t="n">
        <x:v>45867</x:v>
      </x:c>
      <x:c r="C4510" t="str">
        <x:v>C0241</x:v>
      </x:c>
      <x:c r="D4510" t="str">
        <x:v>Annapurna Restaurant 241</x:v>
      </x:c>
      <x:c r="E4510" t="str">
        <x:v>Hotel</x:v>
      </x:c>
      <x:c r="F4510" t="str">
        <x:v>Tumakuru</x:v>
      </x:c>
      <x:c r="G4510" t="str">
        <x:v>Imran</x:v>
      </x:c>
      <x:c r="H4510" t="str">
        <x:v>P011</x:v>
      </x:c>
      <x:c r="I4510" t="str">
        <x:v>Salt 1kg</x:v>
      </x:c>
      <x:c r="J4510" t="str">
        <x:v>Staples</x:v>
      </x:c>
      <x:c r="K4510" t="str">
        <x:v>Tata</x:v>
      </x:c>
      <x:c r="L4510" s="22" t="n">
        <x:v>28</x:v>
      </x:c>
      <x:c r="M4510" t="n">
        <x:v>38</x:v>
      </x:c>
      <x:c r="N4510" s="24" t="n">
        <x:v>0.03</x:v>
      </x:c>
      <x:c r="O4510" s="22" t="n">
        <x:f>L4510*M4510</x:f>
        <x:v>1064</x:v>
      </x:c>
      <x:c r="P4510" s="22" t="n">
        <x:f>O4510*(1-N4510)</x:f>
        <x:v>1032.08</x:v>
      </x:c>
      <x:c r="Q4510" s="22" t="n">
        <x:v>23</x:v>
      </x:c>
      <x:c r="R4510" s="22" t="n">
        <x:f>Q4510*M4510</x:f>
        <x:v>874</x:v>
      </x:c>
      <x:c r="S4510" s="22" t="n">
        <x:f>P4510-R4510</x:f>
        <x:v>158.07999999999993</x:v>
      </x:c>
      <x:c r="T4510" t="str">
        <x:v>Credit</x:v>
      </x:c>
      <x:c r="U4510" t="str">
        <x:v>Paid</x:v>
      </x:c>
      <x:c r="V4510" t="str">
        <x:v>Delivered</x:v>
      </x:c>
      <x:c r="W4510" t="n">
        <x:v>0</x:v>
      </x:c>
      <x:c r="X4510" t="str"/>
      <x:c r="Y4510" t="str">
        <x:v>Field Visit</x:v>
      </x:c>
    </x:row>
    <x:row r="4511">
      <x:c r="A4511" t="str">
        <x:v>O004510</x:v>
      </x:c>
      <x:c r="B4511" s="20" t="n">
        <x:v>46250</x:v>
      </x:c>
      <x:c r="C4511" t="str">
        <x:v>C0179</x:v>
      </x:c>
      <x:c r="D4511" t="str">
        <x:v>Shree Hotel 179</x:v>
      </x:c>
      <x:c r="E4511" t="str">
        <x:v>Restaurant</x:v>
      </x:c>
      <x:c r="F4511" t="str">
        <x:v>Hubballi</x:v>
      </x:c>
      <x:c r="G4511" t="str">
        <x:v>Kavya</x:v>
      </x:c>
      <x:c r="H4511" t="str">
        <x:v>P005</x:v>
      </x:c>
      <x:c r="I4511" t="str">
        <x:v>Chana Dal 5kg</x:v>
      </x:c>
      <x:c r="J4511" t="str">
        <x:v>Pulses</x:v>
      </x:c>
      <x:c r="K4511" t="str">
        <x:v>Local Select</x:v>
      </x:c>
      <x:c r="L4511" s="22" t="n">
        <x:v>520</x:v>
      </x:c>
      <x:c r="M4511" t="n">
        <x:v>36</x:v>
      </x:c>
      <x:c r="N4511" s="24" t="n">
        <x:v>0</x:v>
      </x:c>
      <x:c r="O4511" s="22" t="n">
        <x:f>L4511*M4511</x:f>
        <x:v>18720</x:v>
      </x:c>
      <x:c r="P4511" s="22" t="n">
        <x:f>O4511*(1-N4511)</x:f>
        <x:v>18720</x:v>
      </x:c>
      <x:c r="Q4511" s="22" t="n">
        <x:v>455</x:v>
      </x:c>
      <x:c r="R4511" s="22" t="n">
        <x:f>Q4511*M4511</x:f>
        <x:v>16380</x:v>
      </x:c>
      <x:c r="S4511" s="22" t="n">
        <x:f>P4511-R4511</x:f>
        <x:v>2340</x:v>
      </x:c>
      <x:c r="T4511" t="str">
        <x:v>UPI</x:v>
      </x:c>
      <x:c r="U4511" t="str">
        <x:v>Pending</x:v>
      </x:c>
      <x:c r="V4511" t="str">
        <x:v>Cancelled</x:v>
      </x:c>
      <x:c r="W4511" t="n">
        <x:v>36</x:v>
      </x:c>
      <x:c r="X4511" t="str">
        <x:v>Cancelled Order</x:v>
      </x:c>
      <x:c r="Y4511" t="str">
        <x:v>Referral</x:v>
      </x:c>
    </x:row>
    <x:row r="4512">
      <x:c r="A4512" t="str">
        <x:v>O004511</x:v>
      </x:c>
      <x:c r="B4512" s="20" t="n">
        <x:v>45828</x:v>
      </x:c>
      <x:c r="C4512" t="str">
        <x:v>C0035</x:v>
      </x:c>
      <x:c r="D4512" t="str">
        <x:v>City Foods 35</x:v>
      </x:c>
      <x:c r="E4512" t="str">
        <x:v>Kirana</x:v>
      </x:c>
      <x:c r="F4512" t="str">
        <x:v>Bengaluru</x:v>
      </x:c>
      <x:c r="G4512" t="str">
        <x:v>Megha</x:v>
      </x:c>
      <x:c r="H4512" t="str">
        <x:v>P040</x:v>
      </x:c>
      <x:c r="I4512" t="str">
        <x:v>Bread Loaf 400g</x:v>
      </x:c>
      <x:c r="J4512" t="str">
        <x:v>Bakery</x:v>
      </x:c>
      <x:c r="K4512" t="str">
        <x:v>Britannia</x:v>
      </x:c>
      <x:c r="L4512" s="22" t="n">
        <x:v>45</x:v>
      </x:c>
      <x:c r="M4512" t="n">
        <x:v>39</x:v>
      </x:c>
      <x:c r="N4512" s="24" t="n">
        <x:v>0.02</x:v>
      </x:c>
      <x:c r="O4512" s="22" t="n">
        <x:f>L4512*M4512</x:f>
        <x:v>1755</x:v>
      </x:c>
      <x:c r="P4512" s="22" t="n">
        <x:f>O4512*(1-N4512)</x:f>
        <x:v>1719.8999999999999</x:v>
      </x:c>
      <x:c r="Q4512" s="22" t="n">
        <x:v>35</x:v>
      </x:c>
      <x:c r="R4512" s="22" t="n">
        <x:f>Q4512*M4512</x:f>
        <x:v>1365</x:v>
      </x:c>
      <x:c r="S4512" s="22" t="n">
        <x:f>P4512-R4512</x:f>
        <x:v>354.89999999999986</x:v>
      </x:c>
      <x:c r="T4512" t="str">
        <x:v>Bank Transfer</x:v>
      </x:c>
      <x:c r="U4512" t="str">
        <x:v>Paid</x:v>
      </x:c>
      <x:c r="V4512" t="str">
        <x:v>Delivered</x:v>
      </x:c>
      <x:c r="W4512" t="n">
        <x:v>0</x:v>
      </x:c>
      <x:c r="X4512" t="str"/>
      <x:c r="Y4512" t="str">
        <x:v>Existing Customer</x:v>
      </x:c>
    </x:row>
    <x:row r="4513">
      <x:c r="A4513" t="str">
        <x:v>O004512</x:v>
      </x:c>
      <x:c r="B4513" s="20" t="n">
        <x:v>46255</x:v>
      </x:c>
      <x:c r="C4513" t="str">
        <x:v>C0061</x:v>
      </x:c>
      <x:c r="D4513" t="str">
        <x:v>Spice Stores 61</x:v>
      </x:c>
      <x:c r="E4513" t="str">
        <x:v>Restaurant</x:v>
      </x:c>
      <x:c r="F4513" t="str">
        <x:v>Tumakuru</x:v>
      </x:c>
      <x:c r="G4513" t="str">
        <x:v>Ramesh</x:v>
      </x:c>
      <x:c r="H4513" t="str">
        <x:v>P020</x:v>
      </x:c>
      <x:c r="I4513" t="str">
        <x:v>Coffee 500g</x:v>
      </x:c>
      <x:c r="J4513" t="str">
        <x:v>Beverage</x:v>
      </x:c>
      <x:c r="K4513" t="str">
        <x:v>Bru</x:v>
      </x:c>
      <x:c r="L4513" s="22" t="n">
        <x:v>390</x:v>
      </x:c>
      <x:c r="M4513" t="n">
        <x:v>11</x:v>
      </x:c>
      <x:c r="N4513" s="24" t="n">
        <x:v>0.05</x:v>
      </x:c>
      <x:c r="O4513" s="22" t="n">
        <x:f>L4513*M4513</x:f>
        <x:v>4290</x:v>
      </x:c>
      <x:c r="P4513" s="22" t="n">
        <x:f>O4513*(1-N4513)</x:f>
        <x:v>4075.5</x:v>
      </x:c>
      <x:c r="Q4513" s="22" t="n">
        <x:v>350</x:v>
      </x:c>
      <x:c r="R4513" s="22" t="n">
        <x:f>Q4513*M4513</x:f>
        <x:v>3850</x:v>
      </x:c>
      <x:c r="S4513" s="22" t="n">
        <x:f>P4513-R4513</x:f>
        <x:v>225.5</x:v>
      </x:c>
      <x:c r="T4513" t="str">
        <x:v>Credit</x:v>
      </x:c>
      <x:c r="U4513" t="str">
        <x:v>Paid</x:v>
      </x:c>
      <x:c r="V4513" t="str">
        <x:v>Delayed</x:v>
      </x:c>
      <x:c r="W4513" t="n">
        <x:v>0</x:v>
      </x:c>
      <x:c r="X4513" t="str"/>
      <x:c r="Y4513" t="str">
        <x:v>Existing Customer</x:v>
      </x:c>
    </x:row>
    <x:row r="4514">
      <x:c r="A4514" t="str">
        <x:v>O004513</x:v>
      </x:c>
      <x:c r="B4514" s="20" t="n">
        <x:v>45989</x:v>
      </x:c>
      <x:c r="C4514" t="str">
        <x:v>C0168</x:v>
      </x:c>
      <x:c r="D4514" t="str">
        <x:v>Sagar Hotel 168</x:v>
      </x:c>
      <x:c r="E4514" t="str">
        <x:v>Canteen</x:v>
      </x:c>
      <x:c r="F4514" t="str">
        <x:v>Bengaluru</x:v>
      </x:c>
      <x:c r="G4514" t="str">
        <x:v>Priya</x:v>
      </x:c>
      <x:c r="H4514" t="str">
        <x:v>P018</x:v>
      </x:c>
      <x:c r="I4514" t="str">
        <x:v>Paneer 1kg</x:v>
      </x:c>
      <x:c r="J4514" t="str">
        <x:v>Dairy</x:v>
      </x:c>
      <x:c r="K4514" t="str">
        <x:v>Milky Mist</x:v>
      </x:c>
      <x:c r="L4514" s="22" t="n">
        <x:v>410</x:v>
      </x:c>
      <x:c r="M4514" t="n">
        <x:v>23</x:v>
      </x:c>
      <x:c r="N4514" s="24" t="n">
        <x:v>0.05</x:v>
      </x:c>
      <x:c r="O4514" s="22" t="n">
        <x:f>L4514*M4514</x:f>
        <x:v>9430</x:v>
      </x:c>
      <x:c r="P4514" s="22" t="n">
        <x:f>O4514*(1-N4514)</x:f>
        <x:v>8958.5</x:v>
      </x:c>
      <x:c r="Q4514" s="22" t="n">
        <x:v>370</x:v>
      </x:c>
      <x:c r="R4514" s="22" t="n">
        <x:f>Q4514*M4514</x:f>
        <x:v>8510</x:v>
      </x:c>
      <x:c r="S4514" s="22" t="n">
        <x:f>P4514-R4514</x:f>
        <x:v>448.5</x:v>
      </x:c>
      <x:c r="T4514" t="str">
        <x:v>UPI</x:v>
      </x:c>
      <x:c r="U4514" t="str">
        <x:v>Paid</x:v>
      </x:c>
      <x:c r="V4514" t="str">
        <x:v>Cancelled</x:v>
      </x:c>
      <x:c r="W4514" t="n">
        <x:v>23</x:v>
      </x:c>
      <x:c r="X4514" t="str">
        <x:v>Cancelled Order</x:v>
      </x:c>
      <x:c r="Y4514" t="str">
        <x:v>Referral</x:v>
      </x:c>
    </x:row>
    <x:row r="4515">
      <x:c r="A4515" t="str">
        <x:v>O004514</x:v>
      </x:c>
      <x:c r="B4515" s="20" t="n">
        <x:v>46195</x:v>
      </x:c>
      <x:c r="C4515" t="str">
        <x:v>C0093</x:v>
      </x:c>
      <x:c r="D4515" t="str">
        <x:v>Sagar Hotel 93</x:v>
      </x:c>
      <x:c r="E4515" t="str">
        <x:v>Hotel</x:v>
      </x:c>
      <x:c r="F4515" t="str">
        <x:v>Hubballi</x:v>
      </x:c>
      <x:c r="G4515" t="str">
        <x:v>Imran</x:v>
      </x:c>
      <x:c r="H4515" t="str">
        <x:v>P024</x:v>
      </x:c>
      <x:c r="I4515" t="str">
        <x:v>Orange Drink 1L</x:v>
      </x:c>
      <x:c r="J4515" t="str">
        <x:v>Beverage</x:v>
      </x:c>
      <x:c r="K4515" t="str">
        <x:v>Minute Maid</x:v>
      </x:c>
      <x:c r="L4515" s="22" t="n">
        <x:v>105</x:v>
      </x:c>
      <x:c r="M4515" t="n">
        <x:v>33</x:v>
      </x:c>
      <x:c r="N4515" s="24" t="n">
        <x:v>0.02</x:v>
      </x:c>
      <x:c r="O4515" s="22" t="n">
        <x:f>L4515*M4515</x:f>
        <x:v>3465</x:v>
      </x:c>
      <x:c r="P4515" s="22" t="n">
        <x:f>O4515*(1-N4515)</x:f>
        <x:v>3395.7</x:v>
      </x:c>
      <x:c r="Q4515" s="22" t="n">
        <x:v>88</x:v>
      </x:c>
      <x:c r="R4515" s="22" t="n">
        <x:f>Q4515*M4515</x:f>
        <x:v>2904</x:v>
      </x:c>
      <x:c r="S4515" s="22" t="n">
        <x:f>P4515-R4515</x:f>
        <x:v>491.6999999999998</x:v>
      </x:c>
      <x:c r="T4515" t="str">
        <x:v>Bank Transfer</x:v>
      </x:c>
      <x:c r="U4515" t="str">
        <x:v>Pending</x:v>
      </x:c>
      <x:c r="V4515" t="str">
        <x:v>Cancelled</x:v>
      </x:c>
      <x:c r="W4515" t="n">
        <x:v>33</x:v>
      </x:c>
      <x:c r="X4515" t="str">
        <x:v>Cancelled Order</x:v>
      </x:c>
      <x:c r="Y4515" t="str">
        <x:v>Referral</x:v>
      </x:c>
    </x:row>
    <x:row r="4516">
      <x:c r="A4516" t="str">
        <x:v>O004515</x:v>
      </x:c>
      <x:c r="B4516" s="20" t="n">
        <x:v>46186</x:v>
      </x:c>
      <x:c r="C4516" t="str">
        <x:v>C0168</x:v>
      </x:c>
      <x:c r="D4516" t="str">
        <x:v>Sagar Hotel 168</x:v>
      </x:c>
      <x:c r="E4516" t="str">
        <x:v>Canteen</x:v>
      </x:c>
      <x:c r="F4516" t="str">
        <x:v>Bengaluru</x:v>
      </x:c>
      <x:c r="G4516" t="str">
        <x:v>Priya</x:v>
      </x:c>
      <x:c r="H4516" t="str">
        <x:v>P014</x:v>
      </x:c>
      <x:c r="I4516" t="str">
        <x:v>Rava 5kg</x:v>
      </x:c>
      <x:c r="J4516" t="str">
        <x:v>Flour</x:v>
      </x:c>
      <x:c r="K4516" t="str">
        <x:v>Local Select</x:v>
      </x:c>
      <x:c r="L4516" s="22" t="n">
        <x:v>245</x:v>
      </x:c>
      <x:c r="M4516" t="n">
        <x:v>39</x:v>
      </x:c>
      <x:c r="N4516" s="24" t="n">
        <x:v>0</x:v>
      </x:c>
      <x:c r="O4516" s="22" t="n">
        <x:f>L4516*M4516</x:f>
        <x:v>9555</x:v>
      </x:c>
      <x:c r="P4516" s="22" t="n">
        <x:f>O4516*(1-N4516)</x:f>
        <x:v>9555</x:v>
      </x:c>
      <x:c r="Q4516" s="22" t="n">
        <x:v>215</x:v>
      </x:c>
      <x:c r="R4516" s="22" t="n">
        <x:f>Q4516*M4516</x:f>
        <x:v>8385</x:v>
      </x:c>
      <x:c r="S4516" s="22" t="n">
        <x:f>P4516-R4516</x:f>
        <x:v>1170</x:v>
      </x:c>
      <x:c r="T4516" t="str">
        <x:v>Credit</x:v>
      </x:c>
      <x:c r="U4516" t="str">
        <x:v>Paid</x:v>
      </x:c>
      <x:c r="V4516" t="str">
        <x:v>Delayed</x:v>
      </x:c>
      <x:c r="W4516" t="n">
        <x:v>0</x:v>
      </x:c>
      <x:c r="X4516" t="str"/>
      <x:c r="Y4516" t="str">
        <x:v>Outbound Call</x:v>
      </x:c>
    </x:row>
    <x:row r="4517">
      <x:c r="A4517" t="str">
        <x:v>O004516</x:v>
      </x:c>
      <x:c r="B4517" s="20" t="n">
        <x:v>46157</x:v>
      </x:c>
      <x:c r="C4517" t="str">
        <x:v>C0246</x:v>
      </x:c>
      <x:c r="D4517" t="str">
        <x:v>City Hotel 246</x:v>
      </x:c>
      <x:c r="E4517" t="str">
        <x:v>Supermarket</x:v>
      </x:c>
      <x:c r="F4517" t="str">
        <x:v>Mangaluru</x:v>
      </x:c>
      <x:c r="G4517" t="str">
        <x:v>Kavya</x:v>
      </x:c>
      <x:c r="H4517" t="str">
        <x:v>P036</x:v>
      </x:c>
      <x:c r="I4517" t="str">
        <x:v>Garam Masala 500g</x:v>
      </x:c>
      <x:c r="J4517" t="str">
        <x:v>Spices</x:v>
      </x:c>
      <x:c r="K4517" t="str">
        <x:v>MDH</x:v>
      </x:c>
      <x:c r="L4517" s="22" t="n">
        <x:v>265</x:v>
      </x:c>
      <x:c r="M4517" t="n">
        <x:v>24</x:v>
      </x:c>
      <x:c r="N4517" s="24" t="n">
        <x:v>0</x:v>
      </x:c>
      <x:c r="O4517" s="22" t="n">
        <x:f>L4517*M4517</x:f>
        <x:v>6360</x:v>
      </x:c>
      <x:c r="P4517" s="22" t="n">
        <x:f>O4517*(1-N4517)</x:f>
        <x:v>6360</x:v>
      </x:c>
      <x:c r="Q4517" s="22" t="n">
        <x:v>230</x:v>
      </x:c>
      <x:c r="R4517" s="22" t="n">
        <x:f>Q4517*M4517</x:f>
        <x:v>5520</x:v>
      </x:c>
      <x:c r="S4517" s="22" t="n">
        <x:f>P4517-R4517</x:f>
        <x:v>840</x:v>
      </x:c>
      <x:c r="T4517" t="str">
        <x:v>Bank Transfer</x:v>
      </x:c>
      <x:c r="U4517" t="str">
        <x:v>Paid</x:v>
      </x:c>
      <x:c r="V4517" t="str">
        <x:v>Delivered</x:v>
      </x:c>
      <x:c r="W4517" t="n">
        <x:v>0</x:v>
      </x:c>
      <x:c r="X4517" t="str"/>
      <x:c r="Y4517" t="str">
        <x:v>Existing Customer</x:v>
      </x:c>
    </x:row>
    <x:row r="4518">
      <x:c r="A4518" t="str">
        <x:v>O004517</x:v>
      </x:c>
      <x:c r="B4518" s="20" t="n">
        <x:v>46282</x:v>
      </x:c>
      <x:c r="C4518" t="str">
        <x:v>C0195</x:v>
      </x:c>
      <x:c r="D4518" t="str">
        <x:v>Classic Stores 195</x:v>
      </x:c>
      <x:c r="E4518" t="str">
        <x:v>Canteen</x:v>
      </x:c>
      <x:c r="F4518" t="str">
        <x:v>Davanagere</x:v>
      </x:c>
      <x:c r="G4518" t="str">
        <x:v>Kavya</x:v>
      </x:c>
      <x:c r="H4518" t="str">
        <x:v>P004</x:v>
      </x:c>
      <x:c r="I4518" t="str">
        <x:v>Toor Dal 5kg</x:v>
      </x:c>
      <x:c r="J4518" t="str">
        <x:v>Pulses</x:v>
      </x:c>
      <x:c r="K4518" t="str">
        <x:v>Tata Sampann</x:v>
      </x:c>
      <x:c r="L4518" s="22" t="n">
        <x:v>780</x:v>
      </x:c>
      <x:c r="M4518" t="n">
        <x:v>20</x:v>
      </x:c>
      <x:c r="N4518" s="24" t="n">
        <x:v>0</x:v>
      </x:c>
      <x:c r="O4518" s="22" t="n">
        <x:f>L4518*M4518</x:f>
        <x:v>15600</x:v>
      </x:c>
      <x:c r="P4518" s="22" t="n">
        <x:f>O4518*(1-N4518)</x:f>
        <x:v>15600</x:v>
      </x:c>
      <x:c r="Q4518" s="22" t="n">
        <x:v>695</x:v>
      </x:c>
      <x:c r="R4518" s="22" t="n">
        <x:f>Q4518*M4518</x:f>
        <x:v>13900</x:v>
      </x:c>
      <x:c r="S4518" s="22" t="n">
        <x:f>P4518-R4518</x:f>
        <x:v>1700</x:v>
      </x:c>
      <x:c r="T4518" t="str">
        <x:v>Credit</x:v>
      </x:c>
      <x:c r="U4518" t="str">
        <x:v>Paid</x:v>
      </x:c>
      <x:c r="V4518" t="str">
        <x:v>Cancelled</x:v>
      </x:c>
      <x:c r="W4518" t="n">
        <x:v>20</x:v>
      </x:c>
      <x:c r="X4518" t="str">
        <x:v>Cancelled Order</x:v>
      </x:c>
      <x:c r="Y4518" t="str">
        <x:v>Referral</x:v>
      </x:c>
    </x:row>
    <x:row r="4519">
      <x:c r="A4519" t="str">
        <x:v>O004518</x:v>
      </x:c>
      <x:c r="B4519" s="20" t="n">
        <x:v>46268</x:v>
      </x:c>
      <x:c r="C4519" t="str">
        <x:v>C0048</x:v>
      </x:c>
      <x:c r="D4519" t="str">
        <x:v>Udupi Foods 48</x:v>
      </x:c>
      <x:c r="E4519" t="str">
        <x:v>Hotel</x:v>
      </x:c>
      <x:c r="F4519" t="str">
        <x:v>Bengaluru</x:v>
      </x:c>
      <x:c r="G4519" t="str">
        <x:v>Ramesh</x:v>
      </x:c>
      <x:c r="H4519" t="str">
        <x:v>P030</x:v>
      </x:c>
      <x:c r="I4519" t="str">
        <x:v>Mayonnaise 1kg</x:v>
      </x:c>
      <x:c r="J4519" t="str">
        <x:v>Condiments</x:v>
      </x:c>
      <x:c r="K4519" t="str">
        <x:v>Veeba</x:v>
      </x:c>
      <x:c r="L4519" s="22" t="n">
        <x:v>210</x:v>
      </x:c>
      <x:c r="M4519" t="n">
        <x:v>33</x:v>
      </x:c>
      <x:c r="N4519" s="24" t="n">
        <x:v>0.05</x:v>
      </x:c>
      <x:c r="O4519" s="22" t="n">
        <x:f>L4519*M4519</x:f>
        <x:v>6930</x:v>
      </x:c>
      <x:c r="P4519" s="22" t="n">
        <x:f>O4519*(1-N4519)</x:f>
        <x:v>6583.5</x:v>
      </x:c>
      <x:c r="Q4519" s="22" t="n">
        <x:v>185</x:v>
      </x:c>
      <x:c r="R4519" s="22" t="n">
        <x:f>Q4519*M4519</x:f>
        <x:v>6105</x:v>
      </x:c>
      <x:c r="S4519" s="22" t="n">
        <x:f>P4519-R4519</x:f>
        <x:v>478.5</x:v>
      </x:c>
      <x:c r="T4519" t="str">
        <x:v>UPI</x:v>
      </x:c>
      <x:c r="U4519" t="str">
        <x:v>Paid</x:v>
      </x:c>
      <x:c r="V4519" t="str">
        <x:v>Delivered</x:v>
      </x:c>
      <x:c r="W4519" t="n">
        <x:v>0</x:v>
      </x:c>
      <x:c r="X4519" t="str"/>
      <x:c r="Y4519" t="str">
        <x:v>Outbound Call</x:v>
      </x:c>
    </x:row>
    <x:row r="4520">
      <x:c r="A4520" t="str">
        <x:v>O004519</x:v>
      </x:c>
      <x:c r="B4520" s="20" t="n">
        <x:v>45781</x:v>
      </x:c>
      <x:c r="C4520" t="str">
        <x:v>C0144</x:v>
      </x:c>
      <x:c r="D4520" t="str">
        <x:v>Namma Foods 144</x:v>
      </x:c>
      <x:c r="E4520" t="str">
        <x:v>Restaurant</x:v>
      </x:c>
      <x:c r="F4520" t="str">
        <x:v>Tumakuru</x:v>
      </x:c>
      <x:c r="G4520" t="str">
        <x:v>Arjun</x:v>
      </x:c>
      <x:c r="H4520" t="str">
        <x:v>P040</x:v>
      </x:c>
      <x:c r="I4520" t="str">
        <x:v>Bread Loaf 400g</x:v>
      </x:c>
      <x:c r="J4520" t="str">
        <x:v>Bakery</x:v>
      </x:c>
      <x:c r="K4520" t="str">
        <x:v>Britannia</x:v>
      </x:c>
      <x:c r="L4520" s="22" t="n">
        <x:v>45</x:v>
      </x:c>
      <x:c r="M4520" t="n">
        <x:v>31</x:v>
      </x:c>
      <x:c r="N4520" s="24" t="n">
        <x:v>0.05</x:v>
      </x:c>
      <x:c r="O4520" s="22" t="n">
        <x:f>L4520*M4520</x:f>
        <x:v>1395</x:v>
      </x:c>
      <x:c r="P4520" s="22" t="n">
        <x:f>O4520*(1-N4520)</x:f>
        <x:v>1325.25</x:v>
      </x:c>
      <x:c r="Q4520" s="22" t="n">
        <x:v>35</x:v>
      </x:c>
      <x:c r="R4520" s="22" t="n">
        <x:f>Q4520*M4520</x:f>
        <x:v>1085</x:v>
      </x:c>
      <x:c r="S4520" s="22" t="n">
        <x:f>P4520-R4520</x:f>
        <x:v>240.25</x:v>
      </x:c>
      <x:c r="T4520" t="str">
        <x:v>Cash</x:v>
      </x:c>
      <x:c r="U4520" t="str">
        <x:v>Paid</x:v>
      </x:c>
      <x:c r="V4520" t="str">
        <x:v>Delayed</x:v>
      </x:c>
      <x:c r="W4520" t="n">
        <x:v>0</x:v>
      </x:c>
      <x:c r="X4520" t="str"/>
      <x:c r="Y4520" t="str">
        <x:v>Field Visit</x:v>
      </x:c>
    </x:row>
    <x:row r="4521">
      <x:c r="A4521" t="str">
        <x:v>O004520</x:v>
      </x:c>
      <x:c r="B4521" s="20" t="n">
        <x:v>46258</x:v>
      </x:c>
      <x:c r="C4521" t="str">
        <x:v>C0124</x:v>
      </x:c>
      <x:c r="D4521" t="str">
        <x:v>Green Hotel 124</x:v>
      </x:c>
      <x:c r="E4521" t="str">
        <x:v>Cafe</x:v>
      </x:c>
      <x:c r="F4521" t="str">
        <x:v>Bengaluru</x:v>
      </x:c>
      <x:c r="G4521" t="str">
        <x:v>Imran</x:v>
      </x:c>
      <x:c r="H4521" t="str">
        <x:v>P018</x:v>
      </x:c>
      <x:c r="I4521" t="str">
        <x:v>Paneer 1kg</x:v>
      </x:c>
      <x:c r="J4521" t="str">
        <x:v>Dairy</x:v>
      </x:c>
      <x:c r="K4521" t="str">
        <x:v>Milky Mist</x:v>
      </x:c>
      <x:c r="L4521" s="22" t="n">
        <x:v>410</x:v>
      </x:c>
      <x:c r="M4521" t="n">
        <x:v>17</x:v>
      </x:c>
      <x:c r="N4521" s="24" t="n">
        <x:v>0</x:v>
      </x:c>
      <x:c r="O4521" s="22" t="n">
        <x:f>L4521*M4521</x:f>
        <x:v>6970</x:v>
      </x:c>
      <x:c r="P4521" s="22" t="n">
        <x:f>O4521*(1-N4521)</x:f>
        <x:v>6970</x:v>
      </x:c>
      <x:c r="Q4521" s="22" t="n">
        <x:v>370</x:v>
      </x:c>
      <x:c r="R4521" s="22" t="n">
        <x:f>Q4521*M4521</x:f>
        <x:v>6290</x:v>
      </x:c>
      <x:c r="S4521" s="22" t="n">
        <x:f>P4521-R4521</x:f>
        <x:v>680</x:v>
      </x:c>
      <x:c r="T4521" t="str">
        <x:v>UPI</x:v>
      </x:c>
      <x:c r="U4521" t="str">
        <x:v>Paid</x:v>
      </x:c>
      <x:c r="V4521" t="str">
        <x:v>Delivered</x:v>
      </x:c>
      <x:c r="W4521" t="n">
        <x:v>0</x:v>
      </x:c>
      <x:c r="X4521" t="str"/>
      <x:c r="Y4521" t="str">
        <x:v>Existing Customer</x:v>
      </x:c>
    </x:row>
    <x:row r="4522">
      <x:c r="A4522" t="str">
        <x:v>O004521</x:v>
      </x:c>
      <x:c r="B4522" s="20" t="n">
        <x:v>46012</x:v>
      </x:c>
      <x:c r="C4522" t="str">
        <x:v>C0133</x:v>
      </x:c>
      <x:c r="D4522" t="str">
        <x:v>Metro Foods 133</x:v>
      </x:c>
      <x:c r="E4522" t="str">
        <x:v>Cafe</x:v>
      </x:c>
      <x:c r="F4522" t="str">
        <x:v>Bengaluru</x:v>
      </x:c>
      <x:c r="G4522" t="str">
        <x:v>Ramesh</x:v>
      </x:c>
      <x:c r="H4522" t="str">
        <x:v>P026</x:v>
      </x:c>
      <x:c r="I4522" t="str">
        <x:v>Banana Chips 80g</x:v>
      </x:c>
      <x:c r="J4522" t="str">
        <x:v>Snacks</x:v>
      </x:c>
      <x:c r="K4522" t="str">
        <x:v>SSS</x:v>
      </x:c>
      <x:c r="L4522" s="22" t="n">
        <x:v>54</x:v>
      </x:c>
      <x:c r="M4522" t="n">
        <x:v>35</x:v>
      </x:c>
      <x:c r="N4522" s="24" t="n">
        <x:v>0.05</x:v>
      </x:c>
      <x:c r="O4522" s="22" t="n">
        <x:f>L4522*M4522</x:f>
        <x:v>1890</x:v>
      </x:c>
      <x:c r="P4522" s="22" t="n">
        <x:f>O4522*(1-N4522)</x:f>
        <x:v>1795.5</x:v>
      </x:c>
      <x:c r="Q4522" s="22" t="n">
        <x:v>39</x:v>
      </x:c>
      <x:c r="R4522" s="22" t="n">
        <x:f>Q4522*M4522</x:f>
        <x:v>1365</x:v>
      </x:c>
      <x:c r="S4522" s="22" t="n">
        <x:f>P4522-R4522</x:f>
        <x:v>430.5</x:v>
      </x:c>
      <x:c r="T4522" t="str">
        <x:v>Credit</x:v>
      </x:c>
      <x:c r="U4522" t="str">
        <x:v>Paid</x:v>
      </x:c>
      <x:c r="V4522" t="str">
        <x:v>Delivered</x:v>
      </x:c>
      <x:c r="W4522" t="n">
        <x:v>0</x:v>
      </x:c>
      <x:c r="X4522" t="str"/>
      <x:c r="Y4522" t="str">
        <x:v>Existing Customer</x:v>
      </x:c>
    </x:row>
    <x:row r="4523">
      <x:c r="A4523" t="str">
        <x:v>O004522</x:v>
      </x:c>
      <x:c r="B4523" s="20" t="n">
        <x:v>46125</x:v>
      </x:c>
      <x:c r="C4523" t="str">
        <x:v>C0006</x:v>
      </x:c>
      <x:c r="D4523" t="str">
        <x:v>New Restaurant 6</x:v>
      </x:c>
      <x:c r="E4523" t="str">
        <x:v>Kirana</x:v>
      </x:c>
      <x:c r="F4523" t="str">
        <x:v>Hubballi</x:v>
      </x:c>
      <x:c r="G4523" t="str">
        <x:v>Vikram</x:v>
      </x:c>
      <x:c r="H4523" t="str">
        <x:v>P023</x:v>
      </x:c>
      <x:c r="I4523" t="str">
        <x:v>Cola 750ml</x:v>
      </x:c>
      <x:c r="J4523" t="str">
        <x:v>Beverage</x:v>
      </x:c>
      <x:c r="K4523" t="str">
        <x:v>Coca-Cola</x:v>
      </x:c>
      <x:c r="L4523" s="22" t="n">
        <x:v>38</x:v>
      </x:c>
      <x:c r="M4523" t="n">
        <x:v>2</x:v>
      </x:c>
      <x:c r="N4523" s="24" t="n">
        <x:v>0</x:v>
      </x:c>
      <x:c r="O4523" s="22" t="n">
        <x:f>L4523*M4523</x:f>
        <x:v>76</x:v>
      </x:c>
      <x:c r="P4523" s="22" t="n">
        <x:f>O4523*(1-N4523)</x:f>
        <x:v>76</x:v>
      </x:c>
      <x:c r="Q4523" s="22" t="n">
        <x:v>31</x:v>
      </x:c>
      <x:c r="R4523" s="22" t="n">
        <x:f>Q4523*M4523</x:f>
        <x:v>62</x:v>
      </x:c>
      <x:c r="S4523" s="22" t="n">
        <x:f>P4523-R4523</x:f>
        <x:v>14</x:v>
      </x:c>
      <x:c r="T4523" t="str">
        <x:v>Credit</x:v>
      </x:c>
      <x:c r="U4523" t="str">
        <x:v>Paid</x:v>
      </x:c>
      <x:c r="V4523" t="str">
        <x:v>Delivered</x:v>
      </x:c>
      <x:c r="W4523" t="n">
        <x:v>0</x:v>
      </x:c>
      <x:c r="X4523" t="str"/>
      <x:c r="Y4523" t="str">
        <x:v>Field Visit</x:v>
      </x:c>
    </x:row>
    <x:row r="4524">
      <x:c r="A4524" t="str">
        <x:v>O004523</x:v>
      </x:c>
      <x:c r="B4524" s="20" t="n">
        <x:v>45789</x:v>
      </x:c>
      <x:c r="C4524" t="str">
        <x:v>C0176</x:v>
      </x:c>
      <x:c r="D4524" t="str">
        <x:v>Cafe Kitchen 176</x:v>
      </x:c>
      <x:c r="E4524" t="str">
        <x:v>Kirana</x:v>
      </x:c>
      <x:c r="F4524" t="str">
        <x:v>Mysuru</x:v>
      </x:c>
      <x:c r="G4524" t="str">
        <x:v>Priya</x:v>
      </x:c>
      <x:c r="H4524" t="str">
        <x:v>P010</x:v>
      </x:c>
      <x:c r="I4524" t="str">
        <x:v>Sugar 25kg</x:v>
      </x:c>
      <x:c r="J4524" t="str">
        <x:v>Staples</x:v>
      </x:c>
      <x:c r="K4524" t="str">
        <x:v>Madhur</x:v>
      </x:c>
      <x:c r="L4524" s="22" t="n">
        <x:v>1190</x:v>
      </x:c>
      <x:c r="M4524" t="n">
        <x:v>6</x:v>
      </x:c>
      <x:c r="N4524" s="24" t="n">
        <x:v>0.1</x:v>
      </x:c>
      <x:c r="O4524" s="22" t="n">
        <x:f>L4524*M4524</x:f>
        <x:v>7140</x:v>
      </x:c>
      <x:c r="P4524" s="22" t="n">
        <x:f>O4524*(1-N4524)</x:f>
        <x:v>6426</x:v>
      </x:c>
      <x:c r="Q4524" s="22" t="n">
        <x:v>1080</x:v>
      </x:c>
      <x:c r="R4524" s="22" t="n">
        <x:f>Q4524*M4524</x:f>
        <x:v>6480</x:v>
      </x:c>
      <x:c r="S4524" s="22" t="n">
        <x:f>P4524-R4524</x:f>
        <x:v>-54</x:v>
      </x:c>
      <x:c r="T4524" t="str">
        <x:v>Cash</x:v>
      </x:c>
      <x:c r="U4524" t="str">
        <x:v>Pending</x:v>
      </x:c>
      <x:c r="V4524" t="str">
        <x:v>Delivered</x:v>
      </x:c>
      <x:c r="W4524" t="n">
        <x:v>0</x:v>
      </x:c>
      <x:c r="X4524" t="str"/>
      <x:c r="Y4524" t="str">
        <x:v>Existing Customer</x:v>
      </x:c>
    </x:row>
    <x:row r="4525">
      <x:c r="A4525" t="str">
        <x:v>O004524</x:v>
      </x:c>
      <x:c r="B4525" s="20" t="n">
        <x:v>45671</x:v>
      </x:c>
      <x:c r="C4525" t="str">
        <x:v>C0210</x:v>
      </x:c>
      <x:c r="D4525" t="str">
        <x:v>Spice Stores 210</x:v>
      </x:c>
      <x:c r="E4525" t="str">
        <x:v>Cafe</x:v>
      </x:c>
      <x:c r="F4525" t="str">
        <x:v>Davanagere</x:v>
      </x:c>
      <x:c r="G4525" t="str">
        <x:v>Imran</x:v>
      </x:c>
      <x:c r="H4525" t="str">
        <x:v>P039</x:v>
      </x:c>
      <x:c r="I4525" t="str">
        <x:v>Ice Cream 4L</x:v>
      </x:c>
      <x:c r="J4525" t="str">
        <x:v>Frozen</x:v>
      </x:c>
      <x:c r="K4525" t="str">
        <x:v>Amul</x:v>
      </x:c>
      <x:c r="L4525" s="22" t="n">
        <x:v>480</x:v>
      </x:c>
      <x:c r="M4525" t="n">
        <x:v>1</x:v>
      </x:c>
      <x:c r="N4525" s="24" t="n">
        <x:v>0</x:v>
      </x:c>
      <x:c r="O4525" s="22" t="n">
        <x:f>L4525*M4525</x:f>
        <x:v>480</x:v>
      </x:c>
      <x:c r="P4525" s="22" t="n">
        <x:f>O4525*(1-N4525)</x:f>
        <x:v>480</x:v>
      </x:c>
      <x:c r="Q4525" s="22" t="n">
        <x:v>420</x:v>
      </x:c>
      <x:c r="R4525" s="22" t="n">
        <x:f>Q4525*M4525</x:f>
        <x:v>420</x:v>
      </x:c>
      <x:c r="S4525" s="22" t="n">
        <x:f>P4525-R4525</x:f>
        <x:v>60</x:v>
      </x:c>
      <x:c r="T4525" t="str">
        <x:v>UPI</x:v>
      </x:c>
      <x:c r="U4525" t="str">
        <x:v>Paid</x:v>
      </x:c>
      <x:c r="V4525" t="str">
        <x:v>Delivered</x:v>
      </x:c>
      <x:c r="W4525" t="n">
        <x:v>0</x:v>
      </x:c>
      <x:c r="X4525" t="str"/>
      <x:c r="Y4525" t="str">
        <x:v>Referral</x:v>
      </x:c>
    </x:row>
    <x:row r="4526">
      <x:c r="A4526" t="str">
        <x:v>O004525</x:v>
      </x:c>
      <x:c r="B4526" s="20" t="n">
        <x:v>45950</x:v>
      </x:c>
      <x:c r="C4526" t="str">
        <x:v>C0048</x:v>
      </x:c>
      <x:c r="D4526" t="str">
        <x:v>Udupi Foods 48</x:v>
      </x:c>
      <x:c r="E4526" t="str">
        <x:v>Hotel</x:v>
      </x:c>
      <x:c r="F4526" t="str">
        <x:v>Bengaluru</x:v>
      </x:c>
      <x:c r="G4526" t="str">
        <x:v>Ramesh</x:v>
      </x:c>
      <x:c r="H4526" t="str">
        <x:v>P019</x:v>
      </x:c>
      <x:c r="I4526" t="str">
        <x:v>Tea 1kg</x:v>
      </x:c>
      <x:c r="J4526" t="str">
        <x:v>Beverage</x:v>
      </x:c>
      <x:c r="K4526" t="str">
        <x:v>Red Label</x:v>
      </x:c>
      <x:c r="L4526" s="22" t="n">
        <x:v>540</x:v>
      </x:c>
      <x:c r="M4526" t="n">
        <x:v>31</x:v>
      </x:c>
      <x:c r="N4526" s="24" t="n">
        <x:v>0.05</x:v>
      </x:c>
      <x:c r="O4526" s="22" t="n">
        <x:f>L4526*M4526</x:f>
        <x:v>16740</x:v>
      </x:c>
      <x:c r="P4526" s="22" t="n">
        <x:f>O4526*(1-N4526)</x:f>
        <x:v>15903</x:v>
      </x:c>
      <x:c r="Q4526" s="22" t="n">
        <x:v>485</x:v>
      </x:c>
      <x:c r="R4526" s="22" t="n">
        <x:f>Q4526*M4526</x:f>
        <x:v>15035</x:v>
      </x:c>
      <x:c r="S4526" s="22" t="n">
        <x:f>P4526-R4526</x:f>
        <x:v>868</x:v>
      </x:c>
      <x:c r="T4526" t="str">
        <x:v>UPI</x:v>
      </x:c>
      <x:c r="U4526" t="str">
        <x:v>Paid</x:v>
      </x:c>
      <x:c r="V4526" t="str">
        <x:v>Delivered</x:v>
      </x:c>
      <x:c r="W4526" t="n">
        <x:v>0</x:v>
      </x:c>
      <x:c r="X4526" t="str"/>
      <x:c r="Y4526" t="str">
        <x:v>Outbound Call</x:v>
      </x:c>
    </x:row>
    <x:row r="4527">
      <x:c r="A4527" t="str">
        <x:v>O004526</x:v>
      </x:c>
      <x:c r="B4527" s="20" t="n">
        <x:v>45800</x:v>
      </x:c>
      <x:c r="C4527" t="str">
        <x:v>C0167</x:v>
      </x:c>
      <x:c r="D4527" t="str">
        <x:v>Foodie Canteen 167</x:v>
      </x:c>
      <x:c r="E4527" t="str">
        <x:v>Canteen</x:v>
      </x:c>
      <x:c r="F4527" t="str">
        <x:v>Bengaluru</x:v>
      </x:c>
      <x:c r="G4527" t="str">
        <x:v>Megha</x:v>
      </x:c>
      <x:c r="H4527" t="str">
        <x:v>P029</x:v>
      </x:c>
      <x:c r="I4527" t="str">
        <x:v>Tomato Ketchup 1kg</x:v>
      </x:c>
      <x:c r="J4527" t="str">
        <x:v>Condiments</x:v>
      </x:c>
      <x:c r="K4527" t="str">
        <x:v>Kissan</x:v>
      </x:c>
      <x:c r="L4527" s="22" t="n">
        <x:v>145</x:v>
      </x:c>
      <x:c r="M4527" t="n">
        <x:v>20</x:v>
      </x:c>
      <x:c r="N4527" s="24" t="n">
        <x:v>0.05</x:v>
      </x:c>
      <x:c r="O4527" s="22" t="n">
        <x:f>L4527*M4527</x:f>
        <x:v>2900</x:v>
      </x:c>
      <x:c r="P4527" s="22" t="n">
        <x:f>O4527*(1-N4527)</x:f>
        <x:v>2755</x:v>
      </x:c>
      <x:c r="Q4527" s="22" t="n">
        <x:v>126</x:v>
      </x:c>
      <x:c r="R4527" s="22" t="n">
        <x:f>Q4527*M4527</x:f>
        <x:v>2520</x:v>
      </x:c>
      <x:c r="S4527" s="22" t="n">
        <x:f>P4527-R4527</x:f>
        <x:v>235</x:v>
      </x:c>
      <x:c r="T4527" t="str">
        <x:v>Credit</x:v>
      </x:c>
      <x:c r="U4527" t="str">
        <x:v>Paid</x:v>
      </x:c>
      <x:c r="V4527" t="str">
        <x:v>Delivered</x:v>
      </x:c>
      <x:c r="W4527" t="n">
        <x:v>0</x:v>
      </x:c>
      <x:c r="X4527" t="str"/>
      <x:c r="Y4527" t="str">
        <x:v>WhatsApp</x:v>
      </x:c>
    </x:row>
    <x:row r="4528">
      <x:c r="A4528" t="str">
        <x:v>O004527</x:v>
      </x:c>
      <x:c r="B4528" s="20" t="n">
        <x:v>45952</x:v>
      </x:c>
      <x:c r="C4528" t="str">
        <x:v>C0230</x:v>
      </x:c>
      <x:c r="D4528" t="str">
        <x:v>Darshini Foods 230</x:v>
      </x:c>
      <x:c r="E4528" t="str">
        <x:v>Restaurant</x:v>
      </x:c>
      <x:c r="F4528" t="str">
        <x:v>Davanagere</x:v>
      </x:c>
      <x:c r="G4528" t="str">
        <x:v>Priya</x:v>
      </x:c>
      <x:c r="H4528" t="str">
        <x:v>P011</x:v>
      </x:c>
      <x:c r="I4528" t="str">
        <x:v>Salt 1kg</x:v>
      </x:c>
      <x:c r="J4528" t="str">
        <x:v>Staples</x:v>
      </x:c>
      <x:c r="K4528" t="str">
        <x:v>Tata</x:v>
      </x:c>
      <x:c r="L4528" s="22" t="n">
        <x:v>28</x:v>
      </x:c>
      <x:c r="M4528" t="n">
        <x:v>35</x:v>
      </x:c>
      <x:c r="N4528" s="24" t="n">
        <x:v>0.03</x:v>
      </x:c>
      <x:c r="O4528" s="22" t="n">
        <x:f>L4528*M4528</x:f>
        <x:v>980</x:v>
      </x:c>
      <x:c r="P4528" s="22" t="n">
        <x:f>O4528*(1-N4528)</x:f>
        <x:v>950.6</x:v>
      </x:c>
      <x:c r="Q4528" s="22" t="n">
        <x:v>23</x:v>
      </x:c>
      <x:c r="R4528" s="22" t="n">
        <x:f>Q4528*M4528</x:f>
        <x:v>805</x:v>
      </x:c>
      <x:c r="S4528" s="22" t="n">
        <x:f>P4528-R4528</x:f>
        <x:v>145.60000000000002</x:v>
      </x:c>
      <x:c r="T4528" t="str">
        <x:v>Cash</x:v>
      </x:c>
      <x:c r="U4528" t="str">
        <x:v>Paid</x:v>
      </x:c>
      <x:c r="V4528" t="str">
        <x:v>Delivered</x:v>
      </x:c>
      <x:c r="W4528" t="n">
        <x:v>0</x:v>
      </x:c>
      <x:c r="X4528" t="str"/>
      <x:c r="Y4528" t="str">
        <x:v>Outbound Call</x:v>
      </x:c>
    </x:row>
    <x:row r="4529">
      <x:c r="A4529" t="str">
        <x:v>O004528</x:v>
      </x:c>
      <x:c r="B4529" s="20" t="n">
        <x:v>45999</x:v>
      </x:c>
      <x:c r="C4529" t="str">
        <x:v>C0137</x:v>
      </x:c>
      <x:c r="D4529" t="str">
        <x:v>Green Restaurant 137</x:v>
      </x:c>
      <x:c r="E4529" t="str">
        <x:v>Canteen</x:v>
      </x:c>
      <x:c r="F4529" t="str">
        <x:v>Mangaluru</x:v>
      </x:c>
      <x:c r="G4529" t="str">
        <x:v>Arjun</x:v>
      </x:c>
      <x:c r="H4529" t="str">
        <x:v>P014</x:v>
      </x:c>
      <x:c r="I4529" t="str">
        <x:v>Rava 5kg</x:v>
      </x:c>
      <x:c r="J4529" t="str">
        <x:v>Flour</x:v>
      </x:c>
      <x:c r="K4529" t="str">
        <x:v>Local Select</x:v>
      </x:c>
      <x:c r="L4529" s="22" t="n">
        <x:v>245</x:v>
      </x:c>
      <x:c r="M4529" t="n">
        <x:v>29</x:v>
      </x:c>
      <x:c r="N4529" s="24" t="n">
        <x:v>0</x:v>
      </x:c>
      <x:c r="O4529" s="22" t="n">
        <x:f>L4529*M4529</x:f>
        <x:v>7105</x:v>
      </x:c>
      <x:c r="P4529" s="22" t="n">
        <x:f>O4529*(1-N4529)</x:f>
        <x:v>7105</x:v>
      </x:c>
      <x:c r="Q4529" s="22" t="n">
        <x:v>215</x:v>
      </x:c>
      <x:c r="R4529" s="22" t="n">
        <x:f>Q4529*M4529</x:f>
        <x:v>6235</x:v>
      </x:c>
      <x:c r="S4529" s="22" t="n">
        <x:f>P4529-R4529</x:f>
        <x:v>870</x:v>
      </x:c>
      <x:c r="T4529" t="str">
        <x:v>UPI</x:v>
      </x:c>
      <x:c r="U4529" t="str">
        <x:v>Overdue</x:v>
      </x:c>
      <x:c r="V4529" t="str">
        <x:v>Delivered</x:v>
      </x:c>
      <x:c r="W4529" t="n">
        <x:v>0</x:v>
      </x:c>
      <x:c r="X4529" t="str"/>
      <x:c r="Y4529" t="str">
        <x:v>Outbound Call</x:v>
      </x:c>
    </x:row>
    <x:row r="4530">
      <x:c r="A4530" t="str">
        <x:v>O004529</x:v>
      </x:c>
      <x:c r="B4530" s="20" t="n">
        <x:v>45913</x:v>
      </x:c>
      <x:c r="C4530" t="str">
        <x:v>C0177</x:v>
      </x:c>
      <x:c r="D4530" t="str">
        <x:v>Classic Cafe 177</x:v>
      </x:c>
      <x:c r="E4530" t="str">
        <x:v>Supermarket</x:v>
      </x:c>
      <x:c r="F4530" t="str">
        <x:v>Bengaluru</x:v>
      </x:c>
      <x:c r="G4530" t="str">
        <x:v>Arjun</x:v>
      </x:c>
      <x:c r="H4530" t="str">
        <x:v>P027</x:v>
      </x:c>
      <x:c r="I4530" t="str">
        <x:v>Biscuits 120g</x:v>
      </x:c>
      <x:c r="J4530" t="str">
        <x:v>Snacks</x:v>
      </x:c>
      <x:c r="K4530" t="str">
        <x:v>Parle-G</x:v>
      </x:c>
      <x:c r="L4530" s="22" t="n">
        <x:v>12</x:v>
      </x:c>
      <x:c r="M4530" t="n">
        <x:v>18</x:v>
      </x:c>
      <x:c r="N4530" s="24" t="n">
        <x:v>0.05</x:v>
      </x:c>
      <x:c r="O4530" s="22" t="n">
        <x:f>L4530*M4530</x:f>
        <x:v>216</x:v>
      </x:c>
      <x:c r="P4530" s="22" t="n">
        <x:f>O4530*(1-N4530)</x:f>
        <x:v>205.2</x:v>
      </x:c>
      <x:c r="Q4530" s="22" t="n">
        <x:v>9</x:v>
      </x:c>
      <x:c r="R4530" s="22" t="n">
        <x:f>Q4530*M4530</x:f>
        <x:v>162</x:v>
      </x:c>
      <x:c r="S4530" s="22" t="n">
        <x:f>P4530-R4530</x:f>
        <x:v>43.19999999999999</x:v>
      </x:c>
      <x:c r="T4530" t="str">
        <x:v>Cash</x:v>
      </x:c>
      <x:c r="U4530" t="str">
        <x:v>Paid</x:v>
      </x:c>
      <x:c r="V4530" t="str">
        <x:v>Cancelled</x:v>
      </x:c>
      <x:c r="W4530" t="n">
        <x:v>18</x:v>
      </x:c>
      <x:c r="X4530" t="str">
        <x:v>Cancelled Order</x:v>
      </x:c>
      <x:c r="Y4530" t="str">
        <x:v>Outbound Call</x:v>
      </x:c>
    </x:row>
    <x:row r="4531">
      <x:c r="A4531" t="str">
        <x:v>O004530</x:v>
      </x:c>
      <x:c r="B4531" s="20" t="n">
        <x:v>45795</x:v>
      </x:c>
      <x:c r="C4531" t="str">
        <x:v>C0210</x:v>
      </x:c>
      <x:c r="D4531" t="str">
        <x:v>Spice Stores 210</x:v>
      </x:c>
      <x:c r="E4531" t="str">
        <x:v>Cafe</x:v>
      </x:c>
      <x:c r="F4531" t="str">
        <x:v>Davanagere</x:v>
      </x:c>
      <x:c r="G4531" t="str">
        <x:v>Imran</x:v>
      </x:c>
      <x:c r="H4531" t="str">
        <x:v>P017</x:v>
      </x:c>
      <x:c r="I4531" t="str">
        <x:v>Butter 500g</x:v>
      </x:c>
      <x:c r="J4531" t="str">
        <x:v>Dairy</x:v>
      </x:c>
      <x:c r="K4531" t="str">
        <x:v>Amul</x:v>
      </x:c>
      <x:c r="L4531" s="22" t="n">
        <x:v>285</x:v>
      </x:c>
      <x:c r="M4531" t="n">
        <x:v>3</x:v>
      </x:c>
      <x:c r="N4531" s="24" t="n">
        <x:v>0.05</x:v>
      </x:c>
      <x:c r="O4531" s="22" t="n">
        <x:f>L4531*M4531</x:f>
        <x:v>855</x:v>
      </x:c>
      <x:c r="P4531" s="22" t="n">
        <x:f>O4531*(1-N4531)</x:f>
        <x:v>812.25</x:v>
      </x:c>
      <x:c r="Q4531" s="22" t="n">
        <x:v>258</x:v>
      </x:c>
      <x:c r="R4531" s="22" t="n">
        <x:f>Q4531*M4531</x:f>
        <x:v>774</x:v>
      </x:c>
      <x:c r="S4531" s="22" t="n">
        <x:f>P4531-R4531</x:f>
        <x:v>38.25</x:v>
      </x:c>
      <x:c r="T4531" t="str">
        <x:v>Bank Transfer</x:v>
      </x:c>
      <x:c r="U4531" t="str">
        <x:v>Paid</x:v>
      </x:c>
      <x:c r="V4531" t="str">
        <x:v>Delivered</x:v>
      </x:c>
      <x:c r="W4531" t="n">
        <x:v>0</x:v>
      </x:c>
      <x:c r="X4531" t="str"/>
      <x:c r="Y4531" t="str">
        <x:v>Existing Customer</x:v>
      </x:c>
    </x:row>
    <x:row r="4532">
      <x:c r="A4532" t="str">
        <x:v>O004531</x:v>
      </x:c>
      <x:c r="B4532" s="20" t="n">
        <x:v>45913</x:v>
      </x:c>
      <x:c r="C4532" t="str">
        <x:v>C0089</x:v>
      </x:c>
      <x:c r="D4532" t="str">
        <x:v>Green Canteen 89</x:v>
      </x:c>
      <x:c r="E4532" t="str">
        <x:v>Supermarket</x:v>
      </x:c>
      <x:c r="F4532" t="str">
        <x:v>Mangaluru</x:v>
      </x:c>
      <x:c r="G4532" t="str">
        <x:v>Megha</x:v>
      </x:c>
      <x:c r="H4532" t="str">
        <x:v>P030</x:v>
      </x:c>
      <x:c r="I4532" t="str">
        <x:v>Mayonnaise 1kg</x:v>
      </x:c>
      <x:c r="J4532" t="str">
        <x:v>Condiments</x:v>
      </x:c>
      <x:c r="K4532" t="str">
        <x:v>Veeba</x:v>
      </x:c>
      <x:c r="L4532" s="22" t="n">
        <x:v>210</x:v>
      </x:c>
      <x:c r="M4532" t="n">
        <x:v>14</x:v>
      </x:c>
      <x:c r="N4532" s="24" t="n">
        <x:v>0.1</x:v>
      </x:c>
      <x:c r="O4532" s="22" t="n">
        <x:f>L4532*M4532</x:f>
        <x:v>2940</x:v>
      </x:c>
      <x:c r="P4532" s="22" t="n">
        <x:f>O4532*(1-N4532)</x:f>
        <x:v>2646</x:v>
      </x:c>
      <x:c r="Q4532" s="22" t="n">
        <x:v>185</x:v>
      </x:c>
      <x:c r="R4532" s="22" t="n">
        <x:f>Q4532*M4532</x:f>
        <x:v>2590</x:v>
      </x:c>
      <x:c r="S4532" s="22" t="n">
        <x:f>P4532-R4532</x:f>
        <x:v>56</x:v>
      </x:c>
      <x:c r="T4532" t="str">
        <x:v>Credit</x:v>
      </x:c>
      <x:c r="U4532" t="str">
        <x:v>Overdue</x:v>
      </x:c>
      <x:c r="V4532" t="str">
        <x:v>Cancelled</x:v>
      </x:c>
      <x:c r="W4532" t="n">
        <x:v>14</x:v>
      </x:c>
      <x:c r="X4532" t="str">
        <x:v>Cancelled Order</x:v>
      </x:c>
      <x:c r="Y4532" t="str">
        <x:v>Referral</x:v>
      </x:c>
    </x:row>
    <x:row r="4533">
      <x:c r="A4533" t="str">
        <x:v>O004532</x:v>
      </x:c>
      <x:c r="B4533" s="20" t="n">
        <x:v>46045</x:v>
      </x:c>
      <x:c r="C4533" t="str">
        <x:v>C0218</x:v>
      </x:c>
      <x:c r="D4533" t="str">
        <x:v>Green Stores 218</x:v>
      </x:c>
      <x:c r="E4533" t="str">
        <x:v>Hotel</x:v>
      </x:c>
      <x:c r="F4533" t="str">
        <x:v>Mysuru</x:v>
      </x:c>
      <x:c r="G4533" t="str">
        <x:v>Imran</x:v>
      </x:c>
      <x:c r="H4533" t="str">
        <x:v>P031</x:v>
      </x:c>
      <x:c r="I4533" t="str">
        <x:v>Chilli Sauce 700g</x:v>
      </x:c>
      <x:c r="J4533" t="str">
        <x:v>Condiments</x:v>
      </x:c>
      <x:c r="K4533" t="str">
        <x:v>Ching's</x:v>
      </x:c>
      <x:c r="L4533" s="22" t="n">
        <x:v>130</x:v>
      </x:c>
      <x:c r="M4533" t="n">
        <x:v>23</x:v>
      </x:c>
      <x:c r="N4533" s="24" t="n">
        <x:v>0.1</x:v>
      </x:c>
      <x:c r="O4533" s="22" t="n">
        <x:f>L4533*M4533</x:f>
        <x:v>2990</x:v>
      </x:c>
      <x:c r="P4533" s="22" t="n">
        <x:f>O4533*(1-N4533)</x:f>
        <x:v>2691</x:v>
      </x:c>
      <x:c r="Q4533" s="22" t="n">
        <x:v>112</x:v>
      </x:c>
      <x:c r="R4533" s="22" t="n">
        <x:f>Q4533*M4533</x:f>
        <x:v>2576</x:v>
      </x:c>
      <x:c r="S4533" s="22" t="n">
        <x:f>P4533-R4533</x:f>
        <x:v>115</x:v>
      </x:c>
      <x:c r="T4533" t="str">
        <x:v>Cash</x:v>
      </x:c>
      <x:c r="U4533" t="str">
        <x:v>Pending</x:v>
      </x:c>
      <x:c r="V4533" t="str">
        <x:v>Delivered</x:v>
      </x:c>
      <x:c r="W4533" t="n">
        <x:v>0</x:v>
      </x:c>
      <x:c r="X4533" t="str"/>
      <x:c r="Y4533" t="str">
        <x:v>Existing Customer</x:v>
      </x:c>
    </x:row>
    <x:row r="4534">
      <x:c r="A4534" t="str">
        <x:v>O004533</x:v>
      </x:c>
      <x:c r="B4534" s="20" t="n">
        <x:v>46211</x:v>
      </x:c>
      <x:c r="C4534" t="str">
        <x:v>C0083</x:v>
      </x:c>
      <x:c r="D4534" t="str">
        <x:v>Sri Cafe 83</x:v>
      </x:c>
      <x:c r="E4534" t="str">
        <x:v>Hotel</x:v>
      </x:c>
      <x:c r="F4534" t="str">
        <x:v>Davanagere</x:v>
      </x:c>
      <x:c r="G4534" t="str">
        <x:v>Ramesh</x:v>
      </x:c>
      <x:c r="H4534" t="str">
        <x:v>P025</x:v>
      </x:c>
      <x:c r="I4534" t="str">
        <x:v>Potato Chips 100g</x:v>
      </x:c>
      <x:c r="J4534" t="str">
        <x:v>Snacks</x:v>
      </x:c>
      <x:c r="K4534" t="str">
        <x:v>Lay's</x:v>
      </x:c>
      <x:c r="L4534" s="22" t="n">
        <x:v>35</x:v>
      </x:c>
      <x:c r="M4534" t="n">
        <x:v>24</x:v>
      </x:c>
      <x:c r="N4534" s="24" t="n">
        <x:v>0</x:v>
      </x:c>
      <x:c r="O4534" s="22" t="n">
        <x:f>L4534*M4534</x:f>
        <x:v>840</x:v>
      </x:c>
      <x:c r="P4534" s="22" t="n">
        <x:f>O4534*(1-N4534)</x:f>
        <x:v>840</x:v>
      </x:c>
      <x:c r="Q4534" s="22" t="n">
        <x:v>27</x:v>
      </x:c>
      <x:c r="R4534" s="22" t="n">
        <x:f>Q4534*M4534</x:f>
        <x:v>648</x:v>
      </x:c>
      <x:c r="S4534" s="22" t="n">
        <x:f>P4534-R4534</x:f>
        <x:v>192</x:v>
      </x:c>
      <x:c r="T4534" t="str">
        <x:v>Credit</x:v>
      </x:c>
      <x:c r="U4534" t="str">
        <x:v>Pending</x:v>
      </x:c>
      <x:c r="V4534" t="str">
        <x:v>Delivered</x:v>
      </x:c>
      <x:c r="W4534" t="n">
        <x:v>0</x:v>
      </x:c>
      <x:c r="X4534" t="str"/>
      <x:c r="Y4534" t="str">
        <x:v>Existing Customer</x:v>
      </x:c>
    </x:row>
    <x:row r="4535">
      <x:c r="A4535" t="str">
        <x:v>O004534</x:v>
      </x:c>
      <x:c r="B4535" s="20" t="n">
        <x:v>46068</x:v>
      </x:c>
      <x:c r="C4535" t="str">
        <x:v>C0043</x:v>
      </x:c>
      <x:c r="D4535" t="str">
        <x:v>Namma Kitchen 43</x:v>
      </x:c>
      <x:c r="E4535" t="str">
        <x:v>Supermarket</x:v>
      </x:c>
      <x:c r="F4535" t="str">
        <x:v>Davanagere</x:v>
      </x:c>
      <x:c r="G4535" t="str">
        <x:v>Kavya</x:v>
      </x:c>
      <x:c r="H4535" t="str">
        <x:v>P043</x:v>
      </x:c>
      <x:c r="I4535" t="str">
        <x:v>Chicken Breast 1kg</x:v>
      </x:c>
      <x:c r="J4535" t="str">
        <x:v>Protein</x:v>
      </x:c>
      <x:c r="K4535" t="str">
        <x:v>FreshToHome</x:v>
      </x:c>
      <x:c r="L4535" s="22" t="n">
        <x:v>260</x:v>
      </x:c>
      <x:c r="M4535" t="n">
        <x:v>20</x:v>
      </x:c>
      <x:c r="N4535" s="24" t="n">
        <x:v>0.08</x:v>
      </x:c>
      <x:c r="O4535" s="22" t="n">
        <x:f>L4535*M4535</x:f>
        <x:v>5200</x:v>
      </x:c>
      <x:c r="P4535" s="22" t="n">
        <x:f>O4535*(1-N4535)</x:f>
        <x:v>4784</x:v>
      </x:c>
      <x:c r="Q4535" s="22" t="n">
        <x:v>235</x:v>
      </x:c>
      <x:c r="R4535" s="22" t="n">
        <x:f>Q4535*M4535</x:f>
        <x:v>4700</x:v>
      </x:c>
      <x:c r="S4535" s="22" t="n">
        <x:f>P4535-R4535</x:f>
        <x:v>84</x:v>
      </x:c>
      <x:c r="T4535" t="str">
        <x:v>Credit</x:v>
      </x:c>
      <x:c r="U4535" t="str">
        <x:v>Paid</x:v>
      </x:c>
      <x:c r="V4535" t="str">
        <x:v>Delivered</x:v>
      </x:c>
      <x:c r="W4535" t="n">
        <x:v>2</x:v>
      </x:c>
      <x:c r="X4535" t="str">
        <x:v>Quality Issue</x:v>
      </x:c>
      <x:c r="Y4535" t="str">
        <x:v>Field Visit</x:v>
      </x:c>
    </x:row>
    <x:row r="4536">
      <x:c r="A4536" t="str">
        <x:v>O004535</x:v>
      </x:c>
      <x:c r="B4536" s="20" t="n">
        <x:v>46006</x:v>
      </x:c>
      <x:c r="C4536" t="str">
        <x:v>C0165</x:v>
      </x:c>
      <x:c r="D4536" t="str">
        <x:v>Royal Restaurant 165</x:v>
      </x:c>
      <x:c r="E4536" t="str">
        <x:v>Hotel</x:v>
      </x:c>
      <x:c r="F4536" t="str">
        <x:v>Tumakuru</x:v>
      </x:c>
      <x:c r="G4536" t="str">
        <x:v>Kavya</x:v>
      </x:c>
      <x:c r="H4536" t="str">
        <x:v>P017</x:v>
      </x:c>
      <x:c r="I4536" t="str">
        <x:v>Butter 500g</x:v>
      </x:c>
      <x:c r="J4536" t="str">
        <x:v>Dairy</x:v>
      </x:c>
      <x:c r="K4536" t="str">
        <x:v>Amul</x:v>
      </x:c>
      <x:c r="L4536" s="22" t="n">
        <x:v>285</x:v>
      </x:c>
      <x:c r="M4536" t="n">
        <x:v>16</x:v>
      </x:c>
      <x:c r="N4536" s="24" t="n">
        <x:v>0</x:v>
      </x:c>
      <x:c r="O4536" s="22" t="n">
        <x:f>L4536*M4536</x:f>
        <x:v>4560</x:v>
      </x:c>
      <x:c r="P4536" s="22" t="n">
        <x:f>O4536*(1-N4536)</x:f>
        <x:v>4560</x:v>
      </x:c>
      <x:c r="Q4536" s="22" t="n">
        <x:v>258</x:v>
      </x:c>
      <x:c r="R4536" s="22" t="n">
        <x:f>Q4536*M4536</x:f>
        <x:v>4128</x:v>
      </x:c>
      <x:c r="S4536" s="22" t="n">
        <x:f>P4536-R4536</x:f>
        <x:v>432</x:v>
      </x:c>
      <x:c r="T4536" t="str">
        <x:v>Credit</x:v>
      </x:c>
      <x:c r="U4536" t="str">
        <x:v>Paid</x:v>
      </x:c>
      <x:c r="V4536" t="str">
        <x:v>Delivered</x:v>
      </x:c>
      <x:c r="W4536" t="n">
        <x:v>0</x:v>
      </x:c>
      <x:c r="X4536" t="str"/>
      <x:c r="Y4536" t="str">
        <x:v>Field Visit</x:v>
      </x:c>
    </x:row>
    <x:row r="4537">
      <x:c r="A4537" t="str">
        <x:v>O004536</x:v>
      </x:c>
      <x:c r="B4537" s="20" t="n">
        <x:v>45951</x:v>
      </x:c>
      <x:c r="C4537" t="str">
        <x:v>C0250</x:v>
      </x:c>
      <x:c r="D4537" t="str">
        <x:v>Namma Hotel 250</x:v>
      </x:c>
      <x:c r="E4537" t="str">
        <x:v>Cafe</x:v>
      </x:c>
      <x:c r="F4537" t="str">
        <x:v>Bengaluru</x:v>
      </x:c>
      <x:c r="G4537" t="str">
        <x:v>Sneha</x:v>
      </x:c>
      <x:c r="H4537" t="str">
        <x:v>P033</x:v>
      </x:c>
      <x:c r="I4537" t="str">
        <x:v>Turmeric Powder 1kg</x:v>
      </x:c>
      <x:c r="J4537" t="str">
        <x:v>Spices</x:v>
      </x:c>
      <x:c r="K4537" t="str">
        <x:v>Everest</x:v>
      </x:c>
      <x:c r="L4537" s="22" t="n">
        <x:v>310</x:v>
      </x:c>
      <x:c r="M4537" t="n">
        <x:v>19</x:v>
      </x:c>
      <x:c r="N4537" s="24" t="n">
        <x:v>0.03</x:v>
      </x:c>
      <x:c r="O4537" s="22" t="n">
        <x:f>L4537*M4537</x:f>
        <x:v>5890</x:v>
      </x:c>
      <x:c r="P4537" s="22" t="n">
        <x:f>O4537*(1-N4537)</x:f>
        <x:v>5713.3</x:v>
      </x:c>
      <x:c r="Q4537" s="22" t="n">
        <x:v>270</x:v>
      </x:c>
      <x:c r="R4537" s="22" t="n">
        <x:f>Q4537*M4537</x:f>
        <x:v>5130</x:v>
      </x:c>
      <x:c r="S4537" s="22" t="n">
        <x:f>P4537-R4537</x:f>
        <x:v>583.3000000000002</x:v>
      </x:c>
      <x:c r="T4537" t="str">
        <x:v>Cash</x:v>
      </x:c>
      <x:c r="U4537" t="str">
        <x:v>Pending</x:v>
      </x:c>
      <x:c r="V4537" t="str">
        <x:v>Cancelled</x:v>
      </x:c>
      <x:c r="W4537" t="n">
        <x:v>19</x:v>
      </x:c>
      <x:c r="X4537" t="str">
        <x:v>Cancelled Order</x:v>
      </x:c>
      <x:c r="Y4537" t="str">
        <x:v>Field Visit</x:v>
      </x:c>
    </x:row>
    <x:row r="4538">
      <x:c r="A4538" t="str">
        <x:v>O004537</x:v>
      </x:c>
      <x:c r="B4538" s="20" t="n">
        <x:v>46052</x:v>
      </x:c>
      <x:c r="C4538" t="str">
        <x:v>C0085</x:v>
      </x:c>
      <x:c r="D4538" t="str">
        <x:v>Green Hotel 85</x:v>
      </x:c>
      <x:c r="E4538" t="str">
        <x:v>Kirana</x:v>
      </x:c>
      <x:c r="F4538" t="str">
        <x:v>Mysuru</x:v>
      </x:c>
      <x:c r="G4538" t="str">
        <x:v>Arjun</x:v>
      </x:c>
      <x:c r="H4538" t="str">
        <x:v>P043</x:v>
      </x:c>
      <x:c r="I4538" t="str">
        <x:v>Chicken Breast 1kg</x:v>
      </x:c>
      <x:c r="J4538" t="str">
        <x:v>Protein</x:v>
      </x:c>
      <x:c r="K4538" t="str">
        <x:v>FreshToHome</x:v>
      </x:c>
      <x:c r="L4538" s="22" t="n">
        <x:v>260</x:v>
      </x:c>
      <x:c r="M4538" t="n">
        <x:v>14</x:v>
      </x:c>
      <x:c r="N4538" s="24" t="n">
        <x:v>0.05</x:v>
      </x:c>
      <x:c r="O4538" s="22" t="n">
        <x:f>L4538*M4538</x:f>
        <x:v>3640</x:v>
      </x:c>
      <x:c r="P4538" s="22" t="n">
        <x:f>O4538*(1-N4538)</x:f>
        <x:v>3458</x:v>
      </x:c>
      <x:c r="Q4538" s="22" t="n">
        <x:v>235</x:v>
      </x:c>
      <x:c r="R4538" s="22" t="n">
        <x:f>Q4538*M4538</x:f>
        <x:v>3290</x:v>
      </x:c>
      <x:c r="S4538" s="22" t="n">
        <x:f>P4538-R4538</x:f>
        <x:v>168</x:v>
      </x:c>
      <x:c r="T4538" t="str">
        <x:v>Credit</x:v>
      </x:c>
      <x:c r="U4538" t="str">
        <x:v>Paid</x:v>
      </x:c>
      <x:c r="V4538" t="str">
        <x:v>Delayed</x:v>
      </x:c>
      <x:c r="W4538" t="n">
        <x:v>0</x:v>
      </x:c>
      <x:c r="X4538" t="str"/>
      <x:c r="Y4538" t="str">
        <x:v>Field Visit</x:v>
      </x:c>
    </x:row>
    <x:row r="4539">
      <x:c r="A4539" t="str">
        <x:v>O004538</x:v>
      </x:c>
      <x:c r="B4539" s="20" t="n">
        <x:v>46193</x:v>
      </x:c>
      <x:c r="C4539" t="str">
        <x:v>C0219</x:v>
      </x:c>
      <x:c r="D4539" t="str">
        <x:v>Udupi Restaurant 219</x:v>
      </x:c>
      <x:c r="E4539" t="str">
        <x:v>Kirana</x:v>
      </x:c>
      <x:c r="F4539" t="str">
        <x:v>Mangaluru</x:v>
      </x:c>
      <x:c r="G4539" t="str">
        <x:v>Kavya</x:v>
      </x:c>
      <x:c r="H4539" t="str">
        <x:v>P005</x:v>
      </x:c>
      <x:c r="I4539" t="str">
        <x:v>Chana Dal 5kg</x:v>
      </x:c>
      <x:c r="J4539" t="str">
        <x:v>Pulses</x:v>
      </x:c>
      <x:c r="K4539" t="str">
        <x:v>Local Select</x:v>
      </x:c>
      <x:c r="L4539" s="22" t="n">
        <x:v>520</x:v>
      </x:c>
      <x:c r="M4539" t="n">
        <x:v>7</x:v>
      </x:c>
      <x:c r="N4539" s="24" t="n">
        <x:v>0.03</x:v>
      </x:c>
      <x:c r="O4539" s="22" t="n">
        <x:f>L4539*M4539</x:f>
        <x:v>3640</x:v>
      </x:c>
      <x:c r="P4539" s="22" t="n">
        <x:f>O4539*(1-N4539)</x:f>
        <x:v>3530.7999999999997</x:v>
      </x:c>
      <x:c r="Q4539" s="22" t="n">
        <x:v>455</x:v>
      </x:c>
      <x:c r="R4539" s="22" t="n">
        <x:f>Q4539*M4539</x:f>
        <x:v>3185</x:v>
      </x:c>
      <x:c r="S4539" s="22" t="n">
        <x:f>P4539-R4539</x:f>
        <x:v>345.7999999999997</x:v>
      </x:c>
      <x:c r="T4539" t="str">
        <x:v>UPI</x:v>
      </x:c>
      <x:c r="U4539" t="str">
        <x:v>Paid</x:v>
      </x:c>
      <x:c r="V4539" t="str">
        <x:v>Cancelled</x:v>
      </x:c>
      <x:c r="W4539" t="n">
        <x:v>7</x:v>
      </x:c>
      <x:c r="X4539" t="str">
        <x:v>Cancelled Order</x:v>
      </x:c>
      <x:c r="Y4539" t="str">
        <x:v>WhatsApp</x:v>
      </x:c>
    </x:row>
    <x:row r="4540">
      <x:c r="A4540" t="str">
        <x:v>O004539</x:v>
      </x:c>
      <x:c r="B4540" s="20" t="n">
        <x:v>46014</x:v>
      </x:c>
      <x:c r="C4540" t="str">
        <x:v>C0094</x:v>
      </x:c>
      <x:c r="D4540" t="str">
        <x:v>Mysore Mart 94</x:v>
      </x:c>
      <x:c r="E4540" t="str">
        <x:v>Restaurant</x:v>
      </x:c>
      <x:c r="F4540" t="str">
        <x:v>Hubballi</x:v>
      </x:c>
      <x:c r="G4540" t="str">
        <x:v>Sneha</x:v>
      </x:c>
      <x:c r="H4540" t="str">
        <x:v>P042</x:v>
      </x:c>
      <x:c r="I4540" t="str">
        <x:v>Eggs 30pc Tray</x:v>
      </x:c>
      <x:c r="J4540" t="str">
        <x:v>Protein</x:v>
      </x:c>
      <x:c r="K4540" t="str">
        <x:v>Farm Fresh</x:v>
      </x:c>
      <x:c r="L4540" s="22" t="n">
        <x:v>195</x:v>
      </x:c>
      <x:c r="M4540" t="n">
        <x:v>21</x:v>
      </x:c>
      <x:c r="N4540" s="24" t="n">
        <x:v>0.03</x:v>
      </x:c>
      <x:c r="O4540" s="22" t="n">
        <x:f>L4540*M4540</x:f>
        <x:v>4095</x:v>
      </x:c>
      <x:c r="P4540" s="22" t="n">
        <x:f>O4540*(1-N4540)</x:f>
        <x:v>3972.15</x:v>
      </x:c>
      <x:c r="Q4540" s="22" t="n">
        <x:v>170</x:v>
      </x:c>
      <x:c r="R4540" s="22" t="n">
        <x:f>Q4540*M4540</x:f>
        <x:v>3570</x:v>
      </x:c>
      <x:c r="S4540" s="22" t="n">
        <x:f>P4540-R4540</x:f>
        <x:v>402.1500000000001</x:v>
      </x:c>
      <x:c r="T4540" t="str">
        <x:v>Bank Transfer</x:v>
      </x:c>
      <x:c r="U4540" t="str">
        <x:v>Paid</x:v>
      </x:c>
      <x:c r="V4540" t="str">
        <x:v>Delayed</x:v>
      </x:c>
      <x:c r="W4540" t="n">
        <x:v>0</x:v>
      </x:c>
      <x:c r="X4540" t="str"/>
      <x:c r="Y4540" t="str">
        <x:v>Outbound Call</x:v>
      </x:c>
    </x:row>
    <x:row r="4541">
      <x:c r="A4541" t="str">
        <x:v>O004540</x:v>
      </x:c>
      <x:c r="B4541" s="20" t="n">
        <x:v>45813</x:v>
      </x:c>
      <x:c r="C4541" t="str">
        <x:v>C0064</x:v>
      </x:c>
      <x:c r="D4541" t="str">
        <x:v>Hotel Restaurant 64</x:v>
      </x:c>
      <x:c r="E4541" t="str">
        <x:v>Cafe</x:v>
      </x:c>
      <x:c r="F4541" t="str">
        <x:v>Mangaluru</x:v>
      </x:c>
      <x:c r="G4541" t="str">
        <x:v>Imran</x:v>
      </x:c>
      <x:c r="H4541" t="str">
        <x:v>P042</x:v>
      </x:c>
      <x:c r="I4541" t="str">
        <x:v>Eggs 30pc Tray</x:v>
      </x:c>
      <x:c r="J4541" t="str">
        <x:v>Protein</x:v>
      </x:c>
      <x:c r="K4541" t="str">
        <x:v>Farm Fresh</x:v>
      </x:c>
      <x:c r="L4541" s="22" t="n">
        <x:v>195</x:v>
      </x:c>
      <x:c r="M4541" t="n">
        <x:v>19</x:v>
      </x:c>
      <x:c r="N4541" s="24" t="n">
        <x:v>0</x:v>
      </x:c>
      <x:c r="O4541" s="22" t="n">
        <x:f>L4541*M4541</x:f>
        <x:v>3705</x:v>
      </x:c>
      <x:c r="P4541" s="22" t="n">
        <x:f>O4541*(1-N4541)</x:f>
        <x:v>3705</x:v>
      </x:c>
      <x:c r="Q4541" s="22" t="n">
        <x:v>170</x:v>
      </x:c>
      <x:c r="R4541" s="22" t="n">
        <x:f>Q4541*M4541</x:f>
        <x:v>3230</x:v>
      </x:c>
      <x:c r="S4541" s="22" t="n">
        <x:f>P4541-R4541</x:f>
        <x:v>475</x:v>
      </x:c>
      <x:c r="T4541" t="str">
        <x:v>Credit</x:v>
      </x:c>
      <x:c r="U4541" t="str">
        <x:v>Pending</x:v>
      </x:c>
      <x:c r="V4541" t="str">
        <x:v>Delivered</x:v>
      </x:c>
      <x:c r="W4541" t="n">
        <x:v>0</x:v>
      </x:c>
      <x:c r="X4541" t="str"/>
      <x:c r="Y4541" t="str">
        <x:v>Outbound Call</x:v>
      </x:c>
    </x:row>
    <x:row r="4542">
      <x:c r="A4542" t="str">
        <x:v>O004541</x:v>
      </x:c>
      <x:c r="B4542" s="20" t="n">
        <x:v>46044</x:v>
      </x:c>
      <x:c r="C4542" t="str">
        <x:v>C0221</x:v>
      </x:c>
      <x:c r="D4542" t="str">
        <x:v>Cafe Canteen 221</x:v>
      </x:c>
      <x:c r="E4542" t="str">
        <x:v>Hotel</x:v>
      </x:c>
      <x:c r="F4542" t="str">
        <x:v>Hubballi</x:v>
      </x:c>
      <x:c r="G4542" t="str">
        <x:v>Kavya</x:v>
      </x:c>
      <x:c r="H4542" t="str">
        <x:v>P007</x:v>
      </x:c>
      <x:c r="I4542" t="str">
        <x:v>Sunflower Oil 15L</x:v>
      </x:c>
      <x:c r="J4542" t="str">
        <x:v>Edible Oil</x:v>
      </x:c>
      <x:c r="K4542" t="str">
        <x:v>Fortune</x:v>
      </x:c>
      <x:c r="L4542" s="22" t="n">
        <x:v>1980</x:v>
      </x:c>
      <x:c r="M4542" t="n">
        <x:v>12</x:v>
      </x:c>
      <x:c r="N4542" s="24" t="n">
        <x:v>0.05</x:v>
      </x:c>
      <x:c r="O4542" s="22" t="n">
        <x:f>L4542*M4542</x:f>
        <x:v>23760</x:v>
      </x:c>
      <x:c r="P4542" s="22" t="n">
        <x:f>O4542*(1-N4542)</x:f>
        <x:v>22572</x:v>
      </x:c>
      <x:c r="Q4542" s="22" t="n">
        <x:v>1810</x:v>
      </x:c>
      <x:c r="R4542" s="22" t="n">
        <x:f>Q4542*M4542</x:f>
        <x:v>21720</x:v>
      </x:c>
      <x:c r="S4542" s="22" t="n">
        <x:f>P4542-R4542</x:f>
        <x:v>852</x:v>
      </x:c>
      <x:c r="T4542" t="str">
        <x:v>Cash</x:v>
      </x:c>
      <x:c r="U4542" t="str">
        <x:v>Overdue</x:v>
      </x:c>
      <x:c r="V4542" t="str">
        <x:v>Delivered</x:v>
      </x:c>
      <x:c r="W4542" t="n">
        <x:v>0</x:v>
      </x:c>
      <x:c r="X4542" t="str"/>
      <x:c r="Y4542" t="str">
        <x:v>Field Visit</x:v>
      </x:c>
    </x:row>
    <x:row r="4543">
      <x:c r="A4543" t="str">
        <x:v>O004542</x:v>
      </x:c>
      <x:c r="B4543" s="20" t="n">
        <x:v>46265</x:v>
      </x:c>
      <x:c r="C4543" t="str">
        <x:v>C0249</x:v>
      </x:c>
      <x:c r="D4543" t="str">
        <x:v>City Hotel 249</x:v>
      </x:c>
      <x:c r="E4543" t="str">
        <x:v>Supermarket</x:v>
      </x:c>
      <x:c r="F4543" t="str">
        <x:v>Mysuru</x:v>
      </x:c>
      <x:c r="G4543" t="str">
        <x:v>Arjun</x:v>
      </x:c>
      <x:c r="H4543" t="str">
        <x:v>P001</x:v>
      </x:c>
      <x:c r="I4543" t="str">
        <x:v>Steam Rice 25kg</x:v>
      </x:c>
      <x:c r="J4543" t="str">
        <x:v>Staples</x:v>
      </x:c>
      <x:c r="K4543" t="str">
        <x:v>Aishwarya</x:v>
      </x:c>
      <x:c r="L4543" s="22" t="n">
        <x:v>1180</x:v>
      </x:c>
      <x:c r="M4543" t="n">
        <x:v>6</x:v>
      </x:c>
      <x:c r="N4543" s="24" t="n">
        <x:v>0.05</x:v>
      </x:c>
      <x:c r="O4543" s="22" t="n">
        <x:f>L4543*M4543</x:f>
        <x:v>7080</x:v>
      </x:c>
      <x:c r="P4543" s="22" t="n">
        <x:f>O4543*(1-N4543)</x:f>
        <x:v>6726</x:v>
      </x:c>
      <x:c r="Q4543" s="22" t="n">
        <x:v>1040</x:v>
      </x:c>
      <x:c r="R4543" s="22" t="n">
        <x:f>Q4543*M4543</x:f>
        <x:v>6240</x:v>
      </x:c>
      <x:c r="S4543" s="22" t="n">
        <x:f>P4543-R4543</x:f>
        <x:v>486</x:v>
      </x:c>
      <x:c r="T4543" t="str">
        <x:v>Credit</x:v>
      </x:c>
      <x:c r="U4543" t="str">
        <x:v>Paid</x:v>
      </x:c>
      <x:c r="V4543" t="str">
        <x:v>Delivered</x:v>
      </x:c>
      <x:c r="W4543" t="n">
        <x:v>0</x:v>
      </x:c>
      <x:c r="X4543" t="str"/>
      <x:c r="Y4543" t="str">
        <x:v>WhatsApp</x:v>
      </x:c>
    </x:row>
    <x:row r="4544">
      <x:c r="A4544" t="str">
        <x:v>O004543</x:v>
      </x:c>
      <x:c r="B4544" s="20" t="n">
        <x:v>45916</x:v>
      </x:c>
      <x:c r="C4544" t="str">
        <x:v>C0070</x:v>
      </x:c>
      <x:c r="D4544" t="str">
        <x:v>Metro Stores 70</x:v>
      </x:c>
      <x:c r="E4544" t="str">
        <x:v>Cafe</x:v>
      </x:c>
      <x:c r="F4544" t="str">
        <x:v>Bengaluru</x:v>
      </x:c>
      <x:c r="G4544" t="str">
        <x:v>Vikram</x:v>
      </x:c>
      <x:c r="H4544" t="str">
        <x:v>P031</x:v>
      </x:c>
      <x:c r="I4544" t="str">
        <x:v>Chilli Sauce 700g</x:v>
      </x:c>
      <x:c r="J4544" t="str">
        <x:v>Condiments</x:v>
      </x:c>
      <x:c r="K4544" t="str">
        <x:v>Ching's</x:v>
      </x:c>
      <x:c r="L4544" s="22" t="n">
        <x:v>130</x:v>
      </x:c>
      <x:c r="M4544" t="n">
        <x:v>39</x:v>
      </x:c>
      <x:c r="N4544" s="24" t="n">
        <x:v>0</x:v>
      </x:c>
      <x:c r="O4544" s="22" t="n">
        <x:f>L4544*M4544</x:f>
        <x:v>5070</x:v>
      </x:c>
      <x:c r="P4544" s="22" t="n">
        <x:f>O4544*(1-N4544)</x:f>
        <x:v>5070</x:v>
      </x:c>
      <x:c r="Q4544" s="22" t="n">
        <x:v>112</x:v>
      </x:c>
      <x:c r="R4544" s="22" t="n">
        <x:f>Q4544*M4544</x:f>
        <x:v>4368</x:v>
      </x:c>
      <x:c r="S4544" s="22" t="n">
        <x:f>P4544-R4544</x:f>
        <x:v>702</x:v>
      </x:c>
      <x:c r="T4544" t="str">
        <x:v>Cash</x:v>
      </x:c>
      <x:c r="U4544" t="str">
        <x:v>Pending</x:v>
      </x:c>
      <x:c r="V4544" t="str">
        <x:v>Delivered</x:v>
      </x:c>
      <x:c r="W4544" t="n">
        <x:v>0</x:v>
      </x:c>
      <x:c r="X4544" t="str"/>
      <x:c r="Y4544" t="str">
        <x:v>Existing Customer</x:v>
      </x:c>
    </x:row>
    <x:row r="4545">
      <x:c r="A4545" t="str">
        <x:v>O004544</x:v>
      </x:c>
      <x:c r="B4545" s="20" t="n">
        <x:v>46175</x:v>
      </x:c>
      <x:c r="C4545" t="str">
        <x:v>C0055</x:v>
      </x:c>
      <x:c r="D4545" t="str">
        <x:v>Royal Mart 55</x:v>
      </x:c>
      <x:c r="E4545" t="str">
        <x:v>Restaurant</x:v>
      </x:c>
      <x:c r="F4545" t="str">
        <x:v>Hubballi</x:v>
      </x:c>
      <x:c r="G4545" t="str">
        <x:v>Vikram</x:v>
      </x:c>
      <x:c r="H4545" t="str">
        <x:v>P046</x:v>
      </x:c>
      <x:c r="I4545" t="str">
        <x:v>Potato 25kg</x:v>
      </x:c>
      <x:c r="J4545" t="str">
        <x:v>Fresh Produce</x:v>
      </x:c>
      <x:c r="K4545" t="str">
        <x:v>Local Market</x:v>
      </x:c>
      <x:c r="L4545" s="22" t="n">
        <x:v>700</x:v>
      </x:c>
      <x:c r="M4545" t="n">
        <x:v>27</x:v>
      </x:c>
      <x:c r="N4545" s="24" t="n">
        <x:v>0</x:v>
      </x:c>
      <x:c r="O4545" s="22" t="n">
        <x:f>L4545*M4545</x:f>
        <x:v>18900</x:v>
      </x:c>
      <x:c r="P4545" s="22" t="n">
        <x:f>O4545*(1-N4545)</x:f>
        <x:v>18900</x:v>
      </x:c>
      <x:c r="Q4545" s="22" t="n">
        <x:v>610</x:v>
      </x:c>
      <x:c r="R4545" s="22" t="n">
        <x:f>Q4545*M4545</x:f>
        <x:v>16470</x:v>
      </x:c>
      <x:c r="S4545" s="22" t="n">
        <x:f>P4545-R4545</x:f>
        <x:v>2430</x:v>
      </x:c>
      <x:c r="T4545" t="str">
        <x:v>UPI</x:v>
      </x:c>
      <x:c r="U4545" t="str">
        <x:v>Paid</x:v>
      </x:c>
      <x:c r="V4545" t="str">
        <x:v>Delayed</x:v>
      </x:c>
      <x:c r="W4545" t="n">
        <x:v>0</x:v>
      </x:c>
      <x:c r="X4545" t="str"/>
      <x:c r="Y4545" t="str">
        <x:v>WhatsApp</x:v>
      </x:c>
    </x:row>
    <x:row r="4546">
      <x:c r="A4546" t="str">
        <x:v>O004545</x:v>
      </x:c>
      <x:c r="B4546" s="20" t="n">
        <x:v>45981</x:v>
      </x:c>
      <x:c r="C4546" t="str">
        <x:v>C0099</x:v>
      </x:c>
      <x:c r="D4546" t="str">
        <x:v>Green Cafe 99</x:v>
      </x:c>
      <x:c r="E4546" t="str">
        <x:v>Restaurant</x:v>
      </x:c>
      <x:c r="F4546" t="str">
        <x:v>Hubballi</x:v>
      </x:c>
      <x:c r="G4546" t="str">
        <x:v>Ramesh</x:v>
      </x:c>
      <x:c r="H4546" t="str">
        <x:v>P020</x:v>
      </x:c>
      <x:c r="I4546" t="str">
        <x:v>Coffee 500g</x:v>
      </x:c>
      <x:c r="J4546" t="str">
        <x:v>Beverage</x:v>
      </x:c>
      <x:c r="K4546" t="str">
        <x:v>Bru</x:v>
      </x:c>
      <x:c r="L4546" s="22" t="n">
        <x:v>390</x:v>
      </x:c>
      <x:c r="M4546" t="n">
        <x:v>34</x:v>
      </x:c>
      <x:c r="N4546" s="24" t="n">
        <x:v>0.05</x:v>
      </x:c>
      <x:c r="O4546" s="22" t="n">
        <x:f>L4546*M4546</x:f>
        <x:v>13260</x:v>
      </x:c>
      <x:c r="P4546" s="22" t="n">
        <x:f>O4546*(1-N4546)</x:f>
        <x:v>12597</x:v>
      </x:c>
      <x:c r="Q4546" s="22" t="n">
        <x:v>350</x:v>
      </x:c>
      <x:c r="R4546" s="22" t="n">
        <x:f>Q4546*M4546</x:f>
        <x:v>11900</x:v>
      </x:c>
      <x:c r="S4546" s="22" t="n">
        <x:f>P4546-R4546</x:f>
        <x:v>697</x:v>
      </x:c>
      <x:c r="T4546" t="str">
        <x:v>Cash</x:v>
      </x:c>
      <x:c r="U4546" t="str">
        <x:v>Paid</x:v>
      </x:c>
      <x:c r="V4546" t="str">
        <x:v>Delayed</x:v>
      </x:c>
      <x:c r="W4546" t="n">
        <x:v>0</x:v>
      </x:c>
      <x:c r="X4546" t="str"/>
      <x:c r="Y4546" t="str">
        <x:v>WhatsApp</x:v>
      </x:c>
    </x:row>
    <x:row r="4547">
      <x:c r="A4547" t="str">
        <x:v>O004546</x:v>
      </x:c>
      <x:c r="B4547" s="20" t="n">
        <x:v>45726</x:v>
      </x:c>
      <x:c r="C4547" t="str">
        <x:v>C0042</x:v>
      </x:c>
      <x:c r="D4547" t="str">
        <x:v>Shree Restaurant 42</x:v>
      </x:c>
      <x:c r="E4547" t="str">
        <x:v>Restaurant</x:v>
      </x:c>
      <x:c r="F4547" t="str">
        <x:v>Mysuru</x:v>
      </x:c>
      <x:c r="G4547" t="str">
        <x:v>Arjun</x:v>
      </x:c>
      <x:c r="H4547" t="str">
        <x:v>P047</x:v>
      </x:c>
      <x:c r="I4547" t="str">
        <x:v>Tomato 25kg</x:v>
      </x:c>
      <x:c r="J4547" t="str">
        <x:v>Fresh Produce</x:v>
      </x:c>
      <x:c r="K4547" t="str">
        <x:v>Local Market</x:v>
      </x:c>
      <x:c r="L4547" s="22" t="n">
        <x:v>950</x:v>
      </x:c>
      <x:c r="M4547" t="n">
        <x:v>29</x:v>
      </x:c>
      <x:c r="N4547" s="24" t="n">
        <x:v>0.05</x:v>
      </x:c>
      <x:c r="O4547" s="22" t="n">
        <x:f>L4547*M4547</x:f>
        <x:v>27550</x:v>
      </x:c>
      <x:c r="P4547" s="22" t="n">
        <x:f>O4547*(1-N4547)</x:f>
        <x:v>26172.5</x:v>
      </x:c>
      <x:c r="Q4547" s="22" t="n">
        <x:v>810</x:v>
      </x:c>
      <x:c r="R4547" s="22" t="n">
        <x:f>Q4547*M4547</x:f>
        <x:v>23490</x:v>
      </x:c>
      <x:c r="S4547" s="22" t="n">
        <x:f>P4547-R4547</x:f>
        <x:v>2682.5</x:v>
      </x:c>
      <x:c r="T4547" t="str">
        <x:v>UPI</x:v>
      </x:c>
      <x:c r="U4547" t="str">
        <x:v>Paid</x:v>
      </x:c>
      <x:c r="V4547" t="str">
        <x:v>Delivered</x:v>
      </x:c>
      <x:c r="W4547" t="n">
        <x:v>0</x:v>
      </x:c>
      <x:c r="X4547" t="str"/>
      <x:c r="Y4547" t="str">
        <x:v>Referral</x:v>
      </x:c>
    </x:row>
    <x:row r="4548">
      <x:c r="A4548" t="str">
        <x:v>O004547</x:v>
      </x:c>
      <x:c r="B4548" s="20" t="n">
        <x:v>45678</x:v>
      </x:c>
      <x:c r="C4548" t="str">
        <x:v>C0035</x:v>
      </x:c>
      <x:c r="D4548" t="str">
        <x:v>City Foods 35</x:v>
      </x:c>
      <x:c r="E4548" t="str">
        <x:v>Kirana</x:v>
      </x:c>
      <x:c r="F4548" t="str">
        <x:v>Bengaluru</x:v>
      </x:c>
      <x:c r="G4548" t="str">
        <x:v>Megha</x:v>
      </x:c>
      <x:c r="H4548" t="str">
        <x:v>P027</x:v>
      </x:c>
      <x:c r="I4548" t="str">
        <x:v>Biscuits 120g</x:v>
      </x:c>
      <x:c r="J4548" t="str">
        <x:v>Snacks</x:v>
      </x:c>
      <x:c r="K4548" t="str">
        <x:v>Parle-G</x:v>
      </x:c>
      <x:c r="L4548" s="22" t="n">
        <x:v>12</x:v>
      </x:c>
      <x:c r="M4548" t="n">
        <x:v>24</x:v>
      </x:c>
      <x:c r="N4548" s="24" t="n">
        <x:v>0.02</x:v>
      </x:c>
      <x:c r="O4548" s="22" t="n">
        <x:f>L4548*M4548</x:f>
        <x:v>288</x:v>
      </x:c>
      <x:c r="P4548" s="22" t="n">
        <x:f>O4548*(1-N4548)</x:f>
        <x:v>282.24</x:v>
      </x:c>
      <x:c r="Q4548" s="22" t="n">
        <x:v>9</x:v>
      </x:c>
      <x:c r="R4548" s="22" t="n">
        <x:f>Q4548*M4548</x:f>
        <x:v>216</x:v>
      </x:c>
      <x:c r="S4548" s="22" t="n">
        <x:f>P4548-R4548</x:f>
        <x:v>66.24000000000001</x:v>
      </x:c>
      <x:c r="T4548" t="str">
        <x:v>Credit</x:v>
      </x:c>
      <x:c r="U4548" t="str">
        <x:v>Paid</x:v>
      </x:c>
      <x:c r="V4548" t="str">
        <x:v>Delivered</x:v>
      </x:c>
      <x:c r="W4548" t="n">
        <x:v>0</x:v>
      </x:c>
      <x:c r="X4548" t="str"/>
      <x:c r="Y4548" t="str">
        <x:v>Existing Customer</x:v>
      </x:c>
    </x:row>
    <x:row r="4549">
      <x:c r="A4549" t="str">
        <x:v>O004548</x:v>
      </x:c>
      <x:c r="B4549" s="20" t="n">
        <x:v>46034</x:v>
      </x:c>
      <x:c r="C4549" t="str">
        <x:v>C0078</x:v>
      </x:c>
      <x:c r="D4549" t="str">
        <x:v>Sagar Canteen 78</x:v>
      </x:c>
      <x:c r="E4549" t="str">
        <x:v>Hotel</x:v>
      </x:c>
      <x:c r="F4549" t="str">
        <x:v>Mangaluru</x:v>
      </x:c>
      <x:c r="G4549" t="str">
        <x:v>Ramesh</x:v>
      </x:c>
      <x:c r="H4549" t="str">
        <x:v>P022</x:v>
      </x:c>
      <x:c r="I4549" t="str">
        <x:v>Mineral Water 1L</x:v>
      </x:c>
      <x:c r="J4549" t="str">
        <x:v>Beverage</x:v>
      </x:c>
      <x:c r="K4549" t="str">
        <x:v>Bisleri</x:v>
      </x:c>
      <x:c r="L4549" s="22" t="n">
        <x:v>19</x:v>
      </x:c>
      <x:c r="M4549" t="n">
        <x:v>35</x:v>
      </x:c>
      <x:c r="N4549" s="24" t="n">
        <x:v>0.05</x:v>
      </x:c>
      <x:c r="O4549" s="22" t="n">
        <x:f>L4549*M4549</x:f>
        <x:v>665</x:v>
      </x:c>
      <x:c r="P4549" s="22" t="n">
        <x:f>O4549*(1-N4549)</x:f>
        <x:v>631.75</x:v>
      </x:c>
      <x:c r="Q4549" s="22" t="n">
        <x:v>15</x:v>
      </x:c>
      <x:c r="R4549" s="22" t="n">
        <x:f>Q4549*M4549</x:f>
        <x:v>525</x:v>
      </x:c>
      <x:c r="S4549" s="22" t="n">
        <x:f>P4549-R4549</x:f>
        <x:v>106.75</x:v>
      </x:c>
      <x:c r="T4549" t="str">
        <x:v>Credit</x:v>
      </x:c>
      <x:c r="U4549" t="str">
        <x:v>Paid</x:v>
      </x:c>
      <x:c r="V4549" t="str">
        <x:v>Delivered</x:v>
      </x:c>
      <x:c r="W4549" t="n">
        <x:v>0</x:v>
      </x:c>
      <x:c r="X4549" t="str"/>
      <x:c r="Y4549" t="str">
        <x:v>Outbound Call</x:v>
      </x:c>
    </x:row>
    <x:row r="4550">
      <x:c r="A4550" t="str">
        <x:v>O004549</x:v>
      </x:c>
      <x:c r="B4550" s="20" t="n">
        <x:v>45750</x:v>
      </x:c>
      <x:c r="C4550" t="str">
        <x:v>C0107</x:v>
      </x:c>
      <x:c r="D4550" t="str">
        <x:v>Mysore Cafe 107</x:v>
      </x:c>
      <x:c r="E4550" t="str">
        <x:v>Supermarket</x:v>
      </x:c>
      <x:c r="F4550" t="str">
        <x:v>Tumakuru</x:v>
      </x:c>
      <x:c r="G4550" t="str">
        <x:v>Megha</x:v>
      </x:c>
      <x:c r="H4550" t="str">
        <x:v>P034</x:v>
      </x:c>
      <x:c r="I4550" t="str">
        <x:v>Chilli Powder 1kg</x:v>
      </x:c>
      <x:c r="J4550" t="str">
        <x:v>Spices</x:v>
      </x:c>
      <x:c r="K4550" t="str">
        <x:v>MDH</x:v>
      </x:c>
      <x:c r="L4550" s="22" t="n">
        <x:v>340</x:v>
      </x:c>
      <x:c r="M4550" t="n">
        <x:v>15</x:v>
      </x:c>
      <x:c r="N4550" s="24" t="n">
        <x:v>0</x:v>
      </x:c>
      <x:c r="O4550" s="22" t="n">
        <x:f>L4550*M4550</x:f>
        <x:v>5100</x:v>
      </x:c>
      <x:c r="P4550" s="22" t="n">
        <x:f>O4550*(1-N4550)</x:f>
        <x:v>5100</x:v>
      </x:c>
      <x:c r="Q4550" s="22" t="n">
        <x:v>295</x:v>
      </x:c>
      <x:c r="R4550" s="22" t="n">
        <x:f>Q4550*M4550</x:f>
        <x:v>4425</x:v>
      </x:c>
      <x:c r="S4550" s="22" t="n">
        <x:f>P4550-R4550</x:f>
        <x:v>675</x:v>
      </x:c>
      <x:c r="T4550" t="str">
        <x:v>Bank Transfer</x:v>
      </x:c>
      <x:c r="U4550" t="str">
        <x:v>Paid</x:v>
      </x:c>
      <x:c r="V4550" t="str">
        <x:v>Delivered</x:v>
      </x:c>
      <x:c r="W4550" t="n">
        <x:v>0</x:v>
      </x:c>
      <x:c r="X4550" t="str"/>
      <x:c r="Y4550" t="str">
        <x:v>Existing Customer</x:v>
      </x:c>
    </x:row>
    <x:row r="4551">
      <x:c r="A4551" t="str">
        <x:v>O004550</x:v>
      </x:c>
      <x:c r="B4551" s="20" t="n">
        <x:v>46253</x:v>
      </x:c>
      <x:c r="C4551" t="str">
        <x:v>C0062</x:v>
      </x:c>
      <x:c r="D4551" t="str">
        <x:v>Foodie Hotel 62</x:v>
      </x:c>
      <x:c r="E4551" t="str">
        <x:v>Cafe</x:v>
      </x:c>
      <x:c r="F4551" t="str">
        <x:v>Mysuru</x:v>
      </x:c>
      <x:c r="G4551" t="str">
        <x:v>Vikram</x:v>
      </x:c>
      <x:c r="H4551" t="str">
        <x:v>P023</x:v>
      </x:c>
      <x:c r="I4551" t="str">
        <x:v>Cola 750ml</x:v>
      </x:c>
      <x:c r="J4551" t="str">
        <x:v>Beverage</x:v>
      </x:c>
      <x:c r="K4551" t="str">
        <x:v>Coca-Cola</x:v>
      </x:c>
      <x:c r="L4551" s="22" t="n">
        <x:v>38</x:v>
      </x:c>
      <x:c r="M4551" t="n">
        <x:v>20</x:v>
      </x:c>
      <x:c r="N4551" s="24" t="n">
        <x:v>0</x:v>
      </x:c>
      <x:c r="O4551" s="22" t="n">
        <x:f>L4551*M4551</x:f>
        <x:v>760</x:v>
      </x:c>
      <x:c r="P4551" s="22" t="n">
        <x:f>O4551*(1-N4551)</x:f>
        <x:v>760</x:v>
      </x:c>
      <x:c r="Q4551" s="22" t="n">
        <x:v>31</x:v>
      </x:c>
      <x:c r="R4551" s="22" t="n">
        <x:f>Q4551*M4551</x:f>
        <x:v>620</x:v>
      </x:c>
      <x:c r="S4551" s="22" t="n">
        <x:f>P4551-R4551</x:f>
        <x:v>140</x:v>
      </x:c>
      <x:c r="T4551" t="str">
        <x:v>Bank Transfer</x:v>
      </x:c>
      <x:c r="U4551" t="str">
        <x:v>Pending</x:v>
      </x:c>
      <x:c r="V4551" t="str">
        <x:v>Delivered</x:v>
      </x:c>
      <x:c r="W4551" t="n">
        <x:v>0</x:v>
      </x:c>
      <x:c r="X4551" t="str"/>
      <x:c r="Y4551" t="str">
        <x:v>Referral</x:v>
      </x:c>
    </x:row>
    <x:row r="4552">
      <x:c r="A4552" t="str">
        <x:v>O004551</x:v>
      </x:c>
      <x:c r="B4552" s="20" t="n">
        <x:v>46186</x:v>
      </x:c>
      <x:c r="C4552" t="str">
        <x:v>C0208</x:v>
      </x:c>
      <x:c r="D4552" t="str">
        <x:v>Green Foods 208</x:v>
      </x:c>
      <x:c r="E4552" t="str">
        <x:v>Hotel</x:v>
      </x:c>
      <x:c r="F4552" t="str">
        <x:v>Mysuru</x:v>
      </x:c>
      <x:c r="G4552" t="str">
        <x:v>Ramesh</x:v>
      </x:c>
      <x:c r="H4552" t="str">
        <x:v>P024</x:v>
      </x:c>
      <x:c r="I4552" t="str">
        <x:v>Orange Drink 1L</x:v>
      </x:c>
      <x:c r="J4552" t="str">
        <x:v>Beverage</x:v>
      </x:c>
      <x:c r="K4552" t="str">
        <x:v>Minute Maid</x:v>
      </x:c>
      <x:c r="L4552" s="22" t="n">
        <x:v>105</x:v>
      </x:c>
      <x:c r="M4552" t="n">
        <x:v>4</x:v>
      </x:c>
      <x:c r="N4552" s="24" t="n">
        <x:v>0.1</x:v>
      </x:c>
      <x:c r="O4552" s="22" t="n">
        <x:f>L4552*M4552</x:f>
        <x:v>420</x:v>
      </x:c>
      <x:c r="P4552" s="22" t="n">
        <x:f>O4552*(1-N4552)</x:f>
        <x:v>378</x:v>
      </x:c>
      <x:c r="Q4552" s="22" t="n">
        <x:v>88</x:v>
      </x:c>
      <x:c r="R4552" s="22" t="n">
        <x:f>Q4552*M4552</x:f>
        <x:v>352</x:v>
      </x:c>
      <x:c r="S4552" s="22" t="n">
        <x:f>P4552-R4552</x:f>
        <x:v>26</x:v>
      </x:c>
      <x:c r="T4552" t="str">
        <x:v>Bank Transfer</x:v>
      </x:c>
      <x:c r="U4552" t="str">
        <x:v>Paid</x:v>
      </x:c>
      <x:c r="V4552" t="str">
        <x:v>Delivered</x:v>
      </x:c>
      <x:c r="W4552" t="n">
        <x:v>0</x:v>
      </x:c>
      <x:c r="X4552" t="str"/>
      <x:c r="Y4552" t="str">
        <x:v>Outbound Call</x:v>
      </x:c>
    </x:row>
    <x:row r="4553">
      <x:c r="A4553" t="str">
        <x:v>O004552</x:v>
      </x:c>
      <x:c r="B4553" s="20" t="n">
        <x:v>45841</x:v>
      </x:c>
      <x:c r="C4553" t="str">
        <x:v>C0197</x:v>
      </x:c>
      <x:c r="D4553" t="str">
        <x:v>New Foods 197</x:v>
      </x:c>
      <x:c r="E4553" t="str">
        <x:v>Cafe</x:v>
      </x:c>
      <x:c r="F4553" t="str">
        <x:v>Hubballi</x:v>
      </x:c>
      <x:c r="G4553" t="str">
        <x:v>Kavya</x:v>
      </x:c>
      <x:c r="H4553" t="str">
        <x:v>P025</x:v>
      </x:c>
      <x:c r="I4553" t="str">
        <x:v>Potato Chips 100g</x:v>
      </x:c>
      <x:c r="J4553" t="str">
        <x:v>Snacks</x:v>
      </x:c>
      <x:c r="K4553" t="str">
        <x:v>Lay's</x:v>
      </x:c>
      <x:c r="L4553" s="22" t="n">
        <x:v>35</x:v>
      </x:c>
      <x:c r="M4553" t="n">
        <x:v>30</x:v>
      </x:c>
      <x:c r="N4553" s="24" t="n">
        <x:v>0.02</x:v>
      </x:c>
      <x:c r="O4553" s="22" t="n">
        <x:f>L4553*M4553</x:f>
        <x:v>1050</x:v>
      </x:c>
      <x:c r="P4553" s="22" t="n">
        <x:f>O4553*(1-N4553)</x:f>
        <x:v>1029</x:v>
      </x:c>
      <x:c r="Q4553" s="22" t="n">
        <x:v>27</x:v>
      </x:c>
      <x:c r="R4553" s="22" t="n">
        <x:f>Q4553*M4553</x:f>
        <x:v>810</x:v>
      </x:c>
      <x:c r="S4553" s="22" t="n">
        <x:f>P4553-R4553</x:f>
        <x:v>219</x:v>
      </x:c>
      <x:c r="T4553" t="str">
        <x:v>Bank Transfer</x:v>
      </x:c>
      <x:c r="U4553" t="str">
        <x:v>Paid</x:v>
      </x:c>
      <x:c r="V4553" t="str">
        <x:v>Delivered</x:v>
      </x:c>
      <x:c r="W4553" t="n">
        <x:v>0</x:v>
      </x:c>
      <x:c r="X4553" t="str"/>
      <x:c r="Y4553" t="str">
        <x:v>Existing Customer</x:v>
      </x:c>
    </x:row>
    <x:row r="4554">
      <x:c r="A4554" t="str">
        <x:v>O004553</x:v>
      </x:c>
      <x:c r="B4554" s="20" t="n">
        <x:v>46165</x:v>
      </x:c>
      <x:c r="C4554" t="str">
        <x:v>C0052</x:v>
      </x:c>
      <x:c r="D4554" t="str">
        <x:v>Sagar Canteen 52</x:v>
      </x:c>
      <x:c r="E4554" t="str">
        <x:v>Kirana</x:v>
      </x:c>
      <x:c r="F4554" t="str">
        <x:v>Mysuru</x:v>
      </x:c>
      <x:c r="G4554" t="str">
        <x:v>Kavya</x:v>
      </x:c>
      <x:c r="H4554" t="str">
        <x:v>P009</x:v>
      </x:c>
      <x:c r="I4554" t="str">
        <x:v>Groundnut Oil 5L</x:v>
      </x:c>
      <x:c r="J4554" t="str">
        <x:v>Edible Oil</x:v>
      </x:c>
      <x:c r="K4554" t="str">
        <x:v>Dhara</x:v>
      </x:c>
      <x:c r="L4554" s="22" t="n">
        <x:v>890</x:v>
      </x:c>
      <x:c r="M4554" t="n">
        <x:v>4</x:v>
      </x:c>
      <x:c r="N4554" s="24" t="n">
        <x:v>0</x:v>
      </x:c>
      <x:c r="O4554" s="22" t="n">
        <x:f>L4554*M4554</x:f>
        <x:v>3560</x:v>
      </x:c>
      <x:c r="P4554" s="22" t="n">
        <x:f>O4554*(1-N4554)</x:f>
        <x:v>3560</x:v>
      </x:c>
      <x:c r="Q4554" s="22" t="n">
        <x:v>810</x:v>
      </x:c>
      <x:c r="R4554" s="22" t="n">
        <x:f>Q4554*M4554</x:f>
        <x:v>3240</x:v>
      </x:c>
      <x:c r="S4554" s="22" t="n">
        <x:f>P4554-R4554</x:f>
        <x:v>320</x:v>
      </x:c>
      <x:c r="T4554" t="str">
        <x:v>UPI</x:v>
      </x:c>
      <x:c r="U4554" t="str">
        <x:v>Paid</x:v>
      </x:c>
      <x:c r="V4554" t="str">
        <x:v>Cancelled</x:v>
      </x:c>
      <x:c r="W4554" t="n">
        <x:v>4</x:v>
      </x:c>
      <x:c r="X4554" t="str">
        <x:v>Cancelled Order</x:v>
      </x:c>
      <x:c r="Y4554" t="str">
        <x:v>Outbound Call</x:v>
      </x:c>
    </x:row>
    <x:row r="4555">
      <x:c r="A4555" t="str">
        <x:v>O004554</x:v>
      </x:c>
      <x:c r="B4555" s="20" t="n">
        <x:v>45703</x:v>
      </x:c>
      <x:c r="C4555" t="str">
        <x:v>C0191</x:v>
      </x:c>
      <x:c r="D4555" t="str">
        <x:v>Foodie Kitchen 191</x:v>
      </x:c>
      <x:c r="E4555" t="str">
        <x:v>Cafe</x:v>
      </x:c>
      <x:c r="F4555" t="str">
        <x:v>Mysuru</x:v>
      </x:c>
      <x:c r="G4555" t="str">
        <x:v>Priya</x:v>
      </x:c>
      <x:c r="H4555" t="str">
        <x:v>P005</x:v>
      </x:c>
      <x:c r="I4555" t="str">
        <x:v>Chana Dal 5kg</x:v>
      </x:c>
      <x:c r="J4555" t="str">
        <x:v>Pulses</x:v>
      </x:c>
      <x:c r="K4555" t="str">
        <x:v>Local Select</x:v>
      </x:c>
      <x:c r="L4555" s="22" t="n">
        <x:v>520</x:v>
      </x:c>
      <x:c r="M4555" t="n">
        <x:v>25</x:v>
      </x:c>
      <x:c r="N4555" s="24" t="n">
        <x:v>0</x:v>
      </x:c>
      <x:c r="O4555" s="22" t="n">
        <x:f>L4555*M4555</x:f>
        <x:v>13000</x:v>
      </x:c>
      <x:c r="P4555" s="22" t="n">
        <x:f>O4555*(1-N4555)</x:f>
        <x:v>13000</x:v>
      </x:c>
      <x:c r="Q4555" s="22" t="n">
        <x:v>455</x:v>
      </x:c>
      <x:c r="R4555" s="22" t="n">
        <x:f>Q4555*M4555</x:f>
        <x:v>11375</x:v>
      </x:c>
      <x:c r="S4555" s="22" t="n">
        <x:f>P4555-R4555</x:f>
        <x:v>1625</x:v>
      </x:c>
      <x:c r="T4555" t="str">
        <x:v>Credit</x:v>
      </x:c>
      <x:c r="U4555" t="str">
        <x:v>Paid</x:v>
      </x:c>
      <x:c r="V4555" t="str">
        <x:v>Delivered</x:v>
      </x:c>
      <x:c r="W4555" t="n">
        <x:v>0</x:v>
      </x:c>
      <x:c r="X4555" t="str"/>
      <x:c r="Y4555" t="str">
        <x:v>Referral</x:v>
      </x:c>
    </x:row>
    <x:row r="4556">
      <x:c r="A4556" t="str">
        <x:v>O004555</x:v>
      </x:c>
      <x:c r="B4556" s="20" t="n">
        <x:v>45843</x:v>
      </x:c>
      <x:c r="C4556" t="str">
        <x:v>C0107</x:v>
      </x:c>
      <x:c r="D4556" t="str">
        <x:v>Mysore Cafe 107</x:v>
      </x:c>
      <x:c r="E4556" t="str">
        <x:v>Supermarket</x:v>
      </x:c>
      <x:c r="F4556" t="str">
        <x:v>Tumakuru</x:v>
      </x:c>
      <x:c r="G4556" t="str">
        <x:v>Megha</x:v>
      </x:c>
      <x:c r="H4556" t="str">
        <x:v>P001</x:v>
      </x:c>
      <x:c r="I4556" t="str">
        <x:v>Steam Rice 25kg</x:v>
      </x:c>
      <x:c r="J4556" t="str">
        <x:v>Staples</x:v>
      </x:c>
      <x:c r="K4556" t="str">
        <x:v>Aishwarya</x:v>
      </x:c>
      <x:c r="L4556" s="22" t="n">
        <x:v>1180</x:v>
      </x:c>
      <x:c r="M4556" t="n">
        <x:v>4</x:v>
      </x:c>
      <x:c r="N4556" s="24" t="n">
        <x:v>0</x:v>
      </x:c>
      <x:c r="O4556" s="22" t="n">
        <x:f>L4556*M4556</x:f>
        <x:v>4720</x:v>
      </x:c>
      <x:c r="P4556" s="22" t="n">
        <x:f>O4556*(1-N4556)</x:f>
        <x:v>4720</x:v>
      </x:c>
      <x:c r="Q4556" s="22" t="n">
        <x:v>1040</x:v>
      </x:c>
      <x:c r="R4556" s="22" t="n">
        <x:f>Q4556*M4556</x:f>
        <x:v>4160</x:v>
      </x:c>
      <x:c r="S4556" s="22" t="n">
        <x:f>P4556-R4556</x:f>
        <x:v>560</x:v>
      </x:c>
      <x:c r="T4556" t="str">
        <x:v>Cash</x:v>
      </x:c>
      <x:c r="U4556" t="str">
        <x:v>Paid</x:v>
      </x:c>
      <x:c r="V4556" t="str">
        <x:v>Delivered</x:v>
      </x:c>
      <x:c r="W4556" t="n">
        <x:v>0</x:v>
      </x:c>
      <x:c r="X4556" t="str"/>
      <x:c r="Y4556" t="str">
        <x:v>Referral</x:v>
      </x:c>
    </x:row>
    <x:row r="4557">
      <x:c r="A4557" t="str">
        <x:v>O004556</x:v>
      </x:c>
      <x:c r="B4557" s="20" t="n">
        <x:v>46165</x:v>
      </x:c>
      <x:c r="C4557" t="str">
        <x:v>C0141</x:v>
      </x:c>
      <x:c r="D4557" t="str">
        <x:v>Sri Restaurant 141</x:v>
      </x:c>
      <x:c r="E4557" t="str">
        <x:v>Restaurant</x:v>
      </x:c>
      <x:c r="F4557" t="str">
        <x:v>Mangaluru</x:v>
      </x:c>
      <x:c r="G4557" t="str">
        <x:v>Ramesh</x:v>
      </x:c>
      <x:c r="H4557" t="str">
        <x:v>P043</x:v>
      </x:c>
      <x:c r="I4557" t="str">
        <x:v>Chicken Breast 1kg</x:v>
      </x:c>
      <x:c r="J4557" t="str">
        <x:v>Protein</x:v>
      </x:c>
      <x:c r="K4557" t="str">
        <x:v>FreshToHome</x:v>
      </x:c>
      <x:c r="L4557" s="22" t="n">
        <x:v>260</x:v>
      </x:c>
      <x:c r="M4557" t="n">
        <x:v>3</x:v>
      </x:c>
      <x:c r="N4557" s="24" t="n">
        <x:v>0.05</x:v>
      </x:c>
      <x:c r="O4557" s="22" t="n">
        <x:f>L4557*M4557</x:f>
        <x:v>780</x:v>
      </x:c>
      <x:c r="P4557" s="22" t="n">
        <x:f>O4557*(1-N4557)</x:f>
        <x:v>741</x:v>
      </x:c>
      <x:c r="Q4557" s="22" t="n">
        <x:v>235</x:v>
      </x:c>
      <x:c r="R4557" s="22" t="n">
        <x:f>Q4557*M4557</x:f>
        <x:v>705</x:v>
      </x:c>
      <x:c r="S4557" s="22" t="n">
        <x:f>P4557-R4557</x:f>
        <x:v>36</x:v>
      </x:c>
      <x:c r="T4557" t="str">
        <x:v>Cash</x:v>
      </x:c>
      <x:c r="U4557" t="str">
        <x:v>Paid</x:v>
      </x:c>
      <x:c r="V4557" t="str">
        <x:v>Delivered</x:v>
      </x:c>
      <x:c r="W4557" t="n">
        <x:v>0</x:v>
      </x:c>
      <x:c r="X4557" t="str"/>
      <x:c r="Y4557" t="str">
        <x:v>Outbound Call</x:v>
      </x:c>
    </x:row>
    <x:row r="4558">
      <x:c r="A4558" t="str">
        <x:v>O004557</x:v>
      </x:c>
      <x:c r="B4558" s="20" t="n">
        <x:v>45891</x:v>
      </x:c>
      <x:c r="C4558" t="str">
        <x:v>C0164</x:v>
      </x:c>
      <x:c r="D4558" t="str">
        <x:v>Sri Hotel 164</x:v>
      </x:c>
      <x:c r="E4558" t="str">
        <x:v>Kirana</x:v>
      </x:c>
      <x:c r="F4558" t="str">
        <x:v>Mysuru</x:v>
      </x:c>
      <x:c r="G4558" t="str">
        <x:v>Vikram</x:v>
      </x:c>
      <x:c r="H4558" t="str">
        <x:v>P047</x:v>
      </x:c>
      <x:c r="I4558" t="str">
        <x:v>Tomato 25kg</x:v>
      </x:c>
      <x:c r="J4558" t="str">
        <x:v>Fresh Produce</x:v>
      </x:c>
      <x:c r="K4558" t="str">
        <x:v>Local Market</x:v>
      </x:c>
      <x:c r="L4558" s="22" t="n">
        <x:v>950</x:v>
      </x:c>
      <x:c r="M4558" t="n">
        <x:v>23</x:v>
      </x:c>
      <x:c r="N4558" s="24" t="n">
        <x:v>0.08</x:v>
      </x:c>
      <x:c r="O4558" s="22" t="n">
        <x:f>L4558*M4558</x:f>
        <x:v>21850</x:v>
      </x:c>
      <x:c r="P4558" s="22" t="n">
        <x:f>O4558*(1-N4558)</x:f>
        <x:v>20102</x:v>
      </x:c>
      <x:c r="Q4558" s="22" t="n">
        <x:v>810</x:v>
      </x:c>
      <x:c r="R4558" s="22" t="n">
        <x:f>Q4558*M4558</x:f>
        <x:v>18630</x:v>
      </x:c>
      <x:c r="S4558" s="22" t="n">
        <x:f>P4558-R4558</x:f>
        <x:v>1472</x:v>
      </x:c>
      <x:c r="T4558" t="str">
        <x:v>UPI</x:v>
      </x:c>
      <x:c r="U4558" t="str">
        <x:v>Paid</x:v>
      </x:c>
      <x:c r="V4558" t="str">
        <x:v>Cancelled</x:v>
      </x:c>
      <x:c r="W4558" t="n">
        <x:v>23</x:v>
      </x:c>
      <x:c r="X4558" t="str">
        <x:v>Cancelled Order</x:v>
      </x:c>
      <x:c r="Y4558" t="str">
        <x:v>Referral</x:v>
      </x:c>
    </x:row>
    <x:row r="4559">
      <x:c r="A4559" t="str">
        <x:v>O004558</x:v>
      </x:c>
      <x:c r="B4559" s="20" t="n">
        <x:v>46032</x:v>
      </x:c>
      <x:c r="C4559" t="str">
        <x:v>C0237</x:v>
      </x:c>
      <x:c r="D4559" t="str">
        <x:v>Mysore Restaurant 237</x:v>
      </x:c>
      <x:c r="E4559" t="str">
        <x:v>Restaurant</x:v>
      </x:c>
      <x:c r="F4559" t="str">
        <x:v>Bengaluru</x:v>
      </x:c>
      <x:c r="G4559" t="str">
        <x:v>Sneha</x:v>
      </x:c>
      <x:c r="H4559" t="str">
        <x:v>P033</x:v>
      </x:c>
      <x:c r="I4559" t="str">
        <x:v>Turmeric Powder 1kg</x:v>
      </x:c>
      <x:c r="J4559" t="str">
        <x:v>Spices</x:v>
      </x:c>
      <x:c r="K4559" t="str">
        <x:v>Everest</x:v>
      </x:c>
      <x:c r="L4559" s="22" t="n">
        <x:v>310</x:v>
      </x:c>
      <x:c r="M4559" t="n">
        <x:v>3</x:v>
      </x:c>
      <x:c r="N4559" s="24" t="n">
        <x:v>0.02</x:v>
      </x:c>
      <x:c r="O4559" s="22" t="n">
        <x:f>L4559*M4559</x:f>
        <x:v>930</x:v>
      </x:c>
      <x:c r="P4559" s="22" t="n">
        <x:f>O4559*(1-N4559)</x:f>
        <x:v>911.4</x:v>
      </x:c>
      <x:c r="Q4559" s="22" t="n">
        <x:v>270</x:v>
      </x:c>
      <x:c r="R4559" s="22" t="n">
        <x:f>Q4559*M4559</x:f>
        <x:v>810</x:v>
      </x:c>
      <x:c r="S4559" s="22" t="n">
        <x:f>P4559-R4559</x:f>
        <x:v>101.39999999999998</x:v>
      </x:c>
      <x:c r="T4559" t="str">
        <x:v>Cash</x:v>
      </x:c>
      <x:c r="U4559" t="str">
        <x:v>Paid</x:v>
      </x:c>
      <x:c r="V4559" t="str">
        <x:v>Delivered</x:v>
      </x:c>
      <x:c r="W4559" t="n">
        <x:v>0</x:v>
      </x:c>
      <x:c r="X4559" t="str"/>
      <x:c r="Y4559" t="str">
        <x:v>Referral</x:v>
      </x:c>
    </x:row>
    <x:row r="4560">
      <x:c r="A4560" t="str">
        <x:v>O004559</x:v>
      </x:c>
      <x:c r="B4560" s="20" t="n">
        <x:v>45952</x:v>
      </x:c>
      <x:c r="C4560" t="str">
        <x:v>C0063</x:v>
      </x:c>
      <x:c r="D4560" t="str">
        <x:v>Namma Mart 63</x:v>
      </x:c>
      <x:c r="E4560" t="str">
        <x:v>Supermarket</x:v>
      </x:c>
      <x:c r="F4560" t="str">
        <x:v>Tumakuru</x:v>
      </x:c>
      <x:c r="G4560" t="str">
        <x:v>Priya</x:v>
      </x:c>
      <x:c r="H4560" t="str">
        <x:v>P022</x:v>
      </x:c>
      <x:c r="I4560" t="str">
        <x:v>Mineral Water 1L</x:v>
      </x:c>
      <x:c r="J4560" t="str">
        <x:v>Beverage</x:v>
      </x:c>
      <x:c r="K4560" t="str">
        <x:v>Bisleri</x:v>
      </x:c>
      <x:c r="L4560" s="22" t="n">
        <x:v>19</x:v>
      </x:c>
      <x:c r="M4560" t="n">
        <x:v>31</x:v>
      </x:c>
      <x:c r="N4560" s="24" t="n">
        <x:v>0</x:v>
      </x:c>
      <x:c r="O4560" s="22" t="n">
        <x:f>L4560*M4560</x:f>
        <x:v>589</x:v>
      </x:c>
      <x:c r="P4560" s="22" t="n">
        <x:f>O4560*(1-N4560)</x:f>
        <x:v>589</x:v>
      </x:c>
      <x:c r="Q4560" s="22" t="n">
        <x:v>15</x:v>
      </x:c>
      <x:c r="R4560" s="22" t="n">
        <x:f>Q4560*M4560</x:f>
        <x:v>465</x:v>
      </x:c>
      <x:c r="S4560" s="22" t="n">
        <x:f>P4560-R4560</x:f>
        <x:v>124</x:v>
      </x:c>
      <x:c r="T4560" t="str">
        <x:v>Bank Transfer</x:v>
      </x:c>
      <x:c r="U4560" t="str">
        <x:v>Paid</x:v>
      </x:c>
      <x:c r="V4560" t="str">
        <x:v>Delivered</x:v>
      </x:c>
      <x:c r="W4560" t="n">
        <x:v>0</x:v>
      </x:c>
      <x:c r="X4560" t="str"/>
      <x:c r="Y4560" t="str">
        <x:v>Field Visit</x:v>
      </x:c>
    </x:row>
    <x:row r="4561">
      <x:c r="A4561" t="str">
        <x:v>O004560</x:v>
      </x:c>
      <x:c r="B4561" s="20" t="n">
        <x:v>45704</x:v>
      </x:c>
      <x:c r="C4561" t="str">
        <x:v>C0230</x:v>
      </x:c>
      <x:c r="D4561" t="str">
        <x:v>Darshini Foods 230</x:v>
      </x:c>
      <x:c r="E4561" t="str">
        <x:v>Restaurant</x:v>
      </x:c>
      <x:c r="F4561" t="str">
        <x:v>Davanagere</x:v>
      </x:c>
      <x:c r="G4561" t="str">
        <x:v>Priya</x:v>
      </x:c>
      <x:c r="H4561" t="str">
        <x:v>P016</x:v>
      </x:c>
      <x:c r="I4561" t="str">
        <x:v>Curd 1kg</x:v>
      </x:c>
      <x:c r="J4561" t="str">
        <x:v>Dairy</x:v>
      </x:c>
      <x:c r="K4561" t="str">
        <x:v>Nandini</x:v>
      </x:c>
      <x:c r="L4561" s="22" t="n">
        <x:v>72</x:v>
      </x:c>
      <x:c r="M4561" t="n">
        <x:v>26</x:v>
      </x:c>
      <x:c r="N4561" s="24" t="n">
        <x:v>0.08</x:v>
      </x:c>
      <x:c r="O4561" s="22" t="n">
        <x:f>L4561*M4561</x:f>
        <x:v>1872</x:v>
      </x:c>
      <x:c r="P4561" s="22" t="n">
        <x:f>O4561*(1-N4561)</x:f>
        <x:v>1722.24</x:v>
      </x:c>
      <x:c r="Q4561" s="22" t="n">
        <x:v>64</x:v>
      </x:c>
      <x:c r="R4561" s="22" t="n">
        <x:f>Q4561*M4561</x:f>
        <x:v>1664</x:v>
      </x:c>
      <x:c r="S4561" s="22" t="n">
        <x:f>P4561-R4561</x:f>
        <x:v>58.24000000000001</x:v>
      </x:c>
      <x:c r="T4561" t="str">
        <x:v>UPI</x:v>
      </x:c>
      <x:c r="U4561" t="str">
        <x:v>Overdue</x:v>
      </x:c>
      <x:c r="V4561" t="str">
        <x:v>Delayed</x:v>
      </x:c>
      <x:c r="W4561" t="n">
        <x:v>0</x:v>
      </x:c>
      <x:c r="X4561" t="str"/>
      <x:c r="Y4561" t="str"/>
    </x:row>
    <x:row r="4562">
      <x:c r="A4562" t="str">
        <x:v>O004561</x:v>
      </x:c>
      <x:c r="B4562" s="20" t="n">
        <x:v>46201</x:v>
      </x:c>
      <x:c r="C4562" t="str">
        <x:v>C0094</x:v>
      </x:c>
      <x:c r="D4562" t="str">
        <x:v>Mysore Mart 94</x:v>
      </x:c>
      <x:c r="E4562" t="str">
        <x:v>Restaurant</x:v>
      </x:c>
      <x:c r="F4562" t="str">
        <x:v>Hubballi</x:v>
      </x:c>
      <x:c r="G4562" t="str">
        <x:v>Sneha</x:v>
      </x:c>
      <x:c r="H4562" t="str">
        <x:v>P042</x:v>
      </x:c>
      <x:c r="I4562" t="str">
        <x:v>Eggs 30pc Tray</x:v>
      </x:c>
      <x:c r="J4562" t="str">
        <x:v>Protein</x:v>
      </x:c>
      <x:c r="K4562" t="str">
        <x:v>Farm Fresh</x:v>
      </x:c>
      <x:c r="L4562" s="22" t="n">
        <x:v>195</x:v>
      </x:c>
      <x:c r="M4562" t="n">
        <x:v>39</x:v>
      </x:c>
      <x:c r="N4562" s="24" t="n">
        <x:v>0</x:v>
      </x:c>
      <x:c r="O4562" s="22" t="n">
        <x:f>L4562*M4562</x:f>
        <x:v>7605</x:v>
      </x:c>
      <x:c r="P4562" s="22" t="n">
        <x:f>O4562*(1-N4562)</x:f>
        <x:v>7605</x:v>
      </x:c>
      <x:c r="Q4562" s="22" t="n">
        <x:v>170</x:v>
      </x:c>
      <x:c r="R4562" s="22" t="n">
        <x:f>Q4562*M4562</x:f>
        <x:v>6630</x:v>
      </x:c>
      <x:c r="S4562" s="22" t="n">
        <x:f>P4562-R4562</x:f>
        <x:v>975</x:v>
      </x:c>
      <x:c r="T4562" t="str">
        <x:v>Cash</x:v>
      </x:c>
      <x:c r="U4562" t="str">
        <x:v>Pending</x:v>
      </x:c>
      <x:c r="V4562" t="str">
        <x:v>Delivered</x:v>
      </x:c>
      <x:c r="W4562" t="n">
        <x:v>0</x:v>
      </x:c>
      <x:c r="X4562" t="str"/>
      <x:c r="Y4562" t="str">
        <x:v>Outbound Call</x:v>
      </x:c>
    </x:row>
    <x:row r="4563">
      <x:c r="A4563" t="str">
        <x:v>O004562</x:v>
      </x:c>
      <x:c r="B4563" s="20" t="n">
        <x:v>46041</x:v>
      </x:c>
      <x:c r="C4563" t="str">
        <x:v>C0010</x:v>
      </x:c>
      <x:c r="D4563" t="str">
        <x:v>Royal Hotel 10</x:v>
      </x:c>
      <x:c r="E4563" t="str">
        <x:v>Canteen</x:v>
      </x:c>
      <x:c r="F4563" t="str">
        <x:v>Davanagere</x:v>
      </x:c>
      <x:c r="G4563" t="str">
        <x:v>Ramesh</x:v>
      </x:c>
      <x:c r="H4563" t="str">
        <x:v>P049</x:v>
      </x:c>
      <x:c r="I4563" t="str">
        <x:v>Apple 10kg</x:v>
      </x:c>
      <x:c r="J4563" t="str">
        <x:v>Fresh Produce</x:v>
      </x:c>
      <x:c r="K4563" t="str">
        <x:v>Local Market</x:v>
      </x:c>
      <x:c r="L4563" s="22" t="n">
        <x:v>1450</x:v>
      </x:c>
      <x:c r="M4563" t="n">
        <x:v>9</x:v>
      </x:c>
      <x:c r="N4563" s="24" t="n">
        <x:v>0.05</x:v>
      </x:c>
      <x:c r="O4563" s="22" t="n">
        <x:f>L4563*M4563</x:f>
        <x:v>13050</x:v>
      </x:c>
      <x:c r="P4563" s="22" t="n">
        <x:f>O4563*(1-N4563)</x:f>
        <x:v>12397.5</x:v>
      </x:c>
      <x:c r="Q4563" s="22" t="n">
        <x:v>1280</x:v>
      </x:c>
      <x:c r="R4563" s="22" t="n">
        <x:f>Q4563*M4563</x:f>
        <x:v>11520</x:v>
      </x:c>
      <x:c r="S4563" s="22" t="n">
        <x:f>P4563-R4563</x:f>
        <x:v>877.5</x:v>
      </x:c>
      <x:c r="T4563" t="str">
        <x:v>Bank Transfer</x:v>
      </x:c>
      <x:c r="U4563" t="str">
        <x:v>Paid</x:v>
      </x:c>
      <x:c r="V4563" t="str">
        <x:v>Delivered</x:v>
      </x:c>
      <x:c r="W4563" t="n">
        <x:v>0</x:v>
      </x:c>
      <x:c r="X4563" t="str"/>
      <x:c r="Y4563" t="str">
        <x:v>WhatsApp</x:v>
      </x:c>
    </x:row>
    <x:row r="4564">
      <x:c r="A4564" t="str">
        <x:v>O004563</x:v>
      </x:c>
      <x:c r="B4564" s="20" t="n">
        <x:v>46226</x:v>
      </x:c>
      <x:c r="C4564" t="str">
        <x:v>C0095</x:v>
      </x:c>
      <x:c r="D4564" t="str">
        <x:v>Spice Restaurant 95</x:v>
      </x:c>
      <x:c r="E4564" t="str">
        <x:v>Restaurant</x:v>
      </x:c>
      <x:c r="F4564" t="str">
        <x:v>Bengaluru</x:v>
      </x:c>
      <x:c r="G4564" t="str">
        <x:v>Megha</x:v>
      </x:c>
      <x:c r="H4564" t="str">
        <x:v>P038</x:v>
      </x:c>
      <x:c r="I4564" t="str">
        <x:v>French Fries 2.5kg</x:v>
      </x:c>
      <x:c r="J4564" t="str">
        <x:v>Frozen</x:v>
      </x:c>
      <x:c r="K4564" t="str">
        <x:v>McCain</x:v>
      </x:c>
      <x:c r="L4564" s="22" t="n">
        <x:v>360</x:v>
      </x:c>
      <x:c r="M4564" t="n">
        <x:v>5</x:v>
      </x:c>
      <x:c r="N4564" s="24" t="n">
        <x:v>0.03</x:v>
      </x:c>
      <x:c r="O4564" s="22" t="n">
        <x:f>L4564*M4564</x:f>
        <x:v>1800</x:v>
      </x:c>
      <x:c r="P4564" s="22" t="n">
        <x:f>O4564*(1-N4564)</x:f>
        <x:v>1746</x:v>
      </x:c>
      <x:c r="Q4564" s="22" t="n">
        <x:v>315</x:v>
      </x:c>
      <x:c r="R4564" s="22" t="n">
        <x:f>Q4564*M4564</x:f>
        <x:v>1575</x:v>
      </x:c>
      <x:c r="S4564" s="22" t="n">
        <x:f>P4564-R4564</x:f>
        <x:v>171</x:v>
      </x:c>
      <x:c r="T4564" t="str">
        <x:v>Bank Transfer</x:v>
      </x:c>
      <x:c r="U4564" t="str">
        <x:v>Paid</x:v>
      </x:c>
      <x:c r="V4564" t="str">
        <x:v>Delivered</x:v>
      </x:c>
      <x:c r="W4564" t="n">
        <x:v>0</x:v>
      </x:c>
      <x:c r="X4564" t="str"/>
      <x:c r="Y4564" t="str">
        <x:v>WhatsApp</x:v>
      </x:c>
    </x:row>
    <x:row r="4565">
      <x:c r="A4565" t="str">
        <x:v>O004564</x:v>
      </x:c>
      <x:c r="B4565" s="20" t="n">
        <x:v>46251</x:v>
      </x:c>
      <x:c r="C4565" t="str">
        <x:v>C0203</x:v>
      </x:c>
      <x:c r="D4565" t="str">
        <x:v>Namma Mart 203</x:v>
      </x:c>
      <x:c r="E4565" t="str">
        <x:v>Kirana</x:v>
      </x:c>
      <x:c r="F4565" t="str">
        <x:v>Tumakuru</x:v>
      </x:c>
      <x:c r="G4565" t="str">
        <x:v>Priya</x:v>
      </x:c>
      <x:c r="H4565" t="str">
        <x:v>P025</x:v>
      </x:c>
      <x:c r="I4565" t="str">
        <x:v>Potato Chips 100g</x:v>
      </x:c>
      <x:c r="J4565" t="str">
        <x:v>Snacks</x:v>
      </x:c>
      <x:c r="K4565" t="str">
        <x:v>Lay's</x:v>
      </x:c>
      <x:c r="L4565" s="22" t="n">
        <x:v>35</x:v>
      </x:c>
      <x:c r="M4565" t="n">
        <x:v>36</x:v>
      </x:c>
      <x:c r="N4565" s="24" t="n">
        <x:v>0</x:v>
      </x:c>
      <x:c r="O4565" s="22" t="n">
        <x:f>L4565*M4565</x:f>
        <x:v>1260</x:v>
      </x:c>
      <x:c r="P4565" s="22" t="n">
        <x:f>O4565*(1-N4565)</x:f>
        <x:v>1260</x:v>
      </x:c>
      <x:c r="Q4565" s="22" t="n">
        <x:v>27</x:v>
      </x:c>
      <x:c r="R4565" s="22" t="n">
        <x:f>Q4565*M4565</x:f>
        <x:v>972</x:v>
      </x:c>
      <x:c r="S4565" s="22" t="n">
        <x:f>P4565-R4565</x:f>
        <x:v>288</x:v>
      </x:c>
      <x:c r="T4565" t="str">
        <x:v>Cash</x:v>
      </x:c>
      <x:c r="U4565" t="str">
        <x:v>Paid</x:v>
      </x:c>
      <x:c r="V4565" t="str">
        <x:v>Delivered</x:v>
      </x:c>
      <x:c r="W4565" t="n">
        <x:v>0</x:v>
      </x:c>
      <x:c r="X4565" t="str"/>
      <x:c r="Y4565" t="str">
        <x:v>Referral</x:v>
      </x:c>
    </x:row>
    <x:row r="4566">
      <x:c r="A4566" t="str">
        <x:v>O004565</x:v>
      </x:c>
      <x:c r="B4566" s="20" t="n">
        <x:v>46195</x:v>
      </x:c>
      <x:c r="C4566" t="str">
        <x:v>C0216</x:v>
      </x:c>
      <x:c r="D4566" t="str">
        <x:v>Cafe Restaurant 216</x:v>
      </x:c>
      <x:c r="E4566" t="str">
        <x:v>Canteen</x:v>
      </x:c>
      <x:c r="F4566" t="str">
        <x:v>Bengaluru</x:v>
      </x:c>
      <x:c r="G4566" t="str">
        <x:v>Vikram</x:v>
      </x:c>
      <x:c r="H4566" t="str">
        <x:v>P013</x:v>
      </x:c>
      <x:c r="I4566" t="str">
        <x:v>Atta 10kg</x:v>
      </x:c>
      <x:c r="J4566" t="str">
        <x:v>Flour</x:v>
      </x:c>
      <x:c r="K4566" t="str">
        <x:v>Aashirvaad</x:v>
      </x:c>
      <x:c r="L4566" s="22" t="n">
        <x:v>560</x:v>
      </x:c>
      <x:c r="M4566" t="n">
        <x:v>1</x:v>
      </x:c>
      <x:c r="N4566" s="24" t="n">
        <x:v>0.03</x:v>
      </x:c>
      <x:c r="O4566" s="22" t="n">
        <x:f>L4566*M4566</x:f>
        <x:v>560</x:v>
      </x:c>
      <x:c r="P4566" s="22" t="n">
        <x:f>O4566*(1-N4566)</x:f>
        <x:v>543.1999999999999</x:v>
      </x:c>
      <x:c r="Q4566" s="22" t="n">
        <x:v>495</x:v>
      </x:c>
      <x:c r="R4566" s="22" t="n">
        <x:f>Q4566*M4566</x:f>
        <x:v>495</x:v>
      </x:c>
      <x:c r="S4566" s="22" t="n">
        <x:f>P4566-R4566</x:f>
        <x:v>48.19999999999993</x:v>
      </x:c>
      <x:c r="T4566" t="str">
        <x:v>Bank Transfer</x:v>
      </x:c>
      <x:c r="U4566" t="str">
        <x:v>Paid</x:v>
      </x:c>
      <x:c r="V4566" t="str">
        <x:v>Delivered</x:v>
      </x:c>
      <x:c r="W4566" t="n">
        <x:v>1</x:v>
      </x:c>
      <x:c r="X4566" t="str">
        <x:v>Damaged</x:v>
      </x:c>
      <x:c r="Y4566" t="str">
        <x:v>Field Visit</x:v>
      </x:c>
    </x:row>
    <x:row r="4567">
      <x:c r="A4567" t="str">
        <x:v>O004566</x:v>
      </x:c>
      <x:c r="B4567" s="20" t="n">
        <x:v>45684</x:v>
      </x:c>
      <x:c r="C4567" t="str">
        <x:v>C0227</x:v>
      </x:c>
      <x:c r="D4567" t="str">
        <x:v>Metro Restaurant 227</x:v>
      </x:c>
      <x:c r="E4567" t="str">
        <x:v>Restaurant</x:v>
      </x:c>
      <x:c r="F4567" t="str">
        <x:v>Davanagere</x:v>
      </x:c>
      <x:c r="G4567" t="str">
        <x:v>Kavya</x:v>
      </x:c>
      <x:c r="H4567" t="str">
        <x:v>P024</x:v>
      </x:c>
      <x:c r="I4567" t="str">
        <x:v>Orange Drink 1L</x:v>
      </x:c>
      <x:c r="J4567" t="str">
        <x:v>Beverage</x:v>
      </x:c>
      <x:c r="K4567" t="str">
        <x:v>Minute Maid</x:v>
      </x:c>
      <x:c r="L4567" s="22" t="n">
        <x:v>105</x:v>
      </x:c>
      <x:c r="M4567" t="n">
        <x:v>7</x:v>
      </x:c>
      <x:c r="N4567" s="24" t="n">
        <x:v>0.03</x:v>
      </x:c>
      <x:c r="O4567" s="22" t="n">
        <x:f>L4567*M4567</x:f>
        <x:v>735</x:v>
      </x:c>
      <x:c r="P4567" s="22" t="n">
        <x:f>O4567*(1-N4567)</x:f>
        <x:v>712.9499999999999</x:v>
      </x:c>
      <x:c r="Q4567" s="22" t="n">
        <x:v>88</x:v>
      </x:c>
      <x:c r="R4567" s="22" t="n">
        <x:f>Q4567*M4567</x:f>
        <x:v>616</x:v>
      </x:c>
      <x:c r="S4567" s="22" t="n">
        <x:f>P4567-R4567</x:f>
        <x:v>96.94999999999993</x:v>
      </x:c>
      <x:c r="T4567" t="str">
        <x:v>Cash</x:v>
      </x:c>
      <x:c r="U4567" t="str">
        <x:v>Paid</x:v>
      </x:c>
      <x:c r="V4567" t="str">
        <x:v>Delivered</x:v>
      </x:c>
      <x:c r="W4567" t="n">
        <x:v>0</x:v>
      </x:c>
      <x:c r="X4567" t="str"/>
      <x:c r="Y4567" t="str">
        <x:v>WhatsApp</x:v>
      </x:c>
    </x:row>
    <x:row r="4568">
      <x:c r="A4568" t="str">
        <x:v>O004567</x:v>
      </x:c>
      <x:c r="B4568" s="20" t="n">
        <x:v>46267</x:v>
      </x:c>
      <x:c r="C4568" t="str">
        <x:v>C0083</x:v>
      </x:c>
      <x:c r="D4568" t="str">
        <x:v>Sri Cafe 83</x:v>
      </x:c>
      <x:c r="E4568" t="str">
        <x:v>Hotel</x:v>
      </x:c>
      <x:c r="F4568" t="str">
        <x:v>Davanagere</x:v>
      </x:c>
      <x:c r="G4568" t="str">
        <x:v>Ramesh</x:v>
      </x:c>
      <x:c r="H4568" t="str">
        <x:v>P034</x:v>
      </x:c>
      <x:c r="I4568" t="str">
        <x:v>Chilli Powder 1kg</x:v>
      </x:c>
      <x:c r="J4568" t="str">
        <x:v>Spices</x:v>
      </x:c>
      <x:c r="K4568" t="str">
        <x:v>MDH</x:v>
      </x:c>
      <x:c r="L4568" s="22" t="n">
        <x:v>340</x:v>
      </x:c>
      <x:c r="M4568" t="n">
        <x:v>40</x:v>
      </x:c>
      <x:c r="N4568" s="24" t="n">
        <x:v>0.05</x:v>
      </x:c>
      <x:c r="O4568" s="22" t="n">
        <x:f>L4568*M4568</x:f>
        <x:v>13600</x:v>
      </x:c>
      <x:c r="P4568" s="22" t="n">
        <x:f>O4568*(1-N4568)</x:f>
        <x:v>12920</x:v>
      </x:c>
      <x:c r="Q4568" s="22" t="n">
        <x:v>295</x:v>
      </x:c>
      <x:c r="R4568" s="22" t="n">
        <x:f>Q4568*M4568</x:f>
        <x:v>11800</x:v>
      </x:c>
      <x:c r="S4568" s="22" t="n">
        <x:f>P4568-R4568</x:f>
        <x:v>1120</x:v>
      </x:c>
      <x:c r="T4568" t="str">
        <x:v>UPI</x:v>
      </x:c>
      <x:c r="U4568" t="str">
        <x:v>Paid</x:v>
      </x:c>
      <x:c r="V4568" t="str">
        <x:v>Delivered</x:v>
      </x:c>
      <x:c r="W4568" t="n">
        <x:v>0</x:v>
      </x:c>
      <x:c r="X4568" t="str"/>
      <x:c r="Y4568" t="str">
        <x:v>WhatsApp</x:v>
      </x:c>
    </x:row>
    <x:row r="4569">
      <x:c r="A4569" t="str">
        <x:v>O004568</x:v>
      </x:c>
      <x:c r="B4569" s="20" t="n">
        <x:v>45794</x:v>
      </x:c>
      <x:c r="C4569" t="str">
        <x:v>C0128</x:v>
      </x:c>
      <x:c r="D4569" t="str">
        <x:v>Fresh Hotel 128</x:v>
      </x:c>
      <x:c r="E4569" t="str">
        <x:v>Kirana</x:v>
      </x:c>
      <x:c r="F4569" t="str">
        <x:v>Tumakuru</x:v>
      </x:c>
      <x:c r="G4569" t="str">
        <x:v>Priya</x:v>
      </x:c>
      <x:c r="H4569" t="str">
        <x:v>P048</x:v>
      </x:c>
      <x:c r="I4569" t="str">
        <x:v>Banana 10kg</x:v>
      </x:c>
      <x:c r="J4569" t="str">
        <x:v>Fresh Produce</x:v>
      </x:c>
      <x:c r="K4569" t="str">
        <x:v>Local Market</x:v>
      </x:c>
      <x:c r="L4569" s="22" t="n">
        <x:v>420</x:v>
      </x:c>
      <x:c r="M4569" t="n">
        <x:v>11</x:v>
      </x:c>
      <x:c r="N4569" s="24" t="n">
        <x:v>0</x:v>
      </x:c>
      <x:c r="O4569" s="22" t="n">
        <x:f>L4569*M4569</x:f>
        <x:v>4620</x:v>
      </x:c>
      <x:c r="P4569" s="22" t="n">
        <x:f>O4569*(1-N4569)</x:f>
        <x:v>4620</x:v>
      </x:c>
      <x:c r="Q4569" s="22" t="n">
        <x:v>350</x:v>
      </x:c>
      <x:c r="R4569" s="22" t="n">
        <x:f>Q4569*M4569</x:f>
        <x:v>3850</x:v>
      </x:c>
      <x:c r="S4569" s="22" t="n">
        <x:f>P4569-R4569</x:f>
        <x:v>770</x:v>
      </x:c>
      <x:c r="T4569" t="str">
        <x:v>Cash</x:v>
      </x:c>
      <x:c r="U4569" t="str">
        <x:v>Paid</x:v>
      </x:c>
      <x:c r="V4569" t="str">
        <x:v>Delivered</x:v>
      </x:c>
      <x:c r="W4569" t="n">
        <x:v>0</x:v>
      </x:c>
      <x:c r="X4569" t="str"/>
      <x:c r="Y4569" t="str">
        <x:v>Outbound Call</x:v>
      </x:c>
    </x:row>
    <x:row r="4570">
      <x:c r="A4570" t="str">
        <x:v>O004569</x:v>
      </x:c>
      <x:c r="B4570" s="20" t="n">
        <x:v>46245</x:v>
      </x:c>
      <x:c r="C4570" t="str">
        <x:v>C0177</x:v>
      </x:c>
      <x:c r="D4570" t="str">
        <x:v>Classic Cafe 177</x:v>
      </x:c>
      <x:c r="E4570" t="str">
        <x:v>Supermarket</x:v>
      </x:c>
      <x:c r="F4570" t="str">
        <x:v>Bengaluru</x:v>
      </x:c>
      <x:c r="G4570" t="str">
        <x:v>Arjun</x:v>
      </x:c>
      <x:c r="H4570" t="str">
        <x:v>P005</x:v>
      </x:c>
      <x:c r="I4570" t="str">
        <x:v>Chana Dal 5kg</x:v>
      </x:c>
      <x:c r="J4570" t="str">
        <x:v>Pulses</x:v>
      </x:c>
      <x:c r="K4570" t="str">
        <x:v>Local Select</x:v>
      </x:c>
      <x:c r="L4570" s="22" t="n">
        <x:v>520</x:v>
      </x:c>
      <x:c r="M4570" t="n">
        <x:v>7</x:v>
      </x:c>
      <x:c r="N4570" s="24" t="n">
        <x:v>0.08</x:v>
      </x:c>
      <x:c r="O4570" s="22" t="n">
        <x:f>L4570*M4570</x:f>
        <x:v>3640</x:v>
      </x:c>
      <x:c r="P4570" s="22" t="n">
        <x:f>O4570*(1-N4570)</x:f>
        <x:v>3348.8</x:v>
      </x:c>
      <x:c r="Q4570" s="22" t="n">
        <x:v>455</x:v>
      </x:c>
      <x:c r="R4570" s="22" t="n">
        <x:f>Q4570*M4570</x:f>
        <x:v>3185</x:v>
      </x:c>
      <x:c r="S4570" s="22" t="n">
        <x:f>P4570-R4570</x:f>
        <x:v>163.80000000000018</x:v>
      </x:c>
      <x:c r="T4570" t="str">
        <x:v>Credit</x:v>
      </x:c>
      <x:c r="U4570" t="str">
        <x:v>Pending</x:v>
      </x:c>
      <x:c r="V4570" t="str">
        <x:v>Delivered</x:v>
      </x:c>
      <x:c r="W4570" t="n">
        <x:v>0</x:v>
      </x:c>
      <x:c r="X4570" t="str"/>
      <x:c r="Y4570" t="str">
        <x:v>Outbound Call</x:v>
      </x:c>
    </x:row>
    <x:row r="4571">
      <x:c r="A4571" t="str">
        <x:v>O004570</x:v>
      </x:c>
      <x:c r="B4571" s="20" t="n">
        <x:v>45905</x:v>
      </x:c>
      <x:c r="C4571" t="str">
        <x:v>C0064</x:v>
      </x:c>
      <x:c r="D4571" t="str">
        <x:v>Hotel Restaurant 64</x:v>
      </x:c>
      <x:c r="E4571" t="str">
        <x:v>Cafe</x:v>
      </x:c>
      <x:c r="F4571" t="str">
        <x:v>Mangaluru</x:v>
      </x:c>
      <x:c r="G4571" t="str">
        <x:v>Imran</x:v>
      </x:c>
      <x:c r="H4571" t="str">
        <x:v>P025</x:v>
      </x:c>
      <x:c r="I4571" t="str">
        <x:v>Potato Chips 100g</x:v>
      </x:c>
      <x:c r="J4571" t="str">
        <x:v>Snacks</x:v>
      </x:c>
      <x:c r="K4571" t="str">
        <x:v>Lay's</x:v>
      </x:c>
      <x:c r="L4571" s="22" t="n">
        <x:v>35</x:v>
      </x:c>
      <x:c r="M4571" t="n">
        <x:v>22</x:v>
      </x:c>
      <x:c r="N4571" s="24" t="n">
        <x:v>0.03</x:v>
      </x:c>
      <x:c r="O4571" s="22" t="n">
        <x:f>L4571*M4571</x:f>
        <x:v>770</x:v>
      </x:c>
      <x:c r="P4571" s="22" t="n">
        <x:f>O4571*(1-N4571)</x:f>
        <x:v>746.9</x:v>
      </x:c>
      <x:c r="Q4571" s="22" t="n">
        <x:v>27</x:v>
      </x:c>
      <x:c r="R4571" s="22" t="n">
        <x:f>Q4571*M4571</x:f>
        <x:v>594</x:v>
      </x:c>
      <x:c r="S4571" s="22" t="n">
        <x:f>P4571-R4571</x:f>
        <x:v>152.89999999999998</x:v>
      </x:c>
      <x:c r="T4571" t="str">
        <x:v>UPI</x:v>
      </x:c>
      <x:c r="U4571" t="str">
        <x:v>Pending</x:v>
      </x:c>
      <x:c r="V4571" t="str">
        <x:v>Cancelled</x:v>
      </x:c>
      <x:c r="W4571" t="n">
        <x:v>22</x:v>
      </x:c>
      <x:c r="X4571" t="str">
        <x:v>Cancelled Order</x:v>
      </x:c>
      <x:c r="Y4571" t="str">
        <x:v>Referral</x:v>
      </x:c>
    </x:row>
    <x:row r="4572">
      <x:c r="A4572" t="str">
        <x:v>O004571</x:v>
      </x:c>
      <x:c r="B4572" s="20" t="n">
        <x:v>46218</x:v>
      </x:c>
      <x:c r="C4572" t="str">
        <x:v>C0250</x:v>
      </x:c>
      <x:c r="D4572" t="str">
        <x:v>Namma Hotel 250</x:v>
      </x:c>
      <x:c r="E4572" t="str">
        <x:v>Cafe</x:v>
      </x:c>
      <x:c r="F4572" t="str">
        <x:v>Bengaluru</x:v>
      </x:c>
      <x:c r="G4572" t="str">
        <x:v>Sneha</x:v>
      </x:c>
      <x:c r="H4572" t="str">
        <x:v>P010</x:v>
      </x:c>
      <x:c r="I4572" t="str">
        <x:v>Sugar 25kg</x:v>
      </x:c>
      <x:c r="J4572" t="str">
        <x:v>Staples</x:v>
      </x:c>
      <x:c r="K4572" t="str">
        <x:v>Madhur</x:v>
      </x:c>
      <x:c r="L4572" s="22" t="n">
        <x:v>1190</x:v>
      </x:c>
      <x:c r="M4572" t="n">
        <x:v>2</x:v>
      </x:c>
      <x:c r="N4572" s="24" t="n">
        <x:v>0</x:v>
      </x:c>
      <x:c r="O4572" s="22" t="n">
        <x:f>L4572*M4572</x:f>
        <x:v>2380</x:v>
      </x:c>
      <x:c r="P4572" s="22" t="n">
        <x:f>O4572*(1-N4572)</x:f>
        <x:v>2380</x:v>
      </x:c>
      <x:c r="Q4572" s="22" t="n">
        <x:v>1080</x:v>
      </x:c>
      <x:c r="R4572" s="22" t="n">
        <x:f>Q4572*M4572</x:f>
        <x:v>2160</x:v>
      </x:c>
      <x:c r="S4572" s="22" t="n">
        <x:f>P4572-R4572</x:f>
        <x:v>220</x:v>
      </x:c>
      <x:c r="T4572" t="str">
        <x:v>Bank Transfer</x:v>
      </x:c>
      <x:c r="U4572" t="str">
        <x:v>Paid</x:v>
      </x:c>
      <x:c r="V4572" t="str">
        <x:v>Delayed</x:v>
      </x:c>
      <x:c r="W4572" t="n">
        <x:v>0</x:v>
      </x:c>
      <x:c r="X4572" t="str"/>
      <x:c r="Y4572" t="str">
        <x:v>WhatsApp</x:v>
      </x:c>
    </x:row>
    <x:row r="4573">
      <x:c r="A4573" t="str">
        <x:v>O004572</x:v>
      </x:c>
      <x:c r="B4573" s="20" t="n">
        <x:v>45781</x:v>
      </x:c>
      <x:c r="C4573" t="str">
        <x:v>C0235</x:v>
      </x:c>
      <x:c r="D4573" t="str">
        <x:v>Darshini Canteen 235</x:v>
      </x:c>
      <x:c r="E4573" t="str">
        <x:v>Hotel</x:v>
      </x:c>
      <x:c r="F4573" t="str">
        <x:v>Mangaluru</x:v>
      </x:c>
      <x:c r="G4573" t="str">
        <x:v>Arjun</x:v>
      </x:c>
      <x:c r="H4573" t="str">
        <x:v>P049</x:v>
      </x:c>
      <x:c r="I4573" t="str">
        <x:v>Apple 10kg</x:v>
      </x:c>
      <x:c r="J4573" t="str">
        <x:v>Fresh Produce</x:v>
      </x:c>
      <x:c r="K4573" t="str">
        <x:v>Local Market</x:v>
      </x:c>
      <x:c r="L4573" s="22" t="n">
        <x:v>1450</x:v>
      </x:c>
      <x:c r="M4573" t="n">
        <x:v>1</x:v>
      </x:c>
      <x:c r="N4573" s="24" t="n">
        <x:v>0.05</x:v>
      </x:c>
      <x:c r="O4573" s="22" t="n">
        <x:f>L4573*M4573</x:f>
        <x:v>1450</x:v>
      </x:c>
      <x:c r="P4573" s="22" t="n">
        <x:f>O4573*(1-N4573)</x:f>
        <x:v>1377.5</x:v>
      </x:c>
      <x:c r="Q4573" s="22" t="n">
        <x:v>1280</x:v>
      </x:c>
      <x:c r="R4573" s="22" t="n">
        <x:f>Q4573*M4573</x:f>
        <x:v>1280</x:v>
      </x:c>
      <x:c r="S4573" s="22" t="n">
        <x:f>P4573-R4573</x:f>
        <x:v>97.5</x:v>
      </x:c>
      <x:c r="T4573" t="str">
        <x:v>Bank Transfer</x:v>
      </x:c>
      <x:c r="U4573" t="str">
        <x:v>Paid</x:v>
      </x:c>
      <x:c r="V4573" t="str">
        <x:v>Delivered</x:v>
      </x:c>
      <x:c r="W4573" t="n">
        <x:v>0</x:v>
      </x:c>
      <x:c r="X4573" t="str"/>
      <x:c r="Y4573" t="str">
        <x:v>Referral</x:v>
      </x:c>
    </x:row>
    <x:row r="4574">
      <x:c r="A4574" t="str">
        <x:v>O004573</x:v>
      </x:c>
      <x:c r="B4574" s="20" t="n">
        <x:v>45832</x:v>
      </x:c>
      <x:c r="C4574" t="str">
        <x:v>C0153</x:v>
      </x:c>
      <x:c r="D4574" t="str">
        <x:v>Fresh Foods 153</x:v>
      </x:c>
      <x:c r="E4574" t="str">
        <x:v>Kirana</x:v>
      </x:c>
      <x:c r="F4574" t="str">
        <x:v>Bengaluru</x:v>
      </x:c>
      <x:c r="G4574" t="str">
        <x:v>Priya</x:v>
      </x:c>
      <x:c r="H4574" t="str">
        <x:v>P010</x:v>
      </x:c>
      <x:c r="I4574" t="str">
        <x:v>Sugar 25kg</x:v>
      </x:c>
      <x:c r="J4574" t="str">
        <x:v>Staples</x:v>
      </x:c>
      <x:c r="K4574" t="str">
        <x:v>Madhur</x:v>
      </x:c>
      <x:c r="L4574" s="22" t="n">
        <x:v>1190</x:v>
      </x:c>
      <x:c r="M4574" t="n">
        <x:v>4</x:v>
      </x:c>
      <x:c r="N4574" s="24" t="n">
        <x:v>0</x:v>
      </x:c>
      <x:c r="O4574" s="22" t="n">
        <x:f>L4574*M4574</x:f>
        <x:v>4760</x:v>
      </x:c>
      <x:c r="P4574" s="22" t="n">
        <x:f>O4574*(1-N4574)</x:f>
        <x:v>4760</x:v>
      </x:c>
      <x:c r="Q4574" s="22" t="n">
        <x:v>1080</x:v>
      </x:c>
      <x:c r="R4574" s="22" t="n">
        <x:f>Q4574*M4574</x:f>
        <x:v>4320</x:v>
      </x:c>
      <x:c r="S4574" s="22" t="n">
        <x:f>P4574-R4574</x:f>
        <x:v>440</x:v>
      </x:c>
      <x:c r="T4574" t="str">
        <x:v>Bank Transfer</x:v>
      </x:c>
      <x:c r="U4574" t="str">
        <x:v>Paid</x:v>
      </x:c>
      <x:c r="V4574" t="str">
        <x:v>Cancelled</x:v>
      </x:c>
      <x:c r="W4574" t="n">
        <x:v>4</x:v>
      </x:c>
      <x:c r="X4574" t="str">
        <x:v>Cancelled Order</x:v>
      </x:c>
      <x:c r="Y4574" t="str">
        <x:v>Outbound Call</x:v>
      </x:c>
    </x:row>
    <x:row r="4575">
      <x:c r="A4575" t="str">
        <x:v>O004574</x:v>
      </x:c>
      <x:c r="B4575" s="20" t="n">
        <x:v>45790</x:v>
      </x:c>
      <x:c r="C4575" t="str">
        <x:v>C0025</x:v>
      </x:c>
      <x:c r="D4575" t="str">
        <x:v>Sri Cafe 25</x:v>
      </x:c>
      <x:c r="E4575" t="str">
        <x:v>Hotel</x:v>
      </x:c>
      <x:c r="F4575" t="str">
        <x:v>Mysuru</x:v>
      </x:c>
      <x:c r="G4575" t="str">
        <x:v>Kavya</x:v>
      </x:c>
      <x:c r="H4575" t="str">
        <x:v>P013</x:v>
      </x:c>
      <x:c r="I4575" t="str">
        <x:v>Atta 10kg</x:v>
      </x:c>
      <x:c r="J4575" t="str">
        <x:v>Flour</x:v>
      </x:c>
      <x:c r="K4575" t="str">
        <x:v>Aashirvaad</x:v>
      </x:c>
      <x:c r="L4575" s="22" t="n">
        <x:v>560</x:v>
      </x:c>
      <x:c r="M4575" t="n">
        <x:v>29</x:v>
      </x:c>
      <x:c r="N4575" s="24" t="n">
        <x:v>0.03</x:v>
      </x:c>
      <x:c r="O4575" s="22" t="n">
        <x:f>L4575*M4575</x:f>
        <x:v>16240</x:v>
      </x:c>
      <x:c r="P4575" s="22" t="n">
        <x:f>O4575*(1-N4575)</x:f>
        <x:v>15752.8</x:v>
      </x:c>
      <x:c r="Q4575" s="22" t="n">
        <x:v>495</x:v>
      </x:c>
      <x:c r="R4575" s="22" t="n">
        <x:f>Q4575*M4575</x:f>
        <x:v>14355</x:v>
      </x:c>
      <x:c r="S4575" s="22" t="n">
        <x:f>P4575-R4575</x:f>
        <x:v>1397.7999999999993</x:v>
      </x:c>
      <x:c r="T4575" t="str">
        <x:v>Bank Transfer</x:v>
      </x:c>
      <x:c r="U4575" t="str">
        <x:v>Paid</x:v>
      </x:c>
      <x:c r="V4575" t="str">
        <x:v>Cancelled</x:v>
      </x:c>
      <x:c r="W4575" t="n">
        <x:v>29</x:v>
      </x:c>
      <x:c r="X4575" t="str">
        <x:v>Cancelled Order</x:v>
      </x:c>
      <x:c r="Y4575" t="str">
        <x:v>Referral</x:v>
      </x:c>
    </x:row>
    <x:row r="4576">
      <x:c r="A4576" t="str">
        <x:v>O004575</x:v>
      </x:c>
      <x:c r="B4576" s="20" t="n">
        <x:v>45720</x:v>
      </x:c>
      <x:c r="C4576" t="str">
        <x:v>C0061</x:v>
      </x:c>
      <x:c r="D4576" t="str">
        <x:v>Spice Stores 61</x:v>
      </x:c>
      <x:c r="E4576" t="str">
        <x:v>Restaurant</x:v>
      </x:c>
      <x:c r="F4576" t="str">
        <x:v>Tumakuru</x:v>
      </x:c>
      <x:c r="G4576" t="str">
        <x:v>Ramesh</x:v>
      </x:c>
      <x:c r="H4576" t="str">
        <x:v>P022</x:v>
      </x:c>
      <x:c r="I4576" t="str">
        <x:v>Mineral Water 1L</x:v>
      </x:c>
      <x:c r="J4576" t="str">
        <x:v>Beverage</x:v>
      </x:c>
      <x:c r="K4576" t="str">
        <x:v>Bisleri</x:v>
      </x:c>
      <x:c r="L4576" s="22" t="n">
        <x:v>19</x:v>
      </x:c>
      <x:c r="M4576" t="n">
        <x:v>38</x:v>
      </x:c>
      <x:c r="N4576" s="24" t="n">
        <x:v>0.05</x:v>
      </x:c>
      <x:c r="O4576" s="22" t="n">
        <x:f>L4576*M4576</x:f>
        <x:v>722</x:v>
      </x:c>
      <x:c r="P4576" s="22" t="n">
        <x:f>O4576*(1-N4576)</x:f>
        <x:v>685.9</x:v>
      </x:c>
      <x:c r="Q4576" s="22" t="n">
        <x:v>15</x:v>
      </x:c>
      <x:c r="R4576" s="22" t="n">
        <x:f>Q4576*M4576</x:f>
        <x:v>570</x:v>
      </x:c>
      <x:c r="S4576" s="22" t="n">
        <x:f>P4576-R4576</x:f>
        <x:v>115.89999999999998</x:v>
      </x:c>
      <x:c r="T4576" t="str">
        <x:v>UPI</x:v>
      </x:c>
      <x:c r="U4576" t="str">
        <x:v>Paid</x:v>
      </x:c>
      <x:c r="V4576" t="str">
        <x:v>Delivered</x:v>
      </x:c>
      <x:c r="W4576" t="n">
        <x:v>0</x:v>
      </x:c>
      <x:c r="X4576" t="str"/>
      <x:c r="Y4576" t="str">
        <x:v>Referral</x:v>
      </x:c>
    </x:row>
    <x:row r="4577">
      <x:c r="A4577" t="str">
        <x:v>O004576</x:v>
      </x:c>
      <x:c r="B4577" s="20" t="n">
        <x:v>45777</x:v>
      </x:c>
      <x:c r="C4577" t="str">
        <x:v>C0250</x:v>
      </x:c>
      <x:c r="D4577" t="str">
        <x:v>Namma Hotel 250</x:v>
      </x:c>
      <x:c r="E4577" t="str">
        <x:v>Cafe</x:v>
      </x:c>
      <x:c r="F4577" t="str">
        <x:v>Bengaluru</x:v>
      </x:c>
      <x:c r="G4577" t="str">
        <x:v>Sneha</x:v>
      </x:c>
      <x:c r="H4577" t="str">
        <x:v>P025</x:v>
      </x:c>
      <x:c r="I4577" t="str">
        <x:v>Potato Chips 100g</x:v>
      </x:c>
      <x:c r="J4577" t="str">
        <x:v>Snacks</x:v>
      </x:c>
      <x:c r="K4577" t="str">
        <x:v>Lay's</x:v>
      </x:c>
      <x:c r="L4577" s="22" t="n">
        <x:v>35</x:v>
      </x:c>
      <x:c r="M4577" t="n">
        <x:v>32</x:v>
      </x:c>
      <x:c r="N4577" s="24" t="n">
        <x:v>0.1</x:v>
      </x:c>
      <x:c r="O4577" s="22" t="n">
        <x:f>L4577*M4577</x:f>
        <x:v>1120</x:v>
      </x:c>
      <x:c r="P4577" s="22" t="n">
        <x:f>O4577*(1-N4577)</x:f>
        <x:v>1008</x:v>
      </x:c>
      <x:c r="Q4577" s="22" t="n">
        <x:v>27</x:v>
      </x:c>
      <x:c r="R4577" s="22" t="n">
        <x:f>Q4577*M4577</x:f>
        <x:v>864</x:v>
      </x:c>
      <x:c r="S4577" s="22" t="n">
        <x:f>P4577-R4577</x:f>
        <x:v>144</x:v>
      </x:c>
      <x:c r="T4577" t="str">
        <x:v>Bank Transfer</x:v>
      </x:c>
      <x:c r="U4577" t="str">
        <x:v>Paid</x:v>
      </x:c>
      <x:c r="V4577" t="str">
        <x:v>Cancelled</x:v>
      </x:c>
      <x:c r="W4577" t="n">
        <x:v>32</x:v>
      </x:c>
      <x:c r="X4577" t="str">
        <x:v>Cancelled Order</x:v>
      </x:c>
      <x:c r="Y4577" t="str">
        <x:v>Existing Customer</x:v>
      </x:c>
    </x:row>
    <x:row r="4578">
      <x:c r="A4578" t="str">
        <x:v>O004577</x:v>
      </x:c>
      <x:c r="B4578" s="20" t="n">
        <x:v>46042</x:v>
      </x:c>
      <x:c r="C4578" t="str">
        <x:v>C0189</x:v>
      </x:c>
      <x:c r="D4578" t="str">
        <x:v>Classic Canteen 189</x:v>
      </x:c>
      <x:c r="E4578" t="str">
        <x:v>Kirana</x:v>
      </x:c>
      <x:c r="F4578" t="str">
        <x:v>Hubballi</x:v>
      </x:c>
      <x:c r="G4578" t="str">
        <x:v>Vikram</x:v>
      </x:c>
      <x:c r="H4578" t="str">
        <x:v>P032</x:v>
      </x:c>
      <x:c r="I4578" t="str">
        <x:v>Soy Sauce 700g</x:v>
      </x:c>
      <x:c r="J4578" t="str">
        <x:v>Condiments</x:v>
      </x:c>
      <x:c r="K4578" t="str">
        <x:v>Ching's</x:v>
      </x:c>
      <x:c r="L4578" s="22" t="n">
        <x:v>118</x:v>
      </x:c>
      <x:c r="M4578" t="n">
        <x:v>19</x:v>
      </x:c>
      <x:c r="N4578" s="24" t="n">
        <x:v>0</x:v>
      </x:c>
      <x:c r="O4578" s="22" t="n">
        <x:f>L4578*M4578</x:f>
        <x:v>2242</x:v>
      </x:c>
      <x:c r="P4578" s="22" t="n">
        <x:f>O4578*(1-N4578)</x:f>
        <x:v>2242</x:v>
      </x:c>
      <x:c r="Q4578" s="22" t="n">
        <x:v>101</x:v>
      </x:c>
      <x:c r="R4578" s="22" t="n">
        <x:f>Q4578*M4578</x:f>
        <x:v>1919</x:v>
      </x:c>
      <x:c r="S4578" s="22" t="n">
        <x:f>P4578-R4578</x:f>
        <x:v>323</x:v>
      </x:c>
      <x:c r="T4578" t="str">
        <x:v>Credit</x:v>
      </x:c>
      <x:c r="U4578" t="str">
        <x:v>Paid</x:v>
      </x:c>
      <x:c r="V4578" t="str">
        <x:v>Delivered</x:v>
      </x:c>
      <x:c r="W4578" t="n">
        <x:v>0</x:v>
      </x:c>
      <x:c r="X4578" t="str"/>
      <x:c r="Y4578" t="str">
        <x:v>Outbound Call</x:v>
      </x:c>
    </x:row>
    <x:row r="4579">
      <x:c r="A4579" t="str">
        <x:v>O004578</x:v>
      </x:c>
      <x:c r="B4579" s="20" t="n">
        <x:v>45851</x:v>
      </x:c>
      <x:c r="C4579" t="str">
        <x:v>C0001</x:v>
      </x:c>
      <x:c r="D4579" t="str">
        <x:v>Annapurna Cafe 1</x:v>
      </x:c>
      <x:c r="E4579" t="str">
        <x:v>Hotel</x:v>
      </x:c>
      <x:c r="F4579" t="str">
        <x:v>Davanagere</x:v>
      </x:c>
      <x:c r="G4579" t="str">
        <x:v>Kavya</x:v>
      </x:c>
      <x:c r="H4579" t="str">
        <x:v>P036</x:v>
      </x:c>
      <x:c r="I4579" t="str">
        <x:v>Garam Masala 500g</x:v>
      </x:c>
      <x:c r="J4579" t="str">
        <x:v>Spices</x:v>
      </x:c>
      <x:c r="K4579" t="str">
        <x:v>MDH</x:v>
      </x:c>
      <x:c r="L4579" s="22" t="n">
        <x:v>265</x:v>
      </x:c>
      <x:c r="M4579" t="n">
        <x:v>1</x:v>
      </x:c>
      <x:c r="N4579" s="24" t="n">
        <x:v>0.05</x:v>
      </x:c>
      <x:c r="O4579" s="22" t="n">
        <x:f>L4579*M4579</x:f>
        <x:v>265</x:v>
      </x:c>
      <x:c r="P4579" s="22" t="n">
        <x:f>O4579*(1-N4579)</x:f>
        <x:v>251.75</x:v>
      </x:c>
      <x:c r="Q4579" s="22" t="n">
        <x:v>230</x:v>
      </x:c>
      <x:c r="R4579" s="22" t="n">
        <x:f>Q4579*M4579</x:f>
        <x:v>230</x:v>
      </x:c>
      <x:c r="S4579" s="22" t="n">
        <x:f>P4579-R4579</x:f>
        <x:v>21.75</x:v>
      </x:c>
      <x:c r="T4579" t="str">
        <x:v>UPI</x:v>
      </x:c>
      <x:c r="U4579" t="str">
        <x:v>Paid</x:v>
      </x:c>
      <x:c r="V4579" t="str">
        <x:v>Delivered</x:v>
      </x:c>
      <x:c r="W4579" t="n">
        <x:v>0</x:v>
      </x:c>
      <x:c r="X4579" t="str"/>
      <x:c r="Y4579" t="str">
        <x:v>Referral</x:v>
      </x:c>
    </x:row>
    <x:row r="4580">
      <x:c r="A4580" t="str">
        <x:v>O004579</x:v>
      </x:c>
      <x:c r="B4580" s="20" t="n">
        <x:v>45850</x:v>
      </x:c>
      <x:c r="C4580" t="str">
        <x:v>C0033</x:v>
      </x:c>
      <x:c r="D4580" t="str">
        <x:v>Shree Canteen 33</x:v>
      </x:c>
      <x:c r="E4580" t="str">
        <x:v>Canteen</x:v>
      </x:c>
      <x:c r="F4580" t="str">
        <x:v>Mangaluru</x:v>
      </x:c>
      <x:c r="G4580" t="str">
        <x:v>Imran</x:v>
      </x:c>
      <x:c r="H4580" t="str">
        <x:v>P032</x:v>
      </x:c>
      <x:c r="I4580" t="str">
        <x:v>Soy Sauce 700g</x:v>
      </x:c>
      <x:c r="J4580" t="str">
        <x:v>Condiments</x:v>
      </x:c>
      <x:c r="K4580" t="str">
        <x:v>Ching's</x:v>
      </x:c>
      <x:c r="L4580" s="22" t="n">
        <x:v>118</x:v>
      </x:c>
      <x:c r="M4580" t="n">
        <x:v>8</x:v>
      </x:c>
      <x:c r="N4580" s="24" t="n">
        <x:v>0.05</x:v>
      </x:c>
      <x:c r="O4580" s="22" t="n">
        <x:f>L4580*M4580</x:f>
        <x:v>944</x:v>
      </x:c>
      <x:c r="P4580" s="22" t="n">
        <x:f>O4580*(1-N4580)</x:f>
        <x:v>896.8</x:v>
      </x:c>
      <x:c r="Q4580" s="22" t="n">
        <x:v>101</x:v>
      </x:c>
      <x:c r="R4580" s="22" t="n">
        <x:f>Q4580*M4580</x:f>
        <x:v>808</x:v>
      </x:c>
      <x:c r="S4580" s="22" t="n">
        <x:f>P4580-R4580</x:f>
        <x:v>88.79999999999995</x:v>
      </x:c>
      <x:c r="T4580" t="str">
        <x:v>Cash</x:v>
      </x:c>
      <x:c r="U4580" t="str">
        <x:v>Paid</x:v>
      </x:c>
      <x:c r="V4580" t="str">
        <x:v>Cancelled</x:v>
      </x:c>
      <x:c r="W4580" t="n">
        <x:v>8</x:v>
      </x:c>
      <x:c r="X4580" t="str">
        <x:v>Cancelled Order</x:v>
      </x:c>
      <x:c r="Y4580" t="str">
        <x:v>Referral</x:v>
      </x:c>
    </x:row>
    <x:row r="4581">
      <x:c r="A4581" t="str">
        <x:v>O004580</x:v>
      </x:c>
      <x:c r="B4581" s="20" t="n">
        <x:v>45860</x:v>
      </x:c>
      <x:c r="C4581" t="str">
        <x:v>C0126</x:v>
      </x:c>
      <x:c r="D4581" t="str">
        <x:v>Mysore Hotel 126</x:v>
      </x:c>
      <x:c r="E4581" t="str">
        <x:v>Restaurant</x:v>
      </x:c>
      <x:c r="F4581" t="str">
        <x:v>Mangaluru</x:v>
      </x:c>
      <x:c r="G4581" t="str">
        <x:v>Vikram</x:v>
      </x:c>
      <x:c r="H4581" t="str">
        <x:v>P048</x:v>
      </x:c>
      <x:c r="I4581" t="str">
        <x:v>Banana 10kg</x:v>
      </x:c>
      <x:c r="J4581" t="str">
        <x:v>Fresh Produce</x:v>
      </x:c>
      <x:c r="K4581" t="str">
        <x:v>Local Market</x:v>
      </x:c>
      <x:c r="L4581" s="22" t="n">
        <x:v>420</x:v>
      </x:c>
      <x:c r="M4581" t="n">
        <x:v>28</x:v>
      </x:c>
      <x:c r="N4581" s="24" t="n">
        <x:v>0</x:v>
      </x:c>
      <x:c r="O4581" s="22" t="n">
        <x:f>L4581*M4581</x:f>
        <x:v>11760</x:v>
      </x:c>
      <x:c r="P4581" s="22" t="n">
        <x:f>O4581*(1-N4581)</x:f>
        <x:v>11760</x:v>
      </x:c>
      <x:c r="Q4581" s="22" t="n">
        <x:v>350</x:v>
      </x:c>
      <x:c r="R4581" s="22" t="n">
        <x:f>Q4581*M4581</x:f>
        <x:v>9800</x:v>
      </x:c>
      <x:c r="S4581" s="22" t="n">
        <x:f>P4581-R4581</x:f>
        <x:v>1960</x:v>
      </x:c>
      <x:c r="T4581" t="str">
        <x:v>Bank Transfer</x:v>
      </x:c>
      <x:c r="U4581" t="str">
        <x:v>Paid</x:v>
      </x:c>
      <x:c r="V4581" t="str">
        <x:v>Delayed</x:v>
      </x:c>
      <x:c r="W4581" t="n">
        <x:v>0</x:v>
      </x:c>
      <x:c r="X4581" t="str"/>
      <x:c r="Y4581" t="str">
        <x:v>Existing Customer</x:v>
      </x:c>
    </x:row>
    <x:row r="4582">
      <x:c r="A4582" t="str">
        <x:v>O004581</x:v>
      </x:c>
      <x:c r="B4582" s="20" t="n">
        <x:v>46123</x:v>
      </x:c>
      <x:c r="C4582" t="str">
        <x:v>C0182</x:v>
      </x:c>
      <x:c r="D4582" t="str">
        <x:v>Mysore Foods 182</x:v>
      </x:c>
      <x:c r="E4582" t="str">
        <x:v>Restaurant</x:v>
      </x:c>
      <x:c r="F4582" t="str">
        <x:v>Bengaluru</x:v>
      </x:c>
      <x:c r="G4582" t="str">
        <x:v>Vikram</x:v>
      </x:c>
      <x:c r="H4582" t="str">
        <x:v>P029</x:v>
      </x:c>
      <x:c r="I4582" t="str">
        <x:v>Tomato Ketchup 1kg</x:v>
      </x:c>
      <x:c r="J4582" t="str">
        <x:v>Condiments</x:v>
      </x:c>
      <x:c r="K4582" t="str">
        <x:v>Kissan</x:v>
      </x:c>
      <x:c r="L4582" s="22" t="n">
        <x:v>145</x:v>
      </x:c>
      <x:c r="M4582" t="n">
        <x:v>13</x:v>
      </x:c>
      <x:c r="N4582" s="24" t="n">
        <x:v>0.03</x:v>
      </x:c>
      <x:c r="O4582" s="22" t="n">
        <x:f>L4582*M4582</x:f>
        <x:v>1885</x:v>
      </x:c>
      <x:c r="P4582" s="22" t="n">
        <x:f>O4582*(1-N4582)</x:f>
        <x:v>1828.45</x:v>
      </x:c>
      <x:c r="Q4582" s="22" t="n">
        <x:v>126</x:v>
      </x:c>
      <x:c r="R4582" s="22" t="n">
        <x:f>Q4582*M4582</x:f>
        <x:v>1638</x:v>
      </x:c>
      <x:c r="S4582" s="22" t="n">
        <x:f>P4582-R4582</x:f>
        <x:v>190.45000000000005</x:v>
      </x:c>
      <x:c r="T4582" t="str">
        <x:v>Bank Transfer</x:v>
      </x:c>
      <x:c r="U4582" t="str">
        <x:v>Paid</x:v>
      </x:c>
      <x:c r="V4582" t="str">
        <x:v>Delivered</x:v>
      </x:c>
      <x:c r="W4582" t="n">
        <x:v>0</x:v>
      </x:c>
      <x:c r="X4582" t="str"/>
      <x:c r="Y4582" t="str">
        <x:v>Referral</x:v>
      </x:c>
    </x:row>
    <x:row r="4583">
      <x:c r="A4583" t="str">
        <x:v>O004582</x:v>
      </x:c>
      <x:c r="B4583" s="20" t="n">
        <x:v>46266</x:v>
      </x:c>
      <x:c r="C4583" t="str">
        <x:v>C0111</x:v>
      </x:c>
      <x:c r="D4583" t="str">
        <x:v>Metro Kitchen 111</x:v>
      </x:c>
      <x:c r="E4583" t="str">
        <x:v>Restaurant</x:v>
      </x:c>
      <x:c r="F4583" t="str">
        <x:v>Davanagere</x:v>
      </x:c>
      <x:c r="G4583" t="str">
        <x:v>Sneha</x:v>
      </x:c>
      <x:c r="H4583" t="str">
        <x:v>P011</x:v>
      </x:c>
      <x:c r="I4583" t="str">
        <x:v>Salt 1kg</x:v>
      </x:c>
      <x:c r="J4583" t="str">
        <x:v>Staples</x:v>
      </x:c>
      <x:c r="K4583" t="str">
        <x:v>Tata</x:v>
      </x:c>
      <x:c r="L4583" s="22" t="n">
        <x:v>28</x:v>
      </x:c>
      <x:c r="M4583" t="n">
        <x:v>11</x:v>
      </x:c>
      <x:c r="N4583" s="24" t="n">
        <x:v>0</x:v>
      </x:c>
      <x:c r="O4583" s="22" t="n">
        <x:f>L4583*M4583</x:f>
        <x:v>308</x:v>
      </x:c>
      <x:c r="P4583" s="22" t="n">
        <x:f>O4583*(1-N4583)</x:f>
        <x:v>308</x:v>
      </x:c>
      <x:c r="Q4583" s="22" t="n">
        <x:v>23</x:v>
      </x:c>
      <x:c r="R4583" s="22" t="n">
        <x:f>Q4583*M4583</x:f>
        <x:v>253</x:v>
      </x:c>
      <x:c r="S4583" s="22" t="n">
        <x:f>P4583-R4583</x:f>
        <x:v>55</x:v>
      </x:c>
      <x:c r="T4583" t="str">
        <x:v>Bank Transfer</x:v>
      </x:c>
      <x:c r="U4583" t="str">
        <x:v>Overdue</x:v>
      </x:c>
      <x:c r="V4583" t="str">
        <x:v>Delivered</x:v>
      </x:c>
      <x:c r="W4583" t="n">
        <x:v>0</x:v>
      </x:c>
      <x:c r="X4583" t="str"/>
      <x:c r="Y4583" t="str">
        <x:v>Outbound Call</x:v>
      </x:c>
    </x:row>
    <x:row r="4584">
      <x:c r="A4584" t="str">
        <x:v>O004583</x:v>
      </x:c>
      <x:c r="B4584" s="20" t="n">
        <x:v>45838</x:v>
      </x:c>
      <x:c r="C4584" t="str">
        <x:v>C0241</x:v>
      </x:c>
      <x:c r="D4584" t="str">
        <x:v>Annapurna Restaurant 241</x:v>
      </x:c>
      <x:c r="E4584" t="str">
        <x:v>Hotel</x:v>
      </x:c>
      <x:c r="F4584" t="str">
        <x:v>Tumakuru</x:v>
      </x:c>
      <x:c r="G4584" t="str">
        <x:v>Imran</x:v>
      </x:c>
      <x:c r="H4584" t="str">
        <x:v>P021</x:v>
      </x:c>
      <x:c r="I4584" t="str">
        <x:v>Instant Coffee 200g</x:v>
      </x:c>
      <x:c r="J4584" t="str">
        <x:v>Beverage</x:v>
      </x:c>
      <x:c r="K4584" t="str">
        <x:v>Nescafe</x:v>
      </x:c>
      <x:c r="L4584" s="22" t="n">
        <x:v>460</x:v>
      </x:c>
      <x:c r="M4584" t="n">
        <x:v>11</x:v>
      </x:c>
      <x:c r="N4584" s="24" t="n">
        <x:v>0</x:v>
      </x:c>
      <x:c r="O4584" s="22" t="n">
        <x:f>L4584*M4584</x:f>
        <x:v>5060</x:v>
      </x:c>
      <x:c r="P4584" s="22" t="n">
        <x:f>O4584*(1-N4584)</x:f>
        <x:v>5060</x:v>
      </x:c>
      <x:c r="Q4584" s="22" t="n">
        <x:v>410</x:v>
      </x:c>
      <x:c r="R4584" s="22" t="n">
        <x:f>Q4584*M4584</x:f>
        <x:v>4510</x:v>
      </x:c>
      <x:c r="S4584" s="22" t="n">
        <x:f>P4584-R4584</x:f>
        <x:v>550</x:v>
      </x:c>
      <x:c r="T4584" t="str">
        <x:v>UPI</x:v>
      </x:c>
      <x:c r="U4584" t="str">
        <x:v>Paid</x:v>
      </x:c>
      <x:c r="V4584" t="str">
        <x:v>Delivered</x:v>
      </x:c>
      <x:c r="W4584" t="n">
        <x:v>0</x:v>
      </x:c>
      <x:c r="X4584" t="str"/>
      <x:c r="Y4584" t="str">
        <x:v>Existing Customer</x:v>
      </x:c>
    </x:row>
    <x:row r="4585">
      <x:c r="A4585" t="str">
        <x:v>O004584</x:v>
      </x:c>
      <x:c r="B4585" s="20" t="n">
        <x:v>45756</x:v>
      </x:c>
      <x:c r="C4585" t="str">
        <x:v>C0075</x:v>
      </x:c>
      <x:c r="D4585" t="str">
        <x:v>Spice Foods 75</x:v>
      </x:c>
      <x:c r="E4585" t="str">
        <x:v>Kirana</x:v>
      </x:c>
      <x:c r="F4585" t="str">
        <x:v>Hubballi</x:v>
      </x:c>
      <x:c r="G4585" t="str">
        <x:v>Vikram</x:v>
      </x:c>
      <x:c r="H4585" t="str">
        <x:v>P003</x:v>
      </x:c>
      <x:c r="I4585" t="str">
        <x:v>Basmati Rice 5kg</x:v>
      </x:c>
      <x:c r="J4585" t="str">
        <x:v>Staples</x:v>
      </x:c>
      <x:c r="K4585" t="str">
        <x:v>India Gate</x:v>
      </x:c>
      <x:c r="L4585" s="22" t="n">
        <x:v>690</x:v>
      </x:c>
      <x:c r="M4585" t="n">
        <x:v>18</x:v>
      </x:c>
      <x:c r="N4585" s="24" t="n">
        <x:v>0.02</x:v>
      </x:c>
      <x:c r="O4585" s="22" t="n">
        <x:f>L4585*M4585</x:f>
        <x:v>12420</x:v>
      </x:c>
      <x:c r="P4585" s="22" t="n">
        <x:f>O4585*(1-N4585)</x:f>
        <x:v>12171.6</x:v>
      </x:c>
      <x:c r="Q4585" s="22" t="n">
        <x:v>610</x:v>
      </x:c>
      <x:c r="R4585" s="22" t="n">
        <x:f>Q4585*M4585</x:f>
        <x:v>10980</x:v>
      </x:c>
      <x:c r="S4585" s="22" t="n">
        <x:f>P4585-R4585</x:f>
        <x:v>1191.6000000000004</x:v>
      </x:c>
      <x:c r="T4585" t="str">
        <x:v>Bank Transfer</x:v>
      </x:c>
      <x:c r="U4585" t="str">
        <x:v>Paid</x:v>
      </x:c>
      <x:c r="V4585" t="str">
        <x:v>Delivered</x:v>
      </x:c>
      <x:c r="W4585" t="n">
        <x:v>0</x:v>
      </x:c>
      <x:c r="X4585" t="str"/>
      <x:c r="Y4585" t="str">
        <x:v>Referral</x:v>
      </x:c>
    </x:row>
    <x:row r="4586">
      <x:c r="A4586" t="str">
        <x:v>O004585</x:v>
      </x:c>
      <x:c r="B4586" s="20" t="n">
        <x:v>46111</x:v>
      </x:c>
      <x:c r="C4586" t="str">
        <x:v>C0095</x:v>
      </x:c>
      <x:c r="D4586" t="str">
        <x:v>Spice Restaurant 95</x:v>
      </x:c>
      <x:c r="E4586" t="str">
        <x:v>Restaurant</x:v>
      </x:c>
      <x:c r="F4586" t="str">
        <x:v>Bengaluru</x:v>
      </x:c>
      <x:c r="G4586" t="str">
        <x:v>Megha</x:v>
      </x:c>
      <x:c r="H4586" t="str">
        <x:v>P025</x:v>
      </x:c>
      <x:c r="I4586" t="str">
        <x:v>Potato Chips 100g</x:v>
      </x:c>
      <x:c r="J4586" t="str">
        <x:v>Snacks</x:v>
      </x:c>
      <x:c r="K4586" t="str">
        <x:v>Lay's</x:v>
      </x:c>
      <x:c r="L4586" s="22" t="n">
        <x:v>35</x:v>
      </x:c>
      <x:c r="M4586" t="n">
        <x:v>2</x:v>
      </x:c>
      <x:c r="N4586" s="24" t="n">
        <x:v>0.03</x:v>
      </x:c>
      <x:c r="O4586" s="22" t="n">
        <x:f>L4586*M4586</x:f>
        <x:v>70</x:v>
      </x:c>
      <x:c r="P4586" s="22" t="n">
        <x:f>O4586*(1-N4586)</x:f>
        <x:v>67.89999999999999</x:v>
      </x:c>
      <x:c r="Q4586" s="22" t="n">
        <x:v>27</x:v>
      </x:c>
      <x:c r="R4586" s="22" t="n">
        <x:f>Q4586*M4586</x:f>
        <x:v>54</x:v>
      </x:c>
      <x:c r="S4586" s="22" t="n">
        <x:f>P4586-R4586</x:f>
        <x:v>13.899999999999991</x:v>
      </x:c>
      <x:c r="T4586" t="str">
        <x:v>Bank Transfer</x:v>
      </x:c>
      <x:c r="U4586" t="str">
        <x:v>Paid</x:v>
      </x:c>
      <x:c r="V4586" t="str">
        <x:v>Delivered</x:v>
      </x:c>
      <x:c r="W4586" t="n">
        <x:v>0</x:v>
      </x:c>
      <x:c r="X4586" t="str"/>
      <x:c r="Y4586" t="str">
        <x:v>Field Visit</x:v>
      </x:c>
    </x:row>
    <x:row r="4587">
      <x:c r="A4587" t="str">
        <x:v>O004586</x:v>
      </x:c>
      <x:c r="B4587" s="20" t="n">
        <x:v>45851</x:v>
      </x:c>
      <x:c r="C4587" t="str">
        <x:v>C0107</x:v>
      </x:c>
      <x:c r="D4587" t="str">
        <x:v>Mysore Cafe 107</x:v>
      </x:c>
      <x:c r="E4587" t="str">
        <x:v>Supermarket</x:v>
      </x:c>
      <x:c r="F4587" t="str">
        <x:v>Tumakuru</x:v>
      </x:c>
      <x:c r="G4587" t="str">
        <x:v>Megha</x:v>
      </x:c>
      <x:c r="H4587" t="str">
        <x:v>P011</x:v>
      </x:c>
      <x:c r="I4587" t="str">
        <x:v>Salt 1kg</x:v>
      </x:c>
      <x:c r="J4587" t="str">
        <x:v>Staples</x:v>
      </x:c>
      <x:c r="K4587" t="str">
        <x:v>Tata</x:v>
      </x:c>
      <x:c r="L4587" s="22" t="n">
        <x:v>28</x:v>
      </x:c>
      <x:c r="M4587" t="n">
        <x:v>13</x:v>
      </x:c>
      <x:c r="N4587" s="24" t="n">
        <x:v>0.05</x:v>
      </x:c>
      <x:c r="O4587" s="22" t="n">
        <x:f>L4587*M4587</x:f>
        <x:v>364</x:v>
      </x:c>
      <x:c r="P4587" s="22" t="n">
        <x:f>O4587*(1-N4587)</x:f>
        <x:v>345.8</x:v>
      </x:c>
      <x:c r="Q4587" s="22" t="n">
        <x:v>23</x:v>
      </x:c>
      <x:c r="R4587" s="22" t="n">
        <x:f>Q4587*M4587</x:f>
        <x:v>299</x:v>
      </x:c>
      <x:c r="S4587" s="22" t="n">
        <x:f>P4587-R4587</x:f>
        <x:v>46.80000000000001</x:v>
      </x:c>
      <x:c r="T4587" t="str">
        <x:v>Credit</x:v>
      </x:c>
      <x:c r="U4587" t="str">
        <x:v>Paid</x:v>
      </x:c>
      <x:c r="V4587" t="str">
        <x:v>Delivered</x:v>
      </x:c>
      <x:c r="W4587" t="n">
        <x:v>0</x:v>
      </x:c>
      <x:c r="X4587" t="str"/>
      <x:c r="Y4587" t="str">
        <x:v>Field Visit</x:v>
      </x:c>
    </x:row>
    <x:row r="4588">
      <x:c r="A4588" t="str">
        <x:v>O004587</x:v>
      </x:c>
      <x:c r="B4588" s="20" t="n">
        <x:v>45897</x:v>
      </x:c>
      <x:c r="C4588" t="str">
        <x:v>C0208</x:v>
      </x:c>
      <x:c r="D4588" t="str">
        <x:v>Green Foods 208</x:v>
      </x:c>
      <x:c r="E4588" t="str">
        <x:v>Hotel</x:v>
      </x:c>
      <x:c r="F4588" t="str">
        <x:v>Mysuru</x:v>
      </x:c>
      <x:c r="G4588" t="str">
        <x:v>Ramesh</x:v>
      </x:c>
      <x:c r="H4588" t="str">
        <x:v>P047</x:v>
      </x:c>
      <x:c r="I4588" t="str">
        <x:v>Tomato 25kg</x:v>
      </x:c>
      <x:c r="J4588" t="str">
        <x:v>Fresh Produce</x:v>
      </x:c>
      <x:c r="K4588" t="str">
        <x:v>Local Market</x:v>
      </x:c>
      <x:c r="L4588" s="22" t="n">
        <x:v>950</x:v>
      </x:c>
      <x:c r="M4588" t="n">
        <x:v>14</x:v>
      </x:c>
      <x:c r="N4588" s="24" t="n">
        <x:v>0.05</x:v>
      </x:c>
      <x:c r="O4588" s="22" t="n">
        <x:f>L4588*M4588</x:f>
        <x:v>13300</x:v>
      </x:c>
      <x:c r="P4588" s="22" t="n">
        <x:f>O4588*(1-N4588)</x:f>
        <x:v>12635</x:v>
      </x:c>
      <x:c r="Q4588" s="22" t="n">
        <x:v>810</x:v>
      </x:c>
      <x:c r="R4588" s="22" t="n">
        <x:f>Q4588*M4588</x:f>
        <x:v>11340</x:v>
      </x:c>
      <x:c r="S4588" s="22" t="n">
        <x:f>P4588-R4588</x:f>
        <x:v>1295</x:v>
      </x:c>
      <x:c r="T4588" t="str">
        <x:v>Credit</x:v>
      </x:c>
      <x:c r="U4588" t="str">
        <x:v>Paid</x:v>
      </x:c>
      <x:c r="V4588" t="str">
        <x:v>Delayed</x:v>
      </x:c>
      <x:c r="W4588" t="n">
        <x:v>0</x:v>
      </x:c>
      <x:c r="X4588" t="str"/>
      <x:c r="Y4588" t="str">
        <x:v>Field Visit</x:v>
      </x:c>
    </x:row>
    <x:row r="4589">
      <x:c r="A4589" t="str">
        <x:v>O004588</x:v>
      </x:c>
      <x:c r="B4589" s="20" t="n">
        <x:v>46282</x:v>
      </x:c>
      <x:c r="C4589" t="str">
        <x:v>C0021</x:v>
      </x:c>
      <x:c r="D4589" t="str">
        <x:v>Namma Cafe 21</x:v>
      </x:c>
      <x:c r="E4589" t="str">
        <x:v>Canteen</x:v>
      </x:c>
      <x:c r="F4589" t="str">
        <x:v>Bengaluru</x:v>
      </x:c>
      <x:c r="G4589" t="str">
        <x:v>Kavya</x:v>
      </x:c>
      <x:c r="H4589" t="str">
        <x:v>P047</x:v>
      </x:c>
      <x:c r="I4589" t="str">
        <x:v>Tomato 25kg</x:v>
      </x:c>
      <x:c r="J4589" t="str">
        <x:v>Fresh Produce</x:v>
      </x:c>
      <x:c r="K4589" t="str">
        <x:v>Local Market</x:v>
      </x:c>
      <x:c r="L4589" s="22" t="n">
        <x:v>950</x:v>
      </x:c>
      <x:c r="M4589" t="n">
        <x:v>2</x:v>
      </x:c>
      <x:c r="N4589" s="24" t="n">
        <x:v>0.02</x:v>
      </x:c>
      <x:c r="O4589" s="22" t="n">
        <x:f>L4589*M4589</x:f>
        <x:v>1900</x:v>
      </x:c>
      <x:c r="P4589" s="22" t="n">
        <x:f>O4589*(1-N4589)</x:f>
        <x:v>1862</x:v>
      </x:c>
      <x:c r="Q4589" s="22" t="n">
        <x:v>810</x:v>
      </x:c>
      <x:c r="R4589" s="22" t="n">
        <x:f>Q4589*M4589</x:f>
        <x:v>1620</x:v>
      </x:c>
      <x:c r="S4589" s="22" t="n">
        <x:f>P4589-R4589</x:f>
        <x:v>242</x:v>
      </x:c>
      <x:c r="T4589" t="str">
        <x:v>UPI</x:v>
      </x:c>
      <x:c r="U4589" t="str">
        <x:v>Paid</x:v>
      </x:c>
      <x:c r="V4589" t="str">
        <x:v>Cancelled</x:v>
      </x:c>
      <x:c r="W4589" t="n">
        <x:v>2</x:v>
      </x:c>
      <x:c r="X4589" t="str">
        <x:v>Cancelled Order</x:v>
      </x:c>
      <x:c r="Y4589" t="str">
        <x:v>Field Visit</x:v>
      </x:c>
    </x:row>
    <x:row r="4590">
      <x:c r="A4590" t="str">
        <x:v>O004589</x:v>
      </x:c>
      <x:c r="B4590" s="20" t="n">
        <x:v>46242</x:v>
      </x:c>
      <x:c r="C4590" t="str">
        <x:v>C0124</x:v>
      </x:c>
      <x:c r="D4590" t="str">
        <x:v>Green Hotel 124</x:v>
      </x:c>
      <x:c r="E4590" t="str">
        <x:v>Cafe</x:v>
      </x:c>
      <x:c r="F4590" t="str">
        <x:v>Bengaluru</x:v>
      </x:c>
      <x:c r="G4590" t="str">
        <x:v>Imran</x:v>
      </x:c>
      <x:c r="H4590" t="str">
        <x:v>P024</x:v>
      </x:c>
      <x:c r="I4590" t="str">
        <x:v>Orange Drink 1L</x:v>
      </x:c>
      <x:c r="J4590" t="str">
        <x:v>Beverage</x:v>
      </x:c>
      <x:c r="K4590" t="str">
        <x:v>Minute Maid</x:v>
      </x:c>
      <x:c r="L4590" s="22" t="n">
        <x:v>105</x:v>
      </x:c>
      <x:c r="M4590" t="n">
        <x:v>23</x:v>
      </x:c>
      <x:c r="N4590" s="24" t="n">
        <x:v>0</x:v>
      </x:c>
      <x:c r="O4590" s="22" t="n">
        <x:f>L4590*M4590</x:f>
        <x:v>2415</x:v>
      </x:c>
      <x:c r="P4590" s="22" t="n">
        <x:f>O4590*(1-N4590)</x:f>
        <x:v>2415</x:v>
      </x:c>
      <x:c r="Q4590" s="22" t="n">
        <x:v>88</x:v>
      </x:c>
      <x:c r="R4590" s="22" t="n">
        <x:f>Q4590*M4590</x:f>
        <x:v>2024</x:v>
      </x:c>
      <x:c r="S4590" s="22" t="n">
        <x:f>P4590-R4590</x:f>
        <x:v>391</x:v>
      </x:c>
      <x:c r="T4590" t="str">
        <x:v>Bank Transfer</x:v>
      </x:c>
      <x:c r="U4590" t="str">
        <x:v>Paid</x:v>
      </x:c>
      <x:c r="V4590" t="str">
        <x:v>Delivered</x:v>
      </x:c>
      <x:c r="W4590" t="n">
        <x:v>0</x:v>
      </x:c>
      <x:c r="X4590" t="str"/>
      <x:c r="Y4590" t="str">
        <x:v>Referral</x:v>
      </x:c>
    </x:row>
    <x:row r="4591">
      <x:c r="A4591" t="str">
        <x:v>O004590</x:v>
      </x:c>
      <x:c r="B4591" s="20" t="n">
        <x:v>45672</x:v>
      </x:c>
      <x:c r="C4591" t="str">
        <x:v>C0175</x:v>
      </x:c>
      <x:c r="D4591" t="str">
        <x:v>Namma Mart 175</x:v>
      </x:c>
      <x:c r="E4591" t="str">
        <x:v>Hotel</x:v>
      </x:c>
      <x:c r="F4591" t="str">
        <x:v>Davanagere</x:v>
      </x:c>
      <x:c r="G4591" t="str">
        <x:v>Sneha</x:v>
      </x:c>
      <x:c r="H4591" t="str">
        <x:v>P013</x:v>
      </x:c>
      <x:c r="I4591" t="str">
        <x:v>Atta 10kg</x:v>
      </x:c>
      <x:c r="J4591" t="str">
        <x:v>Flour</x:v>
      </x:c>
      <x:c r="K4591" t="str">
        <x:v>Aashirvaad</x:v>
      </x:c>
      <x:c r="L4591" s="22" t="n">
        <x:v>560</x:v>
      </x:c>
      <x:c r="M4591" t="n">
        <x:v>1</x:v>
      </x:c>
      <x:c r="N4591" s="24" t="n">
        <x:v>0.03</x:v>
      </x:c>
      <x:c r="O4591" s="22" t="n">
        <x:f>L4591*M4591</x:f>
        <x:v>560</x:v>
      </x:c>
      <x:c r="P4591" s="22" t="n">
        <x:f>O4591*(1-N4591)</x:f>
        <x:v>543.1999999999999</x:v>
      </x:c>
      <x:c r="Q4591" s="22" t="n">
        <x:v>495</x:v>
      </x:c>
      <x:c r="R4591" s="22" t="n">
        <x:f>Q4591*M4591</x:f>
        <x:v>495</x:v>
      </x:c>
      <x:c r="S4591" s="22" t="n">
        <x:f>P4591-R4591</x:f>
        <x:v>48.19999999999993</x:v>
      </x:c>
      <x:c r="T4591" t="str">
        <x:v>Credit</x:v>
      </x:c>
      <x:c r="U4591" t="str">
        <x:v>Pending</x:v>
      </x:c>
      <x:c r="V4591" t="str">
        <x:v>Delivered</x:v>
      </x:c>
      <x:c r="W4591" t="n">
        <x:v>0</x:v>
      </x:c>
      <x:c r="X4591" t="str"/>
      <x:c r="Y4591" t="str">
        <x:v>Existing Customer</x:v>
      </x:c>
    </x:row>
    <x:row r="4592">
      <x:c r="A4592" t="str">
        <x:v>O004591</x:v>
      </x:c>
      <x:c r="B4592" s="20" t="n">
        <x:v>46061</x:v>
      </x:c>
      <x:c r="C4592" t="str">
        <x:v>C0129</x:v>
      </x:c>
      <x:c r="D4592" t="str">
        <x:v>City Canteen 129</x:v>
      </x:c>
      <x:c r="E4592" t="str">
        <x:v>Kirana</x:v>
      </x:c>
      <x:c r="F4592" t="str">
        <x:v>Hubballi</x:v>
      </x:c>
      <x:c r="G4592" t="str">
        <x:v>Sneha</x:v>
      </x:c>
      <x:c r="H4592" t="str">
        <x:v>P020</x:v>
      </x:c>
      <x:c r="I4592" t="str">
        <x:v>Coffee 500g</x:v>
      </x:c>
      <x:c r="J4592" t="str">
        <x:v>Beverage</x:v>
      </x:c>
      <x:c r="K4592" t="str">
        <x:v>Bru</x:v>
      </x:c>
      <x:c r="L4592" s="22" t="n">
        <x:v>390</x:v>
      </x:c>
      <x:c r="M4592" t="n">
        <x:v>30</x:v>
      </x:c>
      <x:c r="N4592" s="24" t="n">
        <x:v>0.02</x:v>
      </x:c>
      <x:c r="O4592" s="22" t="n">
        <x:f>L4592*M4592</x:f>
        <x:v>11700</x:v>
      </x:c>
      <x:c r="P4592" s="22" t="n">
        <x:f>O4592*(1-N4592)</x:f>
        <x:v>11466</x:v>
      </x:c>
      <x:c r="Q4592" s="22" t="n">
        <x:v>350</x:v>
      </x:c>
      <x:c r="R4592" s="22" t="n">
        <x:f>Q4592*M4592</x:f>
        <x:v>10500</x:v>
      </x:c>
      <x:c r="S4592" s="22" t="n">
        <x:f>P4592-R4592</x:f>
        <x:v>966</x:v>
      </x:c>
      <x:c r="T4592" t="str">
        <x:v>Cash</x:v>
      </x:c>
      <x:c r="U4592" t="str">
        <x:v>Paid</x:v>
      </x:c>
      <x:c r="V4592" t="str">
        <x:v>Delayed</x:v>
      </x:c>
      <x:c r="W4592" t="n">
        <x:v>0</x:v>
      </x:c>
      <x:c r="X4592" t="str"/>
      <x:c r="Y4592" t="str">
        <x:v>Outbound Call</x:v>
      </x:c>
    </x:row>
    <x:row r="4593">
      <x:c r="A4593" t="str">
        <x:v>O004592</x:v>
      </x:c>
      <x:c r="B4593" s="20" t="n">
        <x:v>46033</x:v>
      </x:c>
      <x:c r="C4593" t="str">
        <x:v>C0064</x:v>
      </x:c>
      <x:c r="D4593" t="str">
        <x:v>Hotel Restaurant 64</x:v>
      </x:c>
      <x:c r="E4593" t="str">
        <x:v>Cafe</x:v>
      </x:c>
      <x:c r="F4593" t="str">
        <x:v>Mangaluru</x:v>
      </x:c>
      <x:c r="G4593" t="str">
        <x:v>Imran</x:v>
      </x:c>
      <x:c r="H4593" t="str">
        <x:v>P048</x:v>
      </x:c>
      <x:c r="I4593" t="str">
        <x:v>Banana 10kg</x:v>
      </x:c>
      <x:c r="J4593" t="str">
        <x:v>Fresh Produce</x:v>
      </x:c>
      <x:c r="K4593" t="str">
        <x:v>Local Market</x:v>
      </x:c>
      <x:c r="L4593" s="22" t="n">
        <x:v>420</x:v>
      </x:c>
      <x:c r="M4593" t="n">
        <x:v>25</x:v>
      </x:c>
      <x:c r="N4593" s="24" t="n">
        <x:v>0.08</x:v>
      </x:c>
      <x:c r="O4593" s="22" t="n">
        <x:f>L4593*M4593</x:f>
        <x:v>10500</x:v>
      </x:c>
      <x:c r="P4593" s="22" t="n">
        <x:f>O4593*(1-N4593)</x:f>
        <x:v>9660</x:v>
      </x:c>
      <x:c r="Q4593" s="22" t="n">
        <x:v>350</x:v>
      </x:c>
      <x:c r="R4593" s="22" t="n">
        <x:f>Q4593*M4593</x:f>
        <x:v>8750</x:v>
      </x:c>
      <x:c r="S4593" s="22" t="n">
        <x:f>P4593-R4593</x:f>
        <x:v>910</x:v>
      </x:c>
      <x:c r="T4593" t="str">
        <x:v>UPI</x:v>
      </x:c>
      <x:c r="U4593" t="str">
        <x:v>Paid</x:v>
      </x:c>
      <x:c r="V4593" t="str">
        <x:v>Delivered</x:v>
      </x:c>
      <x:c r="W4593" t="n">
        <x:v>0</x:v>
      </x:c>
      <x:c r="X4593" t="str"/>
      <x:c r="Y4593" t="str">
        <x:v>Referral</x:v>
      </x:c>
    </x:row>
    <x:row r="4594">
      <x:c r="A4594" t="str">
        <x:v>O004593</x:v>
      </x:c>
      <x:c r="B4594" s="20" t="n">
        <x:v>45658</x:v>
      </x:c>
      <x:c r="C4594" t="str">
        <x:v>C0241</x:v>
      </x:c>
      <x:c r="D4594" t="str">
        <x:v>Annapurna Restaurant 241</x:v>
      </x:c>
      <x:c r="E4594" t="str">
        <x:v>Hotel</x:v>
      </x:c>
      <x:c r="F4594" t="str">
        <x:v>Tumakuru</x:v>
      </x:c>
      <x:c r="G4594" t="str">
        <x:v>Imran</x:v>
      </x:c>
      <x:c r="H4594" t="str">
        <x:v>P043</x:v>
      </x:c>
      <x:c r="I4594" t="str">
        <x:v>Chicken Breast 1kg</x:v>
      </x:c>
      <x:c r="J4594" t="str">
        <x:v>Protein</x:v>
      </x:c>
      <x:c r="K4594" t="str">
        <x:v>FreshToHome</x:v>
      </x:c>
      <x:c r="L4594" s="22" t="n">
        <x:v>260</x:v>
      </x:c>
      <x:c r="M4594" t="n">
        <x:v>12</x:v>
      </x:c>
      <x:c r="N4594" s="24" t="n">
        <x:v>0.02</x:v>
      </x:c>
      <x:c r="O4594" s="22" t="n">
        <x:f>L4594*M4594</x:f>
        <x:v>3120</x:v>
      </x:c>
      <x:c r="P4594" s="22" t="n">
        <x:f>O4594*(1-N4594)</x:f>
        <x:v>3057.6</x:v>
      </x:c>
      <x:c r="Q4594" s="22" t="n">
        <x:v>235</x:v>
      </x:c>
      <x:c r="R4594" s="22" t="n">
        <x:f>Q4594*M4594</x:f>
        <x:v>2820</x:v>
      </x:c>
      <x:c r="S4594" s="22" t="n">
        <x:f>P4594-R4594</x:f>
        <x:v>237.5999999999999</x:v>
      </x:c>
      <x:c r="T4594" t="str">
        <x:v>Bank Transfer</x:v>
      </x:c>
      <x:c r="U4594" t="str">
        <x:v>Paid</x:v>
      </x:c>
      <x:c r="V4594" t="str">
        <x:v>Delivered</x:v>
      </x:c>
      <x:c r="W4594" t="n">
        <x:v>0</x:v>
      </x:c>
      <x:c r="X4594" t="str"/>
      <x:c r="Y4594" t="str">
        <x:v>Field Visit</x:v>
      </x:c>
    </x:row>
    <x:row r="4595">
      <x:c r="A4595" t="str">
        <x:v>O004594</x:v>
      </x:c>
      <x:c r="B4595" s="20" t="n">
        <x:v>45721</x:v>
      </x:c>
      <x:c r="C4595" t="str">
        <x:v>C0027</x:v>
      </x:c>
      <x:c r="D4595" t="str">
        <x:v>Fresh Cafe 27</x:v>
      </x:c>
      <x:c r="E4595" t="str">
        <x:v>Restaurant</x:v>
      </x:c>
      <x:c r="F4595" t="str">
        <x:v>Tumakuru</x:v>
      </x:c>
      <x:c r="G4595" t="str">
        <x:v>Megha</x:v>
      </x:c>
      <x:c r="H4595" t="str">
        <x:v>P008</x:v>
      </x:c>
      <x:c r="I4595" t="str">
        <x:v>Palm Oil 15L</x:v>
      </x:c>
      <x:c r="J4595" t="str">
        <x:v>Edible Oil</x:v>
      </x:c>
      <x:c r="K4595" t="str">
        <x:v>Ruchi Gold</x:v>
      </x:c>
      <x:c r="L4595" s="22" t="n">
        <x:v>1760</x:v>
      </x:c>
      <x:c r="M4595" t="n">
        <x:v>6</x:v>
      </x:c>
      <x:c r="N4595" s="24" t="n">
        <x:v>0.05</x:v>
      </x:c>
      <x:c r="O4595" s="22" t="n">
        <x:f>L4595*M4595</x:f>
        <x:v>10560</x:v>
      </x:c>
      <x:c r="P4595" s="22" t="n">
        <x:f>O4595*(1-N4595)</x:f>
        <x:v>10032</x:v>
      </x:c>
      <x:c r="Q4595" s="22" t="n">
        <x:v>1610</x:v>
      </x:c>
      <x:c r="R4595" s="22" t="n">
        <x:f>Q4595*M4595</x:f>
        <x:v>9660</x:v>
      </x:c>
      <x:c r="S4595" s="22" t="n">
        <x:f>P4595-R4595</x:f>
        <x:v>372</x:v>
      </x:c>
      <x:c r="T4595" t="str">
        <x:v>Bank Transfer</x:v>
      </x:c>
      <x:c r="U4595" t="str">
        <x:v>Paid</x:v>
      </x:c>
      <x:c r="V4595" t="str">
        <x:v>Delivered</x:v>
      </x:c>
      <x:c r="W4595" t="n">
        <x:v>0</x:v>
      </x:c>
      <x:c r="X4595" t="str"/>
      <x:c r="Y4595" t="str">
        <x:v>WhatsApp</x:v>
      </x:c>
    </x:row>
    <x:row r="4596">
      <x:c r="A4596" t="str">
        <x:v>O004595</x:v>
      </x:c>
      <x:c r="B4596" s="20" t="n">
        <x:v>46177</x:v>
      </x:c>
      <x:c r="C4596" t="str">
        <x:v>C0230</x:v>
      </x:c>
      <x:c r="D4596" t="str">
        <x:v>Darshini Foods 230</x:v>
      </x:c>
      <x:c r="E4596" t="str">
        <x:v>Restaurant</x:v>
      </x:c>
      <x:c r="F4596" t="str">
        <x:v>Davanagere</x:v>
      </x:c>
      <x:c r="G4596" t="str">
        <x:v>Priya</x:v>
      </x:c>
      <x:c r="H4596" t="str">
        <x:v>P042</x:v>
      </x:c>
      <x:c r="I4596" t="str">
        <x:v>Eggs 30pc Tray</x:v>
      </x:c>
      <x:c r="J4596" t="str">
        <x:v>Protein</x:v>
      </x:c>
      <x:c r="K4596" t="str">
        <x:v>Farm Fresh</x:v>
      </x:c>
      <x:c r="L4596" s="22" t="n">
        <x:v>195</x:v>
      </x:c>
      <x:c r="M4596" t="n">
        <x:v>2</x:v>
      </x:c>
      <x:c r="N4596" s="24" t="n">
        <x:v>0.05</x:v>
      </x:c>
      <x:c r="O4596" s="22" t="n">
        <x:f>L4596*M4596</x:f>
        <x:v>390</x:v>
      </x:c>
      <x:c r="P4596" s="22" t="n">
        <x:f>O4596*(1-N4596)</x:f>
        <x:v>370.5</x:v>
      </x:c>
      <x:c r="Q4596" s="22" t="n">
        <x:v>170</x:v>
      </x:c>
      <x:c r="R4596" s="22" t="n">
        <x:f>Q4596*M4596</x:f>
        <x:v>340</x:v>
      </x:c>
      <x:c r="S4596" s="22" t="n">
        <x:f>P4596-R4596</x:f>
        <x:v>30.5</x:v>
      </x:c>
      <x:c r="T4596" t="str">
        <x:v>Cash</x:v>
      </x:c>
      <x:c r="U4596" t="str">
        <x:v>Overdue</x:v>
      </x:c>
      <x:c r="V4596" t="str">
        <x:v>Cancelled</x:v>
      </x:c>
      <x:c r="W4596" t="n">
        <x:v>2</x:v>
      </x:c>
      <x:c r="X4596" t="str">
        <x:v>Cancelled Order</x:v>
      </x:c>
      <x:c r="Y4596" t="str">
        <x:v>Field Visit</x:v>
      </x:c>
    </x:row>
    <x:row r="4597">
      <x:c r="A4597" t="str">
        <x:v>O004596</x:v>
      </x:c>
      <x:c r="B4597" s="20" t="n">
        <x:v>45694</x:v>
      </x:c>
      <x:c r="C4597" t="str">
        <x:v>C0078</x:v>
      </x:c>
      <x:c r="D4597" t="str">
        <x:v>Sagar Canteen 78</x:v>
      </x:c>
      <x:c r="E4597" t="str">
        <x:v>Hotel</x:v>
      </x:c>
      <x:c r="F4597" t="str">
        <x:v>Mangaluru</x:v>
      </x:c>
      <x:c r="G4597" t="str">
        <x:v>Ramesh</x:v>
      </x:c>
      <x:c r="H4597" t="str">
        <x:v>P031</x:v>
      </x:c>
      <x:c r="I4597" t="str">
        <x:v>Chilli Sauce 700g</x:v>
      </x:c>
      <x:c r="J4597" t="str">
        <x:v>Condiments</x:v>
      </x:c>
      <x:c r="K4597" t="str">
        <x:v>Ching's</x:v>
      </x:c>
      <x:c r="L4597" s="22" t="n">
        <x:v>130</x:v>
      </x:c>
      <x:c r="M4597" t="n">
        <x:v>16</x:v>
      </x:c>
      <x:c r="N4597" s="24" t="n">
        <x:v>0</x:v>
      </x:c>
      <x:c r="O4597" s="22" t="n">
        <x:f>L4597*M4597</x:f>
        <x:v>2080</x:v>
      </x:c>
      <x:c r="P4597" s="22" t="n">
        <x:f>O4597*(1-N4597)</x:f>
        <x:v>2080</x:v>
      </x:c>
      <x:c r="Q4597" s="22" t="n">
        <x:v>112</x:v>
      </x:c>
      <x:c r="R4597" s="22" t="n">
        <x:f>Q4597*M4597</x:f>
        <x:v>1792</x:v>
      </x:c>
      <x:c r="S4597" s="22" t="n">
        <x:f>P4597-R4597</x:f>
        <x:v>288</x:v>
      </x:c>
      <x:c r="T4597" t="str">
        <x:v>Cash</x:v>
      </x:c>
      <x:c r="U4597" t="str">
        <x:v>Paid</x:v>
      </x:c>
      <x:c r="V4597" t="str">
        <x:v>Delivered</x:v>
      </x:c>
      <x:c r="W4597" t="n">
        <x:v>0</x:v>
      </x:c>
      <x:c r="X4597" t="str"/>
      <x:c r="Y4597" t="str">
        <x:v>Field Visit</x:v>
      </x:c>
    </x:row>
    <x:row r="4598">
      <x:c r="A4598" t="str">
        <x:v>O004597</x:v>
      </x:c>
      <x:c r="B4598" s="20" t="n">
        <x:v>45682</x:v>
      </x:c>
      <x:c r="C4598" t="str">
        <x:v>C0184</x:v>
      </x:c>
      <x:c r="D4598" t="str">
        <x:v>Namma Restaurant 184</x:v>
      </x:c>
      <x:c r="E4598" t="str">
        <x:v>Cafe</x:v>
      </x:c>
      <x:c r="F4598" t="str">
        <x:v>Hubballi</x:v>
      </x:c>
      <x:c r="G4598" t="str">
        <x:v>Arjun</x:v>
      </x:c>
      <x:c r="H4598" t="str">
        <x:v>P010</x:v>
      </x:c>
      <x:c r="I4598" t="str">
        <x:v>Sugar 25kg</x:v>
      </x:c>
      <x:c r="J4598" t="str">
        <x:v>Staples</x:v>
      </x:c>
      <x:c r="K4598" t="str">
        <x:v>Madhur</x:v>
      </x:c>
      <x:c r="L4598" s="22" t="n">
        <x:v>1190</x:v>
      </x:c>
      <x:c r="M4598" t="n">
        <x:v>6</x:v>
      </x:c>
      <x:c r="N4598" s="24" t="n">
        <x:v>0.02</x:v>
      </x:c>
      <x:c r="O4598" s="22" t="n">
        <x:f>L4598*M4598</x:f>
        <x:v>7140</x:v>
      </x:c>
      <x:c r="P4598" s="22" t="n">
        <x:f>O4598*(1-N4598)</x:f>
        <x:v>6997.2</x:v>
      </x:c>
      <x:c r="Q4598" s="22" t="n">
        <x:v>1080</x:v>
      </x:c>
      <x:c r="R4598" s="22" t="n">
        <x:f>Q4598*M4598</x:f>
        <x:v>6480</x:v>
      </x:c>
      <x:c r="S4598" s="22" t="n">
        <x:f>P4598-R4598</x:f>
        <x:v>517.1999999999998</x:v>
      </x:c>
      <x:c r="T4598" t="str">
        <x:v>Bank Transfer</x:v>
      </x:c>
      <x:c r="U4598" t="str">
        <x:v>Paid</x:v>
      </x:c>
      <x:c r="V4598" t="str">
        <x:v>Delivered</x:v>
      </x:c>
      <x:c r="W4598" t="n">
        <x:v>0</x:v>
      </x:c>
      <x:c r="X4598" t="str"/>
      <x:c r="Y4598" t="str">
        <x:v>Field Visit</x:v>
      </x:c>
    </x:row>
    <x:row r="4599">
      <x:c r="A4599" t="str">
        <x:v>O004598</x:v>
      </x:c>
      <x:c r="B4599" s="20" t="n">
        <x:v>45870</x:v>
      </x:c>
      <x:c r="C4599" t="str">
        <x:v>C0077</x:v>
      </x:c>
      <x:c r="D4599" t="str">
        <x:v>Spice Cafe 77</x:v>
      </x:c>
      <x:c r="E4599" t="str">
        <x:v>Kirana</x:v>
      </x:c>
      <x:c r="F4599" t="str">
        <x:v>Hubballi</x:v>
      </x:c>
      <x:c r="G4599" t="str">
        <x:v>Vikram</x:v>
      </x:c>
      <x:c r="H4599" t="str">
        <x:v>P004</x:v>
      </x:c>
      <x:c r="I4599" t="str">
        <x:v>Toor Dal 5kg</x:v>
      </x:c>
      <x:c r="J4599" t="str">
        <x:v>Pulses</x:v>
      </x:c>
      <x:c r="K4599" t="str">
        <x:v>Tata Sampann</x:v>
      </x:c>
      <x:c r="L4599" s="22" t="n">
        <x:v>780</x:v>
      </x:c>
      <x:c r="M4599" t="n">
        <x:v>31</x:v>
      </x:c>
      <x:c r="N4599" s="24" t="n">
        <x:v>0</x:v>
      </x:c>
      <x:c r="O4599" s="22" t="n">
        <x:f>L4599*M4599</x:f>
        <x:v>24180</x:v>
      </x:c>
      <x:c r="P4599" s="22" t="n">
        <x:f>O4599*(1-N4599)</x:f>
        <x:v>24180</x:v>
      </x:c>
      <x:c r="Q4599" s="22" t="n">
        <x:v>695</x:v>
      </x:c>
      <x:c r="R4599" s="22" t="n">
        <x:f>Q4599*M4599</x:f>
        <x:v>21545</x:v>
      </x:c>
      <x:c r="S4599" s="22" t="n">
        <x:f>P4599-R4599</x:f>
        <x:v>2635</x:v>
      </x:c>
      <x:c r="T4599" t="str">
        <x:v>Bank Transfer</x:v>
      </x:c>
      <x:c r="U4599" t="str">
        <x:v>Pending</x:v>
      </x:c>
      <x:c r="V4599" t="str">
        <x:v>Cancelled</x:v>
      </x:c>
      <x:c r="W4599" t="n">
        <x:v>31</x:v>
      </x:c>
      <x:c r="X4599" t="str">
        <x:v>Cancelled Order</x:v>
      </x:c>
      <x:c r="Y4599" t="str">
        <x:v>Field Visit</x:v>
      </x:c>
    </x:row>
    <x:row r="4600">
      <x:c r="A4600" t="str">
        <x:v>O004599</x:v>
      </x:c>
      <x:c r="B4600" s="20" t="n">
        <x:v>46281</x:v>
      </x:c>
      <x:c r="C4600" t="str">
        <x:v>C0031</x:v>
      </x:c>
      <x:c r="D4600" t="str">
        <x:v>Royal Restaurant 31</x:v>
      </x:c>
      <x:c r="E4600" t="str">
        <x:v>Restaurant</x:v>
      </x:c>
      <x:c r="F4600" t="str">
        <x:v>Mangaluru</x:v>
      </x:c>
      <x:c r="G4600" t="str">
        <x:v>Arjun</x:v>
      </x:c>
      <x:c r="H4600" t="str">
        <x:v>P003</x:v>
      </x:c>
      <x:c r="I4600" t="str">
        <x:v>Basmati Rice 5kg</x:v>
      </x:c>
      <x:c r="J4600" t="str">
        <x:v>Staples</x:v>
      </x:c>
      <x:c r="K4600" t="str">
        <x:v>India Gate</x:v>
      </x:c>
      <x:c r="L4600" s="22" t="n">
        <x:v>690</x:v>
      </x:c>
      <x:c r="M4600" t="n">
        <x:v>5</x:v>
      </x:c>
      <x:c r="N4600" s="24" t="n">
        <x:v>0.02</x:v>
      </x:c>
      <x:c r="O4600" s="22" t="n">
        <x:f>L4600*M4600</x:f>
        <x:v>3450</x:v>
      </x:c>
      <x:c r="P4600" s="22" t="n">
        <x:f>O4600*(1-N4600)</x:f>
        <x:v>3381</x:v>
      </x:c>
      <x:c r="Q4600" s="22" t="n">
        <x:v>610</x:v>
      </x:c>
      <x:c r="R4600" s="22" t="n">
        <x:f>Q4600*M4600</x:f>
        <x:v>3050</x:v>
      </x:c>
      <x:c r="S4600" s="22" t="n">
        <x:f>P4600-R4600</x:f>
        <x:v>331</x:v>
      </x:c>
      <x:c r="T4600" t="str">
        <x:v>Credit</x:v>
      </x:c>
      <x:c r="U4600" t="str">
        <x:v>Paid</x:v>
      </x:c>
      <x:c r="V4600" t="str">
        <x:v>Cancelled</x:v>
      </x:c>
      <x:c r="W4600" t="n">
        <x:v>5</x:v>
      </x:c>
      <x:c r="X4600" t="str">
        <x:v>Cancelled Order</x:v>
      </x:c>
      <x:c r="Y4600" t="str">
        <x:v>Outbound Call</x:v>
      </x:c>
    </x:row>
    <x:row r="4601">
      <x:c r="A4601" t="str">
        <x:v>O004600</x:v>
      </x:c>
      <x:c r="B4601" s="20" t="n">
        <x:v>46031</x:v>
      </x:c>
      <x:c r="C4601" t="str">
        <x:v>C0229</x:v>
      </x:c>
      <x:c r="D4601" t="str">
        <x:v>Namma Canteen 229</x:v>
      </x:c>
      <x:c r="E4601" t="str">
        <x:v>Restaurant</x:v>
      </x:c>
      <x:c r="F4601" t="str">
        <x:v>Bengaluru</x:v>
      </x:c>
      <x:c r="G4601" t="str">
        <x:v>Arjun</x:v>
      </x:c>
      <x:c r="H4601" t="str">
        <x:v>P048</x:v>
      </x:c>
      <x:c r="I4601" t="str">
        <x:v>Banana 10kg</x:v>
      </x:c>
      <x:c r="J4601" t="str">
        <x:v>Fresh Produce</x:v>
      </x:c>
      <x:c r="K4601" t="str">
        <x:v>Local Market</x:v>
      </x:c>
      <x:c r="L4601" s="22" t="n">
        <x:v>420</x:v>
      </x:c>
      <x:c r="M4601" t="n">
        <x:v>16</x:v>
      </x:c>
      <x:c r="N4601" s="24" t="n">
        <x:v>0.05</x:v>
      </x:c>
      <x:c r="O4601" s="22" t="n">
        <x:f>L4601*M4601</x:f>
        <x:v>6720</x:v>
      </x:c>
      <x:c r="P4601" s="22" t="n">
        <x:f>O4601*(1-N4601)</x:f>
        <x:v>6384</x:v>
      </x:c>
      <x:c r="Q4601" s="22" t="n">
        <x:v>350</x:v>
      </x:c>
      <x:c r="R4601" s="22" t="n">
        <x:f>Q4601*M4601</x:f>
        <x:v>5600</x:v>
      </x:c>
      <x:c r="S4601" s="22" t="n">
        <x:f>P4601-R4601</x:f>
        <x:v>784</x:v>
      </x:c>
      <x:c r="T4601" t="str">
        <x:v>UPI</x:v>
      </x:c>
      <x:c r="U4601" t="str">
        <x:v>Pending</x:v>
      </x:c>
      <x:c r="V4601" t="str">
        <x:v>Delivered</x:v>
      </x:c>
      <x:c r="W4601" t="n">
        <x:v>0</x:v>
      </x:c>
      <x:c r="X4601" t="str"/>
      <x:c r="Y4601" t="str">
        <x:v>Field Visit</x:v>
      </x:c>
    </x:row>
    <x:row r="4602">
      <x:c r="A4602" t="str">
        <x:v>O004601</x:v>
      </x:c>
      <x:c r="B4602" s="20" t="n">
        <x:v>46069</x:v>
      </x:c>
      <x:c r="C4602" t="str">
        <x:v>C0221</x:v>
      </x:c>
      <x:c r="D4602" t="str">
        <x:v>Cafe Canteen 221</x:v>
      </x:c>
      <x:c r="E4602" t="str">
        <x:v>Hotel</x:v>
      </x:c>
      <x:c r="F4602" t="str">
        <x:v>Hubballi</x:v>
      </x:c>
      <x:c r="G4602" t="str">
        <x:v>Kavya</x:v>
      </x:c>
      <x:c r="H4602" t="str">
        <x:v>P050</x:v>
      </x:c>
      <x:c r="I4602" t="str">
        <x:v>Lemon 5kg</x:v>
      </x:c>
      <x:c r="J4602" t="str">
        <x:v>Fresh Produce</x:v>
      </x:c>
      <x:c r="K4602" t="str">
        <x:v>Local Market</x:v>
      </x:c>
      <x:c r="L4602" s="22" t="n">
        <x:v>360</x:v>
      </x:c>
      <x:c r="M4602" t="n">
        <x:v>18</x:v>
      </x:c>
      <x:c r="N4602" s="24" t="n">
        <x:v>0.03</x:v>
      </x:c>
      <x:c r="O4602" s="22" t="n">
        <x:f>L4602*M4602</x:f>
        <x:v>6480</x:v>
      </x:c>
      <x:c r="P4602" s="22" t="n">
        <x:f>O4602*(1-N4602)</x:f>
        <x:v>6285.599999999999</x:v>
      </x:c>
      <x:c r="Q4602" s="22" t="n">
        <x:v>300</x:v>
      </x:c>
      <x:c r="R4602" s="22" t="n">
        <x:f>Q4602*M4602</x:f>
        <x:v>5400</x:v>
      </x:c>
      <x:c r="S4602" s="22" t="n">
        <x:f>P4602-R4602</x:f>
        <x:v>885.5999999999995</x:v>
      </x:c>
      <x:c r="T4602" t="str">
        <x:v>Cash</x:v>
      </x:c>
      <x:c r="U4602" t="str">
        <x:v>Paid</x:v>
      </x:c>
      <x:c r="V4602" t="str">
        <x:v>Delivered</x:v>
      </x:c>
      <x:c r="W4602" t="n">
        <x:v>4</x:v>
      </x:c>
      <x:c r="X4602" t="str">
        <x:v>Late Delivery</x:v>
      </x:c>
      <x:c r="Y4602" t="str">
        <x:v>Field Visit</x:v>
      </x:c>
    </x:row>
    <x:row r="4603">
      <x:c r="A4603" t="str">
        <x:v>O004602</x:v>
      </x:c>
      <x:c r="B4603" s="20" t="n">
        <x:v>45896</x:v>
      </x:c>
      <x:c r="C4603" t="str">
        <x:v>C0130</x:v>
      </x:c>
      <x:c r="D4603" t="str">
        <x:v>Foodie Cafe 130</x:v>
      </x:c>
      <x:c r="E4603" t="str">
        <x:v>Restaurant</x:v>
      </x:c>
      <x:c r="F4603" t="str">
        <x:v>Davanagere</x:v>
      </x:c>
      <x:c r="G4603" t="str">
        <x:v>Megha</x:v>
      </x:c>
      <x:c r="H4603" t="str">
        <x:v>P027</x:v>
      </x:c>
      <x:c r="I4603" t="str">
        <x:v>Biscuits 120g</x:v>
      </x:c>
      <x:c r="J4603" t="str">
        <x:v>Snacks</x:v>
      </x:c>
      <x:c r="K4603" t="str">
        <x:v>Parle-G</x:v>
      </x:c>
      <x:c r="L4603" s="22" t="n">
        <x:v>12</x:v>
      </x:c>
      <x:c r="M4603" t="n">
        <x:v>3</x:v>
      </x:c>
      <x:c r="N4603" s="24" t="n">
        <x:v>0.03</x:v>
      </x:c>
      <x:c r="O4603" s="22" t="n">
        <x:f>L4603*M4603</x:f>
        <x:v>36</x:v>
      </x:c>
      <x:c r="P4603" s="22" t="n">
        <x:f>O4603*(1-N4603)</x:f>
        <x:v>34.92</x:v>
      </x:c>
      <x:c r="Q4603" s="22" t="n">
        <x:v>9</x:v>
      </x:c>
      <x:c r="R4603" s="22" t="n">
        <x:f>Q4603*M4603</x:f>
        <x:v>27</x:v>
      </x:c>
      <x:c r="S4603" s="22" t="n">
        <x:f>P4603-R4603</x:f>
        <x:v>7.920000000000002</x:v>
      </x:c>
      <x:c r="T4603" t="str">
        <x:v>UPI</x:v>
      </x:c>
      <x:c r="U4603" t="str">
        <x:v>Paid</x:v>
      </x:c>
      <x:c r="V4603" t="str">
        <x:v>Delivered</x:v>
      </x:c>
      <x:c r="W4603" t="n">
        <x:v>0</x:v>
      </x:c>
      <x:c r="X4603" t="str"/>
      <x:c r="Y4603" t="str">
        <x:v>Outbound Call</x:v>
      </x:c>
    </x:row>
    <x:row r="4604">
      <x:c r="A4604" t="str">
        <x:v>O004603</x:v>
      </x:c>
      <x:c r="B4604" s="20" t="n">
        <x:v>45959</x:v>
      </x:c>
      <x:c r="C4604" t="str">
        <x:v>C0028</x:v>
      </x:c>
      <x:c r="D4604" t="str">
        <x:v>Spice Cafe 28</x:v>
      </x:c>
      <x:c r="E4604" t="str">
        <x:v>Supermarket</x:v>
      </x:c>
      <x:c r="F4604" t="str">
        <x:v>Mysuru</x:v>
      </x:c>
      <x:c r="G4604" t="str">
        <x:v>Vikram</x:v>
      </x:c>
      <x:c r="H4604" t="str">
        <x:v>P009</x:v>
      </x:c>
      <x:c r="I4604" t="str">
        <x:v>Groundnut Oil 5L</x:v>
      </x:c>
      <x:c r="J4604" t="str">
        <x:v>Edible Oil</x:v>
      </x:c>
      <x:c r="K4604" t="str">
        <x:v>Dhara</x:v>
      </x:c>
      <x:c r="L4604" s="22" t="n">
        <x:v>890</x:v>
      </x:c>
      <x:c r="M4604" t="n">
        <x:v>19</x:v>
      </x:c>
      <x:c r="N4604" s="24" t="n">
        <x:v>0.03</x:v>
      </x:c>
      <x:c r="O4604" s="22" t="n">
        <x:f>L4604*M4604</x:f>
        <x:v>16910</x:v>
      </x:c>
      <x:c r="P4604" s="22" t="n">
        <x:f>O4604*(1-N4604)</x:f>
        <x:v>16402.7</x:v>
      </x:c>
      <x:c r="Q4604" s="22" t="n">
        <x:v>810</x:v>
      </x:c>
      <x:c r="R4604" s="22" t="n">
        <x:f>Q4604*M4604</x:f>
        <x:v>15390</x:v>
      </x:c>
      <x:c r="S4604" s="22" t="n">
        <x:f>P4604-R4604</x:f>
        <x:v>1012.7000000000007</x:v>
      </x:c>
      <x:c r="T4604" t="str">
        <x:v>UPI</x:v>
      </x:c>
      <x:c r="U4604" t="str">
        <x:v>Paid</x:v>
      </x:c>
      <x:c r="V4604" t="str">
        <x:v>Delayed</x:v>
      </x:c>
      <x:c r="W4604" t="n">
        <x:v>0</x:v>
      </x:c>
      <x:c r="X4604" t="str"/>
      <x:c r="Y4604" t="str">
        <x:v>Field Visit</x:v>
      </x:c>
    </x:row>
    <x:row r="4605">
      <x:c r="A4605" t="str">
        <x:v>O004604</x:v>
      </x:c>
      <x:c r="B4605" s="20" t="n">
        <x:v>46179</x:v>
      </x:c>
      <x:c r="C4605" t="str">
        <x:v>C0027</x:v>
      </x:c>
      <x:c r="D4605" t="str">
        <x:v>Fresh Cafe 27</x:v>
      </x:c>
      <x:c r="E4605" t="str">
        <x:v>Restaurant</x:v>
      </x:c>
      <x:c r="F4605" t="str">
        <x:v>Tumakuru</x:v>
      </x:c>
      <x:c r="G4605" t="str">
        <x:v>Megha</x:v>
      </x:c>
      <x:c r="H4605" t="str">
        <x:v>P008</x:v>
      </x:c>
      <x:c r="I4605" t="str">
        <x:v>Palm Oil 15L</x:v>
      </x:c>
      <x:c r="J4605" t="str">
        <x:v>Edible Oil</x:v>
      </x:c>
      <x:c r="K4605" t="str">
        <x:v>Ruchi Gold</x:v>
      </x:c>
      <x:c r="L4605" s="22" t="n">
        <x:v>1760</x:v>
      </x:c>
      <x:c r="M4605" t="n">
        <x:v>5</x:v>
      </x:c>
      <x:c r="N4605" s="24" t="n">
        <x:v>0.05</x:v>
      </x:c>
      <x:c r="O4605" s="22" t="n">
        <x:f>L4605*M4605</x:f>
        <x:v>8800</x:v>
      </x:c>
      <x:c r="P4605" s="22" t="n">
        <x:f>O4605*(1-N4605)</x:f>
        <x:v>8360</x:v>
      </x:c>
      <x:c r="Q4605" s="22" t="n">
        <x:v>1610</x:v>
      </x:c>
      <x:c r="R4605" s="22" t="n">
        <x:f>Q4605*M4605</x:f>
        <x:v>8050</x:v>
      </x:c>
      <x:c r="S4605" s="22" t="n">
        <x:f>P4605-R4605</x:f>
        <x:v>310</x:v>
      </x:c>
      <x:c r="T4605" t="str">
        <x:v>UPI</x:v>
      </x:c>
      <x:c r="U4605" t="str">
        <x:v>Paid</x:v>
      </x:c>
      <x:c r="V4605" t="str">
        <x:v>Delivered</x:v>
      </x:c>
      <x:c r="W4605" t="n">
        <x:v>0</x:v>
      </x:c>
      <x:c r="X4605" t="str"/>
      <x:c r="Y4605" t="str">
        <x:v>Outbound Call</x:v>
      </x:c>
    </x:row>
    <x:row r="4606">
      <x:c r="A4606" t="str">
        <x:v>O004605</x:v>
      </x:c>
      <x:c r="B4606" s="20" t="n">
        <x:v>45721</x:v>
      </x:c>
      <x:c r="C4606" t="str">
        <x:v>C0200</x:v>
      </x:c>
      <x:c r="D4606" t="str">
        <x:v>Sagar Kitchen 200</x:v>
      </x:c>
      <x:c r="E4606" t="str">
        <x:v>Cafe</x:v>
      </x:c>
      <x:c r="F4606" t="str">
        <x:v>Bengaluru</x:v>
      </x:c>
      <x:c r="G4606" t="str">
        <x:v>Arjun</x:v>
      </x:c>
      <x:c r="H4606" t="str">
        <x:v>P047</x:v>
      </x:c>
      <x:c r="I4606" t="str">
        <x:v>Tomato 25kg</x:v>
      </x:c>
      <x:c r="J4606" t="str">
        <x:v>Fresh Produce</x:v>
      </x:c>
      <x:c r="K4606" t="str">
        <x:v>Local Market</x:v>
      </x:c>
      <x:c r="L4606" s="22" t="n">
        <x:v>950</x:v>
      </x:c>
      <x:c r="M4606" t="n">
        <x:v>29</x:v>
      </x:c>
      <x:c r="N4606" s="24" t="n">
        <x:v>0</x:v>
      </x:c>
      <x:c r="O4606" s="22" t="n">
        <x:f>L4606*M4606</x:f>
        <x:v>27550</x:v>
      </x:c>
      <x:c r="P4606" s="22" t="n">
        <x:f>O4606*(1-N4606)</x:f>
        <x:v>27550</x:v>
      </x:c>
      <x:c r="Q4606" s="22" t="n">
        <x:v>810</x:v>
      </x:c>
      <x:c r="R4606" s="22" t="n">
        <x:f>Q4606*M4606</x:f>
        <x:v>23490</x:v>
      </x:c>
      <x:c r="S4606" s="22" t="n">
        <x:f>P4606-R4606</x:f>
        <x:v>4060</x:v>
      </x:c>
      <x:c r="T4606" t="str">
        <x:v>Bank Transfer</x:v>
      </x:c>
      <x:c r="U4606" t="str">
        <x:v>Paid</x:v>
      </x:c>
      <x:c r="V4606" t="str">
        <x:v>Cancelled</x:v>
      </x:c>
      <x:c r="W4606" t="n">
        <x:v>29</x:v>
      </x:c>
      <x:c r="X4606" t="str">
        <x:v>Cancelled Order</x:v>
      </x:c>
      <x:c r="Y4606" t="str">
        <x:v>Field Visit</x:v>
      </x:c>
    </x:row>
    <x:row r="4607">
      <x:c r="A4607" t="str">
        <x:v>O004606</x:v>
      </x:c>
      <x:c r="B4607" s="20" t="n">
        <x:v>45948</x:v>
      </x:c>
      <x:c r="C4607" t="str">
        <x:v>C0045</x:v>
      </x:c>
      <x:c r="D4607" t="str">
        <x:v>Annapurna Restaurant 45</x:v>
      </x:c>
      <x:c r="E4607" t="str">
        <x:v>Kirana</x:v>
      </x:c>
      <x:c r="F4607" t="str">
        <x:v>Mysuru</x:v>
      </x:c>
      <x:c r="G4607" t="str">
        <x:v>Arjun</x:v>
      </x:c>
      <x:c r="H4607" t="str">
        <x:v>P002</x:v>
      </x:c>
      <x:c r="I4607" t="str">
        <x:v>Sona Masoori Rice 25kg</x:v>
      </x:c>
      <x:c r="J4607" t="str">
        <x:v>Staples</x:v>
      </x:c>
      <x:c r="K4607" t="str">
        <x:v>Fortune</x:v>
      </x:c>
      <x:c r="L4607" s="22" t="n">
        <x:v>1320</x:v>
      </x:c>
      <x:c r="M4607" t="n">
        <x:v>10</x:v>
      </x:c>
      <x:c r="N4607" s="24" t="n">
        <x:v>0</x:v>
      </x:c>
      <x:c r="O4607" s="22" t="n">
        <x:f>L4607*M4607</x:f>
        <x:v>13200</x:v>
      </x:c>
      <x:c r="P4607" s="22" t="n">
        <x:f>O4607*(1-N4607)</x:f>
        <x:v>13200</x:v>
      </x:c>
      <x:c r="Q4607" s="22" t="n">
        <x:v>1160</x:v>
      </x:c>
      <x:c r="R4607" s="22" t="n">
        <x:f>Q4607*M4607</x:f>
        <x:v>11600</x:v>
      </x:c>
      <x:c r="S4607" s="22" t="n">
        <x:f>P4607-R4607</x:f>
        <x:v>1600</x:v>
      </x:c>
      <x:c r="T4607" t="str">
        <x:v>Credit</x:v>
      </x:c>
      <x:c r="U4607" t="str">
        <x:v>Paid</x:v>
      </x:c>
      <x:c r="V4607" t="str">
        <x:v>Delivered</x:v>
      </x:c>
      <x:c r="W4607" t="n">
        <x:v>0</x:v>
      </x:c>
      <x:c r="X4607" t="str"/>
      <x:c r="Y4607" t="str">
        <x:v>Outbound Call</x:v>
      </x:c>
    </x:row>
    <x:row r="4608">
      <x:c r="A4608" t="str">
        <x:v>O004607</x:v>
      </x:c>
      <x:c r="B4608" s="20" t="n">
        <x:v>45939</x:v>
      </x:c>
      <x:c r="C4608" t="str">
        <x:v>C0011</x:v>
      </x:c>
      <x:c r="D4608" t="str">
        <x:v>City Cafe 11</x:v>
      </x:c>
      <x:c r="E4608" t="str">
        <x:v>Restaurant</x:v>
      </x:c>
      <x:c r="F4608" t="str">
        <x:v>Mangaluru</x:v>
      </x:c>
      <x:c r="G4608" t="str">
        <x:v>Arjun</x:v>
      </x:c>
      <x:c r="H4608" t="str">
        <x:v>P043</x:v>
      </x:c>
      <x:c r="I4608" t="str">
        <x:v>Chicken Breast 1kg</x:v>
      </x:c>
      <x:c r="J4608" t="str">
        <x:v>Protein</x:v>
      </x:c>
      <x:c r="K4608" t="str">
        <x:v>FreshToHome</x:v>
      </x:c>
      <x:c r="L4608" s="22" t="n">
        <x:v>260</x:v>
      </x:c>
      <x:c r="M4608" t="n">
        <x:v>14</x:v>
      </x:c>
      <x:c r="N4608" s="24" t="n">
        <x:v>0</x:v>
      </x:c>
      <x:c r="O4608" s="22" t="n">
        <x:f>L4608*M4608</x:f>
        <x:v>3640</x:v>
      </x:c>
      <x:c r="P4608" s="22" t="n">
        <x:f>O4608*(1-N4608)</x:f>
        <x:v>3640</x:v>
      </x:c>
      <x:c r="Q4608" s="22" t="n">
        <x:v>235</x:v>
      </x:c>
      <x:c r="R4608" s="22" t="n">
        <x:f>Q4608*M4608</x:f>
        <x:v>3290</x:v>
      </x:c>
      <x:c r="S4608" s="22" t="n">
        <x:f>P4608-R4608</x:f>
        <x:v>350</x:v>
      </x:c>
      <x:c r="T4608" t="str">
        <x:v>Cash</x:v>
      </x:c>
      <x:c r="U4608" t="str">
        <x:v>Paid</x:v>
      </x:c>
      <x:c r="V4608" t="str">
        <x:v>Delivered</x:v>
      </x:c>
      <x:c r="W4608" t="n">
        <x:v>0</x:v>
      </x:c>
      <x:c r="X4608" t="str"/>
      <x:c r="Y4608" t="str">
        <x:v>Field Visit</x:v>
      </x:c>
    </x:row>
    <x:row r="4609">
      <x:c r="A4609" t="str">
        <x:v>O004608</x:v>
      </x:c>
      <x:c r="B4609" s="20" t="n">
        <x:v>46220</x:v>
      </x:c>
      <x:c r="C4609" t="str">
        <x:v>C0132</x:v>
      </x:c>
      <x:c r="D4609" t="str">
        <x:v>Classic Stores 132</x:v>
      </x:c>
      <x:c r="E4609" t="str">
        <x:v>Cafe</x:v>
      </x:c>
      <x:c r="F4609" t="str">
        <x:v>Mysuru</x:v>
      </x:c>
      <x:c r="G4609" t="str">
        <x:v>Megha</x:v>
      </x:c>
      <x:c r="H4609" t="str">
        <x:v>P030</x:v>
      </x:c>
      <x:c r="I4609" t="str">
        <x:v>Mayonnaise 1kg</x:v>
      </x:c>
      <x:c r="J4609" t="str">
        <x:v>Condiments</x:v>
      </x:c>
      <x:c r="K4609" t="str">
        <x:v>Veeba</x:v>
      </x:c>
      <x:c r="L4609" s="22" t="n">
        <x:v>210</x:v>
      </x:c>
      <x:c r="M4609" t="n">
        <x:v>21</x:v>
      </x:c>
      <x:c r="N4609" s="24" t="n">
        <x:v>0</x:v>
      </x:c>
      <x:c r="O4609" s="22" t="n">
        <x:f>L4609*M4609</x:f>
        <x:v>4410</x:v>
      </x:c>
      <x:c r="P4609" s="22" t="n">
        <x:f>O4609*(1-N4609)</x:f>
        <x:v>4410</x:v>
      </x:c>
      <x:c r="Q4609" s="22" t="n">
        <x:v>185</x:v>
      </x:c>
      <x:c r="R4609" s="22" t="n">
        <x:f>Q4609*M4609</x:f>
        <x:v>3885</x:v>
      </x:c>
      <x:c r="S4609" s="22" t="n">
        <x:f>P4609-R4609</x:f>
        <x:v>525</x:v>
      </x:c>
      <x:c r="T4609" t="str">
        <x:v>Credit</x:v>
      </x:c>
      <x:c r="U4609" t="str">
        <x:v>Paid</x:v>
      </x:c>
      <x:c r="V4609" t="str">
        <x:v>Delivered</x:v>
      </x:c>
      <x:c r="W4609" t="n">
        <x:v>0</x:v>
      </x:c>
      <x:c r="X4609" t="str"/>
      <x:c r="Y4609" t="str">
        <x:v>Field Visit</x:v>
      </x:c>
    </x:row>
    <x:row r="4610">
      <x:c r="A4610" t="str">
        <x:v>O004609</x:v>
      </x:c>
      <x:c r="B4610" s="20" t="n">
        <x:v>45929</x:v>
      </x:c>
      <x:c r="C4610" t="str">
        <x:v>C0069</x:v>
      </x:c>
      <x:c r="D4610" t="str">
        <x:v>Cafe Hotel 69</x:v>
      </x:c>
      <x:c r="E4610" t="str">
        <x:v>Supermarket</x:v>
      </x:c>
      <x:c r="F4610" t="str">
        <x:v>Bengaluru</x:v>
      </x:c>
      <x:c r="G4610" t="str">
        <x:v>Sneha</x:v>
      </x:c>
      <x:c r="H4610" t="str">
        <x:v>P008</x:v>
      </x:c>
      <x:c r="I4610" t="str">
        <x:v>Palm Oil 15L</x:v>
      </x:c>
      <x:c r="J4610" t="str">
        <x:v>Edible Oil</x:v>
      </x:c>
      <x:c r="K4610" t="str">
        <x:v>Ruchi Gold</x:v>
      </x:c>
      <x:c r="L4610" s="22" t="n">
        <x:v>1760</x:v>
      </x:c>
      <x:c r="M4610" t="n">
        <x:v>4</x:v>
      </x:c>
      <x:c r="N4610" s="24" t="n">
        <x:v>0.02</x:v>
      </x:c>
      <x:c r="O4610" s="22" t="n">
        <x:f>L4610*M4610</x:f>
        <x:v>7040</x:v>
      </x:c>
      <x:c r="P4610" s="22" t="n">
        <x:f>O4610*(1-N4610)</x:f>
        <x:v>6899.2</x:v>
      </x:c>
      <x:c r="Q4610" s="22" t="n">
        <x:v>1610</x:v>
      </x:c>
      <x:c r="R4610" s="22" t="n">
        <x:f>Q4610*M4610</x:f>
        <x:v>6440</x:v>
      </x:c>
      <x:c r="S4610" s="22" t="n">
        <x:f>P4610-R4610</x:f>
        <x:v>459.1999999999998</x:v>
      </x:c>
      <x:c r="T4610" t="str">
        <x:v>UPI</x:v>
      </x:c>
      <x:c r="U4610" t="str">
        <x:v>Paid</x:v>
      </x:c>
      <x:c r="V4610" t="str">
        <x:v>Delivered</x:v>
      </x:c>
      <x:c r="W4610" t="n">
        <x:v>0</x:v>
      </x:c>
      <x:c r="X4610" t="str"/>
      <x:c r="Y4610" t="str">
        <x:v>Outbound Call</x:v>
      </x:c>
    </x:row>
    <x:row r="4611">
      <x:c r="A4611" t="str">
        <x:v>O004610</x:v>
      </x:c>
      <x:c r="B4611" s="20" t="n">
        <x:v>46143</x:v>
      </x:c>
      <x:c r="C4611" t="str">
        <x:v>C0034</x:v>
      </x:c>
      <x:c r="D4611" t="str">
        <x:v>City Restaurant 34</x:v>
      </x:c>
      <x:c r="E4611" t="str">
        <x:v>Restaurant</x:v>
      </x:c>
      <x:c r="F4611" t="str">
        <x:v>Mangaluru</x:v>
      </x:c>
      <x:c r="G4611" t="str">
        <x:v>Sneha</x:v>
      </x:c>
      <x:c r="H4611" t="str">
        <x:v>P030</x:v>
      </x:c>
      <x:c r="I4611" t="str">
        <x:v>Mayonnaise 1kg</x:v>
      </x:c>
      <x:c r="J4611" t="str">
        <x:v>Condiments</x:v>
      </x:c>
      <x:c r="K4611" t="str">
        <x:v>Veeba</x:v>
      </x:c>
      <x:c r="L4611" s="22" t="n">
        <x:v>210</x:v>
      </x:c>
      <x:c r="M4611" t="n">
        <x:v>4</x:v>
      </x:c>
      <x:c r="N4611" s="24" t="n">
        <x:v>0.05</x:v>
      </x:c>
      <x:c r="O4611" s="22" t="n">
        <x:f>L4611*M4611</x:f>
        <x:v>840</x:v>
      </x:c>
      <x:c r="P4611" s="22" t="n">
        <x:f>O4611*(1-N4611)</x:f>
        <x:v>798</x:v>
      </x:c>
      <x:c r="Q4611" s="22" t="n">
        <x:v>185</x:v>
      </x:c>
      <x:c r="R4611" s="22" t="n">
        <x:f>Q4611*M4611</x:f>
        <x:v>740</x:v>
      </x:c>
      <x:c r="S4611" s="22" t="n">
        <x:f>P4611-R4611</x:f>
        <x:v>58</x:v>
      </x:c>
      <x:c r="T4611" t="str">
        <x:v>UPI</x:v>
      </x:c>
      <x:c r="U4611" t="str">
        <x:v>Paid</x:v>
      </x:c>
      <x:c r="V4611" t="str">
        <x:v>Delivered</x:v>
      </x:c>
      <x:c r="W4611" t="n">
        <x:v>0</x:v>
      </x:c>
      <x:c r="X4611" t="str"/>
      <x:c r="Y4611" t="str">
        <x:v>Outbound Call</x:v>
      </x:c>
    </x:row>
    <x:row r="4612">
      <x:c r="A4612" t="str">
        <x:v>O004611</x:v>
      </x:c>
      <x:c r="B4612" s="20" t="n">
        <x:v>45778</x:v>
      </x:c>
      <x:c r="C4612" t="str">
        <x:v>C0086</x:v>
      </x:c>
      <x:c r="D4612" t="str">
        <x:v>Foodie Canteen 86</x:v>
      </x:c>
      <x:c r="E4612" t="str">
        <x:v>Kirana</x:v>
      </x:c>
      <x:c r="F4612" t="str">
        <x:v>Hubballi</x:v>
      </x:c>
      <x:c r="G4612" t="str">
        <x:v>Sneha</x:v>
      </x:c>
      <x:c r="H4612" t="str">
        <x:v>P008</x:v>
      </x:c>
      <x:c r="I4612" t="str">
        <x:v>Palm Oil 15L</x:v>
      </x:c>
      <x:c r="J4612" t="str">
        <x:v>Edible Oil</x:v>
      </x:c>
      <x:c r="K4612" t="str">
        <x:v>Ruchi Gold</x:v>
      </x:c>
      <x:c r="L4612" s="22" t="n">
        <x:v>1760</x:v>
      </x:c>
      <x:c r="M4612" t="n">
        <x:v>12</x:v>
      </x:c>
      <x:c r="N4612" s="24" t="n">
        <x:v>0.03</x:v>
      </x:c>
      <x:c r="O4612" s="22" t="n">
        <x:f>L4612*M4612</x:f>
        <x:v>21120</x:v>
      </x:c>
      <x:c r="P4612" s="22" t="n">
        <x:f>O4612*(1-N4612)</x:f>
        <x:v>20486.399999999998</x:v>
      </x:c>
      <x:c r="Q4612" s="22" t="n">
        <x:v>1610</x:v>
      </x:c>
      <x:c r="R4612" s="22" t="n">
        <x:f>Q4612*M4612</x:f>
        <x:v>19320</x:v>
      </x:c>
      <x:c r="S4612" s="22" t="n">
        <x:f>P4612-R4612</x:f>
        <x:v>1166.3999999999978</x:v>
      </x:c>
      <x:c r="T4612" t="str">
        <x:v>Credit</x:v>
      </x:c>
      <x:c r="U4612" t="str">
        <x:v>Pending</x:v>
      </x:c>
      <x:c r="V4612" t="str">
        <x:v>Delivered</x:v>
      </x:c>
      <x:c r="W4612" t="n">
        <x:v>0</x:v>
      </x:c>
      <x:c r="X4612" t="str"/>
      <x:c r="Y4612" t="str">
        <x:v>Field Visit</x:v>
      </x:c>
    </x:row>
    <x:row r="4613">
      <x:c r="A4613" t="str">
        <x:v>O004612</x:v>
      </x:c>
      <x:c r="B4613" s="20" t="n">
        <x:v>45694</x:v>
      </x:c>
      <x:c r="C4613" t="str">
        <x:v>C0068</x:v>
      </x:c>
      <x:c r="D4613" t="str">
        <x:v>Fresh Canteen 68</x:v>
      </x:c>
      <x:c r="E4613" t="str">
        <x:v>Kirana</x:v>
      </x:c>
      <x:c r="F4613" t="str">
        <x:v>Davanagere</x:v>
      </x:c>
      <x:c r="G4613" t="str">
        <x:v>Arjun</x:v>
      </x:c>
      <x:c r="H4613" t="str">
        <x:v>P008</x:v>
      </x:c>
      <x:c r="I4613" t="str">
        <x:v>Palm Oil 15L</x:v>
      </x:c>
      <x:c r="J4613" t="str">
        <x:v>Edible Oil</x:v>
      </x:c>
      <x:c r="K4613" t="str">
        <x:v>Ruchi Gold</x:v>
      </x:c>
      <x:c r="L4613" s="22" t="n">
        <x:v>1760</x:v>
      </x:c>
      <x:c r="M4613" t="n">
        <x:v>2</x:v>
      </x:c>
      <x:c r="N4613" s="24" t="n">
        <x:v>0.05</x:v>
      </x:c>
      <x:c r="O4613" s="22" t="n">
        <x:f>L4613*M4613</x:f>
        <x:v>3520</x:v>
      </x:c>
      <x:c r="P4613" s="22" t="n">
        <x:f>O4613*(1-N4613)</x:f>
        <x:v>3344</x:v>
      </x:c>
      <x:c r="Q4613" s="22" t="n">
        <x:v>1610</x:v>
      </x:c>
      <x:c r="R4613" s="22" t="n">
        <x:f>Q4613*M4613</x:f>
        <x:v>3220</x:v>
      </x:c>
      <x:c r="S4613" s="22" t="n">
        <x:f>P4613-R4613</x:f>
        <x:v>124</x:v>
      </x:c>
      <x:c r="T4613" t="str">
        <x:v>Credit</x:v>
      </x:c>
      <x:c r="U4613" t="str">
        <x:v>Overdue</x:v>
      </x:c>
      <x:c r="V4613" t="str">
        <x:v>Delivered</x:v>
      </x:c>
      <x:c r="W4613" t="n">
        <x:v>0</x:v>
      </x:c>
      <x:c r="X4613" t="str"/>
      <x:c r="Y4613" t="str">
        <x:v>WhatsApp</x:v>
      </x:c>
    </x:row>
    <x:row r="4614">
      <x:c r="A4614" t="str">
        <x:v>O004613</x:v>
      </x:c>
      <x:c r="B4614" s="20" t="n">
        <x:v>45878</x:v>
      </x:c>
      <x:c r="C4614" t="str">
        <x:v>C0082</x:v>
      </x:c>
      <x:c r="D4614" t="str">
        <x:v>City Foods 82</x:v>
      </x:c>
      <x:c r="E4614" t="str">
        <x:v>Hotel</x:v>
      </x:c>
      <x:c r="F4614" t="str">
        <x:v>Mangaluru</x:v>
      </x:c>
      <x:c r="G4614" t="str">
        <x:v>Kavya</x:v>
      </x:c>
      <x:c r="H4614" t="str">
        <x:v>P023</x:v>
      </x:c>
      <x:c r="I4614" t="str">
        <x:v>Cola 750ml</x:v>
      </x:c>
      <x:c r="J4614" t="str">
        <x:v>Beverage</x:v>
      </x:c>
      <x:c r="K4614" t="str">
        <x:v>Coca-Cola</x:v>
      </x:c>
      <x:c r="L4614" s="22" t="n">
        <x:v>38</x:v>
      </x:c>
      <x:c r="M4614" t="n">
        <x:v>8</x:v>
      </x:c>
      <x:c r="N4614" s="24" t="n">
        <x:v>0.05</x:v>
      </x:c>
      <x:c r="O4614" s="22" t="n">
        <x:f>L4614*M4614</x:f>
        <x:v>304</x:v>
      </x:c>
      <x:c r="P4614" s="22" t="n">
        <x:f>O4614*(1-N4614)</x:f>
        <x:v>288.8</x:v>
      </x:c>
      <x:c r="Q4614" s="22" t="n">
        <x:v>31</x:v>
      </x:c>
      <x:c r="R4614" s="22" t="n">
        <x:f>Q4614*M4614</x:f>
        <x:v>248</x:v>
      </x:c>
      <x:c r="S4614" s="22" t="n">
        <x:f>P4614-R4614</x:f>
        <x:v>40.80000000000001</x:v>
      </x:c>
      <x:c r="T4614" t="str">
        <x:v>UPI</x:v>
      </x:c>
      <x:c r="U4614" t="str">
        <x:v>Paid</x:v>
      </x:c>
      <x:c r="V4614" t="str">
        <x:v>Delivered</x:v>
      </x:c>
      <x:c r="W4614" t="n">
        <x:v>0</x:v>
      </x:c>
      <x:c r="X4614" t="str"/>
      <x:c r="Y4614" t="str">
        <x:v>Referral</x:v>
      </x:c>
    </x:row>
    <x:row r="4615">
      <x:c r="A4615" t="str">
        <x:v>O004614</x:v>
      </x:c>
      <x:c r="B4615" s="20" t="n">
        <x:v>45987</x:v>
      </x:c>
      <x:c r="C4615" t="str">
        <x:v>C0113</x:v>
      </x:c>
      <x:c r="D4615" t="str">
        <x:v>Namma Mart 113</x:v>
      </x:c>
      <x:c r="E4615" t="str">
        <x:v>Restaurant</x:v>
      </x:c>
      <x:c r="F4615" t="str">
        <x:v>Bengaluru</x:v>
      </x:c>
      <x:c r="G4615" t="str">
        <x:v>Imran</x:v>
      </x:c>
      <x:c r="H4615" t="str">
        <x:v>P010</x:v>
      </x:c>
      <x:c r="I4615" t="str">
        <x:v>Sugar 25kg</x:v>
      </x:c>
      <x:c r="J4615" t="str">
        <x:v>Staples</x:v>
      </x:c>
      <x:c r="K4615" t="str">
        <x:v>Madhur</x:v>
      </x:c>
      <x:c r="L4615" s="22" t="n">
        <x:v>1190</x:v>
      </x:c>
      <x:c r="M4615" t="n">
        <x:v>9</x:v>
      </x:c>
      <x:c r="N4615" s="24" t="n">
        <x:v>0.05</x:v>
      </x:c>
      <x:c r="O4615" s="22" t="n">
        <x:f>L4615*M4615</x:f>
        <x:v>10710</x:v>
      </x:c>
      <x:c r="P4615" s="22" t="n">
        <x:f>O4615*(1-N4615)</x:f>
        <x:v>10174.5</x:v>
      </x:c>
      <x:c r="Q4615" s="22" t="n">
        <x:v>1080</x:v>
      </x:c>
      <x:c r="R4615" s="22" t="n">
        <x:f>Q4615*M4615</x:f>
        <x:v>9720</x:v>
      </x:c>
      <x:c r="S4615" s="22" t="n">
        <x:f>P4615-R4615</x:f>
        <x:v>454.5</x:v>
      </x:c>
      <x:c r="T4615" t="str">
        <x:v>Cash</x:v>
      </x:c>
      <x:c r="U4615" t="str">
        <x:v>Paid</x:v>
      </x:c>
      <x:c r="V4615" t="str">
        <x:v>Cancelled</x:v>
      </x:c>
      <x:c r="W4615" t="n">
        <x:v>9</x:v>
      </x:c>
      <x:c r="X4615" t="str">
        <x:v>Cancelled Order</x:v>
      </x:c>
      <x:c r="Y4615" t="str">
        <x:v>Referral</x:v>
      </x:c>
    </x:row>
    <x:row r="4616">
      <x:c r="A4616" t="str">
        <x:v>O004615</x:v>
      </x:c>
      <x:c r="B4616" s="20" t="n">
        <x:v>46187</x:v>
      </x:c>
      <x:c r="C4616" t="str">
        <x:v>C0006</x:v>
      </x:c>
      <x:c r="D4616" t="str">
        <x:v>New Restaurant 6</x:v>
      </x:c>
      <x:c r="E4616" t="str">
        <x:v>Kirana</x:v>
      </x:c>
      <x:c r="F4616" t="str">
        <x:v>Hubballi</x:v>
      </x:c>
      <x:c r="G4616" t="str">
        <x:v>Vikram</x:v>
      </x:c>
      <x:c r="H4616" t="str">
        <x:v>P036</x:v>
      </x:c>
      <x:c r="I4616" t="str">
        <x:v>Garam Masala 500g</x:v>
      </x:c>
      <x:c r="J4616" t="str">
        <x:v>Spices</x:v>
      </x:c>
      <x:c r="K4616" t="str">
        <x:v>MDH</x:v>
      </x:c>
      <x:c r="L4616" s="22" t="n">
        <x:v>265</x:v>
      </x:c>
      <x:c r="M4616" t="n">
        <x:v>28</x:v>
      </x:c>
      <x:c r="N4616" s="24" t="n">
        <x:v>0.05</x:v>
      </x:c>
      <x:c r="O4616" s="22" t="n">
        <x:f>L4616*M4616</x:f>
        <x:v>7420</x:v>
      </x:c>
      <x:c r="P4616" s="22" t="n">
        <x:f>O4616*(1-N4616)</x:f>
        <x:v>7049</x:v>
      </x:c>
      <x:c r="Q4616" s="22" t="n">
        <x:v>230</x:v>
      </x:c>
      <x:c r="R4616" s="22" t="n">
        <x:f>Q4616*M4616</x:f>
        <x:v>6440</x:v>
      </x:c>
      <x:c r="S4616" s="22" t="n">
        <x:f>P4616-R4616</x:f>
        <x:v>609</x:v>
      </x:c>
      <x:c r="T4616" t="str">
        <x:v>UPI</x:v>
      </x:c>
      <x:c r="U4616" t="str">
        <x:v>Pending</x:v>
      </x:c>
      <x:c r="V4616" t="str">
        <x:v>Delivered</x:v>
      </x:c>
      <x:c r="W4616" t="n">
        <x:v>0</x:v>
      </x:c>
      <x:c r="X4616" t="str"/>
      <x:c r="Y4616" t="str">
        <x:v>Referral</x:v>
      </x:c>
    </x:row>
    <x:row r="4617">
      <x:c r="A4617" t="str">
        <x:v>O004616</x:v>
      </x:c>
      <x:c r="B4617" s="20" t="n">
        <x:v>45898</x:v>
      </x:c>
      <x:c r="C4617" t="str">
        <x:v>C0242</x:v>
      </x:c>
      <x:c r="D4617" t="str">
        <x:v>Fresh Cafe 242</x:v>
      </x:c>
      <x:c r="E4617" t="str">
        <x:v>Canteen</x:v>
      </x:c>
      <x:c r="F4617" t="str">
        <x:v>Davanagere</x:v>
      </x:c>
      <x:c r="G4617" t="str">
        <x:v>Kavya</x:v>
      </x:c>
      <x:c r="H4617" t="str">
        <x:v>P015</x:v>
      </x:c>
      <x:c r="I4617" t="str">
        <x:v>Milk 1L</x:v>
      </x:c>
      <x:c r="J4617" t="str">
        <x:v>Dairy</x:v>
      </x:c>
      <x:c r="K4617" t="str">
        <x:v>Nandini</x:v>
      </x:c>
      <x:c r="L4617" s="22" t="n">
        <x:v>48</x:v>
      </x:c>
      <x:c r="M4617" t="n">
        <x:v>27</x:v>
      </x:c>
      <x:c r="N4617" s="24" t="n">
        <x:v>0</x:v>
      </x:c>
      <x:c r="O4617" s="22" t="n">
        <x:f>L4617*M4617</x:f>
        <x:v>1296</x:v>
      </x:c>
      <x:c r="P4617" s="22" t="n">
        <x:f>O4617*(1-N4617)</x:f>
        <x:v>1296</x:v>
      </x:c>
      <x:c r="Q4617" s="22" t="n">
        <x:v>43</x:v>
      </x:c>
      <x:c r="R4617" s="22" t="n">
        <x:f>Q4617*M4617</x:f>
        <x:v>1161</x:v>
      </x:c>
      <x:c r="S4617" s="22" t="n">
        <x:f>P4617-R4617</x:f>
        <x:v>135</x:v>
      </x:c>
      <x:c r="T4617" t="str">
        <x:v>UPI</x:v>
      </x:c>
      <x:c r="U4617" t="str">
        <x:v>Overdue</x:v>
      </x:c>
      <x:c r="V4617" t="str">
        <x:v>Delayed</x:v>
      </x:c>
      <x:c r="W4617" t="n">
        <x:v>0</x:v>
      </x:c>
      <x:c r="X4617" t="str"/>
      <x:c r="Y4617" t="str">
        <x:v>Existing Customer</x:v>
      </x:c>
    </x:row>
    <x:row r="4618">
      <x:c r="A4618" t="str">
        <x:v>O004617</x:v>
      </x:c>
      <x:c r="B4618" s="20" t="n">
        <x:v>46262</x:v>
      </x:c>
      <x:c r="C4618" t="str">
        <x:v>C0201</x:v>
      </x:c>
      <x:c r="D4618" t="str">
        <x:v>Metro Hotel 201</x:v>
      </x:c>
      <x:c r="E4618" t="str">
        <x:v>Kirana</x:v>
      </x:c>
      <x:c r="F4618" t="str">
        <x:v>Mysuru</x:v>
      </x:c>
      <x:c r="G4618" t="str">
        <x:v>Imran</x:v>
      </x:c>
      <x:c r="H4618" t="str">
        <x:v>P005</x:v>
      </x:c>
      <x:c r="I4618" t="str">
        <x:v>Chana Dal 5kg</x:v>
      </x:c>
      <x:c r="J4618" t="str">
        <x:v>Pulses</x:v>
      </x:c>
      <x:c r="K4618" t="str">
        <x:v>Local Select</x:v>
      </x:c>
      <x:c r="L4618" s="22" t="n">
        <x:v>520</x:v>
      </x:c>
      <x:c r="M4618" t="n">
        <x:v>7</x:v>
      </x:c>
      <x:c r="N4618" s="24" t="n">
        <x:v>0.08</x:v>
      </x:c>
      <x:c r="O4618" s="22" t="n">
        <x:f>L4618*M4618</x:f>
        <x:v>3640</x:v>
      </x:c>
      <x:c r="P4618" s="22" t="n">
        <x:f>O4618*(1-N4618)</x:f>
        <x:v>3348.8</x:v>
      </x:c>
      <x:c r="Q4618" s="22" t="n">
        <x:v>455</x:v>
      </x:c>
      <x:c r="R4618" s="22" t="n">
        <x:f>Q4618*M4618</x:f>
        <x:v>3185</x:v>
      </x:c>
      <x:c r="S4618" s="22" t="n">
        <x:f>P4618-R4618</x:f>
        <x:v>163.80000000000018</x:v>
      </x:c>
      <x:c r="T4618" t="str">
        <x:v>Cash</x:v>
      </x:c>
      <x:c r="U4618" t="str">
        <x:v>Pending</x:v>
      </x:c>
      <x:c r="V4618" t="str">
        <x:v>Delivered</x:v>
      </x:c>
      <x:c r="W4618" t="n">
        <x:v>0</x:v>
      </x:c>
      <x:c r="X4618" t="str"/>
      <x:c r="Y4618" t="str">
        <x:v>Existing Customer</x:v>
      </x:c>
    </x:row>
    <x:row r="4619">
      <x:c r="A4619" t="str">
        <x:v>O004618</x:v>
      </x:c>
      <x:c r="B4619" s="20" t="n">
        <x:v>46120</x:v>
      </x:c>
      <x:c r="C4619" t="str">
        <x:v>C0030</x:v>
      </x:c>
      <x:c r="D4619" t="str">
        <x:v>Hotel Restaurant 30</x:v>
      </x:c>
      <x:c r="E4619" t="str">
        <x:v>Restaurant</x:v>
      </x:c>
      <x:c r="F4619" t="str">
        <x:v>Bengaluru</x:v>
      </x:c>
      <x:c r="G4619" t="str">
        <x:v>Imran</x:v>
      </x:c>
      <x:c r="H4619" t="str">
        <x:v>P011</x:v>
      </x:c>
      <x:c r="I4619" t="str">
        <x:v>Salt 1kg</x:v>
      </x:c>
      <x:c r="J4619" t="str">
        <x:v>Staples</x:v>
      </x:c>
      <x:c r="K4619" t="str">
        <x:v>Tata</x:v>
      </x:c>
      <x:c r="L4619" s="22" t="n">
        <x:v>28</x:v>
      </x:c>
      <x:c r="M4619" t="n">
        <x:v>8</x:v>
      </x:c>
      <x:c r="N4619" s="24" t="n">
        <x:v>0.1</x:v>
      </x:c>
      <x:c r="O4619" s="22" t="n">
        <x:f>L4619*M4619</x:f>
        <x:v>224</x:v>
      </x:c>
      <x:c r="P4619" s="22" t="n">
        <x:f>O4619*(1-N4619)</x:f>
        <x:v>201.6</x:v>
      </x:c>
      <x:c r="Q4619" s="22" t="n">
        <x:v>23</x:v>
      </x:c>
      <x:c r="R4619" s="22" t="n">
        <x:f>Q4619*M4619</x:f>
        <x:v>184</x:v>
      </x:c>
      <x:c r="S4619" s="22" t="n">
        <x:f>P4619-R4619</x:f>
        <x:v>17.599999999999994</x:v>
      </x:c>
      <x:c r="T4619" t="str">
        <x:v>Bank Transfer</x:v>
      </x:c>
      <x:c r="U4619" t="str">
        <x:v>Paid</x:v>
      </x:c>
      <x:c r="V4619" t="str">
        <x:v>Cancelled</x:v>
      </x:c>
      <x:c r="W4619" t="n">
        <x:v>8</x:v>
      </x:c>
      <x:c r="X4619" t="str">
        <x:v>Cancelled Order</x:v>
      </x:c>
      <x:c r="Y4619" t="str">
        <x:v>Referral</x:v>
      </x:c>
    </x:row>
    <x:row r="4620">
      <x:c r="A4620" t="str">
        <x:v>O004619</x:v>
      </x:c>
      <x:c r="B4620" s="20" t="n">
        <x:v>45736</x:v>
      </x:c>
      <x:c r="C4620" t="str">
        <x:v>C0115</x:v>
      </x:c>
      <x:c r="D4620" t="str">
        <x:v>Mysore Mart 115</x:v>
      </x:c>
      <x:c r="E4620" t="str">
        <x:v>Kirana</x:v>
      </x:c>
      <x:c r="F4620" t="str">
        <x:v>Mangaluru</x:v>
      </x:c>
      <x:c r="G4620" t="str">
        <x:v>Arjun</x:v>
      </x:c>
      <x:c r="H4620" t="str">
        <x:v>P020</x:v>
      </x:c>
      <x:c r="I4620" t="str">
        <x:v>Coffee 500g</x:v>
      </x:c>
      <x:c r="J4620" t="str">
        <x:v>Beverage</x:v>
      </x:c>
      <x:c r="K4620" t="str">
        <x:v>Bru</x:v>
      </x:c>
      <x:c r="L4620" s="22" t="n">
        <x:v>390</x:v>
      </x:c>
      <x:c r="M4620" t="n">
        <x:v>22</x:v>
      </x:c>
      <x:c r="N4620" s="24" t="n">
        <x:v>0.05</x:v>
      </x:c>
      <x:c r="O4620" s="22" t="n">
        <x:f>L4620*M4620</x:f>
        <x:v>8580</x:v>
      </x:c>
      <x:c r="P4620" s="22" t="n">
        <x:f>O4620*(1-N4620)</x:f>
        <x:v>8151</x:v>
      </x:c>
      <x:c r="Q4620" s="22" t="n">
        <x:v>350</x:v>
      </x:c>
      <x:c r="R4620" s="22" t="n">
        <x:f>Q4620*M4620</x:f>
        <x:v>7700</x:v>
      </x:c>
      <x:c r="S4620" s="22" t="n">
        <x:f>P4620-R4620</x:f>
        <x:v>451</x:v>
      </x:c>
      <x:c r="T4620" t="str">
        <x:v>Cash</x:v>
      </x:c>
      <x:c r="U4620" t="str">
        <x:v>Paid</x:v>
      </x:c>
      <x:c r="V4620" t="str">
        <x:v>Delivered</x:v>
      </x:c>
      <x:c r="W4620" t="n">
        <x:v>0</x:v>
      </x:c>
      <x:c r="X4620" t="str"/>
      <x:c r="Y4620" t="str">
        <x:v>Referral</x:v>
      </x:c>
    </x:row>
    <x:row r="4621">
      <x:c r="A4621" t="str">
        <x:v>O004620</x:v>
      </x:c>
      <x:c r="B4621" s="20" t="n">
        <x:v>45810</x:v>
      </x:c>
      <x:c r="C4621" t="str">
        <x:v>C0085</x:v>
      </x:c>
      <x:c r="D4621" t="str">
        <x:v>Green Hotel 85</x:v>
      </x:c>
      <x:c r="E4621" t="str">
        <x:v>Kirana</x:v>
      </x:c>
      <x:c r="F4621" t="str">
        <x:v>Mysuru</x:v>
      </x:c>
      <x:c r="G4621" t="str">
        <x:v>Arjun</x:v>
      </x:c>
      <x:c r="H4621" t="str">
        <x:v>P003</x:v>
      </x:c>
      <x:c r="I4621" t="str">
        <x:v>Basmati Rice 5kg</x:v>
      </x:c>
      <x:c r="J4621" t="str">
        <x:v>Staples</x:v>
      </x:c>
      <x:c r="K4621" t="str">
        <x:v>India Gate</x:v>
      </x:c>
      <x:c r="L4621" s="22" t="n">
        <x:v>690</x:v>
      </x:c>
      <x:c r="M4621" t="n">
        <x:v>26</x:v>
      </x:c>
      <x:c r="N4621" s="24" t="n">
        <x:v>0.03</x:v>
      </x:c>
      <x:c r="O4621" s="22" t="n">
        <x:f>L4621*M4621</x:f>
        <x:v>17940</x:v>
      </x:c>
      <x:c r="P4621" s="22" t="n">
        <x:f>O4621*(1-N4621)</x:f>
        <x:v>17401.8</x:v>
      </x:c>
      <x:c r="Q4621" s="22" t="n">
        <x:v>610</x:v>
      </x:c>
      <x:c r="R4621" s="22" t="n">
        <x:f>Q4621*M4621</x:f>
        <x:v>15860</x:v>
      </x:c>
      <x:c r="S4621" s="22" t="n">
        <x:f>P4621-R4621</x:f>
        <x:v>1541.7999999999993</x:v>
      </x:c>
      <x:c r="T4621" t="str">
        <x:v>Bank Transfer</x:v>
      </x:c>
      <x:c r="U4621" t="str">
        <x:v>Paid</x:v>
      </x:c>
      <x:c r="V4621" t="str">
        <x:v>Delayed</x:v>
      </x:c>
      <x:c r="W4621" t="n">
        <x:v>0</x:v>
      </x:c>
      <x:c r="X4621" t="str"/>
      <x:c r="Y4621" t="str">
        <x:v>WhatsApp</x:v>
      </x:c>
    </x:row>
    <x:row r="4622">
      <x:c r="A4622" t="str">
        <x:v>O004621</x:v>
      </x:c>
      <x:c r="B4622" s="20" t="n">
        <x:v>46105</x:v>
      </x:c>
      <x:c r="C4622" t="str">
        <x:v>C0219</x:v>
      </x:c>
      <x:c r="D4622" t="str">
        <x:v>Udupi Restaurant 219</x:v>
      </x:c>
      <x:c r="E4622" t="str">
        <x:v>Kirana</x:v>
      </x:c>
      <x:c r="F4622" t="str">
        <x:v>Mangaluru</x:v>
      </x:c>
      <x:c r="G4622" t="str">
        <x:v>Kavya</x:v>
      </x:c>
      <x:c r="H4622" t="str">
        <x:v>P026</x:v>
      </x:c>
      <x:c r="I4622" t="str">
        <x:v>Banana Chips 80g</x:v>
      </x:c>
      <x:c r="J4622" t="str">
        <x:v>Snacks</x:v>
      </x:c>
      <x:c r="K4622" t="str">
        <x:v>SSS</x:v>
      </x:c>
      <x:c r="L4622" s="22" t="n">
        <x:v>54</x:v>
      </x:c>
      <x:c r="M4622" t="n">
        <x:v>18</x:v>
      </x:c>
      <x:c r="N4622" s="24" t="n">
        <x:v>0.03</x:v>
      </x:c>
      <x:c r="O4622" s="22" t="n">
        <x:f>L4622*M4622</x:f>
        <x:v>972</x:v>
      </x:c>
      <x:c r="P4622" s="22" t="n">
        <x:f>O4622*(1-N4622)</x:f>
        <x:v>942.8399999999999</x:v>
      </x:c>
      <x:c r="Q4622" s="22" t="n">
        <x:v>39</x:v>
      </x:c>
      <x:c r="R4622" s="22" t="n">
        <x:f>Q4622*M4622</x:f>
        <x:v>702</x:v>
      </x:c>
      <x:c r="S4622" s="22" t="n">
        <x:f>P4622-R4622</x:f>
        <x:v>240.83999999999992</x:v>
      </x:c>
      <x:c r="T4622" t="str">
        <x:v>UPI</x:v>
      </x:c>
      <x:c r="U4622" t="str">
        <x:v>Paid</x:v>
      </x:c>
      <x:c r="V4622" t="str">
        <x:v>Delivered</x:v>
      </x:c>
      <x:c r="W4622" t="n">
        <x:v>0</x:v>
      </x:c>
      <x:c r="X4622" t="str"/>
      <x:c r="Y4622" t="str">
        <x:v>Referral</x:v>
      </x:c>
    </x:row>
    <x:row r="4623">
      <x:c r="A4623" t="str">
        <x:v>O004622</x:v>
      </x:c>
      <x:c r="B4623" s="20" t="n">
        <x:v>46137</x:v>
      </x:c>
      <x:c r="C4623" t="str">
        <x:v>C0187</x:v>
      </x:c>
      <x:c r="D4623" t="str">
        <x:v>City Cafe 187</x:v>
      </x:c>
      <x:c r="E4623" t="str">
        <x:v>Hotel</x:v>
      </x:c>
      <x:c r="F4623" t="str">
        <x:v>Mysuru</x:v>
      </x:c>
      <x:c r="G4623" t="str">
        <x:v>Priya</x:v>
      </x:c>
      <x:c r="H4623" t="str">
        <x:v>P009</x:v>
      </x:c>
      <x:c r="I4623" t="str">
        <x:v>Groundnut Oil 5L</x:v>
      </x:c>
      <x:c r="J4623" t="str">
        <x:v>Edible Oil</x:v>
      </x:c>
      <x:c r="K4623" t="str">
        <x:v>Dhara</x:v>
      </x:c>
      <x:c r="L4623" s="22" t="n">
        <x:v>890</x:v>
      </x:c>
      <x:c r="M4623" t="n">
        <x:v>10</x:v>
      </x:c>
      <x:c r="N4623" s="24" t="n">
        <x:v>0.05</x:v>
      </x:c>
      <x:c r="O4623" s="22" t="n">
        <x:f>L4623*M4623</x:f>
        <x:v>8900</x:v>
      </x:c>
      <x:c r="P4623" s="22" t="n">
        <x:f>O4623*(1-N4623)</x:f>
        <x:v>8455</x:v>
      </x:c>
      <x:c r="Q4623" s="22" t="n">
        <x:v>810</x:v>
      </x:c>
      <x:c r="R4623" s="22" t="n">
        <x:f>Q4623*M4623</x:f>
        <x:v>8100</x:v>
      </x:c>
      <x:c r="S4623" s="22" t="n">
        <x:f>P4623-R4623</x:f>
        <x:v>355</x:v>
      </x:c>
      <x:c r="T4623" t="str">
        <x:v>Bank Transfer</x:v>
      </x:c>
      <x:c r="U4623" t="str">
        <x:v>Paid</x:v>
      </x:c>
      <x:c r="V4623" t="str">
        <x:v>Delivered</x:v>
      </x:c>
      <x:c r="W4623" t="n">
        <x:v>0</x:v>
      </x:c>
      <x:c r="X4623" t="str"/>
      <x:c r="Y4623" t="str">
        <x:v>WhatsApp</x:v>
      </x:c>
    </x:row>
    <x:row r="4624">
      <x:c r="A4624" t="str">
        <x:v>O004623</x:v>
      </x:c>
      <x:c r="B4624" s="20" t="n">
        <x:v>46052</x:v>
      </x:c>
      <x:c r="C4624" t="str">
        <x:v>C0060</x:v>
      </x:c>
      <x:c r="D4624" t="str">
        <x:v>Sagar Stores 60</x:v>
      </x:c>
      <x:c r="E4624" t="str">
        <x:v>Cafe</x:v>
      </x:c>
      <x:c r="F4624" t="str">
        <x:v>Hubballi</x:v>
      </x:c>
      <x:c r="G4624" t="str">
        <x:v>Imran</x:v>
      </x:c>
      <x:c r="H4624" t="str">
        <x:v>P043</x:v>
      </x:c>
      <x:c r="I4624" t="str">
        <x:v>Chicken Breast 1kg</x:v>
      </x:c>
      <x:c r="J4624" t="str">
        <x:v>Protein</x:v>
      </x:c>
      <x:c r="K4624" t="str">
        <x:v>FreshToHome</x:v>
      </x:c>
      <x:c r="L4624" s="22" t="n">
        <x:v>260</x:v>
      </x:c>
      <x:c r="M4624" t="n">
        <x:v>30</x:v>
      </x:c>
      <x:c r="N4624" s="24" t="n">
        <x:v>0.03</x:v>
      </x:c>
      <x:c r="O4624" s="22" t="n">
        <x:f>L4624*M4624</x:f>
        <x:v>7800</x:v>
      </x:c>
      <x:c r="P4624" s="22" t="n">
        <x:f>O4624*(1-N4624)</x:f>
        <x:v>7566</x:v>
      </x:c>
      <x:c r="Q4624" s="22" t="n">
        <x:v>235</x:v>
      </x:c>
      <x:c r="R4624" s="22" t="n">
        <x:f>Q4624*M4624</x:f>
        <x:v>7050</x:v>
      </x:c>
      <x:c r="S4624" s="22" t="n">
        <x:f>P4624-R4624</x:f>
        <x:v>516</x:v>
      </x:c>
      <x:c r="T4624" t="str">
        <x:v>UPI</x:v>
      </x:c>
      <x:c r="U4624" t="str">
        <x:v>Paid</x:v>
      </x:c>
      <x:c r="V4624" t="str">
        <x:v>Delivered</x:v>
      </x:c>
      <x:c r="W4624" t="n">
        <x:v>0</x:v>
      </x:c>
      <x:c r="X4624" t="str"/>
      <x:c r="Y4624" t="str">
        <x:v>Referral</x:v>
      </x:c>
    </x:row>
    <x:row r="4625">
      <x:c r="A4625" t="str">
        <x:v>O004624</x:v>
      </x:c>
      <x:c r="B4625" s="20" t="n">
        <x:v>46282</x:v>
      </x:c>
      <x:c r="C4625" t="str">
        <x:v>C0014</x:v>
      </x:c>
      <x:c r="D4625" t="str">
        <x:v>Annapurna Canteen 14</x:v>
      </x:c>
      <x:c r="E4625" t="str">
        <x:v>Kirana</x:v>
      </x:c>
      <x:c r="F4625" t="str">
        <x:v>Davanagere</x:v>
      </x:c>
      <x:c r="G4625" t="str">
        <x:v>Sneha</x:v>
      </x:c>
      <x:c r="H4625" t="str">
        <x:v>P033</x:v>
      </x:c>
      <x:c r="I4625" t="str">
        <x:v>Turmeric Powder 1kg</x:v>
      </x:c>
      <x:c r="J4625" t="str">
        <x:v>Spices</x:v>
      </x:c>
      <x:c r="K4625" t="str">
        <x:v>Everest</x:v>
      </x:c>
      <x:c r="L4625" s="22" t="n">
        <x:v>310</x:v>
      </x:c>
      <x:c r="M4625" t="n">
        <x:v>15</x:v>
      </x:c>
      <x:c r="N4625" s="24" t="n">
        <x:v>0.05</x:v>
      </x:c>
      <x:c r="O4625" s="22" t="n">
        <x:f>L4625*M4625</x:f>
        <x:v>4650</x:v>
      </x:c>
      <x:c r="P4625" s="22" t="n">
        <x:f>O4625*(1-N4625)</x:f>
        <x:v>4417.5</x:v>
      </x:c>
      <x:c r="Q4625" s="22" t="n">
        <x:v>270</x:v>
      </x:c>
      <x:c r="R4625" s="22" t="n">
        <x:f>Q4625*M4625</x:f>
        <x:v>4050</x:v>
      </x:c>
      <x:c r="S4625" s="22" t="n">
        <x:f>P4625-R4625</x:f>
        <x:v>367.5</x:v>
      </x:c>
      <x:c r="T4625" t="str">
        <x:v>UPI</x:v>
      </x:c>
      <x:c r="U4625" t="str">
        <x:v>Paid</x:v>
      </x:c>
      <x:c r="V4625" t="str">
        <x:v>Delivered</x:v>
      </x:c>
      <x:c r="W4625" t="n">
        <x:v>0</x:v>
      </x:c>
      <x:c r="X4625" t="str"/>
      <x:c r="Y4625" t="str">
        <x:v>Outbound Call</x:v>
      </x:c>
    </x:row>
    <x:row r="4626">
      <x:c r="A4626" t="str">
        <x:v>O004625</x:v>
      </x:c>
      <x:c r="B4626" s="20" t="n">
        <x:v>45840</x:v>
      </x:c>
      <x:c r="C4626" t="str">
        <x:v>C0117</x:v>
      </x:c>
      <x:c r="D4626" t="str">
        <x:v>Classic Canteen 117</x:v>
      </x:c>
      <x:c r="E4626" t="str">
        <x:v>Restaurant</x:v>
      </x:c>
      <x:c r="F4626" t="str">
        <x:v>Hubballi</x:v>
      </x:c>
      <x:c r="G4626" t="str">
        <x:v>Megha</x:v>
      </x:c>
      <x:c r="H4626" t="str">
        <x:v>P037</x:v>
      </x:c>
      <x:c r="I4626" t="str">
        <x:v>Frozen Peas 1kg</x:v>
      </x:c>
      <x:c r="J4626" t="str">
        <x:v>Frozen</x:v>
      </x:c>
      <x:c r="K4626" t="str">
        <x:v>Safal</x:v>
      </x:c>
      <x:c r="L4626" s="22" t="n">
        <x:v>155</x:v>
      </x:c>
      <x:c r="M4626" t="n">
        <x:v>4</x:v>
      </x:c>
      <x:c r="N4626" s="24" t="n">
        <x:v>0.03</x:v>
      </x:c>
      <x:c r="O4626" s="22" t="n">
        <x:f>L4626*M4626</x:f>
        <x:v>620</x:v>
      </x:c>
      <x:c r="P4626" s="22" t="n">
        <x:f>O4626*(1-N4626)</x:f>
        <x:v>601.4</x:v>
      </x:c>
      <x:c r="Q4626" s="22" t="n">
        <x:v>138</x:v>
      </x:c>
      <x:c r="R4626" s="22" t="n">
        <x:f>Q4626*M4626</x:f>
        <x:v>552</x:v>
      </x:c>
      <x:c r="S4626" s="22" t="n">
        <x:f>P4626-R4626</x:f>
        <x:v>49.39999999999998</x:v>
      </x:c>
      <x:c r="T4626" t="str">
        <x:v>Bank Transfer</x:v>
      </x:c>
      <x:c r="U4626" t="str">
        <x:v>Pending</x:v>
      </x:c>
      <x:c r="V4626" t="str">
        <x:v>Delivered</x:v>
      </x:c>
      <x:c r="W4626" t="n">
        <x:v>0</x:v>
      </x:c>
      <x:c r="X4626" t="str"/>
      <x:c r="Y4626" t="str">
        <x:v>WhatsApp</x:v>
      </x:c>
    </x:row>
    <x:row r="4627">
      <x:c r="A4627" t="str">
        <x:v>O004626</x:v>
      </x:c>
      <x:c r="B4627" s="20" t="n">
        <x:v>46114</x:v>
      </x:c>
      <x:c r="C4627" t="str">
        <x:v>C0005</x:v>
      </x:c>
      <x:c r="D4627" t="str">
        <x:v>Sagar Kitchen 5</x:v>
      </x:c>
      <x:c r="E4627" t="str">
        <x:v>Restaurant</x:v>
      </x:c>
      <x:c r="F4627" t="str">
        <x:v>Hubballi</x:v>
      </x:c>
      <x:c r="G4627" t="str">
        <x:v>Priya</x:v>
      </x:c>
      <x:c r="H4627" t="str">
        <x:v>P006</x:v>
      </x:c>
      <x:c r="I4627" t="str">
        <x:v>Moong Dal 5kg</x:v>
      </x:c>
      <x:c r="J4627" t="str">
        <x:v>Pulses</x:v>
      </x:c>
      <x:c r="K4627" t="str">
        <x:v>Local Select</x:v>
      </x:c>
      <x:c r="L4627" s="22" t="n">
        <x:v>610</x:v>
      </x:c>
      <x:c r="M4627" t="n">
        <x:v>10</x:v>
      </x:c>
      <x:c r="N4627" s="24" t="n">
        <x:v>0.03</x:v>
      </x:c>
      <x:c r="O4627" s="22" t="n">
        <x:f>L4627*M4627</x:f>
        <x:v>6100</x:v>
      </x:c>
      <x:c r="P4627" s="22" t="n">
        <x:f>O4627*(1-N4627)</x:f>
        <x:v>5917</x:v>
      </x:c>
      <x:c r="Q4627" s="22" t="n">
        <x:v>540</x:v>
      </x:c>
      <x:c r="R4627" s="22" t="n">
        <x:f>Q4627*M4627</x:f>
        <x:v>5400</x:v>
      </x:c>
      <x:c r="S4627" s="22" t="n">
        <x:f>P4627-R4627</x:f>
        <x:v>517</x:v>
      </x:c>
      <x:c r="T4627" t="str">
        <x:v>Cash</x:v>
      </x:c>
      <x:c r="U4627" t="str">
        <x:v>Pending</x:v>
      </x:c>
      <x:c r="V4627" t="str">
        <x:v>Cancelled</x:v>
      </x:c>
      <x:c r="W4627" t="n">
        <x:v>10</x:v>
      </x:c>
      <x:c r="X4627" t="str">
        <x:v>Cancelled Order</x:v>
      </x:c>
      <x:c r="Y4627" t="str">
        <x:v>Referral</x:v>
      </x:c>
    </x:row>
    <x:row r="4628">
      <x:c r="A4628" t="str">
        <x:v>O004627</x:v>
      </x:c>
      <x:c r="B4628" s="20" t="n">
        <x:v>45717</x:v>
      </x:c>
      <x:c r="C4628" t="str">
        <x:v>C0216</x:v>
      </x:c>
      <x:c r="D4628" t="str">
        <x:v>Cafe Restaurant 216</x:v>
      </x:c>
      <x:c r="E4628" t="str">
        <x:v>Canteen</x:v>
      </x:c>
      <x:c r="F4628" t="str">
        <x:v>Bengaluru</x:v>
      </x:c>
      <x:c r="G4628" t="str">
        <x:v>Vikram</x:v>
      </x:c>
      <x:c r="H4628" t="str">
        <x:v>P026</x:v>
      </x:c>
      <x:c r="I4628" t="str">
        <x:v>Banana Chips 80g</x:v>
      </x:c>
      <x:c r="J4628" t="str">
        <x:v>Snacks</x:v>
      </x:c>
      <x:c r="K4628" t="str">
        <x:v>SSS</x:v>
      </x:c>
      <x:c r="L4628" s="22" t="n">
        <x:v>54</x:v>
      </x:c>
      <x:c r="M4628" t="n">
        <x:v>36</x:v>
      </x:c>
      <x:c r="N4628" s="24" t="n">
        <x:v>0.08</x:v>
      </x:c>
      <x:c r="O4628" s="22" t="n">
        <x:f>L4628*M4628</x:f>
        <x:v>1944</x:v>
      </x:c>
      <x:c r="P4628" s="22" t="n">
        <x:f>O4628*(1-N4628)</x:f>
        <x:v>1788.48</x:v>
      </x:c>
      <x:c r="Q4628" s="22" t="n">
        <x:v>39</x:v>
      </x:c>
      <x:c r="R4628" s="22" t="n">
        <x:f>Q4628*M4628</x:f>
        <x:v>1404</x:v>
      </x:c>
      <x:c r="S4628" s="22" t="n">
        <x:f>P4628-R4628</x:f>
        <x:v>384.48</x:v>
      </x:c>
      <x:c r="T4628" t="str">
        <x:v>Credit</x:v>
      </x:c>
      <x:c r="U4628" t="str">
        <x:v>Overdue</x:v>
      </x:c>
      <x:c r="V4628" t="str">
        <x:v>Delivered</x:v>
      </x:c>
      <x:c r="W4628" t="n">
        <x:v>0</x:v>
      </x:c>
      <x:c r="X4628" t="str"/>
      <x:c r="Y4628" t="str">
        <x:v>Outbound Call</x:v>
      </x:c>
    </x:row>
    <x:row r="4629">
      <x:c r="A4629" t="str">
        <x:v>O004628</x:v>
      </x:c>
      <x:c r="B4629" s="20" t="n">
        <x:v>45935</x:v>
      </x:c>
      <x:c r="C4629" t="str">
        <x:v>C0006</x:v>
      </x:c>
      <x:c r="D4629" t="str">
        <x:v>New Restaurant 6</x:v>
      </x:c>
      <x:c r="E4629" t="str">
        <x:v>Kirana</x:v>
      </x:c>
      <x:c r="F4629" t="str">
        <x:v>Hubballi</x:v>
      </x:c>
      <x:c r="G4629" t="str">
        <x:v>Vikram</x:v>
      </x:c>
      <x:c r="H4629" t="str">
        <x:v>P036</x:v>
      </x:c>
      <x:c r="I4629" t="str">
        <x:v>Garam Masala 500g</x:v>
      </x:c>
      <x:c r="J4629" t="str">
        <x:v>Spices</x:v>
      </x:c>
      <x:c r="K4629" t="str">
        <x:v>MDH</x:v>
      </x:c>
      <x:c r="L4629" s="22" t="n">
        <x:v>265</x:v>
      </x:c>
      <x:c r="M4629" t="n">
        <x:v>1</x:v>
      </x:c>
      <x:c r="N4629" s="24" t="n">
        <x:v>0.05</x:v>
      </x:c>
      <x:c r="O4629" s="22" t="n">
        <x:f>L4629*M4629</x:f>
        <x:v>265</x:v>
      </x:c>
      <x:c r="P4629" s="22" t="n">
        <x:f>O4629*(1-N4629)</x:f>
        <x:v>251.75</x:v>
      </x:c>
      <x:c r="Q4629" s="22" t="n">
        <x:v>230</x:v>
      </x:c>
      <x:c r="R4629" s="22" t="n">
        <x:f>Q4629*M4629</x:f>
        <x:v>230</x:v>
      </x:c>
      <x:c r="S4629" s="22" t="n">
        <x:f>P4629-R4629</x:f>
        <x:v>21.75</x:v>
      </x:c>
      <x:c r="T4629" t="str">
        <x:v>UPI</x:v>
      </x:c>
      <x:c r="U4629" t="str">
        <x:v>Pending</x:v>
      </x:c>
      <x:c r="V4629" t="str">
        <x:v>Delivered</x:v>
      </x:c>
      <x:c r="W4629" t="n">
        <x:v>0</x:v>
      </x:c>
      <x:c r="X4629" t="str"/>
      <x:c r="Y4629" t="str">
        <x:v>WhatsApp</x:v>
      </x:c>
    </x:row>
    <x:row r="4630">
      <x:c r="A4630" t="str">
        <x:v>O004629</x:v>
      </x:c>
      <x:c r="B4630" s="20" t="n">
        <x:v>46079</x:v>
      </x:c>
      <x:c r="C4630" t="str">
        <x:v>C0124</x:v>
      </x:c>
      <x:c r="D4630" t="str">
        <x:v>Green Hotel 124</x:v>
      </x:c>
      <x:c r="E4630" t="str">
        <x:v>Cafe</x:v>
      </x:c>
      <x:c r="F4630" t="str">
        <x:v>Bengaluru</x:v>
      </x:c>
      <x:c r="G4630" t="str">
        <x:v>Imran</x:v>
      </x:c>
      <x:c r="H4630" t="str">
        <x:v>P014</x:v>
      </x:c>
      <x:c r="I4630" t="str">
        <x:v>Rava 5kg</x:v>
      </x:c>
      <x:c r="J4630" t="str">
        <x:v>Flour</x:v>
      </x:c>
      <x:c r="K4630" t="str">
        <x:v>Local Select</x:v>
      </x:c>
      <x:c r="L4630" s="22" t="n">
        <x:v>245</x:v>
      </x:c>
      <x:c r="M4630" t="n">
        <x:v>2</x:v>
      </x:c>
      <x:c r="N4630" s="24" t="n">
        <x:v>0.05</x:v>
      </x:c>
      <x:c r="O4630" s="22" t="n">
        <x:f>L4630*M4630</x:f>
        <x:v>490</x:v>
      </x:c>
      <x:c r="P4630" s="22" t="n">
        <x:f>O4630*(1-N4630)</x:f>
        <x:v>465.5</x:v>
      </x:c>
      <x:c r="Q4630" s="22" t="n">
        <x:v>215</x:v>
      </x:c>
      <x:c r="R4630" s="22" t="n">
        <x:f>Q4630*M4630</x:f>
        <x:v>430</x:v>
      </x:c>
      <x:c r="S4630" s="22" t="n">
        <x:f>P4630-R4630</x:f>
        <x:v>35.5</x:v>
      </x:c>
      <x:c r="T4630" t="str">
        <x:v>Credit</x:v>
      </x:c>
      <x:c r="U4630" t="str">
        <x:v>Paid</x:v>
      </x:c>
      <x:c r="V4630" t="str">
        <x:v>Delivered</x:v>
      </x:c>
      <x:c r="W4630" t="n">
        <x:v>0</x:v>
      </x:c>
      <x:c r="X4630" t="str"/>
      <x:c r="Y4630" t="str">
        <x:v>Existing Customer</x:v>
      </x:c>
    </x:row>
    <x:row r="4631">
      <x:c r="A4631" t="str">
        <x:v>O004630</x:v>
      </x:c>
      <x:c r="B4631" s="20" t="n">
        <x:v>45703</x:v>
      </x:c>
      <x:c r="C4631" t="str">
        <x:v>C0249</x:v>
      </x:c>
      <x:c r="D4631" t="str">
        <x:v>City Hotel 249</x:v>
      </x:c>
      <x:c r="E4631" t="str">
        <x:v>Supermarket</x:v>
      </x:c>
      <x:c r="F4631" t="str">
        <x:v>Mysuru</x:v>
      </x:c>
      <x:c r="G4631" t="str">
        <x:v>Arjun</x:v>
      </x:c>
      <x:c r="H4631" t="str">
        <x:v>P023</x:v>
      </x:c>
      <x:c r="I4631" t="str">
        <x:v>Cola 750ml</x:v>
      </x:c>
      <x:c r="J4631" t="str">
        <x:v>Beverage</x:v>
      </x:c>
      <x:c r="K4631" t="str">
        <x:v>Coca-Cola</x:v>
      </x:c>
      <x:c r="L4631" s="22" t="n">
        <x:v>38</x:v>
      </x:c>
      <x:c r="M4631" t="n">
        <x:v>26</x:v>
      </x:c>
      <x:c r="N4631" s="24" t="n">
        <x:v>0.02</x:v>
      </x:c>
      <x:c r="O4631" s="22" t="n">
        <x:f>L4631*M4631</x:f>
        <x:v>988</x:v>
      </x:c>
      <x:c r="P4631" s="22" t="n">
        <x:f>O4631*(1-N4631)</x:f>
        <x:v>968.24</x:v>
      </x:c>
      <x:c r="Q4631" s="22" t="n">
        <x:v>31</x:v>
      </x:c>
      <x:c r="R4631" s="22" t="n">
        <x:f>Q4631*M4631</x:f>
        <x:v>806</x:v>
      </x:c>
      <x:c r="S4631" s="22" t="n">
        <x:f>P4631-R4631</x:f>
        <x:v>162.24</x:v>
      </x:c>
      <x:c r="T4631" t="str">
        <x:v>Credit</x:v>
      </x:c>
      <x:c r="U4631" t="str">
        <x:v>Paid</x:v>
      </x:c>
      <x:c r="V4631" t="str">
        <x:v>Delivered</x:v>
      </x:c>
      <x:c r="W4631" t="n">
        <x:v>0</x:v>
      </x:c>
      <x:c r="X4631" t="str"/>
      <x:c r="Y4631" t="str">
        <x:v>Field Visit</x:v>
      </x:c>
    </x:row>
    <x:row r="4632">
      <x:c r="A4632" t="str">
        <x:v>O004631</x:v>
      </x:c>
      <x:c r="B4632" s="20" t="n">
        <x:v>45685</x:v>
      </x:c>
      <x:c r="C4632" t="str">
        <x:v>C0135</x:v>
      </x:c>
      <x:c r="D4632" t="str">
        <x:v>City Canteen 135</x:v>
      </x:c>
      <x:c r="E4632" t="str">
        <x:v>Supermarket</x:v>
      </x:c>
      <x:c r="F4632" t="str">
        <x:v>Hubballi</x:v>
      </x:c>
      <x:c r="G4632" t="str">
        <x:v>Megha</x:v>
      </x:c>
      <x:c r="H4632" t="str">
        <x:v>P042</x:v>
      </x:c>
      <x:c r="I4632" t="str">
        <x:v>Eggs 30pc Tray</x:v>
      </x:c>
      <x:c r="J4632" t="str">
        <x:v>Protein</x:v>
      </x:c>
      <x:c r="K4632" t="str">
        <x:v>Farm Fresh</x:v>
      </x:c>
      <x:c r="L4632" s="22" t="n">
        <x:v>195</x:v>
      </x:c>
      <x:c r="M4632" t="n">
        <x:v>3</x:v>
      </x:c>
      <x:c r="N4632" s="24" t="n">
        <x:v>0.02</x:v>
      </x:c>
      <x:c r="O4632" s="22" t="n">
        <x:f>L4632*M4632</x:f>
        <x:v>585</x:v>
      </x:c>
      <x:c r="P4632" s="22" t="n">
        <x:f>O4632*(1-N4632)</x:f>
        <x:v>573.3</x:v>
      </x:c>
      <x:c r="Q4632" s="22" t="n">
        <x:v>170</x:v>
      </x:c>
      <x:c r="R4632" s="22" t="n">
        <x:f>Q4632*M4632</x:f>
        <x:v>510</x:v>
      </x:c>
      <x:c r="S4632" s="22" t="n">
        <x:f>P4632-R4632</x:f>
        <x:v>63.299999999999955</x:v>
      </x:c>
      <x:c r="T4632" t="str">
        <x:v>UPI</x:v>
      </x:c>
      <x:c r="U4632" t="str">
        <x:v>Paid</x:v>
      </x:c>
      <x:c r="V4632" t="str">
        <x:v>Delivered</x:v>
      </x:c>
      <x:c r="W4632" t="n">
        <x:v>0</x:v>
      </x:c>
      <x:c r="X4632" t="str"/>
      <x:c r="Y4632" t="str">
        <x:v>Outbound Call</x:v>
      </x:c>
    </x:row>
    <x:row r="4633">
      <x:c r="A4633" t="str">
        <x:v>O004632</x:v>
      </x:c>
      <x:c r="B4633" s="20" t="n">
        <x:v>46027</x:v>
      </x:c>
      <x:c r="C4633" t="str">
        <x:v>C0160</x:v>
      </x:c>
      <x:c r="D4633" t="str">
        <x:v>Hotel Foods 160</x:v>
      </x:c>
      <x:c r="E4633" t="str">
        <x:v>Hotel</x:v>
      </x:c>
      <x:c r="F4633" t="str">
        <x:v>Mangaluru</x:v>
      </x:c>
      <x:c r="G4633" t="str">
        <x:v>Sneha</x:v>
      </x:c>
      <x:c r="H4633" t="str">
        <x:v>P012</x:v>
      </x:c>
      <x:c r="I4633" t="str">
        <x:v>Maida 10kg</x:v>
      </x:c>
      <x:c r="J4633" t="str">
        <x:v>Flour</x:v>
      </x:c>
      <x:c r="K4633" t="str">
        <x:v>Aashirvaad</x:v>
      </x:c>
      <x:c r="L4633" s="22" t="n">
        <x:v>520</x:v>
      </x:c>
      <x:c r="M4633" t="n">
        <x:v>4</x:v>
      </x:c>
      <x:c r="N4633" s="24" t="n">
        <x:v>0.05</x:v>
      </x:c>
      <x:c r="O4633" s="22" t="n">
        <x:f>L4633*M4633</x:f>
        <x:v>2080</x:v>
      </x:c>
      <x:c r="P4633" s="22" t="n">
        <x:f>O4633*(1-N4633)</x:f>
        <x:v>1976</x:v>
      </x:c>
      <x:c r="Q4633" s="22" t="n">
        <x:v>460</x:v>
      </x:c>
      <x:c r="R4633" s="22" t="n">
        <x:f>Q4633*M4633</x:f>
        <x:v>1840</x:v>
      </x:c>
      <x:c r="S4633" s="22" t="n">
        <x:f>P4633-R4633</x:f>
        <x:v>136</x:v>
      </x:c>
      <x:c r="T4633" t="str">
        <x:v>UPI</x:v>
      </x:c>
      <x:c r="U4633" t="str">
        <x:v>Paid</x:v>
      </x:c>
      <x:c r="V4633" t="str">
        <x:v>Delivered</x:v>
      </x:c>
      <x:c r="W4633" t="n">
        <x:v>0</x:v>
      </x:c>
      <x:c r="X4633" t="str"/>
      <x:c r="Y4633" t="str">
        <x:v>Field Visit</x:v>
      </x:c>
    </x:row>
    <x:row r="4634">
      <x:c r="A4634" t="str">
        <x:v>O004633</x:v>
      </x:c>
      <x:c r="B4634" s="20" t="n">
        <x:v>46245</x:v>
      </x:c>
      <x:c r="C4634" t="str">
        <x:v>C0020</x:v>
      </x:c>
      <x:c r="D4634" t="str">
        <x:v>Shree Foods 20</x:v>
      </x:c>
      <x:c r="E4634" t="str">
        <x:v>Restaurant</x:v>
      </x:c>
      <x:c r="F4634" t="str">
        <x:v>Mysuru</x:v>
      </x:c>
      <x:c r="G4634" t="str">
        <x:v>Arjun</x:v>
      </x:c>
      <x:c r="H4634" t="str">
        <x:v>P038</x:v>
      </x:c>
      <x:c r="I4634" t="str">
        <x:v>French Fries 2.5kg</x:v>
      </x:c>
      <x:c r="J4634" t="str">
        <x:v>Frozen</x:v>
      </x:c>
      <x:c r="K4634" t="str">
        <x:v>McCain</x:v>
      </x:c>
      <x:c r="L4634" s="22" t="n">
        <x:v>360</x:v>
      </x:c>
      <x:c r="M4634" t="n">
        <x:v>19</x:v>
      </x:c>
      <x:c r="N4634" s="24" t="n">
        <x:v>0.05</x:v>
      </x:c>
      <x:c r="O4634" s="22" t="n">
        <x:f>L4634*M4634</x:f>
        <x:v>6840</x:v>
      </x:c>
      <x:c r="P4634" s="22" t="n">
        <x:f>O4634*(1-N4634)</x:f>
        <x:v>6498</x:v>
      </x:c>
      <x:c r="Q4634" s="22" t="n">
        <x:v>315</x:v>
      </x:c>
      <x:c r="R4634" s="22" t="n">
        <x:f>Q4634*M4634</x:f>
        <x:v>5985</x:v>
      </x:c>
      <x:c r="S4634" s="22" t="n">
        <x:f>P4634-R4634</x:f>
        <x:v>513</x:v>
      </x:c>
      <x:c r="T4634" t="str">
        <x:v>Bank Transfer</x:v>
      </x:c>
      <x:c r="U4634" t="str">
        <x:v>Paid</x:v>
      </x:c>
      <x:c r="V4634" t="str">
        <x:v>Delivered</x:v>
      </x:c>
      <x:c r="W4634" t="n">
        <x:v>1</x:v>
      </x:c>
      <x:c r="X4634" t="str">
        <x:v>Quality Issue</x:v>
      </x:c>
      <x:c r="Y4634" t="str">
        <x:v>Outbound Call</x:v>
      </x:c>
    </x:row>
    <x:row r="4635">
      <x:c r="A4635" t="str">
        <x:v>O004634</x:v>
      </x:c>
      <x:c r="B4635" s="20" t="n">
        <x:v>46256</x:v>
      </x:c>
      <x:c r="C4635" t="str">
        <x:v>C0153</x:v>
      </x:c>
      <x:c r="D4635" t="str">
        <x:v>Fresh Foods 153</x:v>
      </x:c>
      <x:c r="E4635" t="str">
        <x:v>Kirana</x:v>
      </x:c>
      <x:c r="F4635" t="str">
        <x:v>Bengaluru</x:v>
      </x:c>
      <x:c r="G4635" t="str">
        <x:v>Priya</x:v>
      </x:c>
      <x:c r="H4635" t="str">
        <x:v>P041</x:v>
      </x:c>
      <x:c r="I4635" t="str">
        <x:v>Burger Bun 6pc</x:v>
      </x:c>
      <x:c r="J4635" t="str">
        <x:v>Bakery</x:v>
      </x:c>
      <x:c r="K4635" t="str">
        <x:v>Modern</x:v>
      </x:c>
      <x:c r="L4635" s="22" t="n">
        <x:v>42</x:v>
      </x:c>
      <x:c r="M4635" t="n">
        <x:v>40</x:v>
      </x:c>
      <x:c r="N4635" s="24" t="n">
        <x:v>0.1</x:v>
      </x:c>
      <x:c r="O4635" s="22" t="n">
        <x:f>L4635*M4635</x:f>
        <x:v>1680</x:v>
      </x:c>
      <x:c r="P4635" s="22" t="n">
        <x:f>O4635*(1-N4635)</x:f>
        <x:v>1512</x:v>
      </x:c>
      <x:c r="Q4635" s="22" t="n">
        <x:v>32</x:v>
      </x:c>
      <x:c r="R4635" s="22" t="n">
        <x:f>Q4635*M4635</x:f>
        <x:v>1280</x:v>
      </x:c>
      <x:c r="S4635" s="22" t="n">
        <x:f>P4635-R4635</x:f>
        <x:v>232</x:v>
      </x:c>
      <x:c r="T4635" t="str">
        <x:v>Credit</x:v>
      </x:c>
      <x:c r="U4635" t="str">
        <x:v>Paid</x:v>
      </x:c>
      <x:c r="V4635" t="str">
        <x:v>Delayed</x:v>
      </x:c>
      <x:c r="W4635" t="n">
        <x:v>0</x:v>
      </x:c>
      <x:c r="X4635" t="str"/>
      <x:c r="Y4635" t="str">
        <x:v>Outbound Call</x:v>
      </x:c>
    </x:row>
    <x:row r="4636">
      <x:c r="A4636" t="str">
        <x:v>O004635</x:v>
      </x:c>
      <x:c r="B4636" s="20" t="n">
        <x:v>45975</x:v>
      </x:c>
      <x:c r="C4636" t="str">
        <x:v>C0130</x:v>
      </x:c>
      <x:c r="D4636" t="str">
        <x:v>Foodie Cafe 130</x:v>
      </x:c>
      <x:c r="E4636" t="str">
        <x:v>Restaurant</x:v>
      </x:c>
      <x:c r="F4636" t="str">
        <x:v>Davanagere</x:v>
      </x:c>
      <x:c r="G4636" t="str">
        <x:v>Megha</x:v>
      </x:c>
      <x:c r="H4636" t="str">
        <x:v>P008</x:v>
      </x:c>
      <x:c r="I4636" t="str">
        <x:v>Palm Oil 15L</x:v>
      </x:c>
      <x:c r="J4636" t="str">
        <x:v>Edible Oil</x:v>
      </x:c>
      <x:c r="K4636" t="str">
        <x:v>Ruchi Gold</x:v>
      </x:c>
      <x:c r="L4636" s="22" t="n">
        <x:v>1760</x:v>
      </x:c>
      <x:c r="M4636" t="n">
        <x:v>9</x:v>
      </x:c>
      <x:c r="N4636" s="24" t="n">
        <x:v>0</x:v>
      </x:c>
      <x:c r="O4636" s="22" t="n">
        <x:f>L4636*M4636</x:f>
        <x:v>15840</x:v>
      </x:c>
      <x:c r="P4636" s="22" t="n">
        <x:f>O4636*(1-N4636)</x:f>
        <x:v>15840</x:v>
      </x:c>
      <x:c r="Q4636" s="22" t="n">
        <x:v>1610</x:v>
      </x:c>
      <x:c r="R4636" s="22" t="n">
        <x:f>Q4636*M4636</x:f>
        <x:v>14490</x:v>
      </x:c>
      <x:c r="S4636" s="22" t="n">
        <x:f>P4636-R4636</x:f>
        <x:v>1350</x:v>
      </x:c>
      <x:c r="T4636" t="str">
        <x:v>Credit</x:v>
      </x:c>
      <x:c r="U4636" t="str">
        <x:v>Paid</x:v>
      </x:c>
      <x:c r="V4636" t="str">
        <x:v>Delayed</x:v>
      </x:c>
      <x:c r="W4636" t="n">
        <x:v>0</x:v>
      </x:c>
      <x:c r="X4636" t="str"/>
      <x:c r="Y4636" t="str">
        <x:v>Outbound Call</x:v>
      </x:c>
    </x:row>
    <x:row r="4637">
      <x:c r="A4637" t="str">
        <x:v>O004636</x:v>
      </x:c>
      <x:c r="B4637" s="20" t="n">
        <x:v>46118</x:v>
      </x:c>
      <x:c r="C4637" t="str">
        <x:v>C0215</x:v>
      </x:c>
      <x:c r="D4637" t="str">
        <x:v>Annapurna Restaurant 215</x:v>
      </x:c>
      <x:c r="E4637" t="str">
        <x:v>Supermarket</x:v>
      </x:c>
      <x:c r="F4637" t="str">
        <x:v>Bengaluru</x:v>
      </x:c>
      <x:c r="G4637" t="str">
        <x:v>Vikram</x:v>
      </x:c>
      <x:c r="H4637" t="str">
        <x:v>P006</x:v>
      </x:c>
      <x:c r="I4637" t="str">
        <x:v>Moong Dal 5kg</x:v>
      </x:c>
      <x:c r="J4637" t="str">
        <x:v>Pulses</x:v>
      </x:c>
      <x:c r="K4637" t="str">
        <x:v>Local Select</x:v>
      </x:c>
      <x:c r="L4637" s="22" t="n">
        <x:v>610</x:v>
      </x:c>
      <x:c r="M4637" t="n">
        <x:v>29</x:v>
      </x:c>
      <x:c r="N4637" s="24" t="n">
        <x:v>0.02</x:v>
      </x:c>
      <x:c r="O4637" s="22" t="n">
        <x:f>L4637*M4637</x:f>
        <x:v>17690</x:v>
      </x:c>
      <x:c r="P4637" s="22" t="n">
        <x:f>O4637*(1-N4637)</x:f>
        <x:v>17336.2</x:v>
      </x:c>
      <x:c r="Q4637" s="22" t="n">
        <x:v>540</x:v>
      </x:c>
      <x:c r="R4637" s="22" t="n">
        <x:f>Q4637*M4637</x:f>
        <x:v>15660</x:v>
      </x:c>
      <x:c r="S4637" s="22" t="n">
        <x:f>P4637-R4637</x:f>
        <x:v>1676.2000000000007</x:v>
      </x:c>
      <x:c r="T4637" t="str">
        <x:v>UPI</x:v>
      </x:c>
      <x:c r="U4637" t="str">
        <x:v>Overdue</x:v>
      </x:c>
      <x:c r="V4637" t="str">
        <x:v>Delivered</x:v>
      </x:c>
      <x:c r="W4637" t="n">
        <x:v>0</x:v>
      </x:c>
      <x:c r="X4637" t="str"/>
      <x:c r="Y4637" t="str">
        <x:v>Field Visit</x:v>
      </x:c>
    </x:row>
    <x:row r="4638">
      <x:c r="A4638" t="str">
        <x:v>O004637</x:v>
      </x:c>
      <x:c r="B4638" s="20" t="n">
        <x:v>45699</x:v>
      </x:c>
      <x:c r="C4638" t="str">
        <x:v>C0249</x:v>
      </x:c>
      <x:c r="D4638" t="str">
        <x:v>City Hotel 249</x:v>
      </x:c>
      <x:c r="E4638" t="str">
        <x:v>Supermarket</x:v>
      </x:c>
      <x:c r="F4638" t="str">
        <x:v>Mysuru</x:v>
      </x:c>
      <x:c r="G4638" t="str">
        <x:v>Arjun</x:v>
      </x:c>
      <x:c r="H4638" t="str">
        <x:v>P045</x:v>
      </x:c>
      <x:c r="I4638" t="str">
        <x:v>Onion 25kg</x:v>
      </x:c>
      <x:c r="J4638" t="str">
        <x:v>Fresh Produce</x:v>
      </x:c>
      <x:c r="K4638" t="str">
        <x:v>Local Market</x:v>
      </x:c>
      <x:c r="L4638" s="22" t="n">
        <x:v>875</x:v>
      </x:c>
      <x:c r="M4638" t="n">
        <x:v>18</x:v>
      </x:c>
      <x:c r="N4638" s="24" t="n">
        <x:v>0</x:v>
      </x:c>
      <x:c r="O4638" s="22" t="n">
        <x:f>L4638*M4638</x:f>
        <x:v>15750</x:v>
      </x:c>
      <x:c r="P4638" s="22" t="n">
        <x:f>O4638*(1-N4638)</x:f>
        <x:v>15750</x:v>
      </x:c>
      <x:c r="Q4638" s="22" t="n">
        <x:v>760</x:v>
      </x:c>
      <x:c r="R4638" s="22" t="n">
        <x:f>Q4638*M4638</x:f>
        <x:v>13680</x:v>
      </x:c>
      <x:c r="S4638" s="22" t="n">
        <x:f>P4638-R4638</x:f>
        <x:v>2070</x:v>
      </x:c>
      <x:c r="T4638" t="str">
        <x:v>Credit</x:v>
      </x:c>
      <x:c r="U4638" t="str">
        <x:v>Paid</x:v>
      </x:c>
      <x:c r="V4638" t="str">
        <x:v>Delivered</x:v>
      </x:c>
      <x:c r="W4638" t="n">
        <x:v>0</x:v>
      </x:c>
      <x:c r="X4638" t="str"/>
      <x:c r="Y4638" t="str">
        <x:v>Outbound Call</x:v>
      </x:c>
    </x:row>
    <x:row r="4639">
      <x:c r="A4639" t="str">
        <x:v>O004638</x:v>
      </x:c>
      <x:c r="B4639" s="20" t="n">
        <x:v>45793</x:v>
      </x:c>
      <x:c r="C4639" t="str">
        <x:v>C0115</x:v>
      </x:c>
      <x:c r="D4639" t="str">
        <x:v>Mysore Mart 115</x:v>
      </x:c>
      <x:c r="E4639" t="str">
        <x:v>Kirana</x:v>
      </x:c>
      <x:c r="F4639" t="str">
        <x:v>Mangaluru</x:v>
      </x:c>
      <x:c r="G4639" t="str">
        <x:v>Arjun</x:v>
      </x:c>
      <x:c r="H4639" t="str">
        <x:v>P023</x:v>
      </x:c>
      <x:c r="I4639" t="str">
        <x:v>Cola 750ml</x:v>
      </x:c>
      <x:c r="J4639" t="str">
        <x:v>Beverage</x:v>
      </x:c>
      <x:c r="K4639" t="str">
        <x:v>Coca-Cola</x:v>
      </x:c>
      <x:c r="L4639" s="22" t="n">
        <x:v>38</x:v>
      </x:c>
      <x:c r="M4639" t="n">
        <x:v>12</x:v>
      </x:c>
      <x:c r="N4639" s="24" t="n">
        <x:v>0.05</x:v>
      </x:c>
      <x:c r="O4639" s="22" t="n">
        <x:f>L4639*M4639</x:f>
        <x:v>456</x:v>
      </x:c>
      <x:c r="P4639" s="22" t="n">
        <x:f>O4639*(1-N4639)</x:f>
        <x:v>433.2</x:v>
      </x:c>
      <x:c r="Q4639" s="22" t="n">
        <x:v>31</x:v>
      </x:c>
      <x:c r="R4639" s="22" t="n">
        <x:f>Q4639*M4639</x:f>
        <x:v>372</x:v>
      </x:c>
      <x:c r="S4639" s="22" t="n">
        <x:f>P4639-R4639</x:f>
        <x:v>61.19999999999999</x:v>
      </x:c>
      <x:c r="T4639" t="str">
        <x:v>UPI</x:v>
      </x:c>
      <x:c r="U4639" t="str">
        <x:v>Paid</x:v>
      </x:c>
      <x:c r="V4639" t="str">
        <x:v>Delivered</x:v>
      </x:c>
      <x:c r="W4639" t="n">
        <x:v>0</x:v>
      </x:c>
      <x:c r="X4639" t="str"/>
      <x:c r="Y4639" t="str">
        <x:v>WhatsApp</x:v>
      </x:c>
    </x:row>
    <x:row r="4640">
      <x:c r="A4640" t="str">
        <x:v>O004639</x:v>
      </x:c>
      <x:c r="B4640" s="20" t="n">
        <x:v>45718</x:v>
      </x:c>
      <x:c r="C4640" t="str">
        <x:v>C0051</x:v>
      </x:c>
      <x:c r="D4640" t="str">
        <x:v>Cafe Hotel 51</x:v>
      </x:c>
      <x:c r="E4640" t="str">
        <x:v>Kirana</x:v>
      </x:c>
      <x:c r="F4640" t="str">
        <x:v>Tumakuru</x:v>
      </x:c>
      <x:c r="G4640" t="str">
        <x:v>Arjun</x:v>
      </x:c>
      <x:c r="H4640" t="str">
        <x:v>P038</x:v>
      </x:c>
      <x:c r="I4640" t="str">
        <x:v>French Fries 2.5kg</x:v>
      </x:c>
      <x:c r="J4640" t="str">
        <x:v>Frozen</x:v>
      </x:c>
      <x:c r="K4640" t="str">
        <x:v>McCain</x:v>
      </x:c>
      <x:c r="L4640" s="22" t="n">
        <x:v>360</x:v>
      </x:c>
      <x:c r="M4640" t="n">
        <x:v>14</x:v>
      </x:c>
      <x:c r="N4640" s="24" t="n">
        <x:v>0.03</x:v>
      </x:c>
      <x:c r="O4640" s="22" t="n">
        <x:f>L4640*M4640</x:f>
        <x:v>5040</x:v>
      </x:c>
      <x:c r="P4640" s="22" t="n">
        <x:f>O4640*(1-N4640)</x:f>
        <x:v>4888.8</x:v>
      </x:c>
      <x:c r="Q4640" s="22" t="n">
        <x:v>315</x:v>
      </x:c>
      <x:c r="R4640" s="22" t="n">
        <x:f>Q4640*M4640</x:f>
        <x:v>4410</x:v>
      </x:c>
      <x:c r="S4640" s="22" t="n">
        <x:f>P4640-R4640</x:f>
        <x:v>478.8000000000002</x:v>
      </x:c>
      <x:c r="T4640" t="str">
        <x:v>Cash</x:v>
      </x:c>
      <x:c r="U4640" t="str">
        <x:v>Paid</x:v>
      </x:c>
      <x:c r="V4640" t="str">
        <x:v>Delivered</x:v>
      </x:c>
      <x:c r="W4640" t="n">
        <x:v>0</x:v>
      </x:c>
      <x:c r="X4640" t="str"/>
      <x:c r="Y4640" t="str">
        <x:v>WhatsApp</x:v>
      </x:c>
    </x:row>
    <x:row r="4641">
      <x:c r="A4641" t="str">
        <x:v>O004640</x:v>
      </x:c>
      <x:c r="B4641" s="20" t="n">
        <x:v>45990</x:v>
      </x:c>
      <x:c r="C4641" t="str">
        <x:v>C0095</x:v>
      </x:c>
      <x:c r="D4641" t="str">
        <x:v>Spice Restaurant 95</x:v>
      </x:c>
      <x:c r="E4641" t="str">
        <x:v>Restaurant</x:v>
      </x:c>
      <x:c r="F4641" t="str">
        <x:v>Bengaluru</x:v>
      </x:c>
      <x:c r="G4641" t="str">
        <x:v>Megha</x:v>
      </x:c>
      <x:c r="H4641" t="str">
        <x:v>P014</x:v>
      </x:c>
      <x:c r="I4641" t="str">
        <x:v>Rava 5kg</x:v>
      </x:c>
      <x:c r="J4641" t="str">
        <x:v>Flour</x:v>
      </x:c>
      <x:c r="K4641" t="str">
        <x:v>Local Select</x:v>
      </x:c>
      <x:c r="L4641" s="22" t="n">
        <x:v>245</x:v>
      </x:c>
      <x:c r="M4641" t="n">
        <x:v>5</x:v>
      </x:c>
      <x:c r="N4641" s="24" t="n">
        <x:v>0.08</x:v>
      </x:c>
      <x:c r="O4641" s="22" t="n">
        <x:f>L4641*M4641</x:f>
        <x:v>1225</x:v>
      </x:c>
      <x:c r="P4641" s="22" t="n">
        <x:f>O4641*(1-N4641)</x:f>
        <x:v>1127</x:v>
      </x:c>
      <x:c r="Q4641" s="22" t="n">
        <x:v>215</x:v>
      </x:c>
      <x:c r="R4641" s="22" t="n">
        <x:f>Q4641*M4641</x:f>
        <x:v>1075</x:v>
      </x:c>
      <x:c r="S4641" s="22" t="n">
        <x:f>P4641-R4641</x:f>
        <x:v>52</x:v>
      </x:c>
      <x:c r="T4641" t="str">
        <x:v>Bank Transfer</x:v>
      </x:c>
      <x:c r="U4641" t="str">
        <x:v>Paid</x:v>
      </x:c>
      <x:c r="V4641" t="str">
        <x:v>Cancelled</x:v>
      </x:c>
      <x:c r="W4641" t="n">
        <x:v>5</x:v>
      </x:c>
      <x:c r="X4641" t="str">
        <x:v>Cancelled Order</x:v>
      </x:c>
      <x:c r="Y4641" t="str">
        <x:v>WhatsApp</x:v>
      </x:c>
    </x:row>
    <x:row r="4642">
      <x:c r="A4642" t="str">
        <x:v>O004641</x:v>
      </x:c>
      <x:c r="B4642" s="20" t="n">
        <x:v>46166</x:v>
      </x:c>
      <x:c r="C4642" t="str">
        <x:v>C0154</x:v>
      </x:c>
      <x:c r="D4642" t="str">
        <x:v>Royal Restaurant 154</x:v>
      </x:c>
      <x:c r="E4642" t="str">
        <x:v>Restaurant</x:v>
      </x:c>
      <x:c r="F4642" t="str">
        <x:v>Tumakuru</x:v>
      </x:c>
      <x:c r="G4642" t="str">
        <x:v>Kavya</x:v>
      </x:c>
      <x:c r="H4642" t="str">
        <x:v>P009</x:v>
      </x:c>
      <x:c r="I4642" t="str">
        <x:v>Groundnut Oil 5L</x:v>
      </x:c>
      <x:c r="J4642" t="str">
        <x:v>Edible Oil</x:v>
      </x:c>
      <x:c r="K4642" t="str">
        <x:v>Dhara</x:v>
      </x:c>
      <x:c r="L4642" s="22" t="n">
        <x:v>890</x:v>
      </x:c>
      <x:c r="M4642" t="n">
        <x:v>1</x:v>
      </x:c>
      <x:c r="N4642" s="24" t="n">
        <x:v>0.03</x:v>
      </x:c>
      <x:c r="O4642" s="22" t="n">
        <x:f>L4642*M4642</x:f>
        <x:v>890</x:v>
      </x:c>
      <x:c r="P4642" s="22" t="n">
        <x:f>O4642*(1-N4642)</x:f>
        <x:v>863.3</x:v>
      </x:c>
      <x:c r="Q4642" s="22" t="n">
        <x:v>810</x:v>
      </x:c>
      <x:c r="R4642" s="22" t="n">
        <x:f>Q4642*M4642</x:f>
        <x:v>810</x:v>
      </x:c>
      <x:c r="S4642" s="22" t="n">
        <x:f>P4642-R4642</x:f>
        <x:v>53.299999999999955</x:v>
      </x:c>
      <x:c r="T4642" t="str">
        <x:v>Bank Transfer</x:v>
      </x:c>
      <x:c r="U4642" t="str">
        <x:v>Paid</x:v>
      </x:c>
      <x:c r="V4642" t="str">
        <x:v>Delayed</x:v>
      </x:c>
      <x:c r="W4642" t="n">
        <x:v>0</x:v>
      </x:c>
      <x:c r="X4642" t="str"/>
      <x:c r="Y4642" t="str">
        <x:v>Outbound Call</x:v>
      </x:c>
    </x:row>
    <x:row r="4643">
      <x:c r="A4643" t="str">
        <x:v>O004642</x:v>
      </x:c>
      <x:c r="B4643" s="20" t="n">
        <x:v>45870</x:v>
      </x:c>
      <x:c r="C4643" t="str">
        <x:v>C0184</x:v>
      </x:c>
      <x:c r="D4643" t="str">
        <x:v>Namma Restaurant 184</x:v>
      </x:c>
      <x:c r="E4643" t="str">
        <x:v>Cafe</x:v>
      </x:c>
      <x:c r="F4643" t="str">
        <x:v>Hubballi</x:v>
      </x:c>
      <x:c r="G4643" t="str">
        <x:v>Arjun</x:v>
      </x:c>
      <x:c r="H4643" t="str">
        <x:v>P002</x:v>
      </x:c>
      <x:c r="I4643" t="str">
        <x:v>Sona Masoori Rice 25kg</x:v>
      </x:c>
      <x:c r="J4643" t="str">
        <x:v>Staples</x:v>
      </x:c>
      <x:c r="K4643" t="str">
        <x:v>Fortune</x:v>
      </x:c>
      <x:c r="L4643" s="22" t="n">
        <x:v>1320</x:v>
      </x:c>
      <x:c r="M4643" t="n">
        <x:v>9</x:v>
      </x:c>
      <x:c r="N4643" s="24" t="n">
        <x:v>0</x:v>
      </x:c>
      <x:c r="O4643" s="22" t="n">
        <x:f>L4643*M4643</x:f>
        <x:v>11880</x:v>
      </x:c>
      <x:c r="P4643" s="22" t="n">
        <x:f>O4643*(1-N4643)</x:f>
        <x:v>11880</x:v>
      </x:c>
      <x:c r="Q4643" s="22" t="n">
        <x:v>1160</x:v>
      </x:c>
      <x:c r="R4643" s="22" t="n">
        <x:f>Q4643*M4643</x:f>
        <x:v>10440</x:v>
      </x:c>
      <x:c r="S4643" s="22" t="n">
        <x:f>P4643-R4643</x:f>
        <x:v>1440</x:v>
      </x:c>
      <x:c r="T4643" t="str">
        <x:v>UPI</x:v>
      </x:c>
      <x:c r="U4643" t="str">
        <x:v>Paid</x:v>
      </x:c>
      <x:c r="V4643" t="str">
        <x:v>Delivered</x:v>
      </x:c>
      <x:c r="W4643" t="n">
        <x:v>0</x:v>
      </x:c>
      <x:c r="X4643" t="str"/>
      <x:c r="Y4643" t="str">
        <x:v>Outbound Call</x:v>
      </x:c>
    </x:row>
    <x:row r="4644">
      <x:c r="A4644" t="str">
        <x:v>O004643</x:v>
      </x:c>
      <x:c r="B4644" s="20" t="n">
        <x:v>45921</x:v>
      </x:c>
      <x:c r="C4644" t="str">
        <x:v>C0217</x:v>
      </x:c>
      <x:c r="D4644" t="str">
        <x:v>Darshini Cafe 217</x:v>
      </x:c>
      <x:c r="E4644" t="str">
        <x:v>Restaurant</x:v>
      </x:c>
      <x:c r="F4644" t="str">
        <x:v>Bengaluru</x:v>
      </x:c>
      <x:c r="G4644" t="str">
        <x:v>Priya</x:v>
      </x:c>
      <x:c r="H4644" t="str">
        <x:v>P016</x:v>
      </x:c>
      <x:c r="I4644" t="str">
        <x:v>Curd 1kg</x:v>
      </x:c>
      <x:c r="J4644" t="str">
        <x:v>Dairy</x:v>
      </x:c>
      <x:c r="K4644" t="str">
        <x:v>Nandini</x:v>
      </x:c>
      <x:c r="L4644" s="22" t="n">
        <x:v>72</x:v>
      </x:c>
      <x:c r="M4644" t="n">
        <x:v>7</x:v>
      </x:c>
      <x:c r="N4644" s="24" t="n">
        <x:v>0.05</x:v>
      </x:c>
      <x:c r="O4644" s="22" t="n">
        <x:f>L4644*M4644</x:f>
        <x:v>504</x:v>
      </x:c>
      <x:c r="P4644" s="22" t="n">
        <x:f>O4644*(1-N4644)</x:f>
        <x:v>478.79999999999995</x:v>
      </x:c>
      <x:c r="Q4644" s="22" t="n">
        <x:v>64</x:v>
      </x:c>
      <x:c r="R4644" s="22" t="n">
        <x:f>Q4644*M4644</x:f>
        <x:v>448</x:v>
      </x:c>
      <x:c r="S4644" s="22" t="n">
        <x:f>P4644-R4644</x:f>
        <x:v>30.799999999999955</x:v>
      </x:c>
      <x:c r="T4644" t="str">
        <x:v>Credit</x:v>
      </x:c>
      <x:c r="U4644" t="str">
        <x:v>Paid</x:v>
      </x:c>
      <x:c r="V4644" t="str">
        <x:v>Cancelled</x:v>
      </x:c>
      <x:c r="W4644" t="n">
        <x:v>7</x:v>
      </x:c>
      <x:c r="X4644" t="str">
        <x:v>Cancelled Order</x:v>
      </x:c>
      <x:c r="Y4644" t="str">
        <x:v>Existing Customer</x:v>
      </x:c>
    </x:row>
    <x:row r="4645">
      <x:c r="A4645" t="str">
        <x:v>O004644</x:v>
      </x:c>
      <x:c r="B4645" s="20" t="n">
        <x:v>46158</x:v>
      </x:c>
      <x:c r="C4645" t="str">
        <x:v>C0119</x:v>
      </x:c>
      <x:c r="D4645" t="str">
        <x:v>Foodie Foods 119</x:v>
      </x:c>
      <x:c r="E4645" t="str">
        <x:v>Kirana</x:v>
      </x:c>
      <x:c r="F4645" t="str">
        <x:v>Hubballi</x:v>
      </x:c>
      <x:c r="G4645" t="str">
        <x:v>Imran</x:v>
      </x:c>
      <x:c r="H4645" t="str">
        <x:v>P023</x:v>
      </x:c>
      <x:c r="I4645" t="str">
        <x:v>Cola 750ml</x:v>
      </x:c>
      <x:c r="J4645" t="str">
        <x:v>Beverage</x:v>
      </x:c>
      <x:c r="K4645" t="str">
        <x:v>Coca-Cola</x:v>
      </x:c>
      <x:c r="L4645" s="22" t="n">
        <x:v>38</x:v>
      </x:c>
      <x:c r="M4645" t="n">
        <x:v>34</x:v>
      </x:c>
      <x:c r="N4645" s="24" t="n">
        <x:v>0.03</x:v>
      </x:c>
      <x:c r="O4645" s="22" t="n">
        <x:f>L4645*M4645</x:f>
        <x:v>1292</x:v>
      </x:c>
      <x:c r="P4645" s="22" t="n">
        <x:f>O4645*(1-N4645)</x:f>
        <x:v>1253.24</x:v>
      </x:c>
      <x:c r="Q4645" s="22" t="n">
        <x:v>31</x:v>
      </x:c>
      <x:c r="R4645" s="22" t="n">
        <x:f>Q4645*M4645</x:f>
        <x:v>1054</x:v>
      </x:c>
      <x:c r="S4645" s="22" t="n">
        <x:f>P4645-R4645</x:f>
        <x:v>199.24</x:v>
      </x:c>
      <x:c r="T4645" t="str">
        <x:v>Cash</x:v>
      </x:c>
      <x:c r="U4645" t="str">
        <x:v>Paid</x:v>
      </x:c>
      <x:c r="V4645" t="str">
        <x:v>Delivered</x:v>
      </x:c>
      <x:c r="W4645" t="n">
        <x:v>0</x:v>
      </x:c>
      <x:c r="X4645" t="str"/>
      <x:c r="Y4645" t="str">
        <x:v>Existing Customer</x:v>
      </x:c>
    </x:row>
    <x:row r="4646">
      <x:c r="A4646" t="str">
        <x:v>O004645</x:v>
      </x:c>
      <x:c r="B4646" s="20" t="n">
        <x:v>45924</x:v>
      </x:c>
      <x:c r="C4646" t="str">
        <x:v>C0226</x:v>
      </x:c>
      <x:c r="D4646" t="str">
        <x:v>Green Stores 226</x:v>
      </x:c>
      <x:c r="E4646" t="str">
        <x:v>Restaurant</x:v>
      </x:c>
      <x:c r="F4646" t="str">
        <x:v>Hubballi</x:v>
      </x:c>
      <x:c r="G4646" t="str">
        <x:v>Priya</x:v>
      </x:c>
      <x:c r="H4646" t="str">
        <x:v>P026</x:v>
      </x:c>
      <x:c r="I4646" t="str">
        <x:v>Banana Chips 80g</x:v>
      </x:c>
      <x:c r="J4646" t="str">
        <x:v>Snacks</x:v>
      </x:c>
      <x:c r="K4646" t="str">
        <x:v>SSS</x:v>
      </x:c>
      <x:c r="L4646" s="22" t="n">
        <x:v>54</x:v>
      </x:c>
      <x:c r="M4646" t="n">
        <x:v>20</x:v>
      </x:c>
      <x:c r="N4646" s="24" t="n">
        <x:v>0.02</x:v>
      </x:c>
      <x:c r="O4646" s="22" t="n">
        <x:f>L4646*M4646</x:f>
        <x:v>1080</x:v>
      </x:c>
      <x:c r="P4646" s="22" t="n">
        <x:f>O4646*(1-N4646)</x:f>
        <x:v>1058.4</x:v>
      </x:c>
      <x:c r="Q4646" s="22" t="n">
        <x:v>39</x:v>
      </x:c>
      <x:c r="R4646" s="22" t="n">
        <x:f>Q4646*M4646</x:f>
        <x:v>780</x:v>
      </x:c>
      <x:c r="S4646" s="22" t="n">
        <x:f>P4646-R4646</x:f>
        <x:v>278.4000000000001</x:v>
      </x:c>
      <x:c r="T4646" t="str">
        <x:v>UPI</x:v>
      </x:c>
      <x:c r="U4646" t="str">
        <x:v>Paid</x:v>
      </x:c>
      <x:c r="V4646" t="str">
        <x:v>Delayed</x:v>
      </x:c>
      <x:c r="W4646" t="n">
        <x:v>0</x:v>
      </x:c>
      <x:c r="X4646" t="str"/>
      <x:c r="Y4646" t="str">
        <x:v>Field Visit</x:v>
      </x:c>
    </x:row>
    <x:row r="4647">
      <x:c r="A4647" t="str">
        <x:v>O004646</x:v>
      </x:c>
      <x:c r="B4647" s="20" t="n">
        <x:v>45734</x:v>
      </x:c>
      <x:c r="C4647" t="str">
        <x:v>C0181</x:v>
      </x:c>
      <x:c r="D4647" t="str">
        <x:v>Darshini Mart 181</x:v>
      </x:c>
      <x:c r="E4647" t="str">
        <x:v>Restaurant</x:v>
      </x:c>
      <x:c r="F4647" t="str">
        <x:v>Mangaluru</x:v>
      </x:c>
      <x:c r="G4647" t="str">
        <x:v>Kavya</x:v>
      </x:c>
      <x:c r="H4647" t="str">
        <x:v>P026</x:v>
      </x:c>
      <x:c r="I4647" t="str">
        <x:v>Banana Chips 80g</x:v>
      </x:c>
      <x:c r="J4647" t="str">
        <x:v>Snacks</x:v>
      </x:c>
      <x:c r="K4647" t="str">
        <x:v>SSS</x:v>
      </x:c>
      <x:c r="L4647" s="22" t="n">
        <x:v>54</x:v>
      </x:c>
      <x:c r="M4647" t="n">
        <x:v>28</x:v>
      </x:c>
      <x:c r="N4647" s="24" t="n">
        <x:v>0.1</x:v>
      </x:c>
      <x:c r="O4647" s="22" t="n">
        <x:f>L4647*M4647</x:f>
        <x:v>1512</x:v>
      </x:c>
      <x:c r="P4647" s="22" t="n">
        <x:f>O4647*(1-N4647)</x:f>
        <x:v>1360.8</x:v>
      </x:c>
      <x:c r="Q4647" s="22" t="n">
        <x:v>39</x:v>
      </x:c>
      <x:c r="R4647" s="22" t="n">
        <x:f>Q4647*M4647</x:f>
        <x:v>1092</x:v>
      </x:c>
      <x:c r="S4647" s="22" t="n">
        <x:f>P4647-R4647</x:f>
        <x:v>268.79999999999995</x:v>
      </x:c>
      <x:c r="T4647" t="str">
        <x:v>Bank Transfer</x:v>
      </x:c>
      <x:c r="U4647" t="str">
        <x:v>Paid</x:v>
      </x:c>
      <x:c r="V4647" t="str">
        <x:v>Delivered</x:v>
      </x:c>
      <x:c r="W4647" t="n">
        <x:v>0</x:v>
      </x:c>
      <x:c r="X4647" t="str"/>
      <x:c r="Y4647" t="str">
        <x:v>WhatsApp</x:v>
      </x:c>
    </x:row>
    <x:row r="4648">
      <x:c r="A4648" t="str">
        <x:v>O004647</x:v>
      </x:c>
      <x:c r="B4648" s="20" t="n">
        <x:v>46006</x:v>
      </x:c>
      <x:c r="C4648" t="str">
        <x:v>C0027</x:v>
      </x:c>
      <x:c r="D4648" t="str">
        <x:v>Fresh Cafe 27</x:v>
      </x:c>
      <x:c r="E4648" t="str">
        <x:v>Restaurant</x:v>
      </x:c>
      <x:c r="F4648" t="str">
        <x:v>Tumakuru</x:v>
      </x:c>
      <x:c r="G4648" t="str">
        <x:v>Megha</x:v>
      </x:c>
      <x:c r="H4648" t="str">
        <x:v>P002</x:v>
      </x:c>
      <x:c r="I4648" t="str">
        <x:v>Sona Masoori Rice 25kg</x:v>
      </x:c>
      <x:c r="J4648" t="str">
        <x:v>Staples</x:v>
      </x:c>
      <x:c r="K4648" t="str">
        <x:v>Fortune</x:v>
      </x:c>
      <x:c r="L4648" s="22" t="n">
        <x:v>1320</x:v>
      </x:c>
      <x:c r="M4648" t="n">
        <x:v>11</x:v>
      </x:c>
      <x:c r="N4648" s="24" t="n">
        <x:v>0.05</x:v>
      </x:c>
      <x:c r="O4648" s="22" t="n">
        <x:f>L4648*M4648</x:f>
        <x:v>14520</x:v>
      </x:c>
      <x:c r="P4648" s="22" t="n">
        <x:f>O4648*(1-N4648)</x:f>
        <x:v>13794</x:v>
      </x:c>
      <x:c r="Q4648" s="22" t="n">
        <x:v>1160</x:v>
      </x:c>
      <x:c r="R4648" s="22" t="n">
        <x:f>Q4648*M4648</x:f>
        <x:v>12760</x:v>
      </x:c>
      <x:c r="S4648" s="22" t="n">
        <x:f>P4648-R4648</x:f>
        <x:v>1034</x:v>
      </x:c>
      <x:c r="T4648" t="str">
        <x:v>UPI</x:v>
      </x:c>
      <x:c r="U4648" t="str">
        <x:v>Paid</x:v>
      </x:c>
      <x:c r="V4648" t="str">
        <x:v>Delivered</x:v>
      </x:c>
      <x:c r="W4648" t="n">
        <x:v>2</x:v>
      </x:c>
      <x:c r="X4648" t="str">
        <x:v>Quality Issue</x:v>
      </x:c>
      <x:c r="Y4648" t="str">
        <x:v>WhatsApp</x:v>
      </x:c>
    </x:row>
    <x:row r="4649">
      <x:c r="A4649" t="str">
        <x:v>O004648</x:v>
      </x:c>
      <x:c r="B4649" s="20" t="n">
        <x:v>45803</x:v>
      </x:c>
      <x:c r="C4649" t="str">
        <x:v>C0085</x:v>
      </x:c>
      <x:c r="D4649" t="str">
        <x:v>Green Hotel 85</x:v>
      </x:c>
      <x:c r="E4649" t="str">
        <x:v>Kirana</x:v>
      </x:c>
      <x:c r="F4649" t="str">
        <x:v>Mysuru</x:v>
      </x:c>
      <x:c r="G4649" t="str">
        <x:v>Arjun</x:v>
      </x:c>
      <x:c r="H4649" t="str">
        <x:v>P038</x:v>
      </x:c>
      <x:c r="I4649" t="str">
        <x:v>French Fries 2.5kg</x:v>
      </x:c>
      <x:c r="J4649" t="str">
        <x:v>Frozen</x:v>
      </x:c>
      <x:c r="K4649" t="str">
        <x:v>McCain</x:v>
      </x:c>
      <x:c r="L4649" s="22" t="n">
        <x:v>360</x:v>
      </x:c>
      <x:c r="M4649" t="n">
        <x:v>6</x:v>
      </x:c>
      <x:c r="N4649" s="24" t="n">
        <x:v>0.05</x:v>
      </x:c>
      <x:c r="O4649" s="22" t="n">
        <x:f>L4649*M4649</x:f>
        <x:v>2160</x:v>
      </x:c>
      <x:c r="P4649" s="22" t="n">
        <x:f>O4649*(1-N4649)</x:f>
        <x:v>2052</x:v>
      </x:c>
      <x:c r="Q4649" s="22" t="n">
        <x:v>315</x:v>
      </x:c>
      <x:c r="R4649" s="22" t="n">
        <x:f>Q4649*M4649</x:f>
        <x:v>1890</x:v>
      </x:c>
      <x:c r="S4649" s="22" t="n">
        <x:f>P4649-R4649</x:f>
        <x:v>162</x:v>
      </x:c>
      <x:c r="T4649" t="str">
        <x:v>Cash</x:v>
      </x:c>
      <x:c r="U4649" t="str">
        <x:v>Paid</x:v>
      </x:c>
      <x:c r="V4649" t="str">
        <x:v>Delayed</x:v>
      </x:c>
      <x:c r="W4649" t="n">
        <x:v>0</x:v>
      </x:c>
      <x:c r="X4649" t="str"/>
      <x:c r="Y4649" t="str">
        <x:v>WhatsApp</x:v>
      </x:c>
    </x:row>
    <x:row r="4650">
      <x:c r="A4650" t="str">
        <x:v>O004649</x:v>
      </x:c>
      <x:c r="B4650" s="20" t="n">
        <x:v>46247</x:v>
      </x:c>
      <x:c r="C4650" t="str">
        <x:v>C0224</x:v>
      </x:c>
      <x:c r="D4650" t="str">
        <x:v>Royal Foods 224</x:v>
      </x:c>
      <x:c r="E4650" t="str">
        <x:v>Canteen</x:v>
      </x:c>
      <x:c r="F4650" t="str">
        <x:v>Tumakuru</x:v>
      </x:c>
      <x:c r="G4650" t="str">
        <x:v>Arjun</x:v>
      </x:c>
      <x:c r="H4650" t="str">
        <x:v>P040</x:v>
      </x:c>
      <x:c r="I4650" t="str">
        <x:v>Bread Loaf 400g</x:v>
      </x:c>
      <x:c r="J4650" t="str">
        <x:v>Bakery</x:v>
      </x:c>
      <x:c r="K4650" t="str">
        <x:v>Britannia</x:v>
      </x:c>
      <x:c r="L4650" s="22" t="n">
        <x:v>45</x:v>
      </x:c>
      <x:c r="M4650" t="n">
        <x:v>14</x:v>
      </x:c>
      <x:c r="N4650" s="24" t="n">
        <x:v>0.05</x:v>
      </x:c>
      <x:c r="O4650" s="22" t="n">
        <x:f>L4650*M4650</x:f>
        <x:v>630</x:v>
      </x:c>
      <x:c r="P4650" s="22" t="n">
        <x:f>O4650*(1-N4650)</x:f>
        <x:v>598.5</x:v>
      </x:c>
      <x:c r="Q4650" s="22" t="n">
        <x:v>35</x:v>
      </x:c>
      <x:c r="R4650" s="22" t="n">
        <x:f>Q4650*M4650</x:f>
        <x:v>490</x:v>
      </x:c>
      <x:c r="S4650" s="22" t="n">
        <x:f>P4650-R4650</x:f>
        <x:v>108.5</x:v>
      </x:c>
      <x:c r="T4650" t="str">
        <x:v>Credit</x:v>
      </x:c>
      <x:c r="U4650" t="str">
        <x:v>Overdue</x:v>
      </x:c>
      <x:c r="V4650" t="str">
        <x:v>Delivered</x:v>
      </x:c>
      <x:c r="W4650" t="n">
        <x:v>0</x:v>
      </x:c>
      <x:c r="X4650" t="str"/>
      <x:c r="Y4650" t="str">
        <x:v>Existing Customer</x:v>
      </x:c>
    </x:row>
    <x:row r="4651">
      <x:c r="A4651" t="str">
        <x:v>O004650</x:v>
      </x:c>
      <x:c r="B4651" s="20" t="n">
        <x:v>45838</x:v>
      </x:c>
      <x:c r="C4651" t="str">
        <x:v>C0137</x:v>
      </x:c>
      <x:c r="D4651" t="str">
        <x:v>Green Restaurant 137</x:v>
      </x:c>
      <x:c r="E4651" t="str">
        <x:v>Canteen</x:v>
      </x:c>
      <x:c r="F4651" t="str">
        <x:v>Mangaluru</x:v>
      </x:c>
      <x:c r="G4651" t="str">
        <x:v>Arjun</x:v>
      </x:c>
      <x:c r="H4651" t="str">
        <x:v>P003</x:v>
      </x:c>
      <x:c r="I4651" t="str">
        <x:v>Basmati Rice 5kg</x:v>
      </x:c>
      <x:c r="J4651" t="str">
        <x:v>Staples</x:v>
      </x:c>
      <x:c r="K4651" t="str">
        <x:v>India Gate</x:v>
      </x:c>
      <x:c r="L4651" s="22" t="n">
        <x:v>690</x:v>
      </x:c>
      <x:c r="M4651" t="n">
        <x:v>15</x:v>
      </x:c>
      <x:c r="N4651" s="24" t="n">
        <x:v>0.03</x:v>
      </x:c>
      <x:c r="O4651" s="22" t="n">
        <x:f>L4651*M4651</x:f>
        <x:v>10350</x:v>
      </x:c>
      <x:c r="P4651" s="22" t="n">
        <x:f>O4651*(1-N4651)</x:f>
        <x:v>10039.5</x:v>
      </x:c>
      <x:c r="Q4651" s="22" t="n">
        <x:v>610</x:v>
      </x:c>
      <x:c r="R4651" s="22" t="n">
        <x:f>Q4651*M4651</x:f>
        <x:v>9150</x:v>
      </x:c>
      <x:c r="S4651" s="22" t="n">
        <x:f>P4651-R4651</x:f>
        <x:v>889.5</x:v>
      </x:c>
      <x:c r="T4651" t="str">
        <x:v>Credit</x:v>
      </x:c>
      <x:c r="U4651" t="str">
        <x:v>Paid</x:v>
      </x:c>
      <x:c r="V4651" t="str">
        <x:v>Cancelled</x:v>
      </x:c>
      <x:c r="W4651" t="n">
        <x:v>15</x:v>
      </x:c>
      <x:c r="X4651" t="str">
        <x:v>Cancelled Order</x:v>
      </x:c>
      <x:c r="Y4651" t="str">
        <x:v>Field Visit</x:v>
      </x:c>
    </x:row>
    <x:row r="4652">
      <x:c r="A4652" t="str">
        <x:v>O004651</x:v>
      </x:c>
      <x:c r="B4652" s="20" t="n">
        <x:v>45887</x:v>
      </x:c>
      <x:c r="C4652" t="str">
        <x:v>C0058</x:v>
      </x:c>
      <x:c r="D4652" t="str">
        <x:v>Spice Kitchen 58</x:v>
      </x:c>
      <x:c r="E4652" t="str">
        <x:v>Supermarket</x:v>
      </x:c>
      <x:c r="F4652" t="str">
        <x:v>Davanagere</x:v>
      </x:c>
      <x:c r="G4652" t="str">
        <x:v>Sneha</x:v>
      </x:c>
      <x:c r="H4652" t="str">
        <x:v>P047</x:v>
      </x:c>
      <x:c r="I4652" t="str">
        <x:v>Tomato 25kg</x:v>
      </x:c>
      <x:c r="J4652" t="str">
        <x:v>Fresh Produce</x:v>
      </x:c>
      <x:c r="K4652" t="str">
        <x:v>Local Market</x:v>
      </x:c>
      <x:c r="L4652" s="22" t="n">
        <x:v>950</x:v>
      </x:c>
      <x:c r="M4652" t="n">
        <x:v>29</x:v>
      </x:c>
      <x:c r="N4652" s="24" t="n">
        <x:v>0.08</x:v>
      </x:c>
      <x:c r="O4652" s="22" t="n">
        <x:f>L4652*M4652</x:f>
        <x:v>27550</x:v>
      </x:c>
      <x:c r="P4652" s="22" t="n">
        <x:f>O4652*(1-N4652)</x:f>
        <x:v>25346</x:v>
      </x:c>
      <x:c r="Q4652" s="22" t="n">
        <x:v>810</x:v>
      </x:c>
      <x:c r="R4652" s="22" t="n">
        <x:f>Q4652*M4652</x:f>
        <x:v>23490</x:v>
      </x:c>
      <x:c r="S4652" s="22" t="n">
        <x:f>P4652-R4652</x:f>
        <x:v>1856</x:v>
      </x:c>
      <x:c r="T4652" t="str">
        <x:v>Credit</x:v>
      </x:c>
      <x:c r="U4652" t="str">
        <x:v>Pending</x:v>
      </x:c>
      <x:c r="V4652" t="str">
        <x:v>Cancelled</x:v>
      </x:c>
      <x:c r="W4652" t="n">
        <x:v>29</x:v>
      </x:c>
      <x:c r="X4652" t="str">
        <x:v>Cancelled Order</x:v>
      </x:c>
      <x:c r="Y4652" t="str">
        <x:v>Outbound Call</x:v>
      </x:c>
    </x:row>
    <x:row r="4653">
      <x:c r="A4653" t="str">
        <x:v>O004652</x:v>
      </x:c>
      <x:c r="B4653" s="20" t="n">
        <x:v>46182</x:v>
      </x:c>
      <x:c r="C4653" t="str">
        <x:v>C0217</x:v>
      </x:c>
      <x:c r="D4653" t="str">
        <x:v>Darshini Cafe 217</x:v>
      </x:c>
      <x:c r="E4653" t="str">
        <x:v>Restaurant</x:v>
      </x:c>
      <x:c r="F4653" t="str">
        <x:v>Bengaluru</x:v>
      </x:c>
      <x:c r="G4653" t="str">
        <x:v>Priya</x:v>
      </x:c>
      <x:c r="H4653" t="str">
        <x:v>P004</x:v>
      </x:c>
      <x:c r="I4653" t="str">
        <x:v>Toor Dal 5kg</x:v>
      </x:c>
      <x:c r="J4653" t="str">
        <x:v>Pulses</x:v>
      </x:c>
      <x:c r="K4653" t="str">
        <x:v>Tata Sampann</x:v>
      </x:c>
      <x:c r="L4653" s="22" t="n">
        <x:v>780</x:v>
      </x:c>
      <x:c r="M4653" t="n">
        <x:v>22</x:v>
      </x:c>
      <x:c r="N4653" s="24" t="n">
        <x:v>0.03</x:v>
      </x:c>
      <x:c r="O4653" s="22" t="n">
        <x:f>L4653*M4653</x:f>
        <x:v>17160</x:v>
      </x:c>
      <x:c r="P4653" s="22" t="n">
        <x:f>O4653*(1-N4653)</x:f>
        <x:v>16645.2</x:v>
      </x:c>
      <x:c r="Q4653" s="22" t="n">
        <x:v>695</x:v>
      </x:c>
      <x:c r="R4653" s="22" t="n">
        <x:f>Q4653*M4653</x:f>
        <x:v>15290</x:v>
      </x:c>
      <x:c r="S4653" s="22" t="n">
        <x:f>P4653-R4653</x:f>
        <x:v>1355.2000000000007</x:v>
      </x:c>
      <x:c r="T4653" t="str">
        <x:v>Bank Transfer</x:v>
      </x:c>
      <x:c r="U4653" t="str">
        <x:v>Pending</x:v>
      </x:c>
      <x:c r="V4653" t="str">
        <x:v>Delivered</x:v>
      </x:c>
      <x:c r="W4653" t="n">
        <x:v>0</x:v>
      </x:c>
      <x:c r="X4653" t="str"/>
      <x:c r="Y4653" t="str">
        <x:v>WhatsApp</x:v>
      </x:c>
    </x:row>
    <x:row r="4654">
      <x:c r="A4654" t="str">
        <x:v>O004653</x:v>
      </x:c>
      <x:c r="B4654" s="20" t="n">
        <x:v>46199</x:v>
      </x:c>
      <x:c r="C4654" t="str">
        <x:v>C0056</x:v>
      </x:c>
      <x:c r="D4654" t="str">
        <x:v>City Stores 56</x:v>
      </x:c>
      <x:c r="E4654" t="str">
        <x:v>Canteen</x:v>
      </x:c>
      <x:c r="F4654" t="str">
        <x:v>Davanagere</x:v>
      </x:c>
      <x:c r="G4654" t="str">
        <x:v>Imran</x:v>
      </x:c>
      <x:c r="H4654" t="str">
        <x:v>P007</x:v>
      </x:c>
      <x:c r="I4654" t="str">
        <x:v>Sunflower Oil 15L</x:v>
      </x:c>
      <x:c r="J4654" t="str">
        <x:v>Edible Oil</x:v>
      </x:c>
      <x:c r="K4654" t="str">
        <x:v>Fortune</x:v>
      </x:c>
      <x:c r="L4654" s="22" t="n">
        <x:v>1980</x:v>
      </x:c>
      <x:c r="M4654" t="n">
        <x:v>11</x:v>
      </x:c>
      <x:c r="N4654" s="24" t="n">
        <x:v>0.02</x:v>
      </x:c>
      <x:c r="O4654" s="22" t="n">
        <x:f>L4654*M4654</x:f>
        <x:v>21780</x:v>
      </x:c>
      <x:c r="P4654" s="22" t="n">
        <x:f>O4654*(1-N4654)</x:f>
        <x:v>21344.399999999998</x:v>
      </x:c>
      <x:c r="Q4654" s="22" t="n">
        <x:v>1810</x:v>
      </x:c>
      <x:c r="R4654" s="22" t="n">
        <x:f>Q4654*M4654</x:f>
        <x:v>19910</x:v>
      </x:c>
      <x:c r="S4654" s="22" t="n">
        <x:f>P4654-R4654</x:f>
        <x:v>1434.3999999999978</x:v>
      </x:c>
      <x:c r="T4654" t="str">
        <x:v>UPI</x:v>
      </x:c>
      <x:c r="U4654" t="str">
        <x:v>Paid</x:v>
      </x:c>
      <x:c r="V4654" t="str">
        <x:v>Delivered</x:v>
      </x:c>
      <x:c r="W4654" t="n">
        <x:v>0</x:v>
      </x:c>
      <x:c r="X4654" t="str"/>
      <x:c r="Y4654" t="str">
        <x:v>Referral</x:v>
      </x:c>
    </x:row>
    <x:row r="4655">
      <x:c r="A4655" t="str">
        <x:v>O004654</x:v>
      </x:c>
      <x:c r="B4655" s="20" t="n">
        <x:v>45818</x:v>
      </x:c>
      <x:c r="C4655" t="str">
        <x:v>C0138</x:v>
      </x:c>
      <x:c r="D4655" t="str">
        <x:v>New Mart 138</x:v>
      </x:c>
      <x:c r="E4655" t="str">
        <x:v>Restaurant</x:v>
      </x:c>
      <x:c r="F4655" t="str">
        <x:v>Bengaluru</x:v>
      </x:c>
      <x:c r="G4655" t="str">
        <x:v>Ramesh</x:v>
      </x:c>
      <x:c r="H4655" t="str">
        <x:v>P022</x:v>
      </x:c>
      <x:c r="I4655" t="str">
        <x:v>Mineral Water 1L</x:v>
      </x:c>
      <x:c r="J4655" t="str">
        <x:v>Beverage</x:v>
      </x:c>
      <x:c r="K4655" t="str">
        <x:v>Bisleri</x:v>
      </x:c>
      <x:c r="L4655" s="22" t="n">
        <x:v>19</x:v>
      </x:c>
      <x:c r="M4655" t="n">
        <x:v>13</x:v>
      </x:c>
      <x:c r="N4655" s="24" t="n">
        <x:v>0.02</x:v>
      </x:c>
      <x:c r="O4655" s="22" t="n">
        <x:f>L4655*M4655</x:f>
        <x:v>247</x:v>
      </x:c>
      <x:c r="P4655" s="22" t="n">
        <x:f>O4655*(1-N4655)</x:f>
        <x:v>242.06</x:v>
      </x:c>
      <x:c r="Q4655" s="22" t="n">
        <x:v>15</x:v>
      </x:c>
      <x:c r="R4655" s="22" t="n">
        <x:f>Q4655*M4655</x:f>
        <x:v>195</x:v>
      </x:c>
      <x:c r="S4655" s="22" t="n">
        <x:f>P4655-R4655</x:f>
        <x:v>47.06</x:v>
      </x:c>
      <x:c r="T4655" t="str">
        <x:v>UPI</x:v>
      </x:c>
      <x:c r="U4655" t="str">
        <x:v>Paid</x:v>
      </x:c>
      <x:c r="V4655" t="str">
        <x:v>Delivered</x:v>
      </x:c>
      <x:c r="W4655" t="n">
        <x:v>0</x:v>
      </x:c>
      <x:c r="X4655" t="str"/>
      <x:c r="Y4655" t="str">
        <x:v>WhatsApp</x:v>
      </x:c>
    </x:row>
    <x:row r="4656">
      <x:c r="A4656" t="str">
        <x:v>O004655</x:v>
      </x:c>
      <x:c r="B4656" s="20" t="n">
        <x:v>46193</x:v>
      </x:c>
      <x:c r="C4656" t="str">
        <x:v>C0189</x:v>
      </x:c>
      <x:c r="D4656" t="str">
        <x:v>Classic Canteen 189</x:v>
      </x:c>
      <x:c r="E4656" t="str">
        <x:v>Kirana</x:v>
      </x:c>
      <x:c r="F4656" t="str">
        <x:v>Hubballi</x:v>
      </x:c>
      <x:c r="G4656" t="str">
        <x:v>Vikram</x:v>
      </x:c>
      <x:c r="H4656" t="str">
        <x:v>P001</x:v>
      </x:c>
      <x:c r="I4656" t="str">
        <x:v>Steam Rice 25kg</x:v>
      </x:c>
      <x:c r="J4656" t="str">
        <x:v>Staples</x:v>
      </x:c>
      <x:c r="K4656" t="str">
        <x:v>Aishwarya</x:v>
      </x:c>
      <x:c r="L4656" s="22" t="n">
        <x:v>1180</x:v>
      </x:c>
      <x:c r="M4656" t="n">
        <x:v>7</x:v>
      </x:c>
      <x:c r="N4656" s="24" t="n">
        <x:v>0</x:v>
      </x:c>
      <x:c r="O4656" s="22" t="n">
        <x:f>L4656*M4656</x:f>
        <x:v>8260</x:v>
      </x:c>
      <x:c r="P4656" s="22" t="n">
        <x:f>O4656*(1-N4656)</x:f>
        <x:v>8260</x:v>
      </x:c>
      <x:c r="Q4656" s="22" t="n">
        <x:v>1040</x:v>
      </x:c>
      <x:c r="R4656" s="22" t="n">
        <x:f>Q4656*M4656</x:f>
        <x:v>7280</x:v>
      </x:c>
      <x:c r="S4656" s="22" t="n">
        <x:f>P4656-R4656</x:f>
        <x:v>980</x:v>
      </x:c>
      <x:c r="T4656" t="str">
        <x:v>UPI</x:v>
      </x:c>
      <x:c r="U4656" t="str">
        <x:v>Paid</x:v>
      </x:c>
      <x:c r="V4656" t="str">
        <x:v>Delivered</x:v>
      </x:c>
      <x:c r="W4656" t="n">
        <x:v>0</x:v>
      </x:c>
      <x:c r="X4656" t="str"/>
      <x:c r="Y4656" t="str">
        <x:v>Existing Customer</x:v>
      </x:c>
    </x:row>
    <x:row r="4657">
      <x:c r="A4657" t="str">
        <x:v>O004656</x:v>
      </x:c>
      <x:c r="B4657" s="20" t="n">
        <x:v>45821</x:v>
      </x:c>
      <x:c r="C4657" t="str">
        <x:v>C0115</x:v>
      </x:c>
      <x:c r="D4657" t="str">
        <x:v>Mysore Mart 115</x:v>
      </x:c>
      <x:c r="E4657" t="str">
        <x:v>Kirana</x:v>
      </x:c>
      <x:c r="F4657" t="str">
        <x:v>Mangaluru</x:v>
      </x:c>
      <x:c r="G4657" t="str">
        <x:v>Arjun</x:v>
      </x:c>
      <x:c r="H4657" t="str">
        <x:v>P033</x:v>
      </x:c>
      <x:c r="I4657" t="str">
        <x:v>Turmeric Powder 1kg</x:v>
      </x:c>
      <x:c r="J4657" t="str">
        <x:v>Spices</x:v>
      </x:c>
      <x:c r="K4657" t="str">
        <x:v>Everest</x:v>
      </x:c>
      <x:c r="L4657" s="22" t="n">
        <x:v>310</x:v>
      </x:c>
      <x:c r="M4657" t="n">
        <x:v>20</x:v>
      </x:c>
      <x:c r="N4657" s="24" t="n">
        <x:v>0</x:v>
      </x:c>
      <x:c r="O4657" s="22" t="n">
        <x:f>L4657*M4657</x:f>
        <x:v>6200</x:v>
      </x:c>
      <x:c r="P4657" s="22" t="n">
        <x:f>O4657*(1-N4657)</x:f>
        <x:v>6200</x:v>
      </x:c>
      <x:c r="Q4657" s="22" t="n">
        <x:v>270</x:v>
      </x:c>
      <x:c r="R4657" s="22" t="n">
        <x:f>Q4657*M4657</x:f>
        <x:v>5400</x:v>
      </x:c>
      <x:c r="S4657" s="22" t="n">
        <x:f>P4657-R4657</x:f>
        <x:v>800</x:v>
      </x:c>
      <x:c r="T4657" t="str">
        <x:v>Cash</x:v>
      </x:c>
      <x:c r="U4657" t="str">
        <x:v>Pending</x:v>
      </x:c>
      <x:c r="V4657" t="str">
        <x:v>Delivered</x:v>
      </x:c>
      <x:c r="W4657" t="n">
        <x:v>0</x:v>
      </x:c>
      <x:c r="X4657" t="str"/>
      <x:c r="Y4657" t="str">
        <x:v>Existing Customer</x:v>
      </x:c>
    </x:row>
    <x:row r="4658">
      <x:c r="A4658" t="str">
        <x:v>O004657</x:v>
      </x:c>
      <x:c r="B4658" s="20" t="n">
        <x:v>45914</x:v>
      </x:c>
      <x:c r="C4658" t="str">
        <x:v>C0210</x:v>
      </x:c>
      <x:c r="D4658" t="str">
        <x:v>Spice Stores 210</x:v>
      </x:c>
      <x:c r="E4658" t="str">
        <x:v>Cafe</x:v>
      </x:c>
      <x:c r="F4658" t="str">
        <x:v>Davanagere</x:v>
      </x:c>
      <x:c r="G4658" t="str">
        <x:v>Imran</x:v>
      </x:c>
      <x:c r="H4658" t="str">
        <x:v>P022</x:v>
      </x:c>
      <x:c r="I4658" t="str">
        <x:v>Mineral Water 1L</x:v>
      </x:c>
      <x:c r="J4658" t="str">
        <x:v>Beverage</x:v>
      </x:c>
      <x:c r="K4658" t="str">
        <x:v>Bisleri</x:v>
      </x:c>
      <x:c r="L4658" s="22" t="n">
        <x:v>19</x:v>
      </x:c>
      <x:c r="M4658" t="n">
        <x:v>3</x:v>
      </x:c>
      <x:c r="N4658" s="24" t="n">
        <x:v>0.05</x:v>
      </x:c>
      <x:c r="O4658" s="22" t="n">
        <x:f>L4658*M4658</x:f>
        <x:v>57</x:v>
      </x:c>
      <x:c r="P4658" s="22" t="n">
        <x:f>O4658*(1-N4658)</x:f>
        <x:v>54.15</x:v>
      </x:c>
      <x:c r="Q4658" s="22" t="n">
        <x:v>15</x:v>
      </x:c>
      <x:c r="R4658" s="22" t="n">
        <x:f>Q4658*M4658</x:f>
        <x:v>45</x:v>
      </x:c>
      <x:c r="S4658" s="22" t="n">
        <x:f>P4658-R4658</x:f>
        <x:v>9.149999999999999</x:v>
      </x:c>
      <x:c r="T4658" t="str">
        <x:v>Cash</x:v>
      </x:c>
      <x:c r="U4658" t="str">
        <x:v>Pending</x:v>
      </x:c>
      <x:c r="V4658" t="str">
        <x:v>Cancelled</x:v>
      </x:c>
      <x:c r="W4658" t="n">
        <x:v>3</x:v>
      </x:c>
      <x:c r="X4658" t="str">
        <x:v>Cancelled Order</x:v>
      </x:c>
      <x:c r="Y4658" t="str">
        <x:v>Field Visit</x:v>
      </x:c>
    </x:row>
    <x:row r="4659">
      <x:c r="A4659" t="str">
        <x:v>O004658</x:v>
      </x:c>
      <x:c r="B4659" s="20" t="n">
        <x:v>46221</x:v>
      </x:c>
      <x:c r="C4659" t="str">
        <x:v>C0060</x:v>
      </x:c>
      <x:c r="D4659" t="str">
        <x:v>Sagar Stores 60</x:v>
      </x:c>
      <x:c r="E4659" t="str">
        <x:v>Cafe</x:v>
      </x:c>
      <x:c r="F4659" t="str">
        <x:v>Hubballi</x:v>
      </x:c>
      <x:c r="G4659" t="str">
        <x:v>Imran</x:v>
      </x:c>
      <x:c r="H4659" t="str">
        <x:v>P037</x:v>
      </x:c>
      <x:c r="I4659" t="str">
        <x:v>Frozen Peas 1kg</x:v>
      </x:c>
      <x:c r="J4659" t="str">
        <x:v>Frozen</x:v>
      </x:c>
      <x:c r="K4659" t="str">
        <x:v>Safal</x:v>
      </x:c>
      <x:c r="L4659" s="22" t="n">
        <x:v>155</x:v>
      </x:c>
      <x:c r="M4659" t="n">
        <x:v>26</x:v>
      </x:c>
      <x:c r="N4659" s="24" t="n">
        <x:v>0</x:v>
      </x:c>
      <x:c r="O4659" s="22" t="n">
        <x:f>L4659*M4659</x:f>
        <x:v>4030</x:v>
      </x:c>
      <x:c r="P4659" s="22" t="n">
        <x:f>O4659*(1-N4659)</x:f>
        <x:v>4030</x:v>
      </x:c>
      <x:c r="Q4659" s="22" t="n">
        <x:v>138</x:v>
      </x:c>
      <x:c r="R4659" s="22" t="n">
        <x:f>Q4659*M4659</x:f>
        <x:v>3588</x:v>
      </x:c>
      <x:c r="S4659" s="22" t="n">
        <x:f>P4659-R4659</x:f>
        <x:v>442</x:v>
      </x:c>
      <x:c r="T4659" t="str">
        <x:v>Bank Transfer</x:v>
      </x:c>
      <x:c r="U4659" t="str">
        <x:v>Pending</x:v>
      </x:c>
      <x:c r="V4659" t="str">
        <x:v>Delivered</x:v>
      </x:c>
      <x:c r="W4659" t="n">
        <x:v>0</x:v>
      </x:c>
      <x:c r="X4659" t="str"/>
      <x:c r="Y4659" t="str">
        <x:v>WhatsApp</x:v>
      </x:c>
    </x:row>
    <x:row r="4660">
      <x:c r="A4660" t="str">
        <x:v>O004659</x:v>
      </x:c>
      <x:c r="B4660" s="20" t="n">
        <x:v>45780</x:v>
      </x:c>
      <x:c r="C4660" t="str">
        <x:v>C0006</x:v>
      </x:c>
      <x:c r="D4660" t="str">
        <x:v>New Restaurant 6</x:v>
      </x:c>
      <x:c r="E4660" t="str">
        <x:v>Kirana</x:v>
      </x:c>
      <x:c r="F4660" t="str">
        <x:v>Hubballi</x:v>
      </x:c>
      <x:c r="G4660" t="str">
        <x:v>Vikram</x:v>
      </x:c>
      <x:c r="H4660" t="str">
        <x:v>P034</x:v>
      </x:c>
      <x:c r="I4660" t="str">
        <x:v>Chilli Powder 1kg</x:v>
      </x:c>
      <x:c r="J4660" t="str">
        <x:v>Spices</x:v>
      </x:c>
      <x:c r="K4660" t="str">
        <x:v>MDH</x:v>
      </x:c>
      <x:c r="L4660" s="22" t="n">
        <x:v>340</x:v>
      </x:c>
      <x:c r="M4660" t="n">
        <x:v>17</x:v>
      </x:c>
      <x:c r="N4660" s="24" t="n">
        <x:v>0.02</x:v>
      </x:c>
      <x:c r="O4660" s="22" t="n">
        <x:f>L4660*M4660</x:f>
        <x:v>5780</x:v>
      </x:c>
      <x:c r="P4660" s="22" t="n">
        <x:f>O4660*(1-N4660)</x:f>
        <x:v>5664.4</x:v>
      </x:c>
      <x:c r="Q4660" s="22" t="n">
        <x:v>295</x:v>
      </x:c>
      <x:c r="R4660" s="22" t="n">
        <x:f>Q4660*M4660</x:f>
        <x:v>5015</x:v>
      </x:c>
      <x:c r="S4660" s="22" t="n">
        <x:f>P4660-R4660</x:f>
        <x:v>649.3999999999996</x:v>
      </x:c>
      <x:c r="T4660" t="str">
        <x:v>Credit</x:v>
      </x:c>
      <x:c r="U4660" t="str">
        <x:v>Overdue</x:v>
      </x:c>
      <x:c r="V4660" t="str">
        <x:v>Delivered</x:v>
      </x:c>
      <x:c r="W4660" t="n">
        <x:v>0</x:v>
      </x:c>
      <x:c r="X4660" t="str"/>
      <x:c r="Y4660" t="str">
        <x:v>WhatsApp</x:v>
      </x:c>
    </x:row>
    <x:row r="4661">
      <x:c r="A4661" t="str">
        <x:v>O004660</x:v>
      </x:c>
      <x:c r="B4661" s="20" t="n">
        <x:v>46227</x:v>
      </x:c>
      <x:c r="C4661" t="str">
        <x:v>C0058</x:v>
      </x:c>
      <x:c r="D4661" t="str">
        <x:v>Spice Kitchen 58</x:v>
      </x:c>
      <x:c r="E4661" t="str">
        <x:v>Supermarket</x:v>
      </x:c>
      <x:c r="F4661" t="str">
        <x:v>Davanagere</x:v>
      </x:c>
      <x:c r="G4661" t="str">
        <x:v>Sneha</x:v>
      </x:c>
      <x:c r="H4661" t="str">
        <x:v>P012</x:v>
      </x:c>
      <x:c r="I4661" t="str">
        <x:v>Maida 10kg</x:v>
      </x:c>
      <x:c r="J4661" t="str">
        <x:v>Flour</x:v>
      </x:c>
      <x:c r="K4661" t="str">
        <x:v>Aashirvaad</x:v>
      </x:c>
      <x:c r="L4661" s="22" t="n">
        <x:v>520</x:v>
      </x:c>
      <x:c r="M4661" t="n">
        <x:v>15</x:v>
      </x:c>
      <x:c r="N4661" s="24" t="n">
        <x:v>0.08</x:v>
      </x:c>
      <x:c r="O4661" s="22" t="n">
        <x:f>L4661*M4661</x:f>
        <x:v>7800</x:v>
      </x:c>
      <x:c r="P4661" s="22" t="n">
        <x:f>O4661*(1-N4661)</x:f>
        <x:v>7176</x:v>
      </x:c>
      <x:c r="Q4661" s="22" t="n">
        <x:v>460</x:v>
      </x:c>
      <x:c r="R4661" s="22" t="n">
        <x:f>Q4661*M4661</x:f>
        <x:v>6900</x:v>
      </x:c>
      <x:c r="S4661" s="22" t="n">
        <x:f>P4661-R4661</x:f>
        <x:v>276</x:v>
      </x:c>
      <x:c r="T4661" t="str">
        <x:v>Cash</x:v>
      </x:c>
      <x:c r="U4661" t="str">
        <x:v>Paid</x:v>
      </x:c>
      <x:c r="V4661" t="str">
        <x:v>Delivered</x:v>
      </x:c>
      <x:c r="W4661" t="n">
        <x:v>1</x:v>
      </x:c>
      <x:c r="X4661" t="str">
        <x:v>Late Delivery</x:v>
      </x:c>
      <x:c r="Y4661" t="str">
        <x:v>Existing Customer</x:v>
      </x:c>
    </x:row>
    <x:row r="4662">
      <x:c r="A4662" t="str">
        <x:v>O004661</x:v>
      </x:c>
      <x:c r="B4662" s="20" t="n">
        <x:v>45701</x:v>
      </x:c>
      <x:c r="C4662" t="str">
        <x:v>C0027</x:v>
      </x:c>
      <x:c r="D4662" t="str">
        <x:v>Fresh Cafe 27</x:v>
      </x:c>
      <x:c r="E4662" t="str">
        <x:v>Restaurant</x:v>
      </x:c>
      <x:c r="F4662" t="str">
        <x:v>Tumakuru</x:v>
      </x:c>
      <x:c r="G4662" t="str">
        <x:v>Megha</x:v>
      </x:c>
      <x:c r="H4662" t="str">
        <x:v>P040</x:v>
      </x:c>
      <x:c r="I4662" t="str">
        <x:v>Bread Loaf 400g</x:v>
      </x:c>
      <x:c r="J4662" t="str">
        <x:v>Bakery</x:v>
      </x:c>
      <x:c r="K4662" t="str">
        <x:v>Britannia</x:v>
      </x:c>
      <x:c r="L4662" s="22" t="n">
        <x:v>45</x:v>
      </x:c>
      <x:c r="M4662" t="n">
        <x:v>19</x:v>
      </x:c>
      <x:c r="N4662" s="24" t="n">
        <x:v>0.05</x:v>
      </x:c>
      <x:c r="O4662" s="22" t="n">
        <x:f>L4662*M4662</x:f>
        <x:v>855</x:v>
      </x:c>
      <x:c r="P4662" s="22" t="n">
        <x:f>O4662*(1-N4662)</x:f>
        <x:v>812.25</x:v>
      </x:c>
      <x:c r="Q4662" s="22" t="n">
        <x:v>35</x:v>
      </x:c>
      <x:c r="R4662" s="22" t="n">
        <x:f>Q4662*M4662</x:f>
        <x:v>665</x:v>
      </x:c>
      <x:c r="S4662" s="22" t="n">
        <x:f>P4662-R4662</x:f>
        <x:v>147.25</x:v>
      </x:c>
      <x:c r="T4662" t="str">
        <x:v>Credit</x:v>
      </x:c>
      <x:c r="U4662" t="str">
        <x:v>Paid</x:v>
      </x:c>
      <x:c r="V4662" t="str">
        <x:v>Delivered</x:v>
      </x:c>
      <x:c r="W4662" t="n">
        <x:v>0</x:v>
      </x:c>
      <x:c r="X4662" t="str"/>
      <x:c r="Y4662" t="str">
        <x:v>Outbound Call</x:v>
      </x:c>
    </x:row>
    <x:row r="4663">
      <x:c r="A4663" t="str">
        <x:v>O004662</x:v>
      </x:c>
      <x:c r="B4663" s="20" t="n">
        <x:v>45889</x:v>
      </x:c>
      <x:c r="C4663" t="str">
        <x:v>C0196</x:v>
      </x:c>
      <x:c r="D4663" t="str">
        <x:v>Namma Mart 196</x:v>
      </x:c>
      <x:c r="E4663" t="str">
        <x:v>Cafe</x:v>
      </x:c>
      <x:c r="F4663" t="str">
        <x:v>Mangaluru</x:v>
      </x:c>
      <x:c r="G4663" t="str">
        <x:v>Kavya</x:v>
      </x:c>
      <x:c r="H4663" t="str">
        <x:v>P041</x:v>
      </x:c>
      <x:c r="I4663" t="str">
        <x:v>Burger Bun 6pc</x:v>
      </x:c>
      <x:c r="J4663" t="str">
        <x:v>Bakery</x:v>
      </x:c>
      <x:c r="K4663" t="str">
        <x:v>Modern</x:v>
      </x:c>
      <x:c r="L4663" s="22" t="n">
        <x:v>42</x:v>
      </x:c>
      <x:c r="M4663" t="n">
        <x:v>16</x:v>
      </x:c>
      <x:c r="N4663" s="24" t="n">
        <x:v>0.08</x:v>
      </x:c>
      <x:c r="O4663" s="22" t="n">
        <x:f>L4663*M4663</x:f>
        <x:v>672</x:v>
      </x:c>
      <x:c r="P4663" s="22" t="n">
        <x:f>O4663*(1-N4663)</x:f>
        <x:v>618.24</x:v>
      </x:c>
      <x:c r="Q4663" s="22" t="n">
        <x:v>32</x:v>
      </x:c>
      <x:c r="R4663" s="22" t="n">
        <x:f>Q4663*M4663</x:f>
        <x:v>512</x:v>
      </x:c>
      <x:c r="S4663" s="22" t="n">
        <x:f>P4663-R4663</x:f>
        <x:v>106.24000000000001</x:v>
      </x:c>
      <x:c r="T4663" t="str">
        <x:v>Cash</x:v>
      </x:c>
      <x:c r="U4663" t="str">
        <x:v>Pending</x:v>
      </x:c>
      <x:c r="V4663" t="str">
        <x:v>Delivered</x:v>
      </x:c>
      <x:c r="W4663" t="n">
        <x:v>0</x:v>
      </x:c>
      <x:c r="X4663" t="str"/>
      <x:c r="Y4663" t="str">
        <x:v>Existing Customer</x:v>
      </x:c>
    </x:row>
    <x:row r="4664">
      <x:c r="A4664" t="str">
        <x:v>O004663</x:v>
      </x:c>
      <x:c r="B4664" s="20" t="n">
        <x:v>45915</x:v>
      </x:c>
      <x:c r="C4664" t="str">
        <x:v>C0166</x:v>
      </x:c>
      <x:c r="D4664" t="str">
        <x:v>Mysore Foods 166</x:v>
      </x:c>
      <x:c r="E4664" t="str">
        <x:v>Cafe</x:v>
      </x:c>
      <x:c r="F4664" t="str">
        <x:v>Mangaluru</x:v>
      </x:c>
      <x:c r="G4664" t="str">
        <x:v>Arjun</x:v>
      </x:c>
      <x:c r="H4664" t="str">
        <x:v>P048</x:v>
      </x:c>
      <x:c r="I4664" t="str">
        <x:v>Banana 10kg</x:v>
      </x:c>
      <x:c r="J4664" t="str">
        <x:v>Fresh Produce</x:v>
      </x:c>
      <x:c r="K4664" t="str">
        <x:v>Local Market</x:v>
      </x:c>
      <x:c r="L4664" s="22" t="n">
        <x:v>420</x:v>
      </x:c>
      <x:c r="M4664" t="n">
        <x:v>23</x:v>
      </x:c>
      <x:c r="N4664" s="24" t="n">
        <x:v>0.02</x:v>
      </x:c>
      <x:c r="O4664" s="22" t="n">
        <x:f>L4664*M4664</x:f>
        <x:v>9660</x:v>
      </x:c>
      <x:c r="P4664" s="22" t="n">
        <x:f>O4664*(1-N4664)</x:f>
        <x:v>9466.8</x:v>
      </x:c>
      <x:c r="Q4664" s="22" t="n">
        <x:v>350</x:v>
      </x:c>
      <x:c r="R4664" s="22" t="n">
        <x:f>Q4664*M4664</x:f>
        <x:v>8050</x:v>
      </x:c>
      <x:c r="S4664" s="22" t="n">
        <x:f>P4664-R4664</x:f>
        <x:v>1416.7999999999993</x:v>
      </x:c>
      <x:c r="T4664" t="str">
        <x:v>UPI</x:v>
      </x:c>
      <x:c r="U4664" t="str">
        <x:v>Paid</x:v>
      </x:c>
      <x:c r="V4664" t="str">
        <x:v>Delivered</x:v>
      </x:c>
      <x:c r="W4664" t="n">
        <x:v>0</x:v>
      </x:c>
      <x:c r="X4664" t="str"/>
      <x:c r="Y4664" t="str">
        <x:v>Existing Customer</x:v>
      </x:c>
    </x:row>
    <x:row r="4665">
      <x:c r="A4665" t="str">
        <x:v>O004664</x:v>
      </x:c>
      <x:c r="B4665" s="20" t="n">
        <x:v>46161</x:v>
      </x:c>
      <x:c r="C4665" t="str">
        <x:v>C0078</x:v>
      </x:c>
      <x:c r="D4665" t="str">
        <x:v>Sagar Canteen 78</x:v>
      </x:c>
      <x:c r="E4665" t="str">
        <x:v>Hotel</x:v>
      </x:c>
      <x:c r="F4665" t="str">
        <x:v>Mangaluru</x:v>
      </x:c>
      <x:c r="G4665" t="str">
        <x:v>Ramesh</x:v>
      </x:c>
      <x:c r="H4665" t="str">
        <x:v>P042</x:v>
      </x:c>
      <x:c r="I4665" t="str">
        <x:v>Eggs 30pc Tray</x:v>
      </x:c>
      <x:c r="J4665" t="str">
        <x:v>Protein</x:v>
      </x:c>
      <x:c r="K4665" t="str">
        <x:v>Farm Fresh</x:v>
      </x:c>
      <x:c r="L4665" s="22" t="n">
        <x:v>195</x:v>
      </x:c>
      <x:c r="M4665" t="n">
        <x:v>20</x:v>
      </x:c>
      <x:c r="N4665" s="24" t="n">
        <x:v>0</x:v>
      </x:c>
      <x:c r="O4665" s="22" t="n">
        <x:f>L4665*M4665</x:f>
        <x:v>3900</x:v>
      </x:c>
      <x:c r="P4665" s="22" t="n">
        <x:f>O4665*(1-N4665)</x:f>
        <x:v>3900</x:v>
      </x:c>
      <x:c r="Q4665" s="22" t="n">
        <x:v>170</x:v>
      </x:c>
      <x:c r="R4665" s="22" t="n">
        <x:f>Q4665*M4665</x:f>
        <x:v>3400</x:v>
      </x:c>
      <x:c r="S4665" s="22" t="n">
        <x:f>P4665-R4665</x:f>
        <x:v>500</x:v>
      </x:c>
      <x:c r="T4665" t="str">
        <x:v>Cash</x:v>
      </x:c>
      <x:c r="U4665" t="str">
        <x:v>Paid</x:v>
      </x:c>
      <x:c r="V4665" t="str">
        <x:v>Delivered</x:v>
      </x:c>
      <x:c r="W4665" t="n">
        <x:v>0</x:v>
      </x:c>
      <x:c r="X4665" t="str"/>
      <x:c r="Y4665" t="str">
        <x:v>Referral</x:v>
      </x:c>
    </x:row>
    <x:row r="4666">
      <x:c r="A4666" t="str">
        <x:v>O004665</x:v>
      </x:c>
      <x:c r="B4666" s="20" t="n">
        <x:v>46022</x:v>
      </x:c>
      <x:c r="C4666" t="str">
        <x:v>C0052</x:v>
      </x:c>
      <x:c r="D4666" t="str">
        <x:v>Sagar Canteen 52</x:v>
      </x:c>
      <x:c r="E4666" t="str">
        <x:v>Kirana</x:v>
      </x:c>
      <x:c r="F4666" t="str">
        <x:v>Mysuru</x:v>
      </x:c>
      <x:c r="G4666" t="str">
        <x:v>Kavya</x:v>
      </x:c>
      <x:c r="H4666" t="str">
        <x:v>P039</x:v>
      </x:c>
      <x:c r="I4666" t="str">
        <x:v>Ice Cream 4L</x:v>
      </x:c>
      <x:c r="J4666" t="str">
        <x:v>Frozen</x:v>
      </x:c>
      <x:c r="K4666" t="str">
        <x:v>Amul</x:v>
      </x:c>
      <x:c r="L4666" s="22" t="n">
        <x:v>480</x:v>
      </x:c>
      <x:c r="M4666" t="n">
        <x:v>4</x:v>
      </x:c>
      <x:c r="N4666" s="24" t="n">
        <x:v>0.05</x:v>
      </x:c>
      <x:c r="O4666" s="22" t="n">
        <x:f>L4666*M4666</x:f>
        <x:v>1920</x:v>
      </x:c>
      <x:c r="P4666" s="22" t="n">
        <x:f>O4666*(1-N4666)</x:f>
        <x:v>1824</x:v>
      </x:c>
      <x:c r="Q4666" s="22" t="n">
        <x:v>420</x:v>
      </x:c>
      <x:c r="R4666" s="22" t="n">
        <x:f>Q4666*M4666</x:f>
        <x:v>1680</x:v>
      </x:c>
      <x:c r="S4666" s="22" t="n">
        <x:f>P4666-R4666</x:f>
        <x:v>144</x:v>
      </x:c>
      <x:c r="T4666" t="str">
        <x:v>UPI</x:v>
      </x:c>
      <x:c r="U4666" t="str">
        <x:v>Paid</x:v>
      </x:c>
      <x:c r="V4666" t="str">
        <x:v>Delivered</x:v>
      </x:c>
      <x:c r="W4666" t="n">
        <x:v>0</x:v>
      </x:c>
      <x:c r="X4666" t="str"/>
      <x:c r="Y4666" t="str">
        <x:v>Field Visit</x:v>
      </x:c>
    </x:row>
    <x:row r="4667">
      <x:c r="A4667" t="str">
        <x:v>O004666</x:v>
      </x:c>
      <x:c r="B4667" s="20" t="n">
        <x:v>45986</x:v>
      </x:c>
      <x:c r="C4667" t="str">
        <x:v>C0009</x:v>
      </x:c>
      <x:c r="D4667" t="str">
        <x:v>Darshini Hotel 9</x:v>
      </x:c>
      <x:c r="E4667" t="str">
        <x:v>Cafe</x:v>
      </x:c>
      <x:c r="F4667" t="str">
        <x:v>Hubballi</x:v>
      </x:c>
      <x:c r="G4667" t="str">
        <x:v>Imran</x:v>
      </x:c>
      <x:c r="H4667" t="str">
        <x:v>P050</x:v>
      </x:c>
      <x:c r="I4667" t="str">
        <x:v>Lemon 5kg</x:v>
      </x:c>
      <x:c r="J4667" t="str">
        <x:v>Fresh Produce</x:v>
      </x:c>
      <x:c r="K4667" t="str">
        <x:v>Local Market</x:v>
      </x:c>
      <x:c r="L4667" s="22" t="n">
        <x:v>360</x:v>
      </x:c>
      <x:c r="M4667" t="n">
        <x:v>13</x:v>
      </x:c>
      <x:c r="N4667" s="24" t="n">
        <x:v>0.1</x:v>
      </x:c>
      <x:c r="O4667" s="22" t="n">
        <x:f>L4667*M4667</x:f>
        <x:v>4680</x:v>
      </x:c>
      <x:c r="P4667" s="22" t="n">
        <x:f>O4667*(1-N4667)</x:f>
        <x:v>4212</x:v>
      </x:c>
      <x:c r="Q4667" s="22" t="n">
        <x:v>300</x:v>
      </x:c>
      <x:c r="R4667" s="22" t="n">
        <x:f>Q4667*M4667</x:f>
        <x:v>3900</x:v>
      </x:c>
      <x:c r="S4667" s="22" t="n">
        <x:f>P4667-R4667</x:f>
        <x:v>312</x:v>
      </x:c>
      <x:c r="T4667" t="str">
        <x:v>Cash</x:v>
      </x:c>
      <x:c r="U4667" t="str">
        <x:v>Paid</x:v>
      </x:c>
      <x:c r="V4667" t="str">
        <x:v>Cancelled</x:v>
      </x:c>
      <x:c r="W4667" t="n">
        <x:v>13</x:v>
      </x:c>
      <x:c r="X4667" t="str">
        <x:v>Cancelled Order</x:v>
      </x:c>
      <x:c r="Y4667" t="str">
        <x:v>WhatsApp</x:v>
      </x:c>
    </x:row>
    <x:row r="4668">
      <x:c r="A4668" t="str">
        <x:v>O004667</x:v>
      </x:c>
      <x:c r="B4668" s="20" t="n">
        <x:v>46059</x:v>
      </x:c>
      <x:c r="C4668" t="str">
        <x:v>C0167</x:v>
      </x:c>
      <x:c r="D4668" t="str">
        <x:v>Foodie Canteen 167</x:v>
      </x:c>
      <x:c r="E4668" t="str">
        <x:v>Canteen</x:v>
      </x:c>
      <x:c r="F4668" t="str">
        <x:v>Bengaluru</x:v>
      </x:c>
      <x:c r="G4668" t="str">
        <x:v>Megha</x:v>
      </x:c>
      <x:c r="H4668" t="str">
        <x:v>P015</x:v>
      </x:c>
      <x:c r="I4668" t="str">
        <x:v>Milk 1L</x:v>
      </x:c>
      <x:c r="J4668" t="str">
        <x:v>Dairy</x:v>
      </x:c>
      <x:c r="K4668" t="str">
        <x:v>Nandini</x:v>
      </x:c>
      <x:c r="L4668" s="22" t="n">
        <x:v>48</x:v>
      </x:c>
      <x:c r="M4668" t="n">
        <x:v>29</x:v>
      </x:c>
      <x:c r="N4668" s="24" t="n">
        <x:v>0</x:v>
      </x:c>
      <x:c r="O4668" s="22" t="n">
        <x:f>L4668*M4668</x:f>
        <x:v>1392</x:v>
      </x:c>
      <x:c r="P4668" s="22" t="n">
        <x:f>O4668*(1-N4668)</x:f>
        <x:v>1392</x:v>
      </x:c>
      <x:c r="Q4668" s="22" t="n">
        <x:v>43</x:v>
      </x:c>
      <x:c r="R4668" s="22" t="n">
        <x:f>Q4668*M4668</x:f>
        <x:v>1247</x:v>
      </x:c>
      <x:c r="S4668" s="22" t="n">
        <x:f>P4668-R4668</x:f>
        <x:v>145</x:v>
      </x:c>
      <x:c r="T4668" t="str">
        <x:v>Credit</x:v>
      </x:c>
      <x:c r="U4668" t="str">
        <x:v>Paid</x:v>
      </x:c>
      <x:c r="V4668" t="str">
        <x:v>Delivered</x:v>
      </x:c>
      <x:c r="W4668" t="n">
        <x:v>0</x:v>
      </x:c>
      <x:c r="X4668" t="str"/>
      <x:c r="Y4668" t="str">
        <x:v>WhatsApp</x:v>
      </x:c>
    </x:row>
    <x:row r="4669">
      <x:c r="A4669" t="str">
        <x:v>O004668</x:v>
      </x:c>
      <x:c r="B4669" s="20" t="n">
        <x:v>45753</x:v>
      </x:c>
      <x:c r="C4669" t="str">
        <x:v>C0092</x:v>
      </x:c>
      <x:c r="D4669" t="str">
        <x:v>Cafe Restaurant 92</x:v>
      </x:c>
      <x:c r="E4669" t="str">
        <x:v>Canteen</x:v>
      </x:c>
      <x:c r="F4669" t="str">
        <x:v>Hubballi</x:v>
      </x:c>
      <x:c r="G4669" t="str">
        <x:v>Vikram</x:v>
      </x:c>
      <x:c r="H4669" t="str">
        <x:v>P049</x:v>
      </x:c>
      <x:c r="I4669" t="str">
        <x:v>Apple 10kg</x:v>
      </x:c>
      <x:c r="J4669" t="str">
        <x:v>Fresh Produce</x:v>
      </x:c>
      <x:c r="K4669" t="str">
        <x:v>Local Market</x:v>
      </x:c>
      <x:c r="L4669" s="22" t="n">
        <x:v>1450</x:v>
      </x:c>
      <x:c r="M4669" t="n">
        <x:v>12</x:v>
      </x:c>
      <x:c r="N4669" s="24" t="n">
        <x:v>0</x:v>
      </x:c>
      <x:c r="O4669" s="22" t="n">
        <x:f>L4669*M4669</x:f>
        <x:v>17400</x:v>
      </x:c>
      <x:c r="P4669" s="22" t="n">
        <x:f>O4669*(1-N4669)</x:f>
        <x:v>17400</x:v>
      </x:c>
      <x:c r="Q4669" s="22" t="n">
        <x:v>1280</x:v>
      </x:c>
      <x:c r="R4669" s="22" t="n">
        <x:f>Q4669*M4669</x:f>
        <x:v>15360</x:v>
      </x:c>
      <x:c r="S4669" s="22" t="n">
        <x:f>P4669-R4669</x:f>
        <x:v>2040</x:v>
      </x:c>
      <x:c r="T4669" t="str">
        <x:v>Cash</x:v>
      </x:c>
      <x:c r="U4669" t="str">
        <x:v>Paid</x:v>
      </x:c>
      <x:c r="V4669" t="str">
        <x:v>Cancelled</x:v>
      </x:c>
      <x:c r="W4669" t="n">
        <x:v>12</x:v>
      </x:c>
      <x:c r="X4669" t="str">
        <x:v>Cancelled Order</x:v>
      </x:c>
      <x:c r="Y4669" t="str">
        <x:v>Outbound Call</x:v>
      </x:c>
    </x:row>
    <x:row r="4670">
      <x:c r="A4670" t="str">
        <x:v>O004669</x:v>
      </x:c>
      <x:c r="B4670" s="20" t="n">
        <x:v>45818</x:v>
      </x:c>
      <x:c r="C4670" t="str">
        <x:v>C0131</x:v>
      </x:c>
      <x:c r="D4670" t="str">
        <x:v>Foodie Canteen 131</x:v>
      </x:c>
      <x:c r="E4670" t="str">
        <x:v>Canteen</x:v>
      </x:c>
      <x:c r="F4670" t="str">
        <x:v>Davanagere</x:v>
      </x:c>
      <x:c r="G4670" t="str">
        <x:v>Arjun</x:v>
      </x:c>
      <x:c r="H4670" t="str">
        <x:v>P050</x:v>
      </x:c>
      <x:c r="I4670" t="str">
        <x:v>Lemon 5kg</x:v>
      </x:c>
      <x:c r="J4670" t="str">
        <x:v>Fresh Produce</x:v>
      </x:c>
      <x:c r="K4670" t="str">
        <x:v>Local Market</x:v>
      </x:c>
      <x:c r="L4670" s="22" t="n">
        <x:v>360</x:v>
      </x:c>
      <x:c r="M4670" t="n">
        <x:v>17</x:v>
      </x:c>
      <x:c r="N4670" s="24" t="n">
        <x:v>0.05</x:v>
      </x:c>
      <x:c r="O4670" s="22" t="n">
        <x:f>L4670*M4670</x:f>
        <x:v>6120</x:v>
      </x:c>
      <x:c r="P4670" s="22" t="n">
        <x:f>O4670*(1-N4670)</x:f>
        <x:v>5814</x:v>
      </x:c>
      <x:c r="Q4670" s="22" t="n">
        <x:v>300</x:v>
      </x:c>
      <x:c r="R4670" s="22" t="n">
        <x:f>Q4670*M4670</x:f>
        <x:v>5100</x:v>
      </x:c>
      <x:c r="S4670" s="22" t="n">
        <x:f>P4670-R4670</x:f>
        <x:v>714</x:v>
      </x:c>
      <x:c r="T4670" t="str">
        <x:v>Credit</x:v>
      </x:c>
      <x:c r="U4670" t="str">
        <x:v>Paid</x:v>
      </x:c>
      <x:c r="V4670" t="str">
        <x:v>Delivered</x:v>
      </x:c>
      <x:c r="W4670" t="n">
        <x:v>0</x:v>
      </x:c>
      <x:c r="X4670" t="str"/>
      <x:c r="Y4670" t="str">
        <x:v>Existing Customer</x:v>
      </x:c>
    </x:row>
    <x:row r="4671">
      <x:c r="A4671" t="str">
        <x:v>O004670</x:v>
      </x:c>
      <x:c r="B4671" s="20" t="n">
        <x:v>46028</x:v>
      </x:c>
      <x:c r="C4671" t="str">
        <x:v>C0116</x:v>
      </x:c>
      <x:c r="D4671" t="str">
        <x:v>Classic Foods 116</x:v>
      </x:c>
      <x:c r="E4671" t="str">
        <x:v>Supermarket</x:v>
      </x:c>
      <x:c r="F4671" t="str">
        <x:v>Davanagere</x:v>
      </x:c>
      <x:c r="G4671" t="str">
        <x:v>Megha</x:v>
      </x:c>
      <x:c r="H4671" t="str">
        <x:v>P044</x:v>
      </x:c>
      <x:c r="I4671" t="str">
        <x:v>Chicken Curry Cut 1kg</x:v>
      </x:c>
      <x:c r="J4671" t="str">
        <x:v>Protein</x:v>
      </x:c>
      <x:c r="K4671" t="str">
        <x:v>FreshToHome</x:v>
      </x:c>
      <x:c r="L4671" s="22" t="n">
        <x:v>230</x:v>
      </x:c>
      <x:c r="M4671" t="n">
        <x:v>32</x:v>
      </x:c>
      <x:c r="N4671" s="24" t="n">
        <x:v>0.03</x:v>
      </x:c>
      <x:c r="O4671" s="22" t="n">
        <x:f>L4671*M4671</x:f>
        <x:v>7360</x:v>
      </x:c>
      <x:c r="P4671" s="22" t="n">
        <x:f>O4671*(1-N4671)</x:f>
        <x:v>7139.2</x:v>
      </x:c>
      <x:c r="Q4671" s="22" t="n">
        <x:v>205</x:v>
      </x:c>
      <x:c r="R4671" s="22" t="n">
        <x:f>Q4671*M4671</x:f>
        <x:v>6560</x:v>
      </x:c>
      <x:c r="S4671" s="22" t="n">
        <x:f>P4671-R4671</x:f>
        <x:v>579.1999999999998</x:v>
      </x:c>
      <x:c r="T4671" t="str">
        <x:v>UPI</x:v>
      </x:c>
      <x:c r="U4671" t="str">
        <x:v>Pending</x:v>
      </x:c>
      <x:c r="V4671" t="str">
        <x:v>Delivered</x:v>
      </x:c>
      <x:c r="W4671" t="n">
        <x:v>0</x:v>
      </x:c>
      <x:c r="X4671" t="str"/>
      <x:c r="Y4671" t="str">
        <x:v>WhatsApp</x:v>
      </x:c>
    </x:row>
    <x:row r="4672">
      <x:c r="A4672" t="str">
        <x:v>O004671</x:v>
      </x:c>
      <x:c r="B4672" s="20" t="n">
        <x:v>45919</x:v>
      </x:c>
      <x:c r="C4672" t="str">
        <x:v>C0127</x:v>
      </x:c>
      <x:c r="D4672" t="str">
        <x:v>Grand Mart 127</x:v>
      </x:c>
      <x:c r="E4672" t="str">
        <x:v>Canteen</x:v>
      </x:c>
      <x:c r="F4672" t="str">
        <x:v>Hubballi</x:v>
      </x:c>
      <x:c r="G4672" t="str">
        <x:v>Imran</x:v>
      </x:c>
      <x:c r="H4672" t="str">
        <x:v>P043</x:v>
      </x:c>
      <x:c r="I4672" t="str">
        <x:v>Chicken Breast 1kg</x:v>
      </x:c>
      <x:c r="J4672" t="str">
        <x:v>Protein</x:v>
      </x:c>
      <x:c r="K4672" t="str">
        <x:v>FreshToHome</x:v>
      </x:c>
      <x:c r="L4672" s="22" t="n">
        <x:v>260</x:v>
      </x:c>
      <x:c r="M4672" t="n">
        <x:v>6</x:v>
      </x:c>
      <x:c r="N4672" s="24" t="n">
        <x:v>0.03</x:v>
      </x:c>
      <x:c r="O4672" s="22" t="n">
        <x:f>L4672*M4672</x:f>
        <x:v>1560</x:v>
      </x:c>
      <x:c r="P4672" s="22" t="n">
        <x:f>O4672*(1-N4672)</x:f>
        <x:v>1513.2</x:v>
      </x:c>
      <x:c r="Q4672" s="22" t="n">
        <x:v>235</x:v>
      </x:c>
      <x:c r="R4672" s="22" t="n">
        <x:f>Q4672*M4672</x:f>
        <x:v>1410</x:v>
      </x:c>
      <x:c r="S4672" s="22" t="n">
        <x:f>P4672-R4672</x:f>
        <x:v>103.20000000000005</x:v>
      </x:c>
      <x:c r="T4672" t="str">
        <x:v>Cash</x:v>
      </x:c>
      <x:c r="U4672" t="str">
        <x:v>Paid</x:v>
      </x:c>
      <x:c r="V4672" t="str">
        <x:v>Cancelled</x:v>
      </x:c>
      <x:c r="W4672" t="n">
        <x:v>6</x:v>
      </x:c>
      <x:c r="X4672" t="str">
        <x:v>Cancelled Order</x:v>
      </x:c>
      <x:c r="Y4672" t="str">
        <x:v>Outbound Call</x:v>
      </x:c>
    </x:row>
    <x:row r="4673">
      <x:c r="A4673" t="str">
        <x:v>O004672</x:v>
      </x:c>
      <x:c r="B4673" s="20" t="n">
        <x:v>45816</x:v>
      </x:c>
      <x:c r="C4673" t="str">
        <x:v>C0187</x:v>
      </x:c>
      <x:c r="D4673" t="str">
        <x:v>City Cafe 187</x:v>
      </x:c>
      <x:c r="E4673" t="str">
        <x:v>Hotel</x:v>
      </x:c>
      <x:c r="F4673" t="str">
        <x:v>Mysuru</x:v>
      </x:c>
      <x:c r="G4673" t="str">
        <x:v>Priya</x:v>
      </x:c>
      <x:c r="H4673" t="str">
        <x:v>P038</x:v>
      </x:c>
      <x:c r="I4673" t="str">
        <x:v>French Fries 2.5kg</x:v>
      </x:c>
      <x:c r="J4673" t="str">
        <x:v>Frozen</x:v>
      </x:c>
      <x:c r="K4673" t="str">
        <x:v>McCain</x:v>
      </x:c>
      <x:c r="L4673" s="22" t="n">
        <x:v>360</x:v>
      </x:c>
      <x:c r="M4673" t="n">
        <x:v>21</x:v>
      </x:c>
      <x:c r="N4673" s="24" t="n">
        <x:v>0.03</x:v>
      </x:c>
      <x:c r="O4673" s="22" t="n">
        <x:f>L4673*M4673</x:f>
        <x:v>7560</x:v>
      </x:c>
      <x:c r="P4673" s="22" t="n">
        <x:f>O4673*(1-N4673)</x:f>
        <x:v>7333.2</x:v>
      </x:c>
      <x:c r="Q4673" s="22" t="n">
        <x:v>315</x:v>
      </x:c>
      <x:c r="R4673" s="22" t="n">
        <x:f>Q4673*M4673</x:f>
        <x:v>6615</x:v>
      </x:c>
      <x:c r="S4673" s="22" t="n">
        <x:f>P4673-R4673</x:f>
        <x:v>718.1999999999998</x:v>
      </x:c>
      <x:c r="T4673" t="str">
        <x:v>Bank Transfer</x:v>
      </x:c>
      <x:c r="U4673" t="str">
        <x:v>Pending</x:v>
      </x:c>
      <x:c r="V4673" t="str">
        <x:v>Cancelled</x:v>
      </x:c>
      <x:c r="W4673" t="n">
        <x:v>21</x:v>
      </x:c>
      <x:c r="X4673" t="str">
        <x:v>Cancelled Order</x:v>
      </x:c>
      <x:c r="Y4673" t="str">
        <x:v>Field Visit</x:v>
      </x:c>
    </x:row>
    <x:row r="4674">
      <x:c r="A4674" t="str">
        <x:v>O004673</x:v>
      </x:c>
      <x:c r="B4674" s="20" t="n">
        <x:v>45787</x:v>
      </x:c>
      <x:c r="C4674" t="str">
        <x:v>C0168</x:v>
      </x:c>
      <x:c r="D4674" t="str">
        <x:v>Sagar Hotel 168</x:v>
      </x:c>
      <x:c r="E4674" t="str">
        <x:v>Canteen</x:v>
      </x:c>
      <x:c r="F4674" t="str">
        <x:v>Bengaluru</x:v>
      </x:c>
      <x:c r="G4674" t="str">
        <x:v>Priya</x:v>
      </x:c>
      <x:c r="H4674" t="str">
        <x:v>P028</x:v>
      </x:c>
      <x:c r="I4674" t="str">
        <x:v>Cookies 200g</x:v>
      </x:c>
      <x:c r="J4674" t="str">
        <x:v>Snacks</x:v>
      </x:c>
      <x:c r="K4674" t="str">
        <x:v>Britannia</x:v>
      </x:c>
      <x:c r="L4674" s="22" t="n">
        <x:v>55</x:v>
      </x:c>
      <x:c r="M4674" t="n">
        <x:v>29</x:v>
      </x:c>
      <x:c r="N4674" s="24" t="n">
        <x:v>0.03</x:v>
      </x:c>
      <x:c r="O4674" s="22" t="n">
        <x:f>L4674*M4674</x:f>
        <x:v>1595</x:v>
      </x:c>
      <x:c r="P4674" s="22" t="n">
        <x:f>O4674*(1-N4674)</x:f>
        <x:v>1547.1499999999999</x:v>
      </x:c>
      <x:c r="Q4674" s="22" t="n">
        <x:v>42</x:v>
      </x:c>
      <x:c r="R4674" s="22" t="n">
        <x:f>Q4674*M4674</x:f>
        <x:v>1218</x:v>
      </x:c>
      <x:c r="S4674" s="22" t="n">
        <x:f>P4674-R4674</x:f>
        <x:v>329.14999999999986</x:v>
      </x:c>
      <x:c r="T4674" t="str">
        <x:v>Credit</x:v>
      </x:c>
      <x:c r="U4674" t="str">
        <x:v>Paid</x:v>
      </x:c>
      <x:c r="V4674" t="str">
        <x:v>Delivered</x:v>
      </x:c>
      <x:c r="W4674" t="n">
        <x:v>0</x:v>
      </x:c>
      <x:c r="X4674" t="str"/>
      <x:c r="Y4674" t="str">
        <x:v>Outbound Call</x:v>
      </x:c>
    </x:row>
    <x:row r="4675">
      <x:c r="A4675" t="str">
        <x:v>O004674</x:v>
      </x:c>
      <x:c r="B4675" s="20" t="n">
        <x:v>45782</x:v>
      </x:c>
      <x:c r="C4675" t="str">
        <x:v>C0077</x:v>
      </x:c>
      <x:c r="D4675" t="str">
        <x:v>Spice Cafe 77</x:v>
      </x:c>
      <x:c r="E4675" t="str">
        <x:v>Kirana</x:v>
      </x:c>
      <x:c r="F4675" t="str">
        <x:v>Hubballi</x:v>
      </x:c>
      <x:c r="G4675" t="str">
        <x:v>Vikram</x:v>
      </x:c>
      <x:c r="H4675" t="str">
        <x:v>P031</x:v>
      </x:c>
      <x:c r="I4675" t="str">
        <x:v>Chilli Sauce 700g</x:v>
      </x:c>
      <x:c r="J4675" t="str">
        <x:v>Condiments</x:v>
      </x:c>
      <x:c r="K4675" t="str">
        <x:v>Ching's</x:v>
      </x:c>
      <x:c r="L4675" s="22" t="n">
        <x:v>130</x:v>
      </x:c>
      <x:c r="M4675" t="n">
        <x:v>19</x:v>
      </x:c>
      <x:c r="N4675" s="24" t="n">
        <x:v>0.02</x:v>
      </x:c>
      <x:c r="O4675" s="22" t="n">
        <x:f>L4675*M4675</x:f>
        <x:v>2470</x:v>
      </x:c>
      <x:c r="P4675" s="22" t="n">
        <x:f>O4675*(1-N4675)</x:f>
        <x:v>2420.6</x:v>
      </x:c>
      <x:c r="Q4675" s="22" t="n">
        <x:v>112</x:v>
      </x:c>
      <x:c r="R4675" s="22" t="n">
        <x:f>Q4675*M4675</x:f>
        <x:v>2128</x:v>
      </x:c>
      <x:c r="S4675" s="22" t="n">
        <x:f>P4675-R4675</x:f>
        <x:v>292.5999999999999</x:v>
      </x:c>
      <x:c r="T4675" t="str">
        <x:v>Bank Transfer</x:v>
      </x:c>
      <x:c r="U4675" t="str">
        <x:v>Paid</x:v>
      </x:c>
      <x:c r="V4675" t="str">
        <x:v>Cancelled</x:v>
      </x:c>
      <x:c r="W4675" t="n">
        <x:v>19</x:v>
      </x:c>
      <x:c r="X4675" t="str">
        <x:v>Cancelled Order</x:v>
      </x:c>
      <x:c r="Y4675" t="str">
        <x:v>Outbound Call</x:v>
      </x:c>
    </x:row>
    <x:row r="4676">
      <x:c r="A4676" t="str">
        <x:v>O004675</x:v>
      </x:c>
      <x:c r="B4676" s="20" t="n">
        <x:v>45825</x:v>
      </x:c>
      <x:c r="C4676" t="str">
        <x:v>C0137</x:v>
      </x:c>
      <x:c r="D4676" t="str">
        <x:v>Green Restaurant 137</x:v>
      </x:c>
      <x:c r="E4676" t="str">
        <x:v>Canteen</x:v>
      </x:c>
      <x:c r="F4676" t="str">
        <x:v>Mangaluru</x:v>
      </x:c>
      <x:c r="G4676" t="str">
        <x:v>Arjun</x:v>
      </x:c>
      <x:c r="H4676" t="str">
        <x:v>P042</x:v>
      </x:c>
      <x:c r="I4676" t="str">
        <x:v>Eggs 30pc Tray</x:v>
      </x:c>
      <x:c r="J4676" t="str">
        <x:v>Protein</x:v>
      </x:c>
      <x:c r="K4676" t="str">
        <x:v>Farm Fresh</x:v>
      </x:c>
      <x:c r="L4676" s="22" t="n">
        <x:v>195</x:v>
      </x:c>
      <x:c r="M4676" t="n">
        <x:v>27</x:v>
      </x:c>
      <x:c r="N4676" s="24" t="n">
        <x:v>0.05</x:v>
      </x:c>
      <x:c r="O4676" s="22" t="n">
        <x:f>L4676*M4676</x:f>
        <x:v>5265</x:v>
      </x:c>
      <x:c r="P4676" s="22" t="n">
        <x:f>O4676*(1-N4676)</x:f>
        <x:v>5001.75</x:v>
      </x:c>
      <x:c r="Q4676" s="22" t="n">
        <x:v>170</x:v>
      </x:c>
      <x:c r="R4676" s="22" t="n">
        <x:f>Q4676*M4676</x:f>
        <x:v>4590</x:v>
      </x:c>
      <x:c r="S4676" s="22" t="n">
        <x:f>P4676-R4676</x:f>
        <x:v>411.75</x:v>
      </x:c>
      <x:c r="T4676" t="str">
        <x:v>Credit</x:v>
      </x:c>
      <x:c r="U4676" t="str">
        <x:v>Overdue</x:v>
      </x:c>
      <x:c r="V4676" t="str">
        <x:v>Delivered</x:v>
      </x:c>
      <x:c r="W4676" t="n">
        <x:v>0</x:v>
      </x:c>
      <x:c r="X4676" t="str"/>
      <x:c r="Y4676" t="str">
        <x:v>WhatsApp</x:v>
      </x:c>
    </x:row>
    <x:row r="4677">
      <x:c r="A4677" t="str">
        <x:v>O004676</x:v>
      </x:c>
      <x:c r="B4677" s="20" t="n">
        <x:v>46123</x:v>
      </x:c>
      <x:c r="C4677" t="str">
        <x:v>C0100</x:v>
      </x:c>
      <x:c r="D4677" t="str">
        <x:v>Fresh Mart 100</x:v>
      </x:c>
      <x:c r="E4677" t="str">
        <x:v>Restaurant</x:v>
      </x:c>
      <x:c r="F4677" t="str">
        <x:v>Mysuru</x:v>
      </x:c>
      <x:c r="G4677" t="str">
        <x:v>Imran</x:v>
      </x:c>
      <x:c r="H4677" t="str">
        <x:v>P012</x:v>
      </x:c>
      <x:c r="I4677" t="str">
        <x:v>Maida 10kg</x:v>
      </x:c>
      <x:c r="J4677" t="str">
        <x:v>Flour</x:v>
      </x:c>
      <x:c r="K4677" t="str">
        <x:v>Aashirvaad</x:v>
      </x:c>
      <x:c r="L4677" s="22" t="n">
        <x:v>520</x:v>
      </x:c>
      <x:c r="M4677" t="n">
        <x:v>24</x:v>
      </x:c>
      <x:c r="N4677" s="24" t="n">
        <x:v>0.05</x:v>
      </x:c>
      <x:c r="O4677" s="22" t="n">
        <x:f>L4677*M4677</x:f>
        <x:v>12480</x:v>
      </x:c>
      <x:c r="P4677" s="22" t="n">
        <x:f>O4677*(1-N4677)</x:f>
        <x:v>11856</x:v>
      </x:c>
      <x:c r="Q4677" s="22" t="n">
        <x:v>460</x:v>
      </x:c>
      <x:c r="R4677" s="22" t="n">
        <x:f>Q4677*M4677</x:f>
        <x:v>11040</x:v>
      </x:c>
      <x:c r="S4677" s="22" t="n">
        <x:f>P4677-R4677</x:f>
        <x:v>816</x:v>
      </x:c>
      <x:c r="T4677" t="str">
        <x:v>Cash</x:v>
      </x:c>
      <x:c r="U4677" t="str">
        <x:v>Paid</x:v>
      </x:c>
      <x:c r="V4677" t="str">
        <x:v>Delivered</x:v>
      </x:c>
      <x:c r="W4677" t="n">
        <x:v>3</x:v>
      </x:c>
      <x:c r="X4677" t="str">
        <x:v>Wrong Item</x:v>
      </x:c>
      <x:c r="Y4677" t="str">
        <x:v>Existing Customer</x:v>
      </x:c>
    </x:row>
    <x:row r="4678">
      <x:c r="A4678" t="str">
        <x:v>O004677</x:v>
      </x:c>
      <x:c r="B4678" s="20" t="n">
        <x:v>45995</x:v>
      </x:c>
      <x:c r="C4678" t="str">
        <x:v>C0159</x:v>
      </x:c>
      <x:c r="D4678" t="str">
        <x:v>Darshini Foods 159</x:v>
      </x:c>
      <x:c r="E4678" t="str">
        <x:v>Canteen</x:v>
      </x:c>
      <x:c r="F4678" t="str">
        <x:v>Tumakuru</x:v>
      </x:c>
      <x:c r="G4678" t="str">
        <x:v>Kavya</x:v>
      </x:c>
      <x:c r="H4678" t="str">
        <x:v>P023</x:v>
      </x:c>
      <x:c r="I4678" t="str">
        <x:v>Cola 750ml</x:v>
      </x:c>
      <x:c r="J4678" t="str">
        <x:v>Beverage</x:v>
      </x:c>
      <x:c r="K4678" t="str">
        <x:v>Coca-Cola</x:v>
      </x:c>
      <x:c r="L4678" s="22" t="n">
        <x:v>38</x:v>
      </x:c>
      <x:c r="M4678" t="n">
        <x:v>16</x:v>
      </x:c>
      <x:c r="N4678" s="24" t="n">
        <x:v>0.02</x:v>
      </x:c>
      <x:c r="O4678" s="22" t="n">
        <x:f>L4678*M4678</x:f>
        <x:v>608</x:v>
      </x:c>
      <x:c r="P4678" s="22" t="n">
        <x:f>O4678*(1-N4678)</x:f>
        <x:v>595.84</x:v>
      </x:c>
      <x:c r="Q4678" s="22" t="n">
        <x:v>31</x:v>
      </x:c>
      <x:c r="R4678" s="22" t="n">
        <x:f>Q4678*M4678</x:f>
        <x:v>496</x:v>
      </x:c>
      <x:c r="S4678" s="22" t="n">
        <x:f>P4678-R4678</x:f>
        <x:v>99.84000000000003</x:v>
      </x:c>
      <x:c r="T4678" t="str">
        <x:v>Cash</x:v>
      </x:c>
      <x:c r="U4678" t="str">
        <x:v>Paid</x:v>
      </x:c>
      <x:c r="V4678" t="str">
        <x:v>Delivered</x:v>
      </x:c>
      <x:c r="W4678" t="n">
        <x:v>0</x:v>
      </x:c>
      <x:c r="X4678" t="str"/>
      <x:c r="Y4678" t="str">
        <x:v>Outbound Call</x:v>
      </x:c>
    </x:row>
    <x:row r="4679">
      <x:c r="A4679" t="str">
        <x:v>O004678</x:v>
      </x:c>
      <x:c r="B4679" s="20" t="n">
        <x:v>45692</x:v>
      </x:c>
      <x:c r="C4679" t="str">
        <x:v>C0068</x:v>
      </x:c>
      <x:c r="D4679" t="str">
        <x:v>Fresh Canteen 68</x:v>
      </x:c>
      <x:c r="E4679" t="str">
        <x:v>Kirana</x:v>
      </x:c>
      <x:c r="F4679" t="str">
        <x:v>Davanagere</x:v>
      </x:c>
      <x:c r="G4679" t="str">
        <x:v>Arjun</x:v>
      </x:c>
      <x:c r="H4679" t="str">
        <x:v>P029</x:v>
      </x:c>
      <x:c r="I4679" t="str">
        <x:v>Tomato Ketchup 1kg</x:v>
      </x:c>
      <x:c r="J4679" t="str">
        <x:v>Condiments</x:v>
      </x:c>
      <x:c r="K4679" t="str">
        <x:v>Kissan</x:v>
      </x:c>
      <x:c r="L4679" s="22" t="n">
        <x:v>145</x:v>
      </x:c>
      <x:c r="M4679" t="n">
        <x:v>22</x:v>
      </x:c>
      <x:c r="N4679" s="24" t="n">
        <x:v>0.02</x:v>
      </x:c>
      <x:c r="O4679" s="22" t="n">
        <x:f>L4679*M4679</x:f>
        <x:v>3190</x:v>
      </x:c>
      <x:c r="P4679" s="22" t="n">
        <x:f>O4679*(1-N4679)</x:f>
        <x:v>3126.2</x:v>
      </x:c>
      <x:c r="Q4679" s="22" t="n">
        <x:v>126</x:v>
      </x:c>
      <x:c r="R4679" s="22" t="n">
        <x:f>Q4679*M4679</x:f>
        <x:v>2772</x:v>
      </x:c>
      <x:c r="S4679" s="22" t="n">
        <x:f>P4679-R4679</x:f>
        <x:v>354.1999999999998</x:v>
      </x:c>
      <x:c r="T4679" t="str">
        <x:v>Cash</x:v>
      </x:c>
      <x:c r="U4679" t="str">
        <x:v>Paid</x:v>
      </x:c>
      <x:c r="V4679" t="str">
        <x:v>Delivered</x:v>
      </x:c>
      <x:c r="W4679" t="n">
        <x:v>0</x:v>
      </x:c>
      <x:c r="X4679" t="str"/>
      <x:c r="Y4679" t="str">
        <x:v>Referral</x:v>
      </x:c>
    </x:row>
    <x:row r="4680">
      <x:c r="A4680" t="str">
        <x:v>O004679</x:v>
      </x:c>
      <x:c r="B4680" s="20" t="n">
        <x:v>45669</x:v>
      </x:c>
      <x:c r="C4680" t="str">
        <x:v>C0197</x:v>
      </x:c>
      <x:c r="D4680" t="str">
        <x:v>New Foods 197</x:v>
      </x:c>
      <x:c r="E4680" t="str">
        <x:v>Cafe</x:v>
      </x:c>
      <x:c r="F4680" t="str">
        <x:v>Hubballi</x:v>
      </x:c>
      <x:c r="G4680" t="str">
        <x:v>Kavya</x:v>
      </x:c>
      <x:c r="H4680" t="str">
        <x:v>P046</x:v>
      </x:c>
      <x:c r="I4680" t="str">
        <x:v>Potato 25kg</x:v>
      </x:c>
      <x:c r="J4680" t="str">
        <x:v>Fresh Produce</x:v>
      </x:c>
      <x:c r="K4680" t="str">
        <x:v>Local Market</x:v>
      </x:c>
      <x:c r="L4680" s="22" t="n">
        <x:v>700</x:v>
      </x:c>
      <x:c r="M4680" t="n">
        <x:v>5</x:v>
      </x:c>
      <x:c r="N4680" s="24" t="n">
        <x:v>0.08</x:v>
      </x:c>
      <x:c r="O4680" s="22" t="n">
        <x:f>L4680*M4680</x:f>
        <x:v>3500</x:v>
      </x:c>
      <x:c r="P4680" s="22" t="n">
        <x:f>O4680*(1-N4680)</x:f>
        <x:v>3220</x:v>
      </x:c>
      <x:c r="Q4680" s="22" t="n">
        <x:v>610</x:v>
      </x:c>
      <x:c r="R4680" s="22" t="n">
        <x:f>Q4680*M4680</x:f>
        <x:v>3050</x:v>
      </x:c>
      <x:c r="S4680" s="22" t="n">
        <x:f>P4680-R4680</x:f>
        <x:v>170</x:v>
      </x:c>
      <x:c r="T4680" t="str">
        <x:v>Credit</x:v>
      </x:c>
      <x:c r="U4680" t="str">
        <x:v>Paid</x:v>
      </x:c>
      <x:c r="V4680" t="str">
        <x:v>Cancelled</x:v>
      </x:c>
      <x:c r="W4680" t="n">
        <x:v>5</x:v>
      </x:c>
      <x:c r="X4680" t="str">
        <x:v>Cancelled Order</x:v>
      </x:c>
      <x:c r="Y4680" t="str">
        <x:v>Existing Customer</x:v>
      </x:c>
    </x:row>
    <x:row r="4681">
      <x:c r="A4681" t="str">
        <x:v>O004680</x:v>
      </x:c>
      <x:c r="B4681" s="20" t="n">
        <x:v>45937</x:v>
      </x:c>
      <x:c r="C4681" t="str">
        <x:v>C0115</x:v>
      </x:c>
      <x:c r="D4681" t="str">
        <x:v>Mysore Mart 115</x:v>
      </x:c>
      <x:c r="E4681" t="str">
        <x:v>Kirana</x:v>
      </x:c>
      <x:c r="F4681" t="str">
        <x:v>Mangaluru</x:v>
      </x:c>
      <x:c r="G4681" t="str">
        <x:v>Arjun</x:v>
      </x:c>
      <x:c r="H4681" t="str">
        <x:v>P004</x:v>
      </x:c>
      <x:c r="I4681" t="str">
        <x:v>Toor Dal 5kg</x:v>
      </x:c>
      <x:c r="J4681" t="str">
        <x:v>Pulses</x:v>
      </x:c>
      <x:c r="K4681" t="str">
        <x:v>Tata Sampann</x:v>
      </x:c>
      <x:c r="L4681" s="22" t="n">
        <x:v>780</x:v>
      </x:c>
      <x:c r="M4681" t="n">
        <x:v>16</x:v>
      </x:c>
      <x:c r="N4681" s="24" t="n">
        <x:v>0.03</x:v>
      </x:c>
      <x:c r="O4681" s="22" t="n">
        <x:f>L4681*M4681</x:f>
        <x:v>12480</x:v>
      </x:c>
      <x:c r="P4681" s="22" t="n">
        <x:f>O4681*(1-N4681)</x:f>
        <x:v>12105.6</x:v>
      </x:c>
      <x:c r="Q4681" s="22" t="n">
        <x:v>695</x:v>
      </x:c>
      <x:c r="R4681" s="22" t="n">
        <x:f>Q4681*M4681</x:f>
        <x:v>11120</x:v>
      </x:c>
      <x:c r="S4681" s="22" t="n">
        <x:f>P4681-R4681</x:f>
        <x:v>985.6000000000004</x:v>
      </x:c>
      <x:c r="T4681" t="str">
        <x:v>Cash</x:v>
      </x:c>
      <x:c r="U4681" t="str">
        <x:v>Pending</x:v>
      </x:c>
      <x:c r="V4681" t="str">
        <x:v>Delivered</x:v>
      </x:c>
      <x:c r="W4681" t="n">
        <x:v>0</x:v>
      </x:c>
      <x:c r="X4681" t="str"/>
      <x:c r="Y4681" t="str">
        <x:v>Existing Customer</x:v>
      </x:c>
    </x:row>
    <x:row r="4682">
      <x:c r="A4682" t="str">
        <x:v>O004681</x:v>
      </x:c>
      <x:c r="B4682" s="20" t="n">
        <x:v>46188</x:v>
      </x:c>
      <x:c r="C4682" t="str">
        <x:v>C0218</x:v>
      </x:c>
      <x:c r="D4682" t="str">
        <x:v>Green Stores 218</x:v>
      </x:c>
      <x:c r="E4682" t="str">
        <x:v>Hotel</x:v>
      </x:c>
      <x:c r="F4682" t="str">
        <x:v>Mysuru</x:v>
      </x:c>
      <x:c r="G4682" t="str">
        <x:v>Imran</x:v>
      </x:c>
      <x:c r="H4682" t="str">
        <x:v>P023</x:v>
      </x:c>
      <x:c r="I4682" t="str">
        <x:v>Cola 750ml</x:v>
      </x:c>
      <x:c r="J4682" t="str">
        <x:v>Beverage</x:v>
      </x:c>
      <x:c r="K4682" t="str">
        <x:v>Coca-Cola</x:v>
      </x:c>
      <x:c r="L4682" s="22" t="n">
        <x:v>38</x:v>
      </x:c>
      <x:c r="M4682" t="n">
        <x:v>15</x:v>
      </x:c>
      <x:c r="N4682" s="24" t="n">
        <x:v>0.02</x:v>
      </x:c>
      <x:c r="O4682" s="22" t="n">
        <x:f>L4682*M4682</x:f>
        <x:v>570</x:v>
      </x:c>
      <x:c r="P4682" s="22" t="n">
        <x:f>O4682*(1-N4682)</x:f>
        <x:v>558.6</x:v>
      </x:c>
      <x:c r="Q4682" s="22" t="n">
        <x:v>31</x:v>
      </x:c>
      <x:c r="R4682" s="22" t="n">
        <x:f>Q4682*M4682</x:f>
        <x:v>465</x:v>
      </x:c>
      <x:c r="S4682" s="22" t="n">
        <x:f>P4682-R4682</x:f>
        <x:v>93.60000000000002</x:v>
      </x:c>
      <x:c r="T4682" t="str">
        <x:v>Cash</x:v>
      </x:c>
      <x:c r="U4682" t="str">
        <x:v>Paid</x:v>
      </x:c>
      <x:c r="V4682" t="str">
        <x:v>Delivered</x:v>
      </x:c>
      <x:c r="W4682" t="n">
        <x:v>0</x:v>
      </x:c>
      <x:c r="X4682" t="str"/>
      <x:c r="Y4682" t="str">
        <x:v>Existing Customer</x:v>
      </x:c>
    </x:row>
    <x:row r="4683">
      <x:c r="A4683" t="str">
        <x:v>O004682</x:v>
      </x:c>
      <x:c r="B4683" s="20" t="n">
        <x:v>45903</x:v>
      </x:c>
      <x:c r="C4683" t="str">
        <x:v>C0120</x:v>
      </x:c>
      <x:c r="D4683" t="str">
        <x:v>Foodie Foods 120</x:v>
      </x:c>
      <x:c r="E4683" t="str">
        <x:v>Hotel</x:v>
      </x:c>
      <x:c r="F4683" t="str">
        <x:v>Hubballi</x:v>
      </x:c>
      <x:c r="G4683" t="str">
        <x:v>Arjun</x:v>
      </x:c>
      <x:c r="H4683" t="str">
        <x:v>P046</x:v>
      </x:c>
      <x:c r="I4683" t="str">
        <x:v>Potato 25kg</x:v>
      </x:c>
      <x:c r="J4683" t="str">
        <x:v>Fresh Produce</x:v>
      </x:c>
      <x:c r="K4683" t="str">
        <x:v>Local Market</x:v>
      </x:c>
      <x:c r="L4683" s="22" t="n">
        <x:v>700</x:v>
      </x:c>
      <x:c r="M4683" t="n">
        <x:v>36</x:v>
      </x:c>
      <x:c r="N4683" s="24" t="n">
        <x:v>0.02</x:v>
      </x:c>
      <x:c r="O4683" s="22" t="n">
        <x:f>L4683*M4683</x:f>
        <x:v>25200</x:v>
      </x:c>
      <x:c r="P4683" s="22" t="n">
        <x:f>O4683*(1-N4683)</x:f>
        <x:v>24696</x:v>
      </x:c>
      <x:c r="Q4683" s="22" t="n">
        <x:v>610</x:v>
      </x:c>
      <x:c r="R4683" s="22" t="n">
        <x:f>Q4683*M4683</x:f>
        <x:v>21960</x:v>
      </x:c>
      <x:c r="S4683" s="22" t="n">
        <x:f>P4683-R4683</x:f>
        <x:v>2736</x:v>
      </x:c>
      <x:c r="T4683" t="str">
        <x:v>Cash</x:v>
      </x:c>
      <x:c r="U4683" t="str">
        <x:v>Pending</x:v>
      </x:c>
      <x:c r="V4683" t="str">
        <x:v>Delivered</x:v>
      </x:c>
      <x:c r="W4683" t="n">
        <x:v>0</x:v>
      </x:c>
      <x:c r="X4683" t="str"/>
      <x:c r="Y4683" t="str">
        <x:v>Outbound Call</x:v>
      </x:c>
    </x:row>
    <x:row r="4684">
      <x:c r="A4684" t="str">
        <x:v>O004683</x:v>
      </x:c>
      <x:c r="B4684" s="20" t="n">
        <x:v>45923</x:v>
      </x:c>
      <x:c r="C4684" t="str">
        <x:v>C0230</x:v>
      </x:c>
      <x:c r="D4684" t="str">
        <x:v>Darshini Foods 230</x:v>
      </x:c>
      <x:c r="E4684" t="str">
        <x:v>Restaurant</x:v>
      </x:c>
      <x:c r="F4684" t="str">
        <x:v>Davanagere</x:v>
      </x:c>
      <x:c r="G4684" t="str">
        <x:v>Priya</x:v>
      </x:c>
      <x:c r="H4684" t="str">
        <x:v>P050</x:v>
      </x:c>
      <x:c r="I4684" t="str">
        <x:v>Lemon 5kg</x:v>
      </x:c>
      <x:c r="J4684" t="str">
        <x:v>Fresh Produce</x:v>
      </x:c>
      <x:c r="K4684" t="str">
        <x:v>Local Market</x:v>
      </x:c>
      <x:c r="L4684" s="22" t="n">
        <x:v>360</x:v>
      </x:c>
      <x:c r="M4684" t="n">
        <x:v>35</x:v>
      </x:c>
      <x:c r="N4684" s="24" t="n">
        <x:v>0.05</x:v>
      </x:c>
      <x:c r="O4684" s="22" t="n">
        <x:f>L4684*M4684</x:f>
        <x:v>12600</x:v>
      </x:c>
      <x:c r="P4684" s="22" t="n">
        <x:f>O4684*(1-N4684)</x:f>
        <x:v>11970</x:v>
      </x:c>
      <x:c r="Q4684" s="22" t="n">
        <x:v>300</x:v>
      </x:c>
      <x:c r="R4684" s="22" t="n">
        <x:f>Q4684*M4684</x:f>
        <x:v>10500</x:v>
      </x:c>
      <x:c r="S4684" s="22" t="n">
        <x:f>P4684-R4684</x:f>
        <x:v>1470</x:v>
      </x:c>
      <x:c r="T4684" t="str">
        <x:v>Cash</x:v>
      </x:c>
      <x:c r="U4684" t="str">
        <x:v>Paid</x:v>
      </x:c>
      <x:c r="V4684" t="str">
        <x:v>Delayed</x:v>
      </x:c>
      <x:c r="W4684" t="n">
        <x:v>0</x:v>
      </x:c>
      <x:c r="X4684" t="str"/>
      <x:c r="Y4684" t="str">
        <x:v>Existing Customer</x:v>
      </x:c>
    </x:row>
    <x:row r="4685">
      <x:c r="A4685" t="str">
        <x:v>O004684</x:v>
      </x:c>
      <x:c r="B4685" s="20" t="n">
        <x:v>46229</x:v>
      </x:c>
      <x:c r="C4685" t="str">
        <x:v>C0186</x:v>
      </x:c>
      <x:c r="D4685" t="str">
        <x:v>Namma Stores 186</x:v>
      </x:c>
      <x:c r="E4685" t="str">
        <x:v>Supermarket</x:v>
      </x:c>
      <x:c r="F4685" t="str">
        <x:v>Mysuru</x:v>
      </x:c>
      <x:c r="G4685" t="str">
        <x:v>Vikram</x:v>
      </x:c>
      <x:c r="H4685" t="str">
        <x:v>P041</x:v>
      </x:c>
      <x:c r="I4685" t="str">
        <x:v>Burger Bun 6pc</x:v>
      </x:c>
      <x:c r="J4685" t="str">
        <x:v>Bakery</x:v>
      </x:c>
      <x:c r="K4685" t="str">
        <x:v>Modern</x:v>
      </x:c>
      <x:c r="L4685" s="22" t="n">
        <x:v>42</x:v>
      </x:c>
      <x:c r="M4685" t="n">
        <x:v>40</x:v>
      </x:c>
      <x:c r="N4685" s="24" t="n">
        <x:v>0</x:v>
      </x:c>
      <x:c r="O4685" s="22" t="n">
        <x:f>L4685*M4685</x:f>
        <x:v>1680</x:v>
      </x:c>
      <x:c r="P4685" s="22" t="n">
        <x:f>O4685*(1-N4685)</x:f>
        <x:v>1680</x:v>
      </x:c>
      <x:c r="Q4685" s="22" t="n">
        <x:v>32</x:v>
      </x:c>
      <x:c r="R4685" s="22" t="n">
        <x:f>Q4685*M4685</x:f>
        <x:v>1280</x:v>
      </x:c>
      <x:c r="S4685" s="22" t="n">
        <x:f>P4685-R4685</x:f>
        <x:v>400</x:v>
      </x:c>
      <x:c r="T4685" t="str">
        <x:v>Credit</x:v>
      </x:c>
      <x:c r="U4685" t="str">
        <x:v>Paid</x:v>
      </x:c>
      <x:c r="V4685" t="str">
        <x:v>Delivered</x:v>
      </x:c>
      <x:c r="W4685" t="n">
        <x:v>0</x:v>
      </x:c>
      <x:c r="X4685" t="str"/>
      <x:c r="Y4685" t="str">
        <x:v>Referral</x:v>
      </x:c>
    </x:row>
    <x:row r="4686">
      <x:c r="A4686" t="str">
        <x:v>O004685</x:v>
      </x:c>
      <x:c r="B4686" s="20" t="n">
        <x:v>46134</x:v>
      </x:c>
      <x:c r="C4686" t="str">
        <x:v>C0079</x:v>
      </x:c>
      <x:c r="D4686" t="str">
        <x:v>Foodie Foods 79</x:v>
      </x:c>
      <x:c r="E4686" t="str">
        <x:v>Cafe</x:v>
      </x:c>
      <x:c r="F4686" t="str">
        <x:v>Tumakuru</x:v>
      </x:c>
      <x:c r="G4686" t="str">
        <x:v>Ramesh</x:v>
      </x:c>
      <x:c r="H4686" t="str">
        <x:v>P029</x:v>
      </x:c>
      <x:c r="I4686" t="str">
        <x:v>Tomato Ketchup 1kg</x:v>
      </x:c>
      <x:c r="J4686" t="str">
        <x:v>Condiments</x:v>
      </x:c>
      <x:c r="K4686" t="str">
        <x:v>Kissan</x:v>
      </x:c>
      <x:c r="L4686" s="22" t="n">
        <x:v>145</x:v>
      </x:c>
      <x:c r="M4686" t="n">
        <x:v>7</x:v>
      </x:c>
      <x:c r="N4686" s="24" t="n">
        <x:v>0</x:v>
      </x:c>
      <x:c r="O4686" s="22" t="n">
        <x:f>L4686*M4686</x:f>
        <x:v>1015</x:v>
      </x:c>
      <x:c r="P4686" s="22" t="n">
        <x:f>O4686*(1-N4686)</x:f>
        <x:v>1015</x:v>
      </x:c>
      <x:c r="Q4686" s="22" t="n">
        <x:v>126</x:v>
      </x:c>
      <x:c r="R4686" s="22" t="n">
        <x:f>Q4686*M4686</x:f>
        <x:v>882</x:v>
      </x:c>
      <x:c r="S4686" s="22" t="n">
        <x:f>P4686-R4686</x:f>
        <x:v>133</x:v>
      </x:c>
      <x:c r="T4686" t="str">
        <x:v>Credit</x:v>
      </x:c>
      <x:c r="U4686" t="str">
        <x:v>Paid</x:v>
      </x:c>
      <x:c r="V4686" t="str">
        <x:v>Delivered</x:v>
      </x:c>
      <x:c r="W4686" t="n">
        <x:v>0</x:v>
      </x:c>
      <x:c r="X4686" t="str"/>
      <x:c r="Y4686" t="str">
        <x:v>Existing Customer</x:v>
      </x:c>
    </x:row>
    <x:row r="4687">
      <x:c r="A4687" t="str">
        <x:v>O004686</x:v>
      </x:c>
      <x:c r="B4687" s="20" t="n">
        <x:v>45783</x:v>
      </x:c>
      <x:c r="C4687" t="str">
        <x:v>C0228</x:v>
      </x:c>
      <x:c r="D4687" t="str">
        <x:v>Metro Foods 228</x:v>
      </x:c>
      <x:c r="E4687" t="str">
        <x:v>Supermarket</x:v>
      </x:c>
      <x:c r="F4687" t="str">
        <x:v>Davanagere</x:v>
      </x:c>
      <x:c r="G4687" t="str">
        <x:v>Sneha</x:v>
      </x:c>
      <x:c r="H4687" t="str">
        <x:v>P027</x:v>
      </x:c>
      <x:c r="I4687" t="str">
        <x:v>Biscuits 120g</x:v>
      </x:c>
      <x:c r="J4687" t="str">
        <x:v>Snacks</x:v>
      </x:c>
      <x:c r="K4687" t="str">
        <x:v>Parle-G</x:v>
      </x:c>
      <x:c r="L4687" s="22" t="n">
        <x:v>12</x:v>
      </x:c>
      <x:c r="M4687" t="n">
        <x:v>26</x:v>
      </x:c>
      <x:c r="N4687" s="24" t="n">
        <x:v>0</x:v>
      </x:c>
      <x:c r="O4687" s="22" t="n">
        <x:f>L4687*M4687</x:f>
        <x:v>312</x:v>
      </x:c>
      <x:c r="P4687" s="22" t="n">
        <x:f>O4687*(1-N4687)</x:f>
        <x:v>312</x:v>
      </x:c>
      <x:c r="Q4687" s="22" t="n">
        <x:v>9</x:v>
      </x:c>
      <x:c r="R4687" s="22" t="n">
        <x:f>Q4687*M4687</x:f>
        <x:v>234</x:v>
      </x:c>
      <x:c r="S4687" s="22" t="n">
        <x:f>P4687-R4687</x:f>
        <x:v>78</x:v>
      </x:c>
      <x:c r="T4687" t="str">
        <x:v>Credit</x:v>
      </x:c>
      <x:c r="U4687" t="str">
        <x:v>Paid</x:v>
      </x:c>
      <x:c r="V4687" t="str">
        <x:v>Delivered</x:v>
      </x:c>
      <x:c r="W4687" t="n">
        <x:v>0</x:v>
      </x:c>
      <x:c r="X4687" t="str"/>
      <x:c r="Y4687" t="str">
        <x:v>Referral</x:v>
      </x:c>
    </x:row>
    <x:row r="4688">
      <x:c r="A4688" t="str">
        <x:v>O004687</x:v>
      </x:c>
      <x:c r="B4688" s="20" t="n">
        <x:v>45860</x:v>
      </x:c>
      <x:c r="C4688" t="str">
        <x:v>C0185</x:v>
      </x:c>
      <x:c r="D4688" t="str">
        <x:v>Mysore Foods 185</x:v>
      </x:c>
      <x:c r="E4688" t="str">
        <x:v>Restaurant</x:v>
      </x:c>
      <x:c r="F4688" t="str">
        <x:v>Mysuru</x:v>
      </x:c>
      <x:c r="G4688" t="str">
        <x:v>Sneha</x:v>
      </x:c>
      <x:c r="H4688" t="str">
        <x:v>P032</x:v>
      </x:c>
      <x:c r="I4688" t="str">
        <x:v>Soy Sauce 700g</x:v>
      </x:c>
      <x:c r="J4688" t="str">
        <x:v>Condiments</x:v>
      </x:c>
      <x:c r="K4688" t="str">
        <x:v>Ching's</x:v>
      </x:c>
      <x:c r="L4688" s="22" t="n">
        <x:v>118</x:v>
      </x:c>
      <x:c r="M4688" t="n">
        <x:v>5</x:v>
      </x:c>
      <x:c r="N4688" s="24" t="n">
        <x:v>0.02</x:v>
      </x:c>
      <x:c r="O4688" s="22" t="n">
        <x:f>L4688*M4688</x:f>
        <x:v>590</x:v>
      </x:c>
      <x:c r="P4688" s="22" t="n">
        <x:f>O4688*(1-N4688)</x:f>
        <x:v>578.2</x:v>
      </x:c>
      <x:c r="Q4688" s="22" t="n">
        <x:v>101</x:v>
      </x:c>
      <x:c r="R4688" s="22" t="n">
        <x:f>Q4688*M4688</x:f>
        <x:v>505</x:v>
      </x:c>
      <x:c r="S4688" s="22" t="n">
        <x:f>P4688-R4688</x:f>
        <x:v>73.20000000000005</x:v>
      </x:c>
      <x:c r="T4688" t="str">
        <x:v>Bank Transfer</x:v>
      </x:c>
      <x:c r="U4688" t="str">
        <x:v>Pending</x:v>
      </x:c>
      <x:c r="V4688" t="str">
        <x:v>Delayed</x:v>
      </x:c>
      <x:c r="W4688" t="n">
        <x:v>0</x:v>
      </x:c>
      <x:c r="X4688" t="str"/>
      <x:c r="Y4688" t="str">
        <x:v>Outbound Call</x:v>
      </x:c>
    </x:row>
    <x:row r="4689">
      <x:c r="A4689" t="str">
        <x:v>O004688</x:v>
      </x:c>
      <x:c r="B4689" s="20" t="n">
        <x:v>45781</x:v>
      </x:c>
      <x:c r="C4689" t="str">
        <x:v>C0107</x:v>
      </x:c>
      <x:c r="D4689" t="str">
        <x:v>Mysore Cafe 107</x:v>
      </x:c>
      <x:c r="E4689" t="str">
        <x:v>Supermarket</x:v>
      </x:c>
      <x:c r="F4689" t="str">
        <x:v>Tumakuru</x:v>
      </x:c>
      <x:c r="G4689" t="str">
        <x:v>Megha</x:v>
      </x:c>
      <x:c r="H4689" t="str">
        <x:v>P050</x:v>
      </x:c>
      <x:c r="I4689" t="str">
        <x:v>Lemon 5kg</x:v>
      </x:c>
      <x:c r="J4689" t="str">
        <x:v>Fresh Produce</x:v>
      </x:c>
      <x:c r="K4689" t="str">
        <x:v>Local Market</x:v>
      </x:c>
      <x:c r="L4689" s="22" t="n">
        <x:v>360</x:v>
      </x:c>
      <x:c r="M4689" t="n">
        <x:v>28</x:v>
      </x:c>
      <x:c r="N4689" s="24" t="n">
        <x:v>0</x:v>
      </x:c>
      <x:c r="O4689" s="22" t="n">
        <x:f>L4689*M4689</x:f>
        <x:v>10080</x:v>
      </x:c>
      <x:c r="P4689" s="22" t="n">
        <x:f>O4689*(1-N4689)</x:f>
        <x:v>10080</x:v>
      </x:c>
      <x:c r="Q4689" s="22" t="n">
        <x:v>300</x:v>
      </x:c>
      <x:c r="R4689" s="22" t="n">
        <x:f>Q4689*M4689</x:f>
        <x:v>8400</x:v>
      </x:c>
      <x:c r="S4689" s="22" t="n">
        <x:f>P4689-R4689</x:f>
        <x:v>1680</x:v>
      </x:c>
      <x:c r="T4689" t="str">
        <x:v>Credit</x:v>
      </x:c>
      <x:c r="U4689" t="str">
        <x:v>Paid</x:v>
      </x:c>
      <x:c r="V4689" t="str">
        <x:v>Delayed</x:v>
      </x:c>
      <x:c r="W4689" t="n">
        <x:v>0</x:v>
      </x:c>
      <x:c r="X4689" t="str"/>
      <x:c r="Y4689" t="str">
        <x:v>Existing Customer</x:v>
      </x:c>
    </x:row>
    <x:row r="4690">
      <x:c r="A4690" t="str">
        <x:v>O004689</x:v>
      </x:c>
      <x:c r="B4690" s="20" t="n">
        <x:v>46099</x:v>
      </x:c>
      <x:c r="C4690" t="str">
        <x:v>C0165</x:v>
      </x:c>
      <x:c r="D4690" t="str">
        <x:v>Royal Restaurant 165</x:v>
      </x:c>
      <x:c r="E4690" t="str">
        <x:v>Hotel</x:v>
      </x:c>
      <x:c r="F4690" t="str">
        <x:v>Tumakuru</x:v>
      </x:c>
      <x:c r="G4690" t="str">
        <x:v>Kavya</x:v>
      </x:c>
      <x:c r="H4690" t="str">
        <x:v>P047</x:v>
      </x:c>
      <x:c r="I4690" t="str">
        <x:v>Tomato 25kg</x:v>
      </x:c>
      <x:c r="J4690" t="str">
        <x:v>Fresh Produce</x:v>
      </x:c>
      <x:c r="K4690" t="str">
        <x:v>Local Market</x:v>
      </x:c>
      <x:c r="L4690" s="22" t="n">
        <x:v>950</x:v>
      </x:c>
      <x:c r="M4690" t="n">
        <x:v>31</x:v>
      </x:c>
      <x:c r="N4690" s="24" t="n">
        <x:v>0.08</x:v>
      </x:c>
      <x:c r="O4690" s="22" t="n">
        <x:f>L4690*M4690</x:f>
        <x:v>29450</x:v>
      </x:c>
      <x:c r="P4690" s="22" t="n">
        <x:f>O4690*(1-N4690)</x:f>
        <x:v>27094</x:v>
      </x:c>
      <x:c r="Q4690" s="22" t="n">
        <x:v>810</x:v>
      </x:c>
      <x:c r="R4690" s="22" t="n">
        <x:f>Q4690*M4690</x:f>
        <x:v>25110</x:v>
      </x:c>
      <x:c r="S4690" s="22" t="n">
        <x:f>P4690-R4690</x:f>
        <x:v>1984</x:v>
      </x:c>
      <x:c r="T4690" t="str">
        <x:v>Credit</x:v>
      </x:c>
      <x:c r="U4690" t="str">
        <x:v>Paid</x:v>
      </x:c>
      <x:c r="V4690" t="str">
        <x:v>Cancelled</x:v>
      </x:c>
      <x:c r="W4690" t="n">
        <x:v>31</x:v>
      </x:c>
      <x:c r="X4690" t="str">
        <x:v>Cancelled Order</x:v>
      </x:c>
      <x:c r="Y4690" t="str">
        <x:v>Outbound Call</x:v>
      </x:c>
    </x:row>
    <x:row r="4691">
      <x:c r="A4691" t="str">
        <x:v>O004690</x:v>
      </x:c>
      <x:c r="B4691" s="20" t="n">
        <x:v>46133</x:v>
      </x:c>
      <x:c r="C4691" t="str">
        <x:v>C0047</x:v>
      </x:c>
      <x:c r="D4691" t="str">
        <x:v>Shree Restaurant 47</x:v>
      </x:c>
      <x:c r="E4691" t="str">
        <x:v>Canteen</x:v>
      </x:c>
      <x:c r="F4691" t="str">
        <x:v>Davanagere</x:v>
      </x:c>
      <x:c r="G4691" t="str">
        <x:v>Arjun</x:v>
      </x:c>
      <x:c r="H4691" t="str">
        <x:v>P020</x:v>
      </x:c>
      <x:c r="I4691" t="str">
        <x:v>Coffee 500g</x:v>
      </x:c>
      <x:c r="J4691" t="str">
        <x:v>Beverage</x:v>
      </x:c>
      <x:c r="K4691" t="str">
        <x:v>Bru</x:v>
      </x:c>
      <x:c r="L4691" s="22" t="n">
        <x:v>390</x:v>
      </x:c>
      <x:c r="M4691" t="n">
        <x:v>37</x:v>
      </x:c>
      <x:c r="N4691" s="24" t="n">
        <x:v>0.1</x:v>
      </x:c>
      <x:c r="O4691" s="22" t="n">
        <x:f>L4691*M4691</x:f>
        <x:v>14430</x:v>
      </x:c>
      <x:c r="P4691" s="22" t="n">
        <x:f>O4691*(1-N4691)</x:f>
        <x:v>12987</x:v>
      </x:c>
      <x:c r="Q4691" s="22" t="n">
        <x:v>350</x:v>
      </x:c>
      <x:c r="R4691" s="22" t="n">
        <x:f>Q4691*M4691</x:f>
        <x:v>12950</x:v>
      </x:c>
      <x:c r="S4691" s="22" t="n">
        <x:f>P4691-R4691</x:f>
        <x:v>37</x:v>
      </x:c>
      <x:c r="T4691" t="str">
        <x:v>Bank Transfer</x:v>
      </x:c>
      <x:c r="U4691" t="str">
        <x:v>Paid</x:v>
      </x:c>
      <x:c r="V4691" t="str">
        <x:v>Delivered</x:v>
      </x:c>
      <x:c r="W4691" t="n">
        <x:v>0</x:v>
      </x:c>
      <x:c r="X4691" t="str"/>
      <x:c r="Y4691" t="str">
        <x:v>Existing Customer</x:v>
      </x:c>
    </x:row>
    <x:row r="4692">
      <x:c r="A4692" t="str">
        <x:v>O004691</x:v>
      </x:c>
      <x:c r="B4692" s="20" t="n">
        <x:v>46124</x:v>
      </x:c>
      <x:c r="C4692" t="str">
        <x:v>C0011</x:v>
      </x:c>
      <x:c r="D4692" t="str">
        <x:v>City Cafe 11</x:v>
      </x:c>
      <x:c r="E4692" t="str">
        <x:v>Restaurant</x:v>
      </x:c>
      <x:c r="F4692" t="str">
        <x:v>Mangaluru</x:v>
      </x:c>
      <x:c r="G4692" t="str">
        <x:v>Arjun</x:v>
      </x:c>
      <x:c r="H4692" t="str">
        <x:v>P044</x:v>
      </x:c>
      <x:c r="I4692" t="str">
        <x:v>Chicken Curry Cut 1kg</x:v>
      </x:c>
      <x:c r="J4692" t="str">
        <x:v>Protein</x:v>
      </x:c>
      <x:c r="K4692" t="str">
        <x:v>FreshToHome</x:v>
      </x:c>
      <x:c r="L4692" s="22" t="n">
        <x:v>230</x:v>
      </x:c>
      <x:c r="M4692" t="n">
        <x:v>7</x:v>
      </x:c>
      <x:c r="N4692" s="24" t="n">
        <x:v>0.02</x:v>
      </x:c>
      <x:c r="O4692" s="22" t="n">
        <x:f>L4692*M4692</x:f>
        <x:v>1610</x:v>
      </x:c>
      <x:c r="P4692" s="22" t="n">
        <x:f>O4692*(1-N4692)</x:f>
        <x:v>1577.8</x:v>
      </x:c>
      <x:c r="Q4692" s="22" t="n">
        <x:v>205</x:v>
      </x:c>
      <x:c r="R4692" s="22" t="n">
        <x:f>Q4692*M4692</x:f>
        <x:v>1435</x:v>
      </x:c>
      <x:c r="S4692" s="22" t="n">
        <x:f>P4692-R4692</x:f>
        <x:v>142.79999999999995</x:v>
      </x:c>
      <x:c r="T4692" t="str">
        <x:v>Credit</x:v>
      </x:c>
      <x:c r="U4692" t="str">
        <x:v>Paid</x:v>
      </x:c>
      <x:c r="V4692" t="str">
        <x:v>Delivered</x:v>
      </x:c>
      <x:c r="W4692" t="n">
        <x:v>0</x:v>
      </x:c>
      <x:c r="X4692" t="str"/>
      <x:c r="Y4692" t="str">
        <x:v>Existing Customer</x:v>
      </x:c>
    </x:row>
    <x:row r="4693">
      <x:c r="A4693" t="str">
        <x:v>O004692</x:v>
      </x:c>
      <x:c r="B4693" s="20" t="n">
        <x:v>45999</x:v>
      </x:c>
      <x:c r="C4693" t="str">
        <x:v>C0157</x:v>
      </x:c>
      <x:c r="D4693" t="str">
        <x:v>Fresh Canteen 157</x:v>
      </x:c>
      <x:c r="E4693" t="str">
        <x:v>Kirana</x:v>
      </x:c>
      <x:c r="F4693" t="str">
        <x:v>Mangaluru</x:v>
      </x:c>
      <x:c r="G4693" t="str">
        <x:v>Priya</x:v>
      </x:c>
      <x:c r="H4693" t="str">
        <x:v>P010</x:v>
      </x:c>
      <x:c r="I4693" t="str">
        <x:v>Sugar 25kg</x:v>
      </x:c>
      <x:c r="J4693" t="str">
        <x:v>Staples</x:v>
      </x:c>
      <x:c r="K4693" t="str">
        <x:v>Madhur</x:v>
      </x:c>
      <x:c r="L4693" s="22" t="n">
        <x:v>1190</x:v>
      </x:c>
      <x:c r="M4693" t="n">
        <x:v>9</x:v>
      </x:c>
      <x:c r="N4693" s="24" t="n">
        <x:v>0.02</x:v>
      </x:c>
      <x:c r="O4693" s="22" t="n">
        <x:f>L4693*M4693</x:f>
        <x:v>10710</x:v>
      </x:c>
      <x:c r="P4693" s="22" t="n">
        <x:f>O4693*(1-N4693)</x:f>
        <x:v>10495.8</x:v>
      </x:c>
      <x:c r="Q4693" s="22" t="n">
        <x:v>1080</x:v>
      </x:c>
      <x:c r="R4693" s="22" t="n">
        <x:f>Q4693*M4693</x:f>
        <x:v>9720</x:v>
      </x:c>
      <x:c r="S4693" s="22" t="n">
        <x:f>P4693-R4693</x:f>
        <x:v>775.7999999999993</x:v>
      </x:c>
      <x:c r="T4693" t="str">
        <x:v>Bank Transfer</x:v>
      </x:c>
      <x:c r="U4693" t="str">
        <x:v>Paid</x:v>
      </x:c>
      <x:c r="V4693" t="str">
        <x:v>Delivered</x:v>
      </x:c>
      <x:c r="W4693" t="n">
        <x:v>0</x:v>
      </x:c>
      <x:c r="X4693" t="str"/>
      <x:c r="Y4693" t="str">
        <x:v>Existing Customer</x:v>
      </x:c>
    </x:row>
    <x:row r="4694">
      <x:c r="A4694" t="str">
        <x:v>O004693</x:v>
      </x:c>
      <x:c r="B4694" s="20" t="n">
        <x:v>45851</x:v>
      </x:c>
      <x:c r="C4694" t="str">
        <x:v>C0007</x:v>
      </x:c>
      <x:c r="D4694" t="str">
        <x:v>Mysore Stores 7</x:v>
      </x:c>
      <x:c r="E4694" t="str">
        <x:v>Kirana</x:v>
      </x:c>
      <x:c r="F4694" t="str">
        <x:v>Bengaluru</x:v>
      </x:c>
      <x:c r="G4694" t="str">
        <x:v>Kavya</x:v>
      </x:c>
      <x:c r="H4694" t="str">
        <x:v>P040</x:v>
      </x:c>
      <x:c r="I4694" t="str">
        <x:v>Bread Loaf 400g</x:v>
      </x:c>
      <x:c r="J4694" t="str">
        <x:v>Bakery</x:v>
      </x:c>
      <x:c r="K4694" t="str">
        <x:v>Britannia</x:v>
      </x:c>
      <x:c r="L4694" s="22" t="n">
        <x:v>45</x:v>
      </x:c>
      <x:c r="M4694" t="n">
        <x:v>19</x:v>
      </x:c>
      <x:c r="N4694" s="24" t="n">
        <x:v>0.05</x:v>
      </x:c>
      <x:c r="O4694" s="22" t="n">
        <x:f>L4694*M4694</x:f>
        <x:v>855</x:v>
      </x:c>
      <x:c r="P4694" s="22" t="n">
        <x:f>O4694*(1-N4694)</x:f>
        <x:v>812.25</x:v>
      </x:c>
      <x:c r="Q4694" s="22" t="n">
        <x:v>35</x:v>
      </x:c>
      <x:c r="R4694" s="22" t="n">
        <x:f>Q4694*M4694</x:f>
        <x:v>665</x:v>
      </x:c>
      <x:c r="S4694" s="22" t="n">
        <x:f>P4694-R4694</x:f>
        <x:v>147.25</x:v>
      </x:c>
      <x:c r="T4694" t="str">
        <x:v>Bank Transfer</x:v>
      </x:c>
      <x:c r="U4694" t="str">
        <x:v>Pending</x:v>
      </x:c>
      <x:c r="V4694" t="str">
        <x:v>Delivered</x:v>
      </x:c>
      <x:c r="W4694" t="n">
        <x:v>0</x:v>
      </x:c>
      <x:c r="X4694" t="str"/>
      <x:c r="Y4694" t="str">
        <x:v>Field Visit</x:v>
      </x:c>
    </x:row>
    <x:row r="4695">
      <x:c r="A4695" t="str">
        <x:v>O004694</x:v>
      </x:c>
      <x:c r="B4695" s="20" t="n">
        <x:v>45756</x:v>
      </x:c>
      <x:c r="C4695" t="str">
        <x:v>C0074</x:v>
      </x:c>
      <x:c r="D4695" t="str">
        <x:v>Foodie Hotel 74</x:v>
      </x:c>
      <x:c r="E4695" t="str">
        <x:v>Restaurant</x:v>
      </x:c>
      <x:c r="F4695" t="str">
        <x:v>Mysuru</x:v>
      </x:c>
      <x:c r="G4695" t="str">
        <x:v>Vikram</x:v>
      </x:c>
      <x:c r="H4695" t="str">
        <x:v>P031</x:v>
      </x:c>
      <x:c r="I4695" t="str">
        <x:v>Chilli Sauce 700g</x:v>
      </x:c>
      <x:c r="J4695" t="str">
        <x:v>Condiments</x:v>
      </x:c>
      <x:c r="K4695" t="str">
        <x:v>Ching's</x:v>
      </x:c>
      <x:c r="L4695" s="22" t="n">
        <x:v>130</x:v>
      </x:c>
      <x:c r="M4695" t="n">
        <x:v>5</x:v>
      </x:c>
      <x:c r="N4695" s="24" t="n">
        <x:v>0.02</x:v>
      </x:c>
      <x:c r="O4695" s="22" t="n">
        <x:f>L4695*M4695</x:f>
        <x:v>650</x:v>
      </x:c>
      <x:c r="P4695" s="22" t="n">
        <x:f>O4695*(1-N4695)</x:f>
        <x:v>637</x:v>
      </x:c>
      <x:c r="Q4695" s="22" t="n">
        <x:v>112</x:v>
      </x:c>
      <x:c r="R4695" s="22" t="n">
        <x:f>Q4695*M4695</x:f>
        <x:v>560</x:v>
      </x:c>
      <x:c r="S4695" s="22" t="n">
        <x:f>P4695-R4695</x:f>
        <x:v>77</x:v>
      </x:c>
      <x:c r="T4695" t="str">
        <x:v>Cash</x:v>
      </x:c>
      <x:c r="U4695" t="str">
        <x:v>Paid</x:v>
      </x:c>
      <x:c r="V4695" t="str">
        <x:v>Delivered</x:v>
      </x:c>
      <x:c r="W4695" t="n">
        <x:v>0</x:v>
      </x:c>
      <x:c r="X4695" t="str"/>
      <x:c r="Y4695" t="str">
        <x:v>Outbound Call</x:v>
      </x:c>
    </x:row>
    <x:row r="4696">
      <x:c r="A4696" t="str">
        <x:v>O004695</x:v>
      </x:c>
      <x:c r="B4696" s="20" t="n">
        <x:v>45999</x:v>
      </x:c>
      <x:c r="C4696" t="str">
        <x:v>C0212</x:v>
      </x:c>
      <x:c r="D4696" t="str">
        <x:v>Classic Restaurant 212</x:v>
      </x:c>
      <x:c r="E4696" t="str">
        <x:v>Restaurant</x:v>
      </x:c>
      <x:c r="F4696" t="str">
        <x:v>Mysuru</x:v>
      </x:c>
      <x:c r="G4696" t="str">
        <x:v>Vikram</x:v>
      </x:c>
      <x:c r="H4696" t="str">
        <x:v>P037</x:v>
      </x:c>
      <x:c r="I4696" t="str">
        <x:v>Frozen Peas 1kg</x:v>
      </x:c>
      <x:c r="J4696" t="str">
        <x:v>Frozen</x:v>
      </x:c>
      <x:c r="K4696" t="str">
        <x:v>Safal</x:v>
      </x:c>
      <x:c r="L4696" s="22" t="n">
        <x:v>155</x:v>
      </x:c>
      <x:c r="M4696" t="n">
        <x:v>6</x:v>
      </x:c>
      <x:c r="N4696" s="24" t="n">
        <x:v>0.03</x:v>
      </x:c>
      <x:c r="O4696" s="22" t="n">
        <x:f>L4696*M4696</x:f>
        <x:v>930</x:v>
      </x:c>
      <x:c r="P4696" s="22" t="n">
        <x:f>O4696*(1-N4696)</x:f>
        <x:v>902.1</x:v>
      </x:c>
      <x:c r="Q4696" s="22" t="n">
        <x:v>138</x:v>
      </x:c>
      <x:c r="R4696" s="22" t="n">
        <x:f>Q4696*M4696</x:f>
        <x:v>828</x:v>
      </x:c>
      <x:c r="S4696" s="22" t="n">
        <x:f>P4696-R4696</x:f>
        <x:v>74.10000000000002</x:v>
      </x:c>
      <x:c r="T4696" t="str">
        <x:v>UPI</x:v>
      </x:c>
      <x:c r="U4696" t="str">
        <x:v>Paid</x:v>
      </x:c>
      <x:c r="V4696" t="str">
        <x:v>Delivered</x:v>
      </x:c>
      <x:c r="W4696" t="n">
        <x:v>0</x:v>
      </x:c>
      <x:c r="X4696" t="str"/>
      <x:c r="Y4696" t="str">
        <x:v>WhatsApp</x:v>
      </x:c>
    </x:row>
    <x:row r="4697">
      <x:c r="A4697" t="str">
        <x:v>O004696</x:v>
      </x:c>
      <x:c r="B4697" s="20" t="n">
        <x:v>46278</x:v>
      </x:c>
      <x:c r="C4697" t="str">
        <x:v>C0250</x:v>
      </x:c>
      <x:c r="D4697" t="str">
        <x:v>Namma Hotel 250</x:v>
      </x:c>
      <x:c r="E4697" t="str">
        <x:v>Cafe</x:v>
      </x:c>
      <x:c r="F4697" t="str">
        <x:v>Bengaluru</x:v>
      </x:c>
      <x:c r="G4697" t="str">
        <x:v>Sneha</x:v>
      </x:c>
      <x:c r="H4697" t="str">
        <x:v>P043</x:v>
      </x:c>
      <x:c r="I4697" t="str">
        <x:v>Chicken Breast 1kg</x:v>
      </x:c>
      <x:c r="J4697" t="str">
        <x:v>Protein</x:v>
      </x:c>
      <x:c r="K4697" t="str">
        <x:v>FreshToHome</x:v>
      </x:c>
      <x:c r="L4697" s="22" t="n">
        <x:v>260</x:v>
      </x:c>
      <x:c r="M4697" t="n">
        <x:v>13</x:v>
      </x:c>
      <x:c r="N4697" s="24" t="n">
        <x:v>0.05</x:v>
      </x:c>
      <x:c r="O4697" s="22" t="n">
        <x:f>L4697*M4697</x:f>
        <x:v>3380</x:v>
      </x:c>
      <x:c r="P4697" s="22" t="n">
        <x:f>O4697*(1-N4697)</x:f>
        <x:v>3211</x:v>
      </x:c>
      <x:c r="Q4697" s="22" t="n">
        <x:v>235</x:v>
      </x:c>
      <x:c r="R4697" s="22" t="n">
        <x:f>Q4697*M4697</x:f>
        <x:v>3055</x:v>
      </x:c>
      <x:c r="S4697" s="22" t="n">
        <x:f>P4697-R4697</x:f>
        <x:v>156</x:v>
      </x:c>
      <x:c r="T4697" t="str">
        <x:v>UPI</x:v>
      </x:c>
      <x:c r="U4697" t="str">
        <x:v>Paid</x:v>
      </x:c>
      <x:c r="V4697" t="str">
        <x:v>Delivered</x:v>
      </x:c>
      <x:c r="W4697" t="n">
        <x:v>0</x:v>
      </x:c>
      <x:c r="X4697" t="str"/>
      <x:c r="Y4697" t="str">
        <x:v>Field Visit</x:v>
      </x:c>
    </x:row>
    <x:row r="4698">
      <x:c r="A4698" t="str">
        <x:v>O004697</x:v>
      </x:c>
      <x:c r="B4698" s="20" t="n">
        <x:v>45855</x:v>
      </x:c>
      <x:c r="C4698" t="str">
        <x:v>C0142</x:v>
      </x:c>
      <x:c r="D4698" t="str">
        <x:v>Darshini Mart 142</x:v>
      </x:c>
      <x:c r="E4698" t="str">
        <x:v>Cafe</x:v>
      </x:c>
      <x:c r="F4698" t="str">
        <x:v>Bengaluru</x:v>
      </x:c>
      <x:c r="G4698" t="str">
        <x:v>Megha</x:v>
      </x:c>
      <x:c r="H4698" t="str">
        <x:v>P013</x:v>
      </x:c>
      <x:c r="I4698" t="str">
        <x:v>Atta 10kg</x:v>
      </x:c>
      <x:c r="J4698" t="str">
        <x:v>Flour</x:v>
      </x:c>
      <x:c r="K4698" t="str">
        <x:v>Aashirvaad</x:v>
      </x:c>
      <x:c r="L4698" s="22" t="n">
        <x:v>560</x:v>
      </x:c>
      <x:c r="M4698" t="n">
        <x:v>26</x:v>
      </x:c>
      <x:c r="N4698" s="24" t="n">
        <x:v>0.08</x:v>
      </x:c>
      <x:c r="O4698" s="22" t="n">
        <x:f>L4698*M4698</x:f>
        <x:v>14560</x:v>
      </x:c>
      <x:c r="P4698" s="22" t="n">
        <x:f>O4698*(1-N4698)</x:f>
        <x:v>13395.2</x:v>
      </x:c>
      <x:c r="Q4698" s="22" t="n">
        <x:v>495</x:v>
      </x:c>
      <x:c r="R4698" s="22" t="n">
        <x:f>Q4698*M4698</x:f>
        <x:v>12870</x:v>
      </x:c>
      <x:c r="S4698" s="22" t="n">
        <x:f>P4698-R4698</x:f>
        <x:v>525.2000000000007</x:v>
      </x:c>
      <x:c r="T4698" t="str">
        <x:v>Bank Transfer</x:v>
      </x:c>
      <x:c r="U4698" t="str">
        <x:v>Paid</x:v>
      </x:c>
      <x:c r="V4698" t="str">
        <x:v>Delivered</x:v>
      </x:c>
      <x:c r="W4698" t="n">
        <x:v>0</x:v>
      </x:c>
      <x:c r="X4698" t="str"/>
      <x:c r="Y4698" t="str">
        <x:v>Field Visit</x:v>
      </x:c>
    </x:row>
    <x:row r="4699">
      <x:c r="A4699" t="str">
        <x:v>O004698</x:v>
      </x:c>
      <x:c r="B4699" s="20" t="n">
        <x:v>45837</x:v>
      </x:c>
      <x:c r="C4699" t="str">
        <x:v>C0178</x:v>
      </x:c>
      <x:c r="D4699" t="str">
        <x:v>Annapurna Foods 178</x:v>
      </x:c>
      <x:c r="E4699" t="str">
        <x:v>Canteen</x:v>
      </x:c>
      <x:c r="F4699" t="str">
        <x:v>Tumakuru</x:v>
      </x:c>
      <x:c r="G4699" t="str">
        <x:v>Imran</x:v>
      </x:c>
      <x:c r="H4699" t="str">
        <x:v>P048</x:v>
      </x:c>
      <x:c r="I4699" t="str">
        <x:v>Banana 10kg</x:v>
      </x:c>
      <x:c r="J4699" t="str">
        <x:v>Fresh Produce</x:v>
      </x:c>
      <x:c r="K4699" t="str">
        <x:v>Local Market</x:v>
      </x:c>
      <x:c r="L4699" s="22" t="n">
        <x:v>420</x:v>
      </x:c>
      <x:c r="M4699" t="n">
        <x:v>6</x:v>
      </x:c>
      <x:c r="N4699" s="24" t="n">
        <x:v>0</x:v>
      </x:c>
      <x:c r="O4699" s="22" t="n">
        <x:f>L4699*M4699</x:f>
        <x:v>2520</x:v>
      </x:c>
      <x:c r="P4699" s="22" t="n">
        <x:f>O4699*(1-N4699)</x:f>
        <x:v>2520</x:v>
      </x:c>
      <x:c r="Q4699" s="22" t="n">
        <x:v>350</x:v>
      </x:c>
      <x:c r="R4699" s="22" t="n">
        <x:f>Q4699*M4699</x:f>
        <x:v>2100</x:v>
      </x:c>
      <x:c r="S4699" s="22" t="n">
        <x:f>P4699-R4699</x:f>
        <x:v>420</x:v>
      </x:c>
      <x:c r="T4699" t="str">
        <x:v>Bank Transfer</x:v>
      </x:c>
      <x:c r="U4699" t="str">
        <x:v>Paid</x:v>
      </x:c>
      <x:c r="V4699" t="str">
        <x:v>Delivered</x:v>
      </x:c>
      <x:c r="W4699" t="n">
        <x:v>0</x:v>
      </x:c>
      <x:c r="X4699" t="str"/>
      <x:c r="Y4699" t="str">
        <x:v>WhatsApp</x:v>
      </x:c>
    </x:row>
    <x:row r="4700">
      <x:c r="A4700" t="str">
        <x:v>O004699</x:v>
      </x:c>
      <x:c r="B4700" s="20" t="n">
        <x:v>45728</x:v>
      </x:c>
      <x:c r="C4700" t="str">
        <x:v>C0220</x:v>
      </x:c>
      <x:c r="D4700" t="str">
        <x:v>Udupi Canteen 220</x:v>
      </x:c>
      <x:c r="E4700" t="str">
        <x:v>Restaurant</x:v>
      </x:c>
      <x:c r="F4700" t="str">
        <x:v>Bengaluru</x:v>
      </x:c>
      <x:c r="G4700" t="str">
        <x:v>Sneha</x:v>
      </x:c>
      <x:c r="H4700" t="str">
        <x:v>P039</x:v>
      </x:c>
      <x:c r="I4700" t="str">
        <x:v>Ice Cream 4L</x:v>
      </x:c>
      <x:c r="J4700" t="str">
        <x:v>Frozen</x:v>
      </x:c>
      <x:c r="K4700" t="str">
        <x:v>Amul</x:v>
      </x:c>
      <x:c r="L4700" s="22" t="n">
        <x:v>480</x:v>
      </x:c>
      <x:c r="M4700" t="n">
        <x:v>19</x:v>
      </x:c>
      <x:c r="N4700" s="24" t="n">
        <x:v>0.03</x:v>
      </x:c>
      <x:c r="O4700" s="22" t="n">
        <x:f>L4700*M4700</x:f>
        <x:v>9120</x:v>
      </x:c>
      <x:c r="P4700" s="22" t="n">
        <x:f>O4700*(1-N4700)</x:f>
        <x:v>8846.4</x:v>
      </x:c>
      <x:c r="Q4700" s="22" t="n">
        <x:v>420</x:v>
      </x:c>
      <x:c r="R4700" s="22" t="n">
        <x:f>Q4700*M4700</x:f>
        <x:v>7980</x:v>
      </x:c>
      <x:c r="S4700" s="22" t="n">
        <x:f>P4700-R4700</x:f>
        <x:v>866.3999999999996</x:v>
      </x:c>
      <x:c r="T4700" t="str">
        <x:v>Cash</x:v>
      </x:c>
      <x:c r="U4700" t="str">
        <x:v>Pending</x:v>
      </x:c>
      <x:c r="V4700" t="str">
        <x:v>Delivered</x:v>
      </x:c>
      <x:c r="W4700" t="n">
        <x:v>0</x:v>
      </x:c>
      <x:c r="X4700" t="str"/>
      <x:c r="Y4700" t="str">
        <x:v>Referral</x:v>
      </x:c>
    </x:row>
    <x:row r="4701">
      <x:c r="A4701" t="str">
        <x:v>O004700</x:v>
      </x:c>
      <x:c r="B4701" s="20" t="n">
        <x:v>45659</x:v>
      </x:c>
      <x:c r="C4701" t="str">
        <x:v>C0207</x:v>
      </x:c>
      <x:c r="D4701" t="str">
        <x:v>Hotel Stores 207</x:v>
      </x:c>
      <x:c r="E4701" t="str">
        <x:v>Restaurant</x:v>
      </x:c>
      <x:c r="F4701" t="str">
        <x:v>Hubballi</x:v>
      </x:c>
      <x:c r="G4701" t="str">
        <x:v>Ramesh</x:v>
      </x:c>
      <x:c r="H4701" t="str">
        <x:v>P031</x:v>
      </x:c>
      <x:c r="I4701" t="str">
        <x:v>Chilli Sauce 700g</x:v>
      </x:c>
      <x:c r="J4701" t="str">
        <x:v>Condiments</x:v>
      </x:c>
      <x:c r="K4701" t="str">
        <x:v>Ching's</x:v>
      </x:c>
      <x:c r="L4701" s="22" t="n">
        <x:v>130</x:v>
      </x:c>
      <x:c r="M4701" t="n">
        <x:v>24</x:v>
      </x:c>
      <x:c r="N4701" s="24" t="n">
        <x:v>0.03</x:v>
      </x:c>
      <x:c r="O4701" s="22" t="n">
        <x:f>L4701*M4701</x:f>
        <x:v>3120</x:v>
      </x:c>
      <x:c r="P4701" s="22" t="n">
        <x:f>O4701*(1-N4701)</x:f>
        <x:v>3026.4</x:v>
      </x:c>
      <x:c r="Q4701" s="22" t="n">
        <x:v>112</x:v>
      </x:c>
      <x:c r="R4701" s="22" t="n">
        <x:f>Q4701*M4701</x:f>
        <x:v>2688</x:v>
      </x:c>
      <x:c r="S4701" s="22" t="n">
        <x:f>P4701-R4701</x:f>
        <x:v>338.4000000000001</x:v>
      </x:c>
      <x:c r="T4701" t="str">
        <x:v>Bank Transfer</x:v>
      </x:c>
      <x:c r="U4701" t="str">
        <x:v>Paid</x:v>
      </x:c>
      <x:c r="V4701" t="str">
        <x:v>Delivered</x:v>
      </x:c>
      <x:c r="W4701" t="n">
        <x:v>0</x:v>
      </x:c>
      <x:c r="X4701" t="str"/>
      <x:c r="Y4701" t="str">
        <x:v>Outbound Call</x:v>
      </x:c>
    </x:row>
    <x:row r="4702">
      <x:c r="A4702" t="str">
        <x:v>O004701</x:v>
      </x:c>
      <x:c r="B4702" s="20" t="n">
        <x:v>45995</x:v>
      </x:c>
      <x:c r="C4702" t="str">
        <x:v>C0206</x:v>
      </x:c>
      <x:c r="D4702" t="str">
        <x:v>Grand Kitchen 206</x:v>
      </x:c>
      <x:c r="E4702" t="str">
        <x:v>Kirana</x:v>
      </x:c>
      <x:c r="F4702" t="str">
        <x:v>Mysuru</x:v>
      </x:c>
      <x:c r="G4702" t="str">
        <x:v>Arjun</x:v>
      </x:c>
      <x:c r="H4702" t="str">
        <x:v>P014</x:v>
      </x:c>
      <x:c r="I4702" t="str">
        <x:v>Rava 5kg</x:v>
      </x:c>
      <x:c r="J4702" t="str">
        <x:v>Flour</x:v>
      </x:c>
      <x:c r="K4702" t="str">
        <x:v>Local Select</x:v>
      </x:c>
      <x:c r="L4702" s="22" t="n">
        <x:v>245</x:v>
      </x:c>
      <x:c r="M4702" t="n">
        <x:v>20</x:v>
      </x:c>
      <x:c r="N4702" s="24" t="n">
        <x:v>0.02</x:v>
      </x:c>
      <x:c r="O4702" s="22" t="n">
        <x:f>L4702*M4702</x:f>
        <x:v>4900</x:v>
      </x:c>
      <x:c r="P4702" s="22" t="n">
        <x:f>O4702*(1-N4702)</x:f>
        <x:v>4802</x:v>
      </x:c>
      <x:c r="Q4702" s="22" t="n">
        <x:v>215</x:v>
      </x:c>
      <x:c r="R4702" s="22" t="n">
        <x:f>Q4702*M4702</x:f>
        <x:v>4300</x:v>
      </x:c>
      <x:c r="S4702" s="22" t="n">
        <x:f>P4702-R4702</x:f>
        <x:v>502</x:v>
      </x:c>
      <x:c r="T4702" t="str">
        <x:v>Bank Transfer</x:v>
      </x:c>
      <x:c r="U4702" t="str">
        <x:v>Pending</x:v>
      </x:c>
      <x:c r="V4702" t="str">
        <x:v>Delivered</x:v>
      </x:c>
      <x:c r="W4702" t="n">
        <x:v>0</x:v>
      </x:c>
      <x:c r="X4702" t="str"/>
      <x:c r="Y4702" t="str">
        <x:v>Existing Customer</x:v>
      </x:c>
    </x:row>
    <x:row r="4703">
      <x:c r="A4703" t="str">
        <x:v>O004702</x:v>
      </x:c>
      <x:c r="B4703" s="20" t="n">
        <x:v>46105</x:v>
      </x:c>
      <x:c r="C4703" t="str">
        <x:v>C0250</x:v>
      </x:c>
      <x:c r="D4703" t="str">
        <x:v>Namma Hotel 250</x:v>
      </x:c>
      <x:c r="E4703" t="str">
        <x:v>Cafe</x:v>
      </x:c>
      <x:c r="F4703" t="str">
        <x:v>Bengaluru</x:v>
      </x:c>
      <x:c r="G4703" t="str">
        <x:v>Sneha</x:v>
      </x:c>
      <x:c r="H4703" t="str">
        <x:v>P015</x:v>
      </x:c>
      <x:c r="I4703" t="str">
        <x:v>Milk 1L</x:v>
      </x:c>
      <x:c r="J4703" t="str">
        <x:v>Dairy</x:v>
      </x:c>
      <x:c r="K4703" t="str">
        <x:v>Nandini</x:v>
      </x:c>
      <x:c r="L4703" s="22" t="n">
        <x:v>48</x:v>
      </x:c>
      <x:c r="M4703" t="n">
        <x:v>33</x:v>
      </x:c>
      <x:c r="N4703" s="24" t="n">
        <x:v>0.03</x:v>
      </x:c>
      <x:c r="O4703" s="22" t="n">
        <x:f>L4703*M4703</x:f>
        <x:v>1584</x:v>
      </x:c>
      <x:c r="P4703" s="22" t="n">
        <x:f>O4703*(1-N4703)</x:f>
        <x:v>1536.48</x:v>
      </x:c>
      <x:c r="Q4703" s="22" t="n">
        <x:v>43</x:v>
      </x:c>
      <x:c r="R4703" s="22" t="n">
        <x:f>Q4703*M4703</x:f>
        <x:v>1419</x:v>
      </x:c>
      <x:c r="S4703" s="22" t="n">
        <x:f>P4703-R4703</x:f>
        <x:v>117.48000000000002</x:v>
      </x:c>
      <x:c r="T4703" t="str">
        <x:v>Credit</x:v>
      </x:c>
      <x:c r="U4703" t="str">
        <x:v>Paid</x:v>
      </x:c>
      <x:c r="V4703" t="str">
        <x:v>Delivered</x:v>
      </x:c>
      <x:c r="W4703" t="n">
        <x:v>0</x:v>
      </x:c>
      <x:c r="X4703" t="str"/>
      <x:c r="Y4703" t="str">
        <x:v>Field Visit</x:v>
      </x:c>
    </x:row>
    <x:row r="4704">
      <x:c r="A4704" t="str">
        <x:v>O004703</x:v>
      </x:c>
      <x:c r="B4704" s="20" t="n">
        <x:v>46177</x:v>
      </x:c>
      <x:c r="C4704" t="str">
        <x:v>C0230</x:v>
      </x:c>
      <x:c r="D4704" t="str">
        <x:v>Darshini Foods 230</x:v>
      </x:c>
      <x:c r="E4704" t="str">
        <x:v>Restaurant</x:v>
      </x:c>
      <x:c r="F4704" t="str">
        <x:v>Davanagere</x:v>
      </x:c>
      <x:c r="G4704" t="str">
        <x:v>Priya</x:v>
      </x:c>
      <x:c r="H4704" t="str">
        <x:v>P038</x:v>
      </x:c>
      <x:c r="I4704" t="str">
        <x:v>French Fries 2.5kg</x:v>
      </x:c>
      <x:c r="J4704" t="str">
        <x:v>Frozen</x:v>
      </x:c>
      <x:c r="K4704" t="str">
        <x:v>McCain</x:v>
      </x:c>
      <x:c r="L4704" s="22" t="n">
        <x:v>360</x:v>
      </x:c>
      <x:c r="M4704" t="n">
        <x:v>8</x:v>
      </x:c>
      <x:c r="N4704" s="24" t="n">
        <x:v>0</x:v>
      </x:c>
      <x:c r="O4704" s="22" t="n">
        <x:f>L4704*M4704</x:f>
        <x:v>2880</x:v>
      </x:c>
      <x:c r="P4704" s="22" t="n">
        <x:f>O4704*(1-N4704)</x:f>
        <x:v>2880</x:v>
      </x:c>
      <x:c r="Q4704" s="22" t="n">
        <x:v>315</x:v>
      </x:c>
      <x:c r="R4704" s="22" t="n">
        <x:f>Q4704*M4704</x:f>
        <x:v>2520</x:v>
      </x:c>
      <x:c r="S4704" s="22" t="n">
        <x:f>P4704-R4704</x:f>
        <x:v>360</x:v>
      </x:c>
      <x:c r="T4704" t="str">
        <x:v>Credit</x:v>
      </x:c>
      <x:c r="U4704" t="str">
        <x:v>Overdue</x:v>
      </x:c>
      <x:c r="V4704" t="str">
        <x:v>Delivered</x:v>
      </x:c>
      <x:c r="W4704" t="n">
        <x:v>0</x:v>
      </x:c>
      <x:c r="X4704" t="str"/>
      <x:c r="Y4704" t="str">
        <x:v>WhatsApp</x:v>
      </x:c>
    </x:row>
    <x:row r="4705">
      <x:c r="A4705" t="str">
        <x:v>O004704</x:v>
      </x:c>
      <x:c r="B4705" s="20" t="n">
        <x:v>46236</x:v>
      </x:c>
      <x:c r="C4705" t="str">
        <x:v>C0195</x:v>
      </x:c>
      <x:c r="D4705" t="str">
        <x:v>Classic Stores 195</x:v>
      </x:c>
      <x:c r="E4705" t="str">
        <x:v>Canteen</x:v>
      </x:c>
      <x:c r="F4705" t="str">
        <x:v>Davanagere</x:v>
      </x:c>
      <x:c r="G4705" t="str">
        <x:v>Kavya</x:v>
      </x:c>
      <x:c r="H4705" t="str">
        <x:v>P013</x:v>
      </x:c>
      <x:c r="I4705" t="str">
        <x:v>Atta 10kg</x:v>
      </x:c>
      <x:c r="J4705" t="str">
        <x:v>Flour</x:v>
      </x:c>
      <x:c r="K4705" t="str">
        <x:v>Aashirvaad</x:v>
      </x:c>
      <x:c r="L4705" s="22" t="n">
        <x:v>560</x:v>
      </x:c>
      <x:c r="M4705" t="n">
        <x:v>9</x:v>
      </x:c>
      <x:c r="N4705" s="24" t="n">
        <x:v>0.05</x:v>
      </x:c>
      <x:c r="O4705" s="22" t="n">
        <x:f>L4705*M4705</x:f>
        <x:v>5040</x:v>
      </x:c>
      <x:c r="P4705" s="22" t="n">
        <x:f>O4705*(1-N4705)</x:f>
        <x:v>4788</x:v>
      </x:c>
      <x:c r="Q4705" s="22" t="n">
        <x:v>495</x:v>
      </x:c>
      <x:c r="R4705" s="22" t="n">
        <x:f>Q4705*M4705</x:f>
        <x:v>4455</x:v>
      </x:c>
      <x:c r="S4705" s="22" t="n">
        <x:f>P4705-R4705</x:f>
        <x:v>333</x:v>
      </x:c>
      <x:c r="T4705" t="str">
        <x:v>Credit</x:v>
      </x:c>
      <x:c r="U4705" t="str">
        <x:v>Pending</x:v>
      </x:c>
      <x:c r="V4705" t="str">
        <x:v>Delivered</x:v>
      </x:c>
      <x:c r="W4705" t="n">
        <x:v>0</x:v>
      </x:c>
      <x:c r="X4705" t="str"/>
      <x:c r="Y4705" t="str">
        <x:v>Existing Customer</x:v>
      </x:c>
    </x:row>
    <x:row r="4706">
      <x:c r="A4706" t="str">
        <x:v>O004705</x:v>
      </x:c>
      <x:c r="B4706" s="20" t="n">
        <x:v>45801</x:v>
      </x:c>
      <x:c r="C4706" t="str">
        <x:v>C0158</x:v>
      </x:c>
      <x:c r="D4706" t="str">
        <x:v>Cafe Stores 158</x:v>
      </x:c>
      <x:c r="E4706" t="str">
        <x:v>Cafe</x:v>
      </x:c>
      <x:c r="F4706" t="str">
        <x:v>Mysuru</x:v>
      </x:c>
      <x:c r="G4706" t="str">
        <x:v>Priya</x:v>
      </x:c>
      <x:c r="H4706" t="str">
        <x:v>P040</x:v>
      </x:c>
      <x:c r="I4706" t="str">
        <x:v>Bread Loaf 400g</x:v>
      </x:c>
      <x:c r="J4706" t="str">
        <x:v>Bakery</x:v>
      </x:c>
      <x:c r="K4706" t="str">
        <x:v>Britannia</x:v>
      </x:c>
      <x:c r="L4706" s="22" t="n">
        <x:v>45</x:v>
      </x:c>
      <x:c r="M4706" t="n">
        <x:v>5</x:v>
      </x:c>
      <x:c r="N4706" s="24" t="n">
        <x:v>0</x:v>
      </x:c>
      <x:c r="O4706" s="22" t="n">
        <x:f>L4706*M4706</x:f>
        <x:v>225</x:v>
      </x:c>
      <x:c r="P4706" s="22" t="n">
        <x:f>O4706*(1-N4706)</x:f>
        <x:v>225</x:v>
      </x:c>
      <x:c r="Q4706" s="22" t="n">
        <x:v>35</x:v>
      </x:c>
      <x:c r="R4706" s="22" t="n">
        <x:f>Q4706*M4706</x:f>
        <x:v>175</x:v>
      </x:c>
      <x:c r="S4706" s="22" t="n">
        <x:f>P4706-R4706</x:f>
        <x:v>50</x:v>
      </x:c>
      <x:c r="T4706" t="str">
        <x:v>Bank Transfer</x:v>
      </x:c>
      <x:c r="U4706" t="str">
        <x:v>Paid</x:v>
      </x:c>
      <x:c r="V4706" t="str">
        <x:v>Delivered</x:v>
      </x:c>
      <x:c r="W4706" t="n">
        <x:v>0</x:v>
      </x:c>
      <x:c r="X4706" t="str"/>
      <x:c r="Y4706" t="str">
        <x:v>Field Visit</x:v>
      </x:c>
    </x:row>
    <x:row r="4707">
      <x:c r="A4707" t="str">
        <x:v>O004706</x:v>
      </x:c>
      <x:c r="B4707" s="20" t="n">
        <x:v>46152</x:v>
      </x:c>
      <x:c r="C4707" t="str">
        <x:v>C0155</x:v>
      </x:c>
      <x:c r="D4707" t="str">
        <x:v>New Mart 155</x:v>
      </x:c>
      <x:c r="E4707" t="str">
        <x:v>Hotel</x:v>
      </x:c>
      <x:c r="F4707" t="str">
        <x:v>Mysuru</x:v>
      </x:c>
      <x:c r="G4707" t="str">
        <x:v>Sneha</x:v>
      </x:c>
      <x:c r="H4707" t="str">
        <x:v>P043</x:v>
      </x:c>
      <x:c r="I4707" t="str">
        <x:v>Chicken Breast 1kg</x:v>
      </x:c>
      <x:c r="J4707" t="str">
        <x:v>Protein</x:v>
      </x:c>
      <x:c r="K4707" t="str">
        <x:v>FreshToHome</x:v>
      </x:c>
      <x:c r="L4707" s="22" t="n">
        <x:v>260</x:v>
      </x:c>
      <x:c r="M4707" t="n">
        <x:v>35</x:v>
      </x:c>
      <x:c r="N4707" s="24" t="n">
        <x:v>0.08</x:v>
      </x:c>
      <x:c r="O4707" s="22" t="n">
        <x:f>L4707*M4707</x:f>
        <x:v>9100</x:v>
      </x:c>
      <x:c r="P4707" s="22" t="n">
        <x:f>O4707*(1-N4707)</x:f>
        <x:v>8372</x:v>
      </x:c>
      <x:c r="Q4707" s="22" t="n">
        <x:v>235</x:v>
      </x:c>
      <x:c r="R4707" s="22" t="n">
        <x:f>Q4707*M4707</x:f>
        <x:v>8225</x:v>
      </x:c>
      <x:c r="S4707" s="22" t="n">
        <x:f>P4707-R4707</x:f>
        <x:v>147</x:v>
      </x:c>
      <x:c r="T4707" t="str">
        <x:v>UPI</x:v>
      </x:c>
      <x:c r="U4707" t="str">
        <x:v>Paid</x:v>
      </x:c>
      <x:c r="V4707" t="str">
        <x:v>Cancelled</x:v>
      </x:c>
      <x:c r="W4707" t="n">
        <x:v>35</x:v>
      </x:c>
      <x:c r="X4707" t="str">
        <x:v>Cancelled Order</x:v>
      </x:c>
      <x:c r="Y4707" t="str">
        <x:v>Referral</x:v>
      </x:c>
    </x:row>
    <x:row r="4708">
      <x:c r="A4708" t="str">
        <x:v>O004707</x:v>
      </x:c>
      <x:c r="B4708" s="20" t="n">
        <x:v>45754</x:v>
      </x:c>
      <x:c r="C4708" t="str">
        <x:v>C0035</x:v>
      </x:c>
      <x:c r="D4708" t="str">
        <x:v>City Foods 35</x:v>
      </x:c>
      <x:c r="E4708" t="str">
        <x:v>Kirana</x:v>
      </x:c>
      <x:c r="F4708" t="str">
        <x:v>Bengaluru</x:v>
      </x:c>
      <x:c r="G4708" t="str">
        <x:v>Megha</x:v>
      </x:c>
      <x:c r="H4708" t="str">
        <x:v>P008</x:v>
      </x:c>
      <x:c r="I4708" t="str">
        <x:v>Palm Oil 15L</x:v>
      </x:c>
      <x:c r="J4708" t="str">
        <x:v>Edible Oil</x:v>
      </x:c>
      <x:c r="K4708" t="str">
        <x:v>Ruchi Gold</x:v>
      </x:c>
      <x:c r="L4708" s="22" t="n">
        <x:v>1760</x:v>
      </x:c>
      <x:c r="M4708" t="n">
        <x:v>1</x:v>
      </x:c>
      <x:c r="N4708" s="24" t="n">
        <x:v>0</x:v>
      </x:c>
      <x:c r="O4708" s="22" t="n">
        <x:f>L4708*M4708</x:f>
        <x:v>1760</x:v>
      </x:c>
      <x:c r="P4708" s="22" t="n">
        <x:f>O4708*(1-N4708)</x:f>
        <x:v>1760</x:v>
      </x:c>
      <x:c r="Q4708" s="22" t="n">
        <x:v>1610</x:v>
      </x:c>
      <x:c r="R4708" s="22" t="n">
        <x:f>Q4708*M4708</x:f>
        <x:v>1610</x:v>
      </x:c>
      <x:c r="S4708" s="22" t="n">
        <x:f>P4708-R4708</x:f>
        <x:v>150</x:v>
      </x:c>
      <x:c r="T4708" t="str">
        <x:v>Bank Transfer</x:v>
      </x:c>
      <x:c r="U4708" t="str">
        <x:v>Pending</x:v>
      </x:c>
      <x:c r="V4708" t="str">
        <x:v>Delayed</x:v>
      </x:c>
      <x:c r="W4708" t="n">
        <x:v>0</x:v>
      </x:c>
      <x:c r="X4708" t="str"/>
      <x:c r="Y4708" t="str">
        <x:v>Existing Customer</x:v>
      </x:c>
    </x:row>
    <x:row r="4709">
      <x:c r="A4709" t="str">
        <x:v>O004708</x:v>
      </x:c>
      <x:c r="B4709" s="20" t="n">
        <x:v>45699</x:v>
      </x:c>
      <x:c r="C4709" t="str">
        <x:v>C0194</x:v>
      </x:c>
      <x:c r="D4709" t="str">
        <x:v>Royal Hotel 194</x:v>
      </x:c>
      <x:c r="E4709" t="str">
        <x:v>Kirana</x:v>
      </x:c>
      <x:c r="F4709" t="str">
        <x:v>Mysuru</x:v>
      </x:c>
      <x:c r="G4709" t="str">
        <x:v>Megha</x:v>
      </x:c>
      <x:c r="H4709" t="str">
        <x:v>P039</x:v>
      </x:c>
      <x:c r="I4709" t="str">
        <x:v>Ice Cream 4L</x:v>
      </x:c>
      <x:c r="J4709" t="str">
        <x:v>Frozen</x:v>
      </x:c>
      <x:c r="K4709" t="str">
        <x:v>Amul</x:v>
      </x:c>
      <x:c r="L4709" s="22" t="n">
        <x:v>480</x:v>
      </x:c>
      <x:c r="M4709" t="n">
        <x:v>7</x:v>
      </x:c>
      <x:c r="N4709" s="24" t="n">
        <x:v>0.02</x:v>
      </x:c>
      <x:c r="O4709" s="22" t="n">
        <x:f>L4709*M4709</x:f>
        <x:v>3360</x:v>
      </x:c>
      <x:c r="P4709" s="22" t="n">
        <x:f>O4709*(1-N4709)</x:f>
        <x:v>3292.7999999999997</x:v>
      </x:c>
      <x:c r="Q4709" s="22" t="n">
        <x:v>420</x:v>
      </x:c>
      <x:c r="R4709" s="22" t="n">
        <x:f>Q4709*M4709</x:f>
        <x:v>2940</x:v>
      </x:c>
      <x:c r="S4709" s="22" t="n">
        <x:f>P4709-R4709</x:f>
        <x:v>352.7999999999997</x:v>
      </x:c>
      <x:c r="T4709" t="str">
        <x:v>UPI</x:v>
      </x:c>
      <x:c r="U4709" t="str">
        <x:v>Pending</x:v>
      </x:c>
      <x:c r="V4709" t="str">
        <x:v>Cancelled</x:v>
      </x:c>
      <x:c r="W4709" t="n">
        <x:v>7</x:v>
      </x:c>
      <x:c r="X4709" t="str">
        <x:v>Cancelled Order</x:v>
      </x:c>
      <x:c r="Y4709" t="str">
        <x:v>Field Visit</x:v>
      </x:c>
    </x:row>
    <x:row r="4710">
      <x:c r="A4710" t="str">
        <x:v>O004709</x:v>
      </x:c>
      <x:c r="B4710" s="20" t="n">
        <x:v>46159</x:v>
      </x:c>
      <x:c r="C4710" t="str">
        <x:v>C0241</x:v>
      </x:c>
      <x:c r="D4710" t="str">
        <x:v>Annapurna Restaurant 241</x:v>
      </x:c>
      <x:c r="E4710" t="str">
        <x:v>Hotel</x:v>
      </x:c>
      <x:c r="F4710" t="str">
        <x:v>Tumakuru</x:v>
      </x:c>
      <x:c r="G4710" t="str">
        <x:v>Imran</x:v>
      </x:c>
      <x:c r="H4710" t="str">
        <x:v>P020</x:v>
      </x:c>
      <x:c r="I4710" t="str">
        <x:v>Coffee 500g</x:v>
      </x:c>
      <x:c r="J4710" t="str">
        <x:v>Beverage</x:v>
      </x:c>
      <x:c r="K4710" t="str">
        <x:v>Bru</x:v>
      </x:c>
      <x:c r="L4710" s="22" t="n">
        <x:v>390</x:v>
      </x:c>
      <x:c r="M4710" t="n">
        <x:v>28</x:v>
      </x:c>
      <x:c r="N4710" s="24" t="n">
        <x:v>0</x:v>
      </x:c>
      <x:c r="O4710" s="22" t="n">
        <x:f>L4710*M4710</x:f>
        <x:v>10920</x:v>
      </x:c>
      <x:c r="P4710" s="22" t="n">
        <x:f>O4710*(1-N4710)</x:f>
        <x:v>10920</x:v>
      </x:c>
      <x:c r="Q4710" s="22" t="n">
        <x:v>350</x:v>
      </x:c>
      <x:c r="R4710" s="22" t="n">
        <x:f>Q4710*M4710</x:f>
        <x:v>9800</x:v>
      </x:c>
      <x:c r="S4710" s="22" t="n">
        <x:f>P4710-R4710</x:f>
        <x:v>1120</x:v>
      </x:c>
      <x:c r="T4710" t="str">
        <x:v>UPI</x:v>
      </x:c>
      <x:c r="U4710" t="str">
        <x:v>Pending</x:v>
      </x:c>
      <x:c r="V4710" t="str">
        <x:v>Delivered</x:v>
      </x:c>
      <x:c r="W4710" t="n">
        <x:v>0</x:v>
      </x:c>
      <x:c r="X4710" t="str"/>
      <x:c r="Y4710" t="str">
        <x:v>Referral</x:v>
      </x:c>
    </x:row>
    <x:row r="4711">
      <x:c r="A4711" t="str">
        <x:v>O004710</x:v>
      </x:c>
      <x:c r="B4711" s="20" t="n">
        <x:v>45664</x:v>
      </x:c>
      <x:c r="C4711" t="str">
        <x:v>C0187</x:v>
      </x:c>
      <x:c r="D4711" t="str">
        <x:v>City Cafe 187</x:v>
      </x:c>
      <x:c r="E4711" t="str">
        <x:v>Hotel</x:v>
      </x:c>
      <x:c r="F4711" t="str">
        <x:v>Mysuru</x:v>
      </x:c>
      <x:c r="G4711" t="str">
        <x:v>Priya</x:v>
      </x:c>
      <x:c r="H4711" t="str">
        <x:v>P002</x:v>
      </x:c>
      <x:c r="I4711" t="str">
        <x:v>Sona Masoori Rice 25kg</x:v>
      </x:c>
      <x:c r="J4711" t="str">
        <x:v>Staples</x:v>
      </x:c>
      <x:c r="K4711" t="str">
        <x:v>Fortune</x:v>
      </x:c>
      <x:c r="L4711" s="22" t="n">
        <x:v>1320</x:v>
      </x:c>
      <x:c r="M4711" t="n">
        <x:v>11</x:v>
      </x:c>
      <x:c r="N4711" s="24" t="n">
        <x:v>0.1</x:v>
      </x:c>
      <x:c r="O4711" s="22" t="n">
        <x:f>L4711*M4711</x:f>
        <x:v>14520</x:v>
      </x:c>
      <x:c r="P4711" s="22" t="n">
        <x:f>O4711*(1-N4711)</x:f>
        <x:v>13068</x:v>
      </x:c>
      <x:c r="Q4711" s="22" t="n">
        <x:v>1160</x:v>
      </x:c>
      <x:c r="R4711" s="22" t="n">
        <x:f>Q4711*M4711</x:f>
        <x:v>12760</x:v>
      </x:c>
      <x:c r="S4711" s="22" t="n">
        <x:f>P4711-R4711</x:f>
        <x:v>308</x:v>
      </x:c>
      <x:c r="T4711" t="str">
        <x:v>Cash</x:v>
      </x:c>
      <x:c r="U4711" t="str">
        <x:v>Pending</x:v>
      </x:c>
      <x:c r="V4711" t="str">
        <x:v>Delayed</x:v>
      </x:c>
      <x:c r="W4711" t="n">
        <x:v>0</x:v>
      </x:c>
      <x:c r="X4711" t="str"/>
      <x:c r="Y4711" t="str">
        <x:v>Outbound Call</x:v>
      </x:c>
    </x:row>
    <x:row r="4712">
      <x:c r="A4712" t="str">
        <x:v>O004711</x:v>
      </x:c>
      <x:c r="B4712" s="20" t="n">
        <x:v>45863</x:v>
      </x:c>
      <x:c r="C4712" t="str">
        <x:v>C0180</x:v>
      </x:c>
      <x:c r="D4712" t="str">
        <x:v>Sri Kitchen 180</x:v>
      </x:c>
      <x:c r="E4712" t="str">
        <x:v>Kirana</x:v>
      </x:c>
      <x:c r="F4712" t="str">
        <x:v>Mysuru</x:v>
      </x:c>
      <x:c r="G4712" t="str">
        <x:v>Vikram</x:v>
      </x:c>
      <x:c r="H4712" t="str">
        <x:v>P050</x:v>
      </x:c>
      <x:c r="I4712" t="str">
        <x:v>Lemon 5kg</x:v>
      </x:c>
      <x:c r="J4712" t="str">
        <x:v>Fresh Produce</x:v>
      </x:c>
      <x:c r="K4712" t="str">
        <x:v>Local Market</x:v>
      </x:c>
      <x:c r="L4712" s="22" t="n">
        <x:v>360</x:v>
      </x:c>
      <x:c r="M4712" t="n">
        <x:v>8</x:v>
      </x:c>
      <x:c r="N4712" s="24" t="n">
        <x:v>0.05</x:v>
      </x:c>
      <x:c r="O4712" s="22" t="n">
        <x:f>L4712*M4712</x:f>
        <x:v>2880</x:v>
      </x:c>
      <x:c r="P4712" s="22" t="n">
        <x:f>O4712*(1-N4712)</x:f>
        <x:v>2736</x:v>
      </x:c>
      <x:c r="Q4712" s="22" t="n">
        <x:v>300</x:v>
      </x:c>
      <x:c r="R4712" s="22" t="n">
        <x:f>Q4712*M4712</x:f>
        <x:v>2400</x:v>
      </x:c>
      <x:c r="S4712" s="22" t="n">
        <x:f>P4712-R4712</x:f>
        <x:v>336</x:v>
      </x:c>
      <x:c r="T4712" t="str">
        <x:v>Cash</x:v>
      </x:c>
      <x:c r="U4712" t="str">
        <x:v>Paid</x:v>
      </x:c>
      <x:c r="V4712" t="str">
        <x:v>Delivered</x:v>
      </x:c>
      <x:c r="W4712" t="n">
        <x:v>0</x:v>
      </x:c>
      <x:c r="X4712" t="str"/>
      <x:c r="Y4712" t="str">
        <x:v>Field Visit</x:v>
      </x:c>
    </x:row>
    <x:row r="4713">
      <x:c r="A4713" t="str">
        <x:v>O004712</x:v>
      </x:c>
      <x:c r="B4713" s="20" t="n">
        <x:v>45762</x:v>
      </x:c>
      <x:c r="C4713" t="str">
        <x:v>C0051</x:v>
      </x:c>
      <x:c r="D4713" t="str">
        <x:v>Cafe Hotel 51</x:v>
      </x:c>
      <x:c r="E4713" t="str">
        <x:v>Kirana</x:v>
      </x:c>
      <x:c r="F4713" t="str">
        <x:v>Tumakuru</x:v>
      </x:c>
      <x:c r="G4713" t="str">
        <x:v>Arjun</x:v>
      </x:c>
      <x:c r="H4713" t="str">
        <x:v>P012</x:v>
      </x:c>
      <x:c r="I4713" t="str">
        <x:v>Maida 10kg</x:v>
      </x:c>
      <x:c r="J4713" t="str">
        <x:v>Flour</x:v>
      </x:c>
      <x:c r="K4713" t="str">
        <x:v>Aashirvaad</x:v>
      </x:c>
      <x:c r="L4713" s="22" t="n">
        <x:v>520</x:v>
      </x:c>
      <x:c r="M4713" t="n">
        <x:v>7</x:v>
      </x:c>
      <x:c r="N4713" s="24" t="n">
        <x:v>0</x:v>
      </x:c>
      <x:c r="O4713" s="22" t="n">
        <x:f>L4713*M4713</x:f>
        <x:v>3640</x:v>
      </x:c>
      <x:c r="P4713" s="22" t="n">
        <x:f>O4713*(1-N4713)</x:f>
        <x:v>3640</x:v>
      </x:c>
      <x:c r="Q4713" s="22" t="n">
        <x:v>460</x:v>
      </x:c>
      <x:c r="R4713" s="22" t="n">
        <x:f>Q4713*M4713</x:f>
        <x:v>3220</x:v>
      </x:c>
      <x:c r="S4713" s="22" t="n">
        <x:f>P4713-R4713</x:f>
        <x:v>420</x:v>
      </x:c>
      <x:c r="T4713" t="str">
        <x:v>Cash</x:v>
      </x:c>
      <x:c r="U4713" t="str">
        <x:v>Paid</x:v>
      </x:c>
      <x:c r="V4713" t="str">
        <x:v>Delivered</x:v>
      </x:c>
      <x:c r="W4713" t="n">
        <x:v>0</x:v>
      </x:c>
      <x:c r="X4713" t="str"/>
      <x:c r="Y4713" t="str">
        <x:v>Existing Customer</x:v>
      </x:c>
    </x:row>
    <x:row r="4714">
      <x:c r="A4714" t="str">
        <x:v>O004713</x:v>
      </x:c>
      <x:c r="B4714" s="20" t="n">
        <x:v>46143</x:v>
      </x:c>
      <x:c r="C4714" t="str">
        <x:v>C0021</x:v>
      </x:c>
      <x:c r="D4714" t="str">
        <x:v>Namma Cafe 21</x:v>
      </x:c>
      <x:c r="E4714" t="str">
        <x:v>Canteen</x:v>
      </x:c>
      <x:c r="F4714" t="str">
        <x:v>Bengaluru</x:v>
      </x:c>
      <x:c r="G4714" t="str">
        <x:v>Kavya</x:v>
      </x:c>
      <x:c r="H4714" t="str">
        <x:v>P049</x:v>
      </x:c>
      <x:c r="I4714" t="str">
        <x:v>Apple 10kg</x:v>
      </x:c>
      <x:c r="J4714" t="str">
        <x:v>Fresh Produce</x:v>
      </x:c>
      <x:c r="K4714" t="str">
        <x:v>Local Market</x:v>
      </x:c>
      <x:c r="L4714" s="22" t="n">
        <x:v>1450</x:v>
      </x:c>
      <x:c r="M4714" t="n">
        <x:v>12</x:v>
      </x:c>
      <x:c r="N4714" s="24" t="n">
        <x:v>0.1</x:v>
      </x:c>
      <x:c r="O4714" s="22" t="n">
        <x:f>L4714*M4714</x:f>
        <x:v>17400</x:v>
      </x:c>
      <x:c r="P4714" s="22" t="n">
        <x:f>O4714*(1-N4714)</x:f>
        <x:v>15660</x:v>
      </x:c>
      <x:c r="Q4714" s="22" t="n">
        <x:v>1280</x:v>
      </x:c>
      <x:c r="R4714" s="22" t="n">
        <x:f>Q4714*M4714</x:f>
        <x:v>15360</x:v>
      </x:c>
      <x:c r="S4714" s="22" t="n">
        <x:f>P4714-R4714</x:f>
        <x:v>300</x:v>
      </x:c>
      <x:c r="T4714" t="str">
        <x:v>Credit</x:v>
      </x:c>
      <x:c r="U4714" t="str">
        <x:v>Pending</x:v>
      </x:c>
      <x:c r="V4714" t="str">
        <x:v>Delayed</x:v>
      </x:c>
      <x:c r="W4714" t="n">
        <x:v>0</x:v>
      </x:c>
      <x:c r="X4714" t="str"/>
      <x:c r="Y4714" t="str">
        <x:v>Outbound Call</x:v>
      </x:c>
    </x:row>
    <x:row r="4715">
      <x:c r="A4715" t="str">
        <x:v>O004714</x:v>
      </x:c>
      <x:c r="B4715" s="20" t="n">
        <x:v>46046</x:v>
      </x:c>
      <x:c r="C4715" t="str">
        <x:v>C0018</x:v>
      </x:c>
      <x:c r="D4715" t="str">
        <x:v>Namma Canteen 18</x:v>
      </x:c>
      <x:c r="E4715" t="str">
        <x:v>Restaurant</x:v>
      </x:c>
      <x:c r="F4715" t="str">
        <x:v>Davanagere</x:v>
      </x:c>
      <x:c r="G4715" t="str">
        <x:v>Imran</x:v>
      </x:c>
      <x:c r="H4715" t="str">
        <x:v>P016</x:v>
      </x:c>
      <x:c r="I4715" t="str">
        <x:v>Curd 1kg</x:v>
      </x:c>
      <x:c r="J4715" t="str">
        <x:v>Dairy</x:v>
      </x:c>
      <x:c r="K4715" t="str">
        <x:v>Nandini</x:v>
      </x:c>
      <x:c r="L4715" s="22" t="n">
        <x:v>72</x:v>
      </x:c>
      <x:c r="M4715" t="n">
        <x:v>19</x:v>
      </x:c>
      <x:c r="N4715" s="24" t="n">
        <x:v>0</x:v>
      </x:c>
      <x:c r="O4715" s="22" t="n">
        <x:f>L4715*M4715</x:f>
        <x:v>1368</x:v>
      </x:c>
      <x:c r="P4715" s="22" t="n">
        <x:f>O4715*(1-N4715)</x:f>
        <x:v>1368</x:v>
      </x:c>
      <x:c r="Q4715" s="22" t="n">
        <x:v>64</x:v>
      </x:c>
      <x:c r="R4715" s="22" t="n">
        <x:f>Q4715*M4715</x:f>
        <x:v>1216</x:v>
      </x:c>
      <x:c r="S4715" s="22" t="n">
        <x:f>P4715-R4715</x:f>
        <x:v>152</x:v>
      </x:c>
      <x:c r="T4715" t="str">
        <x:v>Credit</x:v>
      </x:c>
      <x:c r="U4715" t="str">
        <x:v>Paid</x:v>
      </x:c>
      <x:c r="V4715" t="str">
        <x:v>Cancelled</x:v>
      </x:c>
      <x:c r="W4715" t="n">
        <x:v>19</x:v>
      </x:c>
      <x:c r="X4715" t="str">
        <x:v>Cancelled Order</x:v>
      </x:c>
      <x:c r="Y4715" t="str">
        <x:v>Existing Customer</x:v>
      </x:c>
    </x:row>
    <x:row r="4716">
      <x:c r="A4716" t="str">
        <x:v>O004715</x:v>
      </x:c>
      <x:c r="B4716" s="20" t="n">
        <x:v>46245</x:v>
      </x:c>
      <x:c r="C4716" t="str">
        <x:v>C0233</x:v>
      </x:c>
      <x:c r="D4716" t="str">
        <x:v>Shree Mart 233</x:v>
      </x:c>
      <x:c r="E4716" t="str">
        <x:v>Kirana</x:v>
      </x:c>
      <x:c r="F4716" t="str">
        <x:v>Mangaluru</x:v>
      </x:c>
      <x:c r="G4716" t="str">
        <x:v>Priya</x:v>
      </x:c>
      <x:c r="H4716" t="str">
        <x:v>P024</x:v>
      </x:c>
      <x:c r="I4716" t="str">
        <x:v>Orange Drink 1L</x:v>
      </x:c>
      <x:c r="J4716" t="str">
        <x:v>Beverage</x:v>
      </x:c>
      <x:c r="K4716" t="str">
        <x:v>Minute Maid</x:v>
      </x:c>
      <x:c r="L4716" s="22" t="n">
        <x:v>105</x:v>
      </x:c>
      <x:c r="M4716" t="n">
        <x:v>20</x:v>
      </x:c>
      <x:c r="N4716" s="24" t="n">
        <x:v>0.03</x:v>
      </x:c>
      <x:c r="O4716" s="22" t="n">
        <x:f>L4716*M4716</x:f>
        <x:v>2100</x:v>
      </x:c>
      <x:c r="P4716" s="22" t="n">
        <x:f>O4716*(1-N4716)</x:f>
        <x:v>2037</x:v>
      </x:c>
      <x:c r="Q4716" s="22" t="n">
        <x:v>88</x:v>
      </x:c>
      <x:c r="R4716" s="22" t="n">
        <x:f>Q4716*M4716</x:f>
        <x:v>1760</x:v>
      </x:c>
      <x:c r="S4716" s="22" t="n">
        <x:f>P4716-R4716</x:f>
        <x:v>277</x:v>
      </x:c>
      <x:c r="T4716" t="str">
        <x:v>Bank Transfer</x:v>
      </x:c>
      <x:c r="U4716" t="str">
        <x:v>Pending</x:v>
      </x:c>
      <x:c r="V4716" t="str">
        <x:v>Delivered</x:v>
      </x:c>
      <x:c r="W4716" t="n">
        <x:v>0</x:v>
      </x:c>
      <x:c r="X4716" t="str"/>
      <x:c r="Y4716" t="str">
        <x:v>Outbound Call</x:v>
      </x:c>
    </x:row>
    <x:row r="4717">
      <x:c r="A4717" t="str">
        <x:v>O004716</x:v>
      </x:c>
      <x:c r="B4717" s="20" t="n">
        <x:v>46190</x:v>
      </x:c>
      <x:c r="C4717" t="str">
        <x:v>C0020</x:v>
      </x:c>
      <x:c r="D4717" t="str">
        <x:v>Shree Foods 20</x:v>
      </x:c>
      <x:c r="E4717" t="str">
        <x:v>Restaurant</x:v>
      </x:c>
      <x:c r="F4717" t="str">
        <x:v>Mysuru</x:v>
      </x:c>
      <x:c r="G4717" t="str">
        <x:v>Arjun</x:v>
      </x:c>
      <x:c r="H4717" t="str">
        <x:v>P027</x:v>
      </x:c>
      <x:c r="I4717" t="str">
        <x:v>Biscuits 120g</x:v>
      </x:c>
      <x:c r="J4717" t="str">
        <x:v>Snacks</x:v>
      </x:c>
      <x:c r="K4717" t="str">
        <x:v>Parle-G</x:v>
      </x:c>
      <x:c r="L4717" s="22" t="n">
        <x:v>12</x:v>
      </x:c>
      <x:c r="M4717" t="n">
        <x:v>1</x:v>
      </x:c>
      <x:c r="N4717" s="24" t="n">
        <x:v>0</x:v>
      </x:c>
      <x:c r="O4717" s="22" t="n">
        <x:f>L4717*M4717</x:f>
        <x:v>12</x:v>
      </x:c>
      <x:c r="P4717" s="22" t="n">
        <x:f>O4717*(1-N4717)</x:f>
        <x:v>12</x:v>
      </x:c>
      <x:c r="Q4717" s="22" t="n">
        <x:v>9</x:v>
      </x:c>
      <x:c r="R4717" s="22" t="n">
        <x:f>Q4717*M4717</x:f>
        <x:v>9</x:v>
      </x:c>
      <x:c r="S4717" s="22" t="n">
        <x:f>P4717-R4717</x:f>
        <x:v>3</x:v>
      </x:c>
      <x:c r="T4717" t="str">
        <x:v>UPI</x:v>
      </x:c>
      <x:c r="U4717" t="str">
        <x:v>Paid</x:v>
      </x:c>
      <x:c r="V4717" t="str">
        <x:v>Cancelled</x:v>
      </x:c>
      <x:c r="W4717" t="n">
        <x:v>1</x:v>
      </x:c>
      <x:c r="X4717" t="str">
        <x:v>Cancelled Order</x:v>
      </x:c>
      <x:c r="Y4717" t="str">
        <x:v>Referral</x:v>
      </x:c>
    </x:row>
    <x:row r="4718">
      <x:c r="A4718" t="str">
        <x:v>O004717</x:v>
      </x:c>
      <x:c r="B4718" s="20" t="n">
        <x:v>46052</x:v>
      </x:c>
      <x:c r="C4718" t="str">
        <x:v>C0107</x:v>
      </x:c>
      <x:c r="D4718" t="str">
        <x:v>Mysore Cafe 107</x:v>
      </x:c>
      <x:c r="E4718" t="str">
        <x:v>Supermarket</x:v>
      </x:c>
      <x:c r="F4718" t="str">
        <x:v>Tumakuru</x:v>
      </x:c>
      <x:c r="G4718" t="str">
        <x:v>Megha</x:v>
      </x:c>
      <x:c r="H4718" t="str">
        <x:v>P002</x:v>
      </x:c>
      <x:c r="I4718" t="str">
        <x:v>Sona Masoori Rice 25kg</x:v>
      </x:c>
      <x:c r="J4718" t="str">
        <x:v>Staples</x:v>
      </x:c>
      <x:c r="K4718" t="str">
        <x:v>Fortune</x:v>
      </x:c>
      <x:c r="L4718" s="22" t="n">
        <x:v>1320</x:v>
      </x:c>
      <x:c r="M4718" t="n">
        <x:v>4</x:v>
      </x:c>
      <x:c r="N4718" s="24" t="n">
        <x:v>0.05</x:v>
      </x:c>
      <x:c r="O4718" s="22" t="n">
        <x:f>L4718*M4718</x:f>
        <x:v>5280</x:v>
      </x:c>
      <x:c r="P4718" s="22" t="n">
        <x:f>O4718*(1-N4718)</x:f>
        <x:v>5016</x:v>
      </x:c>
      <x:c r="Q4718" s="22" t="n">
        <x:v>1160</x:v>
      </x:c>
      <x:c r="R4718" s="22" t="n">
        <x:f>Q4718*M4718</x:f>
        <x:v>4640</x:v>
      </x:c>
      <x:c r="S4718" s="22" t="n">
        <x:f>P4718-R4718</x:f>
        <x:v>376</x:v>
      </x:c>
      <x:c r="T4718" t="str">
        <x:v>Cash</x:v>
      </x:c>
      <x:c r="U4718" t="str">
        <x:v>Paid</x:v>
      </x:c>
      <x:c r="V4718" t="str">
        <x:v>Delivered</x:v>
      </x:c>
      <x:c r="W4718" t="n">
        <x:v>0</x:v>
      </x:c>
      <x:c r="X4718" t="str"/>
      <x:c r="Y4718" t="str">
        <x:v>Existing Customer</x:v>
      </x:c>
    </x:row>
    <x:row r="4719">
      <x:c r="A4719" t="str">
        <x:v>O004718</x:v>
      </x:c>
      <x:c r="B4719" s="20" t="n">
        <x:v>45661</x:v>
      </x:c>
      <x:c r="C4719" t="str">
        <x:v>C0033</x:v>
      </x:c>
      <x:c r="D4719" t="str">
        <x:v>Shree Canteen 33</x:v>
      </x:c>
      <x:c r="E4719" t="str">
        <x:v>Canteen</x:v>
      </x:c>
      <x:c r="F4719" t="str">
        <x:v>Mangaluru</x:v>
      </x:c>
      <x:c r="G4719" t="str">
        <x:v>Imran</x:v>
      </x:c>
      <x:c r="H4719" t="str">
        <x:v>P004</x:v>
      </x:c>
      <x:c r="I4719" t="str">
        <x:v>Toor Dal 5kg</x:v>
      </x:c>
      <x:c r="J4719" t="str">
        <x:v>Pulses</x:v>
      </x:c>
      <x:c r="K4719" t="str">
        <x:v>Tata Sampann</x:v>
      </x:c>
      <x:c r="L4719" s="22" t="n">
        <x:v>780</x:v>
      </x:c>
      <x:c r="M4719" t="n">
        <x:v>38</x:v>
      </x:c>
      <x:c r="N4719" s="24" t="n">
        <x:v>0.03</x:v>
      </x:c>
      <x:c r="O4719" s="22" t="n">
        <x:f>L4719*M4719</x:f>
        <x:v>29640</x:v>
      </x:c>
      <x:c r="P4719" s="22" t="n">
        <x:f>O4719*(1-N4719)</x:f>
        <x:v>28750.8</x:v>
      </x:c>
      <x:c r="Q4719" s="22" t="n">
        <x:v>695</x:v>
      </x:c>
      <x:c r="R4719" s="22" t="n">
        <x:f>Q4719*M4719</x:f>
        <x:v>26410</x:v>
      </x:c>
      <x:c r="S4719" s="22" t="n">
        <x:f>P4719-R4719</x:f>
        <x:v>2340.7999999999993</x:v>
      </x:c>
      <x:c r="T4719" t="str">
        <x:v>UPI</x:v>
      </x:c>
      <x:c r="U4719" t="str">
        <x:v>Paid</x:v>
      </x:c>
      <x:c r="V4719" t="str">
        <x:v>Delivered</x:v>
      </x:c>
      <x:c r="W4719" t="n">
        <x:v>0</x:v>
      </x:c>
      <x:c r="X4719" t="str"/>
      <x:c r="Y4719" t="str">
        <x:v>Outbound Call</x:v>
      </x:c>
    </x:row>
    <x:row r="4720">
      <x:c r="A4720" t="str">
        <x:v>O004719</x:v>
      </x:c>
      <x:c r="B4720" s="20" t="n">
        <x:v>46010</x:v>
      </x:c>
      <x:c r="C4720" t="str">
        <x:v>C0046</x:v>
      </x:c>
      <x:c r="D4720" t="str">
        <x:v>Annapurna Foods 46</x:v>
      </x:c>
      <x:c r="E4720" t="str">
        <x:v>Kirana</x:v>
      </x:c>
      <x:c r="F4720" t="str">
        <x:v>Bengaluru</x:v>
      </x:c>
      <x:c r="G4720" t="str">
        <x:v>Ramesh</x:v>
      </x:c>
      <x:c r="H4720" t="str">
        <x:v>P050</x:v>
      </x:c>
      <x:c r="I4720" t="str">
        <x:v>Lemon 5kg</x:v>
      </x:c>
      <x:c r="J4720" t="str">
        <x:v>Fresh Produce</x:v>
      </x:c>
      <x:c r="K4720" t="str">
        <x:v>Local Market</x:v>
      </x:c>
      <x:c r="L4720" s="22" t="n">
        <x:v>360</x:v>
      </x:c>
      <x:c r="M4720" t="n">
        <x:v>28</x:v>
      </x:c>
      <x:c r="N4720" s="24" t="n">
        <x:v>0.05</x:v>
      </x:c>
      <x:c r="O4720" s="22" t="n">
        <x:f>L4720*M4720</x:f>
        <x:v>10080</x:v>
      </x:c>
      <x:c r="P4720" s="22" t="n">
        <x:f>O4720*(1-N4720)</x:f>
        <x:v>9576</x:v>
      </x:c>
      <x:c r="Q4720" s="22" t="n">
        <x:v>300</x:v>
      </x:c>
      <x:c r="R4720" s="22" t="n">
        <x:f>Q4720*M4720</x:f>
        <x:v>8400</x:v>
      </x:c>
      <x:c r="S4720" s="22" t="n">
        <x:f>P4720-R4720</x:f>
        <x:v>1176</x:v>
      </x:c>
      <x:c r="T4720" t="str">
        <x:v>Cash</x:v>
      </x:c>
      <x:c r="U4720" t="str">
        <x:v>Paid</x:v>
      </x:c>
      <x:c r="V4720" t="str">
        <x:v>Delayed</x:v>
      </x:c>
      <x:c r="W4720" t="n">
        <x:v>0</x:v>
      </x:c>
      <x:c r="X4720" t="str"/>
      <x:c r="Y4720" t="str">
        <x:v>Existing Customer</x:v>
      </x:c>
    </x:row>
    <x:row r="4721">
      <x:c r="A4721" t="str">
        <x:v>O004720</x:v>
      </x:c>
      <x:c r="B4721" s="20" t="n">
        <x:v>46210</x:v>
      </x:c>
      <x:c r="C4721" t="str">
        <x:v>C0144</x:v>
      </x:c>
      <x:c r="D4721" t="str">
        <x:v>Namma Foods 144</x:v>
      </x:c>
      <x:c r="E4721" t="str">
        <x:v>Restaurant</x:v>
      </x:c>
      <x:c r="F4721" t="str">
        <x:v>Tumakuru</x:v>
      </x:c>
      <x:c r="G4721" t="str">
        <x:v>Arjun</x:v>
      </x:c>
      <x:c r="H4721" t="str">
        <x:v>P042</x:v>
      </x:c>
      <x:c r="I4721" t="str">
        <x:v>Eggs 30pc Tray</x:v>
      </x:c>
      <x:c r="J4721" t="str">
        <x:v>Protein</x:v>
      </x:c>
      <x:c r="K4721" t="str">
        <x:v>Farm Fresh</x:v>
      </x:c>
      <x:c r="L4721" s="22" t="n">
        <x:v>195</x:v>
      </x:c>
      <x:c r="M4721" t="n">
        <x:v>2</x:v>
      </x:c>
      <x:c r="N4721" s="24" t="n">
        <x:v>0.08</x:v>
      </x:c>
      <x:c r="O4721" s="22" t="n">
        <x:f>L4721*M4721</x:f>
        <x:v>390</x:v>
      </x:c>
      <x:c r="P4721" s="22" t="n">
        <x:f>O4721*(1-N4721)</x:f>
        <x:v>358.8</x:v>
      </x:c>
      <x:c r="Q4721" s="22" t="n">
        <x:v>170</x:v>
      </x:c>
      <x:c r="R4721" s="22" t="n">
        <x:f>Q4721*M4721</x:f>
        <x:v>340</x:v>
      </x:c>
      <x:c r="S4721" s="22" t="n">
        <x:f>P4721-R4721</x:f>
        <x:v>18.80000000000001</x:v>
      </x:c>
      <x:c r="T4721" t="str">
        <x:v>Cash</x:v>
      </x:c>
      <x:c r="U4721" t="str">
        <x:v>Overdue</x:v>
      </x:c>
      <x:c r="V4721" t="str">
        <x:v>Delivered</x:v>
      </x:c>
      <x:c r="W4721" t="n">
        <x:v>2</x:v>
      </x:c>
      <x:c r="X4721" t="str">
        <x:v>Quality Issue</x:v>
      </x:c>
      <x:c r="Y4721" t="str">
        <x:v>Existing Customer</x:v>
      </x:c>
    </x:row>
    <x:row r="4722">
      <x:c r="A4722" t="str">
        <x:v>O004721</x:v>
      </x:c>
      <x:c r="B4722" s="20" t="n">
        <x:v>46022</x:v>
      </x:c>
      <x:c r="C4722" t="str">
        <x:v>C0085</x:v>
      </x:c>
      <x:c r="D4722" t="str">
        <x:v>Green Hotel 85</x:v>
      </x:c>
      <x:c r="E4722" t="str">
        <x:v>Kirana</x:v>
      </x:c>
      <x:c r="F4722" t="str">
        <x:v>Mysuru</x:v>
      </x:c>
      <x:c r="G4722" t="str">
        <x:v>Arjun</x:v>
      </x:c>
      <x:c r="H4722" t="str">
        <x:v>P021</x:v>
      </x:c>
      <x:c r="I4722" t="str">
        <x:v>Instant Coffee 200g</x:v>
      </x:c>
      <x:c r="J4722" t="str">
        <x:v>Beverage</x:v>
      </x:c>
      <x:c r="K4722" t="str">
        <x:v>Nescafe</x:v>
      </x:c>
      <x:c r="L4722" s="22" t="n">
        <x:v>460</x:v>
      </x:c>
      <x:c r="M4722" t="n">
        <x:v>7</x:v>
      </x:c>
      <x:c r="N4722" s="24" t="n">
        <x:v>0.05</x:v>
      </x:c>
      <x:c r="O4722" s="22" t="n">
        <x:f>L4722*M4722</x:f>
        <x:v>3220</x:v>
      </x:c>
      <x:c r="P4722" s="22" t="n">
        <x:f>O4722*(1-N4722)</x:f>
        <x:v>3059</x:v>
      </x:c>
      <x:c r="Q4722" s="22" t="n">
        <x:v>410</x:v>
      </x:c>
      <x:c r="R4722" s="22" t="n">
        <x:f>Q4722*M4722</x:f>
        <x:v>2870</x:v>
      </x:c>
      <x:c r="S4722" s="22" t="n">
        <x:f>P4722-R4722</x:f>
        <x:v>189</x:v>
      </x:c>
      <x:c r="T4722" t="str">
        <x:v>Bank Transfer</x:v>
      </x:c>
      <x:c r="U4722" t="str">
        <x:v>Paid</x:v>
      </x:c>
      <x:c r="V4722" t="str">
        <x:v>Delivered</x:v>
      </x:c>
      <x:c r="W4722" t="n">
        <x:v>3</x:v>
      </x:c>
      <x:c r="X4722" t="str">
        <x:v>Late Delivery</x:v>
      </x:c>
      <x:c r="Y4722" t="str">
        <x:v>Field Visit</x:v>
      </x:c>
    </x:row>
    <x:row r="4723">
      <x:c r="A4723" t="str">
        <x:v>O004722</x:v>
      </x:c>
      <x:c r="B4723" s="20" t="n">
        <x:v>46237</x:v>
      </x:c>
      <x:c r="C4723" t="str">
        <x:v>C0234</x:v>
      </x:c>
      <x:c r="D4723" t="str">
        <x:v>Metro Canteen 234</x:v>
      </x:c>
      <x:c r="E4723" t="str">
        <x:v>Restaurant</x:v>
      </x:c>
      <x:c r="F4723" t="str">
        <x:v>Davanagere</x:v>
      </x:c>
      <x:c r="G4723" t="str">
        <x:v>Priya</x:v>
      </x:c>
      <x:c r="H4723" t="str">
        <x:v>P041</x:v>
      </x:c>
      <x:c r="I4723" t="str">
        <x:v>Burger Bun 6pc</x:v>
      </x:c>
      <x:c r="J4723" t="str">
        <x:v>Bakery</x:v>
      </x:c>
      <x:c r="K4723" t="str">
        <x:v>Modern</x:v>
      </x:c>
      <x:c r="L4723" s="22" t="n">
        <x:v>42</x:v>
      </x:c>
      <x:c r="M4723" t="n">
        <x:v>14</x:v>
      </x:c>
      <x:c r="N4723" s="24" t="n">
        <x:v>0.02</x:v>
      </x:c>
      <x:c r="O4723" s="22" t="n">
        <x:f>L4723*M4723</x:f>
        <x:v>588</x:v>
      </x:c>
      <x:c r="P4723" s="22" t="n">
        <x:f>O4723*(1-N4723)</x:f>
        <x:v>576.24</x:v>
      </x:c>
      <x:c r="Q4723" s="22" t="n">
        <x:v>32</x:v>
      </x:c>
      <x:c r="R4723" s="22" t="n">
        <x:f>Q4723*M4723</x:f>
        <x:v>448</x:v>
      </x:c>
      <x:c r="S4723" s="22" t="n">
        <x:f>P4723-R4723</x:f>
        <x:v>128.24</x:v>
      </x:c>
      <x:c r="T4723" t="str">
        <x:v>UPI</x:v>
      </x:c>
      <x:c r="U4723" t="str">
        <x:v>Paid</x:v>
      </x:c>
      <x:c r="V4723" t="str">
        <x:v>Delivered</x:v>
      </x:c>
      <x:c r="W4723" t="n">
        <x:v>0</x:v>
      </x:c>
      <x:c r="X4723" t="str"/>
      <x:c r="Y4723" t="str">
        <x:v>Existing Customer</x:v>
      </x:c>
    </x:row>
    <x:row r="4724">
      <x:c r="A4724" t="str">
        <x:v>O004723</x:v>
      </x:c>
      <x:c r="B4724" s="20" t="n">
        <x:v>46067</x:v>
      </x:c>
      <x:c r="C4724" t="str">
        <x:v>C0102</x:v>
      </x:c>
      <x:c r="D4724" t="str">
        <x:v>Annapurna Foods 102</x:v>
      </x:c>
      <x:c r="E4724" t="str">
        <x:v>Cafe</x:v>
      </x:c>
      <x:c r="F4724" t="str">
        <x:v>Davanagere</x:v>
      </x:c>
      <x:c r="G4724" t="str">
        <x:v>Ramesh</x:v>
      </x:c>
      <x:c r="H4724" t="str">
        <x:v>P050</x:v>
      </x:c>
      <x:c r="I4724" t="str">
        <x:v>Lemon 5kg</x:v>
      </x:c>
      <x:c r="J4724" t="str">
        <x:v>Fresh Produce</x:v>
      </x:c>
      <x:c r="K4724" t="str">
        <x:v>Local Market</x:v>
      </x:c>
      <x:c r="L4724" s="22" t="n">
        <x:v>360</x:v>
      </x:c>
      <x:c r="M4724" t="n">
        <x:v>32</x:v>
      </x:c>
      <x:c r="N4724" s="24" t="n">
        <x:v>0.03</x:v>
      </x:c>
      <x:c r="O4724" s="22" t="n">
        <x:f>L4724*M4724</x:f>
        <x:v>11520</x:v>
      </x:c>
      <x:c r="P4724" s="22" t="n">
        <x:f>O4724*(1-N4724)</x:f>
        <x:v>11174.4</x:v>
      </x:c>
      <x:c r="Q4724" s="22" t="n">
        <x:v>300</x:v>
      </x:c>
      <x:c r="R4724" s="22" t="n">
        <x:f>Q4724*M4724</x:f>
        <x:v>9600</x:v>
      </x:c>
      <x:c r="S4724" s="22" t="n">
        <x:f>P4724-R4724</x:f>
        <x:v>1574.3999999999996</x:v>
      </x:c>
      <x:c r="T4724" t="str">
        <x:v>UPI</x:v>
      </x:c>
      <x:c r="U4724" t="str">
        <x:v>Paid</x:v>
      </x:c>
      <x:c r="V4724" t="str">
        <x:v>Cancelled</x:v>
      </x:c>
      <x:c r="W4724" t="n">
        <x:v>32</x:v>
      </x:c>
      <x:c r="X4724" t="str">
        <x:v>Cancelled Order</x:v>
      </x:c>
      <x:c r="Y4724" t="str">
        <x:v>Field Visit</x:v>
      </x:c>
    </x:row>
    <x:row r="4725">
      <x:c r="A4725" t="str">
        <x:v>O004724</x:v>
      </x:c>
      <x:c r="B4725" s="20" t="n">
        <x:v>46174</x:v>
      </x:c>
      <x:c r="C4725" t="str">
        <x:v>C0130</x:v>
      </x:c>
      <x:c r="D4725" t="str">
        <x:v>Foodie Cafe 130</x:v>
      </x:c>
      <x:c r="E4725" t="str">
        <x:v>Restaurant</x:v>
      </x:c>
      <x:c r="F4725" t="str">
        <x:v>Davanagere</x:v>
      </x:c>
      <x:c r="G4725" t="str">
        <x:v>Megha</x:v>
      </x:c>
      <x:c r="H4725" t="str">
        <x:v>P022</x:v>
      </x:c>
      <x:c r="I4725" t="str">
        <x:v>Mineral Water 1L</x:v>
      </x:c>
      <x:c r="J4725" t="str">
        <x:v>Beverage</x:v>
      </x:c>
      <x:c r="K4725" t="str">
        <x:v>Bisleri</x:v>
      </x:c>
      <x:c r="L4725" s="22" t="n">
        <x:v>19</x:v>
      </x:c>
      <x:c r="M4725" t="n">
        <x:v>25</x:v>
      </x:c>
      <x:c r="N4725" s="24" t="n">
        <x:v>0.03</x:v>
      </x:c>
      <x:c r="O4725" s="22" t="n">
        <x:f>L4725*M4725</x:f>
        <x:v>475</x:v>
      </x:c>
      <x:c r="P4725" s="22" t="n">
        <x:f>O4725*(1-N4725)</x:f>
        <x:v>460.75</x:v>
      </x:c>
      <x:c r="Q4725" s="22" t="n">
        <x:v>15</x:v>
      </x:c>
      <x:c r="R4725" s="22" t="n">
        <x:f>Q4725*M4725</x:f>
        <x:v>375</x:v>
      </x:c>
      <x:c r="S4725" s="22" t="n">
        <x:f>P4725-R4725</x:f>
        <x:v>85.75</x:v>
      </x:c>
      <x:c r="T4725" t="str">
        <x:v>UPI</x:v>
      </x:c>
      <x:c r="U4725" t="str">
        <x:v>Paid</x:v>
      </x:c>
      <x:c r="V4725" t="str">
        <x:v>Delivered</x:v>
      </x:c>
      <x:c r="W4725" t="n">
        <x:v>0</x:v>
      </x:c>
      <x:c r="X4725" t="str"/>
      <x:c r="Y4725" t="str">
        <x:v>Referral</x:v>
      </x:c>
    </x:row>
    <x:row r="4726">
      <x:c r="A4726" t="str">
        <x:v>O004725</x:v>
      </x:c>
      <x:c r="B4726" s="20" t="n">
        <x:v>46201</x:v>
      </x:c>
      <x:c r="C4726" t="str">
        <x:v>C0009</x:v>
      </x:c>
      <x:c r="D4726" t="str">
        <x:v>Darshini Hotel 9</x:v>
      </x:c>
      <x:c r="E4726" t="str">
        <x:v>Cafe</x:v>
      </x:c>
      <x:c r="F4726" t="str">
        <x:v>Hubballi</x:v>
      </x:c>
      <x:c r="G4726" t="str">
        <x:v>Imran</x:v>
      </x:c>
      <x:c r="H4726" t="str">
        <x:v>P033</x:v>
      </x:c>
      <x:c r="I4726" t="str">
        <x:v>Turmeric Powder 1kg</x:v>
      </x:c>
      <x:c r="J4726" t="str">
        <x:v>Spices</x:v>
      </x:c>
      <x:c r="K4726" t="str">
        <x:v>Everest</x:v>
      </x:c>
      <x:c r="L4726" s="22" t="n">
        <x:v>310</x:v>
      </x:c>
      <x:c r="M4726" t="n">
        <x:v>38</x:v>
      </x:c>
      <x:c r="N4726" s="24" t="n">
        <x:v>0.1</x:v>
      </x:c>
      <x:c r="O4726" s="22" t="n">
        <x:f>L4726*M4726</x:f>
        <x:v>11780</x:v>
      </x:c>
      <x:c r="P4726" s="22" t="n">
        <x:f>O4726*(1-N4726)</x:f>
        <x:v>10602</x:v>
      </x:c>
      <x:c r="Q4726" s="22" t="n">
        <x:v>270</x:v>
      </x:c>
      <x:c r="R4726" s="22" t="n">
        <x:f>Q4726*M4726</x:f>
        <x:v>10260</x:v>
      </x:c>
      <x:c r="S4726" s="22" t="n">
        <x:f>P4726-R4726</x:f>
        <x:v>342</x:v>
      </x:c>
      <x:c r="T4726" t="str">
        <x:v>Cash</x:v>
      </x:c>
      <x:c r="U4726" t="str">
        <x:v>Pending</x:v>
      </x:c>
      <x:c r="V4726" t="str">
        <x:v>Delayed</x:v>
      </x:c>
      <x:c r="W4726" t="n">
        <x:v>0</x:v>
      </x:c>
      <x:c r="X4726" t="str"/>
      <x:c r="Y4726" t="str">
        <x:v>Field Visit</x:v>
      </x:c>
    </x:row>
    <x:row r="4727">
      <x:c r="A4727" t="str">
        <x:v>O004726</x:v>
      </x:c>
      <x:c r="B4727" s="20" t="n">
        <x:v>46281</x:v>
      </x:c>
      <x:c r="C4727" t="str">
        <x:v>C0203</x:v>
      </x:c>
      <x:c r="D4727" t="str">
        <x:v>Namma Mart 203</x:v>
      </x:c>
      <x:c r="E4727" t="str">
        <x:v>Kirana</x:v>
      </x:c>
      <x:c r="F4727" t="str">
        <x:v>Tumakuru</x:v>
      </x:c>
      <x:c r="G4727" t="str">
        <x:v>Priya</x:v>
      </x:c>
      <x:c r="H4727" t="str">
        <x:v>P013</x:v>
      </x:c>
      <x:c r="I4727" t="str">
        <x:v>Atta 10kg</x:v>
      </x:c>
      <x:c r="J4727" t="str">
        <x:v>Flour</x:v>
      </x:c>
      <x:c r="K4727" t="str">
        <x:v>Aashirvaad</x:v>
      </x:c>
      <x:c r="L4727" s="22" t="n">
        <x:v>560</x:v>
      </x:c>
      <x:c r="M4727" t="n">
        <x:v>35</x:v>
      </x:c>
      <x:c r="N4727" s="24" t="n">
        <x:v>0</x:v>
      </x:c>
      <x:c r="O4727" s="22" t="n">
        <x:f>L4727*M4727</x:f>
        <x:v>19600</x:v>
      </x:c>
      <x:c r="P4727" s="22" t="n">
        <x:f>O4727*(1-N4727)</x:f>
        <x:v>19600</x:v>
      </x:c>
      <x:c r="Q4727" s="22" t="n">
        <x:v>495</x:v>
      </x:c>
      <x:c r="R4727" s="22" t="n">
        <x:f>Q4727*M4727</x:f>
        <x:v>17325</x:v>
      </x:c>
      <x:c r="S4727" s="22" t="n">
        <x:f>P4727-R4727</x:f>
        <x:v>2275</x:v>
      </x:c>
      <x:c r="T4727" t="str">
        <x:v>Credit</x:v>
      </x:c>
      <x:c r="U4727" t="str">
        <x:v>Paid</x:v>
      </x:c>
      <x:c r="V4727" t="str">
        <x:v>Delivered</x:v>
      </x:c>
      <x:c r="W4727" t="n">
        <x:v>0</x:v>
      </x:c>
      <x:c r="X4727" t="str"/>
      <x:c r="Y4727" t="str">
        <x:v>Outbound Call</x:v>
      </x:c>
    </x:row>
    <x:row r="4728">
      <x:c r="A4728" t="str">
        <x:v>O004727</x:v>
      </x:c>
      <x:c r="B4728" s="20" t="n">
        <x:v>46226</x:v>
      </x:c>
      <x:c r="C4728" t="str">
        <x:v>C0095</x:v>
      </x:c>
      <x:c r="D4728" t="str">
        <x:v>Spice Restaurant 95</x:v>
      </x:c>
      <x:c r="E4728" t="str">
        <x:v>Restaurant</x:v>
      </x:c>
      <x:c r="F4728" t="str">
        <x:v>Bengaluru</x:v>
      </x:c>
      <x:c r="G4728" t="str">
        <x:v>Megha</x:v>
      </x:c>
      <x:c r="H4728" t="str">
        <x:v>P036</x:v>
      </x:c>
      <x:c r="I4728" t="str">
        <x:v>Garam Masala 500g</x:v>
      </x:c>
      <x:c r="J4728" t="str">
        <x:v>Spices</x:v>
      </x:c>
      <x:c r="K4728" t="str">
        <x:v>MDH</x:v>
      </x:c>
      <x:c r="L4728" s="22" t="n">
        <x:v>265</x:v>
      </x:c>
      <x:c r="M4728" t="n">
        <x:v>27</x:v>
      </x:c>
      <x:c r="N4728" s="24" t="n">
        <x:v>0.03</x:v>
      </x:c>
      <x:c r="O4728" s="22" t="n">
        <x:f>L4728*M4728</x:f>
        <x:v>7155</x:v>
      </x:c>
      <x:c r="P4728" s="22" t="n">
        <x:f>O4728*(1-N4728)</x:f>
        <x:v>6940.349999999999</x:v>
      </x:c>
      <x:c r="Q4728" s="22" t="n">
        <x:v>230</x:v>
      </x:c>
      <x:c r="R4728" s="22" t="n">
        <x:f>Q4728*M4728</x:f>
        <x:v>6210</x:v>
      </x:c>
      <x:c r="S4728" s="22" t="n">
        <x:f>P4728-R4728</x:f>
        <x:v>730.3499999999995</x:v>
      </x:c>
      <x:c r="T4728" t="str">
        <x:v>Cash</x:v>
      </x:c>
      <x:c r="U4728" t="str">
        <x:v>Paid</x:v>
      </x:c>
      <x:c r="V4728" t="str">
        <x:v>Delivered</x:v>
      </x:c>
      <x:c r="W4728" t="n">
        <x:v>0</x:v>
      </x:c>
      <x:c r="X4728" t="str"/>
      <x:c r="Y4728" t="str">
        <x:v>WhatsApp</x:v>
      </x:c>
    </x:row>
    <x:row r="4729">
      <x:c r="A4729" t="str">
        <x:v>O004728</x:v>
      </x:c>
      <x:c r="B4729" s="20" t="n">
        <x:v>45737</x:v>
      </x:c>
      <x:c r="C4729" t="str">
        <x:v>C0118</x:v>
      </x:c>
      <x:c r="D4729" t="str">
        <x:v>Sagar Kitchen 118</x:v>
      </x:c>
      <x:c r="E4729" t="str">
        <x:v>Restaurant</x:v>
      </x:c>
      <x:c r="F4729" t="str">
        <x:v>Hubballi</x:v>
      </x:c>
      <x:c r="G4729" t="str">
        <x:v>Megha</x:v>
      </x:c>
      <x:c r="H4729" t="str">
        <x:v>P036</x:v>
      </x:c>
      <x:c r="I4729" t="str">
        <x:v>Garam Masala 500g</x:v>
      </x:c>
      <x:c r="J4729" t="str">
        <x:v>Spices</x:v>
      </x:c>
      <x:c r="K4729" t="str">
        <x:v>MDH</x:v>
      </x:c>
      <x:c r="L4729" s="22" t="n">
        <x:v>265</x:v>
      </x:c>
      <x:c r="M4729" t="n">
        <x:v>13</x:v>
      </x:c>
      <x:c r="N4729" s="24" t="n">
        <x:v>0.02</x:v>
      </x:c>
      <x:c r="O4729" s="22" t="n">
        <x:f>L4729*M4729</x:f>
        <x:v>3445</x:v>
      </x:c>
      <x:c r="P4729" s="22" t="n">
        <x:f>O4729*(1-N4729)</x:f>
        <x:v>3376.1</x:v>
      </x:c>
      <x:c r="Q4729" s="22" t="n">
        <x:v>230</x:v>
      </x:c>
      <x:c r="R4729" s="22" t="n">
        <x:f>Q4729*M4729</x:f>
        <x:v>2990</x:v>
      </x:c>
      <x:c r="S4729" s="22" t="n">
        <x:f>P4729-R4729</x:f>
        <x:v>386.0999999999999</x:v>
      </x:c>
      <x:c r="T4729" t="str">
        <x:v>UPI</x:v>
      </x:c>
      <x:c r="U4729" t="str">
        <x:v>Pending</x:v>
      </x:c>
      <x:c r="V4729" t="str">
        <x:v>Delivered</x:v>
      </x:c>
      <x:c r="W4729" t="n">
        <x:v>0</x:v>
      </x:c>
      <x:c r="X4729" t="str"/>
      <x:c r="Y4729" t="str">
        <x:v>Outbound Call</x:v>
      </x:c>
    </x:row>
    <x:row r="4730">
      <x:c r="A4730" t="str">
        <x:v>O004729</x:v>
      </x:c>
      <x:c r="B4730" s="20" t="n">
        <x:v>45716</x:v>
      </x:c>
      <x:c r="C4730" t="str">
        <x:v>C0004</x:v>
      </x:c>
      <x:c r="D4730" t="str">
        <x:v>Annapurna Foods 4</x:v>
      </x:c>
      <x:c r="E4730" t="str">
        <x:v>Cafe</x:v>
      </x:c>
      <x:c r="F4730" t="str">
        <x:v>Mysuru</x:v>
      </x:c>
      <x:c r="G4730" t="str">
        <x:v>Priya</x:v>
      </x:c>
      <x:c r="H4730" t="str">
        <x:v>P021</x:v>
      </x:c>
      <x:c r="I4730" t="str">
        <x:v>Instant Coffee 200g</x:v>
      </x:c>
      <x:c r="J4730" t="str">
        <x:v>Beverage</x:v>
      </x:c>
      <x:c r="K4730" t="str">
        <x:v>Nescafe</x:v>
      </x:c>
      <x:c r="L4730" s="22" t="n">
        <x:v>460</x:v>
      </x:c>
      <x:c r="M4730" t="n">
        <x:v>5</x:v>
      </x:c>
      <x:c r="N4730" s="24" t="n">
        <x:v>0.03</x:v>
      </x:c>
      <x:c r="O4730" s="22" t="n">
        <x:f>L4730*M4730</x:f>
        <x:v>2300</x:v>
      </x:c>
      <x:c r="P4730" s="22" t="n">
        <x:f>O4730*(1-N4730)</x:f>
        <x:v>2231</x:v>
      </x:c>
      <x:c r="Q4730" s="22" t="n">
        <x:v>410</x:v>
      </x:c>
      <x:c r="R4730" s="22" t="n">
        <x:f>Q4730*M4730</x:f>
        <x:v>2050</x:v>
      </x:c>
      <x:c r="S4730" s="22" t="n">
        <x:f>P4730-R4730</x:f>
        <x:v>181</x:v>
      </x:c>
      <x:c r="T4730" t="str">
        <x:v>Bank Transfer</x:v>
      </x:c>
      <x:c r="U4730" t="str">
        <x:v>Paid</x:v>
      </x:c>
      <x:c r="V4730" t="str">
        <x:v>Cancelled</x:v>
      </x:c>
      <x:c r="W4730" t="n">
        <x:v>5</x:v>
      </x:c>
      <x:c r="X4730" t="str">
        <x:v>Cancelled Order</x:v>
      </x:c>
      <x:c r="Y4730" t="str">
        <x:v>WhatsApp</x:v>
      </x:c>
    </x:row>
    <x:row r="4731">
      <x:c r="A4731" t="str">
        <x:v>O004730</x:v>
      </x:c>
      <x:c r="B4731" s="20" t="n">
        <x:v>45660</x:v>
      </x:c>
      <x:c r="C4731" t="str">
        <x:v>C0225</x:v>
      </x:c>
      <x:c r="D4731" t="str">
        <x:v>Darshini Mart 225</x:v>
      </x:c>
      <x:c r="E4731" t="str">
        <x:v>Restaurant</x:v>
      </x:c>
      <x:c r="F4731" t="str">
        <x:v>Davanagere</x:v>
      </x:c>
      <x:c r="G4731" t="str">
        <x:v>Kavya</x:v>
      </x:c>
      <x:c r="H4731" t="str">
        <x:v>P003</x:v>
      </x:c>
      <x:c r="I4731" t="str">
        <x:v>Basmati Rice 5kg</x:v>
      </x:c>
      <x:c r="J4731" t="str">
        <x:v>Staples</x:v>
      </x:c>
      <x:c r="K4731" t="str">
        <x:v>India Gate</x:v>
      </x:c>
      <x:c r="L4731" s="22" t="n">
        <x:v>690</x:v>
      </x:c>
      <x:c r="M4731" t="n">
        <x:v>3</x:v>
      </x:c>
      <x:c r="N4731" s="24" t="n">
        <x:v>0.1</x:v>
      </x:c>
      <x:c r="O4731" s="22" t="n">
        <x:f>L4731*M4731</x:f>
        <x:v>2070</x:v>
      </x:c>
      <x:c r="P4731" s="22" t="n">
        <x:f>O4731*(1-N4731)</x:f>
        <x:v>1863</x:v>
      </x:c>
      <x:c r="Q4731" s="22" t="n">
        <x:v>610</x:v>
      </x:c>
      <x:c r="R4731" s="22" t="n">
        <x:f>Q4731*M4731</x:f>
        <x:v>1830</x:v>
      </x:c>
      <x:c r="S4731" s="22" t="n">
        <x:f>P4731-R4731</x:f>
        <x:v>33</x:v>
      </x:c>
      <x:c r="T4731" t="str">
        <x:v>Cash</x:v>
      </x:c>
      <x:c r="U4731" t="str">
        <x:v>Paid</x:v>
      </x:c>
      <x:c r="V4731" t="str">
        <x:v>Cancelled</x:v>
      </x:c>
      <x:c r="W4731" t="n">
        <x:v>3</x:v>
      </x:c>
      <x:c r="X4731" t="str">
        <x:v>Cancelled Order</x:v>
      </x:c>
      <x:c r="Y4731" t="str">
        <x:v>Outbound Call</x:v>
      </x:c>
    </x:row>
    <x:row r="4732">
      <x:c r="A4732" t="str">
        <x:v>O004731</x:v>
      </x:c>
      <x:c r="B4732" s="20" t="n">
        <x:v>45796</x:v>
      </x:c>
      <x:c r="C4732" t="str">
        <x:v>C0198</x:v>
      </x:c>
      <x:c r="D4732" t="str">
        <x:v>Royal Canteen 198</x:v>
      </x:c>
      <x:c r="E4732" t="str">
        <x:v>Supermarket</x:v>
      </x:c>
      <x:c r="F4732" t="str">
        <x:v>Davanagere</x:v>
      </x:c>
      <x:c r="G4732" t="str">
        <x:v>Arjun</x:v>
      </x:c>
      <x:c r="H4732" t="str">
        <x:v>P048</x:v>
      </x:c>
      <x:c r="I4732" t="str">
        <x:v>Banana 10kg</x:v>
      </x:c>
      <x:c r="J4732" t="str">
        <x:v>Fresh Produce</x:v>
      </x:c>
      <x:c r="K4732" t="str">
        <x:v>Local Market</x:v>
      </x:c>
      <x:c r="L4732" s="22" t="n">
        <x:v>420</x:v>
      </x:c>
      <x:c r="M4732" t="n">
        <x:v>13</x:v>
      </x:c>
      <x:c r="N4732" s="24" t="n">
        <x:v>0.05</x:v>
      </x:c>
      <x:c r="O4732" s="22" t="n">
        <x:f>L4732*M4732</x:f>
        <x:v>5460</x:v>
      </x:c>
      <x:c r="P4732" s="22" t="n">
        <x:f>O4732*(1-N4732)</x:f>
        <x:v>5187</x:v>
      </x:c>
      <x:c r="Q4732" s="22" t="n">
        <x:v>350</x:v>
      </x:c>
      <x:c r="R4732" s="22" t="n">
        <x:f>Q4732*M4732</x:f>
        <x:v>4550</x:v>
      </x:c>
      <x:c r="S4732" s="22" t="n">
        <x:f>P4732-R4732</x:f>
        <x:v>637</x:v>
      </x:c>
      <x:c r="T4732" t="str">
        <x:v>UPI</x:v>
      </x:c>
      <x:c r="U4732" t="str">
        <x:v>Paid</x:v>
      </x:c>
      <x:c r="V4732" t="str">
        <x:v>Cancelled</x:v>
      </x:c>
      <x:c r="W4732" t="n">
        <x:v>13</x:v>
      </x:c>
      <x:c r="X4732" t="str">
        <x:v>Cancelled Order</x:v>
      </x:c>
      <x:c r="Y4732" t="str">
        <x:v>Existing Customer</x:v>
      </x:c>
    </x:row>
    <x:row r="4733">
      <x:c r="A4733" t="str">
        <x:v>O004732</x:v>
      </x:c>
      <x:c r="B4733" s="20" t="n">
        <x:v>45983</x:v>
      </x:c>
      <x:c r="C4733" t="str">
        <x:v>C0084</x:v>
      </x:c>
      <x:c r="D4733" t="str">
        <x:v>Green Cafe 84</x:v>
      </x:c>
      <x:c r="E4733" t="str">
        <x:v>Hotel</x:v>
      </x:c>
      <x:c r="F4733" t="str">
        <x:v>Mysuru</x:v>
      </x:c>
      <x:c r="G4733" t="str">
        <x:v>Priya</x:v>
      </x:c>
      <x:c r="H4733" t="str">
        <x:v>P011</x:v>
      </x:c>
      <x:c r="I4733" t="str">
        <x:v>Salt 1kg</x:v>
      </x:c>
      <x:c r="J4733" t="str">
        <x:v>Staples</x:v>
      </x:c>
      <x:c r="K4733" t="str">
        <x:v>Tata</x:v>
      </x:c>
      <x:c r="L4733" s="22" t="n">
        <x:v>28</x:v>
      </x:c>
      <x:c r="M4733" t="n">
        <x:v>21</x:v>
      </x:c>
      <x:c r="N4733" s="24" t="n">
        <x:v>0.08</x:v>
      </x:c>
      <x:c r="O4733" s="22" t="n">
        <x:f>L4733*M4733</x:f>
        <x:v>588</x:v>
      </x:c>
      <x:c r="P4733" s="22" t="n">
        <x:f>O4733*(1-N4733)</x:f>
        <x:v>540.96</x:v>
      </x:c>
      <x:c r="Q4733" s="22" t="n">
        <x:v>23</x:v>
      </x:c>
      <x:c r="R4733" s="22" t="n">
        <x:f>Q4733*M4733</x:f>
        <x:v>483</x:v>
      </x:c>
      <x:c r="S4733" s="22" t="n">
        <x:f>P4733-R4733</x:f>
        <x:v>57.960000000000036</x:v>
      </x:c>
      <x:c r="T4733" t="str">
        <x:v>Credit</x:v>
      </x:c>
      <x:c r="U4733" t="str">
        <x:v>Paid</x:v>
      </x:c>
      <x:c r="V4733" t="str">
        <x:v>Delivered</x:v>
      </x:c>
      <x:c r="W4733" t="n">
        <x:v>0</x:v>
      </x:c>
      <x:c r="X4733" t="str"/>
      <x:c r="Y4733" t="str">
        <x:v>Field Visit</x:v>
      </x:c>
    </x:row>
    <x:row r="4734">
      <x:c r="A4734" t="str">
        <x:v>O004733</x:v>
      </x:c>
      <x:c r="B4734" s="20" t="n">
        <x:v>46235</x:v>
      </x:c>
      <x:c r="C4734" t="str">
        <x:v>C0240</x:v>
      </x:c>
      <x:c r="D4734" t="str">
        <x:v>Green Foods 240</x:v>
      </x:c>
      <x:c r="E4734" t="str">
        <x:v>Restaurant</x:v>
      </x:c>
      <x:c r="F4734" t="str">
        <x:v>Davanagere</x:v>
      </x:c>
      <x:c r="G4734" t="str">
        <x:v>Vikram</x:v>
      </x:c>
      <x:c r="H4734" t="str">
        <x:v>P010</x:v>
      </x:c>
      <x:c r="I4734" t="str">
        <x:v>Sugar 25kg</x:v>
      </x:c>
      <x:c r="J4734" t="str">
        <x:v>Staples</x:v>
      </x:c>
      <x:c r="K4734" t="str">
        <x:v>Madhur</x:v>
      </x:c>
      <x:c r="L4734" s="22" t="n">
        <x:v>1190</x:v>
      </x:c>
      <x:c r="M4734" t="n">
        <x:v>8</x:v>
      </x:c>
      <x:c r="N4734" s="24" t="n">
        <x:v>0</x:v>
      </x:c>
      <x:c r="O4734" s="22" t="n">
        <x:f>L4734*M4734</x:f>
        <x:v>9520</x:v>
      </x:c>
      <x:c r="P4734" s="22" t="n">
        <x:f>O4734*(1-N4734)</x:f>
        <x:v>9520</x:v>
      </x:c>
      <x:c r="Q4734" s="22" t="n">
        <x:v>1080</x:v>
      </x:c>
      <x:c r="R4734" s="22" t="n">
        <x:f>Q4734*M4734</x:f>
        <x:v>8640</x:v>
      </x:c>
      <x:c r="S4734" s="22" t="n">
        <x:f>P4734-R4734</x:f>
        <x:v>880</x:v>
      </x:c>
      <x:c r="T4734" t="str">
        <x:v>UPI</x:v>
      </x:c>
      <x:c r="U4734" t="str">
        <x:v>Paid</x:v>
      </x:c>
      <x:c r="V4734" t="str">
        <x:v>Cancelled</x:v>
      </x:c>
      <x:c r="W4734" t="n">
        <x:v>8</x:v>
      </x:c>
      <x:c r="X4734" t="str">
        <x:v>Cancelled Order</x:v>
      </x:c>
      <x:c r="Y4734" t="str">
        <x:v>Referral</x:v>
      </x:c>
    </x:row>
    <x:row r="4735">
      <x:c r="A4735" t="str">
        <x:v>O004734</x:v>
      </x:c>
      <x:c r="B4735" s="20" t="n">
        <x:v>45919</x:v>
      </x:c>
      <x:c r="C4735" t="str">
        <x:v>C0038</x:v>
      </x:c>
      <x:c r="D4735" t="str">
        <x:v>Mysore Kitchen 38</x:v>
      </x:c>
      <x:c r="E4735" t="str">
        <x:v>Kirana</x:v>
      </x:c>
      <x:c r="F4735" t="str">
        <x:v>Tumakuru</x:v>
      </x:c>
      <x:c r="G4735" t="str">
        <x:v>Priya</x:v>
      </x:c>
      <x:c r="H4735" t="str">
        <x:v>P038</x:v>
      </x:c>
      <x:c r="I4735" t="str">
        <x:v>French Fries 2.5kg</x:v>
      </x:c>
      <x:c r="J4735" t="str">
        <x:v>Frozen</x:v>
      </x:c>
      <x:c r="K4735" t="str">
        <x:v>McCain</x:v>
      </x:c>
      <x:c r="L4735" s="22" t="n">
        <x:v>360</x:v>
      </x:c>
      <x:c r="M4735" t="n">
        <x:v>7</x:v>
      </x:c>
      <x:c r="N4735" s="24" t="n">
        <x:v>0.03</x:v>
      </x:c>
      <x:c r="O4735" s="22" t="n">
        <x:f>L4735*M4735</x:f>
        <x:v>2520</x:v>
      </x:c>
      <x:c r="P4735" s="22" t="n">
        <x:f>O4735*(1-N4735)</x:f>
        <x:v>2444.4</x:v>
      </x:c>
      <x:c r="Q4735" s="22" t="n">
        <x:v>315</x:v>
      </x:c>
      <x:c r="R4735" s="22" t="n">
        <x:f>Q4735*M4735</x:f>
        <x:v>2205</x:v>
      </x:c>
      <x:c r="S4735" s="22" t="n">
        <x:f>P4735-R4735</x:f>
        <x:v>239.4000000000001</x:v>
      </x:c>
      <x:c r="T4735" t="str">
        <x:v>Credit</x:v>
      </x:c>
      <x:c r="U4735" t="str">
        <x:v>Paid</x:v>
      </x:c>
      <x:c r="V4735" t="str">
        <x:v>Delivered</x:v>
      </x:c>
      <x:c r="W4735" t="n">
        <x:v>0</x:v>
      </x:c>
      <x:c r="X4735" t="str"/>
      <x:c r="Y4735" t="str">
        <x:v>Field Visit</x:v>
      </x:c>
    </x:row>
    <x:row r="4736">
      <x:c r="A4736" t="str">
        <x:v>O004735</x:v>
      </x:c>
      <x:c r="B4736" s="20" t="n">
        <x:v>45914</x:v>
      </x:c>
      <x:c r="C4736" t="str">
        <x:v>C0060</x:v>
      </x:c>
      <x:c r="D4736" t="str">
        <x:v>Sagar Stores 60</x:v>
      </x:c>
      <x:c r="E4736" t="str">
        <x:v>Cafe</x:v>
      </x:c>
      <x:c r="F4736" t="str">
        <x:v>Hubballi</x:v>
      </x:c>
      <x:c r="G4736" t="str">
        <x:v>Imran</x:v>
      </x:c>
      <x:c r="H4736" t="str">
        <x:v>P011</x:v>
      </x:c>
      <x:c r="I4736" t="str">
        <x:v>Salt 1kg</x:v>
      </x:c>
      <x:c r="J4736" t="str">
        <x:v>Staples</x:v>
      </x:c>
      <x:c r="K4736" t="str">
        <x:v>Tata</x:v>
      </x:c>
      <x:c r="L4736" s="22" t="n">
        <x:v>28</x:v>
      </x:c>
      <x:c r="M4736" t="n">
        <x:v>3</x:v>
      </x:c>
      <x:c r="N4736" s="24" t="n">
        <x:v>0.03</x:v>
      </x:c>
      <x:c r="O4736" s="22" t="n">
        <x:f>L4736*M4736</x:f>
        <x:v>84</x:v>
      </x:c>
      <x:c r="P4736" s="22" t="n">
        <x:f>O4736*(1-N4736)</x:f>
        <x:v>81.48</x:v>
      </x:c>
      <x:c r="Q4736" s="22" t="n">
        <x:v>23</x:v>
      </x:c>
      <x:c r="R4736" s="22" t="n">
        <x:f>Q4736*M4736</x:f>
        <x:v>69</x:v>
      </x:c>
      <x:c r="S4736" s="22" t="n">
        <x:f>P4736-R4736</x:f>
        <x:v>12.480000000000004</x:v>
      </x:c>
      <x:c r="T4736" t="str">
        <x:v>Cash</x:v>
      </x:c>
      <x:c r="U4736" t="str">
        <x:v>Overdue</x:v>
      </x:c>
      <x:c r="V4736" t="str">
        <x:v>Delivered</x:v>
      </x:c>
      <x:c r="W4736" t="n">
        <x:v>0</x:v>
      </x:c>
      <x:c r="X4736" t="str"/>
      <x:c r="Y4736" t="str">
        <x:v>WhatsApp</x:v>
      </x:c>
    </x:row>
    <x:row r="4737">
      <x:c r="A4737" t="str">
        <x:v>O004736</x:v>
      </x:c>
      <x:c r="B4737" s="20" t="n">
        <x:v>46055</x:v>
      </x:c>
      <x:c r="C4737" t="str">
        <x:v>C0034</x:v>
      </x:c>
      <x:c r="D4737" t="str">
        <x:v>City Restaurant 34</x:v>
      </x:c>
      <x:c r="E4737" t="str">
        <x:v>Restaurant</x:v>
      </x:c>
      <x:c r="F4737" t="str">
        <x:v>Mangaluru</x:v>
      </x:c>
      <x:c r="G4737" t="str">
        <x:v>Sneha</x:v>
      </x:c>
      <x:c r="H4737" t="str">
        <x:v>P008</x:v>
      </x:c>
      <x:c r="I4737" t="str">
        <x:v>Palm Oil 15L</x:v>
      </x:c>
      <x:c r="J4737" t="str">
        <x:v>Edible Oil</x:v>
      </x:c>
      <x:c r="K4737" t="str">
        <x:v>Ruchi Gold</x:v>
      </x:c>
      <x:c r="L4737" s="22" t="n">
        <x:v>1760</x:v>
      </x:c>
      <x:c r="M4737" t="n">
        <x:v>12</x:v>
      </x:c>
      <x:c r="N4737" s="24" t="n">
        <x:v>0.03</x:v>
      </x:c>
      <x:c r="O4737" s="22" t="n">
        <x:f>L4737*M4737</x:f>
        <x:v>21120</x:v>
      </x:c>
      <x:c r="P4737" s="22" t="n">
        <x:f>O4737*(1-N4737)</x:f>
        <x:v>20486.399999999998</x:v>
      </x:c>
      <x:c r="Q4737" s="22" t="n">
        <x:v>1610</x:v>
      </x:c>
      <x:c r="R4737" s="22" t="n">
        <x:f>Q4737*M4737</x:f>
        <x:v>19320</x:v>
      </x:c>
      <x:c r="S4737" s="22" t="n">
        <x:f>P4737-R4737</x:f>
        <x:v>1166.3999999999978</x:v>
      </x:c>
      <x:c r="T4737" t="str">
        <x:v>UPI</x:v>
      </x:c>
      <x:c r="U4737" t="str">
        <x:v>Pending</x:v>
      </x:c>
      <x:c r="V4737" t="str">
        <x:v>Cancelled</x:v>
      </x:c>
      <x:c r="W4737" t="n">
        <x:v>12</x:v>
      </x:c>
      <x:c r="X4737" t="str">
        <x:v>Cancelled Order</x:v>
      </x:c>
      <x:c r="Y4737" t="str"/>
    </x:row>
    <x:row r="4738">
      <x:c r="A4738" t="str">
        <x:v>O004737</x:v>
      </x:c>
      <x:c r="B4738" s="20" t="n">
        <x:v>45870</x:v>
      </x:c>
      <x:c r="C4738" t="str">
        <x:v>C0017</x:v>
      </x:c>
      <x:c r="D4738" t="str">
        <x:v>City Foods 17</x:v>
      </x:c>
      <x:c r="E4738" t="str">
        <x:v>Restaurant</x:v>
      </x:c>
      <x:c r="F4738" t="str">
        <x:v>Tumakuru</x:v>
      </x:c>
      <x:c r="G4738" t="str">
        <x:v>Imran</x:v>
      </x:c>
      <x:c r="H4738" t="str">
        <x:v>P011</x:v>
      </x:c>
      <x:c r="I4738" t="str">
        <x:v>Salt 1kg</x:v>
      </x:c>
      <x:c r="J4738" t="str">
        <x:v>Staples</x:v>
      </x:c>
      <x:c r="K4738" t="str">
        <x:v>Tata</x:v>
      </x:c>
      <x:c r="L4738" s="22" t="n">
        <x:v>28</x:v>
      </x:c>
      <x:c r="M4738" t="n">
        <x:v>15</x:v>
      </x:c>
      <x:c r="N4738" s="24" t="n">
        <x:v>0.1</x:v>
      </x:c>
      <x:c r="O4738" s="22" t="n">
        <x:f>L4738*M4738</x:f>
        <x:v>420</x:v>
      </x:c>
      <x:c r="P4738" s="22" t="n">
        <x:f>O4738*(1-N4738)</x:f>
        <x:v>378</x:v>
      </x:c>
      <x:c r="Q4738" s="22" t="n">
        <x:v>23</x:v>
      </x:c>
      <x:c r="R4738" s="22" t="n">
        <x:f>Q4738*M4738</x:f>
        <x:v>345</x:v>
      </x:c>
      <x:c r="S4738" s="22" t="n">
        <x:f>P4738-R4738</x:f>
        <x:v>33</x:v>
      </x:c>
      <x:c r="T4738" t="str">
        <x:v>UPI</x:v>
      </x:c>
      <x:c r="U4738" t="str">
        <x:v>Paid</x:v>
      </x:c>
      <x:c r="V4738" t="str">
        <x:v>Delivered</x:v>
      </x:c>
      <x:c r="W4738" t="n">
        <x:v>0</x:v>
      </x:c>
      <x:c r="X4738" t="str"/>
      <x:c r="Y4738" t="str">
        <x:v>WhatsApp</x:v>
      </x:c>
    </x:row>
    <x:row r="4739">
      <x:c r="A4739" t="str">
        <x:v>O004738</x:v>
      </x:c>
      <x:c r="B4739" s="20" t="n">
        <x:v>46057</x:v>
      </x:c>
      <x:c r="C4739" t="str">
        <x:v>C0095</x:v>
      </x:c>
      <x:c r="D4739" t="str">
        <x:v>Spice Restaurant 95</x:v>
      </x:c>
      <x:c r="E4739" t="str">
        <x:v>Restaurant</x:v>
      </x:c>
      <x:c r="F4739" t="str">
        <x:v>Bengaluru</x:v>
      </x:c>
      <x:c r="G4739" t="str">
        <x:v>Megha</x:v>
      </x:c>
      <x:c r="H4739" t="str">
        <x:v>P041</x:v>
      </x:c>
      <x:c r="I4739" t="str">
        <x:v>Burger Bun 6pc</x:v>
      </x:c>
      <x:c r="J4739" t="str">
        <x:v>Bakery</x:v>
      </x:c>
      <x:c r="K4739" t="str">
        <x:v>Modern</x:v>
      </x:c>
      <x:c r="L4739" s="22" t="n">
        <x:v>42</x:v>
      </x:c>
      <x:c r="M4739" t="n">
        <x:v>30</x:v>
      </x:c>
      <x:c r="N4739" s="24" t="n">
        <x:v>0.08</x:v>
      </x:c>
      <x:c r="O4739" s="22" t="n">
        <x:f>L4739*M4739</x:f>
        <x:v>1260</x:v>
      </x:c>
      <x:c r="P4739" s="22" t="n">
        <x:f>O4739*(1-N4739)</x:f>
        <x:v>1159.2</x:v>
      </x:c>
      <x:c r="Q4739" s="22" t="n">
        <x:v>32</x:v>
      </x:c>
      <x:c r="R4739" s="22" t="n">
        <x:f>Q4739*M4739</x:f>
        <x:v>960</x:v>
      </x:c>
      <x:c r="S4739" s="22" t="n">
        <x:f>P4739-R4739</x:f>
        <x:v>199.20000000000005</x:v>
      </x:c>
      <x:c r="T4739" t="str">
        <x:v>Bank Transfer</x:v>
      </x:c>
      <x:c r="U4739" t="str">
        <x:v>Paid</x:v>
      </x:c>
      <x:c r="V4739" t="str">
        <x:v>Cancelled</x:v>
      </x:c>
      <x:c r="W4739" t="n">
        <x:v>30</x:v>
      </x:c>
      <x:c r="X4739" t="str">
        <x:v>Cancelled Order</x:v>
      </x:c>
      <x:c r="Y4739" t="str">
        <x:v>Referral</x:v>
      </x:c>
    </x:row>
    <x:row r="4740">
      <x:c r="A4740" t="str">
        <x:v>O004739</x:v>
      </x:c>
      <x:c r="B4740" s="20" t="n">
        <x:v>45958</x:v>
      </x:c>
      <x:c r="C4740" t="str">
        <x:v>C0079</x:v>
      </x:c>
      <x:c r="D4740" t="str">
        <x:v>Foodie Foods 79</x:v>
      </x:c>
      <x:c r="E4740" t="str">
        <x:v>Cafe</x:v>
      </x:c>
      <x:c r="F4740" t="str">
        <x:v>Tumakuru</x:v>
      </x:c>
      <x:c r="G4740" t="str">
        <x:v>Ramesh</x:v>
      </x:c>
      <x:c r="H4740" t="str">
        <x:v>P007</x:v>
      </x:c>
      <x:c r="I4740" t="str">
        <x:v>Sunflower Oil 15L</x:v>
      </x:c>
      <x:c r="J4740" t="str">
        <x:v>Edible Oil</x:v>
      </x:c>
      <x:c r="K4740" t="str">
        <x:v>Fortune</x:v>
      </x:c>
      <x:c r="L4740" s="22" t="n">
        <x:v>1980</x:v>
      </x:c>
      <x:c r="M4740" t="n">
        <x:v>5</x:v>
      </x:c>
      <x:c r="N4740" s="24" t="n">
        <x:v>0.02</x:v>
      </x:c>
      <x:c r="O4740" s="22" t="n">
        <x:f>L4740*M4740</x:f>
        <x:v>9900</x:v>
      </x:c>
      <x:c r="P4740" s="22" t="n">
        <x:f>O4740*(1-N4740)</x:f>
        <x:v>9702</x:v>
      </x:c>
      <x:c r="Q4740" s="22" t="n">
        <x:v>1810</x:v>
      </x:c>
      <x:c r="R4740" s="22" t="n">
        <x:f>Q4740*M4740</x:f>
        <x:v>9050</x:v>
      </x:c>
      <x:c r="S4740" s="22" t="n">
        <x:f>P4740-R4740</x:f>
        <x:v>652</x:v>
      </x:c>
      <x:c r="T4740" t="str">
        <x:v>Bank Transfer</x:v>
      </x:c>
      <x:c r="U4740" t="str">
        <x:v>Paid</x:v>
      </x:c>
      <x:c r="V4740" t="str">
        <x:v>Delayed</x:v>
      </x:c>
      <x:c r="W4740" t="n">
        <x:v>0</x:v>
      </x:c>
      <x:c r="X4740" t="str"/>
      <x:c r="Y4740" t="str">
        <x:v>Outbound Call</x:v>
      </x:c>
    </x:row>
    <x:row r="4741">
      <x:c r="A4741" t="str">
        <x:v>O004740</x:v>
      </x:c>
      <x:c r="B4741" s="20" t="n">
        <x:v>46275</x:v>
      </x:c>
      <x:c r="C4741" t="str">
        <x:v>C0068</x:v>
      </x:c>
      <x:c r="D4741" t="str">
        <x:v>Fresh Canteen 68</x:v>
      </x:c>
      <x:c r="E4741" t="str">
        <x:v>Kirana</x:v>
      </x:c>
      <x:c r="F4741" t="str">
        <x:v>Davanagere</x:v>
      </x:c>
      <x:c r="G4741" t="str">
        <x:v>Arjun</x:v>
      </x:c>
      <x:c r="H4741" t="str">
        <x:v>P043</x:v>
      </x:c>
      <x:c r="I4741" t="str">
        <x:v>Chicken Breast 1kg</x:v>
      </x:c>
      <x:c r="J4741" t="str">
        <x:v>Protein</x:v>
      </x:c>
      <x:c r="K4741" t="str">
        <x:v>FreshToHome</x:v>
      </x:c>
      <x:c r="L4741" s="22" t="n">
        <x:v>260</x:v>
      </x:c>
      <x:c r="M4741" t="n">
        <x:v>4</x:v>
      </x:c>
      <x:c r="N4741" s="24" t="n">
        <x:v>0.02</x:v>
      </x:c>
      <x:c r="O4741" s="22" t="n">
        <x:f>L4741*M4741</x:f>
        <x:v>1040</x:v>
      </x:c>
      <x:c r="P4741" s="22" t="n">
        <x:f>O4741*(1-N4741)</x:f>
        <x:v>1019.1999999999999</x:v>
      </x:c>
      <x:c r="Q4741" s="22" t="n">
        <x:v>235</x:v>
      </x:c>
      <x:c r="R4741" s="22" t="n">
        <x:f>Q4741*M4741</x:f>
        <x:v>940</x:v>
      </x:c>
      <x:c r="S4741" s="22" t="n">
        <x:f>P4741-R4741</x:f>
        <x:v>79.19999999999993</x:v>
      </x:c>
      <x:c r="T4741" t="str">
        <x:v>Bank Transfer</x:v>
      </x:c>
      <x:c r="U4741" t="str">
        <x:v>Paid</x:v>
      </x:c>
      <x:c r="V4741" t="str">
        <x:v>Cancelled</x:v>
      </x:c>
      <x:c r="W4741" t="n">
        <x:v>4</x:v>
      </x:c>
      <x:c r="X4741" t="str">
        <x:v>Cancelled Order</x:v>
      </x:c>
      <x:c r="Y4741" t="str">
        <x:v>Existing Customer</x:v>
      </x:c>
    </x:row>
    <x:row r="4742">
      <x:c r="A4742" t="str">
        <x:v>O004741</x:v>
      </x:c>
      <x:c r="B4742" s="20" t="n">
        <x:v>46034</x:v>
      </x:c>
      <x:c r="C4742" t="str">
        <x:v>C0004</x:v>
      </x:c>
      <x:c r="D4742" t="str">
        <x:v>Annapurna Foods 4</x:v>
      </x:c>
      <x:c r="E4742" t="str">
        <x:v>Cafe</x:v>
      </x:c>
      <x:c r="F4742" t="str">
        <x:v>Mysuru</x:v>
      </x:c>
      <x:c r="G4742" t="str">
        <x:v>Priya</x:v>
      </x:c>
      <x:c r="H4742" t="str">
        <x:v>P022</x:v>
      </x:c>
      <x:c r="I4742" t="str">
        <x:v>Mineral Water 1L</x:v>
      </x:c>
      <x:c r="J4742" t="str">
        <x:v>Beverage</x:v>
      </x:c>
      <x:c r="K4742" t="str">
        <x:v>Bisleri</x:v>
      </x:c>
      <x:c r="L4742" s="22" t="n">
        <x:v>19</x:v>
      </x:c>
      <x:c r="M4742" t="n">
        <x:v>1</x:v>
      </x:c>
      <x:c r="N4742" s="24" t="n">
        <x:v>0.05</x:v>
      </x:c>
      <x:c r="O4742" s="22" t="n">
        <x:f>L4742*M4742</x:f>
        <x:v>19</x:v>
      </x:c>
      <x:c r="P4742" s="22" t="n">
        <x:f>O4742*(1-N4742)</x:f>
        <x:v>18.05</x:v>
      </x:c>
      <x:c r="Q4742" s="22" t="n">
        <x:v>15</x:v>
      </x:c>
      <x:c r="R4742" s="22" t="n">
        <x:f>Q4742*M4742</x:f>
        <x:v>15</x:v>
      </x:c>
      <x:c r="S4742" s="22" t="n">
        <x:f>P4742-R4742</x:f>
        <x:v>3.0500000000000007</x:v>
      </x:c>
      <x:c r="T4742" t="str">
        <x:v>Cash</x:v>
      </x:c>
      <x:c r="U4742" t="str">
        <x:v>Paid</x:v>
      </x:c>
      <x:c r="V4742" t="str">
        <x:v>Cancelled</x:v>
      </x:c>
      <x:c r="W4742" t="n">
        <x:v>1</x:v>
      </x:c>
      <x:c r="X4742" t="str">
        <x:v>Cancelled Order</x:v>
      </x:c>
      <x:c r="Y4742" t="str">
        <x:v>Outbound Call</x:v>
      </x:c>
    </x:row>
    <x:row r="4743">
      <x:c r="A4743" t="str">
        <x:v>O004742</x:v>
      </x:c>
      <x:c r="B4743" s="20" t="n">
        <x:v>45814</x:v>
      </x:c>
      <x:c r="C4743" t="str">
        <x:v>C0060</x:v>
      </x:c>
      <x:c r="D4743" t="str">
        <x:v>Sagar Stores 60</x:v>
      </x:c>
      <x:c r="E4743" t="str">
        <x:v>Cafe</x:v>
      </x:c>
      <x:c r="F4743" t="str">
        <x:v>Hubballi</x:v>
      </x:c>
      <x:c r="G4743" t="str">
        <x:v>Imran</x:v>
      </x:c>
      <x:c r="H4743" t="str">
        <x:v>P026</x:v>
      </x:c>
      <x:c r="I4743" t="str">
        <x:v>Banana Chips 80g</x:v>
      </x:c>
      <x:c r="J4743" t="str">
        <x:v>Snacks</x:v>
      </x:c>
      <x:c r="K4743" t="str">
        <x:v>SSS</x:v>
      </x:c>
      <x:c r="L4743" s="22" t="n">
        <x:v>54</x:v>
      </x:c>
      <x:c r="M4743" t="n">
        <x:v>22</x:v>
      </x:c>
      <x:c r="N4743" s="24" t="n">
        <x:v>0.1</x:v>
      </x:c>
      <x:c r="O4743" s="22" t="n">
        <x:f>L4743*M4743</x:f>
        <x:v>1188</x:v>
      </x:c>
      <x:c r="P4743" s="22" t="n">
        <x:f>O4743*(1-N4743)</x:f>
        <x:v>1069.2</x:v>
      </x:c>
      <x:c r="Q4743" s="22" t="n">
        <x:v>39</x:v>
      </x:c>
      <x:c r="R4743" s="22" t="n">
        <x:f>Q4743*M4743</x:f>
        <x:v>858</x:v>
      </x:c>
      <x:c r="S4743" s="22" t="n">
        <x:f>P4743-R4743</x:f>
        <x:v>211.20000000000005</x:v>
      </x:c>
      <x:c r="T4743" t="str">
        <x:v>Credit</x:v>
      </x:c>
      <x:c r="U4743" t="str">
        <x:v>Paid</x:v>
      </x:c>
      <x:c r="V4743" t="str">
        <x:v>Delivered</x:v>
      </x:c>
      <x:c r="W4743" t="n">
        <x:v>0</x:v>
      </x:c>
      <x:c r="X4743" t="str"/>
      <x:c r="Y4743" t="str">
        <x:v>WhatsApp</x:v>
      </x:c>
    </x:row>
    <x:row r="4744">
      <x:c r="A4744" t="str">
        <x:v>O004743</x:v>
      </x:c>
      <x:c r="B4744" s="20" t="n">
        <x:v>45709</x:v>
      </x:c>
      <x:c r="C4744" t="str">
        <x:v>C0074</x:v>
      </x:c>
      <x:c r="D4744" t="str">
        <x:v>Foodie Hotel 74</x:v>
      </x:c>
      <x:c r="E4744" t="str">
        <x:v>Restaurant</x:v>
      </x:c>
      <x:c r="F4744" t="str">
        <x:v>Mysuru</x:v>
      </x:c>
      <x:c r="G4744" t="str">
        <x:v>Vikram</x:v>
      </x:c>
      <x:c r="H4744" t="str">
        <x:v>P008</x:v>
      </x:c>
      <x:c r="I4744" t="str">
        <x:v>Palm Oil 15L</x:v>
      </x:c>
      <x:c r="J4744" t="str">
        <x:v>Edible Oil</x:v>
      </x:c>
      <x:c r="K4744" t="str">
        <x:v>Ruchi Gold</x:v>
      </x:c>
      <x:c r="L4744" s="22" t="n">
        <x:v>1760</x:v>
      </x:c>
      <x:c r="M4744" t="n">
        <x:v>10</x:v>
      </x:c>
      <x:c r="N4744" s="24" t="n">
        <x:v>0</x:v>
      </x:c>
      <x:c r="O4744" s="22" t="n">
        <x:f>L4744*M4744</x:f>
        <x:v>17600</x:v>
      </x:c>
      <x:c r="P4744" s="22" t="n">
        <x:f>O4744*(1-N4744)</x:f>
        <x:v>17600</x:v>
      </x:c>
      <x:c r="Q4744" s="22" t="n">
        <x:v>1610</x:v>
      </x:c>
      <x:c r="R4744" s="22" t="n">
        <x:f>Q4744*M4744</x:f>
        <x:v>16100</x:v>
      </x:c>
      <x:c r="S4744" s="22" t="n">
        <x:f>P4744-R4744</x:f>
        <x:v>1500</x:v>
      </x:c>
      <x:c r="T4744" t="str">
        <x:v>Cash</x:v>
      </x:c>
      <x:c r="U4744" t="str">
        <x:v>Pending</x:v>
      </x:c>
      <x:c r="V4744" t="str">
        <x:v>Delayed</x:v>
      </x:c>
      <x:c r="W4744" t="n">
        <x:v>0</x:v>
      </x:c>
      <x:c r="X4744" t="str"/>
      <x:c r="Y4744" t="str">
        <x:v>Existing Customer</x:v>
      </x:c>
    </x:row>
    <x:row r="4745">
      <x:c r="A4745" t="str">
        <x:v>O004744</x:v>
      </x:c>
      <x:c r="B4745" s="20" t="n">
        <x:v>46040</x:v>
      </x:c>
      <x:c r="C4745" t="str">
        <x:v>C0192</x:v>
      </x:c>
      <x:c r="D4745" t="str">
        <x:v>Shree Kitchen 192</x:v>
      </x:c>
      <x:c r="E4745" t="str">
        <x:v>Restaurant</x:v>
      </x:c>
      <x:c r="F4745" t="str">
        <x:v>Mysuru</x:v>
      </x:c>
      <x:c r="G4745" t="str">
        <x:v>Sneha</x:v>
      </x:c>
      <x:c r="H4745" t="str">
        <x:v>P006</x:v>
      </x:c>
      <x:c r="I4745" t="str">
        <x:v>Moong Dal 5kg</x:v>
      </x:c>
      <x:c r="J4745" t="str">
        <x:v>Pulses</x:v>
      </x:c>
      <x:c r="K4745" t="str">
        <x:v>Local Select</x:v>
      </x:c>
      <x:c r="L4745" s="22" t="n">
        <x:v>610</x:v>
      </x:c>
      <x:c r="M4745" t="n">
        <x:v>22</x:v>
      </x:c>
      <x:c r="N4745" s="24" t="n">
        <x:v>0.02</x:v>
      </x:c>
      <x:c r="O4745" s="22" t="n">
        <x:f>L4745*M4745</x:f>
        <x:v>13420</x:v>
      </x:c>
      <x:c r="P4745" s="22" t="n">
        <x:f>O4745*(1-N4745)</x:f>
        <x:v>13151.6</x:v>
      </x:c>
      <x:c r="Q4745" s="22" t="n">
        <x:v>540</x:v>
      </x:c>
      <x:c r="R4745" s="22" t="n">
        <x:f>Q4745*M4745</x:f>
        <x:v>11880</x:v>
      </x:c>
      <x:c r="S4745" s="22" t="n">
        <x:f>P4745-R4745</x:f>
        <x:v>1271.6000000000004</x:v>
      </x:c>
      <x:c r="T4745" t="str">
        <x:v>Cash</x:v>
      </x:c>
      <x:c r="U4745" t="str">
        <x:v>Paid</x:v>
      </x:c>
      <x:c r="V4745" t="str">
        <x:v>Cancelled</x:v>
      </x:c>
      <x:c r="W4745" t="n">
        <x:v>22</x:v>
      </x:c>
      <x:c r="X4745" t="str">
        <x:v>Cancelled Order</x:v>
      </x:c>
      <x:c r="Y4745" t="str">
        <x:v>Field Visit</x:v>
      </x:c>
    </x:row>
    <x:row r="4746">
      <x:c r="A4746" t="str">
        <x:v>O004745</x:v>
      </x:c>
      <x:c r="B4746" s="20" t="n">
        <x:v>45910</x:v>
      </x:c>
      <x:c r="C4746" t="str">
        <x:v>C0109</x:v>
      </x:c>
      <x:c r="D4746" t="str">
        <x:v>Annapurna Kitchen 109</x:v>
      </x:c>
      <x:c r="E4746" t="str">
        <x:v>Kirana</x:v>
      </x:c>
      <x:c r="F4746" t="str">
        <x:v>Mysuru</x:v>
      </x:c>
      <x:c r="G4746" t="str">
        <x:v>Kavya</x:v>
      </x:c>
      <x:c r="H4746" t="str">
        <x:v>P017</x:v>
      </x:c>
      <x:c r="I4746" t="str">
        <x:v>Butter 500g</x:v>
      </x:c>
      <x:c r="J4746" t="str">
        <x:v>Dairy</x:v>
      </x:c>
      <x:c r="K4746" t="str">
        <x:v>Amul</x:v>
      </x:c>
      <x:c r="L4746" s="22" t="n">
        <x:v>285</x:v>
      </x:c>
      <x:c r="M4746" t="n">
        <x:v>21</x:v>
      </x:c>
      <x:c r="N4746" s="24" t="n">
        <x:v>0</x:v>
      </x:c>
      <x:c r="O4746" s="22" t="n">
        <x:f>L4746*M4746</x:f>
        <x:v>5985</x:v>
      </x:c>
      <x:c r="P4746" s="22" t="n">
        <x:f>O4746*(1-N4746)</x:f>
        <x:v>5985</x:v>
      </x:c>
      <x:c r="Q4746" s="22" t="n">
        <x:v>258</x:v>
      </x:c>
      <x:c r="R4746" s="22" t="n">
        <x:f>Q4746*M4746</x:f>
        <x:v>5418</x:v>
      </x:c>
      <x:c r="S4746" s="22" t="n">
        <x:f>P4746-R4746</x:f>
        <x:v>567</x:v>
      </x:c>
      <x:c r="T4746" t="str">
        <x:v>UPI</x:v>
      </x:c>
      <x:c r="U4746" t="str">
        <x:v>Paid</x:v>
      </x:c>
      <x:c r="V4746" t="str">
        <x:v>Delivered</x:v>
      </x:c>
      <x:c r="W4746" t="n">
        <x:v>0</x:v>
      </x:c>
      <x:c r="X4746" t="str"/>
      <x:c r="Y4746" t="str">
        <x:v>Referral</x:v>
      </x:c>
    </x:row>
    <x:row r="4747">
      <x:c r="A4747" t="str">
        <x:v>O004746</x:v>
      </x:c>
      <x:c r="B4747" s="20" t="n">
        <x:v>45833</x:v>
      </x:c>
      <x:c r="C4747" t="str">
        <x:v>C0135</x:v>
      </x:c>
      <x:c r="D4747" t="str">
        <x:v>City Canteen 135</x:v>
      </x:c>
      <x:c r="E4747" t="str">
        <x:v>Supermarket</x:v>
      </x:c>
      <x:c r="F4747" t="str">
        <x:v>Hubballi</x:v>
      </x:c>
      <x:c r="G4747" t="str">
        <x:v>Megha</x:v>
      </x:c>
      <x:c r="H4747" t="str">
        <x:v>P031</x:v>
      </x:c>
      <x:c r="I4747" t="str">
        <x:v>Chilli Sauce 700g</x:v>
      </x:c>
      <x:c r="J4747" t="str">
        <x:v>Condiments</x:v>
      </x:c>
      <x:c r="K4747" t="str">
        <x:v>Ching's</x:v>
      </x:c>
      <x:c r="L4747" s="22" t="n">
        <x:v>130</x:v>
      </x:c>
      <x:c r="M4747" t="n">
        <x:v>37</x:v>
      </x:c>
      <x:c r="N4747" s="24" t="n">
        <x:v>0.03</x:v>
      </x:c>
      <x:c r="O4747" s="22" t="n">
        <x:f>L4747*M4747</x:f>
        <x:v>4810</x:v>
      </x:c>
      <x:c r="P4747" s="22" t="n">
        <x:f>O4747*(1-N4747)</x:f>
        <x:v>4665.7</x:v>
      </x:c>
      <x:c r="Q4747" s="22" t="n">
        <x:v>112</x:v>
      </x:c>
      <x:c r="R4747" s="22" t="n">
        <x:f>Q4747*M4747</x:f>
        <x:v>4144</x:v>
      </x:c>
      <x:c r="S4747" s="22" t="n">
        <x:f>P4747-R4747</x:f>
        <x:v>521.6999999999998</x:v>
      </x:c>
      <x:c r="T4747" t="str">
        <x:v>Bank Transfer</x:v>
      </x:c>
      <x:c r="U4747" t="str">
        <x:v>Paid</x:v>
      </x:c>
      <x:c r="V4747" t="str">
        <x:v>Delivered</x:v>
      </x:c>
      <x:c r="W4747" t="n">
        <x:v>0</x:v>
      </x:c>
      <x:c r="X4747" t="str"/>
      <x:c r="Y4747" t="str">
        <x:v>WhatsApp</x:v>
      </x:c>
    </x:row>
    <x:row r="4748">
      <x:c r="A4748" t="str">
        <x:v>O004747</x:v>
      </x:c>
      <x:c r="B4748" s="20" t="n">
        <x:v>45766</x:v>
      </x:c>
      <x:c r="C4748" t="str">
        <x:v>C0099</x:v>
      </x:c>
      <x:c r="D4748" t="str">
        <x:v>Green Cafe 99</x:v>
      </x:c>
      <x:c r="E4748" t="str">
        <x:v>Restaurant</x:v>
      </x:c>
      <x:c r="F4748" t="str">
        <x:v>Hubballi</x:v>
      </x:c>
      <x:c r="G4748" t="str">
        <x:v>Ramesh</x:v>
      </x:c>
      <x:c r="H4748" t="str">
        <x:v>P021</x:v>
      </x:c>
      <x:c r="I4748" t="str">
        <x:v>Instant Coffee 200g</x:v>
      </x:c>
      <x:c r="J4748" t="str">
        <x:v>Beverage</x:v>
      </x:c>
      <x:c r="K4748" t="str">
        <x:v>Nescafe</x:v>
      </x:c>
      <x:c r="L4748" s="22" t="n">
        <x:v>460</x:v>
      </x:c>
      <x:c r="M4748" t="n">
        <x:v>16</x:v>
      </x:c>
      <x:c r="N4748" s="24" t="n">
        <x:v>0.05</x:v>
      </x:c>
      <x:c r="O4748" s="22" t="n">
        <x:f>L4748*M4748</x:f>
        <x:v>7360</x:v>
      </x:c>
      <x:c r="P4748" s="22" t="n">
        <x:f>O4748*(1-N4748)</x:f>
        <x:v>6992</x:v>
      </x:c>
      <x:c r="Q4748" s="22" t="n">
        <x:v>410</x:v>
      </x:c>
      <x:c r="R4748" s="22" t="n">
        <x:f>Q4748*M4748</x:f>
        <x:v>6560</x:v>
      </x:c>
      <x:c r="S4748" s="22" t="n">
        <x:f>P4748-R4748</x:f>
        <x:v>432</x:v>
      </x:c>
      <x:c r="T4748" t="str">
        <x:v>Bank Transfer</x:v>
      </x:c>
      <x:c r="U4748" t="str">
        <x:v>Paid</x:v>
      </x:c>
      <x:c r="V4748" t="str">
        <x:v>Cancelled</x:v>
      </x:c>
      <x:c r="W4748" t="n">
        <x:v>16</x:v>
      </x:c>
      <x:c r="X4748" t="str">
        <x:v>Cancelled Order</x:v>
      </x:c>
      <x:c r="Y4748" t="str">
        <x:v>Field Visit</x:v>
      </x:c>
    </x:row>
    <x:row r="4749">
      <x:c r="A4749" t="str">
        <x:v>O004748</x:v>
      </x:c>
      <x:c r="B4749" s="20" t="n">
        <x:v>45771</x:v>
      </x:c>
      <x:c r="C4749" t="str">
        <x:v>C0133</x:v>
      </x:c>
      <x:c r="D4749" t="str">
        <x:v>Metro Foods 133</x:v>
      </x:c>
      <x:c r="E4749" t="str">
        <x:v>Cafe</x:v>
      </x:c>
      <x:c r="F4749" t="str">
        <x:v>Bengaluru</x:v>
      </x:c>
      <x:c r="G4749" t="str">
        <x:v>Ramesh</x:v>
      </x:c>
      <x:c r="H4749" t="str">
        <x:v>P049</x:v>
      </x:c>
      <x:c r="I4749" t="str">
        <x:v>Apple 10kg</x:v>
      </x:c>
      <x:c r="J4749" t="str">
        <x:v>Fresh Produce</x:v>
      </x:c>
      <x:c r="K4749" t="str">
        <x:v>Local Market</x:v>
      </x:c>
      <x:c r="L4749" s="22" t="n">
        <x:v>1450</x:v>
      </x:c>
      <x:c r="M4749" t="n">
        <x:v>2</x:v>
      </x:c>
      <x:c r="N4749" s="24" t="n">
        <x:v>0.02</x:v>
      </x:c>
      <x:c r="O4749" s="22" t="n">
        <x:f>L4749*M4749</x:f>
        <x:v>2900</x:v>
      </x:c>
      <x:c r="P4749" s="22" t="n">
        <x:f>O4749*(1-N4749)</x:f>
        <x:v>2842</x:v>
      </x:c>
      <x:c r="Q4749" s="22" t="n">
        <x:v>1280</x:v>
      </x:c>
      <x:c r="R4749" s="22" t="n">
        <x:f>Q4749*M4749</x:f>
        <x:v>2560</x:v>
      </x:c>
      <x:c r="S4749" s="22" t="n">
        <x:f>P4749-R4749</x:f>
        <x:v>282</x:v>
      </x:c>
      <x:c r="T4749" t="str">
        <x:v>Credit</x:v>
      </x:c>
      <x:c r="U4749" t="str">
        <x:v>Paid</x:v>
      </x:c>
      <x:c r="V4749" t="str">
        <x:v>Delivered</x:v>
      </x:c>
      <x:c r="W4749" t="n">
        <x:v>0</x:v>
      </x:c>
      <x:c r="X4749" t="str"/>
      <x:c r="Y4749" t="str">
        <x:v>Referral</x:v>
      </x:c>
    </x:row>
    <x:row r="4750">
      <x:c r="A4750" t="str">
        <x:v>O004749</x:v>
      </x:c>
      <x:c r="B4750" s="20" t="n">
        <x:v>45724</x:v>
      </x:c>
      <x:c r="C4750" t="str">
        <x:v>C0036</x:v>
      </x:c>
      <x:c r="D4750" t="str">
        <x:v>Grand Hotel 36</x:v>
      </x:c>
      <x:c r="E4750" t="str">
        <x:v>Canteen</x:v>
      </x:c>
      <x:c r="F4750" t="str">
        <x:v>Tumakuru</x:v>
      </x:c>
      <x:c r="G4750" t="str">
        <x:v>Kavya</x:v>
      </x:c>
      <x:c r="H4750" t="str">
        <x:v>P018</x:v>
      </x:c>
      <x:c r="I4750" t="str">
        <x:v>Paneer 1kg</x:v>
      </x:c>
      <x:c r="J4750" t="str">
        <x:v>Dairy</x:v>
      </x:c>
      <x:c r="K4750" t="str">
        <x:v>Milky Mist</x:v>
      </x:c>
      <x:c r="L4750" s="22" t="n">
        <x:v>410</x:v>
      </x:c>
      <x:c r="M4750" t="n">
        <x:v>15</x:v>
      </x:c>
      <x:c r="N4750" s="24" t="n">
        <x:v>0</x:v>
      </x:c>
      <x:c r="O4750" s="22" t="n">
        <x:f>L4750*M4750</x:f>
        <x:v>6150</x:v>
      </x:c>
      <x:c r="P4750" s="22" t="n">
        <x:f>O4750*(1-N4750)</x:f>
        <x:v>6150</x:v>
      </x:c>
      <x:c r="Q4750" s="22" t="n">
        <x:v>370</x:v>
      </x:c>
      <x:c r="R4750" s="22" t="n">
        <x:f>Q4750*M4750</x:f>
        <x:v>5550</x:v>
      </x:c>
      <x:c r="S4750" s="22" t="n">
        <x:f>P4750-R4750</x:f>
        <x:v>600</x:v>
      </x:c>
      <x:c r="T4750" t="str">
        <x:v>UPI</x:v>
      </x:c>
      <x:c r="U4750" t="str">
        <x:v>Paid</x:v>
      </x:c>
      <x:c r="V4750" t="str">
        <x:v>Delivered</x:v>
      </x:c>
      <x:c r="W4750" t="n">
        <x:v>0</x:v>
      </x:c>
      <x:c r="X4750" t="str"/>
      <x:c r="Y4750" t="str">
        <x:v>Field Visit</x:v>
      </x:c>
    </x:row>
    <x:row r="4751">
      <x:c r="A4751" t="str">
        <x:v>O004750</x:v>
      </x:c>
      <x:c r="B4751" s="20" t="n">
        <x:v>45946</x:v>
      </x:c>
      <x:c r="C4751" t="str">
        <x:v>C0048</x:v>
      </x:c>
      <x:c r="D4751" t="str">
        <x:v>Udupi Foods 48</x:v>
      </x:c>
      <x:c r="E4751" t="str">
        <x:v>Hotel</x:v>
      </x:c>
      <x:c r="F4751" t="str">
        <x:v>Bengaluru</x:v>
      </x:c>
      <x:c r="G4751" t="str">
        <x:v>Ramesh</x:v>
      </x:c>
      <x:c r="H4751" t="str">
        <x:v>P006</x:v>
      </x:c>
      <x:c r="I4751" t="str">
        <x:v>Moong Dal 5kg</x:v>
      </x:c>
      <x:c r="J4751" t="str">
        <x:v>Pulses</x:v>
      </x:c>
      <x:c r="K4751" t="str">
        <x:v>Local Select</x:v>
      </x:c>
      <x:c r="L4751" s="22" t="n">
        <x:v>610</x:v>
      </x:c>
      <x:c r="M4751" t="n">
        <x:v>16</x:v>
      </x:c>
      <x:c r="N4751" s="24" t="n">
        <x:v>0.03</x:v>
      </x:c>
      <x:c r="O4751" s="22" t="n">
        <x:f>L4751*M4751</x:f>
        <x:v>9760</x:v>
      </x:c>
      <x:c r="P4751" s="22" t="n">
        <x:f>O4751*(1-N4751)</x:f>
        <x:v>9467.199999999999</x:v>
      </x:c>
      <x:c r="Q4751" s="22" t="n">
        <x:v>540</x:v>
      </x:c>
      <x:c r="R4751" s="22" t="n">
        <x:f>Q4751*M4751</x:f>
        <x:v>8640</x:v>
      </x:c>
      <x:c r="S4751" s="22" t="n">
        <x:f>P4751-R4751</x:f>
        <x:v>827.1999999999989</x:v>
      </x:c>
      <x:c r="T4751" t="str">
        <x:v>Credit</x:v>
      </x:c>
      <x:c r="U4751" t="str">
        <x:v>Paid</x:v>
      </x:c>
      <x:c r="V4751" t="str">
        <x:v>Cancelled</x:v>
      </x:c>
      <x:c r="W4751" t="n">
        <x:v>16</x:v>
      </x:c>
      <x:c r="X4751" t="str">
        <x:v>Cancelled Order</x:v>
      </x:c>
      <x:c r="Y4751" t="str">
        <x:v>Outbound Call</x:v>
      </x:c>
    </x:row>
    <x:row r="4752">
      <x:c r="A4752" t="str">
        <x:v>O004751</x:v>
      </x:c>
      <x:c r="B4752" s="20" t="n">
        <x:v>45799</x:v>
      </x:c>
      <x:c r="C4752" t="str">
        <x:v>C0096</x:v>
      </x:c>
      <x:c r="D4752" t="str">
        <x:v>Metro Foods 96</x:v>
      </x:c>
      <x:c r="E4752" t="str">
        <x:v>Kirana</x:v>
      </x:c>
      <x:c r="F4752" t="str">
        <x:v>Davanagere</x:v>
      </x:c>
      <x:c r="G4752" t="str">
        <x:v>Vikram</x:v>
      </x:c>
      <x:c r="H4752" t="str">
        <x:v>P022</x:v>
      </x:c>
      <x:c r="I4752" t="str">
        <x:v>Mineral Water 1L</x:v>
      </x:c>
      <x:c r="J4752" t="str">
        <x:v>Beverage</x:v>
      </x:c>
      <x:c r="K4752" t="str">
        <x:v>Bisleri</x:v>
      </x:c>
      <x:c r="L4752" s="22" t="n">
        <x:v>19</x:v>
      </x:c>
      <x:c r="M4752" t="n">
        <x:v>9</x:v>
      </x:c>
      <x:c r="N4752" s="24" t="n">
        <x:v>0.08</x:v>
      </x:c>
      <x:c r="O4752" s="22" t="n">
        <x:f>L4752*M4752</x:f>
        <x:v>171</x:v>
      </x:c>
      <x:c r="P4752" s="22" t="n">
        <x:f>O4752*(1-N4752)</x:f>
        <x:v>157.32</x:v>
      </x:c>
      <x:c r="Q4752" s="22" t="n">
        <x:v>15</x:v>
      </x:c>
      <x:c r="R4752" s="22" t="n">
        <x:f>Q4752*M4752</x:f>
        <x:v>135</x:v>
      </x:c>
      <x:c r="S4752" s="22" t="n">
        <x:f>P4752-R4752</x:f>
        <x:v>22.319999999999993</x:v>
      </x:c>
      <x:c r="T4752" t="str">
        <x:v>Credit</x:v>
      </x:c>
      <x:c r="U4752" t="str">
        <x:v>Paid</x:v>
      </x:c>
      <x:c r="V4752" t="str">
        <x:v>Cancelled</x:v>
      </x:c>
      <x:c r="W4752" t="n">
        <x:v>9</x:v>
      </x:c>
      <x:c r="X4752" t="str">
        <x:v>Cancelled Order</x:v>
      </x:c>
      <x:c r="Y4752" t="str">
        <x:v>Referral</x:v>
      </x:c>
    </x:row>
    <x:row r="4753">
      <x:c r="A4753" t="str">
        <x:v>O004752</x:v>
      </x:c>
      <x:c r="B4753" s="20" t="n">
        <x:v>46234</x:v>
      </x:c>
      <x:c r="C4753" t="str">
        <x:v>C0190</x:v>
      </x:c>
      <x:c r="D4753" t="str">
        <x:v>Shree Restaurant 190</x:v>
      </x:c>
      <x:c r="E4753" t="str">
        <x:v>Canteen</x:v>
      </x:c>
      <x:c r="F4753" t="str">
        <x:v>Bengaluru</x:v>
      </x:c>
      <x:c r="G4753" t="str">
        <x:v>Kavya</x:v>
      </x:c>
      <x:c r="H4753" t="str">
        <x:v>P020</x:v>
      </x:c>
      <x:c r="I4753" t="str">
        <x:v>Coffee 500g</x:v>
      </x:c>
      <x:c r="J4753" t="str">
        <x:v>Beverage</x:v>
      </x:c>
      <x:c r="K4753" t="str">
        <x:v>Bru</x:v>
      </x:c>
      <x:c r="L4753" s="22" t="n">
        <x:v>390</x:v>
      </x:c>
      <x:c r="M4753" t="n">
        <x:v>30</x:v>
      </x:c>
      <x:c r="N4753" s="24" t="n">
        <x:v>0.02</x:v>
      </x:c>
      <x:c r="O4753" s="22" t="n">
        <x:f>L4753*M4753</x:f>
        <x:v>11700</x:v>
      </x:c>
      <x:c r="P4753" s="22" t="n">
        <x:f>O4753*(1-N4753)</x:f>
        <x:v>11466</x:v>
      </x:c>
      <x:c r="Q4753" s="22" t="n">
        <x:v>350</x:v>
      </x:c>
      <x:c r="R4753" s="22" t="n">
        <x:f>Q4753*M4753</x:f>
        <x:v>10500</x:v>
      </x:c>
      <x:c r="S4753" s="22" t="n">
        <x:f>P4753-R4753</x:f>
        <x:v>966</x:v>
      </x:c>
      <x:c r="T4753" t="str">
        <x:v>Credit</x:v>
      </x:c>
      <x:c r="U4753" t="str">
        <x:v>Paid</x:v>
      </x:c>
      <x:c r="V4753" t="str">
        <x:v>Cancelled</x:v>
      </x:c>
      <x:c r="W4753" t="n">
        <x:v>30</x:v>
      </x:c>
      <x:c r="X4753" t="str">
        <x:v>Cancelled Order</x:v>
      </x:c>
      <x:c r="Y4753" t="str">
        <x:v>Existing Customer</x:v>
      </x:c>
    </x:row>
    <x:row r="4754">
      <x:c r="A4754" t="str">
        <x:v>O004753</x:v>
      </x:c>
      <x:c r="B4754" s="20" t="n">
        <x:v>46017</x:v>
      </x:c>
      <x:c r="C4754" t="str">
        <x:v>C0179</x:v>
      </x:c>
      <x:c r="D4754" t="str">
        <x:v>Shree Hotel 179</x:v>
      </x:c>
      <x:c r="E4754" t="str">
        <x:v>Restaurant</x:v>
      </x:c>
      <x:c r="F4754" t="str">
        <x:v>Hubballi</x:v>
      </x:c>
      <x:c r="G4754" t="str">
        <x:v>Kavya</x:v>
      </x:c>
      <x:c r="H4754" t="str">
        <x:v>P012</x:v>
      </x:c>
      <x:c r="I4754" t="str">
        <x:v>Maida 10kg</x:v>
      </x:c>
      <x:c r="J4754" t="str">
        <x:v>Flour</x:v>
      </x:c>
      <x:c r="K4754" t="str">
        <x:v>Aashirvaad</x:v>
      </x:c>
      <x:c r="L4754" s="22" t="n">
        <x:v>520</x:v>
      </x:c>
      <x:c r="M4754" t="n">
        <x:v>26</x:v>
      </x:c>
      <x:c r="N4754" s="24" t="n">
        <x:v>0.05</x:v>
      </x:c>
      <x:c r="O4754" s="22" t="n">
        <x:f>L4754*M4754</x:f>
        <x:v>13520</x:v>
      </x:c>
      <x:c r="P4754" s="22" t="n">
        <x:f>O4754*(1-N4754)</x:f>
        <x:v>12844</x:v>
      </x:c>
      <x:c r="Q4754" s="22" t="n">
        <x:v>460</x:v>
      </x:c>
      <x:c r="R4754" s="22" t="n">
        <x:f>Q4754*M4754</x:f>
        <x:v>11960</x:v>
      </x:c>
      <x:c r="S4754" s="22" t="n">
        <x:f>P4754-R4754</x:f>
        <x:v>884</x:v>
      </x:c>
      <x:c r="T4754" t="str">
        <x:v>Credit</x:v>
      </x:c>
      <x:c r="U4754" t="str">
        <x:v>Paid</x:v>
      </x:c>
      <x:c r="V4754" t="str">
        <x:v>Delivered</x:v>
      </x:c>
      <x:c r="W4754" t="n">
        <x:v>0</x:v>
      </x:c>
      <x:c r="X4754" t="str"/>
      <x:c r="Y4754" t="str">
        <x:v>Referral</x:v>
      </x:c>
    </x:row>
    <x:row r="4755">
      <x:c r="A4755" t="str">
        <x:v>O004754</x:v>
      </x:c>
      <x:c r="B4755" s="20" t="n">
        <x:v>46102</x:v>
      </x:c>
      <x:c r="C4755" t="str">
        <x:v>C0219</x:v>
      </x:c>
      <x:c r="D4755" t="str">
        <x:v>Udupi Restaurant 219</x:v>
      </x:c>
      <x:c r="E4755" t="str">
        <x:v>Kirana</x:v>
      </x:c>
      <x:c r="F4755" t="str">
        <x:v>Mangaluru</x:v>
      </x:c>
      <x:c r="G4755" t="str">
        <x:v>Kavya</x:v>
      </x:c>
      <x:c r="H4755" t="str">
        <x:v>P029</x:v>
      </x:c>
      <x:c r="I4755" t="str">
        <x:v>Tomato Ketchup 1kg</x:v>
      </x:c>
      <x:c r="J4755" t="str">
        <x:v>Condiments</x:v>
      </x:c>
      <x:c r="K4755" t="str">
        <x:v>Kissan</x:v>
      </x:c>
      <x:c r="L4755" s="22" t="n">
        <x:v>145</x:v>
      </x:c>
      <x:c r="M4755" t="n">
        <x:v>19</x:v>
      </x:c>
      <x:c r="N4755" s="24" t="n">
        <x:v>0.05</x:v>
      </x:c>
      <x:c r="O4755" s="22" t="n">
        <x:f>L4755*M4755</x:f>
        <x:v>2755</x:v>
      </x:c>
      <x:c r="P4755" s="22" t="n">
        <x:f>O4755*(1-N4755)</x:f>
        <x:v>2617.25</x:v>
      </x:c>
      <x:c r="Q4755" s="22" t="n">
        <x:v>126</x:v>
      </x:c>
      <x:c r="R4755" s="22" t="n">
        <x:f>Q4755*M4755</x:f>
        <x:v>2394</x:v>
      </x:c>
      <x:c r="S4755" s="22" t="n">
        <x:f>P4755-R4755</x:f>
        <x:v>223.25</x:v>
      </x:c>
      <x:c r="T4755" t="str">
        <x:v>Credit</x:v>
      </x:c>
      <x:c r="U4755" t="str">
        <x:v>Paid</x:v>
      </x:c>
      <x:c r="V4755" t="str">
        <x:v>Cancelled</x:v>
      </x:c>
      <x:c r="W4755" t="n">
        <x:v>19</x:v>
      </x:c>
      <x:c r="X4755" t="str">
        <x:v>Cancelled Order</x:v>
      </x:c>
      <x:c r="Y4755" t="str">
        <x:v>WhatsApp</x:v>
      </x:c>
    </x:row>
    <x:row r="4756">
      <x:c r="A4756" t="str">
        <x:v>O004755</x:v>
      </x:c>
      <x:c r="B4756" s="20" t="n">
        <x:v>46236</x:v>
      </x:c>
      <x:c r="C4756" t="str">
        <x:v>C0049</x:v>
      </x:c>
      <x:c r="D4756" t="str">
        <x:v>Namma Stores 49</x:v>
      </x:c>
      <x:c r="E4756" t="str">
        <x:v>Hotel</x:v>
      </x:c>
      <x:c r="F4756" t="str">
        <x:v>Mangaluru</x:v>
      </x:c>
      <x:c r="G4756" t="str">
        <x:v>Sneha</x:v>
      </x:c>
      <x:c r="H4756" t="str">
        <x:v>P014</x:v>
      </x:c>
      <x:c r="I4756" t="str">
        <x:v>Rava 5kg</x:v>
      </x:c>
      <x:c r="J4756" t="str">
        <x:v>Flour</x:v>
      </x:c>
      <x:c r="K4756" t="str">
        <x:v>Local Select</x:v>
      </x:c>
      <x:c r="L4756" s="22" t="n">
        <x:v>245</x:v>
      </x:c>
      <x:c r="M4756" t="n">
        <x:v>27</x:v>
      </x:c>
      <x:c r="N4756" s="24" t="n">
        <x:v>0.03</x:v>
      </x:c>
      <x:c r="O4756" s="22" t="n">
        <x:f>L4756*M4756</x:f>
        <x:v>6615</x:v>
      </x:c>
      <x:c r="P4756" s="22" t="n">
        <x:f>O4756*(1-N4756)</x:f>
        <x:v>6416.55</x:v>
      </x:c>
      <x:c r="Q4756" s="22" t="n">
        <x:v>215</x:v>
      </x:c>
      <x:c r="R4756" s="22" t="n">
        <x:f>Q4756*M4756</x:f>
        <x:v>5805</x:v>
      </x:c>
      <x:c r="S4756" s="22" t="n">
        <x:f>P4756-R4756</x:f>
        <x:v>611.5500000000002</x:v>
      </x:c>
      <x:c r="T4756" t="str">
        <x:v>UPI</x:v>
      </x:c>
      <x:c r="U4756" t="str">
        <x:v>Paid</x:v>
      </x:c>
      <x:c r="V4756" t="str">
        <x:v>Delivered</x:v>
      </x:c>
      <x:c r="W4756" t="n">
        <x:v>0</x:v>
      </x:c>
      <x:c r="X4756" t="str"/>
      <x:c r="Y4756" t="str">
        <x:v>Field Visit</x:v>
      </x:c>
    </x:row>
    <x:row r="4757">
      <x:c r="A4757" t="str">
        <x:v>O004756</x:v>
      </x:c>
      <x:c r="B4757" s="20" t="n">
        <x:v>46022</x:v>
      </x:c>
      <x:c r="C4757" t="str">
        <x:v>C0013</x:v>
      </x:c>
      <x:c r="D4757" t="str">
        <x:v>Foodie Restaurant 13</x:v>
      </x:c>
      <x:c r="E4757" t="str">
        <x:v>Kirana</x:v>
      </x:c>
      <x:c r="F4757" t="str">
        <x:v>Mysuru</x:v>
      </x:c>
      <x:c r="G4757" t="str">
        <x:v>Sneha</x:v>
      </x:c>
      <x:c r="H4757" t="str">
        <x:v>P043</x:v>
      </x:c>
      <x:c r="I4757" t="str">
        <x:v>Chicken Breast 1kg</x:v>
      </x:c>
      <x:c r="J4757" t="str">
        <x:v>Protein</x:v>
      </x:c>
      <x:c r="K4757" t="str">
        <x:v>FreshToHome</x:v>
      </x:c>
      <x:c r="L4757" s="22" t="n">
        <x:v>260</x:v>
      </x:c>
      <x:c r="M4757" t="n">
        <x:v>12</x:v>
      </x:c>
      <x:c r="N4757" s="24" t="n">
        <x:v>0</x:v>
      </x:c>
      <x:c r="O4757" s="22" t="n">
        <x:f>L4757*M4757</x:f>
        <x:v>3120</x:v>
      </x:c>
      <x:c r="P4757" s="22" t="n">
        <x:f>O4757*(1-N4757)</x:f>
        <x:v>3120</x:v>
      </x:c>
      <x:c r="Q4757" s="22" t="n">
        <x:v>235</x:v>
      </x:c>
      <x:c r="R4757" s="22" t="n">
        <x:f>Q4757*M4757</x:f>
        <x:v>2820</x:v>
      </x:c>
      <x:c r="S4757" s="22" t="n">
        <x:f>P4757-R4757</x:f>
        <x:v>300</x:v>
      </x:c>
      <x:c r="T4757" t="str">
        <x:v>UPI</x:v>
      </x:c>
      <x:c r="U4757" t="str">
        <x:v>Paid</x:v>
      </x:c>
      <x:c r="V4757" t="str">
        <x:v>Delivered</x:v>
      </x:c>
      <x:c r="W4757" t="n">
        <x:v>0</x:v>
      </x:c>
      <x:c r="X4757" t="str"/>
      <x:c r="Y4757" t="str">
        <x:v>Outbound Call</x:v>
      </x:c>
    </x:row>
    <x:row r="4758">
      <x:c r="A4758" t="str">
        <x:v>O004757</x:v>
      </x:c>
      <x:c r="B4758" s="20" t="n">
        <x:v>46036</x:v>
      </x:c>
      <x:c r="C4758" t="str">
        <x:v>C0037</x:v>
      </x:c>
      <x:c r="D4758" t="str">
        <x:v>Royal Cafe 37</x:v>
      </x:c>
      <x:c r="E4758" t="str">
        <x:v>Hotel</x:v>
      </x:c>
      <x:c r="F4758" t="str">
        <x:v>Mysuru</x:v>
      </x:c>
      <x:c r="G4758" t="str">
        <x:v>Sneha</x:v>
      </x:c>
      <x:c r="H4758" t="str">
        <x:v>P009</x:v>
      </x:c>
      <x:c r="I4758" t="str">
        <x:v>Groundnut Oil 5L</x:v>
      </x:c>
      <x:c r="J4758" t="str">
        <x:v>Edible Oil</x:v>
      </x:c>
      <x:c r="K4758" t="str">
        <x:v>Dhara</x:v>
      </x:c>
      <x:c r="L4758" s="22" t="n">
        <x:v>890</x:v>
      </x:c>
      <x:c r="M4758" t="n">
        <x:v>37</x:v>
      </x:c>
      <x:c r="N4758" s="24" t="n">
        <x:v>0.05</x:v>
      </x:c>
      <x:c r="O4758" s="22" t="n">
        <x:f>L4758*M4758</x:f>
        <x:v>32930</x:v>
      </x:c>
      <x:c r="P4758" s="22" t="n">
        <x:f>O4758*(1-N4758)</x:f>
        <x:v>31283.5</x:v>
      </x:c>
      <x:c r="Q4758" s="22" t="n">
        <x:v>810</x:v>
      </x:c>
      <x:c r="R4758" s="22" t="n">
        <x:f>Q4758*M4758</x:f>
        <x:v>29970</x:v>
      </x:c>
      <x:c r="S4758" s="22" t="n">
        <x:f>P4758-R4758</x:f>
        <x:v>1313.5</x:v>
      </x:c>
      <x:c r="T4758" t="str">
        <x:v>Bank Transfer</x:v>
      </x:c>
      <x:c r="U4758" t="str">
        <x:v>Paid</x:v>
      </x:c>
      <x:c r="V4758" t="str">
        <x:v>Delivered</x:v>
      </x:c>
      <x:c r="W4758" t="n">
        <x:v>0</x:v>
      </x:c>
      <x:c r="X4758" t="str"/>
      <x:c r="Y4758" t="str">
        <x:v>Existing Customer</x:v>
      </x:c>
    </x:row>
    <x:row r="4759">
      <x:c r="A4759" t="str">
        <x:v>O004758</x:v>
      </x:c>
      <x:c r="B4759" s="20" t="n">
        <x:v>45875</x:v>
      </x:c>
      <x:c r="C4759" t="str">
        <x:v>C0078</x:v>
      </x:c>
      <x:c r="D4759" t="str">
        <x:v>Sagar Canteen 78</x:v>
      </x:c>
      <x:c r="E4759" t="str">
        <x:v>Hotel</x:v>
      </x:c>
      <x:c r="F4759" t="str">
        <x:v>Mangaluru</x:v>
      </x:c>
      <x:c r="G4759" t="str">
        <x:v>Ramesh</x:v>
      </x:c>
      <x:c r="H4759" t="str">
        <x:v>P015</x:v>
      </x:c>
      <x:c r="I4759" t="str">
        <x:v>Milk 1L</x:v>
      </x:c>
      <x:c r="J4759" t="str">
        <x:v>Dairy</x:v>
      </x:c>
      <x:c r="K4759" t="str">
        <x:v>Nandini</x:v>
      </x:c>
      <x:c r="L4759" s="22" t="n">
        <x:v>48</x:v>
      </x:c>
      <x:c r="M4759" t="n">
        <x:v>8</x:v>
      </x:c>
      <x:c r="N4759" s="24" t="n">
        <x:v>0.03</x:v>
      </x:c>
      <x:c r="O4759" s="22" t="n">
        <x:f>L4759*M4759</x:f>
        <x:v>384</x:v>
      </x:c>
      <x:c r="P4759" s="22" t="n">
        <x:f>O4759*(1-N4759)</x:f>
        <x:v>372.48</x:v>
      </x:c>
      <x:c r="Q4759" s="22" t="n">
        <x:v>43</x:v>
      </x:c>
      <x:c r="R4759" s="22" t="n">
        <x:f>Q4759*M4759</x:f>
        <x:v>344</x:v>
      </x:c>
      <x:c r="S4759" s="22" t="n">
        <x:f>P4759-R4759</x:f>
        <x:v>28.480000000000018</x:v>
      </x:c>
      <x:c r="T4759" t="str">
        <x:v>UPI</x:v>
      </x:c>
      <x:c r="U4759" t="str">
        <x:v>Paid</x:v>
      </x:c>
      <x:c r="V4759" t="str">
        <x:v>Delivered</x:v>
      </x:c>
      <x:c r="W4759" t="n">
        <x:v>0</x:v>
      </x:c>
      <x:c r="X4759" t="str"/>
      <x:c r="Y4759" t="str">
        <x:v>Existing Customer</x:v>
      </x:c>
    </x:row>
    <x:row r="4760">
      <x:c r="A4760" t="str">
        <x:v>O004759</x:v>
      </x:c>
      <x:c r="B4760" s="20" t="n">
        <x:v>45972</x:v>
      </x:c>
      <x:c r="C4760" t="str">
        <x:v>C0121</x:v>
      </x:c>
      <x:c r="D4760" t="str">
        <x:v>Mysore Restaurant 121</x:v>
      </x:c>
      <x:c r="E4760" t="str">
        <x:v>Cafe</x:v>
      </x:c>
      <x:c r="F4760" t="str">
        <x:v>Mysuru</x:v>
      </x:c>
      <x:c r="G4760" t="str">
        <x:v>Sneha</x:v>
      </x:c>
      <x:c r="H4760" t="str">
        <x:v>P020</x:v>
      </x:c>
      <x:c r="I4760" t="str">
        <x:v>Coffee 500g</x:v>
      </x:c>
      <x:c r="J4760" t="str">
        <x:v>Beverage</x:v>
      </x:c>
      <x:c r="K4760" t="str">
        <x:v>Bru</x:v>
      </x:c>
      <x:c r="L4760" s="22" t="n">
        <x:v>390</x:v>
      </x:c>
      <x:c r="M4760" t="n">
        <x:v>27</x:v>
      </x:c>
      <x:c r="N4760" s="24" t="n">
        <x:v>0.03</x:v>
      </x:c>
      <x:c r="O4760" s="22" t="n">
        <x:f>L4760*M4760</x:f>
        <x:v>10530</x:v>
      </x:c>
      <x:c r="P4760" s="22" t="n">
        <x:f>O4760*(1-N4760)</x:f>
        <x:v>10214.1</x:v>
      </x:c>
      <x:c r="Q4760" s="22" t="n">
        <x:v>350</x:v>
      </x:c>
      <x:c r="R4760" s="22" t="n">
        <x:f>Q4760*M4760</x:f>
        <x:v>9450</x:v>
      </x:c>
      <x:c r="S4760" s="22" t="n">
        <x:f>P4760-R4760</x:f>
        <x:v>764.1000000000004</x:v>
      </x:c>
      <x:c r="T4760" t="str">
        <x:v>UPI</x:v>
      </x:c>
      <x:c r="U4760" t="str">
        <x:v>Paid</x:v>
      </x:c>
      <x:c r="V4760" t="str">
        <x:v>Delivered</x:v>
      </x:c>
      <x:c r="W4760" t="n">
        <x:v>0</x:v>
      </x:c>
      <x:c r="X4760" t="str"/>
      <x:c r="Y4760" t="str">
        <x:v>Existing Customer</x:v>
      </x:c>
    </x:row>
    <x:row r="4761">
      <x:c r="A4761" t="str">
        <x:v>O004760</x:v>
      </x:c>
      <x:c r="B4761" s="20" t="n">
        <x:v>45727</x:v>
      </x:c>
      <x:c r="C4761" t="str">
        <x:v>C0149</x:v>
      </x:c>
      <x:c r="D4761" t="str">
        <x:v>Annapurna Hotel 149</x:v>
      </x:c>
      <x:c r="E4761" t="str">
        <x:v>Cafe</x:v>
      </x:c>
      <x:c r="F4761" t="str">
        <x:v>Tumakuru</x:v>
      </x:c>
      <x:c r="G4761" t="str">
        <x:v>Megha</x:v>
      </x:c>
      <x:c r="H4761" t="str">
        <x:v>P022</x:v>
      </x:c>
      <x:c r="I4761" t="str">
        <x:v>Mineral Water 1L</x:v>
      </x:c>
      <x:c r="J4761" t="str">
        <x:v>Beverage</x:v>
      </x:c>
      <x:c r="K4761" t="str">
        <x:v>Bisleri</x:v>
      </x:c>
      <x:c r="L4761" s="22" t="n">
        <x:v>19</x:v>
      </x:c>
      <x:c r="M4761" t="n">
        <x:v>8</x:v>
      </x:c>
      <x:c r="N4761" s="24" t="n">
        <x:v>0</x:v>
      </x:c>
      <x:c r="O4761" s="22" t="n">
        <x:f>L4761*M4761</x:f>
        <x:v>152</x:v>
      </x:c>
      <x:c r="P4761" s="22" t="n">
        <x:f>O4761*(1-N4761)</x:f>
        <x:v>152</x:v>
      </x:c>
      <x:c r="Q4761" s="22" t="n">
        <x:v>15</x:v>
      </x:c>
      <x:c r="R4761" s="22" t="n">
        <x:f>Q4761*M4761</x:f>
        <x:v>120</x:v>
      </x:c>
      <x:c r="S4761" s="22" t="n">
        <x:f>P4761-R4761</x:f>
        <x:v>32</x:v>
      </x:c>
      <x:c r="T4761" t="str">
        <x:v>Credit</x:v>
      </x:c>
      <x:c r="U4761" t="str">
        <x:v>Paid</x:v>
      </x:c>
      <x:c r="V4761" t="str">
        <x:v>Delivered</x:v>
      </x:c>
      <x:c r="W4761" t="n">
        <x:v>0</x:v>
      </x:c>
      <x:c r="X4761" t="str"/>
      <x:c r="Y4761" t="str">
        <x:v>Existing Customer</x:v>
      </x:c>
    </x:row>
    <x:row r="4762">
      <x:c r="A4762" t="str">
        <x:v>O004761</x:v>
      </x:c>
      <x:c r="B4762" s="20" t="n">
        <x:v>45778</x:v>
      </x:c>
      <x:c r="C4762" t="str">
        <x:v>C0051</x:v>
      </x:c>
      <x:c r="D4762" t="str">
        <x:v>Cafe Hotel 51</x:v>
      </x:c>
      <x:c r="E4762" t="str">
        <x:v>Kirana</x:v>
      </x:c>
      <x:c r="F4762" t="str">
        <x:v>Tumakuru</x:v>
      </x:c>
      <x:c r="G4762" t="str">
        <x:v>Arjun</x:v>
      </x:c>
      <x:c r="H4762" t="str">
        <x:v>P032</x:v>
      </x:c>
      <x:c r="I4762" t="str">
        <x:v>Soy Sauce 700g</x:v>
      </x:c>
      <x:c r="J4762" t="str">
        <x:v>Condiments</x:v>
      </x:c>
      <x:c r="K4762" t="str">
        <x:v>Ching's</x:v>
      </x:c>
      <x:c r="L4762" s="22" t="n">
        <x:v>118</x:v>
      </x:c>
      <x:c r="M4762" t="n">
        <x:v>21</x:v>
      </x:c>
      <x:c r="N4762" s="24" t="n">
        <x:v>0.05</x:v>
      </x:c>
      <x:c r="O4762" s="22" t="n">
        <x:f>L4762*M4762</x:f>
        <x:v>2478</x:v>
      </x:c>
      <x:c r="P4762" s="22" t="n">
        <x:f>O4762*(1-N4762)</x:f>
        <x:v>2354.1</x:v>
      </x:c>
      <x:c r="Q4762" s="22" t="n">
        <x:v>101</x:v>
      </x:c>
      <x:c r="R4762" s="22" t="n">
        <x:f>Q4762*M4762</x:f>
        <x:v>2121</x:v>
      </x:c>
      <x:c r="S4762" s="22" t="n">
        <x:f>P4762-R4762</x:f>
        <x:v>233.0999999999999</x:v>
      </x:c>
      <x:c r="T4762" t="str">
        <x:v>Credit</x:v>
      </x:c>
      <x:c r="U4762" t="str">
        <x:v>Paid</x:v>
      </x:c>
      <x:c r="V4762" t="str">
        <x:v>Delivered</x:v>
      </x:c>
      <x:c r="W4762" t="n">
        <x:v>0</x:v>
      </x:c>
      <x:c r="X4762" t="str"/>
      <x:c r="Y4762" t="str">
        <x:v>Referral</x:v>
      </x:c>
    </x:row>
    <x:row r="4763">
      <x:c r="A4763" t="str">
        <x:v>O004762</x:v>
      </x:c>
      <x:c r="B4763" s="20" t="n">
        <x:v>45967</x:v>
      </x:c>
      <x:c r="C4763" t="str">
        <x:v>C0046</x:v>
      </x:c>
      <x:c r="D4763" t="str">
        <x:v>Annapurna Foods 46</x:v>
      </x:c>
      <x:c r="E4763" t="str">
        <x:v>Kirana</x:v>
      </x:c>
      <x:c r="F4763" t="str">
        <x:v>Bengaluru</x:v>
      </x:c>
      <x:c r="G4763" t="str">
        <x:v>Ramesh</x:v>
      </x:c>
      <x:c r="H4763" t="str">
        <x:v>P047</x:v>
      </x:c>
      <x:c r="I4763" t="str">
        <x:v>Tomato 25kg</x:v>
      </x:c>
      <x:c r="J4763" t="str">
        <x:v>Fresh Produce</x:v>
      </x:c>
      <x:c r="K4763" t="str">
        <x:v>Local Market</x:v>
      </x:c>
      <x:c r="L4763" s="22" t="n">
        <x:v>950</x:v>
      </x:c>
      <x:c r="M4763" t="n">
        <x:v>22</x:v>
      </x:c>
      <x:c r="N4763" s="24" t="n">
        <x:v>0.05</x:v>
      </x:c>
      <x:c r="O4763" s="22" t="n">
        <x:f>L4763*M4763</x:f>
        <x:v>20900</x:v>
      </x:c>
      <x:c r="P4763" s="22" t="n">
        <x:f>O4763*(1-N4763)</x:f>
        <x:v>19855</x:v>
      </x:c>
      <x:c r="Q4763" s="22" t="n">
        <x:v>810</x:v>
      </x:c>
      <x:c r="R4763" s="22" t="n">
        <x:f>Q4763*M4763</x:f>
        <x:v>17820</x:v>
      </x:c>
      <x:c r="S4763" s="22" t="n">
        <x:f>P4763-R4763</x:f>
        <x:v>2035</x:v>
      </x:c>
      <x:c r="T4763" t="str">
        <x:v>Cash</x:v>
      </x:c>
      <x:c r="U4763" t="str">
        <x:v>Paid</x:v>
      </x:c>
      <x:c r="V4763" t="str">
        <x:v>Cancelled</x:v>
      </x:c>
      <x:c r="W4763" t="n">
        <x:v>22</x:v>
      </x:c>
      <x:c r="X4763" t="str">
        <x:v>Cancelled Order</x:v>
      </x:c>
      <x:c r="Y4763" t="str">
        <x:v>Existing Customer</x:v>
      </x:c>
    </x:row>
    <x:row r="4764">
      <x:c r="A4764" t="str">
        <x:v>O004763</x:v>
      </x:c>
      <x:c r="B4764" s="20" t="n">
        <x:v>45945</x:v>
      </x:c>
      <x:c r="C4764" t="str">
        <x:v>C0115</x:v>
      </x:c>
      <x:c r="D4764" t="str">
        <x:v>Mysore Mart 115</x:v>
      </x:c>
      <x:c r="E4764" t="str">
        <x:v>Kirana</x:v>
      </x:c>
      <x:c r="F4764" t="str">
        <x:v>Mangaluru</x:v>
      </x:c>
      <x:c r="G4764" t="str">
        <x:v>Arjun</x:v>
      </x:c>
      <x:c r="H4764" t="str">
        <x:v>P005</x:v>
      </x:c>
      <x:c r="I4764" t="str">
        <x:v>Chana Dal 5kg</x:v>
      </x:c>
      <x:c r="J4764" t="str">
        <x:v>Pulses</x:v>
      </x:c>
      <x:c r="K4764" t="str">
        <x:v>Local Select</x:v>
      </x:c>
      <x:c r="L4764" s="22" t="n">
        <x:v>520</x:v>
      </x:c>
      <x:c r="M4764" t="n">
        <x:v>30</x:v>
      </x:c>
      <x:c r="N4764" s="24" t="n">
        <x:v>0.05</x:v>
      </x:c>
      <x:c r="O4764" s="22" t="n">
        <x:f>L4764*M4764</x:f>
        <x:v>15600</x:v>
      </x:c>
      <x:c r="P4764" s="22" t="n">
        <x:f>O4764*(1-N4764)</x:f>
        <x:v>14820</x:v>
      </x:c>
      <x:c r="Q4764" s="22" t="n">
        <x:v>455</x:v>
      </x:c>
      <x:c r="R4764" s="22" t="n">
        <x:f>Q4764*M4764</x:f>
        <x:v>13650</x:v>
      </x:c>
      <x:c r="S4764" s="22" t="n">
        <x:f>P4764-R4764</x:f>
        <x:v>1170</x:v>
      </x:c>
      <x:c r="T4764" t="str">
        <x:v>Credit</x:v>
      </x:c>
      <x:c r="U4764" t="str">
        <x:v>Paid</x:v>
      </x:c>
      <x:c r="V4764" t="str">
        <x:v>Delivered</x:v>
      </x:c>
      <x:c r="W4764" t="n">
        <x:v>0</x:v>
      </x:c>
      <x:c r="X4764" t="str"/>
      <x:c r="Y4764" t="str">
        <x:v>Outbound Call</x:v>
      </x:c>
    </x:row>
    <x:row r="4765">
      <x:c r="A4765" t="str">
        <x:v>O004764</x:v>
      </x:c>
      <x:c r="B4765" s="20" t="n">
        <x:v>45725</x:v>
      </x:c>
      <x:c r="C4765" t="str">
        <x:v>C0178</x:v>
      </x:c>
      <x:c r="D4765" t="str">
        <x:v>Annapurna Foods 178</x:v>
      </x:c>
      <x:c r="E4765" t="str">
        <x:v>Canteen</x:v>
      </x:c>
      <x:c r="F4765" t="str">
        <x:v>Tumakuru</x:v>
      </x:c>
      <x:c r="G4765" t="str">
        <x:v>Imran</x:v>
      </x:c>
      <x:c r="H4765" t="str">
        <x:v>P030</x:v>
      </x:c>
      <x:c r="I4765" t="str">
        <x:v>Mayonnaise 1kg</x:v>
      </x:c>
      <x:c r="J4765" t="str">
        <x:v>Condiments</x:v>
      </x:c>
      <x:c r="K4765" t="str">
        <x:v>Veeba</x:v>
      </x:c>
      <x:c r="L4765" s="22" t="n">
        <x:v>210</x:v>
      </x:c>
      <x:c r="M4765" t="n">
        <x:v>5</x:v>
      </x:c>
      <x:c r="N4765" s="24" t="n">
        <x:v>0.08</x:v>
      </x:c>
      <x:c r="O4765" s="22" t="n">
        <x:f>L4765*M4765</x:f>
        <x:v>1050</x:v>
      </x:c>
      <x:c r="P4765" s="22" t="n">
        <x:f>O4765*(1-N4765)</x:f>
        <x:v>966</x:v>
      </x:c>
      <x:c r="Q4765" s="22" t="n">
        <x:v>185</x:v>
      </x:c>
      <x:c r="R4765" s="22" t="n">
        <x:f>Q4765*M4765</x:f>
        <x:v>925</x:v>
      </x:c>
      <x:c r="S4765" s="22" t="n">
        <x:f>P4765-R4765</x:f>
        <x:v>41</x:v>
      </x:c>
      <x:c r="T4765" t="str">
        <x:v>Credit</x:v>
      </x:c>
      <x:c r="U4765" t="str">
        <x:v>Paid</x:v>
      </x:c>
      <x:c r="V4765" t="str">
        <x:v>Cancelled</x:v>
      </x:c>
      <x:c r="W4765" t="n">
        <x:v>5</x:v>
      </x:c>
      <x:c r="X4765" t="str">
        <x:v>Cancelled Order</x:v>
      </x:c>
      <x:c r="Y4765" t="str">
        <x:v>Field Visit</x:v>
      </x:c>
    </x:row>
    <x:row r="4766">
      <x:c r="A4766" t="str">
        <x:v>O004765</x:v>
      </x:c>
      <x:c r="B4766" s="20" t="n">
        <x:v>46157</x:v>
      </x:c>
      <x:c r="C4766" t="str">
        <x:v>C0016</x:v>
      </x:c>
      <x:c r="D4766" t="str">
        <x:v>Royal Canteen 16</x:v>
      </x:c>
      <x:c r="E4766" t="str">
        <x:v>Cafe</x:v>
      </x:c>
      <x:c r="F4766" t="str">
        <x:v>Davanagere</x:v>
      </x:c>
      <x:c r="G4766" t="str">
        <x:v>Megha</x:v>
      </x:c>
      <x:c r="H4766" t="str">
        <x:v>P010</x:v>
      </x:c>
      <x:c r="I4766" t="str">
        <x:v>Sugar 25kg</x:v>
      </x:c>
      <x:c r="J4766" t="str">
        <x:v>Staples</x:v>
      </x:c>
      <x:c r="K4766" t="str">
        <x:v>Madhur</x:v>
      </x:c>
      <x:c r="L4766" s="22" t="n">
        <x:v>1190</x:v>
      </x:c>
      <x:c r="M4766" t="n">
        <x:v>9</x:v>
      </x:c>
      <x:c r="N4766" s="24" t="n">
        <x:v>0.05</x:v>
      </x:c>
      <x:c r="O4766" s="22" t="n">
        <x:f>L4766*M4766</x:f>
        <x:v>10710</x:v>
      </x:c>
      <x:c r="P4766" s="22" t="n">
        <x:f>O4766*(1-N4766)</x:f>
        <x:v>10174.5</x:v>
      </x:c>
      <x:c r="Q4766" s="22" t="n">
        <x:v>1080</x:v>
      </x:c>
      <x:c r="R4766" s="22" t="n">
        <x:f>Q4766*M4766</x:f>
        <x:v>9720</x:v>
      </x:c>
      <x:c r="S4766" s="22" t="n">
        <x:f>P4766-R4766</x:f>
        <x:v>454.5</x:v>
      </x:c>
      <x:c r="T4766" t="str">
        <x:v>Bank Transfer</x:v>
      </x:c>
      <x:c r="U4766" t="str">
        <x:v>Paid</x:v>
      </x:c>
      <x:c r="V4766" t="str">
        <x:v>Delivered</x:v>
      </x:c>
      <x:c r="W4766" t="n">
        <x:v>0</x:v>
      </x:c>
      <x:c r="X4766" t="str"/>
      <x:c r="Y4766" t="str">
        <x:v>Referral</x:v>
      </x:c>
    </x:row>
    <x:row r="4767">
      <x:c r="A4767" t="str">
        <x:v>O004766</x:v>
      </x:c>
      <x:c r="B4767" s="20" t="n">
        <x:v>45951</x:v>
      </x:c>
      <x:c r="C4767" t="str">
        <x:v>C0110</x:v>
      </x:c>
      <x:c r="D4767" t="str">
        <x:v>Metro Restaurant 110</x:v>
      </x:c>
      <x:c r="E4767" t="str">
        <x:v>Hotel</x:v>
      </x:c>
      <x:c r="F4767" t="str">
        <x:v>Mysuru</x:v>
      </x:c>
      <x:c r="G4767" t="str">
        <x:v>Imran</x:v>
      </x:c>
      <x:c r="H4767" t="str">
        <x:v>P004</x:v>
      </x:c>
      <x:c r="I4767" t="str">
        <x:v>Toor Dal 5kg</x:v>
      </x:c>
      <x:c r="J4767" t="str">
        <x:v>Pulses</x:v>
      </x:c>
      <x:c r="K4767" t="str">
        <x:v>Tata Sampann</x:v>
      </x:c>
      <x:c r="L4767" s="22" t="n">
        <x:v>780</x:v>
      </x:c>
      <x:c r="M4767" t="n">
        <x:v>20</x:v>
      </x:c>
      <x:c r="N4767" s="24" t="n">
        <x:v>0.03</x:v>
      </x:c>
      <x:c r="O4767" s="22" t="n">
        <x:f>L4767*M4767</x:f>
        <x:v>15600</x:v>
      </x:c>
      <x:c r="P4767" s="22" t="n">
        <x:f>O4767*(1-N4767)</x:f>
        <x:v>15132</x:v>
      </x:c>
      <x:c r="Q4767" s="22" t="n">
        <x:v>695</x:v>
      </x:c>
      <x:c r="R4767" s="22" t="n">
        <x:f>Q4767*M4767</x:f>
        <x:v>13900</x:v>
      </x:c>
      <x:c r="S4767" s="22" t="n">
        <x:f>P4767-R4767</x:f>
        <x:v>1232</x:v>
      </x:c>
      <x:c r="T4767" t="str">
        <x:v>Credit</x:v>
      </x:c>
      <x:c r="U4767" t="str">
        <x:v>Pending</x:v>
      </x:c>
      <x:c r="V4767" t="str">
        <x:v>Cancelled</x:v>
      </x:c>
      <x:c r="W4767" t="n">
        <x:v>20</x:v>
      </x:c>
      <x:c r="X4767" t="str">
        <x:v>Cancelled Order</x:v>
      </x:c>
      <x:c r="Y4767" t="str">
        <x:v>WhatsApp</x:v>
      </x:c>
    </x:row>
    <x:row r="4768">
      <x:c r="A4768" t="str">
        <x:v>O004767</x:v>
      </x:c>
      <x:c r="B4768" s="20" t="n">
        <x:v>45735</x:v>
      </x:c>
      <x:c r="C4768" t="str">
        <x:v>C0138</x:v>
      </x:c>
      <x:c r="D4768" t="str">
        <x:v>New Mart 138</x:v>
      </x:c>
      <x:c r="E4768" t="str">
        <x:v>Restaurant</x:v>
      </x:c>
      <x:c r="F4768" t="str">
        <x:v>Bengaluru</x:v>
      </x:c>
      <x:c r="G4768" t="str">
        <x:v>Ramesh</x:v>
      </x:c>
      <x:c r="H4768" t="str">
        <x:v>P034</x:v>
      </x:c>
      <x:c r="I4768" t="str">
        <x:v>Chilli Powder 1kg</x:v>
      </x:c>
      <x:c r="J4768" t="str">
        <x:v>Spices</x:v>
      </x:c>
      <x:c r="K4768" t="str">
        <x:v>MDH</x:v>
      </x:c>
      <x:c r="L4768" s="22" t="n">
        <x:v>340</x:v>
      </x:c>
      <x:c r="M4768" t="n">
        <x:v>27</x:v>
      </x:c>
      <x:c r="N4768" s="24" t="n">
        <x:v>0</x:v>
      </x:c>
      <x:c r="O4768" s="22" t="n">
        <x:f>L4768*M4768</x:f>
        <x:v>9180</x:v>
      </x:c>
      <x:c r="P4768" s="22" t="n">
        <x:f>O4768*(1-N4768)</x:f>
        <x:v>9180</x:v>
      </x:c>
      <x:c r="Q4768" s="22" t="n">
        <x:v>295</x:v>
      </x:c>
      <x:c r="R4768" s="22" t="n">
        <x:f>Q4768*M4768</x:f>
        <x:v>7965</x:v>
      </x:c>
      <x:c r="S4768" s="22" t="n">
        <x:f>P4768-R4768</x:f>
        <x:v>1215</x:v>
      </x:c>
      <x:c r="T4768" t="str">
        <x:v>Bank Transfer</x:v>
      </x:c>
      <x:c r="U4768" t="str">
        <x:v>Pending</x:v>
      </x:c>
      <x:c r="V4768" t="str">
        <x:v>Cancelled</x:v>
      </x:c>
      <x:c r="W4768" t="n">
        <x:v>27</x:v>
      </x:c>
      <x:c r="X4768" t="str">
        <x:v>Cancelled Order</x:v>
      </x:c>
      <x:c r="Y4768" t="str">
        <x:v>WhatsApp</x:v>
      </x:c>
    </x:row>
    <x:row r="4769">
      <x:c r="A4769" t="str">
        <x:v>O004768</x:v>
      </x:c>
      <x:c r="B4769" s="20" t="n">
        <x:v>46132</x:v>
      </x:c>
      <x:c r="C4769" t="str">
        <x:v>C0076</x:v>
      </x:c>
      <x:c r="D4769" t="str">
        <x:v>Sri Canteen 76</x:v>
      </x:c>
      <x:c r="E4769" t="str">
        <x:v>Canteen</x:v>
      </x:c>
      <x:c r="F4769" t="str">
        <x:v>Tumakuru</x:v>
      </x:c>
      <x:c r="G4769" t="str">
        <x:v>Priya</x:v>
      </x:c>
      <x:c r="H4769" t="str">
        <x:v>P029</x:v>
      </x:c>
      <x:c r="I4769" t="str">
        <x:v>Tomato Ketchup 1kg</x:v>
      </x:c>
      <x:c r="J4769" t="str">
        <x:v>Condiments</x:v>
      </x:c>
      <x:c r="K4769" t="str">
        <x:v>Kissan</x:v>
      </x:c>
      <x:c r="L4769" s="22" t="n">
        <x:v>145</x:v>
      </x:c>
      <x:c r="M4769" t="n">
        <x:v>19</x:v>
      </x:c>
      <x:c r="N4769" s="24" t="n">
        <x:v>0.03</x:v>
      </x:c>
      <x:c r="O4769" s="22" t="n">
        <x:f>L4769*M4769</x:f>
        <x:v>2755</x:v>
      </x:c>
      <x:c r="P4769" s="22" t="n">
        <x:f>O4769*(1-N4769)</x:f>
        <x:v>2672.35</x:v>
      </x:c>
      <x:c r="Q4769" s="22" t="n">
        <x:v>126</x:v>
      </x:c>
      <x:c r="R4769" s="22" t="n">
        <x:f>Q4769*M4769</x:f>
        <x:v>2394</x:v>
      </x:c>
      <x:c r="S4769" s="22" t="n">
        <x:f>P4769-R4769</x:f>
        <x:v>278.3499999999999</x:v>
      </x:c>
      <x:c r="T4769" t="str">
        <x:v>Credit</x:v>
      </x:c>
      <x:c r="U4769" t="str">
        <x:v>Overdue</x:v>
      </x:c>
      <x:c r="V4769" t="str">
        <x:v>Cancelled</x:v>
      </x:c>
      <x:c r="W4769" t="n">
        <x:v>19</x:v>
      </x:c>
      <x:c r="X4769" t="str">
        <x:v>Cancelled Order</x:v>
      </x:c>
      <x:c r="Y4769" t="str">
        <x:v>Field Visit</x:v>
      </x:c>
    </x:row>
    <x:row r="4770">
      <x:c r="A4770" t="str">
        <x:v>O004769</x:v>
      </x:c>
      <x:c r="B4770" s="20" t="n">
        <x:v>45898</x:v>
      </x:c>
      <x:c r="C4770" t="str">
        <x:v>C0033</x:v>
      </x:c>
      <x:c r="D4770" t="str">
        <x:v>Shree Canteen 33</x:v>
      </x:c>
      <x:c r="E4770" t="str">
        <x:v>Canteen</x:v>
      </x:c>
      <x:c r="F4770" t="str">
        <x:v>Mangaluru</x:v>
      </x:c>
      <x:c r="G4770" t="str">
        <x:v>Imran</x:v>
      </x:c>
      <x:c r="H4770" t="str">
        <x:v>P030</x:v>
      </x:c>
      <x:c r="I4770" t="str">
        <x:v>Mayonnaise 1kg</x:v>
      </x:c>
      <x:c r="J4770" t="str">
        <x:v>Condiments</x:v>
      </x:c>
      <x:c r="K4770" t="str">
        <x:v>Veeba</x:v>
      </x:c>
      <x:c r="L4770" s="22" t="n">
        <x:v>210</x:v>
      </x:c>
      <x:c r="M4770" t="n">
        <x:v>16</x:v>
      </x:c>
      <x:c r="N4770" s="24" t="n">
        <x:v>0.05</x:v>
      </x:c>
      <x:c r="O4770" s="22" t="n">
        <x:f>L4770*M4770</x:f>
        <x:v>3360</x:v>
      </x:c>
      <x:c r="P4770" s="22" t="n">
        <x:f>O4770*(1-N4770)</x:f>
        <x:v>3192</x:v>
      </x:c>
      <x:c r="Q4770" s="22" t="n">
        <x:v>185</x:v>
      </x:c>
      <x:c r="R4770" s="22" t="n">
        <x:f>Q4770*M4770</x:f>
        <x:v>2960</x:v>
      </x:c>
      <x:c r="S4770" s="22" t="n">
        <x:f>P4770-R4770</x:f>
        <x:v>232</x:v>
      </x:c>
      <x:c r="T4770" t="str">
        <x:v>UPI</x:v>
      </x:c>
      <x:c r="U4770" t="str">
        <x:v>Paid</x:v>
      </x:c>
      <x:c r="V4770" t="str">
        <x:v>Delayed</x:v>
      </x:c>
      <x:c r="W4770" t="n">
        <x:v>0</x:v>
      </x:c>
      <x:c r="X4770" t="str"/>
      <x:c r="Y4770" t="str">
        <x:v>Outbound Call</x:v>
      </x:c>
    </x:row>
    <x:row r="4771">
      <x:c r="A4771" t="str">
        <x:v>O004770</x:v>
      </x:c>
      <x:c r="B4771" s="20" t="n">
        <x:v>45949</x:v>
      </x:c>
      <x:c r="C4771" t="str">
        <x:v>C0127</x:v>
      </x:c>
      <x:c r="D4771" t="str">
        <x:v>Grand Mart 127</x:v>
      </x:c>
      <x:c r="E4771" t="str">
        <x:v>Canteen</x:v>
      </x:c>
      <x:c r="F4771" t="str">
        <x:v>Hubballi</x:v>
      </x:c>
      <x:c r="G4771" t="str">
        <x:v>Imran</x:v>
      </x:c>
      <x:c r="H4771" t="str">
        <x:v>P021</x:v>
      </x:c>
      <x:c r="I4771" t="str">
        <x:v>Instant Coffee 200g</x:v>
      </x:c>
      <x:c r="J4771" t="str">
        <x:v>Beverage</x:v>
      </x:c>
      <x:c r="K4771" t="str">
        <x:v>Nescafe</x:v>
      </x:c>
      <x:c r="L4771" s="22" t="n">
        <x:v>460</x:v>
      </x:c>
      <x:c r="M4771" t="n">
        <x:v>8</x:v>
      </x:c>
      <x:c r="N4771" s="24" t="n">
        <x:v>0.05</x:v>
      </x:c>
      <x:c r="O4771" s="22" t="n">
        <x:f>L4771*M4771</x:f>
        <x:v>3680</x:v>
      </x:c>
      <x:c r="P4771" s="22" t="n">
        <x:f>O4771*(1-N4771)</x:f>
        <x:v>3496</x:v>
      </x:c>
      <x:c r="Q4771" s="22" t="n">
        <x:v>410</x:v>
      </x:c>
      <x:c r="R4771" s="22" t="n">
        <x:f>Q4771*M4771</x:f>
        <x:v>3280</x:v>
      </x:c>
      <x:c r="S4771" s="22" t="n">
        <x:f>P4771-R4771</x:f>
        <x:v>216</x:v>
      </x:c>
      <x:c r="T4771" t="str">
        <x:v>Cash</x:v>
      </x:c>
      <x:c r="U4771" t="str">
        <x:v>Paid</x:v>
      </x:c>
      <x:c r="V4771" t="str">
        <x:v>Cancelled</x:v>
      </x:c>
      <x:c r="W4771" t="n">
        <x:v>8</x:v>
      </x:c>
      <x:c r="X4771" t="str">
        <x:v>Cancelled Order</x:v>
      </x:c>
      <x:c r="Y4771" t="str">
        <x:v>Field Visit</x:v>
      </x:c>
    </x:row>
    <x:row r="4772">
      <x:c r="A4772" t="str">
        <x:v>O004771</x:v>
      </x:c>
      <x:c r="B4772" s="20" t="n">
        <x:v>46125</x:v>
      </x:c>
      <x:c r="C4772" t="str">
        <x:v>C0113</x:v>
      </x:c>
      <x:c r="D4772" t="str">
        <x:v>Namma Mart 113</x:v>
      </x:c>
      <x:c r="E4772" t="str">
        <x:v>Restaurant</x:v>
      </x:c>
      <x:c r="F4772" t="str">
        <x:v>Bengaluru</x:v>
      </x:c>
      <x:c r="G4772" t="str">
        <x:v>Imran</x:v>
      </x:c>
      <x:c r="H4772" t="str">
        <x:v>P039</x:v>
      </x:c>
      <x:c r="I4772" t="str">
        <x:v>Ice Cream 4L</x:v>
      </x:c>
      <x:c r="J4772" t="str">
        <x:v>Frozen</x:v>
      </x:c>
      <x:c r="K4772" t="str">
        <x:v>Amul</x:v>
      </x:c>
      <x:c r="L4772" s="22" t="n">
        <x:v>480</x:v>
      </x:c>
      <x:c r="M4772" t="n">
        <x:v>2</x:v>
      </x:c>
      <x:c r="N4772" s="24" t="n">
        <x:v>0.05</x:v>
      </x:c>
      <x:c r="O4772" s="22" t="n">
        <x:f>L4772*M4772</x:f>
        <x:v>960</x:v>
      </x:c>
      <x:c r="P4772" s="22" t="n">
        <x:f>O4772*(1-N4772)</x:f>
        <x:v>912</x:v>
      </x:c>
      <x:c r="Q4772" s="22" t="n">
        <x:v>420</x:v>
      </x:c>
      <x:c r="R4772" s="22" t="n">
        <x:f>Q4772*M4772</x:f>
        <x:v>840</x:v>
      </x:c>
      <x:c r="S4772" s="22" t="n">
        <x:f>P4772-R4772</x:f>
        <x:v>72</x:v>
      </x:c>
      <x:c r="T4772" t="str">
        <x:v>UPI</x:v>
      </x:c>
      <x:c r="U4772" t="str">
        <x:v>Paid</x:v>
      </x:c>
      <x:c r="V4772" t="str">
        <x:v>Delivered</x:v>
      </x:c>
      <x:c r="W4772" t="n">
        <x:v>0</x:v>
      </x:c>
      <x:c r="X4772" t="str"/>
      <x:c r="Y4772" t="str">
        <x:v>Field Visit</x:v>
      </x:c>
    </x:row>
    <x:row r="4773">
      <x:c r="A4773" t="str">
        <x:v>O004772</x:v>
      </x:c>
      <x:c r="B4773" s="20" t="n">
        <x:v>45873</x:v>
      </x:c>
      <x:c r="C4773" t="str">
        <x:v>C0096</x:v>
      </x:c>
      <x:c r="D4773" t="str">
        <x:v>Metro Foods 96</x:v>
      </x:c>
      <x:c r="E4773" t="str">
        <x:v>Kirana</x:v>
      </x:c>
      <x:c r="F4773" t="str">
        <x:v>Davanagere</x:v>
      </x:c>
      <x:c r="G4773" t="str">
        <x:v>Vikram</x:v>
      </x:c>
      <x:c r="H4773" t="str">
        <x:v>P022</x:v>
      </x:c>
      <x:c r="I4773" t="str">
        <x:v>Mineral Water 1L</x:v>
      </x:c>
      <x:c r="J4773" t="str">
        <x:v>Beverage</x:v>
      </x:c>
      <x:c r="K4773" t="str">
        <x:v>Bisleri</x:v>
      </x:c>
      <x:c r="L4773" s="22" t="n">
        <x:v>19</x:v>
      </x:c>
      <x:c r="M4773" t="n">
        <x:v>2</x:v>
      </x:c>
      <x:c r="N4773" s="24" t="n">
        <x:v>0.1</x:v>
      </x:c>
      <x:c r="O4773" s="22" t="n">
        <x:f>L4773*M4773</x:f>
        <x:v>38</x:v>
      </x:c>
      <x:c r="P4773" s="22" t="n">
        <x:f>O4773*(1-N4773)</x:f>
        <x:v>34.2</x:v>
      </x:c>
      <x:c r="Q4773" s="22" t="n">
        <x:v>15</x:v>
      </x:c>
      <x:c r="R4773" s="22" t="n">
        <x:f>Q4773*M4773</x:f>
        <x:v>30</x:v>
      </x:c>
      <x:c r="S4773" s="22" t="n">
        <x:f>P4773-R4773</x:f>
        <x:v>4.200000000000003</x:v>
      </x:c>
      <x:c r="T4773" t="str">
        <x:v>UPI</x:v>
      </x:c>
      <x:c r="U4773" t="str">
        <x:v>Paid</x:v>
      </x:c>
      <x:c r="V4773" t="str">
        <x:v>Delivered</x:v>
      </x:c>
      <x:c r="W4773" t="n">
        <x:v>0</x:v>
      </x:c>
      <x:c r="X4773" t="str"/>
      <x:c r="Y4773" t="str">
        <x:v>Field Visit</x:v>
      </x:c>
    </x:row>
    <x:row r="4774">
      <x:c r="A4774" t="str">
        <x:v>O004773</x:v>
      </x:c>
      <x:c r="B4774" s="20" t="n">
        <x:v>46017</x:v>
      </x:c>
      <x:c r="C4774" t="str">
        <x:v>C0121</x:v>
      </x:c>
      <x:c r="D4774" t="str">
        <x:v>Mysore Restaurant 121</x:v>
      </x:c>
      <x:c r="E4774" t="str">
        <x:v>Cafe</x:v>
      </x:c>
      <x:c r="F4774" t="str">
        <x:v>Mysuru</x:v>
      </x:c>
      <x:c r="G4774" t="str">
        <x:v>Sneha</x:v>
      </x:c>
      <x:c r="H4774" t="str">
        <x:v>P012</x:v>
      </x:c>
      <x:c r="I4774" t="str">
        <x:v>Maida 10kg</x:v>
      </x:c>
      <x:c r="J4774" t="str">
        <x:v>Flour</x:v>
      </x:c>
      <x:c r="K4774" t="str">
        <x:v>Aashirvaad</x:v>
      </x:c>
      <x:c r="L4774" s="22" t="n">
        <x:v>520</x:v>
      </x:c>
      <x:c r="M4774" t="n">
        <x:v>38</x:v>
      </x:c>
      <x:c r="N4774" s="24" t="n">
        <x:v>0</x:v>
      </x:c>
      <x:c r="O4774" s="22" t="n">
        <x:f>L4774*M4774</x:f>
        <x:v>19760</x:v>
      </x:c>
      <x:c r="P4774" s="22" t="n">
        <x:f>O4774*(1-N4774)</x:f>
        <x:v>19760</x:v>
      </x:c>
      <x:c r="Q4774" s="22" t="n">
        <x:v>460</x:v>
      </x:c>
      <x:c r="R4774" s="22" t="n">
        <x:f>Q4774*M4774</x:f>
        <x:v>17480</x:v>
      </x:c>
      <x:c r="S4774" s="22" t="n">
        <x:f>P4774-R4774</x:f>
        <x:v>2280</x:v>
      </x:c>
      <x:c r="T4774" t="str">
        <x:v>Bank Transfer</x:v>
      </x:c>
      <x:c r="U4774" t="str">
        <x:v>Paid</x:v>
      </x:c>
      <x:c r="V4774" t="str">
        <x:v>Delayed</x:v>
      </x:c>
      <x:c r="W4774" t="n">
        <x:v>0</x:v>
      </x:c>
      <x:c r="X4774" t="str"/>
      <x:c r="Y4774" t="str">
        <x:v>Field Visit</x:v>
      </x:c>
    </x:row>
    <x:row r="4775">
      <x:c r="A4775" t="str">
        <x:v>O004774</x:v>
      </x:c>
      <x:c r="B4775" s="20" t="n">
        <x:v>45922</x:v>
      </x:c>
      <x:c r="C4775" t="str">
        <x:v>C0177</x:v>
      </x:c>
      <x:c r="D4775" t="str">
        <x:v>Classic Cafe 177</x:v>
      </x:c>
      <x:c r="E4775" t="str">
        <x:v>Supermarket</x:v>
      </x:c>
      <x:c r="F4775" t="str">
        <x:v>Bengaluru</x:v>
      </x:c>
      <x:c r="G4775" t="str">
        <x:v>Arjun</x:v>
      </x:c>
      <x:c r="H4775" t="str">
        <x:v>P009</x:v>
      </x:c>
      <x:c r="I4775" t="str">
        <x:v>Groundnut Oil 5L</x:v>
      </x:c>
      <x:c r="J4775" t="str">
        <x:v>Edible Oil</x:v>
      </x:c>
      <x:c r="K4775" t="str">
        <x:v>Dhara</x:v>
      </x:c>
      <x:c r="L4775" s="22" t="n">
        <x:v>890</x:v>
      </x:c>
      <x:c r="M4775" t="n">
        <x:v>4</x:v>
      </x:c>
      <x:c r="N4775" s="24" t="n">
        <x:v>0.02</x:v>
      </x:c>
      <x:c r="O4775" s="22" t="n">
        <x:f>L4775*M4775</x:f>
        <x:v>3560</x:v>
      </x:c>
      <x:c r="P4775" s="22" t="n">
        <x:f>O4775*(1-N4775)</x:f>
        <x:v>3488.7999999999997</x:v>
      </x:c>
      <x:c r="Q4775" s="22" t="n">
        <x:v>810</x:v>
      </x:c>
      <x:c r="R4775" s="22" t="n">
        <x:f>Q4775*M4775</x:f>
        <x:v>3240</x:v>
      </x:c>
      <x:c r="S4775" s="22" t="n">
        <x:f>P4775-R4775</x:f>
        <x:v>248.79999999999973</x:v>
      </x:c>
      <x:c r="T4775" t="str">
        <x:v>Cash</x:v>
      </x:c>
      <x:c r="U4775" t="str">
        <x:v>Pending</x:v>
      </x:c>
      <x:c r="V4775" t="str">
        <x:v>Cancelled</x:v>
      </x:c>
      <x:c r="W4775" t="n">
        <x:v>4</x:v>
      </x:c>
      <x:c r="X4775" t="str">
        <x:v>Cancelled Order</x:v>
      </x:c>
      <x:c r="Y4775" t="str">
        <x:v>Referral</x:v>
      </x:c>
    </x:row>
    <x:row r="4776">
      <x:c r="A4776" t="str">
        <x:v>O004775</x:v>
      </x:c>
      <x:c r="B4776" s="20" t="n">
        <x:v>46168</x:v>
      </x:c>
      <x:c r="C4776" t="str">
        <x:v>C0215</x:v>
      </x:c>
      <x:c r="D4776" t="str">
        <x:v>Annapurna Restaurant 215</x:v>
      </x:c>
      <x:c r="E4776" t="str">
        <x:v>Supermarket</x:v>
      </x:c>
      <x:c r="F4776" t="str">
        <x:v>Bengaluru</x:v>
      </x:c>
      <x:c r="G4776" t="str">
        <x:v>Vikram</x:v>
      </x:c>
      <x:c r="H4776" t="str">
        <x:v>P007</x:v>
      </x:c>
      <x:c r="I4776" t="str">
        <x:v>Sunflower Oil 15L</x:v>
      </x:c>
      <x:c r="J4776" t="str">
        <x:v>Edible Oil</x:v>
      </x:c>
      <x:c r="K4776" t="str">
        <x:v>Fortune</x:v>
      </x:c>
      <x:c r="L4776" s="22" t="n">
        <x:v>1980</x:v>
      </x:c>
      <x:c r="M4776" t="n">
        <x:v>5</x:v>
      </x:c>
      <x:c r="N4776" s="24" t="n">
        <x:v>0.05</x:v>
      </x:c>
      <x:c r="O4776" s="22" t="n">
        <x:f>L4776*M4776</x:f>
        <x:v>9900</x:v>
      </x:c>
      <x:c r="P4776" s="22" t="n">
        <x:f>O4776*(1-N4776)</x:f>
        <x:v>9405</x:v>
      </x:c>
      <x:c r="Q4776" s="22" t="n">
        <x:v>1810</x:v>
      </x:c>
      <x:c r="R4776" s="22" t="n">
        <x:f>Q4776*M4776</x:f>
        <x:v>9050</x:v>
      </x:c>
      <x:c r="S4776" s="22" t="n">
        <x:f>P4776-R4776</x:f>
        <x:v>355</x:v>
      </x:c>
      <x:c r="T4776" t="str">
        <x:v>Cash</x:v>
      </x:c>
      <x:c r="U4776" t="str">
        <x:v>Paid</x:v>
      </x:c>
      <x:c r="V4776" t="str">
        <x:v>Delivered</x:v>
      </x:c>
      <x:c r="W4776" t="n">
        <x:v>0</x:v>
      </x:c>
      <x:c r="X4776" t="str"/>
      <x:c r="Y4776" t="str">
        <x:v>WhatsApp</x:v>
      </x:c>
    </x:row>
    <x:row r="4777">
      <x:c r="A4777" t="str">
        <x:v>O004776</x:v>
      </x:c>
      <x:c r="B4777" s="20" t="n">
        <x:v>45934</x:v>
      </x:c>
      <x:c r="C4777" t="str">
        <x:v>C0040</x:v>
      </x:c>
      <x:c r="D4777" t="str">
        <x:v>Royal Foods 40</x:v>
      </x:c>
      <x:c r="E4777" t="str">
        <x:v>Restaurant</x:v>
      </x:c>
      <x:c r="F4777" t="str">
        <x:v>Mangaluru</x:v>
      </x:c>
      <x:c r="G4777" t="str">
        <x:v>Kavya</x:v>
      </x:c>
      <x:c r="H4777" t="str">
        <x:v>P049</x:v>
      </x:c>
      <x:c r="I4777" t="str">
        <x:v>Apple 10kg</x:v>
      </x:c>
      <x:c r="J4777" t="str">
        <x:v>Fresh Produce</x:v>
      </x:c>
      <x:c r="K4777" t="str">
        <x:v>Local Market</x:v>
      </x:c>
      <x:c r="L4777" s="22" t="n">
        <x:v>1450</x:v>
      </x:c>
      <x:c r="M4777" t="n">
        <x:v>8</x:v>
      </x:c>
      <x:c r="N4777" s="24" t="n">
        <x:v>0.02</x:v>
      </x:c>
      <x:c r="O4777" s="22" t="n">
        <x:f>L4777*M4777</x:f>
        <x:v>11600</x:v>
      </x:c>
      <x:c r="P4777" s="22" t="n">
        <x:f>O4777*(1-N4777)</x:f>
        <x:v>11368</x:v>
      </x:c>
      <x:c r="Q4777" s="22" t="n">
        <x:v>1280</x:v>
      </x:c>
      <x:c r="R4777" s="22" t="n">
        <x:f>Q4777*M4777</x:f>
        <x:v>10240</x:v>
      </x:c>
      <x:c r="S4777" s="22" t="n">
        <x:f>P4777-R4777</x:f>
        <x:v>1128</x:v>
      </x:c>
      <x:c r="T4777" t="str">
        <x:v>Bank Transfer</x:v>
      </x:c>
      <x:c r="U4777" t="str">
        <x:v>Pending</x:v>
      </x:c>
      <x:c r="V4777" t="str">
        <x:v>Delivered</x:v>
      </x:c>
      <x:c r="W4777" t="n">
        <x:v>0</x:v>
      </x:c>
      <x:c r="X4777" t="str"/>
      <x:c r="Y4777" t="str">
        <x:v>Outbound Call</x:v>
      </x:c>
    </x:row>
    <x:row r="4778">
      <x:c r="A4778" t="str">
        <x:v>O004777</x:v>
      </x:c>
      <x:c r="B4778" s="20" t="n">
        <x:v>45957</x:v>
      </x:c>
      <x:c r="C4778" t="str">
        <x:v>C0001</x:v>
      </x:c>
      <x:c r="D4778" t="str">
        <x:v>Annapurna Cafe 1</x:v>
      </x:c>
      <x:c r="E4778" t="str">
        <x:v>Hotel</x:v>
      </x:c>
      <x:c r="F4778" t="str">
        <x:v>Davanagere</x:v>
      </x:c>
      <x:c r="G4778" t="str">
        <x:v>Kavya</x:v>
      </x:c>
      <x:c r="H4778" t="str">
        <x:v>P027</x:v>
      </x:c>
      <x:c r="I4778" t="str">
        <x:v>Biscuits 120g</x:v>
      </x:c>
      <x:c r="J4778" t="str">
        <x:v>Snacks</x:v>
      </x:c>
      <x:c r="K4778" t="str">
        <x:v>Parle-G</x:v>
      </x:c>
      <x:c r="L4778" s="22" t="n">
        <x:v>12</x:v>
      </x:c>
      <x:c r="M4778" t="n">
        <x:v>37</x:v>
      </x:c>
      <x:c r="N4778" s="24" t="n">
        <x:v>0.03</x:v>
      </x:c>
      <x:c r="O4778" s="22" t="n">
        <x:f>L4778*M4778</x:f>
        <x:v>444</x:v>
      </x:c>
      <x:c r="P4778" s="22" t="n">
        <x:f>O4778*(1-N4778)</x:f>
        <x:v>430.68</x:v>
      </x:c>
      <x:c r="Q4778" s="22" t="n">
        <x:v>9</x:v>
      </x:c>
      <x:c r="R4778" s="22" t="n">
        <x:f>Q4778*M4778</x:f>
        <x:v>333</x:v>
      </x:c>
      <x:c r="S4778" s="22" t="n">
        <x:f>P4778-R4778</x:f>
        <x:v>97.68</x:v>
      </x:c>
      <x:c r="T4778" t="str">
        <x:v>Credit</x:v>
      </x:c>
      <x:c r="U4778" t="str">
        <x:v>Paid</x:v>
      </x:c>
      <x:c r="V4778" t="str">
        <x:v>Delivered</x:v>
      </x:c>
      <x:c r="W4778" t="n">
        <x:v>0</x:v>
      </x:c>
      <x:c r="X4778" t="str"/>
      <x:c r="Y4778" t="str">
        <x:v>Outbound Call</x:v>
      </x:c>
    </x:row>
    <x:row r="4779">
      <x:c r="A4779" t="str">
        <x:v>O004778</x:v>
      </x:c>
      <x:c r="B4779" s="20" t="n">
        <x:v>45767</x:v>
      </x:c>
      <x:c r="C4779" t="str">
        <x:v>C0225</x:v>
      </x:c>
      <x:c r="D4779" t="str">
        <x:v>Darshini Mart 225</x:v>
      </x:c>
      <x:c r="E4779" t="str">
        <x:v>Restaurant</x:v>
      </x:c>
      <x:c r="F4779" t="str">
        <x:v>Davanagere</x:v>
      </x:c>
      <x:c r="G4779" t="str">
        <x:v>Kavya</x:v>
      </x:c>
      <x:c r="H4779" t="str">
        <x:v>P044</x:v>
      </x:c>
      <x:c r="I4779" t="str">
        <x:v>Chicken Curry Cut 1kg</x:v>
      </x:c>
      <x:c r="J4779" t="str">
        <x:v>Protein</x:v>
      </x:c>
      <x:c r="K4779" t="str">
        <x:v>FreshToHome</x:v>
      </x:c>
      <x:c r="L4779" s="22" t="n">
        <x:v>230</x:v>
      </x:c>
      <x:c r="M4779" t="n">
        <x:v>18</x:v>
      </x:c>
      <x:c r="N4779" s="24" t="n">
        <x:v>0.03</x:v>
      </x:c>
      <x:c r="O4779" s="22" t="n">
        <x:f>L4779*M4779</x:f>
        <x:v>4140</x:v>
      </x:c>
      <x:c r="P4779" s="22" t="n">
        <x:f>O4779*(1-N4779)</x:f>
        <x:v>4015.7999999999997</x:v>
      </x:c>
      <x:c r="Q4779" s="22" t="n">
        <x:v>205</x:v>
      </x:c>
      <x:c r="R4779" s="22" t="n">
        <x:f>Q4779*M4779</x:f>
        <x:v>3690</x:v>
      </x:c>
      <x:c r="S4779" s="22" t="n">
        <x:f>P4779-R4779</x:f>
        <x:v>325.7999999999997</x:v>
      </x:c>
      <x:c r="T4779" t="str">
        <x:v>Credit</x:v>
      </x:c>
      <x:c r="U4779" t="str">
        <x:v>Paid</x:v>
      </x:c>
      <x:c r="V4779" t="str">
        <x:v>Delivered</x:v>
      </x:c>
      <x:c r="W4779" t="n">
        <x:v>0</x:v>
      </x:c>
      <x:c r="X4779" t="str"/>
      <x:c r="Y4779" t="str">
        <x:v>Referral</x:v>
      </x:c>
    </x:row>
    <x:row r="4780">
      <x:c r="A4780" t="str">
        <x:v>O004779</x:v>
      </x:c>
      <x:c r="B4780" s="20" t="n">
        <x:v>45714</x:v>
      </x:c>
      <x:c r="C4780" t="str">
        <x:v>C0096</x:v>
      </x:c>
      <x:c r="D4780" t="str">
        <x:v>Metro Foods 96</x:v>
      </x:c>
      <x:c r="E4780" t="str">
        <x:v>Kirana</x:v>
      </x:c>
      <x:c r="F4780" t="str">
        <x:v>Davanagere</x:v>
      </x:c>
      <x:c r="G4780" t="str">
        <x:v>Vikram</x:v>
      </x:c>
      <x:c r="H4780" t="str">
        <x:v>P003</x:v>
      </x:c>
      <x:c r="I4780" t="str">
        <x:v>Basmati Rice 5kg</x:v>
      </x:c>
      <x:c r="J4780" t="str">
        <x:v>Staples</x:v>
      </x:c>
      <x:c r="K4780" t="str">
        <x:v>India Gate</x:v>
      </x:c>
      <x:c r="L4780" s="22" t="n">
        <x:v>690</x:v>
      </x:c>
      <x:c r="M4780" t="n">
        <x:v>37</x:v>
      </x:c>
      <x:c r="N4780" s="24" t="n">
        <x:v>0</x:v>
      </x:c>
      <x:c r="O4780" s="22" t="n">
        <x:f>L4780*M4780</x:f>
        <x:v>25530</x:v>
      </x:c>
      <x:c r="P4780" s="22" t="n">
        <x:f>O4780*(1-N4780)</x:f>
        <x:v>25530</x:v>
      </x:c>
      <x:c r="Q4780" s="22" t="n">
        <x:v>610</x:v>
      </x:c>
      <x:c r="R4780" s="22" t="n">
        <x:f>Q4780*M4780</x:f>
        <x:v>22570</x:v>
      </x:c>
      <x:c r="S4780" s="22" t="n">
        <x:f>P4780-R4780</x:f>
        <x:v>2960</x:v>
      </x:c>
      <x:c r="T4780" t="str">
        <x:v>Bank Transfer</x:v>
      </x:c>
      <x:c r="U4780" t="str">
        <x:v>Overdue</x:v>
      </x:c>
      <x:c r="V4780" t="str">
        <x:v>Cancelled</x:v>
      </x:c>
      <x:c r="W4780" t="n">
        <x:v>37</x:v>
      </x:c>
      <x:c r="X4780" t="str">
        <x:v>Cancelled Order</x:v>
      </x:c>
      <x:c r="Y4780" t="str">
        <x:v>Existing Customer</x:v>
      </x:c>
    </x:row>
    <x:row r="4781">
      <x:c r="A4781" t="str">
        <x:v>O004780</x:v>
      </x:c>
      <x:c r="B4781" s="20" t="n">
        <x:v>45857</x:v>
      </x:c>
      <x:c r="C4781" t="str">
        <x:v>C0185</x:v>
      </x:c>
      <x:c r="D4781" t="str">
        <x:v>Mysore Foods 185</x:v>
      </x:c>
      <x:c r="E4781" t="str">
        <x:v>Restaurant</x:v>
      </x:c>
      <x:c r="F4781" t="str">
        <x:v>Mysuru</x:v>
      </x:c>
      <x:c r="G4781" t="str">
        <x:v>Sneha</x:v>
      </x:c>
      <x:c r="H4781" t="str">
        <x:v>P040</x:v>
      </x:c>
      <x:c r="I4781" t="str">
        <x:v>Bread Loaf 400g</x:v>
      </x:c>
      <x:c r="J4781" t="str">
        <x:v>Bakery</x:v>
      </x:c>
      <x:c r="K4781" t="str">
        <x:v>Britannia</x:v>
      </x:c>
      <x:c r="L4781" s="22" t="n">
        <x:v>45</x:v>
      </x:c>
      <x:c r="M4781" t="n">
        <x:v>12</x:v>
      </x:c>
      <x:c r="N4781" s="24" t="n">
        <x:v>0</x:v>
      </x:c>
      <x:c r="O4781" s="22" t="n">
        <x:f>L4781*M4781</x:f>
        <x:v>540</x:v>
      </x:c>
      <x:c r="P4781" s="22" t="n">
        <x:f>O4781*(1-N4781)</x:f>
        <x:v>540</x:v>
      </x:c>
      <x:c r="Q4781" s="22" t="n">
        <x:v>35</x:v>
      </x:c>
      <x:c r="R4781" s="22" t="n">
        <x:f>Q4781*M4781</x:f>
        <x:v>420</x:v>
      </x:c>
      <x:c r="S4781" s="22" t="n">
        <x:f>P4781-R4781</x:f>
        <x:v>120</x:v>
      </x:c>
      <x:c r="T4781" t="str">
        <x:v>UPI</x:v>
      </x:c>
      <x:c r="U4781" t="str">
        <x:v>Paid</x:v>
      </x:c>
      <x:c r="V4781" t="str">
        <x:v>Delivered</x:v>
      </x:c>
      <x:c r="W4781" t="n">
        <x:v>4</x:v>
      </x:c>
      <x:c r="X4781" t="str">
        <x:v>Damaged</x:v>
      </x:c>
      <x:c r="Y4781" t="str">
        <x:v>Field Visit</x:v>
      </x:c>
    </x:row>
    <x:row r="4782">
      <x:c r="A4782" t="str">
        <x:v>O004781</x:v>
      </x:c>
      <x:c r="B4782" s="20" t="n">
        <x:v>45937</x:v>
      </x:c>
      <x:c r="C4782" t="str">
        <x:v>C0134</x:v>
      </x:c>
      <x:c r="D4782" t="str">
        <x:v>Annapurna Stores 134</x:v>
      </x:c>
      <x:c r="E4782" t="str">
        <x:v>Cafe</x:v>
      </x:c>
      <x:c r="F4782" t="str">
        <x:v>Bengaluru</x:v>
      </x:c>
      <x:c r="G4782" t="str">
        <x:v>Kavya</x:v>
      </x:c>
      <x:c r="H4782" t="str">
        <x:v>P017</x:v>
      </x:c>
      <x:c r="I4782" t="str">
        <x:v>Butter 500g</x:v>
      </x:c>
      <x:c r="J4782" t="str">
        <x:v>Dairy</x:v>
      </x:c>
      <x:c r="K4782" t="str">
        <x:v>Amul</x:v>
      </x:c>
      <x:c r="L4782" s="22" t="n">
        <x:v>285</x:v>
      </x:c>
      <x:c r="M4782" t="n">
        <x:v>23</x:v>
      </x:c>
      <x:c r="N4782" s="24" t="n">
        <x:v>0</x:v>
      </x:c>
      <x:c r="O4782" s="22" t="n">
        <x:f>L4782*M4782</x:f>
        <x:v>6555</x:v>
      </x:c>
      <x:c r="P4782" s="22" t="n">
        <x:f>O4782*(1-N4782)</x:f>
        <x:v>6555</x:v>
      </x:c>
      <x:c r="Q4782" s="22" t="n">
        <x:v>258</x:v>
      </x:c>
      <x:c r="R4782" s="22" t="n">
        <x:f>Q4782*M4782</x:f>
        <x:v>5934</x:v>
      </x:c>
      <x:c r="S4782" s="22" t="n">
        <x:f>P4782-R4782</x:f>
        <x:v>621</x:v>
      </x:c>
      <x:c r="T4782" t="str">
        <x:v>Credit</x:v>
      </x:c>
      <x:c r="U4782" t="str">
        <x:v>Paid</x:v>
      </x:c>
      <x:c r="V4782" t="str">
        <x:v>Delivered</x:v>
      </x:c>
      <x:c r="W4782" t="n">
        <x:v>0</x:v>
      </x:c>
      <x:c r="X4782" t="str"/>
      <x:c r="Y4782" t="str">
        <x:v>Outbound Call</x:v>
      </x:c>
    </x:row>
    <x:row r="4783">
      <x:c r="A4783" t="str">
        <x:v>O004782</x:v>
      </x:c>
      <x:c r="B4783" s="20" t="n">
        <x:v>45832</x:v>
      </x:c>
      <x:c r="C4783" t="str">
        <x:v>C0204</x:v>
      </x:c>
      <x:c r="D4783" t="str">
        <x:v>Udupi Stores 204</x:v>
      </x:c>
      <x:c r="E4783" t="str">
        <x:v>Kirana</x:v>
      </x:c>
      <x:c r="F4783" t="str">
        <x:v>Bengaluru</x:v>
      </x:c>
      <x:c r="G4783" t="str">
        <x:v>Vikram</x:v>
      </x:c>
      <x:c r="H4783" t="str">
        <x:v>P044</x:v>
      </x:c>
      <x:c r="I4783" t="str">
        <x:v>Chicken Curry Cut 1kg</x:v>
      </x:c>
      <x:c r="J4783" t="str">
        <x:v>Protein</x:v>
      </x:c>
      <x:c r="K4783" t="str">
        <x:v>FreshToHome</x:v>
      </x:c>
      <x:c r="L4783" s="22" t="n">
        <x:v>230</x:v>
      </x:c>
      <x:c r="M4783" t="n">
        <x:v>3</x:v>
      </x:c>
      <x:c r="N4783" s="24" t="n">
        <x:v>0.03</x:v>
      </x:c>
      <x:c r="O4783" s="22" t="n">
        <x:f>L4783*M4783</x:f>
        <x:v>690</x:v>
      </x:c>
      <x:c r="P4783" s="22" t="n">
        <x:f>O4783*(1-N4783)</x:f>
        <x:v>669.3</x:v>
      </x:c>
      <x:c r="Q4783" s="22" t="n">
        <x:v>205</x:v>
      </x:c>
      <x:c r="R4783" s="22" t="n">
        <x:f>Q4783*M4783</x:f>
        <x:v>615</x:v>
      </x:c>
      <x:c r="S4783" s="22" t="n">
        <x:f>P4783-R4783</x:f>
        <x:v>54.299999999999955</x:v>
      </x:c>
      <x:c r="T4783" t="str">
        <x:v>Credit</x:v>
      </x:c>
      <x:c r="U4783" t="str">
        <x:v>Paid</x:v>
      </x:c>
      <x:c r="V4783" t="str">
        <x:v>Cancelled</x:v>
      </x:c>
      <x:c r="W4783" t="n">
        <x:v>3</x:v>
      </x:c>
      <x:c r="X4783" t="str">
        <x:v>Cancelled Order</x:v>
      </x:c>
      <x:c r="Y4783" t="str">
        <x:v>Outbound Call</x:v>
      </x:c>
    </x:row>
    <x:row r="4784">
      <x:c r="A4784" t="str">
        <x:v>O004783</x:v>
      </x:c>
      <x:c r="B4784" s="20" t="n">
        <x:v>45805</x:v>
      </x:c>
      <x:c r="C4784" t="str">
        <x:v>C0243</x:v>
      </x:c>
      <x:c r="D4784" t="str">
        <x:v>Metro Kitchen 243</x:v>
      </x:c>
      <x:c r="E4784" t="str">
        <x:v>Restaurant</x:v>
      </x:c>
      <x:c r="F4784" t="str">
        <x:v>Mangaluru</x:v>
      </x:c>
      <x:c r="G4784" t="str">
        <x:v>Kavya</x:v>
      </x:c>
      <x:c r="H4784" t="str">
        <x:v>P027</x:v>
      </x:c>
      <x:c r="I4784" t="str">
        <x:v>Biscuits 120g</x:v>
      </x:c>
      <x:c r="J4784" t="str">
        <x:v>Snacks</x:v>
      </x:c>
      <x:c r="K4784" t="str">
        <x:v>Parle-G</x:v>
      </x:c>
      <x:c r="L4784" s="22" t="n">
        <x:v>12</x:v>
      </x:c>
      <x:c r="M4784" t="n">
        <x:v>16</x:v>
      </x:c>
      <x:c r="N4784" s="24" t="n">
        <x:v>0.08</x:v>
      </x:c>
      <x:c r="O4784" s="22" t="n">
        <x:f>L4784*M4784</x:f>
        <x:v>192</x:v>
      </x:c>
      <x:c r="P4784" s="22" t="n">
        <x:f>O4784*(1-N4784)</x:f>
        <x:v>176.64000000000001</x:v>
      </x:c>
      <x:c r="Q4784" s="22" t="n">
        <x:v>9</x:v>
      </x:c>
      <x:c r="R4784" s="22" t="n">
        <x:f>Q4784*M4784</x:f>
        <x:v>144</x:v>
      </x:c>
      <x:c r="S4784" s="22" t="n">
        <x:f>P4784-R4784</x:f>
        <x:v>32.640000000000015</x:v>
      </x:c>
      <x:c r="T4784" t="str">
        <x:v>UPI</x:v>
      </x:c>
      <x:c r="U4784" t="str">
        <x:v>Pending</x:v>
      </x:c>
      <x:c r="V4784" t="str">
        <x:v>Delivered</x:v>
      </x:c>
      <x:c r="W4784" t="n">
        <x:v>0</x:v>
      </x:c>
      <x:c r="X4784" t="str"/>
      <x:c r="Y4784" t="str">
        <x:v>WhatsApp</x:v>
      </x:c>
    </x:row>
    <x:row r="4785">
      <x:c r="A4785" t="str">
        <x:v>O004784</x:v>
      </x:c>
      <x:c r="B4785" s="20" t="n">
        <x:v>46142</x:v>
      </x:c>
      <x:c r="C4785" t="str">
        <x:v>C0155</x:v>
      </x:c>
      <x:c r="D4785" t="str">
        <x:v>New Mart 155</x:v>
      </x:c>
      <x:c r="E4785" t="str">
        <x:v>Hotel</x:v>
      </x:c>
      <x:c r="F4785" t="str">
        <x:v>Mysuru</x:v>
      </x:c>
      <x:c r="G4785" t="str">
        <x:v>Sneha</x:v>
      </x:c>
      <x:c r="H4785" t="str">
        <x:v>P025</x:v>
      </x:c>
      <x:c r="I4785" t="str">
        <x:v>Potato Chips 100g</x:v>
      </x:c>
      <x:c r="J4785" t="str">
        <x:v>Snacks</x:v>
      </x:c>
      <x:c r="K4785" t="str">
        <x:v>Lay's</x:v>
      </x:c>
      <x:c r="L4785" s="22" t="n">
        <x:v>35</x:v>
      </x:c>
      <x:c r="M4785" t="n">
        <x:v>38</x:v>
      </x:c>
      <x:c r="N4785" s="24" t="n">
        <x:v>0.05</x:v>
      </x:c>
      <x:c r="O4785" s="22" t="n">
        <x:f>L4785*M4785</x:f>
        <x:v>1330</x:v>
      </x:c>
      <x:c r="P4785" s="22" t="n">
        <x:f>O4785*(1-N4785)</x:f>
        <x:v>1263.5</x:v>
      </x:c>
      <x:c r="Q4785" s="22" t="n">
        <x:v>27</x:v>
      </x:c>
      <x:c r="R4785" s="22" t="n">
        <x:f>Q4785*M4785</x:f>
        <x:v>1026</x:v>
      </x:c>
      <x:c r="S4785" s="22" t="n">
        <x:f>P4785-R4785</x:f>
        <x:v>237.5</x:v>
      </x:c>
      <x:c r="T4785" t="str">
        <x:v>Credit</x:v>
      </x:c>
      <x:c r="U4785" t="str">
        <x:v>Paid</x:v>
      </x:c>
      <x:c r="V4785" t="str">
        <x:v>Delayed</x:v>
      </x:c>
      <x:c r="W4785" t="n">
        <x:v>0</x:v>
      </x:c>
      <x:c r="X4785" t="str"/>
      <x:c r="Y4785" t="str">
        <x:v>WhatsApp</x:v>
      </x:c>
    </x:row>
    <x:row r="4786">
      <x:c r="A4786" t="str">
        <x:v>O004785</x:v>
      </x:c>
      <x:c r="B4786" s="20" t="n">
        <x:v>45874</x:v>
      </x:c>
      <x:c r="C4786" t="str">
        <x:v>C0021</x:v>
      </x:c>
      <x:c r="D4786" t="str">
        <x:v>Namma Cafe 21</x:v>
      </x:c>
      <x:c r="E4786" t="str">
        <x:v>Canteen</x:v>
      </x:c>
      <x:c r="F4786" t="str">
        <x:v>Bengaluru</x:v>
      </x:c>
      <x:c r="G4786" t="str">
        <x:v>Kavya</x:v>
      </x:c>
      <x:c r="H4786" t="str">
        <x:v>P018</x:v>
      </x:c>
      <x:c r="I4786" t="str">
        <x:v>Paneer 1kg</x:v>
      </x:c>
      <x:c r="J4786" t="str">
        <x:v>Dairy</x:v>
      </x:c>
      <x:c r="K4786" t="str">
        <x:v>Milky Mist</x:v>
      </x:c>
      <x:c r="L4786" s="22" t="n">
        <x:v>410</x:v>
      </x:c>
      <x:c r="M4786" t="n">
        <x:v>18</x:v>
      </x:c>
      <x:c r="N4786" s="24" t="n">
        <x:v>0.08</x:v>
      </x:c>
      <x:c r="O4786" s="22" t="n">
        <x:f>L4786*M4786</x:f>
        <x:v>7380</x:v>
      </x:c>
      <x:c r="P4786" s="22" t="n">
        <x:f>O4786*(1-N4786)</x:f>
        <x:v>6789.6</x:v>
      </x:c>
      <x:c r="Q4786" s="22" t="n">
        <x:v>370</x:v>
      </x:c>
      <x:c r="R4786" s="22" t="n">
        <x:f>Q4786*M4786</x:f>
        <x:v>6660</x:v>
      </x:c>
      <x:c r="S4786" s="22" t="n">
        <x:f>P4786-R4786</x:f>
        <x:v>129.60000000000036</x:v>
      </x:c>
      <x:c r="T4786" t="str">
        <x:v>Bank Transfer</x:v>
      </x:c>
      <x:c r="U4786" t="str">
        <x:v>Paid</x:v>
      </x:c>
      <x:c r="V4786" t="str">
        <x:v>Delivered</x:v>
      </x:c>
      <x:c r="W4786" t="n">
        <x:v>0</x:v>
      </x:c>
      <x:c r="X4786" t="str"/>
      <x:c r="Y4786" t="str">
        <x:v>Referral</x:v>
      </x:c>
    </x:row>
    <x:row r="4787">
      <x:c r="A4787" t="str">
        <x:v>O004786</x:v>
      </x:c>
      <x:c r="B4787" s="20" t="n">
        <x:v>46124</x:v>
      </x:c>
      <x:c r="C4787" t="str">
        <x:v>C0176</x:v>
      </x:c>
      <x:c r="D4787" t="str">
        <x:v>Cafe Kitchen 176</x:v>
      </x:c>
      <x:c r="E4787" t="str">
        <x:v>Kirana</x:v>
      </x:c>
      <x:c r="F4787" t="str">
        <x:v>Mysuru</x:v>
      </x:c>
      <x:c r="G4787" t="str">
        <x:v>Priya</x:v>
      </x:c>
      <x:c r="H4787" t="str">
        <x:v>P003</x:v>
      </x:c>
      <x:c r="I4787" t="str">
        <x:v>Basmati Rice 5kg</x:v>
      </x:c>
      <x:c r="J4787" t="str">
        <x:v>Staples</x:v>
      </x:c>
      <x:c r="K4787" t="str">
        <x:v>India Gate</x:v>
      </x:c>
      <x:c r="L4787" s="22" t="n">
        <x:v>690</x:v>
      </x:c>
      <x:c r="M4787" t="n">
        <x:v>30</x:v>
      </x:c>
      <x:c r="N4787" s="24" t="n">
        <x:v>0</x:v>
      </x:c>
      <x:c r="O4787" s="22" t="n">
        <x:f>L4787*M4787</x:f>
        <x:v>20700</x:v>
      </x:c>
      <x:c r="P4787" s="22" t="n">
        <x:f>O4787*(1-N4787)</x:f>
        <x:v>20700</x:v>
      </x:c>
      <x:c r="Q4787" s="22" t="n">
        <x:v>610</x:v>
      </x:c>
      <x:c r="R4787" s="22" t="n">
        <x:f>Q4787*M4787</x:f>
        <x:v>18300</x:v>
      </x:c>
      <x:c r="S4787" s="22" t="n">
        <x:f>P4787-R4787</x:f>
        <x:v>2400</x:v>
      </x:c>
      <x:c r="T4787" t="str">
        <x:v>Bank Transfer</x:v>
      </x:c>
      <x:c r="U4787" t="str">
        <x:v>Paid</x:v>
      </x:c>
      <x:c r="V4787" t="str">
        <x:v>Delivered</x:v>
      </x:c>
      <x:c r="W4787" t="n">
        <x:v>0</x:v>
      </x:c>
      <x:c r="X4787" t="str"/>
      <x:c r="Y4787" t="str">
        <x:v>Existing Customer</x:v>
      </x:c>
    </x:row>
    <x:row r="4788">
      <x:c r="A4788" t="str">
        <x:v>O004787</x:v>
      </x:c>
      <x:c r="B4788" s="20" t="n">
        <x:v>46238</x:v>
      </x:c>
      <x:c r="C4788" t="str">
        <x:v>C0234</x:v>
      </x:c>
      <x:c r="D4788" t="str">
        <x:v>Metro Canteen 234</x:v>
      </x:c>
      <x:c r="E4788" t="str">
        <x:v>Restaurant</x:v>
      </x:c>
      <x:c r="F4788" t="str">
        <x:v>Davanagere</x:v>
      </x:c>
      <x:c r="G4788" t="str">
        <x:v>Priya</x:v>
      </x:c>
      <x:c r="H4788" t="str">
        <x:v>P033</x:v>
      </x:c>
      <x:c r="I4788" t="str">
        <x:v>Turmeric Powder 1kg</x:v>
      </x:c>
      <x:c r="J4788" t="str">
        <x:v>Spices</x:v>
      </x:c>
      <x:c r="K4788" t="str">
        <x:v>Everest</x:v>
      </x:c>
      <x:c r="L4788" s="22" t="n">
        <x:v>310</x:v>
      </x:c>
      <x:c r="M4788" t="n">
        <x:v>13</x:v>
      </x:c>
      <x:c r="N4788" s="24" t="n">
        <x:v>0.05</x:v>
      </x:c>
      <x:c r="O4788" s="22" t="n">
        <x:f>L4788*M4788</x:f>
        <x:v>4030</x:v>
      </x:c>
      <x:c r="P4788" s="22" t="n">
        <x:f>O4788*(1-N4788)</x:f>
        <x:v>3828.5</x:v>
      </x:c>
      <x:c r="Q4788" s="22" t="n">
        <x:v>270</x:v>
      </x:c>
      <x:c r="R4788" s="22" t="n">
        <x:f>Q4788*M4788</x:f>
        <x:v>3510</x:v>
      </x:c>
      <x:c r="S4788" s="22" t="n">
        <x:f>P4788-R4788</x:f>
        <x:v>318.5</x:v>
      </x:c>
      <x:c r="T4788" t="str">
        <x:v>Credit</x:v>
      </x:c>
      <x:c r="U4788" t="str">
        <x:v>Overdue</x:v>
      </x:c>
      <x:c r="V4788" t="str">
        <x:v>Delivered</x:v>
      </x:c>
      <x:c r="W4788" t="n">
        <x:v>0</x:v>
      </x:c>
      <x:c r="X4788" t="str"/>
      <x:c r="Y4788" t="str">
        <x:v>WhatsApp</x:v>
      </x:c>
    </x:row>
    <x:row r="4789">
      <x:c r="A4789" t="str">
        <x:v>O004788</x:v>
      </x:c>
      <x:c r="B4789" s="20" t="n">
        <x:v>46059</x:v>
      </x:c>
      <x:c r="C4789" t="str">
        <x:v>C0125</x:v>
      </x:c>
      <x:c r="D4789" t="str">
        <x:v>Spice Restaurant 125</x:v>
      </x:c>
      <x:c r="E4789" t="str">
        <x:v>Kirana</x:v>
      </x:c>
      <x:c r="F4789" t="str">
        <x:v>Tumakuru</x:v>
      </x:c>
      <x:c r="G4789" t="str">
        <x:v>Ramesh</x:v>
      </x:c>
      <x:c r="H4789" t="str">
        <x:v>P050</x:v>
      </x:c>
      <x:c r="I4789" t="str">
        <x:v>Lemon 5kg</x:v>
      </x:c>
      <x:c r="J4789" t="str">
        <x:v>Fresh Produce</x:v>
      </x:c>
      <x:c r="K4789" t="str">
        <x:v>Local Market</x:v>
      </x:c>
      <x:c r="L4789" s="22" t="n">
        <x:v>360</x:v>
      </x:c>
      <x:c r="M4789" t="n">
        <x:v>31</x:v>
      </x:c>
      <x:c r="N4789" s="24" t="n">
        <x:v>0.05</x:v>
      </x:c>
      <x:c r="O4789" s="22" t="n">
        <x:f>L4789*M4789</x:f>
        <x:v>11160</x:v>
      </x:c>
      <x:c r="P4789" s="22" t="n">
        <x:f>O4789*(1-N4789)</x:f>
        <x:v>10602</x:v>
      </x:c>
      <x:c r="Q4789" s="22" t="n">
        <x:v>300</x:v>
      </x:c>
      <x:c r="R4789" s="22" t="n">
        <x:f>Q4789*M4789</x:f>
        <x:v>9300</x:v>
      </x:c>
      <x:c r="S4789" s="22" t="n">
        <x:f>P4789-R4789</x:f>
        <x:v>1302</x:v>
      </x:c>
      <x:c r="T4789" t="str">
        <x:v>Credit</x:v>
      </x:c>
      <x:c r="U4789" t="str">
        <x:v>Overdue</x:v>
      </x:c>
      <x:c r="V4789" t="str">
        <x:v>Delayed</x:v>
      </x:c>
      <x:c r="W4789" t="n">
        <x:v>0</x:v>
      </x:c>
      <x:c r="X4789" t="str"/>
      <x:c r="Y4789" t="str">
        <x:v>Existing Customer</x:v>
      </x:c>
    </x:row>
    <x:row r="4790">
      <x:c r="A4790" t="str">
        <x:v>O004789</x:v>
      </x:c>
      <x:c r="B4790" s="20" t="n">
        <x:v>45869</x:v>
      </x:c>
      <x:c r="C4790" t="str">
        <x:v>C0027</x:v>
      </x:c>
      <x:c r="D4790" t="str">
        <x:v>Fresh Cafe 27</x:v>
      </x:c>
      <x:c r="E4790" t="str">
        <x:v>Restaurant</x:v>
      </x:c>
      <x:c r="F4790" t="str">
        <x:v>Tumakuru</x:v>
      </x:c>
      <x:c r="G4790" t="str">
        <x:v>Megha</x:v>
      </x:c>
      <x:c r="H4790" t="str">
        <x:v>P005</x:v>
      </x:c>
      <x:c r="I4790" t="str">
        <x:v>Chana Dal 5kg</x:v>
      </x:c>
      <x:c r="J4790" t="str">
        <x:v>Pulses</x:v>
      </x:c>
      <x:c r="K4790" t="str">
        <x:v>Local Select</x:v>
      </x:c>
      <x:c r="L4790" s="22" t="n">
        <x:v>520</x:v>
      </x:c>
      <x:c r="M4790" t="n">
        <x:v>3</x:v>
      </x:c>
      <x:c r="N4790" s="24" t="n">
        <x:v>0.05</x:v>
      </x:c>
      <x:c r="O4790" s="22" t="n">
        <x:f>L4790*M4790</x:f>
        <x:v>1560</x:v>
      </x:c>
      <x:c r="P4790" s="22" t="n">
        <x:f>O4790*(1-N4790)</x:f>
        <x:v>1482</x:v>
      </x:c>
      <x:c r="Q4790" s="22" t="n">
        <x:v>455</x:v>
      </x:c>
      <x:c r="R4790" s="22" t="n">
        <x:f>Q4790*M4790</x:f>
        <x:v>1365</x:v>
      </x:c>
      <x:c r="S4790" s="22" t="n">
        <x:f>P4790-R4790</x:f>
        <x:v>117</x:v>
      </x:c>
      <x:c r="T4790" t="str">
        <x:v>Bank Transfer</x:v>
      </x:c>
      <x:c r="U4790" t="str">
        <x:v>Paid</x:v>
      </x:c>
      <x:c r="V4790" t="str">
        <x:v>Delayed</x:v>
      </x:c>
      <x:c r="W4790" t="n">
        <x:v>0</x:v>
      </x:c>
      <x:c r="X4790" t="str"/>
      <x:c r="Y4790" t="str">
        <x:v>Referral</x:v>
      </x:c>
    </x:row>
    <x:row r="4791">
      <x:c r="A4791" t="str">
        <x:v>O004790</x:v>
      </x:c>
      <x:c r="B4791" s="20" t="n">
        <x:v>46030</x:v>
      </x:c>
      <x:c r="C4791" t="str">
        <x:v>C0136</x:v>
      </x:c>
      <x:c r="D4791" t="str">
        <x:v>Royal Cafe 136</x:v>
      </x:c>
      <x:c r="E4791" t="str">
        <x:v>Hotel</x:v>
      </x:c>
      <x:c r="F4791" t="str">
        <x:v>Tumakuru</x:v>
      </x:c>
      <x:c r="G4791" t="str">
        <x:v>Kavya</x:v>
      </x:c>
      <x:c r="H4791" t="str">
        <x:v>P015</x:v>
      </x:c>
      <x:c r="I4791" t="str">
        <x:v>Milk 1L</x:v>
      </x:c>
      <x:c r="J4791" t="str">
        <x:v>Dairy</x:v>
      </x:c>
      <x:c r="K4791" t="str">
        <x:v>Nandini</x:v>
      </x:c>
      <x:c r="L4791" s="22" t="n">
        <x:v>48</x:v>
      </x:c>
      <x:c r="M4791" t="n">
        <x:v>11</x:v>
      </x:c>
      <x:c r="N4791" s="24" t="n">
        <x:v>0</x:v>
      </x:c>
      <x:c r="O4791" s="22" t="n">
        <x:f>L4791*M4791</x:f>
        <x:v>528</x:v>
      </x:c>
      <x:c r="P4791" s="22" t="n">
        <x:f>O4791*(1-N4791)</x:f>
        <x:v>528</x:v>
      </x:c>
      <x:c r="Q4791" s="22" t="n">
        <x:v>43</x:v>
      </x:c>
      <x:c r="R4791" s="22" t="n">
        <x:f>Q4791*M4791</x:f>
        <x:v>473</x:v>
      </x:c>
      <x:c r="S4791" s="22" t="n">
        <x:f>P4791-R4791</x:f>
        <x:v>55</x:v>
      </x:c>
      <x:c r="T4791" t="str">
        <x:v>Credit</x:v>
      </x:c>
      <x:c r="U4791" t="str">
        <x:v>Paid</x:v>
      </x:c>
      <x:c r="V4791" t="str">
        <x:v>Delivered</x:v>
      </x:c>
      <x:c r="W4791" t="n">
        <x:v>0</x:v>
      </x:c>
      <x:c r="X4791" t="str"/>
      <x:c r="Y4791" t="str">
        <x:v>Existing Customer</x:v>
      </x:c>
    </x:row>
    <x:row r="4792">
      <x:c r="A4792" t="str">
        <x:v>O004791</x:v>
      </x:c>
      <x:c r="B4792" s="20" t="n">
        <x:v>45905</x:v>
      </x:c>
      <x:c r="C4792" t="str">
        <x:v>C0102</x:v>
      </x:c>
      <x:c r="D4792" t="str">
        <x:v>Annapurna Foods 102</x:v>
      </x:c>
      <x:c r="E4792" t="str">
        <x:v>Cafe</x:v>
      </x:c>
      <x:c r="F4792" t="str">
        <x:v>Davanagere</x:v>
      </x:c>
      <x:c r="G4792" t="str">
        <x:v>Ramesh</x:v>
      </x:c>
      <x:c r="H4792" t="str">
        <x:v>P042</x:v>
      </x:c>
      <x:c r="I4792" t="str">
        <x:v>Eggs 30pc Tray</x:v>
      </x:c>
      <x:c r="J4792" t="str">
        <x:v>Protein</x:v>
      </x:c>
      <x:c r="K4792" t="str">
        <x:v>Farm Fresh</x:v>
      </x:c>
      <x:c r="L4792" s="22" t="n">
        <x:v>195</x:v>
      </x:c>
      <x:c r="M4792" t="n">
        <x:v>12</x:v>
      </x:c>
      <x:c r="N4792" s="24" t="n">
        <x:v>0.02</x:v>
      </x:c>
      <x:c r="O4792" s="22" t="n">
        <x:f>L4792*M4792</x:f>
        <x:v>2340</x:v>
      </x:c>
      <x:c r="P4792" s="22" t="n">
        <x:f>O4792*(1-N4792)</x:f>
        <x:v>2293.2</x:v>
      </x:c>
      <x:c r="Q4792" s="22" t="n">
        <x:v>170</x:v>
      </x:c>
      <x:c r="R4792" s="22" t="n">
        <x:f>Q4792*M4792</x:f>
        <x:v>2040</x:v>
      </x:c>
      <x:c r="S4792" s="22" t="n">
        <x:f>P4792-R4792</x:f>
        <x:v>253.19999999999982</x:v>
      </x:c>
      <x:c r="T4792" t="str">
        <x:v>Credit</x:v>
      </x:c>
      <x:c r="U4792" t="str">
        <x:v>Paid</x:v>
      </x:c>
      <x:c r="V4792" t="str">
        <x:v>Delivered</x:v>
      </x:c>
      <x:c r="W4792" t="n">
        <x:v>1</x:v>
      </x:c>
      <x:c r="X4792" t="str">
        <x:v>Wrong Item</x:v>
      </x:c>
      <x:c r="Y4792" t="str">
        <x:v>WhatsApp</x:v>
      </x:c>
    </x:row>
    <x:row r="4793">
      <x:c r="A4793" t="str">
        <x:v>O004792</x:v>
      </x:c>
      <x:c r="B4793" s="20" t="n">
        <x:v>46033</x:v>
      </x:c>
      <x:c r="C4793" t="str">
        <x:v>C0186</x:v>
      </x:c>
      <x:c r="D4793" t="str">
        <x:v>Namma Stores 186</x:v>
      </x:c>
      <x:c r="E4793" t="str">
        <x:v>Supermarket</x:v>
      </x:c>
      <x:c r="F4793" t="str">
        <x:v>Mysuru</x:v>
      </x:c>
      <x:c r="G4793" t="str">
        <x:v>Vikram</x:v>
      </x:c>
      <x:c r="H4793" t="str">
        <x:v>P048</x:v>
      </x:c>
      <x:c r="I4793" t="str">
        <x:v>Banana 10kg</x:v>
      </x:c>
      <x:c r="J4793" t="str">
        <x:v>Fresh Produce</x:v>
      </x:c>
      <x:c r="K4793" t="str">
        <x:v>Local Market</x:v>
      </x:c>
      <x:c r="L4793" s="22" t="n">
        <x:v>420</x:v>
      </x:c>
      <x:c r="M4793" t="n">
        <x:v>21</x:v>
      </x:c>
      <x:c r="N4793" s="24" t="n">
        <x:v>0.05</x:v>
      </x:c>
      <x:c r="O4793" s="22" t="n">
        <x:f>L4793*M4793</x:f>
        <x:v>8820</x:v>
      </x:c>
      <x:c r="P4793" s="22" t="n">
        <x:f>O4793*(1-N4793)</x:f>
        <x:v>8379</x:v>
      </x:c>
      <x:c r="Q4793" s="22" t="n">
        <x:v>350</x:v>
      </x:c>
      <x:c r="R4793" s="22" t="n">
        <x:f>Q4793*M4793</x:f>
        <x:v>7350</x:v>
      </x:c>
      <x:c r="S4793" s="22" t="n">
        <x:f>P4793-R4793</x:f>
        <x:v>1029</x:v>
      </x:c>
      <x:c r="T4793" t="str">
        <x:v>Bank Transfer</x:v>
      </x:c>
      <x:c r="U4793" t="str">
        <x:v>Paid</x:v>
      </x:c>
      <x:c r="V4793" t="str">
        <x:v>Delivered</x:v>
      </x:c>
      <x:c r="W4793" t="n">
        <x:v>0</x:v>
      </x:c>
      <x:c r="X4793" t="str"/>
      <x:c r="Y4793" t="str">
        <x:v>Existing Customer</x:v>
      </x:c>
    </x:row>
    <x:row r="4794">
      <x:c r="A4794" t="str">
        <x:v>O004793</x:v>
      </x:c>
      <x:c r="B4794" s="20" t="n">
        <x:v>45781</x:v>
      </x:c>
      <x:c r="C4794" t="str">
        <x:v>C0015</x:v>
      </x:c>
      <x:c r="D4794" t="str">
        <x:v>Royal Foods 15</x:v>
      </x:c>
      <x:c r="E4794" t="str">
        <x:v>Cafe</x:v>
      </x:c>
      <x:c r="F4794" t="str">
        <x:v>Mysuru</x:v>
      </x:c>
      <x:c r="G4794" t="str">
        <x:v>Ramesh</x:v>
      </x:c>
      <x:c r="H4794" t="str">
        <x:v>P009</x:v>
      </x:c>
      <x:c r="I4794" t="str">
        <x:v>Groundnut Oil 5L</x:v>
      </x:c>
      <x:c r="J4794" t="str">
        <x:v>Edible Oil</x:v>
      </x:c>
      <x:c r="K4794" t="str">
        <x:v>Dhara</x:v>
      </x:c>
      <x:c r="L4794" s="22" t="n">
        <x:v>890</x:v>
      </x:c>
      <x:c r="M4794" t="n">
        <x:v>20</x:v>
      </x:c>
      <x:c r="N4794" s="24" t="n">
        <x:v>0.05</x:v>
      </x:c>
      <x:c r="O4794" s="22" t="n">
        <x:f>L4794*M4794</x:f>
        <x:v>17800</x:v>
      </x:c>
      <x:c r="P4794" s="22" t="n">
        <x:f>O4794*(1-N4794)</x:f>
        <x:v>16910</x:v>
      </x:c>
      <x:c r="Q4794" s="22" t="n">
        <x:v>810</x:v>
      </x:c>
      <x:c r="R4794" s="22" t="n">
        <x:f>Q4794*M4794</x:f>
        <x:v>16200</x:v>
      </x:c>
      <x:c r="S4794" s="22" t="n">
        <x:f>P4794-R4794</x:f>
        <x:v>710</x:v>
      </x:c>
      <x:c r="T4794" t="str">
        <x:v>UPI</x:v>
      </x:c>
      <x:c r="U4794" t="str">
        <x:v>Pending</x:v>
      </x:c>
      <x:c r="V4794" t="str">
        <x:v>Delayed</x:v>
      </x:c>
      <x:c r="W4794" t="n">
        <x:v>0</x:v>
      </x:c>
      <x:c r="X4794" t="str"/>
      <x:c r="Y4794" t="str">
        <x:v>Outbound Call</x:v>
      </x:c>
    </x:row>
    <x:row r="4795">
      <x:c r="A4795" t="str">
        <x:v>O004794</x:v>
      </x:c>
      <x:c r="B4795" s="20" t="n">
        <x:v>45732</x:v>
      </x:c>
      <x:c r="C4795" t="str">
        <x:v>C0172</x:v>
      </x:c>
      <x:c r="D4795" t="str">
        <x:v>Annapurna Stores 172</x:v>
      </x:c>
      <x:c r="E4795" t="str">
        <x:v>Restaurant</x:v>
      </x:c>
      <x:c r="F4795" t="str">
        <x:v>Mangaluru</x:v>
      </x:c>
      <x:c r="G4795" t="str">
        <x:v>Megha</x:v>
      </x:c>
      <x:c r="H4795" t="str">
        <x:v>P025</x:v>
      </x:c>
      <x:c r="I4795" t="str">
        <x:v>Potato Chips 100g</x:v>
      </x:c>
      <x:c r="J4795" t="str">
        <x:v>Snacks</x:v>
      </x:c>
      <x:c r="K4795" t="str">
        <x:v>Lay's</x:v>
      </x:c>
      <x:c r="L4795" s="22" t="n">
        <x:v>35</x:v>
      </x:c>
      <x:c r="M4795" t="n">
        <x:v>4</x:v>
      </x:c>
      <x:c r="N4795" s="24" t="n">
        <x:v>0</x:v>
      </x:c>
      <x:c r="O4795" s="22" t="n">
        <x:f>L4795*M4795</x:f>
        <x:v>140</x:v>
      </x:c>
      <x:c r="P4795" s="22" t="n">
        <x:f>O4795*(1-N4795)</x:f>
        <x:v>140</x:v>
      </x:c>
      <x:c r="Q4795" s="22" t="n">
        <x:v>27</x:v>
      </x:c>
      <x:c r="R4795" s="22" t="n">
        <x:f>Q4795*M4795</x:f>
        <x:v>108</x:v>
      </x:c>
      <x:c r="S4795" s="22" t="n">
        <x:f>P4795-R4795</x:f>
        <x:v>32</x:v>
      </x:c>
      <x:c r="T4795" t="str">
        <x:v>Credit</x:v>
      </x:c>
      <x:c r="U4795" t="str">
        <x:v>Paid</x:v>
      </x:c>
      <x:c r="V4795" t="str">
        <x:v>Cancelled</x:v>
      </x:c>
      <x:c r="W4795" t="n">
        <x:v>4</x:v>
      </x:c>
      <x:c r="X4795" t="str">
        <x:v>Cancelled Order</x:v>
      </x:c>
      <x:c r="Y4795" t="str">
        <x:v>Field Visit</x:v>
      </x:c>
    </x:row>
    <x:row r="4796">
      <x:c r="A4796" t="str">
        <x:v>O004795</x:v>
      </x:c>
      <x:c r="B4796" s="20" t="n">
        <x:v>45703</x:v>
      </x:c>
      <x:c r="C4796" t="str">
        <x:v>C0022</x:v>
      </x:c>
      <x:c r="D4796" t="str">
        <x:v>Royal Hotel 22</x:v>
      </x:c>
      <x:c r="E4796" t="str">
        <x:v>Kirana</x:v>
      </x:c>
      <x:c r="F4796" t="str">
        <x:v>Bengaluru</x:v>
      </x:c>
      <x:c r="G4796" t="str">
        <x:v>Ramesh</x:v>
      </x:c>
      <x:c r="H4796" t="str">
        <x:v>P038</x:v>
      </x:c>
      <x:c r="I4796" t="str">
        <x:v>French Fries 2.5kg</x:v>
      </x:c>
      <x:c r="J4796" t="str">
        <x:v>Frozen</x:v>
      </x:c>
      <x:c r="K4796" t="str">
        <x:v>McCain</x:v>
      </x:c>
      <x:c r="L4796" s="22" t="n">
        <x:v>360</x:v>
      </x:c>
      <x:c r="M4796" t="n">
        <x:v>17</x:v>
      </x:c>
      <x:c r="N4796" s="24" t="n">
        <x:v>0</x:v>
      </x:c>
      <x:c r="O4796" s="22" t="n">
        <x:f>L4796*M4796</x:f>
        <x:v>6120</x:v>
      </x:c>
      <x:c r="P4796" s="22" t="n">
        <x:f>O4796*(1-N4796)</x:f>
        <x:v>6120</x:v>
      </x:c>
      <x:c r="Q4796" s="22" t="n">
        <x:v>315</x:v>
      </x:c>
      <x:c r="R4796" s="22" t="n">
        <x:f>Q4796*M4796</x:f>
        <x:v>5355</x:v>
      </x:c>
      <x:c r="S4796" s="22" t="n">
        <x:f>P4796-R4796</x:f>
        <x:v>765</x:v>
      </x:c>
      <x:c r="T4796" t="str">
        <x:v>Credit</x:v>
      </x:c>
      <x:c r="U4796" t="str">
        <x:v>Pending</x:v>
      </x:c>
      <x:c r="V4796" t="str">
        <x:v>Delivered</x:v>
      </x:c>
      <x:c r="W4796" t="n">
        <x:v>0</x:v>
      </x:c>
      <x:c r="X4796" t="str"/>
      <x:c r="Y4796" t="str">
        <x:v>WhatsApp</x:v>
      </x:c>
    </x:row>
    <x:row r="4797">
      <x:c r="A4797" t="str">
        <x:v>O004796</x:v>
      </x:c>
      <x:c r="B4797" s="20" t="n">
        <x:v>45996</x:v>
      </x:c>
      <x:c r="C4797" t="str">
        <x:v>C0225</x:v>
      </x:c>
      <x:c r="D4797" t="str">
        <x:v>Darshini Mart 225</x:v>
      </x:c>
      <x:c r="E4797" t="str">
        <x:v>Restaurant</x:v>
      </x:c>
      <x:c r="F4797" t="str">
        <x:v>Davanagere</x:v>
      </x:c>
      <x:c r="G4797" t="str">
        <x:v>Kavya</x:v>
      </x:c>
      <x:c r="H4797" t="str">
        <x:v>P003</x:v>
      </x:c>
      <x:c r="I4797" t="str">
        <x:v>Basmati Rice 5kg</x:v>
      </x:c>
      <x:c r="J4797" t="str">
        <x:v>Staples</x:v>
      </x:c>
      <x:c r="K4797" t="str">
        <x:v>India Gate</x:v>
      </x:c>
      <x:c r="L4797" s="22" t="n">
        <x:v>690</x:v>
      </x:c>
      <x:c r="M4797" t="n">
        <x:v>1</x:v>
      </x:c>
      <x:c r="N4797" s="24" t="n">
        <x:v>0</x:v>
      </x:c>
      <x:c r="O4797" s="22" t="n">
        <x:f>L4797*M4797</x:f>
        <x:v>690</x:v>
      </x:c>
      <x:c r="P4797" s="22" t="n">
        <x:f>O4797*(1-N4797)</x:f>
        <x:v>690</x:v>
      </x:c>
      <x:c r="Q4797" s="22" t="n">
        <x:v>610</x:v>
      </x:c>
      <x:c r="R4797" s="22" t="n">
        <x:f>Q4797*M4797</x:f>
        <x:v>610</x:v>
      </x:c>
      <x:c r="S4797" s="22" t="n">
        <x:f>P4797-R4797</x:f>
        <x:v>80</x:v>
      </x:c>
      <x:c r="T4797" t="str">
        <x:v>Credit</x:v>
      </x:c>
      <x:c r="U4797" t="str">
        <x:v>Pending</x:v>
      </x:c>
      <x:c r="V4797" t="str">
        <x:v>Delivered</x:v>
      </x:c>
      <x:c r="W4797" t="n">
        <x:v>0</x:v>
      </x:c>
      <x:c r="X4797" t="str"/>
      <x:c r="Y4797" t="str">
        <x:v>WhatsApp</x:v>
      </x:c>
    </x:row>
    <x:row r="4798">
      <x:c r="A4798" t="str">
        <x:v>O004797</x:v>
      </x:c>
      <x:c r="B4798" s="20" t="n">
        <x:v>46064</x:v>
      </x:c>
      <x:c r="C4798" t="str">
        <x:v>C0193</x:v>
      </x:c>
      <x:c r="D4798" t="str">
        <x:v>Udupi Cafe 193</x:v>
      </x:c>
      <x:c r="E4798" t="str">
        <x:v>Restaurant</x:v>
      </x:c>
      <x:c r="F4798" t="str">
        <x:v>Hubballi</x:v>
      </x:c>
      <x:c r="G4798" t="str">
        <x:v>Sneha</x:v>
      </x:c>
      <x:c r="H4798" t="str">
        <x:v>P018</x:v>
      </x:c>
      <x:c r="I4798" t="str">
        <x:v>Paneer 1kg</x:v>
      </x:c>
      <x:c r="J4798" t="str">
        <x:v>Dairy</x:v>
      </x:c>
      <x:c r="K4798" t="str">
        <x:v>Milky Mist</x:v>
      </x:c>
      <x:c r="L4798" s="22" t="n">
        <x:v>410</x:v>
      </x:c>
      <x:c r="M4798" t="n">
        <x:v>18</x:v>
      </x:c>
      <x:c r="N4798" s="24" t="n">
        <x:v>0.05</x:v>
      </x:c>
      <x:c r="O4798" s="22" t="n">
        <x:f>L4798*M4798</x:f>
        <x:v>7380</x:v>
      </x:c>
      <x:c r="P4798" s="22" t="n">
        <x:f>O4798*(1-N4798)</x:f>
        <x:v>7011</x:v>
      </x:c>
      <x:c r="Q4798" s="22" t="n">
        <x:v>370</x:v>
      </x:c>
      <x:c r="R4798" s="22" t="n">
        <x:f>Q4798*M4798</x:f>
        <x:v>6660</x:v>
      </x:c>
      <x:c r="S4798" s="22" t="n">
        <x:f>P4798-R4798</x:f>
        <x:v>351</x:v>
      </x:c>
      <x:c r="T4798" t="str">
        <x:v>Credit</x:v>
      </x:c>
      <x:c r="U4798" t="str">
        <x:v>Paid</x:v>
      </x:c>
      <x:c r="V4798" t="str">
        <x:v>Delayed</x:v>
      </x:c>
      <x:c r="W4798" t="n">
        <x:v>0</x:v>
      </x:c>
      <x:c r="X4798" t="str"/>
      <x:c r="Y4798" t="str">
        <x:v>Field Visit</x:v>
      </x:c>
    </x:row>
    <x:row r="4799">
      <x:c r="A4799" t="str">
        <x:v>O004798</x:v>
      </x:c>
      <x:c r="B4799" s="20" t="n">
        <x:v>46265</x:v>
      </x:c>
      <x:c r="C4799" t="str">
        <x:v>C0022</x:v>
      </x:c>
      <x:c r="D4799" t="str">
        <x:v>Royal Hotel 22</x:v>
      </x:c>
      <x:c r="E4799" t="str">
        <x:v>Kirana</x:v>
      </x:c>
      <x:c r="F4799" t="str">
        <x:v>Bengaluru</x:v>
      </x:c>
      <x:c r="G4799" t="str">
        <x:v>Ramesh</x:v>
      </x:c>
      <x:c r="H4799" t="str">
        <x:v>P038</x:v>
      </x:c>
      <x:c r="I4799" t="str">
        <x:v>French Fries 2.5kg</x:v>
      </x:c>
      <x:c r="J4799" t="str">
        <x:v>Frozen</x:v>
      </x:c>
      <x:c r="K4799" t="str">
        <x:v>McCain</x:v>
      </x:c>
      <x:c r="L4799" s="22" t="n">
        <x:v>360</x:v>
      </x:c>
      <x:c r="M4799" t="n">
        <x:v>3</x:v>
      </x:c>
      <x:c r="N4799" s="24" t="n">
        <x:v>0.08</x:v>
      </x:c>
      <x:c r="O4799" s="22" t="n">
        <x:f>L4799*M4799</x:f>
        <x:v>1080</x:v>
      </x:c>
      <x:c r="P4799" s="22" t="n">
        <x:f>O4799*(1-N4799)</x:f>
        <x:v>993.6</x:v>
      </x:c>
      <x:c r="Q4799" s="22" t="n">
        <x:v>315</x:v>
      </x:c>
      <x:c r="R4799" s="22" t="n">
        <x:f>Q4799*M4799</x:f>
        <x:v>945</x:v>
      </x:c>
      <x:c r="S4799" s="22" t="n">
        <x:f>P4799-R4799</x:f>
        <x:v>48.60000000000002</x:v>
      </x:c>
      <x:c r="T4799" t="str">
        <x:v>Cash</x:v>
      </x:c>
      <x:c r="U4799" t="str">
        <x:v>Pending</x:v>
      </x:c>
      <x:c r="V4799" t="str">
        <x:v>Cancelled</x:v>
      </x:c>
      <x:c r="W4799" t="n">
        <x:v>3</x:v>
      </x:c>
      <x:c r="X4799" t="str">
        <x:v>Cancelled Order</x:v>
      </x:c>
      <x:c r="Y4799" t="str">
        <x:v>Referral</x:v>
      </x:c>
    </x:row>
    <x:row r="4800">
      <x:c r="A4800" t="str">
        <x:v>O004799</x:v>
      </x:c>
      <x:c r="B4800" s="20" t="n">
        <x:v>46071</x:v>
      </x:c>
      <x:c r="C4800" t="str">
        <x:v>C0048</x:v>
      </x:c>
      <x:c r="D4800" t="str">
        <x:v>Udupi Foods 48</x:v>
      </x:c>
      <x:c r="E4800" t="str">
        <x:v>Hotel</x:v>
      </x:c>
      <x:c r="F4800" t="str">
        <x:v>Bengaluru</x:v>
      </x:c>
      <x:c r="G4800" t="str">
        <x:v>Ramesh</x:v>
      </x:c>
      <x:c r="H4800" t="str">
        <x:v>P044</x:v>
      </x:c>
      <x:c r="I4800" t="str">
        <x:v>Chicken Curry Cut 1kg</x:v>
      </x:c>
      <x:c r="J4800" t="str">
        <x:v>Protein</x:v>
      </x:c>
      <x:c r="K4800" t="str">
        <x:v>FreshToHome</x:v>
      </x:c>
      <x:c r="L4800" s="22" t="n">
        <x:v>230</x:v>
      </x:c>
      <x:c r="M4800" t="n">
        <x:v>32</x:v>
      </x:c>
      <x:c r="N4800" s="24" t="n">
        <x:v>0.05</x:v>
      </x:c>
      <x:c r="O4800" s="22" t="n">
        <x:f>L4800*M4800</x:f>
        <x:v>7360</x:v>
      </x:c>
      <x:c r="P4800" s="22" t="n">
        <x:f>O4800*(1-N4800)</x:f>
        <x:v>6992</x:v>
      </x:c>
      <x:c r="Q4800" s="22" t="n">
        <x:v>205</x:v>
      </x:c>
      <x:c r="R4800" s="22" t="n">
        <x:f>Q4800*M4800</x:f>
        <x:v>6560</x:v>
      </x:c>
      <x:c r="S4800" s="22" t="n">
        <x:f>P4800-R4800</x:f>
        <x:v>432</x:v>
      </x:c>
      <x:c r="T4800" t="str">
        <x:v>UPI</x:v>
      </x:c>
      <x:c r="U4800" t="str">
        <x:v>Paid</x:v>
      </x:c>
      <x:c r="V4800" t="str">
        <x:v>Delivered</x:v>
      </x:c>
      <x:c r="W4800" t="n">
        <x:v>0</x:v>
      </x:c>
      <x:c r="X4800" t="str"/>
      <x:c r="Y4800" t="str">
        <x:v>Outbound Call</x:v>
      </x:c>
    </x:row>
    <x:row r="4801">
      <x:c r="A4801" t="str">
        <x:v>O004800</x:v>
      </x:c>
      <x:c r="B4801" s="20" t="n">
        <x:v>45833</x:v>
      </x:c>
      <x:c r="C4801" t="str">
        <x:v>C0155</x:v>
      </x:c>
      <x:c r="D4801" t="str">
        <x:v>New Mart 155</x:v>
      </x:c>
      <x:c r="E4801" t="str">
        <x:v>Hotel</x:v>
      </x:c>
      <x:c r="F4801" t="str">
        <x:v>Mysuru</x:v>
      </x:c>
      <x:c r="G4801" t="str">
        <x:v>Sneha</x:v>
      </x:c>
      <x:c r="H4801" t="str">
        <x:v>P046</x:v>
      </x:c>
      <x:c r="I4801" t="str">
        <x:v>Potato 25kg</x:v>
      </x:c>
      <x:c r="J4801" t="str">
        <x:v>Fresh Produce</x:v>
      </x:c>
      <x:c r="K4801" t="str">
        <x:v>Local Market</x:v>
      </x:c>
      <x:c r="L4801" s="22" t="n">
        <x:v>700</x:v>
      </x:c>
      <x:c r="M4801" t="n">
        <x:v>30</x:v>
      </x:c>
      <x:c r="N4801" s="24" t="n">
        <x:v>0</x:v>
      </x:c>
      <x:c r="O4801" s="22" t="n">
        <x:f>L4801*M4801</x:f>
        <x:v>21000</x:v>
      </x:c>
      <x:c r="P4801" s="22" t="n">
        <x:f>O4801*(1-N4801)</x:f>
        <x:v>21000</x:v>
      </x:c>
      <x:c r="Q4801" s="22" t="n">
        <x:v>610</x:v>
      </x:c>
      <x:c r="R4801" s="22" t="n">
        <x:f>Q4801*M4801</x:f>
        <x:v>18300</x:v>
      </x:c>
      <x:c r="S4801" s="22" t="n">
        <x:f>P4801-R4801</x:f>
        <x:v>2700</x:v>
      </x:c>
      <x:c r="T4801" t="str">
        <x:v>UPI</x:v>
      </x:c>
      <x:c r="U4801" t="str">
        <x:v>Paid</x:v>
      </x:c>
      <x:c r="V4801" t="str">
        <x:v>Delivered</x:v>
      </x:c>
      <x:c r="W4801" t="n">
        <x:v>0</x:v>
      </x:c>
      <x:c r="X4801" t="str"/>
      <x:c r="Y4801" t="str">
        <x:v>Referral</x:v>
      </x:c>
    </x:row>
    <x:row r="4802">
      <x:c r="A4802" t="str">
        <x:v>O004801</x:v>
      </x:c>
      <x:c r="B4802" s="20" t="n">
        <x:v>45803</x:v>
      </x:c>
      <x:c r="C4802" t="str">
        <x:v>C0218</x:v>
      </x:c>
      <x:c r="D4802" t="str">
        <x:v>Green Stores 218</x:v>
      </x:c>
      <x:c r="E4802" t="str">
        <x:v>Hotel</x:v>
      </x:c>
      <x:c r="F4802" t="str">
        <x:v>Mysuru</x:v>
      </x:c>
      <x:c r="G4802" t="str">
        <x:v>Imran</x:v>
      </x:c>
      <x:c r="H4802" t="str">
        <x:v>P039</x:v>
      </x:c>
      <x:c r="I4802" t="str">
        <x:v>Ice Cream 4L</x:v>
      </x:c>
      <x:c r="J4802" t="str">
        <x:v>Frozen</x:v>
      </x:c>
      <x:c r="K4802" t="str">
        <x:v>Amul</x:v>
      </x:c>
      <x:c r="L4802" s="22" t="n">
        <x:v>480</x:v>
      </x:c>
      <x:c r="M4802" t="n">
        <x:v>23</x:v>
      </x:c>
      <x:c r="N4802" s="24" t="n">
        <x:v>0</x:v>
      </x:c>
      <x:c r="O4802" s="22" t="n">
        <x:f>L4802*M4802</x:f>
        <x:v>11040</x:v>
      </x:c>
      <x:c r="P4802" s="22" t="n">
        <x:f>O4802*(1-N4802)</x:f>
        <x:v>11040</x:v>
      </x:c>
      <x:c r="Q4802" s="22" t="n">
        <x:v>420</x:v>
      </x:c>
      <x:c r="R4802" s="22" t="n">
        <x:f>Q4802*M4802</x:f>
        <x:v>9660</x:v>
      </x:c>
      <x:c r="S4802" s="22" t="n">
        <x:f>P4802-R4802</x:f>
        <x:v>1380</x:v>
      </x:c>
      <x:c r="T4802" t="str">
        <x:v>Cash</x:v>
      </x:c>
      <x:c r="U4802" t="str">
        <x:v>Paid</x:v>
      </x:c>
      <x:c r="V4802" t="str">
        <x:v>Delivered</x:v>
      </x:c>
      <x:c r="W4802" t="n">
        <x:v>0</x:v>
      </x:c>
      <x:c r="X4802" t="str"/>
      <x:c r="Y4802" t="str">
        <x:v>WhatsApp</x:v>
      </x:c>
    </x:row>
    <x:row r="4803">
      <x:c r="A4803" t="str">
        <x:v>O004802</x:v>
      </x:c>
      <x:c r="B4803" s="20" t="n">
        <x:v>46159</x:v>
      </x:c>
      <x:c r="C4803" t="str">
        <x:v>C0100</x:v>
      </x:c>
      <x:c r="D4803" t="str">
        <x:v>Fresh Mart 100</x:v>
      </x:c>
      <x:c r="E4803" t="str">
        <x:v>Restaurant</x:v>
      </x:c>
      <x:c r="F4803" t="str">
        <x:v>Mysuru</x:v>
      </x:c>
      <x:c r="G4803" t="str">
        <x:v>Imran</x:v>
      </x:c>
      <x:c r="H4803" t="str">
        <x:v>P006</x:v>
      </x:c>
      <x:c r="I4803" t="str">
        <x:v>Moong Dal 5kg</x:v>
      </x:c>
      <x:c r="J4803" t="str">
        <x:v>Pulses</x:v>
      </x:c>
      <x:c r="K4803" t="str">
        <x:v>Local Select</x:v>
      </x:c>
      <x:c r="L4803" s="22" t="n">
        <x:v>610</x:v>
      </x:c>
      <x:c r="M4803" t="n">
        <x:v>26</x:v>
      </x:c>
      <x:c r="N4803" s="24" t="n">
        <x:v>0.02</x:v>
      </x:c>
      <x:c r="O4803" s="22" t="n">
        <x:f>L4803*M4803</x:f>
        <x:v>15860</x:v>
      </x:c>
      <x:c r="P4803" s="22" t="n">
        <x:f>O4803*(1-N4803)</x:f>
        <x:v>15542.8</x:v>
      </x:c>
      <x:c r="Q4803" s="22" t="n">
        <x:v>540</x:v>
      </x:c>
      <x:c r="R4803" s="22" t="n">
        <x:f>Q4803*M4803</x:f>
        <x:v>14040</x:v>
      </x:c>
      <x:c r="S4803" s="22" t="n">
        <x:f>P4803-R4803</x:f>
        <x:v>1502.7999999999993</x:v>
      </x:c>
      <x:c r="T4803" t="str">
        <x:v>Credit</x:v>
      </x:c>
      <x:c r="U4803" t="str">
        <x:v>Paid</x:v>
      </x:c>
      <x:c r="V4803" t="str">
        <x:v>Cancelled</x:v>
      </x:c>
      <x:c r="W4803" t="n">
        <x:v>26</x:v>
      </x:c>
      <x:c r="X4803" t="str">
        <x:v>Cancelled Order</x:v>
      </x:c>
      <x:c r="Y4803" t="str">
        <x:v>Field Visit</x:v>
      </x:c>
    </x:row>
    <x:row r="4804">
      <x:c r="A4804" t="str">
        <x:v>O004803</x:v>
      </x:c>
      <x:c r="B4804" s="20" t="n">
        <x:v>46191</x:v>
      </x:c>
      <x:c r="C4804" t="str">
        <x:v>C0238</x:v>
      </x:c>
      <x:c r="D4804" t="str">
        <x:v>Foodie Foods 238</x:v>
      </x:c>
      <x:c r="E4804" t="str">
        <x:v>Restaurant</x:v>
      </x:c>
      <x:c r="F4804" t="str">
        <x:v>Davanagere</x:v>
      </x:c>
      <x:c r="G4804" t="str">
        <x:v>Megha</x:v>
      </x:c>
      <x:c r="H4804" t="str">
        <x:v>P024</x:v>
      </x:c>
      <x:c r="I4804" t="str">
        <x:v>Orange Drink 1L</x:v>
      </x:c>
      <x:c r="J4804" t="str">
        <x:v>Beverage</x:v>
      </x:c>
      <x:c r="K4804" t="str">
        <x:v>Minute Maid</x:v>
      </x:c>
      <x:c r="L4804" s="22" t="n">
        <x:v>105</x:v>
      </x:c>
      <x:c r="M4804" t="n">
        <x:v>34</x:v>
      </x:c>
      <x:c r="N4804" s="24" t="n">
        <x:v>0.1</x:v>
      </x:c>
      <x:c r="O4804" s="22" t="n">
        <x:f>L4804*M4804</x:f>
        <x:v>3570</x:v>
      </x:c>
      <x:c r="P4804" s="22" t="n">
        <x:f>O4804*(1-N4804)</x:f>
        <x:v>3213</x:v>
      </x:c>
      <x:c r="Q4804" s="22" t="n">
        <x:v>88</x:v>
      </x:c>
      <x:c r="R4804" s="22" t="n">
        <x:f>Q4804*M4804</x:f>
        <x:v>2992</x:v>
      </x:c>
      <x:c r="S4804" s="22" t="n">
        <x:f>P4804-R4804</x:f>
        <x:v>221</x:v>
      </x:c>
      <x:c r="T4804" t="str">
        <x:v>Bank Transfer</x:v>
      </x:c>
      <x:c r="U4804" t="str">
        <x:v>Paid</x:v>
      </x:c>
      <x:c r="V4804" t="str">
        <x:v>Delivered</x:v>
      </x:c>
      <x:c r="W4804" t="n">
        <x:v>0</x:v>
      </x:c>
      <x:c r="X4804" t="str"/>
      <x:c r="Y4804" t="str">
        <x:v>Existing Customer</x:v>
      </x:c>
    </x:row>
    <x:row r="4805">
      <x:c r="A4805" t="str">
        <x:v>O004804</x:v>
      </x:c>
      <x:c r="B4805" s="20" t="n">
        <x:v>45706</x:v>
      </x:c>
      <x:c r="C4805" t="str">
        <x:v>C0170</x:v>
      </x:c>
      <x:c r="D4805" t="str">
        <x:v>Green Cafe 170</x:v>
      </x:c>
      <x:c r="E4805" t="str">
        <x:v>Supermarket</x:v>
      </x:c>
      <x:c r="F4805" t="str">
        <x:v>Bengaluru</x:v>
      </x:c>
      <x:c r="G4805" t="str">
        <x:v>Sneha</x:v>
      </x:c>
      <x:c r="H4805" t="str">
        <x:v>P019</x:v>
      </x:c>
      <x:c r="I4805" t="str">
        <x:v>Tea 1kg</x:v>
      </x:c>
      <x:c r="J4805" t="str">
        <x:v>Beverage</x:v>
      </x:c>
      <x:c r="K4805" t="str">
        <x:v>Red Label</x:v>
      </x:c>
      <x:c r="L4805" s="22" t="n">
        <x:v>540</x:v>
      </x:c>
      <x:c r="M4805" t="n">
        <x:v>33</x:v>
      </x:c>
      <x:c r="N4805" s="24" t="n">
        <x:v>0</x:v>
      </x:c>
      <x:c r="O4805" s="22" t="n">
        <x:f>L4805*M4805</x:f>
        <x:v>17820</x:v>
      </x:c>
      <x:c r="P4805" s="22" t="n">
        <x:f>O4805*(1-N4805)</x:f>
        <x:v>17820</x:v>
      </x:c>
      <x:c r="Q4805" s="22" t="n">
        <x:v>485</x:v>
      </x:c>
      <x:c r="R4805" s="22" t="n">
        <x:f>Q4805*M4805</x:f>
        <x:v>16005</x:v>
      </x:c>
      <x:c r="S4805" s="22" t="n">
        <x:f>P4805-R4805</x:f>
        <x:v>1815</x:v>
      </x:c>
      <x:c r="T4805" t="str">
        <x:v>Bank Transfer</x:v>
      </x:c>
      <x:c r="U4805" t="str">
        <x:v>Paid</x:v>
      </x:c>
      <x:c r="V4805" t="str">
        <x:v>Delivered</x:v>
      </x:c>
      <x:c r="W4805" t="n">
        <x:v>0</x:v>
      </x:c>
      <x:c r="X4805" t="str"/>
      <x:c r="Y4805" t="str">
        <x:v>Outbound Call</x:v>
      </x:c>
    </x:row>
    <x:row r="4806">
      <x:c r="A4806" t="str">
        <x:v>O004805</x:v>
      </x:c>
      <x:c r="B4806" s="20" t="n">
        <x:v>45844</x:v>
      </x:c>
      <x:c r="C4806" t="str">
        <x:v>C0163</x:v>
      </x:c>
      <x:c r="D4806" t="str">
        <x:v>Shree Kitchen 163</x:v>
      </x:c>
      <x:c r="E4806" t="str">
        <x:v>Kirana</x:v>
      </x:c>
      <x:c r="F4806" t="str">
        <x:v>Mysuru</x:v>
      </x:c>
      <x:c r="G4806" t="str">
        <x:v>Priya</x:v>
      </x:c>
      <x:c r="H4806" t="str">
        <x:v>P037</x:v>
      </x:c>
      <x:c r="I4806" t="str">
        <x:v>Frozen Peas 1kg</x:v>
      </x:c>
      <x:c r="J4806" t="str">
        <x:v>Frozen</x:v>
      </x:c>
      <x:c r="K4806" t="str">
        <x:v>Safal</x:v>
      </x:c>
      <x:c r="L4806" s="22" t="n">
        <x:v>155</x:v>
      </x:c>
      <x:c r="M4806" t="n">
        <x:v>25</x:v>
      </x:c>
      <x:c r="N4806" s="24" t="n">
        <x:v>0.03</x:v>
      </x:c>
      <x:c r="O4806" s="22" t="n">
        <x:f>L4806*M4806</x:f>
        <x:v>3875</x:v>
      </x:c>
      <x:c r="P4806" s="22" t="n">
        <x:f>O4806*(1-N4806)</x:f>
        <x:v>3758.75</x:v>
      </x:c>
      <x:c r="Q4806" s="22" t="n">
        <x:v>138</x:v>
      </x:c>
      <x:c r="R4806" s="22" t="n">
        <x:f>Q4806*M4806</x:f>
        <x:v>3450</x:v>
      </x:c>
      <x:c r="S4806" s="22" t="n">
        <x:f>P4806-R4806</x:f>
        <x:v>308.75</x:v>
      </x:c>
      <x:c r="T4806" t="str">
        <x:v>Credit</x:v>
      </x:c>
      <x:c r="U4806" t="str">
        <x:v>Paid</x:v>
      </x:c>
      <x:c r="V4806" t="str">
        <x:v>Delayed</x:v>
      </x:c>
      <x:c r="W4806" t="n">
        <x:v>0</x:v>
      </x:c>
      <x:c r="X4806" t="str"/>
      <x:c r="Y4806" t="str">
        <x:v>Outbound Call</x:v>
      </x:c>
    </x:row>
    <x:row r="4807">
      <x:c r="A4807" t="str">
        <x:v>O004806</x:v>
      </x:c>
      <x:c r="B4807" s="20" t="n">
        <x:v>46260</x:v>
      </x:c>
      <x:c r="C4807" t="str">
        <x:v>C0006</x:v>
      </x:c>
      <x:c r="D4807" t="str">
        <x:v>New Restaurant 6</x:v>
      </x:c>
      <x:c r="E4807" t="str">
        <x:v>Kirana</x:v>
      </x:c>
      <x:c r="F4807" t="str">
        <x:v>Hubballi</x:v>
      </x:c>
      <x:c r="G4807" t="str">
        <x:v>Vikram</x:v>
      </x:c>
      <x:c r="H4807" t="str">
        <x:v>P031</x:v>
      </x:c>
      <x:c r="I4807" t="str">
        <x:v>Chilli Sauce 700g</x:v>
      </x:c>
      <x:c r="J4807" t="str">
        <x:v>Condiments</x:v>
      </x:c>
      <x:c r="K4807" t="str">
        <x:v>Ching's</x:v>
      </x:c>
      <x:c r="L4807" s="22" t="n">
        <x:v>130</x:v>
      </x:c>
      <x:c r="M4807" t="n">
        <x:v>24</x:v>
      </x:c>
      <x:c r="N4807" s="24" t="n">
        <x:v>0.03</x:v>
      </x:c>
      <x:c r="O4807" s="22" t="n">
        <x:f>L4807*M4807</x:f>
        <x:v>3120</x:v>
      </x:c>
      <x:c r="P4807" s="22" t="n">
        <x:f>O4807*(1-N4807)</x:f>
        <x:v>3026.4</x:v>
      </x:c>
      <x:c r="Q4807" s="22" t="n">
        <x:v>112</x:v>
      </x:c>
      <x:c r="R4807" s="22" t="n">
        <x:f>Q4807*M4807</x:f>
        <x:v>2688</x:v>
      </x:c>
      <x:c r="S4807" s="22" t="n">
        <x:f>P4807-R4807</x:f>
        <x:v>338.4000000000001</x:v>
      </x:c>
      <x:c r="T4807" t="str">
        <x:v>Bank Transfer</x:v>
      </x:c>
      <x:c r="U4807" t="str">
        <x:v>Paid</x:v>
      </x:c>
      <x:c r="V4807" t="str">
        <x:v>Delivered</x:v>
      </x:c>
      <x:c r="W4807" t="n">
        <x:v>0</x:v>
      </x:c>
      <x:c r="X4807" t="str"/>
      <x:c r="Y4807" t="str">
        <x:v>Referral</x:v>
      </x:c>
    </x:row>
    <x:row r="4808">
      <x:c r="A4808" t="str">
        <x:v>O004807</x:v>
      </x:c>
      <x:c r="B4808" s="20" t="n">
        <x:v>45864</x:v>
      </x:c>
      <x:c r="C4808" t="str">
        <x:v>C0094</x:v>
      </x:c>
      <x:c r="D4808" t="str">
        <x:v>Mysore Mart 94</x:v>
      </x:c>
      <x:c r="E4808" t="str">
        <x:v>Restaurant</x:v>
      </x:c>
      <x:c r="F4808" t="str">
        <x:v>Hubballi</x:v>
      </x:c>
      <x:c r="G4808" t="str">
        <x:v>Sneha</x:v>
      </x:c>
      <x:c r="H4808" t="str">
        <x:v>P001</x:v>
      </x:c>
      <x:c r="I4808" t="str">
        <x:v>Steam Rice 25kg</x:v>
      </x:c>
      <x:c r="J4808" t="str">
        <x:v>Staples</x:v>
      </x:c>
      <x:c r="K4808" t="str">
        <x:v>Aishwarya</x:v>
      </x:c>
      <x:c r="L4808" s="22" t="n">
        <x:v>1180</x:v>
      </x:c>
      <x:c r="M4808" t="n">
        <x:v>11</x:v>
      </x:c>
      <x:c r="N4808" s="24" t="n">
        <x:v>0.05</x:v>
      </x:c>
      <x:c r="O4808" s="22" t="n">
        <x:f>L4808*M4808</x:f>
        <x:v>12980</x:v>
      </x:c>
      <x:c r="P4808" s="22" t="n">
        <x:f>O4808*(1-N4808)</x:f>
        <x:v>12331</x:v>
      </x:c>
      <x:c r="Q4808" s="22" t="n">
        <x:v>1040</x:v>
      </x:c>
      <x:c r="R4808" s="22" t="n">
        <x:f>Q4808*M4808</x:f>
        <x:v>11440</x:v>
      </x:c>
      <x:c r="S4808" s="22" t="n">
        <x:f>P4808-R4808</x:f>
        <x:v>891</x:v>
      </x:c>
      <x:c r="T4808" t="str">
        <x:v>Cash</x:v>
      </x:c>
      <x:c r="U4808" t="str">
        <x:v>Paid</x:v>
      </x:c>
      <x:c r="V4808" t="str">
        <x:v>Delivered</x:v>
      </x:c>
      <x:c r="W4808" t="n">
        <x:v>0</x:v>
      </x:c>
      <x:c r="X4808" t="str"/>
      <x:c r="Y4808" t="str">
        <x:v>Existing Customer</x:v>
      </x:c>
    </x:row>
    <x:row r="4809">
      <x:c r="A4809" t="str">
        <x:v>O004808</x:v>
      </x:c>
      <x:c r="B4809" s="20" t="n">
        <x:v>46121</x:v>
      </x:c>
      <x:c r="C4809" t="str">
        <x:v>C0230</x:v>
      </x:c>
      <x:c r="D4809" t="str">
        <x:v>Darshini Foods 230</x:v>
      </x:c>
      <x:c r="E4809" t="str">
        <x:v>Restaurant</x:v>
      </x:c>
      <x:c r="F4809" t="str">
        <x:v>Davanagere</x:v>
      </x:c>
      <x:c r="G4809" t="str">
        <x:v>Priya</x:v>
      </x:c>
      <x:c r="H4809" t="str">
        <x:v>P015</x:v>
      </x:c>
      <x:c r="I4809" t="str">
        <x:v>Milk 1L</x:v>
      </x:c>
      <x:c r="J4809" t="str">
        <x:v>Dairy</x:v>
      </x:c>
      <x:c r="K4809" t="str">
        <x:v>Nandini</x:v>
      </x:c>
      <x:c r="L4809" s="22" t="n">
        <x:v>48</x:v>
      </x:c>
      <x:c r="M4809" t="n">
        <x:v>6</x:v>
      </x:c>
      <x:c r="N4809" s="24" t="n">
        <x:v>0.02</x:v>
      </x:c>
      <x:c r="O4809" s="22" t="n">
        <x:f>L4809*M4809</x:f>
        <x:v>288</x:v>
      </x:c>
      <x:c r="P4809" s="22" t="n">
        <x:f>O4809*(1-N4809)</x:f>
        <x:v>282.24</x:v>
      </x:c>
      <x:c r="Q4809" s="22" t="n">
        <x:v>43</x:v>
      </x:c>
      <x:c r="R4809" s="22" t="n">
        <x:f>Q4809*M4809</x:f>
        <x:v>258</x:v>
      </x:c>
      <x:c r="S4809" s="22" t="n">
        <x:f>P4809-R4809</x:f>
        <x:v>24.24000000000001</x:v>
      </x:c>
      <x:c r="T4809" t="str">
        <x:v>UPI</x:v>
      </x:c>
      <x:c r="U4809" t="str">
        <x:v>Paid</x:v>
      </x:c>
      <x:c r="V4809" t="str">
        <x:v>Delivered</x:v>
      </x:c>
      <x:c r="W4809" t="n">
        <x:v>0</x:v>
      </x:c>
      <x:c r="X4809" t="str"/>
      <x:c r="Y4809" t="str">
        <x:v>Referral</x:v>
      </x:c>
    </x:row>
    <x:row r="4810">
      <x:c r="A4810" t="str">
        <x:v>O004809</x:v>
      </x:c>
      <x:c r="B4810" s="20" t="n">
        <x:v>46250</x:v>
      </x:c>
      <x:c r="C4810" t="str">
        <x:v>C0146</x:v>
      </x:c>
      <x:c r="D4810" t="str">
        <x:v>Annapurna Hotel 146</x:v>
      </x:c>
      <x:c r="E4810" t="str">
        <x:v>Restaurant</x:v>
      </x:c>
      <x:c r="F4810" t="str">
        <x:v>Davanagere</x:v>
      </x:c>
      <x:c r="G4810" t="str">
        <x:v>Arjun</x:v>
      </x:c>
      <x:c r="H4810" t="str">
        <x:v>P015</x:v>
      </x:c>
      <x:c r="I4810" t="str">
        <x:v>Milk 1L</x:v>
      </x:c>
      <x:c r="J4810" t="str">
        <x:v>Dairy</x:v>
      </x:c>
      <x:c r="K4810" t="str">
        <x:v>Nandini</x:v>
      </x:c>
      <x:c r="L4810" s="22" t="n">
        <x:v>48</x:v>
      </x:c>
      <x:c r="M4810" t="n">
        <x:v>12</x:v>
      </x:c>
      <x:c r="N4810" s="24" t="n">
        <x:v>0.05</x:v>
      </x:c>
      <x:c r="O4810" s="22" t="n">
        <x:f>L4810*M4810</x:f>
        <x:v>576</x:v>
      </x:c>
      <x:c r="P4810" s="22" t="n">
        <x:f>O4810*(1-N4810)</x:f>
        <x:v>547.1999999999999</x:v>
      </x:c>
      <x:c r="Q4810" s="22" t="n">
        <x:v>43</x:v>
      </x:c>
      <x:c r="R4810" s="22" t="n">
        <x:f>Q4810*M4810</x:f>
        <x:v>516</x:v>
      </x:c>
      <x:c r="S4810" s="22" t="n">
        <x:f>P4810-R4810</x:f>
        <x:v>31.199999999999932</x:v>
      </x:c>
      <x:c r="T4810" t="str">
        <x:v>Credit</x:v>
      </x:c>
      <x:c r="U4810" t="str">
        <x:v>Overdue</x:v>
      </x:c>
      <x:c r="V4810" t="str">
        <x:v>Cancelled</x:v>
      </x:c>
      <x:c r="W4810" t="n">
        <x:v>12</x:v>
      </x:c>
      <x:c r="X4810" t="str">
        <x:v>Cancelled Order</x:v>
      </x:c>
      <x:c r="Y4810" t="str">
        <x:v>Existing Customer</x:v>
      </x:c>
    </x:row>
    <x:row r="4811">
      <x:c r="A4811" t="str">
        <x:v>O004810</x:v>
      </x:c>
      <x:c r="B4811" s="20" t="n">
        <x:v>45993</x:v>
      </x:c>
      <x:c r="C4811" t="str">
        <x:v>C0224</x:v>
      </x:c>
      <x:c r="D4811" t="str">
        <x:v>Royal Foods 224</x:v>
      </x:c>
      <x:c r="E4811" t="str">
        <x:v>Canteen</x:v>
      </x:c>
      <x:c r="F4811" t="str">
        <x:v>Tumakuru</x:v>
      </x:c>
      <x:c r="G4811" t="str">
        <x:v>Arjun</x:v>
      </x:c>
      <x:c r="H4811" t="str">
        <x:v>P037</x:v>
      </x:c>
      <x:c r="I4811" t="str">
        <x:v>Frozen Peas 1kg</x:v>
      </x:c>
      <x:c r="J4811" t="str">
        <x:v>Frozen</x:v>
      </x:c>
      <x:c r="K4811" t="str">
        <x:v>Safal</x:v>
      </x:c>
      <x:c r="L4811" s="22" t="n">
        <x:v>155</x:v>
      </x:c>
      <x:c r="M4811" t="n">
        <x:v>17</x:v>
      </x:c>
      <x:c r="N4811" s="24" t="n">
        <x:v>0</x:v>
      </x:c>
      <x:c r="O4811" s="22" t="n">
        <x:f>L4811*M4811</x:f>
        <x:v>2635</x:v>
      </x:c>
      <x:c r="P4811" s="22" t="n">
        <x:f>O4811*(1-N4811)</x:f>
        <x:v>2635</x:v>
      </x:c>
      <x:c r="Q4811" s="22" t="n">
        <x:v>138</x:v>
      </x:c>
      <x:c r="R4811" s="22" t="n">
        <x:f>Q4811*M4811</x:f>
        <x:v>2346</x:v>
      </x:c>
      <x:c r="S4811" s="22" t="n">
        <x:f>P4811-R4811</x:f>
        <x:v>289</x:v>
      </x:c>
      <x:c r="T4811" t="str">
        <x:v>Credit</x:v>
      </x:c>
      <x:c r="U4811" t="str">
        <x:v>Pending</x:v>
      </x:c>
      <x:c r="V4811" t="str">
        <x:v>Delivered</x:v>
      </x:c>
      <x:c r="W4811" t="n">
        <x:v>0</x:v>
      </x:c>
      <x:c r="X4811" t="str"/>
      <x:c r="Y4811" t="str">
        <x:v>Referral</x:v>
      </x:c>
    </x:row>
    <x:row r="4812">
      <x:c r="A4812" t="str">
        <x:v>O004811</x:v>
      </x:c>
      <x:c r="B4812" s="20" t="n">
        <x:v>46181</x:v>
      </x:c>
      <x:c r="C4812" t="str">
        <x:v>C0188</x:v>
      </x:c>
      <x:c r="D4812" t="str">
        <x:v>New Canteen 188</x:v>
      </x:c>
      <x:c r="E4812" t="str">
        <x:v>Restaurant</x:v>
      </x:c>
      <x:c r="F4812" t="str">
        <x:v>Bengaluru</x:v>
      </x:c>
      <x:c r="G4812" t="str">
        <x:v>Kavya</x:v>
      </x:c>
      <x:c r="H4812" t="str">
        <x:v>P037</x:v>
      </x:c>
      <x:c r="I4812" t="str">
        <x:v>Frozen Peas 1kg</x:v>
      </x:c>
      <x:c r="J4812" t="str">
        <x:v>Frozen</x:v>
      </x:c>
      <x:c r="K4812" t="str">
        <x:v>Safal</x:v>
      </x:c>
      <x:c r="L4812" s="22" t="n">
        <x:v>155</x:v>
      </x:c>
      <x:c r="M4812" t="n">
        <x:v>14</x:v>
      </x:c>
      <x:c r="N4812" s="24" t="n">
        <x:v>0</x:v>
      </x:c>
      <x:c r="O4812" s="22" t="n">
        <x:f>L4812*M4812</x:f>
        <x:v>2170</x:v>
      </x:c>
      <x:c r="P4812" s="22" t="n">
        <x:f>O4812*(1-N4812)</x:f>
        <x:v>2170</x:v>
      </x:c>
      <x:c r="Q4812" s="22" t="n">
        <x:v>138</x:v>
      </x:c>
      <x:c r="R4812" s="22" t="n">
        <x:f>Q4812*M4812</x:f>
        <x:v>1932</x:v>
      </x:c>
      <x:c r="S4812" s="22" t="n">
        <x:f>P4812-R4812</x:f>
        <x:v>238</x:v>
      </x:c>
      <x:c r="T4812" t="str">
        <x:v>Cash</x:v>
      </x:c>
      <x:c r="U4812" t="str">
        <x:v>Paid</x:v>
      </x:c>
      <x:c r="V4812" t="str">
        <x:v>Delivered</x:v>
      </x:c>
      <x:c r="W4812" t="n">
        <x:v>0</x:v>
      </x:c>
      <x:c r="X4812" t="str"/>
      <x:c r="Y4812" t="str">
        <x:v>Existing Customer</x:v>
      </x:c>
    </x:row>
    <x:row r="4813">
      <x:c r="A4813" t="str">
        <x:v>O004812</x:v>
      </x:c>
      <x:c r="B4813" s="20" t="n">
        <x:v>46284</x:v>
      </x:c>
      <x:c r="C4813" t="str">
        <x:v>C0158</x:v>
      </x:c>
      <x:c r="D4813" t="str">
        <x:v>Cafe Stores 158</x:v>
      </x:c>
      <x:c r="E4813" t="str">
        <x:v>Cafe</x:v>
      </x:c>
      <x:c r="F4813" t="str">
        <x:v>Mysuru</x:v>
      </x:c>
      <x:c r="G4813" t="str">
        <x:v>Priya</x:v>
      </x:c>
      <x:c r="H4813" t="str">
        <x:v>P023</x:v>
      </x:c>
      <x:c r="I4813" t="str">
        <x:v>Cola 750ml</x:v>
      </x:c>
      <x:c r="J4813" t="str">
        <x:v>Beverage</x:v>
      </x:c>
      <x:c r="K4813" t="str">
        <x:v>Coca-Cola</x:v>
      </x:c>
      <x:c r="L4813" s="22" t="n">
        <x:v>38</x:v>
      </x:c>
      <x:c r="M4813" t="n">
        <x:v>33</x:v>
      </x:c>
      <x:c r="N4813" s="24" t="n">
        <x:v>0</x:v>
      </x:c>
      <x:c r="O4813" s="22" t="n">
        <x:f>L4813*M4813</x:f>
        <x:v>1254</x:v>
      </x:c>
      <x:c r="P4813" s="22" t="n">
        <x:f>O4813*(1-N4813)</x:f>
        <x:v>1254</x:v>
      </x:c>
      <x:c r="Q4813" s="22" t="n">
        <x:v>31</x:v>
      </x:c>
      <x:c r="R4813" s="22" t="n">
        <x:f>Q4813*M4813</x:f>
        <x:v>1023</x:v>
      </x:c>
      <x:c r="S4813" s="22" t="n">
        <x:f>P4813-R4813</x:f>
        <x:v>231</x:v>
      </x:c>
      <x:c r="T4813" t="str">
        <x:v>Credit</x:v>
      </x:c>
      <x:c r="U4813" t="str">
        <x:v>Overdue</x:v>
      </x:c>
      <x:c r="V4813" t="str">
        <x:v>Cancelled</x:v>
      </x:c>
      <x:c r="W4813" t="n">
        <x:v>33</x:v>
      </x:c>
      <x:c r="X4813" t="str">
        <x:v>Cancelled Order</x:v>
      </x:c>
      <x:c r="Y4813" t="str">
        <x:v>Existing Customer</x:v>
      </x:c>
    </x:row>
    <x:row r="4814">
      <x:c r="A4814" t="str">
        <x:v>O004813</x:v>
      </x:c>
      <x:c r="B4814" s="20" t="n">
        <x:v>45689</x:v>
      </x:c>
      <x:c r="C4814" t="str">
        <x:v>C0205</x:v>
      </x:c>
      <x:c r="D4814" t="str">
        <x:v>Royal Mart 205</x:v>
      </x:c>
      <x:c r="E4814" t="str">
        <x:v>Kirana</x:v>
      </x:c>
      <x:c r="F4814" t="str">
        <x:v>Mysuru</x:v>
      </x:c>
      <x:c r="G4814" t="str">
        <x:v>Priya</x:v>
      </x:c>
      <x:c r="H4814" t="str">
        <x:v>P033</x:v>
      </x:c>
      <x:c r="I4814" t="str">
        <x:v>Turmeric Powder 1kg</x:v>
      </x:c>
      <x:c r="J4814" t="str">
        <x:v>Spices</x:v>
      </x:c>
      <x:c r="K4814" t="str">
        <x:v>Everest</x:v>
      </x:c>
      <x:c r="L4814" s="22" t="n">
        <x:v>310</x:v>
      </x:c>
      <x:c r="M4814" t="n">
        <x:v>39</x:v>
      </x:c>
      <x:c r="N4814" s="24" t="n">
        <x:v>0.03</x:v>
      </x:c>
      <x:c r="O4814" s="22" t="n">
        <x:f>L4814*M4814</x:f>
        <x:v>12090</x:v>
      </x:c>
      <x:c r="P4814" s="22" t="n">
        <x:f>O4814*(1-N4814)</x:f>
        <x:v>11727.3</x:v>
      </x:c>
      <x:c r="Q4814" s="22" t="n">
        <x:v>270</x:v>
      </x:c>
      <x:c r="R4814" s="22" t="n">
        <x:f>Q4814*M4814</x:f>
        <x:v>10530</x:v>
      </x:c>
      <x:c r="S4814" s="22" t="n">
        <x:f>P4814-R4814</x:f>
        <x:v>1197.2999999999993</x:v>
      </x:c>
      <x:c r="T4814" t="str">
        <x:v>UPI</x:v>
      </x:c>
      <x:c r="U4814" t="str">
        <x:v>Paid</x:v>
      </x:c>
      <x:c r="V4814" t="str">
        <x:v>Delayed</x:v>
      </x:c>
      <x:c r="W4814" t="n">
        <x:v>0</x:v>
      </x:c>
      <x:c r="X4814" t="str"/>
      <x:c r="Y4814" t="str">
        <x:v>Referral</x:v>
      </x:c>
    </x:row>
    <x:row r="4815">
      <x:c r="A4815" t="str">
        <x:v>O004814</x:v>
      </x:c>
      <x:c r="B4815" s="20" t="n">
        <x:v>46106</x:v>
      </x:c>
      <x:c r="C4815" t="str">
        <x:v>C0186</x:v>
      </x:c>
      <x:c r="D4815" t="str">
        <x:v>Namma Stores 186</x:v>
      </x:c>
      <x:c r="E4815" t="str">
        <x:v>Supermarket</x:v>
      </x:c>
      <x:c r="F4815" t="str">
        <x:v>Mysuru</x:v>
      </x:c>
      <x:c r="G4815" t="str">
        <x:v>Vikram</x:v>
      </x:c>
      <x:c r="H4815" t="str">
        <x:v>P012</x:v>
      </x:c>
      <x:c r="I4815" t="str">
        <x:v>Maida 10kg</x:v>
      </x:c>
      <x:c r="J4815" t="str">
        <x:v>Flour</x:v>
      </x:c>
      <x:c r="K4815" t="str">
        <x:v>Aashirvaad</x:v>
      </x:c>
      <x:c r="L4815" s="22" t="n">
        <x:v>520</x:v>
      </x:c>
      <x:c r="M4815" t="n">
        <x:v>10</x:v>
      </x:c>
      <x:c r="N4815" s="24" t="n">
        <x:v>0.1</x:v>
      </x:c>
      <x:c r="O4815" s="22" t="n">
        <x:f>L4815*M4815</x:f>
        <x:v>5200</x:v>
      </x:c>
      <x:c r="P4815" s="22" t="n">
        <x:f>O4815*(1-N4815)</x:f>
        <x:v>4680</x:v>
      </x:c>
      <x:c r="Q4815" s="22" t="n">
        <x:v>460</x:v>
      </x:c>
      <x:c r="R4815" s="22" t="n">
        <x:f>Q4815*M4815</x:f>
        <x:v>4600</x:v>
      </x:c>
      <x:c r="S4815" s="22" t="n">
        <x:f>P4815-R4815</x:f>
        <x:v>80</x:v>
      </x:c>
      <x:c r="T4815" t="str">
        <x:v>Cash</x:v>
      </x:c>
      <x:c r="U4815" t="str">
        <x:v>Paid</x:v>
      </x:c>
      <x:c r="V4815" t="str">
        <x:v>Delivered</x:v>
      </x:c>
      <x:c r="W4815" t="n">
        <x:v>0</x:v>
      </x:c>
      <x:c r="X4815" t="str"/>
      <x:c r="Y4815" t="str">
        <x:v>Field Visit</x:v>
      </x:c>
    </x:row>
    <x:row r="4816">
      <x:c r="A4816" t="str">
        <x:v>O004815</x:v>
      </x:c>
      <x:c r="B4816" s="20" t="n">
        <x:v>46158</x:v>
      </x:c>
      <x:c r="C4816" t="str">
        <x:v>C0035</x:v>
      </x:c>
      <x:c r="D4816" t="str">
        <x:v>City Foods 35</x:v>
      </x:c>
      <x:c r="E4816" t="str">
        <x:v>Kirana</x:v>
      </x:c>
      <x:c r="F4816" t="str">
        <x:v>Bengaluru</x:v>
      </x:c>
      <x:c r="G4816" t="str">
        <x:v>Megha</x:v>
      </x:c>
      <x:c r="H4816" t="str">
        <x:v>P025</x:v>
      </x:c>
      <x:c r="I4816" t="str">
        <x:v>Potato Chips 100g</x:v>
      </x:c>
      <x:c r="J4816" t="str">
        <x:v>Snacks</x:v>
      </x:c>
      <x:c r="K4816" t="str">
        <x:v>Lay's</x:v>
      </x:c>
      <x:c r="L4816" s="22" t="n">
        <x:v>35</x:v>
      </x:c>
      <x:c r="M4816" t="n">
        <x:v>15</x:v>
      </x:c>
      <x:c r="N4816" s="24" t="n">
        <x:v>0.05</x:v>
      </x:c>
      <x:c r="O4816" s="22" t="n">
        <x:f>L4816*M4816</x:f>
        <x:v>525</x:v>
      </x:c>
      <x:c r="P4816" s="22" t="n">
        <x:f>O4816*(1-N4816)</x:f>
        <x:v>498.75</x:v>
      </x:c>
      <x:c r="Q4816" s="22" t="n">
        <x:v>27</x:v>
      </x:c>
      <x:c r="R4816" s="22" t="n">
        <x:f>Q4816*M4816</x:f>
        <x:v>405</x:v>
      </x:c>
      <x:c r="S4816" s="22" t="n">
        <x:f>P4816-R4816</x:f>
        <x:v>93.75</x:v>
      </x:c>
      <x:c r="T4816" t="str">
        <x:v>Credit</x:v>
      </x:c>
      <x:c r="U4816" t="str">
        <x:v>Paid</x:v>
      </x:c>
      <x:c r="V4816" t="str">
        <x:v>Delivered</x:v>
      </x:c>
      <x:c r="W4816" t="n">
        <x:v>0</x:v>
      </x:c>
      <x:c r="X4816" t="str"/>
      <x:c r="Y4816" t="str">
        <x:v>Field Visit</x:v>
      </x:c>
    </x:row>
    <x:row r="4817">
      <x:c r="A4817" t="str">
        <x:v>O004816</x:v>
      </x:c>
      <x:c r="B4817" s="20" t="n">
        <x:v>45985</x:v>
      </x:c>
      <x:c r="C4817" t="str">
        <x:v>C0061</x:v>
      </x:c>
      <x:c r="D4817" t="str">
        <x:v>Spice Stores 61</x:v>
      </x:c>
      <x:c r="E4817" t="str">
        <x:v>Restaurant</x:v>
      </x:c>
      <x:c r="F4817" t="str">
        <x:v>Tumakuru</x:v>
      </x:c>
      <x:c r="G4817" t="str">
        <x:v>Ramesh</x:v>
      </x:c>
      <x:c r="H4817" t="str">
        <x:v>P010</x:v>
      </x:c>
      <x:c r="I4817" t="str">
        <x:v>Sugar 25kg</x:v>
      </x:c>
      <x:c r="J4817" t="str">
        <x:v>Staples</x:v>
      </x:c>
      <x:c r="K4817" t="str">
        <x:v>Madhur</x:v>
      </x:c>
      <x:c r="L4817" s="22" t="n">
        <x:v>1190</x:v>
      </x:c>
      <x:c r="M4817" t="n">
        <x:v>2</x:v>
      </x:c>
      <x:c r="N4817" s="24" t="n">
        <x:v>0.02</x:v>
      </x:c>
      <x:c r="O4817" s="22" t="n">
        <x:f>L4817*M4817</x:f>
        <x:v>2380</x:v>
      </x:c>
      <x:c r="P4817" s="22" t="n">
        <x:f>O4817*(1-N4817)</x:f>
        <x:v>2332.4</x:v>
      </x:c>
      <x:c r="Q4817" s="22" t="n">
        <x:v>1080</x:v>
      </x:c>
      <x:c r="R4817" s="22" t="n">
        <x:f>Q4817*M4817</x:f>
        <x:v>2160</x:v>
      </x:c>
      <x:c r="S4817" s="22" t="n">
        <x:f>P4817-R4817</x:f>
        <x:v>172.4000000000001</x:v>
      </x:c>
      <x:c r="T4817" t="str">
        <x:v>Bank Transfer</x:v>
      </x:c>
      <x:c r="U4817" t="str">
        <x:v>Pending</x:v>
      </x:c>
      <x:c r="V4817" t="str">
        <x:v>Delivered</x:v>
      </x:c>
      <x:c r="W4817" t="n">
        <x:v>0</x:v>
      </x:c>
      <x:c r="X4817" t="str"/>
      <x:c r="Y4817" t="str">
        <x:v>WhatsApp</x:v>
      </x:c>
    </x:row>
    <x:row r="4818">
      <x:c r="A4818" t="str">
        <x:v>O004817</x:v>
      </x:c>
      <x:c r="B4818" s="20" t="n">
        <x:v>46062</x:v>
      </x:c>
      <x:c r="C4818" t="str">
        <x:v>C0025</x:v>
      </x:c>
      <x:c r="D4818" t="str">
        <x:v>Sri Cafe 25</x:v>
      </x:c>
      <x:c r="E4818" t="str">
        <x:v>Hotel</x:v>
      </x:c>
      <x:c r="F4818" t="str">
        <x:v>Mysuru</x:v>
      </x:c>
      <x:c r="G4818" t="str">
        <x:v>Kavya</x:v>
      </x:c>
      <x:c r="H4818" t="str">
        <x:v>P006</x:v>
      </x:c>
      <x:c r="I4818" t="str">
        <x:v>Moong Dal 5kg</x:v>
      </x:c>
      <x:c r="J4818" t="str">
        <x:v>Pulses</x:v>
      </x:c>
      <x:c r="K4818" t="str">
        <x:v>Local Select</x:v>
      </x:c>
      <x:c r="L4818" s="22" t="n">
        <x:v>610</x:v>
      </x:c>
      <x:c r="M4818" t="n">
        <x:v>22</x:v>
      </x:c>
      <x:c r="N4818" s="24" t="n">
        <x:v>0.05</x:v>
      </x:c>
      <x:c r="O4818" s="22" t="n">
        <x:f>L4818*M4818</x:f>
        <x:v>13420</x:v>
      </x:c>
      <x:c r="P4818" s="22" t="n">
        <x:f>O4818*(1-N4818)</x:f>
        <x:v>12749</x:v>
      </x:c>
      <x:c r="Q4818" s="22" t="n">
        <x:v>540</x:v>
      </x:c>
      <x:c r="R4818" s="22" t="n">
        <x:f>Q4818*M4818</x:f>
        <x:v>11880</x:v>
      </x:c>
      <x:c r="S4818" s="22" t="n">
        <x:f>P4818-R4818</x:f>
        <x:v>869</x:v>
      </x:c>
      <x:c r="T4818" t="str">
        <x:v>UPI</x:v>
      </x:c>
      <x:c r="U4818" t="str">
        <x:v>Paid</x:v>
      </x:c>
      <x:c r="V4818" t="str">
        <x:v>Delayed</x:v>
      </x:c>
      <x:c r="W4818" t="n">
        <x:v>0</x:v>
      </x:c>
      <x:c r="X4818" t="str"/>
      <x:c r="Y4818" t="str">
        <x:v>WhatsApp</x:v>
      </x:c>
    </x:row>
    <x:row r="4819">
      <x:c r="A4819" t="str">
        <x:v>O004818</x:v>
      </x:c>
      <x:c r="B4819" s="20" t="n">
        <x:v>46265</x:v>
      </x:c>
      <x:c r="C4819" t="str">
        <x:v>C0246</x:v>
      </x:c>
      <x:c r="D4819" t="str">
        <x:v>City Hotel 246</x:v>
      </x:c>
      <x:c r="E4819" t="str">
        <x:v>Supermarket</x:v>
      </x:c>
      <x:c r="F4819" t="str">
        <x:v>Mangaluru</x:v>
      </x:c>
      <x:c r="G4819" t="str">
        <x:v>Kavya</x:v>
      </x:c>
      <x:c r="H4819" t="str">
        <x:v>P019</x:v>
      </x:c>
      <x:c r="I4819" t="str">
        <x:v>Tea 1kg</x:v>
      </x:c>
      <x:c r="J4819" t="str">
        <x:v>Beverage</x:v>
      </x:c>
      <x:c r="K4819" t="str">
        <x:v>Red Label</x:v>
      </x:c>
      <x:c r="L4819" s="22" t="n">
        <x:v>540</x:v>
      </x:c>
      <x:c r="M4819" t="n">
        <x:v>21</x:v>
      </x:c>
      <x:c r="N4819" s="24" t="n">
        <x:v>0.08</x:v>
      </x:c>
      <x:c r="O4819" s="22" t="n">
        <x:f>L4819*M4819</x:f>
        <x:v>11340</x:v>
      </x:c>
      <x:c r="P4819" s="22" t="n">
        <x:f>O4819*(1-N4819)</x:f>
        <x:v>10432.800000000001</x:v>
      </x:c>
      <x:c r="Q4819" s="22" t="n">
        <x:v>485</x:v>
      </x:c>
      <x:c r="R4819" s="22" t="n">
        <x:f>Q4819*M4819</x:f>
        <x:v>10185</x:v>
      </x:c>
      <x:c r="S4819" s="22" t="n">
        <x:f>P4819-R4819</x:f>
        <x:v>247.8000000000011</x:v>
      </x:c>
      <x:c r="T4819" t="str">
        <x:v>Bank Transfer</x:v>
      </x:c>
      <x:c r="U4819" t="str">
        <x:v>Paid</x:v>
      </x:c>
      <x:c r="V4819" t="str">
        <x:v>Delivered</x:v>
      </x:c>
      <x:c r="W4819" t="n">
        <x:v>0</x:v>
      </x:c>
      <x:c r="X4819" t="str"/>
      <x:c r="Y4819" t="str">
        <x:v>Outbound Call</x:v>
      </x:c>
    </x:row>
    <x:row r="4820">
      <x:c r="A4820" t="str">
        <x:v>O004819</x:v>
      </x:c>
      <x:c r="B4820" s="20" t="n">
        <x:v>46133</x:v>
      </x:c>
      <x:c r="C4820" t="str">
        <x:v>C0244</x:v>
      </x:c>
      <x:c r="D4820" t="str">
        <x:v>Namma Hotel 244</x:v>
      </x:c>
      <x:c r="E4820" t="str">
        <x:v>Kirana</x:v>
      </x:c>
      <x:c r="F4820" t="str">
        <x:v>Tumakuru</x:v>
      </x:c>
      <x:c r="G4820" t="str">
        <x:v>Sneha</x:v>
      </x:c>
      <x:c r="H4820" t="str">
        <x:v>P022</x:v>
      </x:c>
      <x:c r="I4820" t="str">
        <x:v>Mineral Water 1L</x:v>
      </x:c>
      <x:c r="J4820" t="str">
        <x:v>Beverage</x:v>
      </x:c>
      <x:c r="K4820" t="str">
        <x:v>Bisleri</x:v>
      </x:c>
      <x:c r="L4820" s="22" t="n">
        <x:v>19</x:v>
      </x:c>
      <x:c r="M4820" t="n">
        <x:v>21</x:v>
      </x:c>
      <x:c r="N4820" s="24" t="n">
        <x:v>0.05</x:v>
      </x:c>
      <x:c r="O4820" s="22" t="n">
        <x:f>L4820*M4820</x:f>
        <x:v>399</x:v>
      </x:c>
      <x:c r="P4820" s="22" t="n">
        <x:f>O4820*(1-N4820)</x:f>
        <x:v>379.04999999999995</x:v>
      </x:c>
      <x:c r="Q4820" s="22" t="n">
        <x:v>15</x:v>
      </x:c>
      <x:c r="R4820" s="22" t="n">
        <x:f>Q4820*M4820</x:f>
        <x:v>315</x:v>
      </x:c>
      <x:c r="S4820" s="22" t="n">
        <x:f>P4820-R4820</x:f>
        <x:v>64.04999999999995</x:v>
      </x:c>
      <x:c r="T4820" t="str">
        <x:v>Credit</x:v>
      </x:c>
      <x:c r="U4820" t="str">
        <x:v>Paid</x:v>
      </x:c>
      <x:c r="V4820" t="str">
        <x:v>Delivered</x:v>
      </x:c>
      <x:c r="W4820" t="n">
        <x:v>0</x:v>
      </x:c>
      <x:c r="X4820" t="str"/>
      <x:c r="Y4820" t="str">
        <x:v>WhatsApp</x:v>
      </x:c>
    </x:row>
    <x:row r="4821">
      <x:c r="A4821" t="str">
        <x:v>O004820</x:v>
      </x:c>
      <x:c r="B4821" s="20" t="n">
        <x:v>46182</x:v>
      </x:c>
      <x:c r="C4821" t="str">
        <x:v>C0175</x:v>
      </x:c>
      <x:c r="D4821" t="str">
        <x:v>Namma Mart 175</x:v>
      </x:c>
      <x:c r="E4821" t="str">
        <x:v>Hotel</x:v>
      </x:c>
      <x:c r="F4821" t="str">
        <x:v>Davanagere</x:v>
      </x:c>
      <x:c r="G4821" t="str">
        <x:v>Sneha</x:v>
      </x:c>
      <x:c r="H4821" t="str">
        <x:v>P006</x:v>
      </x:c>
      <x:c r="I4821" t="str">
        <x:v>Moong Dal 5kg</x:v>
      </x:c>
      <x:c r="J4821" t="str">
        <x:v>Pulses</x:v>
      </x:c>
      <x:c r="K4821" t="str">
        <x:v>Local Select</x:v>
      </x:c>
      <x:c r="L4821" s="22" t="n">
        <x:v>610</x:v>
      </x:c>
      <x:c r="M4821" t="n">
        <x:v>6</x:v>
      </x:c>
      <x:c r="N4821" s="24" t="n">
        <x:v>0</x:v>
      </x:c>
      <x:c r="O4821" s="22" t="n">
        <x:f>L4821*M4821</x:f>
        <x:v>3660</x:v>
      </x:c>
      <x:c r="P4821" s="22" t="n">
        <x:f>O4821*(1-N4821)</x:f>
        <x:v>3660</x:v>
      </x:c>
      <x:c r="Q4821" s="22" t="n">
        <x:v>540</x:v>
      </x:c>
      <x:c r="R4821" s="22" t="n">
        <x:f>Q4821*M4821</x:f>
        <x:v>3240</x:v>
      </x:c>
      <x:c r="S4821" s="22" t="n">
        <x:f>P4821-R4821</x:f>
        <x:v>420</x:v>
      </x:c>
      <x:c r="T4821" t="str">
        <x:v>Bank Transfer</x:v>
      </x:c>
      <x:c r="U4821" t="str">
        <x:v>Paid</x:v>
      </x:c>
      <x:c r="V4821" t="str">
        <x:v>Delivered</x:v>
      </x:c>
      <x:c r="W4821" t="n">
        <x:v>0</x:v>
      </x:c>
      <x:c r="X4821" t="str"/>
      <x:c r="Y4821" t="str">
        <x:v>Existing Customer</x:v>
      </x:c>
    </x:row>
    <x:row r="4822">
      <x:c r="A4822" t="str">
        <x:v>O004821</x:v>
      </x:c>
      <x:c r="B4822" s="20" t="n">
        <x:v>46208</x:v>
      </x:c>
      <x:c r="C4822" t="str">
        <x:v>C0182</x:v>
      </x:c>
      <x:c r="D4822" t="str">
        <x:v>Mysore Foods 182</x:v>
      </x:c>
      <x:c r="E4822" t="str">
        <x:v>Restaurant</x:v>
      </x:c>
      <x:c r="F4822" t="str">
        <x:v>Bengaluru</x:v>
      </x:c>
      <x:c r="G4822" t="str">
        <x:v>Vikram</x:v>
      </x:c>
      <x:c r="H4822" t="str">
        <x:v>P006</x:v>
      </x:c>
      <x:c r="I4822" t="str">
        <x:v>Moong Dal 5kg</x:v>
      </x:c>
      <x:c r="J4822" t="str">
        <x:v>Pulses</x:v>
      </x:c>
      <x:c r="K4822" t="str">
        <x:v>Local Select</x:v>
      </x:c>
      <x:c r="L4822" s="22" t="n">
        <x:v>610</x:v>
      </x:c>
      <x:c r="M4822" t="n">
        <x:v>17</x:v>
      </x:c>
      <x:c r="N4822" s="24" t="n">
        <x:v>0.1</x:v>
      </x:c>
      <x:c r="O4822" s="22" t="n">
        <x:f>L4822*M4822</x:f>
        <x:v>10370</x:v>
      </x:c>
      <x:c r="P4822" s="22" t="n">
        <x:f>O4822*(1-N4822)</x:f>
        <x:v>9333</x:v>
      </x:c>
      <x:c r="Q4822" s="22" t="n">
        <x:v>540</x:v>
      </x:c>
      <x:c r="R4822" s="22" t="n">
        <x:f>Q4822*M4822</x:f>
        <x:v>9180</x:v>
      </x:c>
      <x:c r="S4822" s="22" t="n">
        <x:f>P4822-R4822</x:f>
        <x:v>153</x:v>
      </x:c>
      <x:c r="T4822" t="str">
        <x:v>Cash</x:v>
      </x:c>
      <x:c r="U4822" t="str">
        <x:v>Overdue</x:v>
      </x:c>
      <x:c r="V4822" t="str">
        <x:v>Delivered</x:v>
      </x:c>
      <x:c r="W4822" t="n">
        <x:v>0</x:v>
      </x:c>
      <x:c r="X4822" t="str"/>
      <x:c r="Y4822" t="str">
        <x:v>Referral</x:v>
      </x:c>
    </x:row>
    <x:row r="4823">
      <x:c r="A4823" t="str">
        <x:v>O004822</x:v>
      </x:c>
      <x:c r="B4823" s="20" t="n">
        <x:v>46178</x:v>
      </x:c>
      <x:c r="C4823" t="str">
        <x:v>C0178</x:v>
      </x:c>
      <x:c r="D4823" t="str">
        <x:v>Annapurna Foods 178</x:v>
      </x:c>
      <x:c r="E4823" t="str">
        <x:v>Canteen</x:v>
      </x:c>
      <x:c r="F4823" t="str">
        <x:v>Tumakuru</x:v>
      </x:c>
      <x:c r="G4823" t="str">
        <x:v>Imran</x:v>
      </x:c>
      <x:c r="H4823" t="str">
        <x:v>P043</x:v>
      </x:c>
      <x:c r="I4823" t="str">
        <x:v>Chicken Breast 1kg</x:v>
      </x:c>
      <x:c r="J4823" t="str">
        <x:v>Protein</x:v>
      </x:c>
      <x:c r="K4823" t="str">
        <x:v>FreshToHome</x:v>
      </x:c>
      <x:c r="L4823" s="22" t="n">
        <x:v>260</x:v>
      </x:c>
      <x:c r="M4823" t="n">
        <x:v>22</x:v>
      </x:c>
      <x:c r="N4823" s="24" t="n">
        <x:v>0.1</x:v>
      </x:c>
      <x:c r="O4823" s="22" t="n">
        <x:f>L4823*M4823</x:f>
        <x:v>5720</x:v>
      </x:c>
      <x:c r="P4823" s="22" t="n">
        <x:f>O4823*(1-N4823)</x:f>
        <x:v>5148</x:v>
      </x:c>
      <x:c r="Q4823" s="22" t="n">
        <x:v>235</x:v>
      </x:c>
      <x:c r="R4823" s="22" t="n">
        <x:f>Q4823*M4823</x:f>
        <x:v>5170</x:v>
      </x:c>
      <x:c r="S4823" s="22" t="n">
        <x:f>P4823-R4823</x:f>
        <x:v>-22</x:v>
      </x:c>
      <x:c r="T4823" t="str">
        <x:v>UPI</x:v>
      </x:c>
      <x:c r="U4823" t="str">
        <x:v>Overdue</x:v>
      </x:c>
      <x:c r="V4823" t="str">
        <x:v>Delivered</x:v>
      </x:c>
      <x:c r="W4823" t="n">
        <x:v>0</x:v>
      </x:c>
      <x:c r="X4823" t="str"/>
      <x:c r="Y4823" t="str">
        <x:v>WhatsApp</x:v>
      </x:c>
    </x:row>
    <x:row r="4824">
      <x:c r="A4824" t="str">
        <x:v>O004823</x:v>
      </x:c>
      <x:c r="B4824" s="20" t="n">
        <x:v>46252</x:v>
      </x:c>
      <x:c r="C4824" t="str">
        <x:v>C0093</x:v>
      </x:c>
      <x:c r="D4824" t="str">
        <x:v>Sagar Hotel 93</x:v>
      </x:c>
      <x:c r="E4824" t="str">
        <x:v>Hotel</x:v>
      </x:c>
      <x:c r="F4824" t="str">
        <x:v>Hubballi</x:v>
      </x:c>
      <x:c r="G4824" t="str">
        <x:v>Imran</x:v>
      </x:c>
      <x:c r="H4824" t="str">
        <x:v>P023</x:v>
      </x:c>
      <x:c r="I4824" t="str">
        <x:v>Cola 750ml</x:v>
      </x:c>
      <x:c r="J4824" t="str">
        <x:v>Beverage</x:v>
      </x:c>
      <x:c r="K4824" t="str">
        <x:v>Coca-Cola</x:v>
      </x:c>
      <x:c r="L4824" s="22" t="n">
        <x:v>38</x:v>
      </x:c>
      <x:c r="M4824" t="n">
        <x:v>5</x:v>
      </x:c>
      <x:c r="N4824" s="24" t="n">
        <x:v>0.08</x:v>
      </x:c>
      <x:c r="O4824" s="22" t="n">
        <x:f>L4824*M4824</x:f>
        <x:v>190</x:v>
      </x:c>
      <x:c r="P4824" s="22" t="n">
        <x:f>O4824*(1-N4824)</x:f>
        <x:v>174.8</x:v>
      </x:c>
      <x:c r="Q4824" s="22" t="n">
        <x:v>31</x:v>
      </x:c>
      <x:c r="R4824" s="22" t="n">
        <x:f>Q4824*M4824</x:f>
        <x:v>155</x:v>
      </x:c>
      <x:c r="S4824" s="22" t="n">
        <x:f>P4824-R4824</x:f>
        <x:v>19.80000000000001</x:v>
      </x:c>
      <x:c r="T4824" t="str">
        <x:v>Credit</x:v>
      </x:c>
      <x:c r="U4824" t="str">
        <x:v>Overdue</x:v>
      </x:c>
      <x:c r="V4824" t="str">
        <x:v>Delivered</x:v>
      </x:c>
      <x:c r="W4824" t="n">
        <x:v>0</x:v>
      </x:c>
      <x:c r="X4824" t="str"/>
      <x:c r="Y4824" t="str">
        <x:v>WhatsApp</x:v>
      </x:c>
    </x:row>
    <x:row r="4825">
      <x:c r="A4825" t="str">
        <x:v>O004824</x:v>
      </x:c>
      <x:c r="B4825" s="20" t="n">
        <x:v>45860</x:v>
      </x:c>
      <x:c r="C4825" t="str">
        <x:v>C0048</x:v>
      </x:c>
      <x:c r="D4825" t="str">
        <x:v>Udupi Foods 48</x:v>
      </x:c>
      <x:c r="E4825" t="str">
        <x:v>Hotel</x:v>
      </x:c>
      <x:c r="F4825" t="str">
        <x:v>Bengaluru</x:v>
      </x:c>
      <x:c r="G4825" t="str">
        <x:v>Ramesh</x:v>
      </x:c>
      <x:c r="H4825" t="str">
        <x:v>P009</x:v>
      </x:c>
      <x:c r="I4825" t="str">
        <x:v>Groundnut Oil 5L</x:v>
      </x:c>
      <x:c r="J4825" t="str">
        <x:v>Edible Oil</x:v>
      </x:c>
      <x:c r="K4825" t="str">
        <x:v>Dhara</x:v>
      </x:c>
      <x:c r="L4825" s="22" t="n">
        <x:v>890</x:v>
      </x:c>
      <x:c r="M4825" t="n">
        <x:v>25</x:v>
      </x:c>
      <x:c r="N4825" s="24" t="n">
        <x:v>0.02</x:v>
      </x:c>
      <x:c r="O4825" s="22" t="n">
        <x:f>L4825*M4825</x:f>
        <x:v>22250</x:v>
      </x:c>
      <x:c r="P4825" s="22" t="n">
        <x:f>O4825*(1-N4825)</x:f>
        <x:v>21805</x:v>
      </x:c>
      <x:c r="Q4825" s="22" t="n">
        <x:v>810</x:v>
      </x:c>
      <x:c r="R4825" s="22" t="n">
        <x:f>Q4825*M4825</x:f>
        <x:v>20250</x:v>
      </x:c>
      <x:c r="S4825" s="22" t="n">
        <x:f>P4825-R4825</x:f>
        <x:v>1555</x:v>
      </x:c>
      <x:c r="T4825" t="str">
        <x:v>Cash</x:v>
      </x:c>
      <x:c r="U4825" t="str">
        <x:v>Paid</x:v>
      </x:c>
      <x:c r="V4825" t="str">
        <x:v>Delayed</x:v>
      </x:c>
      <x:c r="W4825" t="n">
        <x:v>0</x:v>
      </x:c>
      <x:c r="X4825" t="str"/>
      <x:c r="Y4825" t="str">
        <x:v>Field Visit</x:v>
      </x:c>
    </x:row>
    <x:row r="4826">
      <x:c r="A4826" t="str">
        <x:v>O004825</x:v>
      </x:c>
      <x:c r="B4826" s="20" t="n">
        <x:v>45898</x:v>
      </x:c>
      <x:c r="C4826" t="str">
        <x:v>C0217</x:v>
      </x:c>
      <x:c r="D4826" t="str">
        <x:v>Darshini Cafe 217</x:v>
      </x:c>
      <x:c r="E4826" t="str">
        <x:v>Restaurant</x:v>
      </x:c>
      <x:c r="F4826" t="str">
        <x:v>Bengaluru</x:v>
      </x:c>
      <x:c r="G4826" t="str">
        <x:v>Priya</x:v>
      </x:c>
      <x:c r="H4826" t="str">
        <x:v>P019</x:v>
      </x:c>
      <x:c r="I4826" t="str">
        <x:v>Tea 1kg</x:v>
      </x:c>
      <x:c r="J4826" t="str">
        <x:v>Beverage</x:v>
      </x:c>
      <x:c r="K4826" t="str">
        <x:v>Red Label</x:v>
      </x:c>
      <x:c r="L4826" s="22" t="n">
        <x:v>540</x:v>
      </x:c>
      <x:c r="M4826" t="n">
        <x:v>29</x:v>
      </x:c>
      <x:c r="N4826" s="24" t="n">
        <x:v>0.05</x:v>
      </x:c>
      <x:c r="O4826" s="22" t="n">
        <x:f>L4826*M4826</x:f>
        <x:v>15660</x:v>
      </x:c>
      <x:c r="P4826" s="22" t="n">
        <x:f>O4826*(1-N4826)</x:f>
        <x:v>14877</x:v>
      </x:c>
      <x:c r="Q4826" s="22" t="n">
        <x:v>485</x:v>
      </x:c>
      <x:c r="R4826" s="22" t="n">
        <x:f>Q4826*M4826</x:f>
        <x:v>14065</x:v>
      </x:c>
      <x:c r="S4826" s="22" t="n">
        <x:f>P4826-R4826</x:f>
        <x:v>812</x:v>
      </x:c>
      <x:c r="T4826" t="str">
        <x:v>Cash</x:v>
      </x:c>
      <x:c r="U4826" t="str">
        <x:v>Paid</x:v>
      </x:c>
      <x:c r="V4826" t="str">
        <x:v>Cancelled</x:v>
      </x:c>
      <x:c r="W4826" t="n">
        <x:v>29</x:v>
      </x:c>
      <x:c r="X4826" t="str">
        <x:v>Cancelled Order</x:v>
      </x:c>
      <x:c r="Y4826" t="str">
        <x:v>Field Visit</x:v>
      </x:c>
    </x:row>
    <x:row r="4827">
      <x:c r="A4827" t="str">
        <x:v>O004826</x:v>
      </x:c>
      <x:c r="B4827" s="20" t="n">
        <x:v>45764</x:v>
      </x:c>
      <x:c r="C4827" t="str">
        <x:v>C0076</x:v>
      </x:c>
      <x:c r="D4827" t="str">
        <x:v>Sri Canteen 76</x:v>
      </x:c>
      <x:c r="E4827" t="str">
        <x:v>Canteen</x:v>
      </x:c>
      <x:c r="F4827" t="str">
        <x:v>Tumakuru</x:v>
      </x:c>
      <x:c r="G4827" t="str">
        <x:v>Priya</x:v>
      </x:c>
      <x:c r="H4827" t="str">
        <x:v>P039</x:v>
      </x:c>
      <x:c r="I4827" t="str">
        <x:v>Ice Cream 4L</x:v>
      </x:c>
      <x:c r="J4827" t="str">
        <x:v>Frozen</x:v>
      </x:c>
      <x:c r="K4827" t="str">
        <x:v>Amul</x:v>
      </x:c>
      <x:c r="L4827" s="22" t="n">
        <x:v>480</x:v>
      </x:c>
      <x:c r="M4827" t="n">
        <x:v>27</x:v>
      </x:c>
      <x:c r="N4827" s="24" t="n">
        <x:v>0</x:v>
      </x:c>
      <x:c r="O4827" s="22" t="n">
        <x:f>L4827*M4827</x:f>
        <x:v>12960</x:v>
      </x:c>
      <x:c r="P4827" s="22" t="n">
        <x:f>O4827*(1-N4827)</x:f>
        <x:v>12960</x:v>
      </x:c>
      <x:c r="Q4827" s="22" t="n">
        <x:v>420</x:v>
      </x:c>
      <x:c r="R4827" s="22" t="n">
        <x:f>Q4827*M4827</x:f>
        <x:v>11340</x:v>
      </x:c>
      <x:c r="S4827" s="22" t="n">
        <x:f>P4827-R4827</x:f>
        <x:v>1620</x:v>
      </x:c>
      <x:c r="T4827" t="str">
        <x:v>Bank Transfer</x:v>
      </x:c>
      <x:c r="U4827" t="str">
        <x:v>Paid</x:v>
      </x:c>
      <x:c r="V4827" t="str">
        <x:v>Delivered</x:v>
      </x:c>
      <x:c r="W4827" t="n">
        <x:v>0</x:v>
      </x:c>
      <x:c r="X4827" t="str"/>
      <x:c r="Y4827" t="str">
        <x:v>Field Visit</x:v>
      </x:c>
    </x:row>
    <x:row r="4828">
      <x:c r="A4828" t="str">
        <x:v>O004827</x:v>
      </x:c>
      <x:c r="B4828" s="20" t="n">
        <x:v>45843</x:v>
      </x:c>
      <x:c r="C4828" t="str">
        <x:v>C0070</x:v>
      </x:c>
      <x:c r="D4828" t="str">
        <x:v>Metro Stores 70</x:v>
      </x:c>
      <x:c r="E4828" t="str">
        <x:v>Cafe</x:v>
      </x:c>
      <x:c r="F4828" t="str">
        <x:v>Bengaluru</x:v>
      </x:c>
      <x:c r="G4828" t="str">
        <x:v>Vikram</x:v>
      </x:c>
      <x:c r="H4828" t="str">
        <x:v>P010</x:v>
      </x:c>
      <x:c r="I4828" t="str">
        <x:v>Sugar 25kg</x:v>
      </x:c>
      <x:c r="J4828" t="str">
        <x:v>Staples</x:v>
      </x:c>
      <x:c r="K4828" t="str">
        <x:v>Madhur</x:v>
      </x:c>
      <x:c r="L4828" s="22" t="n">
        <x:v>1190</x:v>
      </x:c>
      <x:c r="M4828" t="n">
        <x:v>2</x:v>
      </x:c>
      <x:c r="N4828" s="24" t="n">
        <x:v>0.08</x:v>
      </x:c>
      <x:c r="O4828" s="22" t="n">
        <x:f>L4828*M4828</x:f>
        <x:v>2380</x:v>
      </x:c>
      <x:c r="P4828" s="22" t="n">
        <x:f>O4828*(1-N4828)</x:f>
        <x:v>2189.6</x:v>
      </x:c>
      <x:c r="Q4828" s="22" t="n">
        <x:v>1080</x:v>
      </x:c>
      <x:c r="R4828" s="22" t="n">
        <x:f>Q4828*M4828</x:f>
        <x:v>2160</x:v>
      </x:c>
      <x:c r="S4828" s="22" t="n">
        <x:f>P4828-R4828</x:f>
        <x:v>29.59999999999991</x:v>
      </x:c>
      <x:c r="T4828" t="str">
        <x:v>Cash</x:v>
      </x:c>
      <x:c r="U4828" t="str">
        <x:v>Paid</x:v>
      </x:c>
      <x:c r="V4828" t="str">
        <x:v>Cancelled</x:v>
      </x:c>
      <x:c r="W4828" t="n">
        <x:v>2</x:v>
      </x:c>
      <x:c r="X4828" t="str">
        <x:v>Cancelled Order</x:v>
      </x:c>
      <x:c r="Y4828" t="str">
        <x:v>Outbound Call</x:v>
      </x:c>
    </x:row>
    <x:row r="4829">
      <x:c r="A4829" t="str">
        <x:v>O004828</x:v>
      </x:c>
      <x:c r="B4829" s="20" t="n">
        <x:v>46149</x:v>
      </x:c>
      <x:c r="C4829" t="str">
        <x:v>C0204</x:v>
      </x:c>
      <x:c r="D4829" t="str">
        <x:v>Udupi Stores 204</x:v>
      </x:c>
      <x:c r="E4829" t="str">
        <x:v>Kirana</x:v>
      </x:c>
      <x:c r="F4829" t="str">
        <x:v>Bengaluru</x:v>
      </x:c>
      <x:c r="G4829" t="str">
        <x:v>Vikram</x:v>
      </x:c>
      <x:c r="H4829" t="str">
        <x:v>P038</x:v>
      </x:c>
      <x:c r="I4829" t="str">
        <x:v>French Fries 2.5kg</x:v>
      </x:c>
      <x:c r="J4829" t="str">
        <x:v>Frozen</x:v>
      </x:c>
      <x:c r="K4829" t="str">
        <x:v>McCain</x:v>
      </x:c>
      <x:c r="L4829" s="22" t="n">
        <x:v>360</x:v>
      </x:c>
      <x:c r="M4829" t="n">
        <x:v>13</x:v>
      </x:c>
      <x:c r="N4829" s="24" t="n">
        <x:v>0.1</x:v>
      </x:c>
      <x:c r="O4829" s="22" t="n">
        <x:f>L4829*M4829</x:f>
        <x:v>4680</x:v>
      </x:c>
      <x:c r="P4829" s="22" t="n">
        <x:f>O4829*(1-N4829)</x:f>
        <x:v>4212</x:v>
      </x:c>
      <x:c r="Q4829" s="22" t="n">
        <x:v>315</x:v>
      </x:c>
      <x:c r="R4829" s="22" t="n">
        <x:f>Q4829*M4829</x:f>
        <x:v>4095</x:v>
      </x:c>
      <x:c r="S4829" s="22" t="n">
        <x:f>P4829-R4829</x:f>
        <x:v>117</x:v>
      </x:c>
      <x:c r="T4829" t="str">
        <x:v>UPI</x:v>
      </x:c>
      <x:c r="U4829" t="str">
        <x:v>Paid</x:v>
      </x:c>
      <x:c r="V4829" t="str">
        <x:v>Cancelled</x:v>
      </x:c>
      <x:c r="W4829" t="n">
        <x:v>13</x:v>
      </x:c>
      <x:c r="X4829" t="str">
        <x:v>Cancelled Order</x:v>
      </x:c>
      <x:c r="Y4829" t="str">
        <x:v>Existing Customer</x:v>
      </x:c>
    </x:row>
    <x:row r="4830">
      <x:c r="A4830" t="str">
        <x:v>O004829</x:v>
      </x:c>
      <x:c r="B4830" s="20" t="n">
        <x:v>46112</x:v>
      </x:c>
      <x:c r="C4830" t="str">
        <x:v>C0060</x:v>
      </x:c>
      <x:c r="D4830" t="str">
        <x:v>Sagar Stores 60</x:v>
      </x:c>
      <x:c r="E4830" t="str">
        <x:v>Cafe</x:v>
      </x:c>
      <x:c r="F4830" t="str">
        <x:v>Hubballi</x:v>
      </x:c>
      <x:c r="G4830" t="str">
        <x:v>Imran</x:v>
      </x:c>
      <x:c r="H4830" t="str">
        <x:v>P017</x:v>
      </x:c>
      <x:c r="I4830" t="str">
        <x:v>Butter 500g</x:v>
      </x:c>
      <x:c r="J4830" t="str">
        <x:v>Dairy</x:v>
      </x:c>
      <x:c r="K4830" t="str">
        <x:v>Amul</x:v>
      </x:c>
      <x:c r="L4830" s="22" t="n">
        <x:v>285</x:v>
      </x:c>
      <x:c r="M4830" t="n">
        <x:v>14</x:v>
      </x:c>
      <x:c r="N4830" s="24" t="n">
        <x:v>0</x:v>
      </x:c>
      <x:c r="O4830" s="22" t="n">
        <x:f>L4830*M4830</x:f>
        <x:v>3990</x:v>
      </x:c>
      <x:c r="P4830" s="22" t="n">
        <x:f>O4830*(1-N4830)</x:f>
        <x:v>3990</x:v>
      </x:c>
      <x:c r="Q4830" s="22" t="n">
        <x:v>258</x:v>
      </x:c>
      <x:c r="R4830" s="22" t="n">
        <x:f>Q4830*M4830</x:f>
        <x:v>3612</x:v>
      </x:c>
      <x:c r="S4830" s="22" t="n">
        <x:f>P4830-R4830</x:f>
        <x:v>378</x:v>
      </x:c>
      <x:c r="T4830" t="str">
        <x:v>Cash</x:v>
      </x:c>
      <x:c r="U4830" t="str">
        <x:v>Paid</x:v>
      </x:c>
      <x:c r="V4830" t="str">
        <x:v>Cancelled</x:v>
      </x:c>
      <x:c r="W4830" t="n">
        <x:v>14</x:v>
      </x:c>
      <x:c r="X4830" t="str">
        <x:v>Cancelled Order</x:v>
      </x:c>
      <x:c r="Y4830" t="str">
        <x:v>Referral</x:v>
      </x:c>
    </x:row>
    <x:row r="4831">
      <x:c r="A4831" t="str">
        <x:v>O004830</x:v>
      </x:c>
      <x:c r="B4831" s="20" t="n">
        <x:v>45900</x:v>
      </x:c>
      <x:c r="C4831" t="str">
        <x:v>C0094</x:v>
      </x:c>
      <x:c r="D4831" t="str">
        <x:v>Mysore Mart 94</x:v>
      </x:c>
      <x:c r="E4831" t="str">
        <x:v>Restaurant</x:v>
      </x:c>
      <x:c r="F4831" t="str">
        <x:v>Hubballi</x:v>
      </x:c>
      <x:c r="G4831" t="str">
        <x:v>Sneha</x:v>
      </x:c>
      <x:c r="H4831" t="str">
        <x:v>P035</x:v>
      </x:c>
      <x:c r="I4831" t="str">
        <x:v>Coriander Powder 1kg</x:v>
      </x:c>
      <x:c r="J4831" t="str">
        <x:v>Spices</x:v>
      </x:c>
      <x:c r="K4831" t="str">
        <x:v>Everest</x:v>
      </x:c>
      <x:c r="L4831" s="22" t="n">
        <x:v>280</x:v>
      </x:c>
      <x:c r="M4831" t="n">
        <x:v>36</x:v>
      </x:c>
      <x:c r="N4831" s="24" t="n">
        <x:v>0.02</x:v>
      </x:c>
      <x:c r="O4831" s="22" t="n">
        <x:f>L4831*M4831</x:f>
        <x:v>10080</x:v>
      </x:c>
      <x:c r="P4831" s="22" t="n">
        <x:f>O4831*(1-N4831)</x:f>
        <x:v>9878.4</x:v>
      </x:c>
      <x:c r="Q4831" s="22" t="n">
        <x:v>245</x:v>
      </x:c>
      <x:c r="R4831" s="22" t="n">
        <x:f>Q4831*M4831</x:f>
        <x:v>8820</x:v>
      </x:c>
      <x:c r="S4831" s="22" t="n">
        <x:f>P4831-R4831</x:f>
        <x:v>1058.3999999999996</x:v>
      </x:c>
      <x:c r="T4831" t="str">
        <x:v>Bank Transfer</x:v>
      </x:c>
      <x:c r="U4831" t="str">
        <x:v>Paid</x:v>
      </x:c>
      <x:c r="V4831" t="str">
        <x:v>Delivered</x:v>
      </x:c>
      <x:c r="W4831" t="n">
        <x:v>0</x:v>
      </x:c>
      <x:c r="X4831" t="str"/>
      <x:c r="Y4831" t="str">
        <x:v>Field Visit</x:v>
      </x:c>
    </x:row>
    <x:row r="4832">
      <x:c r="A4832" t="str">
        <x:v>O004831</x:v>
      </x:c>
      <x:c r="B4832" s="20" t="n">
        <x:v>45747</x:v>
      </x:c>
      <x:c r="C4832" t="str">
        <x:v>C0189</x:v>
      </x:c>
      <x:c r="D4832" t="str">
        <x:v>Classic Canteen 189</x:v>
      </x:c>
      <x:c r="E4832" t="str">
        <x:v>Kirana</x:v>
      </x:c>
      <x:c r="F4832" t="str">
        <x:v>Hubballi</x:v>
      </x:c>
      <x:c r="G4832" t="str">
        <x:v>Vikram</x:v>
      </x:c>
      <x:c r="H4832" t="str">
        <x:v>P021</x:v>
      </x:c>
      <x:c r="I4832" t="str">
        <x:v>Instant Coffee 200g</x:v>
      </x:c>
      <x:c r="J4832" t="str">
        <x:v>Beverage</x:v>
      </x:c>
      <x:c r="K4832" t="str">
        <x:v>Nescafe</x:v>
      </x:c>
      <x:c r="L4832" s="22" t="n">
        <x:v>460</x:v>
      </x:c>
      <x:c r="M4832" t="n">
        <x:v>14</x:v>
      </x:c>
      <x:c r="N4832" s="24" t="n">
        <x:v>0.02</x:v>
      </x:c>
      <x:c r="O4832" s="22" t="n">
        <x:f>L4832*M4832</x:f>
        <x:v>6440</x:v>
      </x:c>
      <x:c r="P4832" s="22" t="n">
        <x:f>O4832*(1-N4832)</x:f>
        <x:v>6311.2</x:v>
      </x:c>
      <x:c r="Q4832" s="22" t="n">
        <x:v>410</x:v>
      </x:c>
      <x:c r="R4832" s="22" t="n">
        <x:f>Q4832*M4832</x:f>
        <x:v>5740</x:v>
      </x:c>
      <x:c r="S4832" s="22" t="n">
        <x:f>P4832-R4832</x:f>
        <x:v>571.1999999999998</x:v>
      </x:c>
      <x:c r="T4832" t="str">
        <x:v>Credit</x:v>
      </x:c>
      <x:c r="U4832" t="str">
        <x:v>Pending</x:v>
      </x:c>
      <x:c r="V4832" t="str">
        <x:v>Cancelled</x:v>
      </x:c>
      <x:c r="W4832" t="n">
        <x:v>14</x:v>
      </x:c>
      <x:c r="X4832" t="str">
        <x:v>Cancelled Order</x:v>
      </x:c>
      <x:c r="Y4832" t="str">
        <x:v>Field Visit</x:v>
      </x:c>
    </x:row>
    <x:row r="4833">
      <x:c r="A4833" t="str">
        <x:v>O004832</x:v>
      </x:c>
      <x:c r="B4833" s="20" t="n">
        <x:v>46108</x:v>
      </x:c>
      <x:c r="C4833" t="str">
        <x:v>C0017</x:v>
      </x:c>
      <x:c r="D4833" t="str">
        <x:v>City Foods 17</x:v>
      </x:c>
      <x:c r="E4833" t="str">
        <x:v>Restaurant</x:v>
      </x:c>
      <x:c r="F4833" t="str">
        <x:v>Tumakuru</x:v>
      </x:c>
      <x:c r="G4833" t="str">
        <x:v>Imran</x:v>
      </x:c>
      <x:c r="H4833" t="str">
        <x:v>P045</x:v>
      </x:c>
      <x:c r="I4833" t="str">
        <x:v>Onion 25kg</x:v>
      </x:c>
      <x:c r="J4833" t="str">
        <x:v>Fresh Produce</x:v>
      </x:c>
      <x:c r="K4833" t="str">
        <x:v>Local Market</x:v>
      </x:c>
      <x:c r="L4833" s="22" t="n">
        <x:v>875</x:v>
      </x:c>
      <x:c r="M4833" t="n">
        <x:v>5</x:v>
      </x:c>
      <x:c r="N4833" s="24" t="n">
        <x:v>0.05</x:v>
      </x:c>
      <x:c r="O4833" s="22" t="n">
        <x:f>L4833*M4833</x:f>
        <x:v>4375</x:v>
      </x:c>
      <x:c r="P4833" s="22" t="n">
        <x:f>O4833*(1-N4833)</x:f>
        <x:v>4156.25</x:v>
      </x:c>
      <x:c r="Q4833" s="22" t="n">
        <x:v>760</x:v>
      </x:c>
      <x:c r="R4833" s="22" t="n">
        <x:f>Q4833*M4833</x:f>
        <x:v>3800</x:v>
      </x:c>
      <x:c r="S4833" s="22" t="n">
        <x:f>P4833-R4833</x:f>
        <x:v>356.25</x:v>
      </x:c>
      <x:c r="T4833" t="str">
        <x:v>UPI</x:v>
      </x:c>
      <x:c r="U4833" t="str">
        <x:v>Pending</x:v>
      </x:c>
      <x:c r="V4833" t="str">
        <x:v>Delivered</x:v>
      </x:c>
      <x:c r="W4833" t="n">
        <x:v>0</x:v>
      </x:c>
      <x:c r="X4833" t="str"/>
      <x:c r="Y4833" t="str">
        <x:v>Referral</x:v>
      </x:c>
    </x:row>
    <x:row r="4834">
      <x:c r="A4834" t="str">
        <x:v>O004833</x:v>
      </x:c>
      <x:c r="B4834" s="20" t="n">
        <x:v>45745</x:v>
      </x:c>
      <x:c r="C4834" t="str">
        <x:v>C0067</x:v>
      </x:c>
      <x:c r="D4834" t="str">
        <x:v>Royal Restaurant 67</x:v>
      </x:c>
      <x:c r="E4834" t="str">
        <x:v>Supermarket</x:v>
      </x:c>
      <x:c r="F4834" t="str">
        <x:v>Tumakuru</x:v>
      </x:c>
      <x:c r="G4834" t="str">
        <x:v>Sneha</x:v>
      </x:c>
      <x:c r="H4834" t="str">
        <x:v>P029</x:v>
      </x:c>
      <x:c r="I4834" t="str">
        <x:v>Tomato Ketchup 1kg</x:v>
      </x:c>
      <x:c r="J4834" t="str">
        <x:v>Condiments</x:v>
      </x:c>
      <x:c r="K4834" t="str">
        <x:v>Kissan</x:v>
      </x:c>
      <x:c r="L4834" s="22" t="n">
        <x:v>145</x:v>
      </x:c>
      <x:c r="M4834" t="n">
        <x:v>23</x:v>
      </x:c>
      <x:c r="N4834" s="24" t="n">
        <x:v>0.08</x:v>
      </x:c>
      <x:c r="O4834" s="22" t="n">
        <x:f>L4834*M4834</x:f>
        <x:v>3335</x:v>
      </x:c>
      <x:c r="P4834" s="22" t="n">
        <x:f>O4834*(1-N4834)</x:f>
        <x:v>3068.2000000000003</x:v>
      </x:c>
      <x:c r="Q4834" s="22" t="n">
        <x:v>126</x:v>
      </x:c>
      <x:c r="R4834" s="22" t="n">
        <x:f>Q4834*M4834</x:f>
        <x:v>2898</x:v>
      </x:c>
      <x:c r="S4834" s="22" t="n">
        <x:f>P4834-R4834</x:f>
        <x:v>170.20000000000027</x:v>
      </x:c>
      <x:c r="T4834" t="str">
        <x:v>Bank Transfer</x:v>
      </x:c>
      <x:c r="U4834" t="str">
        <x:v>Paid</x:v>
      </x:c>
      <x:c r="V4834" t="str">
        <x:v>Cancelled</x:v>
      </x:c>
      <x:c r="W4834" t="n">
        <x:v>23</x:v>
      </x:c>
      <x:c r="X4834" t="str">
        <x:v>Cancelled Order</x:v>
      </x:c>
      <x:c r="Y4834" t="str">
        <x:v>Existing Customer</x:v>
      </x:c>
    </x:row>
    <x:row r="4835">
      <x:c r="A4835" t="str">
        <x:v>O004834</x:v>
      </x:c>
      <x:c r="B4835" s="20" t="n">
        <x:v>45967</x:v>
      </x:c>
      <x:c r="C4835" t="str">
        <x:v>C0043</x:v>
      </x:c>
      <x:c r="D4835" t="str">
        <x:v>Namma Kitchen 43</x:v>
      </x:c>
      <x:c r="E4835" t="str">
        <x:v>Supermarket</x:v>
      </x:c>
      <x:c r="F4835" t="str">
        <x:v>Davanagere</x:v>
      </x:c>
      <x:c r="G4835" t="str">
        <x:v>Kavya</x:v>
      </x:c>
      <x:c r="H4835" t="str">
        <x:v>P021</x:v>
      </x:c>
      <x:c r="I4835" t="str">
        <x:v>Instant Coffee 200g</x:v>
      </x:c>
      <x:c r="J4835" t="str">
        <x:v>Beverage</x:v>
      </x:c>
      <x:c r="K4835" t="str">
        <x:v>Nescafe</x:v>
      </x:c>
      <x:c r="L4835" s="22" t="n">
        <x:v>460</x:v>
      </x:c>
      <x:c r="M4835" t="n">
        <x:v>7</x:v>
      </x:c>
      <x:c r="N4835" s="24" t="n">
        <x:v>0.03</x:v>
      </x:c>
      <x:c r="O4835" s="22" t="n">
        <x:f>L4835*M4835</x:f>
        <x:v>3220</x:v>
      </x:c>
      <x:c r="P4835" s="22" t="n">
        <x:f>O4835*(1-N4835)</x:f>
        <x:v>3123.4</x:v>
      </x:c>
      <x:c r="Q4835" s="22" t="n">
        <x:v>410</x:v>
      </x:c>
      <x:c r="R4835" s="22" t="n">
        <x:f>Q4835*M4835</x:f>
        <x:v>2870</x:v>
      </x:c>
      <x:c r="S4835" s="22" t="n">
        <x:f>P4835-R4835</x:f>
        <x:v>253.4000000000001</x:v>
      </x:c>
      <x:c r="T4835" t="str">
        <x:v>Credit</x:v>
      </x:c>
      <x:c r="U4835" t="str">
        <x:v>Paid</x:v>
      </x:c>
      <x:c r="V4835" t="str">
        <x:v>Delivered</x:v>
      </x:c>
      <x:c r="W4835" t="n">
        <x:v>0</x:v>
      </x:c>
      <x:c r="X4835" t="str"/>
      <x:c r="Y4835" t="str">
        <x:v>Referral</x:v>
      </x:c>
    </x:row>
    <x:row r="4836">
      <x:c r="A4836" t="str">
        <x:v>O004835</x:v>
      </x:c>
      <x:c r="B4836" s="20" t="n">
        <x:v>45794</x:v>
      </x:c>
      <x:c r="C4836" t="str">
        <x:v>C0237</x:v>
      </x:c>
      <x:c r="D4836" t="str">
        <x:v>Mysore Restaurant 237</x:v>
      </x:c>
      <x:c r="E4836" t="str">
        <x:v>Restaurant</x:v>
      </x:c>
      <x:c r="F4836" t="str">
        <x:v>Bengaluru</x:v>
      </x:c>
      <x:c r="G4836" t="str">
        <x:v>Sneha</x:v>
      </x:c>
      <x:c r="H4836" t="str">
        <x:v>P035</x:v>
      </x:c>
      <x:c r="I4836" t="str">
        <x:v>Coriander Powder 1kg</x:v>
      </x:c>
      <x:c r="J4836" t="str">
        <x:v>Spices</x:v>
      </x:c>
      <x:c r="K4836" t="str">
        <x:v>Everest</x:v>
      </x:c>
      <x:c r="L4836" s="22" t="n">
        <x:v>280</x:v>
      </x:c>
      <x:c r="M4836" t="n">
        <x:v>37</x:v>
      </x:c>
      <x:c r="N4836" s="24" t="n">
        <x:v>0.08</x:v>
      </x:c>
      <x:c r="O4836" s="22" t="n">
        <x:f>L4836*M4836</x:f>
        <x:v>10360</x:v>
      </x:c>
      <x:c r="P4836" s="22" t="n">
        <x:f>O4836*(1-N4836)</x:f>
        <x:v>9531.2</x:v>
      </x:c>
      <x:c r="Q4836" s="22" t="n">
        <x:v>245</x:v>
      </x:c>
      <x:c r="R4836" s="22" t="n">
        <x:f>Q4836*M4836</x:f>
        <x:v>9065</x:v>
      </x:c>
      <x:c r="S4836" s="22" t="n">
        <x:f>P4836-R4836</x:f>
        <x:v>466.2000000000007</x:v>
      </x:c>
      <x:c r="T4836" t="str">
        <x:v>Cash</x:v>
      </x:c>
      <x:c r="U4836" t="str">
        <x:v>Paid</x:v>
      </x:c>
      <x:c r="V4836" t="str">
        <x:v>Delayed</x:v>
      </x:c>
      <x:c r="W4836" t="n">
        <x:v>0</x:v>
      </x:c>
      <x:c r="X4836" t="str"/>
      <x:c r="Y4836" t="str">
        <x:v>Outbound Call</x:v>
      </x:c>
    </x:row>
    <x:row r="4837">
      <x:c r="A4837" t="str">
        <x:v>O004836</x:v>
      </x:c>
      <x:c r="B4837" s="20" t="n">
        <x:v>46012</x:v>
      </x:c>
      <x:c r="C4837" t="str">
        <x:v>C0132</x:v>
      </x:c>
      <x:c r="D4837" t="str">
        <x:v>Classic Stores 132</x:v>
      </x:c>
      <x:c r="E4837" t="str">
        <x:v>Cafe</x:v>
      </x:c>
      <x:c r="F4837" t="str">
        <x:v>Mysuru</x:v>
      </x:c>
      <x:c r="G4837" t="str">
        <x:v>Megha</x:v>
      </x:c>
      <x:c r="H4837" t="str">
        <x:v>P020</x:v>
      </x:c>
      <x:c r="I4837" t="str">
        <x:v>Coffee 500g</x:v>
      </x:c>
      <x:c r="J4837" t="str">
        <x:v>Beverage</x:v>
      </x:c>
      <x:c r="K4837" t="str">
        <x:v>Bru</x:v>
      </x:c>
      <x:c r="L4837" s="22" t="n">
        <x:v>390</x:v>
      </x:c>
      <x:c r="M4837" t="n">
        <x:v>30</x:v>
      </x:c>
      <x:c r="N4837" s="24" t="n">
        <x:v>0</x:v>
      </x:c>
      <x:c r="O4837" s="22" t="n">
        <x:f>L4837*M4837</x:f>
        <x:v>11700</x:v>
      </x:c>
      <x:c r="P4837" s="22" t="n">
        <x:f>O4837*(1-N4837)</x:f>
        <x:v>11700</x:v>
      </x:c>
      <x:c r="Q4837" s="22" t="n">
        <x:v>350</x:v>
      </x:c>
      <x:c r="R4837" s="22" t="n">
        <x:f>Q4837*M4837</x:f>
        <x:v>10500</x:v>
      </x:c>
      <x:c r="S4837" s="22" t="n">
        <x:f>P4837-R4837</x:f>
        <x:v>1200</x:v>
      </x:c>
      <x:c r="T4837" t="str">
        <x:v>Credit</x:v>
      </x:c>
      <x:c r="U4837" t="str">
        <x:v>Paid</x:v>
      </x:c>
      <x:c r="V4837" t="str">
        <x:v>Cancelled</x:v>
      </x:c>
      <x:c r="W4837" t="n">
        <x:v>30</x:v>
      </x:c>
      <x:c r="X4837" t="str">
        <x:v>Cancelled Order</x:v>
      </x:c>
      <x:c r="Y4837" t="str">
        <x:v>Outbound Call</x:v>
      </x:c>
    </x:row>
    <x:row r="4838">
      <x:c r="A4838" t="str">
        <x:v>O004837</x:v>
      </x:c>
      <x:c r="B4838" s="20" t="n">
        <x:v>46184</x:v>
      </x:c>
      <x:c r="C4838" t="str">
        <x:v>C0170</x:v>
      </x:c>
      <x:c r="D4838" t="str">
        <x:v>Green Cafe 170</x:v>
      </x:c>
      <x:c r="E4838" t="str">
        <x:v>Supermarket</x:v>
      </x:c>
      <x:c r="F4838" t="str">
        <x:v>Bengaluru</x:v>
      </x:c>
      <x:c r="G4838" t="str">
        <x:v>Sneha</x:v>
      </x:c>
      <x:c r="H4838" t="str">
        <x:v>P042</x:v>
      </x:c>
      <x:c r="I4838" t="str">
        <x:v>Eggs 30pc Tray</x:v>
      </x:c>
      <x:c r="J4838" t="str">
        <x:v>Protein</x:v>
      </x:c>
      <x:c r="K4838" t="str">
        <x:v>Farm Fresh</x:v>
      </x:c>
      <x:c r="L4838" s="22" t="n">
        <x:v>195</x:v>
      </x:c>
      <x:c r="M4838" t="n">
        <x:v>6</x:v>
      </x:c>
      <x:c r="N4838" s="24" t="n">
        <x:v>0.03</x:v>
      </x:c>
      <x:c r="O4838" s="22" t="n">
        <x:f>L4838*M4838</x:f>
        <x:v>1170</x:v>
      </x:c>
      <x:c r="P4838" s="22" t="n">
        <x:f>O4838*(1-N4838)</x:f>
        <x:v>1134.8999999999999</x:v>
      </x:c>
      <x:c r="Q4838" s="22" t="n">
        <x:v>170</x:v>
      </x:c>
      <x:c r="R4838" s="22" t="n">
        <x:f>Q4838*M4838</x:f>
        <x:v>1020</x:v>
      </x:c>
      <x:c r="S4838" s="22" t="n">
        <x:f>P4838-R4838</x:f>
        <x:v>114.89999999999986</x:v>
      </x:c>
      <x:c r="T4838" t="str">
        <x:v>Bank Transfer</x:v>
      </x:c>
      <x:c r="U4838" t="str">
        <x:v>Paid</x:v>
      </x:c>
      <x:c r="V4838" t="str">
        <x:v>Delivered</x:v>
      </x:c>
      <x:c r="W4838" t="n">
        <x:v>0</x:v>
      </x:c>
      <x:c r="X4838" t="str"/>
      <x:c r="Y4838" t="str">
        <x:v>Referral</x:v>
      </x:c>
    </x:row>
    <x:row r="4839">
      <x:c r="A4839" t="str">
        <x:v>O004838</x:v>
      </x:c>
      <x:c r="B4839" s="20" t="n">
        <x:v>45912</x:v>
      </x:c>
      <x:c r="C4839" t="str">
        <x:v>C0078</x:v>
      </x:c>
      <x:c r="D4839" t="str">
        <x:v>Sagar Canteen 78</x:v>
      </x:c>
      <x:c r="E4839" t="str">
        <x:v>Hotel</x:v>
      </x:c>
      <x:c r="F4839" t="str">
        <x:v>Mangaluru</x:v>
      </x:c>
      <x:c r="G4839" t="str">
        <x:v>Ramesh</x:v>
      </x:c>
      <x:c r="H4839" t="str">
        <x:v>P021</x:v>
      </x:c>
      <x:c r="I4839" t="str">
        <x:v>Instant Coffee 200g</x:v>
      </x:c>
      <x:c r="J4839" t="str">
        <x:v>Beverage</x:v>
      </x:c>
      <x:c r="K4839" t="str">
        <x:v>Nescafe</x:v>
      </x:c>
      <x:c r="L4839" s="22" t="n">
        <x:v>460</x:v>
      </x:c>
      <x:c r="M4839" t="n">
        <x:v>27</x:v>
      </x:c>
      <x:c r="N4839" s="24" t="n">
        <x:v>0.02</x:v>
      </x:c>
      <x:c r="O4839" s="22" t="n">
        <x:f>L4839*M4839</x:f>
        <x:v>12420</x:v>
      </x:c>
      <x:c r="P4839" s="22" t="n">
        <x:f>O4839*(1-N4839)</x:f>
        <x:v>12171.6</x:v>
      </x:c>
      <x:c r="Q4839" s="22" t="n">
        <x:v>410</x:v>
      </x:c>
      <x:c r="R4839" s="22" t="n">
        <x:f>Q4839*M4839</x:f>
        <x:v>11070</x:v>
      </x:c>
      <x:c r="S4839" s="22" t="n">
        <x:f>P4839-R4839</x:f>
        <x:v>1101.6000000000004</x:v>
      </x:c>
      <x:c r="T4839" t="str">
        <x:v>Bank Transfer</x:v>
      </x:c>
      <x:c r="U4839" t="str">
        <x:v>Paid</x:v>
      </x:c>
      <x:c r="V4839" t="str">
        <x:v>Delayed</x:v>
      </x:c>
      <x:c r="W4839" t="n">
        <x:v>0</x:v>
      </x:c>
      <x:c r="X4839" t="str"/>
      <x:c r="Y4839" t="str">
        <x:v>WhatsApp</x:v>
      </x:c>
    </x:row>
    <x:row r="4840">
      <x:c r="A4840" t="str">
        <x:v>O004839</x:v>
      </x:c>
      <x:c r="B4840" s="20" t="n">
        <x:v>46135</x:v>
      </x:c>
      <x:c r="C4840" t="str">
        <x:v>C0058</x:v>
      </x:c>
      <x:c r="D4840" t="str">
        <x:v>Spice Kitchen 58</x:v>
      </x:c>
      <x:c r="E4840" t="str">
        <x:v>Supermarket</x:v>
      </x:c>
      <x:c r="F4840" t="str">
        <x:v>Davanagere</x:v>
      </x:c>
      <x:c r="G4840" t="str">
        <x:v>Sneha</x:v>
      </x:c>
      <x:c r="H4840" t="str">
        <x:v>P027</x:v>
      </x:c>
      <x:c r="I4840" t="str">
        <x:v>Biscuits 120g</x:v>
      </x:c>
      <x:c r="J4840" t="str">
        <x:v>Snacks</x:v>
      </x:c>
      <x:c r="K4840" t="str">
        <x:v>Parle-G</x:v>
      </x:c>
      <x:c r="L4840" s="22" t="n">
        <x:v>12</x:v>
      </x:c>
      <x:c r="M4840" t="n">
        <x:v>19</x:v>
      </x:c>
      <x:c r="N4840" s="24" t="n">
        <x:v>0.05</x:v>
      </x:c>
      <x:c r="O4840" s="22" t="n">
        <x:f>L4840*M4840</x:f>
        <x:v>228</x:v>
      </x:c>
      <x:c r="P4840" s="22" t="n">
        <x:f>O4840*(1-N4840)</x:f>
        <x:v>216.6</x:v>
      </x:c>
      <x:c r="Q4840" s="22" t="n">
        <x:v>9</x:v>
      </x:c>
      <x:c r="R4840" s="22" t="n">
        <x:f>Q4840*M4840</x:f>
        <x:v>171</x:v>
      </x:c>
      <x:c r="S4840" s="22" t="n">
        <x:f>P4840-R4840</x:f>
        <x:v>45.599999999999994</x:v>
      </x:c>
      <x:c r="T4840" t="str">
        <x:v>UPI</x:v>
      </x:c>
      <x:c r="U4840" t="str">
        <x:v>Paid</x:v>
      </x:c>
      <x:c r="V4840" t="str">
        <x:v>Delivered</x:v>
      </x:c>
      <x:c r="W4840" t="n">
        <x:v>0</x:v>
      </x:c>
      <x:c r="X4840" t="str"/>
      <x:c r="Y4840" t="str">
        <x:v>Field Visit</x:v>
      </x:c>
    </x:row>
    <x:row r="4841">
      <x:c r="A4841" t="str">
        <x:v>O004840</x:v>
      </x:c>
      <x:c r="B4841" s="20" t="n">
        <x:v>45678</x:v>
      </x:c>
      <x:c r="C4841" t="str">
        <x:v>C0058</x:v>
      </x:c>
      <x:c r="D4841" t="str">
        <x:v>Spice Kitchen 58</x:v>
      </x:c>
      <x:c r="E4841" t="str">
        <x:v>Supermarket</x:v>
      </x:c>
      <x:c r="F4841" t="str">
        <x:v>Davanagere</x:v>
      </x:c>
      <x:c r="G4841" t="str">
        <x:v>Sneha</x:v>
      </x:c>
      <x:c r="H4841" t="str">
        <x:v>P029</x:v>
      </x:c>
      <x:c r="I4841" t="str">
        <x:v>Tomato Ketchup 1kg</x:v>
      </x:c>
      <x:c r="J4841" t="str">
        <x:v>Condiments</x:v>
      </x:c>
      <x:c r="K4841" t="str">
        <x:v>Kissan</x:v>
      </x:c>
      <x:c r="L4841" s="22" t="n">
        <x:v>145</x:v>
      </x:c>
      <x:c r="M4841" t="n">
        <x:v>31</x:v>
      </x:c>
      <x:c r="N4841" s="24" t="n">
        <x:v>0.05</x:v>
      </x:c>
      <x:c r="O4841" s="22" t="n">
        <x:f>L4841*M4841</x:f>
        <x:v>4495</x:v>
      </x:c>
      <x:c r="P4841" s="22" t="n">
        <x:f>O4841*(1-N4841)</x:f>
        <x:v>4270.25</x:v>
      </x:c>
      <x:c r="Q4841" s="22" t="n">
        <x:v>126</x:v>
      </x:c>
      <x:c r="R4841" s="22" t="n">
        <x:f>Q4841*M4841</x:f>
        <x:v>3906</x:v>
      </x:c>
      <x:c r="S4841" s="22" t="n">
        <x:f>P4841-R4841</x:f>
        <x:v>364.25</x:v>
      </x:c>
      <x:c r="T4841" t="str">
        <x:v>Bank Transfer</x:v>
      </x:c>
      <x:c r="U4841" t="str">
        <x:v>Paid</x:v>
      </x:c>
      <x:c r="V4841" t="str">
        <x:v>Delivered</x:v>
      </x:c>
      <x:c r="W4841" t="n">
        <x:v>0</x:v>
      </x:c>
      <x:c r="X4841" t="str"/>
      <x:c r="Y4841" t="str">
        <x:v>Field Visit</x:v>
      </x:c>
    </x:row>
    <x:row r="4842">
      <x:c r="A4842" t="str">
        <x:v>O004841</x:v>
      </x:c>
      <x:c r="B4842" s="20" t="n">
        <x:v>46041</x:v>
      </x:c>
      <x:c r="C4842" t="str">
        <x:v>C0107</x:v>
      </x:c>
      <x:c r="D4842" t="str">
        <x:v>Mysore Cafe 107</x:v>
      </x:c>
      <x:c r="E4842" t="str">
        <x:v>Supermarket</x:v>
      </x:c>
      <x:c r="F4842" t="str">
        <x:v>Tumakuru</x:v>
      </x:c>
      <x:c r="G4842" t="str">
        <x:v>Megha</x:v>
      </x:c>
      <x:c r="H4842" t="str">
        <x:v>P039</x:v>
      </x:c>
      <x:c r="I4842" t="str">
        <x:v>Ice Cream 4L</x:v>
      </x:c>
      <x:c r="J4842" t="str">
        <x:v>Frozen</x:v>
      </x:c>
      <x:c r="K4842" t="str">
        <x:v>Amul</x:v>
      </x:c>
      <x:c r="L4842" s="22" t="n">
        <x:v>480</x:v>
      </x:c>
      <x:c r="M4842" t="n">
        <x:v>16</x:v>
      </x:c>
      <x:c r="N4842" s="24" t="n">
        <x:v>0.05</x:v>
      </x:c>
      <x:c r="O4842" s="22" t="n">
        <x:f>L4842*M4842</x:f>
        <x:v>7680</x:v>
      </x:c>
      <x:c r="P4842" s="22" t="n">
        <x:f>O4842*(1-N4842)</x:f>
        <x:v>7296</x:v>
      </x:c>
      <x:c r="Q4842" s="22" t="n">
        <x:v>420</x:v>
      </x:c>
      <x:c r="R4842" s="22" t="n">
        <x:f>Q4842*M4842</x:f>
        <x:v>6720</x:v>
      </x:c>
      <x:c r="S4842" s="22" t="n">
        <x:f>P4842-R4842</x:f>
        <x:v>576</x:v>
      </x:c>
      <x:c r="T4842" t="str">
        <x:v>Bank Transfer</x:v>
      </x:c>
      <x:c r="U4842" t="str">
        <x:v>Paid</x:v>
      </x:c>
      <x:c r="V4842" t="str">
        <x:v>Delayed</x:v>
      </x:c>
      <x:c r="W4842" t="n">
        <x:v>0</x:v>
      </x:c>
      <x:c r="X4842" t="str"/>
      <x:c r="Y4842" t="str">
        <x:v>Existing Customer</x:v>
      </x:c>
    </x:row>
    <x:row r="4843">
      <x:c r="A4843" t="str">
        <x:v>O004842</x:v>
      </x:c>
      <x:c r="B4843" s="20" t="n">
        <x:v>46055</x:v>
      </x:c>
      <x:c r="C4843" t="str">
        <x:v>C0001</x:v>
      </x:c>
      <x:c r="D4843" t="str">
        <x:v>Annapurna Cafe 1</x:v>
      </x:c>
      <x:c r="E4843" t="str">
        <x:v>Hotel</x:v>
      </x:c>
      <x:c r="F4843" t="str">
        <x:v>Davanagere</x:v>
      </x:c>
      <x:c r="G4843" t="str">
        <x:v>Kavya</x:v>
      </x:c>
      <x:c r="H4843" t="str">
        <x:v>P043</x:v>
      </x:c>
      <x:c r="I4843" t="str">
        <x:v>Chicken Breast 1kg</x:v>
      </x:c>
      <x:c r="J4843" t="str">
        <x:v>Protein</x:v>
      </x:c>
      <x:c r="K4843" t="str">
        <x:v>FreshToHome</x:v>
      </x:c>
      <x:c r="L4843" s="22" t="n">
        <x:v>260</x:v>
      </x:c>
      <x:c r="M4843" t="n">
        <x:v>40</x:v>
      </x:c>
      <x:c r="N4843" s="24" t="n">
        <x:v>0.05</x:v>
      </x:c>
      <x:c r="O4843" s="22" t="n">
        <x:f>L4843*M4843</x:f>
        <x:v>10400</x:v>
      </x:c>
      <x:c r="P4843" s="22" t="n">
        <x:f>O4843*(1-N4843)</x:f>
        <x:v>9880</x:v>
      </x:c>
      <x:c r="Q4843" s="22" t="n">
        <x:v>235</x:v>
      </x:c>
      <x:c r="R4843" s="22" t="n">
        <x:f>Q4843*M4843</x:f>
        <x:v>9400</x:v>
      </x:c>
      <x:c r="S4843" s="22" t="n">
        <x:f>P4843-R4843</x:f>
        <x:v>480</x:v>
      </x:c>
      <x:c r="T4843" t="str">
        <x:v>Bank Transfer</x:v>
      </x:c>
      <x:c r="U4843" t="str">
        <x:v>Overdue</x:v>
      </x:c>
      <x:c r="V4843" t="str">
        <x:v>Delivered</x:v>
      </x:c>
      <x:c r="W4843" t="n">
        <x:v>0</x:v>
      </x:c>
      <x:c r="X4843" t="str"/>
      <x:c r="Y4843" t="str">
        <x:v>Referral</x:v>
      </x:c>
    </x:row>
    <x:row r="4844">
      <x:c r="A4844" t="str">
        <x:v>O004843</x:v>
      </x:c>
      <x:c r="B4844" s="20" t="n">
        <x:v>46225</x:v>
      </x:c>
      <x:c r="C4844" t="str">
        <x:v>C0070</x:v>
      </x:c>
      <x:c r="D4844" t="str">
        <x:v>Metro Stores 70</x:v>
      </x:c>
      <x:c r="E4844" t="str">
        <x:v>Cafe</x:v>
      </x:c>
      <x:c r="F4844" t="str">
        <x:v>Bengaluru</x:v>
      </x:c>
      <x:c r="G4844" t="str">
        <x:v>Vikram</x:v>
      </x:c>
      <x:c r="H4844" t="str">
        <x:v>P006</x:v>
      </x:c>
      <x:c r="I4844" t="str">
        <x:v>Moong Dal 5kg</x:v>
      </x:c>
      <x:c r="J4844" t="str">
        <x:v>Pulses</x:v>
      </x:c>
      <x:c r="K4844" t="str">
        <x:v>Local Select</x:v>
      </x:c>
      <x:c r="L4844" s="22" t="n">
        <x:v>610</x:v>
      </x:c>
      <x:c r="M4844" t="n">
        <x:v>28</x:v>
      </x:c>
      <x:c r="N4844" s="24" t="n">
        <x:v>0</x:v>
      </x:c>
      <x:c r="O4844" s="22" t="n">
        <x:f>L4844*M4844</x:f>
        <x:v>17080</x:v>
      </x:c>
      <x:c r="P4844" s="22" t="n">
        <x:f>O4844*(1-N4844)</x:f>
        <x:v>17080</x:v>
      </x:c>
      <x:c r="Q4844" s="22" t="n">
        <x:v>540</x:v>
      </x:c>
      <x:c r="R4844" s="22" t="n">
        <x:f>Q4844*M4844</x:f>
        <x:v>15120</x:v>
      </x:c>
      <x:c r="S4844" s="22" t="n">
        <x:f>P4844-R4844</x:f>
        <x:v>1960</x:v>
      </x:c>
      <x:c r="T4844" t="str">
        <x:v>Bank Transfer</x:v>
      </x:c>
      <x:c r="U4844" t="str">
        <x:v>Paid</x:v>
      </x:c>
      <x:c r="V4844" t="str">
        <x:v>Delivered</x:v>
      </x:c>
      <x:c r="W4844" t="n">
        <x:v>0</x:v>
      </x:c>
      <x:c r="X4844" t="str"/>
      <x:c r="Y4844" t="str">
        <x:v>WhatsApp</x:v>
      </x:c>
    </x:row>
    <x:row r="4845">
      <x:c r="A4845" t="str">
        <x:v>O004844</x:v>
      </x:c>
      <x:c r="B4845" s="20" t="n">
        <x:v>46121</x:v>
      </x:c>
      <x:c r="C4845" t="str">
        <x:v>C0227</x:v>
      </x:c>
      <x:c r="D4845" t="str">
        <x:v>Metro Restaurant 227</x:v>
      </x:c>
      <x:c r="E4845" t="str">
        <x:v>Restaurant</x:v>
      </x:c>
      <x:c r="F4845" t="str">
        <x:v>Davanagere</x:v>
      </x:c>
      <x:c r="G4845" t="str">
        <x:v>Kavya</x:v>
      </x:c>
      <x:c r="H4845" t="str">
        <x:v>P041</x:v>
      </x:c>
      <x:c r="I4845" t="str">
        <x:v>Burger Bun 6pc</x:v>
      </x:c>
      <x:c r="J4845" t="str">
        <x:v>Bakery</x:v>
      </x:c>
      <x:c r="K4845" t="str">
        <x:v>Modern</x:v>
      </x:c>
      <x:c r="L4845" s="22" t="n">
        <x:v>42</x:v>
      </x:c>
      <x:c r="M4845" t="n">
        <x:v>21</x:v>
      </x:c>
      <x:c r="N4845" s="24" t="n">
        <x:v>0.05</x:v>
      </x:c>
      <x:c r="O4845" s="22" t="n">
        <x:f>L4845*M4845</x:f>
        <x:v>882</x:v>
      </x:c>
      <x:c r="P4845" s="22" t="n">
        <x:f>O4845*(1-N4845)</x:f>
        <x:v>837.9</x:v>
      </x:c>
      <x:c r="Q4845" s="22" t="n">
        <x:v>32</x:v>
      </x:c>
      <x:c r="R4845" s="22" t="n">
        <x:f>Q4845*M4845</x:f>
        <x:v>672</x:v>
      </x:c>
      <x:c r="S4845" s="22" t="n">
        <x:f>P4845-R4845</x:f>
        <x:v>165.89999999999998</x:v>
      </x:c>
      <x:c r="T4845" t="str">
        <x:v>Credit</x:v>
      </x:c>
      <x:c r="U4845" t="str">
        <x:v>Paid</x:v>
      </x:c>
      <x:c r="V4845" t="str">
        <x:v>Delivered</x:v>
      </x:c>
      <x:c r="W4845" t="n">
        <x:v>0</x:v>
      </x:c>
      <x:c r="X4845" t="str"/>
      <x:c r="Y4845" t="str">
        <x:v>Outbound Call</x:v>
      </x:c>
    </x:row>
    <x:row r="4846">
      <x:c r="A4846" t="str">
        <x:v>O004845</x:v>
      </x:c>
      <x:c r="B4846" s="20" t="n">
        <x:v>46280</x:v>
      </x:c>
      <x:c r="C4846" t="str">
        <x:v>C0227</x:v>
      </x:c>
      <x:c r="D4846" t="str">
        <x:v>Metro Restaurant 227</x:v>
      </x:c>
      <x:c r="E4846" t="str">
        <x:v>Restaurant</x:v>
      </x:c>
      <x:c r="F4846" t="str">
        <x:v>Davanagere</x:v>
      </x:c>
      <x:c r="G4846" t="str">
        <x:v>Kavya</x:v>
      </x:c>
      <x:c r="H4846" t="str">
        <x:v>P008</x:v>
      </x:c>
      <x:c r="I4846" t="str">
        <x:v>Palm Oil 15L</x:v>
      </x:c>
      <x:c r="J4846" t="str">
        <x:v>Edible Oil</x:v>
      </x:c>
      <x:c r="K4846" t="str">
        <x:v>Ruchi Gold</x:v>
      </x:c>
      <x:c r="L4846" s="22" t="n">
        <x:v>1760</x:v>
      </x:c>
      <x:c r="M4846" t="n">
        <x:v>11</x:v>
      </x:c>
      <x:c r="N4846" s="24" t="n">
        <x:v>0.02</x:v>
      </x:c>
      <x:c r="O4846" s="22" t="n">
        <x:f>L4846*M4846</x:f>
        <x:v>19360</x:v>
      </x:c>
      <x:c r="P4846" s="22" t="n">
        <x:f>O4846*(1-N4846)</x:f>
        <x:v>18972.8</x:v>
      </x:c>
      <x:c r="Q4846" s="22" t="n">
        <x:v>1610</x:v>
      </x:c>
      <x:c r="R4846" s="22" t="n">
        <x:f>Q4846*M4846</x:f>
        <x:v>17710</x:v>
      </x:c>
      <x:c r="S4846" s="22" t="n">
        <x:f>P4846-R4846</x:f>
        <x:v>1262.7999999999993</x:v>
      </x:c>
      <x:c r="T4846" t="str">
        <x:v>Bank Transfer</x:v>
      </x:c>
      <x:c r="U4846" t="str">
        <x:v>Pending</x:v>
      </x:c>
      <x:c r="V4846" t="str">
        <x:v>Delivered</x:v>
      </x:c>
      <x:c r="W4846" t="n">
        <x:v>0</x:v>
      </x:c>
      <x:c r="X4846" t="str"/>
      <x:c r="Y4846" t="str">
        <x:v>Field Visit</x:v>
      </x:c>
    </x:row>
    <x:row r="4847">
      <x:c r="A4847" t="str">
        <x:v>O004846</x:v>
      </x:c>
      <x:c r="B4847" s="20" t="n">
        <x:v>45763</x:v>
      </x:c>
      <x:c r="C4847" t="str">
        <x:v>C0067</x:v>
      </x:c>
      <x:c r="D4847" t="str">
        <x:v>Royal Restaurant 67</x:v>
      </x:c>
      <x:c r="E4847" t="str">
        <x:v>Supermarket</x:v>
      </x:c>
      <x:c r="F4847" t="str">
        <x:v>Tumakuru</x:v>
      </x:c>
      <x:c r="G4847" t="str">
        <x:v>Sneha</x:v>
      </x:c>
      <x:c r="H4847" t="str">
        <x:v>P026</x:v>
      </x:c>
      <x:c r="I4847" t="str">
        <x:v>Banana Chips 80g</x:v>
      </x:c>
      <x:c r="J4847" t="str">
        <x:v>Snacks</x:v>
      </x:c>
      <x:c r="K4847" t="str">
        <x:v>SSS</x:v>
      </x:c>
      <x:c r="L4847" s="22" t="n">
        <x:v>54</x:v>
      </x:c>
      <x:c r="M4847" t="n">
        <x:v>28</x:v>
      </x:c>
      <x:c r="N4847" s="24" t="n">
        <x:v>0</x:v>
      </x:c>
      <x:c r="O4847" s="22" t="n">
        <x:f>L4847*M4847</x:f>
        <x:v>1512</x:v>
      </x:c>
      <x:c r="P4847" s="22" t="n">
        <x:f>O4847*(1-N4847)</x:f>
        <x:v>1512</x:v>
      </x:c>
      <x:c r="Q4847" s="22" t="n">
        <x:v>39</x:v>
      </x:c>
      <x:c r="R4847" s="22" t="n">
        <x:f>Q4847*M4847</x:f>
        <x:v>1092</x:v>
      </x:c>
      <x:c r="S4847" s="22" t="n">
        <x:f>P4847-R4847</x:f>
        <x:v>420</x:v>
      </x:c>
      <x:c r="T4847" t="str">
        <x:v>Bank Transfer</x:v>
      </x:c>
      <x:c r="U4847" t="str">
        <x:v>Paid</x:v>
      </x:c>
      <x:c r="V4847" t="str">
        <x:v>Cancelled</x:v>
      </x:c>
      <x:c r="W4847" t="n">
        <x:v>28</x:v>
      </x:c>
      <x:c r="X4847" t="str">
        <x:v>Cancelled Order</x:v>
      </x:c>
      <x:c r="Y4847" t="str">
        <x:v>Field Visit</x:v>
      </x:c>
    </x:row>
    <x:row r="4848">
      <x:c r="A4848" t="str">
        <x:v>O004847</x:v>
      </x:c>
      <x:c r="B4848" s="20" t="n">
        <x:v>45786</x:v>
      </x:c>
      <x:c r="C4848" t="str">
        <x:v>C0155</x:v>
      </x:c>
      <x:c r="D4848" t="str">
        <x:v>New Mart 155</x:v>
      </x:c>
      <x:c r="E4848" t="str">
        <x:v>Hotel</x:v>
      </x:c>
      <x:c r="F4848" t="str">
        <x:v>Mysuru</x:v>
      </x:c>
      <x:c r="G4848" t="str">
        <x:v>Sneha</x:v>
      </x:c>
      <x:c r="H4848" t="str">
        <x:v>P030</x:v>
      </x:c>
      <x:c r="I4848" t="str">
        <x:v>Mayonnaise 1kg</x:v>
      </x:c>
      <x:c r="J4848" t="str">
        <x:v>Condiments</x:v>
      </x:c>
      <x:c r="K4848" t="str">
        <x:v>Veeba</x:v>
      </x:c>
      <x:c r="L4848" s="22" t="n">
        <x:v>210</x:v>
      </x:c>
      <x:c r="M4848" t="n">
        <x:v>25</x:v>
      </x:c>
      <x:c r="N4848" s="24" t="n">
        <x:v>0.03</x:v>
      </x:c>
      <x:c r="O4848" s="22" t="n">
        <x:f>L4848*M4848</x:f>
        <x:v>5250</x:v>
      </x:c>
      <x:c r="P4848" s="22" t="n">
        <x:f>O4848*(1-N4848)</x:f>
        <x:v>5092.5</x:v>
      </x:c>
      <x:c r="Q4848" s="22" t="n">
        <x:v>185</x:v>
      </x:c>
      <x:c r="R4848" s="22" t="n">
        <x:f>Q4848*M4848</x:f>
        <x:v>4625</x:v>
      </x:c>
      <x:c r="S4848" s="22" t="n">
        <x:f>P4848-R4848</x:f>
        <x:v>467.5</x:v>
      </x:c>
      <x:c r="T4848" t="str">
        <x:v>Cash</x:v>
      </x:c>
      <x:c r="U4848" t="str">
        <x:v>Paid</x:v>
      </x:c>
      <x:c r="V4848" t="str">
        <x:v>Delivered</x:v>
      </x:c>
      <x:c r="W4848" t="n">
        <x:v>0</x:v>
      </x:c>
      <x:c r="X4848" t="str"/>
      <x:c r="Y4848" t="str">
        <x:v>Outbound Call</x:v>
      </x:c>
    </x:row>
    <x:row r="4849">
      <x:c r="A4849" t="str">
        <x:v>O004848</x:v>
      </x:c>
      <x:c r="B4849" s="20" t="n">
        <x:v>45790</x:v>
      </x:c>
      <x:c r="C4849" t="str">
        <x:v>C0023</x:v>
      </x:c>
      <x:c r="D4849" t="str">
        <x:v>Mysore Canteen 23</x:v>
      </x:c>
      <x:c r="E4849" t="str">
        <x:v>Cafe</x:v>
      </x:c>
      <x:c r="F4849" t="str">
        <x:v>Hubballi</x:v>
      </x:c>
      <x:c r="G4849" t="str">
        <x:v>Sneha</x:v>
      </x:c>
      <x:c r="H4849" t="str">
        <x:v>P017</x:v>
      </x:c>
      <x:c r="I4849" t="str">
        <x:v>Butter 500g</x:v>
      </x:c>
      <x:c r="J4849" t="str">
        <x:v>Dairy</x:v>
      </x:c>
      <x:c r="K4849" t="str">
        <x:v>Amul</x:v>
      </x:c>
      <x:c r="L4849" s="22" t="n">
        <x:v>285</x:v>
      </x:c>
      <x:c r="M4849" t="n">
        <x:v>23</x:v>
      </x:c>
      <x:c r="N4849" s="24" t="n">
        <x:v>0.08</x:v>
      </x:c>
      <x:c r="O4849" s="22" t="n">
        <x:f>L4849*M4849</x:f>
        <x:v>6555</x:v>
      </x:c>
      <x:c r="P4849" s="22" t="n">
        <x:f>O4849*(1-N4849)</x:f>
        <x:v>6030.6</x:v>
      </x:c>
      <x:c r="Q4849" s="22" t="n">
        <x:v>258</x:v>
      </x:c>
      <x:c r="R4849" s="22" t="n">
        <x:f>Q4849*M4849</x:f>
        <x:v>5934</x:v>
      </x:c>
      <x:c r="S4849" s="22" t="n">
        <x:f>P4849-R4849</x:f>
        <x:v>96.60000000000036</x:v>
      </x:c>
      <x:c r="T4849" t="str">
        <x:v>UPI</x:v>
      </x:c>
      <x:c r="U4849" t="str">
        <x:v>Paid</x:v>
      </x:c>
      <x:c r="V4849" t="str">
        <x:v>Delivered</x:v>
      </x:c>
      <x:c r="W4849" t="n">
        <x:v>0</x:v>
      </x:c>
      <x:c r="X4849" t="str"/>
      <x:c r="Y4849" t="str">
        <x:v>Outbound Call</x:v>
      </x:c>
    </x:row>
    <x:row r="4850">
      <x:c r="A4850" t="str">
        <x:v>O004849</x:v>
      </x:c>
      <x:c r="B4850" s="20" t="n">
        <x:v>45987</x:v>
      </x:c>
      <x:c r="C4850" t="str">
        <x:v>C0085</x:v>
      </x:c>
      <x:c r="D4850" t="str">
        <x:v>Green Hotel 85</x:v>
      </x:c>
      <x:c r="E4850" t="str">
        <x:v>Kirana</x:v>
      </x:c>
      <x:c r="F4850" t="str">
        <x:v>Mysuru</x:v>
      </x:c>
      <x:c r="G4850" t="str">
        <x:v>Arjun</x:v>
      </x:c>
      <x:c r="H4850" t="str">
        <x:v>P042</x:v>
      </x:c>
      <x:c r="I4850" t="str">
        <x:v>Eggs 30pc Tray</x:v>
      </x:c>
      <x:c r="J4850" t="str">
        <x:v>Protein</x:v>
      </x:c>
      <x:c r="K4850" t="str">
        <x:v>Farm Fresh</x:v>
      </x:c>
      <x:c r="L4850" s="22" t="n">
        <x:v>195</x:v>
      </x:c>
      <x:c r="M4850" t="n">
        <x:v>11</x:v>
      </x:c>
      <x:c r="N4850" s="24" t="n">
        <x:v>0.03</x:v>
      </x:c>
      <x:c r="O4850" s="22" t="n">
        <x:f>L4850*M4850</x:f>
        <x:v>2145</x:v>
      </x:c>
      <x:c r="P4850" s="22" t="n">
        <x:f>O4850*(1-N4850)</x:f>
        <x:v>2080.65</x:v>
      </x:c>
      <x:c r="Q4850" s="22" t="n">
        <x:v>170</x:v>
      </x:c>
      <x:c r="R4850" s="22" t="n">
        <x:f>Q4850*M4850</x:f>
        <x:v>1870</x:v>
      </x:c>
      <x:c r="S4850" s="22" t="n">
        <x:f>P4850-R4850</x:f>
        <x:v>210.6500000000001</x:v>
      </x:c>
      <x:c r="T4850" t="str">
        <x:v>Bank Transfer</x:v>
      </x:c>
      <x:c r="U4850" t="str">
        <x:v>Paid</x:v>
      </x:c>
      <x:c r="V4850" t="str">
        <x:v>Delivered</x:v>
      </x:c>
      <x:c r="W4850" t="n">
        <x:v>0</x:v>
      </x:c>
      <x:c r="X4850" t="str"/>
      <x:c r="Y4850" t="str">
        <x:v>Existing Customer</x:v>
      </x:c>
    </x:row>
    <x:row r="4851">
      <x:c r="A4851" t="str">
        <x:v>O004850</x:v>
      </x:c>
      <x:c r="B4851" s="20" t="n">
        <x:v>45879</x:v>
      </x:c>
      <x:c r="C4851" t="str">
        <x:v>C0125</x:v>
      </x:c>
      <x:c r="D4851" t="str">
        <x:v>Spice Restaurant 125</x:v>
      </x:c>
      <x:c r="E4851" t="str">
        <x:v>Kirana</x:v>
      </x:c>
      <x:c r="F4851" t="str">
        <x:v>Tumakuru</x:v>
      </x:c>
      <x:c r="G4851" t="str">
        <x:v>Ramesh</x:v>
      </x:c>
      <x:c r="H4851" t="str">
        <x:v>P033</x:v>
      </x:c>
      <x:c r="I4851" t="str">
        <x:v>Turmeric Powder 1kg</x:v>
      </x:c>
      <x:c r="J4851" t="str">
        <x:v>Spices</x:v>
      </x:c>
      <x:c r="K4851" t="str">
        <x:v>Everest</x:v>
      </x:c>
      <x:c r="L4851" s="22" t="n">
        <x:v>310</x:v>
      </x:c>
      <x:c r="M4851" t="n">
        <x:v>20</x:v>
      </x:c>
      <x:c r="N4851" s="24" t="n">
        <x:v>0</x:v>
      </x:c>
      <x:c r="O4851" s="22" t="n">
        <x:f>L4851*M4851</x:f>
        <x:v>6200</x:v>
      </x:c>
      <x:c r="P4851" s="22" t="n">
        <x:f>O4851*(1-N4851)</x:f>
        <x:v>6200</x:v>
      </x:c>
      <x:c r="Q4851" s="22" t="n">
        <x:v>270</x:v>
      </x:c>
      <x:c r="R4851" s="22" t="n">
        <x:f>Q4851*M4851</x:f>
        <x:v>5400</x:v>
      </x:c>
      <x:c r="S4851" s="22" t="n">
        <x:f>P4851-R4851</x:f>
        <x:v>800</x:v>
      </x:c>
      <x:c r="T4851" t="str">
        <x:v>Cash</x:v>
      </x:c>
      <x:c r="U4851" t="str">
        <x:v>Paid</x:v>
      </x:c>
      <x:c r="V4851" t="str">
        <x:v>Cancelled</x:v>
      </x:c>
      <x:c r="W4851" t="n">
        <x:v>20</x:v>
      </x:c>
      <x:c r="X4851" t="str">
        <x:v>Cancelled Order</x:v>
      </x:c>
      <x:c r="Y4851" t="str">
        <x:v>Field Visit</x:v>
      </x:c>
    </x:row>
    <x:row r="4852">
      <x:c r="A4852" t="str">
        <x:v>O004851</x:v>
      </x:c>
      <x:c r="B4852" s="20" t="n">
        <x:v>46132</x:v>
      </x:c>
      <x:c r="C4852" t="str">
        <x:v>C0028</x:v>
      </x:c>
      <x:c r="D4852" t="str">
        <x:v>Spice Cafe 28</x:v>
      </x:c>
      <x:c r="E4852" t="str">
        <x:v>Supermarket</x:v>
      </x:c>
      <x:c r="F4852" t="str">
        <x:v>Mysuru</x:v>
      </x:c>
      <x:c r="G4852" t="str">
        <x:v>Vikram</x:v>
      </x:c>
      <x:c r="H4852" t="str">
        <x:v>P039</x:v>
      </x:c>
      <x:c r="I4852" t="str">
        <x:v>Ice Cream 4L</x:v>
      </x:c>
      <x:c r="J4852" t="str">
        <x:v>Frozen</x:v>
      </x:c>
      <x:c r="K4852" t="str">
        <x:v>Amul</x:v>
      </x:c>
      <x:c r="L4852" s="22" t="n">
        <x:v>480</x:v>
      </x:c>
      <x:c r="M4852" t="n">
        <x:v>30</x:v>
      </x:c>
      <x:c r="N4852" s="24" t="n">
        <x:v>0.03</x:v>
      </x:c>
      <x:c r="O4852" s="22" t="n">
        <x:f>L4852*M4852</x:f>
        <x:v>14400</x:v>
      </x:c>
      <x:c r="P4852" s="22" t="n">
        <x:f>O4852*(1-N4852)</x:f>
        <x:v>13968</x:v>
      </x:c>
      <x:c r="Q4852" s="22" t="n">
        <x:v>420</x:v>
      </x:c>
      <x:c r="R4852" s="22" t="n">
        <x:f>Q4852*M4852</x:f>
        <x:v>12600</x:v>
      </x:c>
      <x:c r="S4852" s="22" t="n">
        <x:f>P4852-R4852</x:f>
        <x:v>1368</x:v>
      </x:c>
      <x:c r="T4852" t="str">
        <x:v>Cash</x:v>
      </x:c>
      <x:c r="U4852" t="str">
        <x:v>Paid</x:v>
      </x:c>
      <x:c r="V4852" t="str">
        <x:v>Delivered</x:v>
      </x:c>
      <x:c r="W4852" t="n">
        <x:v>0</x:v>
      </x:c>
      <x:c r="X4852" t="str"/>
      <x:c r="Y4852" t="str">
        <x:v>Existing Customer</x:v>
      </x:c>
    </x:row>
    <x:row r="4853">
      <x:c r="A4853" t="str">
        <x:v>O004852</x:v>
      </x:c>
      <x:c r="B4853" s="20" t="n">
        <x:v>45934</x:v>
      </x:c>
      <x:c r="C4853" t="str">
        <x:v>C0086</x:v>
      </x:c>
      <x:c r="D4853" t="str">
        <x:v>Foodie Canteen 86</x:v>
      </x:c>
      <x:c r="E4853" t="str">
        <x:v>Kirana</x:v>
      </x:c>
      <x:c r="F4853" t="str">
        <x:v>Hubballi</x:v>
      </x:c>
      <x:c r="G4853" t="str">
        <x:v>Sneha</x:v>
      </x:c>
      <x:c r="H4853" t="str">
        <x:v>P046</x:v>
      </x:c>
      <x:c r="I4853" t="str">
        <x:v>Potato 25kg</x:v>
      </x:c>
      <x:c r="J4853" t="str">
        <x:v>Fresh Produce</x:v>
      </x:c>
      <x:c r="K4853" t="str">
        <x:v>Local Market</x:v>
      </x:c>
      <x:c r="L4853" s="22" t="n">
        <x:v>700</x:v>
      </x:c>
      <x:c r="M4853" t="n">
        <x:v>15</x:v>
      </x:c>
      <x:c r="N4853" s="24" t="n">
        <x:v>0.03</x:v>
      </x:c>
      <x:c r="O4853" s="22" t="n">
        <x:f>L4853*M4853</x:f>
        <x:v>10500</x:v>
      </x:c>
      <x:c r="P4853" s="22" t="n">
        <x:f>O4853*(1-N4853)</x:f>
        <x:v>10185</x:v>
      </x:c>
      <x:c r="Q4853" s="22" t="n">
        <x:v>610</x:v>
      </x:c>
      <x:c r="R4853" s="22" t="n">
        <x:f>Q4853*M4853</x:f>
        <x:v>9150</x:v>
      </x:c>
      <x:c r="S4853" s="22" t="n">
        <x:f>P4853-R4853</x:f>
        <x:v>1035</x:v>
      </x:c>
      <x:c r="T4853" t="str">
        <x:v>Credit</x:v>
      </x:c>
      <x:c r="U4853" t="str">
        <x:v>Paid</x:v>
      </x:c>
      <x:c r="V4853" t="str">
        <x:v>Delivered</x:v>
      </x:c>
      <x:c r="W4853" t="n">
        <x:v>0</x:v>
      </x:c>
      <x:c r="X4853" t="str"/>
      <x:c r="Y4853" t="str">
        <x:v>WhatsApp</x:v>
      </x:c>
    </x:row>
    <x:row r="4854">
      <x:c r="A4854" t="str">
        <x:v>O004853</x:v>
      </x:c>
      <x:c r="B4854" s="20" t="n">
        <x:v>46105</x:v>
      </x:c>
      <x:c r="C4854" t="str">
        <x:v>C0119</x:v>
      </x:c>
      <x:c r="D4854" t="str">
        <x:v>Foodie Foods 119</x:v>
      </x:c>
      <x:c r="E4854" t="str">
        <x:v>Kirana</x:v>
      </x:c>
      <x:c r="F4854" t="str">
        <x:v>Hubballi</x:v>
      </x:c>
      <x:c r="G4854" t="str">
        <x:v>Imran</x:v>
      </x:c>
      <x:c r="H4854" t="str">
        <x:v>P008</x:v>
      </x:c>
      <x:c r="I4854" t="str">
        <x:v>Palm Oil 15L</x:v>
      </x:c>
      <x:c r="J4854" t="str">
        <x:v>Edible Oil</x:v>
      </x:c>
      <x:c r="K4854" t="str">
        <x:v>Ruchi Gold</x:v>
      </x:c>
      <x:c r="L4854" s="22" t="n">
        <x:v>1760</x:v>
      </x:c>
      <x:c r="M4854" t="n">
        <x:v>4</x:v>
      </x:c>
      <x:c r="N4854" s="24" t="n">
        <x:v>0.1</x:v>
      </x:c>
      <x:c r="O4854" s="22" t="n">
        <x:f>L4854*M4854</x:f>
        <x:v>7040</x:v>
      </x:c>
      <x:c r="P4854" s="22" t="n">
        <x:f>O4854*(1-N4854)</x:f>
        <x:v>6336</x:v>
      </x:c>
      <x:c r="Q4854" s="22" t="n">
        <x:v>1610</x:v>
      </x:c>
      <x:c r="R4854" s="22" t="n">
        <x:f>Q4854*M4854</x:f>
        <x:v>6440</x:v>
      </x:c>
      <x:c r="S4854" s="22" t="n">
        <x:f>P4854-R4854</x:f>
        <x:v>-104</x:v>
      </x:c>
      <x:c r="T4854" t="str">
        <x:v>Cash</x:v>
      </x:c>
      <x:c r="U4854" t="str">
        <x:v>Paid</x:v>
      </x:c>
      <x:c r="V4854" t="str">
        <x:v>Delivered</x:v>
      </x:c>
      <x:c r="W4854" t="n">
        <x:v>0</x:v>
      </x:c>
      <x:c r="X4854" t="str"/>
      <x:c r="Y4854" t="str">
        <x:v>Referral</x:v>
      </x:c>
    </x:row>
    <x:row r="4855">
      <x:c r="A4855" t="str">
        <x:v>O004854</x:v>
      </x:c>
      <x:c r="B4855" s="20" t="n">
        <x:v>45706</x:v>
      </x:c>
      <x:c r="C4855" t="str">
        <x:v>C0237</x:v>
      </x:c>
      <x:c r="D4855" t="str">
        <x:v>Mysore Restaurant 237</x:v>
      </x:c>
      <x:c r="E4855" t="str">
        <x:v>Restaurant</x:v>
      </x:c>
      <x:c r="F4855" t="str">
        <x:v>Bengaluru</x:v>
      </x:c>
      <x:c r="G4855" t="str">
        <x:v>Sneha</x:v>
      </x:c>
      <x:c r="H4855" t="str">
        <x:v>P024</x:v>
      </x:c>
      <x:c r="I4855" t="str">
        <x:v>Orange Drink 1L</x:v>
      </x:c>
      <x:c r="J4855" t="str">
        <x:v>Beverage</x:v>
      </x:c>
      <x:c r="K4855" t="str">
        <x:v>Minute Maid</x:v>
      </x:c>
      <x:c r="L4855" s="22" t="n">
        <x:v>105</x:v>
      </x:c>
      <x:c r="M4855" t="n">
        <x:v>28</x:v>
      </x:c>
      <x:c r="N4855" s="24" t="n">
        <x:v>0.05</x:v>
      </x:c>
      <x:c r="O4855" s="22" t="n">
        <x:f>L4855*M4855</x:f>
        <x:v>2940</x:v>
      </x:c>
      <x:c r="P4855" s="22" t="n">
        <x:f>O4855*(1-N4855)</x:f>
        <x:v>2793</x:v>
      </x:c>
      <x:c r="Q4855" s="22" t="n">
        <x:v>88</x:v>
      </x:c>
      <x:c r="R4855" s="22" t="n">
        <x:f>Q4855*M4855</x:f>
        <x:v>2464</x:v>
      </x:c>
      <x:c r="S4855" s="22" t="n">
        <x:f>P4855-R4855</x:f>
        <x:v>329</x:v>
      </x:c>
      <x:c r="T4855" t="str">
        <x:v>Cash</x:v>
      </x:c>
      <x:c r="U4855" t="str">
        <x:v>Paid</x:v>
      </x:c>
      <x:c r="V4855" t="str">
        <x:v>Cancelled</x:v>
      </x:c>
      <x:c r="W4855" t="n">
        <x:v>28</x:v>
      </x:c>
      <x:c r="X4855" t="str">
        <x:v>Cancelled Order</x:v>
      </x:c>
      <x:c r="Y4855" t="str">
        <x:v>Referral</x:v>
      </x:c>
    </x:row>
    <x:row r="4856">
      <x:c r="A4856" t="str">
        <x:v>O004855</x:v>
      </x:c>
      <x:c r="B4856" s="20" t="n">
        <x:v>45899</x:v>
      </x:c>
      <x:c r="C4856" t="str">
        <x:v>C0138</x:v>
      </x:c>
      <x:c r="D4856" t="str">
        <x:v>New Mart 138</x:v>
      </x:c>
      <x:c r="E4856" t="str">
        <x:v>Restaurant</x:v>
      </x:c>
      <x:c r="F4856" t="str">
        <x:v>Bengaluru</x:v>
      </x:c>
      <x:c r="G4856" t="str">
        <x:v>Ramesh</x:v>
      </x:c>
      <x:c r="H4856" t="str">
        <x:v>P027</x:v>
      </x:c>
      <x:c r="I4856" t="str">
        <x:v>Biscuits 120g</x:v>
      </x:c>
      <x:c r="J4856" t="str">
        <x:v>Snacks</x:v>
      </x:c>
      <x:c r="K4856" t="str">
        <x:v>Parle-G</x:v>
      </x:c>
      <x:c r="L4856" s="22" t="n">
        <x:v>12</x:v>
      </x:c>
      <x:c r="M4856" t="n">
        <x:v>4</x:v>
      </x:c>
      <x:c r="N4856" s="24" t="n">
        <x:v>0.05</x:v>
      </x:c>
      <x:c r="O4856" s="22" t="n">
        <x:f>L4856*M4856</x:f>
        <x:v>48</x:v>
      </x:c>
      <x:c r="P4856" s="22" t="n">
        <x:f>O4856*(1-N4856)</x:f>
        <x:v>45.599999999999994</x:v>
      </x:c>
      <x:c r="Q4856" s="22" t="n">
        <x:v>9</x:v>
      </x:c>
      <x:c r="R4856" s="22" t="n">
        <x:f>Q4856*M4856</x:f>
        <x:v>36</x:v>
      </x:c>
      <x:c r="S4856" s="22" t="n">
        <x:f>P4856-R4856</x:f>
        <x:v>9.599999999999994</x:v>
      </x:c>
      <x:c r="T4856" t="str">
        <x:v>Credit</x:v>
      </x:c>
      <x:c r="U4856" t="str">
        <x:v>Paid</x:v>
      </x:c>
      <x:c r="V4856" t="str">
        <x:v>Delayed</x:v>
      </x:c>
      <x:c r="W4856" t="n">
        <x:v>0</x:v>
      </x:c>
      <x:c r="X4856" t="str"/>
      <x:c r="Y4856" t="str">
        <x:v>Field Visit</x:v>
      </x:c>
    </x:row>
    <x:row r="4857">
      <x:c r="A4857" t="str">
        <x:v>O004856</x:v>
      </x:c>
      <x:c r="B4857" s="20" t="n">
        <x:v>45782</x:v>
      </x:c>
      <x:c r="C4857" t="str">
        <x:v>C0161</x:v>
      </x:c>
      <x:c r="D4857" t="str">
        <x:v>Hotel Kitchen 161</x:v>
      </x:c>
      <x:c r="E4857" t="str">
        <x:v>Supermarket</x:v>
      </x:c>
      <x:c r="F4857" t="str">
        <x:v>Mysuru</x:v>
      </x:c>
      <x:c r="G4857" t="str">
        <x:v>Sneha</x:v>
      </x:c>
      <x:c r="H4857" t="str">
        <x:v>P018</x:v>
      </x:c>
      <x:c r="I4857" t="str">
        <x:v>Paneer 1kg</x:v>
      </x:c>
      <x:c r="J4857" t="str">
        <x:v>Dairy</x:v>
      </x:c>
      <x:c r="K4857" t="str">
        <x:v>Milky Mist</x:v>
      </x:c>
      <x:c r="L4857" s="22" t="n">
        <x:v>410</x:v>
      </x:c>
      <x:c r="M4857" t="n">
        <x:v>29</x:v>
      </x:c>
      <x:c r="N4857" s="24" t="n">
        <x:v>0.03</x:v>
      </x:c>
      <x:c r="O4857" s="22" t="n">
        <x:f>L4857*M4857</x:f>
        <x:v>11890</x:v>
      </x:c>
      <x:c r="P4857" s="22" t="n">
        <x:f>O4857*(1-N4857)</x:f>
        <x:v>11533.3</x:v>
      </x:c>
      <x:c r="Q4857" s="22" t="n">
        <x:v>370</x:v>
      </x:c>
      <x:c r="R4857" s="22" t="n">
        <x:f>Q4857*M4857</x:f>
        <x:v>10730</x:v>
      </x:c>
      <x:c r="S4857" s="22" t="n">
        <x:f>P4857-R4857</x:f>
        <x:v>803.2999999999993</x:v>
      </x:c>
      <x:c r="T4857" t="str">
        <x:v>Cash</x:v>
      </x:c>
      <x:c r="U4857" t="str">
        <x:v>Pending</x:v>
      </x:c>
      <x:c r="V4857" t="str">
        <x:v>Delivered</x:v>
      </x:c>
      <x:c r="W4857" t="n">
        <x:v>0</x:v>
      </x:c>
      <x:c r="X4857" t="str"/>
      <x:c r="Y4857" t="str">
        <x:v>Existing Customer</x:v>
      </x:c>
    </x:row>
    <x:row r="4858">
      <x:c r="A4858" t="str">
        <x:v>O004857</x:v>
      </x:c>
      <x:c r="B4858" s="20" t="n">
        <x:v>45730</x:v>
      </x:c>
      <x:c r="C4858" t="str">
        <x:v>C0068</x:v>
      </x:c>
      <x:c r="D4858" t="str">
        <x:v>Fresh Canteen 68</x:v>
      </x:c>
      <x:c r="E4858" t="str">
        <x:v>Kirana</x:v>
      </x:c>
      <x:c r="F4858" t="str">
        <x:v>Davanagere</x:v>
      </x:c>
      <x:c r="G4858" t="str">
        <x:v>Arjun</x:v>
      </x:c>
      <x:c r="H4858" t="str">
        <x:v>P011</x:v>
      </x:c>
      <x:c r="I4858" t="str">
        <x:v>Salt 1kg</x:v>
      </x:c>
      <x:c r="J4858" t="str">
        <x:v>Staples</x:v>
      </x:c>
      <x:c r="K4858" t="str">
        <x:v>Tata</x:v>
      </x:c>
      <x:c r="L4858" s="22" t="n">
        <x:v>28</x:v>
      </x:c>
      <x:c r="M4858" t="n">
        <x:v>23</x:v>
      </x:c>
      <x:c r="N4858" s="24" t="n">
        <x:v>0.02</x:v>
      </x:c>
      <x:c r="O4858" s="22" t="n">
        <x:f>L4858*M4858</x:f>
        <x:v>644</x:v>
      </x:c>
      <x:c r="P4858" s="22" t="n">
        <x:f>O4858*(1-N4858)</x:f>
        <x:v>631.12</x:v>
      </x:c>
      <x:c r="Q4858" s="22" t="n">
        <x:v>23</x:v>
      </x:c>
      <x:c r="R4858" s="22" t="n">
        <x:f>Q4858*M4858</x:f>
        <x:v>529</x:v>
      </x:c>
      <x:c r="S4858" s="22" t="n">
        <x:f>P4858-R4858</x:f>
        <x:v>102.12</x:v>
      </x:c>
      <x:c r="T4858" t="str">
        <x:v>UPI</x:v>
      </x:c>
      <x:c r="U4858" t="str">
        <x:v>Paid</x:v>
      </x:c>
      <x:c r="V4858" t="str">
        <x:v>Delivered</x:v>
      </x:c>
      <x:c r="W4858" t="n">
        <x:v>0</x:v>
      </x:c>
      <x:c r="X4858" t="str"/>
      <x:c r="Y4858" t="str">
        <x:v>Referral</x:v>
      </x:c>
    </x:row>
    <x:row r="4859">
      <x:c r="A4859" t="str">
        <x:v>O004858</x:v>
      </x:c>
      <x:c r="B4859" s="20" t="n">
        <x:v>46027</x:v>
      </x:c>
      <x:c r="C4859" t="str">
        <x:v>C0037</x:v>
      </x:c>
      <x:c r="D4859" t="str">
        <x:v>Royal Cafe 37</x:v>
      </x:c>
      <x:c r="E4859" t="str">
        <x:v>Hotel</x:v>
      </x:c>
      <x:c r="F4859" t="str">
        <x:v>Mysuru</x:v>
      </x:c>
      <x:c r="G4859" t="str">
        <x:v>Sneha</x:v>
      </x:c>
      <x:c r="H4859" t="str">
        <x:v>P036</x:v>
      </x:c>
      <x:c r="I4859" t="str">
        <x:v>Garam Masala 500g</x:v>
      </x:c>
      <x:c r="J4859" t="str">
        <x:v>Spices</x:v>
      </x:c>
      <x:c r="K4859" t="str">
        <x:v>MDH</x:v>
      </x:c>
      <x:c r="L4859" s="22" t="n">
        <x:v>265</x:v>
      </x:c>
      <x:c r="M4859" t="n">
        <x:v>32</x:v>
      </x:c>
      <x:c r="N4859" s="24" t="n">
        <x:v>0.02</x:v>
      </x:c>
      <x:c r="O4859" s="22" t="n">
        <x:f>L4859*M4859</x:f>
        <x:v>8480</x:v>
      </x:c>
      <x:c r="P4859" s="22" t="n">
        <x:f>O4859*(1-N4859)</x:f>
        <x:v>8310.4</x:v>
      </x:c>
      <x:c r="Q4859" s="22" t="n">
        <x:v>230</x:v>
      </x:c>
      <x:c r="R4859" s="22" t="n">
        <x:f>Q4859*M4859</x:f>
        <x:v>7360</x:v>
      </x:c>
      <x:c r="S4859" s="22" t="n">
        <x:f>P4859-R4859</x:f>
        <x:v>950.3999999999996</x:v>
      </x:c>
      <x:c r="T4859" t="str">
        <x:v>Cash</x:v>
      </x:c>
      <x:c r="U4859" t="str">
        <x:v>Paid</x:v>
      </x:c>
      <x:c r="V4859" t="str">
        <x:v>Delivered</x:v>
      </x:c>
      <x:c r="W4859" t="n">
        <x:v>0</x:v>
      </x:c>
      <x:c r="X4859" t="str"/>
      <x:c r="Y4859" t="str">
        <x:v>WhatsApp</x:v>
      </x:c>
    </x:row>
    <x:row r="4860">
      <x:c r="A4860" t="str">
        <x:v>O004859</x:v>
      </x:c>
      <x:c r="B4860" s="20" t="n">
        <x:v>45863</x:v>
      </x:c>
      <x:c r="C4860" t="str">
        <x:v>C0120</x:v>
      </x:c>
      <x:c r="D4860" t="str">
        <x:v>Foodie Foods 120</x:v>
      </x:c>
      <x:c r="E4860" t="str">
        <x:v>Hotel</x:v>
      </x:c>
      <x:c r="F4860" t="str">
        <x:v>Hubballi</x:v>
      </x:c>
      <x:c r="G4860" t="str">
        <x:v>Arjun</x:v>
      </x:c>
      <x:c r="H4860" t="str">
        <x:v>P002</x:v>
      </x:c>
      <x:c r="I4860" t="str">
        <x:v>Sona Masoori Rice 25kg</x:v>
      </x:c>
      <x:c r="J4860" t="str">
        <x:v>Staples</x:v>
      </x:c>
      <x:c r="K4860" t="str">
        <x:v>Fortune</x:v>
      </x:c>
      <x:c r="L4860" s="22" t="n">
        <x:v>1320</x:v>
      </x:c>
      <x:c r="M4860" t="n">
        <x:v>5</x:v>
      </x:c>
      <x:c r="N4860" s="24" t="n">
        <x:v>0.08</x:v>
      </x:c>
      <x:c r="O4860" s="22" t="n">
        <x:f>L4860*M4860</x:f>
        <x:v>6600</x:v>
      </x:c>
      <x:c r="P4860" s="22" t="n">
        <x:f>O4860*(1-N4860)</x:f>
        <x:v>6072</x:v>
      </x:c>
      <x:c r="Q4860" s="22" t="n">
        <x:v>1160</x:v>
      </x:c>
      <x:c r="R4860" s="22" t="n">
        <x:f>Q4860*M4860</x:f>
        <x:v>5800</x:v>
      </x:c>
      <x:c r="S4860" s="22" t="n">
        <x:f>P4860-R4860</x:f>
        <x:v>272</x:v>
      </x:c>
      <x:c r="T4860" t="str">
        <x:v>Credit</x:v>
      </x:c>
      <x:c r="U4860" t="str">
        <x:v>Paid</x:v>
      </x:c>
      <x:c r="V4860" t="str">
        <x:v>Delivered</x:v>
      </x:c>
      <x:c r="W4860" t="n">
        <x:v>4</x:v>
      </x:c>
      <x:c r="X4860" t="str">
        <x:v>Late Delivery</x:v>
      </x:c>
      <x:c r="Y4860" t="str">
        <x:v>Existing Customer</x:v>
      </x:c>
    </x:row>
    <x:row r="4861">
      <x:c r="A4861" t="str">
        <x:v>O004860</x:v>
      </x:c>
      <x:c r="B4861" s="20" t="n">
        <x:v>45736</x:v>
      </x:c>
      <x:c r="C4861" t="str">
        <x:v>C0126</x:v>
      </x:c>
      <x:c r="D4861" t="str">
        <x:v>Mysore Hotel 126</x:v>
      </x:c>
      <x:c r="E4861" t="str">
        <x:v>Restaurant</x:v>
      </x:c>
      <x:c r="F4861" t="str">
        <x:v>Mangaluru</x:v>
      </x:c>
      <x:c r="G4861" t="str">
        <x:v>Vikram</x:v>
      </x:c>
      <x:c r="H4861" t="str">
        <x:v>P021</x:v>
      </x:c>
      <x:c r="I4861" t="str">
        <x:v>Instant Coffee 200g</x:v>
      </x:c>
      <x:c r="J4861" t="str">
        <x:v>Beverage</x:v>
      </x:c>
      <x:c r="K4861" t="str">
        <x:v>Nescafe</x:v>
      </x:c>
      <x:c r="L4861" s="22" t="n">
        <x:v>460</x:v>
      </x:c>
      <x:c r="M4861" t="n">
        <x:v>1</x:v>
      </x:c>
      <x:c r="N4861" s="24" t="n">
        <x:v>0.03</x:v>
      </x:c>
      <x:c r="O4861" s="22" t="n">
        <x:f>L4861*M4861</x:f>
        <x:v>460</x:v>
      </x:c>
      <x:c r="P4861" s="22" t="n">
        <x:f>O4861*(1-N4861)</x:f>
        <x:v>446.2</x:v>
      </x:c>
      <x:c r="Q4861" s="22" t="n">
        <x:v>410</x:v>
      </x:c>
      <x:c r="R4861" s="22" t="n">
        <x:f>Q4861*M4861</x:f>
        <x:v>410</x:v>
      </x:c>
      <x:c r="S4861" s="22" t="n">
        <x:f>P4861-R4861</x:f>
        <x:v>36.19999999999999</x:v>
      </x:c>
      <x:c r="T4861" t="str">
        <x:v>Credit</x:v>
      </x:c>
      <x:c r="U4861" t="str">
        <x:v>Paid</x:v>
      </x:c>
      <x:c r="V4861" t="str">
        <x:v>Delivered</x:v>
      </x:c>
      <x:c r="W4861" t="n">
        <x:v>0</x:v>
      </x:c>
      <x:c r="X4861" t="str"/>
      <x:c r="Y4861" t="str">
        <x:v>Outbound Call</x:v>
      </x:c>
    </x:row>
    <x:row r="4862">
      <x:c r="A4862" t="str">
        <x:v>O004861</x:v>
      </x:c>
      <x:c r="B4862" s="20" t="n">
        <x:v>46157</x:v>
      </x:c>
      <x:c r="C4862" t="str">
        <x:v>C0073</x:v>
      </x:c>
      <x:c r="D4862" t="str">
        <x:v>Annapurna Stores 73</x:v>
      </x:c>
      <x:c r="E4862" t="str">
        <x:v>Restaurant</x:v>
      </x:c>
      <x:c r="F4862" t="str">
        <x:v>Davanagere</x:v>
      </x:c>
      <x:c r="G4862" t="str">
        <x:v>Kavya</x:v>
      </x:c>
      <x:c r="H4862" t="str">
        <x:v>P002</x:v>
      </x:c>
      <x:c r="I4862" t="str">
        <x:v>Sona Masoori Rice 25kg</x:v>
      </x:c>
      <x:c r="J4862" t="str">
        <x:v>Staples</x:v>
      </x:c>
      <x:c r="K4862" t="str">
        <x:v>Fortune</x:v>
      </x:c>
      <x:c r="L4862" s="22" t="n">
        <x:v>1320</x:v>
      </x:c>
      <x:c r="M4862" t="n">
        <x:v>4</x:v>
      </x:c>
      <x:c r="N4862" s="24" t="n">
        <x:v>0.02</x:v>
      </x:c>
      <x:c r="O4862" s="22" t="n">
        <x:f>L4862*M4862</x:f>
        <x:v>5280</x:v>
      </x:c>
      <x:c r="P4862" s="22" t="n">
        <x:f>O4862*(1-N4862)</x:f>
        <x:v>5174.4</x:v>
      </x:c>
      <x:c r="Q4862" s="22" t="n">
        <x:v>1160</x:v>
      </x:c>
      <x:c r="R4862" s="22" t="n">
        <x:f>Q4862*M4862</x:f>
        <x:v>4640</x:v>
      </x:c>
      <x:c r="S4862" s="22" t="n">
        <x:f>P4862-R4862</x:f>
        <x:v>534.3999999999996</x:v>
      </x:c>
      <x:c r="T4862" t="str">
        <x:v>Credit</x:v>
      </x:c>
      <x:c r="U4862" t="str">
        <x:v>Paid</x:v>
      </x:c>
      <x:c r="V4862" t="str">
        <x:v>Cancelled</x:v>
      </x:c>
      <x:c r="W4862" t="n">
        <x:v>4</x:v>
      </x:c>
      <x:c r="X4862" t="str">
        <x:v>Cancelled Order</x:v>
      </x:c>
      <x:c r="Y4862" t="str">
        <x:v>Outbound Call</x:v>
      </x:c>
    </x:row>
    <x:row r="4863">
      <x:c r="A4863" t="str">
        <x:v>O004862</x:v>
      </x:c>
      <x:c r="B4863" s="20" t="n">
        <x:v>45722</x:v>
      </x:c>
      <x:c r="C4863" t="str">
        <x:v>C0183</x:v>
      </x:c>
      <x:c r="D4863" t="str">
        <x:v>Spice Mart 183</x:v>
      </x:c>
      <x:c r="E4863" t="str">
        <x:v>Kirana</x:v>
      </x:c>
      <x:c r="F4863" t="str">
        <x:v>Mangaluru</x:v>
      </x:c>
      <x:c r="G4863" t="str">
        <x:v>Kavya</x:v>
      </x:c>
      <x:c r="H4863" t="str">
        <x:v>P048</x:v>
      </x:c>
      <x:c r="I4863" t="str">
        <x:v>Banana 10kg</x:v>
      </x:c>
      <x:c r="J4863" t="str">
        <x:v>Fresh Produce</x:v>
      </x:c>
      <x:c r="K4863" t="str">
        <x:v>Local Market</x:v>
      </x:c>
      <x:c r="L4863" s="22" t="n">
        <x:v>420</x:v>
      </x:c>
      <x:c r="M4863" t="n">
        <x:v>32</x:v>
      </x:c>
      <x:c r="N4863" s="24" t="n">
        <x:v>0</x:v>
      </x:c>
      <x:c r="O4863" s="22" t="n">
        <x:f>L4863*M4863</x:f>
        <x:v>13440</x:v>
      </x:c>
      <x:c r="P4863" s="22" t="n">
        <x:f>O4863*(1-N4863)</x:f>
        <x:v>13440</x:v>
      </x:c>
      <x:c r="Q4863" s="22" t="n">
        <x:v>350</x:v>
      </x:c>
      <x:c r="R4863" s="22" t="n">
        <x:f>Q4863*M4863</x:f>
        <x:v>11200</x:v>
      </x:c>
      <x:c r="S4863" s="22" t="n">
        <x:f>P4863-R4863</x:f>
        <x:v>2240</x:v>
      </x:c>
      <x:c r="T4863" t="str">
        <x:v>Bank Transfer</x:v>
      </x:c>
      <x:c r="U4863" t="str">
        <x:v>Paid</x:v>
      </x:c>
      <x:c r="V4863" t="str">
        <x:v>Delivered</x:v>
      </x:c>
      <x:c r="W4863" t="n">
        <x:v>2</x:v>
      </x:c>
      <x:c r="X4863" t="str">
        <x:v>Quality Issue</x:v>
      </x:c>
      <x:c r="Y4863" t="str">
        <x:v>Outbound Call</x:v>
      </x:c>
    </x:row>
    <x:row r="4864">
      <x:c r="A4864" t="str">
        <x:v>O004863</x:v>
      </x:c>
      <x:c r="B4864" s="20" t="n">
        <x:v>45687</x:v>
      </x:c>
      <x:c r="C4864" t="str">
        <x:v>C0054</x:v>
      </x:c>
      <x:c r="D4864" t="str">
        <x:v>Cafe Cafe 54</x:v>
      </x:c>
      <x:c r="E4864" t="str">
        <x:v>Restaurant</x:v>
      </x:c>
      <x:c r="F4864" t="str">
        <x:v>Hubballi</x:v>
      </x:c>
      <x:c r="G4864" t="str">
        <x:v>Vikram</x:v>
      </x:c>
      <x:c r="H4864" t="str">
        <x:v>P040</x:v>
      </x:c>
      <x:c r="I4864" t="str">
        <x:v>Bread Loaf 400g</x:v>
      </x:c>
      <x:c r="J4864" t="str">
        <x:v>Bakery</x:v>
      </x:c>
      <x:c r="K4864" t="str">
        <x:v>Britannia</x:v>
      </x:c>
      <x:c r="L4864" s="22" t="n">
        <x:v>45</x:v>
      </x:c>
      <x:c r="M4864" t="n">
        <x:v>1</x:v>
      </x:c>
      <x:c r="N4864" s="24" t="n">
        <x:v>0</x:v>
      </x:c>
      <x:c r="O4864" s="22" t="n">
        <x:f>L4864*M4864</x:f>
        <x:v>45</x:v>
      </x:c>
      <x:c r="P4864" s="22" t="n">
        <x:f>O4864*(1-N4864)</x:f>
        <x:v>45</x:v>
      </x:c>
      <x:c r="Q4864" s="22" t="n">
        <x:v>35</x:v>
      </x:c>
      <x:c r="R4864" s="22" t="n">
        <x:f>Q4864*M4864</x:f>
        <x:v>35</x:v>
      </x:c>
      <x:c r="S4864" s="22" t="n">
        <x:f>P4864-R4864</x:f>
        <x:v>10</x:v>
      </x:c>
      <x:c r="T4864" t="str">
        <x:v>Cash</x:v>
      </x:c>
      <x:c r="U4864" t="str">
        <x:v>Paid</x:v>
      </x:c>
      <x:c r="V4864" t="str">
        <x:v>Cancelled</x:v>
      </x:c>
      <x:c r="W4864" t="n">
        <x:v>1</x:v>
      </x:c>
      <x:c r="X4864" t="str">
        <x:v>Cancelled Order</x:v>
      </x:c>
      <x:c r="Y4864" t="str">
        <x:v>Outbound Call</x:v>
      </x:c>
    </x:row>
    <x:row r="4865">
      <x:c r="A4865" t="str">
        <x:v>O004864</x:v>
      </x:c>
      <x:c r="B4865" s="20" t="n">
        <x:v>46114</x:v>
      </x:c>
      <x:c r="C4865" t="str">
        <x:v>C0066</x:v>
      </x:c>
      <x:c r="D4865" t="str">
        <x:v>Hotel Hotel 66</x:v>
      </x:c>
      <x:c r="E4865" t="str">
        <x:v>Restaurant</x:v>
      </x:c>
      <x:c r="F4865" t="str">
        <x:v>Davanagere</x:v>
      </x:c>
      <x:c r="G4865" t="str">
        <x:v>Megha</x:v>
      </x:c>
      <x:c r="H4865" t="str">
        <x:v>P044</x:v>
      </x:c>
      <x:c r="I4865" t="str">
        <x:v>Chicken Curry Cut 1kg</x:v>
      </x:c>
      <x:c r="J4865" t="str">
        <x:v>Protein</x:v>
      </x:c>
      <x:c r="K4865" t="str">
        <x:v>FreshToHome</x:v>
      </x:c>
      <x:c r="L4865" s="22" t="n">
        <x:v>230</x:v>
      </x:c>
      <x:c r="M4865" t="n">
        <x:v>12</x:v>
      </x:c>
      <x:c r="N4865" s="24" t="n">
        <x:v>0.05</x:v>
      </x:c>
      <x:c r="O4865" s="22" t="n">
        <x:f>L4865*M4865</x:f>
        <x:v>2760</x:v>
      </x:c>
      <x:c r="P4865" s="22" t="n">
        <x:f>O4865*(1-N4865)</x:f>
        <x:v>2622</x:v>
      </x:c>
      <x:c r="Q4865" s="22" t="n">
        <x:v>205</x:v>
      </x:c>
      <x:c r="R4865" s="22" t="n">
        <x:f>Q4865*M4865</x:f>
        <x:v>2460</x:v>
      </x:c>
      <x:c r="S4865" s="22" t="n">
        <x:f>P4865-R4865</x:f>
        <x:v>162</x:v>
      </x:c>
      <x:c r="T4865" t="str">
        <x:v>UPI</x:v>
      </x:c>
      <x:c r="U4865" t="str">
        <x:v>Paid</x:v>
      </x:c>
      <x:c r="V4865" t="str">
        <x:v>Delivered</x:v>
      </x:c>
      <x:c r="W4865" t="n">
        <x:v>0</x:v>
      </x:c>
      <x:c r="X4865" t="str"/>
      <x:c r="Y4865" t="str">
        <x:v>Referral</x:v>
      </x:c>
    </x:row>
    <x:row r="4866">
      <x:c r="A4866" t="str">
        <x:v>O004865</x:v>
      </x:c>
      <x:c r="B4866" s="20" t="n">
        <x:v>45686</x:v>
      </x:c>
      <x:c r="C4866" t="str">
        <x:v>C0049</x:v>
      </x:c>
      <x:c r="D4866" t="str">
        <x:v>Namma Stores 49</x:v>
      </x:c>
      <x:c r="E4866" t="str">
        <x:v>Hotel</x:v>
      </x:c>
      <x:c r="F4866" t="str">
        <x:v>Mangaluru</x:v>
      </x:c>
      <x:c r="G4866" t="str">
        <x:v>Sneha</x:v>
      </x:c>
      <x:c r="H4866" t="str">
        <x:v>P045</x:v>
      </x:c>
      <x:c r="I4866" t="str">
        <x:v>Onion 25kg</x:v>
      </x:c>
      <x:c r="J4866" t="str">
        <x:v>Fresh Produce</x:v>
      </x:c>
      <x:c r="K4866" t="str">
        <x:v>Local Market</x:v>
      </x:c>
      <x:c r="L4866" s="22" t="n">
        <x:v>875</x:v>
      </x:c>
      <x:c r="M4866" t="n">
        <x:v>17</x:v>
      </x:c>
      <x:c r="N4866" s="24" t="n">
        <x:v>0.05</x:v>
      </x:c>
      <x:c r="O4866" s="22" t="n">
        <x:f>L4866*M4866</x:f>
        <x:v>14875</x:v>
      </x:c>
      <x:c r="P4866" s="22" t="n">
        <x:f>O4866*(1-N4866)</x:f>
        <x:v>14131.25</x:v>
      </x:c>
      <x:c r="Q4866" s="22" t="n">
        <x:v>760</x:v>
      </x:c>
      <x:c r="R4866" s="22" t="n">
        <x:f>Q4866*M4866</x:f>
        <x:v>12920</x:v>
      </x:c>
      <x:c r="S4866" s="22" t="n">
        <x:f>P4866-R4866</x:f>
        <x:v>1211.25</x:v>
      </x:c>
      <x:c r="T4866" t="str">
        <x:v>Credit</x:v>
      </x:c>
      <x:c r="U4866" t="str">
        <x:v>Paid</x:v>
      </x:c>
      <x:c r="V4866" t="str">
        <x:v>Cancelled</x:v>
      </x:c>
      <x:c r="W4866" t="n">
        <x:v>17</x:v>
      </x:c>
      <x:c r="X4866" t="str">
        <x:v>Cancelled Order</x:v>
      </x:c>
      <x:c r="Y4866" t="str">
        <x:v>Field Visit</x:v>
      </x:c>
    </x:row>
    <x:row r="4867">
      <x:c r="A4867" t="str">
        <x:v>O004866</x:v>
      </x:c>
      <x:c r="B4867" s="20" t="n">
        <x:v>45947</x:v>
      </x:c>
      <x:c r="C4867" t="str">
        <x:v>C0238</x:v>
      </x:c>
      <x:c r="D4867" t="str">
        <x:v>Foodie Foods 238</x:v>
      </x:c>
      <x:c r="E4867" t="str">
        <x:v>Restaurant</x:v>
      </x:c>
      <x:c r="F4867" t="str">
        <x:v>Davanagere</x:v>
      </x:c>
      <x:c r="G4867" t="str">
        <x:v>Megha</x:v>
      </x:c>
      <x:c r="H4867" t="str">
        <x:v>P035</x:v>
      </x:c>
      <x:c r="I4867" t="str">
        <x:v>Coriander Powder 1kg</x:v>
      </x:c>
      <x:c r="J4867" t="str">
        <x:v>Spices</x:v>
      </x:c>
      <x:c r="K4867" t="str">
        <x:v>Everest</x:v>
      </x:c>
      <x:c r="L4867" s="22" t="n">
        <x:v>280</x:v>
      </x:c>
      <x:c r="M4867" t="n">
        <x:v>19</x:v>
      </x:c>
      <x:c r="N4867" s="24" t="n">
        <x:v>0</x:v>
      </x:c>
      <x:c r="O4867" s="22" t="n">
        <x:f>L4867*M4867</x:f>
        <x:v>5320</x:v>
      </x:c>
      <x:c r="P4867" s="22" t="n">
        <x:f>O4867*(1-N4867)</x:f>
        <x:v>5320</x:v>
      </x:c>
      <x:c r="Q4867" s="22" t="n">
        <x:v>245</x:v>
      </x:c>
      <x:c r="R4867" s="22" t="n">
        <x:f>Q4867*M4867</x:f>
        <x:v>4655</x:v>
      </x:c>
      <x:c r="S4867" s="22" t="n">
        <x:f>P4867-R4867</x:f>
        <x:v>665</x:v>
      </x:c>
      <x:c r="T4867" t="str">
        <x:v>Credit</x:v>
      </x:c>
      <x:c r="U4867" t="str">
        <x:v>Paid</x:v>
      </x:c>
      <x:c r="V4867" t="str">
        <x:v>Delivered</x:v>
      </x:c>
      <x:c r="W4867" t="n">
        <x:v>0</x:v>
      </x:c>
      <x:c r="X4867" t="str"/>
      <x:c r="Y4867" t="str">
        <x:v>Referral</x:v>
      </x:c>
    </x:row>
    <x:row r="4868">
      <x:c r="A4868" t="str">
        <x:v>O004867</x:v>
      </x:c>
      <x:c r="B4868" s="20" t="n">
        <x:v>46229</x:v>
      </x:c>
      <x:c r="C4868" t="str">
        <x:v>C0218</x:v>
      </x:c>
      <x:c r="D4868" t="str">
        <x:v>Green Stores 218</x:v>
      </x:c>
      <x:c r="E4868" t="str">
        <x:v>Hotel</x:v>
      </x:c>
      <x:c r="F4868" t="str">
        <x:v>Mysuru</x:v>
      </x:c>
      <x:c r="G4868" t="str">
        <x:v>Imran</x:v>
      </x:c>
      <x:c r="H4868" t="str">
        <x:v>P041</x:v>
      </x:c>
      <x:c r="I4868" t="str">
        <x:v>Burger Bun 6pc</x:v>
      </x:c>
      <x:c r="J4868" t="str">
        <x:v>Bakery</x:v>
      </x:c>
      <x:c r="K4868" t="str">
        <x:v>Modern</x:v>
      </x:c>
      <x:c r="L4868" s="22" t="n">
        <x:v>42</x:v>
      </x:c>
      <x:c r="M4868" t="n">
        <x:v>35</x:v>
      </x:c>
      <x:c r="N4868" s="24" t="n">
        <x:v>0.08</x:v>
      </x:c>
      <x:c r="O4868" s="22" t="n">
        <x:f>L4868*M4868</x:f>
        <x:v>1470</x:v>
      </x:c>
      <x:c r="P4868" s="22" t="n">
        <x:f>O4868*(1-N4868)</x:f>
        <x:v>1352.4</x:v>
      </x:c>
      <x:c r="Q4868" s="22" t="n">
        <x:v>32</x:v>
      </x:c>
      <x:c r="R4868" s="22" t="n">
        <x:f>Q4868*M4868</x:f>
        <x:v>1120</x:v>
      </x:c>
      <x:c r="S4868" s="22" t="n">
        <x:f>P4868-R4868</x:f>
        <x:v>232.4000000000001</x:v>
      </x:c>
      <x:c r="T4868" t="str">
        <x:v>Credit</x:v>
      </x:c>
      <x:c r="U4868" t="str">
        <x:v>Paid</x:v>
      </x:c>
      <x:c r="V4868" t="str">
        <x:v>Delayed</x:v>
      </x:c>
      <x:c r="W4868" t="n">
        <x:v>0</x:v>
      </x:c>
      <x:c r="X4868" t="str"/>
      <x:c r="Y4868" t="str">
        <x:v>Outbound Call</x:v>
      </x:c>
    </x:row>
    <x:row r="4869">
      <x:c r="A4869" t="str">
        <x:v>O004868</x:v>
      </x:c>
      <x:c r="B4869" s="20" t="n">
        <x:v>45862</x:v>
      </x:c>
      <x:c r="C4869" t="str">
        <x:v>C0075</x:v>
      </x:c>
      <x:c r="D4869" t="str">
        <x:v>Spice Foods 75</x:v>
      </x:c>
      <x:c r="E4869" t="str">
        <x:v>Kirana</x:v>
      </x:c>
      <x:c r="F4869" t="str">
        <x:v>Hubballi</x:v>
      </x:c>
      <x:c r="G4869" t="str">
        <x:v>Vikram</x:v>
      </x:c>
      <x:c r="H4869" t="str">
        <x:v>P036</x:v>
      </x:c>
      <x:c r="I4869" t="str">
        <x:v>Garam Masala 500g</x:v>
      </x:c>
      <x:c r="J4869" t="str">
        <x:v>Spices</x:v>
      </x:c>
      <x:c r="K4869" t="str">
        <x:v>MDH</x:v>
      </x:c>
      <x:c r="L4869" s="22" t="n">
        <x:v>265</x:v>
      </x:c>
      <x:c r="M4869" t="n">
        <x:v>4</x:v>
      </x:c>
      <x:c r="N4869" s="24" t="n">
        <x:v>0.03</x:v>
      </x:c>
      <x:c r="O4869" s="22" t="n">
        <x:f>L4869*M4869</x:f>
        <x:v>1060</x:v>
      </x:c>
      <x:c r="P4869" s="22" t="n">
        <x:f>O4869*(1-N4869)</x:f>
        <x:v>1028.2</x:v>
      </x:c>
      <x:c r="Q4869" s="22" t="n">
        <x:v>230</x:v>
      </x:c>
      <x:c r="R4869" s="22" t="n">
        <x:f>Q4869*M4869</x:f>
        <x:v>920</x:v>
      </x:c>
      <x:c r="S4869" s="22" t="n">
        <x:f>P4869-R4869</x:f>
        <x:v>108.20000000000005</x:v>
      </x:c>
      <x:c r="T4869" t="str">
        <x:v>Cash</x:v>
      </x:c>
      <x:c r="U4869" t="str">
        <x:v>Paid</x:v>
      </x:c>
      <x:c r="V4869" t="str">
        <x:v>Delivered</x:v>
      </x:c>
      <x:c r="W4869" t="n">
        <x:v>0</x:v>
      </x:c>
      <x:c r="X4869" t="str"/>
      <x:c r="Y4869" t="str">
        <x:v>Outbound Call</x:v>
      </x:c>
    </x:row>
    <x:row r="4870">
      <x:c r="A4870" t="str">
        <x:v>O004869</x:v>
      </x:c>
      <x:c r="B4870" s="20" t="n">
        <x:v>45927</x:v>
      </x:c>
      <x:c r="C4870" t="str">
        <x:v>C0198</x:v>
      </x:c>
      <x:c r="D4870" t="str">
        <x:v>Royal Canteen 198</x:v>
      </x:c>
      <x:c r="E4870" t="str">
        <x:v>Supermarket</x:v>
      </x:c>
      <x:c r="F4870" t="str">
        <x:v>Davanagere</x:v>
      </x:c>
      <x:c r="G4870" t="str">
        <x:v>Arjun</x:v>
      </x:c>
      <x:c r="H4870" t="str">
        <x:v>P017</x:v>
      </x:c>
      <x:c r="I4870" t="str">
        <x:v>Butter 500g</x:v>
      </x:c>
      <x:c r="J4870" t="str">
        <x:v>Dairy</x:v>
      </x:c>
      <x:c r="K4870" t="str">
        <x:v>Amul</x:v>
      </x:c>
      <x:c r="L4870" s="22" t="n">
        <x:v>285</x:v>
      </x:c>
      <x:c r="M4870" t="n">
        <x:v>38</x:v>
      </x:c>
      <x:c r="N4870" s="24" t="n">
        <x:v>0</x:v>
      </x:c>
      <x:c r="O4870" s="22" t="n">
        <x:f>L4870*M4870</x:f>
        <x:v>10830</x:v>
      </x:c>
      <x:c r="P4870" s="22" t="n">
        <x:f>O4870*(1-N4870)</x:f>
        <x:v>10830</x:v>
      </x:c>
      <x:c r="Q4870" s="22" t="n">
        <x:v>258</x:v>
      </x:c>
      <x:c r="R4870" s="22" t="n">
        <x:f>Q4870*M4870</x:f>
        <x:v>9804</x:v>
      </x:c>
      <x:c r="S4870" s="22" t="n">
        <x:f>P4870-R4870</x:f>
        <x:v>1026</x:v>
      </x:c>
      <x:c r="T4870" t="str">
        <x:v>Cash</x:v>
      </x:c>
      <x:c r="U4870" t="str">
        <x:v>Paid</x:v>
      </x:c>
      <x:c r="V4870" t="str">
        <x:v>Delayed</x:v>
      </x:c>
      <x:c r="W4870" t="n">
        <x:v>0</x:v>
      </x:c>
      <x:c r="X4870" t="str"/>
      <x:c r="Y4870" t="str">
        <x:v>Referral</x:v>
      </x:c>
    </x:row>
    <x:row r="4871">
      <x:c r="A4871" t="str">
        <x:v>O004870</x:v>
      </x:c>
      <x:c r="B4871" s="20" t="n">
        <x:v>46154</x:v>
      </x:c>
      <x:c r="C4871" t="str">
        <x:v>C0075</x:v>
      </x:c>
      <x:c r="D4871" t="str">
        <x:v>Spice Foods 75</x:v>
      </x:c>
      <x:c r="E4871" t="str">
        <x:v>Kirana</x:v>
      </x:c>
      <x:c r="F4871" t="str">
        <x:v>Hubballi</x:v>
      </x:c>
      <x:c r="G4871" t="str">
        <x:v>Vikram</x:v>
      </x:c>
      <x:c r="H4871" t="str">
        <x:v>P008</x:v>
      </x:c>
      <x:c r="I4871" t="str">
        <x:v>Palm Oil 15L</x:v>
      </x:c>
      <x:c r="J4871" t="str">
        <x:v>Edible Oil</x:v>
      </x:c>
      <x:c r="K4871" t="str">
        <x:v>Ruchi Gold</x:v>
      </x:c>
      <x:c r="L4871" s="22" t="n">
        <x:v>1760</x:v>
      </x:c>
      <x:c r="M4871" t="n">
        <x:v>12</x:v>
      </x:c>
      <x:c r="N4871" s="24" t="n">
        <x:v>0.08</x:v>
      </x:c>
      <x:c r="O4871" s="22" t="n">
        <x:f>L4871*M4871</x:f>
        <x:v>21120</x:v>
      </x:c>
      <x:c r="P4871" s="22" t="n">
        <x:f>O4871*(1-N4871)</x:f>
        <x:v>19430.4</x:v>
      </x:c>
      <x:c r="Q4871" s="22" t="n">
        <x:v>1610</x:v>
      </x:c>
      <x:c r="R4871" s="22" t="n">
        <x:f>Q4871*M4871</x:f>
        <x:v>19320</x:v>
      </x:c>
      <x:c r="S4871" s="22" t="n">
        <x:f>P4871-R4871</x:f>
        <x:v>110.40000000000146</x:v>
      </x:c>
      <x:c r="T4871" t="str">
        <x:v>Bank Transfer</x:v>
      </x:c>
      <x:c r="U4871" t="str">
        <x:v>Paid</x:v>
      </x:c>
      <x:c r="V4871" t="str">
        <x:v>Cancelled</x:v>
      </x:c>
      <x:c r="W4871" t="n">
        <x:v>12</x:v>
      </x:c>
      <x:c r="X4871" t="str">
        <x:v>Cancelled Order</x:v>
      </x:c>
      <x:c r="Y4871" t="str">
        <x:v>Referral</x:v>
      </x:c>
    </x:row>
    <x:row r="4872">
      <x:c r="A4872" t="str">
        <x:v>O004871</x:v>
      </x:c>
      <x:c r="B4872" s="20" t="n">
        <x:v>45701</x:v>
      </x:c>
      <x:c r="C4872" t="str">
        <x:v>C0182</x:v>
      </x:c>
      <x:c r="D4872" t="str">
        <x:v>Mysore Foods 182</x:v>
      </x:c>
      <x:c r="E4872" t="str">
        <x:v>Restaurant</x:v>
      </x:c>
      <x:c r="F4872" t="str">
        <x:v>Bengaluru</x:v>
      </x:c>
      <x:c r="G4872" t="str">
        <x:v>Vikram</x:v>
      </x:c>
      <x:c r="H4872" t="str">
        <x:v>P041</x:v>
      </x:c>
      <x:c r="I4872" t="str">
        <x:v>Burger Bun 6pc</x:v>
      </x:c>
      <x:c r="J4872" t="str">
        <x:v>Bakery</x:v>
      </x:c>
      <x:c r="K4872" t="str">
        <x:v>Modern</x:v>
      </x:c>
      <x:c r="L4872" s="22" t="n">
        <x:v>42</x:v>
      </x:c>
      <x:c r="M4872" t="n">
        <x:v>30</x:v>
      </x:c>
      <x:c r="N4872" s="24" t="n">
        <x:v>0</x:v>
      </x:c>
      <x:c r="O4872" s="22" t="n">
        <x:f>L4872*M4872</x:f>
        <x:v>1260</x:v>
      </x:c>
      <x:c r="P4872" s="22" t="n">
        <x:f>O4872*(1-N4872)</x:f>
        <x:v>1260</x:v>
      </x:c>
      <x:c r="Q4872" s="22" t="n">
        <x:v>32</x:v>
      </x:c>
      <x:c r="R4872" s="22" t="n">
        <x:f>Q4872*M4872</x:f>
        <x:v>960</x:v>
      </x:c>
      <x:c r="S4872" s="22" t="n">
        <x:f>P4872-R4872</x:f>
        <x:v>300</x:v>
      </x:c>
      <x:c r="T4872" t="str">
        <x:v>Bank Transfer</x:v>
      </x:c>
      <x:c r="U4872" t="str">
        <x:v>Pending</x:v>
      </x:c>
      <x:c r="V4872" t="str">
        <x:v>Delivered</x:v>
      </x:c>
      <x:c r="W4872" t="n">
        <x:v>0</x:v>
      </x:c>
      <x:c r="X4872" t="str"/>
      <x:c r="Y4872" t="str">
        <x:v>Existing Customer</x:v>
      </x:c>
    </x:row>
    <x:row r="4873">
      <x:c r="A4873" t="str">
        <x:v>O004872</x:v>
      </x:c>
      <x:c r="B4873" s="20" t="n">
        <x:v>45675</x:v>
      </x:c>
      <x:c r="C4873" t="str">
        <x:v>C0206</x:v>
      </x:c>
      <x:c r="D4873" t="str">
        <x:v>Grand Kitchen 206</x:v>
      </x:c>
      <x:c r="E4873" t="str">
        <x:v>Kirana</x:v>
      </x:c>
      <x:c r="F4873" t="str">
        <x:v>Mysuru</x:v>
      </x:c>
      <x:c r="G4873" t="str">
        <x:v>Arjun</x:v>
      </x:c>
      <x:c r="H4873" t="str">
        <x:v>P025</x:v>
      </x:c>
      <x:c r="I4873" t="str">
        <x:v>Potato Chips 100g</x:v>
      </x:c>
      <x:c r="J4873" t="str">
        <x:v>Snacks</x:v>
      </x:c>
      <x:c r="K4873" t="str">
        <x:v>Lay's</x:v>
      </x:c>
      <x:c r="L4873" s="22" t="n">
        <x:v>35</x:v>
      </x:c>
      <x:c r="M4873" t="n">
        <x:v>28</x:v>
      </x:c>
      <x:c r="N4873" s="24" t="n">
        <x:v>0.05</x:v>
      </x:c>
      <x:c r="O4873" s="22" t="n">
        <x:f>L4873*M4873</x:f>
        <x:v>980</x:v>
      </x:c>
      <x:c r="P4873" s="22" t="n">
        <x:f>O4873*(1-N4873)</x:f>
        <x:v>931</x:v>
      </x:c>
      <x:c r="Q4873" s="22" t="n">
        <x:v>27</x:v>
      </x:c>
      <x:c r="R4873" s="22" t="n">
        <x:f>Q4873*M4873</x:f>
        <x:v>756</x:v>
      </x:c>
      <x:c r="S4873" s="22" t="n">
        <x:f>P4873-R4873</x:f>
        <x:v>175</x:v>
      </x:c>
      <x:c r="T4873" t="str">
        <x:v>Bank Transfer</x:v>
      </x:c>
      <x:c r="U4873" t="str">
        <x:v>Overdue</x:v>
      </x:c>
      <x:c r="V4873" t="str">
        <x:v>Delivered</x:v>
      </x:c>
      <x:c r="W4873" t="n">
        <x:v>0</x:v>
      </x:c>
      <x:c r="X4873" t="str"/>
      <x:c r="Y4873" t="str">
        <x:v>WhatsApp</x:v>
      </x:c>
    </x:row>
    <x:row r="4874">
      <x:c r="A4874" t="str">
        <x:v>O004873</x:v>
      </x:c>
      <x:c r="B4874" s="20" t="n">
        <x:v>46191</x:v>
      </x:c>
      <x:c r="C4874" t="str">
        <x:v>C0163</x:v>
      </x:c>
      <x:c r="D4874" t="str">
        <x:v>Shree Kitchen 163</x:v>
      </x:c>
      <x:c r="E4874" t="str">
        <x:v>Kirana</x:v>
      </x:c>
      <x:c r="F4874" t="str">
        <x:v>Mysuru</x:v>
      </x:c>
      <x:c r="G4874" t="str">
        <x:v>Priya</x:v>
      </x:c>
      <x:c r="H4874" t="str">
        <x:v>P043</x:v>
      </x:c>
      <x:c r="I4874" t="str">
        <x:v>Chicken Breast 1kg</x:v>
      </x:c>
      <x:c r="J4874" t="str">
        <x:v>Protein</x:v>
      </x:c>
      <x:c r="K4874" t="str">
        <x:v>FreshToHome</x:v>
      </x:c>
      <x:c r="L4874" s="22" t="n">
        <x:v>260</x:v>
      </x:c>
      <x:c r="M4874" t="n">
        <x:v>8</x:v>
      </x:c>
      <x:c r="N4874" s="24" t="n">
        <x:v>0.05</x:v>
      </x:c>
      <x:c r="O4874" s="22" t="n">
        <x:f>L4874*M4874</x:f>
        <x:v>2080</x:v>
      </x:c>
      <x:c r="P4874" s="22" t="n">
        <x:f>O4874*(1-N4874)</x:f>
        <x:v>1976</x:v>
      </x:c>
      <x:c r="Q4874" s="22" t="n">
        <x:v>235</x:v>
      </x:c>
      <x:c r="R4874" s="22" t="n">
        <x:f>Q4874*M4874</x:f>
        <x:v>1880</x:v>
      </x:c>
      <x:c r="S4874" s="22" t="n">
        <x:f>P4874-R4874</x:f>
        <x:v>96</x:v>
      </x:c>
      <x:c r="T4874" t="str">
        <x:v>UPI</x:v>
      </x:c>
      <x:c r="U4874" t="str">
        <x:v>Paid</x:v>
      </x:c>
      <x:c r="V4874" t="str">
        <x:v>Delivered</x:v>
      </x:c>
      <x:c r="W4874" t="n">
        <x:v>0</x:v>
      </x:c>
      <x:c r="X4874" t="str"/>
      <x:c r="Y4874" t="str">
        <x:v>Referral</x:v>
      </x:c>
    </x:row>
    <x:row r="4875">
      <x:c r="A4875" t="str">
        <x:v>O004874</x:v>
      </x:c>
      <x:c r="B4875" s="20" t="n">
        <x:v>46066</x:v>
      </x:c>
      <x:c r="C4875" t="str">
        <x:v>C0143</x:v>
      </x:c>
      <x:c r="D4875" t="str">
        <x:v>Foodie Restaurant 143</x:v>
      </x:c>
      <x:c r="E4875" t="str">
        <x:v>Restaurant</x:v>
      </x:c>
      <x:c r="F4875" t="str">
        <x:v>Hubballi</x:v>
      </x:c>
      <x:c r="G4875" t="str">
        <x:v>Priya</x:v>
      </x:c>
      <x:c r="H4875" t="str">
        <x:v>P016</x:v>
      </x:c>
      <x:c r="I4875" t="str">
        <x:v>Curd 1kg</x:v>
      </x:c>
      <x:c r="J4875" t="str">
        <x:v>Dairy</x:v>
      </x:c>
      <x:c r="K4875" t="str">
        <x:v>Nandini</x:v>
      </x:c>
      <x:c r="L4875" s="22" t="n">
        <x:v>72</x:v>
      </x:c>
      <x:c r="M4875" t="n">
        <x:v>37</x:v>
      </x:c>
      <x:c r="N4875" s="24" t="n">
        <x:v>0.05</x:v>
      </x:c>
      <x:c r="O4875" s="22" t="n">
        <x:f>L4875*M4875</x:f>
        <x:v>2664</x:v>
      </x:c>
      <x:c r="P4875" s="22" t="n">
        <x:f>O4875*(1-N4875)</x:f>
        <x:v>2530.7999999999997</x:v>
      </x:c>
      <x:c r="Q4875" s="22" t="n">
        <x:v>64</x:v>
      </x:c>
      <x:c r="R4875" s="22" t="n">
        <x:f>Q4875*M4875</x:f>
        <x:v>2368</x:v>
      </x:c>
      <x:c r="S4875" s="22" t="n">
        <x:f>P4875-R4875</x:f>
        <x:v>162.79999999999973</x:v>
      </x:c>
      <x:c r="T4875" t="str">
        <x:v>UPI</x:v>
      </x:c>
      <x:c r="U4875" t="str">
        <x:v>Pending</x:v>
      </x:c>
      <x:c r="V4875" t="str">
        <x:v>Delivered</x:v>
      </x:c>
      <x:c r="W4875" t="n">
        <x:v>0</x:v>
      </x:c>
      <x:c r="X4875" t="str"/>
      <x:c r="Y4875" t="str">
        <x:v>Field Visit</x:v>
      </x:c>
    </x:row>
    <x:row r="4876">
      <x:c r="A4876" t="str">
        <x:v>O004875</x:v>
      </x:c>
      <x:c r="B4876" s="20" t="n">
        <x:v>45903</x:v>
      </x:c>
      <x:c r="C4876" t="str">
        <x:v>C0226</x:v>
      </x:c>
      <x:c r="D4876" t="str">
        <x:v>Green Stores 226</x:v>
      </x:c>
      <x:c r="E4876" t="str">
        <x:v>Restaurant</x:v>
      </x:c>
      <x:c r="F4876" t="str">
        <x:v>Hubballi</x:v>
      </x:c>
      <x:c r="G4876" t="str">
        <x:v>Priya</x:v>
      </x:c>
      <x:c r="H4876" t="str">
        <x:v>P021</x:v>
      </x:c>
      <x:c r="I4876" t="str">
        <x:v>Instant Coffee 200g</x:v>
      </x:c>
      <x:c r="J4876" t="str">
        <x:v>Beverage</x:v>
      </x:c>
      <x:c r="K4876" t="str">
        <x:v>Nescafe</x:v>
      </x:c>
      <x:c r="L4876" s="22" t="n">
        <x:v>460</x:v>
      </x:c>
      <x:c r="M4876" t="n">
        <x:v>23</x:v>
      </x:c>
      <x:c r="N4876" s="24" t="n">
        <x:v>0.03</x:v>
      </x:c>
      <x:c r="O4876" s="22" t="n">
        <x:f>L4876*M4876</x:f>
        <x:v>10580</x:v>
      </x:c>
      <x:c r="P4876" s="22" t="n">
        <x:f>O4876*(1-N4876)</x:f>
        <x:v>10262.6</x:v>
      </x:c>
      <x:c r="Q4876" s="22" t="n">
        <x:v>410</x:v>
      </x:c>
      <x:c r="R4876" s="22" t="n">
        <x:f>Q4876*M4876</x:f>
        <x:v>9430</x:v>
      </x:c>
      <x:c r="S4876" s="22" t="n">
        <x:f>P4876-R4876</x:f>
        <x:v>832.6000000000004</x:v>
      </x:c>
      <x:c r="T4876" t="str">
        <x:v>Cash</x:v>
      </x:c>
      <x:c r="U4876" t="str">
        <x:v>Paid</x:v>
      </x:c>
      <x:c r="V4876" t="str">
        <x:v>Delivered</x:v>
      </x:c>
      <x:c r="W4876" t="n">
        <x:v>0</x:v>
      </x:c>
      <x:c r="X4876" t="str"/>
      <x:c r="Y4876" t="str">
        <x:v>Referral</x:v>
      </x:c>
    </x:row>
    <x:row r="4877">
      <x:c r="A4877" t="str">
        <x:v>O004876</x:v>
      </x:c>
      <x:c r="B4877" s="20" t="n">
        <x:v>46120</x:v>
      </x:c>
      <x:c r="C4877" t="str">
        <x:v>C0233</x:v>
      </x:c>
      <x:c r="D4877" t="str">
        <x:v>Shree Mart 233</x:v>
      </x:c>
      <x:c r="E4877" t="str">
        <x:v>Kirana</x:v>
      </x:c>
      <x:c r="F4877" t="str">
        <x:v>Mangaluru</x:v>
      </x:c>
      <x:c r="G4877" t="str">
        <x:v>Priya</x:v>
      </x:c>
      <x:c r="H4877" t="str">
        <x:v>P050</x:v>
      </x:c>
      <x:c r="I4877" t="str">
        <x:v>Lemon 5kg</x:v>
      </x:c>
      <x:c r="J4877" t="str">
        <x:v>Fresh Produce</x:v>
      </x:c>
      <x:c r="K4877" t="str">
        <x:v>Local Market</x:v>
      </x:c>
      <x:c r="L4877" s="22" t="n">
        <x:v>360</x:v>
      </x:c>
      <x:c r="M4877" t="n">
        <x:v>12</x:v>
      </x:c>
      <x:c r="N4877" s="24" t="n">
        <x:v>0.03</x:v>
      </x:c>
      <x:c r="O4877" s="22" t="n">
        <x:f>L4877*M4877</x:f>
        <x:v>4320</x:v>
      </x:c>
      <x:c r="P4877" s="22" t="n">
        <x:f>O4877*(1-N4877)</x:f>
        <x:v>4190.4</x:v>
      </x:c>
      <x:c r="Q4877" s="22" t="n">
        <x:v>300</x:v>
      </x:c>
      <x:c r="R4877" s="22" t="n">
        <x:f>Q4877*M4877</x:f>
        <x:v>3600</x:v>
      </x:c>
      <x:c r="S4877" s="22" t="n">
        <x:f>P4877-R4877</x:f>
        <x:v>590.3999999999996</x:v>
      </x:c>
      <x:c r="T4877" t="str">
        <x:v>Bank Transfer</x:v>
      </x:c>
      <x:c r="U4877" t="str">
        <x:v>Paid</x:v>
      </x:c>
      <x:c r="V4877" t="str">
        <x:v>Delayed</x:v>
      </x:c>
      <x:c r="W4877" t="n">
        <x:v>0</x:v>
      </x:c>
      <x:c r="X4877" t="str"/>
      <x:c r="Y4877" t="str">
        <x:v>WhatsApp</x:v>
      </x:c>
    </x:row>
    <x:row r="4878">
      <x:c r="A4878" t="str">
        <x:v>O004877</x:v>
      </x:c>
      <x:c r="B4878" s="20" t="n">
        <x:v>45818</x:v>
      </x:c>
      <x:c r="C4878" t="str">
        <x:v>C0207</x:v>
      </x:c>
      <x:c r="D4878" t="str">
        <x:v>Hotel Stores 207</x:v>
      </x:c>
      <x:c r="E4878" t="str">
        <x:v>Restaurant</x:v>
      </x:c>
      <x:c r="F4878" t="str">
        <x:v>Hubballi</x:v>
      </x:c>
      <x:c r="G4878" t="str">
        <x:v>Ramesh</x:v>
      </x:c>
      <x:c r="H4878" t="str">
        <x:v>P002</x:v>
      </x:c>
      <x:c r="I4878" t="str">
        <x:v>Sona Masoori Rice 25kg</x:v>
      </x:c>
      <x:c r="J4878" t="str">
        <x:v>Staples</x:v>
      </x:c>
      <x:c r="K4878" t="str">
        <x:v>Fortune</x:v>
      </x:c>
      <x:c r="L4878" s="22" t="n">
        <x:v>1320</x:v>
      </x:c>
      <x:c r="M4878" t="n">
        <x:v>9</x:v>
      </x:c>
      <x:c r="N4878" s="24" t="n">
        <x:v>0.05</x:v>
      </x:c>
      <x:c r="O4878" s="22" t="n">
        <x:f>L4878*M4878</x:f>
        <x:v>11880</x:v>
      </x:c>
      <x:c r="P4878" s="22" t="n">
        <x:f>O4878*(1-N4878)</x:f>
        <x:v>11286</x:v>
      </x:c>
      <x:c r="Q4878" s="22" t="n">
        <x:v>1160</x:v>
      </x:c>
      <x:c r="R4878" s="22" t="n">
        <x:f>Q4878*M4878</x:f>
        <x:v>10440</x:v>
      </x:c>
      <x:c r="S4878" s="22" t="n">
        <x:f>P4878-R4878</x:f>
        <x:v>846</x:v>
      </x:c>
      <x:c r="T4878" t="str">
        <x:v>Bank Transfer</x:v>
      </x:c>
      <x:c r="U4878" t="str">
        <x:v>Paid</x:v>
      </x:c>
      <x:c r="V4878" t="str">
        <x:v>Delivered</x:v>
      </x:c>
      <x:c r="W4878" t="n">
        <x:v>0</x:v>
      </x:c>
      <x:c r="X4878" t="str"/>
      <x:c r="Y4878" t="str">
        <x:v>Field Visit</x:v>
      </x:c>
    </x:row>
    <x:row r="4879">
      <x:c r="A4879" t="str">
        <x:v>O004878</x:v>
      </x:c>
      <x:c r="B4879" s="20" t="n">
        <x:v>45668</x:v>
      </x:c>
      <x:c r="C4879" t="str">
        <x:v>C0067</x:v>
      </x:c>
      <x:c r="D4879" t="str">
        <x:v>Royal Restaurant 67</x:v>
      </x:c>
      <x:c r="E4879" t="str">
        <x:v>Supermarket</x:v>
      </x:c>
      <x:c r="F4879" t="str">
        <x:v>Tumakuru</x:v>
      </x:c>
      <x:c r="G4879" t="str">
        <x:v>Sneha</x:v>
      </x:c>
      <x:c r="H4879" t="str">
        <x:v>P021</x:v>
      </x:c>
      <x:c r="I4879" t="str">
        <x:v>Instant Coffee 200g</x:v>
      </x:c>
      <x:c r="J4879" t="str">
        <x:v>Beverage</x:v>
      </x:c>
      <x:c r="K4879" t="str">
        <x:v>Nescafe</x:v>
      </x:c>
      <x:c r="L4879" s="22" t="n">
        <x:v>460</x:v>
      </x:c>
      <x:c r="M4879" t="n">
        <x:v>39</x:v>
      </x:c>
      <x:c r="N4879" s="24" t="n">
        <x:v>0</x:v>
      </x:c>
      <x:c r="O4879" s="22" t="n">
        <x:f>L4879*M4879</x:f>
        <x:v>17940</x:v>
      </x:c>
      <x:c r="P4879" s="22" t="n">
        <x:f>O4879*(1-N4879)</x:f>
        <x:v>17940</x:v>
      </x:c>
      <x:c r="Q4879" s="22" t="n">
        <x:v>410</x:v>
      </x:c>
      <x:c r="R4879" s="22" t="n">
        <x:f>Q4879*M4879</x:f>
        <x:v>15990</x:v>
      </x:c>
      <x:c r="S4879" s="22" t="n">
        <x:f>P4879-R4879</x:f>
        <x:v>1950</x:v>
      </x:c>
      <x:c r="T4879" t="str">
        <x:v>UPI</x:v>
      </x:c>
      <x:c r="U4879" t="str">
        <x:v>Paid</x:v>
      </x:c>
      <x:c r="V4879" t="str">
        <x:v>Delayed</x:v>
      </x:c>
      <x:c r="W4879" t="n">
        <x:v>0</x:v>
      </x:c>
      <x:c r="X4879" t="str"/>
      <x:c r="Y4879" t="str">
        <x:v>Field Visit</x:v>
      </x:c>
    </x:row>
    <x:row r="4880">
      <x:c r="A4880" t="str">
        <x:v>O004879</x:v>
      </x:c>
      <x:c r="B4880" s="20" t="n">
        <x:v>46043</x:v>
      </x:c>
      <x:c r="C4880" t="str">
        <x:v>C0036</x:v>
      </x:c>
      <x:c r="D4880" t="str">
        <x:v>Grand Hotel 36</x:v>
      </x:c>
      <x:c r="E4880" t="str">
        <x:v>Canteen</x:v>
      </x:c>
      <x:c r="F4880" t="str">
        <x:v>Tumakuru</x:v>
      </x:c>
      <x:c r="G4880" t="str">
        <x:v>Kavya</x:v>
      </x:c>
      <x:c r="H4880" t="str">
        <x:v>P034</x:v>
      </x:c>
      <x:c r="I4880" t="str">
        <x:v>Chilli Powder 1kg</x:v>
      </x:c>
      <x:c r="J4880" t="str">
        <x:v>Spices</x:v>
      </x:c>
      <x:c r="K4880" t="str">
        <x:v>MDH</x:v>
      </x:c>
      <x:c r="L4880" s="22" t="n">
        <x:v>340</x:v>
      </x:c>
      <x:c r="M4880" t="n">
        <x:v>40</x:v>
      </x:c>
      <x:c r="N4880" s="24" t="n">
        <x:v>0</x:v>
      </x:c>
      <x:c r="O4880" s="22" t="n">
        <x:f>L4880*M4880</x:f>
        <x:v>13600</x:v>
      </x:c>
      <x:c r="P4880" s="22" t="n">
        <x:f>O4880*(1-N4880)</x:f>
        <x:v>13600</x:v>
      </x:c>
      <x:c r="Q4880" s="22" t="n">
        <x:v>295</x:v>
      </x:c>
      <x:c r="R4880" s="22" t="n">
        <x:f>Q4880*M4880</x:f>
        <x:v>11800</x:v>
      </x:c>
      <x:c r="S4880" s="22" t="n">
        <x:f>P4880-R4880</x:f>
        <x:v>1800</x:v>
      </x:c>
      <x:c r="T4880" t="str">
        <x:v>Cash</x:v>
      </x:c>
      <x:c r="U4880" t="str">
        <x:v>Paid</x:v>
      </x:c>
      <x:c r="V4880" t="str">
        <x:v>Cancelled</x:v>
      </x:c>
      <x:c r="W4880" t="n">
        <x:v>40</x:v>
      </x:c>
      <x:c r="X4880" t="str">
        <x:v>Cancelled Order</x:v>
      </x:c>
      <x:c r="Y4880" t="str">
        <x:v>Outbound Call</x:v>
      </x:c>
    </x:row>
    <x:row r="4881">
      <x:c r="A4881" t="str">
        <x:v>O004880</x:v>
      </x:c>
      <x:c r="B4881" s="20" t="n">
        <x:v>46150</x:v>
      </x:c>
      <x:c r="C4881" t="str">
        <x:v>C0218</x:v>
      </x:c>
      <x:c r="D4881" t="str">
        <x:v>Green Stores 218</x:v>
      </x:c>
      <x:c r="E4881" t="str">
        <x:v>Hotel</x:v>
      </x:c>
      <x:c r="F4881" t="str">
        <x:v>Mysuru</x:v>
      </x:c>
      <x:c r="G4881" t="str">
        <x:v>Imran</x:v>
      </x:c>
      <x:c r="H4881" t="str">
        <x:v>P046</x:v>
      </x:c>
      <x:c r="I4881" t="str">
        <x:v>Potato 25kg</x:v>
      </x:c>
      <x:c r="J4881" t="str">
        <x:v>Fresh Produce</x:v>
      </x:c>
      <x:c r="K4881" t="str">
        <x:v>Local Market</x:v>
      </x:c>
      <x:c r="L4881" s="22" t="n">
        <x:v>700</x:v>
      </x:c>
      <x:c r="M4881" t="n">
        <x:v>15</x:v>
      </x:c>
      <x:c r="N4881" s="24" t="n">
        <x:v>0</x:v>
      </x:c>
      <x:c r="O4881" s="22" t="n">
        <x:f>L4881*M4881</x:f>
        <x:v>10500</x:v>
      </x:c>
      <x:c r="P4881" s="22" t="n">
        <x:f>O4881*(1-N4881)</x:f>
        <x:v>10500</x:v>
      </x:c>
      <x:c r="Q4881" s="22" t="n">
        <x:v>610</x:v>
      </x:c>
      <x:c r="R4881" s="22" t="n">
        <x:f>Q4881*M4881</x:f>
        <x:v>9150</x:v>
      </x:c>
      <x:c r="S4881" s="22" t="n">
        <x:f>P4881-R4881</x:f>
        <x:v>1350</x:v>
      </x:c>
      <x:c r="T4881" t="str">
        <x:v>Bank Transfer</x:v>
      </x:c>
      <x:c r="U4881" t="str">
        <x:v>Paid</x:v>
      </x:c>
      <x:c r="V4881" t="str">
        <x:v>Delivered</x:v>
      </x:c>
      <x:c r="W4881" t="n">
        <x:v>0</x:v>
      </x:c>
      <x:c r="X4881" t="str"/>
      <x:c r="Y4881" t="str">
        <x:v>Field Visit</x:v>
      </x:c>
    </x:row>
    <x:row r="4882">
      <x:c r="A4882" t="str">
        <x:v>O004881</x:v>
      </x:c>
      <x:c r="B4882" s="20" t="n">
        <x:v>45965</x:v>
      </x:c>
      <x:c r="C4882" t="str">
        <x:v>C0014</x:v>
      </x:c>
      <x:c r="D4882" t="str">
        <x:v>Annapurna Canteen 14</x:v>
      </x:c>
      <x:c r="E4882" t="str">
        <x:v>Kirana</x:v>
      </x:c>
      <x:c r="F4882" t="str">
        <x:v>Davanagere</x:v>
      </x:c>
      <x:c r="G4882" t="str">
        <x:v>Sneha</x:v>
      </x:c>
      <x:c r="H4882" t="str">
        <x:v>P012</x:v>
      </x:c>
      <x:c r="I4882" t="str">
        <x:v>Maida 10kg</x:v>
      </x:c>
      <x:c r="J4882" t="str">
        <x:v>Flour</x:v>
      </x:c>
      <x:c r="K4882" t="str">
        <x:v>Aashirvaad</x:v>
      </x:c>
      <x:c r="L4882" s="22" t="n">
        <x:v>520</x:v>
      </x:c>
      <x:c r="M4882" t="n">
        <x:v>37</x:v>
      </x:c>
      <x:c r="N4882" s="24" t="n">
        <x:v>0.02</x:v>
      </x:c>
      <x:c r="O4882" s="22" t="n">
        <x:f>L4882*M4882</x:f>
        <x:v>19240</x:v>
      </x:c>
      <x:c r="P4882" s="22" t="n">
        <x:f>O4882*(1-N4882)</x:f>
        <x:v>18855.2</x:v>
      </x:c>
      <x:c r="Q4882" s="22" t="n">
        <x:v>460</x:v>
      </x:c>
      <x:c r="R4882" s="22" t="n">
        <x:f>Q4882*M4882</x:f>
        <x:v>17020</x:v>
      </x:c>
      <x:c r="S4882" s="22" t="n">
        <x:f>P4882-R4882</x:f>
        <x:v>1835.2000000000007</x:v>
      </x:c>
      <x:c r="T4882" t="str">
        <x:v>Bank Transfer</x:v>
      </x:c>
      <x:c r="U4882" t="str">
        <x:v>Paid</x:v>
      </x:c>
      <x:c r="V4882" t="str">
        <x:v>Delayed</x:v>
      </x:c>
      <x:c r="W4882" t="n">
        <x:v>0</x:v>
      </x:c>
      <x:c r="X4882" t="str"/>
      <x:c r="Y4882" t="str">
        <x:v>Field Visit</x:v>
      </x:c>
    </x:row>
    <x:row r="4883">
      <x:c r="A4883" t="str">
        <x:v>O004882</x:v>
      </x:c>
      <x:c r="B4883" s="20" t="n">
        <x:v>45844</x:v>
      </x:c>
      <x:c r="C4883" t="str">
        <x:v>C0186</x:v>
      </x:c>
      <x:c r="D4883" t="str">
        <x:v>Namma Stores 186</x:v>
      </x:c>
      <x:c r="E4883" t="str">
        <x:v>Supermarket</x:v>
      </x:c>
      <x:c r="F4883" t="str">
        <x:v>Mysuru</x:v>
      </x:c>
      <x:c r="G4883" t="str">
        <x:v>Vikram</x:v>
      </x:c>
      <x:c r="H4883" t="str">
        <x:v>P022</x:v>
      </x:c>
      <x:c r="I4883" t="str">
        <x:v>Mineral Water 1L</x:v>
      </x:c>
      <x:c r="J4883" t="str">
        <x:v>Beverage</x:v>
      </x:c>
      <x:c r="K4883" t="str">
        <x:v>Bisleri</x:v>
      </x:c>
      <x:c r="L4883" s="22" t="n">
        <x:v>19</x:v>
      </x:c>
      <x:c r="M4883" t="n">
        <x:v>2</x:v>
      </x:c>
      <x:c r="N4883" s="24" t="n">
        <x:v>0</x:v>
      </x:c>
      <x:c r="O4883" s="22" t="n">
        <x:f>L4883*M4883</x:f>
        <x:v>38</x:v>
      </x:c>
      <x:c r="P4883" s="22" t="n">
        <x:f>O4883*(1-N4883)</x:f>
        <x:v>38</x:v>
      </x:c>
      <x:c r="Q4883" s="22" t="n">
        <x:v>15</x:v>
      </x:c>
      <x:c r="R4883" s="22" t="n">
        <x:f>Q4883*M4883</x:f>
        <x:v>30</x:v>
      </x:c>
      <x:c r="S4883" s="22" t="n">
        <x:f>P4883-R4883</x:f>
        <x:v>8</x:v>
      </x:c>
      <x:c r="T4883" t="str">
        <x:v>UPI</x:v>
      </x:c>
      <x:c r="U4883" t="str">
        <x:v>Overdue</x:v>
      </x:c>
      <x:c r="V4883" t="str">
        <x:v>Cancelled</x:v>
      </x:c>
      <x:c r="W4883" t="n">
        <x:v>2</x:v>
      </x:c>
      <x:c r="X4883" t="str">
        <x:v>Cancelled Order</x:v>
      </x:c>
      <x:c r="Y4883" t="str">
        <x:v>Field Visit</x:v>
      </x:c>
    </x:row>
    <x:row r="4884">
      <x:c r="A4884" t="str">
        <x:v>O004883</x:v>
      </x:c>
      <x:c r="B4884" s="20" t="n">
        <x:v>45973</x:v>
      </x:c>
      <x:c r="C4884" t="str">
        <x:v>C0078</x:v>
      </x:c>
      <x:c r="D4884" t="str">
        <x:v>Sagar Canteen 78</x:v>
      </x:c>
      <x:c r="E4884" t="str">
        <x:v>Hotel</x:v>
      </x:c>
      <x:c r="F4884" t="str">
        <x:v>Mangaluru</x:v>
      </x:c>
      <x:c r="G4884" t="str">
        <x:v>Ramesh</x:v>
      </x:c>
      <x:c r="H4884" t="str">
        <x:v>P050</x:v>
      </x:c>
      <x:c r="I4884" t="str">
        <x:v>Lemon 5kg</x:v>
      </x:c>
      <x:c r="J4884" t="str">
        <x:v>Fresh Produce</x:v>
      </x:c>
      <x:c r="K4884" t="str">
        <x:v>Local Market</x:v>
      </x:c>
      <x:c r="L4884" s="22" t="n">
        <x:v>360</x:v>
      </x:c>
      <x:c r="M4884" t="n">
        <x:v>36</x:v>
      </x:c>
      <x:c r="N4884" s="24" t="n">
        <x:v>0.05</x:v>
      </x:c>
      <x:c r="O4884" s="22" t="n">
        <x:f>L4884*M4884</x:f>
        <x:v>12960</x:v>
      </x:c>
      <x:c r="P4884" s="22" t="n">
        <x:f>O4884*(1-N4884)</x:f>
        <x:v>12312</x:v>
      </x:c>
      <x:c r="Q4884" s="22" t="n">
        <x:v>300</x:v>
      </x:c>
      <x:c r="R4884" s="22" t="n">
        <x:f>Q4884*M4884</x:f>
        <x:v>10800</x:v>
      </x:c>
      <x:c r="S4884" s="22" t="n">
        <x:f>P4884-R4884</x:f>
        <x:v>1512</x:v>
      </x:c>
      <x:c r="T4884" t="str">
        <x:v>Credit</x:v>
      </x:c>
      <x:c r="U4884" t="str">
        <x:v>Paid</x:v>
      </x:c>
      <x:c r="V4884" t="str">
        <x:v>Delivered</x:v>
      </x:c>
      <x:c r="W4884" t="n">
        <x:v>0</x:v>
      </x:c>
      <x:c r="X4884" t="str"/>
      <x:c r="Y4884" t="str">
        <x:v>Outbound Call</x:v>
      </x:c>
    </x:row>
    <x:row r="4885">
      <x:c r="A4885" t="str">
        <x:v>O004884</x:v>
      </x:c>
      <x:c r="B4885" s="20" t="n">
        <x:v>46220</x:v>
      </x:c>
      <x:c r="C4885" t="str">
        <x:v>C0205</x:v>
      </x:c>
      <x:c r="D4885" t="str">
        <x:v>Royal Mart 205</x:v>
      </x:c>
      <x:c r="E4885" t="str">
        <x:v>Kirana</x:v>
      </x:c>
      <x:c r="F4885" t="str">
        <x:v>Mysuru</x:v>
      </x:c>
      <x:c r="G4885" t="str">
        <x:v>Priya</x:v>
      </x:c>
      <x:c r="H4885" t="str">
        <x:v>P047</x:v>
      </x:c>
      <x:c r="I4885" t="str">
        <x:v>Tomato 25kg</x:v>
      </x:c>
      <x:c r="J4885" t="str">
        <x:v>Fresh Produce</x:v>
      </x:c>
      <x:c r="K4885" t="str">
        <x:v>Local Market</x:v>
      </x:c>
      <x:c r="L4885" s="22" t="n">
        <x:v>950</x:v>
      </x:c>
      <x:c r="M4885" t="n">
        <x:v>30</x:v>
      </x:c>
      <x:c r="N4885" s="24" t="n">
        <x:v>0</x:v>
      </x:c>
      <x:c r="O4885" s="22" t="n">
        <x:f>L4885*M4885</x:f>
        <x:v>28500</x:v>
      </x:c>
      <x:c r="P4885" s="22" t="n">
        <x:f>O4885*(1-N4885)</x:f>
        <x:v>28500</x:v>
      </x:c>
      <x:c r="Q4885" s="22" t="n">
        <x:v>810</x:v>
      </x:c>
      <x:c r="R4885" s="22" t="n">
        <x:f>Q4885*M4885</x:f>
        <x:v>24300</x:v>
      </x:c>
      <x:c r="S4885" s="22" t="n">
        <x:f>P4885-R4885</x:f>
        <x:v>4200</x:v>
      </x:c>
      <x:c r="T4885" t="str">
        <x:v>Bank Transfer</x:v>
      </x:c>
      <x:c r="U4885" t="str">
        <x:v>Paid</x:v>
      </x:c>
      <x:c r="V4885" t="str">
        <x:v>Delivered</x:v>
      </x:c>
      <x:c r="W4885" t="n">
        <x:v>0</x:v>
      </x:c>
      <x:c r="X4885" t="str"/>
      <x:c r="Y4885" t="str">
        <x:v>WhatsApp</x:v>
      </x:c>
    </x:row>
    <x:row r="4886">
      <x:c r="A4886" t="str">
        <x:v>O004885</x:v>
      </x:c>
      <x:c r="B4886" s="20" t="n">
        <x:v>45713</x:v>
      </x:c>
      <x:c r="C4886" t="str">
        <x:v>C0158</x:v>
      </x:c>
      <x:c r="D4886" t="str">
        <x:v>Cafe Stores 158</x:v>
      </x:c>
      <x:c r="E4886" t="str">
        <x:v>Cafe</x:v>
      </x:c>
      <x:c r="F4886" t="str">
        <x:v>Mysuru</x:v>
      </x:c>
      <x:c r="G4886" t="str">
        <x:v>Priya</x:v>
      </x:c>
      <x:c r="H4886" t="str">
        <x:v>P040</x:v>
      </x:c>
      <x:c r="I4886" t="str">
        <x:v>Bread Loaf 400g</x:v>
      </x:c>
      <x:c r="J4886" t="str">
        <x:v>Bakery</x:v>
      </x:c>
      <x:c r="K4886" t="str">
        <x:v>Britannia</x:v>
      </x:c>
      <x:c r="L4886" s="22" t="n">
        <x:v>45</x:v>
      </x:c>
      <x:c r="M4886" t="n">
        <x:v>9</x:v>
      </x:c>
      <x:c r="N4886" s="24" t="n">
        <x:v>0.02</x:v>
      </x:c>
      <x:c r="O4886" s="22" t="n">
        <x:f>L4886*M4886</x:f>
        <x:v>405</x:v>
      </x:c>
      <x:c r="P4886" s="22" t="n">
        <x:f>O4886*(1-N4886)</x:f>
        <x:v>396.9</x:v>
      </x:c>
      <x:c r="Q4886" s="22" t="n">
        <x:v>35</x:v>
      </x:c>
      <x:c r="R4886" s="22" t="n">
        <x:f>Q4886*M4886</x:f>
        <x:v>315</x:v>
      </x:c>
      <x:c r="S4886" s="22" t="n">
        <x:f>P4886-R4886</x:f>
        <x:v>81.89999999999998</x:v>
      </x:c>
      <x:c r="T4886" t="str">
        <x:v>Cash</x:v>
      </x:c>
      <x:c r="U4886" t="str">
        <x:v>Pending</x:v>
      </x:c>
      <x:c r="V4886" t="str">
        <x:v>Cancelled</x:v>
      </x:c>
      <x:c r="W4886" t="n">
        <x:v>9</x:v>
      </x:c>
      <x:c r="X4886" t="str">
        <x:v>Cancelled Order</x:v>
      </x:c>
      <x:c r="Y4886" t="str">
        <x:v>Existing Customer</x:v>
      </x:c>
    </x:row>
    <x:row r="4887">
      <x:c r="A4887" t="str">
        <x:v>O004886</x:v>
      </x:c>
      <x:c r="B4887" s="20" t="n">
        <x:v>46245</x:v>
      </x:c>
      <x:c r="C4887" t="str">
        <x:v>C0136</x:v>
      </x:c>
      <x:c r="D4887" t="str">
        <x:v>Royal Cafe 136</x:v>
      </x:c>
      <x:c r="E4887" t="str">
        <x:v>Hotel</x:v>
      </x:c>
      <x:c r="F4887" t="str">
        <x:v>Tumakuru</x:v>
      </x:c>
      <x:c r="G4887" t="str">
        <x:v>Kavya</x:v>
      </x:c>
      <x:c r="H4887" t="str">
        <x:v>P016</x:v>
      </x:c>
      <x:c r="I4887" t="str">
        <x:v>Curd 1kg</x:v>
      </x:c>
      <x:c r="J4887" t="str">
        <x:v>Dairy</x:v>
      </x:c>
      <x:c r="K4887" t="str">
        <x:v>Nandini</x:v>
      </x:c>
      <x:c r="L4887" s="22" t="n">
        <x:v>72</x:v>
      </x:c>
      <x:c r="M4887" t="n">
        <x:v>5</x:v>
      </x:c>
      <x:c r="N4887" s="24" t="n">
        <x:v>0</x:v>
      </x:c>
      <x:c r="O4887" s="22" t="n">
        <x:f>L4887*M4887</x:f>
        <x:v>360</x:v>
      </x:c>
      <x:c r="P4887" s="22" t="n">
        <x:f>O4887*(1-N4887)</x:f>
        <x:v>360</x:v>
      </x:c>
      <x:c r="Q4887" s="22" t="n">
        <x:v>64</x:v>
      </x:c>
      <x:c r="R4887" s="22" t="n">
        <x:f>Q4887*M4887</x:f>
        <x:v>320</x:v>
      </x:c>
      <x:c r="S4887" s="22" t="n">
        <x:f>P4887-R4887</x:f>
        <x:v>40</x:v>
      </x:c>
      <x:c r="T4887" t="str">
        <x:v>Bank Transfer</x:v>
      </x:c>
      <x:c r="U4887" t="str">
        <x:v>Paid</x:v>
      </x:c>
      <x:c r="V4887" t="str">
        <x:v>Cancelled</x:v>
      </x:c>
      <x:c r="W4887" t="n">
        <x:v>5</x:v>
      </x:c>
      <x:c r="X4887" t="str">
        <x:v>Cancelled Order</x:v>
      </x:c>
      <x:c r="Y4887" t="str">
        <x:v>Field Visit</x:v>
      </x:c>
    </x:row>
    <x:row r="4888">
      <x:c r="A4888" t="str">
        <x:v>O004887</x:v>
      </x:c>
      <x:c r="B4888" s="20" t="n">
        <x:v>46156</x:v>
      </x:c>
      <x:c r="C4888" t="str">
        <x:v>C0014</x:v>
      </x:c>
      <x:c r="D4888" t="str">
        <x:v>Annapurna Canteen 14</x:v>
      </x:c>
      <x:c r="E4888" t="str">
        <x:v>Kirana</x:v>
      </x:c>
      <x:c r="F4888" t="str">
        <x:v>Davanagere</x:v>
      </x:c>
      <x:c r="G4888" t="str">
        <x:v>Sneha</x:v>
      </x:c>
      <x:c r="H4888" t="str">
        <x:v>P015</x:v>
      </x:c>
      <x:c r="I4888" t="str">
        <x:v>Milk 1L</x:v>
      </x:c>
      <x:c r="J4888" t="str">
        <x:v>Dairy</x:v>
      </x:c>
      <x:c r="K4888" t="str">
        <x:v>Nandini</x:v>
      </x:c>
      <x:c r="L4888" s="22" t="n">
        <x:v>48</x:v>
      </x:c>
      <x:c r="M4888" t="n">
        <x:v>9</x:v>
      </x:c>
      <x:c r="N4888" s="24" t="n">
        <x:v>0.03</x:v>
      </x:c>
      <x:c r="O4888" s="22" t="n">
        <x:f>L4888*M4888</x:f>
        <x:v>432</x:v>
      </x:c>
      <x:c r="P4888" s="22" t="n">
        <x:f>O4888*(1-N4888)</x:f>
        <x:v>419.03999999999996</x:v>
      </x:c>
      <x:c r="Q4888" s="22" t="n">
        <x:v>43</x:v>
      </x:c>
      <x:c r="R4888" s="22" t="n">
        <x:f>Q4888*M4888</x:f>
        <x:v>387</x:v>
      </x:c>
      <x:c r="S4888" s="22" t="n">
        <x:f>P4888-R4888</x:f>
        <x:v>32.039999999999964</x:v>
      </x:c>
      <x:c r="T4888" t="str">
        <x:v>UPI</x:v>
      </x:c>
      <x:c r="U4888" t="str">
        <x:v>Paid</x:v>
      </x:c>
      <x:c r="V4888" t="str">
        <x:v>Delivered</x:v>
      </x:c>
      <x:c r="W4888" t="n">
        <x:v>0</x:v>
      </x:c>
      <x:c r="X4888" t="str"/>
      <x:c r="Y4888" t="str">
        <x:v>Existing Customer</x:v>
      </x:c>
    </x:row>
    <x:row r="4889">
      <x:c r="A4889" t="str">
        <x:v>O004888</x:v>
      </x:c>
      <x:c r="B4889" s="20" t="n">
        <x:v>46116</x:v>
      </x:c>
      <x:c r="C4889" t="str">
        <x:v>C0153</x:v>
      </x:c>
      <x:c r="D4889" t="str">
        <x:v>Fresh Foods 153</x:v>
      </x:c>
      <x:c r="E4889" t="str">
        <x:v>Kirana</x:v>
      </x:c>
      <x:c r="F4889" t="str">
        <x:v>Bengaluru</x:v>
      </x:c>
      <x:c r="G4889" t="str">
        <x:v>Priya</x:v>
      </x:c>
      <x:c r="H4889" t="str">
        <x:v>P022</x:v>
      </x:c>
      <x:c r="I4889" t="str">
        <x:v>Mineral Water 1L</x:v>
      </x:c>
      <x:c r="J4889" t="str">
        <x:v>Beverage</x:v>
      </x:c>
      <x:c r="K4889" t="str">
        <x:v>Bisleri</x:v>
      </x:c>
      <x:c r="L4889" s="22" t="n">
        <x:v>19</x:v>
      </x:c>
      <x:c r="M4889" t="n">
        <x:v>21</x:v>
      </x:c>
      <x:c r="N4889" s="24" t="n">
        <x:v>0.1</x:v>
      </x:c>
      <x:c r="O4889" s="22" t="n">
        <x:f>L4889*M4889</x:f>
        <x:v>399</x:v>
      </x:c>
      <x:c r="P4889" s="22" t="n">
        <x:f>O4889*(1-N4889)</x:f>
        <x:v>359.1</x:v>
      </x:c>
      <x:c r="Q4889" s="22" t="n">
        <x:v>15</x:v>
      </x:c>
      <x:c r="R4889" s="22" t="n">
        <x:f>Q4889*M4889</x:f>
        <x:v>315</x:v>
      </x:c>
      <x:c r="S4889" s="22" t="n">
        <x:f>P4889-R4889</x:f>
        <x:v>44.10000000000002</x:v>
      </x:c>
      <x:c r="T4889" t="str">
        <x:v>UPI</x:v>
      </x:c>
      <x:c r="U4889" t="str">
        <x:v>Paid</x:v>
      </x:c>
      <x:c r="V4889" t="str">
        <x:v>Delivered</x:v>
      </x:c>
      <x:c r="W4889" t="n">
        <x:v>0</x:v>
      </x:c>
      <x:c r="X4889" t="str"/>
      <x:c r="Y4889" t="str">
        <x:v>Outbound Call</x:v>
      </x:c>
    </x:row>
    <x:row r="4890">
      <x:c r="A4890" t="str">
        <x:v>O004889</x:v>
      </x:c>
      <x:c r="B4890" s="20" t="n">
        <x:v>45874</x:v>
      </x:c>
      <x:c r="C4890" t="str">
        <x:v>C0156</x:v>
      </x:c>
      <x:c r="D4890" t="str">
        <x:v>Metro Stores 156</x:v>
      </x:c>
      <x:c r="E4890" t="str">
        <x:v>Hotel</x:v>
      </x:c>
      <x:c r="F4890" t="str">
        <x:v>Tumakuru</x:v>
      </x:c>
      <x:c r="G4890" t="str">
        <x:v>Ramesh</x:v>
      </x:c>
      <x:c r="H4890" t="str">
        <x:v>P028</x:v>
      </x:c>
      <x:c r="I4890" t="str">
        <x:v>Cookies 200g</x:v>
      </x:c>
      <x:c r="J4890" t="str">
        <x:v>Snacks</x:v>
      </x:c>
      <x:c r="K4890" t="str">
        <x:v>Britannia</x:v>
      </x:c>
      <x:c r="L4890" s="22" t="n">
        <x:v>55</x:v>
      </x:c>
      <x:c r="M4890" t="n">
        <x:v>14</x:v>
      </x:c>
      <x:c r="N4890" s="24" t="n">
        <x:v>0.05</x:v>
      </x:c>
      <x:c r="O4890" s="22" t="n">
        <x:f>L4890*M4890</x:f>
        <x:v>770</x:v>
      </x:c>
      <x:c r="P4890" s="22" t="n">
        <x:f>O4890*(1-N4890)</x:f>
        <x:v>731.5</x:v>
      </x:c>
      <x:c r="Q4890" s="22" t="n">
        <x:v>42</x:v>
      </x:c>
      <x:c r="R4890" s="22" t="n">
        <x:f>Q4890*M4890</x:f>
        <x:v>588</x:v>
      </x:c>
      <x:c r="S4890" s="22" t="n">
        <x:f>P4890-R4890</x:f>
        <x:v>143.5</x:v>
      </x:c>
      <x:c r="T4890" t="str">
        <x:v>Bank Transfer</x:v>
      </x:c>
      <x:c r="U4890" t="str">
        <x:v>Paid</x:v>
      </x:c>
      <x:c r="V4890" t="str">
        <x:v>Delivered</x:v>
      </x:c>
      <x:c r="W4890" t="n">
        <x:v>0</x:v>
      </x:c>
      <x:c r="X4890" t="str"/>
      <x:c r="Y4890" t="str">
        <x:v>WhatsApp</x:v>
      </x:c>
    </x:row>
    <x:row r="4891">
      <x:c r="A4891" t="str">
        <x:v>O004890</x:v>
      </x:c>
      <x:c r="B4891" s="20" t="n">
        <x:v>46283</x:v>
      </x:c>
      <x:c r="C4891" t="str">
        <x:v>C0137</x:v>
      </x:c>
      <x:c r="D4891" t="str">
        <x:v>Green Restaurant 137</x:v>
      </x:c>
      <x:c r="E4891" t="str">
        <x:v>Canteen</x:v>
      </x:c>
      <x:c r="F4891" t="str">
        <x:v>Mangaluru</x:v>
      </x:c>
      <x:c r="G4891" t="str">
        <x:v>Arjun</x:v>
      </x:c>
      <x:c r="H4891" t="str">
        <x:v>P040</x:v>
      </x:c>
      <x:c r="I4891" t="str">
        <x:v>Bread Loaf 400g</x:v>
      </x:c>
      <x:c r="J4891" t="str">
        <x:v>Bakery</x:v>
      </x:c>
      <x:c r="K4891" t="str">
        <x:v>Britannia</x:v>
      </x:c>
      <x:c r="L4891" s="22" t="n">
        <x:v>45</x:v>
      </x:c>
      <x:c r="M4891" t="n">
        <x:v>12</x:v>
      </x:c>
      <x:c r="N4891" s="24" t="n">
        <x:v>0</x:v>
      </x:c>
      <x:c r="O4891" s="22" t="n">
        <x:f>L4891*M4891</x:f>
        <x:v>540</x:v>
      </x:c>
      <x:c r="P4891" s="22" t="n">
        <x:f>O4891*(1-N4891)</x:f>
        <x:v>540</x:v>
      </x:c>
      <x:c r="Q4891" s="22" t="n">
        <x:v>35</x:v>
      </x:c>
      <x:c r="R4891" s="22" t="n">
        <x:f>Q4891*M4891</x:f>
        <x:v>420</x:v>
      </x:c>
      <x:c r="S4891" s="22" t="n">
        <x:f>P4891-R4891</x:f>
        <x:v>120</x:v>
      </x:c>
      <x:c r="T4891" t="str">
        <x:v>Bank Transfer</x:v>
      </x:c>
      <x:c r="U4891" t="str">
        <x:v>Paid</x:v>
      </x:c>
      <x:c r="V4891" t="str">
        <x:v>Delivered</x:v>
      </x:c>
      <x:c r="W4891" t="n">
        <x:v>0</x:v>
      </x:c>
      <x:c r="X4891" t="str"/>
      <x:c r="Y4891" t="str">
        <x:v>Referral</x:v>
      </x:c>
    </x:row>
    <x:row r="4892">
      <x:c r="A4892" t="str">
        <x:v>O004891</x:v>
      </x:c>
      <x:c r="B4892" s="20" t="n">
        <x:v>46013</x:v>
      </x:c>
      <x:c r="C4892" t="str">
        <x:v>C0094</x:v>
      </x:c>
      <x:c r="D4892" t="str">
        <x:v>Mysore Mart 94</x:v>
      </x:c>
      <x:c r="E4892" t="str">
        <x:v>Restaurant</x:v>
      </x:c>
      <x:c r="F4892" t="str">
        <x:v>Hubballi</x:v>
      </x:c>
      <x:c r="G4892" t="str">
        <x:v>Sneha</x:v>
      </x:c>
      <x:c r="H4892" t="str">
        <x:v>P037</x:v>
      </x:c>
      <x:c r="I4892" t="str">
        <x:v>Frozen Peas 1kg</x:v>
      </x:c>
      <x:c r="J4892" t="str">
        <x:v>Frozen</x:v>
      </x:c>
      <x:c r="K4892" t="str">
        <x:v>Safal</x:v>
      </x:c>
      <x:c r="L4892" s="22" t="n">
        <x:v>155</x:v>
      </x:c>
      <x:c r="M4892" t="n">
        <x:v>36</x:v>
      </x:c>
      <x:c r="N4892" s="24" t="n">
        <x:v>0</x:v>
      </x:c>
      <x:c r="O4892" s="22" t="n">
        <x:f>L4892*M4892</x:f>
        <x:v>5580</x:v>
      </x:c>
      <x:c r="P4892" s="22" t="n">
        <x:f>O4892*(1-N4892)</x:f>
        <x:v>5580</x:v>
      </x:c>
      <x:c r="Q4892" s="22" t="n">
        <x:v>138</x:v>
      </x:c>
      <x:c r="R4892" s="22" t="n">
        <x:f>Q4892*M4892</x:f>
        <x:v>4968</x:v>
      </x:c>
      <x:c r="S4892" s="22" t="n">
        <x:f>P4892-R4892</x:f>
        <x:v>612</x:v>
      </x:c>
      <x:c r="T4892" t="str">
        <x:v>Cash</x:v>
      </x:c>
      <x:c r="U4892" t="str">
        <x:v>Overdue</x:v>
      </x:c>
      <x:c r="V4892" t="str">
        <x:v>Delivered</x:v>
      </x:c>
      <x:c r="W4892" t="n">
        <x:v>0</x:v>
      </x:c>
      <x:c r="X4892" t="str"/>
      <x:c r="Y4892" t="str">
        <x:v>Outbound Call</x:v>
      </x:c>
    </x:row>
    <x:row r="4893">
      <x:c r="A4893" t="str">
        <x:v>O004892</x:v>
      </x:c>
      <x:c r="B4893" s="20" t="n">
        <x:v>45991</x:v>
      </x:c>
      <x:c r="C4893" t="str">
        <x:v>C0044</x:v>
      </x:c>
      <x:c r="D4893" t="str">
        <x:v>Annapurna Mart 44</x:v>
      </x:c>
      <x:c r="E4893" t="str">
        <x:v>Kirana</x:v>
      </x:c>
      <x:c r="F4893" t="str">
        <x:v>Davanagere</x:v>
      </x:c>
      <x:c r="G4893" t="str">
        <x:v>Priya</x:v>
      </x:c>
      <x:c r="H4893" t="str">
        <x:v>P039</x:v>
      </x:c>
      <x:c r="I4893" t="str">
        <x:v>Ice Cream 4L</x:v>
      </x:c>
      <x:c r="J4893" t="str">
        <x:v>Frozen</x:v>
      </x:c>
      <x:c r="K4893" t="str">
        <x:v>Amul</x:v>
      </x:c>
      <x:c r="L4893" s="22" t="n">
        <x:v>480</x:v>
      </x:c>
      <x:c r="M4893" t="n">
        <x:v>39</x:v>
      </x:c>
      <x:c r="N4893" s="24" t="n">
        <x:v>0</x:v>
      </x:c>
      <x:c r="O4893" s="22" t="n">
        <x:f>L4893*M4893</x:f>
        <x:v>18720</x:v>
      </x:c>
      <x:c r="P4893" s="22" t="n">
        <x:f>O4893*(1-N4893)</x:f>
        <x:v>18720</x:v>
      </x:c>
      <x:c r="Q4893" s="22" t="n">
        <x:v>420</x:v>
      </x:c>
      <x:c r="R4893" s="22" t="n">
        <x:f>Q4893*M4893</x:f>
        <x:v>16380</x:v>
      </x:c>
      <x:c r="S4893" s="22" t="n">
        <x:f>P4893-R4893</x:f>
        <x:v>2340</x:v>
      </x:c>
      <x:c r="T4893" t="str">
        <x:v>Cash</x:v>
      </x:c>
      <x:c r="U4893" t="str">
        <x:v>Pending</x:v>
      </x:c>
      <x:c r="V4893" t="str">
        <x:v>Delivered</x:v>
      </x:c>
      <x:c r="W4893" t="n">
        <x:v>0</x:v>
      </x:c>
      <x:c r="X4893" t="str"/>
      <x:c r="Y4893" t="str">
        <x:v>WhatsApp</x:v>
      </x:c>
    </x:row>
    <x:row r="4894">
      <x:c r="A4894" t="str">
        <x:v>O004893</x:v>
      </x:c>
      <x:c r="B4894" s="20" t="n">
        <x:v>46107</x:v>
      </x:c>
      <x:c r="C4894" t="str">
        <x:v>C0054</x:v>
      </x:c>
      <x:c r="D4894" t="str">
        <x:v>Cafe Cafe 54</x:v>
      </x:c>
      <x:c r="E4894" t="str">
        <x:v>Restaurant</x:v>
      </x:c>
      <x:c r="F4894" t="str">
        <x:v>Hubballi</x:v>
      </x:c>
      <x:c r="G4894" t="str">
        <x:v>Vikram</x:v>
      </x:c>
      <x:c r="H4894" t="str">
        <x:v>P049</x:v>
      </x:c>
      <x:c r="I4894" t="str">
        <x:v>Apple 10kg</x:v>
      </x:c>
      <x:c r="J4894" t="str">
        <x:v>Fresh Produce</x:v>
      </x:c>
      <x:c r="K4894" t="str">
        <x:v>Local Market</x:v>
      </x:c>
      <x:c r="L4894" s="22" t="n">
        <x:v>1450</x:v>
      </x:c>
      <x:c r="M4894" t="n">
        <x:v>4</x:v>
      </x:c>
      <x:c r="N4894" s="24" t="n">
        <x:v>0.05</x:v>
      </x:c>
      <x:c r="O4894" s="22" t="n">
        <x:f>L4894*M4894</x:f>
        <x:v>5800</x:v>
      </x:c>
      <x:c r="P4894" s="22" t="n">
        <x:f>O4894*(1-N4894)</x:f>
        <x:v>5510</x:v>
      </x:c>
      <x:c r="Q4894" s="22" t="n">
        <x:v>1280</x:v>
      </x:c>
      <x:c r="R4894" s="22" t="n">
        <x:f>Q4894*M4894</x:f>
        <x:v>5120</x:v>
      </x:c>
      <x:c r="S4894" s="22" t="n">
        <x:f>P4894-R4894</x:f>
        <x:v>390</x:v>
      </x:c>
      <x:c r="T4894" t="str">
        <x:v>Bank Transfer</x:v>
      </x:c>
      <x:c r="U4894" t="str">
        <x:v>Paid</x:v>
      </x:c>
      <x:c r="V4894" t="str">
        <x:v>Delivered</x:v>
      </x:c>
      <x:c r="W4894" t="n">
        <x:v>0</x:v>
      </x:c>
      <x:c r="X4894" t="str"/>
      <x:c r="Y4894" t="str">
        <x:v>Existing Customer</x:v>
      </x:c>
    </x:row>
    <x:row r="4895">
      <x:c r="A4895" t="str">
        <x:v>O004894</x:v>
      </x:c>
      <x:c r="B4895" s="20" t="n">
        <x:v>46167</x:v>
      </x:c>
      <x:c r="C4895" t="str">
        <x:v>C0110</x:v>
      </x:c>
      <x:c r="D4895" t="str">
        <x:v>Metro Restaurant 110</x:v>
      </x:c>
      <x:c r="E4895" t="str">
        <x:v>Hotel</x:v>
      </x:c>
      <x:c r="F4895" t="str">
        <x:v>Mysuru</x:v>
      </x:c>
      <x:c r="G4895" t="str">
        <x:v>Imran</x:v>
      </x:c>
      <x:c r="H4895" t="str">
        <x:v>P020</x:v>
      </x:c>
      <x:c r="I4895" t="str">
        <x:v>Coffee 500g</x:v>
      </x:c>
      <x:c r="J4895" t="str">
        <x:v>Beverage</x:v>
      </x:c>
      <x:c r="K4895" t="str">
        <x:v>Bru</x:v>
      </x:c>
      <x:c r="L4895" s="22" t="n">
        <x:v>390</x:v>
      </x:c>
      <x:c r="M4895" t="n">
        <x:v>28</x:v>
      </x:c>
      <x:c r="N4895" s="24" t="n">
        <x:v>0.03</x:v>
      </x:c>
      <x:c r="O4895" s="22" t="n">
        <x:f>L4895*M4895</x:f>
        <x:v>10920</x:v>
      </x:c>
      <x:c r="P4895" s="22" t="n">
        <x:f>O4895*(1-N4895)</x:f>
        <x:v>10592.4</x:v>
      </x:c>
      <x:c r="Q4895" s="22" t="n">
        <x:v>350</x:v>
      </x:c>
      <x:c r="R4895" s="22" t="n">
        <x:f>Q4895*M4895</x:f>
        <x:v>9800</x:v>
      </x:c>
      <x:c r="S4895" s="22" t="n">
        <x:f>P4895-R4895</x:f>
        <x:v>792.3999999999996</x:v>
      </x:c>
      <x:c r="T4895" t="str">
        <x:v>Cash</x:v>
      </x:c>
      <x:c r="U4895" t="str">
        <x:v>Pending</x:v>
      </x:c>
      <x:c r="V4895" t="str">
        <x:v>Delivered</x:v>
      </x:c>
      <x:c r="W4895" t="n">
        <x:v>0</x:v>
      </x:c>
      <x:c r="X4895" t="str"/>
      <x:c r="Y4895" t="str">
        <x:v>WhatsApp</x:v>
      </x:c>
    </x:row>
    <x:row r="4896">
      <x:c r="A4896" t="str">
        <x:v>O004895</x:v>
      </x:c>
      <x:c r="B4896" s="20" t="n">
        <x:v>46232</x:v>
      </x:c>
      <x:c r="C4896" t="str">
        <x:v>C0083</x:v>
      </x:c>
      <x:c r="D4896" t="str">
        <x:v>Sri Cafe 83</x:v>
      </x:c>
      <x:c r="E4896" t="str">
        <x:v>Hotel</x:v>
      </x:c>
      <x:c r="F4896" t="str">
        <x:v>Davanagere</x:v>
      </x:c>
      <x:c r="G4896" t="str">
        <x:v>Ramesh</x:v>
      </x:c>
      <x:c r="H4896" t="str">
        <x:v>P008</x:v>
      </x:c>
      <x:c r="I4896" t="str">
        <x:v>Palm Oil 15L</x:v>
      </x:c>
      <x:c r="J4896" t="str">
        <x:v>Edible Oil</x:v>
      </x:c>
      <x:c r="K4896" t="str">
        <x:v>Ruchi Gold</x:v>
      </x:c>
      <x:c r="L4896" s="22" t="n">
        <x:v>1760</x:v>
      </x:c>
      <x:c r="M4896" t="n">
        <x:v>6</x:v>
      </x:c>
      <x:c r="N4896" s="24" t="n">
        <x:v>0.08</x:v>
      </x:c>
      <x:c r="O4896" s="22" t="n">
        <x:f>L4896*M4896</x:f>
        <x:v>10560</x:v>
      </x:c>
      <x:c r="P4896" s="22" t="n">
        <x:f>O4896*(1-N4896)</x:f>
        <x:v>9715.2</x:v>
      </x:c>
      <x:c r="Q4896" s="22" t="n">
        <x:v>1610</x:v>
      </x:c>
      <x:c r="R4896" s="22" t="n">
        <x:f>Q4896*M4896</x:f>
        <x:v>9660</x:v>
      </x:c>
      <x:c r="S4896" s="22" t="n">
        <x:f>P4896-R4896</x:f>
        <x:v>55.20000000000073</x:v>
      </x:c>
      <x:c r="T4896" t="str">
        <x:v>UPI</x:v>
      </x:c>
      <x:c r="U4896" t="str">
        <x:v>Paid</x:v>
      </x:c>
      <x:c r="V4896" t="str">
        <x:v>Delayed</x:v>
      </x:c>
      <x:c r="W4896" t="n">
        <x:v>0</x:v>
      </x:c>
      <x:c r="X4896" t="str"/>
      <x:c r="Y4896" t="str">
        <x:v>Existing Customer</x:v>
      </x:c>
    </x:row>
    <x:row r="4897">
      <x:c r="A4897" t="str">
        <x:v>O004896</x:v>
      </x:c>
      <x:c r="B4897" s="20" t="n">
        <x:v>45726</x:v>
      </x:c>
      <x:c r="C4897" t="str">
        <x:v>C0072</x:v>
      </x:c>
      <x:c r="D4897" t="str">
        <x:v>Grand Restaurant 72</x:v>
      </x:c>
      <x:c r="E4897" t="str">
        <x:v>Restaurant</x:v>
      </x:c>
      <x:c r="F4897" t="str">
        <x:v>Davanagere</x:v>
      </x:c>
      <x:c r="G4897" t="str">
        <x:v>Kavya</x:v>
      </x:c>
      <x:c r="H4897" t="str">
        <x:v>P022</x:v>
      </x:c>
      <x:c r="I4897" t="str">
        <x:v>Mineral Water 1L</x:v>
      </x:c>
      <x:c r="J4897" t="str">
        <x:v>Beverage</x:v>
      </x:c>
      <x:c r="K4897" t="str">
        <x:v>Bisleri</x:v>
      </x:c>
      <x:c r="L4897" s="22" t="n">
        <x:v>19</x:v>
      </x:c>
      <x:c r="M4897" t="n">
        <x:v>7</x:v>
      </x:c>
      <x:c r="N4897" s="24" t="n">
        <x:v>0.02</x:v>
      </x:c>
      <x:c r="O4897" s="22" t="n">
        <x:f>L4897*M4897</x:f>
        <x:v>133</x:v>
      </x:c>
      <x:c r="P4897" s="22" t="n">
        <x:f>O4897*(1-N4897)</x:f>
        <x:v>130.34</x:v>
      </x:c>
      <x:c r="Q4897" s="22" t="n">
        <x:v>15</x:v>
      </x:c>
      <x:c r="R4897" s="22" t="n">
        <x:f>Q4897*M4897</x:f>
        <x:v>105</x:v>
      </x:c>
      <x:c r="S4897" s="22" t="n">
        <x:f>P4897-R4897</x:f>
        <x:v>25.340000000000003</x:v>
      </x:c>
      <x:c r="T4897" t="str">
        <x:v>UPI</x:v>
      </x:c>
      <x:c r="U4897" t="str">
        <x:v>Paid</x:v>
      </x:c>
      <x:c r="V4897" t="str">
        <x:v>Delivered</x:v>
      </x:c>
      <x:c r="W4897" t="n">
        <x:v>0</x:v>
      </x:c>
      <x:c r="X4897" t="str"/>
      <x:c r="Y4897" t="str">
        <x:v>Field Visit</x:v>
      </x:c>
    </x:row>
    <x:row r="4898">
      <x:c r="A4898" t="str">
        <x:v>O004897</x:v>
      </x:c>
      <x:c r="B4898" s="20" t="n">
        <x:v>45975</x:v>
      </x:c>
      <x:c r="C4898" t="str">
        <x:v>C0117</x:v>
      </x:c>
      <x:c r="D4898" t="str">
        <x:v>Classic Canteen 117</x:v>
      </x:c>
      <x:c r="E4898" t="str">
        <x:v>Restaurant</x:v>
      </x:c>
      <x:c r="F4898" t="str">
        <x:v>Hubballi</x:v>
      </x:c>
      <x:c r="G4898" t="str">
        <x:v>Megha</x:v>
      </x:c>
      <x:c r="H4898" t="str">
        <x:v>P001</x:v>
      </x:c>
      <x:c r="I4898" t="str">
        <x:v>Steam Rice 25kg</x:v>
      </x:c>
      <x:c r="J4898" t="str">
        <x:v>Staples</x:v>
      </x:c>
      <x:c r="K4898" t="str">
        <x:v>Aishwarya</x:v>
      </x:c>
      <x:c r="L4898" s="22" t="n">
        <x:v>1180</x:v>
      </x:c>
      <x:c r="M4898" t="n">
        <x:v>7</x:v>
      </x:c>
      <x:c r="N4898" s="24" t="n">
        <x:v>0.02</x:v>
      </x:c>
      <x:c r="O4898" s="22" t="n">
        <x:f>L4898*M4898</x:f>
        <x:v>8260</x:v>
      </x:c>
      <x:c r="P4898" s="22" t="n">
        <x:f>O4898*(1-N4898)</x:f>
        <x:v>8094.8</x:v>
      </x:c>
      <x:c r="Q4898" s="22" t="n">
        <x:v>1040</x:v>
      </x:c>
      <x:c r="R4898" s="22" t="n">
        <x:f>Q4898*M4898</x:f>
        <x:v>7280</x:v>
      </x:c>
      <x:c r="S4898" s="22" t="n">
        <x:f>P4898-R4898</x:f>
        <x:v>814.8000000000002</x:v>
      </x:c>
      <x:c r="T4898" t="str">
        <x:v>Credit</x:v>
      </x:c>
      <x:c r="U4898" t="str">
        <x:v>Paid</x:v>
      </x:c>
      <x:c r="V4898" t="str">
        <x:v>Delivered</x:v>
      </x:c>
      <x:c r="W4898" t="n">
        <x:v>0</x:v>
      </x:c>
      <x:c r="X4898" t="str"/>
      <x:c r="Y4898" t="str">
        <x:v>Existing Customer</x:v>
      </x:c>
    </x:row>
    <x:row r="4899">
      <x:c r="A4899" t="str">
        <x:v>O004898</x:v>
      </x:c>
      <x:c r="B4899" s="20" t="n">
        <x:v>46064</x:v>
      </x:c>
      <x:c r="C4899" t="str">
        <x:v>C0199</x:v>
      </x:c>
      <x:c r="D4899" t="str">
        <x:v>Classic Cafe 199</x:v>
      </x:c>
      <x:c r="E4899" t="str">
        <x:v>Canteen</x:v>
      </x:c>
      <x:c r="F4899" t="str">
        <x:v>Mangaluru</x:v>
      </x:c>
      <x:c r="G4899" t="str">
        <x:v>Ramesh</x:v>
      </x:c>
      <x:c r="H4899" t="str">
        <x:v>P020</x:v>
      </x:c>
      <x:c r="I4899" t="str">
        <x:v>Coffee 500g</x:v>
      </x:c>
      <x:c r="J4899" t="str">
        <x:v>Beverage</x:v>
      </x:c>
      <x:c r="K4899" t="str">
        <x:v>Bru</x:v>
      </x:c>
      <x:c r="L4899" s="22" t="n">
        <x:v>390</x:v>
      </x:c>
      <x:c r="M4899" t="n">
        <x:v>27</x:v>
      </x:c>
      <x:c r="N4899" s="24" t="n">
        <x:v>0.05</x:v>
      </x:c>
      <x:c r="O4899" s="22" t="n">
        <x:f>L4899*M4899</x:f>
        <x:v>10530</x:v>
      </x:c>
      <x:c r="P4899" s="22" t="n">
        <x:f>O4899*(1-N4899)</x:f>
        <x:v>10003.5</x:v>
      </x:c>
      <x:c r="Q4899" s="22" t="n">
        <x:v>350</x:v>
      </x:c>
      <x:c r="R4899" s="22" t="n">
        <x:f>Q4899*M4899</x:f>
        <x:v>9450</x:v>
      </x:c>
      <x:c r="S4899" s="22" t="n">
        <x:f>P4899-R4899</x:f>
        <x:v>553.5</x:v>
      </x:c>
      <x:c r="T4899" t="str">
        <x:v>Credit</x:v>
      </x:c>
      <x:c r="U4899" t="str">
        <x:v>Paid</x:v>
      </x:c>
      <x:c r="V4899" t="str">
        <x:v>Cancelled</x:v>
      </x:c>
      <x:c r="W4899" t="n">
        <x:v>27</x:v>
      </x:c>
      <x:c r="X4899" t="str">
        <x:v>Cancelled Order</x:v>
      </x:c>
      <x:c r="Y4899" t="str">
        <x:v>Referral</x:v>
      </x:c>
    </x:row>
    <x:row r="4900">
      <x:c r="A4900" t="str">
        <x:v>O004899</x:v>
      </x:c>
      <x:c r="B4900" s="20" t="n">
        <x:v>45960</x:v>
      </x:c>
      <x:c r="C4900" t="str">
        <x:v>C0009</x:v>
      </x:c>
      <x:c r="D4900" t="str">
        <x:v>Darshini Hotel 9</x:v>
      </x:c>
      <x:c r="E4900" t="str">
        <x:v>Cafe</x:v>
      </x:c>
      <x:c r="F4900" t="str">
        <x:v>Hubballi</x:v>
      </x:c>
      <x:c r="G4900" t="str">
        <x:v>Imran</x:v>
      </x:c>
      <x:c r="H4900" t="str">
        <x:v>P046</x:v>
      </x:c>
      <x:c r="I4900" t="str">
        <x:v>Potato 25kg</x:v>
      </x:c>
      <x:c r="J4900" t="str">
        <x:v>Fresh Produce</x:v>
      </x:c>
      <x:c r="K4900" t="str">
        <x:v>Local Market</x:v>
      </x:c>
      <x:c r="L4900" s="22" t="n">
        <x:v>700</x:v>
      </x:c>
      <x:c r="M4900" t="n">
        <x:v>7</x:v>
      </x:c>
      <x:c r="N4900" s="24" t="n">
        <x:v>0.03</x:v>
      </x:c>
      <x:c r="O4900" s="22" t="n">
        <x:f>L4900*M4900</x:f>
        <x:v>4900</x:v>
      </x:c>
      <x:c r="P4900" s="22" t="n">
        <x:f>O4900*(1-N4900)</x:f>
        <x:v>4753</x:v>
      </x:c>
      <x:c r="Q4900" s="22" t="n">
        <x:v>610</x:v>
      </x:c>
      <x:c r="R4900" s="22" t="n">
        <x:f>Q4900*M4900</x:f>
        <x:v>4270</x:v>
      </x:c>
      <x:c r="S4900" s="22" t="n">
        <x:f>P4900-R4900</x:f>
        <x:v>483</x:v>
      </x:c>
      <x:c r="T4900" t="str">
        <x:v>Credit</x:v>
      </x:c>
      <x:c r="U4900" t="str">
        <x:v>Paid</x:v>
      </x:c>
      <x:c r="V4900" t="str">
        <x:v>Cancelled</x:v>
      </x:c>
      <x:c r="W4900" t="n">
        <x:v>7</x:v>
      </x:c>
      <x:c r="X4900" t="str">
        <x:v>Cancelled Order</x:v>
      </x:c>
      <x:c r="Y4900" t="str">
        <x:v>Referral</x:v>
      </x:c>
    </x:row>
    <x:row r="4901">
      <x:c r="A4901" t="str">
        <x:v>O004900</x:v>
      </x:c>
      <x:c r="B4901" s="20" t="n">
        <x:v>45842</x:v>
      </x:c>
      <x:c r="C4901" t="str">
        <x:v>C0158</x:v>
      </x:c>
      <x:c r="D4901" t="str">
        <x:v>Cafe Stores 158</x:v>
      </x:c>
      <x:c r="E4901" t="str">
        <x:v>Cafe</x:v>
      </x:c>
      <x:c r="F4901" t="str">
        <x:v>Mysuru</x:v>
      </x:c>
      <x:c r="G4901" t="str">
        <x:v>Priya</x:v>
      </x:c>
      <x:c r="H4901" t="str">
        <x:v>P011</x:v>
      </x:c>
      <x:c r="I4901" t="str">
        <x:v>Salt 1kg</x:v>
      </x:c>
      <x:c r="J4901" t="str">
        <x:v>Staples</x:v>
      </x:c>
      <x:c r="K4901" t="str">
        <x:v>Tata</x:v>
      </x:c>
      <x:c r="L4901" s="22" t="n">
        <x:v>28</x:v>
      </x:c>
      <x:c r="M4901" t="n">
        <x:v>22</x:v>
      </x:c>
      <x:c r="N4901" s="24" t="n">
        <x:v>0</x:v>
      </x:c>
      <x:c r="O4901" s="22" t="n">
        <x:f>L4901*M4901</x:f>
        <x:v>616</x:v>
      </x:c>
      <x:c r="P4901" s="22" t="n">
        <x:f>O4901*(1-N4901)</x:f>
        <x:v>616</x:v>
      </x:c>
      <x:c r="Q4901" s="22" t="n">
        <x:v>23</x:v>
      </x:c>
      <x:c r="R4901" s="22" t="n">
        <x:f>Q4901*M4901</x:f>
        <x:v>506</x:v>
      </x:c>
      <x:c r="S4901" s="22" t="n">
        <x:f>P4901-R4901</x:f>
        <x:v>110</x:v>
      </x:c>
      <x:c r="T4901" t="str">
        <x:v>Bank Transfer</x:v>
      </x:c>
      <x:c r="U4901" t="str">
        <x:v>Pending</x:v>
      </x:c>
      <x:c r="V4901" t="str">
        <x:v>Delivered</x:v>
      </x:c>
      <x:c r="W4901" t="n">
        <x:v>0</x:v>
      </x:c>
      <x:c r="X4901" t="str"/>
      <x:c r="Y4901" t="str">
        <x:v>Referral</x:v>
      </x:c>
    </x:row>
    <x:row r="4902">
      <x:c r="A4902" t="str">
        <x:v>O004901</x:v>
      </x:c>
      <x:c r="B4902" s="20" t="n">
        <x:v>45946</x:v>
      </x:c>
      <x:c r="C4902" t="str">
        <x:v>C0173</x:v>
      </x:c>
      <x:c r="D4902" t="str">
        <x:v>Royal Kitchen 173</x:v>
      </x:c>
      <x:c r="E4902" t="str">
        <x:v>Hotel</x:v>
      </x:c>
      <x:c r="F4902" t="str">
        <x:v>Bengaluru</x:v>
      </x:c>
      <x:c r="G4902" t="str">
        <x:v>Priya</x:v>
      </x:c>
      <x:c r="H4902" t="str">
        <x:v>P047</x:v>
      </x:c>
      <x:c r="I4902" t="str">
        <x:v>Tomato 25kg</x:v>
      </x:c>
      <x:c r="J4902" t="str">
        <x:v>Fresh Produce</x:v>
      </x:c>
      <x:c r="K4902" t="str">
        <x:v>Local Market</x:v>
      </x:c>
      <x:c r="L4902" s="22" t="n">
        <x:v>950</x:v>
      </x:c>
      <x:c r="M4902" t="n">
        <x:v>17</x:v>
      </x:c>
      <x:c r="N4902" s="24" t="n">
        <x:v>0.05</x:v>
      </x:c>
      <x:c r="O4902" s="22" t="n">
        <x:f>L4902*M4902</x:f>
        <x:v>16150</x:v>
      </x:c>
      <x:c r="P4902" s="22" t="n">
        <x:f>O4902*(1-N4902)</x:f>
        <x:v>15342.5</x:v>
      </x:c>
      <x:c r="Q4902" s="22" t="n">
        <x:v>810</x:v>
      </x:c>
      <x:c r="R4902" s="22" t="n">
        <x:f>Q4902*M4902</x:f>
        <x:v>13770</x:v>
      </x:c>
      <x:c r="S4902" s="22" t="n">
        <x:f>P4902-R4902</x:f>
        <x:v>1572.5</x:v>
      </x:c>
      <x:c r="T4902" t="str">
        <x:v>Credit</x:v>
      </x:c>
      <x:c r="U4902" t="str">
        <x:v>Overdue</x:v>
      </x:c>
      <x:c r="V4902" t="str">
        <x:v>Delivered</x:v>
      </x:c>
      <x:c r="W4902" t="n">
        <x:v>0</x:v>
      </x:c>
      <x:c r="X4902" t="str"/>
      <x:c r="Y4902" t="str">
        <x:v>WhatsApp</x:v>
      </x:c>
    </x:row>
    <x:row r="4903">
      <x:c r="A4903" t="str">
        <x:v>O004902</x:v>
      </x:c>
      <x:c r="B4903" s="20" t="n">
        <x:v>45756</x:v>
      </x:c>
      <x:c r="C4903" t="str">
        <x:v>C0245</x:v>
      </x:c>
      <x:c r="D4903" t="str">
        <x:v>Udupi Cafe 245</x:v>
      </x:c>
      <x:c r="E4903" t="str">
        <x:v>Canteen</x:v>
      </x:c>
      <x:c r="F4903" t="str">
        <x:v>Bengaluru</x:v>
      </x:c>
      <x:c r="G4903" t="str">
        <x:v>Priya</x:v>
      </x:c>
      <x:c r="H4903" t="str">
        <x:v>P047</x:v>
      </x:c>
      <x:c r="I4903" t="str">
        <x:v>Tomato 25kg</x:v>
      </x:c>
      <x:c r="J4903" t="str">
        <x:v>Fresh Produce</x:v>
      </x:c>
      <x:c r="K4903" t="str">
        <x:v>Local Market</x:v>
      </x:c>
      <x:c r="L4903" s="22" t="n">
        <x:v>950</x:v>
      </x:c>
      <x:c r="M4903" t="n">
        <x:v>19</x:v>
      </x:c>
      <x:c r="N4903" s="24" t="n">
        <x:v>0.03</x:v>
      </x:c>
      <x:c r="O4903" s="22" t="n">
        <x:f>L4903*M4903</x:f>
        <x:v>18050</x:v>
      </x:c>
      <x:c r="P4903" s="22" t="n">
        <x:f>O4903*(1-N4903)</x:f>
        <x:v>17508.5</x:v>
      </x:c>
      <x:c r="Q4903" s="22" t="n">
        <x:v>810</x:v>
      </x:c>
      <x:c r="R4903" s="22" t="n">
        <x:f>Q4903*M4903</x:f>
        <x:v>15390</x:v>
      </x:c>
      <x:c r="S4903" s="22" t="n">
        <x:f>P4903-R4903</x:f>
        <x:v>2118.5</x:v>
      </x:c>
      <x:c r="T4903" t="str">
        <x:v>Cash</x:v>
      </x:c>
      <x:c r="U4903" t="str">
        <x:v>Paid</x:v>
      </x:c>
      <x:c r="V4903" t="str">
        <x:v>Delivered</x:v>
      </x:c>
      <x:c r="W4903" t="n">
        <x:v>0</x:v>
      </x:c>
      <x:c r="X4903" t="str"/>
      <x:c r="Y4903" t="str">
        <x:v>Field Visit</x:v>
      </x:c>
    </x:row>
    <x:row r="4904">
      <x:c r="A4904" t="str">
        <x:v>O004903</x:v>
      </x:c>
      <x:c r="B4904" s="20" t="n">
        <x:v>46269</x:v>
      </x:c>
      <x:c r="C4904" t="str">
        <x:v>C0034</x:v>
      </x:c>
      <x:c r="D4904" t="str">
        <x:v>City Restaurant 34</x:v>
      </x:c>
      <x:c r="E4904" t="str">
        <x:v>Restaurant</x:v>
      </x:c>
      <x:c r="F4904" t="str">
        <x:v>Mangaluru</x:v>
      </x:c>
      <x:c r="G4904" t="str">
        <x:v>Sneha</x:v>
      </x:c>
      <x:c r="H4904" t="str">
        <x:v>P044</x:v>
      </x:c>
      <x:c r="I4904" t="str">
        <x:v>Chicken Curry Cut 1kg</x:v>
      </x:c>
      <x:c r="J4904" t="str">
        <x:v>Protein</x:v>
      </x:c>
      <x:c r="K4904" t="str">
        <x:v>FreshToHome</x:v>
      </x:c>
      <x:c r="L4904" s="22" t="n">
        <x:v>230</x:v>
      </x:c>
      <x:c r="M4904" t="n">
        <x:v>22</x:v>
      </x:c>
      <x:c r="N4904" s="24" t="n">
        <x:v>0.02</x:v>
      </x:c>
      <x:c r="O4904" s="22" t="n">
        <x:f>L4904*M4904</x:f>
        <x:v>5060</x:v>
      </x:c>
      <x:c r="P4904" s="22" t="n">
        <x:f>O4904*(1-N4904)</x:f>
        <x:v>4958.8</x:v>
      </x:c>
      <x:c r="Q4904" s="22" t="n">
        <x:v>205</x:v>
      </x:c>
      <x:c r="R4904" s="22" t="n">
        <x:f>Q4904*M4904</x:f>
        <x:v>4510</x:v>
      </x:c>
      <x:c r="S4904" s="22" t="n">
        <x:f>P4904-R4904</x:f>
        <x:v>448.8000000000002</x:v>
      </x:c>
      <x:c r="T4904" t="str">
        <x:v>Bank Transfer</x:v>
      </x:c>
      <x:c r="U4904" t="str">
        <x:v>Pending</x:v>
      </x:c>
      <x:c r="V4904" t="str">
        <x:v>Delayed</x:v>
      </x:c>
      <x:c r="W4904" t="n">
        <x:v>0</x:v>
      </x:c>
      <x:c r="X4904" t="str"/>
      <x:c r="Y4904" t="str">
        <x:v>Field Visit</x:v>
      </x:c>
    </x:row>
    <x:row r="4905">
      <x:c r="A4905" t="str">
        <x:v>O004904</x:v>
      </x:c>
      <x:c r="B4905" s="20" t="n">
        <x:v>45997</x:v>
      </x:c>
      <x:c r="C4905" t="str">
        <x:v>C0162</x:v>
      </x:c>
      <x:c r="D4905" t="str">
        <x:v>Udupi Foods 162</x:v>
      </x:c>
      <x:c r="E4905" t="str">
        <x:v>Restaurant</x:v>
      </x:c>
      <x:c r="F4905" t="str">
        <x:v>Mysuru</x:v>
      </x:c>
      <x:c r="G4905" t="str">
        <x:v>Ramesh</x:v>
      </x:c>
      <x:c r="H4905" t="str">
        <x:v>P015</x:v>
      </x:c>
      <x:c r="I4905" t="str">
        <x:v>Milk 1L</x:v>
      </x:c>
      <x:c r="J4905" t="str">
        <x:v>Dairy</x:v>
      </x:c>
      <x:c r="K4905" t="str">
        <x:v>Nandini</x:v>
      </x:c>
      <x:c r="L4905" s="22" t="n">
        <x:v>48</x:v>
      </x:c>
      <x:c r="M4905" t="n">
        <x:v>33</x:v>
      </x:c>
      <x:c r="N4905" s="24" t="n">
        <x:v>0.08</x:v>
      </x:c>
      <x:c r="O4905" s="22" t="n">
        <x:f>L4905*M4905</x:f>
        <x:v>1584</x:v>
      </x:c>
      <x:c r="P4905" s="22" t="n">
        <x:f>O4905*(1-N4905)</x:f>
        <x:v>1457.28</x:v>
      </x:c>
      <x:c r="Q4905" s="22" t="n">
        <x:v>43</x:v>
      </x:c>
      <x:c r="R4905" s="22" t="n">
        <x:f>Q4905*M4905</x:f>
        <x:v>1419</x:v>
      </x:c>
      <x:c r="S4905" s="22" t="n">
        <x:f>P4905-R4905</x:f>
        <x:v>38.27999999999997</x:v>
      </x:c>
      <x:c r="T4905" t="str">
        <x:v>Cash</x:v>
      </x:c>
      <x:c r="U4905" t="str">
        <x:v>Paid</x:v>
      </x:c>
      <x:c r="V4905" t="str">
        <x:v>Cancelled</x:v>
      </x:c>
      <x:c r="W4905" t="n">
        <x:v>33</x:v>
      </x:c>
      <x:c r="X4905" t="str">
        <x:v>Cancelled Order</x:v>
      </x:c>
      <x:c r="Y4905" t="str">
        <x:v>Existing Customer</x:v>
      </x:c>
    </x:row>
    <x:row r="4906">
      <x:c r="A4906" t="str">
        <x:v>O004905</x:v>
      </x:c>
      <x:c r="B4906" s="20" t="n">
        <x:v>45726</x:v>
      </x:c>
      <x:c r="C4906" t="str">
        <x:v>C0216</x:v>
      </x:c>
      <x:c r="D4906" t="str">
        <x:v>Cafe Restaurant 216</x:v>
      </x:c>
      <x:c r="E4906" t="str">
        <x:v>Canteen</x:v>
      </x:c>
      <x:c r="F4906" t="str">
        <x:v>Bengaluru</x:v>
      </x:c>
      <x:c r="G4906" t="str">
        <x:v>Vikram</x:v>
      </x:c>
      <x:c r="H4906" t="str">
        <x:v>P049</x:v>
      </x:c>
      <x:c r="I4906" t="str">
        <x:v>Apple 10kg</x:v>
      </x:c>
      <x:c r="J4906" t="str">
        <x:v>Fresh Produce</x:v>
      </x:c>
      <x:c r="K4906" t="str">
        <x:v>Local Market</x:v>
      </x:c>
      <x:c r="L4906" s="22" t="n">
        <x:v>1450</x:v>
      </x:c>
      <x:c r="M4906" t="n">
        <x:v>10</x:v>
      </x:c>
      <x:c r="N4906" s="24" t="n">
        <x:v>0.02</x:v>
      </x:c>
      <x:c r="O4906" s="22" t="n">
        <x:f>L4906*M4906</x:f>
        <x:v>14500</x:v>
      </x:c>
      <x:c r="P4906" s="22" t="n">
        <x:f>O4906*(1-N4906)</x:f>
        <x:v>14210</x:v>
      </x:c>
      <x:c r="Q4906" s="22" t="n">
        <x:v>1280</x:v>
      </x:c>
      <x:c r="R4906" s="22" t="n">
        <x:f>Q4906*M4906</x:f>
        <x:v>12800</x:v>
      </x:c>
      <x:c r="S4906" s="22" t="n">
        <x:f>P4906-R4906</x:f>
        <x:v>1410</x:v>
      </x:c>
      <x:c r="T4906" t="str">
        <x:v>Cash</x:v>
      </x:c>
      <x:c r="U4906" t="str">
        <x:v>Overdue</x:v>
      </x:c>
      <x:c r="V4906" t="str">
        <x:v>Cancelled</x:v>
      </x:c>
      <x:c r="W4906" t="n">
        <x:v>10</x:v>
      </x:c>
      <x:c r="X4906" t="str">
        <x:v>Cancelled Order</x:v>
      </x:c>
      <x:c r="Y4906" t="str">
        <x:v>Existing Customer</x:v>
      </x:c>
    </x:row>
    <x:row r="4907">
      <x:c r="A4907" t="str">
        <x:v>O004906</x:v>
      </x:c>
      <x:c r="B4907" s="20" t="n">
        <x:v>46221</x:v>
      </x:c>
      <x:c r="C4907" t="str">
        <x:v>C0037</x:v>
      </x:c>
      <x:c r="D4907" t="str">
        <x:v>Royal Cafe 37</x:v>
      </x:c>
      <x:c r="E4907" t="str">
        <x:v>Hotel</x:v>
      </x:c>
      <x:c r="F4907" t="str">
        <x:v>Mysuru</x:v>
      </x:c>
      <x:c r="G4907" t="str">
        <x:v>Sneha</x:v>
      </x:c>
      <x:c r="H4907" t="str">
        <x:v>P009</x:v>
      </x:c>
      <x:c r="I4907" t="str">
        <x:v>Groundnut Oil 5L</x:v>
      </x:c>
      <x:c r="J4907" t="str">
        <x:v>Edible Oil</x:v>
      </x:c>
      <x:c r="K4907" t="str">
        <x:v>Dhara</x:v>
      </x:c>
      <x:c r="L4907" s="22" t="n">
        <x:v>890</x:v>
      </x:c>
      <x:c r="M4907" t="n">
        <x:v>31</x:v>
      </x:c>
      <x:c r="N4907" s="24" t="n">
        <x:v>0.05</x:v>
      </x:c>
      <x:c r="O4907" s="22" t="n">
        <x:f>L4907*M4907</x:f>
        <x:v>27590</x:v>
      </x:c>
      <x:c r="P4907" s="22" t="n">
        <x:f>O4907*(1-N4907)</x:f>
        <x:v>26210.5</x:v>
      </x:c>
      <x:c r="Q4907" s="22" t="n">
        <x:v>810</x:v>
      </x:c>
      <x:c r="R4907" s="22" t="n">
        <x:f>Q4907*M4907</x:f>
        <x:v>25110</x:v>
      </x:c>
      <x:c r="S4907" s="22" t="n">
        <x:f>P4907-R4907</x:f>
        <x:v>1100.5</x:v>
      </x:c>
      <x:c r="T4907" t="str">
        <x:v>Cash</x:v>
      </x:c>
      <x:c r="U4907" t="str">
        <x:v>Paid</x:v>
      </x:c>
      <x:c r="V4907" t="str">
        <x:v>Delivered</x:v>
      </x:c>
      <x:c r="W4907" t="n">
        <x:v>0</x:v>
      </x:c>
      <x:c r="X4907" t="str"/>
      <x:c r="Y4907" t="str">
        <x:v>Outbound Call</x:v>
      </x:c>
    </x:row>
    <x:row r="4908">
      <x:c r="A4908" t="str">
        <x:v>O004907</x:v>
      </x:c>
      <x:c r="B4908" s="20" t="n">
        <x:v>45967</x:v>
      </x:c>
      <x:c r="C4908" t="str">
        <x:v>C0023</x:v>
      </x:c>
      <x:c r="D4908" t="str">
        <x:v>Mysore Canteen 23</x:v>
      </x:c>
      <x:c r="E4908" t="str">
        <x:v>Cafe</x:v>
      </x:c>
      <x:c r="F4908" t="str">
        <x:v>Hubballi</x:v>
      </x:c>
      <x:c r="G4908" t="str">
        <x:v>Sneha</x:v>
      </x:c>
      <x:c r="H4908" t="str">
        <x:v>P032</x:v>
      </x:c>
      <x:c r="I4908" t="str">
        <x:v>Soy Sauce 700g</x:v>
      </x:c>
      <x:c r="J4908" t="str">
        <x:v>Condiments</x:v>
      </x:c>
      <x:c r="K4908" t="str">
        <x:v>Ching's</x:v>
      </x:c>
      <x:c r="L4908" s="22" t="n">
        <x:v>118</x:v>
      </x:c>
      <x:c r="M4908" t="n">
        <x:v>37</x:v>
      </x:c>
      <x:c r="N4908" s="24" t="n">
        <x:v>0.03</x:v>
      </x:c>
      <x:c r="O4908" s="22" t="n">
        <x:f>L4908*M4908</x:f>
        <x:v>4366</x:v>
      </x:c>
      <x:c r="P4908" s="22" t="n">
        <x:f>O4908*(1-N4908)</x:f>
        <x:v>4235.0199999999995</x:v>
      </x:c>
      <x:c r="Q4908" s="22" t="n">
        <x:v>101</x:v>
      </x:c>
      <x:c r="R4908" s="22" t="n">
        <x:f>Q4908*M4908</x:f>
        <x:v>3737</x:v>
      </x:c>
      <x:c r="S4908" s="22" t="n">
        <x:f>P4908-R4908</x:f>
        <x:v>498.0199999999995</x:v>
      </x:c>
      <x:c r="T4908" t="str">
        <x:v>UPI</x:v>
      </x:c>
      <x:c r="U4908" t="str">
        <x:v>Paid</x:v>
      </x:c>
      <x:c r="V4908" t="str">
        <x:v>Delivered</x:v>
      </x:c>
      <x:c r="W4908" t="n">
        <x:v>0</x:v>
      </x:c>
      <x:c r="X4908" t="str"/>
      <x:c r="Y4908" t="str">
        <x:v>WhatsApp</x:v>
      </x:c>
    </x:row>
    <x:row r="4909">
      <x:c r="A4909" t="str">
        <x:v>O004908</x:v>
      </x:c>
      <x:c r="B4909" s="20" t="n">
        <x:v>46236</x:v>
      </x:c>
      <x:c r="C4909" t="str">
        <x:v>C0109</x:v>
      </x:c>
      <x:c r="D4909" t="str">
        <x:v>Annapurna Kitchen 109</x:v>
      </x:c>
      <x:c r="E4909" t="str">
        <x:v>Kirana</x:v>
      </x:c>
      <x:c r="F4909" t="str">
        <x:v>Mysuru</x:v>
      </x:c>
      <x:c r="G4909" t="str">
        <x:v>Kavya</x:v>
      </x:c>
      <x:c r="H4909" t="str">
        <x:v>P002</x:v>
      </x:c>
      <x:c r="I4909" t="str">
        <x:v>Sona Masoori Rice 25kg</x:v>
      </x:c>
      <x:c r="J4909" t="str">
        <x:v>Staples</x:v>
      </x:c>
      <x:c r="K4909" t="str">
        <x:v>Fortune</x:v>
      </x:c>
      <x:c r="L4909" s="22" t="n">
        <x:v>1320</x:v>
      </x:c>
      <x:c r="M4909" t="n">
        <x:v>10</x:v>
      </x:c>
      <x:c r="N4909" s="24" t="n">
        <x:v>0.05</x:v>
      </x:c>
      <x:c r="O4909" s="22" t="n">
        <x:f>L4909*M4909</x:f>
        <x:v>13200</x:v>
      </x:c>
      <x:c r="P4909" s="22" t="n">
        <x:f>O4909*(1-N4909)</x:f>
        <x:v>12540</x:v>
      </x:c>
      <x:c r="Q4909" s="22" t="n">
        <x:v>1160</x:v>
      </x:c>
      <x:c r="R4909" s="22" t="n">
        <x:f>Q4909*M4909</x:f>
        <x:v>11600</x:v>
      </x:c>
      <x:c r="S4909" s="22" t="n">
        <x:f>P4909-R4909</x:f>
        <x:v>940</x:v>
      </x:c>
      <x:c r="T4909" t="str">
        <x:v>UPI</x:v>
      </x:c>
      <x:c r="U4909" t="str">
        <x:v>Paid</x:v>
      </x:c>
      <x:c r="V4909" t="str">
        <x:v>Delivered</x:v>
      </x:c>
      <x:c r="W4909" t="n">
        <x:v>0</x:v>
      </x:c>
      <x:c r="X4909" t="str"/>
      <x:c r="Y4909" t="str">
        <x:v>Field Visit</x:v>
      </x:c>
    </x:row>
    <x:row r="4910">
      <x:c r="A4910" t="str">
        <x:v>O004909</x:v>
      </x:c>
      <x:c r="B4910" s="20" t="n">
        <x:v>45762</x:v>
      </x:c>
      <x:c r="C4910" t="str">
        <x:v>C0100</x:v>
      </x:c>
      <x:c r="D4910" t="str">
        <x:v>Fresh Mart 100</x:v>
      </x:c>
      <x:c r="E4910" t="str">
        <x:v>Restaurant</x:v>
      </x:c>
      <x:c r="F4910" t="str">
        <x:v>Mysuru</x:v>
      </x:c>
      <x:c r="G4910" t="str">
        <x:v>Imran</x:v>
      </x:c>
      <x:c r="H4910" t="str">
        <x:v>P041</x:v>
      </x:c>
      <x:c r="I4910" t="str">
        <x:v>Burger Bun 6pc</x:v>
      </x:c>
      <x:c r="J4910" t="str">
        <x:v>Bakery</x:v>
      </x:c>
      <x:c r="K4910" t="str">
        <x:v>Modern</x:v>
      </x:c>
      <x:c r="L4910" s="22" t="n">
        <x:v>42</x:v>
      </x:c>
      <x:c r="M4910" t="n">
        <x:v>40</x:v>
      </x:c>
      <x:c r="N4910" s="24" t="n">
        <x:v>0.05</x:v>
      </x:c>
      <x:c r="O4910" s="22" t="n">
        <x:f>L4910*M4910</x:f>
        <x:v>1680</x:v>
      </x:c>
      <x:c r="P4910" s="22" t="n">
        <x:f>O4910*(1-N4910)</x:f>
        <x:v>1596</x:v>
      </x:c>
      <x:c r="Q4910" s="22" t="n">
        <x:v>32</x:v>
      </x:c>
      <x:c r="R4910" s="22" t="n">
        <x:f>Q4910*M4910</x:f>
        <x:v>1280</x:v>
      </x:c>
      <x:c r="S4910" s="22" t="n">
        <x:f>P4910-R4910</x:f>
        <x:v>316</x:v>
      </x:c>
      <x:c r="T4910" t="str">
        <x:v>Cash</x:v>
      </x:c>
      <x:c r="U4910" t="str">
        <x:v>Paid</x:v>
      </x:c>
      <x:c r="V4910" t="str">
        <x:v>Cancelled</x:v>
      </x:c>
      <x:c r="W4910" t="n">
        <x:v>40</x:v>
      </x:c>
      <x:c r="X4910" t="str">
        <x:v>Cancelled Order</x:v>
      </x:c>
      <x:c r="Y4910" t="str">
        <x:v>Field Visit</x:v>
      </x:c>
    </x:row>
    <x:row r="4911">
      <x:c r="A4911" t="str">
        <x:v>O004910</x:v>
      </x:c>
      <x:c r="B4911" s="20" t="n">
        <x:v>46190</x:v>
      </x:c>
      <x:c r="C4911" t="str">
        <x:v>C0094</x:v>
      </x:c>
      <x:c r="D4911" t="str">
        <x:v>Mysore Mart 94</x:v>
      </x:c>
      <x:c r="E4911" t="str">
        <x:v>Restaurant</x:v>
      </x:c>
      <x:c r="F4911" t="str">
        <x:v>Hubballi</x:v>
      </x:c>
      <x:c r="G4911" t="str">
        <x:v>Sneha</x:v>
      </x:c>
      <x:c r="H4911" t="str">
        <x:v>P050</x:v>
      </x:c>
      <x:c r="I4911" t="str">
        <x:v>Lemon 5kg</x:v>
      </x:c>
      <x:c r="J4911" t="str">
        <x:v>Fresh Produce</x:v>
      </x:c>
      <x:c r="K4911" t="str">
        <x:v>Local Market</x:v>
      </x:c>
      <x:c r="L4911" s="22" t="n">
        <x:v>360</x:v>
      </x:c>
      <x:c r="M4911" t="n">
        <x:v>14</x:v>
      </x:c>
      <x:c r="N4911" s="24" t="n">
        <x:v>0.02</x:v>
      </x:c>
      <x:c r="O4911" s="22" t="n">
        <x:f>L4911*M4911</x:f>
        <x:v>5040</x:v>
      </x:c>
      <x:c r="P4911" s="22" t="n">
        <x:f>O4911*(1-N4911)</x:f>
        <x:v>4939.2</x:v>
      </x:c>
      <x:c r="Q4911" s="22" t="n">
        <x:v>300</x:v>
      </x:c>
      <x:c r="R4911" s="22" t="n">
        <x:f>Q4911*M4911</x:f>
        <x:v>4200</x:v>
      </x:c>
      <x:c r="S4911" s="22" t="n">
        <x:f>P4911-R4911</x:f>
        <x:v>739.1999999999998</x:v>
      </x:c>
      <x:c r="T4911" t="str">
        <x:v>Cash</x:v>
      </x:c>
      <x:c r="U4911" t="str">
        <x:v>Paid</x:v>
      </x:c>
      <x:c r="V4911" t="str">
        <x:v>Cancelled</x:v>
      </x:c>
      <x:c r="W4911" t="n">
        <x:v>14</x:v>
      </x:c>
      <x:c r="X4911" t="str">
        <x:v>Cancelled Order</x:v>
      </x:c>
      <x:c r="Y4911" t="str">
        <x:v>Field Visit</x:v>
      </x:c>
    </x:row>
    <x:row r="4912">
      <x:c r="A4912" t="str">
        <x:v>O004911</x:v>
      </x:c>
      <x:c r="B4912" s="20" t="n">
        <x:v>45964</x:v>
      </x:c>
      <x:c r="C4912" t="str">
        <x:v>C0005</x:v>
      </x:c>
      <x:c r="D4912" t="str">
        <x:v>Sagar Kitchen 5</x:v>
      </x:c>
      <x:c r="E4912" t="str">
        <x:v>Restaurant</x:v>
      </x:c>
      <x:c r="F4912" t="str">
        <x:v>Hubballi</x:v>
      </x:c>
      <x:c r="G4912" t="str">
        <x:v>Priya</x:v>
      </x:c>
      <x:c r="H4912" t="str">
        <x:v>P046</x:v>
      </x:c>
      <x:c r="I4912" t="str">
        <x:v>Potato 25kg</x:v>
      </x:c>
      <x:c r="J4912" t="str">
        <x:v>Fresh Produce</x:v>
      </x:c>
      <x:c r="K4912" t="str">
        <x:v>Local Market</x:v>
      </x:c>
      <x:c r="L4912" s="22" t="n">
        <x:v>700</x:v>
      </x:c>
      <x:c r="M4912" t="n">
        <x:v>11</x:v>
      </x:c>
      <x:c r="N4912" s="24" t="n">
        <x:v>0</x:v>
      </x:c>
      <x:c r="O4912" s="22" t="n">
        <x:f>L4912*M4912</x:f>
        <x:v>7700</x:v>
      </x:c>
      <x:c r="P4912" s="22" t="n">
        <x:f>O4912*(1-N4912)</x:f>
        <x:v>7700</x:v>
      </x:c>
      <x:c r="Q4912" s="22" t="n">
        <x:v>610</x:v>
      </x:c>
      <x:c r="R4912" s="22" t="n">
        <x:f>Q4912*M4912</x:f>
        <x:v>6710</x:v>
      </x:c>
      <x:c r="S4912" s="22" t="n">
        <x:f>P4912-R4912</x:f>
        <x:v>990</x:v>
      </x:c>
      <x:c r="T4912" t="str">
        <x:v>Cash</x:v>
      </x:c>
      <x:c r="U4912" t="str">
        <x:v>Pending</x:v>
      </x:c>
      <x:c r="V4912" t="str">
        <x:v>Delayed</x:v>
      </x:c>
      <x:c r="W4912" t="n">
        <x:v>0</x:v>
      </x:c>
      <x:c r="X4912" t="str"/>
      <x:c r="Y4912" t="str">
        <x:v>Referral</x:v>
      </x:c>
    </x:row>
    <x:row r="4913">
      <x:c r="A4913" t="str">
        <x:v>O004912</x:v>
      </x:c>
      <x:c r="B4913" s="20" t="n">
        <x:v>45986</x:v>
      </x:c>
      <x:c r="C4913" t="str">
        <x:v>C0238</x:v>
      </x:c>
      <x:c r="D4913" t="str">
        <x:v>Foodie Foods 238</x:v>
      </x:c>
      <x:c r="E4913" t="str">
        <x:v>Restaurant</x:v>
      </x:c>
      <x:c r="F4913" t="str">
        <x:v>Davanagere</x:v>
      </x:c>
      <x:c r="G4913" t="str">
        <x:v>Megha</x:v>
      </x:c>
      <x:c r="H4913" t="str">
        <x:v>P027</x:v>
      </x:c>
      <x:c r="I4913" t="str">
        <x:v>Biscuits 120g</x:v>
      </x:c>
      <x:c r="J4913" t="str">
        <x:v>Snacks</x:v>
      </x:c>
      <x:c r="K4913" t="str">
        <x:v>Parle-G</x:v>
      </x:c>
      <x:c r="L4913" s="22" t="n">
        <x:v>12</x:v>
      </x:c>
      <x:c r="M4913" t="n">
        <x:v>18</x:v>
      </x:c>
      <x:c r="N4913" s="24" t="n">
        <x:v>0.03</x:v>
      </x:c>
      <x:c r="O4913" s="22" t="n">
        <x:f>L4913*M4913</x:f>
        <x:v>216</x:v>
      </x:c>
      <x:c r="P4913" s="22" t="n">
        <x:f>O4913*(1-N4913)</x:f>
        <x:v>209.51999999999998</x:v>
      </x:c>
      <x:c r="Q4913" s="22" t="n">
        <x:v>9</x:v>
      </x:c>
      <x:c r="R4913" s="22" t="n">
        <x:f>Q4913*M4913</x:f>
        <x:v>162</x:v>
      </x:c>
      <x:c r="S4913" s="22" t="n">
        <x:f>P4913-R4913</x:f>
        <x:v>47.51999999999998</x:v>
      </x:c>
      <x:c r="T4913" t="str">
        <x:v>Credit</x:v>
      </x:c>
      <x:c r="U4913" t="str">
        <x:v>Paid</x:v>
      </x:c>
      <x:c r="V4913" t="str">
        <x:v>Delivered</x:v>
      </x:c>
      <x:c r="W4913" t="n">
        <x:v>0</x:v>
      </x:c>
      <x:c r="X4913" t="str"/>
      <x:c r="Y4913" t="str">
        <x:v>Outbound Call</x:v>
      </x:c>
    </x:row>
    <x:row r="4914">
      <x:c r="A4914" t="str">
        <x:v>O004913</x:v>
      </x:c>
      <x:c r="B4914" s="20" t="n">
        <x:v>46000</x:v>
      </x:c>
      <x:c r="C4914" t="str">
        <x:v>C0080</x:v>
      </x:c>
      <x:c r="D4914" t="str">
        <x:v>Annapurna Canteen 80</x:v>
      </x:c>
      <x:c r="E4914" t="str">
        <x:v>Restaurant</x:v>
      </x:c>
      <x:c r="F4914" t="str">
        <x:v>Mangaluru</x:v>
      </x:c>
      <x:c r="G4914" t="str">
        <x:v>Priya</x:v>
      </x:c>
      <x:c r="H4914" t="str">
        <x:v>P008</x:v>
      </x:c>
      <x:c r="I4914" t="str">
        <x:v>Palm Oil 15L</x:v>
      </x:c>
      <x:c r="J4914" t="str">
        <x:v>Edible Oil</x:v>
      </x:c>
      <x:c r="K4914" t="str">
        <x:v>Ruchi Gold</x:v>
      </x:c>
      <x:c r="L4914" s="22" t="n">
        <x:v>1760</x:v>
      </x:c>
      <x:c r="M4914" t="n">
        <x:v>10</x:v>
      </x:c>
      <x:c r="N4914" s="24" t="n">
        <x:v>0</x:v>
      </x:c>
      <x:c r="O4914" s="22" t="n">
        <x:f>L4914*M4914</x:f>
        <x:v>17600</x:v>
      </x:c>
      <x:c r="P4914" s="22" t="n">
        <x:f>O4914*(1-N4914)</x:f>
        <x:v>17600</x:v>
      </x:c>
      <x:c r="Q4914" s="22" t="n">
        <x:v>1610</x:v>
      </x:c>
      <x:c r="R4914" s="22" t="n">
        <x:f>Q4914*M4914</x:f>
        <x:v>16100</x:v>
      </x:c>
      <x:c r="S4914" s="22" t="n">
        <x:f>P4914-R4914</x:f>
        <x:v>1500</x:v>
      </x:c>
      <x:c r="T4914" t="str">
        <x:v>Bank Transfer</x:v>
      </x:c>
      <x:c r="U4914" t="str">
        <x:v>Paid</x:v>
      </x:c>
      <x:c r="V4914" t="str">
        <x:v>Delivered</x:v>
      </x:c>
      <x:c r="W4914" t="n">
        <x:v>0</x:v>
      </x:c>
      <x:c r="X4914" t="str"/>
      <x:c r="Y4914" t="str">
        <x:v>Outbound Call</x:v>
      </x:c>
    </x:row>
    <x:row r="4915">
      <x:c r="A4915" t="str">
        <x:v>O004914</x:v>
      </x:c>
      <x:c r="B4915" s="20" t="n">
        <x:v>46251</x:v>
      </x:c>
      <x:c r="C4915" t="str">
        <x:v>C0219</x:v>
      </x:c>
      <x:c r="D4915" t="str">
        <x:v>Udupi Restaurant 219</x:v>
      </x:c>
      <x:c r="E4915" t="str">
        <x:v>Kirana</x:v>
      </x:c>
      <x:c r="F4915" t="str">
        <x:v>Mangaluru</x:v>
      </x:c>
      <x:c r="G4915" t="str">
        <x:v>Kavya</x:v>
      </x:c>
      <x:c r="H4915" t="str">
        <x:v>P029</x:v>
      </x:c>
      <x:c r="I4915" t="str">
        <x:v>Tomato Ketchup 1kg</x:v>
      </x:c>
      <x:c r="J4915" t="str">
        <x:v>Condiments</x:v>
      </x:c>
      <x:c r="K4915" t="str">
        <x:v>Kissan</x:v>
      </x:c>
      <x:c r="L4915" s="22" t="n">
        <x:v>145</x:v>
      </x:c>
      <x:c r="M4915" t="n">
        <x:v>25</x:v>
      </x:c>
      <x:c r="N4915" s="24" t="n">
        <x:v>0.05</x:v>
      </x:c>
      <x:c r="O4915" s="22" t="n">
        <x:f>L4915*M4915</x:f>
        <x:v>3625</x:v>
      </x:c>
      <x:c r="P4915" s="22" t="n">
        <x:f>O4915*(1-N4915)</x:f>
        <x:v>3443.75</x:v>
      </x:c>
      <x:c r="Q4915" s="22" t="n">
        <x:v>126</x:v>
      </x:c>
      <x:c r="R4915" s="22" t="n">
        <x:f>Q4915*M4915</x:f>
        <x:v>3150</x:v>
      </x:c>
      <x:c r="S4915" s="22" t="n">
        <x:f>P4915-R4915</x:f>
        <x:v>293.75</x:v>
      </x:c>
      <x:c r="T4915" t="str">
        <x:v>UPI</x:v>
      </x:c>
      <x:c r="U4915" t="str">
        <x:v>Overdue</x:v>
      </x:c>
      <x:c r="V4915" t="str">
        <x:v>Cancelled</x:v>
      </x:c>
      <x:c r="W4915" t="n">
        <x:v>25</x:v>
      </x:c>
      <x:c r="X4915" t="str">
        <x:v>Cancelled Order</x:v>
      </x:c>
      <x:c r="Y4915" t="str">
        <x:v>WhatsApp</x:v>
      </x:c>
    </x:row>
    <x:row r="4916">
      <x:c r="A4916" t="str">
        <x:v>O004915</x:v>
      </x:c>
      <x:c r="B4916" s="20" t="n">
        <x:v>46259</x:v>
      </x:c>
      <x:c r="C4916" t="str">
        <x:v>C0172</x:v>
      </x:c>
      <x:c r="D4916" t="str">
        <x:v>Annapurna Stores 172</x:v>
      </x:c>
      <x:c r="E4916" t="str">
        <x:v>Restaurant</x:v>
      </x:c>
      <x:c r="F4916" t="str">
        <x:v>Mangaluru</x:v>
      </x:c>
      <x:c r="G4916" t="str">
        <x:v>Megha</x:v>
      </x:c>
      <x:c r="H4916" t="str">
        <x:v>P028</x:v>
      </x:c>
      <x:c r="I4916" t="str">
        <x:v>Cookies 200g</x:v>
      </x:c>
      <x:c r="J4916" t="str">
        <x:v>Snacks</x:v>
      </x:c>
      <x:c r="K4916" t="str">
        <x:v>Britannia</x:v>
      </x:c>
      <x:c r="L4916" s="22" t="n">
        <x:v>55</x:v>
      </x:c>
      <x:c r="M4916" t="n">
        <x:v>18</x:v>
      </x:c>
      <x:c r="N4916" s="24" t="n">
        <x:v>0</x:v>
      </x:c>
      <x:c r="O4916" s="22" t="n">
        <x:f>L4916*M4916</x:f>
        <x:v>990</x:v>
      </x:c>
      <x:c r="P4916" s="22" t="n">
        <x:f>O4916*(1-N4916)</x:f>
        <x:v>990</x:v>
      </x:c>
      <x:c r="Q4916" s="22" t="n">
        <x:v>42</x:v>
      </x:c>
      <x:c r="R4916" s="22" t="n">
        <x:f>Q4916*M4916</x:f>
        <x:v>756</x:v>
      </x:c>
      <x:c r="S4916" s="22" t="n">
        <x:f>P4916-R4916</x:f>
        <x:v>234</x:v>
      </x:c>
      <x:c r="T4916" t="str">
        <x:v>Cash</x:v>
      </x:c>
      <x:c r="U4916" t="str">
        <x:v>Pending</x:v>
      </x:c>
      <x:c r="V4916" t="str">
        <x:v>Delivered</x:v>
      </x:c>
      <x:c r="W4916" t="n">
        <x:v>0</x:v>
      </x:c>
      <x:c r="X4916" t="str"/>
      <x:c r="Y4916" t="str">
        <x:v>Field Visit</x:v>
      </x:c>
    </x:row>
    <x:row r="4917">
      <x:c r="A4917" t="str">
        <x:v>O004916</x:v>
      </x:c>
      <x:c r="B4917" s="20" t="n">
        <x:v>46046</x:v>
      </x:c>
      <x:c r="C4917" t="str">
        <x:v>C0143</x:v>
      </x:c>
      <x:c r="D4917" t="str">
        <x:v>Foodie Restaurant 143</x:v>
      </x:c>
      <x:c r="E4917" t="str">
        <x:v>Restaurant</x:v>
      </x:c>
      <x:c r="F4917" t="str">
        <x:v>Hubballi</x:v>
      </x:c>
      <x:c r="G4917" t="str">
        <x:v>Priya</x:v>
      </x:c>
      <x:c r="H4917" t="str">
        <x:v>P014</x:v>
      </x:c>
      <x:c r="I4917" t="str">
        <x:v>Rava 5kg</x:v>
      </x:c>
      <x:c r="J4917" t="str">
        <x:v>Flour</x:v>
      </x:c>
      <x:c r="K4917" t="str">
        <x:v>Local Select</x:v>
      </x:c>
      <x:c r="L4917" s="22" t="n">
        <x:v>245</x:v>
      </x:c>
      <x:c r="M4917" t="n">
        <x:v>39</x:v>
      </x:c>
      <x:c r="N4917" s="24" t="n">
        <x:v>0.02</x:v>
      </x:c>
      <x:c r="O4917" s="22" t="n">
        <x:f>L4917*M4917</x:f>
        <x:v>9555</x:v>
      </x:c>
      <x:c r="P4917" s="22" t="n">
        <x:f>O4917*(1-N4917)</x:f>
        <x:v>9363.9</x:v>
      </x:c>
      <x:c r="Q4917" s="22" t="n">
        <x:v>215</x:v>
      </x:c>
      <x:c r="R4917" s="22" t="n">
        <x:f>Q4917*M4917</x:f>
        <x:v>8385</x:v>
      </x:c>
      <x:c r="S4917" s="22" t="n">
        <x:f>P4917-R4917</x:f>
        <x:v>978.8999999999996</x:v>
      </x:c>
      <x:c r="T4917" t="str">
        <x:v>Cash</x:v>
      </x:c>
      <x:c r="U4917" t="str">
        <x:v>Paid</x:v>
      </x:c>
      <x:c r="V4917" t="str">
        <x:v>Delivered</x:v>
      </x:c>
      <x:c r="W4917" t="n">
        <x:v>0</x:v>
      </x:c>
      <x:c r="X4917" t="str"/>
      <x:c r="Y4917" t="str">
        <x:v>Referral</x:v>
      </x:c>
    </x:row>
    <x:row r="4918">
      <x:c r="A4918" t="str">
        <x:v>O004917</x:v>
      </x:c>
      <x:c r="B4918" s="20" t="n">
        <x:v>46077</x:v>
      </x:c>
      <x:c r="C4918" t="str">
        <x:v>C0189</x:v>
      </x:c>
      <x:c r="D4918" t="str">
        <x:v>Classic Canteen 189</x:v>
      </x:c>
      <x:c r="E4918" t="str">
        <x:v>Kirana</x:v>
      </x:c>
      <x:c r="F4918" t="str">
        <x:v>Hubballi</x:v>
      </x:c>
      <x:c r="G4918" t="str">
        <x:v>Vikram</x:v>
      </x:c>
      <x:c r="H4918" t="str">
        <x:v>P004</x:v>
      </x:c>
      <x:c r="I4918" t="str">
        <x:v>Toor Dal 5kg</x:v>
      </x:c>
      <x:c r="J4918" t="str">
        <x:v>Pulses</x:v>
      </x:c>
      <x:c r="K4918" t="str">
        <x:v>Tata Sampann</x:v>
      </x:c>
      <x:c r="L4918" s="22" t="n">
        <x:v>780</x:v>
      </x:c>
      <x:c r="M4918" t="n">
        <x:v>38</x:v>
      </x:c>
      <x:c r="N4918" s="24" t="n">
        <x:v>0.05</x:v>
      </x:c>
      <x:c r="O4918" s="22" t="n">
        <x:f>L4918*M4918</x:f>
        <x:v>29640</x:v>
      </x:c>
      <x:c r="P4918" s="22" t="n">
        <x:f>O4918*(1-N4918)</x:f>
        <x:v>28158</x:v>
      </x:c>
      <x:c r="Q4918" s="22" t="n">
        <x:v>695</x:v>
      </x:c>
      <x:c r="R4918" s="22" t="n">
        <x:f>Q4918*M4918</x:f>
        <x:v>26410</x:v>
      </x:c>
      <x:c r="S4918" s="22" t="n">
        <x:f>P4918-R4918</x:f>
        <x:v>1748</x:v>
      </x:c>
      <x:c r="T4918" t="str">
        <x:v>Bank Transfer</x:v>
      </x:c>
      <x:c r="U4918" t="str">
        <x:v>Pending</x:v>
      </x:c>
      <x:c r="V4918" t="str">
        <x:v>Delivered</x:v>
      </x:c>
      <x:c r="W4918" t="n">
        <x:v>0</x:v>
      </x:c>
      <x:c r="X4918" t="str"/>
      <x:c r="Y4918" t="str">
        <x:v>Outbound Call</x:v>
      </x:c>
    </x:row>
    <x:row r="4919">
      <x:c r="A4919" t="str">
        <x:v>O004918</x:v>
      </x:c>
      <x:c r="B4919" s="20" t="n">
        <x:v>45915</x:v>
      </x:c>
      <x:c r="C4919" t="str">
        <x:v>C0100</x:v>
      </x:c>
      <x:c r="D4919" t="str">
        <x:v>Fresh Mart 100</x:v>
      </x:c>
      <x:c r="E4919" t="str">
        <x:v>Restaurant</x:v>
      </x:c>
      <x:c r="F4919" t="str">
        <x:v>Mysuru</x:v>
      </x:c>
      <x:c r="G4919" t="str">
        <x:v>Imran</x:v>
      </x:c>
      <x:c r="H4919" t="str">
        <x:v>P037</x:v>
      </x:c>
      <x:c r="I4919" t="str">
        <x:v>Frozen Peas 1kg</x:v>
      </x:c>
      <x:c r="J4919" t="str">
        <x:v>Frozen</x:v>
      </x:c>
      <x:c r="K4919" t="str">
        <x:v>Safal</x:v>
      </x:c>
      <x:c r="L4919" s="22" t="n">
        <x:v>155</x:v>
      </x:c>
      <x:c r="M4919" t="n">
        <x:v>39</x:v>
      </x:c>
      <x:c r="N4919" s="24" t="n">
        <x:v>0</x:v>
      </x:c>
      <x:c r="O4919" s="22" t="n">
        <x:f>L4919*M4919</x:f>
        <x:v>6045</x:v>
      </x:c>
      <x:c r="P4919" s="22" t="n">
        <x:f>O4919*(1-N4919)</x:f>
        <x:v>6045</x:v>
      </x:c>
      <x:c r="Q4919" s="22" t="n">
        <x:v>138</x:v>
      </x:c>
      <x:c r="R4919" s="22" t="n">
        <x:f>Q4919*M4919</x:f>
        <x:v>5382</x:v>
      </x:c>
      <x:c r="S4919" s="22" t="n">
        <x:f>P4919-R4919</x:f>
        <x:v>663</x:v>
      </x:c>
      <x:c r="T4919" t="str">
        <x:v>UPI</x:v>
      </x:c>
      <x:c r="U4919" t="str">
        <x:v>Pending</x:v>
      </x:c>
      <x:c r="V4919" t="str">
        <x:v>Cancelled</x:v>
      </x:c>
      <x:c r="W4919" t="n">
        <x:v>39</x:v>
      </x:c>
      <x:c r="X4919" t="str">
        <x:v>Cancelled Order</x:v>
      </x:c>
      <x:c r="Y4919" t="str">
        <x:v>Referral</x:v>
      </x:c>
    </x:row>
    <x:row r="4920">
      <x:c r="A4920" t="str">
        <x:v>O004919</x:v>
      </x:c>
      <x:c r="B4920" s="20" t="n">
        <x:v>45669</x:v>
      </x:c>
      <x:c r="C4920" t="str">
        <x:v>C0032</x:v>
      </x:c>
      <x:c r="D4920" t="str">
        <x:v>Cafe Hotel 32</x:v>
      </x:c>
      <x:c r="E4920" t="str">
        <x:v>Canteen</x:v>
      </x:c>
      <x:c r="F4920" t="str">
        <x:v>Bengaluru</x:v>
      </x:c>
      <x:c r="G4920" t="str">
        <x:v>Sneha</x:v>
      </x:c>
      <x:c r="H4920" t="str">
        <x:v>P002</x:v>
      </x:c>
      <x:c r="I4920" t="str">
        <x:v>Sona Masoori Rice 25kg</x:v>
      </x:c>
      <x:c r="J4920" t="str">
        <x:v>Staples</x:v>
      </x:c>
      <x:c r="K4920" t="str">
        <x:v>Fortune</x:v>
      </x:c>
      <x:c r="L4920" s="22" t="n">
        <x:v>1320</x:v>
      </x:c>
      <x:c r="M4920" t="n">
        <x:v>12</x:v>
      </x:c>
      <x:c r="N4920" s="24" t="n">
        <x:v>0</x:v>
      </x:c>
      <x:c r="O4920" s="22" t="n">
        <x:f>L4920*M4920</x:f>
        <x:v>15840</x:v>
      </x:c>
      <x:c r="P4920" s="22" t="n">
        <x:f>O4920*(1-N4920)</x:f>
        <x:v>15840</x:v>
      </x:c>
      <x:c r="Q4920" s="22" t="n">
        <x:v>1160</x:v>
      </x:c>
      <x:c r="R4920" s="22" t="n">
        <x:f>Q4920*M4920</x:f>
        <x:v>13920</x:v>
      </x:c>
      <x:c r="S4920" s="22" t="n">
        <x:f>P4920-R4920</x:f>
        <x:v>1920</x:v>
      </x:c>
      <x:c r="T4920" t="str">
        <x:v>UPI</x:v>
      </x:c>
      <x:c r="U4920" t="str">
        <x:v>Paid</x:v>
      </x:c>
      <x:c r="V4920" t="str">
        <x:v>Delivered</x:v>
      </x:c>
      <x:c r="W4920" t="n">
        <x:v>0</x:v>
      </x:c>
      <x:c r="X4920" t="str"/>
      <x:c r="Y4920" t="str">
        <x:v>Field Visit</x:v>
      </x:c>
    </x:row>
    <x:row r="4921">
      <x:c r="A4921" t="str">
        <x:v>O004920</x:v>
      </x:c>
      <x:c r="B4921" s="20" t="n">
        <x:v>46050</x:v>
      </x:c>
      <x:c r="C4921" t="str">
        <x:v>C0151</x:v>
      </x:c>
      <x:c r="D4921" t="str">
        <x:v>Foodie Stores 151</x:v>
      </x:c>
      <x:c r="E4921" t="str">
        <x:v>Supermarket</x:v>
      </x:c>
      <x:c r="F4921" t="str">
        <x:v>Mysuru</x:v>
      </x:c>
      <x:c r="G4921" t="str">
        <x:v>Arjun</x:v>
      </x:c>
      <x:c r="H4921" t="str">
        <x:v>P046</x:v>
      </x:c>
      <x:c r="I4921" t="str">
        <x:v>Potato 25kg</x:v>
      </x:c>
      <x:c r="J4921" t="str">
        <x:v>Fresh Produce</x:v>
      </x:c>
      <x:c r="K4921" t="str">
        <x:v>Local Market</x:v>
      </x:c>
      <x:c r="L4921" s="22" t="n">
        <x:v>700</x:v>
      </x:c>
      <x:c r="M4921" t="n">
        <x:v>38</x:v>
      </x:c>
      <x:c r="N4921" s="24" t="n">
        <x:v>0</x:v>
      </x:c>
      <x:c r="O4921" s="22" t="n">
        <x:f>L4921*M4921</x:f>
        <x:v>26600</x:v>
      </x:c>
      <x:c r="P4921" s="22" t="n">
        <x:f>O4921*(1-N4921)</x:f>
        <x:v>26600</x:v>
      </x:c>
      <x:c r="Q4921" s="22" t="n">
        <x:v>610</x:v>
      </x:c>
      <x:c r="R4921" s="22" t="n">
        <x:f>Q4921*M4921</x:f>
        <x:v>23180</x:v>
      </x:c>
      <x:c r="S4921" s="22" t="n">
        <x:f>P4921-R4921</x:f>
        <x:v>3420</x:v>
      </x:c>
      <x:c r="T4921" t="str">
        <x:v>Credit</x:v>
      </x:c>
      <x:c r="U4921" t="str">
        <x:v>Paid</x:v>
      </x:c>
      <x:c r="V4921" t="str">
        <x:v>Delivered</x:v>
      </x:c>
      <x:c r="W4921" t="n">
        <x:v>0</x:v>
      </x:c>
      <x:c r="X4921" t="str"/>
      <x:c r="Y4921" t="str">
        <x:v>Referral</x:v>
      </x:c>
    </x:row>
    <x:row r="4922">
      <x:c r="A4922" t="str">
        <x:v>O004921</x:v>
      </x:c>
      <x:c r="B4922" s="20" t="n">
        <x:v>46091</x:v>
      </x:c>
      <x:c r="C4922" t="str">
        <x:v>C0238</x:v>
      </x:c>
      <x:c r="D4922" t="str">
        <x:v>Foodie Foods 238</x:v>
      </x:c>
      <x:c r="E4922" t="str">
        <x:v>Restaurant</x:v>
      </x:c>
      <x:c r="F4922" t="str">
        <x:v>Davanagere</x:v>
      </x:c>
      <x:c r="G4922" t="str">
        <x:v>Megha</x:v>
      </x:c>
      <x:c r="H4922" t="str">
        <x:v>P041</x:v>
      </x:c>
      <x:c r="I4922" t="str">
        <x:v>Burger Bun 6pc</x:v>
      </x:c>
      <x:c r="J4922" t="str">
        <x:v>Bakery</x:v>
      </x:c>
      <x:c r="K4922" t="str">
        <x:v>Modern</x:v>
      </x:c>
      <x:c r="L4922" s="22" t="n">
        <x:v>42</x:v>
      </x:c>
      <x:c r="M4922" t="n">
        <x:v>13</x:v>
      </x:c>
      <x:c r="N4922" s="24" t="n">
        <x:v>0</x:v>
      </x:c>
      <x:c r="O4922" s="22" t="n">
        <x:f>L4922*M4922</x:f>
        <x:v>546</x:v>
      </x:c>
      <x:c r="P4922" s="22" t="n">
        <x:f>O4922*(1-N4922)</x:f>
        <x:v>546</x:v>
      </x:c>
      <x:c r="Q4922" s="22" t="n">
        <x:v>32</x:v>
      </x:c>
      <x:c r="R4922" s="22" t="n">
        <x:f>Q4922*M4922</x:f>
        <x:v>416</x:v>
      </x:c>
      <x:c r="S4922" s="22" t="n">
        <x:f>P4922-R4922</x:f>
        <x:v>130</x:v>
      </x:c>
      <x:c r="T4922" t="str">
        <x:v>Cash</x:v>
      </x:c>
      <x:c r="U4922" t="str">
        <x:v>Paid</x:v>
      </x:c>
      <x:c r="V4922" t="str">
        <x:v>Delayed</x:v>
      </x:c>
      <x:c r="W4922" t="n">
        <x:v>0</x:v>
      </x:c>
      <x:c r="X4922" t="str"/>
      <x:c r="Y4922" t="str">
        <x:v>Field Visit</x:v>
      </x:c>
    </x:row>
    <x:row r="4923">
      <x:c r="A4923" t="str">
        <x:v>O004922</x:v>
      </x:c>
      <x:c r="B4923" s="20" t="n">
        <x:v>46211</x:v>
      </x:c>
      <x:c r="C4923" t="str">
        <x:v>C0022</x:v>
      </x:c>
      <x:c r="D4923" t="str">
        <x:v>Royal Hotel 22</x:v>
      </x:c>
      <x:c r="E4923" t="str">
        <x:v>Kirana</x:v>
      </x:c>
      <x:c r="F4923" t="str">
        <x:v>Bengaluru</x:v>
      </x:c>
      <x:c r="G4923" t="str">
        <x:v>Ramesh</x:v>
      </x:c>
      <x:c r="H4923" t="str">
        <x:v>P016</x:v>
      </x:c>
      <x:c r="I4923" t="str">
        <x:v>Curd 1kg</x:v>
      </x:c>
      <x:c r="J4923" t="str">
        <x:v>Dairy</x:v>
      </x:c>
      <x:c r="K4923" t="str">
        <x:v>Nandini</x:v>
      </x:c>
      <x:c r="L4923" s="22" t="n">
        <x:v>72</x:v>
      </x:c>
      <x:c r="M4923" t="n">
        <x:v>31</x:v>
      </x:c>
      <x:c r="N4923" s="24" t="n">
        <x:v>0.08</x:v>
      </x:c>
      <x:c r="O4923" s="22" t="n">
        <x:f>L4923*M4923</x:f>
        <x:v>2232</x:v>
      </x:c>
      <x:c r="P4923" s="22" t="n">
        <x:f>O4923*(1-N4923)</x:f>
        <x:v>2053.44</x:v>
      </x:c>
      <x:c r="Q4923" s="22" t="n">
        <x:v>64</x:v>
      </x:c>
      <x:c r="R4923" s="22" t="n">
        <x:f>Q4923*M4923</x:f>
        <x:v>1984</x:v>
      </x:c>
      <x:c r="S4923" s="22" t="n">
        <x:f>P4923-R4923</x:f>
        <x:v>69.44000000000005</x:v>
      </x:c>
      <x:c r="T4923" t="str">
        <x:v>Credit</x:v>
      </x:c>
      <x:c r="U4923" t="str">
        <x:v>Pending</x:v>
      </x:c>
      <x:c r="V4923" t="str">
        <x:v>Delivered</x:v>
      </x:c>
      <x:c r="W4923" t="n">
        <x:v>0</x:v>
      </x:c>
      <x:c r="X4923" t="str"/>
      <x:c r="Y4923" t="str">
        <x:v>Outbound Call</x:v>
      </x:c>
    </x:row>
    <x:row r="4924">
      <x:c r="A4924" t="str">
        <x:v>O004923</x:v>
      </x:c>
      <x:c r="B4924" s="20" t="n">
        <x:v>45747</x:v>
      </x:c>
      <x:c r="C4924" t="str">
        <x:v>C0170</x:v>
      </x:c>
      <x:c r="D4924" t="str">
        <x:v>Green Cafe 170</x:v>
      </x:c>
      <x:c r="E4924" t="str">
        <x:v>Supermarket</x:v>
      </x:c>
      <x:c r="F4924" t="str">
        <x:v>Bengaluru</x:v>
      </x:c>
      <x:c r="G4924" t="str">
        <x:v>Sneha</x:v>
      </x:c>
      <x:c r="H4924" t="str">
        <x:v>P045</x:v>
      </x:c>
      <x:c r="I4924" t="str">
        <x:v>Onion 25kg</x:v>
      </x:c>
      <x:c r="J4924" t="str">
        <x:v>Fresh Produce</x:v>
      </x:c>
      <x:c r="K4924" t="str">
        <x:v>Local Market</x:v>
      </x:c>
      <x:c r="L4924" s="22" t="n">
        <x:v>875</x:v>
      </x:c>
      <x:c r="M4924" t="n">
        <x:v>8</x:v>
      </x:c>
      <x:c r="N4924" s="24" t="n">
        <x:v>0.05</x:v>
      </x:c>
      <x:c r="O4924" s="22" t="n">
        <x:f>L4924*M4924</x:f>
        <x:v>7000</x:v>
      </x:c>
      <x:c r="P4924" s="22" t="n">
        <x:f>O4924*(1-N4924)</x:f>
        <x:v>6650</x:v>
      </x:c>
      <x:c r="Q4924" s="22" t="n">
        <x:v>760</x:v>
      </x:c>
      <x:c r="R4924" s="22" t="n">
        <x:f>Q4924*M4924</x:f>
        <x:v>6080</x:v>
      </x:c>
      <x:c r="S4924" s="22" t="n">
        <x:f>P4924-R4924</x:f>
        <x:v>570</x:v>
      </x:c>
      <x:c r="T4924" t="str">
        <x:v>Bank Transfer</x:v>
      </x:c>
      <x:c r="U4924" t="str">
        <x:v>Pending</x:v>
      </x:c>
      <x:c r="V4924" t="str">
        <x:v>Delayed</x:v>
      </x:c>
      <x:c r="W4924" t="n">
        <x:v>0</x:v>
      </x:c>
      <x:c r="X4924" t="str"/>
      <x:c r="Y4924" t="str">
        <x:v>Field Visit</x:v>
      </x:c>
    </x:row>
    <x:row r="4925">
      <x:c r="A4925" t="str">
        <x:v>O004924</x:v>
      </x:c>
      <x:c r="B4925" s="20" t="n">
        <x:v>45871</x:v>
      </x:c>
      <x:c r="C4925" t="str">
        <x:v>C0240</x:v>
      </x:c>
      <x:c r="D4925" t="str">
        <x:v>Green Foods 240</x:v>
      </x:c>
      <x:c r="E4925" t="str">
        <x:v>Restaurant</x:v>
      </x:c>
      <x:c r="F4925" t="str">
        <x:v>Davanagere</x:v>
      </x:c>
      <x:c r="G4925" t="str">
        <x:v>Vikram</x:v>
      </x:c>
      <x:c r="H4925" t="str">
        <x:v>P011</x:v>
      </x:c>
      <x:c r="I4925" t="str">
        <x:v>Salt 1kg</x:v>
      </x:c>
      <x:c r="J4925" t="str">
        <x:v>Staples</x:v>
      </x:c>
      <x:c r="K4925" t="str">
        <x:v>Tata</x:v>
      </x:c>
      <x:c r="L4925" s="22" t="n">
        <x:v>28</x:v>
      </x:c>
      <x:c r="M4925" t="n">
        <x:v>13</x:v>
      </x:c>
      <x:c r="N4925" s="24" t="n">
        <x:v>0</x:v>
      </x:c>
      <x:c r="O4925" s="22" t="n">
        <x:f>L4925*M4925</x:f>
        <x:v>364</x:v>
      </x:c>
      <x:c r="P4925" s="22" t="n">
        <x:f>O4925*(1-N4925)</x:f>
        <x:v>364</x:v>
      </x:c>
      <x:c r="Q4925" s="22" t="n">
        <x:v>23</x:v>
      </x:c>
      <x:c r="R4925" s="22" t="n">
        <x:f>Q4925*M4925</x:f>
        <x:v>299</x:v>
      </x:c>
      <x:c r="S4925" s="22" t="n">
        <x:f>P4925-R4925</x:f>
        <x:v>65</x:v>
      </x:c>
      <x:c r="T4925" t="str">
        <x:v>Bank Transfer</x:v>
      </x:c>
      <x:c r="U4925" t="str">
        <x:v>Paid</x:v>
      </x:c>
      <x:c r="V4925" t="str">
        <x:v>Delivered</x:v>
      </x:c>
      <x:c r="W4925" t="n">
        <x:v>0</x:v>
      </x:c>
      <x:c r="X4925" t="str"/>
      <x:c r="Y4925" t="str"/>
    </x:row>
    <x:row r="4926">
      <x:c r="A4926" t="str">
        <x:v>O004925</x:v>
      </x:c>
      <x:c r="B4926" s="20" t="n">
        <x:v>45758</x:v>
      </x:c>
      <x:c r="C4926" t="str">
        <x:v>C0120</x:v>
      </x:c>
      <x:c r="D4926" t="str">
        <x:v>Foodie Foods 120</x:v>
      </x:c>
      <x:c r="E4926" t="str">
        <x:v>Hotel</x:v>
      </x:c>
      <x:c r="F4926" t="str">
        <x:v>Hubballi</x:v>
      </x:c>
      <x:c r="G4926" t="str">
        <x:v>Arjun</x:v>
      </x:c>
      <x:c r="H4926" t="str">
        <x:v>P049</x:v>
      </x:c>
      <x:c r="I4926" t="str">
        <x:v>Apple 10kg</x:v>
      </x:c>
      <x:c r="J4926" t="str">
        <x:v>Fresh Produce</x:v>
      </x:c>
      <x:c r="K4926" t="str">
        <x:v>Local Market</x:v>
      </x:c>
      <x:c r="L4926" s="22" t="n">
        <x:v>1450</x:v>
      </x:c>
      <x:c r="M4926" t="n">
        <x:v>8</x:v>
      </x:c>
      <x:c r="N4926" s="24" t="n">
        <x:v>0.03</x:v>
      </x:c>
      <x:c r="O4926" s="22" t="n">
        <x:f>L4926*M4926</x:f>
        <x:v>11600</x:v>
      </x:c>
      <x:c r="P4926" s="22" t="n">
        <x:f>O4926*(1-N4926)</x:f>
        <x:v>11252</x:v>
      </x:c>
      <x:c r="Q4926" s="22" t="n">
        <x:v>1280</x:v>
      </x:c>
      <x:c r="R4926" s="22" t="n">
        <x:f>Q4926*M4926</x:f>
        <x:v>10240</x:v>
      </x:c>
      <x:c r="S4926" s="22" t="n">
        <x:f>P4926-R4926</x:f>
        <x:v>1012</x:v>
      </x:c>
      <x:c r="T4926" t="str">
        <x:v>Credit</x:v>
      </x:c>
      <x:c r="U4926" t="str">
        <x:v>Paid</x:v>
      </x:c>
      <x:c r="V4926" t="str">
        <x:v>Cancelled</x:v>
      </x:c>
      <x:c r="W4926" t="n">
        <x:v>8</x:v>
      </x:c>
      <x:c r="X4926" t="str">
        <x:v>Cancelled Order</x:v>
      </x:c>
      <x:c r="Y4926" t="str">
        <x:v>Existing Customer</x:v>
      </x:c>
    </x:row>
    <x:row r="4927">
      <x:c r="A4927" t="str">
        <x:v>O004926</x:v>
      </x:c>
      <x:c r="B4927" s="20" t="n">
        <x:v>45699</x:v>
      </x:c>
      <x:c r="C4927" t="str">
        <x:v>C0209</x:v>
      </x:c>
      <x:c r="D4927" t="str">
        <x:v>Shree Hotel 209</x:v>
      </x:c>
      <x:c r="E4927" t="str">
        <x:v>Restaurant</x:v>
      </x:c>
      <x:c r="F4927" t="str">
        <x:v>Tumakuru</x:v>
      </x:c>
      <x:c r="G4927" t="str">
        <x:v>Ramesh</x:v>
      </x:c>
      <x:c r="H4927" t="str">
        <x:v>P040</x:v>
      </x:c>
      <x:c r="I4927" t="str">
        <x:v>Bread Loaf 400g</x:v>
      </x:c>
      <x:c r="J4927" t="str">
        <x:v>Bakery</x:v>
      </x:c>
      <x:c r="K4927" t="str">
        <x:v>Britannia</x:v>
      </x:c>
      <x:c r="L4927" s="22" t="n">
        <x:v>45</x:v>
      </x:c>
      <x:c r="M4927" t="n">
        <x:v>33</x:v>
      </x:c>
      <x:c r="N4927" s="24" t="n">
        <x:v>0.05</x:v>
      </x:c>
      <x:c r="O4927" s="22" t="n">
        <x:f>L4927*M4927</x:f>
        <x:v>1485</x:v>
      </x:c>
      <x:c r="P4927" s="22" t="n">
        <x:f>O4927*(1-N4927)</x:f>
        <x:v>1410.75</x:v>
      </x:c>
      <x:c r="Q4927" s="22" t="n">
        <x:v>35</x:v>
      </x:c>
      <x:c r="R4927" s="22" t="n">
        <x:f>Q4927*M4927</x:f>
        <x:v>1155</x:v>
      </x:c>
      <x:c r="S4927" s="22" t="n">
        <x:f>P4927-R4927</x:f>
        <x:v>255.75</x:v>
      </x:c>
      <x:c r="T4927" t="str">
        <x:v>Bank Transfer</x:v>
      </x:c>
      <x:c r="U4927" t="str">
        <x:v>Paid</x:v>
      </x:c>
      <x:c r="V4927" t="str">
        <x:v>Delivered</x:v>
      </x:c>
      <x:c r="W4927" t="n">
        <x:v>0</x:v>
      </x:c>
      <x:c r="X4927" t="str"/>
      <x:c r="Y4927" t="str">
        <x:v>Outbound Call</x:v>
      </x:c>
    </x:row>
    <x:row r="4928">
      <x:c r="A4928" t="str">
        <x:v>O004927</x:v>
      </x:c>
      <x:c r="B4928" s="20" t="n">
        <x:v>45843</x:v>
      </x:c>
      <x:c r="C4928" t="str">
        <x:v>C0241</x:v>
      </x:c>
      <x:c r="D4928" t="str">
        <x:v>Annapurna Restaurant 241</x:v>
      </x:c>
      <x:c r="E4928" t="str">
        <x:v>Hotel</x:v>
      </x:c>
      <x:c r="F4928" t="str">
        <x:v>Tumakuru</x:v>
      </x:c>
      <x:c r="G4928" t="str">
        <x:v>Imran</x:v>
      </x:c>
      <x:c r="H4928" t="str">
        <x:v>P010</x:v>
      </x:c>
      <x:c r="I4928" t="str">
        <x:v>Sugar 25kg</x:v>
      </x:c>
      <x:c r="J4928" t="str">
        <x:v>Staples</x:v>
      </x:c>
      <x:c r="K4928" t="str">
        <x:v>Madhur</x:v>
      </x:c>
      <x:c r="L4928" s="22" t="n">
        <x:v>1190</x:v>
      </x:c>
      <x:c r="M4928" t="n">
        <x:v>5</x:v>
      </x:c>
      <x:c r="N4928" s="24" t="n">
        <x:v>0.02</x:v>
      </x:c>
      <x:c r="O4928" s="22" t="n">
        <x:f>L4928*M4928</x:f>
        <x:v>5950</x:v>
      </x:c>
      <x:c r="P4928" s="22" t="n">
        <x:f>O4928*(1-N4928)</x:f>
        <x:v>5831</x:v>
      </x:c>
      <x:c r="Q4928" s="22" t="n">
        <x:v>1080</x:v>
      </x:c>
      <x:c r="R4928" s="22" t="n">
        <x:f>Q4928*M4928</x:f>
        <x:v>5400</x:v>
      </x:c>
      <x:c r="S4928" s="22" t="n">
        <x:f>P4928-R4928</x:f>
        <x:v>431</x:v>
      </x:c>
      <x:c r="T4928" t="str">
        <x:v>Cash</x:v>
      </x:c>
      <x:c r="U4928" t="str">
        <x:v>Paid</x:v>
      </x:c>
      <x:c r="V4928" t="str">
        <x:v>Cancelled</x:v>
      </x:c>
      <x:c r="W4928" t="n">
        <x:v>5</x:v>
      </x:c>
      <x:c r="X4928" t="str">
        <x:v>Cancelled Order</x:v>
      </x:c>
      <x:c r="Y4928" t="str">
        <x:v>Referral</x:v>
      </x:c>
    </x:row>
    <x:row r="4929">
      <x:c r="A4929" t="str">
        <x:v>O004928</x:v>
      </x:c>
      <x:c r="B4929" s="20" t="n">
        <x:v>46160</x:v>
      </x:c>
      <x:c r="C4929" t="str">
        <x:v>C0029</x:v>
      </x:c>
      <x:c r="D4929" t="str">
        <x:v>Metro Foods 29</x:v>
      </x:c>
      <x:c r="E4929" t="str">
        <x:v>Cafe</x:v>
      </x:c>
      <x:c r="F4929" t="str">
        <x:v>Hubballi</x:v>
      </x:c>
      <x:c r="G4929" t="str">
        <x:v>Priya</x:v>
      </x:c>
      <x:c r="H4929" t="str">
        <x:v>P039</x:v>
      </x:c>
      <x:c r="I4929" t="str">
        <x:v>Ice Cream 4L</x:v>
      </x:c>
      <x:c r="J4929" t="str">
        <x:v>Frozen</x:v>
      </x:c>
      <x:c r="K4929" t="str">
        <x:v>Amul</x:v>
      </x:c>
      <x:c r="L4929" s="22" t="n">
        <x:v>480</x:v>
      </x:c>
      <x:c r="M4929" t="n">
        <x:v>33</x:v>
      </x:c>
      <x:c r="N4929" s="24" t="n">
        <x:v>0.05</x:v>
      </x:c>
      <x:c r="O4929" s="22" t="n">
        <x:f>L4929*M4929</x:f>
        <x:v>15840</x:v>
      </x:c>
      <x:c r="P4929" s="22" t="n">
        <x:f>O4929*(1-N4929)</x:f>
        <x:v>15048</x:v>
      </x:c>
      <x:c r="Q4929" s="22" t="n">
        <x:v>420</x:v>
      </x:c>
      <x:c r="R4929" s="22" t="n">
        <x:f>Q4929*M4929</x:f>
        <x:v>13860</x:v>
      </x:c>
      <x:c r="S4929" s="22" t="n">
        <x:f>P4929-R4929</x:f>
        <x:v>1188</x:v>
      </x:c>
      <x:c r="T4929" t="str">
        <x:v>UPI</x:v>
      </x:c>
      <x:c r="U4929" t="str">
        <x:v>Paid</x:v>
      </x:c>
      <x:c r="V4929" t="str">
        <x:v>Delivered</x:v>
      </x:c>
      <x:c r="W4929" t="n">
        <x:v>0</x:v>
      </x:c>
      <x:c r="X4929" t="str"/>
      <x:c r="Y4929" t="str">
        <x:v>WhatsApp</x:v>
      </x:c>
    </x:row>
    <x:row r="4930">
      <x:c r="A4930" t="str">
        <x:v>O004929</x:v>
      </x:c>
      <x:c r="B4930" s="20" t="n">
        <x:v>45955</x:v>
      </x:c>
      <x:c r="C4930" t="str">
        <x:v>C0195</x:v>
      </x:c>
      <x:c r="D4930" t="str">
        <x:v>Classic Stores 195</x:v>
      </x:c>
      <x:c r="E4930" t="str">
        <x:v>Canteen</x:v>
      </x:c>
      <x:c r="F4930" t="str">
        <x:v>Davanagere</x:v>
      </x:c>
      <x:c r="G4930" t="str">
        <x:v>Kavya</x:v>
      </x:c>
      <x:c r="H4930" t="str">
        <x:v>P003</x:v>
      </x:c>
      <x:c r="I4930" t="str">
        <x:v>Basmati Rice 5kg</x:v>
      </x:c>
      <x:c r="J4930" t="str">
        <x:v>Staples</x:v>
      </x:c>
      <x:c r="K4930" t="str">
        <x:v>India Gate</x:v>
      </x:c>
      <x:c r="L4930" s="22" t="n">
        <x:v>690</x:v>
      </x:c>
      <x:c r="M4930" t="n">
        <x:v>10</x:v>
      </x:c>
      <x:c r="N4930" s="24" t="n">
        <x:v>0.05</x:v>
      </x:c>
      <x:c r="O4930" s="22" t="n">
        <x:f>L4930*M4930</x:f>
        <x:v>6900</x:v>
      </x:c>
      <x:c r="P4930" s="22" t="n">
        <x:f>O4930*(1-N4930)</x:f>
        <x:v>6555</x:v>
      </x:c>
      <x:c r="Q4930" s="22" t="n">
        <x:v>610</x:v>
      </x:c>
      <x:c r="R4930" s="22" t="n">
        <x:f>Q4930*M4930</x:f>
        <x:v>6100</x:v>
      </x:c>
      <x:c r="S4930" s="22" t="n">
        <x:f>P4930-R4930</x:f>
        <x:v>455</x:v>
      </x:c>
      <x:c r="T4930" t="str">
        <x:v>Cash</x:v>
      </x:c>
      <x:c r="U4930" t="str">
        <x:v>Overdue</x:v>
      </x:c>
      <x:c r="V4930" t="str">
        <x:v>Delayed</x:v>
      </x:c>
      <x:c r="W4930" t="n">
        <x:v>0</x:v>
      </x:c>
      <x:c r="X4930" t="str"/>
      <x:c r="Y4930" t="str"/>
    </x:row>
    <x:row r="4931">
      <x:c r="A4931" t="str">
        <x:v>O004930</x:v>
      </x:c>
      <x:c r="B4931" s="20" t="n">
        <x:v>45848</x:v>
      </x:c>
      <x:c r="C4931" t="str">
        <x:v>C0201</x:v>
      </x:c>
      <x:c r="D4931" t="str">
        <x:v>Metro Hotel 201</x:v>
      </x:c>
      <x:c r="E4931" t="str">
        <x:v>Kirana</x:v>
      </x:c>
      <x:c r="F4931" t="str">
        <x:v>Mysuru</x:v>
      </x:c>
      <x:c r="G4931" t="str">
        <x:v>Imran</x:v>
      </x:c>
      <x:c r="H4931" t="str">
        <x:v>P041</x:v>
      </x:c>
      <x:c r="I4931" t="str">
        <x:v>Burger Bun 6pc</x:v>
      </x:c>
      <x:c r="J4931" t="str">
        <x:v>Bakery</x:v>
      </x:c>
      <x:c r="K4931" t="str">
        <x:v>Modern</x:v>
      </x:c>
      <x:c r="L4931" s="22" t="n">
        <x:v>42</x:v>
      </x:c>
      <x:c r="M4931" t="n">
        <x:v>33</x:v>
      </x:c>
      <x:c r="N4931" s="24" t="n">
        <x:v>0.02</x:v>
      </x:c>
      <x:c r="O4931" s="22" t="n">
        <x:f>L4931*M4931</x:f>
        <x:v>1386</x:v>
      </x:c>
      <x:c r="P4931" s="22" t="n">
        <x:f>O4931*(1-N4931)</x:f>
        <x:v>1358.28</x:v>
      </x:c>
      <x:c r="Q4931" s="22" t="n">
        <x:v>32</x:v>
      </x:c>
      <x:c r="R4931" s="22" t="n">
        <x:f>Q4931*M4931</x:f>
        <x:v>1056</x:v>
      </x:c>
      <x:c r="S4931" s="22" t="n">
        <x:f>P4931-R4931</x:f>
        <x:v>302.28</x:v>
      </x:c>
      <x:c r="T4931" t="str">
        <x:v>Bank Transfer</x:v>
      </x:c>
      <x:c r="U4931" t="str">
        <x:v>Paid</x:v>
      </x:c>
      <x:c r="V4931" t="str">
        <x:v>Delivered</x:v>
      </x:c>
      <x:c r="W4931" t="n">
        <x:v>0</x:v>
      </x:c>
      <x:c r="X4931" t="str"/>
      <x:c r="Y4931" t="str">
        <x:v>Outbound Call</x:v>
      </x:c>
    </x:row>
    <x:row r="4932">
      <x:c r="A4932" t="str">
        <x:v>O004931</x:v>
      </x:c>
      <x:c r="B4932" s="20" t="n">
        <x:v>45886</x:v>
      </x:c>
      <x:c r="C4932" t="str">
        <x:v>C0200</x:v>
      </x:c>
      <x:c r="D4932" t="str">
        <x:v>Sagar Kitchen 200</x:v>
      </x:c>
      <x:c r="E4932" t="str">
        <x:v>Cafe</x:v>
      </x:c>
      <x:c r="F4932" t="str">
        <x:v>Bengaluru</x:v>
      </x:c>
      <x:c r="G4932" t="str">
        <x:v>Arjun</x:v>
      </x:c>
      <x:c r="H4932" t="str">
        <x:v>P042</x:v>
      </x:c>
      <x:c r="I4932" t="str">
        <x:v>Eggs 30pc Tray</x:v>
      </x:c>
      <x:c r="J4932" t="str">
        <x:v>Protein</x:v>
      </x:c>
      <x:c r="K4932" t="str">
        <x:v>Farm Fresh</x:v>
      </x:c>
      <x:c r="L4932" s="22" t="n">
        <x:v>195</x:v>
      </x:c>
      <x:c r="M4932" t="n">
        <x:v>7</x:v>
      </x:c>
      <x:c r="N4932" s="24" t="n">
        <x:v>0</x:v>
      </x:c>
      <x:c r="O4932" s="22" t="n">
        <x:f>L4932*M4932</x:f>
        <x:v>1365</x:v>
      </x:c>
      <x:c r="P4932" s="22" t="n">
        <x:f>O4932*(1-N4932)</x:f>
        <x:v>1365</x:v>
      </x:c>
      <x:c r="Q4932" s="22" t="n">
        <x:v>170</x:v>
      </x:c>
      <x:c r="R4932" s="22" t="n">
        <x:f>Q4932*M4932</x:f>
        <x:v>1190</x:v>
      </x:c>
      <x:c r="S4932" s="22" t="n">
        <x:f>P4932-R4932</x:f>
        <x:v>175</x:v>
      </x:c>
      <x:c r="T4932" t="str">
        <x:v>Credit</x:v>
      </x:c>
      <x:c r="U4932" t="str">
        <x:v>Paid</x:v>
      </x:c>
      <x:c r="V4932" t="str">
        <x:v>Delivered</x:v>
      </x:c>
      <x:c r="W4932" t="n">
        <x:v>0</x:v>
      </x:c>
      <x:c r="X4932" t="str"/>
      <x:c r="Y4932" t="str">
        <x:v>Referral</x:v>
      </x:c>
    </x:row>
    <x:row r="4933">
      <x:c r="A4933" t="str">
        <x:v>O004932</x:v>
      </x:c>
      <x:c r="B4933" s="20" t="n">
        <x:v>46007</x:v>
      </x:c>
      <x:c r="C4933" t="str">
        <x:v>C0233</x:v>
      </x:c>
      <x:c r="D4933" t="str">
        <x:v>Shree Mart 233</x:v>
      </x:c>
      <x:c r="E4933" t="str">
        <x:v>Kirana</x:v>
      </x:c>
      <x:c r="F4933" t="str">
        <x:v>Mangaluru</x:v>
      </x:c>
      <x:c r="G4933" t="str">
        <x:v>Priya</x:v>
      </x:c>
      <x:c r="H4933" t="str">
        <x:v>P004</x:v>
      </x:c>
      <x:c r="I4933" t="str">
        <x:v>Toor Dal 5kg</x:v>
      </x:c>
      <x:c r="J4933" t="str">
        <x:v>Pulses</x:v>
      </x:c>
      <x:c r="K4933" t="str">
        <x:v>Tata Sampann</x:v>
      </x:c>
      <x:c r="L4933" s="22" t="n">
        <x:v>780</x:v>
      </x:c>
      <x:c r="M4933" t="n">
        <x:v>31</x:v>
      </x:c>
      <x:c r="N4933" s="24" t="n">
        <x:v>0.03</x:v>
      </x:c>
      <x:c r="O4933" s="22" t="n">
        <x:f>L4933*M4933</x:f>
        <x:v>24180</x:v>
      </x:c>
      <x:c r="P4933" s="22" t="n">
        <x:f>O4933*(1-N4933)</x:f>
        <x:v>23454.6</x:v>
      </x:c>
      <x:c r="Q4933" s="22" t="n">
        <x:v>695</x:v>
      </x:c>
      <x:c r="R4933" s="22" t="n">
        <x:f>Q4933*M4933</x:f>
        <x:v>21545</x:v>
      </x:c>
      <x:c r="S4933" s="22" t="n">
        <x:f>P4933-R4933</x:f>
        <x:v>1909.5999999999985</x:v>
      </x:c>
      <x:c r="T4933" t="str">
        <x:v>Cash</x:v>
      </x:c>
      <x:c r="U4933" t="str">
        <x:v>Paid</x:v>
      </x:c>
      <x:c r="V4933" t="str">
        <x:v>Cancelled</x:v>
      </x:c>
      <x:c r="W4933" t="n">
        <x:v>31</x:v>
      </x:c>
      <x:c r="X4933" t="str">
        <x:v>Cancelled Order</x:v>
      </x:c>
      <x:c r="Y4933" t="str">
        <x:v>Outbound Call</x:v>
      </x:c>
    </x:row>
    <x:row r="4934">
      <x:c r="A4934" t="str">
        <x:v>O004933</x:v>
      </x:c>
      <x:c r="B4934" s="20" t="n">
        <x:v>46013</x:v>
      </x:c>
      <x:c r="C4934" t="str">
        <x:v>C0058</x:v>
      </x:c>
      <x:c r="D4934" t="str">
        <x:v>Spice Kitchen 58</x:v>
      </x:c>
      <x:c r="E4934" t="str">
        <x:v>Supermarket</x:v>
      </x:c>
      <x:c r="F4934" t="str">
        <x:v>Davanagere</x:v>
      </x:c>
      <x:c r="G4934" t="str">
        <x:v>Sneha</x:v>
      </x:c>
      <x:c r="H4934" t="str">
        <x:v>P016</x:v>
      </x:c>
      <x:c r="I4934" t="str">
        <x:v>Curd 1kg</x:v>
      </x:c>
      <x:c r="J4934" t="str">
        <x:v>Dairy</x:v>
      </x:c>
      <x:c r="K4934" t="str">
        <x:v>Nandini</x:v>
      </x:c>
      <x:c r="L4934" s="22" t="n">
        <x:v>72</x:v>
      </x:c>
      <x:c r="M4934" t="n">
        <x:v>34</x:v>
      </x:c>
      <x:c r="N4934" s="24" t="n">
        <x:v>0</x:v>
      </x:c>
      <x:c r="O4934" s="22" t="n">
        <x:f>L4934*M4934</x:f>
        <x:v>2448</x:v>
      </x:c>
      <x:c r="P4934" s="22" t="n">
        <x:f>O4934*(1-N4934)</x:f>
        <x:v>2448</x:v>
      </x:c>
      <x:c r="Q4934" s="22" t="n">
        <x:v>64</x:v>
      </x:c>
      <x:c r="R4934" s="22" t="n">
        <x:f>Q4934*M4934</x:f>
        <x:v>2176</x:v>
      </x:c>
      <x:c r="S4934" s="22" t="n">
        <x:f>P4934-R4934</x:f>
        <x:v>272</x:v>
      </x:c>
      <x:c r="T4934" t="str">
        <x:v>Credit</x:v>
      </x:c>
      <x:c r="U4934" t="str">
        <x:v>Paid</x:v>
      </x:c>
      <x:c r="V4934" t="str">
        <x:v>Delivered</x:v>
      </x:c>
      <x:c r="W4934" t="n">
        <x:v>3</x:v>
      </x:c>
      <x:c r="X4934" t="str">
        <x:v>Wrong Item</x:v>
      </x:c>
      <x:c r="Y4934" t="str">
        <x:v>Existing Customer</x:v>
      </x:c>
    </x:row>
    <x:row r="4935">
      <x:c r="A4935" t="str">
        <x:v>O004934</x:v>
      </x:c>
      <x:c r="B4935" s="20" t="n">
        <x:v>46086</x:v>
      </x:c>
      <x:c r="C4935" t="str">
        <x:v>C0177</x:v>
      </x:c>
      <x:c r="D4935" t="str">
        <x:v>Classic Cafe 177</x:v>
      </x:c>
      <x:c r="E4935" t="str">
        <x:v>Supermarket</x:v>
      </x:c>
      <x:c r="F4935" t="str">
        <x:v>Bengaluru</x:v>
      </x:c>
      <x:c r="G4935" t="str">
        <x:v>Arjun</x:v>
      </x:c>
      <x:c r="H4935" t="str">
        <x:v>P032</x:v>
      </x:c>
      <x:c r="I4935" t="str">
        <x:v>Soy Sauce 700g</x:v>
      </x:c>
      <x:c r="J4935" t="str">
        <x:v>Condiments</x:v>
      </x:c>
      <x:c r="K4935" t="str">
        <x:v>Ching's</x:v>
      </x:c>
      <x:c r="L4935" s="22" t="n">
        <x:v>118</x:v>
      </x:c>
      <x:c r="M4935" t="n">
        <x:v>36</x:v>
      </x:c>
      <x:c r="N4935" s="24" t="n">
        <x:v>0.02</x:v>
      </x:c>
      <x:c r="O4935" s="22" t="n">
        <x:f>L4935*M4935</x:f>
        <x:v>4248</x:v>
      </x:c>
      <x:c r="P4935" s="22" t="n">
        <x:f>O4935*(1-N4935)</x:f>
        <x:v>4163.04</x:v>
      </x:c>
      <x:c r="Q4935" s="22" t="n">
        <x:v>101</x:v>
      </x:c>
      <x:c r="R4935" s="22" t="n">
        <x:f>Q4935*M4935</x:f>
        <x:v>3636</x:v>
      </x:c>
      <x:c r="S4935" s="22" t="n">
        <x:f>P4935-R4935</x:f>
        <x:v>527.04</x:v>
      </x:c>
      <x:c r="T4935" t="str">
        <x:v>Cash</x:v>
      </x:c>
      <x:c r="U4935" t="str">
        <x:v>Paid</x:v>
      </x:c>
      <x:c r="V4935" t="str">
        <x:v>Delivered</x:v>
      </x:c>
      <x:c r="W4935" t="n">
        <x:v>0</x:v>
      </x:c>
      <x:c r="X4935" t="str"/>
      <x:c r="Y4935" t="str"/>
    </x:row>
    <x:row r="4936">
      <x:c r="A4936" t="str">
        <x:v>O004935</x:v>
      </x:c>
      <x:c r="B4936" s="20" t="n">
        <x:v>45826</x:v>
      </x:c>
      <x:c r="C4936" t="str">
        <x:v>C0014</x:v>
      </x:c>
      <x:c r="D4936" t="str">
        <x:v>Annapurna Canteen 14</x:v>
      </x:c>
      <x:c r="E4936" t="str">
        <x:v>Kirana</x:v>
      </x:c>
      <x:c r="F4936" t="str">
        <x:v>Davanagere</x:v>
      </x:c>
      <x:c r="G4936" t="str">
        <x:v>Sneha</x:v>
      </x:c>
      <x:c r="H4936" t="str">
        <x:v>P027</x:v>
      </x:c>
      <x:c r="I4936" t="str">
        <x:v>Biscuits 120g</x:v>
      </x:c>
      <x:c r="J4936" t="str">
        <x:v>Snacks</x:v>
      </x:c>
      <x:c r="K4936" t="str">
        <x:v>Parle-G</x:v>
      </x:c>
      <x:c r="L4936" s="22" t="n">
        <x:v>12</x:v>
      </x:c>
      <x:c r="M4936" t="n">
        <x:v>3</x:v>
      </x:c>
      <x:c r="N4936" s="24" t="n">
        <x:v>0.03</x:v>
      </x:c>
      <x:c r="O4936" s="22" t="n">
        <x:f>L4936*M4936</x:f>
        <x:v>36</x:v>
      </x:c>
      <x:c r="P4936" s="22" t="n">
        <x:f>O4936*(1-N4936)</x:f>
        <x:v>34.92</x:v>
      </x:c>
      <x:c r="Q4936" s="22" t="n">
        <x:v>9</x:v>
      </x:c>
      <x:c r="R4936" s="22" t="n">
        <x:f>Q4936*M4936</x:f>
        <x:v>27</x:v>
      </x:c>
      <x:c r="S4936" s="22" t="n">
        <x:f>P4936-R4936</x:f>
        <x:v>7.920000000000002</x:v>
      </x:c>
      <x:c r="T4936" t="str">
        <x:v>UPI</x:v>
      </x:c>
      <x:c r="U4936" t="str">
        <x:v>Pending</x:v>
      </x:c>
      <x:c r="V4936" t="str">
        <x:v>Delivered</x:v>
      </x:c>
      <x:c r="W4936" t="n">
        <x:v>3</x:v>
      </x:c>
      <x:c r="X4936" t="str">
        <x:v>Late Delivery</x:v>
      </x:c>
      <x:c r="Y4936" t="str">
        <x:v>WhatsApp</x:v>
      </x:c>
    </x:row>
    <x:row r="4937">
      <x:c r="A4937" t="str">
        <x:v>O004936</x:v>
      </x:c>
      <x:c r="B4937" s="20" t="n">
        <x:v>46003</x:v>
      </x:c>
      <x:c r="C4937" t="str">
        <x:v>C0163</x:v>
      </x:c>
      <x:c r="D4937" t="str">
        <x:v>Shree Kitchen 163</x:v>
      </x:c>
      <x:c r="E4937" t="str">
        <x:v>Kirana</x:v>
      </x:c>
      <x:c r="F4937" t="str">
        <x:v>Mysuru</x:v>
      </x:c>
      <x:c r="G4937" t="str">
        <x:v>Priya</x:v>
      </x:c>
      <x:c r="H4937" t="str">
        <x:v>P041</x:v>
      </x:c>
      <x:c r="I4937" t="str">
        <x:v>Burger Bun 6pc</x:v>
      </x:c>
      <x:c r="J4937" t="str">
        <x:v>Bakery</x:v>
      </x:c>
      <x:c r="K4937" t="str">
        <x:v>Modern</x:v>
      </x:c>
      <x:c r="L4937" s="22" t="n">
        <x:v>42</x:v>
      </x:c>
      <x:c r="M4937" t="n">
        <x:v>14</x:v>
      </x:c>
      <x:c r="N4937" s="24" t="n">
        <x:v>0.02</x:v>
      </x:c>
      <x:c r="O4937" s="22" t="n">
        <x:f>L4937*M4937</x:f>
        <x:v>588</x:v>
      </x:c>
      <x:c r="P4937" s="22" t="n">
        <x:f>O4937*(1-N4937)</x:f>
        <x:v>576.24</x:v>
      </x:c>
      <x:c r="Q4937" s="22" t="n">
        <x:v>32</x:v>
      </x:c>
      <x:c r="R4937" s="22" t="n">
        <x:f>Q4937*M4937</x:f>
        <x:v>448</x:v>
      </x:c>
      <x:c r="S4937" s="22" t="n">
        <x:f>P4937-R4937</x:f>
        <x:v>128.24</x:v>
      </x:c>
      <x:c r="T4937" t="str">
        <x:v>Bank Transfer</x:v>
      </x:c>
      <x:c r="U4937" t="str">
        <x:v>Paid</x:v>
      </x:c>
      <x:c r="V4937" t="str">
        <x:v>Cancelled</x:v>
      </x:c>
      <x:c r="W4937" t="n">
        <x:v>14</x:v>
      </x:c>
      <x:c r="X4937" t="str">
        <x:v>Cancelled Order</x:v>
      </x:c>
      <x:c r="Y4937" t="str">
        <x:v>Referral</x:v>
      </x:c>
    </x:row>
    <x:row r="4938">
      <x:c r="A4938" t="str">
        <x:v>O004937</x:v>
      </x:c>
      <x:c r="B4938" s="20" t="n">
        <x:v>45760</x:v>
      </x:c>
      <x:c r="C4938" t="str">
        <x:v>C0086</x:v>
      </x:c>
      <x:c r="D4938" t="str">
        <x:v>Foodie Canteen 86</x:v>
      </x:c>
      <x:c r="E4938" t="str">
        <x:v>Kirana</x:v>
      </x:c>
      <x:c r="F4938" t="str">
        <x:v>Hubballi</x:v>
      </x:c>
      <x:c r="G4938" t="str">
        <x:v>Sneha</x:v>
      </x:c>
      <x:c r="H4938" t="str">
        <x:v>P003</x:v>
      </x:c>
      <x:c r="I4938" t="str">
        <x:v>Basmati Rice 5kg</x:v>
      </x:c>
      <x:c r="J4938" t="str">
        <x:v>Staples</x:v>
      </x:c>
      <x:c r="K4938" t="str">
        <x:v>India Gate</x:v>
      </x:c>
      <x:c r="L4938" s="22" t="n">
        <x:v>690</x:v>
      </x:c>
      <x:c r="M4938" t="n">
        <x:v>7</x:v>
      </x:c>
      <x:c r="N4938" s="24" t="n">
        <x:v>0</x:v>
      </x:c>
      <x:c r="O4938" s="22" t="n">
        <x:f>L4938*M4938</x:f>
        <x:v>4830</x:v>
      </x:c>
      <x:c r="P4938" s="22" t="n">
        <x:f>O4938*(1-N4938)</x:f>
        <x:v>4830</x:v>
      </x:c>
      <x:c r="Q4938" s="22" t="n">
        <x:v>610</x:v>
      </x:c>
      <x:c r="R4938" s="22" t="n">
        <x:f>Q4938*M4938</x:f>
        <x:v>4270</x:v>
      </x:c>
      <x:c r="S4938" s="22" t="n">
        <x:f>P4938-R4938</x:f>
        <x:v>560</x:v>
      </x:c>
      <x:c r="T4938" t="str">
        <x:v>Cash</x:v>
      </x:c>
      <x:c r="U4938" t="str">
        <x:v>Overdue</x:v>
      </x:c>
      <x:c r="V4938" t="str">
        <x:v>Delivered</x:v>
      </x:c>
      <x:c r="W4938" t="n">
        <x:v>0</x:v>
      </x:c>
      <x:c r="X4938" t="str"/>
      <x:c r="Y4938" t="str">
        <x:v>Existing Customer</x:v>
      </x:c>
    </x:row>
    <x:row r="4939">
      <x:c r="A4939" t="str">
        <x:v>O004938</x:v>
      </x:c>
      <x:c r="B4939" s="20" t="n">
        <x:v>46234</x:v>
      </x:c>
      <x:c r="C4939" t="str">
        <x:v>C0152</x:v>
      </x:c>
      <x:c r="D4939" t="str">
        <x:v>Metro Stores 152</x:v>
      </x:c>
      <x:c r="E4939" t="str">
        <x:v>Cafe</x:v>
      </x:c>
      <x:c r="F4939" t="str">
        <x:v>Hubballi</x:v>
      </x:c>
      <x:c r="G4939" t="str">
        <x:v>Priya</x:v>
      </x:c>
      <x:c r="H4939" t="str">
        <x:v>P009</x:v>
      </x:c>
      <x:c r="I4939" t="str">
        <x:v>Groundnut Oil 5L</x:v>
      </x:c>
      <x:c r="J4939" t="str">
        <x:v>Edible Oil</x:v>
      </x:c>
      <x:c r="K4939" t="str">
        <x:v>Dhara</x:v>
      </x:c>
      <x:c r="L4939" s="22" t="n">
        <x:v>890</x:v>
      </x:c>
      <x:c r="M4939" t="n">
        <x:v>6</x:v>
      </x:c>
      <x:c r="N4939" s="24" t="n">
        <x:v>0.05</x:v>
      </x:c>
      <x:c r="O4939" s="22" t="n">
        <x:f>L4939*M4939</x:f>
        <x:v>5340</x:v>
      </x:c>
      <x:c r="P4939" s="22" t="n">
        <x:f>O4939*(1-N4939)</x:f>
        <x:v>5073</x:v>
      </x:c>
      <x:c r="Q4939" s="22" t="n">
        <x:v>810</x:v>
      </x:c>
      <x:c r="R4939" s="22" t="n">
        <x:f>Q4939*M4939</x:f>
        <x:v>4860</x:v>
      </x:c>
      <x:c r="S4939" s="22" t="n">
        <x:f>P4939-R4939</x:f>
        <x:v>213</x:v>
      </x:c>
      <x:c r="T4939" t="str">
        <x:v>Cash</x:v>
      </x:c>
      <x:c r="U4939" t="str">
        <x:v>Paid</x:v>
      </x:c>
      <x:c r="V4939" t="str">
        <x:v>Delayed</x:v>
      </x:c>
      <x:c r="W4939" t="n">
        <x:v>0</x:v>
      </x:c>
      <x:c r="X4939" t="str"/>
      <x:c r="Y4939" t="str">
        <x:v>Existing Customer</x:v>
      </x:c>
    </x:row>
    <x:row r="4940">
      <x:c r="A4940" t="str">
        <x:v>O004939</x:v>
      </x:c>
      <x:c r="B4940" s="20" t="n">
        <x:v>46255</x:v>
      </x:c>
      <x:c r="C4940" t="str">
        <x:v>C0070</x:v>
      </x:c>
      <x:c r="D4940" t="str">
        <x:v>Metro Stores 70</x:v>
      </x:c>
      <x:c r="E4940" t="str">
        <x:v>Cafe</x:v>
      </x:c>
      <x:c r="F4940" t="str">
        <x:v>Bengaluru</x:v>
      </x:c>
      <x:c r="G4940" t="str">
        <x:v>Vikram</x:v>
      </x:c>
      <x:c r="H4940" t="str">
        <x:v>P043</x:v>
      </x:c>
      <x:c r="I4940" t="str">
        <x:v>Chicken Breast 1kg</x:v>
      </x:c>
      <x:c r="J4940" t="str">
        <x:v>Protein</x:v>
      </x:c>
      <x:c r="K4940" t="str">
        <x:v>FreshToHome</x:v>
      </x:c>
      <x:c r="L4940" s="22" t="n">
        <x:v>260</x:v>
      </x:c>
      <x:c r="M4940" t="n">
        <x:v>18</x:v>
      </x:c>
      <x:c r="N4940" s="24" t="n">
        <x:v>0.05</x:v>
      </x:c>
      <x:c r="O4940" s="22" t="n">
        <x:f>L4940*M4940</x:f>
        <x:v>4680</x:v>
      </x:c>
      <x:c r="P4940" s="22" t="n">
        <x:f>O4940*(1-N4940)</x:f>
        <x:v>4446</x:v>
      </x:c>
      <x:c r="Q4940" s="22" t="n">
        <x:v>235</x:v>
      </x:c>
      <x:c r="R4940" s="22" t="n">
        <x:f>Q4940*M4940</x:f>
        <x:v>4230</x:v>
      </x:c>
      <x:c r="S4940" s="22" t="n">
        <x:f>P4940-R4940</x:f>
        <x:v>216</x:v>
      </x:c>
      <x:c r="T4940" t="str">
        <x:v>Credit</x:v>
      </x:c>
      <x:c r="U4940" t="str">
        <x:v>Paid</x:v>
      </x:c>
      <x:c r="V4940" t="str">
        <x:v>Delivered</x:v>
      </x:c>
      <x:c r="W4940" t="n">
        <x:v>0</x:v>
      </x:c>
      <x:c r="X4940" t="str"/>
      <x:c r="Y4940" t="str">
        <x:v>Referral</x:v>
      </x:c>
    </x:row>
    <x:row r="4941">
      <x:c r="A4941" t="str">
        <x:v>O004940</x:v>
      </x:c>
      <x:c r="B4941" s="20" t="n">
        <x:v>45953</x:v>
      </x:c>
      <x:c r="C4941" t="str">
        <x:v>C0196</x:v>
      </x:c>
      <x:c r="D4941" t="str">
        <x:v>Namma Mart 196</x:v>
      </x:c>
      <x:c r="E4941" t="str">
        <x:v>Cafe</x:v>
      </x:c>
      <x:c r="F4941" t="str">
        <x:v>Mangaluru</x:v>
      </x:c>
      <x:c r="G4941" t="str">
        <x:v>Kavya</x:v>
      </x:c>
      <x:c r="H4941" t="str">
        <x:v>P004</x:v>
      </x:c>
      <x:c r="I4941" t="str">
        <x:v>Toor Dal 5kg</x:v>
      </x:c>
      <x:c r="J4941" t="str">
        <x:v>Pulses</x:v>
      </x:c>
      <x:c r="K4941" t="str">
        <x:v>Tata Sampann</x:v>
      </x:c>
      <x:c r="L4941" s="22" t="n">
        <x:v>780</x:v>
      </x:c>
      <x:c r="M4941" t="n">
        <x:v>32</x:v>
      </x:c>
      <x:c r="N4941" s="24" t="n">
        <x:v>0.02</x:v>
      </x:c>
      <x:c r="O4941" s="22" t="n">
        <x:f>L4941*M4941</x:f>
        <x:v>24960</x:v>
      </x:c>
      <x:c r="P4941" s="22" t="n">
        <x:f>O4941*(1-N4941)</x:f>
        <x:v>24460.8</x:v>
      </x:c>
      <x:c r="Q4941" s="22" t="n">
        <x:v>695</x:v>
      </x:c>
      <x:c r="R4941" s="22" t="n">
        <x:f>Q4941*M4941</x:f>
        <x:v>22240</x:v>
      </x:c>
      <x:c r="S4941" s="22" t="n">
        <x:f>P4941-R4941</x:f>
        <x:v>2220.7999999999993</x:v>
      </x:c>
      <x:c r="T4941" t="str">
        <x:v>Cash</x:v>
      </x:c>
      <x:c r="U4941" t="str">
        <x:v>Overdue</x:v>
      </x:c>
      <x:c r="V4941" t="str">
        <x:v>Cancelled</x:v>
      </x:c>
      <x:c r="W4941" t="n">
        <x:v>32</x:v>
      </x:c>
      <x:c r="X4941" t="str">
        <x:v>Cancelled Order</x:v>
      </x:c>
      <x:c r="Y4941" t="str">
        <x:v>Outbound Call</x:v>
      </x:c>
    </x:row>
    <x:row r="4942">
      <x:c r="A4942" t="str">
        <x:v>O004941</x:v>
      </x:c>
      <x:c r="B4942" s="20" t="n">
        <x:v>45894</x:v>
      </x:c>
      <x:c r="C4942" t="str">
        <x:v>C0093</x:v>
      </x:c>
      <x:c r="D4942" t="str">
        <x:v>Sagar Hotel 93</x:v>
      </x:c>
      <x:c r="E4942" t="str">
        <x:v>Hotel</x:v>
      </x:c>
      <x:c r="F4942" t="str">
        <x:v>Hubballi</x:v>
      </x:c>
      <x:c r="G4942" t="str">
        <x:v>Imran</x:v>
      </x:c>
      <x:c r="H4942" t="str">
        <x:v>P027</x:v>
      </x:c>
      <x:c r="I4942" t="str">
        <x:v>Biscuits 120g</x:v>
      </x:c>
      <x:c r="J4942" t="str">
        <x:v>Snacks</x:v>
      </x:c>
      <x:c r="K4942" t="str">
        <x:v>Parle-G</x:v>
      </x:c>
      <x:c r="L4942" s="22" t="n">
        <x:v>12</x:v>
      </x:c>
      <x:c r="M4942" t="n">
        <x:v>37</x:v>
      </x:c>
      <x:c r="N4942" s="24" t="n">
        <x:v>0.02</x:v>
      </x:c>
      <x:c r="O4942" s="22" t="n">
        <x:f>L4942*M4942</x:f>
        <x:v>444</x:v>
      </x:c>
      <x:c r="P4942" s="22" t="n">
        <x:f>O4942*(1-N4942)</x:f>
        <x:v>435.12</x:v>
      </x:c>
      <x:c r="Q4942" s="22" t="n">
        <x:v>9</x:v>
      </x:c>
      <x:c r="R4942" s="22" t="n">
        <x:f>Q4942*M4942</x:f>
        <x:v>333</x:v>
      </x:c>
      <x:c r="S4942" s="22" t="n">
        <x:f>P4942-R4942</x:f>
        <x:v>102.12</x:v>
      </x:c>
      <x:c r="T4942" t="str">
        <x:v>UPI</x:v>
      </x:c>
      <x:c r="U4942" t="str">
        <x:v>Overdue</x:v>
      </x:c>
      <x:c r="V4942" t="str">
        <x:v>Delivered</x:v>
      </x:c>
      <x:c r="W4942" t="n">
        <x:v>0</x:v>
      </x:c>
      <x:c r="X4942" t="str"/>
      <x:c r="Y4942" t="str">
        <x:v>Field Visit</x:v>
      </x:c>
    </x:row>
    <x:row r="4943">
      <x:c r="A4943" t="str">
        <x:v>O004942</x:v>
      </x:c>
      <x:c r="B4943" s="20" t="n">
        <x:v>46029</x:v>
      </x:c>
      <x:c r="C4943" t="str">
        <x:v>C0079</x:v>
      </x:c>
      <x:c r="D4943" t="str">
        <x:v>Foodie Foods 79</x:v>
      </x:c>
      <x:c r="E4943" t="str">
        <x:v>Cafe</x:v>
      </x:c>
      <x:c r="F4943" t="str">
        <x:v>Tumakuru</x:v>
      </x:c>
      <x:c r="G4943" t="str">
        <x:v>Ramesh</x:v>
      </x:c>
      <x:c r="H4943" t="str">
        <x:v>P027</x:v>
      </x:c>
      <x:c r="I4943" t="str">
        <x:v>Biscuits 120g</x:v>
      </x:c>
      <x:c r="J4943" t="str">
        <x:v>Snacks</x:v>
      </x:c>
      <x:c r="K4943" t="str">
        <x:v>Parle-G</x:v>
      </x:c>
      <x:c r="L4943" s="22" t="n">
        <x:v>12</x:v>
      </x:c>
      <x:c r="M4943" t="n">
        <x:v>32</x:v>
      </x:c>
      <x:c r="N4943" s="24" t="n">
        <x:v>0.02</x:v>
      </x:c>
      <x:c r="O4943" s="22" t="n">
        <x:f>L4943*M4943</x:f>
        <x:v>384</x:v>
      </x:c>
      <x:c r="P4943" s="22" t="n">
        <x:f>O4943*(1-N4943)</x:f>
        <x:v>376.32</x:v>
      </x:c>
      <x:c r="Q4943" s="22" t="n">
        <x:v>9</x:v>
      </x:c>
      <x:c r="R4943" s="22" t="n">
        <x:f>Q4943*M4943</x:f>
        <x:v>288</x:v>
      </x:c>
      <x:c r="S4943" s="22" t="n">
        <x:f>P4943-R4943</x:f>
        <x:v>88.32</x:v>
      </x:c>
      <x:c r="T4943" t="str">
        <x:v>UPI</x:v>
      </x:c>
      <x:c r="U4943" t="str">
        <x:v>Pending</x:v>
      </x:c>
      <x:c r="V4943" t="str">
        <x:v>Cancelled</x:v>
      </x:c>
      <x:c r="W4943" t="n">
        <x:v>32</x:v>
      </x:c>
      <x:c r="X4943" t="str">
        <x:v>Cancelled Order</x:v>
      </x:c>
      <x:c r="Y4943" t="str">
        <x:v>Field Visit</x:v>
      </x:c>
    </x:row>
    <x:row r="4944">
      <x:c r="A4944" t="str">
        <x:v>O004943</x:v>
      </x:c>
      <x:c r="B4944" s="20" t="n">
        <x:v>46181</x:v>
      </x:c>
      <x:c r="C4944" t="str">
        <x:v>C0035</x:v>
      </x:c>
      <x:c r="D4944" t="str">
        <x:v>City Foods 35</x:v>
      </x:c>
      <x:c r="E4944" t="str">
        <x:v>Kirana</x:v>
      </x:c>
      <x:c r="F4944" t="str">
        <x:v>Bengaluru</x:v>
      </x:c>
      <x:c r="G4944" t="str">
        <x:v>Megha</x:v>
      </x:c>
      <x:c r="H4944" t="str">
        <x:v>P046</x:v>
      </x:c>
      <x:c r="I4944" t="str">
        <x:v>Potato 25kg</x:v>
      </x:c>
      <x:c r="J4944" t="str">
        <x:v>Fresh Produce</x:v>
      </x:c>
      <x:c r="K4944" t="str">
        <x:v>Local Market</x:v>
      </x:c>
      <x:c r="L4944" s="22" t="n">
        <x:v>700</x:v>
      </x:c>
      <x:c r="M4944" t="n">
        <x:v>33</x:v>
      </x:c>
      <x:c r="N4944" s="24" t="n">
        <x:v>0.03</x:v>
      </x:c>
      <x:c r="O4944" s="22" t="n">
        <x:f>L4944*M4944</x:f>
        <x:v>23100</x:v>
      </x:c>
      <x:c r="P4944" s="22" t="n">
        <x:f>O4944*(1-N4944)</x:f>
        <x:v>22407</x:v>
      </x:c>
      <x:c r="Q4944" s="22" t="n">
        <x:v>610</x:v>
      </x:c>
      <x:c r="R4944" s="22" t="n">
        <x:f>Q4944*M4944</x:f>
        <x:v>20130</x:v>
      </x:c>
      <x:c r="S4944" s="22" t="n">
        <x:f>P4944-R4944</x:f>
        <x:v>2277</x:v>
      </x:c>
      <x:c r="T4944" t="str">
        <x:v>Credit</x:v>
      </x:c>
      <x:c r="U4944" t="str">
        <x:v>Paid</x:v>
      </x:c>
      <x:c r="V4944" t="str">
        <x:v>Delivered</x:v>
      </x:c>
      <x:c r="W4944" t="n">
        <x:v>0</x:v>
      </x:c>
      <x:c r="X4944" t="str"/>
      <x:c r="Y4944" t="str">
        <x:v>Existing Customer</x:v>
      </x:c>
    </x:row>
    <x:row r="4945">
      <x:c r="A4945" t="str">
        <x:v>O004944</x:v>
      </x:c>
      <x:c r="B4945" s="20" t="n">
        <x:v>45914</x:v>
      </x:c>
      <x:c r="C4945" t="str">
        <x:v>C0230</x:v>
      </x:c>
      <x:c r="D4945" t="str">
        <x:v>Darshini Foods 230</x:v>
      </x:c>
      <x:c r="E4945" t="str">
        <x:v>Restaurant</x:v>
      </x:c>
      <x:c r="F4945" t="str">
        <x:v>Davanagere</x:v>
      </x:c>
      <x:c r="G4945" t="str">
        <x:v>Priya</x:v>
      </x:c>
      <x:c r="H4945" t="str">
        <x:v>P002</x:v>
      </x:c>
      <x:c r="I4945" t="str">
        <x:v>Sona Masoori Rice 25kg</x:v>
      </x:c>
      <x:c r="J4945" t="str">
        <x:v>Staples</x:v>
      </x:c>
      <x:c r="K4945" t="str">
        <x:v>Fortune</x:v>
      </x:c>
      <x:c r="L4945" s="22" t="n">
        <x:v>1320</x:v>
      </x:c>
      <x:c r="M4945" t="n">
        <x:v>2</x:v>
      </x:c>
      <x:c r="N4945" s="24" t="n">
        <x:v>0.03</x:v>
      </x:c>
      <x:c r="O4945" s="22" t="n">
        <x:f>L4945*M4945</x:f>
        <x:v>2640</x:v>
      </x:c>
      <x:c r="P4945" s="22" t="n">
        <x:f>O4945*(1-N4945)</x:f>
        <x:v>2560.7999999999997</x:v>
      </x:c>
      <x:c r="Q4945" s="22" t="n">
        <x:v>1160</x:v>
      </x:c>
      <x:c r="R4945" s="22" t="n">
        <x:f>Q4945*M4945</x:f>
        <x:v>2320</x:v>
      </x:c>
      <x:c r="S4945" s="22" t="n">
        <x:f>P4945-R4945</x:f>
        <x:v>240.79999999999973</x:v>
      </x:c>
      <x:c r="T4945" t="str">
        <x:v>Cash</x:v>
      </x:c>
      <x:c r="U4945" t="str">
        <x:v>Paid</x:v>
      </x:c>
      <x:c r="V4945" t="str">
        <x:v>Delivered</x:v>
      </x:c>
      <x:c r="W4945" t="n">
        <x:v>0</x:v>
      </x:c>
      <x:c r="X4945" t="str"/>
      <x:c r="Y4945" t="str">
        <x:v>Outbound Call</x:v>
      </x:c>
    </x:row>
    <x:row r="4946">
      <x:c r="A4946" t="str">
        <x:v>O004945</x:v>
      </x:c>
      <x:c r="B4946" s="20" t="n">
        <x:v>46281</x:v>
      </x:c>
      <x:c r="C4946" t="str">
        <x:v>C0112</x:v>
      </x:c>
      <x:c r="D4946" t="str">
        <x:v>Cafe Hotel 112</x:v>
      </x:c>
      <x:c r="E4946" t="str">
        <x:v>Hotel</x:v>
      </x:c>
      <x:c r="F4946" t="str">
        <x:v>Mangaluru</x:v>
      </x:c>
      <x:c r="G4946" t="str">
        <x:v>Kavya</x:v>
      </x:c>
      <x:c r="H4946" t="str">
        <x:v>P045</x:v>
      </x:c>
      <x:c r="I4946" t="str">
        <x:v>Onion 25kg</x:v>
      </x:c>
      <x:c r="J4946" t="str">
        <x:v>Fresh Produce</x:v>
      </x:c>
      <x:c r="K4946" t="str">
        <x:v>Local Market</x:v>
      </x:c>
      <x:c r="L4946" s="22" t="n">
        <x:v>875</x:v>
      </x:c>
      <x:c r="M4946" t="n">
        <x:v>40</x:v>
      </x:c>
      <x:c r="N4946" s="24" t="n">
        <x:v>0.08</x:v>
      </x:c>
      <x:c r="O4946" s="22" t="n">
        <x:f>L4946*M4946</x:f>
        <x:v>35000</x:v>
      </x:c>
      <x:c r="P4946" s="22" t="n">
        <x:f>O4946*(1-N4946)</x:f>
        <x:v>32200</x:v>
      </x:c>
      <x:c r="Q4946" s="22" t="n">
        <x:v>760</x:v>
      </x:c>
      <x:c r="R4946" s="22" t="n">
        <x:f>Q4946*M4946</x:f>
        <x:v>30400</x:v>
      </x:c>
      <x:c r="S4946" s="22" t="n">
        <x:f>P4946-R4946</x:f>
        <x:v>1800</x:v>
      </x:c>
      <x:c r="T4946" t="str">
        <x:v>Cash</x:v>
      </x:c>
      <x:c r="U4946" t="str">
        <x:v>Paid</x:v>
      </x:c>
      <x:c r="V4946" t="str">
        <x:v>Delivered</x:v>
      </x:c>
      <x:c r="W4946" t="n">
        <x:v>0</x:v>
      </x:c>
      <x:c r="X4946" t="str"/>
      <x:c r="Y4946" t="str">
        <x:v>WhatsApp</x:v>
      </x:c>
    </x:row>
    <x:row r="4947">
      <x:c r="A4947" t="str">
        <x:v>O004946</x:v>
      </x:c>
      <x:c r="B4947" s="20" t="n">
        <x:v>46109</x:v>
      </x:c>
      <x:c r="C4947" t="str">
        <x:v>C0230</x:v>
      </x:c>
      <x:c r="D4947" t="str">
        <x:v>Darshini Foods 230</x:v>
      </x:c>
      <x:c r="E4947" t="str">
        <x:v>Restaurant</x:v>
      </x:c>
      <x:c r="F4947" t="str">
        <x:v>Davanagere</x:v>
      </x:c>
      <x:c r="G4947" t="str">
        <x:v>Priya</x:v>
      </x:c>
      <x:c r="H4947" t="str">
        <x:v>P009</x:v>
      </x:c>
      <x:c r="I4947" t="str">
        <x:v>Groundnut Oil 5L</x:v>
      </x:c>
      <x:c r="J4947" t="str">
        <x:v>Edible Oil</x:v>
      </x:c>
      <x:c r="K4947" t="str">
        <x:v>Dhara</x:v>
      </x:c>
      <x:c r="L4947" s="22" t="n">
        <x:v>890</x:v>
      </x:c>
      <x:c r="M4947" t="n">
        <x:v>8</x:v>
      </x:c>
      <x:c r="N4947" s="24" t="n">
        <x:v>0.1</x:v>
      </x:c>
      <x:c r="O4947" s="22" t="n">
        <x:f>L4947*M4947</x:f>
        <x:v>7120</x:v>
      </x:c>
      <x:c r="P4947" s="22" t="n">
        <x:f>O4947*(1-N4947)</x:f>
        <x:v>6408</x:v>
      </x:c>
      <x:c r="Q4947" s="22" t="n">
        <x:v>810</x:v>
      </x:c>
      <x:c r="R4947" s="22" t="n">
        <x:f>Q4947*M4947</x:f>
        <x:v>6480</x:v>
      </x:c>
      <x:c r="S4947" s="22" t="n">
        <x:f>P4947-R4947</x:f>
        <x:v>-72</x:v>
      </x:c>
      <x:c r="T4947" t="str">
        <x:v>Cash</x:v>
      </x:c>
      <x:c r="U4947" t="str">
        <x:v>Pending</x:v>
      </x:c>
      <x:c r="V4947" t="str">
        <x:v>Delivered</x:v>
      </x:c>
      <x:c r="W4947" t="n">
        <x:v>0</x:v>
      </x:c>
      <x:c r="X4947" t="str"/>
      <x:c r="Y4947" t="str">
        <x:v>Referral</x:v>
      </x:c>
    </x:row>
    <x:row r="4948">
      <x:c r="A4948" t="str">
        <x:v>O004947</x:v>
      </x:c>
      <x:c r="B4948" s="20" t="n">
        <x:v>45659</x:v>
      </x:c>
      <x:c r="C4948" t="str">
        <x:v>C0249</x:v>
      </x:c>
      <x:c r="D4948" t="str">
        <x:v>City Hotel 249</x:v>
      </x:c>
      <x:c r="E4948" t="str">
        <x:v>Supermarket</x:v>
      </x:c>
      <x:c r="F4948" t="str">
        <x:v>Mysuru</x:v>
      </x:c>
      <x:c r="G4948" t="str">
        <x:v>Arjun</x:v>
      </x:c>
      <x:c r="H4948" t="str">
        <x:v>P049</x:v>
      </x:c>
      <x:c r="I4948" t="str">
        <x:v>Apple 10kg</x:v>
      </x:c>
      <x:c r="J4948" t="str">
        <x:v>Fresh Produce</x:v>
      </x:c>
      <x:c r="K4948" t="str">
        <x:v>Local Market</x:v>
      </x:c>
      <x:c r="L4948" s="22" t="n">
        <x:v>1450</x:v>
      </x:c>
      <x:c r="M4948" t="n">
        <x:v>9</x:v>
      </x:c>
      <x:c r="N4948" s="24" t="n">
        <x:v>0.05</x:v>
      </x:c>
      <x:c r="O4948" s="22" t="n">
        <x:f>L4948*M4948</x:f>
        <x:v>13050</x:v>
      </x:c>
      <x:c r="P4948" s="22" t="n">
        <x:f>O4948*(1-N4948)</x:f>
        <x:v>12397.5</x:v>
      </x:c>
      <x:c r="Q4948" s="22" t="n">
        <x:v>1280</x:v>
      </x:c>
      <x:c r="R4948" s="22" t="n">
        <x:f>Q4948*M4948</x:f>
        <x:v>11520</x:v>
      </x:c>
      <x:c r="S4948" s="22" t="n">
        <x:f>P4948-R4948</x:f>
        <x:v>877.5</x:v>
      </x:c>
      <x:c r="T4948" t="str">
        <x:v>Cash</x:v>
      </x:c>
      <x:c r="U4948" t="str">
        <x:v>Pending</x:v>
      </x:c>
      <x:c r="V4948" t="str">
        <x:v>Delivered</x:v>
      </x:c>
      <x:c r="W4948" t="n">
        <x:v>0</x:v>
      </x:c>
      <x:c r="X4948" t="str"/>
      <x:c r="Y4948" t="str">
        <x:v>Referral</x:v>
      </x:c>
    </x:row>
    <x:row r="4949">
      <x:c r="A4949" t="str">
        <x:v>O004948</x:v>
      </x:c>
      <x:c r="B4949" s="20" t="n">
        <x:v>45807</x:v>
      </x:c>
      <x:c r="C4949" t="str">
        <x:v>C0250</x:v>
      </x:c>
      <x:c r="D4949" t="str">
        <x:v>Namma Hotel 250</x:v>
      </x:c>
      <x:c r="E4949" t="str">
        <x:v>Cafe</x:v>
      </x:c>
      <x:c r="F4949" t="str">
        <x:v>Bengaluru</x:v>
      </x:c>
      <x:c r="G4949" t="str">
        <x:v>Sneha</x:v>
      </x:c>
      <x:c r="H4949" t="str">
        <x:v>P030</x:v>
      </x:c>
      <x:c r="I4949" t="str">
        <x:v>Mayonnaise 1kg</x:v>
      </x:c>
      <x:c r="J4949" t="str">
        <x:v>Condiments</x:v>
      </x:c>
      <x:c r="K4949" t="str">
        <x:v>Veeba</x:v>
      </x:c>
      <x:c r="L4949" s="22" t="n">
        <x:v>210</x:v>
      </x:c>
      <x:c r="M4949" t="n">
        <x:v>3</x:v>
      </x:c>
      <x:c r="N4949" s="24" t="n">
        <x:v>0.03</x:v>
      </x:c>
      <x:c r="O4949" s="22" t="n">
        <x:f>L4949*M4949</x:f>
        <x:v>630</x:v>
      </x:c>
      <x:c r="P4949" s="22" t="n">
        <x:f>O4949*(1-N4949)</x:f>
        <x:v>611.1</x:v>
      </x:c>
      <x:c r="Q4949" s="22" t="n">
        <x:v>185</x:v>
      </x:c>
      <x:c r="R4949" s="22" t="n">
        <x:f>Q4949*M4949</x:f>
        <x:v>555</x:v>
      </x:c>
      <x:c r="S4949" s="22" t="n">
        <x:f>P4949-R4949</x:f>
        <x:v>56.10000000000002</x:v>
      </x:c>
      <x:c r="T4949" t="str">
        <x:v>UPI</x:v>
      </x:c>
      <x:c r="U4949" t="str">
        <x:v>Paid</x:v>
      </x:c>
      <x:c r="V4949" t="str">
        <x:v>Delivered</x:v>
      </x:c>
      <x:c r="W4949" t="n">
        <x:v>0</x:v>
      </x:c>
      <x:c r="X4949" t="str"/>
      <x:c r="Y4949" t="str">
        <x:v>WhatsApp</x:v>
      </x:c>
    </x:row>
    <x:row r="4950">
      <x:c r="A4950" t="str">
        <x:v>O004949</x:v>
      </x:c>
      <x:c r="B4950" s="20" t="n">
        <x:v>46097</x:v>
      </x:c>
      <x:c r="C4950" t="str">
        <x:v>C0173</x:v>
      </x:c>
      <x:c r="D4950" t="str">
        <x:v>Royal Kitchen 173</x:v>
      </x:c>
      <x:c r="E4950" t="str">
        <x:v>Hotel</x:v>
      </x:c>
      <x:c r="F4950" t="str">
        <x:v>Bengaluru</x:v>
      </x:c>
      <x:c r="G4950" t="str">
        <x:v>Priya</x:v>
      </x:c>
      <x:c r="H4950" t="str">
        <x:v>P004</x:v>
      </x:c>
      <x:c r="I4950" t="str">
        <x:v>Toor Dal 5kg</x:v>
      </x:c>
      <x:c r="J4950" t="str">
        <x:v>Pulses</x:v>
      </x:c>
      <x:c r="K4950" t="str">
        <x:v>Tata Sampann</x:v>
      </x:c>
      <x:c r="L4950" s="22" t="n">
        <x:v>780</x:v>
      </x:c>
      <x:c r="M4950" t="n">
        <x:v>16</x:v>
      </x:c>
      <x:c r="N4950" s="24" t="n">
        <x:v>0</x:v>
      </x:c>
      <x:c r="O4950" s="22" t="n">
        <x:f>L4950*M4950</x:f>
        <x:v>12480</x:v>
      </x:c>
      <x:c r="P4950" s="22" t="n">
        <x:f>O4950*(1-N4950)</x:f>
        <x:v>12480</x:v>
      </x:c>
      <x:c r="Q4950" s="22" t="n">
        <x:v>695</x:v>
      </x:c>
      <x:c r="R4950" s="22" t="n">
        <x:f>Q4950*M4950</x:f>
        <x:v>11120</x:v>
      </x:c>
      <x:c r="S4950" s="22" t="n">
        <x:f>P4950-R4950</x:f>
        <x:v>1360</x:v>
      </x:c>
      <x:c r="T4950" t="str">
        <x:v>Credit</x:v>
      </x:c>
      <x:c r="U4950" t="str">
        <x:v>Overdue</x:v>
      </x:c>
      <x:c r="V4950" t="str">
        <x:v>Delivered</x:v>
      </x:c>
      <x:c r="W4950" t="n">
        <x:v>0</x:v>
      </x:c>
      <x:c r="X4950" t="str"/>
      <x:c r="Y4950" t="str">
        <x:v>Field Visit</x:v>
      </x:c>
    </x:row>
    <x:row r="4951">
      <x:c r="A4951" t="str">
        <x:v>O004950</x:v>
      </x:c>
      <x:c r="B4951" s="20" t="n">
        <x:v>46007</x:v>
      </x:c>
      <x:c r="C4951" t="str">
        <x:v>C0001</x:v>
      </x:c>
      <x:c r="D4951" t="str">
        <x:v>Annapurna Cafe 1</x:v>
      </x:c>
      <x:c r="E4951" t="str">
        <x:v>Hotel</x:v>
      </x:c>
      <x:c r="F4951" t="str">
        <x:v>Davanagere</x:v>
      </x:c>
      <x:c r="G4951" t="str">
        <x:v>Kavya</x:v>
      </x:c>
      <x:c r="H4951" t="str">
        <x:v>P034</x:v>
      </x:c>
      <x:c r="I4951" t="str">
        <x:v>Chilli Powder 1kg</x:v>
      </x:c>
      <x:c r="J4951" t="str">
        <x:v>Spices</x:v>
      </x:c>
      <x:c r="K4951" t="str">
        <x:v>MDH</x:v>
      </x:c>
      <x:c r="L4951" s="22" t="n">
        <x:v>340</x:v>
      </x:c>
      <x:c r="M4951" t="n">
        <x:v>34</x:v>
      </x:c>
      <x:c r="N4951" s="24" t="n">
        <x:v>0</x:v>
      </x:c>
      <x:c r="O4951" s="22" t="n">
        <x:f>L4951*M4951</x:f>
        <x:v>11560</x:v>
      </x:c>
      <x:c r="P4951" s="22" t="n">
        <x:f>O4951*(1-N4951)</x:f>
        <x:v>11560</x:v>
      </x:c>
      <x:c r="Q4951" s="22" t="n">
        <x:v>295</x:v>
      </x:c>
      <x:c r="R4951" s="22" t="n">
        <x:f>Q4951*M4951</x:f>
        <x:v>10030</x:v>
      </x:c>
      <x:c r="S4951" s="22" t="n">
        <x:f>P4951-R4951</x:f>
        <x:v>1530</x:v>
      </x:c>
      <x:c r="T4951" t="str">
        <x:v>Credit</x:v>
      </x:c>
      <x:c r="U4951" t="str">
        <x:v>Paid</x:v>
      </x:c>
      <x:c r="V4951" t="str">
        <x:v>Cancelled</x:v>
      </x:c>
      <x:c r="W4951" t="n">
        <x:v>34</x:v>
      </x:c>
      <x:c r="X4951" t="str">
        <x:v>Cancelled Order</x:v>
      </x:c>
      <x:c r="Y4951" t="str">
        <x:v>Existing Customer</x:v>
      </x:c>
    </x:row>
    <x:row r="4952">
      <x:c r="A4952" t="str">
        <x:v>O004951</x:v>
      </x:c>
      <x:c r="B4952" s="20" t="n">
        <x:v>46083</x:v>
      </x:c>
      <x:c r="C4952" t="str">
        <x:v>C0202</x:v>
      </x:c>
      <x:c r="D4952" t="str">
        <x:v>Sagar Foods 202</x:v>
      </x:c>
      <x:c r="E4952" t="str">
        <x:v>Restaurant</x:v>
      </x:c>
      <x:c r="F4952" t="str">
        <x:v>Mangaluru</x:v>
      </x:c>
      <x:c r="G4952" t="str">
        <x:v>Kavya</x:v>
      </x:c>
      <x:c r="H4952" t="str">
        <x:v>P012</x:v>
      </x:c>
      <x:c r="I4952" t="str">
        <x:v>Maida 10kg</x:v>
      </x:c>
      <x:c r="J4952" t="str">
        <x:v>Flour</x:v>
      </x:c>
      <x:c r="K4952" t="str">
        <x:v>Aashirvaad</x:v>
      </x:c>
      <x:c r="L4952" s="22" t="n">
        <x:v>520</x:v>
      </x:c>
      <x:c r="M4952" t="n">
        <x:v>15</x:v>
      </x:c>
      <x:c r="N4952" s="24" t="n">
        <x:v>0</x:v>
      </x:c>
      <x:c r="O4952" s="22" t="n">
        <x:f>L4952*M4952</x:f>
        <x:v>7800</x:v>
      </x:c>
      <x:c r="P4952" s="22" t="n">
        <x:f>O4952*(1-N4952)</x:f>
        <x:v>7800</x:v>
      </x:c>
      <x:c r="Q4952" s="22" t="n">
        <x:v>460</x:v>
      </x:c>
      <x:c r="R4952" s="22" t="n">
        <x:f>Q4952*M4952</x:f>
        <x:v>6900</x:v>
      </x:c>
      <x:c r="S4952" s="22" t="n">
        <x:f>P4952-R4952</x:f>
        <x:v>900</x:v>
      </x:c>
      <x:c r="T4952" t="str">
        <x:v>UPI</x:v>
      </x:c>
      <x:c r="U4952" t="str">
        <x:v>Paid</x:v>
      </x:c>
      <x:c r="V4952" t="str">
        <x:v>Delivered</x:v>
      </x:c>
      <x:c r="W4952" t="n">
        <x:v>0</x:v>
      </x:c>
      <x:c r="X4952" t="str"/>
      <x:c r="Y4952" t="str">
        <x:v>Field Visit</x:v>
      </x:c>
    </x:row>
    <x:row r="4953">
      <x:c r="A4953" t="str">
        <x:v>O004952</x:v>
      </x:c>
      <x:c r="B4953" s="20" t="n">
        <x:v>46228</x:v>
      </x:c>
      <x:c r="C4953" t="str">
        <x:v>C0187</x:v>
      </x:c>
      <x:c r="D4953" t="str">
        <x:v>City Cafe 187</x:v>
      </x:c>
      <x:c r="E4953" t="str">
        <x:v>Hotel</x:v>
      </x:c>
      <x:c r="F4953" t="str">
        <x:v>Mysuru</x:v>
      </x:c>
      <x:c r="G4953" t="str">
        <x:v>Priya</x:v>
      </x:c>
      <x:c r="H4953" t="str">
        <x:v>P004</x:v>
      </x:c>
      <x:c r="I4953" t="str">
        <x:v>Toor Dal 5kg</x:v>
      </x:c>
      <x:c r="J4953" t="str">
        <x:v>Pulses</x:v>
      </x:c>
      <x:c r="K4953" t="str">
        <x:v>Tata Sampann</x:v>
      </x:c>
      <x:c r="L4953" s="22" t="n">
        <x:v>780</x:v>
      </x:c>
      <x:c r="M4953" t="n">
        <x:v>34</x:v>
      </x:c>
      <x:c r="N4953" s="24" t="n">
        <x:v>0.02</x:v>
      </x:c>
      <x:c r="O4953" s="22" t="n">
        <x:f>L4953*M4953</x:f>
        <x:v>26520</x:v>
      </x:c>
      <x:c r="P4953" s="22" t="n">
        <x:f>O4953*(1-N4953)</x:f>
        <x:v>25989.6</x:v>
      </x:c>
      <x:c r="Q4953" s="22" t="n">
        <x:v>695</x:v>
      </x:c>
      <x:c r="R4953" s="22" t="n">
        <x:f>Q4953*M4953</x:f>
        <x:v>23630</x:v>
      </x:c>
      <x:c r="S4953" s="22" t="n">
        <x:f>P4953-R4953</x:f>
        <x:v>2359.5999999999985</x:v>
      </x:c>
      <x:c r="T4953" t="str">
        <x:v>UPI</x:v>
      </x:c>
      <x:c r="U4953" t="str">
        <x:v>Paid</x:v>
      </x:c>
      <x:c r="V4953" t="str">
        <x:v>Delivered</x:v>
      </x:c>
      <x:c r="W4953" t="n">
        <x:v>0</x:v>
      </x:c>
      <x:c r="X4953" t="str"/>
      <x:c r="Y4953" t="str">
        <x:v>Existing Customer</x:v>
      </x:c>
    </x:row>
    <x:row r="4954">
      <x:c r="A4954" t="str">
        <x:v>O004953</x:v>
      </x:c>
      <x:c r="B4954" s="20" t="n">
        <x:v>45780</x:v>
      </x:c>
      <x:c r="C4954" t="str">
        <x:v>C0047</x:v>
      </x:c>
      <x:c r="D4954" t="str">
        <x:v>Shree Restaurant 47</x:v>
      </x:c>
      <x:c r="E4954" t="str">
        <x:v>Canteen</x:v>
      </x:c>
      <x:c r="F4954" t="str">
        <x:v>Davanagere</x:v>
      </x:c>
      <x:c r="G4954" t="str">
        <x:v>Arjun</x:v>
      </x:c>
      <x:c r="H4954" t="str">
        <x:v>P036</x:v>
      </x:c>
      <x:c r="I4954" t="str">
        <x:v>Garam Masala 500g</x:v>
      </x:c>
      <x:c r="J4954" t="str">
        <x:v>Spices</x:v>
      </x:c>
      <x:c r="K4954" t="str">
        <x:v>MDH</x:v>
      </x:c>
      <x:c r="L4954" s="22" t="n">
        <x:v>265</x:v>
      </x:c>
      <x:c r="M4954" t="n">
        <x:v>32</x:v>
      </x:c>
      <x:c r="N4954" s="24" t="n">
        <x:v>0.05</x:v>
      </x:c>
      <x:c r="O4954" s="22" t="n">
        <x:f>L4954*M4954</x:f>
        <x:v>8480</x:v>
      </x:c>
      <x:c r="P4954" s="22" t="n">
        <x:f>O4954*(1-N4954)</x:f>
        <x:v>8056</x:v>
      </x:c>
      <x:c r="Q4954" s="22" t="n">
        <x:v>230</x:v>
      </x:c>
      <x:c r="R4954" s="22" t="n">
        <x:f>Q4954*M4954</x:f>
        <x:v>7360</x:v>
      </x:c>
      <x:c r="S4954" s="22" t="n">
        <x:f>P4954-R4954</x:f>
        <x:v>696</x:v>
      </x:c>
      <x:c r="T4954" t="str">
        <x:v>Bank Transfer</x:v>
      </x:c>
      <x:c r="U4954" t="str">
        <x:v>Paid</x:v>
      </x:c>
      <x:c r="V4954" t="str">
        <x:v>Cancelled</x:v>
      </x:c>
      <x:c r="W4954" t="n">
        <x:v>32</x:v>
      </x:c>
      <x:c r="X4954" t="str">
        <x:v>Cancelled Order</x:v>
      </x:c>
      <x:c r="Y4954" t="str">
        <x:v>Outbound Call</x:v>
      </x:c>
    </x:row>
    <x:row r="4955">
      <x:c r="A4955" t="str">
        <x:v>O004954</x:v>
      </x:c>
      <x:c r="B4955" s="20" t="n">
        <x:v>46260</x:v>
      </x:c>
      <x:c r="C4955" t="str">
        <x:v>C0049</x:v>
      </x:c>
      <x:c r="D4955" t="str">
        <x:v>Namma Stores 49</x:v>
      </x:c>
      <x:c r="E4955" t="str">
        <x:v>Hotel</x:v>
      </x:c>
      <x:c r="F4955" t="str">
        <x:v>Mangaluru</x:v>
      </x:c>
      <x:c r="G4955" t="str">
        <x:v>Sneha</x:v>
      </x:c>
      <x:c r="H4955" t="str">
        <x:v>P013</x:v>
      </x:c>
      <x:c r="I4955" t="str">
        <x:v>Atta 10kg</x:v>
      </x:c>
      <x:c r="J4955" t="str">
        <x:v>Flour</x:v>
      </x:c>
      <x:c r="K4955" t="str">
        <x:v>Aashirvaad</x:v>
      </x:c>
      <x:c r="L4955" s="22" t="n">
        <x:v>560</x:v>
      </x:c>
      <x:c r="M4955" t="n">
        <x:v>21</x:v>
      </x:c>
      <x:c r="N4955" s="24" t="n">
        <x:v>0.02</x:v>
      </x:c>
      <x:c r="O4955" s="22" t="n">
        <x:f>L4955*M4955</x:f>
        <x:v>11760</x:v>
      </x:c>
      <x:c r="P4955" s="22" t="n">
        <x:f>O4955*(1-N4955)</x:f>
        <x:v>11524.8</x:v>
      </x:c>
      <x:c r="Q4955" s="22" t="n">
        <x:v>495</x:v>
      </x:c>
      <x:c r="R4955" s="22" t="n">
        <x:f>Q4955*M4955</x:f>
        <x:v>10395</x:v>
      </x:c>
      <x:c r="S4955" s="22" t="n">
        <x:f>P4955-R4955</x:f>
        <x:v>1129.7999999999993</x:v>
      </x:c>
      <x:c r="T4955" t="str">
        <x:v>Cash</x:v>
      </x:c>
      <x:c r="U4955" t="str">
        <x:v>Paid</x:v>
      </x:c>
      <x:c r="V4955" t="str">
        <x:v>Delivered</x:v>
      </x:c>
      <x:c r="W4955" t="n">
        <x:v>0</x:v>
      </x:c>
      <x:c r="X4955" t="str"/>
      <x:c r="Y4955" t="str">
        <x:v>WhatsApp</x:v>
      </x:c>
    </x:row>
    <x:row r="4956">
      <x:c r="A4956" t="str">
        <x:v>O004955</x:v>
      </x:c>
      <x:c r="B4956" s="20" t="n">
        <x:v>46113</x:v>
      </x:c>
      <x:c r="C4956" t="str">
        <x:v>C0197</x:v>
      </x:c>
      <x:c r="D4956" t="str">
        <x:v>New Foods 197</x:v>
      </x:c>
      <x:c r="E4956" t="str">
        <x:v>Cafe</x:v>
      </x:c>
      <x:c r="F4956" t="str">
        <x:v>Hubballi</x:v>
      </x:c>
      <x:c r="G4956" t="str">
        <x:v>Kavya</x:v>
      </x:c>
      <x:c r="H4956" t="str">
        <x:v>P039</x:v>
      </x:c>
      <x:c r="I4956" t="str">
        <x:v>Ice Cream 4L</x:v>
      </x:c>
      <x:c r="J4956" t="str">
        <x:v>Frozen</x:v>
      </x:c>
      <x:c r="K4956" t="str">
        <x:v>Amul</x:v>
      </x:c>
      <x:c r="L4956" s="22" t="n">
        <x:v>480</x:v>
      </x:c>
      <x:c r="M4956" t="n">
        <x:v>9</x:v>
      </x:c>
      <x:c r="N4956" s="24" t="n">
        <x:v>0.05</x:v>
      </x:c>
      <x:c r="O4956" s="22" t="n">
        <x:f>L4956*M4956</x:f>
        <x:v>4320</x:v>
      </x:c>
      <x:c r="P4956" s="22" t="n">
        <x:f>O4956*(1-N4956)</x:f>
        <x:v>4104</x:v>
      </x:c>
      <x:c r="Q4956" s="22" t="n">
        <x:v>420</x:v>
      </x:c>
      <x:c r="R4956" s="22" t="n">
        <x:f>Q4956*M4956</x:f>
        <x:v>3780</x:v>
      </x:c>
      <x:c r="S4956" s="22" t="n">
        <x:f>P4956-R4956</x:f>
        <x:v>324</x:v>
      </x:c>
      <x:c r="T4956" t="str">
        <x:v>Cash</x:v>
      </x:c>
      <x:c r="U4956" t="str">
        <x:v>Paid</x:v>
      </x:c>
      <x:c r="V4956" t="str">
        <x:v>Delayed</x:v>
      </x:c>
      <x:c r="W4956" t="n">
        <x:v>0</x:v>
      </x:c>
      <x:c r="X4956" t="str"/>
      <x:c r="Y4956" t="str">
        <x:v>Referral</x:v>
      </x:c>
    </x:row>
    <x:row r="4957">
      <x:c r="A4957" t="str">
        <x:v>O004956</x:v>
      </x:c>
      <x:c r="B4957" s="20" t="n">
        <x:v>45858</x:v>
      </x:c>
      <x:c r="C4957" t="str">
        <x:v>C0038</x:v>
      </x:c>
      <x:c r="D4957" t="str">
        <x:v>Mysore Kitchen 38</x:v>
      </x:c>
      <x:c r="E4957" t="str">
        <x:v>Kirana</x:v>
      </x:c>
      <x:c r="F4957" t="str">
        <x:v>Tumakuru</x:v>
      </x:c>
      <x:c r="G4957" t="str">
        <x:v>Priya</x:v>
      </x:c>
      <x:c r="H4957" t="str">
        <x:v>P018</x:v>
      </x:c>
      <x:c r="I4957" t="str">
        <x:v>Paneer 1kg</x:v>
      </x:c>
      <x:c r="J4957" t="str">
        <x:v>Dairy</x:v>
      </x:c>
      <x:c r="K4957" t="str">
        <x:v>Milky Mist</x:v>
      </x:c>
      <x:c r="L4957" s="22" t="n">
        <x:v>410</x:v>
      </x:c>
      <x:c r="M4957" t="n">
        <x:v>3</x:v>
      </x:c>
      <x:c r="N4957" s="24" t="n">
        <x:v>0.08</x:v>
      </x:c>
      <x:c r="O4957" s="22" t="n">
        <x:f>L4957*M4957</x:f>
        <x:v>1230</x:v>
      </x:c>
      <x:c r="P4957" s="22" t="n">
        <x:f>O4957*(1-N4957)</x:f>
        <x:v>1131.6000000000001</x:v>
      </x:c>
      <x:c r="Q4957" s="22" t="n">
        <x:v>370</x:v>
      </x:c>
      <x:c r="R4957" s="22" t="n">
        <x:f>Q4957*M4957</x:f>
        <x:v>1110</x:v>
      </x:c>
      <x:c r="S4957" s="22" t="n">
        <x:f>P4957-R4957</x:f>
        <x:v>21.600000000000136</x:v>
      </x:c>
      <x:c r="T4957" t="str">
        <x:v>UPI</x:v>
      </x:c>
      <x:c r="U4957" t="str">
        <x:v>Paid</x:v>
      </x:c>
      <x:c r="V4957" t="str">
        <x:v>Delivered</x:v>
      </x:c>
      <x:c r="W4957" t="n">
        <x:v>0</x:v>
      </x:c>
      <x:c r="X4957" t="str"/>
      <x:c r="Y4957" t="str">
        <x:v>WhatsApp</x:v>
      </x:c>
    </x:row>
    <x:row r="4958">
      <x:c r="A4958" t="str">
        <x:v>O004957</x:v>
      </x:c>
      <x:c r="B4958" s="20" t="n">
        <x:v>45890</x:v>
      </x:c>
      <x:c r="C4958" t="str">
        <x:v>C0035</x:v>
      </x:c>
      <x:c r="D4958" t="str">
        <x:v>City Foods 35</x:v>
      </x:c>
      <x:c r="E4958" t="str">
        <x:v>Kirana</x:v>
      </x:c>
      <x:c r="F4958" t="str">
        <x:v>Bengaluru</x:v>
      </x:c>
      <x:c r="G4958" t="str">
        <x:v>Megha</x:v>
      </x:c>
      <x:c r="H4958" t="str">
        <x:v>P019</x:v>
      </x:c>
      <x:c r="I4958" t="str">
        <x:v>Tea 1kg</x:v>
      </x:c>
      <x:c r="J4958" t="str">
        <x:v>Beverage</x:v>
      </x:c>
      <x:c r="K4958" t="str">
        <x:v>Red Label</x:v>
      </x:c>
      <x:c r="L4958" s="22" t="n">
        <x:v>540</x:v>
      </x:c>
      <x:c r="M4958" t="n">
        <x:v>1</x:v>
      </x:c>
      <x:c r="N4958" s="24" t="n">
        <x:v>0.05</x:v>
      </x:c>
      <x:c r="O4958" s="22" t="n">
        <x:f>L4958*M4958</x:f>
        <x:v>540</x:v>
      </x:c>
      <x:c r="P4958" s="22" t="n">
        <x:f>O4958*(1-N4958)</x:f>
        <x:v>513</x:v>
      </x:c>
      <x:c r="Q4958" s="22" t="n">
        <x:v>485</x:v>
      </x:c>
      <x:c r="R4958" s="22" t="n">
        <x:f>Q4958*M4958</x:f>
        <x:v>485</x:v>
      </x:c>
      <x:c r="S4958" s="22" t="n">
        <x:f>P4958-R4958</x:f>
        <x:v>28</x:v>
      </x:c>
      <x:c r="T4958" t="str">
        <x:v>Credit</x:v>
      </x:c>
      <x:c r="U4958" t="str">
        <x:v>Pending</x:v>
      </x:c>
      <x:c r="V4958" t="str">
        <x:v>Delivered</x:v>
      </x:c>
      <x:c r="W4958" t="n">
        <x:v>0</x:v>
      </x:c>
      <x:c r="X4958" t="str"/>
      <x:c r="Y4958" t="str">
        <x:v>WhatsApp</x:v>
      </x:c>
    </x:row>
    <x:row r="4959">
      <x:c r="A4959" t="str">
        <x:v>O004958</x:v>
      </x:c>
      <x:c r="B4959" s="20" t="n">
        <x:v>45687</x:v>
      </x:c>
      <x:c r="C4959" t="str">
        <x:v>C0215</x:v>
      </x:c>
      <x:c r="D4959" t="str">
        <x:v>Annapurna Restaurant 215</x:v>
      </x:c>
      <x:c r="E4959" t="str">
        <x:v>Supermarket</x:v>
      </x:c>
      <x:c r="F4959" t="str">
        <x:v>Bengaluru</x:v>
      </x:c>
      <x:c r="G4959" t="str">
        <x:v>Vikram</x:v>
      </x:c>
      <x:c r="H4959" t="str">
        <x:v>P037</x:v>
      </x:c>
      <x:c r="I4959" t="str">
        <x:v>Frozen Peas 1kg</x:v>
      </x:c>
      <x:c r="J4959" t="str">
        <x:v>Frozen</x:v>
      </x:c>
      <x:c r="K4959" t="str">
        <x:v>Safal</x:v>
      </x:c>
      <x:c r="L4959" s="22" t="n">
        <x:v>155</x:v>
      </x:c>
      <x:c r="M4959" t="n">
        <x:v>32</x:v>
      </x:c>
      <x:c r="N4959" s="24" t="n">
        <x:v>0</x:v>
      </x:c>
      <x:c r="O4959" s="22" t="n">
        <x:f>L4959*M4959</x:f>
        <x:v>4960</x:v>
      </x:c>
      <x:c r="P4959" s="22" t="n">
        <x:f>O4959*(1-N4959)</x:f>
        <x:v>4960</x:v>
      </x:c>
      <x:c r="Q4959" s="22" t="n">
        <x:v>138</x:v>
      </x:c>
      <x:c r="R4959" s="22" t="n">
        <x:f>Q4959*M4959</x:f>
        <x:v>4416</x:v>
      </x:c>
      <x:c r="S4959" s="22" t="n">
        <x:f>P4959-R4959</x:f>
        <x:v>544</x:v>
      </x:c>
      <x:c r="T4959" t="str">
        <x:v>Bank Transfer</x:v>
      </x:c>
      <x:c r="U4959" t="str">
        <x:v>Paid</x:v>
      </x:c>
      <x:c r="V4959" t="str">
        <x:v>Delivered</x:v>
      </x:c>
      <x:c r="W4959" t="n">
        <x:v>0</x:v>
      </x:c>
      <x:c r="X4959" t="str"/>
      <x:c r="Y4959" t="str">
        <x:v>Existing Customer</x:v>
      </x:c>
    </x:row>
    <x:row r="4960">
      <x:c r="A4960" t="str">
        <x:v>O004959</x:v>
      </x:c>
      <x:c r="B4960" s="20" t="n">
        <x:v>46100</x:v>
      </x:c>
      <x:c r="C4960" t="str">
        <x:v>C0242</x:v>
      </x:c>
      <x:c r="D4960" t="str">
        <x:v>Fresh Cafe 242</x:v>
      </x:c>
      <x:c r="E4960" t="str">
        <x:v>Canteen</x:v>
      </x:c>
      <x:c r="F4960" t="str">
        <x:v>Davanagere</x:v>
      </x:c>
      <x:c r="G4960" t="str">
        <x:v>Kavya</x:v>
      </x:c>
      <x:c r="H4960" t="str">
        <x:v>P038</x:v>
      </x:c>
      <x:c r="I4960" t="str">
        <x:v>French Fries 2.5kg</x:v>
      </x:c>
      <x:c r="J4960" t="str">
        <x:v>Frozen</x:v>
      </x:c>
      <x:c r="K4960" t="str">
        <x:v>McCain</x:v>
      </x:c>
      <x:c r="L4960" s="22" t="n">
        <x:v>360</x:v>
      </x:c>
      <x:c r="M4960" t="n">
        <x:v>39</x:v>
      </x:c>
      <x:c r="N4960" s="24" t="n">
        <x:v>0.1</x:v>
      </x:c>
      <x:c r="O4960" s="22" t="n">
        <x:f>L4960*M4960</x:f>
        <x:v>14040</x:v>
      </x:c>
      <x:c r="P4960" s="22" t="n">
        <x:f>O4960*(1-N4960)</x:f>
        <x:v>12636</x:v>
      </x:c>
      <x:c r="Q4960" s="22" t="n">
        <x:v>315</x:v>
      </x:c>
      <x:c r="R4960" s="22" t="n">
        <x:f>Q4960*M4960</x:f>
        <x:v>12285</x:v>
      </x:c>
      <x:c r="S4960" s="22" t="n">
        <x:f>P4960-R4960</x:f>
        <x:v>351</x:v>
      </x:c>
      <x:c r="T4960" t="str">
        <x:v>UPI</x:v>
      </x:c>
      <x:c r="U4960" t="str">
        <x:v>Paid</x:v>
      </x:c>
      <x:c r="V4960" t="str">
        <x:v>Delivered</x:v>
      </x:c>
      <x:c r="W4960" t="n">
        <x:v>0</x:v>
      </x:c>
      <x:c r="X4960" t="str"/>
      <x:c r="Y4960" t="str">
        <x:v>Existing Customer</x:v>
      </x:c>
    </x:row>
    <x:row r="4961">
      <x:c r="A4961" t="str">
        <x:v>O004960</x:v>
      </x:c>
      <x:c r="B4961" s="20" t="n">
        <x:v>46140</x:v>
      </x:c>
      <x:c r="C4961" t="str">
        <x:v>C0169</x:v>
      </x:c>
      <x:c r="D4961" t="str">
        <x:v>Grand Mart 169</x:v>
      </x:c>
      <x:c r="E4961" t="str">
        <x:v>Canteen</x:v>
      </x:c>
      <x:c r="F4961" t="str">
        <x:v>Mangaluru</x:v>
      </x:c>
      <x:c r="G4961" t="str">
        <x:v>Vikram</x:v>
      </x:c>
      <x:c r="H4961" t="str">
        <x:v>P012</x:v>
      </x:c>
      <x:c r="I4961" t="str">
        <x:v>Maida 10kg</x:v>
      </x:c>
      <x:c r="J4961" t="str">
        <x:v>Flour</x:v>
      </x:c>
      <x:c r="K4961" t="str">
        <x:v>Aashirvaad</x:v>
      </x:c>
      <x:c r="L4961" s="22" t="n">
        <x:v>520</x:v>
      </x:c>
      <x:c r="M4961" t="n">
        <x:v>11</x:v>
      </x:c>
      <x:c r="N4961" s="24" t="n">
        <x:v>0.1</x:v>
      </x:c>
      <x:c r="O4961" s="22" t="n">
        <x:f>L4961*M4961</x:f>
        <x:v>5720</x:v>
      </x:c>
      <x:c r="P4961" s="22" t="n">
        <x:f>O4961*(1-N4961)</x:f>
        <x:v>5148</x:v>
      </x:c>
      <x:c r="Q4961" s="22" t="n">
        <x:v>460</x:v>
      </x:c>
      <x:c r="R4961" s="22" t="n">
        <x:f>Q4961*M4961</x:f>
        <x:v>5060</x:v>
      </x:c>
      <x:c r="S4961" s="22" t="n">
        <x:f>P4961-R4961</x:f>
        <x:v>88</x:v>
      </x:c>
      <x:c r="T4961" t="str">
        <x:v>Cash</x:v>
      </x:c>
      <x:c r="U4961" t="str">
        <x:v>Paid</x:v>
      </x:c>
      <x:c r="V4961" t="str">
        <x:v>Delivered</x:v>
      </x:c>
      <x:c r="W4961" t="n">
        <x:v>0</x:v>
      </x:c>
      <x:c r="X4961" t="str"/>
      <x:c r="Y4961" t="str">
        <x:v>Outbound Call</x:v>
      </x:c>
    </x:row>
    <x:row r="4962">
      <x:c r="A4962" t="str">
        <x:v>O004961</x:v>
      </x:c>
      <x:c r="B4962" s="20" t="n">
        <x:v>45736</x:v>
      </x:c>
      <x:c r="C4962" t="str">
        <x:v>C0147</x:v>
      </x:c>
      <x:c r="D4962" t="str">
        <x:v>New Stores 147</x:v>
      </x:c>
      <x:c r="E4962" t="str">
        <x:v>Supermarket</x:v>
      </x:c>
      <x:c r="F4962" t="str">
        <x:v>Hubballi</x:v>
      </x:c>
      <x:c r="G4962" t="str">
        <x:v>Imran</x:v>
      </x:c>
      <x:c r="H4962" t="str">
        <x:v>P038</x:v>
      </x:c>
      <x:c r="I4962" t="str">
        <x:v>French Fries 2.5kg</x:v>
      </x:c>
      <x:c r="J4962" t="str">
        <x:v>Frozen</x:v>
      </x:c>
      <x:c r="K4962" t="str">
        <x:v>McCain</x:v>
      </x:c>
      <x:c r="L4962" s="22" t="n">
        <x:v>360</x:v>
      </x:c>
      <x:c r="M4962" t="n">
        <x:v>23</x:v>
      </x:c>
      <x:c r="N4962" s="24" t="n">
        <x:v>0</x:v>
      </x:c>
      <x:c r="O4962" s="22" t="n">
        <x:f>L4962*M4962</x:f>
        <x:v>8280</x:v>
      </x:c>
      <x:c r="P4962" s="22" t="n">
        <x:f>O4962*(1-N4962)</x:f>
        <x:v>8280</x:v>
      </x:c>
      <x:c r="Q4962" s="22" t="n">
        <x:v>315</x:v>
      </x:c>
      <x:c r="R4962" s="22" t="n">
        <x:f>Q4962*M4962</x:f>
        <x:v>7245</x:v>
      </x:c>
      <x:c r="S4962" s="22" t="n">
        <x:f>P4962-R4962</x:f>
        <x:v>1035</x:v>
      </x:c>
      <x:c r="T4962" t="str">
        <x:v>Bank Transfer</x:v>
      </x:c>
      <x:c r="U4962" t="str">
        <x:v>Paid</x:v>
      </x:c>
      <x:c r="V4962" t="str">
        <x:v>Delayed</x:v>
      </x:c>
      <x:c r="W4962" t="n">
        <x:v>0</x:v>
      </x:c>
      <x:c r="X4962" t="str"/>
      <x:c r="Y4962" t="str">
        <x:v>WhatsApp</x:v>
      </x:c>
    </x:row>
    <x:row r="4963">
      <x:c r="A4963" t="str">
        <x:v>O004962</x:v>
      </x:c>
      <x:c r="B4963" s="20" t="n">
        <x:v>45767</x:v>
      </x:c>
      <x:c r="C4963" t="str">
        <x:v>C0148</x:v>
      </x:c>
      <x:c r="D4963" t="str">
        <x:v>Shree Cafe 148</x:v>
      </x:c>
      <x:c r="E4963" t="str">
        <x:v>Kirana</x:v>
      </x:c>
      <x:c r="F4963" t="str">
        <x:v>Hubballi</x:v>
      </x:c>
      <x:c r="G4963" t="str">
        <x:v>Priya</x:v>
      </x:c>
      <x:c r="H4963" t="str">
        <x:v>P023</x:v>
      </x:c>
      <x:c r="I4963" t="str">
        <x:v>Cola 750ml</x:v>
      </x:c>
      <x:c r="J4963" t="str">
        <x:v>Beverage</x:v>
      </x:c>
      <x:c r="K4963" t="str">
        <x:v>Coca-Cola</x:v>
      </x:c>
      <x:c r="L4963" s="22" t="n">
        <x:v>38</x:v>
      </x:c>
      <x:c r="M4963" t="n">
        <x:v>28</x:v>
      </x:c>
      <x:c r="N4963" s="24" t="n">
        <x:v>0.03</x:v>
      </x:c>
      <x:c r="O4963" s="22" t="n">
        <x:f>L4963*M4963</x:f>
        <x:v>1064</x:v>
      </x:c>
      <x:c r="P4963" s="22" t="n">
        <x:f>O4963*(1-N4963)</x:f>
        <x:v>1032.08</x:v>
      </x:c>
      <x:c r="Q4963" s="22" t="n">
        <x:v>31</x:v>
      </x:c>
      <x:c r="R4963" s="22" t="n">
        <x:f>Q4963*M4963</x:f>
        <x:v>868</x:v>
      </x:c>
      <x:c r="S4963" s="22" t="n">
        <x:f>P4963-R4963</x:f>
        <x:v>164.07999999999993</x:v>
      </x:c>
      <x:c r="T4963" t="str">
        <x:v>UPI</x:v>
      </x:c>
      <x:c r="U4963" t="str">
        <x:v>Overdue</x:v>
      </x:c>
      <x:c r="V4963" t="str">
        <x:v>Delayed</x:v>
      </x:c>
      <x:c r="W4963" t="n">
        <x:v>0</x:v>
      </x:c>
      <x:c r="X4963" t="str"/>
      <x:c r="Y4963" t="str">
        <x:v>Outbound Call</x:v>
      </x:c>
    </x:row>
    <x:row r="4964">
      <x:c r="A4964" t="str">
        <x:v>O004963</x:v>
      </x:c>
      <x:c r="B4964" s="20" t="n">
        <x:v>45679</x:v>
      </x:c>
      <x:c r="C4964" t="str">
        <x:v>C0071</x:v>
      </x:c>
      <x:c r="D4964" t="str">
        <x:v>Shree Restaurant 71</x:v>
      </x:c>
      <x:c r="E4964" t="str">
        <x:v>Cafe</x:v>
      </x:c>
      <x:c r="F4964" t="str">
        <x:v>Tumakuru</x:v>
      </x:c>
      <x:c r="G4964" t="str">
        <x:v>Sneha</x:v>
      </x:c>
      <x:c r="H4964" t="str">
        <x:v>P019</x:v>
      </x:c>
      <x:c r="I4964" t="str">
        <x:v>Tea 1kg</x:v>
      </x:c>
      <x:c r="J4964" t="str">
        <x:v>Beverage</x:v>
      </x:c>
      <x:c r="K4964" t="str">
        <x:v>Red Label</x:v>
      </x:c>
      <x:c r="L4964" s="22" t="n">
        <x:v>540</x:v>
      </x:c>
      <x:c r="M4964" t="n">
        <x:v>10</x:v>
      </x:c>
      <x:c r="N4964" s="24" t="n">
        <x:v>0.03</x:v>
      </x:c>
      <x:c r="O4964" s="22" t="n">
        <x:f>L4964*M4964</x:f>
        <x:v>5400</x:v>
      </x:c>
      <x:c r="P4964" s="22" t="n">
        <x:f>O4964*(1-N4964)</x:f>
        <x:v>5238</x:v>
      </x:c>
      <x:c r="Q4964" s="22" t="n">
        <x:v>485</x:v>
      </x:c>
      <x:c r="R4964" s="22" t="n">
        <x:f>Q4964*M4964</x:f>
        <x:v>4850</x:v>
      </x:c>
      <x:c r="S4964" s="22" t="n">
        <x:f>P4964-R4964</x:f>
        <x:v>388</x:v>
      </x:c>
      <x:c r="T4964" t="str">
        <x:v>Credit</x:v>
      </x:c>
      <x:c r="U4964" t="str">
        <x:v>Paid</x:v>
      </x:c>
      <x:c r="V4964" t="str">
        <x:v>Cancelled</x:v>
      </x:c>
      <x:c r="W4964" t="n">
        <x:v>10</x:v>
      </x:c>
      <x:c r="X4964" t="str">
        <x:v>Cancelled Order</x:v>
      </x:c>
      <x:c r="Y4964" t="str">
        <x:v>Referral</x:v>
      </x:c>
    </x:row>
    <x:row r="4965">
      <x:c r="A4965" t="str">
        <x:v>O004964</x:v>
      </x:c>
      <x:c r="B4965" s="20" t="n">
        <x:v>46005</x:v>
      </x:c>
      <x:c r="C4965" t="str">
        <x:v>C0100</x:v>
      </x:c>
      <x:c r="D4965" t="str">
        <x:v>Fresh Mart 100</x:v>
      </x:c>
      <x:c r="E4965" t="str">
        <x:v>Restaurant</x:v>
      </x:c>
      <x:c r="F4965" t="str">
        <x:v>Mysuru</x:v>
      </x:c>
      <x:c r="G4965" t="str">
        <x:v>Imran</x:v>
      </x:c>
      <x:c r="H4965" t="str">
        <x:v>P009</x:v>
      </x:c>
      <x:c r="I4965" t="str">
        <x:v>Groundnut Oil 5L</x:v>
      </x:c>
      <x:c r="J4965" t="str">
        <x:v>Edible Oil</x:v>
      </x:c>
      <x:c r="K4965" t="str">
        <x:v>Dhara</x:v>
      </x:c>
      <x:c r="L4965" s="22" t="n">
        <x:v>890</x:v>
      </x:c>
      <x:c r="M4965" t="n">
        <x:v>31</x:v>
      </x:c>
      <x:c r="N4965" s="24" t="n">
        <x:v>0.02</x:v>
      </x:c>
      <x:c r="O4965" s="22" t="n">
        <x:f>L4965*M4965</x:f>
        <x:v>27590</x:v>
      </x:c>
      <x:c r="P4965" s="22" t="n">
        <x:f>O4965*(1-N4965)</x:f>
        <x:v>27038.2</x:v>
      </x:c>
      <x:c r="Q4965" s="22" t="n">
        <x:v>810</x:v>
      </x:c>
      <x:c r="R4965" s="22" t="n">
        <x:f>Q4965*M4965</x:f>
        <x:v>25110</x:v>
      </x:c>
      <x:c r="S4965" s="22" t="n">
        <x:f>P4965-R4965</x:f>
        <x:v>1928.2000000000007</x:v>
      </x:c>
      <x:c r="T4965" t="str">
        <x:v>UPI</x:v>
      </x:c>
      <x:c r="U4965" t="str">
        <x:v>Overdue</x:v>
      </x:c>
      <x:c r="V4965" t="str">
        <x:v>Delivered</x:v>
      </x:c>
      <x:c r="W4965" t="n">
        <x:v>0</x:v>
      </x:c>
      <x:c r="X4965" t="str"/>
      <x:c r="Y4965" t="str">
        <x:v>WhatsApp</x:v>
      </x:c>
    </x:row>
    <x:row r="4966">
      <x:c r="A4966" t="str">
        <x:v>O004965</x:v>
      </x:c>
      <x:c r="B4966" s="20" t="n">
        <x:v>45977</x:v>
      </x:c>
      <x:c r="C4966" t="str">
        <x:v>C0090</x:v>
      </x:c>
      <x:c r="D4966" t="str">
        <x:v>Shree Mart 90</x:v>
      </x:c>
      <x:c r="E4966" t="str">
        <x:v>Restaurant</x:v>
      </x:c>
      <x:c r="F4966" t="str">
        <x:v>Davanagere</x:v>
      </x:c>
      <x:c r="G4966" t="str">
        <x:v>Megha</x:v>
      </x:c>
      <x:c r="H4966" t="str">
        <x:v>P031</x:v>
      </x:c>
      <x:c r="I4966" t="str">
        <x:v>Chilli Sauce 700g</x:v>
      </x:c>
      <x:c r="J4966" t="str">
        <x:v>Condiments</x:v>
      </x:c>
      <x:c r="K4966" t="str">
        <x:v>Ching's</x:v>
      </x:c>
      <x:c r="L4966" s="22" t="n">
        <x:v>130</x:v>
      </x:c>
      <x:c r="M4966" t="n">
        <x:v>16</x:v>
      </x:c>
      <x:c r="N4966" s="24" t="n">
        <x:v>0.03</x:v>
      </x:c>
      <x:c r="O4966" s="22" t="n">
        <x:f>L4966*M4966</x:f>
        <x:v>2080</x:v>
      </x:c>
      <x:c r="P4966" s="22" t="n">
        <x:f>O4966*(1-N4966)</x:f>
        <x:v>2017.6</x:v>
      </x:c>
      <x:c r="Q4966" s="22" t="n">
        <x:v>112</x:v>
      </x:c>
      <x:c r="R4966" s="22" t="n">
        <x:f>Q4966*M4966</x:f>
        <x:v>1792</x:v>
      </x:c>
      <x:c r="S4966" s="22" t="n">
        <x:f>P4966-R4966</x:f>
        <x:v>225.5999999999999</x:v>
      </x:c>
      <x:c r="T4966" t="str">
        <x:v>Credit</x:v>
      </x:c>
      <x:c r="U4966" t="str">
        <x:v>Overdue</x:v>
      </x:c>
      <x:c r="V4966" t="str">
        <x:v>Delivered</x:v>
      </x:c>
      <x:c r="W4966" t="n">
        <x:v>0</x:v>
      </x:c>
      <x:c r="X4966" t="str"/>
      <x:c r="Y4966" t="str">
        <x:v>WhatsApp</x:v>
      </x:c>
    </x:row>
    <x:row r="4967">
      <x:c r="A4967" t="str">
        <x:v>O004966</x:v>
      </x:c>
      <x:c r="B4967" s="20" t="n">
        <x:v>46217</x:v>
      </x:c>
      <x:c r="C4967" t="str">
        <x:v>C0210</x:v>
      </x:c>
      <x:c r="D4967" t="str">
        <x:v>Spice Stores 210</x:v>
      </x:c>
      <x:c r="E4967" t="str">
        <x:v>Cafe</x:v>
      </x:c>
      <x:c r="F4967" t="str">
        <x:v>Davanagere</x:v>
      </x:c>
      <x:c r="G4967" t="str">
        <x:v>Imran</x:v>
      </x:c>
      <x:c r="H4967" t="str">
        <x:v>P006</x:v>
      </x:c>
      <x:c r="I4967" t="str">
        <x:v>Moong Dal 5kg</x:v>
      </x:c>
      <x:c r="J4967" t="str">
        <x:v>Pulses</x:v>
      </x:c>
      <x:c r="K4967" t="str">
        <x:v>Local Select</x:v>
      </x:c>
      <x:c r="L4967" s="22" t="n">
        <x:v>610</x:v>
      </x:c>
      <x:c r="M4967" t="n">
        <x:v>18</x:v>
      </x:c>
      <x:c r="N4967" s="24" t="n">
        <x:v>0.05</x:v>
      </x:c>
      <x:c r="O4967" s="22" t="n">
        <x:f>L4967*M4967</x:f>
        <x:v>10980</x:v>
      </x:c>
      <x:c r="P4967" s="22" t="n">
        <x:f>O4967*(1-N4967)</x:f>
        <x:v>10431</x:v>
      </x:c>
      <x:c r="Q4967" s="22" t="n">
        <x:v>540</x:v>
      </x:c>
      <x:c r="R4967" s="22" t="n">
        <x:f>Q4967*M4967</x:f>
        <x:v>9720</x:v>
      </x:c>
      <x:c r="S4967" s="22" t="n">
        <x:f>P4967-R4967</x:f>
        <x:v>711</x:v>
      </x:c>
      <x:c r="T4967" t="str">
        <x:v>Cash</x:v>
      </x:c>
      <x:c r="U4967" t="str">
        <x:v>Paid</x:v>
      </x:c>
      <x:c r="V4967" t="str">
        <x:v>Delivered</x:v>
      </x:c>
      <x:c r="W4967" t="n">
        <x:v>0</x:v>
      </x:c>
      <x:c r="X4967" t="str"/>
      <x:c r="Y4967" t="str">
        <x:v>Outbound Call</x:v>
      </x:c>
    </x:row>
    <x:row r="4968">
      <x:c r="A4968" t="str">
        <x:v>O004967</x:v>
      </x:c>
      <x:c r="B4968" s="20" t="n">
        <x:v>46264</x:v>
      </x:c>
      <x:c r="C4968" t="str">
        <x:v>C0028</x:v>
      </x:c>
      <x:c r="D4968" t="str">
        <x:v>Spice Cafe 28</x:v>
      </x:c>
      <x:c r="E4968" t="str">
        <x:v>Supermarket</x:v>
      </x:c>
      <x:c r="F4968" t="str">
        <x:v>Mysuru</x:v>
      </x:c>
      <x:c r="G4968" t="str">
        <x:v>Vikram</x:v>
      </x:c>
      <x:c r="H4968" t="str">
        <x:v>P012</x:v>
      </x:c>
      <x:c r="I4968" t="str">
        <x:v>Maida 10kg</x:v>
      </x:c>
      <x:c r="J4968" t="str">
        <x:v>Flour</x:v>
      </x:c>
      <x:c r="K4968" t="str">
        <x:v>Aashirvaad</x:v>
      </x:c>
      <x:c r="L4968" s="22" t="n">
        <x:v>520</x:v>
      </x:c>
      <x:c r="M4968" t="n">
        <x:v>5</x:v>
      </x:c>
      <x:c r="N4968" s="24" t="n">
        <x:v>0.03</x:v>
      </x:c>
      <x:c r="O4968" s="22" t="n">
        <x:f>L4968*M4968</x:f>
        <x:v>2600</x:v>
      </x:c>
      <x:c r="P4968" s="22" t="n">
        <x:f>O4968*(1-N4968)</x:f>
        <x:v>2522</x:v>
      </x:c>
      <x:c r="Q4968" s="22" t="n">
        <x:v>460</x:v>
      </x:c>
      <x:c r="R4968" s="22" t="n">
        <x:f>Q4968*M4968</x:f>
        <x:v>2300</x:v>
      </x:c>
      <x:c r="S4968" s="22" t="n">
        <x:f>P4968-R4968</x:f>
        <x:v>222</x:v>
      </x:c>
      <x:c r="T4968" t="str">
        <x:v>Bank Transfer</x:v>
      </x:c>
      <x:c r="U4968" t="str">
        <x:v>Paid</x:v>
      </x:c>
      <x:c r="V4968" t="str">
        <x:v>Delivered</x:v>
      </x:c>
      <x:c r="W4968" t="n">
        <x:v>0</x:v>
      </x:c>
      <x:c r="X4968" t="str"/>
      <x:c r="Y4968" t="str">
        <x:v>Field Visit</x:v>
      </x:c>
    </x:row>
    <x:row r="4969">
      <x:c r="A4969" t="str">
        <x:v>O004968</x:v>
      </x:c>
      <x:c r="B4969" s="20" t="n">
        <x:v>46268</x:v>
      </x:c>
      <x:c r="C4969" t="str">
        <x:v>C0024</x:v>
      </x:c>
      <x:c r="D4969" t="str">
        <x:v>Darshini Restaurant 24</x:v>
      </x:c>
      <x:c r="E4969" t="str">
        <x:v>Restaurant</x:v>
      </x:c>
      <x:c r="F4969" t="str">
        <x:v>Davanagere</x:v>
      </x:c>
      <x:c r="G4969" t="str">
        <x:v>Sneha</x:v>
      </x:c>
      <x:c r="H4969" t="str">
        <x:v>P009</x:v>
      </x:c>
      <x:c r="I4969" t="str">
        <x:v>Groundnut Oil 5L</x:v>
      </x:c>
      <x:c r="J4969" t="str">
        <x:v>Edible Oil</x:v>
      </x:c>
      <x:c r="K4969" t="str">
        <x:v>Dhara</x:v>
      </x:c>
      <x:c r="L4969" s="22" t="n">
        <x:v>890</x:v>
      </x:c>
      <x:c r="M4969" t="n">
        <x:v>34</x:v>
      </x:c>
      <x:c r="N4969" s="24" t="n">
        <x:v>0.08</x:v>
      </x:c>
      <x:c r="O4969" s="22" t="n">
        <x:f>L4969*M4969</x:f>
        <x:v>30260</x:v>
      </x:c>
      <x:c r="P4969" s="22" t="n">
        <x:f>O4969*(1-N4969)</x:f>
        <x:v>27839.2</x:v>
      </x:c>
      <x:c r="Q4969" s="22" t="n">
        <x:v>810</x:v>
      </x:c>
      <x:c r="R4969" s="22" t="n">
        <x:f>Q4969*M4969</x:f>
        <x:v>27540</x:v>
      </x:c>
      <x:c r="S4969" s="22" t="n">
        <x:f>P4969-R4969</x:f>
        <x:v>299.2000000000007</x:v>
      </x:c>
      <x:c r="T4969" t="str">
        <x:v>Bank Transfer</x:v>
      </x:c>
      <x:c r="U4969" t="str">
        <x:v>Overdue</x:v>
      </x:c>
      <x:c r="V4969" t="str">
        <x:v>Cancelled</x:v>
      </x:c>
      <x:c r="W4969" t="n">
        <x:v>34</x:v>
      </x:c>
      <x:c r="X4969" t="str">
        <x:v>Cancelled Order</x:v>
      </x:c>
      <x:c r="Y4969" t="str">
        <x:v>Outbound Call</x:v>
      </x:c>
    </x:row>
    <x:row r="4970">
      <x:c r="A4970" t="str">
        <x:v>O004969</x:v>
      </x:c>
      <x:c r="B4970" s="20" t="n">
        <x:v>45896</x:v>
      </x:c>
      <x:c r="C4970" t="str">
        <x:v>C0098</x:v>
      </x:c>
      <x:c r="D4970" t="str">
        <x:v>City Stores 98</x:v>
      </x:c>
      <x:c r="E4970" t="str">
        <x:v>Canteen</x:v>
      </x:c>
      <x:c r="F4970" t="str">
        <x:v>Mangaluru</x:v>
      </x:c>
      <x:c r="G4970" t="str">
        <x:v>Imran</x:v>
      </x:c>
      <x:c r="H4970" t="str">
        <x:v>P010</x:v>
      </x:c>
      <x:c r="I4970" t="str">
        <x:v>Sugar 25kg</x:v>
      </x:c>
      <x:c r="J4970" t="str">
        <x:v>Staples</x:v>
      </x:c>
      <x:c r="K4970" t="str">
        <x:v>Madhur</x:v>
      </x:c>
      <x:c r="L4970" s="22" t="n">
        <x:v>1190</x:v>
      </x:c>
      <x:c r="M4970" t="n">
        <x:v>1</x:v>
      </x:c>
      <x:c r="N4970" s="24" t="n">
        <x:v>0.02</x:v>
      </x:c>
      <x:c r="O4970" s="22" t="n">
        <x:f>L4970*M4970</x:f>
        <x:v>1190</x:v>
      </x:c>
      <x:c r="P4970" s="22" t="n">
        <x:f>O4970*(1-N4970)</x:f>
        <x:v>1166.2</x:v>
      </x:c>
      <x:c r="Q4970" s="22" t="n">
        <x:v>1080</x:v>
      </x:c>
      <x:c r="R4970" s="22" t="n">
        <x:f>Q4970*M4970</x:f>
        <x:v>1080</x:v>
      </x:c>
      <x:c r="S4970" s="22" t="n">
        <x:f>P4970-R4970</x:f>
        <x:v>86.20000000000005</x:v>
      </x:c>
      <x:c r="T4970" t="str">
        <x:v>Credit</x:v>
      </x:c>
      <x:c r="U4970" t="str">
        <x:v>Pending</x:v>
      </x:c>
      <x:c r="V4970" t="str">
        <x:v>Cancelled</x:v>
      </x:c>
      <x:c r="W4970" t="n">
        <x:v>1</x:v>
      </x:c>
      <x:c r="X4970" t="str">
        <x:v>Cancelled Order</x:v>
      </x:c>
      <x:c r="Y4970" t="str">
        <x:v>Field Visit</x:v>
      </x:c>
    </x:row>
    <x:row r="4971">
      <x:c r="A4971" t="str">
        <x:v>O004970</x:v>
      </x:c>
      <x:c r="B4971" s="20" t="n">
        <x:v>46016</x:v>
      </x:c>
      <x:c r="C4971" t="str">
        <x:v>C0239</x:v>
      </x:c>
      <x:c r="D4971" t="str">
        <x:v>Royal Hotel 239</x:v>
      </x:c>
      <x:c r="E4971" t="str">
        <x:v>Restaurant</x:v>
      </x:c>
      <x:c r="F4971" t="str">
        <x:v>Hubballi</x:v>
      </x:c>
      <x:c r="G4971" t="str">
        <x:v>Priya</x:v>
      </x:c>
      <x:c r="H4971" t="str">
        <x:v>P012</x:v>
      </x:c>
      <x:c r="I4971" t="str">
        <x:v>Maida 10kg</x:v>
      </x:c>
      <x:c r="J4971" t="str">
        <x:v>Flour</x:v>
      </x:c>
      <x:c r="K4971" t="str">
        <x:v>Aashirvaad</x:v>
      </x:c>
      <x:c r="L4971" s="22" t="n">
        <x:v>520</x:v>
      </x:c>
      <x:c r="M4971" t="n">
        <x:v>11</x:v>
      </x:c>
      <x:c r="N4971" s="24" t="n">
        <x:v>0.08</x:v>
      </x:c>
      <x:c r="O4971" s="22" t="n">
        <x:f>L4971*M4971</x:f>
        <x:v>5720</x:v>
      </x:c>
      <x:c r="P4971" s="22" t="n">
        <x:f>O4971*(1-N4971)</x:f>
        <x:v>5262.400000000001</x:v>
      </x:c>
      <x:c r="Q4971" s="22" t="n">
        <x:v>460</x:v>
      </x:c>
      <x:c r="R4971" s="22" t="n">
        <x:f>Q4971*M4971</x:f>
        <x:v>5060</x:v>
      </x:c>
      <x:c r="S4971" s="22" t="n">
        <x:f>P4971-R4971</x:f>
        <x:v>202.40000000000055</x:v>
      </x:c>
      <x:c r="T4971" t="str">
        <x:v>Bank Transfer</x:v>
      </x:c>
      <x:c r="U4971" t="str">
        <x:v>Paid</x:v>
      </x:c>
      <x:c r="V4971" t="str">
        <x:v>Delivered</x:v>
      </x:c>
      <x:c r="W4971" t="n">
        <x:v>0</x:v>
      </x:c>
      <x:c r="X4971" t="str"/>
      <x:c r="Y4971" t="str">
        <x:v>WhatsApp</x:v>
      </x:c>
    </x:row>
    <x:row r="4972">
      <x:c r="A4972" t="str">
        <x:v>O004971</x:v>
      </x:c>
      <x:c r="B4972" s="20" t="n">
        <x:v>45943</x:v>
      </x:c>
      <x:c r="C4972" t="str">
        <x:v>C0210</x:v>
      </x:c>
      <x:c r="D4972" t="str">
        <x:v>Spice Stores 210</x:v>
      </x:c>
      <x:c r="E4972" t="str">
        <x:v>Cafe</x:v>
      </x:c>
      <x:c r="F4972" t="str">
        <x:v>Davanagere</x:v>
      </x:c>
      <x:c r="G4972" t="str">
        <x:v>Imran</x:v>
      </x:c>
      <x:c r="H4972" t="str">
        <x:v>P049</x:v>
      </x:c>
      <x:c r="I4972" t="str">
        <x:v>Apple 10kg</x:v>
      </x:c>
      <x:c r="J4972" t="str">
        <x:v>Fresh Produce</x:v>
      </x:c>
      <x:c r="K4972" t="str">
        <x:v>Local Market</x:v>
      </x:c>
      <x:c r="L4972" s="22" t="n">
        <x:v>1450</x:v>
      </x:c>
      <x:c r="M4972" t="n">
        <x:v>7</x:v>
      </x:c>
      <x:c r="N4972" s="24" t="n">
        <x:v>0</x:v>
      </x:c>
      <x:c r="O4972" s="22" t="n">
        <x:f>L4972*M4972</x:f>
        <x:v>10150</x:v>
      </x:c>
      <x:c r="P4972" s="22" t="n">
        <x:f>O4972*(1-N4972)</x:f>
        <x:v>10150</x:v>
      </x:c>
      <x:c r="Q4972" s="22" t="n">
        <x:v>1280</x:v>
      </x:c>
      <x:c r="R4972" s="22" t="n">
        <x:f>Q4972*M4972</x:f>
        <x:v>8960</x:v>
      </x:c>
      <x:c r="S4972" s="22" t="n">
        <x:f>P4972-R4972</x:f>
        <x:v>1190</x:v>
      </x:c>
      <x:c r="T4972" t="str">
        <x:v>UPI</x:v>
      </x:c>
      <x:c r="U4972" t="str">
        <x:v>Paid</x:v>
      </x:c>
      <x:c r="V4972" t="str">
        <x:v>Delivered</x:v>
      </x:c>
      <x:c r="W4972" t="n">
        <x:v>0</x:v>
      </x:c>
      <x:c r="X4972" t="str"/>
      <x:c r="Y4972" t="str">
        <x:v>Field Visit</x:v>
      </x:c>
    </x:row>
    <x:row r="4973">
      <x:c r="A4973" t="str">
        <x:v>O004972</x:v>
      </x:c>
      <x:c r="B4973" s="20" t="n">
        <x:v>45869</x:v>
      </x:c>
      <x:c r="C4973" t="str">
        <x:v>C0244</x:v>
      </x:c>
      <x:c r="D4973" t="str">
        <x:v>Namma Hotel 244</x:v>
      </x:c>
      <x:c r="E4973" t="str">
        <x:v>Kirana</x:v>
      </x:c>
      <x:c r="F4973" t="str">
        <x:v>Tumakuru</x:v>
      </x:c>
      <x:c r="G4973" t="str">
        <x:v>Sneha</x:v>
      </x:c>
      <x:c r="H4973" t="str">
        <x:v>P004</x:v>
      </x:c>
      <x:c r="I4973" t="str">
        <x:v>Toor Dal 5kg</x:v>
      </x:c>
      <x:c r="J4973" t="str">
        <x:v>Pulses</x:v>
      </x:c>
      <x:c r="K4973" t="str">
        <x:v>Tata Sampann</x:v>
      </x:c>
      <x:c r="L4973" s="22" t="n">
        <x:v>780</x:v>
      </x:c>
      <x:c r="M4973" t="n">
        <x:v>25</x:v>
      </x:c>
      <x:c r="N4973" s="24" t="n">
        <x:v>0.02</x:v>
      </x:c>
      <x:c r="O4973" s="22" t="n">
        <x:f>L4973*M4973</x:f>
        <x:v>19500</x:v>
      </x:c>
      <x:c r="P4973" s="22" t="n">
        <x:f>O4973*(1-N4973)</x:f>
        <x:v>19110</x:v>
      </x:c>
      <x:c r="Q4973" s="22" t="n">
        <x:v>695</x:v>
      </x:c>
      <x:c r="R4973" s="22" t="n">
        <x:f>Q4973*M4973</x:f>
        <x:v>17375</x:v>
      </x:c>
      <x:c r="S4973" s="22" t="n">
        <x:f>P4973-R4973</x:f>
        <x:v>1735</x:v>
      </x:c>
      <x:c r="T4973" t="str">
        <x:v>Cash</x:v>
      </x:c>
      <x:c r="U4973" t="str">
        <x:v>Overdue</x:v>
      </x:c>
      <x:c r="V4973" t="str">
        <x:v>Delivered</x:v>
      </x:c>
      <x:c r="W4973" t="n">
        <x:v>0</x:v>
      </x:c>
      <x:c r="X4973" t="str"/>
      <x:c r="Y4973" t="str">
        <x:v>Referral</x:v>
      </x:c>
    </x:row>
    <x:row r="4974">
      <x:c r="A4974" t="str">
        <x:v>O004973</x:v>
      </x:c>
      <x:c r="B4974" s="20" t="n">
        <x:v>46092</x:v>
      </x:c>
      <x:c r="C4974" t="str">
        <x:v>C0066</x:v>
      </x:c>
      <x:c r="D4974" t="str">
        <x:v>Hotel Hotel 66</x:v>
      </x:c>
      <x:c r="E4974" t="str">
        <x:v>Restaurant</x:v>
      </x:c>
      <x:c r="F4974" t="str">
        <x:v>Davanagere</x:v>
      </x:c>
      <x:c r="G4974" t="str">
        <x:v>Megha</x:v>
      </x:c>
      <x:c r="H4974" t="str">
        <x:v>P028</x:v>
      </x:c>
      <x:c r="I4974" t="str">
        <x:v>Cookies 200g</x:v>
      </x:c>
      <x:c r="J4974" t="str">
        <x:v>Snacks</x:v>
      </x:c>
      <x:c r="K4974" t="str">
        <x:v>Britannia</x:v>
      </x:c>
      <x:c r="L4974" s="22" t="n">
        <x:v>55</x:v>
      </x:c>
      <x:c r="M4974" t="n">
        <x:v>29</x:v>
      </x:c>
      <x:c r="N4974" s="24" t="n">
        <x:v>0.08</x:v>
      </x:c>
      <x:c r="O4974" s="22" t="n">
        <x:f>L4974*M4974</x:f>
        <x:v>1595</x:v>
      </x:c>
      <x:c r="P4974" s="22" t="n">
        <x:f>O4974*(1-N4974)</x:f>
        <x:v>1467.4</x:v>
      </x:c>
      <x:c r="Q4974" s="22" t="n">
        <x:v>42</x:v>
      </x:c>
      <x:c r="R4974" s="22" t="n">
        <x:f>Q4974*M4974</x:f>
        <x:v>1218</x:v>
      </x:c>
      <x:c r="S4974" s="22" t="n">
        <x:f>P4974-R4974</x:f>
        <x:v>249.4000000000001</x:v>
      </x:c>
      <x:c r="T4974" t="str">
        <x:v>Bank Transfer</x:v>
      </x:c>
      <x:c r="U4974" t="str">
        <x:v>Paid</x:v>
      </x:c>
      <x:c r="V4974" t="str">
        <x:v>Cancelled</x:v>
      </x:c>
      <x:c r="W4974" t="n">
        <x:v>29</x:v>
      </x:c>
      <x:c r="X4974" t="str">
        <x:v>Cancelled Order</x:v>
      </x:c>
      <x:c r="Y4974" t="str">
        <x:v>WhatsApp</x:v>
      </x:c>
    </x:row>
    <x:row r="4975">
      <x:c r="A4975" t="str">
        <x:v>O004974</x:v>
      </x:c>
      <x:c r="B4975" s="20" t="n">
        <x:v>46108</x:v>
      </x:c>
      <x:c r="C4975" t="str">
        <x:v>C0127</x:v>
      </x:c>
      <x:c r="D4975" t="str">
        <x:v>Grand Mart 127</x:v>
      </x:c>
      <x:c r="E4975" t="str">
        <x:v>Canteen</x:v>
      </x:c>
      <x:c r="F4975" t="str">
        <x:v>Hubballi</x:v>
      </x:c>
      <x:c r="G4975" t="str">
        <x:v>Imran</x:v>
      </x:c>
      <x:c r="H4975" t="str">
        <x:v>P020</x:v>
      </x:c>
      <x:c r="I4975" t="str">
        <x:v>Coffee 500g</x:v>
      </x:c>
      <x:c r="J4975" t="str">
        <x:v>Beverage</x:v>
      </x:c>
      <x:c r="K4975" t="str">
        <x:v>Bru</x:v>
      </x:c>
      <x:c r="L4975" s="22" t="n">
        <x:v>390</x:v>
      </x:c>
      <x:c r="M4975" t="n">
        <x:v>38</x:v>
      </x:c>
      <x:c r="N4975" s="24" t="n">
        <x:v>0</x:v>
      </x:c>
      <x:c r="O4975" s="22" t="n">
        <x:f>L4975*M4975</x:f>
        <x:v>14820</x:v>
      </x:c>
      <x:c r="P4975" s="22" t="n">
        <x:f>O4975*(1-N4975)</x:f>
        <x:v>14820</x:v>
      </x:c>
      <x:c r="Q4975" s="22" t="n">
        <x:v>350</x:v>
      </x:c>
      <x:c r="R4975" s="22" t="n">
        <x:f>Q4975*M4975</x:f>
        <x:v>13300</x:v>
      </x:c>
      <x:c r="S4975" s="22" t="n">
        <x:f>P4975-R4975</x:f>
        <x:v>1520</x:v>
      </x:c>
      <x:c r="T4975" t="str">
        <x:v>Cash</x:v>
      </x:c>
      <x:c r="U4975" t="str">
        <x:v>Overdue</x:v>
      </x:c>
      <x:c r="V4975" t="str">
        <x:v>Delivered</x:v>
      </x:c>
      <x:c r="W4975" t="n">
        <x:v>0</x:v>
      </x:c>
      <x:c r="X4975" t="str"/>
      <x:c r="Y4975" t="str">
        <x:v>Referral</x:v>
      </x:c>
    </x:row>
    <x:row r="4976">
      <x:c r="A4976" t="str">
        <x:v>O004975</x:v>
      </x:c>
      <x:c r="B4976" s="20" t="n">
        <x:v>45702</x:v>
      </x:c>
      <x:c r="C4976" t="str">
        <x:v>C0194</x:v>
      </x:c>
      <x:c r="D4976" t="str">
        <x:v>Royal Hotel 194</x:v>
      </x:c>
      <x:c r="E4976" t="str">
        <x:v>Kirana</x:v>
      </x:c>
      <x:c r="F4976" t="str">
        <x:v>Mysuru</x:v>
      </x:c>
      <x:c r="G4976" t="str">
        <x:v>Megha</x:v>
      </x:c>
      <x:c r="H4976" t="str">
        <x:v>P011</x:v>
      </x:c>
      <x:c r="I4976" t="str">
        <x:v>Salt 1kg</x:v>
      </x:c>
      <x:c r="J4976" t="str">
        <x:v>Staples</x:v>
      </x:c>
      <x:c r="K4976" t="str">
        <x:v>Tata</x:v>
      </x:c>
      <x:c r="L4976" s="22" t="n">
        <x:v>28</x:v>
      </x:c>
      <x:c r="M4976" t="n">
        <x:v>24</x:v>
      </x:c>
      <x:c r="N4976" s="24" t="n">
        <x:v>0.03</x:v>
      </x:c>
      <x:c r="O4976" s="22" t="n">
        <x:f>L4976*M4976</x:f>
        <x:v>672</x:v>
      </x:c>
      <x:c r="P4976" s="22" t="n">
        <x:f>O4976*(1-N4976)</x:f>
        <x:v>651.84</x:v>
      </x:c>
      <x:c r="Q4976" s="22" t="n">
        <x:v>23</x:v>
      </x:c>
      <x:c r="R4976" s="22" t="n">
        <x:f>Q4976*M4976</x:f>
        <x:v>552</x:v>
      </x:c>
      <x:c r="S4976" s="22" t="n">
        <x:f>P4976-R4976</x:f>
        <x:v>99.84000000000003</x:v>
      </x:c>
      <x:c r="T4976" t="str">
        <x:v>Credit</x:v>
      </x:c>
      <x:c r="U4976" t="str">
        <x:v>Paid</x:v>
      </x:c>
      <x:c r="V4976" t="str">
        <x:v>Delivered</x:v>
      </x:c>
      <x:c r="W4976" t="n">
        <x:v>0</x:v>
      </x:c>
      <x:c r="X4976" t="str"/>
      <x:c r="Y4976" t="str">
        <x:v>Existing Customer</x:v>
      </x:c>
    </x:row>
    <x:row r="4977">
      <x:c r="A4977" t="str">
        <x:v>O004976</x:v>
      </x:c>
      <x:c r="B4977" s="20" t="n">
        <x:v>45936</x:v>
      </x:c>
      <x:c r="C4977" t="str">
        <x:v>C0014</x:v>
      </x:c>
      <x:c r="D4977" t="str">
        <x:v>Annapurna Canteen 14</x:v>
      </x:c>
      <x:c r="E4977" t="str">
        <x:v>Kirana</x:v>
      </x:c>
      <x:c r="F4977" t="str">
        <x:v>Davanagere</x:v>
      </x:c>
      <x:c r="G4977" t="str">
        <x:v>Sneha</x:v>
      </x:c>
      <x:c r="H4977" t="str">
        <x:v>P025</x:v>
      </x:c>
      <x:c r="I4977" t="str">
        <x:v>Potato Chips 100g</x:v>
      </x:c>
      <x:c r="J4977" t="str">
        <x:v>Snacks</x:v>
      </x:c>
      <x:c r="K4977" t="str">
        <x:v>Lay's</x:v>
      </x:c>
      <x:c r="L4977" s="22" t="n">
        <x:v>35</x:v>
      </x:c>
      <x:c r="M4977" t="n">
        <x:v>15</x:v>
      </x:c>
      <x:c r="N4977" s="24" t="n">
        <x:v>0.03</x:v>
      </x:c>
      <x:c r="O4977" s="22" t="n">
        <x:f>L4977*M4977</x:f>
        <x:v>525</x:v>
      </x:c>
      <x:c r="P4977" s="22" t="n">
        <x:f>O4977*(1-N4977)</x:f>
        <x:v>509.25</x:v>
      </x:c>
      <x:c r="Q4977" s="22" t="n">
        <x:v>27</x:v>
      </x:c>
      <x:c r="R4977" s="22" t="n">
        <x:f>Q4977*M4977</x:f>
        <x:v>405</x:v>
      </x:c>
      <x:c r="S4977" s="22" t="n">
        <x:f>P4977-R4977</x:f>
        <x:v>104.25</x:v>
      </x:c>
      <x:c r="T4977" t="str">
        <x:v>Credit</x:v>
      </x:c>
      <x:c r="U4977" t="str">
        <x:v>Paid</x:v>
      </x:c>
      <x:c r="V4977" t="str">
        <x:v>Cancelled</x:v>
      </x:c>
      <x:c r="W4977" t="n">
        <x:v>15</x:v>
      </x:c>
      <x:c r="X4977" t="str">
        <x:v>Cancelled Order</x:v>
      </x:c>
      <x:c r="Y4977" t="str">
        <x:v>Referral</x:v>
      </x:c>
    </x:row>
    <x:row r="4978">
      <x:c r="A4978" t="str">
        <x:v>O004977</x:v>
      </x:c>
      <x:c r="B4978" s="20" t="n">
        <x:v>46155</x:v>
      </x:c>
      <x:c r="C4978" t="str">
        <x:v>C0193</x:v>
      </x:c>
      <x:c r="D4978" t="str">
        <x:v>Udupi Cafe 193</x:v>
      </x:c>
      <x:c r="E4978" t="str">
        <x:v>Restaurant</x:v>
      </x:c>
      <x:c r="F4978" t="str">
        <x:v>Hubballi</x:v>
      </x:c>
      <x:c r="G4978" t="str">
        <x:v>Sneha</x:v>
      </x:c>
      <x:c r="H4978" t="str">
        <x:v>P033</x:v>
      </x:c>
      <x:c r="I4978" t="str">
        <x:v>Turmeric Powder 1kg</x:v>
      </x:c>
      <x:c r="J4978" t="str">
        <x:v>Spices</x:v>
      </x:c>
      <x:c r="K4978" t="str">
        <x:v>Everest</x:v>
      </x:c>
      <x:c r="L4978" s="22" t="n">
        <x:v>310</x:v>
      </x:c>
      <x:c r="M4978" t="n">
        <x:v>15</x:v>
      </x:c>
      <x:c r="N4978" s="24" t="n">
        <x:v>0</x:v>
      </x:c>
      <x:c r="O4978" s="22" t="n">
        <x:f>L4978*M4978</x:f>
        <x:v>4650</x:v>
      </x:c>
      <x:c r="P4978" s="22" t="n">
        <x:f>O4978*(1-N4978)</x:f>
        <x:v>4650</x:v>
      </x:c>
      <x:c r="Q4978" s="22" t="n">
        <x:v>270</x:v>
      </x:c>
      <x:c r="R4978" s="22" t="n">
        <x:f>Q4978*M4978</x:f>
        <x:v>4050</x:v>
      </x:c>
      <x:c r="S4978" s="22" t="n">
        <x:f>P4978-R4978</x:f>
        <x:v>600</x:v>
      </x:c>
      <x:c r="T4978" t="str">
        <x:v>Credit</x:v>
      </x:c>
      <x:c r="U4978" t="str">
        <x:v>Paid</x:v>
      </x:c>
      <x:c r="V4978" t="str">
        <x:v>Delivered</x:v>
      </x:c>
      <x:c r="W4978" t="n">
        <x:v>0</x:v>
      </x:c>
      <x:c r="X4978" t="str"/>
      <x:c r="Y4978" t="str">
        <x:v>Field Visit</x:v>
      </x:c>
    </x:row>
    <x:row r="4979">
      <x:c r="A4979" t="str">
        <x:v>O004978</x:v>
      </x:c>
      <x:c r="B4979" s="20" t="n">
        <x:v>46275</x:v>
      </x:c>
      <x:c r="C4979" t="str">
        <x:v>C0227</x:v>
      </x:c>
      <x:c r="D4979" t="str">
        <x:v>Metro Restaurant 227</x:v>
      </x:c>
      <x:c r="E4979" t="str">
        <x:v>Restaurant</x:v>
      </x:c>
      <x:c r="F4979" t="str">
        <x:v>Davanagere</x:v>
      </x:c>
      <x:c r="G4979" t="str">
        <x:v>Kavya</x:v>
      </x:c>
      <x:c r="H4979" t="str">
        <x:v>P037</x:v>
      </x:c>
      <x:c r="I4979" t="str">
        <x:v>Frozen Peas 1kg</x:v>
      </x:c>
      <x:c r="J4979" t="str">
        <x:v>Frozen</x:v>
      </x:c>
      <x:c r="K4979" t="str">
        <x:v>Safal</x:v>
      </x:c>
      <x:c r="L4979" s="22" t="n">
        <x:v>155</x:v>
      </x:c>
      <x:c r="M4979" t="n">
        <x:v>24</x:v>
      </x:c>
      <x:c r="N4979" s="24" t="n">
        <x:v>0</x:v>
      </x:c>
      <x:c r="O4979" s="22" t="n">
        <x:f>L4979*M4979</x:f>
        <x:v>3720</x:v>
      </x:c>
      <x:c r="P4979" s="22" t="n">
        <x:f>O4979*(1-N4979)</x:f>
        <x:v>3720</x:v>
      </x:c>
      <x:c r="Q4979" s="22" t="n">
        <x:v>138</x:v>
      </x:c>
      <x:c r="R4979" s="22" t="n">
        <x:f>Q4979*M4979</x:f>
        <x:v>3312</x:v>
      </x:c>
      <x:c r="S4979" s="22" t="n">
        <x:f>P4979-R4979</x:f>
        <x:v>408</x:v>
      </x:c>
      <x:c r="T4979" t="str">
        <x:v>UPI</x:v>
      </x:c>
      <x:c r="U4979" t="str">
        <x:v>Paid</x:v>
      </x:c>
      <x:c r="V4979" t="str">
        <x:v>Cancelled</x:v>
      </x:c>
      <x:c r="W4979" t="n">
        <x:v>24</x:v>
      </x:c>
      <x:c r="X4979" t="str">
        <x:v>Cancelled Order</x:v>
      </x:c>
      <x:c r="Y4979" t="str">
        <x:v>Field Visit</x:v>
      </x:c>
    </x:row>
    <x:row r="4980">
      <x:c r="A4980" t="str">
        <x:v>O004979</x:v>
      </x:c>
      <x:c r="B4980" s="20" t="n">
        <x:v>45662</x:v>
      </x:c>
      <x:c r="C4980" t="str">
        <x:v>C0047</x:v>
      </x:c>
      <x:c r="D4980" t="str">
        <x:v>Shree Restaurant 47</x:v>
      </x:c>
      <x:c r="E4980" t="str">
        <x:v>Canteen</x:v>
      </x:c>
      <x:c r="F4980" t="str">
        <x:v>Davanagere</x:v>
      </x:c>
      <x:c r="G4980" t="str">
        <x:v>Arjun</x:v>
      </x:c>
      <x:c r="H4980" t="str">
        <x:v>P017</x:v>
      </x:c>
      <x:c r="I4980" t="str">
        <x:v>Butter 500g</x:v>
      </x:c>
      <x:c r="J4980" t="str">
        <x:v>Dairy</x:v>
      </x:c>
      <x:c r="K4980" t="str">
        <x:v>Amul</x:v>
      </x:c>
      <x:c r="L4980" s="22" t="n">
        <x:v>285</x:v>
      </x:c>
      <x:c r="M4980" t="n">
        <x:v>6</x:v>
      </x:c>
      <x:c r="N4980" s="24" t="n">
        <x:v>0.02</x:v>
      </x:c>
      <x:c r="O4980" s="22" t="n">
        <x:f>L4980*M4980</x:f>
        <x:v>1710</x:v>
      </x:c>
      <x:c r="P4980" s="22" t="n">
        <x:f>O4980*(1-N4980)</x:f>
        <x:v>1675.8</x:v>
      </x:c>
      <x:c r="Q4980" s="22" t="n">
        <x:v>258</x:v>
      </x:c>
      <x:c r="R4980" s="22" t="n">
        <x:f>Q4980*M4980</x:f>
        <x:v>1548</x:v>
      </x:c>
      <x:c r="S4980" s="22" t="n">
        <x:f>P4980-R4980</x:f>
        <x:v>127.79999999999995</x:v>
      </x:c>
      <x:c r="T4980" t="str">
        <x:v>Cash</x:v>
      </x:c>
      <x:c r="U4980" t="str">
        <x:v>Paid</x:v>
      </x:c>
      <x:c r="V4980" t="str">
        <x:v>Cancelled</x:v>
      </x:c>
      <x:c r="W4980" t="n">
        <x:v>6</x:v>
      </x:c>
      <x:c r="X4980" t="str">
        <x:v>Cancelled Order</x:v>
      </x:c>
      <x:c r="Y4980" t="str">
        <x:v>WhatsApp</x:v>
      </x:c>
    </x:row>
    <x:row r="4981">
      <x:c r="A4981" t="str">
        <x:v>O004980</x:v>
      </x:c>
      <x:c r="B4981" s="20" t="n">
        <x:v>46195</x:v>
      </x:c>
      <x:c r="C4981" t="str">
        <x:v>C0202</x:v>
      </x:c>
      <x:c r="D4981" t="str">
        <x:v>Sagar Foods 202</x:v>
      </x:c>
      <x:c r="E4981" t="str">
        <x:v>Restaurant</x:v>
      </x:c>
      <x:c r="F4981" t="str">
        <x:v>Mangaluru</x:v>
      </x:c>
      <x:c r="G4981" t="str">
        <x:v>Kavya</x:v>
      </x:c>
      <x:c r="H4981" t="str">
        <x:v>P004</x:v>
      </x:c>
      <x:c r="I4981" t="str">
        <x:v>Toor Dal 5kg</x:v>
      </x:c>
      <x:c r="J4981" t="str">
        <x:v>Pulses</x:v>
      </x:c>
      <x:c r="K4981" t="str">
        <x:v>Tata Sampann</x:v>
      </x:c>
      <x:c r="L4981" s="22" t="n">
        <x:v>780</x:v>
      </x:c>
      <x:c r="M4981" t="n">
        <x:v>27</x:v>
      </x:c>
      <x:c r="N4981" s="24" t="n">
        <x:v>0.05</x:v>
      </x:c>
      <x:c r="O4981" s="22" t="n">
        <x:f>L4981*M4981</x:f>
        <x:v>21060</x:v>
      </x:c>
      <x:c r="P4981" s="22" t="n">
        <x:f>O4981*(1-N4981)</x:f>
        <x:v>20007</x:v>
      </x:c>
      <x:c r="Q4981" s="22" t="n">
        <x:v>695</x:v>
      </x:c>
      <x:c r="R4981" s="22" t="n">
        <x:f>Q4981*M4981</x:f>
        <x:v>18765</x:v>
      </x:c>
      <x:c r="S4981" s="22" t="n">
        <x:f>P4981-R4981</x:f>
        <x:v>1242</x:v>
      </x:c>
      <x:c r="T4981" t="str">
        <x:v>UPI</x:v>
      </x:c>
      <x:c r="U4981" t="str">
        <x:v>Paid</x:v>
      </x:c>
      <x:c r="V4981" t="str">
        <x:v>Delayed</x:v>
      </x:c>
      <x:c r="W4981" t="n">
        <x:v>0</x:v>
      </x:c>
      <x:c r="X4981" t="str"/>
      <x:c r="Y4981" t="str">
        <x:v>Referral</x:v>
      </x:c>
    </x:row>
    <x:row r="4982">
      <x:c r="A4982" t="str">
        <x:v>O004981</x:v>
      </x:c>
      <x:c r="B4982" s="20" t="n">
        <x:v>46036</x:v>
      </x:c>
      <x:c r="C4982" t="str">
        <x:v>C0184</x:v>
      </x:c>
      <x:c r="D4982" t="str">
        <x:v>Namma Restaurant 184</x:v>
      </x:c>
      <x:c r="E4982" t="str">
        <x:v>Cafe</x:v>
      </x:c>
      <x:c r="F4982" t="str">
        <x:v>Hubballi</x:v>
      </x:c>
      <x:c r="G4982" t="str">
        <x:v>Arjun</x:v>
      </x:c>
      <x:c r="H4982" t="str">
        <x:v>P048</x:v>
      </x:c>
      <x:c r="I4982" t="str">
        <x:v>Banana 10kg</x:v>
      </x:c>
      <x:c r="J4982" t="str">
        <x:v>Fresh Produce</x:v>
      </x:c>
      <x:c r="K4982" t="str">
        <x:v>Local Market</x:v>
      </x:c>
      <x:c r="L4982" s="22" t="n">
        <x:v>420</x:v>
      </x:c>
      <x:c r="M4982" t="n">
        <x:v>23</x:v>
      </x:c>
      <x:c r="N4982" s="24" t="n">
        <x:v>0.1</x:v>
      </x:c>
      <x:c r="O4982" s="22" t="n">
        <x:f>L4982*M4982</x:f>
        <x:v>9660</x:v>
      </x:c>
      <x:c r="P4982" s="22" t="n">
        <x:f>O4982*(1-N4982)</x:f>
        <x:v>8694</x:v>
      </x:c>
      <x:c r="Q4982" s="22" t="n">
        <x:v>350</x:v>
      </x:c>
      <x:c r="R4982" s="22" t="n">
        <x:f>Q4982*M4982</x:f>
        <x:v>8050</x:v>
      </x:c>
      <x:c r="S4982" s="22" t="n">
        <x:f>P4982-R4982</x:f>
        <x:v>644</x:v>
      </x:c>
      <x:c r="T4982" t="str">
        <x:v>Bank Transfer</x:v>
      </x:c>
      <x:c r="U4982" t="str">
        <x:v>Paid</x:v>
      </x:c>
      <x:c r="V4982" t="str">
        <x:v>Delivered</x:v>
      </x:c>
      <x:c r="W4982" t="n">
        <x:v>0</x:v>
      </x:c>
      <x:c r="X4982" t="str"/>
      <x:c r="Y4982" t="str">
        <x:v>Existing Customer</x:v>
      </x:c>
    </x:row>
    <x:row r="4983">
      <x:c r="A4983" t="str">
        <x:v>O004982</x:v>
      </x:c>
      <x:c r="B4983" s="20" t="n">
        <x:v>46117</x:v>
      </x:c>
      <x:c r="C4983" t="str">
        <x:v>C0196</x:v>
      </x:c>
      <x:c r="D4983" t="str">
        <x:v>Namma Mart 196</x:v>
      </x:c>
      <x:c r="E4983" t="str">
        <x:v>Cafe</x:v>
      </x:c>
      <x:c r="F4983" t="str">
        <x:v>Mangaluru</x:v>
      </x:c>
      <x:c r="G4983" t="str">
        <x:v>Kavya</x:v>
      </x:c>
      <x:c r="H4983" t="str">
        <x:v>P040</x:v>
      </x:c>
      <x:c r="I4983" t="str">
        <x:v>Bread Loaf 400g</x:v>
      </x:c>
      <x:c r="J4983" t="str">
        <x:v>Bakery</x:v>
      </x:c>
      <x:c r="K4983" t="str">
        <x:v>Britannia</x:v>
      </x:c>
      <x:c r="L4983" s="22" t="n">
        <x:v>45</x:v>
      </x:c>
      <x:c r="M4983" t="n">
        <x:v>37</x:v>
      </x:c>
      <x:c r="N4983" s="24" t="n">
        <x:v>0.03</x:v>
      </x:c>
      <x:c r="O4983" s="22" t="n">
        <x:f>L4983*M4983</x:f>
        <x:v>1665</x:v>
      </x:c>
      <x:c r="P4983" s="22" t="n">
        <x:f>O4983*(1-N4983)</x:f>
        <x:v>1615.05</x:v>
      </x:c>
      <x:c r="Q4983" s="22" t="n">
        <x:v>35</x:v>
      </x:c>
      <x:c r="R4983" s="22" t="n">
        <x:f>Q4983*M4983</x:f>
        <x:v>1295</x:v>
      </x:c>
      <x:c r="S4983" s="22" t="n">
        <x:f>P4983-R4983</x:f>
        <x:v>320.04999999999995</x:v>
      </x:c>
      <x:c r="T4983" t="str">
        <x:v>Credit</x:v>
      </x:c>
      <x:c r="U4983" t="str">
        <x:v>Paid</x:v>
      </x:c>
      <x:c r="V4983" t="str">
        <x:v>Delivered</x:v>
      </x:c>
      <x:c r="W4983" t="n">
        <x:v>0</x:v>
      </x:c>
      <x:c r="X4983" t="str"/>
      <x:c r="Y4983" t="str">
        <x:v>Referral</x:v>
      </x:c>
    </x:row>
    <x:row r="4984">
      <x:c r="A4984" t="str">
        <x:v>O004983</x:v>
      </x:c>
      <x:c r="B4984" s="20" t="n">
        <x:v>45968</x:v>
      </x:c>
      <x:c r="C4984" t="str">
        <x:v>C0166</x:v>
      </x:c>
      <x:c r="D4984" t="str">
        <x:v>Mysore Foods 166</x:v>
      </x:c>
      <x:c r="E4984" t="str">
        <x:v>Cafe</x:v>
      </x:c>
      <x:c r="F4984" t="str">
        <x:v>Mangaluru</x:v>
      </x:c>
      <x:c r="G4984" t="str">
        <x:v>Arjun</x:v>
      </x:c>
      <x:c r="H4984" t="str">
        <x:v>P004</x:v>
      </x:c>
      <x:c r="I4984" t="str">
        <x:v>Toor Dal 5kg</x:v>
      </x:c>
      <x:c r="J4984" t="str">
        <x:v>Pulses</x:v>
      </x:c>
      <x:c r="K4984" t="str">
        <x:v>Tata Sampann</x:v>
      </x:c>
      <x:c r="L4984" s="22" t="n">
        <x:v>780</x:v>
      </x:c>
      <x:c r="M4984" t="n">
        <x:v>14</x:v>
      </x:c>
      <x:c r="N4984" s="24" t="n">
        <x:v>0.02</x:v>
      </x:c>
      <x:c r="O4984" s="22" t="n">
        <x:f>L4984*M4984</x:f>
        <x:v>10920</x:v>
      </x:c>
      <x:c r="P4984" s="22" t="n">
        <x:f>O4984*(1-N4984)</x:f>
        <x:v>10701.6</x:v>
      </x:c>
      <x:c r="Q4984" s="22" t="n">
        <x:v>695</x:v>
      </x:c>
      <x:c r="R4984" s="22" t="n">
        <x:f>Q4984*M4984</x:f>
        <x:v>9730</x:v>
      </x:c>
      <x:c r="S4984" s="22" t="n">
        <x:f>P4984-R4984</x:f>
        <x:v>971.6000000000004</x:v>
      </x:c>
      <x:c r="T4984" t="str">
        <x:v>Bank Transfer</x:v>
      </x:c>
      <x:c r="U4984" t="str">
        <x:v>Pending</x:v>
      </x:c>
      <x:c r="V4984" t="str">
        <x:v>Delivered</x:v>
      </x:c>
      <x:c r="W4984" t="n">
        <x:v>0</x:v>
      </x:c>
      <x:c r="X4984" t="str"/>
      <x:c r="Y4984" t="str">
        <x:v>Field Visit</x:v>
      </x:c>
    </x:row>
    <x:row r="4985">
      <x:c r="A4985" t="str">
        <x:v>O004984</x:v>
      </x:c>
      <x:c r="B4985" s="20" t="n">
        <x:v>46198</x:v>
      </x:c>
      <x:c r="C4985" t="str">
        <x:v>C0127</x:v>
      </x:c>
      <x:c r="D4985" t="str">
        <x:v>Grand Mart 127</x:v>
      </x:c>
      <x:c r="E4985" t="str">
        <x:v>Canteen</x:v>
      </x:c>
      <x:c r="F4985" t="str">
        <x:v>Hubballi</x:v>
      </x:c>
      <x:c r="G4985" t="str">
        <x:v>Imran</x:v>
      </x:c>
      <x:c r="H4985" t="str">
        <x:v>P044</x:v>
      </x:c>
      <x:c r="I4985" t="str">
        <x:v>Chicken Curry Cut 1kg</x:v>
      </x:c>
      <x:c r="J4985" t="str">
        <x:v>Protein</x:v>
      </x:c>
      <x:c r="K4985" t="str">
        <x:v>FreshToHome</x:v>
      </x:c>
      <x:c r="L4985" s="22" t="n">
        <x:v>230</x:v>
      </x:c>
      <x:c r="M4985" t="n">
        <x:v>21</x:v>
      </x:c>
      <x:c r="N4985" s="24" t="n">
        <x:v>0</x:v>
      </x:c>
      <x:c r="O4985" s="22" t="n">
        <x:f>L4985*M4985</x:f>
        <x:v>4830</x:v>
      </x:c>
      <x:c r="P4985" s="22" t="n">
        <x:f>O4985*(1-N4985)</x:f>
        <x:v>4830</x:v>
      </x:c>
      <x:c r="Q4985" s="22" t="n">
        <x:v>205</x:v>
      </x:c>
      <x:c r="R4985" s="22" t="n">
        <x:f>Q4985*M4985</x:f>
        <x:v>4305</x:v>
      </x:c>
      <x:c r="S4985" s="22" t="n">
        <x:f>P4985-R4985</x:f>
        <x:v>525</x:v>
      </x:c>
      <x:c r="T4985" t="str">
        <x:v>Credit</x:v>
      </x:c>
      <x:c r="U4985" t="str">
        <x:v>Paid</x:v>
      </x:c>
      <x:c r="V4985" t="str">
        <x:v>Cancelled</x:v>
      </x:c>
      <x:c r="W4985" t="n">
        <x:v>21</x:v>
      </x:c>
      <x:c r="X4985" t="str">
        <x:v>Cancelled Order</x:v>
      </x:c>
      <x:c r="Y4985" t="str">
        <x:v>WhatsApp</x:v>
      </x:c>
    </x:row>
    <x:row r="4986">
      <x:c r="A4986" t="str">
        <x:v>O004985</x:v>
      </x:c>
      <x:c r="B4986" s="20" t="n">
        <x:v>45983</x:v>
      </x:c>
      <x:c r="C4986" t="str">
        <x:v>C0124</x:v>
      </x:c>
      <x:c r="D4986" t="str">
        <x:v>Green Hotel 124</x:v>
      </x:c>
      <x:c r="E4986" t="str">
        <x:v>Cafe</x:v>
      </x:c>
      <x:c r="F4986" t="str">
        <x:v>Bengaluru</x:v>
      </x:c>
      <x:c r="G4986" t="str">
        <x:v>Imran</x:v>
      </x:c>
      <x:c r="H4986" t="str">
        <x:v>P012</x:v>
      </x:c>
      <x:c r="I4986" t="str">
        <x:v>Maida 10kg</x:v>
      </x:c>
      <x:c r="J4986" t="str">
        <x:v>Flour</x:v>
      </x:c>
      <x:c r="K4986" t="str">
        <x:v>Aashirvaad</x:v>
      </x:c>
      <x:c r="L4986" s="22" t="n">
        <x:v>520</x:v>
      </x:c>
      <x:c r="M4986" t="n">
        <x:v>15</x:v>
      </x:c>
      <x:c r="N4986" s="24" t="n">
        <x:v>0</x:v>
      </x:c>
      <x:c r="O4986" s="22" t="n">
        <x:f>L4986*M4986</x:f>
        <x:v>7800</x:v>
      </x:c>
      <x:c r="P4986" s="22" t="n">
        <x:f>O4986*(1-N4986)</x:f>
        <x:v>7800</x:v>
      </x:c>
      <x:c r="Q4986" s="22" t="n">
        <x:v>460</x:v>
      </x:c>
      <x:c r="R4986" s="22" t="n">
        <x:f>Q4986*M4986</x:f>
        <x:v>6900</x:v>
      </x:c>
      <x:c r="S4986" s="22" t="n">
        <x:f>P4986-R4986</x:f>
        <x:v>900</x:v>
      </x:c>
      <x:c r="T4986" t="str">
        <x:v>UPI</x:v>
      </x:c>
      <x:c r="U4986" t="str">
        <x:v>Paid</x:v>
      </x:c>
      <x:c r="V4986" t="str">
        <x:v>Delivered</x:v>
      </x:c>
      <x:c r="W4986" t="n">
        <x:v>0</x:v>
      </x:c>
      <x:c r="X4986" t="str"/>
      <x:c r="Y4986" t="str">
        <x:v>WhatsApp</x:v>
      </x:c>
    </x:row>
    <x:row r="4987">
      <x:c r="A4987" t="str">
        <x:v>O004986</x:v>
      </x:c>
      <x:c r="B4987" s="20" t="n">
        <x:v>46267</x:v>
      </x:c>
      <x:c r="C4987" t="str">
        <x:v>C0134</x:v>
      </x:c>
      <x:c r="D4987" t="str">
        <x:v>Annapurna Stores 134</x:v>
      </x:c>
      <x:c r="E4987" t="str">
        <x:v>Cafe</x:v>
      </x:c>
      <x:c r="F4987" t="str">
        <x:v>Bengaluru</x:v>
      </x:c>
      <x:c r="G4987" t="str">
        <x:v>Kavya</x:v>
      </x:c>
      <x:c r="H4987" t="str">
        <x:v>P044</x:v>
      </x:c>
      <x:c r="I4987" t="str">
        <x:v>Chicken Curry Cut 1kg</x:v>
      </x:c>
      <x:c r="J4987" t="str">
        <x:v>Protein</x:v>
      </x:c>
      <x:c r="K4987" t="str">
        <x:v>FreshToHome</x:v>
      </x:c>
      <x:c r="L4987" s="22" t="n">
        <x:v>230</x:v>
      </x:c>
      <x:c r="M4987" t="n">
        <x:v>17</x:v>
      </x:c>
      <x:c r="N4987" s="24" t="n">
        <x:v>0.02</x:v>
      </x:c>
      <x:c r="O4987" s="22" t="n">
        <x:f>L4987*M4987</x:f>
        <x:v>3910</x:v>
      </x:c>
      <x:c r="P4987" s="22" t="n">
        <x:f>O4987*(1-N4987)</x:f>
        <x:v>3831.7999999999997</x:v>
      </x:c>
      <x:c r="Q4987" s="22" t="n">
        <x:v>205</x:v>
      </x:c>
      <x:c r="R4987" s="22" t="n">
        <x:f>Q4987*M4987</x:f>
        <x:v>3485</x:v>
      </x:c>
      <x:c r="S4987" s="22" t="n">
        <x:f>P4987-R4987</x:f>
        <x:v>346.7999999999997</x:v>
      </x:c>
      <x:c r="T4987" t="str">
        <x:v>UPI</x:v>
      </x:c>
      <x:c r="U4987" t="str">
        <x:v>Pending</x:v>
      </x:c>
      <x:c r="V4987" t="str">
        <x:v>Delayed</x:v>
      </x:c>
      <x:c r="W4987" t="n">
        <x:v>0</x:v>
      </x:c>
      <x:c r="X4987" t="str"/>
      <x:c r="Y4987" t="str">
        <x:v>Referral</x:v>
      </x:c>
    </x:row>
    <x:row r="4988">
      <x:c r="A4988" t="str">
        <x:v>O004987</x:v>
      </x:c>
      <x:c r="B4988" s="20" t="n">
        <x:v>45948</x:v>
      </x:c>
      <x:c r="C4988" t="str">
        <x:v>C0220</x:v>
      </x:c>
      <x:c r="D4988" t="str">
        <x:v>Udupi Canteen 220</x:v>
      </x:c>
      <x:c r="E4988" t="str">
        <x:v>Restaurant</x:v>
      </x:c>
      <x:c r="F4988" t="str">
        <x:v>Bengaluru</x:v>
      </x:c>
      <x:c r="G4988" t="str">
        <x:v>Sneha</x:v>
      </x:c>
      <x:c r="H4988" t="str">
        <x:v>P011</x:v>
      </x:c>
      <x:c r="I4988" t="str">
        <x:v>Salt 1kg</x:v>
      </x:c>
      <x:c r="J4988" t="str">
        <x:v>Staples</x:v>
      </x:c>
      <x:c r="K4988" t="str">
        <x:v>Tata</x:v>
      </x:c>
      <x:c r="L4988" s="22" t="n">
        <x:v>28</x:v>
      </x:c>
      <x:c r="M4988" t="n">
        <x:v>27</x:v>
      </x:c>
      <x:c r="N4988" s="24" t="n">
        <x:v>0.03</x:v>
      </x:c>
      <x:c r="O4988" s="22" t="n">
        <x:f>L4988*M4988</x:f>
        <x:v>756</x:v>
      </x:c>
      <x:c r="P4988" s="22" t="n">
        <x:f>O4988*(1-N4988)</x:f>
        <x:v>733.3199999999999</x:v>
      </x:c>
      <x:c r="Q4988" s="22" t="n">
        <x:v>23</x:v>
      </x:c>
      <x:c r="R4988" s="22" t="n">
        <x:f>Q4988*M4988</x:f>
        <x:v>621</x:v>
      </x:c>
      <x:c r="S4988" s="22" t="n">
        <x:f>P4988-R4988</x:f>
        <x:v>112.31999999999994</x:v>
      </x:c>
      <x:c r="T4988" t="str">
        <x:v>Bank Transfer</x:v>
      </x:c>
      <x:c r="U4988" t="str">
        <x:v>Paid</x:v>
      </x:c>
      <x:c r="V4988" t="str">
        <x:v>Delivered</x:v>
      </x:c>
      <x:c r="W4988" t="n">
        <x:v>0</x:v>
      </x:c>
      <x:c r="X4988" t="str"/>
      <x:c r="Y4988" t="str">
        <x:v>Outbound Call</x:v>
      </x:c>
    </x:row>
    <x:row r="4989">
      <x:c r="A4989" t="str">
        <x:v>O004988</x:v>
      </x:c>
      <x:c r="B4989" s="20" t="n">
        <x:v>45808</x:v>
      </x:c>
      <x:c r="C4989" t="str">
        <x:v>C0003</x:v>
      </x:c>
      <x:c r="D4989" t="str">
        <x:v>Grand Foods 3</x:v>
      </x:c>
      <x:c r="E4989" t="str">
        <x:v>Restaurant</x:v>
      </x:c>
      <x:c r="F4989" t="str">
        <x:v>Bengaluru</x:v>
      </x:c>
      <x:c r="G4989" t="str">
        <x:v>Vikram</x:v>
      </x:c>
      <x:c r="H4989" t="str">
        <x:v>P047</x:v>
      </x:c>
      <x:c r="I4989" t="str">
        <x:v>Tomato 25kg</x:v>
      </x:c>
      <x:c r="J4989" t="str">
        <x:v>Fresh Produce</x:v>
      </x:c>
      <x:c r="K4989" t="str">
        <x:v>Local Market</x:v>
      </x:c>
      <x:c r="L4989" s="22" t="n">
        <x:v>950</x:v>
      </x:c>
      <x:c r="M4989" t="n">
        <x:v>40</x:v>
      </x:c>
      <x:c r="N4989" s="24" t="n">
        <x:v>0.1</x:v>
      </x:c>
      <x:c r="O4989" s="22" t="n">
        <x:f>L4989*M4989</x:f>
        <x:v>38000</x:v>
      </x:c>
      <x:c r="P4989" s="22" t="n">
        <x:f>O4989*(1-N4989)</x:f>
        <x:v>34200</x:v>
      </x:c>
      <x:c r="Q4989" s="22" t="n">
        <x:v>810</x:v>
      </x:c>
      <x:c r="R4989" s="22" t="n">
        <x:f>Q4989*M4989</x:f>
        <x:v>32400</x:v>
      </x:c>
      <x:c r="S4989" s="22" t="n">
        <x:f>P4989-R4989</x:f>
        <x:v>1800</x:v>
      </x:c>
      <x:c r="T4989" t="str">
        <x:v>Cash</x:v>
      </x:c>
      <x:c r="U4989" t="str">
        <x:v>Pending</x:v>
      </x:c>
      <x:c r="V4989" t="str">
        <x:v>Cancelled</x:v>
      </x:c>
      <x:c r="W4989" t="n">
        <x:v>40</x:v>
      </x:c>
      <x:c r="X4989" t="str">
        <x:v>Cancelled Order</x:v>
      </x:c>
      <x:c r="Y4989" t="str">
        <x:v>WhatsApp</x:v>
      </x:c>
    </x:row>
    <x:row r="4990">
      <x:c r="A4990" t="str">
        <x:v>O004989</x:v>
      </x:c>
      <x:c r="B4990" s="20" t="n">
        <x:v>46230</x:v>
      </x:c>
      <x:c r="C4990" t="str">
        <x:v>C0019</x:v>
      </x:c>
      <x:c r="D4990" t="str">
        <x:v>Grand Kitchen 19</x:v>
      </x:c>
      <x:c r="E4990" t="str">
        <x:v>Supermarket</x:v>
      </x:c>
      <x:c r="F4990" t="str">
        <x:v>Tumakuru</x:v>
      </x:c>
      <x:c r="G4990" t="str">
        <x:v>Sneha</x:v>
      </x:c>
      <x:c r="H4990" t="str">
        <x:v>P050</x:v>
      </x:c>
      <x:c r="I4990" t="str">
        <x:v>Lemon 5kg</x:v>
      </x:c>
      <x:c r="J4990" t="str">
        <x:v>Fresh Produce</x:v>
      </x:c>
      <x:c r="K4990" t="str">
        <x:v>Local Market</x:v>
      </x:c>
      <x:c r="L4990" s="22" t="n">
        <x:v>360</x:v>
      </x:c>
      <x:c r="M4990" t="n">
        <x:v>32</x:v>
      </x:c>
      <x:c r="N4990" s="24" t="n">
        <x:v>0.02</x:v>
      </x:c>
      <x:c r="O4990" s="22" t="n">
        <x:f>L4990*M4990</x:f>
        <x:v>11520</x:v>
      </x:c>
      <x:c r="P4990" s="22" t="n">
        <x:f>O4990*(1-N4990)</x:f>
        <x:v>11289.6</x:v>
      </x:c>
      <x:c r="Q4990" s="22" t="n">
        <x:v>300</x:v>
      </x:c>
      <x:c r="R4990" s="22" t="n">
        <x:f>Q4990*M4990</x:f>
        <x:v>9600</x:v>
      </x:c>
      <x:c r="S4990" s="22" t="n">
        <x:f>P4990-R4990</x:f>
        <x:v>1689.6000000000004</x:v>
      </x:c>
      <x:c r="T4990" t="str">
        <x:v>UPI</x:v>
      </x:c>
      <x:c r="U4990" t="str">
        <x:v>Paid</x:v>
      </x:c>
      <x:c r="V4990" t="str">
        <x:v>Delivered</x:v>
      </x:c>
      <x:c r="W4990" t="n">
        <x:v>2</x:v>
      </x:c>
      <x:c r="X4990" t="str">
        <x:v>Late Delivery</x:v>
      </x:c>
      <x:c r="Y4990" t="str">
        <x:v>Outbound Call</x:v>
      </x:c>
    </x:row>
    <x:row r="4991">
      <x:c r="A4991" t="str">
        <x:v>O004990</x:v>
      </x:c>
      <x:c r="B4991" s="20" t="n">
        <x:v>45724</x:v>
      </x:c>
      <x:c r="C4991" t="str">
        <x:v>C0162</x:v>
      </x:c>
      <x:c r="D4991" t="str">
        <x:v>Udupi Foods 162</x:v>
      </x:c>
      <x:c r="E4991" t="str">
        <x:v>Restaurant</x:v>
      </x:c>
      <x:c r="F4991" t="str">
        <x:v>Mysuru</x:v>
      </x:c>
      <x:c r="G4991" t="str">
        <x:v>Ramesh</x:v>
      </x:c>
      <x:c r="H4991" t="str">
        <x:v>P002</x:v>
      </x:c>
      <x:c r="I4991" t="str">
        <x:v>Sona Masoori Rice 25kg</x:v>
      </x:c>
      <x:c r="J4991" t="str">
        <x:v>Staples</x:v>
      </x:c>
      <x:c r="K4991" t="str">
        <x:v>Fortune</x:v>
      </x:c>
      <x:c r="L4991" s="22" t="n">
        <x:v>1320</x:v>
      </x:c>
      <x:c r="M4991" t="n">
        <x:v>5</x:v>
      </x:c>
      <x:c r="N4991" s="24" t="n">
        <x:v>0.05</x:v>
      </x:c>
      <x:c r="O4991" s="22" t="n">
        <x:f>L4991*M4991</x:f>
        <x:v>6600</x:v>
      </x:c>
      <x:c r="P4991" s="22" t="n">
        <x:f>O4991*(1-N4991)</x:f>
        <x:v>6270</x:v>
      </x:c>
      <x:c r="Q4991" s="22" t="n">
        <x:v>1160</x:v>
      </x:c>
      <x:c r="R4991" s="22" t="n">
        <x:f>Q4991*M4991</x:f>
        <x:v>5800</x:v>
      </x:c>
      <x:c r="S4991" s="22" t="n">
        <x:f>P4991-R4991</x:f>
        <x:v>470</x:v>
      </x:c>
      <x:c r="T4991" t="str">
        <x:v>Cash</x:v>
      </x:c>
      <x:c r="U4991" t="str">
        <x:v>Pending</x:v>
      </x:c>
      <x:c r="V4991" t="str">
        <x:v>Delivered</x:v>
      </x:c>
      <x:c r="W4991" t="n">
        <x:v>0</x:v>
      </x:c>
      <x:c r="X4991" t="str"/>
      <x:c r="Y4991" t="str">
        <x:v>WhatsApp</x:v>
      </x:c>
    </x:row>
    <x:row r="4992">
      <x:c r="A4992" t="str">
        <x:v>O004991</x:v>
      </x:c>
      <x:c r="B4992" s="20" t="n">
        <x:v>45953</x:v>
      </x:c>
      <x:c r="C4992" t="str">
        <x:v>C0145</x:v>
      </x:c>
      <x:c r="D4992" t="str">
        <x:v>Namma Cafe 145</x:v>
      </x:c>
      <x:c r="E4992" t="str">
        <x:v>Kirana</x:v>
      </x:c>
      <x:c r="F4992" t="str">
        <x:v>Tumakuru</x:v>
      </x:c>
      <x:c r="G4992" t="str">
        <x:v>Sneha</x:v>
      </x:c>
      <x:c r="H4992" t="str">
        <x:v>P043</x:v>
      </x:c>
      <x:c r="I4992" t="str">
        <x:v>Chicken Breast 1kg</x:v>
      </x:c>
      <x:c r="J4992" t="str">
        <x:v>Protein</x:v>
      </x:c>
      <x:c r="K4992" t="str">
        <x:v>FreshToHome</x:v>
      </x:c>
      <x:c r="L4992" s="22" t="n">
        <x:v>260</x:v>
      </x:c>
      <x:c r="M4992" t="n">
        <x:v>5</x:v>
      </x:c>
      <x:c r="N4992" s="24" t="n">
        <x:v>0.05</x:v>
      </x:c>
      <x:c r="O4992" s="22" t="n">
        <x:f>L4992*M4992</x:f>
        <x:v>1300</x:v>
      </x:c>
      <x:c r="P4992" s="22" t="n">
        <x:f>O4992*(1-N4992)</x:f>
        <x:v>1235</x:v>
      </x:c>
      <x:c r="Q4992" s="22" t="n">
        <x:v>235</x:v>
      </x:c>
      <x:c r="R4992" s="22" t="n">
        <x:f>Q4992*M4992</x:f>
        <x:v>1175</x:v>
      </x:c>
      <x:c r="S4992" s="22" t="n">
        <x:f>P4992-R4992</x:f>
        <x:v>60</x:v>
      </x:c>
      <x:c r="T4992" t="str">
        <x:v>Bank Transfer</x:v>
      </x:c>
      <x:c r="U4992" t="str">
        <x:v>Paid</x:v>
      </x:c>
      <x:c r="V4992" t="str">
        <x:v>Delivered</x:v>
      </x:c>
      <x:c r="W4992" t="n">
        <x:v>0</x:v>
      </x:c>
      <x:c r="X4992" t="str"/>
      <x:c r="Y4992" t="str">
        <x:v>Outbound Call</x:v>
      </x:c>
    </x:row>
    <x:row r="4993">
      <x:c r="A4993" t="str">
        <x:v>O004992</x:v>
      </x:c>
      <x:c r="B4993" s="20" t="n">
        <x:v>45885</x:v>
      </x:c>
      <x:c r="C4993" t="str">
        <x:v>C0200</x:v>
      </x:c>
      <x:c r="D4993" t="str">
        <x:v>Sagar Kitchen 200</x:v>
      </x:c>
      <x:c r="E4993" t="str">
        <x:v>Cafe</x:v>
      </x:c>
      <x:c r="F4993" t="str">
        <x:v>Bengaluru</x:v>
      </x:c>
      <x:c r="G4993" t="str">
        <x:v>Arjun</x:v>
      </x:c>
      <x:c r="H4993" t="str">
        <x:v>P047</x:v>
      </x:c>
      <x:c r="I4993" t="str">
        <x:v>Tomato 25kg</x:v>
      </x:c>
      <x:c r="J4993" t="str">
        <x:v>Fresh Produce</x:v>
      </x:c>
      <x:c r="K4993" t="str">
        <x:v>Local Market</x:v>
      </x:c>
      <x:c r="L4993" s="22" t="n">
        <x:v>950</x:v>
      </x:c>
      <x:c r="M4993" t="n">
        <x:v>10</x:v>
      </x:c>
      <x:c r="N4993" s="24" t="n">
        <x:v>0.05</x:v>
      </x:c>
      <x:c r="O4993" s="22" t="n">
        <x:f>L4993*M4993</x:f>
        <x:v>9500</x:v>
      </x:c>
      <x:c r="P4993" s="22" t="n">
        <x:f>O4993*(1-N4993)</x:f>
        <x:v>9025</x:v>
      </x:c>
      <x:c r="Q4993" s="22" t="n">
        <x:v>810</x:v>
      </x:c>
      <x:c r="R4993" s="22" t="n">
        <x:f>Q4993*M4993</x:f>
        <x:v>8100</x:v>
      </x:c>
      <x:c r="S4993" s="22" t="n">
        <x:f>P4993-R4993</x:f>
        <x:v>925</x:v>
      </x:c>
      <x:c r="T4993" t="str">
        <x:v>Cash</x:v>
      </x:c>
      <x:c r="U4993" t="str">
        <x:v>Paid</x:v>
      </x:c>
      <x:c r="V4993" t="str">
        <x:v>Delivered</x:v>
      </x:c>
      <x:c r="W4993" t="n">
        <x:v>0</x:v>
      </x:c>
      <x:c r="X4993" t="str"/>
      <x:c r="Y4993" t="str">
        <x:v>Referral</x:v>
      </x:c>
    </x:row>
    <x:row r="4994">
      <x:c r="A4994" t="str">
        <x:v>O004993</x:v>
      </x:c>
      <x:c r="B4994" s="20" t="n">
        <x:v>46154</x:v>
      </x:c>
      <x:c r="C4994" t="str">
        <x:v>C0193</x:v>
      </x:c>
      <x:c r="D4994" t="str">
        <x:v>Udupi Cafe 193</x:v>
      </x:c>
      <x:c r="E4994" t="str">
        <x:v>Restaurant</x:v>
      </x:c>
      <x:c r="F4994" t="str">
        <x:v>Hubballi</x:v>
      </x:c>
      <x:c r="G4994" t="str">
        <x:v>Sneha</x:v>
      </x:c>
      <x:c r="H4994" t="str">
        <x:v>P016</x:v>
      </x:c>
      <x:c r="I4994" t="str">
        <x:v>Curd 1kg</x:v>
      </x:c>
      <x:c r="J4994" t="str">
        <x:v>Dairy</x:v>
      </x:c>
      <x:c r="K4994" t="str">
        <x:v>Nandini</x:v>
      </x:c>
      <x:c r="L4994" s="22" t="n">
        <x:v>72</x:v>
      </x:c>
      <x:c r="M4994" t="n">
        <x:v>2</x:v>
      </x:c>
      <x:c r="N4994" s="24" t="n">
        <x:v>0.05</x:v>
      </x:c>
      <x:c r="O4994" s="22" t="n">
        <x:f>L4994*M4994</x:f>
        <x:v>144</x:v>
      </x:c>
      <x:c r="P4994" s="22" t="n">
        <x:f>O4994*(1-N4994)</x:f>
        <x:v>136.79999999999998</x:v>
      </x:c>
      <x:c r="Q4994" s="22" t="n">
        <x:v>64</x:v>
      </x:c>
      <x:c r="R4994" s="22" t="n">
        <x:f>Q4994*M4994</x:f>
        <x:v>128</x:v>
      </x:c>
      <x:c r="S4994" s="22" t="n">
        <x:f>P4994-R4994</x:f>
        <x:v>8.799999999999983</x:v>
      </x:c>
      <x:c r="T4994" t="str">
        <x:v>UPI</x:v>
      </x:c>
      <x:c r="U4994" t="str">
        <x:v>Paid</x:v>
      </x:c>
      <x:c r="V4994" t="str">
        <x:v>Delivered</x:v>
      </x:c>
      <x:c r="W4994" t="n">
        <x:v>0</x:v>
      </x:c>
      <x:c r="X4994" t="str"/>
      <x:c r="Y4994" t="str">
        <x:v>Existing Customer</x:v>
      </x:c>
    </x:row>
    <x:row r="4995">
      <x:c r="A4995" t="str">
        <x:v>O004994</x:v>
      </x:c>
      <x:c r="B4995" s="20" t="n">
        <x:v>45897</x:v>
      </x:c>
      <x:c r="C4995" t="str">
        <x:v>C0120</x:v>
      </x:c>
      <x:c r="D4995" t="str">
        <x:v>Foodie Foods 120</x:v>
      </x:c>
      <x:c r="E4995" t="str">
        <x:v>Hotel</x:v>
      </x:c>
      <x:c r="F4995" t="str">
        <x:v>Hubballi</x:v>
      </x:c>
      <x:c r="G4995" t="str">
        <x:v>Arjun</x:v>
      </x:c>
      <x:c r="H4995" t="str">
        <x:v>P031</x:v>
      </x:c>
      <x:c r="I4995" t="str">
        <x:v>Chilli Sauce 700g</x:v>
      </x:c>
      <x:c r="J4995" t="str">
        <x:v>Condiments</x:v>
      </x:c>
      <x:c r="K4995" t="str">
        <x:v>Ching's</x:v>
      </x:c>
      <x:c r="L4995" s="22" t="n">
        <x:v>130</x:v>
      </x:c>
      <x:c r="M4995" t="n">
        <x:v>31</x:v>
      </x:c>
      <x:c r="N4995" s="24" t="n">
        <x:v>0</x:v>
      </x:c>
      <x:c r="O4995" s="22" t="n">
        <x:f>L4995*M4995</x:f>
        <x:v>4030</x:v>
      </x:c>
      <x:c r="P4995" s="22" t="n">
        <x:f>O4995*(1-N4995)</x:f>
        <x:v>4030</x:v>
      </x:c>
      <x:c r="Q4995" s="22" t="n">
        <x:v>112</x:v>
      </x:c>
      <x:c r="R4995" s="22" t="n">
        <x:f>Q4995*M4995</x:f>
        <x:v>3472</x:v>
      </x:c>
      <x:c r="S4995" s="22" t="n">
        <x:f>P4995-R4995</x:f>
        <x:v>558</x:v>
      </x:c>
      <x:c r="T4995" t="str">
        <x:v>UPI</x:v>
      </x:c>
      <x:c r="U4995" t="str">
        <x:v>Overdue</x:v>
      </x:c>
      <x:c r="V4995" t="str">
        <x:v>Delayed</x:v>
      </x:c>
      <x:c r="W4995" t="n">
        <x:v>0</x:v>
      </x:c>
      <x:c r="X4995" t="str"/>
      <x:c r="Y4995" t="str">
        <x:v>Referral</x:v>
      </x:c>
    </x:row>
    <x:row r="4996">
      <x:c r="A4996" t="str">
        <x:v>O004995</x:v>
      </x:c>
      <x:c r="B4996" s="20" t="n">
        <x:v>46160</x:v>
      </x:c>
      <x:c r="C4996" t="str">
        <x:v>C0157</x:v>
      </x:c>
      <x:c r="D4996" t="str">
        <x:v>Fresh Canteen 157</x:v>
      </x:c>
      <x:c r="E4996" t="str">
        <x:v>Kirana</x:v>
      </x:c>
      <x:c r="F4996" t="str">
        <x:v>Mangaluru</x:v>
      </x:c>
      <x:c r="G4996" t="str">
        <x:v>Priya</x:v>
      </x:c>
      <x:c r="H4996" t="str">
        <x:v>P011</x:v>
      </x:c>
      <x:c r="I4996" t="str">
        <x:v>Salt 1kg</x:v>
      </x:c>
      <x:c r="J4996" t="str">
        <x:v>Staples</x:v>
      </x:c>
      <x:c r="K4996" t="str">
        <x:v>Tata</x:v>
      </x:c>
      <x:c r="L4996" s="22" t="n">
        <x:v>28</x:v>
      </x:c>
      <x:c r="M4996" t="n">
        <x:v>20</x:v>
      </x:c>
      <x:c r="N4996" s="24" t="n">
        <x:v>0.03</x:v>
      </x:c>
      <x:c r="O4996" s="22" t="n">
        <x:f>L4996*M4996</x:f>
        <x:v>560</x:v>
      </x:c>
      <x:c r="P4996" s="22" t="n">
        <x:f>O4996*(1-N4996)</x:f>
        <x:v>543.1999999999999</x:v>
      </x:c>
      <x:c r="Q4996" s="22" t="n">
        <x:v>23</x:v>
      </x:c>
      <x:c r="R4996" s="22" t="n">
        <x:f>Q4996*M4996</x:f>
        <x:v>460</x:v>
      </x:c>
      <x:c r="S4996" s="22" t="n">
        <x:f>P4996-R4996</x:f>
        <x:v>83.19999999999993</x:v>
      </x:c>
      <x:c r="T4996" t="str">
        <x:v>UPI</x:v>
      </x:c>
      <x:c r="U4996" t="str">
        <x:v>Paid</x:v>
      </x:c>
      <x:c r="V4996" t="str">
        <x:v>Delivered</x:v>
      </x:c>
      <x:c r="W4996" t="n">
        <x:v>0</x:v>
      </x:c>
      <x:c r="X4996" t="str"/>
      <x:c r="Y4996" t="str">
        <x:v>Existing Customer</x:v>
      </x:c>
    </x:row>
    <x:row r="4997">
      <x:c r="A4997" t="str">
        <x:v>O004996</x:v>
      </x:c>
      <x:c r="B4997" s="20" t="n">
        <x:v>46139</x:v>
      </x:c>
      <x:c r="C4997" t="str">
        <x:v>C0209</x:v>
      </x:c>
      <x:c r="D4997" t="str">
        <x:v>Shree Hotel 209</x:v>
      </x:c>
      <x:c r="E4997" t="str">
        <x:v>Restaurant</x:v>
      </x:c>
      <x:c r="F4997" t="str">
        <x:v>Tumakuru</x:v>
      </x:c>
      <x:c r="G4997" t="str">
        <x:v>Ramesh</x:v>
      </x:c>
      <x:c r="H4997" t="str">
        <x:v>P029</x:v>
      </x:c>
      <x:c r="I4997" t="str">
        <x:v>Tomato Ketchup 1kg</x:v>
      </x:c>
      <x:c r="J4997" t="str">
        <x:v>Condiments</x:v>
      </x:c>
      <x:c r="K4997" t="str">
        <x:v>Kissan</x:v>
      </x:c>
      <x:c r="L4997" s="22" t="n">
        <x:v>145</x:v>
      </x:c>
      <x:c r="M4997" t="n">
        <x:v>19</x:v>
      </x:c>
      <x:c r="N4997" s="24" t="n">
        <x:v>0</x:v>
      </x:c>
      <x:c r="O4997" s="22" t="n">
        <x:f>L4997*M4997</x:f>
        <x:v>2755</x:v>
      </x:c>
      <x:c r="P4997" s="22" t="n">
        <x:f>O4997*(1-N4997)</x:f>
        <x:v>2755</x:v>
      </x:c>
      <x:c r="Q4997" s="22" t="n">
        <x:v>126</x:v>
      </x:c>
      <x:c r="R4997" s="22" t="n">
        <x:f>Q4997*M4997</x:f>
        <x:v>2394</x:v>
      </x:c>
      <x:c r="S4997" s="22" t="n">
        <x:f>P4997-R4997</x:f>
        <x:v>361</x:v>
      </x:c>
      <x:c r="T4997" t="str">
        <x:v>Credit</x:v>
      </x:c>
      <x:c r="U4997" t="str">
        <x:v>Paid</x:v>
      </x:c>
      <x:c r="V4997" t="str">
        <x:v>Delayed</x:v>
      </x:c>
      <x:c r="W4997" t="n">
        <x:v>0</x:v>
      </x:c>
      <x:c r="X4997" t="str"/>
      <x:c r="Y4997" t="str">
        <x:v>Referral</x:v>
      </x:c>
    </x:row>
    <x:row r="4998">
      <x:c r="A4998" t="str">
        <x:v>O004997</x:v>
      </x:c>
      <x:c r="B4998" s="20" t="n">
        <x:v>46065</x:v>
      </x:c>
      <x:c r="C4998" t="str">
        <x:v>C0162</x:v>
      </x:c>
      <x:c r="D4998" t="str">
        <x:v>Udupi Foods 162</x:v>
      </x:c>
      <x:c r="E4998" t="str">
        <x:v>Restaurant</x:v>
      </x:c>
      <x:c r="F4998" t="str">
        <x:v>Mysuru</x:v>
      </x:c>
      <x:c r="G4998" t="str">
        <x:v>Ramesh</x:v>
      </x:c>
      <x:c r="H4998" t="str">
        <x:v>P044</x:v>
      </x:c>
      <x:c r="I4998" t="str">
        <x:v>Chicken Curry Cut 1kg</x:v>
      </x:c>
      <x:c r="J4998" t="str">
        <x:v>Protein</x:v>
      </x:c>
      <x:c r="K4998" t="str">
        <x:v>FreshToHome</x:v>
      </x:c>
      <x:c r="L4998" s="22" t="n">
        <x:v>230</x:v>
      </x:c>
      <x:c r="M4998" t="n">
        <x:v>25</x:v>
      </x:c>
      <x:c r="N4998" s="24" t="n">
        <x:v>0.05</x:v>
      </x:c>
      <x:c r="O4998" s="22" t="n">
        <x:f>L4998*M4998</x:f>
        <x:v>5750</x:v>
      </x:c>
      <x:c r="P4998" s="22" t="n">
        <x:f>O4998*(1-N4998)</x:f>
        <x:v>5462.5</x:v>
      </x:c>
      <x:c r="Q4998" s="22" t="n">
        <x:v>205</x:v>
      </x:c>
      <x:c r="R4998" s="22" t="n">
        <x:f>Q4998*M4998</x:f>
        <x:v>5125</x:v>
      </x:c>
      <x:c r="S4998" s="22" t="n">
        <x:f>P4998-R4998</x:f>
        <x:v>337.5</x:v>
      </x:c>
      <x:c r="T4998" t="str">
        <x:v>UPI</x:v>
      </x:c>
      <x:c r="U4998" t="str">
        <x:v>Paid</x:v>
      </x:c>
      <x:c r="V4998" t="str">
        <x:v>Delivered</x:v>
      </x:c>
      <x:c r="W4998" t="n">
        <x:v>0</x:v>
      </x:c>
      <x:c r="X4998" t="str"/>
      <x:c r="Y4998" t="str">
        <x:v>Existing Customer</x:v>
      </x:c>
    </x:row>
    <x:row r="4999">
      <x:c r="A4999" t="str">
        <x:v>O004998</x:v>
      </x:c>
      <x:c r="B4999" s="20" t="n">
        <x:v>46122</x:v>
      </x:c>
      <x:c r="C4999" t="str">
        <x:v>C0202</x:v>
      </x:c>
      <x:c r="D4999" t="str">
        <x:v>Sagar Foods 202</x:v>
      </x:c>
      <x:c r="E4999" t="str">
        <x:v>Restaurant</x:v>
      </x:c>
      <x:c r="F4999" t="str">
        <x:v>Mangaluru</x:v>
      </x:c>
      <x:c r="G4999" t="str">
        <x:v>Kavya</x:v>
      </x:c>
      <x:c r="H4999" t="str">
        <x:v>P016</x:v>
      </x:c>
      <x:c r="I4999" t="str">
        <x:v>Curd 1kg</x:v>
      </x:c>
      <x:c r="J4999" t="str">
        <x:v>Dairy</x:v>
      </x:c>
      <x:c r="K4999" t="str">
        <x:v>Nandini</x:v>
      </x:c>
      <x:c r="L4999" s="22" t="n">
        <x:v>72</x:v>
      </x:c>
      <x:c r="M4999" t="n">
        <x:v>3</x:v>
      </x:c>
      <x:c r="N4999" s="24" t="n">
        <x:v>0</x:v>
      </x:c>
      <x:c r="O4999" s="22" t="n">
        <x:f>L4999*M4999</x:f>
        <x:v>216</x:v>
      </x:c>
      <x:c r="P4999" s="22" t="n">
        <x:f>O4999*(1-N4999)</x:f>
        <x:v>216</x:v>
      </x:c>
      <x:c r="Q4999" s="22" t="n">
        <x:v>64</x:v>
      </x:c>
      <x:c r="R4999" s="22" t="n">
        <x:f>Q4999*M4999</x:f>
        <x:v>192</x:v>
      </x:c>
      <x:c r="S4999" s="22" t="n">
        <x:f>P4999-R4999</x:f>
        <x:v>24</x:v>
      </x:c>
      <x:c r="T4999" t="str">
        <x:v>UPI</x:v>
      </x:c>
      <x:c r="U4999" t="str">
        <x:v>Pending</x:v>
      </x:c>
      <x:c r="V4999" t="str">
        <x:v>Delivered</x:v>
      </x:c>
      <x:c r="W4999" t="n">
        <x:v>1</x:v>
      </x:c>
      <x:c r="X4999" t="str">
        <x:v>Wrong Item</x:v>
      </x:c>
      <x:c r="Y4999" t="str">
        <x:v>Referral</x:v>
      </x:c>
    </x:row>
    <x:row r="5000">
      <x:c r="A5000" t="str">
        <x:v>O004999</x:v>
      </x:c>
      <x:c r="B5000" s="20" t="n">
        <x:v>46063</x:v>
      </x:c>
      <x:c r="C5000" t="str">
        <x:v>C0044</x:v>
      </x:c>
      <x:c r="D5000" t="str">
        <x:v>Annapurna Mart 44</x:v>
      </x:c>
      <x:c r="E5000" t="str">
        <x:v>Kirana</x:v>
      </x:c>
      <x:c r="F5000" t="str">
        <x:v>Davanagere</x:v>
      </x:c>
      <x:c r="G5000" t="str">
        <x:v>Priya</x:v>
      </x:c>
      <x:c r="H5000" t="str">
        <x:v>P045</x:v>
      </x:c>
      <x:c r="I5000" t="str">
        <x:v>Onion 25kg</x:v>
      </x:c>
      <x:c r="J5000" t="str">
        <x:v>Fresh Produce</x:v>
      </x:c>
      <x:c r="K5000" t="str">
        <x:v>Local Market</x:v>
      </x:c>
      <x:c r="L5000" s="22" t="n">
        <x:v>875</x:v>
      </x:c>
      <x:c r="M5000" t="n">
        <x:v>36</x:v>
      </x:c>
      <x:c r="N5000" s="24" t="n">
        <x:v>0.05</x:v>
      </x:c>
      <x:c r="O5000" s="22" t="n">
        <x:f>L5000*M5000</x:f>
        <x:v>31500</x:v>
      </x:c>
      <x:c r="P5000" s="22" t="n">
        <x:f>O5000*(1-N5000)</x:f>
        <x:v>29925</x:v>
      </x:c>
      <x:c r="Q5000" s="22" t="n">
        <x:v>760</x:v>
      </x:c>
      <x:c r="R5000" s="22" t="n">
        <x:f>Q5000*M5000</x:f>
        <x:v>27360</x:v>
      </x:c>
      <x:c r="S5000" s="22" t="n">
        <x:f>P5000-R5000</x:f>
        <x:v>2565</x:v>
      </x:c>
      <x:c r="T5000" t="str">
        <x:v>UPI</x:v>
      </x:c>
      <x:c r="U5000" t="str">
        <x:v>Paid</x:v>
      </x:c>
      <x:c r="V5000" t="str">
        <x:v>Cancelled</x:v>
      </x:c>
      <x:c r="W5000" t="n">
        <x:v>36</x:v>
      </x:c>
      <x:c r="X5000" t="str">
        <x:v>Cancelled Order</x:v>
      </x:c>
      <x:c r="Y5000" t="str">
        <x:v>Outbound Call</x:v>
      </x:c>
    </x:row>
    <x:row r="5001">
      <x:c r="A5001" t="str">
        <x:v>O005000</x:v>
      </x:c>
      <x:c r="B5001" s="20" t="n">
        <x:v>46217</x:v>
      </x:c>
      <x:c r="C5001" t="str">
        <x:v>C0248</x:v>
      </x:c>
      <x:c r="D5001" t="str">
        <x:v>Royal Restaurant 248</x:v>
      </x:c>
      <x:c r="E5001" t="str">
        <x:v>Canteen</x:v>
      </x:c>
      <x:c r="F5001" t="str">
        <x:v>Mysuru</x:v>
      </x:c>
      <x:c r="G5001" t="str">
        <x:v>Priya</x:v>
      </x:c>
      <x:c r="H5001" t="str">
        <x:v>P005</x:v>
      </x:c>
      <x:c r="I5001" t="str">
        <x:v>Chana Dal 5kg</x:v>
      </x:c>
      <x:c r="J5001" t="str">
        <x:v>Pulses</x:v>
      </x:c>
      <x:c r="K5001" t="str">
        <x:v>Local Select</x:v>
      </x:c>
      <x:c r="L5001" s="22" t="n">
        <x:v>520</x:v>
      </x:c>
      <x:c r="M5001" t="n">
        <x:v>5</x:v>
      </x:c>
      <x:c r="N5001" s="24" t="n">
        <x:v>0.05</x:v>
      </x:c>
      <x:c r="O5001" s="22" t="n">
        <x:f>L5001*M5001</x:f>
        <x:v>2600</x:v>
      </x:c>
      <x:c r="P5001" s="22" t="n">
        <x:f>O5001*(1-N5001)</x:f>
        <x:v>2470</x:v>
      </x:c>
      <x:c r="Q5001" s="22" t="n">
        <x:v>455</x:v>
      </x:c>
      <x:c r="R5001" s="22" t="n">
        <x:f>Q5001*M5001</x:f>
        <x:v>2275</x:v>
      </x:c>
      <x:c r="S5001" s="22" t="n">
        <x:f>P5001-R5001</x:f>
        <x:v>195</x:v>
      </x:c>
      <x:c r="T5001" t="str">
        <x:v>Bank Transfer</x:v>
      </x:c>
      <x:c r="U5001" t="str">
        <x:v>Pending</x:v>
      </x:c>
      <x:c r="V5001" t="str">
        <x:v>Cancelled</x:v>
      </x:c>
      <x:c r="W5001" t="n">
        <x:v>5</x:v>
      </x:c>
      <x:c r="X5001" t="str">
        <x:v>Cancelled Order</x:v>
      </x:c>
      <x:c r="Y5001" t="str">
        <x:v>Existing Customer</x:v>
      </x:c>
    </x:row>
  </x:sheetData>
  <x:conditionalFormatting sqref="S2:S500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{3483B069-F1B7-8B2B-5E06-84F4CA61587C}</x14:id>
        </x:ext>
      </x:extLst>
    </x:cfRule>
  </x:conditionalFormatting>
  <x:conditionalFormatting sqref="U2:U5001">
    <x:cfRule type="expression" dxfId="0" priority="2">
      <x:formula>U2="Overdue"</x:formula>
    </x:cfRule>
  </x:conditionalFormatting>
  <x:conditionalFormatting sqref="V2:V5001">
    <x:cfRule type="expression" dxfId="1" priority="3">
      <x:formula>V2="Delayed"</x:formula>
    </x:cfRule>
    <x:cfRule type="expression" dxfId="2" priority="4">
      <x:formula>V2="Cancelled"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607958cc44471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483B069-F1B7-8B2B-5E06-84F4CA61587C}">
            <x14:dataBar gradient="1">
              <x14:cfvo type="min"/>
              <x14:cfvo type="max"/>
              <x14:fillColor rgb="FFA02B93"/>
            </x14:dataBar>
          </x14:cfRule>
          <xm:sqref>S2:S5001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Customer_ID</x:v>
      </x:c>
      <x:c r="B1" s="5" t="str">
        <x:v>Customer_Name</x:v>
      </x:c>
      <x:c r="C1" s="5" t="str">
        <x:v>Customer_Type</x:v>
      </x:c>
      <x:c r="D1" s="5" t="str">
        <x:v>City</x:v>
      </x:c>
      <x:c r="E1" s="5" t="str">
        <x:v>Segment</x:v>
      </x:c>
      <x:c r="F1" s="5" t="str">
        <x:v>Credit_Days</x:v>
      </x:c>
      <x:c r="G1" s="5" t="str">
        <x:v>Account_Owner</x:v>
      </x:c>
    </x:row>
    <x:row r="2">
      <x:c r="A2" t="str">
        <x:v>C0001</x:v>
      </x:c>
      <x:c r="B2" t="str">
        <x:v>Annapurna Cafe 1</x:v>
      </x:c>
      <x:c r="C2" t="str">
        <x:v>Hotel</x:v>
      </x:c>
      <x:c r="D2" t="str">
        <x:v>Davanagere</x:v>
      </x:c>
      <x:c r="E2" t="str">
        <x:v>A</x:v>
      </x:c>
      <x:c r="F2" t="n">
        <x:v>7</x:v>
      </x:c>
      <x:c r="G2" t="str">
        <x:v>Kavya</x:v>
      </x:c>
    </x:row>
    <x:row r="3">
      <x:c r="A3" t="str">
        <x:v>C0002</x:v>
      </x:c>
      <x:c r="B3" t="str">
        <x:v>City Kitchen 2</x:v>
      </x:c>
      <x:c r="C3" t="str">
        <x:v>Kirana</x:v>
      </x:c>
      <x:c r="D3" t="str">
        <x:v>Davanagere</x:v>
      </x:c>
      <x:c r="E3" t="str">
        <x:v>B</x:v>
      </x:c>
      <x:c r="F3" t="n">
        <x:v>45</x:v>
      </x:c>
      <x:c r="G3" t="str">
        <x:v>Arjun</x:v>
      </x:c>
    </x:row>
    <x:row r="4">
      <x:c r="A4" t="str">
        <x:v>C0003</x:v>
      </x:c>
      <x:c r="B4" t="str">
        <x:v>Grand Foods 3</x:v>
      </x:c>
      <x:c r="C4" t="str">
        <x:v>Restaurant</x:v>
      </x:c>
      <x:c r="D4" t="str">
        <x:v>Bengaluru</x:v>
      </x:c>
      <x:c r="E4" t="str">
        <x:v>A</x:v>
      </x:c>
      <x:c r="F4" t="n">
        <x:v>45</x:v>
      </x:c>
      <x:c r="G4" t="str">
        <x:v>Vikram</x:v>
      </x:c>
    </x:row>
    <x:row r="5">
      <x:c r="A5" t="str">
        <x:v>C0004</x:v>
      </x:c>
      <x:c r="B5" t="str">
        <x:v>Annapurna Foods 4</x:v>
      </x:c>
      <x:c r="C5" t="str">
        <x:v>Cafe</x:v>
      </x:c>
      <x:c r="D5" t="str">
        <x:v>Mysuru</x:v>
      </x:c>
      <x:c r="E5" t="str">
        <x:v>C</x:v>
      </x:c>
      <x:c r="F5" t="n">
        <x:v>7</x:v>
      </x:c>
      <x:c r="G5" t="str">
        <x:v>Priya</x:v>
      </x:c>
    </x:row>
    <x:row r="6">
      <x:c r="A6" t="str">
        <x:v>C0005</x:v>
      </x:c>
      <x:c r="B6" t="str">
        <x:v>Sagar Kitchen 5</x:v>
      </x:c>
      <x:c r="C6" t="str">
        <x:v>Restaurant</x:v>
      </x:c>
      <x:c r="D6" t="str">
        <x:v>Hubballi</x:v>
      </x:c>
      <x:c r="E6" t="str">
        <x:v>B</x:v>
      </x:c>
      <x:c r="F6" t="n">
        <x:v>0</x:v>
      </x:c>
      <x:c r="G6" t="str">
        <x:v>Priya</x:v>
      </x:c>
    </x:row>
    <x:row r="7">
      <x:c r="A7" t="str">
        <x:v>C0006</x:v>
      </x:c>
      <x:c r="B7" t="str">
        <x:v>New Restaurant 6</x:v>
      </x:c>
      <x:c r="C7" t="str">
        <x:v>Kirana</x:v>
      </x:c>
      <x:c r="D7" t="str">
        <x:v>Hubballi</x:v>
      </x:c>
      <x:c r="E7" t="str">
        <x:v>A</x:v>
      </x:c>
      <x:c r="F7" t="n">
        <x:v>45</x:v>
      </x:c>
      <x:c r="G7" t="str">
        <x:v>Vikram</x:v>
      </x:c>
    </x:row>
    <x:row r="8">
      <x:c r="A8" t="str">
        <x:v>C0007</x:v>
      </x:c>
      <x:c r="B8" t="str">
        <x:v>Mysore Stores 7</x:v>
      </x:c>
      <x:c r="C8" t="str">
        <x:v>Kirana</x:v>
      </x:c>
      <x:c r="D8" t="str">
        <x:v>Bengaluru</x:v>
      </x:c>
      <x:c r="E8" t="str">
        <x:v>A</x:v>
      </x:c>
      <x:c r="F8" t="n">
        <x:v>45</x:v>
      </x:c>
      <x:c r="G8" t="str">
        <x:v>Kavya</x:v>
      </x:c>
    </x:row>
    <x:row r="9">
      <x:c r="A9" t="str">
        <x:v>C0008</x:v>
      </x:c>
      <x:c r="B9" t="str">
        <x:v>Namma Kitchen 8</x:v>
      </x:c>
      <x:c r="C9" t="str">
        <x:v>Kirana</x:v>
      </x:c>
      <x:c r="D9" t="str">
        <x:v>Bengaluru</x:v>
      </x:c>
      <x:c r="E9" t="str">
        <x:v>C</x:v>
      </x:c>
      <x:c r="F9" t="n">
        <x:v>7</x:v>
      </x:c>
      <x:c r="G9" t="str">
        <x:v>Vikram</x:v>
      </x:c>
    </x:row>
    <x:row r="10">
      <x:c r="A10" t="str">
        <x:v>C0009</x:v>
      </x:c>
      <x:c r="B10" t="str">
        <x:v>Darshini Hotel 9</x:v>
      </x:c>
      <x:c r="C10" t="str">
        <x:v>Cafe</x:v>
      </x:c>
      <x:c r="D10" t="str">
        <x:v>Hubballi</x:v>
      </x:c>
      <x:c r="E10" t="str">
        <x:v>B</x:v>
      </x:c>
      <x:c r="F10" t="n">
        <x:v>15</x:v>
      </x:c>
      <x:c r="G10" t="str">
        <x:v>Imran</x:v>
      </x:c>
    </x:row>
    <x:row r="11">
      <x:c r="A11" t="str">
        <x:v>C0010</x:v>
      </x:c>
      <x:c r="B11" t="str">
        <x:v>Royal Hotel 10</x:v>
      </x:c>
      <x:c r="C11" t="str">
        <x:v>Canteen</x:v>
      </x:c>
      <x:c r="D11" t="str">
        <x:v>Davanagere</x:v>
      </x:c>
      <x:c r="E11" t="str">
        <x:v>C</x:v>
      </x:c>
      <x:c r="F11" t="n">
        <x:v>45</x:v>
      </x:c>
      <x:c r="G11" t="str">
        <x:v>Ramesh</x:v>
      </x:c>
    </x:row>
    <x:row r="12">
      <x:c r="A12" t="str">
        <x:v>C0011</x:v>
      </x:c>
      <x:c r="B12" t="str">
        <x:v>City Cafe 11</x:v>
      </x:c>
      <x:c r="C12" t="str">
        <x:v>Restaurant</x:v>
      </x:c>
      <x:c r="D12" t="str">
        <x:v>Mangaluru</x:v>
      </x:c>
      <x:c r="E12" t="str">
        <x:v>C</x:v>
      </x:c>
      <x:c r="F12" t="n">
        <x:v>15</x:v>
      </x:c>
      <x:c r="G12" t="str">
        <x:v>Arjun</x:v>
      </x:c>
    </x:row>
    <x:row r="13">
      <x:c r="A13" t="str">
        <x:v>C0012</x:v>
      </x:c>
      <x:c r="B13" t="str">
        <x:v>Sagar Canteen 12</x:v>
      </x:c>
      <x:c r="C13" t="str">
        <x:v>Supermarket</x:v>
      </x:c>
      <x:c r="D13" t="str">
        <x:v>Mysuru</x:v>
      </x:c>
      <x:c r="E13" t="str">
        <x:v>A</x:v>
      </x:c>
      <x:c r="F13" t="n">
        <x:v>15</x:v>
      </x:c>
      <x:c r="G13" t="str">
        <x:v>Priya</x:v>
      </x:c>
    </x:row>
    <x:row r="14">
      <x:c r="A14" t="str">
        <x:v>C0013</x:v>
      </x:c>
      <x:c r="B14" t="str">
        <x:v>Foodie Restaurant 13</x:v>
      </x:c>
      <x:c r="C14" t="str">
        <x:v>Kirana</x:v>
      </x:c>
      <x:c r="D14" t="str">
        <x:v>Mysuru</x:v>
      </x:c>
      <x:c r="E14" t="str">
        <x:v>B</x:v>
      </x:c>
      <x:c r="F14" t="n">
        <x:v>7</x:v>
      </x:c>
      <x:c r="G14" t="str">
        <x:v>Sneha</x:v>
      </x:c>
    </x:row>
    <x:row r="15">
      <x:c r="A15" t="str">
        <x:v>C0014</x:v>
      </x:c>
      <x:c r="B15" t="str">
        <x:v>Annapurna Canteen 14</x:v>
      </x:c>
      <x:c r="C15" t="str">
        <x:v>Kirana</x:v>
      </x:c>
      <x:c r="D15" t="str">
        <x:v>Davanagere</x:v>
      </x:c>
      <x:c r="E15" t="str">
        <x:v>B</x:v>
      </x:c>
      <x:c r="F15" t="n">
        <x:v>45</x:v>
      </x:c>
      <x:c r="G15" t="str">
        <x:v>Sneha</x:v>
      </x:c>
    </x:row>
    <x:row r="16">
      <x:c r="A16" t="str">
        <x:v>C0015</x:v>
      </x:c>
      <x:c r="B16" t="str">
        <x:v>Royal Foods 15</x:v>
      </x:c>
      <x:c r="C16" t="str">
        <x:v>Cafe</x:v>
      </x:c>
      <x:c r="D16" t="str">
        <x:v>Mysuru</x:v>
      </x:c>
      <x:c r="E16" t="str">
        <x:v>A</x:v>
      </x:c>
      <x:c r="F16" t="n">
        <x:v>0</x:v>
      </x:c>
      <x:c r="G16" t="str">
        <x:v>Ramesh</x:v>
      </x:c>
    </x:row>
    <x:row r="17">
      <x:c r="A17" t="str">
        <x:v>C0016</x:v>
      </x:c>
      <x:c r="B17" t="str">
        <x:v>Royal Canteen 16</x:v>
      </x:c>
      <x:c r="C17" t="str">
        <x:v>Cafe</x:v>
      </x:c>
      <x:c r="D17" t="str">
        <x:v>Davanagere</x:v>
      </x:c>
      <x:c r="E17" t="str">
        <x:v>B</x:v>
      </x:c>
      <x:c r="F17" t="n">
        <x:v>30</x:v>
      </x:c>
      <x:c r="G17" t="str">
        <x:v>Megha</x:v>
      </x:c>
    </x:row>
    <x:row r="18">
      <x:c r="A18" t="str">
        <x:v>C0017</x:v>
      </x:c>
      <x:c r="B18" t="str">
        <x:v>City Foods 17</x:v>
      </x:c>
      <x:c r="C18" t="str">
        <x:v>Restaurant</x:v>
      </x:c>
      <x:c r="D18" t="str">
        <x:v>Tumakuru</x:v>
      </x:c>
      <x:c r="E18" t="str">
        <x:v>C</x:v>
      </x:c>
      <x:c r="F18" t="n">
        <x:v>0</x:v>
      </x:c>
      <x:c r="G18" t="str">
        <x:v>Imran</x:v>
      </x:c>
    </x:row>
    <x:row r="19">
      <x:c r="A19" t="str">
        <x:v>C0018</x:v>
      </x:c>
      <x:c r="B19" t="str">
        <x:v>Namma Canteen 18</x:v>
      </x:c>
      <x:c r="C19" t="str">
        <x:v>Restaurant</x:v>
      </x:c>
      <x:c r="D19" t="str">
        <x:v>Davanagere</x:v>
      </x:c>
      <x:c r="E19" t="str">
        <x:v>B</x:v>
      </x:c>
      <x:c r="F19" t="n">
        <x:v>7</x:v>
      </x:c>
      <x:c r="G19" t="str">
        <x:v>Imran</x:v>
      </x:c>
    </x:row>
    <x:row r="20">
      <x:c r="A20" t="str">
        <x:v>C0019</x:v>
      </x:c>
      <x:c r="B20" t="str">
        <x:v>Grand Kitchen 19</x:v>
      </x:c>
      <x:c r="C20" t="str">
        <x:v>Supermarket</x:v>
      </x:c>
      <x:c r="D20" t="str">
        <x:v>Tumakuru</x:v>
      </x:c>
      <x:c r="E20" t="str">
        <x:v>C</x:v>
      </x:c>
      <x:c r="F20" t="n">
        <x:v>15</x:v>
      </x:c>
      <x:c r="G20" t="str">
        <x:v>Sneha</x:v>
      </x:c>
    </x:row>
    <x:row r="21">
      <x:c r="A21" t="str">
        <x:v>C0020</x:v>
      </x:c>
      <x:c r="B21" t="str">
        <x:v>Shree Foods 20</x:v>
      </x:c>
      <x:c r="C21" t="str">
        <x:v>Restaurant</x:v>
      </x:c>
      <x:c r="D21" t="str">
        <x:v>Mysuru</x:v>
      </x:c>
      <x:c r="E21" t="str">
        <x:v>B</x:v>
      </x:c>
      <x:c r="F21" t="n">
        <x:v>45</x:v>
      </x:c>
      <x:c r="G21" t="str">
        <x:v>Arjun</x:v>
      </x:c>
    </x:row>
    <x:row r="22">
      <x:c r="A22" t="str">
        <x:v>C0021</x:v>
      </x:c>
      <x:c r="B22" t="str">
        <x:v>Namma Cafe 21</x:v>
      </x:c>
      <x:c r="C22" t="str">
        <x:v>Canteen</x:v>
      </x:c>
      <x:c r="D22" t="str">
        <x:v>Bengaluru</x:v>
      </x:c>
      <x:c r="E22" t="str">
        <x:v>B</x:v>
      </x:c>
      <x:c r="F22" t="n">
        <x:v>0</x:v>
      </x:c>
      <x:c r="G22" t="str">
        <x:v>Kavya</x:v>
      </x:c>
    </x:row>
    <x:row r="23">
      <x:c r="A23" t="str">
        <x:v>C0022</x:v>
      </x:c>
      <x:c r="B23" t="str">
        <x:v>Royal Hotel 22</x:v>
      </x:c>
      <x:c r="C23" t="str">
        <x:v>Kirana</x:v>
      </x:c>
      <x:c r="D23" t="str">
        <x:v>Bengaluru</x:v>
      </x:c>
      <x:c r="E23" t="str">
        <x:v>C</x:v>
      </x:c>
      <x:c r="F23" t="n">
        <x:v>7</x:v>
      </x:c>
      <x:c r="G23" t="str">
        <x:v>Ramesh</x:v>
      </x:c>
    </x:row>
    <x:row r="24">
      <x:c r="A24" t="str">
        <x:v>C0023</x:v>
      </x:c>
      <x:c r="B24" t="str">
        <x:v>Mysore Canteen 23</x:v>
      </x:c>
      <x:c r="C24" t="str">
        <x:v>Cafe</x:v>
      </x:c>
      <x:c r="D24" t="str">
        <x:v>Hubballi</x:v>
      </x:c>
      <x:c r="E24" t="str">
        <x:v>C</x:v>
      </x:c>
      <x:c r="F24" t="n">
        <x:v>7</x:v>
      </x:c>
      <x:c r="G24" t="str">
        <x:v>Sneha</x:v>
      </x:c>
    </x:row>
    <x:row r="25">
      <x:c r="A25" t="str">
        <x:v>C0024</x:v>
      </x:c>
      <x:c r="B25" t="str">
        <x:v>Darshini Restaurant 24</x:v>
      </x:c>
      <x:c r="C25" t="str">
        <x:v>Restaurant</x:v>
      </x:c>
      <x:c r="D25" t="str">
        <x:v>Davanagere</x:v>
      </x:c>
      <x:c r="E25" t="str">
        <x:v>B</x:v>
      </x:c>
      <x:c r="F25" t="n">
        <x:v>45</x:v>
      </x:c>
      <x:c r="G25" t="str">
        <x:v>Sneha</x:v>
      </x:c>
    </x:row>
    <x:row r="26">
      <x:c r="A26" t="str">
        <x:v>C0025</x:v>
      </x:c>
      <x:c r="B26" t="str">
        <x:v>Sri Cafe 25</x:v>
      </x:c>
      <x:c r="C26" t="str">
        <x:v>Hotel</x:v>
      </x:c>
      <x:c r="D26" t="str">
        <x:v>Mysuru</x:v>
      </x:c>
      <x:c r="E26" t="str">
        <x:v>B</x:v>
      </x:c>
      <x:c r="F26" t="n">
        <x:v>45</x:v>
      </x:c>
      <x:c r="G26" t="str">
        <x:v>Kavya</x:v>
      </x:c>
    </x:row>
    <x:row r="27">
      <x:c r="A27" t="str">
        <x:v>C0026</x:v>
      </x:c>
      <x:c r="B27" t="str">
        <x:v>Cafe Kitchen 26</x:v>
      </x:c>
      <x:c r="C27" t="str">
        <x:v>Kirana</x:v>
      </x:c>
      <x:c r="D27" t="str">
        <x:v>Davanagere</x:v>
      </x:c>
      <x:c r="E27" t="str">
        <x:v>C</x:v>
      </x:c>
      <x:c r="F27" t="n">
        <x:v>0</x:v>
      </x:c>
      <x:c r="G27" t="str">
        <x:v>Kavya</x:v>
      </x:c>
    </x:row>
    <x:row r="28">
      <x:c r="A28" t="str">
        <x:v>C0027</x:v>
      </x:c>
      <x:c r="B28" t="str">
        <x:v>Fresh Cafe 27</x:v>
      </x:c>
      <x:c r="C28" t="str">
        <x:v>Restaurant</x:v>
      </x:c>
      <x:c r="D28" t="str">
        <x:v>Tumakuru</x:v>
      </x:c>
      <x:c r="E28" t="str">
        <x:v>A</x:v>
      </x:c>
      <x:c r="F28" t="n">
        <x:v>45</x:v>
      </x:c>
      <x:c r="G28" t="str">
        <x:v>Megha</x:v>
      </x:c>
    </x:row>
    <x:row r="29">
      <x:c r="A29" t="str">
        <x:v>C0028</x:v>
      </x:c>
      <x:c r="B29" t="str">
        <x:v>Spice Cafe 28</x:v>
      </x:c>
      <x:c r="C29" t="str">
        <x:v>Supermarket</x:v>
      </x:c>
      <x:c r="D29" t="str">
        <x:v>Mysuru</x:v>
      </x:c>
      <x:c r="E29" t="str">
        <x:v>A</x:v>
      </x:c>
      <x:c r="F29" t="n">
        <x:v>0</x:v>
      </x:c>
      <x:c r="G29" t="str">
        <x:v>Vikram</x:v>
      </x:c>
    </x:row>
    <x:row r="30">
      <x:c r="A30" t="str">
        <x:v>C0029</x:v>
      </x:c>
      <x:c r="B30" t="str">
        <x:v>Metro Foods 29</x:v>
      </x:c>
      <x:c r="C30" t="str">
        <x:v>Cafe</x:v>
      </x:c>
      <x:c r="D30" t="str">
        <x:v>Hubballi</x:v>
      </x:c>
      <x:c r="E30" t="str">
        <x:v>A</x:v>
      </x:c>
      <x:c r="F30" t="n">
        <x:v>0</x:v>
      </x:c>
      <x:c r="G30" t="str">
        <x:v>Priya</x:v>
      </x:c>
    </x:row>
    <x:row r="31">
      <x:c r="A31" t="str">
        <x:v>C0030</x:v>
      </x:c>
      <x:c r="B31" t="str">
        <x:v>Hotel Restaurant 30</x:v>
      </x:c>
      <x:c r="C31" t="str">
        <x:v>Restaurant</x:v>
      </x:c>
      <x:c r="D31" t="str">
        <x:v>Bengaluru</x:v>
      </x:c>
      <x:c r="E31" t="str">
        <x:v>B</x:v>
      </x:c>
      <x:c r="F31" t="n">
        <x:v>7</x:v>
      </x:c>
      <x:c r="G31" t="str">
        <x:v>Imran</x:v>
      </x:c>
    </x:row>
    <x:row r="32">
      <x:c r="A32" t="str">
        <x:v>C0031</x:v>
      </x:c>
      <x:c r="B32" t="str">
        <x:v>Royal Restaurant 31</x:v>
      </x:c>
      <x:c r="C32" t="str">
        <x:v>Restaurant</x:v>
      </x:c>
      <x:c r="D32" t="str">
        <x:v>Mangaluru</x:v>
      </x:c>
      <x:c r="E32" t="str">
        <x:v>A</x:v>
      </x:c>
      <x:c r="F32" t="n">
        <x:v>45</x:v>
      </x:c>
      <x:c r="G32" t="str">
        <x:v>Arjun</x:v>
      </x:c>
    </x:row>
    <x:row r="33">
      <x:c r="A33" t="str">
        <x:v>C0032</x:v>
      </x:c>
      <x:c r="B33" t="str">
        <x:v>Cafe Hotel 32</x:v>
      </x:c>
      <x:c r="C33" t="str">
        <x:v>Canteen</x:v>
      </x:c>
      <x:c r="D33" t="str">
        <x:v>Bengaluru</x:v>
      </x:c>
      <x:c r="E33" t="str">
        <x:v>B</x:v>
      </x:c>
      <x:c r="F33" t="n">
        <x:v>30</x:v>
      </x:c>
      <x:c r="G33" t="str">
        <x:v>Sneha</x:v>
      </x:c>
    </x:row>
    <x:row r="34">
      <x:c r="A34" t="str">
        <x:v>C0033</x:v>
      </x:c>
      <x:c r="B34" t="str">
        <x:v>Shree Canteen 33</x:v>
      </x:c>
      <x:c r="C34" t="str">
        <x:v>Canteen</x:v>
      </x:c>
      <x:c r="D34" t="str">
        <x:v>Mangaluru</x:v>
      </x:c>
      <x:c r="E34" t="str">
        <x:v>C</x:v>
      </x:c>
      <x:c r="F34" t="n">
        <x:v>0</x:v>
      </x:c>
      <x:c r="G34" t="str">
        <x:v>Imran</x:v>
      </x:c>
    </x:row>
    <x:row r="35">
      <x:c r="A35" t="str">
        <x:v>C0034</x:v>
      </x:c>
      <x:c r="B35" t="str">
        <x:v>City Restaurant 34</x:v>
      </x:c>
      <x:c r="C35" t="str">
        <x:v>Restaurant</x:v>
      </x:c>
      <x:c r="D35" t="str">
        <x:v>Mangaluru</x:v>
      </x:c>
      <x:c r="E35" t="str">
        <x:v>A</x:v>
      </x:c>
      <x:c r="F35" t="n">
        <x:v>7</x:v>
      </x:c>
      <x:c r="G35" t="str">
        <x:v>Sneha</x:v>
      </x:c>
    </x:row>
    <x:row r="36">
      <x:c r="A36" t="str">
        <x:v>C0035</x:v>
      </x:c>
      <x:c r="B36" t="str">
        <x:v>City Foods 35</x:v>
      </x:c>
      <x:c r="C36" t="str">
        <x:v>Kirana</x:v>
      </x:c>
      <x:c r="D36" t="str">
        <x:v>Bengaluru</x:v>
      </x:c>
      <x:c r="E36" t="str">
        <x:v>A</x:v>
      </x:c>
      <x:c r="F36" t="n">
        <x:v>15</x:v>
      </x:c>
      <x:c r="G36" t="str">
        <x:v>Megha</x:v>
      </x:c>
    </x:row>
    <x:row r="37">
      <x:c r="A37" t="str">
        <x:v>C0036</x:v>
      </x:c>
      <x:c r="B37" t="str">
        <x:v>Grand Hotel 36</x:v>
      </x:c>
      <x:c r="C37" t="str">
        <x:v>Canteen</x:v>
      </x:c>
      <x:c r="D37" t="str">
        <x:v>Tumakuru</x:v>
      </x:c>
      <x:c r="E37" t="str">
        <x:v>C</x:v>
      </x:c>
      <x:c r="F37" t="n">
        <x:v>0</x:v>
      </x:c>
      <x:c r="G37" t="str">
        <x:v>Kavya</x:v>
      </x:c>
    </x:row>
    <x:row r="38">
      <x:c r="A38" t="str">
        <x:v>C0037</x:v>
      </x:c>
      <x:c r="B38" t="str">
        <x:v>Royal Cafe 37</x:v>
      </x:c>
      <x:c r="C38" t="str">
        <x:v>Hotel</x:v>
      </x:c>
      <x:c r="D38" t="str">
        <x:v>Mysuru</x:v>
      </x:c>
      <x:c r="E38" t="str">
        <x:v>A</x:v>
      </x:c>
      <x:c r="F38" t="n">
        <x:v>30</x:v>
      </x:c>
      <x:c r="G38" t="str">
        <x:v>Sneha</x:v>
      </x:c>
    </x:row>
    <x:row r="39">
      <x:c r="A39" t="str">
        <x:v>C0038</x:v>
      </x:c>
      <x:c r="B39" t="str">
        <x:v>Mysore Kitchen 38</x:v>
      </x:c>
      <x:c r="C39" t="str">
        <x:v>Kirana</x:v>
      </x:c>
      <x:c r="D39" t="str">
        <x:v>Tumakuru</x:v>
      </x:c>
      <x:c r="E39" t="str">
        <x:v>C</x:v>
      </x:c>
      <x:c r="F39" t="n">
        <x:v>30</x:v>
      </x:c>
      <x:c r="G39" t="str">
        <x:v>Priya</x:v>
      </x:c>
    </x:row>
    <x:row r="40">
      <x:c r="A40" t="str">
        <x:v>C0039</x:v>
      </x:c>
      <x:c r="B40" t="str">
        <x:v>Sagar Cafe 39</x:v>
      </x:c>
      <x:c r="C40" t="str">
        <x:v>Restaurant</x:v>
      </x:c>
      <x:c r="D40" t="str">
        <x:v>Hubballi</x:v>
      </x:c>
      <x:c r="E40" t="str">
        <x:v>B</x:v>
      </x:c>
      <x:c r="F40" t="n">
        <x:v>15</x:v>
      </x:c>
      <x:c r="G40" t="str">
        <x:v>Imran</x:v>
      </x:c>
    </x:row>
    <x:row r="41">
      <x:c r="A41" t="str">
        <x:v>C0040</x:v>
      </x:c>
      <x:c r="B41" t="str">
        <x:v>Royal Foods 40</x:v>
      </x:c>
      <x:c r="C41" t="str">
        <x:v>Restaurant</x:v>
      </x:c>
      <x:c r="D41" t="str">
        <x:v>Mangaluru</x:v>
      </x:c>
      <x:c r="E41" t="str">
        <x:v>B</x:v>
      </x:c>
      <x:c r="F41" t="n">
        <x:v>30</x:v>
      </x:c>
      <x:c r="G41" t="str">
        <x:v>Kavya</x:v>
      </x:c>
    </x:row>
    <x:row r="42">
      <x:c r="A42" t="str">
        <x:v>C0041</x:v>
      </x:c>
      <x:c r="B42" t="str">
        <x:v>Grand Mart 41</x:v>
      </x:c>
      <x:c r="C42" t="str">
        <x:v>Cafe</x:v>
      </x:c>
      <x:c r="D42" t="str">
        <x:v>Bengaluru</x:v>
      </x:c>
      <x:c r="E42" t="str">
        <x:v>C</x:v>
      </x:c>
      <x:c r="F42" t="n">
        <x:v>7</x:v>
      </x:c>
      <x:c r="G42" t="str">
        <x:v>Kavya</x:v>
      </x:c>
    </x:row>
    <x:row r="43">
      <x:c r="A43" t="str">
        <x:v>C0042</x:v>
      </x:c>
      <x:c r="B43" t="str">
        <x:v>Shree Restaurant 42</x:v>
      </x:c>
      <x:c r="C43" t="str">
        <x:v>Restaurant</x:v>
      </x:c>
      <x:c r="D43" t="str">
        <x:v>Mysuru</x:v>
      </x:c>
      <x:c r="E43" t="str">
        <x:v>C</x:v>
      </x:c>
      <x:c r="F43" t="n">
        <x:v>45</x:v>
      </x:c>
      <x:c r="G43" t="str">
        <x:v>Arjun</x:v>
      </x:c>
    </x:row>
    <x:row r="44">
      <x:c r="A44" t="str">
        <x:v>C0043</x:v>
      </x:c>
      <x:c r="B44" t="str">
        <x:v>Namma Kitchen 43</x:v>
      </x:c>
      <x:c r="C44" t="str">
        <x:v>Supermarket</x:v>
      </x:c>
      <x:c r="D44" t="str">
        <x:v>Davanagere</x:v>
      </x:c>
      <x:c r="E44" t="str">
        <x:v>B</x:v>
      </x:c>
      <x:c r="F44" t="n">
        <x:v>7</x:v>
      </x:c>
      <x:c r="G44" t="str">
        <x:v>Kavya</x:v>
      </x:c>
    </x:row>
    <x:row r="45">
      <x:c r="A45" t="str">
        <x:v>C0044</x:v>
      </x:c>
      <x:c r="B45" t="str">
        <x:v>Annapurna Mart 44</x:v>
      </x:c>
      <x:c r="C45" t="str">
        <x:v>Kirana</x:v>
      </x:c>
      <x:c r="D45" t="str">
        <x:v>Davanagere</x:v>
      </x:c>
      <x:c r="E45" t="str">
        <x:v>B</x:v>
      </x:c>
      <x:c r="F45" t="n">
        <x:v>45</x:v>
      </x:c>
      <x:c r="G45" t="str">
        <x:v>Priya</x:v>
      </x:c>
    </x:row>
    <x:row r="46">
      <x:c r="A46" t="str">
        <x:v>C0045</x:v>
      </x:c>
      <x:c r="B46" t="str">
        <x:v>Annapurna Restaurant 45</x:v>
      </x:c>
      <x:c r="C46" t="str">
        <x:v>Kirana</x:v>
      </x:c>
      <x:c r="D46" t="str">
        <x:v>Mysuru</x:v>
      </x:c>
      <x:c r="E46" t="str">
        <x:v>C</x:v>
      </x:c>
      <x:c r="F46" t="n">
        <x:v>15</x:v>
      </x:c>
      <x:c r="G46" t="str">
        <x:v>Arjun</x:v>
      </x:c>
    </x:row>
    <x:row r="47">
      <x:c r="A47" t="str">
        <x:v>C0046</x:v>
      </x:c>
      <x:c r="B47" t="str">
        <x:v>Annapurna Foods 46</x:v>
      </x:c>
      <x:c r="C47" t="str">
        <x:v>Kirana</x:v>
      </x:c>
      <x:c r="D47" t="str">
        <x:v>Bengaluru</x:v>
      </x:c>
      <x:c r="E47" t="str">
        <x:v>B</x:v>
      </x:c>
      <x:c r="F47" t="n">
        <x:v>0</x:v>
      </x:c>
      <x:c r="G47" t="str">
        <x:v>Ramesh</x:v>
      </x:c>
    </x:row>
    <x:row r="48">
      <x:c r="A48" t="str">
        <x:v>C0047</x:v>
      </x:c>
      <x:c r="B48" t="str">
        <x:v>Shree Restaurant 47</x:v>
      </x:c>
      <x:c r="C48" t="str">
        <x:v>Canteen</x:v>
      </x:c>
      <x:c r="D48" t="str">
        <x:v>Davanagere</x:v>
      </x:c>
      <x:c r="E48" t="str">
        <x:v>C</x:v>
      </x:c>
      <x:c r="F48" t="n">
        <x:v>45</x:v>
      </x:c>
      <x:c r="G48" t="str">
        <x:v>Arjun</x:v>
      </x:c>
    </x:row>
    <x:row r="49">
      <x:c r="A49" t="str">
        <x:v>C0048</x:v>
      </x:c>
      <x:c r="B49" t="str">
        <x:v>Udupi Foods 48</x:v>
      </x:c>
      <x:c r="C49" t="str">
        <x:v>Hotel</x:v>
      </x:c>
      <x:c r="D49" t="str">
        <x:v>Bengaluru</x:v>
      </x:c>
      <x:c r="E49" t="str">
        <x:v>B</x:v>
      </x:c>
      <x:c r="F49" t="n">
        <x:v>15</x:v>
      </x:c>
      <x:c r="G49" t="str">
        <x:v>Ramesh</x:v>
      </x:c>
    </x:row>
    <x:row r="50">
      <x:c r="A50" t="str">
        <x:v>C0049</x:v>
      </x:c>
      <x:c r="B50" t="str">
        <x:v>Namma Stores 49</x:v>
      </x:c>
      <x:c r="C50" t="str">
        <x:v>Hotel</x:v>
      </x:c>
      <x:c r="D50" t="str">
        <x:v>Mangaluru</x:v>
      </x:c>
      <x:c r="E50" t="str">
        <x:v>C</x:v>
      </x:c>
      <x:c r="F50" t="n">
        <x:v>0</x:v>
      </x:c>
      <x:c r="G50" t="str">
        <x:v>Sneha</x:v>
      </x:c>
    </x:row>
    <x:row r="51">
      <x:c r="A51" t="str">
        <x:v>C0050</x:v>
      </x:c>
      <x:c r="B51" t="str">
        <x:v>Green Stores 50</x:v>
      </x:c>
      <x:c r="C51" t="str">
        <x:v>Restaurant</x:v>
      </x:c>
      <x:c r="D51" t="str">
        <x:v>Davanagere</x:v>
      </x:c>
      <x:c r="E51" t="str">
        <x:v>C</x:v>
      </x:c>
      <x:c r="F51" t="n">
        <x:v>45</x:v>
      </x:c>
      <x:c r="G51" t="str">
        <x:v>Vikram</x:v>
      </x:c>
    </x:row>
    <x:row r="52">
      <x:c r="A52" t="str">
        <x:v>C0051</x:v>
      </x:c>
      <x:c r="B52" t="str">
        <x:v>Cafe Hotel 51</x:v>
      </x:c>
      <x:c r="C52" t="str">
        <x:v>Kirana</x:v>
      </x:c>
      <x:c r="D52" t="str">
        <x:v>Tumakuru</x:v>
      </x:c>
      <x:c r="E52" t="str">
        <x:v>C</x:v>
      </x:c>
      <x:c r="F52" t="n">
        <x:v>7</x:v>
      </x:c>
      <x:c r="G52" t="str">
        <x:v>Arjun</x:v>
      </x:c>
    </x:row>
    <x:row r="53">
      <x:c r="A53" t="str">
        <x:v>C0052</x:v>
      </x:c>
      <x:c r="B53" t="str">
        <x:v>Sagar Canteen 52</x:v>
      </x:c>
      <x:c r="C53" t="str">
        <x:v>Kirana</x:v>
      </x:c>
      <x:c r="D53" t="str">
        <x:v>Mysuru</x:v>
      </x:c>
      <x:c r="E53" t="str">
        <x:v>B</x:v>
      </x:c>
      <x:c r="F53" t="n">
        <x:v>7</x:v>
      </x:c>
      <x:c r="G53" t="str">
        <x:v>Kavya</x:v>
      </x:c>
    </x:row>
    <x:row r="54">
      <x:c r="A54" t="str">
        <x:v>C0053</x:v>
      </x:c>
      <x:c r="B54" t="str">
        <x:v>Fresh Cafe 53</x:v>
      </x:c>
      <x:c r="C54" t="str">
        <x:v>Supermarket</x:v>
      </x:c>
      <x:c r="D54" t="str">
        <x:v>Mangaluru</x:v>
      </x:c>
      <x:c r="E54" t="str">
        <x:v>C</x:v>
      </x:c>
      <x:c r="F54" t="n">
        <x:v>7</x:v>
      </x:c>
      <x:c r="G54" t="str">
        <x:v>Megha</x:v>
      </x:c>
    </x:row>
    <x:row r="55">
      <x:c r="A55" t="str">
        <x:v>C0054</x:v>
      </x:c>
      <x:c r="B55" t="str">
        <x:v>Cafe Cafe 54</x:v>
      </x:c>
      <x:c r="C55" t="str">
        <x:v>Restaurant</x:v>
      </x:c>
      <x:c r="D55" t="str">
        <x:v>Hubballi</x:v>
      </x:c>
      <x:c r="E55" t="str">
        <x:v>C</x:v>
      </x:c>
      <x:c r="F55" t="n">
        <x:v>0</x:v>
      </x:c>
      <x:c r="G55" t="str">
        <x:v>Vikram</x:v>
      </x:c>
    </x:row>
    <x:row r="56">
      <x:c r="A56" t="str">
        <x:v>C0055</x:v>
      </x:c>
      <x:c r="B56" t="str">
        <x:v>Royal Mart 55</x:v>
      </x:c>
      <x:c r="C56" t="str">
        <x:v>Restaurant</x:v>
      </x:c>
      <x:c r="D56" t="str">
        <x:v>Hubballi</x:v>
      </x:c>
      <x:c r="E56" t="str">
        <x:v>B</x:v>
      </x:c>
      <x:c r="F56" t="n">
        <x:v>15</x:v>
      </x:c>
      <x:c r="G56" t="str">
        <x:v>Vikram</x:v>
      </x:c>
    </x:row>
    <x:row r="57">
      <x:c r="A57" t="str">
        <x:v>C0056</x:v>
      </x:c>
      <x:c r="B57" t="str">
        <x:v>City Stores 56</x:v>
      </x:c>
      <x:c r="C57" t="str">
        <x:v>Canteen</x:v>
      </x:c>
      <x:c r="D57" t="str">
        <x:v>Davanagere</x:v>
      </x:c>
      <x:c r="E57" t="str">
        <x:v>A</x:v>
      </x:c>
      <x:c r="F57" t="n">
        <x:v>0</x:v>
      </x:c>
      <x:c r="G57" t="str">
        <x:v>Imran</x:v>
      </x:c>
    </x:row>
    <x:row r="58">
      <x:c r="A58" t="str">
        <x:v>C0057</x:v>
      </x:c>
      <x:c r="B58" t="str">
        <x:v>Annapurna Foods 57</x:v>
      </x:c>
      <x:c r="C58" t="str">
        <x:v>Kirana</x:v>
      </x:c>
      <x:c r="D58" t="str">
        <x:v>Mysuru</x:v>
      </x:c>
      <x:c r="E58" t="str">
        <x:v>B</x:v>
      </x:c>
      <x:c r="F58" t="n">
        <x:v>0</x:v>
      </x:c>
      <x:c r="G58" t="str">
        <x:v>Priya</x:v>
      </x:c>
    </x:row>
    <x:row r="59">
      <x:c r="A59" t="str">
        <x:v>C0058</x:v>
      </x:c>
      <x:c r="B59" t="str">
        <x:v>Spice Kitchen 58</x:v>
      </x:c>
      <x:c r="C59" t="str">
        <x:v>Supermarket</x:v>
      </x:c>
      <x:c r="D59" t="str">
        <x:v>Davanagere</x:v>
      </x:c>
      <x:c r="E59" t="str">
        <x:v>C</x:v>
      </x:c>
      <x:c r="F59" t="n">
        <x:v>30</x:v>
      </x:c>
      <x:c r="G59" t="str">
        <x:v>Sneha</x:v>
      </x:c>
    </x:row>
    <x:row r="60">
      <x:c r="A60" t="str">
        <x:v>C0059</x:v>
      </x:c>
      <x:c r="B60" t="str">
        <x:v>Spice Foods 59</x:v>
      </x:c>
      <x:c r="C60" t="str">
        <x:v>Hotel</x:v>
      </x:c>
      <x:c r="D60" t="str">
        <x:v>Hubballi</x:v>
      </x:c>
      <x:c r="E60" t="str">
        <x:v>C</x:v>
      </x:c>
      <x:c r="F60" t="n">
        <x:v>45</x:v>
      </x:c>
      <x:c r="G60" t="str">
        <x:v>Sneha</x:v>
      </x:c>
    </x:row>
    <x:row r="61">
      <x:c r="A61" t="str">
        <x:v>C0060</x:v>
      </x:c>
      <x:c r="B61" t="str">
        <x:v>Sagar Stores 60</x:v>
      </x:c>
      <x:c r="C61" t="str">
        <x:v>Cafe</x:v>
      </x:c>
      <x:c r="D61" t="str">
        <x:v>Hubballi</x:v>
      </x:c>
      <x:c r="E61" t="str">
        <x:v>C</x:v>
      </x:c>
      <x:c r="F61" t="n">
        <x:v>0</x:v>
      </x:c>
      <x:c r="G61" t="str">
        <x:v>Imran</x:v>
      </x:c>
    </x:row>
    <x:row r="62">
      <x:c r="A62" t="str">
        <x:v>C0061</x:v>
      </x:c>
      <x:c r="B62" t="str">
        <x:v>Spice Stores 61</x:v>
      </x:c>
      <x:c r="C62" t="str">
        <x:v>Restaurant</x:v>
      </x:c>
      <x:c r="D62" t="str">
        <x:v>Tumakuru</x:v>
      </x:c>
      <x:c r="E62" t="str">
        <x:v>C</x:v>
      </x:c>
      <x:c r="F62" t="n">
        <x:v>30</x:v>
      </x:c>
      <x:c r="G62" t="str">
        <x:v>Ramesh</x:v>
      </x:c>
    </x:row>
    <x:row r="63">
      <x:c r="A63" t="str">
        <x:v>C0062</x:v>
      </x:c>
      <x:c r="B63" t="str">
        <x:v>Foodie Hotel 62</x:v>
      </x:c>
      <x:c r="C63" t="str">
        <x:v>Cafe</x:v>
      </x:c>
      <x:c r="D63" t="str">
        <x:v>Mysuru</x:v>
      </x:c>
      <x:c r="E63" t="str">
        <x:v>B</x:v>
      </x:c>
      <x:c r="F63" t="n">
        <x:v>45</x:v>
      </x:c>
      <x:c r="G63" t="str">
        <x:v>Vikram</x:v>
      </x:c>
    </x:row>
    <x:row r="64">
      <x:c r="A64" t="str">
        <x:v>C0063</x:v>
      </x:c>
      <x:c r="B64" t="str">
        <x:v>Namma Mart 63</x:v>
      </x:c>
      <x:c r="C64" t="str">
        <x:v>Supermarket</x:v>
      </x:c>
      <x:c r="D64" t="str">
        <x:v>Tumakuru</x:v>
      </x:c>
      <x:c r="E64" t="str">
        <x:v>B</x:v>
      </x:c>
      <x:c r="F64" t="n">
        <x:v>7</x:v>
      </x:c>
      <x:c r="G64" t="str">
        <x:v>Priya</x:v>
      </x:c>
    </x:row>
    <x:row r="65">
      <x:c r="A65" t="str">
        <x:v>C0064</x:v>
      </x:c>
      <x:c r="B65" t="str">
        <x:v>Hotel Restaurant 64</x:v>
      </x:c>
      <x:c r="C65" t="str">
        <x:v>Cafe</x:v>
      </x:c>
      <x:c r="D65" t="str">
        <x:v>Mangaluru</x:v>
      </x:c>
      <x:c r="E65" t="str">
        <x:v>C</x:v>
      </x:c>
      <x:c r="F65" t="n">
        <x:v>7</x:v>
      </x:c>
      <x:c r="G65" t="str">
        <x:v>Imran</x:v>
      </x:c>
    </x:row>
    <x:row r="66">
      <x:c r="A66" t="str">
        <x:v>C0065</x:v>
      </x:c>
      <x:c r="B66" t="str">
        <x:v>Mysore Stores 65</x:v>
      </x:c>
      <x:c r="C66" t="str">
        <x:v>Kirana</x:v>
      </x:c>
      <x:c r="D66" t="str">
        <x:v>Tumakuru</x:v>
      </x:c>
      <x:c r="E66" t="str">
        <x:v>C</x:v>
      </x:c>
      <x:c r="F66" t="n">
        <x:v>0</x:v>
      </x:c>
      <x:c r="G66" t="str">
        <x:v>Sneha</x:v>
      </x:c>
    </x:row>
    <x:row r="67">
      <x:c r="A67" t="str">
        <x:v>C0066</x:v>
      </x:c>
      <x:c r="B67" t="str">
        <x:v>Hotel Hotel 66</x:v>
      </x:c>
      <x:c r="C67" t="str">
        <x:v>Restaurant</x:v>
      </x:c>
      <x:c r="D67" t="str">
        <x:v>Davanagere</x:v>
      </x:c>
      <x:c r="E67" t="str">
        <x:v>A</x:v>
      </x:c>
      <x:c r="F67" t="n">
        <x:v>0</x:v>
      </x:c>
      <x:c r="G67" t="str">
        <x:v>Megha</x:v>
      </x:c>
    </x:row>
    <x:row r="68">
      <x:c r="A68" t="str">
        <x:v>C0067</x:v>
      </x:c>
      <x:c r="B68" t="str">
        <x:v>Royal Restaurant 67</x:v>
      </x:c>
      <x:c r="C68" t="str">
        <x:v>Supermarket</x:v>
      </x:c>
      <x:c r="D68" t="str">
        <x:v>Tumakuru</x:v>
      </x:c>
      <x:c r="E68" t="str">
        <x:v>C</x:v>
      </x:c>
      <x:c r="F68" t="n">
        <x:v>30</x:v>
      </x:c>
      <x:c r="G68" t="str">
        <x:v>Sneha</x:v>
      </x:c>
    </x:row>
    <x:row r="69">
      <x:c r="A69" t="str">
        <x:v>C0068</x:v>
      </x:c>
      <x:c r="B69" t="str">
        <x:v>Fresh Canteen 68</x:v>
      </x:c>
      <x:c r="C69" t="str">
        <x:v>Kirana</x:v>
      </x:c>
      <x:c r="D69" t="str">
        <x:v>Davanagere</x:v>
      </x:c>
      <x:c r="E69" t="str">
        <x:v>A</x:v>
      </x:c>
      <x:c r="F69" t="n">
        <x:v>7</x:v>
      </x:c>
      <x:c r="G69" t="str">
        <x:v>Arjun</x:v>
      </x:c>
    </x:row>
    <x:row r="70">
      <x:c r="A70" t="str">
        <x:v>C0069</x:v>
      </x:c>
      <x:c r="B70" t="str">
        <x:v>Cafe Hotel 69</x:v>
      </x:c>
      <x:c r="C70" t="str">
        <x:v>Supermarket</x:v>
      </x:c>
      <x:c r="D70" t="str">
        <x:v>Bengaluru</x:v>
      </x:c>
      <x:c r="E70" t="str">
        <x:v>B</x:v>
      </x:c>
      <x:c r="F70" t="n">
        <x:v>45</x:v>
      </x:c>
      <x:c r="G70" t="str">
        <x:v>Sneha</x:v>
      </x:c>
    </x:row>
    <x:row r="71">
      <x:c r="A71" t="str">
        <x:v>C0070</x:v>
      </x:c>
      <x:c r="B71" t="str">
        <x:v>Metro Stores 70</x:v>
      </x:c>
      <x:c r="C71" t="str">
        <x:v>Cafe</x:v>
      </x:c>
      <x:c r="D71" t="str">
        <x:v>Bengaluru</x:v>
      </x:c>
      <x:c r="E71" t="str">
        <x:v>B</x:v>
      </x:c>
      <x:c r="F71" t="n">
        <x:v>30</x:v>
      </x:c>
      <x:c r="G71" t="str">
        <x:v>Vikram</x:v>
      </x:c>
    </x:row>
    <x:row r="72">
      <x:c r="A72" t="str">
        <x:v>C0071</x:v>
      </x:c>
      <x:c r="B72" t="str">
        <x:v>Shree Restaurant 71</x:v>
      </x:c>
      <x:c r="C72" t="str">
        <x:v>Cafe</x:v>
      </x:c>
      <x:c r="D72" t="str">
        <x:v>Tumakuru</x:v>
      </x:c>
      <x:c r="E72" t="str">
        <x:v>B</x:v>
      </x:c>
      <x:c r="F72" t="n">
        <x:v>30</x:v>
      </x:c>
      <x:c r="G72" t="str">
        <x:v>Sneha</x:v>
      </x:c>
    </x:row>
    <x:row r="73">
      <x:c r="A73" t="str">
        <x:v>C0072</x:v>
      </x:c>
      <x:c r="B73" t="str">
        <x:v>Grand Restaurant 72</x:v>
      </x:c>
      <x:c r="C73" t="str">
        <x:v>Restaurant</x:v>
      </x:c>
      <x:c r="D73" t="str">
        <x:v>Davanagere</x:v>
      </x:c>
      <x:c r="E73" t="str">
        <x:v>B</x:v>
      </x:c>
      <x:c r="F73" t="n">
        <x:v>7</x:v>
      </x:c>
      <x:c r="G73" t="str">
        <x:v>Kavya</x:v>
      </x:c>
    </x:row>
    <x:row r="74">
      <x:c r="A74" t="str">
        <x:v>C0073</x:v>
      </x:c>
      <x:c r="B74" t="str">
        <x:v>Annapurna Stores 73</x:v>
      </x:c>
      <x:c r="C74" t="str">
        <x:v>Restaurant</x:v>
      </x:c>
      <x:c r="D74" t="str">
        <x:v>Davanagere</x:v>
      </x:c>
      <x:c r="E74" t="str">
        <x:v>C</x:v>
      </x:c>
      <x:c r="F74" t="n">
        <x:v>15</x:v>
      </x:c>
      <x:c r="G74" t="str">
        <x:v>Kavya</x:v>
      </x:c>
    </x:row>
    <x:row r="75">
      <x:c r="A75" t="str">
        <x:v>C0074</x:v>
      </x:c>
      <x:c r="B75" t="str">
        <x:v>Foodie Hotel 74</x:v>
      </x:c>
      <x:c r="C75" t="str">
        <x:v>Restaurant</x:v>
      </x:c>
      <x:c r="D75" t="str">
        <x:v>Mysuru</x:v>
      </x:c>
      <x:c r="E75" t="str">
        <x:v>A</x:v>
      </x:c>
      <x:c r="F75" t="n">
        <x:v>7</x:v>
      </x:c>
      <x:c r="G75" t="str">
        <x:v>Vikram</x:v>
      </x:c>
    </x:row>
    <x:row r="76">
      <x:c r="A76" t="str">
        <x:v>C0075</x:v>
      </x:c>
      <x:c r="B76" t="str">
        <x:v>Spice Foods 75</x:v>
      </x:c>
      <x:c r="C76" t="str">
        <x:v>Kirana</x:v>
      </x:c>
      <x:c r="D76" t="str">
        <x:v>Hubballi</x:v>
      </x:c>
      <x:c r="E76" t="str">
        <x:v>C</x:v>
      </x:c>
      <x:c r="F76" t="n">
        <x:v>7</x:v>
      </x:c>
      <x:c r="G76" t="str">
        <x:v>Vikram</x:v>
      </x:c>
    </x:row>
    <x:row r="77">
      <x:c r="A77" t="str">
        <x:v>C0076</x:v>
      </x:c>
      <x:c r="B77" t="str">
        <x:v>Sri Canteen 76</x:v>
      </x:c>
      <x:c r="C77" t="str">
        <x:v>Canteen</x:v>
      </x:c>
      <x:c r="D77" t="str">
        <x:v>Tumakuru</x:v>
      </x:c>
      <x:c r="E77" t="str">
        <x:v>A</x:v>
      </x:c>
      <x:c r="F77" t="n">
        <x:v>30</x:v>
      </x:c>
      <x:c r="G77" t="str">
        <x:v>Priya</x:v>
      </x:c>
    </x:row>
    <x:row r="78">
      <x:c r="A78" t="str">
        <x:v>C0077</x:v>
      </x:c>
      <x:c r="B78" t="str">
        <x:v>Spice Cafe 77</x:v>
      </x:c>
      <x:c r="C78" t="str">
        <x:v>Kirana</x:v>
      </x:c>
      <x:c r="D78" t="str">
        <x:v>Hubballi</x:v>
      </x:c>
      <x:c r="E78" t="str">
        <x:v>B</x:v>
      </x:c>
      <x:c r="F78" t="n">
        <x:v>30</x:v>
      </x:c>
      <x:c r="G78" t="str">
        <x:v>Vikram</x:v>
      </x:c>
    </x:row>
    <x:row r="79">
      <x:c r="A79" t="str">
        <x:v>C0078</x:v>
      </x:c>
      <x:c r="B79" t="str">
        <x:v>Sagar Canteen 78</x:v>
      </x:c>
      <x:c r="C79" t="str">
        <x:v>Hotel</x:v>
      </x:c>
      <x:c r="D79" t="str">
        <x:v>Mangaluru</x:v>
      </x:c>
      <x:c r="E79" t="str">
        <x:v>C</x:v>
      </x:c>
      <x:c r="F79" t="n">
        <x:v>7</x:v>
      </x:c>
      <x:c r="G79" t="str">
        <x:v>Ramesh</x:v>
      </x:c>
    </x:row>
    <x:row r="80">
      <x:c r="A80" t="str">
        <x:v>C0079</x:v>
      </x:c>
      <x:c r="B80" t="str">
        <x:v>Foodie Foods 79</x:v>
      </x:c>
      <x:c r="C80" t="str">
        <x:v>Cafe</x:v>
      </x:c>
      <x:c r="D80" t="str">
        <x:v>Tumakuru</x:v>
      </x:c>
      <x:c r="E80" t="str">
        <x:v>B</x:v>
      </x:c>
      <x:c r="F80" t="n">
        <x:v>0</x:v>
      </x:c>
      <x:c r="G80" t="str">
        <x:v>Ramesh</x:v>
      </x:c>
    </x:row>
    <x:row r="81">
      <x:c r="A81" t="str">
        <x:v>C0080</x:v>
      </x:c>
      <x:c r="B81" t="str">
        <x:v>Annapurna Canteen 80</x:v>
      </x:c>
      <x:c r="C81" t="str">
        <x:v>Restaurant</x:v>
      </x:c>
      <x:c r="D81" t="str">
        <x:v>Mangaluru</x:v>
      </x:c>
      <x:c r="E81" t="str">
        <x:v>B</x:v>
      </x:c>
      <x:c r="F81" t="n">
        <x:v>15</x:v>
      </x:c>
      <x:c r="G81" t="str">
        <x:v>Priya</x:v>
      </x:c>
    </x:row>
    <x:row r="82">
      <x:c r="A82" t="str">
        <x:v>C0081</x:v>
      </x:c>
      <x:c r="B82" t="str">
        <x:v>Foodie Mart 81</x:v>
      </x:c>
      <x:c r="C82" t="str">
        <x:v>Supermarket</x:v>
      </x:c>
      <x:c r="D82" t="str">
        <x:v>Hubballi</x:v>
      </x:c>
      <x:c r="E82" t="str">
        <x:v>B</x:v>
      </x:c>
      <x:c r="F82" t="n">
        <x:v>30</x:v>
      </x:c>
      <x:c r="G82" t="str">
        <x:v>Kavya</x:v>
      </x:c>
    </x:row>
    <x:row r="83">
      <x:c r="A83" t="str">
        <x:v>C0082</x:v>
      </x:c>
      <x:c r="B83" t="str">
        <x:v>City Foods 82</x:v>
      </x:c>
      <x:c r="C83" t="str">
        <x:v>Hotel</x:v>
      </x:c>
      <x:c r="D83" t="str">
        <x:v>Mangaluru</x:v>
      </x:c>
      <x:c r="E83" t="str">
        <x:v>B</x:v>
      </x:c>
      <x:c r="F83" t="n">
        <x:v>15</x:v>
      </x:c>
      <x:c r="G83" t="str">
        <x:v>Kavya</x:v>
      </x:c>
    </x:row>
    <x:row r="84">
      <x:c r="A84" t="str">
        <x:v>C0083</x:v>
      </x:c>
      <x:c r="B84" t="str">
        <x:v>Sri Cafe 83</x:v>
      </x:c>
      <x:c r="C84" t="str">
        <x:v>Hotel</x:v>
      </x:c>
      <x:c r="D84" t="str">
        <x:v>Davanagere</x:v>
      </x:c>
      <x:c r="E84" t="str">
        <x:v>C</x:v>
      </x:c>
      <x:c r="F84" t="n">
        <x:v>7</x:v>
      </x:c>
      <x:c r="G84" t="str">
        <x:v>Ramesh</x:v>
      </x:c>
    </x:row>
    <x:row r="85">
      <x:c r="A85" t="str">
        <x:v>C0084</x:v>
      </x:c>
      <x:c r="B85" t="str">
        <x:v>Green Cafe 84</x:v>
      </x:c>
      <x:c r="C85" t="str">
        <x:v>Hotel</x:v>
      </x:c>
      <x:c r="D85" t="str">
        <x:v>Mysuru</x:v>
      </x:c>
      <x:c r="E85" t="str">
        <x:v>C</x:v>
      </x:c>
      <x:c r="F85" t="n">
        <x:v>30</x:v>
      </x:c>
      <x:c r="G85" t="str">
        <x:v>Priya</x:v>
      </x:c>
    </x:row>
    <x:row r="86">
      <x:c r="A86" t="str">
        <x:v>C0085</x:v>
      </x:c>
      <x:c r="B86" t="str">
        <x:v>Green Hotel 85</x:v>
      </x:c>
      <x:c r="C86" t="str">
        <x:v>Kirana</x:v>
      </x:c>
      <x:c r="D86" t="str">
        <x:v>Mysuru</x:v>
      </x:c>
      <x:c r="E86" t="str">
        <x:v>A</x:v>
      </x:c>
      <x:c r="F86" t="n">
        <x:v>15</x:v>
      </x:c>
      <x:c r="G86" t="str">
        <x:v>Arjun</x:v>
      </x:c>
    </x:row>
    <x:row r="87">
      <x:c r="A87" t="str">
        <x:v>C0086</x:v>
      </x:c>
      <x:c r="B87" t="str">
        <x:v>Foodie Canteen 86</x:v>
      </x:c>
      <x:c r="C87" t="str">
        <x:v>Kirana</x:v>
      </x:c>
      <x:c r="D87" t="str">
        <x:v>Hubballi</x:v>
      </x:c>
      <x:c r="E87" t="str">
        <x:v>A</x:v>
      </x:c>
      <x:c r="F87" t="n">
        <x:v>7</x:v>
      </x:c>
      <x:c r="G87" t="str">
        <x:v>Sneha</x:v>
      </x:c>
    </x:row>
    <x:row r="88">
      <x:c r="A88" t="str">
        <x:v>C0087</x:v>
      </x:c>
      <x:c r="B88" t="str">
        <x:v>Namma Kitchen 87</x:v>
      </x:c>
      <x:c r="C88" t="str">
        <x:v>Kirana</x:v>
      </x:c>
      <x:c r="D88" t="str">
        <x:v>Bengaluru</x:v>
      </x:c>
      <x:c r="E88" t="str">
        <x:v>C</x:v>
      </x:c>
      <x:c r="F88" t="n">
        <x:v>45</x:v>
      </x:c>
      <x:c r="G88" t="str">
        <x:v>Priya</x:v>
      </x:c>
    </x:row>
    <x:row r="89">
      <x:c r="A89" t="str">
        <x:v>C0088</x:v>
      </x:c>
      <x:c r="B89" t="str">
        <x:v>Darshini Kitchen 88</x:v>
      </x:c>
      <x:c r="C89" t="str">
        <x:v>Cafe</x:v>
      </x:c>
      <x:c r="D89" t="str">
        <x:v>Tumakuru</x:v>
      </x:c>
      <x:c r="E89" t="str">
        <x:v>B</x:v>
      </x:c>
      <x:c r="F89" t="n">
        <x:v>45</x:v>
      </x:c>
      <x:c r="G89" t="str">
        <x:v>Arjun</x:v>
      </x:c>
    </x:row>
    <x:row r="90">
      <x:c r="A90" t="str">
        <x:v>C0089</x:v>
      </x:c>
      <x:c r="B90" t="str">
        <x:v>Green Canteen 89</x:v>
      </x:c>
      <x:c r="C90" t="str">
        <x:v>Supermarket</x:v>
      </x:c>
      <x:c r="D90" t="str">
        <x:v>Mangaluru</x:v>
      </x:c>
      <x:c r="E90" t="str">
        <x:v>B</x:v>
      </x:c>
      <x:c r="F90" t="n">
        <x:v>15</x:v>
      </x:c>
      <x:c r="G90" t="str">
        <x:v>Megha</x:v>
      </x:c>
    </x:row>
    <x:row r="91">
      <x:c r="A91" t="str">
        <x:v>C0090</x:v>
      </x:c>
      <x:c r="B91" t="str">
        <x:v>Shree Mart 90</x:v>
      </x:c>
      <x:c r="C91" t="str">
        <x:v>Restaurant</x:v>
      </x:c>
      <x:c r="D91" t="str">
        <x:v>Davanagere</x:v>
      </x:c>
      <x:c r="E91" t="str">
        <x:v>C</x:v>
      </x:c>
      <x:c r="F91" t="n">
        <x:v>45</x:v>
      </x:c>
      <x:c r="G91" t="str">
        <x:v>Megha</x:v>
      </x:c>
    </x:row>
    <x:row r="92">
      <x:c r="A92" t="str">
        <x:v>C0091</x:v>
      </x:c>
      <x:c r="B92" t="str">
        <x:v>Classic Mart 91</x:v>
      </x:c>
      <x:c r="C92" t="str">
        <x:v>Cafe</x:v>
      </x:c>
      <x:c r="D92" t="str">
        <x:v>Mangaluru</x:v>
      </x:c>
      <x:c r="E92" t="str">
        <x:v>C</x:v>
      </x:c>
      <x:c r="F92" t="n">
        <x:v>15</x:v>
      </x:c>
      <x:c r="G92" t="str">
        <x:v>Kavya</x:v>
      </x:c>
    </x:row>
    <x:row r="93">
      <x:c r="A93" t="str">
        <x:v>C0092</x:v>
      </x:c>
      <x:c r="B93" t="str">
        <x:v>Cafe Restaurant 92</x:v>
      </x:c>
      <x:c r="C93" t="str">
        <x:v>Canteen</x:v>
      </x:c>
      <x:c r="D93" t="str">
        <x:v>Hubballi</x:v>
      </x:c>
      <x:c r="E93" t="str">
        <x:v>B</x:v>
      </x:c>
      <x:c r="F93" t="n">
        <x:v>45</x:v>
      </x:c>
      <x:c r="G93" t="str">
        <x:v>Vikram</x:v>
      </x:c>
    </x:row>
    <x:row r="94">
      <x:c r="A94" t="str">
        <x:v>C0093</x:v>
      </x:c>
      <x:c r="B94" t="str">
        <x:v>Sagar Hotel 93</x:v>
      </x:c>
      <x:c r="C94" t="str">
        <x:v>Hotel</x:v>
      </x:c>
      <x:c r="D94" t="str">
        <x:v>Hubballi</x:v>
      </x:c>
      <x:c r="E94" t="str">
        <x:v>B</x:v>
      </x:c>
      <x:c r="F94" t="n">
        <x:v>30</x:v>
      </x:c>
      <x:c r="G94" t="str">
        <x:v>Imran</x:v>
      </x:c>
    </x:row>
    <x:row r="95">
      <x:c r="A95" t="str">
        <x:v>C0094</x:v>
      </x:c>
      <x:c r="B95" t="str">
        <x:v>Mysore Mart 94</x:v>
      </x:c>
      <x:c r="C95" t="str">
        <x:v>Restaurant</x:v>
      </x:c>
      <x:c r="D95" t="str">
        <x:v>Hubballi</x:v>
      </x:c>
      <x:c r="E95" t="str">
        <x:v>A</x:v>
      </x:c>
      <x:c r="F95" t="n">
        <x:v>45</x:v>
      </x:c>
      <x:c r="G95" t="str">
        <x:v>Sneha</x:v>
      </x:c>
    </x:row>
    <x:row r="96">
      <x:c r="A96" t="str">
        <x:v>C0095</x:v>
      </x:c>
      <x:c r="B96" t="str">
        <x:v>Spice Restaurant 95</x:v>
      </x:c>
      <x:c r="C96" t="str">
        <x:v>Restaurant</x:v>
      </x:c>
      <x:c r="D96" t="str">
        <x:v>Bengaluru</x:v>
      </x:c>
      <x:c r="E96" t="str">
        <x:v>C</x:v>
      </x:c>
      <x:c r="F96" t="n">
        <x:v>45</x:v>
      </x:c>
      <x:c r="G96" t="str">
        <x:v>Megha</x:v>
      </x:c>
    </x:row>
    <x:row r="97">
      <x:c r="A97" t="str">
        <x:v>C0096</x:v>
      </x:c>
      <x:c r="B97" t="str">
        <x:v>Metro Foods 96</x:v>
      </x:c>
      <x:c r="C97" t="str">
        <x:v>Kirana</x:v>
      </x:c>
      <x:c r="D97" t="str">
        <x:v>Davanagere</x:v>
      </x:c>
      <x:c r="E97" t="str">
        <x:v>B</x:v>
      </x:c>
      <x:c r="F97" t="n">
        <x:v>0</x:v>
      </x:c>
      <x:c r="G97" t="str">
        <x:v>Vikram</x:v>
      </x:c>
    </x:row>
    <x:row r="98">
      <x:c r="A98" t="str">
        <x:v>C0097</x:v>
      </x:c>
      <x:c r="B98" t="str">
        <x:v>Classic Stores 97</x:v>
      </x:c>
      <x:c r="C98" t="str">
        <x:v>Restaurant</x:v>
      </x:c>
      <x:c r="D98" t="str">
        <x:v>Davanagere</x:v>
      </x:c>
      <x:c r="E98" t="str">
        <x:v>B</x:v>
      </x:c>
      <x:c r="F98" t="n">
        <x:v>30</x:v>
      </x:c>
      <x:c r="G98" t="str">
        <x:v>Priya</x:v>
      </x:c>
    </x:row>
    <x:row r="99">
      <x:c r="A99" t="str">
        <x:v>C0098</x:v>
      </x:c>
      <x:c r="B99" t="str">
        <x:v>City Stores 98</x:v>
      </x:c>
      <x:c r="C99" t="str">
        <x:v>Canteen</x:v>
      </x:c>
      <x:c r="D99" t="str">
        <x:v>Mangaluru</x:v>
      </x:c>
      <x:c r="E99" t="str">
        <x:v>C</x:v>
      </x:c>
      <x:c r="F99" t="n">
        <x:v>15</x:v>
      </x:c>
      <x:c r="G99" t="str">
        <x:v>Imran</x:v>
      </x:c>
    </x:row>
    <x:row r="100">
      <x:c r="A100" t="str">
        <x:v>C0099</x:v>
      </x:c>
      <x:c r="B100" t="str">
        <x:v>Green Cafe 99</x:v>
      </x:c>
      <x:c r="C100" t="str">
        <x:v>Restaurant</x:v>
      </x:c>
      <x:c r="D100" t="str">
        <x:v>Hubballi</x:v>
      </x:c>
      <x:c r="E100" t="str">
        <x:v>A</x:v>
      </x:c>
      <x:c r="F100" t="n">
        <x:v>15</x:v>
      </x:c>
      <x:c r="G100" t="str">
        <x:v>Ramesh</x:v>
      </x:c>
    </x:row>
    <x:row r="101">
      <x:c r="A101" t="str">
        <x:v>C0100</x:v>
      </x:c>
      <x:c r="B101" t="str">
        <x:v>Fresh Mart 100</x:v>
      </x:c>
      <x:c r="C101" t="str">
        <x:v>Restaurant</x:v>
      </x:c>
      <x:c r="D101" t="str">
        <x:v>Mysuru</x:v>
      </x:c>
      <x:c r="E101" t="str">
        <x:v>C</x:v>
      </x:c>
      <x:c r="F101" t="n">
        <x:v>45</x:v>
      </x:c>
      <x:c r="G101" t="str">
        <x:v>Imran</x:v>
      </x:c>
    </x:row>
    <x:row r="102">
      <x:c r="A102" t="str">
        <x:v>C0101</x:v>
      </x:c>
      <x:c r="B102" t="str">
        <x:v>Namma Cafe 101</x:v>
      </x:c>
      <x:c r="C102" t="str">
        <x:v>Supermarket</x:v>
      </x:c>
      <x:c r="D102" t="str">
        <x:v>Bengaluru</x:v>
      </x:c>
      <x:c r="E102" t="str">
        <x:v>A</x:v>
      </x:c>
      <x:c r="F102" t="n">
        <x:v>15</x:v>
      </x:c>
      <x:c r="G102" t="str">
        <x:v>Arjun</x:v>
      </x:c>
    </x:row>
    <x:row r="103">
      <x:c r="A103" t="str">
        <x:v>C0102</x:v>
      </x:c>
      <x:c r="B103" t="str">
        <x:v>Annapurna Foods 102</x:v>
      </x:c>
      <x:c r="C103" t="str">
        <x:v>Cafe</x:v>
      </x:c>
      <x:c r="D103" t="str">
        <x:v>Davanagere</x:v>
      </x:c>
      <x:c r="E103" t="str">
        <x:v>B</x:v>
      </x:c>
      <x:c r="F103" t="n">
        <x:v>0</x:v>
      </x:c>
      <x:c r="G103" t="str">
        <x:v>Ramesh</x:v>
      </x:c>
    </x:row>
    <x:row r="104">
      <x:c r="A104" t="str">
        <x:v>C0103</x:v>
      </x:c>
      <x:c r="B104" t="str">
        <x:v>Fresh Kitchen 103</x:v>
      </x:c>
      <x:c r="C104" t="str">
        <x:v>Supermarket</x:v>
      </x:c>
      <x:c r="D104" t="str">
        <x:v>Davanagere</x:v>
      </x:c>
      <x:c r="E104" t="str">
        <x:v>B</x:v>
      </x:c>
      <x:c r="F104" t="n">
        <x:v>0</x:v>
      </x:c>
      <x:c r="G104" t="str">
        <x:v>Megha</x:v>
      </x:c>
    </x:row>
    <x:row r="105">
      <x:c r="A105" t="str">
        <x:v>C0104</x:v>
      </x:c>
      <x:c r="B105" t="str">
        <x:v>Shree Foods 104</x:v>
      </x:c>
      <x:c r="C105" t="str">
        <x:v>Cafe</x:v>
      </x:c>
      <x:c r="D105" t="str">
        <x:v>Mangaluru</x:v>
      </x:c>
      <x:c r="E105" t="str">
        <x:v>C</x:v>
      </x:c>
      <x:c r="F105" t="n">
        <x:v>15</x:v>
      </x:c>
      <x:c r="G105" t="str">
        <x:v>Megha</x:v>
      </x:c>
    </x:row>
    <x:row r="106">
      <x:c r="A106" t="str">
        <x:v>C0105</x:v>
      </x:c>
      <x:c r="B106" t="str">
        <x:v>Foodie Restaurant 105</x:v>
      </x:c>
      <x:c r="C106" t="str">
        <x:v>Supermarket</x:v>
      </x:c>
      <x:c r="D106" t="str">
        <x:v>Bengaluru</x:v>
      </x:c>
      <x:c r="E106" t="str">
        <x:v>B</x:v>
      </x:c>
      <x:c r="F106" t="n">
        <x:v>0</x:v>
      </x:c>
      <x:c r="G106" t="str">
        <x:v>Arjun</x:v>
      </x:c>
    </x:row>
    <x:row r="107">
      <x:c r="A107" t="str">
        <x:v>C0106</x:v>
      </x:c>
      <x:c r="B107" t="str">
        <x:v>Classic Mart 106</x:v>
      </x:c>
      <x:c r="C107" t="str">
        <x:v>Restaurant</x:v>
      </x:c>
      <x:c r="D107" t="str">
        <x:v>Mysuru</x:v>
      </x:c>
      <x:c r="E107" t="str">
        <x:v>C</x:v>
      </x:c>
      <x:c r="F107" t="n">
        <x:v>0</x:v>
      </x:c>
      <x:c r="G107" t="str">
        <x:v>Kavya</x:v>
      </x:c>
    </x:row>
    <x:row r="108">
      <x:c r="A108" t="str">
        <x:v>C0107</x:v>
      </x:c>
      <x:c r="B108" t="str">
        <x:v>Mysore Cafe 107</x:v>
      </x:c>
      <x:c r="C108" t="str">
        <x:v>Supermarket</x:v>
      </x:c>
      <x:c r="D108" t="str">
        <x:v>Tumakuru</x:v>
      </x:c>
      <x:c r="E108" t="str">
        <x:v>B</x:v>
      </x:c>
      <x:c r="F108" t="n">
        <x:v>45</x:v>
      </x:c>
      <x:c r="G108" t="str">
        <x:v>Megha</x:v>
      </x:c>
    </x:row>
    <x:row r="109">
      <x:c r="A109" t="str">
        <x:v>C0108</x:v>
      </x:c>
      <x:c r="B109" t="str">
        <x:v>Spice Mart 108</x:v>
      </x:c>
      <x:c r="C109" t="str">
        <x:v>Supermarket</x:v>
      </x:c>
      <x:c r="D109" t="str">
        <x:v>Hubballi</x:v>
      </x:c>
      <x:c r="E109" t="str">
        <x:v>B</x:v>
      </x:c>
      <x:c r="F109" t="n">
        <x:v>45</x:v>
      </x:c>
      <x:c r="G109" t="str">
        <x:v>Kavya</x:v>
      </x:c>
    </x:row>
    <x:row r="110">
      <x:c r="A110" t="str">
        <x:v>C0109</x:v>
      </x:c>
      <x:c r="B110" t="str">
        <x:v>Annapurna Kitchen 109</x:v>
      </x:c>
      <x:c r="C110" t="str">
        <x:v>Kirana</x:v>
      </x:c>
      <x:c r="D110" t="str">
        <x:v>Mysuru</x:v>
      </x:c>
      <x:c r="E110" t="str">
        <x:v>B</x:v>
      </x:c>
      <x:c r="F110" t="n">
        <x:v>7</x:v>
      </x:c>
      <x:c r="G110" t="str">
        <x:v>Kavya</x:v>
      </x:c>
    </x:row>
    <x:row r="111">
      <x:c r="A111" t="str">
        <x:v>C0110</x:v>
      </x:c>
      <x:c r="B111" t="str">
        <x:v>Metro Restaurant 110</x:v>
      </x:c>
      <x:c r="C111" t="str">
        <x:v>Hotel</x:v>
      </x:c>
      <x:c r="D111" t="str">
        <x:v>Mysuru</x:v>
      </x:c>
      <x:c r="E111" t="str">
        <x:v>A</x:v>
      </x:c>
      <x:c r="F111" t="n">
        <x:v>15</x:v>
      </x:c>
      <x:c r="G111" t="str">
        <x:v>Imran</x:v>
      </x:c>
    </x:row>
    <x:row r="112">
      <x:c r="A112" t="str">
        <x:v>C0111</x:v>
      </x:c>
      <x:c r="B112" t="str">
        <x:v>Metro Kitchen 111</x:v>
      </x:c>
      <x:c r="C112" t="str">
        <x:v>Restaurant</x:v>
      </x:c>
      <x:c r="D112" t="str">
        <x:v>Davanagere</x:v>
      </x:c>
      <x:c r="E112" t="str">
        <x:v>C</x:v>
      </x:c>
      <x:c r="F112" t="n">
        <x:v>7</x:v>
      </x:c>
      <x:c r="G112" t="str">
        <x:v>Sneha</x:v>
      </x:c>
    </x:row>
    <x:row r="113">
      <x:c r="A113" t="str">
        <x:v>C0112</x:v>
      </x:c>
      <x:c r="B113" t="str">
        <x:v>Cafe Hotel 112</x:v>
      </x:c>
      <x:c r="C113" t="str">
        <x:v>Hotel</x:v>
      </x:c>
      <x:c r="D113" t="str">
        <x:v>Mangaluru</x:v>
      </x:c>
      <x:c r="E113" t="str">
        <x:v>C</x:v>
      </x:c>
      <x:c r="F113" t="n">
        <x:v>15</x:v>
      </x:c>
      <x:c r="G113" t="str">
        <x:v>Kavya</x:v>
      </x:c>
    </x:row>
    <x:row r="114">
      <x:c r="A114" t="str">
        <x:v>C0113</x:v>
      </x:c>
      <x:c r="B114" t="str">
        <x:v>Namma Mart 113</x:v>
      </x:c>
      <x:c r="C114" t="str">
        <x:v>Restaurant</x:v>
      </x:c>
      <x:c r="D114" t="str">
        <x:v>Bengaluru</x:v>
      </x:c>
      <x:c r="E114" t="str">
        <x:v>A</x:v>
      </x:c>
      <x:c r="F114" t="n">
        <x:v>30</x:v>
      </x:c>
      <x:c r="G114" t="str">
        <x:v>Imran</x:v>
      </x:c>
    </x:row>
    <x:row r="115">
      <x:c r="A115" t="str">
        <x:v>C0114</x:v>
      </x:c>
      <x:c r="B115" t="str">
        <x:v>Annapurna Restaurant 114</x:v>
      </x:c>
      <x:c r="C115" t="str">
        <x:v>Restaurant</x:v>
      </x:c>
      <x:c r="D115" t="str">
        <x:v>Davanagere</x:v>
      </x:c>
      <x:c r="E115" t="str">
        <x:v>A</x:v>
      </x:c>
      <x:c r="F115" t="n">
        <x:v>30</x:v>
      </x:c>
      <x:c r="G115" t="str">
        <x:v>Arjun</x:v>
      </x:c>
    </x:row>
    <x:row r="116">
      <x:c r="A116" t="str">
        <x:v>C0115</x:v>
      </x:c>
      <x:c r="B116" t="str">
        <x:v>Mysore Mart 115</x:v>
      </x:c>
      <x:c r="C116" t="str">
        <x:v>Kirana</x:v>
      </x:c>
      <x:c r="D116" t="str">
        <x:v>Mangaluru</x:v>
      </x:c>
      <x:c r="E116" t="str">
        <x:v>A</x:v>
      </x:c>
      <x:c r="F116" t="n">
        <x:v>0</x:v>
      </x:c>
      <x:c r="G116" t="str">
        <x:v>Arjun</x:v>
      </x:c>
    </x:row>
    <x:row r="117">
      <x:c r="A117" t="str">
        <x:v>C0116</x:v>
      </x:c>
      <x:c r="B117" t="str">
        <x:v>Classic Foods 116</x:v>
      </x:c>
      <x:c r="C117" t="str">
        <x:v>Supermarket</x:v>
      </x:c>
      <x:c r="D117" t="str">
        <x:v>Davanagere</x:v>
      </x:c>
      <x:c r="E117" t="str">
        <x:v>B</x:v>
      </x:c>
      <x:c r="F117" t="n">
        <x:v>7</x:v>
      </x:c>
      <x:c r="G117" t="str">
        <x:v>Megha</x:v>
      </x:c>
    </x:row>
    <x:row r="118">
      <x:c r="A118" t="str">
        <x:v>C0117</x:v>
      </x:c>
      <x:c r="B118" t="str">
        <x:v>Classic Canteen 117</x:v>
      </x:c>
      <x:c r="C118" t="str">
        <x:v>Restaurant</x:v>
      </x:c>
      <x:c r="D118" t="str">
        <x:v>Hubballi</x:v>
      </x:c>
      <x:c r="E118" t="str">
        <x:v>C</x:v>
      </x:c>
      <x:c r="F118" t="n">
        <x:v>30</x:v>
      </x:c>
      <x:c r="G118" t="str">
        <x:v>Megha</x:v>
      </x:c>
    </x:row>
    <x:row r="119">
      <x:c r="A119" t="str">
        <x:v>C0118</x:v>
      </x:c>
      <x:c r="B119" t="str">
        <x:v>Sagar Kitchen 118</x:v>
      </x:c>
      <x:c r="C119" t="str">
        <x:v>Restaurant</x:v>
      </x:c>
      <x:c r="D119" t="str">
        <x:v>Hubballi</x:v>
      </x:c>
      <x:c r="E119" t="str">
        <x:v>B</x:v>
      </x:c>
      <x:c r="F119" t="n">
        <x:v>7</x:v>
      </x:c>
      <x:c r="G119" t="str">
        <x:v>Megha</x:v>
      </x:c>
    </x:row>
    <x:row r="120">
      <x:c r="A120" t="str">
        <x:v>C0119</x:v>
      </x:c>
      <x:c r="B120" t="str">
        <x:v>Foodie Foods 119</x:v>
      </x:c>
      <x:c r="C120" t="str">
        <x:v>Kirana</x:v>
      </x:c>
      <x:c r="D120" t="str">
        <x:v>Hubballi</x:v>
      </x:c>
      <x:c r="E120" t="str">
        <x:v>A</x:v>
      </x:c>
      <x:c r="F120" t="n">
        <x:v>30</x:v>
      </x:c>
      <x:c r="G120" t="str">
        <x:v>Imran</x:v>
      </x:c>
    </x:row>
    <x:row r="121">
      <x:c r="A121" t="str">
        <x:v>C0120</x:v>
      </x:c>
      <x:c r="B121" t="str">
        <x:v>Foodie Foods 120</x:v>
      </x:c>
      <x:c r="C121" t="str">
        <x:v>Hotel</x:v>
      </x:c>
      <x:c r="D121" t="str">
        <x:v>Hubballi</x:v>
      </x:c>
      <x:c r="E121" t="str">
        <x:v>B</x:v>
      </x:c>
      <x:c r="F121" t="n">
        <x:v>45</x:v>
      </x:c>
      <x:c r="G121" t="str">
        <x:v>Arjun</x:v>
      </x:c>
    </x:row>
    <x:row r="122">
      <x:c r="A122" t="str">
        <x:v>C0121</x:v>
      </x:c>
      <x:c r="B122" t="str">
        <x:v>Mysore Restaurant 121</x:v>
      </x:c>
      <x:c r="C122" t="str">
        <x:v>Cafe</x:v>
      </x:c>
      <x:c r="D122" t="str">
        <x:v>Mysuru</x:v>
      </x:c>
      <x:c r="E122" t="str">
        <x:v>C</x:v>
      </x:c>
      <x:c r="F122" t="n">
        <x:v>30</x:v>
      </x:c>
      <x:c r="G122" t="str">
        <x:v>Sneha</x:v>
      </x:c>
    </x:row>
    <x:row r="123">
      <x:c r="A123" t="str">
        <x:v>C0122</x:v>
      </x:c>
      <x:c r="B123" t="str">
        <x:v>Namma Restaurant 122</x:v>
      </x:c>
      <x:c r="C123" t="str">
        <x:v>Kirana</x:v>
      </x:c>
      <x:c r="D123" t="str">
        <x:v>Hubballi</x:v>
      </x:c>
      <x:c r="E123" t="str">
        <x:v>A</x:v>
      </x:c>
      <x:c r="F123" t="n">
        <x:v>30</x:v>
      </x:c>
      <x:c r="G123" t="str">
        <x:v>Sneha</x:v>
      </x:c>
    </x:row>
    <x:row r="124">
      <x:c r="A124" t="str">
        <x:v>C0123</x:v>
      </x:c>
      <x:c r="B124" t="str">
        <x:v>City Foods 123</x:v>
      </x:c>
      <x:c r="C124" t="str">
        <x:v>Restaurant</x:v>
      </x:c>
      <x:c r="D124" t="str">
        <x:v>Davanagere</x:v>
      </x:c>
      <x:c r="E124" t="str">
        <x:v>B</x:v>
      </x:c>
      <x:c r="F124" t="n">
        <x:v>45</x:v>
      </x:c>
      <x:c r="G124" t="str">
        <x:v>Sneha</x:v>
      </x:c>
    </x:row>
    <x:row r="125">
      <x:c r="A125" t="str">
        <x:v>C0124</x:v>
      </x:c>
      <x:c r="B125" t="str">
        <x:v>Green Hotel 124</x:v>
      </x:c>
      <x:c r="C125" t="str">
        <x:v>Cafe</x:v>
      </x:c>
      <x:c r="D125" t="str">
        <x:v>Bengaluru</x:v>
      </x:c>
      <x:c r="E125" t="str">
        <x:v>C</x:v>
      </x:c>
      <x:c r="F125" t="n">
        <x:v>30</x:v>
      </x:c>
      <x:c r="G125" t="str">
        <x:v>Imran</x:v>
      </x:c>
    </x:row>
    <x:row r="126">
      <x:c r="A126" t="str">
        <x:v>C0125</x:v>
      </x:c>
      <x:c r="B126" t="str">
        <x:v>Spice Restaurant 125</x:v>
      </x:c>
      <x:c r="C126" t="str">
        <x:v>Kirana</x:v>
      </x:c>
      <x:c r="D126" t="str">
        <x:v>Tumakuru</x:v>
      </x:c>
      <x:c r="E126" t="str">
        <x:v>B</x:v>
      </x:c>
      <x:c r="F126" t="n">
        <x:v>30</x:v>
      </x:c>
      <x:c r="G126" t="str">
        <x:v>Ramesh</x:v>
      </x:c>
    </x:row>
    <x:row r="127">
      <x:c r="A127" t="str">
        <x:v>C0126</x:v>
      </x:c>
      <x:c r="B127" t="str">
        <x:v>Mysore Hotel 126</x:v>
      </x:c>
      <x:c r="C127" t="str">
        <x:v>Restaurant</x:v>
      </x:c>
      <x:c r="D127" t="str">
        <x:v>Mangaluru</x:v>
      </x:c>
      <x:c r="E127" t="str">
        <x:v>B</x:v>
      </x:c>
      <x:c r="F127" t="n">
        <x:v>0</x:v>
      </x:c>
      <x:c r="G127" t="str">
        <x:v>Vikram</x:v>
      </x:c>
    </x:row>
    <x:row r="128">
      <x:c r="A128" t="str">
        <x:v>C0127</x:v>
      </x:c>
      <x:c r="B128" t="str">
        <x:v>Grand Mart 127</x:v>
      </x:c>
      <x:c r="C128" t="str">
        <x:v>Canteen</x:v>
      </x:c>
      <x:c r="D128" t="str">
        <x:v>Hubballi</x:v>
      </x:c>
      <x:c r="E128" t="str">
        <x:v>B</x:v>
      </x:c>
      <x:c r="F128" t="n">
        <x:v>0</x:v>
      </x:c>
      <x:c r="G128" t="str">
        <x:v>Imran</x:v>
      </x:c>
    </x:row>
    <x:row r="129">
      <x:c r="A129" t="str">
        <x:v>C0128</x:v>
      </x:c>
      <x:c r="B129" t="str">
        <x:v>Fresh Hotel 128</x:v>
      </x:c>
      <x:c r="C129" t="str">
        <x:v>Kirana</x:v>
      </x:c>
      <x:c r="D129" t="str">
        <x:v>Tumakuru</x:v>
      </x:c>
      <x:c r="E129" t="str">
        <x:v>B</x:v>
      </x:c>
      <x:c r="F129" t="n">
        <x:v>30</x:v>
      </x:c>
      <x:c r="G129" t="str">
        <x:v>Priya</x:v>
      </x:c>
    </x:row>
    <x:row r="130">
      <x:c r="A130" t="str">
        <x:v>C0129</x:v>
      </x:c>
      <x:c r="B130" t="str">
        <x:v>City Canteen 129</x:v>
      </x:c>
      <x:c r="C130" t="str">
        <x:v>Kirana</x:v>
      </x:c>
      <x:c r="D130" t="str">
        <x:v>Hubballi</x:v>
      </x:c>
      <x:c r="E130" t="str">
        <x:v>C</x:v>
      </x:c>
      <x:c r="F130" t="n">
        <x:v>30</x:v>
      </x:c>
      <x:c r="G130" t="str">
        <x:v>Sneha</x:v>
      </x:c>
    </x:row>
    <x:row r="131">
      <x:c r="A131" t="str">
        <x:v>C0130</x:v>
      </x:c>
      <x:c r="B131" t="str">
        <x:v>Foodie Cafe 130</x:v>
      </x:c>
      <x:c r="C131" t="str">
        <x:v>Restaurant</x:v>
      </x:c>
      <x:c r="D131" t="str">
        <x:v>Davanagere</x:v>
      </x:c>
      <x:c r="E131" t="str">
        <x:v>A</x:v>
      </x:c>
      <x:c r="F131" t="n">
        <x:v>30</x:v>
      </x:c>
      <x:c r="G131" t="str">
        <x:v>Megha</x:v>
      </x:c>
    </x:row>
    <x:row r="132">
      <x:c r="A132" t="str">
        <x:v>C0131</x:v>
      </x:c>
      <x:c r="B132" t="str">
        <x:v>Foodie Canteen 131</x:v>
      </x:c>
      <x:c r="C132" t="str">
        <x:v>Canteen</x:v>
      </x:c>
      <x:c r="D132" t="str">
        <x:v>Davanagere</x:v>
      </x:c>
      <x:c r="E132" t="str">
        <x:v>B</x:v>
      </x:c>
      <x:c r="F132" t="n">
        <x:v>7</x:v>
      </x:c>
      <x:c r="G132" t="str">
        <x:v>Arjun</x:v>
      </x:c>
    </x:row>
    <x:row r="133">
      <x:c r="A133" t="str">
        <x:v>C0132</x:v>
      </x:c>
      <x:c r="B133" t="str">
        <x:v>Classic Stores 132</x:v>
      </x:c>
      <x:c r="C133" t="str">
        <x:v>Cafe</x:v>
      </x:c>
      <x:c r="D133" t="str">
        <x:v>Mysuru</x:v>
      </x:c>
      <x:c r="E133" t="str">
        <x:v>C</x:v>
      </x:c>
      <x:c r="F133" t="n">
        <x:v>0</x:v>
      </x:c>
      <x:c r="G133" t="str">
        <x:v>Megha</x:v>
      </x:c>
    </x:row>
    <x:row r="134">
      <x:c r="A134" t="str">
        <x:v>C0133</x:v>
      </x:c>
      <x:c r="B134" t="str">
        <x:v>Metro Foods 133</x:v>
      </x:c>
      <x:c r="C134" t="str">
        <x:v>Cafe</x:v>
      </x:c>
      <x:c r="D134" t="str">
        <x:v>Bengaluru</x:v>
      </x:c>
      <x:c r="E134" t="str">
        <x:v>B</x:v>
      </x:c>
      <x:c r="F134" t="n">
        <x:v>7</x:v>
      </x:c>
      <x:c r="G134" t="str">
        <x:v>Ramesh</x:v>
      </x:c>
    </x:row>
    <x:row r="135">
      <x:c r="A135" t="str">
        <x:v>C0134</x:v>
      </x:c>
      <x:c r="B135" t="str">
        <x:v>Annapurna Stores 134</x:v>
      </x:c>
      <x:c r="C135" t="str">
        <x:v>Cafe</x:v>
      </x:c>
      <x:c r="D135" t="str">
        <x:v>Bengaluru</x:v>
      </x:c>
      <x:c r="E135" t="str">
        <x:v>C</x:v>
      </x:c>
      <x:c r="F135" t="n">
        <x:v>45</x:v>
      </x:c>
      <x:c r="G135" t="str">
        <x:v>Kavya</x:v>
      </x:c>
    </x:row>
    <x:row r="136">
      <x:c r="A136" t="str">
        <x:v>C0135</x:v>
      </x:c>
      <x:c r="B136" t="str">
        <x:v>City Canteen 135</x:v>
      </x:c>
      <x:c r="C136" t="str">
        <x:v>Supermarket</x:v>
      </x:c>
      <x:c r="D136" t="str">
        <x:v>Hubballi</x:v>
      </x:c>
      <x:c r="E136" t="str">
        <x:v>B</x:v>
      </x:c>
      <x:c r="F136" t="n">
        <x:v>15</x:v>
      </x:c>
      <x:c r="G136" t="str">
        <x:v>Megha</x:v>
      </x:c>
    </x:row>
    <x:row r="137">
      <x:c r="A137" t="str">
        <x:v>C0136</x:v>
      </x:c>
      <x:c r="B137" t="str">
        <x:v>Royal Cafe 136</x:v>
      </x:c>
      <x:c r="C137" t="str">
        <x:v>Hotel</x:v>
      </x:c>
      <x:c r="D137" t="str">
        <x:v>Tumakuru</x:v>
      </x:c>
      <x:c r="E137" t="str">
        <x:v>C</x:v>
      </x:c>
      <x:c r="F137" t="n">
        <x:v>15</x:v>
      </x:c>
      <x:c r="G137" t="str">
        <x:v>Kavya</x:v>
      </x:c>
    </x:row>
    <x:row r="138">
      <x:c r="A138" t="str">
        <x:v>C0137</x:v>
      </x:c>
      <x:c r="B138" t="str">
        <x:v>Green Restaurant 137</x:v>
      </x:c>
      <x:c r="C138" t="str">
        <x:v>Canteen</x:v>
      </x:c>
      <x:c r="D138" t="str">
        <x:v>Mangaluru</x:v>
      </x:c>
      <x:c r="E138" t="str">
        <x:v>C</x:v>
      </x:c>
      <x:c r="F138" t="n">
        <x:v>7</x:v>
      </x:c>
      <x:c r="G138" t="str">
        <x:v>Arjun</x:v>
      </x:c>
    </x:row>
    <x:row r="139">
      <x:c r="A139" t="str">
        <x:v>C0138</x:v>
      </x:c>
      <x:c r="B139" t="str">
        <x:v>New Mart 138</x:v>
      </x:c>
      <x:c r="C139" t="str">
        <x:v>Restaurant</x:v>
      </x:c>
      <x:c r="D139" t="str">
        <x:v>Bengaluru</x:v>
      </x:c>
      <x:c r="E139" t="str">
        <x:v>B</x:v>
      </x:c>
      <x:c r="F139" t="n">
        <x:v>15</x:v>
      </x:c>
      <x:c r="G139" t="str">
        <x:v>Ramesh</x:v>
      </x:c>
    </x:row>
    <x:row r="140">
      <x:c r="A140" t="str">
        <x:v>C0139</x:v>
      </x:c>
      <x:c r="B140" t="str">
        <x:v>Classic Hotel 139</x:v>
      </x:c>
      <x:c r="C140" t="str">
        <x:v>Cafe</x:v>
      </x:c>
      <x:c r="D140" t="str">
        <x:v>Mysuru</x:v>
      </x:c>
      <x:c r="E140" t="str">
        <x:v>A</x:v>
      </x:c>
      <x:c r="F140" t="n">
        <x:v>7</x:v>
      </x:c>
      <x:c r="G140" t="str">
        <x:v>Vikram</x:v>
      </x:c>
    </x:row>
    <x:row r="141">
      <x:c r="A141" t="str">
        <x:v>C0140</x:v>
      </x:c>
      <x:c r="B141" t="str">
        <x:v>Fresh Hotel 140</x:v>
      </x:c>
      <x:c r="C141" t="str">
        <x:v>Kirana</x:v>
      </x:c>
      <x:c r="D141" t="str">
        <x:v>Tumakuru</x:v>
      </x:c>
      <x:c r="E141" t="str">
        <x:v>B</x:v>
      </x:c>
      <x:c r="F141" t="n">
        <x:v>7</x:v>
      </x:c>
      <x:c r="G141" t="str">
        <x:v>Imran</x:v>
      </x:c>
    </x:row>
    <x:row r="142">
      <x:c r="A142" t="str">
        <x:v>C0141</x:v>
      </x:c>
      <x:c r="B142" t="str">
        <x:v>Sri Restaurant 141</x:v>
      </x:c>
      <x:c r="C142" t="str">
        <x:v>Restaurant</x:v>
      </x:c>
      <x:c r="D142" t="str">
        <x:v>Mangaluru</x:v>
      </x:c>
      <x:c r="E142" t="str">
        <x:v>C</x:v>
      </x:c>
      <x:c r="F142" t="n">
        <x:v>15</x:v>
      </x:c>
      <x:c r="G142" t="str">
        <x:v>Ramesh</x:v>
      </x:c>
    </x:row>
    <x:row r="143">
      <x:c r="A143" t="str">
        <x:v>C0142</x:v>
      </x:c>
      <x:c r="B143" t="str">
        <x:v>Darshini Mart 142</x:v>
      </x:c>
      <x:c r="C143" t="str">
        <x:v>Cafe</x:v>
      </x:c>
      <x:c r="D143" t="str">
        <x:v>Bengaluru</x:v>
      </x:c>
      <x:c r="E143" t="str">
        <x:v>C</x:v>
      </x:c>
      <x:c r="F143" t="n">
        <x:v>30</x:v>
      </x:c>
      <x:c r="G143" t="str">
        <x:v>Megha</x:v>
      </x:c>
    </x:row>
    <x:row r="144">
      <x:c r="A144" t="str">
        <x:v>C0143</x:v>
      </x:c>
      <x:c r="B144" t="str">
        <x:v>Foodie Restaurant 143</x:v>
      </x:c>
      <x:c r="C144" t="str">
        <x:v>Restaurant</x:v>
      </x:c>
      <x:c r="D144" t="str">
        <x:v>Hubballi</x:v>
      </x:c>
      <x:c r="E144" t="str">
        <x:v>B</x:v>
      </x:c>
      <x:c r="F144" t="n">
        <x:v>0</x:v>
      </x:c>
      <x:c r="G144" t="str">
        <x:v>Priya</x:v>
      </x:c>
    </x:row>
    <x:row r="145">
      <x:c r="A145" t="str">
        <x:v>C0144</x:v>
      </x:c>
      <x:c r="B145" t="str">
        <x:v>Namma Foods 144</x:v>
      </x:c>
      <x:c r="C145" t="str">
        <x:v>Restaurant</x:v>
      </x:c>
      <x:c r="D145" t="str">
        <x:v>Tumakuru</x:v>
      </x:c>
      <x:c r="E145" t="str">
        <x:v>B</x:v>
      </x:c>
      <x:c r="F145" t="n">
        <x:v>30</x:v>
      </x:c>
      <x:c r="G145" t="str">
        <x:v>Arjun</x:v>
      </x:c>
    </x:row>
    <x:row r="146">
      <x:c r="A146" t="str">
        <x:v>C0145</x:v>
      </x:c>
      <x:c r="B146" t="str">
        <x:v>Namma Cafe 145</x:v>
      </x:c>
      <x:c r="C146" t="str">
        <x:v>Kirana</x:v>
      </x:c>
      <x:c r="D146" t="str">
        <x:v>Tumakuru</x:v>
      </x:c>
      <x:c r="E146" t="str">
        <x:v>C</x:v>
      </x:c>
      <x:c r="F146" t="n">
        <x:v>45</x:v>
      </x:c>
      <x:c r="G146" t="str">
        <x:v>Sneha</x:v>
      </x:c>
    </x:row>
    <x:row r="147">
      <x:c r="A147" t="str">
        <x:v>C0146</x:v>
      </x:c>
      <x:c r="B147" t="str">
        <x:v>Annapurna Hotel 146</x:v>
      </x:c>
      <x:c r="C147" t="str">
        <x:v>Restaurant</x:v>
      </x:c>
      <x:c r="D147" t="str">
        <x:v>Davanagere</x:v>
      </x:c>
      <x:c r="E147" t="str">
        <x:v>C</x:v>
      </x:c>
      <x:c r="F147" t="n">
        <x:v>0</x:v>
      </x:c>
      <x:c r="G147" t="str">
        <x:v>Arjun</x:v>
      </x:c>
    </x:row>
    <x:row r="148">
      <x:c r="A148" t="str">
        <x:v>C0147</x:v>
      </x:c>
      <x:c r="B148" t="str">
        <x:v>New Stores 147</x:v>
      </x:c>
      <x:c r="C148" t="str">
        <x:v>Supermarket</x:v>
      </x:c>
      <x:c r="D148" t="str">
        <x:v>Hubballi</x:v>
      </x:c>
      <x:c r="E148" t="str">
        <x:v>A</x:v>
      </x:c>
      <x:c r="F148" t="n">
        <x:v>7</x:v>
      </x:c>
      <x:c r="G148" t="str">
        <x:v>Imran</x:v>
      </x:c>
    </x:row>
    <x:row r="149">
      <x:c r="A149" t="str">
        <x:v>C0148</x:v>
      </x:c>
      <x:c r="B149" t="str">
        <x:v>Shree Cafe 148</x:v>
      </x:c>
      <x:c r="C149" t="str">
        <x:v>Kirana</x:v>
      </x:c>
      <x:c r="D149" t="str">
        <x:v>Hubballi</x:v>
      </x:c>
      <x:c r="E149" t="str">
        <x:v>C</x:v>
      </x:c>
      <x:c r="F149" t="n">
        <x:v>7</x:v>
      </x:c>
      <x:c r="G149" t="str">
        <x:v>Priya</x:v>
      </x:c>
    </x:row>
    <x:row r="150">
      <x:c r="A150" t="str">
        <x:v>C0149</x:v>
      </x:c>
      <x:c r="B150" t="str">
        <x:v>Annapurna Hotel 149</x:v>
      </x:c>
      <x:c r="C150" t="str">
        <x:v>Cafe</x:v>
      </x:c>
      <x:c r="D150" t="str">
        <x:v>Tumakuru</x:v>
      </x:c>
      <x:c r="E150" t="str">
        <x:v>C</x:v>
      </x:c>
      <x:c r="F150" t="n">
        <x:v>15</x:v>
      </x:c>
      <x:c r="G150" t="str">
        <x:v>Megha</x:v>
      </x:c>
    </x:row>
    <x:row r="151">
      <x:c r="A151" t="str">
        <x:v>C0150</x:v>
      </x:c>
      <x:c r="B151" t="str">
        <x:v>Sagar Kitchen 150</x:v>
      </x:c>
      <x:c r="C151" t="str">
        <x:v>Kirana</x:v>
      </x:c>
      <x:c r="D151" t="str">
        <x:v>Hubballi</x:v>
      </x:c>
      <x:c r="E151" t="str">
        <x:v>C</x:v>
      </x:c>
      <x:c r="F151" t="n">
        <x:v>30</x:v>
      </x:c>
      <x:c r="G151" t="str">
        <x:v>Ramesh</x:v>
      </x:c>
    </x:row>
    <x:row r="152">
      <x:c r="A152" t="str">
        <x:v>C0151</x:v>
      </x:c>
      <x:c r="B152" t="str">
        <x:v>Foodie Stores 151</x:v>
      </x:c>
      <x:c r="C152" t="str">
        <x:v>Supermarket</x:v>
      </x:c>
      <x:c r="D152" t="str">
        <x:v>Mysuru</x:v>
      </x:c>
      <x:c r="E152" t="str">
        <x:v>C</x:v>
      </x:c>
      <x:c r="F152" t="n">
        <x:v>0</x:v>
      </x:c>
      <x:c r="G152" t="str">
        <x:v>Arjun</x:v>
      </x:c>
    </x:row>
    <x:row r="153">
      <x:c r="A153" t="str">
        <x:v>C0152</x:v>
      </x:c>
      <x:c r="B153" t="str">
        <x:v>Metro Stores 152</x:v>
      </x:c>
      <x:c r="C153" t="str">
        <x:v>Cafe</x:v>
      </x:c>
      <x:c r="D153" t="str">
        <x:v>Hubballi</x:v>
      </x:c>
      <x:c r="E153" t="str">
        <x:v>B</x:v>
      </x:c>
      <x:c r="F153" t="n">
        <x:v>15</x:v>
      </x:c>
      <x:c r="G153" t="str">
        <x:v>Priya</x:v>
      </x:c>
    </x:row>
    <x:row r="154">
      <x:c r="A154" t="str">
        <x:v>C0153</x:v>
      </x:c>
      <x:c r="B154" t="str">
        <x:v>Fresh Foods 153</x:v>
      </x:c>
      <x:c r="C154" t="str">
        <x:v>Kirana</x:v>
      </x:c>
      <x:c r="D154" t="str">
        <x:v>Bengaluru</x:v>
      </x:c>
      <x:c r="E154" t="str">
        <x:v>C</x:v>
      </x:c>
      <x:c r="F154" t="n">
        <x:v>45</x:v>
      </x:c>
      <x:c r="G154" t="str">
        <x:v>Priya</x:v>
      </x:c>
    </x:row>
    <x:row r="155">
      <x:c r="A155" t="str">
        <x:v>C0154</x:v>
      </x:c>
      <x:c r="B155" t="str">
        <x:v>Royal Restaurant 154</x:v>
      </x:c>
      <x:c r="C155" t="str">
        <x:v>Restaurant</x:v>
      </x:c>
      <x:c r="D155" t="str">
        <x:v>Tumakuru</x:v>
      </x:c>
      <x:c r="E155" t="str">
        <x:v>B</x:v>
      </x:c>
      <x:c r="F155" t="n">
        <x:v>15</x:v>
      </x:c>
      <x:c r="G155" t="str">
        <x:v>Kavya</x:v>
      </x:c>
    </x:row>
    <x:row r="156">
      <x:c r="A156" t="str">
        <x:v>C0155</x:v>
      </x:c>
      <x:c r="B156" t="str">
        <x:v>New Mart 155</x:v>
      </x:c>
      <x:c r="C156" t="str">
        <x:v>Hotel</x:v>
      </x:c>
      <x:c r="D156" t="str">
        <x:v>Mysuru</x:v>
      </x:c>
      <x:c r="E156" t="str">
        <x:v>A</x:v>
      </x:c>
      <x:c r="F156" t="n">
        <x:v>30</x:v>
      </x:c>
      <x:c r="G156" t="str">
        <x:v>Sneha</x:v>
      </x:c>
    </x:row>
    <x:row r="157">
      <x:c r="A157" t="str">
        <x:v>C0156</x:v>
      </x:c>
      <x:c r="B157" t="str">
        <x:v>Metro Stores 156</x:v>
      </x:c>
      <x:c r="C157" t="str">
        <x:v>Hotel</x:v>
      </x:c>
      <x:c r="D157" t="str">
        <x:v>Tumakuru</x:v>
      </x:c>
      <x:c r="E157" t="str">
        <x:v>B</x:v>
      </x:c>
      <x:c r="F157" t="n">
        <x:v>45</x:v>
      </x:c>
      <x:c r="G157" t="str">
        <x:v>Ramesh</x:v>
      </x:c>
    </x:row>
    <x:row r="158">
      <x:c r="A158" t="str">
        <x:v>C0157</x:v>
      </x:c>
      <x:c r="B158" t="str">
        <x:v>Fresh Canteen 157</x:v>
      </x:c>
      <x:c r="C158" t="str">
        <x:v>Kirana</x:v>
      </x:c>
      <x:c r="D158" t="str">
        <x:v>Mangaluru</x:v>
      </x:c>
      <x:c r="E158" t="str">
        <x:v>A</x:v>
      </x:c>
      <x:c r="F158" t="n">
        <x:v>15</x:v>
      </x:c>
      <x:c r="G158" t="str">
        <x:v>Priya</x:v>
      </x:c>
    </x:row>
    <x:row r="159">
      <x:c r="A159" t="str">
        <x:v>C0158</x:v>
      </x:c>
      <x:c r="B159" t="str">
        <x:v>Cafe Stores 158</x:v>
      </x:c>
      <x:c r="C159" t="str">
        <x:v>Cafe</x:v>
      </x:c>
      <x:c r="D159" t="str">
        <x:v>Mysuru</x:v>
      </x:c>
      <x:c r="E159" t="str">
        <x:v>C</x:v>
      </x:c>
      <x:c r="F159" t="n">
        <x:v>0</x:v>
      </x:c>
      <x:c r="G159" t="str">
        <x:v>Priya</x:v>
      </x:c>
    </x:row>
    <x:row r="160">
      <x:c r="A160" t="str">
        <x:v>C0159</x:v>
      </x:c>
      <x:c r="B160" t="str">
        <x:v>Darshini Foods 159</x:v>
      </x:c>
      <x:c r="C160" t="str">
        <x:v>Canteen</x:v>
      </x:c>
      <x:c r="D160" t="str">
        <x:v>Tumakuru</x:v>
      </x:c>
      <x:c r="E160" t="str">
        <x:v>B</x:v>
      </x:c>
      <x:c r="F160" t="n">
        <x:v>30</x:v>
      </x:c>
      <x:c r="G160" t="str">
        <x:v>Kavya</x:v>
      </x:c>
    </x:row>
    <x:row r="161">
      <x:c r="A161" t="str">
        <x:v>C0160</x:v>
      </x:c>
      <x:c r="B161" t="str">
        <x:v>Hotel Foods 160</x:v>
      </x:c>
      <x:c r="C161" t="str">
        <x:v>Hotel</x:v>
      </x:c>
      <x:c r="D161" t="str">
        <x:v>Mangaluru</x:v>
      </x:c>
      <x:c r="E161" t="str">
        <x:v>C</x:v>
      </x:c>
      <x:c r="F161" t="n">
        <x:v>0</x:v>
      </x:c>
      <x:c r="G161" t="str">
        <x:v>Sneha</x:v>
      </x:c>
    </x:row>
    <x:row r="162">
      <x:c r="A162" t="str">
        <x:v>C0161</x:v>
      </x:c>
      <x:c r="B162" t="str">
        <x:v>Hotel Kitchen 161</x:v>
      </x:c>
      <x:c r="C162" t="str">
        <x:v>Supermarket</x:v>
      </x:c>
      <x:c r="D162" t="str">
        <x:v>Mysuru</x:v>
      </x:c>
      <x:c r="E162" t="str">
        <x:v>B</x:v>
      </x:c>
      <x:c r="F162" t="n">
        <x:v>45</x:v>
      </x:c>
      <x:c r="G162" t="str">
        <x:v>Sneha</x:v>
      </x:c>
    </x:row>
    <x:row r="163">
      <x:c r="A163" t="str">
        <x:v>C0162</x:v>
      </x:c>
      <x:c r="B163" t="str">
        <x:v>Udupi Foods 162</x:v>
      </x:c>
      <x:c r="C163" t="str">
        <x:v>Restaurant</x:v>
      </x:c>
      <x:c r="D163" t="str">
        <x:v>Mysuru</x:v>
      </x:c>
      <x:c r="E163" t="str">
        <x:v>C</x:v>
      </x:c>
      <x:c r="F163" t="n">
        <x:v>15</x:v>
      </x:c>
      <x:c r="G163" t="str">
        <x:v>Ramesh</x:v>
      </x:c>
    </x:row>
    <x:row r="164">
      <x:c r="A164" t="str">
        <x:v>C0163</x:v>
      </x:c>
      <x:c r="B164" t="str">
        <x:v>Shree Kitchen 163</x:v>
      </x:c>
      <x:c r="C164" t="str">
        <x:v>Kirana</x:v>
      </x:c>
      <x:c r="D164" t="str">
        <x:v>Mysuru</x:v>
      </x:c>
      <x:c r="E164" t="str">
        <x:v>A</x:v>
      </x:c>
      <x:c r="F164" t="n">
        <x:v>0</x:v>
      </x:c>
      <x:c r="G164" t="str">
        <x:v>Priya</x:v>
      </x:c>
    </x:row>
    <x:row r="165">
      <x:c r="A165" t="str">
        <x:v>C0164</x:v>
      </x:c>
      <x:c r="B165" t="str">
        <x:v>Sri Hotel 164</x:v>
      </x:c>
      <x:c r="C165" t="str">
        <x:v>Kirana</x:v>
      </x:c>
      <x:c r="D165" t="str">
        <x:v>Mysuru</x:v>
      </x:c>
      <x:c r="E165" t="str">
        <x:v>A</x:v>
      </x:c>
      <x:c r="F165" t="n">
        <x:v>15</x:v>
      </x:c>
      <x:c r="G165" t="str">
        <x:v>Vikram</x:v>
      </x:c>
    </x:row>
    <x:row r="166">
      <x:c r="A166" t="str">
        <x:v>C0165</x:v>
      </x:c>
      <x:c r="B166" t="str">
        <x:v>Royal Restaurant 165</x:v>
      </x:c>
      <x:c r="C166" t="str">
        <x:v>Hotel</x:v>
      </x:c>
      <x:c r="D166" t="str">
        <x:v>Tumakuru</x:v>
      </x:c>
      <x:c r="E166" t="str">
        <x:v>C</x:v>
      </x:c>
      <x:c r="F166" t="n">
        <x:v>30</x:v>
      </x:c>
      <x:c r="G166" t="str">
        <x:v>Kavya</x:v>
      </x:c>
    </x:row>
    <x:row r="167">
      <x:c r="A167" t="str">
        <x:v>C0166</x:v>
      </x:c>
      <x:c r="B167" t="str">
        <x:v>Mysore Foods 166</x:v>
      </x:c>
      <x:c r="C167" t="str">
        <x:v>Cafe</x:v>
      </x:c>
      <x:c r="D167" t="str">
        <x:v>Mangaluru</x:v>
      </x:c>
      <x:c r="E167" t="str">
        <x:v>B</x:v>
      </x:c>
      <x:c r="F167" t="n">
        <x:v>45</x:v>
      </x:c>
      <x:c r="G167" t="str">
        <x:v>Arjun</x:v>
      </x:c>
    </x:row>
    <x:row r="168">
      <x:c r="A168" t="str">
        <x:v>C0167</x:v>
      </x:c>
      <x:c r="B168" t="str">
        <x:v>Foodie Canteen 167</x:v>
      </x:c>
      <x:c r="C168" t="str">
        <x:v>Canteen</x:v>
      </x:c>
      <x:c r="D168" t="str">
        <x:v>Bengaluru</x:v>
      </x:c>
      <x:c r="E168" t="str">
        <x:v>B</x:v>
      </x:c>
      <x:c r="F168" t="n">
        <x:v>0</x:v>
      </x:c>
      <x:c r="G168" t="str">
        <x:v>Megha</x:v>
      </x:c>
    </x:row>
    <x:row r="169">
      <x:c r="A169" t="str">
        <x:v>C0168</x:v>
      </x:c>
      <x:c r="B169" t="str">
        <x:v>Sagar Hotel 168</x:v>
      </x:c>
      <x:c r="C169" t="str">
        <x:v>Canteen</x:v>
      </x:c>
      <x:c r="D169" t="str">
        <x:v>Bengaluru</x:v>
      </x:c>
      <x:c r="E169" t="str">
        <x:v>A</x:v>
      </x:c>
      <x:c r="F169" t="n">
        <x:v>0</x:v>
      </x:c>
      <x:c r="G169" t="str">
        <x:v>Priya</x:v>
      </x:c>
    </x:row>
    <x:row r="170">
      <x:c r="A170" t="str">
        <x:v>C0169</x:v>
      </x:c>
      <x:c r="B170" t="str">
        <x:v>Grand Mart 169</x:v>
      </x:c>
      <x:c r="C170" t="str">
        <x:v>Canteen</x:v>
      </x:c>
      <x:c r="D170" t="str">
        <x:v>Mangaluru</x:v>
      </x:c>
      <x:c r="E170" t="str">
        <x:v>B</x:v>
      </x:c>
      <x:c r="F170" t="n">
        <x:v>30</x:v>
      </x:c>
      <x:c r="G170" t="str">
        <x:v>Vikram</x:v>
      </x:c>
    </x:row>
    <x:row r="171">
      <x:c r="A171" t="str">
        <x:v>C0170</x:v>
      </x:c>
      <x:c r="B171" t="str">
        <x:v>Green Cafe 170</x:v>
      </x:c>
      <x:c r="C171" t="str">
        <x:v>Supermarket</x:v>
      </x:c>
      <x:c r="D171" t="str">
        <x:v>Bengaluru</x:v>
      </x:c>
      <x:c r="E171" t="str">
        <x:v>B</x:v>
      </x:c>
      <x:c r="F171" t="n">
        <x:v>30</x:v>
      </x:c>
      <x:c r="G171" t="str">
        <x:v>Sneha</x:v>
      </x:c>
    </x:row>
    <x:row r="172">
      <x:c r="A172" t="str">
        <x:v>C0171</x:v>
      </x:c>
      <x:c r="B172" t="str">
        <x:v>Metro Canteen 171</x:v>
      </x:c>
      <x:c r="C172" t="str">
        <x:v>Restaurant</x:v>
      </x:c>
      <x:c r="D172" t="str">
        <x:v>Mangaluru</x:v>
      </x:c>
      <x:c r="E172" t="str">
        <x:v>C</x:v>
      </x:c>
      <x:c r="F172" t="n">
        <x:v>30</x:v>
      </x:c>
      <x:c r="G172" t="str">
        <x:v>Priya</x:v>
      </x:c>
    </x:row>
    <x:row r="173">
      <x:c r="A173" t="str">
        <x:v>C0172</x:v>
      </x:c>
      <x:c r="B173" t="str">
        <x:v>Annapurna Stores 172</x:v>
      </x:c>
      <x:c r="C173" t="str">
        <x:v>Restaurant</x:v>
      </x:c>
      <x:c r="D173" t="str">
        <x:v>Mangaluru</x:v>
      </x:c>
      <x:c r="E173" t="str">
        <x:v>C</x:v>
      </x:c>
      <x:c r="F173" t="n">
        <x:v>7</x:v>
      </x:c>
      <x:c r="G173" t="str">
        <x:v>Megha</x:v>
      </x:c>
    </x:row>
    <x:row r="174">
      <x:c r="A174" t="str">
        <x:v>C0173</x:v>
      </x:c>
      <x:c r="B174" t="str">
        <x:v>Royal Kitchen 173</x:v>
      </x:c>
      <x:c r="C174" t="str">
        <x:v>Hotel</x:v>
      </x:c>
      <x:c r="D174" t="str">
        <x:v>Bengaluru</x:v>
      </x:c>
      <x:c r="E174" t="str">
        <x:v>A</x:v>
      </x:c>
      <x:c r="F174" t="n">
        <x:v>30</x:v>
      </x:c>
      <x:c r="G174" t="str">
        <x:v>Priya</x:v>
      </x:c>
    </x:row>
    <x:row r="175">
      <x:c r="A175" t="str">
        <x:v>C0174</x:v>
      </x:c>
      <x:c r="B175" t="str">
        <x:v>Classic Stores 174</x:v>
      </x:c>
      <x:c r="C175" t="str">
        <x:v>Kirana</x:v>
      </x:c>
      <x:c r="D175" t="str">
        <x:v>Mysuru</x:v>
      </x:c>
      <x:c r="E175" t="str">
        <x:v>B</x:v>
      </x:c>
      <x:c r="F175" t="n">
        <x:v>0</x:v>
      </x:c>
      <x:c r="G175" t="str">
        <x:v>Vikram</x:v>
      </x:c>
    </x:row>
    <x:row r="176">
      <x:c r="A176" t="str">
        <x:v>C0175</x:v>
      </x:c>
      <x:c r="B176" t="str">
        <x:v>Namma Mart 175</x:v>
      </x:c>
      <x:c r="C176" t="str">
        <x:v>Hotel</x:v>
      </x:c>
      <x:c r="D176" t="str">
        <x:v>Davanagere</x:v>
      </x:c>
      <x:c r="E176" t="str">
        <x:v>A</x:v>
      </x:c>
      <x:c r="F176" t="n">
        <x:v>15</x:v>
      </x:c>
      <x:c r="G176" t="str">
        <x:v>Sneha</x:v>
      </x:c>
    </x:row>
    <x:row r="177">
      <x:c r="A177" t="str">
        <x:v>C0176</x:v>
      </x:c>
      <x:c r="B177" t="str">
        <x:v>Cafe Kitchen 176</x:v>
      </x:c>
      <x:c r="C177" t="str">
        <x:v>Kirana</x:v>
      </x:c>
      <x:c r="D177" t="str">
        <x:v>Mysuru</x:v>
      </x:c>
      <x:c r="E177" t="str">
        <x:v>C</x:v>
      </x:c>
      <x:c r="F177" t="n">
        <x:v>15</x:v>
      </x:c>
      <x:c r="G177" t="str">
        <x:v>Priya</x:v>
      </x:c>
    </x:row>
    <x:row r="178">
      <x:c r="A178" t="str">
        <x:v>C0177</x:v>
      </x:c>
      <x:c r="B178" t="str">
        <x:v>Classic Cafe 177</x:v>
      </x:c>
      <x:c r="C178" t="str">
        <x:v>Supermarket</x:v>
      </x:c>
      <x:c r="D178" t="str">
        <x:v>Bengaluru</x:v>
      </x:c>
      <x:c r="E178" t="str">
        <x:v>C</x:v>
      </x:c>
      <x:c r="F178" t="n">
        <x:v>30</x:v>
      </x:c>
      <x:c r="G178" t="str">
        <x:v>Arjun</x:v>
      </x:c>
    </x:row>
    <x:row r="179">
      <x:c r="A179" t="str">
        <x:v>C0178</x:v>
      </x:c>
      <x:c r="B179" t="str">
        <x:v>Annapurna Foods 178</x:v>
      </x:c>
      <x:c r="C179" t="str">
        <x:v>Canteen</x:v>
      </x:c>
      <x:c r="D179" t="str">
        <x:v>Tumakuru</x:v>
      </x:c>
      <x:c r="E179" t="str">
        <x:v>B</x:v>
      </x:c>
      <x:c r="F179" t="n">
        <x:v>7</x:v>
      </x:c>
      <x:c r="G179" t="str">
        <x:v>Imran</x:v>
      </x:c>
    </x:row>
    <x:row r="180">
      <x:c r="A180" t="str">
        <x:v>C0179</x:v>
      </x:c>
      <x:c r="B180" t="str">
        <x:v>Shree Hotel 179</x:v>
      </x:c>
      <x:c r="C180" t="str">
        <x:v>Restaurant</x:v>
      </x:c>
      <x:c r="D180" t="str">
        <x:v>Hubballi</x:v>
      </x:c>
      <x:c r="E180" t="str">
        <x:v>C</x:v>
      </x:c>
      <x:c r="F180" t="n">
        <x:v>45</x:v>
      </x:c>
      <x:c r="G180" t="str">
        <x:v>Kavya</x:v>
      </x:c>
    </x:row>
    <x:row r="181">
      <x:c r="A181" t="str">
        <x:v>C0180</x:v>
      </x:c>
      <x:c r="B181" t="str">
        <x:v>Sri Kitchen 180</x:v>
      </x:c>
      <x:c r="C181" t="str">
        <x:v>Kirana</x:v>
      </x:c>
      <x:c r="D181" t="str">
        <x:v>Mysuru</x:v>
      </x:c>
      <x:c r="E181" t="str">
        <x:v>B</x:v>
      </x:c>
      <x:c r="F181" t="n">
        <x:v>45</x:v>
      </x:c>
      <x:c r="G181" t="str">
        <x:v>Vikram</x:v>
      </x:c>
    </x:row>
    <x:row r="182">
      <x:c r="A182" t="str">
        <x:v>C0181</x:v>
      </x:c>
      <x:c r="B182" t="str">
        <x:v>Darshini Mart 181</x:v>
      </x:c>
      <x:c r="C182" t="str">
        <x:v>Restaurant</x:v>
      </x:c>
      <x:c r="D182" t="str">
        <x:v>Mangaluru</x:v>
      </x:c>
      <x:c r="E182" t="str">
        <x:v>C</x:v>
      </x:c>
      <x:c r="F182" t="n">
        <x:v>15</x:v>
      </x:c>
      <x:c r="G182" t="str">
        <x:v>Kavya</x:v>
      </x:c>
    </x:row>
    <x:row r="183">
      <x:c r="A183" t="str">
        <x:v>C0182</x:v>
      </x:c>
      <x:c r="B183" t="str">
        <x:v>Mysore Foods 182</x:v>
      </x:c>
      <x:c r="C183" t="str">
        <x:v>Restaurant</x:v>
      </x:c>
      <x:c r="D183" t="str">
        <x:v>Bengaluru</x:v>
      </x:c>
      <x:c r="E183" t="str">
        <x:v>B</x:v>
      </x:c>
      <x:c r="F183" t="n">
        <x:v>0</x:v>
      </x:c>
      <x:c r="G183" t="str">
        <x:v>Vikram</x:v>
      </x:c>
    </x:row>
    <x:row r="184">
      <x:c r="A184" t="str">
        <x:v>C0183</x:v>
      </x:c>
      <x:c r="B184" t="str">
        <x:v>Spice Mart 183</x:v>
      </x:c>
      <x:c r="C184" t="str">
        <x:v>Kirana</x:v>
      </x:c>
      <x:c r="D184" t="str">
        <x:v>Mangaluru</x:v>
      </x:c>
      <x:c r="E184" t="str">
        <x:v>C</x:v>
      </x:c>
      <x:c r="F184" t="n">
        <x:v>7</x:v>
      </x:c>
      <x:c r="G184" t="str">
        <x:v>Kavya</x:v>
      </x:c>
    </x:row>
    <x:row r="185">
      <x:c r="A185" t="str">
        <x:v>C0184</x:v>
      </x:c>
      <x:c r="B185" t="str">
        <x:v>Namma Restaurant 184</x:v>
      </x:c>
      <x:c r="C185" t="str">
        <x:v>Cafe</x:v>
      </x:c>
      <x:c r="D185" t="str">
        <x:v>Hubballi</x:v>
      </x:c>
      <x:c r="E185" t="str">
        <x:v>C</x:v>
      </x:c>
      <x:c r="F185" t="n">
        <x:v>45</x:v>
      </x:c>
      <x:c r="G185" t="str">
        <x:v>Arjun</x:v>
      </x:c>
    </x:row>
    <x:row r="186">
      <x:c r="A186" t="str">
        <x:v>C0185</x:v>
      </x:c>
      <x:c r="B186" t="str">
        <x:v>Mysore Foods 185</x:v>
      </x:c>
      <x:c r="C186" t="str">
        <x:v>Restaurant</x:v>
      </x:c>
      <x:c r="D186" t="str">
        <x:v>Mysuru</x:v>
      </x:c>
      <x:c r="E186" t="str">
        <x:v>B</x:v>
      </x:c>
      <x:c r="F186" t="n">
        <x:v>0</x:v>
      </x:c>
      <x:c r="G186" t="str">
        <x:v>Sneha</x:v>
      </x:c>
    </x:row>
    <x:row r="187">
      <x:c r="A187" t="str">
        <x:v>C0186</x:v>
      </x:c>
      <x:c r="B187" t="str">
        <x:v>Namma Stores 186</x:v>
      </x:c>
      <x:c r="C187" t="str">
        <x:v>Supermarket</x:v>
      </x:c>
      <x:c r="D187" t="str">
        <x:v>Mysuru</x:v>
      </x:c>
      <x:c r="E187" t="str">
        <x:v>A</x:v>
      </x:c>
      <x:c r="F187" t="n">
        <x:v>0</x:v>
      </x:c>
      <x:c r="G187" t="str">
        <x:v>Vikram</x:v>
      </x:c>
    </x:row>
    <x:row r="188">
      <x:c r="A188" t="str">
        <x:v>C0187</x:v>
      </x:c>
      <x:c r="B188" t="str">
        <x:v>City Cafe 187</x:v>
      </x:c>
      <x:c r="C188" t="str">
        <x:v>Hotel</x:v>
      </x:c>
      <x:c r="D188" t="str">
        <x:v>Mysuru</x:v>
      </x:c>
      <x:c r="E188" t="str">
        <x:v>B</x:v>
      </x:c>
      <x:c r="F188" t="n">
        <x:v>45</x:v>
      </x:c>
      <x:c r="G188" t="str">
        <x:v>Priya</x:v>
      </x:c>
    </x:row>
    <x:row r="189">
      <x:c r="A189" t="str">
        <x:v>C0188</x:v>
      </x:c>
      <x:c r="B189" t="str">
        <x:v>New Canteen 188</x:v>
      </x:c>
      <x:c r="C189" t="str">
        <x:v>Restaurant</x:v>
      </x:c>
      <x:c r="D189" t="str">
        <x:v>Bengaluru</x:v>
      </x:c>
      <x:c r="E189" t="str">
        <x:v>B</x:v>
      </x:c>
      <x:c r="F189" t="n">
        <x:v>0</x:v>
      </x:c>
      <x:c r="G189" t="str">
        <x:v>Kavya</x:v>
      </x:c>
    </x:row>
    <x:row r="190">
      <x:c r="A190" t="str">
        <x:v>C0189</x:v>
      </x:c>
      <x:c r="B190" t="str">
        <x:v>Classic Canteen 189</x:v>
      </x:c>
      <x:c r="C190" t="str">
        <x:v>Kirana</x:v>
      </x:c>
      <x:c r="D190" t="str">
        <x:v>Hubballi</x:v>
      </x:c>
      <x:c r="E190" t="str">
        <x:v>B</x:v>
      </x:c>
      <x:c r="F190" t="n">
        <x:v>30</x:v>
      </x:c>
      <x:c r="G190" t="str">
        <x:v>Vikram</x:v>
      </x:c>
    </x:row>
    <x:row r="191">
      <x:c r="A191" t="str">
        <x:v>C0190</x:v>
      </x:c>
      <x:c r="B191" t="str">
        <x:v>Shree Restaurant 190</x:v>
      </x:c>
      <x:c r="C191" t="str">
        <x:v>Canteen</x:v>
      </x:c>
      <x:c r="D191" t="str">
        <x:v>Bengaluru</x:v>
      </x:c>
      <x:c r="E191" t="str">
        <x:v>A</x:v>
      </x:c>
      <x:c r="F191" t="n">
        <x:v>15</x:v>
      </x:c>
      <x:c r="G191" t="str">
        <x:v>Kavya</x:v>
      </x:c>
    </x:row>
    <x:row r="192">
      <x:c r="A192" t="str">
        <x:v>C0191</x:v>
      </x:c>
      <x:c r="B192" t="str">
        <x:v>Foodie Kitchen 191</x:v>
      </x:c>
      <x:c r="C192" t="str">
        <x:v>Cafe</x:v>
      </x:c>
      <x:c r="D192" t="str">
        <x:v>Mysuru</x:v>
      </x:c>
      <x:c r="E192" t="str">
        <x:v>C</x:v>
      </x:c>
      <x:c r="F192" t="n">
        <x:v>30</x:v>
      </x:c>
      <x:c r="G192" t="str">
        <x:v>Priya</x:v>
      </x:c>
    </x:row>
    <x:row r="193">
      <x:c r="A193" t="str">
        <x:v>C0192</x:v>
      </x:c>
      <x:c r="B193" t="str">
        <x:v>Shree Kitchen 192</x:v>
      </x:c>
      <x:c r="C193" t="str">
        <x:v>Restaurant</x:v>
      </x:c>
      <x:c r="D193" t="str">
        <x:v>Mysuru</x:v>
      </x:c>
      <x:c r="E193" t="str">
        <x:v>B</x:v>
      </x:c>
      <x:c r="F193" t="n">
        <x:v>45</x:v>
      </x:c>
      <x:c r="G193" t="str">
        <x:v>Sneha</x:v>
      </x:c>
    </x:row>
    <x:row r="194">
      <x:c r="A194" t="str">
        <x:v>C0193</x:v>
      </x:c>
      <x:c r="B194" t="str">
        <x:v>Udupi Cafe 193</x:v>
      </x:c>
      <x:c r="C194" t="str">
        <x:v>Restaurant</x:v>
      </x:c>
      <x:c r="D194" t="str">
        <x:v>Hubballi</x:v>
      </x:c>
      <x:c r="E194" t="str">
        <x:v>A</x:v>
      </x:c>
      <x:c r="F194" t="n">
        <x:v>0</x:v>
      </x:c>
      <x:c r="G194" t="str">
        <x:v>Sneha</x:v>
      </x:c>
    </x:row>
    <x:row r="195">
      <x:c r="A195" t="str">
        <x:v>C0194</x:v>
      </x:c>
      <x:c r="B195" t="str">
        <x:v>Royal Hotel 194</x:v>
      </x:c>
      <x:c r="C195" t="str">
        <x:v>Kirana</x:v>
      </x:c>
      <x:c r="D195" t="str">
        <x:v>Mysuru</x:v>
      </x:c>
      <x:c r="E195" t="str">
        <x:v>B</x:v>
      </x:c>
      <x:c r="F195" t="n">
        <x:v>30</x:v>
      </x:c>
      <x:c r="G195" t="str">
        <x:v>Megha</x:v>
      </x:c>
    </x:row>
    <x:row r="196">
      <x:c r="A196" t="str">
        <x:v>C0195</x:v>
      </x:c>
      <x:c r="B196" t="str">
        <x:v>Classic Stores 195</x:v>
      </x:c>
      <x:c r="C196" t="str">
        <x:v>Canteen</x:v>
      </x:c>
      <x:c r="D196" t="str">
        <x:v>Davanagere</x:v>
      </x:c>
      <x:c r="E196" t="str">
        <x:v>A</x:v>
      </x:c>
      <x:c r="F196" t="n">
        <x:v>15</x:v>
      </x:c>
      <x:c r="G196" t="str">
        <x:v>Kavya</x:v>
      </x:c>
    </x:row>
    <x:row r="197">
      <x:c r="A197" t="str">
        <x:v>C0196</x:v>
      </x:c>
      <x:c r="B197" t="str">
        <x:v>Namma Mart 196</x:v>
      </x:c>
      <x:c r="C197" t="str">
        <x:v>Cafe</x:v>
      </x:c>
      <x:c r="D197" t="str">
        <x:v>Mangaluru</x:v>
      </x:c>
      <x:c r="E197" t="str">
        <x:v>A</x:v>
      </x:c>
      <x:c r="F197" t="n">
        <x:v>45</x:v>
      </x:c>
      <x:c r="G197" t="str">
        <x:v>Kavya</x:v>
      </x:c>
    </x:row>
    <x:row r="198">
      <x:c r="A198" t="str">
        <x:v>C0197</x:v>
      </x:c>
      <x:c r="B198" t="str">
        <x:v>New Foods 197</x:v>
      </x:c>
      <x:c r="C198" t="str">
        <x:v>Cafe</x:v>
      </x:c>
      <x:c r="D198" t="str">
        <x:v>Hubballi</x:v>
      </x:c>
      <x:c r="E198" t="str">
        <x:v>C</x:v>
      </x:c>
      <x:c r="F198" t="n">
        <x:v>15</x:v>
      </x:c>
      <x:c r="G198" t="str">
        <x:v>Kavya</x:v>
      </x:c>
    </x:row>
    <x:row r="199">
      <x:c r="A199" t="str">
        <x:v>C0198</x:v>
      </x:c>
      <x:c r="B199" t="str">
        <x:v>Royal Canteen 198</x:v>
      </x:c>
      <x:c r="C199" t="str">
        <x:v>Supermarket</x:v>
      </x:c>
      <x:c r="D199" t="str">
        <x:v>Davanagere</x:v>
      </x:c>
      <x:c r="E199" t="str">
        <x:v>B</x:v>
      </x:c>
      <x:c r="F199" t="n">
        <x:v>30</x:v>
      </x:c>
      <x:c r="G199" t="str">
        <x:v>Arjun</x:v>
      </x:c>
    </x:row>
    <x:row r="200">
      <x:c r="A200" t="str">
        <x:v>C0199</x:v>
      </x:c>
      <x:c r="B200" t="str">
        <x:v>Classic Cafe 199</x:v>
      </x:c>
      <x:c r="C200" t="str">
        <x:v>Canteen</x:v>
      </x:c>
      <x:c r="D200" t="str">
        <x:v>Mangaluru</x:v>
      </x:c>
      <x:c r="E200" t="str">
        <x:v>B</x:v>
      </x:c>
      <x:c r="F200" t="n">
        <x:v>15</x:v>
      </x:c>
      <x:c r="G200" t="str">
        <x:v>Ramesh</x:v>
      </x:c>
    </x:row>
    <x:row r="201">
      <x:c r="A201" t="str">
        <x:v>C0200</x:v>
      </x:c>
      <x:c r="B201" t="str">
        <x:v>Sagar Kitchen 200</x:v>
      </x:c>
      <x:c r="C201" t="str">
        <x:v>Cafe</x:v>
      </x:c>
      <x:c r="D201" t="str">
        <x:v>Bengaluru</x:v>
      </x:c>
      <x:c r="E201" t="str">
        <x:v>B</x:v>
      </x:c>
      <x:c r="F201" t="n">
        <x:v>45</x:v>
      </x:c>
      <x:c r="G201" t="str">
        <x:v>Arjun</x:v>
      </x:c>
    </x:row>
    <x:row r="202">
      <x:c r="A202" t="str">
        <x:v>C0201</x:v>
      </x:c>
      <x:c r="B202" t="str">
        <x:v>Metro Hotel 201</x:v>
      </x:c>
      <x:c r="C202" t="str">
        <x:v>Kirana</x:v>
      </x:c>
      <x:c r="D202" t="str">
        <x:v>Mysuru</x:v>
      </x:c>
      <x:c r="E202" t="str">
        <x:v>B</x:v>
      </x:c>
      <x:c r="F202" t="n">
        <x:v>15</x:v>
      </x:c>
      <x:c r="G202" t="str">
        <x:v>Imran</x:v>
      </x:c>
    </x:row>
    <x:row r="203">
      <x:c r="A203" t="str">
        <x:v>C0202</x:v>
      </x:c>
      <x:c r="B203" t="str">
        <x:v>Sagar Foods 202</x:v>
      </x:c>
      <x:c r="C203" t="str">
        <x:v>Restaurant</x:v>
      </x:c>
      <x:c r="D203" t="str">
        <x:v>Mangaluru</x:v>
      </x:c>
      <x:c r="E203" t="str">
        <x:v>A</x:v>
      </x:c>
      <x:c r="F203" t="n">
        <x:v>15</x:v>
      </x:c>
      <x:c r="G203" t="str">
        <x:v>Kavya</x:v>
      </x:c>
    </x:row>
    <x:row r="204">
      <x:c r="A204" t="str">
        <x:v>C0203</x:v>
      </x:c>
      <x:c r="B204" t="str">
        <x:v>Namma Mart 203</x:v>
      </x:c>
      <x:c r="C204" t="str">
        <x:v>Kirana</x:v>
      </x:c>
      <x:c r="D204" t="str">
        <x:v>Tumakuru</x:v>
      </x:c>
      <x:c r="E204" t="str">
        <x:v>C</x:v>
      </x:c>
      <x:c r="F204" t="n">
        <x:v>45</x:v>
      </x:c>
      <x:c r="G204" t="str">
        <x:v>Priya</x:v>
      </x:c>
    </x:row>
    <x:row r="205">
      <x:c r="A205" t="str">
        <x:v>C0204</x:v>
      </x:c>
      <x:c r="B205" t="str">
        <x:v>Udupi Stores 204</x:v>
      </x:c>
      <x:c r="C205" t="str">
        <x:v>Kirana</x:v>
      </x:c>
      <x:c r="D205" t="str">
        <x:v>Bengaluru</x:v>
      </x:c>
      <x:c r="E205" t="str">
        <x:v>C</x:v>
      </x:c>
      <x:c r="F205" t="n">
        <x:v>15</x:v>
      </x:c>
      <x:c r="G205" t="str">
        <x:v>Vikram</x:v>
      </x:c>
    </x:row>
    <x:row r="206">
      <x:c r="A206" t="str">
        <x:v>C0205</x:v>
      </x:c>
      <x:c r="B206" t="str">
        <x:v>Royal Mart 205</x:v>
      </x:c>
      <x:c r="C206" t="str">
        <x:v>Kirana</x:v>
      </x:c>
      <x:c r="D206" t="str">
        <x:v>Mysuru</x:v>
      </x:c>
      <x:c r="E206" t="str">
        <x:v>B</x:v>
      </x:c>
      <x:c r="F206" t="n">
        <x:v>45</x:v>
      </x:c>
      <x:c r="G206" t="str">
        <x:v>Priya</x:v>
      </x:c>
    </x:row>
    <x:row r="207">
      <x:c r="A207" t="str">
        <x:v>C0206</x:v>
      </x:c>
      <x:c r="B207" t="str">
        <x:v>Grand Kitchen 206</x:v>
      </x:c>
      <x:c r="C207" t="str">
        <x:v>Kirana</x:v>
      </x:c>
      <x:c r="D207" t="str">
        <x:v>Mysuru</x:v>
      </x:c>
      <x:c r="E207" t="str">
        <x:v>B</x:v>
      </x:c>
      <x:c r="F207" t="n">
        <x:v>30</x:v>
      </x:c>
      <x:c r="G207" t="str">
        <x:v>Arjun</x:v>
      </x:c>
    </x:row>
    <x:row r="208">
      <x:c r="A208" t="str">
        <x:v>C0207</x:v>
      </x:c>
      <x:c r="B208" t="str">
        <x:v>Hotel Stores 207</x:v>
      </x:c>
      <x:c r="C208" t="str">
        <x:v>Restaurant</x:v>
      </x:c>
      <x:c r="D208" t="str">
        <x:v>Hubballi</x:v>
      </x:c>
      <x:c r="E208" t="str">
        <x:v>A</x:v>
      </x:c>
      <x:c r="F208" t="n">
        <x:v>30</x:v>
      </x:c>
      <x:c r="G208" t="str">
        <x:v>Ramesh</x:v>
      </x:c>
    </x:row>
    <x:row r="209">
      <x:c r="A209" t="str">
        <x:v>C0208</x:v>
      </x:c>
      <x:c r="B209" t="str">
        <x:v>Green Foods 208</x:v>
      </x:c>
      <x:c r="C209" t="str">
        <x:v>Hotel</x:v>
      </x:c>
      <x:c r="D209" t="str">
        <x:v>Mysuru</x:v>
      </x:c>
      <x:c r="E209" t="str">
        <x:v>C</x:v>
      </x:c>
      <x:c r="F209" t="n">
        <x:v>15</x:v>
      </x:c>
      <x:c r="G209" t="str">
        <x:v>Ramesh</x:v>
      </x:c>
    </x:row>
    <x:row r="210">
      <x:c r="A210" t="str">
        <x:v>C0209</x:v>
      </x:c>
      <x:c r="B210" t="str">
        <x:v>Shree Hotel 209</x:v>
      </x:c>
      <x:c r="C210" t="str">
        <x:v>Restaurant</x:v>
      </x:c>
      <x:c r="D210" t="str">
        <x:v>Tumakuru</x:v>
      </x:c>
      <x:c r="E210" t="str">
        <x:v>C</x:v>
      </x:c>
      <x:c r="F210" t="n">
        <x:v>45</x:v>
      </x:c>
      <x:c r="G210" t="str">
        <x:v>Ramesh</x:v>
      </x:c>
    </x:row>
    <x:row r="211">
      <x:c r="A211" t="str">
        <x:v>C0210</x:v>
      </x:c>
      <x:c r="B211" t="str">
        <x:v>Spice Stores 210</x:v>
      </x:c>
      <x:c r="C211" t="str">
        <x:v>Cafe</x:v>
      </x:c>
      <x:c r="D211" t="str">
        <x:v>Davanagere</x:v>
      </x:c>
      <x:c r="E211" t="str">
        <x:v>C</x:v>
      </x:c>
      <x:c r="F211" t="n">
        <x:v>7</x:v>
      </x:c>
      <x:c r="G211" t="str">
        <x:v>Imran</x:v>
      </x:c>
    </x:row>
    <x:row r="212">
      <x:c r="A212" t="str">
        <x:v>C0211</x:v>
      </x:c>
      <x:c r="B212" t="str">
        <x:v>Cafe Cafe 211</x:v>
      </x:c>
      <x:c r="C212" t="str">
        <x:v>Supermarket</x:v>
      </x:c>
      <x:c r="D212" t="str">
        <x:v>Davanagere</x:v>
      </x:c>
      <x:c r="E212" t="str">
        <x:v>C</x:v>
      </x:c>
      <x:c r="F212" t="n">
        <x:v>15</x:v>
      </x:c>
      <x:c r="G212" t="str">
        <x:v>Megha</x:v>
      </x:c>
    </x:row>
    <x:row r="213">
      <x:c r="A213" t="str">
        <x:v>C0212</x:v>
      </x:c>
      <x:c r="B213" t="str">
        <x:v>Classic Restaurant 212</x:v>
      </x:c>
      <x:c r="C213" t="str">
        <x:v>Restaurant</x:v>
      </x:c>
      <x:c r="D213" t="str">
        <x:v>Mysuru</x:v>
      </x:c>
      <x:c r="E213" t="str">
        <x:v>C</x:v>
      </x:c>
      <x:c r="F213" t="n">
        <x:v>30</x:v>
      </x:c>
      <x:c r="G213" t="str">
        <x:v>Vikram</x:v>
      </x:c>
    </x:row>
    <x:row r="214">
      <x:c r="A214" t="str">
        <x:v>C0213</x:v>
      </x:c>
      <x:c r="B214" t="str">
        <x:v>Shree Cafe 213</x:v>
      </x:c>
      <x:c r="C214" t="str">
        <x:v>Cafe</x:v>
      </x:c>
      <x:c r="D214" t="str">
        <x:v>Tumakuru</x:v>
      </x:c>
      <x:c r="E214" t="str">
        <x:v>A</x:v>
      </x:c>
      <x:c r="F214" t="n">
        <x:v>45</x:v>
      </x:c>
      <x:c r="G214" t="str">
        <x:v>Imran</x:v>
      </x:c>
    </x:row>
    <x:row r="215">
      <x:c r="A215" t="str">
        <x:v>C0214</x:v>
      </x:c>
      <x:c r="B215" t="str">
        <x:v>Darshini Kitchen 214</x:v>
      </x:c>
      <x:c r="C215" t="str">
        <x:v>Kirana</x:v>
      </x:c>
      <x:c r="D215" t="str">
        <x:v>Bengaluru</x:v>
      </x:c>
      <x:c r="E215" t="str">
        <x:v>C</x:v>
      </x:c>
      <x:c r="F215" t="n">
        <x:v>45</x:v>
      </x:c>
      <x:c r="G215" t="str">
        <x:v>Imran</x:v>
      </x:c>
    </x:row>
    <x:row r="216">
      <x:c r="A216" t="str">
        <x:v>C0215</x:v>
      </x:c>
      <x:c r="B216" t="str">
        <x:v>Annapurna Restaurant 215</x:v>
      </x:c>
      <x:c r="C216" t="str">
        <x:v>Supermarket</x:v>
      </x:c>
      <x:c r="D216" t="str">
        <x:v>Bengaluru</x:v>
      </x:c>
      <x:c r="E216" t="str">
        <x:v>A</x:v>
      </x:c>
      <x:c r="F216" t="n">
        <x:v>45</x:v>
      </x:c>
      <x:c r="G216" t="str">
        <x:v>Vikram</x:v>
      </x:c>
    </x:row>
    <x:row r="217">
      <x:c r="A217" t="str">
        <x:v>C0216</x:v>
      </x:c>
      <x:c r="B217" t="str">
        <x:v>Cafe Restaurant 216</x:v>
      </x:c>
      <x:c r="C217" t="str">
        <x:v>Canteen</x:v>
      </x:c>
      <x:c r="D217" t="str">
        <x:v>Bengaluru</x:v>
      </x:c>
      <x:c r="E217" t="str">
        <x:v>C</x:v>
      </x:c>
      <x:c r="F217" t="n">
        <x:v>15</x:v>
      </x:c>
      <x:c r="G217" t="str">
        <x:v>Vikram</x:v>
      </x:c>
    </x:row>
    <x:row r="218">
      <x:c r="A218" t="str">
        <x:v>C0217</x:v>
      </x:c>
      <x:c r="B218" t="str">
        <x:v>Darshini Cafe 217</x:v>
      </x:c>
      <x:c r="C218" t="str">
        <x:v>Restaurant</x:v>
      </x:c>
      <x:c r="D218" t="str">
        <x:v>Bengaluru</x:v>
      </x:c>
      <x:c r="E218" t="str">
        <x:v>C</x:v>
      </x:c>
      <x:c r="F218" t="n">
        <x:v>30</x:v>
      </x:c>
      <x:c r="G218" t="str">
        <x:v>Priya</x:v>
      </x:c>
    </x:row>
    <x:row r="219">
      <x:c r="A219" t="str">
        <x:v>C0218</x:v>
      </x:c>
      <x:c r="B219" t="str">
        <x:v>Green Stores 218</x:v>
      </x:c>
      <x:c r="C219" t="str">
        <x:v>Hotel</x:v>
      </x:c>
      <x:c r="D219" t="str">
        <x:v>Mysuru</x:v>
      </x:c>
      <x:c r="E219" t="str">
        <x:v>A</x:v>
      </x:c>
      <x:c r="F219" t="n">
        <x:v>7</x:v>
      </x:c>
      <x:c r="G219" t="str">
        <x:v>Imran</x:v>
      </x:c>
    </x:row>
    <x:row r="220">
      <x:c r="A220" t="str">
        <x:v>C0219</x:v>
      </x:c>
      <x:c r="B220" t="str">
        <x:v>Udupi Restaurant 219</x:v>
      </x:c>
      <x:c r="C220" t="str">
        <x:v>Kirana</x:v>
      </x:c>
      <x:c r="D220" t="str">
        <x:v>Mangaluru</x:v>
      </x:c>
      <x:c r="E220" t="str">
        <x:v>B</x:v>
      </x:c>
      <x:c r="F220" t="n">
        <x:v>30</x:v>
      </x:c>
      <x:c r="G220" t="str">
        <x:v>Kavya</x:v>
      </x:c>
    </x:row>
    <x:row r="221">
      <x:c r="A221" t="str">
        <x:v>C0220</x:v>
      </x:c>
      <x:c r="B221" t="str">
        <x:v>Udupi Canteen 220</x:v>
      </x:c>
      <x:c r="C221" t="str">
        <x:v>Restaurant</x:v>
      </x:c>
      <x:c r="D221" t="str">
        <x:v>Bengaluru</x:v>
      </x:c>
      <x:c r="E221" t="str">
        <x:v>C</x:v>
      </x:c>
      <x:c r="F221" t="n">
        <x:v>0</x:v>
      </x:c>
      <x:c r="G221" t="str">
        <x:v>Sneha</x:v>
      </x:c>
    </x:row>
    <x:row r="222">
      <x:c r="A222" t="str">
        <x:v>C0221</x:v>
      </x:c>
      <x:c r="B222" t="str">
        <x:v>Cafe Canteen 221</x:v>
      </x:c>
      <x:c r="C222" t="str">
        <x:v>Hotel</x:v>
      </x:c>
      <x:c r="D222" t="str">
        <x:v>Hubballi</x:v>
      </x:c>
      <x:c r="E222" t="str">
        <x:v>B</x:v>
      </x:c>
      <x:c r="F222" t="n">
        <x:v>45</x:v>
      </x:c>
      <x:c r="G222" t="str">
        <x:v>Kavya</x:v>
      </x:c>
    </x:row>
    <x:row r="223">
      <x:c r="A223" t="str">
        <x:v>C0222</x:v>
      </x:c>
      <x:c r="B223" t="str">
        <x:v>Sri Cafe 222</x:v>
      </x:c>
      <x:c r="C223" t="str">
        <x:v>Kirana</x:v>
      </x:c>
      <x:c r="D223" t="str">
        <x:v>Mangaluru</x:v>
      </x:c>
      <x:c r="E223" t="str">
        <x:v>B</x:v>
      </x:c>
      <x:c r="F223" t="n">
        <x:v>7</x:v>
      </x:c>
      <x:c r="G223" t="str">
        <x:v>Arjun</x:v>
      </x:c>
    </x:row>
    <x:row r="224">
      <x:c r="A224" t="str">
        <x:v>C0223</x:v>
      </x:c>
      <x:c r="B224" t="str">
        <x:v>Classic Canteen 223</x:v>
      </x:c>
      <x:c r="C224" t="str">
        <x:v>Restaurant</x:v>
      </x:c>
      <x:c r="D224" t="str">
        <x:v>Tumakuru</x:v>
      </x:c>
      <x:c r="E224" t="str">
        <x:v>C</x:v>
      </x:c>
      <x:c r="F224" t="n">
        <x:v>7</x:v>
      </x:c>
      <x:c r="G224" t="str">
        <x:v>Kavya</x:v>
      </x:c>
    </x:row>
    <x:row r="225">
      <x:c r="A225" t="str">
        <x:v>C0224</x:v>
      </x:c>
      <x:c r="B225" t="str">
        <x:v>Royal Foods 224</x:v>
      </x:c>
      <x:c r="C225" t="str">
        <x:v>Canteen</x:v>
      </x:c>
      <x:c r="D225" t="str">
        <x:v>Tumakuru</x:v>
      </x:c>
      <x:c r="E225" t="str">
        <x:v>C</x:v>
      </x:c>
      <x:c r="F225" t="n">
        <x:v>30</x:v>
      </x:c>
      <x:c r="G225" t="str">
        <x:v>Arjun</x:v>
      </x:c>
    </x:row>
    <x:row r="226">
      <x:c r="A226" t="str">
        <x:v>C0225</x:v>
      </x:c>
      <x:c r="B226" t="str">
        <x:v>Darshini Mart 225</x:v>
      </x:c>
      <x:c r="C226" t="str">
        <x:v>Restaurant</x:v>
      </x:c>
      <x:c r="D226" t="str">
        <x:v>Davanagere</x:v>
      </x:c>
      <x:c r="E226" t="str">
        <x:v>B</x:v>
      </x:c>
      <x:c r="F226" t="n">
        <x:v>0</x:v>
      </x:c>
      <x:c r="G226" t="str">
        <x:v>Kavya</x:v>
      </x:c>
    </x:row>
    <x:row r="227">
      <x:c r="A227" t="str">
        <x:v>C0226</x:v>
      </x:c>
      <x:c r="B227" t="str">
        <x:v>Green Stores 226</x:v>
      </x:c>
      <x:c r="C227" t="str">
        <x:v>Restaurant</x:v>
      </x:c>
      <x:c r="D227" t="str">
        <x:v>Hubballi</x:v>
      </x:c>
      <x:c r="E227" t="str">
        <x:v>A</x:v>
      </x:c>
      <x:c r="F227" t="n">
        <x:v>7</x:v>
      </x:c>
      <x:c r="G227" t="str">
        <x:v>Priya</x:v>
      </x:c>
    </x:row>
    <x:row r="228">
      <x:c r="A228" t="str">
        <x:v>C0227</x:v>
      </x:c>
      <x:c r="B228" t="str">
        <x:v>Metro Restaurant 227</x:v>
      </x:c>
      <x:c r="C228" t="str">
        <x:v>Restaurant</x:v>
      </x:c>
      <x:c r="D228" t="str">
        <x:v>Davanagere</x:v>
      </x:c>
      <x:c r="E228" t="str">
        <x:v>C</x:v>
      </x:c>
      <x:c r="F228" t="n">
        <x:v>7</x:v>
      </x:c>
      <x:c r="G228" t="str">
        <x:v>Kavya</x:v>
      </x:c>
    </x:row>
    <x:row r="229">
      <x:c r="A229" t="str">
        <x:v>C0228</x:v>
      </x:c>
      <x:c r="B229" t="str">
        <x:v>Metro Foods 228</x:v>
      </x:c>
      <x:c r="C229" t="str">
        <x:v>Supermarket</x:v>
      </x:c>
      <x:c r="D229" t="str">
        <x:v>Davanagere</x:v>
      </x:c>
      <x:c r="E229" t="str">
        <x:v>B</x:v>
      </x:c>
      <x:c r="F229" t="n">
        <x:v>15</x:v>
      </x:c>
      <x:c r="G229" t="str">
        <x:v>Sneha</x:v>
      </x:c>
    </x:row>
    <x:row r="230">
      <x:c r="A230" t="str">
        <x:v>C0229</x:v>
      </x:c>
      <x:c r="B230" t="str">
        <x:v>Namma Canteen 229</x:v>
      </x:c>
      <x:c r="C230" t="str">
        <x:v>Restaurant</x:v>
      </x:c>
      <x:c r="D230" t="str">
        <x:v>Bengaluru</x:v>
      </x:c>
      <x:c r="E230" t="str">
        <x:v>B</x:v>
      </x:c>
      <x:c r="F230" t="n">
        <x:v>45</x:v>
      </x:c>
      <x:c r="G230" t="str">
        <x:v>Arjun</x:v>
      </x:c>
    </x:row>
    <x:row r="231">
      <x:c r="A231" t="str">
        <x:v>C0230</x:v>
      </x:c>
      <x:c r="B231" t="str">
        <x:v>Darshini Foods 230</x:v>
      </x:c>
      <x:c r="C231" t="str">
        <x:v>Restaurant</x:v>
      </x:c>
      <x:c r="D231" t="str">
        <x:v>Davanagere</x:v>
      </x:c>
      <x:c r="E231" t="str">
        <x:v>B</x:v>
      </x:c>
      <x:c r="F231" t="n">
        <x:v>15</x:v>
      </x:c>
      <x:c r="G231" t="str">
        <x:v>Priya</x:v>
      </x:c>
    </x:row>
    <x:row r="232">
      <x:c r="A232" t="str">
        <x:v>C0231</x:v>
      </x:c>
      <x:c r="B232" t="str">
        <x:v>Metro Canteen 231</x:v>
      </x:c>
      <x:c r="C232" t="str">
        <x:v>Canteen</x:v>
      </x:c>
      <x:c r="D232" t="str">
        <x:v>Mangaluru</x:v>
      </x:c>
      <x:c r="E232" t="str">
        <x:v>C</x:v>
      </x:c>
      <x:c r="F232" t="n">
        <x:v>15</x:v>
      </x:c>
      <x:c r="G232" t="str">
        <x:v>Megha</x:v>
      </x:c>
    </x:row>
    <x:row r="233">
      <x:c r="A233" t="str">
        <x:v>C0232</x:v>
      </x:c>
      <x:c r="B233" t="str">
        <x:v>Grand Mart 232</x:v>
      </x:c>
      <x:c r="C233" t="str">
        <x:v>Cafe</x:v>
      </x:c>
      <x:c r="D233" t="str">
        <x:v>Davanagere</x:v>
      </x:c>
      <x:c r="E233" t="str">
        <x:v>C</x:v>
      </x:c>
      <x:c r="F233" t="n">
        <x:v>0</x:v>
      </x:c>
      <x:c r="G233" t="str">
        <x:v>Kavya</x:v>
      </x:c>
    </x:row>
    <x:row r="234">
      <x:c r="A234" t="str">
        <x:v>C0233</x:v>
      </x:c>
      <x:c r="B234" t="str">
        <x:v>Shree Mart 233</x:v>
      </x:c>
      <x:c r="C234" t="str">
        <x:v>Kirana</x:v>
      </x:c>
      <x:c r="D234" t="str">
        <x:v>Mangaluru</x:v>
      </x:c>
      <x:c r="E234" t="str">
        <x:v>A</x:v>
      </x:c>
      <x:c r="F234" t="n">
        <x:v>15</x:v>
      </x:c>
      <x:c r="G234" t="str">
        <x:v>Priya</x:v>
      </x:c>
    </x:row>
    <x:row r="235">
      <x:c r="A235" t="str">
        <x:v>C0234</x:v>
      </x:c>
      <x:c r="B235" t="str">
        <x:v>Metro Canteen 234</x:v>
      </x:c>
      <x:c r="C235" t="str">
        <x:v>Restaurant</x:v>
      </x:c>
      <x:c r="D235" t="str">
        <x:v>Davanagere</x:v>
      </x:c>
      <x:c r="E235" t="str">
        <x:v>C</x:v>
      </x:c>
      <x:c r="F235" t="n">
        <x:v>7</x:v>
      </x:c>
      <x:c r="G235" t="str">
        <x:v>Priya</x:v>
      </x:c>
    </x:row>
    <x:row r="236">
      <x:c r="A236" t="str">
        <x:v>C0235</x:v>
      </x:c>
      <x:c r="B236" t="str">
        <x:v>Darshini Canteen 235</x:v>
      </x:c>
      <x:c r="C236" t="str">
        <x:v>Hotel</x:v>
      </x:c>
      <x:c r="D236" t="str">
        <x:v>Mangaluru</x:v>
      </x:c>
      <x:c r="E236" t="str">
        <x:v>B</x:v>
      </x:c>
      <x:c r="F236" t="n">
        <x:v>15</x:v>
      </x:c>
      <x:c r="G236" t="str">
        <x:v>Arjun</x:v>
      </x:c>
    </x:row>
    <x:row r="237">
      <x:c r="A237" t="str">
        <x:v>C0236</x:v>
      </x:c>
      <x:c r="B237" t="str">
        <x:v>Foodie Stores 236</x:v>
      </x:c>
      <x:c r="C237" t="str">
        <x:v>Kirana</x:v>
      </x:c>
      <x:c r="D237" t="str">
        <x:v>Bengaluru</x:v>
      </x:c>
      <x:c r="E237" t="str">
        <x:v>C</x:v>
      </x:c>
      <x:c r="F237" t="n">
        <x:v>45</x:v>
      </x:c>
      <x:c r="G237" t="str">
        <x:v>Ramesh</x:v>
      </x:c>
    </x:row>
    <x:row r="238">
      <x:c r="A238" t="str">
        <x:v>C0237</x:v>
      </x:c>
      <x:c r="B238" t="str">
        <x:v>Mysore Restaurant 237</x:v>
      </x:c>
      <x:c r="C238" t="str">
        <x:v>Restaurant</x:v>
      </x:c>
      <x:c r="D238" t="str">
        <x:v>Bengaluru</x:v>
      </x:c>
      <x:c r="E238" t="str">
        <x:v>A</x:v>
      </x:c>
      <x:c r="F238" t="n">
        <x:v>0</x:v>
      </x:c>
      <x:c r="G238" t="str">
        <x:v>Sneha</x:v>
      </x:c>
    </x:row>
    <x:row r="239">
      <x:c r="A239" t="str">
        <x:v>C0238</x:v>
      </x:c>
      <x:c r="B239" t="str">
        <x:v>Foodie Foods 238</x:v>
      </x:c>
      <x:c r="C239" t="str">
        <x:v>Restaurant</x:v>
      </x:c>
      <x:c r="D239" t="str">
        <x:v>Davanagere</x:v>
      </x:c>
      <x:c r="E239" t="str">
        <x:v>A</x:v>
      </x:c>
      <x:c r="F239" t="n">
        <x:v>45</x:v>
      </x:c>
      <x:c r="G239" t="str">
        <x:v>Megha</x:v>
      </x:c>
    </x:row>
    <x:row r="240">
      <x:c r="A240" t="str">
        <x:v>C0239</x:v>
      </x:c>
      <x:c r="B240" t="str">
        <x:v>Royal Hotel 239</x:v>
      </x:c>
      <x:c r="C240" t="str">
        <x:v>Restaurant</x:v>
      </x:c>
      <x:c r="D240" t="str">
        <x:v>Hubballi</x:v>
      </x:c>
      <x:c r="E240" t="str">
        <x:v>B</x:v>
      </x:c>
      <x:c r="F240" t="n">
        <x:v>45</x:v>
      </x:c>
      <x:c r="G240" t="str">
        <x:v>Priya</x:v>
      </x:c>
    </x:row>
    <x:row r="241">
      <x:c r="A241" t="str">
        <x:v>C0240</x:v>
      </x:c>
      <x:c r="B241" t="str">
        <x:v>Green Foods 240</x:v>
      </x:c>
      <x:c r="C241" t="str">
        <x:v>Restaurant</x:v>
      </x:c>
      <x:c r="D241" t="str">
        <x:v>Davanagere</x:v>
      </x:c>
      <x:c r="E241" t="str">
        <x:v>B</x:v>
      </x:c>
      <x:c r="F241" t="n">
        <x:v>7</x:v>
      </x:c>
      <x:c r="G241" t="str">
        <x:v>Vikram</x:v>
      </x:c>
    </x:row>
    <x:row r="242">
      <x:c r="A242" t="str">
        <x:v>C0241</x:v>
      </x:c>
      <x:c r="B242" t="str">
        <x:v>Annapurna Restaurant 241</x:v>
      </x:c>
      <x:c r="C242" t="str">
        <x:v>Hotel</x:v>
      </x:c>
      <x:c r="D242" t="str">
        <x:v>Tumakuru</x:v>
      </x:c>
      <x:c r="E242" t="str">
        <x:v>C</x:v>
      </x:c>
      <x:c r="F242" t="n">
        <x:v>7</x:v>
      </x:c>
      <x:c r="G242" t="str">
        <x:v>Imran</x:v>
      </x:c>
    </x:row>
    <x:row r="243">
      <x:c r="A243" t="str">
        <x:v>C0242</x:v>
      </x:c>
      <x:c r="B243" t="str">
        <x:v>Fresh Cafe 242</x:v>
      </x:c>
      <x:c r="C243" t="str">
        <x:v>Canteen</x:v>
      </x:c>
      <x:c r="D243" t="str">
        <x:v>Davanagere</x:v>
      </x:c>
      <x:c r="E243" t="str">
        <x:v>A</x:v>
      </x:c>
      <x:c r="F243" t="n">
        <x:v>0</x:v>
      </x:c>
      <x:c r="G243" t="str">
        <x:v>Kavya</x:v>
      </x:c>
    </x:row>
    <x:row r="244">
      <x:c r="A244" t="str">
        <x:v>C0243</x:v>
      </x:c>
      <x:c r="B244" t="str">
        <x:v>Metro Kitchen 243</x:v>
      </x:c>
      <x:c r="C244" t="str">
        <x:v>Restaurant</x:v>
      </x:c>
      <x:c r="D244" t="str">
        <x:v>Mangaluru</x:v>
      </x:c>
      <x:c r="E244" t="str">
        <x:v>C</x:v>
      </x:c>
      <x:c r="F244" t="n">
        <x:v>15</x:v>
      </x:c>
      <x:c r="G244" t="str">
        <x:v>Kavya</x:v>
      </x:c>
    </x:row>
    <x:row r="245">
      <x:c r="A245" t="str">
        <x:v>C0244</x:v>
      </x:c>
      <x:c r="B245" t="str">
        <x:v>Namma Hotel 244</x:v>
      </x:c>
      <x:c r="C245" t="str">
        <x:v>Kirana</x:v>
      </x:c>
      <x:c r="D245" t="str">
        <x:v>Tumakuru</x:v>
      </x:c>
      <x:c r="E245" t="str">
        <x:v>C</x:v>
      </x:c>
      <x:c r="F245" t="n">
        <x:v>7</x:v>
      </x:c>
      <x:c r="G245" t="str">
        <x:v>Sneha</x:v>
      </x:c>
    </x:row>
    <x:row r="246">
      <x:c r="A246" t="str">
        <x:v>C0245</x:v>
      </x:c>
      <x:c r="B246" t="str">
        <x:v>Udupi Cafe 245</x:v>
      </x:c>
      <x:c r="C246" t="str">
        <x:v>Canteen</x:v>
      </x:c>
      <x:c r="D246" t="str">
        <x:v>Bengaluru</x:v>
      </x:c>
      <x:c r="E246" t="str">
        <x:v>A</x:v>
      </x:c>
      <x:c r="F246" t="n">
        <x:v>30</x:v>
      </x:c>
      <x:c r="G246" t="str">
        <x:v>Priya</x:v>
      </x:c>
    </x:row>
    <x:row r="247">
      <x:c r="A247" t="str">
        <x:v>C0246</x:v>
      </x:c>
      <x:c r="B247" t="str">
        <x:v>City Hotel 246</x:v>
      </x:c>
      <x:c r="C247" t="str">
        <x:v>Supermarket</x:v>
      </x:c>
      <x:c r="D247" t="str">
        <x:v>Mangaluru</x:v>
      </x:c>
      <x:c r="E247" t="str">
        <x:v>C</x:v>
      </x:c>
      <x:c r="F247" t="n">
        <x:v>45</x:v>
      </x:c>
      <x:c r="G247" t="str">
        <x:v>Kavya</x:v>
      </x:c>
    </x:row>
    <x:row r="248">
      <x:c r="A248" t="str">
        <x:v>C0247</x:v>
      </x:c>
      <x:c r="B248" t="str">
        <x:v>Fresh Canteen 247</x:v>
      </x:c>
      <x:c r="C248" t="str">
        <x:v>Restaurant</x:v>
      </x:c>
      <x:c r="D248" t="str">
        <x:v>Hubballi</x:v>
      </x:c>
      <x:c r="E248" t="str">
        <x:v>C</x:v>
      </x:c>
      <x:c r="F248" t="n">
        <x:v>30</x:v>
      </x:c>
      <x:c r="G248" t="str">
        <x:v>Kavya</x:v>
      </x:c>
    </x:row>
    <x:row r="249">
      <x:c r="A249" t="str">
        <x:v>C0248</x:v>
      </x:c>
      <x:c r="B249" t="str">
        <x:v>Royal Restaurant 248</x:v>
      </x:c>
      <x:c r="C249" t="str">
        <x:v>Canteen</x:v>
      </x:c>
      <x:c r="D249" t="str">
        <x:v>Mysuru</x:v>
      </x:c>
      <x:c r="E249" t="str">
        <x:v>C</x:v>
      </x:c>
      <x:c r="F249" t="n">
        <x:v>30</x:v>
      </x:c>
      <x:c r="G249" t="str">
        <x:v>Priya</x:v>
      </x:c>
    </x:row>
    <x:row r="250">
      <x:c r="A250" t="str">
        <x:v>C0249</x:v>
      </x:c>
      <x:c r="B250" t="str">
        <x:v>City Hotel 249</x:v>
      </x:c>
      <x:c r="C250" t="str">
        <x:v>Supermarket</x:v>
      </x:c>
      <x:c r="D250" t="str">
        <x:v>Mysuru</x:v>
      </x:c>
      <x:c r="E250" t="str">
        <x:v>B</x:v>
      </x:c>
      <x:c r="F250" t="n">
        <x:v>7</x:v>
      </x:c>
      <x:c r="G250" t="str">
        <x:v>Arjun</x:v>
      </x:c>
    </x:row>
    <x:row r="251">
      <x:c r="A251" t="str">
        <x:v>C0250</x:v>
      </x:c>
      <x:c r="B251" t="str">
        <x:v>Namma Hotel 250</x:v>
      </x:c>
      <x:c r="C251" t="str">
        <x:v>Cafe</x:v>
      </x:c>
      <x:c r="D251" t="str">
        <x:v>Bengaluru</x:v>
      </x:c>
      <x:c r="E251" t="str">
        <x:v>B</x:v>
      </x:c>
      <x:c r="F251" t="n">
        <x:v>7</x:v>
      </x:c>
      <x:c r="G251" t="str">
        <x:v>Sneha</x:v>
      </x:c>
    </x:row>
  </x:sheetData>
  <x:pageMargins left="0.7" right="0.7" top="0.75" bottom="0.75" header="0.3" footer="0.3"/>
  <x:tableParts count="1">
    <x:tablePart xmlns:r="http://schemas.openxmlformats.org/officeDocument/2006/relationships" r:id="Rb96ed9a667504b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Product_ID</x:v>
      </x:c>
      <x:c r="B1" s="5" t="str">
        <x:v>Product</x:v>
      </x:c>
      <x:c r="C1" s="5" t="str">
        <x:v>Category</x:v>
      </x:c>
      <x:c r="D1" s="5" t="str">
        <x:v>Brand</x:v>
      </x:c>
      <x:c r="E1" s="5" t="str">
        <x:v>Unit_Price</x:v>
      </x:c>
      <x:c r="F1" s="5" t="str">
        <x:v>Cost_Price</x:v>
      </x:c>
    </x:row>
    <x:row r="2">
      <x:c r="A2" t="str">
        <x:v>P001</x:v>
      </x:c>
      <x:c r="B2" t="str">
        <x:v>Steam Rice 25kg</x:v>
      </x:c>
      <x:c r="C2" t="str">
        <x:v>Staples</x:v>
      </x:c>
      <x:c r="D2" t="str">
        <x:v>Aishwarya</x:v>
      </x:c>
      <x:c r="E2" s="22" t="n">
        <x:v>1180</x:v>
      </x:c>
      <x:c r="F2" s="22" t="n">
        <x:v>1040</x:v>
      </x:c>
    </x:row>
    <x:row r="3">
      <x:c r="A3" t="str">
        <x:v>P002</x:v>
      </x:c>
      <x:c r="B3" t="str">
        <x:v>Sona Masoori Rice 25kg</x:v>
      </x:c>
      <x:c r="C3" t="str">
        <x:v>Staples</x:v>
      </x:c>
      <x:c r="D3" t="str">
        <x:v>Fortune</x:v>
      </x:c>
      <x:c r="E3" s="22" t="n">
        <x:v>1320</x:v>
      </x:c>
      <x:c r="F3" s="22" t="n">
        <x:v>1160</x:v>
      </x:c>
    </x:row>
    <x:row r="4">
      <x:c r="A4" t="str">
        <x:v>P003</x:v>
      </x:c>
      <x:c r="B4" t="str">
        <x:v>Basmati Rice 5kg</x:v>
      </x:c>
      <x:c r="C4" t="str">
        <x:v>Staples</x:v>
      </x:c>
      <x:c r="D4" t="str">
        <x:v>India Gate</x:v>
      </x:c>
      <x:c r="E4" s="22" t="n">
        <x:v>690</x:v>
      </x:c>
      <x:c r="F4" s="22" t="n">
        <x:v>610</x:v>
      </x:c>
    </x:row>
    <x:row r="5">
      <x:c r="A5" t="str">
        <x:v>P004</x:v>
      </x:c>
      <x:c r="B5" t="str">
        <x:v>Toor Dal 5kg</x:v>
      </x:c>
      <x:c r="C5" t="str">
        <x:v>Pulses</x:v>
      </x:c>
      <x:c r="D5" t="str">
        <x:v>Tata Sampann</x:v>
      </x:c>
      <x:c r="E5" s="22" t="n">
        <x:v>780</x:v>
      </x:c>
      <x:c r="F5" s="22" t="n">
        <x:v>695</x:v>
      </x:c>
    </x:row>
    <x:row r="6">
      <x:c r="A6" t="str">
        <x:v>P005</x:v>
      </x:c>
      <x:c r="B6" t="str">
        <x:v>Chana Dal 5kg</x:v>
      </x:c>
      <x:c r="C6" t="str">
        <x:v>Pulses</x:v>
      </x:c>
      <x:c r="D6" t="str">
        <x:v>Local Select</x:v>
      </x:c>
      <x:c r="E6" s="22" t="n">
        <x:v>520</x:v>
      </x:c>
      <x:c r="F6" s="22" t="n">
        <x:v>455</x:v>
      </x:c>
    </x:row>
    <x:row r="7">
      <x:c r="A7" t="str">
        <x:v>P006</x:v>
      </x:c>
      <x:c r="B7" t="str">
        <x:v>Moong Dal 5kg</x:v>
      </x:c>
      <x:c r="C7" t="str">
        <x:v>Pulses</x:v>
      </x:c>
      <x:c r="D7" t="str">
        <x:v>Local Select</x:v>
      </x:c>
      <x:c r="E7" s="22" t="n">
        <x:v>610</x:v>
      </x:c>
      <x:c r="F7" s="22" t="n">
        <x:v>540</x:v>
      </x:c>
    </x:row>
    <x:row r="8">
      <x:c r="A8" t="str">
        <x:v>P007</x:v>
      </x:c>
      <x:c r="B8" t="str">
        <x:v>Sunflower Oil 15L</x:v>
      </x:c>
      <x:c r="C8" t="str">
        <x:v>Edible Oil</x:v>
      </x:c>
      <x:c r="D8" t="str">
        <x:v>Fortune</x:v>
      </x:c>
      <x:c r="E8" s="22" t="n">
        <x:v>1980</x:v>
      </x:c>
      <x:c r="F8" s="22" t="n">
        <x:v>1810</x:v>
      </x:c>
    </x:row>
    <x:row r="9">
      <x:c r="A9" t="str">
        <x:v>P008</x:v>
      </x:c>
      <x:c r="B9" t="str">
        <x:v>Palm Oil 15L</x:v>
      </x:c>
      <x:c r="C9" t="str">
        <x:v>Edible Oil</x:v>
      </x:c>
      <x:c r="D9" t="str">
        <x:v>Ruchi Gold</x:v>
      </x:c>
      <x:c r="E9" s="22" t="n">
        <x:v>1760</x:v>
      </x:c>
      <x:c r="F9" s="22" t="n">
        <x:v>1610</x:v>
      </x:c>
    </x:row>
    <x:row r="10">
      <x:c r="A10" t="str">
        <x:v>P009</x:v>
      </x:c>
      <x:c r="B10" t="str">
        <x:v>Groundnut Oil 5L</x:v>
      </x:c>
      <x:c r="C10" t="str">
        <x:v>Edible Oil</x:v>
      </x:c>
      <x:c r="D10" t="str">
        <x:v>Dhara</x:v>
      </x:c>
      <x:c r="E10" s="22" t="n">
        <x:v>890</x:v>
      </x:c>
      <x:c r="F10" s="22" t="n">
        <x:v>810</x:v>
      </x:c>
    </x:row>
    <x:row r="11">
      <x:c r="A11" t="str">
        <x:v>P010</x:v>
      </x:c>
      <x:c r="B11" t="str">
        <x:v>Sugar 25kg</x:v>
      </x:c>
      <x:c r="C11" t="str">
        <x:v>Staples</x:v>
      </x:c>
      <x:c r="D11" t="str">
        <x:v>Madhur</x:v>
      </x:c>
      <x:c r="E11" s="22" t="n">
        <x:v>1190</x:v>
      </x:c>
      <x:c r="F11" s="22" t="n">
        <x:v>1080</x:v>
      </x:c>
    </x:row>
    <x:row r="12">
      <x:c r="A12" t="str">
        <x:v>P011</x:v>
      </x:c>
      <x:c r="B12" t="str">
        <x:v>Salt 1kg</x:v>
      </x:c>
      <x:c r="C12" t="str">
        <x:v>Staples</x:v>
      </x:c>
      <x:c r="D12" t="str">
        <x:v>Tata</x:v>
      </x:c>
      <x:c r="E12" s="22" t="n">
        <x:v>28</x:v>
      </x:c>
      <x:c r="F12" s="22" t="n">
        <x:v>23</x:v>
      </x:c>
    </x:row>
    <x:row r="13">
      <x:c r="A13" t="str">
        <x:v>P012</x:v>
      </x:c>
      <x:c r="B13" t="str">
        <x:v>Maida 10kg</x:v>
      </x:c>
      <x:c r="C13" t="str">
        <x:v>Flour</x:v>
      </x:c>
      <x:c r="D13" t="str">
        <x:v>Aashirvaad</x:v>
      </x:c>
      <x:c r="E13" s="22" t="n">
        <x:v>520</x:v>
      </x:c>
      <x:c r="F13" s="22" t="n">
        <x:v>460</x:v>
      </x:c>
    </x:row>
    <x:row r="14">
      <x:c r="A14" t="str">
        <x:v>P013</x:v>
      </x:c>
      <x:c r="B14" t="str">
        <x:v>Atta 10kg</x:v>
      </x:c>
      <x:c r="C14" t="str">
        <x:v>Flour</x:v>
      </x:c>
      <x:c r="D14" t="str">
        <x:v>Aashirvaad</x:v>
      </x:c>
      <x:c r="E14" s="22" t="n">
        <x:v>560</x:v>
      </x:c>
      <x:c r="F14" s="22" t="n">
        <x:v>495</x:v>
      </x:c>
    </x:row>
    <x:row r="15">
      <x:c r="A15" t="str">
        <x:v>P014</x:v>
      </x:c>
      <x:c r="B15" t="str">
        <x:v>Rava 5kg</x:v>
      </x:c>
      <x:c r="C15" t="str">
        <x:v>Flour</x:v>
      </x:c>
      <x:c r="D15" t="str">
        <x:v>Local Select</x:v>
      </x:c>
      <x:c r="E15" s="22" t="n">
        <x:v>245</x:v>
      </x:c>
      <x:c r="F15" s="22" t="n">
        <x:v>215</x:v>
      </x:c>
    </x:row>
    <x:row r="16">
      <x:c r="A16" t="str">
        <x:v>P015</x:v>
      </x:c>
      <x:c r="B16" t="str">
        <x:v>Milk 1L</x:v>
      </x:c>
      <x:c r="C16" t="str">
        <x:v>Dairy</x:v>
      </x:c>
      <x:c r="D16" t="str">
        <x:v>Nandini</x:v>
      </x:c>
      <x:c r="E16" s="22" t="n">
        <x:v>48</x:v>
      </x:c>
      <x:c r="F16" s="22" t="n">
        <x:v>43</x:v>
      </x:c>
    </x:row>
    <x:row r="17">
      <x:c r="A17" t="str">
        <x:v>P016</x:v>
      </x:c>
      <x:c r="B17" t="str">
        <x:v>Curd 1kg</x:v>
      </x:c>
      <x:c r="C17" t="str">
        <x:v>Dairy</x:v>
      </x:c>
      <x:c r="D17" t="str">
        <x:v>Nandini</x:v>
      </x:c>
      <x:c r="E17" s="22" t="n">
        <x:v>72</x:v>
      </x:c>
      <x:c r="F17" s="22" t="n">
        <x:v>64</x:v>
      </x:c>
    </x:row>
    <x:row r="18">
      <x:c r="A18" t="str">
        <x:v>P017</x:v>
      </x:c>
      <x:c r="B18" t="str">
        <x:v>Butter 500g</x:v>
      </x:c>
      <x:c r="C18" t="str">
        <x:v>Dairy</x:v>
      </x:c>
      <x:c r="D18" t="str">
        <x:v>Amul</x:v>
      </x:c>
      <x:c r="E18" s="22" t="n">
        <x:v>285</x:v>
      </x:c>
      <x:c r="F18" s="22" t="n">
        <x:v>258</x:v>
      </x:c>
    </x:row>
    <x:row r="19">
      <x:c r="A19" t="str">
        <x:v>P018</x:v>
      </x:c>
      <x:c r="B19" t="str">
        <x:v>Paneer 1kg</x:v>
      </x:c>
      <x:c r="C19" t="str">
        <x:v>Dairy</x:v>
      </x:c>
      <x:c r="D19" t="str">
        <x:v>Milky Mist</x:v>
      </x:c>
      <x:c r="E19" s="22" t="n">
        <x:v>410</x:v>
      </x:c>
      <x:c r="F19" s="22" t="n">
        <x:v>370</x:v>
      </x:c>
    </x:row>
    <x:row r="20">
      <x:c r="A20" t="str">
        <x:v>P019</x:v>
      </x:c>
      <x:c r="B20" t="str">
        <x:v>Tea 1kg</x:v>
      </x:c>
      <x:c r="C20" t="str">
        <x:v>Beverage</x:v>
      </x:c>
      <x:c r="D20" t="str">
        <x:v>Red Label</x:v>
      </x:c>
      <x:c r="E20" s="22" t="n">
        <x:v>540</x:v>
      </x:c>
      <x:c r="F20" s="22" t="n">
        <x:v>485</x:v>
      </x:c>
    </x:row>
    <x:row r="21">
      <x:c r="A21" t="str">
        <x:v>P020</x:v>
      </x:c>
      <x:c r="B21" t="str">
        <x:v>Coffee 500g</x:v>
      </x:c>
      <x:c r="C21" t="str">
        <x:v>Beverage</x:v>
      </x:c>
      <x:c r="D21" t="str">
        <x:v>Bru</x:v>
      </x:c>
      <x:c r="E21" s="22" t="n">
        <x:v>390</x:v>
      </x:c>
      <x:c r="F21" s="22" t="n">
        <x:v>350</x:v>
      </x:c>
    </x:row>
    <x:row r="22">
      <x:c r="A22" t="str">
        <x:v>P021</x:v>
      </x:c>
      <x:c r="B22" t="str">
        <x:v>Instant Coffee 200g</x:v>
      </x:c>
      <x:c r="C22" t="str">
        <x:v>Beverage</x:v>
      </x:c>
      <x:c r="D22" t="str">
        <x:v>Nescafe</x:v>
      </x:c>
      <x:c r="E22" s="22" t="n">
        <x:v>460</x:v>
      </x:c>
      <x:c r="F22" s="22" t="n">
        <x:v>410</x:v>
      </x:c>
    </x:row>
    <x:row r="23">
      <x:c r="A23" t="str">
        <x:v>P022</x:v>
      </x:c>
      <x:c r="B23" t="str">
        <x:v>Mineral Water 1L</x:v>
      </x:c>
      <x:c r="C23" t="str">
        <x:v>Beverage</x:v>
      </x:c>
      <x:c r="D23" t="str">
        <x:v>Bisleri</x:v>
      </x:c>
      <x:c r="E23" s="22" t="n">
        <x:v>19</x:v>
      </x:c>
      <x:c r="F23" s="22" t="n">
        <x:v>15</x:v>
      </x:c>
    </x:row>
    <x:row r="24">
      <x:c r="A24" t="str">
        <x:v>P023</x:v>
      </x:c>
      <x:c r="B24" t="str">
        <x:v>Cola 750ml</x:v>
      </x:c>
      <x:c r="C24" t="str">
        <x:v>Beverage</x:v>
      </x:c>
      <x:c r="D24" t="str">
        <x:v>Coca-Cola</x:v>
      </x:c>
      <x:c r="E24" s="22" t="n">
        <x:v>38</x:v>
      </x:c>
      <x:c r="F24" s="22" t="n">
        <x:v>31</x:v>
      </x:c>
    </x:row>
    <x:row r="25">
      <x:c r="A25" t="str">
        <x:v>P024</x:v>
      </x:c>
      <x:c r="B25" t="str">
        <x:v>Orange Drink 1L</x:v>
      </x:c>
      <x:c r="C25" t="str">
        <x:v>Beverage</x:v>
      </x:c>
      <x:c r="D25" t="str">
        <x:v>Minute Maid</x:v>
      </x:c>
      <x:c r="E25" s="22" t="n">
        <x:v>105</x:v>
      </x:c>
      <x:c r="F25" s="22" t="n">
        <x:v>88</x:v>
      </x:c>
    </x:row>
    <x:row r="26">
      <x:c r="A26" t="str">
        <x:v>P025</x:v>
      </x:c>
      <x:c r="B26" t="str">
        <x:v>Potato Chips 100g</x:v>
      </x:c>
      <x:c r="C26" t="str">
        <x:v>Snacks</x:v>
      </x:c>
      <x:c r="D26" t="str">
        <x:v>Lay's</x:v>
      </x:c>
      <x:c r="E26" s="22" t="n">
        <x:v>35</x:v>
      </x:c>
      <x:c r="F26" s="22" t="n">
        <x:v>27</x:v>
      </x:c>
    </x:row>
    <x:row r="27">
      <x:c r="A27" t="str">
        <x:v>P026</x:v>
      </x:c>
      <x:c r="B27" t="str">
        <x:v>Banana Chips 80g</x:v>
      </x:c>
      <x:c r="C27" t="str">
        <x:v>Snacks</x:v>
      </x:c>
      <x:c r="D27" t="str">
        <x:v>SSS</x:v>
      </x:c>
      <x:c r="E27" s="22" t="n">
        <x:v>54</x:v>
      </x:c>
      <x:c r="F27" s="22" t="n">
        <x:v>39</x:v>
      </x:c>
    </x:row>
    <x:row r="28">
      <x:c r="A28" t="str">
        <x:v>P027</x:v>
      </x:c>
      <x:c r="B28" t="str">
        <x:v>Biscuits 120g</x:v>
      </x:c>
      <x:c r="C28" t="str">
        <x:v>Snacks</x:v>
      </x:c>
      <x:c r="D28" t="str">
        <x:v>Parle-G</x:v>
      </x:c>
      <x:c r="E28" s="22" t="n">
        <x:v>12</x:v>
      </x:c>
      <x:c r="F28" s="22" t="n">
        <x:v>9</x:v>
      </x:c>
    </x:row>
    <x:row r="29">
      <x:c r="A29" t="str">
        <x:v>P028</x:v>
      </x:c>
      <x:c r="B29" t="str">
        <x:v>Cookies 200g</x:v>
      </x:c>
      <x:c r="C29" t="str">
        <x:v>Snacks</x:v>
      </x:c>
      <x:c r="D29" t="str">
        <x:v>Britannia</x:v>
      </x:c>
      <x:c r="E29" s="22" t="n">
        <x:v>55</x:v>
      </x:c>
      <x:c r="F29" s="22" t="n">
        <x:v>42</x:v>
      </x:c>
    </x:row>
    <x:row r="30">
      <x:c r="A30" t="str">
        <x:v>P029</x:v>
      </x:c>
      <x:c r="B30" t="str">
        <x:v>Tomato Ketchup 1kg</x:v>
      </x:c>
      <x:c r="C30" t="str">
        <x:v>Condiments</x:v>
      </x:c>
      <x:c r="D30" t="str">
        <x:v>Kissan</x:v>
      </x:c>
      <x:c r="E30" s="22" t="n">
        <x:v>145</x:v>
      </x:c>
      <x:c r="F30" s="22" t="n">
        <x:v>126</x:v>
      </x:c>
    </x:row>
    <x:row r="31">
      <x:c r="A31" t="str">
        <x:v>P030</x:v>
      </x:c>
      <x:c r="B31" t="str">
        <x:v>Mayonnaise 1kg</x:v>
      </x:c>
      <x:c r="C31" t="str">
        <x:v>Condiments</x:v>
      </x:c>
      <x:c r="D31" t="str">
        <x:v>Veeba</x:v>
      </x:c>
      <x:c r="E31" s="22" t="n">
        <x:v>210</x:v>
      </x:c>
      <x:c r="F31" s="22" t="n">
        <x:v>185</x:v>
      </x:c>
    </x:row>
    <x:row r="32">
      <x:c r="A32" t="str">
        <x:v>P031</x:v>
      </x:c>
      <x:c r="B32" t="str">
        <x:v>Chilli Sauce 700g</x:v>
      </x:c>
      <x:c r="C32" t="str">
        <x:v>Condiments</x:v>
      </x:c>
      <x:c r="D32" t="str">
        <x:v>Ching's</x:v>
      </x:c>
      <x:c r="E32" s="22" t="n">
        <x:v>130</x:v>
      </x:c>
      <x:c r="F32" s="22" t="n">
        <x:v>112</x:v>
      </x:c>
    </x:row>
    <x:row r="33">
      <x:c r="A33" t="str">
        <x:v>P032</x:v>
      </x:c>
      <x:c r="B33" t="str">
        <x:v>Soy Sauce 700g</x:v>
      </x:c>
      <x:c r="C33" t="str">
        <x:v>Condiments</x:v>
      </x:c>
      <x:c r="D33" t="str">
        <x:v>Ching's</x:v>
      </x:c>
      <x:c r="E33" s="22" t="n">
        <x:v>118</x:v>
      </x:c>
      <x:c r="F33" s="22" t="n">
        <x:v>101</x:v>
      </x:c>
    </x:row>
    <x:row r="34">
      <x:c r="A34" t="str">
        <x:v>P033</x:v>
      </x:c>
      <x:c r="B34" t="str">
        <x:v>Turmeric Powder 1kg</x:v>
      </x:c>
      <x:c r="C34" t="str">
        <x:v>Spices</x:v>
      </x:c>
      <x:c r="D34" t="str">
        <x:v>Everest</x:v>
      </x:c>
      <x:c r="E34" s="22" t="n">
        <x:v>310</x:v>
      </x:c>
      <x:c r="F34" s="22" t="n">
        <x:v>270</x:v>
      </x:c>
    </x:row>
    <x:row r="35">
      <x:c r="A35" t="str">
        <x:v>P034</x:v>
      </x:c>
      <x:c r="B35" t="str">
        <x:v>Chilli Powder 1kg</x:v>
      </x:c>
      <x:c r="C35" t="str">
        <x:v>Spices</x:v>
      </x:c>
      <x:c r="D35" t="str">
        <x:v>MDH</x:v>
      </x:c>
      <x:c r="E35" s="22" t="n">
        <x:v>340</x:v>
      </x:c>
      <x:c r="F35" s="22" t="n">
        <x:v>295</x:v>
      </x:c>
    </x:row>
    <x:row r="36">
      <x:c r="A36" t="str">
        <x:v>P035</x:v>
      </x:c>
      <x:c r="B36" t="str">
        <x:v>Coriander Powder 1kg</x:v>
      </x:c>
      <x:c r="C36" t="str">
        <x:v>Spices</x:v>
      </x:c>
      <x:c r="D36" t="str">
        <x:v>Everest</x:v>
      </x:c>
      <x:c r="E36" s="22" t="n">
        <x:v>280</x:v>
      </x:c>
      <x:c r="F36" s="22" t="n">
        <x:v>245</x:v>
      </x:c>
    </x:row>
    <x:row r="37">
      <x:c r="A37" t="str">
        <x:v>P036</x:v>
      </x:c>
      <x:c r="B37" t="str">
        <x:v>Garam Masala 500g</x:v>
      </x:c>
      <x:c r="C37" t="str">
        <x:v>Spices</x:v>
      </x:c>
      <x:c r="D37" t="str">
        <x:v>MDH</x:v>
      </x:c>
      <x:c r="E37" s="22" t="n">
        <x:v>265</x:v>
      </x:c>
      <x:c r="F37" s="22" t="n">
        <x:v>230</x:v>
      </x:c>
    </x:row>
    <x:row r="38">
      <x:c r="A38" t="str">
        <x:v>P037</x:v>
      </x:c>
      <x:c r="B38" t="str">
        <x:v>Frozen Peas 1kg</x:v>
      </x:c>
      <x:c r="C38" t="str">
        <x:v>Frozen</x:v>
      </x:c>
      <x:c r="D38" t="str">
        <x:v>Safal</x:v>
      </x:c>
      <x:c r="E38" s="22" t="n">
        <x:v>155</x:v>
      </x:c>
      <x:c r="F38" s="22" t="n">
        <x:v>138</x:v>
      </x:c>
    </x:row>
    <x:row r="39">
      <x:c r="A39" t="str">
        <x:v>P038</x:v>
      </x:c>
      <x:c r="B39" t="str">
        <x:v>French Fries 2.5kg</x:v>
      </x:c>
      <x:c r="C39" t="str">
        <x:v>Frozen</x:v>
      </x:c>
      <x:c r="D39" t="str">
        <x:v>McCain</x:v>
      </x:c>
      <x:c r="E39" s="22" t="n">
        <x:v>360</x:v>
      </x:c>
      <x:c r="F39" s="22" t="n">
        <x:v>315</x:v>
      </x:c>
    </x:row>
    <x:row r="40">
      <x:c r="A40" t="str">
        <x:v>P039</x:v>
      </x:c>
      <x:c r="B40" t="str">
        <x:v>Ice Cream 4L</x:v>
      </x:c>
      <x:c r="C40" t="str">
        <x:v>Frozen</x:v>
      </x:c>
      <x:c r="D40" t="str">
        <x:v>Amul</x:v>
      </x:c>
      <x:c r="E40" s="22" t="n">
        <x:v>480</x:v>
      </x:c>
      <x:c r="F40" s="22" t="n">
        <x:v>420</x:v>
      </x:c>
    </x:row>
    <x:row r="41">
      <x:c r="A41" t="str">
        <x:v>P040</x:v>
      </x:c>
      <x:c r="B41" t="str">
        <x:v>Bread Loaf 400g</x:v>
      </x:c>
      <x:c r="C41" t="str">
        <x:v>Bakery</x:v>
      </x:c>
      <x:c r="D41" t="str">
        <x:v>Britannia</x:v>
      </x:c>
      <x:c r="E41" s="22" t="n">
        <x:v>45</x:v>
      </x:c>
      <x:c r="F41" s="22" t="n">
        <x:v>35</x:v>
      </x:c>
    </x:row>
    <x:row r="42">
      <x:c r="A42" t="str">
        <x:v>P041</x:v>
      </x:c>
      <x:c r="B42" t="str">
        <x:v>Burger Bun 6pc</x:v>
      </x:c>
      <x:c r="C42" t="str">
        <x:v>Bakery</x:v>
      </x:c>
      <x:c r="D42" t="str">
        <x:v>Modern</x:v>
      </x:c>
      <x:c r="E42" s="22" t="n">
        <x:v>42</x:v>
      </x:c>
      <x:c r="F42" s="22" t="n">
        <x:v>32</x:v>
      </x:c>
    </x:row>
    <x:row r="43">
      <x:c r="A43" t="str">
        <x:v>P042</x:v>
      </x:c>
      <x:c r="B43" t="str">
        <x:v>Eggs 30pc Tray</x:v>
      </x:c>
      <x:c r="C43" t="str">
        <x:v>Protein</x:v>
      </x:c>
      <x:c r="D43" t="str">
        <x:v>Farm Fresh</x:v>
      </x:c>
      <x:c r="E43" s="22" t="n">
        <x:v>195</x:v>
      </x:c>
      <x:c r="F43" s="22" t="n">
        <x:v>170</x:v>
      </x:c>
    </x:row>
    <x:row r="44">
      <x:c r="A44" t="str">
        <x:v>P043</x:v>
      </x:c>
      <x:c r="B44" t="str">
        <x:v>Chicken Breast 1kg</x:v>
      </x:c>
      <x:c r="C44" t="str">
        <x:v>Protein</x:v>
      </x:c>
      <x:c r="D44" t="str">
        <x:v>FreshToHome</x:v>
      </x:c>
      <x:c r="E44" s="22" t="n">
        <x:v>260</x:v>
      </x:c>
      <x:c r="F44" s="22" t="n">
        <x:v>235</x:v>
      </x:c>
    </x:row>
    <x:row r="45">
      <x:c r="A45" t="str">
        <x:v>P044</x:v>
      </x:c>
      <x:c r="B45" t="str">
        <x:v>Chicken Curry Cut 1kg</x:v>
      </x:c>
      <x:c r="C45" t="str">
        <x:v>Protein</x:v>
      </x:c>
      <x:c r="D45" t="str">
        <x:v>FreshToHome</x:v>
      </x:c>
      <x:c r="E45" s="22" t="n">
        <x:v>230</x:v>
      </x:c>
      <x:c r="F45" s="22" t="n">
        <x:v>205</x:v>
      </x:c>
    </x:row>
    <x:row r="46">
      <x:c r="A46" t="str">
        <x:v>P045</x:v>
      </x:c>
      <x:c r="B46" t="str">
        <x:v>Onion 25kg</x:v>
      </x:c>
      <x:c r="C46" t="str">
        <x:v>Fresh Produce</x:v>
      </x:c>
      <x:c r="D46" t="str">
        <x:v>Local Market</x:v>
      </x:c>
      <x:c r="E46" s="22" t="n">
        <x:v>875</x:v>
      </x:c>
      <x:c r="F46" s="22" t="n">
        <x:v>760</x:v>
      </x:c>
    </x:row>
    <x:row r="47">
      <x:c r="A47" t="str">
        <x:v>P046</x:v>
      </x:c>
      <x:c r="B47" t="str">
        <x:v>Potato 25kg</x:v>
      </x:c>
      <x:c r="C47" t="str">
        <x:v>Fresh Produce</x:v>
      </x:c>
      <x:c r="D47" t="str">
        <x:v>Local Market</x:v>
      </x:c>
      <x:c r="E47" s="22" t="n">
        <x:v>700</x:v>
      </x:c>
      <x:c r="F47" s="22" t="n">
        <x:v>610</x:v>
      </x:c>
    </x:row>
    <x:row r="48">
      <x:c r="A48" t="str">
        <x:v>P047</x:v>
      </x:c>
      <x:c r="B48" t="str">
        <x:v>Tomato 25kg</x:v>
      </x:c>
      <x:c r="C48" t="str">
        <x:v>Fresh Produce</x:v>
      </x:c>
      <x:c r="D48" t="str">
        <x:v>Local Market</x:v>
      </x:c>
      <x:c r="E48" s="22" t="n">
        <x:v>950</x:v>
      </x:c>
      <x:c r="F48" s="22" t="n">
        <x:v>810</x:v>
      </x:c>
    </x:row>
    <x:row r="49">
      <x:c r="A49" t="str">
        <x:v>P048</x:v>
      </x:c>
      <x:c r="B49" t="str">
        <x:v>Banana 10kg</x:v>
      </x:c>
      <x:c r="C49" t="str">
        <x:v>Fresh Produce</x:v>
      </x:c>
      <x:c r="D49" t="str">
        <x:v>Local Market</x:v>
      </x:c>
      <x:c r="E49" s="22" t="n">
        <x:v>420</x:v>
      </x:c>
      <x:c r="F49" s="22" t="n">
        <x:v>350</x:v>
      </x:c>
    </x:row>
    <x:row r="50">
      <x:c r="A50" t="str">
        <x:v>P049</x:v>
      </x:c>
      <x:c r="B50" t="str">
        <x:v>Apple 10kg</x:v>
      </x:c>
      <x:c r="C50" t="str">
        <x:v>Fresh Produce</x:v>
      </x:c>
      <x:c r="D50" t="str">
        <x:v>Local Market</x:v>
      </x:c>
      <x:c r="E50" s="22" t="n">
        <x:v>1450</x:v>
      </x:c>
      <x:c r="F50" s="22" t="n">
        <x:v>1280</x:v>
      </x:c>
    </x:row>
    <x:row r="51">
      <x:c r="A51" t="str">
        <x:v>P050</x:v>
      </x:c>
      <x:c r="B51" t="str">
        <x:v>Lemon 5kg</x:v>
      </x:c>
      <x:c r="C51" t="str">
        <x:v>Fresh Produce</x:v>
      </x:c>
      <x:c r="D51" t="str">
        <x:v>Local Market</x:v>
      </x:c>
      <x:c r="E51" s="22" t="n">
        <x:v>360</x:v>
      </x:c>
      <x:c r="F51" s="22" t="n">
        <x:v>300</x:v>
      </x:c>
    </x:row>
  </x:sheetData>
  <x:pageMargins left="0.7" right="0.7" top="0.75" bottom="0.75" header="0.3" footer="0.3"/>
  <x:tableParts count="1">
    <x:tablePart xmlns:r="http://schemas.openxmlformats.org/officeDocument/2006/relationships" r:id="R0fde80716dc2415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0" hidden="0" customWidth="1"/>
  </x:cols>
  <x:sheetData>
    <x:row r="1">
      <x:c r="A1" s="26" t="str">
        <x:v>FMCG B2B Sales Analytics - R Practice Dataset</x:v>
      </x:c>
      <x:c r="B1" s="27" t="str"/>
    </x:row>
    <x:row r="2">
      <x:c r="A2" t="str">
        <x:v>Dataset size</x:v>
      </x:c>
      <x:c r="B2" t="str">
        <x:v>5,000 order lines + 250 customers + 50 products</x:v>
      </x:c>
    </x:row>
    <x:row r="3">
      <x:c r="A3" t="str">
        <x:v>Goal</x:v>
      </x:c>
      <x:c r="B3" t="str">
        <x:v>Use this Excel file to learn importing, cleaning, filtering, grouping, summarising and visualising in R.</x:v>
      </x:c>
    </x:row>
    <x:row r="4">
      <x:c r="A4" t="str"/>
      <x:c r="B4" t="str"/>
    </x:row>
    <x:row r="5">
      <x:c r="A5" s="17" t="str">
        <x:v>Practice Questions</x:v>
      </x:c>
      <x:c r="B5" s="17" t="str"/>
    </x:row>
    <x:row r="6">
      <x:c r="A6" t="str">
        <x:v>1</x:v>
      </x:c>
      <x:c r="B6" t="str">
        <x:v>Import the Orders sheet into R and check dim(), str(), head(), summary().</x:v>
      </x:c>
    </x:row>
    <x:row r="7">
      <x:c r="A7" t="str">
        <x:v>2</x:v>
      </x:c>
      <x:c r="B7" t="str">
        <x:v>Find total Net_Sales, Gross_Profit and average order-line value.</x:v>
      </x:c>
    </x:row>
    <x:row r="8">
      <x:c r="A8" t="str">
        <x:v>3</x:v>
      </x:c>
      <x:c r="B8" t="str">
        <x:v>Which City generates the highest Net_Sales?</x:v>
      </x:c>
    </x:row>
    <x:row r="9">
      <x:c r="A9" t="str">
        <x:v>4</x:v>
      </x:c>
      <x:c r="B9" t="str">
        <x:v>Which Customer_Type generates the highest Net_Sales?</x:v>
      </x:c>
    </x:row>
    <x:row r="10">
      <x:c r="A10" t="str">
        <x:v>5</x:v>
      </x:c>
      <x:c r="B10" t="str">
        <x:v>Find category-wise Net_Sales and Gross_Profit.</x:v>
      </x:c>
    </x:row>
    <x:row r="11">
      <x:c r="A11" t="str">
        <x:v>6</x:v>
      </x:c>
      <x:c r="B11" t="str">
        <x:v>Find the top 10 customers by Net_Sales.</x:v>
      </x:c>
    </x:row>
    <x:row r="12">
      <x:c r="A12" t="str">
        <x:v>7</x:v>
      </x:c>
      <x:c r="B12" t="str">
        <x:v>Find the top 10 products by Quantity and by Net_Sales.</x:v>
      </x:c>
    </x:row>
    <x:row r="13">
      <x:c r="A13" t="str">
        <x:v>8</x:v>
      </x:c>
      <x:c r="B13" t="str">
        <x:v>Compare Paid, Pending and Overdue sales value.</x:v>
      </x:c>
    </x:row>
    <x:row r="14">
      <x:c r="A14" t="str">
        <x:v>9</x:v>
      </x:c>
      <x:c r="B14" t="str">
        <x:v>Calculate return rate = Return_Qty / Quantity.</x:v>
      </x:c>
    </x:row>
    <x:row r="15">
      <x:c r="A15" t="str">
        <x:v>10</x:v>
      </x:c>
      <x:c r="B15" t="str">
        <x:v>Which salesperson handles the highest Net_Sales?</x:v>
      </x:c>
    </x:row>
    <x:row r="16">
      <x:c r="A16" t="str">
        <x:v>11</x:v>
      </x:c>
      <x:c r="B16" t="str">
        <x:v>Create monthly sales trend using Order_Date.</x:v>
      </x:c>
    </x:row>
    <x:row r="17">
      <x:c r="A17" t="str">
        <x:v>12</x:v>
      </x:c>
      <x:c r="B17" t="str">
        <x:v>Filter Bengaluru restaurant customers with Net_Sales &gt; 5000.</x:v>
      </x:c>
    </x:row>
    <x:row r="18">
      <x:c r="A18" t="str">
        <x:v>13</x:v>
      </x:c>
      <x:c r="B18" t="str">
        <x:v>Find rows with missing Lead_Source and clean them.</x:v>
      </x:c>
    </x:row>
    <x:row r="19">
      <x:c r="A19" t="str">
        <x:v>14</x:v>
      </x:c>
      <x:c r="B19" t="str">
        <x:v>Create Gross_Margin_pct = Gross_Profit / Net_Sales * 100.</x:v>
      </x:c>
    </x:row>
    <x:row r="20">
      <x:c r="A20" t="str">
        <x:v>15</x:v>
      </x:c>
      <x:c r="B20" t="str">
        <x:v>Build 3 charts: city sales, category sales, monthly sales trend.</x:v>
      </x:c>
    </x:row>
  </x:sheetData>
  <x:mergeCells>
    <x:mergeCell ref="A1:B1"/>
  </x:mergeCells>
  <x:pageMargins left="0.7" right="0.7" top="0.75" bottom="0.75" header="0.3" footer="0.3"/>
</x:worksheet>
</file>